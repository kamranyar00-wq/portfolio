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Z:\MOR Monthly Opreational Review\Monthly Opreational Review 2026\MOR APR 2026\"/>
    </mc:Choice>
  </mc:AlternateContent>
  <xr:revisionPtr revIDLastSave="0" documentId="13_ncr:1_{3C90C286-31C5-43EE-80FD-33527F79EA9A}" xr6:coauthVersionLast="47" xr6:coauthVersionMax="47" xr10:uidLastSave="{00000000-0000-0000-0000-000000000000}"/>
  <bookViews>
    <workbookView xWindow="-120" yWindow="-120" windowWidth="29040" windowHeight="15840" activeTab="4" xr2:uid="{D5A8C7AC-0657-4633-96F8-5EEEB3F008B2}"/>
  </bookViews>
  <sheets>
    <sheet name="PP" sheetId="2" r:id="rId1"/>
    <sheet name="PP PRD" sheetId="10" r:id="rId2"/>
    <sheet name="PP PRO PIVOTE" sheetId="13" r:id="rId3"/>
    <sheet name="WOR" sheetId="4" r:id="rId4"/>
    <sheet name="MOR" sheetId="7" r:id="rId5"/>
    <sheet name="KWH" sheetId="14" r:id="rId6"/>
    <sheet name="TARGET" sheetId="15" r:id="rId7"/>
  </sheets>
  <externalReferences>
    <externalReference r:id="rId8"/>
  </externalReferences>
  <definedNames>
    <definedName name="_xlnm._FilterDatabase" localSheetId="0" hidden="1">PP!$A$2:$AF$1995</definedName>
    <definedName name="_xlnm._FilterDatabase" localSheetId="6" hidden="1">TARGET!$A$3:$H$3</definedName>
    <definedName name="ExternalData_1" localSheetId="1" hidden="1">'PP PRD'!$A$1:$AT$3950</definedName>
    <definedName name="Slicer_WEEK_NO.">#N/A</definedName>
  </definedNames>
  <calcPr calcId="191029"/>
  <pivotCaches>
    <pivotCache cacheId="58"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6" i="7" l="1"/>
  <c r="G16" i="7"/>
  <c r="F16" i="7"/>
  <c r="E16" i="7"/>
  <c r="D16" i="7"/>
  <c r="C16" i="7"/>
  <c r="H15" i="7"/>
  <c r="H13" i="7"/>
  <c r="H11" i="7"/>
  <c r="H9" i="7"/>
  <c r="H8" i="7"/>
  <c r="H6" i="7"/>
  <c r="H4" i="7"/>
  <c r="E202" i="14"/>
  <c r="E201" i="14"/>
  <c r="E200" i="14"/>
  <c r="E199" i="14"/>
  <c r="E198" i="14"/>
  <c r="E197" i="14"/>
  <c r="E196" i="14"/>
  <c r="E195" i="14"/>
  <c r="E194" i="14"/>
  <c r="E193" i="14"/>
  <c r="E192" i="14"/>
  <c r="E191" i="14"/>
  <c r="E190" i="14"/>
  <c r="E189" i="14"/>
  <c r="E188" i="14"/>
  <c r="E187" i="14"/>
  <c r="E186" i="14"/>
  <c r="E185" i="14"/>
  <c r="E184" i="14"/>
  <c r="E183" i="14"/>
  <c r="E182" i="14"/>
  <c r="E181" i="14"/>
  <c r="E180" i="14"/>
  <c r="E179" i="14"/>
  <c r="E178" i="14"/>
  <c r="E177" i="14"/>
  <c r="E176" i="14"/>
  <c r="E175" i="14"/>
  <c r="E174" i="14"/>
  <c r="G10" i="7"/>
  <c r="G9" i="7"/>
  <c r="G8" i="7"/>
  <c r="G7" i="7"/>
  <c r="G6" i="7"/>
  <c r="G5" i="7"/>
  <c r="G4" i="7"/>
  <c r="U200" i="13"/>
  <c r="M200" i="13"/>
  <c r="I200" i="13"/>
  <c r="X199" i="13"/>
  <c r="X200" i="13" s="1"/>
  <c r="U199" i="13"/>
  <c r="T199" i="13"/>
  <c r="T200" i="13" s="1"/>
  <c r="P199" i="13"/>
  <c r="P200" i="13" s="1"/>
  <c r="M199" i="13"/>
  <c r="L199" i="13"/>
  <c r="L200" i="13" s="1"/>
  <c r="I199" i="13"/>
  <c r="H199" i="13"/>
  <c r="H200" i="13" s="1"/>
  <c r="X198" i="13"/>
  <c r="W198" i="13"/>
  <c r="W199" i="13" s="1"/>
  <c r="W200" i="13" s="1"/>
  <c r="V198" i="13"/>
  <c r="V199" i="13" s="1"/>
  <c r="V200" i="13" s="1"/>
  <c r="U198" i="13"/>
  <c r="T198" i="13"/>
  <c r="S198" i="13"/>
  <c r="S199" i="13" s="1"/>
  <c r="S200" i="13" s="1"/>
  <c r="P198" i="13"/>
  <c r="O198" i="13"/>
  <c r="O199" i="13" s="1"/>
  <c r="O200" i="13" s="1"/>
  <c r="N198" i="13"/>
  <c r="N199" i="13" s="1"/>
  <c r="N200" i="13" s="1"/>
  <c r="M198" i="13"/>
  <c r="L198" i="13"/>
  <c r="J198" i="13"/>
  <c r="J199" i="13" s="1"/>
  <c r="J200" i="13" s="1"/>
  <c r="I198" i="13"/>
  <c r="H198" i="13"/>
  <c r="G198" i="13"/>
  <c r="G199" i="13" s="1"/>
  <c r="G200" i="13" s="1"/>
  <c r="F198" i="13"/>
  <c r="F199" i="13" s="1"/>
  <c r="F200" i="13" s="1"/>
  <c r="G17" i="7" l="1"/>
  <c r="G18" i="7" s="1"/>
  <c r="E9" i="7" l="1"/>
  <c r="D9" i="7"/>
  <c r="R27" i="7"/>
  <c r="J17" i="7"/>
  <c r="G9" i="4"/>
  <c r="C9" i="4"/>
  <c r="A184" i="14" l="1"/>
  <c r="A179" i="14"/>
  <c r="A180" i="14" s="1"/>
  <c r="A181" i="14" s="1"/>
  <c r="A182" i="14" s="1"/>
  <c r="A183" i="14" s="1"/>
  <c r="A178" i="14"/>
  <c r="C11" i="4" l="1"/>
  <c r="E172" i="14" l="1"/>
  <c r="E171" i="14"/>
  <c r="J14" i="4"/>
  <c r="C17" i="4"/>
  <c r="J16" i="4" a="1"/>
  <c r="J16" i="4" s="1"/>
  <c r="C16" i="4" a="1"/>
  <c r="C16" i="4" s="1"/>
  <c r="E173" i="14"/>
  <c r="T9" i="4" l="1"/>
  <c r="T10" i="4" s="1"/>
  <c r="K17" i="7"/>
  <c r="E162" i="14" l="1"/>
  <c r="E163" i="14"/>
  <c r="E164" i="14"/>
  <c r="E165" i="14"/>
  <c r="E166" i="14"/>
  <c r="E167" i="14"/>
  <c r="E161" i="14"/>
  <c r="L17" i="7" l="1"/>
  <c r="L18" i="7" s="1"/>
  <c r="L25" i="7" s="1"/>
  <c r="G19" i="4" l="1"/>
  <c r="C19" i="4"/>
  <c r="C9" i="7" l="1"/>
  <c r="M25" i="7" l="1"/>
  <c r="N25" i="7" l="1"/>
  <c r="O19" i="4" l="1"/>
  <c r="C8" i="4" l="1"/>
  <c r="C6" i="4"/>
  <c r="C7" i="4" s="1"/>
  <c r="C4" i="4"/>
  <c r="C5" i="4" s="1"/>
  <c r="C17" i="7"/>
  <c r="C8" i="7"/>
  <c r="C6" i="7"/>
  <c r="C7" i="7" s="1"/>
  <c r="C4" i="7"/>
  <c r="C5" i="7" s="1"/>
  <c r="X25" i="7"/>
  <c r="V25" i="7"/>
  <c r="W22" i="7"/>
  <c r="I22" i="7"/>
  <c r="W17" i="7"/>
  <c r="W18" i="7" s="1"/>
  <c r="X10" i="7"/>
  <c r="W10" i="7"/>
  <c r="V10" i="7"/>
  <c r="D3" i="7"/>
  <c r="M20" i="4"/>
  <c r="D4" i="7" l="1"/>
  <c r="D5" i="7" s="1"/>
  <c r="D17" i="7"/>
  <c r="D6" i="7"/>
  <c r="D7" i="7" s="1"/>
  <c r="D8" i="7"/>
  <c r="C10" i="4"/>
  <c r="C10" i="7"/>
  <c r="E3" i="7"/>
  <c r="C18" i="7"/>
  <c r="W25" i="7"/>
  <c r="C18" i="4"/>
  <c r="D10" i="7" l="1"/>
  <c r="D18" i="7"/>
  <c r="F3" i="7"/>
  <c r="E17" i="7"/>
  <c r="E4" i="7"/>
  <c r="E8" i="7"/>
  <c r="E6" i="7"/>
  <c r="E7" i="7" s="1"/>
  <c r="F9" i="7" l="1"/>
  <c r="F17" i="7"/>
  <c r="H17" i="7" s="1"/>
  <c r="C14" i="7" a="1"/>
  <c r="C14" i="7" s="1"/>
  <c r="R28" i="7" s="1"/>
  <c r="E10" i="7"/>
  <c r="E18" i="7"/>
  <c r="G3" i="7"/>
  <c r="F8" i="7"/>
  <c r="F27" i="7" s="1"/>
  <c r="F6" i="7"/>
  <c r="F7" i="7" s="1"/>
  <c r="F4" i="7"/>
  <c r="F5" i="7" s="1"/>
  <c r="E5" i="7"/>
  <c r="R29" i="7" l="1"/>
  <c r="F10" i="7"/>
  <c r="F18" i="7"/>
  <c r="D3" i="4"/>
  <c r="D9" i="4" s="1"/>
  <c r="D26" i="7" l="1"/>
  <c r="D11" i="7" s="1"/>
  <c r="C26" i="7"/>
  <c r="C11" i="7" s="1"/>
  <c r="I6" i="7"/>
  <c r="I4" i="7"/>
  <c r="I8" i="7"/>
  <c r="D8" i="4"/>
  <c r="D4" i="4"/>
  <c r="D5" i="4" s="1"/>
  <c r="D6" i="4"/>
  <c r="D7" i="4" s="1"/>
  <c r="E3" i="4"/>
  <c r="E9" i="4" s="1"/>
  <c r="C15" i="7" l="1" a="1"/>
  <c r="C15" i="7" s="1"/>
  <c r="C12" i="7"/>
  <c r="D15" i="7" a="1"/>
  <c r="D15" i="7" s="1"/>
  <c r="D12" i="7"/>
  <c r="I13" i="7"/>
  <c r="G26" i="7"/>
  <c r="G11" i="7" s="1"/>
  <c r="F26" i="7"/>
  <c r="F11" i="7" s="1"/>
  <c r="F15" i="7" s="1" a="1"/>
  <c r="F15" i="7" s="1"/>
  <c r="E26" i="7"/>
  <c r="E11" i="7" s="1"/>
  <c r="I19" i="7"/>
  <c r="I18" i="7"/>
  <c r="E6" i="4"/>
  <c r="E7" i="4" s="1"/>
  <c r="E8" i="4"/>
  <c r="E4" i="4"/>
  <c r="E5" i="4" s="1"/>
  <c r="F3" i="4"/>
  <c r="F9" i="4" s="1"/>
  <c r="G12" i="7" l="1"/>
  <c r="G15" i="7" a="1"/>
  <c r="G15" i="7" s="1"/>
  <c r="G27" i="7"/>
  <c r="E15" i="7" a="1"/>
  <c r="E15" i="7" s="1"/>
  <c r="E12" i="7"/>
  <c r="F12" i="7"/>
  <c r="F6" i="4"/>
  <c r="F7" i="4" s="1"/>
  <c r="F8" i="4"/>
  <c r="F4" i="4"/>
  <c r="F5" i="4" s="1"/>
  <c r="G3" i="4"/>
  <c r="P27" i="7" l="1"/>
  <c r="E27" i="7"/>
  <c r="G8" i="4"/>
  <c r="I11" i="7"/>
  <c r="G4" i="4"/>
  <c r="G5" i="4" s="1"/>
  <c r="G6" i="4"/>
  <c r="G7" i="4" s="1"/>
  <c r="H3" i="4"/>
  <c r="P28" i="7" l="1"/>
  <c r="P29" i="7" s="1"/>
  <c r="I15" i="7" s="1"/>
  <c r="I25" i="7" s="1"/>
  <c r="H8" i="4"/>
  <c r="H4" i="4"/>
  <c r="H5" i="4" s="1"/>
  <c r="H6" i="4"/>
  <c r="H7" i="4" s="1"/>
  <c r="H9" i="4"/>
  <c r="J9" i="4" s="1"/>
  <c r="J4" i="4" l="1"/>
  <c r="K4" i="4" s="1"/>
  <c r="J6" i="4"/>
  <c r="K6" i="4" l="1"/>
  <c r="G10" i="4" l="1"/>
  <c r="E10" i="4"/>
  <c r="H10" i="4"/>
  <c r="D10" i="4" l="1"/>
  <c r="F10" i="4" l="1"/>
  <c r="J8" i="4"/>
  <c r="K14" i="4" s="1"/>
  <c r="C15" i="4" l="1"/>
  <c r="T11" i="4"/>
  <c r="K16" i="4" s="1"/>
  <c r="K18" i="4"/>
  <c r="E20" i="4"/>
  <c r="H20" i="4" s="1"/>
  <c r="O6" i="4"/>
  <c r="E19" i="4"/>
  <c r="H19" i="4"/>
  <c r="K8" i="4"/>
  <c r="K19" i="4" l="1"/>
  <c r="J13" i="4" l="1" a="1"/>
  <c r="J13" i="4" s="1"/>
  <c r="C13" i="4" a="1"/>
  <c r="C13" i="4" s="1"/>
  <c r="C12" i="4"/>
  <c r="J11" i="4"/>
  <c r="M25" i="4" l="1"/>
  <c r="M27" i="4" s="1"/>
  <c r="K11" i="4"/>
  <c r="P9" i="4"/>
  <c r="P10" i="4" s="1"/>
  <c r="P11" i="4" s="1"/>
  <c r="K13" i="4" s="1"/>
  <c r="C21" i="4" l="1"/>
  <c r="J21" i="4" s="1"/>
  <c r="M21"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B532EB-B8B1-4F2E-90BB-CA3D4427363C}" keepAlive="1" name="Query - PP PRD" description="Connection to the 'PP PRD' query in the workbook." type="5" refreshedVersion="7" background="1" saveData="1">
    <dbPr connection="Provider=Microsoft.Mashup.OleDb.1;Data Source=$Workbook$;Location=&quot;PP PRD&quot;;Extended Properties=&quot;&quot;" command="SELECT * FROM [PP PRD]"/>
  </connection>
  <connection id="2" xr16:uid="{10DDA9EA-3612-4214-9D45-1F7AA8C3A144}" keepAlive="1" name="Query - PP PRD (2)" description="Connection to the 'PP PRD (2)' query in the workbook." type="5" refreshedVersion="7" background="1" saveData="1">
    <dbPr connection="Provider=Microsoft.Mashup.OleDb.1;Data Source=$Workbook$;Location=&quot;PP PRD (2)&quot;;Extended Properties=&quot;&quot;" command="SELECT * FROM [PP PRD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<sst xmlns="http://schemas.openxmlformats.org/spreadsheetml/2006/main" count="30963" uniqueCount="2794">
  <si>
    <t>DAILY OPERATION REVIEW FLEXO PRINTING</t>
  </si>
  <si>
    <t>DATE</t>
  </si>
  <si>
    <t>MACHINES</t>
  </si>
  <si>
    <t>TOTAL MIN</t>
  </si>
  <si>
    <t>P.S   HOURS</t>
  </si>
  <si>
    <t>الیکٹریکل</t>
  </si>
  <si>
    <t>مکینیکل</t>
  </si>
  <si>
    <t>U.P.S HOURS</t>
  </si>
  <si>
    <t>T.S HOURS</t>
  </si>
  <si>
    <t>RUNNING</t>
  </si>
  <si>
    <t>TOTAL HOURS</t>
  </si>
  <si>
    <t>KWH/KG</t>
  </si>
  <si>
    <t>LABOR/KG</t>
  </si>
  <si>
    <t>TOTAL PRODUCTION</t>
  </si>
  <si>
    <t>TARGET</t>
  </si>
  <si>
    <t>RECIPE</t>
  </si>
  <si>
    <t>REMARKS</t>
  </si>
  <si>
    <t>ACTION</t>
  </si>
  <si>
    <t>ACTION PLAN</t>
  </si>
  <si>
    <t>WASTAGE/KGs</t>
  </si>
  <si>
    <t>KPI</t>
  </si>
  <si>
    <t>%</t>
  </si>
  <si>
    <t>PLANED STOPPAGE HOURS</t>
  </si>
  <si>
    <t>UNPLANED STOPPAGE HOURS</t>
  </si>
  <si>
    <t>TOTAL PRODUCTION KGs</t>
  </si>
  <si>
    <t>TARGET PRODUCTION</t>
  </si>
  <si>
    <t>WASTAGE/KGS</t>
  </si>
  <si>
    <t>WASTAGE/VALUE</t>
  </si>
  <si>
    <t>TOTAL KWH</t>
  </si>
  <si>
    <t>VARIABLE</t>
  </si>
  <si>
    <t>FIXED</t>
  </si>
  <si>
    <t>FOREMANS</t>
  </si>
  <si>
    <t>STAFF</t>
  </si>
  <si>
    <t>WEEK NO.</t>
  </si>
  <si>
    <t xml:space="preserve"> </t>
  </si>
  <si>
    <t>ھیٹنگ</t>
  </si>
  <si>
    <t xml:space="preserve">سائز کم </t>
  </si>
  <si>
    <t>مال میں مسئلہ</t>
  </si>
  <si>
    <t>STORE EXPENSE</t>
  </si>
  <si>
    <t>SHIFT</t>
  </si>
  <si>
    <t xml:space="preserve"> سیمپل چیک</t>
  </si>
  <si>
    <t xml:space="preserve">ڈایی صاف </t>
  </si>
  <si>
    <t xml:space="preserve"> جالی تبدیل</t>
  </si>
  <si>
    <t xml:space="preserve"> سائز تبدیل</t>
  </si>
  <si>
    <t>کوالٹی CHANGE</t>
  </si>
  <si>
    <t>A</t>
  </si>
  <si>
    <t>B</t>
  </si>
  <si>
    <t>WEEKLY OPERATION REVIEW PP DEPARTMENT</t>
  </si>
  <si>
    <t>PRODUCTION ACHIVEMENT % (95 %)</t>
  </si>
  <si>
    <t>KWH VALUE @ 44</t>
  </si>
  <si>
    <t>WASTE RATE</t>
  </si>
  <si>
    <t>WASTE LOSS</t>
  </si>
  <si>
    <t>MONTHLY OPERATION REVIEW PP DEPARTMENT</t>
  </si>
  <si>
    <t>REPAIR</t>
  </si>
  <si>
    <t>TOTAL KWH (26/KG)</t>
  </si>
  <si>
    <t>MC OFF</t>
  </si>
  <si>
    <t>MCH#</t>
  </si>
  <si>
    <t>SO#</t>
  </si>
  <si>
    <t>JOB NAME</t>
  </si>
  <si>
    <t>MATERIAL</t>
  </si>
  <si>
    <t>SIZE</t>
  </si>
  <si>
    <t>GUAGE</t>
  </si>
  <si>
    <t>QUALITY</t>
  </si>
  <si>
    <t>ORDER WEIGHT</t>
  </si>
  <si>
    <t>SECTION</t>
  </si>
  <si>
    <t>NO OF ROLLS</t>
  </si>
  <si>
    <t>G. WEIGHT</t>
  </si>
  <si>
    <t>CORE WEIGHT</t>
  </si>
  <si>
    <t>PRD WATSE</t>
  </si>
  <si>
    <t>SAMPLE WASTE</t>
  </si>
  <si>
    <t>NET WEIGHT</t>
  </si>
  <si>
    <t>FOREMAN</t>
  </si>
  <si>
    <t>MACHINE ON</t>
  </si>
  <si>
    <t>OTHER</t>
  </si>
  <si>
    <t>TREET</t>
  </si>
  <si>
    <t>TOTAL MIN_1</t>
  </si>
  <si>
    <t>REMARKS_2</t>
  </si>
  <si>
    <t>4 P</t>
  </si>
  <si>
    <t>سادہ لفافہ</t>
  </si>
  <si>
    <t>PP</t>
  </si>
  <si>
    <t>رول</t>
  </si>
  <si>
    <t>-</t>
  </si>
  <si>
    <t>2 P</t>
  </si>
  <si>
    <t>10 P</t>
  </si>
  <si>
    <t>لفافہ</t>
  </si>
  <si>
    <t>15 P</t>
  </si>
  <si>
    <t>وارننگ LEVIES</t>
  </si>
  <si>
    <t>6.5-7</t>
  </si>
  <si>
    <t>13 P</t>
  </si>
  <si>
    <t>19 P</t>
  </si>
  <si>
    <t>12 P</t>
  </si>
  <si>
    <t>6 P</t>
  </si>
  <si>
    <t>5.5-6</t>
  </si>
  <si>
    <t>7.5-8</t>
  </si>
  <si>
    <t>11 P</t>
  </si>
  <si>
    <t>17 P</t>
  </si>
  <si>
    <t>27 P</t>
  </si>
  <si>
    <t>24 P</t>
  </si>
  <si>
    <t>6-6.5</t>
  </si>
  <si>
    <t>.1:1</t>
  </si>
  <si>
    <t>3 P</t>
  </si>
  <si>
    <t>21 P</t>
  </si>
  <si>
    <t>7</t>
  </si>
  <si>
    <t>پیور</t>
  </si>
  <si>
    <t>25 P</t>
  </si>
  <si>
    <t>14-15</t>
  </si>
  <si>
    <t>ABA پیور</t>
  </si>
  <si>
    <t>8 P</t>
  </si>
  <si>
    <t>1 P</t>
  </si>
  <si>
    <t>26 P</t>
  </si>
  <si>
    <t>5 P</t>
  </si>
  <si>
    <t>6491/14</t>
  </si>
  <si>
    <t>9 P</t>
  </si>
  <si>
    <t>5-5.5</t>
  </si>
  <si>
    <t>1:1</t>
  </si>
  <si>
    <t>23 P</t>
  </si>
  <si>
    <t>11.5-12</t>
  </si>
  <si>
    <t>7-7.5</t>
  </si>
  <si>
    <t>4 p</t>
  </si>
  <si>
    <t>6607/3</t>
  </si>
  <si>
    <t xml:space="preserve">سٹاک برائے جیلانی پولی </t>
  </si>
  <si>
    <t>28" شیٹ</t>
  </si>
  <si>
    <t>4-4.5/8-9</t>
  </si>
  <si>
    <t>8</t>
  </si>
  <si>
    <t>8-8.5</t>
  </si>
  <si>
    <t>22" شیٹ</t>
  </si>
  <si>
    <t>بندوخاں پلین شیر مال</t>
  </si>
  <si>
    <t>4.5-5</t>
  </si>
  <si>
    <t>ہائی کلاس رسک</t>
  </si>
  <si>
    <t>28 شیٹ</t>
  </si>
  <si>
    <t>6678/11</t>
  </si>
  <si>
    <t>14 P</t>
  </si>
  <si>
    <t>16 P</t>
  </si>
  <si>
    <t>سادہ رول جیلانی پولی سٹاک</t>
  </si>
  <si>
    <t>7-7.5/14-15</t>
  </si>
  <si>
    <t>4-4.5</t>
  </si>
  <si>
    <t>رائل رسک</t>
  </si>
  <si>
    <t>18 P</t>
  </si>
  <si>
    <t>20 P</t>
  </si>
  <si>
    <t>7 P</t>
  </si>
  <si>
    <t>12</t>
  </si>
  <si>
    <t>18" شیٹ</t>
  </si>
  <si>
    <t>(1X1)بندوخاں برگر بن</t>
  </si>
  <si>
    <t>1831 J</t>
  </si>
  <si>
    <t>11-11.5</t>
  </si>
  <si>
    <t>6847/2</t>
  </si>
  <si>
    <t>6868/1</t>
  </si>
  <si>
    <t>6872/1</t>
  </si>
  <si>
    <t>سادہ لفافہ سپر یونیفارم</t>
  </si>
  <si>
    <t>1539 F</t>
  </si>
  <si>
    <t>6916/1</t>
  </si>
  <si>
    <t>TRICORP وارننگ</t>
  </si>
  <si>
    <t>6941/6</t>
  </si>
  <si>
    <t>6940/2</t>
  </si>
  <si>
    <t>6941/4</t>
  </si>
  <si>
    <t>2599 J</t>
  </si>
  <si>
    <t>6938/1</t>
  </si>
  <si>
    <t>6941/3</t>
  </si>
  <si>
    <t>2625 J</t>
  </si>
  <si>
    <t>2671 J</t>
  </si>
  <si>
    <t>2668 J</t>
  </si>
  <si>
    <t>6916/4</t>
  </si>
  <si>
    <t>6916/3</t>
  </si>
  <si>
    <t>2626 J</t>
  </si>
  <si>
    <t>1667 F</t>
  </si>
  <si>
    <t>6953/1</t>
  </si>
  <si>
    <t>2635 J</t>
  </si>
  <si>
    <t>2627 J</t>
  </si>
  <si>
    <t>2634 J</t>
  </si>
  <si>
    <t>1660 F</t>
  </si>
  <si>
    <t>2624 J</t>
  </si>
  <si>
    <t>2665 J</t>
  </si>
  <si>
    <t>جیلانی لیبل</t>
  </si>
  <si>
    <t>6941/7</t>
  </si>
  <si>
    <t>6961/1</t>
  </si>
  <si>
    <t>6960/8</t>
  </si>
  <si>
    <t>6960/2</t>
  </si>
  <si>
    <t>6961/2</t>
  </si>
  <si>
    <t>2784 J</t>
  </si>
  <si>
    <t>مومو فوڈز RS 30</t>
  </si>
  <si>
    <t>2252 J</t>
  </si>
  <si>
    <t>6960/6</t>
  </si>
  <si>
    <t>6964/4</t>
  </si>
  <si>
    <t>2776 J</t>
  </si>
  <si>
    <t>عصمت سوپ</t>
  </si>
  <si>
    <t>1706 F</t>
  </si>
  <si>
    <t>2901 J</t>
  </si>
  <si>
    <t>(1:1)</t>
  </si>
  <si>
    <t>1723 F</t>
  </si>
  <si>
    <t>2900 J</t>
  </si>
  <si>
    <t>7007/1</t>
  </si>
  <si>
    <t>2925 J</t>
  </si>
  <si>
    <t>7007/2</t>
  </si>
  <si>
    <t>1707 F</t>
  </si>
  <si>
    <t>جیلانی پولی سٹاک</t>
  </si>
  <si>
    <t>3003 J</t>
  </si>
  <si>
    <t>بندوخاں لاہور</t>
  </si>
  <si>
    <t>3006 J</t>
  </si>
  <si>
    <t>3005 J</t>
  </si>
  <si>
    <t>7022/2</t>
  </si>
  <si>
    <t>العمر پلاسٹک گوجرانوالہ</t>
  </si>
  <si>
    <t>7022/1</t>
  </si>
  <si>
    <t>7020/5</t>
  </si>
  <si>
    <t>آصف پلاسٹک سرگودھا</t>
  </si>
  <si>
    <t>7020/1</t>
  </si>
  <si>
    <t>عثمان امین</t>
  </si>
  <si>
    <t>7009/2</t>
  </si>
  <si>
    <t>راجکپور کریانہ سٹور گھونکی</t>
  </si>
  <si>
    <t>6973/2</t>
  </si>
  <si>
    <t>7020/4</t>
  </si>
  <si>
    <t>1781 F</t>
  </si>
  <si>
    <t>1782 F</t>
  </si>
  <si>
    <t>حزیفہ پلاسٹک اعظم مارکیٹ</t>
  </si>
  <si>
    <t>7020/7</t>
  </si>
  <si>
    <t>7020/6</t>
  </si>
  <si>
    <t>7032/1</t>
  </si>
  <si>
    <t>7037/2</t>
  </si>
  <si>
    <t>شیخ بشیر سیا لکوٹ</t>
  </si>
  <si>
    <t>7035/1</t>
  </si>
  <si>
    <t>بوٹا پلاسٹک اعظم مارکیٹ</t>
  </si>
  <si>
    <t>7020/2</t>
  </si>
  <si>
    <t>7020/3</t>
  </si>
  <si>
    <t>7016/1</t>
  </si>
  <si>
    <t>شیخ الوار لیہ</t>
  </si>
  <si>
    <t>7037/1</t>
  </si>
  <si>
    <t>1783 F</t>
  </si>
  <si>
    <t>7032/2</t>
  </si>
  <si>
    <t>7031/2</t>
  </si>
  <si>
    <t>7039/1</t>
  </si>
  <si>
    <t>ایم دین پنڈی</t>
  </si>
  <si>
    <t>7045/1</t>
  </si>
  <si>
    <t>ایم   عمران    پاکستان مارکیٹ</t>
  </si>
  <si>
    <t>7046/2</t>
  </si>
  <si>
    <t>7034/1</t>
  </si>
  <si>
    <t>اعظم ٹوائے شاہ عالم</t>
  </si>
  <si>
    <t>7046/1</t>
  </si>
  <si>
    <t>7031/3</t>
  </si>
  <si>
    <t>7041/1</t>
  </si>
  <si>
    <t>محبوب مقبول گوجرانوالہ</t>
  </si>
  <si>
    <t>7045/2</t>
  </si>
  <si>
    <t>7040/7</t>
  </si>
  <si>
    <t>ہیڈ  آفس لاہور</t>
  </si>
  <si>
    <t>1828 F</t>
  </si>
  <si>
    <t>Usman Amin</t>
  </si>
  <si>
    <t>7049/15</t>
  </si>
  <si>
    <t>7049/13</t>
  </si>
  <si>
    <t>3137 J</t>
  </si>
  <si>
    <t>Paracon Engineering Pvt LTD</t>
  </si>
  <si>
    <t>3138 J</t>
  </si>
  <si>
    <t>7049/8</t>
  </si>
  <si>
    <t>7029/1</t>
  </si>
  <si>
    <t>7049/3</t>
  </si>
  <si>
    <t>3128 J</t>
  </si>
  <si>
    <t>Raza Graments Lahore</t>
  </si>
  <si>
    <t>7044/1</t>
  </si>
  <si>
    <t>عمران مشتاق پتوکی</t>
  </si>
  <si>
    <t>7045/3</t>
  </si>
  <si>
    <t>7049/9</t>
  </si>
  <si>
    <t>7055/3</t>
  </si>
  <si>
    <t>عثمان امین لاہور</t>
  </si>
  <si>
    <t>7055/1</t>
  </si>
  <si>
    <t>7047/1</t>
  </si>
  <si>
    <t xml:space="preserve">ایم بلال اعظم مارکیٹ </t>
  </si>
  <si>
    <t>7049/1</t>
  </si>
  <si>
    <t>7049/2</t>
  </si>
  <si>
    <t>7049/11</t>
  </si>
  <si>
    <t>7049/4</t>
  </si>
  <si>
    <t>7049/6</t>
  </si>
  <si>
    <t>7055/2</t>
  </si>
  <si>
    <t>3216 J</t>
  </si>
  <si>
    <t xml:space="preserve">Laam Lungi By M Shawl Lahore </t>
  </si>
  <si>
    <t>3080 J</t>
  </si>
  <si>
    <t>Alam Bakers Shahdrah</t>
  </si>
  <si>
    <t>7067/1</t>
  </si>
  <si>
    <t>عرفان احمد اعظم مارکیٹ</t>
  </si>
  <si>
    <t>3242 J</t>
  </si>
  <si>
    <t>Jilani Poly Stock</t>
  </si>
  <si>
    <t>3217 J</t>
  </si>
  <si>
    <t>7058/2</t>
  </si>
  <si>
    <t>5/5.5</t>
  </si>
  <si>
    <t>7057/1</t>
  </si>
  <si>
    <t>7067/2</t>
  </si>
  <si>
    <t>ایم عمران پاکستان مارکیٹ</t>
  </si>
  <si>
    <t>3252 J</t>
  </si>
  <si>
    <t>Punjab Rusk Lahore</t>
  </si>
  <si>
    <t>3253 J</t>
  </si>
  <si>
    <t>3238 J</t>
  </si>
  <si>
    <t>7063/1</t>
  </si>
  <si>
    <t>7084/1</t>
  </si>
  <si>
    <t>3241 J</t>
  </si>
  <si>
    <t>7089/2</t>
  </si>
  <si>
    <t>ندیم پلاسٹک پھلوال</t>
  </si>
  <si>
    <t>7083/2</t>
  </si>
  <si>
    <t>عظیم ٹوائز شاہ عالم</t>
  </si>
  <si>
    <t>3237 J</t>
  </si>
  <si>
    <t>7083/1</t>
  </si>
  <si>
    <t>7089/1</t>
  </si>
  <si>
    <t>7079/1</t>
  </si>
  <si>
    <t>قیصرپلاسٹک وزیر آباد</t>
  </si>
  <si>
    <t>7076/2</t>
  </si>
  <si>
    <t>عزیز ٹریڈرز ہاؤس لاہور</t>
  </si>
  <si>
    <t>7061/1</t>
  </si>
  <si>
    <t>فیصل پلاسٹک فیصل آباد</t>
  </si>
  <si>
    <t>7097/3</t>
  </si>
  <si>
    <t>امارت پلاسٹک چوہنگ</t>
  </si>
  <si>
    <t>3315 J</t>
  </si>
  <si>
    <t>Naseer Sab Chiniot</t>
  </si>
  <si>
    <t>3311 J</t>
  </si>
  <si>
    <t>Khan Chapli Kbab and Fish Corner</t>
  </si>
  <si>
    <t>3239 J</t>
  </si>
  <si>
    <t>3314 J</t>
  </si>
  <si>
    <t>7068/1</t>
  </si>
  <si>
    <t>7097/2</t>
  </si>
  <si>
    <t>3327 J</t>
  </si>
  <si>
    <t>Hafize Printing Agency Lahore</t>
  </si>
  <si>
    <t>7098/1</t>
  </si>
  <si>
    <t>3329 J</t>
  </si>
  <si>
    <t>زمیندار فوڈ کمپنی بنوں</t>
  </si>
  <si>
    <t>1831 F</t>
  </si>
  <si>
    <t>7077/3</t>
  </si>
  <si>
    <t>7076/1</t>
  </si>
  <si>
    <t>7095/2</t>
  </si>
  <si>
    <t>خواجہ فرقان  ٹمبر مارکیٹ</t>
  </si>
  <si>
    <t>3_6</t>
  </si>
  <si>
    <t>7096/2</t>
  </si>
  <si>
    <t>3350 J</t>
  </si>
  <si>
    <t>Alam Bakers Sheikupura</t>
  </si>
  <si>
    <t>3240 J</t>
  </si>
  <si>
    <t>7112/1</t>
  </si>
  <si>
    <t>PACKING</t>
  </si>
  <si>
    <t>7112/4</t>
  </si>
  <si>
    <t>3362 J</t>
  </si>
  <si>
    <t>Ahmed Sweets and Bakers Chishtian</t>
  </si>
  <si>
    <t>7112/5</t>
  </si>
  <si>
    <t>1892 F</t>
  </si>
  <si>
    <t>7105/1</t>
  </si>
  <si>
    <t>علی  اینڈ طاہر جھنگ</t>
  </si>
  <si>
    <t>3349 J</t>
  </si>
  <si>
    <t>7101/12</t>
  </si>
  <si>
    <t>7110/1</t>
  </si>
  <si>
    <t>عاصم مدنی انارکلی</t>
  </si>
  <si>
    <t>7112/2</t>
  </si>
  <si>
    <t>7101/11</t>
  </si>
  <si>
    <t>7108/1</t>
  </si>
  <si>
    <t>ایم   دین پنڈی</t>
  </si>
  <si>
    <t>80 P</t>
  </si>
  <si>
    <t>7105/2</t>
  </si>
  <si>
    <t>7101/14</t>
  </si>
  <si>
    <t>7101/15</t>
  </si>
  <si>
    <t>3439 J</t>
  </si>
  <si>
    <t>3440 J</t>
  </si>
  <si>
    <t>3458 J</t>
  </si>
  <si>
    <t>Mubashar Iqbal Pakistan Cloth LHR</t>
  </si>
  <si>
    <t>8.5-9</t>
  </si>
  <si>
    <t>3413 J</t>
  </si>
  <si>
    <t>Caker and Baker Lahore</t>
  </si>
  <si>
    <t>7122/1</t>
  </si>
  <si>
    <t>ایم سلیمان پاکستان مارکیٹ</t>
  </si>
  <si>
    <t>7123/1</t>
  </si>
  <si>
    <t>3442 J</t>
  </si>
  <si>
    <t>7109/4</t>
  </si>
  <si>
    <t>3452 J</t>
  </si>
  <si>
    <t>Cake and Baker Lahore</t>
  </si>
  <si>
    <t>7124/1</t>
  </si>
  <si>
    <t>عبدالرشید اسلام ٓاباد</t>
  </si>
  <si>
    <t>7108/2</t>
  </si>
  <si>
    <t>3438 J</t>
  </si>
  <si>
    <t>3441 J</t>
  </si>
  <si>
    <t>7109/3</t>
  </si>
  <si>
    <t>3312 J</t>
  </si>
  <si>
    <t>M.K.B Peshawar</t>
  </si>
  <si>
    <t>3490 J</t>
  </si>
  <si>
    <t>امارات پلاسٹک ٹھوکر نیاز بیگ</t>
  </si>
  <si>
    <t>3445 J</t>
  </si>
  <si>
    <t>3487 J</t>
  </si>
  <si>
    <t>7125/2</t>
  </si>
  <si>
    <t>نزیرپلاسٹک ملتان</t>
  </si>
  <si>
    <t>3437 J</t>
  </si>
  <si>
    <t>Anayat Khan Dry Fruits Karishan Nagar Lahore</t>
  </si>
  <si>
    <t>8+2.5+2.5</t>
  </si>
  <si>
    <t>جیلانی</t>
  </si>
  <si>
    <t>7139/4</t>
  </si>
  <si>
    <t>1960 F</t>
  </si>
  <si>
    <t>7143/1</t>
  </si>
  <si>
    <t>3525 J</t>
  </si>
  <si>
    <t>Ibtsam Traders Sheikhupura</t>
  </si>
  <si>
    <t>1956 F</t>
  </si>
  <si>
    <t>7149/6</t>
  </si>
  <si>
    <t>3599</t>
  </si>
  <si>
    <t>1961 F</t>
  </si>
  <si>
    <t>7137/1</t>
  </si>
  <si>
    <t>7149/8</t>
  </si>
  <si>
    <t>12/10</t>
  </si>
  <si>
    <t>3543 J</t>
  </si>
  <si>
    <t>Bandu Khan Lahore</t>
  </si>
  <si>
    <t>7150/1</t>
  </si>
  <si>
    <t>ریفلیکٹ پیک لاہور</t>
  </si>
  <si>
    <t>7149/3</t>
  </si>
  <si>
    <t>7149/4</t>
  </si>
  <si>
    <t>3566 J</t>
  </si>
  <si>
    <t>Usman Arif Butt Gujranwala</t>
  </si>
  <si>
    <t>آصف پلاسٹک سرگودھا</t>
  </si>
  <si>
    <t>7146/1</t>
  </si>
  <si>
    <t>7138/7</t>
  </si>
  <si>
    <t>10 p</t>
  </si>
  <si>
    <t>9 p</t>
  </si>
  <si>
    <t>7149/5</t>
  </si>
  <si>
    <t>7149/7</t>
  </si>
  <si>
    <t>7149/1</t>
  </si>
  <si>
    <t>7163/1</t>
  </si>
  <si>
    <t>3583 J</t>
  </si>
  <si>
    <t>Special Papari Nimko Kamoki</t>
  </si>
  <si>
    <t>7149/2</t>
  </si>
  <si>
    <t>7178/1</t>
  </si>
  <si>
    <t>عامر شہزاد ساہیوال</t>
  </si>
  <si>
    <t>7171/1</t>
  </si>
  <si>
    <t>شاہد رمضان اوکاڑہ</t>
  </si>
  <si>
    <t>7173/8</t>
  </si>
  <si>
    <t>الحبیب پلاسٹک اوکاڑہ</t>
  </si>
  <si>
    <t>7185/1</t>
  </si>
  <si>
    <t>خذیفہ پلاسٹک اعظم مارکیٹ</t>
  </si>
  <si>
    <t>7159/1</t>
  </si>
  <si>
    <t>ایم بلال اغظم مارکیٹ</t>
  </si>
  <si>
    <t>10/6</t>
  </si>
  <si>
    <t>2P/1</t>
  </si>
  <si>
    <t>7173/1</t>
  </si>
  <si>
    <t>7158/1</t>
  </si>
  <si>
    <t>یونیورسل اعظم مارکیٹ</t>
  </si>
  <si>
    <t>7174/10</t>
  </si>
  <si>
    <t>786 لفافہ بورے والا</t>
  </si>
  <si>
    <t>7160/2</t>
  </si>
  <si>
    <t>7182/1</t>
  </si>
  <si>
    <t>7171/7</t>
  </si>
  <si>
    <t>7171/15</t>
  </si>
  <si>
    <t>7123/3</t>
  </si>
  <si>
    <t>7194/1</t>
  </si>
  <si>
    <t>7194/10</t>
  </si>
  <si>
    <t>3724 J</t>
  </si>
  <si>
    <t>Ali Sweets And Bakers Raheem Yar Khan</t>
  </si>
  <si>
    <t>7194/2</t>
  </si>
  <si>
    <t>7171/8</t>
  </si>
  <si>
    <t>7202/4</t>
  </si>
  <si>
    <t>ہیڈ افس سٹاک لاہور</t>
  </si>
  <si>
    <t>7203/12</t>
  </si>
  <si>
    <t>فضل سعید صادق اباد</t>
  </si>
  <si>
    <t>7203/3</t>
  </si>
  <si>
    <t>7203/1</t>
  </si>
  <si>
    <t>7197/3</t>
  </si>
  <si>
    <t>نادر پلاسٹک سرگودھا</t>
  </si>
  <si>
    <t>7203/8</t>
  </si>
  <si>
    <t>3725 J</t>
  </si>
  <si>
    <t>7170/1</t>
  </si>
  <si>
    <t>بلال ازعظم مال کینٹ</t>
  </si>
  <si>
    <t>7200/1</t>
  </si>
  <si>
    <t>7173/2</t>
  </si>
  <si>
    <t>7174/9</t>
  </si>
  <si>
    <t>7194/8</t>
  </si>
  <si>
    <t>7174/6</t>
  </si>
  <si>
    <t>7160/1</t>
  </si>
  <si>
    <t>7194/4</t>
  </si>
  <si>
    <t>7202/12</t>
  </si>
  <si>
    <t>7196/2</t>
  </si>
  <si>
    <t>عظیم ٹوائز لاہور</t>
  </si>
  <si>
    <t>7161/6</t>
  </si>
  <si>
    <t>ملک اعجاز چنوٹ</t>
  </si>
  <si>
    <t>7169/1</t>
  </si>
  <si>
    <t>7183/1</t>
  </si>
  <si>
    <t>11P/1</t>
  </si>
  <si>
    <t>0</t>
  </si>
  <si>
    <t>3614 J</t>
  </si>
  <si>
    <t>Jilani plastic</t>
  </si>
  <si>
    <t>7173/6</t>
  </si>
  <si>
    <t>3778 J</t>
  </si>
  <si>
    <t>12P/1</t>
  </si>
  <si>
    <t>19P/1</t>
  </si>
  <si>
    <t>7194/5</t>
  </si>
  <si>
    <t>7195/2</t>
  </si>
  <si>
    <t>اصف پلاسٹک سرگودھا</t>
  </si>
  <si>
    <t>7194/3</t>
  </si>
  <si>
    <t>3718 J</t>
  </si>
  <si>
    <t>7192/1</t>
  </si>
  <si>
    <t>7204/1</t>
  </si>
  <si>
    <t>اسلم پلاسٹک ملتان</t>
  </si>
  <si>
    <t>7209/1</t>
  </si>
  <si>
    <t>MTM شاہ عالم</t>
  </si>
  <si>
    <t>10/1</t>
  </si>
  <si>
    <t>سٹاک</t>
  </si>
  <si>
    <t>12/1</t>
  </si>
  <si>
    <t>5/1</t>
  </si>
  <si>
    <t>7191/3</t>
  </si>
  <si>
    <t>3916 J</t>
  </si>
  <si>
    <t>Cakes and Bakes Lahore</t>
  </si>
  <si>
    <t>3886 J</t>
  </si>
  <si>
    <t>Bundu Khan Lahore</t>
  </si>
  <si>
    <t>7191/5</t>
  </si>
  <si>
    <t>3885 J</t>
  </si>
  <si>
    <t>7204/3</t>
  </si>
  <si>
    <t>7/1</t>
  </si>
  <si>
    <t>7171/10</t>
  </si>
  <si>
    <t>3884 J</t>
  </si>
  <si>
    <t>3777 J</t>
  </si>
  <si>
    <t>3883 J</t>
  </si>
  <si>
    <t>11/1</t>
  </si>
  <si>
    <t>6P/1</t>
  </si>
  <si>
    <t>8/1</t>
  </si>
  <si>
    <t>3967 J</t>
  </si>
  <si>
    <t>7168/1</t>
  </si>
  <si>
    <t>3941 J</t>
  </si>
  <si>
    <t>3915 J</t>
  </si>
  <si>
    <t>7161/1</t>
  </si>
  <si>
    <t>7191/2</t>
  </si>
  <si>
    <t>3917 J</t>
  </si>
  <si>
    <t>7191/1</t>
  </si>
  <si>
    <t>7171/4</t>
  </si>
  <si>
    <t>9/1</t>
  </si>
  <si>
    <t>3958 J</t>
  </si>
  <si>
    <t>Atlas Honda LTD (SKP)</t>
  </si>
  <si>
    <t>16.75" شیٹ</t>
  </si>
  <si>
    <t>7191/4</t>
  </si>
  <si>
    <t>7212/1</t>
  </si>
  <si>
    <t>7228/2</t>
  </si>
  <si>
    <t>بلال سویاں سرگودھا</t>
  </si>
  <si>
    <t>7222/6</t>
  </si>
  <si>
    <t>2055 F</t>
  </si>
  <si>
    <t>24</t>
  </si>
  <si>
    <t>PEVA</t>
  </si>
  <si>
    <t>7251/1</t>
  </si>
  <si>
    <t>3968 J</t>
  </si>
  <si>
    <t>7194/6</t>
  </si>
  <si>
    <t>7194/7</t>
  </si>
  <si>
    <t>3719 J</t>
  </si>
  <si>
    <t>7202/11</t>
  </si>
  <si>
    <t>2101 F</t>
  </si>
  <si>
    <t>16P/1</t>
  </si>
  <si>
    <t>5</t>
  </si>
  <si>
    <t>7252/1</t>
  </si>
  <si>
    <t>7218/1</t>
  </si>
  <si>
    <t>اسد پلاسٹک ملتان</t>
  </si>
  <si>
    <t>7199/1</t>
  </si>
  <si>
    <t>2102 F</t>
  </si>
  <si>
    <t>3966 J</t>
  </si>
  <si>
    <t>14/1</t>
  </si>
  <si>
    <t>7222/1</t>
  </si>
  <si>
    <t>8/2</t>
  </si>
  <si>
    <t>7222/3</t>
  </si>
  <si>
    <t>16/2</t>
  </si>
  <si>
    <t>2098 f</t>
  </si>
  <si>
    <t>7254/1</t>
  </si>
  <si>
    <t>12/2</t>
  </si>
  <si>
    <t>7/2</t>
  </si>
  <si>
    <t>7254/2</t>
  </si>
  <si>
    <t>7251/2</t>
  </si>
  <si>
    <t>7244/2</t>
  </si>
  <si>
    <t>لیاقت -لنڈا بازار</t>
  </si>
  <si>
    <t>7222/2</t>
  </si>
  <si>
    <t>7244/1</t>
  </si>
  <si>
    <t>11/2</t>
  </si>
  <si>
    <t>2114 F</t>
  </si>
  <si>
    <t>7/3</t>
  </si>
  <si>
    <t>10/2</t>
  </si>
  <si>
    <t>7222/7</t>
  </si>
  <si>
    <t>7194/9</t>
  </si>
  <si>
    <t>7268/1</t>
  </si>
  <si>
    <t>ایم بلال وحدت روڈ</t>
  </si>
  <si>
    <t>10/3</t>
  </si>
  <si>
    <t>14/2</t>
  </si>
  <si>
    <t>4/2</t>
  </si>
  <si>
    <t>4032 J</t>
  </si>
  <si>
    <t>3993 J</t>
  </si>
  <si>
    <t>7246/19</t>
  </si>
  <si>
    <t>اصف سرگودھا</t>
  </si>
  <si>
    <t>3.5/1</t>
  </si>
  <si>
    <t>4128 J</t>
  </si>
  <si>
    <t>Alam Bakers HafizAbad</t>
  </si>
  <si>
    <t>7265/1</t>
  </si>
  <si>
    <t>عائشہ ٹریڈرز دادیددز</t>
  </si>
  <si>
    <t>4067 J</t>
  </si>
  <si>
    <t>M. Imran Pakistan Market Lahore</t>
  </si>
  <si>
    <t>10</t>
  </si>
  <si>
    <t>4192 J</t>
  </si>
  <si>
    <t>26/2</t>
  </si>
  <si>
    <t>9/2</t>
  </si>
  <si>
    <t>2789/1</t>
  </si>
  <si>
    <t>RMC C/O NADEEM SB</t>
  </si>
  <si>
    <t>26/1</t>
  </si>
  <si>
    <t>7271/1</t>
  </si>
  <si>
    <t>ہیڈ افس سٹاک لاہور(شہباز اعظم مارکیٹ)</t>
  </si>
  <si>
    <t>7278/1</t>
  </si>
  <si>
    <t>4193 J</t>
  </si>
  <si>
    <t>12/3</t>
  </si>
  <si>
    <t>7277/2</t>
  </si>
  <si>
    <t>7277/1</t>
  </si>
  <si>
    <t>7235/5</t>
  </si>
  <si>
    <t>رفیق پلاسٹک اوکازہ</t>
  </si>
  <si>
    <t>7269/6</t>
  </si>
  <si>
    <t>7262/7</t>
  </si>
  <si>
    <t>خرم پلاسٹک لالہ موسہ</t>
  </si>
  <si>
    <t>7269/4</t>
  </si>
  <si>
    <t>2.5/1</t>
  </si>
  <si>
    <t>5/2</t>
  </si>
  <si>
    <t>7262/6</t>
  </si>
  <si>
    <t>8/3</t>
  </si>
  <si>
    <t>10/4</t>
  </si>
  <si>
    <t>7247/1</t>
  </si>
  <si>
    <t>7262/5</t>
  </si>
  <si>
    <t>7287/4</t>
  </si>
  <si>
    <t>بلال جاوید فیصل اباد</t>
  </si>
  <si>
    <t>7/4</t>
  </si>
  <si>
    <t>7269/7</t>
  </si>
  <si>
    <t>4237 J</t>
  </si>
  <si>
    <t>Alam Bakers Shahdra</t>
  </si>
  <si>
    <t>7291/1</t>
  </si>
  <si>
    <t>11/3</t>
  </si>
  <si>
    <t>3/1</t>
  </si>
  <si>
    <t>7282/1</t>
  </si>
  <si>
    <t>شمس القمر سٹال اعظم مارکیٹ</t>
  </si>
  <si>
    <t>4292 J</t>
  </si>
  <si>
    <t>14/3</t>
  </si>
  <si>
    <t>7245/1</t>
  </si>
  <si>
    <t>7245/3</t>
  </si>
  <si>
    <t>7246/21</t>
  </si>
  <si>
    <t>7246/10</t>
  </si>
  <si>
    <t>7246/7</t>
  </si>
  <si>
    <t>7287/3</t>
  </si>
  <si>
    <t>7246/1</t>
  </si>
  <si>
    <t>7296/3</t>
  </si>
  <si>
    <t>آصف پلاسٹک سرگوھا</t>
  </si>
  <si>
    <t>7296/1</t>
  </si>
  <si>
    <t>2792/1</t>
  </si>
  <si>
    <t>REFLECT PACK</t>
  </si>
  <si>
    <t>7309/4</t>
  </si>
  <si>
    <t>7309/1</t>
  </si>
  <si>
    <t>13</t>
  </si>
  <si>
    <t>7245/2</t>
  </si>
  <si>
    <t>7245/4</t>
  </si>
  <si>
    <t>7246/13</t>
  </si>
  <si>
    <t>6/3</t>
  </si>
  <si>
    <t>6/2</t>
  </si>
  <si>
    <t>7304/1</t>
  </si>
  <si>
    <t>فہیم پلاسٹک ملتان</t>
  </si>
  <si>
    <t>7296/2</t>
  </si>
  <si>
    <t>18/1</t>
  </si>
  <si>
    <t>3714 J</t>
  </si>
  <si>
    <t>7309/3</t>
  </si>
  <si>
    <t>15</t>
  </si>
  <si>
    <t>7295/1</t>
  </si>
  <si>
    <t>7302/21</t>
  </si>
  <si>
    <t>ملک خالد سلیم فیصل آباد</t>
  </si>
  <si>
    <t>7287/2</t>
  </si>
  <si>
    <t>10/5</t>
  </si>
  <si>
    <t>7313/1</t>
  </si>
  <si>
    <t>8200.9799999999977</t>
  </si>
  <si>
    <t>IRFAN</t>
  </si>
  <si>
    <t>ZUBAIR</t>
  </si>
  <si>
    <t>7316/1</t>
  </si>
  <si>
    <t>اے ایس کلاتھ -اعظم مارکیٹ</t>
  </si>
  <si>
    <t>4300 J</t>
  </si>
  <si>
    <t>4021 J</t>
  </si>
  <si>
    <t>4409 J</t>
  </si>
  <si>
    <t>5-6</t>
  </si>
  <si>
    <t>7246/9</t>
  </si>
  <si>
    <t>7313A/1</t>
  </si>
  <si>
    <t>7327/1</t>
  </si>
  <si>
    <t>ہجویری ٹریڈرز اردو بازار</t>
  </si>
  <si>
    <t>7302/20</t>
  </si>
  <si>
    <t>05</t>
  </si>
  <si>
    <t>7297/1</t>
  </si>
  <si>
    <t>زوالقرنین Pکامونکی</t>
  </si>
  <si>
    <t>7315/2</t>
  </si>
  <si>
    <t>اکرام بلو خانپور</t>
  </si>
  <si>
    <t>4313 J</t>
  </si>
  <si>
    <t>4/3</t>
  </si>
  <si>
    <t>7246/12</t>
  </si>
  <si>
    <t>7322/1</t>
  </si>
  <si>
    <t>ہیڈ افس لاہور</t>
  </si>
  <si>
    <t>7322/2</t>
  </si>
  <si>
    <t>2.5/2</t>
  </si>
  <si>
    <t>7246/2</t>
  </si>
  <si>
    <t>8/4</t>
  </si>
  <si>
    <t>24/1</t>
  </si>
  <si>
    <t>4394 J</t>
  </si>
  <si>
    <t>4440 J</t>
  </si>
  <si>
    <t>7246/3</t>
  </si>
  <si>
    <t>7318/1</t>
  </si>
  <si>
    <t>حذیفہ پلاسٹک اعظم مارکیٹ</t>
  </si>
  <si>
    <t>7/5</t>
  </si>
  <si>
    <t>28/1</t>
  </si>
  <si>
    <t>7309/2</t>
  </si>
  <si>
    <t>11</t>
  </si>
  <si>
    <t>7314/1</t>
  </si>
  <si>
    <t>7295/2</t>
  </si>
  <si>
    <t>11/4</t>
  </si>
  <si>
    <t>HAIDER</t>
  </si>
  <si>
    <t>4196 J</t>
  </si>
  <si>
    <t>7319/1</t>
  </si>
  <si>
    <t>خواجہ فرقان ٹمبر مارکیٹ</t>
  </si>
  <si>
    <t>2.5-5</t>
  </si>
  <si>
    <t>7321/6</t>
  </si>
  <si>
    <t>7321/5</t>
  </si>
  <si>
    <t>6/4</t>
  </si>
  <si>
    <t>12/4</t>
  </si>
  <si>
    <t>4408 J</t>
  </si>
  <si>
    <t>4501 J</t>
  </si>
  <si>
    <t>4502 J</t>
  </si>
  <si>
    <t>7319/2</t>
  </si>
  <si>
    <t>4194 J</t>
  </si>
  <si>
    <t>4573 J</t>
  </si>
  <si>
    <t>14/4</t>
  </si>
  <si>
    <t>7346/1</t>
  </si>
  <si>
    <t>2193 F</t>
  </si>
  <si>
    <t>2218 F</t>
  </si>
  <si>
    <t>7346/3</t>
  </si>
  <si>
    <t>2/1</t>
  </si>
  <si>
    <t>4/4</t>
  </si>
  <si>
    <t>7/6</t>
  </si>
  <si>
    <t>2798/1</t>
  </si>
  <si>
    <t>RMC PACK</t>
  </si>
  <si>
    <t>18/4</t>
  </si>
  <si>
    <t>4567 J</t>
  </si>
  <si>
    <t>Naseer Sab Chinot</t>
  </si>
  <si>
    <t>4634 J</t>
  </si>
  <si>
    <t>Sabir Plastic Shahdara Co Nazar Qamar Plastic</t>
  </si>
  <si>
    <t>7359/3</t>
  </si>
  <si>
    <t>4484 J</t>
  </si>
  <si>
    <t>13/1</t>
  </si>
  <si>
    <t>7330/2</t>
  </si>
  <si>
    <t>2.5/3</t>
  </si>
  <si>
    <t>7359/2</t>
  </si>
  <si>
    <t>4616 J</t>
  </si>
  <si>
    <t>7360/1</t>
  </si>
  <si>
    <t>امارات پلاسٹک چونگ</t>
  </si>
  <si>
    <t>4660 J</t>
  </si>
  <si>
    <t>8/5</t>
  </si>
  <si>
    <t>24/2</t>
  </si>
  <si>
    <t>4682 J</t>
  </si>
  <si>
    <t>7359/5</t>
  </si>
  <si>
    <t>14/5</t>
  </si>
  <si>
    <t>995.77</t>
  </si>
  <si>
    <t>481.44999999999993</t>
  </si>
  <si>
    <t>4618 J</t>
  </si>
  <si>
    <t>7360/2</t>
  </si>
  <si>
    <t>209.09</t>
  </si>
  <si>
    <t>4617 J</t>
  </si>
  <si>
    <t>Sum of T.S HOURS</t>
  </si>
  <si>
    <t>Months</t>
  </si>
  <si>
    <t>Sum of NET WEIGHT</t>
  </si>
  <si>
    <t>Sum of کوالٹی CHANGE</t>
  </si>
  <si>
    <t>Sum of ھیٹنگ</t>
  </si>
  <si>
    <t>Sum of MACHINE ON</t>
  </si>
  <si>
    <t>Sum of TOTAL MIN</t>
  </si>
  <si>
    <t>Sum of P.S   HOURS</t>
  </si>
  <si>
    <t>Sum of الیکٹریکل</t>
  </si>
  <si>
    <t xml:space="preserve">Sum of ڈایی صاف </t>
  </si>
  <si>
    <t>Sum of مکینیکل</t>
  </si>
  <si>
    <t xml:space="preserve">Sum of سائز کم </t>
  </si>
  <si>
    <t>Sum of OTHER</t>
  </si>
  <si>
    <t>Sum of  جالی تبدیل</t>
  </si>
  <si>
    <t>Sum of TOTAL MIN_1</t>
  </si>
  <si>
    <t>Sum of U.P.S HOURS</t>
  </si>
  <si>
    <t>Sum of RUNNING</t>
  </si>
  <si>
    <t>Sum of WASTAGE/KGs</t>
  </si>
  <si>
    <t>Sum of TOTAL PRODUCTION</t>
  </si>
  <si>
    <t>Sum of TARGET</t>
  </si>
  <si>
    <t>Sum of RECIPE</t>
  </si>
  <si>
    <t>Count of ACTION PLAN</t>
  </si>
  <si>
    <t>Count of ACTION</t>
  </si>
  <si>
    <t>Count of REMARKS</t>
  </si>
  <si>
    <t>Count of KWH/KG</t>
  </si>
  <si>
    <t>Count of REMARKS_2</t>
  </si>
  <si>
    <t>Min of TOTAL HOURS</t>
  </si>
  <si>
    <t>Min of WEEK NO.</t>
  </si>
  <si>
    <t>MONTH OF AUG</t>
  </si>
  <si>
    <t>MONTH OF JUL</t>
  </si>
  <si>
    <t>MONTH OF JUN</t>
  </si>
  <si>
    <t>MONTH OF MAY</t>
  </si>
  <si>
    <t>MONTH OF APR</t>
  </si>
  <si>
    <t>MONTH OF MAR</t>
  </si>
  <si>
    <t>MONTH OF FEB</t>
  </si>
  <si>
    <t>MONTH OF JAN</t>
  </si>
  <si>
    <t>PLANED STOPPAGE % TARGET (2 %)</t>
  </si>
  <si>
    <t>UNPLANED STOPPAGE TARGET (3 %)</t>
  </si>
  <si>
    <t>TARGET PRODUCTION TARGET</t>
  </si>
  <si>
    <t>PRODUCTION ACHIVEMENT (95 %)</t>
  </si>
  <si>
    <t>WASTE TARGET (4 %)</t>
  </si>
  <si>
    <t>KWH (TARGET 26/KG)</t>
  </si>
  <si>
    <t>STAFF+STORES</t>
  </si>
  <si>
    <t>WELFARE</t>
  </si>
  <si>
    <t>OVERHEADS</t>
  </si>
  <si>
    <t>ADMIN</t>
  </si>
  <si>
    <t>STORE &amp; SPARES</t>
  </si>
  <si>
    <t>FREIGHT</t>
  </si>
  <si>
    <t>CORE</t>
  </si>
  <si>
    <t>RM GENERAL</t>
  </si>
  <si>
    <t>OTHERS</t>
  </si>
  <si>
    <t>CONVERSION COST</t>
  </si>
  <si>
    <t>MONTH OF OCT</t>
  </si>
  <si>
    <t>1255.9600000000003</t>
  </si>
  <si>
    <t>999.67000000000007</t>
  </si>
  <si>
    <t>1181.23</t>
  </si>
  <si>
    <t>4/5</t>
  </si>
  <si>
    <t>671.62</t>
  </si>
  <si>
    <t>7355/1</t>
  </si>
  <si>
    <t>102.23</t>
  </si>
  <si>
    <t>9/4</t>
  </si>
  <si>
    <t>977.92000000000007</t>
  </si>
  <si>
    <t>7362/1</t>
  </si>
  <si>
    <t>346.92999999999995</t>
  </si>
  <si>
    <t>7359/4</t>
  </si>
  <si>
    <t>499.34000000000003</t>
  </si>
  <si>
    <t>2801/1</t>
  </si>
  <si>
    <t>1020.61</t>
  </si>
  <si>
    <t>6/5</t>
  </si>
  <si>
    <t>1426.27</t>
  </si>
  <si>
    <t>2800/2</t>
  </si>
  <si>
    <t>ارسلان پلاسٹک عمر صاحب C/O شاہزیب صاحب</t>
  </si>
  <si>
    <t>88.48</t>
  </si>
  <si>
    <t>2800/1</t>
  </si>
  <si>
    <t>70.75</t>
  </si>
  <si>
    <t>7347/1</t>
  </si>
  <si>
    <t>بلال صاحب اعظم مارکیٹ</t>
  </si>
  <si>
    <t>54.8</t>
  </si>
  <si>
    <t>12/5</t>
  </si>
  <si>
    <t>3/2</t>
  </si>
  <si>
    <t>537.90000000000009</t>
  </si>
  <si>
    <t>7366/2</t>
  </si>
  <si>
    <t>شمائل پلاسٹک بھکر</t>
  </si>
  <si>
    <t>104.81</t>
  </si>
  <si>
    <t>7373/1</t>
  </si>
  <si>
    <t>ہیڈافس لاہور</t>
  </si>
  <si>
    <t>240.33</t>
  </si>
  <si>
    <t>7377/2</t>
  </si>
  <si>
    <t>809.8599999999999</t>
  </si>
  <si>
    <t>2/2</t>
  </si>
  <si>
    <t>488.68</t>
  </si>
  <si>
    <t>7380/1</t>
  </si>
  <si>
    <t>947.50000000000011</t>
  </si>
  <si>
    <t>7377/3</t>
  </si>
  <si>
    <t>17</t>
  </si>
  <si>
    <t>931</t>
  </si>
  <si>
    <t>4741 J</t>
  </si>
  <si>
    <t>375.24</t>
  </si>
  <si>
    <t>7376/14</t>
  </si>
  <si>
    <t>22</t>
  </si>
  <si>
    <t>52.68</t>
  </si>
  <si>
    <t>4733 J</t>
  </si>
  <si>
    <t>Chaudhry Milk Sweets and Bakers Jhangh</t>
  </si>
  <si>
    <t>98.44</t>
  </si>
  <si>
    <t>7377/6</t>
  </si>
  <si>
    <t>19</t>
  </si>
  <si>
    <t>430.33</t>
  </si>
  <si>
    <t>7373/4</t>
  </si>
  <si>
    <t>410.36</t>
  </si>
  <si>
    <t>1113.1999999999998</t>
  </si>
  <si>
    <t>7369/1</t>
  </si>
  <si>
    <t>قاری اشرف گجرات</t>
  </si>
  <si>
    <t>14</t>
  </si>
  <si>
    <t>113.4</t>
  </si>
  <si>
    <t>2270 F</t>
  </si>
  <si>
    <t>7380/2</t>
  </si>
  <si>
    <t>9</t>
  </si>
  <si>
    <t>155.14000000000001</t>
  </si>
  <si>
    <t>6/6</t>
  </si>
  <si>
    <t>WASTAGE/% (4%)</t>
  </si>
  <si>
    <t>PLANED STOPPAGE % (2 %)</t>
  </si>
  <si>
    <t>UNPLANED STOPPAGE %  (3%)</t>
  </si>
  <si>
    <t>Sum of  سیمپل چیک</t>
  </si>
  <si>
    <t>Sum of TREET</t>
  </si>
  <si>
    <t>5225.78</t>
  </si>
  <si>
    <t>1363.8100000000002</t>
  </si>
  <si>
    <t>2102.61</t>
  </si>
  <si>
    <t>1045.53</t>
  </si>
  <si>
    <t>ALL MACHINES OFF</t>
  </si>
  <si>
    <t>7361/3</t>
  </si>
  <si>
    <t>طفیل لاثانی ملتان</t>
  </si>
  <si>
    <t>108.44</t>
  </si>
  <si>
    <t>12/6</t>
  </si>
  <si>
    <t>1120.0199999999998</t>
  </si>
  <si>
    <t>7377/5</t>
  </si>
  <si>
    <t>16</t>
  </si>
  <si>
    <t>133.79999999999998</t>
  </si>
  <si>
    <t>7369/2</t>
  </si>
  <si>
    <t>79.55</t>
  </si>
  <si>
    <t>3/3</t>
  </si>
  <si>
    <t>492.43000000000006</t>
  </si>
  <si>
    <t>4/6</t>
  </si>
  <si>
    <t>6/7</t>
  </si>
  <si>
    <t>773.12</t>
  </si>
  <si>
    <t>4619 J</t>
  </si>
  <si>
    <t>1000.42</t>
  </si>
  <si>
    <t>4864 J</t>
  </si>
  <si>
    <t>1270.07</t>
  </si>
  <si>
    <t>7391/2</t>
  </si>
  <si>
    <t>محبت A لاہور</t>
  </si>
  <si>
    <t>298.64000000000004</t>
  </si>
  <si>
    <t>4734 J</t>
  </si>
  <si>
    <t>99.98</t>
  </si>
  <si>
    <t>4862 J</t>
  </si>
  <si>
    <t>1042.06</t>
  </si>
  <si>
    <t>7391/1</t>
  </si>
  <si>
    <t>300.71999999999997</t>
  </si>
  <si>
    <t>9/5</t>
  </si>
  <si>
    <t>930.27</t>
  </si>
  <si>
    <t>3/4</t>
  </si>
  <si>
    <t>4/7</t>
  </si>
  <si>
    <t>8/6</t>
  </si>
  <si>
    <t>1030.43</t>
  </si>
  <si>
    <t>4863 J</t>
  </si>
  <si>
    <t>1116.3399999999999</t>
  </si>
  <si>
    <t>12/7</t>
  </si>
  <si>
    <t>1001.7900000000001</t>
  </si>
  <si>
    <t>7396/1</t>
  </si>
  <si>
    <t>خواجہ مدثر ٹمبر مارکیٹ</t>
  </si>
  <si>
    <t>18</t>
  </si>
  <si>
    <t>445.91999999999996</t>
  </si>
  <si>
    <t>7394/1</t>
  </si>
  <si>
    <t>156.33000000000001</t>
  </si>
  <si>
    <t>7404/2</t>
  </si>
  <si>
    <t>230.81</t>
  </si>
  <si>
    <t>7398/5</t>
  </si>
  <si>
    <t>20</t>
  </si>
  <si>
    <t>205.74</t>
  </si>
  <si>
    <t>7398/4</t>
  </si>
  <si>
    <t>249.21000000000004</t>
  </si>
  <si>
    <t>7404/1</t>
  </si>
  <si>
    <t>70.709999999999994</t>
  </si>
  <si>
    <t>7398/9</t>
  </si>
  <si>
    <t>362.54</t>
  </si>
  <si>
    <t>7398/10</t>
  </si>
  <si>
    <t>69.09</t>
  </si>
  <si>
    <t>7398/3</t>
  </si>
  <si>
    <t>18/5</t>
  </si>
  <si>
    <t>7398/2</t>
  </si>
  <si>
    <t>303.83</t>
  </si>
  <si>
    <t>7398/8</t>
  </si>
  <si>
    <t>135.22</t>
  </si>
  <si>
    <t>11/5</t>
  </si>
  <si>
    <t>A+B SHIFT ALL MACHINES OFF</t>
  </si>
  <si>
    <t>238.3</t>
  </si>
  <si>
    <t>280.77</t>
  </si>
  <si>
    <t>1037.9000000000001</t>
  </si>
  <si>
    <t>2/3</t>
  </si>
  <si>
    <t>7411/7</t>
  </si>
  <si>
    <t>4</t>
  </si>
  <si>
    <t>7399/1</t>
  </si>
  <si>
    <t>6</t>
  </si>
  <si>
    <t>7411/5</t>
  </si>
  <si>
    <t>7311/5</t>
  </si>
  <si>
    <t>ایم ار یس   سرگودھا</t>
  </si>
  <si>
    <t>7415/1</t>
  </si>
  <si>
    <t>7411/3</t>
  </si>
  <si>
    <t>16/3</t>
  </si>
  <si>
    <t>7408/2</t>
  </si>
  <si>
    <t>رمضان پلاسٹک سیالکوٹ</t>
  </si>
  <si>
    <t>463.57999999999993</t>
  </si>
  <si>
    <t>169.32999999999998</t>
  </si>
  <si>
    <t>105.38999999999999</t>
  </si>
  <si>
    <t>56.37</t>
  </si>
  <si>
    <t>105.40999999999998</t>
  </si>
  <si>
    <t>51.33</t>
  </si>
  <si>
    <t>51.39</t>
  </si>
  <si>
    <t>7415/2</t>
  </si>
  <si>
    <t>7409/1</t>
  </si>
  <si>
    <t>159.93</t>
  </si>
  <si>
    <t>4960 J</t>
  </si>
  <si>
    <t>105.11999999999999</t>
  </si>
  <si>
    <t>4963 J</t>
  </si>
  <si>
    <t>96.82</t>
  </si>
  <si>
    <t>4964 J</t>
  </si>
  <si>
    <t>104.50000000000001</t>
  </si>
  <si>
    <t>4962 J</t>
  </si>
  <si>
    <t>101.50000000000001</t>
  </si>
  <si>
    <t>7422/4</t>
  </si>
  <si>
    <t>390.80999999999995</t>
  </si>
  <si>
    <t>7399/2</t>
  </si>
  <si>
    <t>48.98</t>
  </si>
  <si>
    <t>7411/8</t>
  </si>
  <si>
    <t>3.5</t>
  </si>
  <si>
    <t>108.15999999999998</t>
  </si>
  <si>
    <t>4961 J</t>
  </si>
  <si>
    <t>116.03999999999998</t>
  </si>
  <si>
    <t>7410/1</t>
  </si>
  <si>
    <t>531.52</t>
  </si>
  <si>
    <t>2358 F</t>
  </si>
  <si>
    <t>48.08</t>
  </si>
  <si>
    <t>2810/1</t>
  </si>
  <si>
    <t>C/O NADEEM SB</t>
  </si>
  <si>
    <t>pp</t>
  </si>
  <si>
    <t>24 شیٹ</t>
  </si>
  <si>
    <t>4./8</t>
  </si>
  <si>
    <t>22.55</t>
  </si>
  <si>
    <t>2811/1</t>
  </si>
  <si>
    <t>20 شیٹ</t>
  </si>
  <si>
    <t>30.68</t>
  </si>
  <si>
    <t>7411/1</t>
  </si>
  <si>
    <t>385.6</t>
  </si>
  <si>
    <t>7408/3</t>
  </si>
  <si>
    <t>161.5</t>
  </si>
  <si>
    <t>7425/8</t>
  </si>
  <si>
    <t>99.070000000000007</t>
  </si>
  <si>
    <t>2355 F</t>
  </si>
  <si>
    <t>199.14000000000001</t>
  </si>
  <si>
    <t>2357 F</t>
  </si>
  <si>
    <t>99.820000000000007</t>
  </si>
  <si>
    <t>3/5</t>
  </si>
  <si>
    <t>18/6</t>
  </si>
  <si>
    <t>583.42000000000007</t>
  </si>
  <si>
    <t>5088 J</t>
  </si>
  <si>
    <t>503.01000000000005</t>
  </si>
  <si>
    <t>2371 F</t>
  </si>
  <si>
    <t>515.57999999999993</t>
  </si>
  <si>
    <t>5102 J</t>
  </si>
  <si>
    <t>511.34999999999997</t>
  </si>
  <si>
    <t>7426/2</t>
  </si>
  <si>
    <t>301.63</t>
  </si>
  <si>
    <t>7411/2</t>
  </si>
  <si>
    <t>137.55000000000001</t>
  </si>
  <si>
    <t>10/7</t>
  </si>
  <si>
    <t>1092.9000000000001</t>
  </si>
  <si>
    <t>7398/11</t>
  </si>
  <si>
    <t>104.18</t>
  </si>
  <si>
    <t>5089 J</t>
  </si>
  <si>
    <t>953.88000000000011</t>
  </si>
  <si>
    <t>1-Oct-25</t>
  </si>
  <si>
    <t>2-Oct-25</t>
  </si>
  <si>
    <t>3-Oct-25</t>
  </si>
  <si>
    <t>4-Oct-25</t>
  </si>
  <si>
    <t>5-Oct-25</t>
  </si>
  <si>
    <t>6-Oct-25</t>
  </si>
  <si>
    <t>7-Oct-25</t>
  </si>
  <si>
    <t>8-Oct-25</t>
  </si>
  <si>
    <t>9-Oct-25</t>
  </si>
  <si>
    <t>10-Oct-25</t>
  </si>
  <si>
    <t>11-Oct-25</t>
  </si>
  <si>
    <t>12-Oct-25</t>
  </si>
  <si>
    <t>13-Oct-25</t>
  </si>
  <si>
    <t>14-Oct-25</t>
  </si>
  <si>
    <t>15-Oct-25</t>
  </si>
  <si>
    <t>16-Oct-25</t>
  </si>
  <si>
    <t>17-Oct-25</t>
  </si>
  <si>
    <t>18-Oct-25</t>
  </si>
  <si>
    <t>19-Oct-25</t>
  </si>
  <si>
    <t>WEEK</t>
  </si>
  <si>
    <t>LD</t>
  </si>
  <si>
    <t>LD RECIPE</t>
  </si>
  <si>
    <t>tr# waste</t>
  </si>
  <si>
    <t>diff</t>
  </si>
  <si>
    <t>2879.5000000000005</t>
  </si>
  <si>
    <t>7427/1</t>
  </si>
  <si>
    <t>سلطان ٹریڈرز فیصل اباد</t>
  </si>
  <si>
    <t>4.5</t>
  </si>
  <si>
    <t>55.93</t>
  </si>
  <si>
    <t>7427/2</t>
  </si>
  <si>
    <t>94.32</t>
  </si>
  <si>
    <t>7427/11</t>
  </si>
  <si>
    <t>48.86</t>
  </si>
  <si>
    <t>7437/1</t>
  </si>
  <si>
    <t>شخ پلاسٹک گوجر خان</t>
  </si>
  <si>
    <t>262.90999999999997</t>
  </si>
  <si>
    <t>7428/1</t>
  </si>
  <si>
    <t>یونیورسل پیکیجز اعظم مارکیٹ</t>
  </si>
  <si>
    <t>100.95</t>
  </si>
  <si>
    <t>7426/1</t>
  </si>
  <si>
    <t>93.83</t>
  </si>
  <si>
    <t>7427/10</t>
  </si>
  <si>
    <t>51.96</t>
  </si>
  <si>
    <t>9/6</t>
  </si>
  <si>
    <t>1010.4300000000001</t>
  </si>
  <si>
    <t>7423/1</t>
  </si>
  <si>
    <t>ایم ٹی ایم انٹر پرائزز شاہ عالم</t>
  </si>
  <si>
    <t>103.34</t>
  </si>
  <si>
    <t>7427/4</t>
  </si>
  <si>
    <t>99.899999999999991</t>
  </si>
  <si>
    <t>7411/6</t>
  </si>
  <si>
    <t>103.78999999999999</t>
  </si>
  <si>
    <t>7427/8</t>
  </si>
  <si>
    <t>106.47</t>
  </si>
  <si>
    <t>8/7</t>
  </si>
  <si>
    <t>623.35</t>
  </si>
  <si>
    <t>7433/2</t>
  </si>
  <si>
    <t>150.02999999999997</t>
  </si>
  <si>
    <t>7435/20</t>
  </si>
  <si>
    <t>239.52</t>
  </si>
  <si>
    <t>14/6</t>
  </si>
  <si>
    <t>1034.18</t>
  </si>
  <si>
    <t>7427/6</t>
  </si>
  <si>
    <t>105.04000000000002</t>
  </si>
  <si>
    <t>7436/1</t>
  </si>
  <si>
    <t>496.14</t>
  </si>
  <si>
    <t>7435/25</t>
  </si>
  <si>
    <t>393.39</t>
  </si>
  <si>
    <t>7435/23</t>
  </si>
  <si>
    <t>873.59999999999991</t>
  </si>
  <si>
    <t>7433/3</t>
  </si>
  <si>
    <t>200.74</t>
  </si>
  <si>
    <t>5172 J</t>
  </si>
  <si>
    <t>110.25</t>
  </si>
  <si>
    <t>10/8</t>
  </si>
  <si>
    <t>1532.7599999999998</t>
  </si>
  <si>
    <t>7448/3</t>
  </si>
  <si>
    <t>148.91</t>
  </si>
  <si>
    <t>7445/5</t>
  </si>
  <si>
    <t>100</t>
  </si>
  <si>
    <t>16.5</t>
  </si>
  <si>
    <t>7445/2</t>
  </si>
  <si>
    <t>7435/21</t>
  </si>
  <si>
    <t>128.49</t>
  </si>
  <si>
    <t>5206 J</t>
  </si>
  <si>
    <t>Alam bread Shahdrah</t>
  </si>
  <si>
    <t>122.95</t>
  </si>
  <si>
    <t>7435/24</t>
  </si>
  <si>
    <t>251.47000000000003</t>
  </si>
  <si>
    <t>5109 J</t>
  </si>
  <si>
    <t>108.05000000000001</t>
  </si>
  <si>
    <t>7453/1</t>
  </si>
  <si>
    <t>84.350000000000009</t>
  </si>
  <si>
    <t>5173 J</t>
  </si>
  <si>
    <t>106.76</t>
  </si>
  <si>
    <t>7435/26</t>
  </si>
  <si>
    <t>21</t>
  </si>
  <si>
    <t>105.21</t>
  </si>
  <si>
    <t>7451/1</t>
  </si>
  <si>
    <t>7445/1</t>
  </si>
  <si>
    <t>116.99000000000001</t>
  </si>
  <si>
    <t>12/8</t>
  </si>
  <si>
    <t>MONTH OF SEP</t>
  </si>
  <si>
    <t>1436.9299999999998</t>
  </si>
  <si>
    <t>1133.68</t>
  </si>
  <si>
    <t>4160.5300000000007</t>
  </si>
  <si>
    <t>195.81</t>
  </si>
  <si>
    <t>1832.1499999999999</t>
  </si>
  <si>
    <t>7448/2</t>
  </si>
  <si>
    <t>217.82</t>
  </si>
  <si>
    <t>7459/2</t>
  </si>
  <si>
    <t>ایم بلال اعظم مارکیٹ</t>
  </si>
  <si>
    <t>57.94</t>
  </si>
  <si>
    <t>2817/1</t>
  </si>
  <si>
    <t>265.56</t>
  </si>
  <si>
    <t>2.5/12</t>
  </si>
  <si>
    <t>GHALAT MAL BANA</t>
  </si>
  <si>
    <t>65.429999999999993</t>
  </si>
  <si>
    <t>2.5/4</t>
  </si>
  <si>
    <t>45/6</t>
  </si>
  <si>
    <t>7471/6</t>
  </si>
  <si>
    <t>7445/3</t>
  </si>
  <si>
    <t>8/8</t>
  </si>
  <si>
    <t>3/6</t>
  </si>
  <si>
    <t>7471/12</t>
  </si>
  <si>
    <t>7474/1</t>
  </si>
  <si>
    <t>7471/3</t>
  </si>
  <si>
    <t>7457/1</t>
  </si>
  <si>
    <t>7459/1</t>
  </si>
  <si>
    <t>7448/1</t>
  </si>
  <si>
    <t>9/7</t>
  </si>
  <si>
    <t>7456/1</t>
  </si>
  <si>
    <t>7469/1</t>
  </si>
  <si>
    <t>خواجہ  مدثر ٹمبر مارکیٹ</t>
  </si>
  <si>
    <t>3-6</t>
  </si>
  <si>
    <t>7/7</t>
  </si>
  <si>
    <t>5361 J</t>
  </si>
  <si>
    <t>7474/3</t>
  </si>
  <si>
    <t>7471/4</t>
  </si>
  <si>
    <t>7471/14</t>
  </si>
  <si>
    <t>5394 J</t>
  </si>
  <si>
    <t xml:space="preserve">Moazmi Plastic Sahiwal </t>
  </si>
  <si>
    <t>7471/9</t>
  </si>
  <si>
    <t>968.33999999999992</t>
  </si>
  <si>
    <t>2.5/5</t>
  </si>
  <si>
    <t>20 رول بیگ</t>
  </si>
  <si>
    <t>7471/8</t>
  </si>
  <si>
    <t>7471/11</t>
  </si>
  <si>
    <t>5383 J</t>
  </si>
  <si>
    <t>7474/2</t>
  </si>
  <si>
    <t>16/1</t>
  </si>
  <si>
    <t>7471/7</t>
  </si>
  <si>
    <t>7458/1</t>
  </si>
  <si>
    <t>لیاقت لنڈا بازار</t>
  </si>
  <si>
    <t>7468/1</t>
  </si>
  <si>
    <t>عزیز ٹریڈز ہاوس لاہور</t>
  </si>
  <si>
    <t>7471/15</t>
  </si>
  <si>
    <t>7494/7</t>
  </si>
  <si>
    <t>7474/4</t>
  </si>
  <si>
    <t>7471/5</t>
  </si>
  <si>
    <t>7471/16</t>
  </si>
  <si>
    <t>24/3</t>
  </si>
  <si>
    <t>7494/8</t>
  </si>
  <si>
    <t>14/7</t>
  </si>
  <si>
    <t>7489/3</t>
  </si>
  <si>
    <t>المدینہ پلاسٹک-تالاش</t>
  </si>
  <si>
    <t>7499/9</t>
  </si>
  <si>
    <t>7494/11</t>
  </si>
  <si>
    <t>7488/1</t>
  </si>
  <si>
    <t>10/9</t>
  </si>
  <si>
    <t>7499/6</t>
  </si>
  <si>
    <t>5400 J</t>
  </si>
  <si>
    <t>7454/1</t>
  </si>
  <si>
    <t>7494/2</t>
  </si>
  <si>
    <t>7471/1</t>
  </si>
  <si>
    <t>2.5/6</t>
  </si>
  <si>
    <t>7488/5</t>
  </si>
  <si>
    <t>7478/1</t>
  </si>
  <si>
    <t>منور قریشی میانوالی</t>
  </si>
  <si>
    <t>7504/4</t>
  </si>
  <si>
    <t>7489/5</t>
  </si>
  <si>
    <t>11/6</t>
  </si>
  <si>
    <t>4/8</t>
  </si>
  <si>
    <t>2434 F</t>
  </si>
  <si>
    <t>7500/24</t>
  </si>
  <si>
    <t>7494/10</t>
  </si>
  <si>
    <t>7500/17</t>
  </si>
  <si>
    <t>7499/1</t>
  </si>
  <si>
    <t>5502 J</t>
  </si>
  <si>
    <t>5332 J</t>
  </si>
  <si>
    <t>7503/1</t>
  </si>
  <si>
    <t>5401 J</t>
  </si>
  <si>
    <t>2454 F</t>
  </si>
  <si>
    <t>7481/1</t>
  </si>
  <si>
    <t>2451 F</t>
  </si>
  <si>
    <t>7494/3</t>
  </si>
  <si>
    <t>7489/4</t>
  </si>
  <si>
    <t>2200.02</t>
  </si>
  <si>
    <t>1537.1100000000001</t>
  </si>
  <si>
    <t>465.97</t>
  </si>
  <si>
    <t>212.77999999999997</t>
  </si>
  <si>
    <t>113.09</t>
  </si>
  <si>
    <t>1755.2900000000002</t>
  </si>
  <si>
    <t>1261.29</t>
  </si>
  <si>
    <t>755.3599999999999</t>
  </si>
  <si>
    <t>154.41999999999999</t>
  </si>
  <si>
    <t>306.26000000000005</t>
  </si>
  <si>
    <t>130.49</t>
  </si>
  <si>
    <t>31.33</t>
  </si>
  <si>
    <t>443.94999999999993</t>
  </si>
  <si>
    <t>1509.0599999999997</t>
  </si>
  <si>
    <t>514.69999999999993</t>
  </si>
  <si>
    <t>97.06</t>
  </si>
  <si>
    <t>1540.5100000000002</t>
  </si>
  <si>
    <t>259.36</t>
  </si>
  <si>
    <t>159.49</t>
  </si>
  <si>
    <t>419.09</t>
  </si>
  <si>
    <t>400.4</t>
  </si>
  <si>
    <t>129.69</t>
  </si>
  <si>
    <t>409.59000000000003</t>
  </si>
  <si>
    <t>339.37</t>
  </si>
  <si>
    <t>215.98999999999998</t>
  </si>
  <si>
    <t>513.56000000000006</t>
  </si>
  <si>
    <t>107.05</t>
  </si>
  <si>
    <t>165.86999999999998</t>
  </si>
  <si>
    <t>213.78</t>
  </si>
  <si>
    <t>56.29</t>
  </si>
  <si>
    <t>515.35</t>
  </si>
  <si>
    <t>257.29999999999995</t>
  </si>
  <si>
    <t>51.55</t>
  </si>
  <si>
    <t>159.45999999999998</t>
  </si>
  <si>
    <t>185.63</t>
  </si>
  <si>
    <t>261.41000000000003</t>
  </si>
  <si>
    <t>1106.5600000000002</t>
  </si>
  <si>
    <t>50.6</t>
  </si>
  <si>
    <t>892.16000000000008</t>
  </si>
  <si>
    <t>207.53000000000003</t>
  </si>
  <si>
    <t>277.54000000000002</t>
  </si>
  <si>
    <t>108.4</t>
  </si>
  <si>
    <t>198.45</t>
  </si>
  <si>
    <t>1582.3100000000002</t>
  </si>
  <si>
    <t>104.04</t>
  </si>
  <si>
    <t>1081.96</t>
  </si>
  <si>
    <t>713.82999999999993</t>
  </si>
  <si>
    <t>50.26</t>
  </si>
  <si>
    <t>208.07</t>
  </si>
  <si>
    <t>1403.2299999999998</t>
  </si>
  <si>
    <t>343.53</t>
  </si>
  <si>
    <t>56.699999999999996</t>
  </si>
  <si>
    <t>1675.6100000000001</t>
  </si>
  <si>
    <t>1655.73</t>
  </si>
  <si>
    <t>1047</t>
  </si>
  <si>
    <t>462.54</t>
  </si>
  <si>
    <t>202.53</t>
  </si>
  <si>
    <t>55.58</t>
  </si>
  <si>
    <t>599.43000000000006</t>
  </si>
  <si>
    <t>111.89</t>
  </si>
  <si>
    <t>155.47</t>
  </si>
  <si>
    <t>198.45000000000002</t>
  </si>
  <si>
    <t>104.38</t>
  </si>
  <si>
    <t>285.41000000000003</t>
  </si>
  <si>
    <t>LDN</t>
  </si>
  <si>
    <t>139.10000000000002</t>
  </si>
  <si>
    <t>499.25</t>
  </si>
  <si>
    <t>48</t>
  </si>
  <si>
    <t>60.25</t>
  </si>
  <si>
    <t>965.01</t>
  </si>
  <si>
    <t>7490/2</t>
  </si>
  <si>
    <t>211.42000000000002</t>
  </si>
  <si>
    <t>7488/2</t>
  </si>
  <si>
    <t>235.07</t>
  </si>
  <si>
    <t>2043.6999999999998</t>
  </si>
  <si>
    <t>5501 J</t>
  </si>
  <si>
    <t>304.33999999999997</t>
  </si>
  <si>
    <t>7471/2</t>
  </si>
  <si>
    <t>296.95999999999998</t>
  </si>
  <si>
    <t>12/9</t>
  </si>
  <si>
    <t>3542.0299999999997</t>
  </si>
  <si>
    <t>9/8</t>
  </si>
  <si>
    <t>704.8599999999999</t>
  </si>
  <si>
    <t>7511/1</t>
  </si>
  <si>
    <t>156.19</t>
  </si>
  <si>
    <t>4865 J</t>
  </si>
  <si>
    <t>494.6</t>
  </si>
  <si>
    <t>7497/1</t>
  </si>
  <si>
    <t>ملک الطاف اعظم مارکیٹ</t>
  </si>
  <si>
    <t>216.79000000000002</t>
  </si>
  <si>
    <t>7500/25</t>
  </si>
  <si>
    <t>740.54</t>
  </si>
  <si>
    <t>5517 J</t>
  </si>
  <si>
    <t>Jhangir Hussain Gudam Leager HD</t>
  </si>
  <si>
    <t>155.45999999999998</t>
  </si>
  <si>
    <t>5520 J</t>
  </si>
  <si>
    <t>98.22</t>
  </si>
  <si>
    <t>7500/23</t>
  </si>
  <si>
    <t>254.15999999999997</t>
  </si>
  <si>
    <t>3/7</t>
  </si>
  <si>
    <t>231.46999999999997</t>
  </si>
  <si>
    <t>5500 J</t>
  </si>
  <si>
    <t>106.3</t>
  </si>
  <si>
    <t>5499 J</t>
  </si>
  <si>
    <t>100.42</t>
  </si>
  <si>
    <t>7494/4</t>
  </si>
  <si>
    <t>105.17</t>
  </si>
  <si>
    <t>7519/1</t>
  </si>
  <si>
    <t>53.94</t>
  </si>
  <si>
    <t>7499/5</t>
  </si>
  <si>
    <t>55.62</t>
  </si>
  <si>
    <t>5518 J</t>
  </si>
  <si>
    <t>109.96</t>
  </si>
  <si>
    <t>7488/6</t>
  </si>
  <si>
    <t>2/4</t>
  </si>
  <si>
    <t>5/3</t>
  </si>
  <si>
    <t>18/7</t>
  </si>
  <si>
    <t>7499/7</t>
  </si>
  <si>
    <t>150.10899999999998</t>
  </si>
  <si>
    <t>2452 F</t>
  </si>
  <si>
    <t>5660 J</t>
  </si>
  <si>
    <t>5661 J</t>
  </si>
  <si>
    <t>10/10</t>
  </si>
  <si>
    <t>7494/1</t>
  </si>
  <si>
    <t>1019.7800000000001</t>
  </si>
  <si>
    <t>1057.2700000000002</t>
  </si>
  <si>
    <t>806.96999999999991</t>
  </si>
  <si>
    <t>40 رول بیگ</t>
  </si>
  <si>
    <t>1034.1499999999999</t>
  </si>
  <si>
    <t>1146.3699999999999</t>
  </si>
  <si>
    <t>650.18999999999994</t>
  </si>
  <si>
    <t>74.990000000000009</t>
  </si>
  <si>
    <t>1037.3699999999999</t>
  </si>
  <si>
    <t>647.17000000000007</t>
  </si>
  <si>
    <t>1302.4799999999998</t>
  </si>
  <si>
    <t>103.14999999999999</t>
  </si>
  <si>
    <t>7499/3</t>
  </si>
  <si>
    <t>106.53</t>
  </si>
  <si>
    <t>7/8</t>
  </si>
  <si>
    <t>1630.38</t>
  </si>
  <si>
    <t>5659 J</t>
  </si>
  <si>
    <t>1184.03</t>
  </si>
  <si>
    <t>5519 J</t>
  </si>
  <si>
    <t>103.72</t>
  </si>
  <si>
    <t>7472/3</t>
  </si>
  <si>
    <t>5 رول بیگ</t>
  </si>
  <si>
    <t>92.28</t>
  </si>
  <si>
    <t>7536/1</t>
  </si>
  <si>
    <t>108.19999999999999</t>
  </si>
  <si>
    <t>7539/9</t>
  </si>
  <si>
    <t>2490 F</t>
  </si>
  <si>
    <t>163.1</t>
  </si>
  <si>
    <t>7538/1</t>
  </si>
  <si>
    <t>1524.71</t>
  </si>
  <si>
    <t>7526/1</t>
  </si>
  <si>
    <t>AS کلاتھ اعظم مارکیٹ</t>
  </si>
  <si>
    <t>281.83999999999997</t>
  </si>
  <si>
    <t>7523/1</t>
  </si>
  <si>
    <t>اشرف پلاسٹک جھنگ</t>
  </si>
  <si>
    <t>153.97999999999999</t>
  </si>
  <si>
    <t>6/8</t>
  </si>
  <si>
    <t>5602 J</t>
  </si>
  <si>
    <t>102.94999999999999</t>
  </si>
  <si>
    <t>5599 J</t>
  </si>
  <si>
    <t>Fashion House Shahdrah Lahore</t>
  </si>
  <si>
    <t>92.18</t>
  </si>
  <si>
    <t>7539/1</t>
  </si>
  <si>
    <t>1324.19</t>
  </si>
  <si>
    <t>2481 F</t>
  </si>
  <si>
    <t>150.17999999999998</t>
  </si>
  <si>
    <t>2464 F</t>
  </si>
  <si>
    <t>2025.6099999999997</t>
  </si>
  <si>
    <t>7516/2</t>
  </si>
  <si>
    <t>88.69</t>
  </si>
  <si>
    <t>5558 J</t>
  </si>
  <si>
    <t>32.92</t>
  </si>
  <si>
    <t>2825/1</t>
  </si>
  <si>
    <t>1592.67</t>
  </si>
  <si>
    <t>7488/3</t>
  </si>
  <si>
    <t>310.86999999999995</t>
  </si>
  <si>
    <t>8/9</t>
  </si>
  <si>
    <t>1664.4000000000003</t>
  </si>
  <si>
    <t>5658 J</t>
  </si>
  <si>
    <t>510.75</t>
  </si>
  <si>
    <t>5753 J</t>
  </si>
  <si>
    <t>99.009999999999991</t>
  </si>
  <si>
    <t>5770 J</t>
  </si>
  <si>
    <t>160.07000000000002</t>
  </si>
  <si>
    <t>5768 J</t>
  </si>
  <si>
    <t>156.35999999999999</t>
  </si>
  <si>
    <t>5754 J</t>
  </si>
  <si>
    <t>133.82</t>
  </si>
  <si>
    <t>5769 J</t>
  </si>
  <si>
    <t>159.89999999999998</t>
  </si>
  <si>
    <t>5767 J</t>
  </si>
  <si>
    <t>155.39000000000001</t>
  </si>
  <si>
    <t>2826/2</t>
  </si>
  <si>
    <t>24/4</t>
  </si>
  <si>
    <t>1427.33</t>
  </si>
  <si>
    <t>5771 J</t>
  </si>
  <si>
    <t>138.49999999999997</t>
  </si>
  <si>
    <t>3/8</t>
  </si>
  <si>
    <t>7536/10</t>
  </si>
  <si>
    <t>114.06</t>
  </si>
  <si>
    <t>7550/1</t>
  </si>
  <si>
    <t>254.48</t>
  </si>
  <si>
    <t>5674 J</t>
  </si>
  <si>
    <t>129.41999999999999</t>
  </si>
  <si>
    <t>7525/1</t>
  </si>
  <si>
    <t>414.42999999999995</t>
  </si>
  <si>
    <t>2827/1</t>
  </si>
  <si>
    <t>82.7</t>
  </si>
  <si>
    <t>7523/2</t>
  </si>
  <si>
    <t>348.26</t>
  </si>
  <si>
    <t>7539/6</t>
  </si>
  <si>
    <t>165.64</t>
  </si>
  <si>
    <t>MONTH OF NOV</t>
  </si>
  <si>
    <t>432.9</t>
  </si>
  <si>
    <t>1720.67</t>
  </si>
  <si>
    <t>555.1</t>
  </si>
  <si>
    <t>4/9</t>
  </si>
  <si>
    <t>7543/1</t>
  </si>
  <si>
    <t>69.64</t>
  </si>
  <si>
    <t>7/9</t>
  </si>
  <si>
    <t>7558/4</t>
  </si>
  <si>
    <t>7.5</t>
  </si>
  <si>
    <t>7559/1</t>
  </si>
  <si>
    <t>حنان پلاسٹک فیصل آباد</t>
  </si>
  <si>
    <t>206.18</t>
  </si>
  <si>
    <t>2827/2</t>
  </si>
  <si>
    <t>105.85</t>
  </si>
  <si>
    <t>1739.87</t>
  </si>
  <si>
    <t>225.09000000000003</t>
  </si>
  <si>
    <t>5043.9699999999993</t>
  </si>
  <si>
    <t>805.91000000000008</t>
  </si>
  <si>
    <t>1225.3799999999999</t>
  </si>
  <si>
    <t>1101.3899999999999</t>
  </si>
  <si>
    <t>108.13</t>
  </si>
  <si>
    <t>2997.85</t>
  </si>
  <si>
    <t>5805 J</t>
  </si>
  <si>
    <t>267.25</t>
  </si>
  <si>
    <t>2826/3</t>
  </si>
  <si>
    <t>3171.49</t>
  </si>
  <si>
    <t>3/9</t>
  </si>
  <si>
    <t>10 رول بیگ</t>
  </si>
  <si>
    <t>455.61999999999995</t>
  </si>
  <si>
    <t>7563/1</t>
  </si>
  <si>
    <t>عظیم ٹوئز شاہ رعالم</t>
  </si>
  <si>
    <t>423.27000000000004</t>
  </si>
  <si>
    <t>5880 J</t>
  </si>
  <si>
    <t>475.54999999999995</t>
  </si>
  <si>
    <t>5888 J</t>
  </si>
  <si>
    <t>Shah Posh Plas Rwp</t>
  </si>
  <si>
    <t>10-10.5</t>
  </si>
  <si>
    <t>464.70000000000005</t>
  </si>
  <si>
    <t>8/10</t>
  </si>
  <si>
    <t>1110.5</t>
  </si>
  <si>
    <t>5/4</t>
  </si>
  <si>
    <t>14/8</t>
  </si>
  <si>
    <t>7558/6</t>
  </si>
  <si>
    <t>53.050000000000004</t>
  </si>
  <si>
    <t>7559/2</t>
  </si>
  <si>
    <t>188.02</t>
  </si>
  <si>
    <t>5809 J</t>
  </si>
  <si>
    <t>Waseem Copy House Urdu Bazar</t>
  </si>
  <si>
    <t>332.35</t>
  </si>
  <si>
    <t>7556/1</t>
  </si>
  <si>
    <t>نواب جیلانی لیٰہ</t>
  </si>
  <si>
    <t>96.259999999999991</t>
  </si>
  <si>
    <t>2569 F</t>
  </si>
  <si>
    <t>49.87</t>
  </si>
  <si>
    <t>7541/1</t>
  </si>
  <si>
    <t>102.53</t>
  </si>
  <si>
    <t>2826/1</t>
  </si>
  <si>
    <t>2026.44</t>
  </si>
  <si>
    <t>7570/1</t>
  </si>
  <si>
    <t>3/10</t>
  </si>
  <si>
    <t>9/9</t>
  </si>
  <si>
    <t>7552/1</t>
  </si>
  <si>
    <t>108.05</t>
  </si>
  <si>
    <t>5878 J</t>
  </si>
  <si>
    <t>5879 J</t>
  </si>
  <si>
    <t>498.30000000000007</t>
  </si>
  <si>
    <t>5931 J</t>
  </si>
  <si>
    <t>ASB Sweets And Bakers Jranwala</t>
  </si>
  <si>
    <t>100.57</t>
  </si>
  <si>
    <t>5877 J</t>
  </si>
  <si>
    <t>1021.89</t>
  </si>
  <si>
    <t>7564/1</t>
  </si>
  <si>
    <t>104.63999999999999</t>
  </si>
  <si>
    <t>10/11</t>
  </si>
  <si>
    <t>20/1</t>
  </si>
  <si>
    <t>7527/1</t>
  </si>
  <si>
    <t>107.11999999999999</t>
  </si>
  <si>
    <t>7504/1</t>
  </si>
  <si>
    <t>2546.6099999999997</t>
  </si>
  <si>
    <t>1265.21</t>
  </si>
  <si>
    <t>1409.8899999999999</t>
  </si>
  <si>
    <t>1105.0899999999999</t>
  </si>
  <si>
    <t>1438.23</t>
  </si>
  <si>
    <t>623.84999999999991</t>
  </si>
  <si>
    <t>259.18000000000006</t>
  </si>
  <si>
    <t>7571/1</t>
  </si>
  <si>
    <t>46.97</t>
  </si>
  <si>
    <t>5875 J</t>
  </si>
  <si>
    <t>1036.97</t>
  </si>
  <si>
    <t>7571/3</t>
  </si>
  <si>
    <t>55.16</t>
  </si>
  <si>
    <t>7572/1</t>
  </si>
  <si>
    <t>187.37</t>
  </si>
  <si>
    <t>7577/2</t>
  </si>
  <si>
    <t>عمیر P وہاڑی</t>
  </si>
  <si>
    <t>51.19</t>
  </si>
  <si>
    <t>11/7</t>
  </si>
  <si>
    <t>2068.3000000000002</t>
  </si>
  <si>
    <t>7571/2</t>
  </si>
  <si>
    <t>55.41</t>
  </si>
  <si>
    <t>5889 J</t>
  </si>
  <si>
    <t>1219.5900000000001</t>
  </si>
  <si>
    <t>5890 J</t>
  </si>
  <si>
    <t>515.91999999999996</t>
  </si>
  <si>
    <t>4/10</t>
  </si>
  <si>
    <t>2582 F</t>
  </si>
  <si>
    <t>339.90999999999997</t>
  </si>
  <si>
    <t>5876 J</t>
  </si>
  <si>
    <t>1170.7</t>
  </si>
  <si>
    <t>7558/1</t>
  </si>
  <si>
    <t>167.11</t>
  </si>
  <si>
    <t>2594 F</t>
  </si>
  <si>
    <t>211.45</t>
  </si>
  <si>
    <t>7588/5</t>
  </si>
  <si>
    <t>444.14000000000004</t>
  </si>
  <si>
    <t>7586/4</t>
  </si>
  <si>
    <t>اصف پلاسٹک سرگو ھا</t>
  </si>
  <si>
    <t>900.66</t>
  </si>
  <si>
    <t>7576/1</t>
  </si>
  <si>
    <t>109.05</t>
  </si>
  <si>
    <t>2571 F</t>
  </si>
  <si>
    <t>7586/9</t>
  </si>
  <si>
    <t>98.68</t>
  </si>
  <si>
    <t>2583 F</t>
  </si>
  <si>
    <t>231.95999999999998</t>
  </si>
  <si>
    <t>12/11</t>
  </si>
  <si>
    <t>7588/10</t>
  </si>
  <si>
    <t>107.56</t>
  </si>
  <si>
    <t>6148 J</t>
  </si>
  <si>
    <t>203.74999999999997</t>
  </si>
  <si>
    <t>6149 J</t>
  </si>
  <si>
    <t>210.62</t>
  </si>
  <si>
    <t>7588/6</t>
  </si>
  <si>
    <t>203.77</t>
  </si>
  <si>
    <t>1310.6899999999998</t>
  </si>
  <si>
    <t>1964.9099999999999</t>
  </si>
  <si>
    <t>297.89</t>
  </si>
  <si>
    <t>1184.3699999999999</t>
  </si>
  <si>
    <t>2272.15</t>
  </si>
  <si>
    <t>1014.8799999999999</t>
  </si>
  <si>
    <t>2104.27</t>
  </si>
  <si>
    <t>2/5</t>
  </si>
  <si>
    <t xml:space="preserve"> رول بیگ 15</t>
  </si>
  <si>
    <t>393.87</t>
  </si>
  <si>
    <t>7588/1</t>
  </si>
  <si>
    <t>1612.44</t>
  </si>
  <si>
    <t>7589/1</t>
  </si>
  <si>
    <t>527</t>
  </si>
  <si>
    <t>2.5/7</t>
  </si>
  <si>
    <t>6/9</t>
  </si>
  <si>
    <t>6205 J</t>
  </si>
  <si>
    <t>1025.8399999999999</t>
  </si>
  <si>
    <t>9/10</t>
  </si>
  <si>
    <t>1037.8200000000002</t>
  </si>
  <si>
    <t>7596/1</t>
  </si>
  <si>
    <t>1260.9399999999998</t>
  </si>
  <si>
    <t>7591/1</t>
  </si>
  <si>
    <t>798.09999999999991</t>
  </si>
  <si>
    <t>6203 J</t>
  </si>
  <si>
    <t>1109.28</t>
  </si>
  <si>
    <t>7602/1</t>
  </si>
  <si>
    <t>گوگا پلاسٹک گوجرانوالہ</t>
  </si>
  <si>
    <t>54.699999999999996</t>
  </si>
  <si>
    <t>7586/2</t>
  </si>
  <si>
    <t>360.61</t>
  </si>
  <si>
    <t>10/12</t>
  </si>
  <si>
    <t>7601/3</t>
  </si>
  <si>
    <t>754.38999999999987</t>
  </si>
  <si>
    <t>7601/1</t>
  </si>
  <si>
    <t>502.03000000000003</t>
  </si>
  <si>
    <t>7601/7</t>
  </si>
  <si>
    <t>260.13</t>
  </si>
  <si>
    <t>6202 J</t>
  </si>
  <si>
    <t>1172.71</t>
  </si>
  <si>
    <t>6176 J</t>
  </si>
  <si>
    <t>101.27</t>
  </si>
  <si>
    <t>2838/1</t>
  </si>
  <si>
    <t>RMC PACK LHR</t>
  </si>
  <si>
    <t>100.71000000000001</t>
  </si>
  <si>
    <t>6216 J</t>
  </si>
  <si>
    <t>Foxell Exclusive LHR</t>
  </si>
  <si>
    <t>9-10</t>
  </si>
  <si>
    <t>114.72</t>
  </si>
  <si>
    <t>7601/6</t>
  </si>
  <si>
    <t>258.65999999999997</t>
  </si>
  <si>
    <t>2622 F</t>
  </si>
  <si>
    <t>111.10999999999999</t>
  </si>
  <si>
    <t>7588/8</t>
  </si>
  <si>
    <t>200.72</t>
  </si>
  <si>
    <t>3/11</t>
  </si>
  <si>
    <t>108.17999999999999</t>
  </si>
  <si>
    <t>7599/1</t>
  </si>
  <si>
    <t>ایان فرقان ٹمبر مارکیٹ</t>
  </si>
  <si>
    <t>475.19000000000005</t>
  </si>
  <si>
    <t>7586/1</t>
  </si>
  <si>
    <t>207.03000000000003</t>
  </si>
  <si>
    <t>14/9</t>
  </si>
  <si>
    <t>6217 J</t>
  </si>
  <si>
    <t>102.43</t>
  </si>
  <si>
    <t>4015.1600000000003</t>
  </si>
  <si>
    <t>1775.1299999999999</t>
  </si>
  <si>
    <t>1627.2500000000002</t>
  </si>
  <si>
    <t>3/12</t>
  </si>
  <si>
    <t>651.07999999999993</t>
  </si>
  <si>
    <t>7588/11</t>
  </si>
  <si>
    <t>133.41999999999999</t>
  </si>
  <si>
    <t>2624 F</t>
  </si>
  <si>
    <t>113.27000000000001</t>
  </si>
  <si>
    <t>7601/4</t>
  </si>
  <si>
    <t>257.57</t>
  </si>
  <si>
    <t>2841/1</t>
  </si>
  <si>
    <t>210.65</t>
  </si>
  <si>
    <t>7601/9</t>
  </si>
  <si>
    <t>104.18999999999998</t>
  </si>
  <si>
    <t>7588/12</t>
  </si>
  <si>
    <t>132.35000000000002</t>
  </si>
  <si>
    <t>6295 J</t>
  </si>
  <si>
    <t>Zahid Shawl And Abaya Gujrawala</t>
  </si>
  <si>
    <t>50.79</t>
  </si>
  <si>
    <t>6296 J</t>
  </si>
  <si>
    <t>51.72</t>
  </si>
  <si>
    <t>6294 J</t>
  </si>
  <si>
    <t>61.03</t>
  </si>
  <si>
    <t>7588/9</t>
  </si>
  <si>
    <t>410.91</t>
  </si>
  <si>
    <t>12/12</t>
  </si>
  <si>
    <t>1816.9200000000003</t>
  </si>
  <si>
    <t>7601/5</t>
  </si>
  <si>
    <t>272.35000000000002</t>
  </si>
  <si>
    <t>4/11</t>
  </si>
  <si>
    <t>7596/2</t>
  </si>
  <si>
    <t>319.98</t>
  </si>
  <si>
    <t>6204 J</t>
  </si>
  <si>
    <t>1527.8</t>
  </si>
  <si>
    <t>7616/1</t>
  </si>
  <si>
    <t>126.84999999999998</t>
  </si>
  <si>
    <t>24/5</t>
  </si>
  <si>
    <t>1030.76</t>
  </si>
  <si>
    <t>7573/1</t>
  </si>
  <si>
    <t>110.17</t>
  </si>
  <si>
    <t>9/11</t>
  </si>
  <si>
    <t>762.16</t>
  </si>
  <si>
    <t>7604/1</t>
  </si>
  <si>
    <t>112.55000000000001</t>
  </si>
  <si>
    <t>7621/5</t>
  </si>
  <si>
    <t>102.54999999999998</t>
  </si>
  <si>
    <t>7601/8</t>
  </si>
  <si>
    <t>101.15</t>
  </si>
  <si>
    <t>6386 J</t>
  </si>
  <si>
    <t>470.14</t>
  </si>
  <si>
    <t>7608/1</t>
  </si>
  <si>
    <t>1388.43</t>
  </si>
  <si>
    <t>6385 J</t>
  </si>
  <si>
    <t>534.8900000000001</t>
  </si>
  <si>
    <t>6397 J</t>
  </si>
  <si>
    <t>1198.79</t>
  </si>
  <si>
    <t>7614/5</t>
  </si>
  <si>
    <t>4 رول بیگ</t>
  </si>
  <si>
    <t>144.48000000000002</t>
  </si>
  <si>
    <t>6429 J</t>
  </si>
  <si>
    <t>209.89999999999998</t>
  </si>
  <si>
    <t>2686 F</t>
  </si>
  <si>
    <t>316.24</t>
  </si>
  <si>
    <t>6463 J</t>
  </si>
  <si>
    <t>353.41999999999996</t>
  </si>
  <si>
    <t>6298 J</t>
  </si>
  <si>
    <t>131.76999999999998</t>
  </si>
  <si>
    <t>7621/9</t>
  </si>
  <si>
    <t>5/5</t>
  </si>
  <si>
    <t>7621/4</t>
  </si>
  <si>
    <t>120.91000000000001</t>
  </si>
  <si>
    <t>7596/3</t>
  </si>
  <si>
    <t>182.34</t>
  </si>
  <si>
    <t>7/10</t>
  </si>
  <si>
    <t>7601/2</t>
  </si>
  <si>
    <t>262.64999999999998</t>
  </si>
  <si>
    <t>18/8</t>
  </si>
  <si>
    <t>MONTH OF DEC</t>
  </si>
  <si>
    <t>424.17999999999995</t>
  </si>
  <si>
    <t>4925.4399999999996</t>
  </si>
  <si>
    <t>265.49</t>
  </si>
  <si>
    <t>519.29999999999995</t>
  </si>
  <si>
    <t>1136.6300000000001</t>
  </si>
  <si>
    <t>5/6</t>
  </si>
  <si>
    <t>285.79999999999995</t>
  </si>
  <si>
    <t>2636 F</t>
  </si>
  <si>
    <t>500.87</t>
  </si>
  <si>
    <t>7609/1</t>
  </si>
  <si>
    <t>جناح پیپر ادو بازار</t>
  </si>
  <si>
    <t>10.5 گرام</t>
  </si>
  <si>
    <t>504.07</t>
  </si>
  <si>
    <t>7621/3</t>
  </si>
  <si>
    <t>336.43</t>
  </si>
  <si>
    <t>1185.0599999999997</t>
  </si>
  <si>
    <t>7610/1</t>
  </si>
  <si>
    <t>16.5 گرام</t>
  </si>
  <si>
    <t>709.94</t>
  </si>
  <si>
    <t>7610/2</t>
  </si>
  <si>
    <t>23 گرام</t>
  </si>
  <si>
    <t>1319.4700000000003</t>
  </si>
  <si>
    <t>7630/1</t>
  </si>
  <si>
    <t>عبد الباری وہاڑی</t>
  </si>
  <si>
    <t>121.88999999999999</t>
  </si>
  <si>
    <t>2702 F</t>
  </si>
  <si>
    <t>454.22</t>
  </si>
  <si>
    <t>712.43000000000006</t>
  </si>
  <si>
    <t>2.5/8</t>
  </si>
  <si>
    <t>7606/1</t>
  </si>
  <si>
    <t>حیدر عمر بہاولپور</t>
  </si>
  <si>
    <t>55.089999999999996</t>
  </si>
  <si>
    <t>6551 J</t>
  </si>
  <si>
    <t>97.74</t>
  </si>
  <si>
    <t>6571 J</t>
  </si>
  <si>
    <t>1328.2450000000003</t>
  </si>
  <si>
    <t>2705 F</t>
  </si>
  <si>
    <t>152</t>
  </si>
  <si>
    <t>7522/5</t>
  </si>
  <si>
    <t>طارق سوپ چکوال</t>
  </si>
  <si>
    <t>32.14</t>
  </si>
  <si>
    <t>7638/1</t>
  </si>
  <si>
    <t>حاجی اسماعیل وہاڑی</t>
  </si>
  <si>
    <t>2695 F</t>
  </si>
  <si>
    <t>104.47999999999999</t>
  </si>
  <si>
    <t>7628/1</t>
  </si>
  <si>
    <t>7584/1</t>
  </si>
  <si>
    <t>علی پلاسٹک جھنگ</t>
  </si>
  <si>
    <t>104.91999999999999</t>
  </si>
  <si>
    <t>7585/1</t>
  </si>
  <si>
    <t>طیب P گوجرانوالہ</t>
  </si>
  <si>
    <t>116.57999999999998</t>
  </si>
  <si>
    <t>6569 J</t>
  </si>
  <si>
    <t>11/8</t>
  </si>
  <si>
    <t>7628/2</t>
  </si>
  <si>
    <t>93.46</t>
  </si>
  <si>
    <t>7586/3</t>
  </si>
  <si>
    <t>193.73</t>
  </si>
  <si>
    <t>1765.8999999999999</t>
  </si>
  <si>
    <t>2816.31</t>
  </si>
  <si>
    <t>1662.32</t>
  </si>
  <si>
    <t>1069.0400000000002</t>
  </si>
  <si>
    <t>1409.37</t>
  </si>
  <si>
    <t>1653.33</t>
  </si>
  <si>
    <t>7648/1</t>
  </si>
  <si>
    <t>965.60000000000014</t>
  </si>
  <si>
    <t>6566 J</t>
  </si>
  <si>
    <t>1240.1400000000001</t>
  </si>
  <si>
    <t>6558 J</t>
  </si>
  <si>
    <t>108.1</t>
  </si>
  <si>
    <t>7640/2</t>
  </si>
  <si>
    <t>ہیڈ افس لاہور،C/O رانا سمیع</t>
  </si>
  <si>
    <t>57.73</t>
  </si>
  <si>
    <t>2688 F</t>
  </si>
  <si>
    <t>1042.96</t>
  </si>
  <si>
    <t>2690 F</t>
  </si>
  <si>
    <t>1340.6099999999997</t>
  </si>
  <si>
    <t>7639/1</t>
  </si>
  <si>
    <t>87.13000000000001</t>
  </si>
  <si>
    <t>7626/1</t>
  </si>
  <si>
    <t>53.5</t>
  </si>
  <si>
    <t>7640/1</t>
  </si>
  <si>
    <t>52.75</t>
  </si>
  <si>
    <t>7641/1</t>
  </si>
  <si>
    <t>939.8599999999999</t>
  </si>
  <si>
    <t>7636/2</t>
  </si>
  <si>
    <t>8 رول بیگ</t>
  </si>
  <si>
    <t>153.94000000000003</t>
  </si>
  <si>
    <t>2691 F</t>
  </si>
  <si>
    <t>28</t>
  </si>
  <si>
    <t>21.99</t>
  </si>
  <si>
    <t>2689 F</t>
  </si>
  <si>
    <t>206.09</t>
  </si>
  <si>
    <t>7654/1</t>
  </si>
  <si>
    <t>73.5</t>
  </si>
  <si>
    <t>7621/1</t>
  </si>
  <si>
    <t>96.81</t>
  </si>
  <si>
    <t>7647/1</t>
  </si>
  <si>
    <t>گڈ لک انٹرپرایزز شاہ عالم</t>
  </si>
  <si>
    <t>122.78999999999999</t>
  </si>
  <si>
    <t>6567 J</t>
  </si>
  <si>
    <t>1264.72</t>
  </si>
  <si>
    <t>7645/1</t>
  </si>
  <si>
    <t>177.18</t>
  </si>
  <si>
    <t>4/13</t>
  </si>
  <si>
    <t>75.790000000000006</t>
  </si>
  <si>
    <t>6/10</t>
  </si>
  <si>
    <t>243.3</t>
  </si>
  <si>
    <t>7656/1</t>
  </si>
  <si>
    <t>697.93000000000006</t>
  </si>
  <si>
    <t>7656/2</t>
  </si>
  <si>
    <t>763.34999999999991</t>
  </si>
  <si>
    <t>976.09999999999991</t>
  </si>
  <si>
    <t>6610 J</t>
  </si>
  <si>
    <t>115.55999999999999</t>
  </si>
  <si>
    <t>6534 J</t>
  </si>
  <si>
    <t>101.86</t>
  </si>
  <si>
    <t>6608 J</t>
  </si>
  <si>
    <t>94.820000000000007</t>
  </si>
  <si>
    <t>6609 J</t>
  </si>
  <si>
    <t>100.86999999999999</t>
  </si>
  <si>
    <t>6570 J</t>
  </si>
  <si>
    <t>6751 J</t>
  </si>
  <si>
    <t>102.07</t>
  </si>
  <si>
    <t>6654 J</t>
  </si>
  <si>
    <t>Baber Sher C/O Al Fatah Bakers</t>
  </si>
  <si>
    <t>288.40999999999997</t>
  </si>
  <si>
    <t>7671/3</t>
  </si>
  <si>
    <t>208.8</t>
  </si>
  <si>
    <t>6535 J</t>
  </si>
  <si>
    <t>111.78999999999999</t>
  </si>
  <si>
    <t>6502 J</t>
  </si>
  <si>
    <t>High Class Bakers Gujrat</t>
  </si>
  <si>
    <t>284.49</t>
  </si>
  <si>
    <t>7663/14</t>
  </si>
  <si>
    <t>395.48</t>
  </si>
  <si>
    <t>7670/8</t>
  </si>
  <si>
    <t>269.02000000000004</t>
  </si>
  <si>
    <t>6732 J</t>
  </si>
  <si>
    <t>Carefour Pakistan Ltd</t>
  </si>
  <si>
    <t>4.5-5/9-10</t>
  </si>
  <si>
    <t>99.31</t>
  </si>
  <si>
    <t>7662/1</t>
  </si>
  <si>
    <t>276.65000000000003</t>
  </si>
  <si>
    <t>6727 J</t>
  </si>
  <si>
    <t>109.99</t>
  </si>
  <si>
    <t>6503 J</t>
  </si>
  <si>
    <t>16 شیٹ</t>
  </si>
  <si>
    <t>246.94</t>
  </si>
  <si>
    <t>6729 J</t>
  </si>
  <si>
    <t>16/4</t>
  </si>
  <si>
    <t>1064.67</t>
  </si>
  <si>
    <t>7655/1</t>
  </si>
  <si>
    <t>749.8</t>
  </si>
  <si>
    <t>7649/2</t>
  </si>
  <si>
    <t>56.14</t>
  </si>
  <si>
    <t>7664/1</t>
  </si>
  <si>
    <t>THE CREATION LHR</t>
  </si>
  <si>
    <t>109.6</t>
  </si>
  <si>
    <t>7666/1</t>
  </si>
  <si>
    <t>2.5/9</t>
  </si>
  <si>
    <t>6776 J</t>
  </si>
  <si>
    <t>430.32999999999993</t>
  </si>
  <si>
    <t>7621/2</t>
  </si>
  <si>
    <t>7618/1</t>
  </si>
  <si>
    <t>182.34000000000003</t>
  </si>
  <si>
    <t>7649/1</t>
  </si>
  <si>
    <t>50.34</t>
  </si>
  <si>
    <t>1168.77</t>
  </si>
  <si>
    <t>512.66</t>
  </si>
  <si>
    <t>15 رول بیگ</t>
  </si>
  <si>
    <t>434.33000000000004</t>
  </si>
  <si>
    <t>1776.6399999999999</t>
  </si>
  <si>
    <t>203.5</t>
  </si>
  <si>
    <t>6777 J</t>
  </si>
  <si>
    <t>435.71</t>
  </si>
  <si>
    <t>2.5/10</t>
  </si>
  <si>
    <t>7670/4</t>
  </si>
  <si>
    <t>101.64</t>
  </si>
  <si>
    <t>7653/1</t>
  </si>
  <si>
    <t>224.79</t>
  </si>
  <si>
    <t>6655 J</t>
  </si>
  <si>
    <t>255.08999999999997</t>
  </si>
  <si>
    <t>6752 J</t>
  </si>
  <si>
    <t>270.16999999999996</t>
  </si>
  <si>
    <t>6568 J</t>
  </si>
  <si>
    <t>7678/1</t>
  </si>
  <si>
    <t>99.72999999999999</t>
  </si>
  <si>
    <t>7663/15</t>
  </si>
  <si>
    <t>192.61999999999998</t>
  </si>
  <si>
    <t>7672/1</t>
  </si>
  <si>
    <t>175.29</t>
  </si>
  <si>
    <t>4/12</t>
  </si>
  <si>
    <t>157.41999999999999</t>
  </si>
  <si>
    <t>7683/1</t>
  </si>
  <si>
    <t>101.71</t>
  </si>
  <si>
    <t>7670/6</t>
  </si>
  <si>
    <t>59.949999999999996</t>
  </si>
  <si>
    <t>7682/1</t>
  </si>
  <si>
    <t>104.28</t>
  </si>
  <si>
    <t>7675/3</t>
  </si>
  <si>
    <t>300.81</t>
  </si>
  <si>
    <t>3142.1300000000006</t>
  </si>
  <si>
    <t>6733 J</t>
  </si>
  <si>
    <t>20" شیٹ</t>
  </si>
  <si>
    <t>232.99</t>
  </si>
  <si>
    <t>6778 J</t>
  </si>
  <si>
    <t>264.01</t>
  </si>
  <si>
    <t>7663/5</t>
  </si>
  <si>
    <t>284.73</t>
  </si>
  <si>
    <t>7671/1</t>
  </si>
  <si>
    <t>498.06000000000006</t>
  </si>
  <si>
    <t>7675/1</t>
  </si>
  <si>
    <t>568.89</t>
  </si>
  <si>
    <t>4/15</t>
  </si>
  <si>
    <t>7671/4</t>
  </si>
  <si>
    <t>127.85</t>
  </si>
  <si>
    <t>7670/1</t>
  </si>
  <si>
    <t>122.14000000000001</t>
  </si>
  <si>
    <t>7/11</t>
  </si>
  <si>
    <t>6731 J</t>
  </si>
  <si>
    <t>229.78000000000003</t>
  </si>
  <si>
    <t>6730 J</t>
  </si>
  <si>
    <t>233.16</t>
  </si>
  <si>
    <t>7667/1</t>
  </si>
  <si>
    <t>512.05999999999995</t>
  </si>
  <si>
    <t>7675/2</t>
  </si>
  <si>
    <t>65.48</t>
  </si>
  <si>
    <t>7668/1</t>
  </si>
  <si>
    <t>475.67</t>
  </si>
  <si>
    <t>7670/2</t>
  </si>
  <si>
    <t>466.16999999999996</t>
  </si>
  <si>
    <t>7688/8</t>
  </si>
  <si>
    <t>رفیق پلاسٹک اوکاڑہ</t>
  </si>
  <si>
    <t>106.06</t>
  </si>
  <si>
    <t>7692/1</t>
  </si>
  <si>
    <t>106.82</t>
  </si>
  <si>
    <t>2781 F</t>
  </si>
  <si>
    <t>133.95000000000002</t>
  </si>
  <si>
    <t>6657 J</t>
  </si>
  <si>
    <t>7690/1</t>
  </si>
  <si>
    <t>259.82</t>
  </si>
  <si>
    <t>2850/1</t>
  </si>
  <si>
    <t>109.14</t>
  </si>
  <si>
    <t>7691/1</t>
  </si>
  <si>
    <t>259.35999999999996</t>
  </si>
  <si>
    <t>3582.0800000000004</t>
  </si>
  <si>
    <t>2898.7700000000004</t>
  </si>
  <si>
    <t>435.25</t>
  </si>
  <si>
    <t>3335.7599999999998</t>
  </si>
  <si>
    <t>1052.47</t>
  </si>
  <si>
    <t>2705.81</t>
  </si>
  <si>
    <t>966.98</t>
  </si>
  <si>
    <t>966.09</t>
  </si>
  <si>
    <t>7690/4</t>
  </si>
  <si>
    <t>956.46999999999991</t>
  </si>
  <si>
    <t>3/13</t>
  </si>
  <si>
    <t>7696/1</t>
  </si>
  <si>
    <t>261.76000000000005</t>
  </si>
  <si>
    <t>7690/5</t>
  </si>
  <si>
    <t>810.65999999999985</t>
  </si>
  <si>
    <t>7688/6</t>
  </si>
  <si>
    <t>45.49</t>
  </si>
  <si>
    <t>7695/1</t>
  </si>
  <si>
    <t>54.09</t>
  </si>
  <si>
    <t>7691/6</t>
  </si>
  <si>
    <t>168.81</t>
  </si>
  <si>
    <t>7691/3</t>
  </si>
  <si>
    <t>240.58</t>
  </si>
  <si>
    <t>2850/2</t>
  </si>
  <si>
    <t>ZAMEENDAR FOOD</t>
  </si>
  <si>
    <t>3232.4</t>
  </si>
  <si>
    <t>7691/4</t>
  </si>
  <si>
    <t>102.48</t>
  </si>
  <si>
    <t>6779 J</t>
  </si>
  <si>
    <t>222.18</t>
  </si>
  <si>
    <t>7671/2</t>
  </si>
  <si>
    <t>415.15</t>
  </si>
  <si>
    <t>7688/2</t>
  </si>
  <si>
    <t>104.53</t>
  </si>
  <si>
    <t>2.5/11</t>
  </si>
  <si>
    <t>7679/1</t>
  </si>
  <si>
    <t>المدینہ پلاسٹک ڈئیر</t>
  </si>
  <si>
    <t>283.55</t>
  </si>
  <si>
    <t>7692/2</t>
  </si>
  <si>
    <t>212.70999999999998</t>
  </si>
  <si>
    <t>2822 F</t>
  </si>
  <si>
    <t>155.97999999999999</t>
  </si>
  <si>
    <t>2825 F</t>
  </si>
  <si>
    <t>53.64</t>
  </si>
  <si>
    <t>7690/6</t>
  </si>
  <si>
    <t>938.16999999999973</t>
  </si>
  <si>
    <t>7691/7</t>
  </si>
  <si>
    <t>164.45</t>
  </si>
  <si>
    <t>7690/8</t>
  </si>
  <si>
    <t>253.25</t>
  </si>
  <si>
    <t>7691/5</t>
  </si>
  <si>
    <t>161.45999999999998</t>
  </si>
  <si>
    <t>7690/2</t>
  </si>
  <si>
    <t>397.83000000000004</t>
  </si>
  <si>
    <t>7691/2</t>
  </si>
  <si>
    <t>299.75</t>
  </si>
  <si>
    <t>14/10</t>
  </si>
  <si>
    <t>7713/1</t>
  </si>
  <si>
    <t>7075 J</t>
  </si>
  <si>
    <t>995.50999999999988</t>
  </si>
  <si>
    <t>7164 J</t>
  </si>
  <si>
    <t>2826 F</t>
  </si>
  <si>
    <t>106.29</t>
  </si>
  <si>
    <t>7710/16</t>
  </si>
  <si>
    <t>1045.8999999999999</t>
  </si>
  <si>
    <t>711.25</t>
  </si>
  <si>
    <t>606.04</t>
  </si>
  <si>
    <t>2412.02</t>
  </si>
  <si>
    <t>279.06</t>
  </si>
  <si>
    <t>2414.75</t>
  </si>
  <si>
    <t>7690/9</t>
  </si>
  <si>
    <t>158.98000000000002</t>
  </si>
  <si>
    <t>7710/18</t>
  </si>
  <si>
    <t>656</t>
  </si>
  <si>
    <t>7085 J</t>
  </si>
  <si>
    <t>Foxcel Exclusive LHR</t>
  </si>
  <si>
    <t>9-10.</t>
  </si>
  <si>
    <t>106.80999999999999</t>
  </si>
  <si>
    <t>7710/19</t>
  </si>
  <si>
    <t>378.75</t>
  </si>
  <si>
    <t>7707/2</t>
  </si>
  <si>
    <t>حذیفہ P اعظم مارکیٹ</t>
  </si>
  <si>
    <t>325.32</t>
  </si>
  <si>
    <t>7732/2</t>
  </si>
  <si>
    <t>شیخ انور  لیہٰ</t>
  </si>
  <si>
    <t>118.30000000000001</t>
  </si>
  <si>
    <t>7707/1</t>
  </si>
  <si>
    <t>102.2</t>
  </si>
  <si>
    <t>7717/6</t>
  </si>
  <si>
    <t>155.66</t>
  </si>
  <si>
    <t>7717/1</t>
  </si>
  <si>
    <t>267.60000000000002</t>
  </si>
  <si>
    <t>2/6</t>
  </si>
  <si>
    <t>4/17</t>
  </si>
  <si>
    <t>28/3</t>
  </si>
  <si>
    <t>568.82999999999993</t>
  </si>
  <si>
    <t>7111 J</t>
  </si>
  <si>
    <t>1554.5300000000002</t>
  </si>
  <si>
    <t>12/13</t>
  </si>
  <si>
    <t>1508.8300000000002</t>
  </si>
  <si>
    <t>7198 J</t>
  </si>
  <si>
    <t>5.5-6/11-12</t>
  </si>
  <si>
    <t>101.39000000000001</t>
  </si>
  <si>
    <t>1646.3900000000003</t>
  </si>
  <si>
    <t>7108 J</t>
  </si>
  <si>
    <t>7248 J</t>
  </si>
  <si>
    <t>Asim Attari Azam Market Lhr</t>
  </si>
  <si>
    <t>101.10000000000002</t>
  </si>
  <si>
    <t>7717/3</t>
  </si>
  <si>
    <t>78.52000000000001</t>
  </si>
  <si>
    <t>18/9</t>
  </si>
  <si>
    <t>7710/15</t>
  </si>
  <si>
    <t>225.12</t>
  </si>
  <si>
    <t>10/13</t>
  </si>
  <si>
    <t>30 رول بیگ</t>
  </si>
  <si>
    <t>1074.5</t>
  </si>
  <si>
    <t>1097.5300000000002</t>
  </si>
  <si>
    <t>1032.1400000000001</t>
  </si>
  <si>
    <t>2.5/13</t>
  </si>
  <si>
    <t>7740/1</t>
  </si>
  <si>
    <t>399.78</t>
  </si>
  <si>
    <t>7710/20</t>
  </si>
  <si>
    <t>198.99</t>
  </si>
  <si>
    <t>24/6</t>
  </si>
  <si>
    <t>7745/1</t>
  </si>
  <si>
    <t>302.74</t>
  </si>
  <si>
    <t>7717/2</t>
  </si>
  <si>
    <t>105.91000000000001</t>
  </si>
  <si>
    <t>16/5</t>
  </si>
  <si>
    <t>7745/4</t>
  </si>
  <si>
    <t>48.41</t>
  </si>
  <si>
    <t>1073.69</t>
  </si>
  <si>
    <t>1554.8600000000001</t>
  </si>
  <si>
    <t>7745/7</t>
  </si>
  <si>
    <t>220.71</t>
  </si>
  <si>
    <t>7732/1</t>
  </si>
  <si>
    <t>202.46999999999997</t>
  </si>
  <si>
    <t>7745/6</t>
  </si>
  <si>
    <t>458.09999999999997</t>
  </si>
  <si>
    <t>12/14</t>
  </si>
  <si>
    <t>4/16</t>
  </si>
  <si>
    <t>304.28000000000003</t>
  </si>
  <si>
    <t>7107/18</t>
  </si>
  <si>
    <t>642.0999999999998</t>
  </si>
  <si>
    <t>7107 J</t>
  </si>
  <si>
    <t>580.93999999999994</t>
  </si>
  <si>
    <t>814.55</t>
  </si>
  <si>
    <t>1511.5199999999998</t>
  </si>
  <si>
    <t>ALL MACHINES OFF DUE TO BASANT/KASHMIRHOLIDAYS</t>
  </si>
  <si>
    <t>3/15</t>
  </si>
  <si>
    <t>6/11</t>
  </si>
  <si>
    <t>7109 J</t>
  </si>
  <si>
    <t>7750/1</t>
  </si>
  <si>
    <t>1304.4099999999999</t>
  </si>
  <si>
    <t>1691.48</t>
  </si>
  <si>
    <t>1543.8600000000001</t>
  </si>
  <si>
    <t>978.61000000000013</t>
  </si>
  <si>
    <t>580.55999999999995</t>
  </si>
  <si>
    <t>2902 F</t>
  </si>
  <si>
    <t>338.61</t>
  </si>
  <si>
    <t>7110 J</t>
  </si>
  <si>
    <t>1167.51</t>
  </si>
  <si>
    <t>10/14</t>
  </si>
  <si>
    <t>862.98</t>
  </si>
  <si>
    <t>7301 J</t>
  </si>
  <si>
    <t>979.65</t>
  </si>
  <si>
    <t>7432 J</t>
  </si>
  <si>
    <t>Imran Printing Multan</t>
  </si>
  <si>
    <t>119.27000000000001</t>
  </si>
  <si>
    <t>7737/13</t>
  </si>
  <si>
    <t>96.48</t>
  </si>
  <si>
    <t>1488.8200000000002</t>
  </si>
  <si>
    <t>7750/2</t>
  </si>
  <si>
    <t>105.32</t>
  </si>
  <si>
    <t>2560.3799999999997</t>
  </si>
  <si>
    <t>5/7</t>
  </si>
  <si>
    <t>1245.8800000000001</t>
  </si>
  <si>
    <t>7430 J</t>
  </si>
  <si>
    <t>1769.1799999999998</t>
  </si>
  <si>
    <t>2901 F</t>
  </si>
  <si>
    <t>1164.9299999999998</t>
  </si>
  <si>
    <t>7752/1</t>
  </si>
  <si>
    <t>عبدالباری وہاڑی</t>
  </si>
  <si>
    <t>211.83999999999997</t>
  </si>
  <si>
    <t>7760/1</t>
  </si>
  <si>
    <t>153.04</t>
  </si>
  <si>
    <t>7599 J</t>
  </si>
  <si>
    <t>101.5</t>
  </si>
  <si>
    <t>7759/2</t>
  </si>
  <si>
    <t>564.1099999999999</t>
  </si>
  <si>
    <t>7623 J</t>
  </si>
  <si>
    <t>Maryam Fabrics Azam Market LHR</t>
  </si>
  <si>
    <t>103.53</t>
  </si>
  <si>
    <t>7427 J</t>
  </si>
  <si>
    <t>1572.8700000000001</t>
  </si>
  <si>
    <t>18/10</t>
  </si>
  <si>
    <t>1156.8899999999999</t>
  </si>
  <si>
    <t>7745/3</t>
  </si>
  <si>
    <t>279.77</t>
  </si>
  <si>
    <t>9/12</t>
  </si>
  <si>
    <t>1101.79</t>
  </si>
  <si>
    <t>7678 J</t>
  </si>
  <si>
    <t>54.08</t>
  </si>
  <si>
    <t>7771/1</t>
  </si>
  <si>
    <t>3/14</t>
  </si>
  <si>
    <t>19 رول بیگ</t>
  </si>
  <si>
    <t>28/4</t>
  </si>
  <si>
    <t>509.28000000000009</t>
  </si>
  <si>
    <t>7433 J</t>
  </si>
  <si>
    <t>7428 J</t>
  </si>
  <si>
    <t>7371 J</t>
  </si>
  <si>
    <t>Zam Zam Shopping Mall Timbergra</t>
  </si>
  <si>
    <t>204.39</t>
  </si>
  <si>
    <t>7774/2</t>
  </si>
  <si>
    <t>بلال احمد اعظم مارکیٹ</t>
  </si>
  <si>
    <t>70.320000000000007</t>
  </si>
  <si>
    <t>7600 J</t>
  </si>
  <si>
    <t>101.34</t>
  </si>
  <si>
    <t>7762/1</t>
  </si>
  <si>
    <t>336.77000000000004</t>
  </si>
  <si>
    <t>854.23</t>
  </si>
  <si>
    <t>687.5100000000001</t>
  </si>
  <si>
    <t>592.99</t>
  </si>
  <si>
    <t>1498.83</t>
  </si>
  <si>
    <t>2956 F</t>
  </si>
  <si>
    <t>302.03999999999996</t>
  </si>
  <si>
    <t>7767/3</t>
  </si>
  <si>
    <t>ثاقب P خانپور</t>
  </si>
  <si>
    <t>67.59</t>
  </si>
  <si>
    <t>12/15</t>
  </si>
  <si>
    <t>1297.3900000000001</t>
  </si>
  <si>
    <t>7760/2</t>
  </si>
  <si>
    <t>93.38</t>
  </si>
  <si>
    <t>6/12</t>
  </si>
  <si>
    <t>1576.9800000000002</t>
  </si>
  <si>
    <t>7684 J</t>
  </si>
  <si>
    <t>Carrefour Pakistan Ltd</t>
  </si>
  <si>
    <t>24" شیٹ</t>
  </si>
  <si>
    <t>5-5.5/10-11</t>
  </si>
  <si>
    <t>231.14999999999998</t>
  </si>
  <si>
    <t>7429 J</t>
  </si>
  <si>
    <t>1649.1299999999999</t>
  </si>
  <si>
    <t>7683 J</t>
  </si>
  <si>
    <t>32" شیٹ</t>
  </si>
  <si>
    <t>284.52000000000004</t>
  </si>
  <si>
    <t>1341.6499999999999</t>
  </si>
  <si>
    <t>7782/5</t>
  </si>
  <si>
    <t>311.40999999999997</t>
  </si>
  <si>
    <t>2.5/14</t>
  </si>
  <si>
    <t>713.33000000000015</t>
  </si>
  <si>
    <t>7775/2</t>
  </si>
  <si>
    <t>128.88</t>
  </si>
  <si>
    <t>10/15</t>
  </si>
  <si>
    <t>1521.83</t>
  </si>
  <si>
    <t>7774/1</t>
  </si>
  <si>
    <t>53.370000000000005</t>
  </si>
  <si>
    <t>16/6</t>
  </si>
  <si>
    <t>1087.8800000000001</t>
  </si>
  <si>
    <t>7775/4</t>
  </si>
  <si>
    <t>103.21</t>
  </si>
  <si>
    <t>7426 J</t>
  </si>
  <si>
    <t>1442.8799999999999</t>
  </si>
  <si>
    <t>7785/1</t>
  </si>
  <si>
    <t>620.41999999999996</t>
  </si>
  <si>
    <t>7785/2</t>
  </si>
  <si>
    <t>612.29999999999995</t>
  </si>
  <si>
    <t>2995 F</t>
  </si>
  <si>
    <t>7782/1</t>
  </si>
  <si>
    <t>7759/1</t>
  </si>
  <si>
    <t>143.67999999999998</t>
  </si>
  <si>
    <t>11/9</t>
  </si>
  <si>
    <t>1299.1200000000001</t>
  </si>
  <si>
    <t>7782/10</t>
  </si>
  <si>
    <t>153.54</t>
  </si>
  <si>
    <t>7782/11</t>
  </si>
  <si>
    <t>30.21</t>
  </si>
  <si>
    <t>7797/5</t>
  </si>
  <si>
    <t>164.10000000000002</t>
  </si>
  <si>
    <t>7795/1</t>
  </si>
  <si>
    <t>عمیر خالد محمود رائے ونڈ</t>
  </si>
  <si>
    <t>125.75000000000001</t>
  </si>
  <si>
    <t>7797/9</t>
  </si>
  <si>
    <t>77.199999999999989</t>
  </si>
  <si>
    <t>1094.5000000000002</t>
  </si>
  <si>
    <t>347.71999999999997</t>
  </si>
  <si>
    <t>2.5/15</t>
  </si>
  <si>
    <t>1142.6000000000001</t>
  </si>
  <si>
    <t>4/18</t>
  </si>
  <si>
    <t>1135.3999999999999</t>
  </si>
  <si>
    <t>7797/4</t>
  </si>
  <si>
    <t>89.179999999999993</t>
  </si>
  <si>
    <t>7797/6</t>
  </si>
  <si>
    <t>581.81999999999994</t>
  </si>
  <si>
    <t>7797/2</t>
  </si>
  <si>
    <t>118.41999999999999</t>
  </si>
  <si>
    <t>7797/3</t>
  </si>
  <si>
    <t>266.69000000000005</t>
  </si>
  <si>
    <t>7782/9</t>
  </si>
  <si>
    <t>307.55</t>
  </si>
  <si>
    <t>2963 F</t>
  </si>
  <si>
    <t>387.64</t>
  </si>
  <si>
    <t>7788/1</t>
  </si>
  <si>
    <t>117.11999999999998</t>
  </si>
  <si>
    <t>7798/4</t>
  </si>
  <si>
    <t>405.34000000000003</t>
  </si>
  <si>
    <t>7782/2</t>
  </si>
  <si>
    <t>401.34000000000003</t>
  </si>
  <si>
    <t>8/11</t>
  </si>
  <si>
    <t>920.0100000000001</t>
  </si>
  <si>
    <t>7782/7</t>
  </si>
  <si>
    <t>153.62</t>
  </si>
  <si>
    <t>7791/1</t>
  </si>
  <si>
    <t>176.95</t>
  </si>
  <si>
    <t>7863 J</t>
  </si>
  <si>
    <t>Shahid Sawiayan Cowk Azam</t>
  </si>
  <si>
    <t>313.93999999999994</t>
  </si>
  <si>
    <t>2998 F</t>
  </si>
  <si>
    <t>188.88000000000002</t>
  </si>
  <si>
    <t>3000 F</t>
  </si>
  <si>
    <t>08</t>
  </si>
  <si>
    <t>53.58</t>
  </si>
  <si>
    <t>3001 F</t>
  </si>
  <si>
    <t>52.32</t>
  </si>
  <si>
    <t>7853 J</t>
  </si>
  <si>
    <t>982.57999999999993</t>
  </si>
  <si>
    <t>7889 J</t>
  </si>
  <si>
    <t>Alam Printers Butkhela</t>
  </si>
  <si>
    <t>110.61000000000001</t>
  </si>
  <si>
    <t>18/11</t>
  </si>
  <si>
    <t>1744.47</t>
  </si>
  <si>
    <t>7790/1</t>
  </si>
  <si>
    <t>107.45</t>
  </si>
  <si>
    <t>7800/6</t>
  </si>
  <si>
    <t>525.11</t>
  </si>
  <si>
    <t>7805/1</t>
  </si>
  <si>
    <t>97.52000000000001</t>
  </si>
  <si>
    <t>7821/11</t>
  </si>
  <si>
    <t>125.50999999999999</t>
  </si>
  <si>
    <t>7821/5</t>
  </si>
  <si>
    <t>206.93999999999997</t>
  </si>
  <si>
    <t>7891 J</t>
  </si>
  <si>
    <t>1188.6300000000001</t>
  </si>
  <si>
    <t>2999 F</t>
  </si>
  <si>
    <t>104.64</t>
  </si>
  <si>
    <t>7808/1</t>
  </si>
  <si>
    <t>504.02</t>
  </si>
  <si>
    <t>7795/2</t>
  </si>
  <si>
    <t>406.46999999999997</t>
  </si>
  <si>
    <t>2.5/16</t>
  </si>
  <si>
    <t>456.21000000000004</t>
  </si>
  <si>
    <t>28/5</t>
  </si>
  <si>
    <t>1055.3499999999999</t>
  </si>
  <si>
    <t>12/16</t>
  </si>
  <si>
    <t>651.80000000000007</t>
  </si>
  <si>
    <t>7797/1</t>
  </si>
  <si>
    <t>156.17000000000002</t>
  </si>
  <si>
    <t>7793/2</t>
  </si>
  <si>
    <t>53</t>
  </si>
  <si>
    <t>2/7</t>
  </si>
  <si>
    <t>3/17</t>
  </si>
  <si>
    <t>7856 J</t>
  </si>
  <si>
    <t>2091.0699999999997</t>
  </si>
  <si>
    <t>423.19</t>
  </si>
  <si>
    <t>1653.81</t>
  </si>
  <si>
    <t>7827/16</t>
  </si>
  <si>
    <t>آ صف پلاسٹک سرگودھا</t>
  </si>
  <si>
    <t>362.09999999999997</t>
  </si>
  <si>
    <t>7948 J</t>
  </si>
  <si>
    <t>Alam Baker Shahdrah</t>
  </si>
  <si>
    <t>124.72</t>
  </si>
  <si>
    <t>7827/15</t>
  </si>
  <si>
    <t>196.37</t>
  </si>
  <si>
    <t>7953 J</t>
  </si>
  <si>
    <t>Khan Chapli Kabab and Fish Coner Lahore</t>
  </si>
  <si>
    <t>111.26</t>
  </si>
  <si>
    <t>8/12</t>
  </si>
  <si>
    <t>2110.27</t>
  </si>
  <si>
    <t>7827/20</t>
  </si>
  <si>
    <t>15.469999999999999</t>
  </si>
  <si>
    <t>7824/1</t>
  </si>
  <si>
    <t>ون سیٹ گارمینٹس انار کلی</t>
  </si>
  <si>
    <t>80</t>
  </si>
  <si>
    <t>130.14000000000001</t>
  </si>
  <si>
    <t>7821/8</t>
  </si>
  <si>
    <t>553.74</t>
  </si>
  <si>
    <t>7852 J</t>
  </si>
  <si>
    <t>1579.6999999999998</t>
  </si>
  <si>
    <t>7827/8</t>
  </si>
  <si>
    <t>406.55</t>
  </si>
  <si>
    <t>3/16</t>
  </si>
  <si>
    <t>22.9</t>
  </si>
  <si>
    <t>7833/1</t>
  </si>
  <si>
    <t>7827/3</t>
  </si>
  <si>
    <t>368.73999999999995</t>
  </si>
  <si>
    <t>8111 J</t>
  </si>
  <si>
    <t>107.88</t>
  </si>
  <si>
    <t>7821/10</t>
  </si>
  <si>
    <t>559.48</t>
  </si>
  <si>
    <t>7827/12</t>
  </si>
  <si>
    <t>168.62</t>
  </si>
  <si>
    <t>754.3</t>
  </si>
  <si>
    <t>7827/1</t>
  </si>
  <si>
    <t>164.82</t>
  </si>
  <si>
    <t>7854 J</t>
  </si>
  <si>
    <t>1290.4000000000001</t>
  </si>
  <si>
    <t>749.87999999999988</t>
  </si>
  <si>
    <t>7821/6</t>
  </si>
  <si>
    <t>223.89000000000001</t>
  </si>
  <si>
    <t>7836/1</t>
  </si>
  <si>
    <t>98.71</t>
  </si>
  <si>
    <t>7827 J</t>
  </si>
  <si>
    <t>166.45999999999998</t>
  </si>
  <si>
    <t>8110 J</t>
  </si>
  <si>
    <t>207.82</t>
  </si>
  <si>
    <t>14/11</t>
  </si>
  <si>
    <t>7827/11</t>
  </si>
  <si>
    <t>722.53</t>
  </si>
  <si>
    <t>1019.44</t>
  </si>
  <si>
    <t>912.4799999999999</t>
  </si>
  <si>
    <t>257.63</t>
  </si>
  <si>
    <t>2.5/17</t>
  </si>
  <si>
    <t>867.37</t>
  </si>
  <si>
    <t>7821/7</t>
  </si>
  <si>
    <t>415.95000000000005</t>
  </si>
  <si>
    <t>7821/3</t>
  </si>
  <si>
    <t>123.91</t>
  </si>
  <si>
    <t>7841/11</t>
  </si>
  <si>
    <t>طاہر پلاسٹک جھنگ</t>
  </si>
  <si>
    <t>229.45999999999998</t>
  </si>
  <si>
    <t>7841/2</t>
  </si>
  <si>
    <t>106.05</t>
  </si>
  <si>
    <t>6/1</t>
  </si>
  <si>
    <t>7829/1</t>
  </si>
  <si>
    <t>جناح  پیپر اردو بازار</t>
  </si>
  <si>
    <t>812.37000000000012</t>
  </si>
  <si>
    <t>7839/1</t>
  </si>
  <si>
    <t>5187.33</t>
  </si>
  <si>
    <t>7821/4</t>
  </si>
  <si>
    <t>253.36999999999998</t>
  </si>
  <si>
    <t>7827/9</t>
  </si>
  <si>
    <t>666.74</t>
  </si>
  <si>
    <t>7831/2</t>
  </si>
  <si>
    <t>ینیور سل اعظم مارکیٹ</t>
  </si>
  <si>
    <t>42.31</t>
  </si>
  <si>
    <t>7841/9</t>
  </si>
  <si>
    <t>116.08999999999999</t>
  </si>
  <si>
    <t>5/8</t>
  </si>
  <si>
    <t>606.11</t>
  </si>
  <si>
    <t>7834/1</t>
  </si>
  <si>
    <t>171.79999999999998</t>
  </si>
  <si>
    <t>7836/3</t>
  </si>
  <si>
    <t>106.62999999999998</t>
  </si>
  <si>
    <t>7827/2</t>
  </si>
  <si>
    <t>998.43000000000006</t>
  </si>
  <si>
    <t>7815/1</t>
  </si>
  <si>
    <t>25.18</t>
  </si>
  <si>
    <t>7834/2</t>
  </si>
  <si>
    <t>106.1</t>
  </si>
  <si>
    <t>7827/6</t>
  </si>
  <si>
    <t>97.18</t>
  </si>
  <si>
    <t>4/19</t>
  </si>
  <si>
    <t>7827/10</t>
  </si>
  <si>
    <t>58.989999999999995</t>
  </si>
  <si>
    <t>7821/1</t>
  </si>
  <si>
    <t>163.6</t>
  </si>
  <si>
    <t>7627/1</t>
  </si>
  <si>
    <t>CANCEL</t>
  </si>
  <si>
    <t>33.260000000000005</t>
  </si>
  <si>
    <t>7836/2</t>
  </si>
  <si>
    <t>111.24999999999999</t>
  </si>
  <si>
    <t>7827/7</t>
  </si>
  <si>
    <t>80.83</t>
  </si>
  <si>
    <t>11/10</t>
  </si>
  <si>
    <t>431.73999999999995</t>
  </si>
  <si>
    <t>7821/2</t>
  </si>
  <si>
    <t>122.48</t>
  </si>
  <si>
    <t>3/18</t>
  </si>
  <si>
    <t>7845/18</t>
  </si>
  <si>
    <t>914.48</t>
  </si>
  <si>
    <t>3583.7799999999997</t>
  </si>
  <si>
    <t>12/17</t>
  </si>
  <si>
    <t>7846/4</t>
  </si>
  <si>
    <t>109.49</t>
  </si>
  <si>
    <t>7846/2</t>
  </si>
  <si>
    <t>114.52</t>
  </si>
  <si>
    <t>7934.61</t>
  </si>
  <si>
    <t>1117.3</t>
  </si>
  <si>
    <t>525.57000000000005</t>
  </si>
  <si>
    <t>1885.49</t>
  </si>
  <si>
    <t>7845/21</t>
  </si>
  <si>
    <t>436.45</t>
  </si>
  <si>
    <t>7845/22</t>
  </si>
  <si>
    <t>293.61</t>
  </si>
  <si>
    <t>7841/6</t>
  </si>
  <si>
    <t>214.98</t>
  </si>
  <si>
    <t>7846/9</t>
  </si>
  <si>
    <t>264.26</t>
  </si>
  <si>
    <t>7846/8</t>
  </si>
  <si>
    <t>123.16000000000001</t>
  </si>
  <si>
    <t>7846/3</t>
  </si>
  <si>
    <t>114.49</t>
  </si>
  <si>
    <t>7845/7</t>
  </si>
  <si>
    <t>440.70000000000005</t>
  </si>
  <si>
    <t>ALL MACHINES OFF DUE TO EID UL FITER HOLIDAYS</t>
  </si>
  <si>
    <t>7846/5</t>
  </si>
  <si>
    <t>164.21</t>
  </si>
  <si>
    <t>3123 F</t>
  </si>
  <si>
    <t>411.76999999999992</t>
  </si>
  <si>
    <t>7843/1</t>
  </si>
  <si>
    <t>158.44</t>
  </si>
  <si>
    <t>7845/17</t>
  </si>
  <si>
    <t>318.74999999999994</t>
  </si>
  <si>
    <t>14/12</t>
  </si>
  <si>
    <t>1527.5600000000002</t>
  </si>
  <si>
    <t>3/19</t>
  </si>
  <si>
    <t>4/20</t>
  </si>
  <si>
    <t>3133 F</t>
  </si>
  <si>
    <t>317.03999999999996</t>
  </si>
  <si>
    <t>7846/11</t>
  </si>
  <si>
    <t>247.44</t>
  </si>
  <si>
    <t>7846/7</t>
  </si>
  <si>
    <t>173.17</t>
  </si>
  <si>
    <t>7846/12</t>
  </si>
  <si>
    <t>241.98</t>
  </si>
  <si>
    <t>7845/13</t>
  </si>
  <si>
    <t>129.35000000000002</t>
  </si>
  <si>
    <t>9/13</t>
  </si>
  <si>
    <t>1747.67</t>
  </si>
  <si>
    <t>7855 J</t>
  </si>
  <si>
    <t>1719.3399999999997</t>
  </si>
  <si>
    <t>7852/2</t>
  </si>
  <si>
    <t>259.25</t>
  </si>
  <si>
    <t>7863/2</t>
  </si>
  <si>
    <t>امیر حمزہ ملتان</t>
  </si>
  <si>
    <t>274.86</t>
  </si>
  <si>
    <t>7870/1</t>
  </si>
  <si>
    <t>7871/3</t>
  </si>
  <si>
    <t>6.5</t>
  </si>
  <si>
    <t>244.2</t>
  </si>
  <si>
    <t>7864/2</t>
  </si>
  <si>
    <t>سلیمان پلاسٹک جھنگ</t>
  </si>
  <si>
    <t>8387 J</t>
  </si>
  <si>
    <t>Lala Yaseen Lahore</t>
  </si>
  <si>
    <t>151.36000000000001</t>
  </si>
  <si>
    <t>8340 J</t>
  </si>
  <si>
    <t xml:space="preserve">Special Papari Nimko Kamonki </t>
  </si>
  <si>
    <t>99.58</t>
  </si>
  <si>
    <t>8301 J</t>
  </si>
  <si>
    <t>8388 J</t>
  </si>
  <si>
    <t>80.429999999999993</t>
  </si>
  <si>
    <t>Apr</t>
  </si>
  <si>
    <t>ROLL WASTAGE/KGS</t>
  </si>
  <si>
    <t>ROLL WASTE</t>
  </si>
  <si>
    <t>1191.46</t>
  </si>
  <si>
    <t>2364.3999999999996</t>
  </si>
  <si>
    <t>5393.2400000000007</t>
  </si>
  <si>
    <t>153.77999999999997</t>
  </si>
  <si>
    <t>1121.29</t>
  </si>
  <si>
    <t>7854/1</t>
  </si>
  <si>
    <t>3153 F</t>
  </si>
  <si>
    <t>486.97000000000008</t>
  </si>
  <si>
    <t>8449 J</t>
  </si>
  <si>
    <t>303.87</t>
  </si>
  <si>
    <t>8448 J</t>
  </si>
  <si>
    <t>112.85000000000001</t>
  </si>
  <si>
    <t>7845/23</t>
  </si>
  <si>
    <t>201.52</t>
  </si>
  <si>
    <t>8506 J</t>
  </si>
  <si>
    <t>Royal Broke Lahore</t>
  </si>
  <si>
    <t>155.07</t>
  </si>
  <si>
    <t>7864/7</t>
  </si>
  <si>
    <t>414.53</t>
  </si>
  <si>
    <t>8459 J</t>
  </si>
  <si>
    <t>J M Trading Kamoki</t>
  </si>
  <si>
    <t>142.35</t>
  </si>
  <si>
    <t>8504 J</t>
  </si>
  <si>
    <t>142.68</t>
  </si>
  <si>
    <t>8500 J</t>
  </si>
  <si>
    <t>107.07000000000001</t>
  </si>
  <si>
    <t>7871/1</t>
  </si>
  <si>
    <t>511.95999999999992</t>
  </si>
  <si>
    <t>7871/2</t>
  </si>
  <si>
    <t>305.44</t>
  </si>
  <si>
    <t>7854/2</t>
  </si>
  <si>
    <t>7846/10</t>
  </si>
  <si>
    <t>254.45999999999998</t>
  </si>
  <si>
    <t>8398 J</t>
  </si>
  <si>
    <t>1047.1100000000001</t>
  </si>
  <si>
    <t>7846/6</t>
  </si>
  <si>
    <t>110.15</t>
  </si>
  <si>
    <t>8558 J</t>
  </si>
  <si>
    <t>30" شیٹ</t>
  </si>
  <si>
    <t>211.35</t>
  </si>
  <si>
    <t>8562 J</t>
  </si>
  <si>
    <t>1077.72</t>
  </si>
  <si>
    <t>7878/1</t>
  </si>
  <si>
    <t>7883/1</t>
  </si>
  <si>
    <t>557.14</t>
  </si>
  <si>
    <t>7883/2</t>
  </si>
  <si>
    <t>505.62000000000006</t>
  </si>
  <si>
    <t>8501 J</t>
  </si>
  <si>
    <t>154.47999999999999</t>
  </si>
  <si>
    <t>8505 J</t>
  </si>
  <si>
    <t>146.76</t>
  </si>
  <si>
    <t>7871/4</t>
  </si>
  <si>
    <t>200.54000000000002</t>
  </si>
  <si>
    <t>7841/1</t>
  </si>
  <si>
    <t>224.12000000000003</t>
  </si>
  <si>
    <t>WEEK NO 16</t>
  </si>
  <si>
    <t>1780.2200000000003</t>
  </si>
  <si>
    <t>374.04</t>
  </si>
  <si>
    <t>1957.7199999999998</t>
  </si>
  <si>
    <t>2548.2199999999998</t>
  </si>
  <si>
    <t>5089.380000000001</t>
  </si>
  <si>
    <t>8411 J</t>
  </si>
  <si>
    <t>100.65</t>
  </si>
  <si>
    <t>8580 J</t>
  </si>
  <si>
    <t>Super Uniform Shope LHR</t>
  </si>
  <si>
    <t>103.22</t>
  </si>
  <si>
    <t>7857/2</t>
  </si>
  <si>
    <t>پنجاب Pوہاڑی</t>
  </si>
  <si>
    <t>110.19999999999999</t>
  </si>
  <si>
    <t>7863/1</t>
  </si>
  <si>
    <t>1240.72</t>
  </si>
  <si>
    <t>8610 J</t>
  </si>
  <si>
    <t>Emarat Plastic Thokar Niaz Baig</t>
  </si>
  <si>
    <t>212.68</t>
  </si>
  <si>
    <t>8503 J</t>
  </si>
  <si>
    <t>108.98</t>
  </si>
  <si>
    <t>8507 J</t>
  </si>
  <si>
    <t>109.54</t>
  </si>
  <si>
    <t>8550 J</t>
  </si>
  <si>
    <t>96.699999999999989</t>
  </si>
  <si>
    <t>7864/4</t>
  </si>
  <si>
    <t>103.38</t>
  </si>
  <si>
    <t>8412 J</t>
  </si>
  <si>
    <t>101.80000000000001</t>
  </si>
  <si>
    <t>7864/1</t>
  </si>
  <si>
    <t>131.59</t>
  </si>
  <si>
    <t>7838/3</t>
  </si>
  <si>
    <t>544.79</t>
  </si>
  <si>
    <t>8607 J</t>
  </si>
  <si>
    <t>400.08000000000004</t>
  </si>
  <si>
    <t>8608 J</t>
  </si>
  <si>
    <t>322.02</t>
  </si>
  <si>
    <t>3216 F</t>
  </si>
  <si>
    <t>163.78</t>
  </si>
  <si>
    <t>3037 F</t>
  </si>
  <si>
    <t>3210 F</t>
  </si>
  <si>
    <t>379.22</t>
  </si>
  <si>
    <t>7887/5</t>
  </si>
  <si>
    <t>نیو پاک جھنگ</t>
  </si>
  <si>
    <t>264.76</t>
  </si>
  <si>
    <t>7893/1</t>
  </si>
  <si>
    <t>154.07999999999998</t>
  </si>
  <si>
    <t>3218 F</t>
  </si>
  <si>
    <t>468.1</t>
  </si>
  <si>
    <t>7901/1</t>
  </si>
  <si>
    <t>204.44</t>
  </si>
  <si>
    <t>7903/12</t>
  </si>
  <si>
    <t>98.15</t>
  </si>
  <si>
    <t>7887/1</t>
  </si>
  <si>
    <t>7896/1</t>
  </si>
  <si>
    <t>497.03999999999996</t>
  </si>
  <si>
    <t>7894/8</t>
  </si>
  <si>
    <t>111.48</t>
  </si>
  <si>
    <t>7901/2</t>
  </si>
  <si>
    <t>246.68</t>
  </si>
  <si>
    <t>5/9</t>
  </si>
  <si>
    <t>7898/1</t>
  </si>
  <si>
    <t>`</t>
  </si>
  <si>
    <t>5رول بیگ</t>
  </si>
  <si>
    <t>794.32999999999993</t>
  </si>
  <si>
    <t>7903/14</t>
  </si>
  <si>
    <t>8رول بیگ</t>
  </si>
  <si>
    <t>198.01</t>
  </si>
  <si>
    <t>8644 J</t>
  </si>
  <si>
    <t>102.88</t>
  </si>
  <si>
    <t>7898/3</t>
  </si>
  <si>
    <t>1057.7</t>
  </si>
  <si>
    <t>3212 F</t>
  </si>
  <si>
    <t>382.68</t>
  </si>
  <si>
    <t>7893/3</t>
  </si>
  <si>
    <t>156.97999999999999</t>
  </si>
  <si>
    <t>7898/4</t>
  </si>
  <si>
    <t>794.98</t>
  </si>
  <si>
    <t>7903/13</t>
  </si>
  <si>
    <t>375.78</t>
  </si>
  <si>
    <t>7893/2</t>
  </si>
  <si>
    <t>298.32</t>
  </si>
  <si>
    <t>8628 J</t>
  </si>
  <si>
    <t>22.1</t>
  </si>
  <si>
    <t>7896/2</t>
  </si>
  <si>
    <t>549.06000000000006</t>
  </si>
  <si>
    <t>12/18</t>
  </si>
  <si>
    <t>1629.1000000000001</t>
  </si>
  <si>
    <t>3/20</t>
  </si>
  <si>
    <t>245.15</t>
  </si>
  <si>
    <t>7901/3</t>
  </si>
  <si>
    <t>408.12</t>
  </si>
  <si>
    <t>8636 J</t>
  </si>
  <si>
    <t>109.82000000000001</t>
  </si>
  <si>
    <t>7915/8</t>
  </si>
  <si>
    <t>158.04000000000002</t>
  </si>
  <si>
    <t>8706 J</t>
  </si>
  <si>
    <t>96.94</t>
  </si>
  <si>
    <t>8645 J</t>
  </si>
  <si>
    <t>105.14000000000001</t>
  </si>
  <si>
    <t>5/10</t>
  </si>
  <si>
    <t>642.51</t>
  </si>
  <si>
    <t>7915/1</t>
  </si>
  <si>
    <t>644.83999999999992</t>
  </si>
  <si>
    <t>7887/4</t>
  </si>
  <si>
    <t>454.46000000000004</t>
  </si>
  <si>
    <t>7898/7</t>
  </si>
  <si>
    <t>240.92</t>
  </si>
  <si>
    <t>8679 J</t>
  </si>
  <si>
    <t>103.3</t>
  </si>
  <si>
    <t>7912/1</t>
  </si>
  <si>
    <t>724.3599999999999</t>
  </si>
  <si>
    <t>7890/1</t>
  </si>
  <si>
    <t>728.90000000000009</t>
  </si>
  <si>
    <t>7913A/1</t>
  </si>
  <si>
    <t>589.55000000000007</t>
  </si>
  <si>
    <t>7905/3</t>
  </si>
  <si>
    <t>50.72</t>
  </si>
  <si>
    <t>8/13</t>
  </si>
  <si>
    <t>7905/1</t>
  </si>
  <si>
    <t>54.5</t>
  </si>
  <si>
    <t>7905/2</t>
  </si>
  <si>
    <t>53.78</t>
  </si>
  <si>
    <t>4/21</t>
  </si>
  <si>
    <t>7919/1</t>
  </si>
  <si>
    <t>20-Apr</t>
  </si>
  <si>
    <t>21-Apr</t>
  </si>
  <si>
    <t>22-Apr</t>
  </si>
  <si>
    <t>23-Apr</t>
  </si>
  <si>
    <t>24-Apr</t>
  </si>
  <si>
    <t>25-Apr</t>
  </si>
  <si>
    <t>26-Apr</t>
  </si>
  <si>
    <r>
      <t>SIZE CHANGE (</t>
    </r>
    <r>
      <rPr>
        <b/>
        <sz val="18"/>
        <color rgb="FF00B050"/>
        <rFont val="Calibri"/>
        <family val="2"/>
        <scheme val="minor"/>
      </rPr>
      <t>0.93%</t>
    </r>
    <r>
      <rPr>
        <b/>
        <sz val="18"/>
        <color theme="1"/>
        <rFont val="Calibri"/>
        <family val="2"/>
        <scheme val="minor"/>
      </rPr>
      <t>) HEATING (</t>
    </r>
    <r>
      <rPr>
        <b/>
        <sz val="18"/>
        <color rgb="FF00B050"/>
        <rFont val="Calibri"/>
        <family val="2"/>
        <scheme val="minor"/>
      </rPr>
      <t>1.29%</t>
    </r>
    <r>
      <rPr>
        <b/>
        <sz val="18"/>
        <color theme="1"/>
        <rFont val="Calibri"/>
        <family val="2"/>
        <scheme val="minor"/>
      </rPr>
      <t>)</t>
    </r>
  </si>
  <si>
    <r>
      <t>MECHANICAL ISSUE (</t>
    </r>
    <r>
      <rPr>
        <b/>
        <sz val="14"/>
        <color rgb="FF00B050"/>
        <rFont val="Calibri"/>
        <family val="2"/>
        <scheme val="minor"/>
      </rPr>
      <t>0.24%</t>
    </r>
    <r>
      <rPr>
        <b/>
        <sz val="14"/>
        <color theme="1"/>
        <rFont val="Calibri"/>
        <family val="2"/>
        <scheme val="minor"/>
      </rPr>
      <t>) JALI CHANGE (</t>
    </r>
    <r>
      <rPr>
        <b/>
        <sz val="14"/>
        <color rgb="FF00B050"/>
        <rFont val="Calibri"/>
        <family val="2"/>
        <scheme val="minor"/>
      </rPr>
      <t>0.10%</t>
    </r>
    <r>
      <rPr>
        <b/>
        <sz val="14"/>
        <color theme="1"/>
        <rFont val="Calibri"/>
        <family val="2"/>
        <scheme val="minor"/>
      </rPr>
      <t>)OTHERS (</t>
    </r>
    <r>
      <rPr>
        <b/>
        <sz val="14"/>
        <color rgb="FF00B050"/>
        <rFont val="Calibri"/>
        <family val="2"/>
        <scheme val="minor"/>
      </rPr>
      <t>1.83%</t>
    </r>
    <r>
      <rPr>
        <b/>
        <sz val="14"/>
        <color theme="1"/>
        <rFont val="Calibri"/>
        <family val="2"/>
        <scheme val="minor"/>
      </rPr>
      <t>)</t>
    </r>
  </si>
  <si>
    <t>WEEK NO 17</t>
  </si>
  <si>
    <t>5046.17</t>
  </si>
  <si>
    <t>304.85000000000002</t>
  </si>
  <si>
    <t>1004.63</t>
  </si>
  <si>
    <t>1750.8199999999997</t>
  </si>
  <si>
    <t>830.59</t>
  </si>
  <si>
    <t>537.69999999999993</t>
  </si>
  <si>
    <t>7935/1</t>
  </si>
  <si>
    <t>عزیز ٹریڈرز  ہاوس لاہور</t>
  </si>
  <si>
    <t>48.059999999999995</t>
  </si>
  <si>
    <t>7916/1</t>
  </si>
  <si>
    <t>181.15</t>
  </si>
  <si>
    <t>7898/6</t>
  </si>
  <si>
    <t>976.52</t>
  </si>
  <si>
    <t>7915/3</t>
  </si>
  <si>
    <t>310.95999999999998</t>
  </si>
  <si>
    <t>2/8</t>
  </si>
  <si>
    <t>15رول بیگ</t>
  </si>
  <si>
    <t>501.53999999999996</t>
  </si>
  <si>
    <t>7864/3</t>
  </si>
  <si>
    <t>112.57999999999998</t>
  </si>
  <si>
    <t>7938/2</t>
  </si>
  <si>
    <t>AR پلاسٹک پشاور</t>
  </si>
  <si>
    <t>308.29999999999995</t>
  </si>
  <si>
    <t>7934/2</t>
  </si>
  <si>
    <t>101.46000000000001</t>
  </si>
  <si>
    <t>7919/2</t>
  </si>
  <si>
    <t>506.09999999999997</t>
  </si>
  <si>
    <t>7934A/4</t>
  </si>
  <si>
    <t>ایم  عمران پاکستان مارکیٹ</t>
  </si>
  <si>
    <t>194.31</t>
  </si>
  <si>
    <t>7/12</t>
  </si>
  <si>
    <t>764.43</t>
  </si>
  <si>
    <t>7949/1</t>
  </si>
  <si>
    <t>156.85000000000002</t>
  </si>
  <si>
    <t>7932/14</t>
  </si>
  <si>
    <t>849.07999999999993</t>
  </si>
  <si>
    <t>1171.92</t>
  </si>
  <si>
    <t>7934A/2</t>
  </si>
  <si>
    <t>209.95999999999998</t>
  </si>
  <si>
    <t>1359.2499999999998</t>
  </si>
  <si>
    <t>7943/2</t>
  </si>
  <si>
    <t>حنان پلاسٹک فیصل اباد</t>
  </si>
  <si>
    <t>575.46</t>
  </si>
  <si>
    <t>1396.42</t>
  </si>
  <si>
    <t>8727 J</t>
  </si>
  <si>
    <t>203.16000000000003</t>
  </si>
  <si>
    <t>7914/6</t>
  </si>
  <si>
    <t>57.149999999999991</t>
  </si>
  <si>
    <t>13/2</t>
  </si>
  <si>
    <t>335.70000000000005</t>
  </si>
  <si>
    <t>535.72</t>
  </si>
  <si>
    <t>14/13</t>
  </si>
  <si>
    <t>1991.3200000000002</t>
  </si>
  <si>
    <t>7946/1</t>
  </si>
  <si>
    <t>469.18</t>
  </si>
  <si>
    <t>8/14</t>
  </si>
  <si>
    <t>1399.6200000000001</t>
  </si>
  <si>
    <t>7951/1</t>
  </si>
  <si>
    <t>130.92000000000002</t>
  </si>
  <si>
    <t>7950/10</t>
  </si>
  <si>
    <t>6 رول بیگ</t>
  </si>
  <si>
    <t>111.78</t>
  </si>
  <si>
    <t>7956/2</t>
  </si>
  <si>
    <t>215.3</t>
  </si>
  <si>
    <t>27-Apr</t>
  </si>
  <si>
    <t>28-Apr</t>
  </si>
  <si>
    <t>29-Apr</t>
  </si>
  <si>
    <t>30-Apr</t>
  </si>
  <si>
    <t>01-Apr</t>
  </si>
  <si>
    <t>02-Apr</t>
  </si>
  <si>
    <t>03-Apr</t>
  </si>
  <si>
    <t>04-Apr</t>
  </si>
  <si>
    <t>05-Apr</t>
  </si>
  <si>
    <t>06-Apr</t>
  </si>
  <si>
    <t>07-Apr</t>
  </si>
  <si>
    <t>08-Apr</t>
  </si>
  <si>
    <t>09-Apr</t>
  </si>
  <si>
    <t>10-Apr</t>
  </si>
  <si>
    <t>11-Apr</t>
  </si>
  <si>
    <t>12-Apr</t>
  </si>
  <si>
    <t>13-Apr</t>
  </si>
  <si>
    <t>14-Apr</t>
  </si>
  <si>
    <t>15-Apr</t>
  </si>
  <si>
    <t>16-Apr</t>
  </si>
  <si>
    <t>17-Apr</t>
  </si>
  <si>
    <t>18-Apr</t>
  </si>
  <si>
    <t>19-Apr</t>
  </si>
  <si>
    <r>
      <t xml:space="preserve">Size Change </t>
    </r>
    <r>
      <rPr>
        <b/>
        <sz val="20"/>
        <color rgb="FF00B050"/>
        <rFont val="Calibri"/>
        <family val="2"/>
        <scheme val="minor"/>
      </rPr>
      <t>1.08%</t>
    </r>
    <r>
      <rPr>
        <b/>
        <sz val="20"/>
        <rFont val="Calibri"/>
        <family val="2"/>
        <scheme val="minor"/>
      </rPr>
      <t xml:space="preserve"> + MACHINE ON/OFF </t>
    </r>
    <r>
      <rPr>
        <b/>
        <sz val="20"/>
        <color rgb="FF00B050"/>
        <rFont val="Calibri"/>
        <family val="2"/>
        <scheme val="minor"/>
      </rPr>
      <t>1.00%</t>
    </r>
    <r>
      <rPr>
        <b/>
        <sz val="20"/>
        <rFont val="Calibri"/>
        <family val="2"/>
        <scheme val="minor"/>
      </rPr>
      <t xml:space="preserve">    TOTAL=</t>
    </r>
    <r>
      <rPr>
        <b/>
        <sz val="20"/>
        <color rgb="FFFF0000"/>
        <rFont val="Calibri"/>
        <family val="2"/>
        <scheme val="minor"/>
      </rPr>
      <t>2.08%</t>
    </r>
  </si>
  <si>
    <r>
      <t>ELECTRICAL ISSUE (</t>
    </r>
    <r>
      <rPr>
        <b/>
        <sz val="18"/>
        <color rgb="FF00B050"/>
        <rFont val="Calibri"/>
        <family val="2"/>
        <scheme val="minor"/>
      </rPr>
      <t>0.17%</t>
    </r>
    <r>
      <rPr>
        <b/>
        <sz val="18"/>
        <color theme="1"/>
        <rFont val="Calibri"/>
        <family val="2"/>
        <scheme val="minor"/>
      </rPr>
      <t>)</t>
    </r>
    <r>
      <rPr>
        <b/>
        <sz val="18"/>
        <color rgb="FF00B050"/>
        <rFont val="Calibri"/>
        <family val="2"/>
        <scheme val="minor"/>
      </rPr>
      <t xml:space="preserve"> </t>
    </r>
    <r>
      <rPr>
        <b/>
        <sz val="18"/>
        <color theme="1"/>
        <rFont val="Calibri"/>
        <family val="2"/>
        <scheme val="minor"/>
      </rPr>
      <t xml:space="preserve">   JALI CHANGE (</t>
    </r>
    <r>
      <rPr>
        <b/>
        <sz val="18"/>
        <color rgb="FF00B050"/>
        <rFont val="Calibri"/>
        <family val="2"/>
        <scheme val="minor"/>
      </rPr>
      <t>0.43 %</t>
    </r>
    <r>
      <rPr>
        <b/>
        <sz val="18"/>
        <color theme="1"/>
        <rFont val="Calibri"/>
        <family val="2"/>
        <scheme val="minor"/>
      </rPr>
      <t>)</t>
    </r>
    <r>
      <rPr>
        <b/>
        <sz val="18"/>
        <color rgb="FF00B050"/>
        <rFont val="Calibri"/>
        <family val="2"/>
        <scheme val="minor"/>
      </rPr>
      <t xml:space="preserve"> </t>
    </r>
    <r>
      <rPr>
        <b/>
        <sz val="18"/>
        <color theme="1"/>
        <rFont val="Calibri"/>
        <family val="2"/>
        <scheme val="minor"/>
      </rPr>
      <t>MECHANICAL ISSUE(</t>
    </r>
    <r>
      <rPr>
        <b/>
        <sz val="18"/>
        <color rgb="FF00B050"/>
        <rFont val="Calibri"/>
        <family val="2"/>
        <scheme val="minor"/>
      </rPr>
      <t>0.54%</t>
    </r>
    <r>
      <rPr>
        <b/>
        <sz val="18"/>
        <color theme="1"/>
        <rFont val="Calibri"/>
        <family val="2"/>
        <scheme val="minor"/>
      </rPr>
      <t>) TREET ISSUE (</t>
    </r>
    <r>
      <rPr>
        <b/>
        <sz val="18"/>
        <color rgb="FF00B050"/>
        <rFont val="Calibri"/>
        <family val="2"/>
        <scheme val="minor"/>
      </rPr>
      <t>0.24%</t>
    </r>
    <r>
      <rPr>
        <b/>
        <sz val="18"/>
        <color theme="1"/>
        <rFont val="Calibri"/>
        <family val="2"/>
        <scheme val="minor"/>
      </rPr>
      <t>) OTHERS (</t>
    </r>
    <r>
      <rPr>
        <b/>
        <sz val="18"/>
        <color rgb="FF00B050"/>
        <rFont val="Calibri"/>
        <family val="2"/>
        <scheme val="minor"/>
      </rPr>
      <t>0.39%</t>
    </r>
    <r>
      <rPr>
        <b/>
        <sz val="18"/>
        <color theme="1"/>
        <rFont val="Calibri"/>
        <family val="2"/>
        <scheme val="minor"/>
      </rPr>
      <t>) TOTAL=</t>
    </r>
    <r>
      <rPr>
        <b/>
        <sz val="18"/>
        <color rgb="FF00B050"/>
        <rFont val="Calibri"/>
        <family val="2"/>
        <scheme val="minor"/>
      </rPr>
      <t>1.76%</t>
    </r>
  </si>
  <si>
    <t>ROLL/BAGS WASTE</t>
  </si>
  <si>
    <t>ROLL/BAGS WASTAGE/VALUE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</si>
</sst>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409]d/mmm/yy;@"/>
    <numFmt numFmtId="165" formatCode="0.0"/>
    <numFmt numFmtId="166" formatCode="[$-F800]dddd\,\ mmmm\ dd\,\ yyyy"/>
    <numFmt numFmtId="167" formatCode="&quot;Rs.&quot;\ 0.00&quot;/&quot;&quot;KG&quot;"/>
    <numFmt numFmtId="168" formatCode="&quot;WEEK&quot;&quot; &quot;&quot;#&quot;&quot; &quot;0"/>
    <numFmt numFmtId="169" formatCode="&quot;MC&quot;&quot; &quot;&quot;#&quot;&quot; &quot;0"/>
    <numFmt numFmtId="170" formatCode="&quot;LAST WEEK CONVERSION&quot;\ 0.00"/>
    <numFmt numFmtId="171" formatCode="&quot;CONVERSION&quot;\ 0.00"/>
    <numFmt numFmtId="172" formatCode="_(* #,##0_);_(* \(#,##0\);_(* &quot;-&quot;??_);_(@_)"/>
    <numFmt numFmtId="173" formatCode="0.000"/>
    <numFmt numFmtId="174" formatCode="0.00000000000"/>
    <numFmt numFmtId="175" formatCode="[$-409]mmm/yy;@"/>
  </numFmts>
  <fonts count="29"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24"/>
      <color theme="1"/>
      <name val="Calibri"/>
      <family val="2"/>
      <scheme val="minor"/>
    </font>
    <font>
      <b/>
      <sz val="11"/>
      <color theme="1"/>
      <name val="Jameel Noori Nastaleeq"/>
    </font>
    <font>
      <sz val="11"/>
      <color theme="1"/>
      <name val="Jameel Noori Nastaleeq"/>
    </font>
    <font>
      <b/>
      <sz val="18"/>
      <color theme="0"/>
      <name val="Calibri"/>
      <family val="2"/>
      <scheme val="minor"/>
    </font>
    <font>
      <b/>
      <sz val="12"/>
      <color theme="1"/>
      <name val="Jameel Noori Nastaleeq"/>
    </font>
    <font>
      <sz val="8"/>
      <name val="Calibri"/>
      <family val="2"/>
      <scheme val="minor"/>
    </font>
    <font>
      <b/>
      <sz val="16"/>
      <color theme="1"/>
      <name val="Calibri"/>
      <family val="2"/>
      <scheme val="minor"/>
    </font>
    <font>
      <b/>
      <sz val="22"/>
      <color theme="1"/>
      <name val="Calibri"/>
      <family val="2"/>
      <scheme val="minor"/>
    </font>
    <font>
      <b/>
      <sz val="20"/>
      <color theme="0"/>
      <name val="Calibri"/>
      <family val="2"/>
      <scheme val="minor"/>
    </font>
    <font>
      <sz val="14"/>
      <color theme="1"/>
      <name val="Calibri"/>
      <family val="2"/>
      <scheme val="minor"/>
    </font>
    <font>
      <b/>
      <sz val="14"/>
      <color rgb="FF00B050"/>
      <name val="Calibri"/>
      <family val="2"/>
      <scheme val="minor"/>
    </font>
    <font>
      <b/>
      <sz val="14"/>
      <color rgb="FFFF0000"/>
      <name val="Calibri"/>
      <family val="2"/>
      <scheme val="minor"/>
    </font>
    <font>
      <b/>
      <sz val="14"/>
      <name val="Calibri"/>
      <family val="2"/>
      <scheme val="minor"/>
    </font>
    <font>
      <b/>
      <sz val="18"/>
      <color theme="1"/>
      <name val="Calibri"/>
      <family val="2"/>
      <scheme val="minor"/>
    </font>
    <font>
      <b/>
      <sz val="20"/>
      <color theme="1"/>
      <name val="Calibri"/>
      <family val="2"/>
      <scheme val="minor"/>
    </font>
    <font>
      <b/>
      <sz val="18"/>
      <color rgb="FF00B050"/>
      <name val="Calibri"/>
      <family val="2"/>
      <scheme val="minor"/>
    </font>
    <font>
      <sz val="12"/>
      <color rgb="FF001D35"/>
      <name val="Courier New"/>
      <family val="3"/>
    </font>
    <font>
      <b/>
      <sz val="20"/>
      <name val="Calibri"/>
      <family val="2"/>
      <scheme val="minor"/>
    </font>
    <font>
      <b/>
      <sz val="20"/>
      <color rgb="FFFF0000"/>
      <name val="Calibri"/>
      <family val="2"/>
      <scheme val="minor"/>
    </font>
    <font>
      <b/>
      <sz val="20"/>
      <color rgb="FF00B050"/>
      <name val="Calibri"/>
      <family val="2"/>
      <scheme val="minor"/>
    </font>
    <font>
      <b/>
      <sz val="20"/>
      <color rgb="FFEE0000"/>
      <name val="Calibri"/>
      <family val="2"/>
      <scheme val="minor"/>
    </font>
    <font>
      <sz val="20"/>
      <color theme="1"/>
      <name val="Calibri"/>
      <family val="2"/>
      <scheme val="minor"/>
    </font>
    <font>
      <b/>
      <sz val="22"/>
      <color rgb="FF00B050"/>
      <name val="Calibri"/>
      <family val="2"/>
      <scheme val="minor"/>
    </font>
    <font>
      <b/>
      <sz val="12"/>
      <color theme="1"/>
      <name val="Calibri"/>
      <family val="2"/>
      <scheme val="minor"/>
    </font>
    <font>
      <sz val="18"/>
      <color theme="1"/>
      <name val="Calibri"/>
      <family val="2"/>
      <scheme val="minor"/>
    </font>
  </fonts>
  <fills count="14">
    <fill>
      <patternFill patternType="none"/>
    </fill>
    <fill>
      <patternFill patternType="gray125"/>
    </fill>
    <fill>
      <patternFill patternType="solid">
        <fgColor rgb="FF0070C0"/>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rgb="FFFFC000"/>
        <bgColor indexed="64"/>
      </patternFill>
    </fill>
    <fill>
      <patternFill patternType="solid">
        <fgColor theme="0"/>
        <bgColor indexed="64"/>
      </patternFill>
    </fill>
    <fill>
      <patternFill patternType="solid">
        <fgColor rgb="FF00B0F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2" tint="-9.9978637043366805E-2"/>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79">
    <xf numFmtId="0" fontId="0" fillId="0" borderId="0" xfId="0"/>
    <xf numFmtId="0" fontId="2" fillId="2" borderId="0" xfId="0" applyFont="1" applyFill="1" applyAlignment="1">
      <alignment horizontal="center" vertical="center"/>
    </xf>
    <xf numFmtId="0" fontId="4" fillId="2" borderId="0" xfId="0" applyFont="1" applyFill="1" applyAlignment="1">
      <alignment horizontal="center" vertical="center"/>
    </xf>
    <xf numFmtId="164" fontId="2" fillId="2" borderId="0" xfId="0" applyNumberFormat="1" applyFont="1" applyFill="1" applyAlignment="1">
      <alignment horizontal="center" vertical="center"/>
    </xf>
    <xf numFmtId="2" fontId="0" fillId="0" borderId="1" xfId="0" applyNumberFormat="1" applyBorder="1" applyAlignment="1">
      <alignment horizontal="center" vertical="center"/>
    </xf>
    <xf numFmtId="164"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2" borderId="0" xfId="0" applyFont="1" applyFill="1" applyAlignment="1">
      <alignment horizontal="center" vertical="center"/>
    </xf>
    <xf numFmtId="0" fontId="6" fillId="0" borderId="0" xfId="0" applyFont="1"/>
    <xf numFmtId="0" fontId="0" fillId="0" borderId="4" xfId="0" applyBorder="1"/>
    <xf numFmtId="0" fontId="0" fillId="0" borderId="25" xfId="0" applyBorder="1"/>
    <xf numFmtId="0" fontId="2" fillId="0" borderId="0" xfId="0" applyFont="1" applyAlignment="1">
      <alignment horizontal="center"/>
    </xf>
    <xf numFmtId="165" fontId="0" fillId="0" borderId="0" xfId="0" applyNumberFormat="1"/>
    <xf numFmtId="164"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0" fontId="0" fillId="0" borderId="0" xfId="0" applyAlignment="1">
      <alignment vertical="center"/>
    </xf>
    <xf numFmtId="1" fontId="0" fillId="0" borderId="3" xfId="0" applyNumberFormat="1" applyBorder="1" applyAlignment="1">
      <alignment horizontal="center" vertical="center"/>
    </xf>
    <xf numFmtId="0" fontId="5" fillId="3" borderId="1" xfId="0" applyFont="1" applyFill="1" applyBorder="1" applyAlignment="1">
      <alignment horizontal="center" vertical="center" wrapText="1"/>
    </xf>
    <xf numFmtId="0" fontId="5" fillId="0" borderId="0" xfId="0" applyFont="1"/>
    <xf numFmtId="0" fontId="8" fillId="2" borderId="0" xfId="0" applyFont="1" applyFill="1" applyAlignment="1">
      <alignment horizontal="center" vertical="center"/>
    </xf>
    <xf numFmtId="0" fontId="8" fillId="3" borderId="1" xfId="0" applyFont="1" applyFill="1" applyBorder="1" applyAlignment="1">
      <alignment horizontal="center" vertical="center"/>
    </xf>
    <xf numFmtId="2" fontId="8" fillId="0" borderId="1" xfId="0" applyNumberFormat="1" applyFont="1" applyBorder="1" applyAlignment="1">
      <alignment horizontal="center" vertical="center"/>
    </xf>
    <xf numFmtId="0" fontId="8" fillId="0" borderId="0" xfId="0" applyFont="1"/>
    <xf numFmtId="2" fontId="2" fillId="0" borderId="1" xfId="0" applyNumberFormat="1" applyFont="1" applyBorder="1" applyAlignment="1">
      <alignment horizontal="center" vertical="center"/>
    </xf>
    <xf numFmtId="0" fontId="3" fillId="6" borderId="22" xfId="0" applyFont="1" applyFill="1" applyBorder="1" applyAlignment="1">
      <alignment horizontal="center" vertical="center"/>
    </xf>
    <xf numFmtId="10" fontId="16" fillId="0" borderId="1" xfId="1" applyNumberFormat="1" applyFont="1" applyBorder="1" applyAlignment="1">
      <alignment horizontal="center" vertical="center"/>
    </xf>
    <xf numFmtId="2" fontId="0" fillId="0" borderId="0" xfId="0" applyNumberFormat="1"/>
    <xf numFmtId="0" fontId="2" fillId="0" borderId="0" xfId="0" applyFont="1"/>
    <xf numFmtId="2" fontId="2" fillId="0" borderId="0" xfId="0" applyNumberFormat="1" applyFont="1"/>
    <xf numFmtId="164" fontId="0" fillId="8" borderId="2" xfId="0" applyNumberFormat="1" applyFill="1" applyBorder="1" applyAlignment="1">
      <alignment horizontal="center" vertical="center"/>
    </xf>
    <xf numFmtId="0" fontId="0" fillId="8" borderId="3" xfId="0" applyFill="1" applyBorder="1" applyAlignment="1">
      <alignment horizontal="center" vertical="center"/>
    </xf>
    <xf numFmtId="2" fontId="0" fillId="8" borderId="1" xfId="0" applyNumberFormat="1" applyFill="1" applyBorder="1" applyAlignment="1">
      <alignment horizontal="center" vertical="center"/>
    </xf>
    <xf numFmtId="10" fontId="0" fillId="0" borderId="0" xfId="0" applyNumberFormat="1"/>
    <xf numFmtId="167" fontId="14" fillId="0" borderId="1" xfId="1" applyNumberFormat="1" applyFont="1" applyBorder="1" applyAlignment="1">
      <alignment horizontal="center" vertical="center"/>
    </xf>
    <xf numFmtId="14" fontId="0" fillId="0" borderId="0" xfId="0" applyNumberFormat="1"/>
    <xf numFmtId="2" fontId="0" fillId="0" borderId="29" xfId="0" applyNumberFormat="1" applyBorder="1" applyAlignment="1">
      <alignment horizontal="center" vertical="center"/>
    </xf>
    <xf numFmtId="0" fontId="20" fillId="0" borderId="0" xfId="0" applyFont="1"/>
    <xf numFmtId="0" fontId="0" fillId="0" borderId="0" xfId="0" pivotButton="1"/>
    <xf numFmtId="167" fontId="3" fillId="0" borderId="3" xfId="1" applyNumberFormat="1" applyFont="1" applyBorder="1" applyAlignment="1">
      <alignment horizontal="center" vertical="center"/>
    </xf>
    <xf numFmtId="10" fontId="14" fillId="0" borderId="1" xfId="1" applyNumberFormat="1" applyFont="1" applyFill="1" applyBorder="1" applyAlignment="1">
      <alignment horizontal="center" vertical="center"/>
    </xf>
    <xf numFmtId="10" fontId="14" fillId="0" borderId="1" xfId="1" applyNumberFormat="1" applyFont="1" applyBorder="1" applyAlignment="1">
      <alignment horizontal="center" vertical="center"/>
    </xf>
    <xf numFmtId="2" fontId="3" fillId="0" borderId="1" xfId="0" applyNumberFormat="1" applyFont="1" applyBorder="1" applyAlignment="1">
      <alignment horizontal="center" vertical="center"/>
    </xf>
    <xf numFmtId="0" fontId="7" fillId="4" borderId="28" xfId="0" applyFont="1" applyFill="1" applyBorder="1" applyAlignment="1">
      <alignment horizontal="center" vertical="center"/>
    </xf>
    <xf numFmtId="0" fontId="3" fillId="5" borderId="10" xfId="0" applyFont="1" applyFill="1" applyBorder="1" applyAlignment="1">
      <alignment horizontal="center" vertical="center"/>
    </xf>
    <xf numFmtId="2" fontId="21" fillId="0" borderId="16" xfId="0" applyNumberFormat="1" applyFont="1" applyBorder="1" applyAlignment="1">
      <alignment horizontal="center" vertical="center"/>
    </xf>
    <xf numFmtId="2" fontId="18" fillId="0" borderId="16" xfId="0" applyNumberFormat="1" applyFont="1" applyBorder="1" applyAlignment="1">
      <alignment horizontal="center" vertical="center"/>
    </xf>
    <xf numFmtId="2" fontId="3" fillId="0" borderId="16" xfId="0" applyNumberFormat="1" applyFont="1" applyBorder="1" applyAlignment="1">
      <alignment horizontal="center" vertical="center"/>
    </xf>
    <xf numFmtId="10" fontId="23" fillId="0" borderId="19" xfId="1" applyNumberFormat="1" applyFont="1" applyBorder="1" applyAlignment="1">
      <alignment horizontal="center" vertical="center"/>
    </xf>
    <xf numFmtId="10" fontId="24" fillId="0" borderId="19" xfId="1" applyNumberFormat="1" applyFont="1" applyBorder="1" applyAlignment="1">
      <alignment horizontal="center" vertical="center"/>
    </xf>
    <xf numFmtId="10" fontId="14" fillId="0" borderId="5" xfId="1" applyNumberFormat="1" applyFont="1" applyBorder="1" applyAlignment="1">
      <alignment horizontal="center" vertical="center"/>
    </xf>
    <xf numFmtId="2" fontId="21"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10" fontId="23" fillId="0" borderId="5" xfId="1" applyNumberFormat="1" applyFont="1" applyBorder="1" applyAlignment="1">
      <alignment horizontal="center" vertical="center"/>
    </xf>
    <xf numFmtId="10" fontId="22" fillId="0" borderId="5" xfId="1" applyNumberFormat="1" applyFont="1" applyBorder="1" applyAlignment="1">
      <alignment horizontal="center" vertical="center"/>
    </xf>
    <xf numFmtId="172" fontId="21" fillId="0" borderId="1" xfId="2" applyNumberFormat="1" applyFont="1" applyBorder="1" applyAlignment="1">
      <alignment horizontal="center" vertical="center"/>
    </xf>
    <xf numFmtId="172" fontId="3" fillId="0" borderId="1" xfId="2" applyNumberFormat="1" applyFont="1" applyBorder="1" applyAlignment="1">
      <alignment horizontal="center" vertical="center"/>
    </xf>
    <xf numFmtId="10" fontId="23" fillId="0" borderId="1" xfId="1" applyNumberFormat="1" applyFont="1" applyBorder="1" applyAlignment="1">
      <alignment horizontal="center" vertical="center"/>
    </xf>
    <xf numFmtId="0" fontId="3" fillId="0" borderId="4" xfId="0" applyFont="1" applyBorder="1" applyAlignment="1">
      <alignment horizontal="center"/>
    </xf>
    <xf numFmtId="10" fontId="23" fillId="0" borderId="20" xfId="1" applyNumberFormat="1" applyFont="1" applyBorder="1" applyAlignment="1">
      <alignment horizontal="center" vertical="center"/>
    </xf>
    <xf numFmtId="10" fontId="24" fillId="0" borderId="20" xfId="1" applyNumberFormat="1" applyFont="1" applyBorder="1" applyAlignment="1">
      <alignment horizontal="center" vertical="center"/>
    </xf>
    <xf numFmtId="167" fontId="22" fillId="0" borderId="21" xfId="1" applyNumberFormat="1" applyFont="1" applyBorder="1" applyAlignment="1">
      <alignment horizontal="center" vertical="center"/>
    </xf>
    <xf numFmtId="167" fontId="24" fillId="0" borderId="21" xfId="1" applyNumberFormat="1" applyFont="1" applyBorder="1" applyAlignment="1">
      <alignment horizontal="center" vertical="center"/>
    </xf>
    <xf numFmtId="172" fontId="21" fillId="0" borderId="21" xfId="2" applyNumberFormat="1" applyFont="1" applyBorder="1" applyAlignment="1">
      <alignment horizontal="center" vertical="center"/>
    </xf>
    <xf numFmtId="167" fontId="14" fillId="0" borderId="21" xfId="1" applyNumberFormat="1" applyFont="1" applyBorder="1" applyAlignment="1">
      <alignment horizontal="center" vertical="center"/>
    </xf>
    <xf numFmtId="167" fontId="15" fillId="0" borderId="21" xfId="1" applyNumberFormat="1" applyFont="1" applyBorder="1" applyAlignment="1">
      <alignment horizontal="center" vertical="center"/>
    </xf>
    <xf numFmtId="2" fontId="18" fillId="10" borderId="35" xfId="0" applyNumberFormat="1" applyFont="1" applyFill="1" applyBorder="1" applyAlignment="1">
      <alignment horizontal="center" vertical="center"/>
    </xf>
    <xf numFmtId="167" fontId="18" fillId="10" borderId="35" xfId="0" applyNumberFormat="1" applyFont="1" applyFill="1" applyBorder="1" applyAlignment="1">
      <alignment horizontal="center" vertical="center"/>
    </xf>
    <xf numFmtId="167" fontId="3" fillId="10" borderId="35" xfId="0" applyNumberFormat="1" applyFont="1" applyFill="1" applyBorder="1" applyAlignment="1">
      <alignment horizontal="center" vertical="center"/>
    </xf>
    <xf numFmtId="0" fontId="3" fillId="0" borderId="11" xfId="0" applyFont="1" applyBorder="1" applyAlignment="1">
      <alignment horizontal="center" vertical="center"/>
    </xf>
    <xf numFmtId="0" fontId="2" fillId="11" borderId="0" xfId="0" applyFont="1" applyFill="1"/>
    <xf numFmtId="0" fontId="3" fillId="0" borderId="27" xfId="0" applyFont="1" applyBorder="1" applyAlignment="1">
      <alignment vertical="center"/>
    </xf>
    <xf numFmtId="173" fontId="0" fillId="0" borderId="0" xfId="1" applyNumberFormat="1" applyFont="1"/>
    <xf numFmtId="0" fontId="17" fillId="0" borderId="0" xfId="0" applyFont="1"/>
    <xf numFmtId="10" fontId="22" fillId="0" borderId="1" xfId="1" applyNumberFormat="1" applyFont="1" applyBorder="1" applyAlignment="1">
      <alignment horizontal="center" vertical="center"/>
    </xf>
    <xf numFmtId="1" fontId="16" fillId="0" borderId="1" xfId="0" applyNumberFormat="1" applyFont="1" applyBorder="1" applyAlignment="1">
      <alignment horizontal="center" vertical="center"/>
    </xf>
    <xf numFmtId="172" fontId="0" fillId="0" borderId="0" xfId="0" applyNumberFormat="1"/>
    <xf numFmtId="0" fontId="10" fillId="0" borderId="4" xfId="0" applyFont="1" applyBorder="1" applyAlignment="1">
      <alignment horizontal="center"/>
    </xf>
    <xf numFmtId="10" fontId="23" fillId="0" borderId="1" xfId="1" applyNumberFormat="1" applyFont="1" applyFill="1" applyBorder="1" applyAlignment="1">
      <alignment horizontal="center" vertical="center"/>
    </xf>
    <xf numFmtId="10" fontId="26" fillId="0" borderId="1" xfId="1" applyNumberFormat="1" applyFont="1" applyFill="1" applyBorder="1" applyAlignment="1">
      <alignment horizontal="center" vertical="center"/>
    </xf>
    <xf numFmtId="2" fontId="21" fillId="0" borderId="37" xfId="0" applyNumberFormat="1" applyFont="1" applyBorder="1" applyAlignment="1">
      <alignment horizontal="center" vertical="center"/>
    </xf>
    <xf numFmtId="2" fontId="21" fillId="0" borderId="3" xfId="0" applyNumberFormat="1" applyFont="1" applyBorder="1" applyAlignment="1">
      <alignment horizontal="center" vertical="center"/>
    </xf>
    <xf numFmtId="172" fontId="21" fillId="0" borderId="3" xfId="2" applyNumberFormat="1" applyFont="1" applyBorder="1" applyAlignment="1">
      <alignment horizontal="center" vertical="center"/>
    </xf>
    <xf numFmtId="2" fontId="18" fillId="10" borderId="38" xfId="0" applyNumberFormat="1" applyFont="1" applyFill="1" applyBorder="1" applyAlignment="1">
      <alignment horizontal="center" vertical="center"/>
    </xf>
    <xf numFmtId="2" fontId="21" fillId="0" borderId="39" xfId="0" applyNumberFormat="1" applyFont="1" applyBorder="1" applyAlignment="1">
      <alignment horizontal="center" vertical="center"/>
    </xf>
    <xf numFmtId="10" fontId="23" fillId="0" borderId="2" xfId="1" applyNumberFormat="1" applyFont="1" applyFill="1" applyBorder="1" applyAlignment="1">
      <alignment horizontal="center" vertical="center"/>
    </xf>
    <xf numFmtId="2" fontId="21" fillId="0" borderId="2" xfId="0" applyNumberFormat="1" applyFont="1" applyBorder="1" applyAlignment="1">
      <alignment horizontal="center" vertical="center"/>
    </xf>
    <xf numFmtId="172" fontId="21" fillId="0" borderId="2" xfId="2" applyNumberFormat="1" applyFont="1" applyBorder="1" applyAlignment="1">
      <alignment horizontal="center" vertical="center"/>
    </xf>
    <xf numFmtId="10" fontId="26" fillId="0" borderId="2" xfId="1" applyNumberFormat="1" applyFont="1" applyFill="1" applyBorder="1" applyAlignment="1">
      <alignment horizontal="center" vertical="center"/>
    </xf>
    <xf numFmtId="10" fontId="23" fillId="0" borderId="2" xfId="1" applyNumberFormat="1" applyFont="1" applyBorder="1" applyAlignment="1">
      <alignment horizontal="center" vertical="center"/>
    </xf>
    <xf numFmtId="167" fontId="22" fillId="0" borderId="4" xfId="1" applyNumberFormat="1" applyFont="1" applyBorder="1" applyAlignment="1">
      <alignment horizontal="center" vertical="center"/>
    </xf>
    <xf numFmtId="172" fontId="21" fillId="0" borderId="4" xfId="2" applyNumberFormat="1" applyFont="1" applyBorder="1" applyAlignment="1">
      <alignment horizontal="center" vertical="center"/>
    </xf>
    <xf numFmtId="172" fontId="21" fillId="0" borderId="1" xfId="2" applyNumberFormat="1" applyFont="1" applyBorder="1" applyAlignment="1">
      <alignment vertical="center"/>
    </xf>
    <xf numFmtId="0" fontId="25" fillId="0" borderId="1" xfId="0" applyFont="1" applyBorder="1" applyAlignment="1">
      <alignment horizontal="center" vertical="center"/>
    </xf>
    <xf numFmtId="43" fontId="0" fillId="0" borderId="0" xfId="0" applyNumberFormat="1"/>
    <xf numFmtId="167" fontId="21" fillId="0" borderId="1" xfId="1" applyNumberFormat="1" applyFont="1" applyBorder="1" applyAlignment="1">
      <alignment horizontal="center" vertical="center"/>
    </xf>
    <xf numFmtId="2" fontId="18" fillId="9" borderId="1" xfId="0" applyNumberFormat="1" applyFont="1" applyFill="1" applyBorder="1" applyAlignment="1">
      <alignment horizontal="center" vertical="center"/>
    </xf>
    <xf numFmtId="0" fontId="18" fillId="6" borderId="1" xfId="0" applyFont="1" applyFill="1" applyBorder="1" applyAlignment="1">
      <alignment horizontal="center" vertical="center"/>
    </xf>
    <xf numFmtId="0" fontId="18" fillId="9" borderId="1" xfId="0" applyFont="1" applyFill="1" applyBorder="1" applyAlignment="1">
      <alignment horizontal="center" vertical="center"/>
    </xf>
    <xf numFmtId="0" fontId="18" fillId="7" borderId="1" xfId="0" applyFont="1" applyFill="1" applyBorder="1" applyAlignment="1">
      <alignment horizontal="center" vertical="center"/>
    </xf>
    <xf numFmtId="2" fontId="18" fillId="7" borderId="1" xfId="0" applyNumberFormat="1" applyFont="1" applyFill="1" applyBorder="1" applyAlignment="1">
      <alignment horizontal="center" vertical="center"/>
    </xf>
    <xf numFmtId="0" fontId="18" fillId="0" borderId="1" xfId="0" applyFont="1" applyBorder="1" applyAlignment="1">
      <alignment horizontal="center" vertical="center"/>
    </xf>
    <xf numFmtId="2" fontId="18" fillId="0" borderId="2" xfId="0" applyNumberFormat="1" applyFont="1" applyBorder="1" applyAlignment="1">
      <alignment horizontal="center" vertical="center"/>
    </xf>
    <xf numFmtId="0" fontId="18" fillId="6" borderId="2" xfId="0" applyFont="1" applyFill="1" applyBorder="1" applyAlignment="1">
      <alignment horizontal="center" vertical="center"/>
    </xf>
    <xf numFmtId="0" fontId="18" fillId="0" borderId="40" xfId="0" applyFont="1" applyBorder="1" applyAlignment="1">
      <alignment horizontal="center" vertical="center"/>
    </xf>
    <xf numFmtId="0" fontId="18" fillId="0" borderId="24" xfId="0" applyFont="1" applyBorder="1" applyAlignment="1">
      <alignment horizontal="center" vertical="center"/>
    </xf>
    <xf numFmtId="2" fontId="18" fillId="10" borderId="25" xfId="0" applyNumberFormat="1" applyFont="1" applyFill="1" applyBorder="1" applyAlignment="1">
      <alignment horizontal="center" vertical="center"/>
    </xf>
    <xf numFmtId="168" fontId="17" fillId="5" borderId="40" xfId="0" applyNumberFormat="1" applyFont="1" applyFill="1" applyBorder="1" applyAlignment="1">
      <alignment horizontal="center" vertical="center"/>
    </xf>
    <xf numFmtId="168" fontId="17" fillId="5" borderId="24" xfId="0" applyNumberFormat="1" applyFont="1" applyFill="1" applyBorder="1" applyAlignment="1">
      <alignment horizontal="center" vertical="center"/>
    </xf>
    <xf numFmtId="0" fontId="21" fillId="0" borderId="1" xfId="1" applyNumberFormat="1" applyFont="1" applyBorder="1" applyAlignment="1">
      <alignment horizontal="center" vertical="center"/>
    </xf>
    <xf numFmtId="167" fontId="22" fillId="0" borderId="1" xfId="1" applyNumberFormat="1" applyFont="1" applyBorder="1" applyAlignment="1">
      <alignment horizontal="center" vertical="center"/>
    </xf>
    <xf numFmtId="10" fontId="22" fillId="0" borderId="3" xfId="1" applyNumberFormat="1" applyFont="1" applyBorder="1" applyAlignment="1">
      <alignment horizontal="center" vertical="center"/>
    </xf>
    <xf numFmtId="10" fontId="23" fillId="0" borderId="3" xfId="1" applyNumberFormat="1" applyFont="1" applyBorder="1" applyAlignment="1">
      <alignment horizontal="center" vertical="center"/>
    </xf>
    <xf numFmtId="167" fontId="22" fillId="0" borderId="3" xfId="1" applyNumberFormat="1" applyFont="1" applyBorder="1" applyAlignment="1">
      <alignment horizontal="center" vertical="center"/>
    </xf>
    <xf numFmtId="169" fontId="10" fillId="5" borderId="14" xfId="0" applyNumberFormat="1" applyFont="1" applyFill="1" applyBorder="1" applyAlignment="1">
      <alignment horizontal="center" vertical="center"/>
    </xf>
    <xf numFmtId="174" fontId="0" fillId="0" borderId="0" xfId="0" applyNumberFormat="1"/>
    <xf numFmtId="2" fontId="16" fillId="0" borderId="1" xfId="0" applyNumberFormat="1" applyFont="1" applyBorder="1" applyAlignment="1">
      <alignment horizontal="center" vertical="center"/>
    </xf>
    <xf numFmtId="2" fontId="16" fillId="0" borderId="39" xfId="0" applyNumberFormat="1" applyFont="1" applyBorder="1" applyAlignment="1">
      <alignment horizontal="center" vertical="center"/>
    </xf>
    <xf numFmtId="2" fontId="16" fillId="0" borderId="16" xfId="0" applyNumberFormat="1" applyFont="1" applyBorder="1" applyAlignment="1">
      <alignment horizontal="center" vertical="center"/>
    </xf>
    <xf numFmtId="2" fontId="16" fillId="0" borderId="17" xfId="0" applyNumberFormat="1" applyFont="1" applyBorder="1" applyAlignment="1">
      <alignment horizontal="center" vertical="center"/>
    </xf>
    <xf numFmtId="10" fontId="14" fillId="0" borderId="2" xfId="1" applyNumberFormat="1" applyFont="1" applyFill="1" applyBorder="1" applyAlignment="1">
      <alignment horizontal="center" vertical="center"/>
    </xf>
    <xf numFmtId="2" fontId="16" fillId="0" borderId="4" xfId="0" applyNumberFormat="1" applyFont="1" applyBorder="1" applyAlignment="1">
      <alignment horizontal="center" vertical="center"/>
    </xf>
    <xf numFmtId="2" fontId="16" fillId="0" borderId="2" xfId="0" applyNumberFormat="1" applyFont="1" applyBorder="1" applyAlignment="1">
      <alignment horizontal="center" vertical="center"/>
    </xf>
    <xf numFmtId="1" fontId="16" fillId="0" borderId="2" xfId="0" applyNumberFormat="1" applyFont="1" applyBorder="1" applyAlignment="1">
      <alignment horizontal="center" vertical="center"/>
    </xf>
    <xf numFmtId="1" fontId="16" fillId="0" borderId="4" xfId="0" applyNumberFormat="1" applyFont="1" applyBorder="1" applyAlignment="1">
      <alignment horizontal="center" vertical="center"/>
    </xf>
    <xf numFmtId="10" fontId="16" fillId="0" borderId="4" xfId="1" applyNumberFormat="1" applyFont="1" applyBorder="1" applyAlignment="1">
      <alignment horizontal="center" vertical="center"/>
    </xf>
    <xf numFmtId="165" fontId="16" fillId="0" borderId="4" xfId="0" applyNumberFormat="1" applyFont="1" applyBorder="1" applyAlignment="1">
      <alignment horizontal="center" vertical="center"/>
    </xf>
    <xf numFmtId="2" fontId="16" fillId="0" borderId="30" xfId="0" applyNumberFormat="1" applyFont="1" applyBorder="1" applyAlignment="1">
      <alignment vertical="center"/>
    </xf>
    <xf numFmtId="167" fontId="3" fillId="0" borderId="16" xfId="1" applyNumberFormat="1" applyFont="1" applyBorder="1" applyAlignment="1">
      <alignment horizontal="center" vertical="center"/>
    </xf>
    <xf numFmtId="2" fontId="3" fillId="0" borderId="16" xfId="0" applyNumberFormat="1" applyFont="1" applyBorder="1" applyAlignment="1">
      <alignment vertical="center"/>
    </xf>
    <xf numFmtId="2" fontId="3" fillId="0" borderId="43" xfId="0" applyNumberFormat="1" applyFont="1" applyBorder="1" applyAlignment="1">
      <alignment vertical="center"/>
    </xf>
    <xf numFmtId="0" fontId="0" fillId="0" borderId="28" xfId="0" applyBorder="1"/>
    <xf numFmtId="167" fontId="3" fillId="0" borderId="46" xfId="1" applyNumberFormat="1" applyFont="1" applyBorder="1" applyAlignment="1">
      <alignment horizontal="center" vertical="center"/>
    </xf>
    <xf numFmtId="0" fontId="16" fillId="0" borderId="46" xfId="1" applyNumberFormat="1" applyFont="1" applyBorder="1" applyAlignment="1">
      <alignment horizontal="center" vertical="center"/>
    </xf>
    <xf numFmtId="167" fontId="14" fillId="0" borderId="45" xfId="1" applyNumberFormat="1" applyFont="1" applyBorder="1" applyAlignment="1">
      <alignment horizontal="center" vertical="center"/>
    </xf>
    <xf numFmtId="0" fontId="10" fillId="5" borderId="9" xfId="0" applyFont="1" applyFill="1" applyBorder="1" applyAlignment="1">
      <alignment horizontal="center" vertical="center"/>
    </xf>
    <xf numFmtId="0" fontId="13" fillId="0" borderId="49" xfId="0" applyFont="1" applyBorder="1"/>
    <xf numFmtId="0" fontId="3" fillId="0" borderId="49" xfId="0" applyFont="1" applyBorder="1" applyAlignment="1">
      <alignment horizontal="center"/>
    </xf>
    <xf numFmtId="0" fontId="10" fillId="0" borderId="49" xfId="0" applyFont="1" applyBorder="1" applyAlignment="1">
      <alignment horizontal="center" vertical="center"/>
    </xf>
    <xf numFmtId="0" fontId="3" fillId="0" borderId="49" xfId="0" applyFont="1" applyBorder="1" applyAlignment="1">
      <alignment horizontal="center" vertical="center"/>
    </xf>
    <xf numFmtId="2" fontId="3" fillId="0" borderId="49" xfId="0" applyNumberFormat="1" applyFont="1" applyBorder="1" applyAlignment="1">
      <alignment horizontal="center" vertical="center"/>
    </xf>
    <xf numFmtId="170" fontId="17" fillId="0" borderId="49" xfId="0" applyNumberFormat="1" applyFont="1" applyBorder="1" applyAlignment="1">
      <alignment horizontal="center" vertical="center"/>
    </xf>
    <xf numFmtId="171" fontId="17" fillId="7" borderId="12" xfId="0" applyNumberFormat="1" applyFont="1" applyFill="1" applyBorder="1" applyAlignment="1">
      <alignment horizontal="center" vertical="center"/>
    </xf>
    <xf numFmtId="0" fontId="12" fillId="4" borderId="10" xfId="0" applyFont="1" applyFill="1" applyBorder="1" applyAlignment="1">
      <alignment horizontal="center" vertical="center"/>
    </xf>
    <xf numFmtId="0" fontId="16" fillId="0" borderId="50" xfId="1" applyNumberFormat="1" applyFont="1" applyBorder="1" applyAlignment="1">
      <alignment horizontal="center" vertical="center"/>
    </xf>
    <xf numFmtId="10" fontId="14" fillId="0" borderId="51" xfId="1" applyNumberFormat="1" applyFont="1" applyFill="1" applyBorder="1" applyAlignment="1">
      <alignment horizontal="center" vertical="center"/>
    </xf>
    <xf numFmtId="2" fontId="16" fillId="0" borderId="51" xfId="1" applyNumberFormat="1" applyFont="1" applyBorder="1" applyAlignment="1">
      <alignment horizontal="center" vertical="center"/>
    </xf>
    <xf numFmtId="0" fontId="16" fillId="0" borderId="51" xfId="1" applyNumberFormat="1" applyFont="1" applyBorder="1" applyAlignment="1">
      <alignment horizontal="center" vertical="center"/>
    </xf>
    <xf numFmtId="167" fontId="3" fillId="0" borderId="51" xfId="1" applyNumberFormat="1" applyFont="1" applyBorder="1" applyAlignment="1">
      <alignment horizontal="center" vertical="center"/>
    </xf>
    <xf numFmtId="0" fontId="3" fillId="0" borderId="51" xfId="1" applyNumberFormat="1" applyFont="1" applyBorder="1" applyAlignment="1">
      <alignment horizontal="center" vertical="center"/>
    </xf>
    <xf numFmtId="167" fontId="15" fillId="0" borderId="51" xfId="1" applyNumberFormat="1" applyFont="1" applyBorder="1" applyAlignment="1">
      <alignment horizontal="center" vertical="center"/>
    </xf>
    <xf numFmtId="167" fontId="3" fillId="0" borderId="52" xfId="1" applyNumberFormat="1" applyFont="1" applyBorder="1" applyAlignment="1">
      <alignment horizontal="center" vertical="center"/>
    </xf>
    <xf numFmtId="0" fontId="18" fillId="6" borderId="14" xfId="0" applyFont="1" applyFill="1" applyBorder="1" applyAlignment="1">
      <alignment horizontal="center" vertical="center"/>
    </xf>
    <xf numFmtId="2" fontId="18" fillId="10" borderId="54" xfId="0" applyNumberFormat="1" applyFont="1" applyFill="1" applyBorder="1" applyAlignment="1">
      <alignment horizontal="center" vertical="center"/>
    </xf>
    <xf numFmtId="10" fontId="14" fillId="0" borderId="51" xfId="1" applyNumberFormat="1" applyFont="1" applyBorder="1" applyAlignment="1">
      <alignment horizontal="center" vertical="center"/>
    </xf>
    <xf numFmtId="10" fontId="10" fillId="0" borderId="49" xfId="0" applyNumberFormat="1" applyFont="1" applyBorder="1" applyAlignment="1">
      <alignment horizontal="center" vertical="center"/>
    </xf>
    <xf numFmtId="167" fontId="23" fillId="0" borderId="3" xfId="1" applyNumberFormat="1" applyFont="1" applyBorder="1" applyAlignment="1">
      <alignment horizontal="center" vertical="center"/>
    </xf>
    <xf numFmtId="0" fontId="17" fillId="12" borderId="0" xfId="0" applyFont="1" applyFill="1"/>
    <xf numFmtId="172" fontId="17" fillId="12" borderId="0" xfId="0" applyNumberFormat="1" applyFont="1" applyFill="1"/>
    <xf numFmtId="14" fontId="27" fillId="13" borderId="0" xfId="0" applyNumberFormat="1" applyFont="1" applyFill="1" applyAlignment="1">
      <alignment horizontal="center"/>
    </xf>
    <xf numFmtId="0" fontId="27" fillId="13" borderId="0" xfId="0" applyFont="1" applyFill="1" applyAlignment="1">
      <alignment horizontal="center"/>
    </xf>
    <xf numFmtId="173" fontId="28" fillId="0" borderId="0" xfId="0" applyNumberFormat="1" applyFont="1"/>
    <xf numFmtId="165" fontId="16" fillId="0" borderId="1" xfId="0" applyNumberFormat="1" applyFont="1" applyBorder="1" applyAlignment="1">
      <alignment horizontal="center" vertical="center"/>
    </xf>
    <xf numFmtId="167" fontId="22" fillId="0" borderId="2" xfId="1" applyNumberFormat="1" applyFont="1" applyBorder="1" applyAlignment="1">
      <alignment horizontal="center" vertical="center"/>
    </xf>
    <xf numFmtId="167" fontId="23" fillId="0" borderId="1" xfId="1" applyNumberFormat="1" applyFont="1" applyBorder="1" applyAlignment="1">
      <alignment horizontal="center" vertical="center"/>
    </xf>
    <xf numFmtId="0" fontId="17" fillId="0" borderId="49" xfId="0" applyFont="1" applyBorder="1" applyAlignment="1">
      <alignment horizontal="center" vertical="center" wrapText="1"/>
    </xf>
    <xf numFmtId="0" fontId="3" fillId="0" borderId="49" xfId="0" applyFont="1" applyBorder="1" applyAlignment="1">
      <alignment horizontal="center" vertical="center" wrapText="1"/>
    </xf>
    <xf numFmtId="0" fontId="3" fillId="6" borderId="14" xfId="0" applyFont="1" applyFill="1" applyBorder="1" applyAlignment="1">
      <alignment horizontal="center" vertical="center"/>
    </xf>
    <xf numFmtId="0" fontId="3" fillId="6" borderId="15" xfId="0" applyFont="1" applyFill="1" applyBorder="1" applyAlignment="1">
      <alignment horizontal="center" vertical="center"/>
    </xf>
    <xf numFmtId="10" fontId="14" fillId="0" borderId="0" xfId="1" applyNumberFormat="1" applyFont="1" applyFill="1" applyBorder="1" applyAlignment="1">
      <alignment horizontal="center" vertical="center"/>
    </xf>
    <xf numFmtId="10" fontId="14" fillId="0" borderId="44" xfId="1" applyNumberFormat="1" applyFont="1" applyFill="1" applyBorder="1" applyAlignment="1">
      <alignment horizontal="center" vertical="center"/>
    </xf>
    <xf numFmtId="10" fontId="14" fillId="0" borderId="45" xfId="1" applyNumberFormat="1" applyFont="1" applyFill="1" applyBorder="1" applyAlignment="1">
      <alignment horizontal="center" vertical="center"/>
    </xf>
    <xf numFmtId="0" fontId="12" fillId="4" borderId="8" xfId="0" applyFont="1" applyFill="1" applyBorder="1" applyAlignment="1">
      <alignment horizontal="center" vertical="center"/>
    </xf>
    <xf numFmtId="0" fontId="12" fillId="4" borderId="28" xfId="0" applyFont="1" applyFill="1" applyBorder="1" applyAlignment="1">
      <alignment horizontal="center" vertical="center"/>
    </xf>
    <xf numFmtId="166" fontId="12" fillId="4" borderId="9" xfId="0" applyNumberFormat="1" applyFont="1" applyFill="1" applyBorder="1" applyAlignment="1">
      <alignment horizontal="center" vertical="center"/>
    </xf>
    <xf numFmtId="166" fontId="12" fillId="4" borderId="12" xfId="0" applyNumberFormat="1" applyFont="1" applyFill="1" applyBorder="1" applyAlignment="1">
      <alignment horizontal="center" vertical="center"/>
    </xf>
    <xf numFmtId="0" fontId="11" fillId="5" borderId="8" xfId="0" applyFont="1" applyFill="1" applyBorder="1" applyAlignment="1">
      <alignment horizontal="center" vertical="center"/>
    </xf>
    <xf numFmtId="0" fontId="11" fillId="5" borderId="9" xfId="0" applyFont="1" applyFill="1" applyBorder="1" applyAlignment="1">
      <alignment horizontal="center" vertical="center"/>
    </xf>
    <xf numFmtId="0" fontId="11" fillId="5" borderId="11" xfId="0" applyFont="1" applyFill="1" applyBorder="1" applyAlignment="1">
      <alignment horizontal="center" vertical="center"/>
    </xf>
    <xf numFmtId="0" fontId="11" fillId="5" borderId="12" xfId="0" applyFont="1" applyFill="1" applyBorder="1" applyAlignment="1">
      <alignment horizontal="center" vertical="center"/>
    </xf>
    <xf numFmtId="0" fontId="10" fillId="5" borderId="10" xfId="0" applyFont="1" applyFill="1" applyBorder="1" applyAlignment="1">
      <alignment horizontal="center" vertical="center"/>
    </xf>
    <xf numFmtId="0" fontId="10" fillId="5" borderId="23" xfId="0" applyFont="1" applyFill="1" applyBorder="1" applyAlignment="1">
      <alignment horizontal="center" vertical="center"/>
    </xf>
    <xf numFmtId="0" fontId="10" fillId="5" borderId="8"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14" xfId="0" applyFont="1" applyFill="1" applyBorder="1" applyAlignment="1">
      <alignment horizontal="center" vertical="center"/>
    </xf>
    <xf numFmtId="0" fontId="10" fillId="5" borderId="26" xfId="0" applyFont="1" applyFill="1" applyBorder="1" applyAlignment="1">
      <alignment horizontal="center" vertical="center"/>
    </xf>
    <xf numFmtId="0" fontId="3" fillId="6" borderId="10" xfId="0" applyFont="1" applyFill="1" applyBorder="1" applyAlignment="1">
      <alignment horizontal="center" vertical="center"/>
    </xf>
    <xf numFmtId="0" fontId="3" fillId="6" borderId="23" xfId="0" applyFont="1" applyFill="1" applyBorder="1" applyAlignment="1">
      <alignment horizontal="center" vertical="center"/>
    </xf>
    <xf numFmtId="2" fontId="3" fillId="0" borderId="11" xfId="0" applyNumberFormat="1" applyFont="1" applyBorder="1" applyAlignment="1">
      <alignment horizontal="center" vertical="center"/>
    </xf>
    <xf numFmtId="2" fontId="3" fillId="0" borderId="27" xfId="0" applyNumberFormat="1" applyFont="1" applyBorder="1" applyAlignment="1">
      <alignment horizontal="center" vertical="center"/>
    </xf>
    <xf numFmtId="2" fontId="3" fillId="0" borderId="12" xfId="0" applyNumberFormat="1" applyFont="1" applyBorder="1" applyAlignment="1">
      <alignment horizontal="center" vertical="center"/>
    </xf>
    <xf numFmtId="0" fontId="3" fillId="6" borderId="11" xfId="0" applyFont="1" applyFill="1" applyBorder="1" applyAlignment="1">
      <alignment horizontal="center" vertical="center"/>
    </xf>
    <xf numFmtId="10" fontId="14" fillId="0" borderId="46" xfId="1" applyNumberFormat="1" applyFont="1" applyBorder="1" applyAlignment="1">
      <alignment horizontal="center" vertical="center"/>
    </xf>
    <xf numFmtId="167" fontId="3" fillId="0" borderId="14" xfId="1" applyNumberFormat="1" applyFont="1" applyBorder="1" applyAlignment="1">
      <alignment horizontal="center" vertical="center"/>
    </xf>
    <xf numFmtId="167" fontId="3" fillId="0" borderId="15" xfId="1" applyNumberFormat="1" applyFont="1" applyBorder="1" applyAlignment="1">
      <alignment horizontal="center" vertical="center"/>
    </xf>
    <xf numFmtId="167" fontId="3" fillId="0" borderId="33" xfId="1" applyNumberFormat="1" applyFont="1" applyBorder="1" applyAlignment="1">
      <alignment horizontal="center" vertical="center"/>
    </xf>
    <xf numFmtId="167" fontId="3" fillId="0" borderId="48" xfId="1" applyNumberFormat="1" applyFont="1" applyBorder="1" applyAlignment="1">
      <alignment horizontal="center" vertical="center"/>
    </xf>
    <xf numFmtId="2" fontId="16" fillId="0" borderId="2" xfId="0" applyNumberFormat="1" applyFont="1" applyBorder="1" applyAlignment="1">
      <alignment horizontal="center" vertical="center"/>
    </xf>
    <xf numFmtId="2" fontId="16" fillId="0" borderId="1" xfId="0" applyNumberFormat="1" applyFont="1" applyBorder="1" applyAlignment="1">
      <alignment horizontal="center" vertical="center"/>
    </xf>
    <xf numFmtId="10" fontId="15" fillId="0" borderId="2" xfId="0" applyNumberFormat="1" applyFont="1" applyBorder="1" applyAlignment="1">
      <alignment horizontal="center" vertical="center"/>
    </xf>
    <xf numFmtId="10" fontId="15" fillId="0" borderId="1" xfId="0" applyNumberFormat="1" applyFont="1" applyBorder="1" applyAlignment="1">
      <alignment horizontal="center" vertical="center"/>
    </xf>
    <xf numFmtId="165" fontId="16" fillId="0" borderId="2" xfId="0" applyNumberFormat="1" applyFont="1" applyBorder="1" applyAlignment="1">
      <alignment horizontal="center" vertical="center"/>
    </xf>
    <xf numFmtId="165" fontId="16" fillId="0" borderId="1" xfId="0" applyNumberFormat="1" applyFont="1" applyBorder="1" applyAlignment="1">
      <alignment horizontal="center" vertical="center"/>
    </xf>
    <xf numFmtId="167" fontId="3" fillId="0" borderId="51" xfId="1" applyNumberFormat="1" applyFont="1" applyBorder="1" applyAlignment="1">
      <alignment horizontal="center" vertical="center"/>
    </xf>
    <xf numFmtId="2" fontId="16" fillId="0" borderId="41" xfId="0" applyNumberFormat="1" applyFont="1" applyBorder="1" applyAlignment="1">
      <alignment horizontal="center" vertical="center"/>
    </xf>
    <xf numFmtId="2" fontId="16" fillId="0" borderId="5" xfId="0" applyNumberFormat="1" applyFont="1" applyBorder="1" applyAlignment="1">
      <alignment horizontal="center" vertical="center"/>
    </xf>
    <xf numFmtId="10" fontId="14" fillId="0" borderId="2" xfId="1" applyNumberFormat="1" applyFont="1" applyBorder="1" applyAlignment="1">
      <alignment horizontal="center" vertical="center"/>
    </xf>
    <xf numFmtId="10" fontId="14" fillId="0" borderId="1" xfId="1" applyNumberFormat="1" applyFont="1" applyBorder="1" applyAlignment="1">
      <alignment horizontal="center" vertical="center"/>
    </xf>
    <xf numFmtId="167" fontId="3" fillId="0" borderId="47" xfId="1" applyNumberFormat="1" applyFont="1" applyBorder="1" applyAlignment="1">
      <alignment horizontal="center" vertical="center"/>
    </xf>
    <xf numFmtId="167" fontId="3" fillId="0" borderId="21" xfId="1" applyNumberFormat="1" applyFont="1" applyBorder="1" applyAlignment="1">
      <alignment horizontal="center" vertical="center"/>
    </xf>
    <xf numFmtId="2" fontId="3" fillId="0" borderId="14" xfId="0" applyNumberFormat="1" applyFont="1" applyBorder="1" applyAlignment="1">
      <alignment horizontal="center" vertical="center"/>
    </xf>
    <xf numFmtId="2" fontId="3" fillId="0" borderId="42" xfId="0" applyNumberFormat="1" applyFont="1" applyBorder="1" applyAlignment="1">
      <alignment horizontal="center" vertical="center"/>
    </xf>
    <xf numFmtId="0" fontId="17" fillId="5" borderId="16" xfId="0" applyFont="1" applyFill="1" applyBorder="1" applyAlignment="1">
      <alignment horizontal="center" vertical="center" wrapText="1"/>
    </xf>
    <xf numFmtId="0" fontId="17" fillId="5" borderId="24" xfId="0" applyFont="1" applyFill="1" applyBorder="1" applyAlignment="1">
      <alignment horizontal="center" vertical="center" wrapText="1"/>
    </xf>
    <xf numFmtId="10" fontId="23" fillId="0" borderId="3" xfId="1" applyNumberFormat="1" applyFont="1" applyBorder="1" applyAlignment="1">
      <alignment horizontal="center" vertical="center"/>
    </xf>
    <xf numFmtId="167" fontId="18" fillId="9" borderId="3" xfId="1" applyNumberFormat="1" applyFont="1" applyFill="1" applyBorder="1" applyAlignment="1">
      <alignment horizontal="center" vertical="center"/>
    </xf>
    <xf numFmtId="167" fontId="18" fillId="7" borderId="3" xfId="1" applyNumberFormat="1" applyFont="1" applyFill="1" applyBorder="1" applyAlignment="1">
      <alignment horizontal="center" vertical="center"/>
    </xf>
    <xf numFmtId="167" fontId="3" fillId="0" borderId="5" xfId="1" applyNumberFormat="1" applyFont="1" applyBorder="1" applyAlignment="1">
      <alignment horizontal="center" vertical="center"/>
    </xf>
    <xf numFmtId="167" fontId="3" fillId="0" borderId="29" xfId="1" applyNumberFormat="1" applyFont="1" applyBorder="1" applyAlignment="1">
      <alignment horizontal="center" vertical="center"/>
    </xf>
    <xf numFmtId="167" fontId="3" fillId="0" borderId="34" xfId="1" applyNumberFormat="1" applyFont="1" applyBorder="1" applyAlignment="1">
      <alignment horizontal="center" vertical="center"/>
    </xf>
    <xf numFmtId="0" fontId="17" fillId="5" borderId="9" xfId="0" applyFont="1" applyFill="1" applyBorder="1" applyAlignment="1">
      <alignment horizontal="center" vertical="center" wrapText="1"/>
    </xf>
    <xf numFmtId="0" fontId="17" fillId="5" borderId="7" xfId="0" applyFont="1" applyFill="1" applyBorder="1" applyAlignment="1">
      <alignment horizontal="center" vertical="center" wrapText="1"/>
    </xf>
    <xf numFmtId="0" fontId="17" fillId="5" borderId="37" xfId="0" applyFont="1" applyFill="1" applyBorder="1" applyAlignment="1">
      <alignment horizontal="center" vertical="center" wrapText="1"/>
    </xf>
    <xf numFmtId="0" fontId="17" fillId="5" borderId="53" xfId="0" applyFont="1" applyFill="1" applyBorder="1" applyAlignment="1">
      <alignment horizontal="center" vertical="center" wrapText="1"/>
    </xf>
    <xf numFmtId="0" fontId="18" fillId="6" borderId="14" xfId="0" applyFont="1" applyFill="1" applyBorder="1" applyAlignment="1">
      <alignment horizontal="center" vertical="center"/>
    </xf>
    <xf numFmtId="0" fontId="18" fillId="6" borderId="26" xfId="0" applyFont="1" applyFill="1" applyBorder="1" applyAlignment="1">
      <alignment horizontal="center" vertical="center"/>
    </xf>
    <xf numFmtId="167" fontId="18" fillId="0" borderId="5" xfId="1" applyNumberFormat="1" applyFont="1" applyBorder="1" applyAlignment="1">
      <alignment horizontal="center" vertical="center"/>
    </xf>
    <xf numFmtId="167" fontId="18" fillId="0" borderId="29" xfId="1" applyNumberFormat="1" applyFont="1" applyBorder="1" applyAlignment="1">
      <alignment horizontal="center" vertical="center"/>
    </xf>
    <xf numFmtId="167" fontId="18" fillId="0" borderId="34" xfId="1" applyNumberFormat="1" applyFont="1" applyBorder="1" applyAlignment="1">
      <alignment horizontal="center" vertical="center"/>
    </xf>
    <xf numFmtId="167" fontId="18" fillId="7" borderId="36" xfId="1" applyNumberFormat="1" applyFont="1" applyFill="1" applyBorder="1" applyAlignment="1">
      <alignment horizontal="center" vertical="center"/>
    </xf>
    <xf numFmtId="0" fontId="21" fillId="0" borderId="17" xfId="0" applyFont="1" applyBorder="1" applyAlignment="1">
      <alignment horizontal="center" vertical="center" wrapText="1"/>
    </xf>
    <xf numFmtId="0" fontId="21" fillId="0" borderId="4"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18" fillId="6" borderId="10" xfId="0" applyFont="1" applyFill="1" applyBorder="1" applyAlignment="1">
      <alignment horizontal="center" vertical="center"/>
    </xf>
    <xf numFmtId="0" fontId="18" fillId="6" borderId="23" xfId="0" applyFont="1" applyFill="1" applyBorder="1" applyAlignment="1">
      <alignment horizontal="center" vertical="center"/>
    </xf>
    <xf numFmtId="167" fontId="18" fillId="9" borderId="4" xfId="1" applyNumberFormat="1" applyFont="1" applyFill="1" applyBorder="1" applyAlignment="1">
      <alignment horizontal="center" vertical="center"/>
    </xf>
    <xf numFmtId="167" fontId="18" fillId="9" borderId="5" xfId="1" applyNumberFormat="1" applyFont="1" applyFill="1" applyBorder="1" applyAlignment="1">
      <alignment horizontal="center" vertical="center"/>
    </xf>
    <xf numFmtId="167" fontId="18" fillId="9" borderId="29" xfId="1" applyNumberFormat="1" applyFont="1" applyFill="1" applyBorder="1" applyAlignment="1">
      <alignment horizontal="center" vertical="center"/>
    </xf>
    <xf numFmtId="167" fontId="18" fillId="9" borderId="18" xfId="1" applyNumberFormat="1" applyFont="1" applyFill="1" applyBorder="1" applyAlignment="1">
      <alignment horizontal="center" vertical="center"/>
    </xf>
    <xf numFmtId="167" fontId="18" fillId="0" borderId="18" xfId="1" applyNumberFormat="1" applyFont="1" applyBorder="1" applyAlignment="1">
      <alignment horizontal="center" vertical="center"/>
    </xf>
    <xf numFmtId="167" fontId="3" fillId="0" borderId="18" xfId="1" applyNumberFormat="1" applyFont="1" applyBorder="1" applyAlignment="1">
      <alignment horizontal="center" vertical="center"/>
    </xf>
    <xf numFmtId="0" fontId="18" fillId="6" borderId="8" xfId="0" applyFont="1" applyFill="1" applyBorder="1" applyAlignment="1">
      <alignment horizontal="center" vertical="center"/>
    </xf>
    <xf numFmtId="0" fontId="18" fillId="6" borderId="28" xfId="0" applyFont="1" applyFill="1" applyBorder="1" applyAlignment="1">
      <alignment horizontal="center" vertical="center"/>
    </xf>
    <xf numFmtId="0" fontId="18" fillId="6" borderId="6" xfId="0" applyFont="1" applyFill="1" applyBorder="1" applyAlignment="1">
      <alignment horizontal="center" vertical="center"/>
    </xf>
    <xf numFmtId="0" fontId="18" fillId="6" borderId="0" xfId="0" applyFont="1" applyFill="1" applyAlignment="1">
      <alignment horizontal="center" vertical="center"/>
    </xf>
    <xf numFmtId="0" fontId="18" fillId="6" borderId="11" xfId="0" applyFont="1" applyFill="1" applyBorder="1" applyAlignment="1">
      <alignment horizontal="center" vertical="center"/>
    </xf>
    <xf numFmtId="0" fontId="18" fillId="6" borderId="27" xfId="0" applyFont="1" applyFill="1" applyBorder="1" applyAlignment="1">
      <alignment horizontal="center" vertical="center"/>
    </xf>
    <xf numFmtId="167" fontId="18" fillId="7" borderId="4" xfId="1" applyNumberFormat="1" applyFont="1" applyFill="1" applyBorder="1" applyAlignment="1">
      <alignment horizontal="center" vertical="center"/>
    </xf>
    <xf numFmtId="167" fontId="18" fillId="7" borderId="1" xfId="1" applyNumberFormat="1" applyFont="1" applyFill="1" applyBorder="1" applyAlignment="1">
      <alignment horizontal="center" vertical="center"/>
    </xf>
    <xf numFmtId="167" fontId="18" fillId="7" borderId="24" xfId="1" applyNumberFormat="1" applyFont="1" applyFill="1" applyBorder="1" applyAlignment="1">
      <alignment horizontal="center" vertical="center"/>
    </xf>
    <xf numFmtId="175" fontId="7" fillId="4" borderId="10" xfId="0" applyNumberFormat="1" applyFont="1" applyFill="1" applyBorder="1" applyAlignment="1">
      <alignment horizontal="center" vertical="center"/>
    </xf>
    <xf numFmtId="175" fontId="7" fillId="4" borderId="23" xfId="0" applyNumberFormat="1" applyFont="1" applyFill="1" applyBorder="1" applyAlignment="1">
      <alignment horizontal="center" vertical="center"/>
    </xf>
    <xf numFmtId="0" fontId="17" fillId="5" borderId="10" xfId="0" applyFont="1" applyFill="1" applyBorder="1" applyAlignment="1">
      <alignment horizontal="center" vertical="center" wrapText="1"/>
    </xf>
    <xf numFmtId="0" fontId="17" fillId="5" borderId="13"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5" borderId="23" xfId="0" applyFont="1" applyFill="1" applyBorder="1" applyAlignment="1">
      <alignment horizontal="center" vertical="center" wrapText="1"/>
    </xf>
    <xf numFmtId="0" fontId="7" fillId="4" borderId="8" xfId="0" applyFont="1" applyFill="1" applyBorder="1" applyAlignment="1">
      <alignment horizontal="center" vertical="center"/>
    </xf>
    <xf numFmtId="0" fontId="7" fillId="4" borderId="28" xfId="0" applyFont="1" applyFill="1" applyBorder="1" applyAlignment="1">
      <alignment horizontal="center" vertical="center"/>
    </xf>
    <xf numFmtId="0" fontId="7" fillId="4" borderId="9"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8" xfId="0" applyFont="1" applyFill="1" applyBorder="1" applyAlignment="1">
      <alignment horizontal="center" vertical="center"/>
    </xf>
    <xf numFmtId="0" fontId="4" fillId="5" borderId="11" xfId="0" applyFont="1" applyFill="1" applyBorder="1" applyAlignment="1">
      <alignment horizontal="center" vertical="center"/>
    </xf>
    <xf numFmtId="0" fontId="4" fillId="5" borderId="27" xfId="0" applyFont="1" applyFill="1" applyBorder="1" applyAlignment="1">
      <alignment horizontal="center" vertical="center"/>
    </xf>
    <xf numFmtId="0" fontId="17" fillId="5" borderId="39" xfId="0" applyFont="1" applyFill="1" applyBorder="1" applyAlignment="1">
      <alignment horizontal="center" vertical="center"/>
    </xf>
    <xf numFmtId="0" fontId="17" fillId="5" borderId="16" xfId="0" applyFont="1" applyFill="1" applyBorder="1" applyAlignment="1">
      <alignment horizontal="center" vertical="center"/>
    </xf>
    <xf numFmtId="0" fontId="17" fillId="5" borderId="17" xfId="0" applyFont="1" applyFill="1" applyBorder="1" applyAlignment="1">
      <alignment horizontal="center" vertical="center"/>
    </xf>
    <xf numFmtId="0" fontId="17" fillId="5" borderId="25" xfId="0" applyFont="1" applyFill="1" applyBorder="1" applyAlignment="1">
      <alignment horizontal="center" vertical="center"/>
    </xf>
    <xf numFmtId="10" fontId="23" fillId="0" borderId="17" xfId="1" applyNumberFormat="1" applyFont="1" applyBorder="1" applyAlignment="1">
      <alignment horizontal="center" vertical="center"/>
    </xf>
    <xf numFmtId="10" fontId="23" fillId="0" borderId="4" xfId="1" applyNumberFormat="1" applyFont="1" applyBorder="1" applyAlignment="1">
      <alignment horizontal="center" vertical="center"/>
    </xf>
    <xf numFmtId="10" fontId="22" fillId="0" borderId="4" xfId="1" applyNumberFormat="1" applyFont="1" applyBorder="1" applyAlignment="1">
      <alignment horizontal="center" vertical="center"/>
    </xf>
    <xf numFmtId="0" fontId="18" fillId="0" borderId="2" xfId="1" applyNumberFormat="1" applyFont="1" applyBorder="1" applyAlignment="1">
      <alignment horizontal="center" vertical="center"/>
    </xf>
    <xf numFmtId="0" fontId="18" fillId="0" borderId="1" xfId="1" applyNumberFormat="1" applyFont="1" applyBorder="1" applyAlignment="1">
      <alignment horizontal="center" vertical="center"/>
    </xf>
    <xf numFmtId="167" fontId="22" fillId="0" borderId="1" xfId="1" applyNumberFormat="1" applyFont="1" applyBorder="1" applyAlignment="1">
      <alignment horizontal="center" vertical="center"/>
    </xf>
  </cellXfs>
  <cellStyles count="3">
    <cellStyle name="Comma" xfId="2" builtinId="3"/>
    <cellStyle name="Normal" xfId="0" builtinId="0"/>
    <cellStyle name="Percent" xfId="1" builtinId="5"/>
  </cellStyles>
  <dxfs count="39">
    <dxf>
      <font>
        <b/>
        <i val="0"/>
        <color rgb="FFFF0000"/>
      </font>
    </dxf>
    <dxf>
      <font>
        <b/>
        <i val="0"/>
        <color rgb="FFFF0000"/>
      </font>
    </dxf>
    <dxf>
      <font>
        <b/>
        <i val="0"/>
        <color rgb="FFFF0000"/>
      </font>
    </dxf>
    <dxf>
      <font>
        <b/>
        <i val="0"/>
        <color rgb="FF00B050"/>
      </font>
    </dxf>
    <dxf>
      <font>
        <b/>
        <i val="0"/>
        <color rgb="FFFF0000"/>
      </font>
    </dxf>
    <dxf>
      <font>
        <b/>
        <i val="0"/>
        <color rgb="FFFF0000"/>
      </font>
    </dxf>
    <dxf>
      <font>
        <color rgb="FF00B050"/>
      </font>
    </dxf>
    <dxf>
      <font>
        <b/>
        <i val="0"/>
        <color rgb="FFFF0000"/>
      </font>
    </dxf>
    <dxf>
      <font>
        <color rgb="FF00B050"/>
      </font>
    </dxf>
    <dxf>
      <font>
        <b/>
        <i val="0"/>
        <color rgb="FFFF0000"/>
      </font>
    </dxf>
    <dxf>
      <font>
        <b/>
        <i val="0"/>
        <color rgb="FF00B050"/>
      </font>
    </dxf>
    <dxf>
      <font>
        <b/>
        <i val="0"/>
        <color rgb="FFFF0000"/>
      </font>
    </dxf>
    <dxf>
      <font>
        <b/>
        <i val="0"/>
        <color rgb="FFFF0000"/>
      </font>
    </dxf>
    <dxf>
      <font>
        <color rgb="FF00B050"/>
      </font>
    </dxf>
    <dxf>
      <font>
        <b/>
        <i val="0"/>
        <color rgb="FFFF0000"/>
      </font>
    </dxf>
    <dxf>
      <font>
        <color rgb="FF00B050"/>
      </font>
    </dxf>
    <dxf>
      <font>
        <color rgb="FFFF0000"/>
      </font>
    </dxf>
    <dxf>
      <font>
        <b/>
        <i val="0"/>
        <color rgb="FFFF0000"/>
      </font>
    </dxf>
    <dxf>
      <font>
        <b/>
        <i val="0"/>
        <color rgb="FFFF0000"/>
      </font>
    </dxf>
    <dxf>
      <font>
        <b/>
        <i val="0"/>
        <color rgb="FF00B050"/>
      </font>
    </dxf>
    <dxf>
      <font>
        <b/>
        <i val="0"/>
        <color rgb="FFFF0000"/>
      </font>
    </dxf>
    <dxf>
      <font>
        <b/>
        <i val="0"/>
        <color rgb="FFFF0000"/>
      </font>
    </dxf>
    <dxf>
      <font>
        <color rgb="FF00B050"/>
      </font>
    </dxf>
    <dxf>
      <font>
        <b/>
        <i val="0"/>
        <color rgb="FFFF0000"/>
      </font>
    </dxf>
    <dxf>
      <font>
        <color rgb="FF00B050"/>
      </font>
    </dxf>
    <dxf>
      <font>
        <b/>
        <i val="0"/>
        <color rgb="FFFF0000"/>
      </font>
    </dxf>
    <dxf>
      <font>
        <b/>
        <i val="0"/>
        <color rgb="FF00B050"/>
      </font>
    </dxf>
    <dxf>
      <font>
        <b/>
        <i val="0"/>
        <color rgb="FFFF0000"/>
      </font>
    </dxf>
    <dxf>
      <font>
        <b/>
        <i val="0"/>
        <color rgb="FFFF0000"/>
      </font>
    </dxf>
    <dxf>
      <font>
        <color rgb="FF00B050"/>
      </font>
    </dxf>
    <dxf>
      <font>
        <b/>
        <i val="0"/>
        <color rgb="FFFF0000"/>
      </font>
    </dxf>
    <dxf>
      <font>
        <color rgb="FF00B050"/>
      </font>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33</xdr:col>
      <xdr:colOff>123824</xdr:colOff>
      <xdr:row>0</xdr:row>
      <xdr:rowOff>9526</xdr:rowOff>
    </xdr:from>
    <xdr:to>
      <xdr:col>33</xdr:col>
      <xdr:colOff>1733549</xdr:colOff>
      <xdr:row>9</xdr:row>
      <xdr:rowOff>85726</xdr:rowOff>
    </xdr:to>
    <mc:AlternateContent xmlns:mc="http://schemas.openxmlformats.org/markup-compatibility/2006" xmlns:a14="http://schemas.microsoft.com/office/drawing/2010/main">
      <mc:Choice Requires="a14">
        <xdr:graphicFrame macro="">
          <xdr:nvGraphicFramePr>
            <xdr:cNvPr id="2" name="WEEK NO.">
              <a:extLst>
                <a:ext uri="{FF2B5EF4-FFF2-40B4-BE49-F238E27FC236}">
                  <a16:creationId xmlns:a16="http://schemas.microsoft.com/office/drawing/2014/main" id="{E216E124-9171-410E-8B47-B979E9123799}"/>
                </a:ext>
              </a:extLst>
            </xdr:cNvPr>
            <xdr:cNvGraphicFramePr/>
          </xdr:nvGraphicFramePr>
          <xdr:xfrm>
            <a:off x="0" y="0"/>
            <a:ext cx="0" cy="0"/>
          </xdr:xfrm>
          <a:graphic>
            <a:graphicData uri="http://schemas.microsoft.com/office/drawing/2010/slicer">
              <sle:slicer xmlns:sle="http://schemas.microsoft.com/office/drawing/2010/slicer" name="WEEK NO."/>
            </a:graphicData>
          </a:graphic>
        </xdr:graphicFrame>
      </mc:Choice>
      <mc:Fallback xmlns="">
        <xdr:sp macro="" textlink="">
          <xdr:nvSpPr>
            <xdr:cNvPr id="0" name=""/>
            <xdr:cNvSpPr>
              <a:spLocks noTextEdit="1"/>
            </xdr:cNvSpPr>
          </xdr:nvSpPr>
          <xdr:spPr>
            <a:xfrm>
              <a:off x="36518849" y="9526"/>
              <a:ext cx="1609725"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ropbox\PP-Data\WOR\LD%20WOR%20WEE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
      <sheetName val="LD PRO"/>
      <sheetName val="WOR"/>
      <sheetName val="MOR"/>
      <sheetName val="KWH"/>
    </sheetNames>
    <sheetDataSet>
      <sheetData sheetId="0" refreshError="1"/>
      <sheetData sheetId="1" refreshError="1"/>
      <sheetData sheetId="2">
        <row r="18">
          <cell r="Q18">
            <v>79090.129836869834</v>
          </cell>
        </row>
      </sheetData>
      <sheetData sheetId="3" refreshError="1"/>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 refreshedDate="46146.621498611108" createdVersion="7" refreshedVersion="7" minRefreshableVersion="3" recordCount="3949" xr:uid="{8B69105D-FAE5-4F33-9A17-B0EF822A20A6}">
  <cacheSource type="worksheet">
    <worksheetSource name="PP_PRD"/>
  </cacheSource>
  <cacheFields count="47">
    <cacheField name="SHIFT" numFmtId="0">
      <sharedItems containsBlank="1" count="3">
        <s v="A"/>
        <s v="B"/>
        <m/>
      </sharedItems>
    </cacheField>
    <cacheField name="MCH#" numFmtId="0">
      <sharedItems containsString="0" containsBlank="1" containsNumber="1" containsInteger="1" minValue="1" maxValue="6" count="7">
        <n v="1"/>
        <n v="2"/>
        <n v="3"/>
        <n v="4"/>
        <n v="5"/>
        <n v="6"/>
        <m/>
      </sharedItems>
    </cacheField>
    <cacheField name="SO#" numFmtId="0">
      <sharedItems containsBlank="1"/>
    </cacheField>
    <cacheField name="DATE" numFmtId="14">
      <sharedItems containsNonDate="0" containsDate="1" containsString="0" containsBlank="1" minDate="2025-06-01T00:00:00" maxDate="2026-05-04T00:00:00" count="295">
        <d v="2025-06-01T00:00:00"/>
        <d v="2025-06-02T00:00:00"/>
        <d v="2025-06-03T00:00:00"/>
        <d v="2025-06-04T00:00:00"/>
        <d v="2025-06-05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30T00:00:00"/>
        <d v="2025-07-01T00:00:00"/>
        <d v="2025-07-02T00:00:00"/>
        <d v="2025-07-03T00:00:00"/>
        <d v="2025-07-04T00:00:00"/>
        <d v="2025-07-07T00:00:00"/>
        <d v="2025-07-08T00:00:00"/>
        <d v="2025-07-09T00:00:00"/>
        <d v="2025-07-10T00:00:00"/>
        <d v="2025-07-11T00:00:00"/>
        <d v="2025-07-12T00:00:00"/>
        <d v="2025-07-14T00:00:00"/>
        <d v="2025-07-15T00:00:00"/>
        <d v="2025-07-16T00:00:00"/>
        <d v="2025-07-17T00:00:00"/>
        <d v="2025-07-18T00:00:00"/>
        <d v="2025-07-19T00:00:00"/>
        <d v="2025-07-21T00:00:00"/>
        <d v="2025-07-22T00:00:00"/>
        <d v="2025-07-23T00:00:00"/>
        <d v="2025-07-24T00:00:00"/>
        <d v="2025-07-25T00:00:00"/>
        <d v="2025-07-26T00:00:00"/>
        <d v="2025-07-28T00:00:00"/>
        <d v="2025-07-29T00:00:00"/>
        <d v="2025-07-30T00:00:00"/>
        <d v="2025-07-31T00:00:00"/>
        <d v="2025-08-01T00:00:00"/>
        <d v="2025-08-02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m/>
        <d v="2025-11-05T00:00:00"/>
        <d v="2025-11-06T00:00:00"/>
        <d v="2025-11-07T00:00:00"/>
        <d v="2025-11-08T00:00:00"/>
        <d v="2025-11-09T00:00:00"/>
        <d v="2025-11-10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5T00:00:00"/>
        <d v="2025-12-16T00:00:00"/>
        <d v="2025-12-17T00:00:00"/>
        <d v="2025-12-18T00:00:00"/>
        <d v="2025-12-19T00:00:00"/>
        <d v="2025-12-20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7T00:00:00"/>
        <d v="2026-01-28T00:00:00"/>
        <d v="2026-01-29T00:00:00"/>
        <d v="2026-01-30T00:00:00"/>
        <d v="2026-01-31T00:00:00"/>
        <d v="2026-02-02T00:00:00"/>
        <d v="2026-02-03T00:00:00"/>
        <d v="2026-02-04T00:00:00"/>
        <d v="2026-02-05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sharedItems>
      <fieldGroup par="46" base="3">
        <rangePr groupBy="days" startDate="2025-06-01T00:00:00" endDate="2026-05-04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05-26"/>
        </groupItems>
      </fieldGroup>
    </cacheField>
    <cacheField name="JOB NAME" numFmtId="0">
      <sharedItems containsBlank="1"/>
    </cacheField>
    <cacheField name="MATERIAL" numFmtId="0">
      <sharedItems containsBlank="1"/>
    </cacheField>
    <cacheField name="SIZE" numFmtId="0">
      <sharedItems containsBlank="1" containsMixedTypes="1" containsNumber="1" minValue="0" maxValue="30"/>
    </cacheField>
    <cacheField name="GUAGE" numFmtId="0">
      <sharedItems containsBlank="1" containsMixedTypes="1" containsNumber="1" minValue="0" maxValue="15"/>
    </cacheField>
    <cacheField name="QUALITY" numFmtId="0">
      <sharedItems containsBlank="1" containsMixedTypes="1" containsNumber="1" containsInteger="1" minValue="0" maxValue="0"/>
    </cacheField>
    <cacheField name="ORDER WEIGHT" numFmtId="0">
      <sharedItems containsBlank="1" containsMixedTypes="1" containsNumber="1" containsInteger="1" minValue="0" maxValue="8000"/>
    </cacheField>
    <cacheField name="SECTION" numFmtId="0">
      <sharedItems containsBlank="1"/>
    </cacheField>
    <cacheField name="NO OF ROLLS" numFmtId="0">
      <sharedItems containsString="0" containsBlank="1" containsNumber="1" containsInteger="1" minValue="1" maxValue="29"/>
    </cacheField>
    <cacheField name="G. WEIGHT" numFmtId="0">
      <sharedItems containsString="0" containsBlank="1" containsNumber="1" minValue="5.31" maxValue="1152.7699999999998"/>
    </cacheField>
    <cacheField name="CORE WEIGHT" numFmtId="0">
      <sharedItems containsString="0" containsBlank="1" containsNumber="1" minValue="0.1" maxValue="126.09"/>
    </cacheField>
    <cacheField name="PRD WATSE" numFmtId="0">
      <sharedItems containsString="0" containsBlank="1" containsNumber="1" minValue="1" maxValue="128"/>
    </cacheField>
    <cacheField name="SAMPLE WASTE" numFmtId="0">
      <sharedItems containsBlank="1" containsMixedTypes="1" containsNumber="1" containsInteger="1" minValue="81" maxValue="207"/>
    </cacheField>
    <cacheField name="NET WEIGHT" numFmtId="0">
      <sharedItems containsString="0" containsBlank="1" containsNumber="1" minValue="0" maxValue="1088.9699999999998"/>
    </cacheField>
    <cacheField name="FOREMAN" numFmtId="0">
      <sharedItems containsBlank="1"/>
    </cacheField>
    <cacheField name="کوالٹی CHANGE" numFmtId="0">
      <sharedItems containsString="0" containsBlank="1" containsNumber="1" containsInteger="1" minValue="2" maxValue="90"/>
    </cacheField>
    <cacheField name="ھیٹنگ" numFmtId="0">
      <sharedItems containsString="0" containsBlank="1" containsNumber="1" containsInteger="1" minValue="45" maxValue="480"/>
    </cacheField>
    <cacheField name="MACHINE ON" numFmtId="0">
      <sharedItems containsString="0" containsBlank="1" containsNumber="1" containsInteger="1" minValue="60" maxValue="660"/>
    </cacheField>
    <cacheField name="TOTAL MIN" numFmtId="0">
      <sharedItems containsString="0" containsBlank="1" containsNumber="1" containsInteger="1" minValue="0" maxValue="660"/>
    </cacheField>
    <cacheField name="P.S   HOURS" numFmtId="0">
      <sharedItems containsString="0" containsBlank="1" containsNumber="1" minValue="0" maxValue="11"/>
    </cacheField>
    <cacheField name="الیکٹریکل" numFmtId="0">
      <sharedItems containsString="0" containsBlank="1" containsNumber="1" containsInteger="1" minValue="10" maxValue="480"/>
    </cacheField>
    <cacheField name="ڈایی صاف " numFmtId="0">
      <sharedItems containsString="0" containsBlank="1" containsNumber="1" containsInteger="1" minValue="10" maxValue="180"/>
    </cacheField>
    <cacheField name="مکینیکل" numFmtId="0">
      <sharedItems containsString="0" containsBlank="1" containsNumber="1" containsInteger="1" minValue="5" maxValue="690"/>
    </cacheField>
    <cacheField name="سائز کم " numFmtId="0">
      <sharedItems containsString="0" containsBlank="1" containsNumber="1" containsInteger="1" minValue="5" maxValue="45"/>
    </cacheField>
    <cacheField name=" سیمپل چیک" numFmtId="0">
      <sharedItems containsString="0" containsBlank="1" containsNumber="1" containsInteger="1" minValue="30" maxValue="30"/>
    </cacheField>
    <cacheField name="OTHER" numFmtId="0">
      <sharedItems containsString="0" containsBlank="1" containsNumber="1" containsInteger="1" minValue="20" maxValue="540"/>
    </cacheField>
    <cacheField name=" جالی تبدیل" numFmtId="0">
      <sharedItems containsString="0" containsBlank="1" containsNumber="1" containsInteger="1" minValue="20" maxValue="120"/>
    </cacheField>
    <cacheField name="TREET" numFmtId="0">
      <sharedItems containsString="0" containsBlank="1" containsNumber="1" containsInteger="1" minValue="20" maxValue="180"/>
    </cacheField>
    <cacheField name="TOTAL MIN_1" numFmtId="0">
      <sharedItems containsString="0" containsBlank="1" containsNumber="1" containsInteger="1" minValue="0" maxValue="690"/>
    </cacheField>
    <cacheField name="U.P.S HOURS" numFmtId="0">
      <sharedItems containsString="0" containsBlank="1" containsNumber="1" minValue="0" maxValue="50"/>
    </cacheField>
    <cacheField name="T.S HOURS" numFmtId="0">
      <sharedItems containsString="0" containsBlank="1" containsNumber="1" minValue="0" maxValue="51"/>
    </cacheField>
    <cacheField name="RUNNING" numFmtId="0">
      <sharedItems containsString="0" containsBlank="1" containsNumber="1" minValue="-39" maxValue="32"/>
    </cacheField>
    <cacheField name="TOTAL HOURS" numFmtId="0">
      <sharedItems containsString="0" containsBlank="1" containsNumber="1" containsInteger="1" minValue="12" maxValue="32"/>
    </cacheField>
    <cacheField name="WASTAGE/KGs" numFmtId="0">
      <sharedItems containsNonDate="0" containsString="0" containsBlank="1"/>
    </cacheField>
    <cacheField name="KWH/KG" numFmtId="0">
      <sharedItems containsBlank="1" containsMixedTypes="1" containsNumber="1" minValue="88" maxValue="2622"/>
    </cacheField>
    <cacheField name="TOTAL PRODUCTION" numFmtId="0">
      <sharedItems containsString="0" containsBlank="1" containsNumber="1" containsInteger="1" minValue="0" maxValue="0"/>
    </cacheField>
    <cacheField name="TARGET" numFmtId="0">
      <sharedItems containsString="0" containsBlank="1" containsNumber="1" minValue="0" maxValue="1950"/>
    </cacheField>
    <cacheField name="RECIPE" numFmtId="0">
      <sharedItems containsString="0" containsBlank="1" containsNumber="1" containsInteger="1" minValue="398" maxValue="398"/>
    </cacheField>
    <cacheField name="WEEK NO." numFmtId="0">
      <sharedItems containsString="0" containsBlank="1" containsNumber="1" containsInteger="1" minValue="6" maxValue="58" count="37">
        <m/>
        <n v="32"/>
        <n v="33"/>
        <n v="34"/>
        <n v="35"/>
        <n v="36"/>
        <n v="37"/>
        <n v="40"/>
        <n v="41"/>
        <n v="42"/>
        <n v="43"/>
        <n v="44"/>
        <n v="45"/>
        <n v="46"/>
        <n v="47"/>
        <n v="48"/>
        <n v="49"/>
        <n v="50"/>
        <n v="51"/>
        <n v="52"/>
        <n v="53"/>
        <n v="54"/>
        <n v="55"/>
        <n v="56"/>
        <n v="57"/>
        <n v="6"/>
        <n v="7"/>
        <n v="8"/>
        <n v="9"/>
        <n v="10"/>
        <n v="11"/>
        <n v="14"/>
        <n v="15"/>
        <n v="16"/>
        <n v="17"/>
        <n v="18"/>
        <n v="58" u="1"/>
      </sharedItems>
    </cacheField>
    <cacheField name="REMARKS" numFmtId="0">
      <sharedItems containsString="0" containsBlank="1" containsNumber="1" containsInteger="1" minValue="44" maxValue="57"/>
    </cacheField>
    <cacheField name="ACTION" numFmtId="0">
      <sharedItems containsNonDate="0" containsString="0" containsBlank="1"/>
    </cacheField>
    <cacheField name="ACTION PLAN" numFmtId="0">
      <sharedItems containsNonDate="0" containsString="0" containsBlank="1"/>
    </cacheField>
    <cacheField name="REMARKS_2" numFmtId="0">
      <sharedItems containsNonDate="0" containsString="0" containsBlank="1"/>
    </cacheField>
    <cacheField name="Months" numFmtId="0" databaseField="0">
      <fieldGroup base="3">
        <rangePr groupBy="months" startDate="2025-06-01T00:00:00" endDate="2026-05-04T00:00:00"/>
        <groupItems count="14">
          <s v="&lt;01-06-25"/>
          <s v="Jan"/>
          <s v="Feb"/>
          <s v="Mar"/>
          <s v="Apr"/>
          <s v="May"/>
          <s v="Jun"/>
          <s v="Jul"/>
          <s v="Aug"/>
          <s v="Sep"/>
          <s v="Oct"/>
          <s v="Nov"/>
          <s v="Dec"/>
          <s v="&gt;04-05-26"/>
        </groupItems>
      </fieldGroup>
    </cacheField>
  </cacheFields>
  <extLst>
    <ext xmlns:x14="http://schemas.microsoft.com/office/spreadsheetml/2009/9/main" uri="{725AE2AE-9491-48be-B2B4-4EB974FC3084}">
      <x14:pivotCacheDefinition pivotCacheId="459053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49">
  <r>
    <x v="0"/>
    <x v="0"/>
    <s v="4 P"/>
    <x v="0"/>
    <s v="سادہ لفافہ"/>
    <s v="PP"/>
    <n v="3"/>
    <s v="5.5-6"/>
    <n v="0"/>
    <s v="-"/>
    <s v="PP"/>
    <n v="14"/>
    <n v="157.69999999999999"/>
    <n v="4.2"/>
    <n v="21"/>
    <m/>
    <n v="153.5"/>
    <m/>
    <m/>
    <m/>
    <m/>
    <m/>
    <m/>
    <m/>
    <m/>
    <m/>
    <m/>
    <m/>
    <m/>
    <m/>
    <m/>
    <m/>
    <m/>
    <m/>
    <m/>
    <m/>
    <m/>
    <m/>
    <m/>
    <m/>
    <m/>
    <x v="0"/>
    <m/>
    <m/>
    <m/>
    <m/>
  </r>
  <r>
    <x v="1"/>
    <x v="0"/>
    <s v="4 P"/>
    <x v="0"/>
    <s v="سادہ لفافہ"/>
    <s v="PP"/>
    <n v="3"/>
    <s v="5.5-6"/>
    <n v="0"/>
    <s v="-"/>
    <s v="PP"/>
    <n v="15"/>
    <n v="164.97"/>
    <n v="4.5"/>
    <n v="21"/>
    <m/>
    <n v="160.47"/>
    <m/>
    <m/>
    <m/>
    <m/>
    <m/>
    <m/>
    <m/>
    <m/>
    <m/>
    <m/>
    <m/>
    <m/>
    <m/>
    <m/>
    <m/>
    <m/>
    <m/>
    <m/>
    <m/>
    <m/>
    <m/>
    <m/>
    <m/>
    <m/>
    <x v="0"/>
    <m/>
    <m/>
    <m/>
    <m/>
  </r>
  <r>
    <x v="0"/>
    <x v="1"/>
    <s v="8 P"/>
    <x v="0"/>
    <s v="سادہ لفافہ"/>
    <s v="PP"/>
    <n v="5"/>
    <s v="5.5-6"/>
    <n v="0"/>
    <s v="-"/>
    <s v="PP"/>
    <n v="14"/>
    <n v="176.70000000000002"/>
    <n v="5.6000000000000005"/>
    <m/>
    <m/>
    <n v="171.10000000000002"/>
    <m/>
    <m/>
    <m/>
    <m/>
    <m/>
    <m/>
    <m/>
    <m/>
    <m/>
    <m/>
    <m/>
    <m/>
    <m/>
    <m/>
    <m/>
    <m/>
    <m/>
    <m/>
    <m/>
    <m/>
    <m/>
    <m/>
    <m/>
    <m/>
    <x v="0"/>
    <m/>
    <m/>
    <m/>
    <m/>
  </r>
  <r>
    <x v="1"/>
    <x v="1"/>
    <s v="8 P"/>
    <x v="0"/>
    <s v="سادہ لفافہ"/>
    <s v="PP"/>
    <n v="5"/>
    <s v="5.5-6"/>
    <n v="0"/>
    <s v="-"/>
    <s v="PP"/>
    <n v="15"/>
    <n v="187.62"/>
    <n v="6"/>
    <m/>
    <m/>
    <n v="181.62"/>
    <m/>
    <m/>
    <m/>
    <m/>
    <m/>
    <m/>
    <m/>
    <m/>
    <m/>
    <m/>
    <m/>
    <m/>
    <m/>
    <m/>
    <m/>
    <m/>
    <m/>
    <m/>
    <m/>
    <m/>
    <m/>
    <m/>
    <m/>
    <m/>
    <x v="0"/>
    <m/>
    <m/>
    <m/>
    <m/>
  </r>
  <r>
    <x v="0"/>
    <x v="2"/>
    <s v="10 P"/>
    <x v="0"/>
    <s v="سادہ لفافہ"/>
    <s v="PP"/>
    <n v="7"/>
    <n v="5"/>
    <n v="0"/>
    <s v="-"/>
    <s v="PP"/>
    <n v="7"/>
    <n v="255.13000000000002"/>
    <n v="5.6000000000000005"/>
    <m/>
    <m/>
    <n v="249.53000000000003"/>
    <m/>
    <m/>
    <m/>
    <m/>
    <m/>
    <m/>
    <m/>
    <m/>
    <m/>
    <m/>
    <m/>
    <m/>
    <m/>
    <m/>
    <m/>
    <m/>
    <m/>
    <m/>
    <m/>
    <m/>
    <m/>
    <m/>
    <m/>
    <m/>
    <x v="0"/>
    <m/>
    <m/>
    <m/>
    <m/>
  </r>
  <r>
    <x v="1"/>
    <x v="2"/>
    <s v="10 P"/>
    <x v="0"/>
    <s v="سادہ لفافہ"/>
    <s v="PP"/>
    <n v="7"/>
    <n v="5"/>
    <n v="0"/>
    <s v="-"/>
    <s v="PP"/>
    <n v="7"/>
    <n v="250.48999999999995"/>
    <n v="6.3"/>
    <m/>
    <m/>
    <n v="244.18999999999994"/>
    <m/>
    <m/>
    <m/>
    <m/>
    <m/>
    <m/>
    <m/>
    <m/>
    <m/>
    <m/>
    <m/>
    <m/>
    <m/>
    <m/>
    <m/>
    <m/>
    <m/>
    <m/>
    <m/>
    <m/>
    <m/>
    <m/>
    <m/>
    <m/>
    <x v="0"/>
    <m/>
    <m/>
    <m/>
    <m/>
  </r>
  <r>
    <x v="0"/>
    <x v="3"/>
    <s v="6941/6"/>
    <x v="0"/>
    <s v="رول"/>
    <s v="PP"/>
    <n v="17"/>
    <n v="6.5"/>
    <n v="0"/>
    <n v="400"/>
    <s v="PP"/>
    <n v="6"/>
    <n v="184.7"/>
    <n v="12.600000000000001"/>
    <m/>
    <m/>
    <n v="172.1"/>
    <m/>
    <m/>
    <m/>
    <m/>
    <m/>
    <m/>
    <m/>
    <m/>
    <m/>
    <m/>
    <m/>
    <m/>
    <m/>
    <m/>
    <m/>
    <m/>
    <m/>
    <m/>
    <m/>
    <m/>
    <m/>
    <m/>
    <m/>
    <m/>
    <x v="0"/>
    <m/>
    <m/>
    <m/>
    <m/>
  </r>
  <r>
    <x v="0"/>
    <x v="3"/>
    <s v="6940/2"/>
    <x v="0"/>
    <s v="رول"/>
    <s v="PP"/>
    <n v="15"/>
    <n v="5"/>
    <n v="0"/>
    <n v="200"/>
    <s v="PP"/>
    <n v="7"/>
    <n v="216.99"/>
    <n v="11.9"/>
    <m/>
    <m/>
    <n v="205.09"/>
    <m/>
    <m/>
    <m/>
    <m/>
    <m/>
    <m/>
    <m/>
    <m/>
    <m/>
    <m/>
    <m/>
    <m/>
    <m/>
    <m/>
    <m/>
    <m/>
    <m/>
    <m/>
    <m/>
    <m/>
    <m/>
    <m/>
    <m/>
    <m/>
    <x v="0"/>
    <m/>
    <m/>
    <m/>
    <m/>
  </r>
  <r>
    <x v="0"/>
    <x v="3"/>
    <s v="6941/4"/>
    <x v="0"/>
    <s v="رول"/>
    <s v="PP"/>
    <n v="15"/>
    <n v="6.5"/>
    <n v="0"/>
    <n v="900"/>
    <s v="PP"/>
    <n v="8"/>
    <n v="247.82999999999998"/>
    <n v="14.4"/>
    <m/>
    <m/>
    <n v="233.42999999999998"/>
    <m/>
    <m/>
    <m/>
    <m/>
    <m/>
    <m/>
    <m/>
    <m/>
    <m/>
    <m/>
    <m/>
    <m/>
    <m/>
    <m/>
    <m/>
    <m/>
    <m/>
    <m/>
    <m/>
    <m/>
    <m/>
    <m/>
    <m/>
    <m/>
    <x v="0"/>
    <m/>
    <m/>
    <m/>
    <m/>
  </r>
  <r>
    <x v="1"/>
    <x v="3"/>
    <s v="6941/4"/>
    <x v="0"/>
    <s v="رول"/>
    <s v="PP"/>
    <n v="15"/>
    <n v="6.5"/>
    <n v="0"/>
    <n v="900"/>
    <s v="PP"/>
    <n v="15"/>
    <n v="480.05999999999995"/>
    <n v="25.5"/>
    <m/>
    <m/>
    <n v="454.55999999999995"/>
    <m/>
    <m/>
    <m/>
    <m/>
    <m/>
    <m/>
    <m/>
    <m/>
    <m/>
    <m/>
    <m/>
    <m/>
    <m/>
    <m/>
    <m/>
    <m/>
    <m/>
    <m/>
    <m/>
    <m/>
    <m/>
    <m/>
    <m/>
    <m/>
    <x v="0"/>
    <m/>
    <m/>
    <m/>
    <m/>
  </r>
  <r>
    <x v="1"/>
    <x v="3"/>
    <s v="2599 J"/>
    <x v="0"/>
    <s v="سادہ لفافہ سپر یونیفارم"/>
    <s v="PP"/>
    <n v="15"/>
    <s v="8-8.5"/>
    <s v=".1:1"/>
    <n v="50"/>
    <s v="PP"/>
    <n v="4"/>
    <n v="156.94"/>
    <n v="6"/>
    <m/>
    <m/>
    <n v="150.94"/>
    <m/>
    <m/>
    <m/>
    <m/>
    <m/>
    <m/>
    <m/>
    <m/>
    <m/>
    <m/>
    <m/>
    <m/>
    <m/>
    <m/>
    <m/>
    <m/>
    <m/>
    <m/>
    <m/>
    <m/>
    <m/>
    <m/>
    <m/>
    <m/>
    <x v="0"/>
    <m/>
    <m/>
    <m/>
    <m/>
  </r>
  <r>
    <x v="0"/>
    <x v="4"/>
    <s v="16 P"/>
    <x v="0"/>
    <s v="سادہ لفافہ"/>
    <s v="PP"/>
    <n v="13"/>
    <n v="5"/>
    <n v="0"/>
    <s v="-"/>
    <s v="PP"/>
    <n v="16"/>
    <n v="512.67999999999995"/>
    <n v="25.6"/>
    <m/>
    <m/>
    <n v="487.07999999999993"/>
    <m/>
    <m/>
    <m/>
    <m/>
    <m/>
    <m/>
    <m/>
    <m/>
    <m/>
    <m/>
    <m/>
    <m/>
    <m/>
    <m/>
    <m/>
    <m/>
    <m/>
    <m/>
    <m/>
    <m/>
    <m/>
    <m/>
    <m/>
    <m/>
    <x v="0"/>
    <m/>
    <m/>
    <m/>
    <m/>
  </r>
  <r>
    <x v="1"/>
    <x v="4"/>
    <s v="16 P"/>
    <x v="0"/>
    <s v="سادہ لفافہ"/>
    <s v="PP"/>
    <n v="13"/>
    <n v="5"/>
    <n v="0"/>
    <s v="-"/>
    <s v="PP"/>
    <n v="4"/>
    <n v="124.17"/>
    <n v="6.4"/>
    <m/>
    <m/>
    <n v="117.77"/>
    <m/>
    <m/>
    <m/>
    <m/>
    <m/>
    <m/>
    <m/>
    <m/>
    <m/>
    <m/>
    <m/>
    <m/>
    <m/>
    <m/>
    <m/>
    <m/>
    <m/>
    <m/>
    <m/>
    <m/>
    <m/>
    <m/>
    <m/>
    <m/>
    <x v="0"/>
    <m/>
    <m/>
    <m/>
    <m/>
  </r>
  <r>
    <x v="1"/>
    <x v="4"/>
    <s v="15 P"/>
    <x v="0"/>
    <s v="سادہ لفافہ"/>
    <s v="PP"/>
    <n v="12"/>
    <n v="5"/>
    <n v="0"/>
    <s v="-"/>
    <s v="PP"/>
    <n v="12"/>
    <n v="385.6"/>
    <n v="18"/>
    <m/>
    <m/>
    <n v="367.6"/>
    <m/>
    <m/>
    <m/>
    <m/>
    <m/>
    <m/>
    <m/>
    <m/>
    <m/>
    <m/>
    <m/>
    <m/>
    <m/>
    <m/>
    <m/>
    <m/>
    <m/>
    <m/>
    <m/>
    <m/>
    <m/>
    <m/>
    <m/>
    <m/>
    <x v="0"/>
    <m/>
    <m/>
    <m/>
    <m/>
  </r>
  <r>
    <x v="0"/>
    <x v="0"/>
    <s v="4 P"/>
    <x v="1"/>
    <s v="سادہ لفافہ"/>
    <s v="PP"/>
    <n v="3"/>
    <s v="5.5-6"/>
    <n v="0"/>
    <s v="-"/>
    <s v="PP"/>
    <n v="2"/>
    <n v="35.980000000000004"/>
    <n v="0.6"/>
    <n v="30"/>
    <m/>
    <n v="35.380000000000003"/>
    <m/>
    <m/>
    <m/>
    <m/>
    <m/>
    <m/>
    <m/>
    <m/>
    <m/>
    <m/>
    <m/>
    <m/>
    <m/>
    <m/>
    <m/>
    <m/>
    <m/>
    <m/>
    <m/>
    <m/>
    <m/>
    <m/>
    <m/>
    <m/>
    <x v="0"/>
    <m/>
    <m/>
    <m/>
    <m/>
  </r>
  <r>
    <x v="0"/>
    <x v="0"/>
    <s v="2 P"/>
    <x v="1"/>
    <s v="سادہ لفافہ"/>
    <s v="PP"/>
    <n v="2"/>
    <s v="5.5-6"/>
    <n v="0"/>
    <s v="-"/>
    <s v="PP"/>
    <n v="10"/>
    <n v="94.25"/>
    <n v="2"/>
    <m/>
    <m/>
    <n v="92.25"/>
    <m/>
    <m/>
    <m/>
    <m/>
    <m/>
    <m/>
    <m/>
    <m/>
    <m/>
    <m/>
    <m/>
    <m/>
    <m/>
    <m/>
    <m/>
    <m/>
    <m/>
    <m/>
    <m/>
    <m/>
    <m/>
    <m/>
    <m/>
    <m/>
    <x v="0"/>
    <m/>
    <m/>
    <m/>
    <m/>
  </r>
  <r>
    <x v="1"/>
    <x v="0"/>
    <s v="2 P"/>
    <x v="1"/>
    <s v="سادہ لفافہ"/>
    <s v="PP"/>
    <n v="2"/>
    <s v="5.5-6"/>
    <n v="0"/>
    <s v="-"/>
    <s v="PP"/>
    <n v="12"/>
    <n v="102.96000000000001"/>
    <n v="2.4000000000000004"/>
    <n v="25"/>
    <m/>
    <n v="100.56"/>
    <m/>
    <m/>
    <m/>
    <m/>
    <m/>
    <m/>
    <m/>
    <m/>
    <m/>
    <m/>
    <m/>
    <m/>
    <m/>
    <m/>
    <m/>
    <m/>
    <m/>
    <m/>
    <m/>
    <m/>
    <m/>
    <m/>
    <m/>
    <m/>
    <x v="0"/>
    <m/>
    <m/>
    <m/>
    <m/>
  </r>
  <r>
    <x v="0"/>
    <x v="1"/>
    <s v="6 P"/>
    <x v="1"/>
    <s v="سادہ لفافہ"/>
    <s v="PP"/>
    <n v="4"/>
    <s v="5.5-6"/>
    <n v="0"/>
    <s v="-"/>
    <s v="PP"/>
    <n v="10"/>
    <n v="116.02"/>
    <n v="4"/>
    <m/>
    <m/>
    <n v="112.02"/>
    <m/>
    <m/>
    <m/>
    <m/>
    <m/>
    <m/>
    <m/>
    <m/>
    <m/>
    <m/>
    <m/>
    <m/>
    <m/>
    <m/>
    <m/>
    <m/>
    <m/>
    <m/>
    <m/>
    <m/>
    <m/>
    <m/>
    <m/>
    <m/>
    <x v="0"/>
    <m/>
    <m/>
    <m/>
    <m/>
  </r>
  <r>
    <x v="1"/>
    <x v="1"/>
    <s v="6 P"/>
    <x v="1"/>
    <s v="سادہ لفافہ"/>
    <s v="PP"/>
    <n v="4"/>
    <s v="5.5-6"/>
    <n v="0"/>
    <s v="-"/>
    <s v="PP"/>
    <n v="5"/>
    <n v="66.739999999999995"/>
    <n v="2"/>
    <m/>
    <m/>
    <n v="64.739999999999995"/>
    <m/>
    <m/>
    <m/>
    <m/>
    <m/>
    <m/>
    <m/>
    <m/>
    <m/>
    <m/>
    <m/>
    <m/>
    <m/>
    <m/>
    <m/>
    <m/>
    <m/>
    <m/>
    <m/>
    <m/>
    <m/>
    <m/>
    <m/>
    <m/>
    <x v="0"/>
    <m/>
    <m/>
    <m/>
    <m/>
  </r>
  <r>
    <x v="0"/>
    <x v="2"/>
    <s v="10 P"/>
    <x v="1"/>
    <s v="سادہ لفافہ"/>
    <s v="PP"/>
    <n v="7"/>
    <n v="5"/>
    <n v="0"/>
    <s v="-"/>
    <s v="PP"/>
    <n v="2"/>
    <n v="48.059999999999995"/>
    <n v="1.4"/>
    <m/>
    <m/>
    <n v="46.66"/>
    <m/>
    <m/>
    <m/>
    <m/>
    <m/>
    <m/>
    <m/>
    <m/>
    <m/>
    <m/>
    <m/>
    <m/>
    <m/>
    <m/>
    <m/>
    <m/>
    <m/>
    <m/>
    <m/>
    <m/>
    <m/>
    <m/>
    <m/>
    <m/>
    <x v="0"/>
    <m/>
    <m/>
    <m/>
    <m/>
  </r>
  <r>
    <x v="0"/>
    <x v="2"/>
    <s v="6938/1"/>
    <x v="1"/>
    <s v="لفافہ"/>
    <s v="PP"/>
    <n v="7"/>
    <n v="15"/>
    <n v="0"/>
    <n v="250"/>
    <s v="PP"/>
    <n v="9"/>
    <n v="257.82"/>
    <n v="6.3"/>
    <m/>
    <m/>
    <n v="251.51999999999998"/>
    <m/>
    <m/>
    <m/>
    <m/>
    <m/>
    <m/>
    <m/>
    <m/>
    <m/>
    <m/>
    <m/>
    <m/>
    <m/>
    <m/>
    <m/>
    <m/>
    <m/>
    <m/>
    <m/>
    <m/>
    <m/>
    <m/>
    <m/>
    <m/>
    <x v="0"/>
    <m/>
    <m/>
    <m/>
    <m/>
  </r>
  <r>
    <x v="1"/>
    <x v="2"/>
    <s v="6938/1"/>
    <x v="1"/>
    <s v="لفافہ"/>
    <s v="PP"/>
    <n v="7"/>
    <n v="15"/>
    <n v="0"/>
    <n v="250"/>
    <s v="PP"/>
    <n v="10"/>
    <n v="329.06"/>
    <n v="7"/>
    <m/>
    <m/>
    <n v="322.06"/>
    <m/>
    <m/>
    <m/>
    <m/>
    <m/>
    <m/>
    <m/>
    <m/>
    <m/>
    <m/>
    <m/>
    <m/>
    <m/>
    <m/>
    <m/>
    <m/>
    <m/>
    <m/>
    <m/>
    <m/>
    <m/>
    <m/>
    <m/>
    <m/>
    <x v="0"/>
    <m/>
    <m/>
    <m/>
    <m/>
  </r>
  <r>
    <x v="0"/>
    <x v="3"/>
    <s v="6941/4"/>
    <x v="1"/>
    <s v="رول"/>
    <s v="PP"/>
    <n v="15"/>
    <n v="6.5"/>
    <n v="0"/>
    <n v="900"/>
    <s v="PP"/>
    <n v="8"/>
    <n v="243.14000000000001"/>
    <n v="14.4"/>
    <m/>
    <m/>
    <n v="228.74"/>
    <m/>
    <m/>
    <m/>
    <m/>
    <m/>
    <m/>
    <m/>
    <m/>
    <m/>
    <m/>
    <m/>
    <m/>
    <m/>
    <m/>
    <m/>
    <m/>
    <m/>
    <m/>
    <m/>
    <m/>
    <m/>
    <m/>
    <m/>
    <m/>
    <x v="0"/>
    <m/>
    <m/>
    <m/>
    <m/>
  </r>
  <r>
    <x v="0"/>
    <x v="3"/>
    <s v="6916/1"/>
    <x v="1"/>
    <s v="لفافہ"/>
    <s v="PP"/>
    <n v="14"/>
    <n v="5"/>
    <n v="0"/>
    <n v="150"/>
    <s v="PP"/>
    <n v="8"/>
    <n v="321.89"/>
    <n v="13.6"/>
    <m/>
    <m/>
    <n v="308.28999999999996"/>
    <m/>
    <m/>
    <m/>
    <m/>
    <m/>
    <m/>
    <m/>
    <m/>
    <m/>
    <m/>
    <m/>
    <m/>
    <m/>
    <m/>
    <m/>
    <m/>
    <m/>
    <m/>
    <m/>
    <m/>
    <m/>
    <m/>
    <m/>
    <m/>
    <x v="0"/>
    <m/>
    <m/>
    <m/>
    <m/>
  </r>
  <r>
    <x v="0"/>
    <x v="3"/>
    <s v="6941/3"/>
    <x v="1"/>
    <s v="رول"/>
    <s v="PP"/>
    <n v="14"/>
    <n v="6.5"/>
    <n v="0"/>
    <n v="300"/>
    <s v="PP"/>
    <n v="2"/>
    <n v="60.19"/>
    <n v="3.5"/>
    <m/>
    <m/>
    <n v="56.69"/>
    <m/>
    <m/>
    <m/>
    <m/>
    <m/>
    <m/>
    <m/>
    <m/>
    <m/>
    <m/>
    <m/>
    <m/>
    <m/>
    <m/>
    <m/>
    <m/>
    <m/>
    <m/>
    <m/>
    <m/>
    <m/>
    <m/>
    <m/>
    <m/>
    <x v="0"/>
    <m/>
    <m/>
    <m/>
    <m/>
  </r>
  <r>
    <x v="1"/>
    <x v="3"/>
    <s v="6941/3"/>
    <x v="1"/>
    <s v="رول"/>
    <s v="PP"/>
    <n v="14"/>
    <n v="6.5"/>
    <n v="0"/>
    <n v="300"/>
    <s v="PP"/>
    <n v="14"/>
    <n v="549.6"/>
    <n v="23.8"/>
    <m/>
    <m/>
    <n v="525.80000000000007"/>
    <m/>
    <m/>
    <m/>
    <m/>
    <m/>
    <m/>
    <m/>
    <m/>
    <m/>
    <m/>
    <m/>
    <m/>
    <m/>
    <m/>
    <m/>
    <m/>
    <m/>
    <m/>
    <m/>
    <m/>
    <m/>
    <m/>
    <m/>
    <m/>
    <x v="0"/>
    <m/>
    <m/>
    <m/>
    <m/>
  </r>
  <r>
    <x v="0"/>
    <x v="4"/>
    <s v="15 P"/>
    <x v="1"/>
    <s v="سادہ لفافہ"/>
    <s v="PP"/>
    <n v="12"/>
    <n v="5"/>
    <n v="0"/>
    <s v="-"/>
    <s v="PP"/>
    <n v="10"/>
    <n v="444.9"/>
    <n v="14"/>
    <m/>
    <m/>
    <n v="430.9"/>
    <m/>
    <m/>
    <m/>
    <m/>
    <m/>
    <m/>
    <m/>
    <m/>
    <m/>
    <m/>
    <m/>
    <m/>
    <m/>
    <m/>
    <m/>
    <m/>
    <m/>
    <m/>
    <m/>
    <m/>
    <m/>
    <m/>
    <m/>
    <m/>
    <x v="0"/>
    <m/>
    <m/>
    <m/>
    <m/>
  </r>
  <r>
    <x v="1"/>
    <x v="4"/>
    <s v="15 P"/>
    <x v="1"/>
    <s v="سادہ لفافہ"/>
    <s v="PP"/>
    <n v="12"/>
    <n v="5"/>
    <n v="0"/>
    <s v="-"/>
    <s v="PP"/>
    <n v="12"/>
    <n v="519.41"/>
    <n v="16.799999999999997"/>
    <m/>
    <m/>
    <n v="502.60999999999996"/>
    <m/>
    <m/>
    <m/>
    <m/>
    <m/>
    <m/>
    <m/>
    <m/>
    <m/>
    <m/>
    <m/>
    <m/>
    <m/>
    <m/>
    <m/>
    <m/>
    <m/>
    <m/>
    <m/>
    <m/>
    <m/>
    <m/>
    <m/>
    <m/>
    <x v="0"/>
    <m/>
    <m/>
    <m/>
    <m/>
  </r>
  <r>
    <x v="0"/>
    <x v="0"/>
    <s v="2 P"/>
    <x v="2"/>
    <s v="سادہ لفافہ"/>
    <s v="PP"/>
    <n v="2"/>
    <s v="5.5-6"/>
    <n v="0"/>
    <s v="-"/>
    <s v="PP"/>
    <n v="10"/>
    <n v="115"/>
    <n v="2"/>
    <n v="35"/>
    <m/>
    <n v="113"/>
    <m/>
    <m/>
    <m/>
    <m/>
    <m/>
    <m/>
    <m/>
    <m/>
    <m/>
    <m/>
    <m/>
    <m/>
    <m/>
    <m/>
    <m/>
    <m/>
    <m/>
    <m/>
    <m/>
    <m/>
    <m/>
    <m/>
    <m/>
    <m/>
    <x v="0"/>
    <m/>
    <m/>
    <m/>
    <m/>
  </r>
  <r>
    <x v="1"/>
    <x v="0"/>
    <s v="2 P"/>
    <x v="2"/>
    <s v="سادہ لفافہ"/>
    <s v="PP"/>
    <n v="2"/>
    <s v="5.5-6"/>
    <n v="0"/>
    <s v="-"/>
    <s v="PP"/>
    <n v="10"/>
    <n v="97.49"/>
    <n v="2"/>
    <n v="65"/>
    <m/>
    <n v="95.49"/>
    <m/>
    <m/>
    <m/>
    <m/>
    <m/>
    <m/>
    <m/>
    <m/>
    <m/>
    <m/>
    <m/>
    <m/>
    <m/>
    <m/>
    <m/>
    <m/>
    <m/>
    <m/>
    <m/>
    <m/>
    <m/>
    <m/>
    <m/>
    <m/>
    <x v="0"/>
    <m/>
    <m/>
    <m/>
    <m/>
  </r>
  <r>
    <x v="0"/>
    <x v="1"/>
    <s v="6 P"/>
    <x v="2"/>
    <s v="سادہ لفافہ"/>
    <s v="PP"/>
    <n v="4"/>
    <s v="5.5-6"/>
    <n v="0"/>
    <s v="-"/>
    <s v="PP"/>
    <n v="9"/>
    <n v="262.66000000000003"/>
    <n v="3.6"/>
    <m/>
    <m/>
    <n v="259.06"/>
    <m/>
    <m/>
    <m/>
    <m/>
    <m/>
    <m/>
    <m/>
    <m/>
    <m/>
    <m/>
    <m/>
    <m/>
    <m/>
    <m/>
    <m/>
    <m/>
    <m/>
    <m/>
    <m/>
    <m/>
    <m/>
    <m/>
    <m/>
    <m/>
    <x v="0"/>
    <m/>
    <m/>
    <m/>
    <m/>
  </r>
  <r>
    <x v="1"/>
    <x v="1"/>
    <s v="6 P"/>
    <x v="2"/>
    <s v="سادہ لفافہ"/>
    <s v="PP"/>
    <n v="4"/>
    <s v="5.5-6"/>
    <n v="0"/>
    <s v="-"/>
    <s v="PP"/>
    <n v="12"/>
    <n v="171.27"/>
    <n v="4.8000000000000007"/>
    <m/>
    <m/>
    <n v="166.47"/>
    <m/>
    <m/>
    <m/>
    <m/>
    <m/>
    <m/>
    <m/>
    <m/>
    <m/>
    <m/>
    <m/>
    <m/>
    <m/>
    <m/>
    <m/>
    <m/>
    <m/>
    <m/>
    <m/>
    <m/>
    <m/>
    <m/>
    <m/>
    <m/>
    <x v="0"/>
    <m/>
    <m/>
    <m/>
    <m/>
  </r>
  <r>
    <x v="0"/>
    <x v="2"/>
    <s v="10 P"/>
    <x v="2"/>
    <s v="سادہ لفافہ"/>
    <s v="PP"/>
    <n v="7"/>
    <n v="5"/>
    <n v="0"/>
    <s v="-"/>
    <s v="PP"/>
    <n v="8"/>
    <n v="300.01"/>
    <n v="5.6"/>
    <m/>
    <m/>
    <n v="294.40999999999997"/>
    <m/>
    <m/>
    <m/>
    <m/>
    <m/>
    <m/>
    <m/>
    <m/>
    <m/>
    <m/>
    <m/>
    <m/>
    <m/>
    <m/>
    <m/>
    <m/>
    <m/>
    <m/>
    <m/>
    <m/>
    <m/>
    <m/>
    <m/>
    <m/>
    <x v="0"/>
    <m/>
    <m/>
    <m/>
    <m/>
  </r>
  <r>
    <x v="1"/>
    <x v="2"/>
    <s v="10 P"/>
    <x v="2"/>
    <s v="سادہ لفافہ"/>
    <s v="PP"/>
    <n v="7"/>
    <n v="5"/>
    <n v="0"/>
    <s v="-"/>
    <s v="PP"/>
    <n v="4"/>
    <n v="270.88"/>
    <n v="2.8"/>
    <m/>
    <m/>
    <n v="268.08"/>
    <m/>
    <m/>
    <m/>
    <m/>
    <m/>
    <m/>
    <m/>
    <m/>
    <m/>
    <m/>
    <m/>
    <m/>
    <m/>
    <m/>
    <m/>
    <m/>
    <m/>
    <m/>
    <m/>
    <m/>
    <m/>
    <m/>
    <m/>
    <m/>
    <x v="0"/>
    <m/>
    <m/>
    <m/>
    <m/>
  </r>
  <r>
    <x v="0"/>
    <x v="3"/>
    <s v="2625 J"/>
    <x v="2"/>
    <s v="سادہ رول جیلانی پولی سٹاک"/>
    <s v="PP"/>
    <n v="20"/>
    <s v="5-5.5"/>
    <s v=".1:1"/>
    <n v="1000"/>
    <s v="PP"/>
    <n v="13"/>
    <n v="666.18"/>
    <n v="32.5"/>
    <m/>
    <m/>
    <n v="633.67999999999995"/>
    <m/>
    <m/>
    <m/>
    <m/>
    <m/>
    <m/>
    <m/>
    <m/>
    <m/>
    <m/>
    <m/>
    <m/>
    <m/>
    <m/>
    <m/>
    <m/>
    <m/>
    <m/>
    <m/>
    <m/>
    <m/>
    <m/>
    <m/>
    <m/>
    <x v="0"/>
    <m/>
    <m/>
    <m/>
    <m/>
  </r>
  <r>
    <x v="1"/>
    <x v="3"/>
    <s v="2671 J"/>
    <x v="2"/>
    <s v="(1X1)بندوخاں برگر بن"/>
    <s v="PP"/>
    <s v="18&quot; شیٹ"/>
    <s v="4-4.5/8-9"/>
    <s v=".1:1"/>
    <n v="50"/>
    <s v="PP"/>
    <n v="15"/>
    <n v="647.09"/>
    <n v="27"/>
    <m/>
    <m/>
    <n v="620.09"/>
    <m/>
    <m/>
    <m/>
    <m/>
    <m/>
    <m/>
    <m/>
    <m/>
    <m/>
    <m/>
    <m/>
    <m/>
    <m/>
    <m/>
    <m/>
    <m/>
    <m/>
    <m/>
    <m/>
    <m/>
    <m/>
    <m/>
    <m/>
    <m/>
    <x v="0"/>
    <m/>
    <m/>
    <m/>
    <m/>
  </r>
  <r>
    <x v="1"/>
    <x v="3"/>
    <s v="2668 J"/>
    <x v="2"/>
    <s v="بندوخاں پلین شیر مال"/>
    <s v="PP"/>
    <s v="22&quot; شیٹ"/>
    <s v="4-4.5/8-9"/>
    <s v=".1:1"/>
    <n v="100"/>
    <s v="PP"/>
    <n v="1"/>
    <n v="50.79"/>
    <n v="2.2000000000000002"/>
    <m/>
    <m/>
    <n v="48.589999999999996"/>
    <m/>
    <m/>
    <m/>
    <m/>
    <m/>
    <m/>
    <m/>
    <m/>
    <m/>
    <m/>
    <m/>
    <m/>
    <m/>
    <m/>
    <m/>
    <m/>
    <m/>
    <m/>
    <m/>
    <m/>
    <m/>
    <m/>
    <m/>
    <m/>
    <x v="0"/>
    <m/>
    <m/>
    <m/>
    <m/>
  </r>
  <r>
    <x v="0"/>
    <x v="4"/>
    <s v="15 P"/>
    <x v="2"/>
    <s v="سادہ لفافہ"/>
    <s v="PP"/>
    <n v="12"/>
    <n v="5"/>
    <n v="0"/>
    <s v="-"/>
    <s v="PP"/>
    <n v="2"/>
    <n v="106.38"/>
    <n v="3"/>
    <m/>
    <m/>
    <n v="103.38"/>
    <m/>
    <m/>
    <m/>
    <m/>
    <m/>
    <m/>
    <m/>
    <m/>
    <m/>
    <m/>
    <m/>
    <m/>
    <m/>
    <m/>
    <m/>
    <m/>
    <m/>
    <m/>
    <m/>
    <m/>
    <m/>
    <m/>
    <m/>
    <m/>
    <x v="0"/>
    <m/>
    <m/>
    <m/>
    <m/>
  </r>
  <r>
    <x v="0"/>
    <x v="4"/>
    <s v="6916/4"/>
    <x v="2"/>
    <s v="لفافہ"/>
    <s v="PP"/>
    <n v="9"/>
    <n v="4.5"/>
    <n v="0"/>
    <n v="150"/>
    <s v="PP"/>
    <n v="6"/>
    <n v="165.42"/>
    <n v="7.1999999999999993"/>
    <m/>
    <m/>
    <n v="158.22"/>
    <m/>
    <m/>
    <m/>
    <m/>
    <m/>
    <m/>
    <m/>
    <m/>
    <m/>
    <m/>
    <m/>
    <m/>
    <m/>
    <m/>
    <m/>
    <m/>
    <m/>
    <m/>
    <m/>
    <m/>
    <m/>
    <m/>
    <m/>
    <m/>
    <x v="0"/>
    <m/>
    <m/>
    <m/>
    <m/>
  </r>
  <r>
    <x v="1"/>
    <x v="4"/>
    <s v="6916/3"/>
    <x v="2"/>
    <s v="لفافہ"/>
    <s v="PP"/>
    <n v="11"/>
    <n v="4.5"/>
    <n v="0"/>
    <n v="150"/>
    <s v="PP"/>
    <n v="11"/>
    <n v="365.63000000000005"/>
    <n v="12.100000000000001"/>
    <m/>
    <m/>
    <n v="353.53000000000003"/>
    <m/>
    <m/>
    <m/>
    <m/>
    <m/>
    <m/>
    <m/>
    <m/>
    <m/>
    <m/>
    <m/>
    <m/>
    <m/>
    <m/>
    <m/>
    <m/>
    <m/>
    <m/>
    <m/>
    <m/>
    <m/>
    <m/>
    <m/>
    <m/>
    <x v="0"/>
    <m/>
    <m/>
    <m/>
    <m/>
  </r>
  <r>
    <x v="1"/>
    <x v="4"/>
    <s v="6916/3"/>
    <x v="2"/>
    <s v="لفافہ"/>
    <s v="PP"/>
    <n v="11"/>
    <n v="4.5"/>
    <n v="0"/>
    <n v="150"/>
    <s v="PP"/>
    <n v="2"/>
    <n v="69.91"/>
    <n v="2.2000000000000002"/>
    <m/>
    <m/>
    <n v="67.709999999999994"/>
    <m/>
    <m/>
    <m/>
    <m/>
    <m/>
    <m/>
    <m/>
    <m/>
    <m/>
    <m/>
    <m/>
    <m/>
    <m/>
    <m/>
    <m/>
    <m/>
    <m/>
    <m/>
    <m/>
    <m/>
    <m/>
    <m/>
    <m/>
    <m/>
    <x v="0"/>
    <m/>
    <m/>
    <m/>
    <m/>
  </r>
  <r>
    <x v="0"/>
    <x v="0"/>
    <s v="2 P"/>
    <x v="3"/>
    <s v="سادہ لفافہ"/>
    <s v="PP"/>
    <n v="2"/>
    <s v="5.5-6"/>
    <n v="0"/>
    <s v="-"/>
    <s v="PP"/>
    <n v="11"/>
    <n v="121.64000000000001"/>
    <n v="2.2000000000000002"/>
    <n v="25"/>
    <m/>
    <n v="119.44000000000001"/>
    <m/>
    <m/>
    <m/>
    <m/>
    <m/>
    <m/>
    <m/>
    <m/>
    <m/>
    <m/>
    <m/>
    <m/>
    <m/>
    <m/>
    <m/>
    <m/>
    <m/>
    <m/>
    <m/>
    <m/>
    <m/>
    <m/>
    <m/>
    <m/>
    <x v="0"/>
    <m/>
    <m/>
    <m/>
    <m/>
  </r>
  <r>
    <x v="1"/>
    <x v="0"/>
    <s v="2 P"/>
    <x v="3"/>
    <s v="سادہ لفافہ"/>
    <s v="PP"/>
    <n v="2"/>
    <s v="5.5-6"/>
    <n v="0"/>
    <s v="-"/>
    <s v="PP"/>
    <n v="3"/>
    <n v="32.299999999999997"/>
    <n v="0.60000000000000009"/>
    <n v="34"/>
    <m/>
    <n v="31.699999999999996"/>
    <m/>
    <m/>
    <m/>
    <m/>
    <m/>
    <m/>
    <m/>
    <m/>
    <m/>
    <m/>
    <m/>
    <m/>
    <m/>
    <m/>
    <m/>
    <m/>
    <m/>
    <m/>
    <m/>
    <m/>
    <m/>
    <m/>
    <m/>
    <m/>
    <x v="0"/>
    <m/>
    <m/>
    <m/>
    <m/>
  </r>
  <r>
    <x v="1"/>
    <x v="0"/>
    <s v="8 P"/>
    <x v="3"/>
    <s v="سادہ لفافہ"/>
    <s v="PP"/>
    <n v="5"/>
    <s v="5.5-6"/>
    <n v="0"/>
    <s v="-"/>
    <s v="PP"/>
    <n v="7"/>
    <n v="131.74"/>
    <n v="3.5"/>
    <m/>
    <m/>
    <n v="128.24"/>
    <m/>
    <m/>
    <m/>
    <m/>
    <m/>
    <m/>
    <m/>
    <m/>
    <m/>
    <m/>
    <m/>
    <m/>
    <m/>
    <m/>
    <m/>
    <m/>
    <m/>
    <m/>
    <m/>
    <m/>
    <m/>
    <m/>
    <m/>
    <m/>
    <x v="0"/>
    <m/>
    <m/>
    <m/>
    <m/>
  </r>
  <r>
    <x v="0"/>
    <x v="1"/>
    <s v="6 P"/>
    <x v="3"/>
    <s v="سادہ لفافہ"/>
    <s v="PP"/>
    <n v="4"/>
    <s v="5.5-6"/>
    <n v="0"/>
    <s v="-"/>
    <s v="PP"/>
    <n v="9"/>
    <n v="143.03"/>
    <n v="3.6"/>
    <m/>
    <m/>
    <n v="139.43"/>
    <m/>
    <m/>
    <m/>
    <m/>
    <m/>
    <m/>
    <m/>
    <m/>
    <m/>
    <m/>
    <m/>
    <m/>
    <m/>
    <m/>
    <m/>
    <m/>
    <m/>
    <m/>
    <m/>
    <m/>
    <m/>
    <m/>
    <m/>
    <m/>
    <x v="0"/>
    <m/>
    <m/>
    <m/>
    <m/>
  </r>
  <r>
    <x v="1"/>
    <x v="1"/>
    <s v="6 P"/>
    <x v="3"/>
    <s v="سادہ لفافہ"/>
    <s v="PP"/>
    <n v="4"/>
    <s v="5.5-6"/>
    <n v="0"/>
    <s v="-"/>
    <s v="PP"/>
    <n v="11"/>
    <n v="175.5"/>
    <n v="4.4000000000000004"/>
    <m/>
    <m/>
    <n v="171.1"/>
    <m/>
    <m/>
    <m/>
    <m/>
    <m/>
    <m/>
    <m/>
    <m/>
    <m/>
    <m/>
    <m/>
    <m/>
    <m/>
    <m/>
    <m/>
    <m/>
    <m/>
    <m/>
    <m/>
    <m/>
    <m/>
    <m/>
    <m/>
    <m/>
    <x v="0"/>
    <m/>
    <m/>
    <m/>
    <m/>
  </r>
  <r>
    <x v="0"/>
    <x v="2"/>
    <s v="10 P"/>
    <x v="3"/>
    <s v="سادہ لفافہ"/>
    <s v="PP"/>
    <n v="7"/>
    <n v="5"/>
    <n v="0"/>
    <s v="-"/>
    <s v="PP"/>
    <n v="7"/>
    <n v="244.76000000000002"/>
    <n v="4.8999999999999995"/>
    <m/>
    <m/>
    <n v="239.86"/>
    <m/>
    <m/>
    <m/>
    <m/>
    <m/>
    <m/>
    <m/>
    <m/>
    <m/>
    <m/>
    <m/>
    <m/>
    <m/>
    <m/>
    <m/>
    <m/>
    <m/>
    <m/>
    <m/>
    <m/>
    <m/>
    <m/>
    <m/>
    <m/>
    <x v="0"/>
    <m/>
    <m/>
    <m/>
    <m/>
  </r>
  <r>
    <x v="1"/>
    <x v="2"/>
    <s v="10 P"/>
    <x v="3"/>
    <s v="سادہ لفافہ"/>
    <s v="PP"/>
    <n v="7"/>
    <n v="5"/>
    <n v="0"/>
    <s v="-"/>
    <s v="PP"/>
    <n v="7"/>
    <n v="241.44"/>
    <n v="4.8999999999999995"/>
    <m/>
    <m/>
    <n v="236.54"/>
    <m/>
    <m/>
    <m/>
    <m/>
    <m/>
    <m/>
    <m/>
    <m/>
    <m/>
    <m/>
    <m/>
    <m/>
    <m/>
    <m/>
    <m/>
    <m/>
    <m/>
    <m/>
    <m/>
    <m/>
    <m/>
    <m/>
    <m/>
    <m/>
    <x v="0"/>
    <m/>
    <m/>
    <m/>
    <m/>
  </r>
  <r>
    <x v="0"/>
    <x v="3"/>
    <s v="2626 J"/>
    <x v="3"/>
    <s v="سادہ رول جیلانی پولی سٹاک"/>
    <s v="PP"/>
    <n v="22"/>
    <s v="5-5.5"/>
    <s v=".1:1"/>
    <n v="500"/>
    <s v="PP"/>
    <n v="10"/>
    <n v="567.29"/>
    <n v="27"/>
    <m/>
    <m/>
    <n v="540.29"/>
    <m/>
    <m/>
    <m/>
    <m/>
    <m/>
    <m/>
    <m/>
    <m/>
    <m/>
    <m/>
    <m/>
    <m/>
    <m/>
    <m/>
    <m/>
    <m/>
    <m/>
    <m/>
    <m/>
    <m/>
    <m/>
    <m/>
    <m/>
    <m/>
    <x v="0"/>
    <m/>
    <m/>
    <m/>
    <m/>
  </r>
  <r>
    <x v="0"/>
    <x v="3"/>
    <s v="1667 F"/>
    <x v="3"/>
    <s v="سادہ لفافہ"/>
    <s v="PP"/>
    <n v="22"/>
    <s v="8"/>
    <s v="پیور"/>
    <n v="50"/>
    <s v="PP"/>
    <n v="1"/>
    <n v="55.08"/>
    <n v="2.8"/>
    <m/>
    <m/>
    <n v="52.28"/>
    <m/>
    <m/>
    <m/>
    <m/>
    <m/>
    <m/>
    <m/>
    <m/>
    <m/>
    <m/>
    <m/>
    <m/>
    <m/>
    <m/>
    <m/>
    <m/>
    <m/>
    <m/>
    <m/>
    <m/>
    <m/>
    <m/>
    <m/>
    <m/>
    <x v="0"/>
    <m/>
    <m/>
    <m/>
    <m/>
  </r>
  <r>
    <x v="1"/>
    <x v="3"/>
    <s v="6953/1"/>
    <x v="3"/>
    <s v="لفافہ"/>
    <s v="PP"/>
    <n v="27"/>
    <n v="6"/>
    <n v="0"/>
    <n v="100"/>
    <s v="PP"/>
    <n v="4"/>
    <n v="231.69"/>
    <n v="13.6"/>
    <m/>
    <m/>
    <n v="218.09"/>
    <m/>
    <m/>
    <m/>
    <m/>
    <m/>
    <m/>
    <m/>
    <m/>
    <m/>
    <m/>
    <m/>
    <m/>
    <m/>
    <m/>
    <m/>
    <m/>
    <m/>
    <m/>
    <m/>
    <m/>
    <m/>
    <m/>
    <m/>
    <m/>
    <x v="0"/>
    <m/>
    <m/>
    <m/>
    <m/>
  </r>
  <r>
    <x v="1"/>
    <x v="3"/>
    <s v="2635 J"/>
    <x v="3"/>
    <s v="ہائی کلاس رسک"/>
    <s v="PP"/>
    <s v="28 شیٹ"/>
    <s v="4-4.5/8-9"/>
    <s v="1:1"/>
    <n v="100"/>
    <s v="PP"/>
    <n v="2"/>
    <n v="95.63"/>
    <n v="6.8"/>
    <m/>
    <m/>
    <n v="88.83"/>
    <m/>
    <m/>
    <m/>
    <m/>
    <m/>
    <m/>
    <m/>
    <m/>
    <m/>
    <m/>
    <m/>
    <m/>
    <m/>
    <m/>
    <m/>
    <m/>
    <m/>
    <m/>
    <m/>
    <m/>
    <m/>
    <m/>
    <m/>
    <m/>
    <x v="0"/>
    <m/>
    <m/>
    <m/>
    <m/>
  </r>
  <r>
    <x v="1"/>
    <x v="3"/>
    <s v="2627 J"/>
    <x v="3"/>
    <s v="سادہ رول جیلانی پولی سٹاک"/>
    <s v="PP"/>
    <n v="28"/>
    <s v="5-5.5"/>
    <s v=".1:1"/>
    <n v="1000"/>
    <s v="PP"/>
    <n v="3"/>
    <n v="185.89000000000001"/>
    <n v="10.199999999999999"/>
    <m/>
    <m/>
    <n v="175.69000000000003"/>
    <m/>
    <m/>
    <m/>
    <m/>
    <m/>
    <m/>
    <m/>
    <m/>
    <m/>
    <m/>
    <m/>
    <m/>
    <m/>
    <m/>
    <m/>
    <m/>
    <m/>
    <m/>
    <m/>
    <m/>
    <m/>
    <m/>
    <m/>
    <m/>
    <x v="0"/>
    <m/>
    <m/>
    <m/>
    <m/>
  </r>
  <r>
    <x v="1"/>
    <x v="3"/>
    <s v="2634 J"/>
    <x v="3"/>
    <s v="ہائی کلاس رسک"/>
    <s v="PP"/>
    <s v="28 شیٹ"/>
    <s v="4-4.5/8-9"/>
    <s v="1:1"/>
    <n v="200"/>
    <s v="PP"/>
    <n v="2"/>
    <n v="93.300000000000011"/>
    <n v="6.8"/>
    <m/>
    <m/>
    <n v="86.500000000000014"/>
    <m/>
    <m/>
    <m/>
    <m/>
    <m/>
    <m/>
    <m/>
    <m/>
    <m/>
    <m/>
    <m/>
    <m/>
    <m/>
    <m/>
    <m/>
    <m/>
    <m/>
    <m/>
    <m/>
    <m/>
    <m/>
    <m/>
    <m/>
    <m/>
    <x v="0"/>
    <m/>
    <m/>
    <m/>
    <m/>
  </r>
  <r>
    <x v="0"/>
    <x v="4"/>
    <s v="14 P"/>
    <x v="3"/>
    <s v="سادہ لفافہ"/>
    <s v="PP"/>
    <n v="11"/>
    <n v="5"/>
    <n v="0"/>
    <s v="-"/>
    <s v="PP"/>
    <n v="8"/>
    <n v="251.69000000000003"/>
    <n v="10.4"/>
    <m/>
    <m/>
    <n v="241.29000000000002"/>
    <m/>
    <m/>
    <m/>
    <m/>
    <m/>
    <m/>
    <m/>
    <m/>
    <m/>
    <m/>
    <m/>
    <m/>
    <m/>
    <m/>
    <m/>
    <m/>
    <m/>
    <m/>
    <m/>
    <m/>
    <m/>
    <m/>
    <m/>
    <m/>
    <x v="0"/>
    <m/>
    <m/>
    <m/>
    <m/>
  </r>
  <r>
    <x v="0"/>
    <x v="4"/>
    <s v="16 P"/>
    <x v="3"/>
    <s v="سادہ لفافہ"/>
    <s v="PP"/>
    <n v="13"/>
    <n v="5"/>
    <n v="0"/>
    <s v="-"/>
    <s v="PP"/>
    <n v="4"/>
    <n v="132.02000000000001"/>
    <n v="5.6999999999999993"/>
    <m/>
    <m/>
    <n v="126.32000000000001"/>
    <m/>
    <m/>
    <m/>
    <m/>
    <m/>
    <m/>
    <m/>
    <m/>
    <m/>
    <m/>
    <m/>
    <m/>
    <m/>
    <m/>
    <m/>
    <m/>
    <m/>
    <m/>
    <m/>
    <m/>
    <m/>
    <m/>
    <m/>
    <m/>
    <x v="0"/>
    <m/>
    <m/>
    <m/>
    <m/>
  </r>
  <r>
    <x v="0"/>
    <x v="4"/>
    <s v="1660 F"/>
    <x v="3"/>
    <s v="سادہ لفافہ"/>
    <s v="PP"/>
    <n v="13"/>
    <s v="8"/>
    <s v="-"/>
    <n v="100"/>
    <s v="PP"/>
    <n v="2"/>
    <n v="96.75"/>
    <n v="3"/>
    <m/>
    <m/>
    <n v="93.75"/>
    <m/>
    <m/>
    <m/>
    <m/>
    <m/>
    <m/>
    <m/>
    <m/>
    <m/>
    <m/>
    <m/>
    <m/>
    <m/>
    <m/>
    <m/>
    <m/>
    <m/>
    <m/>
    <m/>
    <m/>
    <m/>
    <m/>
    <m/>
    <m/>
    <x v="0"/>
    <m/>
    <m/>
    <m/>
    <m/>
  </r>
  <r>
    <x v="1"/>
    <x v="4"/>
    <s v="1660 F"/>
    <x v="3"/>
    <s v="سادہ لفافہ"/>
    <s v="PP"/>
    <n v="13"/>
    <s v="8"/>
    <s v="-"/>
    <n v="100"/>
    <s v="PP"/>
    <n v="14"/>
    <n v="515.01"/>
    <n v="18.2"/>
    <m/>
    <m/>
    <n v="496.81"/>
    <m/>
    <m/>
    <m/>
    <m/>
    <m/>
    <m/>
    <m/>
    <m/>
    <m/>
    <m/>
    <m/>
    <m/>
    <m/>
    <m/>
    <m/>
    <m/>
    <m/>
    <m/>
    <m/>
    <m/>
    <m/>
    <m/>
    <m/>
    <m/>
    <x v="0"/>
    <m/>
    <m/>
    <m/>
    <m/>
  </r>
  <r>
    <x v="0"/>
    <x v="0"/>
    <s v="8 P"/>
    <x v="4"/>
    <s v="سادہ لفافہ"/>
    <s v="PP"/>
    <n v="5"/>
    <s v="5.5-6"/>
    <n v="0"/>
    <s v="-"/>
    <s v="PP"/>
    <n v="8"/>
    <n v="169.76999999999998"/>
    <n v="4"/>
    <n v="13"/>
    <m/>
    <n v="165.76999999999998"/>
    <m/>
    <m/>
    <m/>
    <m/>
    <m/>
    <m/>
    <m/>
    <m/>
    <m/>
    <m/>
    <m/>
    <m/>
    <m/>
    <m/>
    <m/>
    <m/>
    <m/>
    <m/>
    <m/>
    <m/>
    <m/>
    <m/>
    <m/>
    <m/>
    <x v="0"/>
    <m/>
    <m/>
    <m/>
    <m/>
  </r>
  <r>
    <x v="1"/>
    <x v="0"/>
    <s v="8 P"/>
    <x v="4"/>
    <s v="سادہ لفافہ"/>
    <s v="PP"/>
    <n v="5"/>
    <s v="5.5-6"/>
    <n v="0"/>
    <s v="-"/>
    <s v="PP"/>
    <n v="6"/>
    <n v="109.82000000000001"/>
    <n v="3"/>
    <n v="20"/>
    <m/>
    <n v="106.82000000000001"/>
    <m/>
    <m/>
    <m/>
    <m/>
    <m/>
    <m/>
    <m/>
    <m/>
    <m/>
    <m/>
    <m/>
    <m/>
    <m/>
    <m/>
    <m/>
    <m/>
    <m/>
    <m/>
    <m/>
    <m/>
    <m/>
    <m/>
    <m/>
    <m/>
    <x v="0"/>
    <m/>
    <m/>
    <m/>
    <m/>
  </r>
  <r>
    <x v="0"/>
    <x v="1"/>
    <s v="6 P"/>
    <x v="4"/>
    <s v="سادہ لفافہ"/>
    <s v="PP"/>
    <n v="4"/>
    <s v="5.5-6"/>
    <n v="0"/>
    <s v="-"/>
    <s v="PP"/>
    <n v="9"/>
    <n v="136"/>
    <n v="3.6"/>
    <m/>
    <m/>
    <n v="132.4"/>
    <m/>
    <m/>
    <m/>
    <m/>
    <m/>
    <m/>
    <m/>
    <m/>
    <m/>
    <m/>
    <m/>
    <m/>
    <m/>
    <m/>
    <m/>
    <m/>
    <m/>
    <m/>
    <m/>
    <m/>
    <m/>
    <m/>
    <m/>
    <m/>
    <x v="0"/>
    <m/>
    <m/>
    <m/>
    <m/>
  </r>
  <r>
    <x v="1"/>
    <x v="1"/>
    <s v="6 P"/>
    <x v="4"/>
    <s v="سادہ لفافہ"/>
    <s v="PP"/>
    <n v="4"/>
    <s v="5.5-6"/>
    <n v="0"/>
    <s v="-"/>
    <s v="PP"/>
    <n v="7"/>
    <n v="111.10000000000002"/>
    <n v="2.8000000000000003"/>
    <m/>
    <m/>
    <n v="108.30000000000003"/>
    <m/>
    <m/>
    <m/>
    <m/>
    <m/>
    <m/>
    <m/>
    <m/>
    <m/>
    <m/>
    <m/>
    <m/>
    <m/>
    <m/>
    <m/>
    <m/>
    <m/>
    <m/>
    <m/>
    <m/>
    <m/>
    <m/>
    <m/>
    <m/>
    <x v="0"/>
    <m/>
    <m/>
    <m/>
    <m/>
  </r>
  <r>
    <x v="0"/>
    <x v="2"/>
    <s v="10 P"/>
    <x v="4"/>
    <s v="سادہ لفافہ"/>
    <s v="PP"/>
    <n v="7"/>
    <n v="5"/>
    <n v="0"/>
    <s v="-"/>
    <s v="PP"/>
    <n v="4"/>
    <n v="146.85"/>
    <n v="2.8"/>
    <m/>
    <m/>
    <n v="144.04999999999998"/>
    <m/>
    <m/>
    <m/>
    <m/>
    <m/>
    <m/>
    <m/>
    <m/>
    <m/>
    <m/>
    <m/>
    <m/>
    <m/>
    <m/>
    <m/>
    <m/>
    <m/>
    <m/>
    <m/>
    <m/>
    <m/>
    <m/>
    <m/>
    <m/>
    <x v="0"/>
    <m/>
    <m/>
    <m/>
    <m/>
  </r>
  <r>
    <x v="0"/>
    <x v="2"/>
    <s v="15 P"/>
    <x v="4"/>
    <s v="سادہ لفافہ"/>
    <s v="PP"/>
    <n v="12"/>
    <n v="5"/>
    <n v="0"/>
    <s v="-"/>
    <s v="PP"/>
    <n v="4"/>
    <n v="150.59"/>
    <n v="5.3"/>
    <m/>
    <m/>
    <n v="145.29"/>
    <m/>
    <m/>
    <m/>
    <m/>
    <m/>
    <m/>
    <m/>
    <m/>
    <m/>
    <m/>
    <m/>
    <m/>
    <m/>
    <m/>
    <m/>
    <m/>
    <m/>
    <m/>
    <m/>
    <m/>
    <m/>
    <m/>
    <m/>
    <m/>
    <x v="0"/>
    <m/>
    <m/>
    <m/>
    <m/>
  </r>
  <r>
    <x v="1"/>
    <x v="2"/>
    <s v="15 P"/>
    <x v="4"/>
    <s v="سادہ لفافہ"/>
    <s v="PP"/>
    <n v="12"/>
    <n v="5"/>
    <n v="0"/>
    <s v="-"/>
    <s v="PP"/>
    <n v="4"/>
    <n v="154.70999999999998"/>
    <n v="5.6"/>
    <m/>
    <m/>
    <n v="149.10999999999999"/>
    <m/>
    <m/>
    <m/>
    <m/>
    <m/>
    <m/>
    <m/>
    <m/>
    <m/>
    <m/>
    <m/>
    <m/>
    <m/>
    <m/>
    <m/>
    <m/>
    <m/>
    <m/>
    <m/>
    <m/>
    <m/>
    <m/>
    <m/>
    <m/>
    <x v="0"/>
    <m/>
    <m/>
    <m/>
    <m/>
  </r>
  <r>
    <x v="0"/>
    <x v="3"/>
    <s v="2635 J"/>
    <x v="4"/>
    <s v="ہائی کلاس رسک"/>
    <s v="PP"/>
    <s v="28 شیٹ"/>
    <s v="4-4.5/8-9"/>
    <s v="1:1"/>
    <n v="100"/>
    <s v="PP"/>
    <n v="2"/>
    <n v="115.15"/>
    <n v="6.6999999999999993"/>
    <m/>
    <m/>
    <n v="108.45"/>
    <m/>
    <m/>
    <m/>
    <m/>
    <m/>
    <m/>
    <m/>
    <m/>
    <m/>
    <m/>
    <m/>
    <m/>
    <m/>
    <m/>
    <m/>
    <m/>
    <m/>
    <m/>
    <m/>
    <m/>
    <m/>
    <m/>
    <m/>
    <m/>
    <x v="0"/>
    <m/>
    <m/>
    <m/>
    <m/>
  </r>
  <r>
    <x v="0"/>
    <x v="3"/>
    <s v="2627 J"/>
    <x v="4"/>
    <s v="سادہ رول جیلانی پولی سٹاک"/>
    <s v="PP"/>
    <n v="28"/>
    <s v="5-5.5"/>
    <s v=".1:1"/>
    <n v="1000"/>
    <s v="PP"/>
    <n v="9"/>
    <n v="522.29"/>
    <n v="29.7"/>
    <m/>
    <m/>
    <n v="492.59"/>
    <m/>
    <m/>
    <m/>
    <m/>
    <m/>
    <m/>
    <m/>
    <m/>
    <m/>
    <m/>
    <m/>
    <m/>
    <m/>
    <m/>
    <m/>
    <m/>
    <m/>
    <m/>
    <m/>
    <m/>
    <m/>
    <m/>
    <m/>
    <m/>
    <x v="0"/>
    <m/>
    <m/>
    <m/>
    <m/>
  </r>
  <r>
    <x v="1"/>
    <x v="3"/>
    <s v="2627 J"/>
    <x v="4"/>
    <s v="سادہ رول جیلانی پولی سٹاک"/>
    <s v="PP"/>
    <n v="28"/>
    <s v="5-5.5"/>
    <s v=".1:1"/>
    <n v="1000"/>
    <s v="PP"/>
    <n v="7"/>
    <n v="431.58"/>
    <n v="24.5"/>
    <m/>
    <m/>
    <n v="407.08"/>
    <m/>
    <m/>
    <m/>
    <m/>
    <m/>
    <m/>
    <m/>
    <m/>
    <m/>
    <m/>
    <m/>
    <m/>
    <m/>
    <m/>
    <m/>
    <m/>
    <m/>
    <m/>
    <m/>
    <m/>
    <m/>
    <m/>
    <m/>
    <m/>
    <x v="0"/>
    <m/>
    <m/>
    <m/>
    <m/>
  </r>
  <r>
    <x v="0"/>
    <x v="4"/>
    <s v="16 P"/>
    <x v="4"/>
    <s v="سادہ لفافہ"/>
    <s v="PP"/>
    <n v="13"/>
    <n v="5"/>
    <n v="0"/>
    <s v="-"/>
    <s v="PP"/>
    <n v="9"/>
    <n v="327.17"/>
    <n v="13.5"/>
    <m/>
    <m/>
    <n v="313.67"/>
    <m/>
    <m/>
    <m/>
    <m/>
    <m/>
    <m/>
    <m/>
    <m/>
    <m/>
    <m/>
    <m/>
    <m/>
    <m/>
    <m/>
    <m/>
    <m/>
    <m/>
    <m/>
    <m/>
    <m/>
    <m/>
    <m/>
    <m/>
    <m/>
    <x v="0"/>
    <m/>
    <m/>
    <m/>
    <m/>
  </r>
  <r>
    <x v="0"/>
    <x v="4"/>
    <s v="2624 J"/>
    <x v="4"/>
    <s v="سادہ رول جیلانی پولی سٹاک"/>
    <s v="PP"/>
    <n v="18"/>
    <s v="5-5.5"/>
    <s v=".1:1"/>
    <n v="1000"/>
    <s v="PP"/>
    <n v="4"/>
    <n v="186.39999999999998"/>
    <n v="8.1"/>
    <m/>
    <m/>
    <n v="178.29999999999998"/>
    <m/>
    <m/>
    <m/>
    <m/>
    <m/>
    <m/>
    <m/>
    <m/>
    <m/>
    <m/>
    <m/>
    <m/>
    <m/>
    <m/>
    <m/>
    <m/>
    <m/>
    <m/>
    <m/>
    <m/>
    <m/>
    <m/>
    <m/>
    <m/>
    <x v="0"/>
    <m/>
    <m/>
    <m/>
    <m/>
  </r>
  <r>
    <x v="1"/>
    <x v="4"/>
    <s v="2624 J"/>
    <x v="4"/>
    <s v="سادہ رول جیلانی پولی سٹاک"/>
    <s v="PP"/>
    <n v="18"/>
    <s v="5-5.5"/>
    <s v=".1:1"/>
    <n v="1000"/>
    <s v="PP"/>
    <n v="8"/>
    <n v="452.53"/>
    <n v="17.600000000000001"/>
    <m/>
    <m/>
    <n v="434.92999999999995"/>
    <m/>
    <m/>
    <m/>
    <m/>
    <m/>
    <m/>
    <m/>
    <m/>
    <m/>
    <m/>
    <m/>
    <m/>
    <m/>
    <m/>
    <m/>
    <m/>
    <m/>
    <m/>
    <m/>
    <m/>
    <m/>
    <m/>
    <m/>
    <m/>
    <x v="0"/>
    <m/>
    <m/>
    <m/>
    <m/>
  </r>
  <r>
    <x v="0"/>
    <x v="0"/>
    <s v="8 P"/>
    <x v="5"/>
    <s v="سادہ لفافہ"/>
    <s v="PP"/>
    <n v="5"/>
    <s v="5.5-6"/>
    <n v="0"/>
    <s v="-"/>
    <s v="PP"/>
    <n v="8"/>
    <n v="117.72"/>
    <n v="4"/>
    <n v="55"/>
    <m/>
    <n v="113.72"/>
    <m/>
    <m/>
    <m/>
    <m/>
    <m/>
    <m/>
    <m/>
    <m/>
    <m/>
    <m/>
    <m/>
    <m/>
    <m/>
    <m/>
    <m/>
    <m/>
    <m/>
    <m/>
    <m/>
    <m/>
    <m/>
    <m/>
    <m/>
    <m/>
    <x v="0"/>
    <m/>
    <m/>
    <m/>
    <m/>
  </r>
  <r>
    <x v="1"/>
    <x v="0"/>
    <s v="8 P"/>
    <x v="5"/>
    <s v="سادہ لفافہ"/>
    <s v="PP"/>
    <n v="5"/>
    <s v="5.5-6"/>
    <n v="0"/>
    <s v="-"/>
    <s v="PP"/>
    <n v="9"/>
    <n v="190.32999999999998"/>
    <n v="4.5"/>
    <n v="35"/>
    <m/>
    <n v="185.82999999999998"/>
    <m/>
    <m/>
    <m/>
    <m/>
    <m/>
    <m/>
    <m/>
    <m/>
    <m/>
    <m/>
    <m/>
    <m/>
    <m/>
    <m/>
    <m/>
    <m/>
    <m/>
    <m/>
    <m/>
    <m/>
    <m/>
    <m/>
    <m/>
    <m/>
    <x v="0"/>
    <m/>
    <m/>
    <m/>
    <m/>
  </r>
  <r>
    <x v="0"/>
    <x v="1"/>
    <s v="6 P"/>
    <x v="5"/>
    <s v="سادہ لفافہ"/>
    <s v="PP"/>
    <n v="4"/>
    <s v="5.5-6"/>
    <n v="0"/>
    <s v="-"/>
    <s v="PP"/>
    <n v="7"/>
    <n v="115.13"/>
    <n v="2.8000000000000003"/>
    <m/>
    <m/>
    <n v="112.33"/>
    <m/>
    <m/>
    <m/>
    <m/>
    <m/>
    <m/>
    <m/>
    <m/>
    <m/>
    <m/>
    <m/>
    <m/>
    <m/>
    <m/>
    <m/>
    <m/>
    <m/>
    <m/>
    <m/>
    <m/>
    <m/>
    <m/>
    <m/>
    <m/>
    <x v="0"/>
    <m/>
    <m/>
    <m/>
    <m/>
  </r>
  <r>
    <x v="1"/>
    <x v="1"/>
    <s v="6 P"/>
    <x v="5"/>
    <s v="سادہ لفافہ"/>
    <s v="PP"/>
    <n v="4"/>
    <s v="5.5-6"/>
    <n v="0"/>
    <s v="-"/>
    <s v="PP"/>
    <n v="7"/>
    <n v="126.81"/>
    <n v="2.8000000000000003"/>
    <m/>
    <m/>
    <n v="124.01"/>
    <m/>
    <m/>
    <m/>
    <m/>
    <m/>
    <m/>
    <m/>
    <m/>
    <m/>
    <m/>
    <m/>
    <m/>
    <m/>
    <m/>
    <m/>
    <m/>
    <m/>
    <m/>
    <m/>
    <m/>
    <m/>
    <m/>
    <m/>
    <m/>
    <x v="0"/>
    <m/>
    <m/>
    <m/>
    <m/>
  </r>
  <r>
    <x v="0"/>
    <x v="2"/>
    <s v="10 P"/>
    <x v="5"/>
    <s v="سادہ لفافہ"/>
    <s v="PP"/>
    <n v="7"/>
    <n v="5"/>
    <n v="0"/>
    <s v="-"/>
    <s v="PP"/>
    <n v="7"/>
    <n v="179.07999999999998"/>
    <n v="4.8999999999999995"/>
    <m/>
    <m/>
    <n v="174.17999999999998"/>
    <m/>
    <m/>
    <m/>
    <m/>
    <m/>
    <m/>
    <m/>
    <m/>
    <m/>
    <m/>
    <m/>
    <m/>
    <m/>
    <m/>
    <m/>
    <m/>
    <m/>
    <m/>
    <m/>
    <m/>
    <m/>
    <m/>
    <m/>
    <m/>
    <x v="0"/>
    <m/>
    <m/>
    <m/>
    <m/>
  </r>
  <r>
    <x v="1"/>
    <x v="2"/>
    <s v="10 P"/>
    <x v="5"/>
    <s v="سادہ لفافہ"/>
    <s v="PP"/>
    <n v="7"/>
    <n v="5"/>
    <n v="0"/>
    <s v="-"/>
    <s v="PP"/>
    <n v="8"/>
    <n v="291.57000000000005"/>
    <n v="5.6"/>
    <m/>
    <m/>
    <n v="285.97000000000003"/>
    <m/>
    <m/>
    <m/>
    <m/>
    <m/>
    <m/>
    <m/>
    <m/>
    <m/>
    <m/>
    <m/>
    <m/>
    <m/>
    <m/>
    <m/>
    <m/>
    <m/>
    <m/>
    <m/>
    <m/>
    <m/>
    <m/>
    <m/>
    <m/>
    <x v="0"/>
    <m/>
    <m/>
    <m/>
    <m/>
  </r>
  <r>
    <x v="0"/>
    <x v="3"/>
    <s v="2665 J"/>
    <x v="5"/>
    <s v="جیلانی لیبل"/>
    <s v="PP"/>
    <n v="16"/>
    <s v="5-5.5"/>
    <s v="-"/>
    <n v="200"/>
    <s v="PP"/>
    <n v="8"/>
    <n v="430.71999999999997"/>
    <n v="15.2"/>
    <m/>
    <m/>
    <n v="415.52"/>
    <m/>
    <m/>
    <m/>
    <m/>
    <m/>
    <m/>
    <m/>
    <m/>
    <m/>
    <m/>
    <m/>
    <m/>
    <m/>
    <m/>
    <m/>
    <m/>
    <m/>
    <m/>
    <m/>
    <m/>
    <m/>
    <m/>
    <m/>
    <m/>
    <x v="0"/>
    <m/>
    <m/>
    <m/>
    <m/>
  </r>
  <r>
    <x v="1"/>
    <x v="3"/>
    <s v="2665 J"/>
    <x v="5"/>
    <s v="جیلانی لیبل"/>
    <s v="PP"/>
    <n v="16"/>
    <s v="5-5.5"/>
    <s v="-"/>
    <n v="200"/>
    <s v="PP"/>
    <n v="11"/>
    <n v="622.78"/>
    <n v="20.9"/>
    <m/>
    <m/>
    <n v="601.88"/>
    <m/>
    <m/>
    <m/>
    <m/>
    <m/>
    <m/>
    <m/>
    <m/>
    <m/>
    <m/>
    <m/>
    <m/>
    <m/>
    <m/>
    <m/>
    <m/>
    <m/>
    <m/>
    <m/>
    <m/>
    <m/>
    <m/>
    <m/>
    <m/>
    <x v="0"/>
    <m/>
    <m/>
    <m/>
    <m/>
  </r>
  <r>
    <x v="0"/>
    <x v="4"/>
    <s v="15 P"/>
    <x v="5"/>
    <s v="سادہ لفافہ"/>
    <s v="PP"/>
    <n v="12"/>
    <n v="5"/>
    <n v="0"/>
    <s v="-"/>
    <s v="PP"/>
    <n v="7"/>
    <n v="348.67"/>
    <n v="8.4"/>
    <m/>
    <m/>
    <n v="340.27000000000004"/>
    <m/>
    <m/>
    <m/>
    <m/>
    <m/>
    <m/>
    <m/>
    <m/>
    <m/>
    <m/>
    <m/>
    <m/>
    <m/>
    <m/>
    <m/>
    <m/>
    <m/>
    <m/>
    <m/>
    <m/>
    <m/>
    <m/>
    <m/>
    <m/>
    <x v="0"/>
    <m/>
    <m/>
    <m/>
    <m/>
  </r>
  <r>
    <x v="1"/>
    <x v="4"/>
    <s v="15 P"/>
    <x v="5"/>
    <s v="سادہ لفافہ"/>
    <s v="PP"/>
    <n v="12"/>
    <n v="5"/>
    <n v="0"/>
    <s v="-"/>
    <s v="PP"/>
    <n v="10"/>
    <n v="503.28000000000003"/>
    <n v="15"/>
    <m/>
    <m/>
    <n v="488.28000000000003"/>
    <m/>
    <m/>
    <m/>
    <m/>
    <m/>
    <m/>
    <m/>
    <m/>
    <m/>
    <m/>
    <m/>
    <m/>
    <m/>
    <m/>
    <m/>
    <m/>
    <m/>
    <m/>
    <m/>
    <m/>
    <m/>
    <m/>
    <m/>
    <m/>
    <x v="0"/>
    <m/>
    <m/>
    <m/>
    <m/>
  </r>
  <r>
    <x v="0"/>
    <x v="0"/>
    <s v="8 P"/>
    <x v="6"/>
    <s v="سادہ لفافہ"/>
    <s v="PP"/>
    <n v="5"/>
    <s v="5.5-6"/>
    <n v="0"/>
    <s v="-"/>
    <s v="PP"/>
    <n v="3"/>
    <n v="52.3"/>
    <n v="1.5"/>
    <n v="30"/>
    <m/>
    <n v="50.8"/>
    <m/>
    <m/>
    <m/>
    <m/>
    <m/>
    <m/>
    <m/>
    <m/>
    <m/>
    <m/>
    <m/>
    <m/>
    <m/>
    <m/>
    <m/>
    <m/>
    <m/>
    <m/>
    <m/>
    <m/>
    <m/>
    <m/>
    <m/>
    <m/>
    <x v="0"/>
    <m/>
    <m/>
    <m/>
    <m/>
  </r>
  <r>
    <x v="0"/>
    <x v="0"/>
    <s v="4 P"/>
    <x v="6"/>
    <s v="سادہ لفافہ"/>
    <s v="PP"/>
    <n v="3"/>
    <s v="5.5-6"/>
    <n v="0"/>
    <s v="-"/>
    <s v="PP"/>
    <n v="6"/>
    <n v="80.959999999999994"/>
    <n v="1.7999999999999998"/>
    <m/>
    <m/>
    <n v="79.16"/>
    <m/>
    <m/>
    <m/>
    <m/>
    <m/>
    <m/>
    <m/>
    <m/>
    <m/>
    <m/>
    <m/>
    <m/>
    <m/>
    <m/>
    <m/>
    <m/>
    <m/>
    <m/>
    <m/>
    <m/>
    <m/>
    <m/>
    <m/>
    <m/>
    <x v="0"/>
    <m/>
    <m/>
    <m/>
    <m/>
  </r>
  <r>
    <x v="1"/>
    <x v="0"/>
    <s v="4 P"/>
    <x v="6"/>
    <s v="سادہ لفافہ"/>
    <s v="PP"/>
    <n v="3"/>
    <s v="5.5-6"/>
    <n v="0"/>
    <s v="-"/>
    <s v="PP"/>
    <n v="10"/>
    <n v="149.81"/>
    <n v="3"/>
    <n v="35"/>
    <m/>
    <n v="146.81"/>
    <m/>
    <m/>
    <m/>
    <m/>
    <m/>
    <m/>
    <m/>
    <m/>
    <m/>
    <m/>
    <m/>
    <m/>
    <m/>
    <m/>
    <m/>
    <m/>
    <m/>
    <m/>
    <m/>
    <m/>
    <m/>
    <m/>
    <m/>
    <m/>
    <x v="0"/>
    <m/>
    <m/>
    <m/>
    <m/>
  </r>
  <r>
    <x v="0"/>
    <x v="1"/>
    <s v="6 P"/>
    <x v="6"/>
    <s v="سادہ لفافہ"/>
    <s v="PP"/>
    <n v="4"/>
    <s v="5.5-6"/>
    <n v="0"/>
    <s v="-"/>
    <s v="PP"/>
    <n v="10"/>
    <n v="155.21"/>
    <n v="4"/>
    <m/>
    <m/>
    <n v="151.21"/>
    <m/>
    <m/>
    <m/>
    <m/>
    <m/>
    <m/>
    <m/>
    <m/>
    <m/>
    <m/>
    <m/>
    <m/>
    <m/>
    <m/>
    <m/>
    <m/>
    <m/>
    <m/>
    <m/>
    <m/>
    <m/>
    <m/>
    <m/>
    <m/>
    <x v="0"/>
    <m/>
    <m/>
    <m/>
    <m/>
  </r>
  <r>
    <x v="1"/>
    <x v="1"/>
    <s v="6 P"/>
    <x v="6"/>
    <s v="سادہ لفافہ"/>
    <s v="PP"/>
    <n v="4"/>
    <s v="5.5-6"/>
    <n v="0"/>
    <s v="-"/>
    <s v="PP"/>
    <n v="8"/>
    <n v="134.32"/>
    <n v="3.2"/>
    <m/>
    <m/>
    <n v="131.12"/>
    <m/>
    <m/>
    <m/>
    <m/>
    <m/>
    <m/>
    <m/>
    <m/>
    <m/>
    <m/>
    <m/>
    <m/>
    <m/>
    <m/>
    <m/>
    <m/>
    <m/>
    <m/>
    <m/>
    <m/>
    <m/>
    <m/>
    <m/>
    <m/>
    <x v="0"/>
    <m/>
    <m/>
    <m/>
    <m/>
  </r>
  <r>
    <x v="0"/>
    <x v="2"/>
    <s v="10 P"/>
    <x v="6"/>
    <s v="سادہ لفافہ"/>
    <s v="PP"/>
    <n v="7"/>
    <n v="5"/>
    <n v="0"/>
    <s v="-"/>
    <s v="PP"/>
    <n v="9"/>
    <n v="299.11"/>
    <n v="6.3"/>
    <m/>
    <m/>
    <n v="292.81"/>
    <m/>
    <m/>
    <m/>
    <m/>
    <m/>
    <m/>
    <m/>
    <m/>
    <m/>
    <m/>
    <m/>
    <m/>
    <m/>
    <m/>
    <m/>
    <m/>
    <m/>
    <m/>
    <m/>
    <m/>
    <m/>
    <m/>
    <m/>
    <m/>
    <x v="0"/>
    <m/>
    <m/>
    <m/>
    <m/>
  </r>
  <r>
    <x v="1"/>
    <x v="2"/>
    <s v="10 P"/>
    <x v="6"/>
    <s v="سادہ لفافہ"/>
    <s v="PP"/>
    <n v="7"/>
    <n v="5"/>
    <n v="0"/>
    <s v="-"/>
    <s v="PP"/>
    <n v="8"/>
    <n v="272.33999999999997"/>
    <n v="7.2"/>
    <m/>
    <m/>
    <n v="265.14"/>
    <m/>
    <m/>
    <m/>
    <m/>
    <m/>
    <m/>
    <m/>
    <m/>
    <m/>
    <m/>
    <m/>
    <m/>
    <m/>
    <m/>
    <m/>
    <m/>
    <m/>
    <m/>
    <m/>
    <m/>
    <m/>
    <m/>
    <m/>
    <m/>
    <x v="0"/>
    <m/>
    <m/>
    <m/>
    <m/>
  </r>
  <r>
    <x v="0"/>
    <x v="3"/>
    <s v="2665 J"/>
    <x v="6"/>
    <s v="جیلانی لیبل"/>
    <s v="PP"/>
    <n v="16"/>
    <s v="5-5.5"/>
    <s v="-"/>
    <n v="200"/>
    <s v="PP"/>
    <n v="6"/>
    <n v="290.7"/>
    <n v="9.6000000000000014"/>
    <m/>
    <m/>
    <n v="281.09999999999997"/>
    <m/>
    <m/>
    <m/>
    <m/>
    <m/>
    <m/>
    <m/>
    <m/>
    <m/>
    <m/>
    <m/>
    <m/>
    <m/>
    <m/>
    <m/>
    <m/>
    <m/>
    <m/>
    <m/>
    <m/>
    <m/>
    <m/>
    <m/>
    <m/>
    <x v="0"/>
    <m/>
    <m/>
    <m/>
    <m/>
  </r>
  <r>
    <x v="0"/>
    <x v="3"/>
    <s v="6941/7"/>
    <x v="6"/>
    <s v="رول"/>
    <s v="PP"/>
    <n v="19"/>
    <n v="7"/>
    <n v="0"/>
    <n v="300"/>
    <s v="PP"/>
    <n v="7"/>
    <n v="244.38000000000002"/>
    <n v="13.299999999999999"/>
    <m/>
    <m/>
    <n v="231.08"/>
    <m/>
    <m/>
    <m/>
    <m/>
    <m/>
    <m/>
    <m/>
    <m/>
    <m/>
    <m/>
    <m/>
    <m/>
    <m/>
    <m/>
    <m/>
    <m/>
    <m/>
    <m/>
    <m/>
    <m/>
    <m/>
    <m/>
    <m/>
    <m/>
    <x v="0"/>
    <m/>
    <m/>
    <m/>
    <m/>
  </r>
  <r>
    <x v="1"/>
    <x v="3"/>
    <s v="6941/7"/>
    <x v="6"/>
    <s v="رول"/>
    <s v="PP"/>
    <n v="19"/>
    <n v="7"/>
    <n v="0"/>
    <n v="300"/>
    <s v="PP"/>
    <n v="4"/>
    <n v="153.18"/>
    <n v="9.6"/>
    <m/>
    <m/>
    <n v="143.58000000000001"/>
    <m/>
    <m/>
    <m/>
    <m/>
    <m/>
    <m/>
    <m/>
    <m/>
    <m/>
    <m/>
    <m/>
    <m/>
    <m/>
    <m/>
    <m/>
    <m/>
    <m/>
    <m/>
    <m/>
    <m/>
    <m/>
    <m/>
    <m/>
    <m/>
    <x v="0"/>
    <m/>
    <m/>
    <m/>
    <m/>
  </r>
  <r>
    <x v="1"/>
    <x v="3"/>
    <s v="6953/1"/>
    <x v="6"/>
    <s v="لفافہ"/>
    <s v="PP"/>
    <n v="27"/>
    <n v="6"/>
    <n v="0"/>
    <n v="100"/>
    <s v="PP"/>
    <n v="2"/>
    <n v="117.75999999999999"/>
    <n v="7.4"/>
    <m/>
    <m/>
    <n v="110.35999999999999"/>
    <m/>
    <m/>
    <m/>
    <m/>
    <m/>
    <m/>
    <m/>
    <m/>
    <m/>
    <m/>
    <m/>
    <m/>
    <m/>
    <m/>
    <m/>
    <m/>
    <m/>
    <m/>
    <m/>
    <m/>
    <m/>
    <m/>
    <m/>
    <m/>
    <x v="0"/>
    <m/>
    <m/>
    <m/>
    <m/>
  </r>
  <r>
    <x v="1"/>
    <x v="3"/>
    <s v="21 P"/>
    <x v="6"/>
    <s v="سادہ لفافہ"/>
    <s v="PP"/>
    <n v="18"/>
    <n v="5"/>
    <n v="0"/>
    <s v="-"/>
    <s v="PP"/>
    <n v="7"/>
    <n v="373.96"/>
    <n v="14.799999999999997"/>
    <m/>
    <m/>
    <n v="359.15999999999997"/>
    <m/>
    <m/>
    <m/>
    <m/>
    <m/>
    <m/>
    <m/>
    <m/>
    <m/>
    <m/>
    <m/>
    <m/>
    <m/>
    <m/>
    <m/>
    <m/>
    <m/>
    <m/>
    <m/>
    <m/>
    <m/>
    <m/>
    <m/>
    <m/>
    <x v="0"/>
    <m/>
    <m/>
    <m/>
    <m/>
  </r>
  <r>
    <x v="0"/>
    <x v="4"/>
    <s v="15 P"/>
    <x v="6"/>
    <s v="سادہ لفافہ"/>
    <s v="PP"/>
    <n v="12"/>
    <n v="5"/>
    <n v="0"/>
    <s v="-"/>
    <s v="PP"/>
    <n v="9"/>
    <n v="448.37999999999994"/>
    <n v="10.799999999999999"/>
    <m/>
    <m/>
    <n v="437.57999999999993"/>
    <m/>
    <m/>
    <m/>
    <m/>
    <m/>
    <m/>
    <m/>
    <m/>
    <m/>
    <m/>
    <m/>
    <m/>
    <m/>
    <m/>
    <m/>
    <m/>
    <m/>
    <m/>
    <m/>
    <m/>
    <m/>
    <m/>
    <m/>
    <m/>
    <x v="0"/>
    <m/>
    <m/>
    <m/>
    <m/>
  </r>
  <r>
    <x v="0"/>
    <x v="4"/>
    <s v="13 P"/>
    <x v="6"/>
    <s v="سادہ لفافہ"/>
    <s v="PP"/>
    <n v="10"/>
    <n v="5"/>
    <n v="0"/>
    <s v="-"/>
    <s v="PP"/>
    <n v="1"/>
    <n v="44.2"/>
    <n v="1.2"/>
    <m/>
    <m/>
    <n v="43"/>
    <m/>
    <m/>
    <m/>
    <m/>
    <m/>
    <m/>
    <m/>
    <m/>
    <m/>
    <m/>
    <m/>
    <m/>
    <m/>
    <m/>
    <m/>
    <m/>
    <m/>
    <m/>
    <m/>
    <m/>
    <m/>
    <m/>
    <m/>
    <m/>
    <x v="0"/>
    <m/>
    <m/>
    <m/>
    <m/>
  </r>
  <r>
    <x v="1"/>
    <x v="4"/>
    <s v="13 P"/>
    <x v="6"/>
    <s v="سادہ لفافہ"/>
    <s v="PP"/>
    <n v="10"/>
    <n v="5"/>
    <n v="0"/>
    <s v="-"/>
    <s v="PP"/>
    <n v="11"/>
    <n v="507.41999999999996"/>
    <n v="13.2"/>
    <m/>
    <m/>
    <n v="494.21999999999997"/>
    <m/>
    <m/>
    <m/>
    <m/>
    <m/>
    <m/>
    <m/>
    <m/>
    <m/>
    <m/>
    <m/>
    <m/>
    <m/>
    <m/>
    <m/>
    <m/>
    <m/>
    <m/>
    <m/>
    <m/>
    <m/>
    <m/>
    <m/>
    <m/>
    <x v="0"/>
    <m/>
    <m/>
    <m/>
    <m/>
  </r>
  <r>
    <x v="0"/>
    <x v="0"/>
    <s v="4 P"/>
    <x v="7"/>
    <s v="سادہ لفافہ"/>
    <s v="PP"/>
    <n v="3"/>
    <s v="5.5-6"/>
    <n v="0"/>
    <s v="-"/>
    <s v="PP"/>
    <n v="9"/>
    <n v="141.62"/>
    <n v="2.6999999999999997"/>
    <n v="34"/>
    <m/>
    <n v="138.92000000000002"/>
    <m/>
    <m/>
    <m/>
    <m/>
    <m/>
    <m/>
    <m/>
    <m/>
    <m/>
    <m/>
    <m/>
    <m/>
    <m/>
    <m/>
    <m/>
    <m/>
    <m/>
    <m/>
    <m/>
    <m/>
    <m/>
    <m/>
    <m/>
    <m/>
    <x v="0"/>
    <m/>
    <m/>
    <m/>
    <m/>
  </r>
  <r>
    <x v="1"/>
    <x v="0"/>
    <s v="4 P"/>
    <x v="7"/>
    <s v="سادہ لفافہ"/>
    <s v="PP"/>
    <n v="3"/>
    <s v="5.5-6"/>
    <n v="0"/>
    <s v="-"/>
    <s v="PP"/>
    <n v="9"/>
    <n v="151.08999999999997"/>
    <n v="2.6999999999999997"/>
    <n v="23"/>
    <m/>
    <n v="148.38999999999999"/>
    <m/>
    <m/>
    <m/>
    <m/>
    <m/>
    <m/>
    <m/>
    <m/>
    <m/>
    <m/>
    <m/>
    <m/>
    <m/>
    <m/>
    <m/>
    <m/>
    <m/>
    <m/>
    <m/>
    <m/>
    <m/>
    <m/>
    <m/>
    <m/>
    <x v="0"/>
    <m/>
    <m/>
    <m/>
    <m/>
  </r>
  <r>
    <x v="0"/>
    <x v="1"/>
    <s v="6 P"/>
    <x v="7"/>
    <s v="سادہ لفافہ"/>
    <s v="PP"/>
    <n v="4"/>
    <s v="5.5-6"/>
    <n v="0"/>
    <s v="-"/>
    <s v="PP"/>
    <n v="8"/>
    <n v="128.91999999999999"/>
    <n v="3.2"/>
    <m/>
    <m/>
    <n v="125.71999999999998"/>
    <m/>
    <m/>
    <m/>
    <m/>
    <m/>
    <m/>
    <m/>
    <m/>
    <m/>
    <m/>
    <m/>
    <m/>
    <m/>
    <m/>
    <m/>
    <m/>
    <m/>
    <m/>
    <m/>
    <m/>
    <m/>
    <m/>
    <m/>
    <m/>
    <x v="0"/>
    <m/>
    <m/>
    <m/>
    <m/>
  </r>
  <r>
    <x v="1"/>
    <x v="1"/>
    <s v="6 P"/>
    <x v="7"/>
    <s v="سادہ لفافہ"/>
    <s v="PP"/>
    <n v="4"/>
    <s v="5.5-6"/>
    <n v="0"/>
    <s v="-"/>
    <s v="PP"/>
    <n v="7"/>
    <n v="145.44999999999999"/>
    <n v="2.8000000000000003"/>
    <m/>
    <m/>
    <n v="142.64999999999998"/>
    <m/>
    <m/>
    <m/>
    <m/>
    <m/>
    <m/>
    <m/>
    <m/>
    <m/>
    <m/>
    <m/>
    <m/>
    <m/>
    <m/>
    <m/>
    <m/>
    <m/>
    <m/>
    <m/>
    <m/>
    <m/>
    <m/>
    <m/>
    <m/>
    <x v="0"/>
    <m/>
    <m/>
    <m/>
    <m/>
  </r>
  <r>
    <x v="0"/>
    <x v="2"/>
    <s v="10 P"/>
    <x v="7"/>
    <s v="سادہ لفافہ"/>
    <s v="PP"/>
    <n v="7"/>
    <n v="5"/>
    <n v="0"/>
    <s v="-"/>
    <s v="PP"/>
    <n v="3"/>
    <n v="101.8"/>
    <n v="2.0999999999999996"/>
    <m/>
    <m/>
    <n v="99.7"/>
    <m/>
    <m/>
    <m/>
    <m/>
    <m/>
    <m/>
    <m/>
    <m/>
    <m/>
    <m/>
    <m/>
    <m/>
    <m/>
    <m/>
    <m/>
    <m/>
    <m/>
    <m/>
    <m/>
    <m/>
    <m/>
    <m/>
    <m/>
    <m/>
    <x v="0"/>
    <m/>
    <m/>
    <m/>
    <m/>
  </r>
  <r>
    <x v="0"/>
    <x v="2"/>
    <s v="11 P"/>
    <x v="7"/>
    <s v="سادہ لفافہ"/>
    <s v="PP"/>
    <n v="8"/>
    <n v="5"/>
    <n v="0"/>
    <s v="-"/>
    <s v="PP"/>
    <n v="4"/>
    <n v="144.70999999999998"/>
    <n v="3.2"/>
    <m/>
    <m/>
    <n v="141.51"/>
    <m/>
    <m/>
    <m/>
    <m/>
    <m/>
    <m/>
    <m/>
    <m/>
    <m/>
    <m/>
    <m/>
    <m/>
    <m/>
    <m/>
    <m/>
    <m/>
    <m/>
    <m/>
    <m/>
    <m/>
    <m/>
    <m/>
    <m/>
    <m/>
    <x v="0"/>
    <m/>
    <m/>
    <m/>
    <m/>
  </r>
  <r>
    <x v="1"/>
    <x v="2"/>
    <s v="11 P"/>
    <x v="7"/>
    <s v="سادہ لفافہ"/>
    <s v="PP"/>
    <n v="8"/>
    <n v="5"/>
    <n v="0"/>
    <s v="-"/>
    <s v="PP"/>
    <n v="7"/>
    <n v="278.43"/>
    <n v="5.6000000000000005"/>
    <m/>
    <m/>
    <n v="272.83"/>
    <m/>
    <m/>
    <m/>
    <m/>
    <m/>
    <m/>
    <m/>
    <m/>
    <m/>
    <m/>
    <m/>
    <m/>
    <m/>
    <m/>
    <m/>
    <m/>
    <m/>
    <m/>
    <m/>
    <m/>
    <m/>
    <m/>
    <m/>
    <m/>
    <x v="0"/>
    <m/>
    <m/>
    <m/>
    <m/>
  </r>
  <r>
    <x v="0"/>
    <x v="3"/>
    <s v="2624 J"/>
    <x v="7"/>
    <s v="سادہ رول جیلانی پولی سٹاک"/>
    <s v="PP"/>
    <n v="18"/>
    <s v="5-5.5"/>
    <s v=".1:1"/>
    <n v="1000"/>
    <s v="PP"/>
    <n v="11"/>
    <n v="589.9799999999999"/>
    <n v="19.8"/>
    <m/>
    <m/>
    <n v="570.17999999999995"/>
    <m/>
    <m/>
    <m/>
    <m/>
    <m/>
    <m/>
    <m/>
    <m/>
    <m/>
    <m/>
    <m/>
    <m/>
    <m/>
    <m/>
    <m/>
    <m/>
    <m/>
    <m/>
    <m/>
    <m/>
    <m/>
    <m/>
    <m/>
    <m/>
    <x v="0"/>
    <m/>
    <m/>
    <m/>
    <m/>
  </r>
  <r>
    <x v="1"/>
    <x v="3"/>
    <s v="2624 J"/>
    <x v="7"/>
    <s v="سادہ رول جیلانی پولی سٹاک"/>
    <s v="PP"/>
    <n v="18"/>
    <s v="5-5.5"/>
    <s v=".1:1"/>
    <n v="1000"/>
    <s v="PP"/>
    <n v="6"/>
    <n v="312.94"/>
    <n v="11.8"/>
    <m/>
    <m/>
    <n v="301.14"/>
    <m/>
    <m/>
    <m/>
    <m/>
    <m/>
    <m/>
    <m/>
    <m/>
    <m/>
    <m/>
    <m/>
    <m/>
    <m/>
    <m/>
    <m/>
    <m/>
    <m/>
    <m/>
    <m/>
    <m/>
    <m/>
    <m/>
    <m/>
    <m/>
    <x v="0"/>
    <m/>
    <m/>
    <m/>
    <m/>
  </r>
  <r>
    <x v="1"/>
    <x v="3"/>
    <s v="21 P"/>
    <x v="7"/>
    <s v="سادہ لفافہ"/>
    <s v="PP"/>
    <n v="18"/>
    <n v="5"/>
    <n v="0"/>
    <s v="-"/>
    <s v="PP"/>
    <n v="11"/>
    <n v="482.61999999999995"/>
    <n v="24.200000000000003"/>
    <m/>
    <m/>
    <n v="458.41999999999996"/>
    <m/>
    <m/>
    <m/>
    <m/>
    <m/>
    <m/>
    <m/>
    <m/>
    <m/>
    <m/>
    <m/>
    <m/>
    <m/>
    <m/>
    <m/>
    <m/>
    <m/>
    <m/>
    <m/>
    <m/>
    <m/>
    <m/>
    <m/>
    <m/>
    <x v="0"/>
    <m/>
    <m/>
    <m/>
    <m/>
  </r>
  <r>
    <x v="0"/>
    <x v="4"/>
    <s v="13 P"/>
    <x v="7"/>
    <s v="سادہ لفافہ"/>
    <s v="PP"/>
    <n v="10"/>
    <n v="5"/>
    <n v="0"/>
    <s v="-"/>
    <s v="PP"/>
    <n v="9"/>
    <n v="400.13"/>
    <n v="10.799999999999999"/>
    <m/>
    <m/>
    <n v="389.33"/>
    <m/>
    <m/>
    <m/>
    <m/>
    <m/>
    <m/>
    <m/>
    <m/>
    <m/>
    <m/>
    <m/>
    <m/>
    <m/>
    <m/>
    <m/>
    <m/>
    <m/>
    <m/>
    <m/>
    <m/>
    <m/>
    <m/>
    <m/>
    <m/>
    <x v="0"/>
    <m/>
    <m/>
    <m/>
    <m/>
  </r>
  <r>
    <x v="1"/>
    <x v="4"/>
    <s v="13 P"/>
    <x v="7"/>
    <s v="سادہ لفافہ"/>
    <s v="PP"/>
    <n v="10"/>
    <n v="5"/>
    <n v="0"/>
    <s v="-"/>
    <s v="PP"/>
    <n v="4"/>
    <n v="184.26999999999998"/>
    <n v="4.8"/>
    <m/>
    <m/>
    <n v="179.46999999999997"/>
    <m/>
    <m/>
    <m/>
    <m/>
    <m/>
    <m/>
    <m/>
    <m/>
    <m/>
    <m/>
    <m/>
    <m/>
    <m/>
    <m/>
    <m/>
    <m/>
    <m/>
    <m/>
    <m/>
    <m/>
    <m/>
    <m/>
    <m/>
    <m/>
    <x v="0"/>
    <m/>
    <m/>
    <m/>
    <m/>
  </r>
  <r>
    <x v="1"/>
    <x v="4"/>
    <s v="17 P"/>
    <x v="7"/>
    <s v="سادہ لفافہ"/>
    <s v="PP"/>
    <n v="14"/>
    <n v="5"/>
    <n v="0"/>
    <s v="-"/>
    <s v="PP"/>
    <n v="5"/>
    <n v="269.01000000000005"/>
    <n v="8.5"/>
    <m/>
    <m/>
    <n v="260.51000000000005"/>
    <m/>
    <m/>
    <m/>
    <m/>
    <m/>
    <m/>
    <m/>
    <m/>
    <m/>
    <m/>
    <m/>
    <m/>
    <m/>
    <m/>
    <m/>
    <m/>
    <m/>
    <m/>
    <m/>
    <m/>
    <m/>
    <m/>
    <m/>
    <m/>
    <x v="0"/>
    <m/>
    <m/>
    <m/>
    <m/>
  </r>
  <r>
    <x v="0"/>
    <x v="0"/>
    <s v="4 P"/>
    <x v="8"/>
    <s v="سادہ لفافہ"/>
    <s v="PP"/>
    <n v="3"/>
    <s v="5.5-6"/>
    <n v="0"/>
    <s v="-"/>
    <s v="PP"/>
    <n v="7"/>
    <n v="103.75"/>
    <n v="2.1"/>
    <n v="25"/>
    <m/>
    <n v="101.65"/>
    <m/>
    <m/>
    <m/>
    <m/>
    <m/>
    <m/>
    <m/>
    <m/>
    <m/>
    <m/>
    <m/>
    <m/>
    <m/>
    <m/>
    <m/>
    <m/>
    <m/>
    <m/>
    <m/>
    <m/>
    <m/>
    <m/>
    <m/>
    <m/>
    <x v="0"/>
    <m/>
    <m/>
    <m/>
    <m/>
  </r>
  <r>
    <x v="0"/>
    <x v="0"/>
    <s v="2 P"/>
    <x v="8"/>
    <s v="سادہ لفافہ"/>
    <s v="PP"/>
    <n v="2"/>
    <s v="5.5-6"/>
    <n v="0"/>
    <s v="-"/>
    <s v="PP"/>
    <n v="2"/>
    <n v="52.36"/>
    <n v="0.4"/>
    <m/>
    <m/>
    <n v="51.96"/>
    <m/>
    <m/>
    <m/>
    <m/>
    <m/>
    <m/>
    <m/>
    <m/>
    <m/>
    <m/>
    <m/>
    <m/>
    <m/>
    <m/>
    <m/>
    <m/>
    <m/>
    <m/>
    <m/>
    <m/>
    <m/>
    <m/>
    <m/>
    <m/>
    <x v="0"/>
    <m/>
    <m/>
    <m/>
    <m/>
  </r>
  <r>
    <x v="1"/>
    <x v="0"/>
    <s v="2 P"/>
    <x v="8"/>
    <s v="سادہ لفافہ"/>
    <s v="PP"/>
    <n v="2"/>
    <s v="5.5-6"/>
    <n v="0"/>
    <s v="-"/>
    <s v="PP"/>
    <n v="7"/>
    <n v="145.54"/>
    <n v="1.4000000000000001"/>
    <n v="20"/>
    <m/>
    <n v="144.13999999999999"/>
    <m/>
    <m/>
    <m/>
    <m/>
    <m/>
    <m/>
    <m/>
    <m/>
    <m/>
    <m/>
    <m/>
    <m/>
    <m/>
    <m/>
    <m/>
    <m/>
    <m/>
    <m/>
    <m/>
    <m/>
    <m/>
    <m/>
    <m/>
    <m/>
    <x v="0"/>
    <m/>
    <m/>
    <m/>
    <m/>
  </r>
  <r>
    <x v="0"/>
    <x v="1"/>
    <s v="6 P"/>
    <x v="8"/>
    <s v="سادہ لفافہ"/>
    <s v="PP"/>
    <n v="4"/>
    <s v="5.5-6"/>
    <n v="0"/>
    <s v="-"/>
    <s v="PP"/>
    <n v="10"/>
    <n v="157.23999999999998"/>
    <n v="4"/>
    <m/>
    <m/>
    <n v="153.23999999999998"/>
    <m/>
    <m/>
    <m/>
    <m/>
    <m/>
    <m/>
    <m/>
    <m/>
    <m/>
    <m/>
    <m/>
    <m/>
    <m/>
    <m/>
    <m/>
    <m/>
    <m/>
    <m/>
    <m/>
    <m/>
    <m/>
    <m/>
    <m/>
    <m/>
    <x v="0"/>
    <m/>
    <m/>
    <m/>
    <m/>
  </r>
  <r>
    <x v="1"/>
    <x v="1"/>
    <s v="6 P"/>
    <x v="8"/>
    <s v="سادہ لفافہ"/>
    <s v="PP"/>
    <n v="4"/>
    <s v="5.5-6"/>
    <n v="0"/>
    <s v="-"/>
    <s v="PP"/>
    <n v="10"/>
    <n v="153.13"/>
    <n v="4"/>
    <m/>
    <m/>
    <n v="149.13"/>
    <m/>
    <m/>
    <m/>
    <m/>
    <m/>
    <m/>
    <m/>
    <m/>
    <m/>
    <m/>
    <m/>
    <m/>
    <m/>
    <m/>
    <m/>
    <m/>
    <m/>
    <m/>
    <m/>
    <m/>
    <m/>
    <m/>
    <m/>
    <m/>
    <x v="0"/>
    <m/>
    <m/>
    <m/>
    <m/>
  </r>
  <r>
    <x v="0"/>
    <x v="2"/>
    <s v="11 P"/>
    <x v="8"/>
    <s v="سادہ لفافہ"/>
    <s v="PP"/>
    <n v="8"/>
    <n v="5"/>
    <n v="0"/>
    <s v="-"/>
    <s v="PP"/>
    <n v="4"/>
    <n v="157.34"/>
    <n v="4"/>
    <m/>
    <m/>
    <n v="153.34"/>
    <m/>
    <m/>
    <m/>
    <m/>
    <m/>
    <m/>
    <m/>
    <m/>
    <m/>
    <m/>
    <m/>
    <m/>
    <m/>
    <m/>
    <m/>
    <m/>
    <m/>
    <m/>
    <m/>
    <m/>
    <m/>
    <m/>
    <m/>
    <m/>
    <x v="0"/>
    <m/>
    <m/>
    <m/>
    <m/>
  </r>
  <r>
    <x v="0"/>
    <x v="2"/>
    <s v="12 P"/>
    <x v="8"/>
    <s v="سادہ لفافہ"/>
    <s v="PP"/>
    <n v="9"/>
    <n v="5"/>
    <n v="0"/>
    <s v="-"/>
    <s v="PP"/>
    <n v="3"/>
    <n v="127.38"/>
    <n v="3.3000000000000003"/>
    <m/>
    <m/>
    <n v="124.08"/>
    <m/>
    <m/>
    <m/>
    <m/>
    <m/>
    <m/>
    <m/>
    <m/>
    <m/>
    <m/>
    <m/>
    <m/>
    <m/>
    <m/>
    <m/>
    <m/>
    <m/>
    <m/>
    <m/>
    <m/>
    <m/>
    <m/>
    <m/>
    <m/>
    <x v="0"/>
    <m/>
    <m/>
    <m/>
    <m/>
  </r>
  <r>
    <x v="1"/>
    <x v="2"/>
    <s v="12 P"/>
    <x v="8"/>
    <s v="سادہ لفافہ"/>
    <s v="PP"/>
    <n v="9"/>
    <n v="5"/>
    <n v="0"/>
    <s v="-"/>
    <s v="PP"/>
    <n v="6"/>
    <n v="239.12"/>
    <n v="5.4"/>
    <m/>
    <m/>
    <n v="233.72"/>
    <m/>
    <m/>
    <m/>
    <m/>
    <m/>
    <m/>
    <m/>
    <m/>
    <m/>
    <m/>
    <m/>
    <m/>
    <m/>
    <m/>
    <m/>
    <m/>
    <m/>
    <m/>
    <m/>
    <m/>
    <m/>
    <m/>
    <m/>
    <m/>
    <x v="0"/>
    <m/>
    <m/>
    <m/>
    <m/>
  </r>
  <r>
    <x v="0"/>
    <x v="3"/>
    <s v="6961/1"/>
    <x v="8"/>
    <s v="لفافہ"/>
    <s v="PP"/>
    <n v="18"/>
    <s v="6-6.5"/>
    <n v="0"/>
    <n v="250"/>
    <s v="PP"/>
    <n v="3"/>
    <n v="163.44"/>
    <n v="6.4"/>
    <m/>
    <m/>
    <n v="157.04"/>
    <m/>
    <m/>
    <m/>
    <m/>
    <m/>
    <m/>
    <m/>
    <m/>
    <m/>
    <m/>
    <m/>
    <m/>
    <m/>
    <m/>
    <m/>
    <m/>
    <m/>
    <m/>
    <m/>
    <m/>
    <m/>
    <m/>
    <m/>
    <m/>
    <x v="0"/>
    <m/>
    <m/>
    <m/>
    <m/>
  </r>
  <r>
    <x v="0"/>
    <x v="3"/>
    <s v="6960/8"/>
    <x v="8"/>
    <s v="لفافہ"/>
    <s v="PP"/>
    <n v="20"/>
    <n v="4.5"/>
    <n v="0"/>
    <n v="100"/>
    <s v="PP"/>
    <n v="3"/>
    <n v="167.84"/>
    <n v="6.8999999999999995"/>
    <m/>
    <m/>
    <n v="160.94"/>
    <m/>
    <m/>
    <m/>
    <m/>
    <m/>
    <m/>
    <m/>
    <m/>
    <m/>
    <m/>
    <m/>
    <m/>
    <m/>
    <m/>
    <m/>
    <m/>
    <m/>
    <m/>
    <m/>
    <m/>
    <m/>
    <m/>
    <m/>
    <m/>
    <x v="0"/>
    <m/>
    <m/>
    <m/>
    <m/>
  </r>
  <r>
    <x v="0"/>
    <x v="3"/>
    <s v="2625 J"/>
    <x v="8"/>
    <s v="سادہ رول جیلانی پولی سٹاک"/>
    <s v="PP"/>
    <n v="20"/>
    <s v="5-5.5"/>
    <s v=".1:1"/>
    <n v="1000"/>
    <s v="PP"/>
    <n v="6"/>
    <n v="350.07"/>
    <n v="15.600000000000001"/>
    <m/>
    <m/>
    <n v="334.46999999999997"/>
    <m/>
    <m/>
    <m/>
    <m/>
    <m/>
    <m/>
    <m/>
    <m/>
    <m/>
    <m/>
    <m/>
    <m/>
    <m/>
    <m/>
    <m/>
    <m/>
    <m/>
    <m/>
    <m/>
    <m/>
    <m/>
    <m/>
    <m/>
    <m/>
    <x v="0"/>
    <m/>
    <m/>
    <m/>
    <m/>
  </r>
  <r>
    <x v="1"/>
    <x v="3"/>
    <s v="2625 J"/>
    <x v="8"/>
    <s v="سادہ رول جیلانی پولی سٹاک"/>
    <s v="PP"/>
    <n v="20"/>
    <s v="5-5.5"/>
    <s v=".1:1"/>
    <n v="1000"/>
    <s v="PP"/>
    <n v="12"/>
    <n v="656.14"/>
    <n v="31.200000000000003"/>
    <m/>
    <m/>
    <n v="624.93999999999994"/>
    <m/>
    <m/>
    <m/>
    <m/>
    <m/>
    <m/>
    <m/>
    <m/>
    <m/>
    <m/>
    <m/>
    <m/>
    <m/>
    <m/>
    <m/>
    <m/>
    <m/>
    <m/>
    <m/>
    <m/>
    <m/>
    <m/>
    <m/>
    <m/>
    <x v="0"/>
    <m/>
    <m/>
    <m/>
    <m/>
  </r>
  <r>
    <x v="0"/>
    <x v="4"/>
    <s v="17 P"/>
    <x v="8"/>
    <s v="سادہ لفافہ"/>
    <s v="PP"/>
    <n v="14"/>
    <n v="5"/>
    <n v="0"/>
    <s v="-"/>
    <s v="PP"/>
    <n v="8"/>
    <n v="460.28"/>
    <n v="13.6"/>
    <m/>
    <m/>
    <n v="446.67999999999995"/>
    <m/>
    <m/>
    <m/>
    <m/>
    <m/>
    <m/>
    <m/>
    <m/>
    <m/>
    <m/>
    <m/>
    <m/>
    <m/>
    <m/>
    <m/>
    <m/>
    <m/>
    <m/>
    <m/>
    <m/>
    <m/>
    <m/>
    <m/>
    <m/>
    <x v="0"/>
    <m/>
    <m/>
    <m/>
    <m/>
  </r>
  <r>
    <x v="1"/>
    <x v="4"/>
    <s v="17 P"/>
    <x v="8"/>
    <s v="سادہ لفافہ"/>
    <s v="PP"/>
    <n v="14"/>
    <n v="5"/>
    <n v="0"/>
    <s v="-"/>
    <s v="PP"/>
    <n v="9"/>
    <n v="476.85"/>
    <n v="15.299999999999999"/>
    <m/>
    <m/>
    <n v="461.55"/>
    <m/>
    <m/>
    <m/>
    <m/>
    <m/>
    <m/>
    <m/>
    <m/>
    <m/>
    <m/>
    <m/>
    <m/>
    <m/>
    <m/>
    <m/>
    <m/>
    <m/>
    <m/>
    <m/>
    <m/>
    <m/>
    <m/>
    <m/>
    <m/>
    <x v="0"/>
    <m/>
    <m/>
    <m/>
    <m/>
  </r>
  <r>
    <x v="1"/>
    <x v="4"/>
    <s v="15 P"/>
    <x v="8"/>
    <s v="سادہ لفافہ"/>
    <s v="PP"/>
    <n v="12"/>
    <n v="5"/>
    <n v="0"/>
    <s v="-"/>
    <s v="PP"/>
    <n v="1"/>
    <n v="32.96"/>
    <n v="1.2"/>
    <m/>
    <m/>
    <n v="31.76"/>
    <m/>
    <m/>
    <m/>
    <m/>
    <m/>
    <m/>
    <m/>
    <m/>
    <m/>
    <m/>
    <m/>
    <m/>
    <m/>
    <m/>
    <m/>
    <m/>
    <m/>
    <m/>
    <m/>
    <m/>
    <m/>
    <m/>
    <m/>
    <m/>
    <x v="0"/>
    <m/>
    <m/>
    <m/>
    <m/>
  </r>
  <r>
    <x v="0"/>
    <x v="0"/>
    <s v="2 P"/>
    <x v="9"/>
    <s v="سادہ لفافہ"/>
    <s v="PP"/>
    <n v="2"/>
    <s v="5.5-6"/>
    <n v="0"/>
    <s v="-"/>
    <s v="PP"/>
    <n v="6"/>
    <n v="117.02"/>
    <n v="1.2000000000000002"/>
    <n v="18"/>
    <m/>
    <n v="115.82"/>
    <m/>
    <m/>
    <m/>
    <m/>
    <m/>
    <m/>
    <m/>
    <m/>
    <m/>
    <m/>
    <m/>
    <m/>
    <m/>
    <m/>
    <m/>
    <m/>
    <m/>
    <m/>
    <m/>
    <m/>
    <m/>
    <m/>
    <m/>
    <m/>
    <x v="0"/>
    <m/>
    <m/>
    <m/>
    <m/>
  </r>
  <r>
    <x v="1"/>
    <x v="0"/>
    <s v="2 P"/>
    <x v="9"/>
    <s v="سادہ لفافہ"/>
    <s v="PP"/>
    <n v="2"/>
    <s v="5.5-6"/>
    <n v="0"/>
    <s v="-"/>
    <s v="PP"/>
    <n v="10"/>
    <n v="124.69"/>
    <n v="2"/>
    <n v="17"/>
    <m/>
    <n v="122.69"/>
    <m/>
    <m/>
    <m/>
    <m/>
    <m/>
    <m/>
    <m/>
    <m/>
    <m/>
    <m/>
    <m/>
    <m/>
    <m/>
    <m/>
    <m/>
    <m/>
    <m/>
    <m/>
    <m/>
    <m/>
    <m/>
    <m/>
    <m/>
    <m/>
    <x v="0"/>
    <m/>
    <m/>
    <m/>
    <m/>
  </r>
  <r>
    <x v="0"/>
    <x v="1"/>
    <s v="6 P"/>
    <x v="9"/>
    <s v="سادہ لفافہ"/>
    <s v="PP"/>
    <n v="4"/>
    <s v="5.5-6"/>
    <n v="0"/>
    <s v="-"/>
    <s v="PP"/>
    <n v="7"/>
    <n v="132.29"/>
    <n v="2.8000000000000003"/>
    <m/>
    <m/>
    <n v="129.48999999999998"/>
    <m/>
    <m/>
    <m/>
    <m/>
    <m/>
    <m/>
    <m/>
    <m/>
    <m/>
    <m/>
    <m/>
    <m/>
    <m/>
    <m/>
    <m/>
    <m/>
    <m/>
    <m/>
    <m/>
    <m/>
    <m/>
    <m/>
    <m/>
    <m/>
    <x v="0"/>
    <m/>
    <m/>
    <m/>
    <m/>
  </r>
  <r>
    <x v="1"/>
    <x v="1"/>
    <s v="6 P"/>
    <x v="9"/>
    <s v="سادہ لفافہ"/>
    <s v="PP"/>
    <n v="4"/>
    <s v="5.5-6"/>
    <n v="0"/>
    <s v="-"/>
    <s v="PP"/>
    <n v="10"/>
    <n v="133.47000000000003"/>
    <n v="4"/>
    <m/>
    <m/>
    <n v="129.47000000000003"/>
    <m/>
    <m/>
    <m/>
    <m/>
    <m/>
    <m/>
    <m/>
    <m/>
    <m/>
    <m/>
    <m/>
    <m/>
    <m/>
    <m/>
    <m/>
    <m/>
    <m/>
    <m/>
    <m/>
    <m/>
    <m/>
    <m/>
    <m/>
    <m/>
    <x v="0"/>
    <m/>
    <m/>
    <m/>
    <m/>
  </r>
  <r>
    <x v="0"/>
    <x v="2"/>
    <s v="6960/2"/>
    <x v="9"/>
    <s v="لفافہ"/>
    <s v="PP"/>
    <n v="9"/>
    <n v="4.5"/>
    <n v="0"/>
    <n v="150"/>
    <s v="PP"/>
    <n v="4"/>
    <n v="158.47999999999999"/>
    <n v="4.4000000000000004"/>
    <m/>
    <m/>
    <n v="154.07999999999998"/>
    <m/>
    <m/>
    <m/>
    <m/>
    <m/>
    <m/>
    <m/>
    <m/>
    <m/>
    <m/>
    <m/>
    <m/>
    <m/>
    <m/>
    <m/>
    <m/>
    <m/>
    <m/>
    <m/>
    <m/>
    <m/>
    <m/>
    <m/>
    <m/>
    <x v="0"/>
    <m/>
    <m/>
    <m/>
    <m/>
  </r>
  <r>
    <x v="0"/>
    <x v="2"/>
    <s v="6961/2"/>
    <x v="9"/>
    <s v="لفافہ"/>
    <s v="PP"/>
    <n v="7"/>
    <n v="15"/>
    <n v="0"/>
    <n v="250"/>
    <s v="PP"/>
    <n v="5"/>
    <n v="137.29000000000002"/>
    <n v="4.5"/>
    <m/>
    <m/>
    <n v="132.79000000000002"/>
    <m/>
    <m/>
    <m/>
    <m/>
    <m/>
    <m/>
    <m/>
    <m/>
    <m/>
    <m/>
    <m/>
    <m/>
    <m/>
    <m/>
    <m/>
    <m/>
    <m/>
    <m/>
    <m/>
    <m/>
    <m/>
    <m/>
    <m/>
    <m/>
    <x v="0"/>
    <m/>
    <m/>
    <m/>
    <m/>
  </r>
  <r>
    <x v="1"/>
    <x v="2"/>
    <s v="6961/2"/>
    <x v="9"/>
    <s v="لفافہ"/>
    <s v="PP"/>
    <n v="7"/>
    <n v="15"/>
    <n v="0"/>
    <n v="250"/>
    <s v="PP"/>
    <n v="8"/>
    <n v="193.2"/>
    <n v="5.6"/>
    <m/>
    <m/>
    <n v="187.6"/>
    <m/>
    <m/>
    <m/>
    <m/>
    <m/>
    <m/>
    <m/>
    <m/>
    <m/>
    <m/>
    <m/>
    <m/>
    <m/>
    <m/>
    <m/>
    <m/>
    <m/>
    <m/>
    <m/>
    <m/>
    <m/>
    <m/>
    <m/>
    <m/>
    <x v="0"/>
    <m/>
    <m/>
    <m/>
    <m/>
  </r>
  <r>
    <x v="1"/>
    <x v="2"/>
    <s v="2784 J"/>
    <x v="9"/>
    <s v="مومو فوڈز RS 30"/>
    <s v="PP"/>
    <n v="7"/>
    <s v="7.5-8"/>
    <s v="-"/>
    <n v="100"/>
    <s v="PP"/>
    <n v="3"/>
    <n v="75.8"/>
    <n v="2.0999999999999996"/>
    <m/>
    <m/>
    <n v="73.7"/>
    <m/>
    <m/>
    <m/>
    <m/>
    <m/>
    <m/>
    <m/>
    <m/>
    <m/>
    <m/>
    <m/>
    <m/>
    <m/>
    <m/>
    <m/>
    <m/>
    <m/>
    <m/>
    <m/>
    <m/>
    <m/>
    <m/>
    <m/>
    <m/>
    <x v="0"/>
    <m/>
    <m/>
    <m/>
    <m/>
  </r>
  <r>
    <x v="0"/>
    <x v="3"/>
    <s v="2625 J"/>
    <x v="9"/>
    <s v="سادہ رول جیلانی پولی سٹاک"/>
    <s v="PP"/>
    <n v="20"/>
    <s v="5-5.5"/>
    <s v=".1:1"/>
    <n v="1000"/>
    <s v="PP"/>
    <n v="7"/>
    <n v="452.06000000000006"/>
    <n v="17.5"/>
    <m/>
    <m/>
    <n v="434.56000000000006"/>
    <m/>
    <m/>
    <m/>
    <m/>
    <m/>
    <m/>
    <m/>
    <m/>
    <m/>
    <m/>
    <m/>
    <m/>
    <m/>
    <m/>
    <m/>
    <m/>
    <m/>
    <m/>
    <m/>
    <m/>
    <m/>
    <m/>
    <m/>
    <m/>
    <x v="0"/>
    <m/>
    <m/>
    <m/>
    <m/>
  </r>
  <r>
    <x v="0"/>
    <x v="3"/>
    <s v="2252 J"/>
    <x v="9"/>
    <s v="سادہ رول جیلانی پولی سٹاک"/>
    <s v="PP"/>
    <n v="24"/>
    <s v="5-5.5"/>
    <s v=".1:1"/>
    <n v="500"/>
    <s v="PP"/>
    <n v="3"/>
    <n v="206.22"/>
    <n v="8.5"/>
    <m/>
    <m/>
    <n v="197.72"/>
    <m/>
    <m/>
    <m/>
    <m/>
    <m/>
    <m/>
    <m/>
    <m/>
    <m/>
    <m/>
    <m/>
    <m/>
    <m/>
    <m/>
    <m/>
    <m/>
    <m/>
    <m/>
    <m/>
    <m/>
    <m/>
    <m/>
    <m/>
    <m/>
    <x v="0"/>
    <m/>
    <m/>
    <m/>
    <m/>
  </r>
  <r>
    <x v="1"/>
    <x v="3"/>
    <s v="2252 J"/>
    <x v="9"/>
    <s v="سادہ رول جیلانی پولی سٹاک"/>
    <s v="PP"/>
    <n v="24"/>
    <s v="5-5.5"/>
    <s v=".1:1"/>
    <n v="500"/>
    <s v="PP"/>
    <n v="10"/>
    <n v="640.15"/>
    <n v="29"/>
    <m/>
    <m/>
    <n v="611.15"/>
    <m/>
    <m/>
    <m/>
    <m/>
    <m/>
    <m/>
    <m/>
    <m/>
    <m/>
    <m/>
    <m/>
    <m/>
    <m/>
    <m/>
    <m/>
    <m/>
    <m/>
    <m/>
    <m/>
    <m/>
    <m/>
    <m/>
    <m/>
    <m/>
    <x v="0"/>
    <m/>
    <m/>
    <m/>
    <m/>
  </r>
  <r>
    <x v="0"/>
    <x v="4"/>
    <s v="6960/6"/>
    <x v="9"/>
    <s v="لفافہ"/>
    <s v="PP"/>
    <n v="12"/>
    <n v="4.5"/>
    <n v="0"/>
    <n v="200"/>
    <s v="PP"/>
    <n v="3"/>
    <n v="175.6"/>
    <n v="4.5"/>
    <m/>
    <m/>
    <n v="171.1"/>
    <m/>
    <m/>
    <m/>
    <m/>
    <m/>
    <m/>
    <m/>
    <m/>
    <m/>
    <m/>
    <m/>
    <m/>
    <m/>
    <m/>
    <m/>
    <m/>
    <m/>
    <m/>
    <m/>
    <m/>
    <m/>
    <m/>
    <m/>
    <m/>
    <x v="0"/>
    <m/>
    <m/>
    <m/>
    <m/>
  </r>
  <r>
    <x v="0"/>
    <x v="4"/>
    <s v="6964/4"/>
    <x v="9"/>
    <s v="لفافہ"/>
    <s v="PP"/>
    <n v="12"/>
    <n v="4"/>
    <n v="0"/>
    <n v="100"/>
    <s v="PP"/>
    <n v="3"/>
    <n v="172.73999999999998"/>
    <n v="4.5"/>
    <m/>
    <m/>
    <n v="168.23999999999998"/>
    <m/>
    <m/>
    <m/>
    <m/>
    <m/>
    <m/>
    <m/>
    <m/>
    <m/>
    <m/>
    <m/>
    <m/>
    <m/>
    <m/>
    <m/>
    <m/>
    <m/>
    <m/>
    <m/>
    <m/>
    <m/>
    <m/>
    <m/>
    <m/>
    <x v="0"/>
    <m/>
    <m/>
    <m/>
    <m/>
  </r>
  <r>
    <x v="1"/>
    <x v="4"/>
    <s v="6964/4"/>
    <x v="9"/>
    <s v="لفافہ"/>
    <s v="PP"/>
    <n v="12"/>
    <n v="4"/>
    <n v="0"/>
    <n v="100"/>
    <s v="PP"/>
    <n v="8"/>
    <n v="364.26000000000005"/>
    <n v="12"/>
    <m/>
    <m/>
    <n v="352.26000000000005"/>
    <m/>
    <m/>
    <m/>
    <m/>
    <m/>
    <m/>
    <m/>
    <m/>
    <m/>
    <m/>
    <m/>
    <m/>
    <m/>
    <m/>
    <m/>
    <m/>
    <m/>
    <m/>
    <m/>
    <m/>
    <m/>
    <m/>
    <m/>
    <m/>
    <x v="0"/>
    <m/>
    <m/>
    <m/>
    <m/>
  </r>
  <r>
    <x v="0"/>
    <x v="0"/>
    <s v="2 P"/>
    <x v="10"/>
    <s v="سادہ لفافہ"/>
    <s v="PP"/>
    <n v="2"/>
    <s v="5.5-6"/>
    <n v="0"/>
    <s v="-"/>
    <s v="PP"/>
    <n v="8"/>
    <n v="93.22"/>
    <n v="1.6"/>
    <n v="16"/>
    <m/>
    <n v="91.62"/>
    <m/>
    <m/>
    <m/>
    <m/>
    <m/>
    <m/>
    <m/>
    <m/>
    <m/>
    <m/>
    <m/>
    <m/>
    <m/>
    <m/>
    <m/>
    <m/>
    <m/>
    <m/>
    <m/>
    <m/>
    <m/>
    <m/>
    <m/>
    <m/>
    <x v="0"/>
    <m/>
    <m/>
    <m/>
    <m/>
  </r>
  <r>
    <x v="0"/>
    <x v="0"/>
    <s v="4 P"/>
    <x v="10"/>
    <s v="سادہ لفافہ"/>
    <s v="PP"/>
    <n v="3"/>
    <s v="5.5-6"/>
    <n v="0"/>
    <s v="-"/>
    <s v="PP"/>
    <n v="1"/>
    <n v="16.149999999999999"/>
    <n v="0.3"/>
    <n v="15"/>
    <m/>
    <n v="15.849999999999998"/>
    <m/>
    <m/>
    <m/>
    <m/>
    <m/>
    <m/>
    <m/>
    <m/>
    <m/>
    <m/>
    <m/>
    <m/>
    <m/>
    <m/>
    <m/>
    <m/>
    <m/>
    <m/>
    <m/>
    <m/>
    <m/>
    <m/>
    <m/>
    <m/>
    <x v="0"/>
    <m/>
    <m/>
    <m/>
    <m/>
  </r>
  <r>
    <x v="0"/>
    <x v="1"/>
    <s v="6 P"/>
    <x v="10"/>
    <s v="سادہ لفافہ"/>
    <s v="PP"/>
    <n v="4"/>
    <s v="5.5-6"/>
    <n v="0"/>
    <s v="-"/>
    <s v="PP"/>
    <n v="6"/>
    <n v="97.219999999999985"/>
    <n v="2.4000000000000004"/>
    <m/>
    <m/>
    <n v="94.819999999999979"/>
    <m/>
    <m/>
    <m/>
    <m/>
    <m/>
    <m/>
    <m/>
    <m/>
    <m/>
    <m/>
    <m/>
    <m/>
    <m/>
    <m/>
    <m/>
    <m/>
    <m/>
    <m/>
    <m/>
    <m/>
    <m/>
    <m/>
    <m/>
    <m/>
    <x v="0"/>
    <m/>
    <m/>
    <m/>
    <m/>
  </r>
  <r>
    <x v="0"/>
    <x v="1"/>
    <s v="7 P"/>
    <x v="10"/>
    <s v="سادہ لفافہ"/>
    <s v="PP"/>
    <n v="4.5"/>
    <s v="5.5-6"/>
    <n v="0"/>
    <s v="-"/>
    <s v="PP"/>
    <n v="2"/>
    <n v="33.010000000000005"/>
    <n v="0.9"/>
    <m/>
    <m/>
    <n v="32.110000000000007"/>
    <m/>
    <m/>
    <m/>
    <m/>
    <m/>
    <m/>
    <m/>
    <m/>
    <m/>
    <m/>
    <m/>
    <m/>
    <m/>
    <m/>
    <m/>
    <m/>
    <m/>
    <m/>
    <m/>
    <m/>
    <m/>
    <m/>
    <m/>
    <m/>
    <x v="0"/>
    <m/>
    <m/>
    <m/>
    <m/>
  </r>
  <r>
    <x v="0"/>
    <x v="2"/>
    <s v="2784 J"/>
    <x v="10"/>
    <s v="مومو فوڈز RS 30"/>
    <s v="PP"/>
    <n v="7"/>
    <s v="7.5-8"/>
    <s v="-"/>
    <n v="100"/>
    <s v="PP"/>
    <n v="1"/>
    <n v="31.75"/>
    <n v="0.9"/>
    <m/>
    <m/>
    <n v="30.85"/>
    <m/>
    <m/>
    <m/>
    <m/>
    <m/>
    <m/>
    <m/>
    <m/>
    <m/>
    <m/>
    <m/>
    <m/>
    <m/>
    <m/>
    <m/>
    <m/>
    <m/>
    <m/>
    <m/>
    <m/>
    <m/>
    <m/>
    <m/>
    <m/>
    <x v="0"/>
    <m/>
    <m/>
    <m/>
    <m/>
  </r>
  <r>
    <x v="0"/>
    <x v="2"/>
    <s v="9 P"/>
    <x v="10"/>
    <s v="سادہ لفافہ"/>
    <s v="PP"/>
    <n v="6"/>
    <n v="5"/>
    <n v="0"/>
    <s v="-"/>
    <s v="PP"/>
    <n v="5"/>
    <n v="157.55000000000001"/>
    <n v="4"/>
    <m/>
    <m/>
    <n v="153.55000000000001"/>
    <m/>
    <m/>
    <m/>
    <m/>
    <m/>
    <m/>
    <m/>
    <m/>
    <m/>
    <m/>
    <m/>
    <m/>
    <m/>
    <m/>
    <m/>
    <m/>
    <m/>
    <m/>
    <m/>
    <m/>
    <m/>
    <m/>
    <m/>
    <m/>
    <x v="0"/>
    <m/>
    <m/>
    <m/>
    <m/>
  </r>
  <r>
    <x v="1"/>
    <x v="2"/>
    <s v="9 P"/>
    <x v="10"/>
    <s v="سادہ لفافہ"/>
    <s v="PP"/>
    <n v="6"/>
    <n v="5"/>
    <n v="0"/>
    <s v="-"/>
    <s v="PP"/>
    <n v="9"/>
    <n v="231.04000000000002"/>
    <n v="7.2"/>
    <m/>
    <m/>
    <n v="223.84000000000003"/>
    <m/>
    <m/>
    <m/>
    <m/>
    <m/>
    <m/>
    <m/>
    <m/>
    <m/>
    <m/>
    <m/>
    <m/>
    <m/>
    <m/>
    <m/>
    <m/>
    <m/>
    <m/>
    <m/>
    <m/>
    <m/>
    <m/>
    <m/>
    <m/>
    <x v="0"/>
    <m/>
    <m/>
    <m/>
    <m/>
  </r>
  <r>
    <x v="0"/>
    <x v="3"/>
    <s v="2252 J"/>
    <x v="10"/>
    <s v="سادہ رول جیلانی پولی سٹاک"/>
    <s v="PP"/>
    <n v="24"/>
    <s v="5-5.5"/>
    <s v=".1:1"/>
    <n v="500"/>
    <s v="PP"/>
    <n v="7"/>
    <n v="470.64"/>
    <n v="20.3"/>
    <m/>
    <m/>
    <n v="450.34"/>
    <m/>
    <m/>
    <m/>
    <m/>
    <m/>
    <m/>
    <m/>
    <m/>
    <m/>
    <m/>
    <m/>
    <m/>
    <m/>
    <m/>
    <m/>
    <m/>
    <m/>
    <m/>
    <m/>
    <m/>
    <m/>
    <m/>
    <m/>
    <m/>
    <x v="0"/>
    <m/>
    <m/>
    <m/>
    <m/>
  </r>
  <r>
    <x v="0"/>
    <x v="3"/>
    <s v="21 P"/>
    <x v="10"/>
    <s v="سادہ لفافہ"/>
    <s v="PP"/>
    <n v="18"/>
    <n v="5"/>
    <n v="0"/>
    <s v="-"/>
    <s v="PP"/>
    <n v="4"/>
    <n v="212.12"/>
    <n v="8.4"/>
    <m/>
    <m/>
    <n v="203.72"/>
    <m/>
    <m/>
    <m/>
    <m/>
    <m/>
    <m/>
    <m/>
    <m/>
    <m/>
    <m/>
    <m/>
    <m/>
    <m/>
    <m/>
    <m/>
    <m/>
    <m/>
    <m/>
    <m/>
    <m/>
    <m/>
    <m/>
    <m/>
    <m/>
    <x v="0"/>
    <m/>
    <m/>
    <m/>
    <m/>
  </r>
  <r>
    <x v="1"/>
    <x v="3"/>
    <s v="21 P"/>
    <x v="10"/>
    <s v="سادہ لفافہ"/>
    <s v="PP"/>
    <n v="18"/>
    <n v="5"/>
    <n v="0"/>
    <s v="-"/>
    <s v="PP"/>
    <n v="13"/>
    <n v="606.21"/>
    <n v="27.3"/>
    <m/>
    <m/>
    <n v="578.91000000000008"/>
    <m/>
    <m/>
    <m/>
    <m/>
    <m/>
    <m/>
    <m/>
    <m/>
    <m/>
    <m/>
    <m/>
    <m/>
    <m/>
    <m/>
    <m/>
    <m/>
    <m/>
    <m/>
    <m/>
    <m/>
    <m/>
    <m/>
    <m/>
    <m/>
    <x v="0"/>
    <m/>
    <m/>
    <m/>
    <m/>
  </r>
  <r>
    <x v="0"/>
    <x v="4"/>
    <s v="15 P"/>
    <x v="10"/>
    <s v="سادہ لفافہ"/>
    <s v="PP"/>
    <n v="12"/>
    <n v="5"/>
    <n v="0"/>
    <s v="-"/>
    <s v="PP"/>
    <n v="2"/>
    <n v="111.68"/>
    <n v="3"/>
    <m/>
    <m/>
    <n v="108.68"/>
    <m/>
    <m/>
    <m/>
    <m/>
    <m/>
    <m/>
    <m/>
    <m/>
    <m/>
    <m/>
    <m/>
    <m/>
    <m/>
    <m/>
    <m/>
    <m/>
    <m/>
    <m/>
    <m/>
    <m/>
    <m/>
    <m/>
    <m/>
    <m/>
    <x v="0"/>
    <m/>
    <m/>
    <m/>
    <m/>
  </r>
  <r>
    <x v="0"/>
    <x v="4"/>
    <s v="12 P"/>
    <x v="10"/>
    <s v="سادہ لفافہ"/>
    <s v="PP"/>
    <n v="9"/>
    <n v="5"/>
    <n v="0"/>
    <s v="-"/>
    <s v="PP"/>
    <n v="6"/>
    <n v="240.12000000000003"/>
    <n v="6.8999999999999995"/>
    <m/>
    <m/>
    <n v="233.22000000000003"/>
    <m/>
    <m/>
    <m/>
    <m/>
    <m/>
    <m/>
    <m/>
    <m/>
    <m/>
    <m/>
    <m/>
    <m/>
    <m/>
    <m/>
    <m/>
    <m/>
    <m/>
    <m/>
    <m/>
    <m/>
    <m/>
    <m/>
    <m/>
    <m/>
    <x v="0"/>
    <m/>
    <m/>
    <m/>
    <m/>
  </r>
  <r>
    <x v="1"/>
    <x v="4"/>
    <s v="12 P"/>
    <x v="10"/>
    <s v="سادہ لفافہ"/>
    <s v="PP"/>
    <n v="9"/>
    <n v="5"/>
    <n v="0"/>
    <s v="-"/>
    <s v="PP"/>
    <n v="9"/>
    <n v="314.57"/>
    <n v="10.35"/>
    <m/>
    <m/>
    <n v="304.21999999999997"/>
    <m/>
    <m/>
    <m/>
    <m/>
    <m/>
    <m/>
    <m/>
    <m/>
    <m/>
    <m/>
    <m/>
    <m/>
    <m/>
    <m/>
    <m/>
    <m/>
    <m/>
    <m/>
    <m/>
    <m/>
    <m/>
    <m/>
    <m/>
    <m/>
    <x v="0"/>
    <m/>
    <m/>
    <m/>
    <m/>
  </r>
  <r>
    <x v="0"/>
    <x v="0"/>
    <s v="4 P"/>
    <x v="11"/>
    <s v="سادہ لفافہ"/>
    <s v="PP"/>
    <n v="3"/>
    <s v="5.5-6"/>
    <n v="0"/>
    <s v="-"/>
    <s v="PP"/>
    <n v="7"/>
    <n v="125.80000000000001"/>
    <n v="2.1"/>
    <n v="50"/>
    <m/>
    <n v="123.70000000000002"/>
    <m/>
    <m/>
    <m/>
    <m/>
    <m/>
    <m/>
    <m/>
    <m/>
    <m/>
    <m/>
    <m/>
    <m/>
    <m/>
    <m/>
    <m/>
    <m/>
    <m/>
    <m/>
    <m/>
    <m/>
    <m/>
    <m/>
    <m/>
    <m/>
    <x v="0"/>
    <m/>
    <m/>
    <m/>
    <m/>
  </r>
  <r>
    <x v="1"/>
    <x v="0"/>
    <s v="4 P"/>
    <x v="11"/>
    <s v="سادہ لفافہ"/>
    <s v="PP"/>
    <n v="3"/>
    <s v="5.5-6"/>
    <n v="0"/>
    <s v="-"/>
    <s v="PP"/>
    <n v="8"/>
    <n v="116.71"/>
    <n v="2.4"/>
    <n v="27"/>
    <m/>
    <n v="114.30999999999999"/>
    <m/>
    <m/>
    <m/>
    <m/>
    <m/>
    <m/>
    <m/>
    <m/>
    <m/>
    <m/>
    <m/>
    <m/>
    <m/>
    <m/>
    <m/>
    <m/>
    <m/>
    <m/>
    <m/>
    <m/>
    <m/>
    <m/>
    <m/>
    <m/>
    <x v="0"/>
    <m/>
    <m/>
    <m/>
    <m/>
  </r>
  <r>
    <x v="0"/>
    <x v="1"/>
    <s v="7 P"/>
    <x v="11"/>
    <s v="سادہ لفافہ"/>
    <s v="PP"/>
    <n v="4.5"/>
    <s v="5.5-6"/>
    <n v="0"/>
    <s v="-"/>
    <s v="PP"/>
    <n v="7"/>
    <n v="89.52"/>
    <n v="3.15"/>
    <m/>
    <m/>
    <n v="86.36999999999999"/>
    <m/>
    <m/>
    <m/>
    <m/>
    <m/>
    <m/>
    <m/>
    <m/>
    <m/>
    <m/>
    <m/>
    <m/>
    <m/>
    <m/>
    <m/>
    <m/>
    <m/>
    <m/>
    <m/>
    <m/>
    <m/>
    <m/>
    <m/>
    <m/>
    <x v="0"/>
    <m/>
    <m/>
    <m/>
    <m/>
  </r>
  <r>
    <x v="1"/>
    <x v="1"/>
    <s v="6 P"/>
    <x v="11"/>
    <s v="سادہ لفافہ"/>
    <s v="PP"/>
    <n v="4"/>
    <s v="5.5-6"/>
    <n v="0"/>
    <s v="-"/>
    <s v="PP"/>
    <n v="8"/>
    <n v="132.37"/>
    <n v="3.2"/>
    <m/>
    <m/>
    <n v="129.17000000000002"/>
    <m/>
    <m/>
    <m/>
    <m/>
    <m/>
    <m/>
    <m/>
    <m/>
    <m/>
    <m/>
    <m/>
    <m/>
    <m/>
    <m/>
    <m/>
    <m/>
    <m/>
    <m/>
    <m/>
    <m/>
    <m/>
    <m/>
    <m/>
    <m/>
    <x v="0"/>
    <m/>
    <m/>
    <m/>
    <m/>
  </r>
  <r>
    <x v="1"/>
    <x v="1"/>
    <s v="5 P"/>
    <x v="11"/>
    <s v="سادہ لفافہ"/>
    <s v="PP"/>
    <n v="3.5"/>
    <s v="5.5-6"/>
    <n v="0"/>
    <s v="-"/>
    <s v="PP"/>
    <n v="1"/>
    <n v="14.65"/>
    <n v="0.35"/>
    <m/>
    <m/>
    <n v="14.3"/>
    <m/>
    <m/>
    <m/>
    <m/>
    <m/>
    <m/>
    <m/>
    <m/>
    <m/>
    <m/>
    <m/>
    <m/>
    <m/>
    <m/>
    <m/>
    <m/>
    <m/>
    <m/>
    <m/>
    <m/>
    <m/>
    <m/>
    <m/>
    <m/>
    <x v="0"/>
    <m/>
    <m/>
    <m/>
    <m/>
  </r>
  <r>
    <x v="0"/>
    <x v="2"/>
    <s v="9 P"/>
    <x v="11"/>
    <s v="سادہ لفافہ"/>
    <s v="PP"/>
    <n v="6"/>
    <n v="5"/>
    <n v="0"/>
    <s v="-"/>
    <s v="PP"/>
    <n v="6"/>
    <n v="188.75000000000003"/>
    <n v="4.8000000000000007"/>
    <m/>
    <m/>
    <n v="183.95000000000002"/>
    <m/>
    <m/>
    <m/>
    <m/>
    <m/>
    <m/>
    <m/>
    <m/>
    <m/>
    <m/>
    <m/>
    <m/>
    <m/>
    <m/>
    <m/>
    <m/>
    <m/>
    <m/>
    <m/>
    <m/>
    <m/>
    <m/>
    <m/>
    <m/>
    <x v="0"/>
    <m/>
    <m/>
    <m/>
    <m/>
  </r>
  <r>
    <x v="0"/>
    <x v="2"/>
    <s v="10 P"/>
    <x v="11"/>
    <s v="سادہ لفافہ"/>
    <s v="PP"/>
    <n v="7"/>
    <n v="5"/>
    <n v="0"/>
    <s v="-"/>
    <s v="PP"/>
    <n v="2"/>
    <n v="56.6"/>
    <n v="1.8"/>
    <m/>
    <m/>
    <n v="54.800000000000004"/>
    <m/>
    <m/>
    <m/>
    <m/>
    <m/>
    <m/>
    <m/>
    <m/>
    <m/>
    <m/>
    <m/>
    <m/>
    <m/>
    <m/>
    <m/>
    <m/>
    <m/>
    <m/>
    <m/>
    <m/>
    <m/>
    <m/>
    <m/>
    <m/>
    <x v="0"/>
    <m/>
    <m/>
    <m/>
    <m/>
  </r>
  <r>
    <x v="0"/>
    <x v="3"/>
    <s v="24 P"/>
    <x v="11"/>
    <s v="سادہ لفافہ"/>
    <s v="PP"/>
    <n v="22"/>
    <n v="5"/>
    <n v="0"/>
    <s v="-"/>
    <s v="PP"/>
    <n v="6"/>
    <n v="332.88"/>
    <n v="15.600000000000001"/>
    <m/>
    <m/>
    <n v="317.27999999999997"/>
    <m/>
    <m/>
    <m/>
    <m/>
    <m/>
    <m/>
    <m/>
    <m/>
    <m/>
    <m/>
    <m/>
    <m/>
    <m/>
    <m/>
    <m/>
    <m/>
    <m/>
    <m/>
    <m/>
    <m/>
    <m/>
    <m/>
    <m/>
    <m/>
    <x v="0"/>
    <m/>
    <m/>
    <m/>
    <m/>
  </r>
  <r>
    <x v="0"/>
    <x v="3"/>
    <s v="19 P"/>
    <x v="11"/>
    <s v="سادہ لفافہ"/>
    <s v="PP"/>
    <n v="16"/>
    <n v="5"/>
    <n v="0"/>
    <s v="-"/>
    <s v="PP"/>
    <n v="6"/>
    <n v="286.18"/>
    <n v="11.700000000000001"/>
    <m/>
    <m/>
    <n v="274.48"/>
    <m/>
    <m/>
    <m/>
    <m/>
    <m/>
    <m/>
    <m/>
    <m/>
    <m/>
    <m/>
    <m/>
    <m/>
    <m/>
    <m/>
    <m/>
    <m/>
    <m/>
    <m/>
    <m/>
    <m/>
    <m/>
    <m/>
    <m/>
    <m/>
    <x v="0"/>
    <m/>
    <m/>
    <m/>
    <m/>
  </r>
  <r>
    <x v="1"/>
    <x v="3"/>
    <s v="19 P"/>
    <x v="11"/>
    <s v="سادہ لفافہ"/>
    <s v="PP"/>
    <n v="16"/>
    <n v="5"/>
    <n v="0"/>
    <s v="-"/>
    <s v="PP"/>
    <n v="10"/>
    <n v="510.84999999999997"/>
    <n v="19"/>
    <m/>
    <m/>
    <n v="491.84999999999997"/>
    <m/>
    <m/>
    <m/>
    <m/>
    <m/>
    <m/>
    <m/>
    <m/>
    <m/>
    <m/>
    <m/>
    <m/>
    <m/>
    <m/>
    <m/>
    <m/>
    <m/>
    <m/>
    <m/>
    <m/>
    <m/>
    <m/>
    <m/>
    <m/>
    <x v="0"/>
    <m/>
    <m/>
    <m/>
    <m/>
  </r>
  <r>
    <x v="1"/>
    <x v="3"/>
    <s v="20 P"/>
    <x v="11"/>
    <s v="سادہ لفافہ"/>
    <s v="PP"/>
    <n v="17"/>
    <n v="5"/>
    <n v="0"/>
    <s v="-"/>
    <s v="PP"/>
    <n v="1"/>
    <n v="60.7"/>
    <n v="1.7"/>
    <m/>
    <m/>
    <n v="59"/>
    <m/>
    <m/>
    <m/>
    <m/>
    <m/>
    <m/>
    <m/>
    <m/>
    <m/>
    <m/>
    <m/>
    <m/>
    <m/>
    <m/>
    <m/>
    <m/>
    <m/>
    <m/>
    <m/>
    <m/>
    <m/>
    <m/>
    <m/>
    <m/>
    <x v="0"/>
    <m/>
    <m/>
    <m/>
    <m/>
  </r>
  <r>
    <x v="0"/>
    <x v="4"/>
    <s v="12 P"/>
    <x v="11"/>
    <s v="سادہ لفافہ"/>
    <s v="PP"/>
    <n v="9"/>
    <n v="5"/>
    <n v="0"/>
    <s v="-"/>
    <s v="PP"/>
    <n v="6"/>
    <n v="229.73999999999998"/>
    <n v="6.8999999999999995"/>
    <m/>
    <m/>
    <n v="222.83999999999997"/>
    <m/>
    <m/>
    <m/>
    <m/>
    <m/>
    <m/>
    <m/>
    <m/>
    <m/>
    <m/>
    <m/>
    <m/>
    <m/>
    <m/>
    <m/>
    <m/>
    <m/>
    <m/>
    <m/>
    <m/>
    <m/>
    <m/>
    <m/>
    <m/>
    <x v="0"/>
    <m/>
    <m/>
    <m/>
    <m/>
  </r>
  <r>
    <x v="0"/>
    <x v="4"/>
    <s v="14 P"/>
    <x v="11"/>
    <s v="سادہ لفافہ"/>
    <s v="PP"/>
    <n v="11"/>
    <n v="5"/>
    <n v="0"/>
    <s v="-"/>
    <s v="PP"/>
    <n v="2"/>
    <n v="51.980000000000004"/>
    <n v="2.7"/>
    <m/>
    <m/>
    <n v="49.28"/>
    <m/>
    <m/>
    <m/>
    <m/>
    <m/>
    <m/>
    <m/>
    <m/>
    <m/>
    <m/>
    <m/>
    <m/>
    <m/>
    <m/>
    <m/>
    <m/>
    <m/>
    <m/>
    <m/>
    <m/>
    <m/>
    <m/>
    <m/>
    <m/>
    <x v="0"/>
    <m/>
    <m/>
    <m/>
    <m/>
  </r>
  <r>
    <x v="1"/>
    <x v="4"/>
    <s v="14 P"/>
    <x v="11"/>
    <s v="سادہ لفافہ"/>
    <s v="PP"/>
    <n v="11"/>
    <n v="5"/>
    <n v="0"/>
    <s v="-"/>
    <s v="PP"/>
    <n v="10"/>
    <n v="412.75"/>
    <n v="11"/>
    <m/>
    <m/>
    <n v="401.75"/>
    <m/>
    <m/>
    <m/>
    <m/>
    <m/>
    <m/>
    <m/>
    <m/>
    <m/>
    <m/>
    <m/>
    <m/>
    <m/>
    <m/>
    <m/>
    <m/>
    <m/>
    <m/>
    <m/>
    <m/>
    <m/>
    <m/>
    <m/>
    <m/>
    <x v="0"/>
    <m/>
    <m/>
    <m/>
    <m/>
  </r>
  <r>
    <x v="0"/>
    <x v="0"/>
    <s v="4 P"/>
    <x v="12"/>
    <s v="سادہ لفافہ"/>
    <s v="PP"/>
    <n v="3"/>
    <s v="5.5-6"/>
    <n v="0"/>
    <s v="-"/>
    <s v="PP"/>
    <n v="9"/>
    <n v="146.38999999999999"/>
    <n v="2.6999999999999997"/>
    <n v="23"/>
    <m/>
    <n v="143.69"/>
    <m/>
    <m/>
    <m/>
    <m/>
    <m/>
    <m/>
    <m/>
    <m/>
    <m/>
    <m/>
    <m/>
    <m/>
    <m/>
    <m/>
    <m/>
    <m/>
    <m/>
    <m/>
    <m/>
    <m/>
    <m/>
    <m/>
    <m/>
    <m/>
    <x v="0"/>
    <m/>
    <m/>
    <m/>
    <m/>
  </r>
  <r>
    <x v="1"/>
    <x v="0"/>
    <s v="4 P"/>
    <x v="12"/>
    <s v="سادہ لفافہ"/>
    <s v="PP"/>
    <n v="3"/>
    <s v="5.5-6"/>
    <n v="0"/>
    <s v="-"/>
    <s v="PP"/>
    <n v="9"/>
    <n v="134.1"/>
    <n v="2.6999999999999997"/>
    <n v="25"/>
    <m/>
    <n v="131.4"/>
    <m/>
    <m/>
    <m/>
    <m/>
    <m/>
    <m/>
    <m/>
    <m/>
    <m/>
    <m/>
    <m/>
    <m/>
    <m/>
    <m/>
    <m/>
    <m/>
    <m/>
    <m/>
    <m/>
    <m/>
    <m/>
    <m/>
    <m/>
    <m/>
    <x v="0"/>
    <m/>
    <m/>
    <m/>
    <m/>
  </r>
  <r>
    <x v="1"/>
    <x v="0"/>
    <s v="3 P"/>
    <x v="12"/>
    <s v="سادہ لفافہ"/>
    <s v="PP"/>
    <n v="2.5"/>
    <s v="5.5-6"/>
    <n v="0"/>
    <s v="-"/>
    <s v="PP"/>
    <n v="1"/>
    <n v="11.81"/>
    <n v="0.25"/>
    <m/>
    <m/>
    <n v="11.56"/>
    <m/>
    <m/>
    <m/>
    <m/>
    <m/>
    <m/>
    <m/>
    <m/>
    <m/>
    <m/>
    <m/>
    <m/>
    <m/>
    <m/>
    <m/>
    <m/>
    <m/>
    <m/>
    <m/>
    <m/>
    <m/>
    <m/>
    <m/>
    <m/>
    <x v="0"/>
    <m/>
    <m/>
    <m/>
    <m/>
  </r>
  <r>
    <x v="0"/>
    <x v="1"/>
    <s v="5 P"/>
    <x v="12"/>
    <s v="سادہ لفافہ"/>
    <s v="PP"/>
    <n v="3.5"/>
    <s v="5.5-6"/>
    <n v="0"/>
    <s v="-"/>
    <s v="PP"/>
    <n v="8"/>
    <n v="113.7"/>
    <n v="2.8"/>
    <m/>
    <m/>
    <n v="110.9"/>
    <m/>
    <m/>
    <m/>
    <m/>
    <m/>
    <m/>
    <m/>
    <m/>
    <m/>
    <m/>
    <m/>
    <m/>
    <m/>
    <m/>
    <m/>
    <m/>
    <m/>
    <m/>
    <m/>
    <m/>
    <m/>
    <m/>
    <m/>
    <m/>
    <x v="0"/>
    <m/>
    <m/>
    <m/>
    <m/>
  </r>
  <r>
    <x v="1"/>
    <x v="1"/>
    <s v="6 P"/>
    <x v="12"/>
    <s v="سادہ لفافہ"/>
    <s v="PP"/>
    <n v="4"/>
    <s v="5.5-6"/>
    <n v="0"/>
    <s v="-"/>
    <s v="PP"/>
    <n v="8"/>
    <n v="128.94"/>
    <n v="3.2"/>
    <m/>
    <m/>
    <n v="125.74"/>
    <m/>
    <m/>
    <m/>
    <m/>
    <m/>
    <m/>
    <m/>
    <m/>
    <m/>
    <m/>
    <m/>
    <m/>
    <m/>
    <m/>
    <m/>
    <m/>
    <m/>
    <m/>
    <m/>
    <m/>
    <m/>
    <m/>
    <m/>
    <m/>
    <x v="0"/>
    <m/>
    <m/>
    <m/>
    <m/>
  </r>
  <r>
    <x v="0"/>
    <x v="3"/>
    <s v="20 P"/>
    <x v="12"/>
    <s v="سادہ لفافہ"/>
    <s v="PP"/>
    <n v="17"/>
    <n v="5"/>
    <n v="0"/>
    <s v="-"/>
    <s v="PP"/>
    <n v="4"/>
    <n v="212.26"/>
    <n v="7.8000000000000007"/>
    <m/>
    <m/>
    <n v="204.45999999999998"/>
    <m/>
    <m/>
    <m/>
    <m/>
    <m/>
    <m/>
    <m/>
    <m/>
    <m/>
    <m/>
    <m/>
    <m/>
    <m/>
    <m/>
    <m/>
    <m/>
    <m/>
    <m/>
    <m/>
    <m/>
    <m/>
    <m/>
    <m/>
    <m/>
    <x v="0"/>
    <m/>
    <m/>
    <m/>
    <m/>
  </r>
  <r>
    <x v="0"/>
    <x v="3"/>
    <s v="23 P"/>
    <x v="12"/>
    <s v="سادہ لفافہ"/>
    <s v="PP"/>
    <n v="20"/>
    <n v="5"/>
    <n v="0"/>
    <s v="-"/>
    <s v="PP"/>
    <n v="8"/>
    <n v="412.99"/>
    <n v="20"/>
    <m/>
    <m/>
    <n v="392.99"/>
    <m/>
    <m/>
    <m/>
    <m/>
    <m/>
    <m/>
    <m/>
    <m/>
    <m/>
    <m/>
    <m/>
    <m/>
    <m/>
    <m/>
    <m/>
    <m/>
    <m/>
    <m/>
    <m/>
    <m/>
    <m/>
    <m/>
    <m/>
    <m/>
    <x v="0"/>
    <m/>
    <m/>
    <m/>
    <m/>
  </r>
  <r>
    <x v="1"/>
    <x v="3"/>
    <s v="23 P"/>
    <x v="12"/>
    <s v="سادہ لفافہ"/>
    <s v="PP"/>
    <n v="20"/>
    <n v="5"/>
    <n v="0"/>
    <s v="-"/>
    <s v="PP"/>
    <n v="10"/>
    <n v="641.89"/>
    <n v="25"/>
    <m/>
    <m/>
    <n v="616.89"/>
    <m/>
    <m/>
    <m/>
    <m/>
    <m/>
    <m/>
    <m/>
    <m/>
    <m/>
    <m/>
    <m/>
    <m/>
    <m/>
    <m/>
    <m/>
    <m/>
    <m/>
    <m/>
    <m/>
    <m/>
    <m/>
    <m/>
    <m/>
    <m/>
    <x v="0"/>
    <m/>
    <m/>
    <m/>
    <m/>
  </r>
  <r>
    <x v="0"/>
    <x v="4"/>
    <s v="2776 J"/>
    <x v="12"/>
    <s v="عصمت سوپ"/>
    <s v="PP"/>
    <n v="11"/>
    <s v="7-7.5"/>
    <s v="1:1"/>
    <n v="100"/>
    <s v="PP"/>
    <n v="2"/>
    <n v="75.47"/>
    <n v="2.7"/>
    <m/>
    <m/>
    <n v="72.77"/>
    <m/>
    <m/>
    <m/>
    <m/>
    <m/>
    <m/>
    <m/>
    <m/>
    <m/>
    <m/>
    <m/>
    <m/>
    <m/>
    <m/>
    <m/>
    <m/>
    <m/>
    <m/>
    <m/>
    <m/>
    <m/>
    <m/>
    <m/>
    <m/>
    <x v="0"/>
    <m/>
    <m/>
    <m/>
    <m/>
  </r>
  <r>
    <x v="0"/>
    <x v="4"/>
    <s v="14 P"/>
    <x v="12"/>
    <s v="سادہ لفافہ"/>
    <s v="PP"/>
    <n v="11"/>
    <n v="5"/>
    <n v="0"/>
    <s v="-"/>
    <s v="PP"/>
    <n v="2"/>
    <n v="100.41"/>
    <n v="2.5"/>
    <m/>
    <m/>
    <n v="97.91"/>
    <m/>
    <m/>
    <m/>
    <m/>
    <m/>
    <m/>
    <m/>
    <m/>
    <m/>
    <m/>
    <m/>
    <m/>
    <m/>
    <m/>
    <m/>
    <m/>
    <m/>
    <m/>
    <m/>
    <m/>
    <m/>
    <m/>
    <m/>
    <m/>
    <x v="0"/>
    <m/>
    <m/>
    <m/>
    <m/>
  </r>
  <r>
    <x v="0"/>
    <x v="0"/>
    <s v="3 P"/>
    <x v="13"/>
    <s v="سادہ لفافہ"/>
    <s v="PP"/>
    <n v="2.5"/>
    <s v="5.5-6"/>
    <n v="0"/>
    <s v="-"/>
    <s v="PP"/>
    <n v="11"/>
    <n v="142.93000000000004"/>
    <n v="2.75"/>
    <n v="18"/>
    <m/>
    <n v="140.18000000000004"/>
    <m/>
    <m/>
    <m/>
    <m/>
    <m/>
    <m/>
    <m/>
    <m/>
    <m/>
    <m/>
    <m/>
    <m/>
    <m/>
    <m/>
    <m/>
    <m/>
    <m/>
    <m/>
    <m/>
    <m/>
    <m/>
    <m/>
    <m/>
    <m/>
    <x v="0"/>
    <m/>
    <m/>
    <m/>
    <m/>
  </r>
  <r>
    <x v="1"/>
    <x v="0"/>
    <s v="3 P"/>
    <x v="13"/>
    <s v="سادہ لفافہ"/>
    <s v="PP"/>
    <n v="2.5"/>
    <s v="5.5-6"/>
    <n v="0"/>
    <s v="-"/>
    <s v="PP"/>
    <n v="9"/>
    <n v="125.28999999999999"/>
    <n v="2.25"/>
    <n v="21"/>
    <m/>
    <n v="123.03999999999999"/>
    <m/>
    <m/>
    <m/>
    <m/>
    <m/>
    <m/>
    <m/>
    <m/>
    <m/>
    <m/>
    <m/>
    <m/>
    <m/>
    <m/>
    <m/>
    <m/>
    <m/>
    <m/>
    <m/>
    <m/>
    <m/>
    <m/>
    <m/>
    <m/>
    <x v="0"/>
    <m/>
    <m/>
    <m/>
    <m/>
  </r>
  <r>
    <x v="0"/>
    <x v="1"/>
    <s v="6 P"/>
    <x v="13"/>
    <s v="سادہ لفافہ"/>
    <s v="PP"/>
    <n v="4"/>
    <s v="5.5-6"/>
    <n v="0"/>
    <s v="-"/>
    <s v="PP"/>
    <n v="9"/>
    <n v="155.07999999999998"/>
    <n v="3.6"/>
    <m/>
    <m/>
    <n v="151.47999999999999"/>
    <m/>
    <m/>
    <m/>
    <m/>
    <m/>
    <m/>
    <m/>
    <m/>
    <m/>
    <m/>
    <m/>
    <m/>
    <m/>
    <m/>
    <m/>
    <m/>
    <m/>
    <m/>
    <m/>
    <m/>
    <m/>
    <m/>
    <m/>
    <m/>
    <x v="0"/>
    <m/>
    <m/>
    <m/>
    <m/>
  </r>
  <r>
    <x v="1"/>
    <x v="1"/>
    <s v="6 P"/>
    <x v="13"/>
    <s v="سادہ لفافہ"/>
    <s v="PP"/>
    <n v="4"/>
    <s v="5.5-6"/>
    <n v="0"/>
    <s v="-"/>
    <s v="PP"/>
    <n v="10"/>
    <n v="168.78000000000003"/>
    <n v="4"/>
    <m/>
    <m/>
    <n v="164.78000000000003"/>
    <m/>
    <m/>
    <m/>
    <m/>
    <m/>
    <m/>
    <m/>
    <m/>
    <m/>
    <m/>
    <m/>
    <m/>
    <m/>
    <m/>
    <m/>
    <m/>
    <m/>
    <m/>
    <m/>
    <m/>
    <m/>
    <m/>
    <m/>
    <m/>
    <x v="0"/>
    <m/>
    <m/>
    <m/>
    <m/>
  </r>
  <r>
    <x v="0"/>
    <x v="3"/>
    <s v="2625 J"/>
    <x v="13"/>
    <s v="سادہ رول جیلانی پولی سٹاک"/>
    <s v="PP"/>
    <n v="20"/>
    <s v="5-5.5"/>
    <s v=".1:1"/>
    <n v="1000"/>
    <s v="PP"/>
    <n v="4"/>
    <n v="226.08999999999997"/>
    <n v="10"/>
    <m/>
    <m/>
    <n v="216.08999999999997"/>
    <m/>
    <m/>
    <m/>
    <m/>
    <m/>
    <m/>
    <m/>
    <m/>
    <m/>
    <m/>
    <m/>
    <m/>
    <m/>
    <m/>
    <m/>
    <m/>
    <m/>
    <m/>
    <m/>
    <m/>
    <m/>
    <m/>
    <m/>
    <m/>
    <x v="0"/>
    <m/>
    <m/>
    <m/>
    <m/>
  </r>
  <r>
    <x v="0"/>
    <x v="3"/>
    <s v="23 P"/>
    <x v="13"/>
    <s v="سادہ لفافہ"/>
    <s v="PP"/>
    <n v="20"/>
    <n v="5"/>
    <n v="0"/>
    <s v="-"/>
    <s v="PP"/>
    <n v="6"/>
    <n v="332.71000000000004"/>
    <n v="15.399999999999999"/>
    <m/>
    <m/>
    <n v="317.31000000000006"/>
    <m/>
    <m/>
    <m/>
    <m/>
    <m/>
    <m/>
    <m/>
    <m/>
    <m/>
    <m/>
    <m/>
    <m/>
    <m/>
    <m/>
    <m/>
    <m/>
    <m/>
    <m/>
    <m/>
    <m/>
    <m/>
    <m/>
    <m/>
    <m/>
    <x v="0"/>
    <m/>
    <m/>
    <m/>
    <m/>
  </r>
  <r>
    <x v="0"/>
    <x v="3"/>
    <s v="24 P"/>
    <x v="13"/>
    <s v="سادہ لفافہ"/>
    <s v="PP"/>
    <n v="22"/>
    <n v="5"/>
    <n v="0"/>
    <s v="-"/>
    <s v="PP"/>
    <n v="2"/>
    <n v="95.31"/>
    <n v="5.4"/>
    <m/>
    <m/>
    <n v="89.91"/>
    <m/>
    <m/>
    <m/>
    <m/>
    <m/>
    <m/>
    <m/>
    <m/>
    <m/>
    <m/>
    <m/>
    <m/>
    <m/>
    <m/>
    <m/>
    <m/>
    <m/>
    <m/>
    <m/>
    <m/>
    <m/>
    <m/>
    <m/>
    <m/>
    <x v="0"/>
    <m/>
    <m/>
    <m/>
    <m/>
  </r>
  <r>
    <x v="1"/>
    <x v="3"/>
    <s v="24 P"/>
    <x v="13"/>
    <s v="سادہ لفافہ"/>
    <s v="PP"/>
    <n v="22"/>
    <n v="5"/>
    <n v="0"/>
    <s v="-"/>
    <s v="PP"/>
    <n v="3"/>
    <n v="163.44"/>
    <n v="6.6000000000000005"/>
    <m/>
    <m/>
    <n v="156.84"/>
    <m/>
    <m/>
    <m/>
    <m/>
    <m/>
    <m/>
    <m/>
    <m/>
    <m/>
    <m/>
    <m/>
    <m/>
    <m/>
    <m/>
    <m/>
    <m/>
    <m/>
    <m/>
    <m/>
    <m/>
    <m/>
    <m/>
    <m/>
    <m/>
    <x v="0"/>
    <m/>
    <m/>
    <m/>
    <m/>
  </r>
  <r>
    <x v="1"/>
    <x v="3"/>
    <s v="26 P"/>
    <x v="13"/>
    <s v="سادہ لفافہ"/>
    <s v="PP"/>
    <n v="26"/>
    <n v="5"/>
    <n v="0"/>
    <s v="-"/>
    <s v="PP"/>
    <n v="3"/>
    <n v="114.29999999999998"/>
    <n v="7.8000000000000007"/>
    <m/>
    <m/>
    <n v="106.49999999999999"/>
    <m/>
    <m/>
    <m/>
    <m/>
    <m/>
    <m/>
    <m/>
    <m/>
    <m/>
    <m/>
    <m/>
    <m/>
    <m/>
    <m/>
    <m/>
    <m/>
    <m/>
    <m/>
    <m/>
    <m/>
    <m/>
    <m/>
    <m/>
    <m/>
    <x v="0"/>
    <m/>
    <m/>
    <m/>
    <m/>
  </r>
  <r>
    <x v="1"/>
    <x v="3"/>
    <s v="21 P"/>
    <x v="13"/>
    <s v="سادہ لفافہ"/>
    <s v="PP"/>
    <n v="18"/>
    <n v="5"/>
    <n v="0"/>
    <s v="-"/>
    <s v="PP"/>
    <n v="3"/>
    <n v="108.10000000000001"/>
    <n v="5.4"/>
    <m/>
    <m/>
    <n v="102.7"/>
    <m/>
    <m/>
    <m/>
    <m/>
    <m/>
    <m/>
    <m/>
    <m/>
    <m/>
    <m/>
    <m/>
    <m/>
    <m/>
    <m/>
    <m/>
    <m/>
    <m/>
    <m/>
    <m/>
    <m/>
    <m/>
    <m/>
    <m/>
    <m/>
    <x v="0"/>
    <m/>
    <m/>
    <m/>
    <m/>
  </r>
  <r>
    <x v="1"/>
    <x v="3"/>
    <s v="15 P"/>
    <x v="13"/>
    <s v="سادہ لفافہ"/>
    <s v="PP"/>
    <n v="12"/>
    <n v="5"/>
    <n v="0"/>
    <s v="-"/>
    <s v="PP"/>
    <n v="6"/>
    <n v="175.37"/>
    <n v="7.1999999999999993"/>
    <m/>
    <m/>
    <n v="168.17000000000002"/>
    <m/>
    <m/>
    <m/>
    <m/>
    <m/>
    <m/>
    <m/>
    <m/>
    <m/>
    <m/>
    <m/>
    <m/>
    <m/>
    <m/>
    <m/>
    <m/>
    <m/>
    <m/>
    <m/>
    <m/>
    <m/>
    <m/>
    <m/>
    <m/>
    <x v="0"/>
    <m/>
    <m/>
    <m/>
    <m/>
  </r>
  <r>
    <x v="0"/>
    <x v="4"/>
    <s v="17 P"/>
    <x v="13"/>
    <s v="سادہ لفافہ"/>
    <s v="PP"/>
    <n v="14"/>
    <n v="5"/>
    <n v="0"/>
    <s v="-"/>
    <s v="PP"/>
    <n v="2"/>
    <n v="86.92"/>
    <n v="3.3"/>
    <m/>
    <m/>
    <n v="83.62"/>
    <m/>
    <m/>
    <m/>
    <m/>
    <m/>
    <m/>
    <m/>
    <m/>
    <m/>
    <m/>
    <m/>
    <m/>
    <m/>
    <m/>
    <m/>
    <m/>
    <m/>
    <m/>
    <m/>
    <m/>
    <m/>
    <m/>
    <m/>
    <m/>
    <x v="0"/>
    <m/>
    <m/>
    <m/>
    <m/>
  </r>
  <r>
    <x v="1"/>
    <x v="4"/>
    <s v="17 P"/>
    <x v="13"/>
    <s v="سادہ لفافہ"/>
    <s v="PP"/>
    <n v="14"/>
    <n v="5"/>
    <n v="0"/>
    <s v="-"/>
    <s v="PP"/>
    <n v="8"/>
    <n v="382.14"/>
    <n v="11.2"/>
    <m/>
    <m/>
    <n v="370.94"/>
    <m/>
    <m/>
    <m/>
    <m/>
    <m/>
    <m/>
    <m/>
    <m/>
    <m/>
    <m/>
    <m/>
    <m/>
    <m/>
    <m/>
    <m/>
    <m/>
    <m/>
    <m/>
    <m/>
    <m/>
    <m/>
    <m/>
    <m/>
    <m/>
    <x v="0"/>
    <m/>
    <m/>
    <m/>
    <m/>
  </r>
  <r>
    <x v="1"/>
    <x v="4"/>
    <s v="15 P"/>
    <x v="13"/>
    <s v="سادہ لفافہ"/>
    <s v="PP"/>
    <n v="12"/>
    <n v="5"/>
    <n v="0"/>
    <s v="-"/>
    <s v="PP"/>
    <n v="1"/>
    <n v="62.43"/>
    <n v="1.2"/>
    <m/>
    <m/>
    <n v="61.23"/>
    <m/>
    <m/>
    <m/>
    <m/>
    <m/>
    <m/>
    <m/>
    <m/>
    <m/>
    <m/>
    <m/>
    <m/>
    <m/>
    <m/>
    <m/>
    <m/>
    <m/>
    <m/>
    <m/>
    <m/>
    <m/>
    <m/>
    <m/>
    <m/>
    <x v="0"/>
    <m/>
    <m/>
    <m/>
    <m/>
  </r>
  <r>
    <x v="0"/>
    <x v="0"/>
    <s v="3 P"/>
    <x v="14"/>
    <s v="سادہ لفافہ"/>
    <s v="PP"/>
    <n v="2.5"/>
    <s v="5.5-6"/>
    <n v="0"/>
    <s v="-"/>
    <s v="PP"/>
    <n v="10"/>
    <n v="137.96"/>
    <n v="2.5"/>
    <n v="7"/>
    <m/>
    <n v="135.46"/>
    <m/>
    <m/>
    <m/>
    <m/>
    <m/>
    <m/>
    <m/>
    <m/>
    <m/>
    <m/>
    <m/>
    <m/>
    <m/>
    <m/>
    <m/>
    <m/>
    <m/>
    <m/>
    <m/>
    <m/>
    <m/>
    <m/>
    <m/>
    <m/>
    <x v="0"/>
    <m/>
    <m/>
    <m/>
    <m/>
  </r>
  <r>
    <x v="1"/>
    <x v="0"/>
    <s v="3 P"/>
    <x v="14"/>
    <s v="سادہ لفافہ"/>
    <s v="PP"/>
    <n v="2.5"/>
    <s v="5.5-6"/>
    <n v="0"/>
    <s v="-"/>
    <s v="PP"/>
    <n v="9"/>
    <n v="125.78999999999999"/>
    <n v="2.25"/>
    <n v="3"/>
    <m/>
    <n v="123.53999999999999"/>
    <m/>
    <m/>
    <m/>
    <m/>
    <m/>
    <m/>
    <m/>
    <m/>
    <m/>
    <m/>
    <m/>
    <m/>
    <m/>
    <m/>
    <m/>
    <m/>
    <m/>
    <m/>
    <m/>
    <m/>
    <m/>
    <m/>
    <m/>
    <m/>
    <x v="0"/>
    <m/>
    <m/>
    <m/>
    <m/>
  </r>
  <r>
    <x v="0"/>
    <x v="1"/>
    <s v="6 P"/>
    <x v="14"/>
    <s v="سادہ لفافہ"/>
    <s v="PP"/>
    <n v="4"/>
    <s v="5.5-6"/>
    <n v="0"/>
    <s v="-"/>
    <s v="PP"/>
    <n v="9"/>
    <n v="155.12"/>
    <n v="3.6"/>
    <m/>
    <m/>
    <n v="151.52000000000001"/>
    <m/>
    <m/>
    <m/>
    <m/>
    <m/>
    <m/>
    <m/>
    <m/>
    <m/>
    <m/>
    <m/>
    <m/>
    <m/>
    <m/>
    <m/>
    <m/>
    <m/>
    <m/>
    <m/>
    <m/>
    <m/>
    <m/>
    <m/>
    <m/>
    <x v="0"/>
    <m/>
    <m/>
    <m/>
    <m/>
  </r>
  <r>
    <x v="1"/>
    <x v="1"/>
    <s v="6 P"/>
    <x v="14"/>
    <s v="سادہ لفافہ"/>
    <s v="PP"/>
    <n v="4"/>
    <s v="5.5-6"/>
    <n v="0"/>
    <s v="-"/>
    <s v="PP"/>
    <n v="7"/>
    <n v="114.02"/>
    <n v="2.8000000000000003"/>
    <m/>
    <m/>
    <n v="111.22"/>
    <m/>
    <m/>
    <m/>
    <m/>
    <m/>
    <m/>
    <m/>
    <m/>
    <m/>
    <m/>
    <m/>
    <m/>
    <m/>
    <m/>
    <m/>
    <m/>
    <m/>
    <m/>
    <m/>
    <m/>
    <m/>
    <m/>
    <m/>
    <m/>
    <x v="0"/>
    <m/>
    <m/>
    <m/>
    <m/>
  </r>
  <r>
    <x v="0"/>
    <x v="3"/>
    <s v="15 P"/>
    <x v="14"/>
    <s v="سادہ لفافہ"/>
    <s v="PP"/>
    <n v="12"/>
    <n v="5"/>
    <n v="0"/>
    <s v="-"/>
    <s v="PP"/>
    <n v="2"/>
    <n v="86.56"/>
    <n v="2.8"/>
    <m/>
    <m/>
    <n v="83.76"/>
    <m/>
    <m/>
    <m/>
    <m/>
    <m/>
    <m/>
    <m/>
    <m/>
    <m/>
    <m/>
    <m/>
    <m/>
    <m/>
    <m/>
    <m/>
    <m/>
    <m/>
    <m/>
    <m/>
    <m/>
    <m/>
    <m/>
    <m/>
    <m/>
    <x v="0"/>
    <m/>
    <m/>
    <m/>
    <m/>
  </r>
  <r>
    <x v="0"/>
    <x v="3"/>
    <s v="19 P"/>
    <x v="14"/>
    <s v="سادہ لفافہ"/>
    <s v="PP"/>
    <n v="16"/>
    <n v="5"/>
    <n v="0"/>
    <s v="-"/>
    <s v="PP"/>
    <n v="3"/>
    <n v="128.41"/>
    <n v="5.9"/>
    <m/>
    <m/>
    <n v="122.50999999999999"/>
    <m/>
    <m/>
    <m/>
    <m/>
    <m/>
    <m/>
    <m/>
    <m/>
    <m/>
    <m/>
    <m/>
    <m/>
    <m/>
    <m/>
    <m/>
    <m/>
    <m/>
    <m/>
    <m/>
    <m/>
    <m/>
    <m/>
    <m/>
    <m/>
    <x v="0"/>
    <m/>
    <m/>
    <m/>
    <m/>
  </r>
  <r>
    <x v="0"/>
    <x v="3"/>
    <s v="1706 F"/>
    <x v="14"/>
    <s v="وارننگ LEVIES"/>
    <s v="PP"/>
    <n v="16.2"/>
    <s v="-"/>
    <s v="پیور"/>
    <n v="1000"/>
    <s v="PP"/>
    <n v="9"/>
    <n v="432.95999999999992"/>
    <n v="17.099999999999998"/>
    <m/>
    <m/>
    <n v="415.8599999999999"/>
    <m/>
    <m/>
    <m/>
    <m/>
    <m/>
    <m/>
    <m/>
    <m/>
    <m/>
    <m/>
    <m/>
    <m/>
    <m/>
    <m/>
    <m/>
    <m/>
    <m/>
    <m/>
    <m/>
    <m/>
    <m/>
    <m/>
    <m/>
    <m/>
    <x v="0"/>
    <m/>
    <m/>
    <m/>
    <m/>
  </r>
  <r>
    <x v="1"/>
    <x v="3"/>
    <s v="1706 F"/>
    <x v="14"/>
    <s v="وارننگ LEVIES"/>
    <s v="PP"/>
    <n v="16.2"/>
    <s v="-"/>
    <s v="پیور"/>
    <n v="1000"/>
    <s v="PP"/>
    <n v="10"/>
    <n v="498.81"/>
    <n v="19"/>
    <m/>
    <m/>
    <n v="479.81"/>
    <m/>
    <m/>
    <m/>
    <m/>
    <m/>
    <m/>
    <m/>
    <m/>
    <m/>
    <m/>
    <m/>
    <m/>
    <m/>
    <m/>
    <m/>
    <m/>
    <m/>
    <m/>
    <m/>
    <m/>
    <m/>
    <m/>
    <m/>
    <m/>
    <x v="0"/>
    <m/>
    <m/>
    <m/>
    <m/>
  </r>
  <r>
    <x v="0"/>
    <x v="4"/>
    <s v="17 P"/>
    <x v="14"/>
    <s v="سادہ لفافہ"/>
    <s v="PP"/>
    <n v="14"/>
    <n v="5"/>
    <n v="0"/>
    <s v="-"/>
    <s v="PP"/>
    <n v="4"/>
    <n v="206.42000000000002"/>
    <n v="6.6"/>
    <m/>
    <m/>
    <n v="199.82000000000002"/>
    <m/>
    <m/>
    <m/>
    <m/>
    <m/>
    <m/>
    <m/>
    <m/>
    <m/>
    <m/>
    <m/>
    <m/>
    <m/>
    <m/>
    <m/>
    <m/>
    <m/>
    <m/>
    <m/>
    <m/>
    <m/>
    <m/>
    <m/>
    <m/>
    <x v="0"/>
    <m/>
    <m/>
    <m/>
    <m/>
  </r>
  <r>
    <x v="0"/>
    <x v="4"/>
    <s v="13 P"/>
    <x v="14"/>
    <s v="سادہ لفافہ"/>
    <s v="PP"/>
    <n v="10"/>
    <n v="5"/>
    <n v="0"/>
    <s v="-"/>
    <s v="PP"/>
    <n v="4"/>
    <n v="147.38"/>
    <n v="4.9000000000000004"/>
    <m/>
    <m/>
    <n v="142.47999999999999"/>
    <m/>
    <m/>
    <m/>
    <m/>
    <m/>
    <m/>
    <m/>
    <m/>
    <m/>
    <m/>
    <m/>
    <m/>
    <m/>
    <m/>
    <m/>
    <m/>
    <m/>
    <m/>
    <m/>
    <m/>
    <m/>
    <m/>
    <m/>
    <m/>
    <x v="0"/>
    <m/>
    <m/>
    <m/>
    <m/>
  </r>
  <r>
    <x v="1"/>
    <x v="4"/>
    <s v="11 P"/>
    <x v="14"/>
    <s v="سادہ لفافہ"/>
    <s v="PP"/>
    <n v="8"/>
    <n v="5"/>
    <n v="0"/>
    <s v="-"/>
    <s v="PP"/>
    <n v="9"/>
    <n v="289.27"/>
    <n v="7.2"/>
    <m/>
    <m/>
    <n v="282.07"/>
    <m/>
    <m/>
    <m/>
    <m/>
    <m/>
    <m/>
    <m/>
    <m/>
    <m/>
    <m/>
    <m/>
    <m/>
    <m/>
    <m/>
    <m/>
    <m/>
    <m/>
    <m/>
    <m/>
    <m/>
    <m/>
    <m/>
    <m/>
    <m/>
    <x v="0"/>
    <m/>
    <m/>
    <m/>
    <m/>
  </r>
  <r>
    <x v="0"/>
    <x v="0"/>
    <s v="2 P"/>
    <x v="15"/>
    <s v="سادہ لفافہ"/>
    <s v="PP"/>
    <n v="2"/>
    <s v="5.5-6"/>
    <n v="0"/>
    <s v="-"/>
    <s v="PP"/>
    <n v="7"/>
    <n v="107.85"/>
    <n v="1.4000000000000001"/>
    <n v="3"/>
    <m/>
    <n v="106.44999999999999"/>
    <m/>
    <m/>
    <m/>
    <m/>
    <m/>
    <m/>
    <m/>
    <m/>
    <m/>
    <m/>
    <m/>
    <m/>
    <m/>
    <m/>
    <m/>
    <m/>
    <m/>
    <m/>
    <m/>
    <m/>
    <m/>
    <m/>
    <m/>
    <m/>
    <x v="0"/>
    <m/>
    <m/>
    <m/>
    <m/>
  </r>
  <r>
    <x v="1"/>
    <x v="0"/>
    <s v="2 P"/>
    <x v="15"/>
    <s v="سادہ لفافہ"/>
    <s v="PP"/>
    <n v="2"/>
    <s v="5.5-6"/>
    <n v="0"/>
    <s v="-"/>
    <s v="PP"/>
    <n v="7"/>
    <n v="57.31"/>
    <n v="1.4000000000000001"/>
    <n v="2"/>
    <m/>
    <n v="55.910000000000004"/>
    <m/>
    <m/>
    <m/>
    <m/>
    <m/>
    <m/>
    <m/>
    <m/>
    <m/>
    <m/>
    <m/>
    <m/>
    <m/>
    <m/>
    <m/>
    <m/>
    <m/>
    <m/>
    <m/>
    <m/>
    <m/>
    <m/>
    <m/>
    <m/>
    <x v="0"/>
    <m/>
    <m/>
    <m/>
    <m/>
  </r>
  <r>
    <x v="1"/>
    <x v="0"/>
    <s v="1 P"/>
    <x v="15"/>
    <s v="سادہ لفافہ"/>
    <s v="PP"/>
    <n v="1.5"/>
    <s v="5.5-6"/>
    <n v="0"/>
    <s v="-"/>
    <s v="PP"/>
    <n v="2"/>
    <n v="42.78"/>
    <n v="0.3"/>
    <m/>
    <m/>
    <n v="42.480000000000004"/>
    <m/>
    <m/>
    <m/>
    <m/>
    <m/>
    <m/>
    <m/>
    <m/>
    <m/>
    <m/>
    <m/>
    <m/>
    <m/>
    <m/>
    <m/>
    <m/>
    <m/>
    <m/>
    <m/>
    <m/>
    <m/>
    <m/>
    <m/>
    <m/>
    <x v="0"/>
    <m/>
    <m/>
    <m/>
    <m/>
  </r>
  <r>
    <x v="0"/>
    <x v="1"/>
    <s v="6 P"/>
    <x v="15"/>
    <s v="سادہ لفافہ"/>
    <s v="PP"/>
    <n v="4"/>
    <s v="5.5-6"/>
    <n v="0"/>
    <s v="-"/>
    <s v="PP"/>
    <n v="7"/>
    <n v="112.18"/>
    <n v="2.8000000000000003"/>
    <n v="4"/>
    <m/>
    <n v="109.38000000000001"/>
    <m/>
    <m/>
    <m/>
    <m/>
    <m/>
    <m/>
    <m/>
    <m/>
    <m/>
    <m/>
    <m/>
    <m/>
    <m/>
    <m/>
    <m/>
    <m/>
    <m/>
    <m/>
    <m/>
    <m/>
    <m/>
    <m/>
    <m/>
    <m/>
    <x v="0"/>
    <m/>
    <m/>
    <m/>
    <m/>
  </r>
  <r>
    <x v="1"/>
    <x v="1"/>
    <s v="6 P"/>
    <x v="15"/>
    <s v="سادہ لفافہ"/>
    <s v="PP"/>
    <n v="4"/>
    <s v="5.5-6"/>
    <n v="0"/>
    <s v="-"/>
    <s v="PP"/>
    <n v="9"/>
    <n v="148.56"/>
    <n v="3.6"/>
    <n v="2"/>
    <m/>
    <n v="144.96"/>
    <m/>
    <m/>
    <m/>
    <m/>
    <m/>
    <m/>
    <m/>
    <m/>
    <m/>
    <m/>
    <m/>
    <m/>
    <m/>
    <m/>
    <m/>
    <m/>
    <m/>
    <m/>
    <m/>
    <m/>
    <m/>
    <m/>
    <m/>
    <m/>
    <x v="0"/>
    <m/>
    <m/>
    <m/>
    <m/>
  </r>
  <r>
    <x v="0"/>
    <x v="3"/>
    <s v="2901 J"/>
    <x v="15"/>
    <s v="جیلانی لیبل"/>
    <s v="PP"/>
    <n v="20"/>
    <s v="5-5.5"/>
    <s v="(1:1)"/>
    <n v="500"/>
    <s v="PP"/>
    <n v="6"/>
    <n v="340.65"/>
    <n v="15"/>
    <n v="16"/>
    <m/>
    <n v="325.64999999999998"/>
    <m/>
    <m/>
    <m/>
    <m/>
    <m/>
    <m/>
    <m/>
    <m/>
    <m/>
    <m/>
    <m/>
    <m/>
    <m/>
    <m/>
    <m/>
    <m/>
    <m/>
    <m/>
    <m/>
    <m/>
    <m/>
    <m/>
    <m/>
    <m/>
    <x v="0"/>
    <m/>
    <m/>
    <m/>
    <m/>
  </r>
  <r>
    <x v="1"/>
    <x v="3"/>
    <s v="2901 J"/>
    <x v="15"/>
    <s v="جیلانی لیبل"/>
    <s v="PP"/>
    <n v="20"/>
    <s v="5-5.5"/>
    <s v="(1:1)"/>
    <n v="500"/>
    <s v="PP"/>
    <n v="7"/>
    <n v="388.79999999999995"/>
    <n v="17.5"/>
    <n v="9"/>
    <m/>
    <n v="371.29999999999995"/>
    <m/>
    <m/>
    <m/>
    <m/>
    <m/>
    <m/>
    <m/>
    <m/>
    <m/>
    <m/>
    <m/>
    <m/>
    <m/>
    <m/>
    <m/>
    <m/>
    <m/>
    <m/>
    <m/>
    <m/>
    <m/>
    <m/>
    <m/>
    <m/>
    <x v="0"/>
    <m/>
    <m/>
    <m/>
    <m/>
  </r>
  <r>
    <x v="1"/>
    <x v="3"/>
    <s v="1831 J"/>
    <x v="15"/>
    <s v="سٹاک برائے جیلانی پولی "/>
    <s v="PP"/>
    <n v="26"/>
    <s v="5-5.5"/>
    <s v="-"/>
    <n v="500"/>
    <s v="PP"/>
    <n v="4"/>
    <n v="244.87"/>
    <n v="12.700000000000001"/>
    <m/>
    <m/>
    <n v="232.17000000000002"/>
    <m/>
    <m/>
    <m/>
    <m/>
    <m/>
    <m/>
    <m/>
    <m/>
    <m/>
    <m/>
    <m/>
    <m/>
    <m/>
    <m/>
    <m/>
    <m/>
    <m/>
    <m/>
    <m/>
    <m/>
    <m/>
    <m/>
    <m/>
    <m/>
    <x v="0"/>
    <m/>
    <m/>
    <m/>
    <m/>
  </r>
  <r>
    <x v="0"/>
    <x v="4"/>
    <s v="10 P"/>
    <x v="15"/>
    <s v="سادہ لفافہ"/>
    <s v="PP"/>
    <n v="7"/>
    <n v="5"/>
    <n v="0"/>
    <s v="-"/>
    <s v="PP"/>
    <n v="8"/>
    <n v="239.16"/>
    <n v="5.6"/>
    <n v="8"/>
    <m/>
    <n v="233.56"/>
    <m/>
    <m/>
    <m/>
    <m/>
    <m/>
    <m/>
    <m/>
    <m/>
    <m/>
    <m/>
    <m/>
    <m/>
    <m/>
    <m/>
    <m/>
    <m/>
    <m/>
    <m/>
    <m/>
    <m/>
    <m/>
    <m/>
    <m/>
    <m/>
    <x v="0"/>
    <m/>
    <m/>
    <m/>
    <m/>
  </r>
  <r>
    <x v="1"/>
    <x v="4"/>
    <s v="10 P"/>
    <x v="15"/>
    <s v="سادہ لفافہ"/>
    <s v="PP"/>
    <n v="7"/>
    <n v="5"/>
    <n v="0"/>
    <s v="-"/>
    <s v="PP"/>
    <n v="2"/>
    <n v="38.840000000000003"/>
    <n v="1.6"/>
    <n v="5"/>
    <m/>
    <n v="37.24"/>
    <m/>
    <m/>
    <m/>
    <m/>
    <m/>
    <m/>
    <m/>
    <m/>
    <m/>
    <m/>
    <m/>
    <m/>
    <m/>
    <m/>
    <m/>
    <m/>
    <m/>
    <m/>
    <m/>
    <m/>
    <m/>
    <m/>
    <m/>
    <m/>
    <x v="0"/>
    <m/>
    <m/>
    <m/>
    <m/>
  </r>
  <r>
    <x v="1"/>
    <x v="4"/>
    <s v="12 P"/>
    <x v="15"/>
    <s v="سادہ لفافہ"/>
    <s v="PP"/>
    <n v="9"/>
    <n v="5"/>
    <n v="0"/>
    <s v="-"/>
    <s v="PP"/>
    <n v="6"/>
    <n v="246.68000000000004"/>
    <n v="7.1999999999999993"/>
    <m/>
    <m/>
    <n v="239.48000000000005"/>
    <m/>
    <m/>
    <m/>
    <m/>
    <m/>
    <m/>
    <m/>
    <m/>
    <m/>
    <m/>
    <m/>
    <m/>
    <m/>
    <m/>
    <m/>
    <m/>
    <m/>
    <m/>
    <m/>
    <m/>
    <m/>
    <m/>
    <m/>
    <m/>
    <x v="0"/>
    <m/>
    <m/>
    <m/>
    <m/>
  </r>
  <r>
    <x v="0"/>
    <x v="0"/>
    <s v="1 P"/>
    <x v="16"/>
    <s v="سادہ لفافہ"/>
    <s v="PP"/>
    <n v="1.5"/>
    <s v="5.5-6"/>
    <n v="0"/>
    <s v="-"/>
    <s v="PP"/>
    <n v="6"/>
    <n v="49.15"/>
    <n v="0.89999999999999991"/>
    <n v="3"/>
    <m/>
    <n v="48.25"/>
    <m/>
    <m/>
    <m/>
    <m/>
    <m/>
    <m/>
    <m/>
    <m/>
    <m/>
    <m/>
    <m/>
    <m/>
    <m/>
    <m/>
    <m/>
    <m/>
    <m/>
    <m/>
    <m/>
    <m/>
    <m/>
    <m/>
    <m/>
    <m/>
    <x v="0"/>
    <m/>
    <m/>
    <m/>
    <m/>
  </r>
  <r>
    <x v="0"/>
    <x v="0"/>
    <s v="8 P"/>
    <x v="16"/>
    <s v="سادہ لفافہ"/>
    <s v="PP"/>
    <n v="5"/>
    <s v="5.5-6"/>
    <n v="0"/>
    <s v="-"/>
    <s v="PP"/>
    <n v="3"/>
    <n v="61.55"/>
    <n v="1.5"/>
    <m/>
    <m/>
    <n v="60.05"/>
    <m/>
    <m/>
    <m/>
    <m/>
    <m/>
    <m/>
    <m/>
    <m/>
    <m/>
    <m/>
    <m/>
    <m/>
    <m/>
    <m/>
    <m/>
    <m/>
    <m/>
    <m/>
    <m/>
    <m/>
    <m/>
    <m/>
    <m/>
    <m/>
    <x v="0"/>
    <m/>
    <m/>
    <m/>
    <m/>
  </r>
  <r>
    <x v="1"/>
    <x v="0"/>
    <s v="8 P"/>
    <x v="16"/>
    <s v="سادہ لفافہ"/>
    <s v="PP"/>
    <n v="5"/>
    <s v="5.5-6"/>
    <n v="0"/>
    <s v="-"/>
    <s v="PP"/>
    <n v="7"/>
    <n v="152.32"/>
    <n v="3.5"/>
    <n v="5"/>
    <m/>
    <n v="148.82"/>
    <m/>
    <m/>
    <m/>
    <m/>
    <m/>
    <m/>
    <m/>
    <m/>
    <m/>
    <m/>
    <m/>
    <m/>
    <m/>
    <m/>
    <m/>
    <m/>
    <m/>
    <m/>
    <m/>
    <m/>
    <m/>
    <m/>
    <m/>
    <m/>
    <x v="0"/>
    <m/>
    <m/>
    <m/>
    <m/>
  </r>
  <r>
    <x v="0"/>
    <x v="1"/>
    <s v="6 P"/>
    <x v="16"/>
    <s v="سادہ لفافہ"/>
    <s v="PP"/>
    <n v="4"/>
    <s v="5.5-6"/>
    <n v="0"/>
    <s v="-"/>
    <s v="PP"/>
    <n v="5"/>
    <n v="68.72"/>
    <n v="2"/>
    <n v="3"/>
    <m/>
    <n v="66.72"/>
    <m/>
    <m/>
    <m/>
    <m/>
    <m/>
    <m/>
    <m/>
    <m/>
    <m/>
    <m/>
    <m/>
    <m/>
    <m/>
    <m/>
    <m/>
    <m/>
    <m/>
    <m/>
    <m/>
    <m/>
    <m/>
    <m/>
    <m/>
    <m/>
    <x v="0"/>
    <m/>
    <m/>
    <m/>
    <m/>
  </r>
  <r>
    <x v="0"/>
    <x v="1"/>
    <s v="4 P"/>
    <x v="16"/>
    <s v="سادہ لفافہ"/>
    <s v="PP"/>
    <n v="3"/>
    <s v="5.5-6"/>
    <n v="0"/>
    <s v="-"/>
    <s v="PP"/>
    <n v="7"/>
    <n v="92.669999999999987"/>
    <n v="2.1"/>
    <m/>
    <m/>
    <n v="90.57"/>
    <m/>
    <m/>
    <m/>
    <m/>
    <m/>
    <m/>
    <m/>
    <m/>
    <m/>
    <m/>
    <m/>
    <m/>
    <m/>
    <m/>
    <m/>
    <m/>
    <m/>
    <m/>
    <m/>
    <m/>
    <m/>
    <m/>
    <m/>
    <m/>
    <x v="0"/>
    <m/>
    <m/>
    <m/>
    <m/>
  </r>
  <r>
    <x v="1"/>
    <x v="1"/>
    <s v="4 P"/>
    <x v="16"/>
    <s v="سادہ لفافہ"/>
    <s v="PP"/>
    <n v="3"/>
    <s v="5.5-6"/>
    <n v="0"/>
    <s v="-"/>
    <s v="PP"/>
    <n v="9"/>
    <n v="117.82000000000001"/>
    <n v="2.6999999999999997"/>
    <n v="2"/>
    <m/>
    <n v="115.12"/>
    <m/>
    <m/>
    <m/>
    <m/>
    <m/>
    <m/>
    <m/>
    <m/>
    <m/>
    <m/>
    <m/>
    <m/>
    <m/>
    <m/>
    <m/>
    <m/>
    <m/>
    <m/>
    <m/>
    <m/>
    <m/>
    <m/>
    <m/>
    <m/>
    <x v="0"/>
    <m/>
    <m/>
    <m/>
    <m/>
  </r>
  <r>
    <x v="0"/>
    <x v="3"/>
    <s v="1831 J"/>
    <x v="16"/>
    <s v="سٹاک برائے جیلانی پولی "/>
    <s v="PP"/>
    <n v="26"/>
    <s v="5-5.5"/>
    <s v="-"/>
    <n v="500"/>
    <s v="PP"/>
    <n v="6"/>
    <n v="391.38"/>
    <n v="19.200000000000003"/>
    <n v="7"/>
    <m/>
    <n v="372.18"/>
    <m/>
    <m/>
    <m/>
    <m/>
    <m/>
    <m/>
    <m/>
    <m/>
    <m/>
    <m/>
    <m/>
    <m/>
    <m/>
    <m/>
    <m/>
    <m/>
    <m/>
    <m/>
    <m/>
    <m/>
    <m/>
    <m/>
    <m/>
    <m/>
    <x v="0"/>
    <m/>
    <m/>
    <m/>
    <m/>
  </r>
  <r>
    <x v="0"/>
    <x v="3"/>
    <s v="1723 F"/>
    <x v="16"/>
    <s v="TRICORP وارننگ"/>
    <s v="PP"/>
    <n v="18"/>
    <s v="7"/>
    <s v="پیور"/>
    <n v="665"/>
    <s v="PP"/>
    <n v="5"/>
    <n v="229.81"/>
    <n v="11.15"/>
    <m/>
    <m/>
    <n v="218.66"/>
    <m/>
    <m/>
    <m/>
    <m/>
    <m/>
    <m/>
    <m/>
    <m/>
    <m/>
    <m/>
    <m/>
    <m/>
    <m/>
    <m/>
    <m/>
    <m/>
    <m/>
    <m/>
    <m/>
    <m/>
    <m/>
    <m/>
    <m/>
    <m/>
    <x v="0"/>
    <m/>
    <m/>
    <m/>
    <m/>
  </r>
  <r>
    <x v="1"/>
    <x v="3"/>
    <s v="1723 F"/>
    <x v="16"/>
    <s v="TRICORP وارننگ"/>
    <s v="PP"/>
    <n v="18"/>
    <s v="7"/>
    <s v="پیور"/>
    <n v="665"/>
    <s v="PP"/>
    <n v="9"/>
    <n v="444.23"/>
    <n v="19.8"/>
    <m/>
    <m/>
    <n v="424.43"/>
    <m/>
    <m/>
    <m/>
    <m/>
    <m/>
    <m/>
    <m/>
    <m/>
    <m/>
    <m/>
    <m/>
    <m/>
    <m/>
    <m/>
    <m/>
    <m/>
    <m/>
    <m/>
    <m/>
    <m/>
    <m/>
    <m/>
    <m/>
    <m/>
    <x v="0"/>
    <m/>
    <m/>
    <m/>
    <m/>
  </r>
  <r>
    <x v="1"/>
    <x v="3"/>
    <s v="2900 J"/>
    <x v="16"/>
    <s v="سادہ رول جیلانی پولی سٹاک"/>
    <s v="PP"/>
    <n v="18"/>
    <s v="5-5.5"/>
    <s v=".1:1"/>
    <n v="1000"/>
    <s v="PP"/>
    <n v="4"/>
    <n v="206.3"/>
    <n v="8.8000000000000007"/>
    <m/>
    <m/>
    <n v="197.5"/>
    <m/>
    <m/>
    <m/>
    <m/>
    <m/>
    <m/>
    <m/>
    <m/>
    <m/>
    <m/>
    <m/>
    <m/>
    <m/>
    <m/>
    <m/>
    <m/>
    <m/>
    <m/>
    <m/>
    <m/>
    <m/>
    <m/>
    <m/>
    <m/>
    <x v="0"/>
    <m/>
    <m/>
    <m/>
    <m/>
  </r>
  <r>
    <x v="0"/>
    <x v="4"/>
    <s v="12 P"/>
    <x v="16"/>
    <s v="سادہ لفافہ"/>
    <s v="PP"/>
    <n v="9"/>
    <n v="5"/>
    <n v="0"/>
    <s v="-"/>
    <s v="PP"/>
    <n v="11"/>
    <n v="464.97999999999996"/>
    <n v="12.100000000000001"/>
    <n v="4"/>
    <m/>
    <n v="452.87999999999994"/>
    <m/>
    <m/>
    <m/>
    <m/>
    <m/>
    <m/>
    <m/>
    <m/>
    <m/>
    <m/>
    <m/>
    <m/>
    <m/>
    <m/>
    <m/>
    <m/>
    <m/>
    <m/>
    <m/>
    <m/>
    <m/>
    <m/>
    <m/>
    <m/>
    <x v="0"/>
    <m/>
    <m/>
    <m/>
    <m/>
  </r>
  <r>
    <x v="1"/>
    <x v="4"/>
    <s v="12 P"/>
    <x v="16"/>
    <s v="سادہ لفافہ"/>
    <s v="PP"/>
    <n v="9"/>
    <n v="5"/>
    <n v="0"/>
    <s v="-"/>
    <s v="PP"/>
    <n v="1"/>
    <n v="33.22"/>
    <n v="1.1000000000000001"/>
    <n v="6"/>
    <m/>
    <n v="32.119999999999997"/>
    <m/>
    <m/>
    <m/>
    <m/>
    <m/>
    <m/>
    <m/>
    <m/>
    <m/>
    <m/>
    <m/>
    <m/>
    <m/>
    <m/>
    <m/>
    <m/>
    <m/>
    <m/>
    <m/>
    <m/>
    <m/>
    <m/>
    <m/>
    <m/>
    <x v="0"/>
    <m/>
    <m/>
    <m/>
    <m/>
  </r>
  <r>
    <x v="1"/>
    <x v="4"/>
    <s v="15 P"/>
    <x v="16"/>
    <s v="سادہ لفافہ"/>
    <s v="PP"/>
    <n v="12"/>
    <n v="5"/>
    <n v="0"/>
    <s v="-"/>
    <s v="PP"/>
    <n v="8"/>
    <n v="365.42999999999995"/>
    <n v="12"/>
    <m/>
    <m/>
    <n v="353.42999999999995"/>
    <m/>
    <m/>
    <m/>
    <m/>
    <m/>
    <m/>
    <m/>
    <m/>
    <m/>
    <m/>
    <m/>
    <m/>
    <m/>
    <m/>
    <m/>
    <m/>
    <m/>
    <m/>
    <m/>
    <m/>
    <m/>
    <m/>
    <m/>
    <m/>
    <x v="0"/>
    <m/>
    <m/>
    <m/>
    <m/>
  </r>
  <r>
    <x v="0"/>
    <x v="0"/>
    <s v="8 P"/>
    <x v="17"/>
    <s v="سادہ لفافہ"/>
    <s v="PP"/>
    <n v="5"/>
    <s v="5.5-6"/>
    <n v="0"/>
    <s v="-"/>
    <s v="PP"/>
    <n v="10"/>
    <n v="166.70000000000002"/>
    <n v="5"/>
    <n v="4"/>
    <m/>
    <n v="161.70000000000002"/>
    <m/>
    <m/>
    <m/>
    <m/>
    <m/>
    <m/>
    <m/>
    <m/>
    <m/>
    <m/>
    <m/>
    <m/>
    <m/>
    <m/>
    <m/>
    <m/>
    <m/>
    <m/>
    <m/>
    <m/>
    <m/>
    <m/>
    <m/>
    <m/>
    <x v="0"/>
    <m/>
    <m/>
    <m/>
    <m/>
  </r>
  <r>
    <x v="1"/>
    <x v="0"/>
    <s v="8 P"/>
    <x v="17"/>
    <s v="سادہ لفافہ"/>
    <s v="PP"/>
    <n v="5"/>
    <s v="5.5-6"/>
    <n v="0"/>
    <s v="-"/>
    <s v="PP"/>
    <n v="8"/>
    <n v="158.81"/>
    <n v="4"/>
    <n v="3"/>
    <m/>
    <n v="154.81"/>
    <m/>
    <m/>
    <m/>
    <m/>
    <m/>
    <m/>
    <m/>
    <m/>
    <m/>
    <m/>
    <m/>
    <m/>
    <m/>
    <m/>
    <m/>
    <m/>
    <m/>
    <m/>
    <m/>
    <m/>
    <m/>
    <m/>
    <m/>
    <m/>
    <x v="0"/>
    <m/>
    <m/>
    <m/>
    <m/>
  </r>
  <r>
    <x v="0"/>
    <x v="1"/>
    <s v="4 P"/>
    <x v="17"/>
    <s v="سادہ لفافہ"/>
    <s v="PP"/>
    <n v="3"/>
    <s v="5.5-6"/>
    <n v="0"/>
    <s v="-"/>
    <s v="PP"/>
    <n v="10"/>
    <n v="133.6"/>
    <n v="3"/>
    <n v="4"/>
    <m/>
    <n v="130.6"/>
    <m/>
    <m/>
    <m/>
    <m/>
    <m/>
    <m/>
    <m/>
    <m/>
    <m/>
    <m/>
    <m/>
    <m/>
    <m/>
    <m/>
    <m/>
    <m/>
    <m/>
    <m/>
    <m/>
    <m/>
    <m/>
    <m/>
    <m/>
    <m/>
    <x v="0"/>
    <m/>
    <m/>
    <m/>
    <m/>
  </r>
  <r>
    <x v="1"/>
    <x v="1"/>
    <s v="6 P"/>
    <x v="17"/>
    <s v="سادہ لفافہ"/>
    <s v="PP"/>
    <n v="4"/>
    <s v="5.5-6"/>
    <n v="0"/>
    <s v="-"/>
    <s v="PP"/>
    <n v="10"/>
    <n v="149.18"/>
    <n v="4"/>
    <n v="3"/>
    <m/>
    <n v="145.18"/>
    <m/>
    <m/>
    <m/>
    <m/>
    <m/>
    <m/>
    <m/>
    <m/>
    <m/>
    <m/>
    <m/>
    <m/>
    <m/>
    <m/>
    <m/>
    <m/>
    <m/>
    <m/>
    <m/>
    <m/>
    <m/>
    <m/>
    <m/>
    <m/>
    <x v="0"/>
    <m/>
    <m/>
    <m/>
    <m/>
  </r>
  <r>
    <x v="0"/>
    <x v="3"/>
    <s v="2900 J"/>
    <x v="17"/>
    <s v="سادہ رول جیلانی پولی سٹاک"/>
    <s v="PP"/>
    <n v="18"/>
    <s v="5-5.5"/>
    <s v=".1:1"/>
    <n v="1000"/>
    <s v="PP"/>
    <n v="12"/>
    <n v="627.99999999999989"/>
    <n v="25.200000000000003"/>
    <n v="10"/>
    <m/>
    <n v="602.79999999999984"/>
    <m/>
    <m/>
    <m/>
    <m/>
    <m/>
    <m/>
    <m/>
    <m/>
    <m/>
    <m/>
    <m/>
    <m/>
    <m/>
    <m/>
    <m/>
    <m/>
    <m/>
    <m/>
    <m/>
    <m/>
    <m/>
    <m/>
    <m/>
    <m/>
    <x v="0"/>
    <m/>
    <m/>
    <m/>
    <m/>
  </r>
  <r>
    <x v="1"/>
    <x v="3"/>
    <s v="2900 J"/>
    <x v="17"/>
    <s v="سادہ رول جیلانی پولی سٹاک"/>
    <s v="PP"/>
    <n v="18"/>
    <s v="5-5.5"/>
    <s v=".1:1"/>
    <n v="1000"/>
    <s v="PP"/>
    <n v="5"/>
    <n v="267.7"/>
    <n v="10.5"/>
    <n v="17"/>
    <m/>
    <n v="257.2"/>
    <m/>
    <m/>
    <m/>
    <m/>
    <m/>
    <m/>
    <m/>
    <m/>
    <m/>
    <m/>
    <m/>
    <m/>
    <m/>
    <m/>
    <m/>
    <m/>
    <m/>
    <m/>
    <m/>
    <m/>
    <m/>
    <m/>
    <m/>
    <m/>
    <x v="0"/>
    <m/>
    <m/>
    <m/>
    <m/>
  </r>
  <r>
    <x v="1"/>
    <x v="3"/>
    <s v="19 P"/>
    <x v="17"/>
    <s v="سادہ لفافہ"/>
    <s v="PP"/>
    <n v="16"/>
    <n v="5"/>
    <n v="0"/>
    <s v="-"/>
    <s v="PP"/>
    <n v="4"/>
    <n v="157.17000000000002"/>
    <n v="7.8"/>
    <m/>
    <m/>
    <n v="149.37"/>
    <m/>
    <m/>
    <m/>
    <m/>
    <m/>
    <m/>
    <m/>
    <m/>
    <m/>
    <m/>
    <m/>
    <m/>
    <m/>
    <m/>
    <m/>
    <m/>
    <m/>
    <m/>
    <m/>
    <m/>
    <m/>
    <m/>
    <m/>
    <m/>
    <x v="0"/>
    <m/>
    <m/>
    <m/>
    <m/>
  </r>
  <r>
    <x v="1"/>
    <x v="3"/>
    <s v="1706 F"/>
    <x v="17"/>
    <s v="وارننگ LEVIES"/>
    <s v="PP"/>
    <n v="16.2"/>
    <s v="-"/>
    <s v="پیور"/>
    <n v="1000"/>
    <s v="PP"/>
    <n v="4"/>
    <n v="159.70000000000002"/>
    <n v="7.58"/>
    <m/>
    <m/>
    <n v="152.12"/>
    <m/>
    <m/>
    <m/>
    <m/>
    <m/>
    <m/>
    <m/>
    <m/>
    <m/>
    <m/>
    <m/>
    <m/>
    <m/>
    <m/>
    <m/>
    <m/>
    <m/>
    <m/>
    <m/>
    <m/>
    <m/>
    <m/>
    <m/>
    <m/>
    <x v="0"/>
    <m/>
    <m/>
    <m/>
    <m/>
  </r>
  <r>
    <x v="0"/>
    <x v="4"/>
    <s v="15 P"/>
    <x v="17"/>
    <s v="سادہ لفافہ"/>
    <s v="PP"/>
    <n v="12"/>
    <n v="5"/>
    <n v="0"/>
    <s v="-"/>
    <s v="PP"/>
    <n v="4"/>
    <n v="170.6"/>
    <n v="5.6"/>
    <n v="16"/>
    <m/>
    <n v="165"/>
    <m/>
    <m/>
    <m/>
    <m/>
    <m/>
    <m/>
    <m/>
    <m/>
    <m/>
    <m/>
    <m/>
    <m/>
    <m/>
    <m/>
    <m/>
    <m/>
    <m/>
    <m/>
    <m/>
    <m/>
    <m/>
    <m/>
    <m/>
    <m/>
    <x v="0"/>
    <m/>
    <m/>
    <m/>
    <m/>
  </r>
  <r>
    <x v="0"/>
    <x v="4"/>
    <s v="11 P"/>
    <x v="17"/>
    <s v="سادہ لفافہ"/>
    <s v="PP"/>
    <n v="8"/>
    <n v="5"/>
    <n v="0"/>
    <s v="-"/>
    <s v="PP"/>
    <n v="4"/>
    <n v="101.96"/>
    <n v="3.6"/>
    <m/>
    <m/>
    <n v="98.36"/>
    <m/>
    <m/>
    <m/>
    <m/>
    <m/>
    <m/>
    <m/>
    <m/>
    <m/>
    <m/>
    <m/>
    <m/>
    <m/>
    <m/>
    <m/>
    <m/>
    <m/>
    <m/>
    <m/>
    <m/>
    <m/>
    <m/>
    <m/>
    <m/>
    <x v="0"/>
    <m/>
    <m/>
    <m/>
    <m/>
  </r>
  <r>
    <x v="0"/>
    <x v="4"/>
    <s v="14 P"/>
    <x v="17"/>
    <s v="سادہ لفافہ"/>
    <s v="PP"/>
    <n v="11"/>
    <n v="5"/>
    <n v="0"/>
    <s v="-"/>
    <s v="PP"/>
    <n v="4"/>
    <n v="176.64"/>
    <n v="5.2"/>
    <m/>
    <m/>
    <n v="171.44"/>
    <m/>
    <m/>
    <m/>
    <m/>
    <m/>
    <m/>
    <m/>
    <m/>
    <m/>
    <m/>
    <m/>
    <m/>
    <m/>
    <m/>
    <m/>
    <m/>
    <m/>
    <m/>
    <m/>
    <m/>
    <m/>
    <m/>
    <m/>
    <m/>
    <x v="0"/>
    <m/>
    <m/>
    <m/>
    <m/>
  </r>
  <r>
    <x v="1"/>
    <x v="4"/>
    <s v="14 P"/>
    <x v="17"/>
    <s v="سادہ لفافہ"/>
    <s v="PP"/>
    <n v="11"/>
    <n v="5"/>
    <n v="0"/>
    <s v="-"/>
    <s v="PP"/>
    <n v="8"/>
    <n v="421.5499999999999"/>
    <n v="10.4"/>
    <n v="7"/>
    <m/>
    <n v="411.14999999999992"/>
    <m/>
    <m/>
    <m/>
    <m/>
    <m/>
    <m/>
    <m/>
    <m/>
    <m/>
    <m/>
    <m/>
    <m/>
    <m/>
    <m/>
    <m/>
    <m/>
    <m/>
    <m/>
    <m/>
    <m/>
    <m/>
    <m/>
    <m/>
    <m/>
    <x v="0"/>
    <m/>
    <m/>
    <m/>
    <m/>
  </r>
  <r>
    <x v="1"/>
    <x v="4"/>
    <s v="12 P"/>
    <x v="17"/>
    <s v="سادہ لفافہ"/>
    <s v="PP"/>
    <n v="9"/>
    <n v="5"/>
    <n v="0"/>
    <s v="-"/>
    <s v="PP"/>
    <n v="2"/>
    <n v="57.540000000000006"/>
    <n v="2"/>
    <m/>
    <m/>
    <n v="55.540000000000006"/>
    <m/>
    <m/>
    <m/>
    <m/>
    <m/>
    <m/>
    <m/>
    <m/>
    <m/>
    <m/>
    <m/>
    <m/>
    <m/>
    <m/>
    <m/>
    <m/>
    <m/>
    <m/>
    <m/>
    <m/>
    <m/>
    <m/>
    <m/>
    <m/>
    <x v="0"/>
    <m/>
    <m/>
    <m/>
    <m/>
  </r>
  <r>
    <x v="0"/>
    <x v="0"/>
    <s v="8 P"/>
    <x v="18"/>
    <s v="سادہ لفافہ"/>
    <s v="PP"/>
    <n v="5"/>
    <s v="5.5-6"/>
    <n v="0"/>
    <s v="-"/>
    <s v="PP"/>
    <n v="10"/>
    <n v="142.45000000000002"/>
    <n v="5"/>
    <n v="30"/>
    <m/>
    <n v="137.45000000000002"/>
    <m/>
    <m/>
    <m/>
    <m/>
    <m/>
    <m/>
    <m/>
    <m/>
    <m/>
    <m/>
    <m/>
    <m/>
    <m/>
    <m/>
    <m/>
    <m/>
    <m/>
    <m/>
    <m/>
    <m/>
    <m/>
    <m/>
    <m/>
    <m/>
    <x v="0"/>
    <m/>
    <m/>
    <m/>
    <m/>
  </r>
  <r>
    <x v="1"/>
    <x v="0"/>
    <s v="8 P"/>
    <x v="18"/>
    <s v="سادہ لفافہ"/>
    <s v="PP"/>
    <n v="5"/>
    <s v="5.5-6"/>
    <n v="0"/>
    <s v="-"/>
    <s v="PP"/>
    <n v="8"/>
    <n v="181.2"/>
    <n v="4"/>
    <n v="29"/>
    <m/>
    <n v="177.2"/>
    <m/>
    <m/>
    <m/>
    <m/>
    <m/>
    <m/>
    <m/>
    <m/>
    <m/>
    <m/>
    <m/>
    <m/>
    <m/>
    <m/>
    <m/>
    <m/>
    <m/>
    <m/>
    <m/>
    <m/>
    <m/>
    <m/>
    <m/>
    <m/>
    <x v="0"/>
    <m/>
    <m/>
    <m/>
    <m/>
  </r>
  <r>
    <x v="0"/>
    <x v="1"/>
    <s v="6 P"/>
    <x v="18"/>
    <s v="سادہ لفافہ"/>
    <s v="PP"/>
    <n v="4"/>
    <s v="5.5-6"/>
    <n v="0"/>
    <s v="-"/>
    <s v="PP"/>
    <n v="10"/>
    <n v="120.20000000000002"/>
    <n v="4"/>
    <m/>
    <m/>
    <n v="116.20000000000002"/>
    <m/>
    <m/>
    <m/>
    <m/>
    <m/>
    <m/>
    <m/>
    <m/>
    <m/>
    <m/>
    <m/>
    <m/>
    <m/>
    <m/>
    <m/>
    <m/>
    <m/>
    <m/>
    <m/>
    <m/>
    <m/>
    <m/>
    <m/>
    <m/>
    <x v="0"/>
    <m/>
    <m/>
    <m/>
    <m/>
  </r>
  <r>
    <x v="1"/>
    <x v="1"/>
    <s v="6 P"/>
    <x v="18"/>
    <s v="سادہ لفافہ"/>
    <s v="PP"/>
    <n v="4"/>
    <s v="5.5-6"/>
    <n v="0"/>
    <s v="-"/>
    <s v="PP"/>
    <n v="10"/>
    <n v="155.81"/>
    <n v="4"/>
    <m/>
    <m/>
    <n v="151.81"/>
    <m/>
    <m/>
    <m/>
    <m/>
    <m/>
    <m/>
    <m/>
    <m/>
    <m/>
    <m/>
    <m/>
    <m/>
    <m/>
    <m/>
    <m/>
    <m/>
    <m/>
    <m/>
    <m/>
    <m/>
    <m/>
    <m/>
    <m/>
    <m/>
    <x v="0"/>
    <m/>
    <m/>
    <m/>
    <m/>
  </r>
  <r>
    <x v="0"/>
    <x v="3"/>
    <s v="7007/1"/>
    <x v="18"/>
    <s v="لفافہ"/>
    <s v="PP"/>
    <n v="18"/>
    <n v="6"/>
    <n v="0"/>
    <n v="600"/>
    <s v="PP"/>
    <n v="13"/>
    <n v="562.78"/>
    <n v="28.6"/>
    <m/>
    <m/>
    <n v="534.17999999999995"/>
    <m/>
    <m/>
    <m/>
    <m/>
    <m/>
    <m/>
    <m/>
    <m/>
    <m/>
    <m/>
    <m/>
    <m/>
    <m/>
    <m/>
    <m/>
    <m/>
    <m/>
    <m/>
    <m/>
    <m/>
    <m/>
    <m/>
    <m/>
    <m/>
    <x v="0"/>
    <m/>
    <m/>
    <m/>
    <m/>
  </r>
  <r>
    <x v="1"/>
    <x v="3"/>
    <s v="7007/1"/>
    <x v="18"/>
    <s v="لفافہ"/>
    <s v="PP"/>
    <n v="18"/>
    <n v="6"/>
    <n v="0"/>
    <n v="600"/>
    <s v="PP"/>
    <n v="12"/>
    <n v="613.96"/>
    <n v="26.400000000000002"/>
    <m/>
    <m/>
    <n v="587.56000000000006"/>
    <m/>
    <m/>
    <m/>
    <m/>
    <m/>
    <m/>
    <m/>
    <m/>
    <m/>
    <m/>
    <m/>
    <m/>
    <m/>
    <m/>
    <m/>
    <m/>
    <m/>
    <m/>
    <m/>
    <m/>
    <m/>
    <m/>
    <m/>
    <m/>
    <x v="0"/>
    <m/>
    <m/>
    <m/>
    <m/>
  </r>
  <r>
    <x v="0"/>
    <x v="4"/>
    <s v="12 P"/>
    <x v="18"/>
    <s v="سادہ لفافہ"/>
    <s v="PP"/>
    <n v="9"/>
    <n v="5"/>
    <n v="0"/>
    <s v="-"/>
    <s v="PP"/>
    <n v="2"/>
    <n v="364.95000000000005"/>
    <n v="1.8"/>
    <m/>
    <m/>
    <n v="363.15000000000003"/>
    <m/>
    <m/>
    <m/>
    <m/>
    <m/>
    <m/>
    <m/>
    <m/>
    <m/>
    <m/>
    <m/>
    <m/>
    <m/>
    <m/>
    <m/>
    <m/>
    <m/>
    <m/>
    <m/>
    <m/>
    <m/>
    <m/>
    <m/>
    <m/>
    <x v="0"/>
    <m/>
    <m/>
    <m/>
    <m/>
  </r>
  <r>
    <x v="0"/>
    <x v="4"/>
    <s v="12 P"/>
    <x v="18"/>
    <s v="سادہ لفافہ"/>
    <s v="PP"/>
    <n v="9"/>
    <n v="5"/>
    <n v="0"/>
    <s v="-"/>
    <s v="PP"/>
    <n v="9"/>
    <n v="365.03000000000003"/>
    <n v="8.1"/>
    <m/>
    <m/>
    <n v="356.93"/>
    <m/>
    <m/>
    <m/>
    <m/>
    <m/>
    <m/>
    <m/>
    <m/>
    <m/>
    <m/>
    <m/>
    <m/>
    <m/>
    <m/>
    <m/>
    <m/>
    <m/>
    <m/>
    <m/>
    <m/>
    <m/>
    <m/>
    <m/>
    <m/>
    <x v="0"/>
    <m/>
    <m/>
    <m/>
    <m/>
  </r>
  <r>
    <x v="1"/>
    <x v="4"/>
    <s v="12 P"/>
    <x v="18"/>
    <s v="سادہ لفافہ"/>
    <s v="PP"/>
    <n v="9"/>
    <n v="5"/>
    <n v="0"/>
    <s v="-"/>
    <s v="PP"/>
    <n v="9"/>
    <n v="396.43"/>
    <n v="8.1"/>
    <m/>
    <m/>
    <n v="388.33"/>
    <m/>
    <m/>
    <m/>
    <m/>
    <m/>
    <m/>
    <m/>
    <m/>
    <m/>
    <m/>
    <m/>
    <m/>
    <m/>
    <m/>
    <m/>
    <m/>
    <m/>
    <m/>
    <m/>
    <m/>
    <m/>
    <m/>
    <m/>
    <m/>
    <x v="0"/>
    <m/>
    <m/>
    <m/>
    <m/>
  </r>
  <r>
    <x v="0"/>
    <x v="0"/>
    <s v="8 P"/>
    <x v="19"/>
    <s v="سادہ لفافہ"/>
    <s v="PP"/>
    <n v="5"/>
    <s v="5.5-6"/>
    <n v="0"/>
    <s v="-"/>
    <s v="PP"/>
    <n v="3"/>
    <n v="52.8"/>
    <n v="1.5"/>
    <n v="9"/>
    <m/>
    <n v="51.3"/>
    <m/>
    <m/>
    <m/>
    <m/>
    <m/>
    <m/>
    <m/>
    <m/>
    <m/>
    <m/>
    <m/>
    <m/>
    <m/>
    <m/>
    <m/>
    <m/>
    <m/>
    <m/>
    <m/>
    <m/>
    <m/>
    <m/>
    <m/>
    <m/>
    <x v="0"/>
    <m/>
    <m/>
    <m/>
    <m/>
  </r>
  <r>
    <x v="0"/>
    <x v="0"/>
    <s v="6 P"/>
    <x v="19"/>
    <s v="سادہ لفافہ"/>
    <s v="PP"/>
    <n v="4"/>
    <s v="5.5-6"/>
    <n v="0"/>
    <s v="-"/>
    <s v="PP"/>
    <n v="3"/>
    <n v="48"/>
    <n v="0.30000000000000004"/>
    <m/>
    <m/>
    <n v="47.7"/>
    <m/>
    <m/>
    <m/>
    <m/>
    <m/>
    <m/>
    <m/>
    <m/>
    <m/>
    <m/>
    <m/>
    <m/>
    <m/>
    <m/>
    <m/>
    <m/>
    <m/>
    <m/>
    <m/>
    <m/>
    <m/>
    <m/>
    <m/>
    <m/>
    <x v="0"/>
    <m/>
    <m/>
    <m/>
    <m/>
  </r>
  <r>
    <x v="1"/>
    <x v="0"/>
    <s v="6 P"/>
    <x v="19"/>
    <s v="سادہ لفافہ"/>
    <s v="PP"/>
    <n v="4"/>
    <s v="5.5-6"/>
    <n v="0"/>
    <s v="-"/>
    <s v="PP"/>
    <n v="8"/>
    <n v="157.08000000000001"/>
    <n v="3.2"/>
    <n v="3"/>
    <m/>
    <n v="153.88000000000002"/>
    <m/>
    <m/>
    <m/>
    <m/>
    <m/>
    <m/>
    <m/>
    <m/>
    <m/>
    <m/>
    <m/>
    <m/>
    <m/>
    <m/>
    <m/>
    <m/>
    <m/>
    <m/>
    <m/>
    <m/>
    <m/>
    <m/>
    <m/>
    <m/>
    <x v="0"/>
    <m/>
    <m/>
    <m/>
    <m/>
  </r>
  <r>
    <x v="0"/>
    <x v="1"/>
    <s v="6 P"/>
    <x v="19"/>
    <s v="سادہ لفافہ"/>
    <s v="PP"/>
    <n v="4"/>
    <s v="5.5-6"/>
    <n v="0"/>
    <s v="-"/>
    <s v="PP"/>
    <n v="4"/>
    <n v="78.8"/>
    <n v="2"/>
    <n v="12"/>
    <m/>
    <n v="76.8"/>
    <m/>
    <m/>
    <m/>
    <m/>
    <m/>
    <m/>
    <m/>
    <m/>
    <m/>
    <m/>
    <m/>
    <m/>
    <m/>
    <m/>
    <m/>
    <m/>
    <m/>
    <m/>
    <m/>
    <m/>
    <m/>
    <m/>
    <m/>
    <m/>
    <x v="0"/>
    <m/>
    <m/>
    <m/>
    <m/>
  </r>
  <r>
    <x v="0"/>
    <x v="1"/>
    <s v="4 P"/>
    <x v="19"/>
    <s v="سادہ لفافہ"/>
    <s v="PP"/>
    <n v="3"/>
    <s v="5.5-6"/>
    <n v="0"/>
    <s v="-"/>
    <s v="PP"/>
    <n v="4"/>
    <n v="47.73"/>
    <n v="0.4"/>
    <m/>
    <m/>
    <n v="47.33"/>
    <m/>
    <m/>
    <m/>
    <m/>
    <m/>
    <m/>
    <m/>
    <m/>
    <m/>
    <m/>
    <m/>
    <m/>
    <m/>
    <m/>
    <m/>
    <m/>
    <m/>
    <m/>
    <m/>
    <m/>
    <m/>
    <m/>
    <m/>
    <m/>
    <x v="0"/>
    <m/>
    <m/>
    <m/>
    <m/>
  </r>
  <r>
    <x v="1"/>
    <x v="1"/>
    <s v="4 P"/>
    <x v="19"/>
    <s v="سادہ لفافہ"/>
    <s v="PP"/>
    <n v="3"/>
    <s v="5.5-6"/>
    <n v="0"/>
    <s v="-"/>
    <s v="PP"/>
    <n v="9"/>
    <n v="117.13999999999999"/>
    <n v="2.6999999999999997"/>
    <n v="6"/>
    <m/>
    <n v="114.43999999999998"/>
    <m/>
    <m/>
    <m/>
    <m/>
    <m/>
    <m/>
    <m/>
    <m/>
    <m/>
    <m/>
    <m/>
    <m/>
    <m/>
    <m/>
    <m/>
    <m/>
    <m/>
    <m/>
    <m/>
    <m/>
    <m/>
    <m/>
    <m/>
    <m/>
    <x v="0"/>
    <m/>
    <m/>
    <m/>
    <m/>
  </r>
  <r>
    <x v="0"/>
    <x v="3"/>
    <s v="7007/1"/>
    <x v="19"/>
    <s v="لفافہ"/>
    <s v="PP"/>
    <n v="18"/>
    <n v="6"/>
    <n v="0"/>
    <n v="600"/>
    <s v="PP"/>
    <n v="2"/>
    <n v="99.9"/>
    <n v="4.4000000000000004"/>
    <n v="12"/>
    <m/>
    <n v="95.5"/>
    <m/>
    <m/>
    <m/>
    <m/>
    <m/>
    <m/>
    <m/>
    <m/>
    <m/>
    <m/>
    <m/>
    <m/>
    <m/>
    <m/>
    <m/>
    <m/>
    <m/>
    <m/>
    <m/>
    <m/>
    <m/>
    <m/>
    <m/>
    <m/>
    <x v="0"/>
    <m/>
    <m/>
    <m/>
    <m/>
  </r>
  <r>
    <x v="0"/>
    <x v="3"/>
    <s v="21 P"/>
    <x v="19"/>
    <s v="سادہ لفافہ"/>
    <s v="PP"/>
    <n v="18"/>
    <n v="5"/>
    <n v="0"/>
    <s v="-"/>
    <s v="PP"/>
    <n v="3"/>
    <n v="158.45999999999998"/>
    <n v="6.6000000000000005"/>
    <m/>
    <m/>
    <n v="151.85999999999999"/>
    <m/>
    <m/>
    <m/>
    <m/>
    <m/>
    <m/>
    <m/>
    <m/>
    <m/>
    <m/>
    <m/>
    <m/>
    <m/>
    <m/>
    <m/>
    <m/>
    <m/>
    <m/>
    <m/>
    <m/>
    <m/>
    <m/>
    <m/>
    <m/>
    <x v="0"/>
    <m/>
    <m/>
    <m/>
    <m/>
  </r>
  <r>
    <x v="0"/>
    <x v="3"/>
    <s v="25 P"/>
    <x v="19"/>
    <s v="سادہ لفافہ"/>
    <s v="PP"/>
    <n v="24"/>
    <n v="5"/>
    <n v="0"/>
    <s v="-"/>
    <s v="PP"/>
    <n v="7"/>
    <n v="397.97"/>
    <n v="21"/>
    <m/>
    <m/>
    <n v="376.97"/>
    <m/>
    <m/>
    <m/>
    <m/>
    <m/>
    <m/>
    <m/>
    <m/>
    <m/>
    <m/>
    <m/>
    <m/>
    <m/>
    <m/>
    <m/>
    <m/>
    <m/>
    <m/>
    <m/>
    <m/>
    <m/>
    <m/>
    <m/>
    <m/>
    <x v="0"/>
    <m/>
    <m/>
    <m/>
    <m/>
  </r>
  <r>
    <x v="1"/>
    <x v="3"/>
    <s v="25 P"/>
    <x v="19"/>
    <s v="سادہ لفافہ"/>
    <s v="PP"/>
    <n v="24"/>
    <n v="5"/>
    <n v="0"/>
    <s v="-"/>
    <s v="PP"/>
    <n v="11"/>
    <n v="617.80000000000007"/>
    <n v="33"/>
    <n v="6"/>
    <m/>
    <n v="584.80000000000007"/>
    <m/>
    <m/>
    <m/>
    <m/>
    <m/>
    <m/>
    <m/>
    <m/>
    <m/>
    <m/>
    <m/>
    <m/>
    <m/>
    <m/>
    <m/>
    <m/>
    <m/>
    <m/>
    <m/>
    <m/>
    <m/>
    <m/>
    <m/>
    <m/>
    <x v="0"/>
    <m/>
    <m/>
    <m/>
    <m/>
  </r>
  <r>
    <x v="0"/>
    <x v="4"/>
    <s v="12 P"/>
    <x v="19"/>
    <s v="سادہ لفافہ"/>
    <s v="PP"/>
    <n v="9"/>
    <n v="5"/>
    <n v="0"/>
    <s v="-"/>
    <s v="PP"/>
    <n v="10"/>
    <n v="404.92999999999995"/>
    <n v="11"/>
    <n v="10"/>
    <m/>
    <n v="393.92999999999995"/>
    <m/>
    <m/>
    <m/>
    <m/>
    <m/>
    <m/>
    <m/>
    <m/>
    <m/>
    <m/>
    <m/>
    <m/>
    <m/>
    <m/>
    <m/>
    <m/>
    <m/>
    <m/>
    <m/>
    <m/>
    <m/>
    <m/>
    <m/>
    <m/>
    <x v="0"/>
    <m/>
    <m/>
    <m/>
    <m/>
  </r>
  <r>
    <x v="1"/>
    <x v="4"/>
    <s v="12 P"/>
    <x v="19"/>
    <s v="سادہ لفافہ"/>
    <s v="PP"/>
    <n v="9"/>
    <n v="5"/>
    <n v="0"/>
    <s v="-"/>
    <s v="PP"/>
    <n v="3"/>
    <n v="132.37"/>
    <n v="3.5999999999999996"/>
    <n v="7"/>
    <m/>
    <n v="128.77000000000001"/>
    <m/>
    <m/>
    <m/>
    <m/>
    <m/>
    <m/>
    <m/>
    <m/>
    <m/>
    <m/>
    <m/>
    <m/>
    <m/>
    <m/>
    <m/>
    <m/>
    <m/>
    <m/>
    <m/>
    <m/>
    <m/>
    <m/>
    <m/>
    <m/>
    <x v="0"/>
    <m/>
    <m/>
    <m/>
    <m/>
  </r>
  <r>
    <x v="1"/>
    <x v="4"/>
    <s v="11 P"/>
    <x v="19"/>
    <s v="سادہ لفافہ"/>
    <s v="PP"/>
    <n v="8"/>
    <n v="5"/>
    <n v="0"/>
    <s v="-"/>
    <s v="PP"/>
    <n v="6"/>
    <n v="158.39000000000001"/>
    <n v="6.6000000000000005"/>
    <m/>
    <m/>
    <n v="151.79000000000002"/>
    <m/>
    <m/>
    <m/>
    <m/>
    <m/>
    <m/>
    <m/>
    <m/>
    <m/>
    <m/>
    <m/>
    <m/>
    <m/>
    <m/>
    <m/>
    <m/>
    <m/>
    <m/>
    <m/>
    <m/>
    <m/>
    <m/>
    <m/>
    <m/>
    <x v="0"/>
    <m/>
    <m/>
    <m/>
    <m/>
  </r>
  <r>
    <x v="1"/>
    <x v="4"/>
    <s v="10 P"/>
    <x v="19"/>
    <s v="سادہ لفافہ"/>
    <s v="PP"/>
    <n v="7"/>
    <n v="5"/>
    <n v="0"/>
    <s v="-"/>
    <s v="PP"/>
    <n v="2"/>
    <n v="65.73"/>
    <n v="1.8"/>
    <m/>
    <m/>
    <n v="63.930000000000007"/>
    <m/>
    <m/>
    <m/>
    <m/>
    <m/>
    <m/>
    <m/>
    <m/>
    <m/>
    <m/>
    <m/>
    <m/>
    <m/>
    <m/>
    <m/>
    <m/>
    <m/>
    <m/>
    <m/>
    <m/>
    <m/>
    <m/>
    <m/>
    <m/>
    <x v="0"/>
    <m/>
    <m/>
    <m/>
    <m/>
  </r>
  <r>
    <x v="0"/>
    <x v="0"/>
    <s v="6 P"/>
    <x v="20"/>
    <s v="سادہ لفافہ"/>
    <s v="PP"/>
    <n v="4"/>
    <s v="5.5-6"/>
    <n v="0"/>
    <s v="-"/>
    <s v="PP"/>
    <n v="9"/>
    <n v="121.3"/>
    <n v="3.6"/>
    <n v="28"/>
    <m/>
    <n v="117.7"/>
    <m/>
    <m/>
    <m/>
    <m/>
    <m/>
    <m/>
    <m/>
    <m/>
    <m/>
    <m/>
    <m/>
    <m/>
    <m/>
    <m/>
    <m/>
    <m/>
    <m/>
    <m/>
    <m/>
    <m/>
    <m/>
    <m/>
    <m/>
    <m/>
    <x v="0"/>
    <m/>
    <m/>
    <m/>
    <m/>
  </r>
  <r>
    <x v="1"/>
    <x v="0"/>
    <s v="6 P"/>
    <x v="20"/>
    <s v="سادہ لفافہ"/>
    <s v="PP"/>
    <n v="4"/>
    <s v="5.5-6"/>
    <n v="0"/>
    <s v="-"/>
    <s v="PP"/>
    <n v="6"/>
    <n v="127.3"/>
    <n v="2.4000000000000004"/>
    <n v="15"/>
    <m/>
    <n v="124.89999999999999"/>
    <m/>
    <m/>
    <m/>
    <m/>
    <m/>
    <m/>
    <m/>
    <m/>
    <m/>
    <m/>
    <m/>
    <m/>
    <m/>
    <m/>
    <m/>
    <m/>
    <m/>
    <m/>
    <m/>
    <m/>
    <m/>
    <m/>
    <m/>
    <m/>
    <x v="0"/>
    <m/>
    <m/>
    <m/>
    <m/>
  </r>
  <r>
    <x v="0"/>
    <x v="1"/>
    <s v="4 P"/>
    <x v="20"/>
    <s v="سادہ لفافہ"/>
    <s v="PP"/>
    <n v="3"/>
    <s v="5.5-6"/>
    <n v="0"/>
    <s v="-"/>
    <s v="PP"/>
    <n v="9"/>
    <n v="98.100000000000009"/>
    <n v="2.6999999999999997"/>
    <m/>
    <m/>
    <n v="95.4"/>
    <m/>
    <m/>
    <m/>
    <m/>
    <m/>
    <m/>
    <m/>
    <m/>
    <m/>
    <m/>
    <m/>
    <m/>
    <m/>
    <m/>
    <m/>
    <m/>
    <m/>
    <m/>
    <m/>
    <m/>
    <m/>
    <m/>
    <m/>
    <m/>
    <x v="0"/>
    <m/>
    <m/>
    <m/>
    <m/>
  </r>
  <r>
    <x v="1"/>
    <x v="1"/>
    <s v="4 P"/>
    <x v="20"/>
    <s v="سادہ لفافہ"/>
    <s v="PP"/>
    <n v="3"/>
    <s v="5.5-6"/>
    <n v="0"/>
    <s v="-"/>
    <s v="PP"/>
    <n v="6"/>
    <n v="73.890000000000015"/>
    <n v="1.7999999999999998"/>
    <m/>
    <m/>
    <n v="72.090000000000018"/>
    <m/>
    <m/>
    <m/>
    <m/>
    <m/>
    <m/>
    <m/>
    <m/>
    <m/>
    <m/>
    <m/>
    <m/>
    <m/>
    <m/>
    <m/>
    <m/>
    <m/>
    <m/>
    <m/>
    <m/>
    <m/>
    <m/>
    <m/>
    <m/>
    <x v="0"/>
    <m/>
    <m/>
    <m/>
    <m/>
  </r>
  <r>
    <x v="0"/>
    <x v="3"/>
    <s v="17 P"/>
    <x v="20"/>
    <s v="سادہ لفافہ"/>
    <s v="PP"/>
    <n v="14"/>
    <n v="5"/>
    <n v="0"/>
    <s v="-"/>
    <s v="PP"/>
    <n v="14"/>
    <n v="518.32999999999993"/>
    <n v="19.18"/>
    <m/>
    <m/>
    <n v="499.14999999999992"/>
    <m/>
    <m/>
    <m/>
    <m/>
    <m/>
    <m/>
    <m/>
    <m/>
    <m/>
    <m/>
    <m/>
    <m/>
    <m/>
    <m/>
    <m/>
    <m/>
    <m/>
    <m/>
    <m/>
    <m/>
    <m/>
    <m/>
    <m/>
    <m/>
    <x v="0"/>
    <m/>
    <m/>
    <m/>
    <m/>
  </r>
  <r>
    <x v="1"/>
    <x v="3"/>
    <s v="17 P"/>
    <x v="20"/>
    <s v="سادہ لفافہ"/>
    <s v="PP"/>
    <n v="14"/>
    <n v="5"/>
    <n v="0"/>
    <s v="-"/>
    <s v="PP"/>
    <n v="2"/>
    <n v="66.5"/>
    <n v="3.6"/>
    <m/>
    <m/>
    <n v="62.9"/>
    <m/>
    <m/>
    <m/>
    <m/>
    <m/>
    <m/>
    <m/>
    <m/>
    <m/>
    <m/>
    <m/>
    <m/>
    <m/>
    <m/>
    <m/>
    <m/>
    <m/>
    <m/>
    <m/>
    <m/>
    <m/>
    <m/>
    <m/>
    <m/>
    <x v="0"/>
    <m/>
    <m/>
    <m/>
    <m/>
  </r>
  <r>
    <x v="1"/>
    <x v="3"/>
    <s v="2925 J"/>
    <x v="20"/>
    <s v="رائل رسک"/>
    <s v="PP"/>
    <n v="22"/>
    <s v="6-6.5"/>
    <s v=".1:1"/>
    <n v="100"/>
    <s v="PP"/>
    <n v="3"/>
    <n v="115.22999999999999"/>
    <n v="8.1000000000000014"/>
    <m/>
    <m/>
    <n v="107.13"/>
    <m/>
    <m/>
    <m/>
    <m/>
    <m/>
    <m/>
    <m/>
    <m/>
    <m/>
    <m/>
    <m/>
    <m/>
    <m/>
    <m/>
    <m/>
    <m/>
    <m/>
    <m/>
    <m/>
    <m/>
    <m/>
    <m/>
    <m/>
    <m/>
    <x v="0"/>
    <m/>
    <m/>
    <m/>
    <m/>
  </r>
  <r>
    <x v="1"/>
    <x v="3"/>
    <s v="2626 J"/>
    <x v="20"/>
    <s v="سادہ رول جیلانی پولی سٹاک"/>
    <s v="PP"/>
    <n v="22"/>
    <s v="5-5.5"/>
    <s v=".1:1"/>
    <n v="500"/>
    <s v="PP"/>
    <n v="6"/>
    <n v="321.21999999999997"/>
    <n v="16.799999999999997"/>
    <m/>
    <m/>
    <n v="304.41999999999996"/>
    <m/>
    <m/>
    <m/>
    <m/>
    <m/>
    <m/>
    <m/>
    <m/>
    <m/>
    <m/>
    <m/>
    <m/>
    <m/>
    <m/>
    <m/>
    <m/>
    <m/>
    <m/>
    <m/>
    <m/>
    <m/>
    <m/>
    <m/>
    <m/>
    <x v="0"/>
    <m/>
    <m/>
    <m/>
    <m/>
  </r>
  <r>
    <x v="0"/>
    <x v="4"/>
    <s v="7007/2"/>
    <x v="20"/>
    <s v="لفافہ"/>
    <s v="PP"/>
    <n v="7"/>
    <n v="15"/>
    <n v="0"/>
    <n v="450"/>
    <s v="PP"/>
    <n v="15"/>
    <n v="343.78000000000003"/>
    <n v="13.5"/>
    <m/>
    <m/>
    <n v="330.28000000000003"/>
    <m/>
    <m/>
    <m/>
    <m/>
    <m/>
    <m/>
    <m/>
    <m/>
    <m/>
    <m/>
    <m/>
    <m/>
    <m/>
    <m/>
    <m/>
    <m/>
    <m/>
    <m/>
    <m/>
    <m/>
    <m/>
    <m/>
    <m/>
    <m/>
    <x v="0"/>
    <m/>
    <m/>
    <m/>
    <m/>
  </r>
  <r>
    <x v="1"/>
    <x v="4"/>
    <s v="12 P"/>
    <x v="20"/>
    <s v="سادہ لفافہ"/>
    <s v="PP"/>
    <n v="9"/>
    <n v="5"/>
    <n v="0"/>
    <s v="-"/>
    <s v="PP"/>
    <n v="7"/>
    <n v="305.90000000000003"/>
    <n v="8.4"/>
    <m/>
    <m/>
    <n v="297.50000000000006"/>
    <m/>
    <m/>
    <m/>
    <m/>
    <m/>
    <m/>
    <m/>
    <m/>
    <m/>
    <m/>
    <m/>
    <m/>
    <m/>
    <m/>
    <m/>
    <m/>
    <m/>
    <m/>
    <m/>
    <m/>
    <m/>
    <m/>
    <m/>
    <m/>
    <x v="0"/>
    <m/>
    <m/>
    <m/>
    <m/>
  </r>
  <r>
    <x v="0"/>
    <x v="0"/>
    <s v="6 P"/>
    <x v="21"/>
    <s v="سادہ لفافہ"/>
    <s v="PP"/>
    <n v="4"/>
    <s v="5.5-6"/>
    <n v="0"/>
    <s v="-"/>
    <s v="PP"/>
    <n v="4"/>
    <n v="86.509999999999991"/>
    <n v="1.6"/>
    <n v="33"/>
    <m/>
    <n v="84.91"/>
    <m/>
    <m/>
    <m/>
    <m/>
    <m/>
    <m/>
    <m/>
    <m/>
    <m/>
    <m/>
    <m/>
    <m/>
    <m/>
    <m/>
    <m/>
    <m/>
    <m/>
    <m/>
    <m/>
    <m/>
    <m/>
    <m/>
    <m/>
    <m/>
    <x v="0"/>
    <m/>
    <m/>
    <m/>
    <m/>
  </r>
  <r>
    <x v="1"/>
    <x v="0"/>
    <s v="6 P"/>
    <x v="21"/>
    <s v="سادہ لفافہ"/>
    <s v="PP"/>
    <n v="4"/>
    <s v="5.5-6"/>
    <n v="0"/>
    <s v="-"/>
    <s v="PP"/>
    <n v="3"/>
    <n v="68"/>
    <n v="1.2000000000000002"/>
    <n v="46"/>
    <m/>
    <n v="66.8"/>
    <m/>
    <m/>
    <m/>
    <m/>
    <m/>
    <m/>
    <m/>
    <m/>
    <m/>
    <m/>
    <m/>
    <m/>
    <m/>
    <m/>
    <m/>
    <m/>
    <m/>
    <m/>
    <m/>
    <m/>
    <m/>
    <m/>
    <m/>
    <m/>
    <x v="0"/>
    <m/>
    <m/>
    <m/>
    <m/>
  </r>
  <r>
    <x v="1"/>
    <x v="0"/>
    <s v="6 P"/>
    <x v="21"/>
    <s v="سادہ لفافہ"/>
    <s v="PP"/>
    <n v="4"/>
    <s v="5.5-6"/>
    <n v="0"/>
    <s v="-"/>
    <s v="PP"/>
    <n v="5"/>
    <n v="77.7"/>
    <n v="2"/>
    <m/>
    <m/>
    <n v="75.7"/>
    <m/>
    <m/>
    <m/>
    <m/>
    <m/>
    <m/>
    <m/>
    <m/>
    <m/>
    <m/>
    <m/>
    <m/>
    <m/>
    <m/>
    <m/>
    <m/>
    <m/>
    <m/>
    <m/>
    <m/>
    <m/>
    <m/>
    <m/>
    <m/>
    <x v="0"/>
    <m/>
    <m/>
    <m/>
    <m/>
  </r>
  <r>
    <x v="0"/>
    <x v="1"/>
    <s v="4 P"/>
    <x v="21"/>
    <s v="سادہ لفافہ"/>
    <s v="PP"/>
    <n v="3"/>
    <s v="5.5-6"/>
    <n v="0"/>
    <s v="-"/>
    <s v="PP"/>
    <n v="8"/>
    <n v="97.22"/>
    <n v="2.4"/>
    <m/>
    <m/>
    <n v="94.82"/>
    <m/>
    <m/>
    <m/>
    <m/>
    <m/>
    <m/>
    <m/>
    <m/>
    <m/>
    <m/>
    <m/>
    <m/>
    <m/>
    <m/>
    <m/>
    <m/>
    <m/>
    <m/>
    <m/>
    <m/>
    <m/>
    <m/>
    <m/>
    <m/>
    <x v="0"/>
    <m/>
    <m/>
    <m/>
    <m/>
  </r>
  <r>
    <x v="1"/>
    <x v="1"/>
    <s v="4 P"/>
    <x v="21"/>
    <s v="سادہ لفافہ"/>
    <s v="PP"/>
    <n v="3"/>
    <s v="5.5-6"/>
    <n v="0"/>
    <s v="-"/>
    <s v="PP"/>
    <n v="10"/>
    <n v="123.12"/>
    <n v="3"/>
    <m/>
    <m/>
    <n v="120.12"/>
    <m/>
    <m/>
    <m/>
    <m/>
    <m/>
    <m/>
    <m/>
    <m/>
    <m/>
    <m/>
    <m/>
    <m/>
    <m/>
    <m/>
    <m/>
    <m/>
    <m/>
    <m/>
    <m/>
    <m/>
    <m/>
    <m/>
    <m/>
    <m/>
    <x v="0"/>
    <m/>
    <m/>
    <m/>
    <m/>
  </r>
  <r>
    <x v="0"/>
    <x v="3"/>
    <s v="1707 F"/>
    <x v="21"/>
    <s v="وارننگ LEVIES"/>
    <s v="PP"/>
    <n v="16.2"/>
    <s v="-"/>
    <s v="پیور"/>
    <n v="2000"/>
    <s v="PP"/>
    <n v="7"/>
    <n v="300.52999999999997"/>
    <n v="11.700000000000001"/>
    <m/>
    <m/>
    <n v="288.83"/>
    <m/>
    <m/>
    <m/>
    <m/>
    <m/>
    <m/>
    <m/>
    <m/>
    <m/>
    <m/>
    <m/>
    <m/>
    <m/>
    <m/>
    <m/>
    <m/>
    <m/>
    <m/>
    <m/>
    <m/>
    <m/>
    <m/>
    <m/>
    <m/>
    <x v="0"/>
    <m/>
    <m/>
    <m/>
    <m/>
  </r>
  <r>
    <x v="0"/>
    <x v="3"/>
    <s v="19 P"/>
    <x v="21"/>
    <s v="سادہ لفافہ"/>
    <s v="PP"/>
    <n v="16"/>
    <n v="5"/>
    <n v="0"/>
    <s v="-"/>
    <s v="PP"/>
    <n v="5"/>
    <n v="213.95"/>
    <n v="9.4"/>
    <m/>
    <m/>
    <n v="204.54999999999998"/>
    <m/>
    <m/>
    <m/>
    <m/>
    <m/>
    <m/>
    <m/>
    <m/>
    <m/>
    <m/>
    <m/>
    <m/>
    <m/>
    <m/>
    <m/>
    <m/>
    <m/>
    <m/>
    <m/>
    <m/>
    <m/>
    <m/>
    <m/>
    <m/>
    <x v="0"/>
    <m/>
    <m/>
    <m/>
    <m/>
  </r>
  <r>
    <x v="1"/>
    <x v="3"/>
    <s v="1707 F"/>
    <x v="21"/>
    <s v="وارننگ LEVIES"/>
    <s v="PP"/>
    <n v="16.2"/>
    <s v="-"/>
    <s v="پیور"/>
    <n v="2000"/>
    <s v="PP"/>
    <n v="6"/>
    <n v="244.59999999999997"/>
    <n v="11.399999999999999"/>
    <m/>
    <m/>
    <n v="233.19999999999996"/>
    <m/>
    <m/>
    <m/>
    <m/>
    <m/>
    <m/>
    <m/>
    <m/>
    <m/>
    <m/>
    <m/>
    <m/>
    <m/>
    <m/>
    <m/>
    <m/>
    <m/>
    <m/>
    <m/>
    <m/>
    <m/>
    <m/>
    <m/>
    <m/>
    <x v="0"/>
    <m/>
    <m/>
    <m/>
    <m/>
  </r>
  <r>
    <x v="1"/>
    <x v="3"/>
    <s v="25 P"/>
    <x v="21"/>
    <s v="سادہ لفافہ"/>
    <s v="PP"/>
    <n v="24"/>
    <n v="5"/>
    <n v="0"/>
    <s v="-"/>
    <s v="PP"/>
    <n v="5"/>
    <n v="299.5"/>
    <n v="14"/>
    <m/>
    <m/>
    <n v="285.5"/>
    <m/>
    <m/>
    <m/>
    <m/>
    <m/>
    <m/>
    <m/>
    <m/>
    <m/>
    <m/>
    <m/>
    <m/>
    <m/>
    <m/>
    <m/>
    <m/>
    <m/>
    <m/>
    <m/>
    <m/>
    <m/>
    <m/>
    <m/>
    <m/>
    <x v="0"/>
    <m/>
    <m/>
    <m/>
    <m/>
  </r>
  <r>
    <x v="0"/>
    <x v="4"/>
    <s v="12 P"/>
    <x v="21"/>
    <s v="سادہ لفافہ"/>
    <s v="PP"/>
    <n v="9"/>
    <n v="5"/>
    <n v="0"/>
    <s v="-"/>
    <s v="PP"/>
    <n v="5"/>
    <n v="220.9"/>
    <n v="6.1"/>
    <m/>
    <m/>
    <n v="214.8"/>
    <m/>
    <m/>
    <m/>
    <m/>
    <m/>
    <m/>
    <m/>
    <m/>
    <m/>
    <m/>
    <m/>
    <m/>
    <m/>
    <m/>
    <m/>
    <m/>
    <m/>
    <m/>
    <m/>
    <m/>
    <m/>
    <m/>
    <m/>
    <m/>
    <x v="0"/>
    <m/>
    <m/>
    <m/>
    <m/>
  </r>
  <r>
    <x v="1"/>
    <x v="4"/>
    <s v="12 P"/>
    <x v="21"/>
    <s v="سادہ لفافہ"/>
    <s v="PP"/>
    <n v="9"/>
    <n v="5"/>
    <n v="0"/>
    <s v="-"/>
    <s v="PP"/>
    <n v="5"/>
    <n v="201.15000000000003"/>
    <n v="6.1000000000000005"/>
    <m/>
    <m/>
    <n v="195.05000000000004"/>
    <m/>
    <m/>
    <m/>
    <m/>
    <m/>
    <m/>
    <m/>
    <m/>
    <m/>
    <m/>
    <m/>
    <m/>
    <m/>
    <m/>
    <m/>
    <m/>
    <m/>
    <m/>
    <m/>
    <m/>
    <m/>
    <m/>
    <m/>
    <m/>
    <x v="0"/>
    <m/>
    <m/>
    <m/>
    <m/>
  </r>
  <r>
    <x v="0"/>
    <x v="0"/>
    <s v="6 P"/>
    <x v="22"/>
    <s v="جیلانی پولی سٹاک"/>
    <s v="PP"/>
    <n v="4"/>
    <s v="5.5-6"/>
    <n v="0"/>
    <s v="-"/>
    <s v="PP"/>
    <n v="9"/>
    <n v="163.48999999999998"/>
    <n v="3.6"/>
    <n v="26"/>
    <m/>
    <n v="159.88999999999999"/>
    <m/>
    <m/>
    <m/>
    <m/>
    <m/>
    <m/>
    <m/>
    <m/>
    <m/>
    <m/>
    <m/>
    <m/>
    <m/>
    <m/>
    <m/>
    <m/>
    <m/>
    <m/>
    <m/>
    <m/>
    <m/>
    <m/>
    <m/>
    <m/>
    <x v="0"/>
    <m/>
    <m/>
    <m/>
    <m/>
  </r>
  <r>
    <x v="1"/>
    <x v="0"/>
    <s v="6 P"/>
    <x v="22"/>
    <s v="جیلانی پولی سٹاک"/>
    <s v="PP"/>
    <n v="4"/>
    <s v="5.5-6"/>
    <n v="0"/>
    <s v="-"/>
    <s v="PP"/>
    <n v="11"/>
    <n v="172.20000000000002"/>
    <n v="4.4000000000000004"/>
    <n v="41"/>
    <m/>
    <n v="167.8"/>
    <m/>
    <m/>
    <m/>
    <m/>
    <m/>
    <m/>
    <m/>
    <m/>
    <m/>
    <m/>
    <m/>
    <m/>
    <m/>
    <m/>
    <m/>
    <m/>
    <m/>
    <m/>
    <m/>
    <m/>
    <m/>
    <m/>
    <m/>
    <m/>
    <x v="0"/>
    <m/>
    <m/>
    <m/>
    <m/>
  </r>
  <r>
    <x v="0"/>
    <x v="1"/>
    <s v="4 P"/>
    <x v="22"/>
    <s v="جیلانی پولی سٹاک"/>
    <s v="PP"/>
    <n v="3"/>
    <s v="5.5-6"/>
    <n v="0"/>
    <s v="-"/>
    <s v="PP"/>
    <n v="3"/>
    <n v="39.450000000000003"/>
    <n v="0.89999999999999991"/>
    <m/>
    <m/>
    <n v="38.550000000000004"/>
    <m/>
    <m/>
    <m/>
    <m/>
    <m/>
    <m/>
    <m/>
    <m/>
    <m/>
    <m/>
    <m/>
    <m/>
    <m/>
    <m/>
    <m/>
    <m/>
    <m/>
    <m/>
    <m/>
    <m/>
    <m/>
    <m/>
    <m/>
    <m/>
    <x v="0"/>
    <m/>
    <m/>
    <m/>
    <m/>
  </r>
  <r>
    <x v="0"/>
    <x v="1"/>
    <s v="3 P"/>
    <x v="22"/>
    <s v="جیلانی پولی سٹاک"/>
    <s v="PP"/>
    <n v="2.5"/>
    <s v="5.5-6"/>
    <n v="0"/>
    <s v="-"/>
    <s v="PP"/>
    <n v="6"/>
    <n v="64.179999999999993"/>
    <n v="1.5"/>
    <m/>
    <m/>
    <n v="62.679999999999993"/>
    <m/>
    <m/>
    <m/>
    <m/>
    <m/>
    <m/>
    <m/>
    <m/>
    <m/>
    <m/>
    <m/>
    <m/>
    <m/>
    <m/>
    <m/>
    <m/>
    <m/>
    <m/>
    <m/>
    <m/>
    <m/>
    <m/>
    <m/>
    <m/>
    <x v="0"/>
    <m/>
    <m/>
    <m/>
    <m/>
  </r>
  <r>
    <x v="1"/>
    <x v="1"/>
    <s v="3 P"/>
    <x v="22"/>
    <s v="جیلانی پولی سٹاک"/>
    <s v="PP"/>
    <n v="2.5"/>
    <s v="5.5-6"/>
    <n v="0"/>
    <s v="-"/>
    <s v="PP"/>
    <n v="12"/>
    <n v="107.75"/>
    <n v="3"/>
    <m/>
    <m/>
    <n v="104.75"/>
    <m/>
    <m/>
    <m/>
    <m/>
    <m/>
    <m/>
    <m/>
    <m/>
    <m/>
    <m/>
    <m/>
    <m/>
    <m/>
    <m/>
    <m/>
    <m/>
    <m/>
    <m/>
    <m/>
    <m/>
    <m/>
    <m/>
    <m/>
    <m/>
    <x v="0"/>
    <m/>
    <m/>
    <m/>
    <m/>
  </r>
  <r>
    <x v="0"/>
    <x v="3"/>
    <s v="3003 J"/>
    <x v="22"/>
    <s v="بندوخاں لاہور"/>
    <s v="PP"/>
    <s v="22&quot; شیٹ"/>
    <s v="4-4.5/8-9"/>
    <s v=".1:1"/>
    <n v="200"/>
    <s v="PP"/>
    <n v="3"/>
    <n v="157.11000000000001"/>
    <n v="8.3000000000000007"/>
    <m/>
    <m/>
    <n v="148.81"/>
    <m/>
    <m/>
    <m/>
    <m/>
    <m/>
    <m/>
    <m/>
    <m/>
    <m/>
    <m/>
    <m/>
    <m/>
    <m/>
    <m/>
    <m/>
    <m/>
    <m/>
    <m/>
    <m/>
    <m/>
    <m/>
    <m/>
    <m/>
    <m/>
    <x v="0"/>
    <m/>
    <m/>
    <m/>
    <m/>
  </r>
  <r>
    <x v="0"/>
    <x v="3"/>
    <s v="3006 J"/>
    <x v="22"/>
    <s v="بندوخاں لاہور"/>
    <s v="PP"/>
    <s v="18&quot; شیٹ"/>
    <s v="4-4.5/8-9"/>
    <s v=".1:1"/>
    <n v="200"/>
    <s v="PP"/>
    <n v="6"/>
    <n v="190.53"/>
    <n v="10.8"/>
    <m/>
    <m/>
    <n v="179.73"/>
    <m/>
    <m/>
    <m/>
    <m/>
    <m/>
    <m/>
    <m/>
    <m/>
    <m/>
    <m/>
    <m/>
    <m/>
    <m/>
    <m/>
    <m/>
    <m/>
    <m/>
    <m/>
    <m/>
    <m/>
    <m/>
    <m/>
    <m/>
    <m/>
    <x v="0"/>
    <m/>
    <m/>
    <m/>
    <m/>
  </r>
  <r>
    <x v="0"/>
    <x v="3"/>
    <s v="3005 J"/>
    <x v="22"/>
    <s v="بندوخاں لاہور"/>
    <s v="PP"/>
    <s v="28&quot; شیٹ"/>
    <s v="4-4.5/8-9"/>
    <s v=".1:1"/>
    <n v="100"/>
    <s v="PP"/>
    <n v="5"/>
    <n v="221.48"/>
    <n v="18"/>
    <m/>
    <m/>
    <n v="203.48"/>
    <m/>
    <m/>
    <m/>
    <m/>
    <m/>
    <m/>
    <m/>
    <m/>
    <m/>
    <m/>
    <m/>
    <m/>
    <m/>
    <m/>
    <m/>
    <m/>
    <m/>
    <m/>
    <m/>
    <m/>
    <m/>
    <m/>
    <m/>
    <m/>
    <x v="0"/>
    <m/>
    <m/>
    <m/>
    <m/>
  </r>
  <r>
    <x v="0"/>
    <x v="3"/>
    <s v="7022/2"/>
    <x v="22"/>
    <s v="العمر پلاسٹک گوجرانوالہ"/>
    <s v="PP"/>
    <n v="18"/>
    <n v="6"/>
    <n v="0"/>
    <n v="150"/>
    <s v="PP"/>
    <n v="1"/>
    <n v="49.64"/>
    <n v="2.2000000000000002"/>
    <m/>
    <m/>
    <n v="47.44"/>
    <m/>
    <m/>
    <m/>
    <m/>
    <m/>
    <m/>
    <m/>
    <m/>
    <m/>
    <m/>
    <m/>
    <m/>
    <m/>
    <m/>
    <m/>
    <m/>
    <m/>
    <m/>
    <m/>
    <m/>
    <m/>
    <m/>
    <m/>
    <m/>
    <x v="0"/>
    <m/>
    <m/>
    <m/>
    <m/>
  </r>
  <r>
    <x v="1"/>
    <x v="3"/>
    <s v="7022/2"/>
    <x v="22"/>
    <s v="العمر پلاسٹک گوجرانوالہ"/>
    <s v="PP"/>
    <n v="18"/>
    <n v="6"/>
    <n v="0"/>
    <n v="150"/>
    <s v="PP"/>
    <n v="4"/>
    <n v="126.66"/>
    <n v="8.8000000000000007"/>
    <m/>
    <m/>
    <n v="117.86"/>
    <m/>
    <m/>
    <m/>
    <m/>
    <m/>
    <m/>
    <m/>
    <m/>
    <m/>
    <m/>
    <m/>
    <m/>
    <m/>
    <m/>
    <m/>
    <m/>
    <m/>
    <m/>
    <m/>
    <m/>
    <m/>
    <m/>
    <m/>
    <m/>
    <x v="0"/>
    <m/>
    <m/>
    <m/>
    <m/>
  </r>
  <r>
    <x v="1"/>
    <x v="3"/>
    <s v="7022/1"/>
    <x v="22"/>
    <s v="العمر پلاسٹک گوجرانوالہ"/>
    <s v="PP"/>
    <n v="14"/>
    <n v="6"/>
    <n v="0"/>
    <n v="150"/>
    <s v="PP"/>
    <n v="6"/>
    <n v="160.19999999999999"/>
    <n v="11.399999999999999"/>
    <m/>
    <m/>
    <n v="148.79999999999998"/>
    <m/>
    <m/>
    <m/>
    <m/>
    <m/>
    <m/>
    <m/>
    <m/>
    <m/>
    <m/>
    <m/>
    <m/>
    <m/>
    <m/>
    <m/>
    <m/>
    <m/>
    <m/>
    <m/>
    <m/>
    <m/>
    <m/>
    <m/>
    <m/>
    <x v="0"/>
    <m/>
    <m/>
    <m/>
    <m/>
  </r>
  <r>
    <x v="1"/>
    <x v="3"/>
    <s v="7020/5"/>
    <x v="22"/>
    <s v="آصف پلاسٹک سرگودھا"/>
    <s v="PP"/>
    <n v="14"/>
    <s v="4.5-5"/>
    <n v="0"/>
    <n v="100"/>
    <s v="PP"/>
    <n v="4"/>
    <n v="103.25999999999999"/>
    <n v="7.6"/>
    <m/>
    <m/>
    <n v="95.66"/>
    <m/>
    <m/>
    <m/>
    <m/>
    <m/>
    <m/>
    <m/>
    <m/>
    <m/>
    <m/>
    <m/>
    <m/>
    <m/>
    <m/>
    <m/>
    <m/>
    <m/>
    <m/>
    <m/>
    <m/>
    <m/>
    <m/>
    <m/>
    <m/>
    <x v="0"/>
    <m/>
    <m/>
    <m/>
    <m/>
  </r>
  <r>
    <x v="1"/>
    <x v="3"/>
    <s v="3003 J"/>
    <x v="22"/>
    <s v="بندوخاں لاہور"/>
    <s v="PP"/>
    <s v="22&quot; شیٹ"/>
    <s v="4-4.5/8-9"/>
    <s v=".1:1"/>
    <n v="200"/>
    <s v="PP"/>
    <n v="2"/>
    <n v="58.5"/>
    <n v="5.2"/>
    <m/>
    <m/>
    <n v="53.3"/>
    <m/>
    <m/>
    <m/>
    <m/>
    <m/>
    <m/>
    <m/>
    <m/>
    <m/>
    <m/>
    <m/>
    <m/>
    <m/>
    <m/>
    <m/>
    <m/>
    <m/>
    <m/>
    <m/>
    <m/>
    <m/>
    <m/>
    <m/>
    <m/>
    <x v="0"/>
    <m/>
    <m/>
    <m/>
    <m/>
  </r>
  <r>
    <x v="0"/>
    <x v="4"/>
    <s v="12 P"/>
    <x v="22"/>
    <s v="جیلانی پولی سٹاک"/>
    <s v="PP"/>
    <n v="9"/>
    <n v="5"/>
    <n v="0"/>
    <s v="-"/>
    <s v="PP"/>
    <n v="8"/>
    <n v="348.52"/>
    <n v="9.6"/>
    <m/>
    <m/>
    <n v="338.91999999999996"/>
    <m/>
    <m/>
    <m/>
    <m/>
    <m/>
    <m/>
    <m/>
    <m/>
    <m/>
    <m/>
    <m/>
    <m/>
    <m/>
    <m/>
    <m/>
    <m/>
    <m/>
    <m/>
    <m/>
    <m/>
    <m/>
    <m/>
    <m/>
    <m/>
    <x v="0"/>
    <m/>
    <m/>
    <m/>
    <m/>
  </r>
  <r>
    <x v="0"/>
    <x v="4"/>
    <s v="7020/1"/>
    <x v="22"/>
    <s v="آصف پلاسٹک سرگودھا"/>
    <s v="PP"/>
    <n v="9"/>
    <s v="4.5-5"/>
    <n v="0"/>
    <n v="100"/>
    <s v="PP"/>
    <n v="3"/>
    <n v="140.1"/>
    <n v="3.7"/>
    <m/>
    <m/>
    <n v="136.4"/>
    <m/>
    <m/>
    <m/>
    <m/>
    <m/>
    <m/>
    <m/>
    <m/>
    <m/>
    <m/>
    <m/>
    <m/>
    <m/>
    <m/>
    <m/>
    <m/>
    <m/>
    <m/>
    <m/>
    <m/>
    <m/>
    <m/>
    <m/>
    <m/>
    <x v="0"/>
    <m/>
    <m/>
    <m/>
    <m/>
  </r>
  <r>
    <x v="1"/>
    <x v="4"/>
    <s v="7020/1"/>
    <x v="22"/>
    <s v="آصف پلاسٹک سرگودھا"/>
    <s v="PP"/>
    <n v="9"/>
    <s v="4.5-5"/>
    <n v="0"/>
    <n v="100"/>
    <s v="PP"/>
    <n v="7"/>
    <n v="285.62"/>
    <n v="8.4"/>
    <m/>
    <m/>
    <n v="277.22000000000003"/>
    <m/>
    <m/>
    <m/>
    <m/>
    <m/>
    <m/>
    <m/>
    <m/>
    <m/>
    <m/>
    <m/>
    <m/>
    <m/>
    <m/>
    <m/>
    <m/>
    <m/>
    <m/>
    <m/>
    <m/>
    <m/>
    <m/>
    <m/>
    <m/>
    <x v="0"/>
    <m/>
    <m/>
    <m/>
    <m/>
  </r>
  <r>
    <x v="1"/>
    <x v="4"/>
    <s v="9 P"/>
    <x v="22"/>
    <s v="جیلانی پولی سٹاک"/>
    <s v="PP"/>
    <n v="6"/>
    <n v="5"/>
    <n v="0"/>
    <s v="-"/>
    <s v="PP"/>
    <n v="4"/>
    <n v="88.42"/>
    <n v="3.2"/>
    <m/>
    <m/>
    <n v="85.22"/>
    <m/>
    <m/>
    <m/>
    <m/>
    <m/>
    <m/>
    <m/>
    <m/>
    <m/>
    <m/>
    <m/>
    <m/>
    <m/>
    <m/>
    <m/>
    <m/>
    <m/>
    <m/>
    <m/>
    <m/>
    <m/>
    <m/>
    <m/>
    <m/>
    <x v="0"/>
    <m/>
    <m/>
    <m/>
    <m/>
  </r>
  <r>
    <x v="0"/>
    <x v="0"/>
    <s v="6 P"/>
    <x v="23"/>
    <s v="جیلانی پولی سٹاک"/>
    <s v="PP"/>
    <n v="4"/>
    <s v="5.5-6"/>
    <n v="0"/>
    <s v="-"/>
    <s v="PP"/>
    <n v="8"/>
    <n v="170.8"/>
    <n v="3.2"/>
    <n v="25"/>
    <m/>
    <n v="167.60000000000002"/>
    <m/>
    <m/>
    <m/>
    <m/>
    <m/>
    <m/>
    <m/>
    <m/>
    <m/>
    <m/>
    <m/>
    <m/>
    <m/>
    <m/>
    <m/>
    <m/>
    <m/>
    <m/>
    <m/>
    <m/>
    <m/>
    <m/>
    <m/>
    <m/>
    <x v="0"/>
    <m/>
    <m/>
    <m/>
    <m/>
  </r>
  <r>
    <x v="1"/>
    <x v="0"/>
    <s v="6 P"/>
    <x v="23"/>
    <s v="جیلانی پولی سٹاک"/>
    <s v="PP"/>
    <n v="4"/>
    <s v="5.5-6"/>
    <n v="0"/>
    <s v="-"/>
    <s v="PP"/>
    <n v="10"/>
    <n v="185.16000000000003"/>
    <n v="4"/>
    <n v="22"/>
    <m/>
    <n v="181.16000000000003"/>
    <m/>
    <m/>
    <m/>
    <m/>
    <m/>
    <m/>
    <m/>
    <m/>
    <m/>
    <m/>
    <m/>
    <m/>
    <m/>
    <m/>
    <m/>
    <m/>
    <m/>
    <m/>
    <m/>
    <m/>
    <m/>
    <m/>
    <m/>
    <m/>
    <x v="0"/>
    <m/>
    <m/>
    <m/>
    <m/>
  </r>
  <r>
    <x v="0"/>
    <x v="1"/>
    <s v="3 P"/>
    <x v="23"/>
    <s v="جیلانی پولی سٹاک"/>
    <s v="PP"/>
    <n v="2.5"/>
    <s v="5.5-6"/>
    <n v="0"/>
    <s v="-"/>
    <s v="PP"/>
    <n v="10"/>
    <n v="112.49999999999999"/>
    <n v="2.5"/>
    <m/>
    <m/>
    <n v="109.99999999999999"/>
    <m/>
    <m/>
    <m/>
    <m/>
    <m/>
    <m/>
    <m/>
    <m/>
    <m/>
    <m/>
    <m/>
    <m/>
    <m/>
    <m/>
    <m/>
    <m/>
    <m/>
    <m/>
    <m/>
    <m/>
    <m/>
    <m/>
    <m/>
    <m/>
    <x v="0"/>
    <m/>
    <m/>
    <m/>
    <m/>
  </r>
  <r>
    <x v="1"/>
    <x v="1"/>
    <s v="3 P"/>
    <x v="23"/>
    <s v="جیلانی پولی سٹاک"/>
    <s v="PP"/>
    <n v="2.5"/>
    <s v="5.5-6"/>
    <n v="0"/>
    <s v="-"/>
    <s v="PP"/>
    <n v="13"/>
    <n v="114.88999999999999"/>
    <n v="3.25"/>
    <m/>
    <m/>
    <n v="111.63999999999999"/>
    <m/>
    <m/>
    <m/>
    <m/>
    <m/>
    <m/>
    <m/>
    <m/>
    <m/>
    <m/>
    <m/>
    <m/>
    <m/>
    <m/>
    <m/>
    <m/>
    <m/>
    <m/>
    <m/>
    <m/>
    <m/>
    <m/>
    <m/>
    <m/>
    <x v="0"/>
    <m/>
    <m/>
    <m/>
    <m/>
  </r>
  <r>
    <x v="0"/>
    <x v="3"/>
    <s v="3003 J"/>
    <x v="23"/>
    <s v="بندوخاں لاہور"/>
    <s v="PP"/>
    <s v="22&quot; شیٹ"/>
    <s v="4-4.5/8-9"/>
    <s v=".1:1"/>
    <n v="200"/>
    <s v="PP"/>
    <n v="5"/>
    <n v="217.9"/>
    <n v="13.2"/>
    <m/>
    <m/>
    <n v="204.70000000000002"/>
    <m/>
    <m/>
    <m/>
    <m/>
    <m/>
    <m/>
    <m/>
    <m/>
    <m/>
    <m/>
    <m/>
    <m/>
    <m/>
    <m/>
    <m/>
    <m/>
    <m/>
    <m/>
    <m/>
    <m/>
    <m/>
    <m/>
    <m/>
    <m/>
    <x v="0"/>
    <m/>
    <m/>
    <m/>
    <m/>
  </r>
  <r>
    <x v="0"/>
    <x v="3"/>
    <s v="19 P"/>
    <x v="23"/>
    <s v="جیلانی پولی سٹاک"/>
    <s v="PP"/>
    <n v="16"/>
    <n v="5"/>
    <n v="0"/>
    <s v="-"/>
    <s v="PP"/>
    <n v="1"/>
    <n v="39"/>
    <n v="2.2000000000000002"/>
    <m/>
    <m/>
    <n v="36.799999999999997"/>
    <m/>
    <m/>
    <m/>
    <m/>
    <m/>
    <m/>
    <m/>
    <m/>
    <m/>
    <m/>
    <m/>
    <m/>
    <m/>
    <m/>
    <m/>
    <m/>
    <m/>
    <m/>
    <m/>
    <m/>
    <m/>
    <m/>
    <m/>
    <m/>
    <x v="0"/>
    <m/>
    <m/>
    <m/>
    <m/>
  </r>
  <r>
    <x v="0"/>
    <x v="3"/>
    <s v="1707 F"/>
    <x v="23"/>
    <s v="عثمان امین"/>
    <s v="PP"/>
    <n v="16.2"/>
    <s v="-"/>
    <s v="پیور"/>
    <n v="2000"/>
    <s v="PP"/>
    <n v="7"/>
    <n v="323.10000000000002"/>
    <n v="13.4"/>
    <m/>
    <m/>
    <n v="309.70000000000005"/>
    <m/>
    <m/>
    <m/>
    <m/>
    <m/>
    <m/>
    <m/>
    <m/>
    <m/>
    <m/>
    <m/>
    <m/>
    <m/>
    <m/>
    <m/>
    <m/>
    <m/>
    <m/>
    <m/>
    <m/>
    <m/>
    <m/>
    <m/>
    <m/>
    <x v="0"/>
    <m/>
    <m/>
    <m/>
    <m/>
  </r>
  <r>
    <x v="1"/>
    <x v="3"/>
    <s v="1707 F"/>
    <x v="23"/>
    <s v="عثمان امین"/>
    <s v="PP"/>
    <n v="16.2"/>
    <s v="-"/>
    <s v="پیور"/>
    <n v="2000"/>
    <s v="PP"/>
    <n v="15"/>
    <n v="607.20000000000005"/>
    <n v="2.4"/>
    <m/>
    <m/>
    <n v="604.80000000000007"/>
    <m/>
    <m/>
    <m/>
    <m/>
    <m/>
    <m/>
    <m/>
    <m/>
    <m/>
    <m/>
    <m/>
    <m/>
    <m/>
    <m/>
    <m/>
    <m/>
    <m/>
    <m/>
    <m/>
    <m/>
    <m/>
    <m/>
    <m/>
    <m/>
    <x v="0"/>
    <m/>
    <m/>
    <m/>
    <m/>
  </r>
  <r>
    <x v="0"/>
    <x v="4"/>
    <s v="9 P"/>
    <x v="23"/>
    <s v="جیلانی پولی سٹاک"/>
    <s v="PP"/>
    <n v="6"/>
    <n v="5"/>
    <n v="0"/>
    <s v="-"/>
    <s v="PP"/>
    <n v="8"/>
    <n v="261.7"/>
    <n v="6.2"/>
    <m/>
    <m/>
    <n v="255.5"/>
    <m/>
    <m/>
    <m/>
    <m/>
    <m/>
    <m/>
    <m/>
    <m/>
    <m/>
    <m/>
    <m/>
    <m/>
    <m/>
    <m/>
    <m/>
    <m/>
    <m/>
    <m/>
    <m/>
    <m/>
    <m/>
    <m/>
    <m/>
    <m/>
    <x v="0"/>
    <m/>
    <m/>
    <m/>
    <m/>
  </r>
  <r>
    <x v="1"/>
    <x v="4"/>
    <s v="9 P"/>
    <x v="23"/>
    <s v="جیلانی پولی سٹاک"/>
    <s v="PP"/>
    <n v="6"/>
    <n v="5"/>
    <n v="0"/>
    <s v="-"/>
    <s v="PP"/>
    <n v="8"/>
    <n v="202.4"/>
    <n v="4.8"/>
    <m/>
    <m/>
    <n v="197.6"/>
    <m/>
    <m/>
    <m/>
    <m/>
    <m/>
    <m/>
    <m/>
    <m/>
    <m/>
    <m/>
    <m/>
    <m/>
    <m/>
    <m/>
    <m/>
    <m/>
    <m/>
    <m/>
    <m/>
    <m/>
    <m/>
    <m/>
    <m/>
    <m/>
    <x v="0"/>
    <m/>
    <m/>
    <m/>
    <m/>
  </r>
  <r>
    <x v="1"/>
    <x v="4"/>
    <s v="15 P"/>
    <x v="23"/>
    <s v="جیلانی پولی سٹاک"/>
    <s v="PP"/>
    <n v="12"/>
    <n v="5"/>
    <n v="0"/>
    <s v="-"/>
    <s v="PP"/>
    <n v="4"/>
    <n v="164.2"/>
    <n v="0.48"/>
    <m/>
    <m/>
    <n v="163.72"/>
    <m/>
    <m/>
    <m/>
    <m/>
    <m/>
    <m/>
    <m/>
    <m/>
    <m/>
    <m/>
    <m/>
    <m/>
    <m/>
    <m/>
    <m/>
    <m/>
    <m/>
    <m/>
    <m/>
    <m/>
    <m/>
    <m/>
    <m/>
    <m/>
    <x v="0"/>
    <m/>
    <m/>
    <m/>
    <m/>
  </r>
  <r>
    <x v="0"/>
    <x v="0"/>
    <s v="6 P"/>
    <x v="24"/>
    <s v="جیلانی پولی سٹاک"/>
    <s v="PP"/>
    <n v="4"/>
    <s v="5.5-6"/>
    <n v="0"/>
    <s v="-"/>
    <s v="PP"/>
    <n v="8"/>
    <n v="159.15"/>
    <n v="3.2"/>
    <n v="22"/>
    <m/>
    <n v="155.95000000000002"/>
    <m/>
    <m/>
    <m/>
    <m/>
    <m/>
    <m/>
    <m/>
    <m/>
    <m/>
    <m/>
    <m/>
    <m/>
    <m/>
    <m/>
    <m/>
    <m/>
    <m/>
    <m/>
    <m/>
    <m/>
    <m/>
    <m/>
    <m/>
    <m/>
    <x v="0"/>
    <m/>
    <m/>
    <m/>
    <m/>
  </r>
  <r>
    <x v="1"/>
    <x v="0"/>
    <s v="8 P"/>
    <x v="24"/>
    <s v="جیلانی پولی سٹاک"/>
    <s v="PP"/>
    <n v="5"/>
    <s v="5.5-6"/>
    <n v="0"/>
    <s v="-"/>
    <s v="PP"/>
    <n v="8"/>
    <n v="195.94"/>
    <n v="4"/>
    <n v="46"/>
    <m/>
    <n v="191.94"/>
    <m/>
    <m/>
    <m/>
    <m/>
    <m/>
    <m/>
    <m/>
    <m/>
    <m/>
    <m/>
    <m/>
    <m/>
    <m/>
    <m/>
    <m/>
    <m/>
    <m/>
    <m/>
    <m/>
    <m/>
    <m/>
    <m/>
    <m/>
    <m/>
    <x v="0"/>
    <m/>
    <m/>
    <m/>
    <m/>
  </r>
  <r>
    <x v="0"/>
    <x v="1"/>
    <s v="7009/2"/>
    <x v="24"/>
    <s v="راجکپور کریانہ سٹور گھونکی"/>
    <s v="PP"/>
    <n v="2.5"/>
    <n v="5"/>
    <n v="0"/>
    <n v="250"/>
    <s v="PP"/>
    <n v="9"/>
    <n v="99.34"/>
    <n v="2.25"/>
    <m/>
    <m/>
    <n v="97.09"/>
    <m/>
    <m/>
    <m/>
    <m/>
    <m/>
    <m/>
    <m/>
    <m/>
    <m/>
    <m/>
    <m/>
    <m/>
    <m/>
    <m/>
    <m/>
    <m/>
    <m/>
    <m/>
    <m/>
    <m/>
    <m/>
    <m/>
    <m/>
    <m/>
    <x v="0"/>
    <m/>
    <m/>
    <m/>
    <m/>
  </r>
  <r>
    <x v="1"/>
    <x v="1"/>
    <s v="7009/2"/>
    <x v="24"/>
    <s v="راجکپور کریانہ سٹور گھونکی"/>
    <s v="PP"/>
    <n v="2.5"/>
    <n v="5"/>
    <n v="0"/>
    <n v="250"/>
    <s v="PP"/>
    <n v="12"/>
    <n v="117.02999999999999"/>
    <n v="3"/>
    <m/>
    <m/>
    <n v="114.02999999999999"/>
    <m/>
    <m/>
    <m/>
    <m/>
    <m/>
    <m/>
    <m/>
    <m/>
    <m/>
    <m/>
    <m/>
    <m/>
    <m/>
    <m/>
    <m/>
    <m/>
    <m/>
    <m/>
    <m/>
    <m/>
    <m/>
    <m/>
    <m/>
    <m/>
    <x v="0"/>
    <m/>
    <m/>
    <m/>
    <m/>
  </r>
  <r>
    <x v="0"/>
    <x v="3"/>
    <s v="1707 F"/>
    <x v="24"/>
    <s v="عثمان امین"/>
    <s v="PP"/>
    <n v="16.2"/>
    <s v="-"/>
    <s v="پیور"/>
    <n v="2000"/>
    <s v="PP"/>
    <n v="10"/>
    <n v="466.80000000000007"/>
    <n v="19"/>
    <m/>
    <m/>
    <n v="447.80000000000007"/>
    <m/>
    <m/>
    <m/>
    <m/>
    <m/>
    <m/>
    <m/>
    <m/>
    <m/>
    <m/>
    <m/>
    <m/>
    <m/>
    <m/>
    <m/>
    <m/>
    <m/>
    <m/>
    <m/>
    <m/>
    <m/>
    <m/>
    <m/>
    <m/>
    <x v="0"/>
    <m/>
    <m/>
    <m/>
    <m/>
  </r>
  <r>
    <x v="0"/>
    <x v="3"/>
    <s v="6973/2"/>
    <x v="24"/>
    <s v="العمر پلاسٹک گوجرانوالہ"/>
    <s v="PP"/>
    <n v="16"/>
    <n v="6"/>
    <n v="0"/>
    <n v="500"/>
    <s v="PP"/>
    <n v="3"/>
    <n v="158.34"/>
    <n v="5.9"/>
    <m/>
    <m/>
    <n v="152.44"/>
    <m/>
    <m/>
    <m/>
    <m/>
    <m/>
    <m/>
    <m/>
    <m/>
    <m/>
    <m/>
    <m/>
    <m/>
    <m/>
    <m/>
    <m/>
    <m/>
    <m/>
    <m/>
    <m/>
    <m/>
    <m/>
    <m/>
    <m/>
    <m/>
    <x v="0"/>
    <m/>
    <m/>
    <m/>
    <m/>
  </r>
  <r>
    <x v="1"/>
    <x v="3"/>
    <s v="6973/2"/>
    <x v="24"/>
    <s v="العمر پلاسٹک گوجرانوالہ"/>
    <s v="PP"/>
    <n v="16"/>
    <n v="6"/>
    <n v="0"/>
    <n v="500"/>
    <s v="PP"/>
    <n v="14"/>
    <n v="642.79000000000008"/>
    <n v="28"/>
    <m/>
    <m/>
    <n v="614.79000000000008"/>
    <m/>
    <m/>
    <m/>
    <m/>
    <m/>
    <m/>
    <m/>
    <m/>
    <m/>
    <m/>
    <m/>
    <m/>
    <m/>
    <m/>
    <m/>
    <m/>
    <m/>
    <m/>
    <m/>
    <m/>
    <m/>
    <m/>
    <m/>
    <m/>
    <x v="0"/>
    <m/>
    <m/>
    <m/>
    <m/>
  </r>
  <r>
    <x v="0"/>
    <x v="4"/>
    <s v="15 P"/>
    <x v="24"/>
    <s v="جیلانی پولی سٹاک"/>
    <s v="PP"/>
    <n v="12"/>
    <n v="5"/>
    <n v="0"/>
    <s v="-"/>
    <s v="PP"/>
    <n v="7"/>
    <n v="377.73"/>
    <n v="9.7999999999999989"/>
    <m/>
    <m/>
    <n v="367.93"/>
    <m/>
    <m/>
    <m/>
    <m/>
    <m/>
    <m/>
    <m/>
    <m/>
    <m/>
    <m/>
    <m/>
    <m/>
    <m/>
    <m/>
    <m/>
    <m/>
    <m/>
    <m/>
    <m/>
    <m/>
    <m/>
    <m/>
    <m/>
    <m/>
    <x v="0"/>
    <m/>
    <m/>
    <m/>
    <m/>
  </r>
  <r>
    <x v="0"/>
    <x v="4"/>
    <s v="7020/4"/>
    <x v="24"/>
    <s v="آصف پلاسٹک سرگودھا"/>
    <s v="PP"/>
    <n v="12"/>
    <s v="4.5-5"/>
    <n v="0"/>
    <n v="100"/>
    <s v="PP"/>
    <n v="2"/>
    <n v="98.94"/>
    <n v="2.8"/>
    <m/>
    <m/>
    <n v="96.14"/>
    <m/>
    <m/>
    <m/>
    <m/>
    <m/>
    <m/>
    <m/>
    <m/>
    <m/>
    <m/>
    <m/>
    <m/>
    <m/>
    <m/>
    <m/>
    <m/>
    <m/>
    <m/>
    <m/>
    <m/>
    <m/>
    <m/>
    <m/>
    <m/>
    <x v="0"/>
    <m/>
    <m/>
    <m/>
    <m/>
  </r>
  <r>
    <x v="1"/>
    <x v="4"/>
    <s v="7020/4"/>
    <x v="24"/>
    <s v="آصف پلاسٹک سرگودھا"/>
    <s v="PP"/>
    <n v="12"/>
    <s v="4.5-5"/>
    <n v="0"/>
    <n v="100"/>
    <s v="PP"/>
    <n v="9"/>
    <n v="404.06000000000006"/>
    <n v="12.6"/>
    <m/>
    <m/>
    <n v="391.46000000000004"/>
    <m/>
    <m/>
    <m/>
    <m/>
    <m/>
    <m/>
    <m/>
    <m/>
    <m/>
    <m/>
    <m/>
    <m/>
    <m/>
    <m/>
    <m/>
    <m/>
    <m/>
    <m/>
    <m/>
    <m/>
    <m/>
    <m/>
    <m/>
    <m/>
    <x v="0"/>
    <m/>
    <m/>
    <m/>
    <m/>
  </r>
  <r>
    <x v="1"/>
    <x v="4"/>
    <s v="11 P"/>
    <x v="24"/>
    <s v="جیلانی پولی سٹاک"/>
    <s v="PP"/>
    <n v="8"/>
    <n v="5"/>
    <n v="0"/>
    <s v="-"/>
    <s v="PP"/>
    <n v="1"/>
    <n v="26.74"/>
    <n v="1.1000000000000001"/>
    <m/>
    <m/>
    <n v="25.639999999999997"/>
    <m/>
    <m/>
    <m/>
    <m/>
    <m/>
    <m/>
    <m/>
    <m/>
    <m/>
    <m/>
    <m/>
    <m/>
    <m/>
    <m/>
    <m/>
    <m/>
    <m/>
    <m/>
    <m/>
    <m/>
    <m/>
    <m/>
    <m/>
    <m/>
    <x v="0"/>
    <m/>
    <m/>
    <m/>
    <m/>
  </r>
  <r>
    <x v="0"/>
    <x v="0"/>
    <s v="8 P"/>
    <x v="25"/>
    <s v="جیلانی پولی سٹاک"/>
    <s v="PP"/>
    <n v="5"/>
    <s v="5.5-6"/>
    <n v="0"/>
    <s v="-"/>
    <s v="PP"/>
    <n v="2"/>
    <n v="36"/>
    <n v="1"/>
    <n v="37"/>
    <m/>
    <n v="35"/>
    <m/>
    <m/>
    <m/>
    <m/>
    <m/>
    <m/>
    <m/>
    <m/>
    <m/>
    <m/>
    <m/>
    <m/>
    <m/>
    <m/>
    <m/>
    <m/>
    <m/>
    <m/>
    <m/>
    <m/>
    <m/>
    <m/>
    <m/>
    <m/>
    <x v="0"/>
    <m/>
    <m/>
    <m/>
    <m/>
  </r>
  <r>
    <x v="0"/>
    <x v="0"/>
    <s v="8 P"/>
    <x v="25"/>
    <s v="جیلانی پولی سٹاک"/>
    <s v="PP"/>
    <n v="5"/>
    <s v="5.5-6"/>
    <n v="0"/>
    <s v="-"/>
    <s v="PP"/>
    <n v="6"/>
    <n v="142.1"/>
    <n v="3"/>
    <m/>
    <m/>
    <n v="139.1"/>
    <m/>
    <m/>
    <m/>
    <m/>
    <m/>
    <m/>
    <m/>
    <m/>
    <m/>
    <m/>
    <m/>
    <m/>
    <m/>
    <m/>
    <m/>
    <m/>
    <m/>
    <m/>
    <m/>
    <m/>
    <m/>
    <m/>
    <m/>
    <m/>
    <x v="0"/>
    <m/>
    <m/>
    <m/>
    <m/>
  </r>
  <r>
    <x v="1"/>
    <x v="0"/>
    <s v="8 P"/>
    <x v="25"/>
    <s v="جیلانی پولی سٹاک"/>
    <s v="PP"/>
    <n v="5"/>
    <s v="5.5-6"/>
    <n v="0"/>
    <s v="-"/>
    <s v="PP"/>
    <n v="6"/>
    <n v="112.8"/>
    <n v="3"/>
    <n v="21"/>
    <m/>
    <n v="109.8"/>
    <m/>
    <m/>
    <m/>
    <m/>
    <m/>
    <m/>
    <m/>
    <m/>
    <m/>
    <m/>
    <m/>
    <m/>
    <m/>
    <m/>
    <m/>
    <m/>
    <m/>
    <m/>
    <m/>
    <m/>
    <m/>
    <m/>
    <m/>
    <m/>
    <x v="0"/>
    <m/>
    <m/>
    <m/>
    <m/>
  </r>
  <r>
    <x v="0"/>
    <x v="1"/>
    <s v="7009/2"/>
    <x v="25"/>
    <s v="راجکپور کریانہ سٹور گھونکی"/>
    <s v="PP"/>
    <n v="2.5"/>
    <n v="5"/>
    <n v="0"/>
    <n v="250"/>
    <s v="PP"/>
    <n v="10"/>
    <n v="109.82999999999998"/>
    <n v="2"/>
    <m/>
    <m/>
    <n v="107.82999999999998"/>
    <m/>
    <m/>
    <m/>
    <m/>
    <m/>
    <m/>
    <m/>
    <m/>
    <m/>
    <m/>
    <m/>
    <m/>
    <m/>
    <m/>
    <m/>
    <m/>
    <m/>
    <m/>
    <m/>
    <m/>
    <m/>
    <m/>
    <m/>
    <m/>
    <x v="0"/>
    <m/>
    <m/>
    <m/>
    <m/>
  </r>
  <r>
    <x v="1"/>
    <x v="1"/>
    <s v="7009/2"/>
    <x v="25"/>
    <s v="راجکپور کریانہ سٹور گھونکی"/>
    <s v="PP"/>
    <n v="2.5"/>
    <n v="5"/>
    <n v="0"/>
    <n v="250"/>
    <s v="PP"/>
    <n v="7"/>
    <n v="71.7"/>
    <n v="1.4000000000000001"/>
    <m/>
    <m/>
    <n v="70.3"/>
    <m/>
    <m/>
    <m/>
    <m/>
    <m/>
    <m/>
    <m/>
    <m/>
    <m/>
    <m/>
    <m/>
    <m/>
    <m/>
    <m/>
    <m/>
    <m/>
    <m/>
    <m/>
    <m/>
    <m/>
    <m/>
    <m/>
    <m/>
    <m/>
    <x v="0"/>
    <m/>
    <m/>
    <m/>
    <m/>
  </r>
  <r>
    <x v="0"/>
    <x v="3"/>
    <s v="6973/2"/>
    <x v="25"/>
    <s v="العمر پلاسٹک گوجرانوالہ"/>
    <s v="PP"/>
    <n v="16"/>
    <n v="6"/>
    <n v="0"/>
    <n v="500"/>
    <s v="PP"/>
    <n v="2"/>
    <n v="62.1"/>
    <n v="3.9"/>
    <m/>
    <m/>
    <n v="58.2"/>
    <m/>
    <m/>
    <m/>
    <m/>
    <m/>
    <m/>
    <m/>
    <m/>
    <m/>
    <m/>
    <m/>
    <m/>
    <m/>
    <m/>
    <m/>
    <m/>
    <m/>
    <m/>
    <m/>
    <m/>
    <m/>
    <m/>
    <m/>
    <m/>
    <x v="0"/>
    <m/>
    <m/>
    <m/>
    <m/>
  </r>
  <r>
    <x v="0"/>
    <x v="3"/>
    <s v="1781 F"/>
    <x v="25"/>
    <s v="عثمان امین"/>
    <s v="PP"/>
    <n v="18"/>
    <s v="7"/>
    <s v="پیور"/>
    <n v="435"/>
    <s v="PP"/>
    <n v="11"/>
    <n v="447"/>
    <n v="21.83"/>
    <m/>
    <m/>
    <n v="425.17"/>
    <m/>
    <m/>
    <m/>
    <m/>
    <m/>
    <m/>
    <m/>
    <m/>
    <m/>
    <m/>
    <m/>
    <m/>
    <m/>
    <m/>
    <m/>
    <m/>
    <m/>
    <m/>
    <m/>
    <m/>
    <m/>
    <m/>
    <m/>
    <m/>
    <x v="0"/>
    <m/>
    <m/>
    <m/>
    <m/>
  </r>
  <r>
    <x v="0"/>
    <x v="3"/>
    <s v="1782 F"/>
    <x v="25"/>
    <s v="عثمان امین"/>
    <s v="PP"/>
    <n v="18"/>
    <s v="7"/>
    <s v="پیور"/>
    <n v="140"/>
    <s v="PP"/>
    <n v="2"/>
    <n v="101.21000000000001"/>
    <n v="4.4800000000000004"/>
    <m/>
    <m/>
    <n v="96.73"/>
    <m/>
    <m/>
    <m/>
    <m/>
    <m/>
    <m/>
    <m/>
    <m/>
    <m/>
    <m/>
    <m/>
    <m/>
    <m/>
    <m/>
    <m/>
    <m/>
    <m/>
    <m/>
    <m/>
    <m/>
    <m/>
    <m/>
    <m/>
    <m/>
    <x v="0"/>
    <m/>
    <m/>
    <m/>
    <m/>
  </r>
  <r>
    <x v="1"/>
    <x v="3"/>
    <s v="1782 F"/>
    <x v="25"/>
    <s v="عثمان امین"/>
    <s v="PP"/>
    <n v="18"/>
    <s v="7"/>
    <s v="پیور"/>
    <n v="140"/>
    <s v="PP"/>
    <n v="4"/>
    <n v="148.04000000000002"/>
    <n v="8.4"/>
    <m/>
    <m/>
    <n v="139.64000000000001"/>
    <m/>
    <m/>
    <m/>
    <m/>
    <m/>
    <m/>
    <m/>
    <m/>
    <m/>
    <m/>
    <m/>
    <m/>
    <m/>
    <m/>
    <m/>
    <m/>
    <m/>
    <m/>
    <m/>
    <m/>
    <m/>
    <m/>
    <m/>
    <m/>
    <x v="0"/>
    <m/>
    <m/>
    <m/>
    <m/>
  </r>
  <r>
    <x v="1"/>
    <x v="3"/>
    <s v="21 P"/>
    <x v="25"/>
    <s v="جیلانی پولی سٹاک"/>
    <s v="PP"/>
    <n v="18"/>
    <n v="5"/>
    <n v="0"/>
    <s v="-"/>
    <s v="PP"/>
    <n v="8"/>
    <n v="326.89999999999998"/>
    <n v="16.8"/>
    <m/>
    <m/>
    <n v="310.09999999999997"/>
    <m/>
    <m/>
    <m/>
    <m/>
    <m/>
    <m/>
    <m/>
    <m/>
    <m/>
    <m/>
    <m/>
    <m/>
    <m/>
    <m/>
    <m/>
    <m/>
    <m/>
    <m/>
    <m/>
    <m/>
    <m/>
    <m/>
    <m/>
    <m/>
    <x v="0"/>
    <m/>
    <m/>
    <m/>
    <m/>
  </r>
  <r>
    <x v="0"/>
    <x v="4"/>
    <s v="6872/1"/>
    <x v="25"/>
    <s v="حزیفہ پلاسٹک اعظم مارکیٹ"/>
    <s v="PP"/>
    <n v="8"/>
    <n v="6"/>
    <n v="0"/>
    <n v="50"/>
    <s v="PP"/>
    <n v="1"/>
    <n v="33.200000000000003"/>
    <n v="1.2"/>
    <m/>
    <m/>
    <n v="32"/>
    <m/>
    <m/>
    <m/>
    <m/>
    <m/>
    <m/>
    <m/>
    <m/>
    <m/>
    <m/>
    <m/>
    <m/>
    <m/>
    <m/>
    <m/>
    <m/>
    <m/>
    <m/>
    <m/>
    <m/>
    <m/>
    <m/>
    <m/>
    <m/>
    <x v="0"/>
    <m/>
    <m/>
    <m/>
    <m/>
  </r>
  <r>
    <x v="0"/>
    <x v="4"/>
    <s v="7020/7"/>
    <x v="25"/>
    <s v="آصف پلاسٹک سرگودھا"/>
    <s v="PP"/>
    <n v="10"/>
    <s v="4.5-5"/>
    <n v="0"/>
    <n v="100"/>
    <s v="PP"/>
    <n v="4"/>
    <n v="112.49999999999999"/>
    <n v="4.8500000000000005"/>
    <m/>
    <m/>
    <n v="107.64999999999999"/>
    <m/>
    <m/>
    <m/>
    <m/>
    <m/>
    <m/>
    <m/>
    <m/>
    <m/>
    <m/>
    <m/>
    <m/>
    <m/>
    <m/>
    <m/>
    <m/>
    <m/>
    <m/>
    <m/>
    <m/>
    <m/>
    <m/>
    <m/>
    <m/>
    <x v="0"/>
    <m/>
    <m/>
    <m/>
    <m/>
  </r>
  <r>
    <x v="0"/>
    <x v="4"/>
    <s v="13 P"/>
    <x v="25"/>
    <s v="جیلانی پولی سٹاک"/>
    <s v="PP"/>
    <n v="10"/>
    <n v="5"/>
    <n v="0"/>
    <s v="-"/>
    <s v="PP"/>
    <n v="2"/>
    <n v="97.4"/>
    <n v="2.6"/>
    <m/>
    <m/>
    <n v="94.800000000000011"/>
    <m/>
    <m/>
    <m/>
    <m/>
    <m/>
    <m/>
    <m/>
    <m/>
    <m/>
    <m/>
    <m/>
    <m/>
    <m/>
    <m/>
    <m/>
    <m/>
    <m/>
    <m/>
    <m/>
    <m/>
    <m/>
    <m/>
    <m/>
    <m/>
    <x v="0"/>
    <m/>
    <m/>
    <m/>
    <m/>
  </r>
  <r>
    <x v="0"/>
    <x v="4"/>
    <s v="7020/6"/>
    <x v="25"/>
    <s v="آصف پلاسٹک سرگودھا"/>
    <s v="PP"/>
    <n v="8"/>
    <s v="4.5-5"/>
    <n v="0"/>
    <n v="100"/>
    <s v="PP"/>
    <n v="5"/>
    <n v="113.4"/>
    <n v="5.6499999999999995"/>
    <m/>
    <m/>
    <n v="107.75"/>
    <m/>
    <m/>
    <m/>
    <m/>
    <m/>
    <m/>
    <m/>
    <m/>
    <m/>
    <m/>
    <m/>
    <m/>
    <m/>
    <m/>
    <m/>
    <m/>
    <m/>
    <m/>
    <m/>
    <m/>
    <m/>
    <m/>
    <m/>
    <m/>
    <x v="0"/>
    <m/>
    <m/>
    <m/>
    <m/>
  </r>
  <r>
    <x v="1"/>
    <x v="4"/>
    <s v="13 P"/>
    <x v="25"/>
    <s v="جیلانی پولی سٹاک"/>
    <s v="PP"/>
    <n v="10"/>
    <n v="5"/>
    <n v="0"/>
    <s v="-"/>
    <s v="PP"/>
    <n v="8"/>
    <n v="351.7"/>
    <n v="10.4"/>
    <m/>
    <m/>
    <n v="341.3"/>
    <m/>
    <m/>
    <m/>
    <m/>
    <m/>
    <m/>
    <m/>
    <m/>
    <m/>
    <m/>
    <m/>
    <m/>
    <m/>
    <m/>
    <m/>
    <m/>
    <m/>
    <m/>
    <m/>
    <m/>
    <m/>
    <m/>
    <m/>
    <m/>
    <x v="0"/>
    <m/>
    <m/>
    <m/>
    <m/>
  </r>
  <r>
    <x v="0"/>
    <x v="0"/>
    <s v="8 P"/>
    <x v="26"/>
    <s v="جیلانی پولی سٹاک"/>
    <s v="PP"/>
    <n v="5"/>
    <s v="5.5-6"/>
    <n v="0"/>
    <s v="-"/>
    <s v="PP"/>
    <n v="7"/>
    <n v="117"/>
    <n v="3.5"/>
    <n v="29"/>
    <m/>
    <n v="113.5"/>
    <m/>
    <m/>
    <m/>
    <m/>
    <m/>
    <m/>
    <m/>
    <m/>
    <m/>
    <m/>
    <m/>
    <m/>
    <m/>
    <m/>
    <m/>
    <m/>
    <m/>
    <m/>
    <m/>
    <m/>
    <m/>
    <m/>
    <m/>
    <m/>
    <x v="0"/>
    <m/>
    <m/>
    <m/>
    <m/>
  </r>
  <r>
    <x v="1"/>
    <x v="0"/>
    <s v="8 P"/>
    <x v="26"/>
    <s v="جیلانی پولی سٹاک"/>
    <s v="PP"/>
    <n v="5"/>
    <s v="5.5-6"/>
    <n v="0"/>
    <s v="-"/>
    <s v="PP"/>
    <n v="8"/>
    <n v="163.51999999999998"/>
    <n v="4"/>
    <n v="22"/>
    <m/>
    <n v="159.51999999999998"/>
    <m/>
    <m/>
    <m/>
    <m/>
    <m/>
    <m/>
    <m/>
    <m/>
    <m/>
    <m/>
    <m/>
    <m/>
    <m/>
    <m/>
    <m/>
    <m/>
    <m/>
    <m/>
    <m/>
    <m/>
    <m/>
    <m/>
    <m/>
    <m/>
    <x v="0"/>
    <m/>
    <m/>
    <m/>
    <m/>
  </r>
  <r>
    <x v="0"/>
    <x v="1"/>
    <s v="7009/2"/>
    <x v="26"/>
    <s v="راجکپور کریانہ سٹور گھونکی"/>
    <s v="PP"/>
    <n v="2.5"/>
    <n v="5"/>
    <n v="0"/>
    <n v="250"/>
    <s v="PP"/>
    <n v="8"/>
    <n v="81.300000000000011"/>
    <n v="2"/>
    <m/>
    <m/>
    <n v="79.300000000000011"/>
    <m/>
    <m/>
    <m/>
    <m/>
    <m/>
    <m/>
    <m/>
    <m/>
    <m/>
    <m/>
    <m/>
    <m/>
    <m/>
    <m/>
    <m/>
    <m/>
    <m/>
    <m/>
    <m/>
    <m/>
    <m/>
    <m/>
    <m/>
    <m/>
    <x v="0"/>
    <m/>
    <m/>
    <m/>
    <m/>
  </r>
  <r>
    <x v="1"/>
    <x v="1"/>
    <s v="7009/2"/>
    <x v="26"/>
    <s v="راجکپور کریانہ سٹور گھونکی"/>
    <s v="PP"/>
    <n v="2.5"/>
    <n v="5"/>
    <n v="0"/>
    <n v="250"/>
    <s v="PP"/>
    <n v="10"/>
    <n v="108.21000000000001"/>
    <n v="2.5"/>
    <m/>
    <m/>
    <n v="105.71000000000001"/>
    <m/>
    <m/>
    <m/>
    <m/>
    <m/>
    <m/>
    <m/>
    <m/>
    <m/>
    <m/>
    <m/>
    <m/>
    <m/>
    <m/>
    <m/>
    <m/>
    <m/>
    <m/>
    <m/>
    <m/>
    <m/>
    <m/>
    <m/>
    <m/>
    <x v="0"/>
    <m/>
    <m/>
    <m/>
    <m/>
  </r>
  <r>
    <x v="0"/>
    <x v="3"/>
    <s v="7032/1"/>
    <x v="26"/>
    <s v="العمر پلاسٹک گوجرانوالہ"/>
    <s v="PP"/>
    <n v="14"/>
    <n v="6"/>
    <n v="0"/>
    <n v="500"/>
    <s v="PP"/>
    <n v="6"/>
    <n v="251.3"/>
    <n v="10.199999999999999"/>
    <m/>
    <m/>
    <n v="241.10000000000002"/>
    <m/>
    <m/>
    <m/>
    <m/>
    <m/>
    <m/>
    <m/>
    <m/>
    <m/>
    <m/>
    <m/>
    <m/>
    <m/>
    <m/>
    <m/>
    <m/>
    <m/>
    <m/>
    <m/>
    <m/>
    <m/>
    <m/>
    <m/>
    <m/>
    <x v="0"/>
    <m/>
    <m/>
    <m/>
    <m/>
  </r>
  <r>
    <x v="0"/>
    <x v="3"/>
    <s v="17 P"/>
    <x v="26"/>
    <s v="جیلانی پولی سٹاک"/>
    <s v="PP"/>
    <n v="14"/>
    <n v="5"/>
    <n v="0"/>
    <s v="-"/>
    <s v="PP"/>
    <n v="3"/>
    <n v="136.30000000000001"/>
    <n v="5.0999999999999996"/>
    <m/>
    <m/>
    <n v="131.20000000000002"/>
    <m/>
    <m/>
    <m/>
    <m/>
    <m/>
    <m/>
    <m/>
    <m/>
    <m/>
    <m/>
    <m/>
    <m/>
    <m/>
    <m/>
    <m/>
    <m/>
    <m/>
    <m/>
    <m/>
    <m/>
    <m/>
    <m/>
    <m/>
    <m/>
    <x v="0"/>
    <m/>
    <m/>
    <m/>
    <m/>
  </r>
  <r>
    <x v="1"/>
    <x v="3"/>
    <s v="7032/1"/>
    <x v="26"/>
    <s v="العمر پلاسٹک گوجرانوالہ"/>
    <s v="PP"/>
    <n v="14"/>
    <n v="6"/>
    <n v="0"/>
    <n v="500"/>
    <s v="PP"/>
    <n v="3"/>
    <n v="125.75999999999999"/>
    <n v="5"/>
    <m/>
    <m/>
    <n v="120.75999999999999"/>
    <m/>
    <m/>
    <m/>
    <m/>
    <m/>
    <m/>
    <m/>
    <m/>
    <m/>
    <m/>
    <m/>
    <m/>
    <m/>
    <m/>
    <m/>
    <m/>
    <m/>
    <m/>
    <m/>
    <m/>
    <m/>
    <m/>
    <m/>
    <m/>
    <x v="0"/>
    <m/>
    <m/>
    <m/>
    <m/>
  </r>
  <r>
    <x v="1"/>
    <x v="3"/>
    <s v="17 P"/>
    <x v="26"/>
    <s v="جیلانی پولی سٹاک"/>
    <s v="PP"/>
    <n v="14"/>
    <n v="5"/>
    <n v="0"/>
    <s v="-"/>
    <s v="PP"/>
    <n v="9"/>
    <n v="418.68"/>
    <n v="15.499999999999998"/>
    <m/>
    <m/>
    <n v="403.18"/>
    <m/>
    <m/>
    <m/>
    <m/>
    <m/>
    <m/>
    <m/>
    <m/>
    <m/>
    <m/>
    <m/>
    <m/>
    <m/>
    <m/>
    <m/>
    <m/>
    <m/>
    <m/>
    <m/>
    <m/>
    <m/>
    <m/>
    <m/>
    <m/>
    <x v="0"/>
    <m/>
    <m/>
    <m/>
    <m/>
  </r>
  <r>
    <x v="0"/>
    <x v="4"/>
    <s v="13 P"/>
    <x v="26"/>
    <s v="جیلانی پولی سٹاک"/>
    <s v="PP"/>
    <n v="10"/>
    <n v="5"/>
    <n v="0"/>
    <s v="-"/>
    <s v="PP"/>
    <n v="8"/>
    <n v="315.50000000000006"/>
    <n v="10.4"/>
    <m/>
    <m/>
    <n v="305.10000000000008"/>
    <m/>
    <m/>
    <m/>
    <m/>
    <m/>
    <m/>
    <m/>
    <m/>
    <m/>
    <m/>
    <m/>
    <m/>
    <m/>
    <m/>
    <m/>
    <m/>
    <m/>
    <m/>
    <m/>
    <m/>
    <m/>
    <m/>
    <m/>
    <m/>
    <x v="0"/>
    <m/>
    <m/>
    <m/>
    <m/>
  </r>
  <r>
    <x v="1"/>
    <x v="4"/>
    <s v="13 P"/>
    <x v="26"/>
    <s v="جیلانی پولی سٹاک"/>
    <s v="PP"/>
    <n v="10"/>
    <n v="5"/>
    <n v="0"/>
    <s v="-"/>
    <s v="PP"/>
    <n v="9"/>
    <n v="394.13000000000005"/>
    <n v="0.9"/>
    <m/>
    <m/>
    <n v="393.23000000000008"/>
    <m/>
    <m/>
    <m/>
    <m/>
    <m/>
    <m/>
    <m/>
    <m/>
    <m/>
    <m/>
    <m/>
    <m/>
    <m/>
    <m/>
    <m/>
    <m/>
    <m/>
    <m/>
    <m/>
    <m/>
    <m/>
    <m/>
    <m/>
    <m/>
    <x v="0"/>
    <m/>
    <m/>
    <m/>
    <m/>
  </r>
  <r>
    <x v="0"/>
    <x v="0"/>
    <s v="8 P"/>
    <x v="27"/>
    <s v="جیلانی پولی سٹاک"/>
    <s v="PP"/>
    <n v="5"/>
    <s v="5.5-6"/>
    <n v="0"/>
    <s v="-"/>
    <s v="PP"/>
    <n v="3"/>
    <n v="50.7"/>
    <n v="1.5"/>
    <n v="15.6"/>
    <m/>
    <n v="49.2"/>
    <m/>
    <m/>
    <m/>
    <m/>
    <m/>
    <m/>
    <m/>
    <m/>
    <m/>
    <m/>
    <m/>
    <m/>
    <m/>
    <m/>
    <m/>
    <m/>
    <m/>
    <m/>
    <m/>
    <m/>
    <m/>
    <m/>
    <m/>
    <m/>
    <x v="0"/>
    <m/>
    <m/>
    <m/>
    <m/>
  </r>
  <r>
    <x v="0"/>
    <x v="0"/>
    <s v="4 P"/>
    <x v="27"/>
    <s v="جیلانی پولی سٹاک"/>
    <s v="PP"/>
    <n v="3"/>
    <s v="5.5-6"/>
    <n v="0"/>
    <s v="-"/>
    <s v="PP"/>
    <n v="10"/>
    <n v="154.04999999999998"/>
    <n v="3"/>
    <n v="16"/>
    <m/>
    <n v="151.04999999999998"/>
    <m/>
    <m/>
    <m/>
    <m/>
    <m/>
    <m/>
    <m/>
    <m/>
    <m/>
    <m/>
    <m/>
    <m/>
    <m/>
    <m/>
    <m/>
    <m/>
    <m/>
    <m/>
    <m/>
    <m/>
    <m/>
    <m/>
    <m/>
    <m/>
    <x v="0"/>
    <m/>
    <m/>
    <m/>
    <m/>
  </r>
  <r>
    <x v="1"/>
    <x v="0"/>
    <s v="4 P"/>
    <x v="27"/>
    <s v="جیلانی پولی سٹاک"/>
    <s v="PP"/>
    <n v="3"/>
    <s v="5.5-6"/>
    <n v="0"/>
    <s v="-"/>
    <s v="PP"/>
    <n v="10"/>
    <n v="162.69"/>
    <n v="3"/>
    <m/>
    <m/>
    <n v="159.69"/>
    <m/>
    <m/>
    <m/>
    <m/>
    <m/>
    <m/>
    <m/>
    <m/>
    <m/>
    <m/>
    <m/>
    <m/>
    <m/>
    <m/>
    <m/>
    <m/>
    <m/>
    <m/>
    <m/>
    <m/>
    <m/>
    <m/>
    <m/>
    <m/>
    <x v="0"/>
    <m/>
    <m/>
    <m/>
    <m/>
  </r>
  <r>
    <x v="0"/>
    <x v="1"/>
    <s v="3 P"/>
    <x v="27"/>
    <s v="جیلانی پولی سٹاک"/>
    <s v="PP"/>
    <n v="2.5"/>
    <s v="5.5-6"/>
    <n v="0"/>
    <s v="-"/>
    <s v="PP"/>
    <n v="6"/>
    <n v="58.5"/>
    <n v="1.5"/>
    <m/>
    <m/>
    <n v="57"/>
    <m/>
    <m/>
    <m/>
    <m/>
    <m/>
    <m/>
    <m/>
    <m/>
    <m/>
    <m/>
    <m/>
    <m/>
    <m/>
    <m/>
    <m/>
    <m/>
    <m/>
    <m/>
    <m/>
    <m/>
    <m/>
    <m/>
    <m/>
    <m/>
    <x v="0"/>
    <m/>
    <m/>
    <m/>
    <m/>
  </r>
  <r>
    <x v="0"/>
    <x v="1"/>
    <s v="7037/2"/>
    <x v="27"/>
    <s v="شیخ بشیر سیا لکوٹ"/>
    <s v="PP"/>
    <n v="3.5"/>
    <n v="5.5"/>
    <n v="0"/>
    <n v="150"/>
    <s v="PP"/>
    <n v="4"/>
    <n v="70.800000000000011"/>
    <n v="1.4"/>
    <m/>
    <m/>
    <n v="69.400000000000006"/>
    <m/>
    <m/>
    <m/>
    <m/>
    <m/>
    <m/>
    <m/>
    <m/>
    <m/>
    <m/>
    <m/>
    <m/>
    <m/>
    <m/>
    <m/>
    <m/>
    <m/>
    <m/>
    <m/>
    <m/>
    <m/>
    <m/>
    <m/>
    <m/>
    <x v="0"/>
    <m/>
    <m/>
    <m/>
    <m/>
  </r>
  <r>
    <x v="1"/>
    <x v="1"/>
    <s v="7037/2"/>
    <x v="27"/>
    <s v="شیخ بشیر سیا لکوٹ"/>
    <s v="PP"/>
    <n v="3.5"/>
    <n v="5.5"/>
    <n v="0"/>
    <n v="150"/>
    <s v="PP"/>
    <n v="7"/>
    <n v="162.51"/>
    <n v="2.4499999999999997"/>
    <m/>
    <m/>
    <n v="160.06"/>
    <m/>
    <m/>
    <m/>
    <m/>
    <m/>
    <m/>
    <m/>
    <m/>
    <m/>
    <m/>
    <m/>
    <m/>
    <m/>
    <m/>
    <m/>
    <m/>
    <m/>
    <m/>
    <m/>
    <m/>
    <m/>
    <m/>
    <m/>
    <m/>
    <x v="0"/>
    <m/>
    <m/>
    <m/>
    <m/>
  </r>
  <r>
    <x v="0"/>
    <x v="3"/>
    <s v="17 P"/>
    <x v="27"/>
    <s v="جیلانی پولی سٹاک"/>
    <s v="PP"/>
    <n v="14"/>
    <n v="5"/>
    <n v="0"/>
    <s v="-"/>
    <s v="PP"/>
    <n v="14"/>
    <n v="561.00000000000011"/>
    <n v="23.8"/>
    <m/>
    <m/>
    <n v="537.20000000000016"/>
    <m/>
    <m/>
    <m/>
    <m/>
    <m/>
    <m/>
    <m/>
    <m/>
    <m/>
    <m/>
    <m/>
    <m/>
    <m/>
    <m/>
    <m/>
    <m/>
    <m/>
    <m/>
    <m/>
    <m/>
    <m/>
    <m/>
    <m/>
    <m/>
    <x v="0"/>
    <m/>
    <m/>
    <m/>
    <m/>
  </r>
  <r>
    <x v="0"/>
    <x v="3"/>
    <s v="17 P"/>
    <x v="27"/>
    <s v="جیلانی پولی سٹاک"/>
    <s v="PP"/>
    <n v="14"/>
    <n v="5"/>
    <n v="0"/>
    <s v="-"/>
    <s v="PP"/>
    <n v="4"/>
    <n v="191.66"/>
    <n v="6.8"/>
    <m/>
    <m/>
    <n v="184.85999999999999"/>
    <m/>
    <m/>
    <m/>
    <m/>
    <m/>
    <m/>
    <m/>
    <m/>
    <m/>
    <m/>
    <m/>
    <m/>
    <m/>
    <m/>
    <m/>
    <m/>
    <m/>
    <m/>
    <m/>
    <m/>
    <m/>
    <m/>
    <m/>
    <m/>
    <x v="0"/>
    <m/>
    <m/>
    <m/>
    <m/>
  </r>
  <r>
    <x v="1"/>
    <x v="3"/>
    <s v="7035/1"/>
    <x v="27"/>
    <s v="بوٹا پلاسٹک اعظم مارکیٹ"/>
    <s v="PP"/>
    <n v="23"/>
    <n v="5"/>
    <n v="0"/>
    <n v="500"/>
    <s v="PP"/>
    <n v="7"/>
    <n v="386.6"/>
    <n v="19.599999999999998"/>
    <m/>
    <m/>
    <n v="367"/>
    <m/>
    <m/>
    <m/>
    <m/>
    <m/>
    <m/>
    <m/>
    <m/>
    <m/>
    <m/>
    <m/>
    <m/>
    <m/>
    <m/>
    <m/>
    <m/>
    <m/>
    <m/>
    <m/>
    <m/>
    <m/>
    <m/>
    <m/>
    <m/>
    <x v="0"/>
    <m/>
    <m/>
    <m/>
    <m/>
  </r>
  <r>
    <x v="0"/>
    <x v="4"/>
    <s v="7020/2"/>
    <x v="27"/>
    <s v="آصف پلاسٹک سرگودھا"/>
    <s v="PP"/>
    <n v="9"/>
    <s v="4.5-5"/>
    <n v="0"/>
    <n v="100"/>
    <s v="PP"/>
    <n v="4"/>
    <n v="105.64999999999999"/>
    <n v="6.4"/>
    <m/>
    <m/>
    <n v="99.249999999999986"/>
    <m/>
    <m/>
    <m/>
    <m/>
    <m/>
    <m/>
    <m/>
    <m/>
    <m/>
    <m/>
    <m/>
    <m/>
    <m/>
    <m/>
    <m/>
    <m/>
    <m/>
    <m/>
    <m/>
    <m/>
    <m/>
    <m/>
    <m/>
    <m/>
    <x v="0"/>
    <m/>
    <m/>
    <m/>
    <m/>
  </r>
  <r>
    <x v="0"/>
    <x v="4"/>
    <s v="7020/3"/>
    <x v="27"/>
    <s v="آصف پلاسٹک سرگودھا"/>
    <s v="PP"/>
    <n v="11"/>
    <s v="4.5-5"/>
    <n v="0"/>
    <n v="100"/>
    <s v="PP"/>
    <n v="9"/>
    <n v="321.8"/>
    <n v="14.4"/>
    <m/>
    <m/>
    <n v="307.40000000000003"/>
    <m/>
    <m/>
    <m/>
    <m/>
    <m/>
    <m/>
    <m/>
    <m/>
    <m/>
    <m/>
    <m/>
    <m/>
    <m/>
    <m/>
    <m/>
    <m/>
    <m/>
    <m/>
    <m/>
    <m/>
    <m/>
    <m/>
    <m/>
    <m/>
    <x v="0"/>
    <m/>
    <m/>
    <m/>
    <m/>
  </r>
  <r>
    <x v="0"/>
    <x v="4"/>
    <s v="14 P"/>
    <x v="27"/>
    <s v="جیلانی پولی سٹاک"/>
    <s v="PP"/>
    <n v="11"/>
    <n v="5"/>
    <n v="0"/>
    <s v="-"/>
    <s v="PP"/>
    <n v="1"/>
    <n v="28.9"/>
    <n v="1.6"/>
    <m/>
    <m/>
    <n v="27.299999999999997"/>
    <m/>
    <m/>
    <m/>
    <m/>
    <m/>
    <m/>
    <m/>
    <m/>
    <m/>
    <m/>
    <m/>
    <m/>
    <m/>
    <m/>
    <m/>
    <m/>
    <m/>
    <m/>
    <m/>
    <m/>
    <m/>
    <m/>
    <m/>
    <m/>
    <x v="0"/>
    <m/>
    <m/>
    <m/>
    <m/>
  </r>
  <r>
    <x v="1"/>
    <x v="4"/>
    <s v="7016/1"/>
    <x v="27"/>
    <s v="شیخ الوار لیہ"/>
    <s v="PP"/>
    <n v="13"/>
    <n v="4.5"/>
    <n v="0"/>
    <n v="100"/>
    <s v="PP"/>
    <n v="3"/>
    <n v="82.1"/>
    <n v="4.9499999999999993"/>
    <m/>
    <m/>
    <n v="77.149999999999991"/>
    <m/>
    <m/>
    <m/>
    <m/>
    <m/>
    <m/>
    <m/>
    <m/>
    <m/>
    <m/>
    <m/>
    <m/>
    <m/>
    <m/>
    <m/>
    <m/>
    <m/>
    <m/>
    <m/>
    <m/>
    <m/>
    <m/>
    <m/>
    <m/>
    <x v="0"/>
    <m/>
    <m/>
    <m/>
    <m/>
  </r>
  <r>
    <x v="1"/>
    <x v="4"/>
    <s v="15 P"/>
    <x v="27"/>
    <s v="جیلانی پولی سٹاک"/>
    <s v="PP"/>
    <n v="12"/>
    <n v="5"/>
    <n v="0"/>
    <s v="-"/>
    <s v="PP"/>
    <n v="7"/>
    <n v="331.82"/>
    <n v="10.35"/>
    <m/>
    <m/>
    <n v="321.46999999999997"/>
    <m/>
    <m/>
    <m/>
    <m/>
    <m/>
    <m/>
    <m/>
    <m/>
    <m/>
    <m/>
    <m/>
    <m/>
    <m/>
    <m/>
    <m/>
    <m/>
    <m/>
    <m/>
    <m/>
    <m/>
    <m/>
    <m/>
    <m/>
    <m/>
    <x v="0"/>
    <m/>
    <m/>
    <m/>
    <m/>
  </r>
  <r>
    <x v="0"/>
    <x v="0"/>
    <s v="7037/1"/>
    <x v="28"/>
    <s v="شیخ بشیر سیا لکوٹ"/>
    <s v="PP"/>
    <n v="3"/>
    <n v="5.5"/>
    <n v="0"/>
    <n v="150"/>
    <s v="PP"/>
    <n v="9"/>
    <n v="140.69999999999999"/>
    <n v="2.6999999999999997"/>
    <n v="21"/>
    <m/>
    <n v="138"/>
    <m/>
    <m/>
    <m/>
    <m/>
    <m/>
    <m/>
    <m/>
    <m/>
    <m/>
    <m/>
    <m/>
    <m/>
    <m/>
    <m/>
    <m/>
    <m/>
    <m/>
    <m/>
    <m/>
    <m/>
    <m/>
    <m/>
    <m/>
    <m/>
    <x v="0"/>
    <m/>
    <m/>
    <m/>
    <m/>
  </r>
  <r>
    <x v="0"/>
    <x v="0"/>
    <s v="7037/1"/>
    <x v="28"/>
    <s v="شیخ بشیر سیا لکوٹ"/>
    <s v="PP"/>
    <n v="3"/>
    <n v="5.5"/>
    <n v="0"/>
    <n v="150"/>
    <s v="PP"/>
    <n v="1"/>
    <n v="21.5"/>
    <n v="0.3"/>
    <m/>
    <m/>
    <n v="21.2"/>
    <m/>
    <m/>
    <m/>
    <m/>
    <m/>
    <m/>
    <m/>
    <m/>
    <m/>
    <m/>
    <m/>
    <m/>
    <m/>
    <m/>
    <m/>
    <m/>
    <m/>
    <m/>
    <m/>
    <m/>
    <m/>
    <m/>
    <m/>
    <m/>
    <x v="0"/>
    <m/>
    <m/>
    <m/>
    <m/>
  </r>
  <r>
    <x v="1"/>
    <x v="0"/>
    <s v="7037/1"/>
    <x v="28"/>
    <s v="شیخ بشیر سیا لکوٹ"/>
    <s v="PP"/>
    <n v="3"/>
    <n v="5.5"/>
    <n v="0"/>
    <n v="150"/>
    <s v="PP"/>
    <n v="7"/>
    <n v="160.87"/>
    <n v="2.1"/>
    <n v="25"/>
    <m/>
    <n v="158.77000000000001"/>
    <m/>
    <m/>
    <m/>
    <m/>
    <m/>
    <m/>
    <m/>
    <m/>
    <m/>
    <m/>
    <m/>
    <m/>
    <m/>
    <m/>
    <m/>
    <m/>
    <m/>
    <m/>
    <m/>
    <m/>
    <m/>
    <m/>
    <m/>
    <m/>
    <x v="0"/>
    <m/>
    <m/>
    <m/>
    <m/>
  </r>
  <r>
    <x v="0"/>
    <x v="1"/>
    <s v="7037/2"/>
    <x v="28"/>
    <s v="شیخ بشیر سیا لکوٹ"/>
    <s v="PP"/>
    <n v="3.5"/>
    <n v="5.5"/>
    <n v="0"/>
    <n v="150"/>
    <s v="PP"/>
    <n v="3"/>
    <n v="60"/>
    <n v="1.0499999999999998"/>
    <m/>
    <m/>
    <n v="58.95"/>
    <m/>
    <m/>
    <m/>
    <m/>
    <m/>
    <m/>
    <m/>
    <m/>
    <m/>
    <m/>
    <m/>
    <m/>
    <m/>
    <m/>
    <m/>
    <m/>
    <m/>
    <m/>
    <m/>
    <m/>
    <m/>
    <m/>
    <m/>
    <m/>
    <x v="0"/>
    <m/>
    <m/>
    <m/>
    <m/>
  </r>
  <r>
    <x v="0"/>
    <x v="1"/>
    <s v="7009/2"/>
    <x v="28"/>
    <s v="راجکپور کریانہ سٹور گھونکی"/>
    <s v="PP"/>
    <n v="2.5"/>
    <n v="5"/>
    <n v="0"/>
    <n v="250"/>
    <s v="PP"/>
    <n v="3"/>
    <n v="54"/>
    <n v="0.75"/>
    <m/>
    <m/>
    <n v="53.25"/>
    <m/>
    <m/>
    <m/>
    <m/>
    <m/>
    <m/>
    <m/>
    <m/>
    <m/>
    <m/>
    <m/>
    <m/>
    <m/>
    <m/>
    <m/>
    <m/>
    <m/>
    <m/>
    <m/>
    <m/>
    <m/>
    <m/>
    <m/>
    <m/>
    <x v="0"/>
    <m/>
    <m/>
    <m/>
    <m/>
  </r>
  <r>
    <x v="1"/>
    <x v="1"/>
    <s v="3 P"/>
    <x v="28"/>
    <s v="جیلانی پولی سٹاک"/>
    <s v="PP"/>
    <n v="2.5"/>
    <s v="5.5-6"/>
    <n v="0"/>
    <s v="-"/>
    <s v="PP"/>
    <n v="4"/>
    <n v="67.8"/>
    <n v="0.8"/>
    <m/>
    <m/>
    <n v="67"/>
    <m/>
    <m/>
    <m/>
    <m/>
    <m/>
    <m/>
    <m/>
    <m/>
    <m/>
    <m/>
    <m/>
    <m/>
    <m/>
    <m/>
    <m/>
    <m/>
    <m/>
    <m/>
    <m/>
    <m/>
    <m/>
    <m/>
    <m/>
    <m/>
    <x v="0"/>
    <m/>
    <m/>
    <m/>
    <m/>
  </r>
  <r>
    <x v="0"/>
    <x v="3"/>
    <s v="15 P"/>
    <x v="28"/>
    <s v="جیلانی پولی سٹاک"/>
    <s v="PP"/>
    <n v="12"/>
    <n v="5"/>
    <n v="0"/>
    <s v="-"/>
    <s v="PP"/>
    <n v="10"/>
    <n v="447.40000000000003"/>
    <n v="1.2"/>
    <m/>
    <m/>
    <n v="446.20000000000005"/>
    <m/>
    <m/>
    <m/>
    <m/>
    <m/>
    <m/>
    <m/>
    <m/>
    <m/>
    <m/>
    <m/>
    <m/>
    <m/>
    <m/>
    <m/>
    <m/>
    <m/>
    <m/>
    <m/>
    <m/>
    <m/>
    <m/>
    <m/>
    <m/>
    <x v="0"/>
    <m/>
    <m/>
    <m/>
    <m/>
  </r>
  <r>
    <x v="1"/>
    <x v="3"/>
    <s v="15 P"/>
    <x v="28"/>
    <s v="جیلانی پولی سٹاک"/>
    <s v="PP"/>
    <n v="12"/>
    <n v="5"/>
    <n v="0"/>
    <s v="-"/>
    <s v="PP"/>
    <n v="6"/>
    <n v="294.64"/>
    <n v="8.66"/>
    <m/>
    <m/>
    <n v="285.97999999999996"/>
    <m/>
    <m/>
    <m/>
    <m/>
    <m/>
    <m/>
    <m/>
    <m/>
    <m/>
    <m/>
    <m/>
    <m/>
    <m/>
    <m/>
    <m/>
    <m/>
    <m/>
    <m/>
    <m/>
    <m/>
    <m/>
    <m/>
    <m/>
    <m/>
    <x v="0"/>
    <m/>
    <m/>
    <m/>
    <m/>
  </r>
  <r>
    <x v="1"/>
    <x v="3"/>
    <s v="9 P"/>
    <x v="28"/>
    <s v="جیلانی پولی سٹاک"/>
    <s v="PP"/>
    <n v="6"/>
    <n v="5"/>
    <n v="0"/>
    <s v="-"/>
    <s v="PP"/>
    <n v="4"/>
    <n v="111.79999999999998"/>
    <n v="3"/>
    <m/>
    <m/>
    <n v="108.79999999999998"/>
    <m/>
    <m/>
    <m/>
    <m/>
    <m/>
    <m/>
    <m/>
    <m/>
    <m/>
    <m/>
    <m/>
    <m/>
    <m/>
    <m/>
    <m/>
    <m/>
    <m/>
    <m/>
    <m/>
    <m/>
    <m/>
    <m/>
    <m/>
    <m/>
    <x v="0"/>
    <m/>
    <m/>
    <m/>
    <m/>
  </r>
  <r>
    <x v="0"/>
    <x v="4"/>
    <s v="7035/1"/>
    <x v="28"/>
    <s v="بوٹا پلاسٹک اعظم مارکیٹ"/>
    <s v="PP"/>
    <n v="23"/>
    <n v="5"/>
    <n v="0"/>
    <n v="500"/>
    <s v="PP"/>
    <n v="2"/>
    <n v="124.6"/>
    <n v="5.4"/>
    <m/>
    <m/>
    <n v="119.19999999999999"/>
    <m/>
    <m/>
    <m/>
    <m/>
    <m/>
    <m/>
    <m/>
    <m/>
    <m/>
    <m/>
    <m/>
    <m/>
    <m/>
    <m/>
    <m/>
    <m/>
    <m/>
    <m/>
    <m/>
    <m/>
    <m/>
    <m/>
    <m/>
    <m/>
    <x v="0"/>
    <m/>
    <m/>
    <m/>
    <m/>
  </r>
  <r>
    <x v="0"/>
    <x v="4"/>
    <s v="1783 F"/>
    <x v="28"/>
    <s v="عثمان امین"/>
    <s v="PP"/>
    <n v="19"/>
    <s v="7"/>
    <s v="پیور"/>
    <n v="85"/>
    <s v="PP"/>
    <n v="2"/>
    <n v="83.6"/>
    <n v="3.8"/>
    <m/>
    <m/>
    <n v="79.8"/>
    <m/>
    <m/>
    <m/>
    <m/>
    <m/>
    <m/>
    <m/>
    <m/>
    <m/>
    <m/>
    <m/>
    <m/>
    <m/>
    <m/>
    <m/>
    <m/>
    <m/>
    <m/>
    <m/>
    <m/>
    <m/>
    <m/>
    <m/>
    <m/>
    <x v="0"/>
    <m/>
    <m/>
    <m/>
    <m/>
  </r>
  <r>
    <x v="0"/>
    <x v="4"/>
    <s v="7032/2"/>
    <x v="28"/>
    <s v="العمر پلاسٹک گوجرانوالہ"/>
    <s v="PP"/>
    <n v="16"/>
    <n v="6"/>
    <n v="0"/>
    <n v="500"/>
    <s v="PP"/>
    <n v="8"/>
    <n v="348.9"/>
    <n v="1.28"/>
    <m/>
    <m/>
    <n v="347.62"/>
    <m/>
    <m/>
    <m/>
    <m/>
    <m/>
    <m/>
    <m/>
    <m/>
    <m/>
    <m/>
    <m/>
    <m/>
    <m/>
    <m/>
    <m/>
    <m/>
    <m/>
    <m/>
    <m/>
    <m/>
    <m/>
    <m/>
    <m/>
    <m/>
    <x v="0"/>
    <m/>
    <m/>
    <m/>
    <m/>
  </r>
  <r>
    <x v="1"/>
    <x v="4"/>
    <s v="7032/2"/>
    <x v="28"/>
    <s v="العمر پلاسٹک گوجرانوالہ"/>
    <s v="PP"/>
    <n v="16"/>
    <n v="6"/>
    <n v="0"/>
    <n v="500"/>
    <s v="PP"/>
    <n v="7"/>
    <n v="293.39999999999998"/>
    <n v="13.699999999999998"/>
    <m/>
    <m/>
    <n v="279.7"/>
    <m/>
    <m/>
    <m/>
    <m/>
    <m/>
    <m/>
    <m/>
    <m/>
    <m/>
    <m/>
    <m/>
    <m/>
    <m/>
    <m/>
    <m/>
    <m/>
    <m/>
    <m/>
    <m/>
    <m/>
    <m/>
    <m/>
    <m/>
    <m/>
    <x v="0"/>
    <m/>
    <m/>
    <m/>
    <m/>
  </r>
  <r>
    <x v="1"/>
    <x v="4"/>
    <s v="21 P"/>
    <x v="28"/>
    <s v="جیلانی پولی سٹاک"/>
    <s v="PP"/>
    <n v="18"/>
    <n v="5"/>
    <n v="0"/>
    <s v="-"/>
    <s v="PP"/>
    <n v="7"/>
    <n v="353.91"/>
    <n v="15.2"/>
    <m/>
    <m/>
    <n v="338.71000000000004"/>
    <m/>
    <m/>
    <m/>
    <m/>
    <m/>
    <m/>
    <m/>
    <m/>
    <m/>
    <m/>
    <m/>
    <m/>
    <m/>
    <m/>
    <m/>
    <m/>
    <m/>
    <m/>
    <m/>
    <m/>
    <m/>
    <m/>
    <m/>
    <m/>
    <x v="0"/>
    <m/>
    <m/>
    <m/>
    <m/>
  </r>
  <r>
    <x v="0"/>
    <x v="0"/>
    <s v="7037/1"/>
    <x v="29"/>
    <s v="شیخ بشیر سیا لکوٹ"/>
    <s v="PP"/>
    <n v="3"/>
    <n v="5.5"/>
    <n v="0"/>
    <n v="150"/>
    <s v="PP"/>
    <n v="8"/>
    <n v="170.50000000000003"/>
    <n v="2.4"/>
    <n v="21"/>
    <m/>
    <n v="168.10000000000002"/>
    <m/>
    <m/>
    <m/>
    <m/>
    <m/>
    <m/>
    <m/>
    <m/>
    <m/>
    <m/>
    <m/>
    <m/>
    <m/>
    <m/>
    <m/>
    <m/>
    <m/>
    <m/>
    <m/>
    <m/>
    <m/>
    <m/>
    <m/>
    <m/>
    <x v="0"/>
    <m/>
    <m/>
    <m/>
    <m/>
  </r>
  <r>
    <x v="1"/>
    <x v="0"/>
    <s v="7037/1"/>
    <x v="29"/>
    <s v="شیخ بشیر سیا لکوٹ"/>
    <s v="PP"/>
    <n v="3"/>
    <n v="5.5"/>
    <n v="0"/>
    <n v="150"/>
    <s v="PP"/>
    <n v="6"/>
    <n v="123.84"/>
    <n v="1.7999999999999998"/>
    <m/>
    <m/>
    <n v="122.04"/>
    <m/>
    <m/>
    <m/>
    <m/>
    <m/>
    <m/>
    <m/>
    <m/>
    <m/>
    <m/>
    <m/>
    <m/>
    <m/>
    <m/>
    <m/>
    <m/>
    <m/>
    <m/>
    <m/>
    <m/>
    <m/>
    <m/>
    <m/>
    <m/>
    <x v="0"/>
    <m/>
    <m/>
    <m/>
    <m/>
  </r>
  <r>
    <x v="1"/>
    <x v="0"/>
    <s v="7037/1"/>
    <x v="29"/>
    <s v="شیخ بشیر سیا لکوٹ"/>
    <s v="PP"/>
    <n v="3"/>
    <n v="5.5"/>
    <n v="0"/>
    <n v="150"/>
    <s v="PP"/>
    <n v="1"/>
    <n v="25.3"/>
    <n v="0.5"/>
    <n v="51"/>
    <m/>
    <n v="24.8"/>
    <m/>
    <m/>
    <m/>
    <m/>
    <m/>
    <m/>
    <m/>
    <m/>
    <m/>
    <m/>
    <m/>
    <m/>
    <m/>
    <m/>
    <m/>
    <m/>
    <m/>
    <m/>
    <m/>
    <m/>
    <m/>
    <m/>
    <m/>
    <m/>
    <x v="0"/>
    <m/>
    <m/>
    <m/>
    <m/>
  </r>
  <r>
    <x v="0"/>
    <x v="1"/>
    <s v="7031/2"/>
    <x v="29"/>
    <s v="العمر پلاسٹک گوجرانوالہ"/>
    <s v="PP"/>
    <n v="2"/>
    <n v="5"/>
    <n v="0"/>
    <n v="500"/>
    <s v="PP"/>
    <n v="4"/>
    <n v="77.600000000000009"/>
    <n v="0.8"/>
    <m/>
    <m/>
    <n v="76.800000000000011"/>
    <m/>
    <m/>
    <m/>
    <m/>
    <m/>
    <m/>
    <m/>
    <m/>
    <m/>
    <m/>
    <m/>
    <m/>
    <m/>
    <m/>
    <m/>
    <m/>
    <m/>
    <m/>
    <m/>
    <m/>
    <m/>
    <m/>
    <m/>
    <m/>
    <x v="0"/>
    <m/>
    <m/>
    <m/>
    <m/>
  </r>
  <r>
    <x v="1"/>
    <x v="1"/>
    <s v="7031/2"/>
    <x v="29"/>
    <s v="العمر پلاسٹک گوجرانوالہ"/>
    <s v="PP"/>
    <n v="2"/>
    <n v="5"/>
    <n v="0"/>
    <n v="500"/>
    <s v="PP"/>
    <n v="4"/>
    <n v="70.8"/>
    <n v="0.8"/>
    <m/>
    <m/>
    <n v="70"/>
    <m/>
    <m/>
    <m/>
    <m/>
    <m/>
    <m/>
    <m/>
    <m/>
    <m/>
    <m/>
    <m/>
    <m/>
    <m/>
    <m/>
    <m/>
    <m/>
    <m/>
    <m/>
    <m/>
    <m/>
    <m/>
    <m/>
    <m/>
    <m/>
    <x v="0"/>
    <m/>
    <m/>
    <m/>
    <m/>
  </r>
  <r>
    <x v="0"/>
    <x v="3"/>
    <s v="21 P"/>
    <x v="29"/>
    <s v="جیلانی پولی سٹاک"/>
    <s v="PP"/>
    <n v="18"/>
    <n v="5"/>
    <n v="0"/>
    <s v="-"/>
    <s v="PP"/>
    <n v="11"/>
    <n v="325.29999999999995"/>
    <n v="23.1"/>
    <m/>
    <m/>
    <n v="302.19999999999993"/>
    <m/>
    <m/>
    <m/>
    <m/>
    <m/>
    <m/>
    <m/>
    <m/>
    <m/>
    <m/>
    <m/>
    <m/>
    <m/>
    <m/>
    <m/>
    <m/>
    <m/>
    <m/>
    <m/>
    <m/>
    <m/>
    <m/>
    <m/>
    <m/>
    <x v="0"/>
    <m/>
    <m/>
    <m/>
    <m/>
  </r>
  <r>
    <x v="0"/>
    <x v="3"/>
    <s v="7039/1"/>
    <x v="29"/>
    <s v="ایم دین پنڈی"/>
    <s v="PP"/>
    <n v="24"/>
    <n v="6"/>
    <n v="0"/>
    <n v="360"/>
    <s v="PP"/>
    <n v="4"/>
    <n v="169.39999999999998"/>
    <n v="8.4"/>
    <m/>
    <m/>
    <n v="160.99999999999997"/>
    <m/>
    <m/>
    <m/>
    <m/>
    <m/>
    <m/>
    <m/>
    <m/>
    <m/>
    <m/>
    <m/>
    <m/>
    <m/>
    <m/>
    <m/>
    <m/>
    <m/>
    <m/>
    <m/>
    <m/>
    <m/>
    <m/>
    <m/>
    <m/>
    <x v="0"/>
    <m/>
    <m/>
    <m/>
    <m/>
  </r>
  <r>
    <x v="1"/>
    <x v="3"/>
    <s v="7039/1"/>
    <x v="29"/>
    <s v="ایم دین پنڈی"/>
    <s v="PP"/>
    <n v="24"/>
    <n v="6"/>
    <n v="0"/>
    <n v="360"/>
    <s v="PP"/>
    <n v="5"/>
    <n v="273.58999999999997"/>
    <n v="11"/>
    <m/>
    <m/>
    <n v="262.58999999999997"/>
    <m/>
    <m/>
    <m/>
    <m/>
    <m/>
    <m/>
    <m/>
    <m/>
    <m/>
    <m/>
    <m/>
    <m/>
    <m/>
    <m/>
    <m/>
    <m/>
    <m/>
    <m/>
    <m/>
    <m/>
    <m/>
    <m/>
    <m/>
    <m/>
    <x v="0"/>
    <m/>
    <m/>
    <m/>
    <m/>
  </r>
  <r>
    <x v="1"/>
    <x v="3"/>
    <s v="7045/1"/>
    <x v="29"/>
    <s v="ایم   عمران    پاکستان مارکیٹ"/>
    <s v="PP"/>
    <n v="15"/>
    <n v="5"/>
    <n v="0"/>
    <n v="200"/>
    <s v="PP"/>
    <n v="5"/>
    <n v="175.38"/>
    <n v="9.3000000000000007"/>
    <m/>
    <m/>
    <n v="166.07999999999998"/>
    <m/>
    <m/>
    <m/>
    <m/>
    <m/>
    <m/>
    <m/>
    <m/>
    <m/>
    <m/>
    <m/>
    <m/>
    <m/>
    <m/>
    <m/>
    <m/>
    <m/>
    <m/>
    <m/>
    <m/>
    <m/>
    <m/>
    <m/>
    <m/>
    <x v="0"/>
    <m/>
    <m/>
    <m/>
    <m/>
  </r>
  <r>
    <x v="1"/>
    <x v="3"/>
    <s v="7046/2"/>
    <x v="29"/>
    <s v="ایم   عمران    پاکستان مارکیٹ"/>
    <s v="PP"/>
    <n v="15"/>
    <n v="6.5"/>
    <n v="0"/>
    <n v="400"/>
    <s v="PP"/>
    <n v="5"/>
    <n v="179.49999999999997"/>
    <n v="24.899999999999995"/>
    <m/>
    <m/>
    <n v="154.59999999999997"/>
    <m/>
    <m/>
    <m/>
    <m/>
    <m/>
    <m/>
    <m/>
    <m/>
    <m/>
    <m/>
    <m/>
    <m/>
    <m/>
    <m/>
    <m/>
    <m/>
    <m/>
    <m/>
    <m/>
    <m/>
    <m/>
    <m/>
    <m/>
    <m/>
    <x v="0"/>
    <m/>
    <m/>
    <m/>
    <m/>
  </r>
  <r>
    <x v="0"/>
    <x v="4"/>
    <s v="9 P"/>
    <x v="29"/>
    <s v="جیلانی پولی سٹاک"/>
    <s v="PP"/>
    <n v="6"/>
    <n v="5"/>
    <n v="0"/>
    <s v="-"/>
    <s v="PP"/>
    <n v="12"/>
    <n v="264.57"/>
    <n v="30.800000000000011"/>
    <m/>
    <m/>
    <n v="233.76999999999998"/>
    <m/>
    <m/>
    <m/>
    <m/>
    <m/>
    <m/>
    <m/>
    <m/>
    <m/>
    <m/>
    <m/>
    <m/>
    <m/>
    <m/>
    <m/>
    <m/>
    <m/>
    <m/>
    <m/>
    <m/>
    <m/>
    <m/>
    <m/>
    <m/>
    <x v="0"/>
    <m/>
    <m/>
    <m/>
    <m/>
  </r>
  <r>
    <x v="1"/>
    <x v="4"/>
    <s v="9 P"/>
    <x v="29"/>
    <s v="جیلانی پولی سٹاک"/>
    <s v="PP"/>
    <n v="6"/>
    <n v="5"/>
    <n v="0"/>
    <s v="-"/>
    <s v="PP"/>
    <n v="8"/>
    <n v="205.20000000000002"/>
    <n v="6.4"/>
    <m/>
    <m/>
    <n v="198.8"/>
    <m/>
    <m/>
    <m/>
    <m/>
    <m/>
    <m/>
    <m/>
    <m/>
    <m/>
    <m/>
    <m/>
    <m/>
    <m/>
    <m/>
    <m/>
    <m/>
    <m/>
    <m/>
    <m/>
    <m/>
    <m/>
    <m/>
    <m/>
    <m/>
    <x v="0"/>
    <m/>
    <m/>
    <m/>
    <m/>
  </r>
  <r>
    <x v="1"/>
    <x v="4"/>
    <s v="7034/1"/>
    <x v="29"/>
    <s v="اعظم ٹوائے شاہ عالم"/>
    <s v="PP"/>
    <n v="6"/>
    <n v="10"/>
    <n v="0"/>
    <n v="50"/>
    <s v="PP"/>
    <n v="2"/>
    <n v="50.099999999999994"/>
    <n v="3.5"/>
    <m/>
    <m/>
    <n v="46.599999999999994"/>
    <m/>
    <m/>
    <m/>
    <m/>
    <m/>
    <m/>
    <m/>
    <m/>
    <m/>
    <m/>
    <m/>
    <m/>
    <m/>
    <m/>
    <m/>
    <m/>
    <m/>
    <m/>
    <m/>
    <m/>
    <m/>
    <m/>
    <m/>
    <m/>
    <x v="0"/>
    <m/>
    <m/>
    <m/>
    <m/>
  </r>
  <r>
    <x v="1"/>
    <x v="4"/>
    <s v="7046/1"/>
    <x v="29"/>
    <s v="ایم   عمران    پاکستان مارکیٹ"/>
    <s v="PP"/>
    <n v="13"/>
    <n v="6.5"/>
    <n v="0"/>
    <n v="400"/>
    <s v="PP"/>
    <n v="2"/>
    <n v="55.8"/>
    <n v="3.2"/>
    <m/>
    <m/>
    <n v="52.599999999999994"/>
    <m/>
    <m/>
    <m/>
    <m/>
    <m/>
    <m/>
    <m/>
    <m/>
    <m/>
    <m/>
    <m/>
    <m/>
    <m/>
    <m/>
    <m/>
    <m/>
    <m/>
    <m/>
    <m/>
    <m/>
    <m/>
    <m/>
    <m/>
    <m/>
    <x v="0"/>
    <m/>
    <m/>
    <m/>
    <m/>
  </r>
  <r>
    <x v="0"/>
    <x v="0"/>
    <s v="7031/3"/>
    <x v="30"/>
    <s v="العمر پلاسٹک گوجرانوالہ"/>
    <s v="PP"/>
    <n v="5"/>
    <n v="5"/>
    <n v="0"/>
    <n v="100"/>
    <s v="PP"/>
    <n v="4"/>
    <n v="100.32"/>
    <n v="2"/>
    <n v="38"/>
    <m/>
    <n v="98.32"/>
    <m/>
    <m/>
    <m/>
    <m/>
    <m/>
    <m/>
    <m/>
    <m/>
    <m/>
    <m/>
    <m/>
    <m/>
    <m/>
    <m/>
    <m/>
    <m/>
    <m/>
    <m/>
    <m/>
    <m/>
    <m/>
    <m/>
    <m/>
    <m/>
    <x v="0"/>
    <m/>
    <m/>
    <m/>
    <m/>
  </r>
  <r>
    <x v="0"/>
    <x v="0"/>
    <s v="7041/1"/>
    <x v="30"/>
    <s v="محبوب مقبول گوجرانوالہ"/>
    <s v="PP"/>
    <n v="4"/>
    <n v="5"/>
    <n v="0"/>
    <n v="125"/>
    <s v="PP"/>
    <n v="4"/>
    <n v="80.539999999999992"/>
    <n v="12"/>
    <m/>
    <m/>
    <n v="68.539999999999992"/>
    <m/>
    <m/>
    <m/>
    <m/>
    <m/>
    <m/>
    <m/>
    <m/>
    <m/>
    <m/>
    <m/>
    <m/>
    <m/>
    <m/>
    <m/>
    <m/>
    <m/>
    <m/>
    <m/>
    <m/>
    <m/>
    <m/>
    <m/>
    <m/>
    <x v="0"/>
    <m/>
    <m/>
    <m/>
    <m/>
  </r>
  <r>
    <x v="1"/>
    <x v="0"/>
    <s v="7041/1"/>
    <x v="30"/>
    <s v="محبوب مقبول گوجرانوالہ"/>
    <s v="PP"/>
    <n v="4"/>
    <n v="5"/>
    <n v="0"/>
    <n v="125"/>
    <s v="PP"/>
    <n v="8"/>
    <n v="179.89999999999998"/>
    <n v="3.2"/>
    <n v="32"/>
    <m/>
    <n v="176.7"/>
    <m/>
    <m/>
    <m/>
    <m/>
    <m/>
    <m/>
    <m/>
    <m/>
    <m/>
    <m/>
    <m/>
    <m/>
    <m/>
    <m/>
    <m/>
    <m/>
    <m/>
    <m/>
    <m/>
    <m/>
    <m/>
    <m/>
    <m/>
    <m/>
    <x v="0"/>
    <m/>
    <m/>
    <m/>
    <m/>
  </r>
  <r>
    <x v="0"/>
    <x v="1"/>
    <s v="7031/2"/>
    <x v="30"/>
    <s v="العمر پلاسٹک گوجرانوالہ"/>
    <s v="PP"/>
    <n v="2"/>
    <n v="5"/>
    <n v="0"/>
    <n v="500"/>
    <s v="PP"/>
    <n v="4"/>
    <n v="77.099999999999994"/>
    <n v="0.8"/>
    <m/>
    <m/>
    <n v="76.3"/>
    <m/>
    <m/>
    <m/>
    <m/>
    <m/>
    <m/>
    <m/>
    <m/>
    <m/>
    <m/>
    <m/>
    <m/>
    <m/>
    <m/>
    <m/>
    <m/>
    <m/>
    <m/>
    <m/>
    <m/>
    <m/>
    <m/>
    <m/>
    <m/>
    <x v="0"/>
    <m/>
    <m/>
    <m/>
    <m/>
  </r>
  <r>
    <x v="1"/>
    <x v="1"/>
    <s v="7031/2"/>
    <x v="30"/>
    <s v="العمر پلاسٹک گوجرانوالہ"/>
    <s v="PP"/>
    <n v="2"/>
    <n v="5"/>
    <n v="0"/>
    <n v="500"/>
    <s v="PP"/>
    <n v="3"/>
    <n v="62.4"/>
    <n v="0.60000000000000009"/>
    <m/>
    <m/>
    <n v="61.8"/>
    <m/>
    <m/>
    <m/>
    <m/>
    <m/>
    <m/>
    <m/>
    <m/>
    <m/>
    <m/>
    <m/>
    <m/>
    <m/>
    <m/>
    <m/>
    <m/>
    <m/>
    <m/>
    <m/>
    <m/>
    <m/>
    <m/>
    <m/>
    <m/>
    <x v="0"/>
    <m/>
    <m/>
    <m/>
    <m/>
  </r>
  <r>
    <x v="0"/>
    <x v="3"/>
    <s v="7046/2"/>
    <x v="30"/>
    <s v="ایم   عمران    پاکستان مارکیٹ"/>
    <s v="PP"/>
    <n v="15"/>
    <n v="6.5"/>
    <n v="0"/>
    <n v="400"/>
    <s v="PP"/>
    <n v="9"/>
    <n v="271.78000000000003"/>
    <n v="17.099999999999998"/>
    <m/>
    <m/>
    <n v="254.68000000000004"/>
    <m/>
    <m/>
    <m/>
    <m/>
    <m/>
    <m/>
    <m/>
    <m/>
    <m/>
    <m/>
    <m/>
    <m/>
    <m/>
    <m/>
    <m/>
    <m/>
    <m/>
    <m/>
    <m/>
    <m/>
    <m/>
    <m/>
    <m/>
    <m/>
    <x v="0"/>
    <m/>
    <m/>
    <m/>
    <m/>
  </r>
  <r>
    <x v="0"/>
    <x v="3"/>
    <s v="7045/2"/>
    <x v="30"/>
    <s v="ایم   عمران    پاکستان مارکیٹ"/>
    <s v="PP"/>
    <n v="17"/>
    <n v="5"/>
    <n v="0"/>
    <n v="100"/>
    <s v="PP"/>
    <n v="4"/>
    <n v="111.19999999999999"/>
    <n v="8.8000000000000007"/>
    <m/>
    <m/>
    <n v="102.39999999999999"/>
    <m/>
    <m/>
    <m/>
    <m/>
    <m/>
    <m/>
    <m/>
    <m/>
    <m/>
    <m/>
    <m/>
    <m/>
    <m/>
    <m/>
    <m/>
    <m/>
    <m/>
    <m/>
    <m/>
    <m/>
    <m/>
    <m/>
    <m/>
    <m/>
    <x v="0"/>
    <m/>
    <m/>
    <m/>
    <m/>
  </r>
  <r>
    <x v="0"/>
    <x v="3"/>
    <s v="7040/7"/>
    <x v="30"/>
    <s v="ہیڈ  آفس لاہور"/>
    <s v="PP"/>
    <n v="18"/>
    <n v="5"/>
    <n v="0"/>
    <n v="200"/>
    <s v="PP"/>
    <n v="3"/>
    <n v="118"/>
    <n v="6.6000000000000005"/>
    <m/>
    <m/>
    <n v="111.4"/>
    <m/>
    <m/>
    <m/>
    <m/>
    <m/>
    <m/>
    <m/>
    <m/>
    <m/>
    <m/>
    <m/>
    <m/>
    <m/>
    <m/>
    <m/>
    <m/>
    <m/>
    <m/>
    <m/>
    <m/>
    <m/>
    <m/>
    <m/>
    <m/>
    <x v="0"/>
    <m/>
    <m/>
    <m/>
    <m/>
  </r>
  <r>
    <x v="0"/>
    <x v="3"/>
    <s v="1828 F"/>
    <x v="30"/>
    <s v="Usman Amin"/>
    <s v="PP"/>
    <n v="17"/>
    <s v="8"/>
    <s v="پیور"/>
    <n v="80"/>
    <s v="PP"/>
    <n v="2"/>
    <n v="89"/>
    <n v="4.4000000000000004"/>
    <m/>
    <m/>
    <n v="84.6"/>
    <m/>
    <m/>
    <m/>
    <m/>
    <m/>
    <m/>
    <m/>
    <m/>
    <m/>
    <m/>
    <m/>
    <m/>
    <m/>
    <m/>
    <m/>
    <m/>
    <m/>
    <m/>
    <m/>
    <m/>
    <m/>
    <m/>
    <m/>
    <m/>
    <x v="0"/>
    <m/>
    <m/>
    <m/>
    <m/>
  </r>
  <r>
    <x v="1"/>
    <x v="3"/>
    <s v="7049/15"/>
    <x v="30"/>
    <s v="آصف پلاسٹک سرگودھا"/>
    <s v="PP"/>
    <n v="18"/>
    <n v="4.5"/>
    <n v="0"/>
    <n v="100"/>
    <s v="PP"/>
    <n v="2"/>
    <n v="82"/>
    <n v="4.4000000000000004"/>
    <m/>
    <m/>
    <n v="77.599999999999994"/>
    <m/>
    <m/>
    <m/>
    <m/>
    <m/>
    <m/>
    <m/>
    <m/>
    <m/>
    <m/>
    <m/>
    <m/>
    <m/>
    <m/>
    <m/>
    <m/>
    <m/>
    <m/>
    <m/>
    <m/>
    <m/>
    <m/>
    <m/>
    <m/>
    <x v="0"/>
    <m/>
    <m/>
    <m/>
    <m/>
  </r>
  <r>
    <x v="1"/>
    <x v="3"/>
    <s v="7049/13"/>
    <x v="30"/>
    <s v="آصف پلاسٹک سرگودھا"/>
    <s v="PP"/>
    <n v="14"/>
    <n v="4.5"/>
    <n v="0"/>
    <n v="100"/>
    <s v="PP"/>
    <n v="3"/>
    <n v="127.38"/>
    <n v="5.0999999999999996"/>
    <m/>
    <m/>
    <n v="122.28"/>
    <m/>
    <m/>
    <m/>
    <m/>
    <m/>
    <m/>
    <m/>
    <m/>
    <m/>
    <m/>
    <m/>
    <m/>
    <m/>
    <m/>
    <m/>
    <m/>
    <m/>
    <m/>
    <m/>
    <m/>
    <m/>
    <m/>
    <m/>
    <m/>
    <x v="0"/>
    <m/>
    <m/>
    <m/>
    <m/>
  </r>
  <r>
    <x v="1"/>
    <x v="3"/>
    <s v="3137 J"/>
    <x v="30"/>
    <s v="Paracon Engineering Pvt LTD"/>
    <s v="PP"/>
    <n v="22"/>
    <s v="7-7.5"/>
    <s v=".1:1"/>
    <n v="165"/>
    <s v="PP"/>
    <n v="3"/>
    <n v="181.60000000000002"/>
    <n v="8.3999999999999986"/>
    <m/>
    <m/>
    <n v="173.20000000000002"/>
    <m/>
    <m/>
    <m/>
    <m/>
    <m/>
    <m/>
    <m/>
    <m/>
    <m/>
    <m/>
    <m/>
    <m/>
    <m/>
    <m/>
    <m/>
    <m/>
    <m/>
    <m/>
    <m/>
    <m/>
    <m/>
    <m/>
    <m/>
    <m/>
    <x v="0"/>
    <m/>
    <m/>
    <m/>
    <m/>
  </r>
  <r>
    <x v="1"/>
    <x v="3"/>
    <s v="7049/15"/>
    <x v="30"/>
    <s v="آصف پلاسٹک سرگودھا"/>
    <s v="PP"/>
    <n v="18"/>
    <n v="4.5"/>
    <n v="0"/>
    <n v="100"/>
    <s v="PP"/>
    <n v="2"/>
    <n v="64.099999999999994"/>
    <n v="4.2"/>
    <m/>
    <m/>
    <n v="59.899999999999991"/>
    <m/>
    <m/>
    <m/>
    <m/>
    <m/>
    <m/>
    <m/>
    <m/>
    <m/>
    <m/>
    <m/>
    <m/>
    <m/>
    <m/>
    <m/>
    <m/>
    <m/>
    <m/>
    <m/>
    <m/>
    <m/>
    <m/>
    <m/>
    <m/>
    <x v="0"/>
    <m/>
    <m/>
    <m/>
    <m/>
  </r>
  <r>
    <x v="1"/>
    <x v="3"/>
    <s v="7049/13"/>
    <x v="30"/>
    <s v="آصف پلاسٹک سرگودھا"/>
    <s v="PP"/>
    <n v="14"/>
    <n v="4.5"/>
    <n v="0"/>
    <n v="100"/>
    <s v="PP"/>
    <n v="1"/>
    <n v="38.869999999999997"/>
    <n v="1.75"/>
    <m/>
    <m/>
    <n v="37.119999999999997"/>
    <m/>
    <m/>
    <m/>
    <m/>
    <m/>
    <m/>
    <m/>
    <m/>
    <m/>
    <m/>
    <m/>
    <m/>
    <m/>
    <m/>
    <m/>
    <m/>
    <m/>
    <m/>
    <m/>
    <m/>
    <m/>
    <m/>
    <m/>
    <m/>
    <x v="0"/>
    <m/>
    <m/>
    <m/>
    <m/>
  </r>
  <r>
    <x v="0"/>
    <x v="3"/>
    <s v="3138 J"/>
    <x v="30"/>
    <s v="Paracon Engineering Pvt LTD"/>
    <s v="PP"/>
    <n v="22"/>
    <s v="7-7.5"/>
    <s v=".1:1"/>
    <n v="400"/>
    <s v="PP"/>
    <n v="1"/>
    <n v="67.010000000000005"/>
    <n v="0.22"/>
    <m/>
    <m/>
    <n v="66.790000000000006"/>
    <m/>
    <m/>
    <m/>
    <m/>
    <m/>
    <m/>
    <m/>
    <m/>
    <m/>
    <m/>
    <m/>
    <m/>
    <m/>
    <m/>
    <m/>
    <m/>
    <m/>
    <m/>
    <m/>
    <m/>
    <m/>
    <m/>
    <m/>
    <m/>
    <x v="0"/>
    <m/>
    <m/>
    <m/>
    <m/>
  </r>
  <r>
    <x v="0"/>
    <x v="4"/>
    <s v="7046/1"/>
    <x v="30"/>
    <s v="ایم   عمران    پاکستان مارکیٹ"/>
    <s v="PP"/>
    <n v="13"/>
    <n v="6.5"/>
    <n v="0"/>
    <n v="400"/>
    <s v="PP"/>
    <n v="13"/>
    <n v="389.26999999999992"/>
    <n v="21.45"/>
    <m/>
    <m/>
    <n v="367.81999999999994"/>
    <m/>
    <m/>
    <m/>
    <m/>
    <m/>
    <m/>
    <m/>
    <m/>
    <m/>
    <m/>
    <m/>
    <m/>
    <m/>
    <m/>
    <m/>
    <m/>
    <m/>
    <m/>
    <m/>
    <m/>
    <m/>
    <m/>
    <m/>
    <m/>
    <x v="0"/>
    <m/>
    <m/>
    <m/>
    <m/>
  </r>
  <r>
    <x v="1"/>
    <x v="4"/>
    <s v="7049/8"/>
    <x v="30"/>
    <s v="آصف پلاسٹک سرگودھا"/>
    <s v="PP"/>
    <n v="9"/>
    <n v="4.5"/>
    <n v="0"/>
    <n v="100"/>
    <s v="PP"/>
    <n v="3"/>
    <n v="68.400000000000006"/>
    <n v="2.7"/>
    <m/>
    <m/>
    <n v="65.7"/>
    <m/>
    <m/>
    <m/>
    <m/>
    <m/>
    <m/>
    <m/>
    <m/>
    <m/>
    <m/>
    <m/>
    <m/>
    <m/>
    <m/>
    <m/>
    <m/>
    <m/>
    <m/>
    <m/>
    <m/>
    <m/>
    <m/>
    <m/>
    <m/>
    <x v="0"/>
    <m/>
    <m/>
    <m/>
    <m/>
  </r>
  <r>
    <x v="1"/>
    <x v="4"/>
    <s v="7049/8"/>
    <x v="30"/>
    <s v="آصف پلاسٹک سرگودھا"/>
    <s v="PP"/>
    <n v="9"/>
    <n v="4.5"/>
    <n v="0"/>
    <n v="100"/>
    <s v="PP"/>
    <n v="1"/>
    <n v="17.600000000000001"/>
    <n v="1.1499999999999999"/>
    <m/>
    <m/>
    <n v="16.450000000000003"/>
    <m/>
    <m/>
    <m/>
    <m/>
    <m/>
    <m/>
    <m/>
    <m/>
    <m/>
    <m/>
    <m/>
    <m/>
    <m/>
    <m/>
    <m/>
    <m/>
    <m/>
    <m/>
    <m/>
    <m/>
    <m/>
    <m/>
    <m/>
    <m/>
    <x v="0"/>
    <m/>
    <m/>
    <m/>
    <m/>
  </r>
  <r>
    <x v="1"/>
    <x v="4"/>
    <s v="7049/8"/>
    <x v="30"/>
    <s v="آصف پلاسٹک سرگودھا"/>
    <s v="PP"/>
    <n v="9"/>
    <n v="4.5"/>
    <n v="0"/>
    <n v="100"/>
    <s v="PP"/>
    <n v="2"/>
    <n v="61.7"/>
    <n v="2.3499999999999996"/>
    <m/>
    <m/>
    <n v="59.35"/>
    <m/>
    <m/>
    <m/>
    <m/>
    <m/>
    <m/>
    <m/>
    <m/>
    <m/>
    <m/>
    <m/>
    <m/>
    <m/>
    <m/>
    <m/>
    <m/>
    <m/>
    <m/>
    <m/>
    <m/>
    <m/>
    <m/>
    <m/>
    <m/>
    <x v="0"/>
    <m/>
    <m/>
    <m/>
    <m/>
  </r>
  <r>
    <x v="1"/>
    <x v="4"/>
    <s v="7029/1"/>
    <x v="30"/>
    <s v="حزیفہ پلاسٹک اعظم مارکیٹ"/>
    <s v="PP"/>
    <n v="9"/>
    <n v="6"/>
    <n v="0"/>
    <n v="50"/>
    <s v="PP"/>
    <n v="2"/>
    <n v="54.370000000000005"/>
    <n v="2.5"/>
    <m/>
    <m/>
    <n v="51.870000000000005"/>
    <m/>
    <m/>
    <m/>
    <m/>
    <m/>
    <m/>
    <m/>
    <m/>
    <m/>
    <m/>
    <m/>
    <m/>
    <m/>
    <m/>
    <m/>
    <m/>
    <m/>
    <m/>
    <m/>
    <m/>
    <m/>
    <m/>
    <m/>
    <m/>
    <x v="0"/>
    <m/>
    <m/>
    <m/>
    <m/>
  </r>
  <r>
    <x v="1"/>
    <x v="4"/>
    <s v="7049/3"/>
    <x v="30"/>
    <s v="آصف پلاسٹک سرگودھا"/>
    <s v="PP"/>
    <n v="12"/>
    <n v="4.5"/>
    <n v="0"/>
    <n v="300"/>
    <s v="PP"/>
    <n v="6"/>
    <n v="247.40000000000003"/>
    <n v="9"/>
    <m/>
    <m/>
    <n v="238.40000000000003"/>
    <m/>
    <m/>
    <m/>
    <m/>
    <m/>
    <m/>
    <m/>
    <m/>
    <m/>
    <m/>
    <m/>
    <m/>
    <m/>
    <m/>
    <m/>
    <m/>
    <m/>
    <m/>
    <m/>
    <m/>
    <m/>
    <m/>
    <m/>
    <m/>
    <x v="0"/>
    <m/>
    <m/>
    <m/>
    <m/>
  </r>
  <r>
    <x v="0"/>
    <x v="0"/>
    <s v="3 P"/>
    <x v="31"/>
    <s v="جیلانی پولی سٹاک"/>
    <s v="PP"/>
    <n v="2.5"/>
    <s v="5.5-6"/>
    <n v="0"/>
    <s v="-"/>
    <s v="PP"/>
    <n v="4"/>
    <n v="43.78"/>
    <n v="0.4"/>
    <n v="31"/>
    <m/>
    <n v="43.38"/>
    <m/>
    <m/>
    <m/>
    <m/>
    <m/>
    <m/>
    <m/>
    <m/>
    <m/>
    <m/>
    <m/>
    <m/>
    <m/>
    <m/>
    <m/>
    <m/>
    <m/>
    <m/>
    <m/>
    <m/>
    <m/>
    <m/>
    <m/>
    <m/>
    <x v="0"/>
    <m/>
    <m/>
    <m/>
    <m/>
  </r>
  <r>
    <x v="0"/>
    <x v="0"/>
    <s v="5 P"/>
    <x v="31"/>
    <s v="جیلانی پولی سٹاک"/>
    <s v="PP"/>
    <n v="3.5"/>
    <s v="5.5-6"/>
    <n v="0"/>
    <s v="-"/>
    <s v="PP"/>
    <n v="1"/>
    <n v="13.05"/>
    <n v="0.35"/>
    <m/>
    <m/>
    <n v="12.700000000000001"/>
    <m/>
    <m/>
    <m/>
    <m/>
    <m/>
    <m/>
    <m/>
    <m/>
    <m/>
    <m/>
    <m/>
    <m/>
    <m/>
    <m/>
    <m/>
    <m/>
    <m/>
    <m/>
    <m/>
    <m/>
    <m/>
    <m/>
    <m/>
    <m/>
    <x v="0"/>
    <m/>
    <m/>
    <m/>
    <m/>
  </r>
  <r>
    <x v="1"/>
    <x v="0"/>
    <s v="5 P"/>
    <x v="31"/>
    <s v="جیلانی پولی سٹاک"/>
    <s v="PP"/>
    <n v="3.5"/>
    <s v="5.5-6"/>
    <n v="0"/>
    <s v="-"/>
    <s v="PP"/>
    <n v="3"/>
    <n v="76.14"/>
    <n v="1.0499999999999998"/>
    <n v="30"/>
    <m/>
    <n v="75.09"/>
    <m/>
    <m/>
    <m/>
    <m/>
    <m/>
    <m/>
    <m/>
    <m/>
    <m/>
    <m/>
    <m/>
    <m/>
    <m/>
    <m/>
    <m/>
    <m/>
    <m/>
    <m/>
    <m/>
    <m/>
    <m/>
    <m/>
    <m/>
    <m/>
    <x v="0"/>
    <m/>
    <m/>
    <m/>
    <m/>
  </r>
  <r>
    <x v="0"/>
    <x v="1"/>
    <s v="7037/1"/>
    <x v="31"/>
    <s v="شیخ بشیر سیا لکوٹ"/>
    <s v="PP"/>
    <n v="3"/>
    <n v="5.5"/>
    <n v="0"/>
    <n v="150"/>
    <s v="PP"/>
    <n v="6"/>
    <n v="73.2"/>
    <n v="3.92"/>
    <m/>
    <m/>
    <n v="69.28"/>
    <m/>
    <m/>
    <m/>
    <m/>
    <m/>
    <m/>
    <m/>
    <m/>
    <m/>
    <m/>
    <m/>
    <m/>
    <m/>
    <m/>
    <m/>
    <m/>
    <m/>
    <m/>
    <m/>
    <m/>
    <m/>
    <m/>
    <m/>
    <m/>
    <x v="0"/>
    <m/>
    <m/>
    <m/>
    <m/>
  </r>
  <r>
    <x v="1"/>
    <x v="1"/>
    <s v="7037/1"/>
    <x v="31"/>
    <s v="شیخ بشیر سیا لکوٹ"/>
    <s v="PP"/>
    <n v="3"/>
    <n v="5.5"/>
    <n v="0"/>
    <n v="150"/>
    <s v="PP"/>
    <n v="5"/>
    <n v="68.099999999999994"/>
    <n v="1.75"/>
    <m/>
    <m/>
    <n v="66.349999999999994"/>
    <m/>
    <m/>
    <m/>
    <m/>
    <m/>
    <m/>
    <m/>
    <m/>
    <m/>
    <m/>
    <m/>
    <m/>
    <m/>
    <m/>
    <m/>
    <m/>
    <m/>
    <m/>
    <m/>
    <m/>
    <m/>
    <m/>
    <m/>
    <m/>
    <x v="0"/>
    <m/>
    <m/>
    <m/>
    <m/>
  </r>
  <r>
    <x v="0"/>
    <x v="3"/>
    <s v="3138 J"/>
    <x v="31"/>
    <s v="Paracon Engineering Pvt LTD"/>
    <s v="PP"/>
    <n v="22"/>
    <s v="7-7.5"/>
    <s v=".1:1"/>
    <n v="400"/>
    <s v="PP"/>
    <n v="3"/>
    <n v="125.8"/>
    <n v="8.3999999999999986"/>
    <m/>
    <m/>
    <n v="117.4"/>
    <m/>
    <m/>
    <m/>
    <m/>
    <m/>
    <m/>
    <m/>
    <m/>
    <m/>
    <m/>
    <m/>
    <m/>
    <m/>
    <m/>
    <m/>
    <m/>
    <m/>
    <m/>
    <m/>
    <m/>
    <m/>
    <m/>
    <m/>
    <m/>
    <x v="0"/>
    <m/>
    <m/>
    <m/>
    <m/>
  </r>
  <r>
    <x v="0"/>
    <x v="3"/>
    <s v="3128 J"/>
    <x v="31"/>
    <s v="Raza Graments Lahore"/>
    <s v="PP"/>
    <n v="14"/>
    <s v="11.5-12"/>
    <s v=".1:1"/>
    <n v="1000"/>
    <s v="PP"/>
    <n v="5"/>
    <n v="181.89999999999998"/>
    <n v="8.5"/>
    <m/>
    <m/>
    <n v="173.39999999999998"/>
    <m/>
    <m/>
    <m/>
    <m/>
    <m/>
    <m/>
    <m/>
    <m/>
    <m/>
    <m/>
    <m/>
    <m/>
    <m/>
    <m/>
    <m/>
    <m/>
    <m/>
    <m/>
    <m/>
    <m/>
    <m/>
    <m/>
    <m/>
    <m/>
    <x v="0"/>
    <m/>
    <m/>
    <m/>
    <m/>
  </r>
  <r>
    <x v="0"/>
    <x v="3"/>
    <s v="17 P"/>
    <x v="31"/>
    <s v="جیلانی پولی سٹاک"/>
    <s v="PP"/>
    <n v="14"/>
    <n v="5"/>
    <n v="0"/>
    <s v="-"/>
    <s v="PP"/>
    <n v="2"/>
    <n v="63.1"/>
    <n v="0.28000000000000003"/>
    <m/>
    <m/>
    <n v="62.82"/>
    <m/>
    <m/>
    <m/>
    <m/>
    <m/>
    <m/>
    <m/>
    <m/>
    <m/>
    <m/>
    <m/>
    <m/>
    <m/>
    <m/>
    <m/>
    <m/>
    <m/>
    <m/>
    <m/>
    <m/>
    <m/>
    <m/>
    <m/>
    <m/>
    <x v="0"/>
    <m/>
    <m/>
    <m/>
    <m/>
  </r>
  <r>
    <x v="1"/>
    <x v="3"/>
    <s v="3128 J"/>
    <x v="31"/>
    <s v="Raza Graments Lahore"/>
    <s v="PP"/>
    <n v="14"/>
    <s v="11.5-12"/>
    <s v=".1:1"/>
    <n v="1000"/>
    <s v="PP"/>
    <n v="11"/>
    <n v="527.38"/>
    <n v="17.199999999999996"/>
    <m/>
    <m/>
    <n v="510.18"/>
    <m/>
    <m/>
    <m/>
    <m/>
    <m/>
    <m/>
    <m/>
    <m/>
    <m/>
    <m/>
    <m/>
    <m/>
    <m/>
    <m/>
    <m/>
    <m/>
    <m/>
    <m/>
    <m/>
    <m/>
    <m/>
    <m/>
    <m/>
    <m/>
    <x v="0"/>
    <m/>
    <m/>
    <m/>
    <m/>
  </r>
  <r>
    <x v="0"/>
    <x v="4"/>
    <s v="7049/3"/>
    <x v="31"/>
    <s v="آصف پلاسٹک سرگودھا"/>
    <s v="PP"/>
    <n v="12"/>
    <n v="4.5"/>
    <n v="0"/>
    <n v="300"/>
    <s v="PP"/>
    <n v="3"/>
    <n v="94.899999999999991"/>
    <n v="0.36"/>
    <m/>
    <m/>
    <n v="94.539999999999992"/>
    <m/>
    <m/>
    <m/>
    <m/>
    <m/>
    <m/>
    <m/>
    <m/>
    <m/>
    <m/>
    <m/>
    <m/>
    <m/>
    <m/>
    <m/>
    <m/>
    <m/>
    <m/>
    <m/>
    <m/>
    <m/>
    <m/>
    <m/>
    <m/>
    <x v="0"/>
    <m/>
    <m/>
    <m/>
    <m/>
  </r>
  <r>
    <x v="0"/>
    <x v="4"/>
    <s v="7044/1"/>
    <x v="31"/>
    <s v="عمران مشتاق پتوکی"/>
    <s v="PP"/>
    <n v="18"/>
    <n v="5"/>
    <n v="0"/>
    <n v="50"/>
    <s v="PP"/>
    <n v="6"/>
    <n v="167.39999999999998"/>
    <m/>
    <m/>
    <m/>
    <n v="167.39999999999998"/>
    <m/>
    <m/>
    <m/>
    <m/>
    <m/>
    <m/>
    <m/>
    <m/>
    <m/>
    <m/>
    <m/>
    <m/>
    <m/>
    <m/>
    <m/>
    <m/>
    <m/>
    <m/>
    <m/>
    <m/>
    <m/>
    <m/>
    <m/>
    <m/>
    <x v="0"/>
    <m/>
    <m/>
    <m/>
    <m/>
  </r>
  <r>
    <x v="1"/>
    <x v="4"/>
    <s v="7045/3"/>
    <x v="31"/>
    <s v="ایم   عمران    پاکستان مارکیٹ"/>
    <s v="PP"/>
    <n v="7"/>
    <n v="5"/>
    <n v="0"/>
    <n v="100"/>
    <s v="PP"/>
    <n v="3"/>
    <n v="63.399999999999991"/>
    <n v="2.4000000000000004"/>
    <m/>
    <m/>
    <n v="60.999999999999993"/>
    <m/>
    <m/>
    <m/>
    <m/>
    <m/>
    <m/>
    <m/>
    <m/>
    <m/>
    <m/>
    <m/>
    <m/>
    <m/>
    <m/>
    <m/>
    <m/>
    <m/>
    <m/>
    <m/>
    <m/>
    <m/>
    <m/>
    <m/>
    <m/>
    <x v="0"/>
    <m/>
    <m/>
    <m/>
    <m/>
  </r>
  <r>
    <x v="1"/>
    <x v="4"/>
    <s v="7045/3"/>
    <x v="31"/>
    <s v="ایم   عمران    پاکستان مارکیٹ"/>
    <s v="PP"/>
    <n v="7"/>
    <n v="5"/>
    <n v="0"/>
    <n v="100"/>
    <s v="PP"/>
    <n v="4"/>
    <n v="105.19999999999999"/>
    <n v="3.2"/>
    <m/>
    <m/>
    <n v="101.99999999999999"/>
    <m/>
    <m/>
    <m/>
    <m/>
    <m/>
    <m/>
    <m/>
    <m/>
    <m/>
    <m/>
    <m/>
    <m/>
    <m/>
    <m/>
    <m/>
    <m/>
    <m/>
    <m/>
    <m/>
    <m/>
    <m/>
    <m/>
    <m/>
    <m/>
    <x v="0"/>
    <m/>
    <m/>
    <m/>
    <m/>
  </r>
  <r>
    <x v="1"/>
    <x v="4"/>
    <s v="7049/9"/>
    <x v="31"/>
    <s v="آصف پلاسٹک سرگودھا"/>
    <s v="PP"/>
    <n v="7"/>
    <n v="4.5"/>
    <n v="0"/>
    <n v="50"/>
    <s v="PP"/>
    <n v="1"/>
    <n v="24.9"/>
    <n v="0.8"/>
    <m/>
    <m/>
    <n v="24.099999999999998"/>
    <m/>
    <m/>
    <m/>
    <m/>
    <m/>
    <m/>
    <m/>
    <m/>
    <m/>
    <m/>
    <m/>
    <m/>
    <m/>
    <m/>
    <m/>
    <m/>
    <m/>
    <m/>
    <m/>
    <m/>
    <m/>
    <m/>
    <m/>
    <m/>
    <x v="0"/>
    <m/>
    <m/>
    <m/>
    <m/>
  </r>
  <r>
    <x v="0"/>
    <x v="0"/>
    <s v="5 P"/>
    <x v="32"/>
    <s v="جیلانی پولی سٹاک"/>
    <s v="PP"/>
    <n v="3.5"/>
    <s v="5.5-6"/>
    <n v="0"/>
    <s v="-"/>
    <s v="PP"/>
    <n v="4"/>
    <n v="86.36"/>
    <n v="1.2"/>
    <n v="32"/>
    <m/>
    <n v="85.16"/>
    <m/>
    <m/>
    <m/>
    <m/>
    <m/>
    <m/>
    <m/>
    <m/>
    <m/>
    <m/>
    <m/>
    <m/>
    <m/>
    <m/>
    <m/>
    <m/>
    <m/>
    <m/>
    <m/>
    <m/>
    <m/>
    <m/>
    <m/>
    <m/>
    <x v="0"/>
    <m/>
    <m/>
    <m/>
    <m/>
  </r>
  <r>
    <x v="1"/>
    <x v="0"/>
    <s v="5 P"/>
    <x v="32"/>
    <s v="جیلانی پولی سٹاک"/>
    <s v="PP"/>
    <n v="3.5"/>
    <s v="5.5-6"/>
    <n v="0"/>
    <s v="-"/>
    <s v="PP"/>
    <n v="7"/>
    <n v="116.22999999999999"/>
    <n v="2.1"/>
    <n v="27.5"/>
    <m/>
    <n v="114.13"/>
    <m/>
    <m/>
    <m/>
    <m/>
    <m/>
    <m/>
    <m/>
    <m/>
    <m/>
    <m/>
    <m/>
    <m/>
    <m/>
    <m/>
    <m/>
    <m/>
    <m/>
    <m/>
    <m/>
    <m/>
    <m/>
    <m/>
    <m/>
    <m/>
    <x v="0"/>
    <m/>
    <m/>
    <m/>
    <m/>
  </r>
  <r>
    <x v="1"/>
    <x v="0"/>
    <s v="7055/3"/>
    <x v="32"/>
    <s v="عثمان امین لاہور"/>
    <s v="PP"/>
    <n v="4"/>
    <n v="5"/>
    <n v="0"/>
    <n v="2000"/>
    <s v="PP"/>
    <n v="2"/>
    <n v="28.200000000000003"/>
    <n v="0.8"/>
    <m/>
    <m/>
    <n v="27.400000000000002"/>
    <m/>
    <m/>
    <m/>
    <m/>
    <m/>
    <m/>
    <m/>
    <m/>
    <m/>
    <m/>
    <m/>
    <m/>
    <m/>
    <m/>
    <m/>
    <m/>
    <m/>
    <m/>
    <m/>
    <m/>
    <m/>
    <m/>
    <m/>
    <m/>
    <x v="0"/>
    <m/>
    <m/>
    <m/>
    <m/>
  </r>
  <r>
    <x v="0"/>
    <x v="1"/>
    <s v="5 P"/>
    <x v="32"/>
    <s v="جیلانی پولی سٹاک"/>
    <s v="PP"/>
    <n v="3.5"/>
    <s v="5.5-6"/>
    <n v="0"/>
    <s v="-"/>
    <s v="PP"/>
    <n v="6"/>
    <n v="83.864999999999995"/>
    <n v="1.7999999999999998"/>
    <m/>
    <m/>
    <n v="82.064999999999998"/>
    <m/>
    <m/>
    <m/>
    <m/>
    <m/>
    <m/>
    <m/>
    <m/>
    <m/>
    <m/>
    <m/>
    <m/>
    <m/>
    <m/>
    <m/>
    <m/>
    <m/>
    <m/>
    <m/>
    <m/>
    <m/>
    <m/>
    <m/>
    <m/>
    <x v="0"/>
    <m/>
    <m/>
    <m/>
    <m/>
  </r>
  <r>
    <x v="1"/>
    <x v="1"/>
    <s v="5 P"/>
    <x v="32"/>
    <s v="جیلانی پولی سٹاک"/>
    <s v="PP"/>
    <n v="3.5"/>
    <s v="5.5-6"/>
    <n v="0"/>
    <s v="-"/>
    <s v="PP"/>
    <n v="2"/>
    <n v="20.630000000000003"/>
    <n v="0.6"/>
    <m/>
    <m/>
    <n v="20.03"/>
    <m/>
    <m/>
    <m/>
    <m/>
    <m/>
    <m/>
    <m/>
    <m/>
    <m/>
    <m/>
    <m/>
    <m/>
    <m/>
    <m/>
    <m/>
    <m/>
    <m/>
    <m/>
    <m/>
    <m/>
    <m/>
    <m/>
    <m/>
    <m/>
    <x v="0"/>
    <m/>
    <m/>
    <m/>
    <m/>
  </r>
  <r>
    <x v="1"/>
    <x v="1"/>
    <s v="2 P"/>
    <x v="32"/>
    <s v="جیلانی پولی سٹاک"/>
    <s v="PP"/>
    <n v="2"/>
    <s v="5.5-6"/>
    <n v="0"/>
    <s v="-"/>
    <s v="PP"/>
    <n v="5"/>
    <n v="67.699999999999989"/>
    <n v="1"/>
    <m/>
    <m/>
    <n v="66.699999999999989"/>
    <m/>
    <m/>
    <m/>
    <m/>
    <m/>
    <m/>
    <m/>
    <m/>
    <m/>
    <m/>
    <m/>
    <m/>
    <m/>
    <m/>
    <m/>
    <m/>
    <m/>
    <m/>
    <m/>
    <m/>
    <m/>
    <m/>
    <m/>
    <m/>
    <x v="0"/>
    <m/>
    <m/>
    <m/>
    <m/>
  </r>
  <r>
    <x v="0"/>
    <x v="2"/>
    <s v="7055/1"/>
    <x v="32"/>
    <s v="عثمان امین لاہور"/>
    <s v="PP"/>
    <n v="7"/>
    <n v="5"/>
    <n v="0"/>
    <n v="6000"/>
    <s v="PP"/>
    <n v="3"/>
    <n v="101.89999999999999"/>
    <n v="2.5"/>
    <m/>
    <m/>
    <n v="99.399999999999991"/>
    <m/>
    <m/>
    <m/>
    <m/>
    <m/>
    <m/>
    <m/>
    <m/>
    <m/>
    <m/>
    <m/>
    <m/>
    <m/>
    <m/>
    <m/>
    <m/>
    <m/>
    <m/>
    <m/>
    <m/>
    <m/>
    <m/>
    <m/>
    <m/>
    <x v="0"/>
    <m/>
    <m/>
    <m/>
    <m/>
  </r>
  <r>
    <x v="1"/>
    <x v="2"/>
    <s v="7055/1"/>
    <x v="32"/>
    <s v="عثمان امین لاہور"/>
    <s v="PP"/>
    <n v="7"/>
    <n v="5"/>
    <n v="0"/>
    <n v="6000"/>
    <s v="PP"/>
    <n v="7"/>
    <n v="225.20000000000002"/>
    <n v="14"/>
    <m/>
    <m/>
    <n v="211.20000000000002"/>
    <m/>
    <m/>
    <m/>
    <m/>
    <m/>
    <m/>
    <m/>
    <m/>
    <m/>
    <m/>
    <m/>
    <m/>
    <m/>
    <m/>
    <m/>
    <m/>
    <m/>
    <m/>
    <m/>
    <m/>
    <m/>
    <m/>
    <m/>
    <m/>
    <x v="0"/>
    <m/>
    <m/>
    <m/>
    <m/>
  </r>
  <r>
    <x v="1"/>
    <x v="2"/>
    <s v="13 P"/>
    <x v="32"/>
    <s v="جیلانی پولی سٹاک"/>
    <s v="PP"/>
    <n v="10"/>
    <n v="5"/>
    <n v="0"/>
    <s v="-"/>
    <s v="PP"/>
    <n v="2"/>
    <n v="48.099999999999994"/>
    <n v="5.6"/>
    <m/>
    <m/>
    <n v="42.499999999999993"/>
    <m/>
    <m/>
    <m/>
    <m/>
    <m/>
    <m/>
    <m/>
    <m/>
    <m/>
    <m/>
    <m/>
    <m/>
    <m/>
    <m/>
    <m/>
    <m/>
    <m/>
    <m/>
    <m/>
    <m/>
    <m/>
    <m/>
    <m/>
    <m/>
    <x v="0"/>
    <m/>
    <m/>
    <m/>
    <m/>
  </r>
  <r>
    <x v="0"/>
    <x v="4"/>
    <s v="15 P"/>
    <x v="32"/>
    <s v="جیلانی پولی سٹاک"/>
    <s v="PP"/>
    <n v="12"/>
    <n v="5"/>
    <n v="0"/>
    <s v="-"/>
    <s v="PP"/>
    <n v="5"/>
    <n v="209.4"/>
    <n v="7.5"/>
    <m/>
    <m/>
    <n v="201.9"/>
    <m/>
    <m/>
    <m/>
    <m/>
    <m/>
    <m/>
    <m/>
    <m/>
    <m/>
    <m/>
    <m/>
    <m/>
    <m/>
    <m/>
    <m/>
    <m/>
    <m/>
    <m/>
    <m/>
    <m/>
    <m/>
    <m/>
    <m/>
    <m/>
    <x v="0"/>
    <m/>
    <m/>
    <m/>
    <m/>
  </r>
  <r>
    <x v="1"/>
    <x v="4"/>
    <s v="15 P"/>
    <x v="32"/>
    <s v="جیلانی پولی سٹاک"/>
    <s v="PP"/>
    <n v="12"/>
    <n v="5"/>
    <n v="0"/>
    <s v="-"/>
    <s v="PP"/>
    <n v="10"/>
    <n v="424.50000000000006"/>
    <n v="15"/>
    <m/>
    <m/>
    <n v="409.50000000000006"/>
    <m/>
    <m/>
    <m/>
    <m/>
    <m/>
    <m/>
    <m/>
    <m/>
    <m/>
    <m/>
    <m/>
    <m/>
    <m/>
    <m/>
    <m/>
    <m/>
    <m/>
    <m/>
    <m/>
    <m/>
    <m/>
    <m/>
    <m/>
    <m/>
    <x v="0"/>
    <m/>
    <m/>
    <m/>
    <m/>
  </r>
  <r>
    <x v="0"/>
    <x v="0"/>
    <s v="7055/3"/>
    <x v="33"/>
    <s v="عثمان امین لاہور"/>
    <s v="PP"/>
    <n v="4"/>
    <n v="5"/>
    <n v="0"/>
    <n v="2000"/>
    <s v="PP"/>
    <n v="9"/>
    <n v="164.6"/>
    <n v="3.6"/>
    <n v="17.3"/>
    <m/>
    <n v="161"/>
    <m/>
    <m/>
    <m/>
    <m/>
    <m/>
    <m/>
    <m/>
    <m/>
    <m/>
    <m/>
    <m/>
    <m/>
    <m/>
    <m/>
    <m/>
    <m/>
    <m/>
    <m/>
    <m/>
    <m/>
    <m/>
    <m/>
    <m/>
    <m/>
    <x v="0"/>
    <m/>
    <m/>
    <m/>
    <m/>
  </r>
  <r>
    <x v="1"/>
    <x v="0"/>
    <s v="7055/3"/>
    <x v="33"/>
    <s v="عثمان امین لاہور"/>
    <s v="PP"/>
    <n v="4"/>
    <n v="5"/>
    <n v="0"/>
    <n v="2000"/>
    <s v="PP"/>
    <n v="10"/>
    <n v="183.60000000000002"/>
    <n v="4"/>
    <n v="30.5"/>
    <m/>
    <n v="179.60000000000002"/>
    <m/>
    <m/>
    <m/>
    <m/>
    <m/>
    <m/>
    <m/>
    <m/>
    <m/>
    <m/>
    <m/>
    <m/>
    <m/>
    <m/>
    <m/>
    <m/>
    <m/>
    <m/>
    <m/>
    <m/>
    <m/>
    <m/>
    <m/>
    <m/>
    <x v="0"/>
    <m/>
    <m/>
    <m/>
    <m/>
  </r>
  <r>
    <x v="0"/>
    <x v="1"/>
    <s v="2 P"/>
    <x v="33"/>
    <s v="جیلانی پولی سٹاک"/>
    <s v="PP"/>
    <n v="2"/>
    <s v="5.5-6"/>
    <n v="0"/>
    <s v="-"/>
    <s v="PP"/>
    <n v="4"/>
    <n v="83.7"/>
    <n v="0.8"/>
    <m/>
    <m/>
    <n v="82.9"/>
    <m/>
    <m/>
    <m/>
    <m/>
    <m/>
    <m/>
    <m/>
    <m/>
    <m/>
    <m/>
    <m/>
    <m/>
    <m/>
    <m/>
    <m/>
    <m/>
    <m/>
    <m/>
    <m/>
    <m/>
    <m/>
    <m/>
    <m/>
    <m/>
    <x v="0"/>
    <m/>
    <m/>
    <m/>
    <m/>
  </r>
  <r>
    <x v="1"/>
    <x v="1"/>
    <s v="2 P"/>
    <x v="33"/>
    <s v="جیلانی پولی سٹاک"/>
    <s v="PP"/>
    <n v="2"/>
    <s v="5.5-6"/>
    <n v="0"/>
    <s v="-"/>
    <s v="PP"/>
    <n v="6"/>
    <n v="109.5"/>
    <n v="1.2000000000000002"/>
    <m/>
    <m/>
    <n v="108.3"/>
    <m/>
    <m/>
    <m/>
    <m/>
    <m/>
    <m/>
    <m/>
    <m/>
    <m/>
    <m/>
    <m/>
    <m/>
    <m/>
    <m/>
    <m/>
    <m/>
    <m/>
    <m/>
    <m/>
    <m/>
    <m/>
    <m/>
    <m/>
    <m/>
    <x v="0"/>
    <m/>
    <m/>
    <m/>
    <m/>
  </r>
  <r>
    <x v="0"/>
    <x v="2"/>
    <s v="13 P"/>
    <x v="33"/>
    <s v="جیلانی پولی سٹاک"/>
    <s v="PP"/>
    <n v="10"/>
    <n v="5"/>
    <n v="0"/>
    <s v="-"/>
    <s v="PP"/>
    <n v="2"/>
    <n v="41.900000000000006"/>
    <n v="2.4"/>
    <m/>
    <m/>
    <n v="39.500000000000007"/>
    <m/>
    <m/>
    <m/>
    <m/>
    <m/>
    <m/>
    <m/>
    <m/>
    <m/>
    <m/>
    <m/>
    <m/>
    <m/>
    <m/>
    <m/>
    <m/>
    <m/>
    <m/>
    <m/>
    <m/>
    <m/>
    <m/>
    <m/>
    <m/>
    <x v="0"/>
    <m/>
    <m/>
    <m/>
    <m/>
  </r>
  <r>
    <x v="0"/>
    <x v="2"/>
    <s v="7047/1"/>
    <x v="33"/>
    <s v="ایم بلال اعظم مارکیٹ "/>
    <s v="PP"/>
    <n v="10"/>
    <n v="8"/>
    <n v="0"/>
    <n v="50"/>
    <s v="PP"/>
    <n v="2"/>
    <n v="54.7"/>
    <n v="2.5"/>
    <m/>
    <m/>
    <n v="52.2"/>
    <m/>
    <m/>
    <m/>
    <m/>
    <m/>
    <m/>
    <m/>
    <m/>
    <m/>
    <m/>
    <m/>
    <m/>
    <m/>
    <m/>
    <m/>
    <m/>
    <m/>
    <m/>
    <m/>
    <m/>
    <m/>
    <m/>
    <m/>
    <m/>
    <x v="0"/>
    <m/>
    <m/>
    <m/>
    <m/>
  </r>
  <r>
    <x v="0"/>
    <x v="2"/>
    <s v="7049/1"/>
    <x v="33"/>
    <s v="آصف پلاسٹک سرگودھا"/>
    <s v="PP"/>
    <n v="10"/>
    <n v="4.5"/>
    <n v="0"/>
    <n v="100"/>
    <s v="PP"/>
    <n v="3"/>
    <n v="123.19999999999999"/>
    <n v="3.8"/>
    <m/>
    <m/>
    <n v="119.39999999999999"/>
    <m/>
    <m/>
    <m/>
    <m/>
    <m/>
    <m/>
    <m/>
    <m/>
    <m/>
    <m/>
    <m/>
    <m/>
    <m/>
    <m/>
    <m/>
    <m/>
    <m/>
    <m/>
    <m/>
    <m/>
    <m/>
    <m/>
    <m/>
    <m/>
    <x v="0"/>
    <m/>
    <m/>
    <m/>
    <m/>
  </r>
  <r>
    <x v="0"/>
    <x v="2"/>
    <s v="7049/2"/>
    <x v="33"/>
    <s v="آصف پلاسٹک سرگودھا"/>
    <s v="PP"/>
    <n v="10"/>
    <n v="4.5"/>
    <n v="0"/>
    <n v="50"/>
    <s v="PP"/>
    <n v="1"/>
    <n v="32.799999999999997"/>
    <n v="1.2"/>
    <m/>
    <m/>
    <n v="31.599999999999998"/>
    <m/>
    <m/>
    <m/>
    <m/>
    <m/>
    <m/>
    <m/>
    <m/>
    <m/>
    <m/>
    <m/>
    <m/>
    <m/>
    <m/>
    <m/>
    <m/>
    <m/>
    <m/>
    <m/>
    <m/>
    <m/>
    <m/>
    <m/>
    <m/>
    <x v="0"/>
    <m/>
    <m/>
    <m/>
    <m/>
  </r>
  <r>
    <x v="0"/>
    <x v="2"/>
    <s v="7049/9"/>
    <x v="33"/>
    <s v="آصف پلاسٹک سرگودھا"/>
    <s v="PP"/>
    <n v="7"/>
    <n v="4.5"/>
    <n v="0"/>
    <n v="50"/>
    <s v="PP"/>
    <n v="2"/>
    <n v="47"/>
    <n v="1.5"/>
    <m/>
    <m/>
    <n v="45.5"/>
    <m/>
    <m/>
    <m/>
    <m/>
    <m/>
    <m/>
    <m/>
    <m/>
    <m/>
    <m/>
    <m/>
    <m/>
    <m/>
    <m/>
    <m/>
    <m/>
    <m/>
    <m/>
    <m/>
    <m/>
    <m/>
    <m/>
    <m/>
    <m/>
    <x v="0"/>
    <m/>
    <m/>
    <m/>
    <m/>
  </r>
  <r>
    <x v="1"/>
    <x v="2"/>
    <s v="7049/9"/>
    <x v="33"/>
    <s v="آصف پلاسٹک سرگودھا"/>
    <s v="PP"/>
    <n v="7"/>
    <n v="4.5"/>
    <n v="0"/>
    <n v="50"/>
    <s v="PP"/>
    <n v="4"/>
    <n v="66.599999999999994"/>
    <n v="2.8"/>
    <m/>
    <m/>
    <n v="63.8"/>
    <m/>
    <m/>
    <m/>
    <m/>
    <m/>
    <m/>
    <m/>
    <m/>
    <m/>
    <m/>
    <m/>
    <m/>
    <m/>
    <m/>
    <m/>
    <m/>
    <m/>
    <m/>
    <m/>
    <m/>
    <m/>
    <m/>
    <m/>
    <m/>
    <x v="0"/>
    <m/>
    <m/>
    <m/>
    <m/>
  </r>
  <r>
    <x v="1"/>
    <x v="2"/>
    <s v="7055/1"/>
    <x v="33"/>
    <s v="عثمان امین لاہور"/>
    <s v="PP"/>
    <n v="7"/>
    <n v="5"/>
    <n v="0"/>
    <n v="6000"/>
    <s v="PP"/>
    <n v="6"/>
    <n v="174.60000000000002"/>
    <n v="4.1999999999999993"/>
    <m/>
    <m/>
    <n v="170.40000000000003"/>
    <m/>
    <m/>
    <m/>
    <m/>
    <m/>
    <m/>
    <m/>
    <m/>
    <m/>
    <m/>
    <m/>
    <m/>
    <m/>
    <m/>
    <m/>
    <m/>
    <m/>
    <m/>
    <m/>
    <m/>
    <m/>
    <m/>
    <m/>
    <m/>
    <x v="0"/>
    <m/>
    <m/>
    <m/>
    <m/>
  </r>
  <r>
    <x v="1"/>
    <x v="2"/>
    <s v="6607/3"/>
    <x v="33"/>
    <s v="آصف پلاسٹک سرگودھا"/>
    <s v="PP"/>
    <n v="8"/>
    <n v="4.5"/>
    <n v="0"/>
    <n v="100"/>
    <s v="PP"/>
    <n v="3"/>
    <n v="76.5"/>
    <n v="2.4000000000000004"/>
    <m/>
    <m/>
    <n v="74.099999999999994"/>
    <m/>
    <m/>
    <m/>
    <m/>
    <m/>
    <m/>
    <m/>
    <m/>
    <m/>
    <m/>
    <m/>
    <m/>
    <m/>
    <m/>
    <m/>
    <m/>
    <m/>
    <m/>
    <m/>
    <m/>
    <m/>
    <m/>
    <m/>
    <m/>
    <x v="0"/>
    <m/>
    <m/>
    <m/>
    <m/>
  </r>
  <r>
    <x v="0"/>
    <x v="4"/>
    <s v="15 P"/>
    <x v="33"/>
    <s v="جیلانی پولی سٹاک"/>
    <s v="PP"/>
    <n v="12"/>
    <n v="5"/>
    <n v="0"/>
    <s v="-"/>
    <s v="PP"/>
    <n v="9"/>
    <n v="387.85"/>
    <n v="11.7"/>
    <m/>
    <m/>
    <n v="376.15000000000003"/>
    <m/>
    <m/>
    <m/>
    <m/>
    <m/>
    <m/>
    <m/>
    <m/>
    <m/>
    <m/>
    <m/>
    <m/>
    <m/>
    <m/>
    <m/>
    <m/>
    <m/>
    <m/>
    <m/>
    <m/>
    <m/>
    <m/>
    <m/>
    <m/>
    <x v="0"/>
    <m/>
    <m/>
    <m/>
    <m/>
  </r>
  <r>
    <x v="0"/>
    <x v="4"/>
    <s v="7049/3"/>
    <x v="33"/>
    <s v="آصف پلاسٹک سرگودھا"/>
    <s v="PP"/>
    <n v="12"/>
    <n v="4.5"/>
    <n v="0"/>
    <n v="300"/>
    <s v="PP"/>
    <n v="3"/>
    <n v="79"/>
    <n v="4.8"/>
    <m/>
    <m/>
    <n v="74.2"/>
    <m/>
    <m/>
    <m/>
    <m/>
    <m/>
    <m/>
    <m/>
    <m/>
    <m/>
    <m/>
    <m/>
    <m/>
    <m/>
    <m/>
    <m/>
    <m/>
    <m/>
    <m/>
    <m/>
    <m/>
    <m/>
    <m/>
    <m/>
    <m/>
    <x v="0"/>
    <m/>
    <m/>
    <m/>
    <m/>
  </r>
  <r>
    <x v="1"/>
    <x v="4"/>
    <s v="6868/1"/>
    <x v="33"/>
    <s v="العمر پلاسٹک گوجرانوالہ"/>
    <s v="PP"/>
    <n v="12"/>
    <n v="6"/>
    <n v="0"/>
    <n v="200"/>
    <s v="PP"/>
    <n v="12"/>
    <n v="297.59999999999997"/>
    <n v="18"/>
    <m/>
    <m/>
    <n v="279.59999999999997"/>
    <m/>
    <m/>
    <m/>
    <m/>
    <m/>
    <m/>
    <m/>
    <m/>
    <m/>
    <m/>
    <m/>
    <m/>
    <m/>
    <m/>
    <m/>
    <m/>
    <m/>
    <m/>
    <m/>
    <m/>
    <m/>
    <m/>
    <m/>
    <m/>
    <x v="0"/>
    <m/>
    <m/>
    <m/>
    <m/>
  </r>
  <r>
    <x v="1"/>
    <x v="4"/>
    <s v="7049/3"/>
    <x v="33"/>
    <s v="آصف پلاسٹک سرگودھا"/>
    <s v="PP"/>
    <n v="12"/>
    <n v="4.5"/>
    <n v="0"/>
    <n v="300"/>
    <s v="PP"/>
    <n v="1"/>
    <n v="25.4"/>
    <n v="0.12"/>
    <m/>
    <m/>
    <n v="25.279999999999998"/>
    <m/>
    <m/>
    <m/>
    <m/>
    <m/>
    <m/>
    <m/>
    <m/>
    <m/>
    <m/>
    <m/>
    <m/>
    <m/>
    <m/>
    <m/>
    <m/>
    <m/>
    <m/>
    <m/>
    <m/>
    <m/>
    <m/>
    <m/>
    <m/>
    <x v="0"/>
    <m/>
    <m/>
    <m/>
    <m/>
  </r>
  <r>
    <x v="1"/>
    <x v="4"/>
    <s v="7049/11"/>
    <x v="33"/>
    <s v="آصف پلاسٹک سرگودھا"/>
    <s v="PP"/>
    <n v="11"/>
    <n v="4.5"/>
    <n v="0"/>
    <n v="50"/>
    <s v="PP"/>
    <n v="5"/>
    <n v="117.7"/>
    <n v="7"/>
    <m/>
    <m/>
    <n v="110.7"/>
    <m/>
    <m/>
    <m/>
    <m/>
    <m/>
    <m/>
    <m/>
    <m/>
    <m/>
    <m/>
    <m/>
    <m/>
    <m/>
    <m/>
    <m/>
    <m/>
    <m/>
    <m/>
    <m/>
    <m/>
    <m/>
    <m/>
    <m/>
    <m/>
    <x v="0"/>
    <m/>
    <m/>
    <m/>
    <m/>
  </r>
  <r>
    <x v="0"/>
    <x v="0"/>
    <s v="7055/3"/>
    <x v="34"/>
    <s v="عثمان امین لاہور"/>
    <s v="PP"/>
    <n v="4"/>
    <n v="5"/>
    <n v="0"/>
    <n v="2000"/>
    <s v="PP"/>
    <n v="9"/>
    <n v="183.7"/>
    <n v="3.6"/>
    <n v="48"/>
    <m/>
    <n v="180.1"/>
    <m/>
    <m/>
    <m/>
    <m/>
    <m/>
    <m/>
    <m/>
    <m/>
    <m/>
    <m/>
    <m/>
    <m/>
    <m/>
    <m/>
    <m/>
    <m/>
    <m/>
    <m/>
    <m/>
    <m/>
    <m/>
    <m/>
    <m/>
    <m/>
    <x v="0"/>
    <m/>
    <m/>
    <m/>
    <m/>
  </r>
  <r>
    <x v="1"/>
    <x v="0"/>
    <s v="7055/3"/>
    <x v="34"/>
    <s v="عثمان امین لاہور"/>
    <s v="PP"/>
    <n v="4"/>
    <n v="5"/>
    <n v="0"/>
    <n v="2000"/>
    <s v="PP"/>
    <n v="10"/>
    <n v="185.28"/>
    <n v="4"/>
    <n v="36"/>
    <m/>
    <n v="181.28"/>
    <m/>
    <m/>
    <m/>
    <m/>
    <m/>
    <m/>
    <m/>
    <m/>
    <m/>
    <m/>
    <m/>
    <m/>
    <m/>
    <m/>
    <m/>
    <m/>
    <m/>
    <m/>
    <m/>
    <m/>
    <m/>
    <m/>
    <m/>
    <m/>
    <x v="0"/>
    <m/>
    <m/>
    <m/>
    <m/>
  </r>
  <r>
    <x v="0"/>
    <x v="1"/>
    <s v="2 P"/>
    <x v="34"/>
    <s v="جیلانی پولی سٹاک"/>
    <s v="PP"/>
    <n v="2"/>
    <s v="5.5-6"/>
    <n v="0"/>
    <s v="-"/>
    <s v="PP"/>
    <n v="4"/>
    <n v="56.500000000000007"/>
    <n v="0.8"/>
    <m/>
    <m/>
    <n v="55.70000000000001"/>
    <m/>
    <m/>
    <m/>
    <m/>
    <m/>
    <m/>
    <m/>
    <m/>
    <m/>
    <m/>
    <m/>
    <m/>
    <m/>
    <m/>
    <m/>
    <m/>
    <m/>
    <m/>
    <m/>
    <m/>
    <m/>
    <m/>
    <m/>
    <m/>
    <x v="0"/>
    <m/>
    <m/>
    <m/>
    <m/>
  </r>
  <r>
    <x v="1"/>
    <x v="1"/>
    <s v="2 P"/>
    <x v="34"/>
    <s v="جیلانی پولی سٹاک"/>
    <s v="PP"/>
    <n v="2"/>
    <s v="5.5-6"/>
    <n v="0"/>
    <s v="-"/>
    <s v="PP"/>
    <n v="9"/>
    <n v="77.58"/>
    <n v="1.8"/>
    <m/>
    <m/>
    <n v="75.78"/>
    <m/>
    <m/>
    <m/>
    <m/>
    <m/>
    <m/>
    <m/>
    <m/>
    <m/>
    <m/>
    <m/>
    <m/>
    <m/>
    <m/>
    <m/>
    <m/>
    <m/>
    <m/>
    <m/>
    <m/>
    <m/>
    <m/>
    <m/>
    <m/>
    <x v="0"/>
    <m/>
    <m/>
    <m/>
    <m/>
  </r>
  <r>
    <x v="0"/>
    <x v="2"/>
    <s v="7049/4"/>
    <x v="34"/>
    <s v="آصف پلاسٹک سرگودھا"/>
    <s v="PP"/>
    <n v="8"/>
    <n v="4.5"/>
    <n v="0"/>
    <n v="100"/>
    <s v="PP"/>
    <n v="1"/>
    <n v="23.1"/>
    <n v="1"/>
    <m/>
    <m/>
    <n v="22.1"/>
    <m/>
    <m/>
    <m/>
    <m/>
    <m/>
    <m/>
    <m/>
    <m/>
    <m/>
    <m/>
    <m/>
    <m/>
    <m/>
    <m/>
    <m/>
    <m/>
    <m/>
    <m/>
    <m/>
    <m/>
    <m/>
    <m/>
    <m/>
    <m/>
    <x v="0"/>
    <m/>
    <m/>
    <m/>
    <m/>
  </r>
  <r>
    <x v="0"/>
    <x v="2"/>
    <s v="7049/6"/>
    <x v="34"/>
    <s v="آصف پلاسٹک سرگودھا"/>
    <s v="PP"/>
    <n v="8"/>
    <n v="4.5"/>
    <n v="0"/>
    <n v="50"/>
    <s v="PP"/>
    <n v="2"/>
    <n v="56.9"/>
    <n v="1.8"/>
    <m/>
    <m/>
    <n v="55.1"/>
    <m/>
    <m/>
    <m/>
    <m/>
    <m/>
    <m/>
    <m/>
    <m/>
    <m/>
    <m/>
    <m/>
    <m/>
    <m/>
    <m/>
    <m/>
    <m/>
    <m/>
    <m/>
    <m/>
    <m/>
    <m/>
    <m/>
    <m/>
    <m/>
    <x v="0"/>
    <m/>
    <m/>
    <m/>
    <m/>
  </r>
  <r>
    <x v="0"/>
    <x v="2"/>
    <s v="7049/4"/>
    <x v="34"/>
    <s v="آصف پلاسٹک سرگودھا"/>
    <s v="PP"/>
    <n v="8"/>
    <n v="4.5"/>
    <n v="0"/>
    <n v="100"/>
    <s v="PP"/>
    <n v="2"/>
    <n v="50.2"/>
    <n v="1.8"/>
    <m/>
    <m/>
    <n v="48.400000000000006"/>
    <m/>
    <m/>
    <m/>
    <m/>
    <m/>
    <m/>
    <m/>
    <m/>
    <m/>
    <m/>
    <m/>
    <m/>
    <m/>
    <m/>
    <m/>
    <m/>
    <m/>
    <m/>
    <m/>
    <m/>
    <m/>
    <m/>
    <m/>
    <m/>
    <x v="0"/>
    <m/>
    <m/>
    <m/>
    <m/>
  </r>
  <r>
    <x v="0"/>
    <x v="2"/>
    <s v="7055/2"/>
    <x v="34"/>
    <s v="عثمان امین لاہور"/>
    <s v="PP"/>
    <n v="6"/>
    <n v="5"/>
    <n v="0"/>
    <n v="4000"/>
    <s v="PP"/>
    <n v="4"/>
    <n v="126.32"/>
    <n v="2.8"/>
    <m/>
    <m/>
    <n v="123.52"/>
    <m/>
    <m/>
    <m/>
    <m/>
    <m/>
    <m/>
    <m/>
    <m/>
    <m/>
    <m/>
    <m/>
    <m/>
    <m/>
    <m/>
    <m/>
    <m/>
    <m/>
    <m/>
    <m/>
    <m/>
    <m/>
    <m/>
    <m/>
    <m/>
    <x v="0"/>
    <m/>
    <m/>
    <m/>
    <m/>
  </r>
  <r>
    <x v="1"/>
    <x v="2"/>
    <s v="7055/2"/>
    <x v="34"/>
    <s v="عثمان امین لاہور"/>
    <s v="PP"/>
    <n v="6"/>
    <n v="5"/>
    <n v="0"/>
    <n v="4000"/>
    <s v="PP"/>
    <n v="9"/>
    <n v="273.99999999999994"/>
    <n v="5.3999999999999995"/>
    <m/>
    <m/>
    <n v="268.59999999999997"/>
    <m/>
    <m/>
    <m/>
    <m/>
    <m/>
    <m/>
    <m/>
    <m/>
    <m/>
    <m/>
    <m/>
    <m/>
    <m/>
    <m/>
    <m/>
    <m/>
    <m/>
    <m/>
    <m/>
    <m/>
    <m/>
    <m/>
    <m/>
    <m/>
    <x v="0"/>
    <m/>
    <m/>
    <m/>
    <m/>
  </r>
  <r>
    <x v="0"/>
    <x v="3"/>
    <s v="3128 J"/>
    <x v="34"/>
    <s v="Raza Graments Lahore"/>
    <s v="PP"/>
    <n v="14"/>
    <s v="11.5-12"/>
    <s v=".1:1"/>
    <n v="1000"/>
    <s v="PP"/>
    <n v="5"/>
    <n v="157.6"/>
    <n v="8.6"/>
    <m/>
    <m/>
    <n v="149"/>
    <m/>
    <m/>
    <m/>
    <m/>
    <m/>
    <m/>
    <m/>
    <m/>
    <m/>
    <m/>
    <m/>
    <m/>
    <m/>
    <m/>
    <m/>
    <m/>
    <m/>
    <m/>
    <m/>
    <m/>
    <m/>
    <m/>
    <m/>
    <m/>
    <x v="0"/>
    <m/>
    <m/>
    <m/>
    <m/>
  </r>
  <r>
    <x v="0"/>
    <x v="3"/>
    <s v="3216 J"/>
    <x v="34"/>
    <s v="Laam Lungi By M Shawl Lahore "/>
    <s v="PP"/>
    <n v="14"/>
    <s v="6-6.5"/>
    <s v="1:1"/>
    <n v="100"/>
    <s v="PP"/>
    <n v="2"/>
    <n v="88"/>
    <n v="3.6"/>
    <m/>
    <m/>
    <n v="84.4"/>
    <m/>
    <m/>
    <m/>
    <m/>
    <m/>
    <m/>
    <m/>
    <m/>
    <m/>
    <m/>
    <m/>
    <m/>
    <m/>
    <m/>
    <m/>
    <m/>
    <m/>
    <m/>
    <m/>
    <m/>
    <m/>
    <m/>
    <m/>
    <m/>
    <x v="0"/>
    <m/>
    <m/>
    <m/>
    <m/>
  </r>
  <r>
    <x v="0"/>
    <x v="3"/>
    <s v="3080 J"/>
    <x v="34"/>
    <s v="Alam Bakers Shahdrah"/>
    <s v="PP"/>
    <n v="19"/>
    <s v="6-6.5"/>
    <s v=".1:1"/>
    <n v="100"/>
    <s v="PP"/>
    <n v="2"/>
    <n v="108"/>
    <n v="4.8"/>
    <m/>
    <m/>
    <n v="103.2"/>
    <m/>
    <m/>
    <m/>
    <m/>
    <m/>
    <m/>
    <m/>
    <m/>
    <m/>
    <m/>
    <m/>
    <m/>
    <m/>
    <m/>
    <m/>
    <m/>
    <m/>
    <m/>
    <m/>
    <m/>
    <m/>
    <m/>
    <m/>
    <m/>
    <x v="0"/>
    <m/>
    <m/>
    <m/>
    <m/>
  </r>
  <r>
    <x v="1"/>
    <x v="3"/>
    <s v="7067/1"/>
    <x v="34"/>
    <s v="عرفان احمد اعظم مارکیٹ"/>
    <s v="PP"/>
    <n v="28"/>
    <n v="5"/>
    <n v="0"/>
    <n v="100"/>
    <s v="PP"/>
    <n v="3"/>
    <n v="151.19999999999999"/>
    <n v="0.60000000000000009"/>
    <m/>
    <m/>
    <n v="150.6"/>
    <m/>
    <m/>
    <m/>
    <m/>
    <m/>
    <m/>
    <m/>
    <m/>
    <m/>
    <m/>
    <m/>
    <m/>
    <m/>
    <m/>
    <m/>
    <m/>
    <m/>
    <m/>
    <m/>
    <m/>
    <m/>
    <m/>
    <m/>
    <m/>
    <x v="0"/>
    <m/>
    <m/>
    <m/>
    <m/>
  </r>
  <r>
    <x v="1"/>
    <x v="3"/>
    <s v="3242 J"/>
    <x v="34"/>
    <s v="Jilani Poly Stock"/>
    <s v="PP"/>
    <n v="28"/>
    <s v="5-5.5"/>
    <s v=".1:1"/>
    <n v="1000"/>
    <s v="PP"/>
    <n v="7"/>
    <n v="388.64"/>
    <n v="1.4000000000000001"/>
    <m/>
    <m/>
    <n v="387.24"/>
    <m/>
    <m/>
    <m/>
    <m/>
    <m/>
    <m/>
    <m/>
    <m/>
    <m/>
    <m/>
    <m/>
    <m/>
    <m/>
    <m/>
    <m/>
    <m/>
    <m/>
    <m/>
    <m/>
    <m/>
    <m/>
    <m/>
    <m/>
    <m/>
    <x v="0"/>
    <m/>
    <m/>
    <m/>
    <m/>
  </r>
  <r>
    <x v="0"/>
    <x v="4"/>
    <s v="3217 J"/>
    <x v="34"/>
    <s v="Laam Lungi By M Shawl Lahore "/>
    <s v="PP"/>
    <n v="15"/>
    <s v="6-6.5"/>
    <s v="1:1"/>
    <n v="100"/>
    <s v="PP"/>
    <n v="2"/>
    <n v="90.93"/>
    <n v="3.5"/>
    <m/>
    <m/>
    <n v="87.43"/>
    <m/>
    <m/>
    <m/>
    <m/>
    <m/>
    <m/>
    <m/>
    <m/>
    <m/>
    <m/>
    <m/>
    <m/>
    <m/>
    <m/>
    <m/>
    <m/>
    <m/>
    <m/>
    <m/>
    <m/>
    <m/>
    <m/>
    <m/>
    <m/>
    <x v="0"/>
    <m/>
    <m/>
    <m/>
    <m/>
  </r>
  <r>
    <x v="0"/>
    <x v="4"/>
    <s v="7058/2"/>
    <x v="34"/>
    <s v="محبوب مقبول گوجرانوالہ"/>
    <s v="PP"/>
    <n v="13"/>
    <s v="5/5.5"/>
    <n v="0"/>
    <n v="625"/>
    <s v="PP"/>
    <n v="8"/>
    <n v="373.14"/>
    <n v="12.8"/>
    <m/>
    <m/>
    <n v="360.34"/>
    <m/>
    <m/>
    <m/>
    <m/>
    <m/>
    <m/>
    <m/>
    <m/>
    <m/>
    <m/>
    <m/>
    <m/>
    <m/>
    <m/>
    <m/>
    <m/>
    <m/>
    <m/>
    <m/>
    <m/>
    <m/>
    <m/>
    <m/>
    <m/>
    <x v="0"/>
    <m/>
    <m/>
    <m/>
    <m/>
  </r>
  <r>
    <x v="1"/>
    <x v="4"/>
    <s v="7058/2"/>
    <x v="34"/>
    <s v="محبوب مقبول گوجرانوالہ"/>
    <s v="PP"/>
    <n v="13"/>
    <s v="5/5.5"/>
    <n v="0"/>
    <n v="625"/>
    <s v="PP"/>
    <n v="8"/>
    <n v="298.97000000000003"/>
    <n v="12.8"/>
    <m/>
    <m/>
    <n v="286.17"/>
    <m/>
    <m/>
    <m/>
    <m/>
    <m/>
    <m/>
    <m/>
    <m/>
    <m/>
    <m/>
    <m/>
    <m/>
    <m/>
    <m/>
    <m/>
    <m/>
    <m/>
    <m/>
    <m/>
    <m/>
    <m/>
    <m/>
    <m/>
    <m/>
    <x v="0"/>
    <m/>
    <m/>
    <m/>
    <m/>
  </r>
  <r>
    <x v="1"/>
    <x v="4"/>
    <s v="16 P"/>
    <x v="34"/>
    <s v="جیلانی پولی سٹاک"/>
    <s v="PP"/>
    <n v="13"/>
    <n v="5"/>
    <n v="0"/>
    <s v="-"/>
    <s v="PP"/>
    <n v="5"/>
    <n v="129.83000000000001"/>
    <n v="8"/>
    <m/>
    <m/>
    <n v="121.83000000000001"/>
    <m/>
    <m/>
    <m/>
    <m/>
    <m/>
    <m/>
    <m/>
    <m/>
    <m/>
    <m/>
    <m/>
    <m/>
    <m/>
    <m/>
    <m/>
    <m/>
    <m/>
    <m/>
    <m/>
    <m/>
    <m/>
    <m/>
    <m/>
    <m/>
    <x v="0"/>
    <m/>
    <m/>
    <m/>
    <m/>
  </r>
  <r>
    <x v="0"/>
    <x v="0"/>
    <s v="7055/3"/>
    <x v="35"/>
    <s v="عثمان امین لاہور"/>
    <s v="PP"/>
    <n v="4"/>
    <n v="5"/>
    <n v="0"/>
    <n v="2000"/>
    <s v="PP"/>
    <n v="9"/>
    <n v="170"/>
    <n v="3.6"/>
    <n v="23"/>
    <m/>
    <n v="166.4"/>
    <m/>
    <m/>
    <m/>
    <m/>
    <m/>
    <m/>
    <m/>
    <m/>
    <m/>
    <m/>
    <m/>
    <m/>
    <m/>
    <m/>
    <m/>
    <m/>
    <m/>
    <m/>
    <m/>
    <m/>
    <m/>
    <m/>
    <m/>
    <m/>
    <x v="0"/>
    <m/>
    <m/>
    <m/>
    <m/>
  </r>
  <r>
    <x v="1"/>
    <x v="0"/>
    <s v="7055/3"/>
    <x v="35"/>
    <s v="عثمان امین لاہور"/>
    <s v="PP"/>
    <n v="4"/>
    <n v="5"/>
    <n v="0"/>
    <n v="2000"/>
    <s v="PP"/>
    <n v="8"/>
    <n v="137"/>
    <n v="3.2"/>
    <n v="51"/>
    <m/>
    <n v="133.80000000000001"/>
    <m/>
    <m/>
    <m/>
    <m/>
    <m/>
    <m/>
    <m/>
    <m/>
    <m/>
    <m/>
    <m/>
    <m/>
    <m/>
    <m/>
    <m/>
    <m/>
    <m/>
    <m/>
    <m/>
    <m/>
    <m/>
    <m/>
    <m/>
    <m/>
    <x v="0"/>
    <m/>
    <m/>
    <m/>
    <m/>
  </r>
  <r>
    <x v="0"/>
    <x v="1"/>
    <s v="7057/1"/>
    <x v="35"/>
    <s v="عثمان امین لاہور"/>
    <s v="PP"/>
    <n v="2"/>
    <n v="5"/>
    <n v="0"/>
    <n v="500"/>
    <s v="PP"/>
    <n v="9"/>
    <n v="81.88"/>
    <n v="1.8"/>
    <m/>
    <m/>
    <n v="80.08"/>
    <m/>
    <m/>
    <m/>
    <m/>
    <m/>
    <m/>
    <m/>
    <m/>
    <m/>
    <m/>
    <m/>
    <m/>
    <m/>
    <m/>
    <m/>
    <m/>
    <m/>
    <m/>
    <m/>
    <m/>
    <m/>
    <m/>
    <m/>
    <m/>
    <x v="0"/>
    <m/>
    <m/>
    <m/>
    <m/>
  </r>
  <r>
    <x v="1"/>
    <x v="1"/>
    <s v="7057/1"/>
    <x v="35"/>
    <s v="عثمان امین لاہور"/>
    <s v="PP"/>
    <n v="2"/>
    <n v="5"/>
    <n v="0"/>
    <n v="500"/>
    <s v="PP"/>
    <n v="9"/>
    <n v="79.47"/>
    <n v="1.8"/>
    <m/>
    <m/>
    <n v="77.67"/>
    <m/>
    <m/>
    <m/>
    <m/>
    <m/>
    <m/>
    <m/>
    <m/>
    <m/>
    <m/>
    <m/>
    <m/>
    <m/>
    <m/>
    <m/>
    <m/>
    <m/>
    <m/>
    <m/>
    <m/>
    <m/>
    <m/>
    <m/>
    <m/>
    <x v="0"/>
    <m/>
    <m/>
    <m/>
    <m/>
  </r>
  <r>
    <x v="0"/>
    <x v="2"/>
    <s v="7055/2"/>
    <x v="35"/>
    <s v="عثمان امین لاہور"/>
    <s v="PP"/>
    <n v="6"/>
    <n v="5"/>
    <n v="0"/>
    <n v="4000"/>
    <s v="PP"/>
    <n v="9"/>
    <n v="286.27000000000004"/>
    <n v="5.3999999999999995"/>
    <m/>
    <m/>
    <n v="280.87000000000006"/>
    <m/>
    <m/>
    <m/>
    <m/>
    <m/>
    <m/>
    <m/>
    <m/>
    <m/>
    <m/>
    <m/>
    <m/>
    <m/>
    <m/>
    <m/>
    <m/>
    <m/>
    <m/>
    <m/>
    <m/>
    <m/>
    <m/>
    <m/>
    <m/>
    <x v="0"/>
    <m/>
    <m/>
    <m/>
    <m/>
  </r>
  <r>
    <x v="1"/>
    <x v="2"/>
    <s v="7055/2"/>
    <x v="35"/>
    <s v="عثمان امین لاہور"/>
    <s v="PP"/>
    <n v="6"/>
    <n v="5"/>
    <n v="0"/>
    <n v="4000"/>
    <s v="PP"/>
    <n v="10"/>
    <n v="285.89999999999998"/>
    <n v="6"/>
    <m/>
    <m/>
    <n v="279.89999999999998"/>
    <m/>
    <m/>
    <m/>
    <m/>
    <m/>
    <m/>
    <m/>
    <m/>
    <m/>
    <m/>
    <m/>
    <m/>
    <m/>
    <m/>
    <m/>
    <m/>
    <m/>
    <m/>
    <m/>
    <m/>
    <m/>
    <m/>
    <m/>
    <m/>
    <x v="0"/>
    <m/>
    <m/>
    <m/>
    <m/>
  </r>
  <r>
    <x v="0"/>
    <x v="3"/>
    <s v="3242 J"/>
    <x v="35"/>
    <s v="Jilani Poly Stock"/>
    <s v="PP"/>
    <n v="28"/>
    <s v="5-5.5"/>
    <s v=".1:1"/>
    <n v="1000"/>
    <s v="PP"/>
    <n v="7"/>
    <n v="467.6"/>
    <n v="24.399999999999995"/>
    <m/>
    <m/>
    <n v="443.20000000000005"/>
    <m/>
    <m/>
    <m/>
    <m/>
    <m/>
    <m/>
    <m/>
    <m/>
    <m/>
    <m/>
    <m/>
    <m/>
    <m/>
    <m/>
    <m/>
    <m/>
    <m/>
    <m/>
    <m/>
    <m/>
    <m/>
    <m/>
    <m/>
    <m/>
    <x v="0"/>
    <m/>
    <m/>
    <m/>
    <m/>
  </r>
  <r>
    <x v="0"/>
    <x v="3"/>
    <s v="7067/2"/>
    <x v="35"/>
    <s v="عرفان احمد اعظم مارکیٹ"/>
    <s v="PP"/>
    <n v="28"/>
    <n v="5"/>
    <n v="0"/>
    <n v="200"/>
    <s v="PP"/>
    <n v="4"/>
    <n v="270.8"/>
    <n v="13.700000000000001"/>
    <m/>
    <m/>
    <n v="257.10000000000002"/>
    <m/>
    <m/>
    <m/>
    <m/>
    <m/>
    <m/>
    <m/>
    <m/>
    <m/>
    <m/>
    <m/>
    <m/>
    <m/>
    <m/>
    <m/>
    <m/>
    <m/>
    <m/>
    <m/>
    <m/>
    <m/>
    <m/>
    <m/>
    <m/>
    <x v="0"/>
    <m/>
    <m/>
    <m/>
    <m/>
  </r>
  <r>
    <x v="1"/>
    <x v="3"/>
    <s v="3242 J"/>
    <x v="35"/>
    <s v="Jilani Poly Stock"/>
    <s v="PP"/>
    <n v="28"/>
    <s v="5-5.5"/>
    <s v=".1:1"/>
    <n v="1000"/>
    <s v="PP"/>
    <n v="2"/>
    <n v="130.80000000000001"/>
    <n v="4.5999999999999996"/>
    <m/>
    <m/>
    <n v="126.20000000000002"/>
    <m/>
    <m/>
    <m/>
    <m/>
    <m/>
    <m/>
    <m/>
    <m/>
    <m/>
    <m/>
    <m/>
    <m/>
    <m/>
    <m/>
    <m/>
    <m/>
    <m/>
    <m/>
    <m/>
    <m/>
    <m/>
    <m/>
    <m/>
    <m/>
    <x v="0"/>
    <m/>
    <m/>
    <m/>
    <m/>
  </r>
  <r>
    <x v="1"/>
    <x v="3"/>
    <s v="27 P"/>
    <x v="35"/>
    <s v="جیلانی پولی سٹاک"/>
    <s v="PP"/>
    <n v="28"/>
    <n v="5"/>
    <n v="0"/>
    <s v="-"/>
    <s v="PP"/>
    <n v="6"/>
    <n v="287.2"/>
    <n v="13.799999999999999"/>
    <m/>
    <m/>
    <n v="273.39999999999998"/>
    <m/>
    <m/>
    <m/>
    <m/>
    <m/>
    <m/>
    <m/>
    <m/>
    <m/>
    <m/>
    <m/>
    <m/>
    <m/>
    <m/>
    <m/>
    <m/>
    <m/>
    <m/>
    <m/>
    <m/>
    <m/>
    <m/>
    <m/>
    <m/>
    <x v="0"/>
    <m/>
    <m/>
    <m/>
    <m/>
  </r>
  <r>
    <x v="1"/>
    <x v="3"/>
    <s v="1539 F"/>
    <x v="35"/>
    <s v="عثمان امین"/>
    <s v="PP"/>
    <n v="23"/>
    <s v="7"/>
    <s v="پیور"/>
    <n v="110"/>
    <s v="PP"/>
    <n v="4"/>
    <n v="183"/>
    <n v="7.6"/>
    <m/>
    <m/>
    <n v="175.4"/>
    <m/>
    <m/>
    <m/>
    <m/>
    <m/>
    <m/>
    <m/>
    <m/>
    <m/>
    <m/>
    <m/>
    <m/>
    <m/>
    <m/>
    <m/>
    <m/>
    <m/>
    <m/>
    <m/>
    <m/>
    <m/>
    <m/>
    <m/>
    <m/>
    <x v="0"/>
    <m/>
    <m/>
    <m/>
    <m/>
  </r>
  <r>
    <x v="0"/>
    <x v="4"/>
    <s v="7046/1"/>
    <x v="35"/>
    <s v="ایم   عمران    پاکستان مارکیٹ"/>
    <s v="PP"/>
    <n v="13"/>
    <n v="6.5"/>
    <n v="0"/>
    <n v="400"/>
    <s v="PP"/>
    <n v="4"/>
    <n v="158.1"/>
    <n v="6.4"/>
    <m/>
    <m/>
    <n v="151.69999999999999"/>
    <m/>
    <m/>
    <m/>
    <m/>
    <m/>
    <m/>
    <m/>
    <m/>
    <m/>
    <m/>
    <m/>
    <m/>
    <m/>
    <m/>
    <m/>
    <m/>
    <m/>
    <m/>
    <m/>
    <m/>
    <m/>
    <m/>
    <m/>
    <m/>
    <x v="0"/>
    <m/>
    <m/>
    <m/>
    <m/>
  </r>
  <r>
    <x v="0"/>
    <x v="4"/>
    <s v="17 P"/>
    <x v="35"/>
    <s v="جیلانی پولی سٹاک"/>
    <s v="PP"/>
    <n v="14"/>
    <n v="5"/>
    <n v="0"/>
    <s v="-"/>
    <s v="PP"/>
    <n v="6"/>
    <n v="256.89999999999998"/>
    <n v="10.199999999999999"/>
    <m/>
    <m/>
    <n v="246.7"/>
    <m/>
    <m/>
    <m/>
    <m/>
    <m/>
    <m/>
    <m/>
    <m/>
    <m/>
    <m/>
    <m/>
    <m/>
    <m/>
    <m/>
    <m/>
    <m/>
    <m/>
    <m/>
    <m/>
    <m/>
    <m/>
    <m/>
    <m/>
    <m/>
    <x v="0"/>
    <m/>
    <m/>
    <m/>
    <m/>
  </r>
  <r>
    <x v="1"/>
    <x v="4"/>
    <s v="3216 J"/>
    <x v="35"/>
    <s v="Laam Lungi By M Shawl Lahore "/>
    <s v="PP"/>
    <n v="14"/>
    <s v="6-6.5"/>
    <s v="1:1"/>
    <n v="100"/>
    <s v="PP"/>
    <n v="1"/>
    <n v="36.4"/>
    <n v="1.7"/>
    <m/>
    <m/>
    <n v="34.699999999999996"/>
    <m/>
    <m/>
    <m/>
    <m/>
    <m/>
    <m/>
    <m/>
    <m/>
    <m/>
    <m/>
    <m/>
    <m/>
    <m/>
    <m/>
    <m/>
    <m/>
    <m/>
    <m/>
    <m/>
    <m/>
    <m/>
    <m/>
    <m/>
    <m/>
    <x v="0"/>
    <m/>
    <m/>
    <m/>
    <m/>
  </r>
  <r>
    <x v="1"/>
    <x v="4"/>
    <s v="3128 J"/>
    <x v="35"/>
    <s v="Raza Graments Lahore"/>
    <s v="PP"/>
    <n v="14"/>
    <s v="11.5-12"/>
    <s v=".1:1"/>
    <n v="1000"/>
    <s v="PP"/>
    <n v="2"/>
    <n v="73.650000000000006"/>
    <n v="3.4"/>
    <m/>
    <m/>
    <n v="70.25"/>
    <m/>
    <m/>
    <m/>
    <m/>
    <m/>
    <m/>
    <m/>
    <m/>
    <m/>
    <m/>
    <m/>
    <m/>
    <m/>
    <m/>
    <m/>
    <m/>
    <m/>
    <m/>
    <m/>
    <m/>
    <m/>
    <m/>
    <m/>
    <m/>
    <x v="0"/>
    <m/>
    <m/>
    <m/>
    <m/>
  </r>
  <r>
    <x v="1"/>
    <x v="4"/>
    <s v="6941/6"/>
    <x v="35"/>
    <s v="ایم عمران پاکستان مارکیٹ"/>
    <s v="PP"/>
    <n v="17"/>
    <n v="6.5"/>
    <n v="0"/>
    <n v="400"/>
    <s v="PP"/>
    <n v="5"/>
    <n v="178.8"/>
    <n v="0.85000000000000009"/>
    <m/>
    <m/>
    <n v="177.95000000000002"/>
    <m/>
    <m/>
    <m/>
    <m/>
    <m/>
    <m/>
    <m/>
    <m/>
    <m/>
    <m/>
    <m/>
    <m/>
    <m/>
    <m/>
    <m/>
    <m/>
    <m/>
    <m/>
    <m/>
    <m/>
    <m/>
    <m/>
    <m/>
    <m/>
    <x v="0"/>
    <m/>
    <m/>
    <m/>
    <m/>
  </r>
  <r>
    <x v="0"/>
    <x v="0"/>
    <s v="6 P"/>
    <x v="36"/>
    <s v="جیلانی پولی سٹاک"/>
    <s v="PP"/>
    <n v="4"/>
    <s v="5.5-6"/>
    <n v="0"/>
    <s v="-"/>
    <s v="PP"/>
    <n v="8"/>
    <n v="165.4"/>
    <n v="3.2"/>
    <n v="23.5"/>
    <m/>
    <n v="162.20000000000002"/>
    <m/>
    <m/>
    <m/>
    <m/>
    <m/>
    <m/>
    <m/>
    <m/>
    <m/>
    <m/>
    <m/>
    <m/>
    <m/>
    <m/>
    <m/>
    <m/>
    <m/>
    <m/>
    <m/>
    <m/>
    <m/>
    <m/>
    <m/>
    <m/>
    <x v="0"/>
    <m/>
    <m/>
    <m/>
    <m/>
  </r>
  <r>
    <x v="1"/>
    <x v="0"/>
    <s v="6 P"/>
    <x v="36"/>
    <s v="جیلانی پولی سٹاک"/>
    <s v="PP"/>
    <n v="4"/>
    <s v="5.5-6"/>
    <n v="0"/>
    <s v="-"/>
    <s v="PP"/>
    <n v="11"/>
    <n v="206.24"/>
    <n v="4.4000000000000004"/>
    <n v="48.5"/>
    <m/>
    <n v="201.84"/>
    <m/>
    <m/>
    <m/>
    <m/>
    <m/>
    <m/>
    <m/>
    <m/>
    <m/>
    <m/>
    <m/>
    <m/>
    <m/>
    <m/>
    <m/>
    <m/>
    <m/>
    <m/>
    <m/>
    <m/>
    <m/>
    <m/>
    <m/>
    <m/>
    <x v="0"/>
    <m/>
    <m/>
    <m/>
    <m/>
  </r>
  <r>
    <x v="0"/>
    <x v="1"/>
    <s v="2 P"/>
    <x v="36"/>
    <s v="جیلانی پولی سٹاک"/>
    <s v="PP"/>
    <n v="2"/>
    <s v="5.5-6"/>
    <n v="0"/>
    <s v="-"/>
    <s v="PP"/>
    <n v="9"/>
    <n v="81.800000000000011"/>
    <n v="1.8"/>
    <m/>
    <m/>
    <n v="80.000000000000014"/>
    <m/>
    <m/>
    <m/>
    <m/>
    <m/>
    <m/>
    <m/>
    <m/>
    <m/>
    <m/>
    <m/>
    <m/>
    <m/>
    <m/>
    <m/>
    <m/>
    <m/>
    <m/>
    <m/>
    <m/>
    <m/>
    <m/>
    <m/>
    <m/>
    <x v="0"/>
    <m/>
    <m/>
    <m/>
    <m/>
  </r>
  <r>
    <x v="1"/>
    <x v="1"/>
    <s v="2 P"/>
    <x v="36"/>
    <s v="جیلانی پولی سٹاک"/>
    <s v="PP"/>
    <n v="2"/>
    <s v="5.5-6"/>
    <n v="0"/>
    <s v="-"/>
    <s v="PP"/>
    <n v="10"/>
    <n v="89.4"/>
    <n v="2"/>
    <m/>
    <m/>
    <n v="87.4"/>
    <m/>
    <m/>
    <m/>
    <m/>
    <m/>
    <m/>
    <m/>
    <m/>
    <m/>
    <m/>
    <m/>
    <m/>
    <m/>
    <m/>
    <m/>
    <m/>
    <m/>
    <m/>
    <m/>
    <m/>
    <m/>
    <m/>
    <m/>
    <m/>
    <x v="0"/>
    <m/>
    <m/>
    <m/>
    <m/>
  </r>
  <r>
    <x v="0"/>
    <x v="2"/>
    <s v="7055/2"/>
    <x v="36"/>
    <s v="عثمان امین لاہور"/>
    <s v="PP"/>
    <n v="6"/>
    <n v="5"/>
    <n v="0"/>
    <n v="4000"/>
    <s v="PP"/>
    <n v="8"/>
    <n v="264.52000000000004"/>
    <n v="7.2"/>
    <m/>
    <m/>
    <n v="257.32000000000005"/>
    <m/>
    <m/>
    <m/>
    <m/>
    <m/>
    <m/>
    <m/>
    <m/>
    <m/>
    <m/>
    <m/>
    <m/>
    <m/>
    <m/>
    <m/>
    <m/>
    <m/>
    <m/>
    <m/>
    <m/>
    <m/>
    <m/>
    <m/>
    <m/>
    <x v="0"/>
    <m/>
    <m/>
    <m/>
    <m/>
  </r>
  <r>
    <x v="1"/>
    <x v="2"/>
    <s v="7055/2"/>
    <x v="36"/>
    <s v="عثمان امین لاہور"/>
    <s v="PP"/>
    <n v="6"/>
    <n v="5"/>
    <n v="0"/>
    <n v="4000"/>
    <s v="PP"/>
    <n v="8"/>
    <n v="233.39999999999998"/>
    <n v="7.2"/>
    <m/>
    <m/>
    <n v="226.2"/>
    <m/>
    <m/>
    <m/>
    <m/>
    <m/>
    <m/>
    <m/>
    <m/>
    <m/>
    <m/>
    <m/>
    <m/>
    <m/>
    <m/>
    <m/>
    <m/>
    <m/>
    <m/>
    <m/>
    <m/>
    <m/>
    <m/>
    <m/>
    <m/>
    <x v="0"/>
    <m/>
    <m/>
    <m/>
    <m/>
  </r>
  <r>
    <x v="0"/>
    <x v="3"/>
    <s v="1539 F"/>
    <x v="36"/>
    <s v="عثمان امین"/>
    <s v="PP"/>
    <n v="23"/>
    <s v="7"/>
    <s v="پیور"/>
    <n v="110"/>
    <s v="PP"/>
    <n v="4"/>
    <n v="232.14999999999998"/>
    <n v="10.4"/>
    <m/>
    <m/>
    <n v="221.74999999999997"/>
    <m/>
    <m/>
    <m/>
    <m/>
    <m/>
    <m/>
    <m/>
    <m/>
    <m/>
    <m/>
    <m/>
    <m/>
    <m/>
    <m/>
    <m/>
    <m/>
    <m/>
    <m/>
    <m/>
    <m/>
    <m/>
    <m/>
    <m/>
    <m/>
    <x v="0"/>
    <m/>
    <m/>
    <m/>
    <m/>
  </r>
  <r>
    <x v="0"/>
    <x v="3"/>
    <s v="3252 J"/>
    <x v="36"/>
    <s v="Punjab Rusk Lahore"/>
    <s v="PP"/>
    <n v="20"/>
    <s v="6-6.5"/>
    <s v="1:1"/>
    <n v="400"/>
    <s v="PP"/>
    <n v="9"/>
    <n v="459.48"/>
    <n v="22.5"/>
    <m/>
    <m/>
    <n v="436.98"/>
    <m/>
    <m/>
    <m/>
    <m/>
    <m/>
    <m/>
    <m/>
    <m/>
    <m/>
    <m/>
    <m/>
    <m/>
    <m/>
    <m/>
    <m/>
    <m/>
    <m/>
    <m/>
    <m/>
    <m/>
    <m/>
    <m/>
    <m/>
    <m/>
    <x v="0"/>
    <m/>
    <m/>
    <m/>
    <m/>
  </r>
  <r>
    <x v="1"/>
    <x v="3"/>
    <s v="3253 J"/>
    <x v="36"/>
    <s v="Punjab Rusk Lahore"/>
    <s v="PP"/>
    <n v="20"/>
    <s v="6-6.5"/>
    <s v="1:1"/>
    <n v="300"/>
    <s v="PP"/>
    <n v="5"/>
    <n v="249.79999999999998"/>
    <n v="12.5"/>
    <m/>
    <m/>
    <n v="237.29999999999998"/>
    <m/>
    <m/>
    <m/>
    <m/>
    <m/>
    <m/>
    <m/>
    <m/>
    <m/>
    <m/>
    <m/>
    <m/>
    <m/>
    <m/>
    <m/>
    <m/>
    <m/>
    <m/>
    <m/>
    <m/>
    <m/>
    <m/>
    <m/>
    <m/>
    <x v="0"/>
    <m/>
    <m/>
    <m/>
    <m/>
  </r>
  <r>
    <x v="1"/>
    <x v="3"/>
    <s v="3238 J"/>
    <x v="36"/>
    <s v="Jilani Poly Stock"/>
    <s v="PP"/>
    <n v="20"/>
    <s v="5-5.5"/>
    <s v=".1:1"/>
    <n v="500"/>
    <s v="PP"/>
    <n v="8"/>
    <n v="441.59999999999997"/>
    <n v="20"/>
    <m/>
    <m/>
    <n v="421.59999999999997"/>
    <m/>
    <m/>
    <m/>
    <m/>
    <m/>
    <m/>
    <m/>
    <m/>
    <m/>
    <m/>
    <m/>
    <m/>
    <m/>
    <m/>
    <m/>
    <m/>
    <m/>
    <m/>
    <m/>
    <m/>
    <m/>
    <m/>
    <m/>
    <m/>
    <x v="0"/>
    <m/>
    <m/>
    <m/>
    <m/>
  </r>
  <r>
    <x v="0"/>
    <x v="4"/>
    <s v="14 P"/>
    <x v="36"/>
    <s v="جیلانی پولی سٹاک"/>
    <s v="PP"/>
    <n v="11"/>
    <n v="5"/>
    <n v="0"/>
    <s v="-"/>
    <s v="PP"/>
    <n v="9"/>
    <n v="432.69"/>
    <n v="11.700000000000001"/>
    <m/>
    <m/>
    <n v="420.99"/>
    <m/>
    <m/>
    <m/>
    <m/>
    <m/>
    <m/>
    <m/>
    <m/>
    <m/>
    <m/>
    <m/>
    <m/>
    <m/>
    <m/>
    <m/>
    <m/>
    <m/>
    <m/>
    <m/>
    <m/>
    <m/>
    <m/>
    <m/>
    <m/>
    <x v="0"/>
    <m/>
    <m/>
    <m/>
    <m/>
  </r>
  <r>
    <x v="1"/>
    <x v="4"/>
    <s v="14 P"/>
    <x v="36"/>
    <s v="جیلانی پولی سٹاک"/>
    <s v="PP"/>
    <n v="11"/>
    <n v="5"/>
    <n v="0"/>
    <s v="-"/>
    <s v="PP"/>
    <n v="11"/>
    <n v="451.4"/>
    <n v="1.1000000000000001"/>
    <m/>
    <m/>
    <n v="450.29999999999995"/>
    <m/>
    <m/>
    <m/>
    <m/>
    <m/>
    <m/>
    <m/>
    <m/>
    <m/>
    <m/>
    <m/>
    <m/>
    <m/>
    <m/>
    <m/>
    <m/>
    <m/>
    <m/>
    <m/>
    <m/>
    <m/>
    <m/>
    <m/>
    <m/>
    <x v="0"/>
    <m/>
    <m/>
    <m/>
    <m/>
  </r>
  <r>
    <x v="0"/>
    <x v="0"/>
    <s v="7055/3"/>
    <x v="37"/>
    <s v="عثمان امین لاہور"/>
    <s v="PP"/>
    <n v="4"/>
    <n v="5"/>
    <n v="0"/>
    <n v="2000"/>
    <s v="PP"/>
    <n v="10"/>
    <n v="187.39999999999998"/>
    <n v="4"/>
    <n v="30"/>
    <m/>
    <n v="183.39999999999998"/>
    <m/>
    <m/>
    <m/>
    <m/>
    <m/>
    <m/>
    <m/>
    <m/>
    <m/>
    <m/>
    <m/>
    <m/>
    <m/>
    <m/>
    <m/>
    <m/>
    <m/>
    <m/>
    <m/>
    <m/>
    <m/>
    <m/>
    <m/>
    <m/>
    <x v="0"/>
    <m/>
    <m/>
    <m/>
    <m/>
  </r>
  <r>
    <x v="1"/>
    <x v="0"/>
    <s v="7055/3"/>
    <x v="37"/>
    <s v="عثمان امین لاہور"/>
    <s v="PP"/>
    <n v="4"/>
    <n v="5"/>
    <n v="0"/>
    <n v="2000"/>
    <s v="PP"/>
    <n v="7"/>
    <n v="152.59"/>
    <n v="2.8000000000000003"/>
    <n v="23"/>
    <m/>
    <n v="149.79"/>
    <m/>
    <m/>
    <m/>
    <m/>
    <m/>
    <m/>
    <m/>
    <m/>
    <m/>
    <m/>
    <m/>
    <m/>
    <m/>
    <m/>
    <m/>
    <m/>
    <m/>
    <m/>
    <m/>
    <m/>
    <m/>
    <m/>
    <m/>
    <m/>
    <x v="0"/>
    <m/>
    <m/>
    <m/>
    <m/>
  </r>
  <r>
    <x v="0"/>
    <x v="1"/>
    <s v="7063/1"/>
    <x v="37"/>
    <s v="محبوب مقبول گوجرانوالہ"/>
    <s v="PP"/>
    <n v="2.5"/>
    <n v="5"/>
    <n v="0"/>
    <n v="250"/>
    <s v="PP"/>
    <n v="7"/>
    <n v="74.48"/>
    <n v="1.75"/>
    <m/>
    <m/>
    <n v="72.73"/>
    <m/>
    <m/>
    <m/>
    <m/>
    <m/>
    <m/>
    <m/>
    <m/>
    <m/>
    <m/>
    <m/>
    <m/>
    <m/>
    <m/>
    <m/>
    <m/>
    <m/>
    <m/>
    <m/>
    <m/>
    <m/>
    <m/>
    <m/>
    <m/>
    <x v="0"/>
    <m/>
    <m/>
    <m/>
    <m/>
  </r>
  <r>
    <x v="0"/>
    <x v="1"/>
    <s v="7063/1"/>
    <x v="37"/>
    <s v="محبوب مقبول گوجرانوالہ"/>
    <s v="PP"/>
    <n v="2.5"/>
    <n v="5"/>
    <n v="0"/>
    <n v="250"/>
    <s v="PP"/>
    <n v="2"/>
    <n v="19"/>
    <n v="0.5"/>
    <m/>
    <m/>
    <n v="18.5"/>
    <m/>
    <m/>
    <m/>
    <m/>
    <m/>
    <m/>
    <m/>
    <m/>
    <m/>
    <m/>
    <m/>
    <m/>
    <m/>
    <m/>
    <m/>
    <m/>
    <m/>
    <m/>
    <m/>
    <m/>
    <m/>
    <m/>
    <m/>
    <m/>
    <x v="0"/>
    <m/>
    <m/>
    <m/>
    <m/>
  </r>
  <r>
    <x v="1"/>
    <x v="1"/>
    <s v="7063/1"/>
    <x v="37"/>
    <s v="محبوب مقبول گوجرانوالہ"/>
    <s v="PP"/>
    <n v="2.5"/>
    <n v="5"/>
    <n v="0"/>
    <n v="250"/>
    <s v="PP"/>
    <n v="8"/>
    <n v="84.320000000000007"/>
    <n v="2"/>
    <m/>
    <m/>
    <n v="82.320000000000007"/>
    <m/>
    <m/>
    <m/>
    <m/>
    <m/>
    <m/>
    <m/>
    <m/>
    <m/>
    <m/>
    <m/>
    <m/>
    <m/>
    <m/>
    <m/>
    <m/>
    <m/>
    <m/>
    <m/>
    <m/>
    <m/>
    <m/>
    <m/>
    <m/>
    <x v="0"/>
    <m/>
    <m/>
    <m/>
    <m/>
  </r>
  <r>
    <x v="0"/>
    <x v="2"/>
    <s v="7055/2"/>
    <x v="37"/>
    <s v="عثمان امین لاہور"/>
    <s v="PP"/>
    <n v="6"/>
    <n v="5"/>
    <n v="0"/>
    <n v="4000"/>
    <s v="PP"/>
    <n v="4"/>
    <n v="137.63"/>
    <n v="2.8"/>
    <m/>
    <m/>
    <n v="134.82999999999998"/>
    <m/>
    <m/>
    <m/>
    <m/>
    <m/>
    <m/>
    <m/>
    <m/>
    <m/>
    <m/>
    <m/>
    <m/>
    <m/>
    <m/>
    <m/>
    <m/>
    <m/>
    <m/>
    <m/>
    <m/>
    <m/>
    <m/>
    <m/>
    <m/>
    <x v="0"/>
    <m/>
    <m/>
    <m/>
    <m/>
  </r>
  <r>
    <x v="0"/>
    <x v="2"/>
    <s v="7084/1"/>
    <x v="37"/>
    <s v="العمر پلاسٹک گوجرانوالہ"/>
    <s v="PP"/>
    <n v="8"/>
    <n v="10"/>
    <n v="0"/>
    <n v="150"/>
    <s v="PP"/>
    <n v="4"/>
    <n v="130.69999999999999"/>
    <n v="3.2"/>
    <m/>
    <m/>
    <n v="127.49999999999999"/>
    <m/>
    <m/>
    <m/>
    <m/>
    <m/>
    <m/>
    <m/>
    <m/>
    <m/>
    <m/>
    <m/>
    <m/>
    <m/>
    <m/>
    <m/>
    <m/>
    <m/>
    <m/>
    <m/>
    <m/>
    <m/>
    <m/>
    <m/>
    <m/>
    <x v="0"/>
    <m/>
    <m/>
    <m/>
    <m/>
  </r>
  <r>
    <x v="0"/>
    <x v="2"/>
    <s v="7084/1"/>
    <x v="37"/>
    <s v="العمر پلاسٹک گوجرانوالہ"/>
    <s v="PP"/>
    <n v="8"/>
    <n v="10"/>
    <n v="0"/>
    <n v="150"/>
    <s v="PP"/>
    <n v="1"/>
    <n v="34.299999999999997"/>
    <n v="0.8"/>
    <m/>
    <m/>
    <n v="33.5"/>
    <m/>
    <m/>
    <m/>
    <m/>
    <m/>
    <m/>
    <m/>
    <m/>
    <m/>
    <m/>
    <m/>
    <m/>
    <m/>
    <m/>
    <m/>
    <m/>
    <m/>
    <m/>
    <m/>
    <m/>
    <m/>
    <m/>
    <m/>
    <m/>
    <x v="0"/>
    <m/>
    <m/>
    <m/>
    <m/>
  </r>
  <r>
    <x v="1"/>
    <x v="2"/>
    <s v="11 P"/>
    <x v="37"/>
    <s v="جیلانی پولی سٹاک"/>
    <s v="PP"/>
    <n v="8"/>
    <n v="5"/>
    <n v="0"/>
    <s v="-"/>
    <s v="PP"/>
    <n v="8"/>
    <n v="256"/>
    <n v="6.4"/>
    <m/>
    <m/>
    <n v="249.6"/>
    <m/>
    <m/>
    <m/>
    <m/>
    <m/>
    <m/>
    <m/>
    <m/>
    <m/>
    <m/>
    <m/>
    <m/>
    <m/>
    <m/>
    <m/>
    <m/>
    <m/>
    <m/>
    <m/>
    <m/>
    <m/>
    <m/>
    <m/>
    <m/>
    <x v="0"/>
    <m/>
    <m/>
    <m/>
    <m/>
  </r>
  <r>
    <x v="0"/>
    <x v="3"/>
    <s v="3238 J"/>
    <x v="37"/>
    <s v="Jilani Poly Stock"/>
    <s v="PP"/>
    <n v="20"/>
    <s v="5-5.5"/>
    <s v=".1:1"/>
    <n v="500"/>
    <s v="PP"/>
    <n v="3"/>
    <n v="159.1"/>
    <n v="7.3000000000000007"/>
    <m/>
    <m/>
    <n v="151.79999999999998"/>
    <m/>
    <m/>
    <m/>
    <m/>
    <m/>
    <m/>
    <m/>
    <m/>
    <m/>
    <m/>
    <m/>
    <m/>
    <m/>
    <m/>
    <m/>
    <m/>
    <m/>
    <m/>
    <m/>
    <m/>
    <m/>
    <m/>
    <m/>
    <m/>
    <x v="0"/>
    <m/>
    <m/>
    <m/>
    <m/>
  </r>
  <r>
    <x v="0"/>
    <x v="3"/>
    <s v="3238 J"/>
    <x v="37"/>
    <s v="Jilani Poly Stock"/>
    <s v="PP"/>
    <n v="20"/>
    <s v="5-5.5"/>
    <s v=".1:1"/>
    <n v="500"/>
    <s v="PP"/>
    <n v="2"/>
    <n v="77.7"/>
    <n v="4.8"/>
    <m/>
    <m/>
    <n v="72.900000000000006"/>
    <m/>
    <m/>
    <m/>
    <m/>
    <m/>
    <m/>
    <m/>
    <m/>
    <m/>
    <m/>
    <m/>
    <m/>
    <m/>
    <m/>
    <m/>
    <m/>
    <m/>
    <m/>
    <m/>
    <m/>
    <m/>
    <m/>
    <m/>
    <m/>
    <x v="0"/>
    <m/>
    <m/>
    <m/>
    <m/>
  </r>
  <r>
    <x v="0"/>
    <x v="3"/>
    <s v="3241 J"/>
    <x v="37"/>
    <s v="Jilani Poly Stock"/>
    <s v="PP"/>
    <n v="22"/>
    <s v="5-5.5"/>
    <s v=".1:1"/>
    <n v="1000"/>
    <s v="PP"/>
    <n v="7"/>
    <n v="427.45000000000005"/>
    <n v="18.599999999999998"/>
    <m/>
    <m/>
    <n v="408.85"/>
    <m/>
    <m/>
    <m/>
    <m/>
    <m/>
    <m/>
    <m/>
    <m/>
    <m/>
    <m/>
    <m/>
    <m/>
    <m/>
    <m/>
    <m/>
    <m/>
    <m/>
    <m/>
    <m/>
    <m/>
    <m/>
    <m/>
    <m/>
    <m/>
    <x v="0"/>
    <m/>
    <m/>
    <m/>
    <m/>
  </r>
  <r>
    <x v="1"/>
    <x v="3"/>
    <s v="3241 J"/>
    <x v="37"/>
    <s v="Jilani Poly Stock"/>
    <s v="PP"/>
    <n v="22"/>
    <s v="5-5.5"/>
    <s v=".1:1"/>
    <n v="1000"/>
    <s v="PP"/>
    <n v="11"/>
    <n v="644.6"/>
    <n v="30.799999999999997"/>
    <m/>
    <m/>
    <n v="613.80000000000007"/>
    <m/>
    <m/>
    <m/>
    <m/>
    <m/>
    <m/>
    <m/>
    <m/>
    <m/>
    <m/>
    <m/>
    <m/>
    <m/>
    <m/>
    <m/>
    <m/>
    <m/>
    <m/>
    <m/>
    <m/>
    <m/>
    <m/>
    <m/>
    <m/>
    <x v="0"/>
    <m/>
    <m/>
    <m/>
    <m/>
  </r>
  <r>
    <x v="0"/>
    <x v="4"/>
    <s v="14 P"/>
    <x v="37"/>
    <s v="جیلانی پولی سٹاک"/>
    <s v="PP"/>
    <n v="11"/>
    <n v="5"/>
    <n v="0"/>
    <s v="-"/>
    <s v="PP"/>
    <n v="3"/>
    <n v="113.9"/>
    <n v="0.30000000000000004"/>
    <m/>
    <m/>
    <n v="113.60000000000001"/>
    <m/>
    <m/>
    <m/>
    <m/>
    <m/>
    <m/>
    <m/>
    <m/>
    <m/>
    <m/>
    <m/>
    <m/>
    <m/>
    <m/>
    <m/>
    <m/>
    <m/>
    <m/>
    <m/>
    <m/>
    <m/>
    <m/>
    <m/>
    <m/>
    <x v="0"/>
    <m/>
    <m/>
    <m/>
    <m/>
  </r>
  <r>
    <x v="0"/>
    <x v="4"/>
    <s v="15 P"/>
    <x v="37"/>
    <s v="جیلانی پولی سٹاک"/>
    <s v="PP"/>
    <n v="12"/>
    <n v="5"/>
    <n v="0"/>
    <s v="-"/>
    <s v="PP"/>
    <n v="9"/>
    <n v="419.40999999999997"/>
    <n v="1.08"/>
    <m/>
    <m/>
    <n v="418.33"/>
    <m/>
    <m/>
    <m/>
    <m/>
    <m/>
    <m/>
    <m/>
    <m/>
    <m/>
    <m/>
    <m/>
    <m/>
    <m/>
    <m/>
    <m/>
    <m/>
    <m/>
    <m/>
    <m/>
    <m/>
    <m/>
    <m/>
    <m/>
    <m/>
    <x v="0"/>
    <m/>
    <m/>
    <m/>
    <m/>
  </r>
  <r>
    <x v="1"/>
    <x v="4"/>
    <s v="15 P"/>
    <x v="37"/>
    <s v="جیلانی پولی سٹاک"/>
    <s v="PP"/>
    <n v="12"/>
    <n v="5"/>
    <n v="0"/>
    <s v="-"/>
    <s v="PP"/>
    <n v="11"/>
    <n v="471.92999999999995"/>
    <n v="16.5"/>
    <m/>
    <m/>
    <n v="455.42999999999995"/>
    <m/>
    <m/>
    <m/>
    <m/>
    <m/>
    <m/>
    <m/>
    <m/>
    <m/>
    <m/>
    <m/>
    <m/>
    <m/>
    <m/>
    <m/>
    <m/>
    <m/>
    <m/>
    <m/>
    <m/>
    <m/>
    <m/>
    <m/>
    <m/>
    <x v="0"/>
    <m/>
    <m/>
    <m/>
    <m/>
  </r>
  <r>
    <x v="0"/>
    <x v="0"/>
    <s v="7089/2"/>
    <x v="38"/>
    <s v="ندیم پلاسٹک پھلوال"/>
    <s v="PP"/>
    <n v="5"/>
    <n v="5"/>
    <n v="0"/>
    <n v="200"/>
    <s v="PP"/>
    <n v="3"/>
    <n v="46.8"/>
    <n v="1.35"/>
    <n v="47"/>
    <m/>
    <n v="45.449999999999996"/>
    <m/>
    <m/>
    <m/>
    <m/>
    <m/>
    <m/>
    <m/>
    <m/>
    <m/>
    <m/>
    <m/>
    <m/>
    <m/>
    <m/>
    <m/>
    <m/>
    <m/>
    <m/>
    <m/>
    <m/>
    <m/>
    <m/>
    <m/>
    <m/>
    <x v="0"/>
    <m/>
    <m/>
    <m/>
    <m/>
  </r>
  <r>
    <x v="1"/>
    <x v="0"/>
    <s v="7089/2"/>
    <x v="38"/>
    <s v="ندیم پلاسٹک پھلوال"/>
    <s v="PP"/>
    <n v="5"/>
    <n v="5"/>
    <n v="0"/>
    <n v="200"/>
    <s v="PP"/>
    <n v="8"/>
    <n v="153.27000000000001"/>
    <n v="3.6"/>
    <n v="34"/>
    <m/>
    <n v="149.67000000000002"/>
    <m/>
    <m/>
    <m/>
    <m/>
    <m/>
    <m/>
    <m/>
    <m/>
    <m/>
    <m/>
    <m/>
    <m/>
    <m/>
    <m/>
    <m/>
    <m/>
    <m/>
    <m/>
    <m/>
    <m/>
    <m/>
    <m/>
    <m/>
    <m/>
    <x v="0"/>
    <m/>
    <m/>
    <m/>
    <m/>
  </r>
  <r>
    <x v="0"/>
    <x v="1"/>
    <s v="7063/1"/>
    <x v="38"/>
    <s v="محبوب مقبول گوجرانوالہ"/>
    <s v="PP"/>
    <n v="2.5"/>
    <n v="5"/>
    <n v="0"/>
    <n v="250"/>
    <s v="PP"/>
    <n v="9"/>
    <n v="84.800000000000011"/>
    <n v="2.25"/>
    <m/>
    <m/>
    <n v="82.550000000000011"/>
    <m/>
    <m/>
    <m/>
    <m/>
    <m/>
    <m/>
    <m/>
    <m/>
    <m/>
    <m/>
    <m/>
    <m/>
    <m/>
    <m/>
    <m/>
    <m/>
    <m/>
    <m/>
    <m/>
    <m/>
    <m/>
    <m/>
    <m/>
    <m/>
    <x v="0"/>
    <m/>
    <m/>
    <m/>
    <m/>
  </r>
  <r>
    <x v="1"/>
    <x v="1"/>
    <s v="7063/1"/>
    <x v="38"/>
    <s v="محبوب مقبول گوجرانوالہ"/>
    <s v="PP"/>
    <n v="2.5"/>
    <n v="5"/>
    <n v="0"/>
    <n v="250"/>
    <s v="PP"/>
    <n v="10"/>
    <n v="112.63999999999999"/>
    <n v="2.5"/>
    <m/>
    <m/>
    <n v="110.13999999999999"/>
    <m/>
    <m/>
    <m/>
    <m/>
    <m/>
    <m/>
    <m/>
    <m/>
    <m/>
    <m/>
    <m/>
    <m/>
    <m/>
    <m/>
    <m/>
    <m/>
    <m/>
    <m/>
    <m/>
    <m/>
    <m/>
    <m/>
    <m/>
    <m/>
    <x v="0"/>
    <m/>
    <m/>
    <m/>
    <m/>
  </r>
  <r>
    <x v="0"/>
    <x v="2"/>
    <s v="11 P"/>
    <x v="38"/>
    <s v="جیلانی پولی سٹاک"/>
    <s v="PP"/>
    <n v="8"/>
    <n v="5"/>
    <n v="0"/>
    <s v="-"/>
    <s v="PP"/>
    <n v="7"/>
    <n v="242.49000000000004"/>
    <n v="6.3"/>
    <m/>
    <m/>
    <n v="236.19000000000003"/>
    <m/>
    <m/>
    <m/>
    <m/>
    <m/>
    <m/>
    <m/>
    <m/>
    <m/>
    <m/>
    <m/>
    <m/>
    <m/>
    <m/>
    <m/>
    <m/>
    <m/>
    <m/>
    <m/>
    <m/>
    <m/>
    <m/>
    <m/>
    <m/>
    <x v="0"/>
    <m/>
    <m/>
    <m/>
    <m/>
  </r>
  <r>
    <x v="1"/>
    <x v="2"/>
    <s v="11 P"/>
    <x v="38"/>
    <s v="جیلانی پولی سٹاک"/>
    <s v="PP"/>
    <n v="8"/>
    <n v="5"/>
    <n v="0"/>
    <s v="-"/>
    <s v="PP"/>
    <n v="3"/>
    <n v="139.1"/>
    <n v="3.1500000000000004"/>
    <m/>
    <m/>
    <n v="135.94999999999999"/>
    <m/>
    <m/>
    <m/>
    <m/>
    <m/>
    <m/>
    <m/>
    <m/>
    <m/>
    <m/>
    <m/>
    <m/>
    <m/>
    <m/>
    <m/>
    <m/>
    <m/>
    <m/>
    <m/>
    <m/>
    <m/>
    <m/>
    <m/>
    <m/>
    <x v="0"/>
    <m/>
    <m/>
    <m/>
    <m/>
  </r>
  <r>
    <x v="1"/>
    <x v="2"/>
    <s v="7083/2"/>
    <x v="38"/>
    <s v="عظیم ٹوائز شاہ عالم"/>
    <s v="PP"/>
    <n v="7"/>
    <n v="10"/>
    <n v="0"/>
    <n v="100"/>
    <s v="PP"/>
    <n v="4"/>
    <n v="107.79999999999998"/>
    <n v="3.6"/>
    <m/>
    <m/>
    <n v="104.19999999999999"/>
    <m/>
    <m/>
    <m/>
    <m/>
    <m/>
    <m/>
    <m/>
    <m/>
    <m/>
    <m/>
    <m/>
    <m/>
    <m/>
    <m/>
    <m/>
    <m/>
    <m/>
    <m/>
    <m/>
    <m/>
    <m/>
    <m/>
    <m/>
    <m/>
    <x v="0"/>
    <m/>
    <m/>
    <m/>
    <m/>
  </r>
  <r>
    <x v="1"/>
    <x v="2"/>
    <s v="7049/9"/>
    <x v="38"/>
    <s v="آصف پلاسٹک سرگودھا"/>
    <s v="PP"/>
    <n v="7"/>
    <n v="4.5"/>
    <n v="0"/>
    <n v="50"/>
    <s v="PP"/>
    <n v="3"/>
    <n v="95.47"/>
    <n v="2.7"/>
    <m/>
    <m/>
    <n v="92.77"/>
    <m/>
    <m/>
    <m/>
    <m/>
    <m/>
    <m/>
    <m/>
    <m/>
    <m/>
    <m/>
    <m/>
    <m/>
    <m/>
    <m/>
    <m/>
    <m/>
    <m/>
    <m/>
    <m/>
    <m/>
    <m/>
    <m/>
    <m/>
    <m/>
    <x v="0"/>
    <m/>
    <m/>
    <m/>
    <m/>
  </r>
  <r>
    <x v="0"/>
    <x v="3"/>
    <s v="3237 J"/>
    <x v="38"/>
    <s v="Jilani Poly Stock"/>
    <s v="PP"/>
    <n v="18"/>
    <s v="5-5.5"/>
    <s v=".1:1"/>
    <n v="1000"/>
    <s v="PP"/>
    <n v="9"/>
    <n v="466"/>
    <n v="1.6199999999999999"/>
    <m/>
    <m/>
    <n v="464.38"/>
    <m/>
    <m/>
    <m/>
    <m/>
    <m/>
    <m/>
    <m/>
    <m/>
    <m/>
    <m/>
    <m/>
    <m/>
    <m/>
    <m/>
    <m/>
    <m/>
    <m/>
    <m/>
    <m/>
    <m/>
    <m/>
    <m/>
    <m/>
    <m/>
    <x v="0"/>
    <m/>
    <m/>
    <m/>
    <m/>
  </r>
  <r>
    <x v="1"/>
    <x v="3"/>
    <s v="3237 J"/>
    <x v="38"/>
    <s v="Jilani Poly Stock"/>
    <s v="PP"/>
    <n v="18"/>
    <s v="5-5.5"/>
    <s v=".1:1"/>
    <n v="1000"/>
    <s v="PP"/>
    <n v="12"/>
    <n v="655.83999999999992"/>
    <n v="25.15"/>
    <m/>
    <m/>
    <n v="630.68999999999994"/>
    <m/>
    <m/>
    <m/>
    <m/>
    <m/>
    <m/>
    <m/>
    <m/>
    <m/>
    <m/>
    <m/>
    <m/>
    <m/>
    <m/>
    <m/>
    <m/>
    <m/>
    <m/>
    <m/>
    <m/>
    <m/>
    <m/>
    <m/>
    <m/>
    <x v="0"/>
    <m/>
    <m/>
    <m/>
    <m/>
  </r>
  <r>
    <x v="1"/>
    <x v="3"/>
    <s v="21 P"/>
    <x v="38"/>
    <s v="جیلانی پولی سٹاک"/>
    <s v="PP"/>
    <n v="18"/>
    <n v="5"/>
    <n v="0"/>
    <s v="-"/>
    <s v="PP"/>
    <n v="2"/>
    <n v="111.5"/>
    <n v="8.8000000000000007"/>
    <m/>
    <m/>
    <n v="102.7"/>
    <m/>
    <m/>
    <m/>
    <m/>
    <m/>
    <m/>
    <m/>
    <m/>
    <m/>
    <m/>
    <m/>
    <m/>
    <m/>
    <m/>
    <m/>
    <m/>
    <m/>
    <m/>
    <m/>
    <m/>
    <m/>
    <m/>
    <m/>
    <m/>
    <x v="0"/>
    <m/>
    <m/>
    <m/>
    <m/>
  </r>
  <r>
    <x v="0"/>
    <x v="4"/>
    <s v="17 P"/>
    <x v="38"/>
    <s v="جیلانی پولی سٹاک"/>
    <s v="PP"/>
    <n v="14"/>
    <n v="5"/>
    <n v="0"/>
    <s v="-"/>
    <s v="PP"/>
    <n v="11"/>
    <n v="385.2"/>
    <n v="19.25"/>
    <m/>
    <m/>
    <n v="365.95"/>
    <m/>
    <m/>
    <m/>
    <m/>
    <m/>
    <m/>
    <m/>
    <m/>
    <m/>
    <m/>
    <m/>
    <m/>
    <m/>
    <m/>
    <m/>
    <m/>
    <m/>
    <m/>
    <m/>
    <m/>
    <m/>
    <m/>
    <m/>
    <m/>
    <x v="0"/>
    <m/>
    <m/>
    <m/>
    <m/>
  </r>
  <r>
    <x v="0"/>
    <x v="4"/>
    <s v="7083/1"/>
    <x v="38"/>
    <s v="عظیم ٹوائز شاہ عالم"/>
    <s v="PP"/>
    <n v="14"/>
    <n v="10"/>
    <n v="0"/>
    <n v="100"/>
    <s v="PP"/>
    <n v="2"/>
    <n v="46.1"/>
    <n v="3.5"/>
    <m/>
    <m/>
    <n v="42.6"/>
    <m/>
    <m/>
    <m/>
    <m/>
    <m/>
    <m/>
    <m/>
    <m/>
    <m/>
    <m/>
    <m/>
    <m/>
    <m/>
    <m/>
    <m/>
    <m/>
    <m/>
    <m/>
    <m/>
    <m/>
    <m/>
    <m/>
    <m/>
    <m/>
    <x v="0"/>
    <m/>
    <m/>
    <m/>
    <m/>
  </r>
  <r>
    <x v="0"/>
    <x v="4"/>
    <s v="3216 J"/>
    <x v="38"/>
    <s v="Laam Lungi By M Shawl Lahore "/>
    <s v="PP"/>
    <n v="14"/>
    <s v="6-6.5"/>
    <s v="1:1"/>
    <n v="100"/>
    <s v="PP"/>
    <n v="1"/>
    <n v="14.3"/>
    <n v="1.75"/>
    <m/>
    <m/>
    <n v="12.55"/>
    <m/>
    <m/>
    <m/>
    <m/>
    <m/>
    <m/>
    <m/>
    <m/>
    <m/>
    <m/>
    <m/>
    <m/>
    <m/>
    <m/>
    <m/>
    <m/>
    <m/>
    <m/>
    <m/>
    <m/>
    <m/>
    <m/>
    <m/>
    <m/>
    <x v="0"/>
    <m/>
    <m/>
    <m/>
    <m/>
  </r>
  <r>
    <x v="1"/>
    <x v="4"/>
    <s v="7083/1"/>
    <x v="38"/>
    <s v="عظیم ٹوائز شاہ عالم"/>
    <s v="PP"/>
    <n v="14"/>
    <n v="10"/>
    <n v="0"/>
    <n v="100"/>
    <s v="PP"/>
    <n v="2"/>
    <n v="60.8"/>
    <n v="3.4"/>
    <m/>
    <m/>
    <n v="57.4"/>
    <m/>
    <m/>
    <m/>
    <m/>
    <m/>
    <m/>
    <m/>
    <m/>
    <m/>
    <m/>
    <m/>
    <m/>
    <m/>
    <m/>
    <m/>
    <m/>
    <m/>
    <m/>
    <m/>
    <m/>
    <m/>
    <m/>
    <m/>
    <m/>
    <x v="0"/>
    <m/>
    <m/>
    <m/>
    <m/>
  </r>
  <r>
    <x v="1"/>
    <x v="4"/>
    <s v="17 P"/>
    <x v="38"/>
    <s v="جیلانی پولی سٹاک"/>
    <s v="PP"/>
    <n v="14"/>
    <n v="5"/>
    <n v="0"/>
    <s v="-"/>
    <s v="PP"/>
    <n v="5"/>
    <n v="284.59999999999997"/>
    <n v="8.5"/>
    <m/>
    <m/>
    <n v="276.09999999999997"/>
    <m/>
    <m/>
    <m/>
    <m/>
    <m/>
    <m/>
    <m/>
    <m/>
    <m/>
    <m/>
    <m/>
    <m/>
    <m/>
    <m/>
    <m/>
    <m/>
    <m/>
    <m/>
    <m/>
    <m/>
    <m/>
    <m/>
    <m/>
    <m/>
    <x v="0"/>
    <m/>
    <m/>
    <m/>
    <m/>
  </r>
  <r>
    <x v="1"/>
    <x v="4"/>
    <s v="13 P"/>
    <x v="38"/>
    <s v="جیلانی پولی سٹاک"/>
    <s v="PP"/>
    <n v="10"/>
    <n v="5"/>
    <n v="0"/>
    <s v="-"/>
    <s v="PP"/>
    <n v="4"/>
    <n v="168.8"/>
    <n v="4.4000000000000004"/>
    <m/>
    <m/>
    <n v="164.4"/>
    <m/>
    <m/>
    <m/>
    <m/>
    <m/>
    <m/>
    <m/>
    <m/>
    <m/>
    <m/>
    <m/>
    <m/>
    <m/>
    <m/>
    <m/>
    <m/>
    <m/>
    <m/>
    <m/>
    <m/>
    <m/>
    <m/>
    <m/>
    <m/>
    <x v="0"/>
    <m/>
    <m/>
    <m/>
    <m/>
  </r>
  <r>
    <x v="0"/>
    <x v="0"/>
    <s v="7089/1"/>
    <x v="39"/>
    <s v="ندیم پلاسٹک پھلوال"/>
    <s v="PP"/>
    <n v="5"/>
    <n v="5"/>
    <n v="0"/>
    <n v="200"/>
    <s v="PP"/>
    <n v="1"/>
    <n v="18.7"/>
    <n v="0.45"/>
    <n v="17"/>
    <m/>
    <n v="18.25"/>
    <m/>
    <m/>
    <m/>
    <m/>
    <m/>
    <m/>
    <m/>
    <m/>
    <m/>
    <m/>
    <m/>
    <m/>
    <m/>
    <m/>
    <m/>
    <m/>
    <m/>
    <m/>
    <m/>
    <m/>
    <m/>
    <m/>
    <m/>
    <m/>
    <x v="0"/>
    <m/>
    <m/>
    <m/>
    <m/>
  </r>
  <r>
    <x v="0"/>
    <x v="0"/>
    <s v="7079/1"/>
    <x v="39"/>
    <s v="قیصرپلاسٹک وزیر آباد"/>
    <s v="PP"/>
    <n v="4.5"/>
    <n v="5"/>
    <n v="0"/>
    <n v="150"/>
    <s v="PP"/>
    <n v="10"/>
    <n v="177.72"/>
    <n v="4.5"/>
    <m/>
    <m/>
    <n v="173.22"/>
    <m/>
    <m/>
    <m/>
    <m/>
    <m/>
    <m/>
    <m/>
    <m/>
    <m/>
    <m/>
    <m/>
    <m/>
    <m/>
    <m/>
    <m/>
    <m/>
    <m/>
    <m/>
    <m/>
    <m/>
    <m/>
    <m/>
    <m/>
    <m/>
    <x v="0"/>
    <m/>
    <m/>
    <m/>
    <m/>
  </r>
  <r>
    <x v="1"/>
    <x v="0"/>
    <s v="7079/1"/>
    <x v="39"/>
    <s v="قیصرپلاسٹک وزیر آباد"/>
    <s v="PP"/>
    <n v="4.5"/>
    <n v="5"/>
    <n v="0"/>
    <n v="150"/>
    <s v="PP"/>
    <n v="3"/>
    <n v="60.64"/>
    <n v="1.35"/>
    <n v="31"/>
    <m/>
    <n v="59.29"/>
    <m/>
    <m/>
    <m/>
    <m/>
    <m/>
    <m/>
    <m/>
    <m/>
    <m/>
    <m/>
    <m/>
    <m/>
    <m/>
    <m/>
    <m/>
    <m/>
    <m/>
    <m/>
    <m/>
    <m/>
    <m/>
    <m/>
    <m/>
    <m/>
    <x v="0"/>
    <m/>
    <m/>
    <m/>
    <m/>
  </r>
  <r>
    <x v="1"/>
    <x v="0"/>
    <s v="7076/2"/>
    <x v="39"/>
    <s v="عزیز ٹریڈرز ہاؤس لاہور"/>
    <s v="PP"/>
    <n v="4"/>
    <n v="8"/>
    <n v="0"/>
    <n v="100"/>
    <s v="PP"/>
    <n v="5"/>
    <n v="90.92"/>
    <n v="2"/>
    <m/>
    <m/>
    <n v="88.92"/>
    <m/>
    <m/>
    <m/>
    <m/>
    <m/>
    <m/>
    <m/>
    <m/>
    <m/>
    <m/>
    <m/>
    <m/>
    <m/>
    <m/>
    <m/>
    <m/>
    <m/>
    <m/>
    <m/>
    <m/>
    <m/>
    <m/>
    <m/>
    <m/>
    <x v="0"/>
    <m/>
    <m/>
    <m/>
    <m/>
  </r>
  <r>
    <x v="0"/>
    <x v="1"/>
    <s v="7063/1"/>
    <x v="39"/>
    <s v="محبوب مقبول گوجرانوالہ"/>
    <s v="PP"/>
    <n v="2.5"/>
    <n v="5"/>
    <n v="0"/>
    <n v="250"/>
    <s v="PP"/>
    <n v="11"/>
    <n v="105.8"/>
    <n v="2.75"/>
    <m/>
    <m/>
    <n v="103.05"/>
    <m/>
    <m/>
    <m/>
    <m/>
    <m/>
    <m/>
    <m/>
    <m/>
    <m/>
    <m/>
    <m/>
    <m/>
    <m/>
    <m/>
    <m/>
    <m/>
    <m/>
    <m/>
    <m/>
    <m/>
    <m/>
    <m/>
    <m/>
    <m/>
    <x v="0"/>
    <m/>
    <m/>
    <m/>
    <m/>
  </r>
  <r>
    <x v="1"/>
    <x v="1"/>
    <s v="7063/1"/>
    <x v="39"/>
    <s v="محبوب مقبول گوجرانوالہ"/>
    <s v="PP"/>
    <n v="2.5"/>
    <n v="5"/>
    <n v="0"/>
    <n v="250"/>
    <s v="PP"/>
    <n v="4"/>
    <n v="44.800000000000004"/>
    <n v="1"/>
    <m/>
    <m/>
    <n v="43.800000000000004"/>
    <m/>
    <m/>
    <m/>
    <m/>
    <m/>
    <m/>
    <m/>
    <m/>
    <m/>
    <m/>
    <m/>
    <m/>
    <m/>
    <m/>
    <m/>
    <m/>
    <m/>
    <m/>
    <m/>
    <m/>
    <m/>
    <m/>
    <m/>
    <m/>
    <x v="0"/>
    <m/>
    <m/>
    <m/>
    <m/>
  </r>
  <r>
    <x v="1"/>
    <x v="1"/>
    <s v="7061/1"/>
    <x v="39"/>
    <s v="فیصل پلاسٹک فیصل آباد"/>
    <s v="PP"/>
    <n v="3.5"/>
    <n v="5"/>
    <n v="0"/>
    <n v="100"/>
    <s v="PP"/>
    <n v="6"/>
    <n v="87.84"/>
    <n v="2.0999999999999996"/>
    <m/>
    <m/>
    <n v="85.740000000000009"/>
    <m/>
    <m/>
    <m/>
    <m/>
    <m/>
    <m/>
    <m/>
    <m/>
    <m/>
    <m/>
    <m/>
    <m/>
    <m/>
    <m/>
    <m/>
    <m/>
    <m/>
    <m/>
    <m/>
    <m/>
    <m/>
    <m/>
    <m/>
    <m/>
    <x v="0"/>
    <m/>
    <m/>
    <m/>
    <m/>
  </r>
  <r>
    <x v="0"/>
    <x v="2"/>
    <s v="7049/9"/>
    <x v="39"/>
    <s v="آصف پلاسٹک سرگودھا"/>
    <s v="PP"/>
    <n v="7"/>
    <n v="4.5"/>
    <n v="0"/>
    <n v="50"/>
    <s v="PP"/>
    <n v="3"/>
    <n v="93.300000000000011"/>
    <n v="2.4000000000000004"/>
    <m/>
    <m/>
    <n v="90.9"/>
    <m/>
    <m/>
    <m/>
    <m/>
    <m/>
    <m/>
    <m/>
    <m/>
    <m/>
    <m/>
    <m/>
    <m/>
    <m/>
    <m/>
    <m/>
    <m/>
    <m/>
    <m/>
    <m/>
    <m/>
    <m/>
    <m/>
    <m/>
    <m/>
    <x v="0"/>
    <m/>
    <m/>
    <m/>
    <m/>
  </r>
  <r>
    <x v="0"/>
    <x v="2"/>
    <s v="7055/1"/>
    <x v="39"/>
    <s v="عثمان امین لاہور"/>
    <s v="PP"/>
    <n v="7"/>
    <n v="5"/>
    <n v="0"/>
    <n v="6000"/>
    <s v="PP"/>
    <n v="6"/>
    <n v="203.32"/>
    <n v="4.8000000000000007"/>
    <m/>
    <m/>
    <n v="198.51999999999998"/>
    <m/>
    <m/>
    <m/>
    <m/>
    <m/>
    <m/>
    <m/>
    <m/>
    <m/>
    <m/>
    <m/>
    <m/>
    <m/>
    <m/>
    <m/>
    <m/>
    <m/>
    <m/>
    <m/>
    <m/>
    <m/>
    <m/>
    <m/>
    <m/>
    <x v="0"/>
    <m/>
    <m/>
    <m/>
    <m/>
  </r>
  <r>
    <x v="1"/>
    <x v="2"/>
    <s v="7055/1"/>
    <x v="39"/>
    <s v="عثمان امین لاہور"/>
    <s v="PP"/>
    <n v="7"/>
    <n v="5"/>
    <n v="0"/>
    <n v="6000"/>
    <s v="PP"/>
    <n v="9"/>
    <n v="289.5"/>
    <n v="7.2"/>
    <m/>
    <m/>
    <n v="282.3"/>
    <m/>
    <m/>
    <m/>
    <m/>
    <m/>
    <m/>
    <m/>
    <m/>
    <m/>
    <m/>
    <m/>
    <m/>
    <m/>
    <m/>
    <m/>
    <m/>
    <m/>
    <m/>
    <m/>
    <m/>
    <m/>
    <m/>
    <m/>
    <m/>
    <x v="0"/>
    <m/>
    <m/>
    <m/>
    <m/>
  </r>
  <r>
    <x v="0"/>
    <x v="3"/>
    <s v="21 P"/>
    <x v="39"/>
    <s v="جیلانی پولی سٹاک"/>
    <s v="PP"/>
    <n v="18"/>
    <n v="5"/>
    <n v="0"/>
    <s v="-"/>
    <s v="PP"/>
    <n v="11"/>
    <n v="587.99999999999989"/>
    <n v="24.200000000000003"/>
    <m/>
    <m/>
    <n v="563.79999999999984"/>
    <m/>
    <m/>
    <m/>
    <m/>
    <m/>
    <m/>
    <m/>
    <m/>
    <m/>
    <m/>
    <m/>
    <m/>
    <m/>
    <m/>
    <m/>
    <m/>
    <m/>
    <m/>
    <m/>
    <m/>
    <m/>
    <m/>
    <m/>
    <m/>
    <x v="0"/>
    <m/>
    <m/>
    <m/>
    <m/>
  </r>
  <r>
    <x v="0"/>
    <x v="3"/>
    <s v="7097/3"/>
    <x v="39"/>
    <s v="امارت پلاسٹک چوہنگ"/>
    <s v="PP"/>
    <n v="18"/>
    <s v="4-4.5"/>
    <n v="0"/>
    <n v="100"/>
    <s v="PP"/>
    <n v="2"/>
    <n v="100.19"/>
    <n v="0.36"/>
    <m/>
    <m/>
    <n v="99.83"/>
    <m/>
    <m/>
    <m/>
    <m/>
    <m/>
    <m/>
    <m/>
    <m/>
    <m/>
    <m/>
    <m/>
    <m/>
    <m/>
    <m/>
    <m/>
    <m/>
    <m/>
    <m/>
    <m/>
    <m/>
    <m/>
    <m/>
    <m/>
    <m/>
    <x v="0"/>
    <m/>
    <m/>
    <m/>
    <m/>
  </r>
  <r>
    <x v="0"/>
    <x v="3"/>
    <s v="3315 J"/>
    <x v="39"/>
    <s v="Naseer Sab Chiniot"/>
    <s v="PP"/>
    <n v="17"/>
    <s v="5-5.5"/>
    <s v=".1:1"/>
    <n v="100"/>
    <s v="PP"/>
    <n v="1"/>
    <n v="45.7"/>
    <n v="0.17"/>
    <m/>
    <m/>
    <n v="45.53"/>
    <m/>
    <m/>
    <m/>
    <m/>
    <m/>
    <m/>
    <m/>
    <m/>
    <m/>
    <m/>
    <m/>
    <m/>
    <m/>
    <m/>
    <m/>
    <m/>
    <m/>
    <m/>
    <m/>
    <m/>
    <m/>
    <m/>
    <m/>
    <m/>
    <x v="0"/>
    <m/>
    <m/>
    <m/>
    <m/>
  </r>
  <r>
    <x v="1"/>
    <x v="3"/>
    <s v="3315 J"/>
    <x v="39"/>
    <s v="Naseer Sab Chiniot"/>
    <s v="PP"/>
    <n v="17"/>
    <s v="5-5.5"/>
    <s v=".1:1"/>
    <n v="100"/>
    <s v="PP"/>
    <n v="2"/>
    <n v="116.5"/>
    <n v="3.8"/>
    <m/>
    <m/>
    <n v="112.7"/>
    <m/>
    <m/>
    <m/>
    <m/>
    <m/>
    <m/>
    <m/>
    <m/>
    <m/>
    <m/>
    <m/>
    <m/>
    <m/>
    <m/>
    <m/>
    <m/>
    <m/>
    <m/>
    <m/>
    <m/>
    <m/>
    <m/>
    <m/>
    <m/>
    <x v="0"/>
    <m/>
    <m/>
    <m/>
    <m/>
  </r>
  <r>
    <x v="1"/>
    <x v="3"/>
    <s v="3311 J"/>
    <x v="39"/>
    <s v="Khan Chapli Kbab and Fish Corner"/>
    <s v="PP"/>
    <n v="16"/>
    <s v="11-11.5"/>
    <s v="1:1"/>
    <n v="100"/>
    <s v="PP"/>
    <n v="2"/>
    <n v="110.2"/>
    <n v="3.9"/>
    <m/>
    <m/>
    <n v="106.3"/>
    <m/>
    <m/>
    <m/>
    <m/>
    <m/>
    <m/>
    <m/>
    <m/>
    <m/>
    <m/>
    <m/>
    <m/>
    <m/>
    <m/>
    <m/>
    <m/>
    <m/>
    <m/>
    <m/>
    <m/>
    <m/>
    <m/>
    <m/>
    <m/>
    <x v="0"/>
    <m/>
    <m/>
    <m/>
    <m/>
  </r>
  <r>
    <x v="1"/>
    <x v="3"/>
    <s v="3239 J"/>
    <x v="39"/>
    <s v="Jilani Poly Stock"/>
    <s v="PP"/>
    <n v="16"/>
    <s v="5-5.5"/>
    <s v=".1:1"/>
    <n v="1000"/>
    <s v="PP"/>
    <n v="6"/>
    <n v="300.76"/>
    <n v="11.5"/>
    <m/>
    <m/>
    <n v="289.26"/>
    <m/>
    <m/>
    <m/>
    <m/>
    <m/>
    <m/>
    <m/>
    <m/>
    <m/>
    <m/>
    <m/>
    <m/>
    <m/>
    <m/>
    <m/>
    <m/>
    <m/>
    <m/>
    <m/>
    <m/>
    <m/>
    <m/>
    <m/>
    <m/>
    <x v="0"/>
    <m/>
    <m/>
    <m/>
    <m/>
  </r>
  <r>
    <x v="1"/>
    <x v="3"/>
    <s v="3314 J"/>
    <x v="39"/>
    <s v="Naseer Sab Chiniot"/>
    <s v="PP"/>
    <n v="17"/>
    <s v="5-5.5"/>
    <s v=".1:1"/>
    <n v="200"/>
    <s v="PP"/>
    <n v="4"/>
    <n v="215.10000000000002"/>
    <n v="7.6"/>
    <m/>
    <m/>
    <n v="207.50000000000003"/>
    <m/>
    <m/>
    <m/>
    <m/>
    <m/>
    <m/>
    <m/>
    <m/>
    <m/>
    <m/>
    <m/>
    <m/>
    <m/>
    <m/>
    <m/>
    <m/>
    <m/>
    <m/>
    <m/>
    <m/>
    <m/>
    <m/>
    <m/>
    <m/>
    <x v="0"/>
    <m/>
    <m/>
    <m/>
    <m/>
  </r>
  <r>
    <x v="0"/>
    <x v="4"/>
    <s v="7068/1"/>
    <x v="39"/>
    <s v="ایم بلال اعظم مارکیٹ "/>
    <s v="PP"/>
    <n v="10"/>
    <n v="8"/>
    <n v="0"/>
    <n v="50"/>
    <s v="PP"/>
    <n v="2"/>
    <n v="60.5"/>
    <n v="2.4"/>
    <m/>
    <m/>
    <n v="58.1"/>
    <m/>
    <m/>
    <m/>
    <m/>
    <m/>
    <m/>
    <m/>
    <m/>
    <m/>
    <m/>
    <m/>
    <m/>
    <m/>
    <m/>
    <m/>
    <m/>
    <m/>
    <m/>
    <m/>
    <m/>
    <m/>
    <m/>
    <m/>
    <m/>
    <x v="0"/>
    <m/>
    <m/>
    <m/>
    <m/>
  </r>
  <r>
    <x v="0"/>
    <x v="4"/>
    <s v="13 P"/>
    <x v="39"/>
    <s v="جیلانی پولی سٹاک"/>
    <s v="PP"/>
    <n v="10"/>
    <n v="5"/>
    <n v="0"/>
    <s v="-"/>
    <s v="PP"/>
    <n v="11"/>
    <n v="451.56999999999988"/>
    <n v="13.2"/>
    <m/>
    <m/>
    <n v="438.36999999999989"/>
    <m/>
    <m/>
    <m/>
    <m/>
    <m/>
    <m/>
    <m/>
    <m/>
    <m/>
    <m/>
    <m/>
    <m/>
    <m/>
    <m/>
    <m/>
    <m/>
    <m/>
    <m/>
    <m/>
    <m/>
    <m/>
    <m/>
    <m/>
    <m/>
    <x v="0"/>
    <m/>
    <m/>
    <m/>
    <m/>
  </r>
  <r>
    <x v="1"/>
    <x v="4"/>
    <s v="13 P"/>
    <x v="39"/>
    <s v="جیلانی پولی سٹاک"/>
    <s v="PP"/>
    <n v="10"/>
    <n v="5"/>
    <n v="0"/>
    <s v="-"/>
    <s v="PP"/>
    <n v="4"/>
    <n v="140.9"/>
    <n v="0.4"/>
    <m/>
    <m/>
    <n v="140.5"/>
    <m/>
    <m/>
    <m/>
    <m/>
    <m/>
    <m/>
    <m/>
    <m/>
    <m/>
    <m/>
    <m/>
    <m/>
    <m/>
    <m/>
    <m/>
    <m/>
    <m/>
    <m/>
    <m/>
    <m/>
    <m/>
    <m/>
    <m/>
    <m/>
    <x v="0"/>
    <m/>
    <m/>
    <m/>
    <m/>
  </r>
  <r>
    <x v="1"/>
    <x v="4"/>
    <s v="13 P"/>
    <x v="39"/>
    <s v="جیلانی پولی سٹاک"/>
    <s v="PP"/>
    <n v="10"/>
    <n v="5"/>
    <n v="0"/>
    <s v="-"/>
    <s v="PP"/>
    <n v="4"/>
    <n v="206.39"/>
    <n v="5.05"/>
    <m/>
    <m/>
    <n v="201.33999999999997"/>
    <m/>
    <m/>
    <m/>
    <m/>
    <m/>
    <m/>
    <m/>
    <m/>
    <m/>
    <m/>
    <m/>
    <m/>
    <m/>
    <m/>
    <m/>
    <m/>
    <m/>
    <m/>
    <m/>
    <m/>
    <m/>
    <m/>
    <m/>
    <m/>
    <x v="0"/>
    <m/>
    <m/>
    <m/>
    <m/>
  </r>
  <r>
    <x v="1"/>
    <x v="4"/>
    <s v="7097/2"/>
    <x v="39"/>
    <s v="امارت پلاسٹک چوہنگ"/>
    <s v="PP"/>
    <n v="10"/>
    <s v="4-4.5"/>
    <n v="0"/>
    <n v="100"/>
    <s v="PP"/>
    <n v="4"/>
    <n v="113"/>
    <n v="0.4"/>
    <m/>
    <m/>
    <n v="112.6"/>
    <m/>
    <m/>
    <m/>
    <m/>
    <m/>
    <m/>
    <m/>
    <m/>
    <m/>
    <m/>
    <m/>
    <m/>
    <m/>
    <m/>
    <m/>
    <m/>
    <m/>
    <m/>
    <m/>
    <m/>
    <m/>
    <m/>
    <m/>
    <m/>
    <x v="0"/>
    <m/>
    <m/>
    <m/>
    <m/>
  </r>
  <r>
    <x v="0"/>
    <x v="0"/>
    <s v="6 P"/>
    <x v="40"/>
    <s v="جیلانی پولی سٹاک"/>
    <s v="PP"/>
    <n v="4"/>
    <s v="5.5-6"/>
    <n v="0"/>
    <s v="-"/>
    <s v="PP"/>
    <n v="9"/>
    <n v="148.56"/>
    <n v="3.6"/>
    <n v="26"/>
    <m/>
    <n v="144.96"/>
    <m/>
    <m/>
    <m/>
    <m/>
    <m/>
    <m/>
    <m/>
    <m/>
    <m/>
    <m/>
    <m/>
    <m/>
    <m/>
    <m/>
    <m/>
    <m/>
    <m/>
    <m/>
    <m/>
    <m/>
    <m/>
    <m/>
    <m/>
    <m/>
    <x v="0"/>
    <m/>
    <m/>
    <m/>
    <m/>
  </r>
  <r>
    <x v="0"/>
    <x v="0"/>
    <s v="3327 J"/>
    <x v="40"/>
    <s v="Hafize Printing Agency Lahore"/>
    <s v="PP"/>
    <n v="4"/>
    <s v="6-6.5"/>
    <s v="1:1"/>
    <n v="315"/>
    <s v="PP"/>
    <n v="2"/>
    <n v="28.7"/>
    <n v="0.8"/>
    <m/>
    <m/>
    <n v="27.9"/>
    <m/>
    <m/>
    <m/>
    <m/>
    <m/>
    <m/>
    <m/>
    <m/>
    <m/>
    <m/>
    <m/>
    <m/>
    <m/>
    <m/>
    <m/>
    <m/>
    <m/>
    <m/>
    <m/>
    <m/>
    <m/>
    <m/>
    <m/>
    <m/>
    <x v="0"/>
    <m/>
    <m/>
    <m/>
    <m/>
  </r>
  <r>
    <x v="1"/>
    <x v="0"/>
    <s v="3327 J"/>
    <x v="40"/>
    <s v="Hafize Printing Agency Lahore"/>
    <s v="PP"/>
    <n v="4"/>
    <s v="6-6.5"/>
    <s v="1:1"/>
    <n v="315"/>
    <s v="PP"/>
    <n v="10"/>
    <n v="172.98"/>
    <n v="4"/>
    <n v="43"/>
    <m/>
    <n v="168.98"/>
    <m/>
    <m/>
    <m/>
    <m/>
    <m/>
    <m/>
    <m/>
    <m/>
    <m/>
    <m/>
    <m/>
    <m/>
    <m/>
    <m/>
    <m/>
    <m/>
    <m/>
    <m/>
    <m/>
    <m/>
    <m/>
    <m/>
    <m/>
    <m/>
    <x v="0"/>
    <m/>
    <m/>
    <m/>
    <m/>
  </r>
  <r>
    <x v="0"/>
    <x v="1"/>
    <s v="7061/1"/>
    <x v="40"/>
    <s v="فیصل پلاسٹک فیصل آباد"/>
    <s v="PP"/>
    <n v="3.5"/>
    <n v="5"/>
    <n v="0"/>
    <n v="100"/>
    <s v="PP"/>
    <n v="9"/>
    <n v="105.60000000000001"/>
    <n v="3.15"/>
    <m/>
    <m/>
    <n v="102.45"/>
    <m/>
    <m/>
    <m/>
    <m/>
    <m/>
    <m/>
    <m/>
    <m/>
    <m/>
    <m/>
    <m/>
    <m/>
    <m/>
    <m/>
    <m/>
    <m/>
    <m/>
    <m/>
    <m/>
    <m/>
    <m/>
    <m/>
    <m/>
    <m/>
    <x v="0"/>
    <m/>
    <m/>
    <m/>
    <m/>
  </r>
  <r>
    <x v="1"/>
    <x v="1"/>
    <s v="7061/1"/>
    <x v="40"/>
    <s v="فیصل پلاسٹک فیصل آباد"/>
    <s v="PP"/>
    <n v="3.5"/>
    <n v="5"/>
    <n v="0"/>
    <n v="100"/>
    <s v="PP"/>
    <n v="9"/>
    <n v="124.49999999999999"/>
    <n v="3.15"/>
    <m/>
    <m/>
    <n v="121.34999999999998"/>
    <m/>
    <m/>
    <m/>
    <m/>
    <m/>
    <m/>
    <m/>
    <m/>
    <m/>
    <m/>
    <m/>
    <m/>
    <m/>
    <m/>
    <m/>
    <m/>
    <m/>
    <m/>
    <m/>
    <m/>
    <m/>
    <m/>
    <m/>
    <m/>
    <x v="0"/>
    <m/>
    <m/>
    <m/>
    <m/>
  </r>
  <r>
    <x v="0"/>
    <x v="2"/>
    <s v="7055/1"/>
    <x v="40"/>
    <s v="عثمان امین لاہور"/>
    <s v="PP"/>
    <n v="7"/>
    <n v="5"/>
    <n v="0"/>
    <n v="6000"/>
    <s v="PP"/>
    <n v="10"/>
    <n v="406"/>
    <n v="7"/>
    <m/>
    <m/>
    <n v="399"/>
    <m/>
    <m/>
    <m/>
    <m/>
    <m/>
    <m/>
    <m/>
    <m/>
    <m/>
    <m/>
    <m/>
    <m/>
    <m/>
    <m/>
    <m/>
    <m/>
    <m/>
    <m/>
    <m/>
    <m/>
    <m/>
    <m/>
    <m/>
    <m/>
    <x v="0"/>
    <m/>
    <m/>
    <m/>
    <m/>
  </r>
  <r>
    <x v="1"/>
    <x v="2"/>
    <s v="7098/1"/>
    <x v="40"/>
    <s v="عظیم ٹوائز شاہ عالم"/>
    <s v="PP"/>
    <n v="7"/>
    <n v="10"/>
    <n v="0"/>
    <n v="125"/>
    <s v="PP"/>
    <n v="4"/>
    <n v="135.60000000000002"/>
    <n v="3.6"/>
    <m/>
    <m/>
    <n v="132.00000000000003"/>
    <m/>
    <m/>
    <m/>
    <m/>
    <m/>
    <m/>
    <m/>
    <m/>
    <m/>
    <m/>
    <m/>
    <m/>
    <m/>
    <m/>
    <m/>
    <m/>
    <m/>
    <m/>
    <m/>
    <m/>
    <m/>
    <m/>
    <m/>
    <m/>
    <x v="0"/>
    <m/>
    <m/>
    <m/>
    <m/>
  </r>
  <r>
    <x v="1"/>
    <x v="2"/>
    <s v="3329 J"/>
    <x v="40"/>
    <s v="زمیندار فوڈ کمپنی بنوں"/>
    <s v="PP"/>
    <n v="8"/>
    <s v="6-6.5"/>
    <s v="-"/>
    <n v="1000"/>
    <s v="PP"/>
    <n v="4"/>
    <n v="152.4"/>
    <n v="4.2"/>
    <m/>
    <m/>
    <n v="148.20000000000002"/>
    <m/>
    <m/>
    <m/>
    <m/>
    <m/>
    <m/>
    <m/>
    <m/>
    <m/>
    <m/>
    <m/>
    <m/>
    <m/>
    <m/>
    <m/>
    <m/>
    <m/>
    <m/>
    <m/>
    <m/>
    <m/>
    <m/>
    <m/>
    <m/>
    <x v="0"/>
    <m/>
    <m/>
    <m/>
    <m/>
  </r>
  <r>
    <x v="1"/>
    <x v="2"/>
    <s v="7055/1"/>
    <x v="40"/>
    <s v="عثمان امین لاہور"/>
    <s v="PP"/>
    <n v="7"/>
    <n v="5"/>
    <n v="0"/>
    <n v="6000"/>
    <s v="PP"/>
    <n v="1"/>
    <n v="33.200000000000003"/>
    <n v="0.7"/>
    <m/>
    <m/>
    <n v="32.5"/>
    <m/>
    <m/>
    <m/>
    <m/>
    <m/>
    <m/>
    <m/>
    <m/>
    <m/>
    <m/>
    <m/>
    <m/>
    <m/>
    <m/>
    <m/>
    <m/>
    <m/>
    <m/>
    <m/>
    <m/>
    <m/>
    <m/>
    <m/>
    <m/>
    <x v="0"/>
    <m/>
    <m/>
    <m/>
    <m/>
  </r>
  <r>
    <x v="0"/>
    <x v="3"/>
    <s v="3239 J"/>
    <x v="40"/>
    <s v="Jilani Poly Stock"/>
    <s v="PP"/>
    <n v="16"/>
    <s v="5-5.5"/>
    <s v=".1:1"/>
    <n v="1000"/>
    <s v="PP"/>
    <n v="13"/>
    <n v="680.80000000000018"/>
    <n v="23.400000000000002"/>
    <m/>
    <m/>
    <n v="657.4000000000002"/>
    <m/>
    <m/>
    <m/>
    <m/>
    <m/>
    <m/>
    <m/>
    <m/>
    <m/>
    <m/>
    <m/>
    <m/>
    <m/>
    <m/>
    <m/>
    <m/>
    <m/>
    <m/>
    <m/>
    <m/>
    <m/>
    <m/>
    <m/>
    <m/>
    <x v="0"/>
    <m/>
    <m/>
    <m/>
    <m/>
  </r>
  <r>
    <x v="1"/>
    <x v="3"/>
    <s v="3239 J"/>
    <x v="40"/>
    <s v="Jilani Poly Stock"/>
    <s v="PP"/>
    <n v="16"/>
    <s v="5-5.5"/>
    <s v=".1:1"/>
    <n v="1000"/>
    <s v="PP"/>
    <n v="2"/>
    <n v="105.16"/>
    <n v="3.8"/>
    <m/>
    <m/>
    <n v="101.36"/>
    <m/>
    <m/>
    <m/>
    <m/>
    <m/>
    <m/>
    <m/>
    <m/>
    <m/>
    <m/>
    <m/>
    <m/>
    <m/>
    <m/>
    <m/>
    <m/>
    <m/>
    <m/>
    <m/>
    <m/>
    <m/>
    <m/>
    <m/>
    <m/>
    <x v="0"/>
    <m/>
    <m/>
    <m/>
    <m/>
  </r>
  <r>
    <x v="1"/>
    <x v="3"/>
    <s v="1831 F"/>
    <x v="40"/>
    <s v="Usman Amin"/>
    <s v="PP"/>
    <n v="16.2"/>
    <s v="-"/>
    <s v="پیور"/>
    <n v="2000"/>
    <s v="PP"/>
    <n v="11"/>
    <n v="587.59"/>
    <n v="20.9"/>
    <m/>
    <m/>
    <n v="566.69000000000005"/>
    <m/>
    <m/>
    <m/>
    <m/>
    <m/>
    <m/>
    <m/>
    <m/>
    <m/>
    <m/>
    <m/>
    <m/>
    <m/>
    <m/>
    <m/>
    <m/>
    <m/>
    <m/>
    <m/>
    <m/>
    <m/>
    <m/>
    <m/>
    <m/>
    <x v="0"/>
    <m/>
    <m/>
    <m/>
    <m/>
  </r>
  <r>
    <x v="0"/>
    <x v="4"/>
    <s v="13 P"/>
    <x v="40"/>
    <s v="جیلانی پولی سٹاک"/>
    <s v="PP"/>
    <n v="10"/>
    <n v="5"/>
    <n v="0"/>
    <s v="-"/>
    <s v="PP"/>
    <n v="5"/>
    <n v="219.8"/>
    <n v="5.5"/>
    <m/>
    <m/>
    <n v="214.3"/>
    <m/>
    <m/>
    <m/>
    <m/>
    <m/>
    <m/>
    <m/>
    <m/>
    <m/>
    <m/>
    <m/>
    <m/>
    <m/>
    <m/>
    <m/>
    <m/>
    <m/>
    <m/>
    <m/>
    <m/>
    <m/>
    <m/>
    <m/>
    <m/>
    <x v="0"/>
    <m/>
    <m/>
    <m/>
    <m/>
  </r>
  <r>
    <x v="0"/>
    <x v="4"/>
    <s v="15 P"/>
    <x v="40"/>
    <s v="جیلانی پولی سٹاک"/>
    <s v="PP"/>
    <n v="12"/>
    <n v="5"/>
    <n v="0"/>
    <s v="-"/>
    <s v="PP"/>
    <n v="7"/>
    <n v="310.74"/>
    <n v="9.7999999999999989"/>
    <m/>
    <m/>
    <n v="300.94"/>
    <m/>
    <m/>
    <m/>
    <m/>
    <m/>
    <m/>
    <m/>
    <m/>
    <m/>
    <m/>
    <m/>
    <m/>
    <m/>
    <m/>
    <m/>
    <m/>
    <m/>
    <m/>
    <m/>
    <m/>
    <m/>
    <m/>
    <m/>
    <m/>
    <x v="0"/>
    <m/>
    <m/>
    <m/>
    <m/>
  </r>
  <r>
    <x v="0"/>
    <x v="4"/>
    <s v="6868/1"/>
    <x v="40"/>
    <s v="العمر پلاسٹک گوجرانوالہ"/>
    <s v="PP"/>
    <n v="12"/>
    <n v="6"/>
    <n v="0"/>
    <n v="200"/>
    <s v="PP"/>
    <n v="1"/>
    <n v="30.5"/>
    <n v="0.1"/>
    <m/>
    <m/>
    <n v="30.4"/>
    <m/>
    <m/>
    <m/>
    <m/>
    <m/>
    <m/>
    <m/>
    <m/>
    <m/>
    <m/>
    <m/>
    <m/>
    <m/>
    <m/>
    <m/>
    <m/>
    <m/>
    <m/>
    <m/>
    <m/>
    <m/>
    <m/>
    <m/>
    <m/>
    <x v="0"/>
    <m/>
    <m/>
    <m/>
    <m/>
  </r>
  <r>
    <x v="1"/>
    <x v="4"/>
    <s v="6868/1"/>
    <x v="40"/>
    <s v="العمر پلاسٹک گوجرانوالہ"/>
    <s v="PP"/>
    <n v="12"/>
    <n v="6"/>
    <n v="0"/>
    <n v="200"/>
    <s v="PP"/>
    <n v="1"/>
    <n v="47.6"/>
    <n v="1.5"/>
    <m/>
    <m/>
    <n v="46.1"/>
    <m/>
    <m/>
    <m/>
    <m/>
    <m/>
    <m/>
    <m/>
    <m/>
    <m/>
    <m/>
    <m/>
    <m/>
    <m/>
    <m/>
    <m/>
    <m/>
    <m/>
    <m/>
    <m/>
    <m/>
    <m/>
    <m/>
    <m/>
    <m/>
    <x v="0"/>
    <m/>
    <m/>
    <m/>
    <m/>
  </r>
  <r>
    <x v="1"/>
    <x v="4"/>
    <s v="7077/3"/>
    <x v="40"/>
    <s v="-"/>
    <s v="-"/>
    <s v="-"/>
    <s v="-"/>
    <s v="-"/>
    <s v="-"/>
    <s v="PP"/>
    <n v="10"/>
    <n v="477.90000000000003"/>
    <n v="15"/>
    <m/>
    <m/>
    <n v="462.90000000000003"/>
    <m/>
    <m/>
    <m/>
    <m/>
    <m/>
    <m/>
    <m/>
    <m/>
    <m/>
    <m/>
    <m/>
    <m/>
    <m/>
    <m/>
    <m/>
    <m/>
    <m/>
    <m/>
    <m/>
    <m/>
    <m/>
    <m/>
    <m/>
    <m/>
    <x v="0"/>
    <m/>
    <m/>
    <m/>
    <m/>
  </r>
  <r>
    <x v="0"/>
    <x v="0"/>
    <s v="3327 J"/>
    <x v="41"/>
    <s v="Hafize Printing Agency Lahore"/>
    <s v="PP"/>
    <n v="4"/>
    <s v="6-6.5"/>
    <s v="1:1"/>
    <n v="315"/>
    <s v="PP"/>
    <n v="6"/>
    <n v="91.86"/>
    <n v="2.4000000000000004"/>
    <n v="45"/>
    <m/>
    <n v="89.46"/>
    <m/>
    <m/>
    <m/>
    <m/>
    <m/>
    <m/>
    <m/>
    <m/>
    <m/>
    <m/>
    <m/>
    <m/>
    <m/>
    <m/>
    <m/>
    <m/>
    <m/>
    <m/>
    <m/>
    <m/>
    <m/>
    <m/>
    <m/>
    <m/>
    <x v="0"/>
    <m/>
    <m/>
    <m/>
    <m/>
  </r>
  <r>
    <x v="0"/>
    <x v="0"/>
    <s v="6 P"/>
    <x v="41"/>
    <s v="جیلانی پولی سٹاک"/>
    <s v="PP"/>
    <n v="4"/>
    <s v="5.5-6"/>
    <n v="0"/>
    <s v="-"/>
    <s v="PP"/>
    <n v="3"/>
    <n v="51.2"/>
    <n v="1.2000000000000002"/>
    <m/>
    <m/>
    <n v="50"/>
    <m/>
    <m/>
    <m/>
    <m/>
    <m/>
    <m/>
    <m/>
    <m/>
    <m/>
    <m/>
    <m/>
    <m/>
    <m/>
    <m/>
    <m/>
    <m/>
    <m/>
    <m/>
    <m/>
    <m/>
    <m/>
    <m/>
    <m/>
    <m/>
    <x v="0"/>
    <m/>
    <m/>
    <m/>
    <m/>
  </r>
  <r>
    <x v="1"/>
    <x v="0"/>
    <s v="3327 J"/>
    <x v="41"/>
    <s v="Hafize Printing Agency Lahore"/>
    <s v="PP"/>
    <n v="4"/>
    <s v="6-6.5"/>
    <s v="1:1"/>
    <n v="315"/>
    <s v="PP"/>
    <n v="2"/>
    <n v="33.549999999999997"/>
    <n v="0.8"/>
    <n v="12"/>
    <m/>
    <n v="32.75"/>
    <m/>
    <m/>
    <m/>
    <m/>
    <m/>
    <m/>
    <m/>
    <m/>
    <m/>
    <m/>
    <m/>
    <m/>
    <m/>
    <m/>
    <m/>
    <m/>
    <m/>
    <m/>
    <m/>
    <m/>
    <m/>
    <m/>
    <m/>
    <m/>
    <x v="0"/>
    <m/>
    <m/>
    <m/>
    <m/>
  </r>
  <r>
    <x v="1"/>
    <x v="0"/>
    <s v="6 P"/>
    <x v="41"/>
    <s v="جیلانی پولی سٹاک"/>
    <s v="PP"/>
    <n v="4"/>
    <s v="5.5-6"/>
    <n v="0"/>
    <s v="-"/>
    <s v="PP"/>
    <n v="8"/>
    <n v="144.41000000000003"/>
    <n v="3.2"/>
    <m/>
    <m/>
    <n v="141.21000000000004"/>
    <m/>
    <m/>
    <m/>
    <m/>
    <m/>
    <m/>
    <m/>
    <m/>
    <m/>
    <m/>
    <m/>
    <m/>
    <m/>
    <m/>
    <m/>
    <m/>
    <m/>
    <m/>
    <m/>
    <m/>
    <m/>
    <m/>
    <m/>
    <m/>
    <x v="0"/>
    <m/>
    <m/>
    <m/>
    <m/>
  </r>
  <r>
    <x v="0"/>
    <x v="1"/>
    <s v="7061/1"/>
    <x v="41"/>
    <s v="فیصل پلاسٹک فیصل آباد"/>
    <s v="PP"/>
    <n v="3.5"/>
    <n v="5"/>
    <n v="0"/>
    <n v="100"/>
    <s v="PP"/>
    <n v="10"/>
    <n v="141"/>
    <n v="3.5"/>
    <m/>
    <m/>
    <n v="137.5"/>
    <m/>
    <m/>
    <m/>
    <m/>
    <m/>
    <m/>
    <m/>
    <m/>
    <m/>
    <m/>
    <m/>
    <m/>
    <m/>
    <m/>
    <m/>
    <m/>
    <m/>
    <m/>
    <m/>
    <m/>
    <m/>
    <m/>
    <m/>
    <m/>
    <x v="0"/>
    <m/>
    <m/>
    <m/>
    <m/>
  </r>
  <r>
    <x v="1"/>
    <x v="1"/>
    <s v="7061/1"/>
    <x v="41"/>
    <s v="فیصل پلاسٹک فیصل آباد"/>
    <s v="PP"/>
    <n v="3.5"/>
    <n v="5"/>
    <n v="0"/>
    <n v="100"/>
    <s v="PP"/>
    <n v="5"/>
    <n v="71.7"/>
    <n v="1.75"/>
    <m/>
    <m/>
    <n v="69.95"/>
    <m/>
    <m/>
    <m/>
    <m/>
    <m/>
    <m/>
    <m/>
    <m/>
    <m/>
    <m/>
    <m/>
    <m/>
    <m/>
    <m/>
    <m/>
    <m/>
    <m/>
    <m/>
    <m/>
    <m/>
    <m/>
    <m/>
    <m/>
    <m/>
    <x v="0"/>
    <m/>
    <m/>
    <m/>
    <m/>
  </r>
  <r>
    <x v="1"/>
    <x v="1"/>
    <s v="7076/1"/>
    <x v="41"/>
    <s v="عزیز ٹریڈرز ہاؤس لاہور"/>
    <s v="PP"/>
    <n v="3.5"/>
    <n v="8"/>
    <n v="0"/>
    <n v="1000"/>
    <s v="PP"/>
    <n v="4"/>
    <n v="56.3"/>
    <n v="1.4"/>
    <m/>
    <m/>
    <n v="54.9"/>
    <m/>
    <m/>
    <m/>
    <m/>
    <m/>
    <m/>
    <m/>
    <m/>
    <m/>
    <m/>
    <m/>
    <m/>
    <m/>
    <m/>
    <m/>
    <m/>
    <m/>
    <m/>
    <m/>
    <m/>
    <m/>
    <m/>
    <m/>
    <m/>
    <x v="0"/>
    <m/>
    <m/>
    <m/>
    <m/>
  </r>
  <r>
    <x v="0"/>
    <x v="2"/>
    <s v="3329 J"/>
    <x v="41"/>
    <s v="زمیندار فوڈ کمپنی بنوں"/>
    <s v="PP"/>
    <n v="8"/>
    <s v="6-6.5"/>
    <s v="-"/>
    <n v="1000"/>
    <s v="PP"/>
    <n v="5"/>
    <n v="185"/>
    <n v="4"/>
    <m/>
    <m/>
    <n v="181"/>
    <m/>
    <m/>
    <m/>
    <m/>
    <m/>
    <m/>
    <m/>
    <m/>
    <m/>
    <m/>
    <m/>
    <m/>
    <m/>
    <m/>
    <m/>
    <m/>
    <m/>
    <m/>
    <m/>
    <m/>
    <m/>
    <m/>
    <m/>
    <m/>
    <x v="0"/>
    <m/>
    <m/>
    <m/>
    <m/>
  </r>
  <r>
    <x v="0"/>
    <x v="2"/>
    <s v="11 P"/>
    <x v="41"/>
    <s v="جیلانی پولی سٹاک"/>
    <s v="PP"/>
    <n v="8"/>
    <n v="5"/>
    <n v="0"/>
    <s v="-"/>
    <s v="PP"/>
    <n v="3"/>
    <n v="115.13"/>
    <n v="2.4000000000000004"/>
    <m/>
    <m/>
    <n v="112.72999999999999"/>
    <m/>
    <m/>
    <m/>
    <m/>
    <m/>
    <m/>
    <m/>
    <m/>
    <m/>
    <m/>
    <m/>
    <m/>
    <m/>
    <m/>
    <m/>
    <m/>
    <m/>
    <m/>
    <m/>
    <m/>
    <m/>
    <m/>
    <m/>
    <m/>
    <x v="0"/>
    <m/>
    <m/>
    <m/>
    <m/>
  </r>
  <r>
    <x v="1"/>
    <x v="2"/>
    <s v="11 P"/>
    <x v="41"/>
    <s v="جیلانی پولی سٹاک"/>
    <s v="PP"/>
    <n v="8"/>
    <n v="5"/>
    <n v="0"/>
    <s v="-"/>
    <s v="PP"/>
    <n v="8"/>
    <n v="350"/>
    <n v="6.4"/>
    <m/>
    <m/>
    <n v="343.6"/>
    <m/>
    <m/>
    <m/>
    <m/>
    <m/>
    <m/>
    <m/>
    <m/>
    <m/>
    <m/>
    <m/>
    <m/>
    <m/>
    <m/>
    <m/>
    <m/>
    <m/>
    <m/>
    <m/>
    <m/>
    <m/>
    <m/>
    <m/>
    <m/>
    <x v="0"/>
    <m/>
    <m/>
    <m/>
    <m/>
  </r>
  <r>
    <x v="0"/>
    <x v="3"/>
    <s v="1831 F"/>
    <x v="41"/>
    <s v="Usman Amin"/>
    <s v="PP"/>
    <n v="16.2"/>
    <s v="-"/>
    <s v="پیور"/>
    <n v="2000"/>
    <s v="PP"/>
    <n v="17"/>
    <n v="711.6"/>
    <n v="2.72"/>
    <m/>
    <m/>
    <n v="708.88"/>
    <m/>
    <m/>
    <m/>
    <m/>
    <m/>
    <m/>
    <m/>
    <m/>
    <m/>
    <m/>
    <m/>
    <m/>
    <m/>
    <m/>
    <m/>
    <m/>
    <m/>
    <m/>
    <m/>
    <m/>
    <m/>
    <m/>
    <m/>
    <m/>
    <x v="0"/>
    <m/>
    <m/>
    <m/>
    <m/>
  </r>
  <r>
    <x v="1"/>
    <x v="3"/>
    <s v="1831 F"/>
    <x v="41"/>
    <s v="Usman Amin"/>
    <s v="PP"/>
    <n v="16.2"/>
    <s v="-"/>
    <s v="پیور"/>
    <n v="2000"/>
    <s v="PP"/>
    <n v="16"/>
    <n v="842.25"/>
    <n v="29.8"/>
    <m/>
    <m/>
    <n v="812.45"/>
    <m/>
    <m/>
    <m/>
    <m/>
    <m/>
    <m/>
    <m/>
    <m/>
    <m/>
    <m/>
    <m/>
    <m/>
    <m/>
    <m/>
    <m/>
    <m/>
    <m/>
    <m/>
    <m/>
    <m/>
    <m/>
    <m/>
    <m/>
    <m/>
    <x v="0"/>
    <m/>
    <m/>
    <m/>
    <m/>
  </r>
  <r>
    <x v="0"/>
    <x v="4"/>
    <s v="15 P"/>
    <x v="41"/>
    <s v="جیلانی پولی سٹاک"/>
    <s v="PP"/>
    <n v="12"/>
    <n v="5"/>
    <n v="0"/>
    <s v="-"/>
    <s v="PP"/>
    <n v="9"/>
    <n v="378.71999999999997"/>
    <n v="12.6"/>
    <m/>
    <m/>
    <n v="366.11999999999995"/>
    <m/>
    <m/>
    <m/>
    <m/>
    <m/>
    <m/>
    <m/>
    <m/>
    <m/>
    <m/>
    <m/>
    <m/>
    <m/>
    <m/>
    <m/>
    <m/>
    <m/>
    <m/>
    <m/>
    <m/>
    <m/>
    <m/>
    <m/>
    <m/>
    <x v="0"/>
    <m/>
    <m/>
    <m/>
    <m/>
  </r>
  <r>
    <x v="0"/>
    <x v="4"/>
    <s v="7095/2"/>
    <x v="41"/>
    <s v="خواجہ فرقان  ٹمبر مارکیٹ"/>
    <s v="PP"/>
    <n v="14"/>
    <s v="3_6"/>
    <n v="0"/>
    <n v="50"/>
    <s v="PP"/>
    <n v="2"/>
    <n v="66.180000000000007"/>
    <n v="3.6"/>
    <m/>
    <m/>
    <n v="62.580000000000005"/>
    <m/>
    <m/>
    <m/>
    <m/>
    <m/>
    <m/>
    <m/>
    <m/>
    <m/>
    <m/>
    <m/>
    <m/>
    <m/>
    <m/>
    <m/>
    <m/>
    <m/>
    <m/>
    <m/>
    <m/>
    <m/>
    <m/>
    <m/>
    <m/>
    <x v="0"/>
    <m/>
    <m/>
    <m/>
    <m/>
  </r>
  <r>
    <x v="0"/>
    <x v="4"/>
    <s v="7096/2"/>
    <x v="41"/>
    <s v="العمر پلاسٹک گوجرانوالہ"/>
    <s v="PP"/>
    <n v="15"/>
    <n v="10"/>
    <n v="0"/>
    <n v="200"/>
    <s v="PP"/>
    <n v="3"/>
    <n v="113.2"/>
    <n v="5.4"/>
    <m/>
    <m/>
    <n v="107.8"/>
    <m/>
    <m/>
    <m/>
    <m/>
    <m/>
    <m/>
    <m/>
    <m/>
    <m/>
    <m/>
    <m/>
    <m/>
    <m/>
    <m/>
    <m/>
    <m/>
    <m/>
    <m/>
    <m/>
    <m/>
    <m/>
    <m/>
    <m/>
    <m/>
    <x v="0"/>
    <m/>
    <m/>
    <m/>
    <m/>
  </r>
  <r>
    <x v="1"/>
    <x v="4"/>
    <s v="7096/2"/>
    <x v="41"/>
    <s v="العمر پلاسٹک گوجرانوالہ"/>
    <s v="PP"/>
    <n v="15"/>
    <n v="10"/>
    <n v="0"/>
    <n v="200"/>
    <s v="PP"/>
    <n v="2"/>
    <n v="93.1"/>
    <n v="0.3"/>
    <m/>
    <m/>
    <n v="92.8"/>
    <m/>
    <m/>
    <m/>
    <m/>
    <m/>
    <m/>
    <m/>
    <m/>
    <m/>
    <m/>
    <m/>
    <m/>
    <m/>
    <m/>
    <m/>
    <m/>
    <m/>
    <m/>
    <m/>
    <m/>
    <m/>
    <m/>
    <m/>
    <m/>
    <x v="0"/>
    <m/>
    <m/>
    <m/>
    <m/>
  </r>
  <r>
    <x v="1"/>
    <x v="4"/>
    <s v="6847/2"/>
    <x v="41"/>
    <s v="ایم عمران پاکستان مارکیٹ"/>
    <s v="PP"/>
    <n v="15"/>
    <n v="6.5"/>
    <n v="0"/>
    <n v="800"/>
    <s v="PP"/>
    <n v="8"/>
    <n v="329.29999999999995"/>
    <n v="1.2"/>
    <m/>
    <m/>
    <n v="328.09999999999997"/>
    <m/>
    <m/>
    <m/>
    <m/>
    <m/>
    <m/>
    <m/>
    <m/>
    <m/>
    <m/>
    <m/>
    <m/>
    <m/>
    <m/>
    <m/>
    <m/>
    <m/>
    <m/>
    <m/>
    <m/>
    <m/>
    <m/>
    <m/>
    <m/>
    <x v="0"/>
    <m/>
    <m/>
    <m/>
    <m/>
  </r>
  <r>
    <x v="1"/>
    <x v="4"/>
    <s v="6847/2"/>
    <x v="41"/>
    <s v="ایم عمران پاکستان مارکیٹ"/>
    <s v="PP"/>
    <n v="15"/>
    <n v="6.5"/>
    <n v="0"/>
    <n v="800"/>
    <s v="PP"/>
    <n v="3"/>
    <n v="136.6"/>
    <n v="0.44999999999999996"/>
    <m/>
    <m/>
    <n v="136.15"/>
    <m/>
    <m/>
    <m/>
    <m/>
    <m/>
    <m/>
    <m/>
    <m/>
    <m/>
    <m/>
    <m/>
    <m/>
    <m/>
    <m/>
    <m/>
    <m/>
    <m/>
    <m/>
    <m/>
    <m/>
    <m/>
    <m/>
    <m/>
    <m/>
    <x v="0"/>
    <m/>
    <m/>
    <m/>
    <m/>
  </r>
  <r>
    <x v="0"/>
    <x v="0"/>
    <s v="6 P"/>
    <x v="42"/>
    <s v="جیلانی پولی سٹاک"/>
    <s v="PP"/>
    <n v="4"/>
    <s v="5.5-6"/>
    <n v="0"/>
    <s v="-"/>
    <s v="PP"/>
    <n v="12"/>
    <n v="181.10000000000002"/>
    <n v="4.8000000000000007"/>
    <n v="26"/>
    <m/>
    <n v="176.3"/>
    <m/>
    <m/>
    <m/>
    <m/>
    <m/>
    <m/>
    <m/>
    <m/>
    <m/>
    <m/>
    <m/>
    <m/>
    <m/>
    <m/>
    <m/>
    <m/>
    <m/>
    <m/>
    <m/>
    <m/>
    <m/>
    <m/>
    <m/>
    <m/>
    <x v="0"/>
    <m/>
    <m/>
    <m/>
    <m/>
  </r>
  <r>
    <x v="1"/>
    <x v="0"/>
    <s v="6 P"/>
    <x v="42"/>
    <s v="جیلانی پولی سٹاک"/>
    <s v="PP"/>
    <n v="4"/>
    <s v="5.5-6"/>
    <n v="0"/>
    <s v="-"/>
    <s v="PP"/>
    <n v="10"/>
    <n v="166.99000000000004"/>
    <n v="4"/>
    <n v="34"/>
    <m/>
    <n v="162.99000000000004"/>
    <m/>
    <m/>
    <m/>
    <m/>
    <m/>
    <m/>
    <m/>
    <m/>
    <m/>
    <m/>
    <m/>
    <m/>
    <m/>
    <m/>
    <m/>
    <m/>
    <m/>
    <m/>
    <m/>
    <m/>
    <m/>
    <m/>
    <m/>
    <m/>
    <x v="0"/>
    <m/>
    <m/>
    <m/>
    <m/>
  </r>
  <r>
    <x v="0"/>
    <x v="1"/>
    <s v="7076/1"/>
    <x v="42"/>
    <s v="عزیز ٹریڈرز ہاؤس لاہور"/>
    <s v="PP"/>
    <n v="3.5"/>
    <n v="8"/>
    <n v="0"/>
    <n v="1000"/>
    <s v="PP"/>
    <n v="9"/>
    <n v="119.17"/>
    <n v="3.15"/>
    <m/>
    <m/>
    <n v="116.02"/>
    <m/>
    <m/>
    <m/>
    <m/>
    <m/>
    <m/>
    <m/>
    <m/>
    <m/>
    <m/>
    <m/>
    <m/>
    <m/>
    <m/>
    <m/>
    <m/>
    <m/>
    <m/>
    <m/>
    <m/>
    <m/>
    <m/>
    <m/>
    <m/>
    <x v="0"/>
    <m/>
    <m/>
    <m/>
    <m/>
  </r>
  <r>
    <x v="1"/>
    <x v="1"/>
    <s v="7076/1"/>
    <x v="42"/>
    <s v="عزیز ٹریڈرز ہاؤس لاہور"/>
    <s v="PP"/>
    <n v="3.5"/>
    <n v="8"/>
    <n v="0"/>
    <n v="1000"/>
    <s v="PP"/>
    <n v="10"/>
    <n v="151.64000000000001"/>
    <n v="3.5"/>
    <m/>
    <m/>
    <n v="148.14000000000001"/>
    <m/>
    <m/>
    <m/>
    <m/>
    <m/>
    <m/>
    <m/>
    <m/>
    <m/>
    <m/>
    <m/>
    <m/>
    <m/>
    <m/>
    <m/>
    <m/>
    <m/>
    <m/>
    <m/>
    <m/>
    <m/>
    <m/>
    <m/>
    <m/>
    <x v="0"/>
    <m/>
    <m/>
    <m/>
    <m/>
  </r>
  <r>
    <x v="0"/>
    <x v="2"/>
    <s v="11 P"/>
    <x v="42"/>
    <s v="جیلانی پولی سٹاک"/>
    <s v="PP"/>
    <n v="8"/>
    <n v="5"/>
    <n v="0"/>
    <s v="-"/>
    <s v="PP"/>
    <n v="7"/>
    <n v="279.39999999999998"/>
    <n v="7.3500000000000005"/>
    <m/>
    <m/>
    <n v="272.04999999999995"/>
    <m/>
    <m/>
    <m/>
    <m/>
    <m/>
    <m/>
    <m/>
    <m/>
    <m/>
    <m/>
    <m/>
    <m/>
    <m/>
    <m/>
    <m/>
    <m/>
    <m/>
    <m/>
    <m/>
    <m/>
    <m/>
    <m/>
    <m/>
    <m/>
    <x v="0"/>
    <m/>
    <m/>
    <m/>
    <m/>
  </r>
  <r>
    <x v="1"/>
    <x v="2"/>
    <s v="11 P"/>
    <x v="42"/>
    <s v="جیلانی پولی سٹاک"/>
    <s v="PP"/>
    <n v="8"/>
    <n v="5"/>
    <n v="0"/>
    <s v="-"/>
    <s v="PP"/>
    <n v="7"/>
    <n v="297.39999999999998"/>
    <n v="5.6000000000000005"/>
    <m/>
    <m/>
    <n v="291.79999999999995"/>
    <m/>
    <m/>
    <m/>
    <m/>
    <m/>
    <m/>
    <m/>
    <m/>
    <m/>
    <m/>
    <m/>
    <m/>
    <m/>
    <m/>
    <m/>
    <m/>
    <m/>
    <m/>
    <m/>
    <m/>
    <m/>
    <m/>
    <m/>
    <m/>
    <x v="0"/>
    <m/>
    <m/>
    <m/>
    <m/>
  </r>
  <r>
    <x v="0"/>
    <x v="3"/>
    <s v="1831 F"/>
    <x v="42"/>
    <s v="Usman Amin"/>
    <s v="PP"/>
    <n v="16.2"/>
    <s v="-"/>
    <s v="پیور"/>
    <n v="2000"/>
    <s v="PP"/>
    <n v="2"/>
    <n v="100.4"/>
    <n v="3.8"/>
    <m/>
    <m/>
    <n v="96.600000000000009"/>
    <m/>
    <m/>
    <m/>
    <m/>
    <m/>
    <m/>
    <m/>
    <m/>
    <m/>
    <m/>
    <m/>
    <m/>
    <m/>
    <m/>
    <m/>
    <m/>
    <m/>
    <m/>
    <m/>
    <m/>
    <m/>
    <m/>
    <m/>
    <m/>
    <x v="0"/>
    <m/>
    <m/>
    <m/>
    <m/>
  </r>
  <r>
    <x v="0"/>
    <x v="3"/>
    <s v="3350 J"/>
    <x v="42"/>
    <s v="Alam Bakers Sheikupura"/>
    <s v="PP"/>
    <n v="18"/>
    <s v="6-6.5"/>
    <s v=".1:1"/>
    <n v="200"/>
    <s v="PP"/>
    <n v="4"/>
    <n v="210.6"/>
    <n v="8.8000000000000007"/>
    <m/>
    <m/>
    <n v="201.79999999999998"/>
    <m/>
    <m/>
    <m/>
    <m/>
    <m/>
    <m/>
    <m/>
    <m/>
    <m/>
    <m/>
    <m/>
    <m/>
    <m/>
    <m/>
    <m/>
    <m/>
    <m/>
    <m/>
    <m/>
    <m/>
    <m/>
    <m/>
    <m/>
    <m/>
    <x v="0"/>
    <m/>
    <m/>
    <m/>
    <m/>
  </r>
  <r>
    <x v="0"/>
    <x v="3"/>
    <s v="3240 J"/>
    <x v="42"/>
    <s v="Jilani Poly Stock"/>
    <s v="PP"/>
    <n v="24"/>
    <s v="5-5.5"/>
    <s v=".1:1"/>
    <n v="500"/>
    <s v="PP"/>
    <n v="9"/>
    <n v="521.40000000000009"/>
    <n v="26.099999999999998"/>
    <m/>
    <m/>
    <n v="495.30000000000007"/>
    <m/>
    <m/>
    <m/>
    <m/>
    <m/>
    <m/>
    <m/>
    <m/>
    <m/>
    <m/>
    <m/>
    <m/>
    <m/>
    <m/>
    <m/>
    <m/>
    <m/>
    <m/>
    <m/>
    <m/>
    <m/>
    <m/>
    <m/>
    <m/>
    <x v="0"/>
    <m/>
    <m/>
    <m/>
    <m/>
  </r>
  <r>
    <x v="1"/>
    <x v="3"/>
    <s v="3240 J"/>
    <x v="42"/>
    <s v="Jilani Poly Stock"/>
    <s v="PP"/>
    <n v="24"/>
    <s v="5-5.5"/>
    <s v=".1:1"/>
    <n v="500"/>
    <s v="PP"/>
    <n v="5"/>
    <n v="284.21000000000004"/>
    <n v="14"/>
    <m/>
    <m/>
    <n v="270.21000000000004"/>
    <m/>
    <m/>
    <m/>
    <m/>
    <m/>
    <m/>
    <m/>
    <m/>
    <m/>
    <m/>
    <m/>
    <m/>
    <m/>
    <m/>
    <m/>
    <m/>
    <m/>
    <m/>
    <m/>
    <m/>
    <m/>
    <m/>
    <m/>
    <m/>
    <x v="0"/>
    <m/>
    <m/>
    <m/>
    <m/>
  </r>
  <r>
    <x v="1"/>
    <x v="3"/>
    <s v="21 P"/>
    <x v="42"/>
    <s v="جیلانی پولی سٹاک"/>
    <s v="PP"/>
    <n v="18"/>
    <n v="5"/>
    <n v="0"/>
    <s v="-"/>
    <s v="PP"/>
    <n v="10"/>
    <n v="553.54999999999995"/>
    <n v="21.400000000000002"/>
    <m/>
    <m/>
    <n v="532.15"/>
    <m/>
    <m/>
    <m/>
    <m/>
    <m/>
    <m/>
    <m/>
    <m/>
    <m/>
    <m/>
    <m/>
    <m/>
    <m/>
    <m/>
    <m/>
    <m/>
    <m/>
    <m/>
    <m/>
    <m/>
    <m/>
    <m/>
    <m/>
    <m/>
    <x v="0"/>
    <m/>
    <m/>
    <m/>
    <m/>
  </r>
  <r>
    <x v="0"/>
    <x v="4"/>
    <s v="7046/2"/>
    <x v="42"/>
    <s v="ایم   عمران    پاکستان مارکیٹ"/>
    <s v="PP"/>
    <n v="15"/>
    <n v="6.5"/>
    <n v="0"/>
    <n v="400"/>
    <s v="PP"/>
    <n v="13"/>
    <n v="532.95999999999992"/>
    <n v="24.7"/>
    <m/>
    <m/>
    <n v="508.25999999999993"/>
    <m/>
    <m/>
    <m/>
    <m/>
    <m/>
    <m/>
    <m/>
    <m/>
    <m/>
    <m/>
    <m/>
    <m/>
    <m/>
    <m/>
    <m/>
    <m/>
    <m/>
    <m/>
    <m/>
    <m/>
    <m/>
    <m/>
    <m/>
    <m/>
    <x v="0"/>
    <m/>
    <m/>
    <m/>
    <m/>
  </r>
  <r>
    <x v="1"/>
    <x v="4"/>
    <s v="7046/2"/>
    <x v="42"/>
    <s v="ایم   عمران    پاکستان مارکیٹ"/>
    <s v="PP"/>
    <n v="15"/>
    <n v="6.5"/>
    <n v="0"/>
    <n v="400"/>
    <s v="PP"/>
    <n v="5"/>
    <n v="210.8"/>
    <n v="0.75"/>
    <m/>
    <m/>
    <n v="210.05"/>
    <m/>
    <m/>
    <m/>
    <m/>
    <m/>
    <m/>
    <m/>
    <m/>
    <m/>
    <m/>
    <m/>
    <m/>
    <m/>
    <m/>
    <m/>
    <m/>
    <m/>
    <m/>
    <m/>
    <m/>
    <m/>
    <m/>
    <m/>
    <m/>
    <x v="0"/>
    <m/>
    <m/>
    <m/>
    <m/>
  </r>
  <r>
    <x v="1"/>
    <x v="4"/>
    <s v="7112/1"/>
    <x v="42"/>
    <s v="ایم   عمران    پاکستان مارکیٹ"/>
    <s v="PP"/>
    <n v="11"/>
    <n v="6.5"/>
    <n v="0"/>
    <n v="200"/>
    <s v="PP"/>
    <n v="8"/>
    <n v="248.1"/>
    <n v="0.8"/>
    <m/>
    <m/>
    <n v="247.29999999999998"/>
    <m/>
    <m/>
    <m/>
    <m/>
    <m/>
    <m/>
    <m/>
    <m/>
    <m/>
    <m/>
    <m/>
    <m/>
    <m/>
    <m/>
    <m/>
    <m/>
    <m/>
    <m/>
    <m/>
    <m/>
    <m/>
    <m/>
    <m/>
    <m/>
    <x v="0"/>
    <m/>
    <m/>
    <m/>
    <m/>
  </r>
  <r>
    <x v="1"/>
    <x v="4"/>
    <s v="PACKING"/>
    <x v="42"/>
    <s v="-"/>
    <s v="-"/>
    <s v="-"/>
    <s v="-"/>
    <s v="-"/>
    <s v="-"/>
    <s v="PP"/>
    <n v="3"/>
    <n v="97.300000000000011"/>
    <n v="0.30000000000000004"/>
    <m/>
    <m/>
    <n v="97.000000000000014"/>
    <m/>
    <m/>
    <m/>
    <m/>
    <m/>
    <m/>
    <m/>
    <m/>
    <m/>
    <m/>
    <m/>
    <m/>
    <m/>
    <m/>
    <m/>
    <m/>
    <m/>
    <m/>
    <m/>
    <m/>
    <m/>
    <m/>
    <m/>
    <m/>
    <x v="0"/>
    <m/>
    <m/>
    <m/>
    <m/>
  </r>
  <r>
    <x v="0"/>
    <x v="0"/>
    <s v="6 P"/>
    <x v="43"/>
    <s v="جیلانی پولی سٹاک"/>
    <s v="PP"/>
    <n v="4"/>
    <s v="5.5-6"/>
    <n v="0"/>
    <s v="-"/>
    <s v="PP"/>
    <n v="10"/>
    <n v="163.75"/>
    <n v="4"/>
    <n v="32"/>
    <m/>
    <n v="159.75"/>
    <m/>
    <m/>
    <m/>
    <m/>
    <m/>
    <m/>
    <m/>
    <m/>
    <m/>
    <m/>
    <m/>
    <m/>
    <m/>
    <m/>
    <m/>
    <m/>
    <m/>
    <m/>
    <m/>
    <m/>
    <m/>
    <m/>
    <m/>
    <m/>
    <x v="0"/>
    <m/>
    <m/>
    <m/>
    <m/>
  </r>
  <r>
    <x v="1"/>
    <x v="0"/>
    <s v="6 P"/>
    <x v="43"/>
    <s v="جیلانی پولی سٹاک"/>
    <s v="PP"/>
    <n v="4"/>
    <s v="5.5-6"/>
    <n v="0"/>
    <s v="-"/>
    <s v="PP"/>
    <n v="7"/>
    <n v="123.55"/>
    <n v="2.8000000000000003"/>
    <n v="27"/>
    <m/>
    <n v="120.75"/>
    <m/>
    <m/>
    <m/>
    <m/>
    <m/>
    <m/>
    <m/>
    <m/>
    <m/>
    <m/>
    <m/>
    <m/>
    <m/>
    <m/>
    <m/>
    <m/>
    <m/>
    <m/>
    <m/>
    <m/>
    <m/>
    <m/>
    <m/>
    <m/>
    <x v="0"/>
    <m/>
    <m/>
    <m/>
    <m/>
  </r>
  <r>
    <x v="0"/>
    <x v="1"/>
    <s v="7061/1"/>
    <x v="43"/>
    <s v="فیصل پلاسٹک فیصل آباد"/>
    <s v="PP"/>
    <n v="3.5"/>
    <n v="5"/>
    <n v="0"/>
    <n v="100"/>
    <s v="PP"/>
    <n v="12"/>
    <n v="163.07999999999998"/>
    <n v="4.1999999999999993"/>
    <m/>
    <m/>
    <n v="158.88"/>
    <m/>
    <m/>
    <m/>
    <m/>
    <m/>
    <m/>
    <m/>
    <m/>
    <m/>
    <m/>
    <m/>
    <m/>
    <m/>
    <m/>
    <m/>
    <m/>
    <m/>
    <m/>
    <m/>
    <m/>
    <m/>
    <m/>
    <m/>
    <m/>
    <x v="0"/>
    <m/>
    <m/>
    <m/>
    <m/>
  </r>
  <r>
    <x v="1"/>
    <x v="1"/>
    <s v="7061/1"/>
    <x v="43"/>
    <s v="فیصل پلاسٹک فیصل آباد"/>
    <s v="PP"/>
    <n v="3.5"/>
    <n v="5"/>
    <n v="0"/>
    <n v="100"/>
    <s v="PP"/>
    <n v="8"/>
    <n v="120.3"/>
    <n v="2.4499999999999997"/>
    <m/>
    <m/>
    <n v="117.85"/>
    <m/>
    <m/>
    <m/>
    <m/>
    <m/>
    <m/>
    <m/>
    <m/>
    <m/>
    <m/>
    <m/>
    <m/>
    <m/>
    <m/>
    <m/>
    <m/>
    <m/>
    <m/>
    <m/>
    <m/>
    <m/>
    <m/>
    <m/>
    <m/>
    <x v="0"/>
    <m/>
    <m/>
    <m/>
    <m/>
  </r>
  <r>
    <x v="0"/>
    <x v="2"/>
    <s v="11 P"/>
    <x v="43"/>
    <s v="جیلانی پولی سٹاک"/>
    <s v="PP"/>
    <n v="8"/>
    <n v="5"/>
    <n v="0"/>
    <s v="-"/>
    <s v="PP"/>
    <n v="2"/>
    <n v="71.900000000000006"/>
    <n v="2.2999999999999998"/>
    <m/>
    <m/>
    <n v="69.600000000000009"/>
    <m/>
    <m/>
    <m/>
    <m/>
    <m/>
    <m/>
    <m/>
    <m/>
    <m/>
    <m/>
    <m/>
    <m/>
    <m/>
    <m/>
    <m/>
    <m/>
    <m/>
    <m/>
    <m/>
    <m/>
    <m/>
    <m/>
    <m/>
    <m/>
    <x v="0"/>
    <m/>
    <m/>
    <m/>
    <m/>
  </r>
  <r>
    <x v="0"/>
    <x v="2"/>
    <s v="3329 J"/>
    <x v="43"/>
    <s v="زمیندار فوڈ کمپنی بنوں"/>
    <s v="PP"/>
    <n v="8"/>
    <s v="6-6.5"/>
    <s v="-"/>
    <n v="1000"/>
    <s v="PP"/>
    <n v="6"/>
    <n v="234.94000000000003"/>
    <n v="9"/>
    <m/>
    <m/>
    <n v="225.94000000000003"/>
    <m/>
    <m/>
    <m/>
    <m/>
    <m/>
    <m/>
    <m/>
    <m/>
    <m/>
    <m/>
    <m/>
    <m/>
    <m/>
    <m/>
    <m/>
    <m/>
    <m/>
    <m/>
    <m/>
    <m/>
    <m/>
    <m/>
    <m/>
    <m/>
    <x v="0"/>
    <m/>
    <m/>
    <m/>
    <m/>
  </r>
  <r>
    <x v="1"/>
    <x v="2"/>
    <s v="3329 J"/>
    <x v="43"/>
    <s v="زمیندار فوڈ کمپنی بنوں"/>
    <s v="PP"/>
    <n v="8"/>
    <s v="6-6.5"/>
    <s v="-"/>
    <n v="1000"/>
    <s v="PP"/>
    <n v="3"/>
    <n v="121.6"/>
    <n v="2.7"/>
    <m/>
    <m/>
    <n v="118.89999999999999"/>
    <m/>
    <m/>
    <m/>
    <m/>
    <m/>
    <m/>
    <m/>
    <m/>
    <m/>
    <m/>
    <m/>
    <m/>
    <m/>
    <m/>
    <m/>
    <m/>
    <m/>
    <m/>
    <m/>
    <m/>
    <m/>
    <m/>
    <m/>
    <m/>
    <x v="0"/>
    <m/>
    <m/>
    <m/>
    <m/>
  </r>
  <r>
    <x v="0"/>
    <x v="3"/>
    <s v="21 P"/>
    <x v="43"/>
    <s v="جیلانی پولی سٹاک"/>
    <s v="PP"/>
    <n v="18"/>
    <n v="5"/>
    <n v="0"/>
    <s v="-"/>
    <s v="PP"/>
    <n v="12"/>
    <n v="590.92999999999995"/>
    <n v="9.94"/>
    <m/>
    <m/>
    <n v="580.9899999999999"/>
    <m/>
    <m/>
    <m/>
    <m/>
    <m/>
    <m/>
    <m/>
    <m/>
    <m/>
    <m/>
    <m/>
    <m/>
    <m/>
    <m/>
    <m/>
    <m/>
    <m/>
    <m/>
    <m/>
    <m/>
    <m/>
    <m/>
    <m/>
    <m/>
    <x v="0"/>
    <m/>
    <m/>
    <m/>
    <m/>
  </r>
  <r>
    <x v="0"/>
    <x v="3"/>
    <s v="7112/4"/>
    <x v="43"/>
    <s v="ایم   عمران    پاکستان مارکیٹ"/>
    <s v="PP"/>
    <n v="19"/>
    <n v="7"/>
    <n v="0"/>
    <n v="200"/>
    <s v="PP"/>
    <n v="3"/>
    <n v="105.06"/>
    <n v="6.9999999999999991"/>
    <m/>
    <m/>
    <n v="98.06"/>
    <m/>
    <m/>
    <m/>
    <m/>
    <m/>
    <m/>
    <m/>
    <m/>
    <m/>
    <m/>
    <m/>
    <m/>
    <m/>
    <m/>
    <m/>
    <m/>
    <m/>
    <m/>
    <m/>
    <m/>
    <m/>
    <m/>
    <m/>
    <m/>
    <x v="0"/>
    <m/>
    <m/>
    <m/>
    <m/>
  </r>
  <r>
    <x v="1"/>
    <x v="3"/>
    <s v="7112/4"/>
    <x v="43"/>
    <s v="ایم   عمران    پاکستان مارکیٹ"/>
    <s v="PP"/>
    <n v="19"/>
    <n v="7"/>
    <n v="0"/>
    <n v="200"/>
    <s v="PP"/>
    <n v="3"/>
    <n v="108.19999999999999"/>
    <n v="6.8"/>
    <m/>
    <m/>
    <n v="101.39999999999999"/>
    <m/>
    <m/>
    <m/>
    <m/>
    <m/>
    <m/>
    <m/>
    <m/>
    <m/>
    <m/>
    <m/>
    <m/>
    <m/>
    <m/>
    <m/>
    <m/>
    <m/>
    <m/>
    <m/>
    <m/>
    <m/>
    <m/>
    <m/>
    <m/>
    <x v="0"/>
    <m/>
    <m/>
    <m/>
    <m/>
  </r>
  <r>
    <x v="1"/>
    <x v="3"/>
    <s v="3362 J"/>
    <x v="43"/>
    <s v="Ahmed Sweets and Bakers Chishtian"/>
    <s v="PP"/>
    <n v="22"/>
    <s v="7-7.5"/>
    <s v="1:1"/>
    <n v="100"/>
    <s v="PP"/>
    <n v="2"/>
    <n v="106.9"/>
    <n v="5.0999999999999996"/>
    <m/>
    <m/>
    <n v="101.80000000000001"/>
    <m/>
    <m/>
    <m/>
    <m/>
    <m/>
    <m/>
    <m/>
    <m/>
    <m/>
    <m/>
    <m/>
    <m/>
    <m/>
    <m/>
    <m/>
    <m/>
    <m/>
    <m/>
    <m/>
    <m/>
    <m/>
    <m/>
    <m/>
    <m/>
    <x v="0"/>
    <m/>
    <m/>
    <m/>
    <m/>
  </r>
  <r>
    <x v="1"/>
    <x v="3"/>
    <s v="7112/5"/>
    <x v="43"/>
    <s v="ایم   عمران    پاکستان مارکیٹ"/>
    <s v="PP"/>
    <n v="23"/>
    <n v="7"/>
    <n v="0"/>
    <n v="200"/>
    <s v="PP"/>
    <n v="6"/>
    <n v="212.20000000000002"/>
    <n v="17"/>
    <m/>
    <m/>
    <n v="195.20000000000002"/>
    <m/>
    <m/>
    <m/>
    <m/>
    <m/>
    <m/>
    <m/>
    <m/>
    <m/>
    <m/>
    <m/>
    <m/>
    <m/>
    <m/>
    <m/>
    <m/>
    <m/>
    <m/>
    <m/>
    <m/>
    <m/>
    <m/>
    <m/>
    <m/>
    <x v="0"/>
    <m/>
    <m/>
    <m/>
    <m/>
  </r>
  <r>
    <x v="1"/>
    <x v="3"/>
    <s v="1892 F"/>
    <x v="43"/>
    <s v="Usman Amin"/>
    <s v="PP"/>
    <n v="20"/>
    <s v="8"/>
    <s v="پیور"/>
    <n v="100"/>
    <s v="PP"/>
    <n v="2"/>
    <n v="109.19999999999999"/>
    <n v="4.8"/>
    <m/>
    <m/>
    <n v="104.39999999999999"/>
    <m/>
    <m/>
    <m/>
    <m/>
    <m/>
    <m/>
    <m/>
    <m/>
    <m/>
    <m/>
    <m/>
    <m/>
    <m/>
    <m/>
    <m/>
    <m/>
    <m/>
    <m/>
    <m/>
    <m/>
    <m/>
    <m/>
    <m/>
    <m/>
    <x v="0"/>
    <m/>
    <m/>
    <m/>
    <m/>
  </r>
  <r>
    <x v="0"/>
    <x v="4"/>
    <s v="17 P"/>
    <x v="43"/>
    <s v="جیلانی پولی سٹاک"/>
    <s v="PP"/>
    <n v="14"/>
    <n v="5"/>
    <n v="0"/>
    <s v="-"/>
    <s v="PP"/>
    <n v="6"/>
    <n v="242.26"/>
    <n v="0.84000000000000008"/>
    <m/>
    <m/>
    <n v="241.42"/>
    <m/>
    <m/>
    <m/>
    <m/>
    <m/>
    <m/>
    <m/>
    <m/>
    <m/>
    <m/>
    <m/>
    <m/>
    <m/>
    <m/>
    <m/>
    <m/>
    <m/>
    <m/>
    <m/>
    <m/>
    <m/>
    <m/>
    <m/>
    <m/>
    <x v="0"/>
    <m/>
    <m/>
    <m/>
    <m/>
  </r>
  <r>
    <x v="0"/>
    <x v="4"/>
    <s v="7105/1"/>
    <x v="43"/>
    <s v="علی  اینڈ طاہر جھنگ"/>
    <s v="PP"/>
    <n v="14"/>
    <n v="4.5"/>
    <n v="0"/>
    <n v="150"/>
    <s v="PP"/>
    <n v="4"/>
    <n v="164.9"/>
    <n v="0.56000000000000005"/>
    <m/>
    <m/>
    <n v="164.34"/>
    <m/>
    <m/>
    <m/>
    <m/>
    <m/>
    <m/>
    <m/>
    <m/>
    <m/>
    <m/>
    <m/>
    <m/>
    <m/>
    <m/>
    <m/>
    <m/>
    <m/>
    <m/>
    <m/>
    <m/>
    <m/>
    <m/>
    <m/>
    <m/>
    <x v="0"/>
    <m/>
    <m/>
    <m/>
    <m/>
  </r>
  <r>
    <x v="0"/>
    <x v="4"/>
    <s v="3349 J"/>
    <x v="43"/>
    <s v="Alam Bakers Sheikupura"/>
    <s v="PP"/>
    <n v="14"/>
    <s v="6-6.5"/>
    <s v=".1:1"/>
    <n v="100"/>
    <s v="PP"/>
    <n v="3"/>
    <n v="100.96"/>
    <n v="0.42000000000000004"/>
    <m/>
    <m/>
    <n v="100.53999999999999"/>
    <m/>
    <m/>
    <m/>
    <m/>
    <m/>
    <m/>
    <m/>
    <m/>
    <m/>
    <m/>
    <m/>
    <m/>
    <m/>
    <m/>
    <m/>
    <m/>
    <m/>
    <m/>
    <m/>
    <m/>
    <m/>
    <m/>
    <m/>
    <m/>
    <x v="0"/>
    <m/>
    <m/>
    <m/>
    <m/>
  </r>
  <r>
    <x v="1"/>
    <x v="4"/>
    <s v="17 P"/>
    <x v="43"/>
    <s v="جیلانی پولی سٹاک"/>
    <s v="PP"/>
    <n v="14"/>
    <n v="5"/>
    <n v="0"/>
    <s v="-"/>
    <s v="PP"/>
    <n v="8"/>
    <n v="368.01"/>
    <n v="1.1200000000000001"/>
    <m/>
    <m/>
    <n v="366.89"/>
    <m/>
    <m/>
    <m/>
    <m/>
    <m/>
    <m/>
    <m/>
    <m/>
    <m/>
    <m/>
    <m/>
    <m/>
    <m/>
    <m/>
    <m/>
    <m/>
    <m/>
    <m/>
    <m/>
    <m/>
    <m/>
    <m/>
    <m/>
    <m/>
    <x v="0"/>
    <m/>
    <m/>
    <m/>
    <m/>
  </r>
  <r>
    <x v="1"/>
    <x v="4"/>
    <s v="17 P"/>
    <x v="43"/>
    <s v="جیلانی پولی سٹاک"/>
    <s v="PP"/>
    <n v="14"/>
    <n v="5"/>
    <n v="0"/>
    <s v="-"/>
    <s v="PP"/>
    <n v="2"/>
    <n v="73.900000000000006"/>
    <n v="0.28000000000000003"/>
    <m/>
    <m/>
    <n v="73.62"/>
    <m/>
    <m/>
    <m/>
    <m/>
    <m/>
    <m/>
    <m/>
    <m/>
    <m/>
    <m/>
    <m/>
    <m/>
    <m/>
    <m/>
    <m/>
    <m/>
    <m/>
    <m/>
    <m/>
    <m/>
    <m/>
    <m/>
    <m/>
    <m/>
    <x v="0"/>
    <m/>
    <m/>
    <m/>
    <m/>
  </r>
  <r>
    <x v="0"/>
    <x v="0"/>
    <s v="7101/12"/>
    <x v="44"/>
    <s v="محبوب مقبول گوجرانوالہ"/>
    <s v="PP"/>
    <n v="2.5"/>
    <n v="5"/>
    <n v="0"/>
    <n v="100"/>
    <s v="PP"/>
    <n v="8"/>
    <n v="96.5"/>
    <n v="2"/>
    <n v="16.5"/>
    <m/>
    <n v="94.5"/>
    <m/>
    <m/>
    <m/>
    <m/>
    <m/>
    <m/>
    <m/>
    <m/>
    <m/>
    <m/>
    <m/>
    <m/>
    <m/>
    <m/>
    <m/>
    <m/>
    <m/>
    <m/>
    <m/>
    <m/>
    <m/>
    <m/>
    <m/>
    <m/>
    <x v="0"/>
    <m/>
    <m/>
    <m/>
    <m/>
  </r>
  <r>
    <x v="1"/>
    <x v="0"/>
    <s v="7101/12"/>
    <x v="44"/>
    <s v="محبوب مقبول گوجرانوالہ"/>
    <s v="PP"/>
    <n v="2.5"/>
    <n v="5"/>
    <n v="0"/>
    <n v="100"/>
    <s v="PP"/>
    <n v="10"/>
    <n v="130.13999999999999"/>
    <n v="2.5"/>
    <n v="27.5"/>
    <m/>
    <n v="127.63999999999999"/>
    <m/>
    <m/>
    <m/>
    <m/>
    <m/>
    <m/>
    <m/>
    <m/>
    <m/>
    <m/>
    <m/>
    <m/>
    <m/>
    <m/>
    <m/>
    <m/>
    <m/>
    <m/>
    <m/>
    <m/>
    <m/>
    <m/>
    <m/>
    <m/>
    <x v="0"/>
    <m/>
    <m/>
    <m/>
    <m/>
  </r>
  <r>
    <x v="0"/>
    <x v="1"/>
    <s v="7076/1"/>
    <x v="44"/>
    <s v="عزیز ٹریڈرز ہاؤس لاہور"/>
    <s v="PP"/>
    <n v="3.5"/>
    <n v="8"/>
    <n v="0"/>
    <n v="1000"/>
    <s v="PP"/>
    <n v="8"/>
    <n v="111.57000000000001"/>
    <n v="2.8"/>
    <m/>
    <m/>
    <n v="108.77000000000001"/>
    <m/>
    <m/>
    <m/>
    <m/>
    <m/>
    <m/>
    <m/>
    <m/>
    <m/>
    <m/>
    <m/>
    <m/>
    <m/>
    <m/>
    <m/>
    <m/>
    <m/>
    <m/>
    <m/>
    <m/>
    <m/>
    <m/>
    <m/>
    <m/>
    <x v="0"/>
    <m/>
    <m/>
    <m/>
    <m/>
  </r>
  <r>
    <x v="1"/>
    <x v="1"/>
    <s v="7076/1"/>
    <x v="44"/>
    <s v="عزیز ٹریڈرز ہاؤس لاہور"/>
    <s v="PP"/>
    <n v="3.5"/>
    <n v="8"/>
    <n v="0"/>
    <n v="1000"/>
    <s v="PP"/>
    <n v="11"/>
    <n v="144.20000000000002"/>
    <n v="3.8499999999999996"/>
    <m/>
    <m/>
    <n v="140.35000000000002"/>
    <m/>
    <m/>
    <m/>
    <m/>
    <m/>
    <m/>
    <m/>
    <m/>
    <m/>
    <m/>
    <m/>
    <m/>
    <m/>
    <m/>
    <m/>
    <m/>
    <m/>
    <m/>
    <m/>
    <m/>
    <m/>
    <m/>
    <m/>
    <m/>
    <x v="0"/>
    <m/>
    <m/>
    <m/>
    <m/>
  </r>
  <r>
    <x v="0"/>
    <x v="2"/>
    <s v="3329 J"/>
    <x v="44"/>
    <s v="زمیندار فوڈ کمپنی بنوں"/>
    <s v="PP"/>
    <n v="8"/>
    <s v="6-6.5"/>
    <s v="-"/>
    <n v="1000"/>
    <s v="PP"/>
    <n v="6"/>
    <n v="237.17999999999998"/>
    <n v="4.8000000000000007"/>
    <m/>
    <m/>
    <n v="232.37999999999997"/>
    <m/>
    <m/>
    <m/>
    <m/>
    <m/>
    <m/>
    <m/>
    <m/>
    <m/>
    <m/>
    <m/>
    <m/>
    <m/>
    <m/>
    <m/>
    <m/>
    <m/>
    <m/>
    <m/>
    <m/>
    <m/>
    <m/>
    <m/>
    <m/>
    <x v="0"/>
    <m/>
    <m/>
    <m/>
    <m/>
  </r>
  <r>
    <x v="0"/>
    <x v="2"/>
    <s v="3329 J"/>
    <x v="44"/>
    <s v="زمیندار فوڈ کمپنی بنوں"/>
    <s v="PP"/>
    <n v="8"/>
    <s v="6-6.5"/>
    <s v="-"/>
    <n v="1000"/>
    <s v="PP"/>
    <n v="5"/>
    <n v="217.20000000000005"/>
    <n v="4"/>
    <m/>
    <m/>
    <n v="213.20000000000005"/>
    <m/>
    <m/>
    <m/>
    <m/>
    <m/>
    <m/>
    <m/>
    <m/>
    <m/>
    <m/>
    <m/>
    <m/>
    <m/>
    <m/>
    <m/>
    <m/>
    <m/>
    <m/>
    <m/>
    <m/>
    <m/>
    <m/>
    <m/>
    <m/>
    <x v="0"/>
    <m/>
    <m/>
    <m/>
    <m/>
  </r>
  <r>
    <x v="1"/>
    <x v="2"/>
    <s v="11 P"/>
    <x v="44"/>
    <s v="جیلانی پولی سٹاک"/>
    <s v="PP"/>
    <n v="8"/>
    <n v="5"/>
    <n v="0"/>
    <s v="-"/>
    <s v="PP"/>
    <n v="2"/>
    <n v="80"/>
    <n v="1.7"/>
    <m/>
    <m/>
    <n v="78.3"/>
    <m/>
    <m/>
    <m/>
    <m/>
    <m/>
    <m/>
    <m/>
    <m/>
    <m/>
    <m/>
    <m/>
    <m/>
    <m/>
    <m/>
    <m/>
    <m/>
    <m/>
    <m/>
    <m/>
    <m/>
    <m/>
    <m/>
    <m/>
    <m/>
    <x v="0"/>
    <m/>
    <m/>
    <m/>
    <m/>
  </r>
  <r>
    <x v="0"/>
    <x v="4"/>
    <s v="7110/1"/>
    <x v="44"/>
    <s v="عاصم مدنی انارکلی"/>
    <s v="PP"/>
    <n v="14"/>
    <n v="8"/>
    <n v="0"/>
    <n v="75"/>
    <s v="PP"/>
    <n v="2"/>
    <n v="109.25"/>
    <n v="3.2"/>
    <m/>
    <m/>
    <n v="106.05"/>
    <m/>
    <m/>
    <m/>
    <m/>
    <m/>
    <m/>
    <m/>
    <m/>
    <m/>
    <m/>
    <m/>
    <m/>
    <m/>
    <m/>
    <m/>
    <m/>
    <m/>
    <m/>
    <m/>
    <m/>
    <m/>
    <m/>
    <m/>
    <m/>
    <x v="0"/>
    <m/>
    <m/>
    <m/>
    <m/>
  </r>
  <r>
    <x v="0"/>
    <x v="4"/>
    <s v="17 P"/>
    <x v="44"/>
    <s v="جیلانی پولی سٹاک"/>
    <s v="PP"/>
    <n v="14"/>
    <n v="5"/>
    <n v="0"/>
    <s v="-"/>
    <s v="PP"/>
    <n v="6"/>
    <n v="319.64999999999998"/>
    <n v="10.5"/>
    <m/>
    <m/>
    <n v="309.14999999999998"/>
    <m/>
    <m/>
    <m/>
    <m/>
    <m/>
    <m/>
    <m/>
    <m/>
    <m/>
    <m/>
    <m/>
    <m/>
    <m/>
    <m/>
    <m/>
    <m/>
    <m/>
    <m/>
    <m/>
    <m/>
    <m/>
    <m/>
    <m/>
    <m/>
    <x v="0"/>
    <m/>
    <m/>
    <m/>
    <m/>
  </r>
  <r>
    <x v="1"/>
    <x v="4"/>
    <s v="17 P"/>
    <x v="44"/>
    <s v="جیلانی پولی سٹاک"/>
    <s v="PP"/>
    <n v="14"/>
    <n v="5"/>
    <n v="0"/>
    <s v="-"/>
    <s v="PP"/>
    <n v="4"/>
    <n v="222.10000000000002"/>
    <n v="6.8"/>
    <m/>
    <m/>
    <n v="215.3"/>
    <m/>
    <m/>
    <m/>
    <m/>
    <m/>
    <m/>
    <m/>
    <m/>
    <m/>
    <m/>
    <m/>
    <m/>
    <m/>
    <m/>
    <m/>
    <m/>
    <m/>
    <m/>
    <m/>
    <m/>
    <m/>
    <m/>
    <m/>
    <m/>
    <x v="0"/>
    <m/>
    <m/>
    <m/>
    <m/>
  </r>
  <r>
    <x v="1"/>
    <x v="4"/>
    <s v="7112/2"/>
    <x v="44"/>
    <s v="ایم   عمران    پاکستان مارکیٹ"/>
    <s v="PP"/>
    <n v="13"/>
    <n v="6.5"/>
    <n v="0"/>
    <n v="700"/>
    <s v="PP"/>
    <n v="12"/>
    <n v="384.83"/>
    <n v="19.200000000000003"/>
    <m/>
    <m/>
    <n v="365.63"/>
    <m/>
    <m/>
    <m/>
    <m/>
    <m/>
    <m/>
    <m/>
    <m/>
    <m/>
    <m/>
    <m/>
    <m/>
    <m/>
    <m/>
    <m/>
    <m/>
    <m/>
    <m/>
    <m/>
    <m/>
    <m/>
    <m/>
    <m/>
    <m/>
    <x v="0"/>
    <m/>
    <m/>
    <m/>
    <m/>
  </r>
  <r>
    <x v="0"/>
    <x v="0"/>
    <s v="7101/12"/>
    <x v="45"/>
    <s v="محبوب مقبول گوجرانوالہ"/>
    <s v="PP"/>
    <n v="2.5"/>
    <n v="5"/>
    <n v="0"/>
    <n v="100"/>
    <s v="PP"/>
    <n v="11"/>
    <n v="130.83000000000001"/>
    <n v="2.75"/>
    <n v="12"/>
    <m/>
    <n v="128.08000000000001"/>
    <m/>
    <m/>
    <m/>
    <m/>
    <m/>
    <m/>
    <m/>
    <m/>
    <m/>
    <m/>
    <m/>
    <m/>
    <m/>
    <m/>
    <m/>
    <m/>
    <m/>
    <m/>
    <m/>
    <m/>
    <m/>
    <m/>
    <m/>
    <m/>
    <x v="0"/>
    <m/>
    <m/>
    <m/>
    <m/>
  </r>
  <r>
    <x v="1"/>
    <x v="0"/>
    <s v="7101/12"/>
    <x v="45"/>
    <s v="محبوب مقبول گوجرانوالہ"/>
    <s v="PP"/>
    <n v="2.5"/>
    <n v="5"/>
    <n v="0"/>
    <n v="100"/>
    <s v="PP"/>
    <n v="9"/>
    <n v="120.75"/>
    <n v="2.25"/>
    <n v="28"/>
    <m/>
    <n v="118.5"/>
    <m/>
    <m/>
    <m/>
    <m/>
    <m/>
    <m/>
    <m/>
    <m/>
    <m/>
    <m/>
    <m/>
    <m/>
    <m/>
    <m/>
    <m/>
    <m/>
    <m/>
    <m/>
    <m/>
    <m/>
    <m/>
    <m/>
    <m/>
    <m/>
    <x v="0"/>
    <m/>
    <m/>
    <m/>
    <m/>
  </r>
  <r>
    <x v="0"/>
    <x v="1"/>
    <s v="7076/1"/>
    <x v="45"/>
    <s v="عزیز ٹریڈرز ہاؤس لاہور"/>
    <s v="PP"/>
    <n v="3.5"/>
    <n v="8"/>
    <n v="0"/>
    <n v="1000"/>
    <s v="PP"/>
    <n v="11"/>
    <n v="159.6"/>
    <n v="3.8499999999999996"/>
    <m/>
    <m/>
    <n v="155.75"/>
    <m/>
    <m/>
    <m/>
    <m/>
    <m/>
    <m/>
    <m/>
    <m/>
    <m/>
    <m/>
    <m/>
    <m/>
    <m/>
    <m/>
    <m/>
    <m/>
    <m/>
    <m/>
    <m/>
    <m/>
    <m/>
    <m/>
    <m/>
    <m/>
    <x v="0"/>
    <m/>
    <m/>
    <m/>
    <m/>
  </r>
  <r>
    <x v="1"/>
    <x v="1"/>
    <s v="7076/1"/>
    <x v="45"/>
    <s v="عزیز ٹریڈرز ہاؤس لاہور"/>
    <s v="PP"/>
    <n v="3.5"/>
    <n v="8"/>
    <n v="0"/>
    <n v="1000"/>
    <s v="PP"/>
    <n v="3"/>
    <n v="34.700000000000003"/>
    <n v="1.0499999999999998"/>
    <m/>
    <m/>
    <n v="33.650000000000006"/>
    <m/>
    <m/>
    <m/>
    <m/>
    <m/>
    <m/>
    <m/>
    <m/>
    <m/>
    <m/>
    <m/>
    <m/>
    <m/>
    <m/>
    <m/>
    <m/>
    <m/>
    <m/>
    <m/>
    <m/>
    <m/>
    <m/>
    <m/>
    <m/>
    <x v="0"/>
    <m/>
    <m/>
    <m/>
    <m/>
  </r>
  <r>
    <x v="1"/>
    <x v="1"/>
    <s v="7101/11"/>
    <x v="45"/>
    <s v="محبوب مقبول گوجرانوالہ"/>
    <s v="PP"/>
    <n v="2"/>
    <n v="5"/>
    <n v="0"/>
    <n v="100"/>
    <s v="PP"/>
    <n v="7"/>
    <n v="62.55"/>
    <n v="1.4000000000000001"/>
    <m/>
    <m/>
    <n v="61.15"/>
    <m/>
    <m/>
    <m/>
    <m/>
    <m/>
    <m/>
    <m/>
    <m/>
    <m/>
    <m/>
    <m/>
    <m/>
    <m/>
    <m/>
    <m/>
    <m/>
    <m/>
    <m/>
    <m/>
    <m/>
    <m/>
    <m/>
    <m/>
    <m/>
    <x v="0"/>
    <m/>
    <m/>
    <m/>
    <m/>
  </r>
  <r>
    <x v="0"/>
    <x v="2"/>
    <s v="11 P"/>
    <x v="45"/>
    <s v="جیلانی پولی سٹاک"/>
    <s v="PP"/>
    <n v="8"/>
    <n v="5"/>
    <n v="0"/>
    <s v="-"/>
    <s v="PP"/>
    <n v="3"/>
    <n v="114.5"/>
    <n v="3.4499999999999997"/>
    <m/>
    <m/>
    <n v="111.05"/>
    <m/>
    <m/>
    <m/>
    <m/>
    <m/>
    <m/>
    <m/>
    <m/>
    <m/>
    <m/>
    <m/>
    <m/>
    <m/>
    <m/>
    <m/>
    <m/>
    <m/>
    <m/>
    <m/>
    <m/>
    <m/>
    <m/>
    <m/>
    <m/>
    <x v="0"/>
    <m/>
    <m/>
    <m/>
    <m/>
  </r>
  <r>
    <x v="0"/>
    <x v="2"/>
    <s v="7108/1"/>
    <x v="45"/>
    <s v="ایم   دین پنڈی"/>
    <s v="PP"/>
    <n v="8"/>
    <n v="15"/>
    <n v="0"/>
    <n v="125"/>
    <s v="PP"/>
    <n v="4"/>
    <n v="159.9"/>
    <n v="4.6199999999999992"/>
    <m/>
    <m/>
    <n v="155.28"/>
    <m/>
    <m/>
    <m/>
    <m/>
    <m/>
    <m/>
    <m/>
    <m/>
    <m/>
    <m/>
    <m/>
    <m/>
    <m/>
    <m/>
    <m/>
    <m/>
    <m/>
    <m/>
    <m/>
    <m/>
    <m/>
    <m/>
    <m/>
    <m/>
    <x v="0"/>
    <m/>
    <m/>
    <m/>
    <m/>
  </r>
  <r>
    <x v="0"/>
    <x v="2"/>
    <s v="7108/1"/>
    <x v="45"/>
    <s v="ایم   دین پنڈی"/>
    <s v="PP"/>
    <n v="8"/>
    <n v="15"/>
    <n v="0"/>
    <n v="125"/>
    <s v="PP"/>
    <n v="3"/>
    <n v="91.460000000000008"/>
    <n v="3.9"/>
    <m/>
    <m/>
    <n v="87.56"/>
    <m/>
    <m/>
    <m/>
    <m/>
    <m/>
    <m/>
    <m/>
    <m/>
    <m/>
    <m/>
    <m/>
    <m/>
    <m/>
    <m/>
    <m/>
    <m/>
    <m/>
    <m/>
    <m/>
    <m/>
    <m/>
    <m/>
    <m/>
    <m/>
    <x v="0"/>
    <m/>
    <m/>
    <m/>
    <m/>
  </r>
  <r>
    <x v="1"/>
    <x v="2"/>
    <s v="7108/1"/>
    <x v="45"/>
    <s v="ایم   دین پنڈی"/>
    <s v="PP"/>
    <n v="8"/>
    <n v="15"/>
    <n v="0"/>
    <n v="125"/>
    <s v="PP"/>
    <n v="6"/>
    <n v="144.70000000000002"/>
    <n v="6"/>
    <m/>
    <m/>
    <n v="138.70000000000002"/>
    <m/>
    <m/>
    <m/>
    <m/>
    <m/>
    <m/>
    <m/>
    <m/>
    <m/>
    <m/>
    <m/>
    <m/>
    <m/>
    <m/>
    <m/>
    <m/>
    <m/>
    <m/>
    <m/>
    <m/>
    <m/>
    <m/>
    <m/>
    <m/>
    <x v="0"/>
    <m/>
    <m/>
    <m/>
    <m/>
  </r>
  <r>
    <x v="1"/>
    <x v="2"/>
    <s v="80 P"/>
    <x v="45"/>
    <s v="جیلانی پولی سٹاک"/>
    <s v="PP"/>
    <s v="8"/>
    <n v="5"/>
    <n v="0"/>
    <s v="-"/>
    <s v="PP"/>
    <n v="5"/>
    <n v="187.89999999999998"/>
    <n v="5"/>
    <m/>
    <m/>
    <n v="182.89999999999998"/>
    <m/>
    <m/>
    <m/>
    <m/>
    <m/>
    <m/>
    <m/>
    <m/>
    <m/>
    <m/>
    <m/>
    <m/>
    <m/>
    <m/>
    <m/>
    <m/>
    <m/>
    <m/>
    <m/>
    <m/>
    <m/>
    <m/>
    <m/>
    <m/>
    <x v="0"/>
    <m/>
    <m/>
    <m/>
    <m/>
  </r>
  <r>
    <x v="0"/>
    <x v="4"/>
    <s v="7112/2"/>
    <x v="45"/>
    <s v="ایم   عمران    پاکستان مارکیٹ"/>
    <s v="PP"/>
    <n v="13"/>
    <n v="6.5"/>
    <n v="0"/>
    <n v="700"/>
    <s v="PP"/>
    <n v="11"/>
    <n v="359.53999999999996"/>
    <n v="18.399999999999999"/>
    <m/>
    <m/>
    <n v="341.14"/>
    <m/>
    <m/>
    <m/>
    <m/>
    <m/>
    <m/>
    <m/>
    <m/>
    <m/>
    <m/>
    <m/>
    <m/>
    <m/>
    <m/>
    <m/>
    <m/>
    <m/>
    <m/>
    <m/>
    <m/>
    <m/>
    <m/>
    <m/>
    <m/>
    <x v="0"/>
    <m/>
    <m/>
    <m/>
    <m/>
  </r>
  <r>
    <x v="0"/>
    <x v="4"/>
    <s v="16 P"/>
    <x v="45"/>
    <s v="جیلانی پولی سٹاک"/>
    <s v="PP"/>
    <n v="13"/>
    <n v="5"/>
    <n v="0"/>
    <s v="-"/>
    <s v="PP"/>
    <n v="8"/>
    <n v="274.04999999999995"/>
    <n v="13.6"/>
    <m/>
    <m/>
    <n v="260.44999999999993"/>
    <m/>
    <m/>
    <m/>
    <m/>
    <m/>
    <m/>
    <m/>
    <m/>
    <m/>
    <m/>
    <m/>
    <m/>
    <m/>
    <m/>
    <m/>
    <m/>
    <m/>
    <m/>
    <m/>
    <m/>
    <m/>
    <m/>
    <m/>
    <m/>
    <x v="0"/>
    <m/>
    <m/>
    <m/>
    <m/>
  </r>
  <r>
    <x v="1"/>
    <x v="4"/>
    <s v="16 P"/>
    <x v="45"/>
    <s v="جیلانی پولی سٹاک"/>
    <s v="PP"/>
    <n v="13"/>
    <n v="5"/>
    <n v="0"/>
    <s v="-"/>
    <s v="PP"/>
    <n v="7"/>
    <n v="282.2"/>
    <n v="0.91"/>
    <m/>
    <m/>
    <n v="281.28999999999996"/>
    <m/>
    <m/>
    <m/>
    <m/>
    <m/>
    <m/>
    <m/>
    <m/>
    <m/>
    <m/>
    <m/>
    <m/>
    <m/>
    <m/>
    <m/>
    <m/>
    <m/>
    <m/>
    <m/>
    <m/>
    <m/>
    <m/>
    <m/>
    <m/>
    <x v="0"/>
    <m/>
    <m/>
    <m/>
    <m/>
  </r>
  <r>
    <x v="1"/>
    <x v="4"/>
    <s v="7105/2"/>
    <x v="45"/>
    <s v="علی  اینڈ طاہر جھنگ"/>
    <s v="PP"/>
    <n v="13"/>
    <n v="4.5"/>
    <n v="0"/>
    <n v="150"/>
    <s v="PP"/>
    <n v="4"/>
    <n v="164.5"/>
    <n v="0.52"/>
    <m/>
    <m/>
    <n v="163.98"/>
    <m/>
    <m/>
    <m/>
    <m/>
    <m/>
    <m/>
    <m/>
    <m/>
    <m/>
    <m/>
    <m/>
    <m/>
    <m/>
    <m/>
    <m/>
    <m/>
    <m/>
    <m/>
    <m/>
    <m/>
    <m/>
    <m/>
    <m/>
    <m/>
    <x v="0"/>
    <m/>
    <m/>
    <m/>
    <m/>
  </r>
  <r>
    <x v="1"/>
    <x v="4"/>
    <s v="15 P"/>
    <x v="45"/>
    <s v="جیلانی پولی سٹاک"/>
    <s v="PP"/>
    <n v="12"/>
    <n v="5"/>
    <n v="0"/>
    <s v="-"/>
    <s v="PP"/>
    <n v="4"/>
    <n v="135.67000000000002"/>
    <n v="0.48"/>
    <m/>
    <m/>
    <n v="135.19000000000003"/>
    <m/>
    <m/>
    <m/>
    <m/>
    <m/>
    <m/>
    <m/>
    <m/>
    <m/>
    <m/>
    <m/>
    <m/>
    <m/>
    <m/>
    <m/>
    <m/>
    <m/>
    <m/>
    <m/>
    <m/>
    <m/>
    <m/>
    <m/>
    <m/>
    <x v="0"/>
    <m/>
    <m/>
    <m/>
    <m/>
  </r>
  <r>
    <x v="0"/>
    <x v="0"/>
    <s v="7101/14"/>
    <x v="46"/>
    <s v="محبوب مقبول گوجرانوالہ"/>
    <s v="PP"/>
    <n v="2.5"/>
    <n v="5"/>
    <n v="0"/>
    <n v="250"/>
    <s v="PP"/>
    <n v="10"/>
    <n v="125.42999999999999"/>
    <n v="2.5"/>
    <n v="23"/>
    <m/>
    <n v="122.92999999999999"/>
    <m/>
    <m/>
    <m/>
    <m/>
    <m/>
    <m/>
    <m/>
    <m/>
    <m/>
    <m/>
    <m/>
    <m/>
    <m/>
    <m/>
    <m/>
    <m/>
    <m/>
    <m/>
    <m/>
    <m/>
    <m/>
    <m/>
    <m/>
    <m/>
    <x v="0"/>
    <m/>
    <m/>
    <m/>
    <m/>
  </r>
  <r>
    <x v="1"/>
    <x v="0"/>
    <s v="7101/15"/>
    <x v="46"/>
    <s v="محبوب مقبول گوجرانوالہ"/>
    <s v="PP"/>
    <n v="3"/>
    <n v="5"/>
    <n v="0"/>
    <n v="250"/>
    <s v="PP"/>
    <n v="10"/>
    <n v="151.51000000000002"/>
    <n v="3"/>
    <n v="36"/>
    <m/>
    <n v="148.51000000000002"/>
    <m/>
    <m/>
    <m/>
    <m/>
    <m/>
    <m/>
    <m/>
    <m/>
    <m/>
    <m/>
    <m/>
    <m/>
    <m/>
    <m/>
    <m/>
    <m/>
    <m/>
    <m/>
    <m/>
    <m/>
    <m/>
    <m/>
    <m/>
    <m/>
    <x v="0"/>
    <m/>
    <m/>
    <m/>
    <m/>
  </r>
  <r>
    <x v="0"/>
    <x v="1"/>
    <s v="2 P"/>
    <x v="46"/>
    <s v="جیلانی پولی سٹاک"/>
    <s v="PP"/>
    <n v="2"/>
    <s v="5.5-6"/>
    <n v="0"/>
    <s v="-"/>
    <s v="PP"/>
    <n v="10"/>
    <n v="101.7"/>
    <n v="2"/>
    <m/>
    <m/>
    <n v="99.7"/>
    <m/>
    <m/>
    <m/>
    <m/>
    <m/>
    <m/>
    <m/>
    <m/>
    <m/>
    <m/>
    <m/>
    <m/>
    <m/>
    <m/>
    <m/>
    <m/>
    <m/>
    <m/>
    <m/>
    <m/>
    <m/>
    <m/>
    <m/>
    <m/>
    <x v="0"/>
    <m/>
    <m/>
    <m/>
    <m/>
  </r>
  <r>
    <x v="1"/>
    <x v="1"/>
    <s v="2 P"/>
    <x v="46"/>
    <s v="جیلانی پولی سٹاک"/>
    <s v="PP"/>
    <n v="2"/>
    <s v="5.5-6"/>
    <n v="0"/>
    <s v="-"/>
    <s v="PP"/>
    <n v="12"/>
    <n v="110.20000000000002"/>
    <n v="2.4000000000000004"/>
    <m/>
    <m/>
    <n v="107.80000000000001"/>
    <m/>
    <m/>
    <m/>
    <m/>
    <m/>
    <m/>
    <m/>
    <m/>
    <m/>
    <m/>
    <m/>
    <m/>
    <m/>
    <m/>
    <m/>
    <m/>
    <m/>
    <m/>
    <m/>
    <m/>
    <m/>
    <m/>
    <m/>
    <m/>
    <x v="0"/>
    <m/>
    <m/>
    <m/>
    <m/>
  </r>
  <r>
    <x v="0"/>
    <x v="2"/>
    <s v="11 P"/>
    <x v="46"/>
    <s v="جیلانی پولی سٹاک"/>
    <s v="PP"/>
    <n v="8"/>
    <n v="5"/>
    <n v="0"/>
    <s v="-"/>
    <s v="PP"/>
    <n v="8"/>
    <n v="346.2"/>
    <n v="7.2"/>
    <m/>
    <m/>
    <n v="339"/>
    <m/>
    <m/>
    <m/>
    <m/>
    <m/>
    <m/>
    <m/>
    <m/>
    <m/>
    <m/>
    <m/>
    <m/>
    <m/>
    <m/>
    <m/>
    <m/>
    <m/>
    <m/>
    <m/>
    <m/>
    <m/>
    <m/>
    <m/>
    <m/>
    <x v="0"/>
    <m/>
    <m/>
    <m/>
    <m/>
  </r>
  <r>
    <x v="1"/>
    <x v="2"/>
    <s v="11 P"/>
    <x v="46"/>
    <s v="جیلانی پولی سٹاک"/>
    <s v="PP"/>
    <n v="8"/>
    <n v="5"/>
    <n v="0"/>
    <s v="-"/>
    <s v="PP"/>
    <n v="9"/>
    <n v="335.15000000000003"/>
    <n v="8.1"/>
    <m/>
    <m/>
    <n v="327.05"/>
    <m/>
    <m/>
    <m/>
    <m/>
    <m/>
    <m/>
    <m/>
    <m/>
    <m/>
    <m/>
    <m/>
    <m/>
    <m/>
    <m/>
    <m/>
    <m/>
    <m/>
    <m/>
    <m/>
    <m/>
    <m/>
    <m/>
    <m/>
    <m/>
    <x v="0"/>
    <m/>
    <m/>
    <m/>
    <m/>
  </r>
  <r>
    <x v="0"/>
    <x v="3"/>
    <s v="3253 J"/>
    <x v="46"/>
    <s v="Punjab Rusk Lahore"/>
    <s v="PP"/>
    <n v="20"/>
    <s v="6-6.5"/>
    <s v="1:1"/>
    <n v="300"/>
    <s v="PP"/>
    <n v="2"/>
    <n v="108.7"/>
    <n v="4.0999999999999996"/>
    <m/>
    <m/>
    <n v="104.60000000000001"/>
    <m/>
    <m/>
    <m/>
    <m/>
    <m/>
    <m/>
    <m/>
    <m/>
    <m/>
    <m/>
    <m/>
    <m/>
    <m/>
    <m/>
    <m/>
    <m/>
    <m/>
    <m/>
    <m/>
    <m/>
    <m/>
    <m/>
    <m/>
    <m/>
    <x v="0"/>
    <m/>
    <m/>
    <m/>
    <m/>
  </r>
  <r>
    <x v="0"/>
    <x v="3"/>
    <s v="3439 J"/>
    <x v="46"/>
    <s v="Jilani Poly Stock"/>
    <s v="PP"/>
    <n v="20"/>
    <s v="5-5.5"/>
    <s v="1:1"/>
    <n v="500"/>
    <s v="PP"/>
    <n v="8"/>
    <n v="459.77"/>
    <n v="20.8"/>
    <m/>
    <m/>
    <n v="438.96999999999997"/>
    <m/>
    <m/>
    <m/>
    <m/>
    <m/>
    <m/>
    <m/>
    <m/>
    <m/>
    <m/>
    <m/>
    <m/>
    <m/>
    <m/>
    <m/>
    <m/>
    <m/>
    <m/>
    <m/>
    <m/>
    <m/>
    <m/>
    <m/>
    <m/>
    <x v="0"/>
    <m/>
    <m/>
    <m/>
    <m/>
  </r>
  <r>
    <x v="1"/>
    <x v="3"/>
    <s v="3439 J"/>
    <x v="46"/>
    <s v="Jilani Poly Stock"/>
    <s v="PP"/>
    <n v="20"/>
    <s v="5-5.5"/>
    <s v="1:1"/>
    <n v="500"/>
    <s v="PP"/>
    <n v="2"/>
    <n v="99.5"/>
    <n v="6.6"/>
    <m/>
    <m/>
    <n v="92.9"/>
    <m/>
    <m/>
    <m/>
    <m/>
    <m/>
    <m/>
    <m/>
    <m/>
    <m/>
    <m/>
    <m/>
    <m/>
    <m/>
    <m/>
    <m/>
    <m/>
    <m/>
    <m/>
    <m/>
    <m/>
    <m/>
    <m/>
    <m/>
    <m/>
    <x v="0"/>
    <m/>
    <m/>
    <m/>
    <m/>
  </r>
  <r>
    <x v="1"/>
    <x v="3"/>
    <s v="3440 J"/>
    <x v="46"/>
    <s v="Jilani Poly Stock"/>
    <s v="PP"/>
    <n v="16"/>
    <s v="5-5.5"/>
    <s v="1:1"/>
    <n v="500"/>
    <s v="PP"/>
    <n v="3"/>
    <n v="146.89999999999998"/>
    <n v="5.4"/>
    <m/>
    <m/>
    <n v="141.49999999999997"/>
    <m/>
    <m/>
    <m/>
    <m/>
    <m/>
    <m/>
    <m/>
    <m/>
    <m/>
    <m/>
    <m/>
    <m/>
    <m/>
    <m/>
    <m/>
    <m/>
    <m/>
    <m/>
    <m/>
    <m/>
    <m/>
    <m/>
    <m/>
    <m/>
    <x v="0"/>
    <m/>
    <m/>
    <m/>
    <m/>
  </r>
  <r>
    <x v="1"/>
    <x v="3"/>
    <s v="19 P"/>
    <x v="46"/>
    <s v="جیلانی پولی سٹاک"/>
    <s v="PP"/>
    <n v="16"/>
    <n v="5"/>
    <n v="0"/>
    <s v="-"/>
    <s v="PP"/>
    <n v="5"/>
    <n v="213.3"/>
    <n v="9"/>
    <m/>
    <m/>
    <n v="204.3"/>
    <m/>
    <m/>
    <m/>
    <m/>
    <m/>
    <m/>
    <m/>
    <m/>
    <m/>
    <m/>
    <m/>
    <m/>
    <m/>
    <m/>
    <m/>
    <m/>
    <m/>
    <m/>
    <m/>
    <m/>
    <m/>
    <m/>
    <m/>
    <m/>
    <x v="0"/>
    <m/>
    <m/>
    <m/>
    <m/>
  </r>
  <r>
    <x v="1"/>
    <x v="3"/>
    <s v="3458 J"/>
    <x v="46"/>
    <s v="Mubashar Iqbal Pakistan Cloth LHR"/>
    <s v="PP"/>
    <n v="16"/>
    <s v="8.5-9"/>
    <s v="1:1"/>
    <n v="100"/>
    <s v="PP"/>
    <n v="2"/>
    <n v="107.22"/>
    <n v="3.6"/>
    <m/>
    <m/>
    <n v="103.62"/>
    <m/>
    <m/>
    <m/>
    <m/>
    <m/>
    <m/>
    <m/>
    <m/>
    <m/>
    <m/>
    <m/>
    <m/>
    <m/>
    <m/>
    <m/>
    <m/>
    <m/>
    <m/>
    <m/>
    <m/>
    <m/>
    <m/>
    <m/>
    <m/>
    <x v="0"/>
    <m/>
    <m/>
    <m/>
    <m/>
  </r>
  <r>
    <x v="1"/>
    <x v="3"/>
    <s v="3413 J"/>
    <x v="46"/>
    <s v="Caker and Baker Lahore"/>
    <s v="PP"/>
    <n v="16"/>
    <s v="7-7.5/14-15"/>
    <s v="1:1"/>
    <n v="150"/>
    <s v="PP"/>
    <n v="5"/>
    <n v="202.1"/>
    <n v="9"/>
    <m/>
    <m/>
    <n v="193.1"/>
    <m/>
    <m/>
    <m/>
    <m/>
    <m/>
    <m/>
    <m/>
    <m/>
    <m/>
    <m/>
    <m/>
    <m/>
    <m/>
    <m/>
    <m/>
    <m/>
    <m/>
    <m/>
    <m/>
    <m/>
    <m/>
    <m/>
    <m/>
    <m/>
    <x v="0"/>
    <m/>
    <m/>
    <m/>
    <m/>
  </r>
  <r>
    <x v="0"/>
    <x v="4"/>
    <s v="15 P"/>
    <x v="46"/>
    <s v="جیلانی پولی سٹاک"/>
    <s v="PP"/>
    <n v="12"/>
    <n v="5"/>
    <n v="0"/>
    <s v="-"/>
    <s v="PP"/>
    <n v="12"/>
    <n v="591.41"/>
    <n v="16.799999999999997"/>
    <m/>
    <m/>
    <n v="574.61"/>
    <m/>
    <m/>
    <m/>
    <m/>
    <m/>
    <m/>
    <m/>
    <m/>
    <m/>
    <m/>
    <m/>
    <m/>
    <m/>
    <m/>
    <m/>
    <m/>
    <m/>
    <m/>
    <m/>
    <m/>
    <m/>
    <m/>
    <m/>
    <m/>
    <x v="0"/>
    <m/>
    <m/>
    <m/>
    <m/>
  </r>
  <r>
    <x v="1"/>
    <x v="4"/>
    <s v="15 P"/>
    <x v="46"/>
    <s v="جیلانی پولی سٹاک"/>
    <s v="PP"/>
    <n v="12"/>
    <n v="5"/>
    <n v="0"/>
    <s v="-"/>
    <s v="PP"/>
    <n v="13"/>
    <n v="557.19000000000005"/>
    <n v="1.68"/>
    <m/>
    <m/>
    <n v="555.5100000000001"/>
    <m/>
    <m/>
    <m/>
    <m/>
    <m/>
    <m/>
    <m/>
    <m/>
    <m/>
    <m/>
    <m/>
    <m/>
    <m/>
    <m/>
    <m/>
    <m/>
    <m/>
    <m/>
    <m/>
    <m/>
    <m/>
    <m/>
    <m/>
    <m/>
    <x v="0"/>
    <m/>
    <m/>
    <m/>
    <m/>
  </r>
  <r>
    <x v="0"/>
    <x v="0"/>
    <s v="4 p"/>
    <x v="47"/>
    <s v="جیلانی پولی سٹاک"/>
    <s v="PP"/>
    <n v="3"/>
    <s v="5.5-6"/>
    <n v="0"/>
    <s v="-"/>
    <s v="PP"/>
    <n v="9"/>
    <n v="316.58"/>
    <n v="2.6999999999999997"/>
    <m/>
    <m/>
    <n v="313.88"/>
    <m/>
    <m/>
    <m/>
    <m/>
    <m/>
    <m/>
    <m/>
    <m/>
    <m/>
    <m/>
    <m/>
    <m/>
    <m/>
    <m/>
    <m/>
    <m/>
    <m/>
    <m/>
    <m/>
    <m/>
    <m/>
    <m/>
    <m/>
    <m/>
    <x v="0"/>
    <m/>
    <m/>
    <m/>
    <m/>
  </r>
  <r>
    <x v="1"/>
    <x v="0"/>
    <s v="4 p"/>
    <x v="47"/>
    <s v="جیلانی پولی سٹاک"/>
    <s v="PP"/>
    <n v="3"/>
    <s v="5.5-6"/>
    <n v="0"/>
    <s v="-"/>
    <s v="PP"/>
    <n v="10"/>
    <n v="162.34"/>
    <n v="3"/>
    <m/>
    <m/>
    <n v="159.34"/>
    <m/>
    <m/>
    <m/>
    <m/>
    <m/>
    <m/>
    <m/>
    <m/>
    <m/>
    <m/>
    <m/>
    <m/>
    <m/>
    <m/>
    <m/>
    <m/>
    <m/>
    <m/>
    <m/>
    <m/>
    <m/>
    <m/>
    <m/>
    <m/>
    <x v="0"/>
    <m/>
    <m/>
    <m/>
    <m/>
  </r>
  <r>
    <x v="0"/>
    <x v="1"/>
    <s v="2 P"/>
    <x v="47"/>
    <s v="جیلانی پولی سٹاک"/>
    <s v="PP"/>
    <n v="2"/>
    <s v="5.5-6"/>
    <n v="0"/>
    <s v="-"/>
    <s v="PP"/>
    <n v="11"/>
    <n v="106.07000000000001"/>
    <n v="2.2000000000000002"/>
    <m/>
    <m/>
    <n v="103.87"/>
    <m/>
    <m/>
    <m/>
    <m/>
    <m/>
    <m/>
    <m/>
    <m/>
    <m/>
    <m/>
    <m/>
    <m/>
    <m/>
    <m/>
    <m/>
    <m/>
    <m/>
    <m/>
    <m/>
    <m/>
    <m/>
    <m/>
    <m/>
    <m/>
    <x v="0"/>
    <m/>
    <m/>
    <m/>
    <m/>
  </r>
  <r>
    <x v="1"/>
    <x v="1"/>
    <s v="2 P"/>
    <x v="47"/>
    <s v="جیلانی پولی سٹاک"/>
    <s v="PP"/>
    <n v="2"/>
    <s v="5.5-6"/>
    <n v="0"/>
    <s v="-"/>
    <s v="PP"/>
    <n v="12"/>
    <n v="106.43"/>
    <n v="2.4000000000000004"/>
    <m/>
    <m/>
    <n v="104.03"/>
    <m/>
    <m/>
    <m/>
    <m/>
    <m/>
    <m/>
    <m/>
    <m/>
    <m/>
    <m/>
    <m/>
    <m/>
    <m/>
    <m/>
    <m/>
    <m/>
    <m/>
    <m/>
    <m/>
    <m/>
    <m/>
    <m/>
    <m/>
    <m/>
    <x v="0"/>
    <m/>
    <m/>
    <m/>
    <m/>
  </r>
  <r>
    <x v="0"/>
    <x v="2"/>
    <s v="11 P"/>
    <x v="47"/>
    <s v="جیلانی پولی سٹاک"/>
    <s v="PP"/>
    <n v="8"/>
    <n v="5"/>
    <n v="0"/>
    <s v="-"/>
    <s v="PP"/>
    <n v="7"/>
    <n v="311.76"/>
    <n v="5.6000000000000005"/>
    <m/>
    <m/>
    <n v="306.15999999999997"/>
    <m/>
    <m/>
    <m/>
    <m/>
    <m/>
    <m/>
    <m/>
    <m/>
    <m/>
    <m/>
    <m/>
    <m/>
    <m/>
    <m/>
    <m/>
    <m/>
    <m/>
    <m/>
    <m/>
    <m/>
    <m/>
    <m/>
    <m/>
    <m/>
    <x v="0"/>
    <m/>
    <m/>
    <m/>
    <m/>
  </r>
  <r>
    <x v="0"/>
    <x v="2"/>
    <s v="11 P"/>
    <x v="47"/>
    <s v="جیلانی پولی سٹاک"/>
    <s v="PP"/>
    <n v="8"/>
    <n v="5"/>
    <n v="0"/>
    <s v="-"/>
    <s v="PP"/>
    <n v="2"/>
    <n v="69.490000000000009"/>
    <n v="1.96"/>
    <m/>
    <m/>
    <n v="67.530000000000015"/>
    <m/>
    <m/>
    <m/>
    <m/>
    <m/>
    <m/>
    <m/>
    <m/>
    <m/>
    <m/>
    <m/>
    <m/>
    <m/>
    <m/>
    <m/>
    <m/>
    <m/>
    <m/>
    <m/>
    <m/>
    <m/>
    <m/>
    <m/>
    <m/>
    <x v="0"/>
    <m/>
    <m/>
    <m/>
    <m/>
  </r>
  <r>
    <x v="1"/>
    <x v="2"/>
    <s v="11 P"/>
    <x v="47"/>
    <s v="جیلانی پولی سٹاک"/>
    <s v="PP"/>
    <n v="8"/>
    <n v="5"/>
    <n v="0"/>
    <s v="-"/>
    <s v="PP"/>
    <n v="10"/>
    <n v="402.94"/>
    <n v="8"/>
    <m/>
    <m/>
    <n v="394.94"/>
    <m/>
    <m/>
    <m/>
    <m/>
    <m/>
    <m/>
    <m/>
    <m/>
    <m/>
    <m/>
    <m/>
    <m/>
    <m/>
    <m/>
    <m/>
    <m/>
    <m/>
    <m/>
    <m/>
    <m/>
    <m/>
    <m/>
    <m/>
    <m/>
    <x v="0"/>
    <m/>
    <m/>
    <m/>
    <m/>
  </r>
  <r>
    <x v="0"/>
    <x v="3"/>
    <s v="3440 J"/>
    <x v="47"/>
    <s v="Jilani Poly Stock"/>
    <s v="PP"/>
    <n v="16"/>
    <s v="5-5.5"/>
    <s v="1:1"/>
    <n v="500"/>
    <s v="PP"/>
    <n v="11"/>
    <n v="543.05999999999995"/>
    <n v="21.129999999999995"/>
    <m/>
    <m/>
    <n v="521.92999999999995"/>
    <m/>
    <m/>
    <m/>
    <m/>
    <m/>
    <m/>
    <m/>
    <m/>
    <m/>
    <m/>
    <m/>
    <m/>
    <m/>
    <m/>
    <m/>
    <m/>
    <m/>
    <m/>
    <m/>
    <m/>
    <m/>
    <m/>
    <m/>
    <m/>
    <x v="0"/>
    <m/>
    <m/>
    <m/>
    <m/>
  </r>
  <r>
    <x v="0"/>
    <x v="3"/>
    <s v="7122/1"/>
    <x v="47"/>
    <s v="ایم سلیمان پاکستان مارکیٹ"/>
    <s v="PP"/>
    <n v="22"/>
    <s v="5-5.5"/>
    <n v="0"/>
    <n v="400"/>
    <s v="PP"/>
    <n v="4"/>
    <n v="257.11"/>
    <n v="8.620000000000001"/>
    <m/>
    <m/>
    <n v="248.49"/>
    <m/>
    <m/>
    <m/>
    <m/>
    <m/>
    <m/>
    <m/>
    <m/>
    <m/>
    <m/>
    <m/>
    <m/>
    <m/>
    <m/>
    <m/>
    <m/>
    <m/>
    <m/>
    <m/>
    <m/>
    <m/>
    <m/>
    <m/>
    <m/>
    <x v="0"/>
    <m/>
    <m/>
    <m/>
    <m/>
  </r>
  <r>
    <x v="1"/>
    <x v="3"/>
    <s v="7123/1"/>
    <x v="47"/>
    <s v="العمر پلاسٹک گوجرانوالہ"/>
    <s v="PP"/>
    <n v="10"/>
    <n v="5"/>
    <n v="0"/>
    <n v="500"/>
    <s v="PP"/>
    <n v="3"/>
    <n v="171.19"/>
    <n v="8.6999999999999993"/>
    <m/>
    <m/>
    <n v="162.49"/>
    <m/>
    <m/>
    <m/>
    <m/>
    <m/>
    <m/>
    <m/>
    <m/>
    <m/>
    <m/>
    <m/>
    <m/>
    <m/>
    <m/>
    <m/>
    <m/>
    <m/>
    <m/>
    <m/>
    <m/>
    <m/>
    <m/>
    <m/>
    <m/>
    <x v="0"/>
    <m/>
    <m/>
    <m/>
    <m/>
  </r>
  <r>
    <x v="1"/>
    <x v="3"/>
    <s v="25 P"/>
    <x v="47"/>
    <s v="جیلانی پولی سٹاک"/>
    <s v="PP"/>
    <n v="24"/>
    <n v="5"/>
    <n v="0"/>
    <s v="-"/>
    <s v="PP"/>
    <n v="9"/>
    <n v="547.81999999999994"/>
    <n v="28.8"/>
    <m/>
    <m/>
    <n v="519.02"/>
    <m/>
    <m/>
    <m/>
    <m/>
    <m/>
    <m/>
    <m/>
    <m/>
    <m/>
    <m/>
    <m/>
    <m/>
    <m/>
    <m/>
    <m/>
    <m/>
    <m/>
    <m/>
    <m/>
    <m/>
    <m/>
    <m/>
    <m/>
    <m/>
    <x v="0"/>
    <m/>
    <m/>
    <m/>
    <m/>
  </r>
  <r>
    <x v="1"/>
    <x v="3"/>
    <s v="3442 J"/>
    <x v="47"/>
    <s v="Jilani Poly Stock"/>
    <s v="PP"/>
    <n v="24"/>
    <s v="5-5.5"/>
    <s v="1:1"/>
    <n v="500"/>
    <s v="PP"/>
    <n v="2"/>
    <n v="95.990000000000009"/>
    <n v="6.4"/>
    <m/>
    <m/>
    <n v="89.59"/>
    <m/>
    <m/>
    <m/>
    <m/>
    <m/>
    <m/>
    <m/>
    <m/>
    <m/>
    <m/>
    <m/>
    <m/>
    <m/>
    <m/>
    <m/>
    <m/>
    <m/>
    <m/>
    <m/>
    <m/>
    <m/>
    <m/>
    <m/>
    <m/>
    <x v="0"/>
    <m/>
    <m/>
    <m/>
    <m/>
  </r>
  <r>
    <x v="0"/>
    <x v="4"/>
    <s v="15 P"/>
    <x v="47"/>
    <s v="جیلانی پولی سٹاک"/>
    <s v="PP"/>
    <n v="12"/>
    <n v="5"/>
    <n v="0"/>
    <s v="-"/>
    <s v="PP"/>
    <n v="10"/>
    <n v="591.19999999999993"/>
    <n v="15.2"/>
    <m/>
    <m/>
    <n v="575.99999999999989"/>
    <m/>
    <m/>
    <m/>
    <m/>
    <m/>
    <m/>
    <m/>
    <m/>
    <m/>
    <m/>
    <m/>
    <m/>
    <m/>
    <m/>
    <m/>
    <m/>
    <m/>
    <m/>
    <m/>
    <m/>
    <m/>
    <m/>
    <m/>
    <m/>
    <x v="0"/>
    <m/>
    <m/>
    <m/>
    <m/>
  </r>
  <r>
    <x v="1"/>
    <x v="4"/>
    <s v="15 P"/>
    <x v="47"/>
    <s v="جیلانی پولی سٹاک"/>
    <s v="PP"/>
    <n v="12"/>
    <n v="5"/>
    <n v="0"/>
    <s v="-"/>
    <s v="PP"/>
    <n v="3"/>
    <n v="101.16"/>
    <n v="3.5999999999999996"/>
    <m/>
    <m/>
    <n v="97.56"/>
    <m/>
    <m/>
    <m/>
    <m/>
    <m/>
    <m/>
    <m/>
    <m/>
    <m/>
    <m/>
    <m/>
    <m/>
    <m/>
    <m/>
    <m/>
    <m/>
    <m/>
    <m/>
    <m/>
    <m/>
    <m/>
    <m/>
    <m/>
    <m/>
    <x v="0"/>
    <m/>
    <m/>
    <m/>
    <m/>
  </r>
  <r>
    <x v="1"/>
    <x v="4"/>
    <s v="7122/1"/>
    <x v="47"/>
    <s v="ایم سلیمان پاکستان مارکیٹ"/>
    <s v="PP"/>
    <n v="22"/>
    <s v="5-5.5"/>
    <n v="0"/>
    <n v="400"/>
    <s v="PP"/>
    <n v="4"/>
    <n v="117.85000000000001"/>
    <n v="4.8"/>
    <m/>
    <m/>
    <n v="113.05000000000001"/>
    <m/>
    <m/>
    <m/>
    <m/>
    <m/>
    <m/>
    <m/>
    <m/>
    <m/>
    <m/>
    <m/>
    <m/>
    <m/>
    <m/>
    <m/>
    <m/>
    <m/>
    <m/>
    <m/>
    <m/>
    <m/>
    <m/>
    <m/>
    <m/>
    <x v="0"/>
    <m/>
    <m/>
    <m/>
    <m/>
  </r>
  <r>
    <x v="1"/>
    <x v="4"/>
    <s v="13 P"/>
    <x v="47"/>
    <s v="جیلانی پولی سٹاک"/>
    <s v="PP"/>
    <n v="10"/>
    <n v="5"/>
    <n v="0"/>
    <s v="-"/>
    <s v="PP"/>
    <n v="3"/>
    <n v="91.710000000000008"/>
    <n v="3"/>
    <m/>
    <m/>
    <n v="88.710000000000008"/>
    <m/>
    <m/>
    <m/>
    <m/>
    <m/>
    <m/>
    <m/>
    <m/>
    <m/>
    <m/>
    <m/>
    <m/>
    <m/>
    <m/>
    <m/>
    <m/>
    <m/>
    <m/>
    <m/>
    <m/>
    <m/>
    <m/>
    <m/>
    <m/>
    <x v="0"/>
    <m/>
    <m/>
    <m/>
    <m/>
  </r>
  <r>
    <x v="1"/>
    <x v="4"/>
    <s v="7109/4"/>
    <x v="47"/>
    <s v="-"/>
    <s v="-"/>
    <s v="-"/>
    <s v="-"/>
    <s v="-"/>
    <s v="-"/>
    <s v="PP"/>
    <n v="7"/>
    <n v="243.37"/>
    <n v="7"/>
    <m/>
    <m/>
    <n v="236.37"/>
    <m/>
    <m/>
    <m/>
    <m/>
    <m/>
    <m/>
    <m/>
    <m/>
    <m/>
    <m/>
    <m/>
    <m/>
    <m/>
    <m/>
    <m/>
    <m/>
    <m/>
    <m/>
    <m/>
    <m/>
    <m/>
    <m/>
    <m/>
    <m/>
    <x v="0"/>
    <m/>
    <m/>
    <m/>
    <m/>
  </r>
  <r>
    <x v="1"/>
    <x v="4"/>
    <s v="3452 J"/>
    <x v="47"/>
    <s v="Cake and Baker Lahore"/>
    <s v="PP"/>
    <n v="12"/>
    <s v="5.5-6"/>
    <s v="1:1"/>
    <n v="25"/>
    <s v="PP"/>
    <n v="1"/>
    <n v="30.32"/>
    <n v="1.2"/>
    <m/>
    <m/>
    <n v="29.12"/>
    <m/>
    <m/>
    <m/>
    <m/>
    <m/>
    <m/>
    <m/>
    <m/>
    <m/>
    <m/>
    <m/>
    <m/>
    <m/>
    <m/>
    <m/>
    <m/>
    <m/>
    <m/>
    <m/>
    <m/>
    <m/>
    <m/>
    <m/>
    <m/>
    <x v="0"/>
    <m/>
    <m/>
    <m/>
    <m/>
  </r>
  <r>
    <x v="0"/>
    <x v="0"/>
    <s v="4 P"/>
    <x v="48"/>
    <s v="جیلانی پولی سٹاک"/>
    <s v="PP"/>
    <n v="3"/>
    <s v="5.5-6"/>
    <n v="0"/>
    <s v="-"/>
    <s v="PP"/>
    <n v="10"/>
    <n v="149.92999999999998"/>
    <n v="3"/>
    <n v="21.5"/>
    <m/>
    <n v="146.92999999999998"/>
    <m/>
    <m/>
    <m/>
    <m/>
    <m/>
    <m/>
    <m/>
    <m/>
    <m/>
    <m/>
    <m/>
    <m/>
    <m/>
    <m/>
    <m/>
    <m/>
    <m/>
    <m/>
    <m/>
    <m/>
    <m/>
    <m/>
    <m/>
    <m/>
    <x v="0"/>
    <m/>
    <m/>
    <m/>
    <m/>
  </r>
  <r>
    <x v="1"/>
    <x v="0"/>
    <s v="4 P"/>
    <x v="48"/>
    <s v="جیلانی پولی سٹاک"/>
    <s v="PP"/>
    <n v="3"/>
    <s v="5.5-6"/>
    <n v="0"/>
    <s v="-"/>
    <s v="PP"/>
    <n v="10"/>
    <n v="155.49"/>
    <n v="3"/>
    <n v="31.5"/>
    <m/>
    <n v="152.49"/>
    <m/>
    <m/>
    <m/>
    <m/>
    <m/>
    <m/>
    <m/>
    <m/>
    <m/>
    <m/>
    <m/>
    <m/>
    <m/>
    <m/>
    <m/>
    <m/>
    <m/>
    <m/>
    <m/>
    <m/>
    <m/>
    <m/>
    <m/>
    <m/>
    <x v="0"/>
    <m/>
    <m/>
    <m/>
    <m/>
  </r>
  <r>
    <x v="0"/>
    <x v="1"/>
    <s v="2 P"/>
    <x v="48"/>
    <s v="جیلانی پولی سٹاک"/>
    <s v="PP"/>
    <n v="2"/>
    <s v="5.5-6"/>
    <n v="0"/>
    <s v="-"/>
    <s v="PP"/>
    <n v="3"/>
    <n v="30.11"/>
    <n v="0.60000000000000009"/>
    <m/>
    <m/>
    <n v="29.509999999999998"/>
    <m/>
    <m/>
    <m/>
    <m/>
    <m/>
    <m/>
    <m/>
    <m/>
    <m/>
    <m/>
    <m/>
    <m/>
    <m/>
    <m/>
    <m/>
    <m/>
    <m/>
    <m/>
    <m/>
    <m/>
    <m/>
    <m/>
    <m/>
    <m/>
    <x v="0"/>
    <m/>
    <m/>
    <m/>
    <m/>
  </r>
  <r>
    <x v="0"/>
    <x v="1"/>
    <s v="3 P"/>
    <x v="48"/>
    <s v="جیلانی پولی سٹاک"/>
    <s v="PP"/>
    <n v="2.5"/>
    <s v="5.5-6"/>
    <n v="0"/>
    <s v="-"/>
    <s v="PP"/>
    <n v="5"/>
    <n v="90.539999999999992"/>
    <n v="1.25"/>
    <m/>
    <m/>
    <n v="89.289999999999992"/>
    <m/>
    <m/>
    <m/>
    <m/>
    <m/>
    <m/>
    <m/>
    <m/>
    <m/>
    <m/>
    <m/>
    <m/>
    <m/>
    <m/>
    <m/>
    <m/>
    <m/>
    <m/>
    <m/>
    <m/>
    <m/>
    <m/>
    <m/>
    <m/>
    <x v="0"/>
    <m/>
    <m/>
    <m/>
    <m/>
  </r>
  <r>
    <x v="1"/>
    <x v="1"/>
    <s v="3 P"/>
    <x v="48"/>
    <s v="جیلانی پولی سٹاک"/>
    <s v="PP"/>
    <n v="2.5"/>
    <s v="5.5-6"/>
    <n v="0"/>
    <s v="-"/>
    <s v="PP"/>
    <n v="8"/>
    <n v="109.60999999999999"/>
    <n v="2"/>
    <m/>
    <m/>
    <n v="107.60999999999999"/>
    <m/>
    <m/>
    <m/>
    <m/>
    <m/>
    <m/>
    <m/>
    <m/>
    <m/>
    <m/>
    <m/>
    <m/>
    <m/>
    <m/>
    <m/>
    <m/>
    <m/>
    <m/>
    <m/>
    <m/>
    <m/>
    <m/>
    <m/>
    <m/>
    <x v="0"/>
    <m/>
    <m/>
    <m/>
    <m/>
  </r>
  <r>
    <x v="1"/>
    <x v="1"/>
    <s v="7124/1"/>
    <x v="48"/>
    <s v="عبدالرشید اسلام ٓاباد"/>
    <s v="PP"/>
    <n v="5"/>
    <n v="5"/>
    <n v="0"/>
    <n v="150"/>
    <s v="PP"/>
    <n v="2"/>
    <n v="25.169999999999998"/>
    <n v="1"/>
    <m/>
    <m/>
    <n v="24.169999999999998"/>
    <m/>
    <m/>
    <m/>
    <m/>
    <m/>
    <m/>
    <m/>
    <m/>
    <m/>
    <m/>
    <m/>
    <m/>
    <m/>
    <m/>
    <m/>
    <m/>
    <m/>
    <m/>
    <m/>
    <m/>
    <m/>
    <m/>
    <m/>
    <m/>
    <x v="0"/>
    <m/>
    <m/>
    <m/>
    <m/>
  </r>
  <r>
    <x v="0"/>
    <x v="2"/>
    <s v="80 P"/>
    <x v="48"/>
    <s v="جیلانی پولی سٹاک"/>
    <s v="PP"/>
    <s v="8"/>
    <n v="5"/>
    <n v="0"/>
    <s v="-"/>
    <s v="PP"/>
    <n v="8"/>
    <n v="346.73"/>
    <n v="6.4"/>
    <m/>
    <m/>
    <n v="340.33000000000004"/>
    <m/>
    <m/>
    <m/>
    <m/>
    <m/>
    <m/>
    <m/>
    <m/>
    <m/>
    <m/>
    <m/>
    <m/>
    <m/>
    <m/>
    <m/>
    <m/>
    <m/>
    <m/>
    <m/>
    <m/>
    <m/>
    <m/>
    <m/>
    <m/>
    <x v="0"/>
    <m/>
    <m/>
    <m/>
    <m/>
  </r>
  <r>
    <x v="1"/>
    <x v="2"/>
    <s v="11 P"/>
    <x v="48"/>
    <s v="جیلانی پولی سٹاک"/>
    <s v="PP"/>
    <n v="8"/>
    <n v="5"/>
    <n v="0"/>
    <s v="-"/>
    <s v="PP"/>
    <n v="2"/>
    <n v="91.44"/>
    <n v="1.6"/>
    <m/>
    <m/>
    <n v="89.84"/>
    <m/>
    <m/>
    <m/>
    <m/>
    <m/>
    <m/>
    <m/>
    <m/>
    <m/>
    <m/>
    <m/>
    <m/>
    <m/>
    <m/>
    <m/>
    <m/>
    <m/>
    <m/>
    <m/>
    <m/>
    <m/>
    <m/>
    <m/>
    <m/>
    <x v="0"/>
    <m/>
    <m/>
    <m/>
    <m/>
  </r>
  <r>
    <x v="1"/>
    <x v="2"/>
    <s v="7108/2"/>
    <x v="48"/>
    <s v="ایم   دین پنڈی"/>
    <s v="PP"/>
    <n v="9"/>
    <n v="10"/>
    <n v="0"/>
    <n v="325"/>
    <s v="PP"/>
    <n v="9"/>
    <n v="298.33"/>
    <n v="8.1"/>
    <m/>
    <m/>
    <n v="290.22999999999996"/>
    <m/>
    <m/>
    <m/>
    <m/>
    <m/>
    <m/>
    <m/>
    <m/>
    <m/>
    <m/>
    <m/>
    <m/>
    <m/>
    <m/>
    <m/>
    <m/>
    <m/>
    <m/>
    <m/>
    <m/>
    <m/>
    <m/>
    <m/>
    <m/>
    <x v="0"/>
    <m/>
    <m/>
    <m/>
    <m/>
  </r>
  <r>
    <x v="0"/>
    <x v="3"/>
    <s v="3442 J"/>
    <x v="48"/>
    <s v="Jilani Poly Stock"/>
    <s v="PP"/>
    <n v="24"/>
    <s v="5-5.5"/>
    <s v="1:1"/>
    <n v="500"/>
    <s v="PP"/>
    <n v="10"/>
    <n v="567.43000000000006"/>
    <n v="28.57"/>
    <m/>
    <m/>
    <n v="538.86"/>
    <m/>
    <m/>
    <m/>
    <m/>
    <m/>
    <m/>
    <m/>
    <m/>
    <m/>
    <m/>
    <m/>
    <m/>
    <m/>
    <m/>
    <m/>
    <m/>
    <m/>
    <m/>
    <m/>
    <m/>
    <m/>
    <m/>
    <m/>
    <m/>
    <x v="0"/>
    <m/>
    <m/>
    <m/>
    <m/>
  </r>
  <r>
    <x v="0"/>
    <x v="3"/>
    <s v="3438 J"/>
    <x v="48"/>
    <s v="Jilani Poly Stock"/>
    <s v="PP"/>
    <n v="18"/>
    <s v="5-5.5"/>
    <s v="1:1"/>
    <n v="500"/>
    <s v="PP"/>
    <n v="4"/>
    <n v="201.49"/>
    <n v="6.4"/>
    <m/>
    <m/>
    <n v="195.09"/>
    <m/>
    <m/>
    <m/>
    <m/>
    <m/>
    <m/>
    <m/>
    <m/>
    <m/>
    <m/>
    <m/>
    <m/>
    <m/>
    <m/>
    <m/>
    <m/>
    <m/>
    <m/>
    <m/>
    <m/>
    <m/>
    <m/>
    <m/>
    <m/>
    <x v="0"/>
    <m/>
    <m/>
    <m/>
    <m/>
  </r>
  <r>
    <x v="1"/>
    <x v="3"/>
    <s v="3438 J"/>
    <x v="48"/>
    <s v="Jilani Poly Stock"/>
    <s v="PP"/>
    <n v="18"/>
    <s v="5-5.5"/>
    <s v="1:1"/>
    <n v="500"/>
    <s v="PP"/>
    <n v="11"/>
    <n v="554.30999999999995"/>
    <n v="23.1"/>
    <m/>
    <m/>
    <n v="531.20999999999992"/>
    <m/>
    <m/>
    <m/>
    <m/>
    <m/>
    <m/>
    <m/>
    <m/>
    <m/>
    <m/>
    <m/>
    <m/>
    <m/>
    <m/>
    <m/>
    <m/>
    <m/>
    <m/>
    <m/>
    <m/>
    <m/>
    <m/>
    <m/>
    <m/>
    <x v="0"/>
    <m/>
    <m/>
    <m/>
    <m/>
  </r>
  <r>
    <x v="1"/>
    <x v="3"/>
    <s v="3441 J"/>
    <x v="48"/>
    <s v="Jilani Poly Stock"/>
    <s v="PP"/>
    <n v="28"/>
    <s v="5-5.5"/>
    <s v="1:1"/>
    <n v="1000"/>
    <s v="PP"/>
    <n v="4"/>
    <n v="205.56999999999996"/>
    <n v="13.96"/>
    <m/>
    <m/>
    <n v="191.60999999999996"/>
    <m/>
    <m/>
    <m/>
    <m/>
    <m/>
    <m/>
    <m/>
    <m/>
    <m/>
    <m/>
    <m/>
    <m/>
    <m/>
    <m/>
    <m/>
    <m/>
    <m/>
    <m/>
    <m/>
    <m/>
    <m/>
    <m/>
    <m/>
    <m/>
    <x v="0"/>
    <m/>
    <m/>
    <m/>
    <m/>
  </r>
  <r>
    <x v="0"/>
    <x v="4"/>
    <s v="7109/3"/>
    <x v="48"/>
    <s v="ایم   دین پنڈی"/>
    <s v="PP"/>
    <n v="4"/>
    <n v="15"/>
    <n v="0"/>
    <n v="375"/>
    <s v="PP"/>
    <n v="5"/>
    <n v="226.36999999999998"/>
    <n v="6.5500000000000007"/>
    <m/>
    <m/>
    <n v="219.81999999999996"/>
    <m/>
    <m/>
    <m/>
    <m/>
    <m/>
    <m/>
    <m/>
    <m/>
    <m/>
    <m/>
    <m/>
    <m/>
    <m/>
    <m/>
    <m/>
    <m/>
    <m/>
    <m/>
    <m/>
    <m/>
    <m/>
    <m/>
    <m/>
    <m/>
    <x v="0"/>
    <m/>
    <m/>
    <m/>
    <m/>
  </r>
  <r>
    <x v="0"/>
    <x v="4"/>
    <s v="13 P"/>
    <x v="48"/>
    <s v="جیلانی پولی سٹاک"/>
    <s v="PP"/>
    <n v="10"/>
    <n v="5"/>
    <n v="0"/>
    <s v="-"/>
    <s v="PP"/>
    <n v="8"/>
    <n v="400.37"/>
    <n v="10.4"/>
    <m/>
    <m/>
    <n v="389.97"/>
    <m/>
    <m/>
    <m/>
    <m/>
    <m/>
    <m/>
    <m/>
    <m/>
    <m/>
    <m/>
    <m/>
    <m/>
    <m/>
    <m/>
    <m/>
    <m/>
    <m/>
    <m/>
    <m/>
    <m/>
    <m/>
    <m/>
    <m/>
    <m/>
    <x v="0"/>
    <m/>
    <m/>
    <m/>
    <m/>
  </r>
  <r>
    <x v="1"/>
    <x v="4"/>
    <s v="13 P"/>
    <x v="48"/>
    <s v="جیلانی پولی سٹاک"/>
    <s v="PP"/>
    <n v="10"/>
    <n v="5"/>
    <n v="0"/>
    <s v="-"/>
    <s v="PP"/>
    <n v="15"/>
    <n v="615.57000000000005"/>
    <n v="19.5"/>
    <m/>
    <m/>
    <n v="596.07000000000005"/>
    <m/>
    <m/>
    <m/>
    <m/>
    <m/>
    <m/>
    <m/>
    <m/>
    <m/>
    <m/>
    <m/>
    <m/>
    <m/>
    <m/>
    <m/>
    <m/>
    <m/>
    <m/>
    <m/>
    <m/>
    <m/>
    <m/>
    <m/>
    <m/>
    <x v="0"/>
    <m/>
    <m/>
    <m/>
    <m/>
  </r>
  <r>
    <x v="0"/>
    <x v="0"/>
    <s v="4 P"/>
    <x v="49"/>
    <s v="جیلانی پولی سٹاک"/>
    <s v="PP"/>
    <n v="3"/>
    <s v="5.5-6"/>
    <n v="0"/>
    <s v="-"/>
    <s v="PP"/>
    <n v="9"/>
    <n v="144.19"/>
    <n v="2.6999999999999997"/>
    <n v="14"/>
    <m/>
    <n v="141.49"/>
    <m/>
    <m/>
    <m/>
    <m/>
    <m/>
    <m/>
    <m/>
    <m/>
    <m/>
    <m/>
    <m/>
    <m/>
    <m/>
    <m/>
    <m/>
    <m/>
    <m/>
    <m/>
    <m/>
    <m/>
    <m/>
    <m/>
    <m/>
    <m/>
    <x v="0"/>
    <m/>
    <m/>
    <m/>
    <m/>
  </r>
  <r>
    <x v="1"/>
    <x v="0"/>
    <s v="4 P"/>
    <x v="49"/>
    <s v="جیلانی پولی سٹاک"/>
    <s v="PP"/>
    <n v="3"/>
    <s v="5.5-6"/>
    <n v="0"/>
    <s v="-"/>
    <s v="PP"/>
    <n v="8"/>
    <n v="117.70000000000002"/>
    <n v="2.4"/>
    <n v="28"/>
    <m/>
    <n v="115.30000000000001"/>
    <m/>
    <m/>
    <m/>
    <m/>
    <m/>
    <m/>
    <m/>
    <m/>
    <m/>
    <m/>
    <m/>
    <m/>
    <m/>
    <m/>
    <m/>
    <m/>
    <m/>
    <m/>
    <m/>
    <m/>
    <m/>
    <m/>
    <m/>
    <m/>
    <x v="0"/>
    <m/>
    <m/>
    <m/>
    <m/>
  </r>
  <r>
    <x v="0"/>
    <x v="1"/>
    <s v="8 P"/>
    <x v="49"/>
    <s v="جیلانی پولی سٹاک"/>
    <s v="PP"/>
    <n v="5"/>
    <s v="5.5-6"/>
    <n v="0"/>
    <s v="-"/>
    <s v="PP"/>
    <n v="4"/>
    <n v="67.34"/>
    <m/>
    <m/>
    <m/>
    <n v="67.34"/>
    <m/>
    <m/>
    <m/>
    <m/>
    <m/>
    <m/>
    <m/>
    <m/>
    <m/>
    <m/>
    <m/>
    <m/>
    <m/>
    <m/>
    <m/>
    <m/>
    <m/>
    <m/>
    <m/>
    <m/>
    <m/>
    <m/>
    <m/>
    <m/>
    <x v="0"/>
    <m/>
    <m/>
    <m/>
    <m/>
  </r>
  <r>
    <x v="1"/>
    <x v="1"/>
    <s v="8 P"/>
    <x v="49"/>
    <s v="جیلانی پولی سٹاک"/>
    <s v="PP"/>
    <n v="5"/>
    <s v="5.5-6"/>
    <n v="0"/>
    <s v="-"/>
    <s v="PP"/>
    <n v="8"/>
    <n v="142.30000000000001"/>
    <m/>
    <m/>
    <m/>
    <n v="142.30000000000001"/>
    <m/>
    <m/>
    <m/>
    <m/>
    <m/>
    <m/>
    <m/>
    <m/>
    <m/>
    <m/>
    <m/>
    <m/>
    <m/>
    <m/>
    <m/>
    <m/>
    <m/>
    <m/>
    <m/>
    <m/>
    <m/>
    <m/>
    <m/>
    <m/>
    <x v="0"/>
    <m/>
    <m/>
    <m/>
    <m/>
  </r>
  <r>
    <x v="0"/>
    <x v="2"/>
    <s v="7108/2"/>
    <x v="49"/>
    <s v="ایم   دین پنڈی"/>
    <s v="PP"/>
    <n v="9"/>
    <n v="10"/>
    <n v="0"/>
    <n v="325"/>
    <s v="PP"/>
    <n v="3"/>
    <n v="115.98"/>
    <m/>
    <m/>
    <m/>
    <n v="115.98"/>
    <m/>
    <m/>
    <m/>
    <m/>
    <m/>
    <m/>
    <m/>
    <m/>
    <m/>
    <m/>
    <m/>
    <m/>
    <m/>
    <m/>
    <m/>
    <m/>
    <m/>
    <m/>
    <m/>
    <m/>
    <m/>
    <m/>
    <m/>
    <m/>
    <x v="0"/>
    <m/>
    <m/>
    <m/>
    <m/>
  </r>
  <r>
    <x v="0"/>
    <x v="2"/>
    <s v="12 P"/>
    <x v="49"/>
    <s v="جیلانی پولی سٹاک"/>
    <s v="PP"/>
    <n v="9"/>
    <n v="5"/>
    <n v="0"/>
    <s v="-"/>
    <s v="PP"/>
    <n v="4"/>
    <n v="195.00999999999996"/>
    <m/>
    <m/>
    <m/>
    <n v="195.00999999999996"/>
    <m/>
    <m/>
    <m/>
    <m/>
    <m/>
    <m/>
    <m/>
    <m/>
    <m/>
    <m/>
    <m/>
    <m/>
    <m/>
    <m/>
    <m/>
    <m/>
    <m/>
    <m/>
    <m/>
    <m/>
    <m/>
    <m/>
    <m/>
    <m/>
    <x v="0"/>
    <m/>
    <m/>
    <m/>
    <m/>
  </r>
  <r>
    <x v="1"/>
    <x v="2"/>
    <s v="12 P"/>
    <x v="49"/>
    <s v="جیلانی پولی سٹاک"/>
    <s v="PP"/>
    <n v="9"/>
    <n v="5"/>
    <n v="0"/>
    <s v="-"/>
    <s v="PP"/>
    <n v="1"/>
    <n v="43.21"/>
    <m/>
    <m/>
    <m/>
    <n v="43.21"/>
    <m/>
    <m/>
    <m/>
    <m/>
    <m/>
    <m/>
    <m/>
    <m/>
    <m/>
    <m/>
    <m/>
    <m/>
    <m/>
    <m/>
    <m/>
    <m/>
    <m/>
    <m/>
    <m/>
    <m/>
    <m/>
    <m/>
    <m/>
    <m/>
    <x v="0"/>
    <m/>
    <m/>
    <m/>
    <m/>
  </r>
  <r>
    <x v="0"/>
    <x v="3"/>
    <s v="3441 J"/>
    <x v="49"/>
    <s v="Jilani Poly Stock"/>
    <s v="PP"/>
    <n v="28"/>
    <s v="5-5.5"/>
    <s v="1:1"/>
    <n v="1000"/>
    <s v="PP"/>
    <n v="14"/>
    <n v="769.53000000000009"/>
    <m/>
    <m/>
    <m/>
    <n v="769.53000000000009"/>
    <m/>
    <m/>
    <m/>
    <m/>
    <m/>
    <m/>
    <m/>
    <m/>
    <m/>
    <m/>
    <m/>
    <m/>
    <m/>
    <m/>
    <m/>
    <m/>
    <m/>
    <m/>
    <m/>
    <m/>
    <m/>
    <m/>
    <m/>
    <m/>
    <x v="0"/>
    <m/>
    <m/>
    <m/>
    <m/>
  </r>
  <r>
    <x v="1"/>
    <x v="3"/>
    <s v="3441 J"/>
    <x v="49"/>
    <s v="Jilani Poly Stock"/>
    <s v="PP"/>
    <n v="28"/>
    <s v="5-5.5"/>
    <s v="1:1"/>
    <n v="1000"/>
    <s v="PP"/>
    <n v="2"/>
    <n v="135.6"/>
    <m/>
    <m/>
    <m/>
    <n v="135.6"/>
    <m/>
    <m/>
    <m/>
    <m/>
    <m/>
    <m/>
    <m/>
    <m/>
    <m/>
    <m/>
    <m/>
    <m/>
    <m/>
    <m/>
    <m/>
    <m/>
    <m/>
    <m/>
    <m/>
    <m/>
    <m/>
    <m/>
    <m/>
    <m/>
    <x v="0"/>
    <m/>
    <m/>
    <m/>
    <m/>
  </r>
  <r>
    <x v="1"/>
    <x v="3"/>
    <s v="3312 J"/>
    <x v="49"/>
    <s v="M.K.B Peshawar"/>
    <s v="PP"/>
    <n v="20"/>
    <s v="6-6.5"/>
    <s v="پیور"/>
    <n v="200"/>
    <s v="PP"/>
    <n v="10"/>
    <n v="524.99"/>
    <m/>
    <m/>
    <m/>
    <n v="524.99"/>
    <m/>
    <m/>
    <m/>
    <m/>
    <m/>
    <m/>
    <m/>
    <m/>
    <m/>
    <m/>
    <m/>
    <m/>
    <m/>
    <m/>
    <m/>
    <m/>
    <m/>
    <m/>
    <m/>
    <m/>
    <m/>
    <m/>
    <m/>
    <m/>
    <x v="0"/>
    <m/>
    <m/>
    <m/>
    <m/>
  </r>
  <r>
    <x v="0"/>
    <x v="4"/>
    <s v="13 P"/>
    <x v="49"/>
    <s v="جیلانی پولی سٹاک"/>
    <s v="PP"/>
    <n v="10"/>
    <n v="5"/>
    <n v="0"/>
    <s v="-"/>
    <s v="PP"/>
    <n v="10"/>
    <n v="448.78"/>
    <m/>
    <m/>
    <m/>
    <n v="448.78"/>
    <m/>
    <m/>
    <m/>
    <m/>
    <m/>
    <m/>
    <m/>
    <m/>
    <m/>
    <m/>
    <m/>
    <m/>
    <m/>
    <m/>
    <m/>
    <m/>
    <m/>
    <m/>
    <m/>
    <m/>
    <m/>
    <m/>
    <m/>
    <m/>
    <x v="0"/>
    <m/>
    <m/>
    <m/>
    <m/>
  </r>
  <r>
    <x v="0"/>
    <x v="4"/>
    <s v="7097/2"/>
    <x v="49"/>
    <s v="امارت پلاسٹک چوہنگ"/>
    <s v="PP"/>
    <n v="10"/>
    <s v="4-4.5"/>
    <n v="0"/>
    <n v="100"/>
    <s v="PP"/>
    <n v="2"/>
    <n v="65.23"/>
    <m/>
    <m/>
    <m/>
    <n v="65.23"/>
    <m/>
    <m/>
    <m/>
    <m/>
    <m/>
    <m/>
    <m/>
    <m/>
    <m/>
    <m/>
    <m/>
    <m/>
    <m/>
    <m/>
    <m/>
    <m/>
    <m/>
    <m/>
    <m/>
    <m/>
    <m/>
    <m/>
    <m/>
    <m/>
    <x v="0"/>
    <m/>
    <m/>
    <m/>
    <m/>
  </r>
  <r>
    <x v="1"/>
    <x v="4"/>
    <s v="18 P"/>
    <x v="49"/>
    <s v="جیلانی پولی سٹاک"/>
    <s v="PP"/>
    <n v="15"/>
    <n v="5"/>
    <n v="0"/>
    <s v="-"/>
    <s v="PP"/>
    <n v="9"/>
    <n v="384.6"/>
    <m/>
    <m/>
    <m/>
    <n v="384.6"/>
    <m/>
    <m/>
    <m/>
    <m/>
    <m/>
    <m/>
    <m/>
    <m/>
    <m/>
    <m/>
    <m/>
    <m/>
    <m/>
    <m/>
    <m/>
    <m/>
    <m/>
    <m/>
    <m/>
    <m/>
    <m/>
    <m/>
    <m/>
    <m/>
    <x v="0"/>
    <m/>
    <m/>
    <m/>
    <m/>
  </r>
  <r>
    <x v="1"/>
    <x v="4"/>
    <s v="7097/2"/>
    <x v="49"/>
    <s v="امارت پلاسٹک چوہنگ"/>
    <s v="PP"/>
    <n v="10"/>
    <s v="4-4.5"/>
    <n v="0"/>
    <n v="100"/>
    <s v="PP"/>
    <n v="2"/>
    <n v="56.97"/>
    <m/>
    <m/>
    <m/>
    <n v="56.97"/>
    <m/>
    <m/>
    <m/>
    <m/>
    <m/>
    <m/>
    <m/>
    <m/>
    <m/>
    <m/>
    <m/>
    <m/>
    <m/>
    <m/>
    <m/>
    <m/>
    <m/>
    <m/>
    <m/>
    <m/>
    <m/>
    <m/>
    <m/>
    <m/>
    <x v="0"/>
    <m/>
    <m/>
    <m/>
    <m/>
  </r>
  <r>
    <x v="0"/>
    <x v="0"/>
    <s v="4 P"/>
    <x v="50"/>
    <s v="جیلانی پولی سٹاک"/>
    <s v="PP"/>
    <n v="3"/>
    <s v="5.5-6"/>
    <n v="0"/>
    <s v="-"/>
    <s v="PP"/>
    <n v="9"/>
    <n v="111.31"/>
    <n v="2.6999999999999997"/>
    <n v="51"/>
    <m/>
    <n v="108.61"/>
    <m/>
    <m/>
    <m/>
    <m/>
    <m/>
    <m/>
    <m/>
    <m/>
    <m/>
    <m/>
    <m/>
    <m/>
    <m/>
    <m/>
    <m/>
    <m/>
    <m/>
    <m/>
    <m/>
    <m/>
    <m/>
    <m/>
    <m/>
    <m/>
    <x v="0"/>
    <m/>
    <m/>
    <m/>
    <m/>
  </r>
  <r>
    <x v="1"/>
    <x v="0"/>
    <s v="4 P"/>
    <x v="50"/>
    <s v="جیلانی پولی سٹاک"/>
    <s v="PP"/>
    <n v="3"/>
    <s v="5.5-6"/>
    <n v="0"/>
    <s v="-"/>
    <s v="PP"/>
    <n v="2"/>
    <n v="34.03"/>
    <n v="0.6"/>
    <n v="16"/>
    <m/>
    <n v="33.43"/>
    <m/>
    <m/>
    <m/>
    <m/>
    <m/>
    <m/>
    <m/>
    <m/>
    <m/>
    <m/>
    <m/>
    <m/>
    <m/>
    <m/>
    <m/>
    <m/>
    <m/>
    <m/>
    <m/>
    <m/>
    <m/>
    <m/>
    <m/>
    <m/>
    <x v="0"/>
    <m/>
    <m/>
    <m/>
    <m/>
  </r>
  <r>
    <x v="1"/>
    <x v="0"/>
    <s v="6 P"/>
    <x v="50"/>
    <s v="جیلانی پولی سٹاک"/>
    <s v="PP"/>
    <n v="4"/>
    <s v="5.5-6"/>
    <n v="0"/>
    <s v="-"/>
    <s v="PP"/>
    <n v="3"/>
    <n v="58.76"/>
    <n v="1.2000000000000002"/>
    <m/>
    <m/>
    <n v="57.559999999999995"/>
    <m/>
    <m/>
    <m/>
    <m/>
    <m/>
    <m/>
    <m/>
    <m/>
    <m/>
    <m/>
    <m/>
    <m/>
    <m/>
    <m/>
    <m/>
    <m/>
    <m/>
    <m/>
    <m/>
    <m/>
    <m/>
    <m/>
    <m/>
    <m/>
    <x v="0"/>
    <m/>
    <m/>
    <m/>
    <m/>
  </r>
  <r>
    <x v="1"/>
    <x v="0"/>
    <s v="6 P"/>
    <x v="50"/>
    <s v="جیلانی پولی سٹاک"/>
    <s v="PP"/>
    <n v="4"/>
    <s v="5.5-6"/>
    <n v="0"/>
    <s v="-"/>
    <s v="PP"/>
    <n v="4"/>
    <n v="69.53"/>
    <n v="1.6"/>
    <m/>
    <m/>
    <n v="67.930000000000007"/>
    <m/>
    <m/>
    <m/>
    <m/>
    <m/>
    <m/>
    <m/>
    <m/>
    <m/>
    <m/>
    <m/>
    <m/>
    <m/>
    <m/>
    <m/>
    <m/>
    <m/>
    <m/>
    <m/>
    <m/>
    <m/>
    <m/>
    <m/>
    <m/>
    <x v="0"/>
    <m/>
    <m/>
    <m/>
    <m/>
  </r>
  <r>
    <x v="0"/>
    <x v="1"/>
    <s v="8 P"/>
    <x v="50"/>
    <s v="جیلانی پولی سٹاک"/>
    <s v="PP"/>
    <n v="5"/>
    <s v="5.5-6"/>
    <n v="0"/>
    <s v="-"/>
    <s v="PP"/>
    <n v="7"/>
    <n v="132.35"/>
    <n v="3.5"/>
    <m/>
    <m/>
    <n v="128.85"/>
    <m/>
    <m/>
    <m/>
    <m/>
    <m/>
    <m/>
    <m/>
    <m/>
    <m/>
    <m/>
    <m/>
    <m/>
    <m/>
    <m/>
    <m/>
    <m/>
    <m/>
    <m/>
    <m/>
    <m/>
    <m/>
    <m/>
    <m/>
    <m/>
    <x v="0"/>
    <m/>
    <m/>
    <m/>
    <m/>
  </r>
  <r>
    <x v="1"/>
    <x v="1"/>
    <s v="8 P"/>
    <x v="50"/>
    <s v="جیلانی پولی سٹاک"/>
    <s v="PP"/>
    <n v="5"/>
    <s v="5.5-6"/>
    <n v="0"/>
    <s v="-"/>
    <s v="PP"/>
    <n v="9"/>
    <n v="193.58999999999997"/>
    <n v="4.5"/>
    <m/>
    <m/>
    <n v="189.08999999999997"/>
    <m/>
    <m/>
    <m/>
    <m/>
    <m/>
    <m/>
    <m/>
    <m/>
    <m/>
    <m/>
    <m/>
    <m/>
    <m/>
    <m/>
    <m/>
    <m/>
    <m/>
    <m/>
    <m/>
    <m/>
    <m/>
    <m/>
    <m/>
    <m/>
    <x v="0"/>
    <m/>
    <m/>
    <m/>
    <m/>
  </r>
  <r>
    <x v="0"/>
    <x v="3"/>
    <s v="12 P"/>
    <x v="50"/>
    <s v="جیلانی پولی سٹاک"/>
    <s v="PP"/>
    <n v="9"/>
    <n v="5"/>
    <n v="0"/>
    <s v="-"/>
    <s v="PP"/>
    <n v="4"/>
    <n v="121.75"/>
    <n v="3.6"/>
    <m/>
    <m/>
    <n v="118.15"/>
    <m/>
    <m/>
    <m/>
    <m/>
    <m/>
    <m/>
    <m/>
    <m/>
    <m/>
    <m/>
    <m/>
    <m/>
    <m/>
    <m/>
    <m/>
    <m/>
    <m/>
    <m/>
    <m/>
    <m/>
    <m/>
    <m/>
    <m/>
    <m/>
    <x v="0"/>
    <m/>
    <m/>
    <m/>
    <m/>
  </r>
  <r>
    <x v="1"/>
    <x v="3"/>
    <s v="12 P"/>
    <x v="50"/>
    <s v="جیلانی پولی سٹاک"/>
    <s v="PP"/>
    <n v="9"/>
    <n v="5"/>
    <n v="0"/>
    <s v="-"/>
    <s v="PP"/>
    <n v="7"/>
    <n v="284.55"/>
    <n v="8.6"/>
    <m/>
    <m/>
    <n v="275.95"/>
    <m/>
    <m/>
    <m/>
    <m/>
    <m/>
    <m/>
    <m/>
    <m/>
    <m/>
    <m/>
    <m/>
    <m/>
    <m/>
    <m/>
    <m/>
    <m/>
    <m/>
    <m/>
    <m/>
    <m/>
    <m/>
    <m/>
    <m/>
    <m/>
    <x v="0"/>
    <m/>
    <m/>
    <m/>
    <m/>
  </r>
  <r>
    <x v="0"/>
    <x v="4"/>
    <s v="3490 J"/>
    <x v="50"/>
    <s v="امارات پلاسٹک ٹھوکر نیاز بیگ"/>
    <s v="PP"/>
    <n v="14"/>
    <s v="5-5.5"/>
    <s v=".1:1"/>
    <n v="125"/>
    <s v="PP"/>
    <n v="10"/>
    <n v="443.54"/>
    <n v="18"/>
    <m/>
    <m/>
    <n v="425.54"/>
    <m/>
    <m/>
    <m/>
    <m/>
    <m/>
    <m/>
    <m/>
    <m/>
    <m/>
    <m/>
    <m/>
    <m/>
    <m/>
    <m/>
    <m/>
    <m/>
    <m/>
    <m/>
    <m/>
    <m/>
    <m/>
    <m/>
    <m/>
    <m/>
    <x v="0"/>
    <m/>
    <m/>
    <m/>
    <m/>
  </r>
  <r>
    <x v="1"/>
    <x v="4"/>
    <s v="3490 J"/>
    <x v="50"/>
    <s v="امارات پلاسٹک ٹھوکر نیاز بیگ"/>
    <s v="PP"/>
    <n v="14"/>
    <s v="5-5.5"/>
    <s v=".1:1"/>
    <n v="125"/>
    <s v="PP"/>
    <n v="3"/>
    <n v="164.42000000000002"/>
    <n v="5.35"/>
    <m/>
    <m/>
    <n v="159.07000000000002"/>
    <m/>
    <m/>
    <m/>
    <m/>
    <m/>
    <m/>
    <m/>
    <m/>
    <m/>
    <m/>
    <m/>
    <m/>
    <m/>
    <m/>
    <m/>
    <m/>
    <m/>
    <m/>
    <m/>
    <m/>
    <m/>
    <m/>
    <m/>
    <m/>
    <x v="0"/>
    <m/>
    <m/>
    <m/>
    <m/>
  </r>
  <r>
    <x v="1"/>
    <x v="4"/>
    <s v="15 P"/>
    <x v="50"/>
    <s v="جیلانی پولی سٹاک"/>
    <s v="PP"/>
    <n v="12"/>
    <n v="5"/>
    <n v="0"/>
    <s v="-"/>
    <s v="PP"/>
    <n v="9"/>
    <n v="448.32"/>
    <n v="12.899999999999999"/>
    <m/>
    <m/>
    <n v="435.42"/>
    <m/>
    <m/>
    <m/>
    <m/>
    <n v="0"/>
    <n v="1"/>
    <m/>
    <m/>
    <m/>
    <m/>
    <m/>
    <m/>
    <m/>
    <m/>
    <n v="0"/>
    <n v="50"/>
    <n v="51"/>
    <n v="-39"/>
    <n v="12"/>
    <m/>
    <m/>
    <n v="0"/>
    <m/>
    <m/>
    <x v="1"/>
    <m/>
    <m/>
    <m/>
    <m/>
  </r>
  <r>
    <x v="0"/>
    <x v="0"/>
    <s v="6 P"/>
    <x v="51"/>
    <s v="جیلانی پولی سٹاک"/>
    <s v="PP"/>
    <n v="4"/>
    <s v="5.5-6"/>
    <n v="0"/>
    <s v="-"/>
    <s v="PP"/>
    <n v="5"/>
    <n v="86.64"/>
    <n v="2"/>
    <m/>
    <m/>
    <n v="84.64"/>
    <m/>
    <n v="20"/>
    <m/>
    <m/>
    <n v="20"/>
    <n v="0.33333333333333331"/>
    <m/>
    <m/>
    <m/>
    <m/>
    <m/>
    <m/>
    <m/>
    <m/>
    <n v="0"/>
    <n v="0"/>
    <n v="0.33333333333333331"/>
    <n v="11.666666666666666"/>
    <n v="12"/>
    <m/>
    <m/>
    <n v="0"/>
    <n v="1300"/>
    <m/>
    <x v="1"/>
    <m/>
    <m/>
    <m/>
    <m/>
  </r>
  <r>
    <x v="0"/>
    <x v="0"/>
    <s v="4 P"/>
    <x v="51"/>
    <s v="جیلانی پولی سٹاک"/>
    <s v="PP"/>
    <n v="3"/>
    <s v="5.5-6"/>
    <n v="0"/>
    <s v="-"/>
    <s v="PP"/>
    <n v="4"/>
    <n v="57.62"/>
    <n v="4"/>
    <n v="3"/>
    <m/>
    <n v="53.62"/>
    <m/>
    <m/>
    <m/>
    <m/>
    <n v="0"/>
    <n v="0"/>
    <m/>
    <m/>
    <m/>
    <m/>
    <m/>
    <m/>
    <m/>
    <m/>
    <n v="0"/>
    <n v="0"/>
    <n v="0"/>
    <n v="12"/>
    <n v="12"/>
    <m/>
    <m/>
    <n v="0"/>
    <m/>
    <m/>
    <x v="1"/>
    <m/>
    <m/>
    <m/>
    <m/>
  </r>
  <r>
    <x v="1"/>
    <x v="0"/>
    <s v="4 P"/>
    <x v="51"/>
    <s v="جیلانی پولی سٹاک"/>
    <s v="PP"/>
    <n v="3"/>
    <s v="5.5-6"/>
    <n v="0"/>
    <s v="-"/>
    <s v="PP"/>
    <n v="7"/>
    <n v="142.06"/>
    <n v="2.1"/>
    <m/>
    <m/>
    <n v="139.96"/>
    <m/>
    <m/>
    <m/>
    <m/>
    <n v="0"/>
    <n v="0"/>
    <m/>
    <m/>
    <m/>
    <m/>
    <m/>
    <m/>
    <m/>
    <m/>
    <n v="0"/>
    <n v="0"/>
    <n v="0"/>
    <n v="12"/>
    <n v="12"/>
    <m/>
    <m/>
    <n v="0"/>
    <n v="1800"/>
    <m/>
    <x v="1"/>
    <m/>
    <m/>
    <m/>
    <m/>
  </r>
  <r>
    <x v="0"/>
    <x v="1"/>
    <s v="7124/1"/>
    <x v="51"/>
    <s v="عبدالرشید اسلام ٓاباد"/>
    <s v="PP"/>
    <n v="5"/>
    <n v="5"/>
    <n v="0"/>
    <n v="150"/>
    <s v="PP"/>
    <n v="11"/>
    <n v="205.49999999999997"/>
    <n v="5.5"/>
    <m/>
    <m/>
    <n v="199.99999999999997"/>
    <m/>
    <m/>
    <m/>
    <m/>
    <n v="0"/>
    <n v="0"/>
    <m/>
    <m/>
    <m/>
    <m/>
    <m/>
    <m/>
    <m/>
    <m/>
    <n v="0"/>
    <n v="0"/>
    <n v="0"/>
    <n v="12"/>
    <n v="12"/>
    <m/>
    <m/>
    <n v="0"/>
    <m/>
    <m/>
    <x v="1"/>
    <m/>
    <m/>
    <m/>
    <m/>
  </r>
  <r>
    <x v="1"/>
    <x v="1"/>
    <s v="8 P"/>
    <x v="51"/>
    <s v="جیلانی پولی سٹاک"/>
    <s v="PP"/>
    <n v="5"/>
    <s v="5.5-6"/>
    <n v="0"/>
    <s v="-"/>
    <s v="PP"/>
    <n v="10"/>
    <n v="194.99"/>
    <n v="5"/>
    <m/>
    <m/>
    <n v="189.99"/>
    <m/>
    <m/>
    <m/>
    <m/>
    <n v="0"/>
    <n v="0"/>
    <m/>
    <m/>
    <m/>
    <m/>
    <m/>
    <m/>
    <m/>
    <m/>
    <n v="0"/>
    <n v="0"/>
    <n v="0"/>
    <n v="12"/>
    <n v="12"/>
    <m/>
    <m/>
    <n v="0"/>
    <m/>
    <m/>
    <x v="1"/>
    <m/>
    <m/>
    <m/>
    <m/>
  </r>
  <r>
    <x v="0"/>
    <x v="2"/>
    <m/>
    <x v="51"/>
    <s v="-"/>
    <s v="-"/>
    <s v="-"/>
    <s v="-"/>
    <s v="-"/>
    <s v="-"/>
    <s v="PP"/>
    <n v="7"/>
    <n v="275.95"/>
    <m/>
    <n v="9"/>
    <m/>
    <n v="275.95"/>
    <m/>
    <m/>
    <m/>
    <m/>
    <n v="0"/>
    <n v="0"/>
    <m/>
    <m/>
    <n v="20"/>
    <m/>
    <m/>
    <m/>
    <m/>
    <m/>
    <n v="20"/>
    <n v="0.33333333333333331"/>
    <n v="0.33333333333333331"/>
    <n v="11.666666666666666"/>
    <n v="12"/>
    <m/>
    <m/>
    <n v="0"/>
    <m/>
    <m/>
    <x v="1"/>
    <m/>
    <m/>
    <m/>
    <m/>
  </r>
  <r>
    <x v="0"/>
    <x v="2"/>
    <s v="10 P"/>
    <x v="51"/>
    <s v="جیلانی پولی سٹاک"/>
    <s v="PP"/>
    <n v="7"/>
    <n v="5"/>
    <n v="0"/>
    <s v="-"/>
    <s v="PP"/>
    <n v="2"/>
    <n v="51.96"/>
    <n v="1.4"/>
    <m/>
    <m/>
    <n v="50.56"/>
    <m/>
    <m/>
    <m/>
    <m/>
    <n v="0"/>
    <n v="0"/>
    <m/>
    <m/>
    <m/>
    <m/>
    <m/>
    <m/>
    <m/>
    <m/>
    <n v="0"/>
    <n v="0"/>
    <n v="0"/>
    <n v="12"/>
    <n v="12"/>
    <m/>
    <m/>
    <n v="0"/>
    <m/>
    <m/>
    <x v="1"/>
    <m/>
    <m/>
    <m/>
    <m/>
  </r>
  <r>
    <x v="1"/>
    <x v="2"/>
    <s v="10 P"/>
    <x v="51"/>
    <s v="جیلانی پولی سٹاک"/>
    <s v="PP"/>
    <n v="7"/>
    <n v="5"/>
    <n v="0"/>
    <s v="-"/>
    <s v="PP"/>
    <n v="10"/>
    <n v="342.06000000000006"/>
    <n v="7.3000000000000007"/>
    <n v="7"/>
    <m/>
    <n v="334.76000000000005"/>
    <m/>
    <m/>
    <m/>
    <m/>
    <n v="0"/>
    <n v="0"/>
    <m/>
    <m/>
    <n v="20"/>
    <m/>
    <m/>
    <m/>
    <m/>
    <m/>
    <n v="20"/>
    <n v="0.33333333333333331"/>
    <n v="0.33333333333333331"/>
    <n v="11.666666666666666"/>
    <n v="12"/>
    <m/>
    <m/>
    <n v="0"/>
    <m/>
    <m/>
    <x v="1"/>
    <m/>
    <m/>
    <m/>
    <m/>
  </r>
  <r>
    <x v="1"/>
    <x v="3"/>
    <s v="3445 J"/>
    <x v="51"/>
    <s v="Cake and Baker Lahore"/>
    <s v="PP"/>
    <n v="17"/>
    <s v="7-7.5/14-15"/>
    <s v="1:1"/>
    <n v="50"/>
    <s v="PP"/>
    <n v="4"/>
    <n v="199.61"/>
    <n v="8.6700000000000017"/>
    <m/>
    <m/>
    <n v="190.94"/>
    <m/>
    <m/>
    <m/>
    <m/>
    <n v="0"/>
    <n v="0"/>
    <m/>
    <m/>
    <m/>
    <m/>
    <m/>
    <m/>
    <m/>
    <m/>
    <n v="0"/>
    <n v="0"/>
    <n v="0"/>
    <n v="12"/>
    <n v="12"/>
    <m/>
    <m/>
    <n v="0"/>
    <m/>
    <m/>
    <x v="1"/>
    <m/>
    <m/>
    <m/>
    <m/>
  </r>
  <r>
    <x v="1"/>
    <x v="3"/>
    <s v="3487 J"/>
    <x v="51"/>
    <s v="امارات پلاسٹک ٹھوکر نیاز بیگ"/>
    <s v="PP"/>
    <n v="18"/>
    <s v="5-5.5"/>
    <s v=".1:1"/>
    <n v="300"/>
    <s v="PP"/>
    <n v="2"/>
    <n v="106.02"/>
    <n v="2.2000000000000002"/>
    <n v="12"/>
    <m/>
    <n v="103.82"/>
    <m/>
    <m/>
    <m/>
    <n v="460"/>
    <n v="460"/>
    <n v="7.666666666666667"/>
    <m/>
    <n v="10"/>
    <m/>
    <m/>
    <m/>
    <m/>
    <n v="40"/>
    <m/>
    <n v="50"/>
    <n v="0.83333333333333348"/>
    <n v="8.5"/>
    <n v="3.5"/>
    <n v="12"/>
    <m/>
    <m/>
    <n v="0"/>
    <m/>
    <m/>
    <x v="1"/>
    <m/>
    <m/>
    <m/>
    <m/>
  </r>
  <r>
    <x v="0"/>
    <x v="4"/>
    <s v="15 P"/>
    <x v="51"/>
    <s v="جیلانی پولی سٹاک"/>
    <s v="PP"/>
    <n v="12"/>
    <n v="5"/>
    <n v="0"/>
    <s v="-"/>
    <s v="PP"/>
    <n v="13"/>
    <n v="612.72"/>
    <n v="18.46"/>
    <n v="8"/>
    <m/>
    <n v="594.26"/>
    <m/>
    <m/>
    <m/>
    <m/>
    <n v="0"/>
    <n v="0"/>
    <m/>
    <n v="20"/>
    <m/>
    <m/>
    <m/>
    <m/>
    <m/>
    <m/>
    <n v="20"/>
    <n v="0.33333333333333331"/>
    <n v="0.33333333333333331"/>
    <n v="11.666666666666666"/>
    <n v="12"/>
    <m/>
    <m/>
    <n v="0"/>
    <m/>
    <m/>
    <x v="1"/>
    <m/>
    <m/>
    <m/>
    <m/>
  </r>
  <r>
    <x v="1"/>
    <x v="4"/>
    <s v="15 P"/>
    <x v="51"/>
    <s v="جیلانی پولی سٹاک"/>
    <s v="PP"/>
    <n v="12"/>
    <n v="5"/>
    <n v="0"/>
    <s v="-"/>
    <s v="PP"/>
    <n v="3"/>
    <n v="201.89"/>
    <n v="4.2699999999999996"/>
    <m/>
    <m/>
    <n v="197.61999999999998"/>
    <m/>
    <m/>
    <m/>
    <m/>
    <n v="0"/>
    <n v="0"/>
    <m/>
    <n v="20"/>
    <n v="30"/>
    <m/>
    <m/>
    <m/>
    <m/>
    <m/>
    <n v="50"/>
    <n v="0.83333333333333348"/>
    <n v="0.83333333333333348"/>
    <n v="11.166666666666666"/>
    <n v="12"/>
    <m/>
    <m/>
    <n v="0"/>
    <m/>
    <m/>
    <x v="1"/>
    <m/>
    <m/>
    <m/>
    <m/>
  </r>
  <r>
    <x v="1"/>
    <x v="4"/>
    <s v="13 P"/>
    <x v="51"/>
    <s v="جیلانی پولی سٹاک"/>
    <s v="PP"/>
    <n v="10"/>
    <n v="5"/>
    <n v="0"/>
    <s v="-"/>
    <s v="PP"/>
    <n v="7"/>
    <n v="358.52000000000004"/>
    <n v="8.75"/>
    <n v="5"/>
    <m/>
    <n v="349.77000000000004"/>
    <m/>
    <m/>
    <m/>
    <m/>
    <n v="0"/>
    <n v="0"/>
    <m/>
    <m/>
    <m/>
    <m/>
    <m/>
    <m/>
    <m/>
    <m/>
    <n v="0"/>
    <n v="0"/>
    <n v="0"/>
    <n v="12"/>
    <n v="12"/>
    <m/>
    <m/>
    <n v="0"/>
    <m/>
    <m/>
    <x v="1"/>
    <m/>
    <m/>
    <m/>
    <m/>
  </r>
  <r>
    <x v="0"/>
    <x v="0"/>
    <s v="7125/2"/>
    <x v="52"/>
    <s v="نزیرپلاسٹک ملتان"/>
    <s v="PP"/>
    <n v="3"/>
    <n v="5"/>
    <n v="0"/>
    <n v="50"/>
    <s v="PP"/>
    <n v="10"/>
    <n v="129.30000000000001"/>
    <n v="3"/>
    <n v="15"/>
    <m/>
    <n v="126.30000000000001"/>
    <m/>
    <m/>
    <m/>
    <m/>
    <n v="0"/>
    <n v="0"/>
    <m/>
    <m/>
    <m/>
    <n v="20"/>
    <m/>
    <m/>
    <m/>
    <m/>
    <n v="20"/>
    <n v="0.33333333333333331"/>
    <n v="0.33333333333333331"/>
    <n v="11.666666666666666"/>
    <n v="12"/>
    <m/>
    <n v="2086"/>
    <n v="0"/>
    <n v="1800"/>
    <m/>
    <x v="1"/>
    <m/>
    <m/>
    <m/>
    <m/>
  </r>
  <r>
    <x v="1"/>
    <x v="0"/>
    <s v="7125/2"/>
    <x v="52"/>
    <s v="نزیرپلاسٹک ملتان"/>
    <s v="PP"/>
    <n v="3"/>
    <n v="5"/>
    <n v="0"/>
    <n v="50"/>
    <s v="PP"/>
    <n v="11"/>
    <n v="138.67999999999998"/>
    <n v="3.3"/>
    <n v="20"/>
    <m/>
    <n v="135.37999999999997"/>
    <m/>
    <m/>
    <m/>
    <m/>
    <n v="0"/>
    <n v="0"/>
    <m/>
    <m/>
    <m/>
    <n v="20"/>
    <m/>
    <m/>
    <m/>
    <m/>
    <n v="20"/>
    <n v="0.33333333333333331"/>
    <n v="0.33333333333333331"/>
    <n v="11.666666666666666"/>
    <n v="12"/>
    <m/>
    <m/>
    <n v="0"/>
    <n v="1750"/>
    <m/>
    <x v="1"/>
    <m/>
    <m/>
    <m/>
    <m/>
  </r>
  <r>
    <x v="0"/>
    <x v="1"/>
    <s v="8 P"/>
    <x v="52"/>
    <s v="جیلانی پولی سٹاک"/>
    <s v="PP"/>
    <n v="5"/>
    <s v="5.5-6"/>
    <n v="0"/>
    <s v="-"/>
    <s v="PP"/>
    <n v="6"/>
    <n v="90.81"/>
    <n v="3"/>
    <m/>
    <m/>
    <n v="87.81"/>
    <m/>
    <n v="20"/>
    <m/>
    <m/>
    <n v="20"/>
    <n v="0.33333333333333331"/>
    <m/>
    <m/>
    <m/>
    <m/>
    <m/>
    <m/>
    <m/>
    <m/>
    <n v="0"/>
    <n v="0"/>
    <n v="0.33333333333333331"/>
    <n v="11.666666666666666"/>
    <n v="12"/>
    <m/>
    <m/>
    <n v="0"/>
    <m/>
    <m/>
    <x v="1"/>
    <m/>
    <m/>
    <m/>
    <m/>
  </r>
  <r>
    <x v="0"/>
    <x v="1"/>
    <s v="6 P"/>
    <x v="52"/>
    <s v="جیلانی پولی سٹاک"/>
    <s v="PP"/>
    <n v="4"/>
    <s v="5.5-6"/>
    <n v="0"/>
    <s v="-"/>
    <s v="PP"/>
    <n v="3"/>
    <n v="46.27"/>
    <n v="1.2000000000000002"/>
    <m/>
    <m/>
    <n v="45.07"/>
    <m/>
    <n v="20"/>
    <m/>
    <m/>
    <n v="20"/>
    <n v="0.33333333333333331"/>
    <m/>
    <m/>
    <m/>
    <m/>
    <m/>
    <m/>
    <m/>
    <m/>
    <n v="0"/>
    <n v="0"/>
    <n v="0.33333333333333331"/>
    <n v="11.666666666666666"/>
    <n v="12"/>
    <m/>
    <m/>
    <n v="0"/>
    <m/>
    <m/>
    <x v="1"/>
    <m/>
    <m/>
    <m/>
    <m/>
  </r>
  <r>
    <x v="0"/>
    <x v="1"/>
    <s v="3 P"/>
    <x v="52"/>
    <s v="جیلانی پولی سٹاک"/>
    <s v="PP"/>
    <n v="2.5"/>
    <s v="5.5-6"/>
    <n v="0"/>
    <s v="-"/>
    <s v="PP"/>
    <n v="2"/>
    <n v="13.690000000000001"/>
    <n v="0.4"/>
    <m/>
    <m/>
    <n v="13.290000000000001"/>
    <m/>
    <m/>
    <m/>
    <m/>
    <n v="0"/>
    <n v="0"/>
    <m/>
    <m/>
    <m/>
    <m/>
    <m/>
    <m/>
    <m/>
    <m/>
    <n v="0"/>
    <n v="0"/>
    <n v="0"/>
    <n v="12"/>
    <n v="12"/>
    <m/>
    <m/>
    <n v="0"/>
    <m/>
    <m/>
    <x v="1"/>
    <m/>
    <m/>
    <m/>
    <m/>
  </r>
  <r>
    <x v="1"/>
    <x v="1"/>
    <s v="3 P"/>
    <x v="52"/>
    <s v="جیلانی پولی سٹاک"/>
    <s v="PP"/>
    <n v="2.5"/>
    <s v="5.5-6"/>
    <n v="0"/>
    <s v="-"/>
    <s v="PP"/>
    <n v="11"/>
    <n v="100.07000000000001"/>
    <n v="2.2000000000000002"/>
    <m/>
    <m/>
    <n v="97.87"/>
    <m/>
    <m/>
    <m/>
    <m/>
    <n v="0"/>
    <n v="0"/>
    <m/>
    <m/>
    <m/>
    <m/>
    <m/>
    <m/>
    <m/>
    <m/>
    <n v="0"/>
    <n v="0"/>
    <n v="0"/>
    <n v="12"/>
    <n v="12"/>
    <m/>
    <m/>
    <n v="0"/>
    <m/>
    <m/>
    <x v="1"/>
    <m/>
    <m/>
    <m/>
    <m/>
  </r>
  <r>
    <x v="0"/>
    <x v="2"/>
    <s v="10 P"/>
    <x v="52"/>
    <s v="جیلانی پولی سٹاک"/>
    <s v="PP"/>
    <n v="7"/>
    <n v="5"/>
    <n v="0"/>
    <s v="-"/>
    <s v="PP"/>
    <n v="4"/>
    <n v="156.60000000000002"/>
    <n v="2.8"/>
    <m/>
    <m/>
    <n v="153.80000000000001"/>
    <m/>
    <n v="20"/>
    <m/>
    <m/>
    <n v="20"/>
    <n v="0.33333333333333331"/>
    <m/>
    <m/>
    <m/>
    <m/>
    <m/>
    <m/>
    <m/>
    <m/>
    <n v="0"/>
    <n v="0"/>
    <n v="0.33333333333333331"/>
    <n v="11.666666666666666"/>
    <n v="12"/>
    <m/>
    <m/>
    <n v="0"/>
    <m/>
    <m/>
    <x v="1"/>
    <m/>
    <m/>
    <m/>
    <m/>
  </r>
  <r>
    <x v="0"/>
    <x v="2"/>
    <s v="9 P"/>
    <x v="52"/>
    <s v="جیلانی پولی سٹاک"/>
    <s v="PP"/>
    <n v="6"/>
    <n v="5"/>
    <n v="0"/>
    <s v="-"/>
    <s v="PP"/>
    <n v="3"/>
    <n v="91.72999999999999"/>
    <n v="1.7999999999999998"/>
    <m/>
    <m/>
    <n v="89.929999999999993"/>
    <m/>
    <m/>
    <m/>
    <m/>
    <n v="0"/>
    <n v="0"/>
    <m/>
    <m/>
    <n v="20"/>
    <m/>
    <m/>
    <m/>
    <m/>
    <m/>
    <n v="20"/>
    <n v="0.33333333333333331"/>
    <n v="0.33333333333333331"/>
    <n v="11.666666666666666"/>
    <n v="12"/>
    <m/>
    <m/>
    <n v="0"/>
    <m/>
    <m/>
    <x v="1"/>
    <m/>
    <m/>
    <m/>
    <m/>
  </r>
  <r>
    <x v="1"/>
    <x v="2"/>
    <s v="9 P"/>
    <x v="52"/>
    <s v="جیلانی پولی سٹاک"/>
    <s v="PP"/>
    <n v="6"/>
    <n v="5"/>
    <n v="0"/>
    <s v="-"/>
    <s v="PP"/>
    <n v="8"/>
    <n v="288.33000000000004"/>
    <n v="6.0600000000000005"/>
    <m/>
    <m/>
    <n v="282.27000000000004"/>
    <m/>
    <m/>
    <m/>
    <m/>
    <n v="0"/>
    <n v="0"/>
    <m/>
    <m/>
    <m/>
    <m/>
    <m/>
    <m/>
    <m/>
    <m/>
    <n v="0"/>
    <n v="0"/>
    <n v="0"/>
    <n v="12"/>
    <n v="12"/>
    <m/>
    <m/>
    <n v="0"/>
    <m/>
    <m/>
    <x v="1"/>
    <m/>
    <m/>
    <m/>
    <m/>
  </r>
  <r>
    <x v="0"/>
    <x v="3"/>
    <s v="3437 J"/>
    <x v="52"/>
    <s v="Anayat Khan Dry Fruits Karishan Nagar Lahore"/>
    <s v="PP"/>
    <s v="8+2.5+2.5"/>
    <s v="7-7.5/14-15"/>
    <s v="جیلانی"/>
    <n v="180"/>
    <s v="PP"/>
    <n v="2"/>
    <n v="106.75"/>
    <n v="4.38"/>
    <m/>
    <m/>
    <n v="102.37"/>
    <m/>
    <m/>
    <m/>
    <m/>
    <n v="0"/>
    <n v="0"/>
    <m/>
    <m/>
    <m/>
    <n v="10"/>
    <m/>
    <m/>
    <m/>
    <m/>
    <n v="10"/>
    <n v="0.16666666666666666"/>
    <n v="0.16666666666666666"/>
    <n v="11.833333333333334"/>
    <n v="12"/>
    <m/>
    <m/>
    <n v="0"/>
    <m/>
    <m/>
    <x v="1"/>
    <m/>
    <m/>
    <m/>
    <m/>
  </r>
  <r>
    <x v="0"/>
    <x v="3"/>
    <s v="7139/4"/>
    <x v="52"/>
    <s v="عمران مشتاق پتوکی"/>
    <s v="PP"/>
    <n v="18"/>
    <n v="5"/>
    <n v="0"/>
    <n v="25"/>
    <s v="PP"/>
    <n v="12"/>
    <n v="638.70999999999992"/>
    <n v="22.78"/>
    <m/>
    <m/>
    <n v="615.92999999999995"/>
    <m/>
    <m/>
    <m/>
    <m/>
    <n v="0"/>
    <n v="0"/>
    <m/>
    <m/>
    <m/>
    <m/>
    <m/>
    <m/>
    <m/>
    <m/>
    <n v="0"/>
    <n v="0"/>
    <n v="0"/>
    <n v="12"/>
    <n v="12"/>
    <m/>
    <m/>
    <n v="0"/>
    <m/>
    <m/>
    <x v="1"/>
    <m/>
    <m/>
    <m/>
    <m/>
  </r>
  <r>
    <x v="1"/>
    <x v="3"/>
    <s v="7139/4"/>
    <x v="52"/>
    <s v="عمران مشتاق پتوکی"/>
    <s v="PP"/>
    <n v="18"/>
    <n v="5"/>
    <n v="0"/>
    <n v="25"/>
    <s v="PP"/>
    <n v="9"/>
    <n v="497.96999999999991"/>
    <n v="19.529999999999998"/>
    <m/>
    <m/>
    <n v="478.43999999999994"/>
    <m/>
    <m/>
    <m/>
    <m/>
    <n v="0"/>
    <n v="0"/>
    <m/>
    <m/>
    <m/>
    <m/>
    <m/>
    <m/>
    <m/>
    <m/>
    <n v="0"/>
    <n v="0"/>
    <n v="0"/>
    <n v="12"/>
    <n v="12"/>
    <m/>
    <m/>
    <n v="0"/>
    <m/>
    <m/>
    <x v="1"/>
    <m/>
    <m/>
    <m/>
    <m/>
  </r>
  <r>
    <x v="1"/>
    <x v="3"/>
    <s v="1960 F"/>
    <x v="52"/>
    <s v="Usman Amin"/>
    <s v="PP"/>
    <n v="18"/>
    <s v="7"/>
    <s v="پیور"/>
    <n v="400"/>
    <s v="PP"/>
    <n v="5"/>
    <n v="270.75"/>
    <n v="10.89"/>
    <m/>
    <m/>
    <n v="259.86"/>
    <m/>
    <m/>
    <m/>
    <m/>
    <n v="0"/>
    <n v="0"/>
    <m/>
    <m/>
    <m/>
    <m/>
    <m/>
    <m/>
    <m/>
    <m/>
    <n v="0"/>
    <n v="0"/>
    <n v="0"/>
    <n v="12"/>
    <n v="12"/>
    <m/>
    <m/>
    <n v="0"/>
    <m/>
    <m/>
    <x v="1"/>
    <m/>
    <m/>
    <m/>
    <m/>
  </r>
  <r>
    <x v="0"/>
    <x v="4"/>
    <s v="13 P"/>
    <x v="52"/>
    <s v="جیلانی پولی سٹاک"/>
    <s v="PP"/>
    <n v="10"/>
    <n v="5"/>
    <n v="0"/>
    <s v="-"/>
    <s v="PP"/>
    <n v="11"/>
    <n v="490.38999999999993"/>
    <n v="11"/>
    <m/>
    <m/>
    <n v="479.38999999999993"/>
    <m/>
    <n v="10"/>
    <m/>
    <m/>
    <n v="10"/>
    <n v="0.16666666666666666"/>
    <m/>
    <m/>
    <m/>
    <m/>
    <m/>
    <m/>
    <m/>
    <m/>
    <n v="0"/>
    <n v="0"/>
    <n v="0.16666666666666666"/>
    <n v="11.833333333333334"/>
    <n v="12"/>
    <m/>
    <m/>
    <n v="0"/>
    <m/>
    <m/>
    <x v="1"/>
    <m/>
    <m/>
    <m/>
    <m/>
  </r>
  <r>
    <x v="1"/>
    <x v="4"/>
    <s v="13 P"/>
    <x v="52"/>
    <s v="جیلانی پولی سٹاک"/>
    <s v="PP"/>
    <n v="10"/>
    <n v="5"/>
    <n v="0"/>
    <s v="-"/>
    <s v="PP"/>
    <n v="5"/>
    <n v="238.10999999999999"/>
    <n v="6.2"/>
    <m/>
    <m/>
    <n v="231.91"/>
    <m/>
    <m/>
    <m/>
    <m/>
    <n v="0"/>
    <n v="0"/>
    <m/>
    <m/>
    <m/>
    <m/>
    <m/>
    <m/>
    <m/>
    <m/>
    <n v="0"/>
    <n v="0"/>
    <n v="0"/>
    <n v="12"/>
    <n v="12"/>
    <m/>
    <m/>
    <n v="0"/>
    <m/>
    <m/>
    <x v="1"/>
    <m/>
    <m/>
    <m/>
    <m/>
  </r>
  <r>
    <x v="1"/>
    <x v="4"/>
    <s v="7143/1"/>
    <x v="52"/>
    <s v="ایم دین پنڈی"/>
    <s v="PP"/>
    <n v="6"/>
    <n v="14"/>
    <n v="0"/>
    <n v="900"/>
    <s v="PP"/>
    <n v="6"/>
    <n v="283.7"/>
    <n v="6.3"/>
    <m/>
    <m/>
    <n v="277.39999999999998"/>
    <m/>
    <m/>
    <m/>
    <m/>
    <n v="0"/>
    <n v="0"/>
    <m/>
    <m/>
    <m/>
    <m/>
    <m/>
    <m/>
    <m/>
    <m/>
    <n v="0"/>
    <n v="0"/>
    <n v="0"/>
    <n v="12"/>
    <n v="12"/>
    <m/>
    <m/>
    <n v="0"/>
    <m/>
    <m/>
    <x v="1"/>
    <m/>
    <m/>
    <m/>
    <m/>
  </r>
  <r>
    <x v="0"/>
    <x v="0"/>
    <s v="4 P"/>
    <x v="53"/>
    <s v="جیلانی پولی سٹاک"/>
    <s v="PP"/>
    <n v="3"/>
    <s v="5.5-6"/>
    <n v="0"/>
    <s v="-"/>
    <s v="PP"/>
    <n v="12"/>
    <n v="123.26000000000002"/>
    <n v="3.5999999999999996"/>
    <n v="18"/>
    <m/>
    <n v="119.66000000000003"/>
    <m/>
    <m/>
    <m/>
    <m/>
    <n v="0"/>
    <n v="0"/>
    <m/>
    <m/>
    <m/>
    <m/>
    <m/>
    <m/>
    <m/>
    <m/>
    <n v="0"/>
    <n v="0"/>
    <n v="0"/>
    <n v="12"/>
    <n v="12"/>
    <m/>
    <n v="2026"/>
    <n v="0"/>
    <n v="1800"/>
    <m/>
    <x v="1"/>
    <m/>
    <m/>
    <m/>
    <m/>
  </r>
  <r>
    <x v="1"/>
    <x v="0"/>
    <s v="4 P"/>
    <x v="53"/>
    <s v="جیلانی پولی سٹاک"/>
    <s v="PP"/>
    <n v="3"/>
    <s v="5.5-6"/>
    <n v="0"/>
    <s v="-"/>
    <s v="PP"/>
    <n v="11"/>
    <n v="130.14000000000001"/>
    <n v="3.3"/>
    <n v="24"/>
    <m/>
    <n v="126.84000000000002"/>
    <m/>
    <m/>
    <m/>
    <m/>
    <n v="0"/>
    <n v="0"/>
    <m/>
    <m/>
    <m/>
    <m/>
    <m/>
    <m/>
    <m/>
    <m/>
    <n v="0"/>
    <n v="0"/>
    <n v="0"/>
    <n v="12"/>
    <n v="12"/>
    <m/>
    <m/>
    <n v="0"/>
    <n v="1800"/>
    <m/>
    <x v="1"/>
    <m/>
    <m/>
    <m/>
    <m/>
  </r>
  <r>
    <x v="0"/>
    <x v="1"/>
    <s v="3 P"/>
    <x v="53"/>
    <s v="جیلانی پولی سٹاک"/>
    <s v="PP"/>
    <n v="2.5"/>
    <s v="5.5-6"/>
    <n v="0"/>
    <s v="-"/>
    <s v="PP"/>
    <n v="12"/>
    <n v="86.990000000000009"/>
    <n v="2.4000000000000004"/>
    <m/>
    <m/>
    <n v="84.59"/>
    <m/>
    <m/>
    <m/>
    <m/>
    <n v="0"/>
    <n v="0"/>
    <m/>
    <m/>
    <m/>
    <m/>
    <m/>
    <m/>
    <m/>
    <m/>
    <n v="0"/>
    <n v="0"/>
    <n v="0"/>
    <n v="12"/>
    <n v="12"/>
    <m/>
    <m/>
    <n v="0"/>
    <m/>
    <m/>
    <x v="1"/>
    <m/>
    <m/>
    <m/>
    <m/>
  </r>
  <r>
    <x v="1"/>
    <x v="1"/>
    <s v="3 P"/>
    <x v="53"/>
    <s v="جیلانی پولی سٹاک"/>
    <s v="PP"/>
    <n v="2.5"/>
    <s v="5.5-6"/>
    <n v="0"/>
    <s v="-"/>
    <s v="PP"/>
    <n v="11"/>
    <n v="93.06"/>
    <n v="2.2000000000000002"/>
    <m/>
    <m/>
    <n v="90.86"/>
    <m/>
    <m/>
    <m/>
    <m/>
    <n v="0"/>
    <n v="0"/>
    <m/>
    <m/>
    <m/>
    <m/>
    <m/>
    <m/>
    <m/>
    <m/>
    <n v="0"/>
    <n v="0"/>
    <n v="0"/>
    <n v="12"/>
    <n v="12"/>
    <m/>
    <m/>
    <n v="0"/>
    <m/>
    <m/>
    <x v="1"/>
    <m/>
    <m/>
    <m/>
    <m/>
  </r>
  <r>
    <x v="0"/>
    <x v="2"/>
    <s v="9 P"/>
    <x v="53"/>
    <s v="جیلانی پولی سٹاک"/>
    <s v="PP"/>
    <n v="6"/>
    <n v="5"/>
    <n v="0"/>
    <s v="-"/>
    <s v="PP"/>
    <n v="8"/>
    <n v="260.69"/>
    <n v="4.8"/>
    <m/>
    <m/>
    <n v="255.89"/>
    <m/>
    <m/>
    <m/>
    <m/>
    <n v="0"/>
    <n v="0"/>
    <m/>
    <m/>
    <n v="5"/>
    <m/>
    <m/>
    <m/>
    <m/>
    <m/>
    <n v="5"/>
    <n v="8.3333333333333329E-2"/>
    <n v="8.3333333333333329E-2"/>
    <n v="11.916666666666666"/>
    <n v="12"/>
    <m/>
    <m/>
    <n v="0"/>
    <m/>
    <m/>
    <x v="1"/>
    <m/>
    <m/>
    <m/>
    <m/>
  </r>
  <r>
    <x v="1"/>
    <x v="2"/>
    <s v="3525 J"/>
    <x v="53"/>
    <s v="Ibtsam Traders Sheikhupura"/>
    <s v="PP"/>
    <n v="6"/>
    <s v="7.5-8"/>
    <s v="-"/>
    <n v="100"/>
    <s v="PP"/>
    <n v="4"/>
    <n v="109.31"/>
    <n v="3.04"/>
    <m/>
    <m/>
    <n v="106.27"/>
    <m/>
    <n v="20"/>
    <m/>
    <m/>
    <n v="20"/>
    <n v="0.33333333333333331"/>
    <m/>
    <m/>
    <m/>
    <m/>
    <m/>
    <m/>
    <m/>
    <m/>
    <n v="0"/>
    <n v="0"/>
    <n v="0.33333333333333331"/>
    <n v="11.666666666666666"/>
    <n v="12"/>
    <m/>
    <m/>
    <n v="0"/>
    <m/>
    <m/>
    <x v="1"/>
    <m/>
    <m/>
    <m/>
    <m/>
  </r>
  <r>
    <x v="1"/>
    <x v="2"/>
    <s v="10 P"/>
    <x v="53"/>
    <s v="جیلانی پولی سٹاک"/>
    <s v="PP"/>
    <n v="7"/>
    <n v="5"/>
    <n v="0"/>
    <s v="-"/>
    <s v="PP"/>
    <n v="4"/>
    <n v="147.29000000000002"/>
    <n v="2.8"/>
    <m/>
    <m/>
    <n v="144.49"/>
    <m/>
    <m/>
    <m/>
    <m/>
    <n v="0"/>
    <n v="0"/>
    <m/>
    <m/>
    <m/>
    <m/>
    <m/>
    <m/>
    <m/>
    <m/>
    <n v="0"/>
    <n v="0"/>
    <n v="0"/>
    <n v="12"/>
    <n v="12"/>
    <m/>
    <m/>
    <n v="0"/>
    <m/>
    <m/>
    <x v="1"/>
    <m/>
    <m/>
    <m/>
    <m/>
  </r>
  <r>
    <x v="0"/>
    <x v="3"/>
    <s v="1960 F"/>
    <x v="53"/>
    <s v="Usman Amin"/>
    <s v="PP"/>
    <n v="18"/>
    <s v="7"/>
    <s v="پیور"/>
    <n v="400"/>
    <s v="PP"/>
    <n v="3"/>
    <n v="156.76999999999998"/>
    <n v="6.57"/>
    <m/>
    <m/>
    <n v="150.19999999999999"/>
    <m/>
    <m/>
    <m/>
    <m/>
    <n v="0"/>
    <n v="0"/>
    <m/>
    <m/>
    <m/>
    <m/>
    <m/>
    <m/>
    <m/>
    <m/>
    <n v="0"/>
    <n v="0"/>
    <n v="0"/>
    <n v="12"/>
    <n v="12"/>
    <m/>
    <m/>
    <n v="0"/>
    <m/>
    <m/>
    <x v="1"/>
    <m/>
    <m/>
    <m/>
    <m/>
  </r>
  <r>
    <x v="0"/>
    <x v="3"/>
    <s v="1956 F"/>
    <x v="53"/>
    <s v="Usman Amin"/>
    <s v="PP"/>
    <n v="22"/>
    <s v="8"/>
    <s v="پیور"/>
    <n v="28"/>
    <s v="PP"/>
    <n v="6"/>
    <n v="270.08999999999997"/>
    <n v="17.52"/>
    <m/>
    <m/>
    <n v="252.56999999999996"/>
    <m/>
    <m/>
    <m/>
    <m/>
    <n v="0"/>
    <n v="0"/>
    <m/>
    <m/>
    <m/>
    <m/>
    <m/>
    <m/>
    <m/>
    <m/>
    <n v="0"/>
    <n v="0"/>
    <n v="0"/>
    <n v="12"/>
    <n v="12"/>
    <m/>
    <m/>
    <n v="0"/>
    <m/>
    <m/>
    <x v="1"/>
    <m/>
    <m/>
    <m/>
    <m/>
  </r>
  <r>
    <x v="0"/>
    <x v="3"/>
    <s v="7149/6"/>
    <x v="53"/>
    <s v="العمر پلاسٹک گوجرانوالہ"/>
    <s v="PP"/>
    <n v="18"/>
    <n v="10"/>
    <n v="0"/>
    <n v="125"/>
    <s v="PP"/>
    <n v="4"/>
    <n v="142.09"/>
    <n v="7.2"/>
    <m/>
    <m/>
    <n v="134.89000000000001"/>
    <m/>
    <m/>
    <m/>
    <m/>
    <n v="0"/>
    <n v="0"/>
    <m/>
    <m/>
    <m/>
    <m/>
    <m/>
    <m/>
    <m/>
    <m/>
    <n v="0"/>
    <n v="0"/>
    <n v="0"/>
    <n v="12"/>
    <n v="12"/>
    <m/>
    <m/>
    <n v="0"/>
    <m/>
    <m/>
    <x v="1"/>
    <m/>
    <m/>
    <m/>
    <m/>
  </r>
  <r>
    <x v="0"/>
    <x v="3"/>
    <s v="3599"/>
    <x v="53"/>
    <s v="-"/>
    <s v="-"/>
    <s v="-"/>
    <s v="-"/>
    <s v="-"/>
    <s v="-"/>
    <s v="PP"/>
    <n v="3"/>
    <n v="110.10000000000001"/>
    <n v="5.4"/>
    <m/>
    <m/>
    <n v="104.7"/>
    <m/>
    <m/>
    <m/>
    <m/>
    <n v="0"/>
    <n v="0"/>
    <m/>
    <m/>
    <m/>
    <m/>
    <m/>
    <m/>
    <m/>
    <m/>
    <n v="0"/>
    <n v="0"/>
    <n v="0"/>
    <n v="12"/>
    <n v="12"/>
    <m/>
    <m/>
    <n v="0"/>
    <m/>
    <m/>
    <x v="1"/>
    <m/>
    <m/>
    <m/>
    <m/>
  </r>
  <r>
    <x v="0"/>
    <x v="3"/>
    <s v="1961 F"/>
    <x v="53"/>
    <s v="Usman Amin"/>
    <s v="PP"/>
    <n v="19"/>
    <s v="7"/>
    <s v="پیور"/>
    <n v="180"/>
    <s v="PP"/>
    <n v="1"/>
    <n v="51.17"/>
    <n v="1.9"/>
    <m/>
    <m/>
    <n v="49.27"/>
    <m/>
    <n v="20"/>
    <m/>
    <m/>
    <n v="20"/>
    <n v="0.33333333333333331"/>
    <m/>
    <m/>
    <m/>
    <m/>
    <m/>
    <m/>
    <m/>
    <m/>
    <n v="0"/>
    <n v="0"/>
    <n v="0.33333333333333331"/>
    <n v="11.666666666666666"/>
    <n v="12"/>
    <m/>
    <m/>
    <n v="0"/>
    <m/>
    <m/>
    <x v="1"/>
    <m/>
    <m/>
    <m/>
    <m/>
  </r>
  <r>
    <x v="1"/>
    <x v="3"/>
    <s v="1961 F"/>
    <x v="53"/>
    <s v="Usman Amin"/>
    <s v="PP"/>
    <n v="19"/>
    <s v="7"/>
    <s v="پیور"/>
    <n v="180"/>
    <s v="PP"/>
    <n v="5"/>
    <n v="287.63"/>
    <n v="12.01"/>
    <m/>
    <m/>
    <n v="275.62"/>
    <m/>
    <n v="20"/>
    <m/>
    <m/>
    <n v="20"/>
    <n v="0.33333333333333331"/>
    <m/>
    <m/>
    <m/>
    <m/>
    <m/>
    <m/>
    <m/>
    <m/>
    <n v="0"/>
    <n v="0"/>
    <n v="0.33333333333333331"/>
    <n v="11.666666666666666"/>
    <n v="12"/>
    <m/>
    <m/>
    <n v="0"/>
    <m/>
    <m/>
    <x v="1"/>
    <m/>
    <m/>
    <m/>
    <m/>
  </r>
  <r>
    <x v="1"/>
    <x v="3"/>
    <s v="7137/1"/>
    <x v="53"/>
    <s v="محبوب مقبول گوجرانوالہ"/>
    <s v="PP"/>
    <n v="22"/>
    <n v="8"/>
    <n v="0"/>
    <n v="250"/>
    <s v="PP"/>
    <n v="4"/>
    <n v="275.72000000000003"/>
    <n v="11.6"/>
    <m/>
    <m/>
    <n v="264.12"/>
    <m/>
    <m/>
    <m/>
    <m/>
    <n v="0"/>
    <n v="0"/>
    <m/>
    <m/>
    <m/>
    <m/>
    <m/>
    <m/>
    <m/>
    <m/>
    <n v="0"/>
    <n v="0"/>
    <n v="0"/>
    <n v="12"/>
    <n v="12"/>
    <m/>
    <m/>
    <n v="0"/>
    <m/>
    <m/>
    <x v="1"/>
    <m/>
    <m/>
    <m/>
    <m/>
  </r>
  <r>
    <x v="1"/>
    <x v="3"/>
    <s v="7149/8"/>
    <x v="53"/>
    <s v="العمر پلاسٹک گوجرانوالہ"/>
    <s v="PP"/>
    <n v="22"/>
    <n v="10"/>
    <n v="0"/>
    <n v="250"/>
    <s v="PP"/>
    <n v="3"/>
    <n v="201"/>
    <n v="8.6"/>
    <m/>
    <m/>
    <n v="192.4"/>
    <m/>
    <m/>
    <m/>
    <m/>
    <n v="0"/>
    <n v="0"/>
    <m/>
    <m/>
    <m/>
    <m/>
    <m/>
    <m/>
    <m/>
    <m/>
    <n v="0"/>
    <n v="0"/>
    <n v="0"/>
    <n v="12"/>
    <n v="12"/>
    <m/>
    <m/>
    <n v="0"/>
    <m/>
    <m/>
    <x v="1"/>
    <m/>
    <m/>
    <m/>
    <m/>
  </r>
  <r>
    <x v="0"/>
    <x v="4"/>
    <s v="7143/1"/>
    <x v="53"/>
    <s v="ایم دین پنڈی"/>
    <s v="PP"/>
    <n v="6"/>
    <n v="14"/>
    <n v="0"/>
    <n v="900"/>
    <s v="PP"/>
    <n v="11"/>
    <n v="555.55999999999995"/>
    <m/>
    <m/>
    <m/>
    <n v="555.55999999999995"/>
    <m/>
    <n v="20"/>
    <m/>
    <m/>
    <n v="20"/>
    <n v="0.33333333333333331"/>
    <m/>
    <m/>
    <m/>
    <m/>
    <m/>
    <m/>
    <m/>
    <m/>
    <n v="0"/>
    <n v="0"/>
    <n v="0.33333333333333331"/>
    <n v="11.666666666666666"/>
    <n v="12"/>
    <m/>
    <m/>
    <n v="0"/>
    <m/>
    <m/>
    <x v="1"/>
    <m/>
    <m/>
    <m/>
    <m/>
  </r>
  <r>
    <x v="1"/>
    <x v="4"/>
    <s v="7143/1"/>
    <x v="53"/>
    <s v="ایم دین پنڈی"/>
    <s v="PP"/>
    <n v="6"/>
    <n v="14"/>
    <n v="0"/>
    <n v="900"/>
    <s v="PP"/>
    <n v="4"/>
    <n v="216.64999999999998"/>
    <m/>
    <m/>
    <m/>
    <n v="216.64999999999998"/>
    <m/>
    <m/>
    <m/>
    <m/>
    <n v="0"/>
    <n v="0"/>
    <m/>
    <m/>
    <m/>
    <m/>
    <m/>
    <m/>
    <m/>
    <m/>
    <n v="0"/>
    <n v="0"/>
    <n v="0"/>
    <n v="12"/>
    <n v="12"/>
    <m/>
    <m/>
    <n v="0"/>
    <m/>
    <m/>
    <x v="1"/>
    <m/>
    <m/>
    <m/>
    <m/>
  </r>
  <r>
    <x v="1"/>
    <x v="4"/>
    <s v="12/10"/>
    <x v="53"/>
    <m/>
    <s v="-"/>
    <s v="-"/>
    <s v="-"/>
    <s v="-"/>
    <s v="-"/>
    <s v="PP"/>
    <n v="3"/>
    <n v="130.34"/>
    <m/>
    <m/>
    <m/>
    <n v="130.34"/>
    <m/>
    <m/>
    <m/>
    <m/>
    <n v="0"/>
    <n v="0"/>
    <m/>
    <m/>
    <m/>
    <m/>
    <m/>
    <m/>
    <m/>
    <m/>
    <n v="0"/>
    <n v="0"/>
    <n v="0"/>
    <n v="12"/>
    <n v="12"/>
    <m/>
    <m/>
    <n v="0"/>
    <m/>
    <m/>
    <x v="1"/>
    <m/>
    <m/>
    <m/>
    <m/>
  </r>
  <r>
    <x v="1"/>
    <x v="4"/>
    <s v="3543 J"/>
    <x v="53"/>
    <s v="Bandu Khan Lahore"/>
    <s v="PP"/>
    <n v="14"/>
    <s v="4-4.5/8-9"/>
    <s v="1:1"/>
    <n v="300"/>
    <s v="PP"/>
    <n v="2"/>
    <n v="110.74000000000001"/>
    <m/>
    <m/>
    <m/>
    <n v="110.74000000000001"/>
    <m/>
    <m/>
    <m/>
    <m/>
    <n v="0"/>
    <n v="0"/>
    <m/>
    <m/>
    <m/>
    <m/>
    <m/>
    <m/>
    <m/>
    <m/>
    <n v="0"/>
    <n v="0"/>
    <n v="0"/>
    <n v="12"/>
    <n v="12"/>
    <m/>
    <m/>
    <n v="0"/>
    <m/>
    <m/>
    <x v="1"/>
    <m/>
    <m/>
    <m/>
    <m/>
  </r>
  <r>
    <x v="1"/>
    <x v="4"/>
    <s v="15 P"/>
    <x v="53"/>
    <s v="جیلانی پولی سٹاک"/>
    <s v="PP"/>
    <n v="12"/>
    <n v="5"/>
    <n v="0"/>
    <s v="-"/>
    <s v="PP"/>
    <n v="5"/>
    <n v="157.68"/>
    <m/>
    <m/>
    <m/>
    <n v="157.68"/>
    <m/>
    <m/>
    <m/>
    <m/>
    <n v="0"/>
    <n v="0"/>
    <m/>
    <m/>
    <m/>
    <m/>
    <m/>
    <m/>
    <m/>
    <m/>
    <n v="0"/>
    <n v="0"/>
    <n v="0"/>
    <n v="12"/>
    <n v="12"/>
    <m/>
    <m/>
    <n v="0"/>
    <m/>
    <m/>
    <x v="1"/>
    <m/>
    <m/>
    <m/>
    <m/>
  </r>
  <r>
    <x v="0"/>
    <x v="0"/>
    <s v="4 P"/>
    <x v="54"/>
    <s v="جیلانی پولی سٹاک"/>
    <s v="PP"/>
    <n v="3"/>
    <s v="5.5-6"/>
    <n v="0"/>
    <s v="-"/>
    <s v="PP"/>
    <n v="12"/>
    <n v="130.81"/>
    <n v="3.5999999999999996"/>
    <n v="23"/>
    <m/>
    <n v="127.21000000000001"/>
    <m/>
    <m/>
    <m/>
    <m/>
    <n v="0"/>
    <n v="0"/>
    <m/>
    <m/>
    <m/>
    <m/>
    <m/>
    <m/>
    <m/>
    <m/>
    <n v="0"/>
    <n v="0"/>
    <n v="0"/>
    <n v="12"/>
    <n v="12"/>
    <m/>
    <n v="2026"/>
    <n v="0"/>
    <n v="1750"/>
    <m/>
    <x v="1"/>
    <m/>
    <m/>
    <m/>
    <m/>
  </r>
  <r>
    <x v="1"/>
    <x v="0"/>
    <s v="4 P"/>
    <x v="54"/>
    <s v="جیلانی پولی سٹاک"/>
    <s v="PP"/>
    <n v="3"/>
    <s v="5.5-6"/>
    <n v="0"/>
    <s v="-"/>
    <s v="PP"/>
    <n v="10"/>
    <n v="125.95"/>
    <n v="3"/>
    <n v="22"/>
    <m/>
    <n v="122.95"/>
    <m/>
    <m/>
    <m/>
    <m/>
    <n v="0"/>
    <n v="0"/>
    <m/>
    <m/>
    <m/>
    <m/>
    <m/>
    <m/>
    <m/>
    <m/>
    <n v="0"/>
    <n v="0"/>
    <n v="0"/>
    <n v="12"/>
    <n v="12"/>
    <m/>
    <m/>
    <n v="0"/>
    <n v="1650"/>
    <m/>
    <x v="1"/>
    <m/>
    <m/>
    <m/>
    <m/>
  </r>
  <r>
    <x v="0"/>
    <x v="1"/>
    <s v="3 P"/>
    <x v="54"/>
    <s v="جیلانی پولی سٹاک"/>
    <s v="PP"/>
    <n v="2.5"/>
    <s v="5.5-6"/>
    <n v="0"/>
    <s v="-"/>
    <s v="PP"/>
    <n v="12"/>
    <n v="104.25000000000001"/>
    <n v="2.4000000000000004"/>
    <m/>
    <m/>
    <n v="101.85000000000001"/>
    <m/>
    <m/>
    <m/>
    <m/>
    <n v="0"/>
    <n v="0"/>
    <m/>
    <m/>
    <m/>
    <m/>
    <m/>
    <m/>
    <m/>
    <m/>
    <n v="0"/>
    <n v="0"/>
    <n v="0"/>
    <n v="12"/>
    <n v="12"/>
    <m/>
    <m/>
    <n v="0"/>
    <m/>
    <m/>
    <x v="1"/>
    <m/>
    <m/>
    <m/>
    <m/>
  </r>
  <r>
    <x v="1"/>
    <x v="1"/>
    <s v="3 P"/>
    <x v="54"/>
    <s v="جیلانی پولی سٹاک"/>
    <s v="PP"/>
    <n v="2.5"/>
    <s v="5.5-6"/>
    <n v="0"/>
    <s v="-"/>
    <s v="PP"/>
    <n v="11"/>
    <n v="97.93"/>
    <n v="2.2000000000000002"/>
    <m/>
    <m/>
    <n v="95.73"/>
    <m/>
    <m/>
    <m/>
    <m/>
    <n v="0"/>
    <n v="0"/>
    <m/>
    <m/>
    <m/>
    <m/>
    <m/>
    <m/>
    <m/>
    <m/>
    <n v="0"/>
    <n v="0"/>
    <n v="0"/>
    <n v="12"/>
    <n v="12"/>
    <m/>
    <m/>
    <n v="0"/>
    <m/>
    <m/>
    <x v="1"/>
    <m/>
    <m/>
    <m/>
    <m/>
  </r>
  <r>
    <x v="0"/>
    <x v="2"/>
    <s v="10 P"/>
    <x v="54"/>
    <s v="جیلانی پولی سٹاک"/>
    <s v="PP"/>
    <n v="7"/>
    <n v="5"/>
    <n v="0"/>
    <s v="-"/>
    <s v="PP"/>
    <n v="7"/>
    <n v="254.41"/>
    <n v="7"/>
    <m/>
    <m/>
    <n v="247.41"/>
    <m/>
    <m/>
    <m/>
    <m/>
    <n v="0"/>
    <n v="0"/>
    <m/>
    <m/>
    <m/>
    <m/>
    <m/>
    <m/>
    <m/>
    <m/>
    <n v="0"/>
    <n v="0"/>
    <n v="0"/>
    <n v="12"/>
    <n v="12"/>
    <m/>
    <m/>
    <n v="0"/>
    <m/>
    <m/>
    <x v="1"/>
    <m/>
    <m/>
    <m/>
    <m/>
  </r>
  <r>
    <x v="1"/>
    <x v="2"/>
    <s v="10 P"/>
    <x v="54"/>
    <s v="جیلانی پولی سٹاک"/>
    <s v="PP"/>
    <n v="7"/>
    <n v="5"/>
    <n v="0"/>
    <s v="-"/>
    <s v="PP"/>
    <n v="6"/>
    <n v="232.45999999999998"/>
    <n v="5.4"/>
    <m/>
    <m/>
    <n v="227.05999999999997"/>
    <m/>
    <m/>
    <m/>
    <m/>
    <n v="0"/>
    <n v="0"/>
    <m/>
    <m/>
    <m/>
    <m/>
    <m/>
    <m/>
    <m/>
    <m/>
    <n v="0"/>
    <n v="0"/>
    <n v="0"/>
    <n v="12"/>
    <n v="12"/>
    <m/>
    <m/>
    <n v="0"/>
    <m/>
    <m/>
    <x v="1"/>
    <m/>
    <m/>
    <m/>
    <m/>
  </r>
  <r>
    <x v="0"/>
    <x v="3"/>
    <s v="7149/8"/>
    <x v="54"/>
    <s v="العمر پلاسٹک گوجرانوالہ"/>
    <s v="PP"/>
    <n v="22"/>
    <n v="10"/>
    <n v="0"/>
    <n v="250"/>
    <s v="PP"/>
    <n v="1"/>
    <n v="61.71"/>
    <n v="2.4"/>
    <m/>
    <m/>
    <n v="59.31"/>
    <m/>
    <n v="20"/>
    <m/>
    <m/>
    <n v="20"/>
    <n v="0.33333333333333331"/>
    <m/>
    <m/>
    <m/>
    <n v="5"/>
    <m/>
    <m/>
    <m/>
    <m/>
    <n v="5"/>
    <n v="8.3333333333333329E-2"/>
    <n v="0.41666666666666663"/>
    <n v="11.583333333333334"/>
    <n v="12"/>
    <m/>
    <m/>
    <n v="0"/>
    <m/>
    <m/>
    <x v="1"/>
    <m/>
    <m/>
    <m/>
    <m/>
  </r>
  <r>
    <x v="0"/>
    <x v="3"/>
    <s v="7150/1"/>
    <x v="54"/>
    <s v="ریفلیکٹ پیک لاہور"/>
    <s v="PP"/>
    <n v="16"/>
    <s v="5.5-6"/>
    <n v="0"/>
    <n v="2000"/>
    <s v="PP"/>
    <n v="14"/>
    <n v="600.03"/>
    <n v="26.599999999999998"/>
    <m/>
    <m/>
    <n v="573.42999999999995"/>
    <m/>
    <m/>
    <m/>
    <m/>
    <n v="0"/>
    <n v="0"/>
    <m/>
    <m/>
    <m/>
    <m/>
    <m/>
    <m/>
    <m/>
    <m/>
    <n v="0"/>
    <n v="0"/>
    <n v="0"/>
    <n v="12"/>
    <n v="12"/>
    <m/>
    <m/>
    <n v="0"/>
    <m/>
    <m/>
    <x v="1"/>
    <m/>
    <m/>
    <m/>
    <m/>
  </r>
  <r>
    <x v="1"/>
    <x v="3"/>
    <s v="7150/1"/>
    <x v="54"/>
    <s v="ریفلیکٹ پیک لاہور"/>
    <s v="PP"/>
    <n v="16"/>
    <s v="5.5-6"/>
    <n v="0"/>
    <n v="2000"/>
    <s v="PP"/>
    <n v="14"/>
    <n v="674.06"/>
    <n v="26.5"/>
    <m/>
    <m/>
    <n v="647.55999999999995"/>
    <m/>
    <m/>
    <m/>
    <m/>
    <n v="0"/>
    <n v="0"/>
    <m/>
    <m/>
    <m/>
    <m/>
    <m/>
    <m/>
    <m/>
    <m/>
    <n v="0"/>
    <n v="0"/>
    <n v="0"/>
    <n v="12"/>
    <n v="12"/>
    <m/>
    <m/>
    <n v="0"/>
    <m/>
    <m/>
    <x v="1"/>
    <m/>
    <m/>
    <m/>
    <m/>
  </r>
  <r>
    <x v="0"/>
    <x v="4"/>
    <s v="7149/3"/>
    <x v="54"/>
    <s v="العمر پلاسٹک گوجرانوالہ"/>
    <s v="PP"/>
    <n v="12"/>
    <n v="10"/>
    <n v="0"/>
    <n v="150"/>
    <s v="PP"/>
    <n v="1"/>
    <n v="55.6"/>
    <n v="1.4"/>
    <m/>
    <m/>
    <n v="54.2"/>
    <m/>
    <m/>
    <m/>
    <m/>
    <n v="0"/>
    <n v="0"/>
    <m/>
    <m/>
    <m/>
    <m/>
    <m/>
    <m/>
    <m/>
    <m/>
    <n v="0"/>
    <n v="0"/>
    <n v="0"/>
    <n v="12"/>
    <n v="12"/>
    <m/>
    <m/>
    <n v="0"/>
    <m/>
    <m/>
    <x v="1"/>
    <m/>
    <m/>
    <m/>
    <m/>
  </r>
  <r>
    <x v="0"/>
    <x v="4"/>
    <s v="3543 J"/>
    <x v="54"/>
    <s v="Bandu Khan Lahore"/>
    <s v="PP"/>
    <n v="14"/>
    <s v="4-4.5/8-9"/>
    <s v="1:1"/>
    <n v="300"/>
    <s v="PP"/>
    <n v="4"/>
    <n v="195.56"/>
    <n v="6.8"/>
    <m/>
    <m/>
    <n v="188.76"/>
    <m/>
    <m/>
    <m/>
    <m/>
    <n v="0"/>
    <n v="0"/>
    <m/>
    <m/>
    <m/>
    <m/>
    <m/>
    <m/>
    <m/>
    <m/>
    <n v="0"/>
    <n v="0"/>
    <n v="0"/>
    <n v="12"/>
    <n v="12"/>
    <m/>
    <m/>
    <n v="0"/>
    <m/>
    <m/>
    <x v="1"/>
    <m/>
    <m/>
    <m/>
    <m/>
  </r>
  <r>
    <x v="0"/>
    <x v="4"/>
    <s v="7149/4"/>
    <x v="54"/>
    <s v="العمر پلاسٹک گوجرانوالہ"/>
    <s v="PP"/>
    <n v="14"/>
    <n v="10"/>
    <n v="0"/>
    <n v="250"/>
    <s v="PP"/>
    <n v="8"/>
    <n v="259.56"/>
    <n v="13.6"/>
    <m/>
    <m/>
    <n v="245.96"/>
    <m/>
    <m/>
    <m/>
    <m/>
    <n v="0"/>
    <n v="0"/>
    <m/>
    <m/>
    <m/>
    <m/>
    <m/>
    <m/>
    <m/>
    <m/>
    <n v="0"/>
    <n v="0"/>
    <n v="0"/>
    <n v="12"/>
    <n v="12"/>
    <m/>
    <m/>
    <n v="0"/>
    <m/>
    <m/>
    <x v="1"/>
    <m/>
    <m/>
    <m/>
    <m/>
  </r>
  <r>
    <x v="0"/>
    <x v="4"/>
    <s v="17 P"/>
    <x v="54"/>
    <s v="جیلانی پولی سٹاک"/>
    <s v="PP"/>
    <n v="14"/>
    <n v="5"/>
    <n v="0"/>
    <s v="-"/>
    <s v="PP"/>
    <n v="2"/>
    <n v="88.97"/>
    <n v="3.4"/>
    <m/>
    <m/>
    <n v="85.57"/>
    <m/>
    <n v="20"/>
    <m/>
    <m/>
    <n v="20"/>
    <n v="0.33333333333333331"/>
    <m/>
    <m/>
    <m/>
    <m/>
    <m/>
    <m/>
    <m/>
    <m/>
    <n v="0"/>
    <n v="0"/>
    <n v="0.33333333333333331"/>
    <n v="11.666666666666666"/>
    <n v="12"/>
    <m/>
    <m/>
    <n v="0"/>
    <m/>
    <m/>
    <x v="1"/>
    <m/>
    <m/>
    <m/>
    <m/>
  </r>
  <r>
    <x v="1"/>
    <x v="4"/>
    <s v="17 P"/>
    <x v="54"/>
    <s v="جیلانی پولی سٹاک"/>
    <s v="PP"/>
    <n v="14"/>
    <n v="5"/>
    <n v="0"/>
    <s v="-"/>
    <s v="PP"/>
    <n v="8"/>
    <n v="464.93"/>
    <n v="13.76"/>
    <m/>
    <m/>
    <n v="451.17"/>
    <m/>
    <m/>
    <m/>
    <m/>
    <n v="0"/>
    <n v="0"/>
    <m/>
    <m/>
    <m/>
    <m/>
    <m/>
    <m/>
    <m/>
    <m/>
    <n v="0"/>
    <n v="0"/>
    <n v="0"/>
    <n v="12"/>
    <n v="12"/>
    <m/>
    <m/>
    <n v="0"/>
    <m/>
    <m/>
    <x v="1"/>
    <m/>
    <m/>
    <m/>
    <m/>
  </r>
  <r>
    <x v="1"/>
    <x v="4"/>
    <s v="13 P"/>
    <x v="54"/>
    <s v="جیلانی پولی سٹاک"/>
    <s v="PP"/>
    <n v="10"/>
    <n v="5"/>
    <n v="0"/>
    <s v="-"/>
    <s v="PP"/>
    <n v="1"/>
    <n v="48.71"/>
    <n v="1"/>
    <m/>
    <m/>
    <n v="47.71"/>
    <m/>
    <n v="20"/>
    <m/>
    <m/>
    <n v="20"/>
    <n v="0.33333333333333331"/>
    <m/>
    <m/>
    <m/>
    <m/>
    <m/>
    <m/>
    <m/>
    <m/>
    <n v="0"/>
    <n v="0"/>
    <n v="0.33333333333333331"/>
    <n v="11.666666666666666"/>
    <n v="12"/>
    <m/>
    <m/>
    <n v="0"/>
    <m/>
    <m/>
    <x v="1"/>
    <m/>
    <m/>
    <m/>
    <m/>
  </r>
  <r>
    <x v="0"/>
    <x v="0"/>
    <s v="4 P"/>
    <x v="55"/>
    <s v="جیلانی پولی سٹاک"/>
    <s v="PP"/>
    <n v="3"/>
    <s v="5.5-6"/>
    <n v="0"/>
    <s v="-"/>
    <s v="PP"/>
    <n v="13"/>
    <n v="137.63"/>
    <n v="3.9"/>
    <n v="12.5"/>
    <m/>
    <n v="133.72999999999999"/>
    <m/>
    <m/>
    <m/>
    <m/>
    <n v="0"/>
    <n v="0"/>
    <m/>
    <m/>
    <m/>
    <m/>
    <m/>
    <m/>
    <m/>
    <m/>
    <n v="0"/>
    <n v="0"/>
    <n v="0"/>
    <n v="12"/>
    <n v="12"/>
    <m/>
    <m/>
    <n v="0"/>
    <m/>
    <m/>
    <x v="1"/>
    <m/>
    <m/>
    <m/>
    <m/>
  </r>
  <r>
    <x v="1"/>
    <x v="0"/>
    <s v="4 P"/>
    <x v="55"/>
    <s v="جیلانی پولی سٹاک"/>
    <s v="PP"/>
    <n v="3"/>
    <s v="5.5-6"/>
    <n v="0"/>
    <s v="-"/>
    <s v="PP"/>
    <n v="8"/>
    <n v="126.47999999999999"/>
    <n v="2.4"/>
    <n v="30"/>
    <m/>
    <n v="124.07999999999998"/>
    <m/>
    <m/>
    <m/>
    <m/>
    <n v="0"/>
    <n v="0"/>
    <m/>
    <m/>
    <m/>
    <m/>
    <m/>
    <m/>
    <m/>
    <m/>
    <n v="0"/>
    <n v="0"/>
    <n v="0"/>
    <n v="12"/>
    <n v="12"/>
    <m/>
    <m/>
    <n v="0"/>
    <m/>
    <m/>
    <x v="1"/>
    <m/>
    <m/>
    <m/>
    <m/>
  </r>
  <r>
    <x v="0"/>
    <x v="1"/>
    <s v="3 P"/>
    <x v="55"/>
    <s v="جیلانی پولی سٹاک"/>
    <s v="PP"/>
    <n v="2.5"/>
    <s v="5.5-6"/>
    <n v="0"/>
    <s v="-"/>
    <s v="PP"/>
    <n v="13"/>
    <n v="101.27999999999999"/>
    <n v="3.25"/>
    <m/>
    <m/>
    <n v="98.029999999999987"/>
    <m/>
    <m/>
    <m/>
    <m/>
    <n v="0"/>
    <n v="0"/>
    <m/>
    <m/>
    <m/>
    <m/>
    <m/>
    <m/>
    <m/>
    <m/>
    <n v="0"/>
    <n v="0"/>
    <n v="0"/>
    <n v="12"/>
    <n v="12"/>
    <m/>
    <m/>
    <n v="0"/>
    <m/>
    <m/>
    <x v="1"/>
    <m/>
    <m/>
    <m/>
    <m/>
  </r>
  <r>
    <x v="1"/>
    <x v="1"/>
    <s v="3 P"/>
    <x v="55"/>
    <s v="جیلانی پولی سٹاک"/>
    <s v="PP"/>
    <n v="2.5"/>
    <s v="5.5-6"/>
    <n v="0"/>
    <s v="-"/>
    <s v="PP"/>
    <n v="9"/>
    <n v="99.45999999999998"/>
    <n v="2.25"/>
    <m/>
    <m/>
    <n v="97.20999999999998"/>
    <m/>
    <m/>
    <m/>
    <m/>
    <n v="0"/>
    <n v="0"/>
    <m/>
    <m/>
    <m/>
    <m/>
    <m/>
    <m/>
    <m/>
    <m/>
    <n v="0"/>
    <n v="0"/>
    <n v="0"/>
    <n v="12"/>
    <n v="12"/>
    <m/>
    <m/>
    <n v="0"/>
    <m/>
    <m/>
    <x v="1"/>
    <m/>
    <m/>
    <m/>
    <m/>
  </r>
  <r>
    <x v="0"/>
    <x v="2"/>
    <s v="10 P"/>
    <x v="55"/>
    <s v="جیلانی پولی سٹاک"/>
    <s v="PP"/>
    <n v="7"/>
    <n v="5"/>
    <n v="0"/>
    <s v="-"/>
    <s v="PP"/>
    <n v="8"/>
    <n v="262.14"/>
    <n v="5.6"/>
    <m/>
    <m/>
    <n v="256.53999999999996"/>
    <m/>
    <m/>
    <m/>
    <m/>
    <n v="0"/>
    <n v="0"/>
    <m/>
    <m/>
    <m/>
    <m/>
    <m/>
    <m/>
    <m/>
    <m/>
    <n v="0"/>
    <n v="0"/>
    <n v="0"/>
    <n v="12"/>
    <n v="12"/>
    <m/>
    <m/>
    <n v="0"/>
    <m/>
    <m/>
    <x v="1"/>
    <m/>
    <m/>
    <m/>
    <m/>
  </r>
  <r>
    <x v="1"/>
    <x v="2"/>
    <s v="10 P"/>
    <x v="55"/>
    <s v="جیلانی پولی سٹاک"/>
    <s v="PP"/>
    <n v="7"/>
    <n v="5"/>
    <n v="0"/>
    <s v="-"/>
    <s v="PP"/>
    <n v="7"/>
    <n v="265.68"/>
    <n v="4.8999999999999995"/>
    <m/>
    <m/>
    <n v="260.78000000000003"/>
    <m/>
    <m/>
    <m/>
    <m/>
    <n v="0"/>
    <n v="0"/>
    <m/>
    <m/>
    <m/>
    <m/>
    <m/>
    <m/>
    <m/>
    <m/>
    <n v="0"/>
    <n v="0"/>
    <n v="0"/>
    <n v="12"/>
    <n v="12"/>
    <m/>
    <m/>
    <n v="0"/>
    <m/>
    <m/>
    <x v="1"/>
    <m/>
    <m/>
    <m/>
    <m/>
  </r>
  <r>
    <x v="0"/>
    <x v="3"/>
    <s v="7150/1"/>
    <x v="55"/>
    <s v="ریفلیکٹ پیک لاہور"/>
    <s v="PP"/>
    <n v="16"/>
    <s v="5.5-6"/>
    <n v="0"/>
    <n v="2000"/>
    <s v="PP"/>
    <n v="16"/>
    <n v="775.13999999999987"/>
    <n v="28.8"/>
    <m/>
    <m/>
    <n v="746.33999999999992"/>
    <m/>
    <m/>
    <m/>
    <m/>
    <n v="0"/>
    <n v="0"/>
    <m/>
    <m/>
    <m/>
    <m/>
    <m/>
    <m/>
    <m/>
    <m/>
    <n v="0"/>
    <n v="0"/>
    <n v="0"/>
    <n v="12"/>
    <n v="12"/>
    <m/>
    <m/>
    <n v="0"/>
    <m/>
    <m/>
    <x v="1"/>
    <m/>
    <m/>
    <m/>
    <m/>
  </r>
  <r>
    <x v="1"/>
    <x v="3"/>
    <s v="7150/1"/>
    <x v="55"/>
    <s v="ریفلیکٹ پیک لاہور"/>
    <s v="PP"/>
    <n v="16"/>
    <s v="5.5-6"/>
    <n v="0"/>
    <n v="2000"/>
    <s v="PP"/>
    <n v="4"/>
    <n v="202.98000000000002"/>
    <n v="7.2"/>
    <m/>
    <m/>
    <n v="195.78000000000003"/>
    <m/>
    <m/>
    <m/>
    <m/>
    <n v="0"/>
    <n v="0"/>
    <m/>
    <m/>
    <m/>
    <m/>
    <m/>
    <m/>
    <m/>
    <m/>
    <n v="0"/>
    <n v="0"/>
    <n v="0"/>
    <n v="12"/>
    <n v="12"/>
    <m/>
    <m/>
    <n v="0"/>
    <m/>
    <m/>
    <x v="1"/>
    <m/>
    <m/>
    <m/>
    <m/>
  </r>
  <r>
    <x v="1"/>
    <x v="3"/>
    <s v="19 P"/>
    <x v="55"/>
    <s v="جیلانی پولی سٹاک"/>
    <s v="PP"/>
    <n v="16"/>
    <n v="5"/>
    <n v="0"/>
    <s v="-"/>
    <s v="PP"/>
    <n v="12"/>
    <n v="640.01"/>
    <n v="22.799999999999997"/>
    <m/>
    <m/>
    <n v="617.21"/>
    <m/>
    <m/>
    <m/>
    <m/>
    <n v="0"/>
    <n v="0"/>
    <m/>
    <m/>
    <m/>
    <m/>
    <m/>
    <m/>
    <m/>
    <m/>
    <n v="0"/>
    <n v="0"/>
    <n v="0"/>
    <n v="12"/>
    <n v="12"/>
    <m/>
    <m/>
    <n v="0"/>
    <m/>
    <m/>
    <x v="1"/>
    <m/>
    <m/>
    <m/>
    <m/>
  </r>
  <r>
    <x v="0"/>
    <x v="4"/>
    <s v="13 P"/>
    <x v="55"/>
    <s v="جیلانی پولی سٹاک"/>
    <s v="PP"/>
    <n v="10"/>
    <n v="5"/>
    <n v="0"/>
    <s v="-"/>
    <s v="PP"/>
    <n v="11"/>
    <n v="415.55"/>
    <n v="13.2"/>
    <m/>
    <m/>
    <n v="402.35"/>
    <m/>
    <m/>
    <m/>
    <m/>
    <n v="0"/>
    <n v="0"/>
    <m/>
    <m/>
    <m/>
    <m/>
    <m/>
    <m/>
    <m/>
    <m/>
    <n v="0"/>
    <n v="0"/>
    <n v="0"/>
    <n v="12"/>
    <n v="12"/>
    <m/>
    <m/>
    <n v="0"/>
    <m/>
    <m/>
    <x v="1"/>
    <m/>
    <m/>
    <m/>
    <m/>
  </r>
  <r>
    <x v="1"/>
    <x v="4"/>
    <s v="13 P"/>
    <x v="55"/>
    <s v="جیلانی پولی سٹاک"/>
    <s v="PP"/>
    <n v="10"/>
    <n v="5"/>
    <n v="0"/>
    <s v="-"/>
    <s v="PP"/>
    <n v="8"/>
    <n v="408.71"/>
    <n v="9.6"/>
    <m/>
    <m/>
    <n v="399.10999999999996"/>
    <m/>
    <m/>
    <m/>
    <m/>
    <n v="0"/>
    <n v="0"/>
    <m/>
    <m/>
    <m/>
    <m/>
    <m/>
    <m/>
    <m/>
    <m/>
    <n v="0"/>
    <n v="0"/>
    <n v="0"/>
    <n v="12"/>
    <n v="12"/>
    <m/>
    <m/>
    <n v="0"/>
    <m/>
    <m/>
    <x v="1"/>
    <m/>
    <m/>
    <m/>
    <m/>
  </r>
  <r>
    <x v="0"/>
    <x v="0"/>
    <s v="5 P"/>
    <x v="56"/>
    <s v="جیلانی پولی سٹاک"/>
    <s v="PP"/>
    <n v="3.5"/>
    <s v="5.5-6"/>
    <n v="0"/>
    <s v="-"/>
    <s v="PP"/>
    <n v="9"/>
    <n v="125.18"/>
    <n v="3.15"/>
    <n v="25"/>
    <m/>
    <n v="122.03"/>
    <m/>
    <m/>
    <m/>
    <m/>
    <n v="0"/>
    <n v="0"/>
    <m/>
    <m/>
    <m/>
    <m/>
    <m/>
    <m/>
    <m/>
    <m/>
    <n v="0"/>
    <n v="0"/>
    <n v="0"/>
    <n v="12"/>
    <n v="12"/>
    <m/>
    <n v="1950"/>
    <n v="0"/>
    <m/>
    <m/>
    <x v="1"/>
    <m/>
    <m/>
    <m/>
    <m/>
  </r>
  <r>
    <x v="1"/>
    <x v="0"/>
    <s v="5 P"/>
    <x v="56"/>
    <s v="جیلانی پولی سٹاک"/>
    <s v="PP"/>
    <n v="3.5"/>
    <s v="5.5-6"/>
    <n v="0"/>
    <s v="-"/>
    <s v="PP"/>
    <n v="11"/>
    <n v="134.04"/>
    <n v="3.8499999999999996"/>
    <n v="12"/>
    <m/>
    <n v="130.19"/>
    <m/>
    <m/>
    <m/>
    <m/>
    <n v="0"/>
    <n v="0"/>
    <m/>
    <m/>
    <m/>
    <m/>
    <m/>
    <m/>
    <m/>
    <m/>
    <n v="0"/>
    <n v="0"/>
    <n v="0"/>
    <n v="12"/>
    <n v="12"/>
    <m/>
    <m/>
    <n v="0"/>
    <m/>
    <m/>
    <x v="1"/>
    <m/>
    <m/>
    <m/>
    <m/>
  </r>
  <r>
    <x v="0"/>
    <x v="1"/>
    <s v="3 P"/>
    <x v="56"/>
    <s v="جیلانی پولی سٹاک"/>
    <s v="PP"/>
    <n v="2.5"/>
    <s v="5.5-6"/>
    <n v="0"/>
    <s v="-"/>
    <s v="PP"/>
    <n v="10"/>
    <n v="93.11999999999999"/>
    <n v="2.5"/>
    <m/>
    <m/>
    <n v="90.61999999999999"/>
    <m/>
    <m/>
    <m/>
    <m/>
    <n v="0"/>
    <n v="0"/>
    <m/>
    <m/>
    <m/>
    <m/>
    <m/>
    <m/>
    <m/>
    <m/>
    <n v="0"/>
    <n v="0"/>
    <n v="0"/>
    <n v="12"/>
    <n v="12"/>
    <m/>
    <m/>
    <n v="0"/>
    <m/>
    <m/>
    <x v="1"/>
    <m/>
    <m/>
    <m/>
    <m/>
  </r>
  <r>
    <x v="1"/>
    <x v="1"/>
    <s v="3 P"/>
    <x v="56"/>
    <s v="جیلانی پولی سٹاک"/>
    <s v="PP"/>
    <n v="2.5"/>
    <s v="5.5-6"/>
    <n v="0"/>
    <s v="-"/>
    <s v="PP"/>
    <n v="12"/>
    <n v="116.64999999999999"/>
    <n v="3"/>
    <m/>
    <m/>
    <n v="113.64999999999999"/>
    <m/>
    <m/>
    <m/>
    <m/>
    <n v="0"/>
    <n v="0"/>
    <m/>
    <m/>
    <m/>
    <m/>
    <m/>
    <m/>
    <m/>
    <m/>
    <n v="0"/>
    <n v="0"/>
    <n v="0"/>
    <n v="12"/>
    <n v="12"/>
    <m/>
    <m/>
    <n v="0"/>
    <m/>
    <m/>
    <x v="1"/>
    <m/>
    <m/>
    <m/>
    <m/>
  </r>
  <r>
    <x v="0"/>
    <x v="2"/>
    <s v="10 P"/>
    <x v="56"/>
    <s v="جیلانی پولی سٹاک"/>
    <s v="PP"/>
    <n v="7"/>
    <n v="5"/>
    <n v="0"/>
    <s v="-"/>
    <s v="PP"/>
    <n v="9"/>
    <n v="346.28"/>
    <n v="6.3"/>
    <m/>
    <m/>
    <n v="339.97999999999996"/>
    <m/>
    <m/>
    <m/>
    <m/>
    <n v="0"/>
    <n v="0"/>
    <m/>
    <m/>
    <m/>
    <m/>
    <m/>
    <m/>
    <m/>
    <m/>
    <n v="0"/>
    <n v="0"/>
    <n v="0"/>
    <n v="12"/>
    <n v="12"/>
    <m/>
    <m/>
    <n v="0"/>
    <m/>
    <m/>
    <x v="1"/>
    <m/>
    <m/>
    <m/>
    <m/>
  </r>
  <r>
    <x v="1"/>
    <x v="2"/>
    <s v="10 P"/>
    <x v="56"/>
    <s v="جیلانی پولی سٹاک"/>
    <s v="PP"/>
    <n v="7"/>
    <n v="5"/>
    <n v="0"/>
    <s v="-"/>
    <s v="PP"/>
    <n v="9"/>
    <n v="323.82"/>
    <n v="6.3"/>
    <m/>
    <m/>
    <n v="317.52"/>
    <m/>
    <m/>
    <m/>
    <m/>
    <n v="0"/>
    <n v="0"/>
    <m/>
    <m/>
    <m/>
    <m/>
    <m/>
    <m/>
    <m/>
    <m/>
    <n v="0"/>
    <n v="0"/>
    <n v="0"/>
    <n v="12"/>
    <n v="12"/>
    <m/>
    <m/>
    <n v="0"/>
    <m/>
    <m/>
    <x v="1"/>
    <m/>
    <m/>
    <m/>
    <m/>
  </r>
  <r>
    <x v="0"/>
    <x v="3"/>
    <s v="19 P"/>
    <x v="56"/>
    <s v="جیلانی پولی سٹاک"/>
    <s v="PP"/>
    <n v="16"/>
    <n v="5"/>
    <n v="0"/>
    <s v="-"/>
    <s v="PP"/>
    <n v="2"/>
    <n v="109.17"/>
    <n v="3.2"/>
    <m/>
    <m/>
    <n v="105.97"/>
    <m/>
    <m/>
    <m/>
    <m/>
    <n v="0"/>
    <n v="0"/>
    <m/>
    <m/>
    <m/>
    <m/>
    <m/>
    <m/>
    <m/>
    <m/>
    <n v="0"/>
    <n v="0"/>
    <n v="0"/>
    <n v="12"/>
    <n v="12"/>
    <m/>
    <m/>
    <n v="0"/>
    <m/>
    <m/>
    <x v="1"/>
    <m/>
    <m/>
    <m/>
    <m/>
  </r>
  <r>
    <x v="0"/>
    <x v="3"/>
    <s v="3566 J"/>
    <x v="56"/>
    <s v="Usman Arif Butt Gujranwala"/>
    <s v="PP"/>
    <n v="16"/>
    <s v="4.5-5"/>
    <s v="1:1"/>
    <n v="1000"/>
    <s v="PP"/>
    <n v="12"/>
    <n v="639.53"/>
    <n v="21.6"/>
    <m/>
    <m/>
    <n v="617.92999999999995"/>
    <m/>
    <m/>
    <m/>
    <m/>
    <n v="0"/>
    <n v="0"/>
    <m/>
    <m/>
    <m/>
    <m/>
    <m/>
    <m/>
    <m/>
    <m/>
    <n v="0"/>
    <n v="0"/>
    <n v="0"/>
    <n v="12"/>
    <n v="12"/>
    <m/>
    <m/>
    <n v="0"/>
    <m/>
    <m/>
    <x v="1"/>
    <m/>
    <m/>
    <m/>
    <m/>
  </r>
  <r>
    <x v="1"/>
    <x v="3"/>
    <s v="3566 J"/>
    <x v="56"/>
    <s v="Usman Arif Butt Gujranwala"/>
    <s v="PP"/>
    <n v="16"/>
    <s v="4.5-5"/>
    <s v="1:1"/>
    <n v="1000"/>
    <s v="PP"/>
    <n v="13"/>
    <n v="624.32000000000005"/>
    <n v="24.7"/>
    <m/>
    <m/>
    <n v="599.62"/>
    <m/>
    <m/>
    <m/>
    <m/>
    <n v="0"/>
    <n v="0"/>
    <m/>
    <m/>
    <m/>
    <m/>
    <m/>
    <m/>
    <m/>
    <m/>
    <n v="0"/>
    <n v="0"/>
    <n v="0"/>
    <n v="12"/>
    <n v="12"/>
    <m/>
    <m/>
    <n v="0"/>
    <m/>
    <m/>
    <x v="1"/>
    <m/>
    <m/>
    <m/>
    <m/>
  </r>
  <r>
    <x v="1"/>
    <x v="3"/>
    <s v="19 P"/>
    <x v="56"/>
    <s v="جیلانی پولی سٹاک"/>
    <s v="PP"/>
    <n v="16"/>
    <n v="5"/>
    <n v="0"/>
    <s v="-"/>
    <s v="PP"/>
    <n v="2"/>
    <n v="91.960000000000008"/>
    <n v="3.2"/>
    <m/>
    <m/>
    <n v="88.76"/>
    <m/>
    <m/>
    <m/>
    <m/>
    <n v="0"/>
    <n v="0"/>
    <m/>
    <m/>
    <m/>
    <m/>
    <m/>
    <m/>
    <m/>
    <m/>
    <n v="0"/>
    <n v="0"/>
    <n v="0"/>
    <n v="12"/>
    <n v="12"/>
    <m/>
    <m/>
    <n v="0"/>
    <m/>
    <m/>
    <x v="1"/>
    <m/>
    <m/>
    <m/>
    <m/>
  </r>
  <r>
    <x v="0"/>
    <x v="4"/>
    <s v="13 P"/>
    <x v="56"/>
    <s v="جیلانی پولی سٹاک"/>
    <s v="PP"/>
    <n v="10"/>
    <n v="5"/>
    <n v="0"/>
    <s v="-"/>
    <s v="PP"/>
    <n v="5"/>
    <n v="265.33999999999997"/>
    <n v="6"/>
    <m/>
    <m/>
    <n v="259.33999999999997"/>
    <m/>
    <n v="20"/>
    <m/>
    <m/>
    <n v="20"/>
    <n v="0.33333333333333331"/>
    <m/>
    <m/>
    <m/>
    <m/>
    <m/>
    <m/>
    <n v="30"/>
    <m/>
    <n v="30"/>
    <n v="0.5"/>
    <n v="0.83333333333333326"/>
    <n v="11.166666666666666"/>
    <n v="12"/>
    <m/>
    <m/>
    <n v="0"/>
    <m/>
    <m/>
    <x v="1"/>
    <m/>
    <m/>
    <m/>
    <m/>
  </r>
  <r>
    <x v="0"/>
    <x v="4"/>
    <s v="15 P"/>
    <x v="56"/>
    <s v="جیلانی پولی سٹاک"/>
    <s v="PP"/>
    <n v="12"/>
    <n v="5"/>
    <n v="0"/>
    <s v="-"/>
    <s v="PP"/>
    <n v="6"/>
    <n v="265.28999999999996"/>
    <n v="7.1999999999999993"/>
    <m/>
    <m/>
    <n v="258.08999999999997"/>
    <m/>
    <m/>
    <m/>
    <m/>
    <n v="0"/>
    <n v="0"/>
    <m/>
    <m/>
    <m/>
    <m/>
    <m/>
    <m/>
    <m/>
    <m/>
    <n v="0"/>
    <n v="0"/>
    <n v="0"/>
    <n v="12"/>
    <n v="12"/>
    <m/>
    <m/>
    <n v="0"/>
    <m/>
    <m/>
    <x v="1"/>
    <m/>
    <m/>
    <m/>
    <m/>
  </r>
  <r>
    <x v="1"/>
    <x v="4"/>
    <s v="15 P"/>
    <x v="56"/>
    <s v="جیلانی پولی سٹاک"/>
    <s v="PP"/>
    <n v="12"/>
    <n v="5"/>
    <n v="0"/>
    <s v="-"/>
    <s v="PP"/>
    <n v="11"/>
    <n v="514.05999999999995"/>
    <n v="13.2"/>
    <m/>
    <m/>
    <n v="500.85999999999996"/>
    <m/>
    <m/>
    <m/>
    <m/>
    <n v="0"/>
    <n v="0"/>
    <m/>
    <m/>
    <m/>
    <m/>
    <m/>
    <m/>
    <m/>
    <m/>
    <n v="0"/>
    <n v="0"/>
    <n v="0"/>
    <n v="12"/>
    <n v="12"/>
    <m/>
    <m/>
    <n v="0"/>
    <m/>
    <m/>
    <x v="1"/>
    <m/>
    <m/>
    <m/>
    <m/>
  </r>
  <r>
    <x v="0"/>
    <x v="0"/>
    <s v="6491/14"/>
    <x v="57"/>
    <s v="آصف پلاسٹک سرگودھا"/>
    <s v="PP"/>
    <n v="3.5"/>
    <n v="4.5"/>
    <n v="0"/>
    <n v="150"/>
    <s v="PP"/>
    <n v="2"/>
    <n v="28.56"/>
    <n v="0.7"/>
    <n v="25"/>
    <m/>
    <n v="27.86"/>
    <m/>
    <n v="20"/>
    <m/>
    <m/>
    <n v="20"/>
    <n v="0.33333333333333331"/>
    <m/>
    <m/>
    <m/>
    <m/>
    <m/>
    <m/>
    <m/>
    <m/>
    <n v="0"/>
    <n v="0"/>
    <n v="0.33333333333333331"/>
    <n v="11.666666666666666"/>
    <n v="12"/>
    <m/>
    <m/>
    <n v="0"/>
    <m/>
    <m/>
    <x v="1"/>
    <m/>
    <m/>
    <m/>
    <m/>
  </r>
  <r>
    <x v="0"/>
    <x v="0"/>
    <s v="6678/11"/>
    <x v="57"/>
    <s v="آصف پلاسٹک سرگودھا"/>
    <s v="PP"/>
    <n v="4.5"/>
    <n v="4.5"/>
    <n v="0"/>
    <n v="250"/>
    <s v="PP"/>
    <n v="4"/>
    <n v="56.2"/>
    <n v="1.8"/>
    <n v="30"/>
    <m/>
    <n v="54.400000000000006"/>
    <m/>
    <m/>
    <m/>
    <m/>
    <n v="0"/>
    <n v="0"/>
    <m/>
    <m/>
    <m/>
    <m/>
    <m/>
    <m/>
    <m/>
    <m/>
    <n v="0"/>
    <n v="0"/>
    <n v="0"/>
    <n v="12"/>
    <n v="12"/>
    <m/>
    <m/>
    <n v="0"/>
    <m/>
    <m/>
    <x v="1"/>
    <m/>
    <m/>
    <m/>
    <m/>
  </r>
  <r>
    <x v="1"/>
    <x v="0"/>
    <s v="7146/1"/>
    <x v="57"/>
    <s v="-"/>
    <s v="-"/>
    <s v="-"/>
    <s v="-"/>
    <s v="-"/>
    <s v="-"/>
    <s v="PP"/>
    <n v="8"/>
    <n v="125.8"/>
    <n v="3.6"/>
    <m/>
    <m/>
    <n v="122.2"/>
    <m/>
    <m/>
    <m/>
    <m/>
    <n v="0"/>
    <n v="0"/>
    <n v="160"/>
    <m/>
    <m/>
    <m/>
    <m/>
    <m/>
    <m/>
    <m/>
    <n v="160"/>
    <n v="2.6666666666666665"/>
    <n v="2.6666666666666665"/>
    <n v="9.3333333333333339"/>
    <n v="12"/>
    <m/>
    <m/>
    <n v="0"/>
    <m/>
    <m/>
    <x v="1"/>
    <m/>
    <m/>
    <m/>
    <m/>
  </r>
  <r>
    <x v="0"/>
    <x v="1"/>
    <s v="3 P"/>
    <x v="57"/>
    <s v="جیلانی پولی سٹاک"/>
    <s v="PP"/>
    <n v="2.5"/>
    <s v="5.5-6"/>
    <n v="0"/>
    <s v="-"/>
    <s v="PP"/>
    <n v="11"/>
    <n v="92.96"/>
    <n v="2.75"/>
    <m/>
    <m/>
    <n v="90.21"/>
    <m/>
    <m/>
    <m/>
    <m/>
    <n v="0"/>
    <n v="0"/>
    <m/>
    <m/>
    <m/>
    <m/>
    <m/>
    <m/>
    <m/>
    <m/>
    <n v="0"/>
    <n v="0"/>
    <n v="0"/>
    <n v="12"/>
    <n v="12"/>
    <m/>
    <m/>
    <n v="0"/>
    <m/>
    <m/>
    <x v="1"/>
    <m/>
    <m/>
    <m/>
    <m/>
  </r>
  <r>
    <x v="1"/>
    <x v="1"/>
    <s v="7138/7"/>
    <x v="57"/>
    <s v="محبوب مقبول گوجرانوالہ"/>
    <s v="PP"/>
    <n v="2.5"/>
    <n v="5"/>
    <n v="0"/>
    <n v="200"/>
    <s v="PP"/>
    <n v="10"/>
    <n v="83.899999999999991"/>
    <n v="2.5"/>
    <m/>
    <m/>
    <n v="81.399999999999991"/>
    <m/>
    <m/>
    <m/>
    <m/>
    <n v="0"/>
    <n v="0"/>
    <m/>
    <m/>
    <m/>
    <m/>
    <m/>
    <m/>
    <m/>
    <m/>
    <n v="0"/>
    <n v="0"/>
    <n v="0"/>
    <n v="12"/>
    <n v="12"/>
    <m/>
    <m/>
    <n v="0"/>
    <m/>
    <m/>
    <x v="1"/>
    <m/>
    <m/>
    <m/>
    <m/>
  </r>
  <r>
    <x v="0"/>
    <x v="2"/>
    <s v="10 p"/>
    <x v="57"/>
    <s v="جیلانی پولی سٹاک"/>
    <s v="PP"/>
    <n v="7"/>
    <n v="5"/>
    <n v="0"/>
    <s v="-"/>
    <s v="PP"/>
    <n v="7"/>
    <n v="279.38"/>
    <n v="5.6000000000000005"/>
    <m/>
    <m/>
    <n v="273.77999999999997"/>
    <m/>
    <n v="20"/>
    <m/>
    <m/>
    <n v="20"/>
    <n v="0.33333333333333331"/>
    <m/>
    <m/>
    <m/>
    <m/>
    <m/>
    <m/>
    <m/>
    <m/>
    <n v="0"/>
    <n v="0"/>
    <n v="0.33333333333333331"/>
    <n v="11.666666666666666"/>
    <n v="12"/>
    <m/>
    <m/>
    <n v="0"/>
    <m/>
    <m/>
    <x v="1"/>
    <m/>
    <m/>
    <m/>
    <m/>
  </r>
  <r>
    <x v="1"/>
    <x v="2"/>
    <s v="10 p"/>
    <x v="57"/>
    <s v="جیلانی پولی سٹاک"/>
    <s v="PP"/>
    <n v="7"/>
    <n v="5"/>
    <n v="0"/>
    <s v="-"/>
    <s v="PP"/>
    <n v="6"/>
    <n v="184.68"/>
    <n v="5.6000000000000005"/>
    <m/>
    <m/>
    <n v="179.08"/>
    <m/>
    <m/>
    <m/>
    <m/>
    <n v="0"/>
    <n v="0"/>
    <m/>
    <m/>
    <m/>
    <m/>
    <m/>
    <m/>
    <m/>
    <m/>
    <n v="0"/>
    <n v="0"/>
    <n v="0"/>
    <n v="12"/>
    <n v="12"/>
    <m/>
    <m/>
    <n v="0"/>
    <m/>
    <m/>
    <x v="1"/>
    <m/>
    <m/>
    <m/>
    <m/>
  </r>
  <r>
    <x v="1"/>
    <x v="2"/>
    <s v="9 p"/>
    <x v="57"/>
    <s v="جیلانی پولی سٹاک"/>
    <s v="PP"/>
    <n v="6"/>
    <n v="5"/>
    <n v="0"/>
    <s v="-"/>
    <s v="PP"/>
    <n v="2"/>
    <n v="57.52"/>
    <n v="1.2"/>
    <m/>
    <m/>
    <n v="56.32"/>
    <m/>
    <m/>
    <m/>
    <m/>
    <n v="0"/>
    <n v="0"/>
    <m/>
    <m/>
    <m/>
    <m/>
    <m/>
    <m/>
    <m/>
    <m/>
    <n v="0"/>
    <n v="0"/>
    <n v="0"/>
    <n v="12"/>
    <n v="12"/>
    <m/>
    <m/>
    <n v="0"/>
    <m/>
    <m/>
    <x v="1"/>
    <m/>
    <m/>
    <m/>
    <m/>
  </r>
  <r>
    <x v="0"/>
    <x v="3"/>
    <s v="7149/5"/>
    <x v="57"/>
    <s v="العمر پلاسٹک گوجرانوالہ"/>
    <s v="PP"/>
    <n v="16"/>
    <n v="10"/>
    <n v="0"/>
    <n v="125"/>
    <s v="PP"/>
    <n v="2"/>
    <n v="101.03"/>
    <n v="3.75"/>
    <m/>
    <m/>
    <n v="97.28"/>
    <m/>
    <n v="20"/>
    <m/>
    <m/>
    <n v="20"/>
    <n v="0.33333333333333331"/>
    <m/>
    <m/>
    <m/>
    <m/>
    <m/>
    <m/>
    <m/>
    <m/>
    <n v="0"/>
    <n v="0"/>
    <n v="0.33333333333333331"/>
    <n v="11.666666666666666"/>
    <n v="12"/>
    <m/>
    <m/>
    <n v="0"/>
    <m/>
    <m/>
    <x v="1"/>
    <m/>
    <m/>
    <m/>
    <m/>
  </r>
  <r>
    <x v="0"/>
    <x v="3"/>
    <s v="7149/7"/>
    <x v="57"/>
    <s v="العمر پلاسٹک گوجرانوالہ"/>
    <s v="PP"/>
    <n v="20"/>
    <n v="10"/>
    <n v="0"/>
    <n v="250"/>
    <s v="PP"/>
    <n v="6"/>
    <n v="276.20999999999998"/>
    <n v="14.86"/>
    <m/>
    <m/>
    <n v="261.34999999999997"/>
    <m/>
    <m/>
    <m/>
    <m/>
    <n v="0"/>
    <n v="0"/>
    <m/>
    <m/>
    <m/>
    <m/>
    <m/>
    <m/>
    <m/>
    <m/>
    <n v="0"/>
    <n v="0"/>
    <n v="0"/>
    <n v="12"/>
    <n v="12"/>
    <m/>
    <m/>
    <n v="0"/>
    <m/>
    <m/>
    <x v="1"/>
    <m/>
    <m/>
    <m/>
    <m/>
  </r>
  <r>
    <x v="0"/>
    <x v="3"/>
    <s v="3312 J"/>
    <x v="57"/>
    <s v="M.K.B Peshawar"/>
    <s v="PP"/>
    <n v="20"/>
    <s v="6-6.5"/>
    <s v="پیور"/>
    <n v="200"/>
    <s v="PP"/>
    <n v="8"/>
    <n v="429.45"/>
    <n v="19.36"/>
    <m/>
    <m/>
    <n v="410.09"/>
    <m/>
    <m/>
    <m/>
    <m/>
    <n v="0"/>
    <n v="0"/>
    <m/>
    <m/>
    <m/>
    <m/>
    <m/>
    <m/>
    <m/>
    <m/>
    <n v="0"/>
    <n v="0"/>
    <n v="0"/>
    <n v="12"/>
    <n v="12"/>
    <m/>
    <m/>
    <n v="0"/>
    <m/>
    <m/>
    <x v="1"/>
    <m/>
    <m/>
    <m/>
    <m/>
  </r>
  <r>
    <x v="1"/>
    <x v="3"/>
    <s v="3312 J"/>
    <x v="57"/>
    <s v="M.K.B Peshawar"/>
    <s v="PP"/>
    <n v="20"/>
    <s v="6-6.5"/>
    <s v="پیور"/>
    <n v="200"/>
    <s v="PP"/>
    <n v="13"/>
    <n v="630.20999999999992"/>
    <n v="31.2"/>
    <m/>
    <m/>
    <n v="599.00999999999988"/>
    <m/>
    <m/>
    <m/>
    <m/>
    <n v="0"/>
    <n v="0"/>
    <m/>
    <m/>
    <m/>
    <m/>
    <m/>
    <m/>
    <m/>
    <m/>
    <n v="0"/>
    <n v="0"/>
    <n v="0"/>
    <n v="12"/>
    <n v="12"/>
    <m/>
    <m/>
    <n v="0"/>
    <m/>
    <m/>
    <x v="1"/>
    <m/>
    <m/>
    <m/>
    <m/>
  </r>
  <r>
    <x v="0"/>
    <x v="4"/>
    <s v="15 P"/>
    <x v="57"/>
    <s v="جیلانی پولی سٹاک"/>
    <s v="PP"/>
    <n v="12"/>
    <n v="5"/>
    <n v="0"/>
    <s v="-"/>
    <s v="PP"/>
    <n v="10"/>
    <n v="544.21"/>
    <n v="1.2"/>
    <m/>
    <m/>
    <n v="543.01"/>
    <m/>
    <m/>
    <m/>
    <m/>
    <n v="0"/>
    <n v="0"/>
    <m/>
    <m/>
    <m/>
    <m/>
    <m/>
    <m/>
    <m/>
    <m/>
    <n v="0"/>
    <n v="0"/>
    <n v="0"/>
    <n v="12"/>
    <n v="12"/>
    <m/>
    <m/>
    <n v="0"/>
    <m/>
    <m/>
    <x v="1"/>
    <m/>
    <m/>
    <m/>
    <m/>
  </r>
  <r>
    <x v="1"/>
    <x v="4"/>
    <s v="7149/1"/>
    <x v="57"/>
    <s v="العمر پلاسٹک گوجرانوالہ"/>
    <s v="PP"/>
    <n v="9"/>
    <n v="10"/>
    <n v="0"/>
    <n v="125"/>
    <s v="PP"/>
    <n v="6"/>
    <n v="128.32"/>
    <n v="5.4"/>
    <m/>
    <m/>
    <n v="122.91999999999999"/>
    <m/>
    <m/>
    <m/>
    <n v="60"/>
    <n v="60"/>
    <n v="1"/>
    <m/>
    <m/>
    <m/>
    <m/>
    <m/>
    <m/>
    <m/>
    <m/>
    <n v="0"/>
    <n v="0"/>
    <n v="1"/>
    <n v="11"/>
    <n v="12"/>
    <m/>
    <m/>
    <n v="0"/>
    <m/>
    <m/>
    <x v="1"/>
    <m/>
    <m/>
    <m/>
    <m/>
  </r>
  <r>
    <x v="1"/>
    <x v="4"/>
    <s v="12 P"/>
    <x v="57"/>
    <s v="جیلانی پولی سٹاک"/>
    <s v="PP"/>
    <n v="9"/>
    <n v="5"/>
    <n v="0"/>
    <s v="-"/>
    <s v="PP"/>
    <n v="6"/>
    <n v="160.37"/>
    <n v="5.4"/>
    <m/>
    <m/>
    <n v="154.97"/>
    <m/>
    <m/>
    <m/>
    <m/>
    <n v="0"/>
    <n v="0"/>
    <m/>
    <m/>
    <m/>
    <m/>
    <m/>
    <m/>
    <m/>
    <m/>
    <n v="0"/>
    <n v="0"/>
    <n v="0"/>
    <n v="12"/>
    <n v="12"/>
    <m/>
    <m/>
    <n v="0"/>
    <m/>
    <m/>
    <x v="1"/>
    <m/>
    <m/>
    <m/>
    <m/>
  </r>
  <r>
    <x v="1"/>
    <x v="4"/>
    <s v="12 P"/>
    <x v="57"/>
    <s v="جیلانی پولی سٹاک"/>
    <s v="PP"/>
    <n v="9"/>
    <n v="5"/>
    <n v="0"/>
    <s v="-"/>
    <s v="PP"/>
    <n v="2"/>
    <n v="78.02"/>
    <n v="1.8"/>
    <m/>
    <m/>
    <n v="76.22"/>
    <m/>
    <m/>
    <m/>
    <m/>
    <n v="0"/>
    <n v="0"/>
    <m/>
    <m/>
    <m/>
    <m/>
    <m/>
    <m/>
    <m/>
    <m/>
    <n v="0"/>
    <n v="0"/>
    <n v="0"/>
    <n v="12"/>
    <n v="12"/>
    <m/>
    <m/>
    <n v="0"/>
    <m/>
    <m/>
    <x v="1"/>
    <m/>
    <m/>
    <m/>
    <m/>
  </r>
  <r>
    <x v="0"/>
    <x v="0"/>
    <s v="7 P"/>
    <x v="58"/>
    <s v="جیلانی پولی سٹاک"/>
    <s v="PP"/>
    <n v="4.5"/>
    <s v="5.5-6"/>
    <n v="0"/>
    <s v="-"/>
    <s v="PP"/>
    <n v="6"/>
    <n v="87.72999999999999"/>
    <n v="2.7"/>
    <n v="37"/>
    <m/>
    <n v="85.029999999999987"/>
    <m/>
    <m/>
    <m/>
    <m/>
    <n v="0"/>
    <n v="0"/>
    <m/>
    <m/>
    <m/>
    <m/>
    <m/>
    <m/>
    <m/>
    <m/>
    <n v="0"/>
    <n v="0"/>
    <n v="0"/>
    <n v="12"/>
    <n v="12"/>
    <m/>
    <m/>
    <n v="0"/>
    <m/>
    <m/>
    <x v="1"/>
    <m/>
    <m/>
    <m/>
    <m/>
  </r>
  <r>
    <x v="0"/>
    <x v="0"/>
    <s v="1 P"/>
    <x v="58"/>
    <s v="جیلانی پولی سٹاک"/>
    <s v="PP"/>
    <n v="1.5"/>
    <s v="5.5-6"/>
    <n v="0"/>
    <s v="-"/>
    <s v="PP"/>
    <n v="2"/>
    <n v="27.95"/>
    <n v="0.3"/>
    <n v="24"/>
    <m/>
    <n v="27.65"/>
    <m/>
    <m/>
    <m/>
    <m/>
    <n v="0"/>
    <n v="0"/>
    <m/>
    <m/>
    <m/>
    <m/>
    <m/>
    <m/>
    <m/>
    <m/>
    <n v="0"/>
    <n v="0"/>
    <n v="0"/>
    <n v="12"/>
    <n v="12"/>
    <m/>
    <m/>
    <n v="0"/>
    <m/>
    <m/>
    <x v="1"/>
    <m/>
    <m/>
    <m/>
    <m/>
  </r>
  <r>
    <x v="0"/>
    <x v="1"/>
    <s v="8 P"/>
    <x v="58"/>
    <s v="جیلانی پولی سٹاک"/>
    <s v="PP"/>
    <n v="5"/>
    <s v="5.5-6"/>
    <n v="0"/>
    <s v="-"/>
    <s v="PP"/>
    <n v="9"/>
    <n v="116.86999999999998"/>
    <n v="4.5"/>
    <m/>
    <m/>
    <n v="112.36999999999998"/>
    <m/>
    <m/>
    <m/>
    <m/>
    <n v="0"/>
    <n v="0"/>
    <m/>
    <m/>
    <m/>
    <m/>
    <m/>
    <m/>
    <m/>
    <m/>
    <n v="0"/>
    <n v="0"/>
    <n v="0"/>
    <n v="12"/>
    <n v="12"/>
    <m/>
    <m/>
    <n v="0"/>
    <m/>
    <m/>
    <x v="1"/>
    <m/>
    <m/>
    <m/>
    <m/>
  </r>
  <r>
    <x v="0"/>
    <x v="2"/>
    <s v="9 P"/>
    <x v="58"/>
    <s v="جیلانی پولی سٹاک"/>
    <s v="PP"/>
    <n v="6"/>
    <n v="5"/>
    <n v="0"/>
    <s v="-"/>
    <s v="PP"/>
    <n v="8"/>
    <n v="282.03999999999996"/>
    <n v="5.6"/>
    <m/>
    <m/>
    <n v="276.43999999999994"/>
    <m/>
    <m/>
    <m/>
    <m/>
    <n v="0"/>
    <n v="0"/>
    <m/>
    <m/>
    <m/>
    <m/>
    <m/>
    <m/>
    <m/>
    <m/>
    <n v="0"/>
    <n v="0"/>
    <n v="0"/>
    <n v="12"/>
    <n v="12"/>
    <m/>
    <m/>
    <n v="0"/>
    <m/>
    <m/>
    <x v="1"/>
    <m/>
    <m/>
    <m/>
    <m/>
  </r>
  <r>
    <x v="1"/>
    <x v="2"/>
    <s v="9 P"/>
    <x v="58"/>
    <s v="جیلانی پولی سٹاک"/>
    <s v="PP"/>
    <n v="6"/>
    <n v="5"/>
    <n v="0"/>
    <s v="-"/>
    <s v="PP"/>
    <n v="8"/>
    <n v="244.37000000000003"/>
    <n v="4.8"/>
    <m/>
    <m/>
    <n v="239.57000000000002"/>
    <m/>
    <m/>
    <m/>
    <m/>
    <n v="0"/>
    <n v="0"/>
    <m/>
    <m/>
    <m/>
    <m/>
    <m/>
    <m/>
    <m/>
    <m/>
    <n v="0"/>
    <n v="0"/>
    <n v="0"/>
    <n v="12"/>
    <n v="12"/>
    <m/>
    <m/>
    <n v="0"/>
    <m/>
    <m/>
    <x v="1"/>
    <m/>
    <m/>
    <m/>
    <m/>
  </r>
  <r>
    <x v="0"/>
    <x v="3"/>
    <s v="3312 J"/>
    <x v="58"/>
    <s v="M.K.B Peshawar"/>
    <s v="PP"/>
    <n v="20"/>
    <s v="6-6.5"/>
    <s v="پیور"/>
    <n v="200"/>
    <s v="PP"/>
    <n v="9"/>
    <n v="520.86"/>
    <n v="21.599999999999998"/>
    <m/>
    <m/>
    <n v="499.26"/>
    <m/>
    <m/>
    <m/>
    <m/>
    <n v="0"/>
    <n v="0"/>
    <m/>
    <m/>
    <m/>
    <m/>
    <m/>
    <m/>
    <m/>
    <m/>
    <n v="0"/>
    <n v="0"/>
    <n v="0"/>
    <n v="12"/>
    <n v="12"/>
    <m/>
    <m/>
    <n v="0"/>
    <m/>
    <m/>
    <x v="1"/>
    <m/>
    <m/>
    <m/>
    <m/>
  </r>
  <r>
    <x v="0"/>
    <x v="3"/>
    <s v="3442 J"/>
    <x v="58"/>
    <s v="Jilani Poly Stock"/>
    <s v="PP"/>
    <n v="24"/>
    <s v="5-5.5"/>
    <s v="1:1"/>
    <n v="500"/>
    <s v="PP"/>
    <n v="4"/>
    <n v="248.42000000000002"/>
    <n v="7.6999999999999993"/>
    <m/>
    <m/>
    <n v="240.72000000000003"/>
    <m/>
    <m/>
    <m/>
    <m/>
    <n v="0"/>
    <n v="0"/>
    <m/>
    <m/>
    <m/>
    <m/>
    <m/>
    <m/>
    <m/>
    <m/>
    <n v="0"/>
    <n v="0"/>
    <n v="0"/>
    <n v="12"/>
    <n v="12"/>
    <m/>
    <m/>
    <n v="0"/>
    <m/>
    <m/>
    <x v="1"/>
    <m/>
    <m/>
    <m/>
    <m/>
  </r>
  <r>
    <x v="1"/>
    <x v="3"/>
    <s v="3442 J"/>
    <x v="58"/>
    <s v="Jilani Poly Stock"/>
    <s v="PP"/>
    <n v="24"/>
    <s v="5-5.5"/>
    <s v="1:1"/>
    <n v="500"/>
    <s v="PP"/>
    <n v="12"/>
    <n v="701.50999999999988"/>
    <n v="22.799999999999997"/>
    <m/>
    <m/>
    <n v="678.70999999999992"/>
    <m/>
    <m/>
    <m/>
    <m/>
    <n v="0"/>
    <n v="0"/>
    <m/>
    <m/>
    <m/>
    <m/>
    <m/>
    <m/>
    <m/>
    <m/>
    <n v="0"/>
    <n v="0"/>
    <n v="0"/>
    <n v="12"/>
    <n v="12"/>
    <m/>
    <m/>
    <n v="0"/>
    <m/>
    <m/>
    <x v="1"/>
    <m/>
    <m/>
    <m/>
    <m/>
  </r>
  <r>
    <x v="0"/>
    <x v="4"/>
    <s v="12 P"/>
    <x v="58"/>
    <s v="جیلانی پولی سٹاک"/>
    <s v="PP"/>
    <n v="9"/>
    <n v="5"/>
    <n v="0"/>
    <s v="-"/>
    <s v="PP"/>
    <n v="9"/>
    <n v="386.37999999999994"/>
    <n v="8.1"/>
    <m/>
    <m/>
    <n v="378.27999999999992"/>
    <m/>
    <m/>
    <m/>
    <m/>
    <n v="0"/>
    <n v="0"/>
    <m/>
    <m/>
    <m/>
    <m/>
    <m/>
    <m/>
    <m/>
    <m/>
    <n v="0"/>
    <n v="0"/>
    <n v="0"/>
    <n v="12"/>
    <n v="12"/>
    <m/>
    <m/>
    <n v="0"/>
    <m/>
    <m/>
    <x v="1"/>
    <m/>
    <m/>
    <m/>
    <m/>
  </r>
  <r>
    <x v="1"/>
    <x v="4"/>
    <s v="12 P"/>
    <x v="58"/>
    <s v="جیلانی پولی سٹاک"/>
    <s v="PP"/>
    <n v="9"/>
    <n v="5"/>
    <n v="0"/>
    <s v="-"/>
    <s v="PP"/>
    <n v="10"/>
    <n v="414.03000000000003"/>
    <n v="9"/>
    <m/>
    <m/>
    <n v="405.03000000000003"/>
    <m/>
    <m/>
    <m/>
    <m/>
    <n v="0"/>
    <n v="0"/>
    <m/>
    <m/>
    <m/>
    <m/>
    <m/>
    <m/>
    <m/>
    <m/>
    <n v="0"/>
    <n v="0"/>
    <n v="0"/>
    <n v="12"/>
    <n v="12"/>
    <m/>
    <m/>
    <n v="0"/>
    <m/>
    <m/>
    <x v="1"/>
    <m/>
    <m/>
    <m/>
    <m/>
  </r>
  <r>
    <x v="0"/>
    <x v="0"/>
    <s v="1 P"/>
    <x v="59"/>
    <s v="جیلانی پولی سٹاک"/>
    <s v="PP"/>
    <n v="1.5"/>
    <s v="5.5-6"/>
    <n v="0"/>
    <s v="-"/>
    <s v="PP"/>
    <n v="5"/>
    <n v="97.4"/>
    <n v="0.75"/>
    <n v="29"/>
    <m/>
    <n v="96.65"/>
    <m/>
    <m/>
    <m/>
    <m/>
    <n v="0"/>
    <n v="0"/>
    <m/>
    <m/>
    <m/>
    <m/>
    <m/>
    <m/>
    <m/>
    <m/>
    <n v="0"/>
    <n v="0"/>
    <n v="0"/>
    <n v="12"/>
    <n v="12"/>
    <m/>
    <m/>
    <n v="0"/>
    <m/>
    <m/>
    <x v="1"/>
    <m/>
    <m/>
    <m/>
    <m/>
  </r>
  <r>
    <x v="1"/>
    <x v="0"/>
    <s v="1 P"/>
    <x v="59"/>
    <s v="جیلانی پولی سٹاک"/>
    <s v="PP"/>
    <n v="1.5"/>
    <s v="5.5-6"/>
    <n v="0"/>
    <s v="-"/>
    <s v="PP"/>
    <n v="2"/>
    <n v="27.28"/>
    <n v="0.3"/>
    <n v="18"/>
    <m/>
    <n v="26.98"/>
    <m/>
    <m/>
    <m/>
    <m/>
    <n v="0"/>
    <n v="0"/>
    <m/>
    <m/>
    <m/>
    <m/>
    <m/>
    <m/>
    <m/>
    <m/>
    <n v="0"/>
    <n v="0"/>
    <n v="0"/>
    <n v="12"/>
    <n v="12"/>
    <m/>
    <m/>
    <n v="0"/>
    <m/>
    <m/>
    <x v="1"/>
    <m/>
    <m/>
    <m/>
    <m/>
  </r>
  <r>
    <x v="1"/>
    <x v="0"/>
    <s v="3 P"/>
    <x v="59"/>
    <s v="جیلانی پولی سٹاک"/>
    <s v="PP"/>
    <n v="2.5"/>
    <s v="5.5-6"/>
    <n v="0"/>
    <s v="-"/>
    <s v="PP"/>
    <n v="9"/>
    <n v="85.78"/>
    <n v="2.25"/>
    <m/>
    <m/>
    <n v="83.53"/>
    <m/>
    <m/>
    <m/>
    <m/>
    <n v="0"/>
    <n v="0"/>
    <m/>
    <m/>
    <m/>
    <m/>
    <m/>
    <m/>
    <m/>
    <m/>
    <n v="0"/>
    <n v="0"/>
    <n v="0"/>
    <n v="12"/>
    <n v="12"/>
    <m/>
    <m/>
    <n v="0"/>
    <m/>
    <m/>
    <x v="1"/>
    <m/>
    <m/>
    <m/>
    <m/>
  </r>
  <r>
    <x v="0"/>
    <x v="1"/>
    <s v="8 P"/>
    <x v="59"/>
    <s v="جیلانی پولی سٹاک"/>
    <s v="PP"/>
    <n v="5"/>
    <s v="5.5-6"/>
    <n v="0"/>
    <s v="-"/>
    <s v="PP"/>
    <n v="8"/>
    <n v="117.10999999999999"/>
    <n v="4"/>
    <m/>
    <m/>
    <n v="113.10999999999999"/>
    <m/>
    <m/>
    <m/>
    <m/>
    <n v="0"/>
    <n v="0"/>
    <m/>
    <m/>
    <m/>
    <m/>
    <m/>
    <m/>
    <m/>
    <m/>
    <n v="0"/>
    <n v="0"/>
    <n v="0"/>
    <n v="12"/>
    <n v="12"/>
    <m/>
    <m/>
    <n v="0"/>
    <m/>
    <m/>
    <x v="1"/>
    <m/>
    <m/>
    <m/>
    <m/>
  </r>
  <r>
    <x v="1"/>
    <x v="1"/>
    <s v="8 P"/>
    <x v="59"/>
    <s v="جیلانی پولی سٹاک"/>
    <s v="PP"/>
    <n v="5"/>
    <s v="5.5-6"/>
    <n v="0"/>
    <s v="-"/>
    <s v="PP"/>
    <n v="2"/>
    <n v="30.130000000000003"/>
    <n v="1"/>
    <m/>
    <m/>
    <n v="29.130000000000003"/>
    <m/>
    <m/>
    <m/>
    <m/>
    <n v="0"/>
    <n v="0"/>
    <m/>
    <m/>
    <m/>
    <m/>
    <m/>
    <m/>
    <m/>
    <m/>
    <n v="0"/>
    <n v="0"/>
    <n v="0"/>
    <n v="12"/>
    <n v="12"/>
    <m/>
    <m/>
    <n v="0"/>
    <m/>
    <m/>
    <x v="1"/>
    <m/>
    <m/>
    <m/>
    <m/>
  </r>
  <r>
    <x v="1"/>
    <x v="1"/>
    <s v="6 P"/>
    <x v="59"/>
    <s v="جیلانی پولی سٹاک"/>
    <s v="PP"/>
    <n v="4"/>
    <s v="5.5-6"/>
    <n v="0"/>
    <s v="-"/>
    <s v="PP"/>
    <n v="7"/>
    <n v="121.53"/>
    <n v="2.8000000000000003"/>
    <m/>
    <m/>
    <n v="118.73"/>
    <m/>
    <m/>
    <m/>
    <m/>
    <n v="0"/>
    <n v="0"/>
    <m/>
    <m/>
    <m/>
    <m/>
    <m/>
    <m/>
    <m/>
    <m/>
    <n v="0"/>
    <n v="0"/>
    <n v="0"/>
    <n v="12"/>
    <n v="12"/>
    <m/>
    <m/>
    <n v="0"/>
    <m/>
    <m/>
    <x v="1"/>
    <m/>
    <m/>
    <m/>
    <m/>
  </r>
  <r>
    <x v="0"/>
    <x v="2"/>
    <s v="9 P"/>
    <x v="59"/>
    <s v="جیلانی پولی سٹاک"/>
    <s v="PP"/>
    <n v="6"/>
    <n v="5"/>
    <n v="0"/>
    <s v="-"/>
    <s v="PP"/>
    <n v="7"/>
    <n v="252.08999999999997"/>
    <n v="4.2"/>
    <m/>
    <m/>
    <n v="247.89"/>
    <m/>
    <m/>
    <m/>
    <m/>
    <n v="0"/>
    <n v="0"/>
    <m/>
    <m/>
    <m/>
    <m/>
    <m/>
    <m/>
    <m/>
    <m/>
    <n v="0"/>
    <n v="0"/>
    <n v="0"/>
    <n v="12"/>
    <n v="12"/>
    <m/>
    <m/>
    <n v="0"/>
    <m/>
    <m/>
    <x v="1"/>
    <m/>
    <m/>
    <m/>
    <m/>
  </r>
  <r>
    <x v="1"/>
    <x v="2"/>
    <s v="9 P"/>
    <x v="59"/>
    <s v="جیلانی پولی سٹاک"/>
    <s v="PP"/>
    <n v="6"/>
    <n v="5"/>
    <n v="0"/>
    <s v="-"/>
    <s v="PP"/>
    <n v="7"/>
    <n v="248.96"/>
    <n v="4.2"/>
    <m/>
    <m/>
    <n v="244.76000000000002"/>
    <m/>
    <m/>
    <m/>
    <m/>
    <n v="0"/>
    <n v="0"/>
    <m/>
    <m/>
    <m/>
    <m/>
    <m/>
    <m/>
    <m/>
    <m/>
    <n v="0"/>
    <n v="0"/>
    <n v="0"/>
    <n v="12"/>
    <n v="12"/>
    <m/>
    <m/>
    <n v="0"/>
    <m/>
    <m/>
    <x v="1"/>
    <m/>
    <m/>
    <m/>
    <m/>
  </r>
  <r>
    <x v="0"/>
    <x v="3"/>
    <s v="3442 J"/>
    <x v="59"/>
    <s v="Jilani Poly Stock"/>
    <s v="PP"/>
    <n v="24"/>
    <s v="5-5.5"/>
    <s v="1:1"/>
    <n v="500"/>
    <s v="PP"/>
    <n v="4"/>
    <n v="237.18"/>
    <n v="7.6"/>
    <m/>
    <m/>
    <n v="229.58"/>
    <m/>
    <m/>
    <m/>
    <m/>
    <n v="0"/>
    <n v="0"/>
    <m/>
    <m/>
    <m/>
    <m/>
    <m/>
    <m/>
    <m/>
    <m/>
    <n v="0"/>
    <n v="0"/>
    <n v="0"/>
    <n v="12"/>
    <n v="12"/>
    <m/>
    <m/>
    <n v="0"/>
    <m/>
    <m/>
    <x v="1"/>
    <m/>
    <m/>
    <m/>
    <m/>
  </r>
  <r>
    <x v="0"/>
    <x v="3"/>
    <s v="26 P"/>
    <x v="59"/>
    <s v="جیلانی پولی سٹاک"/>
    <s v="PP"/>
    <n v="26"/>
    <n v="5"/>
    <n v="0"/>
    <s v="-"/>
    <s v="PP"/>
    <n v="2"/>
    <n v="111.76"/>
    <n v="7.3000000000000007"/>
    <m/>
    <m/>
    <n v="104.46000000000001"/>
    <m/>
    <m/>
    <m/>
    <m/>
    <n v="0"/>
    <n v="0"/>
    <m/>
    <m/>
    <m/>
    <m/>
    <m/>
    <m/>
    <m/>
    <m/>
    <n v="0"/>
    <n v="0"/>
    <n v="0"/>
    <n v="12"/>
    <n v="12"/>
    <m/>
    <m/>
    <n v="0"/>
    <m/>
    <m/>
    <x v="1"/>
    <m/>
    <m/>
    <m/>
    <m/>
  </r>
  <r>
    <x v="0"/>
    <x v="3"/>
    <s v="21 P"/>
    <x v="59"/>
    <s v="جیلانی پولی سٹاک"/>
    <s v="PP"/>
    <n v="18"/>
    <n v="5"/>
    <n v="0"/>
    <s v="-"/>
    <s v="PP"/>
    <n v="5"/>
    <n v="265.04000000000002"/>
    <n v="11"/>
    <m/>
    <m/>
    <n v="254.04000000000002"/>
    <m/>
    <m/>
    <m/>
    <m/>
    <n v="0"/>
    <n v="0"/>
    <m/>
    <m/>
    <m/>
    <m/>
    <m/>
    <m/>
    <m/>
    <m/>
    <n v="0"/>
    <n v="0"/>
    <n v="0"/>
    <n v="12"/>
    <n v="12"/>
    <m/>
    <m/>
    <n v="0"/>
    <m/>
    <m/>
    <x v="1"/>
    <m/>
    <m/>
    <m/>
    <m/>
  </r>
  <r>
    <x v="0"/>
    <x v="3"/>
    <s v="25 P"/>
    <x v="59"/>
    <s v="جیلانی پولی سٹاک"/>
    <s v="PP"/>
    <n v="24"/>
    <n v="5"/>
    <n v="0"/>
    <s v="-"/>
    <s v="PP"/>
    <n v="2"/>
    <n v="141.67000000000002"/>
    <n v="3.9"/>
    <m/>
    <m/>
    <n v="137.77000000000001"/>
    <m/>
    <m/>
    <m/>
    <m/>
    <n v="0"/>
    <n v="0"/>
    <m/>
    <m/>
    <m/>
    <m/>
    <m/>
    <m/>
    <m/>
    <m/>
    <n v="0"/>
    <n v="0"/>
    <n v="0"/>
    <n v="12"/>
    <n v="12"/>
    <m/>
    <m/>
    <n v="0"/>
    <m/>
    <m/>
    <x v="1"/>
    <m/>
    <m/>
    <m/>
    <m/>
  </r>
  <r>
    <x v="1"/>
    <x v="3"/>
    <s v="21 P"/>
    <x v="59"/>
    <s v="جیلانی پولی سٹاک"/>
    <s v="PP"/>
    <n v="18"/>
    <n v="5"/>
    <n v="0"/>
    <s v="-"/>
    <s v="PP"/>
    <n v="12"/>
    <n v="690.00000000000011"/>
    <n v="24"/>
    <m/>
    <m/>
    <n v="666.00000000000011"/>
    <m/>
    <m/>
    <m/>
    <m/>
    <n v="0"/>
    <n v="0"/>
    <m/>
    <m/>
    <m/>
    <m/>
    <m/>
    <m/>
    <m/>
    <m/>
    <n v="0"/>
    <n v="0"/>
    <n v="0"/>
    <n v="12"/>
    <n v="12"/>
    <m/>
    <m/>
    <n v="0"/>
    <m/>
    <m/>
    <x v="1"/>
    <m/>
    <m/>
    <m/>
    <m/>
  </r>
  <r>
    <x v="0"/>
    <x v="4"/>
    <s v="12 P"/>
    <x v="59"/>
    <s v="جیلانی پولی سٹاک"/>
    <s v="PP"/>
    <n v="9"/>
    <n v="5"/>
    <n v="0"/>
    <s v="-"/>
    <s v="PP"/>
    <n v="3"/>
    <n v="150.1"/>
    <n v="3.5999999999999996"/>
    <m/>
    <m/>
    <n v="146.5"/>
    <m/>
    <m/>
    <m/>
    <m/>
    <n v="0"/>
    <n v="0"/>
    <m/>
    <m/>
    <m/>
    <m/>
    <m/>
    <m/>
    <m/>
    <m/>
    <n v="0"/>
    <n v="0"/>
    <n v="0"/>
    <n v="12"/>
    <n v="12"/>
    <m/>
    <m/>
    <n v="0"/>
    <m/>
    <m/>
    <x v="1"/>
    <m/>
    <m/>
    <m/>
    <m/>
  </r>
  <r>
    <x v="0"/>
    <x v="4"/>
    <s v="15 P"/>
    <x v="59"/>
    <s v="جیلانی پولی سٹاک"/>
    <s v="PP"/>
    <n v="12"/>
    <n v="5"/>
    <n v="0"/>
    <s v="-"/>
    <s v="PP"/>
    <n v="7"/>
    <n v="372.28"/>
    <n v="8.4"/>
    <m/>
    <m/>
    <n v="363.88"/>
    <m/>
    <m/>
    <m/>
    <m/>
    <n v="0"/>
    <n v="0"/>
    <m/>
    <m/>
    <m/>
    <m/>
    <m/>
    <m/>
    <m/>
    <m/>
    <n v="0"/>
    <n v="0"/>
    <n v="0"/>
    <n v="12"/>
    <n v="12"/>
    <m/>
    <m/>
    <n v="0"/>
    <m/>
    <m/>
    <x v="1"/>
    <m/>
    <m/>
    <m/>
    <m/>
  </r>
  <r>
    <x v="1"/>
    <x v="4"/>
    <s v="15 P"/>
    <x v="59"/>
    <s v="جیلانی پولی سٹاک"/>
    <s v="PP"/>
    <n v="12"/>
    <n v="5"/>
    <n v="0"/>
    <s v="-"/>
    <s v="PP"/>
    <n v="10"/>
    <n v="493.54999999999995"/>
    <n v="12"/>
    <m/>
    <m/>
    <n v="481.54999999999995"/>
    <m/>
    <m/>
    <m/>
    <m/>
    <n v="0"/>
    <n v="0"/>
    <m/>
    <m/>
    <m/>
    <m/>
    <m/>
    <m/>
    <m/>
    <m/>
    <n v="0"/>
    <n v="0"/>
    <n v="0"/>
    <n v="12"/>
    <n v="12"/>
    <m/>
    <m/>
    <n v="0"/>
    <m/>
    <m/>
    <x v="1"/>
    <m/>
    <m/>
    <m/>
    <m/>
  </r>
  <r>
    <x v="0"/>
    <x v="0"/>
    <s v="3 P"/>
    <x v="60"/>
    <s v="جیلانی پولی سٹاک"/>
    <s v="PP"/>
    <n v="2.5"/>
    <s v="5.5-6"/>
    <n v="0"/>
    <s v="-"/>
    <s v="PP"/>
    <n v="10"/>
    <n v="128.09"/>
    <n v="2.5"/>
    <n v="22"/>
    <m/>
    <n v="125.59"/>
    <m/>
    <m/>
    <m/>
    <m/>
    <n v="0"/>
    <n v="0"/>
    <m/>
    <m/>
    <m/>
    <m/>
    <m/>
    <m/>
    <m/>
    <m/>
    <n v="0"/>
    <n v="0"/>
    <n v="0"/>
    <n v="12"/>
    <n v="12"/>
    <m/>
    <m/>
    <n v="0"/>
    <m/>
    <m/>
    <x v="1"/>
    <m/>
    <m/>
    <m/>
    <m/>
  </r>
  <r>
    <x v="1"/>
    <x v="0"/>
    <s v="3 P"/>
    <x v="60"/>
    <s v="جیلانی پولی سٹاک"/>
    <s v="PP"/>
    <n v="2.5"/>
    <s v="5.5-6"/>
    <n v="0"/>
    <s v="-"/>
    <s v="PP"/>
    <n v="14"/>
    <n v="132.37"/>
    <n v="3.5"/>
    <n v="20"/>
    <m/>
    <n v="128.87"/>
    <m/>
    <m/>
    <m/>
    <m/>
    <n v="0"/>
    <n v="0"/>
    <m/>
    <m/>
    <m/>
    <m/>
    <m/>
    <m/>
    <m/>
    <m/>
    <n v="0"/>
    <n v="0"/>
    <n v="0"/>
    <n v="12"/>
    <n v="12"/>
    <m/>
    <m/>
    <n v="0"/>
    <m/>
    <m/>
    <x v="1"/>
    <m/>
    <m/>
    <m/>
    <m/>
  </r>
  <r>
    <x v="0"/>
    <x v="1"/>
    <s v="6 P"/>
    <x v="60"/>
    <s v="جیلانی پولی سٹاک"/>
    <s v="PP"/>
    <n v="4"/>
    <s v="5.5-6"/>
    <n v="0"/>
    <s v="-"/>
    <s v="PP"/>
    <n v="11"/>
    <n v="155.18999999999997"/>
    <n v="4.4000000000000004"/>
    <m/>
    <m/>
    <n v="150.78999999999996"/>
    <m/>
    <m/>
    <m/>
    <m/>
    <n v="0"/>
    <n v="0"/>
    <m/>
    <m/>
    <m/>
    <m/>
    <m/>
    <m/>
    <m/>
    <m/>
    <n v="0"/>
    <n v="0"/>
    <n v="0"/>
    <n v="12"/>
    <n v="12"/>
    <m/>
    <m/>
    <n v="0"/>
    <m/>
    <m/>
    <x v="1"/>
    <m/>
    <m/>
    <m/>
    <m/>
  </r>
  <r>
    <x v="1"/>
    <x v="1"/>
    <s v="6 P"/>
    <x v="60"/>
    <s v="جیلانی پولی سٹاک"/>
    <s v="PP"/>
    <n v="4"/>
    <s v="5.5-6"/>
    <n v="0"/>
    <s v="-"/>
    <s v="PP"/>
    <n v="11"/>
    <n v="149.44000000000003"/>
    <n v="4.4000000000000004"/>
    <m/>
    <m/>
    <n v="145.04000000000002"/>
    <m/>
    <m/>
    <m/>
    <m/>
    <n v="0"/>
    <n v="0"/>
    <m/>
    <m/>
    <m/>
    <m/>
    <m/>
    <m/>
    <m/>
    <m/>
    <n v="0"/>
    <n v="0"/>
    <n v="0"/>
    <n v="12"/>
    <n v="12"/>
    <m/>
    <m/>
    <n v="0"/>
    <m/>
    <m/>
    <x v="1"/>
    <m/>
    <m/>
    <m/>
    <m/>
  </r>
  <r>
    <x v="0"/>
    <x v="2"/>
    <s v="11 P"/>
    <x v="60"/>
    <s v="جیلانی پولی سٹاک"/>
    <s v="PP"/>
    <n v="8"/>
    <n v="5"/>
    <n v="0"/>
    <s v="-"/>
    <s v="PP"/>
    <n v="5"/>
    <n v="202.5"/>
    <n v="4"/>
    <m/>
    <m/>
    <n v="198.5"/>
    <m/>
    <m/>
    <m/>
    <m/>
    <n v="0"/>
    <n v="0"/>
    <m/>
    <m/>
    <m/>
    <m/>
    <m/>
    <m/>
    <m/>
    <m/>
    <n v="0"/>
    <n v="0"/>
    <n v="0"/>
    <n v="12"/>
    <n v="12"/>
    <m/>
    <m/>
    <n v="0"/>
    <m/>
    <m/>
    <x v="1"/>
    <m/>
    <m/>
    <m/>
    <m/>
  </r>
  <r>
    <x v="0"/>
    <x v="2"/>
    <s v="10 P"/>
    <x v="60"/>
    <s v="جیلانی پولی سٹاک"/>
    <s v="PP"/>
    <n v="7"/>
    <n v="5"/>
    <n v="0"/>
    <s v="-"/>
    <s v="PP"/>
    <n v="1"/>
    <n v="44.77"/>
    <n v="0.7"/>
    <m/>
    <m/>
    <n v="44.07"/>
    <m/>
    <m/>
    <m/>
    <m/>
    <n v="0"/>
    <n v="0"/>
    <m/>
    <m/>
    <m/>
    <m/>
    <m/>
    <m/>
    <m/>
    <m/>
    <n v="0"/>
    <n v="0"/>
    <n v="0"/>
    <n v="12"/>
    <n v="12"/>
    <m/>
    <m/>
    <n v="0"/>
    <m/>
    <m/>
    <x v="1"/>
    <m/>
    <m/>
    <m/>
    <m/>
  </r>
  <r>
    <x v="1"/>
    <x v="2"/>
    <s v="11 P"/>
    <x v="60"/>
    <s v="جیلانی پولی سٹاک"/>
    <s v="PP"/>
    <n v="8"/>
    <n v="5"/>
    <n v="0"/>
    <s v="-"/>
    <s v="PP"/>
    <n v="6"/>
    <n v="224.94"/>
    <n v="4.8000000000000007"/>
    <m/>
    <m/>
    <n v="220.14"/>
    <m/>
    <m/>
    <m/>
    <m/>
    <n v="0"/>
    <n v="0"/>
    <m/>
    <m/>
    <m/>
    <m/>
    <m/>
    <m/>
    <m/>
    <m/>
    <n v="0"/>
    <n v="0"/>
    <n v="0"/>
    <n v="12"/>
    <n v="12"/>
    <m/>
    <m/>
    <n v="0"/>
    <m/>
    <m/>
    <x v="1"/>
    <m/>
    <m/>
    <m/>
    <m/>
  </r>
  <r>
    <x v="0"/>
    <x v="3"/>
    <s v="3438 J"/>
    <x v="60"/>
    <s v="Jilani Poly Stock"/>
    <s v="PP"/>
    <n v="18"/>
    <s v="5-5.5"/>
    <s v="1:1"/>
    <n v="500"/>
    <s v="PP"/>
    <n v="12"/>
    <n v="634.28"/>
    <n v="26.400000000000002"/>
    <m/>
    <m/>
    <n v="607.88"/>
    <m/>
    <m/>
    <m/>
    <m/>
    <n v="0"/>
    <n v="0"/>
    <m/>
    <m/>
    <m/>
    <m/>
    <m/>
    <m/>
    <m/>
    <m/>
    <n v="0"/>
    <n v="0"/>
    <n v="0"/>
    <n v="12"/>
    <n v="12"/>
    <m/>
    <m/>
    <n v="0"/>
    <m/>
    <m/>
    <x v="1"/>
    <m/>
    <m/>
    <m/>
    <m/>
  </r>
  <r>
    <x v="0"/>
    <x v="3"/>
    <s v="21 P"/>
    <x v="60"/>
    <s v="جیلانی پولی سٹاک"/>
    <s v="PP"/>
    <n v="18"/>
    <n v="5"/>
    <n v="0"/>
    <s v="-"/>
    <s v="PP"/>
    <n v="2"/>
    <n v="111.13"/>
    <n v="4.3000000000000007"/>
    <m/>
    <m/>
    <n v="106.83"/>
    <m/>
    <m/>
    <m/>
    <m/>
    <n v="0"/>
    <n v="0"/>
    <m/>
    <m/>
    <m/>
    <m/>
    <m/>
    <m/>
    <m/>
    <m/>
    <n v="0"/>
    <n v="0"/>
    <n v="0"/>
    <n v="12"/>
    <n v="12"/>
    <m/>
    <m/>
    <n v="0"/>
    <m/>
    <m/>
    <x v="1"/>
    <m/>
    <m/>
    <m/>
    <m/>
  </r>
  <r>
    <x v="1"/>
    <x v="3"/>
    <s v="21 P"/>
    <x v="60"/>
    <s v="جیلانی پولی سٹاک"/>
    <s v="PP"/>
    <n v="18"/>
    <n v="5"/>
    <n v="0"/>
    <s v="-"/>
    <s v="PP"/>
    <n v="2"/>
    <n v="106.00999999999999"/>
    <n v="4"/>
    <m/>
    <m/>
    <n v="102.00999999999999"/>
    <m/>
    <m/>
    <m/>
    <m/>
    <n v="0"/>
    <n v="0"/>
    <m/>
    <m/>
    <m/>
    <m/>
    <m/>
    <m/>
    <m/>
    <m/>
    <n v="0"/>
    <n v="0"/>
    <n v="0"/>
    <n v="12"/>
    <n v="12"/>
    <m/>
    <m/>
    <n v="0"/>
    <m/>
    <m/>
    <x v="1"/>
    <m/>
    <m/>
    <m/>
    <m/>
  </r>
  <r>
    <x v="1"/>
    <x v="3"/>
    <s v="20 P"/>
    <x v="60"/>
    <s v="جیلانی پولی سٹاک"/>
    <s v="PP"/>
    <n v="17"/>
    <n v="5"/>
    <n v="0"/>
    <s v="-"/>
    <s v="PP"/>
    <n v="13"/>
    <n v="640.4899999999999"/>
    <n v="22.099999999999998"/>
    <m/>
    <m/>
    <n v="618.38999999999987"/>
    <m/>
    <m/>
    <m/>
    <m/>
    <n v="0"/>
    <n v="0"/>
    <m/>
    <m/>
    <m/>
    <m/>
    <m/>
    <m/>
    <m/>
    <m/>
    <n v="0"/>
    <n v="0"/>
    <n v="0"/>
    <n v="12"/>
    <n v="12"/>
    <m/>
    <m/>
    <n v="0"/>
    <m/>
    <m/>
    <x v="1"/>
    <m/>
    <m/>
    <m/>
    <m/>
  </r>
  <r>
    <x v="0"/>
    <x v="4"/>
    <s v="15 P"/>
    <x v="60"/>
    <s v="جیلانی پولی سٹاک"/>
    <s v="PP"/>
    <n v="12"/>
    <n v="5"/>
    <n v="0"/>
    <s v="-"/>
    <s v="PP"/>
    <n v="10"/>
    <n v="446.35"/>
    <n v="14"/>
    <m/>
    <m/>
    <n v="432.35"/>
    <m/>
    <m/>
    <m/>
    <m/>
    <n v="0"/>
    <n v="0"/>
    <m/>
    <m/>
    <m/>
    <m/>
    <m/>
    <m/>
    <m/>
    <m/>
    <n v="0"/>
    <n v="0"/>
    <n v="0"/>
    <n v="12"/>
    <n v="12"/>
    <m/>
    <m/>
    <n v="0"/>
    <m/>
    <m/>
    <x v="1"/>
    <m/>
    <m/>
    <m/>
    <m/>
  </r>
  <r>
    <x v="1"/>
    <x v="4"/>
    <s v="13 P"/>
    <x v="60"/>
    <s v="جیلانی پولی سٹاک"/>
    <s v="PP"/>
    <n v="10"/>
    <n v="5"/>
    <n v="0"/>
    <s v="-"/>
    <s v="PP"/>
    <n v="10"/>
    <n v="387.21000000000004"/>
    <n v="10"/>
    <m/>
    <m/>
    <n v="377.21000000000004"/>
    <m/>
    <m/>
    <m/>
    <m/>
    <n v="0"/>
    <n v="0"/>
    <m/>
    <m/>
    <m/>
    <m/>
    <m/>
    <m/>
    <m/>
    <m/>
    <n v="0"/>
    <n v="0"/>
    <n v="0"/>
    <n v="12"/>
    <n v="12"/>
    <m/>
    <m/>
    <n v="0"/>
    <m/>
    <m/>
    <x v="1"/>
    <m/>
    <m/>
    <m/>
    <m/>
  </r>
  <r>
    <x v="1"/>
    <x v="4"/>
    <s v="15 P"/>
    <x v="60"/>
    <s v="جیلانی پولی سٹاک"/>
    <s v="PP"/>
    <n v="12"/>
    <n v="5"/>
    <n v="0"/>
    <s v="-"/>
    <s v="PP"/>
    <n v="1"/>
    <n v="33.61"/>
    <n v="1.4"/>
    <m/>
    <m/>
    <n v="32.21"/>
    <m/>
    <m/>
    <m/>
    <m/>
    <n v="0"/>
    <n v="0"/>
    <m/>
    <m/>
    <m/>
    <m/>
    <m/>
    <m/>
    <m/>
    <m/>
    <n v="0"/>
    <n v="0"/>
    <n v="0"/>
    <n v="12"/>
    <n v="12"/>
    <m/>
    <m/>
    <n v="0"/>
    <m/>
    <m/>
    <x v="1"/>
    <m/>
    <m/>
    <m/>
    <m/>
  </r>
  <r>
    <x v="0"/>
    <x v="0"/>
    <s v="3 P"/>
    <x v="61"/>
    <s v="جیلانی پولی سٹاک"/>
    <s v="PP"/>
    <n v="2.5"/>
    <s v="5.5-6"/>
    <n v="0"/>
    <s v="-"/>
    <s v="PP"/>
    <n v="9"/>
    <n v="101.31"/>
    <n v="2.25"/>
    <n v="18"/>
    <m/>
    <n v="99.06"/>
    <m/>
    <n v="30"/>
    <m/>
    <m/>
    <n v="30"/>
    <n v="0.5"/>
    <m/>
    <m/>
    <m/>
    <m/>
    <m/>
    <m/>
    <m/>
    <m/>
    <n v="0"/>
    <n v="0"/>
    <n v="0.5"/>
    <n v="11.5"/>
    <n v="12"/>
    <m/>
    <m/>
    <n v="0"/>
    <m/>
    <m/>
    <x v="1"/>
    <m/>
    <m/>
    <m/>
    <m/>
  </r>
  <r>
    <x v="0"/>
    <x v="0"/>
    <s v="5 P"/>
    <x v="61"/>
    <s v="جیلانی پولی سٹاک"/>
    <s v="PP"/>
    <n v="3.5"/>
    <s v="5.5-6"/>
    <n v="0"/>
    <s v="-"/>
    <s v="PP"/>
    <n v="2"/>
    <n v="28.490000000000002"/>
    <n v="0.7"/>
    <m/>
    <m/>
    <n v="27.790000000000003"/>
    <m/>
    <m/>
    <m/>
    <m/>
    <n v="0"/>
    <n v="0"/>
    <m/>
    <m/>
    <m/>
    <m/>
    <m/>
    <m/>
    <m/>
    <m/>
    <n v="0"/>
    <n v="0"/>
    <n v="0"/>
    <n v="12"/>
    <n v="12"/>
    <m/>
    <m/>
    <n v="0"/>
    <m/>
    <m/>
    <x v="1"/>
    <m/>
    <m/>
    <m/>
    <m/>
  </r>
  <r>
    <x v="1"/>
    <x v="0"/>
    <s v="5 P"/>
    <x v="61"/>
    <s v="جیلانی پولی سٹاک"/>
    <s v="PP"/>
    <n v="3.5"/>
    <s v="5.5-6"/>
    <n v="0"/>
    <s v="-"/>
    <s v="PP"/>
    <n v="9"/>
    <n v="143.04000000000002"/>
    <n v="3.15"/>
    <n v="28"/>
    <m/>
    <n v="139.89000000000001"/>
    <m/>
    <m/>
    <m/>
    <m/>
    <n v="0"/>
    <n v="0"/>
    <m/>
    <m/>
    <m/>
    <m/>
    <m/>
    <m/>
    <m/>
    <m/>
    <n v="0"/>
    <n v="0"/>
    <n v="0"/>
    <n v="12"/>
    <n v="12"/>
    <m/>
    <m/>
    <n v="0"/>
    <m/>
    <m/>
    <x v="1"/>
    <m/>
    <m/>
    <m/>
    <m/>
  </r>
  <r>
    <x v="0"/>
    <x v="1"/>
    <s v="6 P"/>
    <x v="61"/>
    <s v="جیلانی پولی سٹاک"/>
    <s v="PP"/>
    <n v="4"/>
    <s v="5.5-6"/>
    <n v="0"/>
    <s v="-"/>
    <s v="PP"/>
    <n v="10"/>
    <n v="148.97999999999999"/>
    <n v="4"/>
    <m/>
    <m/>
    <n v="144.97999999999999"/>
    <m/>
    <m/>
    <m/>
    <m/>
    <n v="0"/>
    <n v="0"/>
    <m/>
    <m/>
    <m/>
    <m/>
    <m/>
    <m/>
    <m/>
    <m/>
    <n v="0"/>
    <n v="0"/>
    <n v="0"/>
    <n v="12"/>
    <n v="12"/>
    <m/>
    <m/>
    <n v="0"/>
    <m/>
    <m/>
    <x v="1"/>
    <m/>
    <m/>
    <m/>
    <m/>
  </r>
  <r>
    <x v="1"/>
    <x v="1"/>
    <s v="6 P"/>
    <x v="61"/>
    <s v="جیلانی پولی سٹاک"/>
    <s v="PP"/>
    <n v="4"/>
    <s v="5.5-6"/>
    <n v="0"/>
    <s v="-"/>
    <s v="PP"/>
    <n v="9"/>
    <n v="138.41"/>
    <n v="3.6"/>
    <m/>
    <m/>
    <n v="134.81"/>
    <m/>
    <m/>
    <m/>
    <m/>
    <n v="0"/>
    <n v="0"/>
    <m/>
    <m/>
    <m/>
    <m/>
    <m/>
    <m/>
    <m/>
    <m/>
    <n v="0"/>
    <n v="0"/>
    <n v="0"/>
    <n v="12"/>
    <n v="12"/>
    <m/>
    <m/>
    <n v="0"/>
    <m/>
    <m/>
    <x v="1"/>
    <m/>
    <m/>
    <m/>
    <m/>
  </r>
  <r>
    <x v="0"/>
    <x v="2"/>
    <s v="11 P"/>
    <x v="61"/>
    <s v="جیلانی پولی سٹاک"/>
    <s v="PP"/>
    <n v="8"/>
    <n v="5"/>
    <n v="0"/>
    <s v="-"/>
    <s v="PP"/>
    <n v="7"/>
    <n v="248.50000000000003"/>
    <n v="7"/>
    <m/>
    <m/>
    <n v="241.50000000000003"/>
    <m/>
    <m/>
    <m/>
    <m/>
    <n v="0"/>
    <n v="0"/>
    <m/>
    <m/>
    <m/>
    <m/>
    <m/>
    <m/>
    <m/>
    <m/>
    <n v="0"/>
    <n v="0"/>
    <n v="0"/>
    <n v="12"/>
    <n v="12"/>
    <m/>
    <m/>
    <n v="0"/>
    <m/>
    <m/>
    <x v="1"/>
    <m/>
    <m/>
    <m/>
    <m/>
  </r>
  <r>
    <x v="1"/>
    <x v="2"/>
    <s v="11 P"/>
    <x v="61"/>
    <s v="جیلانی پولی سٹاک"/>
    <s v="PP"/>
    <n v="8"/>
    <n v="5"/>
    <n v="0"/>
    <s v="-"/>
    <s v="PP"/>
    <n v="7"/>
    <n v="242.98"/>
    <n v="7"/>
    <m/>
    <m/>
    <n v="235.98"/>
    <m/>
    <m/>
    <m/>
    <m/>
    <n v="0"/>
    <n v="0"/>
    <m/>
    <m/>
    <m/>
    <m/>
    <m/>
    <m/>
    <m/>
    <m/>
    <n v="0"/>
    <n v="0"/>
    <n v="0"/>
    <n v="12"/>
    <n v="12"/>
    <m/>
    <m/>
    <n v="0"/>
    <m/>
    <m/>
    <x v="1"/>
    <m/>
    <m/>
    <m/>
    <m/>
  </r>
  <r>
    <x v="0"/>
    <x v="3"/>
    <s v="20 P"/>
    <x v="61"/>
    <s v="جیلانی پولی سٹاک"/>
    <s v="PP"/>
    <n v="17"/>
    <n v="5"/>
    <n v="0"/>
    <s v="-"/>
    <s v="PP"/>
    <n v="14"/>
    <n v="720.96"/>
    <n v="28"/>
    <m/>
    <m/>
    <n v="692.96"/>
    <m/>
    <m/>
    <m/>
    <m/>
    <n v="0"/>
    <n v="0"/>
    <m/>
    <m/>
    <m/>
    <m/>
    <m/>
    <m/>
    <m/>
    <m/>
    <n v="0"/>
    <n v="0"/>
    <n v="0"/>
    <n v="12"/>
    <n v="12"/>
    <m/>
    <m/>
    <n v="0"/>
    <m/>
    <m/>
    <x v="1"/>
    <m/>
    <m/>
    <m/>
    <m/>
  </r>
  <r>
    <x v="1"/>
    <x v="3"/>
    <s v="20 P"/>
    <x v="61"/>
    <s v="جیلانی پولی سٹاک"/>
    <s v="PP"/>
    <n v="17"/>
    <n v="5"/>
    <n v="0"/>
    <s v="-"/>
    <s v="PP"/>
    <n v="15"/>
    <n v="716.07999999999993"/>
    <n v="30"/>
    <m/>
    <m/>
    <n v="686.07999999999993"/>
    <m/>
    <m/>
    <m/>
    <m/>
    <n v="0"/>
    <n v="0"/>
    <m/>
    <m/>
    <m/>
    <m/>
    <m/>
    <m/>
    <m/>
    <m/>
    <n v="0"/>
    <n v="0"/>
    <n v="0"/>
    <n v="12"/>
    <n v="12"/>
    <m/>
    <m/>
    <n v="0"/>
    <m/>
    <m/>
    <x v="1"/>
    <m/>
    <m/>
    <m/>
    <m/>
  </r>
  <r>
    <x v="0"/>
    <x v="4"/>
    <s v="13 P"/>
    <x v="61"/>
    <s v="جیلانی پولی سٹاک"/>
    <s v="PP"/>
    <n v="10"/>
    <n v="5"/>
    <n v="0"/>
    <s v="-"/>
    <s v="PP"/>
    <n v="10"/>
    <n v="434.96000000000009"/>
    <n v="12"/>
    <m/>
    <m/>
    <n v="422.96000000000009"/>
    <m/>
    <m/>
    <m/>
    <m/>
    <n v="0"/>
    <n v="0"/>
    <m/>
    <m/>
    <m/>
    <m/>
    <m/>
    <m/>
    <m/>
    <m/>
    <n v="0"/>
    <n v="0"/>
    <n v="0"/>
    <n v="12"/>
    <n v="12"/>
    <m/>
    <m/>
    <n v="0"/>
    <m/>
    <m/>
    <x v="1"/>
    <m/>
    <m/>
    <m/>
    <m/>
  </r>
  <r>
    <x v="1"/>
    <x v="4"/>
    <s v="13 P"/>
    <x v="61"/>
    <s v="جیلانی پولی سٹاک"/>
    <s v="PP"/>
    <n v="10"/>
    <n v="5"/>
    <n v="0"/>
    <s v="-"/>
    <s v="PP"/>
    <n v="10"/>
    <n v="418.63999999999993"/>
    <n v="12"/>
    <m/>
    <m/>
    <n v="406.63999999999993"/>
    <m/>
    <m/>
    <m/>
    <m/>
    <n v="0"/>
    <n v="0"/>
    <m/>
    <m/>
    <m/>
    <m/>
    <m/>
    <m/>
    <m/>
    <m/>
    <n v="0"/>
    <n v="0"/>
    <n v="0"/>
    <n v="12"/>
    <n v="12"/>
    <m/>
    <m/>
    <n v="0"/>
    <m/>
    <m/>
    <x v="1"/>
    <m/>
    <m/>
    <m/>
    <m/>
  </r>
  <r>
    <x v="0"/>
    <x v="0"/>
    <s v="5 P"/>
    <x v="62"/>
    <s v="جیلانی پولی سٹاک"/>
    <s v="PP"/>
    <n v="3.5"/>
    <s v="5.5-6"/>
    <n v="0"/>
    <s v="-"/>
    <s v="PP"/>
    <n v="1"/>
    <n v="16.18"/>
    <n v="0.3"/>
    <n v="37"/>
    <m/>
    <n v="15.879999999999999"/>
    <m/>
    <m/>
    <m/>
    <m/>
    <n v="0"/>
    <n v="0"/>
    <m/>
    <m/>
    <m/>
    <m/>
    <m/>
    <m/>
    <m/>
    <m/>
    <n v="0"/>
    <n v="0"/>
    <n v="0"/>
    <n v="12"/>
    <n v="12"/>
    <m/>
    <m/>
    <n v="0"/>
    <m/>
    <m/>
    <x v="2"/>
    <m/>
    <m/>
    <m/>
    <m/>
  </r>
  <r>
    <x v="0"/>
    <x v="0"/>
    <s v="3 P"/>
    <x v="62"/>
    <s v="جیلانی پولی سٹاک"/>
    <s v="PP"/>
    <n v="2.5"/>
    <s v="5.5-6"/>
    <n v="0"/>
    <s v="-"/>
    <s v="PP"/>
    <n v="4"/>
    <n v="49.910000000000004"/>
    <n v="0.8"/>
    <m/>
    <m/>
    <n v="49.110000000000007"/>
    <m/>
    <n v="30"/>
    <m/>
    <m/>
    <n v="30"/>
    <n v="0.5"/>
    <m/>
    <m/>
    <m/>
    <m/>
    <m/>
    <m/>
    <m/>
    <m/>
    <n v="0"/>
    <n v="0"/>
    <n v="0.5"/>
    <n v="11.5"/>
    <n v="12"/>
    <m/>
    <m/>
    <n v="0"/>
    <m/>
    <m/>
    <x v="2"/>
    <m/>
    <m/>
    <m/>
    <m/>
  </r>
  <r>
    <x v="0"/>
    <x v="0"/>
    <s v="5 P"/>
    <x v="62"/>
    <s v="جیلانی پولی سٹاک"/>
    <s v="PP"/>
    <n v="3.5"/>
    <s v="5.5-6"/>
    <n v="0"/>
    <s v="-"/>
    <s v="PP"/>
    <n v="4"/>
    <n v="59.620000000000005"/>
    <n v="1.2"/>
    <m/>
    <m/>
    <n v="58.42"/>
    <m/>
    <m/>
    <m/>
    <m/>
    <n v="0"/>
    <n v="0"/>
    <m/>
    <m/>
    <m/>
    <m/>
    <m/>
    <m/>
    <m/>
    <m/>
    <n v="0"/>
    <n v="0"/>
    <n v="0"/>
    <n v="12"/>
    <n v="12"/>
    <m/>
    <m/>
    <n v="0"/>
    <m/>
    <m/>
    <x v="2"/>
    <m/>
    <m/>
    <m/>
    <m/>
  </r>
  <r>
    <x v="1"/>
    <x v="0"/>
    <s v="5 P"/>
    <x v="62"/>
    <s v="جیلانی پولی سٹاک"/>
    <s v="PP"/>
    <n v="3.5"/>
    <s v="5.5-6"/>
    <n v="0"/>
    <s v="-"/>
    <s v="PP"/>
    <n v="11"/>
    <n v="150.45000000000002"/>
    <n v="3.3"/>
    <n v="30"/>
    <m/>
    <n v="147.15"/>
    <m/>
    <m/>
    <m/>
    <m/>
    <n v="0"/>
    <n v="0"/>
    <m/>
    <m/>
    <m/>
    <m/>
    <m/>
    <m/>
    <m/>
    <m/>
    <n v="0"/>
    <n v="0"/>
    <n v="0"/>
    <n v="12"/>
    <n v="12"/>
    <m/>
    <m/>
    <n v="0"/>
    <m/>
    <m/>
    <x v="2"/>
    <m/>
    <m/>
    <m/>
    <m/>
  </r>
  <r>
    <x v="0"/>
    <x v="1"/>
    <s v="6 P"/>
    <x v="62"/>
    <s v="جیلانی پولی سٹاک"/>
    <s v="PP"/>
    <n v="4"/>
    <s v="5.5-6"/>
    <n v="0"/>
    <s v="-"/>
    <s v="PP"/>
    <n v="10"/>
    <n v="149.38000000000002"/>
    <n v="4"/>
    <m/>
    <m/>
    <n v="145.38000000000002"/>
    <m/>
    <m/>
    <m/>
    <m/>
    <n v="0"/>
    <n v="0"/>
    <m/>
    <m/>
    <m/>
    <m/>
    <m/>
    <m/>
    <m/>
    <m/>
    <n v="0"/>
    <n v="0"/>
    <n v="0"/>
    <n v="12"/>
    <n v="12"/>
    <m/>
    <m/>
    <n v="0"/>
    <m/>
    <m/>
    <x v="2"/>
    <m/>
    <m/>
    <m/>
    <m/>
  </r>
  <r>
    <x v="1"/>
    <x v="1"/>
    <s v="6 P"/>
    <x v="62"/>
    <s v="جیلانی پولی سٹاک"/>
    <s v="PP"/>
    <n v="4"/>
    <s v="5.5-6"/>
    <n v="0"/>
    <s v="-"/>
    <s v="PP"/>
    <n v="11"/>
    <n v="153.39000000000001"/>
    <n v="4.4000000000000004"/>
    <m/>
    <m/>
    <n v="148.99"/>
    <m/>
    <m/>
    <m/>
    <m/>
    <n v="0"/>
    <n v="0"/>
    <m/>
    <m/>
    <m/>
    <m/>
    <m/>
    <m/>
    <m/>
    <m/>
    <n v="0"/>
    <n v="0"/>
    <n v="0"/>
    <n v="12"/>
    <n v="12"/>
    <m/>
    <m/>
    <n v="0"/>
    <m/>
    <m/>
    <x v="2"/>
    <m/>
    <m/>
    <m/>
    <m/>
  </r>
  <r>
    <x v="0"/>
    <x v="2"/>
    <s v="11 P"/>
    <x v="62"/>
    <s v="جیلانی پولی سٹاک"/>
    <s v="PP"/>
    <n v="8"/>
    <n v="5"/>
    <n v="0"/>
    <s v="-"/>
    <s v="PP"/>
    <n v="6"/>
    <n v="239.89000000000001"/>
    <n v="5.2"/>
    <m/>
    <m/>
    <n v="234.69000000000003"/>
    <m/>
    <m/>
    <m/>
    <m/>
    <n v="0"/>
    <n v="0"/>
    <m/>
    <m/>
    <n v="100"/>
    <m/>
    <m/>
    <m/>
    <m/>
    <m/>
    <n v="100"/>
    <n v="1.6666666666666667"/>
    <n v="1.6666666666666667"/>
    <n v="10.333333333333334"/>
    <n v="12"/>
    <m/>
    <m/>
    <n v="0"/>
    <m/>
    <m/>
    <x v="2"/>
    <m/>
    <m/>
    <m/>
    <m/>
  </r>
  <r>
    <x v="1"/>
    <x v="2"/>
    <s v="11 P"/>
    <x v="62"/>
    <s v="جیلانی پولی سٹاک"/>
    <s v="PP"/>
    <n v="8"/>
    <n v="5"/>
    <n v="0"/>
    <s v="-"/>
    <s v="PP"/>
    <n v="7"/>
    <n v="254.29"/>
    <n v="5.6000000000000005"/>
    <m/>
    <m/>
    <n v="248.69"/>
    <m/>
    <m/>
    <m/>
    <m/>
    <n v="0"/>
    <n v="0"/>
    <m/>
    <m/>
    <m/>
    <m/>
    <m/>
    <m/>
    <m/>
    <m/>
    <n v="0"/>
    <n v="0"/>
    <n v="0"/>
    <n v="12"/>
    <n v="12"/>
    <m/>
    <m/>
    <n v="0"/>
    <m/>
    <m/>
    <x v="2"/>
    <m/>
    <m/>
    <m/>
    <m/>
  </r>
  <r>
    <x v="0"/>
    <x v="3"/>
    <s v="7163/1"/>
    <x v="62"/>
    <s v="ریفلیکٹ پیک لاہور"/>
    <s v="PP"/>
    <n v="17"/>
    <s v="5.5-6"/>
    <n v="0"/>
    <n v="5000"/>
    <s v="PP"/>
    <n v="17"/>
    <n v="747.57"/>
    <n v="33.979999999999997"/>
    <m/>
    <m/>
    <n v="713.59"/>
    <m/>
    <m/>
    <m/>
    <m/>
    <n v="0"/>
    <n v="0"/>
    <m/>
    <m/>
    <m/>
    <m/>
    <m/>
    <m/>
    <m/>
    <m/>
    <n v="0"/>
    <n v="0"/>
    <n v="0"/>
    <n v="12"/>
    <n v="12"/>
    <m/>
    <m/>
    <n v="0"/>
    <m/>
    <m/>
    <x v="2"/>
    <m/>
    <m/>
    <m/>
    <m/>
  </r>
  <r>
    <x v="0"/>
    <x v="3"/>
    <s v="3583 J"/>
    <x v="62"/>
    <s v="Special Papari Nimko Kamoki"/>
    <s v="PP"/>
    <n v="15"/>
    <n v="8"/>
    <n v="0"/>
    <n v="100"/>
    <s v="PP"/>
    <n v="1"/>
    <n v="38.799999999999997"/>
    <n v="1.5"/>
    <m/>
    <m/>
    <n v="37.299999999999997"/>
    <m/>
    <m/>
    <m/>
    <m/>
    <n v="0"/>
    <n v="0"/>
    <m/>
    <m/>
    <m/>
    <m/>
    <m/>
    <m/>
    <m/>
    <m/>
    <n v="0"/>
    <n v="0"/>
    <n v="0"/>
    <n v="12"/>
    <n v="12"/>
    <m/>
    <m/>
    <n v="0"/>
    <m/>
    <m/>
    <x v="2"/>
    <m/>
    <m/>
    <m/>
    <m/>
  </r>
  <r>
    <x v="1"/>
    <x v="3"/>
    <s v="7163/1"/>
    <x v="62"/>
    <s v="ریفلیکٹ پیک لاہور"/>
    <s v="PP"/>
    <n v="17"/>
    <s v="5.5-6"/>
    <n v="0"/>
    <n v="5000"/>
    <s v="PP"/>
    <n v="2"/>
    <n v="113.89"/>
    <n v="3.4"/>
    <m/>
    <m/>
    <n v="110.49"/>
    <m/>
    <m/>
    <m/>
    <m/>
    <n v="0"/>
    <n v="0"/>
    <m/>
    <m/>
    <m/>
    <m/>
    <m/>
    <m/>
    <m/>
    <m/>
    <n v="0"/>
    <n v="0"/>
    <n v="0"/>
    <n v="12"/>
    <n v="12"/>
    <m/>
    <m/>
    <n v="0"/>
    <m/>
    <m/>
    <x v="2"/>
    <m/>
    <m/>
    <m/>
    <m/>
  </r>
  <r>
    <x v="1"/>
    <x v="3"/>
    <s v="7149/2"/>
    <x v="62"/>
    <s v="العمر پلاسٹک گوجرانوالہ"/>
    <s v="PP"/>
    <n v="15"/>
    <n v="10"/>
    <n v="0"/>
    <n v="125"/>
    <s v="PP"/>
    <n v="4"/>
    <n v="140.72"/>
    <n v="6"/>
    <m/>
    <m/>
    <n v="134.72"/>
    <m/>
    <m/>
    <m/>
    <m/>
    <n v="0"/>
    <n v="0"/>
    <m/>
    <m/>
    <m/>
    <m/>
    <m/>
    <m/>
    <m/>
    <m/>
    <n v="0"/>
    <n v="0"/>
    <n v="0"/>
    <n v="12"/>
    <n v="12"/>
    <m/>
    <m/>
    <n v="0"/>
    <m/>
    <m/>
    <x v="2"/>
    <m/>
    <m/>
    <m/>
    <m/>
  </r>
  <r>
    <x v="1"/>
    <x v="3"/>
    <s v="3583 J"/>
    <x v="62"/>
    <s v="Special Papari Nimko Kamoki"/>
    <s v="PP"/>
    <n v="15"/>
    <n v="8"/>
    <n v="0"/>
    <n v="100"/>
    <s v="PP"/>
    <n v="3"/>
    <n v="115.3"/>
    <n v="4.5"/>
    <m/>
    <m/>
    <n v="110.8"/>
    <m/>
    <m/>
    <m/>
    <m/>
    <n v="0"/>
    <n v="0"/>
    <m/>
    <m/>
    <m/>
    <m/>
    <m/>
    <m/>
    <m/>
    <m/>
    <n v="0"/>
    <n v="0"/>
    <n v="0"/>
    <n v="12"/>
    <n v="12"/>
    <m/>
    <m/>
    <n v="0"/>
    <m/>
    <m/>
    <x v="2"/>
    <m/>
    <m/>
    <m/>
    <m/>
  </r>
  <r>
    <x v="1"/>
    <x v="3"/>
    <s v="7178/1"/>
    <x v="62"/>
    <s v="عامر شہزاد ساہیوال"/>
    <s v="PP"/>
    <n v="12"/>
    <n v="5"/>
    <n v="0"/>
    <n v="150"/>
    <s v="PP"/>
    <n v="9"/>
    <n v="383.54"/>
    <n v="13.5"/>
    <m/>
    <m/>
    <n v="370.04"/>
    <m/>
    <m/>
    <m/>
    <m/>
    <n v="0"/>
    <n v="0"/>
    <m/>
    <m/>
    <m/>
    <m/>
    <m/>
    <m/>
    <m/>
    <m/>
    <n v="0"/>
    <n v="0"/>
    <n v="0"/>
    <n v="12"/>
    <n v="12"/>
    <m/>
    <m/>
    <n v="0"/>
    <m/>
    <m/>
    <x v="2"/>
    <m/>
    <m/>
    <m/>
    <m/>
  </r>
  <r>
    <x v="0"/>
    <x v="4"/>
    <s v="7171/1"/>
    <x v="62"/>
    <s v="شاہد رمضان اوکاڑہ"/>
    <s v="PP"/>
    <n v="18"/>
    <n v="4.5"/>
    <n v="0"/>
    <n v="200"/>
    <s v="PP"/>
    <n v="7"/>
    <n v="322.39"/>
    <n v="8.68"/>
    <m/>
    <m/>
    <n v="313.70999999999998"/>
    <m/>
    <m/>
    <m/>
    <m/>
    <n v="0"/>
    <n v="0"/>
    <m/>
    <m/>
    <m/>
    <m/>
    <m/>
    <m/>
    <m/>
    <m/>
    <n v="0"/>
    <n v="0"/>
    <n v="0"/>
    <n v="12"/>
    <n v="12"/>
    <m/>
    <m/>
    <n v="0"/>
    <m/>
    <m/>
    <x v="2"/>
    <m/>
    <m/>
    <m/>
    <m/>
  </r>
  <r>
    <x v="0"/>
    <x v="4"/>
    <s v="13 P"/>
    <x v="62"/>
    <s v="جیلانی پولی سٹاک"/>
    <s v="PP"/>
    <n v="10"/>
    <n v="5"/>
    <n v="0"/>
    <s v="-"/>
    <s v="PP"/>
    <n v="2"/>
    <n v="105.99000000000001"/>
    <n v="2.48"/>
    <m/>
    <m/>
    <n v="103.51"/>
    <m/>
    <m/>
    <m/>
    <m/>
    <n v="0"/>
    <n v="0"/>
    <m/>
    <m/>
    <m/>
    <m/>
    <m/>
    <m/>
    <m/>
    <m/>
    <n v="0"/>
    <n v="0"/>
    <n v="0"/>
    <n v="12"/>
    <n v="12"/>
    <m/>
    <m/>
    <n v="0"/>
    <m/>
    <m/>
    <x v="2"/>
    <m/>
    <m/>
    <m/>
    <m/>
  </r>
  <r>
    <x v="1"/>
    <x v="4"/>
    <s v="13 P"/>
    <x v="62"/>
    <s v="جیلانی پولی سٹاک"/>
    <s v="PP"/>
    <n v="10"/>
    <n v="5"/>
    <n v="0"/>
    <s v="-"/>
    <s v="PP"/>
    <n v="11"/>
    <n v="474.86"/>
    <n v="1.1000000000000001"/>
    <m/>
    <m/>
    <n v="473.76"/>
    <m/>
    <m/>
    <m/>
    <m/>
    <n v="0"/>
    <n v="0"/>
    <m/>
    <m/>
    <m/>
    <m/>
    <m/>
    <m/>
    <m/>
    <m/>
    <n v="0"/>
    <n v="0"/>
    <n v="0"/>
    <n v="12"/>
    <n v="12"/>
    <m/>
    <m/>
    <n v="0"/>
    <m/>
    <m/>
    <x v="2"/>
    <m/>
    <m/>
    <m/>
    <m/>
  </r>
  <r>
    <x v="0"/>
    <x v="0"/>
    <s v="5 P"/>
    <x v="63"/>
    <s v="جیلانی پولی سٹاک"/>
    <s v="PP"/>
    <n v="3.5"/>
    <s v="5.5-6"/>
    <n v="0"/>
    <s v="-"/>
    <s v="PP"/>
    <n v="9"/>
    <n v="132.66999999999999"/>
    <n v="2.6999999999999997"/>
    <n v="23"/>
    <m/>
    <n v="129.97"/>
    <m/>
    <m/>
    <m/>
    <m/>
    <n v="0"/>
    <n v="0"/>
    <m/>
    <m/>
    <m/>
    <m/>
    <m/>
    <m/>
    <m/>
    <m/>
    <n v="0"/>
    <n v="0"/>
    <n v="0"/>
    <n v="12"/>
    <n v="12"/>
    <m/>
    <n v="1999"/>
    <n v="0"/>
    <m/>
    <m/>
    <x v="2"/>
    <m/>
    <m/>
    <m/>
    <m/>
  </r>
  <r>
    <x v="1"/>
    <x v="0"/>
    <s v="5 P"/>
    <x v="63"/>
    <s v="جیلانی پولی سٹاک"/>
    <s v="PP"/>
    <n v="3.5"/>
    <s v="5.5-6"/>
    <n v="0"/>
    <s v="-"/>
    <s v="PP"/>
    <n v="9"/>
    <n v="134.90999999999997"/>
    <n v="2.7"/>
    <n v="24"/>
    <m/>
    <n v="132.20999999999998"/>
    <m/>
    <m/>
    <m/>
    <m/>
    <n v="0"/>
    <n v="0"/>
    <m/>
    <m/>
    <m/>
    <m/>
    <m/>
    <m/>
    <m/>
    <m/>
    <n v="0"/>
    <n v="0"/>
    <n v="0"/>
    <n v="12"/>
    <n v="12"/>
    <m/>
    <m/>
    <n v="0"/>
    <m/>
    <m/>
    <x v="2"/>
    <m/>
    <m/>
    <m/>
    <m/>
  </r>
  <r>
    <x v="0"/>
    <x v="1"/>
    <s v="6 P"/>
    <x v="63"/>
    <s v="جیلانی پولی سٹاک"/>
    <s v="PP"/>
    <n v="4"/>
    <s v="5.5-6"/>
    <n v="0"/>
    <s v="-"/>
    <s v="PP"/>
    <n v="10"/>
    <n v="142.82999999999998"/>
    <n v="4"/>
    <m/>
    <m/>
    <n v="138.82999999999998"/>
    <m/>
    <m/>
    <m/>
    <m/>
    <n v="0"/>
    <n v="0"/>
    <m/>
    <m/>
    <m/>
    <m/>
    <m/>
    <m/>
    <m/>
    <m/>
    <n v="0"/>
    <n v="0"/>
    <n v="0"/>
    <n v="12"/>
    <n v="12"/>
    <m/>
    <m/>
    <n v="0"/>
    <m/>
    <m/>
    <x v="2"/>
    <m/>
    <m/>
    <m/>
    <m/>
  </r>
  <r>
    <x v="1"/>
    <x v="1"/>
    <s v="6 P"/>
    <x v="63"/>
    <s v="جیلانی پولی سٹاک"/>
    <s v="PP"/>
    <n v="4"/>
    <s v="5.5-6"/>
    <n v="0"/>
    <s v="-"/>
    <s v="PP"/>
    <n v="2"/>
    <n v="24.31"/>
    <n v="0.8"/>
    <m/>
    <m/>
    <n v="23.509999999999998"/>
    <m/>
    <m/>
    <m/>
    <m/>
    <n v="0"/>
    <n v="0"/>
    <m/>
    <m/>
    <m/>
    <m/>
    <m/>
    <m/>
    <m/>
    <m/>
    <n v="0"/>
    <n v="0"/>
    <n v="0"/>
    <n v="12"/>
    <n v="12"/>
    <m/>
    <m/>
    <n v="0"/>
    <m/>
    <m/>
    <x v="2"/>
    <m/>
    <m/>
    <m/>
    <m/>
  </r>
  <r>
    <x v="1"/>
    <x v="1"/>
    <s v="4 P"/>
    <x v="63"/>
    <s v="جیلانی پولی سٹاک"/>
    <s v="PP"/>
    <n v="3"/>
    <s v="5.5-6"/>
    <n v="0"/>
    <s v="-"/>
    <s v="PP"/>
    <n v="9"/>
    <n v="107.07999999999998"/>
    <n v="2.6999999999999997"/>
    <m/>
    <m/>
    <n v="104.37999999999998"/>
    <m/>
    <m/>
    <m/>
    <m/>
    <n v="0"/>
    <n v="0"/>
    <m/>
    <m/>
    <m/>
    <m/>
    <m/>
    <m/>
    <m/>
    <m/>
    <n v="0"/>
    <n v="0"/>
    <n v="0"/>
    <n v="12"/>
    <n v="12"/>
    <m/>
    <m/>
    <n v="0"/>
    <m/>
    <m/>
    <x v="2"/>
    <m/>
    <m/>
    <m/>
    <m/>
  </r>
  <r>
    <x v="0"/>
    <x v="2"/>
    <s v="11 P"/>
    <x v="63"/>
    <s v="جیلانی پولی سٹاک"/>
    <s v="PP"/>
    <n v="8"/>
    <n v="5"/>
    <n v="0"/>
    <s v="-"/>
    <s v="PP"/>
    <n v="8"/>
    <n v="303.03000000000003"/>
    <n v="6.4"/>
    <m/>
    <m/>
    <n v="296.63000000000005"/>
    <m/>
    <m/>
    <m/>
    <m/>
    <n v="0"/>
    <n v="0"/>
    <m/>
    <m/>
    <m/>
    <m/>
    <m/>
    <m/>
    <m/>
    <m/>
    <n v="0"/>
    <n v="0"/>
    <n v="0"/>
    <n v="12"/>
    <n v="12"/>
    <m/>
    <m/>
    <n v="0"/>
    <m/>
    <m/>
    <x v="2"/>
    <m/>
    <m/>
    <m/>
    <m/>
  </r>
  <r>
    <x v="1"/>
    <x v="2"/>
    <s v="11 P"/>
    <x v="63"/>
    <s v="جیلانی پولی سٹاک"/>
    <s v="PP"/>
    <n v="8"/>
    <n v="5"/>
    <n v="0"/>
    <s v="-"/>
    <s v="PP"/>
    <n v="10"/>
    <n v="370.3"/>
    <n v="10"/>
    <m/>
    <m/>
    <n v="360.3"/>
    <m/>
    <m/>
    <m/>
    <m/>
    <n v="0"/>
    <n v="0"/>
    <m/>
    <m/>
    <m/>
    <m/>
    <m/>
    <m/>
    <m/>
    <m/>
    <n v="0"/>
    <n v="0"/>
    <n v="0"/>
    <n v="12"/>
    <n v="12"/>
    <m/>
    <m/>
    <n v="0"/>
    <m/>
    <m/>
    <x v="2"/>
    <m/>
    <m/>
    <m/>
    <m/>
  </r>
  <r>
    <x v="0"/>
    <x v="3"/>
    <s v="7178/1"/>
    <x v="63"/>
    <s v="عامر شہزاد ساہیوال"/>
    <s v="PP"/>
    <n v="12"/>
    <n v="5"/>
    <n v="0"/>
    <n v="150"/>
    <s v="PP"/>
    <n v="5"/>
    <n v="206.55"/>
    <n v="9.25"/>
    <m/>
    <m/>
    <n v="197.3"/>
    <m/>
    <m/>
    <m/>
    <m/>
    <n v="0"/>
    <n v="0"/>
    <m/>
    <m/>
    <m/>
    <m/>
    <m/>
    <m/>
    <m/>
    <m/>
    <n v="0"/>
    <n v="0"/>
    <n v="0"/>
    <n v="12"/>
    <n v="12"/>
    <m/>
    <m/>
    <n v="0"/>
    <m/>
    <m/>
    <x v="2"/>
    <m/>
    <m/>
    <m/>
    <m/>
  </r>
  <r>
    <x v="0"/>
    <x v="3"/>
    <s v="7171/1"/>
    <x v="63"/>
    <s v="شاہد رمضان اوکاڑہ"/>
    <s v="PP"/>
    <n v="18"/>
    <n v="4.5"/>
    <n v="0"/>
    <n v="200"/>
    <s v="PP"/>
    <n v="7"/>
    <n v="334.09000000000003"/>
    <n v="15.400000000000002"/>
    <m/>
    <m/>
    <n v="318.69000000000005"/>
    <m/>
    <n v="20"/>
    <m/>
    <m/>
    <n v="20"/>
    <n v="0.33333333333333331"/>
    <m/>
    <m/>
    <m/>
    <m/>
    <m/>
    <m/>
    <m/>
    <m/>
    <n v="0"/>
    <n v="0"/>
    <n v="0.33333333333333331"/>
    <n v="11.666666666666666"/>
    <n v="12"/>
    <m/>
    <m/>
    <n v="0"/>
    <m/>
    <m/>
    <x v="2"/>
    <m/>
    <m/>
    <m/>
    <m/>
  </r>
  <r>
    <x v="1"/>
    <x v="3"/>
    <s v="7171/1"/>
    <x v="63"/>
    <s v="شاہد رمضان اوکاڑہ"/>
    <s v="PP"/>
    <n v="18"/>
    <n v="4.5"/>
    <n v="0"/>
    <n v="200"/>
    <s v="PP"/>
    <n v="5"/>
    <n v="266.69"/>
    <n v="10.65"/>
    <m/>
    <m/>
    <n v="256.04000000000002"/>
    <m/>
    <m/>
    <m/>
    <m/>
    <n v="0"/>
    <n v="0"/>
    <m/>
    <m/>
    <m/>
    <m/>
    <m/>
    <m/>
    <m/>
    <m/>
    <n v="0"/>
    <n v="0"/>
    <n v="0"/>
    <n v="12"/>
    <n v="12"/>
    <m/>
    <m/>
    <n v="0"/>
    <m/>
    <m/>
    <x v="2"/>
    <m/>
    <m/>
    <m/>
    <m/>
  </r>
  <r>
    <x v="1"/>
    <x v="3"/>
    <s v="7173/8"/>
    <x v="63"/>
    <s v="الحبیب پلاسٹک اوکاڑہ"/>
    <s v="PP"/>
    <n v="18"/>
    <n v="5"/>
    <n v="0"/>
    <n v="600"/>
    <s v="PP"/>
    <n v="10"/>
    <n v="535.31999999999994"/>
    <n v="21.5"/>
    <m/>
    <m/>
    <n v="513.81999999999994"/>
    <m/>
    <m/>
    <m/>
    <m/>
    <n v="0"/>
    <n v="0"/>
    <m/>
    <m/>
    <m/>
    <m/>
    <m/>
    <m/>
    <m/>
    <m/>
    <n v="0"/>
    <n v="0"/>
    <n v="0"/>
    <n v="12"/>
    <n v="12"/>
    <m/>
    <m/>
    <n v="0"/>
    <m/>
    <m/>
    <x v="2"/>
    <m/>
    <m/>
    <m/>
    <m/>
  </r>
  <r>
    <x v="0"/>
    <x v="4"/>
    <s v="13 P"/>
    <x v="63"/>
    <s v="جیلانی پولی سٹاک"/>
    <s v="PP"/>
    <n v="10"/>
    <n v="5"/>
    <n v="0"/>
    <s v="-"/>
    <s v="PP"/>
    <n v="1"/>
    <n v="12.64"/>
    <n v="1"/>
    <m/>
    <m/>
    <n v="11.64"/>
    <m/>
    <m/>
    <m/>
    <m/>
    <n v="0"/>
    <n v="0"/>
    <m/>
    <m/>
    <m/>
    <m/>
    <m/>
    <m/>
    <m/>
    <m/>
    <n v="0"/>
    <n v="0"/>
    <n v="0"/>
    <n v="12"/>
    <n v="12"/>
    <m/>
    <m/>
    <n v="0"/>
    <m/>
    <m/>
    <x v="2"/>
    <m/>
    <m/>
    <m/>
    <m/>
  </r>
  <r>
    <x v="0"/>
    <x v="4"/>
    <s v="7185/1"/>
    <x v="63"/>
    <s v="خذیفہ پلاسٹک اعظم مارکیٹ"/>
    <s v="PP"/>
    <n v="10"/>
    <n v="8"/>
    <n v="0"/>
    <n v="50"/>
    <s v="PP"/>
    <n v="2"/>
    <n v="53.67"/>
    <n v="2.2999999999999998"/>
    <m/>
    <m/>
    <n v="51.370000000000005"/>
    <m/>
    <m/>
    <m/>
    <m/>
    <n v="0"/>
    <n v="0"/>
    <m/>
    <m/>
    <m/>
    <m/>
    <m/>
    <m/>
    <m/>
    <m/>
    <n v="0"/>
    <n v="0"/>
    <n v="0"/>
    <n v="12"/>
    <n v="12"/>
    <m/>
    <m/>
    <n v="0"/>
    <m/>
    <m/>
    <x v="2"/>
    <m/>
    <m/>
    <m/>
    <m/>
  </r>
  <r>
    <x v="0"/>
    <x v="4"/>
    <s v="7159/1"/>
    <x v="63"/>
    <s v="ایم بلال اغظم مارکیٹ"/>
    <s v="PP"/>
    <n v="10"/>
    <n v="8"/>
    <n v="0"/>
    <n v="50"/>
    <s v="PP"/>
    <n v="2"/>
    <n v="57.17"/>
    <n v="2"/>
    <m/>
    <m/>
    <n v="55.17"/>
    <m/>
    <m/>
    <m/>
    <m/>
    <n v="0"/>
    <n v="0"/>
    <m/>
    <m/>
    <m/>
    <m/>
    <m/>
    <m/>
    <m/>
    <m/>
    <n v="0"/>
    <n v="0"/>
    <n v="0"/>
    <n v="12"/>
    <n v="12"/>
    <m/>
    <m/>
    <n v="0"/>
    <m/>
    <m/>
    <x v="2"/>
    <m/>
    <m/>
    <m/>
    <m/>
  </r>
  <r>
    <x v="0"/>
    <x v="4"/>
    <s v="13 P"/>
    <x v="63"/>
    <s v="جیلانی پولی سٹاک"/>
    <s v="PP"/>
    <n v="10"/>
    <n v="5"/>
    <s v="PP"/>
    <s v="-"/>
    <s v="PP"/>
    <n v="4"/>
    <n v="109.41"/>
    <n v="4"/>
    <m/>
    <m/>
    <n v="105.41"/>
    <m/>
    <m/>
    <m/>
    <m/>
    <n v="0"/>
    <n v="0"/>
    <m/>
    <m/>
    <n v="30"/>
    <m/>
    <m/>
    <m/>
    <m/>
    <m/>
    <n v="30"/>
    <n v="0.5"/>
    <n v="0.5"/>
    <n v="11.5"/>
    <n v="12"/>
    <m/>
    <m/>
    <n v="0"/>
    <m/>
    <m/>
    <x v="2"/>
    <m/>
    <m/>
    <m/>
    <m/>
  </r>
  <r>
    <x v="1"/>
    <x v="4"/>
    <s v="14 P"/>
    <x v="63"/>
    <s v="جیلانی پولی سٹاک"/>
    <s v="PP"/>
    <n v="11"/>
    <n v="5"/>
    <n v="0"/>
    <s v="-"/>
    <s v="PP"/>
    <n v="16"/>
    <n v="700.87"/>
    <n v="17.600000000000001"/>
    <m/>
    <m/>
    <n v="683.27"/>
    <m/>
    <m/>
    <m/>
    <m/>
    <n v="0"/>
    <n v="0"/>
    <m/>
    <m/>
    <m/>
    <m/>
    <m/>
    <m/>
    <m/>
    <m/>
    <n v="0"/>
    <n v="0"/>
    <n v="0"/>
    <n v="12"/>
    <n v="12"/>
    <m/>
    <m/>
    <n v="0"/>
    <m/>
    <m/>
    <x v="2"/>
    <m/>
    <m/>
    <m/>
    <m/>
  </r>
  <r>
    <x v="0"/>
    <x v="0"/>
    <s v="5 P"/>
    <x v="64"/>
    <s v="جیلانی پولی سٹاک"/>
    <s v="PP"/>
    <n v="3.5"/>
    <s v="5.5-6"/>
    <n v="0"/>
    <s v="-"/>
    <s v="PP"/>
    <n v="3"/>
    <n v="46.13"/>
    <n v="0.89999999999999991"/>
    <n v="37"/>
    <m/>
    <n v="45.230000000000004"/>
    <m/>
    <n v="15"/>
    <m/>
    <m/>
    <n v="15"/>
    <n v="0.25"/>
    <m/>
    <m/>
    <m/>
    <m/>
    <m/>
    <m/>
    <m/>
    <m/>
    <n v="0"/>
    <n v="0"/>
    <n v="0.25"/>
    <n v="11.75"/>
    <n v="12"/>
    <m/>
    <m/>
    <n v="0"/>
    <m/>
    <m/>
    <x v="3"/>
    <m/>
    <m/>
    <m/>
    <m/>
  </r>
  <r>
    <x v="0"/>
    <x v="0"/>
    <s v="3 P"/>
    <x v="64"/>
    <s v="جیلانی پولی سٹاک"/>
    <s v="PP"/>
    <n v="2.5"/>
    <s v="5.5-6"/>
    <n v="0"/>
    <s v="-"/>
    <s v="PP"/>
    <n v="2"/>
    <n v="17.420000000000002"/>
    <n v="0.4"/>
    <m/>
    <m/>
    <n v="17.020000000000003"/>
    <m/>
    <m/>
    <m/>
    <m/>
    <n v="0"/>
    <n v="0"/>
    <m/>
    <m/>
    <m/>
    <m/>
    <m/>
    <m/>
    <m/>
    <m/>
    <n v="0"/>
    <n v="0"/>
    <n v="0"/>
    <n v="12"/>
    <n v="12"/>
    <m/>
    <m/>
    <n v="0"/>
    <m/>
    <m/>
    <x v="0"/>
    <m/>
    <m/>
    <m/>
    <m/>
  </r>
  <r>
    <x v="0"/>
    <x v="0"/>
    <s v="2P/1"/>
    <x v="64"/>
    <s v="جیلانی پولی سٹاک"/>
    <s v="PP"/>
    <n v="2"/>
    <s v="5.5-6"/>
    <n v="0"/>
    <n v="500"/>
    <s v="PP"/>
    <n v="3"/>
    <n v="51.949999999999996"/>
    <n v="0.60000000000000009"/>
    <m/>
    <m/>
    <n v="51.349999999999994"/>
    <m/>
    <m/>
    <m/>
    <m/>
    <n v="0"/>
    <n v="0"/>
    <m/>
    <m/>
    <m/>
    <m/>
    <m/>
    <m/>
    <m/>
    <m/>
    <n v="0"/>
    <n v="0"/>
    <n v="0"/>
    <n v="12"/>
    <n v="12"/>
    <m/>
    <m/>
    <n v="0"/>
    <n v="1600"/>
    <m/>
    <x v="0"/>
    <m/>
    <m/>
    <m/>
    <m/>
  </r>
  <r>
    <x v="1"/>
    <x v="0"/>
    <s v="2P/1"/>
    <x v="64"/>
    <s v="جیلانی پولی سٹاک"/>
    <s v="PP"/>
    <n v="2"/>
    <s v="5.5-6"/>
    <n v="0"/>
    <n v="500"/>
    <s v="PP"/>
    <n v="6"/>
    <n v="115.44999999999999"/>
    <n v="1.2000000000000002"/>
    <n v="27"/>
    <m/>
    <n v="114.24999999999999"/>
    <m/>
    <m/>
    <m/>
    <m/>
    <n v="0"/>
    <n v="0"/>
    <m/>
    <m/>
    <m/>
    <m/>
    <m/>
    <m/>
    <m/>
    <m/>
    <n v="0"/>
    <n v="0"/>
    <n v="0"/>
    <n v="12"/>
    <n v="12"/>
    <m/>
    <m/>
    <n v="0"/>
    <n v="1600"/>
    <m/>
    <x v="0"/>
    <m/>
    <m/>
    <m/>
    <m/>
  </r>
  <r>
    <x v="0"/>
    <x v="1"/>
    <s v="4 P"/>
    <x v="64"/>
    <s v="جیلانی پولی سٹاک"/>
    <s v="PP"/>
    <n v="3"/>
    <s v="5.5-6"/>
    <n v="0"/>
    <s v="-"/>
    <s v="PP"/>
    <n v="10"/>
    <n v="120.93"/>
    <n v="3"/>
    <m/>
    <m/>
    <n v="117.93"/>
    <m/>
    <m/>
    <m/>
    <m/>
    <n v="0"/>
    <n v="0"/>
    <m/>
    <m/>
    <m/>
    <m/>
    <m/>
    <m/>
    <m/>
    <m/>
    <n v="0"/>
    <n v="0"/>
    <n v="0"/>
    <n v="12"/>
    <n v="12"/>
    <m/>
    <m/>
    <n v="0"/>
    <m/>
    <m/>
    <x v="0"/>
    <m/>
    <m/>
    <m/>
    <m/>
  </r>
  <r>
    <x v="1"/>
    <x v="1"/>
    <s v="4 P"/>
    <x v="64"/>
    <s v="جیلانی پولی سٹاک"/>
    <s v="PP"/>
    <n v="3"/>
    <s v="5.5-6"/>
    <n v="0"/>
    <s v="-"/>
    <s v="PP"/>
    <n v="11"/>
    <n v="133.01"/>
    <n v="3.3"/>
    <m/>
    <m/>
    <n v="129.70999999999998"/>
    <m/>
    <m/>
    <m/>
    <m/>
    <n v="0"/>
    <n v="0"/>
    <m/>
    <m/>
    <m/>
    <m/>
    <m/>
    <m/>
    <m/>
    <m/>
    <n v="0"/>
    <n v="0"/>
    <n v="0"/>
    <n v="12"/>
    <n v="12"/>
    <m/>
    <m/>
    <n v="0"/>
    <m/>
    <m/>
    <x v="0"/>
    <m/>
    <m/>
    <m/>
    <m/>
  </r>
  <r>
    <x v="0"/>
    <x v="2"/>
    <s v="7173/1"/>
    <x v="64"/>
    <s v="الحبیب پلاسٹک اوکاڑہ"/>
    <s v="PP"/>
    <n v="8"/>
    <n v="4.5"/>
    <n v="0"/>
    <n v="300"/>
    <s v="PP"/>
    <n v="3"/>
    <n v="78.28"/>
    <n v="2.4000000000000004"/>
    <m/>
    <m/>
    <n v="75.88"/>
    <m/>
    <m/>
    <m/>
    <m/>
    <n v="0"/>
    <n v="0"/>
    <m/>
    <m/>
    <m/>
    <m/>
    <m/>
    <m/>
    <m/>
    <m/>
    <n v="0"/>
    <n v="0"/>
    <n v="0"/>
    <n v="12"/>
    <n v="12"/>
    <m/>
    <m/>
    <n v="0"/>
    <m/>
    <m/>
    <x v="0"/>
    <m/>
    <m/>
    <m/>
    <m/>
  </r>
  <r>
    <x v="0"/>
    <x v="2"/>
    <s v="7158/1"/>
    <x v="64"/>
    <s v="یونیورسل اعظم مارکیٹ"/>
    <s v="PP"/>
    <n v="6"/>
    <n v="6"/>
    <n v="0"/>
    <n v="100"/>
    <s v="PP"/>
    <n v="3"/>
    <n v="55.28"/>
    <n v="1.7999999999999998"/>
    <m/>
    <m/>
    <n v="53.480000000000004"/>
    <m/>
    <m/>
    <m/>
    <m/>
    <n v="0"/>
    <n v="0"/>
    <m/>
    <m/>
    <m/>
    <m/>
    <m/>
    <m/>
    <m/>
    <m/>
    <n v="0"/>
    <n v="0"/>
    <n v="0"/>
    <n v="12"/>
    <n v="12"/>
    <m/>
    <m/>
    <n v="0"/>
    <m/>
    <m/>
    <x v="0"/>
    <m/>
    <m/>
    <m/>
    <m/>
  </r>
  <r>
    <x v="1"/>
    <x v="2"/>
    <s v="7174/10"/>
    <x v="64"/>
    <s v="786 لفافہ بورے والا"/>
    <s v="PP"/>
    <n v="6"/>
    <n v="10"/>
    <n v="0"/>
    <n v="100"/>
    <s v="PP"/>
    <n v="5"/>
    <n v="108.55"/>
    <n v="3"/>
    <m/>
    <m/>
    <n v="105.55"/>
    <m/>
    <m/>
    <m/>
    <m/>
    <n v="0"/>
    <n v="0"/>
    <m/>
    <m/>
    <m/>
    <m/>
    <m/>
    <m/>
    <m/>
    <m/>
    <n v="0"/>
    <n v="0"/>
    <n v="0"/>
    <n v="12"/>
    <n v="12"/>
    <m/>
    <m/>
    <n v="0"/>
    <m/>
    <m/>
    <x v="0"/>
    <m/>
    <m/>
    <m/>
    <m/>
  </r>
  <r>
    <x v="1"/>
    <x v="2"/>
    <s v="9 p"/>
    <x v="64"/>
    <s v="جیلانی پولی سٹاک"/>
    <s v="PP"/>
    <n v="6"/>
    <n v="5"/>
    <n v="0"/>
    <s v="-"/>
    <s v="PP"/>
    <n v="4"/>
    <n v="115.89999999999999"/>
    <n v="2.4"/>
    <m/>
    <m/>
    <n v="113.49999999999999"/>
    <m/>
    <m/>
    <m/>
    <m/>
    <n v="0"/>
    <n v="0"/>
    <m/>
    <m/>
    <m/>
    <m/>
    <m/>
    <m/>
    <m/>
    <m/>
    <n v="0"/>
    <n v="0"/>
    <n v="0"/>
    <n v="12"/>
    <n v="12"/>
    <m/>
    <m/>
    <n v="0"/>
    <m/>
    <m/>
    <x v="0"/>
    <m/>
    <m/>
    <m/>
    <m/>
  </r>
  <r>
    <x v="0"/>
    <x v="3"/>
    <s v="21 P"/>
    <x v="64"/>
    <s v="جیلانی پولی سٹاک"/>
    <s v="PP"/>
    <n v="18"/>
    <n v="5"/>
    <n v="0"/>
    <s v="-"/>
    <s v="PP"/>
    <n v="2"/>
    <n v="109.94"/>
    <n v="5.4"/>
    <m/>
    <m/>
    <n v="104.53999999999999"/>
    <m/>
    <m/>
    <m/>
    <m/>
    <n v="0"/>
    <n v="0"/>
    <m/>
    <m/>
    <m/>
    <m/>
    <m/>
    <m/>
    <m/>
    <m/>
    <n v="0"/>
    <n v="0"/>
    <n v="0"/>
    <n v="12"/>
    <n v="12"/>
    <m/>
    <m/>
    <n v="0"/>
    <m/>
    <m/>
    <x v="0"/>
    <m/>
    <m/>
    <m/>
    <m/>
  </r>
  <r>
    <x v="0"/>
    <x v="3"/>
    <s v="7160/2"/>
    <x v="64"/>
    <s v="ایم دین پنڈی"/>
    <s v="PP"/>
    <n v="18"/>
    <s v="6-6.5"/>
    <n v="0"/>
    <n v="600"/>
    <s v="PP"/>
    <n v="12"/>
    <n v="607.48"/>
    <n v="21.6"/>
    <m/>
    <m/>
    <n v="585.88"/>
    <m/>
    <m/>
    <m/>
    <m/>
    <n v="0"/>
    <n v="0"/>
    <m/>
    <m/>
    <m/>
    <m/>
    <m/>
    <m/>
    <m/>
    <m/>
    <n v="0"/>
    <n v="0"/>
    <n v="0"/>
    <n v="12"/>
    <n v="12"/>
    <m/>
    <m/>
    <n v="0"/>
    <m/>
    <m/>
    <x v="0"/>
    <m/>
    <m/>
    <m/>
    <m/>
  </r>
  <r>
    <x v="1"/>
    <x v="3"/>
    <s v="7182/1"/>
    <x v="64"/>
    <s v="عامر شہزاد ساہیوال"/>
    <s v="PP"/>
    <n v="16"/>
    <n v="5"/>
    <n v="0"/>
    <n v="500"/>
    <s v="PP"/>
    <n v="2"/>
    <n v="99.89"/>
    <n v="3.91"/>
    <m/>
    <m/>
    <n v="95.98"/>
    <m/>
    <n v="20"/>
    <m/>
    <m/>
    <n v="20"/>
    <n v="0.33333333333333331"/>
    <n v="40"/>
    <m/>
    <m/>
    <m/>
    <m/>
    <m/>
    <m/>
    <m/>
    <n v="40"/>
    <n v="0.66666666666666663"/>
    <n v="1"/>
    <n v="11"/>
    <n v="12"/>
    <m/>
    <m/>
    <n v="0"/>
    <m/>
    <m/>
    <x v="0"/>
    <m/>
    <m/>
    <m/>
    <m/>
  </r>
  <r>
    <x v="1"/>
    <x v="3"/>
    <s v="3440 J"/>
    <x v="64"/>
    <s v="Jilani Poly Stock"/>
    <s v="PP"/>
    <n v="16"/>
    <s v="5-5.5"/>
    <s v="1:1"/>
    <n v="500"/>
    <s v="PP"/>
    <n v="11"/>
    <n v="572.71"/>
    <n v="19.829999999999998"/>
    <m/>
    <m/>
    <n v="552.88"/>
    <m/>
    <m/>
    <m/>
    <m/>
    <n v="0"/>
    <n v="0"/>
    <m/>
    <m/>
    <m/>
    <m/>
    <m/>
    <m/>
    <m/>
    <m/>
    <n v="0"/>
    <n v="0"/>
    <n v="0"/>
    <n v="12"/>
    <n v="12"/>
    <m/>
    <m/>
    <n v="0"/>
    <m/>
    <m/>
    <x v="0"/>
    <m/>
    <m/>
    <m/>
    <m/>
  </r>
  <r>
    <x v="0"/>
    <x v="4"/>
    <s v="14 P"/>
    <x v="64"/>
    <s v="جیلانی پولی سٹاک"/>
    <s v="PP"/>
    <n v="11"/>
    <n v="5"/>
    <n v="0"/>
    <s v="-"/>
    <s v="PP"/>
    <n v="12"/>
    <n v="411.74"/>
    <n v="13.200000000000001"/>
    <m/>
    <m/>
    <n v="398.54"/>
    <m/>
    <m/>
    <m/>
    <m/>
    <n v="0"/>
    <n v="0"/>
    <m/>
    <m/>
    <m/>
    <m/>
    <m/>
    <m/>
    <m/>
    <m/>
    <n v="0"/>
    <n v="0"/>
    <n v="0"/>
    <n v="12"/>
    <n v="12"/>
    <m/>
    <m/>
    <n v="0"/>
    <m/>
    <m/>
    <x v="0"/>
    <m/>
    <m/>
    <m/>
    <m/>
  </r>
  <r>
    <x v="0"/>
    <x v="4"/>
    <s v="7171/7"/>
    <x v="64"/>
    <s v="شاہد رمضان اوکاڑہ"/>
    <s v="PP"/>
    <n v="11"/>
    <n v="4.5"/>
    <n v="0"/>
    <n v="100"/>
    <s v="PP"/>
    <n v="2"/>
    <n v="56.51"/>
    <n v="2.2000000000000002"/>
    <m/>
    <m/>
    <n v="54.309999999999995"/>
    <m/>
    <m/>
    <m/>
    <m/>
    <n v="0"/>
    <n v="0"/>
    <m/>
    <m/>
    <m/>
    <m/>
    <m/>
    <m/>
    <m/>
    <m/>
    <n v="0"/>
    <n v="0"/>
    <n v="0"/>
    <n v="12"/>
    <n v="12"/>
    <m/>
    <m/>
    <n v="0"/>
    <m/>
    <m/>
    <x v="0"/>
    <m/>
    <m/>
    <m/>
    <m/>
  </r>
  <r>
    <x v="1"/>
    <x v="4"/>
    <s v="16 P"/>
    <x v="64"/>
    <s v="جیلانی پولی سٹاک"/>
    <s v="PP"/>
    <n v="13"/>
    <n v="5"/>
    <n v="0"/>
    <s v="-"/>
    <s v="PP"/>
    <n v="11"/>
    <n v="515.55000000000007"/>
    <n v="14.3"/>
    <m/>
    <m/>
    <n v="501.25000000000006"/>
    <m/>
    <n v="20"/>
    <m/>
    <m/>
    <n v="20"/>
    <n v="0.33333333333333331"/>
    <m/>
    <m/>
    <m/>
    <m/>
    <m/>
    <m/>
    <m/>
    <m/>
    <n v="0"/>
    <n v="0"/>
    <n v="0.33333333333333331"/>
    <n v="11.666666666666666"/>
    <n v="12"/>
    <m/>
    <m/>
    <n v="0"/>
    <m/>
    <m/>
    <x v="0"/>
    <m/>
    <m/>
    <m/>
    <m/>
  </r>
  <r>
    <x v="1"/>
    <x v="4"/>
    <s v="7171/7"/>
    <x v="64"/>
    <s v="شاہد رمضان اوکاڑہ"/>
    <s v="PP"/>
    <n v="11"/>
    <n v="4.5"/>
    <n v="0"/>
    <n v="100"/>
    <s v="PP"/>
    <n v="2"/>
    <n v="61.36"/>
    <n v="2.4500000000000002"/>
    <m/>
    <m/>
    <n v="58.91"/>
    <m/>
    <m/>
    <m/>
    <m/>
    <n v="0"/>
    <n v="0"/>
    <m/>
    <m/>
    <m/>
    <m/>
    <m/>
    <m/>
    <m/>
    <m/>
    <n v="0"/>
    <n v="0"/>
    <n v="0"/>
    <n v="12"/>
    <n v="12"/>
    <m/>
    <m/>
    <n v="0"/>
    <m/>
    <m/>
    <x v="0"/>
    <m/>
    <m/>
    <m/>
    <m/>
  </r>
  <r>
    <x v="0"/>
    <x v="0"/>
    <s v="2 P"/>
    <x v="65"/>
    <s v="جیلانی پولی سٹاک"/>
    <s v="PP"/>
    <n v="2"/>
    <s v="5.5-6"/>
    <n v="0"/>
    <s v="-"/>
    <s v="PP"/>
    <n v="6"/>
    <n v="112.61"/>
    <n v="1.2000000000000002"/>
    <n v="31"/>
    <m/>
    <n v="111.41"/>
    <m/>
    <m/>
    <m/>
    <m/>
    <n v="0"/>
    <n v="0"/>
    <m/>
    <m/>
    <m/>
    <m/>
    <m/>
    <m/>
    <m/>
    <m/>
    <n v="0"/>
    <n v="0"/>
    <n v="0"/>
    <n v="12"/>
    <n v="12"/>
    <m/>
    <n v="2036.5"/>
    <n v="0"/>
    <m/>
    <m/>
    <x v="0"/>
    <m/>
    <m/>
    <m/>
    <m/>
  </r>
  <r>
    <x v="1"/>
    <x v="0"/>
    <s v="2 P"/>
    <x v="65"/>
    <s v="جیلانی پولی سٹاک"/>
    <s v="PP"/>
    <n v="2"/>
    <s v="5.5-6"/>
    <n v="0"/>
    <s v="-"/>
    <s v="PP"/>
    <n v="6"/>
    <n v="117.64999999999998"/>
    <n v="1.2000000000000002"/>
    <n v="16"/>
    <m/>
    <n v="116.44999999999997"/>
    <m/>
    <m/>
    <m/>
    <m/>
    <n v="0"/>
    <n v="0"/>
    <m/>
    <m/>
    <m/>
    <m/>
    <m/>
    <m/>
    <m/>
    <m/>
    <n v="0"/>
    <n v="0"/>
    <n v="0"/>
    <n v="12"/>
    <n v="12"/>
    <m/>
    <m/>
    <n v="0"/>
    <m/>
    <m/>
    <x v="0"/>
    <m/>
    <m/>
    <m/>
    <m/>
  </r>
  <r>
    <x v="0"/>
    <x v="1"/>
    <s v="4 P"/>
    <x v="65"/>
    <s v="جیلانی پولی سٹاک"/>
    <s v="PP"/>
    <n v="3"/>
    <s v="5.5-6"/>
    <n v="0"/>
    <s v="-"/>
    <s v="PP"/>
    <n v="12"/>
    <n v="130.16"/>
    <n v="3.5999999999999996"/>
    <m/>
    <m/>
    <n v="126.56"/>
    <m/>
    <m/>
    <m/>
    <m/>
    <n v="0"/>
    <n v="0"/>
    <m/>
    <m/>
    <m/>
    <m/>
    <m/>
    <m/>
    <m/>
    <m/>
    <n v="0"/>
    <n v="0"/>
    <n v="0"/>
    <n v="12"/>
    <n v="12"/>
    <m/>
    <m/>
    <n v="0"/>
    <m/>
    <m/>
    <x v="0"/>
    <m/>
    <m/>
    <m/>
    <m/>
  </r>
  <r>
    <x v="1"/>
    <x v="1"/>
    <s v="4 P"/>
    <x v="65"/>
    <s v="جیلانی پولی سٹاک"/>
    <s v="PP"/>
    <n v="3"/>
    <s v="5.5-6"/>
    <n v="0"/>
    <s v="-"/>
    <s v="PP"/>
    <n v="11"/>
    <n v="130.79"/>
    <n v="3.3"/>
    <m/>
    <m/>
    <n v="127.49"/>
    <m/>
    <m/>
    <m/>
    <m/>
    <n v="0"/>
    <n v="0"/>
    <m/>
    <n v="15"/>
    <m/>
    <m/>
    <m/>
    <m/>
    <m/>
    <m/>
    <n v="15"/>
    <n v="0.25"/>
    <n v="0.25"/>
    <n v="11.75"/>
    <n v="12"/>
    <m/>
    <m/>
    <n v="0"/>
    <m/>
    <m/>
    <x v="0"/>
    <m/>
    <m/>
    <m/>
    <m/>
  </r>
  <r>
    <x v="0"/>
    <x v="2"/>
    <s v="9 P"/>
    <x v="65"/>
    <s v="جیلانی پولی سٹاک"/>
    <s v="PP"/>
    <n v="6"/>
    <n v="5"/>
    <n v="0"/>
    <s v="-"/>
    <s v="PP"/>
    <n v="10"/>
    <n v="265.17"/>
    <n v="6"/>
    <m/>
    <m/>
    <n v="259.17"/>
    <m/>
    <m/>
    <m/>
    <m/>
    <n v="0"/>
    <n v="0"/>
    <m/>
    <m/>
    <m/>
    <m/>
    <m/>
    <m/>
    <m/>
    <m/>
    <n v="0"/>
    <n v="0"/>
    <n v="0"/>
    <n v="12"/>
    <n v="12"/>
    <m/>
    <m/>
    <n v="0"/>
    <m/>
    <m/>
    <x v="0"/>
    <m/>
    <m/>
    <m/>
    <m/>
  </r>
  <r>
    <x v="1"/>
    <x v="2"/>
    <s v="10 P"/>
    <x v="65"/>
    <s v="جیلانی پولی سٹاک"/>
    <s v="PP"/>
    <n v="7"/>
    <n v="5"/>
    <n v="0"/>
    <s v="-"/>
    <s v="PP"/>
    <n v="5"/>
    <n v="161.62"/>
    <n v="3.8"/>
    <m/>
    <m/>
    <n v="157.82"/>
    <m/>
    <m/>
    <m/>
    <m/>
    <n v="0"/>
    <n v="0"/>
    <m/>
    <m/>
    <m/>
    <m/>
    <m/>
    <m/>
    <m/>
    <m/>
    <n v="0"/>
    <n v="0"/>
    <n v="0"/>
    <n v="12"/>
    <n v="12"/>
    <m/>
    <m/>
    <n v="0"/>
    <m/>
    <m/>
    <x v="0"/>
    <m/>
    <m/>
    <m/>
    <m/>
  </r>
  <r>
    <x v="1"/>
    <x v="2"/>
    <s v="7171/15"/>
    <x v="65"/>
    <s v="-"/>
    <s v="-"/>
    <s v="-"/>
    <s v="-"/>
    <s v="-"/>
    <s v="-"/>
    <s v="PP"/>
    <n v="2"/>
    <n v="83.789999999999992"/>
    <n v="2.2400000000000002"/>
    <m/>
    <m/>
    <n v="81.55"/>
    <m/>
    <n v="5"/>
    <m/>
    <m/>
    <n v="5"/>
    <n v="8.3333333333333329E-2"/>
    <n v="15"/>
    <m/>
    <m/>
    <m/>
    <m/>
    <m/>
    <m/>
    <m/>
    <n v="15"/>
    <n v="0.25"/>
    <n v="0.33333333333333331"/>
    <n v="11.666666666666666"/>
    <n v="12"/>
    <m/>
    <m/>
    <n v="0"/>
    <m/>
    <m/>
    <x v="0"/>
    <m/>
    <m/>
    <m/>
    <m/>
  </r>
  <r>
    <x v="0"/>
    <x v="3"/>
    <s v="3440 J"/>
    <x v="65"/>
    <s v="Jilani Poly Stock"/>
    <s v="PP"/>
    <n v="16"/>
    <s v="5-5.5"/>
    <s v="1:1"/>
    <n v="500"/>
    <s v="PP"/>
    <n v="16"/>
    <n v="707.16"/>
    <n v="25.6"/>
    <m/>
    <m/>
    <n v="681.56"/>
    <m/>
    <m/>
    <m/>
    <m/>
    <n v="0"/>
    <n v="0"/>
    <m/>
    <m/>
    <n v="10"/>
    <m/>
    <m/>
    <m/>
    <m/>
    <m/>
    <n v="10"/>
    <n v="0.16666666666666666"/>
    <n v="0.16666666666666666"/>
    <n v="11.833333333333334"/>
    <n v="12"/>
    <m/>
    <m/>
    <n v="0"/>
    <m/>
    <m/>
    <x v="0"/>
    <m/>
    <m/>
    <m/>
    <m/>
  </r>
  <r>
    <x v="1"/>
    <x v="3"/>
    <s v="3440 J"/>
    <x v="65"/>
    <s v="Jilani Poly Stock"/>
    <s v="PP"/>
    <n v="16"/>
    <s v="5-5.5"/>
    <s v="1:1"/>
    <n v="500"/>
    <s v="PP"/>
    <n v="8"/>
    <n v="394.59"/>
    <n v="12.8"/>
    <m/>
    <m/>
    <n v="381.78999999999996"/>
    <m/>
    <m/>
    <m/>
    <m/>
    <n v="0"/>
    <n v="0"/>
    <m/>
    <m/>
    <m/>
    <m/>
    <m/>
    <m/>
    <m/>
    <m/>
    <n v="0"/>
    <n v="0"/>
    <n v="0"/>
    <n v="12"/>
    <n v="12"/>
    <m/>
    <m/>
    <n v="0"/>
    <m/>
    <m/>
    <x v="0"/>
    <m/>
    <m/>
    <m/>
    <m/>
  </r>
  <r>
    <x v="1"/>
    <x v="3"/>
    <s v="7123/3"/>
    <x v="65"/>
    <s v="-"/>
    <s v="-"/>
    <s v="-"/>
    <s v="-"/>
    <s v="-"/>
    <s v="-"/>
    <s v="PP"/>
    <n v="4"/>
    <n v="210.95999999999998"/>
    <n v="6.4"/>
    <m/>
    <m/>
    <n v="204.55999999999997"/>
    <m/>
    <m/>
    <m/>
    <m/>
    <n v="0"/>
    <n v="0"/>
    <m/>
    <m/>
    <m/>
    <m/>
    <m/>
    <m/>
    <m/>
    <m/>
    <n v="0"/>
    <n v="0"/>
    <n v="0"/>
    <n v="12"/>
    <n v="12"/>
    <m/>
    <m/>
    <n v="0"/>
    <m/>
    <m/>
    <x v="0"/>
    <m/>
    <m/>
    <m/>
    <m/>
  </r>
  <r>
    <x v="1"/>
    <x v="3"/>
    <s v="7182/1"/>
    <x v="65"/>
    <s v="عامر شہزاد ساہیوال"/>
    <s v="PP"/>
    <n v="16"/>
    <n v="5"/>
    <n v="0"/>
    <n v="500"/>
    <s v="PP"/>
    <n v="2"/>
    <n v="105.42"/>
    <n v="3.8"/>
    <m/>
    <m/>
    <n v="101.62"/>
    <m/>
    <m/>
    <m/>
    <m/>
    <n v="0"/>
    <n v="0"/>
    <m/>
    <m/>
    <m/>
    <m/>
    <m/>
    <m/>
    <m/>
    <m/>
    <n v="0"/>
    <n v="0"/>
    <n v="0"/>
    <n v="12"/>
    <n v="12"/>
    <m/>
    <m/>
    <n v="0"/>
    <m/>
    <m/>
    <x v="0"/>
    <m/>
    <m/>
    <m/>
    <m/>
  </r>
  <r>
    <x v="0"/>
    <x v="4"/>
    <s v="16 P"/>
    <x v="65"/>
    <s v="جیلانی پولی سٹاک"/>
    <s v="PP"/>
    <n v="13"/>
    <n v="5"/>
    <n v="0"/>
    <s v="-"/>
    <s v="PP"/>
    <n v="6"/>
    <n v="223.59"/>
    <n v="9"/>
    <m/>
    <m/>
    <n v="214.59"/>
    <m/>
    <m/>
    <m/>
    <m/>
    <n v="0"/>
    <n v="0"/>
    <m/>
    <m/>
    <m/>
    <m/>
    <m/>
    <m/>
    <m/>
    <m/>
    <n v="0"/>
    <n v="0"/>
    <n v="0"/>
    <n v="12"/>
    <n v="12"/>
    <m/>
    <m/>
    <n v="0"/>
    <m/>
    <m/>
    <x v="0"/>
    <m/>
    <m/>
    <m/>
    <m/>
  </r>
  <r>
    <x v="0"/>
    <x v="4"/>
    <s v="7194/1"/>
    <x v="65"/>
    <s v="ایم عمران پاکستان مارکیٹ"/>
    <s v="PP"/>
    <n v="12"/>
    <n v="6.5"/>
    <n v="0"/>
    <n v="300"/>
    <s v="PP"/>
    <n v="8"/>
    <n v="331.51"/>
    <n v="12"/>
    <m/>
    <m/>
    <n v="319.51"/>
    <m/>
    <m/>
    <m/>
    <m/>
    <n v="0"/>
    <n v="0"/>
    <m/>
    <n v="20"/>
    <m/>
    <m/>
    <m/>
    <m/>
    <n v="20"/>
    <m/>
    <n v="40"/>
    <n v="0.66666666666666663"/>
    <n v="0.66666666666666663"/>
    <n v="11.333333333333334"/>
    <n v="12"/>
    <m/>
    <m/>
    <n v="0"/>
    <m/>
    <m/>
    <x v="0"/>
    <m/>
    <m/>
    <m/>
    <m/>
  </r>
  <r>
    <x v="1"/>
    <x v="4"/>
    <s v="7194/1"/>
    <x v="65"/>
    <s v="ایم عمران پاکستان مارکیٹ"/>
    <s v="PP"/>
    <n v="12"/>
    <n v="6.5"/>
    <n v="0"/>
    <n v="300"/>
    <s v="PP"/>
    <n v="11"/>
    <n v="573.82000000000005"/>
    <n v="17.490000000000002"/>
    <m/>
    <m/>
    <n v="556.33000000000004"/>
    <m/>
    <m/>
    <m/>
    <m/>
    <n v="0"/>
    <n v="0"/>
    <m/>
    <m/>
    <m/>
    <m/>
    <m/>
    <m/>
    <m/>
    <m/>
    <n v="0"/>
    <n v="0"/>
    <n v="0"/>
    <n v="12"/>
    <n v="12"/>
    <m/>
    <m/>
    <n v="0"/>
    <m/>
    <m/>
    <x v="0"/>
    <m/>
    <m/>
    <m/>
    <m/>
  </r>
  <r>
    <x v="0"/>
    <x v="0"/>
    <s v="2P/1"/>
    <x v="66"/>
    <s v="جیلانی پولی سٹاک"/>
    <s v="PP"/>
    <n v="2"/>
    <s v="5.5-6"/>
    <n v="0"/>
    <n v="500"/>
    <s v="PP"/>
    <n v="5"/>
    <n v="114.09"/>
    <n v="2.1"/>
    <n v="38"/>
    <m/>
    <n v="111.99000000000001"/>
    <m/>
    <n v="5"/>
    <m/>
    <m/>
    <n v="5"/>
    <n v="8.3333333333333329E-2"/>
    <m/>
    <m/>
    <m/>
    <m/>
    <m/>
    <m/>
    <m/>
    <m/>
    <n v="0"/>
    <n v="0"/>
    <n v="8.3333333333333329E-2"/>
    <n v="11.916666666666666"/>
    <n v="12"/>
    <m/>
    <n v="1870.5"/>
    <n v="0"/>
    <n v="1700"/>
    <m/>
    <x v="0"/>
    <m/>
    <m/>
    <m/>
    <m/>
  </r>
  <r>
    <x v="0"/>
    <x v="0"/>
    <s v="3 P"/>
    <x v="66"/>
    <s v="جیلانی پولی سٹاک"/>
    <s v="PP"/>
    <n v="2.5"/>
    <s v="5.5-6"/>
    <n v="0"/>
    <s v="-"/>
    <s v="PP"/>
    <n v="2"/>
    <n v="22.979999999999997"/>
    <n v="0.4"/>
    <m/>
    <m/>
    <n v="22.58"/>
    <m/>
    <m/>
    <m/>
    <m/>
    <n v="0"/>
    <n v="0"/>
    <m/>
    <m/>
    <m/>
    <m/>
    <m/>
    <m/>
    <m/>
    <m/>
    <n v="0"/>
    <n v="0"/>
    <n v="0"/>
    <n v="12"/>
    <n v="12"/>
    <m/>
    <m/>
    <n v="0"/>
    <m/>
    <m/>
    <x v="0"/>
    <m/>
    <m/>
    <m/>
    <m/>
  </r>
  <r>
    <x v="1"/>
    <x v="0"/>
    <s v="3 P"/>
    <x v="66"/>
    <s v="جیلانی پولی سٹاک"/>
    <s v="PP"/>
    <n v="2.5"/>
    <s v="5.5-6"/>
    <n v="0"/>
    <s v="-"/>
    <s v="PP"/>
    <n v="11"/>
    <n v="123.34"/>
    <n v="2.2000000000000002"/>
    <n v="17"/>
    <m/>
    <n v="121.14"/>
    <m/>
    <m/>
    <m/>
    <m/>
    <n v="0"/>
    <n v="0"/>
    <m/>
    <m/>
    <m/>
    <m/>
    <m/>
    <m/>
    <m/>
    <m/>
    <n v="0"/>
    <n v="0"/>
    <n v="0"/>
    <n v="12"/>
    <n v="12"/>
    <m/>
    <m/>
    <n v="0"/>
    <n v="1700"/>
    <m/>
    <x v="0"/>
    <m/>
    <m/>
    <m/>
    <m/>
  </r>
  <r>
    <x v="0"/>
    <x v="1"/>
    <s v="4 P"/>
    <x v="66"/>
    <s v="جیلانی پولی سٹاک"/>
    <s v="PP"/>
    <n v="3"/>
    <s v="5.5-6"/>
    <n v="0"/>
    <s v="-"/>
    <s v="PP"/>
    <n v="11"/>
    <n v="131.24"/>
    <n v="3.3"/>
    <m/>
    <m/>
    <n v="127.94000000000001"/>
    <m/>
    <m/>
    <m/>
    <m/>
    <n v="0"/>
    <n v="0"/>
    <m/>
    <m/>
    <m/>
    <m/>
    <m/>
    <m/>
    <m/>
    <m/>
    <n v="0"/>
    <n v="0"/>
    <n v="0"/>
    <n v="12"/>
    <n v="12"/>
    <m/>
    <m/>
    <n v="0"/>
    <m/>
    <m/>
    <x v="0"/>
    <m/>
    <m/>
    <m/>
    <m/>
  </r>
  <r>
    <x v="1"/>
    <x v="1"/>
    <s v="4 P"/>
    <x v="66"/>
    <s v="جیلانی پولی سٹاک"/>
    <s v="PP"/>
    <n v="3"/>
    <s v="5.5-6"/>
    <n v="0"/>
    <s v="-"/>
    <s v="PP"/>
    <n v="4"/>
    <n v="53.79"/>
    <n v="1.2"/>
    <m/>
    <m/>
    <n v="52.589999999999996"/>
    <m/>
    <n v="2"/>
    <m/>
    <m/>
    <n v="2"/>
    <n v="3.3333333333333333E-2"/>
    <m/>
    <m/>
    <m/>
    <m/>
    <m/>
    <m/>
    <m/>
    <m/>
    <n v="0"/>
    <n v="0"/>
    <n v="3.3333333333333333E-2"/>
    <n v="11.966666666666669"/>
    <n v="12"/>
    <m/>
    <m/>
    <n v="0"/>
    <m/>
    <m/>
    <x v="0"/>
    <m/>
    <m/>
    <m/>
    <m/>
  </r>
  <r>
    <x v="1"/>
    <x v="1"/>
    <s v="6 P"/>
    <x v="66"/>
    <s v="جیلانی پولی سٹاک"/>
    <s v="PP"/>
    <n v="4"/>
    <s v="5.5-6"/>
    <n v="0"/>
    <s v="-"/>
    <s v="PP"/>
    <n v="6"/>
    <n v="93.17"/>
    <n v="2.4000000000000004"/>
    <m/>
    <m/>
    <n v="90.77"/>
    <m/>
    <m/>
    <m/>
    <m/>
    <n v="0"/>
    <n v="0"/>
    <m/>
    <m/>
    <m/>
    <m/>
    <m/>
    <m/>
    <m/>
    <m/>
    <n v="0"/>
    <n v="0"/>
    <n v="0"/>
    <n v="12"/>
    <n v="12"/>
    <m/>
    <m/>
    <n v="0"/>
    <m/>
    <m/>
    <x v="0"/>
    <m/>
    <m/>
    <m/>
    <m/>
  </r>
  <r>
    <x v="0"/>
    <x v="2"/>
    <s v="7171/1"/>
    <x v="66"/>
    <s v="شاہد رمضان اوکاڑہ"/>
    <s v="PP"/>
    <n v="18"/>
    <n v="4.5"/>
    <n v="0"/>
    <n v="200"/>
    <s v="PP"/>
    <n v="4"/>
    <n v="101.85"/>
    <n v="4.76"/>
    <m/>
    <m/>
    <n v="97.089999999999989"/>
    <m/>
    <m/>
    <m/>
    <m/>
    <n v="0"/>
    <n v="0"/>
    <m/>
    <m/>
    <n v="480"/>
    <m/>
    <m/>
    <m/>
    <m/>
    <m/>
    <n v="480"/>
    <n v="8"/>
    <n v="8"/>
    <n v="4"/>
    <n v="12"/>
    <m/>
    <m/>
    <n v="0"/>
    <m/>
    <m/>
    <x v="0"/>
    <m/>
    <m/>
    <m/>
    <m/>
  </r>
  <r>
    <x v="1"/>
    <x v="2"/>
    <s v="7171/1"/>
    <x v="66"/>
    <s v="شاہد رمضان اوکاڑہ"/>
    <s v="PP"/>
    <n v="18"/>
    <n v="4.5"/>
    <n v="0"/>
    <n v="200"/>
    <s v="PP"/>
    <n v="2"/>
    <n v="93.789999999999992"/>
    <n v="1.8"/>
    <m/>
    <m/>
    <n v="91.99"/>
    <m/>
    <m/>
    <m/>
    <m/>
    <n v="0"/>
    <n v="0"/>
    <m/>
    <m/>
    <n v="60"/>
    <m/>
    <m/>
    <m/>
    <m/>
    <m/>
    <n v="60"/>
    <n v="1"/>
    <n v="1"/>
    <n v="11"/>
    <n v="12"/>
    <m/>
    <m/>
    <n v="0"/>
    <m/>
    <m/>
    <x v="0"/>
    <m/>
    <m/>
    <m/>
    <m/>
  </r>
  <r>
    <x v="1"/>
    <x v="2"/>
    <s v="7173/1"/>
    <x v="66"/>
    <s v="الحبیب پلاسٹک اوکاڑہ"/>
    <s v="PP"/>
    <n v="8"/>
    <n v="4.5"/>
    <n v="0"/>
    <n v="300"/>
    <s v="PP"/>
    <n v="3"/>
    <n v="79.22"/>
    <n v="2.7"/>
    <m/>
    <m/>
    <n v="76.52"/>
    <m/>
    <m/>
    <m/>
    <m/>
    <n v="0"/>
    <n v="0"/>
    <m/>
    <m/>
    <m/>
    <m/>
    <m/>
    <m/>
    <m/>
    <m/>
    <n v="0"/>
    <n v="0"/>
    <n v="0"/>
    <n v="12"/>
    <n v="12"/>
    <m/>
    <m/>
    <n v="0"/>
    <m/>
    <m/>
    <x v="0"/>
    <m/>
    <m/>
    <m/>
    <m/>
  </r>
  <r>
    <x v="1"/>
    <x v="2"/>
    <s v="7194/10"/>
    <x v="66"/>
    <s v="ایم عمران پاکستان مارکیٹ"/>
    <s v="PP"/>
    <n v="9"/>
    <n v="5.5"/>
    <n v="0"/>
    <n v="50"/>
    <s v="PP"/>
    <n v="1"/>
    <n v="38.380000000000003"/>
    <n v="0.9"/>
    <m/>
    <m/>
    <n v="37.480000000000004"/>
    <m/>
    <m/>
    <m/>
    <m/>
    <n v="0"/>
    <n v="0"/>
    <m/>
    <m/>
    <m/>
    <m/>
    <m/>
    <m/>
    <m/>
    <m/>
    <n v="0"/>
    <n v="0"/>
    <n v="0"/>
    <n v="12"/>
    <n v="12"/>
    <m/>
    <m/>
    <n v="0"/>
    <m/>
    <m/>
    <x v="0"/>
    <m/>
    <m/>
    <m/>
    <m/>
  </r>
  <r>
    <x v="0"/>
    <x v="3"/>
    <s v="7182/1"/>
    <x v="66"/>
    <s v="عامر شہزاد ساہیوال"/>
    <s v="PP"/>
    <n v="16"/>
    <n v="5"/>
    <n v="0"/>
    <n v="500"/>
    <s v="PP"/>
    <n v="10"/>
    <n v="475.91999999999996"/>
    <n v="16.240000000000002"/>
    <m/>
    <m/>
    <n v="459.67999999999995"/>
    <m/>
    <n v="5"/>
    <m/>
    <m/>
    <n v="5"/>
    <n v="8.3333333333333329E-2"/>
    <m/>
    <m/>
    <m/>
    <m/>
    <m/>
    <m/>
    <m/>
    <m/>
    <n v="0"/>
    <n v="0"/>
    <n v="8.3333333333333329E-2"/>
    <n v="11.916666666666666"/>
    <n v="12"/>
    <m/>
    <m/>
    <n v="0"/>
    <m/>
    <m/>
    <x v="0"/>
    <m/>
    <m/>
    <m/>
    <m/>
  </r>
  <r>
    <x v="0"/>
    <x v="3"/>
    <s v="3724 J"/>
    <x v="66"/>
    <s v="Ali Sweets And Bakers Raheem Yar Khan"/>
    <s v="PP"/>
    <n v="22"/>
    <s v="6-6.5"/>
    <s v=".1:1"/>
    <n v="100"/>
    <s v="PP"/>
    <n v="3"/>
    <n v="117.28"/>
    <n v="7.68"/>
    <m/>
    <m/>
    <n v="109.6"/>
    <m/>
    <n v="5"/>
    <m/>
    <m/>
    <n v="5"/>
    <n v="8.3333333333333329E-2"/>
    <m/>
    <m/>
    <m/>
    <m/>
    <m/>
    <m/>
    <m/>
    <m/>
    <n v="0"/>
    <n v="0"/>
    <n v="8.3333333333333329E-2"/>
    <n v="11.916666666666666"/>
    <n v="12"/>
    <m/>
    <m/>
    <n v="0"/>
    <m/>
    <m/>
    <x v="0"/>
    <m/>
    <m/>
    <m/>
    <m/>
  </r>
  <r>
    <x v="0"/>
    <x v="3"/>
    <s v="3441 J"/>
    <x v="66"/>
    <s v="Jilani Poly Stock"/>
    <s v="PP"/>
    <n v="28"/>
    <s v="5-5.5"/>
    <s v="1:1"/>
    <n v="1000"/>
    <s v="PP"/>
    <n v="2"/>
    <n v="108.5"/>
    <n v="6.4"/>
    <m/>
    <m/>
    <n v="102.1"/>
    <m/>
    <m/>
    <m/>
    <m/>
    <n v="0"/>
    <n v="0"/>
    <m/>
    <m/>
    <m/>
    <m/>
    <m/>
    <m/>
    <m/>
    <m/>
    <n v="0"/>
    <n v="0"/>
    <n v="0"/>
    <n v="12"/>
    <n v="12"/>
    <m/>
    <m/>
    <n v="0"/>
    <m/>
    <m/>
    <x v="0"/>
    <m/>
    <m/>
    <m/>
    <m/>
  </r>
  <r>
    <x v="1"/>
    <x v="3"/>
    <s v="3441 J"/>
    <x v="66"/>
    <s v="Jilani Poly Stock"/>
    <s v="PP"/>
    <n v="28"/>
    <s v="5-5.5"/>
    <s v="1:1"/>
    <n v="1000"/>
    <s v="PP"/>
    <n v="12"/>
    <n v="708.87"/>
    <n v="38.090000000000003"/>
    <m/>
    <m/>
    <n v="670.78"/>
    <m/>
    <m/>
    <m/>
    <m/>
    <n v="0"/>
    <n v="0"/>
    <m/>
    <m/>
    <m/>
    <m/>
    <m/>
    <m/>
    <m/>
    <m/>
    <n v="0"/>
    <n v="0"/>
    <n v="0"/>
    <n v="12"/>
    <n v="12"/>
    <m/>
    <m/>
    <n v="0"/>
    <m/>
    <m/>
    <x v="0"/>
    <m/>
    <m/>
    <m/>
    <m/>
  </r>
  <r>
    <x v="0"/>
    <x v="4"/>
    <s v="7194/2"/>
    <x v="66"/>
    <s v="ایم عمران پاکستان مارکیٹ"/>
    <s v="PP"/>
    <n v="13"/>
    <n v="6.5"/>
    <n v="0"/>
    <n v="1000"/>
    <s v="PP"/>
    <n v="4"/>
    <n v="154.79000000000002"/>
    <n v="6.16"/>
    <m/>
    <m/>
    <n v="148.63000000000002"/>
    <m/>
    <n v="20"/>
    <m/>
    <m/>
    <n v="20"/>
    <n v="0.33333333333333331"/>
    <m/>
    <m/>
    <n v="30"/>
    <m/>
    <m/>
    <m/>
    <m/>
    <m/>
    <n v="30"/>
    <n v="0.5"/>
    <n v="0.83333333333333326"/>
    <n v="11.166666666666666"/>
    <n v="12"/>
    <m/>
    <m/>
    <n v="0"/>
    <m/>
    <m/>
    <x v="0"/>
    <m/>
    <m/>
    <m/>
    <m/>
  </r>
  <r>
    <x v="0"/>
    <x v="4"/>
    <s v="7194/1"/>
    <x v="66"/>
    <s v="ایم عمران پاکستان مارکیٹ"/>
    <s v="PP"/>
    <n v="12"/>
    <n v="6.5"/>
    <n v="0"/>
    <n v="300"/>
    <s v="PP"/>
    <n v="8"/>
    <n v="333.92"/>
    <n v="9.6"/>
    <m/>
    <m/>
    <n v="324.32"/>
    <m/>
    <m/>
    <m/>
    <m/>
    <n v="0"/>
    <n v="0"/>
    <m/>
    <m/>
    <m/>
    <m/>
    <m/>
    <m/>
    <m/>
    <m/>
    <n v="0"/>
    <n v="0"/>
    <n v="0"/>
    <n v="12"/>
    <n v="12"/>
    <m/>
    <m/>
    <n v="0"/>
    <m/>
    <m/>
    <x v="0"/>
    <m/>
    <m/>
    <m/>
    <m/>
  </r>
  <r>
    <x v="0"/>
    <x v="4"/>
    <s v="7171/8"/>
    <x v="66"/>
    <s v="شاہد رمضان اوکاڑہ"/>
    <s v="PP"/>
    <n v="8"/>
    <n v="4.5"/>
    <n v="0"/>
    <n v="100"/>
    <s v="PP"/>
    <n v="2"/>
    <n v="63.92"/>
    <n v="2.4"/>
    <m/>
    <m/>
    <n v="61.52"/>
    <m/>
    <m/>
    <m/>
    <m/>
    <n v="0"/>
    <n v="0"/>
    <m/>
    <m/>
    <m/>
    <m/>
    <m/>
    <m/>
    <m/>
    <m/>
    <n v="0"/>
    <n v="0"/>
    <n v="0"/>
    <n v="12"/>
    <n v="12"/>
    <m/>
    <m/>
    <n v="0"/>
    <m/>
    <m/>
    <x v="0"/>
    <m/>
    <m/>
    <m/>
    <m/>
  </r>
  <r>
    <x v="1"/>
    <x v="4"/>
    <s v="7171/8"/>
    <x v="66"/>
    <s v="شاہد رمضان اوکاڑہ"/>
    <s v="PP"/>
    <n v="8"/>
    <n v="4.5"/>
    <n v="0"/>
    <n v="100"/>
    <s v="PP"/>
    <n v="3"/>
    <n v="105.77"/>
    <n v="4.53"/>
    <m/>
    <m/>
    <n v="101.24"/>
    <m/>
    <m/>
    <m/>
    <m/>
    <n v="0"/>
    <n v="0"/>
    <m/>
    <m/>
    <m/>
    <m/>
    <m/>
    <m/>
    <m/>
    <m/>
    <n v="0"/>
    <n v="0"/>
    <n v="0"/>
    <n v="12"/>
    <n v="12"/>
    <m/>
    <m/>
    <n v="0"/>
    <m/>
    <m/>
    <x v="0"/>
    <m/>
    <m/>
    <m/>
    <m/>
  </r>
  <r>
    <x v="1"/>
    <x v="4"/>
    <s v="7202/4"/>
    <x v="66"/>
    <s v="ہیڈ افس سٹاک لاہور"/>
    <s v="PP"/>
    <n v="12"/>
    <n v="5"/>
    <n v="0"/>
    <n v="500"/>
    <s v="PP"/>
    <n v="6"/>
    <n v="335.86"/>
    <n v="9.06"/>
    <m/>
    <m/>
    <n v="326.8"/>
    <m/>
    <m/>
    <m/>
    <m/>
    <n v="0"/>
    <n v="0"/>
    <m/>
    <m/>
    <m/>
    <m/>
    <m/>
    <m/>
    <m/>
    <m/>
    <n v="0"/>
    <n v="0"/>
    <n v="0"/>
    <n v="12"/>
    <n v="12"/>
    <m/>
    <m/>
    <n v="0"/>
    <m/>
    <m/>
    <x v="0"/>
    <m/>
    <m/>
    <m/>
    <m/>
  </r>
  <r>
    <x v="1"/>
    <x v="4"/>
    <s v="7203/12"/>
    <x v="66"/>
    <s v="فضل سعید صادق اباد"/>
    <s v="PP"/>
    <n v="12"/>
    <n v="5"/>
    <n v="0"/>
    <n v="75"/>
    <s v="PP"/>
    <n v="1"/>
    <n v="60"/>
    <n v="1.2"/>
    <m/>
    <m/>
    <n v="58.8"/>
    <m/>
    <m/>
    <m/>
    <m/>
    <n v="0"/>
    <n v="0"/>
    <m/>
    <m/>
    <m/>
    <m/>
    <m/>
    <m/>
    <m/>
    <m/>
    <n v="0"/>
    <n v="0"/>
    <n v="0"/>
    <n v="12"/>
    <n v="12"/>
    <m/>
    <m/>
    <n v="0"/>
    <m/>
    <m/>
    <x v="0"/>
    <m/>
    <m/>
    <m/>
    <m/>
  </r>
  <r>
    <x v="0"/>
    <x v="0"/>
    <s v="3 P"/>
    <x v="67"/>
    <s v="جیلانی پولی سٹاک"/>
    <s v="PP"/>
    <n v="2.5"/>
    <s v="5.5-6"/>
    <n v="0"/>
    <s v="-"/>
    <s v="PP"/>
    <n v="12"/>
    <n v="122.34000000000002"/>
    <n v="2.4000000000000004"/>
    <n v="15"/>
    <m/>
    <n v="119.94000000000001"/>
    <m/>
    <m/>
    <m/>
    <m/>
    <n v="0"/>
    <n v="0"/>
    <m/>
    <m/>
    <m/>
    <m/>
    <m/>
    <m/>
    <m/>
    <m/>
    <n v="0"/>
    <n v="0"/>
    <n v="0"/>
    <n v="12"/>
    <n v="12"/>
    <m/>
    <n v="1930"/>
    <n v="0"/>
    <n v="1700"/>
    <m/>
    <x v="0"/>
    <m/>
    <m/>
    <m/>
    <m/>
  </r>
  <r>
    <x v="1"/>
    <x v="0"/>
    <s v="3 P"/>
    <x v="67"/>
    <s v="جیلانی پولی سٹاک"/>
    <s v="PP"/>
    <n v="2.5"/>
    <s v="5.5-6"/>
    <n v="0"/>
    <s v="-"/>
    <s v="PP"/>
    <n v="10"/>
    <n v="119.26"/>
    <n v="2"/>
    <n v="40"/>
    <m/>
    <n v="117.26"/>
    <m/>
    <m/>
    <m/>
    <m/>
    <n v="0"/>
    <n v="0"/>
    <m/>
    <m/>
    <m/>
    <m/>
    <m/>
    <m/>
    <m/>
    <m/>
    <n v="0"/>
    <n v="0"/>
    <n v="0"/>
    <n v="12"/>
    <n v="12"/>
    <m/>
    <m/>
    <n v="0"/>
    <n v="1700"/>
    <m/>
    <x v="0"/>
    <m/>
    <m/>
    <m/>
    <m/>
  </r>
  <r>
    <x v="0"/>
    <x v="1"/>
    <s v="7203/3"/>
    <x v="67"/>
    <s v="فضل سعید صادق اباد"/>
    <s v="PP"/>
    <n v="4"/>
    <n v="5"/>
    <n v="0"/>
    <n v="125"/>
    <s v="PP"/>
    <n v="10"/>
    <n v="155.92000000000002"/>
    <n v="4"/>
    <m/>
    <m/>
    <n v="151.92000000000002"/>
    <m/>
    <m/>
    <m/>
    <m/>
    <n v="0"/>
    <n v="0"/>
    <m/>
    <m/>
    <m/>
    <m/>
    <m/>
    <m/>
    <m/>
    <m/>
    <n v="0"/>
    <n v="0"/>
    <n v="0"/>
    <n v="12"/>
    <n v="12"/>
    <m/>
    <m/>
    <n v="0"/>
    <m/>
    <m/>
    <x v="0"/>
    <m/>
    <m/>
    <m/>
    <m/>
  </r>
  <r>
    <x v="1"/>
    <x v="1"/>
    <s v="7203/3"/>
    <x v="67"/>
    <s v="فضل سعید صادق اباد"/>
    <s v="PP"/>
    <n v="4"/>
    <n v="5"/>
    <n v="0"/>
    <n v="125"/>
    <s v="PP"/>
    <n v="2"/>
    <n v="19.62"/>
    <n v="0.8"/>
    <m/>
    <m/>
    <n v="18.82"/>
    <m/>
    <m/>
    <m/>
    <m/>
    <n v="0"/>
    <n v="0"/>
    <m/>
    <m/>
    <m/>
    <m/>
    <m/>
    <m/>
    <m/>
    <m/>
    <n v="0"/>
    <n v="0"/>
    <n v="0"/>
    <n v="12"/>
    <n v="12"/>
    <m/>
    <m/>
    <n v="0"/>
    <m/>
    <m/>
    <x v="0"/>
    <m/>
    <m/>
    <m/>
    <m/>
  </r>
  <r>
    <x v="1"/>
    <x v="1"/>
    <s v="7203/1"/>
    <x v="67"/>
    <s v="فضل سعید صادق اباد"/>
    <s v="PP"/>
    <n v="2"/>
    <n v="5"/>
    <n v="0"/>
    <n v="75"/>
    <s v="PP"/>
    <n v="9"/>
    <n v="83.47"/>
    <n v="1.8"/>
    <m/>
    <m/>
    <n v="81.67"/>
    <m/>
    <n v="30"/>
    <m/>
    <m/>
    <n v="30"/>
    <n v="0.5"/>
    <m/>
    <m/>
    <m/>
    <m/>
    <m/>
    <m/>
    <m/>
    <m/>
    <n v="0"/>
    <n v="0"/>
    <n v="0.5"/>
    <n v="11.5"/>
    <n v="12"/>
    <m/>
    <m/>
    <n v="0"/>
    <m/>
    <m/>
    <x v="0"/>
    <m/>
    <m/>
    <m/>
    <m/>
  </r>
  <r>
    <x v="0"/>
    <x v="2"/>
    <s v="7197/3"/>
    <x v="67"/>
    <s v="نادر پلاسٹک سرگودھا"/>
    <s v="PP"/>
    <n v="9"/>
    <n v="5"/>
    <n v="0"/>
    <n v="150"/>
    <s v="PP"/>
    <n v="9"/>
    <n v="362.4"/>
    <n v="8.3000000000000007"/>
    <m/>
    <m/>
    <n v="354.09999999999997"/>
    <m/>
    <m/>
    <m/>
    <m/>
    <n v="0"/>
    <n v="0"/>
    <m/>
    <m/>
    <m/>
    <m/>
    <m/>
    <m/>
    <m/>
    <m/>
    <n v="0"/>
    <n v="0"/>
    <n v="0"/>
    <n v="12"/>
    <n v="12"/>
    <m/>
    <m/>
    <n v="0"/>
    <m/>
    <m/>
    <x v="0"/>
    <m/>
    <m/>
    <m/>
    <m/>
  </r>
  <r>
    <x v="1"/>
    <x v="2"/>
    <s v="7197/3"/>
    <x v="67"/>
    <s v="نادر پلاسٹک سرگودھا"/>
    <s v="PP"/>
    <n v="9"/>
    <n v="5"/>
    <n v="0"/>
    <n v="150"/>
    <s v="PP"/>
    <n v="8"/>
    <n v="331.85"/>
    <n v="8.1999999999999993"/>
    <m/>
    <m/>
    <n v="323.65000000000003"/>
    <m/>
    <m/>
    <m/>
    <m/>
    <n v="0"/>
    <n v="0"/>
    <m/>
    <m/>
    <m/>
    <m/>
    <m/>
    <m/>
    <m/>
    <m/>
    <n v="0"/>
    <n v="0"/>
    <n v="0"/>
    <n v="12"/>
    <n v="12"/>
    <m/>
    <m/>
    <n v="0"/>
    <m/>
    <m/>
    <x v="0"/>
    <m/>
    <m/>
    <m/>
    <m/>
  </r>
  <r>
    <x v="1"/>
    <x v="2"/>
    <s v="7203/8"/>
    <x v="67"/>
    <s v="فضل سعید صادق اباد"/>
    <s v="PP"/>
    <n v="9"/>
    <n v="5"/>
    <n v="0"/>
    <n v="300"/>
    <s v="PP"/>
    <n v="1"/>
    <n v="52.49"/>
    <n v="0.9"/>
    <m/>
    <m/>
    <n v="51.59"/>
    <m/>
    <m/>
    <m/>
    <m/>
    <n v="0"/>
    <n v="0"/>
    <m/>
    <m/>
    <m/>
    <m/>
    <m/>
    <m/>
    <m/>
    <m/>
    <n v="0"/>
    <n v="0"/>
    <n v="0"/>
    <n v="12"/>
    <n v="12"/>
    <m/>
    <m/>
    <n v="0"/>
    <m/>
    <m/>
    <x v="0"/>
    <m/>
    <m/>
    <m/>
    <m/>
  </r>
  <r>
    <x v="0"/>
    <x v="3"/>
    <s v="3441 J"/>
    <x v="67"/>
    <s v="Jilani Poly Stock"/>
    <s v="PP"/>
    <n v="28"/>
    <s v="5-5.5"/>
    <s v="1:1"/>
    <n v="1000"/>
    <s v="PP"/>
    <n v="11"/>
    <n v="599.7700000000001"/>
    <n v="31.5"/>
    <m/>
    <m/>
    <n v="568.2700000000001"/>
    <m/>
    <m/>
    <n v="60"/>
    <m/>
    <n v="60"/>
    <n v="1"/>
    <m/>
    <m/>
    <n v="30"/>
    <m/>
    <m/>
    <m/>
    <m/>
    <m/>
    <n v="30"/>
    <n v="0.5"/>
    <n v="1.5"/>
    <n v="10.5"/>
    <n v="12"/>
    <m/>
    <m/>
    <n v="0"/>
    <m/>
    <m/>
    <x v="0"/>
    <m/>
    <m/>
    <m/>
    <m/>
  </r>
  <r>
    <x v="1"/>
    <x v="3"/>
    <s v="3441 J"/>
    <x v="67"/>
    <s v="Jilani Poly Stock"/>
    <s v="PP"/>
    <n v="28"/>
    <s v="5-5.5"/>
    <s v="1:1"/>
    <n v="1000"/>
    <s v="PP"/>
    <n v="5"/>
    <n v="287.48"/>
    <n v="17.29"/>
    <m/>
    <m/>
    <n v="270.19"/>
    <m/>
    <n v="20"/>
    <m/>
    <n v="195"/>
    <n v="215"/>
    <n v="3.5833333333333335"/>
    <m/>
    <m/>
    <m/>
    <m/>
    <m/>
    <m/>
    <n v="45"/>
    <m/>
    <n v="45"/>
    <n v="0.75"/>
    <n v="4.3333333333333339"/>
    <n v="7.6666666666666652"/>
    <n v="12"/>
    <m/>
    <m/>
    <n v="0"/>
    <m/>
    <m/>
    <x v="0"/>
    <m/>
    <m/>
    <m/>
    <m/>
  </r>
  <r>
    <x v="1"/>
    <x v="3"/>
    <s v="3725 J"/>
    <x v="67"/>
    <s v="Raza Graments Lahore"/>
    <s v="PP"/>
    <n v="14"/>
    <s v="11.5-12"/>
    <s v=".1:1"/>
    <n v="1000"/>
    <s v="PP"/>
    <n v="4"/>
    <n v="143.80000000000001"/>
    <n v="6.6099999999999994"/>
    <m/>
    <m/>
    <n v="137.19"/>
    <m/>
    <m/>
    <m/>
    <m/>
    <n v="0"/>
    <n v="0"/>
    <m/>
    <m/>
    <m/>
    <m/>
    <m/>
    <m/>
    <m/>
    <m/>
    <n v="0"/>
    <n v="0"/>
    <n v="0"/>
    <n v="12"/>
    <n v="12"/>
    <m/>
    <m/>
    <n v="0"/>
    <m/>
    <m/>
    <x v="0"/>
    <m/>
    <m/>
    <m/>
    <m/>
  </r>
  <r>
    <x v="0"/>
    <x v="4"/>
    <s v="7202/4"/>
    <x v="67"/>
    <s v="ہیڈ افس سٹاک لاہور"/>
    <s v="PP"/>
    <n v="12"/>
    <n v="5"/>
    <n v="0"/>
    <n v="500"/>
    <s v="PP"/>
    <n v="6"/>
    <n v="276.02999999999997"/>
    <n v="8.1999999999999993"/>
    <m/>
    <m/>
    <n v="267.83"/>
    <m/>
    <m/>
    <m/>
    <m/>
    <n v="0"/>
    <n v="0"/>
    <m/>
    <m/>
    <m/>
    <m/>
    <m/>
    <m/>
    <m/>
    <m/>
    <n v="0"/>
    <n v="0"/>
    <n v="0"/>
    <n v="12"/>
    <n v="12"/>
    <m/>
    <m/>
    <n v="0"/>
    <m/>
    <m/>
    <x v="0"/>
    <m/>
    <m/>
    <m/>
    <m/>
  </r>
  <r>
    <x v="0"/>
    <x v="4"/>
    <s v="7203/12"/>
    <x v="67"/>
    <s v="فضل سعید صادق اباد"/>
    <s v="PP"/>
    <n v="12"/>
    <n v="5"/>
    <n v="0"/>
    <n v="75"/>
    <s v="PP"/>
    <n v="9"/>
    <n v="257.36"/>
    <n v="12.709999999999999"/>
    <m/>
    <m/>
    <n v="244.65"/>
    <m/>
    <m/>
    <m/>
    <m/>
    <n v="0"/>
    <n v="0"/>
    <m/>
    <m/>
    <m/>
    <m/>
    <m/>
    <m/>
    <m/>
    <m/>
    <n v="0"/>
    <n v="0"/>
    <n v="0"/>
    <n v="12"/>
    <n v="12"/>
    <m/>
    <m/>
    <n v="0"/>
    <m/>
    <m/>
    <x v="0"/>
    <m/>
    <m/>
    <m/>
    <m/>
  </r>
  <r>
    <x v="0"/>
    <x v="4"/>
    <s v="7194/1"/>
    <x v="67"/>
    <s v="ایم عمران پاکستان مارکیٹ"/>
    <s v="PP"/>
    <n v="12"/>
    <n v="6.5"/>
    <n v="0"/>
    <n v="300"/>
    <s v="PP"/>
    <n v="1"/>
    <n v="30.86"/>
    <n v="1.4"/>
    <m/>
    <m/>
    <n v="29.46"/>
    <m/>
    <m/>
    <m/>
    <m/>
    <n v="0"/>
    <n v="0"/>
    <m/>
    <m/>
    <m/>
    <m/>
    <m/>
    <m/>
    <m/>
    <m/>
    <n v="0"/>
    <n v="0"/>
    <n v="0"/>
    <n v="12"/>
    <n v="12"/>
    <m/>
    <m/>
    <n v="0"/>
    <m/>
    <m/>
    <x v="0"/>
    <m/>
    <m/>
    <m/>
    <m/>
  </r>
  <r>
    <x v="1"/>
    <x v="4"/>
    <s v="7202/4"/>
    <x v="67"/>
    <s v="ہیڈ افس سٹاک لاہور"/>
    <s v="PP"/>
    <n v="12"/>
    <n v="5"/>
    <n v="0"/>
    <n v="500"/>
    <s v="PP"/>
    <n v="7"/>
    <n v="385.68000000000006"/>
    <n v="10.57"/>
    <m/>
    <m/>
    <n v="375.11000000000007"/>
    <m/>
    <m/>
    <m/>
    <m/>
    <n v="0"/>
    <n v="0"/>
    <m/>
    <m/>
    <m/>
    <m/>
    <m/>
    <m/>
    <m/>
    <m/>
    <n v="0"/>
    <n v="0"/>
    <n v="0"/>
    <n v="12"/>
    <n v="12"/>
    <m/>
    <m/>
    <n v="0"/>
    <m/>
    <m/>
    <x v="0"/>
    <m/>
    <m/>
    <m/>
    <m/>
  </r>
  <r>
    <x v="1"/>
    <x v="4"/>
    <s v="7170/1"/>
    <x v="67"/>
    <s v="بلال ازعظم مال کینٹ"/>
    <s v="PP"/>
    <n v="12"/>
    <n v="8"/>
    <n v="0"/>
    <n v="50"/>
    <s v="PP"/>
    <n v="2"/>
    <n v="62.72"/>
    <n v="3.5999999999999996"/>
    <m/>
    <m/>
    <n v="59.12"/>
    <m/>
    <m/>
    <m/>
    <m/>
    <n v="0"/>
    <n v="0"/>
    <m/>
    <m/>
    <m/>
    <m/>
    <m/>
    <m/>
    <m/>
    <m/>
    <n v="0"/>
    <n v="0"/>
    <n v="0"/>
    <n v="12"/>
    <n v="12"/>
    <m/>
    <m/>
    <n v="0"/>
    <m/>
    <m/>
    <x v="0"/>
    <m/>
    <m/>
    <m/>
    <m/>
  </r>
  <r>
    <x v="1"/>
    <x v="4"/>
    <s v="7200/1"/>
    <x v="67"/>
    <s v="ایم دین پنڈی"/>
    <s v="PP"/>
    <n v="6"/>
    <n v="15"/>
    <n v="0"/>
    <n v="900"/>
    <s v="PP"/>
    <n v="2"/>
    <n v="104.25"/>
    <n v="2.4"/>
    <m/>
    <m/>
    <n v="101.85"/>
    <m/>
    <m/>
    <m/>
    <m/>
    <n v="0"/>
    <n v="0"/>
    <m/>
    <m/>
    <m/>
    <m/>
    <m/>
    <m/>
    <m/>
    <m/>
    <n v="0"/>
    <n v="0"/>
    <n v="0"/>
    <n v="12"/>
    <n v="12"/>
    <m/>
    <m/>
    <n v="0"/>
    <m/>
    <m/>
    <x v="0"/>
    <m/>
    <m/>
    <m/>
    <m/>
  </r>
  <r>
    <x v="0"/>
    <x v="0"/>
    <s v="3 P"/>
    <x v="68"/>
    <s v="جیلانی پولی سٹاک"/>
    <s v="PP"/>
    <n v="2.5"/>
    <s v="5.5-6"/>
    <n v="0"/>
    <s v="-"/>
    <s v="PP"/>
    <n v="12"/>
    <n v="116.42"/>
    <n v="2.4000000000000004"/>
    <n v="23"/>
    <m/>
    <n v="114.02"/>
    <m/>
    <m/>
    <m/>
    <m/>
    <n v="0"/>
    <n v="0"/>
    <m/>
    <m/>
    <m/>
    <m/>
    <m/>
    <m/>
    <m/>
    <m/>
    <n v="0"/>
    <n v="0"/>
    <n v="0"/>
    <n v="12"/>
    <n v="12"/>
    <m/>
    <n v="1980.5"/>
    <n v="0"/>
    <n v="1750"/>
    <m/>
    <x v="0"/>
    <m/>
    <m/>
    <m/>
    <m/>
  </r>
  <r>
    <x v="1"/>
    <x v="0"/>
    <s v="3 P"/>
    <x v="68"/>
    <s v="جیلانی پولی سٹاک"/>
    <s v="PP"/>
    <n v="2.5"/>
    <s v="5.5-6"/>
    <n v="0"/>
    <s v="-"/>
    <s v="PP"/>
    <n v="10"/>
    <n v="116.09"/>
    <n v="2"/>
    <n v="25"/>
    <m/>
    <n v="114.09"/>
    <m/>
    <m/>
    <m/>
    <m/>
    <n v="0"/>
    <n v="0"/>
    <m/>
    <m/>
    <m/>
    <m/>
    <m/>
    <m/>
    <m/>
    <m/>
    <n v="0"/>
    <n v="0"/>
    <n v="0"/>
    <n v="12"/>
    <n v="12"/>
    <m/>
    <m/>
    <n v="0"/>
    <n v="1750"/>
    <m/>
    <x v="0"/>
    <m/>
    <m/>
    <m/>
    <m/>
  </r>
  <r>
    <x v="0"/>
    <x v="1"/>
    <s v="2 P"/>
    <x v="68"/>
    <s v="جیلانی پولی سٹاک"/>
    <s v="PP"/>
    <n v="2"/>
    <s v="5.5-6"/>
    <n v="0"/>
    <s v="-"/>
    <s v="PP"/>
    <n v="14"/>
    <n v="95.6"/>
    <n v="2.8000000000000003"/>
    <m/>
    <m/>
    <n v="92.8"/>
    <m/>
    <m/>
    <m/>
    <m/>
    <n v="0"/>
    <n v="0"/>
    <m/>
    <m/>
    <m/>
    <m/>
    <m/>
    <m/>
    <m/>
    <m/>
    <n v="0"/>
    <n v="0"/>
    <n v="0"/>
    <n v="12"/>
    <n v="12"/>
    <m/>
    <m/>
    <n v="0"/>
    <m/>
    <m/>
    <x v="0"/>
    <m/>
    <m/>
    <m/>
    <m/>
  </r>
  <r>
    <x v="1"/>
    <x v="1"/>
    <s v="2 P"/>
    <x v="68"/>
    <s v="جیلانی پولی سٹاک"/>
    <s v="PP"/>
    <n v="2"/>
    <s v="5.5-6"/>
    <n v="0"/>
    <s v="-"/>
    <s v="PP"/>
    <n v="11"/>
    <n v="96.20999999999998"/>
    <n v="2.2000000000000002"/>
    <m/>
    <m/>
    <n v="94.009999999999977"/>
    <m/>
    <m/>
    <m/>
    <m/>
    <n v="0"/>
    <n v="0"/>
    <m/>
    <m/>
    <m/>
    <m/>
    <m/>
    <m/>
    <m/>
    <m/>
    <n v="0"/>
    <n v="0"/>
    <n v="0"/>
    <n v="12"/>
    <n v="12"/>
    <m/>
    <m/>
    <n v="0"/>
    <m/>
    <m/>
    <x v="0"/>
    <m/>
    <m/>
    <m/>
    <m/>
  </r>
  <r>
    <x v="0"/>
    <x v="2"/>
    <s v="7173/2"/>
    <x v="68"/>
    <s v="الحبیب پلاسٹک اوکاڑہ"/>
    <s v="PP"/>
    <n v="7"/>
    <n v="4.5"/>
    <n v="0"/>
    <n v="100"/>
    <s v="PP"/>
    <n v="6"/>
    <n v="135.02000000000001"/>
    <n v="4.1999999999999993"/>
    <m/>
    <m/>
    <n v="130.82000000000002"/>
    <m/>
    <m/>
    <m/>
    <m/>
    <n v="0"/>
    <n v="0"/>
    <m/>
    <m/>
    <m/>
    <m/>
    <m/>
    <m/>
    <m/>
    <m/>
    <n v="0"/>
    <n v="0"/>
    <n v="0"/>
    <n v="12"/>
    <n v="12"/>
    <m/>
    <m/>
    <n v="0"/>
    <m/>
    <m/>
    <x v="0"/>
    <m/>
    <m/>
    <m/>
    <m/>
  </r>
  <r>
    <x v="0"/>
    <x v="2"/>
    <s v="10 P"/>
    <x v="68"/>
    <s v="جیلانی پولی سٹاک"/>
    <s v="PP"/>
    <n v="7"/>
    <n v="5"/>
    <n v="0"/>
    <s v="-"/>
    <s v="PP"/>
    <n v="13"/>
    <n v="25.49"/>
    <n v="0.7"/>
    <m/>
    <m/>
    <n v="24.79"/>
    <m/>
    <m/>
    <m/>
    <m/>
    <n v="0"/>
    <n v="0"/>
    <m/>
    <m/>
    <m/>
    <m/>
    <m/>
    <m/>
    <m/>
    <m/>
    <n v="0"/>
    <n v="0"/>
    <n v="0"/>
    <n v="12"/>
    <n v="12"/>
    <m/>
    <m/>
    <n v="0"/>
    <m/>
    <m/>
    <x v="0"/>
    <m/>
    <m/>
    <m/>
    <m/>
  </r>
  <r>
    <x v="0"/>
    <x v="2"/>
    <s v="12 P"/>
    <x v="68"/>
    <s v="جیلانی پولی سٹاک"/>
    <s v="PP"/>
    <n v="9"/>
    <n v="5"/>
    <n v="0"/>
    <s v="-"/>
    <s v="PP"/>
    <n v="1"/>
    <n v="36.31"/>
    <n v="0.9"/>
    <m/>
    <m/>
    <n v="35.410000000000004"/>
    <m/>
    <m/>
    <m/>
    <m/>
    <n v="0"/>
    <n v="0"/>
    <m/>
    <m/>
    <m/>
    <m/>
    <m/>
    <m/>
    <m/>
    <m/>
    <n v="0"/>
    <n v="0"/>
    <n v="0"/>
    <n v="12"/>
    <n v="12"/>
    <m/>
    <m/>
    <n v="0"/>
    <m/>
    <m/>
    <x v="0"/>
    <m/>
    <m/>
    <m/>
    <m/>
  </r>
  <r>
    <x v="0"/>
    <x v="2"/>
    <s v="7174/9"/>
    <x v="68"/>
    <s v="786 لفافہ بورے والا"/>
    <s v="PP"/>
    <n v="7"/>
    <n v="10"/>
    <n v="0"/>
    <n v="100"/>
    <s v="PP"/>
    <n v="2"/>
    <n v="54.97"/>
    <n v="1.4"/>
    <m/>
    <m/>
    <n v="53.57"/>
    <m/>
    <m/>
    <m/>
    <m/>
    <n v="0"/>
    <n v="0"/>
    <m/>
    <m/>
    <m/>
    <m/>
    <m/>
    <m/>
    <m/>
    <m/>
    <n v="0"/>
    <n v="0"/>
    <n v="0"/>
    <n v="12"/>
    <n v="12"/>
    <m/>
    <m/>
    <n v="0"/>
    <m/>
    <m/>
    <x v="0"/>
    <m/>
    <m/>
    <m/>
    <m/>
  </r>
  <r>
    <x v="0"/>
    <x v="2"/>
    <s v="7194/8"/>
    <x v="68"/>
    <s v="ایم عمران پاکستان مارکیٹ"/>
    <s v="PP"/>
    <n v="15"/>
    <n v="5.5"/>
    <n v="0"/>
    <n v="300"/>
    <s v="PP"/>
    <n v="1"/>
    <n v="25.21"/>
    <n v="1.5"/>
    <m/>
    <m/>
    <n v="23.71"/>
    <m/>
    <m/>
    <m/>
    <m/>
    <n v="0"/>
    <n v="0"/>
    <m/>
    <m/>
    <m/>
    <m/>
    <m/>
    <m/>
    <m/>
    <m/>
    <n v="0"/>
    <n v="0"/>
    <n v="0"/>
    <n v="12"/>
    <n v="12"/>
    <m/>
    <m/>
    <n v="0"/>
    <m/>
    <m/>
    <x v="0"/>
    <m/>
    <m/>
    <m/>
    <m/>
  </r>
  <r>
    <x v="1"/>
    <x v="2"/>
    <s v="7174/6"/>
    <x v="68"/>
    <s v="786 لفافہ بورے والا"/>
    <s v="PP"/>
    <n v="7"/>
    <n v="5"/>
    <n v="0"/>
    <n v="100"/>
    <s v="PP"/>
    <n v="3"/>
    <n v="70.5"/>
    <n v="2.0999999999999996"/>
    <m/>
    <m/>
    <n v="68.400000000000006"/>
    <m/>
    <m/>
    <m/>
    <m/>
    <n v="0"/>
    <n v="0"/>
    <m/>
    <m/>
    <m/>
    <m/>
    <m/>
    <m/>
    <m/>
    <m/>
    <n v="0"/>
    <n v="0"/>
    <n v="0"/>
    <n v="12"/>
    <n v="12"/>
    <m/>
    <m/>
    <n v="0"/>
    <m/>
    <m/>
    <x v="0"/>
    <m/>
    <m/>
    <m/>
    <m/>
  </r>
  <r>
    <x v="1"/>
    <x v="2"/>
    <s v="7160/1"/>
    <x v="68"/>
    <s v="ایم دین پنڈی"/>
    <s v="PP"/>
    <n v="7"/>
    <n v="15"/>
    <n v="0"/>
    <n v="600"/>
    <s v="PP"/>
    <n v="8"/>
    <n v="235.25000000000003"/>
    <n v="5.6"/>
    <m/>
    <m/>
    <n v="229.65000000000003"/>
    <m/>
    <m/>
    <m/>
    <m/>
    <n v="0"/>
    <n v="0"/>
    <m/>
    <m/>
    <m/>
    <m/>
    <m/>
    <m/>
    <m/>
    <m/>
    <n v="0"/>
    <n v="0"/>
    <n v="0"/>
    <n v="12"/>
    <n v="12"/>
    <m/>
    <m/>
    <n v="0"/>
    <m/>
    <m/>
    <x v="0"/>
    <m/>
    <m/>
    <m/>
    <m/>
  </r>
  <r>
    <x v="0"/>
    <x v="3"/>
    <s v="3725 J"/>
    <x v="68"/>
    <s v="Raza Graments Lahore"/>
    <s v="PP"/>
    <n v="14"/>
    <s v="11.5-12"/>
    <s v=".1:1"/>
    <n v="1000"/>
    <s v="PP"/>
    <n v="18"/>
    <n v="700.28000000000009"/>
    <n v="32.4"/>
    <m/>
    <m/>
    <n v="667.88000000000011"/>
    <m/>
    <n v="20"/>
    <m/>
    <m/>
    <n v="20"/>
    <n v="0.33333333333333331"/>
    <m/>
    <m/>
    <m/>
    <m/>
    <m/>
    <m/>
    <m/>
    <m/>
    <n v="0"/>
    <n v="0"/>
    <n v="0.33333333333333331"/>
    <n v="11.666666666666666"/>
    <n v="12"/>
    <m/>
    <m/>
    <n v="0"/>
    <m/>
    <m/>
    <x v="0"/>
    <m/>
    <m/>
    <m/>
    <m/>
  </r>
  <r>
    <x v="1"/>
    <x v="3"/>
    <s v="7194/4"/>
    <x v="68"/>
    <s v="ایم عمران پاکستان مارکیٹ"/>
    <s v="PP"/>
    <n v="15"/>
    <n v="6.5"/>
    <n v="0"/>
    <n v="1000"/>
    <s v="PP"/>
    <n v="13"/>
    <n v="427.13"/>
    <n v="21.33"/>
    <m/>
    <m/>
    <n v="405.8"/>
    <m/>
    <m/>
    <m/>
    <m/>
    <n v="0"/>
    <n v="0"/>
    <m/>
    <m/>
    <m/>
    <m/>
    <m/>
    <m/>
    <m/>
    <m/>
    <n v="0"/>
    <n v="0"/>
    <n v="0"/>
    <n v="12"/>
    <n v="12"/>
    <m/>
    <m/>
    <n v="0"/>
    <m/>
    <m/>
    <x v="0"/>
    <m/>
    <m/>
    <m/>
    <m/>
  </r>
  <r>
    <x v="1"/>
    <x v="3"/>
    <s v="7202/12"/>
    <x v="68"/>
    <s v="ہیڈ افس سٹاک لاہور"/>
    <s v="PP"/>
    <n v="15"/>
    <n v="7"/>
    <n v="0"/>
    <n v="200"/>
    <s v="PP"/>
    <n v="10"/>
    <n v="290.76000000000005"/>
    <n v="10.950000000000001"/>
    <m/>
    <m/>
    <n v="279.81000000000006"/>
    <m/>
    <m/>
    <m/>
    <m/>
    <n v="0"/>
    <n v="0"/>
    <m/>
    <m/>
    <m/>
    <m/>
    <m/>
    <m/>
    <m/>
    <m/>
    <n v="0"/>
    <n v="0"/>
    <n v="0"/>
    <n v="12"/>
    <n v="12"/>
    <m/>
    <m/>
    <n v="0"/>
    <m/>
    <m/>
    <x v="0"/>
    <m/>
    <m/>
    <m/>
    <m/>
  </r>
  <r>
    <x v="0"/>
    <x v="4"/>
    <s v="7200/1"/>
    <x v="68"/>
    <s v="ایم دین پنڈی"/>
    <s v="PP"/>
    <n v="6"/>
    <n v="15"/>
    <n v="0"/>
    <n v="900"/>
    <s v="PP"/>
    <n v="14"/>
    <n v="587.28"/>
    <n v="16.8"/>
    <m/>
    <m/>
    <n v="570.48"/>
    <m/>
    <m/>
    <m/>
    <m/>
    <n v="0"/>
    <n v="0"/>
    <m/>
    <m/>
    <m/>
    <m/>
    <m/>
    <m/>
    <m/>
    <m/>
    <n v="0"/>
    <n v="0"/>
    <n v="0"/>
    <n v="12"/>
    <n v="12"/>
    <m/>
    <m/>
    <n v="0"/>
    <m/>
    <m/>
    <x v="0"/>
    <m/>
    <m/>
    <m/>
    <m/>
  </r>
  <r>
    <x v="1"/>
    <x v="4"/>
    <s v="7200/1"/>
    <x v="68"/>
    <s v="ایم دین پنڈی"/>
    <s v="PP"/>
    <n v="6"/>
    <n v="15"/>
    <n v="0"/>
    <n v="900"/>
    <s v="PP"/>
    <n v="5"/>
    <n v="242.49"/>
    <n v="6"/>
    <m/>
    <m/>
    <n v="236.49"/>
    <m/>
    <m/>
    <m/>
    <m/>
    <n v="0"/>
    <n v="0"/>
    <m/>
    <m/>
    <m/>
    <m/>
    <m/>
    <m/>
    <m/>
    <m/>
    <n v="0"/>
    <n v="0"/>
    <n v="0"/>
    <n v="12"/>
    <n v="12"/>
    <m/>
    <m/>
    <n v="0"/>
    <m/>
    <m/>
    <x v="0"/>
    <m/>
    <m/>
    <m/>
    <m/>
  </r>
  <r>
    <x v="1"/>
    <x v="4"/>
    <s v="17 P"/>
    <x v="68"/>
    <s v="جیلانی پولی سٹاک"/>
    <s v="PP"/>
    <n v="14"/>
    <n v="5"/>
    <n v="0"/>
    <s v="-"/>
    <s v="PP"/>
    <n v="5"/>
    <n v="288.48"/>
    <n v="7"/>
    <m/>
    <m/>
    <n v="281.48"/>
    <m/>
    <m/>
    <m/>
    <m/>
    <n v="0"/>
    <n v="0"/>
    <m/>
    <m/>
    <m/>
    <m/>
    <m/>
    <m/>
    <m/>
    <m/>
    <n v="0"/>
    <n v="0"/>
    <n v="0"/>
    <n v="12"/>
    <n v="12"/>
    <m/>
    <m/>
    <n v="0"/>
    <m/>
    <m/>
    <x v="0"/>
    <m/>
    <m/>
    <m/>
    <m/>
  </r>
  <r>
    <x v="0"/>
    <x v="1"/>
    <s v="2 P"/>
    <x v="69"/>
    <s v="جیلانی پولی سٹاک"/>
    <s v="PP"/>
    <n v="2"/>
    <s v="5.5-6"/>
    <n v="0"/>
    <s v="-"/>
    <s v="PP"/>
    <n v="4"/>
    <n v="28.57"/>
    <n v="0.8"/>
    <n v="21"/>
    <m/>
    <n v="27.77"/>
    <m/>
    <m/>
    <m/>
    <m/>
    <n v="0"/>
    <n v="0"/>
    <m/>
    <m/>
    <m/>
    <m/>
    <m/>
    <m/>
    <m/>
    <m/>
    <n v="0"/>
    <n v="0"/>
    <n v="0"/>
    <n v="12"/>
    <n v="12"/>
    <m/>
    <n v="1975"/>
    <n v="0"/>
    <m/>
    <m/>
    <x v="0"/>
    <m/>
    <m/>
    <m/>
    <m/>
  </r>
  <r>
    <x v="0"/>
    <x v="1"/>
    <s v="8 P"/>
    <x v="69"/>
    <s v="جیلانی پولی سٹاک"/>
    <s v="PP"/>
    <n v="5"/>
    <s v="5.5-6"/>
    <n v="0"/>
    <s v="-"/>
    <s v="PP"/>
    <n v="6"/>
    <n v="102.61999999999999"/>
    <n v="3"/>
    <m/>
    <m/>
    <n v="99.61999999999999"/>
    <m/>
    <m/>
    <m/>
    <m/>
    <n v="0"/>
    <n v="0"/>
    <m/>
    <m/>
    <m/>
    <m/>
    <m/>
    <m/>
    <m/>
    <m/>
    <n v="0"/>
    <n v="0"/>
    <n v="0"/>
    <n v="12"/>
    <n v="12"/>
    <m/>
    <m/>
    <n v="0"/>
    <m/>
    <m/>
    <x v="0"/>
    <m/>
    <m/>
    <m/>
    <m/>
  </r>
  <r>
    <x v="1"/>
    <x v="1"/>
    <s v="7196/2"/>
    <x v="69"/>
    <s v="عظیم ٹوائز لاہور"/>
    <s v="PP"/>
    <n v="5.5"/>
    <n v="10"/>
    <n v="0"/>
    <n v="50"/>
    <s v="PP"/>
    <n v="10"/>
    <n v="125.29999999999998"/>
    <n v="5"/>
    <n v="58"/>
    <m/>
    <n v="120.29999999999998"/>
    <m/>
    <n v="20"/>
    <m/>
    <m/>
    <n v="20"/>
    <n v="0.33333333333333331"/>
    <m/>
    <m/>
    <m/>
    <m/>
    <m/>
    <m/>
    <m/>
    <m/>
    <n v="0"/>
    <n v="0"/>
    <n v="0.33333333333333331"/>
    <n v="11.666666666666666"/>
    <n v="12"/>
    <m/>
    <m/>
    <n v="0"/>
    <m/>
    <m/>
    <x v="0"/>
    <m/>
    <m/>
    <m/>
    <m/>
  </r>
  <r>
    <x v="1"/>
    <x v="1"/>
    <s v="7161/6"/>
    <x v="69"/>
    <s v="ملک اعجاز چنوٹ"/>
    <s v="PP"/>
    <n v="5"/>
    <n v="4.5"/>
    <n v="0"/>
    <n v="50"/>
    <s v="PP"/>
    <n v="1"/>
    <n v="17.27"/>
    <n v="0.5"/>
    <m/>
    <m/>
    <n v="16.77"/>
    <m/>
    <m/>
    <m/>
    <m/>
    <n v="0"/>
    <n v="0"/>
    <m/>
    <m/>
    <m/>
    <m/>
    <m/>
    <m/>
    <m/>
    <m/>
    <n v="0"/>
    <n v="0"/>
    <n v="0"/>
    <n v="12"/>
    <n v="12"/>
    <m/>
    <m/>
    <n v="0"/>
    <m/>
    <m/>
    <x v="0"/>
    <m/>
    <m/>
    <m/>
    <m/>
  </r>
  <r>
    <x v="0"/>
    <x v="0"/>
    <s v="3 P"/>
    <x v="69"/>
    <s v="جیلانی پولی سٹاک"/>
    <s v="PP"/>
    <n v="2.5"/>
    <s v="5.5-6"/>
    <n v="0"/>
    <s v="-"/>
    <s v="PP"/>
    <n v="8"/>
    <n v="82.64"/>
    <n v="1.6"/>
    <m/>
    <m/>
    <n v="81.040000000000006"/>
    <m/>
    <m/>
    <m/>
    <m/>
    <n v="0"/>
    <n v="0"/>
    <m/>
    <m/>
    <n v="180"/>
    <m/>
    <m/>
    <m/>
    <m/>
    <m/>
    <n v="180"/>
    <n v="3"/>
    <n v="3"/>
    <n v="9"/>
    <n v="12"/>
    <m/>
    <m/>
    <n v="0"/>
    <m/>
    <m/>
    <x v="0"/>
    <m/>
    <m/>
    <m/>
    <m/>
  </r>
  <r>
    <x v="1"/>
    <x v="0"/>
    <s v="6 P"/>
    <x v="69"/>
    <s v="جیلانی پولی سٹاک"/>
    <s v="PP"/>
    <n v="4"/>
    <s v="5.5-6"/>
    <n v="0"/>
    <s v="-"/>
    <s v="PP"/>
    <n v="8"/>
    <n v="130.76"/>
    <n v="3.2"/>
    <m/>
    <m/>
    <n v="127.55999999999999"/>
    <m/>
    <n v="60"/>
    <m/>
    <m/>
    <n v="60"/>
    <n v="1"/>
    <m/>
    <m/>
    <m/>
    <m/>
    <m/>
    <m/>
    <m/>
    <m/>
    <n v="0"/>
    <n v="0"/>
    <n v="1"/>
    <n v="11"/>
    <n v="12"/>
    <m/>
    <m/>
    <n v="0"/>
    <m/>
    <m/>
    <x v="0"/>
    <m/>
    <m/>
    <m/>
    <m/>
  </r>
  <r>
    <x v="0"/>
    <x v="2"/>
    <s v="7160/1"/>
    <x v="69"/>
    <s v="ایم دین پنڈی"/>
    <s v="PP"/>
    <n v="7"/>
    <n v="15"/>
    <n v="0"/>
    <n v="600"/>
    <s v="PP"/>
    <n v="15"/>
    <n v="314.31999999999994"/>
    <n v="10.5"/>
    <m/>
    <m/>
    <n v="303.81999999999994"/>
    <m/>
    <m/>
    <m/>
    <m/>
    <n v="0"/>
    <n v="0"/>
    <m/>
    <m/>
    <m/>
    <m/>
    <m/>
    <m/>
    <m/>
    <m/>
    <n v="0"/>
    <n v="0"/>
    <n v="0"/>
    <n v="12"/>
    <n v="12"/>
    <m/>
    <m/>
    <n v="0"/>
    <m/>
    <m/>
    <x v="0"/>
    <m/>
    <m/>
    <m/>
    <m/>
  </r>
  <r>
    <x v="1"/>
    <x v="2"/>
    <s v="7160/1"/>
    <x v="69"/>
    <s v="ایم دین پنڈی"/>
    <s v="PP"/>
    <n v="7"/>
    <n v="15"/>
    <n v="0"/>
    <n v="600"/>
    <s v="PP"/>
    <n v="5"/>
    <n v="153.98999999999998"/>
    <n v="4.6399999999999997"/>
    <m/>
    <m/>
    <n v="149.35"/>
    <m/>
    <n v="20"/>
    <m/>
    <m/>
    <n v="20"/>
    <n v="0.33333333333333331"/>
    <m/>
    <m/>
    <m/>
    <m/>
    <m/>
    <m/>
    <m/>
    <m/>
    <n v="0"/>
    <n v="0"/>
    <n v="0.33333333333333331"/>
    <n v="11.666666666666666"/>
    <n v="12"/>
    <m/>
    <m/>
    <n v="0"/>
    <m/>
    <m/>
    <x v="0"/>
    <m/>
    <m/>
    <m/>
    <m/>
  </r>
  <r>
    <x v="1"/>
    <x v="2"/>
    <s v="7173/1"/>
    <x v="69"/>
    <s v="الحبیب پلاسٹک اوکاڑہ"/>
    <s v="PP"/>
    <n v="8"/>
    <n v="4.5"/>
    <n v="0"/>
    <n v="300"/>
    <s v="PP"/>
    <n v="3"/>
    <n v="108.66"/>
    <n v="3"/>
    <m/>
    <m/>
    <n v="105.66"/>
    <m/>
    <m/>
    <m/>
    <m/>
    <n v="0"/>
    <n v="0"/>
    <m/>
    <m/>
    <m/>
    <m/>
    <m/>
    <m/>
    <m/>
    <m/>
    <n v="0"/>
    <n v="0"/>
    <n v="0"/>
    <n v="12"/>
    <n v="12"/>
    <m/>
    <m/>
    <n v="0"/>
    <m/>
    <m/>
    <x v="0"/>
    <m/>
    <m/>
    <m/>
    <m/>
  </r>
  <r>
    <x v="0"/>
    <x v="3"/>
    <s v="7194/8"/>
    <x v="69"/>
    <s v="ایم عمران پاکستان مارکیٹ"/>
    <s v="PP"/>
    <n v="15"/>
    <n v="5.5"/>
    <n v="0"/>
    <n v="300"/>
    <s v="PP"/>
    <n v="20"/>
    <n v="704.09000000000015"/>
    <n v="30"/>
    <m/>
    <m/>
    <n v="674.09000000000015"/>
    <m/>
    <m/>
    <m/>
    <m/>
    <n v="0"/>
    <n v="0"/>
    <m/>
    <m/>
    <m/>
    <m/>
    <m/>
    <m/>
    <m/>
    <m/>
    <n v="0"/>
    <n v="0"/>
    <n v="0"/>
    <n v="12"/>
    <n v="12"/>
    <m/>
    <m/>
    <n v="0"/>
    <m/>
    <m/>
    <x v="0"/>
    <m/>
    <m/>
    <m/>
    <m/>
  </r>
  <r>
    <x v="1"/>
    <x v="3"/>
    <s v="7194/8"/>
    <x v="69"/>
    <s v="ایم عمران پاکستان مارکیٹ"/>
    <s v="PP"/>
    <n v="15"/>
    <n v="5.5"/>
    <n v="0"/>
    <n v="300"/>
    <s v="PP"/>
    <n v="3"/>
    <n v="100.28"/>
    <n v="5.15"/>
    <m/>
    <m/>
    <n v="95.13"/>
    <m/>
    <n v="20"/>
    <m/>
    <m/>
    <n v="20"/>
    <n v="0.33333333333333331"/>
    <m/>
    <m/>
    <m/>
    <m/>
    <m/>
    <m/>
    <m/>
    <m/>
    <n v="0"/>
    <n v="0"/>
    <n v="0.33333333333333331"/>
    <n v="11.666666666666666"/>
    <n v="12"/>
    <m/>
    <m/>
    <n v="0"/>
    <m/>
    <m/>
    <x v="0"/>
    <m/>
    <m/>
    <m/>
    <m/>
  </r>
  <r>
    <x v="1"/>
    <x v="3"/>
    <s v="7202/12"/>
    <x v="69"/>
    <s v="ہیڈ افس سٹاک لاہور"/>
    <s v="PP"/>
    <n v="15"/>
    <n v="7"/>
    <n v="0"/>
    <n v="200"/>
    <s v="PP"/>
    <n v="7"/>
    <n v="216.89"/>
    <n v="9.11"/>
    <m/>
    <m/>
    <n v="207.77999999999997"/>
    <m/>
    <m/>
    <m/>
    <m/>
    <n v="0"/>
    <n v="0"/>
    <m/>
    <m/>
    <m/>
    <m/>
    <m/>
    <m/>
    <m/>
    <m/>
    <n v="0"/>
    <n v="0"/>
    <n v="0"/>
    <n v="12"/>
    <n v="12"/>
    <m/>
    <m/>
    <n v="0"/>
    <m/>
    <m/>
    <x v="0"/>
    <m/>
    <m/>
    <m/>
    <m/>
  </r>
  <r>
    <x v="1"/>
    <x v="3"/>
    <s v="7173/8"/>
    <x v="69"/>
    <s v="الحبیب پلاسٹک اوکاڑہ"/>
    <s v="PP"/>
    <n v="18"/>
    <n v="5"/>
    <n v="0"/>
    <n v="600"/>
    <s v="PP"/>
    <n v="4"/>
    <n v="215.26"/>
    <n v="8.4500000000000011"/>
    <m/>
    <m/>
    <n v="206.81"/>
    <m/>
    <m/>
    <m/>
    <m/>
    <n v="0"/>
    <n v="0"/>
    <m/>
    <m/>
    <m/>
    <m/>
    <m/>
    <m/>
    <m/>
    <m/>
    <n v="0"/>
    <n v="0"/>
    <n v="0"/>
    <n v="12"/>
    <n v="12"/>
    <m/>
    <m/>
    <n v="0"/>
    <m/>
    <m/>
    <x v="0"/>
    <m/>
    <m/>
    <m/>
    <m/>
  </r>
  <r>
    <x v="1"/>
    <x v="3"/>
    <s v="7169/1"/>
    <x v="69"/>
    <s v="محبوب مقبول گوجرانوالہ"/>
    <s v="PP"/>
    <n v="18"/>
    <s v="7.5-8"/>
    <n v="0"/>
    <n v="150"/>
    <s v="PP"/>
    <n v="3"/>
    <n v="166.34"/>
    <n v="6.52"/>
    <m/>
    <m/>
    <n v="159.82"/>
    <m/>
    <m/>
    <m/>
    <m/>
    <n v="0"/>
    <n v="0"/>
    <m/>
    <m/>
    <m/>
    <m/>
    <m/>
    <m/>
    <m/>
    <m/>
    <n v="0"/>
    <n v="0"/>
    <n v="0"/>
    <n v="12"/>
    <n v="12"/>
    <m/>
    <m/>
    <n v="0"/>
    <m/>
    <m/>
    <x v="0"/>
    <m/>
    <m/>
    <m/>
    <m/>
  </r>
  <r>
    <x v="0"/>
    <x v="4"/>
    <s v="7183/1"/>
    <x v="69"/>
    <s v="ریفلیکٹ پیک لاہور"/>
    <s v="PP"/>
    <n v="14"/>
    <s v="5-5.5"/>
    <n v="0"/>
    <n v="500"/>
    <s v="PP"/>
    <n v="13"/>
    <n v="557.91000000000008"/>
    <n v="18.2"/>
    <m/>
    <m/>
    <n v="539.71"/>
    <m/>
    <m/>
    <m/>
    <m/>
    <n v="0"/>
    <n v="0"/>
    <m/>
    <m/>
    <m/>
    <m/>
    <m/>
    <m/>
    <m/>
    <m/>
    <n v="0"/>
    <n v="0"/>
    <n v="0"/>
    <n v="12"/>
    <n v="12"/>
    <m/>
    <m/>
    <n v="0"/>
    <m/>
    <m/>
    <x v="0"/>
    <m/>
    <m/>
    <m/>
    <m/>
  </r>
  <r>
    <x v="1"/>
    <x v="4"/>
    <s v="17 P"/>
    <x v="69"/>
    <s v="جیلانی پولی سٹاک"/>
    <s v="PP"/>
    <n v="14"/>
    <n v="5"/>
    <n v="0"/>
    <s v="-"/>
    <s v="PP"/>
    <n v="10"/>
    <n v="547.58999999999992"/>
    <n v="16.100000000000001"/>
    <m/>
    <m/>
    <n v="531.4899999999999"/>
    <m/>
    <m/>
    <m/>
    <m/>
    <n v="0"/>
    <n v="0"/>
    <m/>
    <m/>
    <m/>
    <m/>
    <m/>
    <m/>
    <m/>
    <m/>
    <n v="0"/>
    <n v="0"/>
    <n v="0"/>
    <n v="12"/>
    <n v="12"/>
    <m/>
    <m/>
    <n v="0"/>
    <m/>
    <m/>
    <x v="0"/>
    <m/>
    <m/>
    <m/>
    <m/>
  </r>
  <r>
    <x v="0"/>
    <x v="0"/>
    <s v="6 P"/>
    <x v="70"/>
    <s v="جیلانی پولی سٹاک"/>
    <s v="PP"/>
    <n v="4"/>
    <s v="5.5-6"/>
    <n v="0"/>
    <s v="-"/>
    <s v="PP"/>
    <n v="8"/>
    <n v="135.58000000000001"/>
    <n v="3.2"/>
    <n v="36"/>
    <m/>
    <n v="132.38000000000002"/>
    <m/>
    <m/>
    <m/>
    <m/>
    <n v="0"/>
    <n v="0"/>
    <m/>
    <m/>
    <m/>
    <m/>
    <m/>
    <m/>
    <m/>
    <m/>
    <n v="0"/>
    <n v="0"/>
    <n v="0"/>
    <n v="12"/>
    <n v="12"/>
    <m/>
    <n v="2012"/>
    <n v="0"/>
    <m/>
    <m/>
    <x v="0"/>
    <m/>
    <m/>
    <m/>
    <m/>
  </r>
  <r>
    <x v="1"/>
    <x v="0"/>
    <s v="6 P"/>
    <x v="70"/>
    <s v="جیلانی پولی سٹاک"/>
    <s v="PP"/>
    <n v="4"/>
    <s v="5.5-6"/>
    <n v="0"/>
    <s v="-"/>
    <s v="PP"/>
    <n v="7"/>
    <n v="122.5"/>
    <n v="2.8000000000000003"/>
    <n v="19"/>
    <m/>
    <n v="119.7"/>
    <m/>
    <m/>
    <m/>
    <m/>
    <n v="0"/>
    <n v="0"/>
    <m/>
    <m/>
    <m/>
    <m/>
    <m/>
    <m/>
    <m/>
    <m/>
    <n v="0"/>
    <n v="0"/>
    <n v="0"/>
    <n v="12"/>
    <n v="12"/>
    <m/>
    <m/>
    <n v="0"/>
    <m/>
    <m/>
    <x v="0"/>
    <m/>
    <m/>
    <m/>
    <m/>
  </r>
  <r>
    <x v="0"/>
    <x v="1"/>
    <s v="8 P"/>
    <x v="70"/>
    <s v="جیلانی پولی سٹاک"/>
    <s v="PP"/>
    <n v="5"/>
    <s v="5.5-6"/>
    <n v="0"/>
    <s v="-"/>
    <s v="PP"/>
    <n v="10"/>
    <n v="165.28999999999996"/>
    <n v="5"/>
    <m/>
    <m/>
    <n v="160.28999999999996"/>
    <m/>
    <m/>
    <m/>
    <m/>
    <n v="0"/>
    <n v="0"/>
    <m/>
    <m/>
    <m/>
    <m/>
    <m/>
    <m/>
    <m/>
    <m/>
    <n v="0"/>
    <n v="0"/>
    <n v="0"/>
    <n v="12"/>
    <n v="12"/>
    <m/>
    <m/>
    <n v="0"/>
    <m/>
    <m/>
    <x v="0"/>
    <m/>
    <m/>
    <m/>
    <m/>
  </r>
  <r>
    <x v="1"/>
    <x v="1"/>
    <s v="8 P"/>
    <x v="70"/>
    <s v="جیلانی پولی سٹاک"/>
    <s v="PP"/>
    <n v="5"/>
    <s v="5.5-6"/>
    <n v="0"/>
    <s v="-"/>
    <s v="PP"/>
    <n v="10"/>
    <n v="181.14999999999998"/>
    <n v="5"/>
    <m/>
    <m/>
    <n v="176.14999999999998"/>
    <m/>
    <m/>
    <m/>
    <m/>
    <n v="0"/>
    <n v="0"/>
    <m/>
    <m/>
    <m/>
    <m/>
    <m/>
    <m/>
    <m/>
    <m/>
    <n v="0"/>
    <n v="0"/>
    <n v="0"/>
    <n v="12"/>
    <n v="12"/>
    <m/>
    <m/>
    <n v="0"/>
    <m/>
    <m/>
    <x v="0"/>
    <m/>
    <m/>
    <m/>
    <m/>
  </r>
  <r>
    <x v="0"/>
    <x v="2"/>
    <s v="10 P"/>
    <x v="70"/>
    <s v="جیلانی پولی سٹاک"/>
    <s v="PP"/>
    <n v="7"/>
    <n v="5"/>
    <n v="0"/>
    <s v="-"/>
    <s v="PP"/>
    <n v="8"/>
    <n v="306.71000000000004"/>
    <n v="7.2"/>
    <m/>
    <m/>
    <n v="299.51000000000005"/>
    <m/>
    <m/>
    <m/>
    <m/>
    <n v="0"/>
    <n v="0"/>
    <m/>
    <m/>
    <m/>
    <m/>
    <m/>
    <m/>
    <m/>
    <m/>
    <n v="0"/>
    <n v="0"/>
    <n v="0"/>
    <n v="12"/>
    <n v="12"/>
    <m/>
    <m/>
    <n v="0"/>
    <m/>
    <m/>
    <x v="0"/>
    <m/>
    <m/>
    <m/>
    <m/>
  </r>
  <r>
    <x v="1"/>
    <x v="2"/>
    <s v="7173/1"/>
    <x v="70"/>
    <s v="الحبیب پلاسٹک اوکاڑہ"/>
    <s v="PP"/>
    <n v="8"/>
    <n v="4.5"/>
    <n v="0"/>
    <n v="300"/>
    <s v="PP"/>
    <n v="2"/>
    <n v="67.989999999999995"/>
    <n v="1.8"/>
    <m/>
    <m/>
    <n v="66.19"/>
    <m/>
    <m/>
    <m/>
    <m/>
    <n v="0"/>
    <n v="0"/>
    <m/>
    <m/>
    <m/>
    <m/>
    <m/>
    <m/>
    <m/>
    <m/>
    <n v="0"/>
    <n v="0"/>
    <n v="0"/>
    <n v="12"/>
    <n v="12"/>
    <m/>
    <m/>
    <n v="0"/>
    <m/>
    <m/>
    <x v="0"/>
    <m/>
    <m/>
    <m/>
    <m/>
  </r>
  <r>
    <x v="1"/>
    <x v="2"/>
    <s v="11P/1"/>
    <x v="70"/>
    <s v="-"/>
    <s v="-"/>
    <s v="-"/>
    <s v="-"/>
    <s v="-"/>
    <s v="-"/>
    <s v="PP"/>
    <n v="7"/>
    <n v="223.19"/>
    <n v="6.3"/>
    <m/>
    <m/>
    <n v="216.89"/>
    <m/>
    <m/>
    <m/>
    <m/>
    <n v="0"/>
    <n v="0"/>
    <m/>
    <m/>
    <m/>
    <m/>
    <m/>
    <m/>
    <m/>
    <m/>
    <n v="0"/>
    <n v="0"/>
    <n v="0"/>
    <n v="12"/>
    <n v="12"/>
    <m/>
    <m/>
    <n v="0"/>
    <m/>
    <m/>
    <x v="0"/>
    <m/>
    <m/>
    <m/>
    <m/>
  </r>
  <r>
    <x v="0"/>
    <x v="3"/>
    <s v="7173/8"/>
    <x v="70"/>
    <s v="الحبیب پلاسٹک اوکاڑہ"/>
    <s v="PP"/>
    <n v="18"/>
    <n v="5"/>
    <n v="0"/>
    <n v="600"/>
    <s v="PP"/>
    <n v="9"/>
    <n v="519.28"/>
    <n v="18.900000000000002"/>
    <m/>
    <m/>
    <n v="500.38"/>
    <m/>
    <n v="15"/>
    <m/>
    <m/>
    <n v="15"/>
    <n v="0.25"/>
    <m/>
    <n v="15"/>
    <m/>
    <m/>
    <m/>
    <m/>
    <m/>
    <m/>
    <n v="15"/>
    <n v="0.25"/>
    <n v="0.5"/>
    <n v="11.5"/>
    <n v="12"/>
    <m/>
    <m/>
    <n v="0"/>
    <m/>
    <m/>
    <x v="0"/>
    <m/>
    <m/>
    <m/>
    <m/>
  </r>
  <r>
    <x v="0"/>
    <x v="3"/>
    <s v="7171/1"/>
    <x v="70"/>
    <s v="شاہد رمضان اوکاڑہ"/>
    <s v="PP"/>
    <n v="18"/>
    <n v="4.5"/>
    <n v="0"/>
    <n v="200"/>
    <s v="PP"/>
    <n v="2"/>
    <n v="113.53"/>
    <n v="5.5"/>
    <m/>
    <m/>
    <n v="108.03"/>
    <m/>
    <m/>
    <m/>
    <m/>
    <n v="0"/>
    <n v="0"/>
    <m/>
    <m/>
    <m/>
    <m/>
    <m/>
    <m/>
    <m/>
    <m/>
    <n v="0"/>
    <n v="0"/>
    <n v="0"/>
    <n v="12"/>
    <n v="12"/>
    <m/>
    <m/>
    <n v="0"/>
    <m/>
    <m/>
    <x v="0"/>
    <m/>
    <m/>
    <m/>
    <m/>
  </r>
  <r>
    <x v="0"/>
    <x v="3"/>
    <s v="3614 J"/>
    <x v="70"/>
    <s v="Jilani plastic"/>
    <s v="PP"/>
    <n v="24"/>
    <s v="5-5.5"/>
    <s v="1:1"/>
    <n v="500"/>
    <s v="PP"/>
    <n v="1"/>
    <n v="38.369999999999997"/>
    <n v="2.8"/>
    <m/>
    <m/>
    <n v="35.57"/>
    <m/>
    <m/>
    <m/>
    <m/>
    <n v="0"/>
    <n v="0"/>
    <m/>
    <m/>
    <m/>
    <m/>
    <m/>
    <m/>
    <m/>
    <m/>
    <n v="0"/>
    <n v="0"/>
    <n v="0"/>
    <n v="12"/>
    <n v="12"/>
    <m/>
    <m/>
    <n v="0"/>
    <m/>
    <m/>
    <x v="0"/>
    <m/>
    <m/>
    <m/>
    <m/>
  </r>
  <r>
    <x v="1"/>
    <x v="3"/>
    <s v="3614 J"/>
    <x v="70"/>
    <s v="Jilani plastic"/>
    <s v="PP"/>
    <n v="24"/>
    <s v="5-5.5"/>
    <s v="1:1"/>
    <n v="500"/>
    <s v="PP"/>
    <n v="9"/>
    <n v="460.35"/>
    <n v="25.2"/>
    <m/>
    <m/>
    <n v="435.15000000000003"/>
    <m/>
    <n v="20"/>
    <m/>
    <m/>
    <n v="20"/>
    <n v="0.33333333333333331"/>
    <m/>
    <n v="30"/>
    <m/>
    <m/>
    <m/>
    <m/>
    <m/>
    <m/>
    <n v="30"/>
    <n v="0.5"/>
    <n v="0.83333333333333326"/>
    <n v="11.166666666666666"/>
    <n v="12"/>
    <m/>
    <m/>
    <n v="0"/>
    <m/>
    <m/>
    <x v="0"/>
    <m/>
    <m/>
    <m/>
    <m/>
  </r>
  <r>
    <x v="1"/>
    <x v="3"/>
    <s v="7173/6"/>
    <x v="70"/>
    <s v="الحبیب پلاسٹک اوکاڑہ"/>
    <s v="PP"/>
    <n v="20"/>
    <n v="4.5"/>
    <n v="0"/>
    <n v="100"/>
    <s v="PP"/>
    <n v="2"/>
    <n v="104.5"/>
    <n v="4.8"/>
    <m/>
    <m/>
    <n v="99.7"/>
    <m/>
    <m/>
    <m/>
    <m/>
    <n v="0"/>
    <n v="0"/>
    <m/>
    <m/>
    <m/>
    <m/>
    <m/>
    <m/>
    <m/>
    <m/>
    <n v="0"/>
    <n v="0"/>
    <n v="0"/>
    <n v="12"/>
    <n v="12"/>
    <m/>
    <m/>
    <n v="0"/>
    <m/>
    <m/>
    <x v="0"/>
    <m/>
    <m/>
    <m/>
    <m/>
  </r>
  <r>
    <x v="1"/>
    <x v="3"/>
    <s v="3778 J"/>
    <x v="70"/>
    <s v="Jilani Poly Stock"/>
    <s v="PP"/>
    <n v="20"/>
    <s v="5-5.5"/>
    <s v="1:1"/>
    <n v="0"/>
    <s v="PP"/>
    <n v="2"/>
    <n v="86.58"/>
    <n v="4.8"/>
    <m/>
    <m/>
    <n v="81.78"/>
    <m/>
    <m/>
    <m/>
    <m/>
    <n v="0"/>
    <n v="0"/>
    <m/>
    <m/>
    <m/>
    <m/>
    <m/>
    <m/>
    <m/>
    <m/>
    <n v="0"/>
    <n v="0"/>
    <n v="0"/>
    <n v="12"/>
    <n v="12"/>
    <m/>
    <m/>
    <n v="0"/>
    <m/>
    <m/>
    <x v="0"/>
    <m/>
    <m/>
    <m/>
    <m/>
  </r>
  <r>
    <x v="0"/>
    <x v="4"/>
    <s v="17 P"/>
    <x v="70"/>
    <s v="جیلانی پولی سٹاک"/>
    <s v="PP"/>
    <n v="14"/>
    <n v="5"/>
    <n v="0"/>
    <s v="-"/>
    <s v="PP"/>
    <n v="9"/>
    <n v="532.13"/>
    <n v="16.47"/>
    <m/>
    <m/>
    <n v="515.66"/>
    <m/>
    <m/>
    <m/>
    <m/>
    <n v="0"/>
    <n v="0"/>
    <m/>
    <m/>
    <m/>
    <m/>
    <m/>
    <m/>
    <m/>
    <m/>
    <n v="0"/>
    <n v="0"/>
    <n v="0"/>
    <n v="12"/>
    <n v="12"/>
    <m/>
    <m/>
    <n v="0"/>
    <m/>
    <m/>
    <x v="0"/>
    <m/>
    <m/>
    <m/>
    <m/>
  </r>
  <r>
    <x v="1"/>
    <x v="4"/>
    <s v="17 P"/>
    <x v="70"/>
    <s v="جیلانی پولی سٹاک"/>
    <s v="PP"/>
    <n v="14"/>
    <n v="5"/>
    <n v="0"/>
    <s v="-"/>
    <s v="PP"/>
    <n v="12"/>
    <n v="508.30999999999995"/>
    <n v="14.399999999999999"/>
    <m/>
    <m/>
    <n v="493.90999999999997"/>
    <m/>
    <m/>
    <m/>
    <m/>
    <n v="0"/>
    <n v="0"/>
    <m/>
    <m/>
    <m/>
    <m/>
    <m/>
    <m/>
    <n v="40"/>
    <m/>
    <n v="40"/>
    <n v="0.66666666666666663"/>
    <n v="0.66666666666666663"/>
    <n v="11.333333333333334"/>
    <n v="12"/>
    <m/>
    <m/>
    <n v="0"/>
    <m/>
    <m/>
    <x v="0"/>
    <m/>
    <m/>
    <m/>
    <m/>
  </r>
  <r>
    <x v="0"/>
    <x v="0"/>
    <s v="4 P"/>
    <x v="71"/>
    <s v="جیلانی پولی سٹاک"/>
    <s v="PP"/>
    <n v="3"/>
    <s v="5.5-6"/>
    <n v="0"/>
    <s v="-"/>
    <s v="PP"/>
    <n v="3"/>
    <n v="44.86"/>
    <n v="0.89999999999999991"/>
    <n v="19.5"/>
    <m/>
    <n v="43.96"/>
    <m/>
    <n v="10"/>
    <m/>
    <m/>
    <n v="10"/>
    <n v="0.16666666666666666"/>
    <m/>
    <m/>
    <m/>
    <m/>
    <m/>
    <m/>
    <n v="20"/>
    <m/>
    <n v="20"/>
    <n v="0.33333333333333331"/>
    <n v="0.5"/>
    <n v="11.5"/>
    <n v="12"/>
    <m/>
    <m/>
    <n v="0"/>
    <n v="44.86"/>
    <n v="398"/>
    <x v="4"/>
    <m/>
    <m/>
    <m/>
    <m/>
  </r>
  <r>
    <x v="0"/>
    <x v="0"/>
    <s v="6 P"/>
    <x v="71"/>
    <s v="جیلانی پولی سٹاک"/>
    <s v="PP"/>
    <n v="4"/>
    <s v="5.5-6"/>
    <n v="0"/>
    <s v="-"/>
    <s v="PP"/>
    <n v="7"/>
    <n v="108.67"/>
    <n v="2.8000000000000003"/>
    <m/>
    <m/>
    <n v="105.87"/>
    <m/>
    <m/>
    <m/>
    <m/>
    <n v="0"/>
    <n v="0"/>
    <m/>
    <m/>
    <m/>
    <m/>
    <m/>
    <m/>
    <m/>
    <m/>
    <n v="0"/>
    <n v="0"/>
    <n v="0"/>
    <n v="12"/>
    <n v="12"/>
    <m/>
    <m/>
    <n v="0"/>
    <n v="108.67"/>
    <m/>
    <x v="4"/>
    <m/>
    <m/>
    <m/>
    <m/>
  </r>
  <r>
    <x v="1"/>
    <x v="0"/>
    <s v="4 P"/>
    <x v="71"/>
    <s v="جیلانی پولی سٹاک"/>
    <s v="PP"/>
    <n v="3"/>
    <s v="5.5-6"/>
    <n v="0"/>
    <s v="-"/>
    <s v="PP"/>
    <n v="11"/>
    <n v="170.69"/>
    <n v="3.3"/>
    <n v="28.5"/>
    <m/>
    <n v="167.39"/>
    <m/>
    <m/>
    <m/>
    <m/>
    <n v="0"/>
    <n v="0"/>
    <m/>
    <m/>
    <m/>
    <m/>
    <m/>
    <m/>
    <m/>
    <m/>
    <n v="0"/>
    <n v="0"/>
    <n v="0"/>
    <n v="12"/>
    <n v="12"/>
    <m/>
    <n v="2148"/>
    <n v="0"/>
    <n v="170.69"/>
    <m/>
    <x v="4"/>
    <m/>
    <m/>
    <m/>
    <m/>
  </r>
  <r>
    <x v="0"/>
    <x v="1"/>
    <s v="8 P"/>
    <x v="71"/>
    <s v="جیلانی پولی سٹاک"/>
    <s v="PP"/>
    <n v="5"/>
    <s v="5.5-6"/>
    <n v="0"/>
    <s v="-"/>
    <s v="PP"/>
    <n v="6"/>
    <n v="117.07000000000001"/>
    <n v="3"/>
    <m/>
    <m/>
    <n v="114.07000000000001"/>
    <m/>
    <n v="20"/>
    <m/>
    <m/>
    <n v="20"/>
    <n v="0.33333333333333331"/>
    <m/>
    <m/>
    <m/>
    <m/>
    <m/>
    <m/>
    <m/>
    <m/>
    <n v="0"/>
    <n v="0"/>
    <n v="0.33333333333333331"/>
    <n v="11.666666666666666"/>
    <n v="12"/>
    <m/>
    <m/>
    <n v="0"/>
    <n v="117.07"/>
    <m/>
    <x v="4"/>
    <m/>
    <m/>
    <m/>
    <m/>
  </r>
  <r>
    <x v="0"/>
    <x v="1"/>
    <s v="6 P"/>
    <x v="71"/>
    <s v="جیلانی پولی سٹاک"/>
    <s v="PP"/>
    <n v="4"/>
    <s v="5.5-6"/>
    <n v="0"/>
    <s v="-"/>
    <s v="PP"/>
    <n v="3"/>
    <n v="47.75"/>
    <n v="1.2000000000000002"/>
    <m/>
    <m/>
    <n v="46.55"/>
    <m/>
    <m/>
    <m/>
    <m/>
    <n v="0"/>
    <n v="0"/>
    <m/>
    <m/>
    <m/>
    <m/>
    <m/>
    <m/>
    <m/>
    <m/>
    <n v="0"/>
    <n v="0"/>
    <n v="0"/>
    <n v="12"/>
    <n v="12"/>
    <m/>
    <m/>
    <n v="0"/>
    <n v="47.75"/>
    <m/>
    <x v="4"/>
    <m/>
    <m/>
    <m/>
    <m/>
  </r>
  <r>
    <x v="1"/>
    <x v="1"/>
    <s v="6 P"/>
    <x v="71"/>
    <s v="جیلانی پولی سٹاک"/>
    <s v="PP"/>
    <n v="4"/>
    <s v="5.5-6"/>
    <n v="0"/>
    <s v="-"/>
    <s v="PP"/>
    <n v="10"/>
    <n v="148.20999999999998"/>
    <n v="4"/>
    <m/>
    <m/>
    <n v="144.20999999999998"/>
    <m/>
    <m/>
    <m/>
    <m/>
    <n v="0"/>
    <n v="0"/>
    <m/>
    <m/>
    <m/>
    <m/>
    <m/>
    <m/>
    <m/>
    <m/>
    <n v="0"/>
    <n v="0"/>
    <n v="0"/>
    <n v="12"/>
    <n v="12"/>
    <m/>
    <m/>
    <n v="0"/>
    <n v="148.20999999999998"/>
    <m/>
    <x v="4"/>
    <m/>
    <m/>
    <m/>
    <m/>
  </r>
  <r>
    <x v="0"/>
    <x v="2"/>
    <s v="11P/1"/>
    <x v="71"/>
    <s v="-"/>
    <m/>
    <m/>
    <m/>
    <m/>
    <m/>
    <s v="PP"/>
    <n v="6"/>
    <n v="246.2"/>
    <n v="6"/>
    <m/>
    <m/>
    <n v="240.2"/>
    <m/>
    <m/>
    <m/>
    <m/>
    <n v="0"/>
    <n v="0"/>
    <m/>
    <m/>
    <m/>
    <m/>
    <m/>
    <m/>
    <m/>
    <m/>
    <n v="0"/>
    <n v="0"/>
    <n v="0"/>
    <n v="12"/>
    <n v="12"/>
    <m/>
    <m/>
    <n v="0"/>
    <n v="246.2"/>
    <m/>
    <x v="4"/>
    <m/>
    <m/>
    <m/>
    <m/>
  </r>
  <r>
    <x v="1"/>
    <x v="2"/>
    <s v="11P/1"/>
    <x v="71"/>
    <s v="-"/>
    <m/>
    <m/>
    <m/>
    <m/>
    <m/>
    <s v="PP"/>
    <n v="5"/>
    <n v="161.71"/>
    <n v="3.5"/>
    <m/>
    <m/>
    <n v="158.21"/>
    <m/>
    <n v="20"/>
    <m/>
    <m/>
    <n v="20"/>
    <n v="0.33333333333333331"/>
    <m/>
    <m/>
    <m/>
    <m/>
    <m/>
    <m/>
    <m/>
    <m/>
    <n v="0"/>
    <n v="0"/>
    <n v="0.33333333333333331"/>
    <n v="11.666666666666666"/>
    <n v="12"/>
    <m/>
    <m/>
    <n v="0"/>
    <n v="161.71"/>
    <m/>
    <x v="4"/>
    <m/>
    <m/>
    <m/>
    <m/>
  </r>
  <r>
    <x v="1"/>
    <x v="2"/>
    <s v="12P/1"/>
    <x v="71"/>
    <s v="-"/>
    <m/>
    <m/>
    <m/>
    <m/>
    <m/>
    <s v="PP"/>
    <n v="4"/>
    <n v="118.15"/>
    <n v="3.6"/>
    <m/>
    <m/>
    <n v="114.55000000000001"/>
    <m/>
    <m/>
    <m/>
    <m/>
    <n v="0"/>
    <n v="0"/>
    <m/>
    <m/>
    <m/>
    <m/>
    <m/>
    <m/>
    <m/>
    <m/>
    <n v="0"/>
    <n v="0"/>
    <n v="0"/>
    <n v="12"/>
    <n v="12"/>
    <m/>
    <m/>
    <n v="0"/>
    <n v="118.15"/>
    <m/>
    <x v="4"/>
    <m/>
    <m/>
    <m/>
    <m/>
  </r>
  <r>
    <x v="0"/>
    <x v="3"/>
    <s v="3778 J"/>
    <x v="71"/>
    <s v="Jilani Poly Stock"/>
    <s v="PP"/>
    <n v="20"/>
    <s v="5-5.5"/>
    <s v="1:1"/>
    <n v="0"/>
    <s v="PP"/>
    <n v="11"/>
    <n v="610.85"/>
    <n v="24.360000000000003"/>
    <m/>
    <m/>
    <n v="586.49"/>
    <m/>
    <n v="20"/>
    <m/>
    <m/>
    <n v="20"/>
    <n v="0.33333333333333331"/>
    <m/>
    <m/>
    <m/>
    <m/>
    <m/>
    <m/>
    <m/>
    <m/>
    <n v="0"/>
    <n v="0"/>
    <n v="0.33333333333333331"/>
    <n v="11.666666666666666"/>
    <n v="12"/>
    <m/>
    <m/>
    <n v="0"/>
    <n v="610.85"/>
    <m/>
    <x v="4"/>
    <m/>
    <m/>
    <m/>
    <m/>
  </r>
  <r>
    <x v="0"/>
    <x v="3"/>
    <s v="19P/1"/>
    <x v="71"/>
    <s v="-"/>
    <s v="0"/>
    <n v="0"/>
    <s v="-"/>
    <n v="0"/>
    <n v="1000"/>
    <s v="PP"/>
    <n v="2"/>
    <n v="88.44"/>
    <n v="4"/>
    <m/>
    <m/>
    <n v="84.44"/>
    <m/>
    <m/>
    <m/>
    <m/>
    <n v="0"/>
    <n v="0"/>
    <m/>
    <m/>
    <m/>
    <m/>
    <m/>
    <m/>
    <m/>
    <m/>
    <n v="0"/>
    <n v="0"/>
    <n v="0"/>
    <n v="12"/>
    <n v="12"/>
    <m/>
    <m/>
    <n v="0"/>
    <n v="88.44"/>
    <m/>
    <x v="4"/>
    <m/>
    <m/>
    <m/>
    <m/>
  </r>
  <r>
    <x v="1"/>
    <x v="3"/>
    <s v="19P/1"/>
    <x v="71"/>
    <s v="-"/>
    <s v="0"/>
    <n v="0"/>
    <s v="-"/>
    <n v="0"/>
    <n v="1000"/>
    <s v="PP"/>
    <n v="14"/>
    <n v="680.82"/>
    <n v="23.24"/>
    <m/>
    <m/>
    <n v="657.58"/>
    <m/>
    <m/>
    <m/>
    <m/>
    <n v="0"/>
    <n v="0"/>
    <m/>
    <m/>
    <m/>
    <m/>
    <m/>
    <m/>
    <m/>
    <m/>
    <n v="0"/>
    <n v="0"/>
    <n v="0"/>
    <n v="12"/>
    <n v="12"/>
    <m/>
    <m/>
    <n v="0"/>
    <n v="680.82"/>
    <m/>
    <x v="4"/>
    <m/>
    <m/>
    <m/>
    <m/>
  </r>
  <r>
    <x v="0"/>
    <x v="4"/>
    <s v="17 P"/>
    <x v="71"/>
    <s v="جیلانی پولی سٹاک"/>
    <s v="PP"/>
    <n v="14"/>
    <n v="5"/>
    <n v="0"/>
    <s v="-"/>
    <s v="PP"/>
    <n v="5"/>
    <n v="288.39000000000004"/>
    <n v="9"/>
    <m/>
    <m/>
    <n v="279.39000000000004"/>
    <m/>
    <m/>
    <m/>
    <m/>
    <n v="0"/>
    <n v="0"/>
    <m/>
    <m/>
    <m/>
    <m/>
    <m/>
    <m/>
    <m/>
    <m/>
    <n v="0"/>
    <n v="0"/>
    <n v="0"/>
    <n v="12"/>
    <n v="12"/>
    <m/>
    <m/>
    <n v="0"/>
    <n v="288.39000000000004"/>
    <m/>
    <x v="4"/>
    <m/>
    <m/>
    <m/>
    <m/>
  </r>
  <r>
    <x v="0"/>
    <x v="4"/>
    <s v="7194/5"/>
    <x v="71"/>
    <s v="ایم عمران پاکستان مارکیٹ"/>
    <s v="PP"/>
    <n v="14"/>
    <n v="6"/>
    <n v="0"/>
    <n v="700"/>
    <s v="PP"/>
    <n v="6"/>
    <n v="261.89"/>
    <n v="10.8"/>
    <m/>
    <m/>
    <n v="251.08999999999997"/>
    <m/>
    <m/>
    <m/>
    <m/>
    <n v="0"/>
    <n v="0"/>
    <m/>
    <m/>
    <m/>
    <m/>
    <m/>
    <m/>
    <m/>
    <m/>
    <n v="0"/>
    <n v="0"/>
    <n v="0"/>
    <n v="12"/>
    <n v="12"/>
    <m/>
    <m/>
    <n v="0"/>
    <n v="261.89"/>
    <m/>
    <x v="4"/>
    <m/>
    <m/>
    <m/>
    <m/>
  </r>
  <r>
    <x v="1"/>
    <x v="4"/>
    <s v="7195/2"/>
    <x v="71"/>
    <s v="اصف پلاسٹک سرگودھا"/>
    <s v="PP"/>
    <n v="14"/>
    <n v="4.5"/>
    <n v="0"/>
    <n v="125"/>
    <s v="PP"/>
    <n v="4"/>
    <n v="115.00999999999999"/>
    <n v="5.84"/>
    <m/>
    <m/>
    <n v="109.16999999999999"/>
    <m/>
    <n v="20"/>
    <m/>
    <m/>
    <n v="20"/>
    <n v="0.33333333333333331"/>
    <m/>
    <m/>
    <m/>
    <m/>
    <m/>
    <m/>
    <m/>
    <m/>
    <n v="0"/>
    <n v="0"/>
    <n v="0.33333333333333331"/>
    <n v="11.666666666666666"/>
    <n v="12"/>
    <m/>
    <m/>
    <n v="0"/>
    <n v="115.01"/>
    <m/>
    <x v="4"/>
    <m/>
    <m/>
    <m/>
    <m/>
  </r>
  <r>
    <x v="1"/>
    <x v="4"/>
    <s v="7194/5"/>
    <x v="71"/>
    <s v="ایم عمران پاکستان مارکیٹ"/>
    <s v="PP"/>
    <n v="14"/>
    <n v="6"/>
    <n v="0"/>
    <n v="700"/>
    <s v="PP"/>
    <n v="7"/>
    <n v="255.04000000000002"/>
    <n v="10.219999999999999"/>
    <m/>
    <m/>
    <n v="244.82000000000002"/>
    <m/>
    <m/>
    <m/>
    <m/>
    <n v="0"/>
    <n v="0"/>
    <m/>
    <m/>
    <m/>
    <m/>
    <m/>
    <m/>
    <m/>
    <m/>
    <n v="0"/>
    <n v="0"/>
    <n v="0"/>
    <n v="12"/>
    <n v="12"/>
    <m/>
    <m/>
    <n v="0"/>
    <n v="255.04"/>
    <m/>
    <x v="4"/>
    <m/>
    <m/>
    <m/>
    <m/>
  </r>
  <r>
    <x v="1"/>
    <x v="4"/>
    <s v="7194/3"/>
    <x v="71"/>
    <s v="ایم عمران پاکستان مارکیٹ"/>
    <s v="PP"/>
    <n v="11"/>
    <n v="6.5"/>
    <n v="0"/>
    <n v="800"/>
    <s v="PP"/>
    <n v="5"/>
    <n v="151"/>
    <n v="6.6000000000000005"/>
    <m/>
    <m/>
    <n v="144.4"/>
    <m/>
    <m/>
    <m/>
    <m/>
    <n v="0"/>
    <n v="0"/>
    <m/>
    <m/>
    <m/>
    <m/>
    <m/>
    <m/>
    <m/>
    <m/>
    <n v="0"/>
    <n v="0"/>
    <n v="0"/>
    <n v="12"/>
    <n v="12"/>
    <m/>
    <m/>
    <n v="0"/>
    <n v="151"/>
    <m/>
    <x v="4"/>
    <m/>
    <m/>
    <m/>
    <m/>
  </r>
  <r>
    <x v="1"/>
    <x v="4"/>
    <s v="17 P"/>
    <x v="71"/>
    <s v="جیلانی پولی سٹاک"/>
    <s v="PP"/>
    <n v="14"/>
    <n v="5"/>
    <n v="0"/>
    <s v="-"/>
    <s v="PP"/>
    <n v="1"/>
    <n v="26.38"/>
    <n v="1.46"/>
    <m/>
    <m/>
    <n v="24.919999999999998"/>
    <m/>
    <m/>
    <m/>
    <m/>
    <n v="0"/>
    <n v="0"/>
    <m/>
    <m/>
    <m/>
    <m/>
    <m/>
    <m/>
    <m/>
    <m/>
    <n v="0"/>
    <n v="0"/>
    <n v="0"/>
    <n v="12"/>
    <n v="12"/>
    <m/>
    <m/>
    <n v="0"/>
    <n v="26.38"/>
    <m/>
    <x v="4"/>
    <m/>
    <m/>
    <m/>
    <m/>
  </r>
  <r>
    <x v="0"/>
    <x v="0"/>
    <s v="4 P"/>
    <x v="72"/>
    <s v="جیلانی پولی سٹاک"/>
    <s v="PP"/>
    <n v="3"/>
    <s v="5.5-6"/>
    <n v="0"/>
    <s v="-"/>
    <s v="PP"/>
    <n v="11"/>
    <n v="168.19"/>
    <n v="3.3"/>
    <n v="24"/>
    <m/>
    <n v="164.89"/>
    <m/>
    <m/>
    <m/>
    <m/>
    <n v="0"/>
    <n v="0"/>
    <m/>
    <m/>
    <m/>
    <m/>
    <m/>
    <m/>
    <m/>
    <m/>
    <n v="0"/>
    <n v="0"/>
    <n v="0"/>
    <n v="12"/>
    <n v="12"/>
    <m/>
    <n v="2092"/>
    <n v="0"/>
    <n v="168.19"/>
    <n v="398"/>
    <x v="4"/>
    <m/>
    <m/>
    <m/>
    <m/>
  </r>
  <r>
    <x v="1"/>
    <x v="0"/>
    <s v="4 P"/>
    <x v="72"/>
    <s v="جیلانی پولی سٹاک"/>
    <s v="PP"/>
    <n v="3"/>
    <s v="5.5-6"/>
    <n v="0"/>
    <s v="-"/>
    <s v="PP"/>
    <n v="9"/>
    <n v="141.51"/>
    <n v="2.6999999999999997"/>
    <n v="26"/>
    <m/>
    <n v="138.81"/>
    <m/>
    <m/>
    <m/>
    <m/>
    <n v="0"/>
    <n v="0"/>
    <m/>
    <m/>
    <m/>
    <m/>
    <m/>
    <m/>
    <m/>
    <m/>
    <n v="0"/>
    <n v="0"/>
    <n v="0"/>
    <n v="12"/>
    <n v="12"/>
    <m/>
    <m/>
    <n v="0"/>
    <n v="141.51"/>
    <m/>
    <x v="4"/>
    <m/>
    <m/>
    <m/>
    <m/>
  </r>
  <r>
    <x v="0"/>
    <x v="1"/>
    <s v="6 P"/>
    <x v="72"/>
    <s v="جیلانی پولی سٹاک"/>
    <s v="PP"/>
    <n v="4"/>
    <s v="5.5-6"/>
    <n v="0"/>
    <s v="-"/>
    <s v="PP"/>
    <n v="9"/>
    <n v="148.18"/>
    <n v="3.6"/>
    <m/>
    <m/>
    <n v="144.58000000000001"/>
    <m/>
    <m/>
    <m/>
    <m/>
    <n v="0"/>
    <n v="0"/>
    <m/>
    <m/>
    <m/>
    <m/>
    <m/>
    <m/>
    <m/>
    <m/>
    <n v="0"/>
    <n v="0"/>
    <n v="0"/>
    <n v="12"/>
    <n v="12"/>
    <m/>
    <m/>
    <n v="0"/>
    <n v="148.18"/>
    <m/>
    <x v="4"/>
    <m/>
    <m/>
    <m/>
    <m/>
  </r>
  <r>
    <x v="1"/>
    <x v="1"/>
    <s v="6 P"/>
    <x v="72"/>
    <s v="جیلانی پولی سٹاک"/>
    <s v="PP"/>
    <n v="4"/>
    <s v="5.5-6"/>
    <n v="0"/>
    <s v="-"/>
    <s v="PP"/>
    <n v="9"/>
    <n v="147.14999999999998"/>
    <n v="3.6"/>
    <m/>
    <m/>
    <n v="143.54999999999998"/>
    <m/>
    <m/>
    <m/>
    <m/>
    <n v="0"/>
    <n v="0"/>
    <m/>
    <m/>
    <m/>
    <m/>
    <m/>
    <m/>
    <m/>
    <m/>
    <n v="0"/>
    <n v="0"/>
    <n v="0"/>
    <n v="12"/>
    <n v="12"/>
    <m/>
    <m/>
    <n v="0"/>
    <n v="147.14999999999998"/>
    <m/>
    <x v="4"/>
    <m/>
    <m/>
    <m/>
    <m/>
  </r>
  <r>
    <x v="0"/>
    <x v="3"/>
    <s v="19P/1"/>
    <x v="72"/>
    <s v="-"/>
    <s v="0"/>
    <s v="-"/>
    <s v="-"/>
    <n v="0"/>
    <n v="1000"/>
    <s v="PP"/>
    <n v="6"/>
    <n v="335.43"/>
    <n v="11.38"/>
    <m/>
    <m/>
    <n v="324.05"/>
    <m/>
    <n v="30"/>
    <m/>
    <m/>
    <n v="30"/>
    <n v="0.5"/>
    <m/>
    <m/>
    <m/>
    <m/>
    <m/>
    <m/>
    <m/>
    <m/>
    <n v="0"/>
    <n v="0"/>
    <n v="0.5"/>
    <n v="11.5"/>
    <n v="12"/>
    <m/>
    <m/>
    <n v="0"/>
    <n v="335.43"/>
    <m/>
    <x v="4"/>
    <m/>
    <m/>
    <m/>
    <m/>
  </r>
  <r>
    <x v="0"/>
    <x v="3"/>
    <s v="3718 J"/>
    <x v="72"/>
    <s v="Jilani plastic"/>
    <s v="PP"/>
    <n v="16"/>
    <s v="5-5.5"/>
    <s v=".1:1"/>
    <n v="400"/>
    <s v="PP"/>
    <n v="7"/>
    <n v="354.57"/>
    <n v="13.459999999999999"/>
    <m/>
    <m/>
    <n v="341.11"/>
    <m/>
    <m/>
    <m/>
    <m/>
    <n v="0"/>
    <n v="0"/>
    <m/>
    <m/>
    <m/>
    <m/>
    <m/>
    <m/>
    <m/>
    <m/>
    <n v="0"/>
    <n v="0"/>
    <n v="0"/>
    <n v="12"/>
    <n v="12"/>
    <m/>
    <m/>
    <n v="0"/>
    <n v="354.57"/>
    <m/>
    <x v="4"/>
    <m/>
    <m/>
    <m/>
    <m/>
  </r>
  <r>
    <x v="0"/>
    <x v="3"/>
    <s v="7192/1"/>
    <x v="72"/>
    <s v="ریفلیکٹ پیک لاہور"/>
    <s v="PP"/>
    <n v="17"/>
    <s v="5.5-6"/>
    <n v="0"/>
    <n v="5000"/>
    <s v="PP"/>
    <n v="3"/>
    <n v="142.91"/>
    <n v="5.8"/>
    <m/>
    <m/>
    <n v="137.10999999999999"/>
    <m/>
    <m/>
    <m/>
    <m/>
    <n v="0"/>
    <n v="0"/>
    <m/>
    <m/>
    <m/>
    <m/>
    <m/>
    <m/>
    <m/>
    <m/>
    <n v="0"/>
    <n v="0"/>
    <n v="0"/>
    <n v="12"/>
    <n v="12"/>
    <m/>
    <m/>
    <n v="0"/>
    <n v="142.91"/>
    <m/>
    <x v="4"/>
    <m/>
    <m/>
    <m/>
    <m/>
  </r>
  <r>
    <x v="1"/>
    <x v="3"/>
    <s v="7192/1"/>
    <x v="72"/>
    <s v="ریفلیکٹ پیک لاہور"/>
    <s v="PP"/>
    <n v="17"/>
    <s v="5.5-6"/>
    <n v="0"/>
    <n v="5000"/>
    <s v="PP"/>
    <n v="16"/>
    <n v="767.15"/>
    <n v="33.6"/>
    <m/>
    <m/>
    <n v="733.55"/>
    <m/>
    <m/>
    <m/>
    <m/>
    <n v="0"/>
    <n v="0"/>
    <m/>
    <m/>
    <m/>
    <m/>
    <m/>
    <m/>
    <m/>
    <m/>
    <n v="0"/>
    <n v="0"/>
    <n v="0"/>
    <n v="12"/>
    <n v="12"/>
    <m/>
    <m/>
    <n v="0"/>
    <n v="767.15"/>
    <m/>
    <x v="4"/>
    <m/>
    <m/>
    <m/>
    <m/>
  </r>
  <r>
    <x v="0"/>
    <x v="2"/>
    <s v="12P/1"/>
    <x v="72"/>
    <s v="-"/>
    <m/>
    <m/>
    <m/>
    <m/>
    <m/>
    <s v="PP"/>
    <n v="6"/>
    <n v="256.62"/>
    <n v="5.6"/>
    <m/>
    <m/>
    <n v="251.02"/>
    <m/>
    <m/>
    <m/>
    <m/>
    <n v="0"/>
    <n v="0"/>
    <m/>
    <m/>
    <m/>
    <m/>
    <m/>
    <m/>
    <m/>
    <m/>
    <n v="0"/>
    <n v="0"/>
    <n v="0"/>
    <n v="12"/>
    <n v="12"/>
    <m/>
    <m/>
    <n v="0"/>
    <n v="256.62"/>
    <m/>
    <x v="4"/>
    <m/>
    <m/>
    <m/>
    <m/>
  </r>
  <r>
    <x v="1"/>
    <x v="2"/>
    <s v="12P/1"/>
    <x v="72"/>
    <s v="-"/>
    <m/>
    <m/>
    <m/>
    <m/>
    <m/>
    <s v="PP"/>
    <n v="6"/>
    <n v="218.17"/>
    <n v="5.4"/>
    <m/>
    <m/>
    <n v="212.76999999999998"/>
    <m/>
    <n v="20"/>
    <m/>
    <m/>
    <n v="20"/>
    <n v="0.33333333333333331"/>
    <m/>
    <m/>
    <m/>
    <m/>
    <m/>
    <m/>
    <m/>
    <m/>
    <n v="0"/>
    <n v="0"/>
    <n v="0.33333333333333331"/>
    <n v="11.666666666666666"/>
    <n v="12"/>
    <m/>
    <m/>
    <n v="0"/>
    <n v="218.17"/>
    <m/>
    <x v="4"/>
    <m/>
    <m/>
    <m/>
    <m/>
  </r>
  <r>
    <x v="1"/>
    <x v="2"/>
    <s v="10 P"/>
    <x v="72"/>
    <s v="جیلانی پولی سٹاک"/>
    <s v="PP"/>
    <n v="7"/>
    <n v="5"/>
    <n v="0"/>
    <s v="-"/>
    <s v="PP"/>
    <n v="1"/>
    <n v="23.4"/>
    <n v="0.7"/>
    <m/>
    <m/>
    <n v="22.7"/>
    <m/>
    <m/>
    <m/>
    <m/>
    <n v="0"/>
    <n v="0"/>
    <m/>
    <m/>
    <m/>
    <m/>
    <m/>
    <m/>
    <m/>
    <m/>
    <n v="0"/>
    <n v="0"/>
    <n v="0"/>
    <n v="12"/>
    <n v="12"/>
    <m/>
    <m/>
    <n v="0"/>
    <n v="23.4"/>
    <m/>
    <x v="4"/>
    <m/>
    <m/>
    <m/>
    <m/>
  </r>
  <r>
    <x v="0"/>
    <x v="4"/>
    <s v="7194/3"/>
    <x v="72"/>
    <s v="ایم عمران پاکستان مارکیٹ"/>
    <s v="PP"/>
    <n v="11"/>
    <n v="6.5"/>
    <n v="0"/>
    <n v="800"/>
    <s v="PP"/>
    <n v="12"/>
    <n v="516"/>
    <n v="16.080000000000002"/>
    <m/>
    <m/>
    <n v="499.92"/>
    <m/>
    <m/>
    <m/>
    <m/>
    <n v="0"/>
    <n v="0"/>
    <m/>
    <m/>
    <m/>
    <m/>
    <m/>
    <m/>
    <m/>
    <m/>
    <n v="0"/>
    <n v="0"/>
    <n v="0"/>
    <n v="12"/>
    <n v="12"/>
    <m/>
    <m/>
    <n v="0"/>
    <n v="516"/>
    <m/>
    <x v="4"/>
    <m/>
    <m/>
    <m/>
    <m/>
  </r>
  <r>
    <x v="1"/>
    <x v="4"/>
    <s v="7194/3"/>
    <x v="72"/>
    <s v="ایم عمران پاکستان مارکیٹ"/>
    <s v="PP"/>
    <n v="11"/>
    <n v="6.5"/>
    <n v="0"/>
    <n v="800"/>
    <s v="PP"/>
    <n v="8"/>
    <n v="282.54000000000002"/>
    <n v="8.8000000000000007"/>
    <m/>
    <m/>
    <n v="273.74"/>
    <m/>
    <m/>
    <m/>
    <m/>
    <n v="0"/>
    <n v="0"/>
    <m/>
    <m/>
    <m/>
    <m/>
    <m/>
    <m/>
    <m/>
    <m/>
    <n v="0"/>
    <n v="0"/>
    <n v="0"/>
    <n v="12"/>
    <n v="12"/>
    <m/>
    <m/>
    <n v="0"/>
    <n v="282.54000000000002"/>
    <m/>
    <x v="4"/>
    <m/>
    <m/>
    <m/>
    <m/>
  </r>
  <r>
    <x v="1"/>
    <x v="4"/>
    <s v="7204/1"/>
    <x v="72"/>
    <s v="اسلم پلاسٹک ملتان"/>
    <s v="PP"/>
    <n v="11"/>
    <s v="6.5-7"/>
    <n v="0"/>
    <n v="50"/>
    <s v="PP"/>
    <n v="4"/>
    <n v="126.77999999999999"/>
    <n v="4.4000000000000004"/>
    <m/>
    <m/>
    <n v="122.37999999999998"/>
    <m/>
    <m/>
    <m/>
    <m/>
    <n v="0"/>
    <n v="0"/>
    <m/>
    <m/>
    <m/>
    <m/>
    <m/>
    <m/>
    <m/>
    <m/>
    <n v="0"/>
    <n v="0"/>
    <n v="0"/>
    <n v="12"/>
    <n v="12"/>
    <m/>
    <m/>
    <n v="0"/>
    <n v="126.78"/>
    <m/>
    <x v="4"/>
    <m/>
    <m/>
    <m/>
    <m/>
  </r>
  <r>
    <x v="1"/>
    <x v="4"/>
    <s v="7209/1"/>
    <x v="72"/>
    <s v="MTM شاہ عالم"/>
    <s v="PP"/>
    <n v="11"/>
    <s v="6-6.5"/>
    <n v="0"/>
    <n v="100"/>
    <s v="PP"/>
    <n v="4"/>
    <n v="140.03"/>
    <n v="4.4000000000000004"/>
    <m/>
    <m/>
    <n v="135.63"/>
    <m/>
    <m/>
    <m/>
    <m/>
    <n v="0"/>
    <n v="0"/>
    <m/>
    <m/>
    <m/>
    <m/>
    <m/>
    <m/>
    <m/>
    <m/>
    <n v="0"/>
    <n v="0"/>
    <n v="0"/>
    <n v="12"/>
    <n v="12"/>
    <m/>
    <m/>
    <n v="0"/>
    <n v="140.03"/>
    <m/>
    <x v="4"/>
    <m/>
    <m/>
    <m/>
    <m/>
  </r>
  <r>
    <x v="0"/>
    <x v="0"/>
    <s v="4 P"/>
    <x v="73"/>
    <s v="جیلانی پولی سٹاک"/>
    <s v="PP"/>
    <n v="3"/>
    <s v="5.5-6"/>
    <n v="0"/>
    <s v="-"/>
    <s v="PP"/>
    <n v="9"/>
    <n v="135.96"/>
    <n v="2.6999999999999997"/>
    <n v="28"/>
    <m/>
    <n v="133.26000000000002"/>
    <m/>
    <m/>
    <m/>
    <m/>
    <n v="0"/>
    <n v="0"/>
    <m/>
    <m/>
    <m/>
    <m/>
    <m/>
    <m/>
    <m/>
    <m/>
    <n v="0"/>
    <n v="0"/>
    <n v="0"/>
    <n v="12"/>
    <n v="12"/>
    <m/>
    <n v="2079.5"/>
    <n v="0"/>
    <n v="135.96"/>
    <n v="398"/>
    <x v="4"/>
    <m/>
    <m/>
    <m/>
    <m/>
  </r>
  <r>
    <x v="1"/>
    <x v="0"/>
    <s v="4 P"/>
    <x v="73"/>
    <s v="جیلانی پولی سٹاک"/>
    <s v="PP"/>
    <n v="3"/>
    <s v="5.5-6"/>
    <n v="0"/>
    <s v="-"/>
    <s v="PP"/>
    <n v="10"/>
    <n v="143.16"/>
    <n v="3"/>
    <n v="30"/>
    <m/>
    <n v="140.16"/>
    <m/>
    <m/>
    <m/>
    <m/>
    <n v="0"/>
    <n v="0"/>
    <m/>
    <m/>
    <m/>
    <m/>
    <m/>
    <m/>
    <m/>
    <m/>
    <n v="0"/>
    <n v="0"/>
    <n v="0"/>
    <n v="12"/>
    <n v="12"/>
    <m/>
    <m/>
    <n v="0"/>
    <n v="143.16"/>
    <m/>
    <x v="4"/>
    <m/>
    <m/>
    <m/>
    <m/>
  </r>
  <r>
    <x v="0"/>
    <x v="1"/>
    <s v="6 P"/>
    <x v="73"/>
    <s v="جیلانی پولی سٹاک"/>
    <s v="PP"/>
    <n v="4"/>
    <s v="5.5-6"/>
    <n v="0"/>
    <s v="-"/>
    <s v="PP"/>
    <n v="4"/>
    <n v="64.13"/>
    <n v="1.6"/>
    <m/>
    <m/>
    <n v="62.529999999999994"/>
    <m/>
    <m/>
    <m/>
    <m/>
    <n v="0"/>
    <n v="0"/>
    <m/>
    <m/>
    <n v="435"/>
    <m/>
    <m/>
    <m/>
    <m/>
    <m/>
    <n v="435"/>
    <n v="7.25"/>
    <n v="7.25"/>
    <n v="4.75"/>
    <n v="12"/>
    <m/>
    <m/>
    <n v="0"/>
    <n v="64.13"/>
    <m/>
    <x v="4"/>
    <m/>
    <m/>
    <m/>
    <m/>
  </r>
  <r>
    <x v="1"/>
    <x v="1"/>
    <s v="6 P"/>
    <x v="73"/>
    <s v="جیلانی پولی سٹاک"/>
    <s v="PP"/>
    <n v="4"/>
    <s v="5.5-6"/>
    <n v="0"/>
    <s v="-"/>
    <s v="PP"/>
    <n v="10"/>
    <n v="151.88"/>
    <n v="4"/>
    <m/>
    <m/>
    <n v="147.88"/>
    <m/>
    <m/>
    <m/>
    <m/>
    <n v="0"/>
    <n v="0"/>
    <m/>
    <m/>
    <m/>
    <m/>
    <m/>
    <m/>
    <m/>
    <m/>
    <n v="0"/>
    <n v="0"/>
    <n v="0"/>
    <n v="12"/>
    <n v="12"/>
    <m/>
    <m/>
    <n v="0"/>
    <n v="151.88"/>
    <m/>
    <x v="4"/>
    <m/>
    <m/>
    <m/>
    <m/>
  </r>
  <r>
    <x v="0"/>
    <x v="2"/>
    <s v="10/1"/>
    <x v="73"/>
    <s v="سٹاک"/>
    <s v="PP"/>
    <n v="10"/>
    <n v="5"/>
    <n v="0"/>
    <n v="2000"/>
    <s v="PP"/>
    <n v="9"/>
    <n v="230.04000000000002"/>
    <n v="7.2"/>
    <m/>
    <m/>
    <n v="222.84000000000003"/>
    <m/>
    <m/>
    <m/>
    <m/>
    <n v="0"/>
    <n v="0"/>
    <m/>
    <m/>
    <m/>
    <m/>
    <m/>
    <m/>
    <m/>
    <m/>
    <n v="0"/>
    <n v="0"/>
    <n v="0"/>
    <n v="12"/>
    <n v="12"/>
    <m/>
    <m/>
    <n v="0"/>
    <n v="230.04"/>
    <m/>
    <x v="4"/>
    <m/>
    <m/>
    <m/>
    <m/>
  </r>
  <r>
    <x v="1"/>
    <x v="2"/>
    <s v="10/1"/>
    <x v="73"/>
    <s v="سٹاک"/>
    <s v="PP"/>
    <n v="10"/>
    <n v="5"/>
    <n v="0"/>
    <n v="2000"/>
    <s v="PP"/>
    <n v="8"/>
    <n v="205.57"/>
    <n v="5.6"/>
    <m/>
    <m/>
    <n v="199.97"/>
    <m/>
    <m/>
    <m/>
    <m/>
    <n v="0"/>
    <n v="0"/>
    <m/>
    <m/>
    <m/>
    <m/>
    <m/>
    <m/>
    <m/>
    <m/>
    <n v="0"/>
    <n v="0"/>
    <n v="0"/>
    <n v="12"/>
    <n v="12"/>
    <m/>
    <m/>
    <n v="0"/>
    <n v="205.57"/>
    <m/>
    <x v="4"/>
    <m/>
    <m/>
    <m/>
    <m/>
  </r>
  <r>
    <x v="0"/>
    <x v="3"/>
    <s v="7192/1"/>
    <x v="73"/>
    <s v="ریفلیکٹ پیک لاہور"/>
    <s v="PP"/>
    <n v="17"/>
    <s v="5.5-6"/>
    <n v="0"/>
    <n v="5000"/>
    <s v="PP"/>
    <n v="16"/>
    <n v="879.55"/>
    <n v="39.64"/>
    <m/>
    <m/>
    <n v="839.91"/>
    <m/>
    <m/>
    <m/>
    <m/>
    <n v="0"/>
    <n v="0"/>
    <m/>
    <m/>
    <m/>
    <m/>
    <m/>
    <m/>
    <m/>
    <m/>
    <n v="0"/>
    <n v="0"/>
    <n v="0"/>
    <n v="12"/>
    <n v="12"/>
    <m/>
    <m/>
    <n v="0"/>
    <n v="879.55"/>
    <m/>
    <x v="4"/>
    <m/>
    <m/>
    <m/>
    <m/>
  </r>
  <r>
    <x v="1"/>
    <x v="3"/>
    <s v="7192/1"/>
    <x v="73"/>
    <s v="ریفلیکٹ پیک لاہور"/>
    <s v="PP"/>
    <n v="17"/>
    <s v="5.5-6"/>
    <n v="0"/>
    <n v="5000"/>
    <s v="PP"/>
    <n v="16"/>
    <n v="806.92"/>
    <n v="25.5"/>
    <m/>
    <m/>
    <n v="781.42"/>
    <m/>
    <m/>
    <m/>
    <m/>
    <n v="0"/>
    <n v="0"/>
    <m/>
    <m/>
    <m/>
    <m/>
    <m/>
    <m/>
    <m/>
    <m/>
    <n v="0"/>
    <n v="0"/>
    <n v="0"/>
    <n v="12"/>
    <n v="12"/>
    <m/>
    <m/>
    <n v="0"/>
    <n v="806.92"/>
    <m/>
    <x v="4"/>
    <m/>
    <m/>
    <m/>
    <m/>
  </r>
  <r>
    <x v="0"/>
    <x v="4"/>
    <s v="7209/1"/>
    <x v="73"/>
    <s v="MTM شاہ عالم"/>
    <s v="PP"/>
    <n v="11"/>
    <s v="6-6.5"/>
    <n v="0"/>
    <n v="100"/>
    <s v="PP"/>
    <n v="2"/>
    <n v="86.82"/>
    <n v="2.4"/>
    <m/>
    <m/>
    <n v="84.419999999999987"/>
    <m/>
    <m/>
    <m/>
    <m/>
    <n v="0"/>
    <n v="0"/>
    <m/>
    <m/>
    <m/>
    <m/>
    <m/>
    <m/>
    <m/>
    <m/>
    <n v="0"/>
    <n v="0"/>
    <n v="0"/>
    <n v="12"/>
    <n v="12"/>
    <m/>
    <m/>
    <n v="0"/>
    <n v="86.82"/>
    <m/>
    <x v="4"/>
    <m/>
    <m/>
    <m/>
    <m/>
  </r>
  <r>
    <x v="0"/>
    <x v="4"/>
    <s v="12/1"/>
    <x v="73"/>
    <s v="سٹاک"/>
    <s v="PP"/>
    <n v="12"/>
    <n v="5"/>
    <n v="0"/>
    <n v="2000"/>
    <s v="PP"/>
    <n v="9"/>
    <n v="462.76"/>
    <n v="13.5"/>
    <m/>
    <m/>
    <n v="449.26"/>
    <m/>
    <m/>
    <m/>
    <m/>
    <n v="0"/>
    <n v="0"/>
    <m/>
    <m/>
    <m/>
    <m/>
    <m/>
    <m/>
    <m/>
    <m/>
    <n v="0"/>
    <n v="0"/>
    <n v="0"/>
    <n v="12"/>
    <n v="12"/>
    <m/>
    <m/>
    <n v="0"/>
    <n v="462.76"/>
    <m/>
    <x v="4"/>
    <m/>
    <m/>
    <m/>
    <m/>
  </r>
  <r>
    <x v="1"/>
    <x v="4"/>
    <s v="12/1"/>
    <x v="73"/>
    <s v="سٹاک"/>
    <s v="PP"/>
    <n v="12"/>
    <n v="5"/>
    <n v="0"/>
    <n v="2000"/>
    <s v="PP"/>
    <n v="14"/>
    <n v="573.99"/>
    <n v="21"/>
    <m/>
    <m/>
    <n v="552.99"/>
    <m/>
    <m/>
    <m/>
    <m/>
    <n v="0"/>
    <n v="0"/>
    <m/>
    <m/>
    <m/>
    <m/>
    <m/>
    <m/>
    <m/>
    <m/>
    <n v="0"/>
    <n v="0"/>
    <n v="0"/>
    <n v="12"/>
    <n v="12"/>
    <m/>
    <m/>
    <n v="0"/>
    <n v="573.99"/>
    <m/>
    <x v="4"/>
    <m/>
    <m/>
    <m/>
    <m/>
  </r>
  <r>
    <x v="0"/>
    <x v="0"/>
    <s v="4 P"/>
    <x v="74"/>
    <s v="جیلانی پولی سٹاک"/>
    <s v="PP"/>
    <n v="3"/>
    <s v="5.5-6"/>
    <n v="0"/>
    <s v="-"/>
    <s v="PP"/>
    <n v="7"/>
    <n v="112.93"/>
    <n v="2.1"/>
    <n v="36"/>
    <m/>
    <n v="110.83000000000001"/>
    <m/>
    <n v="15"/>
    <m/>
    <m/>
    <n v="15"/>
    <n v="0.25"/>
    <m/>
    <m/>
    <m/>
    <m/>
    <m/>
    <m/>
    <m/>
    <m/>
    <n v="0"/>
    <n v="0"/>
    <n v="0.25"/>
    <n v="11.75"/>
    <n v="12"/>
    <m/>
    <n v="2039"/>
    <n v="0"/>
    <n v="112.93"/>
    <n v="398"/>
    <x v="4"/>
    <m/>
    <m/>
    <m/>
    <m/>
  </r>
  <r>
    <x v="0"/>
    <x v="0"/>
    <s v="5/1"/>
    <x v="74"/>
    <s v="سٹاک"/>
    <s v="PP"/>
    <n v="5"/>
    <s v="5.5-6"/>
    <n v="0"/>
    <n v="500"/>
    <s v="PP"/>
    <n v="1"/>
    <n v="17.8"/>
    <n v="0.5"/>
    <m/>
    <m/>
    <n v="17.3"/>
    <m/>
    <m/>
    <m/>
    <m/>
    <n v="0"/>
    <n v="0"/>
    <m/>
    <m/>
    <m/>
    <m/>
    <m/>
    <m/>
    <m/>
    <m/>
    <n v="0"/>
    <n v="0"/>
    <n v="0"/>
    <n v="12"/>
    <n v="12"/>
    <m/>
    <m/>
    <n v="0"/>
    <n v="17.8"/>
    <m/>
    <x v="4"/>
    <m/>
    <m/>
    <m/>
    <m/>
  </r>
  <r>
    <x v="1"/>
    <x v="0"/>
    <s v="5/1"/>
    <x v="74"/>
    <s v="سٹاک"/>
    <s v="PP"/>
    <n v="5"/>
    <s v="5.5-6"/>
    <n v="0"/>
    <n v="500"/>
    <s v="PP"/>
    <n v="9"/>
    <n v="178.62"/>
    <n v="4.5"/>
    <n v="39"/>
    <m/>
    <n v="174.12"/>
    <m/>
    <m/>
    <m/>
    <m/>
    <n v="0"/>
    <n v="0"/>
    <m/>
    <m/>
    <m/>
    <m/>
    <m/>
    <m/>
    <m/>
    <m/>
    <n v="0"/>
    <n v="0"/>
    <n v="0"/>
    <n v="12"/>
    <n v="12"/>
    <m/>
    <m/>
    <n v="0"/>
    <n v="178.62"/>
    <m/>
    <x v="4"/>
    <m/>
    <m/>
    <m/>
    <m/>
  </r>
  <r>
    <x v="0"/>
    <x v="1"/>
    <s v="6 P"/>
    <x v="74"/>
    <s v="جیلانی پولی سٹاک"/>
    <s v="PP"/>
    <n v="4"/>
    <s v="5.5-6"/>
    <n v="0"/>
    <s v="-"/>
    <s v="PP"/>
    <n v="11"/>
    <n v="156.01"/>
    <n v="4.4000000000000004"/>
    <m/>
    <m/>
    <n v="151.60999999999999"/>
    <m/>
    <m/>
    <m/>
    <m/>
    <n v="0"/>
    <n v="0"/>
    <m/>
    <m/>
    <m/>
    <m/>
    <m/>
    <m/>
    <m/>
    <m/>
    <n v="0"/>
    <n v="0"/>
    <n v="0"/>
    <n v="12"/>
    <n v="12"/>
    <m/>
    <m/>
    <n v="0"/>
    <n v="156.01"/>
    <m/>
    <x v="4"/>
    <m/>
    <m/>
    <m/>
    <m/>
  </r>
  <r>
    <x v="1"/>
    <x v="1"/>
    <s v="6 P"/>
    <x v="74"/>
    <s v="جیلانی پولی سٹاک"/>
    <s v="PP"/>
    <n v="4"/>
    <s v="5.5-6"/>
    <n v="0"/>
    <s v="-"/>
    <s v="PP"/>
    <n v="9"/>
    <n v="135.28"/>
    <n v="3.6"/>
    <m/>
    <m/>
    <n v="131.68"/>
    <m/>
    <m/>
    <m/>
    <m/>
    <n v="0"/>
    <n v="0"/>
    <m/>
    <m/>
    <m/>
    <m/>
    <m/>
    <m/>
    <m/>
    <m/>
    <n v="0"/>
    <n v="0"/>
    <n v="0"/>
    <n v="12"/>
    <n v="12"/>
    <m/>
    <m/>
    <n v="0"/>
    <n v="135.28"/>
    <m/>
    <x v="4"/>
    <m/>
    <m/>
    <m/>
    <m/>
  </r>
  <r>
    <x v="0"/>
    <x v="2"/>
    <s v="10/1"/>
    <x v="74"/>
    <s v="سٹاک"/>
    <s v="PP"/>
    <n v="10"/>
    <n v="5"/>
    <n v="0"/>
    <n v="2000"/>
    <s v="PP"/>
    <n v="9"/>
    <n v="269.2"/>
    <n v="7.2"/>
    <m/>
    <m/>
    <n v="262"/>
    <m/>
    <m/>
    <m/>
    <m/>
    <n v="0"/>
    <n v="0"/>
    <m/>
    <m/>
    <m/>
    <m/>
    <m/>
    <m/>
    <m/>
    <m/>
    <n v="0"/>
    <n v="0"/>
    <n v="0"/>
    <n v="12"/>
    <n v="12"/>
    <m/>
    <m/>
    <n v="0"/>
    <n v="269.2"/>
    <m/>
    <x v="4"/>
    <m/>
    <m/>
    <m/>
    <m/>
  </r>
  <r>
    <x v="1"/>
    <x v="2"/>
    <s v="10/1"/>
    <x v="74"/>
    <s v="سٹاک"/>
    <s v="PP"/>
    <n v="10"/>
    <n v="5"/>
    <n v="0"/>
    <n v="2000"/>
    <s v="PP"/>
    <n v="7"/>
    <n v="184.08999999999997"/>
    <n v="4.8999999999999995"/>
    <m/>
    <m/>
    <n v="179.18999999999997"/>
    <m/>
    <m/>
    <m/>
    <m/>
    <n v="0"/>
    <n v="0"/>
    <m/>
    <m/>
    <m/>
    <m/>
    <m/>
    <m/>
    <m/>
    <m/>
    <n v="0"/>
    <n v="0"/>
    <n v="0"/>
    <n v="12"/>
    <n v="12"/>
    <m/>
    <m/>
    <n v="0"/>
    <n v="184.08999999999995"/>
    <m/>
    <x v="4"/>
    <m/>
    <m/>
    <m/>
    <m/>
  </r>
  <r>
    <x v="0"/>
    <x v="3"/>
    <s v="7192/1"/>
    <x v="74"/>
    <s v="ریفلیکٹ پیک لاہور"/>
    <s v="PP"/>
    <n v="17"/>
    <s v="5.5-6"/>
    <n v="0"/>
    <n v="5000"/>
    <s v="PP"/>
    <n v="4"/>
    <n v="206.85000000000002"/>
    <n v="7.9"/>
    <m/>
    <m/>
    <n v="198.95000000000002"/>
    <m/>
    <n v="20"/>
    <m/>
    <m/>
    <n v="20"/>
    <n v="0.33333333333333331"/>
    <m/>
    <m/>
    <m/>
    <m/>
    <m/>
    <m/>
    <n v="30"/>
    <m/>
    <n v="30"/>
    <n v="0.5"/>
    <n v="0.83333333333333326"/>
    <n v="11.166666666666666"/>
    <n v="12"/>
    <m/>
    <m/>
    <n v="0"/>
    <n v="206.85"/>
    <m/>
    <x v="4"/>
    <m/>
    <m/>
    <m/>
    <m/>
  </r>
  <r>
    <x v="0"/>
    <x v="3"/>
    <s v="7191/3"/>
    <x v="74"/>
    <s v="العمر پلاسٹک گوجرانوالہ"/>
    <s v="PP"/>
    <n v="18"/>
    <n v="6"/>
    <n v="0"/>
    <n v="250"/>
    <s v="PP"/>
    <n v="7"/>
    <n v="416.07000000000005"/>
    <n v="15.400000000000002"/>
    <m/>
    <m/>
    <n v="400.67000000000007"/>
    <m/>
    <m/>
    <m/>
    <m/>
    <n v="0"/>
    <n v="0"/>
    <m/>
    <m/>
    <m/>
    <m/>
    <m/>
    <m/>
    <m/>
    <m/>
    <n v="0"/>
    <n v="0"/>
    <n v="0"/>
    <n v="12"/>
    <n v="12"/>
    <m/>
    <m/>
    <n v="0"/>
    <n v="416.07000000000011"/>
    <m/>
    <x v="4"/>
    <m/>
    <m/>
    <m/>
    <m/>
  </r>
  <r>
    <x v="0"/>
    <x v="3"/>
    <s v="3916 J"/>
    <x v="74"/>
    <s v="Cakes and Bakes Lahore"/>
    <s v="PP"/>
    <n v="18"/>
    <s v="7-7.5/14-15"/>
    <s v="1:1"/>
    <n v="100"/>
    <s v="PP"/>
    <n v="2"/>
    <n v="110.03999999999999"/>
    <n v="4.25"/>
    <m/>
    <m/>
    <n v="105.78999999999999"/>
    <m/>
    <m/>
    <m/>
    <m/>
    <n v="0"/>
    <n v="0"/>
    <m/>
    <m/>
    <m/>
    <m/>
    <m/>
    <m/>
    <m/>
    <m/>
    <n v="0"/>
    <n v="0"/>
    <n v="0"/>
    <n v="12"/>
    <n v="12"/>
    <m/>
    <m/>
    <n v="0"/>
    <n v="110.04"/>
    <m/>
    <x v="4"/>
    <m/>
    <m/>
    <m/>
    <m/>
  </r>
  <r>
    <x v="0"/>
    <x v="3"/>
    <s v="3886 J"/>
    <x v="74"/>
    <s v="Bundu Khan Lahore"/>
    <s v="PP"/>
    <s v="18&quot; شیٹ"/>
    <s v="4-4.5/8-9"/>
    <s v=".1:1"/>
    <n v="150"/>
    <s v="PP"/>
    <n v="2"/>
    <n v="80.039999999999992"/>
    <n v="4"/>
    <m/>
    <m/>
    <n v="76.039999999999992"/>
    <m/>
    <m/>
    <m/>
    <m/>
    <n v="0"/>
    <n v="0"/>
    <m/>
    <m/>
    <m/>
    <m/>
    <m/>
    <m/>
    <m/>
    <m/>
    <n v="0"/>
    <n v="0"/>
    <n v="0"/>
    <n v="12"/>
    <n v="12"/>
    <m/>
    <m/>
    <n v="0"/>
    <n v="80.040000000000006"/>
    <m/>
    <x v="4"/>
    <m/>
    <m/>
    <m/>
    <m/>
  </r>
  <r>
    <x v="1"/>
    <x v="3"/>
    <s v="3886 J"/>
    <x v="74"/>
    <s v="Bundu Khan Lahore"/>
    <s v="PP"/>
    <s v="18&quot; شیٹ"/>
    <s v="4-4.5/8-9"/>
    <s v=".1:1"/>
    <n v="150"/>
    <s v="PP"/>
    <n v="2"/>
    <n v="72.919999999999987"/>
    <n v="3.6"/>
    <m/>
    <m/>
    <n v="69.319999999999993"/>
    <m/>
    <n v="20"/>
    <m/>
    <m/>
    <n v="20"/>
    <n v="0.33333333333333331"/>
    <m/>
    <m/>
    <n v="10"/>
    <m/>
    <m/>
    <m/>
    <m/>
    <m/>
    <n v="10"/>
    <n v="0.16666666666666666"/>
    <n v="0.5"/>
    <n v="11.5"/>
    <n v="12"/>
    <m/>
    <m/>
    <n v="0"/>
    <n v="72.919999999999987"/>
    <m/>
    <x v="4"/>
    <m/>
    <m/>
    <m/>
    <m/>
  </r>
  <r>
    <x v="1"/>
    <x v="3"/>
    <s v="7191/5"/>
    <x v="74"/>
    <s v="العمر پلاسٹک گوجرانوالہ"/>
    <s v="PP"/>
    <n v="22"/>
    <n v="6"/>
    <n v="0"/>
    <n v="250"/>
    <s v="PP"/>
    <n v="5"/>
    <n v="266.89999999999998"/>
    <n v="11"/>
    <m/>
    <m/>
    <n v="255.89999999999998"/>
    <m/>
    <m/>
    <m/>
    <m/>
    <n v="0"/>
    <n v="0"/>
    <m/>
    <m/>
    <m/>
    <m/>
    <m/>
    <m/>
    <m/>
    <m/>
    <n v="0"/>
    <n v="0"/>
    <n v="0"/>
    <n v="12"/>
    <n v="12"/>
    <m/>
    <m/>
    <n v="0"/>
    <n v="266.89999999999998"/>
    <m/>
    <x v="4"/>
    <m/>
    <m/>
    <m/>
    <m/>
  </r>
  <r>
    <x v="1"/>
    <x v="3"/>
    <s v="3438 J"/>
    <x v="74"/>
    <s v="Jilani Poly Stock"/>
    <s v="PP"/>
    <n v="18"/>
    <s v="5-5.5"/>
    <s v="1:1"/>
    <n v="500"/>
    <s v="PP"/>
    <n v="3"/>
    <n v="135.97"/>
    <n v="5.4"/>
    <m/>
    <m/>
    <n v="130.57"/>
    <m/>
    <m/>
    <m/>
    <m/>
    <n v="0"/>
    <n v="0"/>
    <m/>
    <m/>
    <m/>
    <m/>
    <m/>
    <m/>
    <m/>
    <m/>
    <n v="0"/>
    <n v="0"/>
    <n v="0"/>
    <n v="12"/>
    <n v="12"/>
    <m/>
    <m/>
    <n v="0"/>
    <n v="135.97"/>
    <m/>
    <x v="4"/>
    <m/>
    <m/>
    <m/>
    <m/>
  </r>
  <r>
    <x v="1"/>
    <x v="3"/>
    <s v="3885 J"/>
    <x v="74"/>
    <s v="Bundu Khan Lahore"/>
    <s v="PP"/>
    <s v="18&quot; شیٹ"/>
    <s v="4-4.5/8-9"/>
    <s v=".1:1"/>
    <n v="150"/>
    <s v="PP"/>
    <n v="4"/>
    <n v="147.52000000000001"/>
    <n v="7.2"/>
    <m/>
    <m/>
    <n v="140.32000000000002"/>
    <m/>
    <m/>
    <m/>
    <m/>
    <n v="0"/>
    <n v="0"/>
    <m/>
    <m/>
    <m/>
    <m/>
    <m/>
    <m/>
    <m/>
    <m/>
    <n v="0"/>
    <n v="0"/>
    <n v="0"/>
    <n v="12"/>
    <n v="12"/>
    <m/>
    <m/>
    <n v="0"/>
    <n v="147.52000000000001"/>
    <m/>
    <x v="4"/>
    <m/>
    <m/>
    <m/>
    <m/>
  </r>
  <r>
    <x v="0"/>
    <x v="4"/>
    <s v="12/1"/>
    <x v="74"/>
    <s v="سٹاک"/>
    <s v="PP"/>
    <n v="12"/>
    <n v="5"/>
    <n v="0"/>
    <n v="2000"/>
    <s v="PP"/>
    <n v="11"/>
    <n v="523.78000000000009"/>
    <n v="16.5"/>
    <m/>
    <m/>
    <n v="507.28000000000009"/>
    <m/>
    <m/>
    <m/>
    <m/>
    <n v="0"/>
    <n v="0"/>
    <m/>
    <m/>
    <m/>
    <m/>
    <m/>
    <m/>
    <m/>
    <m/>
    <n v="0"/>
    <n v="0"/>
    <n v="0"/>
    <n v="12"/>
    <n v="12"/>
    <m/>
    <m/>
    <n v="0"/>
    <n v="523.78000000000009"/>
    <m/>
    <x v="4"/>
    <m/>
    <m/>
    <m/>
    <m/>
  </r>
  <r>
    <x v="0"/>
    <x v="4"/>
    <s v="7204/3"/>
    <x v="74"/>
    <s v="اسلم پلاسٹک ملتان"/>
    <s v="PP"/>
    <n v="12"/>
    <s v="6.5-7"/>
    <n v="0"/>
    <n v="50"/>
    <s v="PP"/>
    <n v="1"/>
    <n v="62.83"/>
    <n v="1.5"/>
    <m/>
    <m/>
    <n v="61.33"/>
    <m/>
    <m/>
    <m/>
    <m/>
    <n v="0"/>
    <n v="0"/>
    <m/>
    <m/>
    <m/>
    <m/>
    <m/>
    <m/>
    <m/>
    <m/>
    <n v="0"/>
    <n v="0"/>
    <n v="0"/>
    <n v="12"/>
    <n v="12"/>
    <m/>
    <m/>
    <n v="0"/>
    <n v="62.83"/>
    <m/>
    <x v="4"/>
    <m/>
    <m/>
    <m/>
    <m/>
  </r>
  <r>
    <x v="1"/>
    <x v="4"/>
    <s v="12/1"/>
    <x v="74"/>
    <s v="سٹاک"/>
    <s v="PP"/>
    <n v="12"/>
    <n v="5"/>
    <n v="0"/>
    <n v="2000"/>
    <s v="PP"/>
    <n v="12"/>
    <n v="499.94000000000005"/>
    <n v="14.399999999999999"/>
    <m/>
    <m/>
    <n v="485.54000000000008"/>
    <m/>
    <m/>
    <m/>
    <m/>
    <n v="0"/>
    <n v="0"/>
    <m/>
    <m/>
    <m/>
    <m/>
    <m/>
    <m/>
    <m/>
    <m/>
    <n v="0"/>
    <n v="0"/>
    <n v="0"/>
    <n v="12"/>
    <n v="12"/>
    <m/>
    <m/>
    <n v="0"/>
    <n v="499.94000000000005"/>
    <m/>
    <x v="4"/>
    <m/>
    <m/>
    <m/>
    <m/>
  </r>
  <r>
    <x v="0"/>
    <x v="0"/>
    <s v="5/1"/>
    <x v="75"/>
    <s v="سٹاک"/>
    <s v="PP"/>
    <n v="5"/>
    <s v="5.5-6"/>
    <n v="0"/>
    <n v="500"/>
    <s v="PP"/>
    <n v="7"/>
    <n v="167.82"/>
    <n v="3.5"/>
    <n v="34.5"/>
    <m/>
    <n v="164.32"/>
    <m/>
    <m/>
    <m/>
    <m/>
    <n v="0"/>
    <n v="0"/>
    <m/>
    <m/>
    <m/>
    <m/>
    <m/>
    <m/>
    <m/>
    <m/>
    <n v="0"/>
    <n v="0"/>
    <n v="0"/>
    <n v="12"/>
    <n v="12"/>
    <m/>
    <n v="2091"/>
    <n v="0"/>
    <n v="167.82"/>
    <n v="398"/>
    <x v="4"/>
    <m/>
    <m/>
    <m/>
    <m/>
  </r>
  <r>
    <x v="1"/>
    <x v="0"/>
    <s v="5/1"/>
    <x v="75"/>
    <s v="سٹاک"/>
    <s v="PP"/>
    <n v="5"/>
    <s v="5.5-6"/>
    <n v="0"/>
    <n v="500"/>
    <s v="PP"/>
    <n v="9"/>
    <n v="149.97999999999999"/>
    <n v="4.5"/>
    <n v="45.5"/>
    <m/>
    <n v="145.47999999999999"/>
    <m/>
    <m/>
    <m/>
    <m/>
    <n v="0"/>
    <n v="0"/>
    <m/>
    <m/>
    <m/>
    <m/>
    <m/>
    <m/>
    <m/>
    <m/>
    <n v="0"/>
    <n v="0"/>
    <n v="0"/>
    <n v="12"/>
    <n v="12"/>
    <m/>
    <m/>
    <n v="0"/>
    <n v="149.97999999999999"/>
    <m/>
    <x v="4"/>
    <m/>
    <m/>
    <m/>
    <m/>
  </r>
  <r>
    <x v="0"/>
    <x v="1"/>
    <s v="6 P"/>
    <x v="75"/>
    <s v="جیلانی پولی سٹاک"/>
    <s v="PP"/>
    <n v="4"/>
    <s v="5.5-6"/>
    <n v="0"/>
    <s v="-"/>
    <s v="PP"/>
    <n v="9"/>
    <n v="152.89000000000001"/>
    <n v="3.6"/>
    <m/>
    <m/>
    <n v="149.29000000000002"/>
    <m/>
    <m/>
    <m/>
    <m/>
    <n v="0"/>
    <n v="0"/>
    <m/>
    <m/>
    <m/>
    <m/>
    <m/>
    <m/>
    <m/>
    <m/>
    <n v="0"/>
    <n v="0"/>
    <n v="0"/>
    <n v="12"/>
    <n v="12"/>
    <m/>
    <m/>
    <n v="0"/>
    <n v="152.88999999999999"/>
    <m/>
    <x v="4"/>
    <m/>
    <m/>
    <m/>
    <m/>
  </r>
  <r>
    <x v="1"/>
    <x v="1"/>
    <s v="6 P"/>
    <x v="75"/>
    <s v="جیلانی پولی سٹاک"/>
    <s v="PP"/>
    <n v="4"/>
    <s v="5.5-6"/>
    <n v="0"/>
    <s v="-"/>
    <s v="PP"/>
    <n v="10"/>
    <n v="140.44999999999999"/>
    <n v="4"/>
    <m/>
    <m/>
    <n v="136.44999999999999"/>
    <m/>
    <m/>
    <m/>
    <m/>
    <n v="0"/>
    <n v="0"/>
    <m/>
    <m/>
    <m/>
    <m/>
    <m/>
    <m/>
    <m/>
    <m/>
    <n v="0"/>
    <n v="0"/>
    <n v="0"/>
    <n v="12"/>
    <n v="12"/>
    <m/>
    <m/>
    <n v="0"/>
    <n v="140.44999999999999"/>
    <m/>
    <x v="4"/>
    <m/>
    <m/>
    <m/>
    <m/>
  </r>
  <r>
    <x v="0"/>
    <x v="2"/>
    <s v="7/1"/>
    <x v="75"/>
    <s v="سٹاک"/>
    <s v="PP"/>
    <n v="7"/>
    <n v="5"/>
    <n v="0"/>
    <n v="500"/>
    <s v="PP"/>
    <n v="4"/>
    <n v="141.69"/>
    <n v="3.2"/>
    <m/>
    <m/>
    <n v="138.49"/>
    <m/>
    <n v="15"/>
    <m/>
    <m/>
    <n v="15"/>
    <n v="0.25"/>
    <m/>
    <m/>
    <m/>
    <m/>
    <m/>
    <m/>
    <m/>
    <m/>
    <n v="0"/>
    <n v="0"/>
    <n v="0.25"/>
    <n v="11.75"/>
    <n v="12"/>
    <m/>
    <m/>
    <n v="0"/>
    <n v="141.69"/>
    <m/>
    <x v="4"/>
    <m/>
    <m/>
    <m/>
    <m/>
  </r>
  <r>
    <x v="0"/>
    <x v="2"/>
    <s v="7171/10"/>
    <x v="75"/>
    <s v="شاہد رمضان اوکاڑہ"/>
    <s v="PP"/>
    <n v="8"/>
    <n v="4.5"/>
    <n v="0"/>
    <n v="100"/>
    <s v="PP"/>
    <n v="3"/>
    <n v="86.98"/>
    <n v="3"/>
    <m/>
    <m/>
    <n v="83.98"/>
    <m/>
    <m/>
    <m/>
    <m/>
    <n v="0"/>
    <n v="0"/>
    <m/>
    <m/>
    <m/>
    <m/>
    <m/>
    <m/>
    <m/>
    <m/>
    <n v="0"/>
    <n v="0"/>
    <n v="0"/>
    <n v="12"/>
    <n v="12"/>
    <m/>
    <m/>
    <n v="0"/>
    <n v="86.98"/>
    <m/>
    <x v="4"/>
    <m/>
    <m/>
    <m/>
    <m/>
  </r>
  <r>
    <x v="1"/>
    <x v="2"/>
    <s v="7171/10"/>
    <x v="75"/>
    <s v="شاہد رمضان اوکاڑہ"/>
    <s v="PP"/>
    <n v="8"/>
    <n v="4.5"/>
    <n v="0"/>
    <n v="100"/>
    <s v="PP"/>
    <n v="8"/>
    <n v="265.26"/>
    <n v="6.4"/>
    <m/>
    <m/>
    <n v="258.86"/>
    <m/>
    <m/>
    <m/>
    <m/>
    <n v="0"/>
    <n v="0"/>
    <m/>
    <m/>
    <m/>
    <m/>
    <m/>
    <m/>
    <m/>
    <m/>
    <n v="0"/>
    <n v="0"/>
    <n v="0"/>
    <n v="12"/>
    <n v="12"/>
    <m/>
    <m/>
    <n v="0"/>
    <n v="265.26"/>
    <m/>
    <x v="4"/>
    <m/>
    <m/>
    <m/>
    <m/>
  </r>
  <r>
    <x v="0"/>
    <x v="3"/>
    <s v="3884 J"/>
    <x v="75"/>
    <s v="Bundu Khan Lahore"/>
    <s v="PP"/>
    <s v="22&quot; شیٹ"/>
    <s v="4-4.5/8-9"/>
    <s v=".1:1"/>
    <n v="150"/>
    <s v="PP"/>
    <n v="5"/>
    <n v="238.36"/>
    <n v="13.58"/>
    <m/>
    <m/>
    <n v="224.78"/>
    <m/>
    <m/>
    <m/>
    <m/>
    <n v="0"/>
    <n v="0"/>
    <m/>
    <m/>
    <m/>
    <m/>
    <m/>
    <m/>
    <m/>
    <m/>
    <n v="0"/>
    <n v="0"/>
    <n v="0"/>
    <n v="12"/>
    <n v="12"/>
    <m/>
    <m/>
    <n v="0"/>
    <n v="238.36"/>
    <m/>
    <x v="4"/>
    <m/>
    <m/>
    <m/>
    <m/>
  </r>
  <r>
    <x v="0"/>
    <x v="3"/>
    <s v="3777 J"/>
    <x v="75"/>
    <s v="Jilani Poly Stock"/>
    <s v="PP"/>
    <n v="18"/>
    <s v="5-5.5"/>
    <s v="1:1"/>
    <n v="0"/>
    <s v="PP"/>
    <n v="9"/>
    <n v="478.80999999999995"/>
    <n v="19.079999999999998"/>
    <m/>
    <m/>
    <n v="459.72999999999996"/>
    <m/>
    <n v="30"/>
    <m/>
    <m/>
    <n v="30"/>
    <n v="0.5"/>
    <m/>
    <m/>
    <m/>
    <m/>
    <m/>
    <m/>
    <m/>
    <m/>
    <n v="0"/>
    <n v="0"/>
    <n v="0.5"/>
    <n v="11.5"/>
    <n v="12"/>
    <m/>
    <m/>
    <n v="0"/>
    <n v="478.80999999999995"/>
    <m/>
    <x v="4"/>
    <m/>
    <m/>
    <m/>
    <m/>
  </r>
  <r>
    <x v="0"/>
    <x v="3"/>
    <s v="3883 J"/>
    <x v="75"/>
    <s v="Bundu Khan Lahore"/>
    <s v="PP"/>
    <s v="22&quot; شیٹ"/>
    <s v="4-4.5/8-9"/>
    <s v=".1:1"/>
    <n v="150"/>
    <s v="PP"/>
    <n v="4"/>
    <n v="140.94999999999999"/>
    <n v="11.1"/>
    <m/>
    <m/>
    <n v="129.85"/>
    <m/>
    <m/>
    <m/>
    <m/>
    <n v="0"/>
    <n v="0"/>
    <m/>
    <m/>
    <m/>
    <m/>
    <m/>
    <m/>
    <m/>
    <m/>
    <n v="0"/>
    <n v="0"/>
    <n v="0"/>
    <n v="12"/>
    <n v="12"/>
    <m/>
    <m/>
    <n v="0"/>
    <n v="140.94999999999999"/>
    <m/>
    <x v="4"/>
    <m/>
    <m/>
    <m/>
    <m/>
  </r>
  <r>
    <x v="1"/>
    <x v="3"/>
    <s v="3777 J"/>
    <x v="75"/>
    <s v="Jilani Poly Stock"/>
    <s v="PP"/>
    <n v="18"/>
    <s v="5-5.5"/>
    <s v="1:1"/>
    <n v="0"/>
    <s v="PP"/>
    <n v="14"/>
    <n v="711.71"/>
    <n v="25.2"/>
    <m/>
    <m/>
    <n v="686.51"/>
    <m/>
    <m/>
    <m/>
    <m/>
    <n v="0"/>
    <n v="0"/>
    <m/>
    <m/>
    <m/>
    <m/>
    <m/>
    <m/>
    <m/>
    <m/>
    <n v="0"/>
    <n v="0"/>
    <n v="0"/>
    <n v="12"/>
    <n v="12"/>
    <m/>
    <m/>
    <n v="0"/>
    <n v="711.71"/>
    <m/>
    <x v="4"/>
    <m/>
    <m/>
    <m/>
    <m/>
  </r>
  <r>
    <x v="0"/>
    <x v="4"/>
    <s v="12/1"/>
    <x v="75"/>
    <s v="سٹاک"/>
    <s v="PP"/>
    <n v="12"/>
    <n v="5"/>
    <n v="0"/>
    <n v="2000"/>
    <s v="PP"/>
    <n v="3"/>
    <n v="160.81"/>
    <n v="4.5"/>
    <m/>
    <m/>
    <n v="156.31"/>
    <m/>
    <n v="2"/>
    <m/>
    <m/>
    <n v="2"/>
    <n v="3.3333333333333333E-2"/>
    <m/>
    <m/>
    <m/>
    <m/>
    <m/>
    <m/>
    <m/>
    <m/>
    <n v="0"/>
    <n v="0"/>
    <n v="3.3333333333333333E-2"/>
    <n v="11.966666666666669"/>
    <n v="12"/>
    <m/>
    <m/>
    <n v="0"/>
    <n v="160.81"/>
    <m/>
    <x v="4"/>
    <m/>
    <m/>
    <m/>
    <m/>
  </r>
  <r>
    <x v="0"/>
    <x v="4"/>
    <s v="11/1"/>
    <x v="75"/>
    <s v="سٹاک"/>
    <s v="PP"/>
    <n v="11"/>
    <s v="5-5.5"/>
    <n v="0"/>
    <n v="1000"/>
    <s v="PP"/>
    <n v="8"/>
    <n v="378.60999999999996"/>
    <n v="10.750000000000002"/>
    <m/>
    <m/>
    <n v="367.85999999999996"/>
    <m/>
    <m/>
    <m/>
    <m/>
    <n v="0"/>
    <n v="0"/>
    <m/>
    <m/>
    <m/>
    <m/>
    <m/>
    <m/>
    <m/>
    <m/>
    <n v="0"/>
    <n v="0"/>
    <n v="0"/>
    <n v="12"/>
    <n v="12"/>
    <m/>
    <m/>
    <n v="0"/>
    <n v="378.61"/>
    <m/>
    <x v="4"/>
    <m/>
    <m/>
    <m/>
    <m/>
  </r>
  <r>
    <x v="1"/>
    <x v="4"/>
    <s v="11/1"/>
    <x v="75"/>
    <s v="سٹاک"/>
    <s v="PP"/>
    <n v="11"/>
    <s v="5-5.5"/>
    <n v="0"/>
    <n v="1000"/>
    <s v="PP"/>
    <n v="10"/>
    <n v="467.48"/>
    <n v="12.5"/>
    <m/>
    <m/>
    <n v="454.98"/>
    <m/>
    <m/>
    <m/>
    <m/>
    <n v="0"/>
    <n v="0"/>
    <m/>
    <m/>
    <n v="30"/>
    <m/>
    <m/>
    <m/>
    <n v="30"/>
    <m/>
    <n v="60"/>
    <n v="1"/>
    <n v="1"/>
    <n v="11"/>
    <n v="12"/>
    <m/>
    <m/>
    <n v="0"/>
    <n v="467.48"/>
    <m/>
    <x v="4"/>
    <m/>
    <m/>
    <m/>
    <m/>
  </r>
  <r>
    <x v="0"/>
    <x v="0"/>
    <s v="5/1"/>
    <x v="76"/>
    <s v="سٹاک"/>
    <s v="PP"/>
    <n v="5"/>
    <s v="5.5-6"/>
    <n v="0"/>
    <n v="500"/>
    <s v="PP"/>
    <n v="8"/>
    <n v="174.66000000000003"/>
    <n v="4"/>
    <n v="37"/>
    <m/>
    <n v="170.66000000000003"/>
    <m/>
    <n v="15"/>
    <m/>
    <m/>
    <n v="15"/>
    <n v="0.25"/>
    <m/>
    <m/>
    <m/>
    <m/>
    <m/>
    <m/>
    <m/>
    <m/>
    <n v="0"/>
    <n v="0"/>
    <n v="0.25"/>
    <n v="11.75"/>
    <n v="12"/>
    <m/>
    <m/>
    <n v="0"/>
    <n v="174.66000000000005"/>
    <m/>
    <x v="4"/>
    <m/>
    <m/>
    <m/>
    <m/>
  </r>
  <r>
    <x v="1"/>
    <x v="0"/>
    <s v="5/1"/>
    <x v="76"/>
    <s v="سٹاک"/>
    <s v="PP"/>
    <n v="5"/>
    <s v="5.5-6"/>
    <n v="0"/>
    <n v="500"/>
    <s v="PP"/>
    <n v="1"/>
    <n v="16.079999999999998"/>
    <n v="0.5"/>
    <n v="20"/>
    <m/>
    <n v="15.579999999999998"/>
    <m/>
    <m/>
    <m/>
    <m/>
    <n v="0"/>
    <n v="0"/>
    <m/>
    <m/>
    <m/>
    <m/>
    <m/>
    <m/>
    <m/>
    <m/>
    <n v="0"/>
    <n v="0"/>
    <n v="0"/>
    <n v="12"/>
    <n v="12"/>
    <m/>
    <m/>
    <n v="0"/>
    <n v="16.079999999999998"/>
    <m/>
    <x v="4"/>
    <m/>
    <m/>
    <m/>
    <m/>
  </r>
  <r>
    <x v="1"/>
    <x v="0"/>
    <s v="3 P"/>
    <x v="76"/>
    <s v="جیلانی پولی سٹاک"/>
    <s v="PP"/>
    <n v="2.5"/>
    <s v="5.5-6"/>
    <n v="0"/>
    <s v="-"/>
    <s v="PP"/>
    <n v="11"/>
    <n v="107.17999999999999"/>
    <n v="2.2000000000000002"/>
    <m/>
    <m/>
    <n v="104.97999999999999"/>
    <m/>
    <m/>
    <m/>
    <m/>
    <n v="0"/>
    <n v="0"/>
    <m/>
    <m/>
    <m/>
    <m/>
    <m/>
    <m/>
    <m/>
    <m/>
    <n v="0"/>
    <n v="0"/>
    <n v="0"/>
    <n v="12"/>
    <n v="12"/>
    <m/>
    <m/>
    <n v="0"/>
    <n v="107.18"/>
    <m/>
    <x v="4"/>
    <m/>
    <m/>
    <m/>
    <m/>
  </r>
  <r>
    <x v="0"/>
    <x v="1"/>
    <s v="6P/1"/>
    <x v="76"/>
    <s v="-"/>
    <s v="0"/>
    <s v="-"/>
    <s v="-"/>
    <n v="0"/>
    <n v="1000"/>
    <s v="PP"/>
    <n v="10"/>
    <n v="159.64999999999998"/>
    <n v="4"/>
    <m/>
    <m/>
    <n v="155.64999999999998"/>
    <m/>
    <m/>
    <m/>
    <m/>
    <n v="0"/>
    <n v="0"/>
    <m/>
    <m/>
    <m/>
    <m/>
    <m/>
    <m/>
    <m/>
    <m/>
    <n v="0"/>
    <n v="0"/>
    <n v="0"/>
    <n v="12"/>
    <n v="12"/>
    <m/>
    <m/>
    <n v="0"/>
    <n v="159.64999999999998"/>
    <m/>
    <x v="4"/>
    <m/>
    <m/>
    <m/>
    <m/>
  </r>
  <r>
    <x v="1"/>
    <x v="1"/>
    <s v="6P/1"/>
    <x v="76"/>
    <s v="-"/>
    <s v="0"/>
    <s v="-"/>
    <s v="-"/>
    <n v="0"/>
    <n v="1000"/>
    <s v="PP"/>
    <n v="11"/>
    <n v="157.83000000000001"/>
    <n v="4.4000000000000004"/>
    <m/>
    <m/>
    <n v="153.43"/>
    <m/>
    <m/>
    <m/>
    <m/>
    <n v="0"/>
    <n v="0"/>
    <m/>
    <m/>
    <m/>
    <m/>
    <m/>
    <m/>
    <m/>
    <m/>
    <n v="0"/>
    <n v="0"/>
    <n v="0"/>
    <n v="12"/>
    <n v="12"/>
    <m/>
    <m/>
    <n v="0"/>
    <n v="157.83000000000001"/>
    <m/>
    <x v="4"/>
    <m/>
    <m/>
    <m/>
    <m/>
  </r>
  <r>
    <x v="0"/>
    <x v="2"/>
    <s v="7171/10"/>
    <x v="76"/>
    <s v="شاہد رمضان اوکاڑہ"/>
    <s v="PP"/>
    <n v="8"/>
    <n v="4.5"/>
    <n v="0"/>
    <n v="100"/>
    <s v="PP"/>
    <n v="2"/>
    <n v="74.319999999999993"/>
    <n v="2"/>
    <m/>
    <m/>
    <n v="72.319999999999993"/>
    <m/>
    <m/>
    <m/>
    <m/>
    <n v="0"/>
    <n v="0"/>
    <m/>
    <m/>
    <m/>
    <m/>
    <m/>
    <m/>
    <m/>
    <m/>
    <n v="0"/>
    <n v="0"/>
    <n v="0"/>
    <n v="12"/>
    <n v="12"/>
    <m/>
    <m/>
    <n v="0"/>
    <n v="74.319999999999993"/>
    <m/>
    <x v="4"/>
    <m/>
    <m/>
    <m/>
    <m/>
  </r>
  <r>
    <x v="0"/>
    <x v="2"/>
    <s v="8/1"/>
    <x v="76"/>
    <s v="سٹاک"/>
    <s v="PP"/>
    <n v="8"/>
    <n v="5"/>
    <n v="0"/>
    <n v="500"/>
    <s v="PP"/>
    <n v="7"/>
    <n v="257.38"/>
    <n v="7.1"/>
    <m/>
    <m/>
    <n v="250.28"/>
    <m/>
    <m/>
    <m/>
    <m/>
    <n v="0"/>
    <n v="0"/>
    <m/>
    <m/>
    <m/>
    <m/>
    <m/>
    <m/>
    <m/>
    <m/>
    <n v="0"/>
    <n v="0"/>
    <n v="0"/>
    <n v="12"/>
    <n v="12"/>
    <m/>
    <m/>
    <n v="0"/>
    <n v="257.38"/>
    <m/>
    <x v="4"/>
    <m/>
    <m/>
    <m/>
    <m/>
  </r>
  <r>
    <x v="1"/>
    <x v="2"/>
    <s v="8/1"/>
    <x v="76"/>
    <s v="سٹاک"/>
    <s v="PP"/>
    <n v="8"/>
    <n v="5"/>
    <n v="0"/>
    <n v="500"/>
    <s v="PP"/>
    <n v="8"/>
    <n v="220.06999999999996"/>
    <n v="6.4"/>
    <m/>
    <m/>
    <n v="213.66999999999996"/>
    <m/>
    <m/>
    <m/>
    <m/>
    <n v="0"/>
    <n v="0"/>
    <m/>
    <m/>
    <m/>
    <m/>
    <m/>
    <m/>
    <m/>
    <m/>
    <n v="0"/>
    <n v="0"/>
    <n v="0"/>
    <n v="12"/>
    <n v="12"/>
    <m/>
    <m/>
    <n v="0"/>
    <n v="220.06999999999996"/>
    <m/>
    <x v="4"/>
    <m/>
    <m/>
    <m/>
    <m/>
  </r>
  <r>
    <x v="1"/>
    <x v="2"/>
    <s v="7171/10"/>
    <x v="76"/>
    <s v="شاہد رمضان اوکاڑہ"/>
    <s v="PP"/>
    <n v="8"/>
    <n v="4.5"/>
    <n v="0"/>
    <n v="100"/>
    <s v="PP"/>
    <n v="2"/>
    <n v="106.60000000000001"/>
    <n v="2.4000000000000004"/>
    <m/>
    <m/>
    <n v="104.2"/>
    <m/>
    <m/>
    <m/>
    <m/>
    <n v="0"/>
    <n v="0"/>
    <m/>
    <m/>
    <m/>
    <m/>
    <m/>
    <m/>
    <m/>
    <m/>
    <n v="0"/>
    <n v="0"/>
    <n v="0"/>
    <n v="12"/>
    <n v="12"/>
    <m/>
    <m/>
    <n v="0"/>
    <n v="106.6"/>
    <m/>
    <x v="4"/>
    <m/>
    <m/>
    <m/>
    <m/>
  </r>
  <r>
    <x v="0"/>
    <x v="3"/>
    <s v="3777 J"/>
    <x v="76"/>
    <s v="Jilani Poly Stock"/>
    <s v="PP"/>
    <n v="18"/>
    <s v="5-5.5"/>
    <s v="1:1"/>
    <n v="0"/>
    <s v="PP"/>
    <n v="2"/>
    <n v="119.68"/>
    <n v="4.3000000000000007"/>
    <m/>
    <m/>
    <n v="115.38000000000001"/>
    <m/>
    <n v="20"/>
    <m/>
    <m/>
    <n v="20"/>
    <n v="0.33333333333333331"/>
    <m/>
    <m/>
    <m/>
    <m/>
    <m/>
    <m/>
    <m/>
    <m/>
    <n v="0"/>
    <n v="0"/>
    <n v="0.33333333333333331"/>
    <n v="11.666666666666666"/>
    <n v="12"/>
    <m/>
    <m/>
    <n v="0"/>
    <n v="119.68"/>
    <m/>
    <x v="4"/>
    <m/>
    <m/>
    <m/>
    <m/>
  </r>
  <r>
    <x v="0"/>
    <x v="3"/>
    <s v="3967 J"/>
    <x v="76"/>
    <s v="Usman Arif Butt Gujranwala"/>
    <s v="PP"/>
    <n v="16"/>
    <n v="10"/>
    <s v="1:1"/>
    <n v="250"/>
    <s v="PP"/>
    <n v="5"/>
    <n v="266.3"/>
    <n v="8.6"/>
    <m/>
    <m/>
    <n v="257.7"/>
    <m/>
    <m/>
    <m/>
    <m/>
    <n v="0"/>
    <n v="0"/>
    <m/>
    <m/>
    <m/>
    <m/>
    <m/>
    <m/>
    <m/>
    <m/>
    <n v="0"/>
    <n v="0"/>
    <n v="0"/>
    <n v="12"/>
    <n v="12"/>
    <m/>
    <m/>
    <n v="0"/>
    <n v="266.3"/>
    <m/>
    <x v="4"/>
    <m/>
    <m/>
    <m/>
    <m/>
  </r>
  <r>
    <x v="0"/>
    <x v="3"/>
    <s v="7168/1"/>
    <x v="76"/>
    <s v="ریفلیکٹ پیک لاہور"/>
    <s v="PP"/>
    <n v="16"/>
    <s v="5.5-6"/>
    <n v="0"/>
    <n v="2000"/>
    <s v="PP"/>
    <n v="6"/>
    <n v="298.39999999999998"/>
    <n v="11.6"/>
    <m/>
    <m/>
    <n v="286.79999999999995"/>
    <m/>
    <m/>
    <m/>
    <m/>
    <n v="0"/>
    <n v="0"/>
    <m/>
    <m/>
    <m/>
    <m/>
    <m/>
    <m/>
    <m/>
    <m/>
    <n v="0"/>
    <n v="0"/>
    <n v="0"/>
    <n v="12"/>
    <n v="12"/>
    <m/>
    <m/>
    <n v="0"/>
    <n v="298.39999999999998"/>
    <m/>
    <x v="4"/>
    <m/>
    <m/>
    <m/>
    <m/>
  </r>
  <r>
    <x v="0"/>
    <x v="3"/>
    <s v="3941 J"/>
    <x v="76"/>
    <s v="Cakes and Bakes Lahore"/>
    <s v="PP"/>
    <n v="17"/>
    <s v="7-7.5/14-15"/>
    <s v="1:1"/>
    <n v="50"/>
    <s v="PP"/>
    <n v="2"/>
    <n v="60.94"/>
    <n v="3.9"/>
    <m/>
    <m/>
    <n v="57.04"/>
    <m/>
    <m/>
    <m/>
    <m/>
    <n v="0"/>
    <n v="0"/>
    <m/>
    <m/>
    <m/>
    <m/>
    <m/>
    <m/>
    <m/>
    <m/>
    <n v="0"/>
    <n v="0"/>
    <n v="0"/>
    <n v="12"/>
    <n v="12"/>
    <m/>
    <m/>
    <n v="0"/>
    <n v="60.94"/>
    <m/>
    <x v="4"/>
    <m/>
    <m/>
    <m/>
    <m/>
  </r>
  <r>
    <x v="0"/>
    <x v="3"/>
    <s v="3915 J"/>
    <x v="76"/>
    <s v="Cakes and Bakes Lahore"/>
    <s v="PP"/>
    <n v="16"/>
    <s v="7-7.5/14-15"/>
    <s v="1:1"/>
    <n v="50"/>
    <s v="PP"/>
    <n v="2"/>
    <n v="65.210000000000008"/>
    <n v="3.8"/>
    <m/>
    <m/>
    <n v="61.410000000000011"/>
    <m/>
    <m/>
    <m/>
    <m/>
    <n v="0"/>
    <n v="0"/>
    <m/>
    <m/>
    <m/>
    <m/>
    <m/>
    <m/>
    <m/>
    <m/>
    <n v="0"/>
    <n v="0"/>
    <n v="0"/>
    <n v="12"/>
    <n v="12"/>
    <m/>
    <m/>
    <n v="0"/>
    <n v="65.210000000000008"/>
    <m/>
    <x v="4"/>
    <m/>
    <m/>
    <m/>
    <m/>
  </r>
  <r>
    <x v="1"/>
    <x v="3"/>
    <s v="7161/1"/>
    <x v="76"/>
    <s v="ملک اعجاز چنوٹ"/>
    <s v="PP"/>
    <n v="2.5"/>
    <n v="5"/>
    <n v="0"/>
    <n v="50"/>
    <s v="PP"/>
    <n v="6"/>
    <n v="294.38"/>
    <n v="11.399999999999999"/>
    <m/>
    <m/>
    <n v="282.98"/>
    <m/>
    <m/>
    <m/>
    <m/>
    <n v="0"/>
    <n v="0"/>
    <m/>
    <m/>
    <m/>
    <m/>
    <m/>
    <m/>
    <m/>
    <m/>
    <n v="0"/>
    <n v="0"/>
    <n v="0"/>
    <n v="12"/>
    <n v="12"/>
    <m/>
    <m/>
    <n v="0"/>
    <n v="294.38"/>
    <m/>
    <x v="4"/>
    <m/>
    <m/>
    <m/>
    <m/>
  </r>
  <r>
    <x v="1"/>
    <x v="3"/>
    <s v="7191/2"/>
    <x v="76"/>
    <s v="العمر پلاسٹک گوجرانوالہ"/>
    <s v="PP"/>
    <n v="16"/>
    <n v="6"/>
    <n v="0"/>
    <n v="1000"/>
    <s v="PP"/>
    <n v="6"/>
    <n v="281.29999999999995"/>
    <n v="9.6000000000000014"/>
    <m/>
    <m/>
    <n v="271.69999999999993"/>
    <m/>
    <m/>
    <m/>
    <m/>
    <n v="0"/>
    <n v="0"/>
    <m/>
    <m/>
    <m/>
    <m/>
    <m/>
    <m/>
    <m/>
    <m/>
    <n v="0"/>
    <n v="0"/>
    <n v="0"/>
    <n v="12"/>
    <n v="12"/>
    <m/>
    <m/>
    <n v="0"/>
    <n v="281.29999999999995"/>
    <m/>
    <x v="4"/>
    <m/>
    <m/>
    <m/>
    <m/>
  </r>
  <r>
    <x v="1"/>
    <x v="3"/>
    <s v="3917 J"/>
    <x v="76"/>
    <s v="Cakes and Bakes Lahore"/>
    <s v="PP"/>
    <n v="16"/>
    <s v="5.5-6"/>
    <s v="1:1"/>
    <n v="250"/>
    <s v="PP"/>
    <n v="5"/>
    <n v="241.43"/>
    <n v="8"/>
    <m/>
    <m/>
    <n v="233.43"/>
    <m/>
    <m/>
    <m/>
    <m/>
    <n v="0"/>
    <n v="0"/>
    <m/>
    <m/>
    <m/>
    <m/>
    <m/>
    <m/>
    <m/>
    <m/>
    <n v="0"/>
    <n v="0"/>
    <n v="0"/>
    <n v="12"/>
    <n v="12"/>
    <m/>
    <m/>
    <n v="0"/>
    <n v="241.43"/>
    <m/>
    <x v="4"/>
    <m/>
    <m/>
    <m/>
    <m/>
  </r>
  <r>
    <x v="0"/>
    <x v="4"/>
    <s v="11/1"/>
    <x v="76"/>
    <s v="سٹاک"/>
    <s v="PP"/>
    <n v="11"/>
    <s v="5-5.5"/>
    <n v="0"/>
    <n v="1000"/>
    <s v="PP"/>
    <n v="4"/>
    <n v="201.39"/>
    <n v="5.4"/>
    <m/>
    <m/>
    <n v="195.98999999999998"/>
    <m/>
    <m/>
    <m/>
    <m/>
    <n v="0"/>
    <n v="0"/>
    <m/>
    <m/>
    <m/>
    <m/>
    <m/>
    <m/>
    <m/>
    <m/>
    <n v="0"/>
    <n v="0"/>
    <n v="0"/>
    <n v="12"/>
    <n v="12"/>
    <m/>
    <m/>
    <n v="0"/>
    <n v="201.39"/>
    <m/>
    <x v="4"/>
    <m/>
    <m/>
    <m/>
    <m/>
  </r>
  <r>
    <x v="0"/>
    <x v="4"/>
    <s v="7191/1"/>
    <x v="76"/>
    <s v="العمر پلاسٹک گوجرانوالہ"/>
    <s v="PP"/>
    <n v="14"/>
    <n v="10"/>
    <n v="0"/>
    <n v="250"/>
    <s v="PP"/>
    <n v="6"/>
    <n v="265.98"/>
    <n v="10.32"/>
    <m/>
    <m/>
    <n v="255.66000000000003"/>
    <m/>
    <m/>
    <m/>
    <m/>
    <n v="0"/>
    <n v="0"/>
    <m/>
    <m/>
    <m/>
    <m/>
    <m/>
    <m/>
    <m/>
    <m/>
    <n v="0"/>
    <n v="0"/>
    <n v="0"/>
    <n v="12"/>
    <n v="12"/>
    <m/>
    <m/>
    <n v="0"/>
    <n v="265.98"/>
    <m/>
    <x v="4"/>
    <m/>
    <m/>
    <m/>
    <m/>
  </r>
  <r>
    <x v="0"/>
    <x v="4"/>
    <s v="15 P"/>
    <x v="76"/>
    <s v="جیلانی پولی سٹاک"/>
    <s v="PP"/>
    <n v="12"/>
    <n v="5"/>
    <n v="0"/>
    <s v="-"/>
    <s v="PP"/>
    <n v="1"/>
    <n v="49.07"/>
    <n v="1.5"/>
    <m/>
    <m/>
    <n v="47.57"/>
    <m/>
    <m/>
    <m/>
    <m/>
    <n v="0"/>
    <n v="0"/>
    <m/>
    <m/>
    <m/>
    <m/>
    <m/>
    <m/>
    <m/>
    <m/>
    <n v="0"/>
    <n v="0"/>
    <n v="0"/>
    <n v="12"/>
    <n v="12"/>
    <m/>
    <m/>
    <n v="0"/>
    <n v="49.07"/>
    <m/>
    <x v="4"/>
    <m/>
    <m/>
    <m/>
    <m/>
  </r>
  <r>
    <x v="1"/>
    <x v="4"/>
    <s v="15 P"/>
    <x v="76"/>
    <s v="جیلانی پولی سٹاک"/>
    <s v="PP"/>
    <n v="12"/>
    <n v="5"/>
    <n v="0"/>
    <s v="-"/>
    <s v="PP"/>
    <n v="12"/>
    <n v="535.54"/>
    <n v="16.799999999999997"/>
    <m/>
    <m/>
    <n v="518.74"/>
    <m/>
    <m/>
    <m/>
    <m/>
    <n v="0"/>
    <n v="0"/>
    <m/>
    <m/>
    <m/>
    <m/>
    <m/>
    <m/>
    <m/>
    <m/>
    <n v="0"/>
    <n v="0"/>
    <n v="0"/>
    <n v="12"/>
    <n v="12"/>
    <m/>
    <m/>
    <n v="0"/>
    <n v="535.54"/>
    <n v="398"/>
    <x v="4"/>
    <m/>
    <m/>
    <m/>
    <m/>
  </r>
  <r>
    <x v="0"/>
    <x v="0"/>
    <s v="3 P"/>
    <x v="77"/>
    <s v="جیلانی پولی سٹاک"/>
    <s v="PP"/>
    <n v="2.5"/>
    <s v="5.5-6"/>
    <n v="0"/>
    <s v="-"/>
    <s v="PP"/>
    <n v="9"/>
    <n v="88.149999999999991"/>
    <n v="1.8"/>
    <n v="22"/>
    <m/>
    <n v="86.35"/>
    <m/>
    <m/>
    <m/>
    <m/>
    <n v="0"/>
    <n v="0"/>
    <m/>
    <m/>
    <m/>
    <m/>
    <m/>
    <m/>
    <m/>
    <m/>
    <n v="0"/>
    <n v="0"/>
    <n v="0"/>
    <n v="12"/>
    <n v="12"/>
    <m/>
    <m/>
    <n v="0"/>
    <n v="88.149999999999977"/>
    <m/>
    <x v="4"/>
    <m/>
    <m/>
    <m/>
    <m/>
  </r>
  <r>
    <x v="1"/>
    <x v="0"/>
    <s v="3 P"/>
    <x v="77"/>
    <s v="جیلانی پولی سٹاک"/>
    <s v="PP"/>
    <n v="2.5"/>
    <s v="5.5-6"/>
    <n v="0"/>
    <s v="-"/>
    <s v="PP"/>
    <n v="9"/>
    <n v="110.61999999999999"/>
    <n v="1.8"/>
    <n v="13"/>
    <m/>
    <n v="108.82"/>
    <m/>
    <m/>
    <m/>
    <m/>
    <n v="0"/>
    <n v="0"/>
    <m/>
    <m/>
    <m/>
    <m/>
    <m/>
    <m/>
    <m/>
    <m/>
    <n v="0"/>
    <n v="0"/>
    <n v="0"/>
    <n v="12"/>
    <n v="12"/>
    <m/>
    <m/>
    <n v="0"/>
    <n v="110.62"/>
    <m/>
    <x v="4"/>
    <m/>
    <m/>
    <m/>
    <m/>
  </r>
  <r>
    <x v="0"/>
    <x v="1"/>
    <s v="6 P"/>
    <x v="77"/>
    <s v="جیلانی پولی سٹاک"/>
    <s v="PP"/>
    <n v="4"/>
    <s v="5.5-6"/>
    <n v="0"/>
    <s v="-"/>
    <s v="PP"/>
    <n v="9"/>
    <n v="133.57"/>
    <n v="3.6"/>
    <m/>
    <m/>
    <n v="129.97"/>
    <m/>
    <m/>
    <m/>
    <m/>
    <n v="0"/>
    <n v="0"/>
    <m/>
    <m/>
    <m/>
    <m/>
    <m/>
    <m/>
    <m/>
    <m/>
    <n v="0"/>
    <n v="0"/>
    <n v="0"/>
    <n v="12"/>
    <n v="12"/>
    <m/>
    <m/>
    <n v="0"/>
    <n v="133.57"/>
    <m/>
    <x v="4"/>
    <m/>
    <m/>
    <m/>
    <m/>
  </r>
  <r>
    <x v="1"/>
    <x v="1"/>
    <s v="6 P"/>
    <x v="77"/>
    <s v="جیلانی پولی سٹاک"/>
    <s v="PP"/>
    <n v="4"/>
    <s v="5.5-6"/>
    <n v="0"/>
    <s v="-"/>
    <s v="PP"/>
    <n v="5"/>
    <n v="80.72"/>
    <n v="2"/>
    <m/>
    <m/>
    <n v="78.72"/>
    <m/>
    <n v="20"/>
    <m/>
    <m/>
    <n v="20"/>
    <n v="0.33333333333333331"/>
    <m/>
    <m/>
    <m/>
    <m/>
    <m/>
    <m/>
    <m/>
    <m/>
    <n v="0"/>
    <n v="0"/>
    <n v="0.33333333333333331"/>
    <n v="11.666666666666666"/>
    <n v="12"/>
    <m/>
    <m/>
    <n v="0"/>
    <n v="80.72"/>
    <m/>
    <x v="4"/>
    <m/>
    <m/>
    <m/>
    <m/>
  </r>
  <r>
    <x v="1"/>
    <x v="1"/>
    <s v="4 P"/>
    <x v="77"/>
    <s v="جیلانی پولی سٹاک"/>
    <s v="PP"/>
    <n v="3"/>
    <s v="5.5-6"/>
    <n v="0"/>
    <s v="-"/>
    <s v="PP"/>
    <n v="7"/>
    <n v="79.36"/>
    <n v="1.7999999999999998"/>
    <m/>
    <m/>
    <n v="77.56"/>
    <m/>
    <m/>
    <m/>
    <m/>
    <n v="0"/>
    <n v="0"/>
    <m/>
    <m/>
    <m/>
    <m/>
    <m/>
    <m/>
    <m/>
    <m/>
    <n v="0"/>
    <n v="0"/>
    <n v="0"/>
    <n v="12"/>
    <n v="12"/>
    <m/>
    <m/>
    <n v="0"/>
    <n v="79.36"/>
    <m/>
    <x v="4"/>
    <m/>
    <m/>
    <m/>
    <m/>
  </r>
  <r>
    <x v="0"/>
    <x v="2"/>
    <s v="7171/4"/>
    <x v="77"/>
    <s v="شاہد رمضان اوکاڑہ"/>
    <s v="PP"/>
    <n v="8"/>
    <n v="4.5"/>
    <n v="0"/>
    <n v="150"/>
    <s v="PP"/>
    <n v="3"/>
    <n v="105.81"/>
    <n v="2.7"/>
    <m/>
    <m/>
    <n v="103.11"/>
    <m/>
    <n v="20"/>
    <m/>
    <m/>
    <n v="20"/>
    <n v="0.33333333333333331"/>
    <m/>
    <m/>
    <m/>
    <m/>
    <m/>
    <m/>
    <m/>
    <m/>
    <n v="0"/>
    <n v="0"/>
    <n v="0.33333333333333331"/>
    <n v="11.666666666666666"/>
    <n v="12"/>
    <m/>
    <m/>
    <n v="0"/>
    <n v="105.81"/>
    <m/>
    <x v="4"/>
    <m/>
    <m/>
    <m/>
    <m/>
  </r>
  <r>
    <x v="0"/>
    <x v="2"/>
    <s v="8/1"/>
    <x v="77"/>
    <s v="سٹاک"/>
    <s v="PP"/>
    <n v="8"/>
    <n v="5"/>
    <n v="0"/>
    <n v="500"/>
    <s v="PP"/>
    <n v="3"/>
    <n v="95.570000000000007"/>
    <n v="2.4000000000000004"/>
    <m/>
    <m/>
    <n v="93.17"/>
    <m/>
    <m/>
    <m/>
    <m/>
    <n v="0"/>
    <n v="0"/>
    <m/>
    <m/>
    <m/>
    <m/>
    <m/>
    <m/>
    <m/>
    <m/>
    <n v="0"/>
    <n v="0"/>
    <n v="0"/>
    <n v="12"/>
    <n v="12"/>
    <m/>
    <m/>
    <n v="0"/>
    <n v="95.57"/>
    <m/>
    <x v="4"/>
    <m/>
    <m/>
    <m/>
    <m/>
  </r>
  <r>
    <x v="0"/>
    <x v="2"/>
    <s v="9/1"/>
    <x v="77"/>
    <s v="سٹاک"/>
    <s v="PP"/>
    <n v="9"/>
    <s v="5-5.5"/>
    <n v="0"/>
    <n v="500"/>
    <s v="PP"/>
    <n v="2"/>
    <n v="55.73"/>
    <n v="1.8"/>
    <m/>
    <m/>
    <n v="53.93"/>
    <m/>
    <m/>
    <m/>
    <m/>
    <n v="0"/>
    <n v="0"/>
    <m/>
    <m/>
    <m/>
    <m/>
    <m/>
    <m/>
    <m/>
    <m/>
    <n v="0"/>
    <n v="0"/>
    <n v="0"/>
    <n v="12"/>
    <n v="12"/>
    <m/>
    <m/>
    <n v="0"/>
    <n v="55.73"/>
    <m/>
    <x v="4"/>
    <m/>
    <m/>
    <m/>
    <m/>
  </r>
  <r>
    <x v="1"/>
    <x v="2"/>
    <s v="9/1"/>
    <x v="77"/>
    <s v="سٹاک"/>
    <s v="PP"/>
    <n v="9"/>
    <s v="5-5.5"/>
    <n v="0"/>
    <n v="500"/>
    <s v="PP"/>
    <n v="8"/>
    <n v="331.96"/>
    <n v="7.2"/>
    <m/>
    <m/>
    <n v="324.76"/>
    <m/>
    <m/>
    <m/>
    <m/>
    <n v="0"/>
    <n v="0"/>
    <m/>
    <m/>
    <m/>
    <m/>
    <m/>
    <m/>
    <m/>
    <m/>
    <n v="0"/>
    <n v="0"/>
    <n v="0"/>
    <n v="12"/>
    <n v="12"/>
    <m/>
    <m/>
    <n v="0"/>
    <n v="331.96"/>
    <m/>
    <x v="4"/>
    <m/>
    <m/>
    <m/>
    <m/>
  </r>
  <r>
    <x v="0"/>
    <x v="3"/>
    <s v="7191/2"/>
    <x v="77"/>
    <s v="العمر پلاسٹک گوجرانوالہ"/>
    <s v="PP"/>
    <n v="16"/>
    <n v="6"/>
    <n v="0"/>
    <n v="1000"/>
    <s v="PP"/>
    <n v="17"/>
    <n v="804.33999999999992"/>
    <n v="27.200000000000003"/>
    <m/>
    <m/>
    <n v="777.13999999999987"/>
    <m/>
    <m/>
    <m/>
    <m/>
    <n v="0"/>
    <n v="0"/>
    <m/>
    <m/>
    <m/>
    <m/>
    <m/>
    <m/>
    <m/>
    <m/>
    <n v="0"/>
    <n v="0"/>
    <n v="0"/>
    <n v="12"/>
    <n v="12"/>
    <m/>
    <m/>
    <n v="0"/>
    <n v="804.34"/>
    <m/>
    <x v="4"/>
    <m/>
    <m/>
    <m/>
    <m/>
  </r>
  <r>
    <x v="1"/>
    <x v="3"/>
    <s v="7191/2"/>
    <x v="77"/>
    <s v="العمر پلاسٹک گوجرانوالہ"/>
    <s v="PP"/>
    <n v="16"/>
    <n v="6"/>
    <n v="0"/>
    <n v="1000"/>
    <s v="PP"/>
    <n v="6"/>
    <n v="279.77000000000004"/>
    <n v="15.719999999999999"/>
    <m/>
    <m/>
    <n v="264.05000000000007"/>
    <m/>
    <m/>
    <m/>
    <m/>
    <n v="0"/>
    <n v="0"/>
    <m/>
    <m/>
    <m/>
    <m/>
    <m/>
    <m/>
    <m/>
    <m/>
    <n v="0"/>
    <n v="0"/>
    <n v="0"/>
    <n v="12"/>
    <n v="12"/>
    <m/>
    <m/>
    <n v="0"/>
    <n v="279.77000000000004"/>
    <m/>
    <x v="4"/>
    <m/>
    <m/>
    <m/>
    <m/>
  </r>
  <r>
    <x v="1"/>
    <x v="3"/>
    <s v="3718 J"/>
    <x v="77"/>
    <s v="Jilani plastic"/>
    <s v="PP"/>
    <n v="16"/>
    <s v="5-5.5"/>
    <s v=".1:1"/>
    <n v="400"/>
    <s v="PP"/>
    <n v="7"/>
    <n v="354.75"/>
    <n v="11.649999999999999"/>
    <m/>
    <m/>
    <n v="343.1"/>
    <m/>
    <m/>
    <m/>
    <m/>
    <n v="0"/>
    <n v="0"/>
    <m/>
    <m/>
    <m/>
    <m/>
    <m/>
    <m/>
    <m/>
    <m/>
    <n v="0"/>
    <n v="0"/>
    <n v="0"/>
    <n v="12"/>
    <n v="12"/>
    <m/>
    <m/>
    <n v="0"/>
    <n v="354.75"/>
    <m/>
    <x v="4"/>
    <m/>
    <m/>
    <m/>
    <m/>
  </r>
  <r>
    <x v="1"/>
    <x v="3"/>
    <s v="3958 J"/>
    <x v="77"/>
    <s v="Atlas Honda LTD (SKP)"/>
    <s v="PP"/>
    <s v="16.75&quot; شیٹ"/>
    <s v="7-7.5/14-15"/>
    <s v="ABA پیور"/>
    <n v="300"/>
    <s v="PP"/>
    <n v="2"/>
    <n v="108.59"/>
    <n v="4"/>
    <m/>
    <m/>
    <n v="104.59"/>
    <m/>
    <m/>
    <m/>
    <m/>
    <n v="0"/>
    <n v="0"/>
    <m/>
    <m/>
    <m/>
    <m/>
    <m/>
    <m/>
    <m/>
    <m/>
    <n v="0"/>
    <n v="0"/>
    <n v="0"/>
    <n v="12"/>
    <n v="12"/>
    <m/>
    <m/>
    <n v="0"/>
    <n v="108.59"/>
    <m/>
    <x v="4"/>
    <m/>
    <m/>
    <m/>
    <m/>
  </r>
  <r>
    <x v="0"/>
    <x v="4"/>
    <s v="12/1"/>
    <x v="77"/>
    <s v="سٹاک"/>
    <s v="PP"/>
    <n v="12"/>
    <n v="5"/>
    <n v="0"/>
    <n v="2000"/>
    <s v="PP"/>
    <n v="12"/>
    <n v="534.79"/>
    <n v="14.7"/>
    <m/>
    <m/>
    <n v="520.08999999999992"/>
    <m/>
    <m/>
    <m/>
    <m/>
    <n v="0"/>
    <n v="0"/>
    <m/>
    <m/>
    <m/>
    <m/>
    <m/>
    <m/>
    <m/>
    <m/>
    <n v="0"/>
    <n v="0"/>
    <n v="0"/>
    <n v="12"/>
    <n v="12"/>
    <m/>
    <m/>
    <n v="0"/>
    <n v="534.79"/>
    <m/>
    <x v="4"/>
    <m/>
    <m/>
    <m/>
    <m/>
  </r>
  <r>
    <x v="1"/>
    <x v="4"/>
    <s v="10/1"/>
    <x v="77"/>
    <s v="سٹاک"/>
    <s v="PP"/>
    <n v="10"/>
    <n v="5"/>
    <n v="0"/>
    <n v="2000"/>
    <s v="PP"/>
    <n v="11"/>
    <n v="532.25"/>
    <n v="13.98"/>
    <m/>
    <m/>
    <n v="518.27"/>
    <m/>
    <n v="20"/>
    <m/>
    <m/>
    <n v="20"/>
    <n v="0.33333333333333331"/>
    <m/>
    <m/>
    <m/>
    <m/>
    <m/>
    <m/>
    <m/>
    <m/>
    <n v="0"/>
    <n v="0"/>
    <n v="0.33333333333333331"/>
    <n v="11.666666666666666"/>
    <n v="12"/>
    <m/>
    <m/>
    <n v="0"/>
    <n v="532.25"/>
    <n v="398"/>
    <x v="4"/>
    <m/>
    <m/>
    <m/>
    <m/>
  </r>
  <r>
    <x v="0"/>
    <x v="0"/>
    <s v="3 P"/>
    <x v="78"/>
    <s v="جیلانی پولی سٹاک"/>
    <s v="PP"/>
    <n v="2.5"/>
    <s v="5.5-6"/>
    <n v="0"/>
    <s v="-"/>
    <s v="PP"/>
    <n v="9"/>
    <n v="74.06"/>
    <n v="1.8"/>
    <n v="31"/>
    <m/>
    <n v="72.260000000000005"/>
    <m/>
    <m/>
    <m/>
    <m/>
    <n v="0"/>
    <n v="0"/>
    <m/>
    <m/>
    <m/>
    <m/>
    <m/>
    <m/>
    <m/>
    <m/>
    <n v="0"/>
    <n v="0"/>
    <n v="0"/>
    <n v="12"/>
    <n v="12"/>
    <m/>
    <m/>
    <n v="0"/>
    <n v="74.06"/>
    <m/>
    <x v="5"/>
    <m/>
    <m/>
    <m/>
    <m/>
  </r>
  <r>
    <x v="1"/>
    <x v="0"/>
    <s v="3 P"/>
    <x v="78"/>
    <s v="جیلانی پولی سٹاک"/>
    <s v="PP"/>
    <n v="2.5"/>
    <s v="5.5-6"/>
    <n v="0"/>
    <s v="-"/>
    <s v="PP"/>
    <n v="9"/>
    <n v="100.75"/>
    <n v="1.8"/>
    <n v="19"/>
    <m/>
    <n v="98.95"/>
    <m/>
    <m/>
    <m/>
    <m/>
    <n v="0"/>
    <n v="0"/>
    <m/>
    <m/>
    <m/>
    <m/>
    <m/>
    <m/>
    <m/>
    <m/>
    <n v="0"/>
    <n v="0"/>
    <n v="0"/>
    <n v="12"/>
    <n v="12"/>
    <m/>
    <m/>
    <n v="0"/>
    <n v="100.75"/>
    <m/>
    <x v="5"/>
    <m/>
    <m/>
    <m/>
    <m/>
  </r>
  <r>
    <x v="0"/>
    <x v="1"/>
    <s v="5 P"/>
    <x v="78"/>
    <s v="جیلانی پولی سٹاک"/>
    <s v="PP"/>
    <n v="3.5"/>
    <s v="5.5-6"/>
    <n v="0"/>
    <s v="-"/>
    <s v="PP"/>
    <n v="12"/>
    <n v="156.31"/>
    <n v="3.5999999999999996"/>
    <m/>
    <m/>
    <n v="152.71"/>
    <m/>
    <m/>
    <m/>
    <m/>
    <n v="0"/>
    <n v="0"/>
    <m/>
    <m/>
    <m/>
    <m/>
    <m/>
    <m/>
    <m/>
    <m/>
    <n v="0"/>
    <n v="0"/>
    <n v="0"/>
    <n v="12"/>
    <n v="12"/>
    <m/>
    <m/>
    <n v="0"/>
    <n v="156.31"/>
    <m/>
    <x v="5"/>
    <m/>
    <m/>
    <m/>
    <m/>
  </r>
  <r>
    <x v="1"/>
    <x v="1"/>
    <s v="5 P"/>
    <x v="78"/>
    <s v="جیلانی پولی سٹاک"/>
    <s v="PP"/>
    <n v="3.5"/>
    <s v="5.5-6"/>
    <n v="0"/>
    <s v="-"/>
    <s v="PP"/>
    <n v="9"/>
    <n v="136.83000000000001"/>
    <n v="2.6999999999999997"/>
    <m/>
    <m/>
    <n v="134.13000000000002"/>
    <m/>
    <m/>
    <m/>
    <m/>
    <n v="0"/>
    <n v="0"/>
    <m/>
    <m/>
    <m/>
    <m/>
    <m/>
    <m/>
    <m/>
    <m/>
    <n v="0"/>
    <n v="0"/>
    <n v="0"/>
    <n v="12"/>
    <n v="12"/>
    <m/>
    <m/>
    <n v="0"/>
    <n v="136.83000000000001"/>
    <m/>
    <x v="5"/>
    <m/>
    <m/>
    <m/>
    <m/>
  </r>
  <r>
    <x v="0"/>
    <x v="2"/>
    <s v="9/1"/>
    <x v="78"/>
    <s v="سٹاک"/>
    <s v="PP"/>
    <n v="9"/>
    <s v="5-5.5"/>
    <n v="0"/>
    <n v="500"/>
    <s v="PP"/>
    <n v="10"/>
    <n v="314.64"/>
    <n v="9.9"/>
    <m/>
    <m/>
    <n v="304.74"/>
    <m/>
    <m/>
    <m/>
    <m/>
    <n v="0"/>
    <n v="0"/>
    <m/>
    <m/>
    <m/>
    <m/>
    <m/>
    <m/>
    <m/>
    <m/>
    <n v="0"/>
    <n v="0"/>
    <n v="0"/>
    <n v="12"/>
    <n v="12"/>
    <m/>
    <m/>
    <n v="0"/>
    <n v="314.64"/>
    <m/>
    <x v="5"/>
    <m/>
    <m/>
    <m/>
    <m/>
  </r>
  <r>
    <x v="1"/>
    <x v="2"/>
    <s v="9/1"/>
    <x v="78"/>
    <s v="سٹاک"/>
    <s v="PP"/>
    <n v="9"/>
    <s v="5-5.5"/>
    <n v="0"/>
    <n v="500"/>
    <s v="PP"/>
    <n v="8"/>
    <n v="314.55"/>
    <n v="7.2"/>
    <m/>
    <m/>
    <n v="307.35000000000002"/>
    <m/>
    <m/>
    <m/>
    <m/>
    <n v="0"/>
    <n v="0"/>
    <m/>
    <m/>
    <m/>
    <m/>
    <m/>
    <m/>
    <m/>
    <m/>
    <n v="0"/>
    <n v="0"/>
    <n v="0"/>
    <n v="12"/>
    <n v="12"/>
    <m/>
    <m/>
    <n v="0"/>
    <n v="314.55"/>
    <m/>
    <x v="5"/>
    <m/>
    <m/>
    <m/>
    <m/>
  </r>
  <r>
    <x v="0"/>
    <x v="3"/>
    <s v="3718 J"/>
    <x v="78"/>
    <s v="Jilani plastic"/>
    <s v="PP"/>
    <n v="16"/>
    <s v="5-5.5"/>
    <s v=".1:1"/>
    <n v="400"/>
    <s v="PP"/>
    <n v="17"/>
    <n v="738.56"/>
    <n v="34"/>
    <m/>
    <m/>
    <n v="704.56"/>
    <m/>
    <m/>
    <m/>
    <m/>
    <n v="0"/>
    <n v="0"/>
    <m/>
    <m/>
    <m/>
    <m/>
    <m/>
    <m/>
    <m/>
    <m/>
    <n v="0"/>
    <n v="0"/>
    <n v="0"/>
    <n v="12"/>
    <n v="12"/>
    <m/>
    <m/>
    <n v="0"/>
    <n v="738.56"/>
    <m/>
    <x v="5"/>
    <m/>
    <m/>
    <m/>
    <m/>
  </r>
  <r>
    <x v="1"/>
    <x v="3"/>
    <s v="3718 J"/>
    <x v="78"/>
    <s v="Jilani plastic"/>
    <s v="PP"/>
    <n v="16"/>
    <s v="5-5.5"/>
    <s v=".1:1"/>
    <n v="400"/>
    <s v="PP"/>
    <n v="3"/>
    <n v="151.61000000000001"/>
    <n v="5.8"/>
    <m/>
    <m/>
    <n v="145.81"/>
    <m/>
    <n v="20"/>
    <m/>
    <m/>
    <n v="20"/>
    <n v="0.33333333333333331"/>
    <m/>
    <m/>
    <n v="120"/>
    <m/>
    <m/>
    <m/>
    <m/>
    <m/>
    <n v="120"/>
    <n v="2"/>
    <n v="2.3333333333333335"/>
    <n v="9.6666666666666661"/>
    <n v="12"/>
    <m/>
    <m/>
    <n v="0"/>
    <n v="151.61000000000001"/>
    <m/>
    <x v="5"/>
    <m/>
    <m/>
    <m/>
    <m/>
  </r>
  <r>
    <x v="1"/>
    <x v="3"/>
    <s v="7191/4"/>
    <x v="78"/>
    <s v="العمر پلاسٹک گوجرانوالہ"/>
    <s v="PP"/>
    <n v="20"/>
    <n v="6"/>
    <n v="0"/>
    <n v="1000"/>
    <s v="PP"/>
    <n v="9"/>
    <n v="510.1"/>
    <n v="21.560000000000002"/>
    <m/>
    <m/>
    <n v="488.54"/>
    <m/>
    <m/>
    <m/>
    <m/>
    <n v="0"/>
    <n v="0"/>
    <m/>
    <m/>
    <m/>
    <m/>
    <m/>
    <m/>
    <m/>
    <m/>
    <n v="0"/>
    <n v="0"/>
    <n v="0"/>
    <n v="12"/>
    <n v="12"/>
    <m/>
    <m/>
    <n v="0"/>
    <n v="510.1"/>
    <m/>
    <x v="5"/>
    <m/>
    <m/>
    <m/>
    <m/>
  </r>
  <r>
    <x v="0"/>
    <x v="4"/>
    <s v="10/1"/>
    <x v="78"/>
    <s v="سٹاک"/>
    <s v="PP"/>
    <n v="10"/>
    <n v="5"/>
    <n v="0"/>
    <n v="2000"/>
    <s v="PP"/>
    <n v="7"/>
    <n v="256.82"/>
    <n v="7"/>
    <m/>
    <m/>
    <n v="249.82"/>
    <m/>
    <m/>
    <m/>
    <m/>
    <n v="0"/>
    <n v="0"/>
    <m/>
    <m/>
    <m/>
    <m/>
    <m/>
    <m/>
    <m/>
    <m/>
    <n v="0"/>
    <n v="0"/>
    <n v="0"/>
    <n v="12"/>
    <n v="12"/>
    <m/>
    <m/>
    <n v="0"/>
    <n v="256.82"/>
    <m/>
    <x v="5"/>
    <m/>
    <m/>
    <m/>
    <m/>
  </r>
  <r>
    <x v="0"/>
    <x v="4"/>
    <s v="7212/1"/>
    <x v="78"/>
    <s v="بلال ازعظم مال کینٹ"/>
    <s v="PP"/>
    <n v="10"/>
    <n v="8"/>
    <n v="0"/>
    <n v="50"/>
    <s v="PP"/>
    <n v="4"/>
    <n v="118.22999999999999"/>
    <n v="4"/>
    <m/>
    <m/>
    <n v="114.22999999999999"/>
    <m/>
    <m/>
    <m/>
    <m/>
    <n v="0"/>
    <n v="0"/>
    <m/>
    <m/>
    <m/>
    <m/>
    <m/>
    <m/>
    <m/>
    <m/>
    <n v="0"/>
    <n v="0"/>
    <n v="0"/>
    <n v="12"/>
    <n v="12"/>
    <m/>
    <m/>
    <n v="0"/>
    <n v="118.23"/>
    <m/>
    <x v="5"/>
    <m/>
    <m/>
    <m/>
    <m/>
  </r>
  <r>
    <x v="1"/>
    <x v="4"/>
    <s v="10/1"/>
    <x v="78"/>
    <s v="سٹاک"/>
    <s v="PP"/>
    <n v="10"/>
    <n v="5"/>
    <n v="0"/>
    <n v="2000"/>
    <s v="PP"/>
    <n v="11"/>
    <n v="488.28999999999996"/>
    <n v="11"/>
    <m/>
    <m/>
    <n v="477.28999999999996"/>
    <m/>
    <m/>
    <m/>
    <m/>
    <n v="0"/>
    <n v="0"/>
    <m/>
    <m/>
    <m/>
    <m/>
    <m/>
    <m/>
    <n v="30"/>
    <m/>
    <n v="30"/>
    <n v="0.5"/>
    <n v="0.5"/>
    <n v="11.5"/>
    <n v="12"/>
    <m/>
    <m/>
    <n v="0"/>
    <n v="488.29"/>
    <m/>
    <x v="5"/>
    <m/>
    <m/>
    <m/>
    <m/>
  </r>
  <r>
    <x v="0"/>
    <x v="0"/>
    <s v="3 P"/>
    <x v="79"/>
    <s v="جیلانی پولی سٹاک"/>
    <s v="PP"/>
    <n v="2.5"/>
    <s v="5.5-6"/>
    <n v="0"/>
    <s v="-"/>
    <s v="PP"/>
    <n v="10"/>
    <n v="99.929999999999993"/>
    <n v="2"/>
    <n v="68"/>
    <m/>
    <n v="97.929999999999993"/>
    <m/>
    <m/>
    <m/>
    <m/>
    <n v="0"/>
    <n v="0"/>
    <m/>
    <m/>
    <m/>
    <m/>
    <m/>
    <m/>
    <m/>
    <m/>
    <n v="0"/>
    <n v="0"/>
    <n v="0"/>
    <n v="12"/>
    <n v="12"/>
    <m/>
    <n v="2462"/>
    <n v="0"/>
    <n v="99.93"/>
    <m/>
    <x v="5"/>
    <m/>
    <m/>
    <m/>
    <m/>
  </r>
  <r>
    <x v="1"/>
    <x v="0"/>
    <s v="7228/2"/>
    <x v="79"/>
    <s v="بلال سویاں سرگودھا"/>
    <s v="PP"/>
    <n v="4.5"/>
    <n v="5"/>
    <n v="0"/>
    <n v="160"/>
    <s v="PP"/>
    <n v="8"/>
    <n v="139.69999999999999"/>
    <n v="3.2"/>
    <n v="54"/>
    <m/>
    <n v="136.5"/>
    <m/>
    <m/>
    <m/>
    <m/>
    <n v="0"/>
    <n v="0"/>
    <m/>
    <m/>
    <m/>
    <m/>
    <m/>
    <m/>
    <m/>
    <m/>
    <n v="0"/>
    <n v="0"/>
    <n v="0"/>
    <n v="12"/>
    <n v="12"/>
    <m/>
    <m/>
    <n v="0"/>
    <n v="139.69999999999999"/>
    <m/>
    <x v="5"/>
    <m/>
    <m/>
    <m/>
    <m/>
  </r>
  <r>
    <x v="0"/>
    <x v="1"/>
    <s v="5 P"/>
    <x v="79"/>
    <s v="جیلانی پولی سٹاک"/>
    <s v="PP"/>
    <n v="3.5"/>
    <s v="5.5-6"/>
    <n v="0"/>
    <s v="-"/>
    <s v="PP"/>
    <n v="12"/>
    <n v="159.89000000000001"/>
    <n v="3.5999999999999996"/>
    <m/>
    <m/>
    <n v="156.29000000000002"/>
    <m/>
    <m/>
    <m/>
    <m/>
    <n v="0"/>
    <n v="0"/>
    <m/>
    <m/>
    <m/>
    <m/>
    <m/>
    <m/>
    <m/>
    <m/>
    <n v="0"/>
    <n v="0"/>
    <n v="0"/>
    <n v="12"/>
    <n v="12"/>
    <m/>
    <m/>
    <n v="0"/>
    <n v="159.88999999999999"/>
    <m/>
    <x v="5"/>
    <m/>
    <m/>
    <m/>
    <m/>
  </r>
  <r>
    <x v="1"/>
    <x v="1"/>
    <s v="7222/6"/>
    <x v="79"/>
    <s v="اصف پلاسٹک سرگودھا"/>
    <s v="PP"/>
    <n v="3.5"/>
    <s v="5"/>
    <n v="0"/>
    <n v="125"/>
    <s v="PP"/>
    <n v="11"/>
    <n v="149.31"/>
    <n v="3.3"/>
    <m/>
    <m/>
    <n v="146.01"/>
    <m/>
    <m/>
    <m/>
    <m/>
    <n v="0"/>
    <n v="0"/>
    <m/>
    <m/>
    <m/>
    <m/>
    <m/>
    <m/>
    <m/>
    <m/>
    <n v="0"/>
    <n v="0"/>
    <n v="0"/>
    <n v="12"/>
    <n v="12"/>
    <m/>
    <m/>
    <n v="0"/>
    <n v="149.31"/>
    <m/>
    <x v="5"/>
    <m/>
    <m/>
    <m/>
    <m/>
  </r>
  <r>
    <x v="0"/>
    <x v="2"/>
    <s v="9/1"/>
    <x v="79"/>
    <s v="سٹاک"/>
    <s v="PP"/>
    <n v="9"/>
    <s v="5-5.5"/>
    <n v="0"/>
    <n v="500"/>
    <s v="PP"/>
    <n v="8"/>
    <n v="282.53000000000003"/>
    <n v="7.2"/>
    <m/>
    <m/>
    <n v="275.33000000000004"/>
    <m/>
    <m/>
    <m/>
    <m/>
    <n v="0"/>
    <n v="0"/>
    <m/>
    <m/>
    <m/>
    <m/>
    <m/>
    <m/>
    <m/>
    <m/>
    <n v="0"/>
    <n v="0"/>
    <n v="0"/>
    <n v="12"/>
    <n v="12"/>
    <m/>
    <m/>
    <n v="0"/>
    <n v="282.53000000000003"/>
    <m/>
    <x v="5"/>
    <m/>
    <m/>
    <m/>
    <m/>
  </r>
  <r>
    <x v="1"/>
    <x v="2"/>
    <s v="9/1"/>
    <x v="79"/>
    <s v="سٹاک"/>
    <s v="PP"/>
    <n v="9"/>
    <s v="5-5.5"/>
    <n v="0"/>
    <n v="500"/>
    <s v="PP"/>
    <n v="7"/>
    <n v="294.67"/>
    <n v="8.5"/>
    <m/>
    <m/>
    <n v="286.17"/>
    <m/>
    <m/>
    <m/>
    <m/>
    <n v="0"/>
    <n v="0"/>
    <m/>
    <m/>
    <m/>
    <m/>
    <m/>
    <m/>
    <m/>
    <m/>
    <n v="0"/>
    <n v="0"/>
    <n v="0"/>
    <n v="12"/>
    <n v="12"/>
    <m/>
    <m/>
    <n v="0"/>
    <n v="294.67"/>
    <m/>
    <x v="5"/>
    <m/>
    <m/>
    <m/>
    <m/>
  </r>
  <r>
    <x v="0"/>
    <x v="3"/>
    <s v="7191/4"/>
    <x v="79"/>
    <s v="العمر پلاسٹک گوجرانوالہ"/>
    <s v="PP"/>
    <n v="20"/>
    <n v="6"/>
    <n v="0"/>
    <n v="1000"/>
    <s v="PP"/>
    <n v="10"/>
    <n v="541.88"/>
    <n v="20"/>
    <m/>
    <m/>
    <n v="521.88"/>
    <m/>
    <n v="30"/>
    <m/>
    <m/>
    <n v="30"/>
    <n v="0.5"/>
    <m/>
    <m/>
    <m/>
    <m/>
    <m/>
    <m/>
    <m/>
    <m/>
    <n v="0"/>
    <n v="0"/>
    <n v="0.5"/>
    <n v="11.5"/>
    <n v="12"/>
    <m/>
    <m/>
    <n v="0"/>
    <n v="541.88"/>
    <m/>
    <x v="5"/>
    <m/>
    <m/>
    <m/>
    <m/>
  </r>
  <r>
    <x v="0"/>
    <x v="3"/>
    <s v="23 P"/>
    <x v="79"/>
    <s v="جیلانی پولی سٹاک"/>
    <s v="PP"/>
    <n v="20"/>
    <n v="5"/>
    <n v="0"/>
    <s v="-"/>
    <s v="PP"/>
    <n v="1"/>
    <n v="56.86"/>
    <n v="2"/>
    <m/>
    <m/>
    <n v="54.86"/>
    <m/>
    <m/>
    <m/>
    <m/>
    <n v="0"/>
    <n v="0"/>
    <m/>
    <m/>
    <m/>
    <m/>
    <m/>
    <m/>
    <m/>
    <m/>
    <n v="0"/>
    <n v="0"/>
    <n v="0"/>
    <n v="12"/>
    <n v="12"/>
    <m/>
    <m/>
    <n v="0"/>
    <n v="56.86"/>
    <m/>
    <x v="5"/>
    <m/>
    <m/>
    <m/>
    <m/>
  </r>
  <r>
    <x v="0"/>
    <x v="3"/>
    <s v="2055 F"/>
    <x v="79"/>
    <s v="Usman Amin"/>
    <s v="PP"/>
    <n v="21"/>
    <s v="24"/>
    <s v="PEVA"/>
    <n v="500"/>
    <s v="PP"/>
    <n v="5"/>
    <n v="174.28"/>
    <n v="13.049999999999999"/>
    <m/>
    <m/>
    <n v="161.22999999999999"/>
    <m/>
    <m/>
    <m/>
    <m/>
    <n v="0"/>
    <n v="0"/>
    <m/>
    <m/>
    <m/>
    <m/>
    <m/>
    <m/>
    <m/>
    <m/>
    <n v="0"/>
    <n v="0"/>
    <n v="0"/>
    <n v="12"/>
    <n v="12"/>
    <m/>
    <m/>
    <n v="0"/>
    <n v="174.28"/>
    <m/>
    <x v="5"/>
    <m/>
    <m/>
    <m/>
    <m/>
  </r>
  <r>
    <x v="1"/>
    <x v="3"/>
    <s v="2055 F"/>
    <x v="79"/>
    <s v="Usman Amin"/>
    <s v="PP"/>
    <n v="21"/>
    <s v="24"/>
    <s v="PEVA"/>
    <n v="500"/>
    <s v="PP"/>
    <n v="7"/>
    <n v="372.77000000000004"/>
    <n v="18.2"/>
    <m/>
    <m/>
    <n v="354.57000000000005"/>
    <m/>
    <n v="20"/>
    <m/>
    <m/>
    <n v="20"/>
    <n v="0.33333333333333331"/>
    <m/>
    <m/>
    <n v="20"/>
    <m/>
    <m/>
    <m/>
    <n v="60"/>
    <m/>
    <n v="80"/>
    <n v="1.3333333333333333"/>
    <n v="1.6666666666666663"/>
    <n v="10.333333333333334"/>
    <n v="12"/>
    <m/>
    <m/>
    <n v="0"/>
    <n v="372.77"/>
    <m/>
    <x v="5"/>
    <m/>
    <m/>
    <m/>
    <m/>
  </r>
  <r>
    <x v="1"/>
    <x v="3"/>
    <s v="23 P"/>
    <x v="79"/>
    <s v="جیلانی پولی سٹاک"/>
    <s v="PP"/>
    <n v="20"/>
    <n v="5"/>
    <n v="0"/>
    <s v="-"/>
    <s v="PP"/>
    <n v="6"/>
    <n v="297.32"/>
    <n v="11.85"/>
    <m/>
    <m/>
    <n v="285.46999999999997"/>
    <m/>
    <m/>
    <m/>
    <m/>
    <n v="0"/>
    <n v="0"/>
    <m/>
    <m/>
    <m/>
    <m/>
    <m/>
    <m/>
    <m/>
    <m/>
    <n v="0"/>
    <n v="0"/>
    <n v="0"/>
    <n v="12"/>
    <n v="12"/>
    <m/>
    <m/>
    <n v="0"/>
    <n v="297.32"/>
    <m/>
    <x v="5"/>
    <m/>
    <m/>
    <m/>
    <m/>
  </r>
  <r>
    <x v="0"/>
    <x v="4"/>
    <s v="10/1"/>
    <x v="79"/>
    <s v="سٹاک"/>
    <s v="PP"/>
    <n v="10"/>
    <n v="5"/>
    <n v="0"/>
    <n v="2000"/>
    <s v="PP"/>
    <n v="11"/>
    <n v="488.72"/>
    <n v="11"/>
    <m/>
    <m/>
    <n v="477.72"/>
    <m/>
    <m/>
    <m/>
    <m/>
    <n v="0"/>
    <n v="0"/>
    <m/>
    <m/>
    <m/>
    <m/>
    <m/>
    <m/>
    <m/>
    <m/>
    <n v="0"/>
    <n v="0"/>
    <n v="0"/>
    <n v="12"/>
    <n v="12"/>
    <m/>
    <m/>
    <n v="0"/>
    <n v="488.72"/>
    <m/>
    <x v="5"/>
    <m/>
    <m/>
    <m/>
    <m/>
  </r>
  <r>
    <x v="1"/>
    <x v="4"/>
    <s v="10/1"/>
    <x v="79"/>
    <s v="سٹاک"/>
    <s v="PP"/>
    <n v="10"/>
    <n v="5"/>
    <n v="0"/>
    <n v="2000"/>
    <s v="PP"/>
    <n v="10"/>
    <n v="445.4500000000001"/>
    <n v="12.2"/>
    <m/>
    <m/>
    <n v="433.25000000000011"/>
    <m/>
    <m/>
    <m/>
    <m/>
    <n v="0"/>
    <n v="0"/>
    <m/>
    <m/>
    <m/>
    <m/>
    <m/>
    <m/>
    <m/>
    <m/>
    <n v="0"/>
    <n v="0"/>
    <n v="0"/>
    <n v="12"/>
    <n v="12"/>
    <m/>
    <m/>
    <n v="0"/>
    <n v="445.4500000000001"/>
    <m/>
    <x v="5"/>
    <m/>
    <m/>
    <m/>
    <m/>
  </r>
  <r>
    <x v="1"/>
    <x v="5"/>
    <s v="7251/1"/>
    <x v="79"/>
    <s v="ریفلیکٹ پیک لاہور"/>
    <s v="PP"/>
    <n v="17"/>
    <s v="5.5-6"/>
    <n v="0"/>
    <n v="5000"/>
    <s v="PP"/>
    <n v="6"/>
    <n v="328.59"/>
    <n v="12.78"/>
    <m/>
    <m/>
    <n v="315.81"/>
    <m/>
    <m/>
    <m/>
    <m/>
    <n v="0"/>
    <n v="0"/>
    <m/>
    <m/>
    <m/>
    <m/>
    <m/>
    <m/>
    <m/>
    <m/>
    <n v="0"/>
    <n v="0"/>
    <n v="0"/>
    <n v="12"/>
    <n v="12"/>
    <m/>
    <m/>
    <n v="0"/>
    <n v="328.59"/>
    <m/>
    <x v="5"/>
    <m/>
    <m/>
    <m/>
    <m/>
  </r>
  <r>
    <x v="1"/>
    <x v="0"/>
    <s v="3 P"/>
    <x v="80"/>
    <s v="جیلانی پولی سٹاک"/>
    <s v="PP"/>
    <n v="2.5"/>
    <s v="5.5-6"/>
    <n v="0"/>
    <s v="-"/>
    <s v="PP"/>
    <n v="4"/>
    <n v="48.14"/>
    <n v="0.8"/>
    <n v="52"/>
    <m/>
    <n v="47.34"/>
    <m/>
    <m/>
    <m/>
    <n v="460"/>
    <n v="460"/>
    <n v="7.666666666666667"/>
    <m/>
    <m/>
    <m/>
    <m/>
    <m/>
    <m/>
    <m/>
    <m/>
    <n v="0"/>
    <n v="0"/>
    <n v="7.666666666666667"/>
    <n v="4.333333333333333"/>
    <n v="12"/>
    <m/>
    <n v="1939"/>
    <n v="0"/>
    <n v="48.14"/>
    <m/>
    <x v="5"/>
    <m/>
    <m/>
    <m/>
    <m/>
  </r>
  <r>
    <x v="1"/>
    <x v="1"/>
    <s v="2 P"/>
    <x v="80"/>
    <s v="جیلانی پولی سٹاک"/>
    <s v="PP"/>
    <n v="2"/>
    <s v="5.5-6"/>
    <n v="0"/>
    <s v="-"/>
    <s v="PP"/>
    <n v="6"/>
    <n v="52.33"/>
    <n v="1.2000000000000002"/>
    <m/>
    <m/>
    <n v="51.129999999999995"/>
    <m/>
    <m/>
    <m/>
    <n v="435"/>
    <n v="435"/>
    <n v="7.25"/>
    <m/>
    <m/>
    <m/>
    <m/>
    <m/>
    <m/>
    <m/>
    <m/>
    <n v="0"/>
    <n v="0"/>
    <n v="7.25"/>
    <n v="4.75"/>
    <n v="12"/>
    <m/>
    <m/>
    <n v="0"/>
    <n v="52.33"/>
    <m/>
    <x v="5"/>
    <m/>
    <m/>
    <m/>
    <m/>
  </r>
  <r>
    <x v="0"/>
    <x v="2"/>
    <s v="9/1"/>
    <x v="80"/>
    <s v="سٹاک"/>
    <s v="PP"/>
    <n v="9"/>
    <s v="5-5.5"/>
    <n v="0"/>
    <n v="500"/>
    <s v="PP"/>
    <n v="4"/>
    <n v="143.74"/>
    <n v="3.6"/>
    <m/>
    <m/>
    <n v="140.14000000000001"/>
    <m/>
    <n v="20"/>
    <m/>
    <m/>
    <n v="20"/>
    <n v="0.33333333333333331"/>
    <m/>
    <m/>
    <m/>
    <m/>
    <m/>
    <m/>
    <m/>
    <m/>
    <n v="0"/>
    <n v="0"/>
    <n v="0.33333333333333331"/>
    <n v="11.666666666666666"/>
    <n v="12"/>
    <m/>
    <m/>
    <n v="0"/>
    <n v="143.74"/>
    <m/>
    <x v="5"/>
    <m/>
    <m/>
    <m/>
    <m/>
  </r>
  <r>
    <x v="0"/>
    <x v="2"/>
    <s v="7/2"/>
    <x v="80"/>
    <s v="سٹاک"/>
    <s v="PP"/>
    <n v="7"/>
    <n v="5"/>
    <n v="0"/>
    <n v="800"/>
    <s v="PP"/>
    <n v="5"/>
    <n v="162.91000000000003"/>
    <n v="3.5999999999999996"/>
    <m/>
    <m/>
    <n v="159.31000000000003"/>
    <m/>
    <m/>
    <m/>
    <m/>
    <n v="0"/>
    <n v="0"/>
    <m/>
    <m/>
    <m/>
    <m/>
    <m/>
    <m/>
    <m/>
    <m/>
    <n v="0"/>
    <n v="0"/>
    <n v="0"/>
    <n v="12"/>
    <n v="12"/>
    <m/>
    <m/>
    <n v="0"/>
    <n v="162.91000000000005"/>
    <m/>
    <x v="5"/>
    <m/>
    <m/>
    <m/>
    <m/>
  </r>
  <r>
    <x v="1"/>
    <x v="2"/>
    <s v="7/2"/>
    <x v="80"/>
    <s v="سٹاک"/>
    <s v="PP"/>
    <n v="7"/>
    <n v="5"/>
    <n v="0"/>
    <n v="800"/>
    <s v="PP"/>
    <n v="7"/>
    <n v="251.73999999999998"/>
    <n v="5.7"/>
    <m/>
    <m/>
    <n v="246.04"/>
    <m/>
    <m/>
    <m/>
    <m/>
    <n v="0"/>
    <n v="0"/>
    <m/>
    <m/>
    <m/>
    <m/>
    <m/>
    <m/>
    <m/>
    <m/>
    <n v="0"/>
    <n v="0"/>
    <n v="0"/>
    <n v="12"/>
    <n v="12"/>
    <m/>
    <m/>
    <n v="0"/>
    <n v="251.74"/>
    <m/>
    <x v="5"/>
    <m/>
    <m/>
    <m/>
    <m/>
  </r>
  <r>
    <x v="0"/>
    <x v="3"/>
    <s v="3968 J"/>
    <x v="80"/>
    <s v="Usman Arif Butt Gujranwala"/>
    <s v="PP"/>
    <n v="20"/>
    <n v="10"/>
    <s v="1:1"/>
    <n v="250"/>
    <s v="PP"/>
    <n v="6"/>
    <n v="310.92"/>
    <n v="12.600000000000001"/>
    <m/>
    <m/>
    <n v="298.32"/>
    <m/>
    <n v="45"/>
    <m/>
    <m/>
    <n v="45"/>
    <n v="0.75"/>
    <m/>
    <m/>
    <m/>
    <m/>
    <m/>
    <m/>
    <m/>
    <m/>
    <n v="0"/>
    <n v="0"/>
    <n v="0.75"/>
    <n v="11.25"/>
    <n v="12"/>
    <m/>
    <m/>
    <n v="0"/>
    <n v="310.92"/>
    <m/>
    <x v="5"/>
    <m/>
    <m/>
    <m/>
    <m/>
  </r>
  <r>
    <x v="0"/>
    <x v="3"/>
    <s v="7194/6"/>
    <x v="80"/>
    <s v="ایم عمران پاکستان مارکیٹ"/>
    <s v="PP"/>
    <n v="19"/>
    <n v="7"/>
    <n v="0"/>
    <n v="400"/>
    <s v="PP"/>
    <n v="11"/>
    <n v="411.46999999999997"/>
    <n v="22"/>
    <m/>
    <m/>
    <n v="389.46999999999997"/>
    <m/>
    <m/>
    <m/>
    <m/>
    <n v="0"/>
    <n v="0"/>
    <m/>
    <m/>
    <m/>
    <m/>
    <m/>
    <m/>
    <m/>
    <m/>
    <n v="0"/>
    <n v="0"/>
    <n v="0"/>
    <n v="12"/>
    <n v="12"/>
    <m/>
    <m/>
    <n v="0"/>
    <n v="411.47"/>
    <m/>
    <x v="5"/>
    <m/>
    <m/>
    <m/>
    <m/>
  </r>
  <r>
    <x v="0"/>
    <x v="3"/>
    <s v="7194/7"/>
    <x v="80"/>
    <s v="ایم عمران پاکستان مارکیٹ"/>
    <s v="PP"/>
    <n v="23"/>
    <n v="7"/>
    <n v="0"/>
    <n v="400"/>
    <s v="PP"/>
    <n v="1"/>
    <n v="56.8"/>
    <n v="2.8"/>
    <m/>
    <m/>
    <n v="54"/>
    <m/>
    <m/>
    <m/>
    <m/>
    <n v="0"/>
    <n v="0"/>
    <m/>
    <m/>
    <m/>
    <m/>
    <m/>
    <m/>
    <m/>
    <m/>
    <n v="0"/>
    <n v="0"/>
    <n v="0"/>
    <n v="12"/>
    <n v="12"/>
    <m/>
    <m/>
    <n v="0"/>
    <n v="56.8"/>
    <m/>
    <x v="5"/>
    <m/>
    <m/>
    <m/>
    <m/>
  </r>
  <r>
    <x v="1"/>
    <x v="3"/>
    <s v="7194/7"/>
    <x v="80"/>
    <s v="ایم عمران پاکستان مارکیٹ"/>
    <s v="PP"/>
    <n v="23"/>
    <n v="7"/>
    <n v="0"/>
    <n v="400"/>
    <s v="PP"/>
    <n v="11"/>
    <n v="467.91999999999996"/>
    <n v="24.029999999999998"/>
    <m/>
    <m/>
    <n v="443.89"/>
    <m/>
    <m/>
    <m/>
    <m/>
    <n v="0"/>
    <n v="0"/>
    <m/>
    <m/>
    <m/>
    <m/>
    <m/>
    <m/>
    <m/>
    <m/>
    <n v="0"/>
    <n v="0"/>
    <n v="0"/>
    <n v="12"/>
    <n v="12"/>
    <m/>
    <m/>
    <n v="0"/>
    <n v="467.92"/>
    <m/>
    <x v="5"/>
    <m/>
    <m/>
    <m/>
    <m/>
  </r>
  <r>
    <x v="1"/>
    <x v="3"/>
    <s v="3719 J"/>
    <x v="80"/>
    <s v="Jilani plastic"/>
    <s v="PP"/>
    <n v="28"/>
    <s v="5-5.5"/>
    <s v=".1:1"/>
    <n v="500"/>
    <s v="PP"/>
    <n v="5"/>
    <n v="286.39000000000004"/>
    <n v="11.8"/>
    <m/>
    <m/>
    <n v="274.59000000000003"/>
    <m/>
    <m/>
    <m/>
    <m/>
    <n v="0"/>
    <n v="0"/>
    <m/>
    <m/>
    <m/>
    <m/>
    <m/>
    <m/>
    <m/>
    <m/>
    <n v="0"/>
    <n v="0"/>
    <n v="0"/>
    <n v="12"/>
    <n v="12"/>
    <m/>
    <m/>
    <n v="0"/>
    <n v="286.39000000000004"/>
    <m/>
    <x v="5"/>
    <m/>
    <m/>
    <m/>
    <m/>
  </r>
  <r>
    <x v="0"/>
    <x v="5"/>
    <s v="7251/1"/>
    <x v="80"/>
    <s v="ریفلیکٹ پیک لاہور"/>
    <s v="PP"/>
    <n v="17"/>
    <s v="5.5-6"/>
    <n v="0"/>
    <n v="5000"/>
    <s v="PP"/>
    <n v="1"/>
    <n v="50.43"/>
    <n v="1.6"/>
    <m/>
    <m/>
    <n v="48.83"/>
    <m/>
    <n v="20"/>
    <m/>
    <m/>
    <n v="20"/>
    <n v="0.33333333333333331"/>
    <m/>
    <m/>
    <n v="690"/>
    <m/>
    <m/>
    <m/>
    <m/>
    <m/>
    <n v="690"/>
    <n v="11.5"/>
    <n v="11.833333333333334"/>
    <n v="0.16666666666666607"/>
    <n v="12"/>
    <m/>
    <m/>
    <n v="0"/>
    <n v="50.43"/>
    <m/>
    <x v="5"/>
    <m/>
    <m/>
    <m/>
    <m/>
  </r>
  <r>
    <x v="0"/>
    <x v="4"/>
    <s v="10/1"/>
    <x v="80"/>
    <s v="سٹاک"/>
    <s v="PP"/>
    <n v="10"/>
    <n v="5"/>
    <n v="0"/>
    <n v="2000"/>
    <s v="PP"/>
    <n v="2"/>
    <n v="93.45"/>
    <n v="2.2199999999999998"/>
    <m/>
    <m/>
    <n v="91.23"/>
    <m/>
    <m/>
    <m/>
    <m/>
    <n v="0"/>
    <n v="0"/>
    <m/>
    <m/>
    <m/>
    <m/>
    <m/>
    <m/>
    <m/>
    <m/>
    <n v="0"/>
    <n v="0"/>
    <n v="0"/>
    <n v="12"/>
    <n v="12"/>
    <m/>
    <m/>
    <n v="0"/>
    <n v="93.45"/>
    <m/>
    <x v="5"/>
    <m/>
    <m/>
    <m/>
    <m/>
  </r>
  <r>
    <x v="0"/>
    <x v="4"/>
    <s v="7202/11"/>
    <x v="80"/>
    <s v="ہیڈ افس سٹاک لاہور"/>
    <s v="PP"/>
    <n v="13"/>
    <n v="7"/>
    <n v="0"/>
    <n v="200"/>
    <s v="PP"/>
    <n v="7"/>
    <n v="319.86999999999995"/>
    <n v="9.57"/>
    <m/>
    <m/>
    <n v="310.29999999999995"/>
    <m/>
    <m/>
    <m/>
    <m/>
    <n v="0"/>
    <n v="0"/>
    <m/>
    <m/>
    <m/>
    <m/>
    <m/>
    <m/>
    <m/>
    <m/>
    <n v="0"/>
    <n v="0"/>
    <n v="0"/>
    <n v="12"/>
    <n v="12"/>
    <m/>
    <m/>
    <n v="0"/>
    <n v="319.86999999999995"/>
    <m/>
    <x v="5"/>
    <m/>
    <m/>
    <m/>
    <m/>
  </r>
  <r>
    <x v="0"/>
    <x v="4"/>
    <s v="2101 F"/>
    <x v="80"/>
    <s v="Usman Amin"/>
    <s v="PP"/>
    <n v="13"/>
    <s v="8"/>
    <s v="پیور"/>
    <n v="100"/>
    <s v="PP"/>
    <n v="3"/>
    <n v="100.38"/>
    <n v="4.5"/>
    <m/>
    <m/>
    <n v="95.88"/>
    <m/>
    <m/>
    <m/>
    <m/>
    <n v="0"/>
    <n v="0"/>
    <m/>
    <m/>
    <m/>
    <m/>
    <m/>
    <m/>
    <m/>
    <m/>
    <n v="0"/>
    <n v="0"/>
    <n v="0"/>
    <n v="12"/>
    <n v="12"/>
    <m/>
    <m/>
    <n v="0"/>
    <n v="100.38"/>
    <m/>
    <x v="5"/>
    <m/>
    <m/>
    <m/>
    <m/>
  </r>
  <r>
    <x v="0"/>
    <x v="4"/>
    <s v="16P/1"/>
    <x v="80"/>
    <s v="جیلانی پولی سٹاک"/>
    <s v="PP"/>
    <n v="13"/>
    <s v="5"/>
    <n v="0"/>
    <n v="500"/>
    <s v="PP"/>
    <n v="3"/>
    <n v="165.85"/>
    <n v="3.9000000000000004"/>
    <m/>
    <m/>
    <n v="161.94999999999999"/>
    <m/>
    <m/>
    <m/>
    <m/>
    <n v="0"/>
    <n v="0"/>
    <m/>
    <m/>
    <m/>
    <m/>
    <m/>
    <m/>
    <m/>
    <m/>
    <n v="0"/>
    <n v="0"/>
    <n v="0"/>
    <n v="12"/>
    <n v="12"/>
    <m/>
    <m/>
    <n v="0"/>
    <n v="165.85"/>
    <m/>
    <x v="5"/>
    <m/>
    <m/>
    <m/>
    <m/>
  </r>
  <r>
    <x v="1"/>
    <x v="4"/>
    <s v="16P/1"/>
    <x v="80"/>
    <s v="جیلانی پولی سٹاک"/>
    <s v="PP"/>
    <n v="13"/>
    <s v="5"/>
    <n v="0"/>
    <n v="500"/>
    <s v="PP"/>
    <n v="12"/>
    <n v="630.31000000000017"/>
    <n v="19.7"/>
    <m/>
    <m/>
    <n v="610.61000000000013"/>
    <m/>
    <m/>
    <m/>
    <m/>
    <n v="0"/>
    <n v="0"/>
    <m/>
    <m/>
    <m/>
    <m/>
    <m/>
    <m/>
    <m/>
    <m/>
    <n v="0"/>
    <n v="0"/>
    <n v="0"/>
    <n v="12"/>
    <n v="12"/>
    <m/>
    <m/>
    <n v="0"/>
    <n v="630.31000000000017"/>
    <m/>
    <x v="5"/>
    <m/>
    <m/>
    <m/>
    <m/>
  </r>
  <r>
    <x v="0"/>
    <x v="0"/>
    <s v="7222/6"/>
    <x v="81"/>
    <s v="اصف پلاسٹک سرگودھا"/>
    <s v="PP"/>
    <n v="3.5"/>
    <s v="5"/>
    <n v="0"/>
    <n v="125"/>
    <s v="PP"/>
    <n v="8"/>
    <n v="81.710000000000008"/>
    <n v="1.6"/>
    <n v="30"/>
    <m/>
    <n v="80.110000000000014"/>
    <m/>
    <m/>
    <n v="90"/>
    <m/>
    <n v="90"/>
    <n v="1.5"/>
    <m/>
    <m/>
    <m/>
    <m/>
    <m/>
    <m/>
    <m/>
    <m/>
    <n v="0"/>
    <n v="0"/>
    <n v="1.5"/>
    <n v="10.5"/>
    <n v="12"/>
    <m/>
    <n v="2085.5"/>
    <n v="0"/>
    <n v="81.709999999999994"/>
    <m/>
    <x v="5"/>
    <m/>
    <m/>
    <m/>
    <m/>
  </r>
  <r>
    <x v="1"/>
    <x v="0"/>
    <s v="7222/6"/>
    <x v="81"/>
    <s v="اصف پلاسٹک سرگودھا"/>
    <s v="PP"/>
    <n v="3.5"/>
    <s v="5"/>
    <n v="0"/>
    <n v="125"/>
    <s v="PP"/>
    <n v="8"/>
    <n v="101.73"/>
    <n v="1.6"/>
    <n v="41"/>
    <m/>
    <n v="100.13000000000001"/>
    <m/>
    <m/>
    <m/>
    <m/>
    <n v="0"/>
    <n v="0"/>
    <m/>
    <m/>
    <m/>
    <m/>
    <m/>
    <m/>
    <m/>
    <m/>
    <n v="0"/>
    <n v="0"/>
    <n v="0"/>
    <n v="12"/>
    <n v="12"/>
    <m/>
    <m/>
    <n v="0"/>
    <n v="101.73"/>
    <m/>
    <x v="5"/>
    <m/>
    <m/>
    <m/>
    <m/>
  </r>
  <r>
    <x v="0"/>
    <x v="1"/>
    <s v="2 P"/>
    <x v="81"/>
    <s v="جیلانی پولی سٹاک"/>
    <s v="PP"/>
    <n v="2"/>
    <s v="5.5-6"/>
    <n v="0"/>
    <s v="-"/>
    <s v="PP"/>
    <n v="4"/>
    <n v="51.5"/>
    <n v="0.8"/>
    <m/>
    <m/>
    <n v="50.7"/>
    <m/>
    <m/>
    <m/>
    <m/>
    <n v="0"/>
    <n v="0"/>
    <m/>
    <m/>
    <n v="120"/>
    <m/>
    <m/>
    <m/>
    <m/>
    <m/>
    <n v="120"/>
    <n v="2"/>
    <n v="2"/>
    <n v="10"/>
    <n v="12"/>
    <m/>
    <m/>
    <n v="0"/>
    <n v="51.5"/>
    <m/>
    <x v="5"/>
    <m/>
    <m/>
    <m/>
    <m/>
  </r>
  <r>
    <x v="1"/>
    <x v="1"/>
    <s v="2 P"/>
    <x v="81"/>
    <s v="جیلانی پولی سٹاک"/>
    <s v="PP"/>
    <n v="2"/>
    <s v="5.5-6"/>
    <n v="0"/>
    <s v="-"/>
    <s v="PP"/>
    <n v="4"/>
    <n v="24.79"/>
    <n v="0.8"/>
    <m/>
    <m/>
    <n v="23.99"/>
    <m/>
    <m/>
    <m/>
    <m/>
    <n v="0"/>
    <n v="0"/>
    <m/>
    <m/>
    <m/>
    <m/>
    <m/>
    <m/>
    <m/>
    <m/>
    <n v="0"/>
    <n v="0"/>
    <n v="0"/>
    <n v="12"/>
    <n v="12"/>
    <m/>
    <m/>
    <n v="0"/>
    <n v="24.79"/>
    <m/>
    <x v="5"/>
    <m/>
    <m/>
    <m/>
    <m/>
  </r>
  <r>
    <x v="1"/>
    <x v="1"/>
    <s v="7252/1"/>
    <x v="81"/>
    <s v="العمر پلاسٹک گوجرانوالہ"/>
    <s v="PP"/>
    <n v="2"/>
    <n v="5"/>
    <n v="0"/>
    <n v="500"/>
    <s v="PP"/>
    <n v="4"/>
    <n v="81.17"/>
    <n v="0.8"/>
    <m/>
    <m/>
    <n v="80.37"/>
    <m/>
    <m/>
    <m/>
    <m/>
    <n v="0"/>
    <n v="0"/>
    <m/>
    <m/>
    <m/>
    <m/>
    <m/>
    <m/>
    <m/>
    <m/>
    <n v="0"/>
    <n v="0"/>
    <n v="0"/>
    <n v="12"/>
    <n v="12"/>
    <m/>
    <m/>
    <n v="0"/>
    <n v="81.17"/>
    <m/>
    <x v="5"/>
    <m/>
    <m/>
    <m/>
    <m/>
  </r>
  <r>
    <x v="0"/>
    <x v="2"/>
    <s v="7/2"/>
    <x v="81"/>
    <s v="سٹاک"/>
    <s v="PP"/>
    <n v="7"/>
    <n v="5"/>
    <n v="0"/>
    <n v="800"/>
    <s v="PP"/>
    <n v="8"/>
    <n v="248.21"/>
    <n v="5.6"/>
    <m/>
    <m/>
    <n v="242.61"/>
    <m/>
    <m/>
    <m/>
    <m/>
    <n v="0"/>
    <n v="0"/>
    <m/>
    <m/>
    <m/>
    <m/>
    <m/>
    <m/>
    <m/>
    <m/>
    <n v="0"/>
    <n v="0"/>
    <n v="0"/>
    <n v="12"/>
    <n v="12"/>
    <m/>
    <m/>
    <n v="0"/>
    <n v="248.21"/>
    <m/>
    <x v="5"/>
    <m/>
    <m/>
    <m/>
    <m/>
  </r>
  <r>
    <x v="1"/>
    <x v="2"/>
    <s v="7218/1"/>
    <x v="81"/>
    <s v="اسد پلاسٹک ملتان"/>
    <s v="PP"/>
    <n v="7"/>
    <n v="4"/>
    <n v="0"/>
    <n v="200"/>
    <s v="PP"/>
    <n v="4"/>
    <n v="134.66999999999999"/>
    <n v="3.2"/>
    <m/>
    <m/>
    <n v="131.47"/>
    <m/>
    <m/>
    <m/>
    <m/>
    <n v="0"/>
    <n v="0"/>
    <m/>
    <m/>
    <n v="160"/>
    <m/>
    <m/>
    <m/>
    <m/>
    <m/>
    <n v="160"/>
    <n v="2.6666666666666665"/>
    <n v="2.6666666666666665"/>
    <n v="9.3333333333333339"/>
    <n v="12"/>
    <m/>
    <m/>
    <n v="0"/>
    <n v="134.66999999999999"/>
    <m/>
    <x v="5"/>
    <m/>
    <m/>
    <m/>
    <m/>
  </r>
  <r>
    <x v="0"/>
    <x v="3"/>
    <s v="3719 J"/>
    <x v="81"/>
    <s v="Jilani plastic"/>
    <s v="PP"/>
    <n v="28"/>
    <s v="5-5.5"/>
    <s v=".1:1"/>
    <n v="500"/>
    <s v="PP"/>
    <n v="14"/>
    <n v="753.56999999999994"/>
    <n v="42"/>
    <m/>
    <m/>
    <n v="711.56999999999994"/>
    <m/>
    <m/>
    <m/>
    <m/>
    <n v="0"/>
    <n v="0"/>
    <m/>
    <m/>
    <m/>
    <m/>
    <m/>
    <m/>
    <m/>
    <m/>
    <n v="0"/>
    <n v="0"/>
    <n v="0"/>
    <n v="12"/>
    <n v="12"/>
    <m/>
    <m/>
    <n v="0"/>
    <n v="753.57"/>
    <m/>
    <x v="5"/>
    <m/>
    <m/>
    <m/>
    <m/>
  </r>
  <r>
    <x v="1"/>
    <x v="3"/>
    <s v="3719 J"/>
    <x v="81"/>
    <s v="Jilani plastic"/>
    <s v="PP"/>
    <n v="28"/>
    <s v="5-5.5"/>
    <s v=".1:1"/>
    <n v="500"/>
    <s v="PP"/>
    <n v="6"/>
    <n v="300.27999999999997"/>
    <n v="18.310000000000002"/>
    <m/>
    <m/>
    <n v="281.96999999999997"/>
    <m/>
    <n v="20"/>
    <m/>
    <m/>
    <n v="20"/>
    <n v="0.33333333333333331"/>
    <m/>
    <m/>
    <m/>
    <m/>
    <m/>
    <m/>
    <m/>
    <m/>
    <n v="0"/>
    <n v="0"/>
    <n v="0.33333333333333331"/>
    <n v="11.666666666666666"/>
    <n v="12"/>
    <m/>
    <m/>
    <n v="0"/>
    <n v="300.27999999999997"/>
    <m/>
    <x v="5"/>
    <m/>
    <m/>
    <m/>
    <m/>
  </r>
  <r>
    <x v="1"/>
    <x v="3"/>
    <s v="7199/1"/>
    <x v="81"/>
    <s v="العمر پلاسٹک گوجرانوالہ"/>
    <s v="PP"/>
    <n v="18"/>
    <n v="6"/>
    <n v="0"/>
    <n v="150"/>
    <s v="PP"/>
    <n v="6"/>
    <n v="281.15999999999997"/>
    <n v="13"/>
    <m/>
    <m/>
    <n v="268.15999999999997"/>
    <m/>
    <m/>
    <m/>
    <m/>
    <n v="0"/>
    <n v="0"/>
    <m/>
    <m/>
    <m/>
    <m/>
    <m/>
    <m/>
    <m/>
    <m/>
    <n v="0"/>
    <n v="0"/>
    <n v="0"/>
    <n v="12"/>
    <n v="12"/>
    <m/>
    <m/>
    <n v="0"/>
    <n v="281.15999999999997"/>
    <m/>
    <x v="5"/>
    <m/>
    <m/>
    <m/>
    <m/>
  </r>
  <r>
    <x v="1"/>
    <x v="3"/>
    <s v="2102 F"/>
    <x v="81"/>
    <s v="Usman Amin"/>
    <s v="PP"/>
    <n v="18"/>
    <s v="7"/>
    <s v="پیور"/>
    <n v="225"/>
    <s v="PP"/>
    <n v="3"/>
    <n v="149.44"/>
    <n v="6.5000000000000009"/>
    <m/>
    <m/>
    <n v="142.94"/>
    <m/>
    <m/>
    <m/>
    <m/>
    <n v="0"/>
    <n v="0"/>
    <m/>
    <m/>
    <m/>
    <m/>
    <m/>
    <m/>
    <m/>
    <m/>
    <n v="0"/>
    <n v="0"/>
    <n v="0"/>
    <n v="12"/>
    <n v="12"/>
    <m/>
    <m/>
    <n v="0"/>
    <n v="149.44"/>
    <m/>
    <x v="5"/>
    <m/>
    <m/>
    <m/>
    <m/>
  </r>
  <r>
    <x v="0"/>
    <x v="4"/>
    <s v="16 P"/>
    <x v="81"/>
    <s v="جیلانی پولی سٹاک"/>
    <s v="PP"/>
    <n v="13"/>
    <n v="5"/>
    <n v="0"/>
    <s v="-"/>
    <s v="PP"/>
    <n v="5"/>
    <n v="273.77999999999997"/>
    <n v="6.5"/>
    <m/>
    <m/>
    <n v="267.27999999999997"/>
    <m/>
    <n v="20"/>
    <m/>
    <m/>
    <n v="20"/>
    <n v="0.33333333333333331"/>
    <m/>
    <m/>
    <m/>
    <m/>
    <m/>
    <m/>
    <m/>
    <m/>
    <n v="0"/>
    <n v="0"/>
    <n v="0.33333333333333331"/>
    <n v="11.666666666666666"/>
    <n v="12"/>
    <m/>
    <m/>
    <n v="0"/>
    <n v="273.77999999999997"/>
    <m/>
    <x v="5"/>
    <m/>
    <m/>
    <m/>
    <m/>
  </r>
  <r>
    <x v="0"/>
    <x v="4"/>
    <s v="3966 J"/>
    <x v="81"/>
    <s v="Usman Arif Butt Gujranwala"/>
    <s v="PP"/>
    <n v="14"/>
    <n v="10"/>
    <s v="1:1"/>
    <n v="400"/>
    <s v="PP"/>
    <n v="6"/>
    <n v="272.39"/>
    <n v="8.3999999999999986"/>
    <m/>
    <m/>
    <n v="263.99"/>
    <m/>
    <m/>
    <m/>
    <m/>
    <n v="0"/>
    <n v="0"/>
    <m/>
    <m/>
    <m/>
    <m/>
    <m/>
    <m/>
    <m/>
    <m/>
    <n v="0"/>
    <n v="0"/>
    <n v="0"/>
    <n v="12"/>
    <n v="12"/>
    <m/>
    <m/>
    <n v="0"/>
    <n v="272.39"/>
    <m/>
    <x v="5"/>
    <m/>
    <m/>
    <m/>
    <m/>
  </r>
  <r>
    <x v="0"/>
    <x v="4"/>
    <s v="14/1"/>
    <x v="81"/>
    <s v="سٹاک"/>
    <s v="PP"/>
    <n v="14"/>
    <n v="5"/>
    <n v="0"/>
    <n v="1000"/>
    <s v="PP"/>
    <n v="2"/>
    <n v="88.6"/>
    <n v="2.8"/>
    <m/>
    <m/>
    <n v="85.8"/>
    <m/>
    <m/>
    <m/>
    <m/>
    <n v="0"/>
    <n v="0"/>
    <m/>
    <m/>
    <m/>
    <m/>
    <m/>
    <m/>
    <m/>
    <m/>
    <n v="0"/>
    <n v="0"/>
    <n v="0"/>
    <n v="12"/>
    <n v="12"/>
    <m/>
    <m/>
    <n v="0"/>
    <n v="88.6"/>
    <m/>
    <x v="5"/>
    <m/>
    <m/>
    <m/>
    <m/>
  </r>
  <r>
    <x v="1"/>
    <x v="4"/>
    <s v="3966 J"/>
    <x v="81"/>
    <s v="Usman Arif Butt Gujranwala"/>
    <s v="PP"/>
    <n v="14"/>
    <n v="10"/>
    <s v="1:1"/>
    <n v="400"/>
    <s v="PP"/>
    <n v="8"/>
    <n v="388.90000000000003"/>
    <n v="14.4"/>
    <m/>
    <m/>
    <n v="374.50000000000006"/>
    <m/>
    <m/>
    <m/>
    <m/>
    <n v="0"/>
    <n v="0"/>
    <m/>
    <m/>
    <m/>
    <m/>
    <m/>
    <m/>
    <m/>
    <m/>
    <n v="0"/>
    <n v="0"/>
    <n v="0"/>
    <n v="12"/>
    <n v="12"/>
    <m/>
    <m/>
    <n v="0"/>
    <n v="388.9"/>
    <m/>
    <x v="5"/>
    <m/>
    <m/>
    <m/>
    <m/>
  </r>
  <r>
    <x v="1"/>
    <x v="4"/>
    <s v="7222/1"/>
    <x v="81"/>
    <s v="اصف پلاسٹک سرگودھا"/>
    <s v="PP"/>
    <n v="14"/>
    <n v="4.5"/>
    <n v="0"/>
    <n v="100"/>
    <s v="PP"/>
    <n v="4"/>
    <n v="219.56"/>
    <n v="7.2"/>
    <m/>
    <m/>
    <n v="212.36"/>
    <m/>
    <m/>
    <m/>
    <m/>
    <n v="0"/>
    <n v="0"/>
    <m/>
    <m/>
    <m/>
    <m/>
    <m/>
    <m/>
    <m/>
    <m/>
    <n v="0"/>
    <n v="0"/>
    <n v="0"/>
    <n v="12"/>
    <n v="12"/>
    <m/>
    <m/>
    <n v="0"/>
    <n v="219.56"/>
    <m/>
    <x v="5"/>
    <m/>
    <m/>
    <m/>
    <m/>
  </r>
  <r>
    <x v="0"/>
    <x v="2"/>
    <s v="8/2"/>
    <x v="82"/>
    <s v="سٹاک"/>
    <s v="PP"/>
    <n v="8"/>
    <n v="5"/>
    <n v="0"/>
    <n v="1000"/>
    <s v="PP"/>
    <n v="3"/>
    <n v="115.05000000000001"/>
    <n v="2.4000000000000004"/>
    <n v="20"/>
    <m/>
    <n v="112.65"/>
    <m/>
    <m/>
    <m/>
    <m/>
    <n v="0"/>
    <n v="0"/>
    <m/>
    <m/>
    <n v="420"/>
    <m/>
    <m/>
    <m/>
    <m/>
    <m/>
    <n v="420"/>
    <n v="7"/>
    <n v="7"/>
    <n v="5"/>
    <n v="12"/>
    <m/>
    <n v="2062"/>
    <n v="0"/>
    <n v="115.05"/>
    <m/>
    <x v="5"/>
    <m/>
    <m/>
    <m/>
    <m/>
  </r>
  <r>
    <x v="1"/>
    <x v="2"/>
    <s v="8/2"/>
    <x v="82"/>
    <s v="سٹاک"/>
    <s v="PP"/>
    <n v="8"/>
    <n v="5"/>
    <n v="0"/>
    <n v="1000"/>
    <s v="PP"/>
    <n v="8"/>
    <n v="304.07000000000005"/>
    <n v="7.2"/>
    <n v="22"/>
    <m/>
    <n v="296.87000000000006"/>
    <m/>
    <m/>
    <m/>
    <m/>
    <n v="0"/>
    <n v="0"/>
    <m/>
    <m/>
    <m/>
    <m/>
    <m/>
    <m/>
    <m/>
    <m/>
    <n v="0"/>
    <n v="0"/>
    <n v="0"/>
    <n v="12"/>
    <n v="12"/>
    <m/>
    <m/>
    <n v="0"/>
    <n v="304.07000000000005"/>
    <m/>
    <x v="5"/>
    <m/>
    <m/>
    <m/>
    <m/>
  </r>
  <r>
    <x v="0"/>
    <x v="3"/>
    <s v="2102 F"/>
    <x v="82"/>
    <s v="Usman Amin"/>
    <s v="PP"/>
    <n v="18"/>
    <s v="7"/>
    <s v="پیور"/>
    <n v="225"/>
    <s v="PP"/>
    <n v="3"/>
    <n v="127.38"/>
    <n v="5.4"/>
    <m/>
    <m/>
    <n v="121.97999999999999"/>
    <m/>
    <n v="20"/>
    <m/>
    <m/>
    <n v="20"/>
    <n v="0.33333333333333331"/>
    <m/>
    <m/>
    <m/>
    <m/>
    <m/>
    <m/>
    <m/>
    <m/>
    <n v="0"/>
    <n v="0"/>
    <n v="0.33333333333333331"/>
    <n v="11.666666666666666"/>
    <n v="12"/>
    <m/>
    <m/>
    <n v="0"/>
    <n v="127.38"/>
    <m/>
    <x v="5"/>
    <m/>
    <m/>
    <m/>
    <m/>
  </r>
  <r>
    <x v="0"/>
    <x v="3"/>
    <s v="7222/3"/>
    <x v="82"/>
    <s v="اصف پلاسٹک سرگودھا"/>
    <s v="PP"/>
    <n v="18"/>
    <n v="4.5"/>
    <n v="0"/>
    <n v="100"/>
    <s v="PP"/>
    <n v="2"/>
    <n v="88.949999999999989"/>
    <n v="3.6"/>
    <m/>
    <m/>
    <n v="85.35"/>
    <m/>
    <m/>
    <m/>
    <m/>
    <n v="0"/>
    <n v="0"/>
    <m/>
    <m/>
    <m/>
    <m/>
    <m/>
    <m/>
    <m/>
    <m/>
    <n v="0"/>
    <n v="0"/>
    <n v="0"/>
    <n v="12"/>
    <n v="12"/>
    <m/>
    <m/>
    <n v="0"/>
    <n v="88.949999999999989"/>
    <m/>
    <x v="5"/>
    <m/>
    <m/>
    <m/>
    <m/>
  </r>
  <r>
    <x v="0"/>
    <x v="3"/>
    <s v="16/2"/>
    <x v="82"/>
    <s v="سٹاک"/>
    <s v="PP"/>
    <n v="16"/>
    <n v="5"/>
    <n v="0"/>
    <n v="500"/>
    <s v="PP"/>
    <n v="11"/>
    <n v="525.06000000000006"/>
    <n v="17.940000000000001"/>
    <m/>
    <m/>
    <n v="507.12000000000006"/>
    <m/>
    <m/>
    <m/>
    <m/>
    <n v="0"/>
    <n v="0"/>
    <m/>
    <m/>
    <m/>
    <m/>
    <m/>
    <m/>
    <m/>
    <m/>
    <n v="0"/>
    <n v="0"/>
    <n v="0"/>
    <n v="12"/>
    <n v="12"/>
    <m/>
    <m/>
    <n v="0"/>
    <n v="525.06000000000006"/>
    <m/>
    <x v="5"/>
    <m/>
    <m/>
    <m/>
    <m/>
  </r>
  <r>
    <x v="1"/>
    <x v="3"/>
    <s v="16/2"/>
    <x v="82"/>
    <s v="سٹاک"/>
    <s v="PP"/>
    <n v="16"/>
    <n v="5"/>
    <n v="0"/>
    <n v="500"/>
    <s v="PP"/>
    <n v="2"/>
    <n v="103.35"/>
    <n v="4"/>
    <m/>
    <m/>
    <n v="99.35"/>
    <m/>
    <n v="10"/>
    <m/>
    <m/>
    <n v="10"/>
    <n v="0.16666666666666666"/>
    <m/>
    <m/>
    <m/>
    <m/>
    <m/>
    <m/>
    <m/>
    <m/>
    <n v="0"/>
    <n v="0"/>
    <n v="0.16666666666666666"/>
    <n v="11.833333333333334"/>
    <n v="12"/>
    <m/>
    <m/>
    <n v="0"/>
    <n v="103.35"/>
    <m/>
    <x v="5"/>
    <m/>
    <m/>
    <m/>
    <m/>
  </r>
  <r>
    <x v="1"/>
    <x v="3"/>
    <s v="2098 f"/>
    <x v="82"/>
    <s v="Usman Amin"/>
    <s v="PP"/>
    <n v="16"/>
    <s v="8"/>
    <s v="پیور"/>
    <n v="100"/>
    <s v="PP"/>
    <n v="5"/>
    <n v="275.58999999999997"/>
    <n v="9.76"/>
    <m/>
    <m/>
    <n v="265.83"/>
    <m/>
    <m/>
    <m/>
    <m/>
    <n v="0"/>
    <n v="0"/>
    <m/>
    <m/>
    <m/>
    <m/>
    <m/>
    <m/>
    <m/>
    <m/>
    <n v="0"/>
    <n v="0"/>
    <n v="0"/>
    <n v="12"/>
    <n v="12"/>
    <m/>
    <m/>
    <n v="0"/>
    <n v="275.58999999999997"/>
    <m/>
    <x v="5"/>
    <m/>
    <m/>
    <m/>
    <m/>
  </r>
  <r>
    <x v="1"/>
    <x v="3"/>
    <s v="7254/2"/>
    <x v="82"/>
    <s v="ایم دین پنڈی"/>
    <s v="PP"/>
    <n v="16"/>
    <n v="15"/>
    <n v="0"/>
    <n v="250"/>
    <s v="PP"/>
    <n v="5"/>
    <n v="269.65999999999997"/>
    <n v="9.73"/>
    <m/>
    <m/>
    <n v="259.92999999999995"/>
    <m/>
    <m/>
    <m/>
    <m/>
    <n v="0"/>
    <n v="0"/>
    <m/>
    <m/>
    <m/>
    <m/>
    <m/>
    <m/>
    <m/>
    <m/>
    <n v="0"/>
    <n v="0"/>
    <n v="0"/>
    <n v="12"/>
    <n v="12"/>
    <m/>
    <m/>
    <n v="0"/>
    <n v="269.65999999999997"/>
    <m/>
    <x v="5"/>
    <m/>
    <m/>
    <m/>
    <m/>
  </r>
  <r>
    <x v="1"/>
    <x v="3"/>
    <s v="7251/1"/>
    <x v="82"/>
    <s v="ریفلیکٹ پیک لاہور"/>
    <s v="PP"/>
    <n v="17"/>
    <s v="5.5-6"/>
    <n v="0"/>
    <n v="5000"/>
    <s v="PP"/>
    <n v="2"/>
    <n v="99.85"/>
    <n v="1.9"/>
    <m/>
    <m/>
    <n v="97.949999999999989"/>
    <m/>
    <m/>
    <m/>
    <m/>
    <n v="0"/>
    <n v="0"/>
    <m/>
    <m/>
    <m/>
    <m/>
    <m/>
    <m/>
    <m/>
    <m/>
    <n v="0"/>
    <n v="0"/>
    <n v="0"/>
    <n v="12"/>
    <n v="12"/>
    <m/>
    <m/>
    <n v="0"/>
    <n v="99.85"/>
    <m/>
    <x v="5"/>
    <m/>
    <m/>
    <m/>
    <m/>
  </r>
  <r>
    <x v="0"/>
    <x v="4"/>
    <s v="14/1"/>
    <x v="82"/>
    <s v="سٹاک"/>
    <s v="PP"/>
    <n v="14"/>
    <n v="5"/>
    <n v="0"/>
    <n v="1000"/>
    <s v="PP"/>
    <n v="13"/>
    <n v="607.51"/>
    <n v="20.8"/>
    <m/>
    <m/>
    <n v="586.71"/>
    <m/>
    <m/>
    <m/>
    <m/>
    <n v="0"/>
    <n v="0"/>
    <m/>
    <m/>
    <m/>
    <m/>
    <m/>
    <m/>
    <m/>
    <m/>
    <n v="0"/>
    <n v="0"/>
    <n v="0"/>
    <n v="12"/>
    <n v="12"/>
    <m/>
    <m/>
    <n v="0"/>
    <n v="607.51"/>
    <m/>
    <x v="5"/>
    <m/>
    <m/>
    <m/>
    <m/>
  </r>
  <r>
    <x v="1"/>
    <x v="4"/>
    <s v="14/1"/>
    <x v="82"/>
    <s v="سٹاک"/>
    <s v="PP"/>
    <n v="14"/>
    <n v="5"/>
    <n v="0"/>
    <n v="1000"/>
    <s v="PP"/>
    <n v="3"/>
    <n v="154.13"/>
    <n v="5.4"/>
    <m/>
    <m/>
    <n v="148.72999999999999"/>
    <m/>
    <n v="20"/>
    <m/>
    <m/>
    <n v="20"/>
    <n v="0.33333333333333331"/>
    <m/>
    <m/>
    <m/>
    <m/>
    <m/>
    <m/>
    <m/>
    <m/>
    <n v="0"/>
    <n v="0"/>
    <n v="0.33333333333333331"/>
    <n v="11.666666666666666"/>
    <n v="12"/>
    <m/>
    <m/>
    <n v="0"/>
    <n v="154.13"/>
    <m/>
    <x v="5"/>
    <m/>
    <m/>
    <m/>
    <m/>
  </r>
  <r>
    <x v="1"/>
    <x v="4"/>
    <s v="12/2"/>
    <x v="82"/>
    <s v="سٹاک"/>
    <s v="PP"/>
    <n v="12"/>
    <n v="5"/>
    <n v="0"/>
    <n v="1000"/>
    <s v="PP"/>
    <n v="7"/>
    <n v="367.21"/>
    <n v="10.99"/>
    <m/>
    <m/>
    <n v="356.21999999999997"/>
    <m/>
    <m/>
    <m/>
    <m/>
    <n v="0"/>
    <n v="0"/>
    <m/>
    <m/>
    <m/>
    <m/>
    <m/>
    <m/>
    <m/>
    <m/>
    <n v="0"/>
    <n v="0"/>
    <n v="0"/>
    <n v="12"/>
    <n v="12"/>
    <m/>
    <m/>
    <n v="0"/>
    <n v="367.21"/>
    <m/>
    <x v="5"/>
    <m/>
    <m/>
    <m/>
    <m/>
  </r>
  <r>
    <x v="0"/>
    <x v="1"/>
    <s v="7252/1"/>
    <x v="82"/>
    <s v="العمر پلاسٹک گوجرانوالہ"/>
    <s v="PP"/>
    <n v="2"/>
    <n v="5"/>
    <n v="0"/>
    <n v="500"/>
    <s v="PP"/>
    <n v="7"/>
    <n v="103.79"/>
    <n v="1.4000000000000001"/>
    <m/>
    <m/>
    <n v="102.39"/>
    <m/>
    <m/>
    <m/>
    <m/>
    <n v="0"/>
    <n v="0"/>
    <m/>
    <m/>
    <m/>
    <m/>
    <m/>
    <m/>
    <m/>
    <m/>
    <n v="0"/>
    <n v="0"/>
    <n v="0"/>
    <n v="12"/>
    <n v="12"/>
    <m/>
    <m/>
    <n v="0"/>
    <n v="103.79"/>
    <m/>
    <x v="5"/>
    <m/>
    <m/>
    <m/>
    <m/>
  </r>
  <r>
    <x v="1"/>
    <x v="1"/>
    <s v="7252/1"/>
    <x v="82"/>
    <s v="العمر پلاسٹک گوجرانوالہ"/>
    <s v="PP"/>
    <n v="2"/>
    <n v="5"/>
    <n v="0"/>
    <n v="500"/>
    <s v="PP"/>
    <n v="7"/>
    <n v="109.82000000000001"/>
    <n v="1.4000000000000001"/>
    <m/>
    <m/>
    <n v="108.42"/>
    <m/>
    <m/>
    <m/>
    <m/>
    <n v="0"/>
    <n v="0"/>
    <m/>
    <m/>
    <m/>
    <m/>
    <m/>
    <m/>
    <m/>
    <m/>
    <n v="0"/>
    <n v="0"/>
    <n v="0"/>
    <n v="12"/>
    <n v="12"/>
    <m/>
    <m/>
    <n v="0"/>
    <n v="109.82"/>
    <m/>
    <x v="5"/>
    <m/>
    <m/>
    <m/>
    <m/>
  </r>
  <r>
    <x v="0"/>
    <x v="0"/>
    <s v="3 P"/>
    <x v="82"/>
    <s v="جیلانی پولی سٹاک"/>
    <s v="PP"/>
    <n v="2.5"/>
    <s v="5.5-6"/>
    <n v="0"/>
    <s v="-"/>
    <s v="PP"/>
    <n v="9"/>
    <n v="97"/>
    <n v="1.8"/>
    <m/>
    <m/>
    <n v="95.2"/>
    <m/>
    <m/>
    <m/>
    <m/>
    <n v="0"/>
    <n v="0"/>
    <m/>
    <m/>
    <m/>
    <m/>
    <m/>
    <m/>
    <m/>
    <m/>
    <n v="0"/>
    <n v="0"/>
    <n v="0"/>
    <n v="12"/>
    <n v="12"/>
    <m/>
    <m/>
    <n v="0"/>
    <n v="97"/>
    <m/>
    <x v="5"/>
    <m/>
    <m/>
    <m/>
    <m/>
  </r>
  <r>
    <x v="1"/>
    <x v="0"/>
    <s v="3 P"/>
    <x v="82"/>
    <s v="جیلانی پولی سٹاک"/>
    <s v="PP"/>
    <n v="2.5"/>
    <s v="5.5-6"/>
    <n v="0"/>
    <s v="-"/>
    <s v="PP"/>
    <n v="8"/>
    <n v="95.639999999999986"/>
    <n v="1.6"/>
    <m/>
    <m/>
    <n v="94.039999999999992"/>
    <m/>
    <m/>
    <m/>
    <m/>
    <n v="0"/>
    <n v="0"/>
    <m/>
    <m/>
    <m/>
    <m/>
    <m/>
    <m/>
    <m/>
    <m/>
    <n v="0"/>
    <n v="0"/>
    <n v="0"/>
    <n v="12"/>
    <n v="12"/>
    <m/>
    <m/>
    <n v="0"/>
    <n v="95.639999999999986"/>
    <n v="398"/>
    <x v="5"/>
    <m/>
    <m/>
    <m/>
    <m/>
  </r>
  <r>
    <x v="0"/>
    <x v="0"/>
    <s v="3 P"/>
    <x v="83"/>
    <s v="جیلانی پولی سٹاک"/>
    <s v="PP"/>
    <n v="2.5"/>
    <s v="5.5-6"/>
    <n v="0"/>
    <s v="-"/>
    <s v="PP"/>
    <n v="8"/>
    <n v="87.05"/>
    <n v="1.6"/>
    <n v="26"/>
    <m/>
    <n v="85.45"/>
    <m/>
    <m/>
    <m/>
    <m/>
    <n v="0"/>
    <n v="0"/>
    <m/>
    <m/>
    <m/>
    <m/>
    <m/>
    <m/>
    <m/>
    <m/>
    <n v="0"/>
    <n v="0"/>
    <n v="0"/>
    <n v="12"/>
    <n v="12"/>
    <m/>
    <s v=" "/>
    <n v="0"/>
    <n v="87.05"/>
    <m/>
    <x v="5"/>
    <m/>
    <m/>
    <m/>
    <m/>
  </r>
  <r>
    <x v="1"/>
    <x v="0"/>
    <s v="3 P"/>
    <x v="83"/>
    <s v="جیلانی پولی سٹاک"/>
    <s v="PP"/>
    <n v="2.5"/>
    <s v="5.5-6"/>
    <n v="0"/>
    <s v="-"/>
    <s v="PP"/>
    <n v="8"/>
    <n v="104.32"/>
    <n v="7.2"/>
    <n v="36"/>
    <m/>
    <n v="97.11999999999999"/>
    <m/>
    <m/>
    <m/>
    <m/>
    <n v="0"/>
    <n v="0"/>
    <m/>
    <m/>
    <m/>
    <m/>
    <m/>
    <m/>
    <m/>
    <m/>
    <n v="0"/>
    <n v="0"/>
    <n v="0"/>
    <n v="12"/>
    <n v="12"/>
    <m/>
    <m/>
    <n v="0"/>
    <n v="104.32"/>
    <m/>
    <x v="5"/>
    <m/>
    <m/>
    <m/>
    <m/>
  </r>
  <r>
    <x v="0"/>
    <x v="1"/>
    <s v="7252/1"/>
    <x v="83"/>
    <s v="العمر پلاسٹک گوجرانوالہ"/>
    <s v="PP"/>
    <n v="2"/>
    <n v="5"/>
    <n v="0"/>
    <n v="500"/>
    <s v="PP"/>
    <n v="3"/>
    <n v="61.87"/>
    <n v="0.60000000000000009"/>
    <m/>
    <m/>
    <n v="61.269999999999996"/>
    <m/>
    <m/>
    <m/>
    <m/>
    <n v="0"/>
    <n v="0"/>
    <m/>
    <m/>
    <m/>
    <m/>
    <m/>
    <m/>
    <m/>
    <m/>
    <n v="0"/>
    <n v="0"/>
    <n v="0"/>
    <n v="12"/>
    <n v="12"/>
    <m/>
    <m/>
    <n v="0"/>
    <n v="61.87"/>
    <m/>
    <x v="5"/>
    <m/>
    <m/>
    <m/>
    <m/>
  </r>
  <r>
    <x v="0"/>
    <x v="1"/>
    <s v="3 P"/>
    <x v="83"/>
    <s v="جیلانی پولی سٹاک"/>
    <s v="PP"/>
    <n v="2.5"/>
    <s v="5.5-6"/>
    <n v="0"/>
    <s v="-"/>
    <s v="PP"/>
    <n v="3"/>
    <n v="28"/>
    <n v="0.60000000000000009"/>
    <m/>
    <m/>
    <n v="27.4"/>
    <m/>
    <m/>
    <m/>
    <m/>
    <n v="0"/>
    <n v="0"/>
    <m/>
    <m/>
    <m/>
    <m/>
    <m/>
    <m/>
    <m/>
    <m/>
    <n v="0"/>
    <n v="0"/>
    <n v="0"/>
    <n v="12"/>
    <n v="12"/>
    <m/>
    <m/>
    <n v="0"/>
    <n v="28"/>
    <m/>
    <x v="5"/>
    <m/>
    <m/>
    <m/>
    <m/>
  </r>
  <r>
    <x v="1"/>
    <x v="1"/>
    <s v="7252/1"/>
    <x v="83"/>
    <s v="العمر پلاسٹک گوجرانوالہ"/>
    <s v="PP"/>
    <n v="2"/>
    <n v="5"/>
    <n v="0"/>
    <n v="500"/>
    <s v="PP"/>
    <n v="4"/>
    <n v="84.56"/>
    <n v="0.8"/>
    <m/>
    <m/>
    <n v="83.76"/>
    <m/>
    <m/>
    <m/>
    <m/>
    <n v="0"/>
    <n v="0"/>
    <m/>
    <m/>
    <m/>
    <m/>
    <m/>
    <m/>
    <m/>
    <m/>
    <n v="0"/>
    <n v="0"/>
    <n v="0"/>
    <n v="12"/>
    <n v="12"/>
    <m/>
    <m/>
    <n v="0"/>
    <n v="84.56"/>
    <m/>
    <x v="5"/>
    <m/>
    <m/>
    <m/>
    <m/>
  </r>
  <r>
    <x v="1"/>
    <x v="1"/>
    <s v="3 P"/>
    <x v="83"/>
    <s v="جیلانی پولی سٹاک"/>
    <s v="PP"/>
    <n v="2.5"/>
    <s v="5.5-6"/>
    <n v="0"/>
    <s v="-"/>
    <s v="PP"/>
    <n v="2"/>
    <n v="20.22"/>
    <n v="0.4"/>
    <m/>
    <m/>
    <n v="19.82"/>
    <m/>
    <m/>
    <m/>
    <m/>
    <n v="0"/>
    <n v="0"/>
    <m/>
    <m/>
    <m/>
    <m/>
    <m/>
    <m/>
    <m/>
    <m/>
    <n v="0"/>
    <n v="0"/>
    <n v="0"/>
    <n v="12"/>
    <n v="12"/>
    <m/>
    <m/>
    <n v="0"/>
    <n v="20.22"/>
    <m/>
    <x v="5"/>
    <m/>
    <m/>
    <m/>
    <m/>
  </r>
  <r>
    <x v="0"/>
    <x v="2"/>
    <s v="8/1"/>
    <x v="83"/>
    <s v="سٹاک"/>
    <s v="PP"/>
    <n v="8"/>
    <n v="5"/>
    <n v="0"/>
    <n v="500"/>
    <s v="PP"/>
    <n v="8"/>
    <n v="281.14"/>
    <n v="6.4"/>
    <m/>
    <m/>
    <n v="274.74"/>
    <m/>
    <m/>
    <m/>
    <m/>
    <n v="0"/>
    <n v="0"/>
    <m/>
    <m/>
    <m/>
    <m/>
    <m/>
    <m/>
    <m/>
    <m/>
    <n v="0"/>
    <n v="0"/>
    <n v="0"/>
    <n v="12"/>
    <n v="12"/>
    <m/>
    <m/>
    <n v="0"/>
    <n v="281.14"/>
    <m/>
    <x v="5"/>
    <m/>
    <m/>
    <m/>
    <m/>
  </r>
  <r>
    <x v="1"/>
    <x v="2"/>
    <s v="8/1"/>
    <x v="83"/>
    <s v="سٹاک"/>
    <s v="PP"/>
    <n v="8"/>
    <n v="5"/>
    <n v="0"/>
    <n v="500"/>
    <s v="PP"/>
    <n v="8"/>
    <n v="319.06"/>
    <n v="7.2"/>
    <m/>
    <m/>
    <n v="311.86"/>
    <m/>
    <m/>
    <m/>
    <m/>
    <n v="0"/>
    <n v="0"/>
    <m/>
    <m/>
    <m/>
    <m/>
    <m/>
    <m/>
    <m/>
    <m/>
    <n v="0"/>
    <n v="0"/>
    <n v="0"/>
    <n v="12"/>
    <n v="12"/>
    <m/>
    <m/>
    <n v="0"/>
    <n v="319.06"/>
    <m/>
    <x v="5"/>
    <m/>
    <m/>
    <m/>
    <m/>
  </r>
  <r>
    <x v="0"/>
    <x v="3"/>
    <s v="7251/2"/>
    <x v="83"/>
    <s v="-"/>
    <m/>
    <m/>
    <m/>
    <m/>
    <m/>
    <s v="PP"/>
    <n v="16"/>
    <n v="767.95"/>
    <n v="27.2"/>
    <m/>
    <m/>
    <n v="740.75"/>
    <m/>
    <m/>
    <m/>
    <m/>
    <n v="0"/>
    <n v="0"/>
    <m/>
    <m/>
    <m/>
    <m/>
    <m/>
    <m/>
    <m/>
    <m/>
    <n v="0"/>
    <n v="0"/>
    <n v="0"/>
    <n v="12"/>
    <n v="12"/>
    <m/>
    <m/>
    <n v="0"/>
    <n v="767.95"/>
    <m/>
    <x v="5"/>
    <m/>
    <m/>
    <m/>
    <m/>
  </r>
  <r>
    <x v="1"/>
    <x v="3"/>
    <s v="7251/2"/>
    <x v="83"/>
    <s v="-"/>
    <m/>
    <m/>
    <m/>
    <m/>
    <m/>
    <s v="PP"/>
    <n v="14"/>
    <n v="740.84"/>
    <n v="23.8"/>
    <m/>
    <m/>
    <n v="717.04000000000008"/>
    <m/>
    <m/>
    <m/>
    <m/>
    <n v="0"/>
    <n v="0"/>
    <m/>
    <m/>
    <m/>
    <m/>
    <m/>
    <m/>
    <m/>
    <m/>
    <n v="0"/>
    <n v="0"/>
    <n v="0"/>
    <n v="12"/>
    <n v="12"/>
    <m/>
    <m/>
    <n v="0"/>
    <n v="740.84"/>
    <m/>
    <x v="5"/>
    <m/>
    <m/>
    <m/>
    <m/>
  </r>
  <r>
    <x v="0"/>
    <x v="4"/>
    <s v="12/1"/>
    <x v="83"/>
    <s v="سٹاک"/>
    <s v="PP"/>
    <n v="12"/>
    <n v="5"/>
    <n v="0"/>
    <n v="2000"/>
    <s v="PP"/>
    <n v="6"/>
    <n v="281.58"/>
    <n v="7.1999999999999993"/>
    <m/>
    <m/>
    <n v="274.38"/>
    <m/>
    <n v="20"/>
    <m/>
    <m/>
    <n v="20"/>
    <n v="0.33333333333333331"/>
    <m/>
    <m/>
    <m/>
    <m/>
    <m/>
    <m/>
    <m/>
    <m/>
    <n v="0"/>
    <n v="0"/>
    <n v="0.33333333333333331"/>
    <n v="11.666666666666666"/>
    <n v="12"/>
    <m/>
    <m/>
    <n v="0"/>
    <n v="281.58"/>
    <m/>
    <x v="5"/>
    <m/>
    <m/>
    <m/>
    <m/>
  </r>
  <r>
    <x v="0"/>
    <x v="4"/>
    <s v="7244/2"/>
    <x v="83"/>
    <s v="لیاقت -لنڈا بازار"/>
    <s v="PP"/>
    <n v="12"/>
    <s v="6.5-7"/>
    <n v="0"/>
    <n v="50"/>
    <s v="PP"/>
    <n v="8"/>
    <n v="249.11"/>
    <n v="9.6"/>
    <m/>
    <m/>
    <n v="239.51000000000002"/>
    <m/>
    <m/>
    <m/>
    <m/>
    <n v="0"/>
    <n v="0"/>
    <m/>
    <m/>
    <m/>
    <m/>
    <m/>
    <m/>
    <m/>
    <m/>
    <n v="0"/>
    <n v="0"/>
    <n v="0"/>
    <n v="12"/>
    <n v="12"/>
    <m/>
    <m/>
    <n v="0"/>
    <n v="249.11"/>
    <m/>
    <x v="5"/>
    <m/>
    <m/>
    <m/>
    <m/>
  </r>
  <r>
    <x v="1"/>
    <x v="4"/>
    <s v="7222/2"/>
    <x v="83"/>
    <s v="اصف پلاسٹک سرگودھا"/>
    <s v="PP"/>
    <n v="12"/>
    <n v="4.5"/>
    <n v="0"/>
    <n v="100"/>
    <s v="PP"/>
    <n v="6"/>
    <n v="322.83"/>
    <n v="8.129999999999999"/>
    <m/>
    <m/>
    <n v="314.7"/>
    <m/>
    <m/>
    <m/>
    <m/>
    <n v="0"/>
    <n v="0"/>
    <m/>
    <m/>
    <m/>
    <m/>
    <m/>
    <m/>
    <m/>
    <m/>
    <n v="0"/>
    <n v="0"/>
    <n v="0"/>
    <n v="12"/>
    <n v="12"/>
    <m/>
    <m/>
    <n v="0"/>
    <n v="322.83"/>
    <m/>
    <x v="5"/>
    <m/>
    <m/>
    <m/>
    <m/>
  </r>
  <r>
    <x v="1"/>
    <x v="4"/>
    <s v="7244/1"/>
    <x v="83"/>
    <s v="لیاقت -لنڈا بازار"/>
    <s v="PP"/>
    <n v="11"/>
    <s v="6.5-7"/>
    <n v="0"/>
    <n v="50"/>
    <s v="PP"/>
    <n v="4"/>
    <n v="111.97"/>
    <n v="4.5999999999999996"/>
    <m/>
    <m/>
    <n v="107.37"/>
    <m/>
    <m/>
    <m/>
    <m/>
    <n v="0"/>
    <n v="0"/>
    <m/>
    <m/>
    <m/>
    <m/>
    <m/>
    <m/>
    <m/>
    <m/>
    <n v="0"/>
    <n v="0"/>
    <n v="0"/>
    <n v="12"/>
    <n v="12"/>
    <m/>
    <m/>
    <n v="0"/>
    <n v="111.97"/>
    <m/>
    <x v="5"/>
    <m/>
    <m/>
    <m/>
    <m/>
  </r>
  <r>
    <x v="1"/>
    <x v="4"/>
    <s v="11/2"/>
    <x v="83"/>
    <s v="سٹاک"/>
    <s v="PP"/>
    <n v="11"/>
    <s v="5-5.5"/>
    <n v="0"/>
    <n v="500"/>
    <s v="PP"/>
    <n v="1"/>
    <n v="44.09"/>
    <n v="1.1499999999999999"/>
    <m/>
    <m/>
    <n v="42.940000000000005"/>
    <m/>
    <m/>
    <m/>
    <m/>
    <n v="0"/>
    <n v="0"/>
    <m/>
    <m/>
    <m/>
    <m/>
    <m/>
    <m/>
    <m/>
    <m/>
    <n v="0"/>
    <n v="0"/>
    <n v="0"/>
    <n v="12"/>
    <n v="12"/>
    <m/>
    <m/>
    <n v="0"/>
    <n v="44.09"/>
    <m/>
    <x v="5"/>
    <m/>
    <m/>
    <m/>
    <m/>
  </r>
  <r>
    <x v="0"/>
    <x v="0"/>
    <s v="3 P"/>
    <x v="84"/>
    <s v="جیلانی پولی سٹاک"/>
    <s v="PP"/>
    <n v="2.5"/>
    <s v="5.5-6"/>
    <n v="0"/>
    <s v="-"/>
    <s v="PP"/>
    <n v="7"/>
    <n v="85.339999999999989"/>
    <n v="1.4000000000000001"/>
    <n v="32"/>
    <m/>
    <n v="83.939999999999984"/>
    <m/>
    <m/>
    <m/>
    <m/>
    <n v="0"/>
    <n v="0"/>
    <m/>
    <m/>
    <m/>
    <m/>
    <m/>
    <m/>
    <m/>
    <m/>
    <n v="0"/>
    <n v="0"/>
    <n v="0"/>
    <n v="12"/>
    <n v="12"/>
    <m/>
    <n v="1982"/>
    <n v="0"/>
    <n v="85.339999999999989"/>
    <n v="398"/>
    <x v="5"/>
    <m/>
    <m/>
    <m/>
    <m/>
  </r>
  <r>
    <x v="1"/>
    <x v="0"/>
    <s v="2114 F"/>
    <x v="84"/>
    <s v="Usman Amin"/>
    <s v="PP"/>
    <n v="2.5"/>
    <s v="5.5-6"/>
    <s v="PP"/>
    <n v="150"/>
    <s v="PP"/>
    <n v="3"/>
    <n v="72.66"/>
    <n v="0.60000000000000009"/>
    <n v="32"/>
    <m/>
    <n v="72.06"/>
    <m/>
    <m/>
    <m/>
    <m/>
    <n v="0"/>
    <n v="0"/>
    <m/>
    <m/>
    <m/>
    <m/>
    <m/>
    <m/>
    <m/>
    <m/>
    <n v="0"/>
    <n v="0"/>
    <n v="0"/>
    <n v="12"/>
    <n v="12"/>
    <m/>
    <m/>
    <n v="0"/>
    <n v="72.66"/>
    <m/>
    <x v="5"/>
    <m/>
    <m/>
    <m/>
    <m/>
  </r>
  <r>
    <x v="1"/>
    <x v="0"/>
    <s v="2114 F"/>
    <x v="84"/>
    <s v="Usman Amin"/>
    <s v="PP"/>
    <n v="2.5"/>
    <s v="5.5-6"/>
    <s v="PP"/>
    <n v="150"/>
    <s v="PP"/>
    <n v="1"/>
    <n v="11.8"/>
    <n v="0.2"/>
    <m/>
    <m/>
    <n v="11.600000000000001"/>
    <m/>
    <m/>
    <m/>
    <m/>
    <n v="0"/>
    <n v="0"/>
    <m/>
    <m/>
    <m/>
    <m/>
    <m/>
    <m/>
    <m/>
    <m/>
    <n v="0"/>
    <n v="0"/>
    <n v="0"/>
    <n v="12"/>
    <n v="12"/>
    <m/>
    <m/>
    <n v="0"/>
    <n v="11.8"/>
    <m/>
    <x v="5"/>
    <m/>
    <m/>
    <m/>
    <m/>
  </r>
  <r>
    <x v="0"/>
    <x v="1"/>
    <s v="7252/1"/>
    <x v="84"/>
    <s v="العمر پلاسٹک گوجرانوالہ"/>
    <s v="PP"/>
    <n v="2"/>
    <n v="5"/>
    <n v="0"/>
    <n v="500"/>
    <s v="PP"/>
    <n v="5"/>
    <n v="108.99"/>
    <n v="1"/>
    <m/>
    <m/>
    <n v="107.99"/>
    <m/>
    <m/>
    <m/>
    <m/>
    <n v="0"/>
    <n v="0"/>
    <m/>
    <m/>
    <m/>
    <m/>
    <m/>
    <m/>
    <m/>
    <m/>
    <n v="0"/>
    <n v="0"/>
    <n v="0"/>
    <n v="12"/>
    <n v="12"/>
    <m/>
    <m/>
    <n v="0"/>
    <n v="108.99"/>
    <m/>
    <x v="5"/>
    <m/>
    <m/>
    <m/>
    <m/>
  </r>
  <r>
    <x v="1"/>
    <x v="1"/>
    <s v="7252/1"/>
    <x v="84"/>
    <s v="العمر پلاسٹک گوجرانوالہ"/>
    <s v="PP"/>
    <n v="2"/>
    <n v="5"/>
    <n v="0"/>
    <n v="500"/>
    <s v="PP"/>
    <n v="6"/>
    <n v="104.27"/>
    <n v="1.2000000000000002"/>
    <m/>
    <m/>
    <n v="103.07"/>
    <m/>
    <m/>
    <m/>
    <m/>
    <n v="0"/>
    <n v="0"/>
    <m/>
    <m/>
    <m/>
    <m/>
    <m/>
    <m/>
    <m/>
    <m/>
    <n v="0"/>
    <n v="0"/>
    <n v="0"/>
    <n v="12"/>
    <n v="12"/>
    <m/>
    <m/>
    <n v="0"/>
    <n v="104.27"/>
    <m/>
    <x v="5"/>
    <m/>
    <m/>
    <m/>
    <m/>
  </r>
  <r>
    <x v="0"/>
    <x v="2"/>
    <s v="8/2"/>
    <x v="84"/>
    <s v="سٹاک"/>
    <s v="PP"/>
    <n v="8"/>
    <n v="5"/>
    <n v="0"/>
    <n v="1000"/>
    <s v="PP"/>
    <n v="7"/>
    <n v="243.96"/>
    <n v="6.3"/>
    <m/>
    <m/>
    <n v="237.66"/>
    <m/>
    <n v="20"/>
    <m/>
    <m/>
    <n v="20"/>
    <n v="0.33333333333333331"/>
    <m/>
    <m/>
    <m/>
    <m/>
    <m/>
    <m/>
    <m/>
    <m/>
    <n v="0"/>
    <n v="0"/>
    <n v="0.33333333333333331"/>
    <n v="11.666666666666666"/>
    <n v="12"/>
    <m/>
    <m/>
    <n v="0"/>
    <n v="243.96"/>
    <m/>
    <x v="5"/>
    <m/>
    <m/>
    <m/>
    <m/>
  </r>
  <r>
    <x v="0"/>
    <x v="2"/>
    <s v="7/3"/>
    <x v="84"/>
    <s v="سٹاک"/>
    <s v="PP"/>
    <n v="7"/>
    <n v="5"/>
    <n v="0"/>
    <n v="500"/>
    <s v="PP"/>
    <n v="1"/>
    <n v="29.99"/>
    <n v="0.8"/>
    <m/>
    <m/>
    <n v="29.189999999999998"/>
    <m/>
    <m/>
    <m/>
    <m/>
    <n v="0"/>
    <n v="0"/>
    <m/>
    <m/>
    <m/>
    <m/>
    <m/>
    <m/>
    <m/>
    <m/>
    <n v="0"/>
    <n v="0"/>
    <n v="0"/>
    <n v="12"/>
    <n v="12"/>
    <m/>
    <m/>
    <n v="0"/>
    <n v="29.99"/>
    <m/>
    <x v="5"/>
    <m/>
    <m/>
    <m/>
    <m/>
  </r>
  <r>
    <x v="1"/>
    <x v="2"/>
    <s v="7/3"/>
    <x v="84"/>
    <s v="سٹاک"/>
    <s v="PP"/>
    <n v="7"/>
    <n v="5"/>
    <n v="0"/>
    <n v="500"/>
    <s v="PP"/>
    <n v="8"/>
    <n v="240.74000000000004"/>
    <n v="6.4"/>
    <m/>
    <m/>
    <n v="234.34000000000003"/>
    <m/>
    <m/>
    <m/>
    <m/>
    <n v="0"/>
    <n v="0"/>
    <m/>
    <m/>
    <m/>
    <m/>
    <m/>
    <m/>
    <m/>
    <m/>
    <n v="0"/>
    <n v="0"/>
    <n v="0"/>
    <n v="12"/>
    <n v="12"/>
    <m/>
    <m/>
    <n v="0"/>
    <n v="240.74000000000004"/>
    <m/>
    <x v="5"/>
    <m/>
    <m/>
    <m/>
    <m/>
  </r>
  <r>
    <x v="0"/>
    <x v="3"/>
    <s v="7251/1"/>
    <x v="84"/>
    <s v="ریفلیکٹ پیک لاہور"/>
    <s v="PP"/>
    <n v="17"/>
    <s v="5.5-6"/>
    <n v="0"/>
    <n v="5000"/>
    <s v="PP"/>
    <n v="14"/>
    <n v="801.00999999999988"/>
    <n v="23.8"/>
    <m/>
    <m/>
    <n v="777.20999999999992"/>
    <m/>
    <m/>
    <m/>
    <m/>
    <n v="0"/>
    <n v="0"/>
    <m/>
    <m/>
    <m/>
    <m/>
    <m/>
    <m/>
    <m/>
    <m/>
    <n v="0"/>
    <n v="0"/>
    <n v="0"/>
    <n v="12"/>
    <n v="12"/>
    <m/>
    <m/>
    <n v="0"/>
    <n v="801.00999999999988"/>
    <m/>
    <x v="5"/>
    <m/>
    <m/>
    <m/>
    <m/>
  </r>
  <r>
    <x v="1"/>
    <x v="3"/>
    <s v="7251/1"/>
    <x v="84"/>
    <s v="ریفلیکٹ پیک لاہور"/>
    <s v="PP"/>
    <n v="17"/>
    <s v="5.5-6"/>
    <n v="0"/>
    <n v="5000"/>
    <s v="PP"/>
    <n v="17"/>
    <n v="797.26"/>
    <n v="32.4"/>
    <m/>
    <m/>
    <n v="764.86"/>
    <m/>
    <m/>
    <m/>
    <m/>
    <n v="0"/>
    <n v="0"/>
    <m/>
    <m/>
    <m/>
    <m/>
    <m/>
    <m/>
    <m/>
    <m/>
    <n v="0"/>
    <n v="0"/>
    <n v="0"/>
    <n v="12"/>
    <n v="12"/>
    <m/>
    <m/>
    <n v="0"/>
    <n v="797.26"/>
    <m/>
    <x v="5"/>
    <m/>
    <m/>
    <m/>
    <m/>
  </r>
  <r>
    <x v="0"/>
    <x v="4"/>
    <s v="11/2"/>
    <x v="84"/>
    <s v="سٹاک"/>
    <s v="PP"/>
    <n v="11"/>
    <s v="5-5.5"/>
    <n v="0"/>
    <n v="500"/>
    <s v="PP"/>
    <n v="10"/>
    <n v="503.49"/>
    <n v="11.5"/>
    <m/>
    <m/>
    <n v="491.99"/>
    <m/>
    <m/>
    <m/>
    <m/>
    <n v="0"/>
    <n v="0"/>
    <m/>
    <m/>
    <m/>
    <m/>
    <m/>
    <m/>
    <m/>
    <m/>
    <n v="0"/>
    <n v="0"/>
    <n v="0"/>
    <n v="12"/>
    <n v="12"/>
    <m/>
    <m/>
    <n v="0"/>
    <n v="503.49"/>
    <m/>
    <x v="5"/>
    <m/>
    <m/>
    <m/>
    <m/>
  </r>
  <r>
    <x v="1"/>
    <x v="4"/>
    <s v="10/2"/>
    <x v="84"/>
    <s v="سٹاک"/>
    <s v="PP"/>
    <n v="10"/>
    <n v="5"/>
    <n v="0"/>
    <n v="1000"/>
    <s v="PP"/>
    <n v="5"/>
    <n v="184.43999999999997"/>
    <n v="5"/>
    <m/>
    <m/>
    <n v="179.43999999999997"/>
    <m/>
    <n v="20"/>
    <m/>
    <m/>
    <n v="20"/>
    <n v="0.33333333333333331"/>
    <m/>
    <n v="80"/>
    <m/>
    <m/>
    <m/>
    <m/>
    <m/>
    <m/>
    <n v="80"/>
    <n v="1.3333333333333333"/>
    <n v="1.6666666666666663"/>
    <n v="10.333333333333334"/>
    <n v="12"/>
    <m/>
    <m/>
    <n v="0"/>
    <n v="184.43999999999997"/>
    <m/>
    <x v="5"/>
    <m/>
    <m/>
    <m/>
    <m/>
  </r>
  <r>
    <x v="1"/>
    <x v="4"/>
    <s v="7254/1"/>
    <x v="84"/>
    <s v="ایم دین پنڈی"/>
    <s v="PP"/>
    <n v="10"/>
    <n v="15"/>
    <n v="0"/>
    <n v="250"/>
    <s v="PP"/>
    <n v="8"/>
    <n v="218.22"/>
    <n v="8"/>
    <m/>
    <m/>
    <n v="210.22"/>
    <m/>
    <m/>
    <m/>
    <m/>
    <n v="0"/>
    <n v="0"/>
    <m/>
    <m/>
    <m/>
    <m/>
    <m/>
    <m/>
    <m/>
    <m/>
    <n v="0"/>
    <n v="0"/>
    <n v="0"/>
    <n v="12"/>
    <n v="12"/>
    <m/>
    <m/>
    <n v="0"/>
    <n v="218.22"/>
    <m/>
    <x v="5"/>
    <m/>
    <m/>
    <m/>
    <m/>
  </r>
  <r>
    <x v="1"/>
    <x v="4"/>
    <s v="11/2"/>
    <x v="84"/>
    <s v="سٹاک"/>
    <s v="PP"/>
    <n v="11"/>
    <s v="5-5.5"/>
    <n v="0"/>
    <n v="500"/>
    <s v="PP"/>
    <n v="2"/>
    <n v="61.79"/>
    <n v="2.2000000000000002"/>
    <m/>
    <m/>
    <n v="59.589999999999996"/>
    <m/>
    <m/>
    <m/>
    <m/>
    <n v="0"/>
    <n v="0"/>
    <m/>
    <m/>
    <m/>
    <m/>
    <m/>
    <m/>
    <m/>
    <m/>
    <n v="0"/>
    <n v="0"/>
    <n v="0"/>
    <n v="12"/>
    <n v="12"/>
    <m/>
    <m/>
    <n v="0"/>
    <n v="61.79"/>
    <m/>
    <x v="5"/>
    <m/>
    <m/>
    <m/>
    <m/>
  </r>
  <r>
    <x v="0"/>
    <x v="0"/>
    <s v="2114 F"/>
    <x v="85"/>
    <s v="Usman Amin"/>
    <s v="PP"/>
    <n v="2.5"/>
    <s v="5.5-6"/>
    <s v="PP"/>
    <n v="150"/>
    <s v="PP"/>
    <n v="6"/>
    <n v="103.51"/>
    <n v="1.2000000000000002"/>
    <n v="23"/>
    <m/>
    <n v="102.31"/>
    <m/>
    <m/>
    <m/>
    <m/>
    <n v="0"/>
    <n v="0"/>
    <m/>
    <m/>
    <m/>
    <m/>
    <m/>
    <m/>
    <m/>
    <m/>
    <n v="0"/>
    <n v="0"/>
    <n v="0"/>
    <n v="12"/>
    <n v="12"/>
    <m/>
    <n v="2030"/>
    <n v="0"/>
    <m/>
    <m/>
    <x v="6"/>
    <m/>
    <m/>
    <m/>
    <m/>
  </r>
  <r>
    <x v="1"/>
    <x v="0"/>
    <s v="3 P"/>
    <x v="85"/>
    <s v="جیلانی پولی سٹاک"/>
    <s v="PP"/>
    <n v="2.5"/>
    <s v="5.5-6"/>
    <n v="0"/>
    <s v="-"/>
    <s v="PP"/>
    <n v="8"/>
    <n v="88.350000000000009"/>
    <n v="1.6"/>
    <n v="58"/>
    <m/>
    <n v="86.750000000000014"/>
    <m/>
    <m/>
    <m/>
    <m/>
    <n v="0"/>
    <n v="0"/>
    <m/>
    <m/>
    <m/>
    <m/>
    <m/>
    <m/>
    <m/>
    <m/>
    <n v="0"/>
    <n v="0"/>
    <n v="0"/>
    <n v="12"/>
    <n v="12"/>
    <m/>
    <m/>
    <n v="0"/>
    <m/>
    <m/>
    <x v="6"/>
    <m/>
    <m/>
    <m/>
    <m/>
  </r>
  <r>
    <x v="0"/>
    <x v="1"/>
    <s v="2 P"/>
    <x v="85"/>
    <s v="جیلانی پولی سٹاک"/>
    <s v="PP"/>
    <n v="2"/>
    <s v="5.5-6"/>
    <n v="0"/>
    <s v="-"/>
    <s v="PP"/>
    <n v="8"/>
    <n v="92.11"/>
    <n v="1.6"/>
    <m/>
    <m/>
    <n v="90.51"/>
    <m/>
    <n v="10"/>
    <m/>
    <m/>
    <n v="10"/>
    <n v="0.16666666666666666"/>
    <m/>
    <m/>
    <m/>
    <m/>
    <m/>
    <m/>
    <m/>
    <m/>
    <n v="0"/>
    <n v="0"/>
    <n v="0.16666666666666666"/>
    <n v="11.833333333333334"/>
    <n v="12"/>
    <m/>
    <m/>
    <n v="0"/>
    <m/>
    <m/>
    <x v="6"/>
    <m/>
    <m/>
    <m/>
    <m/>
  </r>
  <r>
    <x v="1"/>
    <x v="1"/>
    <s v="7222/7"/>
    <x v="85"/>
    <s v="اصف پلاسٹک سرگودھا"/>
    <s v="PP"/>
    <n v="4"/>
    <n v="4.5"/>
    <n v="0"/>
    <n v="250"/>
    <s v="PP"/>
    <n v="1"/>
    <n v="15.32"/>
    <n v="0.4"/>
    <m/>
    <m/>
    <n v="14.92"/>
    <m/>
    <m/>
    <m/>
    <m/>
    <n v="0"/>
    <n v="0"/>
    <m/>
    <m/>
    <n v="180"/>
    <m/>
    <m/>
    <m/>
    <m/>
    <m/>
    <n v="180"/>
    <n v="3"/>
    <n v="3"/>
    <n v="9"/>
    <n v="12"/>
    <m/>
    <m/>
    <n v="0"/>
    <m/>
    <m/>
    <x v="6"/>
    <m/>
    <m/>
    <m/>
    <m/>
  </r>
  <r>
    <x v="1"/>
    <x v="1"/>
    <s v="7222/7"/>
    <x v="85"/>
    <s v="اصف پلاسٹک سرگودھا"/>
    <s v="PP"/>
    <n v="4"/>
    <n v="4.5"/>
    <n v="0"/>
    <n v="250"/>
    <s v="PP"/>
    <n v="10"/>
    <n v="96.3"/>
    <n v="4"/>
    <m/>
    <m/>
    <n v="92.3"/>
    <m/>
    <m/>
    <m/>
    <m/>
    <n v="0"/>
    <n v="0"/>
    <m/>
    <m/>
    <m/>
    <m/>
    <m/>
    <m/>
    <m/>
    <m/>
    <n v="0"/>
    <n v="0"/>
    <n v="0"/>
    <n v="12"/>
    <n v="12"/>
    <m/>
    <m/>
    <n v="0"/>
    <m/>
    <m/>
    <x v="6"/>
    <m/>
    <m/>
    <m/>
    <m/>
  </r>
  <r>
    <x v="0"/>
    <x v="2"/>
    <s v="7/3"/>
    <x v="85"/>
    <s v="سٹاک"/>
    <s v="PP"/>
    <n v="7"/>
    <n v="5"/>
    <n v="0"/>
    <n v="500"/>
    <s v="PP"/>
    <n v="5"/>
    <n v="164.61"/>
    <n v="4"/>
    <m/>
    <m/>
    <n v="160.61000000000001"/>
    <m/>
    <m/>
    <m/>
    <m/>
    <n v="0"/>
    <n v="0"/>
    <m/>
    <m/>
    <m/>
    <m/>
    <m/>
    <m/>
    <m/>
    <m/>
    <n v="0"/>
    <n v="0"/>
    <n v="0"/>
    <n v="12"/>
    <n v="12"/>
    <m/>
    <m/>
    <n v="0"/>
    <m/>
    <m/>
    <x v="6"/>
    <m/>
    <m/>
    <m/>
    <m/>
  </r>
  <r>
    <x v="0"/>
    <x v="2"/>
    <s v="7194/9"/>
    <x v="85"/>
    <s v="ایم عمران پاکستان مارکیٹ"/>
    <s v="PP"/>
    <n v="7"/>
    <n v="5.5"/>
    <n v="0"/>
    <n v="100"/>
    <s v="PP"/>
    <n v="4"/>
    <n v="105.84"/>
    <n v="3.2"/>
    <m/>
    <m/>
    <n v="102.64"/>
    <m/>
    <m/>
    <m/>
    <m/>
    <n v="0"/>
    <n v="0"/>
    <m/>
    <m/>
    <m/>
    <m/>
    <m/>
    <m/>
    <m/>
    <m/>
    <n v="0"/>
    <n v="0"/>
    <n v="0"/>
    <n v="12"/>
    <n v="12"/>
    <m/>
    <m/>
    <n v="0"/>
    <m/>
    <m/>
    <x v="6"/>
    <m/>
    <m/>
    <m/>
    <m/>
  </r>
  <r>
    <x v="1"/>
    <x v="2"/>
    <s v="7/3"/>
    <x v="85"/>
    <s v="سٹاک"/>
    <s v="PP"/>
    <n v="7"/>
    <n v="5"/>
    <n v="0"/>
    <n v="500"/>
    <s v="PP"/>
    <n v="10"/>
    <n v="282.96999999999997"/>
    <n v="7"/>
    <m/>
    <m/>
    <n v="275.96999999999997"/>
    <m/>
    <n v="30"/>
    <m/>
    <m/>
    <n v="30"/>
    <n v="0.5"/>
    <m/>
    <m/>
    <m/>
    <m/>
    <m/>
    <m/>
    <m/>
    <m/>
    <n v="0"/>
    <n v="0"/>
    <n v="0.5"/>
    <n v="11.5"/>
    <n v="12"/>
    <m/>
    <m/>
    <n v="0"/>
    <m/>
    <m/>
    <x v="6"/>
    <m/>
    <m/>
    <m/>
    <m/>
  </r>
  <r>
    <x v="0"/>
    <x v="3"/>
    <s v="7251/1"/>
    <x v="85"/>
    <s v="ریفلیکٹ پیک لاہور"/>
    <s v="PP"/>
    <n v="17"/>
    <s v="5.5-6"/>
    <n v="0"/>
    <n v="5000"/>
    <s v="PP"/>
    <n v="13"/>
    <n v="656.18999999999994"/>
    <n v="23.179999999999996"/>
    <m/>
    <m/>
    <n v="633.01"/>
    <m/>
    <m/>
    <m/>
    <m/>
    <n v="0"/>
    <n v="0"/>
    <m/>
    <m/>
    <m/>
    <m/>
    <m/>
    <m/>
    <m/>
    <m/>
    <n v="0"/>
    <n v="0"/>
    <n v="0"/>
    <n v="12"/>
    <n v="12"/>
    <m/>
    <m/>
    <n v="0"/>
    <m/>
    <m/>
    <x v="6"/>
    <m/>
    <m/>
    <m/>
    <m/>
  </r>
  <r>
    <x v="0"/>
    <x v="3"/>
    <s v="7268/1"/>
    <x v="85"/>
    <s v="ایم بلال وحدت روڈ"/>
    <s v="PP"/>
    <n v="17"/>
    <s v="8.5-9"/>
    <n v="0"/>
    <n v="100"/>
    <s v="PP"/>
    <n v="2"/>
    <n v="112.13"/>
    <n v="3.9"/>
    <m/>
    <m/>
    <n v="108.22999999999999"/>
    <m/>
    <m/>
    <m/>
    <m/>
    <n v="0"/>
    <n v="0"/>
    <m/>
    <m/>
    <m/>
    <m/>
    <m/>
    <m/>
    <m/>
    <m/>
    <n v="0"/>
    <n v="0"/>
    <n v="0"/>
    <n v="12"/>
    <n v="12"/>
    <m/>
    <m/>
    <n v="0"/>
    <m/>
    <m/>
    <x v="6"/>
    <m/>
    <m/>
    <m/>
    <m/>
  </r>
  <r>
    <x v="1"/>
    <x v="3"/>
    <s v="7251/1"/>
    <x v="85"/>
    <s v="ریفلیکٹ پیک لاہور"/>
    <s v="PP"/>
    <n v="17"/>
    <s v="5.5-6"/>
    <n v="0"/>
    <n v="5000"/>
    <s v="PP"/>
    <n v="12"/>
    <n v="631.82999999999993"/>
    <n v="22.799999999999997"/>
    <m/>
    <m/>
    <n v="609.03"/>
    <m/>
    <m/>
    <m/>
    <m/>
    <n v="0"/>
    <n v="0"/>
    <m/>
    <m/>
    <m/>
    <m/>
    <m/>
    <m/>
    <n v="40"/>
    <m/>
    <n v="40"/>
    <n v="0.66666666666666663"/>
    <n v="0.66666666666666663"/>
    <n v="11.333333333333334"/>
    <n v="12"/>
    <m/>
    <m/>
    <n v="0"/>
    <m/>
    <m/>
    <x v="6"/>
    <m/>
    <m/>
    <m/>
    <m/>
  </r>
  <r>
    <x v="0"/>
    <x v="4"/>
    <s v="7254/1"/>
    <x v="85"/>
    <s v="ایم دین پنڈی"/>
    <s v="PP"/>
    <n v="10"/>
    <n v="15"/>
    <n v="0"/>
    <n v="250"/>
    <s v="PP"/>
    <n v="3"/>
    <n v="100.35"/>
    <n v="3.3000000000000003"/>
    <m/>
    <m/>
    <n v="97.05"/>
    <m/>
    <n v="20"/>
    <m/>
    <m/>
    <n v="20"/>
    <n v="0.33333333333333331"/>
    <m/>
    <m/>
    <m/>
    <m/>
    <m/>
    <m/>
    <n v="30"/>
    <m/>
    <n v="30"/>
    <n v="0.5"/>
    <n v="0.83333333333333326"/>
    <n v="11.166666666666666"/>
    <n v="12"/>
    <m/>
    <m/>
    <n v="0"/>
    <m/>
    <m/>
    <x v="6"/>
    <m/>
    <m/>
    <m/>
    <m/>
  </r>
  <r>
    <x v="0"/>
    <x v="4"/>
    <s v="10/3"/>
    <x v="85"/>
    <s v="سٹاک"/>
    <s v="PP"/>
    <n v="10"/>
    <n v="5"/>
    <n v="0"/>
    <n v="500"/>
    <s v="PP"/>
    <n v="8"/>
    <n v="349.99"/>
    <n v="8.8000000000000007"/>
    <m/>
    <m/>
    <n v="341.19"/>
    <m/>
    <m/>
    <m/>
    <m/>
    <n v="0"/>
    <n v="0"/>
    <m/>
    <m/>
    <m/>
    <m/>
    <m/>
    <m/>
    <m/>
    <m/>
    <n v="0"/>
    <n v="0"/>
    <n v="0"/>
    <n v="12"/>
    <n v="12"/>
    <m/>
    <m/>
    <n v="0"/>
    <m/>
    <m/>
    <x v="6"/>
    <m/>
    <m/>
    <m/>
    <m/>
  </r>
  <r>
    <x v="1"/>
    <x v="4"/>
    <s v="14/2"/>
    <x v="85"/>
    <s v="سٹاک"/>
    <s v="PP"/>
    <n v="14"/>
    <n v="5"/>
    <n v="0"/>
    <n v="2000"/>
    <s v="PP"/>
    <n v="13"/>
    <n v="545.61999999999989"/>
    <n v="22.099999999999998"/>
    <m/>
    <m/>
    <n v="523.51999999999987"/>
    <m/>
    <m/>
    <m/>
    <m/>
    <n v="0"/>
    <n v="0"/>
    <m/>
    <m/>
    <n v="30"/>
    <m/>
    <m/>
    <m/>
    <m/>
    <m/>
    <n v="30"/>
    <n v="0.5"/>
    <n v="0.5"/>
    <n v="11.5"/>
    <n v="12"/>
    <m/>
    <m/>
    <n v="0"/>
    <m/>
    <m/>
    <x v="6"/>
    <m/>
    <m/>
    <m/>
    <m/>
  </r>
  <r>
    <x v="0"/>
    <x v="0"/>
    <s v="7222/7"/>
    <x v="86"/>
    <s v="اصف پلاسٹک سرگودھا"/>
    <s v="PP"/>
    <n v="4"/>
    <n v="4.5"/>
    <n v="0"/>
    <n v="250"/>
    <s v="PP"/>
    <n v="2"/>
    <n v="29.29"/>
    <n v="0.8"/>
    <m/>
    <m/>
    <n v="28.49"/>
    <m/>
    <m/>
    <m/>
    <m/>
    <n v="0"/>
    <n v="0"/>
    <m/>
    <m/>
    <m/>
    <m/>
    <m/>
    <m/>
    <m/>
    <m/>
    <n v="0"/>
    <n v="0"/>
    <n v="0"/>
    <n v="12"/>
    <n v="12"/>
    <m/>
    <n v="2088.5"/>
    <n v="0"/>
    <m/>
    <m/>
    <x v="6"/>
    <m/>
    <m/>
    <m/>
    <m/>
  </r>
  <r>
    <x v="0"/>
    <x v="0"/>
    <s v="4/2"/>
    <x v="86"/>
    <s v="سٹاک"/>
    <s v="PP"/>
    <n v="4"/>
    <s v="5-5.5"/>
    <n v="0"/>
    <n v="600"/>
    <s v="PP"/>
    <n v="9"/>
    <n v="111.71000000000001"/>
    <n v="3.6"/>
    <n v="20"/>
    <m/>
    <n v="108.11000000000001"/>
    <m/>
    <m/>
    <m/>
    <m/>
    <n v="0"/>
    <n v="0"/>
    <m/>
    <m/>
    <m/>
    <m/>
    <m/>
    <m/>
    <m/>
    <m/>
    <n v="0"/>
    <n v="0"/>
    <n v="0"/>
    <n v="12"/>
    <n v="12"/>
    <m/>
    <m/>
    <n v="0"/>
    <m/>
    <m/>
    <x v="6"/>
    <m/>
    <m/>
    <m/>
    <m/>
  </r>
  <r>
    <x v="1"/>
    <x v="0"/>
    <s v="4/2"/>
    <x v="86"/>
    <s v="سٹاک"/>
    <s v="PP"/>
    <n v="4"/>
    <s v="5-5.5"/>
    <n v="0"/>
    <n v="600"/>
    <s v="PP"/>
    <n v="15"/>
    <n v="137.25"/>
    <n v="6"/>
    <n v="29"/>
    <m/>
    <n v="131.25"/>
    <m/>
    <m/>
    <m/>
    <m/>
    <n v="0"/>
    <n v="0"/>
    <m/>
    <m/>
    <m/>
    <m/>
    <m/>
    <m/>
    <m/>
    <m/>
    <n v="0"/>
    <n v="0"/>
    <n v="0"/>
    <n v="12"/>
    <n v="12"/>
    <m/>
    <m/>
    <n v="0"/>
    <m/>
    <m/>
    <x v="6"/>
    <m/>
    <m/>
    <m/>
    <m/>
  </r>
  <r>
    <x v="0"/>
    <x v="1"/>
    <s v="3 P"/>
    <x v="86"/>
    <s v="جیلانی پولی سٹاک"/>
    <s v="PP"/>
    <n v="2.5"/>
    <s v="5.5-6"/>
    <n v="0"/>
    <s v="-"/>
    <s v="PP"/>
    <n v="9"/>
    <n v="107.13000000000002"/>
    <n v="1.8"/>
    <m/>
    <m/>
    <n v="105.33000000000003"/>
    <m/>
    <m/>
    <m/>
    <m/>
    <n v="0"/>
    <n v="0"/>
    <m/>
    <m/>
    <m/>
    <m/>
    <m/>
    <m/>
    <m/>
    <m/>
    <n v="0"/>
    <n v="0"/>
    <n v="0"/>
    <n v="12"/>
    <n v="12"/>
    <m/>
    <m/>
    <n v="0"/>
    <m/>
    <m/>
    <x v="6"/>
    <m/>
    <m/>
    <m/>
    <m/>
  </r>
  <r>
    <x v="1"/>
    <x v="1"/>
    <s v="3 P"/>
    <x v="86"/>
    <s v="جیلانی پولی سٹاک"/>
    <s v="PP"/>
    <n v="2.5"/>
    <s v="5.5-6"/>
    <n v="0"/>
    <s v="-"/>
    <s v="PP"/>
    <n v="9"/>
    <n v="90.73"/>
    <n v="1.8"/>
    <m/>
    <m/>
    <n v="88.93"/>
    <m/>
    <m/>
    <m/>
    <m/>
    <n v="0"/>
    <n v="0"/>
    <m/>
    <m/>
    <m/>
    <m/>
    <m/>
    <m/>
    <n v="30"/>
    <m/>
    <n v="30"/>
    <n v="0.5"/>
    <n v="0.5"/>
    <n v="11.5"/>
    <n v="12"/>
    <m/>
    <m/>
    <n v="0"/>
    <m/>
    <m/>
    <x v="6"/>
    <m/>
    <m/>
    <m/>
    <m/>
  </r>
  <r>
    <x v="0"/>
    <x v="2"/>
    <s v="4032 J"/>
    <x v="86"/>
    <s v="Ibtsam Traders Sheikhupura"/>
    <s v="PP"/>
    <n v="8"/>
    <s v="7.5-8"/>
    <s v="1:1"/>
    <n v="120"/>
    <s v="PP"/>
    <n v="4"/>
    <n v="126.87"/>
    <n v="3.6"/>
    <m/>
    <m/>
    <n v="123.27000000000001"/>
    <m/>
    <n v="20"/>
    <m/>
    <m/>
    <n v="20"/>
    <n v="0.33333333333333331"/>
    <m/>
    <m/>
    <m/>
    <m/>
    <m/>
    <m/>
    <m/>
    <m/>
    <n v="0"/>
    <n v="0"/>
    <n v="0.33333333333333331"/>
    <n v="11.666666666666666"/>
    <n v="12"/>
    <m/>
    <m/>
    <n v="0"/>
    <m/>
    <m/>
    <x v="6"/>
    <m/>
    <m/>
    <m/>
    <m/>
  </r>
  <r>
    <x v="0"/>
    <x v="2"/>
    <s v="3993 J"/>
    <x v="86"/>
    <s v="Ibtsam Traders Sheikhupura"/>
    <s v="PP"/>
    <n v="6"/>
    <s v="7.5-8"/>
    <s v="1:1"/>
    <n v="120"/>
    <s v="PP"/>
    <n v="4"/>
    <n v="99.68"/>
    <n v="3.12"/>
    <m/>
    <m/>
    <n v="96.56"/>
    <m/>
    <m/>
    <m/>
    <m/>
    <n v="0"/>
    <n v="0"/>
    <m/>
    <m/>
    <m/>
    <m/>
    <m/>
    <m/>
    <m/>
    <m/>
    <n v="0"/>
    <n v="0"/>
    <n v="0"/>
    <n v="12"/>
    <n v="12"/>
    <m/>
    <m/>
    <n v="0"/>
    <m/>
    <m/>
    <x v="6"/>
    <m/>
    <m/>
    <m/>
    <m/>
  </r>
  <r>
    <x v="1"/>
    <x v="2"/>
    <s v="3993 J"/>
    <x v="86"/>
    <s v="Ibtsam Traders Sheikhupura"/>
    <s v="PP"/>
    <n v="6"/>
    <s v="7.5-8"/>
    <s v="1:1"/>
    <n v="120"/>
    <s v="PP"/>
    <n v="1"/>
    <n v="23.74"/>
    <n v="0.6"/>
    <m/>
    <m/>
    <n v="23.139999999999997"/>
    <m/>
    <m/>
    <m/>
    <m/>
    <n v="0"/>
    <n v="0"/>
    <m/>
    <m/>
    <n v="60"/>
    <m/>
    <m/>
    <m/>
    <m/>
    <m/>
    <n v="60"/>
    <n v="1"/>
    <n v="1"/>
    <n v="11"/>
    <n v="12"/>
    <m/>
    <m/>
    <n v="0"/>
    <m/>
    <m/>
    <x v="6"/>
    <m/>
    <m/>
    <m/>
    <m/>
  </r>
  <r>
    <x v="1"/>
    <x v="2"/>
    <s v="7246/19"/>
    <x v="86"/>
    <s v="اصف سرگودھا"/>
    <s v="PP"/>
    <n v="6"/>
    <n v="4.5"/>
    <n v="0"/>
    <n v="250"/>
    <s v="PP"/>
    <n v="7"/>
    <n v="184.47"/>
    <n v="4.2"/>
    <m/>
    <m/>
    <n v="180.27"/>
    <m/>
    <m/>
    <m/>
    <m/>
    <n v="0"/>
    <n v="0"/>
    <m/>
    <m/>
    <m/>
    <m/>
    <m/>
    <m/>
    <m/>
    <m/>
    <n v="0"/>
    <n v="0"/>
    <n v="0"/>
    <n v="12"/>
    <n v="12"/>
    <m/>
    <m/>
    <n v="0"/>
    <m/>
    <m/>
    <x v="6"/>
    <m/>
    <m/>
    <m/>
    <m/>
  </r>
  <r>
    <x v="0"/>
    <x v="3"/>
    <s v="7251/1"/>
    <x v="86"/>
    <s v="ریفلیکٹ پیک لاہور"/>
    <s v="PP"/>
    <n v="17"/>
    <s v="5.5-6"/>
    <n v="0"/>
    <n v="5000"/>
    <s v="PP"/>
    <n v="13"/>
    <n v="749.4"/>
    <n v="25.38"/>
    <m/>
    <m/>
    <n v="724.02"/>
    <m/>
    <m/>
    <m/>
    <m/>
    <n v="0"/>
    <n v="0"/>
    <m/>
    <m/>
    <m/>
    <m/>
    <m/>
    <m/>
    <m/>
    <m/>
    <n v="0"/>
    <n v="0"/>
    <n v="0"/>
    <n v="12"/>
    <n v="12"/>
    <m/>
    <m/>
    <n v="0"/>
    <m/>
    <m/>
    <x v="6"/>
    <m/>
    <m/>
    <m/>
    <m/>
  </r>
  <r>
    <x v="1"/>
    <x v="3"/>
    <s v="7251/1"/>
    <x v="86"/>
    <s v="ریفلیکٹ پیک لاہور"/>
    <s v="PP"/>
    <n v="17"/>
    <s v="5.5-6"/>
    <n v="0"/>
    <n v="5000"/>
    <s v="PP"/>
    <n v="14"/>
    <n v="717.35"/>
    <n v="26.599999999999998"/>
    <m/>
    <m/>
    <n v="690.75"/>
    <m/>
    <m/>
    <m/>
    <m/>
    <n v="0"/>
    <n v="0"/>
    <m/>
    <m/>
    <m/>
    <m/>
    <m/>
    <m/>
    <m/>
    <m/>
    <n v="0"/>
    <n v="0"/>
    <n v="0"/>
    <n v="12"/>
    <n v="12"/>
    <m/>
    <m/>
    <n v="0"/>
    <m/>
    <m/>
    <x v="6"/>
    <m/>
    <m/>
    <m/>
    <m/>
  </r>
  <r>
    <x v="0"/>
    <x v="4"/>
    <s v="14/2"/>
    <x v="86"/>
    <s v="سٹاک"/>
    <s v="PP"/>
    <n v="14"/>
    <n v="5"/>
    <n v="0"/>
    <n v="2000"/>
    <s v="PP"/>
    <n v="12"/>
    <n v="622.77"/>
    <n v="20.759999999999998"/>
    <m/>
    <m/>
    <n v="602.01"/>
    <m/>
    <m/>
    <m/>
    <m/>
    <n v="0"/>
    <n v="0"/>
    <m/>
    <m/>
    <m/>
    <m/>
    <m/>
    <m/>
    <m/>
    <m/>
    <n v="0"/>
    <n v="0"/>
    <n v="0"/>
    <n v="12"/>
    <n v="12"/>
    <m/>
    <m/>
    <n v="0"/>
    <m/>
    <m/>
    <x v="6"/>
    <m/>
    <m/>
    <m/>
    <m/>
  </r>
  <r>
    <x v="1"/>
    <x v="4"/>
    <s v="14/2"/>
    <x v="86"/>
    <s v="سٹاک"/>
    <s v="PP"/>
    <n v="14"/>
    <n v="5"/>
    <n v="0"/>
    <n v="2000"/>
    <s v="PP"/>
    <n v="14"/>
    <n v="572.6099999999999"/>
    <n v="19.599999999999998"/>
    <m/>
    <m/>
    <n v="553.00999999999988"/>
    <m/>
    <m/>
    <m/>
    <m/>
    <n v="0"/>
    <n v="0"/>
    <m/>
    <m/>
    <m/>
    <m/>
    <m/>
    <m/>
    <n v="30"/>
    <m/>
    <n v="30"/>
    <n v="0.5"/>
    <n v="0.5"/>
    <n v="11.5"/>
    <n v="12"/>
    <m/>
    <m/>
    <n v="0"/>
    <m/>
    <m/>
    <x v="6"/>
    <m/>
    <m/>
    <m/>
    <m/>
  </r>
  <r>
    <x v="0"/>
    <x v="0"/>
    <s v="3 P"/>
    <x v="87"/>
    <s v="جیلانی پولی سٹاک"/>
    <s v="PP"/>
    <n v="2.5"/>
    <s v="5.5-6"/>
    <n v="0"/>
    <s v="-"/>
    <s v="PP"/>
    <n v="9"/>
    <n v="102.79"/>
    <n v="1.8"/>
    <n v="37"/>
    <m/>
    <n v="100.99000000000001"/>
    <m/>
    <m/>
    <m/>
    <m/>
    <n v="0"/>
    <n v="0"/>
    <m/>
    <m/>
    <m/>
    <m/>
    <m/>
    <m/>
    <m/>
    <m/>
    <n v="0"/>
    <n v="0"/>
    <n v="0"/>
    <n v="12"/>
    <n v="12"/>
    <m/>
    <n v="2022.5"/>
    <n v="0"/>
    <n v="1800"/>
    <m/>
    <x v="6"/>
    <m/>
    <m/>
    <m/>
    <m/>
  </r>
  <r>
    <x v="1"/>
    <x v="0"/>
    <s v="3.5/1"/>
    <x v="87"/>
    <s v="سٹاک"/>
    <s v="PP"/>
    <n v="3.5"/>
    <s v="5.5-6"/>
    <n v="0"/>
    <n v="500"/>
    <s v="PP"/>
    <n v="5"/>
    <n v="77.599999999999994"/>
    <n v="1.5"/>
    <n v="28"/>
    <m/>
    <n v="76.099999999999994"/>
    <m/>
    <n v="10"/>
    <m/>
    <m/>
    <n v="10"/>
    <n v="0.16666666666666666"/>
    <m/>
    <m/>
    <m/>
    <m/>
    <m/>
    <m/>
    <m/>
    <m/>
    <n v="0"/>
    <n v="0"/>
    <n v="0.16666666666666666"/>
    <n v="11.833333333333334"/>
    <n v="12"/>
    <m/>
    <m/>
    <n v="0"/>
    <n v="1800"/>
    <m/>
    <x v="6"/>
    <m/>
    <m/>
    <m/>
    <m/>
  </r>
  <r>
    <x v="1"/>
    <x v="0"/>
    <s v="3 P"/>
    <x v="87"/>
    <s v="جیلانی پولی سٹاک"/>
    <s v="PP"/>
    <n v="2.5"/>
    <s v="5.5-6"/>
    <n v="0"/>
    <s v="-"/>
    <s v="PP"/>
    <n v="3"/>
    <n v="33.510000000000005"/>
    <n v="0.60000000000000009"/>
    <m/>
    <m/>
    <n v="32.910000000000004"/>
    <m/>
    <m/>
    <m/>
    <m/>
    <n v="0"/>
    <n v="0"/>
    <m/>
    <m/>
    <m/>
    <m/>
    <m/>
    <m/>
    <m/>
    <m/>
    <n v="0"/>
    <n v="0"/>
    <n v="0"/>
    <n v="12"/>
    <n v="12"/>
    <m/>
    <m/>
    <n v="0"/>
    <m/>
    <m/>
    <x v="6"/>
    <m/>
    <m/>
    <m/>
    <m/>
  </r>
  <r>
    <x v="0"/>
    <x v="1"/>
    <s v="4/2"/>
    <x v="87"/>
    <s v="سٹاک"/>
    <s v="PP"/>
    <n v="4"/>
    <s v="5-5.5"/>
    <n v="0"/>
    <n v="600"/>
    <s v="PP"/>
    <n v="10"/>
    <n v="144.04999999999998"/>
    <n v="4"/>
    <m/>
    <m/>
    <n v="140.04999999999998"/>
    <m/>
    <m/>
    <m/>
    <m/>
    <n v="0"/>
    <n v="0"/>
    <m/>
    <m/>
    <m/>
    <m/>
    <m/>
    <m/>
    <m/>
    <m/>
    <n v="0"/>
    <n v="0"/>
    <n v="0"/>
    <n v="12"/>
    <n v="12"/>
    <m/>
    <m/>
    <n v="0"/>
    <m/>
    <m/>
    <x v="6"/>
    <m/>
    <m/>
    <m/>
    <m/>
  </r>
  <r>
    <x v="1"/>
    <x v="1"/>
    <s v="4/2"/>
    <x v="87"/>
    <s v="سٹاک"/>
    <s v="PP"/>
    <n v="4"/>
    <s v="5-5.5"/>
    <n v="0"/>
    <n v="600"/>
    <s v="PP"/>
    <n v="14"/>
    <n v="163.46"/>
    <n v="5.6000000000000005"/>
    <m/>
    <m/>
    <n v="157.86000000000001"/>
    <m/>
    <m/>
    <m/>
    <m/>
    <n v="0"/>
    <n v="0"/>
    <m/>
    <m/>
    <m/>
    <m/>
    <m/>
    <m/>
    <m/>
    <m/>
    <n v="0"/>
    <n v="0"/>
    <n v="0"/>
    <n v="12"/>
    <n v="12"/>
    <m/>
    <m/>
    <n v="0"/>
    <m/>
    <m/>
    <x v="6"/>
    <m/>
    <m/>
    <m/>
    <m/>
  </r>
  <r>
    <x v="0"/>
    <x v="2"/>
    <s v="7246/19"/>
    <x v="87"/>
    <s v="اصف سرگودھا"/>
    <s v="PP"/>
    <n v="6"/>
    <n v="4.5"/>
    <n v="0"/>
    <n v="250"/>
    <s v="PP"/>
    <n v="9"/>
    <n v="233.94"/>
    <n v="6.75"/>
    <m/>
    <m/>
    <n v="227.19"/>
    <m/>
    <m/>
    <m/>
    <m/>
    <n v="0"/>
    <n v="0"/>
    <m/>
    <m/>
    <m/>
    <m/>
    <m/>
    <m/>
    <m/>
    <m/>
    <n v="0"/>
    <n v="0"/>
    <n v="0"/>
    <n v="12"/>
    <n v="12"/>
    <m/>
    <m/>
    <n v="0"/>
    <m/>
    <m/>
    <x v="6"/>
    <m/>
    <m/>
    <m/>
    <m/>
  </r>
  <r>
    <x v="1"/>
    <x v="2"/>
    <s v="7246/19"/>
    <x v="87"/>
    <s v="اصف سرگودھا"/>
    <s v="PP"/>
    <n v="6"/>
    <n v="4.5"/>
    <n v="0"/>
    <n v="250"/>
    <s v="PP"/>
    <n v="4"/>
    <n v="127.49000000000001"/>
    <n v="3"/>
    <m/>
    <m/>
    <n v="124.49000000000001"/>
    <m/>
    <n v="20"/>
    <m/>
    <m/>
    <n v="20"/>
    <n v="0.33333333333333331"/>
    <m/>
    <m/>
    <m/>
    <m/>
    <m/>
    <m/>
    <m/>
    <m/>
    <n v="0"/>
    <n v="0"/>
    <n v="0.33333333333333331"/>
    <n v="11.666666666666666"/>
    <n v="12"/>
    <m/>
    <m/>
    <n v="0"/>
    <m/>
    <m/>
    <x v="6"/>
    <m/>
    <m/>
    <m/>
    <m/>
  </r>
  <r>
    <x v="1"/>
    <x v="2"/>
    <s v="9/1"/>
    <x v="87"/>
    <s v="سٹاک"/>
    <s v="PP"/>
    <n v="9"/>
    <s v="5-5.5"/>
    <n v="0"/>
    <n v="500"/>
    <s v="PP"/>
    <n v="5"/>
    <n v="177.07"/>
    <n v="4.5"/>
    <m/>
    <m/>
    <n v="172.57"/>
    <m/>
    <m/>
    <m/>
    <m/>
    <n v="0"/>
    <n v="0"/>
    <m/>
    <m/>
    <m/>
    <m/>
    <m/>
    <m/>
    <m/>
    <m/>
    <n v="0"/>
    <n v="0"/>
    <n v="0"/>
    <n v="12"/>
    <n v="12"/>
    <m/>
    <m/>
    <n v="0"/>
    <m/>
    <m/>
    <x v="6"/>
    <m/>
    <m/>
    <m/>
    <m/>
  </r>
  <r>
    <x v="0"/>
    <x v="3"/>
    <s v="7251/1"/>
    <x v="87"/>
    <s v="ریفلیکٹ پیک لاہور"/>
    <s v="PP"/>
    <n v="17"/>
    <s v="5.5-6"/>
    <n v="0"/>
    <n v="5000"/>
    <s v="PP"/>
    <n v="11"/>
    <n v="564.79"/>
    <n v="20.9"/>
    <m/>
    <m/>
    <n v="543.89"/>
    <m/>
    <n v="4"/>
    <m/>
    <m/>
    <n v="4"/>
    <n v="6.6666666666666666E-2"/>
    <m/>
    <m/>
    <m/>
    <m/>
    <m/>
    <m/>
    <m/>
    <m/>
    <n v="0"/>
    <n v="0"/>
    <n v="6.6666666666666666E-2"/>
    <n v="11.933333333333334"/>
    <n v="12"/>
    <m/>
    <m/>
    <n v="0"/>
    <m/>
    <m/>
    <x v="6"/>
    <m/>
    <m/>
    <m/>
    <m/>
  </r>
  <r>
    <x v="0"/>
    <x v="3"/>
    <s v="4128 J"/>
    <x v="87"/>
    <s v="Alam Bakers HafizAbad"/>
    <s v="PP"/>
    <n v="19"/>
    <s v="6-6.5"/>
    <s v=".1:1"/>
    <n v="100"/>
    <s v="PP"/>
    <n v="2"/>
    <n v="113.62"/>
    <n v="4.6500000000000004"/>
    <m/>
    <m/>
    <n v="108.97"/>
    <m/>
    <m/>
    <m/>
    <m/>
    <n v="0"/>
    <n v="0"/>
    <m/>
    <m/>
    <m/>
    <m/>
    <m/>
    <m/>
    <m/>
    <m/>
    <n v="0"/>
    <n v="0"/>
    <n v="0"/>
    <n v="12"/>
    <n v="12"/>
    <m/>
    <m/>
    <n v="0"/>
    <m/>
    <m/>
    <x v="6"/>
    <m/>
    <m/>
    <m/>
    <m/>
  </r>
  <r>
    <x v="0"/>
    <x v="3"/>
    <s v="7265/1"/>
    <x v="87"/>
    <s v="عائشہ ٹریڈرز دادیددز"/>
    <s v="PP"/>
    <n v="23"/>
    <n v="5"/>
    <n v="0"/>
    <n v="200"/>
    <s v="PP"/>
    <n v="1"/>
    <n v="62.11"/>
    <n v="2.5"/>
    <m/>
    <m/>
    <n v="59.61"/>
    <m/>
    <m/>
    <m/>
    <m/>
    <n v="0"/>
    <n v="0"/>
    <m/>
    <m/>
    <m/>
    <m/>
    <m/>
    <m/>
    <m/>
    <m/>
    <n v="0"/>
    <n v="0"/>
    <n v="0"/>
    <n v="12"/>
    <n v="12"/>
    <m/>
    <m/>
    <n v="0"/>
    <m/>
    <m/>
    <x v="6"/>
    <m/>
    <m/>
    <m/>
    <m/>
  </r>
  <r>
    <x v="1"/>
    <x v="3"/>
    <s v="7265/1"/>
    <x v="87"/>
    <s v="عائشہ ٹریڈرز دادیددز"/>
    <s v="PP"/>
    <n v="23"/>
    <n v="5"/>
    <n v="0"/>
    <n v="200"/>
    <s v="PP"/>
    <n v="3"/>
    <n v="150.93"/>
    <n v="6.8999999999999995"/>
    <m/>
    <m/>
    <n v="144.03"/>
    <m/>
    <n v="40"/>
    <m/>
    <m/>
    <n v="40"/>
    <n v="0.66666666666666663"/>
    <m/>
    <m/>
    <m/>
    <m/>
    <m/>
    <m/>
    <m/>
    <m/>
    <n v="0"/>
    <n v="0"/>
    <n v="0.66666666666666663"/>
    <n v="11.333333333333334"/>
    <n v="12"/>
    <m/>
    <m/>
    <n v="0"/>
    <m/>
    <m/>
    <x v="6"/>
    <m/>
    <m/>
    <m/>
    <m/>
  </r>
  <r>
    <x v="1"/>
    <x v="3"/>
    <s v="4067 J"/>
    <x v="87"/>
    <s v="M. Imran Pakistan Market Lahore"/>
    <s v="PP"/>
    <n v="26"/>
    <s v="10"/>
    <s v="1:1"/>
    <n v="100"/>
    <s v="PP"/>
    <n v="4"/>
    <n v="157.07999999999998"/>
    <n v="10.4"/>
    <m/>
    <m/>
    <n v="146.67999999999998"/>
    <m/>
    <m/>
    <m/>
    <m/>
    <n v="0"/>
    <n v="0"/>
    <m/>
    <m/>
    <m/>
    <m/>
    <m/>
    <m/>
    <m/>
    <m/>
    <n v="0"/>
    <n v="0"/>
    <n v="0"/>
    <n v="12"/>
    <n v="12"/>
    <m/>
    <m/>
    <n v="0"/>
    <m/>
    <m/>
    <x v="6"/>
    <m/>
    <m/>
    <m/>
    <m/>
  </r>
  <r>
    <x v="1"/>
    <x v="3"/>
    <s v="4192 J"/>
    <x v="87"/>
    <s v="Jilani Poly Stock"/>
    <s v="PP"/>
    <n v="16"/>
    <s v="5-5.5"/>
    <s v="1:1"/>
    <n v="1000"/>
    <s v="PP"/>
    <n v="5"/>
    <n v="223.20999999999998"/>
    <n v="8"/>
    <m/>
    <m/>
    <n v="215.20999999999998"/>
    <m/>
    <m/>
    <m/>
    <m/>
    <n v="0"/>
    <n v="0"/>
    <m/>
    <m/>
    <m/>
    <m/>
    <m/>
    <m/>
    <m/>
    <m/>
    <n v="0"/>
    <n v="0"/>
    <n v="0"/>
    <n v="12"/>
    <n v="12"/>
    <m/>
    <m/>
    <n v="0"/>
    <m/>
    <m/>
    <x v="6"/>
    <m/>
    <m/>
    <m/>
    <m/>
  </r>
  <r>
    <x v="1"/>
    <x v="3"/>
    <s v="26/2"/>
    <x v="87"/>
    <s v="-"/>
    <m/>
    <n v="26"/>
    <n v="5"/>
    <m/>
    <m/>
    <s v="PP"/>
    <n v="4"/>
    <n v="204.9"/>
    <n v="10.4"/>
    <m/>
    <m/>
    <n v="194.5"/>
    <m/>
    <m/>
    <m/>
    <m/>
    <n v="0"/>
    <n v="0"/>
    <m/>
    <m/>
    <m/>
    <m/>
    <m/>
    <m/>
    <m/>
    <m/>
    <n v="0"/>
    <n v="0"/>
    <n v="0"/>
    <n v="12"/>
    <n v="12"/>
    <m/>
    <m/>
    <n v="0"/>
    <m/>
    <m/>
    <x v="6"/>
    <m/>
    <m/>
    <m/>
    <m/>
  </r>
  <r>
    <x v="0"/>
    <x v="4"/>
    <s v="14/2"/>
    <x v="87"/>
    <s v="سٹاک"/>
    <s v="PP"/>
    <n v="14"/>
    <n v="5"/>
    <n v="0"/>
    <n v="2000"/>
    <s v="PP"/>
    <n v="7"/>
    <n v="392.92"/>
    <n v="12.11"/>
    <m/>
    <m/>
    <n v="380.81"/>
    <m/>
    <n v="20"/>
    <m/>
    <m/>
    <n v="20"/>
    <n v="0.33333333333333331"/>
    <m/>
    <m/>
    <m/>
    <m/>
    <m/>
    <m/>
    <m/>
    <m/>
    <n v="0"/>
    <n v="0"/>
    <n v="0.33333333333333331"/>
    <n v="11.666666666666666"/>
    <n v="12"/>
    <m/>
    <m/>
    <n v="0"/>
    <m/>
    <m/>
    <x v="6"/>
    <m/>
    <m/>
    <m/>
    <m/>
  </r>
  <r>
    <x v="0"/>
    <x v="4"/>
    <s v="11/1"/>
    <x v="87"/>
    <s v="سٹاک"/>
    <s v="PP"/>
    <n v="11"/>
    <s v="5-5.5"/>
    <n v="0"/>
    <n v="1000"/>
    <s v="PP"/>
    <n v="4"/>
    <n v="176.01999999999998"/>
    <n v="5.28"/>
    <m/>
    <m/>
    <n v="170.73999999999998"/>
    <m/>
    <m/>
    <m/>
    <m/>
    <n v="0"/>
    <n v="0"/>
    <m/>
    <m/>
    <m/>
    <m/>
    <m/>
    <m/>
    <m/>
    <m/>
    <n v="0"/>
    <n v="0"/>
    <n v="0"/>
    <n v="12"/>
    <n v="12"/>
    <m/>
    <m/>
    <n v="0"/>
    <m/>
    <m/>
    <x v="6"/>
    <m/>
    <m/>
    <m/>
    <m/>
  </r>
  <r>
    <x v="1"/>
    <x v="4"/>
    <s v="14/2"/>
    <x v="87"/>
    <s v="سٹاک"/>
    <s v="PP"/>
    <n v="14"/>
    <n v="5"/>
    <n v="0"/>
    <n v="2000"/>
    <s v="PP"/>
    <n v="12"/>
    <n v="555.68999999999994"/>
    <n v="15.600000000000001"/>
    <m/>
    <m/>
    <n v="540.08999999999992"/>
    <m/>
    <m/>
    <m/>
    <m/>
    <n v="0"/>
    <n v="0"/>
    <m/>
    <m/>
    <m/>
    <m/>
    <m/>
    <m/>
    <m/>
    <m/>
    <n v="0"/>
    <n v="0"/>
    <n v="0"/>
    <n v="12"/>
    <n v="12"/>
    <m/>
    <m/>
    <n v="0"/>
    <m/>
    <m/>
    <x v="6"/>
    <m/>
    <m/>
    <m/>
    <m/>
  </r>
  <r>
    <x v="0"/>
    <x v="0"/>
    <s v="3.5/1"/>
    <x v="88"/>
    <s v="سٹاک"/>
    <s v="PP"/>
    <n v="3.5"/>
    <s v="5.5-6"/>
    <n v="0"/>
    <n v="500"/>
    <s v="PP"/>
    <n v="8"/>
    <n v="120.03999999999999"/>
    <n v="2.4"/>
    <n v="22.5"/>
    <m/>
    <n v="117.63999999999999"/>
    <m/>
    <m/>
    <m/>
    <m/>
    <n v="0"/>
    <n v="0"/>
    <m/>
    <m/>
    <m/>
    <m/>
    <m/>
    <m/>
    <m/>
    <m/>
    <n v="0"/>
    <n v="0"/>
    <n v="0"/>
    <n v="12"/>
    <n v="12"/>
    <m/>
    <n v="2012.5"/>
    <n v="0"/>
    <n v="1900"/>
    <m/>
    <x v="6"/>
    <m/>
    <m/>
    <m/>
    <m/>
  </r>
  <r>
    <x v="1"/>
    <x v="0"/>
    <s v="3.5/1"/>
    <x v="88"/>
    <s v="سٹاک"/>
    <s v="PP"/>
    <n v="3.5"/>
    <s v="5.5-6"/>
    <n v="0"/>
    <n v="500"/>
    <s v="PP"/>
    <n v="2"/>
    <n v="26.299999999999997"/>
    <n v="0.6"/>
    <n v="37.5"/>
    <m/>
    <n v="25.699999999999996"/>
    <m/>
    <m/>
    <m/>
    <m/>
    <n v="0"/>
    <n v="0"/>
    <m/>
    <m/>
    <n v="420"/>
    <m/>
    <m/>
    <m/>
    <m/>
    <m/>
    <n v="420"/>
    <n v="7"/>
    <n v="7"/>
    <n v="5"/>
    <n v="12"/>
    <m/>
    <m/>
    <n v="0"/>
    <n v="1900"/>
    <m/>
    <x v="6"/>
    <m/>
    <m/>
    <m/>
    <m/>
  </r>
  <r>
    <x v="0"/>
    <x v="1"/>
    <s v="4/2"/>
    <x v="88"/>
    <s v="سٹاک"/>
    <s v="PP"/>
    <n v="4"/>
    <s v="5-5.5"/>
    <n v="0"/>
    <n v="600"/>
    <s v="PP"/>
    <n v="9"/>
    <n v="116.66000000000001"/>
    <n v="3.6"/>
    <m/>
    <m/>
    <n v="113.06000000000002"/>
    <m/>
    <m/>
    <m/>
    <m/>
    <n v="0"/>
    <n v="0"/>
    <m/>
    <m/>
    <n v="90"/>
    <m/>
    <m/>
    <m/>
    <m/>
    <m/>
    <n v="90"/>
    <n v="1.5"/>
    <n v="1.5"/>
    <n v="10.5"/>
    <n v="12"/>
    <m/>
    <m/>
    <n v="0"/>
    <m/>
    <m/>
    <x v="6"/>
    <m/>
    <m/>
    <m/>
    <m/>
  </r>
  <r>
    <x v="1"/>
    <x v="1"/>
    <s v="4/2"/>
    <x v="88"/>
    <s v="سٹاک"/>
    <s v="PP"/>
    <n v="4"/>
    <s v="5-5.5"/>
    <n v="0"/>
    <n v="600"/>
    <s v="PP"/>
    <n v="10"/>
    <n v="152.12"/>
    <n v="4"/>
    <m/>
    <m/>
    <n v="148.12"/>
    <m/>
    <m/>
    <m/>
    <m/>
    <n v="0"/>
    <n v="0"/>
    <m/>
    <m/>
    <m/>
    <m/>
    <m/>
    <m/>
    <m/>
    <m/>
    <n v="0"/>
    <n v="0"/>
    <n v="0"/>
    <n v="12"/>
    <n v="12"/>
    <m/>
    <m/>
    <n v="0"/>
    <m/>
    <m/>
    <x v="6"/>
    <m/>
    <m/>
    <m/>
    <m/>
  </r>
  <r>
    <x v="0"/>
    <x v="2"/>
    <s v="9/2"/>
    <x v="88"/>
    <s v="سٹاک"/>
    <s v="PP"/>
    <n v="9"/>
    <s v="5-5.5"/>
    <n v="0"/>
    <n v="1500"/>
    <s v="PP"/>
    <n v="9"/>
    <n v="353.24"/>
    <n v="9"/>
    <m/>
    <m/>
    <n v="344.24"/>
    <m/>
    <m/>
    <m/>
    <m/>
    <n v="0"/>
    <n v="0"/>
    <m/>
    <m/>
    <m/>
    <m/>
    <m/>
    <m/>
    <m/>
    <m/>
    <n v="0"/>
    <n v="0"/>
    <n v="0"/>
    <n v="12"/>
    <n v="12"/>
    <m/>
    <m/>
    <n v="0"/>
    <m/>
    <m/>
    <x v="6"/>
    <m/>
    <m/>
    <m/>
    <m/>
  </r>
  <r>
    <x v="1"/>
    <x v="2"/>
    <s v="9/2"/>
    <x v="88"/>
    <s v="سٹاک"/>
    <s v="PP"/>
    <n v="9"/>
    <s v="5-5.5"/>
    <n v="0"/>
    <n v="1500"/>
    <s v="PP"/>
    <n v="10"/>
    <n v="327.85"/>
    <n v="9"/>
    <m/>
    <m/>
    <n v="318.85000000000002"/>
    <m/>
    <m/>
    <m/>
    <m/>
    <n v="0"/>
    <n v="0"/>
    <m/>
    <m/>
    <m/>
    <m/>
    <m/>
    <m/>
    <m/>
    <m/>
    <n v="0"/>
    <n v="0"/>
    <n v="0"/>
    <n v="12"/>
    <n v="12"/>
    <m/>
    <m/>
    <n v="0"/>
    <m/>
    <m/>
    <x v="6"/>
    <m/>
    <m/>
    <m/>
    <m/>
  </r>
  <r>
    <x v="0"/>
    <x v="3"/>
    <s v="4192 J"/>
    <x v="88"/>
    <s v="Jilani Poly Stock"/>
    <s v="PP"/>
    <n v="16"/>
    <s v="5-5.5"/>
    <s v="1:1"/>
    <n v="1000"/>
    <s v="PP"/>
    <n v="13"/>
    <n v="648.99999999999989"/>
    <n v="24.7"/>
    <m/>
    <m/>
    <n v="624.29999999999984"/>
    <m/>
    <m/>
    <m/>
    <m/>
    <n v="0"/>
    <n v="0"/>
    <m/>
    <m/>
    <m/>
    <m/>
    <m/>
    <m/>
    <m/>
    <m/>
    <n v="0"/>
    <n v="0"/>
    <n v="0"/>
    <n v="12"/>
    <n v="12"/>
    <m/>
    <m/>
    <n v="0"/>
    <m/>
    <m/>
    <x v="6"/>
    <m/>
    <m/>
    <m/>
    <m/>
  </r>
  <r>
    <x v="0"/>
    <x v="3"/>
    <s v="2789/1"/>
    <x v="88"/>
    <s v="RMC C/O NADEEM SB"/>
    <s v="PP"/>
    <n v="16"/>
    <s v="6-6.5"/>
    <s v="PP"/>
    <n v="100"/>
    <s v="PP"/>
    <n v="2"/>
    <n v="99.419999999999987"/>
    <n v="3.8"/>
    <m/>
    <m/>
    <n v="95.61999999999999"/>
    <m/>
    <m/>
    <m/>
    <m/>
    <n v="0"/>
    <n v="0"/>
    <m/>
    <m/>
    <m/>
    <m/>
    <m/>
    <m/>
    <m/>
    <m/>
    <n v="0"/>
    <n v="0"/>
    <n v="0"/>
    <n v="12"/>
    <n v="12"/>
    <m/>
    <m/>
    <n v="0"/>
    <m/>
    <m/>
    <x v="6"/>
    <m/>
    <m/>
    <m/>
    <m/>
  </r>
  <r>
    <x v="1"/>
    <x v="3"/>
    <s v="4192 J"/>
    <x v="88"/>
    <s v="Jilani Poly Stock"/>
    <s v="PP"/>
    <n v="16"/>
    <s v="5-5.5"/>
    <s v="1:1"/>
    <n v="1000"/>
    <s v="PP"/>
    <n v="4"/>
    <n v="154.76999999999998"/>
    <n v="7.6"/>
    <m/>
    <m/>
    <n v="147.16999999999999"/>
    <m/>
    <n v="50"/>
    <m/>
    <m/>
    <n v="50"/>
    <n v="0.83333333333333348"/>
    <m/>
    <m/>
    <m/>
    <m/>
    <m/>
    <m/>
    <m/>
    <m/>
    <n v="0"/>
    <n v="0"/>
    <n v="0.83333333333333348"/>
    <n v="11.166666666666666"/>
    <n v="12"/>
    <m/>
    <m/>
    <n v="0"/>
    <m/>
    <m/>
    <x v="6"/>
    <m/>
    <m/>
    <m/>
    <m/>
  </r>
  <r>
    <x v="1"/>
    <x v="3"/>
    <s v="26/1"/>
    <x v="88"/>
    <s v="-"/>
    <m/>
    <n v="26"/>
    <n v="5"/>
    <m/>
    <m/>
    <s v="PP"/>
    <n v="4"/>
    <n v="129.64999999999998"/>
    <n v="12"/>
    <m/>
    <m/>
    <n v="117.64999999999998"/>
    <m/>
    <m/>
    <m/>
    <m/>
    <n v="0"/>
    <n v="0"/>
    <m/>
    <m/>
    <m/>
    <m/>
    <m/>
    <m/>
    <m/>
    <m/>
    <n v="0"/>
    <n v="0"/>
    <n v="0"/>
    <n v="12"/>
    <n v="12"/>
    <m/>
    <m/>
    <n v="0"/>
    <m/>
    <m/>
    <x v="6"/>
    <m/>
    <m/>
    <m/>
    <m/>
  </r>
  <r>
    <x v="1"/>
    <x v="3"/>
    <s v="7271/1"/>
    <x v="88"/>
    <s v="ہیڈ افس سٹاک لاہور(شہباز اعظم مارکیٹ)"/>
    <s v="PP"/>
    <n v="26"/>
    <n v="10"/>
    <n v="0"/>
    <n v="100"/>
    <s v="PP"/>
    <n v="2"/>
    <n v="111.46000000000001"/>
    <n v="9"/>
    <m/>
    <m/>
    <n v="102.46000000000001"/>
    <m/>
    <m/>
    <m/>
    <m/>
    <n v="0"/>
    <n v="0"/>
    <m/>
    <m/>
    <m/>
    <m/>
    <m/>
    <m/>
    <m/>
    <m/>
    <n v="0"/>
    <n v="0"/>
    <n v="0"/>
    <n v="12"/>
    <n v="12"/>
    <m/>
    <m/>
    <n v="0"/>
    <m/>
    <m/>
    <x v="6"/>
    <m/>
    <m/>
    <m/>
    <m/>
  </r>
  <r>
    <x v="1"/>
    <x v="3"/>
    <s v="7278/1"/>
    <x v="88"/>
    <s v="ہیڈ افس سٹاک لاہور"/>
    <s v="PP"/>
    <n v="26"/>
    <n v="10"/>
    <n v="0"/>
    <n v="100"/>
    <s v="PP"/>
    <n v="3"/>
    <n v="97.110000000000014"/>
    <n v="6"/>
    <m/>
    <m/>
    <n v="91.110000000000014"/>
    <m/>
    <m/>
    <m/>
    <m/>
    <n v="0"/>
    <n v="0"/>
    <m/>
    <m/>
    <m/>
    <m/>
    <m/>
    <m/>
    <m/>
    <m/>
    <n v="0"/>
    <n v="0"/>
    <n v="0"/>
    <n v="12"/>
    <n v="12"/>
    <m/>
    <m/>
    <n v="0"/>
    <m/>
    <m/>
    <x v="6"/>
    <m/>
    <m/>
    <m/>
    <m/>
  </r>
  <r>
    <x v="1"/>
    <x v="3"/>
    <s v="4193 J"/>
    <x v="88"/>
    <s v="Jilani Poly Stock"/>
    <s v="PP"/>
    <n v="18"/>
    <s v="5-5.5"/>
    <s v="1:1"/>
    <n v="1000"/>
    <s v="PP"/>
    <n v="5"/>
    <n v="195.8"/>
    <n v="9"/>
    <m/>
    <m/>
    <n v="186.8"/>
    <m/>
    <m/>
    <m/>
    <m/>
    <n v="0"/>
    <n v="0"/>
    <m/>
    <m/>
    <m/>
    <m/>
    <m/>
    <m/>
    <m/>
    <m/>
    <n v="0"/>
    <n v="0"/>
    <n v="0"/>
    <n v="12"/>
    <n v="12"/>
    <m/>
    <m/>
    <n v="0"/>
    <m/>
    <m/>
    <x v="6"/>
    <m/>
    <m/>
    <m/>
    <m/>
  </r>
  <r>
    <x v="0"/>
    <x v="4"/>
    <s v="11/2"/>
    <x v="88"/>
    <s v="سٹاک"/>
    <s v="PP"/>
    <n v="11"/>
    <s v="5-5.5"/>
    <n v="0"/>
    <n v="500"/>
    <s v="PP"/>
    <n v="8"/>
    <n v="385.71000000000004"/>
    <n v="10.56"/>
    <m/>
    <m/>
    <n v="375.15000000000003"/>
    <m/>
    <n v="10"/>
    <m/>
    <m/>
    <n v="10"/>
    <n v="0.16666666666666666"/>
    <m/>
    <m/>
    <n v="45"/>
    <m/>
    <m/>
    <m/>
    <m/>
    <m/>
    <n v="45"/>
    <n v="0.75"/>
    <n v="0.91666666666666652"/>
    <n v="11.083333333333334"/>
    <n v="12"/>
    <m/>
    <m/>
    <n v="0"/>
    <m/>
    <m/>
    <x v="6"/>
    <m/>
    <m/>
    <m/>
    <m/>
  </r>
  <r>
    <x v="0"/>
    <x v="4"/>
    <s v="12/3"/>
    <x v="88"/>
    <s v="سٹاک"/>
    <s v="PP"/>
    <n v="12"/>
    <n v="5"/>
    <n v="0"/>
    <n v="1000"/>
    <s v="PP"/>
    <n v="3"/>
    <n v="150.81"/>
    <n v="5.25"/>
    <m/>
    <m/>
    <n v="145.56"/>
    <m/>
    <m/>
    <m/>
    <m/>
    <n v="0"/>
    <n v="0"/>
    <m/>
    <m/>
    <m/>
    <m/>
    <m/>
    <m/>
    <m/>
    <m/>
    <n v="0"/>
    <n v="0"/>
    <n v="0"/>
    <n v="12"/>
    <n v="12"/>
    <m/>
    <m/>
    <n v="0"/>
    <m/>
    <m/>
    <x v="6"/>
    <m/>
    <m/>
    <m/>
    <m/>
  </r>
  <r>
    <x v="1"/>
    <x v="4"/>
    <s v="12/3"/>
    <x v="88"/>
    <s v="سٹاک"/>
    <s v="PP"/>
    <n v="12"/>
    <n v="5"/>
    <n v="0"/>
    <n v="1000"/>
    <s v="PP"/>
    <n v="13"/>
    <n v="566.8599999999999"/>
    <n v="15.6"/>
    <m/>
    <m/>
    <n v="551.25999999999988"/>
    <m/>
    <m/>
    <m/>
    <m/>
    <n v="0"/>
    <n v="0"/>
    <m/>
    <m/>
    <m/>
    <m/>
    <m/>
    <m/>
    <m/>
    <m/>
    <n v="0"/>
    <n v="0"/>
    <n v="0"/>
    <n v="12"/>
    <n v="12"/>
    <m/>
    <m/>
    <n v="0"/>
    <m/>
    <m/>
    <x v="6"/>
    <m/>
    <m/>
    <m/>
    <m/>
  </r>
  <r>
    <x v="0"/>
    <x v="0"/>
    <s v="3.5/1"/>
    <x v="89"/>
    <s v="سٹاک"/>
    <s v="PP"/>
    <n v="3.5"/>
    <s v="5.5-6"/>
    <s v="PP"/>
    <n v="500"/>
    <s v="PP"/>
    <n v="2"/>
    <n v="18.36"/>
    <n v="0.6"/>
    <n v="17"/>
    <m/>
    <n v="17.759999999999998"/>
    <m/>
    <m/>
    <m/>
    <n v="480"/>
    <n v="480"/>
    <n v="8"/>
    <m/>
    <m/>
    <m/>
    <m/>
    <m/>
    <m/>
    <m/>
    <m/>
    <n v="0"/>
    <n v="0"/>
    <n v="8"/>
    <n v="4"/>
    <n v="12"/>
    <m/>
    <n v="2016"/>
    <n v="0"/>
    <m/>
    <m/>
    <x v="6"/>
    <m/>
    <m/>
    <m/>
    <m/>
  </r>
  <r>
    <x v="1"/>
    <x v="0"/>
    <s v="3.5/1"/>
    <x v="89"/>
    <s v="سٹاک"/>
    <s v="PP"/>
    <n v="3.5"/>
    <s v="5.5-6"/>
    <s v="PP"/>
    <n v="500"/>
    <s v="PP"/>
    <n v="10"/>
    <n v="142.61000000000001"/>
    <n v="3"/>
    <n v="21"/>
    <m/>
    <n v="139.61000000000001"/>
    <m/>
    <m/>
    <m/>
    <m/>
    <n v="0"/>
    <n v="0"/>
    <m/>
    <m/>
    <m/>
    <m/>
    <m/>
    <m/>
    <m/>
    <m/>
    <n v="0"/>
    <n v="0"/>
    <n v="0"/>
    <n v="12"/>
    <n v="12"/>
    <m/>
    <m/>
    <n v="0"/>
    <m/>
    <m/>
    <x v="6"/>
    <m/>
    <m/>
    <m/>
    <m/>
  </r>
  <r>
    <x v="0"/>
    <x v="1"/>
    <s v="4/2"/>
    <x v="89"/>
    <s v="سٹاک"/>
    <s v="PP"/>
    <n v="4"/>
    <s v="5-5.5"/>
    <s v="PP"/>
    <n v="600"/>
    <s v="PP"/>
    <n v="11"/>
    <n v="173.44"/>
    <n v="4.4000000000000004"/>
    <m/>
    <m/>
    <n v="169.04"/>
    <m/>
    <m/>
    <m/>
    <m/>
    <n v="0"/>
    <n v="0"/>
    <m/>
    <m/>
    <m/>
    <m/>
    <m/>
    <m/>
    <m/>
    <m/>
    <n v="0"/>
    <n v="0"/>
    <n v="0"/>
    <n v="12"/>
    <n v="12"/>
    <m/>
    <m/>
    <n v="0"/>
    <m/>
    <m/>
    <x v="6"/>
    <m/>
    <m/>
    <m/>
    <m/>
  </r>
  <r>
    <x v="1"/>
    <x v="1"/>
    <s v="4/2"/>
    <x v="89"/>
    <s v="سٹاک"/>
    <s v="PP"/>
    <n v="4"/>
    <s v="5-5.5"/>
    <s v="PP"/>
    <n v="600"/>
    <s v="PP"/>
    <n v="12"/>
    <n v="168.39000000000001"/>
    <n v="4.8000000000000007"/>
    <m/>
    <m/>
    <n v="163.59"/>
    <m/>
    <m/>
    <m/>
    <m/>
    <n v="0"/>
    <n v="0"/>
    <m/>
    <m/>
    <m/>
    <m/>
    <m/>
    <m/>
    <m/>
    <m/>
    <n v="0"/>
    <n v="0"/>
    <n v="0"/>
    <n v="12"/>
    <n v="12"/>
    <m/>
    <m/>
    <n v="0"/>
    <m/>
    <m/>
    <x v="6"/>
    <m/>
    <m/>
    <m/>
    <m/>
  </r>
  <r>
    <x v="0"/>
    <x v="2"/>
    <s v="9/2"/>
    <x v="89"/>
    <s v="سٹاک"/>
    <s v="PP"/>
    <n v="9"/>
    <s v="5-5.5"/>
    <s v="PP"/>
    <n v="1500"/>
    <s v="PP"/>
    <n v="9"/>
    <n v="362.26"/>
    <n v="9.1"/>
    <m/>
    <m/>
    <n v="353.15999999999997"/>
    <m/>
    <m/>
    <m/>
    <m/>
    <n v="0"/>
    <n v="0"/>
    <m/>
    <m/>
    <m/>
    <m/>
    <m/>
    <m/>
    <m/>
    <m/>
    <n v="0"/>
    <n v="0"/>
    <n v="0"/>
    <n v="12"/>
    <n v="12"/>
    <m/>
    <m/>
    <n v="0"/>
    <m/>
    <m/>
    <x v="6"/>
    <m/>
    <m/>
    <m/>
    <m/>
  </r>
  <r>
    <x v="1"/>
    <x v="2"/>
    <s v="9/2"/>
    <x v="89"/>
    <s v="سٹاک"/>
    <s v="PP"/>
    <n v="9"/>
    <s v="5-5.5"/>
    <s v="PP"/>
    <n v="1500"/>
    <s v="PP"/>
    <n v="11"/>
    <n v="349.03"/>
    <n v="11"/>
    <m/>
    <m/>
    <n v="338.03"/>
    <m/>
    <m/>
    <m/>
    <m/>
    <n v="0"/>
    <n v="0"/>
    <m/>
    <m/>
    <m/>
    <m/>
    <m/>
    <m/>
    <m/>
    <m/>
    <n v="0"/>
    <n v="0"/>
    <n v="0"/>
    <n v="12"/>
    <n v="12"/>
    <m/>
    <m/>
    <n v="0"/>
    <m/>
    <m/>
    <x v="6"/>
    <m/>
    <m/>
    <m/>
    <m/>
  </r>
  <r>
    <x v="0"/>
    <x v="3"/>
    <s v="4193 J"/>
    <x v="89"/>
    <s v="Jilani Poly Stock"/>
    <s v="PP"/>
    <n v="18"/>
    <s v="5-5.5"/>
    <s v="PP"/>
    <n v="1000"/>
    <s v="PP"/>
    <n v="15"/>
    <n v="722.87"/>
    <n v="27.409999999999997"/>
    <m/>
    <m/>
    <n v="695.46"/>
    <m/>
    <m/>
    <m/>
    <m/>
    <n v="0"/>
    <n v="0"/>
    <m/>
    <m/>
    <m/>
    <m/>
    <m/>
    <m/>
    <m/>
    <m/>
    <n v="0"/>
    <n v="0"/>
    <n v="0"/>
    <n v="12"/>
    <n v="12"/>
    <m/>
    <m/>
    <n v="0"/>
    <m/>
    <m/>
    <x v="6"/>
    <m/>
    <m/>
    <m/>
    <m/>
  </r>
  <r>
    <x v="1"/>
    <x v="3"/>
    <s v="4193 J"/>
    <x v="89"/>
    <s v="Jilani Poly Stock"/>
    <s v="PP"/>
    <n v="18"/>
    <s v="5-5.5"/>
    <s v="PP"/>
    <n v="1000"/>
    <s v="PP"/>
    <n v="6"/>
    <n v="269.90999999999997"/>
    <n v="12"/>
    <m/>
    <m/>
    <n v="257.90999999999997"/>
    <m/>
    <n v="40"/>
    <m/>
    <m/>
    <n v="40"/>
    <n v="0.66666666666666663"/>
    <m/>
    <m/>
    <m/>
    <m/>
    <m/>
    <m/>
    <m/>
    <m/>
    <n v="0"/>
    <n v="0"/>
    <n v="0.66666666666666663"/>
    <n v="11.333333333333334"/>
    <n v="12"/>
    <m/>
    <m/>
    <n v="0"/>
    <m/>
    <m/>
    <x v="6"/>
    <m/>
    <m/>
    <m/>
    <m/>
  </r>
  <r>
    <x v="1"/>
    <x v="3"/>
    <s v="7277/2"/>
    <x v="89"/>
    <s v="محبوب مقبول گوجرانوالہ"/>
    <s v="PP"/>
    <n v="20"/>
    <n v="8"/>
    <s v="PP"/>
    <n v="375"/>
    <s v="PP"/>
    <n v="8"/>
    <n v="389.36"/>
    <n v="17.68"/>
    <m/>
    <m/>
    <n v="371.68"/>
    <m/>
    <m/>
    <m/>
    <m/>
    <n v="0"/>
    <n v="0"/>
    <m/>
    <m/>
    <m/>
    <m/>
    <m/>
    <m/>
    <m/>
    <m/>
    <n v="0"/>
    <n v="0"/>
    <n v="0"/>
    <n v="12"/>
    <n v="12"/>
    <m/>
    <m/>
    <n v="0"/>
    <m/>
    <m/>
    <x v="6"/>
    <m/>
    <m/>
    <m/>
    <m/>
  </r>
  <r>
    <x v="1"/>
    <x v="3"/>
    <s v="7277/1"/>
    <x v="89"/>
    <s v="محبوب مقبول گوجرانوالہ"/>
    <s v="PP"/>
    <n v="22"/>
    <n v="8"/>
    <s v="PP"/>
    <n v="375"/>
    <s v="PP"/>
    <n v="2"/>
    <n v="75.180000000000007"/>
    <n v="5.6"/>
    <m/>
    <m/>
    <n v="69.580000000000013"/>
    <m/>
    <m/>
    <m/>
    <m/>
    <n v="0"/>
    <n v="0"/>
    <m/>
    <m/>
    <m/>
    <m/>
    <m/>
    <m/>
    <m/>
    <m/>
    <n v="0"/>
    <n v="0"/>
    <n v="0"/>
    <n v="12"/>
    <n v="12"/>
    <m/>
    <m/>
    <n v="0"/>
    <m/>
    <m/>
    <x v="6"/>
    <m/>
    <m/>
    <m/>
    <m/>
  </r>
  <r>
    <x v="0"/>
    <x v="4"/>
    <s v="12/3"/>
    <x v="89"/>
    <s v="سٹاک"/>
    <s v="PP"/>
    <n v="12"/>
    <n v="5"/>
    <s v="PP"/>
    <n v="1000"/>
    <s v="PP"/>
    <n v="6"/>
    <n v="339.7"/>
    <n v="10.5"/>
    <m/>
    <m/>
    <n v="329.2"/>
    <m/>
    <n v="30"/>
    <m/>
    <m/>
    <n v="30"/>
    <n v="0.5"/>
    <m/>
    <m/>
    <m/>
    <m/>
    <m/>
    <m/>
    <m/>
    <m/>
    <n v="0"/>
    <n v="0"/>
    <n v="0.5"/>
    <n v="11.5"/>
    <n v="12"/>
    <m/>
    <m/>
    <n v="0"/>
    <m/>
    <m/>
    <x v="6"/>
    <m/>
    <m/>
    <m/>
    <m/>
  </r>
  <r>
    <x v="0"/>
    <x v="4"/>
    <s v="7235/5"/>
    <x v="89"/>
    <s v="رفیق پلاسٹک اوکازہ"/>
    <s v="PP"/>
    <n v="12"/>
    <n v="4"/>
    <s v="PP"/>
    <n v="150"/>
    <s v="PP"/>
    <n v="2"/>
    <n v="58.680000000000007"/>
    <n v="3"/>
    <m/>
    <m/>
    <n v="55.680000000000007"/>
    <m/>
    <m/>
    <m/>
    <m/>
    <n v="0"/>
    <n v="0"/>
    <m/>
    <m/>
    <m/>
    <m/>
    <m/>
    <m/>
    <m/>
    <m/>
    <n v="0"/>
    <n v="0"/>
    <n v="0"/>
    <n v="12"/>
    <n v="12"/>
    <m/>
    <m/>
    <n v="0"/>
    <m/>
    <m/>
    <x v="6"/>
    <m/>
    <m/>
    <m/>
    <m/>
  </r>
  <r>
    <x v="0"/>
    <x v="4"/>
    <s v="7269/6"/>
    <x v="89"/>
    <s v="ہیڈ افس سٹاک لاہور"/>
    <s v="PP"/>
    <n v="15"/>
    <n v="7"/>
    <s v="PP"/>
    <n v="200"/>
    <s v="PP"/>
    <n v="2"/>
    <n v="103"/>
    <n v="3.7"/>
    <m/>
    <m/>
    <n v="99.3"/>
    <m/>
    <m/>
    <m/>
    <m/>
    <n v="0"/>
    <n v="0"/>
    <m/>
    <m/>
    <m/>
    <m/>
    <m/>
    <m/>
    <m/>
    <m/>
    <n v="0"/>
    <n v="0"/>
    <n v="0"/>
    <n v="12"/>
    <n v="12"/>
    <m/>
    <m/>
    <n v="0"/>
    <m/>
    <m/>
    <x v="6"/>
    <m/>
    <m/>
    <m/>
    <m/>
  </r>
  <r>
    <x v="0"/>
    <x v="4"/>
    <s v="7262/7"/>
    <x v="89"/>
    <s v="خرم پلاسٹک لالہ موسہ"/>
    <s v="PP"/>
    <n v="12"/>
    <n v="10"/>
    <s v="PP"/>
    <n v="50"/>
    <s v="PP"/>
    <n v="2"/>
    <n v="65.430000000000007"/>
    <n v="2.4"/>
    <m/>
    <m/>
    <n v="63.030000000000008"/>
    <m/>
    <m/>
    <m/>
    <m/>
    <n v="0"/>
    <n v="0"/>
    <m/>
    <m/>
    <m/>
    <m/>
    <m/>
    <m/>
    <m/>
    <m/>
    <n v="0"/>
    <n v="0"/>
    <n v="0"/>
    <n v="12"/>
    <n v="12"/>
    <m/>
    <m/>
    <n v="0"/>
    <m/>
    <m/>
    <x v="6"/>
    <m/>
    <m/>
    <m/>
    <m/>
  </r>
  <r>
    <x v="1"/>
    <x v="4"/>
    <s v="7269/6"/>
    <x v="89"/>
    <s v="ہیڈ افس سٹاک لاہور"/>
    <s v="PP"/>
    <n v="15"/>
    <n v="7"/>
    <s v="PP"/>
    <n v="200"/>
    <s v="PP"/>
    <n v="3"/>
    <n v="105.30000000000001"/>
    <n v="4.5"/>
    <m/>
    <m/>
    <n v="100.80000000000001"/>
    <m/>
    <m/>
    <m/>
    <m/>
    <n v="0"/>
    <n v="0"/>
    <m/>
    <m/>
    <m/>
    <m/>
    <m/>
    <m/>
    <m/>
    <m/>
    <n v="0"/>
    <n v="0"/>
    <n v="0"/>
    <n v="12"/>
    <n v="12"/>
    <m/>
    <m/>
    <n v="0"/>
    <m/>
    <m/>
    <x v="6"/>
    <m/>
    <m/>
    <m/>
    <m/>
  </r>
  <r>
    <x v="1"/>
    <x v="4"/>
    <s v="7269/4"/>
    <x v="89"/>
    <s v="ہیڈ افس سٹاک لاہور"/>
    <s v="PP"/>
    <n v="15"/>
    <n v="7"/>
    <s v="PP"/>
    <n v="200"/>
    <s v="PP"/>
    <n v="5"/>
    <n v="202.2"/>
    <n v="7.5"/>
    <m/>
    <m/>
    <n v="194.7"/>
    <m/>
    <m/>
    <m/>
    <m/>
    <n v="0"/>
    <n v="0"/>
    <m/>
    <m/>
    <m/>
    <m/>
    <m/>
    <m/>
    <m/>
    <m/>
    <n v="0"/>
    <n v="0"/>
    <n v="0"/>
    <n v="12"/>
    <n v="12"/>
    <m/>
    <m/>
    <n v="0"/>
    <m/>
    <m/>
    <x v="6"/>
    <m/>
    <m/>
    <m/>
    <m/>
  </r>
  <r>
    <x v="0"/>
    <x v="0"/>
    <s v="3.5/1"/>
    <x v="90"/>
    <s v="سٹاک"/>
    <s v="PP"/>
    <n v="3.5"/>
    <s v="5.5-6"/>
    <s v="PP"/>
    <n v="500"/>
    <s v="PP"/>
    <n v="6"/>
    <n v="91.460000000000008"/>
    <n v="1.7999999999999998"/>
    <n v="32"/>
    <m/>
    <n v="89.660000000000011"/>
    <m/>
    <n v="20"/>
    <m/>
    <m/>
    <n v="20"/>
    <n v="0.33333333333333331"/>
    <m/>
    <m/>
    <m/>
    <m/>
    <m/>
    <m/>
    <m/>
    <m/>
    <n v="0"/>
    <n v="0"/>
    <n v="0.33333333333333331"/>
    <n v="11.666666666666666"/>
    <n v="12"/>
    <m/>
    <n v="2010"/>
    <n v="0"/>
    <m/>
    <m/>
    <x v="6"/>
    <m/>
    <m/>
    <m/>
    <m/>
  </r>
  <r>
    <x v="0"/>
    <x v="0"/>
    <s v="2.5/1"/>
    <x v="90"/>
    <s v="سٹاک"/>
    <s v="PP"/>
    <n v="2.5"/>
    <s v="5.5-6"/>
    <s v="PP"/>
    <n v="20"/>
    <s v="PP"/>
    <n v="1"/>
    <n v="23.49"/>
    <n v="0.2"/>
    <m/>
    <m/>
    <n v="23.29"/>
    <m/>
    <m/>
    <m/>
    <m/>
    <n v="0"/>
    <n v="0"/>
    <m/>
    <m/>
    <m/>
    <m/>
    <m/>
    <m/>
    <m/>
    <m/>
    <n v="0"/>
    <n v="0"/>
    <n v="0"/>
    <n v="12"/>
    <n v="12"/>
    <m/>
    <m/>
    <n v="0"/>
    <m/>
    <m/>
    <x v="6"/>
    <m/>
    <m/>
    <m/>
    <m/>
  </r>
  <r>
    <x v="1"/>
    <x v="0"/>
    <s v="2.5/1"/>
    <x v="90"/>
    <s v="سٹاک"/>
    <s v="PP"/>
    <n v="2.5"/>
    <s v="5.5-6"/>
    <s v="PP"/>
    <n v="20"/>
    <s v="PP"/>
    <n v="6"/>
    <n v="93.399999999999991"/>
    <n v="1.2000000000000002"/>
    <n v="23"/>
    <m/>
    <n v="92.199999999999989"/>
    <m/>
    <m/>
    <m/>
    <m/>
    <n v="0"/>
    <n v="0"/>
    <m/>
    <m/>
    <m/>
    <m/>
    <m/>
    <m/>
    <m/>
    <m/>
    <n v="0"/>
    <n v="0"/>
    <n v="0"/>
    <n v="12"/>
    <n v="12"/>
    <m/>
    <m/>
    <n v="0"/>
    <m/>
    <m/>
    <x v="6"/>
    <m/>
    <m/>
    <m/>
    <m/>
  </r>
  <r>
    <x v="0"/>
    <x v="1"/>
    <s v="4/2"/>
    <x v="90"/>
    <s v="سٹاک"/>
    <s v="PP"/>
    <n v="4"/>
    <s v="5-5.5"/>
    <s v="PP"/>
    <n v="600"/>
    <s v="PP"/>
    <n v="11"/>
    <n v="157.70999999999998"/>
    <n v="4.4000000000000004"/>
    <m/>
    <m/>
    <n v="153.30999999999997"/>
    <m/>
    <n v="15"/>
    <m/>
    <m/>
    <n v="15"/>
    <n v="0.25"/>
    <m/>
    <m/>
    <m/>
    <m/>
    <m/>
    <m/>
    <m/>
    <m/>
    <n v="0"/>
    <n v="0"/>
    <n v="0.25"/>
    <n v="11.75"/>
    <n v="12"/>
    <m/>
    <m/>
    <n v="0"/>
    <m/>
    <m/>
    <x v="6"/>
    <m/>
    <m/>
    <m/>
    <m/>
  </r>
  <r>
    <x v="1"/>
    <x v="1"/>
    <s v="5/2"/>
    <x v="90"/>
    <s v="سٹاک"/>
    <s v="PP"/>
    <n v="5"/>
    <s v="5.5-6"/>
    <s v="PP"/>
    <n v="400"/>
    <s v="PP"/>
    <n v="3"/>
    <n v="47.53"/>
    <n v="1.5"/>
    <m/>
    <m/>
    <n v="46.03"/>
    <m/>
    <m/>
    <m/>
    <m/>
    <n v="0"/>
    <n v="0"/>
    <m/>
    <m/>
    <m/>
    <m/>
    <m/>
    <m/>
    <m/>
    <m/>
    <n v="0"/>
    <n v="0"/>
    <n v="0"/>
    <n v="12"/>
    <n v="12"/>
    <m/>
    <m/>
    <n v="0"/>
    <m/>
    <m/>
    <x v="6"/>
    <m/>
    <m/>
    <m/>
    <m/>
  </r>
  <r>
    <x v="1"/>
    <x v="1"/>
    <s v="4 P"/>
    <x v="90"/>
    <s v="جیلانی پولی سٹاک"/>
    <s v="PP"/>
    <n v="3"/>
    <s v="5.5-6"/>
    <s v="PP"/>
    <s v="-"/>
    <s v="PP"/>
    <n v="9"/>
    <n v="83.61"/>
    <n v="2.6999999999999997"/>
    <m/>
    <m/>
    <n v="80.91"/>
    <m/>
    <m/>
    <m/>
    <m/>
    <n v="0"/>
    <n v="0"/>
    <m/>
    <m/>
    <m/>
    <m/>
    <m/>
    <m/>
    <m/>
    <m/>
    <n v="0"/>
    <n v="0"/>
    <n v="0"/>
    <n v="12"/>
    <n v="12"/>
    <m/>
    <m/>
    <n v="0"/>
    <m/>
    <m/>
    <x v="6"/>
    <m/>
    <m/>
    <m/>
    <m/>
  </r>
  <r>
    <x v="0"/>
    <x v="3"/>
    <s v="7277/1"/>
    <x v="90"/>
    <s v="محبوب مقبول گوجرانوالہ"/>
    <s v="PP"/>
    <n v="22"/>
    <n v="8"/>
    <s v="PP"/>
    <n v="375"/>
    <s v="PP"/>
    <n v="8"/>
    <n v="382.9"/>
    <n v="22.300000000000004"/>
    <m/>
    <m/>
    <n v="360.59999999999997"/>
    <m/>
    <m/>
    <n v="60"/>
    <m/>
    <n v="60"/>
    <n v="1"/>
    <m/>
    <m/>
    <m/>
    <m/>
    <m/>
    <m/>
    <m/>
    <m/>
    <n v="0"/>
    <n v="0"/>
    <n v="1"/>
    <n v="11"/>
    <n v="12"/>
    <m/>
    <m/>
    <n v="0"/>
    <m/>
    <m/>
    <x v="6"/>
    <m/>
    <m/>
    <m/>
    <m/>
  </r>
  <r>
    <x v="0"/>
    <x v="3"/>
    <s v="7251/1"/>
    <x v="90"/>
    <s v="ریفلیکٹ پیک لاہور"/>
    <s v="PP"/>
    <n v="17"/>
    <s v="5.5-6"/>
    <s v="PP"/>
    <n v="5000"/>
    <s v="PP"/>
    <n v="6"/>
    <n v="337.63"/>
    <n v="12"/>
    <m/>
    <m/>
    <n v="325.63"/>
    <m/>
    <m/>
    <m/>
    <m/>
    <n v="0"/>
    <n v="0"/>
    <m/>
    <m/>
    <m/>
    <m/>
    <m/>
    <m/>
    <m/>
    <m/>
    <n v="0"/>
    <n v="0"/>
    <n v="0"/>
    <n v="12"/>
    <n v="12"/>
    <m/>
    <m/>
    <n v="0"/>
    <m/>
    <m/>
    <x v="6"/>
    <m/>
    <m/>
    <m/>
    <m/>
  </r>
  <r>
    <x v="1"/>
    <x v="3"/>
    <s v="7251/1"/>
    <x v="90"/>
    <s v="ریفلیکٹ پیک لاہور"/>
    <s v="PP"/>
    <n v="17"/>
    <s v="5.5-6"/>
    <s v="PP"/>
    <n v="5000"/>
    <s v="PP"/>
    <n v="14"/>
    <n v="758.62"/>
    <n v="26"/>
    <m/>
    <m/>
    <n v="732.62"/>
    <m/>
    <m/>
    <m/>
    <m/>
    <n v="0"/>
    <n v="0"/>
    <m/>
    <m/>
    <m/>
    <m/>
    <m/>
    <m/>
    <m/>
    <m/>
    <n v="0"/>
    <n v="0"/>
    <n v="0"/>
    <n v="12"/>
    <n v="12"/>
    <m/>
    <m/>
    <n v="0"/>
    <m/>
    <m/>
    <x v="6"/>
    <m/>
    <m/>
    <m/>
    <m/>
  </r>
  <r>
    <x v="0"/>
    <x v="2"/>
    <s v="9/2"/>
    <x v="90"/>
    <s v="سٹاک"/>
    <s v="PP"/>
    <n v="9"/>
    <s v="5-5.5"/>
    <s v="PP"/>
    <n v="1500"/>
    <s v="PP"/>
    <n v="5"/>
    <n v="116"/>
    <n v="4"/>
    <m/>
    <m/>
    <n v="112"/>
    <m/>
    <n v="30"/>
    <m/>
    <m/>
    <n v="30"/>
    <n v="0.5"/>
    <m/>
    <m/>
    <m/>
    <m/>
    <m/>
    <m/>
    <m/>
    <m/>
    <n v="0"/>
    <n v="0"/>
    <n v="0.5"/>
    <n v="11.5"/>
    <n v="12"/>
    <m/>
    <m/>
    <n v="0"/>
    <m/>
    <m/>
    <x v="6"/>
    <m/>
    <m/>
    <m/>
    <m/>
  </r>
  <r>
    <x v="0"/>
    <x v="2"/>
    <s v="7194/10"/>
    <x v="90"/>
    <s v="ایم عمران پاکستان مارکیٹ"/>
    <s v="PP"/>
    <n v="9"/>
    <n v="5.5"/>
    <s v="PP"/>
    <n v="50"/>
    <s v="PP"/>
    <n v="2"/>
    <n v="52.56"/>
    <n v="1.8"/>
    <m/>
    <m/>
    <n v="50.760000000000005"/>
    <m/>
    <m/>
    <m/>
    <m/>
    <n v="0"/>
    <n v="0"/>
    <m/>
    <m/>
    <m/>
    <m/>
    <m/>
    <m/>
    <m/>
    <m/>
    <n v="0"/>
    <n v="0"/>
    <n v="0"/>
    <n v="12"/>
    <n v="12"/>
    <m/>
    <m/>
    <n v="0"/>
    <m/>
    <m/>
    <x v="6"/>
    <m/>
    <m/>
    <m/>
    <m/>
  </r>
  <r>
    <x v="0"/>
    <x v="2"/>
    <s v="7262/6"/>
    <x v="90"/>
    <s v="خرم پلاسٹک لالہ موسہ"/>
    <s v="PP"/>
    <n v="8"/>
    <n v="10"/>
    <s v="PP"/>
    <n v="50"/>
    <s v="PP"/>
    <n v="2"/>
    <n v="57.22"/>
    <n v="1.8"/>
    <m/>
    <m/>
    <n v="55.42"/>
    <m/>
    <m/>
    <m/>
    <m/>
    <n v="0"/>
    <n v="0"/>
    <m/>
    <m/>
    <m/>
    <m/>
    <m/>
    <m/>
    <m/>
    <m/>
    <n v="0"/>
    <n v="0"/>
    <n v="0"/>
    <n v="12"/>
    <n v="12"/>
    <m/>
    <m/>
    <n v="0"/>
    <m/>
    <m/>
    <x v="6"/>
    <m/>
    <m/>
    <m/>
    <m/>
  </r>
  <r>
    <x v="0"/>
    <x v="2"/>
    <s v="8/3"/>
    <x v="90"/>
    <s v="سٹاک"/>
    <s v="PP"/>
    <n v="8"/>
    <n v="5"/>
    <s v="PP"/>
    <n v="1000"/>
    <s v="PP"/>
    <n v="2"/>
    <n v="57.17"/>
    <n v="3"/>
    <m/>
    <m/>
    <n v="54.17"/>
    <m/>
    <m/>
    <m/>
    <m/>
    <n v="0"/>
    <n v="0"/>
    <m/>
    <m/>
    <m/>
    <m/>
    <m/>
    <m/>
    <m/>
    <m/>
    <n v="0"/>
    <n v="0"/>
    <n v="0"/>
    <n v="12"/>
    <n v="12"/>
    <m/>
    <m/>
    <n v="0"/>
    <m/>
    <m/>
    <x v="6"/>
    <m/>
    <m/>
    <m/>
    <m/>
  </r>
  <r>
    <x v="1"/>
    <x v="2"/>
    <s v="8/3"/>
    <x v="90"/>
    <s v="سٹاک"/>
    <s v="PP"/>
    <n v="8"/>
    <n v="5"/>
    <s v="PP"/>
    <n v="1000"/>
    <s v="PP"/>
    <n v="9"/>
    <n v="341.94"/>
    <n v="8"/>
    <m/>
    <m/>
    <n v="333.94"/>
    <m/>
    <m/>
    <m/>
    <m/>
    <n v="0"/>
    <n v="0"/>
    <m/>
    <m/>
    <m/>
    <m/>
    <m/>
    <m/>
    <m/>
    <m/>
    <n v="0"/>
    <n v="0"/>
    <n v="0"/>
    <n v="12"/>
    <n v="12"/>
    <m/>
    <m/>
    <n v="0"/>
    <m/>
    <m/>
    <x v="6"/>
    <m/>
    <m/>
    <m/>
    <m/>
  </r>
  <r>
    <x v="0"/>
    <x v="4"/>
    <s v="10/4"/>
    <x v="90"/>
    <s v="سٹاک"/>
    <s v="PP"/>
    <n v="10"/>
    <n v="5"/>
    <s v="PP"/>
    <n v="1000"/>
    <s v="PP"/>
    <n v="9"/>
    <n v="452.73000000000008"/>
    <n v="10.799999999999999"/>
    <m/>
    <m/>
    <n v="441.93000000000006"/>
    <m/>
    <m/>
    <m/>
    <m/>
    <n v="0"/>
    <n v="0"/>
    <m/>
    <m/>
    <m/>
    <m/>
    <m/>
    <m/>
    <m/>
    <m/>
    <n v="0"/>
    <n v="0"/>
    <n v="0"/>
    <n v="12"/>
    <n v="12"/>
    <m/>
    <m/>
    <n v="0"/>
    <m/>
    <m/>
    <x v="6"/>
    <m/>
    <m/>
    <m/>
    <m/>
  </r>
  <r>
    <x v="1"/>
    <x v="4"/>
    <s v="10/4"/>
    <x v="90"/>
    <s v="سٹاک"/>
    <s v="PP"/>
    <n v="10"/>
    <n v="5"/>
    <s v="PP"/>
    <n v="1000"/>
    <s v="PP"/>
    <n v="11"/>
    <n v="495.02"/>
    <n v="12.100000000000001"/>
    <m/>
    <m/>
    <n v="482.91999999999996"/>
    <m/>
    <m/>
    <m/>
    <m/>
    <n v="0"/>
    <n v="0"/>
    <m/>
    <m/>
    <m/>
    <m/>
    <m/>
    <m/>
    <m/>
    <m/>
    <n v="0"/>
    <n v="0"/>
    <n v="0"/>
    <n v="12"/>
    <n v="12"/>
    <m/>
    <m/>
    <n v="0"/>
    <m/>
    <m/>
    <x v="6"/>
    <m/>
    <m/>
    <m/>
    <m/>
  </r>
  <r>
    <x v="1"/>
    <x v="4"/>
    <s v="10/4"/>
    <x v="89"/>
    <s v="سٹاک"/>
    <s v="PP"/>
    <n v="10"/>
    <n v="5"/>
    <s v="PP"/>
    <n v="1000"/>
    <s v="PP"/>
    <n v="6"/>
    <n v="240.45999999999998"/>
    <n v="6.6000000000000005"/>
    <m/>
    <m/>
    <n v="233.85999999999999"/>
    <m/>
    <m/>
    <m/>
    <m/>
    <n v="0"/>
    <n v="0"/>
    <m/>
    <m/>
    <m/>
    <m/>
    <m/>
    <m/>
    <m/>
    <m/>
    <n v="0"/>
    <n v="0"/>
    <n v="0"/>
    <n v="12"/>
    <n v="12"/>
    <m/>
    <m/>
    <n v="0"/>
    <m/>
    <m/>
    <x v="6"/>
    <m/>
    <m/>
    <m/>
    <m/>
  </r>
  <r>
    <x v="0"/>
    <x v="0"/>
    <s v="2.5/1"/>
    <x v="91"/>
    <s v="سٹاک"/>
    <s v="PP"/>
    <n v="2.5"/>
    <s v="5.5-6"/>
    <s v="PP"/>
    <n v="20"/>
    <s v="PP"/>
    <n v="5"/>
    <n v="98.78"/>
    <n v="1"/>
    <n v="21.5"/>
    <m/>
    <n v="97.78"/>
    <m/>
    <m/>
    <m/>
    <m/>
    <n v="0"/>
    <n v="0"/>
    <m/>
    <m/>
    <m/>
    <m/>
    <m/>
    <m/>
    <m/>
    <m/>
    <n v="0"/>
    <n v="0"/>
    <n v="0"/>
    <n v="12"/>
    <n v="12"/>
    <m/>
    <n v="2152"/>
    <n v="0"/>
    <n v="1850"/>
    <m/>
    <x v="6"/>
    <m/>
    <m/>
    <m/>
    <m/>
  </r>
  <r>
    <x v="1"/>
    <x v="0"/>
    <s v="2.5/1"/>
    <x v="91"/>
    <s v="سٹاک"/>
    <s v="PP"/>
    <n v="2.5"/>
    <s v="5.5-6"/>
    <s v="PP"/>
    <n v="20"/>
    <s v="PP"/>
    <n v="5"/>
    <n v="88.679999999999993"/>
    <n v="1"/>
    <n v="19.5"/>
    <m/>
    <n v="87.679999999999993"/>
    <m/>
    <m/>
    <m/>
    <m/>
    <n v="0"/>
    <n v="0"/>
    <m/>
    <m/>
    <m/>
    <m/>
    <m/>
    <m/>
    <m/>
    <m/>
    <n v="0"/>
    <n v="0"/>
    <n v="0"/>
    <n v="12"/>
    <n v="12"/>
    <m/>
    <m/>
    <n v="0"/>
    <n v="1850"/>
    <m/>
    <x v="6"/>
    <m/>
    <m/>
    <m/>
    <m/>
  </r>
  <r>
    <x v="0"/>
    <x v="1"/>
    <s v="3 P"/>
    <x v="91"/>
    <s v="جیلانی پولی سٹاک"/>
    <s v="PP"/>
    <n v="2.5"/>
    <s v="5.5-6"/>
    <s v="PP"/>
    <s v="-"/>
    <s v="PP"/>
    <n v="3"/>
    <n v="33.659999999999997"/>
    <n v="0.89999999999999991"/>
    <m/>
    <m/>
    <n v="32.76"/>
    <m/>
    <n v="10"/>
    <m/>
    <m/>
    <n v="10"/>
    <n v="0.16666666666666666"/>
    <m/>
    <m/>
    <n v="60"/>
    <m/>
    <m/>
    <m/>
    <m/>
    <m/>
    <n v="60"/>
    <n v="1"/>
    <n v="1.1666666666666667"/>
    <n v="10.833333333333334"/>
    <n v="12"/>
    <m/>
    <m/>
    <n v="0"/>
    <m/>
    <m/>
    <x v="6"/>
    <m/>
    <m/>
    <m/>
    <m/>
  </r>
  <r>
    <x v="0"/>
    <x v="1"/>
    <s v="5/2"/>
    <x v="91"/>
    <s v="سٹاک"/>
    <s v="PP"/>
    <n v="5"/>
    <s v="5.5-6"/>
    <s v="PP"/>
    <n v="400"/>
    <s v="PP"/>
    <n v="7"/>
    <n v="106.8"/>
    <n v="3.5"/>
    <m/>
    <m/>
    <n v="103.3"/>
    <m/>
    <m/>
    <m/>
    <m/>
    <n v="0"/>
    <n v="0"/>
    <m/>
    <m/>
    <m/>
    <m/>
    <m/>
    <m/>
    <m/>
    <m/>
    <n v="0"/>
    <n v="0"/>
    <n v="0"/>
    <n v="12"/>
    <n v="12"/>
    <m/>
    <m/>
    <n v="0"/>
    <m/>
    <m/>
    <x v="6"/>
    <m/>
    <m/>
    <m/>
    <m/>
  </r>
  <r>
    <x v="1"/>
    <x v="1"/>
    <s v="5/2"/>
    <x v="91"/>
    <s v="سٹاک"/>
    <s v="PP"/>
    <n v="5"/>
    <s v="5.5-6"/>
    <s v="PP"/>
    <n v="400"/>
    <s v="PP"/>
    <n v="10"/>
    <n v="195.74"/>
    <n v="5"/>
    <m/>
    <m/>
    <n v="190.74"/>
    <m/>
    <m/>
    <m/>
    <m/>
    <n v="0"/>
    <n v="0"/>
    <m/>
    <m/>
    <m/>
    <m/>
    <m/>
    <m/>
    <m/>
    <m/>
    <n v="0"/>
    <n v="0"/>
    <n v="0"/>
    <n v="12"/>
    <n v="12"/>
    <m/>
    <m/>
    <n v="0"/>
    <m/>
    <m/>
    <x v="6"/>
    <m/>
    <m/>
    <m/>
    <m/>
  </r>
  <r>
    <x v="0"/>
    <x v="2"/>
    <s v="8/3"/>
    <x v="91"/>
    <s v="سٹاک"/>
    <s v="PP"/>
    <n v="8"/>
    <n v="5"/>
    <s v="PP"/>
    <n v="1000"/>
    <s v="PP"/>
    <n v="10"/>
    <n v="350.03000000000009"/>
    <n v="9"/>
    <m/>
    <m/>
    <n v="341.03000000000009"/>
    <m/>
    <m/>
    <m/>
    <m/>
    <n v="0"/>
    <n v="0"/>
    <m/>
    <m/>
    <m/>
    <m/>
    <m/>
    <m/>
    <m/>
    <m/>
    <n v="0"/>
    <n v="0"/>
    <n v="0"/>
    <n v="12"/>
    <n v="12"/>
    <m/>
    <m/>
    <n v="0"/>
    <m/>
    <m/>
    <x v="6"/>
    <m/>
    <m/>
    <m/>
    <m/>
  </r>
  <r>
    <x v="1"/>
    <x v="2"/>
    <s v="8/3"/>
    <x v="91"/>
    <s v="سٹاک"/>
    <s v="PP"/>
    <n v="8"/>
    <n v="5"/>
    <s v="PP"/>
    <n v="1000"/>
    <s v="PP"/>
    <n v="8"/>
    <n v="316.07000000000005"/>
    <n v="7.2"/>
    <m/>
    <m/>
    <n v="308.87000000000006"/>
    <m/>
    <m/>
    <m/>
    <m/>
    <n v="0"/>
    <n v="0"/>
    <m/>
    <m/>
    <m/>
    <m/>
    <m/>
    <m/>
    <m/>
    <m/>
    <n v="0"/>
    <n v="0"/>
    <n v="0"/>
    <n v="12"/>
    <n v="12"/>
    <m/>
    <m/>
    <n v="0"/>
    <m/>
    <m/>
    <x v="6"/>
    <m/>
    <m/>
    <m/>
    <m/>
  </r>
  <r>
    <x v="0"/>
    <x v="3"/>
    <s v="7251/1"/>
    <x v="91"/>
    <s v="ریفلیکٹ پیک لاہور"/>
    <s v="PP"/>
    <n v="17"/>
    <s v="5.5-6"/>
    <s v="PP"/>
    <n v="5000"/>
    <s v="PP"/>
    <n v="15"/>
    <n v="790.8599999999999"/>
    <n v="3.2"/>
    <m/>
    <m/>
    <n v="787.65999999999985"/>
    <m/>
    <m/>
    <m/>
    <m/>
    <n v="0"/>
    <n v="0"/>
    <m/>
    <m/>
    <m/>
    <m/>
    <m/>
    <m/>
    <m/>
    <m/>
    <n v="0"/>
    <n v="0"/>
    <n v="0"/>
    <n v="12"/>
    <n v="12"/>
    <m/>
    <m/>
    <n v="0"/>
    <m/>
    <m/>
    <x v="6"/>
    <m/>
    <m/>
    <m/>
    <m/>
  </r>
  <r>
    <x v="1"/>
    <x v="3"/>
    <s v="7251/1"/>
    <x v="91"/>
    <s v="ریفلیکٹ پیک لاہور"/>
    <s v="PP"/>
    <n v="17"/>
    <s v="5.5-6"/>
    <s v="PP"/>
    <n v="5000"/>
    <s v="PP"/>
    <n v="14"/>
    <n v="796.69999999999993"/>
    <n v="27.549999999999997"/>
    <m/>
    <m/>
    <n v="769.15"/>
    <m/>
    <m/>
    <m/>
    <m/>
    <n v="0"/>
    <n v="0"/>
    <m/>
    <m/>
    <m/>
    <m/>
    <m/>
    <m/>
    <m/>
    <m/>
    <n v="0"/>
    <n v="0"/>
    <n v="0"/>
    <n v="12"/>
    <n v="12"/>
    <m/>
    <m/>
    <n v="0"/>
    <m/>
    <m/>
    <x v="6"/>
    <m/>
    <m/>
    <m/>
    <m/>
  </r>
  <r>
    <x v="0"/>
    <x v="4"/>
    <s v="10/4"/>
    <x v="91"/>
    <s v="سٹاک"/>
    <s v="PP"/>
    <n v="10"/>
    <n v="5"/>
    <s v="PP"/>
    <n v="1000"/>
    <s v="PP"/>
    <n v="5"/>
    <n v="205.47000000000003"/>
    <n v="6.35"/>
    <m/>
    <m/>
    <n v="199.12000000000003"/>
    <m/>
    <n v="20"/>
    <m/>
    <m/>
    <n v="20"/>
    <n v="0.33333333333333331"/>
    <m/>
    <m/>
    <m/>
    <m/>
    <m/>
    <m/>
    <m/>
    <m/>
    <n v="0"/>
    <n v="0"/>
    <n v="0.33333333333333331"/>
    <n v="11.666666666666666"/>
    <n v="12"/>
    <m/>
    <m/>
    <n v="0"/>
    <m/>
    <m/>
    <x v="6"/>
    <m/>
    <m/>
    <m/>
    <m/>
  </r>
  <r>
    <x v="0"/>
    <x v="4"/>
    <s v="7247/1"/>
    <x v="91"/>
    <s v="ایم عمران پاکستان مارکیٹ"/>
    <s v="PP"/>
    <n v="15"/>
    <n v="6.5"/>
    <s v="PP"/>
    <n v="1000"/>
    <s v="PP"/>
    <n v="10"/>
    <n v="377.18"/>
    <n v="17"/>
    <m/>
    <m/>
    <n v="360.18"/>
    <m/>
    <m/>
    <m/>
    <m/>
    <n v="0"/>
    <n v="0"/>
    <m/>
    <m/>
    <m/>
    <m/>
    <m/>
    <m/>
    <m/>
    <m/>
    <n v="0"/>
    <n v="0"/>
    <n v="0"/>
    <n v="12"/>
    <n v="12"/>
    <m/>
    <m/>
    <n v="0"/>
    <m/>
    <m/>
    <x v="6"/>
    <m/>
    <m/>
    <m/>
    <m/>
  </r>
  <r>
    <x v="1"/>
    <x v="4"/>
    <s v="7247/1"/>
    <x v="91"/>
    <s v="ایم عمران پاکستان مارکیٹ"/>
    <s v="PP"/>
    <n v="15"/>
    <n v="6.5"/>
    <s v="PP"/>
    <n v="1000"/>
    <s v="PP"/>
    <n v="16"/>
    <n v="603.85"/>
    <n v="25.799999999999997"/>
    <m/>
    <m/>
    <n v="578.05000000000007"/>
    <m/>
    <m/>
    <m/>
    <m/>
    <n v="0"/>
    <n v="0"/>
    <m/>
    <m/>
    <m/>
    <m/>
    <m/>
    <m/>
    <m/>
    <m/>
    <n v="0"/>
    <n v="0"/>
    <n v="0"/>
    <n v="12"/>
    <n v="12"/>
    <m/>
    <m/>
    <n v="0"/>
    <m/>
    <m/>
    <x v="6"/>
    <m/>
    <m/>
    <m/>
    <m/>
  </r>
  <r>
    <x v="0"/>
    <x v="0"/>
    <s v="2.5/1"/>
    <x v="92"/>
    <s v="سٹاک"/>
    <s v="PP"/>
    <n v="2.5"/>
    <s v="5.5-6"/>
    <s v="PP"/>
    <n v="20"/>
    <s v="PP"/>
    <n v="6"/>
    <n v="90.960000000000008"/>
    <n v="1.2000000000000002"/>
    <n v="22"/>
    <m/>
    <n v="89.76"/>
    <m/>
    <m/>
    <m/>
    <m/>
    <n v="0"/>
    <n v="0"/>
    <m/>
    <m/>
    <m/>
    <m/>
    <m/>
    <m/>
    <m/>
    <m/>
    <n v="0"/>
    <n v="0"/>
    <n v="0"/>
    <n v="12"/>
    <n v="12"/>
    <m/>
    <n v="1907"/>
    <n v="0"/>
    <n v="1800"/>
    <m/>
    <x v="0"/>
    <m/>
    <m/>
    <m/>
    <m/>
  </r>
  <r>
    <x v="1"/>
    <x v="0"/>
    <s v="2.5/1"/>
    <x v="92"/>
    <s v="سٹاک"/>
    <s v="PP"/>
    <n v="2.5"/>
    <s v="5.5-6"/>
    <s v="PP"/>
    <n v="20"/>
    <s v="PP"/>
    <n v="5"/>
    <n v="91.65"/>
    <n v="1"/>
    <n v="19"/>
    <m/>
    <n v="90.65"/>
    <m/>
    <m/>
    <m/>
    <m/>
    <n v="0"/>
    <n v="0"/>
    <m/>
    <m/>
    <m/>
    <m/>
    <m/>
    <m/>
    <m/>
    <m/>
    <n v="0"/>
    <n v="0"/>
    <n v="0"/>
    <n v="12"/>
    <n v="12"/>
    <m/>
    <m/>
    <n v="0"/>
    <n v="1900"/>
    <m/>
    <x v="0"/>
    <m/>
    <m/>
    <m/>
    <m/>
  </r>
  <r>
    <x v="0"/>
    <x v="1"/>
    <s v="5/2"/>
    <x v="92"/>
    <s v="سٹاک"/>
    <s v="PP"/>
    <n v="5"/>
    <s v="5.5-6"/>
    <s v="PP"/>
    <n v="400"/>
    <s v="PP"/>
    <n v="10"/>
    <n v="169.62999999999997"/>
    <n v="5"/>
    <m/>
    <m/>
    <n v="164.62999999999997"/>
    <m/>
    <m/>
    <m/>
    <m/>
    <n v="0"/>
    <n v="0"/>
    <m/>
    <m/>
    <m/>
    <m/>
    <m/>
    <m/>
    <m/>
    <m/>
    <n v="0"/>
    <n v="0"/>
    <n v="0"/>
    <n v="12"/>
    <n v="12"/>
    <m/>
    <m/>
    <n v="0"/>
    <m/>
    <m/>
    <x v="0"/>
    <m/>
    <m/>
    <m/>
    <m/>
  </r>
  <r>
    <x v="1"/>
    <x v="1"/>
    <s v="5/2"/>
    <x v="92"/>
    <s v="سٹاک"/>
    <s v="PP"/>
    <n v="5"/>
    <s v="5.5-6"/>
    <s v="PP"/>
    <n v="400"/>
    <s v="PP"/>
    <n v="6"/>
    <n v="121.73"/>
    <n v="3"/>
    <m/>
    <m/>
    <n v="118.73"/>
    <m/>
    <n v="15"/>
    <m/>
    <m/>
    <n v="15"/>
    <n v="0.25"/>
    <m/>
    <m/>
    <m/>
    <m/>
    <m/>
    <m/>
    <m/>
    <m/>
    <n v="0"/>
    <n v="0"/>
    <n v="0.25"/>
    <n v="11.75"/>
    <n v="12"/>
    <m/>
    <m/>
    <n v="0"/>
    <m/>
    <m/>
    <x v="0"/>
    <m/>
    <m/>
    <m/>
    <m/>
  </r>
  <r>
    <x v="1"/>
    <x v="1"/>
    <s v="7262/5"/>
    <x v="92"/>
    <s v="خرم پلاسٹک لالہ موسہ"/>
    <s v="PP"/>
    <n v="5.5"/>
    <n v="10"/>
    <s v="PP"/>
    <n v="75"/>
    <s v="PP"/>
    <n v="4"/>
    <n v="67.91"/>
    <n v="2"/>
    <m/>
    <m/>
    <n v="65.91"/>
    <m/>
    <m/>
    <m/>
    <m/>
    <n v="0"/>
    <n v="0"/>
    <m/>
    <m/>
    <m/>
    <m/>
    <m/>
    <m/>
    <m/>
    <m/>
    <n v="0"/>
    <n v="0"/>
    <n v="0"/>
    <n v="12"/>
    <n v="12"/>
    <m/>
    <m/>
    <n v="0"/>
    <m/>
    <m/>
    <x v="0"/>
    <m/>
    <m/>
    <m/>
    <m/>
  </r>
  <r>
    <x v="0"/>
    <x v="2"/>
    <s v="8/3"/>
    <x v="92"/>
    <s v="سٹاک"/>
    <s v="PP"/>
    <n v="8"/>
    <n v="5"/>
    <s v="PP"/>
    <n v="1000"/>
    <s v="PP"/>
    <n v="9"/>
    <n v="323.01000000000005"/>
    <n v="7.2"/>
    <m/>
    <m/>
    <n v="315.81000000000006"/>
    <m/>
    <m/>
    <m/>
    <m/>
    <n v="0"/>
    <n v="0"/>
    <m/>
    <m/>
    <m/>
    <m/>
    <m/>
    <m/>
    <m/>
    <m/>
    <n v="0"/>
    <n v="0"/>
    <n v="0"/>
    <n v="12"/>
    <n v="12"/>
    <m/>
    <m/>
    <n v="0"/>
    <m/>
    <m/>
    <x v="0"/>
    <m/>
    <m/>
    <m/>
    <m/>
  </r>
  <r>
    <x v="1"/>
    <x v="2"/>
    <s v="8/3"/>
    <x v="92"/>
    <s v="سٹاک"/>
    <s v="PP"/>
    <n v="8"/>
    <n v="5"/>
    <s v="PP"/>
    <n v="1000"/>
    <s v="PP"/>
    <n v="4"/>
    <n v="167.74"/>
    <n v="3.6"/>
    <m/>
    <m/>
    <n v="164.14000000000001"/>
    <m/>
    <n v="20"/>
    <m/>
    <m/>
    <n v="20"/>
    <n v="0.33333333333333331"/>
    <m/>
    <m/>
    <m/>
    <m/>
    <m/>
    <m/>
    <m/>
    <m/>
    <n v="0"/>
    <n v="0"/>
    <n v="0.33333333333333331"/>
    <n v="11.666666666666666"/>
    <n v="12"/>
    <m/>
    <m/>
    <n v="0"/>
    <m/>
    <m/>
    <x v="0"/>
    <m/>
    <m/>
    <m/>
    <m/>
  </r>
  <r>
    <x v="1"/>
    <x v="2"/>
    <s v="7287/4"/>
    <x v="92"/>
    <s v="بلال جاوید فیصل اباد"/>
    <s v="PP"/>
    <n v="8"/>
    <n v="10"/>
    <s v="PP"/>
    <n v="100"/>
    <s v="PP"/>
    <n v="4"/>
    <n v="110.92"/>
    <n v="3.2"/>
    <m/>
    <m/>
    <n v="107.72"/>
    <m/>
    <m/>
    <m/>
    <m/>
    <n v="0"/>
    <n v="0"/>
    <m/>
    <m/>
    <m/>
    <m/>
    <m/>
    <m/>
    <m/>
    <m/>
    <n v="0"/>
    <n v="0"/>
    <n v="0"/>
    <n v="12"/>
    <n v="12"/>
    <m/>
    <m/>
    <n v="0"/>
    <m/>
    <m/>
    <x v="0"/>
    <m/>
    <m/>
    <m/>
    <m/>
  </r>
  <r>
    <x v="1"/>
    <x v="2"/>
    <s v="7/4"/>
    <x v="92"/>
    <s v="سٹاک"/>
    <s v="PP"/>
    <n v="7"/>
    <n v="5"/>
    <s v="PP"/>
    <n v="800"/>
    <s v="PP"/>
    <n v="1"/>
    <n v="32.85"/>
    <n v="0.7"/>
    <m/>
    <m/>
    <n v="32.15"/>
    <m/>
    <m/>
    <m/>
    <m/>
    <n v="0"/>
    <n v="0"/>
    <m/>
    <m/>
    <m/>
    <m/>
    <m/>
    <m/>
    <m/>
    <m/>
    <n v="0"/>
    <n v="0"/>
    <n v="0"/>
    <n v="12"/>
    <n v="12"/>
    <m/>
    <m/>
    <n v="0"/>
    <m/>
    <m/>
    <x v="0"/>
    <m/>
    <m/>
    <m/>
    <m/>
  </r>
  <r>
    <x v="0"/>
    <x v="3"/>
    <s v="7251/1"/>
    <x v="92"/>
    <s v="ریفلیکٹ پیک لاہور"/>
    <s v="PP"/>
    <n v="17"/>
    <s v="5.5-6"/>
    <s v="PP"/>
    <n v="5000"/>
    <s v="PP"/>
    <n v="5"/>
    <n v="268.68"/>
    <n v="10"/>
    <m/>
    <m/>
    <n v="258.68"/>
    <m/>
    <m/>
    <m/>
    <m/>
    <n v="0"/>
    <n v="0"/>
    <m/>
    <m/>
    <m/>
    <m/>
    <m/>
    <m/>
    <m/>
    <m/>
    <n v="0"/>
    <n v="0"/>
    <n v="0"/>
    <n v="12"/>
    <n v="12"/>
    <m/>
    <m/>
    <n v="0"/>
    <m/>
    <m/>
    <x v="0"/>
    <m/>
    <m/>
    <m/>
    <m/>
  </r>
  <r>
    <x v="0"/>
    <x v="3"/>
    <s v="7269/7"/>
    <x v="92"/>
    <s v="ہیڈ افس سٹاک لاہور"/>
    <s v="PP"/>
    <n v="19"/>
    <n v="7"/>
    <s v="PP"/>
    <n v="100"/>
    <s v="PP"/>
    <n v="5"/>
    <n v="202.23000000000002"/>
    <n v="10.5"/>
    <m/>
    <m/>
    <n v="191.73000000000002"/>
    <m/>
    <m/>
    <m/>
    <m/>
    <n v="0"/>
    <n v="0"/>
    <m/>
    <m/>
    <m/>
    <m/>
    <m/>
    <m/>
    <m/>
    <m/>
    <n v="0"/>
    <n v="0"/>
    <n v="0"/>
    <n v="12"/>
    <n v="12"/>
    <m/>
    <m/>
    <n v="0"/>
    <m/>
    <m/>
    <x v="0"/>
    <m/>
    <m/>
    <m/>
    <m/>
  </r>
  <r>
    <x v="0"/>
    <x v="3"/>
    <s v="4237 J"/>
    <x v="92"/>
    <s v="Alam Bakers Shahdra"/>
    <s v="PP"/>
    <n v="19"/>
    <s v="6-6.5"/>
    <s v="PP"/>
    <n v="100"/>
    <s v="PP"/>
    <n v="3"/>
    <n v="99.6"/>
    <n v="6.3000000000000007"/>
    <m/>
    <m/>
    <n v="93.3"/>
    <m/>
    <m/>
    <m/>
    <m/>
    <n v="0"/>
    <n v="0"/>
    <m/>
    <m/>
    <m/>
    <m/>
    <m/>
    <m/>
    <m/>
    <m/>
    <n v="0"/>
    <n v="0"/>
    <n v="0"/>
    <n v="12"/>
    <n v="12"/>
    <m/>
    <m/>
    <n v="0"/>
    <m/>
    <m/>
    <x v="0"/>
    <m/>
    <m/>
    <m/>
    <m/>
  </r>
  <r>
    <x v="0"/>
    <x v="3"/>
    <s v="7291/1"/>
    <x v="92"/>
    <s v="ایم بلال وحدت روڈ"/>
    <s v="PP"/>
    <n v="17"/>
    <s v="8.5-9"/>
    <s v="PP"/>
    <n v="2000"/>
    <s v="PP"/>
    <n v="3"/>
    <n v="109.99000000000001"/>
    <n v="6"/>
    <m/>
    <m/>
    <n v="103.99000000000001"/>
    <m/>
    <m/>
    <m/>
    <m/>
    <n v="0"/>
    <n v="0"/>
    <m/>
    <m/>
    <m/>
    <m/>
    <m/>
    <m/>
    <m/>
    <m/>
    <n v="0"/>
    <n v="0"/>
    <n v="0"/>
    <n v="12"/>
    <n v="12"/>
    <m/>
    <m/>
    <n v="0"/>
    <m/>
    <m/>
    <x v="0"/>
    <m/>
    <m/>
    <m/>
    <m/>
  </r>
  <r>
    <x v="1"/>
    <x v="3"/>
    <s v="7291/1"/>
    <x v="92"/>
    <s v="ایم بلال وحدت روڈ"/>
    <s v="PP"/>
    <n v="17"/>
    <s v="8.5-9"/>
    <s v="PP"/>
    <n v="2000"/>
    <s v="PP"/>
    <n v="16"/>
    <n v="857.38000000000011"/>
    <n v="30.4"/>
    <m/>
    <m/>
    <n v="826.98000000000013"/>
    <m/>
    <m/>
    <m/>
    <m/>
    <n v="0"/>
    <n v="0"/>
    <m/>
    <m/>
    <m/>
    <m/>
    <m/>
    <m/>
    <m/>
    <m/>
    <n v="0"/>
    <n v="0"/>
    <n v="0"/>
    <n v="12"/>
    <n v="12"/>
    <m/>
    <m/>
    <n v="0"/>
    <m/>
    <m/>
    <x v="0"/>
    <m/>
    <m/>
    <m/>
    <m/>
  </r>
  <r>
    <x v="0"/>
    <x v="4"/>
    <s v="7247/1"/>
    <x v="92"/>
    <s v="ایم عمران پاکستان مارکیٹ"/>
    <s v="PP"/>
    <n v="15"/>
    <n v="6.5"/>
    <s v="PP"/>
    <n v="1000"/>
    <s v="PP"/>
    <n v="1"/>
    <n v="38.869999999999997"/>
    <n v="1.22"/>
    <m/>
    <m/>
    <n v="37.65"/>
    <m/>
    <n v="50"/>
    <m/>
    <m/>
    <n v="50"/>
    <n v="0.83333333333333348"/>
    <m/>
    <m/>
    <m/>
    <m/>
    <m/>
    <m/>
    <m/>
    <m/>
    <n v="0"/>
    <n v="0"/>
    <n v="0.83333333333333348"/>
    <n v="11.166666666666666"/>
    <n v="12"/>
    <m/>
    <m/>
    <n v="0"/>
    <m/>
    <m/>
    <x v="0"/>
    <m/>
    <m/>
    <m/>
    <m/>
  </r>
  <r>
    <x v="0"/>
    <x v="4"/>
    <s v="11/3"/>
    <x v="92"/>
    <s v="سٹاک"/>
    <s v="PP"/>
    <n v="11"/>
    <s v="5-5.5"/>
    <s v="PP"/>
    <n v="1000"/>
    <s v="PP"/>
    <n v="10"/>
    <n v="481.34999999999997"/>
    <n v="13"/>
    <m/>
    <m/>
    <n v="468.34999999999997"/>
    <m/>
    <n v="20"/>
    <m/>
    <m/>
    <n v="20"/>
    <n v="0.33333333333333331"/>
    <m/>
    <m/>
    <m/>
    <m/>
    <m/>
    <m/>
    <m/>
    <m/>
    <n v="0"/>
    <n v="0"/>
    <n v="0.33333333333333331"/>
    <n v="11.666666666666666"/>
    <n v="12"/>
    <m/>
    <m/>
    <n v="0"/>
    <m/>
    <m/>
    <x v="0"/>
    <m/>
    <m/>
    <m/>
    <m/>
  </r>
  <r>
    <x v="1"/>
    <x v="4"/>
    <s v="11/3"/>
    <x v="92"/>
    <s v="سٹاک"/>
    <s v="PP"/>
    <n v="11"/>
    <s v="5-5.5"/>
    <s v="PP"/>
    <n v="1000"/>
    <s v="PP"/>
    <n v="9"/>
    <n v="459.49"/>
    <n v="12.6"/>
    <m/>
    <m/>
    <n v="446.89"/>
    <m/>
    <m/>
    <m/>
    <m/>
    <n v="0"/>
    <n v="0"/>
    <m/>
    <m/>
    <m/>
    <m/>
    <m/>
    <m/>
    <m/>
    <m/>
    <n v="0"/>
    <n v="0"/>
    <n v="0"/>
    <n v="12"/>
    <n v="12"/>
    <m/>
    <m/>
    <n v="0"/>
    <m/>
    <m/>
    <x v="0"/>
    <m/>
    <m/>
    <m/>
    <m/>
  </r>
  <r>
    <x v="0"/>
    <x v="0"/>
    <s v="2.5/1"/>
    <x v="93"/>
    <s v="سٹاک"/>
    <s v="PP"/>
    <n v="2.5"/>
    <s v="5.5-6"/>
    <s v="PP"/>
    <n v="20"/>
    <s v="PP"/>
    <n v="7"/>
    <n v="84.16"/>
    <n v="1.4000000000000001"/>
    <n v="22.5"/>
    <m/>
    <n v="82.759999999999991"/>
    <m/>
    <m/>
    <m/>
    <m/>
    <n v="0"/>
    <n v="0"/>
    <m/>
    <m/>
    <m/>
    <m/>
    <m/>
    <m/>
    <m/>
    <m/>
    <n v="0"/>
    <n v="0"/>
    <n v="0"/>
    <n v="12"/>
    <n v="12"/>
    <m/>
    <n v="2011.5"/>
    <n v="0"/>
    <n v="1950"/>
    <m/>
    <x v="0"/>
    <m/>
    <m/>
    <m/>
    <m/>
  </r>
  <r>
    <x v="1"/>
    <x v="0"/>
    <s v="2.5/1"/>
    <x v="93"/>
    <s v="سٹاک"/>
    <s v="PP"/>
    <n v="2.5"/>
    <s v="5.5-6"/>
    <s v="PP"/>
    <n v="20"/>
    <s v="PP"/>
    <n v="8"/>
    <n v="94.48"/>
    <n v="1.6"/>
    <n v="40.5"/>
    <m/>
    <n v="92.88000000000001"/>
    <m/>
    <m/>
    <m/>
    <m/>
    <n v="0"/>
    <n v="0"/>
    <m/>
    <m/>
    <m/>
    <m/>
    <m/>
    <m/>
    <m/>
    <m/>
    <n v="0"/>
    <n v="0"/>
    <n v="0"/>
    <n v="12"/>
    <n v="12"/>
    <m/>
    <m/>
    <n v="0"/>
    <n v="1950"/>
    <m/>
    <x v="0"/>
    <m/>
    <m/>
    <m/>
    <m/>
  </r>
  <r>
    <x v="0"/>
    <x v="1"/>
    <s v="3/1"/>
    <x v="93"/>
    <s v="سٹاک"/>
    <s v="PP"/>
    <n v="3"/>
    <s v="5.5-6"/>
    <s v="PP"/>
    <n v="250"/>
    <s v="PP"/>
    <n v="8"/>
    <n v="124.69"/>
    <n v="2.4"/>
    <m/>
    <m/>
    <n v="122.28999999999999"/>
    <m/>
    <m/>
    <m/>
    <m/>
    <n v="0"/>
    <n v="0"/>
    <m/>
    <m/>
    <m/>
    <m/>
    <m/>
    <m/>
    <m/>
    <m/>
    <n v="0"/>
    <n v="0"/>
    <n v="0"/>
    <n v="12"/>
    <n v="12"/>
    <m/>
    <m/>
    <n v="0"/>
    <m/>
    <m/>
    <x v="0"/>
    <m/>
    <m/>
    <m/>
    <m/>
  </r>
  <r>
    <x v="1"/>
    <x v="1"/>
    <s v="3/1"/>
    <x v="93"/>
    <s v="سٹاک"/>
    <s v="PP"/>
    <n v="3"/>
    <s v="5.5-6"/>
    <s v="PP"/>
    <n v="250"/>
    <s v="PP"/>
    <n v="8"/>
    <n v="144.05000000000001"/>
    <n v="2.4"/>
    <m/>
    <m/>
    <n v="141.65"/>
    <m/>
    <m/>
    <m/>
    <m/>
    <n v="0"/>
    <n v="0"/>
    <m/>
    <m/>
    <m/>
    <m/>
    <m/>
    <m/>
    <m/>
    <m/>
    <n v="0"/>
    <n v="0"/>
    <n v="0"/>
    <n v="12"/>
    <n v="12"/>
    <m/>
    <m/>
    <n v="0"/>
    <m/>
    <m/>
    <x v="0"/>
    <m/>
    <m/>
    <m/>
    <m/>
  </r>
  <r>
    <x v="0"/>
    <x v="2"/>
    <s v="7/4"/>
    <x v="93"/>
    <s v="سٹاک"/>
    <s v="PP"/>
    <n v="7"/>
    <n v="5"/>
    <s v="PP"/>
    <n v="800"/>
    <s v="PP"/>
    <n v="10"/>
    <n v="274.42999999999995"/>
    <n v="7"/>
    <m/>
    <m/>
    <n v="267.42999999999995"/>
    <m/>
    <m/>
    <m/>
    <m/>
    <n v="0"/>
    <n v="0"/>
    <m/>
    <m/>
    <m/>
    <m/>
    <m/>
    <m/>
    <m/>
    <m/>
    <n v="0"/>
    <n v="0"/>
    <n v="0"/>
    <n v="12"/>
    <n v="12"/>
    <m/>
    <m/>
    <n v="0"/>
    <m/>
    <m/>
    <x v="0"/>
    <m/>
    <m/>
    <m/>
    <m/>
  </r>
  <r>
    <x v="1"/>
    <x v="2"/>
    <s v="7/4"/>
    <x v="93"/>
    <s v="سٹاک"/>
    <s v="PP"/>
    <n v="7"/>
    <n v="5"/>
    <s v="PP"/>
    <n v="800"/>
    <s v="PP"/>
    <n v="10"/>
    <n v="293.43"/>
    <n v="7"/>
    <m/>
    <m/>
    <n v="286.43"/>
    <m/>
    <m/>
    <m/>
    <m/>
    <n v="0"/>
    <n v="0"/>
    <m/>
    <m/>
    <m/>
    <m/>
    <m/>
    <m/>
    <m/>
    <m/>
    <n v="0"/>
    <n v="0"/>
    <n v="0"/>
    <n v="12"/>
    <n v="12"/>
    <m/>
    <m/>
    <n v="0"/>
    <m/>
    <m/>
    <x v="0"/>
    <m/>
    <m/>
    <m/>
    <m/>
  </r>
  <r>
    <x v="0"/>
    <x v="3"/>
    <s v="7291/1"/>
    <x v="93"/>
    <s v="ایم بلال وحدت روڈ"/>
    <s v="PP"/>
    <n v="17"/>
    <s v="8.5-9"/>
    <s v="PP"/>
    <n v="2000"/>
    <s v="PP"/>
    <n v="17"/>
    <n v="882.4899999999999"/>
    <n v="33.299999999999997"/>
    <m/>
    <m/>
    <n v="849.18999999999994"/>
    <m/>
    <m/>
    <m/>
    <m/>
    <n v="0"/>
    <n v="0"/>
    <m/>
    <m/>
    <m/>
    <m/>
    <m/>
    <m/>
    <m/>
    <m/>
    <n v="0"/>
    <n v="0"/>
    <n v="0"/>
    <n v="12"/>
    <n v="12"/>
    <m/>
    <m/>
    <n v="0"/>
    <m/>
    <m/>
    <x v="0"/>
    <m/>
    <m/>
    <m/>
    <m/>
  </r>
  <r>
    <x v="1"/>
    <x v="3"/>
    <s v="7291/1"/>
    <x v="93"/>
    <s v="ایم بلال وحدت روڈ"/>
    <s v="PP"/>
    <n v="17"/>
    <s v="8.5-9"/>
    <s v="PP"/>
    <n v="2000"/>
    <s v="PP"/>
    <n v="4"/>
    <n v="272.45999999999998"/>
    <n v="7.8"/>
    <m/>
    <m/>
    <n v="264.65999999999997"/>
    <m/>
    <n v="40"/>
    <m/>
    <m/>
    <n v="40"/>
    <n v="0.66666666666666663"/>
    <m/>
    <m/>
    <m/>
    <m/>
    <m/>
    <m/>
    <m/>
    <m/>
    <n v="0"/>
    <n v="0"/>
    <n v="0.66666666666666663"/>
    <n v="11.333333333333334"/>
    <n v="12"/>
    <m/>
    <m/>
    <n v="0"/>
    <m/>
    <m/>
    <x v="0"/>
    <m/>
    <m/>
    <m/>
    <m/>
  </r>
  <r>
    <x v="1"/>
    <x v="3"/>
    <s v="7282/1"/>
    <x v="93"/>
    <s v="شمس القمر سٹال اعظم مارکیٹ"/>
    <s v="PP"/>
    <n v="26"/>
    <n v="14"/>
    <s v="PP"/>
    <n v="250"/>
    <s v="PP"/>
    <n v="6"/>
    <n v="273.07"/>
    <n v="21.23"/>
    <m/>
    <m/>
    <n v="251.84"/>
    <m/>
    <m/>
    <m/>
    <m/>
    <n v="0"/>
    <n v="0"/>
    <m/>
    <m/>
    <m/>
    <m/>
    <m/>
    <m/>
    <m/>
    <m/>
    <n v="0"/>
    <n v="0"/>
    <n v="0"/>
    <n v="12"/>
    <n v="12"/>
    <m/>
    <m/>
    <n v="0"/>
    <m/>
    <m/>
    <x v="0"/>
    <m/>
    <m/>
    <m/>
    <m/>
  </r>
  <r>
    <x v="1"/>
    <x v="3"/>
    <s v="4292 J"/>
    <x v="93"/>
    <s v="Jilani plastic"/>
    <s v="PP"/>
    <n v="24"/>
    <s v="5-5.5"/>
    <s v="PP"/>
    <n v="400"/>
    <s v="PP"/>
    <n v="4"/>
    <n v="263"/>
    <n v="6.4499999999999993"/>
    <m/>
    <m/>
    <n v="256.55"/>
    <m/>
    <m/>
    <m/>
    <m/>
    <n v="0"/>
    <n v="0"/>
    <m/>
    <m/>
    <m/>
    <m/>
    <m/>
    <m/>
    <m/>
    <m/>
    <n v="0"/>
    <n v="0"/>
    <n v="0"/>
    <n v="12"/>
    <n v="12"/>
    <m/>
    <m/>
    <n v="0"/>
    <m/>
    <m/>
    <x v="0"/>
    <m/>
    <m/>
    <m/>
    <m/>
  </r>
  <r>
    <x v="0"/>
    <x v="4"/>
    <s v="11/3"/>
    <x v="93"/>
    <s v="سٹاک"/>
    <s v="PP"/>
    <n v="11"/>
    <s v="5-5.5"/>
    <s v="PP"/>
    <n v="1000"/>
    <s v="PP"/>
    <n v="7"/>
    <n v="369.25999999999993"/>
    <n v="7"/>
    <m/>
    <m/>
    <n v="362.25999999999993"/>
    <m/>
    <n v="20"/>
    <m/>
    <m/>
    <n v="20"/>
    <n v="0.33333333333333331"/>
    <m/>
    <m/>
    <m/>
    <m/>
    <m/>
    <m/>
    <m/>
    <m/>
    <n v="0"/>
    <n v="0"/>
    <n v="0.33333333333333331"/>
    <n v="11.666666666666666"/>
    <n v="12"/>
    <m/>
    <m/>
    <n v="0"/>
    <m/>
    <m/>
    <x v="0"/>
    <m/>
    <m/>
    <m/>
    <m/>
  </r>
  <r>
    <x v="0"/>
    <x v="4"/>
    <s v="14/3"/>
    <x v="93"/>
    <s v="سٹاک"/>
    <s v="PP"/>
    <n v="14"/>
    <n v="5"/>
    <s v="PP"/>
    <n v="500"/>
    <s v="PP"/>
    <n v="4"/>
    <n v="179.53999999999996"/>
    <n v="6.48"/>
    <m/>
    <m/>
    <n v="173.05999999999997"/>
    <m/>
    <m/>
    <m/>
    <m/>
    <n v="0"/>
    <n v="0"/>
    <m/>
    <m/>
    <m/>
    <m/>
    <m/>
    <m/>
    <m/>
    <m/>
    <n v="0"/>
    <n v="0"/>
    <n v="0"/>
    <n v="12"/>
    <n v="12"/>
    <m/>
    <m/>
    <n v="0"/>
    <m/>
    <m/>
    <x v="0"/>
    <m/>
    <m/>
    <m/>
    <m/>
  </r>
  <r>
    <x v="1"/>
    <x v="4"/>
    <s v="14/3"/>
    <x v="93"/>
    <s v="سٹاک"/>
    <s v="PP"/>
    <n v="14"/>
    <n v="5"/>
    <s v="PP"/>
    <n v="500"/>
    <s v="PP"/>
    <n v="10"/>
    <n v="566.11"/>
    <n v="16"/>
    <m/>
    <m/>
    <n v="550.11"/>
    <m/>
    <m/>
    <m/>
    <m/>
    <n v="0"/>
    <n v="0"/>
    <m/>
    <m/>
    <m/>
    <m/>
    <m/>
    <m/>
    <m/>
    <m/>
    <n v="0"/>
    <n v="0"/>
    <n v="0"/>
    <n v="12"/>
    <n v="12"/>
    <m/>
    <m/>
    <n v="0"/>
    <m/>
    <m/>
    <x v="0"/>
    <m/>
    <m/>
    <m/>
    <m/>
  </r>
  <r>
    <x v="0"/>
    <x v="0"/>
    <s v="2.5/1"/>
    <x v="94"/>
    <s v="سٹاک"/>
    <s v="PP"/>
    <n v="2.5"/>
    <s v="5.5-6"/>
    <s v="PP"/>
    <n v="20"/>
    <s v="PP"/>
    <n v="4"/>
    <n v="62.1"/>
    <n v="0.8"/>
    <n v="52.5"/>
    <m/>
    <n v="61.300000000000004"/>
    <m/>
    <n v="10"/>
    <m/>
    <m/>
    <n v="10"/>
    <n v="0.16666666666666666"/>
    <m/>
    <m/>
    <m/>
    <m/>
    <m/>
    <m/>
    <n v="30"/>
    <m/>
    <n v="30"/>
    <n v="0.5"/>
    <n v="0.66666666666666663"/>
    <n v="11.333333333333334"/>
    <n v="12"/>
    <m/>
    <n v="1904.5"/>
    <n v="0"/>
    <m/>
    <m/>
    <x v="0"/>
    <m/>
    <m/>
    <m/>
    <m/>
  </r>
  <r>
    <x v="0"/>
    <x v="0"/>
    <s v="3.5/1"/>
    <x v="94"/>
    <s v="سٹاک"/>
    <s v="PP"/>
    <n v="3.5"/>
    <s v="5.5-6"/>
    <s v="PP"/>
    <n v="500"/>
    <s v="PP"/>
    <n v="4"/>
    <n v="53.269999999999996"/>
    <n v="1.2"/>
    <m/>
    <m/>
    <n v="52.069999999999993"/>
    <m/>
    <m/>
    <m/>
    <m/>
    <n v="0"/>
    <n v="0"/>
    <m/>
    <m/>
    <m/>
    <m/>
    <m/>
    <m/>
    <m/>
    <m/>
    <n v="0"/>
    <n v="0"/>
    <n v="0"/>
    <n v="12"/>
    <n v="12"/>
    <m/>
    <m/>
    <n v="0"/>
    <m/>
    <m/>
    <x v="0"/>
    <m/>
    <m/>
    <m/>
    <m/>
  </r>
  <r>
    <x v="1"/>
    <x v="0"/>
    <s v="7245/1"/>
    <x v="94"/>
    <s v="-"/>
    <m/>
    <m/>
    <m/>
    <m/>
    <m/>
    <s v="PP"/>
    <n v="7"/>
    <n v="105.62"/>
    <n v="2.1"/>
    <n v="29.5"/>
    <m/>
    <n v="103.52000000000001"/>
    <m/>
    <m/>
    <m/>
    <m/>
    <n v="0"/>
    <n v="0"/>
    <m/>
    <m/>
    <m/>
    <m/>
    <m/>
    <m/>
    <m/>
    <m/>
    <n v="0"/>
    <n v="0"/>
    <n v="0"/>
    <n v="12"/>
    <n v="12"/>
    <m/>
    <m/>
    <n v="0"/>
    <m/>
    <m/>
    <x v="0"/>
    <m/>
    <m/>
    <m/>
    <m/>
  </r>
  <r>
    <x v="0"/>
    <x v="1"/>
    <s v="3/1"/>
    <x v="94"/>
    <s v="سٹاک"/>
    <s v="PP"/>
    <n v="3"/>
    <s v="5.5-6"/>
    <s v="PP"/>
    <n v="250"/>
    <s v="PP"/>
    <n v="4"/>
    <n v="63.26"/>
    <n v="1.2"/>
    <m/>
    <m/>
    <n v="62.059999999999995"/>
    <m/>
    <n v="20"/>
    <m/>
    <m/>
    <n v="20"/>
    <n v="0.33333333333333331"/>
    <m/>
    <m/>
    <m/>
    <m/>
    <m/>
    <m/>
    <m/>
    <m/>
    <n v="0"/>
    <n v="0"/>
    <n v="0.33333333333333331"/>
    <n v="11.666666666666666"/>
    <n v="12"/>
    <m/>
    <m/>
    <n v="0"/>
    <m/>
    <m/>
    <x v="0"/>
    <m/>
    <m/>
    <m/>
    <m/>
  </r>
  <r>
    <x v="0"/>
    <x v="1"/>
    <s v="7245/3"/>
    <x v="94"/>
    <s v="-"/>
    <m/>
    <m/>
    <m/>
    <m/>
    <m/>
    <s v="PP"/>
    <n v="3"/>
    <n v="40.89"/>
    <n v="1.2000000000000002"/>
    <m/>
    <m/>
    <n v="39.69"/>
    <m/>
    <m/>
    <m/>
    <m/>
    <n v="0"/>
    <n v="0"/>
    <m/>
    <m/>
    <m/>
    <m/>
    <m/>
    <m/>
    <m/>
    <m/>
    <n v="0"/>
    <n v="0"/>
    <n v="0"/>
    <n v="12"/>
    <n v="12"/>
    <m/>
    <m/>
    <n v="0"/>
    <m/>
    <m/>
    <x v="0"/>
    <m/>
    <m/>
    <m/>
    <m/>
  </r>
  <r>
    <x v="1"/>
    <x v="1"/>
    <s v="7245/3"/>
    <x v="94"/>
    <s v="-"/>
    <m/>
    <m/>
    <m/>
    <m/>
    <m/>
    <s v="PP"/>
    <n v="9"/>
    <n v="124.91"/>
    <n v="3.6"/>
    <m/>
    <m/>
    <n v="121.31"/>
    <m/>
    <m/>
    <m/>
    <m/>
    <n v="0"/>
    <n v="0"/>
    <m/>
    <m/>
    <m/>
    <m/>
    <m/>
    <m/>
    <m/>
    <m/>
    <n v="0"/>
    <n v="0"/>
    <n v="0"/>
    <n v="12"/>
    <n v="12"/>
    <m/>
    <m/>
    <n v="0"/>
    <m/>
    <m/>
    <x v="0"/>
    <m/>
    <m/>
    <m/>
    <m/>
  </r>
  <r>
    <x v="0"/>
    <x v="2"/>
    <s v="7/4"/>
    <x v="94"/>
    <s v="سٹاک"/>
    <s v="PP"/>
    <n v="7"/>
    <n v="5"/>
    <s v="PP"/>
    <n v="800"/>
    <s v="PP"/>
    <n v="3"/>
    <n v="95.480000000000018"/>
    <n v="2.0999999999999996"/>
    <m/>
    <m/>
    <n v="93.380000000000024"/>
    <m/>
    <m/>
    <m/>
    <m/>
    <n v="0"/>
    <n v="0"/>
    <m/>
    <m/>
    <m/>
    <m/>
    <m/>
    <m/>
    <m/>
    <m/>
    <n v="0"/>
    <n v="0"/>
    <n v="0"/>
    <n v="12"/>
    <n v="12"/>
    <m/>
    <m/>
    <n v="0"/>
    <m/>
    <m/>
    <x v="0"/>
    <m/>
    <m/>
    <m/>
    <m/>
  </r>
  <r>
    <x v="0"/>
    <x v="2"/>
    <s v="7246/21"/>
    <x v="94"/>
    <s v="اصف سرگودھا"/>
    <s v="PP"/>
    <n v="7"/>
    <n v="4.5"/>
    <s v="PP"/>
    <n v="250"/>
    <s v="PP"/>
    <n v="7"/>
    <n v="218.16000000000003"/>
    <n v="4.8999999999999995"/>
    <m/>
    <m/>
    <n v="213.26000000000002"/>
    <m/>
    <m/>
    <m/>
    <m/>
    <n v="0"/>
    <n v="0"/>
    <m/>
    <m/>
    <m/>
    <m/>
    <m/>
    <m/>
    <m/>
    <m/>
    <n v="0"/>
    <n v="0"/>
    <n v="0"/>
    <n v="12"/>
    <n v="12"/>
    <m/>
    <m/>
    <n v="0"/>
    <m/>
    <m/>
    <x v="0"/>
    <m/>
    <m/>
    <m/>
    <m/>
  </r>
  <r>
    <x v="1"/>
    <x v="2"/>
    <s v="7246/21"/>
    <x v="94"/>
    <s v="اصف سرگودھا"/>
    <s v="PP"/>
    <n v="7"/>
    <n v="4.5"/>
    <s v="PP"/>
    <n v="250"/>
    <s v="PP"/>
    <n v="2"/>
    <n v="46.41"/>
    <n v="1.4"/>
    <m/>
    <m/>
    <n v="45.01"/>
    <m/>
    <n v="20"/>
    <m/>
    <m/>
    <n v="20"/>
    <n v="0.33333333333333331"/>
    <m/>
    <m/>
    <m/>
    <m/>
    <m/>
    <m/>
    <m/>
    <m/>
    <n v="0"/>
    <n v="0"/>
    <n v="0.33333333333333331"/>
    <n v="11.666666666666666"/>
    <n v="12"/>
    <m/>
    <m/>
    <n v="0"/>
    <m/>
    <m/>
    <x v="0"/>
    <m/>
    <m/>
    <m/>
    <m/>
  </r>
  <r>
    <x v="1"/>
    <x v="2"/>
    <s v="7246/10"/>
    <x v="94"/>
    <s v="اصف سرگودھا"/>
    <s v="PP"/>
    <n v="9"/>
    <n v="4.5"/>
    <s v="PP"/>
    <n v="250"/>
    <s v="PP"/>
    <n v="6"/>
    <n v="237.79999999999998"/>
    <n v="5.4"/>
    <m/>
    <m/>
    <n v="232.39999999999998"/>
    <m/>
    <m/>
    <m/>
    <m/>
    <n v="0"/>
    <n v="0"/>
    <m/>
    <m/>
    <m/>
    <m/>
    <m/>
    <m/>
    <m/>
    <m/>
    <n v="0"/>
    <n v="0"/>
    <n v="0"/>
    <n v="12"/>
    <n v="12"/>
    <m/>
    <m/>
    <n v="0"/>
    <m/>
    <m/>
    <x v="0"/>
    <m/>
    <m/>
    <m/>
    <m/>
  </r>
  <r>
    <x v="0"/>
    <x v="3"/>
    <s v="4292 J"/>
    <x v="94"/>
    <s v="Jilani plastic"/>
    <s v="PP"/>
    <n v="24"/>
    <s v="5-5.5"/>
    <s v="PP"/>
    <n v="400"/>
    <s v="PP"/>
    <n v="12"/>
    <n v="601.32999999999993"/>
    <n v="28.799999999999997"/>
    <m/>
    <m/>
    <n v="572.53"/>
    <m/>
    <m/>
    <m/>
    <m/>
    <n v="0"/>
    <n v="0"/>
    <m/>
    <m/>
    <n v="240"/>
    <m/>
    <m/>
    <m/>
    <m/>
    <m/>
    <n v="240"/>
    <n v="4"/>
    <n v="4"/>
    <n v="8"/>
    <n v="12"/>
    <m/>
    <m/>
    <n v="0"/>
    <m/>
    <m/>
    <x v="0"/>
    <m/>
    <m/>
    <m/>
    <m/>
  </r>
  <r>
    <x v="1"/>
    <x v="3"/>
    <s v="4292 J"/>
    <x v="94"/>
    <s v="Jilani plastic"/>
    <s v="PP"/>
    <n v="24"/>
    <s v="5-5.5"/>
    <s v="PP"/>
    <n v="400"/>
    <s v="PP"/>
    <n v="11"/>
    <n v="577.35"/>
    <n v="26.4"/>
    <m/>
    <m/>
    <n v="550.95000000000005"/>
    <m/>
    <n v="20"/>
    <m/>
    <m/>
    <n v="20"/>
    <n v="0.33333333333333331"/>
    <m/>
    <m/>
    <m/>
    <m/>
    <m/>
    <m/>
    <n v="40"/>
    <m/>
    <n v="40"/>
    <n v="0.66666666666666663"/>
    <n v="1"/>
    <n v="11"/>
    <n v="12"/>
    <m/>
    <m/>
    <n v="0"/>
    <m/>
    <m/>
    <x v="0"/>
    <m/>
    <m/>
    <m/>
    <m/>
  </r>
  <r>
    <x v="0"/>
    <x v="4"/>
    <s v="14/3"/>
    <x v="94"/>
    <s v="سٹاک"/>
    <s v="PP"/>
    <n v="14"/>
    <n v="5"/>
    <s v="PP"/>
    <n v="500"/>
    <s v="PP"/>
    <n v="4"/>
    <n v="188.29000000000002"/>
    <n v="5.6"/>
    <m/>
    <m/>
    <n v="182.69000000000003"/>
    <m/>
    <m/>
    <m/>
    <m/>
    <n v="0"/>
    <n v="0"/>
    <m/>
    <m/>
    <m/>
    <m/>
    <m/>
    <m/>
    <m/>
    <m/>
    <n v="0"/>
    <n v="0"/>
    <n v="0"/>
    <n v="12"/>
    <n v="12"/>
    <m/>
    <m/>
    <n v="0"/>
    <m/>
    <m/>
    <x v="0"/>
    <m/>
    <m/>
    <m/>
    <m/>
  </r>
  <r>
    <x v="0"/>
    <x v="4"/>
    <s v="7246/7"/>
    <x v="94"/>
    <s v="اصف سرگودھا"/>
    <s v="PP"/>
    <n v="14"/>
    <n v="4.5"/>
    <s v="PP"/>
    <n v="250"/>
    <s v="PP"/>
    <n v="8"/>
    <n v="383.13"/>
    <n v="11.2"/>
    <m/>
    <m/>
    <n v="371.93"/>
    <m/>
    <m/>
    <m/>
    <m/>
    <n v="0"/>
    <n v="0"/>
    <m/>
    <m/>
    <m/>
    <m/>
    <m/>
    <m/>
    <m/>
    <m/>
    <n v="0"/>
    <n v="0"/>
    <n v="0"/>
    <n v="12"/>
    <n v="12"/>
    <m/>
    <m/>
    <n v="0"/>
    <m/>
    <m/>
    <x v="0"/>
    <m/>
    <m/>
    <m/>
    <m/>
  </r>
  <r>
    <x v="1"/>
    <x v="4"/>
    <s v="7246/7"/>
    <x v="94"/>
    <s v="اصف سرگودھا"/>
    <s v="PP"/>
    <n v="14"/>
    <n v="4.5"/>
    <s v="PP"/>
    <n v="250"/>
    <s v="PP"/>
    <n v="7"/>
    <n v="366.09"/>
    <n v="9.7999999999999989"/>
    <m/>
    <m/>
    <n v="356.28999999999996"/>
    <m/>
    <n v="20"/>
    <m/>
    <m/>
    <n v="20"/>
    <n v="0.33333333333333331"/>
    <m/>
    <m/>
    <m/>
    <m/>
    <m/>
    <m/>
    <m/>
    <m/>
    <n v="0"/>
    <n v="0"/>
    <n v="0.33333333333333331"/>
    <n v="11.666666666666666"/>
    <n v="12"/>
    <m/>
    <m/>
    <n v="0"/>
    <m/>
    <m/>
    <x v="0"/>
    <m/>
    <m/>
    <m/>
    <m/>
  </r>
  <r>
    <x v="1"/>
    <x v="4"/>
    <s v="7287/3"/>
    <x v="94"/>
    <s v="بلال جاوید فیصل اباد"/>
    <s v="PP"/>
    <n v="14"/>
    <n v="7"/>
    <s v="PP"/>
    <n v="100"/>
    <s v="PP"/>
    <n v="2"/>
    <n v="115.17"/>
    <n v="2.8"/>
    <m/>
    <m/>
    <n v="112.37"/>
    <m/>
    <m/>
    <m/>
    <m/>
    <n v="0"/>
    <n v="0"/>
    <m/>
    <m/>
    <m/>
    <m/>
    <m/>
    <m/>
    <m/>
    <m/>
    <n v="0"/>
    <n v="0"/>
    <n v="0"/>
    <n v="12"/>
    <n v="12"/>
    <m/>
    <m/>
    <n v="0"/>
    <m/>
    <m/>
    <x v="0"/>
    <m/>
    <m/>
    <m/>
    <m/>
  </r>
  <r>
    <x v="1"/>
    <x v="4"/>
    <s v="7246/1"/>
    <x v="94"/>
    <s v="اصف سرگودھا"/>
    <s v="PP"/>
    <n v="12"/>
    <n v="4.5"/>
    <s v="PP"/>
    <n v="250"/>
    <s v="PP"/>
    <n v="1"/>
    <n v="46.83"/>
    <n v="1.5"/>
    <m/>
    <m/>
    <n v="45.33"/>
    <m/>
    <m/>
    <m/>
    <m/>
    <n v="0"/>
    <n v="0"/>
    <m/>
    <m/>
    <m/>
    <m/>
    <m/>
    <m/>
    <m/>
    <m/>
    <n v="0"/>
    <n v="0"/>
    <n v="0"/>
    <n v="12"/>
    <n v="12"/>
    <m/>
    <m/>
    <n v="0"/>
    <m/>
    <m/>
    <x v="0"/>
    <m/>
    <m/>
    <m/>
    <m/>
  </r>
  <r>
    <x v="0"/>
    <x v="0"/>
    <s v="7245/1"/>
    <x v="95"/>
    <s v="-"/>
    <m/>
    <m/>
    <m/>
    <m/>
    <m/>
    <s v="PP"/>
    <n v="6"/>
    <n v="92.06"/>
    <n v="1.7999999999999998"/>
    <n v="37"/>
    <m/>
    <n v="90.26"/>
    <m/>
    <m/>
    <m/>
    <m/>
    <n v="0"/>
    <n v="0"/>
    <m/>
    <m/>
    <m/>
    <m/>
    <m/>
    <m/>
    <m/>
    <m/>
    <n v="0"/>
    <n v="0"/>
    <n v="0"/>
    <n v="12"/>
    <n v="12"/>
    <m/>
    <n v="1924"/>
    <n v="0"/>
    <m/>
    <m/>
    <x v="0"/>
    <m/>
    <m/>
    <m/>
    <m/>
  </r>
  <r>
    <x v="1"/>
    <x v="0"/>
    <s v="7296/3"/>
    <x v="95"/>
    <s v="آصف پلاسٹک سرگوھا"/>
    <s v="PP"/>
    <n v="3.5"/>
    <n v="4.5"/>
    <s v="PP"/>
    <n v="150"/>
    <s v="PP"/>
    <n v="7"/>
    <n v="103.25999999999999"/>
    <n v="2.1"/>
    <n v="22"/>
    <m/>
    <n v="101.16"/>
    <m/>
    <m/>
    <m/>
    <m/>
    <n v="0"/>
    <n v="0"/>
    <m/>
    <m/>
    <m/>
    <m/>
    <m/>
    <m/>
    <m/>
    <m/>
    <n v="0"/>
    <n v="0"/>
    <n v="0"/>
    <n v="12"/>
    <n v="12"/>
    <m/>
    <m/>
    <n v="0"/>
    <m/>
    <m/>
    <x v="0"/>
    <m/>
    <m/>
    <m/>
    <m/>
  </r>
  <r>
    <x v="0"/>
    <x v="1"/>
    <s v="7296/1"/>
    <x v="95"/>
    <s v="آصف پلاسٹک سرگوھا"/>
    <s v="PP"/>
    <n v="4.5"/>
    <n v="4.5"/>
    <s v="PP"/>
    <n v="150"/>
    <s v="PP"/>
    <n v="10"/>
    <n v="105.25999999999999"/>
    <n v="4"/>
    <m/>
    <m/>
    <n v="101.25999999999999"/>
    <m/>
    <m/>
    <m/>
    <m/>
    <n v="0"/>
    <n v="0"/>
    <m/>
    <m/>
    <m/>
    <m/>
    <m/>
    <m/>
    <m/>
    <m/>
    <n v="0"/>
    <n v="0"/>
    <n v="0"/>
    <n v="12"/>
    <n v="12"/>
    <m/>
    <m/>
    <n v="0"/>
    <m/>
    <m/>
    <x v="0"/>
    <m/>
    <m/>
    <m/>
    <m/>
  </r>
  <r>
    <x v="1"/>
    <x v="1"/>
    <s v="7296/1"/>
    <x v="95"/>
    <s v="آصف پلاسٹک سرگوھا"/>
    <s v="PP"/>
    <n v="4.5"/>
    <n v="4.5"/>
    <s v="PP"/>
    <n v="150"/>
    <s v="PP"/>
    <n v="9"/>
    <n v="106.86000000000001"/>
    <n v="3.6"/>
    <m/>
    <m/>
    <n v="103.26000000000002"/>
    <m/>
    <m/>
    <m/>
    <m/>
    <n v="0"/>
    <n v="0"/>
    <m/>
    <m/>
    <m/>
    <m/>
    <m/>
    <m/>
    <m/>
    <m/>
    <n v="0"/>
    <n v="0"/>
    <n v="0"/>
    <n v="12"/>
    <n v="12"/>
    <m/>
    <m/>
    <n v="0"/>
    <m/>
    <m/>
    <x v="0"/>
    <m/>
    <m/>
    <m/>
    <m/>
  </r>
  <r>
    <x v="0"/>
    <x v="2"/>
    <s v="7246/10"/>
    <x v="95"/>
    <s v="اصف سرگودھا"/>
    <s v="PP"/>
    <n v="9"/>
    <n v="4.5"/>
    <s v="PP"/>
    <n v="250"/>
    <s v="PP"/>
    <n v="8"/>
    <n v="283.42"/>
    <n v="7.2"/>
    <m/>
    <m/>
    <n v="276.22000000000003"/>
    <m/>
    <m/>
    <m/>
    <m/>
    <n v="0"/>
    <n v="0"/>
    <m/>
    <m/>
    <m/>
    <m/>
    <m/>
    <m/>
    <m/>
    <m/>
    <n v="0"/>
    <n v="0"/>
    <n v="0"/>
    <n v="12"/>
    <n v="12"/>
    <m/>
    <m/>
    <n v="0"/>
    <m/>
    <m/>
    <x v="0"/>
    <m/>
    <m/>
    <m/>
    <m/>
  </r>
  <r>
    <x v="1"/>
    <x v="2"/>
    <s v="7246/10"/>
    <x v="95"/>
    <s v="اصف سرگودھا"/>
    <s v="PP"/>
    <n v="9"/>
    <n v="4.5"/>
    <s v="PP"/>
    <n v="250"/>
    <s v="PP"/>
    <n v="7"/>
    <n v="279.12"/>
    <n v="6.3"/>
    <m/>
    <m/>
    <n v="272.82"/>
    <m/>
    <m/>
    <m/>
    <m/>
    <n v="0"/>
    <n v="0"/>
    <m/>
    <m/>
    <m/>
    <m/>
    <m/>
    <m/>
    <m/>
    <m/>
    <n v="0"/>
    <n v="0"/>
    <n v="0"/>
    <n v="12"/>
    <n v="12"/>
    <m/>
    <m/>
    <n v="0"/>
    <m/>
    <m/>
    <x v="0"/>
    <m/>
    <m/>
    <m/>
    <m/>
  </r>
  <r>
    <x v="0"/>
    <x v="3"/>
    <s v="2792/1"/>
    <x v="95"/>
    <s v="REFLECT PACK"/>
    <s v="PP"/>
    <n v="17"/>
    <s v="5.5-6"/>
    <s v="PP"/>
    <n v="8000"/>
    <s v="PP"/>
    <n v="14"/>
    <n v="764.6400000000001"/>
    <n v="26.599999999999998"/>
    <m/>
    <m/>
    <n v="738.04000000000008"/>
    <m/>
    <m/>
    <m/>
    <m/>
    <n v="0"/>
    <n v="0"/>
    <m/>
    <n v="20"/>
    <n v="20"/>
    <m/>
    <m/>
    <m/>
    <m/>
    <m/>
    <n v="40"/>
    <n v="0.66666666666666663"/>
    <n v="0.66666666666666663"/>
    <n v="11.333333333333334"/>
    <n v="12"/>
    <m/>
    <m/>
    <n v="0"/>
    <m/>
    <m/>
    <x v="0"/>
    <m/>
    <m/>
    <m/>
    <m/>
  </r>
  <r>
    <x v="1"/>
    <x v="3"/>
    <s v="2792/1"/>
    <x v="95"/>
    <s v="REFLECT PACK"/>
    <s v="PP"/>
    <n v="17"/>
    <s v="5.5-6"/>
    <s v="PP"/>
    <n v="8000"/>
    <s v="PP"/>
    <n v="13"/>
    <n v="739.54"/>
    <n v="24.7"/>
    <m/>
    <m/>
    <n v="714.83999999999992"/>
    <m/>
    <m/>
    <m/>
    <m/>
    <n v="0"/>
    <n v="0"/>
    <m/>
    <m/>
    <m/>
    <m/>
    <m/>
    <m/>
    <m/>
    <m/>
    <n v="0"/>
    <n v="0"/>
    <n v="0"/>
    <n v="12"/>
    <n v="12"/>
    <m/>
    <m/>
    <n v="0"/>
    <m/>
    <m/>
    <x v="0"/>
    <m/>
    <m/>
    <m/>
    <m/>
  </r>
  <r>
    <x v="0"/>
    <x v="4"/>
    <s v="7246/1"/>
    <x v="95"/>
    <s v="اصف سرگودھا"/>
    <s v="PP"/>
    <n v="12"/>
    <n v="4.5"/>
    <s v="PP"/>
    <n v="250"/>
    <s v="PP"/>
    <n v="10"/>
    <n v="491.7"/>
    <n v="13"/>
    <m/>
    <m/>
    <n v="478.7"/>
    <m/>
    <m/>
    <m/>
    <m/>
    <n v="0"/>
    <n v="0"/>
    <m/>
    <m/>
    <m/>
    <n v="20"/>
    <m/>
    <m/>
    <m/>
    <m/>
    <n v="20"/>
    <n v="0.33333333333333331"/>
    <n v="0.33333333333333331"/>
    <n v="11.666666666666666"/>
    <n v="12"/>
    <m/>
    <m/>
    <n v="0"/>
    <m/>
    <m/>
    <x v="0"/>
    <m/>
    <m/>
    <m/>
    <m/>
  </r>
  <r>
    <x v="1"/>
    <x v="4"/>
    <s v="7246/1"/>
    <x v="95"/>
    <s v="اصف سرگودھا"/>
    <s v="PP"/>
    <n v="12"/>
    <n v="4.5"/>
    <s v="PP"/>
    <n v="250"/>
    <s v="PP"/>
    <n v="2"/>
    <n v="109.82"/>
    <n v="3"/>
    <m/>
    <m/>
    <n v="106.82"/>
    <m/>
    <m/>
    <m/>
    <m/>
    <n v="0"/>
    <n v="0"/>
    <m/>
    <m/>
    <m/>
    <m/>
    <m/>
    <m/>
    <m/>
    <m/>
    <n v="0"/>
    <n v="0"/>
    <n v="0"/>
    <n v="12"/>
    <n v="12"/>
    <m/>
    <m/>
    <n v="0"/>
    <m/>
    <m/>
    <x v="0"/>
    <m/>
    <m/>
    <m/>
    <m/>
  </r>
  <r>
    <x v="1"/>
    <x v="4"/>
    <s v="7309/4"/>
    <x v="95"/>
    <s v="ایم عمران پاکستان مارکیٹ"/>
    <s v="PP"/>
    <s v="12"/>
    <n v="6.5"/>
    <s v="PP"/>
    <n v="200"/>
    <s v="PP"/>
    <n v="6"/>
    <n v="224.14000000000001"/>
    <n v="9"/>
    <m/>
    <m/>
    <n v="215.14000000000001"/>
    <m/>
    <m/>
    <m/>
    <m/>
    <n v="0"/>
    <n v="0"/>
    <m/>
    <m/>
    <m/>
    <m/>
    <m/>
    <m/>
    <m/>
    <m/>
    <n v="0"/>
    <n v="0"/>
    <n v="0"/>
    <n v="12"/>
    <n v="12"/>
    <m/>
    <m/>
    <n v="0"/>
    <m/>
    <m/>
    <x v="0"/>
    <m/>
    <m/>
    <m/>
    <m/>
  </r>
  <r>
    <x v="1"/>
    <x v="4"/>
    <s v="7309/1"/>
    <x v="95"/>
    <s v="ایم عمران پاکستان مارکیٹ"/>
    <s v="PP"/>
    <s v="13"/>
    <n v="6.5"/>
    <s v="PP"/>
    <n v="1000"/>
    <s v="PP"/>
    <n v="3"/>
    <n v="127.57999999999998"/>
    <n v="3.9000000000000004"/>
    <m/>
    <m/>
    <n v="123.67999999999998"/>
    <m/>
    <m/>
    <m/>
    <m/>
    <n v="0"/>
    <n v="0"/>
    <m/>
    <m/>
    <m/>
    <m/>
    <m/>
    <m/>
    <m/>
    <m/>
    <n v="0"/>
    <n v="0"/>
    <n v="0"/>
    <n v="12"/>
    <n v="12"/>
    <m/>
    <m/>
    <n v="0"/>
    <m/>
    <m/>
    <x v="0"/>
    <m/>
    <m/>
    <m/>
    <m/>
  </r>
  <r>
    <x v="0"/>
    <x v="0"/>
    <s v="3.5/1"/>
    <x v="96"/>
    <s v="سٹاک"/>
    <s v="PP"/>
    <n v="3.5"/>
    <s v="5.5-6"/>
    <s v="PP"/>
    <n v="500"/>
    <s v="PP"/>
    <n v="2"/>
    <n v="27.06"/>
    <n v="0.6"/>
    <n v="27.5"/>
    <m/>
    <n v="26.459999999999997"/>
    <m/>
    <n v="20"/>
    <m/>
    <m/>
    <n v="20"/>
    <n v="0.33333333333333331"/>
    <m/>
    <m/>
    <n v="60"/>
    <m/>
    <m/>
    <m/>
    <m/>
    <m/>
    <n v="60"/>
    <n v="1"/>
    <n v="1.3333333333333333"/>
    <n v="10.666666666666666"/>
    <n v="12"/>
    <m/>
    <n v="1529"/>
    <n v="0"/>
    <m/>
    <m/>
    <x v="0"/>
    <m/>
    <m/>
    <m/>
    <m/>
  </r>
  <r>
    <x v="0"/>
    <x v="0"/>
    <s v="7245/2"/>
    <x v="96"/>
    <s v="-"/>
    <m/>
    <m/>
    <m/>
    <m/>
    <m/>
    <s v="PP"/>
    <n v="4"/>
    <n v="56.47"/>
    <n v="1.6"/>
    <m/>
    <m/>
    <n v="54.87"/>
    <m/>
    <m/>
    <m/>
    <m/>
    <n v="0"/>
    <n v="0"/>
    <m/>
    <m/>
    <m/>
    <m/>
    <m/>
    <m/>
    <m/>
    <m/>
    <n v="0"/>
    <n v="0"/>
    <n v="0"/>
    <n v="12"/>
    <n v="12"/>
    <m/>
    <m/>
    <n v="0"/>
    <m/>
    <m/>
    <x v="0"/>
    <m/>
    <m/>
    <m/>
    <m/>
  </r>
  <r>
    <x v="1"/>
    <x v="0"/>
    <s v="7245/2"/>
    <x v="96"/>
    <s v="-"/>
    <m/>
    <m/>
    <m/>
    <m/>
    <m/>
    <s v="PP"/>
    <n v="7"/>
    <n v="116.85000000000001"/>
    <n v="2.8000000000000003"/>
    <n v="21.5"/>
    <m/>
    <n v="114.05000000000001"/>
    <m/>
    <m/>
    <m/>
    <m/>
    <n v="0"/>
    <n v="0"/>
    <m/>
    <m/>
    <m/>
    <m/>
    <m/>
    <m/>
    <m/>
    <m/>
    <n v="0"/>
    <n v="0"/>
    <n v="0"/>
    <n v="12"/>
    <n v="12"/>
    <m/>
    <m/>
    <n v="0"/>
    <m/>
    <m/>
    <x v="0"/>
    <m/>
    <m/>
    <m/>
    <m/>
  </r>
  <r>
    <x v="0"/>
    <x v="1"/>
    <s v="7245/2"/>
    <x v="96"/>
    <s v="-"/>
    <m/>
    <m/>
    <m/>
    <m/>
    <m/>
    <s v="PP"/>
    <n v="7"/>
    <n v="100.77000000000001"/>
    <n v="2.8000000000000003"/>
    <m/>
    <m/>
    <n v="97.970000000000013"/>
    <m/>
    <m/>
    <m/>
    <m/>
    <n v="0"/>
    <n v="0"/>
    <m/>
    <m/>
    <m/>
    <m/>
    <m/>
    <m/>
    <m/>
    <m/>
    <n v="0"/>
    <n v="0"/>
    <n v="0"/>
    <n v="12"/>
    <n v="12"/>
    <m/>
    <m/>
    <n v="0"/>
    <m/>
    <m/>
    <x v="0"/>
    <m/>
    <m/>
    <m/>
    <m/>
  </r>
  <r>
    <x v="1"/>
    <x v="1"/>
    <s v="7245/2"/>
    <x v="96"/>
    <s v="-"/>
    <m/>
    <m/>
    <m/>
    <m/>
    <m/>
    <s v="PP"/>
    <n v="1"/>
    <n v="18.45"/>
    <n v="0.4"/>
    <m/>
    <m/>
    <n v="18.05"/>
    <m/>
    <n v="20"/>
    <m/>
    <m/>
    <n v="20"/>
    <n v="0.33333333333333331"/>
    <m/>
    <m/>
    <m/>
    <m/>
    <m/>
    <m/>
    <m/>
    <m/>
    <n v="0"/>
    <n v="0"/>
    <n v="0.33333333333333331"/>
    <n v="11.666666666666666"/>
    <n v="12"/>
    <m/>
    <m/>
    <n v="0"/>
    <m/>
    <m/>
    <x v="0"/>
    <m/>
    <m/>
    <m/>
    <m/>
  </r>
  <r>
    <x v="1"/>
    <x v="1"/>
    <s v="7245/4"/>
    <x v="96"/>
    <s v="-"/>
    <m/>
    <m/>
    <m/>
    <m/>
    <m/>
    <s v="PP"/>
    <n v="7"/>
    <n v="116.91"/>
    <n v="3.5"/>
    <m/>
    <m/>
    <n v="113.41"/>
    <m/>
    <m/>
    <m/>
    <m/>
    <n v="0"/>
    <n v="0"/>
    <m/>
    <m/>
    <m/>
    <m/>
    <m/>
    <m/>
    <m/>
    <m/>
    <n v="0"/>
    <n v="0"/>
    <n v="0"/>
    <n v="12"/>
    <n v="12"/>
    <m/>
    <m/>
    <n v="0"/>
    <m/>
    <m/>
    <x v="0"/>
    <m/>
    <m/>
    <m/>
    <m/>
  </r>
  <r>
    <x v="0"/>
    <x v="2"/>
    <s v="7246/13"/>
    <x v="96"/>
    <s v="اصف سرگودھا"/>
    <s v="PP"/>
    <n v="9"/>
    <n v="4.5"/>
    <s v="PP"/>
    <n v="250"/>
    <s v="PP"/>
    <n v="4"/>
    <n v="139.12"/>
    <n v="3.6"/>
    <m/>
    <m/>
    <n v="135.52000000000001"/>
    <m/>
    <n v="20"/>
    <m/>
    <m/>
    <n v="20"/>
    <n v="0.33333333333333331"/>
    <m/>
    <m/>
    <m/>
    <m/>
    <m/>
    <m/>
    <m/>
    <m/>
    <n v="0"/>
    <n v="0"/>
    <n v="0.33333333333333331"/>
    <n v="11.666666666666666"/>
    <n v="12"/>
    <m/>
    <m/>
    <n v="0"/>
    <m/>
    <m/>
    <x v="0"/>
    <m/>
    <m/>
    <m/>
    <m/>
  </r>
  <r>
    <x v="0"/>
    <x v="2"/>
    <s v="6/3"/>
    <x v="96"/>
    <s v="سٹاک"/>
    <s v="PP"/>
    <n v="6"/>
    <s v="5-5.5"/>
    <s v="PP"/>
    <n v="1000"/>
    <s v="PP"/>
    <n v="4"/>
    <n v="108.41"/>
    <n v="2.4"/>
    <m/>
    <m/>
    <n v="106.00999999999999"/>
    <m/>
    <m/>
    <m/>
    <m/>
    <n v="0"/>
    <n v="0"/>
    <m/>
    <m/>
    <m/>
    <m/>
    <m/>
    <m/>
    <m/>
    <m/>
    <n v="0"/>
    <n v="0"/>
    <n v="0"/>
    <n v="12"/>
    <n v="12"/>
    <m/>
    <m/>
    <n v="0"/>
    <m/>
    <m/>
    <x v="0"/>
    <m/>
    <m/>
    <m/>
    <m/>
  </r>
  <r>
    <x v="1"/>
    <x v="2"/>
    <s v="6/2"/>
    <x v="96"/>
    <s v="سٹاک"/>
    <s v="PP"/>
    <n v="6"/>
    <n v="5"/>
    <s v="PP"/>
    <n v="1500"/>
    <s v="PP"/>
    <n v="8"/>
    <n v="188.61"/>
    <n v="4.8"/>
    <m/>
    <m/>
    <n v="183.81"/>
    <m/>
    <m/>
    <m/>
    <m/>
    <n v="0"/>
    <n v="0"/>
    <m/>
    <m/>
    <m/>
    <m/>
    <m/>
    <m/>
    <m/>
    <m/>
    <n v="0"/>
    <n v="0"/>
    <n v="0"/>
    <n v="12"/>
    <n v="12"/>
    <m/>
    <m/>
    <n v="0"/>
    <m/>
    <m/>
    <x v="0"/>
    <m/>
    <m/>
    <m/>
    <m/>
  </r>
  <r>
    <x v="0"/>
    <x v="3"/>
    <s v="2792/1"/>
    <x v="96"/>
    <s v="REFLECT PACK"/>
    <s v="PP"/>
    <n v="17"/>
    <s v="5.5-6"/>
    <s v="PP"/>
    <n v="8000"/>
    <s v="PP"/>
    <n v="8"/>
    <n v="411.32"/>
    <n v="15.2"/>
    <m/>
    <m/>
    <n v="396.12"/>
    <m/>
    <m/>
    <m/>
    <m/>
    <n v="0"/>
    <n v="0"/>
    <m/>
    <m/>
    <n v="150"/>
    <m/>
    <m/>
    <m/>
    <m/>
    <m/>
    <n v="150"/>
    <n v="2.5"/>
    <n v="2.5"/>
    <n v="9.5"/>
    <n v="12"/>
    <m/>
    <m/>
    <n v="0"/>
    <m/>
    <m/>
    <x v="0"/>
    <m/>
    <m/>
    <m/>
    <m/>
  </r>
  <r>
    <x v="0"/>
    <x v="4"/>
    <s v="7309/1"/>
    <x v="96"/>
    <s v="ایم عمران پاکستان مارکیٹ"/>
    <s v="PP"/>
    <s v="13"/>
    <n v="6.5"/>
    <s v="PP"/>
    <n v="1000"/>
    <s v="PP"/>
    <n v="14"/>
    <n v="539.47"/>
    <n v="21.84"/>
    <m/>
    <m/>
    <n v="517.63"/>
    <m/>
    <m/>
    <m/>
    <m/>
    <n v="0"/>
    <n v="0"/>
    <m/>
    <m/>
    <m/>
    <m/>
    <m/>
    <m/>
    <m/>
    <m/>
    <n v="0"/>
    <n v="0"/>
    <n v="0"/>
    <n v="12"/>
    <n v="12"/>
    <m/>
    <m/>
    <n v="0"/>
    <m/>
    <m/>
    <x v="0"/>
    <m/>
    <m/>
    <m/>
    <m/>
  </r>
  <r>
    <x v="1"/>
    <x v="4"/>
    <s v="7309/1"/>
    <x v="96"/>
    <s v="ایم عمران پاکستان مارکیٹ"/>
    <s v="PP"/>
    <s v="13"/>
    <n v="6.5"/>
    <s v="PP"/>
    <n v="1000"/>
    <s v="PP"/>
    <n v="7"/>
    <n v="305.32"/>
    <n v="10.92"/>
    <m/>
    <m/>
    <n v="294.39999999999998"/>
    <m/>
    <n v="20"/>
    <m/>
    <m/>
    <n v="20"/>
    <n v="0.33333333333333331"/>
    <m/>
    <m/>
    <m/>
    <m/>
    <m/>
    <m/>
    <m/>
    <m/>
    <n v="0"/>
    <n v="0"/>
    <n v="0.33333333333333331"/>
    <n v="11.666666666666666"/>
    <n v="12"/>
    <m/>
    <m/>
    <n v="0"/>
    <m/>
    <m/>
    <x v="0"/>
    <m/>
    <m/>
    <m/>
    <m/>
  </r>
  <r>
    <x v="1"/>
    <x v="4"/>
    <s v="7304/1"/>
    <x v="96"/>
    <s v="فہیم پلاسٹک ملتان"/>
    <s v="PP"/>
    <n v="13"/>
    <n v="7"/>
    <s v="PP"/>
    <n v="400"/>
    <s v="PP"/>
    <n v="4"/>
    <n v="181.38"/>
    <n v="6.24"/>
    <m/>
    <m/>
    <n v="175.14"/>
    <m/>
    <m/>
    <m/>
    <m/>
    <n v="0"/>
    <n v="0"/>
    <m/>
    <m/>
    <m/>
    <m/>
    <m/>
    <m/>
    <m/>
    <m/>
    <n v="0"/>
    <n v="0"/>
    <n v="0"/>
    <n v="12"/>
    <n v="12"/>
    <m/>
    <m/>
    <n v="0"/>
    <m/>
    <m/>
    <x v="0"/>
    <m/>
    <m/>
    <m/>
    <m/>
  </r>
  <r>
    <x v="0"/>
    <x v="0"/>
    <s v="7245/2"/>
    <x v="97"/>
    <s v="-"/>
    <m/>
    <m/>
    <m/>
    <m/>
    <m/>
    <s v="PP"/>
    <n v="7"/>
    <n v="103.65"/>
    <n v="2.8000000000000003"/>
    <n v="27"/>
    <m/>
    <n v="100.85000000000001"/>
    <m/>
    <m/>
    <m/>
    <m/>
    <n v="0"/>
    <n v="0"/>
    <m/>
    <m/>
    <n v="180"/>
    <m/>
    <m/>
    <m/>
    <m/>
    <m/>
    <n v="180"/>
    <n v="3"/>
    <n v="3"/>
    <n v="9"/>
    <n v="12"/>
    <m/>
    <m/>
    <n v="0"/>
    <m/>
    <m/>
    <x v="0"/>
    <m/>
    <m/>
    <m/>
    <m/>
  </r>
  <r>
    <x v="0"/>
    <x v="0"/>
    <s v="7296/2"/>
    <x v="97"/>
    <s v="آصف پلاسٹک سرگوھا"/>
    <s v="PP"/>
    <n v="4"/>
    <n v="4.5"/>
    <s v="PP"/>
    <n v="250"/>
    <s v="PP"/>
    <n v="1"/>
    <n v="12.9"/>
    <n v="0.4"/>
    <m/>
    <m/>
    <n v="12.5"/>
    <m/>
    <m/>
    <m/>
    <m/>
    <n v="0"/>
    <n v="0"/>
    <m/>
    <m/>
    <n v="180"/>
    <m/>
    <m/>
    <m/>
    <m/>
    <m/>
    <n v="180"/>
    <n v="3"/>
    <n v="3"/>
    <n v="9"/>
    <n v="12"/>
    <m/>
    <m/>
    <n v="0"/>
    <m/>
    <m/>
    <x v="0"/>
    <m/>
    <m/>
    <m/>
    <m/>
  </r>
  <r>
    <x v="1"/>
    <x v="0"/>
    <s v="7296/2"/>
    <x v="97"/>
    <s v="آصف پلاسٹک سرگوھا"/>
    <s v="PP"/>
    <n v="4"/>
    <n v="4.5"/>
    <s v="PP"/>
    <n v="250"/>
    <s v="PP"/>
    <n v="5"/>
    <n v="79.650000000000006"/>
    <n v="2"/>
    <n v="22"/>
    <m/>
    <n v="77.650000000000006"/>
    <m/>
    <m/>
    <m/>
    <m/>
    <n v="0"/>
    <n v="0"/>
    <m/>
    <m/>
    <m/>
    <m/>
    <m/>
    <m/>
    <m/>
    <m/>
    <n v="0"/>
    <n v="0"/>
    <n v="0"/>
    <n v="12"/>
    <n v="12"/>
    <m/>
    <m/>
    <n v="0"/>
    <m/>
    <m/>
    <x v="0"/>
    <m/>
    <m/>
    <m/>
    <m/>
  </r>
  <r>
    <x v="0"/>
    <x v="1"/>
    <s v="7245/4"/>
    <x v="97"/>
    <s v="-"/>
    <m/>
    <m/>
    <m/>
    <m/>
    <m/>
    <s v="PP"/>
    <n v="9"/>
    <n v="131.01"/>
    <n v="4.5"/>
    <m/>
    <m/>
    <n v="126.50999999999999"/>
    <m/>
    <m/>
    <m/>
    <m/>
    <n v="0"/>
    <n v="0"/>
    <m/>
    <m/>
    <n v="180"/>
    <m/>
    <m/>
    <m/>
    <m/>
    <m/>
    <n v="180"/>
    <n v="3"/>
    <n v="3"/>
    <n v="9"/>
    <n v="12"/>
    <m/>
    <m/>
    <n v="0"/>
    <m/>
    <m/>
    <x v="0"/>
    <m/>
    <m/>
    <m/>
    <m/>
  </r>
  <r>
    <x v="1"/>
    <x v="1"/>
    <s v="7245/4"/>
    <x v="97"/>
    <s v="-"/>
    <m/>
    <m/>
    <m/>
    <m/>
    <m/>
    <s v="PP"/>
    <n v="7"/>
    <n v="112.58"/>
    <n v="3.5"/>
    <m/>
    <m/>
    <n v="109.08"/>
    <m/>
    <m/>
    <m/>
    <m/>
    <n v="0"/>
    <n v="0"/>
    <m/>
    <m/>
    <m/>
    <m/>
    <m/>
    <m/>
    <m/>
    <m/>
    <n v="0"/>
    <n v="0"/>
    <n v="0"/>
    <n v="12"/>
    <n v="12"/>
    <m/>
    <m/>
    <n v="0"/>
    <m/>
    <m/>
    <x v="0"/>
    <m/>
    <m/>
    <m/>
    <m/>
  </r>
  <r>
    <x v="0"/>
    <x v="2"/>
    <s v="6/2"/>
    <x v="97"/>
    <s v="سٹاک"/>
    <s v="PP"/>
    <n v="6"/>
    <n v="5"/>
    <s v="PP"/>
    <n v="1500"/>
    <s v="PP"/>
    <n v="8"/>
    <n v="229.17000000000002"/>
    <n v="4.8"/>
    <m/>
    <m/>
    <n v="224.37"/>
    <m/>
    <m/>
    <m/>
    <m/>
    <n v="0"/>
    <n v="0"/>
    <m/>
    <m/>
    <n v="180"/>
    <m/>
    <m/>
    <m/>
    <m/>
    <m/>
    <n v="180"/>
    <n v="3"/>
    <n v="3"/>
    <n v="9"/>
    <n v="12"/>
    <m/>
    <m/>
    <n v="0"/>
    <m/>
    <m/>
    <x v="0"/>
    <m/>
    <m/>
    <m/>
    <m/>
  </r>
  <r>
    <x v="1"/>
    <x v="2"/>
    <s v="6/2"/>
    <x v="97"/>
    <s v="سٹاک"/>
    <s v="PP"/>
    <n v="6"/>
    <n v="5"/>
    <s v="PP"/>
    <n v="1500"/>
    <s v="PP"/>
    <n v="6"/>
    <n v="158.76000000000002"/>
    <n v="3.5999999999999996"/>
    <m/>
    <m/>
    <n v="155.16000000000003"/>
    <m/>
    <m/>
    <m/>
    <m/>
    <n v="0"/>
    <n v="0"/>
    <m/>
    <m/>
    <m/>
    <m/>
    <m/>
    <m/>
    <m/>
    <m/>
    <n v="0"/>
    <n v="0"/>
    <n v="0"/>
    <n v="12"/>
    <n v="12"/>
    <m/>
    <m/>
    <n v="0"/>
    <m/>
    <m/>
    <x v="0"/>
    <m/>
    <m/>
    <m/>
    <m/>
  </r>
  <r>
    <x v="0"/>
    <x v="3"/>
    <s v="18/1"/>
    <x v="97"/>
    <s v="سٹاک"/>
    <s v="PP"/>
    <n v="18"/>
    <s v="5-5.5"/>
    <s v="PP"/>
    <n v="1000"/>
    <s v="PP"/>
    <n v="5"/>
    <n v="248.32"/>
    <n v="9"/>
    <m/>
    <m/>
    <n v="239.32"/>
    <m/>
    <m/>
    <m/>
    <m/>
    <n v="0"/>
    <n v="0"/>
    <m/>
    <m/>
    <n v="180"/>
    <m/>
    <m/>
    <m/>
    <m/>
    <m/>
    <n v="180"/>
    <n v="3"/>
    <n v="3"/>
    <n v="9"/>
    <n v="12"/>
    <m/>
    <m/>
    <n v="0"/>
    <m/>
    <m/>
    <x v="0"/>
    <m/>
    <m/>
    <m/>
    <m/>
  </r>
  <r>
    <x v="1"/>
    <x v="3"/>
    <s v="3714 J"/>
    <x v="97"/>
    <s v="Jilani plastic"/>
    <s v="PP"/>
    <n v="18"/>
    <s v="5-5.5"/>
    <s v="PP"/>
    <n v="200"/>
    <s v="PP"/>
    <n v="9"/>
    <n v="529.15000000000009"/>
    <n v="19.8"/>
    <m/>
    <m/>
    <n v="509.35000000000008"/>
    <m/>
    <m/>
    <m/>
    <m/>
    <n v="0"/>
    <n v="0"/>
    <m/>
    <m/>
    <m/>
    <m/>
    <m/>
    <m/>
    <m/>
    <m/>
    <n v="0"/>
    <n v="0"/>
    <n v="0"/>
    <n v="12"/>
    <n v="12"/>
    <m/>
    <m/>
    <n v="0"/>
    <m/>
    <m/>
    <x v="0"/>
    <m/>
    <m/>
    <m/>
    <m/>
  </r>
  <r>
    <x v="0"/>
    <x v="4"/>
    <s v="7304/1"/>
    <x v="97"/>
    <s v="فہیم پلاسٹک ملتان"/>
    <s v="PP"/>
    <n v="13"/>
    <n v="7"/>
    <s v="PP"/>
    <n v="400"/>
    <s v="PP"/>
    <n v="2"/>
    <n v="93.22999999999999"/>
    <n v="2.6"/>
    <m/>
    <m/>
    <n v="90.63"/>
    <m/>
    <m/>
    <m/>
    <m/>
    <n v="0"/>
    <n v="0"/>
    <m/>
    <m/>
    <m/>
    <m/>
    <m/>
    <m/>
    <m/>
    <m/>
    <n v="0"/>
    <n v="0"/>
    <n v="0"/>
    <n v="12"/>
    <n v="12"/>
    <m/>
    <m/>
    <n v="0"/>
    <m/>
    <m/>
    <x v="0"/>
    <m/>
    <m/>
    <m/>
    <m/>
  </r>
  <r>
    <x v="0"/>
    <x v="4"/>
    <s v="7309/3"/>
    <x v="97"/>
    <s v="ایم عمران پاکستان مارکیٹ"/>
    <s v="PP"/>
    <s v="15"/>
    <n v="6.5"/>
    <s v="PP"/>
    <n v="500"/>
    <s v="PP"/>
    <n v="10"/>
    <n v="374.32"/>
    <n v="15"/>
    <m/>
    <m/>
    <n v="359.32"/>
    <m/>
    <m/>
    <m/>
    <m/>
    <n v="0"/>
    <n v="0"/>
    <m/>
    <m/>
    <m/>
    <m/>
    <m/>
    <m/>
    <m/>
    <m/>
    <n v="0"/>
    <n v="0"/>
    <n v="0"/>
    <n v="12"/>
    <n v="12"/>
    <m/>
    <m/>
    <n v="0"/>
    <m/>
    <m/>
    <x v="0"/>
    <m/>
    <m/>
    <m/>
    <m/>
  </r>
  <r>
    <x v="1"/>
    <x v="4"/>
    <s v="7309/3"/>
    <x v="97"/>
    <s v="ایم عمران پاکستان مارکیٹ"/>
    <s v="PP"/>
    <s v="15"/>
    <n v="6.5"/>
    <s v="PP"/>
    <n v="500"/>
    <s v="PP"/>
    <n v="4"/>
    <n v="132.60999999999999"/>
    <n v="6"/>
    <m/>
    <m/>
    <n v="126.60999999999999"/>
    <m/>
    <m/>
    <m/>
    <m/>
    <n v="0"/>
    <n v="0"/>
    <m/>
    <m/>
    <m/>
    <m/>
    <m/>
    <m/>
    <m/>
    <m/>
    <n v="0"/>
    <n v="0"/>
    <n v="0"/>
    <n v="12"/>
    <n v="12"/>
    <m/>
    <m/>
    <n v="0"/>
    <m/>
    <m/>
    <x v="0"/>
    <m/>
    <m/>
    <m/>
    <m/>
  </r>
  <r>
    <x v="1"/>
    <x v="4"/>
    <s v="7295/1"/>
    <x v="97"/>
    <s v="آصف پلاسٹک سرگوھا"/>
    <s v="PP"/>
    <n v="10"/>
    <n v="4.5"/>
    <s v="PP"/>
    <n v="200"/>
    <s v="PP"/>
    <n v="3"/>
    <n v="143.75"/>
    <n v="3"/>
    <m/>
    <m/>
    <n v="140.75"/>
    <m/>
    <m/>
    <m/>
    <m/>
    <n v="0"/>
    <n v="0"/>
    <m/>
    <m/>
    <n v="180"/>
    <m/>
    <m/>
    <m/>
    <m/>
    <m/>
    <n v="180"/>
    <n v="3"/>
    <n v="3"/>
    <n v="9"/>
    <n v="12"/>
    <m/>
    <m/>
    <n v="0"/>
    <m/>
    <m/>
    <x v="0"/>
    <m/>
    <m/>
    <m/>
    <m/>
  </r>
  <r>
    <x v="2"/>
    <x v="6"/>
    <m/>
    <x v="98"/>
    <s v="-"/>
    <m/>
    <m/>
    <m/>
    <m/>
    <m/>
    <m/>
    <m/>
    <m/>
    <m/>
    <m/>
    <m/>
    <n v="0"/>
    <m/>
    <m/>
    <m/>
    <m/>
    <n v="0"/>
    <n v="0"/>
    <m/>
    <m/>
    <m/>
    <m/>
    <m/>
    <m/>
    <m/>
    <m/>
    <n v="0"/>
    <n v="0"/>
    <n v="0"/>
    <n v="12"/>
    <n v="12"/>
    <m/>
    <m/>
    <n v="0"/>
    <m/>
    <m/>
    <x v="0"/>
    <m/>
    <m/>
    <m/>
    <m/>
  </r>
  <r>
    <x v="1"/>
    <x v="1"/>
    <s v="7245/4"/>
    <x v="99"/>
    <s v="-"/>
    <m/>
    <m/>
    <m/>
    <m/>
    <m/>
    <s v="PP"/>
    <n v="5"/>
    <n v="92.63000000000001"/>
    <n v="2.5"/>
    <m/>
    <m/>
    <n v="90.13000000000001"/>
    <m/>
    <m/>
    <n v="120"/>
    <m/>
    <n v="120"/>
    <n v="2"/>
    <m/>
    <m/>
    <m/>
    <m/>
    <m/>
    <m/>
    <m/>
    <m/>
    <n v="0"/>
    <n v="0"/>
    <n v="2"/>
    <n v="10"/>
    <n v="12"/>
    <m/>
    <m/>
    <n v="0"/>
    <m/>
    <m/>
    <x v="0"/>
    <m/>
    <m/>
    <m/>
    <m/>
  </r>
  <r>
    <x v="0"/>
    <x v="2"/>
    <s v="6/2"/>
    <x v="99"/>
    <s v="سٹاک"/>
    <s v="PP"/>
    <n v="6"/>
    <n v="5"/>
    <s v="PP"/>
    <n v="1500"/>
    <s v="PP"/>
    <n v="7"/>
    <n v="187.96"/>
    <n v="4.2"/>
    <m/>
    <m/>
    <n v="183.76000000000002"/>
    <m/>
    <m/>
    <m/>
    <n v="240"/>
    <n v="240"/>
    <n v="4"/>
    <m/>
    <m/>
    <m/>
    <m/>
    <m/>
    <m/>
    <m/>
    <m/>
    <n v="0"/>
    <n v="0"/>
    <n v="4"/>
    <n v="8"/>
    <n v="12"/>
    <m/>
    <m/>
    <n v="0"/>
    <m/>
    <m/>
    <x v="0"/>
    <m/>
    <m/>
    <m/>
    <m/>
  </r>
  <r>
    <x v="1"/>
    <x v="2"/>
    <s v="6/2"/>
    <x v="99"/>
    <s v="سٹاک"/>
    <s v="PP"/>
    <n v="6"/>
    <n v="5"/>
    <s v="PP"/>
    <n v="1500"/>
    <s v="PP"/>
    <n v="12"/>
    <n v="339.87"/>
    <n v="7.1999999999999993"/>
    <n v="32.5"/>
    <m/>
    <n v="332.67"/>
    <m/>
    <m/>
    <m/>
    <m/>
    <n v="0"/>
    <n v="0"/>
    <m/>
    <m/>
    <m/>
    <m/>
    <m/>
    <m/>
    <m/>
    <m/>
    <n v="0"/>
    <n v="0"/>
    <n v="0"/>
    <n v="12"/>
    <n v="12"/>
    <m/>
    <m/>
    <n v="0"/>
    <m/>
    <m/>
    <x v="0"/>
    <m/>
    <m/>
    <m/>
    <m/>
  </r>
  <r>
    <x v="0"/>
    <x v="3"/>
    <s v="3714 J"/>
    <x v="99"/>
    <s v="Jilani plastic"/>
    <s v="PP"/>
    <n v="18"/>
    <s v="5-5.5"/>
    <s v="PP"/>
    <n v="200"/>
    <s v="PP"/>
    <n v="8"/>
    <n v="447.74"/>
    <n v="14.8"/>
    <m/>
    <m/>
    <n v="432.94"/>
    <m/>
    <m/>
    <m/>
    <n v="200"/>
    <n v="200"/>
    <n v="3.3333333333333335"/>
    <m/>
    <m/>
    <m/>
    <m/>
    <m/>
    <m/>
    <m/>
    <m/>
    <n v="0"/>
    <n v="0"/>
    <n v="3.3333333333333335"/>
    <n v="8.6666666666666661"/>
    <n v="12"/>
    <m/>
    <m/>
    <n v="0"/>
    <m/>
    <m/>
    <x v="0"/>
    <m/>
    <m/>
    <m/>
    <m/>
  </r>
  <r>
    <x v="1"/>
    <x v="3"/>
    <s v="18/1"/>
    <x v="99"/>
    <s v="سٹاک"/>
    <s v="PP"/>
    <n v="18"/>
    <s v="5-5.5"/>
    <s v="PP"/>
    <n v="1000"/>
    <s v="PP"/>
    <n v="13"/>
    <n v="723.02"/>
    <n v="23.400000000000002"/>
    <m/>
    <m/>
    <n v="699.62"/>
    <m/>
    <m/>
    <m/>
    <m/>
    <n v="0"/>
    <n v="0"/>
    <m/>
    <m/>
    <m/>
    <m/>
    <m/>
    <m/>
    <m/>
    <m/>
    <n v="0"/>
    <n v="0"/>
    <n v="0"/>
    <n v="12"/>
    <n v="12"/>
    <m/>
    <m/>
    <n v="0"/>
    <m/>
    <m/>
    <x v="0"/>
    <m/>
    <m/>
    <m/>
    <m/>
  </r>
  <r>
    <x v="0"/>
    <x v="4"/>
    <s v="7295/1"/>
    <x v="99"/>
    <s v="آصف پلاسٹک سرگوھا"/>
    <s v="PP"/>
    <n v="10"/>
    <n v="4.5"/>
    <s v="PP"/>
    <n v="200"/>
    <s v="PP"/>
    <n v="3"/>
    <n v="74.87"/>
    <n v="3.3000000000000003"/>
    <m/>
    <m/>
    <n v="71.570000000000007"/>
    <m/>
    <m/>
    <m/>
    <n v="180"/>
    <n v="180"/>
    <n v="3"/>
    <m/>
    <m/>
    <m/>
    <m/>
    <m/>
    <m/>
    <n v="30"/>
    <m/>
    <n v="30"/>
    <n v="0.5"/>
    <n v="3.5"/>
    <n v="8.5"/>
    <n v="12"/>
    <m/>
    <m/>
    <n v="0"/>
    <m/>
    <m/>
    <x v="0"/>
    <m/>
    <m/>
    <m/>
    <m/>
  </r>
  <r>
    <x v="0"/>
    <x v="4"/>
    <s v="7302/21"/>
    <x v="99"/>
    <s v="ملک خالد سلیم فیصل آباد"/>
    <s v="PP"/>
    <s v="10"/>
    <n v="14"/>
    <s v="PP"/>
    <n v="200"/>
    <s v="PP"/>
    <n v="6"/>
    <n v="204.02"/>
    <n v="6.6000000000000005"/>
    <m/>
    <m/>
    <n v="197.42000000000002"/>
    <m/>
    <m/>
    <m/>
    <m/>
    <n v="0"/>
    <n v="0"/>
    <m/>
    <m/>
    <m/>
    <m/>
    <m/>
    <m/>
    <m/>
    <m/>
    <n v="0"/>
    <n v="0"/>
    <n v="0"/>
    <n v="12"/>
    <n v="12"/>
    <m/>
    <m/>
    <n v="0"/>
    <m/>
    <m/>
    <x v="0"/>
    <m/>
    <m/>
    <m/>
    <m/>
  </r>
  <r>
    <x v="0"/>
    <x v="4"/>
    <s v="7287/2"/>
    <x v="99"/>
    <s v="بلال جاوید فیصل اباد"/>
    <s v="PP"/>
    <n v="10"/>
    <n v="7"/>
    <s v="PP"/>
    <n v="100"/>
    <s v="PP"/>
    <n v="4"/>
    <n v="106.95"/>
    <n v="7.6"/>
    <m/>
    <m/>
    <n v="99.350000000000009"/>
    <m/>
    <m/>
    <m/>
    <m/>
    <n v="0"/>
    <n v="0"/>
    <m/>
    <m/>
    <m/>
    <m/>
    <m/>
    <m/>
    <m/>
    <m/>
    <n v="0"/>
    <n v="0"/>
    <n v="0"/>
    <n v="12"/>
    <n v="12"/>
    <m/>
    <m/>
    <n v="0"/>
    <m/>
    <m/>
    <x v="0"/>
    <m/>
    <m/>
    <m/>
    <m/>
  </r>
  <r>
    <x v="1"/>
    <x v="4"/>
    <s v="10/5"/>
    <x v="99"/>
    <s v="سٹاک"/>
    <s v="PP"/>
    <n v="10"/>
    <s v="5-5.5"/>
    <s v="PP"/>
    <n v="1000"/>
    <s v="PP"/>
    <n v="9"/>
    <n v="442.78999999999996"/>
    <n v="8.1"/>
    <m/>
    <m/>
    <n v="434.68999999999994"/>
    <m/>
    <n v="20"/>
    <m/>
    <m/>
    <n v="20"/>
    <n v="0.33333333333333331"/>
    <m/>
    <m/>
    <m/>
    <m/>
    <m/>
    <m/>
    <m/>
    <m/>
    <n v="0"/>
    <n v="0"/>
    <n v="0.33333333333333331"/>
    <n v="11.666666666666666"/>
    <n v="12"/>
    <m/>
    <m/>
    <n v="0"/>
    <m/>
    <m/>
    <x v="0"/>
    <m/>
    <m/>
    <m/>
    <m/>
  </r>
  <r>
    <x v="1"/>
    <x v="4"/>
    <s v="7313/1"/>
    <x v="99"/>
    <s v="ریفلیکٹ پیک لاہور"/>
    <s v="PP"/>
    <n v="16"/>
    <s v="5.5-6"/>
    <s v="PP"/>
    <n v="500"/>
    <s v="PP"/>
    <n v="2"/>
    <n v="83.97999999999999"/>
    <n v="3.4"/>
    <m/>
    <m/>
    <n v="80.579999999999984"/>
    <m/>
    <m/>
    <m/>
    <m/>
    <n v="0"/>
    <n v="0"/>
    <m/>
    <m/>
    <m/>
    <m/>
    <m/>
    <m/>
    <m/>
    <m/>
    <n v="0"/>
    <n v="0"/>
    <n v="0"/>
    <n v="12"/>
    <n v="12"/>
    <m/>
    <m/>
    <n v="0"/>
    <m/>
    <m/>
    <x v="0"/>
    <m/>
    <m/>
    <m/>
    <m/>
  </r>
  <r>
    <x v="0"/>
    <x v="5"/>
    <s v="2792/1"/>
    <x v="99"/>
    <s v="REFLECT PACK"/>
    <s v="PP"/>
    <n v="17"/>
    <s v="5.5-6"/>
    <s v="PP"/>
    <n v="8000"/>
    <s v="PP"/>
    <n v="6"/>
    <n v="243.59"/>
    <n v="10.95"/>
    <n v="22.5"/>
    <m/>
    <n v="232.64000000000001"/>
    <s v="8200.9799999999977"/>
    <m/>
    <m/>
    <n v="210"/>
    <n v="210"/>
    <n v="3.5"/>
    <m/>
    <m/>
    <m/>
    <m/>
    <m/>
    <m/>
    <m/>
    <m/>
    <n v="0"/>
    <n v="0"/>
    <n v="3.5"/>
    <n v="8.5"/>
    <n v="12"/>
    <m/>
    <m/>
    <n v="0"/>
    <m/>
    <m/>
    <x v="0"/>
    <m/>
    <m/>
    <m/>
    <m/>
  </r>
  <r>
    <x v="1"/>
    <x v="5"/>
    <s v="2792/1"/>
    <x v="99"/>
    <s v="REFLECT PACK"/>
    <s v="PP"/>
    <n v="17"/>
    <s v="5.5-6"/>
    <s v="PP"/>
    <n v="8000"/>
    <s v="PP"/>
    <n v="9"/>
    <n v="293.96999999999997"/>
    <n v="18"/>
    <m/>
    <m/>
    <n v="275.96999999999997"/>
    <m/>
    <m/>
    <m/>
    <m/>
    <n v="0"/>
    <n v="0"/>
    <m/>
    <m/>
    <n v="20"/>
    <n v="45"/>
    <m/>
    <m/>
    <m/>
    <m/>
    <n v="65"/>
    <n v="1.0833333333333333"/>
    <n v="1.0833333333333333"/>
    <n v="10.916666666666666"/>
    <n v="12"/>
    <m/>
    <m/>
    <n v="0"/>
    <m/>
    <m/>
    <x v="0"/>
    <m/>
    <m/>
    <m/>
    <m/>
  </r>
  <r>
    <x v="0"/>
    <x v="1"/>
    <s v="7245/4"/>
    <x v="100"/>
    <s v="-"/>
    <m/>
    <m/>
    <m/>
    <m/>
    <m/>
    <s v="PP"/>
    <n v="8"/>
    <n v="125.50999999999999"/>
    <n v="4"/>
    <n v="28"/>
    <m/>
    <n v="121.50999999999999"/>
    <s v="IRFAN"/>
    <m/>
    <m/>
    <m/>
    <n v="0"/>
    <n v="0"/>
    <m/>
    <m/>
    <m/>
    <m/>
    <m/>
    <m/>
    <m/>
    <m/>
    <n v="0"/>
    <n v="0"/>
    <n v="0"/>
    <n v="12"/>
    <n v="12"/>
    <m/>
    <m/>
    <n v="0"/>
    <m/>
    <m/>
    <x v="0"/>
    <m/>
    <m/>
    <m/>
    <m/>
  </r>
  <r>
    <x v="1"/>
    <x v="1"/>
    <s v="7245/4"/>
    <x v="100"/>
    <s v="-"/>
    <m/>
    <m/>
    <m/>
    <m/>
    <m/>
    <s v="PP"/>
    <n v="7"/>
    <n v="123.85"/>
    <n v="3.5"/>
    <n v="20"/>
    <m/>
    <n v="120.35"/>
    <s v="ZUBAIR"/>
    <m/>
    <m/>
    <m/>
    <n v="0"/>
    <n v="0"/>
    <m/>
    <m/>
    <m/>
    <m/>
    <m/>
    <m/>
    <m/>
    <m/>
    <n v="0"/>
    <n v="0"/>
    <n v="0"/>
    <n v="12"/>
    <n v="12"/>
    <m/>
    <m/>
    <n v="0"/>
    <m/>
    <m/>
    <x v="0"/>
    <m/>
    <m/>
    <m/>
    <m/>
  </r>
  <r>
    <x v="0"/>
    <x v="2"/>
    <s v="6/2"/>
    <x v="100"/>
    <s v="سٹاک"/>
    <s v="PP"/>
    <n v="6"/>
    <n v="5"/>
    <s v="PP"/>
    <n v="1500"/>
    <s v="PP"/>
    <n v="7"/>
    <n v="190.46999999999997"/>
    <n v="4.2"/>
    <m/>
    <m/>
    <n v="186.26999999999998"/>
    <m/>
    <m/>
    <m/>
    <m/>
    <n v="0"/>
    <n v="0"/>
    <m/>
    <m/>
    <m/>
    <m/>
    <m/>
    <m/>
    <m/>
    <m/>
    <n v="0"/>
    <n v="0"/>
    <n v="0"/>
    <n v="12"/>
    <n v="12"/>
    <m/>
    <m/>
    <n v="0"/>
    <m/>
    <m/>
    <x v="0"/>
    <m/>
    <m/>
    <m/>
    <m/>
  </r>
  <r>
    <x v="0"/>
    <x v="2"/>
    <s v="7316/1"/>
    <x v="100"/>
    <s v="اے ایس کلاتھ -اعظم مارکیٹ"/>
    <s v="PP"/>
    <n v="6"/>
    <n v="6"/>
    <s v="PP"/>
    <n v="200"/>
    <s v="PP"/>
    <n v="1"/>
    <n v="205.74"/>
    <n v="0.6"/>
    <m/>
    <m/>
    <n v="205.14000000000001"/>
    <m/>
    <m/>
    <m/>
    <m/>
    <n v="0"/>
    <n v="0"/>
    <m/>
    <m/>
    <m/>
    <m/>
    <m/>
    <m/>
    <m/>
    <m/>
    <n v="0"/>
    <n v="0"/>
    <n v="0"/>
    <n v="12"/>
    <n v="12"/>
    <m/>
    <m/>
    <n v="0"/>
    <m/>
    <m/>
    <x v="0"/>
    <m/>
    <m/>
    <m/>
    <m/>
  </r>
  <r>
    <x v="1"/>
    <x v="2"/>
    <s v="4300 J"/>
    <x v="100"/>
    <s v="Ibtsam Traders Sheikhupura"/>
    <s v="PP"/>
    <n v="6"/>
    <s v="7.5-8"/>
    <s v="PP"/>
    <n v="200"/>
    <s v="PP"/>
    <n v="8"/>
    <n v="47.599999999999994"/>
    <n v="4.8"/>
    <m/>
    <m/>
    <n v="42.8"/>
    <m/>
    <m/>
    <m/>
    <m/>
    <n v="0"/>
    <n v="0"/>
    <m/>
    <m/>
    <m/>
    <m/>
    <m/>
    <m/>
    <m/>
    <m/>
    <n v="0"/>
    <n v="0"/>
    <n v="0"/>
    <n v="12"/>
    <n v="12"/>
    <m/>
    <m/>
    <n v="0"/>
    <m/>
    <m/>
    <x v="0"/>
    <m/>
    <m/>
    <m/>
    <m/>
  </r>
  <r>
    <x v="0"/>
    <x v="3"/>
    <s v="18/1"/>
    <x v="100"/>
    <s v="سٹاک"/>
    <s v="PP"/>
    <n v="18"/>
    <s v="5-5.5"/>
    <s v="PP"/>
    <n v="1000"/>
    <s v="PP"/>
    <n v="6"/>
    <n v="340.03"/>
    <n v="11.2"/>
    <m/>
    <m/>
    <n v="328.83"/>
    <m/>
    <n v="20"/>
    <m/>
    <m/>
    <n v="20"/>
    <n v="0.33333333333333331"/>
    <m/>
    <m/>
    <m/>
    <m/>
    <m/>
    <m/>
    <m/>
    <m/>
    <n v="0"/>
    <n v="0"/>
    <n v="0.33333333333333331"/>
    <n v="11.666666666666666"/>
    <n v="12"/>
    <m/>
    <m/>
    <n v="0"/>
    <m/>
    <m/>
    <x v="0"/>
    <m/>
    <m/>
    <m/>
    <m/>
  </r>
  <r>
    <x v="0"/>
    <x v="3"/>
    <s v="4021 J"/>
    <x v="100"/>
    <s v="Jilani plastic"/>
    <s v="PP"/>
    <n v="20"/>
    <s v="5-5.5"/>
    <s v="PP"/>
    <n v="400"/>
    <s v="PP"/>
    <n v="6"/>
    <n v="347.3"/>
    <n v="9.6000000000000014"/>
    <m/>
    <m/>
    <n v="337.7"/>
    <m/>
    <m/>
    <m/>
    <m/>
    <n v="0"/>
    <n v="0"/>
    <m/>
    <m/>
    <m/>
    <m/>
    <m/>
    <m/>
    <m/>
    <m/>
    <n v="0"/>
    <n v="0"/>
    <n v="0"/>
    <n v="12"/>
    <n v="12"/>
    <m/>
    <m/>
    <n v="0"/>
    <m/>
    <m/>
    <x v="0"/>
    <m/>
    <m/>
    <m/>
    <m/>
  </r>
  <r>
    <x v="1"/>
    <x v="3"/>
    <s v="4021 J"/>
    <x v="100"/>
    <s v="Jilani plastic"/>
    <s v="PP"/>
    <n v="20"/>
    <s v="5-5.5"/>
    <s v="PP"/>
    <n v="400"/>
    <s v="PP"/>
    <n v="13"/>
    <n v="749.21000000000015"/>
    <n v="27.3"/>
    <m/>
    <m/>
    <n v="721.9100000000002"/>
    <m/>
    <m/>
    <m/>
    <m/>
    <n v="0"/>
    <n v="0"/>
    <m/>
    <m/>
    <m/>
    <m/>
    <m/>
    <m/>
    <m/>
    <m/>
    <n v="0"/>
    <n v="0"/>
    <n v="0"/>
    <n v="12"/>
    <n v="12"/>
    <m/>
    <m/>
    <n v="0"/>
    <m/>
    <m/>
    <x v="0"/>
    <m/>
    <m/>
    <m/>
    <m/>
  </r>
  <r>
    <x v="0"/>
    <x v="4"/>
    <s v="7313/1"/>
    <x v="100"/>
    <s v="ریفلیکٹ پیک لاہور"/>
    <s v="PP"/>
    <n v="16"/>
    <s v="5.5-6"/>
    <s v="PP"/>
    <n v="500"/>
    <s v="PP"/>
    <n v="8"/>
    <n v="440.49999999999994"/>
    <n v="13.6"/>
    <m/>
    <m/>
    <n v="426.89999999999992"/>
    <m/>
    <m/>
    <m/>
    <m/>
    <n v="0"/>
    <n v="0"/>
    <m/>
    <m/>
    <m/>
    <m/>
    <m/>
    <m/>
    <m/>
    <m/>
    <n v="0"/>
    <n v="0"/>
    <n v="0"/>
    <n v="12"/>
    <n v="12"/>
    <m/>
    <m/>
    <n v="0"/>
    <m/>
    <m/>
    <x v="0"/>
    <m/>
    <m/>
    <m/>
    <m/>
  </r>
  <r>
    <x v="0"/>
    <x v="4"/>
    <s v="4409 J"/>
    <x v="100"/>
    <s v="Cakes and Bakes Lahore"/>
    <s v="PP"/>
    <n v="16"/>
    <s v="5-6"/>
    <s v="PP"/>
    <n v="150"/>
    <s v="PP"/>
    <n v="3"/>
    <n v="133.23000000000002"/>
    <n v="5.0999999999999996"/>
    <m/>
    <m/>
    <n v="128.13000000000002"/>
    <m/>
    <m/>
    <m/>
    <m/>
    <n v="0"/>
    <n v="0"/>
    <m/>
    <m/>
    <m/>
    <m/>
    <m/>
    <m/>
    <m/>
    <m/>
    <n v="0"/>
    <n v="0"/>
    <n v="0"/>
    <n v="12"/>
    <n v="12"/>
    <m/>
    <m/>
    <n v="0"/>
    <m/>
    <m/>
    <x v="0"/>
    <m/>
    <m/>
    <m/>
    <m/>
  </r>
  <r>
    <x v="1"/>
    <x v="4"/>
    <s v="4409 J"/>
    <x v="100"/>
    <s v="Cakes and Bakes Lahore"/>
    <s v="PP"/>
    <n v="16"/>
    <s v="5-6"/>
    <s v="PP"/>
    <n v="150"/>
    <s v="PP"/>
    <n v="1"/>
    <n v="40"/>
    <n v="1.7"/>
    <m/>
    <m/>
    <n v="38.299999999999997"/>
    <m/>
    <n v="20"/>
    <m/>
    <m/>
    <n v="20"/>
    <n v="0.33333333333333331"/>
    <m/>
    <m/>
    <m/>
    <m/>
    <m/>
    <m/>
    <m/>
    <m/>
    <n v="0"/>
    <n v="0"/>
    <n v="0.33333333333333331"/>
    <n v="11.666666666666666"/>
    <n v="12"/>
    <m/>
    <m/>
    <n v="0"/>
    <m/>
    <m/>
    <x v="0"/>
    <m/>
    <m/>
    <m/>
    <m/>
  </r>
  <r>
    <x v="1"/>
    <x v="4"/>
    <s v="7246/9"/>
    <x v="100"/>
    <s v="اصف سرگودھا"/>
    <s v="PP"/>
    <n v="16"/>
    <n v="4.5"/>
    <s v="PP"/>
    <n v="250"/>
    <s v="PP"/>
    <n v="2"/>
    <n v="59.519999999999996"/>
    <n v="3.2"/>
    <m/>
    <m/>
    <n v="56.319999999999993"/>
    <m/>
    <m/>
    <m/>
    <m/>
    <n v="0"/>
    <n v="0"/>
    <m/>
    <m/>
    <m/>
    <m/>
    <m/>
    <m/>
    <m/>
    <m/>
    <n v="0"/>
    <n v="0"/>
    <n v="0"/>
    <n v="12"/>
    <n v="12"/>
    <m/>
    <m/>
    <n v="0"/>
    <m/>
    <m/>
    <x v="0"/>
    <m/>
    <m/>
    <m/>
    <m/>
  </r>
  <r>
    <x v="1"/>
    <x v="4"/>
    <s v="7313A/1"/>
    <x v="100"/>
    <s v="ایم بلال وحدت روڈ"/>
    <s v="PP"/>
    <n v="17"/>
    <s v="8.5-9"/>
    <s v="PP"/>
    <n v="2900"/>
    <s v="PP"/>
    <n v="11"/>
    <n v="480.69000000000005"/>
    <n v="20.46"/>
    <m/>
    <m/>
    <n v="460.23000000000008"/>
    <m/>
    <m/>
    <m/>
    <m/>
    <n v="0"/>
    <n v="0"/>
    <m/>
    <m/>
    <m/>
    <m/>
    <m/>
    <m/>
    <m/>
    <m/>
    <n v="0"/>
    <n v="0"/>
    <n v="0"/>
    <n v="12"/>
    <n v="12"/>
    <m/>
    <m/>
    <n v="0"/>
    <m/>
    <m/>
    <x v="0"/>
    <m/>
    <m/>
    <m/>
    <m/>
  </r>
  <r>
    <x v="1"/>
    <x v="0"/>
    <s v="7327/1"/>
    <x v="101"/>
    <s v="ہجویری ٹریڈرز اردو بازار"/>
    <s v="PP"/>
    <n v="2"/>
    <n v="12"/>
    <s v="PP"/>
    <n v="500"/>
    <s v="PP"/>
    <n v="11"/>
    <n v="106.19"/>
    <n v="2.2000000000000002"/>
    <m/>
    <m/>
    <n v="103.99"/>
    <m/>
    <m/>
    <m/>
    <n v="120"/>
    <n v="120"/>
    <n v="2"/>
    <m/>
    <m/>
    <m/>
    <m/>
    <m/>
    <m/>
    <m/>
    <m/>
    <n v="0"/>
    <n v="0"/>
    <n v="2"/>
    <n v="10"/>
    <n v="12"/>
    <m/>
    <n v="2483.5"/>
    <n v="0"/>
    <m/>
    <m/>
    <x v="0"/>
    <m/>
    <m/>
    <m/>
    <m/>
  </r>
  <r>
    <x v="0"/>
    <x v="1"/>
    <s v="7245/4"/>
    <x v="101"/>
    <s v="-"/>
    <m/>
    <m/>
    <m/>
    <m/>
    <m/>
    <s v="PP"/>
    <n v="4"/>
    <n v="62.449999999999996"/>
    <n v="2"/>
    <m/>
    <m/>
    <n v="60.449999999999996"/>
    <m/>
    <m/>
    <m/>
    <m/>
    <n v="0"/>
    <n v="0"/>
    <m/>
    <m/>
    <n v="420"/>
    <m/>
    <m/>
    <m/>
    <m/>
    <m/>
    <n v="420"/>
    <n v="7"/>
    <n v="7"/>
    <n v="5"/>
    <n v="12"/>
    <m/>
    <m/>
    <n v="0"/>
    <m/>
    <m/>
    <x v="0"/>
    <m/>
    <m/>
    <m/>
    <m/>
  </r>
  <r>
    <x v="1"/>
    <x v="1"/>
    <s v="7302/20"/>
    <x v="101"/>
    <s v="ملک خالد سلیم فیصل آباد"/>
    <s v="PP"/>
    <s v="05"/>
    <n v="14"/>
    <s v="PP"/>
    <n v="200"/>
    <s v="PP"/>
    <n v="5"/>
    <n v="78.41"/>
    <n v="2.5"/>
    <m/>
    <m/>
    <n v="75.91"/>
    <m/>
    <m/>
    <m/>
    <n v="120"/>
    <n v="120"/>
    <n v="2"/>
    <m/>
    <m/>
    <m/>
    <m/>
    <m/>
    <m/>
    <m/>
    <m/>
    <n v="0"/>
    <n v="0"/>
    <n v="2"/>
    <n v="10"/>
    <n v="12"/>
    <m/>
    <m/>
    <n v="0"/>
    <m/>
    <m/>
    <x v="0"/>
    <m/>
    <m/>
    <m/>
    <m/>
  </r>
  <r>
    <x v="1"/>
    <x v="1"/>
    <s v="7302/20"/>
    <x v="101"/>
    <s v="ملک خالد سلیم فیصل آباد"/>
    <s v="PP"/>
    <s v="05"/>
    <n v="14"/>
    <s v="PP"/>
    <n v="200"/>
    <s v="PP"/>
    <n v="3"/>
    <n v="54.790000000000006"/>
    <n v="1.5"/>
    <m/>
    <m/>
    <n v="53.290000000000006"/>
    <m/>
    <m/>
    <m/>
    <m/>
    <n v="0"/>
    <n v="0"/>
    <m/>
    <m/>
    <m/>
    <m/>
    <m/>
    <m/>
    <m/>
    <m/>
    <n v="0"/>
    <n v="0"/>
    <n v="0"/>
    <n v="12"/>
    <n v="12"/>
    <m/>
    <m/>
    <n v="0"/>
    <m/>
    <m/>
    <x v="0"/>
    <m/>
    <m/>
    <m/>
    <m/>
  </r>
  <r>
    <x v="0"/>
    <x v="2"/>
    <s v="4300 J"/>
    <x v="101"/>
    <s v="Ibtsam Traders Sheikhupura"/>
    <s v="PP"/>
    <n v="6"/>
    <s v="7.5-8"/>
    <s v="PP"/>
    <n v="200"/>
    <s v="PP"/>
    <n v="7"/>
    <n v="167.32999999999998"/>
    <n v="4.2"/>
    <m/>
    <m/>
    <n v="163.13"/>
    <m/>
    <n v="20"/>
    <m/>
    <m/>
    <n v="20"/>
    <n v="0.33333333333333331"/>
    <m/>
    <m/>
    <m/>
    <m/>
    <m/>
    <m/>
    <m/>
    <m/>
    <n v="0"/>
    <n v="0"/>
    <n v="0.33333333333333331"/>
    <n v="11.666666666666666"/>
    <n v="12"/>
    <m/>
    <m/>
    <n v="0"/>
    <m/>
    <m/>
    <x v="0"/>
    <m/>
    <m/>
    <m/>
    <m/>
  </r>
  <r>
    <x v="0"/>
    <x v="2"/>
    <s v="7297/1"/>
    <x v="101"/>
    <s v="زوالقرنین Pکامونکی"/>
    <s v="PP"/>
    <n v="9"/>
    <n v="7"/>
    <s v="PP"/>
    <n v="100"/>
    <s v="PP"/>
    <n v="3"/>
    <n v="76.63"/>
    <n v="2.7"/>
    <m/>
    <m/>
    <n v="73.929999999999993"/>
    <m/>
    <m/>
    <m/>
    <m/>
    <n v="0"/>
    <n v="0"/>
    <m/>
    <m/>
    <m/>
    <m/>
    <m/>
    <m/>
    <m/>
    <m/>
    <n v="0"/>
    <n v="0"/>
    <n v="0"/>
    <n v="12"/>
    <n v="12"/>
    <m/>
    <m/>
    <n v="0"/>
    <m/>
    <m/>
    <x v="0"/>
    <m/>
    <m/>
    <m/>
    <m/>
  </r>
  <r>
    <x v="1"/>
    <x v="2"/>
    <s v="7297/1"/>
    <x v="101"/>
    <s v="زوالقرنین Pکامونکی"/>
    <s v="PP"/>
    <n v="9"/>
    <n v="7"/>
    <s v="PP"/>
    <n v="100"/>
    <s v="PP"/>
    <n v="8"/>
    <n v="276.90999999999997"/>
    <n v="7.2"/>
    <m/>
    <m/>
    <n v="269.70999999999998"/>
    <m/>
    <n v="20"/>
    <m/>
    <m/>
    <n v="20"/>
    <n v="0.33333333333333331"/>
    <m/>
    <m/>
    <m/>
    <m/>
    <m/>
    <m/>
    <m/>
    <m/>
    <n v="0"/>
    <n v="0"/>
    <n v="0.33333333333333331"/>
    <n v="11.666666666666666"/>
    <n v="12"/>
    <m/>
    <m/>
    <n v="0"/>
    <m/>
    <m/>
    <x v="0"/>
    <m/>
    <m/>
    <m/>
    <m/>
  </r>
  <r>
    <x v="0"/>
    <x v="3"/>
    <s v="7315/2"/>
    <x v="101"/>
    <s v="اکرام بلو خانپور"/>
    <s v="PP"/>
    <n v="20"/>
    <n v="5"/>
    <s v="PP"/>
    <n v="25"/>
    <s v="PP"/>
    <n v="2"/>
    <n v="120.31"/>
    <n v="4"/>
    <n v="27.5"/>
    <m/>
    <n v="116.31"/>
    <m/>
    <n v="20"/>
    <m/>
    <m/>
    <n v="20"/>
    <n v="0.33333333333333331"/>
    <m/>
    <m/>
    <m/>
    <m/>
    <m/>
    <m/>
    <m/>
    <m/>
    <n v="0"/>
    <n v="0"/>
    <n v="0.33333333333333331"/>
    <n v="11.666666666666666"/>
    <n v="12"/>
    <m/>
    <m/>
    <n v="0"/>
    <m/>
    <m/>
    <x v="0"/>
    <m/>
    <m/>
    <m/>
    <m/>
  </r>
  <r>
    <x v="0"/>
    <x v="3"/>
    <s v="4313 J"/>
    <x v="101"/>
    <s v="Usman Arif Butt Gujranwala"/>
    <s v="PP"/>
    <n v="16"/>
    <s v="4.5-5"/>
    <s v="PP"/>
    <n v="400"/>
    <s v="PP"/>
    <n v="9"/>
    <n v="457.09"/>
    <n v="17.099999999999998"/>
    <m/>
    <m/>
    <n v="439.98999999999995"/>
    <m/>
    <m/>
    <m/>
    <m/>
    <n v="0"/>
    <n v="0"/>
    <m/>
    <m/>
    <m/>
    <m/>
    <m/>
    <m/>
    <m/>
    <m/>
    <n v="0"/>
    <n v="0"/>
    <n v="0"/>
    <n v="12"/>
    <n v="12"/>
    <m/>
    <m/>
    <n v="0"/>
    <m/>
    <m/>
    <x v="0"/>
    <m/>
    <m/>
    <m/>
    <m/>
  </r>
  <r>
    <x v="1"/>
    <x v="3"/>
    <s v="7246/9"/>
    <x v="101"/>
    <s v="اصف سرگودھا"/>
    <s v="PP"/>
    <n v="16"/>
    <n v="4.5"/>
    <s v="PP"/>
    <n v="250"/>
    <s v="PP"/>
    <n v="1"/>
    <n v="57.24"/>
    <n v="1.6"/>
    <n v="32.5"/>
    <m/>
    <n v="55.64"/>
    <m/>
    <m/>
    <m/>
    <m/>
    <n v="0"/>
    <n v="0"/>
    <m/>
    <m/>
    <m/>
    <m/>
    <m/>
    <m/>
    <m/>
    <m/>
    <n v="0"/>
    <n v="0"/>
    <n v="0"/>
    <n v="12"/>
    <n v="12"/>
    <m/>
    <m/>
    <n v="0"/>
    <m/>
    <m/>
    <x v="0"/>
    <m/>
    <m/>
    <m/>
    <m/>
  </r>
  <r>
    <x v="1"/>
    <x v="3"/>
    <s v="4192 J"/>
    <x v="101"/>
    <s v="Jilani Poly Stock"/>
    <s v="PP"/>
    <n v="16"/>
    <s v="5-5.5"/>
    <s v="PP"/>
    <n v="1000"/>
    <s v="PP"/>
    <n v="12"/>
    <n v="639.00999999999988"/>
    <n v="19.200000000000003"/>
    <m/>
    <m/>
    <n v="619.80999999999983"/>
    <m/>
    <m/>
    <m/>
    <m/>
    <n v="0"/>
    <n v="0"/>
    <m/>
    <m/>
    <m/>
    <m/>
    <m/>
    <m/>
    <m/>
    <m/>
    <n v="0"/>
    <n v="0"/>
    <n v="0"/>
    <n v="12"/>
    <n v="12"/>
    <m/>
    <m/>
    <n v="0"/>
    <m/>
    <m/>
    <x v="0"/>
    <m/>
    <m/>
    <m/>
    <m/>
  </r>
  <r>
    <x v="0"/>
    <x v="4"/>
    <s v="7313A/1"/>
    <x v="101"/>
    <s v="ایم بلال وحدت روڈ"/>
    <s v="PP"/>
    <n v="17"/>
    <s v="8.5-9"/>
    <s v="PP"/>
    <n v="2900"/>
    <s v="PP"/>
    <n v="13"/>
    <n v="625.03"/>
    <n v="26.65"/>
    <m/>
    <m/>
    <n v="598.38"/>
    <m/>
    <m/>
    <m/>
    <m/>
    <n v="0"/>
    <n v="0"/>
    <m/>
    <m/>
    <m/>
    <m/>
    <m/>
    <m/>
    <m/>
    <m/>
    <n v="0"/>
    <n v="0"/>
    <n v="0"/>
    <n v="12"/>
    <n v="12"/>
    <m/>
    <m/>
    <n v="0"/>
    <m/>
    <m/>
    <x v="0"/>
    <m/>
    <m/>
    <m/>
    <m/>
  </r>
  <r>
    <x v="1"/>
    <x v="4"/>
    <s v="7313A/1"/>
    <x v="101"/>
    <s v="ایم بلال وحدت روڈ"/>
    <s v="PP"/>
    <n v="17"/>
    <s v="8.5-9"/>
    <s v="PP"/>
    <n v="2900"/>
    <s v="PP"/>
    <n v="10"/>
    <n v="542.77"/>
    <n v="17"/>
    <m/>
    <m/>
    <n v="525.77"/>
    <m/>
    <m/>
    <m/>
    <m/>
    <n v="0"/>
    <n v="0"/>
    <m/>
    <m/>
    <m/>
    <m/>
    <m/>
    <m/>
    <m/>
    <m/>
    <n v="0"/>
    <n v="0"/>
    <n v="0"/>
    <n v="12"/>
    <n v="12"/>
    <m/>
    <m/>
    <n v="0"/>
    <m/>
    <m/>
    <x v="0"/>
    <m/>
    <m/>
    <m/>
    <m/>
  </r>
  <r>
    <x v="0"/>
    <x v="5"/>
    <s v="2792/1"/>
    <x v="101"/>
    <s v="REFLECT PACK"/>
    <s v="PP"/>
    <n v="17"/>
    <s v="5.5-6"/>
    <s v="PP"/>
    <n v="8000"/>
    <s v="PP"/>
    <n v="6"/>
    <n v="269.02"/>
    <n v="10.199999999999999"/>
    <m/>
    <m/>
    <n v="258.82"/>
    <m/>
    <m/>
    <m/>
    <n v="420"/>
    <n v="420"/>
    <n v="7"/>
    <m/>
    <m/>
    <m/>
    <m/>
    <m/>
    <m/>
    <m/>
    <m/>
    <n v="0"/>
    <n v="0"/>
    <n v="7"/>
    <n v="5"/>
    <n v="12"/>
    <m/>
    <m/>
    <n v="0"/>
    <m/>
    <m/>
    <x v="0"/>
    <m/>
    <m/>
    <m/>
    <m/>
  </r>
  <r>
    <x v="1"/>
    <x v="5"/>
    <s v="2792/1"/>
    <x v="101"/>
    <s v="REFLECT PACK"/>
    <s v="PP"/>
    <n v="17"/>
    <s v="5.5-6"/>
    <s v="PP"/>
    <n v="8000"/>
    <s v="PP"/>
    <n v="11"/>
    <n v="638.71"/>
    <n v="18.7"/>
    <m/>
    <m/>
    <n v="620.01"/>
    <m/>
    <m/>
    <m/>
    <m/>
    <n v="0"/>
    <n v="0"/>
    <m/>
    <m/>
    <m/>
    <m/>
    <m/>
    <m/>
    <m/>
    <m/>
    <n v="0"/>
    <n v="0"/>
    <n v="0"/>
    <n v="12"/>
    <n v="12"/>
    <m/>
    <m/>
    <n v="0"/>
    <m/>
    <m/>
    <x v="0"/>
    <m/>
    <m/>
    <m/>
    <m/>
  </r>
  <r>
    <x v="0"/>
    <x v="0"/>
    <s v="7327/1"/>
    <x v="102"/>
    <s v="ہجویری ٹریڈرز اردو بازار"/>
    <s v="PP"/>
    <n v="2"/>
    <n v="12"/>
    <s v="PP"/>
    <n v="500"/>
    <s v="PP"/>
    <n v="12"/>
    <n v="121.31"/>
    <n v="2.4000000000000004"/>
    <m/>
    <m/>
    <n v="118.91"/>
    <m/>
    <m/>
    <m/>
    <m/>
    <n v="0"/>
    <n v="0"/>
    <m/>
    <m/>
    <m/>
    <m/>
    <m/>
    <m/>
    <m/>
    <m/>
    <n v="0"/>
    <n v="0"/>
    <n v="0"/>
    <n v="12"/>
    <n v="12"/>
    <m/>
    <n v="2622"/>
    <n v="0"/>
    <m/>
    <m/>
    <x v="0"/>
    <m/>
    <m/>
    <m/>
    <m/>
  </r>
  <r>
    <x v="1"/>
    <x v="0"/>
    <s v="7327/1"/>
    <x v="102"/>
    <s v="ہجویری ٹریڈرز اردو بازار"/>
    <s v="PP"/>
    <n v="2"/>
    <n v="12"/>
    <s v="PP"/>
    <n v="500"/>
    <s v="PP"/>
    <n v="12"/>
    <n v="126.36999999999998"/>
    <n v="2.4000000000000004"/>
    <m/>
    <m/>
    <n v="123.96999999999997"/>
    <m/>
    <m/>
    <m/>
    <m/>
    <n v="0"/>
    <n v="0"/>
    <m/>
    <m/>
    <m/>
    <m/>
    <m/>
    <m/>
    <m/>
    <m/>
    <n v="0"/>
    <n v="0"/>
    <n v="0"/>
    <n v="12"/>
    <n v="12"/>
    <m/>
    <m/>
    <n v="0"/>
    <m/>
    <m/>
    <x v="0"/>
    <m/>
    <m/>
    <m/>
    <m/>
  </r>
  <r>
    <x v="0"/>
    <x v="1"/>
    <s v="7302/20"/>
    <x v="102"/>
    <s v="ملک خالد سلیم فیصل آباد"/>
    <s v="PP"/>
    <s v="05"/>
    <n v="14"/>
    <s v="PP"/>
    <n v="200"/>
    <s v="PP"/>
    <n v="4"/>
    <n v="72.460000000000008"/>
    <n v="2"/>
    <m/>
    <m/>
    <n v="70.460000000000008"/>
    <m/>
    <n v="20"/>
    <m/>
    <m/>
    <n v="20"/>
    <n v="0.33333333333333331"/>
    <m/>
    <m/>
    <n v="90"/>
    <m/>
    <m/>
    <m/>
    <m/>
    <m/>
    <n v="90"/>
    <n v="1.5"/>
    <n v="1.8333333333333333"/>
    <n v="10.166666666666666"/>
    <n v="12"/>
    <m/>
    <m/>
    <n v="0"/>
    <m/>
    <m/>
    <x v="0"/>
    <m/>
    <m/>
    <m/>
    <m/>
  </r>
  <r>
    <x v="0"/>
    <x v="1"/>
    <s v="4/3"/>
    <x v="102"/>
    <s v="سٹاک"/>
    <s v="PP"/>
    <n v="4"/>
    <s v="5-5.5"/>
    <s v="PP"/>
    <n v="800"/>
    <s v="PP"/>
    <n v="3"/>
    <n v="45.34"/>
    <n v="1.2000000000000002"/>
    <m/>
    <m/>
    <n v="44.14"/>
    <m/>
    <m/>
    <m/>
    <m/>
    <n v="0"/>
    <n v="0"/>
    <m/>
    <m/>
    <m/>
    <m/>
    <m/>
    <m/>
    <m/>
    <m/>
    <n v="0"/>
    <n v="0"/>
    <n v="0"/>
    <n v="12"/>
    <n v="12"/>
    <m/>
    <m/>
    <n v="0"/>
    <m/>
    <m/>
    <x v="0"/>
    <m/>
    <m/>
    <m/>
    <m/>
  </r>
  <r>
    <x v="1"/>
    <x v="1"/>
    <s v="4/3"/>
    <x v="102"/>
    <s v="سٹاک"/>
    <s v="PP"/>
    <n v="4"/>
    <s v="5-5.5"/>
    <s v="PP"/>
    <n v="800"/>
    <s v="PP"/>
    <n v="10"/>
    <n v="142.39999999999998"/>
    <n v="4"/>
    <m/>
    <m/>
    <n v="138.39999999999998"/>
    <m/>
    <m/>
    <m/>
    <m/>
    <n v="0"/>
    <n v="0"/>
    <m/>
    <m/>
    <m/>
    <m/>
    <m/>
    <m/>
    <m/>
    <m/>
    <n v="0"/>
    <n v="0"/>
    <n v="0"/>
    <n v="12"/>
    <n v="12"/>
    <m/>
    <m/>
    <n v="0"/>
    <m/>
    <m/>
    <x v="0"/>
    <m/>
    <m/>
    <m/>
    <m/>
  </r>
  <r>
    <x v="0"/>
    <x v="2"/>
    <s v="7246/12"/>
    <x v="102"/>
    <s v="اصف سرگودھا"/>
    <s v="PP"/>
    <n v="8"/>
    <n v="4.5"/>
    <s v="PP"/>
    <n v="250"/>
    <s v="PP"/>
    <n v="8"/>
    <n v="272.26"/>
    <n v="6.6000000000000005"/>
    <n v="28"/>
    <m/>
    <n v="265.65999999999997"/>
    <m/>
    <m/>
    <m/>
    <m/>
    <n v="0"/>
    <n v="0"/>
    <m/>
    <m/>
    <m/>
    <m/>
    <m/>
    <m/>
    <m/>
    <m/>
    <n v="0"/>
    <n v="0"/>
    <n v="0"/>
    <n v="12"/>
    <n v="12"/>
    <m/>
    <m/>
    <n v="0"/>
    <m/>
    <m/>
    <x v="0"/>
    <m/>
    <m/>
    <m/>
    <m/>
  </r>
  <r>
    <x v="1"/>
    <x v="2"/>
    <s v="7246/12"/>
    <x v="102"/>
    <s v="اصف سرگودھا"/>
    <s v="PP"/>
    <n v="8"/>
    <n v="4.5"/>
    <s v="PP"/>
    <n v="250"/>
    <s v="PP"/>
    <n v="9"/>
    <n v="334.52000000000004"/>
    <n v="7.2"/>
    <n v="38"/>
    <m/>
    <n v="327.32000000000005"/>
    <m/>
    <m/>
    <m/>
    <m/>
    <n v="0"/>
    <n v="0"/>
    <m/>
    <m/>
    <m/>
    <m/>
    <m/>
    <m/>
    <m/>
    <m/>
    <n v="0"/>
    <n v="0"/>
    <n v="0"/>
    <n v="12"/>
    <n v="12"/>
    <m/>
    <m/>
    <n v="0"/>
    <m/>
    <m/>
    <x v="0"/>
    <m/>
    <m/>
    <m/>
    <m/>
  </r>
  <r>
    <x v="0"/>
    <x v="3"/>
    <s v="4192 J"/>
    <x v="102"/>
    <s v="Jilani Poly Stock"/>
    <s v="PP"/>
    <n v="16"/>
    <s v="5-5.5"/>
    <s v="PP"/>
    <n v="1000"/>
    <s v="PP"/>
    <n v="10"/>
    <n v="537.95000000000005"/>
    <n v="16.3"/>
    <m/>
    <m/>
    <n v="521.65000000000009"/>
    <m/>
    <m/>
    <m/>
    <m/>
    <n v="0"/>
    <n v="0"/>
    <m/>
    <m/>
    <m/>
    <m/>
    <m/>
    <m/>
    <m/>
    <m/>
    <n v="0"/>
    <n v="0"/>
    <n v="0"/>
    <n v="12"/>
    <n v="12"/>
    <m/>
    <m/>
    <n v="0"/>
    <m/>
    <m/>
    <x v="0"/>
    <m/>
    <m/>
    <m/>
    <m/>
  </r>
  <r>
    <x v="0"/>
    <x v="3"/>
    <s v="7246/9"/>
    <x v="102"/>
    <s v="اصف سرگودھا"/>
    <s v="PP"/>
    <n v="16"/>
    <n v="4.5"/>
    <s v="PP"/>
    <n v="250"/>
    <s v="PP"/>
    <n v="1"/>
    <n v="53.55"/>
    <n v="1.6"/>
    <m/>
    <m/>
    <n v="51.949999999999996"/>
    <m/>
    <m/>
    <m/>
    <m/>
    <n v="0"/>
    <n v="0"/>
    <m/>
    <m/>
    <m/>
    <m/>
    <m/>
    <m/>
    <m/>
    <m/>
    <n v="0"/>
    <n v="0"/>
    <n v="0"/>
    <n v="12"/>
    <n v="12"/>
    <m/>
    <m/>
    <n v="0"/>
    <m/>
    <m/>
    <x v="0"/>
    <m/>
    <m/>
    <m/>
    <m/>
  </r>
  <r>
    <x v="1"/>
    <x v="3"/>
    <s v="7246/9"/>
    <x v="102"/>
    <s v="اصف سرگودھا"/>
    <s v="PP"/>
    <n v="16"/>
    <n v="4.5"/>
    <s v="PP"/>
    <n v="250"/>
    <s v="PP"/>
    <n v="5"/>
    <n v="246.01"/>
    <n v="8"/>
    <m/>
    <m/>
    <n v="238.01"/>
    <m/>
    <n v="45"/>
    <m/>
    <m/>
    <n v="45"/>
    <n v="0.75"/>
    <m/>
    <m/>
    <m/>
    <m/>
    <m/>
    <m/>
    <m/>
    <m/>
    <n v="0"/>
    <n v="0"/>
    <n v="0.75"/>
    <n v="11.25"/>
    <n v="12"/>
    <m/>
    <m/>
    <n v="0"/>
    <m/>
    <m/>
    <x v="0"/>
    <m/>
    <m/>
    <m/>
    <m/>
  </r>
  <r>
    <x v="1"/>
    <x v="3"/>
    <s v="7322/1"/>
    <x v="102"/>
    <s v="ہیڈ افس لاہور"/>
    <s v="PP"/>
    <n v="15"/>
    <n v="7"/>
    <s v="PP"/>
    <n v="200"/>
    <s v="PP"/>
    <n v="5"/>
    <n v="214.68"/>
    <n v="7.5"/>
    <m/>
    <m/>
    <n v="207.18"/>
    <m/>
    <m/>
    <m/>
    <m/>
    <n v="0"/>
    <n v="0"/>
    <m/>
    <m/>
    <m/>
    <m/>
    <m/>
    <m/>
    <m/>
    <m/>
    <n v="0"/>
    <n v="0"/>
    <n v="0"/>
    <n v="12"/>
    <n v="12"/>
    <m/>
    <m/>
    <n v="0"/>
    <m/>
    <m/>
    <x v="0"/>
    <m/>
    <m/>
    <m/>
    <m/>
  </r>
  <r>
    <x v="1"/>
    <x v="3"/>
    <s v="7322/2"/>
    <x v="102"/>
    <s v="ہیڈ افس لاہور"/>
    <s v="PP"/>
    <n v="19"/>
    <n v="7"/>
    <s v="PP"/>
    <n v="200"/>
    <s v="PP"/>
    <n v="3"/>
    <n v="164.62"/>
    <n v="5.6999999999999993"/>
    <m/>
    <m/>
    <n v="158.92000000000002"/>
    <m/>
    <m/>
    <m/>
    <m/>
    <n v="0"/>
    <n v="0"/>
    <m/>
    <m/>
    <m/>
    <m/>
    <m/>
    <m/>
    <m/>
    <m/>
    <n v="0"/>
    <n v="0"/>
    <n v="0"/>
    <n v="12"/>
    <n v="12"/>
    <m/>
    <m/>
    <n v="0"/>
    <m/>
    <m/>
    <x v="0"/>
    <m/>
    <m/>
    <m/>
    <m/>
  </r>
  <r>
    <x v="0"/>
    <x v="4"/>
    <s v="7313A/1"/>
    <x v="102"/>
    <s v="ایم بلال وحدت روڈ"/>
    <s v="PP"/>
    <n v="17"/>
    <s v="8.5-9"/>
    <s v="PP"/>
    <n v="2900"/>
    <s v="PP"/>
    <n v="10"/>
    <n v="577.78"/>
    <n v="17"/>
    <m/>
    <m/>
    <n v="560.78"/>
    <m/>
    <m/>
    <m/>
    <m/>
    <n v="0"/>
    <n v="0"/>
    <m/>
    <m/>
    <m/>
    <m/>
    <m/>
    <m/>
    <m/>
    <m/>
    <n v="0"/>
    <n v="0"/>
    <n v="0"/>
    <n v="12"/>
    <n v="12"/>
    <m/>
    <m/>
    <n v="0"/>
    <m/>
    <m/>
    <x v="0"/>
    <m/>
    <m/>
    <m/>
    <m/>
  </r>
  <r>
    <x v="1"/>
    <x v="4"/>
    <s v="7313A/1"/>
    <x v="102"/>
    <s v="ایم بلال وحدت روڈ"/>
    <s v="PP"/>
    <n v="17"/>
    <s v="8.5-9"/>
    <s v="PP"/>
    <n v="2900"/>
    <s v="PP"/>
    <n v="12"/>
    <n v="629.17999999999995"/>
    <n v="20.399999999999999"/>
    <m/>
    <m/>
    <n v="608.78"/>
    <m/>
    <m/>
    <m/>
    <m/>
    <n v="0"/>
    <n v="0"/>
    <m/>
    <m/>
    <m/>
    <m/>
    <m/>
    <m/>
    <m/>
    <m/>
    <n v="0"/>
    <n v="0"/>
    <n v="0"/>
    <n v="12"/>
    <n v="12"/>
    <m/>
    <m/>
    <n v="0"/>
    <m/>
    <m/>
    <x v="0"/>
    <m/>
    <m/>
    <m/>
    <m/>
  </r>
  <r>
    <x v="0"/>
    <x v="5"/>
    <s v="2792/1"/>
    <x v="102"/>
    <s v="REFLECT PACK"/>
    <s v="PP"/>
    <n v="17"/>
    <s v="5.5-6"/>
    <s v="PP"/>
    <n v="8000"/>
    <s v="PP"/>
    <n v="12"/>
    <n v="620.69000000000005"/>
    <n v="32.5"/>
    <m/>
    <m/>
    <n v="588.19000000000005"/>
    <m/>
    <m/>
    <m/>
    <m/>
    <n v="0"/>
    <n v="0"/>
    <m/>
    <m/>
    <m/>
    <m/>
    <m/>
    <m/>
    <m/>
    <m/>
    <n v="0"/>
    <n v="0"/>
    <n v="0"/>
    <n v="12"/>
    <n v="12"/>
    <m/>
    <m/>
    <n v="0"/>
    <m/>
    <m/>
    <x v="0"/>
    <m/>
    <m/>
    <m/>
    <m/>
  </r>
  <r>
    <x v="1"/>
    <x v="5"/>
    <s v="2792/1"/>
    <x v="102"/>
    <s v="REFLECT PACK"/>
    <s v="PP"/>
    <n v="17"/>
    <s v="5.5-6"/>
    <s v="PP"/>
    <n v="8000"/>
    <s v="PP"/>
    <n v="8"/>
    <n v="426.75"/>
    <n v="13.6"/>
    <m/>
    <m/>
    <n v="413.15"/>
    <m/>
    <m/>
    <m/>
    <m/>
    <n v="0"/>
    <n v="0"/>
    <m/>
    <m/>
    <n v="240"/>
    <m/>
    <m/>
    <m/>
    <m/>
    <m/>
    <n v="240"/>
    <n v="4"/>
    <n v="4"/>
    <n v="8"/>
    <n v="12"/>
    <m/>
    <m/>
    <n v="0"/>
    <m/>
    <m/>
    <x v="0"/>
    <m/>
    <m/>
    <m/>
    <m/>
  </r>
  <r>
    <x v="0"/>
    <x v="0"/>
    <s v="7327/1"/>
    <x v="103"/>
    <s v="ہجویری ٹریڈرز اردو بازار"/>
    <s v="PP"/>
    <n v="2"/>
    <n v="12"/>
    <s v="PP"/>
    <n v="500"/>
    <s v="PP"/>
    <n v="12"/>
    <n v="123.18"/>
    <n v="2.4000000000000004"/>
    <n v="43.5"/>
    <m/>
    <n v="120.78"/>
    <m/>
    <m/>
    <m/>
    <m/>
    <n v="0"/>
    <n v="0"/>
    <m/>
    <m/>
    <m/>
    <m/>
    <m/>
    <m/>
    <m/>
    <m/>
    <n v="0"/>
    <n v="0"/>
    <n v="0"/>
    <n v="12"/>
    <n v="12"/>
    <m/>
    <m/>
    <n v="0"/>
    <m/>
    <m/>
    <x v="0"/>
    <m/>
    <m/>
    <m/>
    <m/>
  </r>
  <r>
    <x v="1"/>
    <x v="0"/>
    <s v="7327/1"/>
    <x v="103"/>
    <s v="ہجویری ٹریڈرز اردو بازار"/>
    <s v="PP"/>
    <n v="2"/>
    <n v="12"/>
    <s v="PP"/>
    <n v="500"/>
    <s v="PP"/>
    <n v="6"/>
    <n v="62.8"/>
    <n v="1.2000000000000002"/>
    <n v="37.5"/>
    <m/>
    <n v="61.599999999999994"/>
    <m/>
    <m/>
    <m/>
    <m/>
    <n v="0"/>
    <n v="0"/>
    <m/>
    <m/>
    <m/>
    <m/>
    <m/>
    <m/>
    <m/>
    <m/>
    <n v="0"/>
    <n v="0"/>
    <n v="0"/>
    <n v="12"/>
    <n v="12"/>
    <m/>
    <m/>
    <n v="0"/>
    <m/>
    <m/>
    <x v="0"/>
    <m/>
    <m/>
    <m/>
    <m/>
  </r>
  <r>
    <x v="1"/>
    <x v="0"/>
    <s v="2.5/2"/>
    <x v="103"/>
    <s v="سٹاک"/>
    <s v="PP"/>
    <n v="2.5"/>
    <s v="5.5-6"/>
    <s v="PP"/>
    <n v="800"/>
    <s v="PP"/>
    <n v="4"/>
    <n v="45.7"/>
    <n v="10"/>
    <m/>
    <m/>
    <n v="35.700000000000003"/>
    <m/>
    <m/>
    <m/>
    <m/>
    <n v="0"/>
    <n v="0"/>
    <m/>
    <m/>
    <m/>
    <m/>
    <m/>
    <m/>
    <m/>
    <m/>
    <n v="0"/>
    <n v="0"/>
    <n v="0"/>
    <n v="12"/>
    <n v="12"/>
    <m/>
    <m/>
    <n v="0"/>
    <m/>
    <m/>
    <x v="0"/>
    <m/>
    <m/>
    <m/>
    <m/>
  </r>
  <r>
    <x v="0"/>
    <x v="1"/>
    <s v="4/3"/>
    <x v="103"/>
    <s v="سٹاک"/>
    <s v="PP"/>
    <n v="4"/>
    <s v="5-5.5"/>
    <s v="PP"/>
    <n v="800"/>
    <s v="PP"/>
    <n v="10"/>
    <n v="143.38999999999999"/>
    <n v="4"/>
    <m/>
    <m/>
    <n v="139.38999999999999"/>
    <m/>
    <m/>
    <m/>
    <m/>
    <n v="0"/>
    <n v="0"/>
    <m/>
    <m/>
    <m/>
    <m/>
    <m/>
    <m/>
    <m/>
    <m/>
    <n v="0"/>
    <n v="0"/>
    <n v="0"/>
    <n v="12"/>
    <n v="12"/>
    <m/>
    <m/>
    <n v="0"/>
    <m/>
    <m/>
    <x v="0"/>
    <m/>
    <m/>
    <m/>
    <m/>
  </r>
  <r>
    <x v="1"/>
    <x v="1"/>
    <s v="4/3"/>
    <x v="103"/>
    <s v="سٹاک"/>
    <s v="PP"/>
    <n v="4"/>
    <s v="5-5.5"/>
    <s v="PP"/>
    <n v="800"/>
    <s v="PP"/>
    <n v="10"/>
    <n v="141.29999999999998"/>
    <n v="4"/>
    <m/>
    <m/>
    <n v="137.29999999999998"/>
    <m/>
    <m/>
    <m/>
    <m/>
    <n v="0"/>
    <n v="0"/>
    <m/>
    <m/>
    <m/>
    <m/>
    <m/>
    <m/>
    <m/>
    <m/>
    <n v="0"/>
    <n v="0"/>
    <n v="0"/>
    <n v="12"/>
    <n v="12"/>
    <m/>
    <m/>
    <n v="0"/>
    <m/>
    <m/>
    <x v="0"/>
    <m/>
    <m/>
    <m/>
    <m/>
  </r>
  <r>
    <x v="0"/>
    <x v="2"/>
    <s v="7246/2"/>
    <x v="103"/>
    <s v="اصف سرگودھا"/>
    <s v="PP"/>
    <n v="10"/>
    <n v="4.5"/>
    <s v="PP"/>
    <n v="250"/>
    <s v="PP"/>
    <n v="4"/>
    <n v="132"/>
    <n v="4"/>
    <m/>
    <m/>
    <n v="128"/>
    <m/>
    <m/>
    <m/>
    <m/>
    <n v="0"/>
    <n v="0"/>
    <m/>
    <m/>
    <m/>
    <m/>
    <m/>
    <m/>
    <m/>
    <m/>
    <n v="0"/>
    <n v="0"/>
    <n v="0"/>
    <n v="12"/>
    <n v="12"/>
    <m/>
    <m/>
    <n v="0"/>
    <m/>
    <m/>
    <x v="0"/>
    <m/>
    <m/>
    <m/>
    <m/>
  </r>
  <r>
    <x v="0"/>
    <x v="2"/>
    <s v="8/4"/>
    <x v="103"/>
    <s v="سٹاک"/>
    <s v="PP"/>
    <n v="8"/>
    <n v="5"/>
    <s v="PP"/>
    <n v="1000"/>
    <s v="PP"/>
    <n v="6"/>
    <n v="198.56"/>
    <n v="6"/>
    <m/>
    <m/>
    <n v="192.56"/>
    <m/>
    <m/>
    <m/>
    <m/>
    <n v="0"/>
    <n v="0"/>
    <m/>
    <m/>
    <m/>
    <m/>
    <m/>
    <m/>
    <m/>
    <m/>
    <n v="0"/>
    <n v="0"/>
    <n v="0"/>
    <n v="12"/>
    <n v="12"/>
    <m/>
    <m/>
    <n v="0"/>
    <m/>
    <m/>
    <x v="0"/>
    <m/>
    <m/>
    <m/>
    <m/>
  </r>
  <r>
    <x v="1"/>
    <x v="2"/>
    <s v="8/4"/>
    <x v="103"/>
    <s v="سٹاک"/>
    <s v="PP"/>
    <n v="8"/>
    <n v="5"/>
    <s v="PP"/>
    <n v="1000"/>
    <s v="PP"/>
    <n v="8"/>
    <n v="302.46000000000004"/>
    <n v="7.2"/>
    <m/>
    <m/>
    <n v="295.26000000000005"/>
    <m/>
    <m/>
    <m/>
    <m/>
    <n v="0"/>
    <n v="0"/>
    <m/>
    <m/>
    <m/>
    <m/>
    <m/>
    <m/>
    <m/>
    <m/>
    <n v="0"/>
    <n v="0"/>
    <n v="0"/>
    <n v="12"/>
    <n v="12"/>
    <m/>
    <m/>
    <n v="0"/>
    <m/>
    <m/>
    <x v="0"/>
    <m/>
    <m/>
    <m/>
    <m/>
  </r>
  <r>
    <x v="0"/>
    <x v="3"/>
    <s v="7322/2"/>
    <x v="103"/>
    <s v="ہیڈ افس لاہور"/>
    <s v="PP"/>
    <n v="19"/>
    <n v="7"/>
    <s v="PP"/>
    <n v="200"/>
    <s v="PP"/>
    <n v="1"/>
    <n v="71.75"/>
    <n v="1.9"/>
    <m/>
    <m/>
    <n v="69.849999999999994"/>
    <m/>
    <n v="60"/>
    <m/>
    <m/>
    <n v="60"/>
    <n v="1"/>
    <m/>
    <m/>
    <m/>
    <m/>
    <m/>
    <m/>
    <m/>
    <m/>
    <n v="0"/>
    <n v="0"/>
    <n v="1"/>
    <n v="11"/>
    <n v="12"/>
    <m/>
    <m/>
    <n v="0"/>
    <m/>
    <m/>
    <x v="0"/>
    <m/>
    <m/>
    <m/>
    <m/>
  </r>
  <r>
    <x v="0"/>
    <x v="3"/>
    <s v="24/1"/>
    <x v="103"/>
    <s v="سٹاک"/>
    <s v="PP"/>
    <n v="24"/>
    <n v="5"/>
    <s v="PP"/>
    <n v="500"/>
    <s v="PP"/>
    <n v="9"/>
    <n v="510.66"/>
    <n v="23.400000000000002"/>
    <m/>
    <m/>
    <n v="487.26000000000005"/>
    <m/>
    <m/>
    <m/>
    <m/>
    <n v="0"/>
    <n v="0"/>
    <m/>
    <m/>
    <m/>
    <m/>
    <m/>
    <m/>
    <m/>
    <m/>
    <n v="0"/>
    <n v="0"/>
    <n v="0"/>
    <n v="12"/>
    <n v="12"/>
    <m/>
    <m/>
    <n v="0"/>
    <m/>
    <m/>
    <x v="0"/>
    <m/>
    <m/>
    <m/>
    <m/>
  </r>
  <r>
    <x v="0"/>
    <x v="3"/>
    <s v="4394 J"/>
    <x v="103"/>
    <s v="M. Imran Pakistan Market Lahore"/>
    <s v="PP"/>
    <n v="26"/>
    <s v="10"/>
    <s v="PP"/>
    <n v="120"/>
    <s v="PP"/>
    <n v="2"/>
    <n v="132.13999999999999"/>
    <n v="6"/>
    <m/>
    <m/>
    <n v="126.13999999999999"/>
    <m/>
    <m/>
    <m/>
    <m/>
    <n v="0"/>
    <n v="0"/>
    <m/>
    <m/>
    <m/>
    <m/>
    <m/>
    <m/>
    <m/>
    <m/>
    <n v="0"/>
    <n v="0"/>
    <n v="0"/>
    <n v="12"/>
    <n v="12"/>
    <m/>
    <m/>
    <n v="0"/>
    <m/>
    <m/>
    <x v="0"/>
    <m/>
    <m/>
    <m/>
    <m/>
  </r>
  <r>
    <x v="1"/>
    <x v="3"/>
    <s v="24/1"/>
    <x v="103"/>
    <s v="سٹاک"/>
    <s v="PP"/>
    <n v="24"/>
    <n v="5"/>
    <s v="PP"/>
    <n v="500"/>
    <s v="PP"/>
    <n v="2"/>
    <n v="114.17"/>
    <n v="5.2"/>
    <m/>
    <m/>
    <n v="108.97"/>
    <m/>
    <m/>
    <m/>
    <m/>
    <n v="0"/>
    <n v="0"/>
    <m/>
    <m/>
    <m/>
    <m/>
    <m/>
    <m/>
    <m/>
    <m/>
    <n v="0"/>
    <n v="0"/>
    <n v="0"/>
    <n v="12"/>
    <n v="12"/>
    <m/>
    <m/>
    <n v="0"/>
    <m/>
    <m/>
    <x v="0"/>
    <m/>
    <m/>
    <m/>
    <m/>
  </r>
  <r>
    <x v="1"/>
    <x v="3"/>
    <s v="4440 J"/>
    <x v="103"/>
    <s v="Jilani plastic"/>
    <s v="PP"/>
    <n v="24"/>
    <s v="5-5.5"/>
    <s v="PP"/>
    <n v="250"/>
    <s v="PP"/>
    <n v="11"/>
    <n v="590.2399999999999"/>
    <n v="28.82"/>
    <m/>
    <m/>
    <n v="561.41999999999985"/>
    <m/>
    <m/>
    <m/>
    <m/>
    <n v="0"/>
    <n v="0"/>
    <m/>
    <m/>
    <m/>
    <m/>
    <m/>
    <m/>
    <m/>
    <m/>
    <n v="0"/>
    <n v="0"/>
    <n v="0"/>
    <n v="12"/>
    <n v="12"/>
    <m/>
    <m/>
    <n v="0"/>
    <m/>
    <m/>
    <x v="0"/>
    <m/>
    <m/>
    <m/>
    <m/>
  </r>
  <r>
    <x v="0"/>
    <x v="4"/>
    <s v="7313A/1"/>
    <x v="103"/>
    <s v="ایم بلال وحدت روڈ"/>
    <s v="PP"/>
    <n v="17"/>
    <s v="8.5-9"/>
    <s v="PP"/>
    <n v="2900"/>
    <s v="PP"/>
    <n v="3"/>
    <n v="171.54"/>
    <n v="5.0999999999999996"/>
    <m/>
    <m/>
    <n v="166.44"/>
    <m/>
    <n v="30"/>
    <m/>
    <m/>
    <n v="30"/>
    <n v="0.5"/>
    <m/>
    <m/>
    <m/>
    <m/>
    <m/>
    <m/>
    <m/>
    <m/>
    <n v="0"/>
    <n v="0"/>
    <n v="0.5"/>
    <n v="11.5"/>
    <n v="12"/>
    <m/>
    <m/>
    <n v="0"/>
    <m/>
    <m/>
    <x v="0"/>
    <m/>
    <m/>
    <m/>
    <m/>
  </r>
  <r>
    <x v="0"/>
    <x v="4"/>
    <s v="7246/3"/>
    <x v="103"/>
    <s v="اصف سرگودھا"/>
    <s v="PP"/>
    <n v="10"/>
    <n v="4.5"/>
    <s v="PP"/>
    <n v="250"/>
    <s v="PP"/>
    <n v="6"/>
    <n v="266.81000000000006"/>
    <n v="6"/>
    <m/>
    <m/>
    <n v="260.81000000000006"/>
    <m/>
    <m/>
    <m/>
    <m/>
    <n v="0"/>
    <n v="0"/>
    <m/>
    <m/>
    <m/>
    <m/>
    <m/>
    <m/>
    <m/>
    <m/>
    <n v="0"/>
    <n v="0"/>
    <n v="0"/>
    <n v="12"/>
    <n v="12"/>
    <m/>
    <m/>
    <n v="0"/>
    <m/>
    <m/>
    <x v="0"/>
    <m/>
    <m/>
    <m/>
    <m/>
  </r>
  <r>
    <x v="1"/>
    <x v="4"/>
    <s v="7246/3"/>
    <x v="103"/>
    <s v="اصف سرگودھا"/>
    <s v="PP"/>
    <n v="10"/>
    <n v="4.5"/>
    <s v="PP"/>
    <n v="250"/>
    <s v="PP"/>
    <n v="11"/>
    <n v="435.65000000000003"/>
    <n v="11"/>
    <m/>
    <m/>
    <n v="424.65000000000003"/>
    <m/>
    <m/>
    <m/>
    <m/>
    <n v="0"/>
    <n v="0"/>
    <m/>
    <n v="20"/>
    <m/>
    <m/>
    <m/>
    <m/>
    <m/>
    <m/>
    <n v="20"/>
    <n v="0.33333333333333331"/>
    <n v="0.33333333333333331"/>
    <n v="11.666666666666666"/>
    <n v="12"/>
    <m/>
    <m/>
    <n v="0"/>
    <m/>
    <m/>
    <x v="0"/>
    <m/>
    <m/>
    <m/>
    <m/>
  </r>
  <r>
    <x v="1"/>
    <x v="4"/>
    <s v="7318/1"/>
    <x v="103"/>
    <s v="حذیفہ پلاسٹک اعظم مارکیٹ"/>
    <s v="PP"/>
    <n v="10"/>
    <n v="8"/>
    <s v="PP"/>
    <n v="100"/>
    <s v="PP"/>
    <n v="1"/>
    <n v="29.79"/>
    <n v="1"/>
    <m/>
    <m/>
    <n v="28.79"/>
    <m/>
    <m/>
    <m/>
    <m/>
    <n v="0"/>
    <n v="0"/>
    <m/>
    <m/>
    <m/>
    <m/>
    <m/>
    <m/>
    <m/>
    <m/>
    <n v="0"/>
    <n v="0"/>
    <n v="0"/>
    <n v="12"/>
    <n v="12"/>
    <m/>
    <m/>
    <n v="0"/>
    <m/>
    <m/>
    <x v="0"/>
    <m/>
    <m/>
    <m/>
    <m/>
  </r>
  <r>
    <x v="0"/>
    <x v="5"/>
    <s v="2792/1"/>
    <x v="103"/>
    <s v="REFLECT PACK"/>
    <s v="PP"/>
    <n v="17"/>
    <s v="5.5-6"/>
    <s v="PP"/>
    <n v="8000"/>
    <s v="PP"/>
    <n v="12"/>
    <n v="625.69999999999993"/>
    <n v="20.399999999999999"/>
    <m/>
    <m/>
    <n v="605.29999999999995"/>
    <m/>
    <m/>
    <m/>
    <m/>
    <n v="0"/>
    <n v="0"/>
    <m/>
    <m/>
    <m/>
    <m/>
    <m/>
    <m/>
    <m/>
    <m/>
    <n v="0"/>
    <n v="0"/>
    <n v="0"/>
    <n v="12"/>
    <n v="12"/>
    <m/>
    <m/>
    <n v="0"/>
    <m/>
    <m/>
    <x v="0"/>
    <m/>
    <m/>
    <m/>
    <m/>
  </r>
  <r>
    <x v="1"/>
    <x v="5"/>
    <s v="2792/1"/>
    <x v="103"/>
    <s v="REFLECT PACK"/>
    <s v="PP"/>
    <n v="17"/>
    <s v="5.5-6"/>
    <s v="PP"/>
    <n v="8000"/>
    <s v="PP"/>
    <n v="12"/>
    <n v="624.09999999999991"/>
    <n v="20.399999999999999"/>
    <m/>
    <m/>
    <n v="603.69999999999993"/>
    <m/>
    <m/>
    <m/>
    <m/>
    <n v="0"/>
    <n v="0"/>
    <m/>
    <m/>
    <m/>
    <m/>
    <m/>
    <n v="30"/>
    <m/>
    <m/>
    <n v="30"/>
    <n v="0.5"/>
    <n v="0.5"/>
    <n v="11.5"/>
    <n v="12"/>
    <m/>
    <m/>
    <n v="0"/>
    <m/>
    <m/>
    <x v="0"/>
    <m/>
    <m/>
    <m/>
    <m/>
  </r>
  <r>
    <x v="0"/>
    <x v="0"/>
    <s v="2.5/2"/>
    <x v="104"/>
    <s v="سٹاک"/>
    <s v="PP"/>
    <n v="2.5"/>
    <s v="5.5-6"/>
    <s v="PP"/>
    <n v="800"/>
    <s v="PP"/>
    <n v="10"/>
    <n v="106.77"/>
    <n v="2"/>
    <m/>
    <m/>
    <n v="104.77"/>
    <m/>
    <m/>
    <m/>
    <m/>
    <n v="0"/>
    <n v="0"/>
    <m/>
    <m/>
    <m/>
    <m/>
    <m/>
    <m/>
    <m/>
    <m/>
    <n v="0"/>
    <n v="0"/>
    <n v="0"/>
    <n v="12"/>
    <n v="12"/>
    <m/>
    <m/>
    <n v="0"/>
    <m/>
    <m/>
    <x v="0"/>
    <m/>
    <m/>
    <m/>
    <m/>
  </r>
  <r>
    <x v="1"/>
    <x v="0"/>
    <s v="2.5/2"/>
    <x v="104"/>
    <s v="سٹاک"/>
    <s v="PP"/>
    <n v="2.5"/>
    <s v="5.5-6"/>
    <s v="PP"/>
    <n v="800"/>
    <s v="PP"/>
    <n v="9"/>
    <n v="121.5"/>
    <n v="1.8"/>
    <m/>
    <m/>
    <n v="119.7"/>
    <m/>
    <m/>
    <m/>
    <m/>
    <n v="0"/>
    <n v="0"/>
    <m/>
    <m/>
    <m/>
    <m/>
    <m/>
    <m/>
    <m/>
    <m/>
    <n v="0"/>
    <n v="0"/>
    <n v="0"/>
    <n v="12"/>
    <n v="12"/>
    <m/>
    <m/>
    <n v="0"/>
    <m/>
    <m/>
    <x v="0"/>
    <m/>
    <m/>
    <m/>
    <m/>
  </r>
  <r>
    <x v="0"/>
    <x v="1"/>
    <s v="4/3"/>
    <x v="104"/>
    <s v="سٹاک"/>
    <s v="PP"/>
    <n v="4"/>
    <s v="5-5.5"/>
    <s v="PP"/>
    <n v="800"/>
    <s v="PP"/>
    <n v="3"/>
    <n v="50.03"/>
    <n v="1.2000000000000002"/>
    <m/>
    <m/>
    <n v="48.83"/>
    <m/>
    <m/>
    <m/>
    <m/>
    <n v="0"/>
    <n v="0"/>
    <m/>
    <m/>
    <n v="495"/>
    <m/>
    <m/>
    <m/>
    <m/>
    <m/>
    <n v="495"/>
    <n v="8.25"/>
    <n v="8.25"/>
    <n v="3.75"/>
    <n v="12"/>
    <m/>
    <m/>
    <n v="0"/>
    <m/>
    <m/>
    <x v="0"/>
    <m/>
    <m/>
    <m/>
    <m/>
  </r>
  <r>
    <x v="1"/>
    <x v="1"/>
    <s v="4/3"/>
    <x v="104"/>
    <s v="سٹاک"/>
    <s v="PP"/>
    <n v="4"/>
    <s v="5-5.5"/>
    <s v="PP"/>
    <n v="800"/>
    <s v="PP"/>
    <n v="9"/>
    <n v="158.19"/>
    <n v="3.6"/>
    <m/>
    <m/>
    <n v="154.59"/>
    <m/>
    <m/>
    <m/>
    <m/>
    <n v="0"/>
    <n v="0"/>
    <m/>
    <m/>
    <m/>
    <m/>
    <m/>
    <m/>
    <m/>
    <m/>
    <n v="0"/>
    <n v="0"/>
    <n v="0"/>
    <n v="12"/>
    <n v="12"/>
    <m/>
    <m/>
    <n v="0"/>
    <m/>
    <m/>
    <x v="0"/>
    <m/>
    <m/>
    <m/>
    <m/>
  </r>
  <r>
    <x v="0"/>
    <x v="2"/>
    <s v="8/4"/>
    <x v="104"/>
    <s v="سٹاک"/>
    <s v="PP"/>
    <n v="8"/>
    <n v="5"/>
    <s v="PP"/>
    <n v="1000"/>
    <s v="PP"/>
    <n v="9"/>
    <n v="286.99"/>
    <n v="7.2"/>
    <m/>
    <m/>
    <n v="279.79000000000002"/>
    <m/>
    <m/>
    <m/>
    <m/>
    <n v="0"/>
    <n v="0"/>
    <m/>
    <m/>
    <m/>
    <m/>
    <m/>
    <m/>
    <m/>
    <m/>
    <n v="0"/>
    <n v="0"/>
    <n v="0"/>
    <n v="12"/>
    <n v="12"/>
    <m/>
    <m/>
    <n v="0"/>
    <m/>
    <m/>
    <x v="0"/>
    <m/>
    <m/>
    <m/>
    <m/>
  </r>
  <r>
    <x v="1"/>
    <x v="2"/>
    <s v="8/4"/>
    <x v="104"/>
    <s v="سٹاک"/>
    <s v="PP"/>
    <n v="8"/>
    <n v="5"/>
    <s v="PP"/>
    <n v="1000"/>
    <s v="PP"/>
    <n v="8"/>
    <n v="321.25"/>
    <n v="6.4"/>
    <m/>
    <m/>
    <n v="314.85000000000002"/>
    <m/>
    <n v="20"/>
    <m/>
    <m/>
    <n v="20"/>
    <n v="0.33333333333333331"/>
    <m/>
    <m/>
    <m/>
    <m/>
    <m/>
    <m/>
    <m/>
    <m/>
    <n v="0"/>
    <n v="0"/>
    <n v="0.33333333333333331"/>
    <n v="11.666666666666666"/>
    <n v="12"/>
    <m/>
    <m/>
    <n v="0"/>
    <m/>
    <m/>
    <x v="0"/>
    <m/>
    <m/>
    <m/>
    <m/>
  </r>
  <r>
    <x v="1"/>
    <x v="2"/>
    <s v="7/5"/>
    <x v="104"/>
    <s v="سٹاک"/>
    <s v="PP"/>
    <n v="7"/>
    <n v="5"/>
    <s v="PP"/>
    <n v="500"/>
    <s v="PP"/>
    <n v="1"/>
    <n v="28.7"/>
    <n v="0.7"/>
    <m/>
    <m/>
    <n v="28"/>
    <m/>
    <m/>
    <m/>
    <m/>
    <n v="0"/>
    <n v="0"/>
    <m/>
    <m/>
    <m/>
    <m/>
    <m/>
    <m/>
    <m/>
    <m/>
    <n v="0"/>
    <n v="0"/>
    <n v="0"/>
    <n v="12"/>
    <n v="12"/>
    <m/>
    <m/>
    <n v="0"/>
    <m/>
    <m/>
    <x v="0"/>
    <m/>
    <m/>
    <m/>
    <m/>
  </r>
  <r>
    <x v="0"/>
    <x v="3"/>
    <s v="4440 J"/>
    <x v="104"/>
    <s v="Jilani plastic"/>
    <s v="PP"/>
    <n v="24"/>
    <s v="5-5.5"/>
    <s v="PP"/>
    <n v="250"/>
    <s v="PP"/>
    <n v="12"/>
    <n v="764"/>
    <n v="31.200000000000003"/>
    <n v="35"/>
    <m/>
    <n v="732.8"/>
    <m/>
    <m/>
    <m/>
    <m/>
    <n v="0"/>
    <n v="0"/>
    <m/>
    <m/>
    <m/>
    <m/>
    <m/>
    <m/>
    <m/>
    <m/>
    <n v="0"/>
    <n v="0"/>
    <n v="0"/>
    <n v="12"/>
    <n v="12"/>
    <m/>
    <m/>
    <n v="0"/>
    <m/>
    <m/>
    <x v="0"/>
    <m/>
    <m/>
    <m/>
    <m/>
  </r>
  <r>
    <x v="1"/>
    <x v="3"/>
    <s v="4440 J"/>
    <x v="104"/>
    <s v="Jilani plastic"/>
    <s v="PP"/>
    <n v="24"/>
    <s v="5-5.5"/>
    <s v="PP"/>
    <n v="250"/>
    <s v="PP"/>
    <n v="11"/>
    <n v="607.20999999999992"/>
    <n v="26.4"/>
    <n v="21"/>
    <m/>
    <n v="580.80999999999995"/>
    <m/>
    <m/>
    <m/>
    <m/>
    <n v="0"/>
    <n v="0"/>
    <m/>
    <m/>
    <m/>
    <m/>
    <m/>
    <m/>
    <m/>
    <m/>
    <n v="0"/>
    <n v="0"/>
    <n v="0"/>
    <n v="12"/>
    <n v="12"/>
    <m/>
    <m/>
    <n v="0"/>
    <m/>
    <m/>
    <x v="0"/>
    <m/>
    <m/>
    <m/>
    <m/>
  </r>
  <r>
    <x v="1"/>
    <x v="3"/>
    <s v="28/1"/>
    <x v="104"/>
    <s v="سٹاک"/>
    <s v="PP"/>
    <n v="28"/>
    <n v="5"/>
    <s v="PP"/>
    <n v="500"/>
    <s v="PP"/>
    <n v="1"/>
    <n v="45.9"/>
    <n v="2.8"/>
    <m/>
    <m/>
    <n v="43.1"/>
    <m/>
    <m/>
    <m/>
    <m/>
    <n v="0"/>
    <n v="0"/>
    <m/>
    <m/>
    <m/>
    <m/>
    <m/>
    <m/>
    <m/>
    <m/>
    <n v="0"/>
    <n v="0"/>
    <n v="0"/>
    <n v="12"/>
    <n v="12"/>
    <m/>
    <m/>
    <n v="0"/>
    <m/>
    <m/>
    <x v="0"/>
    <m/>
    <m/>
    <m/>
    <m/>
  </r>
  <r>
    <x v="0"/>
    <x v="4"/>
    <s v="7318/1"/>
    <x v="104"/>
    <s v="حذیفہ پلاسٹک اعظم مارکیٹ"/>
    <s v="PP"/>
    <n v="10"/>
    <n v="8"/>
    <s v="PP"/>
    <n v="100"/>
    <s v="PP"/>
    <n v="3"/>
    <n v="86.14"/>
    <n v="3.3000000000000003"/>
    <m/>
    <m/>
    <n v="82.84"/>
    <m/>
    <n v="30"/>
    <m/>
    <m/>
    <n v="30"/>
    <n v="0.5"/>
    <m/>
    <m/>
    <m/>
    <m/>
    <m/>
    <m/>
    <m/>
    <m/>
    <n v="0"/>
    <n v="0"/>
    <n v="0.5"/>
    <n v="11.5"/>
    <n v="12"/>
    <m/>
    <m/>
    <n v="0"/>
    <m/>
    <m/>
    <x v="0"/>
    <m/>
    <m/>
    <m/>
    <m/>
  </r>
  <r>
    <x v="0"/>
    <x v="4"/>
    <s v="7309/2"/>
    <x v="104"/>
    <s v="ایم عمران پاکستان مارکیٹ"/>
    <s v="PP"/>
    <s v="11"/>
    <n v="6.5"/>
    <s v="PP"/>
    <n v="500"/>
    <s v="PP"/>
    <n v="9"/>
    <n v="431.21000000000004"/>
    <n v="12.15"/>
    <m/>
    <m/>
    <n v="419.06000000000006"/>
    <m/>
    <m/>
    <m/>
    <m/>
    <n v="0"/>
    <n v="0"/>
    <m/>
    <m/>
    <m/>
    <m/>
    <m/>
    <m/>
    <m/>
    <m/>
    <n v="0"/>
    <n v="0"/>
    <n v="0"/>
    <n v="12"/>
    <n v="12"/>
    <m/>
    <m/>
    <n v="0"/>
    <m/>
    <m/>
    <x v="0"/>
    <m/>
    <m/>
    <m/>
    <m/>
  </r>
  <r>
    <x v="1"/>
    <x v="4"/>
    <s v="7309/2"/>
    <x v="104"/>
    <s v="ایم عمران پاکستان مارکیٹ"/>
    <s v="PP"/>
    <s v="11"/>
    <n v="6.5"/>
    <s v="PP"/>
    <n v="500"/>
    <s v="PP"/>
    <n v="1"/>
    <n v="45.8"/>
    <n v="1.1000000000000001"/>
    <m/>
    <m/>
    <n v="44.699999999999996"/>
    <m/>
    <m/>
    <m/>
    <m/>
    <n v="0"/>
    <n v="0"/>
    <m/>
    <m/>
    <m/>
    <m/>
    <m/>
    <m/>
    <m/>
    <m/>
    <n v="0"/>
    <n v="0"/>
    <n v="0"/>
    <n v="12"/>
    <n v="12"/>
    <m/>
    <m/>
    <n v="0"/>
    <m/>
    <m/>
    <x v="0"/>
    <m/>
    <m/>
    <m/>
    <m/>
  </r>
  <r>
    <x v="1"/>
    <x v="4"/>
    <s v="7314/1"/>
    <x v="104"/>
    <s v="اسلم پلاسٹک ملتان"/>
    <s v="PP"/>
    <n v="11"/>
    <n v="7"/>
    <s v="PP"/>
    <n v="100"/>
    <s v="PP"/>
    <n v="2"/>
    <n v="80.14"/>
    <n v="2.2000000000000002"/>
    <m/>
    <m/>
    <n v="77.94"/>
    <m/>
    <m/>
    <m/>
    <m/>
    <n v="0"/>
    <n v="0"/>
    <m/>
    <m/>
    <m/>
    <m/>
    <m/>
    <m/>
    <m/>
    <m/>
    <n v="0"/>
    <n v="0"/>
    <n v="0"/>
    <n v="12"/>
    <n v="12"/>
    <m/>
    <m/>
    <n v="0"/>
    <m/>
    <m/>
    <x v="0"/>
    <m/>
    <m/>
    <m/>
    <m/>
  </r>
  <r>
    <x v="1"/>
    <x v="4"/>
    <s v="7295/2"/>
    <x v="104"/>
    <s v="آصف پلاسٹک سرگوھا"/>
    <s v="PP"/>
    <n v="11"/>
    <n v="4.5"/>
    <s v="PP"/>
    <n v="50"/>
    <s v="PP"/>
    <n v="4"/>
    <n v="159.66999999999999"/>
    <n v="4.4000000000000004"/>
    <m/>
    <m/>
    <n v="155.26999999999998"/>
    <m/>
    <m/>
    <m/>
    <m/>
    <n v="0"/>
    <n v="0"/>
    <m/>
    <m/>
    <m/>
    <m/>
    <m/>
    <m/>
    <m/>
    <m/>
    <n v="0"/>
    <n v="0"/>
    <n v="0"/>
    <n v="12"/>
    <n v="12"/>
    <m/>
    <m/>
    <n v="0"/>
    <m/>
    <m/>
    <x v="0"/>
    <m/>
    <m/>
    <m/>
    <m/>
  </r>
  <r>
    <x v="1"/>
    <x v="4"/>
    <s v="11/4"/>
    <x v="104"/>
    <s v="سٹاک"/>
    <s v="PP"/>
    <n v="11"/>
    <s v="5-5.5"/>
    <s v="PP"/>
    <n v="200"/>
    <s v="PP"/>
    <n v="5"/>
    <n v="285.31"/>
    <n v="5.5"/>
    <m/>
    <m/>
    <n v="279.81"/>
    <m/>
    <m/>
    <m/>
    <m/>
    <n v="0"/>
    <n v="0"/>
    <m/>
    <m/>
    <m/>
    <m/>
    <m/>
    <m/>
    <m/>
    <m/>
    <n v="0"/>
    <n v="0"/>
    <n v="0"/>
    <n v="12"/>
    <n v="12"/>
    <m/>
    <m/>
    <n v="0"/>
    <m/>
    <m/>
    <x v="0"/>
    <m/>
    <m/>
    <m/>
    <m/>
  </r>
  <r>
    <x v="0"/>
    <x v="5"/>
    <s v="2792/1"/>
    <x v="104"/>
    <s v="REFLECT PACK"/>
    <s v="PP"/>
    <n v="17"/>
    <s v="5.5-6"/>
    <s v="PP"/>
    <n v="8000"/>
    <s v="PP"/>
    <n v="11"/>
    <n v="586.06999999999994"/>
    <n v="27.5"/>
    <m/>
    <m/>
    <n v="558.56999999999994"/>
    <m/>
    <m/>
    <m/>
    <m/>
    <n v="0"/>
    <n v="0"/>
    <m/>
    <m/>
    <m/>
    <m/>
    <m/>
    <m/>
    <m/>
    <m/>
    <n v="0"/>
    <n v="0"/>
    <n v="0"/>
    <n v="12"/>
    <n v="12"/>
    <m/>
    <m/>
    <n v="0"/>
    <m/>
    <m/>
    <x v="0"/>
    <m/>
    <m/>
    <m/>
    <m/>
  </r>
  <r>
    <x v="1"/>
    <x v="5"/>
    <s v="2792/1"/>
    <x v="104"/>
    <s v="REFLECT PACK"/>
    <s v="PP"/>
    <n v="17"/>
    <s v="5.5-6"/>
    <s v="PP"/>
    <n v="8000"/>
    <s v="PP"/>
    <n v="12"/>
    <n v="655.03"/>
    <n v="22.799999999999997"/>
    <m/>
    <m/>
    <n v="632.23"/>
    <m/>
    <m/>
    <m/>
    <m/>
    <n v="0"/>
    <n v="0"/>
    <m/>
    <m/>
    <m/>
    <m/>
    <m/>
    <m/>
    <m/>
    <m/>
    <n v="0"/>
    <n v="0"/>
    <n v="0"/>
    <n v="12"/>
    <n v="12"/>
    <m/>
    <m/>
    <n v="0"/>
    <m/>
    <m/>
    <x v="0"/>
    <m/>
    <m/>
    <m/>
    <m/>
  </r>
  <r>
    <x v="0"/>
    <x v="0"/>
    <s v="2.5/2"/>
    <x v="105"/>
    <s v="سٹاک"/>
    <s v="PP"/>
    <n v="2.5"/>
    <s v="5.5-6"/>
    <s v="PP"/>
    <n v="800"/>
    <s v="PP"/>
    <n v="10"/>
    <n v="113.09999999999998"/>
    <n v="25"/>
    <n v="27"/>
    <m/>
    <n v="88.09999999999998"/>
    <m/>
    <m/>
    <m/>
    <m/>
    <n v="0"/>
    <n v="0"/>
    <m/>
    <m/>
    <m/>
    <m/>
    <m/>
    <m/>
    <m/>
    <m/>
    <n v="0"/>
    <n v="0"/>
    <n v="0"/>
    <n v="12"/>
    <n v="12"/>
    <m/>
    <n v="2616.5"/>
    <n v="0"/>
    <n v="93.09999999999998"/>
    <n v="398"/>
    <x v="0"/>
    <m/>
    <m/>
    <m/>
    <m/>
  </r>
  <r>
    <x v="1"/>
    <x v="0"/>
    <s v="2.5/2"/>
    <x v="105"/>
    <s v="سٹاک"/>
    <s v="PP"/>
    <n v="2.5"/>
    <s v="5.5-6"/>
    <s v="PP"/>
    <n v="800"/>
    <s v="PP"/>
    <n v="12"/>
    <n v="107.60999999999999"/>
    <n v="30"/>
    <n v="35"/>
    <m/>
    <n v="77.609999999999985"/>
    <m/>
    <m/>
    <m/>
    <m/>
    <n v="0"/>
    <n v="0"/>
    <m/>
    <m/>
    <m/>
    <m/>
    <m/>
    <m/>
    <m/>
    <m/>
    <n v="0"/>
    <n v="0"/>
    <n v="0"/>
    <n v="12"/>
    <n v="12"/>
    <m/>
    <m/>
    <n v="0"/>
    <n v="82.609999999999985"/>
    <m/>
    <x v="0"/>
    <m/>
    <m/>
    <m/>
    <m/>
  </r>
  <r>
    <x v="0"/>
    <x v="1"/>
    <s v="4/3"/>
    <x v="105"/>
    <s v="سٹاک"/>
    <s v="PP"/>
    <n v="4"/>
    <s v="5-5.5"/>
    <s v="PP"/>
    <n v="800"/>
    <s v="PP"/>
    <n v="9"/>
    <n v="160.1"/>
    <n v="3.6"/>
    <m/>
    <m/>
    <n v="156.5"/>
    <s v="ZUBAIR"/>
    <m/>
    <m/>
    <m/>
    <n v="0"/>
    <n v="0"/>
    <m/>
    <m/>
    <m/>
    <m/>
    <m/>
    <m/>
    <m/>
    <m/>
    <n v="0"/>
    <n v="0"/>
    <n v="0"/>
    <n v="12"/>
    <n v="12"/>
    <m/>
    <m/>
    <n v="0"/>
    <n v="161.5"/>
    <m/>
    <x v="0"/>
    <m/>
    <m/>
    <m/>
    <m/>
  </r>
  <r>
    <x v="1"/>
    <x v="1"/>
    <s v="4/3"/>
    <x v="105"/>
    <s v="سٹاک"/>
    <s v="PP"/>
    <n v="4"/>
    <s v="5-5.5"/>
    <s v="PP"/>
    <n v="800"/>
    <s v="PP"/>
    <n v="11"/>
    <n v="141.44999999999999"/>
    <n v="4.4000000000000004"/>
    <m/>
    <m/>
    <n v="137.04999999999998"/>
    <s v="HAIDER"/>
    <m/>
    <m/>
    <m/>
    <n v="0"/>
    <n v="0"/>
    <m/>
    <m/>
    <m/>
    <m/>
    <m/>
    <m/>
    <m/>
    <m/>
    <n v="0"/>
    <n v="0"/>
    <n v="0"/>
    <n v="12"/>
    <n v="12"/>
    <m/>
    <m/>
    <n v="0"/>
    <n v="142.04999999999998"/>
    <m/>
    <x v="0"/>
    <m/>
    <m/>
    <m/>
    <m/>
  </r>
  <r>
    <x v="0"/>
    <x v="2"/>
    <s v="7/5"/>
    <x v="105"/>
    <s v="سٹاک"/>
    <s v="PP"/>
    <n v="7"/>
    <n v="5"/>
    <s v="PP"/>
    <n v="500"/>
    <s v="PP"/>
    <n v="10"/>
    <n v="288.03999999999996"/>
    <n v="8"/>
    <m/>
    <m/>
    <n v="280.03999999999996"/>
    <m/>
    <m/>
    <m/>
    <m/>
    <n v="0"/>
    <n v="0"/>
    <m/>
    <m/>
    <m/>
    <m/>
    <m/>
    <m/>
    <m/>
    <m/>
    <n v="0"/>
    <n v="0"/>
    <n v="0"/>
    <n v="12"/>
    <n v="12"/>
    <m/>
    <m/>
    <n v="0"/>
    <n v="285.03999999999996"/>
    <m/>
    <x v="0"/>
    <m/>
    <m/>
    <m/>
    <m/>
  </r>
  <r>
    <x v="1"/>
    <x v="2"/>
    <s v="7/5"/>
    <x v="105"/>
    <s v="سٹاک"/>
    <s v="PP"/>
    <n v="7"/>
    <n v="5"/>
    <s v="PP"/>
    <n v="500"/>
    <s v="PP"/>
    <n v="7"/>
    <n v="231.63"/>
    <n v="4.8999999999999995"/>
    <m/>
    <m/>
    <n v="226.73"/>
    <m/>
    <m/>
    <m/>
    <m/>
    <n v="0"/>
    <n v="0"/>
    <m/>
    <m/>
    <m/>
    <m/>
    <m/>
    <m/>
    <m/>
    <m/>
    <n v="0"/>
    <n v="0"/>
    <n v="0"/>
    <n v="12"/>
    <n v="12"/>
    <m/>
    <m/>
    <n v="0"/>
    <n v="231.73"/>
    <m/>
    <x v="0"/>
    <m/>
    <m/>
    <m/>
    <m/>
  </r>
  <r>
    <x v="0"/>
    <x v="3"/>
    <s v="28/1"/>
    <x v="105"/>
    <s v="سٹاک"/>
    <s v="PP"/>
    <n v="28"/>
    <n v="5"/>
    <s v="PP"/>
    <n v="500"/>
    <s v="PP"/>
    <n v="11"/>
    <n v="671.45999999999992"/>
    <n v="30.799999999999997"/>
    <m/>
    <m/>
    <n v="640.66"/>
    <m/>
    <m/>
    <m/>
    <m/>
    <n v="0"/>
    <n v="0"/>
    <m/>
    <m/>
    <m/>
    <m/>
    <m/>
    <m/>
    <m/>
    <m/>
    <n v="0"/>
    <n v="0"/>
    <n v="0"/>
    <n v="12"/>
    <n v="12"/>
    <m/>
    <m/>
    <n v="0"/>
    <n v="645.66"/>
    <m/>
    <x v="0"/>
    <m/>
    <m/>
    <m/>
    <m/>
  </r>
  <r>
    <x v="1"/>
    <x v="3"/>
    <s v="28/1"/>
    <x v="105"/>
    <s v="سٹاک"/>
    <s v="PP"/>
    <n v="28"/>
    <n v="5"/>
    <s v="PP"/>
    <n v="500"/>
    <s v="PP"/>
    <n v="2"/>
    <n v="135.11000000000001"/>
    <n v="7"/>
    <m/>
    <m/>
    <n v="128.11000000000001"/>
    <m/>
    <n v="25"/>
    <m/>
    <m/>
    <n v="25"/>
    <n v="0.41666666666666674"/>
    <m/>
    <m/>
    <m/>
    <m/>
    <m/>
    <m/>
    <m/>
    <m/>
    <n v="0"/>
    <n v="0"/>
    <n v="0.41666666666666674"/>
    <n v="11.583333333333334"/>
    <n v="12"/>
    <m/>
    <m/>
    <n v="0"/>
    <n v="133.11000000000001"/>
    <m/>
    <x v="0"/>
    <m/>
    <m/>
    <m/>
    <m/>
  </r>
  <r>
    <x v="1"/>
    <x v="3"/>
    <s v="4196 J"/>
    <x v="105"/>
    <s v="Jilani Poly Stock"/>
    <s v="PP"/>
    <n v="28"/>
    <s v="5-5.5"/>
    <s v="PP"/>
    <n v="500"/>
    <s v="PP"/>
    <n v="9"/>
    <n v="555.96"/>
    <n v="25.2"/>
    <m/>
    <m/>
    <n v="530.76"/>
    <m/>
    <m/>
    <m/>
    <m/>
    <n v="0"/>
    <n v="0"/>
    <m/>
    <m/>
    <m/>
    <m/>
    <m/>
    <m/>
    <m/>
    <m/>
    <n v="0"/>
    <n v="0"/>
    <n v="0"/>
    <n v="12"/>
    <n v="12"/>
    <m/>
    <m/>
    <n v="0"/>
    <n v="535.76"/>
    <m/>
    <x v="0"/>
    <m/>
    <m/>
    <m/>
    <m/>
  </r>
  <r>
    <x v="0"/>
    <x v="4"/>
    <s v="11/4"/>
    <x v="105"/>
    <s v="سٹاک"/>
    <s v="PP"/>
    <n v="11"/>
    <s v="5-5.5"/>
    <s v="PP"/>
    <n v="200"/>
    <s v="PP"/>
    <n v="7"/>
    <n v="294.53000000000003"/>
    <n v="8.4"/>
    <m/>
    <m/>
    <n v="286.13000000000005"/>
    <m/>
    <n v="30"/>
    <m/>
    <m/>
    <n v="30"/>
    <n v="0.5"/>
    <m/>
    <m/>
    <m/>
    <m/>
    <m/>
    <m/>
    <m/>
    <m/>
    <n v="0"/>
    <n v="0"/>
    <n v="0.5"/>
    <n v="11.5"/>
    <n v="12"/>
    <m/>
    <m/>
    <n v="0"/>
    <n v="291.13000000000005"/>
    <m/>
    <x v="0"/>
    <m/>
    <m/>
    <m/>
    <m/>
  </r>
  <r>
    <x v="0"/>
    <x v="4"/>
    <s v="7319/1"/>
    <x v="105"/>
    <s v="خواجہ فرقان ٹمبر مارکیٹ"/>
    <s v="PP"/>
    <n v="10.5"/>
    <s v="2.5-5"/>
    <s v="PP"/>
    <n v="750"/>
    <s v="PP"/>
    <n v="5"/>
    <n v="240.32999999999998"/>
    <n v="5"/>
    <m/>
    <m/>
    <n v="235.32999999999998"/>
    <m/>
    <m/>
    <m/>
    <m/>
    <n v="0"/>
    <n v="0"/>
    <m/>
    <m/>
    <m/>
    <m/>
    <m/>
    <m/>
    <m/>
    <m/>
    <n v="0"/>
    <n v="0"/>
    <n v="0"/>
    <n v="12"/>
    <n v="12"/>
    <m/>
    <m/>
    <n v="0"/>
    <n v="240.33"/>
    <m/>
    <x v="0"/>
    <m/>
    <m/>
    <m/>
    <m/>
  </r>
  <r>
    <x v="1"/>
    <x v="4"/>
    <s v="7319/1"/>
    <x v="105"/>
    <s v="خواجہ فرقان ٹمبر مارکیٹ"/>
    <s v="PP"/>
    <n v="10.5"/>
    <s v="2.5-5"/>
    <s v="PP"/>
    <n v="750"/>
    <s v="PP"/>
    <n v="8"/>
    <n v="458.06000000000006"/>
    <n v="8"/>
    <m/>
    <m/>
    <n v="450.06000000000006"/>
    <m/>
    <m/>
    <m/>
    <m/>
    <n v="0"/>
    <n v="0"/>
    <m/>
    <m/>
    <m/>
    <m/>
    <m/>
    <m/>
    <m/>
    <m/>
    <n v="0"/>
    <n v="0"/>
    <n v="0"/>
    <n v="12"/>
    <n v="12"/>
    <m/>
    <m/>
    <n v="0"/>
    <n v="455.06000000000006"/>
    <m/>
    <x v="0"/>
    <m/>
    <m/>
    <m/>
    <m/>
  </r>
  <r>
    <x v="0"/>
    <x v="5"/>
    <s v="2792/1"/>
    <x v="105"/>
    <s v="REFLECT PACK"/>
    <s v="PP"/>
    <n v="17"/>
    <s v="5.5-6"/>
    <s v="PP"/>
    <n v="8000"/>
    <s v="PP"/>
    <n v="12"/>
    <n v="601.7299999999999"/>
    <n v="20.399999999999999"/>
    <m/>
    <m/>
    <n v="581.32999999999993"/>
    <m/>
    <m/>
    <m/>
    <m/>
    <n v="0"/>
    <n v="0"/>
    <m/>
    <m/>
    <m/>
    <m/>
    <m/>
    <m/>
    <m/>
    <m/>
    <n v="0"/>
    <n v="0"/>
    <n v="0"/>
    <n v="12"/>
    <n v="12"/>
    <m/>
    <m/>
    <n v="0"/>
    <n v="586.32999999999993"/>
    <m/>
    <x v="0"/>
    <m/>
    <m/>
    <m/>
    <m/>
  </r>
  <r>
    <x v="1"/>
    <x v="5"/>
    <s v="2792/1"/>
    <x v="105"/>
    <s v="REFLECT PACK"/>
    <s v="PP"/>
    <n v="17"/>
    <s v="5.5-6"/>
    <s v="PP"/>
    <n v="8000"/>
    <s v="PP"/>
    <n v="11"/>
    <n v="541.45999999999992"/>
    <n v="20.399999999999999"/>
    <m/>
    <m/>
    <n v="521.05999999999995"/>
    <m/>
    <m/>
    <m/>
    <m/>
    <n v="0"/>
    <n v="0"/>
    <m/>
    <m/>
    <m/>
    <m/>
    <m/>
    <m/>
    <n v="75"/>
    <m/>
    <n v="75"/>
    <n v="1.25"/>
    <n v="1.25"/>
    <n v="10.75"/>
    <n v="12"/>
    <m/>
    <m/>
    <n v="0"/>
    <n v="526.05999999999995"/>
    <m/>
    <x v="0"/>
    <m/>
    <m/>
    <m/>
    <m/>
  </r>
  <r>
    <x v="0"/>
    <x v="0"/>
    <s v="2.5/2"/>
    <x v="106"/>
    <s v="سٹاک"/>
    <s v="PP"/>
    <n v="2.5"/>
    <s v="5.5-6"/>
    <s v="PP"/>
    <n v="800"/>
    <s v="PP"/>
    <n v="9"/>
    <n v="115.4"/>
    <n v="1.8"/>
    <n v="37.5"/>
    <m/>
    <n v="113.60000000000001"/>
    <m/>
    <m/>
    <m/>
    <m/>
    <n v="0"/>
    <n v="0"/>
    <m/>
    <m/>
    <m/>
    <m/>
    <m/>
    <m/>
    <m/>
    <m/>
    <n v="0"/>
    <n v="0"/>
    <n v="0"/>
    <n v="12"/>
    <n v="12"/>
    <m/>
    <n v="2502.5"/>
    <n v="0"/>
    <n v="118.6"/>
    <n v="398"/>
    <x v="0"/>
    <m/>
    <m/>
    <m/>
    <m/>
  </r>
  <r>
    <x v="1"/>
    <x v="0"/>
    <s v="2.5/2"/>
    <x v="106"/>
    <s v="سٹاک"/>
    <s v="PP"/>
    <n v="2.5"/>
    <s v="5.5-6"/>
    <s v="PP"/>
    <n v="800"/>
    <s v="PP"/>
    <n v="10"/>
    <n v="108.33"/>
    <n v="2"/>
    <n v="44.5"/>
    <m/>
    <n v="106.33"/>
    <m/>
    <m/>
    <m/>
    <m/>
    <n v="0"/>
    <n v="0"/>
    <m/>
    <m/>
    <m/>
    <m/>
    <m/>
    <m/>
    <m/>
    <m/>
    <n v="0"/>
    <n v="0"/>
    <n v="0"/>
    <n v="12"/>
    <n v="12"/>
    <m/>
    <m/>
    <n v="0"/>
    <n v="111.33"/>
    <m/>
    <x v="0"/>
    <m/>
    <m/>
    <m/>
    <m/>
  </r>
  <r>
    <x v="0"/>
    <x v="1"/>
    <s v="7321/6"/>
    <x v="106"/>
    <s v="محبوب مقبول گوجرانوالہ"/>
    <s v="PP"/>
    <n v="4"/>
    <n v="5"/>
    <s v="PP"/>
    <n v="250"/>
    <s v="PP"/>
    <n v="5"/>
    <n v="108.92000000000002"/>
    <n v="2"/>
    <m/>
    <m/>
    <n v="106.92000000000002"/>
    <m/>
    <m/>
    <m/>
    <m/>
    <n v="0"/>
    <n v="0"/>
    <m/>
    <m/>
    <m/>
    <m/>
    <m/>
    <m/>
    <m/>
    <m/>
    <n v="0"/>
    <n v="0"/>
    <n v="0"/>
    <n v="12"/>
    <n v="12"/>
    <m/>
    <m/>
    <n v="0"/>
    <n v="111.92000000000002"/>
    <m/>
    <x v="0"/>
    <m/>
    <m/>
    <m/>
    <m/>
  </r>
  <r>
    <x v="0"/>
    <x v="1"/>
    <s v="7321/5"/>
    <x v="106"/>
    <s v="محبوب مقبول گوجرانوالہ"/>
    <s v="PP"/>
    <n v="4"/>
    <n v="5"/>
    <s v="PP"/>
    <n v="250"/>
    <s v="PP"/>
    <n v="1"/>
    <n v="14.48"/>
    <n v="0.4"/>
    <m/>
    <m/>
    <n v="14.08"/>
    <m/>
    <m/>
    <m/>
    <m/>
    <n v="0"/>
    <n v="0"/>
    <m/>
    <m/>
    <m/>
    <m/>
    <m/>
    <m/>
    <m/>
    <m/>
    <n v="0"/>
    <n v="0"/>
    <n v="0"/>
    <n v="12"/>
    <n v="12"/>
    <m/>
    <m/>
    <n v="0"/>
    <n v="19.079999999999998"/>
    <m/>
    <x v="0"/>
    <m/>
    <m/>
    <m/>
    <m/>
  </r>
  <r>
    <x v="1"/>
    <x v="1"/>
    <s v="7321/6"/>
    <x v="106"/>
    <s v="محبوب مقبول گوجرانوالہ"/>
    <s v="PP"/>
    <n v="4"/>
    <n v="5"/>
    <s v="PP"/>
    <n v="250"/>
    <s v="PP"/>
    <n v="6"/>
    <n v="130.86000000000001"/>
    <n v="2.4000000000000004"/>
    <m/>
    <m/>
    <n v="128.46"/>
    <m/>
    <m/>
    <m/>
    <m/>
    <n v="0"/>
    <n v="0"/>
    <m/>
    <m/>
    <m/>
    <m/>
    <m/>
    <m/>
    <m/>
    <m/>
    <n v="0"/>
    <n v="0"/>
    <n v="0"/>
    <n v="12"/>
    <n v="12"/>
    <m/>
    <m/>
    <n v="0"/>
    <n v="133.46"/>
    <m/>
    <x v="0"/>
    <m/>
    <m/>
    <m/>
    <m/>
  </r>
  <r>
    <x v="0"/>
    <x v="2"/>
    <s v="7/5"/>
    <x v="106"/>
    <s v="سٹاک"/>
    <s v="PP"/>
    <n v="7"/>
    <n v="5"/>
    <s v="PP"/>
    <n v="500"/>
    <s v="PP"/>
    <n v="8"/>
    <n v="260.04000000000002"/>
    <n v="5.6"/>
    <m/>
    <m/>
    <n v="254.44000000000003"/>
    <m/>
    <m/>
    <m/>
    <m/>
    <n v="0"/>
    <n v="0"/>
    <m/>
    <m/>
    <m/>
    <m/>
    <m/>
    <m/>
    <m/>
    <m/>
    <n v="0"/>
    <n v="0"/>
    <n v="0"/>
    <n v="12"/>
    <n v="12"/>
    <m/>
    <m/>
    <n v="0"/>
    <n v="259.44000000000005"/>
    <m/>
    <x v="0"/>
    <m/>
    <m/>
    <m/>
    <m/>
  </r>
  <r>
    <x v="1"/>
    <x v="2"/>
    <s v="7/5"/>
    <x v="106"/>
    <s v="سٹاک"/>
    <s v="PP"/>
    <n v="7"/>
    <n v="5"/>
    <s v="PP"/>
    <n v="500"/>
    <s v="PP"/>
    <n v="3"/>
    <n v="95.13"/>
    <n v="2.0999999999999996"/>
    <m/>
    <m/>
    <n v="93.03"/>
    <m/>
    <n v="20"/>
    <m/>
    <m/>
    <n v="20"/>
    <n v="0.33333333333333331"/>
    <m/>
    <m/>
    <m/>
    <m/>
    <m/>
    <m/>
    <m/>
    <m/>
    <n v="0"/>
    <n v="0"/>
    <n v="0.33333333333333331"/>
    <n v="11.666666666666666"/>
    <n v="12"/>
    <m/>
    <m/>
    <n v="0"/>
    <n v="98.03"/>
    <m/>
    <x v="0"/>
    <m/>
    <m/>
    <m/>
    <m/>
  </r>
  <r>
    <x v="1"/>
    <x v="2"/>
    <s v="6/4"/>
    <x v="106"/>
    <s v="سٹاک"/>
    <s v="PP"/>
    <n v="6"/>
    <n v="5"/>
    <s v="PP"/>
    <n v="1000"/>
    <s v="PP"/>
    <n v="5"/>
    <n v="132.49"/>
    <n v="3"/>
    <m/>
    <m/>
    <n v="129.49"/>
    <m/>
    <m/>
    <m/>
    <m/>
    <n v="0"/>
    <n v="0"/>
    <m/>
    <m/>
    <m/>
    <m/>
    <m/>
    <m/>
    <m/>
    <m/>
    <n v="0"/>
    <n v="0"/>
    <n v="0"/>
    <n v="12"/>
    <n v="12"/>
    <m/>
    <m/>
    <n v="0"/>
    <n v="134.49"/>
    <m/>
    <x v="0"/>
    <m/>
    <m/>
    <m/>
    <m/>
  </r>
  <r>
    <x v="0"/>
    <x v="3"/>
    <s v="4196 J"/>
    <x v="106"/>
    <s v="Jilani Poly Stock"/>
    <s v="PP"/>
    <n v="28"/>
    <s v="5-5.5"/>
    <s v="PP"/>
    <n v="500"/>
    <s v="PP"/>
    <n v="6"/>
    <n v="414.98"/>
    <n v="20.22"/>
    <m/>
    <m/>
    <n v="394.76"/>
    <m/>
    <n v="30"/>
    <m/>
    <m/>
    <n v="30"/>
    <n v="0.5"/>
    <m/>
    <m/>
    <m/>
    <m/>
    <m/>
    <m/>
    <m/>
    <m/>
    <n v="0"/>
    <n v="0"/>
    <n v="0.5"/>
    <n v="11.5"/>
    <n v="12"/>
    <m/>
    <m/>
    <n v="0"/>
    <n v="399.76"/>
    <m/>
    <x v="0"/>
    <m/>
    <m/>
    <m/>
    <m/>
  </r>
  <r>
    <x v="0"/>
    <x v="3"/>
    <s v="7319/1"/>
    <x v="106"/>
    <s v="خواجہ فرقان ٹمبر مارکیٹ"/>
    <s v="PP"/>
    <n v="10.5"/>
    <s v="2.5-5"/>
    <s v="PP"/>
    <n v="750"/>
    <s v="PP"/>
    <n v="4"/>
    <n v="148.69999999999999"/>
    <n v="6"/>
    <m/>
    <m/>
    <n v="142.69999999999999"/>
    <m/>
    <m/>
    <m/>
    <m/>
    <n v="0"/>
    <n v="0"/>
    <m/>
    <m/>
    <m/>
    <m/>
    <m/>
    <m/>
    <m/>
    <m/>
    <n v="0"/>
    <n v="0"/>
    <n v="0"/>
    <n v="12"/>
    <n v="12"/>
    <m/>
    <m/>
    <n v="0"/>
    <n v="147.69999999999999"/>
    <m/>
    <x v="0"/>
    <m/>
    <m/>
    <m/>
    <m/>
  </r>
  <r>
    <x v="1"/>
    <x v="3"/>
    <s v="7319/1"/>
    <x v="106"/>
    <s v="خواجہ فرقان ٹمبر مارکیٹ"/>
    <s v="PP"/>
    <n v="10.5"/>
    <s v="2.5-5"/>
    <s v="PP"/>
    <n v="750"/>
    <s v="PP"/>
    <n v="9"/>
    <n v="338.84"/>
    <n v="13.5"/>
    <m/>
    <m/>
    <n v="325.33999999999997"/>
    <m/>
    <m/>
    <m/>
    <m/>
    <n v="0"/>
    <n v="0"/>
    <m/>
    <m/>
    <n v="60"/>
    <m/>
    <m/>
    <m/>
    <m/>
    <m/>
    <n v="60"/>
    <n v="1"/>
    <n v="1"/>
    <n v="11"/>
    <n v="12"/>
    <m/>
    <m/>
    <n v="0"/>
    <n v="330.34"/>
    <m/>
    <x v="0"/>
    <m/>
    <m/>
    <m/>
    <m/>
  </r>
  <r>
    <x v="0"/>
    <x v="4"/>
    <s v="7319/1"/>
    <x v="106"/>
    <s v="خواجہ فرقان ٹمبر مارکیٹ"/>
    <s v="PP"/>
    <n v="10.5"/>
    <s v="2.5-5"/>
    <s v="PP"/>
    <n v="750"/>
    <s v="PP"/>
    <n v="7"/>
    <n v="97.25"/>
    <n v="2.4"/>
    <m/>
    <m/>
    <n v="94.85"/>
    <m/>
    <n v="20"/>
    <m/>
    <m/>
    <n v="20"/>
    <n v="0.33333333333333331"/>
    <m/>
    <m/>
    <n v="15"/>
    <m/>
    <m/>
    <m/>
    <m/>
    <m/>
    <n v="15"/>
    <n v="0.25"/>
    <n v="0.58333333333333326"/>
    <n v="11.416666666666666"/>
    <n v="12"/>
    <m/>
    <m/>
    <n v="0"/>
    <n v="99.85"/>
    <m/>
    <x v="0"/>
    <m/>
    <m/>
    <m/>
    <m/>
  </r>
  <r>
    <x v="0"/>
    <x v="4"/>
    <s v="10/5"/>
    <x v="106"/>
    <s v="سٹاک"/>
    <s v="PP"/>
    <n v="10"/>
    <s v="5-5.5"/>
    <s v="PP"/>
    <n v="1000"/>
    <s v="PP"/>
    <n v="5"/>
    <n v="224.30999999999997"/>
    <n v="5"/>
    <m/>
    <m/>
    <n v="219.30999999999997"/>
    <m/>
    <m/>
    <m/>
    <m/>
    <n v="0"/>
    <n v="0"/>
    <m/>
    <m/>
    <m/>
    <m/>
    <m/>
    <m/>
    <m/>
    <m/>
    <n v="0"/>
    <n v="0"/>
    <n v="0"/>
    <n v="12"/>
    <n v="12"/>
    <m/>
    <m/>
    <n v="0"/>
    <n v="224.30999999999997"/>
    <m/>
    <x v="0"/>
    <m/>
    <m/>
    <m/>
    <m/>
  </r>
  <r>
    <x v="0"/>
    <x v="4"/>
    <s v="12/4"/>
    <x v="106"/>
    <s v="سٹاک"/>
    <s v="PP"/>
    <n v="12"/>
    <n v="5"/>
    <s v="PP"/>
    <n v="1000"/>
    <s v="PP"/>
    <n v="3"/>
    <n v="121.38"/>
    <n v="3.5999999999999996"/>
    <m/>
    <m/>
    <n v="117.78"/>
    <m/>
    <m/>
    <m/>
    <m/>
    <n v="0"/>
    <n v="0"/>
    <m/>
    <m/>
    <m/>
    <m/>
    <m/>
    <m/>
    <m/>
    <m/>
    <n v="0"/>
    <n v="0"/>
    <n v="0"/>
    <n v="12"/>
    <n v="12"/>
    <m/>
    <m/>
    <n v="0"/>
    <n v="122.78"/>
    <m/>
    <x v="0"/>
    <m/>
    <m/>
    <m/>
    <m/>
  </r>
  <r>
    <x v="1"/>
    <x v="4"/>
    <s v="10/5"/>
    <x v="106"/>
    <s v="سٹاک"/>
    <s v="PP"/>
    <n v="10"/>
    <s v="5-5.5"/>
    <s v="PP"/>
    <n v="1000"/>
    <s v="PP"/>
    <n v="10"/>
    <n v="450.76"/>
    <n v="10"/>
    <m/>
    <m/>
    <n v="440.76"/>
    <m/>
    <m/>
    <m/>
    <m/>
    <n v="0"/>
    <n v="0"/>
    <m/>
    <m/>
    <m/>
    <m/>
    <m/>
    <m/>
    <m/>
    <m/>
    <n v="0"/>
    <n v="0"/>
    <n v="0"/>
    <n v="12"/>
    <n v="12"/>
    <m/>
    <m/>
    <n v="0"/>
    <n v="445.76"/>
    <m/>
    <x v="0"/>
    <m/>
    <m/>
    <m/>
    <m/>
  </r>
  <r>
    <x v="0"/>
    <x v="5"/>
    <s v="2792/1"/>
    <x v="106"/>
    <s v="REFLECT PACK"/>
    <s v="PP"/>
    <n v="17"/>
    <s v="5.5-6"/>
    <s v="PP"/>
    <n v="8000"/>
    <s v="PP"/>
    <n v="3"/>
    <n v="158.66"/>
    <n v="5.0999999999999996"/>
    <m/>
    <m/>
    <n v="153.56"/>
    <m/>
    <n v="25"/>
    <m/>
    <m/>
    <n v="25"/>
    <n v="0.41666666666666674"/>
    <m/>
    <m/>
    <m/>
    <m/>
    <m/>
    <m/>
    <n v="60"/>
    <m/>
    <n v="60"/>
    <n v="1"/>
    <n v="1.4166666666666667"/>
    <n v="10.583333333333334"/>
    <n v="12"/>
    <m/>
    <m/>
    <n v="0"/>
    <n v="158.56"/>
    <m/>
    <x v="0"/>
    <m/>
    <m/>
    <m/>
    <m/>
  </r>
  <r>
    <x v="0"/>
    <x v="5"/>
    <s v="16/2"/>
    <x v="106"/>
    <s v="سٹاک"/>
    <s v="PP"/>
    <n v="16"/>
    <n v="5"/>
    <s v="PP"/>
    <n v="500"/>
    <s v="PP"/>
    <n v="2"/>
    <n v="84.509999999999991"/>
    <n v="3.2"/>
    <m/>
    <m/>
    <n v="81.309999999999988"/>
    <m/>
    <m/>
    <m/>
    <m/>
    <n v="0"/>
    <n v="0"/>
    <m/>
    <m/>
    <m/>
    <m/>
    <m/>
    <m/>
    <m/>
    <m/>
    <n v="0"/>
    <n v="0"/>
    <n v="0"/>
    <n v="12"/>
    <n v="12"/>
    <m/>
    <m/>
    <n v="0"/>
    <n v="86.309999999999988"/>
    <m/>
    <x v="0"/>
    <m/>
    <m/>
    <m/>
    <m/>
  </r>
  <r>
    <x v="0"/>
    <x v="5"/>
    <s v="4408 J"/>
    <x v="106"/>
    <s v="Cakes and Bakes Lahore"/>
    <s v="PP"/>
    <n v="17"/>
    <s v="7-7.5/14-15"/>
    <s v="PP"/>
    <n v="150"/>
    <s v="PP"/>
    <n v="4"/>
    <n v="159.48999999999998"/>
    <n v="6.8"/>
    <m/>
    <m/>
    <n v="152.68999999999997"/>
    <m/>
    <m/>
    <m/>
    <m/>
    <n v="0"/>
    <n v="0"/>
    <m/>
    <m/>
    <m/>
    <m/>
    <m/>
    <m/>
    <m/>
    <m/>
    <n v="0"/>
    <n v="0"/>
    <n v="0"/>
    <n v="12"/>
    <n v="12"/>
    <m/>
    <m/>
    <n v="0"/>
    <n v="157.68999999999997"/>
    <m/>
    <x v="0"/>
    <m/>
    <m/>
    <m/>
    <m/>
  </r>
  <r>
    <x v="0"/>
    <x v="5"/>
    <s v="4501 J"/>
    <x v="106"/>
    <s v="-"/>
    <m/>
    <m/>
    <m/>
    <m/>
    <m/>
    <s v="PP"/>
    <n v="1"/>
    <n v="44.72"/>
    <n v="1.7"/>
    <m/>
    <m/>
    <n v="43.019999999999996"/>
    <m/>
    <m/>
    <m/>
    <m/>
    <n v="0"/>
    <n v="0"/>
    <m/>
    <m/>
    <m/>
    <m/>
    <m/>
    <m/>
    <m/>
    <m/>
    <n v="0"/>
    <n v="0"/>
    <n v="0"/>
    <n v="12"/>
    <n v="12"/>
    <m/>
    <m/>
    <n v="0"/>
    <n v="48.02"/>
    <m/>
    <x v="0"/>
    <m/>
    <m/>
    <m/>
    <m/>
  </r>
  <r>
    <x v="0"/>
    <x v="5"/>
    <s v="4502 J"/>
    <x v="106"/>
    <s v="-"/>
    <m/>
    <m/>
    <m/>
    <m/>
    <m/>
    <s v="PP"/>
    <n v="4"/>
    <n v="130.54"/>
    <n v="6.4"/>
    <m/>
    <m/>
    <n v="124.13999999999999"/>
    <m/>
    <m/>
    <m/>
    <m/>
    <n v="0"/>
    <n v="0"/>
    <m/>
    <m/>
    <m/>
    <m/>
    <m/>
    <m/>
    <m/>
    <m/>
    <n v="0"/>
    <n v="0"/>
    <n v="0"/>
    <n v="12"/>
    <n v="12"/>
    <m/>
    <m/>
    <n v="0"/>
    <n v="129.13999999999999"/>
    <m/>
    <x v="0"/>
    <m/>
    <m/>
    <m/>
    <m/>
  </r>
  <r>
    <x v="1"/>
    <x v="5"/>
    <s v="16/2"/>
    <x v="106"/>
    <s v="سٹاک"/>
    <s v="PP"/>
    <n v="16"/>
    <n v="5"/>
    <s v="PP"/>
    <n v="500"/>
    <s v="PP"/>
    <n v="10"/>
    <n v="567.65000000000009"/>
    <n v="16"/>
    <m/>
    <m/>
    <n v="551.65000000000009"/>
    <m/>
    <m/>
    <m/>
    <m/>
    <n v="0"/>
    <n v="0"/>
    <m/>
    <m/>
    <m/>
    <m/>
    <m/>
    <m/>
    <m/>
    <m/>
    <n v="0"/>
    <n v="0"/>
    <n v="0"/>
    <n v="12"/>
    <n v="12"/>
    <m/>
    <m/>
    <n v="0"/>
    <n v="556.65000000000009"/>
    <m/>
    <x v="0"/>
    <m/>
    <m/>
    <m/>
    <m/>
  </r>
  <r>
    <x v="0"/>
    <x v="0"/>
    <s v="2.5/2"/>
    <x v="107"/>
    <s v="سٹاک"/>
    <s v="PP"/>
    <n v="2.5"/>
    <s v="5.5-6"/>
    <s v="PP"/>
    <n v="800"/>
    <s v="PP"/>
    <n v="9"/>
    <n v="110"/>
    <n v="1.8"/>
    <n v="21.5"/>
    <m/>
    <n v="108.2"/>
    <m/>
    <m/>
    <m/>
    <m/>
    <n v="0"/>
    <n v="0"/>
    <m/>
    <m/>
    <m/>
    <m/>
    <m/>
    <m/>
    <m/>
    <m/>
    <n v="0"/>
    <n v="0"/>
    <n v="0"/>
    <n v="12"/>
    <n v="12"/>
    <m/>
    <n v="1945"/>
    <n v="0"/>
    <n v="113.2"/>
    <n v="398"/>
    <x v="0"/>
    <m/>
    <m/>
    <m/>
    <m/>
  </r>
  <r>
    <x v="1"/>
    <x v="0"/>
    <s v="2.5/2"/>
    <x v="107"/>
    <s v="سٹاک"/>
    <s v="PP"/>
    <n v="2.5"/>
    <s v="5.5-6"/>
    <s v="PP"/>
    <n v="800"/>
    <s v="PP"/>
    <n v="10"/>
    <n v="95.739999999999981"/>
    <n v="2"/>
    <n v="25.5"/>
    <m/>
    <n v="93.739999999999981"/>
    <m/>
    <m/>
    <m/>
    <m/>
    <n v="0"/>
    <n v="0"/>
    <m/>
    <m/>
    <m/>
    <m/>
    <m/>
    <m/>
    <m/>
    <m/>
    <n v="0"/>
    <n v="0"/>
    <n v="0"/>
    <n v="12"/>
    <n v="12"/>
    <m/>
    <m/>
    <n v="0"/>
    <n v="98.739999999999981"/>
    <m/>
    <x v="0"/>
    <m/>
    <m/>
    <m/>
    <m/>
  </r>
  <r>
    <x v="0"/>
    <x v="1"/>
    <s v="7321/6"/>
    <x v="107"/>
    <s v="محبوب مقبول گوجرانوالہ"/>
    <s v="PP"/>
    <n v="4"/>
    <n v="5"/>
    <s v="PP"/>
    <n v="250"/>
    <s v="PP"/>
    <n v="4"/>
    <n v="84.76"/>
    <n v="1.6"/>
    <m/>
    <m/>
    <n v="83.160000000000011"/>
    <m/>
    <m/>
    <m/>
    <m/>
    <n v="0"/>
    <n v="0"/>
    <m/>
    <m/>
    <m/>
    <m/>
    <m/>
    <m/>
    <m/>
    <m/>
    <n v="0"/>
    <n v="0"/>
    <n v="0"/>
    <n v="12"/>
    <n v="12"/>
    <m/>
    <m/>
    <n v="0"/>
    <n v="88.160000000000011"/>
    <m/>
    <x v="0"/>
    <m/>
    <m/>
    <m/>
    <m/>
  </r>
  <r>
    <x v="0"/>
    <x v="1"/>
    <s v="4/3"/>
    <x v="107"/>
    <s v="سٹاک"/>
    <s v="PP"/>
    <n v="4"/>
    <s v="5-5.5"/>
    <s v="PP"/>
    <n v="800"/>
    <s v="PP"/>
    <n v="5"/>
    <n v="66.2"/>
    <n v="2"/>
    <m/>
    <m/>
    <n v="64.2"/>
    <m/>
    <m/>
    <m/>
    <m/>
    <n v="0"/>
    <n v="0"/>
    <m/>
    <m/>
    <m/>
    <m/>
    <m/>
    <m/>
    <m/>
    <m/>
    <n v="0"/>
    <n v="0"/>
    <n v="0"/>
    <n v="12"/>
    <n v="12"/>
    <m/>
    <m/>
    <n v="0"/>
    <n v="69.2"/>
    <m/>
    <x v="0"/>
    <m/>
    <m/>
    <m/>
    <m/>
  </r>
  <r>
    <x v="1"/>
    <x v="1"/>
    <s v="4/3"/>
    <x v="107"/>
    <s v="سٹاک"/>
    <s v="PP"/>
    <n v="4"/>
    <s v="5-5.5"/>
    <s v="PP"/>
    <n v="800"/>
    <s v="PP"/>
    <n v="9"/>
    <n v="126.09"/>
    <n v="126.09"/>
    <m/>
    <m/>
    <n v="0"/>
    <m/>
    <m/>
    <m/>
    <m/>
    <n v="0"/>
    <n v="0"/>
    <m/>
    <m/>
    <m/>
    <m/>
    <m/>
    <m/>
    <m/>
    <m/>
    <n v="0"/>
    <n v="0"/>
    <n v="0"/>
    <n v="12"/>
    <n v="12"/>
    <m/>
    <m/>
    <n v="0"/>
    <n v="5"/>
    <m/>
    <x v="0"/>
    <m/>
    <m/>
    <m/>
    <m/>
  </r>
  <r>
    <x v="0"/>
    <x v="2"/>
    <s v="6/4"/>
    <x v="107"/>
    <s v="سٹاک"/>
    <s v="PP"/>
    <n v="6"/>
    <n v="5"/>
    <s v="PP"/>
    <n v="1000"/>
    <s v="PP"/>
    <n v="9"/>
    <n v="224.51"/>
    <n v="7.2"/>
    <m/>
    <m/>
    <n v="217.31"/>
    <m/>
    <m/>
    <m/>
    <m/>
    <n v="0"/>
    <n v="0"/>
    <m/>
    <m/>
    <m/>
    <m/>
    <m/>
    <m/>
    <m/>
    <m/>
    <n v="0"/>
    <n v="0"/>
    <n v="0"/>
    <n v="12"/>
    <n v="12"/>
    <m/>
    <m/>
    <n v="0"/>
    <n v="222.31"/>
    <m/>
    <x v="0"/>
    <m/>
    <m/>
    <m/>
    <m/>
  </r>
  <r>
    <x v="1"/>
    <x v="2"/>
    <s v="6/4"/>
    <x v="107"/>
    <s v="سٹاک"/>
    <s v="PP"/>
    <n v="6"/>
    <n v="5"/>
    <s v="PP"/>
    <n v="1000"/>
    <s v="PP"/>
    <n v="8"/>
    <n v="225.58"/>
    <n v="4.8"/>
    <m/>
    <m/>
    <n v="220.78"/>
    <m/>
    <m/>
    <m/>
    <m/>
    <n v="0"/>
    <n v="0"/>
    <m/>
    <m/>
    <m/>
    <m/>
    <m/>
    <m/>
    <m/>
    <m/>
    <n v="0"/>
    <n v="0"/>
    <n v="0"/>
    <n v="12"/>
    <n v="12"/>
    <m/>
    <m/>
    <n v="0"/>
    <n v="225.78"/>
    <m/>
    <x v="0"/>
    <m/>
    <m/>
    <m/>
    <m/>
  </r>
  <r>
    <x v="0"/>
    <x v="3"/>
    <s v="7319/1"/>
    <x v="107"/>
    <s v="خواجہ فرقان ٹمبر مارکیٹ"/>
    <s v="PP"/>
    <n v="10.5"/>
    <s v="2.5-5"/>
    <s v="PP"/>
    <n v="750"/>
    <s v="PP"/>
    <n v="10"/>
    <n v="371.14"/>
    <n v="12"/>
    <m/>
    <m/>
    <n v="359.14"/>
    <m/>
    <m/>
    <m/>
    <m/>
    <n v="0"/>
    <n v="0"/>
    <m/>
    <m/>
    <m/>
    <m/>
    <m/>
    <m/>
    <m/>
    <m/>
    <n v="0"/>
    <n v="0"/>
    <n v="0"/>
    <n v="12"/>
    <n v="12"/>
    <m/>
    <m/>
    <n v="0"/>
    <n v="364.14"/>
    <m/>
    <x v="0"/>
    <m/>
    <m/>
    <m/>
    <m/>
  </r>
  <r>
    <x v="1"/>
    <x v="3"/>
    <s v="7319/1"/>
    <x v="107"/>
    <s v="خواجہ فرقان ٹمبر مارکیٹ"/>
    <s v="PP"/>
    <n v="10.5"/>
    <s v="2.5-5"/>
    <s v="PP"/>
    <n v="750"/>
    <s v="PP"/>
    <n v="2"/>
    <n v="81.62"/>
    <n v="3"/>
    <m/>
    <m/>
    <n v="78.62"/>
    <m/>
    <n v="40"/>
    <m/>
    <m/>
    <n v="40"/>
    <n v="0.66666666666666663"/>
    <m/>
    <m/>
    <m/>
    <m/>
    <m/>
    <m/>
    <m/>
    <m/>
    <n v="0"/>
    <n v="0"/>
    <n v="0.66666666666666663"/>
    <n v="11.333333333333334"/>
    <n v="12"/>
    <m/>
    <m/>
    <n v="0"/>
    <n v="83.62"/>
    <m/>
    <x v="0"/>
    <m/>
    <m/>
    <m/>
    <m/>
  </r>
  <r>
    <x v="1"/>
    <x v="3"/>
    <s v="7319/2"/>
    <x v="107"/>
    <s v="خواجہ فرقان ٹمبر مارکیٹ"/>
    <s v="PP"/>
    <n v="12.5"/>
    <s v="2.5-5"/>
    <s v="PP"/>
    <n v="250"/>
    <s v="PP"/>
    <n v="8"/>
    <n v="218.6"/>
    <n v="12"/>
    <m/>
    <m/>
    <n v="206.6"/>
    <m/>
    <m/>
    <m/>
    <m/>
    <n v="0"/>
    <n v="0"/>
    <m/>
    <m/>
    <m/>
    <m/>
    <m/>
    <m/>
    <m/>
    <m/>
    <n v="0"/>
    <n v="0"/>
    <n v="0"/>
    <n v="12"/>
    <n v="12"/>
    <m/>
    <m/>
    <n v="0"/>
    <n v="211.6"/>
    <m/>
    <x v="0"/>
    <m/>
    <m/>
    <m/>
    <m/>
  </r>
  <r>
    <x v="1"/>
    <x v="3"/>
    <s v="4194 J"/>
    <x v="107"/>
    <s v="Jilani Poly Stock"/>
    <s v="PP"/>
    <n v="20"/>
    <s v="5-5.5"/>
    <s v="PP"/>
    <n v="1000"/>
    <s v="PP"/>
    <n v="2"/>
    <n v="103.68"/>
    <n v="4.5999999999999996"/>
    <m/>
    <m/>
    <n v="99.080000000000013"/>
    <m/>
    <m/>
    <m/>
    <m/>
    <n v="0"/>
    <n v="0"/>
    <m/>
    <m/>
    <m/>
    <m/>
    <m/>
    <m/>
    <m/>
    <m/>
    <n v="0"/>
    <n v="0"/>
    <n v="0"/>
    <n v="12"/>
    <n v="12"/>
    <m/>
    <m/>
    <n v="0"/>
    <n v="104.08"/>
    <m/>
    <x v="0"/>
    <m/>
    <m/>
    <m/>
    <m/>
  </r>
  <r>
    <x v="0"/>
    <x v="4"/>
    <s v="10/5"/>
    <x v="107"/>
    <s v="سٹاک"/>
    <s v="PP"/>
    <n v="10"/>
    <s v="5-5.5"/>
    <s v="PP"/>
    <n v="1000"/>
    <s v="PP"/>
    <n v="12"/>
    <n v="499.95999999999992"/>
    <n v="14.399999999999999"/>
    <m/>
    <m/>
    <n v="485.55999999999995"/>
    <m/>
    <n v="20"/>
    <m/>
    <m/>
    <n v="20"/>
    <n v="0.33333333333333331"/>
    <m/>
    <m/>
    <m/>
    <m/>
    <m/>
    <m/>
    <m/>
    <m/>
    <n v="0"/>
    <n v="0"/>
    <n v="0.33333333333333331"/>
    <n v="11.666666666666666"/>
    <n v="12"/>
    <m/>
    <m/>
    <n v="0"/>
    <n v="490.55999999999995"/>
    <m/>
    <x v="0"/>
    <m/>
    <m/>
    <m/>
    <m/>
  </r>
  <r>
    <x v="1"/>
    <x v="4"/>
    <s v="7287/3"/>
    <x v="107"/>
    <s v="بلال جاوید فیصل اباد"/>
    <s v="PP"/>
    <n v="14"/>
    <n v="7"/>
    <s v="PP"/>
    <n v="100"/>
    <s v="PP"/>
    <n v="2"/>
    <n v="102.4"/>
    <n v="2.8"/>
    <m/>
    <m/>
    <n v="99.600000000000009"/>
    <m/>
    <m/>
    <m/>
    <m/>
    <n v="0"/>
    <n v="0"/>
    <m/>
    <m/>
    <m/>
    <m/>
    <m/>
    <m/>
    <n v="30"/>
    <m/>
    <n v="30"/>
    <n v="0.5"/>
    <n v="0.5"/>
    <n v="11.5"/>
    <n v="12"/>
    <m/>
    <m/>
    <n v="0"/>
    <n v="104.6"/>
    <m/>
    <x v="0"/>
    <m/>
    <m/>
    <m/>
    <m/>
  </r>
  <r>
    <x v="1"/>
    <x v="4"/>
    <s v="4573 J"/>
    <x v="107"/>
    <s v="-"/>
    <m/>
    <m/>
    <m/>
    <m/>
    <m/>
    <s v="PP"/>
    <n v="6"/>
    <n v="284.69"/>
    <n v="8.3999999999999986"/>
    <m/>
    <m/>
    <n v="276.29000000000002"/>
    <m/>
    <m/>
    <m/>
    <m/>
    <n v="0"/>
    <n v="0"/>
    <m/>
    <m/>
    <m/>
    <m/>
    <m/>
    <m/>
    <m/>
    <m/>
    <n v="0"/>
    <n v="0"/>
    <n v="0"/>
    <n v="12"/>
    <n v="12"/>
    <m/>
    <m/>
    <n v="0"/>
    <n v="281.29000000000002"/>
    <m/>
    <x v="0"/>
    <m/>
    <m/>
    <m/>
    <m/>
  </r>
  <r>
    <x v="1"/>
    <x v="4"/>
    <s v="14/4"/>
    <x v="107"/>
    <s v="سٹاک"/>
    <s v="PP"/>
    <n v="14"/>
    <n v="5"/>
    <s v="PP"/>
    <n v="1000"/>
    <s v="PP"/>
    <n v="4"/>
    <n v="145.92000000000002"/>
    <n v="5.6"/>
    <m/>
    <m/>
    <n v="140.32000000000002"/>
    <m/>
    <m/>
    <m/>
    <m/>
    <n v="0"/>
    <n v="0"/>
    <m/>
    <m/>
    <m/>
    <m/>
    <m/>
    <m/>
    <m/>
    <m/>
    <n v="0"/>
    <n v="0"/>
    <n v="0"/>
    <n v="12"/>
    <n v="12"/>
    <m/>
    <m/>
    <n v="0"/>
    <n v="145.32000000000002"/>
    <m/>
    <x v="0"/>
    <m/>
    <m/>
    <m/>
    <m/>
  </r>
  <r>
    <x v="0"/>
    <x v="5"/>
    <s v="7346/1"/>
    <x v="107"/>
    <s v="ایم دین پنڈی"/>
    <s v="PP"/>
    <n v="8"/>
    <n v="14"/>
    <s v="PP"/>
    <n v="250"/>
    <s v="PP"/>
    <n v="5"/>
    <n v="265.81"/>
    <n v="9.5"/>
    <m/>
    <m/>
    <n v="256.31"/>
    <m/>
    <m/>
    <m/>
    <m/>
    <n v="0"/>
    <n v="0"/>
    <m/>
    <m/>
    <n v="510"/>
    <m/>
    <m/>
    <m/>
    <m/>
    <m/>
    <n v="510"/>
    <n v="8.5"/>
    <n v="8.5"/>
    <n v="3.5"/>
    <n v="12"/>
    <m/>
    <m/>
    <n v="0"/>
    <n v="261.31"/>
    <m/>
    <x v="0"/>
    <m/>
    <m/>
    <m/>
    <m/>
  </r>
  <r>
    <x v="0"/>
    <x v="0"/>
    <s v="2.5/2"/>
    <x v="108"/>
    <s v="سٹاک"/>
    <s v="PP"/>
    <n v="2.5"/>
    <s v="5.5-6"/>
    <s v="PP"/>
    <n v="800"/>
    <s v="PP"/>
    <n v="9"/>
    <n v="101.19"/>
    <n v="1.8"/>
    <n v="27"/>
    <m/>
    <n v="99.39"/>
    <m/>
    <m/>
    <m/>
    <m/>
    <n v="0"/>
    <n v="0"/>
    <m/>
    <m/>
    <m/>
    <m/>
    <m/>
    <m/>
    <m/>
    <m/>
    <n v="0"/>
    <n v="0"/>
    <n v="0"/>
    <n v="12"/>
    <n v="12"/>
    <m/>
    <n v="2015"/>
    <n v="0"/>
    <n v="104.39"/>
    <n v="398"/>
    <x v="7"/>
    <m/>
    <m/>
    <m/>
    <m/>
  </r>
  <r>
    <x v="1"/>
    <x v="0"/>
    <s v="2.5/2"/>
    <x v="108"/>
    <s v="سٹاک"/>
    <s v="PP"/>
    <n v="2.5"/>
    <s v="5.5-6"/>
    <s v="PP"/>
    <n v="800"/>
    <s v="PP"/>
    <n v="9"/>
    <n v="95.28"/>
    <n v="1.8"/>
    <n v="19"/>
    <m/>
    <n v="93.48"/>
    <m/>
    <m/>
    <m/>
    <m/>
    <n v="0"/>
    <n v="0"/>
    <m/>
    <m/>
    <m/>
    <m/>
    <m/>
    <m/>
    <m/>
    <m/>
    <n v="0"/>
    <n v="0"/>
    <n v="0"/>
    <n v="12"/>
    <n v="12"/>
    <m/>
    <m/>
    <n v="0"/>
    <n v="98.48"/>
    <m/>
    <x v="7"/>
    <m/>
    <m/>
    <m/>
    <m/>
  </r>
  <r>
    <x v="0"/>
    <x v="1"/>
    <s v="4/3"/>
    <x v="108"/>
    <s v="سٹاک"/>
    <s v="PP"/>
    <n v="4"/>
    <s v="5-5.5"/>
    <s v="PP"/>
    <n v="800"/>
    <s v="PP"/>
    <n v="9"/>
    <n v="127.33999999999999"/>
    <n v="3.6"/>
    <m/>
    <m/>
    <n v="123.74"/>
    <m/>
    <m/>
    <m/>
    <m/>
    <n v="0"/>
    <n v="0"/>
    <m/>
    <m/>
    <m/>
    <m/>
    <m/>
    <m/>
    <m/>
    <m/>
    <n v="0"/>
    <n v="0"/>
    <n v="0"/>
    <n v="12"/>
    <n v="12"/>
    <m/>
    <m/>
    <n v="0"/>
    <n v="128.74"/>
    <m/>
    <x v="7"/>
    <m/>
    <m/>
    <m/>
    <m/>
  </r>
  <r>
    <x v="1"/>
    <x v="1"/>
    <s v="4/3"/>
    <x v="108"/>
    <s v="سٹاک"/>
    <s v="PP"/>
    <n v="4"/>
    <s v="5-5.5"/>
    <s v="PP"/>
    <n v="800"/>
    <s v="PP"/>
    <n v="9"/>
    <n v="125.44"/>
    <n v="3.6"/>
    <m/>
    <m/>
    <n v="121.84"/>
    <m/>
    <m/>
    <m/>
    <m/>
    <n v="0"/>
    <n v="0"/>
    <m/>
    <m/>
    <m/>
    <m/>
    <m/>
    <m/>
    <m/>
    <m/>
    <n v="0"/>
    <n v="0"/>
    <n v="0"/>
    <n v="12"/>
    <n v="12"/>
    <m/>
    <m/>
    <n v="0"/>
    <n v="126.84"/>
    <m/>
    <x v="7"/>
    <m/>
    <m/>
    <m/>
    <m/>
  </r>
  <r>
    <x v="0"/>
    <x v="2"/>
    <s v="6/4"/>
    <x v="108"/>
    <s v="سٹاک"/>
    <s v="PP"/>
    <n v="6"/>
    <n v="5"/>
    <s v="PP"/>
    <n v="1000"/>
    <s v="PP"/>
    <n v="7"/>
    <n v="203.46"/>
    <n v="5.6000000000000005"/>
    <m/>
    <m/>
    <n v="197.86"/>
    <m/>
    <m/>
    <m/>
    <m/>
    <n v="0"/>
    <n v="0"/>
    <m/>
    <m/>
    <m/>
    <m/>
    <m/>
    <m/>
    <m/>
    <m/>
    <n v="0"/>
    <n v="0"/>
    <n v="0"/>
    <n v="12"/>
    <n v="12"/>
    <m/>
    <m/>
    <n v="0"/>
    <n v="202.86"/>
    <m/>
    <x v="7"/>
    <m/>
    <m/>
    <m/>
    <m/>
  </r>
  <r>
    <x v="1"/>
    <x v="2"/>
    <s v="6/4"/>
    <x v="108"/>
    <s v="سٹاک"/>
    <s v="PP"/>
    <n v="6"/>
    <n v="5"/>
    <s v="PP"/>
    <n v="1000"/>
    <s v="PP"/>
    <n v="8"/>
    <n v="229.07999999999998"/>
    <n v="4.8"/>
    <m/>
    <m/>
    <n v="224.27999999999997"/>
    <m/>
    <m/>
    <m/>
    <m/>
    <n v="0"/>
    <n v="0"/>
    <m/>
    <m/>
    <m/>
    <m/>
    <m/>
    <m/>
    <m/>
    <m/>
    <n v="0"/>
    <n v="0"/>
    <n v="0"/>
    <n v="12"/>
    <n v="12"/>
    <m/>
    <m/>
    <n v="0"/>
    <n v="229.27999999999997"/>
    <m/>
    <x v="7"/>
    <m/>
    <m/>
    <m/>
    <m/>
  </r>
  <r>
    <x v="0"/>
    <x v="3"/>
    <s v="4194 J"/>
    <x v="108"/>
    <s v="Jilani Poly Stock"/>
    <s v="PP"/>
    <n v="20"/>
    <s v="5-5.5"/>
    <s v="PP"/>
    <n v="1000"/>
    <s v="PP"/>
    <n v="14"/>
    <n v="675.76"/>
    <n v="28"/>
    <m/>
    <m/>
    <n v="647.76"/>
    <m/>
    <m/>
    <m/>
    <m/>
    <n v="0"/>
    <n v="0"/>
    <m/>
    <m/>
    <m/>
    <m/>
    <m/>
    <m/>
    <m/>
    <m/>
    <n v="0"/>
    <n v="0"/>
    <n v="0"/>
    <n v="12"/>
    <n v="12"/>
    <m/>
    <m/>
    <n v="0"/>
    <n v="652.76"/>
    <m/>
    <x v="7"/>
    <m/>
    <m/>
    <m/>
    <m/>
  </r>
  <r>
    <x v="1"/>
    <x v="3"/>
    <s v="4194 J"/>
    <x v="108"/>
    <s v="Jilani Poly Stock"/>
    <s v="PP"/>
    <n v="20"/>
    <s v="5-5.5"/>
    <s v="PP"/>
    <n v="1000"/>
    <s v="PP"/>
    <n v="4"/>
    <n v="212.66"/>
    <n v="8"/>
    <m/>
    <m/>
    <n v="204.66"/>
    <m/>
    <n v="20"/>
    <m/>
    <m/>
    <n v="20"/>
    <n v="0.33333333333333331"/>
    <m/>
    <m/>
    <m/>
    <m/>
    <m/>
    <m/>
    <m/>
    <m/>
    <n v="0"/>
    <n v="0"/>
    <n v="0.33333333333333331"/>
    <n v="11.666666666666666"/>
    <n v="12"/>
    <m/>
    <m/>
    <n v="0"/>
    <n v="209.66"/>
    <m/>
    <x v="7"/>
    <m/>
    <m/>
    <m/>
    <m/>
  </r>
  <r>
    <x v="1"/>
    <x v="3"/>
    <s v="2193 F"/>
    <x v="108"/>
    <s v="Usman Amin"/>
    <s v="PP"/>
    <n v="20"/>
    <s v="5-5.5"/>
    <s v="PP"/>
    <n v="150"/>
    <s v="PP"/>
    <n v="3"/>
    <n v="155.43"/>
    <n v="6"/>
    <m/>
    <m/>
    <n v="149.43"/>
    <m/>
    <m/>
    <m/>
    <m/>
    <n v="0"/>
    <n v="0"/>
    <m/>
    <m/>
    <m/>
    <m/>
    <m/>
    <m/>
    <m/>
    <m/>
    <n v="0"/>
    <n v="0"/>
    <n v="0"/>
    <n v="12"/>
    <n v="12"/>
    <m/>
    <m/>
    <n v="0"/>
    <n v="154.43"/>
    <m/>
    <x v="7"/>
    <m/>
    <m/>
    <m/>
    <m/>
  </r>
  <r>
    <x v="1"/>
    <x v="3"/>
    <s v="2218 F"/>
    <x v="108"/>
    <s v="Usman Amin"/>
    <s v="PP"/>
    <n v="20"/>
    <s v="8"/>
    <s v="PP"/>
    <n v="150"/>
    <s v="PP"/>
    <n v="3"/>
    <n v="154.72999999999999"/>
    <n v="6"/>
    <m/>
    <m/>
    <n v="148.72999999999999"/>
    <m/>
    <m/>
    <m/>
    <m/>
    <n v="0"/>
    <n v="0"/>
    <m/>
    <m/>
    <m/>
    <m/>
    <m/>
    <m/>
    <m/>
    <m/>
    <n v="0"/>
    <n v="0"/>
    <n v="0"/>
    <n v="12"/>
    <n v="12"/>
    <m/>
    <m/>
    <n v="0"/>
    <n v="153.72999999999999"/>
    <m/>
    <x v="7"/>
    <m/>
    <m/>
    <m/>
    <m/>
  </r>
  <r>
    <x v="1"/>
    <x v="3"/>
    <s v="2218 F"/>
    <x v="108"/>
    <s v="Usman Amin"/>
    <s v="PP"/>
    <n v="20"/>
    <s v="8"/>
    <s v="PP"/>
    <n v="150"/>
    <s v="PP"/>
    <n v="3"/>
    <n v="161.9"/>
    <n v="6.8999999999999995"/>
    <m/>
    <m/>
    <n v="155"/>
    <m/>
    <m/>
    <m/>
    <m/>
    <n v="0"/>
    <n v="0"/>
    <m/>
    <m/>
    <m/>
    <m/>
    <m/>
    <m/>
    <m/>
    <m/>
    <n v="0"/>
    <n v="0"/>
    <n v="0"/>
    <n v="12"/>
    <n v="12"/>
    <m/>
    <m/>
    <n v="0"/>
    <n v="160"/>
    <m/>
    <x v="7"/>
    <m/>
    <m/>
    <m/>
    <m/>
  </r>
  <r>
    <x v="0"/>
    <x v="4"/>
    <s v="14/4"/>
    <x v="108"/>
    <s v="سٹاک"/>
    <s v="PP"/>
    <n v="14"/>
    <n v="5"/>
    <s v="PP"/>
    <n v="1000"/>
    <s v="PP"/>
    <n v="11"/>
    <n v="568.38000000000011"/>
    <n v="15.399999999999999"/>
    <m/>
    <m/>
    <n v="552.98000000000013"/>
    <m/>
    <m/>
    <m/>
    <m/>
    <n v="0"/>
    <n v="0"/>
    <m/>
    <m/>
    <m/>
    <m/>
    <m/>
    <m/>
    <m/>
    <m/>
    <n v="0"/>
    <n v="0"/>
    <n v="0"/>
    <n v="12"/>
    <n v="12"/>
    <m/>
    <m/>
    <n v="0"/>
    <n v="557.98000000000013"/>
    <m/>
    <x v="7"/>
    <m/>
    <m/>
    <m/>
    <m/>
  </r>
  <r>
    <x v="1"/>
    <x v="4"/>
    <s v="14/4"/>
    <x v="108"/>
    <s v="سٹاک"/>
    <s v="PP"/>
    <n v="14"/>
    <n v="5"/>
    <s v="PP"/>
    <n v="1000"/>
    <s v="PP"/>
    <n v="7"/>
    <n v="355.93"/>
    <n v="9.7999999999999989"/>
    <m/>
    <m/>
    <n v="346.13"/>
    <m/>
    <n v="20"/>
    <m/>
    <m/>
    <n v="20"/>
    <n v="0.33333333333333331"/>
    <m/>
    <m/>
    <m/>
    <m/>
    <m/>
    <m/>
    <m/>
    <m/>
    <n v="0"/>
    <n v="0"/>
    <n v="0.33333333333333331"/>
    <n v="11.666666666666666"/>
    <n v="12"/>
    <m/>
    <m/>
    <n v="0"/>
    <n v="351.13"/>
    <m/>
    <x v="7"/>
    <m/>
    <m/>
    <m/>
    <m/>
  </r>
  <r>
    <x v="1"/>
    <x v="4"/>
    <s v="7346/3"/>
    <x v="108"/>
    <s v="ایم دین پنڈی"/>
    <s v="PP"/>
    <n v="12"/>
    <n v="14"/>
    <s v="PP"/>
    <n v="250"/>
    <s v="PP"/>
    <n v="4"/>
    <n v="170.86"/>
    <n v="4.8"/>
    <m/>
    <m/>
    <n v="166.06"/>
    <m/>
    <m/>
    <m/>
    <m/>
    <n v="0"/>
    <n v="0"/>
    <m/>
    <m/>
    <m/>
    <m/>
    <m/>
    <m/>
    <m/>
    <m/>
    <n v="0"/>
    <n v="0"/>
    <n v="0"/>
    <n v="12"/>
    <n v="12"/>
    <m/>
    <m/>
    <n v="0"/>
    <n v="171.06"/>
    <m/>
    <x v="7"/>
    <m/>
    <m/>
    <m/>
    <m/>
  </r>
  <r>
    <x v="0"/>
    <x v="0"/>
    <s v="2.5/2"/>
    <x v="109"/>
    <s v="سٹاک"/>
    <s v="PP"/>
    <n v="2.5"/>
    <s v="5.5-6"/>
    <s v="PP"/>
    <n v="800"/>
    <s v="PP"/>
    <n v="5"/>
    <n v="44.19"/>
    <n v="1"/>
    <n v="25.5"/>
    <m/>
    <n v="43.19"/>
    <m/>
    <n v="20"/>
    <m/>
    <m/>
    <n v="20"/>
    <n v="0.33333333333333331"/>
    <m/>
    <m/>
    <m/>
    <m/>
    <m/>
    <m/>
    <m/>
    <m/>
    <n v="0"/>
    <n v="0"/>
    <n v="0.33333333333333331"/>
    <n v="11.666666666666666"/>
    <n v="12"/>
    <m/>
    <n v="2040"/>
    <n v="0"/>
    <n v="48.19"/>
    <n v="398"/>
    <x v="7"/>
    <m/>
    <m/>
    <m/>
    <m/>
  </r>
  <r>
    <x v="0"/>
    <x v="0"/>
    <s v="2.5/2"/>
    <x v="109"/>
    <s v="سٹاک"/>
    <s v="PP"/>
    <n v="2.5"/>
    <s v="5.5-6"/>
    <s v="PP"/>
    <n v="800"/>
    <s v="PP"/>
    <n v="6"/>
    <n v="51.679999999999993"/>
    <n v="1.2000000000000002"/>
    <m/>
    <m/>
    <n v="50.47999999999999"/>
    <m/>
    <m/>
    <m/>
    <m/>
    <n v="0"/>
    <n v="0"/>
    <m/>
    <m/>
    <m/>
    <m/>
    <m/>
    <m/>
    <m/>
    <m/>
    <n v="0"/>
    <n v="0"/>
    <n v="0"/>
    <n v="12"/>
    <n v="12"/>
    <m/>
    <m/>
    <n v="0"/>
    <n v="55.47999999999999"/>
    <m/>
    <x v="7"/>
    <m/>
    <m/>
    <m/>
    <m/>
  </r>
  <r>
    <x v="1"/>
    <x v="0"/>
    <s v="2/1"/>
    <x v="109"/>
    <s v="سٹاک"/>
    <s v="PP"/>
    <n v="2"/>
    <s v="5.5-6"/>
    <s v="PP"/>
    <n v="500"/>
    <s v="PP"/>
    <n v="10"/>
    <n v="105.16000000000001"/>
    <n v="2"/>
    <n v="18.5"/>
    <m/>
    <n v="103.16000000000001"/>
    <m/>
    <m/>
    <m/>
    <m/>
    <n v="0"/>
    <n v="0"/>
    <m/>
    <m/>
    <m/>
    <m/>
    <m/>
    <m/>
    <m/>
    <m/>
    <n v="0"/>
    <n v="0"/>
    <n v="0"/>
    <n v="12"/>
    <n v="12"/>
    <m/>
    <m/>
    <n v="0"/>
    <n v="108.16"/>
    <m/>
    <x v="7"/>
    <m/>
    <m/>
    <m/>
    <m/>
  </r>
  <r>
    <x v="0"/>
    <x v="1"/>
    <s v="4/4"/>
    <x v="109"/>
    <s v="سٹاک"/>
    <s v="PP"/>
    <n v="4"/>
    <s v="5-5.5"/>
    <s v="PP"/>
    <n v="1000"/>
    <s v="PP"/>
    <n v="8"/>
    <n v="130.54"/>
    <n v="3.2"/>
    <m/>
    <m/>
    <n v="127.33999999999999"/>
    <m/>
    <m/>
    <m/>
    <m/>
    <n v="0"/>
    <n v="0"/>
    <m/>
    <m/>
    <m/>
    <m/>
    <m/>
    <m/>
    <m/>
    <m/>
    <n v="0"/>
    <n v="0"/>
    <n v="0"/>
    <n v="12"/>
    <n v="12"/>
    <m/>
    <m/>
    <n v="0"/>
    <n v="132.33999999999995"/>
    <m/>
    <x v="7"/>
    <m/>
    <m/>
    <m/>
    <m/>
  </r>
  <r>
    <x v="1"/>
    <x v="1"/>
    <s v="4/4"/>
    <x v="109"/>
    <s v="سٹاک"/>
    <s v="PP"/>
    <n v="4"/>
    <s v="5-5.5"/>
    <s v="PP"/>
    <n v="1000"/>
    <s v="PP"/>
    <n v="9"/>
    <n v="132.84"/>
    <n v="3.6"/>
    <m/>
    <m/>
    <n v="129.24"/>
    <m/>
    <m/>
    <m/>
    <m/>
    <n v="0"/>
    <n v="0"/>
    <m/>
    <m/>
    <m/>
    <m/>
    <m/>
    <m/>
    <m/>
    <m/>
    <n v="0"/>
    <n v="0"/>
    <n v="0"/>
    <n v="12"/>
    <n v="12"/>
    <m/>
    <m/>
    <n v="0"/>
    <n v="134.24"/>
    <m/>
    <x v="7"/>
    <m/>
    <m/>
    <m/>
    <m/>
  </r>
  <r>
    <x v="0"/>
    <x v="2"/>
    <s v="6/4"/>
    <x v="109"/>
    <s v="سٹاک"/>
    <s v="PP"/>
    <n v="6"/>
    <n v="5"/>
    <s v="PP"/>
    <n v="1000"/>
    <s v="PP"/>
    <n v="2"/>
    <n v="60.650000000000006"/>
    <n v="1.6"/>
    <m/>
    <m/>
    <n v="59.050000000000004"/>
    <m/>
    <n v="20"/>
    <m/>
    <m/>
    <n v="20"/>
    <n v="0.33333333333333331"/>
    <m/>
    <m/>
    <m/>
    <m/>
    <m/>
    <m/>
    <m/>
    <m/>
    <n v="0"/>
    <n v="0"/>
    <n v="0.33333333333333331"/>
    <n v="11.666666666666666"/>
    <n v="12"/>
    <m/>
    <m/>
    <n v="0"/>
    <n v="64.050000000000011"/>
    <m/>
    <x v="7"/>
    <m/>
    <m/>
    <m/>
    <m/>
  </r>
  <r>
    <x v="0"/>
    <x v="2"/>
    <s v="7/6"/>
    <x v="109"/>
    <s v="سٹاک"/>
    <s v="PP"/>
    <n v="7"/>
    <n v="5"/>
    <s v="PP"/>
    <n v="1000"/>
    <s v="PP"/>
    <n v="6"/>
    <n v="187.85"/>
    <n v="5.4"/>
    <m/>
    <m/>
    <n v="182.45"/>
    <m/>
    <m/>
    <m/>
    <m/>
    <n v="0"/>
    <n v="0"/>
    <m/>
    <m/>
    <m/>
    <m/>
    <m/>
    <m/>
    <m/>
    <m/>
    <n v="0"/>
    <n v="0"/>
    <n v="0"/>
    <n v="12"/>
    <n v="12"/>
    <m/>
    <m/>
    <n v="0"/>
    <n v="187.45"/>
    <m/>
    <x v="7"/>
    <m/>
    <m/>
    <m/>
    <m/>
  </r>
  <r>
    <x v="1"/>
    <x v="2"/>
    <s v="7/6"/>
    <x v="109"/>
    <s v="سٹاک"/>
    <s v="PP"/>
    <n v="7"/>
    <n v="5"/>
    <s v="PP"/>
    <n v="1000"/>
    <s v="PP"/>
    <n v="9"/>
    <n v="273.55"/>
    <n v="6.3"/>
    <m/>
    <m/>
    <n v="267.25"/>
    <m/>
    <m/>
    <m/>
    <m/>
    <n v="0"/>
    <n v="0"/>
    <m/>
    <m/>
    <m/>
    <m/>
    <m/>
    <m/>
    <m/>
    <m/>
    <n v="0"/>
    <n v="0"/>
    <n v="0"/>
    <n v="12"/>
    <n v="12"/>
    <m/>
    <m/>
    <n v="0"/>
    <n v="272.25"/>
    <m/>
    <x v="7"/>
    <m/>
    <m/>
    <m/>
    <m/>
  </r>
  <r>
    <x v="0"/>
    <x v="3"/>
    <s v="2798/1"/>
    <x v="109"/>
    <s v="RMC PACK"/>
    <s v="PP"/>
    <n v="16"/>
    <s v="6-6.5"/>
    <s v="PP"/>
    <n v="100"/>
    <s v="PP"/>
    <n v="3"/>
    <n v="116.83000000000001"/>
    <n v="4.1999999999999993"/>
    <m/>
    <m/>
    <n v="112.63000000000001"/>
    <m/>
    <n v="30"/>
    <m/>
    <m/>
    <n v="30"/>
    <n v="0.5"/>
    <m/>
    <m/>
    <m/>
    <m/>
    <m/>
    <m/>
    <m/>
    <m/>
    <n v="0"/>
    <n v="0"/>
    <n v="0.5"/>
    <n v="11.5"/>
    <n v="12"/>
    <m/>
    <m/>
    <n v="0"/>
    <n v="117.63"/>
    <m/>
    <x v="7"/>
    <m/>
    <m/>
    <m/>
    <m/>
  </r>
  <r>
    <x v="0"/>
    <x v="3"/>
    <s v="18/4"/>
    <x v="109"/>
    <s v="سٹاک"/>
    <s v="PP"/>
    <n v="18"/>
    <n v="5"/>
    <s v="PP"/>
    <n v="500"/>
    <s v="PP"/>
    <n v="11"/>
    <n v="553.79"/>
    <n v="19.8"/>
    <m/>
    <m/>
    <n v="533.99"/>
    <m/>
    <m/>
    <m/>
    <m/>
    <n v="0"/>
    <n v="0"/>
    <m/>
    <m/>
    <m/>
    <m/>
    <m/>
    <m/>
    <m/>
    <m/>
    <n v="0"/>
    <n v="0"/>
    <n v="0"/>
    <n v="12"/>
    <n v="12"/>
    <m/>
    <m/>
    <n v="0"/>
    <n v="538.99"/>
    <m/>
    <x v="7"/>
    <m/>
    <m/>
    <m/>
    <m/>
  </r>
  <r>
    <x v="1"/>
    <x v="3"/>
    <s v="18/4"/>
    <x v="109"/>
    <s v="سٹاک"/>
    <s v="PP"/>
    <n v="18"/>
    <n v="5"/>
    <s v="PP"/>
    <n v="500"/>
    <s v="PP"/>
    <n v="2"/>
    <n v="85.27"/>
    <n v="4.4000000000000004"/>
    <m/>
    <m/>
    <n v="80.86999999999999"/>
    <m/>
    <n v="20"/>
    <m/>
    <m/>
    <n v="20"/>
    <n v="0.33333333333333331"/>
    <m/>
    <m/>
    <m/>
    <m/>
    <m/>
    <m/>
    <m/>
    <m/>
    <n v="0"/>
    <n v="0"/>
    <n v="0.33333333333333331"/>
    <n v="11.666666666666666"/>
    <n v="12"/>
    <m/>
    <m/>
    <n v="0"/>
    <n v="85.86999999999999"/>
    <m/>
    <x v="7"/>
    <m/>
    <m/>
    <m/>
    <m/>
  </r>
  <r>
    <x v="1"/>
    <x v="3"/>
    <s v="4567 J"/>
    <x v="109"/>
    <s v="-"/>
    <m/>
    <m/>
    <m/>
    <m/>
    <m/>
    <s v="PP"/>
    <n v="2"/>
    <n v="114.33000000000001"/>
    <n v="4.4000000000000004"/>
    <m/>
    <m/>
    <n v="109.93"/>
    <m/>
    <m/>
    <m/>
    <m/>
    <n v="0"/>
    <n v="0"/>
    <m/>
    <m/>
    <m/>
    <m/>
    <m/>
    <m/>
    <m/>
    <m/>
    <n v="0"/>
    <n v="0"/>
    <n v="0"/>
    <n v="12"/>
    <n v="12"/>
    <m/>
    <m/>
    <n v="0"/>
    <n v="114.93"/>
    <m/>
    <x v="7"/>
    <m/>
    <m/>
    <m/>
    <m/>
  </r>
  <r>
    <x v="1"/>
    <x v="3"/>
    <s v="4634 J"/>
    <x v="109"/>
    <s v="Sabir Plastic Shahdara Co Nazar Qamar Plastic"/>
    <s v="PP"/>
    <n v="22"/>
    <s v="5-5.5"/>
    <s v="PP"/>
    <n v="200"/>
    <s v="PP"/>
    <n v="2"/>
    <n v="131.32999999999998"/>
    <n v="4.4000000000000004"/>
    <m/>
    <m/>
    <n v="126.92999999999998"/>
    <m/>
    <m/>
    <m/>
    <m/>
    <n v="0"/>
    <n v="0"/>
    <m/>
    <m/>
    <m/>
    <m/>
    <m/>
    <m/>
    <m/>
    <m/>
    <n v="0"/>
    <n v="0"/>
    <n v="0"/>
    <n v="12"/>
    <n v="12"/>
    <m/>
    <m/>
    <n v="0"/>
    <n v="131.92999999999998"/>
    <m/>
    <x v="7"/>
    <m/>
    <m/>
    <m/>
    <m/>
  </r>
  <r>
    <x v="1"/>
    <x v="3"/>
    <s v="7359/3"/>
    <x v="109"/>
    <s v="العمر پلاسٹک گوجرانوالہ"/>
    <s v="PP"/>
    <n v="18"/>
    <n v="6"/>
    <s v="PP"/>
    <n v="500"/>
    <s v="PP"/>
    <n v="5"/>
    <n v="262.71000000000004"/>
    <n v="11"/>
    <m/>
    <m/>
    <n v="251.71000000000004"/>
    <m/>
    <m/>
    <m/>
    <m/>
    <n v="0"/>
    <n v="0"/>
    <m/>
    <m/>
    <m/>
    <m/>
    <m/>
    <m/>
    <m/>
    <m/>
    <n v="0"/>
    <n v="0"/>
    <n v="0"/>
    <n v="12"/>
    <n v="12"/>
    <m/>
    <m/>
    <n v="0"/>
    <n v="256.71000000000004"/>
    <m/>
    <x v="7"/>
    <m/>
    <m/>
    <m/>
    <m/>
  </r>
  <r>
    <x v="1"/>
    <x v="3"/>
    <s v="4484 J"/>
    <x v="109"/>
    <s v="Ali Sweets And Bakers Raheem Yar Khan"/>
    <s v="PP"/>
    <n v="22"/>
    <s v="6-6.5"/>
    <s v="PP"/>
    <n v="120"/>
    <s v="PP"/>
    <n v="2"/>
    <n v="116.72999999999999"/>
    <n v="5.6"/>
    <m/>
    <m/>
    <n v="111.13"/>
    <m/>
    <m/>
    <m/>
    <m/>
    <n v="0"/>
    <n v="0"/>
    <m/>
    <m/>
    <m/>
    <m/>
    <m/>
    <m/>
    <m/>
    <m/>
    <n v="0"/>
    <n v="0"/>
    <n v="0"/>
    <n v="12"/>
    <n v="12"/>
    <m/>
    <m/>
    <n v="0"/>
    <n v="116.13"/>
    <m/>
    <x v="7"/>
    <m/>
    <m/>
    <m/>
    <m/>
  </r>
  <r>
    <x v="0"/>
    <x v="4"/>
    <s v="7346/3"/>
    <x v="109"/>
    <s v="ایم دین پنڈی"/>
    <s v="PP"/>
    <n v="12"/>
    <n v="14"/>
    <s v="PP"/>
    <n v="250"/>
    <s v="PP"/>
    <n v="6"/>
    <n v="250.12999999999997"/>
    <n v="8.3999999999999986"/>
    <m/>
    <m/>
    <n v="241.72999999999996"/>
    <m/>
    <n v="20"/>
    <m/>
    <m/>
    <n v="20"/>
    <n v="0.33333333333333331"/>
    <m/>
    <m/>
    <m/>
    <m/>
    <m/>
    <m/>
    <m/>
    <m/>
    <n v="0"/>
    <n v="0"/>
    <n v="0.33333333333333331"/>
    <n v="11.666666666666666"/>
    <n v="12"/>
    <m/>
    <m/>
    <n v="0"/>
    <n v="246.72999999999996"/>
    <m/>
    <x v="7"/>
    <m/>
    <m/>
    <m/>
    <m/>
  </r>
  <r>
    <x v="0"/>
    <x v="4"/>
    <s v="13/1"/>
    <x v="109"/>
    <s v="جیلانی پولی سٹاک"/>
    <s v="PP"/>
    <n v="13"/>
    <n v="5"/>
    <s v="PP"/>
    <n v="500"/>
    <s v="PP"/>
    <n v="6"/>
    <n v="276.66999999999996"/>
    <n v="7.8000000000000007"/>
    <m/>
    <m/>
    <n v="268.86999999999995"/>
    <m/>
    <m/>
    <m/>
    <m/>
    <n v="0"/>
    <n v="0"/>
    <m/>
    <m/>
    <m/>
    <m/>
    <m/>
    <m/>
    <m/>
    <m/>
    <n v="0"/>
    <n v="0"/>
    <n v="0"/>
    <n v="12"/>
    <n v="12"/>
    <m/>
    <m/>
    <n v="0"/>
    <n v="273.86999999999995"/>
    <m/>
    <x v="7"/>
    <m/>
    <m/>
    <m/>
    <m/>
  </r>
  <r>
    <x v="1"/>
    <x v="4"/>
    <s v="13/1"/>
    <x v="109"/>
    <s v="جیلانی پولی سٹاک"/>
    <s v="PP"/>
    <n v="13"/>
    <n v="5"/>
    <s v="PP"/>
    <n v="500"/>
    <s v="PP"/>
    <n v="7"/>
    <n v="326.28000000000003"/>
    <n v="9.1"/>
    <m/>
    <m/>
    <n v="317.18"/>
    <m/>
    <n v="20"/>
    <m/>
    <m/>
    <n v="20"/>
    <n v="0.33333333333333331"/>
    <m/>
    <m/>
    <m/>
    <m/>
    <m/>
    <m/>
    <m/>
    <m/>
    <n v="0"/>
    <n v="0"/>
    <n v="0.33333333333333331"/>
    <n v="11.666666666666666"/>
    <n v="12"/>
    <m/>
    <m/>
    <n v="0"/>
    <n v="322.18"/>
    <m/>
    <x v="7"/>
    <m/>
    <m/>
    <m/>
    <m/>
  </r>
  <r>
    <x v="1"/>
    <x v="4"/>
    <s v="7330/2"/>
    <x v="109"/>
    <s v="لیاقت -لنڈا بازار"/>
    <s v="PP"/>
    <n v="13"/>
    <n v="7"/>
    <s v="PP"/>
    <n v="50"/>
    <s v="PP"/>
    <n v="2"/>
    <n v="58.79"/>
    <n v="2.6"/>
    <m/>
    <m/>
    <n v="56.19"/>
    <m/>
    <m/>
    <m/>
    <m/>
    <n v="0"/>
    <n v="0"/>
    <m/>
    <m/>
    <m/>
    <m/>
    <m/>
    <m/>
    <m/>
    <m/>
    <n v="0"/>
    <n v="0"/>
    <n v="0"/>
    <n v="12"/>
    <n v="12"/>
    <m/>
    <m/>
    <n v="0"/>
    <n v="61.19"/>
    <m/>
    <x v="7"/>
    <m/>
    <m/>
    <m/>
    <m/>
  </r>
  <r>
    <x v="1"/>
    <x v="4"/>
    <s v="12/4"/>
    <x v="109"/>
    <s v="سٹاک"/>
    <s v="PP"/>
    <n v="12"/>
    <n v="5"/>
    <s v="PP"/>
    <n v="1000"/>
    <s v="PP"/>
    <n v="3"/>
    <n v="156.04"/>
    <n v="3.5999999999999996"/>
    <m/>
    <m/>
    <n v="152.44"/>
    <m/>
    <m/>
    <m/>
    <m/>
    <n v="0"/>
    <n v="0"/>
    <m/>
    <m/>
    <m/>
    <m/>
    <m/>
    <m/>
    <m/>
    <m/>
    <n v="0"/>
    <n v="0"/>
    <n v="0"/>
    <n v="12"/>
    <n v="12"/>
    <m/>
    <m/>
    <n v="0"/>
    <n v="157.44"/>
    <m/>
    <x v="7"/>
    <m/>
    <m/>
    <m/>
    <m/>
  </r>
  <r>
    <x v="0"/>
    <x v="0"/>
    <s v="2/1"/>
    <x v="110"/>
    <s v="سٹاک"/>
    <s v="PP"/>
    <n v="2"/>
    <s v="5.5-6"/>
    <s v="PP"/>
    <n v="500"/>
    <s v="PP"/>
    <n v="6"/>
    <n v="63.379999999999995"/>
    <n v="1.2000000000000002"/>
    <n v="28"/>
    <m/>
    <n v="62.179999999999993"/>
    <m/>
    <n v="20"/>
    <m/>
    <m/>
    <n v="20"/>
    <n v="0.33333333333333331"/>
    <m/>
    <m/>
    <m/>
    <m/>
    <m/>
    <m/>
    <m/>
    <m/>
    <n v="0"/>
    <n v="0"/>
    <n v="0.33333333333333331"/>
    <n v="11.666666666666666"/>
    <n v="12"/>
    <m/>
    <n v="2041"/>
    <n v="0"/>
    <n v="67.179999999999993"/>
    <m/>
    <x v="7"/>
    <m/>
    <m/>
    <m/>
    <m/>
  </r>
  <r>
    <x v="0"/>
    <x v="0"/>
    <s v="2.5/3"/>
    <x v="110"/>
    <s v="سٹاک"/>
    <s v="PP"/>
    <n v="2.5"/>
    <s v="5.5-6"/>
    <s v="PP"/>
    <n v="1000"/>
    <s v="PP"/>
    <n v="3"/>
    <n v="33.6"/>
    <n v="0.60000000000000009"/>
    <m/>
    <m/>
    <n v="33"/>
    <m/>
    <m/>
    <m/>
    <m/>
    <n v="0"/>
    <n v="0"/>
    <m/>
    <m/>
    <m/>
    <m/>
    <m/>
    <m/>
    <m/>
    <m/>
    <n v="0"/>
    <n v="0"/>
    <n v="0"/>
    <n v="12"/>
    <n v="12"/>
    <m/>
    <m/>
    <n v="0"/>
    <n v="38"/>
    <m/>
    <x v="7"/>
    <m/>
    <m/>
    <m/>
    <m/>
  </r>
  <r>
    <x v="1"/>
    <x v="0"/>
    <s v="2.5/3"/>
    <x v="110"/>
    <s v="سٹاک"/>
    <s v="PP"/>
    <n v="2.5"/>
    <s v="5.5-6"/>
    <s v="PP"/>
    <n v="1000"/>
    <s v="PP"/>
    <n v="9"/>
    <n v="95.32"/>
    <n v="1.8"/>
    <n v="29"/>
    <m/>
    <n v="93.52"/>
    <m/>
    <m/>
    <m/>
    <m/>
    <n v="0"/>
    <n v="0"/>
    <m/>
    <m/>
    <m/>
    <m/>
    <m/>
    <m/>
    <m/>
    <m/>
    <n v="0"/>
    <n v="0"/>
    <n v="0"/>
    <n v="12"/>
    <n v="12"/>
    <m/>
    <m/>
    <n v="0"/>
    <n v="98.52"/>
    <m/>
    <x v="7"/>
    <m/>
    <m/>
    <m/>
    <m/>
  </r>
  <r>
    <x v="0"/>
    <x v="1"/>
    <s v="4/4"/>
    <x v="110"/>
    <s v="سٹاک"/>
    <s v="PP"/>
    <n v="4"/>
    <s v="5-5.5"/>
    <s v="PP"/>
    <n v="1000"/>
    <s v="PP"/>
    <n v="10"/>
    <n v="144.87"/>
    <n v="4"/>
    <m/>
    <m/>
    <n v="140.87"/>
    <m/>
    <m/>
    <m/>
    <m/>
    <n v="0"/>
    <n v="0"/>
    <m/>
    <m/>
    <m/>
    <m/>
    <m/>
    <m/>
    <m/>
    <m/>
    <n v="0"/>
    <n v="0"/>
    <n v="0"/>
    <n v="12"/>
    <n v="12"/>
    <m/>
    <m/>
    <n v="0"/>
    <n v="145.87"/>
    <m/>
    <x v="7"/>
    <m/>
    <m/>
    <m/>
    <m/>
  </r>
  <r>
    <x v="1"/>
    <x v="1"/>
    <s v="4/4"/>
    <x v="110"/>
    <s v="سٹاک"/>
    <s v="PP"/>
    <n v="4"/>
    <s v="5-5.5"/>
    <s v="PP"/>
    <n v="1000"/>
    <s v="PP"/>
    <n v="10"/>
    <n v="119.33999999999999"/>
    <n v="4"/>
    <m/>
    <m/>
    <n v="115.33999999999999"/>
    <m/>
    <m/>
    <m/>
    <m/>
    <n v="0"/>
    <n v="0"/>
    <m/>
    <m/>
    <m/>
    <m/>
    <m/>
    <m/>
    <m/>
    <m/>
    <n v="0"/>
    <n v="0"/>
    <n v="0"/>
    <n v="12"/>
    <n v="12"/>
    <m/>
    <m/>
    <n v="0"/>
    <n v="120.34"/>
    <m/>
    <x v="7"/>
    <m/>
    <m/>
    <m/>
    <m/>
  </r>
  <r>
    <x v="0"/>
    <x v="2"/>
    <s v="7/6"/>
    <x v="110"/>
    <s v="سٹاک"/>
    <s v="PP"/>
    <n v="7"/>
    <n v="5"/>
    <s v="PP"/>
    <n v="1000"/>
    <s v="PP"/>
    <n v="8"/>
    <n v="253.12"/>
    <n v="5.6"/>
    <m/>
    <m/>
    <n v="247.52"/>
    <m/>
    <m/>
    <m/>
    <m/>
    <n v="0"/>
    <n v="0"/>
    <m/>
    <m/>
    <m/>
    <m/>
    <m/>
    <m/>
    <m/>
    <m/>
    <n v="0"/>
    <n v="0"/>
    <n v="0"/>
    <n v="12"/>
    <n v="12"/>
    <m/>
    <m/>
    <n v="0"/>
    <n v="252.52"/>
    <m/>
    <x v="7"/>
    <m/>
    <m/>
    <m/>
    <m/>
  </r>
  <r>
    <x v="1"/>
    <x v="2"/>
    <s v="7/6"/>
    <x v="110"/>
    <s v="سٹاک"/>
    <s v="PP"/>
    <n v="7"/>
    <n v="5"/>
    <s v="PP"/>
    <n v="1000"/>
    <s v="PP"/>
    <n v="7"/>
    <n v="226.8"/>
    <n v="4.8999999999999995"/>
    <m/>
    <m/>
    <n v="221.9"/>
    <m/>
    <m/>
    <m/>
    <m/>
    <n v="0"/>
    <n v="0"/>
    <m/>
    <m/>
    <m/>
    <m/>
    <m/>
    <m/>
    <m/>
    <m/>
    <n v="0"/>
    <n v="0"/>
    <n v="0"/>
    <n v="12"/>
    <n v="12"/>
    <m/>
    <m/>
    <n v="0"/>
    <n v="226.9"/>
    <m/>
    <x v="7"/>
    <m/>
    <m/>
    <m/>
    <m/>
  </r>
  <r>
    <x v="0"/>
    <x v="3"/>
    <s v="4634 J"/>
    <x v="110"/>
    <s v="Sabir Plastic Shahdara Co Nazar Qamar Plastic"/>
    <s v="PP"/>
    <n v="22"/>
    <s v="5-5.5"/>
    <s v="PP"/>
    <n v="200"/>
    <s v="PP"/>
    <n v="2"/>
    <n v="102.88"/>
    <n v="2.2000000000000002"/>
    <m/>
    <m/>
    <n v="100.67999999999999"/>
    <m/>
    <m/>
    <m/>
    <m/>
    <n v="0"/>
    <n v="0"/>
    <m/>
    <m/>
    <m/>
    <m/>
    <m/>
    <m/>
    <m/>
    <m/>
    <n v="0"/>
    <n v="0"/>
    <n v="0"/>
    <n v="12"/>
    <n v="12"/>
    <m/>
    <m/>
    <n v="0"/>
    <n v="105.68"/>
    <m/>
    <x v="7"/>
    <m/>
    <m/>
    <m/>
    <m/>
  </r>
  <r>
    <x v="0"/>
    <x v="3"/>
    <s v="7359/2"/>
    <x v="110"/>
    <s v="العمر پلاسٹک گوجرانوالہ"/>
    <s v="PP"/>
    <n v="16"/>
    <n v="6"/>
    <s v="PP"/>
    <n v="1000"/>
    <s v="PP"/>
    <n v="12"/>
    <n v="549.29"/>
    <n v="19.200000000000003"/>
    <m/>
    <m/>
    <n v="530.08999999999992"/>
    <m/>
    <m/>
    <m/>
    <m/>
    <n v="0"/>
    <n v="0"/>
    <m/>
    <m/>
    <m/>
    <m/>
    <m/>
    <m/>
    <m/>
    <m/>
    <n v="0"/>
    <n v="0"/>
    <n v="0"/>
    <n v="12"/>
    <n v="12"/>
    <m/>
    <m/>
    <n v="0"/>
    <n v="535.08999999999992"/>
    <m/>
    <x v="7"/>
    <m/>
    <m/>
    <m/>
    <m/>
  </r>
  <r>
    <x v="1"/>
    <x v="3"/>
    <s v="7359/2"/>
    <x v="110"/>
    <s v="العمر پلاسٹک گوجرانوالہ"/>
    <s v="PP"/>
    <n v="16"/>
    <n v="6"/>
    <s v="PP"/>
    <n v="1000"/>
    <s v="PP"/>
    <n v="5"/>
    <n v="256.01"/>
    <n v="8"/>
    <m/>
    <m/>
    <n v="248.01"/>
    <m/>
    <m/>
    <m/>
    <m/>
    <n v="0"/>
    <n v="0"/>
    <m/>
    <m/>
    <m/>
    <m/>
    <m/>
    <m/>
    <m/>
    <m/>
    <n v="0"/>
    <n v="0"/>
    <n v="0"/>
    <n v="12"/>
    <n v="12"/>
    <m/>
    <m/>
    <n v="0"/>
    <n v="253.01"/>
    <m/>
    <x v="7"/>
    <m/>
    <m/>
    <m/>
    <m/>
  </r>
  <r>
    <x v="1"/>
    <x v="3"/>
    <s v="4616 J"/>
    <x v="110"/>
    <s v="Jilani Poly Stock"/>
    <s v="PP"/>
    <n v="16"/>
    <s v="5-5.5"/>
    <s v="PP"/>
    <n v="1000"/>
    <s v="PP"/>
    <n v="8"/>
    <n v="422.86999999999995"/>
    <n v="15.2"/>
    <m/>
    <m/>
    <n v="407.66999999999996"/>
    <m/>
    <m/>
    <m/>
    <m/>
    <n v="0"/>
    <n v="0"/>
    <m/>
    <m/>
    <m/>
    <m/>
    <m/>
    <m/>
    <m/>
    <m/>
    <n v="0"/>
    <n v="0"/>
    <n v="0"/>
    <n v="12"/>
    <n v="12"/>
    <m/>
    <m/>
    <n v="0"/>
    <n v="412.67"/>
    <m/>
    <x v="7"/>
    <m/>
    <m/>
    <m/>
    <m/>
  </r>
  <r>
    <x v="0"/>
    <x v="4"/>
    <s v="12/4"/>
    <x v="110"/>
    <s v="سٹاک"/>
    <s v="PP"/>
    <n v="12"/>
    <n v="5"/>
    <s v="PP"/>
    <n v="1000"/>
    <s v="PP"/>
    <n v="13"/>
    <n v="575.40000000000009"/>
    <n v="15.6"/>
    <m/>
    <m/>
    <n v="559.80000000000007"/>
    <m/>
    <m/>
    <m/>
    <m/>
    <n v="0"/>
    <n v="0"/>
    <m/>
    <m/>
    <m/>
    <m/>
    <m/>
    <m/>
    <m/>
    <m/>
    <n v="0"/>
    <n v="0"/>
    <n v="0"/>
    <n v="12"/>
    <n v="12"/>
    <m/>
    <m/>
    <n v="0"/>
    <n v="564.80000000000007"/>
    <m/>
    <x v="7"/>
    <m/>
    <m/>
    <m/>
    <m/>
  </r>
  <r>
    <x v="1"/>
    <x v="4"/>
    <s v="12/4"/>
    <x v="110"/>
    <s v="سٹاک"/>
    <s v="PP"/>
    <n v="12"/>
    <n v="5"/>
    <s v="PP"/>
    <n v="1000"/>
    <s v="PP"/>
    <n v="4"/>
    <n v="215.23000000000002"/>
    <n v="4.8"/>
    <m/>
    <m/>
    <n v="210.43"/>
    <m/>
    <m/>
    <m/>
    <m/>
    <n v="0"/>
    <n v="0"/>
    <m/>
    <m/>
    <m/>
    <m/>
    <m/>
    <m/>
    <m/>
    <m/>
    <n v="0"/>
    <n v="0"/>
    <n v="0"/>
    <n v="12"/>
    <n v="12"/>
    <m/>
    <m/>
    <n v="0"/>
    <n v="215.43"/>
    <m/>
    <x v="7"/>
    <m/>
    <m/>
    <m/>
    <m/>
  </r>
  <r>
    <x v="1"/>
    <x v="4"/>
    <s v="7360/1"/>
    <x v="110"/>
    <s v="امارات پلاسٹک چونگ"/>
    <s v="PP"/>
    <n v="12"/>
    <n v="4"/>
    <s v="PP"/>
    <n v="300"/>
    <s v="PP"/>
    <n v="7"/>
    <n v="308.62"/>
    <n v="8.4"/>
    <m/>
    <m/>
    <n v="300.22000000000003"/>
    <m/>
    <m/>
    <m/>
    <m/>
    <n v="0"/>
    <n v="0"/>
    <m/>
    <m/>
    <m/>
    <m/>
    <m/>
    <m/>
    <m/>
    <m/>
    <n v="0"/>
    <n v="0"/>
    <n v="0"/>
    <n v="12"/>
    <n v="12"/>
    <m/>
    <m/>
    <n v="0"/>
    <n v="305.22000000000003"/>
    <m/>
    <x v="7"/>
    <m/>
    <m/>
    <m/>
    <m/>
  </r>
  <r>
    <x v="0"/>
    <x v="0"/>
    <s v="2.5/3"/>
    <x v="111"/>
    <s v="سٹاک"/>
    <s v="PP"/>
    <n v="2.5"/>
    <s v="5.5-6"/>
    <s v="PP"/>
    <n v="1000"/>
    <s v="PP"/>
    <n v="9"/>
    <n v="101.03999999999999"/>
    <n v="1.8"/>
    <m/>
    <m/>
    <n v="99.24"/>
    <m/>
    <m/>
    <m/>
    <m/>
    <n v="0"/>
    <n v="0"/>
    <m/>
    <m/>
    <m/>
    <m/>
    <m/>
    <m/>
    <m/>
    <m/>
    <n v="0"/>
    <n v="0"/>
    <n v="0"/>
    <n v="12"/>
    <n v="12"/>
    <m/>
    <n v="2044.5"/>
    <n v="0"/>
    <n v="104.24"/>
    <n v="398"/>
    <x v="7"/>
    <m/>
    <m/>
    <m/>
    <m/>
  </r>
  <r>
    <x v="1"/>
    <x v="0"/>
    <s v="2.5/3"/>
    <x v="111"/>
    <s v="سٹاک"/>
    <s v="PP"/>
    <n v="2.5"/>
    <s v="5.5-6"/>
    <s v="PP"/>
    <n v="1000"/>
    <s v="PP"/>
    <n v="9"/>
    <n v="96.080000000000013"/>
    <n v="1.8"/>
    <m/>
    <m/>
    <n v="94.280000000000015"/>
    <m/>
    <m/>
    <m/>
    <m/>
    <n v="0"/>
    <n v="0"/>
    <m/>
    <m/>
    <m/>
    <m/>
    <m/>
    <m/>
    <m/>
    <m/>
    <n v="0"/>
    <n v="0"/>
    <n v="0"/>
    <n v="12"/>
    <n v="12"/>
    <m/>
    <m/>
    <n v="0"/>
    <n v="99.280000000000015"/>
    <m/>
    <x v="7"/>
    <m/>
    <m/>
    <m/>
    <m/>
  </r>
  <r>
    <x v="0"/>
    <x v="1"/>
    <s v="4/4"/>
    <x v="111"/>
    <s v="سٹاک"/>
    <s v="PP"/>
    <n v="4"/>
    <s v="5-5.5"/>
    <s v="PP"/>
    <n v="1000"/>
    <s v="PP"/>
    <n v="9"/>
    <n v="138.30000000000001"/>
    <n v="3.6"/>
    <m/>
    <m/>
    <n v="134.70000000000002"/>
    <m/>
    <m/>
    <m/>
    <m/>
    <n v="0"/>
    <n v="0"/>
    <m/>
    <m/>
    <m/>
    <m/>
    <m/>
    <m/>
    <m/>
    <m/>
    <n v="0"/>
    <n v="0"/>
    <n v="0"/>
    <n v="12"/>
    <n v="12"/>
    <m/>
    <m/>
    <n v="0"/>
    <n v="139.70000000000002"/>
    <m/>
    <x v="7"/>
    <m/>
    <m/>
    <m/>
    <m/>
  </r>
  <r>
    <x v="1"/>
    <x v="1"/>
    <s v="4/4"/>
    <x v="111"/>
    <s v="سٹاک"/>
    <s v="PP"/>
    <n v="4"/>
    <s v="5-5.5"/>
    <s v="PP"/>
    <n v="1000"/>
    <s v="PP"/>
    <n v="10"/>
    <n v="126.93000000000002"/>
    <n v="4"/>
    <m/>
    <m/>
    <n v="122.93000000000002"/>
    <m/>
    <m/>
    <m/>
    <m/>
    <n v="0"/>
    <n v="0"/>
    <m/>
    <m/>
    <m/>
    <m/>
    <m/>
    <m/>
    <m/>
    <m/>
    <n v="0"/>
    <n v="0"/>
    <n v="0"/>
    <n v="12"/>
    <n v="12"/>
    <m/>
    <m/>
    <n v="0"/>
    <n v="127.93000000000002"/>
    <m/>
    <x v="7"/>
    <m/>
    <m/>
    <m/>
    <m/>
  </r>
  <r>
    <x v="0"/>
    <x v="2"/>
    <s v="7/6"/>
    <x v="111"/>
    <s v="سٹاک"/>
    <s v="PP"/>
    <n v="7"/>
    <n v="5"/>
    <s v="PP"/>
    <n v="1000"/>
    <s v="PP"/>
    <n v="8"/>
    <n v="623.19000000000005"/>
    <n v="5.6"/>
    <m/>
    <m/>
    <n v="617.59"/>
    <m/>
    <m/>
    <m/>
    <m/>
    <n v="0"/>
    <n v="0"/>
    <m/>
    <m/>
    <m/>
    <m/>
    <m/>
    <m/>
    <m/>
    <m/>
    <n v="0"/>
    <n v="0"/>
    <n v="0"/>
    <n v="12"/>
    <n v="12"/>
    <m/>
    <m/>
    <n v="0"/>
    <n v="622.59"/>
    <m/>
    <x v="7"/>
    <m/>
    <m/>
    <m/>
    <m/>
  </r>
  <r>
    <x v="0"/>
    <x v="2"/>
    <s v="4660 J"/>
    <x v="111"/>
    <s v="Ibtsam Traders Sheikhupura"/>
    <s v="PP"/>
    <n v="7"/>
    <s v="7.5-8"/>
    <s v="PP"/>
    <n v="125"/>
    <s v="PP"/>
    <n v="1"/>
    <n v="21.13"/>
    <n v="0.7"/>
    <m/>
    <m/>
    <n v="20.43"/>
    <m/>
    <m/>
    <m/>
    <m/>
    <n v="0"/>
    <n v="0"/>
    <m/>
    <m/>
    <m/>
    <m/>
    <m/>
    <m/>
    <m/>
    <m/>
    <n v="0"/>
    <n v="0"/>
    <n v="0"/>
    <n v="12"/>
    <n v="12"/>
    <m/>
    <m/>
    <n v="0"/>
    <n v="25.43"/>
    <m/>
    <x v="7"/>
    <m/>
    <m/>
    <m/>
    <m/>
  </r>
  <r>
    <x v="1"/>
    <x v="2"/>
    <s v="4660 J"/>
    <x v="111"/>
    <s v="Ibtsam Traders Sheikhupura"/>
    <s v="PP"/>
    <n v="7"/>
    <s v="7.5-8"/>
    <s v="PP"/>
    <n v="125"/>
    <s v="PP"/>
    <n v="4"/>
    <n v="113.28"/>
    <n v="2.8"/>
    <m/>
    <m/>
    <n v="110.48"/>
    <m/>
    <n v="20"/>
    <m/>
    <m/>
    <n v="20"/>
    <n v="0.33333333333333331"/>
    <m/>
    <m/>
    <m/>
    <m/>
    <m/>
    <m/>
    <m/>
    <m/>
    <n v="0"/>
    <n v="0"/>
    <n v="0.33333333333333331"/>
    <n v="11.666666666666666"/>
    <n v="12"/>
    <m/>
    <m/>
    <n v="0"/>
    <n v="115.48"/>
    <m/>
    <x v="7"/>
    <m/>
    <m/>
    <m/>
    <m/>
  </r>
  <r>
    <x v="1"/>
    <x v="2"/>
    <s v="8/5"/>
    <x v="111"/>
    <s v="سٹاک"/>
    <s v="PP"/>
    <n v="8"/>
    <n v="5"/>
    <s v="PP"/>
    <n v="1000"/>
    <s v="PP"/>
    <n v="4"/>
    <n v="145.57"/>
    <n v="3.2"/>
    <m/>
    <m/>
    <n v="142.37"/>
    <m/>
    <m/>
    <m/>
    <m/>
    <n v="0"/>
    <n v="0"/>
    <m/>
    <m/>
    <m/>
    <m/>
    <m/>
    <m/>
    <m/>
    <m/>
    <n v="0"/>
    <n v="0"/>
    <n v="0"/>
    <n v="12"/>
    <n v="12"/>
    <m/>
    <m/>
    <n v="0"/>
    <n v="147.37"/>
    <m/>
    <x v="7"/>
    <m/>
    <m/>
    <m/>
    <m/>
  </r>
  <r>
    <x v="0"/>
    <x v="3"/>
    <s v="4616 J"/>
    <x v="111"/>
    <s v="Jilani Poly Stock"/>
    <s v="PP"/>
    <n v="16"/>
    <s v="5-5.5"/>
    <s v="PP"/>
    <n v="1000"/>
    <s v="PP"/>
    <n v="10"/>
    <n v="549.47"/>
    <n v="15"/>
    <m/>
    <m/>
    <n v="534.47"/>
    <m/>
    <m/>
    <m/>
    <m/>
    <n v="0"/>
    <n v="0"/>
    <m/>
    <m/>
    <m/>
    <m/>
    <m/>
    <m/>
    <m/>
    <m/>
    <n v="0"/>
    <n v="0"/>
    <n v="0"/>
    <n v="12"/>
    <n v="12"/>
    <m/>
    <m/>
    <n v="0"/>
    <n v="539.47"/>
    <m/>
    <x v="7"/>
    <m/>
    <m/>
    <m/>
    <m/>
  </r>
  <r>
    <x v="1"/>
    <x v="3"/>
    <s v="4616 J"/>
    <x v="111"/>
    <s v="Jilani Poly Stock"/>
    <s v="PP"/>
    <n v="16"/>
    <s v="5-5.5"/>
    <s v="PP"/>
    <n v="1000"/>
    <s v="PP"/>
    <n v="2"/>
    <n v="109.95"/>
    <n v="3.8"/>
    <n v="11"/>
    <m/>
    <n v="106.15"/>
    <m/>
    <n v="30"/>
    <m/>
    <m/>
    <n v="30"/>
    <n v="0.5"/>
    <m/>
    <m/>
    <m/>
    <m/>
    <m/>
    <m/>
    <m/>
    <m/>
    <n v="0"/>
    <n v="0"/>
    <n v="0.5"/>
    <n v="11.5"/>
    <n v="12"/>
    <m/>
    <m/>
    <n v="0"/>
    <n v="111.15"/>
    <m/>
    <x v="7"/>
    <m/>
    <m/>
    <m/>
    <m/>
  </r>
  <r>
    <x v="1"/>
    <x v="3"/>
    <s v="24/2"/>
    <x v="111"/>
    <s v="سٹاک"/>
    <s v="PP"/>
    <n v="24"/>
    <n v="5"/>
    <s v="PP"/>
    <n v="500"/>
    <s v="PP"/>
    <n v="9"/>
    <n v="485.43999999999994"/>
    <n v="26.099999999999998"/>
    <m/>
    <m/>
    <n v="459.33999999999992"/>
    <m/>
    <m/>
    <m/>
    <m/>
    <n v="0"/>
    <n v="0"/>
    <m/>
    <m/>
    <m/>
    <m/>
    <m/>
    <m/>
    <m/>
    <m/>
    <n v="0"/>
    <n v="0"/>
    <n v="0"/>
    <n v="12"/>
    <n v="12"/>
    <m/>
    <m/>
    <n v="0"/>
    <n v="464.33999999999992"/>
    <m/>
    <x v="7"/>
    <m/>
    <m/>
    <m/>
    <m/>
  </r>
  <r>
    <x v="1"/>
    <x v="3"/>
    <s v="4682 J"/>
    <x v="111"/>
    <s v="Khan Chapli Kbab and Fish Corner"/>
    <s v="PP"/>
    <n v="16"/>
    <s v="11-11.5"/>
    <s v="PP"/>
    <n v="100"/>
    <s v="PP"/>
    <n v="2"/>
    <n v="105"/>
    <n v="3.8"/>
    <m/>
    <m/>
    <n v="101.2"/>
    <m/>
    <m/>
    <m/>
    <m/>
    <n v="0"/>
    <n v="0"/>
    <m/>
    <m/>
    <m/>
    <m/>
    <m/>
    <m/>
    <m/>
    <m/>
    <n v="0"/>
    <n v="0"/>
    <n v="0"/>
    <n v="12"/>
    <n v="12"/>
    <m/>
    <m/>
    <n v="0"/>
    <n v="106.2"/>
    <m/>
    <x v="7"/>
    <m/>
    <m/>
    <m/>
    <m/>
  </r>
  <r>
    <x v="0"/>
    <x v="4"/>
    <s v="14/4"/>
    <x v="111"/>
    <s v="سٹاک"/>
    <s v="PP"/>
    <n v="14"/>
    <n v="5"/>
    <s v="PP"/>
    <n v="1000"/>
    <s v="PP"/>
    <n v="8"/>
    <n v="368.65"/>
    <n v="11.2"/>
    <m/>
    <m/>
    <n v="357.45"/>
    <m/>
    <n v="20"/>
    <m/>
    <m/>
    <n v="20"/>
    <n v="0.33333333333333331"/>
    <m/>
    <m/>
    <m/>
    <m/>
    <m/>
    <m/>
    <m/>
    <m/>
    <n v="0"/>
    <n v="0"/>
    <n v="0.33333333333333331"/>
    <n v="11.666666666666666"/>
    <n v="12"/>
    <m/>
    <m/>
    <n v="0"/>
    <n v="362.45"/>
    <m/>
    <x v="7"/>
    <m/>
    <m/>
    <m/>
    <m/>
  </r>
  <r>
    <x v="0"/>
    <x v="4"/>
    <s v="7359/5"/>
    <x v="111"/>
    <s v="العمر پلاسٹک گوجرانوالہ"/>
    <s v="PP"/>
    <n v="14"/>
    <n v="6"/>
    <s v="PP"/>
    <n v="500"/>
    <s v="PP"/>
    <n v="3"/>
    <n v="154.49"/>
    <n v="3.9000000000000004"/>
    <m/>
    <m/>
    <n v="150.59"/>
    <m/>
    <m/>
    <m/>
    <m/>
    <n v="0"/>
    <n v="0"/>
    <m/>
    <m/>
    <m/>
    <m/>
    <m/>
    <m/>
    <m/>
    <m/>
    <n v="0"/>
    <n v="0"/>
    <n v="0"/>
    <n v="12"/>
    <n v="12"/>
    <m/>
    <m/>
    <n v="0"/>
    <n v="155.59"/>
    <m/>
    <x v="7"/>
    <m/>
    <m/>
    <m/>
    <m/>
  </r>
  <r>
    <x v="1"/>
    <x v="4"/>
    <s v="7359/5"/>
    <x v="111"/>
    <s v="العمر پلاسٹک گوجرانوالہ"/>
    <s v="PP"/>
    <n v="14"/>
    <n v="6"/>
    <s v="PP"/>
    <n v="500"/>
    <s v="PP"/>
    <n v="9"/>
    <n v="467.38"/>
    <n v="12.6"/>
    <m/>
    <m/>
    <n v="454.78"/>
    <m/>
    <m/>
    <m/>
    <m/>
    <n v="0"/>
    <n v="0"/>
    <m/>
    <m/>
    <m/>
    <m/>
    <m/>
    <m/>
    <m/>
    <m/>
    <n v="0"/>
    <n v="0"/>
    <n v="0"/>
    <n v="12"/>
    <n v="12"/>
    <m/>
    <m/>
    <n v="0"/>
    <n v="459.78"/>
    <m/>
    <x v="7"/>
    <m/>
    <m/>
    <m/>
    <m/>
  </r>
  <r>
    <x v="1"/>
    <x v="4"/>
    <s v="14/5"/>
    <x v="111"/>
    <s v="سٹاک"/>
    <s v="PP"/>
    <n v="14"/>
    <n v="5"/>
    <s v="PP"/>
    <n v="1000"/>
    <s v="PP"/>
    <n v="2"/>
    <n v="130.32"/>
    <n v="2.8"/>
    <m/>
    <m/>
    <n v="127.52"/>
    <s v="2546.6099999999997"/>
    <m/>
    <m/>
    <m/>
    <n v="0"/>
    <n v="0"/>
    <m/>
    <m/>
    <m/>
    <m/>
    <m/>
    <m/>
    <m/>
    <m/>
    <n v="0"/>
    <n v="0"/>
    <n v="0"/>
    <n v="12"/>
    <n v="12"/>
    <m/>
    <m/>
    <n v="0"/>
    <n v="132.51999999999998"/>
    <m/>
    <x v="7"/>
    <m/>
    <m/>
    <m/>
    <m/>
  </r>
  <r>
    <x v="0"/>
    <x v="0"/>
    <s v="2.5/3"/>
    <x v="112"/>
    <s v="سٹاک"/>
    <s v="PP"/>
    <n v="2.5"/>
    <s v="5.5-6"/>
    <s v="PP"/>
    <n v="1000"/>
    <s v="PP"/>
    <n v="8"/>
    <n v="82.62"/>
    <n v="1.6"/>
    <n v="2.5"/>
    <m/>
    <n v="81.02000000000001"/>
    <s v="1255.9600000000003"/>
    <m/>
    <m/>
    <m/>
    <n v="0"/>
    <n v="0"/>
    <m/>
    <m/>
    <m/>
    <m/>
    <m/>
    <m/>
    <m/>
    <m/>
    <n v="0"/>
    <n v="0"/>
    <n v="0"/>
    <n v="12"/>
    <n v="12"/>
    <m/>
    <n v="2021.5"/>
    <n v="0"/>
    <n v="86.02000000000001"/>
    <n v="398"/>
    <x v="7"/>
    <m/>
    <m/>
    <m/>
    <m/>
  </r>
  <r>
    <x v="1"/>
    <x v="0"/>
    <s v="2.5/3"/>
    <x v="112"/>
    <s v="سٹاک"/>
    <s v="PP"/>
    <n v="2.5"/>
    <s v="5.5-6"/>
    <s v="PP"/>
    <n v="1000"/>
    <s v="PP"/>
    <n v="9"/>
    <n v="96.6"/>
    <n v="1.8"/>
    <n v="2.5"/>
    <m/>
    <n v="94.8"/>
    <s v="1255.9600000000003"/>
    <m/>
    <m/>
    <m/>
    <n v="0"/>
    <n v="0"/>
    <m/>
    <m/>
    <m/>
    <m/>
    <m/>
    <m/>
    <m/>
    <m/>
    <n v="0"/>
    <n v="0"/>
    <n v="0"/>
    <n v="12"/>
    <n v="12"/>
    <m/>
    <m/>
    <n v="0"/>
    <n v="99.8"/>
    <m/>
    <x v="7"/>
    <m/>
    <m/>
    <m/>
    <m/>
  </r>
  <r>
    <x v="0"/>
    <x v="1"/>
    <s v="4/4"/>
    <x v="112"/>
    <s v="سٹاک"/>
    <s v="PP"/>
    <n v="4"/>
    <s v="5-5.5"/>
    <s v="PP"/>
    <n v="1000"/>
    <s v="PP"/>
    <n v="10"/>
    <n v="124.55"/>
    <n v="4"/>
    <m/>
    <m/>
    <n v="120.55"/>
    <s v="995.77"/>
    <m/>
    <m/>
    <m/>
    <n v="0"/>
    <n v="0"/>
    <m/>
    <m/>
    <m/>
    <m/>
    <m/>
    <m/>
    <m/>
    <m/>
    <n v="0"/>
    <n v="0"/>
    <n v="0"/>
    <n v="12"/>
    <n v="12"/>
    <m/>
    <m/>
    <n v="0"/>
    <n v="125.55"/>
    <m/>
    <x v="7"/>
    <m/>
    <m/>
    <m/>
    <m/>
  </r>
  <r>
    <x v="1"/>
    <x v="1"/>
    <s v="4/4"/>
    <x v="112"/>
    <s v="سٹاک"/>
    <s v="PP"/>
    <n v="4"/>
    <s v="5-5.5"/>
    <s v="PP"/>
    <n v="1000"/>
    <s v="PP"/>
    <n v="7"/>
    <n v="107.6"/>
    <n v="2.8000000000000003"/>
    <m/>
    <m/>
    <n v="104.8"/>
    <s v="995.77"/>
    <m/>
    <m/>
    <m/>
    <n v="0"/>
    <n v="0"/>
    <m/>
    <m/>
    <m/>
    <m/>
    <m/>
    <m/>
    <m/>
    <m/>
    <n v="0"/>
    <n v="0"/>
    <n v="0"/>
    <n v="12"/>
    <n v="12"/>
    <m/>
    <m/>
    <n v="0"/>
    <n v="109.8"/>
    <m/>
    <x v="7"/>
    <m/>
    <m/>
    <m/>
    <m/>
  </r>
  <r>
    <x v="0"/>
    <x v="2"/>
    <s v="8/5"/>
    <x v="112"/>
    <s v="سٹاک"/>
    <s v="PP"/>
    <n v="8"/>
    <n v="5"/>
    <s v="PP"/>
    <n v="1000"/>
    <s v="PP"/>
    <n v="8"/>
    <n v="287.28000000000003"/>
    <n v="6.4"/>
    <m/>
    <m/>
    <n v="280.88000000000005"/>
    <s v="999.67000000000007"/>
    <m/>
    <m/>
    <m/>
    <n v="0"/>
    <n v="0"/>
    <m/>
    <m/>
    <m/>
    <m/>
    <m/>
    <m/>
    <m/>
    <m/>
    <n v="0"/>
    <n v="0"/>
    <n v="0"/>
    <n v="12"/>
    <n v="12"/>
    <m/>
    <m/>
    <n v="0"/>
    <n v="285.88000000000005"/>
    <m/>
    <x v="7"/>
    <m/>
    <m/>
    <m/>
    <m/>
  </r>
  <r>
    <x v="1"/>
    <x v="2"/>
    <s v="8/5"/>
    <x v="112"/>
    <s v="سٹاک"/>
    <s v="PP"/>
    <n v="8"/>
    <n v="5"/>
    <s v="PP"/>
    <n v="1000"/>
    <s v="PP"/>
    <n v="8"/>
    <n v="267.51"/>
    <n v="0.8"/>
    <m/>
    <m/>
    <n v="266.70999999999998"/>
    <s v="999.67000000000007"/>
    <m/>
    <m/>
    <m/>
    <n v="0"/>
    <n v="0"/>
    <m/>
    <m/>
    <n v="30"/>
    <m/>
    <m/>
    <m/>
    <m/>
    <m/>
    <n v="30"/>
    <n v="0.5"/>
    <n v="0.5"/>
    <n v="11.5"/>
    <n v="12"/>
    <m/>
    <m/>
    <n v="0"/>
    <n v="271.70999999999998"/>
    <m/>
    <x v="7"/>
    <m/>
    <m/>
    <m/>
    <m/>
  </r>
  <r>
    <x v="0"/>
    <x v="3"/>
    <s v="24/2"/>
    <x v="112"/>
    <s v="سٹاک"/>
    <s v="PP"/>
    <n v="24"/>
    <n v="5"/>
    <s v="PP"/>
    <n v="500"/>
    <s v="PP"/>
    <n v="1"/>
    <n v="24.51"/>
    <n v="2.4"/>
    <m/>
    <m/>
    <n v="22.110000000000003"/>
    <s v="481.44999999999993"/>
    <m/>
    <m/>
    <m/>
    <n v="0"/>
    <n v="0"/>
    <m/>
    <m/>
    <m/>
    <m/>
    <m/>
    <m/>
    <m/>
    <m/>
    <n v="0"/>
    <n v="0"/>
    <n v="0"/>
    <n v="12"/>
    <n v="12"/>
    <m/>
    <m/>
    <n v="0"/>
    <n v="27.110000000000003"/>
    <m/>
    <x v="7"/>
    <m/>
    <m/>
    <m/>
    <m/>
  </r>
  <r>
    <x v="0"/>
    <x v="3"/>
    <s v="4618 J"/>
    <x v="112"/>
    <s v="Jilani Poly Stock"/>
    <s v="PP"/>
    <n v="24"/>
    <s v="5-5.5"/>
    <s v="PP"/>
    <n v="1000"/>
    <s v="PP"/>
    <n v="12"/>
    <n v="728.04"/>
    <n v="28.799999999999997"/>
    <m/>
    <m/>
    <n v="699.24"/>
    <s v="1181.23"/>
    <m/>
    <m/>
    <m/>
    <n v="0"/>
    <n v="0"/>
    <m/>
    <m/>
    <m/>
    <m/>
    <m/>
    <m/>
    <m/>
    <m/>
    <n v="0"/>
    <n v="0"/>
    <n v="0"/>
    <n v="12"/>
    <n v="12"/>
    <m/>
    <m/>
    <n v="0"/>
    <n v="704.24"/>
    <m/>
    <x v="7"/>
    <m/>
    <m/>
    <m/>
    <m/>
  </r>
  <r>
    <x v="1"/>
    <x v="3"/>
    <s v="4618 J"/>
    <x v="112"/>
    <s v="Jilani Poly Stock"/>
    <s v="PP"/>
    <n v="24"/>
    <s v="5-5.5"/>
    <s v="PP"/>
    <n v="1000"/>
    <s v="PP"/>
    <n v="6"/>
    <n v="385.49999999999994"/>
    <n v="14.399999999999999"/>
    <m/>
    <m/>
    <n v="371.09999999999997"/>
    <s v="1181.23"/>
    <n v="25"/>
    <m/>
    <m/>
    <n v="25"/>
    <n v="0.41666666666666674"/>
    <m/>
    <m/>
    <m/>
    <m/>
    <m/>
    <m/>
    <m/>
    <m/>
    <n v="0"/>
    <n v="0"/>
    <n v="0.41666666666666674"/>
    <n v="11.583333333333334"/>
    <n v="12"/>
    <m/>
    <m/>
    <n v="0"/>
    <n v="376.1"/>
    <m/>
    <x v="7"/>
    <m/>
    <m/>
    <m/>
    <m/>
  </r>
  <r>
    <x v="1"/>
    <x v="3"/>
    <s v="7360/2"/>
    <x v="112"/>
    <s v="امارات پلاسٹک چونگ"/>
    <s v="PP"/>
    <n v="24"/>
    <n v="4"/>
    <s v="PP"/>
    <n v="100"/>
    <s v="PP"/>
    <n v="4"/>
    <n v="218.69"/>
    <n v="9.6"/>
    <m/>
    <m/>
    <n v="209.09"/>
    <s v="209.09"/>
    <m/>
    <m/>
    <m/>
    <n v="0"/>
    <n v="0"/>
    <m/>
    <m/>
    <m/>
    <m/>
    <m/>
    <m/>
    <m/>
    <m/>
    <n v="0"/>
    <n v="0"/>
    <n v="0"/>
    <n v="12"/>
    <n v="12"/>
    <m/>
    <m/>
    <n v="0"/>
    <n v="214.09"/>
    <m/>
    <x v="7"/>
    <m/>
    <m/>
    <m/>
    <m/>
  </r>
  <r>
    <x v="1"/>
    <x v="3"/>
    <s v="4617 J"/>
    <x v="112"/>
    <s v="Jilani Poly Stock"/>
    <s v="PP"/>
    <n v="18"/>
    <s v="5-5.5"/>
    <s v="PP"/>
    <n v="1000"/>
    <s v="PP"/>
    <n v="2"/>
    <n v="98.91"/>
    <n v="3.6"/>
    <m/>
    <m/>
    <n v="95.31"/>
    <s v="2200.02"/>
    <m/>
    <m/>
    <m/>
    <n v="0"/>
    <n v="0"/>
    <m/>
    <m/>
    <m/>
    <m/>
    <m/>
    <m/>
    <m/>
    <m/>
    <n v="0"/>
    <n v="0"/>
    <n v="0"/>
    <n v="12"/>
    <n v="12"/>
    <m/>
    <m/>
    <n v="0"/>
    <n v="100.31"/>
    <m/>
    <x v="7"/>
    <m/>
    <m/>
    <m/>
    <m/>
  </r>
  <r>
    <x v="0"/>
    <x v="4"/>
    <s v="14/5"/>
    <x v="112"/>
    <s v="سٹاک"/>
    <s v="PP"/>
    <n v="14"/>
    <n v="5"/>
    <s v="PP"/>
    <n v="1000"/>
    <s v="PP"/>
    <n v="10"/>
    <n v="556.05999999999995"/>
    <n v="14"/>
    <m/>
    <m/>
    <n v="542.05999999999995"/>
    <s v="2546.6099999999997"/>
    <m/>
    <m/>
    <m/>
    <n v="0"/>
    <n v="0"/>
    <m/>
    <m/>
    <m/>
    <m/>
    <m/>
    <m/>
    <m/>
    <m/>
    <n v="0"/>
    <n v="0"/>
    <n v="0"/>
    <n v="12"/>
    <n v="12"/>
    <m/>
    <m/>
    <n v="0"/>
    <n v="547.05999999999995"/>
    <m/>
    <x v="7"/>
    <m/>
    <m/>
    <m/>
    <m/>
  </r>
  <r>
    <x v="1"/>
    <x v="4"/>
    <s v="14/5"/>
    <x v="112"/>
    <s v="سٹاک"/>
    <s v="PP"/>
    <n v="14"/>
    <n v="5"/>
    <s v="PP"/>
    <n v="1000"/>
    <s v="PP"/>
    <n v="11"/>
    <n v="591.16999999999996"/>
    <n v="15.399999999999999"/>
    <m/>
    <m/>
    <n v="575.77"/>
    <s v="2546.6099999999997"/>
    <m/>
    <m/>
    <m/>
    <n v="0"/>
    <n v="0"/>
    <m/>
    <m/>
    <m/>
    <m/>
    <m/>
    <m/>
    <m/>
    <m/>
    <n v="0"/>
    <n v="0"/>
    <n v="0"/>
    <n v="12"/>
    <n v="12"/>
    <m/>
    <m/>
    <n v="0"/>
    <n v="580.77"/>
    <m/>
    <x v="7"/>
    <m/>
    <m/>
    <m/>
    <m/>
  </r>
  <r>
    <x v="0"/>
    <x v="0"/>
    <s v="2.5/3"/>
    <x v="113"/>
    <s v="سٹاک"/>
    <s v="PP"/>
    <n v="2.5"/>
    <s v="5.5-6"/>
    <s v="PP"/>
    <n v="1000"/>
    <s v="PP"/>
    <n v="8"/>
    <n v="91.610000000000014"/>
    <n v="1.6"/>
    <n v="23.5"/>
    <m/>
    <n v="90.010000000000019"/>
    <s v="1255.9600000000003"/>
    <m/>
    <m/>
    <m/>
    <n v="0"/>
    <n v="0"/>
    <m/>
    <m/>
    <m/>
    <m/>
    <m/>
    <m/>
    <m/>
    <m/>
    <n v="0"/>
    <n v="0"/>
    <n v="0"/>
    <n v="12"/>
    <n v="12"/>
    <m/>
    <n v="2048"/>
    <n v="0"/>
    <n v="95.010000000000019"/>
    <n v="398"/>
    <x v="8"/>
    <m/>
    <m/>
    <m/>
    <m/>
  </r>
  <r>
    <x v="1"/>
    <x v="0"/>
    <s v="2.5/3"/>
    <x v="113"/>
    <s v="سٹاک"/>
    <s v="PP"/>
    <n v="2.5"/>
    <s v="5.5-6"/>
    <s v="PP"/>
    <n v="1000"/>
    <s v="PP"/>
    <n v="8"/>
    <n v="88.100000000000009"/>
    <n v="1.6"/>
    <n v="22.5"/>
    <m/>
    <n v="86.500000000000014"/>
    <s v="1255.9600000000003"/>
    <m/>
    <m/>
    <m/>
    <n v="0"/>
    <n v="0"/>
    <m/>
    <m/>
    <m/>
    <m/>
    <m/>
    <m/>
    <m/>
    <m/>
    <n v="0"/>
    <n v="0"/>
    <n v="0"/>
    <n v="12"/>
    <n v="12"/>
    <m/>
    <m/>
    <n v="0"/>
    <n v="91.500000000000014"/>
    <m/>
    <x v="8"/>
    <m/>
    <m/>
    <m/>
    <m/>
  </r>
  <r>
    <x v="0"/>
    <x v="1"/>
    <s v="4/5"/>
    <x v="113"/>
    <s v="سٹاک"/>
    <s v="PP"/>
    <n v="4"/>
    <s v="5-5.5"/>
    <s v="PP"/>
    <n v="500"/>
    <s v="PP"/>
    <n v="8"/>
    <n v="128.37"/>
    <n v="3.2"/>
    <m/>
    <m/>
    <n v="125.17"/>
    <s v="671.62"/>
    <m/>
    <m/>
    <m/>
    <n v="0"/>
    <n v="0"/>
    <m/>
    <m/>
    <m/>
    <m/>
    <m/>
    <m/>
    <m/>
    <m/>
    <n v="0"/>
    <n v="0"/>
    <n v="0"/>
    <n v="12"/>
    <n v="12"/>
    <m/>
    <m/>
    <n v="0"/>
    <n v="130.17000000000002"/>
    <m/>
    <x v="8"/>
    <m/>
    <m/>
    <m/>
    <m/>
  </r>
  <r>
    <x v="1"/>
    <x v="1"/>
    <s v="4/5"/>
    <x v="113"/>
    <s v="سٹاک"/>
    <s v="PP"/>
    <n v="4"/>
    <s v="5-5.5"/>
    <s v="PP"/>
    <n v="500"/>
    <s v="PP"/>
    <n v="7"/>
    <n v="102.1"/>
    <n v="2.8000000000000003"/>
    <m/>
    <m/>
    <n v="99.3"/>
    <s v="671.62"/>
    <m/>
    <m/>
    <m/>
    <n v="0"/>
    <n v="0"/>
    <m/>
    <m/>
    <m/>
    <m/>
    <m/>
    <m/>
    <m/>
    <m/>
    <n v="0"/>
    <n v="0"/>
    <n v="0"/>
    <n v="12"/>
    <n v="12"/>
    <m/>
    <m/>
    <n v="0"/>
    <n v="104.3"/>
    <m/>
    <x v="8"/>
    <m/>
    <m/>
    <m/>
    <m/>
  </r>
  <r>
    <x v="1"/>
    <x v="1"/>
    <s v="7355/1"/>
    <x v="113"/>
    <s v="خرم پلاسٹک لالہ موسہ"/>
    <s v="PP"/>
    <n v="5"/>
    <n v="10"/>
    <s v="PP"/>
    <n v="100"/>
    <s v="PP"/>
    <n v="1"/>
    <n v="15.09"/>
    <n v="0.5"/>
    <m/>
    <m/>
    <n v="14.59"/>
    <s v="102.23"/>
    <m/>
    <m/>
    <m/>
    <n v="0"/>
    <n v="0"/>
    <m/>
    <m/>
    <m/>
    <m/>
    <m/>
    <m/>
    <m/>
    <m/>
    <n v="0"/>
    <n v="0"/>
    <n v="0"/>
    <n v="12"/>
    <n v="12"/>
    <m/>
    <m/>
    <n v="0"/>
    <n v="19.59"/>
    <m/>
    <x v="8"/>
    <m/>
    <m/>
    <m/>
    <m/>
  </r>
  <r>
    <x v="0"/>
    <x v="2"/>
    <s v="8/5"/>
    <x v="113"/>
    <s v="سٹاک"/>
    <s v="PP"/>
    <n v="8"/>
    <n v="5"/>
    <s v="PP"/>
    <n v="1000"/>
    <s v="PP"/>
    <n v="8"/>
    <n v="268.97000000000003"/>
    <n v="6.4"/>
    <m/>
    <m/>
    <n v="262.57000000000005"/>
    <s v="999.67000000000007"/>
    <m/>
    <m/>
    <m/>
    <n v="0"/>
    <n v="0"/>
    <m/>
    <m/>
    <m/>
    <m/>
    <m/>
    <m/>
    <m/>
    <m/>
    <n v="0"/>
    <n v="0"/>
    <n v="0"/>
    <n v="12"/>
    <n v="12"/>
    <m/>
    <m/>
    <n v="0"/>
    <n v="269.57000000000005"/>
    <m/>
    <x v="8"/>
    <m/>
    <m/>
    <m/>
    <m/>
  </r>
  <r>
    <x v="1"/>
    <x v="2"/>
    <s v="8/5"/>
    <x v="113"/>
    <s v="سٹاک"/>
    <s v="PP"/>
    <n v="8"/>
    <n v="5"/>
    <s v="PP"/>
    <n v="1000"/>
    <s v="PP"/>
    <n v="2"/>
    <n v="48.94"/>
    <n v="1.8"/>
    <m/>
    <m/>
    <n v="47.14"/>
    <s v="999.67000000000007"/>
    <n v="20"/>
    <m/>
    <m/>
    <n v="20"/>
    <n v="0.33333333333333331"/>
    <m/>
    <m/>
    <m/>
    <m/>
    <m/>
    <m/>
    <m/>
    <m/>
    <n v="0"/>
    <n v="0"/>
    <n v="0.33333333333333331"/>
    <n v="11.666666666666666"/>
    <n v="12"/>
    <m/>
    <m/>
    <n v="0"/>
    <n v="54.14"/>
    <m/>
    <x v="8"/>
    <m/>
    <m/>
    <m/>
    <m/>
  </r>
  <r>
    <x v="1"/>
    <x v="2"/>
    <s v="9/4"/>
    <x v="113"/>
    <s v="سٹاک"/>
    <s v="PP"/>
    <n v="9"/>
    <s v="5-5.5"/>
    <s v="PP"/>
    <n v="1000"/>
    <s v="PP"/>
    <n v="7"/>
    <n v="242.67"/>
    <n v="6.3"/>
    <m/>
    <m/>
    <n v="236.36999999999998"/>
    <s v="977.92000000000007"/>
    <m/>
    <m/>
    <m/>
    <n v="0"/>
    <n v="0"/>
    <m/>
    <m/>
    <m/>
    <m/>
    <m/>
    <m/>
    <m/>
    <m/>
    <n v="0"/>
    <n v="0"/>
    <n v="0"/>
    <n v="12"/>
    <n v="12"/>
    <m/>
    <m/>
    <n v="0"/>
    <n v="243.37"/>
    <m/>
    <x v="8"/>
    <m/>
    <m/>
    <m/>
    <m/>
  </r>
  <r>
    <x v="0"/>
    <x v="3"/>
    <s v="4617 J"/>
    <x v="113"/>
    <s v="Jilani Poly Stock"/>
    <s v="PP"/>
    <n v="18"/>
    <s v="5-5.5"/>
    <s v="PP"/>
    <n v="1000"/>
    <s v="PP"/>
    <n v="13"/>
    <n v="760.26"/>
    <n v="27.95"/>
    <m/>
    <m/>
    <n v="732.31"/>
    <s v="2200.02"/>
    <m/>
    <m/>
    <m/>
    <n v="0"/>
    <n v="0"/>
    <m/>
    <m/>
    <m/>
    <m/>
    <m/>
    <m/>
    <m/>
    <m/>
    <n v="0"/>
    <n v="0"/>
    <n v="0"/>
    <n v="12"/>
    <n v="12"/>
    <m/>
    <m/>
    <n v="0"/>
    <n v="739.31"/>
    <m/>
    <x v="8"/>
    <m/>
    <m/>
    <m/>
    <m/>
  </r>
  <r>
    <x v="1"/>
    <x v="3"/>
    <s v="4617 J"/>
    <x v="113"/>
    <s v="Jilani Poly Stock"/>
    <s v="PP"/>
    <n v="18"/>
    <s v="5-5.5"/>
    <s v="PP"/>
    <n v="1000"/>
    <s v="PP"/>
    <n v="2"/>
    <n v="117.33"/>
    <n v="4"/>
    <m/>
    <m/>
    <n v="113.33"/>
    <s v="2200.02"/>
    <n v="20"/>
    <m/>
    <m/>
    <n v="20"/>
    <n v="0.33333333333333331"/>
    <m/>
    <m/>
    <m/>
    <m/>
    <m/>
    <m/>
    <m/>
    <m/>
    <n v="0"/>
    <n v="0"/>
    <n v="0.33333333333333331"/>
    <n v="11.666666666666666"/>
    <n v="12"/>
    <m/>
    <m/>
    <n v="0"/>
    <n v="120.33"/>
    <m/>
    <x v="8"/>
    <m/>
    <m/>
    <m/>
    <m/>
  </r>
  <r>
    <x v="1"/>
    <x v="3"/>
    <s v="7362/1"/>
    <x v="113"/>
    <s v="ایم بلال وحدت روڈ"/>
    <s v="PP"/>
    <n v="17"/>
    <s v="8.5-9"/>
    <s v="PP"/>
    <n v="325"/>
    <s v="PP"/>
    <n v="7"/>
    <n v="358.82999999999993"/>
    <n v="11.9"/>
    <m/>
    <m/>
    <n v="346.92999999999995"/>
    <s v="346.92999999999995"/>
    <m/>
    <m/>
    <m/>
    <n v="0"/>
    <n v="0"/>
    <m/>
    <m/>
    <m/>
    <m/>
    <m/>
    <m/>
    <m/>
    <m/>
    <n v="0"/>
    <n v="0"/>
    <n v="0"/>
    <n v="12"/>
    <n v="12"/>
    <m/>
    <m/>
    <n v="0"/>
    <n v="353.92999999999995"/>
    <m/>
    <x v="8"/>
    <m/>
    <m/>
    <m/>
    <m/>
  </r>
  <r>
    <x v="1"/>
    <x v="3"/>
    <s v="7359/4"/>
    <x v="113"/>
    <s v="العمر پلاسٹک گوجرانوالہ"/>
    <s v="PP"/>
    <n v="20"/>
    <n v="6"/>
    <s v="PP"/>
    <n v="500"/>
    <s v="PP"/>
    <n v="3"/>
    <n v="146.24"/>
    <n v="6"/>
    <m/>
    <m/>
    <n v="140.24"/>
    <s v="499.34000000000003"/>
    <m/>
    <m/>
    <m/>
    <n v="0"/>
    <n v="0"/>
    <m/>
    <m/>
    <m/>
    <m/>
    <m/>
    <m/>
    <m/>
    <m/>
    <n v="0"/>
    <n v="0"/>
    <n v="0"/>
    <n v="12"/>
    <n v="12"/>
    <m/>
    <m/>
    <n v="0"/>
    <n v="147.24"/>
    <m/>
    <x v="8"/>
    <m/>
    <m/>
    <m/>
    <m/>
  </r>
  <r>
    <x v="1"/>
    <x v="3"/>
    <s v="2801/1"/>
    <x v="113"/>
    <s v="REFLECT PACK"/>
    <s v="PP"/>
    <n v="17"/>
    <s v="5.5-6"/>
    <s v="PP"/>
    <n v="5000"/>
    <s v="PP"/>
    <n v="3"/>
    <n v="126.42"/>
    <n v="11.9"/>
    <m/>
    <m/>
    <n v="114.52"/>
    <s v="5225.78"/>
    <m/>
    <m/>
    <m/>
    <n v="0"/>
    <n v="0"/>
    <m/>
    <m/>
    <m/>
    <m/>
    <m/>
    <m/>
    <m/>
    <m/>
    <n v="0"/>
    <n v="0"/>
    <n v="0"/>
    <n v="12"/>
    <n v="12"/>
    <m/>
    <m/>
    <n v="0"/>
    <n v="121.52"/>
    <m/>
    <x v="8"/>
    <m/>
    <m/>
    <m/>
    <m/>
  </r>
  <r>
    <x v="0"/>
    <x v="4"/>
    <s v="4618 J"/>
    <x v="113"/>
    <s v="Jilani Poly Stock"/>
    <s v="PP"/>
    <n v="24"/>
    <s v="5-5.5"/>
    <s v="PP"/>
    <n v="1000"/>
    <s v="PP"/>
    <n v="2"/>
    <n v="113.69"/>
    <n v="2.8"/>
    <m/>
    <m/>
    <n v="110.89"/>
    <s v="1181.23"/>
    <n v="20"/>
    <m/>
    <m/>
    <n v="20"/>
    <n v="0.33333333333333331"/>
    <m/>
    <m/>
    <m/>
    <m/>
    <m/>
    <m/>
    <m/>
    <m/>
    <n v="0"/>
    <n v="0"/>
    <n v="0.33333333333333331"/>
    <n v="11.666666666666666"/>
    <n v="12"/>
    <m/>
    <m/>
    <n v="0"/>
    <n v="117.89"/>
    <m/>
    <x v="8"/>
    <m/>
    <m/>
    <m/>
    <m/>
  </r>
  <r>
    <x v="0"/>
    <x v="4"/>
    <s v="9/4"/>
    <x v="113"/>
    <s v="سٹاک"/>
    <s v="PP"/>
    <n v="9"/>
    <s v="5-5.5"/>
    <s v="PP"/>
    <n v="1000"/>
    <s v="PP"/>
    <n v="8"/>
    <n v="348.57"/>
    <n v="8.8000000000000007"/>
    <m/>
    <m/>
    <n v="339.77"/>
    <s v="977.92000000000007"/>
    <m/>
    <m/>
    <m/>
    <n v="0"/>
    <n v="0"/>
    <m/>
    <m/>
    <m/>
    <m/>
    <m/>
    <m/>
    <m/>
    <m/>
    <n v="0"/>
    <n v="0"/>
    <n v="0"/>
    <n v="12"/>
    <n v="12"/>
    <m/>
    <m/>
    <n v="0"/>
    <n v="346.77"/>
    <m/>
    <x v="8"/>
    <m/>
    <m/>
    <m/>
    <m/>
  </r>
  <r>
    <x v="1"/>
    <x v="4"/>
    <s v="9/4"/>
    <x v="113"/>
    <s v="سٹاک"/>
    <s v="PP"/>
    <n v="9"/>
    <s v="5-5.5"/>
    <s v="PP"/>
    <n v="1000"/>
    <s v="PP"/>
    <n v="2"/>
    <n v="59.87"/>
    <n v="1.8"/>
    <m/>
    <m/>
    <n v="58.07"/>
    <s v="977.92000000000007"/>
    <n v="20"/>
    <m/>
    <m/>
    <n v="20"/>
    <n v="0.33333333333333331"/>
    <m/>
    <m/>
    <m/>
    <m/>
    <m/>
    <m/>
    <m/>
    <m/>
    <n v="0"/>
    <n v="0"/>
    <n v="0.33333333333333331"/>
    <n v="11.666666666666666"/>
    <n v="12"/>
    <m/>
    <m/>
    <n v="0"/>
    <n v="65.069999999999993"/>
    <m/>
    <x v="8"/>
    <m/>
    <m/>
    <m/>
    <m/>
  </r>
  <r>
    <x v="1"/>
    <x v="4"/>
    <s v="10/6"/>
    <x v="113"/>
    <s v="سٹاک"/>
    <s v="PP"/>
    <n v="10"/>
    <n v="5"/>
    <s v="PP"/>
    <n v="1000"/>
    <s v="PP"/>
    <n v="10"/>
    <n v="387.85999999999996"/>
    <n v="10"/>
    <m/>
    <m/>
    <n v="377.85999999999996"/>
    <s v="1020.61"/>
    <m/>
    <m/>
    <m/>
    <n v="0"/>
    <n v="0"/>
    <m/>
    <m/>
    <m/>
    <m/>
    <m/>
    <m/>
    <m/>
    <m/>
    <n v="0"/>
    <n v="0"/>
    <n v="0"/>
    <n v="12"/>
    <n v="12"/>
    <m/>
    <m/>
    <n v="0"/>
    <n v="384.86"/>
    <m/>
    <x v="8"/>
    <m/>
    <m/>
    <m/>
    <m/>
  </r>
  <r>
    <x v="0"/>
    <x v="0"/>
    <s v="2.5/3"/>
    <x v="114"/>
    <s v="سٹاک"/>
    <s v="PP"/>
    <n v="2.5"/>
    <s v="5.5-6"/>
    <s v="PP"/>
    <n v="1000"/>
    <s v="PP"/>
    <n v="8"/>
    <n v="84.52"/>
    <n v="1.6"/>
    <n v="18"/>
    <n v="207"/>
    <n v="82.92"/>
    <s v="1255.9600000000003"/>
    <m/>
    <m/>
    <m/>
    <n v="0"/>
    <n v="0"/>
    <m/>
    <m/>
    <m/>
    <m/>
    <m/>
    <m/>
    <m/>
    <m/>
    <n v="0"/>
    <n v="0"/>
    <n v="0"/>
    <n v="12"/>
    <n v="12"/>
    <m/>
    <n v="1996.5"/>
    <n v="0"/>
    <n v="87.92"/>
    <n v="398"/>
    <x v="8"/>
    <m/>
    <m/>
    <m/>
    <m/>
  </r>
  <r>
    <x v="1"/>
    <x v="0"/>
    <s v="2.5/3"/>
    <x v="114"/>
    <s v="سٹاک"/>
    <s v="PP"/>
    <n v="2.5"/>
    <s v="5.5-6"/>
    <s v="PP"/>
    <n v="1000"/>
    <s v="PP"/>
    <n v="9"/>
    <n v="94.26"/>
    <n v="1.8"/>
    <n v="41"/>
    <m/>
    <n v="92.460000000000008"/>
    <s v="1255.9600000000003"/>
    <m/>
    <m/>
    <m/>
    <n v="0"/>
    <n v="0"/>
    <m/>
    <m/>
    <m/>
    <m/>
    <m/>
    <m/>
    <m/>
    <m/>
    <n v="0"/>
    <n v="0"/>
    <n v="0"/>
    <n v="12"/>
    <n v="12"/>
    <m/>
    <m/>
    <n v="0"/>
    <n v="97.46"/>
    <m/>
    <x v="8"/>
    <m/>
    <m/>
    <m/>
    <m/>
  </r>
  <r>
    <x v="0"/>
    <x v="1"/>
    <s v="7355/1"/>
    <x v="114"/>
    <s v="خرم پلاسٹک لالہ موسہ"/>
    <s v="PP"/>
    <n v="5"/>
    <n v="10"/>
    <s v="PP"/>
    <n v="100"/>
    <s v="PP"/>
    <n v="6"/>
    <n v="90.64"/>
    <n v="3"/>
    <m/>
    <m/>
    <n v="87.64"/>
    <s v="102.23"/>
    <n v="20"/>
    <m/>
    <m/>
    <n v="20"/>
    <n v="0.33333333333333331"/>
    <m/>
    <m/>
    <m/>
    <m/>
    <m/>
    <m/>
    <m/>
    <m/>
    <n v="0"/>
    <n v="0"/>
    <n v="0.33333333333333331"/>
    <n v="11.666666666666666"/>
    <n v="12"/>
    <m/>
    <m/>
    <n v="0"/>
    <n v="92.64"/>
    <m/>
    <x v="8"/>
    <m/>
    <m/>
    <m/>
    <m/>
  </r>
  <r>
    <x v="0"/>
    <x v="1"/>
    <s v="4/5"/>
    <x v="114"/>
    <s v="سٹاک"/>
    <s v="PP"/>
    <n v="4"/>
    <s v="5-5.5"/>
    <s v="PP"/>
    <n v="500"/>
    <s v="PP"/>
    <n v="6"/>
    <n v="80.39"/>
    <n v="2.4000000000000004"/>
    <m/>
    <m/>
    <n v="77.989999999999995"/>
    <s v="671.62"/>
    <m/>
    <m/>
    <m/>
    <n v="0"/>
    <n v="0"/>
    <m/>
    <m/>
    <m/>
    <m/>
    <m/>
    <m/>
    <m/>
    <m/>
    <n v="0"/>
    <n v="0"/>
    <n v="0"/>
    <n v="12"/>
    <n v="12"/>
    <m/>
    <m/>
    <n v="0"/>
    <n v="82.99"/>
    <m/>
    <x v="8"/>
    <m/>
    <m/>
    <m/>
    <m/>
  </r>
  <r>
    <x v="1"/>
    <x v="1"/>
    <s v="4/5"/>
    <x v="114"/>
    <s v="سٹاک"/>
    <s v="PP"/>
    <n v="4"/>
    <s v="5-5.5"/>
    <s v="PP"/>
    <n v="500"/>
    <s v="PP"/>
    <n v="10"/>
    <n v="149.84"/>
    <n v="4"/>
    <m/>
    <m/>
    <n v="145.84"/>
    <s v="671.62"/>
    <m/>
    <m/>
    <m/>
    <n v="0"/>
    <n v="0"/>
    <m/>
    <m/>
    <m/>
    <m/>
    <m/>
    <m/>
    <m/>
    <m/>
    <n v="0"/>
    <n v="0"/>
    <n v="0"/>
    <n v="12"/>
    <n v="12"/>
    <m/>
    <m/>
    <n v="0"/>
    <n v="150.84"/>
    <m/>
    <x v="8"/>
    <m/>
    <m/>
    <m/>
    <m/>
  </r>
  <r>
    <x v="0"/>
    <x v="2"/>
    <s v="9/4"/>
    <x v="114"/>
    <s v="سٹاک"/>
    <s v="PP"/>
    <n v="9"/>
    <s v="5-5.5"/>
    <s v="PP"/>
    <n v="1000"/>
    <s v="PP"/>
    <n v="8"/>
    <n v="297.04000000000002"/>
    <n v="7.2"/>
    <m/>
    <m/>
    <n v="289.84000000000003"/>
    <s v="977.92000000000007"/>
    <m/>
    <m/>
    <m/>
    <n v="0"/>
    <n v="0"/>
    <m/>
    <m/>
    <m/>
    <m/>
    <m/>
    <m/>
    <m/>
    <m/>
    <n v="0"/>
    <n v="0"/>
    <n v="0"/>
    <n v="12"/>
    <n v="12"/>
    <m/>
    <m/>
    <n v="0"/>
    <n v="296.84000000000003"/>
    <m/>
    <x v="8"/>
    <m/>
    <m/>
    <m/>
    <m/>
  </r>
  <r>
    <x v="1"/>
    <x v="2"/>
    <s v="9/4"/>
    <x v="114"/>
    <s v="سٹاک"/>
    <s v="PP"/>
    <n v="9"/>
    <s v="5-5.5"/>
    <s v="PP"/>
    <n v="1000"/>
    <s v="PP"/>
    <n v="2"/>
    <n v="55.67"/>
    <n v="1.8"/>
    <m/>
    <m/>
    <n v="53.870000000000005"/>
    <s v="977.92000000000007"/>
    <n v="20"/>
    <m/>
    <m/>
    <n v="20"/>
    <n v="0.33333333333333331"/>
    <m/>
    <m/>
    <m/>
    <m/>
    <m/>
    <m/>
    <m/>
    <m/>
    <n v="0"/>
    <n v="0"/>
    <n v="0.33333333333333331"/>
    <n v="11.666666666666666"/>
    <n v="12"/>
    <m/>
    <m/>
    <n v="0"/>
    <n v="60.870000000000005"/>
    <m/>
    <x v="8"/>
    <m/>
    <m/>
    <m/>
    <m/>
  </r>
  <r>
    <x v="1"/>
    <x v="2"/>
    <s v="6/5"/>
    <x v="114"/>
    <s v="سٹاک"/>
    <s v="PP"/>
    <n v="6"/>
    <n v="5"/>
    <s v="PP"/>
    <n v="1000"/>
    <s v="PP"/>
    <n v="8"/>
    <n v="217.15"/>
    <n v="4.8"/>
    <m/>
    <m/>
    <n v="212.35"/>
    <s v="1363.8100000000002"/>
    <m/>
    <m/>
    <m/>
    <n v="0"/>
    <n v="0"/>
    <m/>
    <m/>
    <m/>
    <m/>
    <m/>
    <m/>
    <m/>
    <m/>
    <n v="0"/>
    <n v="0"/>
    <n v="0"/>
    <n v="12"/>
    <n v="12"/>
    <m/>
    <m/>
    <n v="0"/>
    <n v="219.35"/>
    <m/>
    <x v="8"/>
    <m/>
    <m/>
    <m/>
    <m/>
  </r>
  <r>
    <x v="0"/>
    <x v="3"/>
    <s v="7359/4"/>
    <x v="114"/>
    <s v="العمر پلاسٹک گوجرانوالہ"/>
    <s v="PP"/>
    <n v="20"/>
    <n v="6"/>
    <s v="PP"/>
    <n v="500"/>
    <s v="PP"/>
    <n v="7"/>
    <n v="376.6"/>
    <n v="17.5"/>
    <m/>
    <m/>
    <n v="359.1"/>
    <s v="499.34000000000003"/>
    <n v="20"/>
    <m/>
    <m/>
    <n v="20"/>
    <n v="0.33333333333333331"/>
    <m/>
    <n v="40"/>
    <m/>
    <m/>
    <n v="30"/>
    <m/>
    <m/>
    <n v="60"/>
    <n v="130"/>
    <n v="2.1666666666666665"/>
    <n v="2.5"/>
    <n v="9.5"/>
    <n v="12"/>
    <m/>
    <m/>
    <n v="0"/>
    <n v="366.1"/>
    <m/>
    <x v="8"/>
    <m/>
    <m/>
    <m/>
    <m/>
  </r>
  <r>
    <x v="0"/>
    <x v="3"/>
    <s v="16/2"/>
    <x v="114"/>
    <s v="سٹاک"/>
    <s v="PP"/>
    <n v="16"/>
    <n v="5"/>
    <s v="PP"/>
    <n v="500"/>
    <s v="PP"/>
    <n v="3"/>
    <n v="147.93"/>
    <n v="5.6999999999999993"/>
    <m/>
    <m/>
    <n v="142.23000000000002"/>
    <s v="1426.27"/>
    <m/>
    <m/>
    <m/>
    <n v="0"/>
    <n v="0"/>
    <m/>
    <m/>
    <m/>
    <m/>
    <m/>
    <m/>
    <m/>
    <m/>
    <n v="0"/>
    <n v="0"/>
    <n v="0"/>
    <n v="12"/>
    <n v="12"/>
    <m/>
    <m/>
    <n v="0"/>
    <n v="149.23000000000002"/>
    <m/>
    <x v="8"/>
    <m/>
    <m/>
    <m/>
    <m/>
  </r>
  <r>
    <x v="0"/>
    <x v="3"/>
    <s v="2800/2"/>
    <x v="114"/>
    <s v="ارسلان پلاسٹک عمر صاحب C/O شاہزیب صاحب"/>
    <s v="PP"/>
    <n v="16"/>
    <n v="5.5"/>
    <s v="PP"/>
    <n v="80"/>
    <s v="PP"/>
    <n v="2"/>
    <n v="90.98"/>
    <n v="2.5"/>
    <m/>
    <m/>
    <n v="88.48"/>
    <s v="88.48"/>
    <m/>
    <m/>
    <m/>
    <n v="0"/>
    <n v="0"/>
    <m/>
    <m/>
    <m/>
    <m/>
    <m/>
    <m/>
    <m/>
    <m/>
    <n v="0"/>
    <n v="0"/>
    <n v="0"/>
    <n v="12"/>
    <n v="12"/>
    <m/>
    <m/>
    <n v="0"/>
    <n v="95.48"/>
    <m/>
    <x v="8"/>
    <m/>
    <m/>
    <m/>
    <m/>
  </r>
  <r>
    <x v="1"/>
    <x v="3"/>
    <s v="2800/1"/>
    <x v="114"/>
    <s v="ارسلان پلاسٹک عمر صاحب C/O شاہزیب صاحب"/>
    <s v="PP"/>
    <n v="15"/>
    <n v="5.5"/>
    <s v="PP"/>
    <n v="80"/>
    <s v="PP"/>
    <n v="2"/>
    <n v="73.75"/>
    <n v="3"/>
    <m/>
    <m/>
    <n v="70.75"/>
    <s v="70.75"/>
    <n v="20"/>
    <m/>
    <m/>
    <n v="20"/>
    <n v="0.33333333333333331"/>
    <m/>
    <m/>
    <n v="55"/>
    <m/>
    <m/>
    <m/>
    <n v="30"/>
    <m/>
    <n v="85"/>
    <n v="1.4166666666666667"/>
    <n v="1.75"/>
    <n v="10.25"/>
    <n v="12"/>
    <m/>
    <m/>
    <n v="0"/>
    <n v="77.75"/>
    <m/>
    <x v="8"/>
    <m/>
    <m/>
    <m/>
    <m/>
  </r>
  <r>
    <x v="1"/>
    <x v="3"/>
    <s v="2801/1"/>
    <x v="114"/>
    <s v="REFLECT PACK"/>
    <s v="PP"/>
    <n v="17"/>
    <s v="5.5-6"/>
    <s v="PP"/>
    <n v="5000"/>
    <s v="PP"/>
    <n v="12"/>
    <n v="656.24999999999989"/>
    <n v="20.399999999999999"/>
    <m/>
    <m/>
    <n v="635.84999999999991"/>
    <s v="5225.78"/>
    <m/>
    <m/>
    <m/>
    <n v="0"/>
    <n v="0"/>
    <m/>
    <m/>
    <m/>
    <m/>
    <m/>
    <m/>
    <m/>
    <m/>
    <n v="0"/>
    <n v="0"/>
    <n v="0"/>
    <n v="12"/>
    <n v="12"/>
    <m/>
    <m/>
    <n v="0"/>
    <n v="642.84999999999991"/>
    <m/>
    <x v="8"/>
    <m/>
    <m/>
    <m/>
    <m/>
  </r>
  <r>
    <x v="0"/>
    <x v="4"/>
    <s v="7347/1"/>
    <x v="114"/>
    <s v="بلال صاحب اعظم مارکیٹ"/>
    <s v="PP"/>
    <n v="10"/>
    <n v="8"/>
    <s v="PP"/>
    <n v="50"/>
    <s v="PP"/>
    <n v="2"/>
    <n v="56.8"/>
    <n v="2"/>
    <m/>
    <m/>
    <n v="54.8"/>
    <s v="54.8"/>
    <m/>
    <m/>
    <m/>
    <n v="0"/>
    <n v="0"/>
    <m/>
    <m/>
    <m/>
    <m/>
    <m/>
    <m/>
    <m/>
    <m/>
    <n v="0"/>
    <n v="0"/>
    <n v="0"/>
    <n v="12"/>
    <n v="12"/>
    <m/>
    <m/>
    <n v="0"/>
    <n v="61.8"/>
    <m/>
    <x v="8"/>
    <m/>
    <m/>
    <m/>
    <m/>
  </r>
  <r>
    <x v="0"/>
    <x v="4"/>
    <s v="10/6"/>
    <x v="114"/>
    <s v="سٹاک"/>
    <s v="PP"/>
    <n v="10"/>
    <n v="5"/>
    <s v="PP"/>
    <n v="1000"/>
    <s v="PP"/>
    <n v="8"/>
    <n v="382.41"/>
    <n v="8"/>
    <m/>
    <m/>
    <n v="374.41"/>
    <s v="1020.61"/>
    <m/>
    <m/>
    <m/>
    <n v="0"/>
    <n v="0"/>
    <m/>
    <m/>
    <m/>
    <m/>
    <m/>
    <m/>
    <m/>
    <m/>
    <n v="0"/>
    <n v="0"/>
    <n v="0"/>
    <n v="12"/>
    <n v="12"/>
    <m/>
    <m/>
    <n v="0"/>
    <n v="381.41"/>
    <m/>
    <x v="8"/>
    <m/>
    <m/>
    <m/>
    <m/>
  </r>
  <r>
    <x v="1"/>
    <x v="4"/>
    <s v="10/6"/>
    <x v="114"/>
    <s v="سٹاک"/>
    <s v="PP"/>
    <n v="10"/>
    <n v="5"/>
    <s v="PP"/>
    <n v="1000"/>
    <s v="PP"/>
    <n v="6"/>
    <n v="274.34000000000003"/>
    <n v="6"/>
    <m/>
    <m/>
    <n v="268.34000000000003"/>
    <s v="1020.61"/>
    <n v="20"/>
    <m/>
    <m/>
    <n v="20"/>
    <n v="0.33333333333333331"/>
    <m/>
    <m/>
    <m/>
    <m/>
    <m/>
    <m/>
    <m/>
    <m/>
    <n v="0"/>
    <n v="0"/>
    <n v="0.33333333333333331"/>
    <n v="11.666666666666666"/>
    <n v="12"/>
    <m/>
    <m/>
    <n v="0"/>
    <n v="275.34000000000003"/>
    <m/>
    <x v="8"/>
    <m/>
    <m/>
    <m/>
    <m/>
  </r>
  <r>
    <x v="1"/>
    <x v="4"/>
    <s v="12/5"/>
    <x v="114"/>
    <s v="سٹاک"/>
    <s v="PP"/>
    <n v="12"/>
    <n v="5"/>
    <s v="PP"/>
    <n v="500"/>
    <s v="PP"/>
    <n v="4"/>
    <n v="217.79000000000002"/>
    <n v="6"/>
    <m/>
    <m/>
    <n v="211.79000000000002"/>
    <s v="1019.7800000000001"/>
    <m/>
    <m/>
    <m/>
    <n v="0"/>
    <n v="0"/>
    <m/>
    <m/>
    <m/>
    <m/>
    <m/>
    <m/>
    <m/>
    <m/>
    <n v="0"/>
    <n v="0"/>
    <n v="0"/>
    <n v="12"/>
    <n v="12"/>
    <m/>
    <m/>
    <n v="0"/>
    <n v="218.79"/>
    <m/>
    <x v="8"/>
    <m/>
    <m/>
    <m/>
    <m/>
  </r>
  <r>
    <x v="0"/>
    <x v="0"/>
    <s v="2.5/3"/>
    <x v="115"/>
    <s v="سٹاک"/>
    <s v="PP"/>
    <n v="2.5"/>
    <s v="5.5-6"/>
    <s v="PP"/>
    <n v="1000"/>
    <s v="PP"/>
    <n v="11"/>
    <n v="108.8"/>
    <n v="2.2000000000000002"/>
    <n v="14"/>
    <m/>
    <n v="106.6"/>
    <s v="1255.9600000000003"/>
    <m/>
    <m/>
    <m/>
    <n v="0"/>
    <n v="0"/>
    <m/>
    <m/>
    <m/>
    <m/>
    <m/>
    <m/>
    <m/>
    <m/>
    <n v="0"/>
    <n v="0"/>
    <n v="0"/>
    <n v="12"/>
    <n v="12"/>
    <m/>
    <n v="2129"/>
    <n v="0"/>
    <n v="111.6"/>
    <n v="398"/>
    <x v="8"/>
    <m/>
    <m/>
    <m/>
    <m/>
  </r>
  <r>
    <x v="1"/>
    <x v="0"/>
    <s v="2.5/3"/>
    <x v="115"/>
    <s v="سٹاک"/>
    <s v="PP"/>
    <n v="2.5"/>
    <s v="5.5-6"/>
    <s v="PP"/>
    <n v="1000"/>
    <s v="PP"/>
    <n v="11"/>
    <n v="104.89999999999999"/>
    <n v="2.2000000000000002"/>
    <n v="30"/>
    <m/>
    <n v="102.69999999999999"/>
    <s v="1255.9600000000003"/>
    <m/>
    <m/>
    <m/>
    <n v="0"/>
    <n v="0"/>
    <m/>
    <m/>
    <m/>
    <m/>
    <m/>
    <m/>
    <m/>
    <m/>
    <n v="0"/>
    <n v="0"/>
    <n v="0"/>
    <n v="12"/>
    <n v="12"/>
    <m/>
    <m/>
    <n v="0"/>
    <n v="107.7"/>
    <m/>
    <x v="8"/>
    <m/>
    <m/>
    <m/>
    <m/>
  </r>
  <r>
    <x v="0"/>
    <x v="1"/>
    <s v="4/5"/>
    <x v="115"/>
    <s v="سٹاک"/>
    <s v="PP"/>
    <n v="4"/>
    <s v="5-5.5"/>
    <s v="PP"/>
    <n v="500"/>
    <s v="PP"/>
    <n v="14"/>
    <n v="157.19000000000003"/>
    <n v="5.6000000000000005"/>
    <m/>
    <m/>
    <n v="151.59000000000003"/>
    <s v="671.62"/>
    <m/>
    <m/>
    <m/>
    <n v="0"/>
    <n v="0"/>
    <m/>
    <m/>
    <m/>
    <m/>
    <m/>
    <m/>
    <m/>
    <m/>
    <n v="0"/>
    <n v="0"/>
    <n v="0"/>
    <n v="12"/>
    <n v="12"/>
    <m/>
    <m/>
    <n v="0"/>
    <n v="156.59000000000003"/>
    <m/>
    <x v="8"/>
    <m/>
    <m/>
    <m/>
    <m/>
  </r>
  <r>
    <x v="1"/>
    <x v="1"/>
    <s v="4/5"/>
    <x v="115"/>
    <s v="سٹاک"/>
    <s v="PP"/>
    <n v="4"/>
    <s v="5-5.5"/>
    <s v="PP"/>
    <n v="500"/>
    <s v="PP"/>
    <n v="5"/>
    <n v="73.72999999999999"/>
    <n v="2"/>
    <m/>
    <m/>
    <n v="71.72999999999999"/>
    <s v="671.62"/>
    <m/>
    <m/>
    <m/>
    <n v="0"/>
    <n v="0"/>
    <m/>
    <m/>
    <m/>
    <m/>
    <m/>
    <m/>
    <m/>
    <m/>
    <n v="0"/>
    <n v="0"/>
    <n v="0"/>
    <n v="12"/>
    <n v="12"/>
    <m/>
    <m/>
    <n v="0"/>
    <n v="76.72999999999999"/>
    <m/>
    <x v="8"/>
    <m/>
    <m/>
    <m/>
    <m/>
  </r>
  <r>
    <x v="1"/>
    <x v="1"/>
    <s v="3/2"/>
    <x v="115"/>
    <s v="سٹاک"/>
    <s v="PP"/>
    <n v="3"/>
    <s v="5.5-6"/>
    <s v="PP"/>
    <n v="400"/>
    <s v="PP"/>
    <n v="11"/>
    <n v="69.77000000000001"/>
    <n v="1.7999999999999998"/>
    <m/>
    <m/>
    <n v="67.970000000000013"/>
    <s v="537.90000000000009"/>
    <m/>
    <m/>
    <m/>
    <n v="0"/>
    <n v="0"/>
    <m/>
    <m/>
    <m/>
    <m/>
    <m/>
    <m/>
    <m/>
    <m/>
    <n v="0"/>
    <n v="0"/>
    <n v="0"/>
    <n v="12"/>
    <n v="12"/>
    <m/>
    <m/>
    <n v="0"/>
    <n v="72.970000000000013"/>
    <m/>
    <x v="8"/>
    <m/>
    <m/>
    <m/>
    <m/>
  </r>
  <r>
    <x v="0"/>
    <x v="2"/>
    <s v="6/5"/>
    <x v="115"/>
    <s v="سٹاک"/>
    <s v="PP"/>
    <n v="6"/>
    <n v="5"/>
    <s v="PP"/>
    <n v="1000"/>
    <s v="PP"/>
    <n v="11"/>
    <n v="308.62"/>
    <n v="8.8000000000000007"/>
    <m/>
    <m/>
    <n v="299.82"/>
    <s v="1363.8100000000002"/>
    <m/>
    <m/>
    <m/>
    <n v="0"/>
    <n v="0"/>
    <m/>
    <m/>
    <m/>
    <m/>
    <m/>
    <m/>
    <m/>
    <m/>
    <n v="0"/>
    <n v="0"/>
    <n v="0"/>
    <n v="12"/>
    <n v="12"/>
    <m/>
    <m/>
    <n v="0"/>
    <n v="306.82"/>
    <m/>
    <x v="8"/>
    <m/>
    <m/>
    <m/>
    <m/>
  </r>
  <r>
    <x v="1"/>
    <x v="2"/>
    <s v="6/5"/>
    <x v="115"/>
    <s v="سٹاک"/>
    <s v="PP"/>
    <n v="6"/>
    <n v="5"/>
    <s v="PP"/>
    <n v="1000"/>
    <s v="PP"/>
    <n v="12"/>
    <n v="317.38000000000005"/>
    <n v="9.6000000000000014"/>
    <m/>
    <m/>
    <n v="307.78000000000003"/>
    <s v="1363.8100000000002"/>
    <m/>
    <m/>
    <m/>
    <n v="0"/>
    <n v="0"/>
    <m/>
    <m/>
    <m/>
    <m/>
    <m/>
    <m/>
    <m/>
    <m/>
    <n v="0"/>
    <n v="0"/>
    <n v="0"/>
    <n v="12"/>
    <n v="12"/>
    <m/>
    <m/>
    <n v="0"/>
    <n v="314.78000000000003"/>
    <m/>
    <x v="8"/>
    <m/>
    <m/>
    <m/>
    <m/>
  </r>
  <r>
    <x v="0"/>
    <x v="3"/>
    <s v="2801/1"/>
    <x v="115"/>
    <s v="REFLECT PACK"/>
    <s v="PP"/>
    <n v="17"/>
    <s v="5.5-6"/>
    <s v="PP"/>
    <n v="5000"/>
    <s v="PP"/>
    <n v="15"/>
    <n v="812.62000000000023"/>
    <n v="30.749999999999996"/>
    <m/>
    <m/>
    <n v="781.87000000000023"/>
    <s v="5225.78"/>
    <m/>
    <m/>
    <m/>
    <n v="0"/>
    <n v="0"/>
    <m/>
    <m/>
    <m/>
    <m/>
    <m/>
    <m/>
    <m/>
    <m/>
    <n v="0"/>
    <n v="0"/>
    <n v="0"/>
    <n v="12"/>
    <n v="12"/>
    <m/>
    <m/>
    <n v="0"/>
    <n v="788.87000000000012"/>
    <m/>
    <x v="8"/>
    <m/>
    <m/>
    <m/>
    <m/>
  </r>
  <r>
    <x v="1"/>
    <x v="3"/>
    <s v="2801/1"/>
    <x v="115"/>
    <s v="REFLECT PACK"/>
    <s v="PP"/>
    <n v="17"/>
    <s v="5.5-6"/>
    <s v="PP"/>
    <n v="5000"/>
    <s v="PP"/>
    <n v="14"/>
    <n v="772.22"/>
    <n v="30.749999999999996"/>
    <m/>
    <m/>
    <n v="741.47"/>
    <s v="5225.78"/>
    <m/>
    <m/>
    <m/>
    <n v="0"/>
    <n v="0"/>
    <m/>
    <m/>
    <m/>
    <m/>
    <m/>
    <m/>
    <m/>
    <m/>
    <n v="0"/>
    <n v="0"/>
    <n v="0"/>
    <n v="12"/>
    <n v="12"/>
    <m/>
    <m/>
    <n v="0"/>
    <n v="748.47"/>
    <m/>
    <x v="8"/>
    <m/>
    <m/>
    <m/>
    <m/>
  </r>
  <r>
    <x v="0"/>
    <x v="4"/>
    <s v="12/5"/>
    <x v="115"/>
    <s v="سٹاک"/>
    <s v="PP"/>
    <n v="12"/>
    <n v="5"/>
    <s v="PP"/>
    <n v="500"/>
    <s v="PP"/>
    <n v="6"/>
    <n v="307.51"/>
    <n v="7.1999999999999993"/>
    <m/>
    <m/>
    <n v="300.31"/>
    <s v="1019.7800000000001"/>
    <n v="30"/>
    <m/>
    <m/>
    <n v="30"/>
    <n v="0.5"/>
    <m/>
    <m/>
    <m/>
    <m/>
    <m/>
    <m/>
    <m/>
    <m/>
    <n v="0"/>
    <n v="0"/>
    <n v="0.5"/>
    <n v="11.5"/>
    <n v="12"/>
    <m/>
    <m/>
    <n v="0"/>
    <n v="307.31"/>
    <m/>
    <x v="8"/>
    <m/>
    <m/>
    <m/>
    <m/>
  </r>
  <r>
    <x v="0"/>
    <x v="4"/>
    <s v="7366/2"/>
    <x v="115"/>
    <s v="شمائل پلاسٹک بھکر"/>
    <s v="PP"/>
    <s v="12"/>
    <n v="4.5"/>
    <s v="PP"/>
    <n v="100"/>
    <s v="PP"/>
    <n v="4"/>
    <n v="109.61"/>
    <n v="4.8"/>
    <m/>
    <m/>
    <n v="104.81"/>
    <s v="104.81"/>
    <m/>
    <m/>
    <m/>
    <n v="0"/>
    <n v="0"/>
    <m/>
    <m/>
    <m/>
    <m/>
    <m/>
    <m/>
    <m/>
    <m/>
    <n v="0"/>
    <n v="0"/>
    <n v="0"/>
    <n v="12"/>
    <n v="12"/>
    <m/>
    <m/>
    <n v="0"/>
    <n v="111.81"/>
    <m/>
    <x v="8"/>
    <m/>
    <m/>
    <m/>
    <m/>
  </r>
  <r>
    <x v="0"/>
    <x v="4"/>
    <s v="7373/1"/>
    <x v="115"/>
    <s v="ہیڈافس لاہور"/>
    <s v="PP"/>
    <s v="11"/>
    <n v="7"/>
    <s v="PP"/>
    <n v="125"/>
    <s v="PP"/>
    <n v="3"/>
    <n v="128.63"/>
    <n v="3.3000000000000003"/>
    <m/>
    <m/>
    <n v="125.33"/>
    <s v="240.33"/>
    <m/>
    <m/>
    <m/>
    <n v="0"/>
    <n v="0"/>
    <m/>
    <m/>
    <m/>
    <m/>
    <m/>
    <m/>
    <m/>
    <m/>
    <n v="0"/>
    <n v="0"/>
    <n v="0"/>
    <n v="12"/>
    <n v="12"/>
    <m/>
    <m/>
    <n v="0"/>
    <n v="132.32999999999998"/>
    <m/>
    <x v="8"/>
    <m/>
    <m/>
    <m/>
    <m/>
  </r>
  <r>
    <x v="1"/>
    <x v="4"/>
    <s v="7373/1"/>
    <x v="115"/>
    <s v="ہیڈافس لاہور"/>
    <s v="PP"/>
    <s v="11"/>
    <n v="7"/>
    <s v="PP"/>
    <n v="125"/>
    <s v="PP"/>
    <n v="3"/>
    <n v="118.30000000000001"/>
    <n v="3.3000000000000003"/>
    <m/>
    <m/>
    <n v="115.00000000000001"/>
    <s v="240.33"/>
    <m/>
    <m/>
    <m/>
    <n v="0"/>
    <n v="0"/>
    <m/>
    <m/>
    <m/>
    <m/>
    <m/>
    <m/>
    <m/>
    <m/>
    <n v="0"/>
    <n v="0"/>
    <n v="0"/>
    <n v="12"/>
    <n v="12"/>
    <m/>
    <m/>
    <n v="0"/>
    <n v="122"/>
    <m/>
    <x v="8"/>
    <m/>
    <m/>
    <m/>
    <m/>
  </r>
  <r>
    <x v="1"/>
    <x v="4"/>
    <s v="7377/2"/>
    <x v="115"/>
    <s v="ہیڈافس لاہور"/>
    <s v="PP"/>
    <s v="15"/>
    <n v="7"/>
    <s v="PP"/>
    <n v="375"/>
    <s v="PP"/>
    <n v="8"/>
    <n v="400.35999999999996"/>
    <n v="12"/>
    <m/>
    <m/>
    <n v="388.35999999999996"/>
    <s v="809.8599999999999"/>
    <m/>
    <m/>
    <m/>
    <n v="0"/>
    <n v="0"/>
    <m/>
    <m/>
    <m/>
    <m/>
    <m/>
    <m/>
    <m/>
    <m/>
    <n v="0"/>
    <n v="0"/>
    <n v="0"/>
    <n v="12"/>
    <n v="12"/>
    <m/>
    <m/>
    <n v="0"/>
    <n v="395.36"/>
    <m/>
    <x v="8"/>
    <m/>
    <m/>
    <m/>
    <m/>
  </r>
  <r>
    <x v="0"/>
    <x v="0"/>
    <s v="2.5/3"/>
    <x v="116"/>
    <s v="سٹاک"/>
    <s v="PP"/>
    <n v="2.5"/>
    <s v="5.5-6"/>
    <s v="PP"/>
    <n v="1000"/>
    <s v="PP"/>
    <n v="13"/>
    <n v="127"/>
    <n v="2.6"/>
    <n v="39"/>
    <n v="175"/>
    <n v="124.4"/>
    <s v="1255.9600000000003"/>
    <m/>
    <m/>
    <m/>
    <n v="0"/>
    <n v="0"/>
    <m/>
    <m/>
    <m/>
    <m/>
    <m/>
    <m/>
    <m/>
    <m/>
    <n v="0"/>
    <n v="0"/>
    <n v="0"/>
    <n v="12"/>
    <n v="12"/>
    <m/>
    <n v="2141.5"/>
    <n v="0"/>
    <n v="129.4"/>
    <n v="398"/>
    <x v="8"/>
    <m/>
    <m/>
    <m/>
    <m/>
  </r>
  <r>
    <x v="1"/>
    <x v="0"/>
    <s v="2.5/3"/>
    <x v="116"/>
    <s v="سٹاک"/>
    <s v="PP"/>
    <n v="2.5"/>
    <s v="5.5-6"/>
    <s v="PP"/>
    <n v="1000"/>
    <s v="PP"/>
    <n v="7"/>
    <n v="75.91"/>
    <n v="1.4000000000000001"/>
    <n v="49"/>
    <m/>
    <n v="74.509999999999991"/>
    <s v="1255.9600000000003"/>
    <n v="15"/>
    <m/>
    <m/>
    <n v="15"/>
    <n v="0.25"/>
    <m/>
    <m/>
    <m/>
    <m/>
    <m/>
    <m/>
    <m/>
    <m/>
    <n v="0"/>
    <n v="0"/>
    <n v="0.25"/>
    <n v="11.75"/>
    <n v="12"/>
    <m/>
    <m/>
    <n v="0"/>
    <n v="79.509999999999991"/>
    <m/>
    <x v="8"/>
    <m/>
    <m/>
    <m/>
    <m/>
  </r>
  <r>
    <x v="1"/>
    <x v="0"/>
    <s v="2/2"/>
    <x v="116"/>
    <s v="سٹاک"/>
    <s v="PP"/>
    <n v="2"/>
    <s v="5.5-6"/>
    <s v="PP"/>
    <n v="400"/>
    <s v="PP"/>
    <n v="5"/>
    <n v="50.32"/>
    <n v="1"/>
    <m/>
    <m/>
    <n v="49.32"/>
    <s v="488.68"/>
    <m/>
    <m/>
    <m/>
    <n v="0"/>
    <n v="0"/>
    <m/>
    <m/>
    <m/>
    <m/>
    <m/>
    <m/>
    <m/>
    <m/>
    <n v="0"/>
    <n v="0"/>
    <n v="0"/>
    <n v="12"/>
    <n v="12"/>
    <m/>
    <m/>
    <n v="0"/>
    <n v="54.32"/>
    <m/>
    <x v="8"/>
    <m/>
    <m/>
    <m/>
    <m/>
  </r>
  <r>
    <x v="0"/>
    <x v="1"/>
    <s v="3/2"/>
    <x v="116"/>
    <s v="سٹاک"/>
    <s v="PP"/>
    <n v="3"/>
    <s v="5.5-6"/>
    <s v="PP"/>
    <n v="400"/>
    <s v="PP"/>
    <n v="17"/>
    <n v="174.95"/>
    <n v="5.0999999999999996"/>
    <m/>
    <m/>
    <n v="169.85"/>
    <s v="537.90000000000009"/>
    <m/>
    <m/>
    <m/>
    <n v="0"/>
    <n v="0"/>
    <m/>
    <m/>
    <m/>
    <m/>
    <m/>
    <m/>
    <m/>
    <m/>
    <n v="0"/>
    <n v="0"/>
    <n v="0"/>
    <n v="12"/>
    <n v="12"/>
    <m/>
    <m/>
    <n v="0"/>
    <n v="174.85"/>
    <m/>
    <x v="8"/>
    <m/>
    <m/>
    <m/>
    <m/>
  </r>
  <r>
    <x v="1"/>
    <x v="1"/>
    <s v="3/2"/>
    <x v="116"/>
    <s v="سٹاک"/>
    <s v="PP"/>
    <n v="3"/>
    <s v="5.5-6"/>
    <s v="PP"/>
    <n v="400"/>
    <s v="PP"/>
    <n v="14"/>
    <n v="180.92000000000002"/>
    <n v="4.2"/>
    <m/>
    <m/>
    <n v="176.72000000000003"/>
    <s v="537.90000000000009"/>
    <m/>
    <m/>
    <m/>
    <n v="0"/>
    <n v="0"/>
    <m/>
    <m/>
    <m/>
    <m/>
    <m/>
    <m/>
    <m/>
    <m/>
    <n v="0"/>
    <n v="0"/>
    <n v="0"/>
    <n v="12"/>
    <n v="12"/>
    <m/>
    <m/>
    <n v="0"/>
    <n v="181.72000000000003"/>
    <m/>
    <x v="8"/>
    <m/>
    <m/>
    <m/>
    <m/>
  </r>
  <r>
    <x v="0"/>
    <x v="2"/>
    <s v="6/5"/>
    <x v="116"/>
    <s v="سٹاک"/>
    <s v="PP"/>
    <n v="6"/>
    <n v="5"/>
    <s v="PP"/>
    <n v="1000"/>
    <s v="PP"/>
    <n v="10"/>
    <n v="283.62"/>
    <n v="8"/>
    <m/>
    <m/>
    <n v="275.62"/>
    <s v="1363.8100000000002"/>
    <m/>
    <m/>
    <m/>
    <n v="0"/>
    <n v="0"/>
    <m/>
    <m/>
    <m/>
    <m/>
    <m/>
    <m/>
    <m/>
    <m/>
    <n v="0"/>
    <n v="0"/>
    <n v="0"/>
    <n v="12"/>
    <n v="12"/>
    <m/>
    <m/>
    <n v="0"/>
    <n v="282.62"/>
    <m/>
    <x v="8"/>
    <m/>
    <m/>
    <m/>
    <m/>
  </r>
  <r>
    <x v="1"/>
    <x v="2"/>
    <s v="7380/1"/>
    <x v="116"/>
    <s v="ایم دین پنڈی"/>
    <s v="PP"/>
    <s v="7"/>
    <s v="14-15"/>
    <s v="PP"/>
    <n v="900"/>
    <s v="PP"/>
    <n v="11"/>
    <n v="266.17999999999995"/>
    <n v="7.6999999999999993"/>
    <m/>
    <m/>
    <n v="258.47999999999996"/>
    <s v="947.50000000000011"/>
    <n v="20"/>
    <m/>
    <m/>
    <n v="20"/>
    <n v="0.33333333333333331"/>
    <m/>
    <m/>
    <m/>
    <m/>
    <m/>
    <m/>
    <m/>
    <m/>
    <n v="0"/>
    <n v="0"/>
    <n v="0.33333333333333331"/>
    <n v="11.666666666666666"/>
    <n v="12"/>
    <m/>
    <m/>
    <n v="0"/>
    <n v="265.47999999999996"/>
    <m/>
    <x v="8"/>
    <m/>
    <m/>
    <m/>
    <m/>
  </r>
  <r>
    <x v="1"/>
    <x v="2"/>
    <s v="6/5"/>
    <x v="116"/>
    <s v="سٹاک"/>
    <s v="PP"/>
    <n v="6"/>
    <n v="5"/>
    <s v="PP"/>
    <n v="1000"/>
    <s v="PP"/>
    <n v="1"/>
    <n v="19.39"/>
    <n v="0.6"/>
    <m/>
    <m/>
    <n v="18.79"/>
    <s v="1363.8100000000002"/>
    <m/>
    <m/>
    <m/>
    <n v="0"/>
    <n v="0"/>
    <m/>
    <m/>
    <m/>
    <m/>
    <m/>
    <m/>
    <m/>
    <m/>
    <n v="0"/>
    <n v="0"/>
    <n v="0"/>
    <n v="12"/>
    <n v="12"/>
    <m/>
    <m/>
    <n v="0"/>
    <n v="25.79"/>
    <m/>
    <x v="8"/>
    <m/>
    <m/>
    <m/>
    <m/>
  </r>
  <r>
    <x v="0"/>
    <x v="3"/>
    <s v="2801/1"/>
    <x v="116"/>
    <s v="REFLECT PACK"/>
    <s v="PP"/>
    <n v="17"/>
    <s v="5.5-6"/>
    <s v="PP"/>
    <n v="5000"/>
    <s v="PP"/>
    <n v="3"/>
    <n v="169.82"/>
    <n v="2.0999999999999996"/>
    <m/>
    <m/>
    <n v="167.72"/>
    <s v="5225.78"/>
    <m/>
    <m/>
    <m/>
    <n v="0"/>
    <n v="0"/>
    <m/>
    <m/>
    <m/>
    <m/>
    <m/>
    <m/>
    <m/>
    <m/>
    <n v="0"/>
    <n v="0"/>
    <n v="0"/>
    <n v="12"/>
    <n v="12"/>
    <m/>
    <m/>
    <n v="0"/>
    <n v="174.72"/>
    <m/>
    <x v="8"/>
    <m/>
    <m/>
    <m/>
    <m/>
  </r>
  <r>
    <x v="0"/>
    <x v="3"/>
    <s v="7377/3"/>
    <x v="116"/>
    <s v="ہیڈافس لاہور"/>
    <s v="PP"/>
    <s v="17"/>
    <n v="7"/>
    <s v="PP"/>
    <n v="375"/>
    <s v="PP"/>
    <n v="12"/>
    <n v="683.52"/>
    <n v="24.599999999999998"/>
    <m/>
    <m/>
    <n v="658.92"/>
    <s v="931"/>
    <m/>
    <m/>
    <m/>
    <n v="0"/>
    <n v="0"/>
    <m/>
    <m/>
    <m/>
    <m/>
    <m/>
    <m/>
    <m/>
    <m/>
    <n v="0"/>
    <n v="0"/>
    <n v="0"/>
    <n v="12"/>
    <n v="12"/>
    <m/>
    <m/>
    <n v="0"/>
    <n v="665.92"/>
    <m/>
    <x v="8"/>
    <m/>
    <m/>
    <m/>
    <m/>
  </r>
  <r>
    <x v="1"/>
    <x v="3"/>
    <s v="7377/3"/>
    <x v="116"/>
    <s v="ہیڈافس لاہور"/>
    <s v="PP"/>
    <s v="17"/>
    <n v="7"/>
    <s v="PP"/>
    <n v="375"/>
    <s v="PP"/>
    <n v="5"/>
    <n v="280.58"/>
    <n v="8.5"/>
    <m/>
    <m/>
    <n v="272.08"/>
    <s v="931"/>
    <n v="8"/>
    <m/>
    <m/>
    <n v="8"/>
    <n v="0.13333333333333333"/>
    <m/>
    <m/>
    <n v="30"/>
    <m/>
    <m/>
    <m/>
    <m/>
    <m/>
    <n v="30"/>
    <n v="0.5"/>
    <n v="0.6333333333333333"/>
    <n v="11.366666666666667"/>
    <n v="12"/>
    <m/>
    <m/>
    <n v="0"/>
    <n v="279.08"/>
    <m/>
    <x v="8"/>
    <m/>
    <m/>
    <m/>
    <m/>
  </r>
  <r>
    <x v="1"/>
    <x v="3"/>
    <s v="4741 J"/>
    <x v="116"/>
    <s v="Paracon Engineering Pvt LTD"/>
    <s v="PP"/>
    <n v="22"/>
    <s v="7-7.5"/>
    <s v="PP"/>
    <n v="200"/>
    <s v="PP"/>
    <n v="7"/>
    <n v="390.64"/>
    <n v="15.400000000000002"/>
    <m/>
    <m/>
    <n v="375.24"/>
    <s v="375.24"/>
    <n v="8"/>
    <m/>
    <m/>
    <n v="8"/>
    <n v="0.13333333333333333"/>
    <m/>
    <m/>
    <m/>
    <m/>
    <m/>
    <m/>
    <m/>
    <m/>
    <n v="0"/>
    <n v="0"/>
    <n v="0.13333333333333333"/>
    <n v="11.866666666666667"/>
    <n v="12"/>
    <m/>
    <m/>
    <n v="0"/>
    <n v="382.24"/>
    <m/>
    <x v="8"/>
    <m/>
    <m/>
    <m/>
    <m/>
  </r>
  <r>
    <x v="1"/>
    <x v="3"/>
    <s v="7376/14"/>
    <x v="116"/>
    <s v="ہیڈافس لاہور"/>
    <s v="PP"/>
    <s v="22"/>
    <n v="4"/>
    <s v="PP"/>
    <n v="50"/>
    <s v="PP"/>
    <n v="1"/>
    <n v="54.88"/>
    <n v="2.2000000000000002"/>
    <m/>
    <m/>
    <n v="52.68"/>
    <s v="52.68"/>
    <m/>
    <m/>
    <m/>
    <n v="0"/>
    <n v="0"/>
    <m/>
    <m/>
    <m/>
    <m/>
    <m/>
    <m/>
    <m/>
    <m/>
    <n v="0"/>
    <n v="0"/>
    <n v="0"/>
    <n v="12"/>
    <n v="12"/>
    <m/>
    <m/>
    <n v="0"/>
    <n v="59.68"/>
    <m/>
    <x v="8"/>
    <m/>
    <m/>
    <m/>
    <m/>
  </r>
  <r>
    <x v="1"/>
    <x v="3"/>
    <s v="4733 J"/>
    <x v="116"/>
    <s v="Chaudhry Milk Sweets and Bakers Jhangh"/>
    <s v="PP"/>
    <n v="26"/>
    <s v="5.5-6"/>
    <s v="PP"/>
    <n v="100"/>
    <s v="PP"/>
    <n v="1"/>
    <n v="35.83"/>
    <n v="2.6"/>
    <m/>
    <m/>
    <n v="33.229999999999997"/>
    <s v="98.44"/>
    <m/>
    <m/>
    <m/>
    <n v="0"/>
    <n v="0"/>
    <m/>
    <m/>
    <m/>
    <m/>
    <m/>
    <m/>
    <m/>
    <m/>
    <n v="0"/>
    <n v="0"/>
    <n v="0"/>
    <n v="12"/>
    <n v="12"/>
    <m/>
    <m/>
    <n v="0"/>
    <n v="40.229999999999997"/>
    <m/>
    <x v="8"/>
    <m/>
    <m/>
    <m/>
    <m/>
  </r>
  <r>
    <x v="0"/>
    <x v="4"/>
    <s v="7377/2"/>
    <x v="116"/>
    <s v="ہیڈافس لاہور"/>
    <s v="PP"/>
    <s v="15"/>
    <n v="7"/>
    <s v="PP"/>
    <n v="375"/>
    <s v="PP"/>
    <n v="8"/>
    <n v="433.5"/>
    <n v="12"/>
    <m/>
    <m/>
    <n v="421.5"/>
    <s v="809.8599999999999"/>
    <m/>
    <m/>
    <m/>
    <n v="0"/>
    <n v="0"/>
    <m/>
    <m/>
    <n v="50"/>
    <m/>
    <m/>
    <m/>
    <n v="40"/>
    <m/>
    <n v="90"/>
    <n v="1.5"/>
    <n v="1.5"/>
    <n v="10.5"/>
    <n v="12"/>
    <m/>
    <m/>
    <n v="0"/>
    <n v="428.5"/>
    <m/>
    <x v="8"/>
    <m/>
    <m/>
    <m/>
    <m/>
  </r>
  <r>
    <x v="0"/>
    <x v="4"/>
    <s v="7377/6"/>
    <x v="116"/>
    <s v="ہیڈافس لاہور"/>
    <s v="PP"/>
    <s v="19"/>
    <n v="7"/>
    <s v="PP"/>
    <n v="250"/>
    <s v="PP"/>
    <n v="1"/>
    <n v="25.1"/>
    <n v="2.35"/>
    <m/>
    <m/>
    <n v="22.75"/>
    <s v="430.33"/>
    <m/>
    <m/>
    <m/>
    <n v="0"/>
    <n v="0"/>
    <m/>
    <m/>
    <m/>
    <m/>
    <m/>
    <m/>
    <m/>
    <m/>
    <n v="0"/>
    <n v="0"/>
    <n v="0"/>
    <n v="12"/>
    <n v="12"/>
    <m/>
    <m/>
    <n v="0"/>
    <n v="29.75"/>
    <m/>
    <x v="8"/>
    <m/>
    <m/>
    <m/>
    <m/>
  </r>
  <r>
    <x v="0"/>
    <x v="4"/>
    <s v="7373/4"/>
    <x v="116"/>
    <s v="ہیڈافس لاہور"/>
    <s v="PP"/>
    <s v="13"/>
    <n v="7"/>
    <s v="PP"/>
    <n v="250"/>
    <s v="PP"/>
    <n v="3"/>
    <n v="158.21"/>
    <n v="3.9000000000000004"/>
    <m/>
    <m/>
    <n v="154.31"/>
    <s v="410.36"/>
    <m/>
    <m/>
    <m/>
    <n v="0"/>
    <n v="0"/>
    <m/>
    <m/>
    <m/>
    <m/>
    <m/>
    <m/>
    <m/>
    <m/>
    <n v="0"/>
    <n v="0"/>
    <n v="0"/>
    <n v="12"/>
    <n v="12"/>
    <m/>
    <m/>
    <n v="0"/>
    <n v="161.31"/>
    <m/>
    <x v="8"/>
    <m/>
    <m/>
    <m/>
    <m/>
  </r>
  <r>
    <x v="0"/>
    <x v="4"/>
    <s v="18/4"/>
    <x v="116"/>
    <s v="سٹاک"/>
    <s v="PP"/>
    <n v="18"/>
    <n v="5"/>
    <s v="PP"/>
    <n v="500"/>
    <s v="PP"/>
    <n v="1"/>
    <n v="12.12"/>
    <n v="2.2000000000000002"/>
    <m/>
    <m/>
    <n v="9.9199999999999982"/>
    <s v="1113.1999999999998"/>
    <m/>
    <m/>
    <m/>
    <n v="0"/>
    <n v="0"/>
    <m/>
    <m/>
    <m/>
    <m/>
    <m/>
    <m/>
    <m/>
    <m/>
    <n v="0"/>
    <n v="0"/>
    <n v="0"/>
    <n v="12"/>
    <n v="12"/>
    <m/>
    <m/>
    <n v="0"/>
    <n v="16.919999999999998"/>
    <m/>
    <x v="8"/>
    <m/>
    <m/>
    <m/>
    <m/>
  </r>
  <r>
    <x v="1"/>
    <x v="4"/>
    <s v="7373/4"/>
    <x v="116"/>
    <s v="ہیڈافس لاہور"/>
    <s v="PP"/>
    <s v="13"/>
    <n v="7"/>
    <s v="PP"/>
    <n v="250"/>
    <s v="PP"/>
    <n v="5"/>
    <n v="262.55"/>
    <n v="6.5"/>
    <m/>
    <m/>
    <n v="256.05"/>
    <s v="410.36"/>
    <n v="50"/>
    <m/>
    <m/>
    <n v="50"/>
    <n v="0.83333333333333348"/>
    <m/>
    <m/>
    <m/>
    <m/>
    <m/>
    <m/>
    <m/>
    <m/>
    <n v="0"/>
    <n v="0"/>
    <n v="0.83333333333333348"/>
    <n v="11.166666666666666"/>
    <n v="12"/>
    <m/>
    <m/>
    <n v="0"/>
    <n v="263.05"/>
    <m/>
    <x v="8"/>
    <m/>
    <m/>
    <m/>
    <m/>
  </r>
  <r>
    <x v="1"/>
    <x v="4"/>
    <s v="2801/1"/>
    <x v="116"/>
    <s v="REFLECT PACK"/>
    <s v="PP"/>
    <n v="17"/>
    <s v="5.5-6"/>
    <s v="PP"/>
    <n v="5000"/>
    <s v="PP"/>
    <n v="3"/>
    <n v="131.88"/>
    <n v="5.0999999999999996"/>
    <m/>
    <m/>
    <n v="126.78"/>
    <s v="5225.78"/>
    <m/>
    <m/>
    <m/>
    <n v="0"/>
    <n v="0"/>
    <m/>
    <m/>
    <m/>
    <m/>
    <m/>
    <m/>
    <m/>
    <m/>
    <n v="0"/>
    <n v="0"/>
    <n v="0"/>
    <n v="12"/>
    <n v="12"/>
    <m/>
    <m/>
    <n v="0"/>
    <n v="133.78"/>
    <m/>
    <x v="8"/>
    <m/>
    <m/>
    <m/>
    <m/>
  </r>
  <r>
    <x v="1"/>
    <x v="4"/>
    <s v="7369/1"/>
    <x v="116"/>
    <s v="قاری اشرف گجرات"/>
    <s v="PP"/>
    <s v="14"/>
    <n v="13"/>
    <s v="PP"/>
    <n v="100"/>
    <s v="PP"/>
    <n v="4"/>
    <n v="119"/>
    <n v="5.6"/>
    <m/>
    <m/>
    <n v="113.4"/>
    <s v="113.4"/>
    <m/>
    <m/>
    <m/>
    <n v="0"/>
    <n v="0"/>
    <m/>
    <m/>
    <m/>
    <m/>
    <m/>
    <m/>
    <m/>
    <m/>
    <n v="0"/>
    <n v="0"/>
    <n v="0"/>
    <n v="12"/>
    <n v="12"/>
    <m/>
    <m/>
    <n v="0"/>
    <n v="120.4"/>
    <m/>
    <x v="8"/>
    <m/>
    <m/>
    <m/>
    <m/>
  </r>
  <r>
    <x v="0"/>
    <x v="0"/>
    <s v="2/2"/>
    <x v="117"/>
    <s v="سٹاک"/>
    <s v="PP"/>
    <n v="2"/>
    <s v="5.5-6"/>
    <s v="PP"/>
    <n v="400"/>
    <s v="PP"/>
    <n v="12"/>
    <n v="110.4"/>
    <n v="2.4000000000000004"/>
    <n v="33.5"/>
    <n v="81"/>
    <n v="108"/>
    <s v="488.68"/>
    <m/>
    <m/>
    <m/>
    <n v="0"/>
    <n v="0"/>
    <m/>
    <m/>
    <m/>
    <m/>
    <m/>
    <m/>
    <m/>
    <m/>
    <n v="0"/>
    <n v="0"/>
    <n v="0"/>
    <n v="12"/>
    <n v="12"/>
    <m/>
    <n v="2009"/>
    <n v="0"/>
    <n v="113"/>
    <n v="398"/>
    <x v="8"/>
    <m/>
    <m/>
    <m/>
    <m/>
  </r>
  <r>
    <x v="1"/>
    <x v="0"/>
    <s v="2/2"/>
    <x v="117"/>
    <s v="سٹاک"/>
    <s v="PP"/>
    <n v="2"/>
    <s v="5.5-6"/>
    <s v="PP"/>
    <n v="400"/>
    <s v="PP"/>
    <n v="12"/>
    <n v="124.26"/>
    <n v="2.4000000000000004"/>
    <n v="27.5"/>
    <m/>
    <n v="121.86"/>
    <s v="488.68"/>
    <m/>
    <m/>
    <m/>
    <n v="0"/>
    <n v="0"/>
    <m/>
    <m/>
    <m/>
    <m/>
    <m/>
    <m/>
    <m/>
    <m/>
    <n v="0"/>
    <n v="0"/>
    <n v="0"/>
    <n v="12"/>
    <n v="12"/>
    <m/>
    <m/>
    <n v="0"/>
    <n v="126.86"/>
    <m/>
    <x v="8"/>
    <m/>
    <m/>
    <m/>
    <m/>
  </r>
  <r>
    <x v="0"/>
    <x v="1"/>
    <s v="3/2"/>
    <x v="117"/>
    <s v="سٹاک"/>
    <s v="PP"/>
    <n v="3"/>
    <s v="5.5-6"/>
    <s v="PP"/>
    <n v="400"/>
    <s v="PP"/>
    <n v="12"/>
    <n v="126.96000000000001"/>
    <n v="3.5999999999999996"/>
    <m/>
    <m/>
    <n v="123.36000000000001"/>
    <s v="537.90000000000009"/>
    <m/>
    <m/>
    <m/>
    <n v="0"/>
    <n v="0"/>
    <m/>
    <m/>
    <m/>
    <m/>
    <m/>
    <m/>
    <m/>
    <m/>
    <n v="0"/>
    <n v="0"/>
    <n v="0"/>
    <n v="12"/>
    <n v="12"/>
    <m/>
    <m/>
    <n v="0"/>
    <n v="128.36000000000001"/>
    <m/>
    <x v="8"/>
    <m/>
    <m/>
    <m/>
    <m/>
  </r>
  <r>
    <x v="0"/>
    <x v="2"/>
    <s v="7380/1"/>
    <x v="117"/>
    <s v="ایم دین پنڈی"/>
    <s v="PP"/>
    <s v="7"/>
    <s v="14-15"/>
    <s v="PP"/>
    <n v="900"/>
    <s v="PP"/>
    <n v="11"/>
    <n v="293.74"/>
    <n v="11"/>
    <m/>
    <m/>
    <n v="282.74"/>
    <s v="947.50000000000011"/>
    <m/>
    <m/>
    <m/>
    <n v="0"/>
    <n v="0"/>
    <m/>
    <m/>
    <m/>
    <m/>
    <m/>
    <m/>
    <m/>
    <m/>
    <n v="0"/>
    <n v="0"/>
    <n v="0"/>
    <n v="12"/>
    <n v="12"/>
    <m/>
    <m/>
    <n v="0"/>
    <n v="289.74"/>
    <m/>
    <x v="8"/>
    <m/>
    <m/>
    <m/>
    <m/>
  </r>
  <r>
    <x v="1"/>
    <x v="2"/>
    <s v="7380/1"/>
    <x v="117"/>
    <s v="ایم دین پنڈی"/>
    <s v="PP"/>
    <s v="7"/>
    <s v="14-15"/>
    <s v="PP"/>
    <n v="900"/>
    <s v="PP"/>
    <n v="12"/>
    <n v="297.95999999999998"/>
    <n v="11"/>
    <m/>
    <m/>
    <n v="286.95999999999998"/>
    <s v="947.50000000000011"/>
    <m/>
    <m/>
    <m/>
    <n v="0"/>
    <n v="0"/>
    <m/>
    <m/>
    <m/>
    <m/>
    <m/>
    <m/>
    <m/>
    <m/>
    <n v="0"/>
    <n v="0"/>
    <n v="0"/>
    <n v="12"/>
    <n v="12"/>
    <m/>
    <m/>
    <n v="0"/>
    <n v="293.95999999999998"/>
    <m/>
    <x v="8"/>
    <m/>
    <m/>
    <m/>
    <m/>
  </r>
  <r>
    <x v="0"/>
    <x v="3"/>
    <s v="4733 J"/>
    <x v="117"/>
    <s v="Chaudhry Milk Sweets and Bakers Jhangh"/>
    <s v="PP"/>
    <n v="26"/>
    <s v="5.5-6"/>
    <s v="PP"/>
    <n v="100"/>
    <s v="PP"/>
    <n v="1"/>
    <n v="68.41"/>
    <n v="3.2"/>
    <m/>
    <m/>
    <n v="65.209999999999994"/>
    <s v="98.44"/>
    <n v="20"/>
    <m/>
    <m/>
    <n v="20"/>
    <n v="0.33333333333333331"/>
    <m/>
    <m/>
    <m/>
    <m/>
    <m/>
    <m/>
    <m/>
    <m/>
    <n v="0"/>
    <n v="0"/>
    <n v="0.33333333333333331"/>
    <n v="11.666666666666666"/>
    <n v="12"/>
    <m/>
    <m/>
    <n v="0"/>
    <n v="72.209999999999994"/>
    <m/>
    <x v="8"/>
    <m/>
    <m/>
    <m/>
    <m/>
  </r>
  <r>
    <x v="0"/>
    <x v="3"/>
    <s v="18/4"/>
    <x v="117"/>
    <s v="سٹاک"/>
    <s v="PP"/>
    <n v="18"/>
    <n v="5"/>
    <s v="PP"/>
    <n v="500"/>
    <s v="PP"/>
    <n v="8"/>
    <n v="504.66999999999996"/>
    <n v="16.25"/>
    <m/>
    <m/>
    <n v="488.41999999999996"/>
    <s v="1113.1999999999998"/>
    <n v="20"/>
    <m/>
    <m/>
    <n v="20"/>
    <n v="0.33333333333333331"/>
    <m/>
    <m/>
    <m/>
    <m/>
    <m/>
    <m/>
    <m/>
    <m/>
    <n v="0"/>
    <n v="0"/>
    <n v="0.33333333333333331"/>
    <n v="11.666666666666666"/>
    <n v="12"/>
    <m/>
    <m/>
    <n v="0"/>
    <n v="495.42"/>
    <m/>
    <x v="8"/>
    <m/>
    <m/>
    <m/>
    <m/>
  </r>
  <r>
    <x v="0"/>
    <x v="3"/>
    <s v="7377/6"/>
    <x v="117"/>
    <s v="ہیڈافس لاہور"/>
    <s v="PP"/>
    <s v="19"/>
    <n v="7"/>
    <s v="PP"/>
    <n v="250"/>
    <s v="PP"/>
    <n v="3"/>
    <n v="180.32999999999998"/>
    <n v="6.5"/>
    <m/>
    <m/>
    <n v="173.82999999999998"/>
    <s v="430.33"/>
    <m/>
    <m/>
    <m/>
    <n v="0"/>
    <n v="0"/>
    <m/>
    <m/>
    <m/>
    <m/>
    <m/>
    <m/>
    <m/>
    <m/>
    <n v="0"/>
    <n v="0"/>
    <n v="0"/>
    <n v="12"/>
    <n v="12"/>
    <m/>
    <m/>
    <n v="0"/>
    <n v="180.83"/>
    <m/>
    <x v="8"/>
    <m/>
    <m/>
    <m/>
    <m/>
  </r>
  <r>
    <x v="1"/>
    <x v="3"/>
    <s v="7377/6"/>
    <x v="117"/>
    <s v="ہیڈافس لاہور"/>
    <s v="PP"/>
    <s v="19"/>
    <n v="7"/>
    <s v="PP"/>
    <n v="250"/>
    <s v="PP"/>
    <n v="4"/>
    <n v="241.35"/>
    <n v="7.6"/>
    <m/>
    <m/>
    <n v="233.75"/>
    <s v="430.33"/>
    <n v="25"/>
    <m/>
    <m/>
    <n v="25"/>
    <n v="0.41666666666666674"/>
    <m/>
    <m/>
    <m/>
    <m/>
    <m/>
    <m/>
    <m/>
    <n v="30"/>
    <n v="30"/>
    <n v="0.5"/>
    <n v="0.91666666666666674"/>
    <n v="11.083333333333334"/>
    <n v="12"/>
    <m/>
    <m/>
    <n v="0"/>
    <n v="240.75"/>
    <m/>
    <x v="8"/>
    <m/>
    <m/>
    <m/>
    <m/>
  </r>
  <r>
    <x v="1"/>
    <x v="3"/>
    <s v="2270 F"/>
    <x v="117"/>
    <s v="Usman Amin"/>
    <s v="PP"/>
    <n v="16.2"/>
    <s v="-"/>
    <s v="PP"/>
    <n v="2000"/>
    <s v="PP"/>
    <n v="10"/>
    <n v="449.63"/>
    <n v="16"/>
    <m/>
    <m/>
    <n v="433.63"/>
    <s v="2102.61"/>
    <m/>
    <m/>
    <m/>
    <n v="0"/>
    <n v="0"/>
    <m/>
    <m/>
    <m/>
    <m/>
    <m/>
    <m/>
    <m/>
    <m/>
    <n v="0"/>
    <n v="0"/>
    <n v="0"/>
    <n v="12"/>
    <n v="12"/>
    <m/>
    <m/>
    <n v="0"/>
    <n v="440.63"/>
    <m/>
    <x v="8"/>
    <m/>
    <m/>
    <m/>
    <m/>
  </r>
  <r>
    <x v="1"/>
    <x v="3"/>
    <s v="16/2"/>
    <x v="117"/>
    <s v="سٹاک"/>
    <s v="PP"/>
    <n v="16"/>
    <n v="5"/>
    <s v="PP"/>
    <n v="500"/>
    <s v="PP"/>
    <n v="1"/>
    <n v="46.21"/>
    <n v="1.6"/>
    <m/>
    <m/>
    <n v="44.61"/>
    <s v="1426.27"/>
    <m/>
    <m/>
    <m/>
    <n v="0"/>
    <n v="0"/>
    <m/>
    <m/>
    <m/>
    <m/>
    <m/>
    <m/>
    <m/>
    <m/>
    <n v="0"/>
    <n v="0"/>
    <n v="0"/>
    <n v="12"/>
    <n v="12"/>
    <m/>
    <m/>
    <n v="0"/>
    <n v="51.61"/>
    <m/>
    <x v="8"/>
    <m/>
    <m/>
    <m/>
    <m/>
  </r>
  <r>
    <x v="0"/>
    <x v="4"/>
    <s v="2801/1"/>
    <x v="117"/>
    <s v="REFLECT PACK"/>
    <s v="PP"/>
    <n v="17"/>
    <s v="5.5-6"/>
    <s v="PP"/>
    <n v="5000"/>
    <s v="PP"/>
    <n v="11"/>
    <n v="645.68999999999994"/>
    <n v="18.7"/>
    <m/>
    <m/>
    <n v="626.9899999999999"/>
    <s v="5225.78"/>
    <m/>
    <m/>
    <m/>
    <n v="0"/>
    <n v="0"/>
    <m/>
    <m/>
    <m/>
    <m/>
    <m/>
    <m/>
    <m/>
    <m/>
    <n v="0"/>
    <n v="0"/>
    <n v="0"/>
    <n v="12"/>
    <n v="12"/>
    <m/>
    <m/>
    <n v="0"/>
    <n v="633.9899999999999"/>
    <m/>
    <x v="8"/>
    <m/>
    <m/>
    <m/>
    <m/>
  </r>
  <r>
    <x v="1"/>
    <x v="4"/>
    <s v="2801/1"/>
    <x v="117"/>
    <s v="REFLECT PACK"/>
    <s v="PP"/>
    <n v="17"/>
    <s v="5.5-6"/>
    <s v="PP"/>
    <n v="5000"/>
    <s v="PP"/>
    <n v="11"/>
    <n v="591.62"/>
    <n v="18.7"/>
    <m/>
    <m/>
    <n v="572.91999999999996"/>
    <s v="5225.78"/>
    <m/>
    <m/>
    <m/>
    <n v="0"/>
    <n v="0"/>
    <m/>
    <n v="25"/>
    <m/>
    <m/>
    <m/>
    <m/>
    <m/>
    <m/>
    <n v="25"/>
    <n v="0.41666666666666674"/>
    <n v="0.41666666666666674"/>
    <n v="11.583333333333334"/>
    <n v="12"/>
    <m/>
    <m/>
    <n v="0"/>
    <n v="579.91999999999996"/>
    <m/>
    <x v="8"/>
    <m/>
    <m/>
    <m/>
    <m/>
  </r>
  <r>
    <x v="0"/>
    <x v="0"/>
    <s v="2/2"/>
    <x v="118"/>
    <s v="سٹاک"/>
    <s v="PP"/>
    <n v="2"/>
    <s v="5.5-6"/>
    <s v="PP"/>
    <n v="400"/>
    <s v="PP"/>
    <n v="13"/>
    <n v="128.71"/>
    <n v="2.6"/>
    <n v="28.5"/>
    <m/>
    <n v="126.11000000000001"/>
    <s v="488.68"/>
    <m/>
    <m/>
    <m/>
    <n v="0"/>
    <n v="0"/>
    <m/>
    <m/>
    <m/>
    <m/>
    <m/>
    <m/>
    <m/>
    <m/>
    <n v="0"/>
    <n v="0"/>
    <n v="0"/>
    <n v="12"/>
    <n v="12"/>
    <m/>
    <n v="1625"/>
    <n v="0"/>
    <n v="131.11000000000001"/>
    <n v="398"/>
    <x v="8"/>
    <m/>
    <m/>
    <m/>
    <m/>
  </r>
  <r>
    <x v="1"/>
    <x v="0"/>
    <s v="2/2"/>
    <x v="118"/>
    <s v="سٹاک"/>
    <s v="PP"/>
    <n v="2"/>
    <s v="5.5-6"/>
    <s v="PP"/>
    <n v="400"/>
    <s v="PP"/>
    <n v="8"/>
    <n v="84.99"/>
    <n v="1.6"/>
    <n v="18.5"/>
    <m/>
    <n v="83.39"/>
    <s v="488.68"/>
    <m/>
    <m/>
    <m/>
    <n v="0"/>
    <n v="0"/>
    <m/>
    <m/>
    <m/>
    <m/>
    <m/>
    <m/>
    <m/>
    <m/>
    <n v="0"/>
    <n v="0"/>
    <n v="0"/>
    <n v="12"/>
    <n v="12"/>
    <m/>
    <m/>
    <n v="0"/>
    <n v="88.39"/>
    <m/>
    <x v="8"/>
    <m/>
    <m/>
    <m/>
    <m/>
  </r>
  <r>
    <x v="0"/>
    <x v="2"/>
    <s v="7380/1"/>
    <x v="118"/>
    <s v="ایم دین پنڈی"/>
    <s v="PP"/>
    <s v="7"/>
    <s v="14-15"/>
    <s v="PP"/>
    <n v="900"/>
    <s v="PP"/>
    <n v="4"/>
    <n v="122.12"/>
    <n v="2.8"/>
    <m/>
    <m/>
    <n v="119.32000000000001"/>
    <s v="947.50000000000011"/>
    <n v="30"/>
    <m/>
    <m/>
    <n v="30"/>
    <n v="0.5"/>
    <m/>
    <m/>
    <m/>
    <m/>
    <m/>
    <m/>
    <m/>
    <m/>
    <n v="0"/>
    <n v="0"/>
    <n v="0.5"/>
    <n v="11.5"/>
    <n v="12"/>
    <m/>
    <m/>
    <n v="0"/>
    <n v="126.32"/>
    <m/>
    <x v="8"/>
    <m/>
    <m/>
    <m/>
    <m/>
  </r>
  <r>
    <x v="0"/>
    <x v="2"/>
    <s v="7380/2"/>
    <x v="118"/>
    <s v="ایم دین پنڈی"/>
    <s v="PP"/>
    <s v="9"/>
    <s v="14-15"/>
    <s v="PP"/>
    <n v="150"/>
    <s v="PP"/>
    <n v="5"/>
    <n v="159.64000000000001"/>
    <n v="4.5"/>
    <m/>
    <m/>
    <n v="155.14000000000001"/>
    <s v="155.14000000000001"/>
    <m/>
    <m/>
    <m/>
    <n v="0"/>
    <n v="0"/>
    <m/>
    <m/>
    <m/>
    <m/>
    <m/>
    <m/>
    <m/>
    <m/>
    <n v="0"/>
    <n v="0"/>
    <n v="0"/>
    <n v="12"/>
    <n v="12"/>
    <m/>
    <m/>
    <n v="0"/>
    <n v="162.13999999999999"/>
    <m/>
    <x v="8"/>
    <m/>
    <m/>
    <m/>
    <m/>
  </r>
  <r>
    <x v="1"/>
    <x v="2"/>
    <s v="6/6"/>
    <x v="118"/>
    <s v="سٹاک"/>
    <s v="PP"/>
    <n v="6"/>
    <n v="5"/>
    <s v="PP"/>
    <n v="1000"/>
    <s v="PP"/>
    <n v="6"/>
    <n v="191.26"/>
    <n v="3.5999999999999996"/>
    <m/>
    <m/>
    <n v="187.66"/>
    <s v="1045.53"/>
    <m/>
    <m/>
    <m/>
    <n v="0"/>
    <n v="0"/>
    <m/>
    <m/>
    <n v="150"/>
    <m/>
    <m/>
    <m/>
    <m/>
    <m/>
    <n v="150"/>
    <n v="2.5"/>
    <n v="2.5"/>
    <n v="9.5"/>
    <n v="12"/>
    <m/>
    <m/>
    <n v="0"/>
    <n v="194.66"/>
    <m/>
    <x v="8"/>
    <m/>
    <m/>
    <m/>
    <m/>
  </r>
  <r>
    <x v="0"/>
    <x v="3"/>
    <s v="2270 F"/>
    <x v="118"/>
    <s v="Usman Amin"/>
    <s v="PP"/>
    <n v="16.2"/>
    <s v="-"/>
    <s v="PP"/>
    <n v="2000"/>
    <s v="PP"/>
    <n v="13"/>
    <n v="691.6"/>
    <n v="24.05"/>
    <m/>
    <m/>
    <n v="667.55000000000007"/>
    <s v="2102.61"/>
    <m/>
    <m/>
    <m/>
    <n v="0"/>
    <n v="0"/>
    <m/>
    <m/>
    <m/>
    <m/>
    <m/>
    <m/>
    <m/>
    <m/>
    <n v="0"/>
    <n v="0"/>
    <n v="0"/>
    <n v="12"/>
    <n v="12"/>
    <m/>
    <m/>
    <n v="0"/>
    <n v="674.55000000000007"/>
    <m/>
    <x v="8"/>
    <m/>
    <m/>
    <m/>
    <m/>
  </r>
  <r>
    <x v="1"/>
    <x v="3"/>
    <s v="2270 F"/>
    <x v="118"/>
    <s v="Usman Amin"/>
    <s v="PP"/>
    <n v="16.2"/>
    <s v="-"/>
    <s v="PP"/>
    <n v="2000"/>
    <s v="PP"/>
    <n v="9"/>
    <n v="504.90000000000009"/>
    <n v="14.4"/>
    <m/>
    <m/>
    <n v="490.50000000000011"/>
    <s v="2102.61"/>
    <m/>
    <m/>
    <m/>
    <n v="0"/>
    <n v="0"/>
    <m/>
    <m/>
    <n v="120"/>
    <m/>
    <m/>
    <m/>
    <m/>
    <m/>
    <n v="120"/>
    <n v="2"/>
    <n v="2"/>
    <n v="10"/>
    <n v="12"/>
    <m/>
    <m/>
    <n v="0"/>
    <n v="497.50000000000006"/>
    <m/>
    <x v="8"/>
    <m/>
    <m/>
    <m/>
    <m/>
  </r>
  <r>
    <x v="0"/>
    <x v="4"/>
    <s v="2801/1"/>
    <x v="118"/>
    <s v="REFLECT PACK"/>
    <s v="PP"/>
    <n v="17"/>
    <s v="5.5-6"/>
    <s v="PP"/>
    <n v="5000"/>
    <s v="PP"/>
    <n v="10"/>
    <n v="589.41000000000008"/>
    <n v="17"/>
    <m/>
    <m/>
    <n v="572.41000000000008"/>
    <s v="5225.78"/>
    <m/>
    <m/>
    <m/>
    <n v="0"/>
    <n v="0"/>
    <m/>
    <m/>
    <m/>
    <m/>
    <m/>
    <m/>
    <m/>
    <m/>
    <n v="0"/>
    <n v="0"/>
    <n v="0"/>
    <n v="12"/>
    <n v="12"/>
    <m/>
    <m/>
    <n v="0"/>
    <n v="579.41000000000008"/>
    <m/>
    <x v="8"/>
    <m/>
    <m/>
    <m/>
    <m/>
  </r>
  <r>
    <x v="1"/>
    <x v="4"/>
    <s v="2801/1"/>
    <x v="118"/>
    <s v="REFLECT PACK"/>
    <s v="PP"/>
    <n v="17"/>
    <s v="5.5-6"/>
    <s v="PP"/>
    <n v="5000"/>
    <s v="PP"/>
    <n v="8"/>
    <n v="448.51"/>
    <n v="13.6"/>
    <m/>
    <m/>
    <n v="434.90999999999997"/>
    <s v="5225.78"/>
    <m/>
    <m/>
    <m/>
    <n v="0"/>
    <n v="0"/>
    <m/>
    <m/>
    <m/>
    <m/>
    <m/>
    <m/>
    <m/>
    <m/>
    <n v="0"/>
    <n v="0"/>
    <n v="0"/>
    <n v="12"/>
    <n v="12"/>
    <m/>
    <m/>
    <n v="0"/>
    <n v="441.91"/>
    <m/>
    <x v="8"/>
    <m/>
    <m/>
    <m/>
    <m/>
  </r>
  <r>
    <x v="2"/>
    <x v="6"/>
    <m/>
    <x v="119"/>
    <s v="ALL MACHINES OFF"/>
    <m/>
    <m/>
    <m/>
    <m/>
    <m/>
    <s v="PP"/>
    <m/>
    <m/>
    <m/>
    <m/>
    <m/>
    <n v="0"/>
    <s v="0"/>
    <m/>
    <m/>
    <m/>
    <m/>
    <m/>
    <m/>
    <m/>
    <m/>
    <m/>
    <m/>
    <m/>
    <m/>
    <m/>
    <m/>
    <m/>
    <m/>
    <m/>
    <m/>
    <m/>
    <n v="88"/>
    <m/>
    <m/>
    <n v="398"/>
    <x v="9"/>
    <m/>
    <m/>
    <m/>
    <m/>
  </r>
  <r>
    <x v="0"/>
    <x v="4"/>
    <s v="2801/1"/>
    <x v="120"/>
    <s v="REFLECT PACK"/>
    <s v="PP"/>
    <n v="17"/>
    <s v="5.5-6"/>
    <s v="PP"/>
    <n v="5000"/>
    <s v="PP"/>
    <n v="7"/>
    <n v="394.5"/>
    <n v="11.9"/>
    <n v="28.5"/>
    <m/>
    <n v="382.6"/>
    <s v="5225.78"/>
    <m/>
    <m/>
    <n v="210"/>
    <n v="210"/>
    <n v="3.5"/>
    <m/>
    <m/>
    <m/>
    <m/>
    <m/>
    <m/>
    <m/>
    <m/>
    <n v="0"/>
    <n v="0"/>
    <n v="3.5"/>
    <n v="8.5"/>
    <n v="12"/>
    <m/>
    <n v="1414"/>
    <n v="0"/>
    <n v="392.6"/>
    <n v="398"/>
    <x v="9"/>
    <m/>
    <m/>
    <m/>
    <m/>
  </r>
  <r>
    <x v="1"/>
    <x v="4"/>
    <s v="2801/1"/>
    <x v="120"/>
    <s v="REFLECT PACK"/>
    <s v="PP"/>
    <n v="17"/>
    <s v="5.5-6"/>
    <s v="PP"/>
    <n v="5000"/>
    <s v="PP"/>
    <n v="1"/>
    <n v="69.44"/>
    <n v="1.7"/>
    <n v="27.5"/>
    <m/>
    <n v="67.739999999999995"/>
    <s v="5225.78"/>
    <n v="23"/>
    <m/>
    <m/>
    <n v="23"/>
    <n v="0.38333333333333336"/>
    <m/>
    <m/>
    <m/>
    <m/>
    <m/>
    <m/>
    <m/>
    <m/>
    <n v="0"/>
    <n v="0"/>
    <n v="0.38333333333333336"/>
    <n v="11.616666666666667"/>
    <n v="12"/>
    <m/>
    <m/>
    <n v="0"/>
    <n v="77.739999999999995"/>
    <m/>
    <x v="9"/>
    <m/>
    <m/>
    <m/>
    <m/>
  </r>
  <r>
    <x v="1"/>
    <x v="4"/>
    <s v="7361/3"/>
    <x v="120"/>
    <s v="طفیل لاثانی ملتان"/>
    <s v="PP"/>
    <n v="13"/>
    <n v="4"/>
    <s v="PP"/>
    <n v="100"/>
    <s v="PP"/>
    <n v="2"/>
    <n v="111.03999999999999"/>
    <n v="2.6"/>
    <m/>
    <m/>
    <n v="108.44"/>
    <s v="108.44"/>
    <n v="22"/>
    <m/>
    <m/>
    <n v="22"/>
    <n v="0.36666666666666664"/>
    <m/>
    <m/>
    <m/>
    <m/>
    <m/>
    <m/>
    <m/>
    <m/>
    <n v="0"/>
    <n v="0"/>
    <n v="0.36666666666666664"/>
    <n v="11.633333333333333"/>
    <n v="12"/>
    <m/>
    <m/>
    <n v="0"/>
    <n v="118.44"/>
    <m/>
    <x v="9"/>
    <m/>
    <m/>
    <m/>
    <m/>
  </r>
  <r>
    <x v="1"/>
    <x v="4"/>
    <s v="12/6"/>
    <x v="120"/>
    <s v="سٹاک"/>
    <s v="PP"/>
    <n v="12"/>
    <n v="5"/>
    <s v="PP"/>
    <n v="1000"/>
    <s v="PP"/>
    <n v="8"/>
    <n v="382.09"/>
    <n v="9.6"/>
    <m/>
    <m/>
    <n v="372.48999999999995"/>
    <s v="1120.0199999999998"/>
    <m/>
    <m/>
    <m/>
    <n v="0"/>
    <n v="0"/>
    <m/>
    <m/>
    <m/>
    <m/>
    <m/>
    <m/>
    <m/>
    <m/>
    <n v="0"/>
    <n v="0"/>
    <n v="0"/>
    <n v="12"/>
    <n v="12"/>
    <m/>
    <m/>
    <n v="0"/>
    <n v="382.4899999999999"/>
    <m/>
    <x v="9"/>
    <m/>
    <m/>
    <m/>
    <m/>
  </r>
  <r>
    <x v="0"/>
    <x v="2"/>
    <s v="6/6"/>
    <x v="120"/>
    <s v="سٹاک"/>
    <s v="PP"/>
    <n v="6"/>
    <n v="5"/>
    <s v="PP"/>
    <n v="1000"/>
    <s v="PP"/>
    <n v="7"/>
    <n v="188.02"/>
    <n v="4.2"/>
    <m/>
    <m/>
    <n v="183.82000000000002"/>
    <s v="1045.53"/>
    <m/>
    <m/>
    <n v="180"/>
    <n v="180"/>
    <n v="3"/>
    <m/>
    <m/>
    <m/>
    <m/>
    <m/>
    <m/>
    <m/>
    <m/>
    <n v="0"/>
    <n v="0"/>
    <n v="3"/>
    <n v="9"/>
    <n v="12"/>
    <m/>
    <m/>
    <n v="0"/>
    <n v="188.82"/>
    <m/>
    <x v="9"/>
    <m/>
    <m/>
    <m/>
    <m/>
  </r>
  <r>
    <x v="1"/>
    <x v="2"/>
    <s v="6/6"/>
    <x v="120"/>
    <s v="سٹاک"/>
    <s v="PP"/>
    <n v="6"/>
    <n v="5"/>
    <s v="PP"/>
    <n v="1000"/>
    <s v="PP"/>
    <n v="8"/>
    <n v="248.26"/>
    <n v="4.8"/>
    <m/>
    <m/>
    <n v="243.45999999999998"/>
    <s v="1045.53"/>
    <m/>
    <m/>
    <m/>
    <n v="0"/>
    <n v="0"/>
    <m/>
    <m/>
    <m/>
    <m/>
    <m/>
    <m/>
    <m/>
    <m/>
    <n v="0"/>
    <n v="0"/>
    <n v="0"/>
    <n v="12"/>
    <n v="12"/>
    <m/>
    <m/>
    <n v="0"/>
    <n v="248.46"/>
    <m/>
    <x v="9"/>
    <m/>
    <m/>
    <m/>
    <m/>
  </r>
  <r>
    <x v="0"/>
    <x v="3"/>
    <s v="2270 F"/>
    <x v="120"/>
    <s v="Usman Amin"/>
    <s v="PP"/>
    <n v="16.2"/>
    <s v="-"/>
    <s v="PP"/>
    <n v="2000"/>
    <s v="PP"/>
    <n v="3"/>
    <n v="110.41"/>
    <n v="4.8000000000000007"/>
    <m/>
    <m/>
    <n v="105.61"/>
    <s v="2102.61"/>
    <m/>
    <m/>
    <m/>
    <n v="0"/>
    <n v="0"/>
    <m/>
    <m/>
    <m/>
    <m/>
    <m/>
    <m/>
    <m/>
    <m/>
    <n v="0"/>
    <n v="0"/>
    <n v="0"/>
    <n v="12"/>
    <n v="12"/>
    <m/>
    <m/>
    <n v="0"/>
    <n v="112.61"/>
    <m/>
    <x v="9"/>
    <m/>
    <m/>
    <m/>
    <m/>
  </r>
  <r>
    <x v="1"/>
    <x v="3"/>
    <s v="2270 F"/>
    <x v="120"/>
    <s v="Usman Amin"/>
    <s v="PP"/>
    <n v="16.2"/>
    <s v="-"/>
    <s v="PP"/>
    <n v="2000"/>
    <s v="PP"/>
    <n v="8"/>
    <n v="418.12"/>
    <n v="12.8"/>
    <m/>
    <m/>
    <n v="405.32"/>
    <s v="2102.61"/>
    <m/>
    <m/>
    <m/>
    <n v="0"/>
    <n v="0"/>
    <m/>
    <m/>
    <m/>
    <m/>
    <m/>
    <m/>
    <m/>
    <m/>
    <n v="0"/>
    <n v="0"/>
    <n v="0"/>
    <n v="12"/>
    <n v="12"/>
    <m/>
    <m/>
    <n v="0"/>
    <n v="412.32"/>
    <m/>
    <x v="9"/>
    <m/>
    <m/>
    <m/>
    <m/>
  </r>
  <r>
    <x v="1"/>
    <x v="3"/>
    <s v="7377/5"/>
    <x v="120"/>
    <s v="ہیڈافس لاہور"/>
    <s v="PP"/>
    <s v="16"/>
    <n v="7"/>
    <s v="PP"/>
    <n v="250"/>
    <s v="PP"/>
    <n v="3"/>
    <n v="138.6"/>
    <n v="4.8000000000000007"/>
    <m/>
    <m/>
    <n v="133.79999999999998"/>
    <s v="133.79999999999998"/>
    <m/>
    <m/>
    <m/>
    <n v="0"/>
    <n v="0"/>
    <m/>
    <m/>
    <m/>
    <m/>
    <m/>
    <m/>
    <m/>
    <m/>
    <n v="0"/>
    <n v="0"/>
    <n v="0"/>
    <n v="12"/>
    <n v="12"/>
    <m/>
    <m/>
    <n v="0"/>
    <n v="140.79999999999998"/>
    <m/>
    <x v="9"/>
    <m/>
    <m/>
    <m/>
    <m/>
  </r>
  <r>
    <x v="1"/>
    <x v="3"/>
    <s v="7369/2"/>
    <x v="120"/>
    <s v="قاری اشرف گجرات"/>
    <s v="PP"/>
    <s v="16"/>
    <n v="13"/>
    <s v="PP"/>
    <n v="75"/>
    <s v="PP"/>
    <n v="2"/>
    <n v="82.75"/>
    <n v="3.2"/>
    <m/>
    <m/>
    <n v="79.55"/>
    <s v="79.55"/>
    <m/>
    <m/>
    <m/>
    <n v="0"/>
    <n v="0"/>
    <m/>
    <m/>
    <m/>
    <m/>
    <m/>
    <m/>
    <m/>
    <m/>
    <n v="0"/>
    <n v="0"/>
    <n v="0"/>
    <n v="12"/>
    <n v="12"/>
    <m/>
    <m/>
    <n v="0"/>
    <n v="86.55"/>
    <m/>
    <x v="9"/>
    <m/>
    <m/>
    <m/>
    <m/>
  </r>
  <r>
    <x v="1"/>
    <x v="0"/>
    <s v="3/3"/>
    <x v="121"/>
    <s v="سٹاک"/>
    <s v="PP"/>
    <n v="3"/>
    <s v="5.5-6"/>
    <s v="PP"/>
    <n v="500"/>
    <s v="PP"/>
    <n v="8"/>
    <n v="95.17"/>
    <n v="2.4"/>
    <n v="34.5"/>
    <m/>
    <n v="92.77"/>
    <s v="492.43000000000006"/>
    <m/>
    <m/>
    <n v="120"/>
    <n v="120"/>
    <n v="2"/>
    <m/>
    <m/>
    <m/>
    <m/>
    <m/>
    <m/>
    <m/>
    <m/>
    <n v="0"/>
    <n v="0"/>
    <n v="2"/>
    <n v="10"/>
    <n v="12"/>
    <m/>
    <n v="1918"/>
    <n v="0"/>
    <n v="97.77"/>
    <n v="398"/>
    <x v="9"/>
    <m/>
    <m/>
    <m/>
    <m/>
  </r>
  <r>
    <x v="1"/>
    <x v="1"/>
    <s v="4/6"/>
    <x v="121"/>
    <s v="سٹاک"/>
    <s v="PP"/>
    <n v="4"/>
    <s v="5-5.5"/>
    <s v="PP"/>
    <n v="500"/>
    <s v="PP"/>
    <n v="13"/>
    <n v="151.95999999999998"/>
    <n v="5.2"/>
    <m/>
    <m/>
    <n v="146.76"/>
    <s v="1436.9299999999998"/>
    <m/>
    <m/>
    <n v="120"/>
    <n v="120"/>
    <n v="2"/>
    <m/>
    <m/>
    <m/>
    <m/>
    <m/>
    <m/>
    <m/>
    <m/>
    <n v="0"/>
    <n v="0"/>
    <n v="2"/>
    <n v="10"/>
    <n v="12"/>
    <m/>
    <m/>
    <n v="0"/>
    <n v="156.76"/>
    <m/>
    <x v="9"/>
    <m/>
    <m/>
    <m/>
    <m/>
  </r>
  <r>
    <x v="0"/>
    <x v="2"/>
    <s v="6/6"/>
    <x v="121"/>
    <s v="سٹاک"/>
    <s v="PP"/>
    <n v="6"/>
    <n v="5"/>
    <s v="PP"/>
    <n v="1000"/>
    <s v="PP"/>
    <n v="8"/>
    <n v="263.81"/>
    <n v="4.8"/>
    <n v="28.5"/>
    <m/>
    <n v="259.01"/>
    <s v="1045.53"/>
    <m/>
    <m/>
    <m/>
    <n v="0"/>
    <n v="0"/>
    <m/>
    <m/>
    <m/>
    <m/>
    <m/>
    <m/>
    <m/>
    <m/>
    <n v="0"/>
    <n v="0"/>
    <n v="0"/>
    <n v="12"/>
    <n v="12"/>
    <m/>
    <m/>
    <n v="0"/>
    <n v="264.01"/>
    <m/>
    <x v="9"/>
    <m/>
    <m/>
    <m/>
    <m/>
  </r>
  <r>
    <x v="1"/>
    <x v="2"/>
    <s v="6/6"/>
    <x v="121"/>
    <s v="سٹاک"/>
    <s v="PP"/>
    <n v="6"/>
    <n v="5"/>
    <s v="PP"/>
    <n v="1000"/>
    <s v="PP"/>
    <n v="6"/>
    <n v="176.38"/>
    <n v="4.8000000000000007"/>
    <m/>
    <m/>
    <n v="171.57999999999998"/>
    <s v="1045.53"/>
    <m/>
    <m/>
    <m/>
    <n v="0"/>
    <n v="0"/>
    <m/>
    <m/>
    <m/>
    <m/>
    <m/>
    <m/>
    <m/>
    <m/>
    <n v="0"/>
    <n v="0"/>
    <n v="0"/>
    <n v="12"/>
    <n v="12"/>
    <m/>
    <m/>
    <n v="0"/>
    <n v="176.57999999999998"/>
    <m/>
    <x v="9"/>
    <m/>
    <m/>
    <m/>
    <m/>
  </r>
  <r>
    <x v="1"/>
    <x v="2"/>
    <s v="6/7"/>
    <x v="121"/>
    <s v="سٹاک"/>
    <s v="PP"/>
    <n v="6"/>
    <n v="5"/>
    <s v="PP"/>
    <n v="1000"/>
    <s v="PP"/>
    <n v="3"/>
    <n v="95.660000000000011"/>
    <n v="1.7999999999999998"/>
    <m/>
    <m/>
    <n v="93.860000000000014"/>
    <s v="773.12"/>
    <m/>
    <m/>
    <m/>
    <n v="0"/>
    <n v="0"/>
    <m/>
    <m/>
    <m/>
    <m/>
    <m/>
    <m/>
    <m/>
    <m/>
    <n v="0"/>
    <n v="0"/>
    <n v="0"/>
    <n v="12"/>
    <n v="12"/>
    <m/>
    <m/>
    <n v="0"/>
    <n v="98.860000000000014"/>
    <m/>
    <x v="9"/>
    <m/>
    <m/>
    <m/>
    <m/>
  </r>
  <r>
    <x v="0"/>
    <x v="3"/>
    <s v="4619 J"/>
    <x v="121"/>
    <s v="Jilani Poly Stock"/>
    <s v="PP"/>
    <n v="28"/>
    <s v="5-5.5"/>
    <s v="PP"/>
    <n v="1000"/>
    <s v="PP"/>
    <n v="12"/>
    <n v="703.26"/>
    <n v="42.839999999999996"/>
    <m/>
    <m/>
    <n v="660.42"/>
    <s v="1000.42"/>
    <m/>
    <m/>
    <m/>
    <n v="0"/>
    <n v="0"/>
    <m/>
    <n v="30"/>
    <m/>
    <m/>
    <m/>
    <m/>
    <m/>
    <m/>
    <n v="30"/>
    <n v="0.5"/>
    <n v="0.5"/>
    <n v="11.5"/>
    <n v="12"/>
    <m/>
    <m/>
    <n v="0"/>
    <n v="667.42"/>
    <m/>
    <x v="9"/>
    <m/>
    <m/>
    <m/>
    <m/>
  </r>
  <r>
    <x v="1"/>
    <x v="3"/>
    <s v="4619 J"/>
    <x v="121"/>
    <s v="Jilani Poly Stock"/>
    <s v="PP"/>
    <n v="28"/>
    <s v="5-5.5"/>
    <s v="PP"/>
    <n v="1000"/>
    <s v="PP"/>
    <n v="6"/>
    <n v="361"/>
    <n v="21"/>
    <m/>
    <m/>
    <n v="340"/>
    <s v="1000.42"/>
    <n v="20"/>
    <m/>
    <m/>
    <n v="20"/>
    <n v="0.33333333333333331"/>
    <m/>
    <m/>
    <m/>
    <m/>
    <m/>
    <m/>
    <m/>
    <m/>
    <n v="0"/>
    <n v="0"/>
    <n v="0.33333333333333331"/>
    <n v="11.666666666666666"/>
    <n v="12"/>
    <m/>
    <m/>
    <n v="0"/>
    <n v="347"/>
    <m/>
    <x v="9"/>
    <m/>
    <m/>
    <m/>
    <m/>
  </r>
  <r>
    <x v="1"/>
    <x v="3"/>
    <s v="4864 J"/>
    <x v="121"/>
    <s v="Jilani Poly Stock"/>
    <s v="PP"/>
    <n v="24"/>
    <s v="5-5.5"/>
    <s v="PP"/>
    <n v="1000"/>
    <s v="PP"/>
    <n v="6"/>
    <n v="375.12"/>
    <n v="19.84"/>
    <m/>
    <m/>
    <n v="355.28000000000003"/>
    <s v="1270.07"/>
    <m/>
    <m/>
    <m/>
    <n v="0"/>
    <n v="0"/>
    <m/>
    <m/>
    <m/>
    <m/>
    <m/>
    <m/>
    <m/>
    <m/>
    <n v="0"/>
    <n v="0"/>
    <n v="0"/>
    <n v="12"/>
    <n v="12"/>
    <m/>
    <m/>
    <n v="0"/>
    <n v="362.28"/>
    <m/>
    <x v="9"/>
    <m/>
    <m/>
    <m/>
    <m/>
  </r>
  <r>
    <x v="0"/>
    <x v="4"/>
    <s v="12/6"/>
    <x v="121"/>
    <s v="سٹاک"/>
    <s v="PP"/>
    <n v="12"/>
    <n v="5"/>
    <s v="PP"/>
    <n v="1000"/>
    <s v="PP"/>
    <n v="10"/>
    <n v="549.68999999999994"/>
    <n v="12"/>
    <m/>
    <m/>
    <n v="537.68999999999994"/>
    <s v="1120.0199999999998"/>
    <m/>
    <m/>
    <m/>
    <n v="0"/>
    <n v="0"/>
    <m/>
    <m/>
    <m/>
    <m/>
    <m/>
    <n v="20"/>
    <m/>
    <n v="20"/>
    <n v="40"/>
    <n v="0.66666666666666663"/>
    <n v="0.66666666666666663"/>
    <n v="11.333333333333334"/>
    <n v="12"/>
    <m/>
    <m/>
    <n v="0"/>
    <n v="547.68999999999994"/>
    <m/>
    <x v="9"/>
    <m/>
    <m/>
    <m/>
    <m/>
  </r>
  <r>
    <x v="1"/>
    <x v="4"/>
    <s v="12/6"/>
    <x v="121"/>
    <s v="سٹاک"/>
    <s v="PP"/>
    <n v="12"/>
    <n v="5"/>
    <s v="PP"/>
    <n v="1000"/>
    <s v="PP"/>
    <n v="5"/>
    <n v="215.84"/>
    <n v="6"/>
    <m/>
    <m/>
    <n v="209.84"/>
    <s v="1120.0199999999998"/>
    <n v="20"/>
    <m/>
    <m/>
    <n v="20"/>
    <n v="0.33333333333333331"/>
    <m/>
    <m/>
    <m/>
    <m/>
    <m/>
    <m/>
    <m/>
    <m/>
    <n v="0"/>
    <n v="0"/>
    <n v="0.33333333333333331"/>
    <n v="11.666666666666666"/>
    <n v="12"/>
    <m/>
    <m/>
    <n v="0"/>
    <n v="219.84"/>
    <m/>
    <x v="9"/>
    <m/>
    <m/>
    <m/>
    <m/>
  </r>
  <r>
    <x v="1"/>
    <x v="4"/>
    <s v="7391/2"/>
    <x v="121"/>
    <s v="محبت A لاہور"/>
    <s v="PP"/>
    <s v="12"/>
    <n v="6"/>
    <s v="PP"/>
    <n v="300"/>
    <s v="PP"/>
    <n v="7"/>
    <n v="307.04000000000002"/>
    <n v="8.4"/>
    <m/>
    <m/>
    <n v="298.64000000000004"/>
    <s v="298.64000000000004"/>
    <m/>
    <m/>
    <m/>
    <n v="0"/>
    <n v="0"/>
    <m/>
    <m/>
    <m/>
    <m/>
    <m/>
    <m/>
    <m/>
    <m/>
    <n v="0"/>
    <n v="0"/>
    <n v="0"/>
    <n v="12"/>
    <n v="12"/>
    <m/>
    <m/>
    <n v="0"/>
    <n v="308.64000000000004"/>
    <m/>
    <x v="9"/>
    <m/>
    <m/>
    <m/>
    <m/>
  </r>
  <r>
    <x v="0"/>
    <x v="0"/>
    <s v="3/3"/>
    <x v="122"/>
    <s v="سٹاک"/>
    <s v="PP"/>
    <n v="3"/>
    <s v="5.5-6"/>
    <s v="PP"/>
    <n v="500"/>
    <s v="PP"/>
    <n v="8"/>
    <n v="115.62"/>
    <n v="2.4"/>
    <n v="25.5"/>
    <m/>
    <n v="113.22"/>
    <s v="492.43000000000006"/>
    <m/>
    <m/>
    <m/>
    <n v="0"/>
    <n v="0"/>
    <m/>
    <m/>
    <n v="30"/>
    <m/>
    <m/>
    <m/>
    <m/>
    <m/>
    <n v="30"/>
    <n v="0.5"/>
    <n v="0.5"/>
    <n v="11.5"/>
    <n v="12"/>
    <m/>
    <n v="1881"/>
    <n v="0"/>
    <n v="150"/>
    <n v="398"/>
    <x v="9"/>
    <m/>
    <m/>
    <m/>
    <m/>
  </r>
  <r>
    <x v="1"/>
    <x v="0"/>
    <s v="3/3"/>
    <x v="122"/>
    <s v="سٹاک"/>
    <s v="PP"/>
    <n v="3"/>
    <s v="5.5-6"/>
    <s v="PP"/>
    <n v="500"/>
    <s v="PP"/>
    <n v="12"/>
    <n v="149.68"/>
    <n v="3.5999999999999996"/>
    <n v="50.5"/>
    <m/>
    <n v="146.08000000000001"/>
    <s v="492.43000000000006"/>
    <m/>
    <m/>
    <m/>
    <n v="0"/>
    <n v="0"/>
    <m/>
    <m/>
    <m/>
    <m/>
    <m/>
    <m/>
    <m/>
    <m/>
    <n v="0"/>
    <n v="0"/>
    <n v="0"/>
    <n v="12"/>
    <n v="12"/>
    <m/>
    <m/>
    <n v="0"/>
    <n v="150"/>
    <m/>
    <x v="9"/>
    <m/>
    <m/>
    <m/>
    <m/>
  </r>
  <r>
    <x v="0"/>
    <x v="1"/>
    <s v="4/6"/>
    <x v="122"/>
    <s v="سٹاک"/>
    <s v="PP"/>
    <n v="4"/>
    <s v="5-5.5"/>
    <s v="PP"/>
    <n v="500"/>
    <s v="PP"/>
    <n v="10"/>
    <n v="158.26"/>
    <n v="4"/>
    <m/>
    <m/>
    <n v="154.26"/>
    <s v="1436.9299999999998"/>
    <m/>
    <m/>
    <m/>
    <n v="0"/>
    <n v="0"/>
    <m/>
    <m/>
    <m/>
    <m/>
    <m/>
    <m/>
    <n v="20"/>
    <m/>
    <n v="20"/>
    <n v="0.33333333333333331"/>
    <n v="0.33333333333333331"/>
    <n v="11.666666666666666"/>
    <n v="12"/>
    <m/>
    <m/>
    <n v="0"/>
    <n v="164.26"/>
    <m/>
    <x v="9"/>
    <m/>
    <m/>
    <m/>
    <m/>
  </r>
  <r>
    <x v="1"/>
    <x v="1"/>
    <s v="4/6"/>
    <x v="122"/>
    <s v="سٹاک"/>
    <s v="PP"/>
    <n v="4"/>
    <s v="5-5.5"/>
    <s v="PP"/>
    <n v="500"/>
    <s v="PP"/>
    <n v="12"/>
    <n v="158.84999999999997"/>
    <n v="4.8000000000000007"/>
    <m/>
    <m/>
    <n v="154.04999999999995"/>
    <s v="1436.9299999999998"/>
    <m/>
    <m/>
    <m/>
    <n v="0"/>
    <n v="0"/>
    <m/>
    <m/>
    <m/>
    <m/>
    <m/>
    <m/>
    <m/>
    <m/>
    <n v="0"/>
    <n v="0"/>
    <n v="0"/>
    <n v="12"/>
    <n v="12"/>
    <m/>
    <m/>
    <n v="0"/>
    <n v="164.04999999999995"/>
    <m/>
    <x v="9"/>
    <m/>
    <m/>
    <m/>
    <m/>
  </r>
  <r>
    <x v="0"/>
    <x v="2"/>
    <s v="6/5"/>
    <x v="122"/>
    <s v="سٹاک"/>
    <s v="PP"/>
    <n v="6"/>
    <n v="5"/>
    <s v="PP"/>
    <n v="1000"/>
    <s v="PP"/>
    <n v="8"/>
    <n v="254.24999999999997"/>
    <n v="4.8"/>
    <m/>
    <m/>
    <n v="249.44999999999996"/>
    <s v="1363.8100000000002"/>
    <m/>
    <m/>
    <m/>
    <n v="0"/>
    <n v="0"/>
    <m/>
    <m/>
    <m/>
    <m/>
    <m/>
    <m/>
    <m/>
    <m/>
    <n v="0"/>
    <n v="0"/>
    <n v="0"/>
    <n v="12"/>
    <n v="12"/>
    <m/>
    <m/>
    <n v="0"/>
    <n v="260"/>
    <m/>
    <x v="9"/>
    <m/>
    <m/>
    <m/>
    <m/>
  </r>
  <r>
    <x v="1"/>
    <x v="2"/>
    <s v="6/7"/>
    <x v="122"/>
    <s v="سٹاک"/>
    <s v="PP"/>
    <n v="6"/>
    <n v="5"/>
    <s v="PP"/>
    <n v="1000"/>
    <s v="PP"/>
    <n v="8"/>
    <n v="258.86"/>
    <n v="4.8"/>
    <m/>
    <m/>
    <n v="254.06"/>
    <s v="773.12"/>
    <m/>
    <m/>
    <m/>
    <n v="0"/>
    <n v="0"/>
    <m/>
    <m/>
    <m/>
    <m/>
    <m/>
    <m/>
    <n v="30"/>
    <m/>
    <n v="30"/>
    <n v="0.5"/>
    <n v="0.5"/>
    <n v="11.5"/>
    <n v="12"/>
    <m/>
    <m/>
    <n v="0"/>
    <n v="260"/>
    <m/>
    <x v="9"/>
    <m/>
    <m/>
    <m/>
    <m/>
  </r>
  <r>
    <x v="0"/>
    <x v="3"/>
    <s v="4864 J"/>
    <x v="122"/>
    <s v="Jilani Poly Stock"/>
    <s v="PP"/>
    <n v="24"/>
    <s v="5-5.5"/>
    <s v="PP"/>
    <n v="1000"/>
    <s v="PP"/>
    <n v="14"/>
    <n v="831.4799999999999"/>
    <n v="33.6"/>
    <m/>
    <m/>
    <n v="797.87999999999988"/>
    <s v="1270.07"/>
    <m/>
    <m/>
    <m/>
    <n v="0"/>
    <n v="0"/>
    <m/>
    <m/>
    <m/>
    <m/>
    <m/>
    <m/>
    <m/>
    <m/>
    <n v="0"/>
    <n v="0"/>
    <n v="0"/>
    <n v="12"/>
    <n v="12"/>
    <m/>
    <m/>
    <n v="0"/>
    <n v="780"/>
    <m/>
    <x v="9"/>
    <m/>
    <m/>
    <m/>
    <m/>
  </r>
  <r>
    <x v="1"/>
    <x v="3"/>
    <s v="4864 J"/>
    <x v="122"/>
    <s v="Jilani Poly Stock"/>
    <s v="PP"/>
    <n v="24"/>
    <s v="5-5.5"/>
    <s v="PP"/>
    <n v="1000"/>
    <s v="PP"/>
    <n v="2"/>
    <n v="121.71000000000001"/>
    <n v="4.8"/>
    <m/>
    <m/>
    <n v="116.91000000000001"/>
    <s v="1270.07"/>
    <n v="20"/>
    <m/>
    <m/>
    <n v="20"/>
    <n v="0.33333333333333331"/>
    <m/>
    <m/>
    <m/>
    <m/>
    <m/>
    <m/>
    <m/>
    <m/>
    <n v="0"/>
    <n v="0"/>
    <n v="0.33333333333333331"/>
    <n v="11.666666666666666"/>
    <n v="12"/>
    <m/>
    <m/>
    <n v="0"/>
    <n v="780"/>
    <m/>
    <x v="9"/>
    <m/>
    <m/>
    <m/>
    <m/>
  </r>
  <r>
    <x v="1"/>
    <x v="3"/>
    <s v="4734 J"/>
    <x v="122"/>
    <s v="Chaudhry Milk Sweets and Bakers Jhangh"/>
    <s v="PP"/>
    <n v="20"/>
    <s v="5.5-6"/>
    <s v="PP"/>
    <n v="100"/>
    <s v="PP"/>
    <n v="2"/>
    <n v="105.28"/>
    <n v="5.3"/>
    <m/>
    <m/>
    <n v="99.98"/>
    <s v="99.98"/>
    <m/>
    <m/>
    <m/>
    <n v="0"/>
    <n v="0"/>
    <m/>
    <m/>
    <m/>
    <m/>
    <m/>
    <m/>
    <n v="40"/>
    <m/>
    <n v="40"/>
    <n v="0.66666666666666663"/>
    <n v="0.66666666666666663"/>
    <n v="11.333333333333334"/>
    <n v="12"/>
    <m/>
    <m/>
    <n v="0"/>
    <m/>
    <m/>
    <x v="9"/>
    <m/>
    <m/>
    <m/>
    <m/>
  </r>
  <r>
    <x v="1"/>
    <x v="3"/>
    <s v="4862 J"/>
    <x v="122"/>
    <s v="Jilani Poly Stock"/>
    <s v="PP"/>
    <n v="20"/>
    <s v="5-5.5"/>
    <s v="PP"/>
    <n v="1000"/>
    <s v="PP"/>
    <n v="10"/>
    <n v="516.37"/>
    <n v="26"/>
    <m/>
    <m/>
    <n v="490.37"/>
    <s v="1042.06"/>
    <m/>
    <m/>
    <m/>
    <n v="0"/>
    <n v="0"/>
    <m/>
    <m/>
    <m/>
    <m/>
    <m/>
    <m/>
    <m/>
    <m/>
    <n v="0"/>
    <n v="0"/>
    <n v="0"/>
    <n v="12"/>
    <n v="12"/>
    <m/>
    <m/>
    <n v="0"/>
    <m/>
    <m/>
    <x v="9"/>
    <m/>
    <m/>
    <m/>
    <m/>
  </r>
  <r>
    <x v="0"/>
    <x v="4"/>
    <s v="7391/1"/>
    <x v="122"/>
    <s v="محبت A لاہور"/>
    <s v="PP"/>
    <s v="10"/>
    <n v="6"/>
    <s v="PP"/>
    <n v="300"/>
    <s v="PP"/>
    <n v="11"/>
    <n v="311.71999999999997"/>
    <n v="11"/>
    <m/>
    <m/>
    <n v="300.71999999999997"/>
    <s v="300.71999999999997"/>
    <m/>
    <m/>
    <m/>
    <n v="0"/>
    <n v="0"/>
    <m/>
    <m/>
    <n v="215"/>
    <m/>
    <m/>
    <m/>
    <m/>
    <m/>
    <n v="215"/>
    <n v="3.5833333333333335"/>
    <n v="3.5833333333333335"/>
    <n v="8.4166666666666661"/>
    <n v="12"/>
    <m/>
    <m/>
    <n v="0"/>
    <n v="310.71999999999997"/>
    <m/>
    <x v="9"/>
    <m/>
    <m/>
    <m/>
    <m/>
  </r>
  <r>
    <x v="1"/>
    <x v="4"/>
    <s v="9/5"/>
    <x v="122"/>
    <s v="سٹاک"/>
    <s v="PP"/>
    <n v="9"/>
    <s v="5-5.5"/>
    <s v="PP"/>
    <n v="1000"/>
    <s v="PP"/>
    <n v="11"/>
    <n v="376.47"/>
    <n v="9.9"/>
    <m/>
    <m/>
    <n v="366.57000000000005"/>
    <s v="930.27"/>
    <m/>
    <m/>
    <n v="160"/>
    <n v="160"/>
    <n v="2.6666666666666665"/>
    <m/>
    <m/>
    <m/>
    <m/>
    <m/>
    <m/>
    <n v="30"/>
    <m/>
    <n v="30"/>
    <n v="0.5"/>
    <n v="3.1666666666666665"/>
    <n v="8.8333333333333339"/>
    <n v="12"/>
    <m/>
    <m/>
    <n v="0"/>
    <n v="376.57000000000011"/>
    <m/>
    <x v="9"/>
    <m/>
    <m/>
    <m/>
    <m/>
  </r>
  <r>
    <x v="0"/>
    <x v="0"/>
    <s v="3/3"/>
    <x v="123"/>
    <s v="سٹاک"/>
    <s v="PP"/>
    <n v="3"/>
    <s v="5.5-6"/>
    <s v="PP"/>
    <n v="500"/>
    <s v="PP"/>
    <n v="11"/>
    <n v="143.66"/>
    <n v="3.3"/>
    <n v="1"/>
    <m/>
    <n v="140.35999999999999"/>
    <s v="492.43000000000006"/>
    <m/>
    <m/>
    <m/>
    <n v="0"/>
    <n v="0"/>
    <m/>
    <m/>
    <m/>
    <m/>
    <m/>
    <m/>
    <m/>
    <m/>
    <n v="0"/>
    <n v="0"/>
    <n v="0"/>
    <n v="12"/>
    <n v="12"/>
    <m/>
    <n v="2076"/>
    <n v="0"/>
    <n v="145.36000000000001"/>
    <n v="398"/>
    <x v="9"/>
    <m/>
    <m/>
    <m/>
    <m/>
  </r>
  <r>
    <x v="1"/>
    <x v="0"/>
    <s v="3/4"/>
    <x v="123"/>
    <s v="سٹاک"/>
    <s v="PP"/>
    <n v="3"/>
    <s v="5.5-6"/>
    <s v="PP"/>
    <n v="500"/>
    <s v="PP"/>
    <n v="12"/>
    <n v="147.22999999999999"/>
    <n v="3.5999999999999996"/>
    <n v="1"/>
    <m/>
    <n v="143.63"/>
    <s v="1057.2700000000002"/>
    <m/>
    <m/>
    <m/>
    <n v="0"/>
    <n v="0"/>
    <m/>
    <m/>
    <m/>
    <m/>
    <m/>
    <m/>
    <m/>
    <m/>
    <n v="0"/>
    <n v="0"/>
    <n v="0"/>
    <n v="12"/>
    <n v="12"/>
    <m/>
    <m/>
    <n v="0"/>
    <n v="148.63"/>
    <m/>
    <x v="9"/>
    <m/>
    <m/>
    <m/>
    <m/>
  </r>
  <r>
    <x v="0"/>
    <x v="1"/>
    <s v="4/6"/>
    <x v="123"/>
    <s v="سٹاک"/>
    <s v="PP"/>
    <n v="4"/>
    <s v="5-5.5"/>
    <s v="PP"/>
    <n v="500"/>
    <s v="PP"/>
    <n v="10"/>
    <n v="153.97999999999996"/>
    <n v="4"/>
    <n v="3"/>
    <m/>
    <n v="149.97999999999996"/>
    <s v="1436.9299999999998"/>
    <m/>
    <m/>
    <m/>
    <n v="0"/>
    <n v="0"/>
    <m/>
    <m/>
    <m/>
    <m/>
    <m/>
    <n v="60"/>
    <m/>
    <m/>
    <n v="60"/>
    <n v="1"/>
    <n v="1"/>
    <n v="11"/>
    <n v="12"/>
    <m/>
    <m/>
    <n v="0"/>
    <n v="159.97999999999996"/>
    <m/>
    <x v="9"/>
    <m/>
    <m/>
    <m/>
    <m/>
  </r>
  <r>
    <x v="1"/>
    <x v="1"/>
    <s v="4/7"/>
    <x v="123"/>
    <s v="سٹاک"/>
    <s v="PP"/>
    <n v="4"/>
    <s v="5-5.5"/>
    <s v="PP"/>
    <n v="500"/>
    <s v="PP"/>
    <n v="12"/>
    <n v="156.43"/>
    <n v="4.8000000000000007"/>
    <n v="4"/>
    <m/>
    <n v="151.63"/>
    <s v="238.3"/>
    <m/>
    <m/>
    <m/>
    <n v="0"/>
    <n v="0"/>
    <m/>
    <m/>
    <m/>
    <m/>
    <m/>
    <m/>
    <m/>
    <m/>
    <n v="0"/>
    <n v="0"/>
    <n v="0"/>
    <n v="12"/>
    <n v="12"/>
    <m/>
    <m/>
    <n v="0"/>
    <n v="161.63"/>
    <m/>
    <x v="9"/>
    <m/>
    <m/>
    <m/>
    <m/>
  </r>
  <r>
    <x v="0"/>
    <x v="2"/>
    <s v="6/7"/>
    <x v="123"/>
    <s v="سٹاک"/>
    <s v="PP"/>
    <n v="6"/>
    <n v="5"/>
    <s v="PP"/>
    <n v="1000"/>
    <s v="PP"/>
    <n v="11"/>
    <n v="316.78000000000003"/>
    <n v="6.6"/>
    <m/>
    <m/>
    <n v="310.18"/>
    <s v="773.12"/>
    <m/>
    <m/>
    <m/>
    <n v="0"/>
    <n v="0"/>
    <m/>
    <m/>
    <m/>
    <m/>
    <m/>
    <m/>
    <m/>
    <m/>
    <n v="0"/>
    <n v="0"/>
    <n v="0"/>
    <n v="12"/>
    <n v="12"/>
    <m/>
    <m/>
    <n v="0"/>
    <n v="315.18"/>
    <m/>
    <x v="9"/>
    <m/>
    <m/>
    <m/>
    <m/>
  </r>
  <r>
    <x v="1"/>
    <x v="2"/>
    <s v="6/7"/>
    <x v="123"/>
    <s v="سٹاک"/>
    <s v="PP"/>
    <n v="6"/>
    <n v="5"/>
    <s v="PP"/>
    <n v="1000"/>
    <s v="PP"/>
    <n v="4"/>
    <n v="117.42"/>
    <n v="2.4"/>
    <n v="14"/>
    <m/>
    <n v="115.02"/>
    <s v="773.12"/>
    <n v="20"/>
    <m/>
    <m/>
    <n v="20"/>
    <n v="0.33333333333333331"/>
    <m/>
    <m/>
    <m/>
    <m/>
    <m/>
    <n v="120"/>
    <m/>
    <m/>
    <n v="120"/>
    <n v="2"/>
    <n v="2.3333333333333335"/>
    <n v="9.6666666666666661"/>
    <n v="12"/>
    <m/>
    <m/>
    <n v="0"/>
    <n v="120.02"/>
    <m/>
    <x v="9"/>
    <m/>
    <m/>
    <m/>
    <m/>
  </r>
  <r>
    <x v="1"/>
    <x v="2"/>
    <s v="8/6"/>
    <x v="123"/>
    <s v="سٹاک"/>
    <s v="PP"/>
    <n v="8"/>
    <n v="5"/>
    <s v="PP"/>
    <n v="1000"/>
    <s v="PP"/>
    <n v="4"/>
    <n v="152.74"/>
    <n v="3.2"/>
    <m/>
    <m/>
    <n v="149.54000000000002"/>
    <s v="1030.43"/>
    <m/>
    <m/>
    <m/>
    <n v="0"/>
    <n v="0"/>
    <m/>
    <m/>
    <m/>
    <m/>
    <m/>
    <m/>
    <m/>
    <m/>
    <n v="0"/>
    <n v="0"/>
    <n v="0"/>
    <n v="12"/>
    <n v="12"/>
    <m/>
    <m/>
    <n v="0"/>
    <n v="154.54000000000002"/>
    <m/>
    <x v="9"/>
    <m/>
    <m/>
    <m/>
    <m/>
  </r>
  <r>
    <x v="0"/>
    <x v="3"/>
    <s v="4862 J"/>
    <x v="123"/>
    <s v="Jilani Poly Stock"/>
    <s v="PP"/>
    <n v="20"/>
    <s v="5-5.5"/>
    <s v="PP"/>
    <n v="1000"/>
    <s v="PP"/>
    <n v="12"/>
    <n v="575.68999999999994"/>
    <n v="24"/>
    <n v="7"/>
    <m/>
    <n v="551.68999999999994"/>
    <s v="1042.06"/>
    <n v="20"/>
    <m/>
    <m/>
    <n v="20"/>
    <n v="0.33333333333333331"/>
    <m/>
    <m/>
    <m/>
    <m/>
    <m/>
    <m/>
    <m/>
    <m/>
    <n v="0"/>
    <n v="0"/>
    <n v="0.33333333333333331"/>
    <n v="11.666666666666666"/>
    <n v="12"/>
    <m/>
    <m/>
    <n v="0"/>
    <n v="558.68999999999994"/>
    <m/>
    <x v="9"/>
    <m/>
    <m/>
    <m/>
    <m/>
  </r>
  <r>
    <x v="0"/>
    <x v="3"/>
    <s v="4863 J"/>
    <x v="123"/>
    <s v="Jilani Poly Stock"/>
    <s v="PP"/>
    <n v="18"/>
    <s v="5-5.5"/>
    <s v="PP"/>
    <n v="0"/>
    <s v="PP"/>
    <n v="4"/>
    <n v="179.83"/>
    <n v="8.8000000000000007"/>
    <m/>
    <m/>
    <n v="171.03"/>
    <s v="1116.3399999999999"/>
    <m/>
    <m/>
    <m/>
    <n v="0"/>
    <n v="0"/>
    <m/>
    <m/>
    <m/>
    <m/>
    <m/>
    <m/>
    <m/>
    <m/>
    <n v="0"/>
    <n v="0"/>
    <n v="0"/>
    <n v="12"/>
    <n v="12"/>
    <m/>
    <m/>
    <n v="0"/>
    <n v="178.03"/>
    <m/>
    <x v="9"/>
    <m/>
    <m/>
    <m/>
    <m/>
  </r>
  <r>
    <x v="1"/>
    <x v="3"/>
    <s v="4863 J"/>
    <x v="123"/>
    <s v="Jilani Poly Stock"/>
    <s v="PP"/>
    <n v="18"/>
    <s v="5-5.5"/>
    <s v="PP"/>
    <n v="0"/>
    <s v="PP"/>
    <n v="14"/>
    <n v="757.03"/>
    <n v="30.800000000000004"/>
    <m/>
    <m/>
    <n v="726.23"/>
    <s v="1116.3399999999999"/>
    <m/>
    <m/>
    <m/>
    <n v="0"/>
    <n v="0"/>
    <m/>
    <m/>
    <m/>
    <m/>
    <m/>
    <m/>
    <m/>
    <m/>
    <n v="0"/>
    <n v="0"/>
    <n v="0"/>
    <n v="12"/>
    <n v="12"/>
    <m/>
    <m/>
    <n v="0"/>
    <n v="733.23"/>
    <m/>
    <x v="9"/>
    <m/>
    <m/>
    <m/>
    <m/>
  </r>
  <r>
    <x v="0"/>
    <x v="4"/>
    <s v="9/5"/>
    <x v="123"/>
    <s v="سٹاک"/>
    <s v="PP"/>
    <n v="9"/>
    <s v="5-5.5"/>
    <s v="PP"/>
    <n v="1000"/>
    <s v="PP"/>
    <n v="13"/>
    <n v="455.9"/>
    <n v="11.700000000000001"/>
    <n v="8"/>
    <m/>
    <n v="444.2"/>
    <s v="930.27"/>
    <m/>
    <m/>
    <m/>
    <n v="0"/>
    <n v="0"/>
    <m/>
    <m/>
    <m/>
    <m/>
    <m/>
    <m/>
    <m/>
    <m/>
    <n v="0"/>
    <n v="0"/>
    <n v="0"/>
    <n v="12"/>
    <n v="12"/>
    <m/>
    <m/>
    <n v="0"/>
    <n v="454.2"/>
    <m/>
    <x v="9"/>
    <m/>
    <m/>
    <m/>
    <m/>
  </r>
  <r>
    <x v="1"/>
    <x v="4"/>
    <s v="9/5"/>
    <x v="123"/>
    <s v="سٹاک"/>
    <s v="PP"/>
    <n v="9"/>
    <s v="5-5.5"/>
    <s v="PP"/>
    <n v="1000"/>
    <s v="PP"/>
    <n v="3"/>
    <n v="122.19999999999999"/>
    <n v="2.7"/>
    <n v="4"/>
    <m/>
    <n v="119.49999999999999"/>
    <s v="930.27"/>
    <m/>
    <m/>
    <m/>
    <n v="0"/>
    <n v="0"/>
    <m/>
    <m/>
    <m/>
    <m/>
    <m/>
    <m/>
    <m/>
    <m/>
    <n v="0"/>
    <n v="0"/>
    <n v="0"/>
    <n v="12"/>
    <n v="12"/>
    <m/>
    <m/>
    <n v="0"/>
    <n v="129.5"/>
    <m/>
    <x v="9"/>
    <m/>
    <m/>
    <m/>
    <m/>
  </r>
  <r>
    <x v="1"/>
    <x v="4"/>
    <s v="12/7"/>
    <x v="123"/>
    <s v="سٹاک"/>
    <s v="PP"/>
    <n v="12"/>
    <n v="5"/>
    <s v="PP"/>
    <n v="1000"/>
    <s v="PP"/>
    <n v="8"/>
    <n v="422.71999999999997"/>
    <n v="9.6"/>
    <m/>
    <m/>
    <n v="413.11999999999995"/>
    <s v="1001.7900000000001"/>
    <n v="20"/>
    <m/>
    <m/>
    <n v="20"/>
    <n v="0.33333333333333331"/>
    <m/>
    <m/>
    <m/>
    <m/>
    <m/>
    <m/>
    <m/>
    <m/>
    <n v="0"/>
    <n v="0"/>
    <n v="0.33333333333333331"/>
    <n v="11.666666666666666"/>
    <n v="12"/>
    <m/>
    <m/>
    <n v="0"/>
    <n v="423.11999999999995"/>
    <m/>
    <x v="9"/>
    <m/>
    <m/>
    <m/>
    <m/>
  </r>
  <r>
    <x v="0"/>
    <x v="0"/>
    <s v="3/4"/>
    <x v="124"/>
    <s v="سٹاک"/>
    <s v="PP"/>
    <n v="3"/>
    <s v="5.5-6"/>
    <s v="PP"/>
    <n v="500"/>
    <s v="PP"/>
    <n v="11"/>
    <n v="145.66999999999999"/>
    <n v="3.3"/>
    <n v="15"/>
    <m/>
    <n v="142.36999999999998"/>
    <s v="1057.2700000000002"/>
    <m/>
    <m/>
    <m/>
    <n v="0"/>
    <n v="0"/>
    <m/>
    <m/>
    <m/>
    <m/>
    <m/>
    <m/>
    <m/>
    <m/>
    <n v="0"/>
    <n v="0"/>
    <n v="0"/>
    <n v="12"/>
    <n v="12"/>
    <m/>
    <n v="1959"/>
    <n v="0"/>
    <n v="140"/>
    <n v="398"/>
    <x v="9"/>
    <m/>
    <m/>
    <m/>
    <m/>
  </r>
  <r>
    <x v="1"/>
    <x v="0"/>
    <s v="3/4"/>
    <x v="124"/>
    <s v="سٹاک"/>
    <s v="PP"/>
    <n v="3"/>
    <s v="5.5-6"/>
    <s v="PP"/>
    <n v="500"/>
    <s v="PP"/>
    <n v="10"/>
    <n v="140.14000000000001"/>
    <n v="3"/>
    <n v="6"/>
    <m/>
    <n v="137.14000000000001"/>
    <s v="1057.2700000000002"/>
    <m/>
    <m/>
    <m/>
    <n v="0"/>
    <n v="0"/>
    <m/>
    <m/>
    <m/>
    <m/>
    <m/>
    <m/>
    <m/>
    <m/>
    <n v="0"/>
    <n v="0"/>
    <n v="0"/>
    <n v="12"/>
    <n v="12"/>
    <m/>
    <m/>
    <n v="0"/>
    <n v="140"/>
    <m/>
    <x v="9"/>
    <m/>
    <m/>
    <m/>
    <m/>
  </r>
  <r>
    <x v="0"/>
    <x v="1"/>
    <s v="4/6"/>
    <x v="124"/>
    <s v="سٹاک"/>
    <s v="PP"/>
    <n v="4"/>
    <s v="5-5.5"/>
    <s v="PP"/>
    <n v="500"/>
    <s v="PP"/>
    <n v="11"/>
    <n v="155.10999999999999"/>
    <n v="4.4000000000000004"/>
    <n v="1"/>
    <m/>
    <n v="150.70999999999998"/>
    <s v="1436.9299999999998"/>
    <m/>
    <m/>
    <m/>
    <n v="0"/>
    <n v="0"/>
    <m/>
    <m/>
    <m/>
    <m/>
    <m/>
    <m/>
    <m/>
    <m/>
    <n v="0"/>
    <n v="0"/>
    <n v="0"/>
    <n v="12"/>
    <n v="12"/>
    <m/>
    <m/>
    <n v="0"/>
    <n v="160.70999999999998"/>
    <m/>
    <x v="9"/>
    <m/>
    <m/>
    <m/>
    <m/>
  </r>
  <r>
    <x v="1"/>
    <x v="1"/>
    <s v="4/6"/>
    <x v="124"/>
    <s v="سٹاک"/>
    <s v="PP"/>
    <n v="4"/>
    <s v="5-5.5"/>
    <s v="PP"/>
    <n v="500"/>
    <s v="PP"/>
    <n v="10"/>
    <n v="155.35000000000002"/>
    <n v="4"/>
    <m/>
    <m/>
    <n v="151.35000000000002"/>
    <s v="1436.9299999999998"/>
    <m/>
    <m/>
    <m/>
    <n v="0"/>
    <n v="0"/>
    <m/>
    <m/>
    <m/>
    <m/>
    <m/>
    <m/>
    <m/>
    <m/>
    <n v="0"/>
    <n v="0"/>
    <n v="0"/>
    <n v="12"/>
    <n v="12"/>
    <m/>
    <m/>
    <n v="0"/>
    <n v="161.35000000000002"/>
    <m/>
    <x v="9"/>
    <m/>
    <m/>
    <m/>
    <m/>
  </r>
  <r>
    <x v="0"/>
    <x v="2"/>
    <s v="8/6"/>
    <x v="124"/>
    <s v="سٹاک"/>
    <s v="PP"/>
    <n v="8"/>
    <n v="5"/>
    <s v="PP"/>
    <n v="1000"/>
    <s v="PP"/>
    <n v="4"/>
    <n v="152.88999999999999"/>
    <n v="3.2"/>
    <n v="6"/>
    <m/>
    <n v="149.69"/>
    <s v="1030.43"/>
    <m/>
    <m/>
    <m/>
    <n v="0"/>
    <n v="0"/>
    <m/>
    <m/>
    <n v="480"/>
    <m/>
    <m/>
    <m/>
    <m/>
    <m/>
    <n v="480"/>
    <n v="8"/>
    <n v="8"/>
    <n v="4"/>
    <n v="12"/>
    <m/>
    <m/>
    <n v="0"/>
    <n v="320"/>
    <m/>
    <x v="9"/>
    <m/>
    <m/>
    <m/>
    <m/>
  </r>
  <r>
    <x v="1"/>
    <x v="2"/>
    <s v="8/6"/>
    <x v="124"/>
    <s v="سٹاک"/>
    <s v="PP"/>
    <n v="8"/>
    <n v="5"/>
    <s v="PP"/>
    <n v="1000"/>
    <s v="PP"/>
    <n v="8"/>
    <n v="334.56"/>
    <n v="7.2"/>
    <m/>
    <m/>
    <n v="327.36"/>
    <s v="1030.43"/>
    <m/>
    <m/>
    <m/>
    <n v="0"/>
    <n v="0"/>
    <m/>
    <m/>
    <m/>
    <m/>
    <m/>
    <m/>
    <m/>
    <m/>
    <n v="0"/>
    <n v="0"/>
    <n v="0"/>
    <n v="12"/>
    <n v="12"/>
    <m/>
    <m/>
    <n v="0"/>
    <n v="320"/>
    <m/>
    <x v="9"/>
    <m/>
    <m/>
    <m/>
    <m/>
  </r>
  <r>
    <x v="0"/>
    <x v="3"/>
    <s v="4863 J"/>
    <x v="124"/>
    <s v="Jilani Poly Stock"/>
    <s v="PP"/>
    <n v="18"/>
    <s v="5-5.5"/>
    <s v="PP"/>
    <n v="0"/>
    <s v="PP"/>
    <n v="5"/>
    <n v="228.07999999999998"/>
    <n v="9"/>
    <m/>
    <m/>
    <n v="219.07999999999998"/>
    <s v="1116.3399999999999"/>
    <m/>
    <m/>
    <m/>
    <n v="0"/>
    <n v="0"/>
    <m/>
    <m/>
    <m/>
    <m/>
    <m/>
    <m/>
    <m/>
    <m/>
    <n v="0"/>
    <n v="0"/>
    <n v="0"/>
    <n v="12"/>
    <n v="12"/>
    <m/>
    <m/>
    <n v="0"/>
    <n v="720"/>
    <m/>
    <x v="9"/>
    <m/>
    <m/>
    <m/>
    <m/>
  </r>
  <r>
    <x v="0"/>
    <x v="3"/>
    <s v="7396/1"/>
    <x v="124"/>
    <s v="خواجہ مدثر ٹمبر مارکیٹ"/>
    <s v="PP"/>
    <s v="18"/>
    <n v="7"/>
    <s v="PP"/>
    <n v="500"/>
    <s v="PP"/>
    <n v="10"/>
    <n v="463.91999999999996"/>
    <n v="18"/>
    <m/>
    <m/>
    <n v="445.91999999999996"/>
    <s v="445.91999999999996"/>
    <m/>
    <m/>
    <m/>
    <n v="0"/>
    <n v="0"/>
    <m/>
    <m/>
    <m/>
    <m/>
    <m/>
    <m/>
    <m/>
    <m/>
    <n v="0"/>
    <n v="0"/>
    <n v="0"/>
    <n v="12"/>
    <n v="12"/>
    <m/>
    <m/>
    <n v="0"/>
    <m/>
    <m/>
    <x v="9"/>
    <m/>
    <m/>
    <m/>
    <m/>
  </r>
  <r>
    <x v="0"/>
    <x v="3"/>
    <s v="7394/1"/>
    <x v="124"/>
    <s v="العمر پلاسٹک گوجرانوالہ"/>
    <s v="PP"/>
    <s v="18"/>
    <n v="6"/>
    <s v="PP"/>
    <n v="150"/>
    <s v="PP"/>
    <n v="2"/>
    <n v="87.77000000000001"/>
    <n v="3.6"/>
    <m/>
    <m/>
    <n v="84.170000000000016"/>
    <s v="156.33000000000001"/>
    <m/>
    <m/>
    <m/>
    <n v="0"/>
    <n v="0"/>
    <m/>
    <m/>
    <m/>
    <m/>
    <m/>
    <m/>
    <m/>
    <m/>
    <n v="0"/>
    <n v="0"/>
    <n v="0"/>
    <n v="12"/>
    <n v="12"/>
    <m/>
    <m/>
    <n v="0"/>
    <m/>
    <m/>
    <x v="9"/>
    <m/>
    <m/>
    <m/>
    <m/>
  </r>
  <r>
    <x v="1"/>
    <x v="3"/>
    <s v="7394/1"/>
    <x v="124"/>
    <s v="العمر پلاسٹک گوجرانوالہ"/>
    <s v="PP"/>
    <s v="18"/>
    <n v="6"/>
    <s v="PP"/>
    <n v="150"/>
    <s v="PP"/>
    <n v="2"/>
    <n v="76.459999999999994"/>
    <n v="4.3000000000000007"/>
    <n v="37"/>
    <m/>
    <n v="72.16"/>
    <s v="156.33000000000001"/>
    <n v="20"/>
    <m/>
    <m/>
    <n v="20"/>
    <n v="0.33333333333333331"/>
    <m/>
    <m/>
    <m/>
    <m/>
    <m/>
    <n v="45"/>
    <m/>
    <m/>
    <n v="45"/>
    <n v="0.75"/>
    <n v="1.0833333333333333"/>
    <n v="10.916666666666666"/>
    <n v="12"/>
    <m/>
    <m/>
    <n v="0"/>
    <n v="900"/>
    <m/>
    <x v="9"/>
    <m/>
    <m/>
    <m/>
    <m/>
  </r>
  <r>
    <x v="1"/>
    <x v="3"/>
    <s v="7404/2"/>
    <x v="124"/>
    <s v="العمر پلاسٹک گوجرانوالہ"/>
    <s v="PP"/>
    <s v="24"/>
    <n v="14"/>
    <s v="PP"/>
    <n v="200"/>
    <s v="PP"/>
    <n v="4"/>
    <n v="220.48999999999998"/>
    <n v="11.98"/>
    <m/>
    <m/>
    <n v="208.51"/>
    <s v="230.81"/>
    <n v="20"/>
    <m/>
    <m/>
    <n v="20"/>
    <n v="0.33333333333333331"/>
    <m/>
    <m/>
    <m/>
    <m/>
    <m/>
    <m/>
    <m/>
    <m/>
    <n v="0"/>
    <n v="0"/>
    <n v="0.33333333333333331"/>
    <n v="11.666666666666666"/>
    <n v="12"/>
    <m/>
    <m/>
    <n v="0"/>
    <m/>
    <m/>
    <x v="9"/>
    <m/>
    <m/>
    <m/>
    <m/>
  </r>
  <r>
    <x v="1"/>
    <x v="3"/>
    <s v="7398/5"/>
    <x v="124"/>
    <s v="فیصل پلاسٹک فیصل آباد"/>
    <s v="PP"/>
    <n v="10"/>
    <n v="9"/>
    <s v="PP"/>
    <n v="100"/>
    <s v="PP"/>
    <n v="4"/>
    <n v="215.59"/>
    <n v="9.8500000000000014"/>
    <m/>
    <m/>
    <n v="205.74"/>
    <s v="205.74"/>
    <m/>
    <m/>
    <m/>
    <n v="0"/>
    <n v="0"/>
    <m/>
    <m/>
    <m/>
    <m/>
    <m/>
    <m/>
    <m/>
    <m/>
    <n v="0"/>
    <n v="0"/>
    <n v="0"/>
    <n v="12"/>
    <n v="12"/>
    <m/>
    <m/>
    <n v="0"/>
    <m/>
    <m/>
    <x v="9"/>
    <m/>
    <m/>
    <m/>
    <m/>
  </r>
  <r>
    <x v="1"/>
    <x v="3"/>
    <s v="7398/4"/>
    <x v="124"/>
    <s v="فیصل پلاسٹک فیصل آباد"/>
    <s v="PP"/>
    <n v="9"/>
    <n v="9"/>
    <s v="PP"/>
    <n v="150"/>
    <s v="PP"/>
    <n v="5"/>
    <n v="260.01000000000005"/>
    <n v="10.8"/>
    <m/>
    <m/>
    <n v="249.21000000000004"/>
    <s v="249.21000000000004"/>
    <m/>
    <m/>
    <m/>
    <n v="0"/>
    <n v="0"/>
    <m/>
    <m/>
    <m/>
    <m/>
    <m/>
    <m/>
    <m/>
    <m/>
    <n v="0"/>
    <n v="0"/>
    <n v="0"/>
    <n v="12"/>
    <n v="12"/>
    <m/>
    <m/>
    <n v="0"/>
    <m/>
    <m/>
    <x v="9"/>
    <m/>
    <m/>
    <m/>
    <m/>
  </r>
  <r>
    <x v="1"/>
    <x v="3"/>
    <s v="7404/1"/>
    <x v="124"/>
    <s v="العمر پلاسٹک گوجرانوالہ"/>
    <s v="PP"/>
    <s v="20"/>
    <n v="14"/>
    <s v="PP"/>
    <n v="125"/>
    <s v="PP"/>
    <n v="2"/>
    <n v="75.509999999999991"/>
    <n v="4.8"/>
    <m/>
    <m/>
    <n v="70.709999999999994"/>
    <s v="70.709999999999994"/>
    <m/>
    <m/>
    <m/>
    <n v="0"/>
    <n v="0"/>
    <m/>
    <m/>
    <m/>
    <m/>
    <m/>
    <m/>
    <m/>
    <m/>
    <n v="0"/>
    <n v="0"/>
    <n v="0"/>
    <n v="12"/>
    <n v="12"/>
    <m/>
    <m/>
    <n v="0"/>
    <m/>
    <m/>
    <x v="9"/>
    <m/>
    <m/>
    <m/>
    <m/>
  </r>
  <r>
    <x v="0"/>
    <x v="4"/>
    <s v="12/7"/>
    <x v="124"/>
    <s v="سٹاک"/>
    <s v="PP"/>
    <n v="12"/>
    <n v="5"/>
    <s v="PP"/>
    <n v="1000"/>
    <s v="PP"/>
    <n v="12"/>
    <n v="523.73"/>
    <n v="14.399999999999999"/>
    <m/>
    <m/>
    <n v="509.33000000000004"/>
    <s v="1001.7900000000001"/>
    <m/>
    <m/>
    <m/>
    <n v="0"/>
    <n v="0"/>
    <m/>
    <m/>
    <m/>
    <m/>
    <m/>
    <m/>
    <m/>
    <m/>
    <n v="0"/>
    <n v="0"/>
    <n v="0"/>
    <n v="12"/>
    <n v="12"/>
    <m/>
    <m/>
    <n v="0"/>
    <n v="519.33000000000004"/>
    <m/>
    <x v="9"/>
    <m/>
    <m/>
    <m/>
    <m/>
  </r>
  <r>
    <x v="1"/>
    <x v="4"/>
    <s v="12/7"/>
    <x v="124"/>
    <s v="سٹاک"/>
    <s v="PP"/>
    <n v="12"/>
    <n v="5"/>
    <s v="PP"/>
    <n v="1000"/>
    <s v="PP"/>
    <n v="2"/>
    <n v="81.739999999999995"/>
    <n v="2.4"/>
    <n v="9"/>
    <m/>
    <n v="79.339999999999989"/>
    <s v="1001.7900000000001"/>
    <n v="30"/>
    <m/>
    <m/>
    <n v="30"/>
    <n v="0.5"/>
    <m/>
    <m/>
    <m/>
    <m/>
    <m/>
    <m/>
    <m/>
    <m/>
    <n v="0"/>
    <n v="0"/>
    <n v="0.5"/>
    <n v="11.5"/>
    <n v="12"/>
    <m/>
    <m/>
    <n v="0"/>
    <n v="89.339999999999989"/>
    <m/>
    <x v="9"/>
    <m/>
    <m/>
    <m/>
    <m/>
  </r>
  <r>
    <x v="1"/>
    <x v="4"/>
    <s v="7398/9"/>
    <x v="124"/>
    <s v="فیصل پلاسٹک فیصل آباد"/>
    <s v="PP"/>
    <s v="12"/>
    <n v="9"/>
    <s v="PP"/>
    <n v="100"/>
    <s v="PP"/>
    <n v="7"/>
    <n v="370.94"/>
    <n v="8.4"/>
    <m/>
    <m/>
    <n v="362.54"/>
    <s v="362.54"/>
    <m/>
    <m/>
    <m/>
    <n v="0"/>
    <n v="0"/>
    <m/>
    <m/>
    <m/>
    <m/>
    <m/>
    <m/>
    <m/>
    <m/>
    <n v="0"/>
    <n v="0"/>
    <n v="0"/>
    <n v="12"/>
    <n v="12"/>
    <m/>
    <m/>
    <n v="0"/>
    <n v="372.54"/>
    <m/>
    <x v="9"/>
    <m/>
    <m/>
    <m/>
    <m/>
  </r>
  <r>
    <x v="1"/>
    <x v="4"/>
    <s v="7398/10"/>
    <x v="124"/>
    <s v="فیصل پلاسٹک فیصل آباد"/>
    <s v="PP"/>
    <s v="13"/>
    <n v="9"/>
    <s v="PP"/>
    <n v="100"/>
    <s v="PP"/>
    <n v="2"/>
    <n v="71.69"/>
    <n v="2.6"/>
    <m/>
    <m/>
    <n v="69.09"/>
    <s v="69.09"/>
    <m/>
    <m/>
    <m/>
    <n v="0"/>
    <n v="0"/>
    <m/>
    <m/>
    <m/>
    <m/>
    <m/>
    <m/>
    <m/>
    <m/>
    <n v="0"/>
    <n v="0"/>
    <n v="0"/>
    <n v="12"/>
    <n v="12"/>
    <m/>
    <m/>
    <n v="0"/>
    <n v="79.09"/>
    <m/>
    <x v="9"/>
    <m/>
    <m/>
    <m/>
    <m/>
  </r>
  <r>
    <x v="0"/>
    <x v="0"/>
    <s v="3/4"/>
    <x v="125"/>
    <s v="سٹاک"/>
    <s v="PP"/>
    <n v="3"/>
    <s v="5.5-6"/>
    <s v="PP"/>
    <n v="500"/>
    <s v="PP"/>
    <n v="9"/>
    <n v="129.78"/>
    <n v="2.6999999999999997"/>
    <n v="26"/>
    <m/>
    <n v="127.08"/>
    <s v="1057.2700000000002"/>
    <m/>
    <m/>
    <m/>
    <n v="0"/>
    <n v="0"/>
    <m/>
    <m/>
    <m/>
    <m/>
    <m/>
    <m/>
    <m/>
    <m/>
    <n v="0"/>
    <n v="0"/>
    <n v="0"/>
    <n v="12"/>
    <n v="12"/>
    <m/>
    <n v="1184"/>
    <n v="0"/>
    <n v="132.07999999999998"/>
    <n v="398"/>
    <x v="9"/>
    <m/>
    <m/>
    <m/>
    <m/>
  </r>
  <r>
    <x v="1"/>
    <x v="0"/>
    <s v="3/4"/>
    <x v="125"/>
    <s v="سٹاک"/>
    <s v="PP"/>
    <n v="3"/>
    <s v="5.5-6"/>
    <s v="PP"/>
    <n v="500"/>
    <s v="PP"/>
    <n v="7"/>
    <n v="98.7"/>
    <n v="2.1"/>
    <n v="16"/>
    <m/>
    <n v="96.600000000000009"/>
    <s v="1057.2700000000002"/>
    <m/>
    <m/>
    <m/>
    <n v="0"/>
    <n v="0"/>
    <m/>
    <m/>
    <m/>
    <m/>
    <m/>
    <n v="240"/>
    <m/>
    <m/>
    <n v="240"/>
    <n v="4"/>
    <n v="4"/>
    <n v="8"/>
    <n v="12"/>
    <m/>
    <m/>
    <n v="0"/>
    <n v="101.6"/>
    <m/>
    <x v="9"/>
    <m/>
    <m/>
    <m/>
    <m/>
  </r>
  <r>
    <x v="0"/>
    <x v="1"/>
    <s v="4/6"/>
    <x v="125"/>
    <s v="سٹاک"/>
    <s v="PP"/>
    <n v="4"/>
    <s v="5-5.5"/>
    <s v="PP"/>
    <n v="500"/>
    <s v="PP"/>
    <n v="9"/>
    <n v="138.10999999999999"/>
    <n v="3.6"/>
    <m/>
    <m/>
    <n v="134.51"/>
    <s v="1436.9299999999998"/>
    <m/>
    <m/>
    <m/>
    <n v="0"/>
    <n v="0"/>
    <m/>
    <m/>
    <m/>
    <m/>
    <m/>
    <m/>
    <m/>
    <m/>
    <n v="0"/>
    <n v="0"/>
    <n v="0"/>
    <n v="12"/>
    <n v="12"/>
    <m/>
    <m/>
    <n v="0"/>
    <n v="144.51"/>
    <m/>
    <x v="9"/>
    <m/>
    <m/>
    <m/>
    <m/>
  </r>
  <r>
    <x v="1"/>
    <x v="1"/>
    <s v="4/6"/>
    <x v="125"/>
    <s v="سٹاک"/>
    <s v="PP"/>
    <n v="4"/>
    <s v="5-5.5"/>
    <s v="PP"/>
    <n v="500"/>
    <s v="PP"/>
    <n v="8"/>
    <n v="123.53000000000002"/>
    <n v="3.2"/>
    <m/>
    <m/>
    <n v="120.33000000000001"/>
    <s v="1436.9299999999998"/>
    <m/>
    <m/>
    <m/>
    <n v="0"/>
    <n v="0"/>
    <m/>
    <m/>
    <m/>
    <m/>
    <m/>
    <n v="240"/>
    <m/>
    <m/>
    <n v="240"/>
    <n v="4"/>
    <n v="4"/>
    <n v="8"/>
    <n v="12"/>
    <m/>
    <m/>
    <n v="0"/>
    <n v="130.33000000000001"/>
    <m/>
    <x v="9"/>
    <m/>
    <m/>
    <m/>
    <m/>
  </r>
  <r>
    <x v="0"/>
    <x v="2"/>
    <s v="8/6"/>
    <x v="125"/>
    <s v="سٹاک"/>
    <s v="PP"/>
    <n v="8"/>
    <n v="5"/>
    <s v="PP"/>
    <n v="1000"/>
    <s v="PP"/>
    <n v="9"/>
    <n v="310.97000000000003"/>
    <n v="7.2"/>
    <m/>
    <m/>
    <n v="303.77000000000004"/>
    <s v="1030.43"/>
    <m/>
    <m/>
    <m/>
    <n v="0"/>
    <n v="0"/>
    <m/>
    <m/>
    <m/>
    <m/>
    <m/>
    <m/>
    <m/>
    <m/>
    <n v="0"/>
    <n v="0"/>
    <n v="0"/>
    <n v="12"/>
    <n v="12"/>
    <m/>
    <m/>
    <n v="0"/>
    <n v="308.77000000000004"/>
    <m/>
    <x v="9"/>
    <m/>
    <m/>
    <m/>
    <m/>
  </r>
  <r>
    <x v="1"/>
    <x v="2"/>
    <s v="8/6"/>
    <x v="125"/>
    <s v="سٹاک"/>
    <s v="PP"/>
    <n v="8"/>
    <n v="5"/>
    <s v="PP"/>
    <n v="1000"/>
    <s v="PP"/>
    <n v="3"/>
    <n v="102.47"/>
    <n v="2.4000000000000004"/>
    <m/>
    <m/>
    <n v="100.07"/>
    <s v="1030.43"/>
    <m/>
    <m/>
    <m/>
    <n v="0"/>
    <n v="0"/>
    <m/>
    <m/>
    <m/>
    <m/>
    <m/>
    <n v="240"/>
    <m/>
    <m/>
    <n v="240"/>
    <n v="4"/>
    <n v="4"/>
    <n v="8"/>
    <n v="12"/>
    <m/>
    <m/>
    <n v="0"/>
    <n v="105.07"/>
    <m/>
    <x v="9"/>
    <m/>
    <m/>
    <m/>
    <m/>
  </r>
  <r>
    <x v="1"/>
    <x v="2"/>
    <s v="7398/3"/>
    <x v="125"/>
    <s v="فیصل پلاسٹک فیصل آباد"/>
    <s v="PP"/>
    <n v="8"/>
    <n v="9"/>
    <s v="PP"/>
    <n v="250"/>
    <s v="PP"/>
    <n v="6"/>
    <n v="169.52"/>
    <n v="4.8000000000000007"/>
    <m/>
    <m/>
    <n v="164.72"/>
    <s v="280.77"/>
    <m/>
    <m/>
    <m/>
    <n v="0"/>
    <n v="0"/>
    <m/>
    <m/>
    <m/>
    <m/>
    <m/>
    <m/>
    <m/>
    <m/>
    <n v="0"/>
    <n v="0"/>
    <n v="0"/>
    <n v="12"/>
    <n v="12"/>
    <m/>
    <m/>
    <n v="0"/>
    <n v="169.72"/>
    <m/>
    <x v="9"/>
    <m/>
    <m/>
    <m/>
    <m/>
  </r>
  <r>
    <x v="0"/>
    <x v="3"/>
    <s v="7404/2"/>
    <x v="125"/>
    <s v="العمر پلاسٹک گوجرانوالہ"/>
    <s v="PP"/>
    <s v="24"/>
    <n v="14"/>
    <s v="PP"/>
    <n v="200"/>
    <s v="PP"/>
    <n v="1"/>
    <n v="24.3"/>
    <n v="2"/>
    <m/>
    <m/>
    <n v="22.3"/>
    <s v="230.81"/>
    <n v="20"/>
    <m/>
    <m/>
    <n v="20"/>
    <n v="0.33333333333333331"/>
    <m/>
    <m/>
    <n v="360"/>
    <m/>
    <m/>
    <m/>
    <m/>
    <m/>
    <n v="360"/>
    <n v="6"/>
    <n v="6.333333333333333"/>
    <n v="5.666666666666667"/>
    <n v="12"/>
    <m/>
    <m/>
    <n v="0"/>
    <n v="29.3"/>
    <m/>
    <x v="9"/>
    <m/>
    <m/>
    <m/>
    <m/>
  </r>
  <r>
    <x v="0"/>
    <x v="3"/>
    <s v="18/5"/>
    <x v="125"/>
    <s v="سٹاک"/>
    <s v="PP"/>
    <n v="18"/>
    <n v="5"/>
    <s v="PP"/>
    <n v="500"/>
    <s v="PP"/>
    <n v="4"/>
    <n v="224.85000000000002"/>
    <n v="7.2"/>
    <m/>
    <m/>
    <n v="217.65000000000003"/>
    <s v="1133.68"/>
    <m/>
    <m/>
    <m/>
    <n v="0"/>
    <n v="0"/>
    <m/>
    <m/>
    <m/>
    <m/>
    <m/>
    <m/>
    <m/>
    <m/>
    <n v="0"/>
    <n v="0"/>
    <n v="0"/>
    <n v="12"/>
    <n v="12"/>
    <m/>
    <m/>
    <n v="0"/>
    <n v="224.65000000000003"/>
    <m/>
    <x v="9"/>
    <m/>
    <m/>
    <m/>
    <m/>
  </r>
  <r>
    <x v="0"/>
    <x v="4"/>
    <s v="7398/2"/>
    <x v="125"/>
    <s v="فیصل پلاسٹک فیصل آباد"/>
    <s v="PP"/>
    <n v="7"/>
    <n v="9"/>
    <s v="PP"/>
    <n v="250"/>
    <s v="PP"/>
    <n v="8"/>
    <n v="315.02999999999997"/>
    <n v="11.2"/>
    <m/>
    <m/>
    <n v="303.83"/>
    <s v="303.83"/>
    <n v="20"/>
    <m/>
    <m/>
    <n v="20"/>
    <n v="0.33333333333333331"/>
    <m/>
    <m/>
    <m/>
    <m/>
    <m/>
    <m/>
    <m/>
    <m/>
    <n v="0"/>
    <n v="0"/>
    <n v="0.33333333333333331"/>
    <n v="11.666666666666666"/>
    <n v="12"/>
    <m/>
    <m/>
    <n v="0"/>
    <n v="313.83"/>
    <m/>
    <x v="9"/>
    <m/>
    <m/>
    <m/>
    <m/>
  </r>
  <r>
    <x v="0"/>
    <x v="4"/>
    <s v="7398/8"/>
    <x v="125"/>
    <s v="فیصل پلاسٹک فیصل آباد"/>
    <s v="PP"/>
    <n v="11"/>
    <n v="9"/>
    <s v="PP"/>
    <n v="150"/>
    <s v="PP"/>
    <n v="4"/>
    <n v="139.62"/>
    <n v="4.4000000000000004"/>
    <m/>
    <m/>
    <n v="135.22"/>
    <s v="135.22"/>
    <n v="20"/>
    <m/>
    <m/>
    <n v="20"/>
    <n v="0.33333333333333331"/>
    <m/>
    <m/>
    <m/>
    <m/>
    <m/>
    <m/>
    <m/>
    <m/>
    <n v="0"/>
    <n v="0"/>
    <n v="0.33333333333333331"/>
    <n v="11.666666666666666"/>
    <n v="12"/>
    <m/>
    <m/>
    <n v="0"/>
    <n v="145.22"/>
    <m/>
    <x v="9"/>
    <m/>
    <m/>
    <m/>
    <m/>
  </r>
  <r>
    <x v="1"/>
    <x v="4"/>
    <s v="11/5"/>
    <x v="125"/>
    <s v="سٹاک"/>
    <s v="PP"/>
    <n v="11"/>
    <s v="5-5.5"/>
    <s v="PP"/>
    <n v="1000"/>
    <s v="PP"/>
    <n v="7"/>
    <n v="355.4"/>
    <n v="7.7000000000000011"/>
    <m/>
    <m/>
    <n v="347.7"/>
    <s v="1037.9000000000001"/>
    <m/>
    <m/>
    <m/>
    <n v="0"/>
    <n v="0"/>
    <m/>
    <m/>
    <m/>
    <m/>
    <m/>
    <n v="240"/>
    <m/>
    <m/>
    <n v="240"/>
    <n v="4"/>
    <n v="4"/>
    <n v="8"/>
    <n v="12"/>
    <m/>
    <m/>
    <n v="0"/>
    <n v="357.7"/>
    <m/>
    <x v="9"/>
    <m/>
    <m/>
    <m/>
    <m/>
  </r>
  <r>
    <x v="2"/>
    <x v="6"/>
    <m/>
    <x v="126"/>
    <s v="A+B SHIFT ALL MACHINES OFF"/>
    <m/>
    <m/>
    <m/>
    <m/>
    <m/>
    <s v="PP"/>
    <m/>
    <m/>
    <m/>
    <m/>
    <m/>
    <m/>
    <m/>
    <m/>
    <m/>
    <m/>
    <n v="0"/>
    <n v="0"/>
    <m/>
    <m/>
    <m/>
    <m/>
    <m/>
    <m/>
    <m/>
    <m/>
    <n v="0"/>
    <n v="0"/>
    <n v="0"/>
    <n v="12"/>
    <n v="12"/>
    <m/>
    <n v="1184"/>
    <n v="0"/>
    <m/>
    <n v="398"/>
    <x v="9"/>
    <m/>
    <m/>
    <m/>
    <m/>
  </r>
  <r>
    <x v="2"/>
    <x v="6"/>
    <m/>
    <x v="127"/>
    <s v="A+B SHIFT ALL MACHINES OFF"/>
    <m/>
    <m/>
    <m/>
    <m/>
    <m/>
    <s v="PP"/>
    <m/>
    <m/>
    <m/>
    <m/>
    <m/>
    <m/>
    <m/>
    <m/>
    <m/>
    <m/>
    <n v="0"/>
    <n v="0"/>
    <m/>
    <m/>
    <m/>
    <m/>
    <m/>
    <m/>
    <m/>
    <m/>
    <n v="0"/>
    <n v="0"/>
    <n v="0"/>
    <n v="12"/>
    <n v="12"/>
    <m/>
    <m/>
    <n v="0"/>
    <m/>
    <m/>
    <x v="10"/>
    <m/>
    <m/>
    <m/>
    <m/>
  </r>
  <r>
    <x v="0"/>
    <x v="0"/>
    <s v="3/4"/>
    <x v="128"/>
    <s v="سٹاک"/>
    <s v="PP"/>
    <n v="3"/>
    <s v="5.5-6"/>
    <s v="PP"/>
    <n v="500"/>
    <s v="PP"/>
    <n v="3"/>
    <n v="36.61"/>
    <n v="0.89999999999999991"/>
    <n v="19.5"/>
    <m/>
    <n v="35.71"/>
    <s v="1057.2700000000002"/>
    <n v="20"/>
    <m/>
    <n v="180"/>
    <n v="200"/>
    <n v="3.3333333333333335"/>
    <m/>
    <m/>
    <m/>
    <m/>
    <m/>
    <m/>
    <m/>
    <m/>
    <n v="0"/>
    <n v="0"/>
    <n v="3.3333333333333335"/>
    <n v="8.6666666666666661"/>
    <n v="12"/>
    <m/>
    <m/>
    <n v="0"/>
    <n v="45.71"/>
    <m/>
    <x v="10"/>
    <m/>
    <m/>
    <m/>
    <m/>
  </r>
  <r>
    <x v="0"/>
    <x v="0"/>
    <s v="2/3"/>
    <x v="128"/>
    <s v="سٹاک"/>
    <s v="PP"/>
    <n v="2"/>
    <s v="5.5-6"/>
    <s v="PP"/>
    <n v="375"/>
    <s v="PP"/>
    <n v="3"/>
    <n v="36.06"/>
    <n v="0.89999999999999991"/>
    <m/>
    <m/>
    <n v="35.160000000000004"/>
    <s v="463.57999999999993"/>
    <m/>
    <m/>
    <m/>
    <n v="0"/>
    <n v="0"/>
    <m/>
    <m/>
    <m/>
    <m/>
    <m/>
    <m/>
    <m/>
    <m/>
    <n v="0"/>
    <n v="0"/>
    <n v="0"/>
    <n v="12"/>
    <n v="12"/>
    <m/>
    <m/>
    <n v="0"/>
    <n v="45.16"/>
    <m/>
    <x v="10"/>
    <m/>
    <m/>
    <m/>
    <m/>
  </r>
  <r>
    <x v="1"/>
    <x v="0"/>
    <s v="2/3"/>
    <x v="128"/>
    <s v="سٹاک"/>
    <s v="PP"/>
    <n v="2"/>
    <s v="5.5-6"/>
    <s v="PP"/>
    <n v="375"/>
    <s v="PP"/>
    <n v="6"/>
    <n v="106.12999999999998"/>
    <n v="1.2000000000000002"/>
    <n v="24.5"/>
    <m/>
    <n v="104.92999999999998"/>
    <s v="463.57999999999993"/>
    <m/>
    <m/>
    <m/>
    <n v="0"/>
    <n v="0"/>
    <m/>
    <m/>
    <m/>
    <m/>
    <m/>
    <m/>
    <m/>
    <m/>
    <n v="0"/>
    <n v="0"/>
    <n v="0"/>
    <n v="12"/>
    <n v="12"/>
    <m/>
    <m/>
    <n v="0"/>
    <n v="114.92999999999998"/>
    <m/>
    <x v="10"/>
    <m/>
    <m/>
    <m/>
    <m/>
  </r>
  <r>
    <x v="0"/>
    <x v="1"/>
    <s v="4/7"/>
    <x v="128"/>
    <s v="سٹاک"/>
    <s v="PP"/>
    <n v="4"/>
    <s v="5-5.5"/>
    <s v="PP"/>
    <n v="500"/>
    <s v="PP"/>
    <n v="7"/>
    <n v="89.47"/>
    <n v="2.8000000000000003"/>
    <m/>
    <m/>
    <n v="86.67"/>
    <s v="238.3"/>
    <m/>
    <m/>
    <n v="200"/>
    <n v="200"/>
    <n v="3.3333333333333335"/>
    <m/>
    <m/>
    <n v="60"/>
    <m/>
    <m/>
    <m/>
    <m/>
    <m/>
    <n v="60"/>
    <n v="1"/>
    <n v="4.3333333333333339"/>
    <n v="7.6666666666666652"/>
    <n v="12"/>
    <m/>
    <m/>
    <n v="0"/>
    <n v="96.67"/>
    <m/>
    <x v="10"/>
    <m/>
    <m/>
    <m/>
    <m/>
  </r>
  <r>
    <x v="0"/>
    <x v="1"/>
    <s v="7411/7"/>
    <x v="128"/>
    <s v="اصف پلاسٹک سرگودھا"/>
    <s v="PP"/>
    <s v="4"/>
    <n v="4"/>
    <s v="PP"/>
    <n v="200"/>
    <s v="PP"/>
    <n v="1"/>
    <n v="13.27"/>
    <n v="0.4"/>
    <m/>
    <m/>
    <n v="12.87"/>
    <s v="169.32999999999998"/>
    <m/>
    <m/>
    <m/>
    <n v="0"/>
    <n v="0"/>
    <m/>
    <m/>
    <m/>
    <m/>
    <m/>
    <m/>
    <m/>
    <m/>
    <n v="0"/>
    <n v="0"/>
    <n v="0"/>
    <n v="12"/>
    <n v="12"/>
    <m/>
    <m/>
    <n v="0"/>
    <n v="22.869999999999997"/>
    <m/>
    <x v="10"/>
    <m/>
    <m/>
    <m/>
    <m/>
  </r>
  <r>
    <x v="1"/>
    <x v="1"/>
    <s v="7411/7"/>
    <x v="128"/>
    <s v="اصف پلاسٹک سرگودھا"/>
    <s v="PP"/>
    <s v="4"/>
    <n v="4"/>
    <s v="PP"/>
    <n v="200"/>
    <s v="PP"/>
    <n v="12"/>
    <n v="145.56"/>
    <n v="4.8000000000000007"/>
    <m/>
    <m/>
    <n v="140.76"/>
    <s v="169.32999999999998"/>
    <m/>
    <m/>
    <m/>
    <n v="0"/>
    <n v="0"/>
    <m/>
    <m/>
    <m/>
    <m/>
    <m/>
    <m/>
    <m/>
    <m/>
    <n v="0"/>
    <n v="0"/>
    <n v="0"/>
    <n v="12"/>
    <n v="12"/>
    <m/>
    <m/>
    <n v="0"/>
    <n v="150.76"/>
    <m/>
    <x v="10"/>
    <m/>
    <m/>
    <m/>
    <m/>
  </r>
  <r>
    <x v="0"/>
    <x v="2"/>
    <s v="7398/3"/>
    <x v="128"/>
    <s v="فیصل پلاسٹک فیصل آباد"/>
    <s v="PP"/>
    <n v="8"/>
    <n v="9"/>
    <s v="PP"/>
    <n v="250"/>
    <s v="PP"/>
    <n v="5"/>
    <n v="121.55"/>
    <n v="5.5"/>
    <m/>
    <m/>
    <n v="116.05"/>
    <s v="280.77"/>
    <n v="25"/>
    <m/>
    <n v="195"/>
    <n v="220"/>
    <n v="3.6666666666666665"/>
    <m/>
    <m/>
    <n v="60"/>
    <m/>
    <m/>
    <m/>
    <m/>
    <m/>
    <n v="60"/>
    <n v="1"/>
    <n v="4.6666666666666661"/>
    <n v="7.3333333333333348"/>
    <n v="12"/>
    <m/>
    <m/>
    <n v="0"/>
    <n v="126.05"/>
    <m/>
    <x v="10"/>
    <m/>
    <m/>
    <m/>
    <m/>
  </r>
  <r>
    <x v="0"/>
    <x v="2"/>
    <s v="7399/1"/>
    <x v="128"/>
    <s v="عمران مشتاق پتوکی"/>
    <s v="PP"/>
    <s v="6"/>
    <n v="10"/>
    <s v="PP"/>
    <n v="50"/>
    <s v="PP"/>
    <n v="2"/>
    <n v="57.54"/>
    <n v="1.6"/>
    <m/>
    <m/>
    <n v="55.94"/>
    <s v="105.38999999999999"/>
    <m/>
    <m/>
    <m/>
    <n v="0"/>
    <n v="0"/>
    <m/>
    <m/>
    <m/>
    <m/>
    <m/>
    <m/>
    <m/>
    <m/>
    <n v="0"/>
    <n v="0"/>
    <n v="0"/>
    <n v="12"/>
    <n v="12"/>
    <m/>
    <m/>
    <n v="0"/>
    <n v="65.94"/>
    <m/>
    <x v="10"/>
    <m/>
    <m/>
    <m/>
    <m/>
  </r>
  <r>
    <x v="0"/>
    <x v="2"/>
    <s v="7411/5"/>
    <x v="128"/>
    <s v="اصف پلاسٹک سرگودھا"/>
    <s v="PP"/>
    <s v="7"/>
    <n v="4"/>
    <s v="PP"/>
    <n v="100"/>
    <s v="PP"/>
    <n v="2"/>
    <n v="57.769999999999996"/>
    <n v="1.4"/>
    <m/>
    <m/>
    <n v="56.37"/>
    <s v="56.37"/>
    <m/>
    <m/>
    <m/>
    <n v="0"/>
    <n v="0"/>
    <m/>
    <m/>
    <m/>
    <m/>
    <m/>
    <m/>
    <m/>
    <m/>
    <n v="0"/>
    <n v="0"/>
    <n v="0"/>
    <n v="12"/>
    <n v="12"/>
    <m/>
    <m/>
    <n v="0"/>
    <n v="66.37"/>
    <m/>
    <x v="10"/>
    <m/>
    <m/>
    <m/>
    <m/>
  </r>
  <r>
    <x v="1"/>
    <x v="2"/>
    <s v="7399/1"/>
    <x v="128"/>
    <s v="عمران مشتاق پتوکی"/>
    <s v="PP"/>
    <s v="6"/>
    <n v="10"/>
    <s v="PP"/>
    <n v="50"/>
    <s v="PP"/>
    <n v="2"/>
    <n v="50.65"/>
    <n v="1.2"/>
    <m/>
    <m/>
    <n v="49.449999999999996"/>
    <s v="105.38999999999999"/>
    <m/>
    <m/>
    <m/>
    <n v="0"/>
    <n v="0"/>
    <m/>
    <m/>
    <m/>
    <m/>
    <m/>
    <m/>
    <m/>
    <m/>
    <n v="0"/>
    <n v="0"/>
    <n v="0"/>
    <n v="12"/>
    <n v="12"/>
    <m/>
    <m/>
    <n v="0"/>
    <n v="59.45"/>
    <m/>
    <x v="10"/>
    <m/>
    <m/>
    <m/>
    <m/>
  </r>
  <r>
    <x v="1"/>
    <x v="2"/>
    <s v="7311/5"/>
    <x v="128"/>
    <s v="ایم ار یس   سرگودھا"/>
    <s v="PP"/>
    <n v="10"/>
    <n v="5"/>
    <s v="PP"/>
    <n v="25"/>
    <s v="PP"/>
    <n v="9"/>
    <n v="108.20999999999998"/>
    <n v="2.8"/>
    <m/>
    <m/>
    <n v="105.40999999999998"/>
    <s v="105.40999999999998"/>
    <m/>
    <m/>
    <m/>
    <n v="0"/>
    <n v="0"/>
    <m/>
    <m/>
    <m/>
    <m/>
    <m/>
    <m/>
    <m/>
    <m/>
    <n v="0"/>
    <n v="0"/>
    <n v="0"/>
    <n v="12"/>
    <n v="12"/>
    <m/>
    <m/>
    <n v="0"/>
    <n v="115.40999999999998"/>
    <m/>
    <x v="10"/>
    <m/>
    <m/>
    <m/>
    <m/>
  </r>
  <r>
    <x v="1"/>
    <x v="2"/>
    <s v="7415/1"/>
    <x v="128"/>
    <s v="عثمان امین لاہور"/>
    <s v="PP"/>
    <s v="7"/>
    <n v="5"/>
    <s v="PP"/>
    <n v="4000"/>
    <s v="PP"/>
    <n v="4"/>
    <n v="128.01999999999998"/>
    <n v="2.8"/>
    <m/>
    <m/>
    <n v="125.21999999999998"/>
    <s v="4160.5300000000007"/>
    <m/>
    <m/>
    <m/>
    <n v="0"/>
    <n v="0"/>
    <m/>
    <m/>
    <m/>
    <m/>
    <m/>
    <m/>
    <m/>
    <m/>
    <n v="0"/>
    <n v="0"/>
    <n v="0"/>
    <n v="12"/>
    <n v="12"/>
    <m/>
    <m/>
    <n v="0"/>
    <n v="135.21999999999997"/>
    <m/>
    <x v="10"/>
    <m/>
    <m/>
    <m/>
    <m/>
  </r>
  <r>
    <x v="0"/>
    <x v="4"/>
    <s v="11/5"/>
    <x v="128"/>
    <s v="سٹاک"/>
    <s v="PP"/>
    <n v="11"/>
    <s v="5-5.5"/>
    <s v="PP"/>
    <n v="1000"/>
    <s v="PP"/>
    <n v="8"/>
    <n v="345.13"/>
    <n v="9.64"/>
    <m/>
    <m/>
    <n v="335.49"/>
    <s v="1037.9000000000001"/>
    <n v="25"/>
    <m/>
    <n v="160"/>
    <n v="185"/>
    <n v="3.0833333333333335"/>
    <m/>
    <m/>
    <n v="60"/>
    <m/>
    <m/>
    <m/>
    <m/>
    <m/>
    <n v="60"/>
    <n v="1"/>
    <n v="4.0833333333333339"/>
    <n v="7.9166666666666652"/>
    <n v="12"/>
    <m/>
    <m/>
    <n v="0"/>
    <n v="345.49"/>
    <m/>
    <x v="10"/>
    <m/>
    <m/>
    <m/>
    <m/>
  </r>
  <r>
    <x v="1"/>
    <x v="4"/>
    <s v="11/5"/>
    <x v="128"/>
    <s v="سٹاک"/>
    <s v="PP"/>
    <n v="11"/>
    <s v="5-5.5"/>
    <s v="PP"/>
    <n v="1000"/>
    <s v="PP"/>
    <n v="9"/>
    <n v="363.51"/>
    <n v="8.8000000000000007"/>
    <m/>
    <m/>
    <n v="354.71"/>
    <s v="1037.9000000000001"/>
    <m/>
    <m/>
    <m/>
    <n v="0"/>
    <n v="0"/>
    <m/>
    <m/>
    <m/>
    <m/>
    <m/>
    <m/>
    <m/>
    <m/>
    <n v="0"/>
    <n v="0"/>
    <n v="0"/>
    <n v="12"/>
    <n v="12"/>
    <m/>
    <m/>
    <n v="0"/>
    <n v="364.71"/>
    <m/>
    <x v="10"/>
    <m/>
    <m/>
    <m/>
    <m/>
  </r>
  <r>
    <x v="1"/>
    <x v="4"/>
    <s v="7411/3"/>
    <x v="128"/>
    <s v="اصف پلاسٹک سرگودھا"/>
    <s v="PP"/>
    <s v="16"/>
    <n v="4"/>
    <s v="PP"/>
    <n v="100"/>
    <s v="PP"/>
    <n v="1"/>
    <n v="52.93"/>
    <n v="1.6"/>
    <m/>
    <m/>
    <n v="51.33"/>
    <s v="51.33"/>
    <m/>
    <m/>
    <m/>
    <n v="0"/>
    <n v="0"/>
    <m/>
    <m/>
    <m/>
    <m/>
    <m/>
    <m/>
    <m/>
    <m/>
    <n v="0"/>
    <n v="0"/>
    <n v="0"/>
    <n v="12"/>
    <n v="12"/>
    <m/>
    <m/>
    <n v="0"/>
    <n v="61.33"/>
    <m/>
    <x v="10"/>
    <m/>
    <m/>
    <m/>
    <m/>
  </r>
  <r>
    <x v="1"/>
    <x v="4"/>
    <s v="16/3"/>
    <x v="128"/>
    <s v="سٹاک"/>
    <s v="PP"/>
    <n v="16"/>
    <n v="5"/>
    <s v="PP"/>
    <n v="1000"/>
    <s v="PP"/>
    <n v="2"/>
    <n v="92.65"/>
    <n v="3.2"/>
    <m/>
    <m/>
    <n v="89.45"/>
    <s v="1265.21"/>
    <m/>
    <m/>
    <m/>
    <n v="0"/>
    <n v="0"/>
    <m/>
    <m/>
    <m/>
    <m/>
    <m/>
    <m/>
    <m/>
    <m/>
    <n v="0"/>
    <n v="0"/>
    <n v="0"/>
    <n v="12"/>
    <n v="12"/>
    <m/>
    <m/>
    <n v="0"/>
    <n v="99.45"/>
    <m/>
    <x v="10"/>
    <m/>
    <m/>
    <m/>
    <m/>
  </r>
  <r>
    <x v="1"/>
    <x v="4"/>
    <s v="7408/2"/>
    <x v="128"/>
    <s v="رمضان پلاسٹک سیالکوٹ"/>
    <s v="PP"/>
    <s v="11"/>
    <n v="7"/>
    <s v="PP"/>
    <n v="75"/>
    <s v="PP"/>
    <n v="1"/>
    <n v="52.49"/>
    <n v="1.1000000000000001"/>
    <m/>
    <m/>
    <n v="51.39"/>
    <s v="51.39"/>
    <m/>
    <m/>
    <m/>
    <n v="0"/>
    <n v="0"/>
    <m/>
    <m/>
    <m/>
    <m/>
    <m/>
    <m/>
    <m/>
    <m/>
    <n v="0"/>
    <n v="0"/>
    <n v="0"/>
    <n v="12"/>
    <n v="12"/>
    <m/>
    <m/>
    <n v="0"/>
    <n v="61.39"/>
    <m/>
    <x v="10"/>
    <m/>
    <m/>
    <m/>
    <m/>
  </r>
  <r>
    <x v="0"/>
    <x v="0"/>
    <s v="2/3"/>
    <x v="129"/>
    <s v="سٹاک"/>
    <s v="PP"/>
    <n v="2"/>
    <s v="5.5-6"/>
    <s v="PP"/>
    <n v="375"/>
    <s v="PP"/>
    <n v="7"/>
    <n v="108.45"/>
    <n v="1.4000000000000001"/>
    <n v="33"/>
    <m/>
    <n v="107.05"/>
    <s v="463.57999999999993"/>
    <m/>
    <m/>
    <m/>
    <n v="0"/>
    <n v="0"/>
    <m/>
    <m/>
    <n v="45"/>
    <m/>
    <m/>
    <m/>
    <m/>
    <m/>
    <n v="45"/>
    <n v="0.75"/>
    <n v="0.75"/>
    <n v="11.25"/>
    <n v="12"/>
    <m/>
    <m/>
    <n v="0"/>
    <n v="117.05"/>
    <m/>
    <x v="10"/>
    <m/>
    <m/>
    <m/>
    <m/>
  </r>
  <r>
    <x v="1"/>
    <x v="0"/>
    <s v="2/3"/>
    <x v="129"/>
    <s v="سٹاک"/>
    <s v="PP"/>
    <n v="2"/>
    <s v="5.5-6"/>
    <s v="PP"/>
    <n v="375"/>
    <s v="PP"/>
    <n v="7"/>
    <n v="107.36999999999999"/>
    <n v="1.4000000000000001"/>
    <n v="29"/>
    <m/>
    <n v="105.96999999999998"/>
    <s v="463.57999999999993"/>
    <m/>
    <m/>
    <m/>
    <n v="0"/>
    <n v="0"/>
    <m/>
    <m/>
    <m/>
    <m/>
    <m/>
    <m/>
    <m/>
    <m/>
    <n v="0"/>
    <n v="0"/>
    <n v="0"/>
    <n v="12"/>
    <n v="12"/>
    <m/>
    <m/>
    <n v="0"/>
    <n v="115.96999999999998"/>
    <m/>
    <x v="10"/>
    <m/>
    <m/>
    <m/>
    <m/>
  </r>
  <r>
    <x v="0"/>
    <x v="1"/>
    <s v="7411/7"/>
    <x v="129"/>
    <s v="اصف پلاسٹک سرگودھا"/>
    <s v="PP"/>
    <s v="4"/>
    <n v="4"/>
    <s v="PP"/>
    <n v="200"/>
    <s v="PP"/>
    <n v="1"/>
    <n v="16.100000000000001"/>
    <n v="0.4"/>
    <m/>
    <m/>
    <n v="15.700000000000001"/>
    <s v="169.32999999999998"/>
    <m/>
    <m/>
    <m/>
    <n v="0"/>
    <n v="0"/>
    <m/>
    <m/>
    <m/>
    <m/>
    <m/>
    <m/>
    <m/>
    <m/>
    <n v="0"/>
    <n v="0"/>
    <n v="0"/>
    <n v="12"/>
    <n v="12"/>
    <m/>
    <m/>
    <n v="0"/>
    <n v="25.700000000000003"/>
    <m/>
    <x v="10"/>
    <m/>
    <m/>
    <m/>
    <m/>
  </r>
  <r>
    <x v="0"/>
    <x v="1"/>
    <s v="7415/2"/>
    <x v="129"/>
    <s v="عثمان امین لاہور"/>
    <s v="PP"/>
    <s v="4"/>
    <n v="5"/>
    <s v="PP"/>
    <n v="2000"/>
    <s v="PP"/>
    <n v="12"/>
    <n v="156.73999999999998"/>
    <n v="4.8000000000000007"/>
    <m/>
    <m/>
    <n v="151.93999999999997"/>
    <s v="2879.5000000000005"/>
    <m/>
    <m/>
    <m/>
    <n v="0"/>
    <n v="0"/>
    <m/>
    <m/>
    <n v="45"/>
    <m/>
    <m/>
    <m/>
    <m/>
    <m/>
    <n v="45"/>
    <n v="0.75"/>
    <n v="0.75"/>
    <n v="11.25"/>
    <n v="12"/>
    <m/>
    <m/>
    <n v="0"/>
    <n v="161.93999999999997"/>
    <m/>
    <x v="10"/>
    <m/>
    <m/>
    <m/>
    <m/>
  </r>
  <r>
    <x v="1"/>
    <x v="1"/>
    <s v="7415/2"/>
    <x v="129"/>
    <s v="عثمان امین لاہور"/>
    <s v="PP"/>
    <s v="4"/>
    <n v="5"/>
    <s v="PP"/>
    <n v="2000"/>
    <s v="PP"/>
    <n v="14"/>
    <n v="172.63"/>
    <n v="5.6000000000000005"/>
    <m/>
    <m/>
    <n v="167.03"/>
    <s v="2879.5000000000005"/>
    <m/>
    <m/>
    <m/>
    <n v="0"/>
    <n v="0"/>
    <m/>
    <m/>
    <m/>
    <m/>
    <m/>
    <m/>
    <m/>
    <m/>
    <n v="0"/>
    <n v="0"/>
    <n v="0"/>
    <n v="12"/>
    <n v="12"/>
    <m/>
    <m/>
    <n v="0"/>
    <n v="177.03"/>
    <m/>
    <x v="10"/>
    <m/>
    <m/>
    <m/>
    <m/>
  </r>
  <r>
    <x v="0"/>
    <x v="2"/>
    <s v="7415/1"/>
    <x v="129"/>
    <s v="عثمان امین لاہور"/>
    <s v="PP"/>
    <s v="7"/>
    <n v="5"/>
    <s v="PP"/>
    <n v="4000"/>
    <s v="PP"/>
    <n v="7"/>
    <n v="203.85000000000002"/>
    <n v="4.8999999999999995"/>
    <m/>
    <m/>
    <n v="198.95000000000002"/>
    <s v="4160.5300000000007"/>
    <m/>
    <m/>
    <n v="165"/>
    <n v="165"/>
    <n v="2.75"/>
    <m/>
    <m/>
    <m/>
    <m/>
    <m/>
    <m/>
    <m/>
    <m/>
    <n v="0"/>
    <n v="0"/>
    <n v="2.75"/>
    <n v="9.25"/>
    <n v="12"/>
    <m/>
    <m/>
    <n v="0"/>
    <n v="208.95"/>
    <m/>
    <x v="10"/>
    <m/>
    <m/>
    <m/>
    <m/>
  </r>
  <r>
    <x v="1"/>
    <x v="2"/>
    <s v="7415/1"/>
    <x v="129"/>
    <s v="عثمان امین لاہور"/>
    <s v="PP"/>
    <s v="7"/>
    <n v="5"/>
    <s v="PP"/>
    <n v="4000"/>
    <s v="PP"/>
    <n v="9"/>
    <n v="297.76"/>
    <n v="6.3"/>
    <m/>
    <m/>
    <n v="291.45999999999998"/>
    <s v="4160.5300000000007"/>
    <m/>
    <m/>
    <m/>
    <n v="0"/>
    <n v="0"/>
    <m/>
    <m/>
    <n v="130"/>
    <m/>
    <m/>
    <m/>
    <m/>
    <m/>
    <n v="130"/>
    <n v="2.1666666666666665"/>
    <n v="2.1666666666666665"/>
    <n v="9.8333333333333339"/>
    <n v="12"/>
    <m/>
    <m/>
    <n v="0"/>
    <n v="301.45999999999998"/>
    <m/>
    <x v="10"/>
    <m/>
    <m/>
    <m/>
    <m/>
  </r>
  <r>
    <x v="0"/>
    <x v="3"/>
    <s v="18/5"/>
    <x v="129"/>
    <s v="سٹاک"/>
    <s v="PP"/>
    <n v="18"/>
    <n v="5"/>
    <s v="PP"/>
    <n v="500"/>
    <s v="PP"/>
    <n v="8"/>
    <n v="425.09000000000003"/>
    <n v="17.600000000000001"/>
    <m/>
    <m/>
    <n v="407.49"/>
    <s v="1133.68"/>
    <m/>
    <m/>
    <n v="180"/>
    <n v="180"/>
    <n v="3"/>
    <m/>
    <m/>
    <n v="120"/>
    <m/>
    <m/>
    <m/>
    <m/>
    <m/>
    <n v="120"/>
    <n v="2"/>
    <n v="5"/>
    <n v="7"/>
    <n v="12"/>
    <m/>
    <m/>
    <n v="0"/>
    <n v="417.49"/>
    <m/>
    <x v="10"/>
    <m/>
    <m/>
    <m/>
    <m/>
  </r>
  <r>
    <x v="0"/>
    <x v="3"/>
    <s v="7409/1"/>
    <x v="129"/>
    <s v="عاصم مدنی انارکلی"/>
    <s v="PP"/>
    <n v="18"/>
    <n v="7"/>
    <s v="PP"/>
    <n v="50"/>
    <s v="PP"/>
    <n v="2"/>
    <n v="107.5"/>
    <n v="4.4000000000000004"/>
    <m/>
    <m/>
    <n v="103.1"/>
    <s v="159.93"/>
    <m/>
    <m/>
    <m/>
    <n v="0"/>
    <n v="0"/>
    <m/>
    <m/>
    <m/>
    <m/>
    <m/>
    <m/>
    <m/>
    <m/>
    <n v="0"/>
    <n v="0"/>
    <n v="0"/>
    <n v="12"/>
    <n v="12"/>
    <m/>
    <m/>
    <n v="0"/>
    <n v="113.1"/>
    <m/>
    <x v="10"/>
    <m/>
    <m/>
    <m/>
    <m/>
  </r>
  <r>
    <x v="1"/>
    <x v="3"/>
    <s v="7409/1"/>
    <x v="129"/>
    <s v="عاصم مدنی انارکلی"/>
    <s v="PP"/>
    <n v="18"/>
    <n v="7"/>
    <s v="PP"/>
    <n v="50"/>
    <s v="PP"/>
    <n v="1"/>
    <n v="59.03"/>
    <n v="2.2000000000000002"/>
    <m/>
    <m/>
    <n v="56.83"/>
    <s v="159.93"/>
    <n v="25"/>
    <m/>
    <m/>
    <n v="25"/>
    <n v="0.41666666666666674"/>
    <m/>
    <m/>
    <m/>
    <m/>
    <m/>
    <m/>
    <m/>
    <m/>
    <n v="0"/>
    <n v="0"/>
    <n v="0.41666666666666674"/>
    <n v="11.583333333333334"/>
    <n v="12"/>
    <m/>
    <m/>
    <n v="0"/>
    <n v="66.83"/>
    <m/>
    <x v="10"/>
    <m/>
    <m/>
    <m/>
    <m/>
  </r>
  <r>
    <x v="1"/>
    <x v="3"/>
    <s v="4960 J"/>
    <x v="129"/>
    <s v="Bandu Khan Lahore"/>
    <s v="PP"/>
    <s v="18&quot; شیٹ"/>
    <s v="4-4.5/8-9"/>
    <s v="PP"/>
    <n v="100"/>
    <s v="PP"/>
    <n v="4"/>
    <n v="113.91999999999999"/>
    <n v="8.8000000000000007"/>
    <m/>
    <m/>
    <n v="105.11999999999999"/>
    <s v="105.11999999999999"/>
    <m/>
    <m/>
    <m/>
    <n v="0"/>
    <n v="0"/>
    <m/>
    <m/>
    <m/>
    <m/>
    <m/>
    <m/>
    <m/>
    <m/>
    <n v="0"/>
    <n v="0"/>
    <n v="0"/>
    <n v="12"/>
    <n v="12"/>
    <m/>
    <m/>
    <n v="0"/>
    <n v="115.12"/>
    <m/>
    <x v="10"/>
    <m/>
    <m/>
    <m/>
    <m/>
  </r>
  <r>
    <x v="1"/>
    <x v="3"/>
    <s v="4963 J"/>
    <x v="129"/>
    <s v="Bandu Khan Lahore"/>
    <s v="PP"/>
    <s v="22&quot; شیٹ"/>
    <s v="4-4.5/8-9"/>
    <s v="PP"/>
    <n v="100"/>
    <s v="PP"/>
    <n v="3"/>
    <n v="103.41999999999999"/>
    <n v="6.6000000000000005"/>
    <m/>
    <m/>
    <n v="96.82"/>
    <s v="96.82"/>
    <m/>
    <m/>
    <m/>
    <n v="0"/>
    <n v="0"/>
    <m/>
    <m/>
    <m/>
    <m/>
    <m/>
    <m/>
    <m/>
    <m/>
    <n v="0"/>
    <n v="0"/>
    <n v="0"/>
    <n v="12"/>
    <n v="12"/>
    <m/>
    <m/>
    <n v="0"/>
    <n v="106.82"/>
    <m/>
    <x v="10"/>
    <m/>
    <m/>
    <m/>
    <m/>
  </r>
  <r>
    <x v="1"/>
    <x v="3"/>
    <s v="18/5"/>
    <x v="129"/>
    <s v="سٹاک"/>
    <s v="PP"/>
    <n v="18"/>
    <n v="5"/>
    <s v="PP"/>
    <n v="500"/>
    <s v="PP"/>
    <n v="2"/>
    <n v="93.5"/>
    <n v="4.4000000000000004"/>
    <m/>
    <m/>
    <n v="89.1"/>
    <s v="1133.68"/>
    <m/>
    <m/>
    <m/>
    <n v="0"/>
    <n v="0"/>
    <m/>
    <m/>
    <m/>
    <m/>
    <m/>
    <m/>
    <m/>
    <m/>
    <n v="0"/>
    <n v="0"/>
    <n v="0"/>
    <n v="12"/>
    <n v="12"/>
    <m/>
    <m/>
    <n v="0"/>
    <n v="99.1"/>
    <m/>
    <x v="10"/>
    <m/>
    <m/>
    <m/>
    <m/>
  </r>
  <r>
    <x v="1"/>
    <x v="3"/>
    <s v="4964 J"/>
    <x v="129"/>
    <s v="Bandu Khan Lahore"/>
    <s v="PP"/>
    <s v="18&quot; شیٹ"/>
    <s v="4-4.5/8-9"/>
    <s v="PP"/>
    <n v="100"/>
    <s v="PP"/>
    <n v="4"/>
    <n v="113.30000000000001"/>
    <n v="8.8000000000000007"/>
    <m/>
    <m/>
    <n v="104.50000000000001"/>
    <s v="104.50000000000001"/>
    <m/>
    <m/>
    <m/>
    <n v="0"/>
    <n v="0"/>
    <m/>
    <m/>
    <m/>
    <m/>
    <m/>
    <m/>
    <m/>
    <m/>
    <n v="0"/>
    <n v="0"/>
    <n v="0"/>
    <n v="12"/>
    <n v="12"/>
    <m/>
    <m/>
    <n v="0"/>
    <n v="114.5"/>
    <m/>
    <x v="10"/>
    <m/>
    <m/>
    <m/>
    <m/>
  </r>
  <r>
    <x v="1"/>
    <x v="3"/>
    <s v="4962 J"/>
    <x v="129"/>
    <s v="Bandu Khan Lahore"/>
    <s v="PP"/>
    <s v="22&quot; شیٹ"/>
    <s v="4-4.5/8-9"/>
    <s v="PP"/>
    <n v="100"/>
    <s v="PP"/>
    <n v="3"/>
    <n v="108.10000000000001"/>
    <n v="6.6000000000000005"/>
    <m/>
    <m/>
    <n v="101.50000000000001"/>
    <s v="101.50000000000001"/>
    <m/>
    <m/>
    <m/>
    <n v="0"/>
    <n v="0"/>
    <m/>
    <m/>
    <m/>
    <m/>
    <m/>
    <m/>
    <m/>
    <m/>
    <n v="0"/>
    <n v="0"/>
    <n v="0"/>
    <n v="12"/>
    <n v="12"/>
    <m/>
    <m/>
    <n v="0"/>
    <n v="111.5"/>
    <m/>
    <x v="10"/>
    <m/>
    <m/>
    <m/>
    <m/>
  </r>
  <r>
    <x v="1"/>
    <x v="3"/>
    <s v="7422/4"/>
    <x v="129"/>
    <s v="العمر پلاسٹک گوجرانوالہ"/>
    <s v="PP"/>
    <s v="22"/>
    <n v="5"/>
    <s v="PP"/>
    <n v="100"/>
    <s v="PP"/>
    <n v="3"/>
    <n v="175.64"/>
    <n v="6.6000000000000005"/>
    <m/>
    <m/>
    <n v="169.04"/>
    <s v="390.80999999999995"/>
    <m/>
    <m/>
    <m/>
    <n v="0"/>
    <n v="0"/>
    <m/>
    <m/>
    <m/>
    <m/>
    <m/>
    <m/>
    <m/>
    <m/>
    <n v="0"/>
    <n v="0"/>
    <n v="0"/>
    <n v="12"/>
    <n v="12"/>
    <m/>
    <m/>
    <n v="0"/>
    <n v="179.04"/>
    <m/>
    <x v="10"/>
    <m/>
    <m/>
    <m/>
    <m/>
  </r>
  <r>
    <x v="0"/>
    <x v="4"/>
    <s v="16/3"/>
    <x v="129"/>
    <s v="سٹاک"/>
    <s v="PP"/>
    <n v="16"/>
    <n v="5"/>
    <s v="PP"/>
    <n v="1000"/>
    <s v="PP"/>
    <n v="6"/>
    <n v="309.91999999999996"/>
    <n v="11.399999999999999"/>
    <m/>
    <m/>
    <n v="298.52"/>
    <s v="1265.21"/>
    <m/>
    <m/>
    <n v="150"/>
    <n v="150"/>
    <n v="2.5"/>
    <m/>
    <m/>
    <m/>
    <m/>
    <m/>
    <m/>
    <m/>
    <m/>
    <n v="0"/>
    <n v="0"/>
    <n v="2.5"/>
    <n v="9.5"/>
    <n v="12"/>
    <m/>
    <m/>
    <n v="0"/>
    <n v="308.52"/>
    <m/>
    <x v="10"/>
    <m/>
    <m/>
    <m/>
    <m/>
  </r>
  <r>
    <x v="1"/>
    <x v="4"/>
    <s v="16/3"/>
    <x v="129"/>
    <s v="سٹاک"/>
    <s v="PP"/>
    <n v="16"/>
    <n v="5"/>
    <s v="PP"/>
    <n v="1000"/>
    <s v="PP"/>
    <n v="9"/>
    <n v="440.11"/>
    <n v="14.4"/>
    <m/>
    <m/>
    <n v="425.71000000000004"/>
    <s v="1265.21"/>
    <m/>
    <m/>
    <m/>
    <n v="0"/>
    <n v="0"/>
    <m/>
    <m/>
    <n v="10"/>
    <m/>
    <m/>
    <m/>
    <m/>
    <m/>
    <n v="10"/>
    <n v="0.16666666666666666"/>
    <n v="0.16666666666666666"/>
    <n v="11.833333333333334"/>
    <n v="12"/>
    <m/>
    <m/>
    <n v="0"/>
    <n v="435.71"/>
    <m/>
    <x v="10"/>
    <m/>
    <m/>
    <m/>
    <m/>
  </r>
  <r>
    <x v="0"/>
    <x v="0"/>
    <s v="2/3"/>
    <x v="130"/>
    <s v="سٹاک"/>
    <s v="PP"/>
    <n v="2"/>
    <s v="5.5-6"/>
    <s v="PP"/>
    <n v="375"/>
    <s v="PP"/>
    <n v="9"/>
    <n v="112.26999999999998"/>
    <n v="1.8"/>
    <n v="40.5"/>
    <m/>
    <n v="110.46999999999998"/>
    <s v="463.57999999999993"/>
    <n v="20"/>
    <m/>
    <m/>
    <n v="20"/>
    <n v="0.33333333333333331"/>
    <m/>
    <m/>
    <m/>
    <m/>
    <m/>
    <m/>
    <m/>
    <m/>
    <n v="0"/>
    <n v="0"/>
    <n v="0.33333333333333331"/>
    <n v="11.666666666666666"/>
    <n v="12"/>
    <m/>
    <m/>
    <n v="0"/>
    <n v="120.46999999999998"/>
    <m/>
    <x v="10"/>
    <m/>
    <m/>
    <m/>
    <m/>
  </r>
  <r>
    <x v="1"/>
    <x v="0"/>
    <s v="7399/2"/>
    <x v="130"/>
    <s v="عمران مشتاق پتوکی"/>
    <s v="PP"/>
    <s v="5"/>
    <n v="10"/>
    <s v="PP"/>
    <n v="50"/>
    <s v="PP"/>
    <n v="4"/>
    <n v="50.98"/>
    <n v="2"/>
    <n v="59.5"/>
    <m/>
    <n v="48.98"/>
    <s v="48.98"/>
    <n v="20"/>
    <m/>
    <m/>
    <n v="20"/>
    <n v="0.33333333333333331"/>
    <m/>
    <m/>
    <m/>
    <m/>
    <m/>
    <m/>
    <m/>
    <m/>
    <n v="0"/>
    <n v="0"/>
    <n v="0.33333333333333331"/>
    <n v="11.666666666666666"/>
    <n v="12"/>
    <m/>
    <m/>
    <n v="0"/>
    <n v="58.98"/>
    <m/>
    <x v="10"/>
    <m/>
    <m/>
    <m/>
    <m/>
  </r>
  <r>
    <x v="1"/>
    <x v="0"/>
    <s v="7411/8"/>
    <x v="130"/>
    <s v="اصف پلاسٹک سرگودھا"/>
    <s v="PP"/>
    <s v="3.5"/>
    <n v="4"/>
    <s v="PP"/>
    <n v="200"/>
    <s v="PP"/>
    <n v="7"/>
    <n v="87.6"/>
    <n v="2.4"/>
    <m/>
    <m/>
    <n v="85.199999999999989"/>
    <s v="108.15999999999998"/>
    <m/>
    <m/>
    <m/>
    <n v="0"/>
    <n v="0"/>
    <m/>
    <m/>
    <m/>
    <m/>
    <m/>
    <m/>
    <m/>
    <m/>
    <n v="0"/>
    <n v="0"/>
    <n v="0"/>
    <n v="12"/>
    <n v="12"/>
    <m/>
    <m/>
    <n v="0"/>
    <n v="95.199999999999989"/>
    <m/>
    <x v="10"/>
    <m/>
    <m/>
    <m/>
    <m/>
  </r>
  <r>
    <x v="0"/>
    <x v="1"/>
    <s v="7415/2"/>
    <x v="130"/>
    <s v="عثمان امین لاہور"/>
    <s v="PP"/>
    <s v="4"/>
    <n v="5"/>
    <s v="PP"/>
    <n v="2000"/>
    <s v="PP"/>
    <n v="14"/>
    <n v="169.76999999999998"/>
    <n v="5.6000000000000005"/>
    <m/>
    <m/>
    <n v="164.17"/>
    <s v="2879.5000000000005"/>
    <m/>
    <m/>
    <m/>
    <n v="0"/>
    <n v="0"/>
    <m/>
    <m/>
    <m/>
    <m/>
    <m/>
    <m/>
    <m/>
    <m/>
    <n v="0"/>
    <n v="0"/>
    <n v="0"/>
    <n v="12"/>
    <n v="12"/>
    <m/>
    <m/>
    <n v="0"/>
    <n v="174.17"/>
    <m/>
    <x v="10"/>
    <m/>
    <m/>
    <m/>
    <m/>
  </r>
  <r>
    <x v="1"/>
    <x v="1"/>
    <s v="7415/2"/>
    <x v="130"/>
    <s v="عثمان امین لاہور"/>
    <s v="PP"/>
    <s v="4"/>
    <n v="5"/>
    <s v="PP"/>
    <n v="2000"/>
    <s v="PP"/>
    <n v="12"/>
    <n v="171.94"/>
    <n v="4.8000000000000007"/>
    <m/>
    <m/>
    <n v="167.14"/>
    <s v="2879.5000000000005"/>
    <m/>
    <m/>
    <m/>
    <n v="0"/>
    <n v="0"/>
    <m/>
    <m/>
    <m/>
    <m/>
    <m/>
    <m/>
    <m/>
    <m/>
    <n v="0"/>
    <n v="0"/>
    <n v="0"/>
    <n v="12"/>
    <n v="12"/>
    <m/>
    <m/>
    <n v="0"/>
    <n v="177.14"/>
    <m/>
    <x v="10"/>
    <m/>
    <m/>
    <m/>
    <m/>
  </r>
  <r>
    <x v="0"/>
    <x v="2"/>
    <s v="7415/1"/>
    <x v="130"/>
    <s v="عثمان امین لاہور"/>
    <s v="PP"/>
    <s v="7"/>
    <n v="5"/>
    <s v="PP"/>
    <n v="4000"/>
    <s v="PP"/>
    <n v="9"/>
    <n v="293.21000000000004"/>
    <n v="6.3"/>
    <m/>
    <m/>
    <n v="286.91000000000003"/>
    <s v="4160.5300000000007"/>
    <m/>
    <m/>
    <m/>
    <n v="0"/>
    <n v="0"/>
    <m/>
    <m/>
    <m/>
    <m/>
    <m/>
    <m/>
    <m/>
    <m/>
    <n v="0"/>
    <n v="0"/>
    <n v="0"/>
    <n v="12"/>
    <n v="12"/>
    <m/>
    <m/>
    <n v="0"/>
    <n v="296.91000000000003"/>
    <m/>
    <x v="10"/>
    <m/>
    <m/>
    <m/>
    <m/>
  </r>
  <r>
    <x v="1"/>
    <x v="2"/>
    <s v="7415/1"/>
    <x v="130"/>
    <s v="عثمان امین لاہور"/>
    <s v="PP"/>
    <s v="7"/>
    <n v="5"/>
    <s v="PP"/>
    <n v="4000"/>
    <s v="PP"/>
    <n v="9"/>
    <n v="278.19000000000005"/>
    <n v="6.3"/>
    <m/>
    <m/>
    <n v="271.89000000000004"/>
    <s v="4160.5300000000007"/>
    <m/>
    <m/>
    <m/>
    <n v="0"/>
    <n v="0"/>
    <m/>
    <m/>
    <m/>
    <m/>
    <m/>
    <m/>
    <m/>
    <m/>
    <n v="0"/>
    <n v="0"/>
    <n v="0"/>
    <n v="12"/>
    <n v="12"/>
    <m/>
    <m/>
    <n v="0"/>
    <n v="281.89000000000004"/>
    <m/>
    <x v="10"/>
    <m/>
    <m/>
    <m/>
    <m/>
  </r>
  <r>
    <x v="0"/>
    <x v="3"/>
    <s v="7422/4"/>
    <x v="130"/>
    <s v="العمر پلاسٹک گوجرانوالہ"/>
    <s v="PP"/>
    <s v="22"/>
    <n v="5"/>
    <s v="PP"/>
    <n v="100"/>
    <s v="PP"/>
    <n v="4"/>
    <n v="232.7"/>
    <n v="10.93"/>
    <m/>
    <m/>
    <n v="221.76999999999998"/>
    <s v="390.80999999999995"/>
    <n v="20"/>
    <m/>
    <m/>
    <n v="20"/>
    <n v="0.33333333333333331"/>
    <m/>
    <m/>
    <m/>
    <m/>
    <m/>
    <m/>
    <m/>
    <m/>
    <n v="0"/>
    <n v="0"/>
    <n v="0.33333333333333331"/>
    <n v="11.666666666666666"/>
    <n v="12"/>
    <m/>
    <m/>
    <n v="0"/>
    <n v="231.77"/>
    <m/>
    <x v="10"/>
    <m/>
    <m/>
    <m/>
    <m/>
  </r>
  <r>
    <x v="0"/>
    <x v="3"/>
    <s v="4961 J"/>
    <x v="130"/>
    <s v="Bandu Khan Lahore"/>
    <s v="PP"/>
    <s v="28&quot; شیٹ"/>
    <s v="4-4.5/8-9"/>
    <s v="PP"/>
    <n v="100"/>
    <s v="PP"/>
    <n v="4"/>
    <n v="130.61999999999998"/>
    <n v="14.580000000000002"/>
    <m/>
    <m/>
    <n v="116.03999999999998"/>
    <s v="116.03999999999998"/>
    <n v="25"/>
    <m/>
    <m/>
    <n v="25"/>
    <n v="0.41666666666666674"/>
    <m/>
    <m/>
    <m/>
    <m/>
    <m/>
    <m/>
    <m/>
    <m/>
    <n v="0"/>
    <n v="0"/>
    <n v="0.41666666666666674"/>
    <n v="11.583333333333334"/>
    <n v="12"/>
    <m/>
    <m/>
    <n v="0"/>
    <n v="126.03999999999998"/>
    <m/>
    <x v="10"/>
    <m/>
    <m/>
    <m/>
    <m/>
  </r>
  <r>
    <x v="0"/>
    <x v="3"/>
    <s v="7410/1"/>
    <x v="130"/>
    <s v="ہیڈ افس لاہور"/>
    <s v="PP"/>
    <s v="17"/>
    <n v="7"/>
    <s v="PP"/>
    <n v="500"/>
    <s v="PP"/>
    <n v="7"/>
    <n v="387.19"/>
    <n v="13.79"/>
    <m/>
    <m/>
    <n v="373.4"/>
    <s v="531.52"/>
    <m/>
    <m/>
    <m/>
    <n v="0"/>
    <n v="0"/>
    <m/>
    <m/>
    <m/>
    <m/>
    <m/>
    <m/>
    <m/>
    <m/>
    <n v="0"/>
    <n v="0"/>
    <n v="0"/>
    <n v="12"/>
    <n v="12"/>
    <m/>
    <m/>
    <n v="0"/>
    <n v="383.4"/>
    <m/>
    <x v="10"/>
    <m/>
    <m/>
    <m/>
    <m/>
  </r>
  <r>
    <x v="1"/>
    <x v="3"/>
    <s v="7410/1"/>
    <x v="130"/>
    <s v="ہیڈ افس لاہور"/>
    <s v="PP"/>
    <s v="17"/>
    <n v="7"/>
    <s v="PP"/>
    <n v="500"/>
    <s v="PP"/>
    <n v="3"/>
    <n v="163.22"/>
    <n v="5.0999999999999996"/>
    <m/>
    <m/>
    <n v="158.12"/>
    <s v="531.52"/>
    <n v="30"/>
    <m/>
    <m/>
    <n v="30"/>
    <n v="0.5"/>
    <m/>
    <m/>
    <n v="30"/>
    <m/>
    <m/>
    <m/>
    <m/>
    <m/>
    <n v="30"/>
    <n v="0.5"/>
    <n v="1"/>
    <n v="11"/>
    <n v="12"/>
    <m/>
    <m/>
    <n v="0"/>
    <n v="168.12"/>
    <m/>
    <x v="10"/>
    <m/>
    <m/>
    <m/>
    <m/>
  </r>
  <r>
    <x v="1"/>
    <x v="3"/>
    <s v="2358 F"/>
    <x v="130"/>
    <s v="Usman Amin"/>
    <s v="PP"/>
    <n v="24"/>
    <s v="8"/>
    <s v="PP"/>
    <n v="50"/>
    <s v="PP"/>
    <n v="1"/>
    <n v="50.48"/>
    <n v="2.4"/>
    <m/>
    <m/>
    <n v="48.08"/>
    <s v="48.08"/>
    <n v="30"/>
    <m/>
    <m/>
    <n v="30"/>
    <n v="0.5"/>
    <m/>
    <m/>
    <m/>
    <m/>
    <m/>
    <m/>
    <m/>
    <m/>
    <n v="0"/>
    <n v="0"/>
    <n v="0.5"/>
    <n v="11.5"/>
    <n v="12"/>
    <m/>
    <m/>
    <n v="0"/>
    <n v="58.08"/>
    <m/>
    <x v="10"/>
    <m/>
    <m/>
    <m/>
    <m/>
  </r>
  <r>
    <x v="1"/>
    <x v="3"/>
    <s v="2810/1"/>
    <x v="130"/>
    <s v="C/O NADEEM SB"/>
    <s v="PP"/>
    <s v="24 شیٹ"/>
    <s v="4./8"/>
    <s v="PP"/>
    <n v="10"/>
    <s v="PP"/>
    <n v="2"/>
    <n v="27.35"/>
    <n v="4.8"/>
    <m/>
    <m/>
    <n v="22.55"/>
    <s v="22.55"/>
    <n v="30"/>
    <m/>
    <m/>
    <n v="30"/>
    <n v="0.5"/>
    <m/>
    <m/>
    <m/>
    <m/>
    <m/>
    <m/>
    <m/>
    <m/>
    <n v="0"/>
    <n v="0"/>
    <n v="0.5"/>
    <n v="11.5"/>
    <n v="12"/>
    <m/>
    <m/>
    <n v="0"/>
    <n v="32.549999999999997"/>
    <m/>
    <x v="10"/>
    <m/>
    <m/>
    <m/>
    <m/>
  </r>
  <r>
    <x v="1"/>
    <x v="3"/>
    <s v="2811/1"/>
    <x v="130"/>
    <s v="C/O NADEEM SB"/>
    <s v="PP"/>
    <s v="20 شیٹ"/>
    <s v="4./8"/>
    <s v="PP"/>
    <n v="25"/>
    <s v="PP"/>
    <n v="2"/>
    <n v="36.28"/>
    <n v="5.6"/>
    <m/>
    <m/>
    <n v="30.68"/>
    <s v="30.68"/>
    <m/>
    <m/>
    <m/>
    <n v="0"/>
    <n v="0"/>
    <m/>
    <m/>
    <m/>
    <m/>
    <m/>
    <m/>
    <m/>
    <m/>
    <n v="0"/>
    <n v="0"/>
    <n v="0"/>
    <n v="12"/>
    <n v="12"/>
    <m/>
    <m/>
    <n v="0"/>
    <n v="40.68"/>
    <m/>
    <x v="10"/>
    <m/>
    <m/>
    <m/>
    <m/>
  </r>
  <r>
    <x v="1"/>
    <x v="3"/>
    <s v="18/5"/>
    <x v="130"/>
    <s v="سٹاک"/>
    <s v="PP"/>
    <n v="18"/>
    <n v="5"/>
    <s v="PP"/>
    <n v="500"/>
    <s v="PP"/>
    <n v="7"/>
    <n v="334.54"/>
    <n v="12.6"/>
    <m/>
    <m/>
    <n v="321.94"/>
    <s v="1133.68"/>
    <m/>
    <m/>
    <m/>
    <n v="0"/>
    <n v="0"/>
    <m/>
    <m/>
    <m/>
    <m/>
    <m/>
    <m/>
    <m/>
    <m/>
    <n v="0"/>
    <n v="0"/>
    <n v="0"/>
    <n v="12"/>
    <n v="12"/>
    <m/>
    <m/>
    <n v="0"/>
    <n v="331.94"/>
    <m/>
    <x v="10"/>
    <m/>
    <m/>
    <m/>
    <m/>
  </r>
  <r>
    <x v="0"/>
    <x v="4"/>
    <s v="16/3"/>
    <x v="130"/>
    <s v="سٹاک"/>
    <s v="PP"/>
    <n v="16"/>
    <n v="5"/>
    <s v="PP"/>
    <n v="1000"/>
    <s v="PP"/>
    <n v="5"/>
    <n v="270.61"/>
    <n v="9.82"/>
    <m/>
    <m/>
    <n v="260.79000000000002"/>
    <s v="1265.21"/>
    <n v="30"/>
    <m/>
    <m/>
    <n v="30"/>
    <n v="0.5"/>
    <m/>
    <m/>
    <m/>
    <m/>
    <m/>
    <m/>
    <m/>
    <m/>
    <n v="0"/>
    <n v="0"/>
    <n v="0.5"/>
    <n v="11.5"/>
    <n v="12"/>
    <m/>
    <m/>
    <n v="0"/>
    <n v="270.79000000000002"/>
    <m/>
    <x v="10"/>
    <m/>
    <m/>
    <m/>
    <m/>
  </r>
  <r>
    <x v="0"/>
    <x v="4"/>
    <s v="7411/1"/>
    <x v="130"/>
    <s v="اصف پلاسٹک سرگودھا"/>
    <s v="PP"/>
    <s v="12"/>
    <n v="4"/>
    <s v="PP"/>
    <n v="400"/>
    <s v="PP"/>
    <n v="5"/>
    <n v="267.97000000000003"/>
    <n v="7"/>
    <m/>
    <m/>
    <n v="260.97000000000003"/>
    <s v="385.6"/>
    <m/>
    <m/>
    <m/>
    <n v="0"/>
    <n v="0"/>
    <m/>
    <m/>
    <m/>
    <m/>
    <m/>
    <m/>
    <m/>
    <m/>
    <n v="0"/>
    <n v="0"/>
    <n v="0"/>
    <n v="12"/>
    <n v="12"/>
    <m/>
    <m/>
    <n v="0"/>
    <n v="270.97000000000003"/>
    <m/>
    <x v="10"/>
    <m/>
    <m/>
    <m/>
    <m/>
  </r>
  <r>
    <x v="1"/>
    <x v="4"/>
    <s v="7411/1"/>
    <x v="130"/>
    <s v="اصف پلاسٹک سرگودھا"/>
    <s v="PP"/>
    <s v="12"/>
    <n v="4"/>
    <s v="PP"/>
    <n v="400"/>
    <s v="PP"/>
    <n v="3"/>
    <n v="128.22999999999999"/>
    <n v="3.5999999999999996"/>
    <m/>
    <m/>
    <n v="124.63"/>
    <s v="385.6"/>
    <n v="30"/>
    <m/>
    <m/>
    <n v="30"/>
    <n v="0.5"/>
    <m/>
    <m/>
    <m/>
    <m/>
    <m/>
    <m/>
    <m/>
    <m/>
    <n v="0"/>
    <n v="0"/>
    <n v="0.5"/>
    <n v="11.5"/>
    <n v="12"/>
    <m/>
    <m/>
    <n v="0"/>
    <n v="134.63"/>
    <m/>
    <x v="10"/>
    <m/>
    <m/>
    <m/>
    <m/>
  </r>
  <r>
    <x v="1"/>
    <x v="4"/>
    <s v="7408/3"/>
    <x v="130"/>
    <s v="رمضان پلاسٹک سیالکوٹ"/>
    <s v="PP"/>
    <s v="15"/>
    <n v="7"/>
    <s v="PP"/>
    <n v="75"/>
    <s v="PP"/>
    <n v="3"/>
    <n v="166"/>
    <n v="4.5"/>
    <m/>
    <m/>
    <n v="161.5"/>
    <s v="161.5"/>
    <n v="20"/>
    <m/>
    <m/>
    <n v="20"/>
    <n v="0.33333333333333331"/>
    <m/>
    <m/>
    <m/>
    <m/>
    <m/>
    <m/>
    <m/>
    <m/>
    <n v="0"/>
    <n v="0"/>
    <n v="0.33333333333333331"/>
    <n v="11.666666666666666"/>
    <n v="12"/>
    <m/>
    <m/>
    <n v="0"/>
    <n v="171.5"/>
    <m/>
    <x v="10"/>
    <m/>
    <m/>
    <m/>
    <m/>
  </r>
  <r>
    <x v="1"/>
    <x v="4"/>
    <s v="7425/8"/>
    <x v="130"/>
    <s v="بلال جاوید فیصل اباد"/>
    <s v="PP"/>
    <s v="14"/>
    <n v="7"/>
    <s v="PP"/>
    <n v="100"/>
    <s v="PP"/>
    <n v="2"/>
    <n v="101.87"/>
    <n v="2.8"/>
    <m/>
    <m/>
    <n v="99.070000000000007"/>
    <s v="99.070000000000007"/>
    <n v="25"/>
    <m/>
    <m/>
    <n v="25"/>
    <n v="0.41666666666666674"/>
    <m/>
    <m/>
    <m/>
    <m/>
    <m/>
    <m/>
    <m/>
    <m/>
    <n v="0"/>
    <n v="0"/>
    <n v="0.41666666666666674"/>
    <n v="11.583333333333334"/>
    <n v="12"/>
    <m/>
    <m/>
    <n v="0"/>
    <n v="109.07"/>
    <m/>
    <x v="10"/>
    <m/>
    <m/>
    <m/>
    <m/>
  </r>
  <r>
    <x v="1"/>
    <x v="4"/>
    <s v="2355 F"/>
    <x v="130"/>
    <s v="Usman Amin"/>
    <s v="PP"/>
    <n v="13"/>
    <s v="8"/>
    <s v="PP"/>
    <n v="100"/>
    <s v="PP"/>
    <n v="1"/>
    <n v="46.92"/>
    <n v="1.3"/>
    <m/>
    <m/>
    <n v="45.620000000000005"/>
    <s v="199.14000000000001"/>
    <m/>
    <m/>
    <m/>
    <n v="0"/>
    <n v="0"/>
    <m/>
    <m/>
    <m/>
    <m/>
    <m/>
    <m/>
    <m/>
    <m/>
    <n v="0"/>
    <n v="0"/>
    <n v="0"/>
    <n v="12"/>
    <n v="12"/>
    <m/>
    <m/>
    <n v="0"/>
    <n v="55.620000000000005"/>
    <m/>
    <x v="10"/>
    <m/>
    <m/>
    <m/>
    <m/>
  </r>
  <r>
    <x v="1"/>
    <x v="4"/>
    <s v="2357 F"/>
    <x v="130"/>
    <s v="Usman Amin"/>
    <s v="PP"/>
    <n v="14"/>
    <s v="8"/>
    <s v="PP"/>
    <n v="100"/>
    <s v="PP"/>
    <n v="2"/>
    <n v="102.62"/>
    <n v="2.8"/>
    <m/>
    <m/>
    <n v="99.820000000000007"/>
    <s v="99.820000000000007"/>
    <m/>
    <m/>
    <m/>
    <n v="0"/>
    <n v="0"/>
    <m/>
    <m/>
    <m/>
    <m/>
    <m/>
    <m/>
    <m/>
    <m/>
    <n v="0"/>
    <n v="0"/>
    <n v="0"/>
    <n v="12"/>
    <n v="12"/>
    <m/>
    <m/>
    <n v="0"/>
    <n v="109.82"/>
    <m/>
    <x v="10"/>
    <m/>
    <m/>
    <m/>
    <m/>
  </r>
  <r>
    <x v="0"/>
    <x v="0"/>
    <s v="7411/8"/>
    <x v="131"/>
    <s v="اصف پلاسٹک سرگودھا"/>
    <s v="PP"/>
    <s v="3.5"/>
    <n v="4"/>
    <s v="PP"/>
    <n v="200"/>
    <s v="PP"/>
    <n v="2"/>
    <n v="23.56"/>
    <n v="0.6"/>
    <n v="18"/>
    <m/>
    <n v="22.959999999999997"/>
    <s v="108.15999999999998"/>
    <m/>
    <m/>
    <m/>
    <n v="0"/>
    <n v="0"/>
    <m/>
    <m/>
    <m/>
    <m/>
    <m/>
    <m/>
    <m/>
    <m/>
    <n v="0"/>
    <n v="0"/>
    <n v="0"/>
    <n v="12"/>
    <n v="12"/>
    <m/>
    <m/>
    <n v="0"/>
    <n v="32.959999999999994"/>
    <m/>
    <x v="10"/>
    <m/>
    <m/>
    <m/>
    <m/>
  </r>
  <r>
    <x v="0"/>
    <x v="0"/>
    <s v="3/5"/>
    <x v="131"/>
    <s v="سٹاک"/>
    <s v="PP"/>
    <n v="3"/>
    <s v="5.5-6"/>
    <s v="PP"/>
    <n v="1000"/>
    <s v="PP"/>
    <n v="8"/>
    <n v="101.91"/>
    <n v="2.4"/>
    <m/>
    <m/>
    <n v="99.509999999999991"/>
    <s v="1537.1100000000001"/>
    <m/>
    <m/>
    <m/>
    <n v="0"/>
    <n v="0"/>
    <m/>
    <m/>
    <m/>
    <m/>
    <m/>
    <m/>
    <m/>
    <m/>
    <n v="0"/>
    <n v="0"/>
    <n v="0"/>
    <n v="12"/>
    <n v="12"/>
    <m/>
    <m/>
    <n v="0"/>
    <n v="109.51"/>
    <m/>
    <x v="10"/>
    <m/>
    <m/>
    <m/>
    <m/>
  </r>
  <r>
    <x v="1"/>
    <x v="0"/>
    <s v="3/5"/>
    <x v="131"/>
    <s v="سٹاک"/>
    <s v="PP"/>
    <n v="3"/>
    <s v="5.5-6"/>
    <s v="PP"/>
    <n v="1000"/>
    <s v="PP"/>
    <n v="9"/>
    <n v="120.01000000000002"/>
    <n v="2.6999999999999997"/>
    <n v="19"/>
    <m/>
    <n v="117.31000000000002"/>
    <s v="1537.1100000000001"/>
    <m/>
    <m/>
    <m/>
    <n v="0"/>
    <n v="0"/>
    <m/>
    <m/>
    <m/>
    <m/>
    <m/>
    <m/>
    <m/>
    <m/>
    <n v="0"/>
    <n v="0"/>
    <n v="0"/>
    <n v="12"/>
    <n v="12"/>
    <m/>
    <m/>
    <n v="0"/>
    <n v="127.31000000000002"/>
    <m/>
    <x v="10"/>
    <m/>
    <m/>
    <m/>
    <m/>
  </r>
  <r>
    <x v="0"/>
    <x v="1"/>
    <s v="7415/2"/>
    <x v="131"/>
    <s v="عثمان امین لاہور"/>
    <s v="PP"/>
    <s v="4"/>
    <n v="5"/>
    <s v="PP"/>
    <n v="2000"/>
    <s v="PP"/>
    <n v="13"/>
    <n v="173.57999999999998"/>
    <n v="5.2"/>
    <m/>
    <m/>
    <n v="168.38"/>
    <s v="2879.5000000000005"/>
    <m/>
    <m/>
    <m/>
    <n v="0"/>
    <n v="0"/>
    <m/>
    <m/>
    <m/>
    <m/>
    <m/>
    <m/>
    <m/>
    <m/>
    <n v="0"/>
    <n v="0"/>
    <n v="0"/>
    <n v="12"/>
    <n v="12"/>
    <m/>
    <m/>
    <n v="0"/>
    <n v="178.38"/>
    <m/>
    <x v="10"/>
    <m/>
    <m/>
    <m/>
    <m/>
  </r>
  <r>
    <x v="1"/>
    <x v="1"/>
    <s v="7415/2"/>
    <x v="131"/>
    <s v="عثمان امین لاہور"/>
    <s v="PP"/>
    <s v="4"/>
    <n v="5"/>
    <s v="PP"/>
    <n v="2000"/>
    <s v="PP"/>
    <n v="12"/>
    <n v="166.39"/>
    <n v="4.8000000000000007"/>
    <m/>
    <m/>
    <n v="161.58999999999997"/>
    <s v="2879.5000000000005"/>
    <m/>
    <m/>
    <m/>
    <n v="0"/>
    <n v="0"/>
    <m/>
    <m/>
    <m/>
    <m/>
    <m/>
    <m/>
    <m/>
    <m/>
    <n v="0"/>
    <n v="0"/>
    <n v="0"/>
    <n v="12"/>
    <n v="12"/>
    <m/>
    <m/>
    <n v="0"/>
    <n v="171.58999999999995"/>
    <m/>
    <x v="10"/>
    <m/>
    <m/>
    <m/>
    <m/>
  </r>
  <r>
    <x v="0"/>
    <x v="2"/>
    <s v="7415/1"/>
    <x v="131"/>
    <s v="عثمان امین لاہور"/>
    <s v="PP"/>
    <s v="7"/>
    <n v="5"/>
    <s v="PP"/>
    <n v="4000"/>
    <s v="PP"/>
    <n v="8"/>
    <n v="286.15000000000003"/>
    <n v="7.2"/>
    <m/>
    <m/>
    <n v="278.95000000000005"/>
    <s v="4160.5300000000007"/>
    <m/>
    <m/>
    <m/>
    <n v="0"/>
    <n v="0"/>
    <m/>
    <m/>
    <m/>
    <m/>
    <m/>
    <m/>
    <m/>
    <m/>
    <n v="0"/>
    <n v="0"/>
    <n v="0"/>
    <n v="12"/>
    <n v="12"/>
    <m/>
    <m/>
    <n v="0"/>
    <n v="288.95000000000005"/>
    <m/>
    <x v="10"/>
    <m/>
    <m/>
    <m/>
    <m/>
  </r>
  <r>
    <x v="1"/>
    <x v="2"/>
    <s v="7415/1"/>
    <x v="131"/>
    <s v="عثمان امین لاہور"/>
    <s v="PP"/>
    <s v="7"/>
    <n v="5"/>
    <s v="PP"/>
    <n v="4000"/>
    <s v="PP"/>
    <n v="9"/>
    <n v="281.09000000000003"/>
    <n v="8.1"/>
    <m/>
    <m/>
    <n v="272.99"/>
    <s v="4160.5300000000007"/>
    <m/>
    <m/>
    <m/>
    <n v="0"/>
    <n v="0"/>
    <m/>
    <m/>
    <m/>
    <m/>
    <m/>
    <m/>
    <m/>
    <m/>
    <n v="0"/>
    <n v="0"/>
    <n v="0"/>
    <n v="12"/>
    <n v="12"/>
    <m/>
    <m/>
    <n v="0"/>
    <n v="282.99"/>
    <m/>
    <x v="10"/>
    <m/>
    <m/>
    <m/>
    <m/>
  </r>
  <r>
    <x v="0"/>
    <x v="3"/>
    <s v="18/6"/>
    <x v="131"/>
    <s v="سٹاک"/>
    <s v="PP"/>
    <n v="18"/>
    <n v="5"/>
    <s v="PP"/>
    <n v="500"/>
    <s v="PP"/>
    <n v="12"/>
    <n v="604.22"/>
    <n v="20.8"/>
    <m/>
    <m/>
    <n v="583.42000000000007"/>
    <s v="583.42000000000007"/>
    <n v="30"/>
    <m/>
    <m/>
    <n v="30"/>
    <n v="0.5"/>
    <m/>
    <m/>
    <m/>
    <m/>
    <m/>
    <m/>
    <m/>
    <m/>
    <n v="0"/>
    <n v="0"/>
    <n v="0.5"/>
    <n v="11.5"/>
    <n v="12"/>
    <m/>
    <m/>
    <n v="0"/>
    <n v="593.42000000000007"/>
    <m/>
    <x v="10"/>
    <m/>
    <m/>
    <m/>
    <m/>
  </r>
  <r>
    <x v="0"/>
    <x v="3"/>
    <s v="5088 J"/>
    <x v="131"/>
    <s v="Jilani Poly Stock"/>
    <s v="PP"/>
    <n v="28"/>
    <s v="5-5.5"/>
    <s v="PP"/>
    <n v="500"/>
    <s v="PP"/>
    <n v="2"/>
    <n v="120.74000000000001"/>
    <n v="7.3800000000000008"/>
    <m/>
    <m/>
    <n v="113.36000000000001"/>
    <s v="503.01000000000005"/>
    <m/>
    <m/>
    <m/>
    <n v="0"/>
    <n v="0"/>
    <m/>
    <m/>
    <m/>
    <m/>
    <m/>
    <m/>
    <m/>
    <m/>
    <n v="0"/>
    <n v="0"/>
    <n v="0"/>
    <n v="12"/>
    <n v="12"/>
    <m/>
    <m/>
    <n v="0"/>
    <n v="123.36"/>
    <m/>
    <x v="10"/>
    <m/>
    <m/>
    <m/>
    <m/>
  </r>
  <r>
    <x v="1"/>
    <x v="3"/>
    <s v="5088 J"/>
    <x v="131"/>
    <s v="Jilani Poly Stock"/>
    <s v="PP"/>
    <n v="28"/>
    <s v="5-5.5"/>
    <s v="PP"/>
    <n v="500"/>
    <s v="PP"/>
    <n v="7"/>
    <n v="406.45000000000005"/>
    <n v="16.799999999999997"/>
    <m/>
    <m/>
    <n v="389.65000000000003"/>
    <s v="503.01000000000005"/>
    <n v="25"/>
    <m/>
    <m/>
    <n v="25"/>
    <n v="0.41666666666666674"/>
    <m/>
    <m/>
    <m/>
    <m/>
    <m/>
    <m/>
    <m/>
    <m/>
    <n v="0"/>
    <n v="0"/>
    <n v="0.41666666666666674"/>
    <n v="11.583333333333334"/>
    <n v="12"/>
    <m/>
    <m/>
    <n v="0"/>
    <n v="399.65"/>
    <m/>
    <x v="10"/>
    <m/>
    <m/>
    <m/>
    <m/>
  </r>
  <r>
    <x v="1"/>
    <x v="3"/>
    <s v="2371 F"/>
    <x v="131"/>
    <s v="Usman Amin"/>
    <s v="PP"/>
    <n v="22"/>
    <s v="8"/>
    <s v="PP"/>
    <n v="100"/>
    <s v="PP"/>
    <n v="3"/>
    <n v="161.82"/>
    <n v="6.6000000000000005"/>
    <m/>
    <m/>
    <n v="155.22"/>
    <s v="515.57999999999993"/>
    <m/>
    <m/>
    <m/>
    <n v="0"/>
    <n v="0"/>
    <m/>
    <m/>
    <m/>
    <m/>
    <m/>
    <m/>
    <m/>
    <m/>
    <n v="0"/>
    <n v="0"/>
    <n v="0"/>
    <n v="12"/>
    <n v="12"/>
    <m/>
    <m/>
    <n v="0"/>
    <n v="165.22"/>
    <m/>
    <x v="10"/>
    <m/>
    <m/>
    <m/>
    <m/>
  </r>
  <r>
    <x v="1"/>
    <x v="3"/>
    <s v="5102 J"/>
    <x v="131"/>
    <s v="جیلانی پولی سٹاک"/>
    <s v="PP"/>
    <n v="22"/>
    <s v="5-5.5"/>
    <s v="PP"/>
    <n v="1000"/>
    <s v="PP"/>
    <n v="4"/>
    <n v="229.89"/>
    <n v="8.8000000000000007"/>
    <m/>
    <m/>
    <n v="221.08999999999997"/>
    <s v="511.34999999999997"/>
    <m/>
    <m/>
    <m/>
    <n v="0"/>
    <n v="0"/>
    <m/>
    <m/>
    <m/>
    <m/>
    <m/>
    <m/>
    <m/>
    <m/>
    <n v="0"/>
    <n v="0"/>
    <n v="0"/>
    <n v="12"/>
    <n v="12"/>
    <m/>
    <m/>
    <n v="0"/>
    <n v="231.08999999999995"/>
    <m/>
    <x v="10"/>
    <m/>
    <m/>
    <m/>
    <m/>
  </r>
  <r>
    <x v="0"/>
    <x v="4"/>
    <s v="2355 F"/>
    <x v="131"/>
    <s v="Usman Amin"/>
    <s v="PP"/>
    <n v="13"/>
    <s v="8"/>
    <s v="PP"/>
    <n v="100"/>
    <s v="PP"/>
    <n v="3"/>
    <n v="158.02000000000001"/>
    <n v="4.5"/>
    <m/>
    <m/>
    <n v="153.52000000000001"/>
    <s v="199.14000000000001"/>
    <n v="25"/>
    <m/>
    <m/>
    <n v="25"/>
    <n v="0.41666666666666674"/>
    <m/>
    <m/>
    <m/>
    <m/>
    <m/>
    <m/>
    <m/>
    <m/>
    <n v="0"/>
    <n v="0"/>
    <n v="0.41666666666666674"/>
    <n v="11.583333333333334"/>
    <n v="12"/>
    <m/>
    <m/>
    <n v="0"/>
    <n v="163.52000000000001"/>
    <m/>
    <x v="10"/>
    <m/>
    <m/>
    <m/>
    <m/>
  </r>
  <r>
    <x v="0"/>
    <x v="4"/>
    <s v="7426/2"/>
    <x v="131"/>
    <s v="فہیم پلاسٹک ملتان"/>
    <s v="PP"/>
    <s v="13"/>
    <n v="7"/>
    <s v="PP"/>
    <n v="300"/>
    <s v="PP"/>
    <n v="5"/>
    <n v="308.13"/>
    <n v="6.5"/>
    <m/>
    <m/>
    <n v="301.63"/>
    <s v="301.63"/>
    <m/>
    <m/>
    <m/>
    <n v="0"/>
    <n v="0"/>
    <m/>
    <m/>
    <m/>
    <m/>
    <m/>
    <m/>
    <m/>
    <m/>
    <n v="0"/>
    <n v="0"/>
    <n v="0"/>
    <n v="12"/>
    <n v="12"/>
    <m/>
    <m/>
    <n v="0"/>
    <n v="311.63"/>
    <m/>
    <x v="10"/>
    <m/>
    <m/>
    <m/>
    <m/>
  </r>
  <r>
    <x v="0"/>
    <x v="4"/>
    <s v="7411/2"/>
    <x v="131"/>
    <s v="اصف پلاسٹک سرگودھا"/>
    <s v="PP"/>
    <s v="10"/>
    <n v="4"/>
    <s v="PP"/>
    <n v="100"/>
    <s v="PP"/>
    <n v="2"/>
    <n v="60.49"/>
    <n v="2"/>
    <m/>
    <m/>
    <n v="58.49"/>
    <s v="137.55000000000001"/>
    <m/>
    <m/>
    <m/>
    <n v="0"/>
    <n v="0"/>
    <m/>
    <m/>
    <m/>
    <m/>
    <m/>
    <m/>
    <m/>
    <m/>
    <n v="0"/>
    <n v="0"/>
    <n v="0"/>
    <n v="12"/>
    <n v="12"/>
    <m/>
    <m/>
    <n v="0"/>
    <n v="68.490000000000009"/>
    <m/>
    <x v="10"/>
    <m/>
    <m/>
    <m/>
    <m/>
  </r>
  <r>
    <x v="1"/>
    <x v="4"/>
    <s v="7411/2"/>
    <x v="131"/>
    <s v="اصف پلاسٹک سرگودھا"/>
    <s v="PP"/>
    <s v="10"/>
    <n v="4"/>
    <s v="PP"/>
    <n v="100"/>
    <s v="PP"/>
    <n v="2"/>
    <n v="81.06"/>
    <n v="2"/>
    <m/>
    <m/>
    <n v="79.06"/>
    <s v="137.55000000000001"/>
    <m/>
    <m/>
    <m/>
    <n v="0"/>
    <n v="0"/>
    <m/>
    <m/>
    <m/>
    <m/>
    <m/>
    <m/>
    <m/>
    <m/>
    <n v="0"/>
    <n v="0"/>
    <n v="0"/>
    <n v="12"/>
    <n v="12"/>
    <m/>
    <m/>
    <n v="0"/>
    <n v="89.06"/>
    <m/>
    <x v="10"/>
    <m/>
    <m/>
    <m/>
    <m/>
  </r>
  <r>
    <x v="1"/>
    <x v="4"/>
    <s v="10/7"/>
    <x v="131"/>
    <s v="سٹاک"/>
    <s v="PP"/>
    <n v="10"/>
    <n v="5"/>
    <s v="PP"/>
    <n v="1000"/>
    <s v="PP"/>
    <n v="6"/>
    <n v="269.04000000000002"/>
    <n v="6"/>
    <m/>
    <m/>
    <n v="263.04000000000002"/>
    <s v="1092.9000000000001"/>
    <m/>
    <m/>
    <m/>
    <n v="0"/>
    <n v="0"/>
    <m/>
    <m/>
    <m/>
    <m/>
    <m/>
    <m/>
    <m/>
    <m/>
    <n v="0"/>
    <n v="0"/>
    <n v="0"/>
    <n v="12"/>
    <n v="12"/>
    <m/>
    <m/>
    <n v="0"/>
    <n v="273.04000000000002"/>
    <m/>
    <x v="10"/>
    <m/>
    <m/>
    <m/>
    <m/>
  </r>
  <r>
    <x v="1"/>
    <x v="4"/>
    <s v="7398/11"/>
    <x v="131"/>
    <s v="فیصل پلاسٹک فیصل آباد"/>
    <s v="PP"/>
    <n v="10"/>
    <n v="9"/>
    <s v="PP"/>
    <n v="100"/>
    <s v="PP"/>
    <n v="4"/>
    <n v="108.18"/>
    <n v="4"/>
    <m/>
    <m/>
    <n v="104.18"/>
    <s v="104.18"/>
    <m/>
    <m/>
    <m/>
    <n v="0"/>
    <n v="0"/>
    <m/>
    <m/>
    <m/>
    <m/>
    <m/>
    <m/>
    <m/>
    <m/>
    <n v="0"/>
    <n v="0"/>
    <n v="0"/>
    <n v="12"/>
    <n v="12"/>
    <m/>
    <m/>
    <n v="0"/>
    <n v="114.18"/>
    <m/>
    <x v="10"/>
    <m/>
    <m/>
    <m/>
    <m/>
  </r>
  <r>
    <x v="0"/>
    <x v="0"/>
    <s v="3/5"/>
    <x v="132"/>
    <s v="سٹاک"/>
    <s v="PP"/>
    <n v="3"/>
    <s v="5.5-6"/>
    <s v="PP"/>
    <n v="1000"/>
    <s v="PP"/>
    <n v="10"/>
    <n v="132.37"/>
    <n v="3"/>
    <n v="24"/>
    <m/>
    <n v="129.37"/>
    <s v="1537.1100000000001"/>
    <m/>
    <m/>
    <m/>
    <n v="0"/>
    <n v="0"/>
    <m/>
    <m/>
    <m/>
    <m/>
    <m/>
    <m/>
    <m/>
    <m/>
    <n v="0"/>
    <n v="0"/>
    <n v="0"/>
    <n v="12"/>
    <n v="12"/>
    <m/>
    <m/>
    <n v="0"/>
    <n v="139.37"/>
    <m/>
    <x v="10"/>
    <m/>
    <m/>
    <m/>
    <m/>
  </r>
  <r>
    <x v="1"/>
    <x v="0"/>
    <s v="3/5"/>
    <x v="132"/>
    <s v="سٹاک"/>
    <s v="PP"/>
    <n v="3"/>
    <s v="5.5-6"/>
    <s v="PP"/>
    <n v="1000"/>
    <s v="PP"/>
    <n v="8"/>
    <n v="105.01000000000002"/>
    <n v="2.4"/>
    <n v="7"/>
    <m/>
    <n v="102.61000000000001"/>
    <s v="1537.1100000000001"/>
    <m/>
    <m/>
    <n v="120"/>
    <n v="120"/>
    <n v="2"/>
    <m/>
    <m/>
    <m/>
    <m/>
    <m/>
    <m/>
    <m/>
    <m/>
    <n v="0"/>
    <n v="0"/>
    <n v="2"/>
    <n v="10"/>
    <n v="12"/>
    <m/>
    <m/>
    <n v="0"/>
    <n v="112.61"/>
    <m/>
    <x v="10"/>
    <m/>
    <m/>
    <m/>
    <m/>
  </r>
  <r>
    <x v="0"/>
    <x v="1"/>
    <s v="7415/2"/>
    <x v="132"/>
    <s v="عثمان امین لاہور"/>
    <s v="PP"/>
    <s v="4"/>
    <n v="5"/>
    <s v="PP"/>
    <n v="2000"/>
    <s v="PP"/>
    <n v="13"/>
    <n v="177.13000000000002"/>
    <n v="5.2"/>
    <m/>
    <m/>
    <n v="171.93000000000004"/>
    <s v="2879.5000000000005"/>
    <m/>
    <m/>
    <m/>
    <n v="0"/>
    <n v="0"/>
    <m/>
    <m/>
    <m/>
    <m/>
    <m/>
    <m/>
    <m/>
    <m/>
    <n v="0"/>
    <n v="0"/>
    <n v="0"/>
    <n v="12"/>
    <n v="12"/>
    <m/>
    <m/>
    <n v="0"/>
    <n v="181.93000000000004"/>
    <m/>
    <x v="10"/>
    <m/>
    <m/>
    <m/>
    <m/>
  </r>
  <r>
    <x v="1"/>
    <x v="1"/>
    <s v="7415/2"/>
    <x v="132"/>
    <s v="عثمان امین لاہور"/>
    <s v="PP"/>
    <s v="4"/>
    <n v="5"/>
    <s v="PP"/>
    <n v="2000"/>
    <s v="PP"/>
    <n v="8"/>
    <n v="124.46000000000001"/>
    <n v="3.2"/>
    <m/>
    <m/>
    <n v="121.26"/>
    <s v="2879.5000000000005"/>
    <m/>
    <m/>
    <n v="120"/>
    <n v="120"/>
    <n v="2"/>
    <m/>
    <m/>
    <m/>
    <m/>
    <m/>
    <m/>
    <m/>
    <m/>
    <n v="0"/>
    <n v="0"/>
    <n v="2"/>
    <n v="10"/>
    <n v="12"/>
    <m/>
    <m/>
    <n v="0"/>
    <n v="131.26"/>
    <m/>
    <x v="10"/>
    <m/>
    <m/>
    <m/>
    <m/>
  </r>
  <r>
    <x v="0"/>
    <x v="2"/>
    <s v="7415/1"/>
    <x v="132"/>
    <s v="عثمان امین لاہور"/>
    <s v="PP"/>
    <s v="7"/>
    <n v="5"/>
    <s v="PP"/>
    <n v="4000"/>
    <s v="PP"/>
    <n v="8"/>
    <n v="276.66000000000003"/>
    <n v="5.6"/>
    <m/>
    <m/>
    <n v="271.06"/>
    <s v="4160.5300000000007"/>
    <m/>
    <m/>
    <m/>
    <n v="0"/>
    <n v="0"/>
    <m/>
    <m/>
    <m/>
    <m/>
    <m/>
    <m/>
    <m/>
    <m/>
    <n v="0"/>
    <n v="0"/>
    <n v="0"/>
    <n v="12"/>
    <n v="12"/>
    <m/>
    <m/>
    <n v="0"/>
    <n v="281.06"/>
    <m/>
    <x v="10"/>
    <m/>
    <m/>
    <m/>
    <m/>
  </r>
  <r>
    <x v="1"/>
    <x v="2"/>
    <s v="7415/1"/>
    <x v="132"/>
    <s v="عثمان امین لاہور"/>
    <s v="PP"/>
    <s v="7"/>
    <n v="5"/>
    <s v="PP"/>
    <n v="4000"/>
    <s v="PP"/>
    <n v="7"/>
    <n v="217.65"/>
    <n v="4.8999999999999995"/>
    <m/>
    <m/>
    <n v="212.75"/>
    <s v="4160.5300000000007"/>
    <m/>
    <m/>
    <n v="120"/>
    <n v="120"/>
    <n v="2"/>
    <m/>
    <m/>
    <m/>
    <m/>
    <m/>
    <m/>
    <m/>
    <m/>
    <n v="0"/>
    <n v="0"/>
    <n v="2"/>
    <n v="10"/>
    <n v="12"/>
    <m/>
    <m/>
    <n v="0"/>
    <n v="222.75"/>
    <m/>
    <x v="10"/>
    <m/>
    <m/>
    <m/>
    <m/>
  </r>
  <r>
    <x v="0"/>
    <x v="3"/>
    <s v="2371 F"/>
    <x v="132"/>
    <s v="Usman Amin"/>
    <s v="PP"/>
    <n v="22"/>
    <s v="8"/>
    <s v="PP"/>
    <n v="100"/>
    <s v="PP"/>
    <n v="1"/>
    <n v="363.15"/>
    <n v="2.79"/>
    <m/>
    <m/>
    <n v="360.35999999999996"/>
    <s v="515.57999999999993"/>
    <n v="30"/>
    <m/>
    <m/>
    <n v="30"/>
    <n v="0.5"/>
    <m/>
    <m/>
    <m/>
    <m/>
    <m/>
    <m/>
    <m/>
    <m/>
    <n v="0"/>
    <n v="0"/>
    <n v="0.5"/>
    <n v="11.5"/>
    <n v="12"/>
    <m/>
    <m/>
    <n v="0"/>
    <n v="370.36"/>
    <m/>
    <x v="10"/>
    <m/>
    <m/>
    <m/>
    <m/>
  </r>
  <r>
    <x v="0"/>
    <x v="3"/>
    <s v="5102 J"/>
    <x v="132"/>
    <s v="جیلانی پولی سٹاک"/>
    <s v="PP"/>
    <n v="22"/>
    <s v="5-5.5"/>
    <s v="PP"/>
    <n v="1000"/>
    <s v="PP"/>
    <n v="6"/>
    <n v="303.99"/>
    <n v="13.73"/>
    <m/>
    <m/>
    <n v="290.26"/>
    <s v="511.34999999999997"/>
    <m/>
    <m/>
    <m/>
    <n v="0"/>
    <n v="0"/>
    <m/>
    <m/>
    <m/>
    <m/>
    <m/>
    <m/>
    <m/>
    <m/>
    <n v="0"/>
    <n v="0"/>
    <n v="0"/>
    <n v="12"/>
    <n v="12"/>
    <m/>
    <m/>
    <n v="0"/>
    <n v="300.26"/>
    <m/>
    <x v="10"/>
    <m/>
    <m/>
    <m/>
    <m/>
  </r>
  <r>
    <x v="0"/>
    <x v="3"/>
    <s v="5089 J"/>
    <x v="132"/>
    <s v="Jilani Poly Stock"/>
    <s v="PP"/>
    <n v="24"/>
    <s v="5-5.5"/>
    <s v="PP"/>
    <n v="1000"/>
    <s v="PP"/>
    <n v="6"/>
    <n v="373.07"/>
    <n v="19"/>
    <m/>
    <m/>
    <n v="354.07"/>
    <s v="953.88000000000011"/>
    <m/>
    <m/>
    <m/>
    <n v="0"/>
    <n v="0"/>
    <m/>
    <m/>
    <m/>
    <m/>
    <m/>
    <m/>
    <m/>
    <m/>
    <n v="0"/>
    <n v="0"/>
    <n v="0"/>
    <n v="12"/>
    <n v="12"/>
    <m/>
    <m/>
    <n v="0"/>
    <n v="364.07"/>
    <m/>
    <x v="10"/>
    <m/>
    <m/>
    <m/>
    <m/>
  </r>
  <r>
    <x v="1"/>
    <x v="3"/>
    <s v="5089 J"/>
    <x v="132"/>
    <s v="Jilani Poly Stock"/>
    <s v="PP"/>
    <n v="24"/>
    <s v="5-5.5"/>
    <s v="PP"/>
    <n v="1000"/>
    <s v="PP"/>
    <n v="10"/>
    <n v="602.21"/>
    <n v="2.4"/>
    <m/>
    <m/>
    <n v="599.81000000000006"/>
    <s v="953.88000000000011"/>
    <m/>
    <m/>
    <n v="120"/>
    <n v="120"/>
    <n v="2"/>
    <m/>
    <m/>
    <m/>
    <m/>
    <m/>
    <m/>
    <m/>
    <m/>
    <n v="0"/>
    <n v="0"/>
    <n v="2"/>
    <n v="10"/>
    <n v="12"/>
    <m/>
    <m/>
    <n v="0"/>
    <n v="609.81000000000006"/>
    <m/>
    <x v="10"/>
    <m/>
    <m/>
    <m/>
    <m/>
  </r>
  <r>
    <x v="0"/>
    <x v="4"/>
    <s v="10/7"/>
    <x v="132"/>
    <s v="سٹاک"/>
    <s v="PP"/>
    <n v="10"/>
    <n v="5"/>
    <s v="PP"/>
    <n v="1000"/>
    <s v="PP"/>
    <n v="9"/>
    <n v="470.10999999999996"/>
    <n v="9.9"/>
    <m/>
    <m/>
    <n v="460.21"/>
    <s v="1092.9000000000001"/>
    <m/>
    <m/>
    <m/>
    <n v="0"/>
    <n v="0"/>
    <m/>
    <m/>
    <m/>
    <m/>
    <m/>
    <m/>
    <m/>
    <m/>
    <n v="0"/>
    <n v="0"/>
    <n v="0"/>
    <n v="12"/>
    <n v="12"/>
    <m/>
    <m/>
    <n v="0"/>
    <n v="470.21"/>
    <m/>
    <x v="10"/>
    <m/>
    <m/>
    <m/>
    <m/>
  </r>
  <r>
    <x v="1"/>
    <x v="4"/>
    <s v="10/7"/>
    <x v="132"/>
    <s v="سٹاک"/>
    <s v="PP"/>
    <n v="10"/>
    <n v="5"/>
    <s v="PP"/>
    <n v="1000"/>
    <s v="PP"/>
    <n v="8"/>
    <n v="377.65"/>
    <n v="8"/>
    <m/>
    <m/>
    <n v="369.65"/>
    <s v="1092.9000000000001"/>
    <m/>
    <m/>
    <n v="120"/>
    <n v="120"/>
    <n v="2"/>
    <m/>
    <m/>
    <m/>
    <m/>
    <m/>
    <m/>
    <m/>
    <m/>
    <n v="0"/>
    <n v="0"/>
    <n v="2"/>
    <n v="10"/>
    <n v="12"/>
    <m/>
    <m/>
    <n v="0"/>
    <n v="379.65"/>
    <m/>
    <x v="10"/>
    <m/>
    <m/>
    <m/>
    <m/>
  </r>
  <r>
    <x v="0"/>
    <x v="0"/>
    <s v="3/5"/>
    <x v="133"/>
    <s v="سٹاک"/>
    <s v="PP"/>
    <n v="3"/>
    <s v="5.5-6"/>
    <s v="PP"/>
    <n v="1000"/>
    <s v="PP"/>
    <n v="7"/>
    <n v="84.399999999999991"/>
    <n v="2.1"/>
    <n v="19"/>
    <m/>
    <n v="82.3"/>
    <s v="1537.1100000000001"/>
    <n v="20"/>
    <m/>
    <n v="135"/>
    <n v="155"/>
    <n v="2.5833333333333335"/>
    <m/>
    <m/>
    <m/>
    <m/>
    <m/>
    <m/>
    <m/>
    <m/>
    <n v="0"/>
    <n v="0"/>
    <n v="2.5833333333333335"/>
    <n v="9.4166666666666661"/>
    <n v="12"/>
    <m/>
    <m/>
    <n v="0"/>
    <n v="120"/>
    <m/>
    <x v="11"/>
    <m/>
    <m/>
    <m/>
    <m/>
  </r>
  <r>
    <x v="1"/>
    <x v="0"/>
    <s v="7427/1"/>
    <x v="133"/>
    <s v="سلطان ٹریڈرز فیصل اباد"/>
    <s v="PP"/>
    <s v="4.5"/>
    <n v="9"/>
    <s v="PP"/>
    <n v="50"/>
    <s v="PP"/>
    <n v="4"/>
    <n v="57.53"/>
    <n v="1.6"/>
    <n v="16"/>
    <m/>
    <n v="55.93"/>
    <s v="55.93"/>
    <n v="20"/>
    <m/>
    <m/>
    <n v="20"/>
    <n v="0.33333333333333331"/>
    <n v="20"/>
    <m/>
    <m/>
    <m/>
    <m/>
    <m/>
    <m/>
    <m/>
    <n v="20"/>
    <n v="0.33333333333333331"/>
    <n v="0.66666666666666663"/>
    <n v="11.333333333333334"/>
    <n v="12"/>
    <m/>
    <m/>
    <n v="0"/>
    <n v="200"/>
    <m/>
    <x v="11"/>
    <m/>
    <m/>
    <m/>
    <m/>
  </r>
  <r>
    <x v="1"/>
    <x v="0"/>
    <s v="7427/2"/>
    <x v="133"/>
    <s v="سلطان ٹریڈرز فیصل اباد"/>
    <s v="PP"/>
    <s v="5"/>
    <n v="9"/>
    <s v="PP"/>
    <n v="50"/>
    <s v="PP"/>
    <n v="6"/>
    <n v="97.32"/>
    <n v="3"/>
    <m/>
    <m/>
    <n v="94.32"/>
    <s v="94.32"/>
    <n v="20"/>
    <m/>
    <m/>
    <n v="20"/>
    <n v="0.33333333333333331"/>
    <m/>
    <m/>
    <m/>
    <m/>
    <m/>
    <m/>
    <m/>
    <m/>
    <n v="0"/>
    <n v="0"/>
    <n v="0.33333333333333331"/>
    <n v="11.666666666666666"/>
    <n v="12"/>
    <m/>
    <m/>
    <n v="0"/>
    <m/>
    <m/>
    <x v="11"/>
    <m/>
    <m/>
    <m/>
    <m/>
  </r>
  <r>
    <x v="1"/>
    <x v="0"/>
    <s v="3/5"/>
    <x v="133"/>
    <s v="سٹاک"/>
    <s v="PP"/>
    <n v="3"/>
    <s v="5.5-6"/>
    <s v="PP"/>
    <n v="1000"/>
    <s v="PP"/>
    <n v="1"/>
    <n v="10.93"/>
    <n v="0.3"/>
    <m/>
    <m/>
    <n v="10.629999999999999"/>
    <s v="1537.1100000000001"/>
    <m/>
    <m/>
    <m/>
    <n v="0"/>
    <n v="0"/>
    <m/>
    <m/>
    <m/>
    <m/>
    <m/>
    <m/>
    <m/>
    <m/>
    <n v="0"/>
    <n v="0"/>
    <n v="0"/>
    <n v="12"/>
    <n v="12"/>
    <m/>
    <m/>
    <n v="0"/>
    <m/>
    <m/>
    <x v="11"/>
    <m/>
    <m/>
    <m/>
    <m/>
  </r>
  <r>
    <x v="0"/>
    <x v="1"/>
    <s v="7415/2"/>
    <x v="133"/>
    <s v="عثمان امین لاہور"/>
    <s v="PP"/>
    <s v="4"/>
    <n v="5"/>
    <s v="PP"/>
    <n v="2000"/>
    <s v="PP"/>
    <n v="9"/>
    <n v="136.04000000000002"/>
    <n v="3.6"/>
    <n v="7"/>
    <m/>
    <n v="132.44000000000003"/>
    <s v="2879.5000000000005"/>
    <m/>
    <m/>
    <n v="135"/>
    <n v="135"/>
    <n v="2.25"/>
    <m/>
    <m/>
    <m/>
    <m/>
    <m/>
    <m/>
    <m/>
    <m/>
    <n v="0"/>
    <n v="0"/>
    <n v="2.25"/>
    <n v="9.75"/>
    <n v="12"/>
    <m/>
    <m/>
    <n v="0"/>
    <n v="160"/>
    <m/>
    <x v="11"/>
    <m/>
    <m/>
    <m/>
    <m/>
  </r>
  <r>
    <x v="1"/>
    <x v="1"/>
    <s v="7427/11"/>
    <x v="133"/>
    <s v="سلطان ٹریڈرز فیصل اباد"/>
    <s v="PP"/>
    <s v="4"/>
    <n v="9"/>
    <s v="PP"/>
    <n v="50"/>
    <s v="PP"/>
    <n v="4"/>
    <n v="50.46"/>
    <n v="1.6"/>
    <n v="7"/>
    <m/>
    <n v="48.86"/>
    <s v="48.86"/>
    <m/>
    <m/>
    <m/>
    <n v="0"/>
    <n v="0"/>
    <m/>
    <m/>
    <m/>
    <m/>
    <m/>
    <m/>
    <m/>
    <m/>
    <n v="0"/>
    <n v="0"/>
    <n v="0"/>
    <n v="12"/>
    <n v="12"/>
    <m/>
    <m/>
    <n v="0"/>
    <n v="180"/>
    <m/>
    <x v="11"/>
    <m/>
    <m/>
    <m/>
    <m/>
  </r>
  <r>
    <x v="1"/>
    <x v="1"/>
    <s v="7415/2"/>
    <x v="133"/>
    <s v="عثمان امین لاہور"/>
    <s v="PP"/>
    <s v="4"/>
    <n v="5"/>
    <s v="PP"/>
    <n v="2000"/>
    <s v="PP"/>
    <n v="9"/>
    <n v="128.19999999999999"/>
    <n v="3.6"/>
    <m/>
    <m/>
    <n v="124.6"/>
    <s v="2879.5000000000005"/>
    <m/>
    <m/>
    <m/>
    <n v="0"/>
    <n v="0"/>
    <m/>
    <m/>
    <m/>
    <m/>
    <m/>
    <m/>
    <m/>
    <m/>
    <n v="0"/>
    <n v="0"/>
    <n v="0"/>
    <n v="12"/>
    <n v="12"/>
    <m/>
    <m/>
    <n v="0"/>
    <m/>
    <m/>
    <x v="11"/>
    <m/>
    <m/>
    <m/>
    <m/>
  </r>
  <r>
    <x v="0"/>
    <x v="2"/>
    <s v="7437/1"/>
    <x v="133"/>
    <s v="شخ پلاسٹک گوجر خان"/>
    <s v="PP"/>
    <n v="6"/>
    <n v="4"/>
    <s v="PP"/>
    <n v="250"/>
    <s v="PP"/>
    <n v="5"/>
    <n v="141.07999999999998"/>
    <n v="3"/>
    <m/>
    <m/>
    <n v="138.07999999999998"/>
    <s v="262.90999999999997"/>
    <m/>
    <m/>
    <n v="270"/>
    <n v="270"/>
    <n v="4.5"/>
    <n v="60"/>
    <m/>
    <m/>
    <m/>
    <m/>
    <m/>
    <m/>
    <m/>
    <n v="60"/>
    <n v="1"/>
    <n v="5.5"/>
    <n v="6.5"/>
    <n v="12"/>
    <m/>
    <m/>
    <n v="0"/>
    <n v="230"/>
    <m/>
    <x v="11"/>
    <m/>
    <m/>
    <m/>
    <m/>
  </r>
  <r>
    <x v="1"/>
    <x v="2"/>
    <s v="7437/1"/>
    <x v="133"/>
    <s v="شخ پلاسٹک گوجر خان"/>
    <s v="PP"/>
    <n v="6"/>
    <n v="4"/>
    <s v="PP"/>
    <n v="250"/>
    <s v="PP"/>
    <n v="5"/>
    <n v="128.33000000000001"/>
    <n v="3.5"/>
    <m/>
    <m/>
    <n v="124.83000000000001"/>
    <s v="262.90999999999997"/>
    <m/>
    <m/>
    <m/>
    <n v="0"/>
    <n v="0"/>
    <m/>
    <m/>
    <m/>
    <m/>
    <m/>
    <m/>
    <m/>
    <m/>
    <n v="0"/>
    <n v="0"/>
    <n v="0"/>
    <n v="12"/>
    <n v="12"/>
    <m/>
    <m/>
    <n v="0"/>
    <n v="230"/>
    <m/>
    <x v="11"/>
    <m/>
    <m/>
    <m/>
    <m/>
  </r>
  <r>
    <x v="1"/>
    <x v="2"/>
    <s v="7428/1"/>
    <x v="133"/>
    <s v="یونیورسل پیکیجز اعظم مارکیٹ"/>
    <s v="PP"/>
    <s v="6"/>
    <n v="6"/>
    <s v="PP"/>
    <n v="100"/>
    <s v="PP"/>
    <n v="4"/>
    <n v="103.75"/>
    <n v="2.8"/>
    <m/>
    <m/>
    <n v="100.95"/>
    <s v="100.95"/>
    <m/>
    <m/>
    <m/>
    <n v="0"/>
    <n v="0"/>
    <m/>
    <m/>
    <m/>
    <m/>
    <m/>
    <m/>
    <m/>
    <m/>
    <n v="0"/>
    <n v="0"/>
    <n v="0"/>
    <n v="12"/>
    <n v="12"/>
    <m/>
    <m/>
    <n v="0"/>
    <m/>
    <m/>
    <x v="11"/>
    <m/>
    <m/>
    <m/>
    <m/>
  </r>
  <r>
    <x v="0"/>
    <x v="4"/>
    <s v="7426/1"/>
    <x v="133"/>
    <s v="فہیم پلاسٹک ملتان"/>
    <s v="PP"/>
    <s v="11"/>
    <n v="7"/>
    <s v="PP"/>
    <n v="100"/>
    <s v="PP"/>
    <n v="2"/>
    <n v="96.03"/>
    <n v="2.2000000000000002"/>
    <m/>
    <m/>
    <n v="93.83"/>
    <s v="93.83"/>
    <n v="30"/>
    <m/>
    <n v="180"/>
    <n v="210"/>
    <n v="3.5"/>
    <m/>
    <m/>
    <m/>
    <m/>
    <m/>
    <m/>
    <m/>
    <m/>
    <n v="0"/>
    <n v="0"/>
    <n v="3.5"/>
    <n v="8.5"/>
    <n v="12"/>
    <m/>
    <m/>
    <n v="0"/>
    <m/>
    <m/>
    <x v="11"/>
    <m/>
    <m/>
    <m/>
    <m/>
  </r>
  <r>
    <x v="0"/>
    <x v="4"/>
    <s v="7427/10"/>
    <x v="133"/>
    <s v="سلطان ٹریڈرز فیصل اباد"/>
    <s v="PP"/>
    <s v="9"/>
    <n v="9"/>
    <s v="PP"/>
    <n v="50"/>
    <s v="PP"/>
    <n v="4"/>
    <n v="55.56"/>
    <n v="3.6"/>
    <m/>
    <m/>
    <n v="51.96"/>
    <s v="51.96"/>
    <m/>
    <m/>
    <m/>
    <n v="0"/>
    <n v="0"/>
    <m/>
    <m/>
    <m/>
    <m/>
    <m/>
    <m/>
    <m/>
    <m/>
    <n v="0"/>
    <n v="0"/>
    <n v="0"/>
    <n v="12"/>
    <n v="12"/>
    <m/>
    <m/>
    <n v="0"/>
    <n v="500"/>
    <m/>
    <x v="11"/>
    <m/>
    <m/>
    <m/>
    <m/>
  </r>
  <r>
    <x v="0"/>
    <x v="4"/>
    <s v="9/6"/>
    <x v="133"/>
    <s v="سٹاک"/>
    <s v="PP"/>
    <n v="9"/>
    <s v="5-5.5"/>
    <s v="PP"/>
    <n v="1000"/>
    <s v="PP"/>
    <n v="3"/>
    <n v="101.95"/>
    <n v="2.7"/>
    <m/>
    <m/>
    <n v="99.25"/>
    <s v="1010.4300000000001"/>
    <m/>
    <m/>
    <m/>
    <n v="0"/>
    <n v="0"/>
    <m/>
    <m/>
    <m/>
    <m/>
    <m/>
    <m/>
    <m/>
    <m/>
    <n v="0"/>
    <n v="0"/>
    <n v="0"/>
    <n v="12"/>
    <n v="12"/>
    <m/>
    <m/>
    <n v="0"/>
    <m/>
    <m/>
    <x v="11"/>
    <m/>
    <m/>
    <m/>
    <m/>
  </r>
  <r>
    <x v="0"/>
    <x v="4"/>
    <s v="7423/1"/>
    <x v="133"/>
    <s v="ایم ٹی ایم انٹر پرائزز شاہ عالم"/>
    <s v="PP"/>
    <s v="9"/>
    <n v="7"/>
    <s v="PP"/>
    <n v="100"/>
    <s v="PP"/>
    <n v="3"/>
    <n v="106.04"/>
    <n v="2.7"/>
    <m/>
    <m/>
    <n v="103.34"/>
    <s v="103.34"/>
    <m/>
    <m/>
    <m/>
    <n v="0"/>
    <n v="0"/>
    <m/>
    <m/>
    <m/>
    <m/>
    <m/>
    <m/>
    <m/>
    <m/>
    <n v="0"/>
    <n v="0"/>
    <n v="0"/>
    <n v="12"/>
    <n v="12"/>
    <m/>
    <m/>
    <n v="0"/>
    <m/>
    <m/>
    <x v="11"/>
    <m/>
    <m/>
    <m/>
    <m/>
  </r>
  <r>
    <x v="1"/>
    <x v="4"/>
    <s v="9/6"/>
    <x v="133"/>
    <s v="سٹاک"/>
    <s v="PP"/>
    <n v="9"/>
    <s v="5-5.5"/>
    <s v="PP"/>
    <n v="1000"/>
    <s v="PP"/>
    <n v="14"/>
    <n v="530.05999999999995"/>
    <n v="16.8"/>
    <m/>
    <m/>
    <n v="513.26"/>
    <s v="1010.4300000000001"/>
    <m/>
    <m/>
    <m/>
    <n v="0"/>
    <n v="0"/>
    <m/>
    <m/>
    <m/>
    <m/>
    <m/>
    <m/>
    <m/>
    <m/>
    <n v="0"/>
    <n v="0"/>
    <n v="0"/>
    <n v="12"/>
    <n v="12"/>
    <m/>
    <m/>
    <n v="0"/>
    <n v="500"/>
    <m/>
    <x v="11"/>
    <m/>
    <m/>
    <m/>
    <m/>
  </r>
  <r>
    <x v="0"/>
    <x v="0"/>
    <s v="3/5"/>
    <x v="134"/>
    <s v="سٹاک"/>
    <s v="PP"/>
    <n v="3"/>
    <s v="5.5-6"/>
    <s v="PP"/>
    <n v="1000"/>
    <s v="PP"/>
    <n v="9"/>
    <n v="124.17"/>
    <n v="2.6999999999999997"/>
    <n v="22"/>
    <m/>
    <n v="121.47"/>
    <s v="1537.1100000000001"/>
    <m/>
    <m/>
    <m/>
    <n v="0"/>
    <n v="0"/>
    <m/>
    <m/>
    <m/>
    <m/>
    <m/>
    <m/>
    <m/>
    <m/>
    <n v="0"/>
    <n v="0"/>
    <n v="0"/>
    <n v="12"/>
    <n v="12"/>
    <m/>
    <m/>
    <n v="0"/>
    <n v="120"/>
    <m/>
    <x v="11"/>
    <m/>
    <m/>
    <m/>
    <m/>
  </r>
  <r>
    <x v="1"/>
    <x v="0"/>
    <s v="3/5"/>
    <x v="134"/>
    <s v="سٹاک"/>
    <s v="PP"/>
    <n v="3"/>
    <s v="5.5-6"/>
    <s v="PP"/>
    <n v="1000"/>
    <s v="PP"/>
    <n v="9"/>
    <n v="120.56"/>
    <n v="2.6999999999999997"/>
    <n v="21"/>
    <m/>
    <n v="117.86"/>
    <s v="1537.1100000000001"/>
    <m/>
    <m/>
    <m/>
    <n v="0"/>
    <n v="0"/>
    <m/>
    <m/>
    <m/>
    <m/>
    <m/>
    <m/>
    <m/>
    <m/>
    <n v="0"/>
    <n v="0"/>
    <n v="0"/>
    <n v="12"/>
    <n v="12"/>
    <m/>
    <m/>
    <n v="0"/>
    <n v="120"/>
    <m/>
    <x v="11"/>
    <m/>
    <m/>
    <m/>
    <m/>
  </r>
  <r>
    <x v="0"/>
    <x v="1"/>
    <s v="7415/2"/>
    <x v="134"/>
    <s v="عثمان امین لاہور"/>
    <s v="PP"/>
    <s v="4"/>
    <n v="5"/>
    <s v="PP"/>
    <n v="2000"/>
    <s v="PP"/>
    <n v="12"/>
    <n v="179.32"/>
    <n v="4.8000000000000007"/>
    <n v="2.5"/>
    <m/>
    <n v="174.51999999999998"/>
    <s v="2879.5000000000005"/>
    <m/>
    <m/>
    <m/>
    <n v="0"/>
    <n v="0"/>
    <m/>
    <m/>
    <m/>
    <m/>
    <m/>
    <m/>
    <m/>
    <m/>
    <n v="0"/>
    <n v="0"/>
    <n v="0"/>
    <n v="12"/>
    <n v="12"/>
    <m/>
    <m/>
    <n v="0"/>
    <n v="170"/>
    <m/>
    <x v="11"/>
    <m/>
    <m/>
    <m/>
    <m/>
  </r>
  <r>
    <x v="1"/>
    <x v="1"/>
    <s v="7415/2"/>
    <x v="134"/>
    <s v="عثمان امین لاہور"/>
    <s v="PP"/>
    <s v="4"/>
    <n v="5"/>
    <s v="PP"/>
    <n v="2000"/>
    <s v="PP"/>
    <n v="13"/>
    <n v="175.95"/>
    <n v="5.2"/>
    <n v="2.5"/>
    <m/>
    <n v="170.75"/>
    <s v="2879.5000000000005"/>
    <m/>
    <m/>
    <m/>
    <n v="0"/>
    <n v="0"/>
    <m/>
    <m/>
    <m/>
    <m/>
    <m/>
    <m/>
    <m/>
    <m/>
    <n v="0"/>
    <n v="0"/>
    <n v="0"/>
    <n v="12"/>
    <n v="12"/>
    <m/>
    <m/>
    <n v="0"/>
    <n v="170"/>
    <m/>
    <x v="11"/>
    <m/>
    <m/>
    <m/>
    <m/>
  </r>
  <r>
    <x v="0"/>
    <x v="2"/>
    <s v="7427/4"/>
    <x v="134"/>
    <s v="سلطان ٹریڈرز فیصل اباد"/>
    <s v="PP"/>
    <s v="6"/>
    <n v="9"/>
    <s v="PP"/>
    <n v="50"/>
    <s v="PP"/>
    <n v="4"/>
    <n v="102.3"/>
    <n v="2.4"/>
    <m/>
    <m/>
    <n v="99.899999999999991"/>
    <s v="99.899999999999991"/>
    <n v="15"/>
    <m/>
    <m/>
    <n v="15"/>
    <n v="0.25"/>
    <m/>
    <m/>
    <m/>
    <m/>
    <m/>
    <m/>
    <m/>
    <m/>
    <n v="0"/>
    <n v="0"/>
    <n v="0.25"/>
    <n v="11.75"/>
    <n v="12"/>
    <m/>
    <m/>
    <n v="0"/>
    <n v="290"/>
    <m/>
    <x v="11"/>
    <m/>
    <m/>
    <m/>
    <m/>
  </r>
  <r>
    <x v="0"/>
    <x v="2"/>
    <s v="7411/6"/>
    <x v="134"/>
    <s v="اصف پلاسٹک سرگودھا"/>
    <s v="PP"/>
    <s v="8"/>
    <n v="4"/>
    <s v="PP"/>
    <n v="100"/>
    <s v="PP"/>
    <n v="4"/>
    <n v="106.99"/>
    <n v="3.2"/>
    <m/>
    <m/>
    <n v="103.78999999999999"/>
    <s v="103.78999999999999"/>
    <m/>
    <m/>
    <m/>
    <n v="0"/>
    <n v="0"/>
    <m/>
    <m/>
    <m/>
    <m/>
    <m/>
    <m/>
    <m/>
    <m/>
    <n v="0"/>
    <n v="0"/>
    <n v="0"/>
    <n v="12"/>
    <n v="12"/>
    <m/>
    <m/>
    <n v="0"/>
    <m/>
    <m/>
    <x v="11"/>
    <m/>
    <m/>
    <m/>
    <m/>
  </r>
  <r>
    <x v="0"/>
    <x v="2"/>
    <s v="7427/8"/>
    <x v="134"/>
    <s v="سلطان ٹریڈرز فیصل اباد"/>
    <s v="PP"/>
    <s v="8"/>
    <n v="9"/>
    <s v="PP"/>
    <n v="50"/>
    <s v="PP"/>
    <n v="3"/>
    <n v="82.69"/>
    <n v="2.4000000000000004"/>
    <m/>
    <m/>
    <n v="80.289999999999992"/>
    <s v="106.47"/>
    <m/>
    <m/>
    <m/>
    <n v="0"/>
    <n v="0"/>
    <m/>
    <m/>
    <m/>
    <m/>
    <m/>
    <m/>
    <m/>
    <m/>
    <n v="0"/>
    <n v="0"/>
    <n v="0"/>
    <n v="12"/>
    <n v="12"/>
    <m/>
    <m/>
    <n v="0"/>
    <m/>
    <m/>
    <x v="11"/>
    <m/>
    <m/>
    <m/>
    <m/>
  </r>
  <r>
    <x v="1"/>
    <x v="2"/>
    <s v="7427/8"/>
    <x v="134"/>
    <s v="سلطان ٹریڈرز فیصل اباد"/>
    <s v="PP"/>
    <s v="8"/>
    <n v="9"/>
    <s v="PP"/>
    <n v="50"/>
    <s v="PP"/>
    <n v="1"/>
    <n v="27.18"/>
    <n v="1"/>
    <m/>
    <m/>
    <n v="26.18"/>
    <s v="106.47"/>
    <m/>
    <m/>
    <m/>
    <n v="0"/>
    <n v="0"/>
    <m/>
    <m/>
    <m/>
    <m/>
    <m/>
    <m/>
    <m/>
    <m/>
    <n v="0"/>
    <n v="0"/>
    <n v="0"/>
    <n v="12"/>
    <n v="12"/>
    <m/>
    <m/>
    <n v="0"/>
    <n v="290"/>
    <m/>
    <x v="11"/>
    <m/>
    <m/>
    <m/>
    <m/>
  </r>
  <r>
    <x v="1"/>
    <x v="2"/>
    <s v="8/7"/>
    <x v="134"/>
    <s v="سٹاک"/>
    <s v="PP"/>
    <n v="8"/>
    <n v="5"/>
    <s v="PP"/>
    <n v="1000"/>
    <s v="PP"/>
    <n v="8"/>
    <n v="265.64999999999998"/>
    <n v="8.1"/>
    <m/>
    <m/>
    <n v="257.54999999999995"/>
    <s v="623.35"/>
    <m/>
    <m/>
    <m/>
    <n v="0"/>
    <n v="0"/>
    <m/>
    <m/>
    <m/>
    <m/>
    <m/>
    <m/>
    <m/>
    <m/>
    <n v="0"/>
    <n v="0"/>
    <n v="0"/>
    <n v="12"/>
    <n v="12"/>
    <m/>
    <m/>
    <n v="0"/>
    <m/>
    <m/>
    <x v="11"/>
    <m/>
    <m/>
    <m/>
    <m/>
  </r>
  <r>
    <x v="0"/>
    <x v="4"/>
    <s v="9/6"/>
    <x v="134"/>
    <s v="سٹاک"/>
    <s v="PP"/>
    <n v="9"/>
    <s v="5-5.5"/>
    <s v="PP"/>
    <n v="1000"/>
    <s v="PP"/>
    <n v="11"/>
    <n v="407.82000000000005"/>
    <n v="9.9"/>
    <m/>
    <m/>
    <n v="397.92000000000007"/>
    <s v="1010.4300000000001"/>
    <n v="30"/>
    <m/>
    <m/>
    <n v="30"/>
    <n v="0.5"/>
    <m/>
    <m/>
    <m/>
    <m/>
    <m/>
    <m/>
    <m/>
    <m/>
    <n v="0"/>
    <n v="0"/>
    <n v="0.5"/>
    <n v="11.5"/>
    <n v="12"/>
    <m/>
    <m/>
    <n v="0"/>
    <m/>
    <m/>
    <x v="11"/>
    <m/>
    <m/>
    <m/>
    <m/>
  </r>
  <r>
    <x v="0"/>
    <x v="4"/>
    <s v="7433/2"/>
    <x v="134"/>
    <s v="العمر پلاسٹک گوجرانوالہ"/>
    <s v="PP"/>
    <n v="12"/>
    <n v="10"/>
    <s v="PP"/>
    <n v="150"/>
    <s v="PP"/>
    <n v="2"/>
    <n v="70.599999999999994"/>
    <n v="2.4"/>
    <m/>
    <m/>
    <n v="68.199999999999989"/>
    <s v="150.02999999999997"/>
    <m/>
    <m/>
    <m/>
    <n v="0"/>
    <n v="0"/>
    <m/>
    <m/>
    <m/>
    <m/>
    <m/>
    <m/>
    <m/>
    <m/>
    <n v="0"/>
    <n v="0"/>
    <n v="0"/>
    <n v="12"/>
    <n v="12"/>
    <m/>
    <m/>
    <n v="0"/>
    <n v="500"/>
    <m/>
    <x v="11"/>
    <m/>
    <m/>
    <m/>
    <m/>
  </r>
  <r>
    <x v="1"/>
    <x v="4"/>
    <s v="7433/2"/>
    <x v="134"/>
    <s v="العمر پلاسٹک گوجرانوالہ"/>
    <s v="PP"/>
    <n v="12"/>
    <n v="10"/>
    <s v="PP"/>
    <n v="150"/>
    <s v="PP"/>
    <n v="2"/>
    <n v="84.72999999999999"/>
    <n v="2.9"/>
    <m/>
    <m/>
    <n v="81.829999999999984"/>
    <s v="150.02999999999997"/>
    <n v="15"/>
    <m/>
    <m/>
    <n v="15"/>
    <n v="0.25"/>
    <m/>
    <m/>
    <m/>
    <m/>
    <m/>
    <m/>
    <n v="90"/>
    <m/>
    <n v="90"/>
    <n v="1.5"/>
    <n v="1.75"/>
    <n v="10.25"/>
    <n v="12"/>
    <m/>
    <m/>
    <n v="0"/>
    <m/>
    <m/>
    <x v="11"/>
    <m/>
    <m/>
    <m/>
    <m/>
  </r>
  <r>
    <x v="1"/>
    <x v="4"/>
    <s v="7435/20"/>
    <x v="134"/>
    <s v="ہیڈ افس لاہور"/>
    <s v="PP"/>
    <s v="13"/>
    <n v="7"/>
    <s v="PP"/>
    <n v="250"/>
    <s v="PP"/>
    <n v="7"/>
    <n v="250.98000000000002"/>
    <n v="11.459999999999999"/>
    <m/>
    <m/>
    <n v="239.52"/>
    <s v="239.52"/>
    <n v="15"/>
    <m/>
    <m/>
    <n v="15"/>
    <n v="0.25"/>
    <m/>
    <m/>
    <m/>
    <m/>
    <m/>
    <m/>
    <m/>
    <m/>
    <n v="0"/>
    <n v="0"/>
    <n v="0.25"/>
    <n v="11.75"/>
    <n v="12"/>
    <m/>
    <m/>
    <n v="0"/>
    <n v="500"/>
    <m/>
    <x v="11"/>
    <m/>
    <m/>
    <m/>
    <m/>
  </r>
  <r>
    <x v="1"/>
    <x v="4"/>
    <s v="14/6"/>
    <x v="134"/>
    <s v="سٹاک"/>
    <s v="PP"/>
    <n v="14"/>
    <n v="5"/>
    <s v="PP"/>
    <n v="1500"/>
    <s v="PP"/>
    <n v="3"/>
    <n v="151.23000000000002"/>
    <n v="5"/>
    <m/>
    <m/>
    <n v="146.23000000000002"/>
    <s v="1034.18"/>
    <m/>
    <m/>
    <m/>
    <n v="0"/>
    <n v="0"/>
    <m/>
    <m/>
    <m/>
    <m/>
    <m/>
    <m/>
    <m/>
    <m/>
    <n v="0"/>
    <n v="0"/>
    <n v="0"/>
    <n v="12"/>
    <n v="12"/>
    <m/>
    <m/>
    <n v="0"/>
    <m/>
    <m/>
    <x v="11"/>
    <m/>
    <m/>
    <m/>
    <m/>
  </r>
  <r>
    <x v="0"/>
    <x v="0"/>
    <s v="3/5"/>
    <x v="135"/>
    <s v="سٹاک"/>
    <s v="PP"/>
    <n v="3"/>
    <s v="5.5-6"/>
    <s v="PP"/>
    <n v="1000"/>
    <s v="PP"/>
    <n v="10"/>
    <n v="132.01"/>
    <n v="3"/>
    <n v="39"/>
    <m/>
    <n v="129.01"/>
    <s v="1537.1100000000001"/>
    <m/>
    <m/>
    <m/>
    <n v="0"/>
    <n v="0"/>
    <m/>
    <m/>
    <m/>
    <m/>
    <m/>
    <m/>
    <m/>
    <m/>
    <n v="0"/>
    <n v="0"/>
    <n v="0"/>
    <n v="12"/>
    <n v="12"/>
    <m/>
    <m/>
    <n v="0"/>
    <n v="135"/>
    <m/>
    <x v="11"/>
    <m/>
    <m/>
    <m/>
    <m/>
  </r>
  <r>
    <x v="1"/>
    <x v="0"/>
    <s v="3/5"/>
    <x v="135"/>
    <s v="سٹاک"/>
    <s v="PP"/>
    <n v="3"/>
    <s v="5.5-6"/>
    <s v="PP"/>
    <n v="1000"/>
    <s v="PP"/>
    <n v="10"/>
    <n v="137.69"/>
    <n v="3"/>
    <n v="70"/>
    <m/>
    <n v="134.69"/>
    <s v="1537.1100000000001"/>
    <m/>
    <m/>
    <m/>
    <n v="0"/>
    <n v="0"/>
    <m/>
    <m/>
    <m/>
    <m/>
    <m/>
    <m/>
    <m/>
    <m/>
    <n v="0"/>
    <n v="0"/>
    <n v="0"/>
    <n v="12"/>
    <n v="12"/>
    <m/>
    <m/>
    <n v="0"/>
    <n v="135"/>
    <m/>
    <x v="11"/>
    <m/>
    <m/>
    <m/>
    <m/>
  </r>
  <r>
    <x v="0"/>
    <x v="1"/>
    <s v="7415/2"/>
    <x v="135"/>
    <s v="عثمان امین لاہور"/>
    <s v="PP"/>
    <s v="4"/>
    <n v="5"/>
    <s v="PP"/>
    <n v="2000"/>
    <s v="PP"/>
    <n v="6"/>
    <n v="77.599999999999994"/>
    <n v="2.4000000000000004"/>
    <n v="9"/>
    <m/>
    <n v="75.199999999999989"/>
    <s v="2879.5000000000005"/>
    <m/>
    <m/>
    <m/>
    <n v="0"/>
    <n v="0"/>
    <m/>
    <m/>
    <n v="300"/>
    <m/>
    <m/>
    <m/>
    <m/>
    <m/>
    <n v="300"/>
    <n v="5"/>
    <n v="5"/>
    <n v="7"/>
    <n v="12"/>
    <m/>
    <m/>
    <n v="0"/>
    <n v="170"/>
    <m/>
    <x v="11"/>
    <m/>
    <m/>
    <m/>
    <m/>
  </r>
  <r>
    <x v="1"/>
    <x v="1"/>
    <s v="7415/2"/>
    <x v="135"/>
    <s v="عثمان امین لاہور"/>
    <s v="PP"/>
    <s v="4"/>
    <n v="5"/>
    <s v="PP"/>
    <n v="2000"/>
    <s v="PP"/>
    <n v="12"/>
    <n v="176.35"/>
    <n v="4.8000000000000007"/>
    <n v="9"/>
    <m/>
    <n v="171.54999999999998"/>
    <s v="2879.5000000000005"/>
    <m/>
    <m/>
    <m/>
    <n v="0"/>
    <n v="0"/>
    <m/>
    <m/>
    <m/>
    <m/>
    <m/>
    <m/>
    <m/>
    <m/>
    <n v="0"/>
    <n v="0"/>
    <n v="0"/>
    <n v="12"/>
    <n v="12"/>
    <m/>
    <m/>
    <n v="0"/>
    <n v="170"/>
    <m/>
    <x v="11"/>
    <m/>
    <m/>
    <m/>
    <m/>
  </r>
  <r>
    <x v="0"/>
    <x v="2"/>
    <s v="8/7"/>
    <x v="135"/>
    <s v="سٹاک"/>
    <s v="PP"/>
    <n v="8"/>
    <n v="5"/>
    <s v="PP"/>
    <n v="1000"/>
    <s v="PP"/>
    <n v="8"/>
    <n v="285.32"/>
    <n v="6.4"/>
    <m/>
    <m/>
    <n v="278.92"/>
    <s v="623.35"/>
    <m/>
    <m/>
    <m/>
    <n v="0"/>
    <n v="0"/>
    <m/>
    <m/>
    <m/>
    <m/>
    <m/>
    <m/>
    <m/>
    <m/>
    <n v="0"/>
    <n v="0"/>
    <n v="0"/>
    <n v="12"/>
    <n v="12"/>
    <m/>
    <m/>
    <n v="0"/>
    <n v="280"/>
    <m/>
    <x v="11"/>
    <m/>
    <m/>
    <m/>
    <m/>
  </r>
  <r>
    <x v="1"/>
    <x v="2"/>
    <s v="8/7"/>
    <x v="135"/>
    <s v="سٹاک"/>
    <s v="PP"/>
    <n v="8"/>
    <n v="5"/>
    <s v="PP"/>
    <n v="1000"/>
    <s v="PP"/>
    <n v="2"/>
    <n v="88.88"/>
    <n v="2"/>
    <m/>
    <m/>
    <n v="86.88"/>
    <s v="623.35"/>
    <n v="25"/>
    <m/>
    <m/>
    <n v="25"/>
    <n v="0.41666666666666674"/>
    <m/>
    <m/>
    <m/>
    <m/>
    <m/>
    <m/>
    <m/>
    <m/>
    <n v="0"/>
    <n v="0"/>
    <n v="0.41666666666666674"/>
    <n v="11.583333333333334"/>
    <n v="12"/>
    <m/>
    <m/>
    <n v="0"/>
    <n v="280"/>
    <m/>
    <x v="11"/>
    <m/>
    <m/>
    <m/>
    <m/>
  </r>
  <r>
    <x v="1"/>
    <x v="2"/>
    <s v="7427/6"/>
    <x v="135"/>
    <s v="سلطان ٹریڈرز فیصل اباد"/>
    <s v="PP"/>
    <s v="7"/>
    <n v="9"/>
    <s v="PP"/>
    <n v="50"/>
    <s v="PP"/>
    <n v="4"/>
    <n v="107.84000000000002"/>
    <n v="2.8"/>
    <m/>
    <m/>
    <n v="105.04000000000002"/>
    <s v="105.04000000000002"/>
    <m/>
    <m/>
    <m/>
    <n v="0"/>
    <n v="0"/>
    <m/>
    <m/>
    <m/>
    <m/>
    <m/>
    <m/>
    <m/>
    <m/>
    <n v="0"/>
    <n v="0"/>
    <n v="0"/>
    <n v="12"/>
    <n v="12"/>
    <m/>
    <m/>
    <n v="0"/>
    <m/>
    <m/>
    <x v="11"/>
    <m/>
    <m/>
    <m/>
    <m/>
  </r>
  <r>
    <x v="1"/>
    <x v="2"/>
    <s v="7415/1"/>
    <x v="135"/>
    <s v="عثمان امین لاہور"/>
    <s v="PP"/>
    <s v="7"/>
    <n v="5"/>
    <s v="PP"/>
    <n v="4000"/>
    <s v="PP"/>
    <n v="2"/>
    <n v="74.460000000000008"/>
    <n v="1.4"/>
    <m/>
    <m/>
    <n v="73.06"/>
    <s v="4160.5300000000007"/>
    <m/>
    <m/>
    <m/>
    <n v="0"/>
    <n v="0"/>
    <m/>
    <m/>
    <m/>
    <m/>
    <m/>
    <m/>
    <m/>
    <m/>
    <n v="0"/>
    <n v="0"/>
    <n v="0"/>
    <n v="12"/>
    <n v="12"/>
    <m/>
    <m/>
    <n v="0"/>
    <m/>
    <m/>
    <x v="11"/>
    <m/>
    <m/>
    <m/>
    <m/>
  </r>
  <r>
    <x v="0"/>
    <x v="3"/>
    <s v="7436/1"/>
    <x v="135"/>
    <s v="خواجہ فرقان ٹمبر مارکیٹ"/>
    <s v="PP"/>
    <n v="10"/>
    <s v="2.5-5"/>
    <s v="PP"/>
    <n v="500"/>
    <s v="PP"/>
    <n v="6"/>
    <n v="145.79000000000002"/>
    <n v="7.8000000000000007"/>
    <m/>
    <m/>
    <n v="137.99"/>
    <s v="496.14"/>
    <m/>
    <n v="200"/>
    <m/>
    <n v="200"/>
    <n v="3.3333333333333335"/>
    <m/>
    <m/>
    <m/>
    <m/>
    <m/>
    <m/>
    <m/>
    <m/>
    <n v="0"/>
    <n v="0"/>
    <n v="3.3333333333333335"/>
    <n v="8.6666666666666661"/>
    <n v="12"/>
    <m/>
    <m/>
    <n v="0"/>
    <n v="150"/>
    <m/>
    <x v="11"/>
    <m/>
    <m/>
    <m/>
    <m/>
  </r>
  <r>
    <x v="1"/>
    <x v="3"/>
    <s v="7436/1"/>
    <x v="135"/>
    <s v="خواجہ فرقان ٹمبر مارکیٹ"/>
    <s v="PP"/>
    <n v="10"/>
    <s v="2.5-5"/>
    <s v="PP"/>
    <n v="500"/>
    <s v="PP"/>
    <n v="16"/>
    <n v="375.19"/>
    <n v="17.040000000000003"/>
    <m/>
    <m/>
    <n v="358.15"/>
    <s v="496.14"/>
    <n v="30"/>
    <m/>
    <m/>
    <n v="30"/>
    <n v="0.5"/>
    <m/>
    <m/>
    <m/>
    <m/>
    <m/>
    <m/>
    <m/>
    <m/>
    <n v="0"/>
    <n v="0"/>
    <n v="0.5"/>
    <n v="11.5"/>
    <n v="12"/>
    <m/>
    <m/>
    <n v="0"/>
    <n v="500"/>
    <m/>
    <x v="11"/>
    <m/>
    <m/>
    <m/>
    <m/>
  </r>
  <r>
    <x v="1"/>
    <x v="3"/>
    <s v="7435/25"/>
    <x v="135"/>
    <s v="ہیڈ افس لاہور"/>
    <s v="PP"/>
    <s v="19"/>
    <n v="7"/>
    <s v="PP"/>
    <n v="375"/>
    <s v="PP"/>
    <n v="2"/>
    <n v="110.94"/>
    <n v="5"/>
    <m/>
    <m/>
    <n v="105.94"/>
    <s v="393.39"/>
    <m/>
    <m/>
    <m/>
    <n v="0"/>
    <n v="0"/>
    <m/>
    <m/>
    <m/>
    <m/>
    <m/>
    <m/>
    <m/>
    <m/>
    <n v="0"/>
    <n v="0"/>
    <n v="0"/>
    <n v="12"/>
    <n v="12"/>
    <m/>
    <m/>
    <n v="0"/>
    <m/>
    <m/>
    <x v="11"/>
    <m/>
    <m/>
    <m/>
    <m/>
  </r>
  <r>
    <x v="0"/>
    <x v="4"/>
    <s v="14/5"/>
    <x v="135"/>
    <s v="سٹاک"/>
    <s v="PP"/>
    <n v="14"/>
    <n v="5"/>
    <s v="PP"/>
    <n v="1000"/>
    <s v="PP"/>
    <n v="14"/>
    <n v="574.26"/>
    <n v="19.599999999999998"/>
    <m/>
    <m/>
    <n v="554.66"/>
    <s v="2546.6099999999997"/>
    <m/>
    <m/>
    <m/>
    <n v="0"/>
    <n v="0"/>
    <m/>
    <m/>
    <m/>
    <m/>
    <m/>
    <m/>
    <m/>
    <m/>
    <n v="0"/>
    <n v="0"/>
    <n v="0"/>
    <n v="12"/>
    <n v="12"/>
    <m/>
    <m/>
    <n v="0"/>
    <n v="550"/>
    <m/>
    <x v="11"/>
    <m/>
    <m/>
    <m/>
    <m/>
  </r>
  <r>
    <x v="1"/>
    <x v="4"/>
    <s v="14/6"/>
    <x v="135"/>
    <s v="سٹاک"/>
    <s v="PP"/>
    <n v="14"/>
    <n v="5"/>
    <s v="PP"/>
    <n v="1500"/>
    <s v="PP"/>
    <n v="10"/>
    <n v="585.57000000000005"/>
    <n v="14"/>
    <m/>
    <m/>
    <n v="571.57000000000005"/>
    <s v="1034.18"/>
    <m/>
    <m/>
    <m/>
    <n v="0"/>
    <n v="0"/>
    <m/>
    <m/>
    <m/>
    <m/>
    <m/>
    <m/>
    <m/>
    <m/>
    <n v="0"/>
    <n v="0"/>
    <n v="0"/>
    <n v="12"/>
    <n v="12"/>
    <m/>
    <m/>
    <n v="0"/>
    <n v="550"/>
    <m/>
    <x v="11"/>
    <m/>
    <m/>
    <m/>
    <m/>
  </r>
  <r>
    <x v="0"/>
    <x v="0"/>
    <s v="3/5"/>
    <x v="136"/>
    <s v="سٹاک"/>
    <s v="PP"/>
    <n v="3"/>
    <s v="5.5-6"/>
    <s v="PP"/>
    <n v="1000"/>
    <s v="PP"/>
    <n v="9"/>
    <n v="122.4"/>
    <n v="2.6999999999999997"/>
    <n v="4.5"/>
    <m/>
    <n v="119.7"/>
    <s v="1537.1100000000001"/>
    <m/>
    <m/>
    <m/>
    <n v="0"/>
    <n v="0"/>
    <m/>
    <m/>
    <m/>
    <m/>
    <m/>
    <m/>
    <m/>
    <m/>
    <n v="0"/>
    <n v="0"/>
    <n v="0"/>
    <n v="12"/>
    <n v="12"/>
    <m/>
    <m/>
    <n v="0"/>
    <n v="120"/>
    <m/>
    <x v="11"/>
    <m/>
    <m/>
    <m/>
    <m/>
  </r>
  <r>
    <x v="1"/>
    <x v="0"/>
    <s v="3/5"/>
    <x v="136"/>
    <s v="سٹاک"/>
    <s v="PP"/>
    <n v="3"/>
    <s v="5.5-6"/>
    <s v="PP"/>
    <n v="1000"/>
    <s v="PP"/>
    <n v="9"/>
    <n v="125.41000000000001"/>
    <n v="2.6999999999999997"/>
    <n v="4.5"/>
    <m/>
    <n v="122.71000000000001"/>
    <s v="1537.1100000000001"/>
    <m/>
    <m/>
    <m/>
    <n v="0"/>
    <n v="0"/>
    <m/>
    <m/>
    <m/>
    <m/>
    <m/>
    <m/>
    <m/>
    <m/>
    <n v="0"/>
    <n v="0"/>
    <n v="0"/>
    <n v="12"/>
    <n v="12"/>
    <m/>
    <m/>
    <n v="0"/>
    <n v="120"/>
    <m/>
    <x v="11"/>
    <m/>
    <m/>
    <m/>
    <m/>
  </r>
  <r>
    <x v="0"/>
    <x v="1"/>
    <s v="7415/2"/>
    <x v="136"/>
    <s v="عثمان امین لاہور"/>
    <s v="PP"/>
    <s v="4"/>
    <n v="5"/>
    <s v="PP"/>
    <n v="2000"/>
    <s v="PP"/>
    <n v="10"/>
    <n v="136.01"/>
    <n v="4"/>
    <m/>
    <m/>
    <n v="132.01"/>
    <s v="2879.5000000000005"/>
    <m/>
    <m/>
    <m/>
    <n v="0"/>
    <n v="0"/>
    <n v="100"/>
    <m/>
    <m/>
    <m/>
    <m/>
    <m/>
    <n v="40"/>
    <m/>
    <n v="140"/>
    <n v="2.3333333333333335"/>
    <n v="2.3333333333333335"/>
    <n v="9.6666666666666661"/>
    <n v="12"/>
    <m/>
    <m/>
    <n v="0"/>
    <n v="133"/>
    <m/>
    <x v="11"/>
    <m/>
    <m/>
    <m/>
    <m/>
  </r>
  <r>
    <x v="1"/>
    <x v="1"/>
    <s v="7415/2"/>
    <x v="136"/>
    <s v="عثمان امین لاہور"/>
    <s v="PP"/>
    <s v="4"/>
    <n v="5"/>
    <s v="PP"/>
    <n v="2000"/>
    <s v="PP"/>
    <n v="12"/>
    <n v="182.94"/>
    <n v="4.8000000000000007"/>
    <m/>
    <m/>
    <n v="178.14"/>
    <s v="2879.5000000000005"/>
    <m/>
    <m/>
    <m/>
    <n v="0"/>
    <n v="0"/>
    <m/>
    <m/>
    <m/>
    <m/>
    <m/>
    <m/>
    <m/>
    <m/>
    <n v="0"/>
    <n v="0"/>
    <n v="0"/>
    <n v="12"/>
    <n v="12"/>
    <m/>
    <m/>
    <n v="0"/>
    <n v="170"/>
    <m/>
    <x v="11"/>
    <m/>
    <m/>
    <m/>
    <m/>
  </r>
  <r>
    <x v="0"/>
    <x v="2"/>
    <s v="7415/1"/>
    <x v="136"/>
    <s v="عثمان امین لاہور"/>
    <s v="PP"/>
    <s v="7"/>
    <n v="5"/>
    <s v="PP"/>
    <n v="4000"/>
    <s v="PP"/>
    <n v="8"/>
    <n v="278.84999999999997"/>
    <n v="5.6"/>
    <m/>
    <m/>
    <n v="273.24999999999994"/>
    <s v="4160.5300000000007"/>
    <m/>
    <m/>
    <m/>
    <n v="0"/>
    <n v="0"/>
    <m/>
    <m/>
    <m/>
    <m/>
    <m/>
    <m/>
    <m/>
    <m/>
    <n v="0"/>
    <n v="0"/>
    <n v="0"/>
    <n v="12"/>
    <n v="12"/>
    <m/>
    <m/>
    <n v="0"/>
    <n v="265"/>
    <m/>
    <x v="11"/>
    <m/>
    <m/>
    <m/>
    <m/>
  </r>
  <r>
    <x v="0"/>
    <x v="2"/>
    <s v="7415/1"/>
    <x v="136"/>
    <s v="عثمان امین لاہور"/>
    <s v="PP"/>
    <s v="7"/>
    <n v="5"/>
    <s v="PP"/>
    <n v="4000"/>
    <s v="PP"/>
    <n v="8"/>
    <n v="280.87"/>
    <n v="5.6"/>
    <m/>
    <m/>
    <n v="275.27"/>
    <s v="4160.5300000000007"/>
    <m/>
    <m/>
    <m/>
    <n v="0"/>
    <n v="0"/>
    <m/>
    <m/>
    <m/>
    <m/>
    <m/>
    <m/>
    <m/>
    <m/>
    <n v="0"/>
    <n v="0"/>
    <n v="0"/>
    <n v="12"/>
    <n v="12"/>
    <m/>
    <m/>
    <n v="0"/>
    <n v="265"/>
    <m/>
    <x v="11"/>
    <m/>
    <m/>
    <m/>
    <m/>
  </r>
  <r>
    <x v="0"/>
    <x v="3"/>
    <s v="7435/25"/>
    <x v="136"/>
    <s v="ہیڈ افس لاہور"/>
    <s v="PP"/>
    <s v="19"/>
    <n v="7"/>
    <s v="PP"/>
    <n v="375"/>
    <s v="PP"/>
    <n v="4"/>
    <n v="296.95"/>
    <n v="9.5"/>
    <m/>
    <m/>
    <n v="287.45"/>
    <s v="393.39"/>
    <n v="30"/>
    <m/>
    <m/>
    <n v="30"/>
    <n v="0.5"/>
    <m/>
    <m/>
    <m/>
    <m/>
    <m/>
    <m/>
    <m/>
    <m/>
    <n v="0"/>
    <n v="0"/>
    <n v="0.5"/>
    <n v="11.5"/>
    <n v="12"/>
    <m/>
    <m/>
    <n v="0"/>
    <n v="720"/>
    <m/>
    <x v="11"/>
    <m/>
    <m/>
    <m/>
    <m/>
  </r>
  <r>
    <x v="0"/>
    <x v="3"/>
    <s v="7435/23"/>
    <x v="136"/>
    <s v="ہیڈ افس لاہور"/>
    <s v="PP"/>
    <s v="15"/>
    <n v="7"/>
    <s v="PP"/>
    <n v="375"/>
    <s v="PP"/>
    <n v="5"/>
    <n v="230.31"/>
    <n v="7.5"/>
    <m/>
    <m/>
    <n v="222.81"/>
    <s v="873.59999999999991"/>
    <m/>
    <m/>
    <m/>
    <n v="0"/>
    <n v="0"/>
    <m/>
    <m/>
    <m/>
    <m/>
    <m/>
    <m/>
    <m/>
    <m/>
    <n v="0"/>
    <n v="0"/>
    <n v="0"/>
    <n v="12"/>
    <n v="12"/>
    <m/>
    <m/>
    <n v="0"/>
    <m/>
    <m/>
    <x v="11"/>
    <m/>
    <m/>
    <m/>
    <m/>
  </r>
  <r>
    <x v="0"/>
    <x v="3"/>
    <s v="7433/3"/>
    <x v="136"/>
    <s v="العمر پلاسٹک گوجرانوالہ"/>
    <s v="PP"/>
    <n v="15"/>
    <n v="10"/>
    <s v="PP"/>
    <n v="150"/>
    <s v="PP"/>
    <n v="4"/>
    <n v="172.23000000000002"/>
    <n v="6"/>
    <m/>
    <m/>
    <n v="166.23000000000002"/>
    <s v="200.74"/>
    <m/>
    <m/>
    <m/>
    <n v="0"/>
    <n v="0"/>
    <m/>
    <m/>
    <m/>
    <m/>
    <m/>
    <m/>
    <m/>
    <m/>
    <n v="0"/>
    <n v="0"/>
    <n v="0"/>
    <n v="12"/>
    <n v="12"/>
    <m/>
    <m/>
    <n v="0"/>
    <m/>
    <m/>
    <x v="11"/>
    <m/>
    <m/>
    <m/>
    <m/>
  </r>
  <r>
    <x v="1"/>
    <x v="3"/>
    <s v="7435/23"/>
    <x v="136"/>
    <s v="ہیڈ افس لاہور"/>
    <s v="PP"/>
    <s v="15"/>
    <n v="7"/>
    <s v="PP"/>
    <n v="375"/>
    <s v="PP"/>
    <n v="15"/>
    <n v="677.06"/>
    <n v="26.270000000000003"/>
    <m/>
    <m/>
    <n v="650.79"/>
    <s v="873.59999999999991"/>
    <m/>
    <m/>
    <m/>
    <n v="0"/>
    <n v="0"/>
    <m/>
    <m/>
    <m/>
    <m/>
    <m/>
    <m/>
    <m/>
    <m/>
    <n v="0"/>
    <n v="0"/>
    <n v="0"/>
    <n v="12"/>
    <n v="12"/>
    <m/>
    <m/>
    <n v="0"/>
    <n v="650"/>
    <m/>
    <x v="11"/>
    <m/>
    <m/>
    <m/>
    <m/>
  </r>
  <r>
    <x v="0"/>
    <x v="4"/>
    <s v="14/6"/>
    <x v="136"/>
    <s v="سٹاک"/>
    <s v="PP"/>
    <n v="14"/>
    <n v="5"/>
    <s v="PP"/>
    <n v="1500"/>
    <s v="PP"/>
    <n v="6"/>
    <n v="324.77999999999997"/>
    <n v="8.3999999999999986"/>
    <m/>
    <m/>
    <n v="316.38"/>
    <s v="1034.18"/>
    <m/>
    <m/>
    <m/>
    <n v="0"/>
    <n v="0"/>
    <m/>
    <m/>
    <m/>
    <m/>
    <m/>
    <m/>
    <m/>
    <m/>
    <n v="0"/>
    <n v="0"/>
    <n v="0"/>
    <n v="12"/>
    <n v="12"/>
    <m/>
    <m/>
    <n v="0"/>
    <m/>
    <m/>
    <x v="11"/>
    <m/>
    <m/>
    <m/>
    <m/>
  </r>
  <r>
    <x v="0"/>
    <x v="4"/>
    <s v="5172 J"/>
    <x v="136"/>
    <s v="Alam Bakers Sheikupura"/>
    <s v="PP"/>
    <n v="14"/>
    <s v="6-6.5"/>
    <s v="PP"/>
    <n v="100"/>
    <s v="PP"/>
    <n v="2"/>
    <n v="61.58"/>
    <n v="2.8"/>
    <n v="29"/>
    <m/>
    <n v="58.78"/>
    <s v="110.25"/>
    <m/>
    <m/>
    <m/>
    <n v="0"/>
    <n v="0"/>
    <m/>
    <m/>
    <n v="180"/>
    <m/>
    <m/>
    <m/>
    <m/>
    <m/>
    <n v="180"/>
    <n v="3"/>
    <n v="3"/>
    <n v="9"/>
    <n v="12"/>
    <m/>
    <m/>
    <n v="0"/>
    <n v="550"/>
    <m/>
    <x v="11"/>
    <m/>
    <m/>
    <m/>
    <m/>
  </r>
  <r>
    <x v="1"/>
    <x v="4"/>
    <s v="5172 J"/>
    <x v="136"/>
    <s v="Alam Bakers Sheikupura"/>
    <s v="PP"/>
    <n v="14"/>
    <s v="6-6.5"/>
    <s v="PP"/>
    <n v="100"/>
    <s v="PP"/>
    <n v="1"/>
    <n v="53.17"/>
    <n v="1.7"/>
    <n v="37"/>
    <m/>
    <n v="51.47"/>
    <s v="110.25"/>
    <n v="30"/>
    <m/>
    <m/>
    <n v="30"/>
    <n v="0.5"/>
    <m/>
    <m/>
    <m/>
    <m/>
    <m/>
    <m/>
    <m/>
    <m/>
    <n v="0"/>
    <n v="0"/>
    <n v="0.5"/>
    <n v="11.5"/>
    <n v="12"/>
    <m/>
    <m/>
    <n v="0"/>
    <m/>
    <m/>
    <x v="11"/>
    <m/>
    <m/>
    <m/>
    <m/>
  </r>
  <r>
    <x v="1"/>
    <x v="4"/>
    <s v="10/8"/>
    <x v="136"/>
    <s v="سٹاک"/>
    <s v="PP"/>
    <n v="10"/>
    <n v="5"/>
    <s v="PP"/>
    <n v="1500"/>
    <s v="PP"/>
    <n v="9"/>
    <n v="426.53000000000003"/>
    <n v="9"/>
    <m/>
    <m/>
    <n v="417.53000000000003"/>
    <s v="1532.7599999999998"/>
    <m/>
    <m/>
    <m/>
    <n v="0"/>
    <n v="0"/>
    <m/>
    <m/>
    <m/>
    <m/>
    <m/>
    <m/>
    <m/>
    <m/>
    <n v="0"/>
    <n v="0"/>
    <n v="0"/>
    <n v="12"/>
    <n v="12"/>
    <m/>
    <m/>
    <n v="0"/>
    <n v="450"/>
    <m/>
    <x v="11"/>
    <m/>
    <m/>
    <m/>
    <m/>
  </r>
  <r>
    <x v="0"/>
    <x v="0"/>
    <s v="3/5"/>
    <x v="137"/>
    <s v="سٹاک"/>
    <s v="PP"/>
    <n v="3"/>
    <s v="5.5-6"/>
    <s v="PP"/>
    <n v="1000"/>
    <s v="PP"/>
    <n v="10"/>
    <n v="117.21999999999998"/>
    <n v="3"/>
    <n v="47"/>
    <m/>
    <n v="114.21999999999998"/>
    <s v="1537.1100000000001"/>
    <n v="25"/>
    <m/>
    <m/>
    <n v="25"/>
    <n v="0.41666666666666674"/>
    <m/>
    <m/>
    <m/>
    <m/>
    <m/>
    <m/>
    <m/>
    <m/>
    <n v="0"/>
    <n v="0"/>
    <n v="0.41666666666666674"/>
    <n v="11.583333333333334"/>
    <n v="12"/>
    <m/>
    <m/>
    <n v="0"/>
    <n v="130"/>
    <m/>
    <x v="11"/>
    <m/>
    <m/>
    <m/>
    <m/>
  </r>
  <r>
    <x v="1"/>
    <x v="0"/>
    <s v="7448/3"/>
    <x v="137"/>
    <s v="ایم دین پنڈی"/>
    <s v="PP"/>
    <n v="5"/>
    <n v="15"/>
    <s v="PP"/>
    <n v="150"/>
    <s v="PP"/>
    <n v="12"/>
    <n v="154.91"/>
    <n v="6"/>
    <n v="25"/>
    <m/>
    <n v="148.91"/>
    <s v="148.91"/>
    <n v="25"/>
    <m/>
    <m/>
    <n v="25"/>
    <n v="0.41666666666666674"/>
    <m/>
    <m/>
    <m/>
    <m/>
    <m/>
    <m/>
    <m/>
    <m/>
    <n v="0"/>
    <n v="0"/>
    <n v="0.41666666666666674"/>
    <n v="11.583333333333334"/>
    <n v="12"/>
    <m/>
    <m/>
    <n v="0"/>
    <n v="150"/>
    <m/>
    <x v="11"/>
    <m/>
    <m/>
    <m/>
    <m/>
  </r>
  <r>
    <x v="0"/>
    <x v="1"/>
    <s v="7415/2"/>
    <x v="137"/>
    <s v="عثمان امین لاہور"/>
    <s v="PP"/>
    <s v="4"/>
    <n v="5"/>
    <s v="PP"/>
    <n v="2000"/>
    <s v="PP"/>
    <n v="9"/>
    <n v="109.89999999999999"/>
    <n v="3.6"/>
    <m/>
    <m/>
    <n v="106.3"/>
    <s v="2879.5000000000005"/>
    <m/>
    <m/>
    <m/>
    <n v="0"/>
    <n v="0"/>
    <n v="80"/>
    <m/>
    <m/>
    <m/>
    <m/>
    <m/>
    <m/>
    <m/>
    <n v="80"/>
    <n v="1.3333333333333333"/>
    <n v="1.3333333333333333"/>
    <n v="10.666666666666666"/>
    <n v="12"/>
    <m/>
    <m/>
    <n v="0"/>
    <n v="170"/>
    <m/>
    <x v="11"/>
    <m/>
    <m/>
    <m/>
    <m/>
  </r>
  <r>
    <x v="0"/>
    <x v="1"/>
    <s v="7445/5"/>
    <x v="137"/>
    <s v="آصف پلاسٹک سرگودھا"/>
    <s v="PP"/>
    <n v="4"/>
    <n v="4.5"/>
    <s v="PP"/>
    <s v="100"/>
    <s v="PP"/>
    <n v="1"/>
    <n v="16.899999999999999"/>
    <n v="0.4"/>
    <m/>
    <m/>
    <n v="16.5"/>
    <s v="16.5"/>
    <m/>
    <m/>
    <m/>
    <n v="0"/>
    <n v="0"/>
    <m/>
    <m/>
    <m/>
    <m/>
    <m/>
    <m/>
    <m/>
    <m/>
    <n v="0"/>
    <n v="0"/>
    <n v="0"/>
    <n v="12"/>
    <n v="12"/>
    <m/>
    <m/>
    <n v="0"/>
    <m/>
    <m/>
    <x v="11"/>
    <m/>
    <m/>
    <m/>
    <m/>
  </r>
  <r>
    <x v="1"/>
    <x v="1"/>
    <s v="7415/2"/>
    <x v="137"/>
    <s v="عثمان امین لاہور"/>
    <s v="PP"/>
    <s v="4"/>
    <n v="5"/>
    <s v="PP"/>
    <n v="2000"/>
    <s v="PP"/>
    <n v="5"/>
    <n v="69.25"/>
    <n v="2"/>
    <m/>
    <m/>
    <n v="67.25"/>
    <s v="2879.5000000000005"/>
    <m/>
    <m/>
    <m/>
    <n v="0"/>
    <n v="0"/>
    <m/>
    <m/>
    <m/>
    <m/>
    <m/>
    <m/>
    <m/>
    <m/>
    <n v="0"/>
    <n v="0"/>
    <n v="0"/>
    <n v="12"/>
    <n v="12"/>
    <m/>
    <m/>
    <n v="0"/>
    <n v="160"/>
    <m/>
    <x v="11"/>
    <m/>
    <m/>
    <m/>
    <m/>
  </r>
  <r>
    <x v="1"/>
    <x v="1"/>
    <s v="7445/2"/>
    <x v="137"/>
    <s v="آصف پلاسٹک سرگودھا"/>
    <s v="PP"/>
    <n v="9"/>
    <n v="4.5"/>
    <s v="PP"/>
    <n v="100"/>
    <s v="PP"/>
    <n v="6"/>
    <n v="85.28"/>
    <n v="2.4000000000000004"/>
    <m/>
    <m/>
    <n v="82.88"/>
    <s v="195.81"/>
    <m/>
    <m/>
    <m/>
    <n v="0"/>
    <n v="0"/>
    <m/>
    <m/>
    <m/>
    <m/>
    <m/>
    <m/>
    <m/>
    <m/>
    <n v="0"/>
    <n v="0"/>
    <n v="0"/>
    <n v="12"/>
    <n v="12"/>
    <m/>
    <m/>
    <n v="0"/>
    <m/>
    <m/>
    <x v="11"/>
    <m/>
    <m/>
    <m/>
    <m/>
  </r>
  <r>
    <x v="0"/>
    <x v="2"/>
    <s v="7415/1"/>
    <x v="137"/>
    <s v="عثمان امین لاہور"/>
    <s v="PP"/>
    <s v="7"/>
    <n v="5"/>
    <s v="PP"/>
    <n v="4000"/>
    <s v="PP"/>
    <n v="8"/>
    <n v="274.94000000000005"/>
    <n v="5.6"/>
    <m/>
    <m/>
    <n v="269.34000000000003"/>
    <s v="4160.5300000000007"/>
    <m/>
    <m/>
    <m/>
    <n v="0"/>
    <n v="0"/>
    <m/>
    <m/>
    <m/>
    <m/>
    <m/>
    <m/>
    <m/>
    <m/>
    <n v="0"/>
    <n v="0"/>
    <n v="0"/>
    <n v="12"/>
    <n v="12"/>
    <m/>
    <m/>
    <n v="0"/>
    <n v="270"/>
    <m/>
    <x v="11"/>
    <m/>
    <m/>
    <m/>
    <m/>
  </r>
  <r>
    <x v="1"/>
    <x v="2"/>
    <s v="7415/1"/>
    <x v="137"/>
    <s v="عثمان امین لاہور"/>
    <s v="PP"/>
    <s v="7"/>
    <n v="5"/>
    <s v="PP"/>
    <n v="4000"/>
    <s v="PP"/>
    <n v="7"/>
    <n v="269.7"/>
    <n v="4.8999999999999995"/>
    <m/>
    <m/>
    <n v="264.8"/>
    <s v="4160.5300000000007"/>
    <m/>
    <m/>
    <m/>
    <n v="0"/>
    <n v="0"/>
    <m/>
    <m/>
    <m/>
    <m/>
    <m/>
    <m/>
    <m/>
    <m/>
    <n v="0"/>
    <n v="0"/>
    <n v="0"/>
    <n v="12"/>
    <n v="12"/>
    <m/>
    <m/>
    <n v="0"/>
    <n v="270"/>
    <m/>
    <x v="11"/>
    <m/>
    <m/>
    <m/>
    <m/>
  </r>
  <r>
    <x v="0"/>
    <x v="3"/>
    <s v="7435/21"/>
    <x v="137"/>
    <s v="ہیڈ افس لاہور"/>
    <s v="PP"/>
    <s v="15"/>
    <n v="7"/>
    <s v="PP"/>
    <n v="250"/>
    <s v="PP"/>
    <n v="5"/>
    <n v="135.99"/>
    <n v="7.5"/>
    <m/>
    <m/>
    <n v="128.49"/>
    <s v="128.49"/>
    <n v="30"/>
    <m/>
    <m/>
    <n v="30"/>
    <n v="0.5"/>
    <m/>
    <m/>
    <m/>
    <m/>
    <m/>
    <m/>
    <m/>
    <m/>
    <n v="0"/>
    <n v="0"/>
    <n v="0.5"/>
    <n v="11.5"/>
    <n v="12"/>
    <m/>
    <m/>
    <n v="0"/>
    <n v="600"/>
    <m/>
    <x v="11"/>
    <m/>
    <m/>
    <m/>
    <m/>
  </r>
  <r>
    <x v="0"/>
    <x v="3"/>
    <s v="7433/3"/>
    <x v="137"/>
    <s v="العمر پلاسٹک گوجرانوالہ"/>
    <s v="PP"/>
    <n v="15"/>
    <n v="10"/>
    <s v="PP"/>
    <n v="150"/>
    <s v="PP"/>
    <n v="1"/>
    <n v="36.01"/>
    <n v="1.5"/>
    <m/>
    <m/>
    <n v="34.51"/>
    <s v="200.74"/>
    <n v="30"/>
    <m/>
    <m/>
    <n v="30"/>
    <n v="0.5"/>
    <m/>
    <m/>
    <m/>
    <m/>
    <m/>
    <m/>
    <m/>
    <m/>
    <n v="0"/>
    <n v="0"/>
    <n v="0.5"/>
    <n v="11.5"/>
    <n v="12"/>
    <m/>
    <m/>
    <n v="0"/>
    <m/>
    <m/>
    <x v="11"/>
    <m/>
    <m/>
    <m/>
    <m/>
  </r>
  <r>
    <x v="0"/>
    <x v="3"/>
    <s v="5206 J"/>
    <x v="137"/>
    <s v="Alam bread Shahdrah"/>
    <s v="PP"/>
    <n v="19"/>
    <s v="6-6.5"/>
    <s v="PP"/>
    <n v="120"/>
    <s v="PP"/>
    <n v="2"/>
    <n v="126.75"/>
    <n v="3.8"/>
    <m/>
    <m/>
    <n v="122.95"/>
    <s v="122.95"/>
    <n v="40"/>
    <m/>
    <m/>
    <n v="40"/>
    <n v="0.66666666666666663"/>
    <m/>
    <m/>
    <m/>
    <m/>
    <m/>
    <m/>
    <m/>
    <m/>
    <n v="0"/>
    <n v="0"/>
    <n v="0.66666666666666663"/>
    <n v="11.333333333333334"/>
    <n v="12"/>
    <m/>
    <m/>
    <n v="0"/>
    <m/>
    <m/>
    <x v="11"/>
    <m/>
    <m/>
    <m/>
    <m/>
  </r>
  <r>
    <x v="0"/>
    <x v="3"/>
    <s v="7435/24"/>
    <x v="137"/>
    <s v="ہیڈ افس لاہور"/>
    <s v="PP"/>
    <s v="17"/>
    <n v="7"/>
    <s v="PP"/>
    <n v="250"/>
    <s v="PP"/>
    <n v="6"/>
    <n v="261.67"/>
    <n v="10.199999999999999"/>
    <m/>
    <m/>
    <n v="251.47000000000003"/>
    <s v="251.47000000000003"/>
    <m/>
    <m/>
    <m/>
    <n v="0"/>
    <n v="0"/>
    <m/>
    <m/>
    <m/>
    <m/>
    <m/>
    <m/>
    <m/>
    <m/>
    <n v="0"/>
    <n v="0"/>
    <n v="0"/>
    <n v="12"/>
    <n v="12"/>
    <m/>
    <m/>
    <n v="0"/>
    <m/>
    <m/>
    <x v="11"/>
    <m/>
    <m/>
    <m/>
    <m/>
  </r>
  <r>
    <x v="0"/>
    <x v="3"/>
    <s v="5109 J"/>
    <x v="137"/>
    <s v="M. Imran Pakistan Market Lahore"/>
    <s v="PP"/>
    <n v="26"/>
    <s v="10"/>
    <s v="PP"/>
    <n v="100"/>
    <s v="PP"/>
    <n v="2"/>
    <n v="66.540000000000006"/>
    <n v="5.2"/>
    <m/>
    <m/>
    <n v="61.34"/>
    <s v="108.05000000000001"/>
    <m/>
    <m/>
    <m/>
    <n v="0"/>
    <n v="0"/>
    <m/>
    <m/>
    <m/>
    <m/>
    <m/>
    <m/>
    <m/>
    <m/>
    <n v="0"/>
    <n v="0"/>
    <n v="0"/>
    <n v="12"/>
    <n v="12"/>
    <m/>
    <m/>
    <n v="0"/>
    <m/>
    <m/>
    <x v="11"/>
    <m/>
    <m/>
    <m/>
    <m/>
  </r>
  <r>
    <x v="1"/>
    <x v="3"/>
    <s v="5109 J"/>
    <x v="137"/>
    <s v="M. Imran Pakistan Market Lahore"/>
    <s v="PP"/>
    <n v="26"/>
    <s v="10"/>
    <s v="PP"/>
    <n v="100"/>
    <s v="PP"/>
    <n v="1"/>
    <n v="50.11"/>
    <n v="3.4"/>
    <m/>
    <m/>
    <n v="46.71"/>
    <s v="108.05000000000001"/>
    <n v="30"/>
    <m/>
    <m/>
    <n v="30"/>
    <n v="0.5"/>
    <m/>
    <m/>
    <m/>
    <m/>
    <m/>
    <m/>
    <m/>
    <m/>
    <n v="0"/>
    <n v="0"/>
    <n v="0.5"/>
    <n v="11.5"/>
    <n v="12"/>
    <m/>
    <m/>
    <n v="0"/>
    <n v="600"/>
    <m/>
    <x v="11"/>
    <m/>
    <m/>
    <m/>
    <m/>
  </r>
  <r>
    <x v="1"/>
    <x v="3"/>
    <s v="7453/1"/>
    <x v="137"/>
    <s v="محبوب مقبول گوجرانوالہ"/>
    <s v="PP"/>
    <n v="17"/>
    <n v="5"/>
    <s v="PP"/>
    <n v="100"/>
    <s v="PP"/>
    <n v="2"/>
    <n v="88.2"/>
    <n v="3.8499999999999996"/>
    <m/>
    <m/>
    <n v="84.350000000000009"/>
    <s v="84.350000000000009"/>
    <n v="30"/>
    <m/>
    <m/>
    <n v="30"/>
    <n v="0.5"/>
    <m/>
    <m/>
    <m/>
    <m/>
    <m/>
    <m/>
    <m/>
    <m/>
    <n v="0"/>
    <n v="0"/>
    <n v="0.5"/>
    <n v="11.5"/>
    <n v="12"/>
    <m/>
    <m/>
    <n v="0"/>
    <m/>
    <m/>
    <x v="11"/>
    <m/>
    <m/>
    <m/>
    <m/>
  </r>
  <r>
    <x v="1"/>
    <x v="3"/>
    <s v="5173 J"/>
    <x v="137"/>
    <s v="Alam Bakers Sheikupura"/>
    <s v="PP"/>
    <n v="18"/>
    <s v="6-6.5"/>
    <s v="PP"/>
    <n v="100"/>
    <s v="PP"/>
    <n v="3"/>
    <n v="113.11"/>
    <n v="6.35"/>
    <m/>
    <m/>
    <n v="106.76"/>
    <s v="106.76"/>
    <n v="30"/>
    <m/>
    <n v="240"/>
    <n v="270"/>
    <n v="4.5"/>
    <m/>
    <m/>
    <m/>
    <m/>
    <m/>
    <m/>
    <m/>
    <m/>
    <n v="0"/>
    <n v="0"/>
    <n v="4.5"/>
    <n v="7.5"/>
    <n v="12"/>
    <m/>
    <m/>
    <n v="0"/>
    <m/>
    <m/>
    <x v="11"/>
    <m/>
    <m/>
    <m/>
    <m/>
  </r>
  <r>
    <x v="1"/>
    <x v="3"/>
    <s v="7435/26"/>
    <x v="137"/>
    <s v="ہیڈ افس لاہور"/>
    <s v="PP"/>
    <s v="21"/>
    <n v="7"/>
    <s v="PP"/>
    <n v="125"/>
    <s v="PP"/>
    <n v="2"/>
    <n v="110.50999999999999"/>
    <n v="5.3000000000000007"/>
    <m/>
    <m/>
    <n v="105.21"/>
    <s v="105.21"/>
    <m/>
    <m/>
    <m/>
    <n v="0"/>
    <n v="0"/>
    <m/>
    <m/>
    <m/>
    <m/>
    <m/>
    <m/>
    <m/>
    <m/>
    <n v="0"/>
    <n v="0"/>
    <n v="0"/>
    <n v="12"/>
    <n v="12"/>
    <m/>
    <m/>
    <n v="0"/>
    <m/>
    <m/>
    <x v="11"/>
    <m/>
    <m/>
    <m/>
    <m/>
  </r>
  <r>
    <x v="0"/>
    <x v="4"/>
    <s v="10/8"/>
    <x v="137"/>
    <s v="سٹاک"/>
    <s v="PP"/>
    <n v="10"/>
    <n v="5"/>
    <s v="PP"/>
    <n v="1500"/>
    <s v="PP"/>
    <n v="14"/>
    <n v="529.37999999999988"/>
    <n v="14"/>
    <m/>
    <m/>
    <n v="515.37999999999988"/>
    <s v="1532.7599999999998"/>
    <m/>
    <m/>
    <m/>
    <n v="0"/>
    <n v="0"/>
    <m/>
    <m/>
    <m/>
    <m/>
    <m/>
    <m/>
    <m/>
    <m/>
    <n v="0"/>
    <n v="0"/>
    <n v="0"/>
    <n v="12"/>
    <n v="12"/>
    <m/>
    <m/>
    <n v="0"/>
    <n v="500"/>
    <m/>
    <x v="11"/>
    <m/>
    <m/>
    <m/>
    <m/>
  </r>
  <r>
    <x v="1"/>
    <x v="4"/>
    <s v="10/8"/>
    <x v="137"/>
    <s v="سٹاک"/>
    <s v="PP"/>
    <n v="10"/>
    <n v="5"/>
    <s v="PP"/>
    <n v="1500"/>
    <s v="PP"/>
    <n v="9"/>
    <n v="459.52"/>
    <n v="9"/>
    <m/>
    <m/>
    <n v="450.52"/>
    <s v="1532.7599999999998"/>
    <m/>
    <m/>
    <m/>
    <n v="0"/>
    <n v="0"/>
    <n v="30"/>
    <m/>
    <m/>
    <m/>
    <m/>
    <m/>
    <m/>
    <m/>
    <n v="30"/>
    <n v="0.5"/>
    <n v="0.5"/>
    <n v="11.5"/>
    <n v="12"/>
    <m/>
    <m/>
    <n v="0"/>
    <n v="500"/>
    <m/>
    <x v="11"/>
    <m/>
    <m/>
    <m/>
    <m/>
  </r>
  <r>
    <x v="0"/>
    <x v="0"/>
    <s v="7451/1"/>
    <x v="138"/>
    <s v="ہجویری ٹریڈرز اردو بازار"/>
    <s v="PP"/>
    <n v="2"/>
    <n v="12"/>
    <s v="PP"/>
    <n v="500"/>
    <s v="PP"/>
    <n v="12"/>
    <n v="118.23"/>
    <n v="2.4000000000000004"/>
    <n v="15"/>
    <m/>
    <n v="115.83"/>
    <s v="968.33999999999992"/>
    <m/>
    <m/>
    <m/>
    <n v="0"/>
    <n v="0"/>
    <m/>
    <m/>
    <m/>
    <m/>
    <m/>
    <m/>
    <m/>
    <m/>
    <n v="0"/>
    <n v="0"/>
    <n v="0"/>
    <n v="12"/>
    <n v="12"/>
    <m/>
    <m/>
    <n v="0"/>
    <n v="120"/>
    <m/>
    <x v="12"/>
    <n v="45"/>
    <m/>
    <m/>
    <m/>
  </r>
  <r>
    <x v="1"/>
    <x v="0"/>
    <s v="7451/1"/>
    <x v="138"/>
    <s v="ہجویری ٹریڈرز اردو بازار"/>
    <s v="PP"/>
    <n v="2"/>
    <n v="12"/>
    <s v="PP"/>
    <n v="500"/>
    <s v="PP"/>
    <n v="9"/>
    <n v="96.130000000000024"/>
    <n v="1.8"/>
    <n v="25"/>
    <m/>
    <n v="94.330000000000027"/>
    <s v="968.33999999999992"/>
    <m/>
    <m/>
    <n v="120"/>
    <n v="120"/>
    <n v="2"/>
    <m/>
    <m/>
    <m/>
    <m/>
    <m/>
    <m/>
    <m/>
    <m/>
    <n v="0"/>
    <n v="0"/>
    <n v="2"/>
    <n v="10"/>
    <n v="12"/>
    <m/>
    <m/>
    <n v="0"/>
    <n v="120"/>
    <m/>
    <x v="12"/>
    <n v="44"/>
    <m/>
    <m/>
    <m/>
  </r>
  <r>
    <x v="0"/>
    <x v="1"/>
    <s v="7415/2"/>
    <x v="138"/>
    <s v="عثمان امین لاہور"/>
    <s v="PP"/>
    <s v="4"/>
    <n v="5"/>
    <s v="PP"/>
    <n v="2000"/>
    <s v="PP"/>
    <n v="10"/>
    <n v="164.28"/>
    <n v="4"/>
    <m/>
    <m/>
    <n v="160.28"/>
    <s v="2879.5000000000005"/>
    <m/>
    <m/>
    <m/>
    <n v="0"/>
    <n v="0"/>
    <m/>
    <m/>
    <m/>
    <m/>
    <m/>
    <m/>
    <m/>
    <m/>
    <n v="0"/>
    <n v="0"/>
    <n v="0"/>
    <n v="12"/>
    <n v="12"/>
    <m/>
    <m/>
    <n v="0"/>
    <n v="165"/>
    <m/>
    <x v="12"/>
    <n v="44"/>
    <m/>
    <m/>
    <m/>
  </r>
  <r>
    <x v="1"/>
    <x v="1"/>
    <s v="7415/2"/>
    <x v="138"/>
    <s v="عثمان امین لاہور"/>
    <s v="PP"/>
    <s v="4"/>
    <n v="5"/>
    <s v="PP"/>
    <n v="2000"/>
    <s v="PP"/>
    <n v="7"/>
    <n v="115.82"/>
    <n v="2.8000000000000003"/>
    <m/>
    <m/>
    <n v="113.02"/>
    <s v="2879.5000000000005"/>
    <m/>
    <m/>
    <n v="120"/>
    <n v="120"/>
    <n v="2"/>
    <m/>
    <m/>
    <m/>
    <m/>
    <m/>
    <m/>
    <m/>
    <m/>
    <n v="0"/>
    <n v="0"/>
    <n v="2"/>
    <n v="10"/>
    <n v="12"/>
    <m/>
    <m/>
    <n v="0"/>
    <n v="165"/>
    <m/>
    <x v="12"/>
    <n v="44"/>
    <m/>
    <m/>
    <m/>
  </r>
  <r>
    <x v="0"/>
    <x v="2"/>
    <s v="7415/1"/>
    <x v="138"/>
    <s v="عثمان امین لاہور"/>
    <s v="PP"/>
    <s v="7"/>
    <n v="5"/>
    <s v="PP"/>
    <n v="4000"/>
    <s v="PP"/>
    <n v="9"/>
    <n v="260.33000000000004"/>
    <n v="7.2"/>
    <m/>
    <m/>
    <n v="253.13000000000005"/>
    <s v="4160.5300000000007"/>
    <m/>
    <m/>
    <m/>
    <n v="0"/>
    <n v="0"/>
    <m/>
    <m/>
    <m/>
    <m/>
    <m/>
    <m/>
    <m/>
    <m/>
    <n v="0"/>
    <n v="0"/>
    <n v="0"/>
    <n v="12"/>
    <n v="12"/>
    <m/>
    <m/>
    <n v="0"/>
    <n v="260"/>
    <m/>
    <x v="12"/>
    <n v="44"/>
    <m/>
    <m/>
    <m/>
  </r>
  <r>
    <x v="1"/>
    <x v="2"/>
    <s v="7415/1"/>
    <x v="138"/>
    <s v="عثمان امین لاہور"/>
    <s v="PP"/>
    <s v="7"/>
    <n v="5"/>
    <s v="PP"/>
    <n v="4000"/>
    <s v="PP"/>
    <n v="5"/>
    <n v="197.5"/>
    <n v="3.92"/>
    <m/>
    <m/>
    <n v="193.58"/>
    <s v="4160.5300000000007"/>
    <m/>
    <m/>
    <n v="120"/>
    <n v="120"/>
    <n v="2"/>
    <m/>
    <m/>
    <m/>
    <m/>
    <m/>
    <m/>
    <m/>
    <m/>
    <n v="0"/>
    <n v="0"/>
    <n v="2"/>
    <n v="10"/>
    <n v="12"/>
    <m/>
    <m/>
    <n v="0"/>
    <n v="260"/>
    <m/>
    <x v="12"/>
    <n v="44"/>
    <m/>
    <m/>
    <m/>
  </r>
  <r>
    <x v="0"/>
    <x v="4"/>
    <s v="10/8"/>
    <x v="138"/>
    <s v="سٹاک"/>
    <s v="PP"/>
    <n v="10"/>
    <n v="5"/>
    <s v="PP"/>
    <n v="1500"/>
    <s v="PP"/>
    <n v="3"/>
    <n v="153.41"/>
    <n v="4.08"/>
    <m/>
    <m/>
    <n v="149.32999999999998"/>
    <s v="1532.7599999999998"/>
    <n v="20"/>
    <m/>
    <m/>
    <n v="20"/>
    <n v="0.33333333333333331"/>
    <m/>
    <m/>
    <m/>
    <m/>
    <m/>
    <m/>
    <m/>
    <m/>
    <n v="0"/>
    <n v="0"/>
    <n v="0.33333333333333331"/>
    <n v="11.666666666666666"/>
    <n v="12"/>
    <m/>
    <m/>
    <n v="0"/>
    <n v="460"/>
    <m/>
    <x v="12"/>
    <n v="44"/>
    <m/>
    <m/>
    <m/>
  </r>
  <r>
    <x v="0"/>
    <x v="4"/>
    <s v="7445/1"/>
    <x v="138"/>
    <s v="آصف پلاسٹک سرگودھا"/>
    <s v="PP"/>
    <n v="10"/>
    <n v="4.5"/>
    <s v="PP"/>
    <n v="100"/>
    <s v="PP"/>
    <n v="4"/>
    <n v="122.99000000000001"/>
    <n v="6"/>
    <m/>
    <m/>
    <n v="116.99000000000001"/>
    <s v="116.99000000000001"/>
    <m/>
    <m/>
    <m/>
    <n v="0"/>
    <n v="0"/>
    <m/>
    <m/>
    <m/>
    <m/>
    <m/>
    <m/>
    <m/>
    <m/>
    <n v="0"/>
    <n v="0"/>
    <n v="0"/>
    <n v="12"/>
    <n v="12"/>
    <m/>
    <m/>
    <n v="0"/>
    <m/>
    <m/>
    <x v="12"/>
    <n v="44"/>
    <m/>
    <m/>
    <m/>
  </r>
  <r>
    <x v="0"/>
    <x v="4"/>
    <s v="12/8"/>
    <x v="138"/>
    <s v="سٹاک"/>
    <s v="PP"/>
    <n v="12"/>
    <n v="5"/>
    <s v="PP"/>
    <n v="2000"/>
    <s v="PP"/>
    <n v="4"/>
    <n v="196.74"/>
    <n v="5.39"/>
    <m/>
    <m/>
    <n v="191.35000000000002"/>
    <s v="1832.1499999999999"/>
    <m/>
    <m/>
    <m/>
    <n v="0"/>
    <n v="0"/>
    <m/>
    <m/>
    <m/>
    <m/>
    <m/>
    <m/>
    <m/>
    <m/>
    <n v="0"/>
    <n v="0"/>
    <n v="0"/>
    <n v="12"/>
    <n v="12"/>
    <m/>
    <m/>
    <n v="0"/>
    <m/>
    <m/>
    <x v="12"/>
    <n v="44"/>
    <m/>
    <m/>
    <m/>
  </r>
  <r>
    <x v="1"/>
    <x v="4"/>
    <s v="12/8"/>
    <x v="138"/>
    <s v="سٹاک"/>
    <s v="PP"/>
    <n v="12"/>
    <n v="5"/>
    <s v="PP"/>
    <n v="2000"/>
    <s v="PP"/>
    <n v="8"/>
    <n v="418.63"/>
    <n v="10.01"/>
    <m/>
    <m/>
    <n v="408.62"/>
    <s v="1832.1499999999999"/>
    <m/>
    <m/>
    <n v="120"/>
    <n v="120"/>
    <n v="2"/>
    <m/>
    <m/>
    <m/>
    <m/>
    <m/>
    <m/>
    <m/>
    <m/>
    <n v="0"/>
    <n v="0"/>
    <n v="2"/>
    <n v="10"/>
    <n v="12"/>
    <m/>
    <m/>
    <n v="0"/>
    <n v="460"/>
    <m/>
    <x v="12"/>
    <n v="44"/>
    <m/>
    <m/>
    <m/>
  </r>
  <r>
    <x v="2"/>
    <x v="6"/>
    <m/>
    <x v="139"/>
    <s v="ALL MACHINES OFF"/>
    <m/>
    <m/>
    <m/>
    <m/>
    <m/>
    <m/>
    <m/>
    <m/>
    <m/>
    <m/>
    <m/>
    <m/>
    <s v="0"/>
    <m/>
    <m/>
    <m/>
    <m/>
    <m/>
    <m/>
    <m/>
    <m/>
    <m/>
    <m/>
    <m/>
    <m/>
    <m/>
    <m/>
    <m/>
    <m/>
    <m/>
    <m/>
    <m/>
    <m/>
    <m/>
    <m/>
    <m/>
    <x v="12"/>
    <n v="45"/>
    <m/>
    <m/>
    <m/>
  </r>
  <r>
    <x v="0"/>
    <x v="0"/>
    <s v="7451/1"/>
    <x v="140"/>
    <s v="ہجویری ٹریڈرز اردو بازار"/>
    <s v="PP"/>
    <n v="2"/>
    <n v="12"/>
    <s v="PP"/>
    <n v="500"/>
    <s v="PP"/>
    <n v="8"/>
    <n v="79.02"/>
    <n v="1.6"/>
    <n v="37"/>
    <m/>
    <n v="77.42"/>
    <s v="968.33999999999992"/>
    <m/>
    <n v="240"/>
    <m/>
    <n v="240"/>
    <n v="4"/>
    <m/>
    <m/>
    <m/>
    <m/>
    <m/>
    <m/>
    <m/>
    <m/>
    <n v="0"/>
    <n v="0"/>
    <n v="4"/>
    <n v="8"/>
    <n v="12"/>
    <m/>
    <m/>
    <n v="0"/>
    <n v="82.42"/>
    <m/>
    <x v="12"/>
    <n v="45"/>
    <m/>
    <m/>
    <m/>
  </r>
  <r>
    <x v="1"/>
    <x v="0"/>
    <s v="7451/1"/>
    <x v="140"/>
    <s v="ہجویری ٹریڈرز اردو بازار"/>
    <s v="PP"/>
    <n v="2"/>
    <n v="12"/>
    <s v="PP"/>
    <n v="500"/>
    <s v="PP"/>
    <n v="13"/>
    <n v="139.13"/>
    <n v="2.6"/>
    <n v="35"/>
    <m/>
    <n v="136.53"/>
    <s v="968.33999999999992"/>
    <m/>
    <m/>
    <m/>
    <n v="0"/>
    <n v="0"/>
    <m/>
    <m/>
    <m/>
    <m/>
    <m/>
    <m/>
    <m/>
    <m/>
    <n v="0"/>
    <n v="0"/>
    <n v="0"/>
    <n v="12"/>
    <n v="12"/>
    <m/>
    <m/>
    <n v="0"/>
    <n v="141.53"/>
    <m/>
    <x v="12"/>
    <n v="45"/>
    <m/>
    <m/>
    <m/>
  </r>
  <r>
    <x v="0"/>
    <x v="1"/>
    <s v="4/6"/>
    <x v="140"/>
    <s v="سٹاک"/>
    <s v="PP"/>
    <n v="4"/>
    <s v="5-5.5"/>
    <s v="PP"/>
    <n v="500"/>
    <s v="PP"/>
    <n v="7"/>
    <n v="118.88000000000001"/>
    <n v="2.8000000000000003"/>
    <n v="5"/>
    <m/>
    <n v="116.08000000000001"/>
    <s v="1436.9299999999998"/>
    <m/>
    <n v="210"/>
    <m/>
    <n v="210"/>
    <n v="3.5"/>
    <m/>
    <m/>
    <m/>
    <m/>
    <m/>
    <m/>
    <m/>
    <m/>
    <n v="0"/>
    <n v="0"/>
    <n v="3.5"/>
    <n v="8.5"/>
    <n v="12"/>
    <m/>
    <m/>
    <n v="0"/>
    <n v="121.08"/>
    <m/>
    <x v="12"/>
    <n v="45"/>
    <m/>
    <m/>
    <m/>
  </r>
  <r>
    <x v="1"/>
    <x v="1"/>
    <s v="4/6"/>
    <x v="140"/>
    <s v="سٹاک"/>
    <s v="PP"/>
    <n v="4"/>
    <s v="5-5.5"/>
    <s v="PP"/>
    <n v="500"/>
    <s v="PP"/>
    <n v="11"/>
    <n v="163.30000000000001"/>
    <n v="4.4000000000000004"/>
    <n v="5"/>
    <m/>
    <n v="158.9"/>
    <s v="1436.9299999999998"/>
    <m/>
    <m/>
    <m/>
    <n v="0"/>
    <n v="0"/>
    <m/>
    <m/>
    <n v="15"/>
    <m/>
    <m/>
    <m/>
    <m/>
    <m/>
    <n v="15"/>
    <n v="0.25"/>
    <n v="0.25"/>
    <n v="11.75"/>
    <n v="12"/>
    <m/>
    <m/>
    <n v="0"/>
    <n v="163.9"/>
    <m/>
    <x v="12"/>
    <n v="45"/>
    <m/>
    <m/>
    <m/>
  </r>
  <r>
    <x v="0"/>
    <x v="2"/>
    <s v="7415/1"/>
    <x v="140"/>
    <s v="عثمان امین لاہور"/>
    <s v="PP"/>
    <s v="7"/>
    <n v="5"/>
    <s v="PP"/>
    <n v="4000"/>
    <s v="PP"/>
    <n v="6"/>
    <n v="192.67"/>
    <n v="4.8000000000000007"/>
    <m/>
    <m/>
    <n v="187.86999999999998"/>
    <s v="4160.5300000000007"/>
    <m/>
    <n v="240"/>
    <m/>
    <n v="240"/>
    <n v="4"/>
    <m/>
    <m/>
    <m/>
    <m/>
    <m/>
    <m/>
    <m/>
    <m/>
    <n v="0"/>
    <n v="0"/>
    <n v="4"/>
    <n v="8"/>
    <n v="12"/>
    <m/>
    <m/>
    <n v="0"/>
    <n v="192.87"/>
    <m/>
    <x v="12"/>
    <n v="45"/>
    <m/>
    <m/>
    <m/>
  </r>
  <r>
    <x v="1"/>
    <x v="2"/>
    <s v="7415/1"/>
    <x v="140"/>
    <s v="عثمان امین لاہور"/>
    <s v="PP"/>
    <s v="7"/>
    <n v="5"/>
    <s v="PP"/>
    <n v="4000"/>
    <s v="PP"/>
    <n v="5"/>
    <n v="163.55000000000001"/>
    <n v="3.5"/>
    <m/>
    <m/>
    <n v="160.05000000000001"/>
    <s v="4160.5300000000007"/>
    <n v="25"/>
    <m/>
    <m/>
    <n v="25"/>
    <n v="0.41666666666666674"/>
    <m/>
    <m/>
    <m/>
    <m/>
    <m/>
    <m/>
    <m/>
    <m/>
    <n v="0"/>
    <n v="0"/>
    <n v="0.41666666666666674"/>
    <n v="11.583333333333334"/>
    <n v="12"/>
    <m/>
    <m/>
    <n v="0"/>
    <n v="165.05"/>
    <m/>
    <x v="12"/>
    <n v="45"/>
    <m/>
    <m/>
    <m/>
  </r>
  <r>
    <x v="1"/>
    <x v="2"/>
    <s v="7448/2"/>
    <x v="140"/>
    <s v="ایم دین پنڈی"/>
    <s v="PP"/>
    <n v="8"/>
    <n v="15"/>
    <s v="PP"/>
    <n v="210"/>
    <s v="PP"/>
    <n v="3"/>
    <n v="97.639999999999986"/>
    <n v="2.4000000000000004"/>
    <m/>
    <m/>
    <n v="95.239999999999981"/>
    <s v="217.82"/>
    <m/>
    <m/>
    <m/>
    <n v="0"/>
    <n v="0"/>
    <m/>
    <m/>
    <m/>
    <m/>
    <m/>
    <m/>
    <m/>
    <m/>
    <n v="0"/>
    <n v="0"/>
    <n v="0"/>
    <n v="12"/>
    <n v="12"/>
    <m/>
    <m/>
    <n v="0"/>
    <n v="100.23999999999998"/>
    <m/>
    <x v="12"/>
    <n v="45"/>
    <m/>
    <m/>
    <m/>
  </r>
  <r>
    <x v="0"/>
    <x v="4"/>
    <s v="12/8"/>
    <x v="140"/>
    <s v="سٹاک"/>
    <s v="PP"/>
    <n v="12"/>
    <n v="5"/>
    <s v="PP"/>
    <n v="2000"/>
    <s v="PP"/>
    <n v="6"/>
    <n v="262.67"/>
    <n v="7.2600000000000007"/>
    <m/>
    <m/>
    <n v="255.41000000000003"/>
    <s v="1832.1499999999999"/>
    <m/>
    <n v="225"/>
    <m/>
    <n v="225"/>
    <n v="3.75"/>
    <m/>
    <m/>
    <m/>
    <m/>
    <m/>
    <m/>
    <m/>
    <m/>
    <n v="0"/>
    <n v="0"/>
    <n v="3.75"/>
    <n v="8.25"/>
    <n v="12"/>
    <m/>
    <m/>
    <n v="0"/>
    <n v="260.41000000000003"/>
    <m/>
    <x v="12"/>
    <n v="45"/>
    <m/>
    <m/>
    <m/>
  </r>
  <r>
    <x v="0"/>
    <x v="4"/>
    <s v="7459/2"/>
    <x v="140"/>
    <s v="ایم بلال اعظم مارکیٹ"/>
    <s v="PP"/>
    <n v="12"/>
    <n v="8"/>
    <s v="PP"/>
    <n v="50"/>
    <s v="PP"/>
    <n v="2"/>
    <n v="60.89"/>
    <n v="2.95"/>
    <m/>
    <m/>
    <n v="57.94"/>
    <s v="57.94"/>
    <m/>
    <m/>
    <m/>
    <n v="0"/>
    <n v="0"/>
    <m/>
    <m/>
    <m/>
    <m/>
    <m/>
    <m/>
    <m/>
    <m/>
    <n v="0"/>
    <n v="0"/>
    <n v="0"/>
    <n v="12"/>
    <n v="12"/>
    <m/>
    <m/>
    <n v="0"/>
    <n v="62.94"/>
    <m/>
    <x v="12"/>
    <n v="45"/>
    <m/>
    <m/>
    <m/>
  </r>
  <r>
    <x v="1"/>
    <x v="4"/>
    <s v="2817/1"/>
    <x v="140"/>
    <s v="C/O NADEEM SB"/>
    <s v="PP"/>
    <n v="16"/>
    <s v="6-6.5"/>
    <s v="PP"/>
    <n v="250"/>
    <s v="PP"/>
    <n v="7"/>
    <n v="276.76"/>
    <n v="11.200000000000001"/>
    <m/>
    <m/>
    <n v="265.56"/>
    <s v="265.56"/>
    <n v="25"/>
    <m/>
    <m/>
    <n v="25"/>
    <n v="0.41666666666666674"/>
    <m/>
    <m/>
    <m/>
    <m/>
    <m/>
    <m/>
    <m/>
    <m/>
    <n v="0"/>
    <n v="0"/>
    <n v="0.41666666666666674"/>
    <n v="11.583333333333334"/>
    <n v="12"/>
    <m/>
    <m/>
    <n v="0"/>
    <n v="270.56"/>
    <m/>
    <x v="12"/>
    <n v="45"/>
    <m/>
    <m/>
    <m/>
  </r>
  <r>
    <x v="1"/>
    <x v="4"/>
    <s v="12/5"/>
    <x v="140"/>
    <s v="سٹاک"/>
    <s v="PP"/>
    <n v="12"/>
    <n v="5"/>
    <s v="PP"/>
    <n v="500"/>
    <s v="PP"/>
    <n v="6"/>
    <n v="347.17"/>
    <n v="7.1999999999999993"/>
    <m/>
    <m/>
    <n v="339.97"/>
    <s v="1019.7800000000001"/>
    <m/>
    <m/>
    <m/>
    <n v="0"/>
    <n v="0"/>
    <m/>
    <m/>
    <m/>
    <m/>
    <m/>
    <m/>
    <m/>
    <m/>
    <n v="0"/>
    <n v="0"/>
    <n v="0"/>
    <n v="12"/>
    <n v="12"/>
    <m/>
    <m/>
    <n v="0"/>
    <n v="344.97"/>
    <m/>
    <x v="12"/>
    <n v="45"/>
    <m/>
    <m/>
    <m/>
  </r>
  <r>
    <x v="0"/>
    <x v="0"/>
    <s v="2.5/12"/>
    <x v="141"/>
    <s v="GHALAT MAL BANA"/>
    <m/>
    <n v="2.5"/>
    <n v="12"/>
    <s v="PP"/>
    <m/>
    <s v="PP"/>
    <n v="5"/>
    <n v="66.429999999999993"/>
    <n v="1"/>
    <n v="18"/>
    <m/>
    <n v="65.429999999999993"/>
    <s v="65.429999999999993"/>
    <n v="20"/>
    <m/>
    <m/>
    <n v="20"/>
    <n v="0.33333333333333331"/>
    <m/>
    <m/>
    <n v="60"/>
    <m/>
    <m/>
    <m/>
    <m/>
    <m/>
    <n v="60"/>
    <n v="1"/>
    <n v="1.3333333333333333"/>
    <n v="10.666666666666666"/>
    <n v="12"/>
    <m/>
    <m/>
    <n v="0"/>
    <n v="70.429999999999993"/>
    <m/>
    <x v="12"/>
    <n v="45"/>
    <m/>
    <m/>
    <m/>
  </r>
  <r>
    <x v="0"/>
    <x v="0"/>
    <s v="7451/1"/>
    <x v="141"/>
    <s v="ہجویری ٹریڈرز اردو بازار"/>
    <s v="PP"/>
    <n v="2"/>
    <n v="12"/>
    <s v="PP"/>
    <n v="500"/>
    <s v="PP"/>
    <n v="3"/>
    <n v="30.580000000000002"/>
    <n v="0.60000000000000009"/>
    <m/>
    <m/>
    <n v="29.98"/>
    <s v="968.33999999999992"/>
    <n v="20"/>
    <m/>
    <m/>
    <n v="20"/>
    <n v="0.33333333333333331"/>
    <m/>
    <m/>
    <m/>
    <m/>
    <m/>
    <m/>
    <m/>
    <m/>
    <n v="0"/>
    <n v="0"/>
    <n v="0.33333333333333331"/>
    <n v="11.666666666666666"/>
    <n v="12"/>
    <m/>
    <m/>
    <n v="0"/>
    <n v="34.980000000000004"/>
    <m/>
    <x v="12"/>
    <n v="45"/>
    <m/>
    <m/>
    <m/>
  </r>
  <r>
    <x v="0"/>
    <x v="0"/>
    <s v="2.5/4"/>
    <x v="141"/>
    <s v="سٹاک"/>
    <s v="PP"/>
    <n v="2.5"/>
    <s v="5.5-6"/>
    <s v="PP"/>
    <n v="1000"/>
    <s v="PP"/>
    <n v="1"/>
    <n v="13.68"/>
    <n v="0.2"/>
    <m/>
    <m/>
    <n v="13.48"/>
    <s v="1310.6899999999998"/>
    <m/>
    <m/>
    <m/>
    <n v="0"/>
    <n v="0"/>
    <m/>
    <m/>
    <m/>
    <m/>
    <m/>
    <m/>
    <m/>
    <m/>
    <n v="0"/>
    <n v="0"/>
    <n v="0"/>
    <n v="12"/>
    <n v="12"/>
    <m/>
    <m/>
    <n v="0"/>
    <n v="18.48"/>
    <m/>
    <x v="12"/>
    <n v="45"/>
    <m/>
    <m/>
    <m/>
  </r>
  <r>
    <x v="1"/>
    <x v="0"/>
    <s v="2.5/4"/>
    <x v="141"/>
    <s v="سٹاک"/>
    <s v="PP"/>
    <n v="2.5"/>
    <s v="5.5-6"/>
    <s v="PP"/>
    <n v="1000"/>
    <s v="PP"/>
    <n v="11"/>
    <n v="129.4"/>
    <n v="2.2000000000000002"/>
    <n v="48"/>
    <m/>
    <n v="127.2"/>
    <s v="1310.6899999999998"/>
    <m/>
    <m/>
    <m/>
    <n v="0"/>
    <n v="0"/>
    <m/>
    <m/>
    <m/>
    <m/>
    <m/>
    <m/>
    <m/>
    <m/>
    <n v="0"/>
    <n v="0"/>
    <n v="0"/>
    <n v="12"/>
    <n v="12"/>
    <m/>
    <m/>
    <n v="0"/>
    <n v="132.19999999999999"/>
    <m/>
    <x v="12"/>
    <n v="45"/>
    <m/>
    <m/>
    <m/>
  </r>
  <r>
    <x v="0"/>
    <x v="1"/>
    <s v="45/6"/>
    <x v="141"/>
    <s v="-"/>
    <m/>
    <m/>
    <m/>
    <m/>
    <m/>
    <s v="PP"/>
    <n v="10"/>
    <n v="172.45999999999998"/>
    <n v="4"/>
    <n v="3"/>
    <m/>
    <n v="168.45999999999998"/>
    <s v="465.97"/>
    <m/>
    <m/>
    <m/>
    <n v="0"/>
    <n v="0"/>
    <m/>
    <m/>
    <m/>
    <m/>
    <m/>
    <m/>
    <m/>
    <m/>
    <n v="0"/>
    <n v="0"/>
    <n v="0"/>
    <n v="12"/>
    <n v="12"/>
    <m/>
    <m/>
    <n v="0"/>
    <n v="173.45999999999998"/>
    <m/>
    <x v="12"/>
    <n v="45"/>
    <m/>
    <m/>
    <m/>
  </r>
  <r>
    <x v="1"/>
    <x v="1"/>
    <s v="45/6"/>
    <x v="141"/>
    <s v="-"/>
    <m/>
    <m/>
    <m/>
    <m/>
    <m/>
    <s v="PP"/>
    <n v="10"/>
    <n v="154.9"/>
    <n v="4"/>
    <n v="3"/>
    <m/>
    <n v="150.9"/>
    <s v="465.97"/>
    <m/>
    <m/>
    <m/>
    <n v="0"/>
    <n v="0"/>
    <m/>
    <m/>
    <m/>
    <m/>
    <m/>
    <m/>
    <m/>
    <m/>
    <n v="0"/>
    <n v="0"/>
    <n v="0"/>
    <n v="12"/>
    <n v="12"/>
    <m/>
    <m/>
    <n v="0"/>
    <n v="155.9"/>
    <m/>
    <x v="12"/>
    <n v="45"/>
    <m/>
    <m/>
    <m/>
  </r>
  <r>
    <x v="0"/>
    <x v="4"/>
    <s v="12/8"/>
    <x v="141"/>
    <s v="سٹاک"/>
    <s v="PP"/>
    <n v="12"/>
    <n v="5"/>
    <s v="PP"/>
    <n v="2000"/>
    <s v="PP"/>
    <n v="10"/>
    <n v="565.46999999999991"/>
    <n v="15"/>
    <m/>
    <m/>
    <n v="550.46999999999991"/>
    <s v="1832.1499999999999"/>
    <m/>
    <m/>
    <m/>
    <n v="0"/>
    <n v="0"/>
    <m/>
    <m/>
    <m/>
    <m/>
    <m/>
    <m/>
    <n v="40"/>
    <m/>
    <n v="40"/>
    <n v="0.66666666666666663"/>
    <n v="0.66666666666666663"/>
    <n v="11.333333333333334"/>
    <n v="12"/>
    <m/>
    <m/>
    <n v="0"/>
    <n v="555.46999999999991"/>
    <m/>
    <x v="12"/>
    <n v="45"/>
    <m/>
    <m/>
    <m/>
  </r>
  <r>
    <x v="1"/>
    <x v="4"/>
    <s v="12/8"/>
    <x v="141"/>
    <s v="سٹاک"/>
    <s v="PP"/>
    <n v="12"/>
    <n v="5"/>
    <s v="PP"/>
    <n v="2000"/>
    <s v="PP"/>
    <n v="8"/>
    <n v="435.9"/>
    <n v="9.6"/>
    <m/>
    <m/>
    <n v="426.29999999999995"/>
    <s v="1832.1499999999999"/>
    <m/>
    <m/>
    <m/>
    <n v="0"/>
    <n v="0"/>
    <n v="30"/>
    <m/>
    <m/>
    <m/>
    <m/>
    <m/>
    <m/>
    <m/>
    <n v="30"/>
    <n v="0.5"/>
    <n v="0.5"/>
    <n v="11.5"/>
    <n v="12"/>
    <m/>
    <m/>
    <n v="0"/>
    <n v="431.2999999999999"/>
    <m/>
    <x v="12"/>
    <n v="45"/>
    <m/>
    <m/>
    <m/>
  </r>
  <r>
    <x v="1"/>
    <x v="4"/>
    <s v="7471/6"/>
    <x v="141"/>
    <s v="العمر پلاسٹک گوجرانوالہ"/>
    <s v="PP"/>
    <n v="12"/>
    <s v="10"/>
    <s v="PP"/>
    <n v="200"/>
    <s v="PP"/>
    <n v="2"/>
    <n v="84.61"/>
    <n v="2.4"/>
    <m/>
    <m/>
    <n v="82.21"/>
    <s v="212.77999999999997"/>
    <m/>
    <m/>
    <m/>
    <n v="0"/>
    <n v="0"/>
    <m/>
    <m/>
    <m/>
    <m/>
    <m/>
    <m/>
    <m/>
    <m/>
    <n v="0"/>
    <n v="0"/>
    <n v="0"/>
    <n v="12"/>
    <n v="12"/>
    <m/>
    <m/>
    <n v="0"/>
    <n v="87.21"/>
    <m/>
    <x v="12"/>
    <n v="45"/>
    <m/>
    <m/>
    <m/>
  </r>
  <r>
    <x v="0"/>
    <x v="2"/>
    <s v="7448/2"/>
    <x v="141"/>
    <s v="ایم دین پنڈی"/>
    <s v="PP"/>
    <n v="8"/>
    <n v="15"/>
    <s v="PP"/>
    <n v="210"/>
    <s v="PP"/>
    <n v="6"/>
    <n v="129.38"/>
    <n v="6.8000000000000007"/>
    <m/>
    <m/>
    <n v="122.58"/>
    <s v="217.82"/>
    <m/>
    <m/>
    <m/>
    <n v="0"/>
    <n v="0"/>
    <m/>
    <m/>
    <m/>
    <m/>
    <m/>
    <m/>
    <m/>
    <m/>
    <n v="0"/>
    <n v="0"/>
    <n v="0"/>
    <n v="12"/>
    <n v="12"/>
    <m/>
    <m/>
    <n v="0"/>
    <n v="127.58"/>
    <m/>
    <x v="12"/>
    <n v="45"/>
    <m/>
    <m/>
    <m/>
  </r>
  <r>
    <x v="0"/>
    <x v="2"/>
    <s v="7445/3"/>
    <x v="141"/>
    <s v="آصف پلاسٹک سرگودھا"/>
    <s v="PP"/>
    <n v="8"/>
    <n v="4.5"/>
    <s v="PP"/>
    <n v="100"/>
    <s v="PP"/>
    <n v="4"/>
    <n v="117.69"/>
    <n v="4.5999999999999996"/>
    <m/>
    <m/>
    <n v="113.09"/>
    <s v="113.09"/>
    <m/>
    <m/>
    <m/>
    <n v="0"/>
    <n v="0"/>
    <m/>
    <m/>
    <m/>
    <m/>
    <m/>
    <m/>
    <m/>
    <m/>
    <n v="0"/>
    <n v="0"/>
    <n v="0"/>
    <n v="12"/>
    <n v="12"/>
    <m/>
    <m/>
    <n v="0"/>
    <n v="118.09"/>
    <m/>
    <x v="12"/>
    <n v="45"/>
    <m/>
    <m/>
    <m/>
  </r>
  <r>
    <x v="1"/>
    <x v="2"/>
    <s v="8/8"/>
    <x v="141"/>
    <s v="سٹاک"/>
    <s v="PP"/>
    <n v="8"/>
    <n v="5"/>
    <s v="PP"/>
    <n v="1500"/>
    <s v="PP"/>
    <n v="8"/>
    <n v="288.22000000000003"/>
    <n v="6.4"/>
    <m/>
    <m/>
    <n v="281.82000000000005"/>
    <s v="1755.2900000000002"/>
    <m/>
    <m/>
    <m/>
    <n v="0"/>
    <n v="0"/>
    <m/>
    <m/>
    <m/>
    <m/>
    <m/>
    <m/>
    <m/>
    <m/>
    <n v="0"/>
    <n v="0"/>
    <n v="0"/>
    <n v="12"/>
    <n v="12"/>
    <m/>
    <m/>
    <n v="0"/>
    <n v="286.82000000000005"/>
    <m/>
    <x v="12"/>
    <n v="45"/>
    <m/>
    <m/>
    <m/>
  </r>
  <r>
    <x v="0"/>
    <x v="0"/>
    <s v="2.5/4"/>
    <x v="142"/>
    <s v="سٹاک"/>
    <s v="PP"/>
    <n v="2.5"/>
    <s v="5.5-6"/>
    <s v="PP"/>
    <n v="1000"/>
    <s v="PP"/>
    <n v="11"/>
    <n v="131.31"/>
    <n v="2.2000000000000002"/>
    <n v="19"/>
    <m/>
    <n v="129.11000000000001"/>
    <s v="1310.6899999999998"/>
    <m/>
    <m/>
    <m/>
    <n v="0"/>
    <n v="0"/>
    <m/>
    <m/>
    <m/>
    <m/>
    <m/>
    <m/>
    <m/>
    <m/>
    <n v="0"/>
    <n v="0"/>
    <n v="0"/>
    <n v="12"/>
    <n v="12"/>
    <m/>
    <m/>
    <n v="0"/>
    <n v="134.11000000000001"/>
    <m/>
    <x v="12"/>
    <n v="45"/>
    <m/>
    <m/>
    <m/>
  </r>
  <r>
    <x v="1"/>
    <x v="0"/>
    <s v="2.5/4"/>
    <x v="142"/>
    <s v="سٹاک"/>
    <s v="PP"/>
    <n v="2.5"/>
    <s v="5.5-6"/>
    <s v="PP"/>
    <n v="1000"/>
    <s v="PP"/>
    <n v="10"/>
    <n v="110.11999999999999"/>
    <n v="2"/>
    <n v="20"/>
    <m/>
    <n v="108.11999999999999"/>
    <s v="1310.6899999999998"/>
    <m/>
    <m/>
    <m/>
    <n v="0"/>
    <n v="0"/>
    <m/>
    <m/>
    <m/>
    <m/>
    <m/>
    <m/>
    <m/>
    <m/>
    <n v="0"/>
    <n v="0"/>
    <n v="0"/>
    <n v="12"/>
    <n v="12"/>
    <m/>
    <m/>
    <n v="0"/>
    <n v="113.12"/>
    <m/>
    <x v="12"/>
    <n v="45"/>
    <m/>
    <m/>
    <m/>
  </r>
  <r>
    <x v="0"/>
    <x v="1"/>
    <s v="45/6"/>
    <x v="142"/>
    <s v="-"/>
    <m/>
    <m/>
    <m/>
    <m/>
    <m/>
    <s v="PP"/>
    <n v="9"/>
    <n v="150.20999999999998"/>
    <n v="3.6"/>
    <m/>
    <m/>
    <n v="146.60999999999999"/>
    <s v="465.97"/>
    <n v="20"/>
    <m/>
    <m/>
    <n v="20"/>
    <n v="0.33333333333333331"/>
    <m/>
    <m/>
    <m/>
    <m/>
    <m/>
    <m/>
    <m/>
    <m/>
    <n v="0"/>
    <n v="0"/>
    <n v="0.33333333333333331"/>
    <n v="11.666666666666666"/>
    <n v="12"/>
    <m/>
    <m/>
    <n v="0"/>
    <n v="151.61000000000001"/>
    <m/>
    <x v="12"/>
    <n v="45"/>
    <m/>
    <m/>
    <m/>
  </r>
  <r>
    <x v="0"/>
    <x v="1"/>
    <s v="3/6"/>
    <x v="142"/>
    <s v="سٹاک"/>
    <s v="PP"/>
    <n v="3"/>
    <s v="5.5-6"/>
    <s v="PP"/>
    <n v="1000"/>
    <s v="PP"/>
    <n v="2"/>
    <n v="24.87"/>
    <n v="0.6"/>
    <m/>
    <m/>
    <n v="24.27"/>
    <s v="1261.29"/>
    <m/>
    <m/>
    <m/>
    <n v="0"/>
    <n v="0"/>
    <m/>
    <m/>
    <m/>
    <m/>
    <m/>
    <m/>
    <m/>
    <m/>
    <n v="0"/>
    <n v="0"/>
    <n v="0"/>
    <n v="12"/>
    <n v="12"/>
    <m/>
    <m/>
    <n v="0"/>
    <n v="29.27"/>
    <m/>
    <x v="12"/>
    <n v="45"/>
    <m/>
    <m/>
    <m/>
  </r>
  <r>
    <x v="1"/>
    <x v="1"/>
    <s v="3/6"/>
    <x v="142"/>
    <s v="سٹاک"/>
    <s v="PP"/>
    <n v="3"/>
    <s v="5.5-6"/>
    <s v="PP"/>
    <n v="1000"/>
    <s v="PP"/>
    <n v="11"/>
    <n v="147.43"/>
    <n v="3.3"/>
    <m/>
    <m/>
    <n v="144.13"/>
    <s v="1261.29"/>
    <m/>
    <m/>
    <m/>
    <n v="0"/>
    <n v="0"/>
    <m/>
    <m/>
    <m/>
    <m/>
    <m/>
    <m/>
    <m/>
    <m/>
    <n v="0"/>
    <n v="0"/>
    <n v="0"/>
    <n v="12"/>
    <n v="12"/>
    <m/>
    <m/>
    <n v="0"/>
    <n v="149.13"/>
    <m/>
    <x v="12"/>
    <n v="45"/>
    <m/>
    <m/>
    <m/>
  </r>
  <r>
    <x v="0"/>
    <x v="2"/>
    <s v="8/8"/>
    <x v="142"/>
    <s v="سٹاک"/>
    <s v="PP"/>
    <n v="8"/>
    <n v="5"/>
    <s v="PP"/>
    <n v="1500"/>
    <s v="PP"/>
    <n v="6"/>
    <n v="261.08000000000004"/>
    <n v="4.8000000000000007"/>
    <m/>
    <m/>
    <n v="256.28000000000003"/>
    <s v="1755.2900000000002"/>
    <m/>
    <m/>
    <m/>
    <n v="0"/>
    <n v="0"/>
    <m/>
    <m/>
    <m/>
    <m/>
    <m/>
    <m/>
    <m/>
    <m/>
    <n v="0"/>
    <n v="0"/>
    <n v="0"/>
    <n v="12"/>
    <n v="12"/>
    <m/>
    <m/>
    <n v="0"/>
    <n v="261.28000000000003"/>
    <m/>
    <x v="12"/>
    <n v="45"/>
    <m/>
    <m/>
    <m/>
  </r>
  <r>
    <x v="1"/>
    <x v="2"/>
    <s v="8/8"/>
    <x v="142"/>
    <s v="سٹاک"/>
    <s v="PP"/>
    <n v="8"/>
    <n v="5"/>
    <s v="PP"/>
    <n v="1500"/>
    <s v="PP"/>
    <n v="7"/>
    <n v="244.65"/>
    <n v="5.6000000000000005"/>
    <m/>
    <m/>
    <n v="239.05"/>
    <s v="1755.2900000000002"/>
    <m/>
    <m/>
    <m/>
    <n v="0"/>
    <n v="0"/>
    <m/>
    <m/>
    <m/>
    <m/>
    <m/>
    <m/>
    <m/>
    <m/>
    <n v="0"/>
    <n v="0"/>
    <n v="0"/>
    <n v="12"/>
    <n v="12"/>
    <m/>
    <m/>
    <n v="0"/>
    <n v="244.05"/>
    <m/>
    <x v="12"/>
    <n v="45"/>
    <m/>
    <m/>
    <m/>
  </r>
  <r>
    <x v="0"/>
    <x v="3"/>
    <s v="18/5"/>
    <x v="142"/>
    <s v="سٹاک"/>
    <s v="PP"/>
    <n v="18"/>
    <n v="5"/>
    <s v="PP"/>
    <n v="500"/>
    <s v="PP"/>
    <n v="2"/>
    <n v="101.80000000000001"/>
    <n v="4.3000000000000007"/>
    <m/>
    <m/>
    <n v="97.500000000000014"/>
    <s v="1133.68"/>
    <m/>
    <n v="300"/>
    <m/>
    <n v="300"/>
    <n v="5"/>
    <m/>
    <m/>
    <m/>
    <m/>
    <m/>
    <m/>
    <m/>
    <m/>
    <n v="0"/>
    <n v="0"/>
    <n v="5"/>
    <n v="7"/>
    <n v="12"/>
    <m/>
    <m/>
    <n v="0"/>
    <n v="102.5"/>
    <m/>
    <x v="12"/>
    <n v="45"/>
    <m/>
    <m/>
    <m/>
  </r>
  <r>
    <x v="0"/>
    <x v="3"/>
    <s v="7471/12"/>
    <x v="142"/>
    <s v="العمر پلاسٹک گوجرانوالہ"/>
    <s v="PP"/>
    <n v="18"/>
    <s v="6"/>
    <s v="PP"/>
    <n v="250"/>
    <s v="PP"/>
    <n v="5"/>
    <n v="256.62"/>
    <n v="10.65"/>
    <m/>
    <m/>
    <n v="245.97"/>
    <s v="755.3599999999999"/>
    <m/>
    <m/>
    <m/>
    <n v="0"/>
    <n v="0"/>
    <m/>
    <m/>
    <m/>
    <m/>
    <m/>
    <m/>
    <m/>
    <m/>
    <n v="0"/>
    <n v="0"/>
    <n v="0"/>
    <n v="12"/>
    <n v="12"/>
    <m/>
    <m/>
    <n v="0"/>
    <n v="250.97"/>
    <m/>
    <x v="12"/>
    <n v="45"/>
    <m/>
    <m/>
    <m/>
  </r>
  <r>
    <x v="1"/>
    <x v="3"/>
    <s v="7471/12"/>
    <x v="142"/>
    <s v="العمر پلاسٹک گوجرانوالہ"/>
    <s v="PP"/>
    <n v="18"/>
    <s v="6"/>
    <s v="PP"/>
    <n v="250"/>
    <s v="PP"/>
    <n v="9"/>
    <n v="525.58999999999992"/>
    <n v="16.2"/>
    <m/>
    <m/>
    <n v="509.38999999999993"/>
    <s v="755.3599999999999"/>
    <m/>
    <m/>
    <m/>
    <n v="0"/>
    <n v="0"/>
    <m/>
    <m/>
    <m/>
    <m/>
    <m/>
    <m/>
    <m/>
    <m/>
    <n v="0"/>
    <n v="0"/>
    <n v="0"/>
    <n v="12"/>
    <n v="12"/>
    <m/>
    <m/>
    <n v="0"/>
    <n v="514.38999999999987"/>
    <m/>
    <x v="12"/>
    <n v="45"/>
    <m/>
    <m/>
    <m/>
  </r>
  <r>
    <x v="1"/>
    <x v="3"/>
    <s v="7474/1"/>
    <x v="142"/>
    <s v="العمر پلاسٹک گوجرانوالہ"/>
    <s v="PP"/>
    <n v="18"/>
    <s v="8"/>
    <s v="PP"/>
    <n v="150"/>
    <s v="PP"/>
    <n v="3"/>
    <n v="159.82"/>
    <n v="5.4"/>
    <m/>
    <m/>
    <n v="154.41999999999999"/>
    <s v="154.41999999999999"/>
    <m/>
    <m/>
    <m/>
    <n v="0"/>
    <n v="0"/>
    <m/>
    <m/>
    <m/>
    <m/>
    <m/>
    <m/>
    <m/>
    <m/>
    <n v="0"/>
    <n v="0"/>
    <n v="0"/>
    <n v="12"/>
    <n v="12"/>
    <m/>
    <m/>
    <n v="0"/>
    <n v="159.41999999999999"/>
    <m/>
    <x v="12"/>
    <n v="45"/>
    <m/>
    <m/>
    <m/>
  </r>
  <r>
    <x v="1"/>
    <x v="3"/>
    <s v="7471/3"/>
    <x v="142"/>
    <s v="العمر پلاسٹک گوجرانوالہ"/>
    <s v="PP"/>
    <n v="18"/>
    <s v="10"/>
    <s v="PP"/>
    <n v="300"/>
    <s v="PP"/>
    <n v="1"/>
    <n v="43.97"/>
    <n v="1.8"/>
    <m/>
    <m/>
    <n v="42.17"/>
    <s v="306.26000000000005"/>
    <m/>
    <m/>
    <m/>
    <n v="0"/>
    <n v="0"/>
    <m/>
    <m/>
    <m/>
    <m/>
    <m/>
    <m/>
    <m/>
    <m/>
    <n v="0"/>
    <n v="0"/>
    <n v="0"/>
    <n v="12"/>
    <n v="12"/>
    <m/>
    <m/>
    <n v="0"/>
    <n v="47.17"/>
    <m/>
    <x v="12"/>
    <n v="45"/>
    <m/>
    <m/>
    <m/>
  </r>
  <r>
    <x v="0"/>
    <x v="4"/>
    <s v="7471/6"/>
    <x v="142"/>
    <s v="العمر پلاسٹک گوجرانوالہ"/>
    <s v="PP"/>
    <n v="12"/>
    <s v="10"/>
    <s v="PP"/>
    <n v="200"/>
    <s v="PP"/>
    <n v="2"/>
    <n v="132.97"/>
    <n v="2.4"/>
    <m/>
    <m/>
    <n v="130.57"/>
    <s v="212.77999999999997"/>
    <n v="30"/>
    <m/>
    <m/>
    <n v="30"/>
    <n v="0.5"/>
    <m/>
    <m/>
    <m/>
    <m/>
    <m/>
    <m/>
    <m/>
    <m/>
    <n v="0"/>
    <n v="0"/>
    <n v="0.5"/>
    <n v="11.5"/>
    <n v="12"/>
    <m/>
    <m/>
    <n v="0"/>
    <n v="135.57"/>
    <m/>
    <x v="12"/>
    <n v="45"/>
    <m/>
    <m/>
    <m/>
  </r>
  <r>
    <x v="0"/>
    <x v="4"/>
    <s v="12/5"/>
    <x v="142"/>
    <s v="سٹاک"/>
    <s v="PP"/>
    <n v="12"/>
    <n v="5"/>
    <s v="PP"/>
    <n v="500"/>
    <s v="PP"/>
    <n v="2"/>
    <n v="132.38"/>
    <n v="2.4"/>
    <m/>
    <m/>
    <n v="129.97999999999999"/>
    <s v="1019.7800000000001"/>
    <m/>
    <m/>
    <m/>
    <n v="0"/>
    <n v="0"/>
    <m/>
    <m/>
    <m/>
    <m/>
    <m/>
    <m/>
    <m/>
    <m/>
    <n v="0"/>
    <n v="0"/>
    <n v="0"/>
    <n v="12"/>
    <n v="12"/>
    <m/>
    <m/>
    <n v="0"/>
    <n v="134.97999999999999"/>
    <m/>
    <x v="12"/>
    <n v="45"/>
    <m/>
    <m/>
    <m/>
  </r>
  <r>
    <x v="0"/>
    <x v="4"/>
    <s v="7457/1"/>
    <x v="142"/>
    <s v="MTM شاہ عالم"/>
    <s v="PP"/>
    <n v="9"/>
    <n v="7"/>
    <s v="PP"/>
    <n v="100"/>
    <s v="PP"/>
    <n v="2"/>
    <n v="102.11"/>
    <n v="1.8"/>
    <m/>
    <m/>
    <n v="100.31"/>
    <s v="130.49"/>
    <m/>
    <m/>
    <m/>
    <n v="0"/>
    <n v="0"/>
    <m/>
    <m/>
    <m/>
    <m/>
    <m/>
    <m/>
    <m/>
    <m/>
    <n v="0"/>
    <n v="0"/>
    <n v="0"/>
    <n v="12"/>
    <n v="12"/>
    <m/>
    <m/>
    <n v="0"/>
    <n v="105.31"/>
    <m/>
    <x v="12"/>
    <n v="45"/>
    <m/>
    <m/>
    <m/>
  </r>
  <r>
    <x v="0"/>
    <x v="4"/>
    <s v="7445/2"/>
    <x v="142"/>
    <s v="آصف پلاسٹک سرگودھا"/>
    <s v="PP"/>
    <n v="9"/>
    <n v="4.5"/>
    <s v="PP"/>
    <n v="100"/>
    <s v="PP"/>
    <n v="4"/>
    <n v="116.53"/>
    <n v="3.6"/>
    <m/>
    <m/>
    <n v="112.93"/>
    <s v="195.81"/>
    <m/>
    <m/>
    <m/>
    <n v="0"/>
    <n v="0"/>
    <m/>
    <m/>
    <m/>
    <m/>
    <m/>
    <m/>
    <m/>
    <m/>
    <n v="0"/>
    <n v="0"/>
    <n v="0"/>
    <n v="12"/>
    <n v="12"/>
    <m/>
    <m/>
    <n v="0"/>
    <n v="117.93"/>
    <m/>
    <x v="12"/>
    <n v="45"/>
    <m/>
    <m/>
    <m/>
  </r>
  <r>
    <x v="0"/>
    <x v="4"/>
    <s v="7457/1"/>
    <x v="142"/>
    <s v="MTM شاہ عالم"/>
    <s v="PP"/>
    <n v="9"/>
    <n v="7"/>
    <s v="PP"/>
    <n v="100"/>
    <s v="PP"/>
    <n v="1"/>
    <n v="31.08"/>
    <n v="0.9"/>
    <m/>
    <m/>
    <n v="30.18"/>
    <s v="130.49"/>
    <m/>
    <m/>
    <m/>
    <n v="0"/>
    <n v="0"/>
    <m/>
    <m/>
    <m/>
    <m/>
    <m/>
    <m/>
    <m/>
    <m/>
    <n v="0"/>
    <n v="0"/>
    <n v="0"/>
    <n v="12"/>
    <n v="12"/>
    <m/>
    <m/>
    <n v="0"/>
    <n v="35.18"/>
    <m/>
    <x v="12"/>
    <n v="45"/>
    <m/>
    <m/>
    <m/>
  </r>
  <r>
    <x v="1"/>
    <x v="4"/>
    <s v="7459/1"/>
    <x v="142"/>
    <s v="ایم بلال اعظم مارکیٹ"/>
    <s v="PP"/>
    <n v="9"/>
    <n v="8"/>
    <s v="PP"/>
    <n v="50"/>
    <s v="PP"/>
    <n v="1"/>
    <n v="32.229999999999997"/>
    <n v="0.9"/>
    <m/>
    <m/>
    <n v="31.33"/>
    <s v="31.33"/>
    <m/>
    <m/>
    <m/>
    <n v="0"/>
    <n v="0"/>
    <m/>
    <m/>
    <m/>
    <m/>
    <m/>
    <m/>
    <m/>
    <m/>
    <n v="0"/>
    <n v="0"/>
    <n v="0"/>
    <n v="12"/>
    <n v="12"/>
    <m/>
    <m/>
    <n v="0"/>
    <n v="36.33"/>
    <m/>
    <x v="12"/>
    <n v="45"/>
    <m/>
    <m/>
    <m/>
  </r>
  <r>
    <x v="1"/>
    <x v="4"/>
    <s v="7448/1"/>
    <x v="142"/>
    <s v="ایم دین پنڈی"/>
    <s v="PP"/>
    <n v="9"/>
    <n v="15"/>
    <s v="PP"/>
    <n v="0"/>
    <s v="PP"/>
    <n v="14"/>
    <n v="456.54999999999995"/>
    <n v="12.6"/>
    <m/>
    <m/>
    <n v="443.94999999999993"/>
    <s v="443.94999999999993"/>
    <m/>
    <m/>
    <m/>
    <n v="0"/>
    <n v="0"/>
    <m/>
    <m/>
    <m/>
    <m/>
    <m/>
    <m/>
    <m/>
    <m/>
    <n v="0"/>
    <n v="0"/>
    <n v="0"/>
    <n v="12"/>
    <n v="12"/>
    <m/>
    <m/>
    <n v="0"/>
    <n v="448.94999999999993"/>
    <m/>
    <x v="12"/>
    <n v="45"/>
    <m/>
    <m/>
    <m/>
  </r>
  <r>
    <x v="1"/>
    <x v="4"/>
    <s v="9/7"/>
    <x v="142"/>
    <s v="سٹاک"/>
    <s v="PP"/>
    <n v="9"/>
    <s v="5-5.5"/>
    <s v="PP"/>
    <n v="1500"/>
    <s v="PP"/>
    <n v="2"/>
    <n v="69.67"/>
    <n v="1.8"/>
    <m/>
    <m/>
    <n v="67.87"/>
    <s v="1509.0599999999997"/>
    <m/>
    <m/>
    <m/>
    <n v="0"/>
    <n v="0"/>
    <m/>
    <m/>
    <m/>
    <m/>
    <m/>
    <m/>
    <m/>
    <m/>
    <n v="0"/>
    <n v="0"/>
    <n v="0"/>
    <n v="12"/>
    <n v="12"/>
    <m/>
    <m/>
    <n v="0"/>
    <n v="72.87"/>
    <m/>
    <x v="12"/>
    <n v="45"/>
    <m/>
    <m/>
    <m/>
  </r>
  <r>
    <x v="0"/>
    <x v="0"/>
    <s v="2.5/4"/>
    <x v="143"/>
    <s v="سٹاک"/>
    <s v="PP"/>
    <n v="2.5"/>
    <s v="5.5-6"/>
    <s v="PP"/>
    <n v="1000"/>
    <s v="PP"/>
    <n v="14"/>
    <n v="170.53999999999996"/>
    <n v="3.5"/>
    <m/>
    <m/>
    <n v="167.03999999999996"/>
    <s v="1310.6899999999998"/>
    <m/>
    <m/>
    <m/>
    <n v="0"/>
    <n v="0"/>
    <m/>
    <m/>
    <m/>
    <m/>
    <m/>
    <m/>
    <m/>
    <m/>
    <n v="0"/>
    <n v="0"/>
    <n v="0"/>
    <n v="12"/>
    <n v="12"/>
    <m/>
    <m/>
    <n v="0"/>
    <n v="172.03999999999996"/>
    <m/>
    <x v="12"/>
    <n v="45"/>
    <m/>
    <m/>
    <m/>
  </r>
  <r>
    <x v="1"/>
    <x v="0"/>
    <s v="2.5/4"/>
    <x v="143"/>
    <s v="سٹاک"/>
    <s v="PP"/>
    <n v="2.5"/>
    <s v="5.5-6"/>
    <s v="PP"/>
    <n v="1000"/>
    <s v="PP"/>
    <n v="11"/>
    <n v="133.4"/>
    <n v="2.75"/>
    <m/>
    <m/>
    <n v="130.65"/>
    <s v="1310.6899999999998"/>
    <m/>
    <m/>
    <m/>
    <n v="0"/>
    <n v="0"/>
    <m/>
    <m/>
    <m/>
    <m/>
    <m/>
    <m/>
    <m/>
    <m/>
    <n v="0"/>
    <n v="0"/>
    <n v="0"/>
    <n v="12"/>
    <n v="12"/>
    <m/>
    <m/>
    <n v="0"/>
    <n v="135.65"/>
    <m/>
    <x v="12"/>
    <n v="45"/>
    <m/>
    <m/>
    <m/>
  </r>
  <r>
    <x v="0"/>
    <x v="1"/>
    <s v="3/6"/>
    <x v="143"/>
    <s v="سٹاک"/>
    <s v="PP"/>
    <n v="3"/>
    <s v="5.5-6"/>
    <s v="PP"/>
    <n v="1000"/>
    <s v="PP"/>
    <n v="12"/>
    <n v="157.11000000000001"/>
    <n v="3.5999999999999996"/>
    <m/>
    <m/>
    <n v="153.51000000000002"/>
    <s v="1261.29"/>
    <m/>
    <m/>
    <m/>
    <n v="0"/>
    <n v="0"/>
    <m/>
    <m/>
    <m/>
    <m/>
    <m/>
    <m/>
    <m/>
    <m/>
    <n v="0"/>
    <n v="0"/>
    <n v="0"/>
    <n v="12"/>
    <n v="12"/>
    <m/>
    <m/>
    <n v="0"/>
    <n v="158.51000000000002"/>
    <m/>
    <x v="12"/>
    <n v="45"/>
    <m/>
    <m/>
    <m/>
  </r>
  <r>
    <x v="1"/>
    <x v="1"/>
    <s v="3/6"/>
    <x v="143"/>
    <s v="سٹاک"/>
    <s v="PP"/>
    <n v="3"/>
    <s v="5.5-6"/>
    <s v="PP"/>
    <n v="1000"/>
    <s v="PP"/>
    <n v="12"/>
    <n v="155.59"/>
    <n v="3.5999999999999996"/>
    <m/>
    <m/>
    <n v="151.99"/>
    <s v="1261.29"/>
    <m/>
    <m/>
    <m/>
    <n v="0"/>
    <n v="0"/>
    <m/>
    <m/>
    <m/>
    <m/>
    <m/>
    <m/>
    <m/>
    <m/>
    <n v="0"/>
    <n v="0"/>
    <n v="0"/>
    <n v="12"/>
    <n v="12"/>
    <m/>
    <m/>
    <n v="0"/>
    <n v="156.99"/>
    <m/>
    <x v="12"/>
    <n v="45"/>
    <m/>
    <m/>
    <m/>
  </r>
  <r>
    <x v="0"/>
    <x v="2"/>
    <s v="8/8"/>
    <x v="143"/>
    <s v="سٹاک"/>
    <s v="PP"/>
    <n v="8"/>
    <n v="5"/>
    <s v="PP"/>
    <n v="1500"/>
    <s v="PP"/>
    <n v="8"/>
    <n v="340.84"/>
    <n v="6.4"/>
    <m/>
    <m/>
    <n v="334.44"/>
    <s v="1755.2900000000002"/>
    <m/>
    <m/>
    <m/>
    <n v="0"/>
    <n v="0"/>
    <m/>
    <m/>
    <m/>
    <m/>
    <m/>
    <m/>
    <m/>
    <m/>
    <n v="0"/>
    <n v="0"/>
    <n v="0"/>
    <n v="12"/>
    <n v="12"/>
    <m/>
    <m/>
    <n v="0"/>
    <n v="339.44"/>
    <m/>
    <x v="12"/>
    <n v="45"/>
    <m/>
    <m/>
    <m/>
  </r>
  <r>
    <x v="1"/>
    <x v="2"/>
    <s v="8/8"/>
    <x v="143"/>
    <s v="سٹاک"/>
    <s v="PP"/>
    <n v="8"/>
    <n v="5"/>
    <s v="PP"/>
    <n v="1500"/>
    <s v="PP"/>
    <n v="7"/>
    <n v="312.45999999999998"/>
    <n v="5.6000000000000005"/>
    <m/>
    <m/>
    <n v="306.85999999999996"/>
    <s v="1755.2900000000002"/>
    <m/>
    <m/>
    <m/>
    <n v="0"/>
    <n v="0"/>
    <m/>
    <m/>
    <m/>
    <m/>
    <m/>
    <m/>
    <m/>
    <m/>
    <n v="0"/>
    <n v="0"/>
    <n v="0"/>
    <n v="12"/>
    <n v="12"/>
    <m/>
    <m/>
    <n v="0"/>
    <n v="311.85999999999996"/>
    <m/>
    <x v="12"/>
    <n v="45"/>
    <m/>
    <m/>
    <m/>
  </r>
  <r>
    <x v="0"/>
    <x v="3"/>
    <s v="7471/3"/>
    <x v="143"/>
    <s v="العمر پلاسٹک گوجرانوالہ"/>
    <s v="PP"/>
    <n v="18"/>
    <s v="10"/>
    <s v="PP"/>
    <n v="300"/>
    <s v="PP"/>
    <n v="5"/>
    <n v="275.09000000000003"/>
    <n v="11"/>
    <n v="40"/>
    <m/>
    <n v="264.09000000000003"/>
    <s v="306.26000000000005"/>
    <n v="20"/>
    <m/>
    <m/>
    <n v="20"/>
    <n v="0.33333333333333331"/>
    <m/>
    <m/>
    <m/>
    <m/>
    <m/>
    <n v="60"/>
    <m/>
    <m/>
    <n v="60"/>
    <n v="1"/>
    <n v="1.3333333333333333"/>
    <n v="10.666666666666666"/>
    <n v="12"/>
    <m/>
    <m/>
    <n v="0"/>
    <n v="269.09000000000003"/>
    <m/>
    <x v="12"/>
    <n v="45"/>
    <m/>
    <m/>
    <m/>
  </r>
  <r>
    <x v="0"/>
    <x v="3"/>
    <s v="7456/1"/>
    <x v="143"/>
    <s v="خواجہ فرقان ٹمبر مارکیٹ"/>
    <s v="PP"/>
    <n v="10.5"/>
    <s v="2.5-5"/>
    <s v="PP"/>
    <n v="500"/>
    <s v="PP"/>
    <n v="9"/>
    <n v="189.54000000000002"/>
    <n v="10.799999999999999"/>
    <m/>
    <m/>
    <n v="178.74"/>
    <s v="514.69999999999993"/>
    <m/>
    <m/>
    <m/>
    <n v="0"/>
    <n v="0"/>
    <m/>
    <m/>
    <m/>
    <m/>
    <m/>
    <m/>
    <m/>
    <m/>
    <n v="0"/>
    <n v="0"/>
    <n v="0"/>
    <n v="12"/>
    <n v="12"/>
    <m/>
    <m/>
    <n v="0"/>
    <n v="183.74"/>
    <m/>
    <x v="12"/>
    <n v="45"/>
    <m/>
    <m/>
    <m/>
  </r>
  <r>
    <x v="1"/>
    <x v="3"/>
    <s v="7456/1"/>
    <x v="143"/>
    <s v="خواجہ فرقان ٹمبر مارکیٹ"/>
    <s v="PP"/>
    <n v="10.5"/>
    <s v="2.5-5"/>
    <s v="PP"/>
    <n v="500"/>
    <s v="PP"/>
    <n v="12"/>
    <n v="303.70999999999992"/>
    <n v="14.399999999999999"/>
    <m/>
    <m/>
    <n v="289.30999999999995"/>
    <s v="514.69999999999993"/>
    <m/>
    <m/>
    <m/>
    <n v="0"/>
    <n v="0"/>
    <m/>
    <m/>
    <m/>
    <m/>
    <m/>
    <m/>
    <m/>
    <m/>
    <n v="0"/>
    <n v="0"/>
    <n v="0"/>
    <n v="12"/>
    <n v="12"/>
    <m/>
    <m/>
    <n v="0"/>
    <n v="294.30999999999995"/>
    <m/>
    <x v="12"/>
    <n v="45"/>
    <m/>
    <m/>
    <m/>
  </r>
  <r>
    <x v="1"/>
    <x v="3"/>
    <s v="7469/1"/>
    <x v="143"/>
    <s v="خواجہ  مدثر ٹمبر مارکیٹ"/>
    <s v="PP"/>
    <n v="12"/>
    <s v="3-6"/>
    <s v="PP"/>
    <n v="100"/>
    <s v="PP"/>
    <n v="4"/>
    <n v="101.86"/>
    <n v="4.8"/>
    <m/>
    <m/>
    <n v="97.06"/>
    <s v="97.06"/>
    <m/>
    <m/>
    <m/>
    <n v="0"/>
    <n v="0"/>
    <m/>
    <m/>
    <m/>
    <m/>
    <m/>
    <m/>
    <m/>
    <m/>
    <n v="0"/>
    <n v="0"/>
    <n v="0"/>
    <n v="12"/>
    <n v="12"/>
    <m/>
    <m/>
    <n v="0"/>
    <n v="102.06"/>
    <m/>
    <x v="12"/>
    <n v="45"/>
    <m/>
    <m/>
    <m/>
  </r>
  <r>
    <x v="0"/>
    <x v="4"/>
    <s v="9/7"/>
    <x v="143"/>
    <s v="سٹاک"/>
    <s v="PP"/>
    <n v="9"/>
    <s v="5-5.5"/>
    <s v="PP"/>
    <n v="1500"/>
    <s v="PP"/>
    <n v="9"/>
    <n v="464.68999999999994"/>
    <n v="8.1"/>
    <m/>
    <m/>
    <n v="456.58999999999992"/>
    <s v="1509.0599999999997"/>
    <m/>
    <m/>
    <m/>
    <n v="0"/>
    <n v="0"/>
    <m/>
    <m/>
    <m/>
    <m/>
    <m/>
    <m/>
    <m/>
    <m/>
    <n v="0"/>
    <n v="0"/>
    <n v="0"/>
    <n v="12"/>
    <n v="12"/>
    <m/>
    <m/>
    <n v="0"/>
    <n v="461.58999999999992"/>
    <m/>
    <x v="12"/>
    <n v="45"/>
    <m/>
    <m/>
    <m/>
  </r>
  <r>
    <x v="1"/>
    <x v="4"/>
    <s v="9/7"/>
    <x v="143"/>
    <s v="سٹاک"/>
    <s v="PP"/>
    <n v="9"/>
    <s v="5-5.5"/>
    <s v="PP"/>
    <n v="1500"/>
    <s v="PP"/>
    <n v="9"/>
    <n v="449.65"/>
    <n v="8.1"/>
    <m/>
    <m/>
    <n v="441.54999999999995"/>
    <s v="1509.0599999999997"/>
    <m/>
    <m/>
    <m/>
    <n v="0"/>
    <n v="0"/>
    <m/>
    <m/>
    <m/>
    <m/>
    <m/>
    <m/>
    <m/>
    <m/>
    <n v="0"/>
    <n v="0"/>
    <n v="0"/>
    <n v="12"/>
    <n v="12"/>
    <m/>
    <m/>
    <n v="0"/>
    <n v="446.5499999999999"/>
    <m/>
    <x v="12"/>
    <n v="45"/>
    <m/>
    <m/>
    <m/>
  </r>
  <r>
    <x v="0"/>
    <x v="0"/>
    <s v="2.5/4"/>
    <x v="144"/>
    <s v="سٹاک"/>
    <s v="PP"/>
    <n v="2.5"/>
    <s v="5.5-6"/>
    <s v="PP"/>
    <n v="1000"/>
    <s v="PP"/>
    <n v="10"/>
    <n v="114.29999999999998"/>
    <n v="2.5"/>
    <m/>
    <m/>
    <n v="111.79999999999998"/>
    <s v="1310.6899999999998"/>
    <m/>
    <m/>
    <m/>
    <n v="0"/>
    <n v="0"/>
    <m/>
    <m/>
    <m/>
    <m/>
    <m/>
    <m/>
    <m/>
    <m/>
    <n v="0"/>
    <n v="0"/>
    <n v="0"/>
    <n v="12"/>
    <n v="12"/>
    <m/>
    <m/>
    <n v="0"/>
    <n v="116.79999999999998"/>
    <m/>
    <x v="12"/>
    <n v="45"/>
    <m/>
    <m/>
    <m/>
  </r>
  <r>
    <x v="1"/>
    <x v="0"/>
    <s v="2.5/4"/>
    <x v="144"/>
    <s v="سٹاک"/>
    <s v="PP"/>
    <n v="2.5"/>
    <s v="5.5-6"/>
    <s v="PP"/>
    <n v="1000"/>
    <s v="PP"/>
    <n v="11"/>
    <n v="129.41"/>
    <n v="2.75"/>
    <m/>
    <m/>
    <n v="126.66"/>
    <s v="1310.6899999999998"/>
    <m/>
    <m/>
    <m/>
    <n v="0"/>
    <n v="0"/>
    <m/>
    <m/>
    <m/>
    <m/>
    <m/>
    <m/>
    <m/>
    <m/>
    <n v="0"/>
    <n v="0"/>
    <n v="0"/>
    <n v="12"/>
    <n v="12"/>
    <m/>
    <m/>
    <n v="0"/>
    <n v="131.66"/>
    <m/>
    <x v="12"/>
    <n v="45"/>
    <m/>
    <m/>
    <m/>
  </r>
  <r>
    <x v="0"/>
    <x v="1"/>
    <s v="3/6"/>
    <x v="144"/>
    <s v="سٹاک"/>
    <s v="PP"/>
    <n v="3"/>
    <s v="5.5-6"/>
    <s v="PP"/>
    <n v="1000"/>
    <s v="PP"/>
    <n v="12"/>
    <n v="154.88999999999999"/>
    <n v="3.5999999999999996"/>
    <m/>
    <m/>
    <n v="151.29"/>
    <s v="1261.29"/>
    <m/>
    <m/>
    <m/>
    <n v="0"/>
    <n v="0"/>
    <m/>
    <m/>
    <m/>
    <m/>
    <m/>
    <m/>
    <m/>
    <m/>
    <n v="0"/>
    <n v="0"/>
    <n v="0"/>
    <n v="12"/>
    <n v="12"/>
    <m/>
    <m/>
    <n v="0"/>
    <n v="156.29"/>
    <m/>
    <x v="12"/>
    <n v="45"/>
    <m/>
    <m/>
    <m/>
  </r>
  <r>
    <x v="1"/>
    <x v="1"/>
    <s v="3/6"/>
    <x v="144"/>
    <s v="سٹاک"/>
    <s v="PP"/>
    <n v="3"/>
    <s v="5.5-6"/>
    <s v="PP"/>
    <n v="1000"/>
    <s v="PP"/>
    <n v="10"/>
    <n v="138.31"/>
    <n v="3"/>
    <m/>
    <m/>
    <n v="135.31"/>
    <s v="1261.29"/>
    <m/>
    <m/>
    <m/>
    <n v="0"/>
    <n v="0"/>
    <m/>
    <m/>
    <m/>
    <m/>
    <m/>
    <m/>
    <m/>
    <m/>
    <n v="0"/>
    <n v="0"/>
    <n v="0"/>
    <n v="12"/>
    <n v="12"/>
    <m/>
    <m/>
    <n v="0"/>
    <n v="140.31"/>
    <m/>
    <x v="12"/>
    <n v="45"/>
    <m/>
    <m/>
    <m/>
  </r>
  <r>
    <x v="0"/>
    <x v="2"/>
    <s v="8/8"/>
    <x v="144"/>
    <s v="سٹاک"/>
    <s v="PP"/>
    <n v="8"/>
    <n v="5"/>
    <s v="PP"/>
    <n v="1500"/>
    <s v="PP"/>
    <n v="6"/>
    <n v="296.44"/>
    <n v="4.8000000000000007"/>
    <m/>
    <m/>
    <n v="291.64"/>
    <s v="1755.2900000000002"/>
    <m/>
    <m/>
    <m/>
    <n v="0"/>
    <n v="0"/>
    <m/>
    <m/>
    <m/>
    <m/>
    <m/>
    <m/>
    <m/>
    <m/>
    <n v="0"/>
    <n v="0"/>
    <n v="0"/>
    <n v="12"/>
    <n v="12"/>
    <m/>
    <m/>
    <n v="0"/>
    <n v="296.64"/>
    <m/>
    <x v="12"/>
    <n v="45"/>
    <m/>
    <m/>
    <m/>
  </r>
  <r>
    <x v="1"/>
    <x v="2"/>
    <s v="8/8"/>
    <x v="144"/>
    <s v="سٹاک"/>
    <s v="PP"/>
    <n v="8"/>
    <n v="5"/>
    <s v="PP"/>
    <n v="1500"/>
    <s v="PP"/>
    <n v="1"/>
    <n v="46.2"/>
    <n v="1"/>
    <m/>
    <m/>
    <n v="45.2"/>
    <s v="1755.2900000000002"/>
    <n v="20"/>
    <m/>
    <m/>
    <n v="20"/>
    <n v="0.33333333333333331"/>
    <m/>
    <m/>
    <m/>
    <m/>
    <m/>
    <m/>
    <m/>
    <m/>
    <n v="0"/>
    <n v="0"/>
    <n v="0.33333333333333331"/>
    <n v="11.666666666666666"/>
    <n v="12"/>
    <m/>
    <m/>
    <n v="0"/>
    <n v="50.2"/>
    <m/>
    <x v="12"/>
    <n v="45"/>
    <m/>
    <m/>
    <m/>
  </r>
  <r>
    <x v="1"/>
    <x v="2"/>
    <s v="7/7"/>
    <x v="144"/>
    <s v="سٹاک"/>
    <s v="PP"/>
    <n v="7"/>
    <n v="5"/>
    <s v="PP"/>
    <n v="1500"/>
    <s v="PP"/>
    <n v="6"/>
    <n v="237.13"/>
    <n v="5.4"/>
    <m/>
    <m/>
    <n v="231.73"/>
    <s v="1540.5100000000002"/>
    <m/>
    <m/>
    <m/>
    <n v="0"/>
    <n v="0"/>
    <m/>
    <m/>
    <m/>
    <m/>
    <m/>
    <m/>
    <m/>
    <m/>
    <n v="0"/>
    <n v="0"/>
    <n v="0"/>
    <n v="12"/>
    <n v="12"/>
    <m/>
    <m/>
    <n v="0"/>
    <n v="236.73"/>
    <m/>
    <x v="12"/>
    <n v="45"/>
    <m/>
    <m/>
    <m/>
  </r>
  <r>
    <x v="0"/>
    <x v="3"/>
    <s v="7456/1"/>
    <x v="144"/>
    <s v="خواجہ فرقان ٹمبر مارکیٹ"/>
    <s v="PP"/>
    <n v="10.5"/>
    <s v="2.5-5"/>
    <s v="PP"/>
    <n v="500"/>
    <s v="PP"/>
    <n v="2"/>
    <n v="46.650000000000006"/>
    <m/>
    <n v="46"/>
    <m/>
    <n v="46.650000000000006"/>
    <s v="514.69999999999993"/>
    <n v="25"/>
    <m/>
    <m/>
    <n v="25"/>
    <n v="0.41666666666666674"/>
    <m/>
    <m/>
    <m/>
    <m/>
    <m/>
    <m/>
    <m/>
    <m/>
    <n v="0"/>
    <n v="0"/>
    <n v="0.41666666666666674"/>
    <n v="11.583333333333334"/>
    <n v="12"/>
    <m/>
    <m/>
    <n v="0"/>
    <n v="51.650000000000006"/>
    <m/>
    <x v="12"/>
    <n v="45"/>
    <m/>
    <m/>
    <m/>
  </r>
  <r>
    <x v="0"/>
    <x v="3"/>
    <s v="5361 J"/>
    <x v="144"/>
    <s v="Bandu Khan Lahore"/>
    <s v="PP"/>
    <s v="28&quot; شیٹ"/>
    <s v="4-4.5/8-9"/>
    <s v="PP"/>
    <n v="125"/>
    <s v="PP"/>
    <n v="6"/>
    <n v="279.16000000000003"/>
    <n v="19.799999999999997"/>
    <m/>
    <m/>
    <n v="259.36"/>
    <s v="259.36"/>
    <n v="60"/>
    <m/>
    <m/>
    <n v="60"/>
    <n v="1"/>
    <m/>
    <m/>
    <m/>
    <m/>
    <m/>
    <m/>
    <m/>
    <m/>
    <n v="0"/>
    <n v="0"/>
    <n v="1"/>
    <n v="11"/>
    <n v="12"/>
    <m/>
    <m/>
    <n v="0"/>
    <n v="264.36"/>
    <m/>
    <x v="12"/>
    <n v="45"/>
    <m/>
    <m/>
    <m/>
  </r>
  <r>
    <x v="0"/>
    <x v="3"/>
    <s v="7474/3"/>
    <x v="144"/>
    <s v="العمر پلاسٹک گوجرانوالہ"/>
    <s v="PP"/>
    <n v="20"/>
    <s v="8"/>
    <s v="PP"/>
    <n v="150"/>
    <s v="PP"/>
    <n v="3"/>
    <n v="165.49"/>
    <n v="6"/>
    <m/>
    <m/>
    <n v="159.49"/>
    <s v="159.49"/>
    <m/>
    <m/>
    <m/>
    <n v="0"/>
    <n v="0"/>
    <m/>
    <m/>
    <m/>
    <m/>
    <m/>
    <m/>
    <m/>
    <m/>
    <n v="0"/>
    <n v="0"/>
    <n v="0"/>
    <n v="12"/>
    <n v="12"/>
    <m/>
    <m/>
    <n v="0"/>
    <n v="164.49"/>
    <m/>
    <x v="12"/>
    <n v="45"/>
    <m/>
    <m/>
    <m/>
  </r>
  <r>
    <x v="0"/>
    <x v="3"/>
    <s v="7471/4"/>
    <x v="144"/>
    <s v="العمر پلاسٹک گوجرانوالہ"/>
    <s v="PP"/>
    <n v="20"/>
    <s v="10"/>
    <s v="PP"/>
    <n v="300"/>
    <s v="PP"/>
    <n v="3"/>
    <n v="152.37"/>
    <n v="6.8999999999999995"/>
    <m/>
    <m/>
    <n v="145.47"/>
    <s v="419.09"/>
    <m/>
    <m/>
    <m/>
    <n v="0"/>
    <n v="0"/>
    <m/>
    <m/>
    <m/>
    <m/>
    <m/>
    <m/>
    <m/>
    <m/>
    <n v="0"/>
    <n v="0"/>
    <n v="0"/>
    <n v="12"/>
    <n v="12"/>
    <m/>
    <m/>
    <n v="0"/>
    <n v="150.47"/>
    <m/>
    <x v="12"/>
    <n v="45"/>
    <m/>
    <m/>
    <m/>
  </r>
  <r>
    <x v="1"/>
    <x v="3"/>
    <s v="7471/4"/>
    <x v="144"/>
    <s v="العمر پلاسٹک گوجرانوالہ"/>
    <s v="PP"/>
    <n v="20"/>
    <s v="10"/>
    <s v="PP"/>
    <n v="300"/>
    <s v="PP"/>
    <n v="4"/>
    <n v="229.64"/>
    <n v="9.6"/>
    <m/>
    <m/>
    <n v="220.04"/>
    <s v="419.09"/>
    <m/>
    <m/>
    <m/>
    <n v="0"/>
    <n v="0"/>
    <m/>
    <m/>
    <m/>
    <m/>
    <m/>
    <m/>
    <m/>
    <m/>
    <n v="0"/>
    <n v="0"/>
    <n v="0"/>
    <n v="12"/>
    <n v="12"/>
    <m/>
    <m/>
    <n v="0"/>
    <n v="225.04"/>
    <m/>
    <x v="12"/>
    <n v="45"/>
    <m/>
    <m/>
    <m/>
  </r>
  <r>
    <x v="1"/>
    <x v="3"/>
    <s v="7471/14"/>
    <x v="144"/>
    <s v="العمر پلاسٹک گوجرانوالہ"/>
    <s v="PP"/>
    <n v="20"/>
    <s v="6"/>
    <s v="PP"/>
    <n v="500"/>
    <s v="PP"/>
    <n v="8"/>
    <n v="419.59999999999997"/>
    <n v="19.2"/>
    <m/>
    <m/>
    <n v="400.4"/>
    <s v="400.4"/>
    <m/>
    <m/>
    <m/>
    <n v="0"/>
    <n v="0"/>
    <m/>
    <m/>
    <m/>
    <m/>
    <m/>
    <m/>
    <m/>
    <m/>
    <n v="0"/>
    <n v="0"/>
    <n v="0"/>
    <n v="12"/>
    <n v="12"/>
    <m/>
    <m/>
    <n v="0"/>
    <n v="405.4"/>
    <m/>
    <x v="12"/>
    <n v="45"/>
    <m/>
    <m/>
    <m/>
  </r>
  <r>
    <x v="1"/>
    <x v="3"/>
    <s v="5394 J"/>
    <x v="144"/>
    <s v="Moazmi Plastic Sahiwal "/>
    <s v="PP"/>
    <n v="20"/>
    <s v="6-6.5"/>
    <s v="PP"/>
    <n v="125"/>
    <s v="PP"/>
    <n v="3"/>
    <n v="137.09"/>
    <n v="7.4"/>
    <m/>
    <m/>
    <n v="129.69"/>
    <s v="129.69"/>
    <m/>
    <m/>
    <m/>
    <n v="0"/>
    <n v="0"/>
    <m/>
    <m/>
    <m/>
    <m/>
    <m/>
    <m/>
    <m/>
    <m/>
    <n v="0"/>
    <n v="0"/>
    <n v="0"/>
    <n v="12"/>
    <n v="12"/>
    <m/>
    <m/>
    <n v="0"/>
    <n v="134.69"/>
    <m/>
    <x v="12"/>
    <n v="45"/>
    <m/>
    <m/>
    <m/>
  </r>
  <r>
    <x v="0"/>
    <x v="4"/>
    <s v="9/7"/>
    <x v="144"/>
    <s v="سٹاک"/>
    <s v="PP"/>
    <n v="9"/>
    <s v="5-5.5"/>
    <s v="PP"/>
    <n v="1500"/>
    <s v="PP"/>
    <n v="9"/>
    <n v="387.09999999999997"/>
    <n v="8.1"/>
    <m/>
    <m/>
    <n v="378.99999999999994"/>
    <s v="1509.0599999999997"/>
    <m/>
    <m/>
    <m/>
    <n v="0"/>
    <n v="0"/>
    <m/>
    <m/>
    <m/>
    <m/>
    <m/>
    <m/>
    <m/>
    <m/>
    <n v="0"/>
    <n v="0"/>
    <n v="0"/>
    <n v="12"/>
    <n v="12"/>
    <m/>
    <m/>
    <n v="0"/>
    <n v="383.99999999999994"/>
    <m/>
    <x v="12"/>
    <n v="45"/>
    <m/>
    <m/>
    <m/>
  </r>
  <r>
    <x v="1"/>
    <x v="4"/>
    <s v="9/7"/>
    <x v="144"/>
    <s v="سٹاک"/>
    <s v="PP"/>
    <n v="9"/>
    <s v="5-5.5"/>
    <s v="PP"/>
    <n v="1500"/>
    <s v="PP"/>
    <n v="3"/>
    <n v="167.35"/>
    <n v="3.3000000000000003"/>
    <m/>
    <m/>
    <n v="164.04999999999998"/>
    <s v="1509.0599999999997"/>
    <n v="20"/>
    <m/>
    <m/>
    <n v="20"/>
    <n v="0.33333333333333331"/>
    <m/>
    <m/>
    <m/>
    <m/>
    <m/>
    <m/>
    <m/>
    <m/>
    <n v="0"/>
    <n v="0"/>
    <n v="0.33333333333333331"/>
    <n v="11.666666666666666"/>
    <n v="12"/>
    <m/>
    <m/>
    <n v="0"/>
    <n v="169.04999999999998"/>
    <m/>
    <x v="12"/>
    <n v="45"/>
    <m/>
    <m/>
    <m/>
  </r>
  <r>
    <x v="1"/>
    <x v="4"/>
    <s v="7471/9"/>
    <x v="144"/>
    <s v="العمر پلاسٹک گوجرانوالہ"/>
    <s v="PP"/>
    <n v="14"/>
    <s v="6"/>
    <s v="PP"/>
    <n v="250"/>
    <s v="PP"/>
    <n v="6"/>
    <n v="348.38000000000005"/>
    <n v="9"/>
    <m/>
    <m/>
    <n v="339.38000000000005"/>
    <s v="409.59000000000003"/>
    <m/>
    <m/>
    <m/>
    <n v="0"/>
    <n v="0"/>
    <m/>
    <m/>
    <m/>
    <m/>
    <m/>
    <m/>
    <m/>
    <m/>
    <n v="0"/>
    <n v="0"/>
    <n v="0"/>
    <n v="12"/>
    <n v="12"/>
    <m/>
    <m/>
    <n v="0"/>
    <n v="344.38000000000005"/>
    <m/>
    <x v="12"/>
    <n v="45"/>
    <m/>
    <m/>
    <m/>
  </r>
  <r>
    <x v="0"/>
    <x v="0"/>
    <s v="2.5/4"/>
    <x v="145"/>
    <s v="سٹاک"/>
    <s v="PP"/>
    <n v="2.5"/>
    <s v="5.5-6"/>
    <s v="PP"/>
    <n v="1000"/>
    <s v="PP"/>
    <n v="12"/>
    <n v="139.38"/>
    <n v="3"/>
    <m/>
    <m/>
    <n v="136.38"/>
    <s v="1310.6899999999998"/>
    <m/>
    <m/>
    <m/>
    <n v="0"/>
    <n v="0"/>
    <m/>
    <m/>
    <m/>
    <m/>
    <m/>
    <m/>
    <m/>
    <m/>
    <n v="0"/>
    <n v="0"/>
    <n v="0"/>
    <n v="12"/>
    <n v="12"/>
    <m/>
    <m/>
    <n v="0"/>
    <n v="141.38"/>
    <m/>
    <x v="13"/>
    <n v="46"/>
    <m/>
    <m/>
    <m/>
  </r>
  <r>
    <x v="1"/>
    <x v="0"/>
    <s v="2.5/4"/>
    <x v="145"/>
    <s v="سٹاک"/>
    <s v="PP"/>
    <n v="2.5"/>
    <s v="5.5-6"/>
    <s v="PP"/>
    <n v="1000"/>
    <s v="PP"/>
    <n v="4"/>
    <n v="47.84"/>
    <n v="1"/>
    <m/>
    <m/>
    <n v="46.84"/>
    <s v="1310.6899999999998"/>
    <m/>
    <m/>
    <m/>
    <n v="0"/>
    <n v="0"/>
    <m/>
    <m/>
    <m/>
    <m/>
    <m/>
    <m/>
    <m/>
    <m/>
    <n v="0"/>
    <n v="0"/>
    <n v="0"/>
    <n v="12"/>
    <n v="12"/>
    <m/>
    <m/>
    <n v="0"/>
    <n v="51.84"/>
    <m/>
    <x v="13"/>
    <n v="46"/>
    <m/>
    <m/>
    <m/>
  </r>
  <r>
    <x v="1"/>
    <x v="0"/>
    <s v="2.5/5"/>
    <x v="145"/>
    <s v="سٹاک"/>
    <s v="PP"/>
    <n v="2.5"/>
    <s v="5.5-6"/>
    <s v="PP"/>
    <s v="20 رول بیگ"/>
    <s v="PP"/>
    <n v="3"/>
    <n v="75.03"/>
    <n v="0.75"/>
    <m/>
    <m/>
    <n v="74.28"/>
    <s v="339.37"/>
    <m/>
    <m/>
    <m/>
    <n v="0"/>
    <n v="0"/>
    <m/>
    <m/>
    <m/>
    <m/>
    <m/>
    <m/>
    <m/>
    <m/>
    <n v="0"/>
    <n v="0"/>
    <n v="0"/>
    <n v="12"/>
    <n v="12"/>
    <m/>
    <m/>
    <n v="0"/>
    <n v="79.28"/>
    <m/>
    <x v="13"/>
    <n v="46"/>
    <m/>
    <m/>
    <m/>
  </r>
  <r>
    <x v="0"/>
    <x v="1"/>
    <s v="3/6"/>
    <x v="145"/>
    <s v="سٹاک"/>
    <s v="PP"/>
    <n v="3"/>
    <s v="5.5-6"/>
    <s v="PP"/>
    <n v="1000"/>
    <s v="PP"/>
    <n v="11"/>
    <n v="140.94000000000003"/>
    <n v="3.3"/>
    <m/>
    <m/>
    <n v="137.64000000000001"/>
    <s v="1261.29"/>
    <m/>
    <m/>
    <m/>
    <n v="0"/>
    <n v="0"/>
    <m/>
    <m/>
    <n v="60"/>
    <m/>
    <m/>
    <m/>
    <m/>
    <m/>
    <n v="60"/>
    <n v="1"/>
    <n v="1"/>
    <n v="11"/>
    <n v="12"/>
    <m/>
    <m/>
    <n v="0"/>
    <n v="142.63999999999999"/>
    <m/>
    <x v="13"/>
    <n v="46"/>
    <m/>
    <m/>
    <m/>
  </r>
  <r>
    <x v="1"/>
    <x v="1"/>
    <s v="3/6"/>
    <x v="145"/>
    <s v="سٹاک"/>
    <s v="PP"/>
    <n v="3"/>
    <s v="5.5-6"/>
    <s v="PP"/>
    <n v="1000"/>
    <s v="PP"/>
    <n v="11"/>
    <n v="151.43999999999997"/>
    <n v="3.3"/>
    <m/>
    <m/>
    <n v="148.13999999999996"/>
    <s v="1261.29"/>
    <m/>
    <m/>
    <m/>
    <n v="0"/>
    <n v="0"/>
    <m/>
    <m/>
    <m/>
    <m/>
    <m/>
    <m/>
    <m/>
    <m/>
    <n v="0"/>
    <n v="0"/>
    <n v="0"/>
    <n v="12"/>
    <n v="12"/>
    <m/>
    <m/>
    <n v="0"/>
    <n v="153.13999999999996"/>
    <m/>
    <x v="13"/>
    <n v="46"/>
    <m/>
    <m/>
    <m/>
  </r>
  <r>
    <x v="0"/>
    <x v="2"/>
    <s v="7/7"/>
    <x v="145"/>
    <s v="سٹاک"/>
    <s v="PP"/>
    <n v="7"/>
    <n v="5"/>
    <s v="PP"/>
    <n v="1500"/>
    <s v="PP"/>
    <n v="7"/>
    <n v="288.45000000000005"/>
    <n v="4.8999999999999995"/>
    <m/>
    <m/>
    <n v="283.55000000000007"/>
    <s v="1540.5100000000002"/>
    <m/>
    <m/>
    <m/>
    <n v="0"/>
    <n v="0"/>
    <m/>
    <m/>
    <m/>
    <m/>
    <m/>
    <m/>
    <m/>
    <m/>
    <n v="0"/>
    <n v="0"/>
    <n v="0"/>
    <n v="12"/>
    <n v="12"/>
    <m/>
    <m/>
    <n v="0"/>
    <n v="288.55000000000007"/>
    <m/>
    <x v="13"/>
    <n v="46"/>
    <m/>
    <m/>
    <m/>
  </r>
  <r>
    <x v="1"/>
    <x v="2"/>
    <s v="7/7"/>
    <x v="145"/>
    <s v="سٹاک"/>
    <s v="PP"/>
    <n v="7"/>
    <n v="5"/>
    <s v="PP"/>
    <n v="1500"/>
    <s v="PP"/>
    <n v="7"/>
    <n v="252.88"/>
    <n v="4.8999999999999995"/>
    <m/>
    <m/>
    <n v="247.98"/>
    <s v="1540.5100000000002"/>
    <m/>
    <m/>
    <m/>
    <n v="0"/>
    <n v="0"/>
    <m/>
    <m/>
    <m/>
    <m/>
    <m/>
    <m/>
    <m/>
    <m/>
    <n v="0"/>
    <n v="0"/>
    <n v="0"/>
    <n v="12"/>
    <n v="12"/>
    <m/>
    <m/>
    <n v="0"/>
    <n v="252.98"/>
    <m/>
    <x v="13"/>
    <n v="46"/>
    <m/>
    <m/>
    <m/>
  </r>
  <r>
    <x v="0"/>
    <x v="3"/>
    <s v="7471/4"/>
    <x v="145"/>
    <s v="العمر پلاسٹک گوجرانوالہ"/>
    <s v="PP"/>
    <n v="20"/>
    <s v="10"/>
    <s v="PP"/>
    <n v="300"/>
    <s v="PP"/>
    <n v="1"/>
    <n v="55.58"/>
    <n v="2"/>
    <n v="20"/>
    <m/>
    <n v="53.58"/>
    <s v="419.09"/>
    <m/>
    <m/>
    <m/>
    <n v="0"/>
    <n v="0"/>
    <m/>
    <m/>
    <m/>
    <m/>
    <m/>
    <m/>
    <m/>
    <m/>
    <n v="0"/>
    <n v="0"/>
    <n v="0"/>
    <n v="12"/>
    <n v="12"/>
    <m/>
    <m/>
    <n v="0"/>
    <n v="58.58"/>
    <m/>
    <x v="13"/>
    <n v="46"/>
    <m/>
    <m/>
    <m/>
  </r>
  <r>
    <x v="0"/>
    <x v="3"/>
    <s v="7471/8"/>
    <x v="145"/>
    <s v="العمر پلاسٹک گوجرانوالہ"/>
    <s v="PP"/>
    <n v="16"/>
    <s v="10"/>
    <s v="PP"/>
    <n v="200"/>
    <s v="PP"/>
    <n v="4"/>
    <n v="222.39"/>
    <n v="6.4"/>
    <m/>
    <m/>
    <n v="215.98999999999998"/>
    <s v="215.98999999999998"/>
    <m/>
    <m/>
    <m/>
    <n v="0"/>
    <n v="0"/>
    <m/>
    <m/>
    <m/>
    <m/>
    <m/>
    <m/>
    <m/>
    <m/>
    <n v="0"/>
    <n v="0"/>
    <n v="0"/>
    <n v="12"/>
    <n v="12"/>
    <m/>
    <m/>
    <n v="0"/>
    <n v="220.99"/>
    <m/>
    <x v="13"/>
    <n v="46"/>
    <m/>
    <m/>
    <m/>
  </r>
  <r>
    <x v="0"/>
    <x v="3"/>
    <s v="7471/11"/>
    <x v="145"/>
    <s v="العمر پلاسٹک گوجرانوالہ"/>
    <s v="PP"/>
    <n v="16"/>
    <s v="6"/>
    <s v="PP"/>
    <n v="500"/>
    <s v="PP"/>
    <n v="3"/>
    <n v="148.02000000000001"/>
    <n v="4.8000000000000007"/>
    <m/>
    <m/>
    <n v="143.22"/>
    <s v="513.56000000000006"/>
    <m/>
    <m/>
    <m/>
    <n v="0"/>
    <n v="0"/>
    <m/>
    <m/>
    <m/>
    <m/>
    <m/>
    <m/>
    <m/>
    <m/>
    <n v="0"/>
    <n v="0"/>
    <n v="0"/>
    <n v="12"/>
    <n v="12"/>
    <m/>
    <m/>
    <n v="0"/>
    <n v="148.22"/>
    <m/>
    <x v="13"/>
    <n v="46"/>
    <m/>
    <m/>
    <m/>
  </r>
  <r>
    <x v="0"/>
    <x v="3"/>
    <s v="5383 J"/>
    <x v="145"/>
    <s v="Mubashar Iqbal Pakistan Cloth LHR"/>
    <s v="PP"/>
    <n v="16"/>
    <s v="8.5-9"/>
    <s v="PP"/>
    <n v="100"/>
    <s v="PP"/>
    <n v="2"/>
    <n v="110.25"/>
    <n v="3.2"/>
    <m/>
    <m/>
    <n v="107.05"/>
    <s v="107.05"/>
    <m/>
    <m/>
    <m/>
    <n v="0"/>
    <n v="0"/>
    <m/>
    <m/>
    <m/>
    <m/>
    <m/>
    <m/>
    <m/>
    <m/>
    <n v="0"/>
    <n v="0"/>
    <n v="0"/>
    <n v="12"/>
    <n v="12"/>
    <m/>
    <m/>
    <n v="0"/>
    <n v="112.05"/>
    <m/>
    <x v="13"/>
    <n v="46"/>
    <m/>
    <m/>
    <m/>
  </r>
  <r>
    <x v="0"/>
    <x v="3"/>
    <s v="7474/2"/>
    <x v="145"/>
    <s v="العمر پلاسٹک گوجرانوالہ"/>
    <s v="PP"/>
    <n v="16"/>
    <s v="8"/>
    <s v="PP"/>
    <n v="150"/>
    <s v="PP"/>
    <n v="4"/>
    <n v="172.26999999999998"/>
    <n v="6.4"/>
    <m/>
    <m/>
    <n v="165.86999999999998"/>
    <s v="165.86999999999998"/>
    <m/>
    <m/>
    <m/>
    <n v="0"/>
    <n v="0"/>
    <m/>
    <m/>
    <m/>
    <m/>
    <m/>
    <m/>
    <m/>
    <m/>
    <n v="0"/>
    <n v="0"/>
    <n v="0"/>
    <n v="12"/>
    <n v="12"/>
    <m/>
    <m/>
    <n v="0"/>
    <n v="170.86999999999998"/>
    <m/>
    <x v="13"/>
    <n v="46"/>
    <m/>
    <m/>
    <m/>
  </r>
  <r>
    <x v="1"/>
    <x v="3"/>
    <s v="7471/11"/>
    <x v="145"/>
    <s v="العمر پلاسٹک گوجرانوالہ"/>
    <s v="PP"/>
    <n v="16"/>
    <s v="6"/>
    <s v="PP"/>
    <n v="500"/>
    <s v="PP"/>
    <n v="7"/>
    <n v="381.54"/>
    <n v="11.200000000000001"/>
    <n v="6"/>
    <m/>
    <n v="370.34000000000003"/>
    <s v="513.56000000000006"/>
    <m/>
    <m/>
    <m/>
    <n v="0"/>
    <n v="0"/>
    <m/>
    <m/>
    <m/>
    <m/>
    <m/>
    <m/>
    <m/>
    <m/>
    <n v="0"/>
    <n v="0"/>
    <n v="0"/>
    <n v="12"/>
    <n v="12"/>
    <m/>
    <m/>
    <n v="0"/>
    <n v="375.34"/>
    <m/>
    <x v="13"/>
    <n v="46"/>
    <m/>
    <m/>
    <m/>
  </r>
  <r>
    <x v="1"/>
    <x v="3"/>
    <s v="16/1"/>
    <x v="145"/>
    <s v="سٹاک"/>
    <s v="PP"/>
    <n v="16"/>
    <n v="5"/>
    <s v="PP"/>
    <n v="600"/>
    <s v="PP"/>
    <n v="6"/>
    <n v="320.14"/>
    <n v="9.6000000000000014"/>
    <m/>
    <m/>
    <n v="310.53999999999996"/>
    <s v="424.17999999999995"/>
    <m/>
    <m/>
    <m/>
    <n v="0"/>
    <n v="0"/>
    <m/>
    <m/>
    <m/>
    <m/>
    <m/>
    <m/>
    <m/>
    <m/>
    <n v="0"/>
    <n v="0"/>
    <n v="0"/>
    <n v="12"/>
    <n v="12"/>
    <m/>
    <m/>
    <n v="0"/>
    <n v="315.53999999999996"/>
    <m/>
    <x v="13"/>
    <n v="46"/>
    <m/>
    <m/>
    <m/>
  </r>
  <r>
    <x v="0"/>
    <x v="4"/>
    <s v="7471/9"/>
    <x v="145"/>
    <s v="العمر پلاسٹک گوجرانوالہ"/>
    <s v="PP"/>
    <n v="14"/>
    <s v="6"/>
    <s v="PP"/>
    <n v="250"/>
    <s v="PP"/>
    <n v="2"/>
    <n v="73.010000000000005"/>
    <n v="2.8"/>
    <m/>
    <m/>
    <n v="70.210000000000008"/>
    <s v="409.59000000000003"/>
    <m/>
    <m/>
    <m/>
    <n v="0"/>
    <n v="0"/>
    <m/>
    <m/>
    <m/>
    <m/>
    <m/>
    <m/>
    <m/>
    <m/>
    <n v="0"/>
    <n v="0"/>
    <n v="0"/>
    <n v="12"/>
    <n v="12"/>
    <m/>
    <m/>
    <n v="0"/>
    <n v="75.209999999999994"/>
    <m/>
    <x v="13"/>
    <n v="46"/>
    <m/>
    <m/>
    <m/>
  </r>
  <r>
    <x v="0"/>
    <x v="4"/>
    <s v="7471/7"/>
    <x v="145"/>
    <s v="العمر پلاسٹک گوجرانوالہ"/>
    <s v="PP"/>
    <n v="14"/>
    <s v="10"/>
    <s v="PP"/>
    <n v="200"/>
    <s v="PP"/>
    <n v="4"/>
    <n v="219.38"/>
    <n v="5.6"/>
    <m/>
    <m/>
    <n v="213.78"/>
    <s v="213.78"/>
    <m/>
    <m/>
    <m/>
    <n v="0"/>
    <n v="0"/>
    <m/>
    <m/>
    <m/>
    <m/>
    <m/>
    <m/>
    <m/>
    <m/>
    <n v="0"/>
    <n v="0"/>
    <n v="0"/>
    <n v="12"/>
    <n v="12"/>
    <m/>
    <m/>
    <n v="0"/>
    <n v="218.78"/>
    <m/>
    <x v="13"/>
    <n v="46"/>
    <m/>
    <m/>
    <m/>
  </r>
  <r>
    <x v="0"/>
    <x v="4"/>
    <s v="14/5"/>
    <x v="145"/>
    <s v="سٹاک"/>
    <s v="PP"/>
    <n v="14"/>
    <n v="5"/>
    <s v="PP"/>
    <n v="1000"/>
    <s v="PP"/>
    <n v="3"/>
    <n v="158.70000000000002"/>
    <n v="4.1999999999999993"/>
    <m/>
    <m/>
    <n v="154.50000000000003"/>
    <s v="2546.6099999999997"/>
    <m/>
    <m/>
    <m/>
    <n v="0"/>
    <n v="0"/>
    <m/>
    <m/>
    <m/>
    <m/>
    <m/>
    <m/>
    <m/>
    <m/>
    <n v="0"/>
    <n v="0"/>
    <n v="0"/>
    <n v="12"/>
    <n v="12"/>
    <m/>
    <m/>
    <n v="0"/>
    <n v="159.50000000000003"/>
    <m/>
    <x v="13"/>
    <n v="46"/>
    <m/>
    <m/>
    <m/>
  </r>
  <r>
    <x v="0"/>
    <x v="4"/>
    <s v="7458/1"/>
    <x v="145"/>
    <s v="لیاقت لنڈا بازار"/>
    <s v="PP"/>
    <n v="14"/>
    <n v="7"/>
    <s v="PP"/>
    <n v="50"/>
    <s v="PP"/>
    <n v="1"/>
    <n v="57.69"/>
    <n v="1.4"/>
    <m/>
    <m/>
    <n v="56.29"/>
    <s v="56.29"/>
    <m/>
    <m/>
    <m/>
    <n v="0"/>
    <n v="0"/>
    <m/>
    <m/>
    <m/>
    <m/>
    <m/>
    <m/>
    <m/>
    <m/>
    <n v="0"/>
    <n v="0"/>
    <n v="0"/>
    <n v="12"/>
    <n v="12"/>
    <m/>
    <m/>
    <n v="0"/>
    <n v="61.29"/>
    <m/>
    <x v="13"/>
    <n v="46"/>
    <m/>
    <m/>
    <m/>
  </r>
  <r>
    <x v="1"/>
    <x v="4"/>
    <s v="14/5"/>
    <x v="145"/>
    <s v="سٹاک"/>
    <s v="PP"/>
    <n v="14"/>
    <n v="5"/>
    <s v="PP"/>
    <n v="1000"/>
    <s v="PP"/>
    <n v="8"/>
    <n v="446.70000000000005"/>
    <n v="11.2"/>
    <m/>
    <m/>
    <n v="435.50000000000006"/>
    <s v="2546.6099999999997"/>
    <m/>
    <m/>
    <m/>
    <n v="0"/>
    <n v="0"/>
    <m/>
    <m/>
    <m/>
    <m/>
    <m/>
    <m/>
    <m/>
    <m/>
    <n v="0"/>
    <n v="0"/>
    <n v="0"/>
    <n v="12"/>
    <n v="12"/>
    <m/>
    <m/>
    <n v="0"/>
    <n v="440.50000000000006"/>
    <m/>
    <x v="13"/>
    <n v="46"/>
    <m/>
    <m/>
    <m/>
  </r>
  <r>
    <x v="0"/>
    <x v="0"/>
    <s v="7451/1"/>
    <x v="146"/>
    <s v="ہجویری ٹریڈرز اردو بازار"/>
    <s v="PP"/>
    <n v="2"/>
    <n v="12"/>
    <s v="PP"/>
    <n v="500"/>
    <s v="PP"/>
    <n v="4"/>
    <n v="45.67"/>
    <n v="0.8"/>
    <n v="35"/>
    <m/>
    <n v="44.870000000000005"/>
    <s v="968.33999999999992"/>
    <m/>
    <n v="480"/>
    <m/>
    <n v="480"/>
    <n v="8"/>
    <m/>
    <m/>
    <m/>
    <m/>
    <m/>
    <m/>
    <m/>
    <m/>
    <n v="0"/>
    <n v="0"/>
    <n v="8"/>
    <n v="4"/>
    <n v="12"/>
    <m/>
    <m/>
    <n v="0"/>
    <n v="49.870000000000005"/>
    <m/>
    <x v="13"/>
    <n v="46"/>
    <m/>
    <m/>
    <m/>
  </r>
  <r>
    <x v="1"/>
    <x v="0"/>
    <s v="7451/1"/>
    <x v="146"/>
    <s v="ہجویری ٹریڈرز اردو بازار"/>
    <s v="PP"/>
    <n v="2"/>
    <n v="12"/>
    <s v="PP"/>
    <n v="500"/>
    <s v="PP"/>
    <n v="13"/>
    <n v="139.44"/>
    <n v="2.6"/>
    <n v="28"/>
    <m/>
    <n v="136.84"/>
    <s v="968.33999999999992"/>
    <m/>
    <m/>
    <m/>
    <n v="0"/>
    <n v="0"/>
    <m/>
    <m/>
    <m/>
    <m/>
    <m/>
    <m/>
    <m/>
    <m/>
    <n v="0"/>
    <n v="0"/>
    <n v="0"/>
    <n v="12"/>
    <n v="12"/>
    <m/>
    <m/>
    <n v="0"/>
    <n v="141.84"/>
    <m/>
    <x v="13"/>
    <n v="46"/>
    <m/>
    <m/>
    <m/>
  </r>
  <r>
    <x v="0"/>
    <x v="1"/>
    <s v="7468/1"/>
    <x v="146"/>
    <s v="عزیز ٹریڈز ہاوس لاہور"/>
    <s v="PP"/>
    <n v="3.5"/>
    <n v="8"/>
    <s v="PP"/>
    <n v="500"/>
    <s v="PP"/>
    <n v="8"/>
    <n v="114.29000000000002"/>
    <n v="2.8"/>
    <m/>
    <m/>
    <n v="111.49000000000002"/>
    <s v="515.35"/>
    <m/>
    <n v="210"/>
    <m/>
    <n v="210"/>
    <n v="3.5"/>
    <m/>
    <m/>
    <m/>
    <m/>
    <m/>
    <m/>
    <m/>
    <m/>
    <n v="0"/>
    <n v="0"/>
    <n v="3.5"/>
    <n v="8.5"/>
    <n v="12"/>
    <m/>
    <m/>
    <n v="0"/>
    <n v="116.49000000000002"/>
    <m/>
    <x v="13"/>
    <n v="46"/>
    <m/>
    <m/>
    <m/>
  </r>
  <r>
    <x v="1"/>
    <x v="1"/>
    <s v="7468/1"/>
    <x v="146"/>
    <s v="عزیز ٹریڈز ہاوس لاہور"/>
    <s v="PP"/>
    <n v="3.5"/>
    <n v="8"/>
    <s v="PP"/>
    <n v="500"/>
    <s v="PP"/>
    <n v="12"/>
    <n v="174.25999999999996"/>
    <n v="4.1999999999999993"/>
    <m/>
    <m/>
    <n v="170.05999999999997"/>
    <s v="515.35"/>
    <m/>
    <m/>
    <m/>
    <n v="0"/>
    <n v="0"/>
    <m/>
    <m/>
    <m/>
    <m/>
    <m/>
    <m/>
    <n v="30"/>
    <m/>
    <n v="30"/>
    <n v="0.5"/>
    <n v="0.5"/>
    <n v="11.5"/>
    <n v="12"/>
    <m/>
    <m/>
    <n v="0"/>
    <n v="175.05999999999997"/>
    <m/>
    <x v="13"/>
    <n v="46"/>
    <m/>
    <m/>
    <m/>
  </r>
  <r>
    <x v="0"/>
    <x v="2"/>
    <s v="7/7"/>
    <x v="146"/>
    <s v="سٹاک"/>
    <s v="PP"/>
    <n v="7"/>
    <n v="5"/>
    <s v="PP"/>
    <n v="1500"/>
    <s v="PP"/>
    <n v="6"/>
    <n v="225.29999999999998"/>
    <n v="4.1999999999999993"/>
    <m/>
    <m/>
    <n v="221.1"/>
    <s v="1540.5100000000002"/>
    <m/>
    <n v="180"/>
    <m/>
    <n v="180"/>
    <n v="3"/>
    <m/>
    <m/>
    <m/>
    <m/>
    <m/>
    <m/>
    <m/>
    <m/>
    <n v="0"/>
    <n v="0"/>
    <n v="3"/>
    <n v="9"/>
    <n v="12"/>
    <m/>
    <m/>
    <n v="0"/>
    <n v="226.1"/>
    <m/>
    <x v="13"/>
    <n v="46"/>
    <m/>
    <m/>
    <m/>
  </r>
  <r>
    <x v="1"/>
    <x v="2"/>
    <s v="7/7"/>
    <x v="146"/>
    <s v="سٹاک"/>
    <s v="PP"/>
    <n v="7"/>
    <n v="5"/>
    <s v="PP"/>
    <n v="1500"/>
    <s v="PP"/>
    <n v="8"/>
    <n v="309.13000000000005"/>
    <n v="5.6"/>
    <m/>
    <m/>
    <n v="303.53000000000003"/>
    <s v="1540.5100000000002"/>
    <m/>
    <m/>
    <m/>
    <n v="0"/>
    <n v="0"/>
    <m/>
    <m/>
    <m/>
    <m/>
    <m/>
    <m/>
    <m/>
    <m/>
    <n v="0"/>
    <n v="0"/>
    <n v="0"/>
    <n v="12"/>
    <n v="12"/>
    <m/>
    <m/>
    <n v="0"/>
    <n v="308.53000000000003"/>
    <m/>
    <x v="13"/>
    <n v="46"/>
    <m/>
    <m/>
    <m/>
  </r>
  <r>
    <x v="0"/>
    <x v="3"/>
    <s v="7471/15"/>
    <x v="146"/>
    <s v="العمر پلاسٹک گوجرانوالہ"/>
    <s v="PP"/>
    <n v="22"/>
    <s v="6"/>
    <s v="PP"/>
    <n v="250"/>
    <s v="PP"/>
    <n v="5"/>
    <n v="268.29999999999995"/>
    <n v="11"/>
    <m/>
    <m/>
    <n v="257.29999999999995"/>
    <s v="257.29999999999995"/>
    <m/>
    <n v="200"/>
    <m/>
    <n v="200"/>
    <n v="3.3333333333333335"/>
    <m/>
    <m/>
    <m/>
    <m/>
    <m/>
    <m/>
    <m/>
    <m/>
    <n v="0"/>
    <n v="0"/>
    <n v="3.3333333333333335"/>
    <n v="8.6666666666666661"/>
    <n v="12"/>
    <m/>
    <m/>
    <n v="0"/>
    <n v="262.29999999999995"/>
    <m/>
    <x v="13"/>
    <n v="46"/>
    <m/>
    <m/>
    <m/>
  </r>
  <r>
    <x v="0"/>
    <x v="3"/>
    <s v="7494/7"/>
    <x v="146"/>
    <s v="سلطان ٹریڈرز فیصل اباد"/>
    <s v="PP"/>
    <n v="22"/>
    <s v="9"/>
    <s v="PP"/>
    <n v="50"/>
    <s v="PP"/>
    <n v="1"/>
    <n v="53.75"/>
    <n v="2.2000000000000002"/>
    <m/>
    <m/>
    <n v="51.55"/>
    <s v="51.55"/>
    <m/>
    <m/>
    <m/>
    <n v="0"/>
    <n v="0"/>
    <m/>
    <m/>
    <m/>
    <m/>
    <m/>
    <m/>
    <m/>
    <m/>
    <n v="0"/>
    <n v="0"/>
    <n v="0"/>
    <n v="12"/>
    <n v="12"/>
    <m/>
    <m/>
    <n v="0"/>
    <n v="56.55"/>
    <m/>
    <x v="13"/>
    <n v="46"/>
    <m/>
    <m/>
    <m/>
  </r>
  <r>
    <x v="0"/>
    <x v="3"/>
    <s v="7474/4"/>
    <x v="146"/>
    <s v="العمر پلاسٹک گوجرانوالہ"/>
    <s v="PP"/>
    <n v="22"/>
    <s v="8"/>
    <s v="PP"/>
    <n v="150"/>
    <s v="PP"/>
    <n v="4"/>
    <n v="168.26"/>
    <n v="8.8000000000000007"/>
    <m/>
    <m/>
    <n v="159.45999999999998"/>
    <s v="159.45999999999998"/>
    <m/>
    <m/>
    <m/>
    <n v="0"/>
    <n v="0"/>
    <m/>
    <m/>
    <m/>
    <m/>
    <m/>
    <m/>
    <m/>
    <m/>
    <n v="0"/>
    <n v="0"/>
    <n v="0"/>
    <n v="12"/>
    <n v="12"/>
    <m/>
    <m/>
    <n v="0"/>
    <n v="164.45999999999998"/>
    <m/>
    <x v="13"/>
    <n v="46"/>
    <m/>
    <m/>
    <m/>
  </r>
  <r>
    <x v="0"/>
    <x v="3"/>
    <s v="7471/5"/>
    <x v="146"/>
    <s v="العمر پلاسٹک گوجرانوالہ"/>
    <s v="PP"/>
    <n v="22"/>
    <s v="10"/>
    <s v="PP"/>
    <n v="200"/>
    <s v="PP"/>
    <n v="1"/>
    <n v="33.409999999999997"/>
    <n v="2.8"/>
    <m/>
    <m/>
    <n v="30.609999999999996"/>
    <s v="185.63"/>
    <m/>
    <m/>
    <m/>
    <n v="0"/>
    <n v="0"/>
    <m/>
    <m/>
    <m/>
    <m/>
    <m/>
    <m/>
    <m/>
    <m/>
    <n v="0"/>
    <n v="0"/>
    <n v="0"/>
    <n v="12"/>
    <n v="12"/>
    <m/>
    <m/>
    <n v="0"/>
    <n v="35.61"/>
    <m/>
    <x v="13"/>
    <n v="46"/>
    <m/>
    <m/>
    <m/>
  </r>
  <r>
    <x v="1"/>
    <x v="3"/>
    <s v="7471/5"/>
    <x v="146"/>
    <s v="العمر پلاسٹک گوجرانوالہ"/>
    <s v="PP"/>
    <n v="22"/>
    <s v="10"/>
    <s v="PP"/>
    <n v="200"/>
    <s v="PP"/>
    <n v="3"/>
    <n v="163.42000000000002"/>
    <n v="8.3999999999999986"/>
    <m/>
    <m/>
    <n v="155.02000000000001"/>
    <s v="185.63"/>
    <n v="20"/>
    <m/>
    <m/>
    <n v="20"/>
    <n v="0.33333333333333331"/>
    <m/>
    <m/>
    <m/>
    <m/>
    <m/>
    <m/>
    <n v="30"/>
    <m/>
    <n v="30"/>
    <n v="0.5"/>
    <n v="0.83333333333333326"/>
    <n v="11.166666666666666"/>
    <n v="12"/>
    <m/>
    <m/>
    <n v="0"/>
    <n v="160.02000000000001"/>
    <m/>
    <x v="13"/>
    <n v="46"/>
    <m/>
    <m/>
    <m/>
  </r>
  <r>
    <x v="1"/>
    <x v="3"/>
    <s v="7471/16"/>
    <x v="146"/>
    <s v="العمر پلاسٹک گوجرانوالہ"/>
    <s v="PP"/>
    <n v="24"/>
    <s v="6"/>
    <s v="PP"/>
    <n v="250"/>
    <s v="PP"/>
    <n v="4"/>
    <n v="272.61"/>
    <n v="11.2"/>
    <m/>
    <m/>
    <n v="261.41000000000003"/>
    <s v="261.41000000000003"/>
    <m/>
    <m/>
    <m/>
    <n v="0"/>
    <n v="0"/>
    <m/>
    <m/>
    <m/>
    <m/>
    <m/>
    <m/>
    <m/>
    <m/>
    <n v="0"/>
    <n v="0"/>
    <n v="0"/>
    <n v="12"/>
    <n v="12"/>
    <m/>
    <m/>
    <n v="0"/>
    <n v="266.41000000000003"/>
    <m/>
    <x v="13"/>
    <n v="46"/>
    <m/>
    <m/>
    <m/>
  </r>
  <r>
    <x v="1"/>
    <x v="3"/>
    <s v="24/3"/>
    <x v="146"/>
    <s v="سٹاک"/>
    <s v="PP"/>
    <n v="24"/>
    <n v="5"/>
    <s v="PP"/>
    <n v="1000"/>
    <s v="PP"/>
    <n v="3"/>
    <n v="195.39"/>
    <n v="9.3000000000000007"/>
    <m/>
    <m/>
    <n v="186.08999999999997"/>
    <s v="1106.5600000000002"/>
    <m/>
    <m/>
    <m/>
    <n v="0"/>
    <n v="0"/>
    <m/>
    <m/>
    <m/>
    <m/>
    <m/>
    <m/>
    <m/>
    <m/>
    <n v="0"/>
    <n v="0"/>
    <n v="0"/>
    <n v="12"/>
    <n v="12"/>
    <m/>
    <m/>
    <n v="0"/>
    <n v="191.08999999999995"/>
    <m/>
    <x v="13"/>
    <n v="46"/>
    <m/>
    <m/>
    <m/>
  </r>
  <r>
    <x v="1"/>
    <x v="3"/>
    <s v="7494/8"/>
    <x v="146"/>
    <s v="سلطان ٹریڈرز فیصل اباد"/>
    <s v="PP"/>
    <n v="24"/>
    <s v="9"/>
    <s v="PP"/>
    <n v="50"/>
    <s v="PP"/>
    <n v="1"/>
    <n v="53.5"/>
    <n v="2.9"/>
    <m/>
    <m/>
    <n v="50.6"/>
    <s v="50.6"/>
    <m/>
    <m/>
    <m/>
    <n v="0"/>
    <n v="0"/>
    <m/>
    <m/>
    <m/>
    <m/>
    <m/>
    <m/>
    <m/>
    <m/>
    <n v="0"/>
    <n v="0"/>
    <n v="0"/>
    <n v="12"/>
    <n v="12"/>
    <m/>
    <m/>
    <n v="0"/>
    <n v="55.6"/>
    <m/>
    <x v="13"/>
    <n v="46"/>
    <m/>
    <m/>
    <m/>
  </r>
  <r>
    <x v="0"/>
    <x v="4"/>
    <s v="14/7"/>
    <x v="146"/>
    <s v="سٹاک"/>
    <s v="PP"/>
    <n v="14"/>
    <n v="5"/>
    <s v="PP"/>
    <n v="1500"/>
    <s v="PP"/>
    <n v="8"/>
    <n v="428.73"/>
    <n v="11.2"/>
    <m/>
    <m/>
    <n v="417.53000000000003"/>
    <s v="892.16000000000008"/>
    <m/>
    <n v="180"/>
    <m/>
    <n v="180"/>
    <n v="3"/>
    <m/>
    <m/>
    <m/>
    <m/>
    <m/>
    <m/>
    <m/>
    <m/>
    <n v="0"/>
    <n v="0"/>
    <n v="3"/>
    <n v="9"/>
    <n v="12"/>
    <m/>
    <m/>
    <n v="0"/>
    <n v="422.53"/>
    <m/>
    <x v="13"/>
    <n v="46"/>
    <m/>
    <m/>
    <m/>
  </r>
  <r>
    <x v="1"/>
    <x v="4"/>
    <s v="14/7"/>
    <x v="146"/>
    <s v="سٹاک"/>
    <s v="PP"/>
    <n v="14"/>
    <n v="5"/>
    <s v="PP"/>
    <n v="1500"/>
    <s v="PP"/>
    <n v="8"/>
    <n v="485.83000000000004"/>
    <n v="11.2"/>
    <m/>
    <m/>
    <n v="474.63000000000005"/>
    <s v="892.16000000000008"/>
    <m/>
    <m/>
    <m/>
    <n v="0"/>
    <n v="0"/>
    <m/>
    <m/>
    <m/>
    <m/>
    <m/>
    <m/>
    <m/>
    <m/>
    <n v="0"/>
    <n v="0"/>
    <n v="0"/>
    <n v="12"/>
    <n v="12"/>
    <m/>
    <m/>
    <n v="0"/>
    <n v="479.63000000000005"/>
    <m/>
    <x v="13"/>
    <n v="46"/>
    <m/>
    <m/>
    <m/>
  </r>
  <r>
    <x v="1"/>
    <x v="4"/>
    <s v="7489/3"/>
    <x v="146"/>
    <s v="المدینہ پلاسٹک-تالاش"/>
    <s v="PP"/>
    <n v="14"/>
    <s v="7"/>
    <s v="PP"/>
    <n v="200"/>
    <s v="PP"/>
    <n v="1"/>
    <n v="64.760000000000005"/>
    <n v="1.4"/>
    <m/>
    <m/>
    <n v="63.360000000000007"/>
    <s v="207.53000000000003"/>
    <m/>
    <m/>
    <m/>
    <n v="0"/>
    <n v="0"/>
    <m/>
    <m/>
    <m/>
    <m/>
    <m/>
    <m/>
    <m/>
    <m/>
    <n v="0"/>
    <n v="0"/>
    <n v="0"/>
    <n v="12"/>
    <n v="12"/>
    <m/>
    <m/>
    <n v="0"/>
    <n v="68.360000000000014"/>
    <m/>
    <x v="13"/>
    <n v="46"/>
    <m/>
    <m/>
    <m/>
  </r>
  <r>
    <x v="0"/>
    <x v="0"/>
    <s v="7451/1"/>
    <x v="147"/>
    <s v="ہجویری ٹریڈرز اردو بازار"/>
    <s v="PP"/>
    <n v="2"/>
    <n v="12"/>
    <s v="PP"/>
    <n v="500"/>
    <s v="PP"/>
    <n v="12"/>
    <n v="143.35999999999999"/>
    <n v="2.4000000000000004"/>
    <n v="15"/>
    <m/>
    <n v="140.95999999999998"/>
    <s v="968.33999999999992"/>
    <m/>
    <m/>
    <m/>
    <n v="0"/>
    <n v="0"/>
    <m/>
    <m/>
    <m/>
    <m/>
    <m/>
    <m/>
    <m/>
    <m/>
    <n v="0"/>
    <n v="0"/>
    <n v="0"/>
    <n v="12"/>
    <n v="12"/>
    <m/>
    <m/>
    <n v="0"/>
    <n v="145.95999999999998"/>
    <m/>
    <x v="13"/>
    <n v="46"/>
    <m/>
    <m/>
    <m/>
  </r>
  <r>
    <x v="1"/>
    <x v="0"/>
    <s v="7451/1"/>
    <x v="147"/>
    <s v="ہجویری ٹریڈرز اردو بازار"/>
    <s v="PP"/>
    <n v="2"/>
    <n v="12"/>
    <s v="PP"/>
    <n v="500"/>
    <s v="PP"/>
    <n v="12"/>
    <n v="134.94"/>
    <n v="2.4000000000000004"/>
    <n v="15"/>
    <m/>
    <n v="132.54"/>
    <s v="968.33999999999992"/>
    <m/>
    <m/>
    <m/>
    <n v="0"/>
    <n v="0"/>
    <m/>
    <m/>
    <m/>
    <m/>
    <m/>
    <m/>
    <m/>
    <m/>
    <n v="0"/>
    <n v="0"/>
    <n v="0"/>
    <n v="12"/>
    <n v="12"/>
    <m/>
    <m/>
    <n v="0"/>
    <n v="137.54"/>
    <m/>
    <x v="13"/>
    <n v="46"/>
    <m/>
    <m/>
    <m/>
  </r>
  <r>
    <x v="0"/>
    <x v="1"/>
    <s v="7468/1"/>
    <x v="147"/>
    <s v="عزیز ٹریڈز ہاوس لاہور"/>
    <s v="PP"/>
    <n v="3.5"/>
    <n v="8"/>
    <s v="PP"/>
    <n v="500"/>
    <s v="PP"/>
    <n v="13"/>
    <n v="180.64000000000001"/>
    <n v="4.55"/>
    <m/>
    <m/>
    <n v="176.09"/>
    <s v="515.35"/>
    <m/>
    <m/>
    <m/>
    <n v="0"/>
    <n v="0"/>
    <m/>
    <m/>
    <m/>
    <m/>
    <m/>
    <m/>
    <m/>
    <m/>
    <n v="0"/>
    <n v="0"/>
    <n v="0"/>
    <n v="12"/>
    <n v="12"/>
    <m/>
    <m/>
    <n v="0"/>
    <n v="181.09"/>
    <m/>
    <x v="13"/>
    <n v="46"/>
    <m/>
    <m/>
    <m/>
  </r>
  <r>
    <x v="1"/>
    <x v="1"/>
    <s v="7468/1"/>
    <x v="147"/>
    <s v="عزیز ٹریڈز ہاوس لاہور"/>
    <s v="PP"/>
    <n v="3.5"/>
    <n v="8"/>
    <s v="PP"/>
    <n v="500"/>
    <s v="PP"/>
    <n v="4"/>
    <n v="59.11"/>
    <n v="1.4"/>
    <m/>
    <m/>
    <n v="57.71"/>
    <s v="515.35"/>
    <m/>
    <m/>
    <m/>
    <n v="0"/>
    <n v="0"/>
    <m/>
    <m/>
    <m/>
    <m/>
    <m/>
    <m/>
    <m/>
    <m/>
    <n v="0"/>
    <n v="0"/>
    <n v="0"/>
    <n v="12"/>
    <n v="12"/>
    <m/>
    <m/>
    <n v="0"/>
    <n v="62.71"/>
    <m/>
    <x v="13"/>
    <n v="46"/>
    <m/>
    <m/>
    <m/>
  </r>
  <r>
    <x v="1"/>
    <x v="1"/>
    <s v="7499/9"/>
    <x v="147"/>
    <s v="آصف پلاسٹک سرگودھا"/>
    <s v="PP"/>
    <n v="3.5"/>
    <s v="4.5"/>
    <s v="PP"/>
    <n v="250"/>
    <s v="PP"/>
    <n v="7"/>
    <n v="94.820000000000007"/>
    <n v="2.4499999999999997"/>
    <m/>
    <m/>
    <n v="92.37"/>
    <s v="277.54000000000002"/>
    <m/>
    <m/>
    <m/>
    <n v="0"/>
    <n v="0"/>
    <m/>
    <m/>
    <m/>
    <m/>
    <m/>
    <m/>
    <m/>
    <m/>
    <n v="0"/>
    <n v="0"/>
    <n v="0"/>
    <n v="12"/>
    <n v="12"/>
    <m/>
    <m/>
    <n v="0"/>
    <n v="97.37"/>
    <m/>
    <x v="13"/>
    <n v="46"/>
    <m/>
    <m/>
    <m/>
  </r>
  <r>
    <x v="0"/>
    <x v="2"/>
    <s v="7/7"/>
    <x v="147"/>
    <s v="سٹاک"/>
    <s v="PP"/>
    <n v="7"/>
    <n v="5"/>
    <s v="PP"/>
    <n v="1500"/>
    <s v="PP"/>
    <n v="8"/>
    <n v="259.82"/>
    <n v="7.2"/>
    <m/>
    <m/>
    <n v="252.62"/>
    <s v="1540.5100000000002"/>
    <n v="20"/>
    <m/>
    <m/>
    <n v="20"/>
    <n v="0.33333333333333331"/>
    <m/>
    <m/>
    <m/>
    <m/>
    <m/>
    <m/>
    <m/>
    <m/>
    <n v="0"/>
    <n v="0"/>
    <n v="0.33333333333333331"/>
    <n v="11.666666666666666"/>
    <n v="12"/>
    <m/>
    <m/>
    <n v="0"/>
    <n v="257.62"/>
    <m/>
    <x v="13"/>
    <n v="46"/>
    <m/>
    <m/>
    <m/>
  </r>
  <r>
    <x v="0"/>
    <x v="2"/>
    <s v="7494/11"/>
    <x v="147"/>
    <s v="سلطان ٹریڈرز فیصل اباد"/>
    <s v="PP"/>
    <n v="10"/>
    <s v="9"/>
    <s v="PP"/>
    <n v="50"/>
    <s v="PP"/>
    <n v="1"/>
    <n v="25.76"/>
    <n v="1"/>
    <m/>
    <m/>
    <n v="24.76"/>
    <s v="108.4"/>
    <m/>
    <m/>
    <m/>
    <n v="0"/>
    <n v="0"/>
    <m/>
    <m/>
    <m/>
    <m/>
    <m/>
    <m/>
    <m/>
    <m/>
    <n v="0"/>
    <n v="0"/>
    <n v="0"/>
    <n v="12"/>
    <n v="12"/>
    <m/>
    <m/>
    <n v="0"/>
    <n v="29.76"/>
    <m/>
    <x v="13"/>
    <n v="46"/>
    <m/>
    <m/>
    <m/>
  </r>
  <r>
    <x v="1"/>
    <x v="2"/>
    <s v="7494/11"/>
    <x v="147"/>
    <s v="سلطان ٹریڈرز فیصل اباد"/>
    <s v="PP"/>
    <n v="10"/>
    <s v="9"/>
    <s v="PP"/>
    <n v="50"/>
    <s v="PP"/>
    <n v="2"/>
    <n v="85.64"/>
    <n v="2"/>
    <m/>
    <m/>
    <n v="83.64"/>
    <s v="108.4"/>
    <m/>
    <m/>
    <m/>
    <n v="0"/>
    <n v="0"/>
    <m/>
    <m/>
    <m/>
    <m/>
    <m/>
    <m/>
    <m/>
    <m/>
    <n v="0"/>
    <n v="0"/>
    <n v="0"/>
    <n v="12"/>
    <n v="12"/>
    <m/>
    <m/>
    <n v="0"/>
    <n v="88.64"/>
    <m/>
    <x v="13"/>
    <n v="46"/>
    <m/>
    <m/>
    <m/>
  </r>
  <r>
    <x v="1"/>
    <x v="2"/>
    <s v="7488/1"/>
    <x v="147"/>
    <s v="اصف پلاسٹک سرگودھا"/>
    <s v="PP"/>
    <n v="10"/>
    <s v="4.5"/>
    <s v="PP"/>
    <n v="100"/>
    <s v="PP"/>
    <n v="4"/>
    <n v="202.45"/>
    <n v="4"/>
    <m/>
    <m/>
    <n v="198.45"/>
    <s v="198.45"/>
    <m/>
    <m/>
    <m/>
    <n v="0"/>
    <n v="0"/>
    <m/>
    <m/>
    <m/>
    <m/>
    <m/>
    <m/>
    <m/>
    <m/>
    <n v="0"/>
    <n v="0"/>
    <n v="0"/>
    <n v="12"/>
    <n v="12"/>
    <m/>
    <m/>
    <n v="0"/>
    <n v="203.45"/>
    <m/>
    <x v="13"/>
    <n v="46"/>
    <m/>
    <m/>
    <m/>
  </r>
  <r>
    <x v="1"/>
    <x v="2"/>
    <s v="10/9"/>
    <x v="147"/>
    <s v="سٹاک"/>
    <s v="PP"/>
    <n v="10"/>
    <n v="5"/>
    <s v="PP"/>
    <n v="1500"/>
    <s v="PP"/>
    <n v="1"/>
    <n v="52.82"/>
    <n v="1"/>
    <m/>
    <m/>
    <n v="51.82"/>
    <s v="1582.3100000000002"/>
    <m/>
    <m/>
    <m/>
    <n v="0"/>
    <n v="0"/>
    <m/>
    <m/>
    <m/>
    <m/>
    <m/>
    <m/>
    <m/>
    <m/>
    <n v="0"/>
    <n v="0"/>
    <n v="0"/>
    <n v="12"/>
    <n v="12"/>
    <m/>
    <m/>
    <n v="0"/>
    <n v="56.82"/>
    <m/>
    <x v="13"/>
    <n v="46"/>
    <m/>
    <m/>
    <m/>
  </r>
  <r>
    <x v="0"/>
    <x v="3"/>
    <s v="24/3"/>
    <x v="147"/>
    <s v="سٹاک"/>
    <s v="PP"/>
    <n v="24"/>
    <n v="5"/>
    <s v="PP"/>
    <n v="1000"/>
    <s v="PP"/>
    <n v="11"/>
    <n v="760.63000000000011"/>
    <n v="34.1"/>
    <m/>
    <m/>
    <n v="726.53000000000009"/>
    <s v="1106.5600000000002"/>
    <m/>
    <m/>
    <m/>
    <n v="0"/>
    <n v="0"/>
    <m/>
    <m/>
    <m/>
    <m/>
    <m/>
    <m/>
    <m/>
    <m/>
    <n v="0"/>
    <n v="0"/>
    <n v="0"/>
    <n v="12"/>
    <n v="12"/>
    <m/>
    <m/>
    <n v="0"/>
    <n v="731.5300000000002"/>
    <m/>
    <x v="13"/>
    <n v="46"/>
    <m/>
    <m/>
    <m/>
  </r>
  <r>
    <x v="1"/>
    <x v="3"/>
    <s v="24/3"/>
    <x v="147"/>
    <s v="سٹاک"/>
    <s v="PP"/>
    <n v="24"/>
    <n v="5"/>
    <s v="PP"/>
    <n v="1000"/>
    <s v="PP"/>
    <n v="3"/>
    <n v="203.24"/>
    <n v="9.3000000000000007"/>
    <m/>
    <m/>
    <n v="193.94"/>
    <s v="1106.5600000000002"/>
    <n v="30"/>
    <m/>
    <m/>
    <n v="30"/>
    <n v="0.5"/>
    <m/>
    <m/>
    <m/>
    <m/>
    <m/>
    <m/>
    <m/>
    <m/>
    <n v="0"/>
    <n v="0"/>
    <n v="0.5"/>
    <n v="11.5"/>
    <n v="12"/>
    <m/>
    <m/>
    <n v="0"/>
    <n v="198.94"/>
    <m/>
    <x v="13"/>
    <n v="46"/>
    <m/>
    <m/>
    <m/>
  </r>
  <r>
    <x v="1"/>
    <x v="3"/>
    <s v="7499/6"/>
    <x v="147"/>
    <s v="آصف پلاسٹک سرگودھا"/>
    <s v="PP"/>
    <n v="24"/>
    <s v="4.5"/>
    <s v="PP"/>
    <n v="100"/>
    <s v="PP"/>
    <n v="2"/>
    <n v="110.24000000000001"/>
    <n v="6.2"/>
    <m/>
    <m/>
    <n v="104.04"/>
    <s v="104.04"/>
    <m/>
    <m/>
    <m/>
    <n v="0"/>
    <n v="0"/>
    <m/>
    <m/>
    <m/>
    <m/>
    <m/>
    <m/>
    <m/>
    <m/>
    <n v="0"/>
    <n v="0"/>
    <n v="0"/>
    <n v="12"/>
    <n v="12"/>
    <m/>
    <m/>
    <n v="0"/>
    <n v="109.04"/>
    <m/>
    <x v="13"/>
    <n v="46"/>
    <m/>
    <m/>
    <m/>
  </r>
  <r>
    <x v="1"/>
    <x v="3"/>
    <s v="5400 J"/>
    <x v="147"/>
    <s v="Raza Graments Lahore"/>
    <s v="PP"/>
    <n v="14"/>
    <s v="11.5-12"/>
    <s v="PP"/>
    <n v="1000"/>
    <s v="PP"/>
    <n v="11"/>
    <n v="551.69999999999993"/>
    <n v="18.7"/>
    <m/>
    <m/>
    <n v="532.99999999999989"/>
    <s v="1081.96"/>
    <m/>
    <m/>
    <m/>
    <n v="0"/>
    <n v="0"/>
    <m/>
    <m/>
    <m/>
    <m/>
    <m/>
    <m/>
    <m/>
    <m/>
    <n v="0"/>
    <n v="0"/>
    <n v="0"/>
    <n v="12"/>
    <n v="12"/>
    <m/>
    <m/>
    <n v="0"/>
    <n v="537.99999999999989"/>
    <m/>
    <x v="13"/>
    <n v="46"/>
    <m/>
    <m/>
    <m/>
  </r>
  <r>
    <x v="0"/>
    <x v="4"/>
    <s v="7489/3"/>
    <x v="147"/>
    <s v="المدینہ پلاسٹک-تالاش"/>
    <s v="PP"/>
    <n v="14"/>
    <s v="7"/>
    <s v="PP"/>
    <n v="200"/>
    <s v="PP"/>
    <n v="3"/>
    <n v="148.37"/>
    <n v="4.1999999999999993"/>
    <m/>
    <m/>
    <n v="144.17000000000002"/>
    <s v="207.53000000000003"/>
    <n v="20"/>
    <m/>
    <m/>
    <n v="20"/>
    <n v="0.33333333333333331"/>
    <m/>
    <m/>
    <m/>
    <m/>
    <m/>
    <m/>
    <m/>
    <m/>
    <n v="0"/>
    <n v="0"/>
    <n v="0.33333333333333331"/>
    <n v="11.666666666666666"/>
    <n v="12"/>
    <m/>
    <m/>
    <n v="0"/>
    <n v="149.17000000000002"/>
    <m/>
    <x v="13"/>
    <n v="46"/>
    <m/>
    <m/>
    <m/>
  </r>
  <r>
    <x v="0"/>
    <x v="4"/>
    <s v="7454/1"/>
    <x v="147"/>
    <s v="فہیم پلاسٹک ملتان"/>
    <s v="PP"/>
    <n v="11"/>
    <n v="7"/>
    <s v="PP"/>
    <n v="100"/>
    <s v="PP"/>
    <n v="6"/>
    <n v="320.95"/>
    <n v="6.6000000000000005"/>
    <m/>
    <m/>
    <n v="314.34999999999997"/>
    <s v="713.82999999999993"/>
    <m/>
    <m/>
    <m/>
    <n v="0"/>
    <n v="0"/>
    <m/>
    <m/>
    <m/>
    <m/>
    <m/>
    <m/>
    <m/>
    <m/>
    <n v="0"/>
    <n v="0"/>
    <n v="0"/>
    <n v="12"/>
    <n v="12"/>
    <m/>
    <m/>
    <n v="0"/>
    <n v="319.34999999999997"/>
    <m/>
    <x v="13"/>
    <n v="46"/>
    <m/>
    <m/>
    <m/>
  </r>
  <r>
    <x v="0"/>
    <x v="4"/>
    <s v="7494/2"/>
    <x v="147"/>
    <s v="سلطان ٹریڈرز فیصل اباد"/>
    <s v="PP"/>
    <n v="14"/>
    <s v="9"/>
    <s v="PP"/>
    <n v="50"/>
    <s v="PP"/>
    <n v="1"/>
    <n v="51.66"/>
    <n v="1.4"/>
    <m/>
    <m/>
    <n v="50.26"/>
    <s v="50.26"/>
    <m/>
    <m/>
    <m/>
    <n v="0"/>
    <n v="0"/>
    <m/>
    <m/>
    <m/>
    <m/>
    <m/>
    <m/>
    <m/>
    <m/>
    <n v="0"/>
    <n v="0"/>
    <n v="0"/>
    <n v="12"/>
    <n v="12"/>
    <m/>
    <m/>
    <n v="0"/>
    <n v="55.26"/>
    <m/>
    <x v="13"/>
    <n v="46"/>
    <m/>
    <m/>
    <m/>
  </r>
  <r>
    <x v="1"/>
    <x v="4"/>
    <s v="7454/1"/>
    <x v="147"/>
    <s v="فہیم پلاسٹک ملتان"/>
    <s v="PP"/>
    <n v="11"/>
    <n v="7"/>
    <s v="PP"/>
    <n v="100"/>
    <s v="PP"/>
    <n v="8"/>
    <n v="409.88"/>
    <n v="10.4"/>
    <m/>
    <m/>
    <n v="399.48"/>
    <s v="713.82999999999993"/>
    <m/>
    <m/>
    <m/>
    <n v="0"/>
    <n v="0"/>
    <m/>
    <m/>
    <m/>
    <m/>
    <m/>
    <m/>
    <m/>
    <m/>
    <n v="0"/>
    <n v="0"/>
    <n v="0"/>
    <n v="12"/>
    <n v="12"/>
    <m/>
    <m/>
    <n v="0"/>
    <n v="404.48"/>
    <m/>
    <x v="13"/>
    <n v="46"/>
    <m/>
    <m/>
    <m/>
  </r>
  <r>
    <x v="1"/>
    <x v="4"/>
    <s v="7471/1"/>
    <x v="147"/>
    <s v="العمر پلاسٹک گوجرانوالہ"/>
    <s v="PP"/>
    <n v="11"/>
    <s v="10"/>
    <s v="PP"/>
    <n v="200"/>
    <s v="PP"/>
    <n v="2"/>
    <n v="87.19"/>
    <n v="2.2000000000000002"/>
    <m/>
    <m/>
    <n v="84.99"/>
    <s v="208.07"/>
    <m/>
    <m/>
    <m/>
    <n v="0"/>
    <n v="0"/>
    <m/>
    <m/>
    <m/>
    <m/>
    <m/>
    <m/>
    <m/>
    <m/>
    <n v="0"/>
    <n v="0"/>
    <n v="0"/>
    <n v="12"/>
    <n v="12"/>
    <m/>
    <m/>
    <n v="0"/>
    <n v="89.99"/>
    <m/>
    <x v="13"/>
    <n v="46"/>
    <m/>
    <m/>
    <m/>
  </r>
  <r>
    <x v="0"/>
    <x v="0"/>
    <s v="7451/1"/>
    <x v="148"/>
    <s v="ہجویری ٹریڈرز اردو بازار"/>
    <s v="PP"/>
    <n v="2"/>
    <n v="12"/>
    <s v="PP"/>
    <n v="500"/>
    <s v="PP"/>
    <n v="6"/>
    <n v="60.239999999999995"/>
    <n v="1.2000000000000002"/>
    <m/>
    <m/>
    <n v="59.039999999999992"/>
    <s v="968.33999999999992"/>
    <n v="10"/>
    <m/>
    <m/>
    <n v="10"/>
    <n v="0.16666666666666666"/>
    <m/>
    <m/>
    <m/>
    <m/>
    <m/>
    <m/>
    <m/>
    <m/>
    <n v="0"/>
    <n v="0"/>
    <n v="0.16666666666666666"/>
    <n v="11.833333333333334"/>
    <n v="12"/>
    <m/>
    <m/>
    <n v="0"/>
    <n v="64.039999999999992"/>
    <m/>
    <x v="13"/>
    <n v="46"/>
    <m/>
    <m/>
    <m/>
  </r>
  <r>
    <x v="0"/>
    <x v="0"/>
    <s v="2.5/6"/>
    <x v="148"/>
    <s v="سٹاک"/>
    <s v="PP"/>
    <n v="2.5"/>
    <s v="5.5-6"/>
    <s v="PP"/>
    <n v="1000"/>
    <s v="PP"/>
    <n v="5"/>
    <n v="71.52"/>
    <n v="1.25"/>
    <n v="57"/>
    <m/>
    <n v="70.27"/>
    <s v="1403.2299999999998"/>
    <m/>
    <m/>
    <m/>
    <n v="0"/>
    <n v="0"/>
    <m/>
    <m/>
    <m/>
    <m/>
    <m/>
    <m/>
    <m/>
    <m/>
    <n v="0"/>
    <n v="0"/>
    <n v="0"/>
    <n v="12"/>
    <n v="12"/>
    <m/>
    <m/>
    <n v="0"/>
    <n v="75.27"/>
    <m/>
    <x v="13"/>
    <n v="46"/>
    <m/>
    <m/>
    <m/>
  </r>
  <r>
    <x v="1"/>
    <x v="0"/>
    <s v="2.5/6"/>
    <x v="148"/>
    <s v="سٹاک"/>
    <s v="PP"/>
    <n v="2.5"/>
    <s v="5.5-6"/>
    <s v="PP"/>
    <n v="1000"/>
    <s v="PP"/>
    <n v="10"/>
    <n v="130.36000000000001"/>
    <n v="2.5"/>
    <n v="58"/>
    <m/>
    <n v="127.86000000000001"/>
    <s v="1403.2299999999998"/>
    <m/>
    <m/>
    <m/>
    <n v="0"/>
    <n v="0"/>
    <m/>
    <m/>
    <m/>
    <m/>
    <m/>
    <m/>
    <m/>
    <m/>
    <n v="0"/>
    <n v="0"/>
    <n v="0"/>
    <n v="12"/>
    <n v="12"/>
    <m/>
    <m/>
    <n v="0"/>
    <n v="132.86000000000001"/>
    <m/>
    <x v="13"/>
    <n v="46"/>
    <m/>
    <m/>
    <m/>
  </r>
  <r>
    <x v="0"/>
    <x v="1"/>
    <s v="7499/9"/>
    <x v="148"/>
    <s v="آصف پلاسٹک سرگودھا"/>
    <s v="PP"/>
    <n v="3.5"/>
    <s v="4.5"/>
    <s v="PP"/>
    <n v="250"/>
    <s v="PP"/>
    <n v="10"/>
    <n v="135.49"/>
    <n v="3.5"/>
    <m/>
    <m/>
    <n v="131.99"/>
    <s v="277.54000000000002"/>
    <m/>
    <m/>
    <m/>
    <n v="0"/>
    <n v="0"/>
    <m/>
    <m/>
    <m/>
    <m/>
    <m/>
    <m/>
    <m/>
    <m/>
    <n v="0"/>
    <n v="0"/>
    <n v="0"/>
    <n v="12"/>
    <n v="12"/>
    <m/>
    <m/>
    <n v="0"/>
    <n v="136.99"/>
    <m/>
    <x v="13"/>
    <n v="46"/>
    <m/>
    <m/>
    <m/>
  </r>
  <r>
    <x v="1"/>
    <x v="1"/>
    <s v="7499/9"/>
    <x v="148"/>
    <s v="آصف پلاسٹک سرگودھا"/>
    <s v="PP"/>
    <n v="3.5"/>
    <s v="4.5"/>
    <s v="PP"/>
    <n v="250"/>
    <s v="PP"/>
    <n v="4"/>
    <n v="54.58"/>
    <n v="1.4"/>
    <m/>
    <m/>
    <n v="53.18"/>
    <s v="277.54000000000002"/>
    <m/>
    <m/>
    <m/>
    <n v="0"/>
    <n v="0"/>
    <m/>
    <m/>
    <m/>
    <m/>
    <m/>
    <m/>
    <m/>
    <m/>
    <n v="0"/>
    <n v="0"/>
    <n v="0"/>
    <n v="12"/>
    <n v="12"/>
    <m/>
    <m/>
    <n v="0"/>
    <n v="58.18"/>
    <m/>
    <x v="13"/>
    <n v="46"/>
    <m/>
    <m/>
    <m/>
  </r>
  <r>
    <x v="1"/>
    <x v="1"/>
    <s v="7488/5"/>
    <x v="148"/>
    <s v="اصف پلاسٹک سرگودھا"/>
    <s v="PP"/>
    <n v="4"/>
    <s v="4.5"/>
    <s v="PP"/>
    <n v="100"/>
    <s v="PP"/>
    <n v="5"/>
    <n v="85.58"/>
    <n v="2"/>
    <m/>
    <m/>
    <n v="83.58"/>
    <s v="432.9"/>
    <m/>
    <m/>
    <m/>
    <n v="0"/>
    <n v="0"/>
    <m/>
    <m/>
    <m/>
    <m/>
    <m/>
    <m/>
    <m/>
    <m/>
    <n v="0"/>
    <n v="0"/>
    <n v="0"/>
    <n v="12"/>
    <n v="12"/>
    <m/>
    <m/>
    <n v="0"/>
    <n v="88.58"/>
    <m/>
    <x v="13"/>
    <n v="46"/>
    <m/>
    <m/>
    <m/>
  </r>
  <r>
    <x v="0"/>
    <x v="2"/>
    <s v="10/9"/>
    <x v="148"/>
    <s v="سٹاک"/>
    <s v="PP"/>
    <n v="10"/>
    <n v="5"/>
    <s v="PP"/>
    <n v="1500"/>
    <s v="PP"/>
    <n v="8"/>
    <n v="362.65000000000009"/>
    <n v="8"/>
    <m/>
    <m/>
    <n v="354.65000000000009"/>
    <s v="1582.3100000000002"/>
    <m/>
    <m/>
    <m/>
    <n v="0"/>
    <n v="0"/>
    <m/>
    <m/>
    <m/>
    <m/>
    <m/>
    <m/>
    <m/>
    <m/>
    <n v="0"/>
    <n v="0"/>
    <n v="0"/>
    <n v="12"/>
    <n v="12"/>
    <m/>
    <m/>
    <n v="0"/>
    <n v="359.65000000000009"/>
    <m/>
    <x v="13"/>
    <n v="46"/>
    <m/>
    <m/>
    <m/>
  </r>
  <r>
    <x v="1"/>
    <x v="2"/>
    <s v="10/9"/>
    <x v="148"/>
    <s v="سٹاک"/>
    <s v="PP"/>
    <n v="10"/>
    <n v="5"/>
    <s v="PP"/>
    <n v="1500"/>
    <s v="PP"/>
    <n v="7"/>
    <n v="347.98999999999995"/>
    <n v="8.4"/>
    <m/>
    <m/>
    <n v="339.59"/>
    <s v="1582.3100000000002"/>
    <m/>
    <m/>
    <m/>
    <n v="0"/>
    <n v="0"/>
    <m/>
    <m/>
    <m/>
    <m/>
    <m/>
    <m/>
    <m/>
    <m/>
    <n v="0"/>
    <n v="0"/>
    <n v="0"/>
    <n v="12"/>
    <n v="12"/>
    <m/>
    <m/>
    <n v="0"/>
    <n v="344.59"/>
    <m/>
    <x v="13"/>
    <n v="46"/>
    <m/>
    <m/>
    <m/>
  </r>
  <r>
    <x v="0"/>
    <x v="3"/>
    <s v="5400 J"/>
    <x v="148"/>
    <s v="Raza Graments Lahore"/>
    <s v="PP"/>
    <n v="14"/>
    <s v="11.5-12"/>
    <s v="PP"/>
    <n v="1000"/>
    <s v="PP"/>
    <n v="12"/>
    <n v="565.76"/>
    <n v="16.799999999999997"/>
    <m/>
    <m/>
    <n v="548.96"/>
    <s v="1081.96"/>
    <n v="30"/>
    <m/>
    <m/>
    <n v="30"/>
    <n v="0.5"/>
    <m/>
    <m/>
    <m/>
    <m/>
    <m/>
    <m/>
    <n v="120"/>
    <m/>
    <n v="120"/>
    <n v="2"/>
    <n v="2.5"/>
    <n v="9.5"/>
    <n v="12"/>
    <m/>
    <m/>
    <n v="0"/>
    <n v="553.96"/>
    <m/>
    <x v="13"/>
    <n v="46"/>
    <m/>
    <m/>
    <m/>
  </r>
  <r>
    <x v="0"/>
    <x v="3"/>
    <s v="7478/1"/>
    <x v="148"/>
    <s v="منور قریشی میانوالی"/>
    <s v="PP"/>
    <n v="14"/>
    <s v="5"/>
    <s v="PP"/>
    <n v="100"/>
    <s v="PP"/>
    <n v="2"/>
    <n v="98.990000000000009"/>
    <n v="3.4"/>
    <m/>
    <m/>
    <n v="95.59"/>
    <s v="343.53"/>
    <m/>
    <m/>
    <m/>
    <n v="0"/>
    <n v="0"/>
    <m/>
    <m/>
    <m/>
    <m/>
    <m/>
    <m/>
    <m/>
    <m/>
    <n v="0"/>
    <n v="0"/>
    <n v="0"/>
    <n v="12"/>
    <n v="12"/>
    <m/>
    <m/>
    <n v="0"/>
    <n v="100.59"/>
    <m/>
    <x v="13"/>
    <n v="46"/>
    <m/>
    <m/>
    <m/>
  </r>
  <r>
    <x v="1"/>
    <x v="3"/>
    <s v="7478/1"/>
    <x v="148"/>
    <s v="منور قریشی میانوالی"/>
    <s v="PP"/>
    <n v="14"/>
    <s v="5"/>
    <s v="PP"/>
    <n v="100"/>
    <s v="PP"/>
    <n v="6"/>
    <n v="258.14"/>
    <n v="10.199999999999999"/>
    <m/>
    <m/>
    <n v="247.94"/>
    <s v="343.53"/>
    <n v="20"/>
    <m/>
    <m/>
    <n v="20"/>
    <n v="0.33333333333333331"/>
    <m/>
    <m/>
    <m/>
    <m/>
    <m/>
    <m/>
    <n v="80"/>
    <m/>
    <n v="80"/>
    <n v="1.3333333333333333"/>
    <n v="1.6666666666666663"/>
    <n v="10.333333333333334"/>
    <n v="12"/>
    <m/>
    <m/>
    <n v="0"/>
    <n v="252.94"/>
    <m/>
    <x v="13"/>
    <n v="46"/>
    <m/>
    <m/>
    <m/>
  </r>
  <r>
    <x v="1"/>
    <x v="3"/>
    <s v="7504/4"/>
    <x v="148"/>
    <s v="رمضان پلاسٹک سیالکوٹ"/>
    <s v="PP"/>
    <n v="14"/>
    <s v="7"/>
    <s v="PP"/>
    <n v="50"/>
    <s v="PP"/>
    <n v="2"/>
    <n v="60.099999999999994"/>
    <n v="3.4"/>
    <m/>
    <m/>
    <n v="56.699999999999996"/>
    <s v="56.699999999999996"/>
    <m/>
    <m/>
    <m/>
    <n v="0"/>
    <n v="0"/>
    <m/>
    <m/>
    <m/>
    <m/>
    <m/>
    <m/>
    <m/>
    <m/>
    <n v="0"/>
    <n v="0"/>
    <n v="0"/>
    <n v="12"/>
    <n v="12"/>
    <m/>
    <m/>
    <n v="0"/>
    <n v="61.7"/>
    <m/>
    <x v="13"/>
    <n v="46"/>
    <m/>
    <m/>
    <m/>
  </r>
  <r>
    <x v="1"/>
    <x v="3"/>
    <s v="7489/5"/>
    <x v="148"/>
    <s v="المدینہ پلاسٹک-تالاش"/>
    <s v="PP"/>
    <n v="17"/>
    <s v="7"/>
    <s v="PP"/>
    <n v="200"/>
    <s v="PP"/>
    <n v="4"/>
    <n v="198.5"/>
    <n v="6.8"/>
    <m/>
    <m/>
    <n v="191.7"/>
    <s v="1675.6100000000001"/>
    <m/>
    <m/>
    <m/>
    <n v="0"/>
    <n v="0"/>
    <m/>
    <m/>
    <m/>
    <m/>
    <m/>
    <m/>
    <m/>
    <m/>
    <n v="0"/>
    <n v="0"/>
    <n v="0"/>
    <n v="12"/>
    <n v="12"/>
    <m/>
    <m/>
    <n v="0"/>
    <n v="196.7"/>
    <m/>
    <x v="13"/>
    <n v="46"/>
    <m/>
    <m/>
    <m/>
  </r>
  <r>
    <x v="0"/>
    <x v="4"/>
    <s v="7471/1"/>
    <x v="148"/>
    <s v="العمر پلاسٹک گوجرانوالہ"/>
    <s v="PP"/>
    <n v="11"/>
    <s v="10"/>
    <s v="PP"/>
    <n v="200"/>
    <s v="PP"/>
    <n v="4"/>
    <n v="127.48"/>
    <n v="4.4000000000000004"/>
    <m/>
    <m/>
    <n v="123.08"/>
    <s v="208.07"/>
    <m/>
    <m/>
    <m/>
    <n v="0"/>
    <n v="0"/>
    <m/>
    <m/>
    <m/>
    <m/>
    <m/>
    <m/>
    <m/>
    <m/>
    <n v="0"/>
    <n v="0"/>
    <n v="0"/>
    <n v="12"/>
    <n v="12"/>
    <m/>
    <m/>
    <n v="0"/>
    <n v="128.07999999999998"/>
    <m/>
    <x v="13"/>
    <n v="46"/>
    <m/>
    <m/>
    <m/>
  </r>
  <r>
    <x v="0"/>
    <x v="4"/>
    <s v="11/6"/>
    <x v="148"/>
    <s v="سٹاک"/>
    <s v="PP"/>
    <n v="11"/>
    <s v="5-5.5"/>
    <s v="PP"/>
    <n v="1500"/>
    <s v="PP"/>
    <n v="8"/>
    <n v="422.58999999999992"/>
    <n v="8.8000000000000007"/>
    <m/>
    <m/>
    <n v="413.78999999999991"/>
    <s v="1655.73"/>
    <m/>
    <m/>
    <m/>
    <n v="0"/>
    <n v="0"/>
    <m/>
    <m/>
    <m/>
    <m/>
    <m/>
    <m/>
    <m/>
    <m/>
    <n v="0"/>
    <n v="0"/>
    <n v="0"/>
    <n v="12"/>
    <n v="12"/>
    <m/>
    <m/>
    <n v="0"/>
    <n v="418.78999999999991"/>
    <m/>
    <x v="13"/>
    <n v="46"/>
    <m/>
    <m/>
    <m/>
  </r>
  <r>
    <x v="1"/>
    <x v="4"/>
    <s v="11/6"/>
    <x v="148"/>
    <s v="سٹاک"/>
    <s v="PP"/>
    <n v="11"/>
    <s v="5-5.5"/>
    <s v="PP"/>
    <n v="1500"/>
    <s v="PP"/>
    <n v="9"/>
    <n v="532.5100000000001"/>
    <n v="11.700000000000001"/>
    <m/>
    <m/>
    <n v="520.81000000000006"/>
    <s v="1655.73"/>
    <m/>
    <m/>
    <m/>
    <n v="0"/>
    <n v="0"/>
    <m/>
    <m/>
    <m/>
    <m/>
    <m/>
    <m/>
    <m/>
    <m/>
    <n v="0"/>
    <n v="0"/>
    <n v="0"/>
    <n v="12"/>
    <n v="12"/>
    <m/>
    <m/>
    <n v="0"/>
    <n v="525.81000000000006"/>
    <m/>
    <x v="13"/>
    <n v="46"/>
    <m/>
    <m/>
    <m/>
  </r>
  <r>
    <x v="0"/>
    <x v="0"/>
    <s v="2.5/6"/>
    <x v="149"/>
    <s v="سٹاک"/>
    <s v="PP"/>
    <n v="2.5"/>
    <s v="5.5-6"/>
    <s v="PP"/>
    <n v="1000"/>
    <s v="PP"/>
    <n v="9"/>
    <n v="117.58"/>
    <n v="1.8"/>
    <n v="40"/>
    <m/>
    <n v="115.78"/>
    <s v="1403.2299999999998"/>
    <m/>
    <m/>
    <m/>
    <n v="0"/>
    <n v="0"/>
    <m/>
    <m/>
    <m/>
    <m/>
    <m/>
    <m/>
    <m/>
    <m/>
    <n v="0"/>
    <n v="0"/>
    <n v="0"/>
    <n v="12"/>
    <n v="12"/>
    <m/>
    <m/>
    <n v="0"/>
    <n v="120.78"/>
    <m/>
    <x v="13"/>
    <n v="46"/>
    <m/>
    <m/>
    <m/>
  </r>
  <r>
    <x v="1"/>
    <x v="0"/>
    <s v="2.5/6"/>
    <x v="149"/>
    <s v="سٹاک"/>
    <s v="PP"/>
    <n v="2.5"/>
    <s v="5.5-6"/>
    <s v="PP"/>
    <n v="1000"/>
    <s v="PP"/>
    <n v="11"/>
    <n v="141.17999999999998"/>
    <n v="2.2000000000000002"/>
    <n v="30"/>
    <m/>
    <n v="138.97999999999999"/>
    <s v="1403.2299999999998"/>
    <m/>
    <m/>
    <m/>
    <n v="0"/>
    <n v="0"/>
    <m/>
    <m/>
    <m/>
    <m/>
    <m/>
    <m/>
    <m/>
    <m/>
    <n v="0"/>
    <n v="0"/>
    <n v="0"/>
    <n v="12"/>
    <n v="12"/>
    <m/>
    <m/>
    <n v="0"/>
    <n v="143.97999999999999"/>
    <m/>
    <x v="13"/>
    <n v="46"/>
    <m/>
    <m/>
    <m/>
  </r>
  <r>
    <x v="0"/>
    <x v="1"/>
    <s v="7488/5"/>
    <x v="149"/>
    <s v="اصف پلاسٹک سرگودھا"/>
    <s v="PP"/>
    <n v="4"/>
    <s v="4.5"/>
    <s v="PP"/>
    <n v="100"/>
    <s v="PP"/>
    <n v="9"/>
    <n v="144.14999999999998"/>
    <n v="3.6"/>
    <m/>
    <m/>
    <n v="140.54999999999998"/>
    <s v="432.9"/>
    <m/>
    <m/>
    <m/>
    <n v="0"/>
    <n v="0"/>
    <m/>
    <m/>
    <m/>
    <m/>
    <m/>
    <m/>
    <m/>
    <m/>
    <n v="0"/>
    <n v="0"/>
    <n v="0"/>
    <n v="12"/>
    <n v="12"/>
    <m/>
    <m/>
    <n v="0"/>
    <n v="145.54999999999998"/>
    <m/>
    <x v="13"/>
    <n v="46"/>
    <m/>
    <m/>
    <m/>
  </r>
  <r>
    <x v="1"/>
    <x v="1"/>
    <s v="7488/5"/>
    <x v="149"/>
    <s v="اصف پلاسٹک سرگودھا"/>
    <s v="PP"/>
    <n v="4"/>
    <s v="4.5"/>
    <s v="PP"/>
    <n v="100"/>
    <s v="PP"/>
    <n v="6"/>
    <n v="101.68"/>
    <n v="2.4000000000000004"/>
    <m/>
    <m/>
    <n v="99.28"/>
    <s v="432.9"/>
    <m/>
    <m/>
    <m/>
    <n v="0"/>
    <n v="0"/>
    <m/>
    <m/>
    <m/>
    <m/>
    <m/>
    <m/>
    <m/>
    <m/>
    <n v="0"/>
    <n v="0"/>
    <n v="0"/>
    <n v="12"/>
    <n v="12"/>
    <m/>
    <m/>
    <n v="0"/>
    <n v="104.28"/>
    <m/>
    <x v="13"/>
    <n v="46"/>
    <m/>
    <m/>
    <m/>
  </r>
  <r>
    <x v="1"/>
    <x v="1"/>
    <s v="4/8"/>
    <x v="149"/>
    <s v="سٹاک"/>
    <s v="PP"/>
    <n v="4"/>
    <s v="5-5.5"/>
    <s v="PP"/>
    <n v="1000"/>
    <s v="PP"/>
    <n v="5"/>
    <n v="88.830000000000013"/>
    <n v="2"/>
    <m/>
    <m/>
    <n v="86.830000000000013"/>
    <s v="1047"/>
    <m/>
    <m/>
    <m/>
    <n v="0"/>
    <n v="0"/>
    <m/>
    <m/>
    <m/>
    <m/>
    <m/>
    <m/>
    <m/>
    <m/>
    <n v="0"/>
    <n v="0"/>
    <n v="0"/>
    <n v="12"/>
    <n v="12"/>
    <m/>
    <m/>
    <n v="0"/>
    <n v="91.830000000000013"/>
    <m/>
    <x v="13"/>
    <n v="46"/>
    <m/>
    <m/>
    <m/>
  </r>
  <r>
    <x v="0"/>
    <x v="2"/>
    <s v="10/9"/>
    <x v="149"/>
    <s v="سٹاک"/>
    <s v="PP"/>
    <n v="10"/>
    <n v="5"/>
    <s v="PP"/>
    <n v="1500"/>
    <s v="PP"/>
    <n v="6"/>
    <n v="321.82"/>
    <n v="6"/>
    <m/>
    <m/>
    <n v="315.82"/>
    <s v="1582.3100000000002"/>
    <m/>
    <m/>
    <m/>
    <n v="0"/>
    <n v="0"/>
    <m/>
    <m/>
    <m/>
    <m/>
    <m/>
    <m/>
    <m/>
    <m/>
    <n v="0"/>
    <n v="0"/>
    <n v="0"/>
    <n v="12"/>
    <n v="12"/>
    <m/>
    <m/>
    <n v="0"/>
    <n v="320.82"/>
    <m/>
    <x v="13"/>
    <n v="46"/>
    <m/>
    <m/>
    <m/>
  </r>
  <r>
    <x v="1"/>
    <x v="2"/>
    <s v="10/9"/>
    <x v="149"/>
    <s v="سٹاک"/>
    <s v="PP"/>
    <n v="10"/>
    <n v="5"/>
    <s v="PP"/>
    <n v="1500"/>
    <s v="PP"/>
    <n v="6"/>
    <n v="314.11"/>
    <n v="6"/>
    <m/>
    <m/>
    <n v="308.11"/>
    <s v="1582.3100000000002"/>
    <m/>
    <m/>
    <m/>
    <n v="0"/>
    <n v="0"/>
    <m/>
    <m/>
    <m/>
    <m/>
    <m/>
    <m/>
    <m/>
    <m/>
    <n v="0"/>
    <n v="0"/>
    <n v="0"/>
    <n v="12"/>
    <n v="12"/>
    <m/>
    <m/>
    <n v="0"/>
    <n v="313.11"/>
    <m/>
    <x v="13"/>
    <n v="46"/>
    <m/>
    <m/>
    <m/>
  </r>
  <r>
    <x v="0"/>
    <x v="3"/>
    <s v="7489/5"/>
    <x v="149"/>
    <s v="المدینہ پلاسٹک-تالاش"/>
    <s v="PP"/>
    <n v="17"/>
    <s v="7"/>
    <s v="PP"/>
    <n v="200"/>
    <s v="PP"/>
    <n v="12"/>
    <n v="581.19000000000005"/>
    <n v="20.399999999999999"/>
    <m/>
    <m/>
    <n v="560.79000000000008"/>
    <s v="1675.6100000000001"/>
    <m/>
    <m/>
    <m/>
    <n v="0"/>
    <n v="0"/>
    <m/>
    <m/>
    <m/>
    <m/>
    <m/>
    <m/>
    <m/>
    <m/>
    <n v="0"/>
    <n v="0"/>
    <n v="0"/>
    <n v="12"/>
    <n v="12"/>
    <m/>
    <m/>
    <n v="0"/>
    <n v="565.79000000000008"/>
    <m/>
    <x v="13"/>
    <n v="46"/>
    <m/>
    <m/>
    <m/>
  </r>
  <r>
    <x v="0"/>
    <x v="3"/>
    <s v="2434 F"/>
    <x v="149"/>
    <s v="Usman Amin"/>
    <s v="PP"/>
    <n v="21"/>
    <s v="24"/>
    <s v="PP"/>
    <n v="300"/>
    <s v="PP"/>
    <n v="3"/>
    <n v="112.44"/>
    <n v="6.3000000000000007"/>
    <m/>
    <m/>
    <n v="106.14"/>
    <s v="462.54"/>
    <m/>
    <m/>
    <m/>
    <n v="0"/>
    <n v="0"/>
    <m/>
    <m/>
    <m/>
    <m/>
    <m/>
    <m/>
    <m/>
    <m/>
    <n v="0"/>
    <n v="0"/>
    <n v="0"/>
    <n v="12"/>
    <n v="12"/>
    <m/>
    <m/>
    <n v="0"/>
    <n v="111.14"/>
    <m/>
    <x v="13"/>
    <n v="46"/>
    <m/>
    <m/>
    <m/>
  </r>
  <r>
    <x v="1"/>
    <x v="3"/>
    <s v="2434 F"/>
    <x v="149"/>
    <s v="Usman Amin"/>
    <s v="PP"/>
    <n v="21"/>
    <s v="24"/>
    <s v="PP"/>
    <n v="300"/>
    <s v="PP"/>
    <n v="10"/>
    <n v="382.40000000000003"/>
    <n v="26"/>
    <m/>
    <m/>
    <n v="356.40000000000003"/>
    <s v="462.54"/>
    <n v="25"/>
    <m/>
    <m/>
    <n v="25"/>
    <n v="0.41666666666666674"/>
    <m/>
    <m/>
    <m/>
    <m/>
    <m/>
    <m/>
    <m/>
    <m/>
    <n v="0"/>
    <n v="0"/>
    <n v="0.41666666666666674"/>
    <n v="11.583333333333334"/>
    <n v="12"/>
    <m/>
    <m/>
    <n v="0"/>
    <n v="361.4"/>
    <m/>
    <x v="13"/>
    <n v="46"/>
    <m/>
    <m/>
    <m/>
  </r>
  <r>
    <x v="1"/>
    <x v="3"/>
    <s v="7500/24"/>
    <x v="149"/>
    <s v="ہیڈ افس لاہور"/>
    <s v="PP"/>
    <n v="21"/>
    <s v="7"/>
    <s v="PP"/>
    <n v="250"/>
    <s v="PP"/>
    <n v="4"/>
    <n v="210.93"/>
    <n v="8.4"/>
    <m/>
    <m/>
    <n v="202.53"/>
    <s v="202.53"/>
    <m/>
    <m/>
    <m/>
    <n v="0"/>
    <n v="0"/>
    <m/>
    <m/>
    <m/>
    <m/>
    <m/>
    <m/>
    <m/>
    <m/>
    <n v="0"/>
    <n v="0"/>
    <n v="0"/>
    <n v="12"/>
    <n v="12"/>
    <m/>
    <m/>
    <n v="0"/>
    <n v="207.53"/>
    <m/>
    <x v="13"/>
    <n v="46"/>
    <m/>
    <m/>
    <m/>
  </r>
  <r>
    <x v="1"/>
    <x v="3"/>
    <s v="7489/5"/>
    <x v="149"/>
    <s v="المدینہ پلاسٹک-تالاش"/>
    <s v="PP"/>
    <n v="17"/>
    <s v="7"/>
    <s v="PP"/>
    <n v="200"/>
    <s v="PP"/>
    <n v="2"/>
    <n v="113.08"/>
    <n v="3.9"/>
    <m/>
    <m/>
    <n v="109.17999999999999"/>
    <s v="1675.6100000000001"/>
    <m/>
    <m/>
    <m/>
    <n v="0"/>
    <n v="0"/>
    <m/>
    <m/>
    <m/>
    <m/>
    <m/>
    <m/>
    <m/>
    <m/>
    <n v="0"/>
    <n v="0"/>
    <n v="0"/>
    <n v="12"/>
    <n v="12"/>
    <m/>
    <m/>
    <n v="0"/>
    <n v="114.18"/>
    <m/>
    <x v="13"/>
    <n v="46"/>
    <m/>
    <m/>
    <m/>
  </r>
  <r>
    <x v="0"/>
    <x v="4"/>
    <s v="11/6"/>
    <x v="149"/>
    <s v="سٹاک"/>
    <s v="PP"/>
    <n v="11"/>
    <s v="5-5.5"/>
    <s v="PP"/>
    <n v="1500"/>
    <s v="PP"/>
    <n v="10"/>
    <n v="496.66"/>
    <n v="11"/>
    <m/>
    <m/>
    <n v="485.66"/>
    <s v="1655.73"/>
    <m/>
    <m/>
    <m/>
    <n v="0"/>
    <n v="0"/>
    <m/>
    <m/>
    <m/>
    <m/>
    <m/>
    <m/>
    <m/>
    <m/>
    <n v="0"/>
    <n v="0"/>
    <n v="0"/>
    <n v="12"/>
    <n v="12"/>
    <m/>
    <m/>
    <n v="0"/>
    <n v="490.66"/>
    <m/>
    <x v="13"/>
    <n v="46"/>
    <m/>
    <m/>
    <m/>
  </r>
  <r>
    <x v="1"/>
    <x v="4"/>
    <s v="11/6"/>
    <x v="149"/>
    <s v="سٹاک"/>
    <s v="PP"/>
    <n v="11"/>
    <s v="5-5.5"/>
    <s v="PP"/>
    <n v="1500"/>
    <s v="PP"/>
    <n v="4"/>
    <n v="239.87"/>
    <n v="4.4000000000000004"/>
    <m/>
    <m/>
    <n v="235.47"/>
    <s v="1655.73"/>
    <n v="15"/>
    <m/>
    <m/>
    <n v="15"/>
    <n v="0.25"/>
    <m/>
    <m/>
    <m/>
    <m/>
    <m/>
    <m/>
    <m/>
    <m/>
    <n v="0"/>
    <n v="0"/>
    <n v="0.25"/>
    <n v="11.75"/>
    <n v="12"/>
    <m/>
    <m/>
    <n v="0"/>
    <n v="240.47"/>
    <m/>
    <x v="13"/>
    <n v="46"/>
    <m/>
    <m/>
    <m/>
  </r>
  <r>
    <x v="1"/>
    <x v="4"/>
    <s v="7494/10"/>
    <x v="149"/>
    <s v="سلطان ٹریڈرز فیصل اباد"/>
    <s v="PP"/>
    <n v="26"/>
    <s v="9"/>
    <s v="PP"/>
    <n v="50"/>
    <s v="PP"/>
    <n v="2"/>
    <n v="58.69"/>
    <n v="3.1100000000000003"/>
    <m/>
    <m/>
    <n v="55.58"/>
    <s v="55.58"/>
    <m/>
    <m/>
    <m/>
    <n v="0"/>
    <n v="0"/>
    <m/>
    <m/>
    <m/>
    <m/>
    <m/>
    <m/>
    <m/>
    <m/>
    <n v="0"/>
    <n v="0"/>
    <n v="0"/>
    <n v="12"/>
    <n v="12"/>
    <m/>
    <m/>
    <n v="0"/>
    <n v="60.58"/>
    <m/>
    <x v="13"/>
    <n v="46"/>
    <m/>
    <m/>
    <m/>
  </r>
  <r>
    <x v="1"/>
    <x v="4"/>
    <s v="7500/17"/>
    <x v="149"/>
    <s v="ہیڈ افس لاہور"/>
    <s v="PP"/>
    <n v="13"/>
    <s v="7"/>
    <s v="PP"/>
    <n v="250"/>
    <s v="PP"/>
    <n v="1"/>
    <n v="66.099999999999994"/>
    <n v="1.3"/>
    <m/>
    <m/>
    <n v="64.8"/>
    <s v="599.43000000000006"/>
    <m/>
    <m/>
    <m/>
    <n v="0"/>
    <n v="0"/>
    <m/>
    <m/>
    <m/>
    <m/>
    <m/>
    <m/>
    <m/>
    <m/>
    <n v="0"/>
    <n v="0"/>
    <n v="0"/>
    <n v="12"/>
    <n v="12"/>
    <m/>
    <m/>
    <n v="0"/>
    <n v="69.8"/>
    <m/>
    <x v="13"/>
    <n v="46"/>
    <m/>
    <m/>
    <m/>
  </r>
  <r>
    <x v="1"/>
    <x v="4"/>
    <s v="7499/1"/>
    <x v="149"/>
    <s v="آصف پلاسٹک سرگودھا"/>
    <s v="PP"/>
    <n v="11"/>
    <s v="4.5"/>
    <s v="PP"/>
    <n v="100"/>
    <s v="PP"/>
    <n v="4"/>
    <n v="116.29"/>
    <n v="4.4000000000000004"/>
    <m/>
    <m/>
    <n v="111.89"/>
    <s v="111.89"/>
    <m/>
    <m/>
    <m/>
    <n v="0"/>
    <n v="0"/>
    <m/>
    <m/>
    <m/>
    <m/>
    <m/>
    <m/>
    <m/>
    <m/>
    <n v="0"/>
    <n v="0"/>
    <n v="0"/>
    <n v="12"/>
    <n v="12"/>
    <m/>
    <m/>
    <n v="0"/>
    <n v="116.89"/>
    <m/>
    <x v="13"/>
    <n v="46"/>
    <m/>
    <m/>
    <m/>
  </r>
  <r>
    <x v="0"/>
    <x v="0"/>
    <s v="2.5/6"/>
    <x v="150"/>
    <s v="سٹاک"/>
    <s v="PP"/>
    <n v="2.5"/>
    <s v="5.5-6"/>
    <s v="PP"/>
    <n v="1000"/>
    <s v="PP"/>
    <n v="9"/>
    <n v="113.47"/>
    <n v="1.8"/>
    <n v="35"/>
    <m/>
    <n v="111.67"/>
    <s v="1403.2299999999998"/>
    <m/>
    <m/>
    <m/>
    <n v="0"/>
    <n v="0"/>
    <m/>
    <m/>
    <m/>
    <m/>
    <m/>
    <m/>
    <m/>
    <m/>
    <n v="0"/>
    <n v="0"/>
    <n v="0"/>
    <n v="12"/>
    <n v="12"/>
    <m/>
    <m/>
    <n v="0"/>
    <n v="116.67"/>
    <m/>
    <x v="13"/>
    <n v="46"/>
    <m/>
    <m/>
    <m/>
  </r>
  <r>
    <x v="1"/>
    <x v="0"/>
    <s v="2.5/6"/>
    <x v="150"/>
    <s v="سٹاک"/>
    <s v="PP"/>
    <n v="2.5"/>
    <s v="5.5-6"/>
    <s v="PP"/>
    <n v="1000"/>
    <s v="PP"/>
    <n v="11"/>
    <n v="136.27000000000001"/>
    <n v="2.2000000000000002"/>
    <n v="44"/>
    <m/>
    <n v="134.07000000000002"/>
    <s v="1403.2299999999998"/>
    <m/>
    <m/>
    <m/>
    <n v="0"/>
    <n v="0"/>
    <m/>
    <m/>
    <m/>
    <m/>
    <m/>
    <m/>
    <m/>
    <m/>
    <n v="0"/>
    <n v="0"/>
    <n v="0"/>
    <n v="12"/>
    <n v="12"/>
    <m/>
    <m/>
    <n v="0"/>
    <n v="139.07000000000002"/>
    <m/>
    <x v="13"/>
    <n v="46"/>
    <m/>
    <m/>
    <m/>
  </r>
  <r>
    <x v="0"/>
    <x v="1"/>
    <s v="4/8"/>
    <x v="150"/>
    <s v="سٹاک"/>
    <s v="PP"/>
    <n v="4"/>
    <s v="5-5.5"/>
    <s v="PP"/>
    <n v="1000"/>
    <s v="PP"/>
    <n v="9"/>
    <n v="148.37"/>
    <n v="3.6"/>
    <m/>
    <m/>
    <n v="144.77000000000001"/>
    <s v="1047"/>
    <m/>
    <m/>
    <m/>
    <n v="0"/>
    <n v="0"/>
    <m/>
    <m/>
    <m/>
    <m/>
    <m/>
    <m/>
    <m/>
    <m/>
    <n v="0"/>
    <n v="0"/>
    <n v="0"/>
    <n v="12"/>
    <n v="12"/>
    <m/>
    <m/>
    <n v="0"/>
    <n v="149.77000000000001"/>
    <m/>
    <x v="13"/>
    <n v="46"/>
    <m/>
    <m/>
    <m/>
  </r>
  <r>
    <x v="1"/>
    <x v="1"/>
    <s v="4/8"/>
    <x v="150"/>
    <s v="سٹاک"/>
    <s v="PP"/>
    <n v="4"/>
    <s v="5-5.5"/>
    <s v="PP"/>
    <n v="1000"/>
    <s v="PP"/>
    <n v="11"/>
    <n v="176.94000000000003"/>
    <n v="4.4000000000000004"/>
    <m/>
    <m/>
    <n v="172.54000000000002"/>
    <s v="1047"/>
    <m/>
    <m/>
    <m/>
    <n v="0"/>
    <n v="0"/>
    <m/>
    <m/>
    <m/>
    <m/>
    <m/>
    <m/>
    <m/>
    <m/>
    <n v="0"/>
    <n v="0"/>
    <n v="0"/>
    <n v="12"/>
    <n v="12"/>
    <m/>
    <m/>
    <n v="0"/>
    <n v="177.54000000000002"/>
    <m/>
    <x v="13"/>
    <n v="46"/>
    <m/>
    <m/>
    <m/>
  </r>
  <r>
    <x v="0"/>
    <x v="2"/>
    <s v="10/9"/>
    <x v="150"/>
    <s v="سٹاک"/>
    <s v="PP"/>
    <n v="10"/>
    <n v="5"/>
    <s v="PP"/>
    <n v="1500"/>
    <s v="PP"/>
    <n v="4"/>
    <n v="212.72"/>
    <n v="0.4"/>
    <m/>
    <m/>
    <n v="212.32"/>
    <s v="1582.3100000000002"/>
    <m/>
    <m/>
    <m/>
    <n v="0"/>
    <n v="0"/>
    <m/>
    <m/>
    <n v="120"/>
    <m/>
    <m/>
    <m/>
    <m/>
    <m/>
    <n v="120"/>
    <n v="2"/>
    <n v="2"/>
    <n v="10"/>
    <n v="12"/>
    <m/>
    <m/>
    <n v="0"/>
    <n v="217.32"/>
    <m/>
    <x v="13"/>
    <n v="46"/>
    <m/>
    <m/>
    <m/>
  </r>
  <r>
    <x v="0"/>
    <x v="2"/>
    <s v="5502 J"/>
    <x v="150"/>
    <s v="Bandu Khan Lahore"/>
    <s v="PP"/>
    <n v="10"/>
    <s v="4-4.5/8-9"/>
    <s v="PP"/>
    <n v="150"/>
    <s v="PP"/>
    <n v="1"/>
    <n v="31.14"/>
    <n v="0.1"/>
    <m/>
    <m/>
    <n v="31.04"/>
    <s v="155.47"/>
    <m/>
    <m/>
    <m/>
    <n v="0"/>
    <n v="0"/>
    <m/>
    <m/>
    <m/>
    <m/>
    <m/>
    <m/>
    <m/>
    <m/>
    <n v="0"/>
    <n v="0"/>
    <n v="0"/>
    <n v="12"/>
    <n v="12"/>
    <m/>
    <m/>
    <n v="0"/>
    <n v="36.04"/>
    <m/>
    <x v="13"/>
    <n v="46"/>
    <m/>
    <m/>
    <m/>
  </r>
  <r>
    <x v="1"/>
    <x v="2"/>
    <s v="5502 J"/>
    <x v="150"/>
    <s v="Bandu Khan Lahore"/>
    <s v="PP"/>
    <n v="10"/>
    <s v="4-4.5/8-9"/>
    <s v="PP"/>
    <n v="150"/>
    <s v="PP"/>
    <n v="5"/>
    <n v="124.92999999999999"/>
    <n v="0.5"/>
    <m/>
    <m/>
    <n v="124.42999999999999"/>
    <s v="155.47"/>
    <n v="30"/>
    <m/>
    <m/>
    <n v="30"/>
    <n v="0.5"/>
    <m/>
    <m/>
    <m/>
    <m/>
    <m/>
    <m/>
    <m/>
    <n v="60"/>
    <n v="60"/>
    <n v="1"/>
    <n v="1.5"/>
    <n v="10.5"/>
    <n v="12"/>
    <m/>
    <m/>
    <n v="0"/>
    <n v="129.43"/>
    <m/>
    <x v="13"/>
    <n v="46"/>
    <m/>
    <m/>
    <m/>
  </r>
  <r>
    <x v="1"/>
    <x v="2"/>
    <s v="5332 J"/>
    <x v="150"/>
    <s v="Ibtsam Traders Sheikhupura"/>
    <s v="PP"/>
    <n v="6"/>
    <s v="7.5-8"/>
    <s v="PP"/>
    <n v="200"/>
    <s v="PP"/>
    <n v="1"/>
    <n v="19.84"/>
    <n v="0.6"/>
    <m/>
    <m/>
    <n v="19.239999999999998"/>
    <s v="198.45000000000002"/>
    <m/>
    <m/>
    <m/>
    <n v="0"/>
    <n v="0"/>
    <m/>
    <m/>
    <m/>
    <m/>
    <m/>
    <m/>
    <m/>
    <m/>
    <n v="0"/>
    <n v="0"/>
    <n v="0"/>
    <n v="12"/>
    <n v="12"/>
    <m/>
    <m/>
    <n v="0"/>
    <n v="24.24"/>
    <m/>
    <x v="13"/>
    <n v="46"/>
    <m/>
    <m/>
    <m/>
  </r>
  <r>
    <x v="1"/>
    <x v="2"/>
    <s v="7503/1"/>
    <x v="150"/>
    <s v="یونیورسل اعظم مارکیٹ"/>
    <s v="PP"/>
    <n v="6"/>
    <s v="6"/>
    <s v="PP"/>
    <n v="100"/>
    <s v="PP"/>
    <n v="4"/>
    <n v="104.78"/>
    <n v="0.4"/>
    <m/>
    <m/>
    <n v="104.38"/>
    <s v="104.38"/>
    <m/>
    <m/>
    <m/>
    <n v="0"/>
    <n v="0"/>
    <m/>
    <m/>
    <m/>
    <m/>
    <m/>
    <m/>
    <m/>
    <m/>
    <n v="0"/>
    <n v="0"/>
    <n v="0"/>
    <n v="12"/>
    <n v="12"/>
    <m/>
    <m/>
    <n v="0"/>
    <n v="109.38"/>
    <m/>
    <x v="13"/>
    <n v="46"/>
    <m/>
    <m/>
    <m/>
  </r>
  <r>
    <x v="0"/>
    <x v="3"/>
    <s v="7489/5"/>
    <x v="150"/>
    <s v="المدینہ پلاسٹک-تالاش"/>
    <s v="PP"/>
    <n v="17"/>
    <s v="7"/>
    <s v="PP"/>
    <n v="200"/>
    <s v="PP"/>
    <n v="17"/>
    <n v="847.94"/>
    <n v="34"/>
    <m/>
    <m/>
    <n v="813.94"/>
    <s v="1675.6100000000001"/>
    <n v="30"/>
    <m/>
    <m/>
    <n v="30"/>
    <n v="0.5"/>
    <m/>
    <m/>
    <m/>
    <m/>
    <m/>
    <m/>
    <m/>
    <m/>
    <n v="0"/>
    <n v="0"/>
    <n v="0.5"/>
    <n v="11.5"/>
    <n v="12"/>
    <m/>
    <m/>
    <n v="0"/>
    <n v="818.94"/>
    <m/>
    <x v="13"/>
    <n v="46"/>
    <m/>
    <m/>
    <m/>
  </r>
  <r>
    <x v="0"/>
    <x v="3"/>
    <s v="5401 J"/>
    <x v="150"/>
    <s v="Naseer Sab Chinot"/>
    <s v="PP"/>
    <n v="17"/>
    <s v="5-5.5"/>
    <s v="PP"/>
    <n v="300"/>
    <s v="PP"/>
    <n v="1"/>
    <n v="56.3"/>
    <n v="2.1"/>
    <m/>
    <m/>
    <n v="54.199999999999996"/>
    <s v="285.41000000000003"/>
    <n v="25"/>
    <m/>
    <m/>
    <n v="25"/>
    <n v="0.41666666666666674"/>
    <m/>
    <m/>
    <m/>
    <m/>
    <m/>
    <m/>
    <m/>
    <m/>
    <n v="0"/>
    <n v="0"/>
    <n v="0.41666666666666674"/>
    <n v="11.583333333333334"/>
    <n v="12"/>
    <m/>
    <m/>
    <n v="0"/>
    <n v="59.2"/>
    <m/>
    <x v="13"/>
    <n v="46"/>
    <m/>
    <m/>
    <m/>
  </r>
  <r>
    <x v="1"/>
    <x v="3"/>
    <s v="5401 J"/>
    <x v="150"/>
    <s v="Naseer Sab Chinot"/>
    <s v="PP"/>
    <n v="17"/>
    <s v="5-5.5"/>
    <s v="PP"/>
    <n v="300"/>
    <s v="PP"/>
    <n v="6"/>
    <n v="241.41"/>
    <n v="10.199999999999999"/>
    <m/>
    <m/>
    <n v="231.21"/>
    <s v="285.41000000000003"/>
    <m/>
    <m/>
    <m/>
    <n v="0"/>
    <n v="0"/>
    <m/>
    <m/>
    <m/>
    <m/>
    <m/>
    <m/>
    <m/>
    <m/>
    <n v="0"/>
    <n v="0"/>
    <n v="0"/>
    <n v="12"/>
    <n v="12"/>
    <m/>
    <m/>
    <n v="0"/>
    <n v="236.21"/>
    <m/>
    <x v="13"/>
    <n v="46"/>
    <m/>
    <m/>
    <m/>
  </r>
  <r>
    <x v="1"/>
    <x v="3"/>
    <s v="2454 F"/>
    <x v="150"/>
    <s v="Usman Amin"/>
    <s v="LDN"/>
    <n v="17"/>
    <s v="12"/>
    <s v="LDN"/>
    <n v="500"/>
    <s v="PP"/>
    <n v="4"/>
    <n v="151.10000000000002"/>
    <n v="12"/>
    <m/>
    <m/>
    <n v="139.10000000000002"/>
    <s v="139.10000000000002"/>
    <m/>
    <m/>
    <m/>
    <n v="0"/>
    <n v="0"/>
    <m/>
    <m/>
    <m/>
    <m/>
    <m/>
    <m/>
    <m/>
    <m/>
    <n v="0"/>
    <n v="0"/>
    <n v="0"/>
    <n v="12"/>
    <n v="12"/>
    <m/>
    <m/>
    <n v="0"/>
    <n v="144.10000000000002"/>
    <m/>
    <x v="13"/>
    <n v="46"/>
    <m/>
    <m/>
    <m/>
  </r>
  <r>
    <x v="1"/>
    <x v="3"/>
    <s v="7481/1"/>
    <x v="150"/>
    <s v="العمر پلاسٹک گوجرانوالہ"/>
    <s v="PP"/>
    <n v="16"/>
    <s v="6"/>
    <s v="PP"/>
    <n v="500"/>
    <s v="PP"/>
    <n v="4"/>
    <n v="181.61999999999998"/>
    <n v="6.4"/>
    <m/>
    <m/>
    <n v="175.21999999999997"/>
    <s v="499.25"/>
    <m/>
    <m/>
    <m/>
    <n v="0"/>
    <n v="0"/>
    <m/>
    <m/>
    <m/>
    <m/>
    <m/>
    <m/>
    <m/>
    <m/>
    <n v="0"/>
    <n v="0"/>
    <n v="0"/>
    <n v="12"/>
    <n v="12"/>
    <m/>
    <m/>
    <n v="0"/>
    <n v="180.21999999999997"/>
    <m/>
    <x v="13"/>
    <n v="46"/>
    <m/>
    <m/>
    <m/>
  </r>
  <r>
    <x v="1"/>
    <x v="3"/>
    <s v="2451 F"/>
    <x v="150"/>
    <s v="Usman Amin"/>
    <s v="PP"/>
    <n v="16"/>
    <s v="8"/>
    <s v="PP"/>
    <n v="50"/>
    <s v="PP"/>
    <n v="1"/>
    <n v="49.6"/>
    <n v="1.6"/>
    <m/>
    <m/>
    <n v="48"/>
    <s v="48"/>
    <m/>
    <m/>
    <m/>
    <n v="0"/>
    <n v="0"/>
    <m/>
    <m/>
    <m/>
    <m/>
    <m/>
    <m/>
    <m/>
    <m/>
    <n v="0"/>
    <n v="0"/>
    <n v="0"/>
    <n v="12"/>
    <n v="12"/>
    <m/>
    <m/>
    <n v="0"/>
    <n v="53"/>
    <m/>
    <x v="13"/>
    <n v="46"/>
    <m/>
    <m/>
    <m/>
  </r>
  <r>
    <x v="1"/>
    <x v="3"/>
    <s v="7494/3"/>
    <x v="150"/>
    <s v="سلطان ٹریڈرز فیصل اباد"/>
    <s v="PP"/>
    <n v="16"/>
    <s v="9"/>
    <s v="PP"/>
    <n v="50"/>
    <s v="PP"/>
    <n v="1"/>
    <n v="45.77"/>
    <n v="1.6"/>
    <m/>
    <m/>
    <n v="44.17"/>
    <s v="60.25"/>
    <m/>
    <m/>
    <m/>
    <n v="0"/>
    <n v="0"/>
    <m/>
    <m/>
    <m/>
    <m/>
    <m/>
    <m/>
    <m/>
    <m/>
    <n v="0"/>
    <n v="0"/>
    <n v="0"/>
    <n v="12"/>
    <n v="12"/>
    <m/>
    <m/>
    <n v="0"/>
    <n v="49.17"/>
    <m/>
    <x v="13"/>
    <n v="46"/>
    <m/>
    <m/>
    <m/>
  </r>
  <r>
    <x v="0"/>
    <x v="4"/>
    <s v="7500/17"/>
    <x v="150"/>
    <s v="ہیڈ افس لاہور"/>
    <s v="PP"/>
    <n v="13"/>
    <s v="7"/>
    <s v="PP"/>
    <n v="250"/>
    <s v="PP"/>
    <n v="10"/>
    <n v="547.63000000000011"/>
    <n v="13"/>
    <m/>
    <m/>
    <n v="534.63000000000011"/>
    <s v="599.43000000000006"/>
    <n v="25"/>
    <m/>
    <m/>
    <n v="25"/>
    <n v="0.41666666666666674"/>
    <m/>
    <m/>
    <m/>
    <m/>
    <m/>
    <m/>
    <m/>
    <m/>
    <n v="0"/>
    <n v="0"/>
    <n v="0.41666666666666674"/>
    <n v="11.583333333333334"/>
    <n v="12"/>
    <m/>
    <m/>
    <n v="0"/>
    <n v="539.63000000000011"/>
    <m/>
    <x v="13"/>
    <n v="46"/>
    <m/>
    <m/>
    <m/>
  </r>
  <r>
    <x v="1"/>
    <x v="4"/>
    <s v="7489/4"/>
    <x v="150"/>
    <s v="المدینہ پلاسٹک-تالاش"/>
    <s v="PP"/>
    <n v="15"/>
    <s v="7"/>
    <s v="PP"/>
    <n v="200"/>
    <s v="PP"/>
    <n v="12"/>
    <n v="546.29"/>
    <n v="18"/>
    <m/>
    <m/>
    <n v="528.29"/>
    <s v="965.01"/>
    <m/>
    <m/>
    <m/>
    <n v="0"/>
    <n v="0"/>
    <m/>
    <m/>
    <m/>
    <m/>
    <m/>
    <m/>
    <m/>
    <m/>
    <n v="0"/>
    <n v="0"/>
    <n v="0"/>
    <n v="12"/>
    <n v="12"/>
    <m/>
    <m/>
    <n v="0"/>
    <n v="533.29"/>
    <m/>
    <x v="13"/>
    <n v="46"/>
    <m/>
    <m/>
    <m/>
  </r>
  <r>
    <x v="0"/>
    <x v="0"/>
    <s v="2.5/6"/>
    <x v="151"/>
    <s v="سٹاک"/>
    <s v="PP"/>
    <n v="2.5"/>
    <s v="5.5-6"/>
    <s v="PP"/>
    <n v="1000"/>
    <s v="PP"/>
    <n v="10"/>
    <n v="133.22999999999999"/>
    <n v="2"/>
    <m/>
    <m/>
    <n v="131.22999999999999"/>
    <s v="1403.2299999999998"/>
    <m/>
    <m/>
    <m/>
    <n v="0"/>
    <n v="0"/>
    <m/>
    <m/>
    <m/>
    <m/>
    <m/>
    <m/>
    <m/>
    <m/>
    <n v="0"/>
    <n v="0"/>
    <n v="0"/>
    <n v="12"/>
    <n v="12"/>
    <m/>
    <m/>
    <n v="0"/>
    <n v="138.22999999999999"/>
    <m/>
    <x v="14"/>
    <n v="47"/>
    <m/>
    <m/>
    <m/>
  </r>
  <r>
    <x v="1"/>
    <x v="0"/>
    <s v="2.5/6"/>
    <x v="151"/>
    <s v="سٹاک"/>
    <s v="PP"/>
    <n v="2.5"/>
    <s v="5.5-6"/>
    <s v="PP"/>
    <n v="1000"/>
    <s v="PP"/>
    <n v="11"/>
    <n v="142.13"/>
    <n v="2.2000000000000002"/>
    <m/>
    <m/>
    <n v="139.93"/>
    <s v="1403.2299999999998"/>
    <m/>
    <m/>
    <m/>
    <n v="0"/>
    <n v="0"/>
    <m/>
    <m/>
    <m/>
    <m/>
    <m/>
    <m/>
    <m/>
    <m/>
    <n v="0"/>
    <n v="0"/>
    <n v="0"/>
    <n v="12"/>
    <n v="12"/>
    <m/>
    <m/>
    <n v="0"/>
    <n v="146.93"/>
    <m/>
    <x v="14"/>
    <n v="47"/>
    <m/>
    <m/>
    <m/>
  </r>
  <r>
    <x v="0"/>
    <x v="1"/>
    <s v="4/8"/>
    <x v="151"/>
    <s v="سٹاک"/>
    <s v="PP"/>
    <n v="4"/>
    <s v="5-5.5"/>
    <s v="PP"/>
    <n v="1000"/>
    <s v="PP"/>
    <n v="10"/>
    <n v="177.32"/>
    <n v="4"/>
    <m/>
    <m/>
    <n v="173.32"/>
    <s v="1047"/>
    <m/>
    <m/>
    <m/>
    <n v="0"/>
    <n v="0"/>
    <m/>
    <m/>
    <m/>
    <m/>
    <m/>
    <m/>
    <n v="20"/>
    <m/>
    <n v="20"/>
    <n v="0.33333333333333331"/>
    <n v="0.33333333333333331"/>
    <n v="11.666666666666666"/>
    <n v="12"/>
    <m/>
    <m/>
    <n v="0"/>
    <n v="180.32"/>
    <m/>
    <x v="14"/>
    <n v="47"/>
    <m/>
    <m/>
    <m/>
  </r>
  <r>
    <x v="1"/>
    <x v="1"/>
    <s v="4/8"/>
    <x v="151"/>
    <s v="سٹاک"/>
    <s v="PP"/>
    <n v="4"/>
    <s v="5-5.5"/>
    <s v="PP"/>
    <n v="1000"/>
    <s v="PP"/>
    <n v="11"/>
    <n v="176.35999999999996"/>
    <n v="4"/>
    <m/>
    <m/>
    <n v="172.35999999999996"/>
    <s v="1047"/>
    <m/>
    <m/>
    <m/>
    <n v="0"/>
    <n v="0"/>
    <m/>
    <m/>
    <m/>
    <m/>
    <m/>
    <m/>
    <m/>
    <m/>
    <n v="0"/>
    <n v="0"/>
    <n v="0"/>
    <n v="12"/>
    <n v="12"/>
    <m/>
    <m/>
    <n v="0"/>
    <n v="179.35999999999996"/>
    <m/>
    <x v="14"/>
    <n v="47"/>
    <m/>
    <m/>
    <m/>
  </r>
  <r>
    <x v="0"/>
    <x v="2"/>
    <s v="5332 J"/>
    <x v="151"/>
    <s v="Ibtsam Traders Sheikhupura"/>
    <s v="PP"/>
    <n v="6"/>
    <s v="7.5-8"/>
    <s v="PP"/>
    <n v="200"/>
    <s v="PP"/>
    <n v="7"/>
    <n v="184.01000000000002"/>
    <n v="4.7999999999999989"/>
    <m/>
    <m/>
    <n v="179.21"/>
    <s v="198.45000000000002"/>
    <n v="30"/>
    <m/>
    <m/>
    <n v="30"/>
    <n v="0.5"/>
    <m/>
    <m/>
    <m/>
    <m/>
    <m/>
    <m/>
    <m/>
    <m/>
    <n v="0"/>
    <n v="0"/>
    <n v="0.5"/>
    <n v="11.5"/>
    <n v="12"/>
    <m/>
    <m/>
    <n v="0"/>
    <n v="186.21"/>
    <m/>
    <x v="14"/>
    <n v="47"/>
    <m/>
    <m/>
    <m/>
  </r>
  <r>
    <x v="1"/>
    <x v="2"/>
    <s v="7490/2"/>
    <x v="151"/>
    <s v="المدینہ پلاسٹک-تالاش"/>
    <s v="PP"/>
    <n v="9"/>
    <s v="7"/>
    <s v="PP"/>
    <n v="200"/>
    <s v="PP"/>
    <n v="5"/>
    <n v="215.92000000000002"/>
    <n v="4.5"/>
    <m/>
    <m/>
    <n v="211.42000000000002"/>
    <s v="211.42000000000002"/>
    <m/>
    <m/>
    <m/>
    <n v="0"/>
    <n v="0"/>
    <m/>
    <m/>
    <m/>
    <m/>
    <m/>
    <m/>
    <m/>
    <m/>
    <n v="0"/>
    <n v="0"/>
    <n v="0"/>
    <n v="12"/>
    <n v="12"/>
    <m/>
    <m/>
    <n v="0"/>
    <n v="218.42"/>
    <m/>
    <x v="14"/>
    <n v="47"/>
    <m/>
    <m/>
    <m/>
  </r>
  <r>
    <x v="1"/>
    <x v="2"/>
    <s v="7488/2"/>
    <x v="151"/>
    <s v="اصف پلاسٹک سرگودھا"/>
    <s v="PP"/>
    <n v="9"/>
    <s v="4.5"/>
    <s v="PP"/>
    <n v="100"/>
    <s v="PP"/>
    <n v="4"/>
    <n v="168.38"/>
    <n v="3.6"/>
    <m/>
    <m/>
    <n v="164.78"/>
    <s v="235.07"/>
    <m/>
    <m/>
    <m/>
    <n v="0"/>
    <n v="0"/>
    <m/>
    <m/>
    <m/>
    <m/>
    <m/>
    <m/>
    <m/>
    <m/>
    <n v="0"/>
    <n v="0"/>
    <n v="0"/>
    <n v="12"/>
    <n v="12"/>
    <m/>
    <m/>
    <n v="0"/>
    <n v="171.78"/>
    <m/>
    <x v="14"/>
    <n v="47"/>
    <m/>
    <m/>
    <m/>
  </r>
  <r>
    <x v="0"/>
    <x v="3"/>
    <s v="7481/1"/>
    <x v="151"/>
    <s v="العمر پلاسٹک گوجرانوالہ"/>
    <s v="PP"/>
    <n v="16"/>
    <s v="6"/>
    <s v="PP"/>
    <n v="500"/>
    <s v="PP"/>
    <n v="7"/>
    <n v="335.78000000000003"/>
    <n v="11.75"/>
    <m/>
    <m/>
    <n v="324.03000000000003"/>
    <s v="499.25"/>
    <m/>
    <m/>
    <m/>
    <n v="0"/>
    <n v="0"/>
    <m/>
    <m/>
    <m/>
    <m/>
    <m/>
    <m/>
    <m/>
    <m/>
    <n v="0"/>
    <n v="0"/>
    <n v="0"/>
    <n v="12"/>
    <n v="12"/>
    <m/>
    <m/>
    <n v="0"/>
    <n v="331.03000000000003"/>
    <m/>
    <x v="14"/>
    <n v="47"/>
    <m/>
    <m/>
    <m/>
  </r>
  <r>
    <x v="0"/>
    <x v="3"/>
    <s v="4616 J"/>
    <x v="151"/>
    <s v="Jilani Poly Stock"/>
    <s v="PP"/>
    <n v="16"/>
    <s v="5-5.5"/>
    <s v="PP"/>
    <n v="1000"/>
    <s v="PP"/>
    <n v="7"/>
    <n v="380.21"/>
    <n v="13.679999999999998"/>
    <m/>
    <m/>
    <n v="366.53"/>
    <s v="2043.6999999999998"/>
    <m/>
    <m/>
    <m/>
    <n v="0"/>
    <n v="0"/>
    <m/>
    <m/>
    <m/>
    <m/>
    <m/>
    <m/>
    <m/>
    <m/>
    <n v="0"/>
    <n v="0"/>
    <n v="0"/>
    <n v="12"/>
    <n v="12"/>
    <m/>
    <m/>
    <n v="0"/>
    <n v="373.53"/>
    <m/>
    <x v="14"/>
    <n v="47"/>
    <m/>
    <m/>
    <m/>
  </r>
  <r>
    <x v="0"/>
    <x v="3"/>
    <s v="7494/3"/>
    <x v="151"/>
    <s v="سلطان ٹریڈرز فیصل اباد"/>
    <s v="PP"/>
    <n v="16"/>
    <s v="9"/>
    <s v="PP"/>
    <n v="50"/>
    <s v="PP"/>
    <n v="1"/>
    <n v="17.68"/>
    <n v="1.6"/>
    <n v="11"/>
    <m/>
    <n v="16.079999999999998"/>
    <s v="60.25"/>
    <m/>
    <m/>
    <m/>
    <n v="0"/>
    <n v="0"/>
    <m/>
    <m/>
    <m/>
    <m/>
    <m/>
    <m/>
    <m/>
    <m/>
    <n v="0"/>
    <n v="0"/>
    <n v="0"/>
    <n v="12"/>
    <n v="12"/>
    <m/>
    <m/>
    <n v="0"/>
    <n v="23.08"/>
    <m/>
    <x v="14"/>
    <n v="47"/>
    <m/>
    <m/>
    <m/>
  </r>
  <r>
    <x v="1"/>
    <x v="3"/>
    <s v="4616 J"/>
    <x v="151"/>
    <s v="Jilani Poly Stock"/>
    <s v="PP"/>
    <n v="16"/>
    <s v="5-5.5"/>
    <s v="PP"/>
    <n v="1000"/>
    <s v="PP"/>
    <n v="13"/>
    <n v="649.67999999999995"/>
    <n v="20.8"/>
    <n v="35"/>
    <m/>
    <n v="628.88"/>
    <s v="2043.6999999999998"/>
    <m/>
    <m/>
    <m/>
    <n v="0"/>
    <n v="0"/>
    <m/>
    <m/>
    <m/>
    <m/>
    <m/>
    <m/>
    <m/>
    <m/>
    <n v="0"/>
    <n v="0"/>
    <n v="0"/>
    <n v="12"/>
    <n v="12"/>
    <m/>
    <m/>
    <n v="0"/>
    <n v="635.88"/>
    <m/>
    <x v="14"/>
    <n v="47"/>
    <m/>
    <m/>
    <m/>
  </r>
  <r>
    <x v="1"/>
    <x v="3"/>
    <s v="5501 J"/>
    <x v="151"/>
    <s v="Bandu Khan Lahore"/>
    <s v="PP"/>
    <n v="16"/>
    <s v="4-4.5/8-9"/>
    <s v="PP"/>
    <n v="300"/>
    <s v="PP"/>
    <n v="2"/>
    <n v="97.82"/>
    <n v="3.2"/>
    <m/>
    <m/>
    <n v="94.61999999999999"/>
    <s v="304.33999999999997"/>
    <m/>
    <m/>
    <m/>
    <n v="0"/>
    <n v="0"/>
    <m/>
    <m/>
    <m/>
    <m/>
    <m/>
    <m/>
    <m/>
    <m/>
    <n v="0"/>
    <n v="0"/>
    <n v="0"/>
    <n v="12"/>
    <n v="12"/>
    <m/>
    <m/>
    <n v="0"/>
    <n v="101.62"/>
    <m/>
    <x v="14"/>
    <n v="47"/>
    <m/>
    <m/>
    <m/>
  </r>
  <r>
    <x v="0"/>
    <x v="4"/>
    <s v="7489/4"/>
    <x v="151"/>
    <s v="المدینہ پلاسٹک-تالاش"/>
    <s v="PP"/>
    <n v="15"/>
    <s v="7"/>
    <s v="PP"/>
    <n v="200"/>
    <s v="PP"/>
    <n v="7"/>
    <n v="447.03999999999996"/>
    <n v="10.32"/>
    <n v="7"/>
    <m/>
    <n v="436.71999999999997"/>
    <s v="965.01"/>
    <m/>
    <m/>
    <m/>
    <n v="0"/>
    <n v="0"/>
    <m/>
    <m/>
    <m/>
    <m/>
    <m/>
    <m/>
    <m/>
    <m/>
    <n v="0"/>
    <n v="0"/>
    <n v="0"/>
    <n v="12"/>
    <n v="12"/>
    <m/>
    <m/>
    <n v="0"/>
    <n v="443.72"/>
    <m/>
    <x v="14"/>
    <n v="47"/>
    <m/>
    <m/>
    <m/>
  </r>
  <r>
    <x v="0"/>
    <x v="4"/>
    <s v="7471/2"/>
    <x v="151"/>
    <s v="العمر پلاسٹک گوجرانوالہ"/>
    <s v="PP"/>
    <n v="15"/>
    <s v="10"/>
    <s v="PP"/>
    <n v="300"/>
    <s v="PP"/>
    <n v="2"/>
    <n v="66.349999999999994"/>
    <n v="3.7"/>
    <m/>
    <m/>
    <n v="62.649999999999991"/>
    <s v="296.95999999999998"/>
    <m/>
    <m/>
    <m/>
    <n v="0"/>
    <n v="0"/>
    <m/>
    <m/>
    <m/>
    <m/>
    <m/>
    <m/>
    <m/>
    <m/>
    <n v="0"/>
    <n v="0"/>
    <n v="0"/>
    <n v="12"/>
    <n v="12"/>
    <m/>
    <m/>
    <n v="0"/>
    <n v="69.649999999999991"/>
    <m/>
    <x v="14"/>
    <n v="47"/>
    <m/>
    <m/>
    <m/>
  </r>
  <r>
    <x v="1"/>
    <x v="4"/>
    <s v="7471/2"/>
    <x v="151"/>
    <s v="العمر پلاسٹک گوجرانوالہ"/>
    <s v="PP"/>
    <n v="15"/>
    <s v="10"/>
    <s v="PP"/>
    <n v="300"/>
    <s v="PP"/>
    <n v="6"/>
    <n v="243.30999999999997"/>
    <n v="9"/>
    <n v="7"/>
    <m/>
    <n v="234.30999999999997"/>
    <s v="296.95999999999998"/>
    <n v="25"/>
    <m/>
    <m/>
    <n v="25"/>
    <n v="0.41666666666666674"/>
    <m/>
    <m/>
    <m/>
    <m/>
    <m/>
    <m/>
    <m/>
    <m/>
    <n v="0"/>
    <n v="0"/>
    <n v="0.41666666666666674"/>
    <n v="11.583333333333334"/>
    <n v="12"/>
    <m/>
    <m/>
    <n v="0"/>
    <n v="241.30999999999997"/>
    <m/>
    <x v="14"/>
    <n v="47"/>
    <m/>
    <m/>
    <m/>
  </r>
  <r>
    <x v="1"/>
    <x v="4"/>
    <s v="12/9"/>
    <x v="151"/>
    <s v="سٹاک"/>
    <s v="PP"/>
    <n v="12"/>
    <n v="5"/>
    <s v="PP"/>
    <n v="3500"/>
    <s v="PP"/>
    <n v="4"/>
    <n v="238.5"/>
    <n v="4.8"/>
    <m/>
    <m/>
    <n v="233.7"/>
    <s v="3542.0299999999997"/>
    <m/>
    <m/>
    <m/>
    <n v="0"/>
    <n v="0"/>
    <m/>
    <m/>
    <m/>
    <m/>
    <m/>
    <m/>
    <m/>
    <m/>
    <n v="0"/>
    <n v="0"/>
    <n v="0"/>
    <n v="12"/>
    <n v="12"/>
    <m/>
    <m/>
    <n v="0"/>
    <n v="240.7"/>
    <m/>
    <x v="14"/>
    <n v="47"/>
    <m/>
    <m/>
    <m/>
  </r>
  <r>
    <x v="0"/>
    <x v="0"/>
    <s v="2.5/6"/>
    <x v="152"/>
    <s v="سٹاک"/>
    <s v="PP"/>
    <n v="2.5"/>
    <s v="5.5-6"/>
    <s v="PP"/>
    <n v="1000"/>
    <s v="PP"/>
    <n v="4"/>
    <n v="51.95"/>
    <n v="0.8"/>
    <n v="5.5"/>
    <m/>
    <n v="51.150000000000006"/>
    <s v="1403.2299999999998"/>
    <m/>
    <m/>
    <n v="450"/>
    <n v="450"/>
    <n v="7.5"/>
    <m/>
    <m/>
    <m/>
    <m/>
    <m/>
    <m/>
    <m/>
    <m/>
    <n v="0"/>
    <n v="0"/>
    <n v="7.5"/>
    <n v="4.5"/>
    <n v="12"/>
    <m/>
    <m/>
    <n v="0"/>
    <n v="58.150000000000006"/>
    <m/>
    <x v="14"/>
    <n v="47"/>
    <m/>
    <m/>
    <m/>
  </r>
  <r>
    <x v="1"/>
    <x v="0"/>
    <s v="2.5/6"/>
    <x v="152"/>
    <s v="سٹاک"/>
    <s v="PP"/>
    <n v="2.5"/>
    <s v="5.5-6"/>
    <s v="PP"/>
    <n v="1000"/>
    <s v="PP"/>
    <n v="4"/>
    <n v="52.489999999999995"/>
    <n v="0.8"/>
    <n v="5.5"/>
    <m/>
    <n v="51.69"/>
    <s v="1403.2299999999998"/>
    <m/>
    <m/>
    <m/>
    <n v="0"/>
    <n v="0"/>
    <m/>
    <m/>
    <n v="60"/>
    <m/>
    <m/>
    <m/>
    <m/>
    <m/>
    <n v="60"/>
    <n v="1"/>
    <n v="1"/>
    <n v="11"/>
    <n v="12"/>
    <m/>
    <m/>
    <n v="0"/>
    <n v="58.69"/>
    <m/>
    <x v="14"/>
    <n v="47"/>
    <m/>
    <m/>
    <m/>
  </r>
  <r>
    <x v="1"/>
    <x v="0"/>
    <s v="2.5/6"/>
    <x v="152"/>
    <s v="سٹاک"/>
    <s v="PP"/>
    <n v="2.5"/>
    <s v="5.5-6"/>
    <s v="PP"/>
    <n v="1000"/>
    <s v="PP"/>
    <n v="3"/>
    <n v="71.41"/>
    <n v="0.60000000000000009"/>
    <m/>
    <m/>
    <n v="70.81"/>
    <s v="1403.2299999999998"/>
    <m/>
    <m/>
    <m/>
    <n v="0"/>
    <n v="0"/>
    <m/>
    <m/>
    <m/>
    <m/>
    <m/>
    <m/>
    <m/>
    <m/>
    <n v="0"/>
    <n v="0"/>
    <n v="0"/>
    <n v="12"/>
    <n v="12"/>
    <m/>
    <m/>
    <n v="0"/>
    <n v="77.81"/>
    <m/>
    <x v="14"/>
    <n v="47"/>
    <m/>
    <m/>
    <m/>
  </r>
  <r>
    <x v="0"/>
    <x v="1"/>
    <s v="4/8"/>
    <x v="152"/>
    <s v="سٹاک"/>
    <s v="PP"/>
    <n v="4"/>
    <s v="5-5.5"/>
    <s v="PP"/>
    <n v="1000"/>
    <s v="PP"/>
    <n v="5"/>
    <n v="74.460000000000008"/>
    <n v="2"/>
    <m/>
    <m/>
    <n v="72.460000000000008"/>
    <s v="1047"/>
    <m/>
    <m/>
    <n v="450"/>
    <n v="450"/>
    <n v="7.5"/>
    <m/>
    <m/>
    <m/>
    <m/>
    <m/>
    <m/>
    <m/>
    <m/>
    <n v="0"/>
    <n v="0"/>
    <n v="7.5"/>
    <n v="4.5"/>
    <n v="12"/>
    <m/>
    <m/>
    <n v="0"/>
    <n v="79.459999999999994"/>
    <m/>
    <x v="14"/>
    <n v="47"/>
    <m/>
    <m/>
    <m/>
  </r>
  <r>
    <x v="1"/>
    <x v="1"/>
    <s v="4/8"/>
    <x v="152"/>
    <s v="سٹاک"/>
    <s v="PP"/>
    <n v="4"/>
    <s v="5-5.5"/>
    <s v="PP"/>
    <n v="1000"/>
    <s v="PP"/>
    <n v="11"/>
    <n v="180.06000000000003"/>
    <n v="4.4000000000000004"/>
    <m/>
    <m/>
    <n v="175.66000000000003"/>
    <s v="1047"/>
    <m/>
    <m/>
    <m/>
    <n v="0"/>
    <n v="0"/>
    <m/>
    <m/>
    <m/>
    <m/>
    <m/>
    <m/>
    <m/>
    <m/>
    <n v="0"/>
    <n v="0"/>
    <n v="0"/>
    <n v="12"/>
    <n v="12"/>
    <m/>
    <m/>
    <n v="0"/>
    <n v="182.66000000000005"/>
    <m/>
    <x v="14"/>
    <n v="47"/>
    <m/>
    <m/>
    <m/>
  </r>
  <r>
    <x v="0"/>
    <x v="2"/>
    <s v="7488/2"/>
    <x v="152"/>
    <s v="اصف پلاسٹک سرگودھا"/>
    <s v="PP"/>
    <n v="9"/>
    <s v="4.5"/>
    <s v="PP"/>
    <n v="100"/>
    <s v="PP"/>
    <n v="2"/>
    <n v="72.69"/>
    <n v="2.4"/>
    <m/>
    <m/>
    <n v="70.289999999999992"/>
    <s v="235.07"/>
    <m/>
    <m/>
    <m/>
    <n v="0"/>
    <n v="0"/>
    <m/>
    <m/>
    <m/>
    <m/>
    <m/>
    <m/>
    <m/>
    <m/>
    <n v="0"/>
    <n v="0"/>
    <n v="0"/>
    <n v="12"/>
    <n v="12"/>
    <m/>
    <m/>
    <n v="0"/>
    <n v="77.290000000000006"/>
    <m/>
    <x v="14"/>
    <n v="47"/>
    <m/>
    <m/>
    <m/>
  </r>
  <r>
    <x v="0"/>
    <x v="2"/>
    <s v="9/8"/>
    <x v="152"/>
    <s v="سٹاک"/>
    <s v="PP"/>
    <n v="9"/>
    <s v="5-5.5"/>
    <s v="PP"/>
    <n v="1000"/>
    <s v="PP"/>
    <n v="1"/>
    <n v="44.08"/>
    <n v="1.2"/>
    <m/>
    <m/>
    <n v="42.879999999999995"/>
    <s v="704.8599999999999"/>
    <m/>
    <m/>
    <n v="450"/>
    <n v="450"/>
    <n v="7.5"/>
    <m/>
    <m/>
    <m/>
    <m/>
    <m/>
    <m/>
    <m/>
    <m/>
    <n v="0"/>
    <n v="0"/>
    <n v="7.5"/>
    <n v="4.5"/>
    <n v="12"/>
    <m/>
    <m/>
    <n v="0"/>
    <n v="49.879999999999995"/>
    <m/>
    <x v="14"/>
    <n v="47"/>
    <m/>
    <m/>
    <m/>
  </r>
  <r>
    <x v="1"/>
    <x v="2"/>
    <s v="9/8"/>
    <x v="152"/>
    <s v="سٹاک"/>
    <s v="PP"/>
    <n v="9"/>
    <s v="5-5.5"/>
    <s v="PP"/>
    <n v="1000"/>
    <s v="PP"/>
    <n v="9"/>
    <n v="334.85999999999996"/>
    <n v="8.1"/>
    <m/>
    <m/>
    <n v="326.75999999999993"/>
    <s v="704.8599999999999"/>
    <m/>
    <m/>
    <m/>
    <n v="0"/>
    <n v="0"/>
    <m/>
    <m/>
    <m/>
    <m/>
    <m/>
    <m/>
    <m/>
    <m/>
    <n v="0"/>
    <n v="0"/>
    <n v="0"/>
    <n v="12"/>
    <n v="12"/>
    <m/>
    <m/>
    <n v="0"/>
    <n v="333.75999999999993"/>
    <m/>
    <x v="14"/>
    <n v="47"/>
    <m/>
    <m/>
    <m/>
  </r>
  <r>
    <x v="0"/>
    <x v="3"/>
    <s v="5501 J"/>
    <x v="152"/>
    <s v="Bandu Khan Lahore"/>
    <s v="PP"/>
    <n v="16"/>
    <s v="4-4.5/8-9"/>
    <s v="PP"/>
    <n v="300"/>
    <s v="PP"/>
    <n v="4"/>
    <n v="217.47"/>
    <n v="7.75"/>
    <n v="16"/>
    <m/>
    <n v="209.72"/>
    <s v="304.33999999999997"/>
    <m/>
    <m/>
    <m/>
    <n v="0"/>
    <n v="0"/>
    <m/>
    <m/>
    <m/>
    <m/>
    <m/>
    <m/>
    <m/>
    <m/>
    <n v="0"/>
    <n v="0"/>
    <n v="0"/>
    <n v="12"/>
    <n v="12"/>
    <m/>
    <m/>
    <n v="0"/>
    <n v="216.72"/>
    <m/>
    <x v="14"/>
    <n v="47"/>
    <m/>
    <m/>
    <m/>
  </r>
  <r>
    <x v="0"/>
    <x v="3"/>
    <s v="7511/1"/>
    <x v="152"/>
    <s v="ایم سلیمان پاکستان مارکیٹ"/>
    <s v="PP"/>
    <n v="28"/>
    <s v="5"/>
    <s v="PP"/>
    <n v="75"/>
    <s v="PP"/>
    <n v="3"/>
    <n v="167.05"/>
    <n v="10.86"/>
    <m/>
    <m/>
    <n v="156.19"/>
    <s v="156.19"/>
    <m/>
    <m/>
    <n v="450"/>
    <n v="450"/>
    <n v="7.5"/>
    <m/>
    <m/>
    <m/>
    <m/>
    <m/>
    <m/>
    <m/>
    <m/>
    <n v="0"/>
    <n v="0"/>
    <n v="7.5"/>
    <n v="4.5"/>
    <n v="12"/>
    <m/>
    <m/>
    <n v="0"/>
    <n v="163.19"/>
    <m/>
    <x v="14"/>
    <n v="47"/>
    <m/>
    <m/>
    <m/>
  </r>
  <r>
    <x v="1"/>
    <x v="3"/>
    <s v="4865 J"/>
    <x v="152"/>
    <s v="Jilani Poly Stock"/>
    <s v="PP"/>
    <n v="28"/>
    <s v="5-5.5"/>
    <s v="PP"/>
    <n v="0"/>
    <s v="PP"/>
    <n v="8"/>
    <n v="517"/>
    <n v="22.4"/>
    <n v="18"/>
    <m/>
    <n v="494.6"/>
    <s v="494.6"/>
    <n v="30"/>
    <m/>
    <m/>
    <n v="30"/>
    <n v="0.5"/>
    <m/>
    <m/>
    <m/>
    <m/>
    <m/>
    <m/>
    <m/>
    <m/>
    <n v="0"/>
    <n v="0"/>
    <n v="0.5"/>
    <n v="11.5"/>
    <n v="12"/>
    <m/>
    <m/>
    <n v="0"/>
    <n v="501.6"/>
    <m/>
    <x v="14"/>
    <n v="47"/>
    <m/>
    <m/>
    <m/>
  </r>
  <r>
    <x v="1"/>
    <x v="3"/>
    <s v="7497/1"/>
    <x v="152"/>
    <s v="ملک الطاف اعظم مارکیٹ"/>
    <s v="PP"/>
    <n v="22"/>
    <s v="4.5"/>
    <s v="PP"/>
    <n v="200"/>
    <s v="PP"/>
    <n v="3"/>
    <n v="183.36"/>
    <n v="6.6000000000000005"/>
    <m/>
    <m/>
    <n v="176.76000000000002"/>
    <s v="216.79000000000002"/>
    <m/>
    <m/>
    <m/>
    <n v="0"/>
    <n v="0"/>
    <m/>
    <m/>
    <m/>
    <m/>
    <m/>
    <m/>
    <m/>
    <m/>
    <n v="0"/>
    <n v="0"/>
    <n v="0"/>
    <n v="12"/>
    <n v="12"/>
    <m/>
    <m/>
    <n v="0"/>
    <n v="183.76"/>
    <m/>
    <x v="14"/>
    <n v="47"/>
    <m/>
    <m/>
    <m/>
  </r>
  <r>
    <x v="0"/>
    <x v="4"/>
    <s v="12/9"/>
    <x v="152"/>
    <s v="سٹاک"/>
    <s v="PP"/>
    <n v="12"/>
    <n v="5"/>
    <s v="PP"/>
    <n v="3500"/>
    <s v="PP"/>
    <n v="4"/>
    <n v="245.68999999999997"/>
    <n v="6"/>
    <m/>
    <m/>
    <n v="239.68999999999997"/>
    <s v="3542.0299999999997"/>
    <m/>
    <m/>
    <n v="450"/>
    <n v="450"/>
    <n v="7.5"/>
    <m/>
    <m/>
    <m/>
    <m/>
    <m/>
    <m/>
    <m/>
    <m/>
    <n v="0"/>
    <n v="0"/>
    <n v="7.5"/>
    <n v="4.5"/>
    <n v="12"/>
    <m/>
    <m/>
    <n v="0"/>
    <n v="246.68999999999997"/>
    <m/>
    <x v="14"/>
    <n v="47"/>
    <m/>
    <m/>
    <m/>
  </r>
  <r>
    <x v="1"/>
    <x v="4"/>
    <s v="12/9"/>
    <x v="152"/>
    <s v="سٹاک"/>
    <s v="PP"/>
    <n v="12"/>
    <n v="5"/>
    <s v="PP"/>
    <n v="3500"/>
    <s v="PP"/>
    <n v="10"/>
    <n v="550.13"/>
    <n v="12"/>
    <m/>
    <m/>
    <n v="538.13"/>
    <s v="3542.0299999999997"/>
    <m/>
    <m/>
    <m/>
    <n v="0"/>
    <n v="0"/>
    <m/>
    <m/>
    <n v="60"/>
    <m/>
    <m/>
    <m/>
    <m/>
    <m/>
    <n v="60"/>
    <n v="1"/>
    <n v="1"/>
    <n v="11"/>
    <n v="12"/>
    <m/>
    <m/>
    <n v="0"/>
    <n v="545.13"/>
    <m/>
    <x v="14"/>
    <n v="47"/>
    <m/>
    <m/>
    <m/>
  </r>
  <r>
    <x v="0"/>
    <x v="0"/>
    <s v="2.5/6"/>
    <x v="153"/>
    <s v="سٹاک"/>
    <s v="PP"/>
    <n v="2.5"/>
    <s v="5.5-6"/>
    <s v="PP"/>
    <n v="1000"/>
    <s v="PP"/>
    <n v="6"/>
    <n v="128.51999999999998"/>
    <n v="1.2000000000000002"/>
    <n v="16"/>
    <m/>
    <n v="127.31999999999998"/>
    <s v="1403.2299999999998"/>
    <m/>
    <m/>
    <m/>
    <n v="0"/>
    <n v="0"/>
    <m/>
    <m/>
    <m/>
    <m/>
    <m/>
    <m/>
    <m/>
    <m/>
    <n v="0"/>
    <n v="0"/>
    <n v="0"/>
    <n v="12"/>
    <n v="12"/>
    <m/>
    <m/>
    <n v="0"/>
    <n v="134.32"/>
    <m/>
    <x v="14"/>
    <n v="47"/>
    <m/>
    <m/>
    <m/>
  </r>
  <r>
    <x v="1"/>
    <x v="0"/>
    <s v="2.5/6"/>
    <x v="153"/>
    <s v="سٹاک"/>
    <s v="PP"/>
    <n v="2.5"/>
    <s v="5.5-6"/>
    <s v="PP"/>
    <n v="1000"/>
    <s v="PP"/>
    <n v="8"/>
    <n v="134.07"/>
    <n v="1.6"/>
    <m/>
    <m/>
    <n v="132.47"/>
    <s v="1403.2299999999998"/>
    <m/>
    <m/>
    <m/>
    <n v="0"/>
    <n v="0"/>
    <m/>
    <m/>
    <m/>
    <m/>
    <m/>
    <m/>
    <m/>
    <m/>
    <n v="0"/>
    <n v="0"/>
    <n v="0"/>
    <n v="12"/>
    <n v="12"/>
    <m/>
    <m/>
    <n v="0"/>
    <n v="139.47"/>
    <m/>
    <x v="14"/>
    <n v="47"/>
    <m/>
    <m/>
    <m/>
  </r>
  <r>
    <x v="0"/>
    <x v="1"/>
    <s v="4/8"/>
    <x v="153"/>
    <s v="سٹاک"/>
    <s v="PP"/>
    <n v="4"/>
    <s v="5-5.5"/>
    <s v="PP"/>
    <n v="1000"/>
    <s v="PP"/>
    <n v="3"/>
    <n v="50.26"/>
    <n v="1.2000000000000002"/>
    <m/>
    <m/>
    <n v="49.059999999999995"/>
    <s v="1047"/>
    <n v="20"/>
    <m/>
    <m/>
    <n v="20"/>
    <n v="0.33333333333333331"/>
    <m/>
    <m/>
    <m/>
    <m/>
    <m/>
    <m/>
    <m/>
    <m/>
    <n v="0"/>
    <n v="0"/>
    <n v="0.33333333333333331"/>
    <n v="11.666666666666666"/>
    <n v="12"/>
    <m/>
    <m/>
    <n v="0"/>
    <n v="56.059999999999995"/>
    <m/>
    <x v="14"/>
    <n v="47"/>
    <m/>
    <m/>
    <m/>
  </r>
  <r>
    <x v="0"/>
    <x v="1"/>
    <s v="3/6"/>
    <x v="153"/>
    <s v="سٹاک"/>
    <s v="PP"/>
    <n v="3"/>
    <s v="5.5-6"/>
    <s v="PP"/>
    <n v="1000"/>
    <s v="PP"/>
    <n v="7"/>
    <n v="97.4"/>
    <n v="2.1"/>
    <m/>
    <m/>
    <n v="95.300000000000011"/>
    <s v="1261.29"/>
    <m/>
    <m/>
    <m/>
    <n v="0"/>
    <n v="0"/>
    <m/>
    <m/>
    <m/>
    <m/>
    <m/>
    <m/>
    <m/>
    <m/>
    <n v="0"/>
    <n v="0"/>
    <n v="0"/>
    <n v="12"/>
    <n v="12"/>
    <m/>
    <m/>
    <n v="0"/>
    <n v="102.3"/>
    <m/>
    <x v="14"/>
    <n v="47"/>
    <m/>
    <m/>
    <m/>
  </r>
  <r>
    <x v="1"/>
    <x v="1"/>
    <s v="3/6"/>
    <x v="153"/>
    <s v="سٹاک"/>
    <s v="PP"/>
    <n v="3"/>
    <s v="5.5-6"/>
    <s v="PP"/>
    <n v="1000"/>
    <s v="PP"/>
    <n v="9"/>
    <n v="122.41000000000001"/>
    <n v="2.6999999999999997"/>
    <m/>
    <m/>
    <n v="119.71000000000001"/>
    <s v="1261.29"/>
    <m/>
    <m/>
    <m/>
    <n v="0"/>
    <n v="0"/>
    <m/>
    <m/>
    <m/>
    <m/>
    <m/>
    <m/>
    <m/>
    <m/>
    <n v="0"/>
    <n v="0"/>
    <n v="0"/>
    <n v="12"/>
    <n v="12"/>
    <m/>
    <m/>
    <n v="0"/>
    <n v="126.71"/>
    <m/>
    <x v="14"/>
    <n v="47"/>
    <m/>
    <m/>
    <m/>
  </r>
  <r>
    <x v="0"/>
    <x v="2"/>
    <s v="9/8"/>
    <x v="153"/>
    <s v="سٹاک"/>
    <s v="PP"/>
    <n v="9"/>
    <s v="5-5.5"/>
    <s v="PP"/>
    <n v="1000"/>
    <s v="PP"/>
    <n v="7"/>
    <n v="343.61999999999995"/>
    <n v="8.4"/>
    <m/>
    <m/>
    <n v="335.21999999999997"/>
    <s v="704.8599999999999"/>
    <m/>
    <m/>
    <m/>
    <n v="0"/>
    <n v="0"/>
    <m/>
    <m/>
    <m/>
    <m/>
    <m/>
    <m/>
    <m/>
    <m/>
    <n v="0"/>
    <n v="0"/>
    <n v="0"/>
    <n v="12"/>
    <n v="12"/>
    <m/>
    <m/>
    <n v="0"/>
    <n v="342.21999999999997"/>
    <m/>
    <x v="14"/>
    <n v="47"/>
    <m/>
    <m/>
    <m/>
  </r>
  <r>
    <x v="0"/>
    <x v="3"/>
    <s v="7497/1"/>
    <x v="153"/>
    <s v="ملک الطاف اعظم مارکیٹ"/>
    <s v="PP"/>
    <n v="22"/>
    <s v="4.5"/>
    <s v="PP"/>
    <n v="200"/>
    <s v="PP"/>
    <n v="1"/>
    <n v="42.83"/>
    <n v="2.8"/>
    <m/>
    <m/>
    <n v="40.03"/>
    <s v="216.79000000000002"/>
    <m/>
    <m/>
    <m/>
    <n v="0"/>
    <n v="0"/>
    <m/>
    <m/>
    <m/>
    <m/>
    <m/>
    <m/>
    <m/>
    <m/>
    <n v="0"/>
    <n v="0"/>
    <n v="0"/>
    <n v="12"/>
    <n v="12"/>
    <m/>
    <m/>
    <n v="0"/>
    <n v="47.03"/>
    <m/>
    <x v="14"/>
    <n v="47"/>
    <m/>
    <m/>
    <m/>
  </r>
  <r>
    <x v="0"/>
    <x v="3"/>
    <s v="7500/25"/>
    <x v="153"/>
    <s v="ہیڈ افس لاہور"/>
    <s v="PP"/>
    <n v="23"/>
    <s v="7"/>
    <s v="PP"/>
    <n v="375"/>
    <s v="PP"/>
    <n v="8"/>
    <n v="418.73999999999995"/>
    <n v="16.79"/>
    <m/>
    <m/>
    <n v="401.94999999999993"/>
    <s v="740.54"/>
    <n v="20"/>
    <m/>
    <m/>
    <n v="20"/>
    <n v="0.33333333333333331"/>
    <m/>
    <m/>
    <n v="60"/>
    <m/>
    <m/>
    <m/>
    <m/>
    <m/>
    <n v="60"/>
    <n v="1"/>
    <n v="1.3333333333333333"/>
    <n v="10.666666666666666"/>
    <n v="12"/>
    <m/>
    <m/>
    <n v="0"/>
    <n v="408.94999999999993"/>
    <m/>
    <x v="14"/>
    <n v="47"/>
    <m/>
    <m/>
    <m/>
  </r>
  <r>
    <x v="0"/>
    <x v="3"/>
    <s v="5517 J"/>
    <x v="153"/>
    <s v="Jhangir Hussain Gudam Leager HD"/>
    <s v="PP"/>
    <n v="22"/>
    <s v="5-5.5"/>
    <s v="PP"/>
    <n v="200"/>
    <s v="PP"/>
    <n v="4"/>
    <n v="166.29"/>
    <n v="10.830000000000002"/>
    <n v="10"/>
    <m/>
    <n v="155.45999999999998"/>
    <s v="155.45999999999998"/>
    <m/>
    <m/>
    <m/>
    <n v="0"/>
    <n v="0"/>
    <m/>
    <m/>
    <m/>
    <m/>
    <m/>
    <m/>
    <m/>
    <m/>
    <n v="0"/>
    <n v="0"/>
    <n v="0"/>
    <n v="12"/>
    <n v="12"/>
    <m/>
    <m/>
    <n v="0"/>
    <n v="162.45999999999998"/>
    <m/>
    <x v="14"/>
    <n v="47"/>
    <m/>
    <m/>
    <m/>
  </r>
  <r>
    <x v="0"/>
    <x v="3"/>
    <s v="5520 J"/>
    <x v="153"/>
    <s v="Jhangir Hussain Gudam Leager HD"/>
    <s v="PP"/>
    <n v="22"/>
    <s v="5-5.5"/>
    <s v="PP"/>
    <n v="100"/>
    <s v="PP"/>
    <n v="1"/>
    <n v="19.739999999999998"/>
    <n v="2.7"/>
    <m/>
    <m/>
    <n v="17.04"/>
    <s v="98.22"/>
    <m/>
    <m/>
    <m/>
    <n v="0"/>
    <n v="0"/>
    <m/>
    <m/>
    <m/>
    <m/>
    <m/>
    <m/>
    <m/>
    <m/>
    <n v="0"/>
    <n v="0"/>
    <n v="0"/>
    <n v="12"/>
    <n v="12"/>
    <m/>
    <m/>
    <n v="0"/>
    <n v="24.04"/>
    <m/>
    <x v="14"/>
    <n v="47"/>
    <m/>
    <m/>
    <m/>
  </r>
  <r>
    <x v="1"/>
    <x v="3"/>
    <s v="7500/25"/>
    <x v="153"/>
    <s v="ہیڈ افس لاہور"/>
    <s v="PP"/>
    <n v="23"/>
    <s v="7"/>
    <s v="PP"/>
    <n v="375"/>
    <s v="PP"/>
    <n v="6"/>
    <n v="352.39"/>
    <n v="13.799999999999999"/>
    <n v="24"/>
    <m/>
    <n v="338.59"/>
    <s v="740.54"/>
    <m/>
    <m/>
    <m/>
    <n v="0"/>
    <n v="0"/>
    <m/>
    <m/>
    <m/>
    <m/>
    <m/>
    <m/>
    <m/>
    <m/>
    <n v="0"/>
    <n v="0"/>
    <n v="0"/>
    <n v="12"/>
    <n v="12"/>
    <m/>
    <m/>
    <n v="0"/>
    <n v="345.59"/>
    <m/>
    <x v="14"/>
    <n v="47"/>
    <m/>
    <m/>
    <m/>
  </r>
  <r>
    <x v="1"/>
    <x v="3"/>
    <s v="7500/23"/>
    <x v="153"/>
    <s v="ہیڈ افس لاہور"/>
    <s v="PP"/>
    <n v="19"/>
    <s v="7"/>
    <s v="PP"/>
    <n v="250"/>
    <s v="PP"/>
    <n v="5"/>
    <n v="263.65999999999997"/>
    <n v="9.5"/>
    <m/>
    <m/>
    <n v="254.15999999999997"/>
    <s v="254.15999999999997"/>
    <m/>
    <m/>
    <m/>
    <n v="0"/>
    <n v="0"/>
    <m/>
    <m/>
    <m/>
    <m/>
    <m/>
    <m/>
    <m/>
    <m/>
    <n v="0"/>
    <n v="0"/>
    <n v="0"/>
    <n v="12"/>
    <n v="12"/>
    <m/>
    <m/>
    <n v="0"/>
    <n v="261.15999999999997"/>
    <m/>
    <x v="14"/>
    <n v="47"/>
    <m/>
    <m/>
    <m/>
  </r>
  <r>
    <x v="0"/>
    <x v="4"/>
    <s v="12/9"/>
    <x v="153"/>
    <s v="سٹاک"/>
    <s v="PP"/>
    <n v="12"/>
    <n v="5"/>
    <s v="PP"/>
    <n v="3500"/>
    <s v="PP"/>
    <n v="9"/>
    <n v="578.02"/>
    <n v="13.5"/>
    <n v="5.5"/>
    <m/>
    <n v="564.52"/>
    <s v="3542.0299999999997"/>
    <m/>
    <m/>
    <m/>
    <n v="0"/>
    <n v="0"/>
    <m/>
    <m/>
    <m/>
    <m/>
    <m/>
    <m/>
    <m/>
    <m/>
    <n v="0"/>
    <n v="0"/>
    <n v="0"/>
    <n v="12"/>
    <n v="12"/>
    <m/>
    <m/>
    <n v="0"/>
    <n v="571.52"/>
    <m/>
    <x v="14"/>
    <n v="47"/>
    <m/>
    <m/>
    <m/>
  </r>
  <r>
    <x v="1"/>
    <x v="4"/>
    <s v="12/9"/>
    <x v="153"/>
    <s v="سٹاک"/>
    <s v="PP"/>
    <n v="12"/>
    <n v="5"/>
    <s v="PP"/>
    <n v="3500"/>
    <s v="PP"/>
    <n v="9"/>
    <n v="480.90999999999997"/>
    <n v="12"/>
    <n v="5.5"/>
    <m/>
    <n v="468.90999999999997"/>
    <s v="3542.0299999999997"/>
    <m/>
    <m/>
    <m/>
    <n v="0"/>
    <n v="0"/>
    <m/>
    <m/>
    <m/>
    <m/>
    <m/>
    <m/>
    <m/>
    <m/>
    <n v="0"/>
    <n v="0"/>
    <n v="0"/>
    <n v="12"/>
    <n v="12"/>
    <m/>
    <m/>
    <n v="0"/>
    <n v="475.91"/>
    <m/>
    <x v="14"/>
    <n v="47"/>
    <m/>
    <m/>
    <m/>
  </r>
  <r>
    <x v="2"/>
    <x v="6"/>
    <m/>
    <x v="154"/>
    <s v="ALL MACHINES OFF"/>
    <m/>
    <m/>
    <m/>
    <m/>
    <m/>
    <m/>
    <m/>
    <m/>
    <m/>
    <m/>
    <m/>
    <m/>
    <s v="0"/>
    <m/>
    <m/>
    <m/>
    <m/>
    <m/>
    <m/>
    <m/>
    <m/>
    <m/>
    <m/>
    <m/>
    <m/>
    <m/>
    <m/>
    <m/>
    <m/>
    <m/>
    <m/>
    <m/>
    <m/>
    <m/>
    <m/>
    <m/>
    <x v="14"/>
    <n v="47"/>
    <m/>
    <m/>
    <m/>
  </r>
  <r>
    <x v="0"/>
    <x v="0"/>
    <s v="2.5/5"/>
    <x v="155"/>
    <s v="سٹاک"/>
    <s v="PP"/>
    <n v="2.5"/>
    <s v="5.5-6"/>
    <s v="PP"/>
    <s v="20 رول بیگ"/>
    <s v="PP"/>
    <n v="6"/>
    <n v="105.2"/>
    <n v="1.2000000000000002"/>
    <m/>
    <m/>
    <n v="104"/>
    <s v="339.37"/>
    <m/>
    <n v="160"/>
    <m/>
    <n v="160"/>
    <n v="2.6666666666666665"/>
    <m/>
    <m/>
    <m/>
    <m/>
    <m/>
    <m/>
    <m/>
    <m/>
    <n v="0"/>
    <n v="0"/>
    <n v="2.6666666666666665"/>
    <n v="9.3333333333333339"/>
    <n v="12"/>
    <m/>
    <m/>
    <n v="0"/>
    <n v="111"/>
    <m/>
    <x v="14"/>
    <n v="47"/>
    <m/>
    <m/>
    <m/>
  </r>
  <r>
    <x v="1"/>
    <x v="0"/>
    <s v="2.5/5"/>
    <x v="155"/>
    <s v="سٹاک"/>
    <s v="PP"/>
    <n v="2.5"/>
    <s v="5.5-6"/>
    <s v="PP"/>
    <s v="20 رول بیگ"/>
    <s v="PP"/>
    <n v="10"/>
    <n v="163.09"/>
    <n v="2"/>
    <m/>
    <m/>
    <n v="161.09"/>
    <s v="339.37"/>
    <m/>
    <m/>
    <m/>
    <n v="0"/>
    <n v="0"/>
    <m/>
    <m/>
    <m/>
    <m/>
    <m/>
    <m/>
    <m/>
    <m/>
    <n v="0"/>
    <n v="0"/>
    <n v="0"/>
    <n v="12"/>
    <n v="12"/>
    <m/>
    <m/>
    <n v="0"/>
    <n v="168.09"/>
    <m/>
    <x v="14"/>
    <n v="47"/>
    <m/>
    <m/>
    <m/>
  </r>
  <r>
    <x v="0"/>
    <x v="1"/>
    <s v="3/7"/>
    <x v="155"/>
    <s v="سٹاک"/>
    <s v="PP"/>
    <n v="3"/>
    <s v="5.5-6"/>
    <s v="PP"/>
    <n v="2000"/>
    <s v="PP"/>
    <n v="8"/>
    <n v="104.10999999999999"/>
    <n v="2.4"/>
    <m/>
    <m/>
    <n v="101.70999999999998"/>
    <s v="231.46999999999997"/>
    <m/>
    <n v="150"/>
    <m/>
    <n v="150"/>
    <n v="2.5"/>
    <m/>
    <m/>
    <m/>
    <m/>
    <m/>
    <m/>
    <m/>
    <m/>
    <n v="0"/>
    <n v="0"/>
    <n v="2.5"/>
    <n v="9.5"/>
    <n v="12"/>
    <m/>
    <m/>
    <n v="0"/>
    <n v="108.70999999999998"/>
    <m/>
    <x v="14"/>
    <n v="47"/>
    <m/>
    <m/>
    <m/>
  </r>
  <r>
    <x v="1"/>
    <x v="1"/>
    <s v="3/7"/>
    <x v="155"/>
    <s v="سٹاک"/>
    <s v="PP"/>
    <n v="3"/>
    <s v="5.5-6"/>
    <s v="PP"/>
    <n v="2000"/>
    <s v="PP"/>
    <n v="10"/>
    <n v="132.16"/>
    <n v="2.4"/>
    <m/>
    <m/>
    <n v="129.76"/>
    <s v="231.46999999999997"/>
    <m/>
    <n v="150"/>
    <m/>
    <n v="150"/>
    <n v="2.5"/>
    <m/>
    <m/>
    <m/>
    <m/>
    <m/>
    <m/>
    <m/>
    <m/>
    <n v="0"/>
    <n v="0"/>
    <n v="2.5"/>
    <n v="9.5"/>
    <n v="12"/>
    <m/>
    <m/>
    <n v="0"/>
    <n v="136.76"/>
    <m/>
    <x v="14"/>
    <n v="47"/>
    <m/>
    <m/>
    <m/>
  </r>
  <r>
    <x v="0"/>
    <x v="3"/>
    <s v="5520 J"/>
    <x v="155"/>
    <s v="Jhangir Hussain Gudam Leager HD"/>
    <s v="PP"/>
    <n v="22"/>
    <s v="5-5.5"/>
    <s v="PP"/>
    <n v="100"/>
    <s v="PP"/>
    <n v="2"/>
    <n v="86.59"/>
    <n v="5.41"/>
    <m/>
    <m/>
    <n v="81.180000000000007"/>
    <s v="98.22"/>
    <m/>
    <m/>
    <m/>
    <n v="0"/>
    <n v="0"/>
    <m/>
    <m/>
    <m/>
    <m/>
    <m/>
    <m/>
    <m/>
    <m/>
    <n v="0"/>
    <n v="0"/>
    <n v="0"/>
    <n v="12"/>
    <n v="12"/>
    <m/>
    <m/>
    <n v="0"/>
    <n v="88.18"/>
    <m/>
    <x v="14"/>
    <n v="47"/>
    <m/>
    <m/>
    <m/>
  </r>
  <r>
    <x v="0"/>
    <x v="3"/>
    <s v="5500 J"/>
    <x v="155"/>
    <s v="Bandu Khan Lahore"/>
    <s v="PP"/>
    <s v="22&quot; شیٹ"/>
    <s v="4-4.5/8-9"/>
    <s v="PP"/>
    <n v="100"/>
    <s v="PP"/>
    <n v="3"/>
    <n v="114.47"/>
    <n v="8.1700000000000017"/>
    <m/>
    <m/>
    <n v="106.3"/>
    <s v="106.3"/>
    <m/>
    <m/>
    <m/>
    <n v="0"/>
    <n v="0"/>
    <m/>
    <m/>
    <m/>
    <m/>
    <m/>
    <m/>
    <m/>
    <m/>
    <n v="0"/>
    <n v="0"/>
    <n v="0"/>
    <n v="12"/>
    <n v="12"/>
    <m/>
    <m/>
    <n v="0"/>
    <n v="113.3"/>
    <m/>
    <x v="14"/>
    <n v="47"/>
    <m/>
    <m/>
    <m/>
  </r>
  <r>
    <x v="0"/>
    <x v="3"/>
    <s v="5499 J"/>
    <x v="155"/>
    <s v="Bandu Khan Lahore"/>
    <s v="PP"/>
    <s v="22&quot; شیٹ"/>
    <s v="4-4.5/8-9"/>
    <s v="PP"/>
    <n v="100"/>
    <s v="PP"/>
    <n v="3"/>
    <n v="108.62"/>
    <n v="8.1999999999999993"/>
    <m/>
    <m/>
    <n v="100.42"/>
    <s v="100.42"/>
    <m/>
    <m/>
    <m/>
    <n v="0"/>
    <n v="0"/>
    <m/>
    <m/>
    <m/>
    <m/>
    <m/>
    <m/>
    <m/>
    <m/>
    <n v="0"/>
    <n v="0"/>
    <n v="0"/>
    <n v="12"/>
    <n v="12"/>
    <m/>
    <m/>
    <n v="0"/>
    <n v="107.42"/>
    <m/>
    <x v="14"/>
    <n v="47"/>
    <m/>
    <m/>
    <m/>
  </r>
  <r>
    <x v="0"/>
    <x v="3"/>
    <s v="7494/4"/>
    <x v="155"/>
    <s v="سلطان ٹریڈرز فیصل اباد"/>
    <s v="PP"/>
    <n v="18"/>
    <s v="9"/>
    <s v="PP"/>
    <n v="50"/>
    <s v="PP"/>
    <n v="2"/>
    <n v="109.17"/>
    <n v="4"/>
    <n v="37"/>
    <m/>
    <n v="105.17"/>
    <s v="105.17"/>
    <n v="15"/>
    <n v="200"/>
    <m/>
    <n v="215"/>
    <n v="3.5833333333333335"/>
    <m/>
    <m/>
    <m/>
    <m/>
    <m/>
    <m/>
    <m/>
    <m/>
    <n v="0"/>
    <n v="0"/>
    <n v="3.5833333333333335"/>
    <n v="8.4166666666666661"/>
    <n v="12"/>
    <m/>
    <m/>
    <n v="0"/>
    <n v="112.17"/>
    <m/>
    <x v="14"/>
    <n v="47"/>
    <m/>
    <m/>
    <m/>
  </r>
  <r>
    <x v="0"/>
    <x v="3"/>
    <s v="7519/1"/>
    <x v="155"/>
    <s v="ایم دین پنڈی"/>
    <s v="PP"/>
    <n v="18"/>
    <s v="7"/>
    <s v="PP"/>
    <n v="75"/>
    <s v="PP"/>
    <n v="1"/>
    <n v="55.94"/>
    <n v="2"/>
    <m/>
    <m/>
    <n v="53.94"/>
    <s v="53.94"/>
    <m/>
    <m/>
    <m/>
    <n v="0"/>
    <n v="0"/>
    <m/>
    <m/>
    <m/>
    <m/>
    <m/>
    <m/>
    <m/>
    <m/>
    <n v="0"/>
    <n v="0"/>
    <n v="0"/>
    <n v="12"/>
    <n v="12"/>
    <m/>
    <m/>
    <n v="0"/>
    <n v="60.94"/>
    <m/>
    <x v="14"/>
    <n v="47"/>
    <m/>
    <m/>
    <m/>
  </r>
  <r>
    <x v="1"/>
    <x v="3"/>
    <s v="7499/5"/>
    <x v="155"/>
    <s v="آصف پلاسٹک سرگودھا"/>
    <s v="PP"/>
    <n v="18"/>
    <s v="4.5"/>
    <s v="PP"/>
    <n v="100"/>
    <s v="PP"/>
    <n v="2"/>
    <n v="59.22"/>
    <n v="3.6"/>
    <m/>
    <m/>
    <n v="55.62"/>
    <s v="55.62"/>
    <m/>
    <m/>
    <m/>
    <n v="0"/>
    <n v="0"/>
    <m/>
    <m/>
    <m/>
    <m/>
    <m/>
    <m/>
    <m/>
    <m/>
    <n v="0"/>
    <n v="0"/>
    <n v="0"/>
    <n v="12"/>
    <n v="12"/>
    <m/>
    <m/>
    <n v="0"/>
    <n v="62.62"/>
    <m/>
    <x v="14"/>
    <n v="47"/>
    <m/>
    <m/>
    <m/>
  </r>
  <r>
    <x v="1"/>
    <x v="3"/>
    <s v="5518 J"/>
    <x v="155"/>
    <s v="Jhangir Hussain Gudam Leager HD"/>
    <s v="PP"/>
    <n v="18"/>
    <s v="5-5.5"/>
    <s v="PP"/>
    <n v="100"/>
    <s v="PP"/>
    <n v="2"/>
    <n v="114.36"/>
    <n v="4.4000000000000004"/>
    <m/>
    <m/>
    <n v="109.96"/>
    <s v="109.96"/>
    <m/>
    <m/>
    <m/>
    <n v="0"/>
    <n v="0"/>
    <m/>
    <m/>
    <m/>
    <m/>
    <m/>
    <m/>
    <m/>
    <m/>
    <n v="0"/>
    <n v="0"/>
    <n v="0"/>
    <n v="12"/>
    <n v="12"/>
    <m/>
    <m/>
    <n v="0"/>
    <n v="116.96"/>
    <m/>
    <x v="14"/>
    <n v="47"/>
    <m/>
    <m/>
    <m/>
  </r>
  <r>
    <x v="1"/>
    <x v="3"/>
    <s v="4617 J"/>
    <x v="155"/>
    <s v="Jilani Poly Stock"/>
    <s v="PP"/>
    <n v="18"/>
    <s v="5-5.5"/>
    <s v="PP"/>
    <n v="1000"/>
    <s v="PP"/>
    <n v="8"/>
    <n v="496.32"/>
    <n v="14.4"/>
    <m/>
    <m/>
    <n v="481.92"/>
    <s v="2200.02"/>
    <m/>
    <m/>
    <m/>
    <n v="0"/>
    <n v="0"/>
    <m/>
    <m/>
    <m/>
    <m/>
    <m/>
    <m/>
    <m/>
    <m/>
    <n v="0"/>
    <n v="0"/>
    <n v="0"/>
    <n v="12"/>
    <n v="12"/>
    <m/>
    <m/>
    <n v="0"/>
    <n v="488.92"/>
    <m/>
    <x v="14"/>
    <n v="47"/>
    <m/>
    <m/>
    <m/>
  </r>
  <r>
    <x v="0"/>
    <x v="4"/>
    <s v="12/9"/>
    <x v="155"/>
    <s v="سٹاک"/>
    <s v="PP"/>
    <n v="12"/>
    <n v="5"/>
    <s v="PP"/>
    <n v="3500"/>
    <s v="PP"/>
    <n v="7"/>
    <n v="429.19"/>
    <n v="13.5"/>
    <n v="3.5"/>
    <m/>
    <n v="415.69"/>
    <s v="3542.0299999999997"/>
    <m/>
    <n v="180"/>
    <m/>
    <n v="180"/>
    <n v="3"/>
    <m/>
    <m/>
    <m/>
    <m/>
    <m/>
    <m/>
    <m/>
    <m/>
    <n v="0"/>
    <n v="0"/>
    <n v="3"/>
    <n v="9"/>
    <n v="12"/>
    <m/>
    <m/>
    <n v="0"/>
    <n v="422.69"/>
    <m/>
    <x v="14"/>
    <n v="47"/>
    <m/>
    <m/>
    <m/>
  </r>
  <r>
    <x v="1"/>
    <x v="4"/>
    <s v="12/9"/>
    <x v="155"/>
    <s v="سٹاک"/>
    <s v="PP"/>
    <n v="12"/>
    <n v="5"/>
    <s v="PP"/>
    <n v="3500"/>
    <s v="PP"/>
    <n v="9"/>
    <n v="552.89"/>
    <n v="10.799999999999999"/>
    <n v="3.5"/>
    <m/>
    <n v="542.09"/>
    <s v="3542.0299999999997"/>
    <m/>
    <m/>
    <m/>
    <n v="0"/>
    <n v="0"/>
    <m/>
    <m/>
    <m/>
    <m/>
    <m/>
    <m/>
    <m/>
    <m/>
    <n v="0"/>
    <n v="0"/>
    <n v="0"/>
    <n v="12"/>
    <n v="12"/>
    <m/>
    <m/>
    <n v="0"/>
    <n v="549.09"/>
    <m/>
    <x v="14"/>
    <n v="47"/>
    <m/>
    <m/>
    <m/>
  </r>
  <r>
    <x v="0"/>
    <x v="0"/>
    <s v="2.5/1"/>
    <x v="156"/>
    <s v="سٹاک"/>
    <s v="PP"/>
    <n v="2.5"/>
    <s v="5.5-6"/>
    <s v="PP"/>
    <n v="20"/>
    <s v="PP"/>
    <n v="5"/>
    <n v="98.67"/>
    <n v="10"/>
    <m/>
    <m/>
    <n v="88.67"/>
    <s v="806.96999999999991"/>
    <n v="20"/>
    <m/>
    <m/>
    <n v="20"/>
    <n v="0.33333333333333331"/>
    <m/>
    <m/>
    <m/>
    <m/>
    <m/>
    <m/>
    <n v="30"/>
    <m/>
    <n v="30"/>
    <n v="0.5"/>
    <n v="0.83333333333333326"/>
    <n v="11.166666666666666"/>
    <n v="12"/>
    <m/>
    <m/>
    <n v="0"/>
    <n v="95.67"/>
    <m/>
    <x v="14"/>
    <n v="47"/>
    <m/>
    <m/>
    <m/>
  </r>
  <r>
    <x v="0"/>
    <x v="0"/>
    <s v="7488/6"/>
    <x v="156"/>
    <s v="اصف پلاسٹک سرگودھا"/>
    <s v="PP"/>
    <n v="4.5"/>
    <s v="4.5"/>
    <s v="PP"/>
    <n v="150"/>
    <s v="PP"/>
    <n v="2"/>
    <n v="29.869999999999997"/>
    <n v="0.8"/>
    <m/>
    <m/>
    <n v="29.069999999999997"/>
    <s v="150.10899999999998"/>
    <m/>
    <m/>
    <m/>
    <n v="0"/>
    <n v="0"/>
    <m/>
    <m/>
    <m/>
    <m/>
    <m/>
    <m/>
    <m/>
    <m/>
    <n v="0"/>
    <n v="0"/>
    <n v="0"/>
    <n v="12"/>
    <n v="12"/>
    <m/>
    <m/>
    <n v="0"/>
    <n v="36.069999999999993"/>
    <m/>
    <x v="14"/>
    <n v="47"/>
    <m/>
    <m/>
    <m/>
  </r>
  <r>
    <x v="1"/>
    <x v="0"/>
    <s v="7488/6"/>
    <x v="156"/>
    <s v="اصف پلاسٹک سرگودھا"/>
    <s v="PP"/>
    <n v="4.5"/>
    <s v="4.5"/>
    <s v="PP"/>
    <n v="150"/>
    <s v="PP"/>
    <n v="8"/>
    <n v="99.929000000000002"/>
    <n v="3.2"/>
    <m/>
    <m/>
    <n v="96.728999999999999"/>
    <s v="150.10899999999998"/>
    <m/>
    <m/>
    <m/>
    <n v="0"/>
    <n v="0"/>
    <m/>
    <m/>
    <m/>
    <m/>
    <m/>
    <m/>
    <m/>
    <m/>
    <n v="0"/>
    <n v="0"/>
    <n v="0"/>
    <n v="12"/>
    <n v="12"/>
    <m/>
    <m/>
    <n v="0"/>
    <n v="103.729"/>
    <m/>
    <x v="14"/>
    <n v="47"/>
    <m/>
    <m/>
    <m/>
  </r>
  <r>
    <x v="1"/>
    <x v="0"/>
    <s v="2/4"/>
    <x v="156"/>
    <s v="سٹاک"/>
    <s v="PP"/>
    <n v="2"/>
    <s v="5.5-6"/>
    <s v="PP"/>
    <s v="40 رول بیگ"/>
    <s v="PP"/>
    <n v="3"/>
    <n v="67.599999999999994"/>
    <n v="0.60000000000000009"/>
    <m/>
    <m/>
    <n v="67"/>
    <s v="1739.87"/>
    <m/>
    <m/>
    <m/>
    <n v="0"/>
    <n v="0"/>
    <n v="25"/>
    <n v="40"/>
    <m/>
    <m/>
    <m/>
    <m/>
    <m/>
    <m/>
    <n v="65"/>
    <n v="1.0833333333333333"/>
    <n v="1.0833333333333333"/>
    <n v="10.916666666666666"/>
    <n v="12"/>
    <m/>
    <m/>
    <n v="0"/>
    <n v="74"/>
    <m/>
    <x v="14"/>
    <n v="47"/>
    <m/>
    <m/>
    <m/>
  </r>
  <r>
    <x v="0"/>
    <x v="1"/>
    <s v="3/5"/>
    <x v="156"/>
    <s v="سٹاک"/>
    <s v="PP"/>
    <n v="3"/>
    <s v="5.5-6"/>
    <s v="PP"/>
    <n v="1000"/>
    <s v="PP"/>
    <n v="10"/>
    <n v="138.72"/>
    <n v="3"/>
    <m/>
    <m/>
    <n v="135.72"/>
    <s v="1537.1100000000001"/>
    <n v="15"/>
    <m/>
    <m/>
    <n v="15"/>
    <n v="0.25"/>
    <m/>
    <m/>
    <m/>
    <m/>
    <m/>
    <m/>
    <m/>
    <m/>
    <n v="0"/>
    <n v="0"/>
    <n v="0.25"/>
    <n v="11.75"/>
    <n v="12"/>
    <m/>
    <m/>
    <n v="0"/>
    <n v="142.72"/>
    <m/>
    <x v="14"/>
    <n v="47"/>
    <m/>
    <m/>
    <m/>
  </r>
  <r>
    <x v="1"/>
    <x v="1"/>
    <s v="5/3"/>
    <x v="156"/>
    <s v="سٹاک"/>
    <s v="PP"/>
    <n v="5"/>
    <s v="5.5-6"/>
    <s v="PP"/>
    <n v="1000"/>
    <s v="PP"/>
    <n v="9"/>
    <n v="173.51999999999998"/>
    <n v="4.5"/>
    <m/>
    <m/>
    <n v="169.01999999999998"/>
    <s v="1034.1499999999999"/>
    <m/>
    <m/>
    <m/>
    <n v="0"/>
    <n v="0"/>
    <n v="25"/>
    <m/>
    <m/>
    <m/>
    <m/>
    <m/>
    <n v="25"/>
    <m/>
    <n v="50"/>
    <n v="0.83333333333333348"/>
    <n v="0.83333333333333348"/>
    <n v="11.166666666666666"/>
    <n v="12"/>
    <m/>
    <m/>
    <n v="0"/>
    <n v="176.01999999999998"/>
    <m/>
    <x v="14"/>
    <n v="47"/>
    <m/>
    <m/>
    <m/>
  </r>
  <r>
    <x v="0"/>
    <x v="3"/>
    <s v="4617 J"/>
    <x v="156"/>
    <s v="Jilani Poly Stock"/>
    <s v="PP"/>
    <n v="18"/>
    <s v="5-5.5"/>
    <s v="PP"/>
    <n v="1000"/>
    <s v="PP"/>
    <n v="5"/>
    <n v="284.65000000000003"/>
    <n v="10.4"/>
    <m/>
    <m/>
    <n v="274.25000000000006"/>
    <s v="2200.02"/>
    <m/>
    <m/>
    <m/>
    <n v="0"/>
    <n v="0"/>
    <m/>
    <m/>
    <m/>
    <m/>
    <m/>
    <m/>
    <m/>
    <m/>
    <n v="0"/>
    <n v="0"/>
    <n v="0"/>
    <n v="12"/>
    <n v="12"/>
    <m/>
    <m/>
    <n v="0"/>
    <n v="281.25000000000006"/>
    <m/>
    <x v="14"/>
    <n v="47"/>
    <m/>
    <m/>
    <m/>
  </r>
  <r>
    <x v="0"/>
    <x v="3"/>
    <s v="18/7"/>
    <x v="156"/>
    <s v="سٹاک"/>
    <s v="PP"/>
    <n v="18"/>
    <n v="5"/>
    <s v="PP"/>
    <n v="1000"/>
    <s v="PP"/>
    <n v="12"/>
    <n v="572.03"/>
    <n v="23.25"/>
    <n v="19"/>
    <m/>
    <n v="548.78"/>
    <s v="1146.3699999999999"/>
    <m/>
    <m/>
    <m/>
    <n v="0"/>
    <n v="0"/>
    <m/>
    <m/>
    <m/>
    <m/>
    <m/>
    <m/>
    <m/>
    <m/>
    <n v="0"/>
    <n v="0"/>
    <n v="0"/>
    <n v="12"/>
    <n v="12"/>
    <m/>
    <m/>
    <n v="0"/>
    <n v="555.78"/>
    <m/>
    <x v="14"/>
    <n v="47"/>
    <m/>
    <m/>
    <m/>
  </r>
  <r>
    <x v="1"/>
    <x v="3"/>
    <s v="18/7"/>
    <x v="156"/>
    <s v="سٹاک"/>
    <s v="PP"/>
    <n v="18"/>
    <n v="5"/>
    <s v="PP"/>
    <n v="1000"/>
    <s v="PP"/>
    <n v="11"/>
    <n v="617.39"/>
    <n v="19.8"/>
    <n v="46"/>
    <m/>
    <n v="597.59"/>
    <s v="1146.3699999999999"/>
    <m/>
    <m/>
    <m/>
    <n v="0"/>
    <n v="0"/>
    <n v="30"/>
    <m/>
    <m/>
    <m/>
    <m/>
    <m/>
    <n v="40"/>
    <m/>
    <n v="70"/>
    <n v="1.1666666666666667"/>
    <n v="1.1666666666666667"/>
    <n v="10.833333333333334"/>
    <n v="12"/>
    <m/>
    <m/>
    <n v="0"/>
    <n v="604.59"/>
    <m/>
    <x v="14"/>
    <n v="47"/>
    <m/>
    <m/>
    <m/>
  </r>
  <r>
    <x v="1"/>
    <x v="3"/>
    <s v="4617 J"/>
    <x v="156"/>
    <s v="Jilani Poly Stock"/>
    <s v="PP"/>
    <n v="18"/>
    <s v="5-5.5"/>
    <s v="PP"/>
    <n v="1000"/>
    <s v="PP"/>
    <n v="3"/>
    <n v="183.82"/>
    <n v="5.4"/>
    <m/>
    <m/>
    <n v="178.42"/>
    <s v="2200.02"/>
    <m/>
    <m/>
    <m/>
    <n v="0"/>
    <n v="0"/>
    <m/>
    <m/>
    <m/>
    <m/>
    <m/>
    <m/>
    <m/>
    <m/>
    <n v="0"/>
    <n v="0"/>
    <n v="0"/>
    <n v="12"/>
    <n v="12"/>
    <m/>
    <m/>
    <n v="0"/>
    <n v="185.42"/>
    <m/>
    <x v="14"/>
    <n v="47"/>
    <m/>
    <m/>
    <m/>
  </r>
  <r>
    <x v="0"/>
    <x v="4"/>
    <s v="12/9"/>
    <x v="156"/>
    <s v="سٹاک"/>
    <s v="PP"/>
    <n v="12"/>
    <n v="5"/>
    <s v="PP"/>
    <n v="3500"/>
    <s v="PP"/>
    <n v="9"/>
    <n v="554.29999999999995"/>
    <n v="15"/>
    <m/>
    <m/>
    <n v="539.29999999999995"/>
    <s v="3542.0299999999997"/>
    <m/>
    <m/>
    <m/>
    <n v="0"/>
    <n v="0"/>
    <m/>
    <m/>
    <m/>
    <m/>
    <m/>
    <m/>
    <m/>
    <m/>
    <n v="0"/>
    <n v="0"/>
    <n v="0"/>
    <n v="12"/>
    <n v="12"/>
    <m/>
    <m/>
    <n v="0"/>
    <n v="546.29999999999995"/>
    <m/>
    <x v="14"/>
    <n v="47"/>
    <m/>
    <m/>
    <m/>
  </r>
  <r>
    <x v="0"/>
    <x v="4"/>
    <s v="7499/7"/>
    <x v="156"/>
    <s v="آصف پلاسٹک سرگودھا"/>
    <s v="PP"/>
    <n v="12"/>
    <s v="4.5"/>
    <s v="PP"/>
    <n v="500"/>
    <s v="PP"/>
    <n v="1"/>
    <n v="60.49"/>
    <n v="1.5"/>
    <m/>
    <m/>
    <n v="58.99"/>
    <s v="650.18999999999994"/>
    <m/>
    <m/>
    <m/>
    <n v="0"/>
    <n v="0"/>
    <m/>
    <m/>
    <m/>
    <m/>
    <m/>
    <m/>
    <m/>
    <m/>
    <n v="0"/>
    <n v="0"/>
    <n v="0"/>
    <n v="12"/>
    <n v="12"/>
    <m/>
    <m/>
    <n v="0"/>
    <n v="65.990000000000009"/>
    <m/>
    <x v="14"/>
    <n v="47"/>
    <m/>
    <m/>
    <m/>
  </r>
  <r>
    <x v="1"/>
    <x v="4"/>
    <s v="7499/7"/>
    <x v="156"/>
    <s v="آصف پلاسٹک سرگودھا"/>
    <s v="PP"/>
    <n v="12"/>
    <s v="4.5"/>
    <s v="PP"/>
    <n v="500"/>
    <s v="PP"/>
    <n v="9"/>
    <n v="490.21999999999997"/>
    <n v="10.799999999999999"/>
    <m/>
    <m/>
    <n v="479.41999999999996"/>
    <s v="650.18999999999994"/>
    <m/>
    <m/>
    <m/>
    <n v="0"/>
    <n v="0"/>
    <n v="30"/>
    <m/>
    <n v="30"/>
    <m/>
    <m/>
    <m/>
    <n v="45"/>
    <m/>
    <n v="105"/>
    <n v="1.75"/>
    <n v="1.75"/>
    <n v="10.25"/>
    <n v="12"/>
    <m/>
    <m/>
    <n v="0"/>
    <n v="486.42"/>
    <m/>
    <x v="14"/>
    <n v="47"/>
    <m/>
    <m/>
    <m/>
  </r>
  <r>
    <x v="0"/>
    <x v="0"/>
    <s v="7488/6"/>
    <x v="157"/>
    <s v="اصف پلاسٹک سرگودھا"/>
    <s v="PP"/>
    <n v="4.5"/>
    <s v="4.5"/>
    <s v="PP"/>
    <n v="150"/>
    <s v="PP"/>
    <n v="2"/>
    <n v="25.11"/>
    <n v="0.8"/>
    <n v="35"/>
    <m/>
    <n v="24.31"/>
    <s v="150.10899999999998"/>
    <m/>
    <m/>
    <m/>
    <n v="0"/>
    <n v="0"/>
    <m/>
    <m/>
    <m/>
    <m/>
    <m/>
    <m/>
    <m/>
    <m/>
    <n v="0"/>
    <n v="0"/>
    <n v="0"/>
    <n v="12"/>
    <n v="12"/>
    <m/>
    <m/>
    <n v="0"/>
    <n v="31.31"/>
    <m/>
    <x v="14"/>
    <n v="47"/>
    <m/>
    <m/>
    <m/>
  </r>
  <r>
    <x v="0"/>
    <x v="0"/>
    <s v="2/4"/>
    <x v="157"/>
    <s v="سٹاک"/>
    <s v="PP"/>
    <n v="2"/>
    <s v="5.5-6"/>
    <s v="PP"/>
    <s v="40 رول بیگ"/>
    <s v="PP"/>
    <n v="7"/>
    <n v="103.53"/>
    <n v="1.4000000000000001"/>
    <m/>
    <m/>
    <n v="102.13"/>
    <s v="1739.87"/>
    <m/>
    <m/>
    <m/>
    <n v="0"/>
    <n v="0"/>
    <m/>
    <m/>
    <m/>
    <m/>
    <m/>
    <m/>
    <m/>
    <m/>
    <n v="0"/>
    <n v="0"/>
    <n v="0"/>
    <n v="12"/>
    <n v="12"/>
    <m/>
    <m/>
    <n v="0"/>
    <n v="109.13"/>
    <m/>
    <x v="14"/>
    <n v="47"/>
    <m/>
    <m/>
    <m/>
  </r>
  <r>
    <x v="1"/>
    <x v="0"/>
    <s v="2/4"/>
    <x v="157"/>
    <s v="سٹاک"/>
    <s v="PP"/>
    <n v="2"/>
    <s v="5.5-6"/>
    <s v="PP"/>
    <s v="40 رول بیگ"/>
    <s v="PP"/>
    <n v="8"/>
    <n v="126.46999999999998"/>
    <n v="1.6"/>
    <n v="27"/>
    <m/>
    <n v="124.86999999999999"/>
    <s v="1739.87"/>
    <m/>
    <m/>
    <m/>
    <n v="0"/>
    <n v="0"/>
    <m/>
    <m/>
    <m/>
    <m/>
    <m/>
    <m/>
    <m/>
    <m/>
    <n v="0"/>
    <n v="0"/>
    <n v="0"/>
    <n v="12"/>
    <n v="12"/>
    <m/>
    <m/>
    <n v="0"/>
    <n v="131.87"/>
    <m/>
    <x v="14"/>
    <n v="47"/>
    <m/>
    <m/>
    <m/>
  </r>
  <r>
    <x v="0"/>
    <x v="1"/>
    <s v="5/3"/>
    <x v="157"/>
    <s v="سٹاک"/>
    <s v="PP"/>
    <n v="5"/>
    <s v="5.5-6"/>
    <s v="PP"/>
    <n v="1000"/>
    <s v="PP"/>
    <n v="7"/>
    <n v="126.46"/>
    <n v="3.5"/>
    <m/>
    <m/>
    <n v="122.96"/>
    <s v="1034.1499999999999"/>
    <m/>
    <m/>
    <m/>
    <n v="0"/>
    <n v="0"/>
    <m/>
    <m/>
    <n v="120"/>
    <m/>
    <m/>
    <m/>
    <n v="20"/>
    <m/>
    <n v="140"/>
    <n v="2.3333333333333335"/>
    <n v="2.3333333333333335"/>
    <n v="9.6666666666666661"/>
    <n v="12"/>
    <m/>
    <m/>
    <n v="0"/>
    <n v="129.95999999999998"/>
    <m/>
    <x v="14"/>
    <n v="47"/>
    <m/>
    <m/>
    <m/>
  </r>
  <r>
    <x v="1"/>
    <x v="1"/>
    <s v="5/3"/>
    <x v="157"/>
    <s v="سٹاک"/>
    <s v="PP"/>
    <n v="5"/>
    <s v="5.5-6"/>
    <s v="PP"/>
    <n v="1000"/>
    <s v="PP"/>
    <n v="8"/>
    <n v="183.67000000000002"/>
    <n v="4"/>
    <m/>
    <m/>
    <n v="179.67000000000002"/>
    <s v="1034.1499999999999"/>
    <m/>
    <m/>
    <m/>
    <n v="0"/>
    <n v="0"/>
    <m/>
    <m/>
    <m/>
    <m/>
    <m/>
    <m/>
    <m/>
    <m/>
    <n v="0"/>
    <n v="0"/>
    <n v="0"/>
    <n v="12"/>
    <n v="12"/>
    <m/>
    <m/>
    <n v="0"/>
    <n v="186.67"/>
    <m/>
    <x v="14"/>
    <n v="47"/>
    <m/>
    <m/>
    <m/>
  </r>
  <r>
    <x v="0"/>
    <x v="3"/>
    <s v="4617 J"/>
    <x v="157"/>
    <s v="Jilani Poly Stock"/>
    <s v="PP"/>
    <n v="18"/>
    <s v="5-5.5"/>
    <s v="PP"/>
    <n v="1000"/>
    <s v="PP"/>
    <n v="5"/>
    <n v="333.47999999999996"/>
    <n v="9"/>
    <m/>
    <m/>
    <n v="324.47999999999996"/>
    <s v="2200.02"/>
    <n v="25"/>
    <m/>
    <m/>
    <n v="25"/>
    <n v="0.41666666666666674"/>
    <m/>
    <m/>
    <m/>
    <m/>
    <m/>
    <m/>
    <m/>
    <m/>
    <n v="0"/>
    <n v="0"/>
    <n v="0.41666666666666674"/>
    <n v="11.583333333333334"/>
    <n v="12"/>
    <m/>
    <m/>
    <n v="0"/>
    <n v="331.47999999999996"/>
    <m/>
    <x v="14"/>
    <n v="47"/>
    <m/>
    <m/>
    <m/>
  </r>
  <r>
    <x v="0"/>
    <x v="3"/>
    <s v="2452 F"/>
    <x v="157"/>
    <s v="Usman Amin"/>
    <s v="PP"/>
    <n v="25"/>
    <s v="8"/>
    <s v="PP"/>
    <n v="50"/>
    <s v="PP"/>
    <n v="2"/>
    <n v="79.990000000000009"/>
    <n v="5"/>
    <m/>
    <m/>
    <n v="74.990000000000009"/>
    <s v="74.990000000000009"/>
    <n v="25"/>
    <m/>
    <m/>
    <n v="25"/>
    <n v="0.41666666666666674"/>
    <m/>
    <m/>
    <m/>
    <m/>
    <m/>
    <m/>
    <m/>
    <m/>
    <n v="0"/>
    <n v="0"/>
    <n v="0.41666666666666674"/>
    <n v="11.583333333333334"/>
    <n v="12"/>
    <m/>
    <m/>
    <n v="0"/>
    <n v="81.990000000000009"/>
    <m/>
    <x v="14"/>
    <n v="47"/>
    <m/>
    <m/>
    <m/>
  </r>
  <r>
    <x v="0"/>
    <x v="3"/>
    <s v="5660 J"/>
    <x v="157"/>
    <s v="Jilani Poly Stock"/>
    <s v="PP"/>
    <n v="24"/>
    <s v="5-5.5"/>
    <s v="PP"/>
    <n v="1000"/>
    <s v="PP"/>
    <n v="6"/>
    <n v="365.37999999999994"/>
    <n v="14.399999999999999"/>
    <m/>
    <m/>
    <n v="350.97999999999996"/>
    <s v="1037.3699999999999"/>
    <m/>
    <m/>
    <m/>
    <n v="0"/>
    <n v="0"/>
    <m/>
    <m/>
    <m/>
    <m/>
    <m/>
    <m/>
    <m/>
    <m/>
    <n v="0"/>
    <n v="0"/>
    <n v="0"/>
    <n v="12"/>
    <n v="12"/>
    <m/>
    <m/>
    <n v="0"/>
    <n v="357.97999999999996"/>
    <m/>
    <x v="14"/>
    <n v="47"/>
    <m/>
    <m/>
    <m/>
  </r>
  <r>
    <x v="1"/>
    <x v="3"/>
    <s v="5660 J"/>
    <x v="157"/>
    <s v="Jilani Poly Stock"/>
    <s v="PP"/>
    <n v="24"/>
    <s v="5-5.5"/>
    <s v="PP"/>
    <n v="1000"/>
    <s v="PP"/>
    <n v="13"/>
    <n v="725.39"/>
    <n v="39"/>
    <m/>
    <m/>
    <n v="686.39"/>
    <s v="1037.3699999999999"/>
    <m/>
    <m/>
    <m/>
    <n v="0"/>
    <n v="0"/>
    <m/>
    <m/>
    <m/>
    <m/>
    <m/>
    <m/>
    <m/>
    <m/>
    <n v="0"/>
    <n v="0"/>
    <n v="0"/>
    <n v="12"/>
    <n v="12"/>
    <m/>
    <m/>
    <n v="0"/>
    <n v="693.39"/>
    <m/>
    <x v="14"/>
    <n v="47"/>
    <m/>
    <m/>
    <m/>
  </r>
  <r>
    <x v="1"/>
    <x v="3"/>
    <s v="5661 J"/>
    <x v="157"/>
    <s v="Jilani Poly Stock"/>
    <s v="PP"/>
    <n v="28"/>
    <s v="5-5.5"/>
    <s v="PP"/>
    <n v="500"/>
    <s v="PP"/>
    <n v="1"/>
    <n v="64.13"/>
    <n v="2.8"/>
    <m/>
    <m/>
    <n v="61.33"/>
    <s v="647.17000000000007"/>
    <n v="30"/>
    <m/>
    <m/>
    <n v="30"/>
    <n v="0.5"/>
    <m/>
    <m/>
    <m/>
    <m/>
    <m/>
    <m/>
    <m/>
    <m/>
    <n v="0"/>
    <n v="0"/>
    <n v="0.5"/>
    <n v="11.5"/>
    <n v="12"/>
    <m/>
    <m/>
    <n v="0"/>
    <n v="68.33"/>
    <m/>
    <x v="14"/>
    <n v="47"/>
    <m/>
    <m/>
    <m/>
  </r>
  <r>
    <x v="0"/>
    <x v="4"/>
    <s v="7499/7"/>
    <x v="157"/>
    <s v="آصف پلاسٹک سرگودھا"/>
    <s v="PP"/>
    <n v="12"/>
    <s v="4.5"/>
    <s v="PP"/>
    <n v="500"/>
    <s v="PP"/>
    <n v="2"/>
    <n v="114.18"/>
    <n v="2.4"/>
    <m/>
    <m/>
    <n v="111.78"/>
    <s v="650.18999999999994"/>
    <n v="25"/>
    <m/>
    <m/>
    <n v="25"/>
    <n v="0.41666666666666674"/>
    <m/>
    <m/>
    <m/>
    <m/>
    <m/>
    <m/>
    <m/>
    <m/>
    <n v="0"/>
    <n v="0"/>
    <n v="0.41666666666666674"/>
    <n v="11.583333333333334"/>
    <n v="12"/>
    <m/>
    <m/>
    <n v="0"/>
    <n v="118.78"/>
    <m/>
    <x v="14"/>
    <n v="47"/>
    <m/>
    <m/>
    <m/>
  </r>
  <r>
    <x v="0"/>
    <x v="4"/>
    <s v="10/10"/>
    <x v="157"/>
    <s v="سٹاک"/>
    <s v="PP"/>
    <s v="-"/>
    <n v="5"/>
    <s v="PP"/>
    <n v="1500"/>
    <s v="PP"/>
    <n v="6"/>
    <n v="271.56"/>
    <n v="6"/>
    <m/>
    <m/>
    <n v="265.56"/>
    <s v="1302.4799999999998"/>
    <m/>
    <m/>
    <m/>
    <n v="0"/>
    <n v="0"/>
    <m/>
    <m/>
    <m/>
    <m/>
    <m/>
    <m/>
    <m/>
    <m/>
    <n v="0"/>
    <n v="0"/>
    <n v="0"/>
    <n v="12"/>
    <n v="12"/>
    <m/>
    <m/>
    <n v="0"/>
    <n v="272.56"/>
    <m/>
    <x v="14"/>
    <n v="47"/>
    <m/>
    <m/>
    <m/>
  </r>
  <r>
    <x v="0"/>
    <x v="4"/>
    <s v="7494/1"/>
    <x v="157"/>
    <s v="سلطان ٹریڈرز فیصل اباد"/>
    <s v="PP"/>
    <n v="12"/>
    <s v="9"/>
    <s v="PP"/>
    <n v="50"/>
    <s v="PP"/>
    <n v="2"/>
    <n v="105.55"/>
    <n v="2.4"/>
    <m/>
    <m/>
    <n v="103.14999999999999"/>
    <s v="103.14999999999999"/>
    <m/>
    <m/>
    <m/>
    <n v="0"/>
    <n v="0"/>
    <m/>
    <m/>
    <m/>
    <m/>
    <m/>
    <m/>
    <m/>
    <m/>
    <n v="0"/>
    <n v="0"/>
    <n v="0"/>
    <n v="12"/>
    <n v="12"/>
    <m/>
    <m/>
    <n v="0"/>
    <n v="110.15"/>
    <m/>
    <x v="14"/>
    <n v="47"/>
    <m/>
    <m/>
    <m/>
  </r>
  <r>
    <x v="1"/>
    <x v="4"/>
    <s v="10/10"/>
    <x v="157"/>
    <s v="سٹاک"/>
    <s v="PP"/>
    <s v="-"/>
    <n v="5"/>
    <s v="PP"/>
    <n v="1500"/>
    <s v="PP"/>
    <n v="10"/>
    <n v="531.53"/>
    <n v="12"/>
    <m/>
    <m/>
    <n v="519.53"/>
    <s v="1302.4799999999998"/>
    <m/>
    <m/>
    <m/>
    <n v="0"/>
    <n v="0"/>
    <m/>
    <m/>
    <m/>
    <m/>
    <m/>
    <m/>
    <m/>
    <m/>
    <n v="0"/>
    <n v="0"/>
    <n v="0"/>
    <n v="12"/>
    <n v="12"/>
    <m/>
    <m/>
    <n v="0"/>
    <n v="526.53"/>
    <m/>
    <x v="14"/>
    <n v="47"/>
    <m/>
    <m/>
    <m/>
  </r>
  <r>
    <x v="0"/>
    <x v="0"/>
    <s v="2/4"/>
    <x v="158"/>
    <s v="سٹاک"/>
    <s v="PP"/>
    <n v="2"/>
    <s v="5.5-6"/>
    <s v="PP"/>
    <s v="40 رول بیگ"/>
    <s v="PP"/>
    <n v="8"/>
    <n v="126.51"/>
    <n v="1.6"/>
    <n v="8"/>
    <m/>
    <n v="124.91000000000001"/>
    <s v="1739.87"/>
    <m/>
    <m/>
    <m/>
    <n v="0"/>
    <n v="0"/>
    <m/>
    <m/>
    <m/>
    <m/>
    <m/>
    <m/>
    <m/>
    <m/>
    <n v="0"/>
    <n v="0"/>
    <n v="0"/>
    <n v="12"/>
    <n v="12"/>
    <m/>
    <m/>
    <n v="0"/>
    <n v="131.91000000000005"/>
    <m/>
    <x v="15"/>
    <m/>
    <m/>
    <m/>
    <m/>
  </r>
  <r>
    <x v="1"/>
    <x v="0"/>
    <s v="2/4"/>
    <x v="158"/>
    <s v="سٹاک"/>
    <s v="PP"/>
    <n v="2"/>
    <s v="5.5-6"/>
    <s v="PP"/>
    <s v="40 رول بیگ"/>
    <s v="PP"/>
    <n v="8"/>
    <n v="127.78"/>
    <n v="1.6"/>
    <n v="8"/>
    <m/>
    <n v="126.18"/>
    <s v="1739.87"/>
    <m/>
    <m/>
    <m/>
    <n v="0"/>
    <n v="0"/>
    <m/>
    <m/>
    <m/>
    <m/>
    <m/>
    <m/>
    <m/>
    <m/>
    <n v="0"/>
    <n v="0"/>
    <n v="0"/>
    <n v="12"/>
    <n v="12"/>
    <m/>
    <m/>
    <n v="0"/>
    <n v="133.18"/>
    <m/>
    <x v="15"/>
    <m/>
    <m/>
    <m/>
    <m/>
  </r>
  <r>
    <x v="0"/>
    <x v="1"/>
    <s v="5/3"/>
    <x v="158"/>
    <s v="سٹاک"/>
    <s v="PP"/>
    <n v="5"/>
    <s v="5.5-6"/>
    <s v="PP"/>
    <n v="1000"/>
    <s v="PP"/>
    <n v="9"/>
    <n v="183.67"/>
    <n v="4.5"/>
    <m/>
    <m/>
    <n v="179.17"/>
    <s v="1034.1499999999999"/>
    <m/>
    <m/>
    <m/>
    <n v="0"/>
    <n v="0"/>
    <m/>
    <m/>
    <m/>
    <m/>
    <m/>
    <m/>
    <m/>
    <m/>
    <n v="0"/>
    <n v="0"/>
    <n v="0"/>
    <n v="12"/>
    <n v="12"/>
    <m/>
    <m/>
    <n v="0"/>
    <n v="186.17"/>
    <m/>
    <x v="15"/>
    <m/>
    <m/>
    <m/>
    <m/>
  </r>
  <r>
    <x v="1"/>
    <x v="1"/>
    <s v="5/3"/>
    <x v="158"/>
    <s v="سٹاک"/>
    <s v="PP"/>
    <n v="5"/>
    <s v="5.5-6"/>
    <s v="PP"/>
    <n v="1000"/>
    <s v="PP"/>
    <n v="8"/>
    <n v="175.73000000000002"/>
    <n v="4"/>
    <m/>
    <m/>
    <n v="171.73000000000002"/>
    <s v="1034.1499999999999"/>
    <m/>
    <m/>
    <m/>
    <n v="0"/>
    <n v="0"/>
    <m/>
    <m/>
    <m/>
    <m/>
    <m/>
    <m/>
    <m/>
    <m/>
    <n v="0"/>
    <n v="0"/>
    <n v="0"/>
    <n v="12"/>
    <n v="12"/>
    <m/>
    <m/>
    <n v="0"/>
    <n v="178.73000000000002"/>
    <m/>
    <x v="15"/>
    <m/>
    <m/>
    <m/>
    <m/>
  </r>
  <r>
    <x v="1"/>
    <x v="2"/>
    <s v="7499/3"/>
    <x v="158"/>
    <s v="آصف پلاسٹک سرگودھا"/>
    <s v="PP"/>
    <n v="7"/>
    <s v="4.5"/>
    <s v="PP"/>
    <n v="100"/>
    <s v="PP"/>
    <n v="4"/>
    <n v="109.71"/>
    <n v="3.1799999999999997"/>
    <m/>
    <m/>
    <n v="106.53"/>
    <s v="106.53"/>
    <m/>
    <m/>
    <m/>
    <n v="0"/>
    <n v="0"/>
    <m/>
    <m/>
    <m/>
    <m/>
    <m/>
    <m/>
    <m/>
    <m/>
    <n v="0"/>
    <n v="0"/>
    <n v="0"/>
    <n v="12"/>
    <n v="12"/>
    <m/>
    <m/>
    <n v="0"/>
    <n v="113.53"/>
    <m/>
    <x v="15"/>
    <m/>
    <m/>
    <m/>
    <m/>
  </r>
  <r>
    <x v="1"/>
    <x v="2"/>
    <s v="7/8"/>
    <x v="158"/>
    <s v="سٹاک"/>
    <s v="PP"/>
    <n v="7"/>
    <n v="5"/>
    <s v="PP"/>
    <n v="1500"/>
    <s v="PP"/>
    <n v="6"/>
    <n v="241.13"/>
    <n v="4.8000000000000007"/>
    <m/>
    <m/>
    <n v="236.32999999999998"/>
    <s v="1630.38"/>
    <m/>
    <m/>
    <m/>
    <n v="0"/>
    <n v="0"/>
    <m/>
    <m/>
    <m/>
    <m/>
    <m/>
    <m/>
    <m/>
    <m/>
    <n v="0"/>
    <n v="0"/>
    <n v="0"/>
    <n v="12"/>
    <n v="12"/>
    <m/>
    <m/>
    <n v="0"/>
    <n v="243.33"/>
    <m/>
    <x v="15"/>
    <m/>
    <m/>
    <m/>
    <m/>
  </r>
  <r>
    <x v="0"/>
    <x v="3"/>
    <s v="5661 J"/>
    <x v="158"/>
    <s v="Jilani Poly Stock"/>
    <s v="PP"/>
    <n v="28"/>
    <s v="5-5.5"/>
    <s v="PP"/>
    <n v="500"/>
    <s v="PP"/>
    <n v="10"/>
    <n v="613.84"/>
    <n v="28"/>
    <m/>
    <m/>
    <n v="585.84"/>
    <s v="647.17000000000007"/>
    <n v="25"/>
    <m/>
    <m/>
    <n v="25"/>
    <n v="0.41666666666666674"/>
    <m/>
    <m/>
    <m/>
    <m/>
    <m/>
    <m/>
    <m/>
    <m/>
    <n v="0"/>
    <n v="0"/>
    <n v="0.41666666666666674"/>
    <n v="11.583333333333334"/>
    <n v="12"/>
    <m/>
    <m/>
    <n v="0"/>
    <n v="592.84"/>
    <m/>
    <x v="15"/>
    <m/>
    <m/>
    <m/>
    <m/>
  </r>
  <r>
    <x v="0"/>
    <x v="3"/>
    <s v="5659 J"/>
    <x v="158"/>
    <s v="Jilani Poly Stock"/>
    <s v="PP"/>
    <n v="20"/>
    <s v="5-5.5"/>
    <s v="PP"/>
    <n v="1000"/>
    <s v="PP"/>
    <n v="2"/>
    <n v="106.15"/>
    <n v="4"/>
    <m/>
    <m/>
    <n v="102.15"/>
    <s v="1184.03"/>
    <m/>
    <m/>
    <m/>
    <n v="0"/>
    <n v="0"/>
    <m/>
    <m/>
    <m/>
    <m/>
    <m/>
    <m/>
    <m/>
    <m/>
    <n v="0"/>
    <n v="0"/>
    <n v="0"/>
    <n v="12"/>
    <n v="12"/>
    <m/>
    <m/>
    <n v="0"/>
    <n v="109.15"/>
    <m/>
    <x v="15"/>
    <m/>
    <m/>
    <m/>
    <m/>
  </r>
  <r>
    <x v="0"/>
    <x v="3"/>
    <s v="5519 J"/>
    <x v="158"/>
    <s v="Jhangir Hussain Gudam Leager HD"/>
    <s v="PP"/>
    <n v="20"/>
    <s v="5-5.5"/>
    <s v="PP"/>
    <n v="100"/>
    <s v="PP"/>
    <n v="2"/>
    <n v="107.72"/>
    <n v="4"/>
    <n v="20"/>
    <m/>
    <n v="103.72"/>
    <s v="103.72"/>
    <m/>
    <m/>
    <m/>
    <n v="0"/>
    <n v="0"/>
    <m/>
    <m/>
    <m/>
    <m/>
    <m/>
    <m/>
    <m/>
    <m/>
    <n v="0"/>
    <n v="0"/>
    <n v="0"/>
    <n v="12"/>
    <n v="12"/>
    <m/>
    <m/>
    <n v="0"/>
    <n v="110.72"/>
    <m/>
    <x v="15"/>
    <m/>
    <m/>
    <m/>
    <m/>
  </r>
  <r>
    <x v="1"/>
    <x v="3"/>
    <s v="5659 J"/>
    <x v="158"/>
    <s v="Jilani Poly Stock"/>
    <s v="PP"/>
    <n v="20"/>
    <s v="5-5.5"/>
    <s v="PP"/>
    <n v="1000"/>
    <s v="PP"/>
    <n v="17"/>
    <n v="898.33999999999992"/>
    <n v="42.5"/>
    <n v="13"/>
    <m/>
    <n v="855.83999999999992"/>
    <s v="1184.03"/>
    <m/>
    <m/>
    <m/>
    <n v="0"/>
    <n v="0"/>
    <m/>
    <m/>
    <m/>
    <m/>
    <m/>
    <m/>
    <m/>
    <m/>
    <n v="0"/>
    <n v="0"/>
    <n v="0"/>
    <n v="12"/>
    <n v="12"/>
    <m/>
    <m/>
    <n v="0"/>
    <n v="862.84"/>
    <m/>
    <x v="15"/>
    <m/>
    <m/>
    <m/>
    <m/>
  </r>
  <r>
    <x v="0"/>
    <x v="4"/>
    <s v="10/10"/>
    <x v="158"/>
    <s v="سٹاک"/>
    <s v="PP"/>
    <s v="-"/>
    <n v="5"/>
    <s v="PP"/>
    <n v="1500"/>
    <s v="PP"/>
    <n v="12"/>
    <n v="529.38999999999987"/>
    <n v="12"/>
    <m/>
    <m/>
    <n v="517.38999999999987"/>
    <s v="1302.4799999999998"/>
    <m/>
    <m/>
    <m/>
    <n v="0"/>
    <n v="0"/>
    <m/>
    <m/>
    <m/>
    <m/>
    <m/>
    <m/>
    <m/>
    <m/>
    <n v="0"/>
    <n v="0"/>
    <n v="0"/>
    <n v="12"/>
    <n v="12"/>
    <m/>
    <m/>
    <n v="0"/>
    <n v="524.38999999999987"/>
    <m/>
    <x v="15"/>
    <m/>
    <m/>
    <m/>
    <m/>
  </r>
  <r>
    <x v="0"/>
    <x v="0"/>
    <s v="2/4"/>
    <x v="159"/>
    <s v="سٹاک"/>
    <s v="PP"/>
    <n v="2"/>
    <s v="5.5-6"/>
    <s v="PP"/>
    <s v="40 رول بیگ"/>
    <s v="PP"/>
    <n v="8"/>
    <n v="123.94999999999999"/>
    <n v="1.6"/>
    <n v="29"/>
    <m/>
    <n v="122.35"/>
    <s v="1739.87"/>
    <m/>
    <m/>
    <m/>
    <n v="0"/>
    <n v="0"/>
    <m/>
    <m/>
    <m/>
    <m/>
    <m/>
    <m/>
    <m/>
    <m/>
    <n v="0"/>
    <n v="0"/>
    <n v="0"/>
    <n v="12"/>
    <n v="12"/>
    <m/>
    <m/>
    <n v="0"/>
    <n v="120"/>
    <m/>
    <x v="15"/>
    <m/>
    <m/>
    <m/>
    <m/>
  </r>
  <r>
    <x v="1"/>
    <x v="0"/>
    <s v="2/4"/>
    <x v="159"/>
    <s v="سٹاک"/>
    <s v="PP"/>
    <n v="2"/>
    <s v="5.5-6"/>
    <s v="PP"/>
    <s v="40 رول بیگ"/>
    <s v="PP"/>
    <n v="8"/>
    <n v="113.93"/>
    <n v="1.6"/>
    <n v="16"/>
    <m/>
    <n v="112.33000000000001"/>
    <s v="1739.87"/>
    <m/>
    <m/>
    <m/>
    <n v="0"/>
    <n v="0"/>
    <m/>
    <m/>
    <m/>
    <m/>
    <m/>
    <m/>
    <m/>
    <m/>
    <n v="0"/>
    <n v="0"/>
    <n v="0"/>
    <n v="12"/>
    <n v="12"/>
    <m/>
    <m/>
    <n v="0"/>
    <n v="120"/>
    <m/>
    <x v="15"/>
    <m/>
    <m/>
    <m/>
    <m/>
  </r>
  <r>
    <x v="0"/>
    <x v="1"/>
    <s v="5/3"/>
    <x v="159"/>
    <s v="سٹاک"/>
    <s v="PP"/>
    <n v="5"/>
    <s v="5.5-6"/>
    <s v="PP"/>
    <n v="1000"/>
    <s v="PP"/>
    <n v="9"/>
    <n v="156.37"/>
    <n v="4.5"/>
    <m/>
    <m/>
    <n v="151.87"/>
    <s v="1034.1499999999999"/>
    <m/>
    <m/>
    <m/>
    <n v="0"/>
    <n v="0"/>
    <m/>
    <m/>
    <m/>
    <m/>
    <m/>
    <m/>
    <n v="30"/>
    <m/>
    <n v="30"/>
    <n v="0.5"/>
    <n v="0.5"/>
    <n v="11.5"/>
    <n v="12"/>
    <m/>
    <m/>
    <n v="0"/>
    <n v="170"/>
    <m/>
    <x v="15"/>
    <m/>
    <m/>
    <m/>
    <m/>
  </r>
  <r>
    <x v="1"/>
    <x v="1"/>
    <s v="5/3"/>
    <x v="159"/>
    <s v="سٹاک"/>
    <s v="PP"/>
    <n v="5"/>
    <s v="5.5-6"/>
    <s v="PP"/>
    <n v="1000"/>
    <s v="PP"/>
    <n v="5"/>
    <n v="62.23"/>
    <n v="2.5"/>
    <m/>
    <m/>
    <n v="59.73"/>
    <s v="1034.1499999999999"/>
    <m/>
    <m/>
    <m/>
    <n v="0"/>
    <n v="0"/>
    <m/>
    <m/>
    <m/>
    <m/>
    <m/>
    <m/>
    <m/>
    <m/>
    <n v="0"/>
    <n v="0"/>
    <n v="0"/>
    <n v="12"/>
    <n v="12"/>
    <m/>
    <m/>
    <n v="0"/>
    <n v="170"/>
    <m/>
    <x v="15"/>
    <m/>
    <m/>
    <m/>
    <m/>
  </r>
  <r>
    <x v="1"/>
    <x v="1"/>
    <s v="7472/3"/>
    <x v="159"/>
    <s v="العمر پلاسٹک گوجرانوالہ"/>
    <s v="PP"/>
    <n v="5"/>
    <s v="5"/>
    <s v="PP"/>
    <s v="5 رول بیگ"/>
    <s v="PP"/>
    <n v="5"/>
    <n v="94.78"/>
    <n v="2.5"/>
    <m/>
    <m/>
    <n v="92.28"/>
    <s v="92.28"/>
    <m/>
    <m/>
    <m/>
    <n v="0"/>
    <n v="0"/>
    <m/>
    <m/>
    <m/>
    <m/>
    <m/>
    <m/>
    <m/>
    <m/>
    <n v="0"/>
    <n v="0"/>
    <n v="0"/>
    <n v="12"/>
    <n v="12"/>
    <m/>
    <m/>
    <n v="0"/>
    <m/>
    <m/>
    <x v="15"/>
    <m/>
    <m/>
    <m/>
    <m/>
  </r>
  <r>
    <x v="1"/>
    <x v="1"/>
    <s v="7536/1"/>
    <x v="159"/>
    <s v="خرم پلاسٹک لالہ موسہ"/>
    <s v="PP"/>
    <n v="5"/>
    <s v="10"/>
    <s v="PP"/>
    <n v="100"/>
    <s v="PP"/>
    <n v="1"/>
    <n v="20.81"/>
    <n v="0.5"/>
    <m/>
    <m/>
    <n v="20.309999999999999"/>
    <s v="108.19999999999999"/>
    <m/>
    <m/>
    <m/>
    <n v="0"/>
    <n v="0"/>
    <m/>
    <m/>
    <m/>
    <m/>
    <m/>
    <m/>
    <m/>
    <m/>
    <n v="0"/>
    <n v="0"/>
    <n v="0"/>
    <n v="12"/>
    <n v="12"/>
    <m/>
    <m/>
    <n v="0"/>
    <m/>
    <m/>
    <x v="15"/>
    <m/>
    <m/>
    <m/>
    <m/>
  </r>
  <r>
    <x v="0"/>
    <x v="2"/>
    <s v="7/8"/>
    <x v="159"/>
    <s v="سٹاک"/>
    <s v="PP"/>
    <n v="7"/>
    <n v="5"/>
    <s v="PP"/>
    <n v="1500"/>
    <s v="PP"/>
    <n v="8"/>
    <n v="277.14"/>
    <n v="5.6"/>
    <m/>
    <m/>
    <n v="271.53999999999996"/>
    <s v="1630.38"/>
    <m/>
    <m/>
    <m/>
    <n v="0"/>
    <n v="0"/>
    <m/>
    <m/>
    <m/>
    <m/>
    <m/>
    <m/>
    <m/>
    <m/>
    <n v="0"/>
    <n v="0"/>
    <n v="0"/>
    <n v="12"/>
    <n v="12"/>
    <m/>
    <m/>
    <n v="0"/>
    <m/>
    <m/>
    <x v="15"/>
    <m/>
    <m/>
    <m/>
    <m/>
  </r>
  <r>
    <x v="0"/>
    <x v="2"/>
    <s v="7539/9"/>
    <x v="159"/>
    <s v="امارات پلاسٹک چونگ"/>
    <s v="PP"/>
    <n v="7"/>
    <s v="4.5"/>
    <s v="PP"/>
    <n v="50"/>
    <s v="PP"/>
    <n v="2"/>
    <n v="59.88"/>
    <n v="1.4"/>
    <m/>
    <m/>
    <n v="58.480000000000004"/>
    <s v="225.09000000000003"/>
    <m/>
    <m/>
    <m/>
    <n v="0"/>
    <n v="0"/>
    <m/>
    <m/>
    <m/>
    <m/>
    <m/>
    <m/>
    <m/>
    <m/>
    <n v="0"/>
    <n v="0"/>
    <n v="0"/>
    <n v="12"/>
    <n v="12"/>
    <m/>
    <m/>
    <n v="0"/>
    <n v="320"/>
    <m/>
    <x v="15"/>
    <m/>
    <m/>
    <m/>
    <m/>
  </r>
  <r>
    <x v="1"/>
    <x v="2"/>
    <s v="7/8"/>
    <x v="159"/>
    <s v="سٹاک"/>
    <s v="PP"/>
    <n v="7"/>
    <n v="5"/>
    <s v="PP"/>
    <n v="1500"/>
    <s v="PP"/>
    <n v="10"/>
    <n v="329.62"/>
    <n v="9"/>
    <m/>
    <m/>
    <n v="320.62"/>
    <s v="1630.38"/>
    <m/>
    <m/>
    <m/>
    <n v="0"/>
    <n v="0"/>
    <m/>
    <m/>
    <m/>
    <m/>
    <m/>
    <m/>
    <m/>
    <m/>
    <n v="0"/>
    <n v="0"/>
    <n v="0"/>
    <n v="12"/>
    <n v="12"/>
    <m/>
    <m/>
    <n v="0"/>
    <n v="320"/>
    <m/>
    <x v="15"/>
    <m/>
    <m/>
    <m/>
    <m/>
  </r>
  <r>
    <x v="0"/>
    <x v="3"/>
    <s v="2490 F"/>
    <x v="159"/>
    <s v="Usman Amin"/>
    <s v="PP"/>
    <n v="20"/>
    <s v="5-5.5"/>
    <s v="PP"/>
    <n v="150"/>
    <s v="PP"/>
    <n v="3"/>
    <n v="169.1"/>
    <n v="6"/>
    <m/>
    <m/>
    <n v="163.1"/>
    <s v="163.1"/>
    <n v="25"/>
    <m/>
    <m/>
    <n v="25"/>
    <n v="0.41666666666666674"/>
    <m/>
    <n v="20"/>
    <m/>
    <m/>
    <m/>
    <m/>
    <m/>
    <m/>
    <n v="20"/>
    <n v="0.33333333333333331"/>
    <n v="0.75"/>
    <n v="11.25"/>
    <n v="12"/>
    <m/>
    <m/>
    <n v="0"/>
    <m/>
    <m/>
    <x v="15"/>
    <m/>
    <m/>
    <m/>
    <m/>
  </r>
  <r>
    <x v="0"/>
    <x v="3"/>
    <s v="5659 J"/>
    <x v="159"/>
    <s v="Jilani Poly Stock"/>
    <s v="PP"/>
    <n v="20"/>
    <s v="5-5.5"/>
    <s v="PP"/>
    <n v="1000"/>
    <s v="PP"/>
    <n v="4"/>
    <n v="234.04"/>
    <n v="8"/>
    <m/>
    <m/>
    <n v="226.04"/>
    <s v="1184.03"/>
    <m/>
    <m/>
    <m/>
    <n v="0"/>
    <n v="0"/>
    <m/>
    <m/>
    <m/>
    <m/>
    <m/>
    <m/>
    <m/>
    <m/>
    <n v="0"/>
    <n v="0"/>
    <n v="0"/>
    <n v="12"/>
    <n v="12"/>
    <m/>
    <m/>
    <n v="0"/>
    <n v="790"/>
    <m/>
    <x v="15"/>
    <m/>
    <m/>
    <m/>
    <m/>
  </r>
  <r>
    <x v="0"/>
    <x v="3"/>
    <s v="7538/1"/>
    <x v="159"/>
    <s v="ایم دین پنڈی"/>
    <s v="PP"/>
    <n v="18"/>
    <s v="6-6.5"/>
    <s v="PP"/>
    <n v="1500"/>
    <s v="PP"/>
    <n v="8"/>
    <n v="414.41"/>
    <n v="14.4"/>
    <n v="3"/>
    <m/>
    <n v="400.01000000000005"/>
    <s v="1524.71"/>
    <m/>
    <m/>
    <m/>
    <n v="0"/>
    <n v="0"/>
    <m/>
    <m/>
    <m/>
    <m/>
    <m/>
    <m/>
    <m/>
    <m/>
    <n v="0"/>
    <n v="0"/>
    <n v="0"/>
    <n v="12"/>
    <n v="12"/>
    <m/>
    <m/>
    <n v="0"/>
    <m/>
    <m/>
    <x v="15"/>
    <m/>
    <m/>
    <m/>
    <m/>
  </r>
  <r>
    <x v="1"/>
    <x v="3"/>
    <s v="7538/1"/>
    <x v="159"/>
    <s v="ایم دین پنڈی"/>
    <s v="PP"/>
    <n v="18"/>
    <s v="6-6.5"/>
    <s v="PP"/>
    <n v="1500"/>
    <s v="PP"/>
    <n v="16"/>
    <n v="783.01"/>
    <n v="32"/>
    <n v="3"/>
    <m/>
    <n v="751.01"/>
    <s v="1524.71"/>
    <m/>
    <m/>
    <m/>
    <n v="0"/>
    <n v="0"/>
    <m/>
    <m/>
    <m/>
    <m/>
    <m/>
    <m/>
    <m/>
    <m/>
    <n v="0"/>
    <n v="0"/>
    <n v="0"/>
    <n v="12"/>
    <n v="12"/>
    <m/>
    <m/>
    <n v="0"/>
    <n v="790"/>
    <m/>
    <x v="15"/>
    <m/>
    <m/>
    <m/>
    <m/>
  </r>
  <r>
    <x v="0"/>
    <x v="0"/>
    <s v="2/4"/>
    <x v="160"/>
    <s v="سٹاک"/>
    <s v="PP"/>
    <n v="2"/>
    <s v="5.5-6"/>
    <s v="PP"/>
    <s v="40 رول بیگ"/>
    <s v="PP"/>
    <n v="9"/>
    <n v="135.28"/>
    <n v="1.8"/>
    <n v="39"/>
    <m/>
    <n v="133.47999999999999"/>
    <s v="1739.87"/>
    <m/>
    <m/>
    <m/>
    <n v="0"/>
    <n v="0"/>
    <m/>
    <m/>
    <m/>
    <m/>
    <m/>
    <m/>
    <m/>
    <m/>
    <n v="0"/>
    <n v="0"/>
    <n v="0"/>
    <n v="12"/>
    <n v="12"/>
    <m/>
    <m/>
    <n v="0"/>
    <n v="125"/>
    <m/>
    <x v="15"/>
    <m/>
    <m/>
    <m/>
    <m/>
  </r>
  <r>
    <x v="1"/>
    <x v="0"/>
    <s v="2/4"/>
    <x v="160"/>
    <s v="سٹاک"/>
    <s v="PP"/>
    <n v="2"/>
    <s v="5.5-6"/>
    <s v="PP"/>
    <s v="40 رول بیگ"/>
    <s v="PP"/>
    <n v="9"/>
    <n v="109.61"/>
    <n v="3.6"/>
    <n v="36"/>
    <m/>
    <n v="106.01"/>
    <s v="1739.87"/>
    <m/>
    <m/>
    <m/>
    <n v="0"/>
    <n v="0"/>
    <m/>
    <m/>
    <m/>
    <m/>
    <m/>
    <m/>
    <m/>
    <m/>
    <n v="0"/>
    <n v="0"/>
    <n v="0"/>
    <n v="12"/>
    <n v="12"/>
    <m/>
    <m/>
    <n v="0"/>
    <n v="125"/>
    <m/>
    <x v="15"/>
    <m/>
    <m/>
    <m/>
    <m/>
  </r>
  <r>
    <x v="0"/>
    <x v="1"/>
    <s v="7536/1"/>
    <x v="160"/>
    <s v="خرم پلاسٹک لالہ موسہ"/>
    <s v="PP"/>
    <n v="5"/>
    <s v="10"/>
    <s v="PP"/>
    <n v="100"/>
    <s v="PP"/>
    <n v="7"/>
    <n v="91.389999999999986"/>
    <n v="3.5"/>
    <m/>
    <m/>
    <n v="87.889999999999986"/>
    <s v="108.19999999999999"/>
    <n v="25"/>
    <m/>
    <m/>
    <n v="25"/>
    <n v="0.41666666666666674"/>
    <m/>
    <m/>
    <n v="165"/>
    <m/>
    <m/>
    <m/>
    <m/>
    <m/>
    <n v="165"/>
    <n v="2.75"/>
    <n v="3.1666666666666665"/>
    <n v="8.8333333333333339"/>
    <n v="12"/>
    <m/>
    <m/>
    <n v="0"/>
    <n v="220"/>
    <m/>
    <x v="15"/>
    <m/>
    <m/>
    <m/>
    <m/>
  </r>
  <r>
    <x v="0"/>
    <x v="1"/>
    <s v="7526/1"/>
    <x v="160"/>
    <s v="AS کلاتھ اعظم مارکیٹ"/>
    <s v="PP"/>
    <n v="6"/>
    <s v="6"/>
    <s v="PP"/>
    <n v="200"/>
    <s v="PP"/>
    <n v="3"/>
    <n v="64.150000000000006"/>
    <n v="1.7999999999999998"/>
    <m/>
    <m/>
    <n v="62.350000000000009"/>
    <s v="281.83999999999997"/>
    <m/>
    <m/>
    <m/>
    <n v="0"/>
    <n v="0"/>
    <m/>
    <m/>
    <m/>
    <m/>
    <m/>
    <m/>
    <m/>
    <m/>
    <n v="0"/>
    <n v="0"/>
    <n v="0"/>
    <n v="12"/>
    <n v="12"/>
    <m/>
    <m/>
    <n v="0"/>
    <m/>
    <m/>
    <x v="15"/>
    <m/>
    <m/>
    <m/>
    <m/>
  </r>
  <r>
    <x v="1"/>
    <x v="1"/>
    <s v="7523/1"/>
    <x v="160"/>
    <s v="اشرف پلاسٹک جھنگ"/>
    <s v="PP"/>
    <n v="6"/>
    <s v="4.5"/>
    <s v="PP"/>
    <n v="200"/>
    <s v="PP"/>
    <n v="6"/>
    <n v="157.57999999999998"/>
    <n v="3.5999999999999996"/>
    <m/>
    <m/>
    <n v="153.97999999999999"/>
    <s v="153.97999999999999"/>
    <m/>
    <m/>
    <m/>
    <n v="0"/>
    <n v="0"/>
    <m/>
    <m/>
    <m/>
    <m/>
    <m/>
    <m/>
    <m/>
    <m/>
    <n v="0"/>
    <n v="0"/>
    <n v="0"/>
    <n v="12"/>
    <n v="12"/>
    <m/>
    <m/>
    <n v="0"/>
    <n v="220"/>
    <m/>
    <x v="15"/>
    <m/>
    <m/>
    <m/>
    <m/>
  </r>
  <r>
    <x v="1"/>
    <x v="1"/>
    <s v="6/8"/>
    <x v="160"/>
    <s v="سٹاک"/>
    <s v="PP"/>
    <n v="6"/>
    <n v="5"/>
    <s v="PP"/>
    <n v="1500"/>
    <s v="PP"/>
    <n v="3"/>
    <n v="67.03"/>
    <n v="1.7999999999999998"/>
    <m/>
    <m/>
    <n v="65.23"/>
    <s v="1720.67"/>
    <m/>
    <m/>
    <m/>
    <n v="0"/>
    <n v="0"/>
    <m/>
    <m/>
    <m/>
    <m/>
    <m/>
    <m/>
    <m/>
    <m/>
    <n v="0"/>
    <n v="0"/>
    <n v="0"/>
    <n v="12"/>
    <n v="12"/>
    <m/>
    <m/>
    <n v="0"/>
    <m/>
    <m/>
    <x v="15"/>
    <m/>
    <m/>
    <m/>
    <m/>
  </r>
  <r>
    <x v="0"/>
    <x v="2"/>
    <s v="7/8"/>
    <x v="160"/>
    <s v="سٹاک"/>
    <s v="PP"/>
    <n v="7"/>
    <n v="5"/>
    <s v="PP"/>
    <n v="1500"/>
    <s v="PP"/>
    <n v="9"/>
    <n v="330.66000000000008"/>
    <n v="6.3"/>
    <m/>
    <m/>
    <n v="324.36000000000007"/>
    <s v="1630.38"/>
    <m/>
    <m/>
    <m/>
    <n v="0"/>
    <n v="0"/>
    <m/>
    <m/>
    <m/>
    <m/>
    <m/>
    <m/>
    <m/>
    <m/>
    <n v="0"/>
    <n v="0"/>
    <n v="0"/>
    <n v="12"/>
    <n v="12"/>
    <m/>
    <m/>
    <n v="0"/>
    <n v="320"/>
    <m/>
    <x v="15"/>
    <m/>
    <m/>
    <m/>
    <m/>
  </r>
  <r>
    <x v="1"/>
    <x v="2"/>
    <s v="7/8"/>
    <x v="160"/>
    <s v="سٹاک"/>
    <s v="PP"/>
    <n v="7"/>
    <n v="5"/>
    <s v="PP"/>
    <n v="1500"/>
    <s v="PP"/>
    <n v="10"/>
    <n v="341.43"/>
    <n v="7"/>
    <m/>
    <m/>
    <n v="334.43"/>
    <s v="1630.38"/>
    <m/>
    <m/>
    <m/>
    <n v="0"/>
    <n v="0"/>
    <m/>
    <m/>
    <m/>
    <m/>
    <m/>
    <m/>
    <m/>
    <m/>
    <n v="0"/>
    <n v="0"/>
    <n v="0"/>
    <n v="12"/>
    <n v="12"/>
    <m/>
    <m/>
    <n v="0"/>
    <n v="320"/>
    <m/>
    <x v="15"/>
    <m/>
    <m/>
    <m/>
    <m/>
  </r>
  <r>
    <x v="0"/>
    <x v="3"/>
    <s v="7538/1"/>
    <x v="160"/>
    <s v="ایم دین پنڈی"/>
    <s v="PP"/>
    <n v="18"/>
    <s v="6-6.5"/>
    <s v="PP"/>
    <n v="1500"/>
    <s v="PP"/>
    <n v="7"/>
    <n v="386.28999999999996"/>
    <n v="12.6"/>
    <m/>
    <m/>
    <n v="373.68999999999994"/>
    <s v="1524.71"/>
    <m/>
    <m/>
    <m/>
    <n v="0"/>
    <n v="0"/>
    <m/>
    <m/>
    <m/>
    <m/>
    <m/>
    <m/>
    <m/>
    <m/>
    <n v="0"/>
    <n v="0"/>
    <n v="0"/>
    <n v="12"/>
    <n v="12"/>
    <m/>
    <m/>
    <n v="0"/>
    <m/>
    <m/>
    <x v="15"/>
    <m/>
    <m/>
    <m/>
    <m/>
  </r>
  <r>
    <x v="0"/>
    <x v="3"/>
    <s v="5602 J"/>
    <x v="160"/>
    <s v="Ali Sweets And Bakers Raheem Yar Khan"/>
    <s v="PP"/>
    <n v="22"/>
    <s v="6-6.5"/>
    <s v="PP"/>
    <n v="100"/>
    <s v="PP"/>
    <n v="2"/>
    <n v="107.35"/>
    <n v="4.4000000000000004"/>
    <m/>
    <m/>
    <n v="102.94999999999999"/>
    <s v="102.94999999999999"/>
    <n v="30"/>
    <m/>
    <m/>
    <n v="30"/>
    <n v="0.5"/>
    <m/>
    <n v="30"/>
    <m/>
    <m/>
    <m/>
    <m/>
    <m/>
    <m/>
    <n v="30"/>
    <n v="0.5"/>
    <n v="1"/>
    <n v="11"/>
    <n v="12"/>
    <m/>
    <m/>
    <n v="0"/>
    <m/>
    <m/>
    <x v="15"/>
    <m/>
    <m/>
    <m/>
    <m/>
  </r>
  <r>
    <x v="0"/>
    <x v="3"/>
    <s v="5599 J"/>
    <x v="160"/>
    <s v="Fashion House Shahdrah Lahore"/>
    <s v="PP"/>
    <n v="17"/>
    <s v="5-5.5"/>
    <s v="PP"/>
    <n v="100"/>
    <s v="PP"/>
    <n v="1"/>
    <n v="42.14"/>
    <n v="1.7"/>
    <m/>
    <m/>
    <n v="40.44"/>
    <s v="92.18"/>
    <n v="30"/>
    <m/>
    <m/>
    <n v="30"/>
    <n v="0.5"/>
    <m/>
    <m/>
    <m/>
    <m/>
    <m/>
    <m/>
    <m/>
    <m/>
    <n v="0"/>
    <n v="0"/>
    <n v="0.5"/>
    <n v="11.5"/>
    <n v="12"/>
    <m/>
    <m/>
    <n v="0"/>
    <m/>
    <m/>
    <x v="15"/>
    <m/>
    <m/>
    <m/>
    <m/>
  </r>
  <r>
    <x v="0"/>
    <x v="3"/>
    <s v="7539/1"/>
    <x v="160"/>
    <s v="امارات پلاسٹک چونگ"/>
    <s v="PP"/>
    <n v="12"/>
    <s v="4.5"/>
    <s v="PP"/>
    <n v="250"/>
    <s v="PP"/>
    <n v="2"/>
    <n v="110.15"/>
    <n v="3.4"/>
    <m/>
    <m/>
    <n v="106.75"/>
    <s v="555.1"/>
    <m/>
    <m/>
    <m/>
    <n v="0"/>
    <n v="0"/>
    <m/>
    <m/>
    <m/>
    <m/>
    <m/>
    <m/>
    <m/>
    <m/>
    <n v="0"/>
    <n v="0"/>
    <n v="0"/>
    <n v="12"/>
    <n v="12"/>
    <m/>
    <m/>
    <n v="0"/>
    <n v="720"/>
    <m/>
    <x v="15"/>
    <m/>
    <m/>
    <m/>
    <m/>
  </r>
  <r>
    <x v="0"/>
    <x v="3"/>
    <s v="18/1"/>
    <x v="160"/>
    <s v="سٹاک"/>
    <s v="PP"/>
    <n v="18"/>
    <s v="5-5.5"/>
    <s v="PP"/>
    <n v="1000"/>
    <s v="PP"/>
    <n v="1"/>
    <n v="58.22"/>
    <n v="1.8"/>
    <n v="4.5"/>
    <m/>
    <n v="56.42"/>
    <s v="1324.19"/>
    <m/>
    <m/>
    <m/>
    <n v="0"/>
    <n v="0"/>
    <m/>
    <m/>
    <m/>
    <m/>
    <m/>
    <m/>
    <m/>
    <m/>
    <n v="0"/>
    <n v="0"/>
    <n v="0"/>
    <n v="12"/>
    <n v="12"/>
    <m/>
    <m/>
    <n v="0"/>
    <m/>
    <m/>
    <x v="15"/>
    <m/>
    <m/>
    <m/>
    <m/>
  </r>
  <r>
    <x v="1"/>
    <x v="3"/>
    <s v="5599 J"/>
    <x v="160"/>
    <s v="Fashion House Shahdrah Lahore"/>
    <s v="PP"/>
    <n v="17"/>
    <s v="5-5.5"/>
    <s v="PP"/>
    <n v="100"/>
    <s v="PP"/>
    <n v="1"/>
    <n v="53.74"/>
    <n v="2"/>
    <n v="4.5"/>
    <m/>
    <n v="51.74"/>
    <s v="92.18"/>
    <m/>
    <m/>
    <m/>
    <n v="0"/>
    <n v="0"/>
    <m/>
    <m/>
    <m/>
    <m/>
    <m/>
    <m/>
    <m/>
    <m/>
    <n v="0"/>
    <n v="0"/>
    <n v="0"/>
    <n v="12"/>
    <n v="12"/>
    <m/>
    <m/>
    <n v="0"/>
    <n v="720"/>
    <m/>
    <x v="15"/>
    <m/>
    <m/>
    <m/>
    <m/>
  </r>
  <r>
    <x v="1"/>
    <x v="3"/>
    <s v="2481 F"/>
    <x v="160"/>
    <s v="Usman Amin"/>
    <s v="PP"/>
    <n v="16"/>
    <s v="7"/>
    <s v="PP"/>
    <n v="145"/>
    <s v="PP"/>
    <n v="3"/>
    <n v="156.07999999999998"/>
    <n v="5.9"/>
    <m/>
    <m/>
    <n v="150.17999999999998"/>
    <s v="150.17999999999998"/>
    <m/>
    <m/>
    <m/>
    <n v="0"/>
    <n v="0"/>
    <m/>
    <m/>
    <m/>
    <m/>
    <m/>
    <m/>
    <m/>
    <m/>
    <n v="0"/>
    <n v="0"/>
    <n v="0"/>
    <n v="12"/>
    <n v="12"/>
    <m/>
    <m/>
    <n v="0"/>
    <m/>
    <m/>
    <x v="15"/>
    <m/>
    <m/>
    <m/>
    <m/>
  </r>
  <r>
    <x v="1"/>
    <x v="3"/>
    <s v="2464 F"/>
    <x v="160"/>
    <s v="Usman Amin"/>
    <s v="PP"/>
    <n v="16.2"/>
    <s v="-"/>
    <s v="PP"/>
    <n v="2000"/>
    <s v="PP"/>
    <n v="11"/>
    <n v="457.95"/>
    <n v="21.459999999999997"/>
    <m/>
    <m/>
    <n v="436.49"/>
    <s v="2025.6099999999997"/>
    <m/>
    <m/>
    <m/>
    <n v="0"/>
    <n v="0"/>
    <m/>
    <m/>
    <m/>
    <m/>
    <m/>
    <m/>
    <m/>
    <m/>
    <n v="0"/>
    <n v="0"/>
    <n v="0"/>
    <n v="12"/>
    <n v="12"/>
    <m/>
    <m/>
    <n v="0"/>
    <m/>
    <m/>
    <x v="15"/>
    <m/>
    <m/>
    <m/>
    <m/>
  </r>
  <r>
    <x v="1"/>
    <x v="3"/>
    <s v="7516/2"/>
    <x v="160"/>
    <s v="-"/>
    <m/>
    <m/>
    <m/>
    <m/>
    <m/>
    <s v="PP"/>
    <n v="3"/>
    <n v="94.539999999999992"/>
    <n v="5.85"/>
    <m/>
    <m/>
    <n v="88.69"/>
    <s v="88.69"/>
    <n v="30"/>
    <m/>
    <m/>
    <n v="30"/>
    <n v="0.5"/>
    <m/>
    <m/>
    <m/>
    <m/>
    <m/>
    <m/>
    <m/>
    <m/>
    <n v="0"/>
    <n v="0"/>
    <n v="0.5"/>
    <n v="11.5"/>
    <n v="12"/>
    <m/>
    <m/>
    <n v="0"/>
    <m/>
    <m/>
    <x v="15"/>
    <m/>
    <m/>
    <m/>
    <m/>
  </r>
  <r>
    <x v="1"/>
    <x v="3"/>
    <s v="5558 J"/>
    <x v="160"/>
    <s v="Usman Arif Butt Gujranwala"/>
    <s v="LDN"/>
    <n v="5"/>
    <n v="10"/>
    <s v="LDN"/>
    <n v="100"/>
    <s v="PP"/>
    <n v="1"/>
    <n v="34.520000000000003"/>
    <n v="1.6"/>
    <m/>
    <m/>
    <n v="32.92"/>
    <s v="32.92"/>
    <m/>
    <m/>
    <m/>
    <n v="0"/>
    <n v="0"/>
    <m/>
    <m/>
    <m/>
    <m/>
    <m/>
    <m/>
    <m/>
    <m/>
    <n v="0"/>
    <n v="0"/>
    <n v="0"/>
    <n v="12"/>
    <n v="12"/>
    <m/>
    <m/>
    <n v="0"/>
    <m/>
    <m/>
    <x v="15"/>
    <m/>
    <m/>
    <m/>
    <m/>
  </r>
  <r>
    <x v="1"/>
    <x v="4"/>
    <s v="2825/1"/>
    <x v="160"/>
    <s v="REFLECT PACK"/>
    <s v="PP"/>
    <n v="16"/>
    <s v="5.5-6"/>
    <s v="PP"/>
    <n v="1500"/>
    <s v="PP"/>
    <n v="9"/>
    <n v="490.57"/>
    <n v="17.099999999999998"/>
    <m/>
    <m/>
    <n v="473.46999999999997"/>
    <s v="1592.67"/>
    <m/>
    <n v="150"/>
    <m/>
    <n v="150"/>
    <n v="2.5"/>
    <m/>
    <m/>
    <m/>
    <m/>
    <m/>
    <m/>
    <m/>
    <m/>
    <n v="0"/>
    <n v="0"/>
    <n v="2.5"/>
    <n v="9.5"/>
    <n v="12"/>
    <m/>
    <m/>
    <n v="0"/>
    <n v="550"/>
    <m/>
    <x v="15"/>
    <m/>
    <m/>
    <m/>
    <m/>
  </r>
  <r>
    <x v="0"/>
    <x v="0"/>
    <s v="2/4"/>
    <x v="161"/>
    <s v="سٹاک"/>
    <s v="PP"/>
    <n v="2"/>
    <s v="5.5-6"/>
    <s v="PP"/>
    <s v="40 رول بیگ"/>
    <s v="PP"/>
    <n v="9"/>
    <n v="134.99"/>
    <n v="1.8"/>
    <n v="30"/>
    <m/>
    <n v="133.19"/>
    <s v="1739.87"/>
    <m/>
    <m/>
    <m/>
    <n v="0"/>
    <n v="0"/>
    <m/>
    <m/>
    <m/>
    <m/>
    <m/>
    <m/>
    <m/>
    <m/>
    <n v="0"/>
    <n v="0"/>
    <n v="0"/>
    <n v="12"/>
    <n v="12"/>
    <m/>
    <m/>
    <n v="0"/>
    <n v="125"/>
    <m/>
    <x v="15"/>
    <m/>
    <m/>
    <m/>
    <m/>
  </r>
  <r>
    <x v="1"/>
    <x v="0"/>
    <s v="2/4"/>
    <x v="161"/>
    <s v="سٹاک"/>
    <s v="PP"/>
    <n v="2"/>
    <s v="5.5-6"/>
    <s v="PP"/>
    <s v="40 رول بیگ"/>
    <s v="PP"/>
    <n v="8"/>
    <n v="110.2"/>
    <n v="1.6"/>
    <n v="16"/>
    <m/>
    <n v="108.60000000000001"/>
    <s v="1739.87"/>
    <m/>
    <m/>
    <m/>
    <n v="0"/>
    <n v="0"/>
    <m/>
    <m/>
    <m/>
    <m/>
    <m/>
    <m/>
    <m/>
    <m/>
    <n v="0"/>
    <n v="0"/>
    <n v="0"/>
    <n v="12"/>
    <n v="12"/>
    <m/>
    <m/>
    <n v="0"/>
    <n v="125"/>
    <m/>
    <x v="15"/>
    <m/>
    <m/>
    <m/>
    <m/>
  </r>
  <r>
    <x v="0"/>
    <x v="1"/>
    <s v="6/8"/>
    <x v="161"/>
    <s v="سٹاک"/>
    <s v="PP"/>
    <n v="6"/>
    <n v="5"/>
    <s v="PP"/>
    <n v="1500"/>
    <s v="PP"/>
    <n v="2"/>
    <n v="33.15"/>
    <n v="1.2"/>
    <m/>
    <m/>
    <n v="31.95"/>
    <s v="1720.67"/>
    <m/>
    <m/>
    <m/>
    <n v="0"/>
    <n v="0"/>
    <m/>
    <m/>
    <m/>
    <m/>
    <m/>
    <m/>
    <m/>
    <m/>
    <n v="0"/>
    <n v="0"/>
    <n v="0"/>
    <n v="12"/>
    <n v="12"/>
    <m/>
    <m/>
    <n v="0"/>
    <n v="220"/>
    <m/>
    <x v="15"/>
    <m/>
    <m/>
    <m/>
    <m/>
  </r>
  <r>
    <x v="0"/>
    <x v="1"/>
    <s v="7526/1"/>
    <x v="161"/>
    <s v="AS کلاتھ اعظم مارکیٹ"/>
    <s v="PP"/>
    <n v="6"/>
    <s v="6"/>
    <s v="PP"/>
    <n v="200"/>
    <s v="PP"/>
    <n v="5"/>
    <n v="100.41"/>
    <n v="3"/>
    <n v="3.5"/>
    <m/>
    <n v="97.41"/>
    <s v="281.83999999999997"/>
    <m/>
    <m/>
    <m/>
    <n v="0"/>
    <n v="0"/>
    <m/>
    <m/>
    <n v="225"/>
    <m/>
    <m/>
    <m/>
    <n v="20"/>
    <m/>
    <n v="245"/>
    <n v="4.083333333333333"/>
    <n v="4.083333333333333"/>
    <n v="7.916666666666667"/>
    <n v="12"/>
    <m/>
    <m/>
    <n v="0"/>
    <n v="220"/>
    <m/>
    <x v="15"/>
    <m/>
    <m/>
    <m/>
    <m/>
  </r>
  <r>
    <x v="1"/>
    <x v="1"/>
    <s v="7526/1"/>
    <x v="161"/>
    <s v="AS کلاتھ اعظم مارکیٹ"/>
    <s v="PP"/>
    <n v="6"/>
    <s v="6"/>
    <s v="PP"/>
    <n v="200"/>
    <s v="PP"/>
    <n v="5"/>
    <n v="125.07999999999998"/>
    <n v="3"/>
    <n v="3.5"/>
    <m/>
    <n v="122.07999999999998"/>
    <s v="281.83999999999997"/>
    <m/>
    <m/>
    <m/>
    <n v="0"/>
    <n v="0"/>
    <m/>
    <m/>
    <m/>
    <m/>
    <m/>
    <m/>
    <n v="20"/>
    <m/>
    <n v="20"/>
    <n v="0.33333333333333331"/>
    <n v="0.33333333333333331"/>
    <n v="11.666666666666666"/>
    <n v="12"/>
    <m/>
    <m/>
    <n v="0"/>
    <n v="320"/>
    <m/>
    <x v="15"/>
    <m/>
    <m/>
    <m/>
    <m/>
  </r>
  <r>
    <x v="1"/>
    <x v="1"/>
    <s v="6/8"/>
    <x v="161"/>
    <s v="سٹاک"/>
    <s v="PP"/>
    <n v="6"/>
    <n v="5"/>
    <s v="PP"/>
    <n v="1500"/>
    <s v="PP"/>
    <n v="4"/>
    <n v="89.72"/>
    <n v="2.4"/>
    <m/>
    <m/>
    <n v="87.32"/>
    <s v="1720.67"/>
    <m/>
    <m/>
    <m/>
    <n v="0"/>
    <n v="0"/>
    <m/>
    <m/>
    <m/>
    <m/>
    <m/>
    <m/>
    <m/>
    <m/>
    <n v="0"/>
    <n v="0"/>
    <n v="0"/>
    <n v="12"/>
    <n v="12"/>
    <m/>
    <m/>
    <n v="0"/>
    <n v="320"/>
    <m/>
    <x v="15"/>
    <m/>
    <m/>
    <m/>
    <m/>
  </r>
  <r>
    <x v="0"/>
    <x v="2"/>
    <s v="7/8"/>
    <x v="161"/>
    <s v="سٹاک"/>
    <s v="PP"/>
    <n v="7"/>
    <n v="5"/>
    <s v="PP"/>
    <n v="1500"/>
    <s v="PP"/>
    <n v="4"/>
    <n v="146.1"/>
    <n v="3"/>
    <m/>
    <m/>
    <n v="143.1"/>
    <s v="1630.38"/>
    <n v="25"/>
    <m/>
    <m/>
    <n v="25"/>
    <n v="0.41666666666666674"/>
    <m/>
    <m/>
    <m/>
    <m/>
    <m/>
    <m/>
    <m/>
    <m/>
    <n v="0"/>
    <n v="0"/>
    <n v="0.41666666666666674"/>
    <n v="11.583333333333334"/>
    <n v="12"/>
    <m/>
    <m/>
    <n v="0"/>
    <n v="720"/>
    <m/>
    <x v="15"/>
    <m/>
    <m/>
    <m/>
    <m/>
  </r>
  <r>
    <x v="0"/>
    <x v="2"/>
    <s v="7488/3"/>
    <x v="161"/>
    <s v="اصف پلاسٹک سرگودھا"/>
    <s v="PP"/>
    <n v="8"/>
    <s v="4.5"/>
    <s v="PP"/>
    <n v="100"/>
    <s v="PP"/>
    <n v="2"/>
    <n v="83.449999999999989"/>
    <n v="2.8"/>
    <m/>
    <m/>
    <n v="80.649999999999991"/>
    <s v="310.86999999999995"/>
    <m/>
    <m/>
    <m/>
    <n v="0"/>
    <n v="0"/>
    <m/>
    <m/>
    <m/>
    <m/>
    <m/>
    <m/>
    <m/>
    <m/>
    <n v="0"/>
    <n v="0"/>
    <n v="0"/>
    <n v="12"/>
    <n v="12"/>
    <m/>
    <m/>
    <n v="0"/>
    <n v="720"/>
    <m/>
    <x v="15"/>
    <m/>
    <m/>
    <m/>
    <m/>
  </r>
  <r>
    <x v="0"/>
    <x v="2"/>
    <s v="8/9"/>
    <x v="161"/>
    <s v="سٹاک"/>
    <s v="PP"/>
    <n v="8"/>
    <n v="5"/>
    <s v="PP"/>
    <n v="1500"/>
    <s v="PP"/>
    <n v="2"/>
    <n v="79.2"/>
    <n v="1.6"/>
    <m/>
    <m/>
    <n v="77.600000000000009"/>
    <s v="1664.4000000000003"/>
    <m/>
    <m/>
    <m/>
    <n v="0"/>
    <n v="0"/>
    <m/>
    <m/>
    <m/>
    <m/>
    <m/>
    <m/>
    <m/>
    <m/>
    <n v="0"/>
    <n v="0"/>
    <n v="0"/>
    <n v="12"/>
    <n v="12"/>
    <m/>
    <m/>
    <n v="0"/>
    <n v="550"/>
    <m/>
    <x v="15"/>
    <m/>
    <m/>
    <m/>
    <m/>
  </r>
  <r>
    <x v="1"/>
    <x v="2"/>
    <s v="7488/3"/>
    <x v="161"/>
    <s v="اصف پلاسٹک سرگودھا"/>
    <s v="PP"/>
    <n v="8"/>
    <s v="4.5"/>
    <s v="PP"/>
    <n v="100"/>
    <s v="PP"/>
    <n v="6"/>
    <n v="236.21999999999997"/>
    <n v="6"/>
    <m/>
    <m/>
    <n v="230.21999999999997"/>
    <s v="310.86999999999995"/>
    <m/>
    <m/>
    <m/>
    <n v="0"/>
    <n v="0"/>
    <m/>
    <m/>
    <m/>
    <m/>
    <m/>
    <m/>
    <m/>
    <m/>
    <n v="0"/>
    <n v="0"/>
    <n v="0"/>
    <n v="12"/>
    <n v="12"/>
    <m/>
    <m/>
    <n v="0"/>
    <n v="550"/>
    <m/>
    <x v="15"/>
    <m/>
    <m/>
    <m/>
    <m/>
  </r>
  <r>
    <x v="1"/>
    <x v="2"/>
    <s v="8/9"/>
    <x v="161"/>
    <s v="سٹاک"/>
    <s v="PP"/>
    <n v="8"/>
    <n v="5"/>
    <s v="PP"/>
    <n v="1500"/>
    <s v="PP"/>
    <n v="3"/>
    <n v="126.62"/>
    <n v="2.4000000000000004"/>
    <m/>
    <m/>
    <n v="124.22"/>
    <s v="1664.4000000000003"/>
    <m/>
    <m/>
    <m/>
    <n v="0"/>
    <n v="0"/>
    <m/>
    <m/>
    <m/>
    <m/>
    <m/>
    <m/>
    <m/>
    <m/>
    <n v="0"/>
    <n v="0"/>
    <n v="0"/>
    <n v="12"/>
    <n v="12"/>
    <m/>
    <m/>
    <n v="0"/>
    <m/>
    <m/>
    <x v="15"/>
    <m/>
    <m/>
    <m/>
    <m/>
  </r>
  <r>
    <x v="0"/>
    <x v="3"/>
    <s v="2464 F"/>
    <x v="161"/>
    <s v="Usman Amin"/>
    <s v="PP"/>
    <n v="16.2"/>
    <s v="-"/>
    <s v="PP"/>
    <n v="2000"/>
    <s v="PP"/>
    <n v="14"/>
    <n v="698.55"/>
    <n v="22.400000000000002"/>
    <m/>
    <m/>
    <n v="676.15"/>
    <s v="2025.6099999999997"/>
    <m/>
    <m/>
    <m/>
    <n v="0"/>
    <n v="0"/>
    <m/>
    <m/>
    <n v="55"/>
    <m/>
    <m/>
    <m/>
    <m/>
    <m/>
    <n v="55"/>
    <n v="0.91666666666666652"/>
    <n v="0.91666666666666652"/>
    <n v="11.083333333333334"/>
    <n v="12"/>
    <m/>
    <m/>
    <n v="0"/>
    <m/>
    <m/>
    <x v="15"/>
    <m/>
    <m/>
    <m/>
    <m/>
  </r>
  <r>
    <x v="1"/>
    <x v="3"/>
    <s v="2464 F"/>
    <x v="161"/>
    <s v="Usman Amin"/>
    <s v="PP"/>
    <n v="16.2"/>
    <s v="-"/>
    <s v="PP"/>
    <n v="2000"/>
    <s v="PP"/>
    <n v="15"/>
    <n v="747.7399999999999"/>
    <n v="24"/>
    <m/>
    <m/>
    <n v="723.7399999999999"/>
    <s v="2025.6099999999997"/>
    <m/>
    <m/>
    <m/>
    <n v="0"/>
    <n v="0"/>
    <m/>
    <m/>
    <m/>
    <m/>
    <m/>
    <m/>
    <m/>
    <m/>
    <n v="0"/>
    <n v="0"/>
    <n v="0"/>
    <n v="12"/>
    <n v="12"/>
    <m/>
    <m/>
    <n v="0"/>
    <m/>
    <m/>
    <x v="15"/>
    <m/>
    <m/>
    <m/>
    <m/>
  </r>
  <r>
    <x v="0"/>
    <x v="4"/>
    <s v="2825/1"/>
    <x v="161"/>
    <s v="REFLECT PACK"/>
    <s v="PP"/>
    <n v="16"/>
    <s v="5.5-6"/>
    <s v="PP"/>
    <n v="1500"/>
    <s v="PP"/>
    <n v="9"/>
    <n v="558"/>
    <n v="14.4"/>
    <m/>
    <m/>
    <n v="543.6"/>
    <s v="1592.67"/>
    <m/>
    <m/>
    <m/>
    <n v="0"/>
    <n v="0"/>
    <m/>
    <m/>
    <m/>
    <m/>
    <m/>
    <m/>
    <m/>
    <m/>
    <n v="0"/>
    <n v="0"/>
    <n v="0"/>
    <n v="12"/>
    <n v="12"/>
    <m/>
    <m/>
    <n v="0"/>
    <m/>
    <m/>
    <x v="15"/>
    <m/>
    <m/>
    <m/>
    <m/>
  </r>
  <r>
    <x v="1"/>
    <x v="4"/>
    <s v="2825/1"/>
    <x v="161"/>
    <s v="REFLECT PACK"/>
    <s v="PP"/>
    <n v="16"/>
    <s v="5.5-6"/>
    <s v="PP"/>
    <n v="1500"/>
    <s v="PP"/>
    <n v="10"/>
    <n v="588.6"/>
    <n v="13"/>
    <m/>
    <m/>
    <n v="575.6"/>
    <s v="1592.67"/>
    <m/>
    <m/>
    <m/>
    <n v="0"/>
    <n v="0"/>
    <m/>
    <m/>
    <m/>
    <m/>
    <m/>
    <m/>
    <m/>
    <m/>
    <n v="0"/>
    <n v="0"/>
    <n v="0"/>
    <n v="12"/>
    <n v="12"/>
    <m/>
    <m/>
    <n v="0"/>
    <m/>
    <m/>
    <x v="15"/>
    <m/>
    <m/>
    <m/>
    <m/>
  </r>
  <r>
    <x v="0"/>
    <x v="0"/>
    <s v="2/4"/>
    <x v="162"/>
    <s v="سٹاک"/>
    <s v="PP"/>
    <n v="2"/>
    <s v="5.5-6"/>
    <s v="PP"/>
    <s v="40 رول بیگ"/>
    <s v="PP"/>
    <n v="5"/>
    <n v="72.959999999999994"/>
    <n v="1"/>
    <m/>
    <m/>
    <n v="71.959999999999994"/>
    <s v="1739.87"/>
    <m/>
    <m/>
    <m/>
    <n v="0"/>
    <n v="0"/>
    <m/>
    <m/>
    <m/>
    <m/>
    <m/>
    <m/>
    <m/>
    <m/>
    <n v="0"/>
    <n v="0"/>
    <n v="0"/>
    <n v="12"/>
    <n v="12"/>
    <m/>
    <m/>
    <n v="0"/>
    <n v="130"/>
    <m/>
    <x v="15"/>
    <m/>
    <m/>
    <m/>
    <m/>
  </r>
  <r>
    <x v="0"/>
    <x v="0"/>
    <s v="3/4"/>
    <x v="162"/>
    <s v="سٹاک"/>
    <s v="PP"/>
    <n v="3"/>
    <s v="5.5-6"/>
    <s v="PP"/>
    <n v="500"/>
    <s v="PP"/>
    <n v="4"/>
    <n v="56.66"/>
    <n v="1.2"/>
    <n v="24"/>
    <m/>
    <n v="55.459999999999994"/>
    <s v="1057.2700000000002"/>
    <n v="20"/>
    <m/>
    <m/>
    <n v="20"/>
    <n v="0.33333333333333331"/>
    <m/>
    <m/>
    <m/>
    <m/>
    <m/>
    <m/>
    <m/>
    <m/>
    <n v="0"/>
    <n v="0"/>
    <n v="0.33333333333333331"/>
    <n v="11.666666666666666"/>
    <n v="12"/>
    <m/>
    <m/>
    <n v="0"/>
    <n v="130"/>
    <m/>
    <x v="15"/>
    <m/>
    <m/>
    <m/>
    <m/>
  </r>
  <r>
    <x v="1"/>
    <x v="0"/>
    <s v="3/4"/>
    <x v="162"/>
    <s v="سٹاک"/>
    <s v="PP"/>
    <n v="3"/>
    <s v="5.5-6"/>
    <s v="PP"/>
    <n v="500"/>
    <s v="PP"/>
    <n v="10"/>
    <n v="146.75"/>
    <n v="3"/>
    <n v="33"/>
    <m/>
    <n v="143.75"/>
    <s v="1057.2700000000002"/>
    <m/>
    <m/>
    <m/>
    <n v="0"/>
    <n v="0"/>
    <m/>
    <m/>
    <m/>
    <m/>
    <m/>
    <m/>
    <m/>
    <m/>
    <n v="0"/>
    <n v="0"/>
    <n v="0"/>
    <n v="12"/>
    <n v="12"/>
    <m/>
    <m/>
    <n v="0"/>
    <n v="225"/>
    <m/>
    <x v="15"/>
    <m/>
    <m/>
    <m/>
    <m/>
  </r>
  <r>
    <x v="0"/>
    <x v="1"/>
    <s v="6/8"/>
    <x v="162"/>
    <s v="سٹاک"/>
    <s v="PP"/>
    <n v="6"/>
    <n v="5"/>
    <s v="PP"/>
    <n v="1500"/>
    <s v="PP"/>
    <n v="9"/>
    <n v="237.20000000000002"/>
    <n v="5.3999999999999995"/>
    <m/>
    <m/>
    <n v="231.8"/>
    <s v="1720.67"/>
    <m/>
    <m/>
    <m/>
    <n v="0"/>
    <n v="0"/>
    <m/>
    <m/>
    <m/>
    <m/>
    <m/>
    <m/>
    <m/>
    <m/>
    <n v="0"/>
    <n v="0"/>
    <n v="0"/>
    <n v="12"/>
    <n v="12"/>
    <m/>
    <m/>
    <n v="0"/>
    <n v="225"/>
    <m/>
    <x v="15"/>
    <m/>
    <m/>
    <m/>
    <m/>
  </r>
  <r>
    <x v="1"/>
    <x v="1"/>
    <s v="6/8"/>
    <x v="162"/>
    <s v="سٹاک"/>
    <s v="PP"/>
    <n v="6"/>
    <n v="5"/>
    <s v="PP"/>
    <n v="1500"/>
    <s v="PP"/>
    <n v="9"/>
    <n v="219.37"/>
    <n v="5.3999999999999995"/>
    <m/>
    <m/>
    <n v="213.97"/>
    <s v="1720.67"/>
    <m/>
    <m/>
    <m/>
    <n v="0"/>
    <n v="0"/>
    <m/>
    <m/>
    <m/>
    <m/>
    <m/>
    <m/>
    <m/>
    <m/>
    <n v="0"/>
    <n v="0"/>
    <n v="0"/>
    <n v="12"/>
    <n v="12"/>
    <m/>
    <m/>
    <n v="0"/>
    <n v="340"/>
    <m/>
    <x v="15"/>
    <m/>
    <m/>
    <m/>
    <m/>
  </r>
  <r>
    <x v="0"/>
    <x v="2"/>
    <s v="8/9"/>
    <x v="162"/>
    <s v="سٹاک"/>
    <s v="PP"/>
    <n v="8"/>
    <n v="5"/>
    <s v="PP"/>
    <n v="1500"/>
    <s v="PP"/>
    <n v="8"/>
    <n v="341.17000000000007"/>
    <n v="6.4"/>
    <m/>
    <m/>
    <n v="334.7700000000001"/>
    <s v="1664.4000000000003"/>
    <m/>
    <m/>
    <m/>
    <n v="0"/>
    <n v="0"/>
    <m/>
    <m/>
    <m/>
    <m/>
    <m/>
    <m/>
    <m/>
    <m/>
    <n v="0"/>
    <n v="0"/>
    <n v="0"/>
    <n v="12"/>
    <n v="12"/>
    <m/>
    <m/>
    <n v="0"/>
    <n v="340"/>
    <m/>
    <x v="15"/>
    <m/>
    <m/>
    <m/>
    <m/>
  </r>
  <r>
    <x v="1"/>
    <x v="2"/>
    <s v="8/9"/>
    <x v="162"/>
    <s v="سٹاک"/>
    <s v="PP"/>
    <n v="8"/>
    <n v="5"/>
    <s v="PP"/>
    <n v="1500"/>
    <s v="PP"/>
    <n v="8"/>
    <n v="348.94"/>
    <n v="6.4"/>
    <m/>
    <m/>
    <n v="342.54"/>
    <s v="1664.4000000000003"/>
    <m/>
    <m/>
    <m/>
    <n v="0"/>
    <n v="0"/>
    <m/>
    <m/>
    <m/>
    <m/>
    <m/>
    <m/>
    <m/>
    <m/>
    <n v="0"/>
    <n v="0"/>
    <n v="0"/>
    <n v="12"/>
    <n v="12"/>
    <m/>
    <m/>
    <n v="0"/>
    <n v="780"/>
    <m/>
    <x v="15"/>
    <m/>
    <m/>
    <m/>
    <m/>
  </r>
  <r>
    <x v="0"/>
    <x v="3"/>
    <s v="2464 F"/>
    <x v="162"/>
    <s v="Usman Amin"/>
    <s v="PP"/>
    <n v="16.2"/>
    <s v="-"/>
    <s v="PP"/>
    <n v="2000"/>
    <s v="PP"/>
    <n v="4"/>
    <n v="195.63"/>
    <n v="6.4"/>
    <m/>
    <m/>
    <n v="189.23"/>
    <s v="2025.6099999999997"/>
    <m/>
    <m/>
    <m/>
    <n v="0"/>
    <n v="0"/>
    <m/>
    <m/>
    <m/>
    <m/>
    <m/>
    <m/>
    <m/>
    <m/>
    <n v="0"/>
    <n v="0"/>
    <n v="0"/>
    <n v="12"/>
    <n v="12"/>
    <m/>
    <m/>
    <n v="0"/>
    <n v="850"/>
    <m/>
    <x v="15"/>
    <m/>
    <m/>
    <m/>
    <m/>
  </r>
  <r>
    <x v="0"/>
    <x v="3"/>
    <s v="5658 J"/>
    <x v="162"/>
    <s v="Jilani Poly Stock"/>
    <s v="PP"/>
    <n v="16"/>
    <s v="5-5.5"/>
    <s v="PP"/>
    <n v="500"/>
    <s v="PP"/>
    <n v="10"/>
    <n v="526.75"/>
    <n v="16"/>
    <m/>
    <m/>
    <n v="510.75"/>
    <s v="510.75"/>
    <m/>
    <m/>
    <m/>
    <n v="0"/>
    <n v="0"/>
    <m/>
    <m/>
    <m/>
    <m/>
    <m/>
    <m/>
    <m/>
    <m/>
    <n v="0"/>
    <n v="0"/>
    <n v="0"/>
    <n v="12"/>
    <n v="12"/>
    <m/>
    <m/>
    <n v="0"/>
    <n v="560"/>
    <m/>
    <x v="15"/>
    <m/>
    <m/>
    <m/>
    <m/>
  </r>
  <r>
    <x v="0"/>
    <x v="3"/>
    <s v="5753 J"/>
    <x v="162"/>
    <s v="Sabir Plastic Shahdara Co Nazar Qamar Plastic"/>
    <s v="PP"/>
    <n v="22"/>
    <s v="5-5.5"/>
    <s v="PP"/>
    <n v="100"/>
    <s v="PP"/>
    <n v="1"/>
    <n v="55.89"/>
    <n v="2.2000000000000002"/>
    <m/>
    <m/>
    <n v="53.69"/>
    <s v="99.009999999999991"/>
    <n v="30"/>
    <m/>
    <m/>
    <n v="30"/>
    <n v="0.5"/>
    <m/>
    <m/>
    <m/>
    <m/>
    <m/>
    <m/>
    <m/>
    <m/>
    <n v="0"/>
    <n v="0"/>
    <n v="0.5"/>
    <n v="11.5"/>
    <n v="12"/>
    <m/>
    <m/>
    <n v="0"/>
    <n v="560"/>
    <m/>
    <x v="15"/>
    <m/>
    <m/>
    <m/>
    <m/>
  </r>
  <r>
    <x v="1"/>
    <x v="3"/>
    <s v="5753 J"/>
    <x v="162"/>
    <s v="Sabir Plastic Shahdara Co Nazar Qamar Plastic"/>
    <s v="PP"/>
    <n v="22"/>
    <s v="5-5.5"/>
    <s v="PP"/>
    <n v="100"/>
    <s v="PP"/>
    <n v="1"/>
    <n v="48.12"/>
    <n v="2.8"/>
    <m/>
    <m/>
    <n v="45.32"/>
    <s v="99.009999999999991"/>
    <n v="30"/>
    <m/>
    <m/>
    <n v="30"/>
    <n v="0.5"/>
    <m/>
    <m/>
    <m/>
    <m/>
    <m/>
    <m/>
    <m/>
    <m/>
    <n v="0"/>
    <n v="0"/>
    <n v="0.5"/>
    <n v="11.5"/>
    <n v="12"/>
    <m/>
    <m/>
    <n v="0"/>
    <n v="0"/>
    <m/>
    <x v="15"/>
    <m/>
    <m/>
    <m/>
    <m/>
  </r>
  <r>
    <x v="1"/>
    <x v="3"/>
    <s v="5770 J"/>
    <x v="162"/>
    <s v="Bundu Khan Lahore"/>
    <s v="PP"/>
    <s v="22&quot; شیٹ"/>
    <s v="4-4.5/8-9"/>
    <s v="PP"/>
    <n v="150"/>
    <s v="PP"/>
    <n v="6"/>
    <n v="173.27"/>
    <n v="13.200000000000001"/>
    <m/>
    <m/>
    <n v="160.07000000000002"/>
    <s v="160.07000000000002"/>
    <n v="35"/>
    <m/>
    <m/>
    <n v="35"/>
    <n v="0.58333333333333337"/>
    <m/>
    <m/>
    <m/>
    <m/>
    <m/>
    <m/>
    <m/>
    <m/>
    <n v="0"/>
    <n v="0"/>
    <n v="0.58333333333333337"/>
    <n v="11.416666666666666"/>
    <n v="12"/>
    <m/>
    <m/>
    <n v="0"/>
    <n v="0"/>
    <m/>
    <x v="15"/>
    <m/>
    <m/>
    <m/>
    <m/>
  </r>
  <r>
    <x v="1"/>
    <x v="3"/>
    <s v="5768 J"/>
    <x v="162"/>
    <s v="Bundu Khan Lahore"/>
    <s v="PP"/>
    <s v="28&quot; شیٹ"/>
    <s v="4-4.5/8-9"/>
    <s v="PP"/>
    <n v="150"/>
    <s v="PP"/>
    <n v="4"/>
    <n v="170.76"/>
    <n v="14.4"/>
    <m/>
    <m/>
    <n v="156.35999999999999"/>
    <s v="156.35999999999999"/>
    <m/>
    <m/>
    <m/>
    <n v="0"/>
    <n v="0"/>
    <m/>
    <m/>
    <m/>
    <m/>
    <m/>
    <m/>
    <m/>
    <m/>
    <n v="0"/>
    <n v="0"/>
    <n v="0"/>
    <n v="12"/>
    <n v="12"/>
    <m/>
    <m/>
    <n v="0"/>
    <m/>
    <m/>
    <x v="15"/>
    <m/>
    <m/>
    <m/>
    <m/>
  </r>
  <r>
    <x v="1"/>
    <x v="3"/>
    <s v="5754 J"/>
    <x v="162"/>
    <s v="Sabir Plastic Shahdara Co Nazar Qamar Plastic"/>
    <s v="PP"/>
    <n v="22"/>
    <s v="5-5.5"/>
    <s v="PP"/>
    <n v="100"/>
    <s v="PP"/>
    <n v="3"/>
    <n v="142.07"/>
    <n v="8.25"/>
    <m/>
    <m/>
    <n v="133.82"/>
    <s v="133.82"/>
    <m/>
    <m/>
    <m/>
    <n v="0"/>
    <n v="0"/>
    <m/>
    <m/>
    <m/>
    <m/>
    <m/>
    <m/>
    <m/>
    <m/>
    <n v="0"/>
    <n v="0"/>
    <n v="0"/>
    <n v="12"/>
    <n v="12"/>
    <m/>
    <m/>
    <n v="0"/>
    <m/>
    <m/>
    <x v="15"/>
    <m/>
    <m/>
    <m/>
    <m/>
  </r>
  <r>
    <x v="1"/>
    <x v="3"/>
    <s v="5769 J"/>
    <x v="162"/>
    <s v="Bundu Khan Lahore"/>
    <s v="PP"/>
    <s v="22&quot; شیٹ"/>
    <s v="4-4.5/8-9"/>
    <s v="PP"/>
    <n v="150"/>
    <s v="PP"/>
    <n v="4"/>
    <n v="170.7"/>
    <n v="10.8"/>
    <m/>
    <m/>
    <n v="159.89999999999998"/>
    <s v="159.89999999999998"/>
    <m/>
    <m/>
    <m/>
    <n v="0"/>
    <n v="0"/>
    <m/>
    <m/>
    <m/>
    <m/>
    <m/>
    <m/>
    <m/>
    <m/>
    <n v="0"/>
    <n v="0"/>
    <n v="0"/>
    <n v="12"/>
    <n v="12"/>
    <m/>
    <m/>
    <n v="0"/>
    <m/>
    <m/>
    <x v="15"/>
    <m/>
    <m/>
    <m/>
    <m/>
  </r>
  <r>
    <x v="1"/>
    <x v="3"/>
    <s v="5767 J"/>
    <x v="162"/>
    <s v="Bundu Khan Lahore"/>
    <s v="PP"/>
    <s v="18&quot; شیٹ"/>
    <s v="4-4.5/8-9"/>
    <s v="PP"/>
    <n v="150"/>
    <s v="PP"/>
    <n v="2"/>
    <n v="82.92"/>
    <n v="4.2"/>
    <m/>
    <m/>
    <n v="78.72"/>
    <s v="155.39000000000001"/>
    <m/>
    <m/>
    <m/>
    <n v="0"/>
    <n v="0"/>
    <m/>
    <m/>
    <m/>
    <m/>
    <m/>
    <m/>
    <m/>
    <m/>
    <n v="0"/>
    <n v="0"/>
    <n v="0"/>
    <n v="12"/>
    <n v="12"/>
    <m/>
    <m/>
    <n v="0"/>
    <m/>
    <m/>
    <x v="15"/>
    <m/>
    <m/>
    <m/>
    <m/>
  </r>
  <r>
    <x v="0"/>
    <x v="4"/>
    <s v="2826/2"/>
    <x v="162"/>
    <s v="REFLECT PACK"/>
    <s v="PP"/>
    <n v="16"/>
    <s v="5.5-6"/>
    <s v="PP"/>
    <n v="5000"/>
    <s v="PP"/>
    <n v="10"/>
    <n v="589.03000000000009"/>
    <n v="16"/>
    <n v="8.5"/>
    <m/>
    <n v="573.03000000000009"/>
    <s v="5043.9699999999993"/>
    <m/>
    <m/>
    <m/>
    <n v="0"/>
    <n v="0"/>
    <m/>
    <m/>
    <m/>
    <m/>
    <m/>
    <m/>
    <m/>
    <m/>
    <n v="0"/>
    <n v="0"/>
    <n v="0"/>
    <n v="12"/>
    <n v="12"/>
    <m/>
    <m/>
    <n v="0"/>
    <m/>
    <m/>
    <x v="15"/>
    <m/>
    <m/>
    <m/>
    <m/>
  </r>
  <r>
    <x v="1"/>
    <x v="4"/>
    <s v="2826/2"/>
    <x v="162"/>
    <s v="REFLECT PACK"/>
    <s v="PP"/>
    <n v="16"/>
    <s v="5.5-6"/>
    <s v="PP"/>
    <n v="5000"/>
    <s v="PP"/>
    <n v="9"/>
    <n v="599.56999999999994"/>
    <n v="14.4"/>
    <n v="8.5"/>
    <m/>
    <n v="585.16999999999996"/>
    <s v="5043.9699999999993"/>
    <m/>
    <m/>
    <m/>
    <n v="0"/>
    <n v="0"/>
    <m/>
    <m/>
    <m/>
    <m/>
    <m/>
    <m/>
    <m/>
    <m/>
    <n v="0"/>
    <n v="0"/>
    <n v="0"/>
    <n v="12"/>
    <n v="12"/>
    <m/>
    <m/>
    <n v="0"/>
    <m/>
    <m/>
    <x v="15"/>
    <m/>
    <m/>
    <m/>
    <m/>
  </r>
  <r>
    <x v="0"/>
    <x v="3"/>
    <s v="5767 J"/>
    <x v="163"/>
    <s v="Bundu Khan Lahore"/>
    <s v="PP"/>
    <s v="18&quot; شیٹ"/>
    <s v="4-4.5/8-9"/>
    <s v="PP"/>
    <n v="150"/>
    <s v="PP"/>
    <n v="2"/>
    <n v="80.27000000000001"/>
    <n v="3.6"/>
    <m/>
    <m/>
    <n v="76.670000000000016"/>
    <s v="155.39000000000001"/>
    <m/>
    <m/>
    <m/>
    <n v="0"/>
    <n v="0"/>
    <m/>
    <m/>
    <m/>
    <m/>
    <m/>
    <m/>
    <m/>
    <m/>
    <n v="0"/>
    <n v="0"/>
    <n v="0"/>
    <n v="12"/>
    <n v="12"/>
    <m/>
    <m/>
    <n v="0"/>
    <n v="85.27000000000001"/>
    <m/>
    <x v="15"/>
    <m/>
    <m/>
    <m/>
    <m/>
  </r>
  <r>
    <x v="0"/>
    <x v="3"/>
    <s v="24/4"/>
    <x v="163"/>
    <s v="سٹاک"/>
    <s v="PP"/>
    <n v="24"/>
    <n v="5"/>
    <s v="PP"/>
    <n v="1000"/>
    <s v="PP"/>
    <n v="8"/>
    <n v="502.86999999999995"/>
    <n v="19.2"/>
    <m/>
    <m/>
    <n v="483.66999999999996"/>
    <s v="1427.33"/>
    <n v="25"/>
    <m/>
    <m/>
    <n v="25"/>
    <n v="0.41666666666666674"/>
    <m/>
    <m/>
    <n v="85"/>
    <m/>
    <m/>
    <m/>
    <m/>
    <m/>
    <n v="85"/>
    <n v="1.4166666666666667"/>
    <n v="1.8333333333333337"/>
    <n v="10.166666666666666"/>
    <n v="12"/>
    <m/>
    <m/>
    <n v="0"/>
    <n v="507.86999999999995"/>
    <m/>
    <x v="15"/>
    <m/>
    <m/>
    <m/>
    <m/>
  </r>
  <r>
    <x v="0"/>
    <x v="3"/>
    <s v="5771 J"/>
    <x v="163"/>
    <s v="Bundu Khan Lahore"/>
    <s v="PP"/>
    <s v="18&quot; شیٹ"/>
    <s v="4-4.5/8-9"/>
    <s v="PP"/>
    <n v="150"/>
    <s v="PP"/>
    <n v="6"/>
    <n v="149.29999999999998"/>
    <n v="10.8"/>
    <n v="20"/>
    <m/>
    <n v="138.49999999999997"/>
    <s v="138.49999999999997"/>
    <m/>
    <m/>
    <m/>
    <n v="0"/>
    <n v="0"/>
    <m/>
    <m/>
    <m/>
    <m/>
    <m/>
    <m/>
    <m/>
    <m/>
    <n v="0"/>
    <n v="0"/>
    <n v="0"/>
    <n v="12"/>
    <n v="12"/>
    <m/>
    <m/>
    <n v="0"/>
    <n v="154.29999999999998"/>
    <m/>
    <x v="15"/>
    <m/>
    <m/>
    <m/>
    <m/>
  </r>
  <r>
    <x v="1"/>
    <x v="3"/>
    <s v="24/4"/>
    <x v="163"/>
    <s v="سٹاک"/>
    <s v="PP"/>
    <n v="24"/>
    <n v="5"/>
    <s v="PP"/>
    <n v="1000"/>
    <s v="PP"/>
    <n v="13"/>
    <n v="835.13000000000011"/>
    <n v="37.699999999999996"/>
    <n v="14"/>
    <m/>
    <n v="797.43000000000006"/>
    <s v="1427.33"/>
    <m/>
    <m/>
    <m/>
    <n v="0"/>
    <n v="0"/>
    <m/>
    <m/>
    <m/>
    <m/>
    <m/>
    <m/>
    <m/>
    <m/>
    <n v="0"/>
    <n v="0"/>
    <n v="0"/>
    <n v="12"/>
    <n v="12"/>
    <m/>
    <m/>
    <n v="0"/>
    <n v="840.13000000000011"/>
    <m/>
    <x v="15"/>
    <m/>
    <m/>
    <m/>
    <m/>
  </r>
  <r>
    <x v="0"/>
    <x v="4"/>
    <s v="2826/2"/>
    <x v="163"/>
    <s v="REFLECT PACK"/>
    <s v="PP"/>
    <n v="16"/>
    <s v="5.5-6"/>
    <s v="PP"/>
    <n v="5000"/>
    <s v="PP"/>
    <n v="11"/>
    <n v="603.53000000000009"/>
    <n v="20.9"/>
    <m/>
    <m/>
    <n v="582.63000000000011"/>
    <s v="5043.9699999999993"/>
    <m/>
    <m/>
    <m/>
    <n v="0"/>
    <n v="0"/>
    <m/>
    <m/>
    <m/>
    <m/>
    <m/>
    <m/>
    <m/>
    <m/>
    <n v="0"/>
    <n v="0"/>
    <n v="0"/>
    <n v="12"/>
    <n v="12"/>
    <m/>
    <m/>
    <n v="0"/>
    <n v="608.53000000000009"/>
    <m/>
    <x v="15"/>
    <m/>
    <m/>
    <m/>
    <m/>
  </r>
  <r>
    <x v="1"/>
    <x v="4"/>
    <s v="2826/2"/>
    <x v="163"/>
    <s v="REFLECT PACK"/>
    <s v="PP"/>
    <n v="16"/>
    <s v="5.5-6"/>
    <s v="PP"/>
    <n v="5000"/>
    <s v="PP"/>
    <n v="9"/>
    <n v="603.41999999999996"/>
    <n v="17.099999999999998"/>
    <m/>
    <m/>
    <n v="586.31999999999994"/>
    <s v="5043.9699999999993"/>
    <m/>
    <m/>
    <m/>
    <n v="0"/>
    <n v="0"/>
    <m/>
    <m/>
    <m/>
    <m/>
    <m/>
    <m/>
    <m/>
    <m/>
    <n v="0"/>
    <n v="0"/>
    <n v="0"/>
    <n v="12"/>
    <n v="12"/>
    <m/>
    <m/>
    <n v="0"/>
    <n v="608.41999999999996"/>
    <m/>
    <x v="15"/>
    <m/>
    <m/>
    <m/>
    <m/>
  </r>
  <r>
    <x v="0"/>
    <x v="1"/>
    <s v="6/8"/>
    <x v="163"/>
    <s v="سٹاک"/>
    <s v="PP"/>
    <n v="6"/>
    <n v="5"/>
    <s v="PP"/>
    <n v="1500"/>
    <s v="PP"/>
    <n v="10"/>
    <n v="248.15999999999997"/>
    <n v="6"/>
    <m/>
    <m/>
    <n v="242.15999999999997"/>
    <s v="1720.67"/>
    <m/>
    <m/>
    <m/>
    <n v="0"/>
    <n v="0"/>
    <m/>
    <m/>
    <m/>
    <m/>
    <m/>
    <m/>
    <m/>
    <m/>
    <n v="0"/>
    <n v="0"/>
    <n v="0"/>
    <n v="12"/>
    <n v="12"/>
    <m/>
    <m/>
    <n v="0"/>
    <n v="253.15999999999997"/>
    <m/>
    <x v="15"/>
    <m/>
    <m/>
    <m/>
    <m/>
  </r>
  <r>
    <x v="1"/>
    <x v="1"/>
    <s v="6/8"/>
    <x v="163"/>
    <s v="سٹاک"/>
    <s v="PP"/>
    <n v="6"/>
    <n v="5"/>
    <s v="PP"/>
    <n v="1500"/>
    <s v="PP"/>
    <n v="9"/>
    <n v="211.89000000000001"/>
    <n v="5.3999999999999995"/>
    <m/>
    <m/>
    <n v="206.49"/>
    <s v="1720.67"/>
    <m/>
    <m/>
    <m/>
    <n v="0"/>
    <n v="0"/>
    <m/>
    <m/>
    <m/>
    <m/>
    <m/>
    <m/>
    <m/>
    <m/>
    <n v="0"/>
    <n v="0"/>
    <n v="0"/>
    <n v="12"/>
    <n v="12"/>
    <m/>
    <m/>
    <n v="0"/>
    <n v="216.89"/>
    <m/>
    <x v="15"/>
    <m/>
    <m/>
    <m/>
    <m/>
  </r>
  <r>
    <x v="0"/>
    <x v="0"/>
    <s v="3/8"/>
    <x v="163"/>
    <s v="سٹاک"/>
    <s v="PP"/>
    <n v="3"/>
    <s v="5.5-6"/>
    <s v="PP"/>
    <n v="1000"/>
    <s v="PP"/>
    <n v="9"/>
    <n v="150.97"/>
    <n v="2.6999999999999997"/>
    <m/>
    <m/>
    <n v="148.27000000000001"/>
    <s v="805.91000000000008"/>
    <m/>
    <m/>
    <m/>
    <n v="0"/>
    <n v="0"/>
    <m/>
    <m/>
    <m/>
    <m/>
    <m/>
    <m/>
    <n v="25"/>
    <m/>
    <n v="25"/>
    <n v="0.41666666666666674"/>
    <n v="0.41666666666666674"/>
    <n v="11.583333333333334"/>
    <n v="12"/>
    <m/>
    <m/>
    <n v="0"/>
    <n v="155.97"/>
    <m/>
    <x v="15"/>
    <m/>
    <m/>
    <m/>
    <m/>
  </r>
  <r>
    <x v="1"/>
    <x v="0"/>
    <s v="3/8"/>
    <x v="163"/>
    <s v="سٹاک"/>
    <s v="PP"/>
    <n v="3"/>
    <s v="5.5-6"/>
    <s v="PP"/>
    <n v="1000"/>
    <s v="PP"/>
    <n v="8"/>
    <n v="124.30999999999999"/>
    <n v="2.4"/>
    <m/>
    <m/>
    <n v="121.90999999999998"/>
    <s v="805.91000000000008"/>
    <m/>
    <m/>
    <m/>
    <n v="0"/>
    <n v="0"/>
    <m/>
    <m/>
    <m/>
    <m/>
    <m/>
    <m/>
    <m/>
    <m/>
    <n v="0"/>
    <n v="0"/>
    <n v="0"/>
    <n v="12"/>
    <n v="12"/>
    <m/>
    <m/>
    <n v="0"/>
    <n v="129.31"/>
    <m/>
    <x v="15"/>
    <m/>
    <m/>
    <m/>
    <m/>
  </r>
  <r>
    <x v="0"/>
    <x v="2"/>
    <s v="8/9"/>
    <x v="163"/>
    <s v="سٹاک"/>
    <s v="PP"/>
    <n v="8"/>
    <n v="5"/>
    <s v="PP"/>
    <n v="1500"/>
    <s v="PP"/>
    <n v="8"/>
    <n v="348.77000000000004"/>
    <n v="7.2"/>
    <m/>
    <m/>
    <n v="341.57000000000005"/>
    <s v="1664.4000000000003"/>
    <m/>
    <m/>
    <m/>
    <n v="0"/>
    <n v="0"/>
    <m/>
    <m/>
    <m/>
    <m/>
    <m/>
    <m/>
    <m/>
    <m/>
    <n v="0"/>
    <n v="0"/>
    <n v="0"/>
    <n v="12"/>
    <n v="12"/>
    <m/>
    <m/>
    <n v="0"/>
    <n v="353.77000000000004"/>
    <m/>
    <x v="15"/>
    <m/>
    <m/>
    <m/>
    <m/>
  </r>
  <r>
    <x v="1"/>
    <x v="2"/>
    <s v="8/9"/>
    <x v="163"/>
    <s v="سٹاک"/>
    <s v="PP"/>
    <n v="8"/>
    <n v="5"/>
    <s v="PP"/>
    <n v="1500"/>
    <s v="PP"/>
    <n v="9"/>
    <n v="333.65"/>
    <n v="7.2"/>
    <m/>
    <m/>
    <n v="326.45"/>
    <s v="1664.4000000000003"/>
    <m/>
    <m/>
    <m/>
    <n v="0"/>
    <n v="0"/>
    <m/>
    <m/>
    <m/>
    <m/>
    <m/>
    <m/>
    <m/>
    <m/>
    <n v="0"/>
    <n v="0"/>
    <n v="0"/>
    <n v="12"/>
    <n v="12"/>
    <m/>
    <m/>
    <n v="0"/>
    <n v="338.65"/>
    <m/>
    <x v="15"/>
    <m/>
    <m/>
    <m/>
    <m/>
  </r>
  <r>
    <x v="0"/>
    <x v="3"/>
    <s v="24/4"/>
    <x v="164"/>
    <s v="سٹاک"/>
    <s v="PP"/>
    <n v="24"/>
    <n v="5"/>
    <s v="PP"/>
    <n v="1000"/>
    <s v="PP"/>
    <n v="3"/>
    <n v="153.43"/>
    <n v="7.1999999999999993"/>
    <m/>
    <m/>
    <n v="146.23000000000002"/>
    <s v="1427.33"/>
    <n v="25"/>
    <m/>
    <m/>
    <n v="25"/>
    <n v="0.41666666666666674"/>
    <n v="90"/>
    <m/>
    <m/>
    <m/>
    <m/>
    <m/>
    <m/>
    <m/>
    <n v="90"/>
    <n v="1.5"/>
    <n v="1.9166666666666667"/>
    <n v="10.083333333333334"/>
    <n v="12"/>
    <m/>
    <m/>
    <n v="0"/>
    <n v="158.43"/>
    <m/>
    <x v="15"/>
    <m/>
    <m/>
    <m/>
    <m/>
  </r>
  <r>
    <x v="0"/>
    <x v="3"/>
    <s v="7536/10"/>
    <x v="164"/>
    <s v="-"/>
    <m/>
    <m/>
    <m/>
    <m/>
    <m/>
    <s v="PP"/>
    <n v="2"/>
    <n v="118.86"/>
    <n v="4.8"/>
    <m/>
    <m/>
    <n v="114.06"/>
    <s v="114.06"/>
    <n v="25"/>
    <m/>
    <m/>
    <n v="25"/>
    <n v="0.41666666666666674"/>
    <m/>
    <m/>
    <m/>
    <m/>
    <m/>
    <m/>
    <m/>
    <m/>
    <n v="0"/>
    <n v="0"/>
    <n v="0.41666666666666674"/>
    <n v="11.583333333333334"/>
    <n v="12"/>
    <m/>
    <m/>
    <n v="0"/>
    <n v="123.86"/>
    <m/>
    <x v="15"/>
    <m/>
    <m/>
    <m/>
    <m/>
  </r>
  <r>
    <x v="0"/>
    <x v="3"/>
    <s v="7550/1"/>
    <x v="164"/>
    <s v="شمس القمر سٹال اعظم مارکیٹ"/>
    <s v="PP"/>
    <n v="26"/>
    <n v="14"/>
    <s v="PP"/>
    <n v="250"/>
    <s v="PP"/>
    <n v="4"/>
    <n v="268.08"/>
    <n v="13.6"/>
    <m/>
    <m/>
    <n v="254.48"/>
    <s v="254.48"/>
    <m/>
    <m/>
    <m/>
    <n v="0"/>
    <n v="0"/>
    <m/>
    <m/>
    <m/>
    <m/>
    <m/>
    <m/>
    <m/>
    <m/>
    <n v="0"/>
    <n v="0"/>
    <n v="0"/>
    <n v="12"/>
    <n v="12"/>
    <m/>
    <m/>
    <n v="0"/>
    <n v="273.08"/>
    <m/>
    <x v="15"/>
    <m/>
    <m/>
    <m/>
    <m/>
  </r>
  <r>
    <x v="0"/>
    <x v="3"/>
    <s v="5674 J"/>
    <x v="164"/>
    <s v="M. Imran Pakistan Market Lahore"/>
    <s v="PP"/>
    <n v="26"/>
    <s v="10"/>
    <s v="PP"/>
    <n v="125"/>
    <s v="PP"/>
    <n v="2"/>
    <n v="136.32"/>
    <n v="6.9"/>
    <m/>
    <m/>
    <n v="129.41999999999999"/>
    <s v="129.41999999999999"/>
    <m/>
    <m/>
    <m/>
    <n v="0"/>
    <n v="0"/>
    <m/>
    <m/>
    <m/>
    <m/>
    <m/>
    <m/>
    <m/>
    <m/>
    <n v="0"/>
    <n v="0"/>
    <n v="0"/>
    <n v="12"/>
    <n v="12"/>
    <m/>
    <m/>
    <n v="0"/>
    <n v="141.32"/>
    <m/>
    <x v="15"/>
    <m/>
    <m/>
    <m/>
    <m/>
  </r>
  <r>
    <x v="0"/>
    <x v="3"/>
    <s v="7525/1"/>
    <x v="164"/>
    <s v="خواجہ  مدثر ٹمبر مارکیٹ"/>
    <s v="PP"/>
    <n v="10.5"/>
    <s v="2.5-5"/>
    <s v="PP"/>
    <n v="400"/>
    <s v="PP"/>
    <n v="2"/>
    <n v="45.599999999999994"/>
    <n v="2.2000000000000002"/>
    <m/>
    <m/>
    <n v="43.399999999999991"/>
    <s v="414.42999999999995"/>
    <m/>
    <m/>
    <m/>
    <n v="0"/>
    <n v="0"/>
    <m/>
    <m/>
    <m/>
    <m/>
    <m/>
    <m/>
    <m/>
    <m/>
    <n v="0"/>
    <n v="0"/>
    <n v="0"/>
    <n v="12"/>
    <n v="12"/>
    <m/>
    <m/>
    <n v="0"/>
    <n v="50.599999999999994"/>
    <m/>
    <x v="15"/>
    <m/>
    <m/>
    <m/>
    <m/>
  </r>
  <r>
    <x v="1"/>
    <x v="3"/>
    <s v="7525/1"/>
    <x v="164"/>
    <s v="خواجہ  مدثر ٹمبر مارکیٹ"/>
    <s v="PP"/>
    <n v="10.5"/>
    <s v="2.5-5"/>
    <s v="PP"/>
    <n v="400"/>
    <s v="PP"/>
    <n v="15"/>
    <n v="386.03"/>
    <n v="15"/>
    <m/>
    <m/>
    <n v="371.03"/>
    <s v="414.42999999999995"/>
    <m/>
    <m/>
    <m/>
    <n v="0"/>
    <n v="0"/>
    <m/>
    <n v="40"/>
    <m/>
    <m/>
    <m/>
    <m/>
    <m/>
    <m/>
    <n v="40"/>
    <n v="0.66666666666666663"/>
    <n v="0.66666666666666663"/>
    <n v="11.333333333333334"/>
    <n v="12"/>
    <m/>
    <m/>
    <n v="0"/>
    <n v="391.03"/>
    <m/>
    <x v="15"/>
    <m/>
    <m/>
    <m/>
    <m/>
  </r>
  <r>
    <x v="1"/>
    <x v="3"/>
    <s v="2827/1"/>
    <x v="164"/>
    <s v="C/O NADEEM SB"/>
    <s v="PP"/>
    <n v="16"/>
    <s v="4.5-5"/>
    <s v="PP"/>
    <n v="100"/>
    <s v="PP"/>
    <n v="3"/>
    <n v="85.9"/>
    <n v="3.2"/>
    <m/>
    <m/>
    <n v="82.7"/>
    <s v="82.7"/>
    <m/>
    <m/>
    <m/>
    <n v="0"/>
    <n v="0"/>
    <m/>
    <m/>
    <m/>
    <m/>
    <m/>
    <m/>
    <m/>
    <m/>
    <n v="0"/>
    <n v="0"/>
    <n v="0"/>
    <n v="12"/>
    <n v="12"/>
    <m/>
    <m/>
    <n v="0"/>
    <n v="90.9"/>
    <m/>
    <x v="15"/>
    <m/>
    <m/>
    <m/>
    <m/>
  </r>
  <r>
    <x v="0"/>
    <x v="1"/>
    <s v="6/8"/>
    <x v="164"/>
    <s v="سٹاک"/>
    <s v="PP"/>
    <n v="6"/>
    <n v="5"/>
    <s v="PP"/>
    <n v="1500"/>
    <s v="PP"/>
    <n v="10"/>
    <n v="250.02999999999997"/>
    <n v="6"/>
    <n v="23"/>
    <m/>
    <n v="244.02999999999997"/>
    <s v="1720.67"/>
    <m/>
    <m/>
    <m/>
    <n v="0"/>
    <n v="0"/>
    <m/>
    <m/>
    <m/>
    <m/>
    <m/>
    <m/>
    <m/>
    <m/>
    <n v="0"/>
    <n v="0"/>
    <n v="0"/>
    <n v="12"/>
    <n v="12"/>
    <m/>
    <m/>
    <n v="0"/>
    <n v="255.02999999999997"/>
    <m/>
    <x v="15"/>
    <m/>
    <m/>
    <m/>
    <m/>
  </r>
  <r>
    <x v="1"/>
    <x v="1"/>
    <s v="6/8"/>
    <x v="164"/>
    <s v="سٹاک"/>
    <s v="PP"/>
    <n v="6"/>
    <n v="5"/>
    <s v="PP"/>
    <n v="1500"/>
    <s v="PP"/>
    <n v="10"/>
    <n v="253.45"/>
    <n v="6"/>
    <n v="75"/>
    <m/>
    <n v="247.45"/>
    <s v="1720.67"/>
    <m/>
    <m/>
    <m/>
    <n v="0"/>
    <n v="0"/>
    <m/>
    <m/>
    <m/>
    <m/>
    <m/>
    <m/>
    <m/>
    <m/>
    <n v="0"/>
    <n v="0"/>
    <n v="0"/>
    <n v="12"/>
    <n v="12"/>
    <m/>
    <m/>
    <n v="0"/>
    <n v="258.45"/>
    <m/>
    <x v="15"/>
    <m/>
    <m/>
    <m/>
    <m/>
  </r>
  <r>
    <x v="0"/>
    <x v="0"/>
    <s v="3/4"/>
    <x v="164"/>
    <s v="سٹاک"/>
    <s v="PP"/>
    <n v="3"/>
    <s v="5.5-6"/>
    <s v="PP"/>
    <n v="500"/>
    <s v="PP"/>
    <n v="10"/>
    <n v="151.09"/>
    <n v="3"/>
    <m/>
    <m/>
    <n v="148.09"/>
    <s v="1057.2700000000002"/>
    <m/>
    <m/>
    <m/>
    <n v="0"/>
    <n v="0"/>
    <m/>
    <m/>
    <m/>
    <m/>
    <m/>
    <m/>
    <m/>
    <m/>
    <n v="0"/>
    <n v="0"/>
    <n v="0"/>
    <n v="12"/>
    <n v="12"/>
    <m/>
    <m/>
    <n v="0"/>
    <n v="156.09"/>
    <m/>
    <x v="15"/>
    <m/>
    <m/>
    <m/>
    <m/>
  </r>
  <r>
    <x v="1"/>
    <x v="0"/>
    <s v="3/4"/>
    <x v="164"/>
    <s v="سٹاک"/>
    <s v="PP"/>
    <n v="3"/>
    <s v="5.5-6"/>
    <s v="PP"/>
    <n v="500"/>
    <s v="PP"/>
    <n v="2"/>
    <n v="28.04"/>
    <n v="0.6"/>
    <m/>
    <m/>
    <n v="27.439999999999998"/>
    <s v="1057.2700000000002"/>
    <m/>
    <m/>
    <n v="600"/>
    <n v="600"/>
    <n v="10"/>
    <m/>
    <m/>
    <m/>
    <m/>
    <m/>
    <m/>
    <m/>
    <m/>
    <n v="0"/>
    <n v="0"/>
    <n v="10"/>
    <n v="2"/>
    <n v="12"/>
    <m/>
    <m/>
    <n v="0"/>
    <n v="33.04"/>
    <m/>
    <x v="15"/>
    <m/>
    <m/>
    <m/>
    <m/>
  </r>
  <r>
    <x v="0"/>
    <x v="4"/>
    <s v="2826/2"/>
    <x v="164"/>
    <s v="REFLECT PACK"/>
    <s v="PP"/>
    <n v="16"/>
    <s v="5.5-6"/>
    <s v="PP"/>
    <n v="5000"/>
    <s v="PP"/>
    <n v="9"/>
    <n v="591.29000000000008"/>
    <n v="4.5"/>
    <m/>
    <m/>
    <n v="586.79000000000008"/>
    <s v="5043.9699999999993"/>
    <m/>
    <m/>
    <m/>
    <n v="0"/>
    <n v="0"/>
    <m/>
    <m/>
    <m/>
    <m/>
    <m/>
    <m/>
    <m/>
    <m/>
    <n v="0"/>
    <n v="0"/>
    <n v="0"/>
    <n v="12"/>
    <n v="12"/>
    <m/>
    <m/>
    <n v="0"/>
    <n v="596.29000000000008"/>
    <m/>
    <x v="15"/>
    <m/>
    <m/>
    <m/>
    <m/>
  </r>
  <r>
    <x v="1"/>
    <x v="4"/>
    <s v="2826/2"/>
    <x v="164"/>
    <s v="REFLECT PACK"/>
    <s v="PP"/>
    <n v="16"/>
    <s v="5.5-6"/>
    <s v="PP"/>
    <n v="5000"/>
    <s v="PP"/>
    <n v="9"/>
    <n v="538.98"/>
    <n v="14.4"/>
    <m/>
    <m/>
    <n v="524.58000000000004"/>
    <s v="5043.9699999999993"/>
    <n v="30"/>
    <m/>
    <m/>
    <n v="30"/>
    <n v="0.5"/>
    <m/>
    <m/>
    <m/>
    <m/>
    <m/>
    <m/>
    <m/>
    <m/>
    <n v="0"/>
    <n v="0"/>
    <n v="0.5"/>
    <n v="11.5"/>
    <n v="12"/>
    <m/>
    <m/>
    <n v="0"/>
    <n v="543.98"/>
    <m/>
    <x v="15"/>
    <m/>
    <m/>
    <m/>
    <m/>
  </r>
  <r>
    <x v="1"/>
    <x v="4"/>
    <s v="12/5"/>
    <x v="164"/>
    <s v="سٹاک"/>
    <s v="PP"/>
    <n v="12"/>
    <n v="5"/>
    <s v="PP"/>
    <n v="500"/>
    <s v="PP"/>
    <n v="1"/>
    <n v="38.93"/>
    <n v="1.2"/>
    <m/>
    <m/>
    <n v="37.729999999999997"/>
    <s v="1019.7800000000001"/>
    <m/>
    <m/>
    <m/>
    <n v="0"/>
    <n v="0"/>
    <m/>
    <m/>
    <m/>
    <m/>
    <m/>
    <m/>
    <m/>
    <m/>
    <n v="0"/>
    <n v="0"/>
    <n v="0"/>
    <n v="12"/>
    <n v="12"/>
    <m/>
    <m/>
    <n v="0"/>
    <n v="43.93"/>
    <m/>
    <x v="15"/>
    <m/>
    <m/>
    <m/>
    <m/>
  </r>
  <r>
    <x v="0"/>
    <x v="2"/>
    <s v="8/9"/>
    <x v="164"/>
    <s v="سٹاک"/>
    <s v="PP"/>
    <n v="8"/>
    <n v="5"/>
    <s v="PP"/>
    <n v="1500"/>
    <s v="PP"/>
    <n v="3"/>
    <n v="119.65"/>
    <n v="2.4000000000000004"/>
    <m/>
    <m/>
    <n v="117.25"/>
    <s v="1664.4000000000003"/>
    <m/>
    <m/>
    <m/>
    <n v="0"/>
    <n v="0"/>
    <m/>
    <m/>
    <m/>
    <m/>
    <m/>
    <m/>
    <m/>
    <m/>
    <n v="0"/>
    <n v="0"/>
    <n v="0"/>
    <n v="12"/>
    <n v="12"/>
    <m/>
    <m/>
    <n v="0"/>
    <n v="124.65"/>
    <m/>
    <x v="15"/>
    <m/>
    <m/>
    <m/>
    <m/>
  </r>
  <r>
    <x v="0"/>
    <x v="2"/>
    <s v="7523/2"/>
    <x v="164"/>
    <s v="اشرف پلاسٹک جھنگ"/>
    <s v="PP"/>
    <n v="8"/>
    <s v="4.5"/>
    <s v="PP"/>
    <n v="100"/>
    <s v="PP"/>
    <n v="5"/>
    <n v="224.33"/>
    <n v="4"/>
    <m/>
    <m/>
    <n v="220.33"/>
    <s v="348.26"/>
    <m/>
    <m/>
    <m/>
    <n v="0"/>
    <n v="0"/>
    <m/>
    <m/>
    <m/>
    <m/>
    <m/>
    <m/>
    <m/>
    <m/>
    <n v="0"/>
    <n v="0"/>
    <n v="0"/>
    <n v="12"/>
    <n v="12"/>
    <m/>
    <m/>
    <n v="0"/>
    <n v="229.33"/>
    <m/>
    <x v="15"/>
    <m/>
    <m/>
    <m/>
    <m/>
  </r>
  <r>
    <x v="1"/>
    <x v="2"/>
    <s v="7523/2"/>
    <x v="164"/>
    <s v="اشرف پلاسٹک جھنگ"/>
    <s v="PP"/>
    <n v="8"/>
    <s v="4.5"/>
    <s v="PP"/>
    <n v="100"/>
    <s v="PP"/>
    <n v="4"/>
    <n v="131.93"/>
    <n v="4"/>
    <m/>
    <m/>
    <n v="127.93"/>
    <s v="348.26"/>
    <m/>
    <m/>
    <m/>
    <n v="0"/>
    <n v="0"/>
    <m/>
    <m/>
    <m/>
    <m/>
    <m/>
    <m/>
    <m/>
    <m/>
    <n v="0"/>
    <n v="0"/>
    <n v="0"/>
    <n v="12"/>
    <n v="12"/>
    <m/>
    <m/>
    <n v="0"/>
    <n v="136.93"/>
    <m/>
    <x v="15"/>
    <m/>
    <m/>
    <m/>
    <m/>
  </r>
  <r>
    <x v="1"/>
    <x v="2"/>
    <s v="7539/6"/>
    <x v="164"/>
    <s v="امارات پلاسٹک چونگ"/>
    <s v="PP"/>
    <n v="9"/>
    <s v="4.5"/>
    <s v="PP"/>
    <n v="50"/>
    <s v="PP"/>
    <n v="4"/>
    <n v="169.23999999999998"/>
    <n v="3.6"/>
    <m/>
    <m/>
    <n v="165.64"/>
    <s v="165.64"/>
    <m/>
    <m/>
    <m/>
    <n v="0"/>
    <n v="0"/>
    <m/>
    <m/>
    <m/>
    <m/>
    <m/>
    <m/>
    <m/>
    <m/>
    <n v="0"/>
    <n v="0"/>
    <n v="0"/>
    <n v="12"/>
    <n v="12"/>
    <m/>
    <m/>
    <n v="0"/>
    <n v="174.23999999999998"/>
    <m/>
    <x v="15"/>
    <m/>
    <m/>
    <m/>
    <m/>
  </r>
  <r>
    <x v="0"/>
    <x v="0"/>
    <s v="3/8"/>
    <x v="165"/>
    <s v="سٹاک"/>
    <s v="PP"/>
    <n v="3"/>
    <s v="5.5-6"/>
    <s v="PP"/>
    <n v="1000"/>
    <s v="PP"/>
    <n v="8"/>
    <n v="118.99"/>
    <n v="2.4"/>
    <n v="22"/>
    <m/>
    <n v="116.58999999999999"/>
    <s v="805.91000000000008"/>
    <m/>
    <n v="120"/>
    <m/>
    <n v="120"/>
    <n v="2"/>
    <m/>
    <m/>
    <m/>
    <m/>
    <m/>
    <m/>
    <m/>
    <m/>
    <n v="0"/>
    <n v="0"/>
    <n v="2"/>
    <n v="10"/>
    <n v="12"/>
    <m/>
    <m/>
    <n v="0"/>
    <n v="140"/>
    <m/>
    <x v="16"/>
    <n v="49"/>
    <m/>
    <m/>
    <m/>
  </r>
  <r>
    <x v="1"/>
    <x v="0"/>
    <s v="3/8"/>
    <x v="165"/>
    <s v="سٹاک"/>
    <s v="PP"/>
    <n v="3"/>
    <s v="5.5-6"/>
    <s v="PP"/>
    <n v="1000"/>
    <s v="PP"/>
    <n v="9"/>
    <n v="142.27000000000001"/>
    <n v="2.6999999999999997"/>
    <n v="10"/>
    <m/>
    <n v="139.57000000000002"/>
    <s v="805.91000000000008"/>
    <m/>
    <m/>
    <m/>
    <n v="0"/>
    <n v="0"/>
    <m/>
    <m/>
    <m/>
    <m/>
    <m/>
    <m/>
    <m/>
    <m/>
    <n v="0"/>
    <n v="0"/>
    <n v="0"/>
    <n v="12"/>
    <n v="12"/>
    <m/>
    <m/>
    <n v="0"/>
    <n v="140"/>
    <m/>
    <x v="16"/>
    <n v="49"/>
    <m/>
    <m/>
    <m/>
  </r>
  <r>
    <x v="0"/>
    <x v="1"/>
    <s v="6/8"/>
    <x v="165"/>
    <s v="سٹاک"/>
    <s v="PP"/>
    <n v="6"/>
    <n v="5"/>
    <s v="PP"/>
    <n v="1500"/>
    <s v="PP"/>
    <n v="6"/>
    <n v="153.87"/>
    <n v="3.5999999999999996"/>
    <m/>
    <m/>
    <n v="150.27000000000001"/>
    <s v="1720.67"/>
    <n v="20"/>
    <m/>
    <m/>
    <n v="20"/>
    <n v="0.33333333333333331"/>
    <m/>
    <m/>
    <m/>
    <m/>
    <m/>
    <m/>
    <m/>
    <m/>
    <n v="0"/>
    <n v="0"/>
    <n v="0.33333333333333331"/>
    <n v="11.666666666666666"/>
    <n v="12"/>
    <m/>
    <m/>
    <n v="0"/>
    <n v="200"/>
    <m/>
    <x v="16"/>
    <n v="49"/>
    <m/>
    <m/>
    <m/>
  </r>
  <r>
    <x v="0"/>
    <x v="1"/>
    <s v="4/9"/>
    <x v="165"/>
    <s v="سٹاک"/>
    <s v="PP"/>
    <n v="4"/>
    <s v="5-5.5"/>
    <s v="PP"/>
    <n v="1000"/>
    <s v="PP"/>
    <n v="3"/>
    <n v="47.09"/>
    <n v="1.2000000000000002"/>
    <m/>
    <m/>
    <n v="45.89"/>
    <s v="1225.3799999999999"/>
    <m/>
    <m/>
    <m/>
    <n v="0"/>
    <n v="0"/>
    <m/>
    <m/>
    <m/>
    <m/>
    <m/>
    <m/>
    <m/>
    <m/>
    <n v="0"/>
    <n v="0"/>
    <n v="0"/>
    <n v="12"/>
    <n v="12"/>
    <m/>
    <m/>
    <n v="0"/>
    <m/>
    <m/>
    <x v="16"/>
    <n v="49"/>
    <m/>
    <m/>
    <m/>
  </r>
  <r>
    <x v="1"/>
    <x v="1"/>
    <s v="7488/5"/>
    <x v="165"/>
    <s v="اصف پلاسٹک سرگودھا"/>
    <s v="PP"/>
    <n v="4"/>
    <s v="4.5"/>
    <s v="PP"/>
    <n v="100"/>
    <s v="PP"/>
    <n v="6"/>
    <n v="111.89"/>
    <n v="2.4000000000000004"/>
    <m/>
    <m/>
    <n v="109.49"/>
    <s v="432.9"/>
    <m/>
    <m/>
    <m/>
    <n v="0"/>
    <n v="0"/>
    <m/>
    <m/>
    <m/>
    <m/>
    <m/>
    <m/>
    <m/>
    <m/>
    <n v="0"/>
    <n v="0"/>
    <n v="0"/>
    <n v="12"/>
    <n v="12"/>
    <m/>
    <m/>
    <n v="0"/>
    <n v="200"/>
    <m/>
    <x v="16"/>
    <n v="49"/>
    <m/>
    <m/>
    <m/>
  </r>
  <r>
    <x v="1"/>
    <x v="1"/>
    <s v="4/9"/>
    <x v="165"/>
    <s v="سٹاک"/>
    <s v="PP"/>
    <n v="4"/>
    <s v="5-5.5"/>
    <s v="PP"/>
    <n v="1000"/>
    <s v="PP"/>
    <n v="4"/>
    <n v="64.56"/>
    <n v="1.6"/>
    <m/>
    <m/>
    <n v="62.96"/>
    <s v="1225.3799999999999"/>
    <m/>
    <m/>
    <m/>
    <n v="0"/>
    <n v="0"/>
    <m/>
    <m/>
    <m/>
    <m/>
    <m/>
    <m/>
    <m/>
    <m/>
    <n v="0"/>
    <n v="0"/>
    <n v="0"/>
    <n v="12"/>
    <n v="12"/>
    <m/>
    <m/>
    <n v="0"/>
    <m/>
    <m/>
    <x v="16"/>
    <n v="49"/>
    <m/>
    <m/>
    <m/>
  </r>
  <r>
    <x v="0"/>
    <x v="2"/>
    <s v="7543/1"/>
    <x v="165"/>
    <s v="MTM شاہ عالم"/>
    <s v="PP"/>
    <n v="9"/>
    <s v="7"/>
    <s v="PP"/>
    <n v="100"/>
    <s v="PP"/>
    <n v="2"/>
    <n v="71.739999999999995"/>
    <n v="2.1"/>
    <m/>
    <m/>
    <n v="69.64"/>
    <s v="69.64"/>
    <m/>
    <m/>
    <m/>
    <n v="0"/>
    <n v="0"/>
    <m/>
    <m/>
    <m/>
    <m/>
    <m/>
    <m/>
    <m/>
    <m/>
    <n v="0"/>
    <n v="0"/>
    <n v="0"/>
    <n v="12"/>
    <n v="12"/>
    <m/>
    <m/>
    <n v="0"/>
    <n v="300"/>
    <m/>
    <x v="16"/>
    <n v="49"/>
    <m/>
    <m/>
    <m/>
  </r>
  <r>
    <x v="0"/>
    <x v="2"/>
    <s v="7/9"/>
    <x v="165"/>
    <s v="سٹاک"/>
    <s v="PP"/>
    <n v="7"/>
    <n v="5"/>
    <s v="PP"/>
    <n v="1000"/>
    <s v="PP"/>
    <n v="6"/>
    <n v="222.44"/>
    <n v="5.4"/>
    <m/>
    <m/>
    <n v="217.04"/>
    <s v="1101.3899999999999"/>
    <m/>
    <m/>
    <m/>
    <n v="0"/>
    <n v="0"/>
    <m/>
    <m/>
    <m/>
    <m/>
    <m/>
    <m/>
    <m/>
    <m/>
    <n v="0"/>
    <n v="0"/>
    <n v="0"/>
    <n v="12"/>
    <n v="12"/>
    <m/>
    <m/>
    <n v="0"/>
    <m/>
    <m/>
    <x v="16"/>
    <n v="49"/>
    <m/>
    <m/>
    <m/>
  </r>
  <r>
    <x v="1"/>
    <x v="2"/>
    <s v="7/9"/>
    <x v="165"/>
    <s v="سٹاک"/>
    <s v="PP"/>
    <n v="7"/>
    <n v="5"/>
    <s v="PP"/>
    <n v="1000"/>
    <s v="PP"/>
    <n v="8"/>
    <n v="293.56"/>
    <n v="5.6"/>
    <m/>
    <m/>
    <n v="287.95999999999998"/>
    <s v="1101.3899999999999"/>
    <m/>
    <m/>
    <m/>
    <n v="0"/>
    <n v="0"/>
    <m/>
    <m/>
    <m/>
    <m/>
    <m/>
    <m/>
    <m/>
    <m/>
    <n v="0"/>
    <n v="0"/>
    <n v="0"/>
    <n v="12"/>
    <n v="12"/>
    <m/>
    <m/>
    <n v="0"/>
    <n v="300"/>
    <m/>
    <x v="16"/>
    <n v="49"/>
    <m/>
    <m/>
    <m/>
  </r>
  <r>
    <x v="0"/>
    <x v="3"/>
    <s v="7558/4"/>
    <x v="165"/>
    <s v="عاصم مدنی انارکلی"/>
    <s v="PP"/>
    <n v="16"/>
    <s v="7.5"/>
    <s v="PP"/>
    <n v="50"/>
    <s v="PP"/>
    <n v="3"/>
    <n v="110.35000000000001"/>
    <n v="23.1"/>
    <m/>
    <m/>
    <n v="87.25"/>
    <s v="108.13"/>
    <m/>
    <m/>
    <m/>
    <n v="0"/>
    <n v="0"/>
    <m/>
    <m/>
    <m/>
    <m/>
    <m/>
    <m/>
    <m/>
    <m/>
    <n v="0"/>
    <n v="0"/>
    <n v="0"/>
    <n v="12"/>
    <n v="12"/>
    <m/>
    <m/>
    <n v="0"/>
    <n v="750"/>
    <m/>
    <x v="16"/>
    <n v="49"/>
    <m/>
    <m/>
    <m/>
  </r>
  <r>
    <x v="0"/>
    <x v="3"/>
    <s v="2826/2"/>
    <x v="165"/>
    <s v="REFLECT PACK"/>
    <s v="PP"/>
    <n v="16"/>
    <s v="5.5-6"/>
    <s v="PP"/>
    <n v="5000"/>
    <s v="PP"/>
    <n v="9"/>
    <n v="453.2"/>
    <n v="17.099999999999998"/>
    <m/>
    <m/>
    <n v="436.09999999999997"/>
    <s v="5043.9699999999993"/>
    <m/>
    <m/>
    <m/>
    <n v="0"/>
    <n v="0"/>
    <m/>
    <m/>
    <m/>
    <m/>
    <m/>
    <m/>
    <m/>
    <m/>
    <n v="0"/>
    <n v="0"/>
    <n v="0"/>
    <n v="12"/>
    <n v="12"/>
    <m/>
    <m/>
    <n v="0"/>
    <m/>
    <m/>
    <x v="16"/>
    <n v="49"/>
    <m/>
    <m/>
    <m/>
  </r>
  <r>
    <x v="0"/>
    <x v="3"/>
    <s v="7559/1"/>
    <x v="165"/>
    <s v="حنان پلاسٹک فیصل آباد"/>
    <s v="PP"/>
    <n v="16"/>
    <s v="6-6.5"/>
    <s v="PP"/>
    <n v="200"/>
    <s v="PP"/>
    <n v="4"/>
    <n v="214.18"/>
    <n v="8"/>
    <m/>
    <m/>
    <n v="206.18"/>
    <s v="206.18"/>
    <m/>
    <m/>
    <m/>
    <n v="0"/>
    <n v="0"/>
    <m/>
    <m/>
    <m/>
    <m/>
    <m/>
    <m/>
    <m/>
    <m/>
    <n v="0"/>
    <n v="0"/>
    <n v="0"/>
    <n v="12"/>
    <n v="12"/>
    <m/>
    <m/>
    <n v="0"/>
    <m/>
    <m/>
    <x v="16"/>
    <n v="49"/>
    <m/>
    <m/>
    <m/>
  </r>
  <r>
    <x v="1"/>
    <x v="3"/>
    <s v="2826/2"/>
    <x v="165"/>
    <s v="REFLECT PACK"/>
    <s v="PP"/>
    <n v="16"/>
    <s v="5.5-6"/>
    <s v="PP"/>
    <n v="5000"/>
    <s v="PP"/>
    <n v="17"/>
    <n v="793.43999999999994"/>
    <n v="27.200000000000003"/>
    <m/>
    <m/>
    <n v="766.2399999999999"/>
    <s v="5043.9699999999993"/>
    <m/>
    <m/>
    <m/>
    <n v="0"/>
    <n v="0"/>
    <m/>
    <m/>
    <m/>
    <m/>
    <m/>
    <m/>
    <m/>
    <m/>
    <n v="0"/>
    <n v="0"/>
    <n v="0"/>
    <n v="12"/>
    <n v="12"/>
    <m/>
    <m/>
    <n v="0"/>
    <m/>
    <m/>
    <x v="16"/>
    <n v="49"/>
    <m/>
    <m/>
    <m/>
  </r>
  <r>
    <x v="0"/>
    <x v="4"/>
    <s v="2827/2"/>
    <x v="165"/>
    <s v="C/O NADEEM SB"/>
    <s v="PP"/>
    <n v="12"/>
    <s v="5.5-6"/>
    <s v="PP"/>
    <n v="100"/>
    <s v="PP"/>
    <n v="2"/>
    <n v="108.75"/>
    <n v="2.9"/>
    <m/>
    <m/>
    <n v="105.85"/>
    <s v="105.85"/>
    <m/>
    <m/>
    <m/>
    <n v="0"/>
    <n v="0"/>
    <m/>
    <m/>
    <m/>
    <m/>
    <m/>
    <m/>
    <m/>
    <m/>
    <n v="0"/>
    <n v="0"/>
    <n v="0"/>
    <n v="12"/>
    <n v="12"/>
    <m/>
    <m/>
    <n v="0"/>
    <n v="750"/>
    <m/>
    <x v="16"/>
    <n v="49"/>
    <m/>
    <m/>
    <m/>
  </r>
  <r>
    <x v="0"/>
    <x v="4"/>
    <s v="7539/1"/>
    <x v="165"/>
    <s v="امارات پلاسٹک چونگ"/>
    <s v="PP"/>
    <n v="12"/>
    <s v="4.5"/>
    <s v="PP"/>
    <n v="250"/>
    <s v="PP"/>
    <n v="8"/>
    <n v="459.55"/>
    <n v="11.2"/>
    <m/>
    <m/>
    <n v="448.35"/>
    <s v="555.1"/>
    <m/>
    <m/>
    <m/>
    <n v="0"/>
    <n v="0"/>
    <m/>
    <m/>
    <m/>
    <m/>
    <m/>
    <m/>
    <m/>
    <m/>
    <n v="0"/>
    <n v="0"/>
    <n v="0"/>
    <n v="12"/>
    <n v="12"/>
    <m/>
    <m/>
    <n v="0"/>
    <n v="550"/>
    <m/>
    <x v="16"/>
    <n v="49"/>
    <m/>
    <m/>
    <m/>
  </r>
  <r>
    <x v="1"/>
    <x v="4"/>
    <s v="12/10"/>
    <x v="165"/>
    <s v="سٹاک"/>
    <s v="PP"/>
    <n v="12"/>
    <n v="5"/>
    <s v="PP"/>
    <n v="3000"/>
    <s v="PP"/>
    <n v="9"/>
    <n v="581.97"/>
    <n v="10.799999999999999"/>
    <m/>
    <m/>
    <n v="571.17000000000007"/>
    <s v="2997.85"/>
    <m/>
    <m/>
    <m/>
    <n v="0"/>
    <n v="0"/>
    <m/>
    <m/>
    <m/>
    <m/>
    <m/>
    <m/>
    <m/>
    <m/>
    <n v="0"/>
    <n v="0"/>
    <n v="0"/>
    <n v="12"/>
    <n v="12"/>
    <m/>
    <m/>
    <n v="0"/>
    <n v="550"/>
    <m/>
    <x v="16"/>
    <n v="49"/>
    <m/>
    <m/>
    <m/>
  </r>
  <r>
    <x v="0"/>
    <x v="0"/>
    <s v="3/8"/>
    <x v="166"/>
    <s v="سٹاک"/>
    <s v="PP"/>
    <n v="3"/>
    <s v="5.5-6"/>
    <s v="PP"/>
    <n v="1000"/>
    <s v="PP"/>
    <n v="9"/>
    <n v="143.44"/>
    <n v="2.6999999999999997"/>
    <m/>
    <m/>
    <n v="140.74"/>
    <s v="805.91000000000008"/>
    <m/>
    <m/>
    <m/>
    <n v="0"/>
    <n v="0"/>
    <m/>
    <m/>
    <m/>
    <m/>
    <m/>
    <m/>
    <m/>
    <m/>
    <n v="0"/>
    <n v="0"/>
    <n v="0"/>
    <n v="12"/>
    <n v="12"/>
    <m/>
    <m/>
    <n v="0"/>
    <n v="148.44"/>
    <m/>
    <x v="16"/>
    <n v="49"/>
    <m/>
    <m/>
    <m/>
  </r>
  <r>
    <x v="1"/>
    <x v="0"/>
    <s v="3/8"/>
    <x v="166"/>
    <s v="سٹاک"/>
    <s v="PP"/>
    <n v="3"/>
    <s v="5.5-6"/>
    <s v="PP"/>
    <n v="1000"/>
    <s v="PP"/>
    <n v="9"/>
    <n v="141.53"/>
    <n v="2.6999999999999997"/>
    <m/>
    <m/>
    <n v="138.83000000000001"/>
    <s v="805.91000000000008"/>
    <m/>
    <m/>
    <m/>
    <n v="0"/>
    <n v="0"/>
    <m/>
    <m/>
    <m/>
    <m/>
    <m/>
    <m/>
    <m/>
    <m/>
    <n v="0"/>
    <n v="0"/>
    <n v="0"/>
    <n v="12"/>
    <n v="12"/>
    <m/>
    <m/>
    <n v="0"/>
    <n v="146.53"/>
    <m/>
    <x v="16"/>
    <n v="49"/>
    <m/>
    <m/>
    <m/>
  </r>
  <r>
    <x v="0"/>
    <x v="1"/>
    <s v="4/9"/>
    <x v="166"/>
    <s v="سٹاک"/>
    <s v="PP"/>
    <n v="4"/>
    <s v="5-5.5"/>
    <s v="PP"/>
    <n v="1000"/>
    <s v="PP"/>
    <n v="10"/>
    <n v="178.48999999999998"/>
    <n v="4"/>
    <m/>
    <m/>
    <n v="174.48999999999998"/>
    <s v="1225.3799999999999"/>
    <m/>
    <m/>
    <m/>
    <n v="0"/>
    <n v="0"/>
    <m/>
    <m/>
    <m/>
    <m/>
    <m/>
    <m/>
    <n v="30"/>
    <m/>
    <n v="30"/>
    <n v="0.5"/>
    <n v="0.5"/>
    <n v="11.5"/>
    <n v="12"/>
    <m/>
    <m/>
    <n v="0"/>
    <n v="183.49"/>
    <m/>
    <x v="16"/>
    <n v="49"/>
    <m/>
    <m/>
    <m/>
  </r>
  <r>
    <x v="1"/>
    <x v="1"/>
    <s v="4/9"/>
    <x v="166"/>
    <s v="سٹاک"/>
    <s v="PP"/>
    <n v="4"/>
    <s v="5-5.5"/>
    <s v="PP"/>
    <n v="1000"/>
    <s v="PP"/>
    <n v="9"/>
    <n v="167.95"/>
    <n v="3.6"/>
    <m/>
    <m/>
    <n v="164.35"/>
    <s v="1225.3799999999999"/>
    <m/>
    <m/>
    <m/>
    <n v="0"/>
    <n v="0"/>
    <m/>
    <m/>
    <n v="120"/>
    <m/>
    <m/>
    <m/>
    <m/>
    <m/>
    <n v="120"/>
    <n v="2"/>
    <n v="2"/>
    <n v="10"/>
    <n v="12"/>
    <m/>
    <m/>
    <n v="0"/>
    <n v="172.95"/>
    <m/>
    <x v="16"/>
    <n v="49"/>
    <m/>
    <m/>
    <m/>
  </r>
  <r>
    <x v="0"/>
    <x v="2"/>
    <s v="7/9"/>
    <x v="166"/>
    <s v="سٹاک"/>
    <s v="PP"/>
    <n v="7"/>
    <n v="5"/>
    <s v="PP"/>
    <n v="1000"/>
    <s v="PP"/>
    <n v="7"/>
    <n v="257.76000000000005"/>
    <n v="4.8999999999999995"/>
    <m/>
    <m/>
    <n v="252.86000000000004"/>
    <s v="1101.3899999999999"/>
    <m/>
    <m/>
    <m/>
    <n v="0"/>
    <n v="0"/>
    <m/>
    <m/>
    <m/>
    <m/>
    <m/>
    <m/>
    <m/>
    <m/>
    <n v="0"/>
    <n v="0"/>
    <n v="0"/>
    <n v="12"/>
    <n v="12"/>
    <m/>
    <m/>
    <n v="0"/>
    <n v="262.76000000000005"/>
    <m/>
    <x v="16"/>
    <n v="49"/>
    <m/>
    <m/>
    <m/>
  </r>
  <r>
    <x v="1"/>
    <x v="2"/>
    <s v="7/9"/>
    <x v="166"/>
    <s v="سٹاک"/>
    <s v="PP"/>
    <n v="7"/>
    <n v="5"/>
    <s v="PP"/>
    <n v="1000"/>
    <s v="PP"/>
    <n v="8"/>
    <n v="277.83"/>
    <n v="5.6"/>
    <m/>
    <m/>
    <n v="272.22999999999996"/>
    <s v="1101.3899999999999"/>
    <m/>
    <m/>
    <m/>
    <n v="0"/>
    <n v="0"/>
    <m/>
    <m/>
    <m/>
    <m/>
    <m/>
    <m/>
    <m/>
    <m/>
    <n v="0"/>
    <n v="0"/>
    <n v="0"/>
    <n v="12"/>
    <n v="12"/>
    <m/>
    <m/>
    <n v="0"/>
    <n v="282.83"/>
    <m/>
    <x v="16"/>
    <n v="49"/>
    <m/>
    <m/>
    <m/>
  </r>
  <r>
    <x v="0"/>
    <x v="3"/>
    <s v="2826/2"/>
    <x v="166"/>
    <s v="REFLECT PACK"/>
    <s v="PP"/>
    <n v="16"/>
    <s v="5.5-6"/>
    <s v="PP"/>
    <n v="5000"/>
    <s v="PP"/>
    <n v="9"/>
    <n v="418.54999999999995"/>
    <n v="15.44"/>
    <m/>
    <m/>
    <n v="403.10999999999996"/>
    <s v="5043.9699999999993"/>
    <m/>
    <m/>
    <m/>
    <n v="0"/>
    <n v="0"/>
    <m/>
    <m/>
    <m/>
    <m/>
    <m/>
    <m/>
    <m/>
    <m/>
    <n v="0"/>
    <n v="0"/>
    <n v="0"/>
    <n v="12"/>
    <n v="12"/>
    <m/>
    <m/>
    <n v="0"/>
    <n v="423.5499999999999"/>
    <m/>
    <x v="16"/>
    <n v="49"/>
    <m/>
    <m/>
    <m/>
  </r>
  <r>
    <x v="0"/>
    <x v="3"/>
    <s v="16/3"/>
    <x v="166"/>
    <s v="سٹاک"/>
    <s v="PP"/>
    <n v="16"/>
    <n v="5"/>
    <s v="PP"/>
    <n v="1000"/>
    <s v="PP"/>
    <n v="3"/>
    <n v="148.74"/>
    <n v="5.9"/>
    <m/>
    <m/>
    <n v="142.84"/>
    <s v="1265.21"/>
    <m/>
    <m/>
    <m/>
    <n v="0"/>
    <n v="0"/>
    <m/>
    <m/>
    <m/>
    <m/>
    <m/>
    <m/>
    <m/>
    <m/>
    <n v="0"/>
    <n v="0"/>
    <n v="0"/>
    <n v="12"/>
    <n v="12"/>
    <m/>
    <m/>
    <n v="0"/>
    <n v="153.74"/>
    <m/>
    <x v="16"/>
    <n v="49"/>
    <m/>
    <m/>
    <m/>
  </r>
  <r>
    <x v="0"/>
    <x v="3"/>
    <s v="5805 J"/>
    <x v="166"/>
    <s v="Raza Graments Lahore"/>
    <s v="PP"/>
    <n v="15"/>
    <s v="11.5-12"/>
    <s v="PP"/>
    <n v="250"/>
    <s v="PP"/>
    <n v="3"/>
    <n v="157.54000000000002"/>
    <n v="5.4"/>
    <m/>
    <m/>
    <n v="152.14000000000001"/>
    <s v="267.25"/>
    <n v="15"/>
    <m/>
    <m/>
    <n v="15"/>
    <n v="0.25"/>
    <m/>
    <m/>
    <m/>
    <m/>
    <m/>
    <m/>
    <m/>
    <m/>
    <n v="0"/>
    <n v="0"/>
    <n v="0.25"/>
    <n v="11.75"/>
    <n v="12"/>
    <m/>
    <m/>
    <n v="0"/>
    <n v="162.54000000000002"/>
    <m/>
    <x v="16"/>
    <n v="49"/>
    <m/>
    <m/>
    <m/>
  </r>
  <r>
    <x v="0"/>
    <x v="3"/>
    <s v="7558/4"/>
    <x v="166"/>
    <s v="عاصم مدنی انارکلی"/>
    <s v="PP"/>
    <n v="16"/>
    <s v="7.5"/>
    <s v="PP"/>
    <n v="50"/>
    <s v="PP"/>
    <n v="1"/>
    <n v="22.78"/>
    <n v="1.9"/>
    <n v="15"/>
    <m/>
    <n v="20.880000000000003"/>
    <s v="108.13"/>
    <m/>
    <m/>
    <m/>
    <n v="0"/>
    <n v="0"/>
    <m/>
    <m/>
    <m/>
    <m/>
    <m/>
    <m/>
    <m/>
    <m/>
    <n v="0"/>
    <n v="0"/>
    <n v="0"/>
    <n v="12"/>
    <n v="12"/>
    <m/>
    <m/>
    <n v="0"/>
    <n v="27.78"/>
    <m/>
    <x v="16"/>
    <n v="49"/>
    <m/>
    <m/>
    <m/>
  </r>
  <r>
    <x v="1"/>
    <x v="3"/>
    <s v="5805 J"/>
    <x v="166"/>
    <s v="Raza Graments Lahore"/>
    <s v="PP"/>
    <n v="15"/>
    <s v="11.5-12"/>
    <s v="PP"/>
    <n v="250"/>
    <s v="PP"/>
    <n v="2"/>
    <n v="118.10999999999999"/>
    <n v="3"/>
    <n v="26"/>
    <m/>
    <n v="115.10999999999999"/>
    <s v="267.25"/>
    <m/>
    <m/>
    <m/>
    <n v="0"/>
    <n v="0"/>
    <m/>
    <m/>
    <m/>
    <m/>
    <m/>
    <m/>
    <m/>
    <m/>
    <n v="0"/>
    <n v="0"/>
    <n v="0"/>
    <n v="12"/>
    <n v="12"/>
    <m/>
    <m/>
    <n v="0"/>
    <n v="123.11"/>
    <m/>
    <x v="16"/>
    <n v="49"/>
    <m/>
    <m/>
    <m/>
  </r>
  <r>
    <x v="1"/>
    <x v="3"/>
    <s v="2826/3"/>
    <x v="166"/>
    <s v="REFLECT PACK"/>
    <s v="PP"/>
    <n v="15"/>
    <s v="5.5-6"/>
    <s v="PP"/>
    <n v="3000"/>
    <s v="PP"/>
    <n v="12"/>
    <n v="656.93"/>
    <n v="18"/>
    <m/>
    <m/>
    <n v="638.92999999999995"/>
    <s v="3171.49"/>
    <m/>
    <m/>
    <m/>
    <n v="0"/>
    <n v="0"/>
    <m/>
    <m/>
    <m/>
    <m/>
    <m/>
    <m/>
    <m/>
    <m/>
    <n v="0"/>
    <n v="0"/>
    <n v="0"/>
    <n v="12"/>
    <n v="12"/>
    <m/>
    <m/>
    <n v="0"/>
    <n v="661.93"/>
    <m/>
    <x v="16"/>
    <n v="49"/>
    <m/>
    <m/>
    <m/>
  </r>
  <r>
    <x v="0"/>
    <x v="4"/>
    <s v="12/10"/>
    <x v="166"/>
    <s v="سٹاک"/>
    <s v="PP"/>
    <n v="12"/>
    <n v="5"/>
    <s v="PP"/>
    <n v="3000"/>
    <s v="PP"/>
    <n v="8"/>
    <n v="554.52"/>
    <n v="11.2"/>
    <m/>
    <m/>
    <n v="543.31999999999994"/>
    <s v="2997.85"/>
    <m/>
    <m/>
    <m/>
    <n v="0"/>
    <n v="0"/>
    <m/>
    <m/>
    <m/>
    <m/>
    <m/>
    <m/>
    <m/>
    <m/>
    <n v="0"/>
    <n v="0"/>
    <n v="0"/>
    <n v="12"/>
    <n v="12"/>
    <m/>
    <m/>
    <n v="0"/>
    <n v="559.52"/>
    <m/>
    <x v="16"/>
    <n v="49"/>
    <m/>
    <m/>
    <m/>
  </r>
  <r>
    <x v="1"/>
    <x v="4"/>
    <s v="12/10"/>
    <x v="166"/>
    <s v="سٹاک"/>
    <s v="PP"/>
    <n v="12"/>
    <n v="5"/>
    <s v="PP"/>
    <n v="3000"/>
    <s v="PP"/>
    <n v="9"/>
    <n v="553.71"/>
    <n v="12.6"/>
    <m/>
    <m/>
    <n v="541.11"/>
    <s v="2997.85"/>
    <m/>
    <m/>
    <m/>
    <n v="0"/>
    <n v="0"/>
    <m/>
    <m/>
    <m/>
    <m/>
    <m/>
    <m/>
    <n v="40"/>
    <m/>
    <n v="40"/>
    <n v="0.66666666666666663"/>
    <n v="0.66666666666666663"/>
    <n v="11.333333333333334"/>
    <n v="12"/>
    <m/>
    <m/>
    <n v="0"/>
    <n v="558.71"/>
    <m/>
    <x v="16"/>
    <n v="49"/>
    <m/>
    <m/>
    <m/>
  </r>
  <r>
    <x v="0"/>
    <x v="0"/>
    <s v="3/9"/>
    <x v="167"/>
    <s v="سٹاک"/>
    <s v="PP"/>
    <n v="3"/>
    <s v="5.5-6"/>
    <s v="PP"/>
    <s v="10 رول بیگ"/>
    <s v="PP"/>
    <n v="6"/>
    <n v="87.57"/>
    <n v="1.7999999999999998"/>
    <m/>
    <m/>
    <n v="85.77"/>
    <s v="455.61999999999995"/>
    <m/>
    <m/>
    <m/>
    <n v="0"/>
    <n v="0"/>
    <m/>
    <m/>
    <m/>
    <m/>
    <m/>
    <m/>
    <m/>
    <m/>
    <n v="0"/>
    <n v="0"/>
    <n v="0"/>
    <n v="12"/>
    <n v="12"/>
    <m/>
    <m/>
    <n v="0"/>
    <n v="92.57"/>
    <m/>
    <x v="16"/>
    <n v="49"/>
    <m/>
    <m/>
    <m/>
  </r>
  <r>
    <x v="0"/>
    <x v="0"/>
    <s v="3/9"/>
    <x v="167"/>
    <s v="سٹاک"/>
    <s v="PP"/>
    <n v="3"/>
    <s v="5.5-6"/>
    <s v="PP"/>
    <s v="10 رول بیگ"/>
    <s v="PP"/>
    <n v="3"/>
    <n v="52.010000000000005"/>
    <n v="0.89999999999999991"/>
    <m/>
    <m/>
    <n v="51.110000000000007"/>
    <s v="455.61999999999995"/>
    <m/>
    <m/>
    <m/>
    <n v="0"/>
    <n v="0"/>
    <m/>
    <m/>
    <m/>
    <m/>
    <m/>
    <m/>
    <m/>
    <m/>
    <n v="0"/>
    <n v="0"/>
    <n v="0"/>
    <n v="12"/>
    <n v="12"/>
    <m/>
    <m/>
    <n v="0"/>
    <n v="57.010000000000005"/>
    <m/>
    <x v="16"/>
    <n v="49"/>
    <m/>
    <m/>
    <m/>
  </r>
  <r>
    <x v="1"/>
    <x v="0"/>
    <s v="3/9"/>
    <x v="167"/>
    <s v="سٹاک"/>
    <s v="PP"/>
    <n v="3"/>
    <s v="5.5-6"/>
    <s v="PP"/>
    <s v="10 رول بیگ"/>
    <s v="PP"/>
    <n v="8"/>
    <n v="147.31"/>
    <n v="2.4"/>
    <m/>
    <m/>
    <n v="144.91"/>
    <s v="455.61999999999995"/>
    <m/>
    <m/>
    <m/>
    <n v="0"/>
    <n v="0"/>
    <m/>
    <m/>
    <m/>
    <m/>
    <m/>
    <m/>
    <m/>
    <m/>
    <n v="0"/>
    <n v="0"/>
    <n v="0"/>
    <n v="12"/>
    <n v="12"/>
    <m/>
    <m/>
    <n v="0"/>
    <n v="152.31"/>
    <m/>
    <x v="16"/>
    <n v="49"/>
    <m/>
    <m/>
    <m/>
  </r>
  <r>
    <x v="0"/>
    <x v="1"/>
    <s v="4/9"/>
    <x v="167"/>
    <s v="سٹاک"/>
    <s v="PP"/>
    <n v="4"/>
    <s v="5-5.5"/>
    <s v="PP"/>
    <n v="1000"/>
    <s v="PP"/>
    <n v="12"/>
    <n v="210.09"/>
    <n v="4.8000000000000007"/>
    <m/>
    <m/>
    <n v="205.29"/>
    <s v="1225.3799999999999"/>
    <m/>
    <m/>
    <m/>
    <n v="0"/>
    <n v="0"/>
    <m/>
    <m/>
    <m/>
    <m/>
    <m/>
    <m/>
    <m/>
    <m/>
    <n v="0"/>
    <n v="0"/>
    <n v="0"/>
    <n v="12"/>
    <n v="12"/>
    <m/>
    <m/>
    <n v="0"/>
    <n v="215.09"/>
    <m/>
    <x v="16"/>
    <n v="49"/>
    <m/>
    <m/>
    <m/>
  </r>
  <r>
    <x v="1"/>
    <x v="1"/>
    <s v="4/9"/>
    <x v="167"/>
    <s v="سٹاک"/>
    <s v="PP"/>
    <n v="4"/>
    <s v="5-5.5"/>
    <s v="PP"/>
    <n v="1000"/>
    <s v="PP"/>
    <n v="10"/>
    <n v="186.79999999999998"/>
    <n v="4"/>
    <m/>
    <m/>
    <n v="182.79999999999998"/>
    <s v="1225.3799999999999"/>
    <m/>
    <m/>
    <m/>
    <n v="0"/>
    <n v="0"/>
    <m/>
    <m/>
    <m/>
    <m/>
    <m/>
    <m/>
    <m/>
    <m/>
    <n v="0"/>
    <n v="0"/>
    <n v="0"/>
    <n v="12"/>
    <n v="12"/>
    <m/>
    <m/>
    <n v="0"/>
    <n v="191.8"/>
    <m/>
    <x v="16"/>
    <n v="49"/>
    <m/>
    <m/>
    <m/>
  </r>
  <r>
    <x v="0"/>
    <x v="2"/>
    <s v="7/9"/>
    <x v="167"/>
    <s v="سٹاک"/>
    <s v="PP"/>
    <n v="7"/>
    <n v="5"/>
    <s v="PP"/>
    <n v="1000"/>
    <s v="PP"/>
    <n v="2"/>
    <n v="73.099999999999994"/>
    <n v="1.8"/>
    <m/>
    <m/>
    <n v="71.3"/>
    <s v="1101.3899999999999"/>
    <m/>
    <m/>
    <m/>
    <n v="0"/>
    <n v="0"/>
    <m/>
    <m/>
    <m/>
    <m/>
    <m/>
    <m/>
    <m/>
    <m/>
    <n v="0"/>
    <n v="0"/>
    <n v="0"/>
    <n v="12"/>
    <n v="12"/>
    <m/>
    <m/>
    <n v="0"/>
    <n v="78.099999999999994"/>
    <m/>
    <x v="16"/>
    <n v="49"/>
    <m/>
    <m/>
    <m/>
  </r>
  <r>
    <x v="0"/>
    <x v="2"/>
    <s v="7539/9"/>
    <x v="167"/>
    <s v="امارات پلاسٹک چونگ"/>
    <s v="PP"/>
    <n v="7"/>
    <s v="4.5"/>
    <s v="PP"/>
    <n v="50"/>
    <s v="PP"/>
    <n v="6"/>
    <n v="170.81"/>
    <n v="4.1999999999999993"/>
    <m/>
    <m/>
    <n v="166.61"/>
    <s v="225.09000000000003"/>
    <m/>
    <m/>
    <m/>
    <n v="0"/>
    <n v="0"/>
    <m/>
    <m/>
    <m/>
    <m/>
    <m/>
    <m/>
    <m/>
    <m/>
    <n v="0"/>
    <n v="0"/>
    <n v="0"/>
    <n v="12"/>
    <n v="12"/>
    <m/>
    <m/>
    <n v="0"/>
    <n v="175.81"/>
    <m/>
    <x v="16"/>
    <n v="49"/>
    <m/>
    <m/>
    <m/>
  </r>
  <r>
    <x v="0"/>
    <x v="2"/>
    <s v="7563/1"/>
    <x v="167"/>
    <s v="عظیم ٹوئز شاہ رعالم"/>
    <s v="PP"/>
    <n v="7"/>
    <s v="10"/>
    <s v="PP"/>
    <n v="400"/>
    <s v="PP"/>
    <n v="1"/>
    <n v="24.82"/>
    <n v="0.9"/>
    <m/>
    <m/>
    <n v="23.92"/>
    <s v="423.27000000000004"/>
    <m/>
    <m/>
    <m/>
    <n v="0"/>
    <n v="0"/>
    <m/>
    <m/>
    <m/>
    <m/>
    <m/>
    <m/>
    <m/>
    <m/>
    <n v="0"/>
    <n v="0"/>
    <n v="0"/>
    <n v="12"/>
    <n v="12"/>
    <m/>
    <m/>
    <n v="0"/>
    <n v="29.82"/>
    <m/>
    <x v="16"/>
    <n v="49"/>
    <m/>
    <m/>
    <m/>
  </r>
  <r>
    <x v="1"/>
    <x v="2"/>
    <s v="7563/1"/>
    <x v="167"/>
    <s v="عظیم ٹوئز شاہ رعالم"/>
    <s v="PP"/>
    <n v="7"/>
    <s v="10"/>
    <s v="PP"/>
    <n v="400"/>
    <s v="PP"/>
    <n v="9"/>
    <n v="279.70999999999998"/>
    <n v="7.2"/>
    <m/>
    <m/>
    <n v="272.51"/>
    <s v="423.27000000000004"/>
    <m/>
    <m/>
    <m/>
    <n v="0"/>
    <n v="0"/>
    <m/>
    <m/>
    <m/>
    <m/>
    <m/>
    <m/>
    <m/>
    <m/>
    <n v="0"/>
    <n v="0"/>
    <n v="0"/>
    <n v="12"/>
    <n v="12"/>
    <m/>
    <m/>
    <n v="0"/>
    <n v="284.70999999999998"/>
    <m/>
    <x v="16"/>
    <n v="49"/>
    <m/>
    <m/>
    <m/>
  </r>
  <r>
    <x v="0"/>
    <x v="3"/>
    <s v="2826/3"/>
    <x v="167"/>
    <s v="REFLECT PACK"/>
    <s v="PP"/>
    <n v="15"/>
    <s v="5.5-6"/>
    <s v="PP"/>
    <n v="3000"/>
    <s v="PP"/>
    <n v="5"/>
    <n v="261.41000000000003"/>
    <n v="9"/>
    <n v="15"/>
    <m/>
    <n v="252.41000000000003"/>
    <s v="3171.49"/>
    <m/>
    <m/>
    <m/>
    <n v="0"/>
    <n v="0"/>
    <m/>
    <m/>
    <n v="480"/>
    <m/>
    <m/>
    <m/>
    <m/>
    <m/>
    <n v="480"/>
    <n v="8"/>
    <n v="8"/>
    <n v="4"/>
    <n v="12"/>
    <m/>
    <m/>
    <n v="0"/>
    <n v="266.41000000000003"/>
    <m/>
    <x v="16"/>
    <n v="49"/>
    <m/>
    <m/>
    <m/>
  </r>
  <r>
    <x v="1"/>
    <x v="3"/>
    <s v="5880 J"/>
    <x v="167"/>
    <s v="Jilani Poly Stock"/>
    <s v="PP"/>
    <n v="22"/>
    <s v="5-5.5"/>
    <s v="PP"/>
    <n v="500"/>
    <s v="PP"/>
    <n v="9"/>
    <n v="499.66999999999996"/>
    <n v="24.12"/>
    <n v="36.5"/>
    <m/>
    <n v="475.54999999999995"/>
    <s v="475.54999999999995"/>
    <n v="30"/>
    <n v="135"/>
    <m/>
    <n v="165"/>
    <n v="2.75"/>
    <m/>
    <m/>
    <m/>
    <m/>
    <m/>
    <m/>
    <m/>
    <m/>
    <n v="0"/>
    <n v="0"/>
    <n v="2.75"/>
    <n v="9.25"/>
    <n v="12"/>
    <m/>
    <m/>
    <n v="0"/>
    <n v="504.67"/>
    <m/>
    <x v="16"/>
    <n v="49"/>
    <m/>
    <m/>
    <m/>
  </r>
  <r>
    <x v="1"/>
    <x v="3"/>
    <s v="5888 J"/>
    <x v="167"/>
    <s v="Shah Posh Plas Rwp"/>
    <s v="PP"/>
    <n v="15"/>
    <s v="10-10.5"/>
    <s v="PP"/>
    <n v="500"/>
    <s v="PP"/>
    <n v="1"/>
    <n v="45.56"/>
    <n v="1.2"/>
    <m/>
    <m/>
    <n v="44.36"/>
    <s v="464.70000000000005"/>
    <m/>
    <m/>
    <m/>
    <n v="0"/>
    <n v="0"/>
    <m/>
    <m/>
    <m/>
    <m/>
    <m/>
    <m/>
    <m/>
    <m/>
    <n v="0"/>
    <n v="0"/>
    <n v="0"/>
    <n v="12"/>
    <n v="12"/>
    <m/>
    <m/>
    <n v="0"/>
    <n v="50.56"/>
    <m/>
    <x v="16"/>
    <n v="49"/>
    <m/>
    <m/>
    <m/>
  </r>
  <r>
    <x v="1"/>
    <x v="3"/>
    <s v="2826/3"/>
    <x v="167"/>
    <s v="REFLECT PACK"/>
    <s v="PP"/>
    <n v="15"/>
    <s v="5.5-6"/>
    <s v="PP"/>
    <n v="3000"/>
    <s v="PP"/>
    <n v="1"/>
    <n v="42.22"/>
    <n v="1.2"/>
    <m/>
    <m/>
    <n v="41.019999999999996"/>
    <s v="3171.49"/>
    <m/>
    <m/>
    <m/>
    <n v="0"/>
    <n v="0"/>
    <m/>
    <m/>
    <m/>
    <m/>
    <m/>
    <m/>
    <m/>
    <m/>
    <n v="0"/>
    <n v="0"/>
    <n v="0"/>
    <n v="12"/>
    <n v="12"/>
    <m/>
    <m/>
    <n v="0"/>
    <n v="47.22"/>
    <m/>
    <x v="16"/>
    <n v="49"/>
    <m/>
    <m/>
    <m/>
  </r>
  <r>
    <x v="0"/>
    <x v="4"/>
    <s v="12/10"/>
    <x v="167"/>
    <s v="سٹاک"/>
    <s v="PP"/>
    <n v="12"/>
    <n v="5"/>
    <s v="PP"/>
    <n v="3000"/>
    <s v="PP"/>
    <n v="10"/>
    <n v="597.36999999999989"/>
    <n v="14.5"/>
    <n v="7.5"/>
    <m/>
    <n v="582.86999999999989"/>
    <s v="2997.85"/>
    <m/>
    <m/>
    <m/>
    <n v="0"/>
    <n v="0"/>
    <m/>
    <m/>
    <m/>
    <m/>
    <m/>
    <m/>
    <m/>
    <m/>
    <n v="0"/>
    <n v="0"/>
    <n v="0"/>
    <n v="12"/>
    <n v="12"/>
    <m/>
    <m/>
    <n v="0"/>
    <n v="602.36999999999989"/>
    <m/>
    <x v="16"/>
    <n v="49"/>
    <m/>
    <m/>
    <m/>
  </r>
  <r>
    <x v="1"/>
    <x v="4"/>
    <s v="12/10"/>
    <x v="167"/>
    <s v="سٹاک"/>
    <s v="PP"/>
    <n v="12"/>
    <n v="5"/>
    <s v="PP"/>
    <n v="3000"/>
    <s v="PP"/>
    <n v="9"/>
    <n v="557.18000000000006"/>
    <n v="10.799999999999999"/>
    <n v="7.5"/>
    <m/>
    <n v="546.38000000000011"/>
    <s v="2997.85"/>
    <m/>
    <m/>
    <m/>
    <n v="0"/>
    <n v="0"/>
    <m/>
    <m/>
    <m/>
    <m/>
    <m/>
    <m/>
    <m/>
    <m/>
    <n v="0"/>
    <n v="0"/>
    <n v="0"/>
    <n v="12"/>
    <n v="12"/>
    <m/>
    <m/>
    <n v="0"/>
    <n v="562.18000000000006"/>
    <m/>
    <x v="16"/>
    <n v="49"/>
    <m/>
    <m/>
    <m/>
  </r>
  <r>
    <x v="0"/>
    <x v="0"/>
    <s v="3/9"/>
    <x v="168"/>
    <s v="سٹاک"/>
    <s v="PP"/>
    <n v="3"/>
    <s v="5.5-6"/>
    <s v="PP"/>
    <s v="10 رول بیگ"/>
    <s v="PP"/>
    <n v="10"/>
    <n v="161.76999999999998"/>
    <n v="3"/>
    <m/>
    <m/>
    <n v="158.76999999999998"/>
    <s v="455.61999999999995"/>
    <m/>
    <m/>
    <m/>
    <n v="0"/>
    <n v="0"/>
    <m/>
    <m/>
    <m/>
    <m/>
    <m/>
    <m/>
    <m/>
    <m/>
    <n v="0"/>
    <n v="0"/>
    <n v="0"/>
    <n v="12"/>
    <n v="12"/>
    <m/>
    <m/>
    <n v="0"/>
    <n v="166.76999999999998"/>
    <m/>
    <x v="16"/>
    <n v="49"/>
    <m/>
    <m/>
    <m/>
  </r>
  <r>
    <x v="1"/>
    <x v="0"/>
    <s v="3/9"/>
    <x v="168"/>
    <s v="سٹاک"/>
    <s v="PP"/>
    <n v="3"/>
    <s v="5.5-6"/>
    <s v="PP"/>
    <s v="10 رول بیگ"/>
    <s v="PP"/>
    <n v="1"/>
    <n v="15.36"/>
    <n v="0.3"/>
    <m/>
    <m/>
    <n v="15.059999999999999"/>
    <s v="455.61999999999995"/>
    <n v="20"/>
    <m/>
    <m/>
    <n v="20"/>
    <n v="0.33333333333333331"/>
    <m/>
    <m/>
    <m/>
    <m/>
    <m/>
    <m/>
    <m/>
    <m/>
    <n v="0"/>
    <n v="0"/>
    <n v="0.33333333333333331"/>
    <n v="11.666666666666666"/>
    <n v="12"/>
    <m/>
    <m/>
    <n v="0"/>
    <n v="20.36"/>
    <m/>
    <x v="16"/>
    <n v="49"/>
    <m/>
    <m/>
    <m/>
  </r>
  <r>
    <x v="1"/>
    <x v="0"/>
    <s v="2/4"/>
    <x v="168"/>
    <s v="سٹاک"/>
    <s v="PP"/>
    <n v="2"/>
    <s v="5.5-6"/>
    <s v="PP"/>
    <s v="40 رول بیگ"/>
    <s v="PP"/>
    <n v="6"/>
    <n v="117.13999999999999"/>
    <n v="1.2000000000000002"/>
    <m/>
    <m/>
    <n v="115.93999999999998"/>
    <s v="1739.87"/>
    <m/>
    <m/>
    <m/>
    <n v="0"/>
    <n v="0"/>
    <m/>
    <m/>
    <m/>
    <m/>
    <m/>
    <m/>
    <m/>
    <m/>
    <n v="0"/>
    <n v="0"/>
    <n v="0"/>
    <n v="12"/>
    <n v="12"/>
    <m/>
    <m/>
    <n v="0"/>
    <n v="122.14"/>
    <m/>
    <x v="16"/>
    <n v="49"/>
    <m/>
    <m/>
    <m/>
  </r>
  <r>
    <x v="0"/>
    <x v="2"/>
    <s v="7563/1"/>
    <x v="168"/>
    <s v="عظیم ٹوئز شاہ رعالم"/>
    <s v="PP"/>
    <n v="7"/>
    <s v="10"/>
    <s v="PP"/>
    <n v="400"/>
    <s v="PP"/>
    <n v="4"/>
    <n v="129.64000000000001"/>
    <n v="2.8"/>
    <m/>
    <m/>
    <n v="126.84000000000002"/>
    <s v="423.27000000000004"/>
    <n v="15"/>
    <m/>
    <m/>
    <n v="15"/>
    <n v="0.25"/>
    <m/>
    <m/>
    <m/>
    <m/>
    <m/>
    <m/>
    <m/>
    <m/>
    <n v="0"/>
    <n v="0"/>
    <n v="0.25"/>
    <n v="11.75"/>
    <n v="12"/>
    <m/>
    <m/>
    <n v="0"/>
    <n v="134.63999999999999"/>
    <m/>
    <x v="16"/>
    <n v="49"/>
    <m/>
    <m/>
    <m/>
  </r>
  <r>
    <x v="0"/>
    <x v="2"/>
    <s v="8/10"/>
    <x v="168"/>
    <s v="سٹاک"/>
    <s v="PP"/>
    <n v="8"/>
    <n v="5"/>
    <s v="PP"/>
    <n v="1000"/>
    <s v="PP"/>
    <n v="4"/>
    <n v="148.19999999999999"/>
    <n v="3.2"/>
    <m/>
    <m/>
    <n v="145"/>
    <s v="1110.5"/>
    <m/>
    <m/>
    <m/>
    <n v="0"/>
    <n v="0"/>
    <m/>
    <m/>
    <m/>
    <m/>
    <m/>
    <m/>
    <m/>
    <m/>
    <n v="0"/>
    <n v="0"/>
    <n v="0"/>
    <n v="12"/>
    <n v="12"/>
    <m/>
    <m/>
    <n v="0"/>
    <n v="153.19999999999999"/>
    <m/>
    <x v="16"/>
    <n v="49"/>
    <m/>
    <m/>
    <m/>
  </r>
  <r>
    <x v="1"/>
    <x v="2"/>
    <s v="8/10"/>
    <x v="168"/>
    <s v="سٹاک"/>
    <s v="PP"/>
    <n v="8"/>
    <n v="5"/>
    <s v="PP"/>
    <n v="1000"/>
    <s v="PP"/>
    <n v="7"/>
    <n v="283.59999999999997"/>
    <n v="5.6000000000000005"/>
    <m/>
    <m/>
    <n v="277.99999999999994"/>
    <s v="1110.5"/>
    <m/>
    <m/>
    <m/>
    <n v="0"/>
    <n v="0"/>
    <m/>
    <m/>
    <m/>
    <m/>
    <m/>
    <m/>
    <n v="40"/>
    <m/>
    <n v="40"/>
    <n v="0.66666666666666663"/>
    <n v="0.66666666666666663"/>
    <n v="11.333333333333334"/>
    <n v="12"/>
    <m/>
    <m/>
    <n v="0"/>
    <n v="288.59999999999997"/>
    <m/>
    <x v="16"/>
    <n v="49"/>
    <m/>
    <m/>
    <m/>
  </r>
  <r>
    <x v="0"/>
    <x v="1"/>
    <s v="4/9"/>
    <x v="168"/>
    <s v="سٹاک"/>
    <s v="PP"/>
    <n v="4"/>
    <s v="5-5.5"/>
    <s v="PP"/>
    <n v="1000"/>
    <s v="PP"/>
    <n v="12"/>
    <n v="217.43"/>
    <n v="4.8000000000000007"/>
    <n v="23"/>
    <m/>
    <n v="212.63"/>
    <s v="1225.3799999999999"/>
    <m/>
    <m/>
    <m/>
    <n v="0"/>
    <n v="0"/>
    <m/>
    <m/>
    <m/>
    <m/>
    <m/>
    <m/>
    <m/>
    <m/>
    <n v="0"/>
    <n v="0"/>
    <n v="0"/>
    <n v="12"/>
    <n v="12"/>
    <m/>
    <m/>
    <n v="0"/>
    <n v="222.43"/>
    <m/>
    <x v="16"/>
    <n v="49"/>
    <m/>
    <m/>
    <m/>
  </r>
  <r>
    <x v="1"/>
    <x v="1"/>
    <s v="4/9"/>
    <x v="168"/>
    <s v="سٹاک"/>
    <s v="PP"/>
    <n v="4"/>
    <s v="5-5.5"/>
    <s v="PP"/>
    <n v="1000"/>
    <s v="PP"/>
    <n v="10"/>
    <n v="180.97"/>
    <n v="4"/>
    <n v="26"/>
    <m/>
    <n v="176.97"/>
    <s v="1225.3799999999999"/>
    <n v="20"/>
    <m/>
    <m/>
    <n v="20"/>
    <n v="0.33333333333333331"/>
    <m/>
    <m/>
    <m/>
    <m/>
    <m/>
    <m/>
    <m/>
    <m/>
    <n v="0"/>
    <n v="0"/>
    <n v="0.33333333333333331"/>
    <n v="11.666666666666666"/>
    <n v="12"/>
    <m/>
    <m/>
    <n v="0"/>
    <n v="185.97"/>
    <m/>
    <x v="16"/>
    <n v="49"/>
    <m/>
    <m/>
    <m/>
  </r>
  <r>
    <x v="1"/>
    <x v="1"/>
    <s v="5/4"/>
    <x v="168"/>
    <s v="سٹاک"/>
    <s v="PP"/>
    <n v="5"/>
    <s v="5.5-6"/>
    <s v="PP"/>
    <n v="1000"/>
    <s v="PP"/>
    <n v="1"/>
    <n v="21.4"/>
    <n v="0.5"/>
    <m/>
    <m/>
    <n v="20.9"/>
    <s v="1409.8899999999999"/>
    <m/>
    <m/>
    <m/>
    <n v="0"/>
    <n v="0"/>
    <m/>
    <m/>
    <m/>
    <m/>
    <m/>
    <m/>
    <m/>
    <m/>
    <n v="0"/>
    <n v="0"/>
    <n v="0"/>
    <n v="12"/>
    <n v="12"/>
    <m/>
    <m/>
    <n v="0"/>
    <n v="26.4"/>
    <m/>
    <x v="16"/>
    <n v="49"/>
    <m/>
    <m/>
    <m/>
  </r>
  <r>
    <x v="0"/>
    <x v="3"/>
    <s v="5888 J"/>
    <x v="168"/>
    <s v="Shah Posh Plas Rwp"/>
    <s v="PP"/>
    <n v="15"/>
    <s v="10-10.5"/>
    <s v="PP"/>
    <n v="500"/>
    <s v="PP"/>
    <n v="13"/>
    <n v="443.74"/>
    <n v="23.400000000000002"/>
    <m/>
    <m/>
    <n v="420.34000000000003"/>
    <s v="464.70000000000005"/>
    <m/>
    <m/>
    <m/>
    <n v="0"/>
    <n v="0"/>
    <m/>
    <m/>
    <m/>
    <m/>
    <m/>
    <m/>
    <m/>
    <m/>
    <n v="0"/>
    <n v="0"/>
    <n v="0"/>
    <n v="12"/>
    <n v="12"/>
    <m/>
    <m/>
    <n v="0"/>
    <n v="448.74"/>
    <m/>
    <x v="16"/>
    <n v="49"/>
    <m/>
    <m/>
    <m/>
  </r>
  <r>
    <x v="0"/>
    <x v="3"/>
    <s v="2826/3"/>
    <x v="168"/>
    <s v="REFLECT PACK"/>
    <s v="PP"/>
    <n v="15"/>
    <s v="5.5-6"/>
    <s v="PP"/>
    <n v="3000"/>
    <s v="PP"/>
    <n v="7"/>
    <n v="331.98"/>
    <n v="8.4"/>
    <m/>
    <m/>
    <n v="323.58000000000004"/>
    <s v="3171.49"/>
    <m/>
    <m/>
    <m/>
    <n v="0"/>
    <n v="0"/>
    <m/>
    <m/>
    <m/>
    <m/>
    <m/>
    <m/>
    <m/>
    <m/>
    <n v="0"/>
    <n v="0"/>
    <n v="0"/>
    <n v="12"/>
    <n v="12"/>
    <m/>
    <m/>
    <n v="0"/>
    <n v="336.98"/>
    <m/>
    <x v="16"/>
    <n v="49"/>
    <m/>
    <m/>
    <m/>
  </r>
  <r>
    <x v="1"/>
    <x v="3"/>
    <s v="2826/3"/>
    <x v="168"/>
    <s v="REFLECT PACK"/>
    <s v="PP"/>
    <n v="15"/>
    <s v="5.5-6"/>
    <s v="PP"/>
    <n v="3000"/>
    <s v="PP"/>
    <n v="15"/>
    <n v="753.14"/>
    <n v="22.5"/>
    <m/>
    <m/>
    <n v="730.64"/>
    <s v="3171.49"/>
    <m/>
    <m/>
    <m/>
    <n v="0"/>
    <n v="0"/>
    <m/>
    <m/>
    <m/>
    <m/>
    <m/>
    <m/>
    <m/>
    <m/>
    <n v="0"/>
    <n v="0"/>
    <n v="0"/>
    <n v="12"/>
    <n v="12"/>
    <m/>
    <m/>
    <n v="0"/>
    <n v="758.14"/>
    <m/>
    <x v="16"/>
    <n v="49"/>
    <m/>
    <m/>
    <m/>
  </r>
  <r>
    <x v="0"/>
    <x v="4"/>
    <s v="12/10"/>
    <x v="168"/>
    <s v="سٹاک"/>
    <s v="PP"/>
    <n v="12"/>
    <n v="5"/>
    <s v="PP"/>
    <n v="3000"/>
    <s v="PP"/>
    <n v="2"/>
    <n v="85.46"/>
    <n v="2.8"/>
    <n v="6.5"/>
    <m/>
    <n v="82.66"/>
    <s v="2997.85"/>
    <m/>
    <m/>
    <m/>
    <n v="0"/>
    <n v="0"/>
    <m/>
    <m/>
    <n v="600"/>
    <m/>
    <m/>
    <m/>
    <m/>
    <m/>
    <n v="600"/>
    <n v="10"/>
    <n v="10"/>
    <n v="2"/>
    <n v="12"/>
    <m/>
    <m/>
    <n v="0"/>
    <n v="90.46"/>
    <m/>
    <x v="16"/>
    <n v="49"/>
    <m/>
    <m/>
    <m/>
  </r>
  <r>
    <x v="1"/>
    <x v="4"/>
    <s v="14/8"/>
    <x v="168"/>
    <s v="سٹاک"/>
    <s v="PP"/>
    <n v="14"/>
    <n v="5"/>
    <s v="PP"/>
    <n v="2000"/>
    <s v="PP"/>
    <n v="3"/>
    <n v="156.09"/>
    <n v="5.6"/>
    <n v="6.5"/>
    <m/>
    <n v="150.49"/>
    <s v="1964.9099999999999"/>
    <m/>
    <n v="45"/>
    <m/>
    <n v="45"/>
    <n v="0.75"/>
    <m/>
    <m/>
    <m/>
    <m/>
    <m/>
    <m/>
    <m/>
    <m/>
    <n v="0"/>
    <n v="0"/>
    <n v="0.75"/>
    <n v="11.25"/>
    <n v="12"/>
    <m/>
    <m/>
    <n v="0"/>
    <n v="161.09"/>
    <m/>
    <x v="16"/>
    <n v="49"/>
    <m/>
    <m/>
    <m/>
  </r>
  <r>
    <x v="1"/>
    <x v="4"/>
    <s v="7558/6"/>
    <x v="168"/>
    <s v="عاصم مدنی انارکلی"/>
    <s v="PP"/>
    <n v="14"/>
    <s v="7.5"/>
    <s v="PP"/>
    <n v="50"/>
    <s v="PP"/>
    <n v="1"/>
    <n v="54.45"/>
    <n v="1.4"/>
    <m/>
    <m/>
    <n v="53.050000000000004"/>
    <s v="53.050000000000004"/>
    <m/>
    <m/>
    <m/>
    <n v="0"/>
    <n v="0"/>
    <m/>
    <m/>
    <m/>
    <m/>
    <m/>
    <m/>
    <m/>
    <m/>
    <n v="0"/>
    <n v="0"/>
    <n v="0"/>
    <n v="12"/>
    <n v="12"/>
    <m/>
    <m/>
    <n v="0"/>
    <n v="59.45"/>
    <m/>
    <x v="16"/>
    <n v="49"/>
    <m/>
    <m/>
    <m/>
  </r>
  <r>
    <x v="1"/>
    <x v="4"/>
    <s v="7559/2"/>
    <x v="168"/>
    <s v="حنان پلاسٹک فیصل آباد"/>
    <s v="PP"/>
    <n v="14"/>
    <s v="6-6.5"/>
    <s v="PP"/>
    <n v="200"/>
    <s v="PP"/>
    <n v="4"/>
    <n v="193.62"/>
    <n v="5.6"/>
    <m/>
    <m/>
    <n v="188.02"/>
    <s v="188.02"/>
    <m/>
    <m/>
    <m/>
    <n v="0"/>
    <n v="0"/>
    <m/>
    <m/>
    <m/>
    <m/>
    <m/>
    <m/>
    <m/>
    <m/>
    <n v="0"/>
    <n v="0"/>
    <n v="0"/>
    <n v="12"/>
    <n v="12"/>
    <m/>
    <m/>
    <n v="0"/>
    <n v="198.62"/>
    <m/>
    <x v="16"/>
    <n v="49"/>
    <m/>
    <m/>
    <m/>
  </r>
  <r>
    <x v="1"/>
    <x v="4"/>
    <s v="5809 J"/>
    <x v="168"/>
    <s v="Waseem Copy House Urdu Bazar"/>
    <s v="PP"/>
    <n v="14"/>
    <s v="4.5-5"/>
    <s v="PP"/>
    <n v="200"/>
    <s v="PP"/>
    <n v="4"/>
    <n v="120.72999999999999"/>
    <n v="5.6"/>
    <m/>
    <m/>
    <n v="115.13"/>
    <s v="332.35"/>
    <m/>
    <m/>
    <m/>
    <n v="0"/>
    <n v="0"/>
    <m/>
    <m/>
    <m/>
    <m/>
    <m/>
    <m/>
    <m/>
    <m/>
    <n v="0"/>
    <n v="0"/>
    <n v="0"/>
    <n v="12"/>
    <n v="12"/>
    <m/>
    <m/>
    <n v="0"/>
    <n v="125.73"/>
    <m/>
    <x v="16"/>
    <n v="49"/>
    <m/>
    <m/>
    <m/>
  </r>
  <r>
    <x v="0"/>
    <x v="0"/>
    <s v="2/4"/>
    <x v="169"/>
    <s v="سٹاک"/>
    <s v="PP"/>
    <n v="2"/>
    <s v="5.5-6"/>
    <s v="PP"/>
    <s v="40 رول بیگ"/>
    <s v="PP"/>
    <n v="7"/>
    <n v="146.26999999999998"/>
    <n v="1.4000000000000001"/>
    <n v="15"/>
    <m/>
    <n v="144.86999999999998"/>
    <s v="1739.87"/>
    <m/>
    <m/>
    <m/>
    <n v="0"/>
    <n v="0"/>
    <m/>
    <m/>
    <m/>
    <m/>
    <m/>
    <m/>
    <m/>
    <m/>
    <n v="0"/>
    <n v="0"/>
    <n v="0"/>
    <n v="12"/>
    <n v="12"/>
    <m/>
    <m/>
    <n v="0"/>
    <n v="151.26999999999998"/>
    <m/>
    <x v="16"/>
    <n v="49"/>
    <m/>
    <m/>
    <m/>
  </r>
  <r>
    <x v="1"/>
    <x v="0"/>
    <s v="2/4"/>
    <x v="169"/>
    <s v="سٹاک"/>
    <s v="PP"/>
    <n v="2"/>
    <s v="5.5-6"/>
    <s v="PP"/>
    <s v="40 رول بیگ"/>
    <s v="PP"/>
    <n v="7"/>
    <n v="147.44999999999999"/>
    <n v="1.4000000000000001"/>
    <n v="21.3"/>
    <m/>
    <n v="146.04999999999998"/>
    <s v="1739.87"/>
    <m/>
    <m/>
    <m/>
    <n v="0"/>
    <n v="0"/>
    <m/>
    <m/>
    <m/>
    <m/>
    <m/>
    <m/>
    <m/>
    <m/>
    <n v="0"/>
    <n v="0"/>
    <n v="0"/>
    <n v="12"/>
    <n v="12"/>
    <m/>
    <m/>
    <n v="0"/>
    <n v="152.44999999999999"/>
    <m/>
    <x v="16"/>
    <n v="49"/>
    <m/>
    <m/>
    <m/>
  </r>
  <r>
    <x v="0"/>
    <x v="1"/>
    <s v="5/4"/>
    <x v="169"/>
    <s v="سٹاک"/>
    <s v="PP"/>
    <n v="5"/>
    <s v="5.5-6"/>
    <s v="PP"/>
    <n v="1000"/>
    <s v="PP"/>
    <n v="3"/>
    <n v="64.44"/>
    <n v="1.5"/>
    <n v="5"/>
    <m/>
    <n v="62.94"/>
    <s v="1409.8899999999999"/>
    <m/>
    <m/>
    <n v="540"/>
    <n v="540"/>
    <n v="9"/>
    <m/>
    <m/>
    <m/>
    <m/>
    <m/>
    <m/>
    <m/>
    <m/>
    <n v="0"/>
    <n v="0"/>
    <n v="9"/>
    <n v="3"/>
    <n v="12"/>
    <m/>
    <m/>
    <n v="0"/>
    <n v="69.44"/>
    <m/>
    <x v="16"/>
    <n v="49"/>
    <m/>
    <m/>
    <m/>
  </r>
  <r>
    <x v="0"/>
    <x v="2"/>
    <s v="8/10"/>
    <x v="169"/>
    <s v="سٹاک"/>
    <s v="PP"/>
    <n v="8"/>
    <n v="5"/>
    <s v="PP"/>
    <n v="1000"/>
    <s v="PP"/>
    <n v="9"/>
    <n v="336.28999999999996"/>
    <n v="9"/>
    <m/>
    <m/>
    <n v="327.28999999999996"/>
    <s v="1110.5"/>
    <m/>
    <m/>
    <m/>
    <n v="0"/>
    <n v="0"/>
    <m/>
    <m/>
    <m/>
    <m/>
    <m/>
    <m/>
    <m/>
    <m/>
    <n v="0"/>
    <n v="0"/>
    <n v="0"/>
    <n v="12"/>
    <n v="12"/>
    <m/>
    <m/>
    <n v="0"/>
    <n v="341.28999999999996"/>
    <m/>
    <x v="16"/>
    <n v="49"/>
    <m/>
    <m/>
    <m/>
  </r>
  <r>
    <x v="1"/>
    <x v="2"/>
    <s v="8/10"/>
    <x v="169"/>
    <s v="سٹاک"/>
    <s v="PP"/>
    <n v="8"/>
    <n v="5"/>
    <s v="PP"/>
    <n v="1000"/>
    <s v="PP"/>
    <n v="9"/>
    <n v="369.21000000000004"/>
    <n v="9"/>
    <n v="5"/>
    <m/>
    <n v="360.21000000000004"/>
    <s v="1110.5"/>
    <m/>
    <m/>
    <m/>
    <n v="0"/>
    <n v="0"/>
    <m/>
    <m/>
    <m/>
    <m/>
    <m/>
    <m/>
    <m/>
    <m/>
    <n v="0"/>
    <n v="0"/>
    <n v="0"/>
    <n v="12"/>
    <n v="12"/>
    <m/>
    <m/>
    <n v="0"/>
    <n v="374.21"/>
    <m/>
    <x v="16"/>
    <n v="49"/>
    <m/>
    <m/>
    <m/>
  </r>
  <r>
    <x v="0"/>
    <x v="3"/>
    <s v="2826/3"/>
    <x v="169"/>
    <s v="REFLECT PACK"/>
    <s v="PP"/>
    <n v="15"/>
    <s v="5.5-6"/>
    <s v="PP"/>
    <n v="3000"/>
    <s v="PP"/>
    <n v="15"/>
    <n v="764.23"/>
    <n v="25.5"/>
    <m/>
    <m/>
    <n v="738.73"/>
    <s v="3171.49"/>
    <m/>
    <m/>
    <m/>
    <n v="0"/>
    <n v="0"/>
    <m/>
    <m/>
    <m/>
    <m/>
    <m/>
    <m/>
    <m/>
    <m/>
    <n v="0"/>
    <n v="0"/>
    <n v="0"/>
    <n v="12"/>
    <n v="12"/>
    <m/>
    <m/>
    <n v="0"/>
    <n v="769.23"/>
    <m/>
    <x v="16"/>
    <n v="49"/>
    <m/>
    <m/>
    <m/>
  </r>
  <r>
    <x v="1"/>
    <x v="3"/>
    <s v="2826/3"/>
    <x v="169"/>
    <s v="REFLECT PACK"/>
    <s v="PP"/>
    <n v="15"/>
    <s v="5.5-6"/>
    <s v="PP"/>
    <n v="3000"/>
    <s v="PP"/>
    <n v="9"/>
    <n v="459.68"/>
    <n v="13.5"/>
    <m/>
    <m/>
    <n v="446.18"/>
    <s v="3171.49"/>
    <m/>
    <m/>
    <m/>
    <n v="0"/>
    <n v="0"/>
    <m/>
    <m/>
    <m/>
    <m/>
    <m/>
    <m/>
    <m/>
    <m/>
    <n v="0"/>
    <n v="0"/>
    <n v="0"/>
    <n v="12"/>
    <n v="12"/>
    <m/>
    <m/>
    <n v="0"/>
    <n v="464.68"/>
    <m/>
    <x v="16"/>
    <n v="49"/>
    <m/>
    <m/>
    <m/>
  </r>
  <r>
    <x v="1"/>
    <x v="3"/>
    <s v="7556/1"/>
    <x v="169"/>
    <s v="نواب جیلانی لیٰہ"/>
    <s v="PP"/>
    <n v="17"/>
    <s v="7"/>
    <s v="PP"/>
    <n v="100"/>
    <s v="PP"/>
    <n v="2"/>
    <n v="99.66"/>
    <n v="3.4"/>
    <m/>
    <m/>
    <n v="96.259999999999991"/>
    <s v="96.259999999999991"/>
    <n v="30"/>
    <m/>
    <m/>
    <n v="30"/>
    <n v="0.5"/>
    <m/>
    <m/>
    <m/>
    <m/>
    <m/>
    <m/>
    <m/>
    <m/>
    <n v="0"/>
    <n v="0"/>
    <n v="0.5"/>
    <n v="11.5"/>
    <n v="12"/>
    <m/>
    <m/>
    <n v="0"/>
    <n v="104.66"/>
    <m/>
    <x v="16"/>
    <n v="49"/>
    <m/>
    <m/>
    <m/>
  </r>
  <r>
    <x v="1"/>
    <x v="3"/>
    <s v="2569 F"/>
    <x v="169"/>
    <s v="Usman Amin"/>
    <s v="PP"/>
    <n v="17"/>
    <s v="7.5-8"/>
    <s v="PP"/>
    <n v="300"/>
    <s v="PP"/>
    <n v="2"/>
    <n v="51.57"/>
    <n v="1.7"/>
    <m/>
    <m/>
    <n v="49.87"/>
    <s v="49.87"/>
    <m/>
    <m/>
    <m/>
    <n v="0"/>
    <n v="0"/>
    <m/>
    <m/>
    <m/>
    <m/>
    <m/>
    <m/>
    <m/>
    <m/>
    <n v="0"/>
    <n v="0"/>
    <n v="0"/>
    <n v="12"/>
    <n v="12"/>
    <m/>
    <m/>
    <n v="0"/>
    <n v="56.57"/>
    <m/>
    <x v="16"/>
    <n v="49"/>
    <m/>
    <m/>
    <m/>
  </r>
  <r>
    <x v="1"/>
    <x v="3"/>
    <s v="7541/1"/>
    <x v="169"/>
    <s v="محبوب مقبول گوجرانوالہ"/>
    <s v="PP"/>
    <n v="17"/>
    <s v="5"/>
    <s v="PP"/>
    <n v="100"/>
    <s v="PP"/>
    <n v="1"/>
    <n v="105.93"/>
    <n v="3.4"/>
    <m/>
    <m/>
    <n v="102.53"/>
    <s v="102.53"/>
    <m/>
    <m/>
    <m/>
    <n v="0"/>
    <n v="0"/>
    <m/>
    <m/>
    <m/>
    <m/>
    <m/>
    <m/>
    <m/>
    <m/>
    <n v="0"/>
    <n v="0"/>
    <n v="0"/>
    <n v="12"/>
    <n v="12"/>
    <m/>
    <m/>
    <n v="0"/>
    <n v="110.93"/>
    <m/>
    <x v="16"/>
    <n v="49"/>
    <m/>
    <m/>
    <m/>
  </r>
  <r>
    <x v="0"/>
    <x v="4"/>
    <s v="5809 J"/>
    <x v="169"/>
    <s v="Waseem Copy House Urdu Bazar"/>
    <s v="PP"/>
    <n v="14"/>
    <s v="4.5-5"/>
    <s v="PP"/>
    <n v="200"/>
    <s v="PP"/>
    <n v="4"/>
    <n v="223.62"/>
    <n v="6.4"/>
    <m/>
    <m/>
    <n v="217.22"/>
    <s v="332.35"/>
    <m/>
    <m/>
    <m/>
    <n v="0"/>
    <n v="0"/>
    <m/>
    <m/>
    <m/>
    <m/>
    <m/>
    <m/>
    <m/>
    <m/>
    <n v="0"/>
    <n v="0"/>
    <n v="0"/>
    <n v="12"/>
    <n v="12"/>
    <m/>
    <m/>
    <n v="0"/>
    <n v="228.62"/>
    <m/>
    <x v="16"/>
    <n v="49"/>
    <m/>
    <m/>
    <m/>
  </r>
  <r>
    <x v="0"/>
    <x v="4"/>
    <s v="2826/1"/>
    <x v="169"/>
    <s v="REFLECT PACK"/>
    <s v="PP"/>
    <n v="14"/>
    <s v="5.5-6"/>
    <s v="PP"/>
    <n v="2000"/>
    <s v="PP"/>
    <n v="3"/>
    <n v="191.95999999999998"/>
    <n v="4.1999999999999993"/>
    <m/>
    <m/>
    <n v="187.76"/>
    <s v="2026.44"/>
    <m/>
    <m/>
    <m/>
    <n v="0"/>
    <n v="0"/>
    <m/>
    <m/>
    <m/>
    <m/>
    <m/>
    <m/>
    <m/>
    <m/>
    <n v="0"/>
    <n v="0"/>
    <n v="0"/>
    <n v="12"/>
    <n v="12"/>
    <m/>
    <m/>
    <n v="0"/>
    <n v="196.96"/>
    <m/>
    <x v="16"/>
    <n v="49"/>
    <m/>
    <m/>
    <m/>
  </r>
  <r>
    <x v="0"/>
    <x v="4"/>
    <s v="14/8"/>
    <x v="169"/>
    <s v="سٹاک"/>
    <s v="PP"/>
    <n v="14"/>
    <n v="5"/>
    <s v="PP"/>
    <n v="2000"/>
    <s v="PP"/>
    <n v="3"/>
    <n v="179.64000000000001"/>
    <n v="4.1999999999999993"/>
    <m/>
    <m/>
    <n v="175.44000000000003"/>
    <s v="1964.9099999999999"/>
    <m/>
    <m/>
    <m/>
    <n v="0"/>
    <n v="0"/>
    <m/>
    <m/>
    <m/>
    <m/>
    <m/>
    <m/>
    <m/>
    <m/>
    <n v="0"/>
    <n v="0"/>
    <n v="0"/>
    <n v="12"/>
    <n v="12"/>
    <m/>
    <m/>
    <n v="0"/>
    <n v="184.64"/>
    <m/>
    <x v="16"/>
    <n v="49"/>
    <m/>
    <m/>
    <m/>
  </r>
  <r>
    <x v="1"/>
    <x v="4"/>
    <s v="2826/1"/>
    <x v="169"/>
    <s v="REFLECT PACK"/>
    <s v="PP"/>
    <n v="14"/>
    <s v="5.5-6"/>
    <s v="PP"/>
    <n v="2000"/>
    <s v="PP"/>
    <n v="8"/>
    <n v="459.18999999999994"/>
    <n v="11.2"/>
    <m/>
    <m/>
    <n v="447.98999999999995"/>
    <s v="2026.44"/>
    <m/>
    <m/>
    <m/>
    <n v="0"/>
    <n v="0"/>
    <m/>
    <m/>
    <m/>
    <m/>
    <m/>
    <m/>
    <m/>
    <m/>
    <n v="0"/>
    <n v="0"/>
    <n v="0"/>
    <n v="12"/>
    <n v="12"/>
    <m/>
    <m/>
    <n v="0"/>
    <n v="464.18999999999994"/>
    <m/>
    <x v="16"/>
    <n v="49"/>
    <m/>
    <m/>
    <m/>
  </r>
  <r>
    <x v="1"/>
    <x v="4"/>
    <s v="14/8"/>
    <x v="169"/>
    <s v="سٹاک"/>
    <s v="PP"/>
    <n v="14"/>
    <n v="5"/>
    <s v="PP"/>
    <n v="2000"/>
    <s v="PP"/>
    <n v="2"/>
    <n v="125.79"/>
    <n v="2.8"/>
    <m/>
    <m/>
    <n v="122.99000000000001"/>
    <s v="1964.9099999999999"/>
    <m/>
    <m/>
    <m/>
    <n v="0"/>
    <n v="0"/>
    <m/>
    <m/>
    <m/>
    <m/>
    <m/>
    <m/>
    <m/>
    <m/>
    <n v="0"/>
    <n v="0"/>
    <n v="0"/>
    <n v="12"/>
    <n v="12"/>
    <m/>
    <m/>
    <n v="0"/>
    <n v="130.79000000000002"/>
    <m/>
    <x v="16"/>
    <n v="49"/>
    <m/>
    <m/>
    <m/>
  </r>
  <r>
    <x v="0"/>
    <x v="0"/>
    <s v="7570/1"/>
    <x v="170"/>
    <s v="عثمان امین لاہور"/>
    <s v="PP"/>
    <n v="2"/>
    <s v="12"/>
    <s v="PP"/>
    <n v="300"/>
    <s v="PP"/>
    <n v="12"/>
    <n v="130"/>
    <n v="1.8"/>
    <m/>
    <m/>
    <n v="128.19999999999999"/>
    <s v="297.89"/>
    <m/>
    <m/>
    <m/>
    <n v="0"/>
    <n v="0"/>
    <m/>
    <m/>
    <m/>
    <m/>
    <m/>
    <m/>
    <m/>
    <m/>
    <n v="0"/>
    <n v="0"/>
    <n v="0"/>
    <n v="25"/>
    <n v="25"/>
    <m/>
    <m/>
    <n v="0"/>
    <m/>
    <m/>
    <x v="16"/>
    <m/>
    <m/>
    <m/>
    <m/>
  </r>
  <r>
    <x v="1"/>
    <x v="0"/>
    <s v="7570/1"/>
    <x v="170"/>
    <s v="عثمان امین لاہور"/>
    <s v="PP"/>
    <n v="2"/>
    <s v="12"/>
    <s v="PP"/>
    <n v="300"/>
    <s v="PP"/>
    <n v="12"/>
    <n v="130"/>
    <n v="1.8"/>
    <m/>
    <m/>
    <n v="128.19999999999999"/>
    <s v="297.89"/>
    <m/>
    <m/>
    <m/>
    <n v="0"/>
    <n v="0"/>
    <m/>
    <m/>
    <m/>
    <m/>
    <m/>
    <m/>
    <m/>
    <m/>
    <n v="0"/>
    <n v="0"/>
    <n v="0"/>
    <n v="26"/>
    <n v="26"/>
    <m/>
    <m/>
    <n v="0"/>
    <m/>
    <m/>
    <x v="16"/>
    <m/>
    <m/>
    <m/>
    <m/>
  </r>
  <r>
    <x v="0"/>
    <x v="2"/>
    <s v="9/9"/>
    <x v="170"/>
    <s v="سٹاک"/>
    <s v="PP"/>
    <n v="9"/>
    <s v="5-5.5"/>
    <s v="PP"/>
    <n v="1000"/>
    <s v="PP"/>
    <n v="9"/>
    <n v="320"/>
    <n v="8.1"/>
    <m/>
    <m/>
    <n v="311.89999999999998"/>
    <s v="1184.3699999999999"/>
    <m/>
    <m/>
    <m/>
    <n v="0"/>
    <n v="0"/>
    <m/>
    <m/>
    <m/>
    <m/>
    <m/>
    <m/>
    <m/>
    <m/>
    <n v="0"/>
    <n v="0"/>
    <n v="0"/>
    <n v="27"/>
    <n v="27"/>
    <m/>
    <m/>
    <n v="0"/>
    <m/>
    <m/>
    <x v="16"/>
    <m/>
    <m/>
    <m/>
    <m/>
  </r>
  <r>
    <x v="1"/>
    <x v="2"/>
    <s v="9/9"/>
    <x v="170"/>
    <s v="سٹاک"/>
    <s v="PP"/>
    <n v="9"/>
    <s v="5-5.5"/>
    <s v="PP"/>
    <n v="1000"/>
    <s v="PP"/>
    <n v="9"/>
    <n v="320"/>
    <n v="8.1"/>
    <m/>
    <m/>
    <n v="311.89999999999998"/>
    <s v="1184.3699999999999"/>
    <m/>
    <m/>
    <m/>
    <n v="0"/>
    <n v="0"/>
    <m/>
    <m/>
    <m/>
    <m/>
    <m/>
    <m/>
    <m/>
    <m/>
    <n v="0"/>
    <n v="0"/>
    <n v="0"/>
    <n v="28"/>
    <n v="28"/>
    <m/>
    <m/>
    <n v="0"/>
    <m/>
    <m/>
    <x v="16"/>
    <m/>
    <m/>
    <m/>
    <m/>
  </r>
  <r>
    <x v="0"/>
    <x v="3"/>
    <s v="5878 J"/>
    <x v="170"/>
    <s v="Jilani Poly Stock"/>
    <s v="PP"/>
    <n v="24"/>
    <s v="5-5.5"/>
    <s v="PP"/>
    <n v="1000"/>
    <s v="PP"/>
    <n v="12"/>
    <n v="760"/>
    <n v="28.799999999999997"/>
    <m/>
    <m/>
    <n v="731.2"/>
    <s v="2272.15"/>
    <n v="25"/>
    <m/>
    <m/>
    <n v="25"/>
    <n v="0.41666666666666674"/>
    <m/>
    <m/>
    <m/>
    <m/>
    <m/>
    <m/>
    <m/>
    <m/>
    <n v="0"/>
    <n v="0"/>
    <n v="0.41666666666666674"/>
    <n v="28.583333333333332"/>
    <n v="29"/>
    <m/>
    <m/>
    <n v="0"/>
    <m/>
    <m/>
    <x v="16"/>
    <m/>
    <m/>
    <m/>
    <m/>
  </r>
  <r>
    <x v="1"/>
    <x v="3"/>
    <s v="5878 J"/>
    <x v="170"/>
    <s v="Jilani Poly Stock"/>
    <s v="PP"/>
    <n v="24"/>
    <s v="5-5.5"/>
    <s v="PP"/>
    <n v="1000"/>
    <s v="PP"/>
    <n v="13"/>
    <n v="780"/>
    <n v="31.2"/>
    <m/>
    <m/>
    <n v="748.8"/>
    <s v="2272.15"/>
    <m/>
    <m/>
    <m/>
    <n v="0"/>
    <n v="0"/>
    <m/>
    <m/>
    <m/>
    <m/>
    <m/>
    <m/>
    <m/>
    <m/>
    <n v="0"/>
    <n v="0"/>
    <n v="0"/>
    <n v="30"/>
    <n v="30"/>
    <m/>
    <m/>
    <n v="0"/>
    <m/>
    <m/>
    <x v="16"/>
    <m/>
    <m/>
    <m/>
    <m/>
  </r>
  <r>
    <x v="0"/>
    <x v="4"/>
    <s v="14/8"/>
    <x v="170"/>
    <s v="سٹاک"/>
    <s v="PP"/>
    <n v="14"/>
    <n v="5"/>
    <s v="PP"/>
    <n v="2000"/>
    <s v="PP"/>
    <n v="13"/>
    <n v="540"/>
    <n v="18.2"/>
    <n v="24"/>
    <m/>
    <n v="521.79999999999995"/>
    <s v="1964.9099999999999"/>
    <m/>
    <m/>
    <m/>
    <n v="0"/>
    <n v="0"/>
    <m/>
    <m/>
    <m/>
    <m/>
    <m/>
    <m/>
    <m/>
    <m/>
    <n v="0"/>
    <n v="0"/>
    <n v="0"/>
    <n v="31"/>
    <n v="31"/>
    <m/>
    <m/>
    <n v="0"/>
    <m/>
    <m/>
    <x v="16"/>
    <m/>
    <m/>
    <m/>
    <m/>
  </r>
  <r>
    <x v="1"/>
    <x v="4"/>
    <s v="14/8"/>
    <x v="170"/>
    <s v="سٹاک"/>
    <s v="PP"/>
    <n v="14"/>
    <n v="5"/>
    <s v="PP"/>
    <n v="2000"/>
    <s v="PP"/>
    <n v="13"/>
    <n v="550"/>
    <n v="18.2"/>
    <n v="22"/>
    <m/>
    <n v="531.79999999999995"/>
    <s v="1964.9099999999999"/>
    <m/>
    <m/>
    <m/>
    <n v="0"/>
    <n v="0"/>
    <m/>
    <m/>
    <m/>
    <m/>
    <m/>
    <m/>
    <m/>
    <m/>
    <n v="0"/>
    <n v="0"/>
    <n v="0"/>
    <n v="32"/>
    <n v="32"/>
    <m/>
    <m/>
    <n v="0"/>
    <m/>
    <m/>
    <x v="16"/>
    <m/>
    <m/>
    <m/>
    <m/>
  </r>
  <r>
    <x v="0"/>
    <x v="0"/>
    <s v="7570/1"/>
    <x v="171"/>
    <s v="عثمان امین لاہور"/>
    <s v="PP"/>
    <n v="2"/>
    <s v="12"/>
    <s v="PP"/>
    <n v="300"/>
    <s v="PP"/>
    <n v="4"/>
    <n v="42.29"/>
    <n v="0.8"/>
    <m/>
    <m/>
    <n v="41.49"/>
    <s v="297.89"/>
    <m/>
    <m/>
    <m/>
    <n v="0"/>
    <n v="0"/>
    <m/>
    <m/>
    <m/>
    <m/>
    <m/>
    <m/>
    <m/>
    <m/>
    <n v="0"/>
    <n v="0"/>
    <n v="0"/>
    <n v="12"/>
    <n v="12"/>
    <m/>
    <m/>
    <n v="0"/>
    <n v="47.29"/>
    <m/>
    <x v="16"/>
    <n v="49"/>
    <m/>
    <m/>
    <m/>
  </r>
  <r>
    <x v="0"/>
    <x v="0"/>
    <s v="3/10"/>
    <x v="171"/>
    <s v="سٹاک"/>
    <s v="PP"/>
    <n v="3"/>
    <s v="5.5-6"/>
    <s v="PP"/>
    <n v="1000"/>
    <s v="PP"/>
    <n v="7"/>
    <n v="110.80999999999999"/>
    <n v="2.1"/>
    <n v="12"/>
    <m/>
    <n v="108.71"/>
    <s v="1105.0899999999999"/>
    <n v="15"/>
    <m/>
    <m/>
    <n v="15"/>
    <n v="0.25"/>
    <m/>
    <m/>
    <m/>
    <m/>
    <m/>
    <m/>
    <m/>
    <m/>
    <n v="0"/>
    <n v="0"/>
    <n v="0.25"/>
    <n v="11.75"/>
    <n v="12"/>
    <m/>
    <m/>
    <n v="0"/>
    <n v="115.81"/>
    <m/>
    <x v="16"/>
    <n v="49"/>
    <m/>
    <m/>
    <m/>
  </r>
  <r>
    <x v="1"/>
    <x v="0"/>
    <s v="3/10"/>
    <x v="171"/>
    <s v="سٹاک"/>
    <s v="PP"/>
    <n v="3"/>
    <s v="5.5-6"/>
    <s v="PP"/>
    <n v="1000"/>
    <s v="PP"/>
    <n v="10"/>
    <n v="159.17000000000002"/>
    <n v="3"/>
    <n v="23"/>
    <m/>
    <n v="156.17000000000002"/>
    <s v="1105.0899999999999"/>
    <m/>
    <m/>
    <m/>
    <n v="0"/>
    <n v="0"/>
    <m/>
    <m/>
    <m/>
    <m/>
    <m/>
    <m/>
    <m/>
    <m/>
    <n v="0"/>
    <n v="0"/>
    <n v="0"/>
    <n v="12"/>
    <n v="12"/>
    <m/>
    <m/>
    <n v="0"/>
    <n v="164.17000000000002"/>
    <m/>
    <x v="16"/>
    <n v="49"/>
    <m/>
    <m/>
    <m/>
  </r>
  <r>
    <x v="0"/>
    <x v="2"/>
    <s v="9/9"/>
    <x v="171"/>
    <s v="سٹاک"/>
    <s v="PP"/>
    <n v="9"/>
    <s v="5-5.5"/>
    <s v="PP"/>
    <n v="1000"/>
    <s v="PP"/>
    <n v="7"/>
    <n v="355.6"/>
    <n v="6.3"/>
    <m/>
    <m/>
    <n v="349.3"/>
    <s v="1184.3699999999999"/>
    <m/>
    <m/>
    <m/>
    <n v="0"/>
    <n v="0"/>
    <m/>
    <m/>
    <m/>
    <m/>
    <m/>
    <m/>
    <m/>
    <m/>
    <n v="0"/>
    <n v="0"/>
    <n v="0"/>
    <n v="12"/>
    <n v="12"/>
    <m/>
    <m/>
    <n v="0"/>
    <n v="360.6"/>
    <m/>
    <x v="16"/>
    <n v="49"/>
    <m/>
    <m/>
    <m/>
  </r>
  <r>
    <x v="1"/>
    <x v="2"/>
    <s v="9/9"/>
    <x v="171"/>
    <s v="سٹاک"/>
    <s v="PP"/>
    <n v="9"/>
    <s v="5-5.5"/>
    <s v="PP"/>
    <n v="1000"/>
    <s v="PP"/>
    <n v="4"/>
    <n v="215.67000000000002"/>
    <n v="4.4000000000000004"/>
    <m/>
    <m/>
    <n v="211.27"/>
    <s v="1184.3699999999999"/>
    <n v="20"/>
    <m/>
    <m/>
    <n v="20"/>
    <n v="0.33333333333333331"/>
    <m/>
    <m/>
    <m/>
    <m/>
    <m/>
    <m/>
    <m/>
    <m/>
    <n v="0"/>
    <n v="0"/>
    <n v="0.33333333333333331"/>
    <n v="11.666666666666666"/>
    <n v="12"/>
    <m/>
    <m/>
    <n v="0"/>
    <n v="220.67"/>
    <m/>
    <x v="16"/>
    <n v="49"/>
    <m/>
    <m/>
    <m/>
  </r>
  <r>
    <x v="1"/>
    <x v="2"/>
    <s v="7552/1"/>
    <x v="171"/>
    <s v="اسلم پلاسٹک ملتان"/>
    <s v="PP"/>
    <n v="10"/>
    <n v="7"/>
    <s v="PP"/>
    <n v="100"/>
    <s v="PP"/>
    <n v="3"/>
    <n v="111.95"/>
    <n v="3.9000000000000004"/>
    <m/>
    <m/>
    <n v="108.05"/>
    <s v="108.05"/>
    <m/>
    <m/>
    <m/>
    <n v="0"/>
    <n v="0"/>
    <m/>
    <m/>
    <m/>
    <m/>
    <m/>
    <m/>
    <m/>
    <m/>
    <n v="0"/>
    <n v="0"/>
    <n v="0"/>
    <n v="12"/>
    <n v="12"/>
    <m/>
    <m/>
    <n v="0"/>
    <n v="116.95"/>
    <m/>
    <x v="16"/>
    <n v="49"/>
    <m/>
    <m/>
    <m/>
  </r>
  <r>
    <x v="0"/>
    <x v="3"/>
    <s v="5878 J"/>
    <x v="171"/>
    <s v="Jilani Poly Stock"/>
    <s v="PP"/>
    <n v="24"/>
    <s v="5-5.5"/>
    <s v="PP"/>
    <n v="1000"/>
    <s v="PP"/>
    <n v="13"/>
    <n v="823.35000000000014"/>
    <n v="31.2"/>
    <m/>
    <m/>
    <n v="792.15000000000009"/>
    <s v="2272.15"/>
    <n v="35"/>
    <m/>
    <m/>
    <n v="35"/>
    <n v="0.58333333333333337"/>
    <m/>
    <m/>
    <m/>
    <m/>
    <m/>
    <m/>
    <m/>
    <m/>
    <n v="0"/>
    <n v="0"/>
    <n v="0.58333333333333337"/>
    <n v="11.416666666666666"/>
    <n v="12"/>
    <m/>
    <m/>
    <n v="0"/>
    <n v="828.35000000000014"/>
    <m/>
    <x v="16"/>
    <n v="49"/>
    <m/>
    <m/>
    <m/>
  </r>
  <r>
    <x v="1"/>
    <x v="3"/>
    <s v="5879 J"/>
    <x v="171"/>
    <s v="Jilani Poly Stock"/>
    <s v="PP"/>
    <n v="28"/>
    <s v="5-5.5"/>
    <s v="PP"/>
    <n v="500"/>
    <s v="PP"/>
    <n v="8"/>
    <n v="526.30000000000007"/>
    <n v="28"/>
    <m/>
    <m/>
    <n v="498.30000000000007"/>
    <s v="498.30000000000007"/>
    <n v="30"/>
    <m/>
    <m/>
    <n v="30"/>
    <n v="0.5"/>
    <m/>
    <m/>
    <m/>
    <m/>
    <m/>
    <m/>
    <m/>
    <m/>
    <n v="0"/>
    <n v="0"/>
    <n v="0.5"/>
    <n v="11.5"/>
    <n v="12"/>
    <m/>
    <m/>
    <n v="0"/>
    <n v="531.30000000000007"/>
    <m/>
    <x v="16"/>
    <n v="49"/>
    <m/>
    <m/>
    <m/>
  </r>
  <r>
    <x v="1"/>
    <x v="3"/>
    <s v="5931 J"/>
    <x v="171"/>
    <s v="ASB Sweets And Bakers Jranwala"/>
    <s v="PP"/>
    <n v="20"/>
    <s v="6-6.5"/>
    <s v="PP"/>
    <n v="100"/>
    <s v="PP"/>
    <n v="2"/>
    <n v="104.57"/>
    <n v="4"/>
    <m/>
    <m/>
    <n v="100.57"/>
    <s v="100.57"/>
    <m/>
    <m/>
    <m/>
    <n v="0"/>
    <n v="0"/>
    <m/>
    <m/>
    <m/>
    <m/>
    <m/>
    <m/>
    <m/>
    <m/>
    <n v="0"/>
    <n v="0"/>
    <n v="0"/>
    <n v="12"/>
    <n v="12"/>
    <m/>
    <m/>
    <n v="0"/>
    <n v="109.57"/>
    <m/>
    <x v="16"/>
    <n v="49"/>
    <m/>
    <m/>
    <m/>
  </r>
  <r>
    <x v="1"/>
    <x v="3"/>
    <s v="5877 J"/>
    <x v="171"/>
    <s v="Jilani Poly Stock"/>
    <s v="PP"/>
    <n v="20"/>
    <s v="5-5.5"/>
    <s v="PP"/>
    <n v="1000"/>
    <s v="PP"/>
    <n v="1"/>
    <n v="52.41"/>
    <n v="1.66"/>
    <m/>
    <m/>
    <n v="50.75"/>
    <s v="1021.89"/>
    <m/>
    <m/>
    <m/>
    <n v="0"/>
    <n v="0"/>
    <m/>
    <m/>
    <m/>
    <m/>
    <m/>
    <m/>
    <m/>
    <m/>
    <n v="0"/>
    <n v="0"/>
    <n v="0"/>
    <n v="12"/>
    <n v="12"/>
    <m/>
    <m/>
    <n v="0"/>
    <n v="57.41"/>
    <m/>
    <x v="16"/>
    <n v="49"/>
    <m/>
    <m/>
    <m/>
  </r>
  <r>
    <x v="0"/>
    <x v="4"/>
    <s v="14/8"/>
    <x v="171"/>
    <s v="سٹاک"/>
    <s v="PP"/>
    <n v="14"/>
    <n v="5"/>
    <s v="PP"/>
    <n v="2000"/>
    <s v="PP"/>
    <n v="6"/>
    <n v="472.59"/>
    <n v="10.199999999999999"/>
    <m/>
    <m/>
    <n v="462.39"/>
    <s v="1964.9099999999999"/>
    <m/>
    <m/>
    <m/>
    <n v="0"/>
    <n v="0"/>
    <m/>
    <m/>
    <m/>
    <m/>
    <m/>
    <m/>
    <m/>
    <m/>
    <n v="0"/>
    <n v="0"/>
    <n v="0"/>
    <n v="12"/>
    <n v="12"/>
    <m/>
    <m/>
    <n v="0"/>
    <n v="477.59"/>
    <m/>
    <x v="16"/>
    <n v="49"/>
    <m/>
    <m/>
    <m/>
  </r>
  <r>
    <x v="0"/>
    <x v="4"/>
    <s v="2826/1"/>
    <x v="171"/>
    <s v="REFLECT PACK"/>
    <s v="PP"/>
    <n v="14"/>
    <s v="5.5-6"/>
    <s v="PP"/>
    <n v="2000"/>
    <s v="PP"/>
    <n v="1"/>
    <n v="77.94"/>
    <n v="1.4"/>
    <m/>
    <m/>
    <n v="76.539999999999992"/>
    <s v="2026.44"/>
    <m/>
    <m/>
    <m/>
    <n v="0"/>
    <n v="0"/>
    <m/>
    <m/>
    <m/>
    <m/>
    <m/>
    <m/>
    <m/>
    <m/>
    <n v="0"/>
    <n v="0"/>
    <n v="0"/>
    <n v="12"/>
    <n v="12"/>
    <m/>
    <m/>
    <n v="0"/>
    <n v="82.94"/>
    <m/>
    <x v="16"/>
    <n v="49"/>
    <m/>
    <m/>
    <m/>
  </r>
  <r>
    <x v="1"/>
    <x v="4"/>
    <s v="2826/1"/>
    <x v="171"/>
    <s v="REFLECT PACK"/>
    <s v="PP"/>
    <n v="14"/>
    <s v="5.5-6"/>
    <s v="PP"/>
    <n v="2000"/>
    <s v="PP"/>
    <n v="9"/>
    <n v="603.29"/>
    <n v="15.299999999999999"/>
    <m/>
    <m/>
    <n v="587.99"/>
    <s v="2026.44"/>
    <m/>
    <m/>
    <m/>
    <n v="0"/>
    <n v="0"/>
    <m/>
    <m/>
    <m/>
    <m/>
    <m/>
    <m/>
    <m/>
    <m/>
    <n v="0"/>
    <n v="0"/>
    <n v="0"/>
    <n v="12"/>
    <n v="12"/>
    <m/>
    <m/>
    <n v="0"/>
    <n v="608.29"/>
    <m/>
    <x v="16"/>
    <n v="49"/>
    <m/>
    <m/>
    <m/>
  </r>
  <r>
    <x v="0"/>
    <x v="0"/>
    <s v="3/10"/>
    <x v="172"/>
    <s v="سٹاک"/>
    <s v="PP"/>
    <n v="3"/>
    <s v="5.5-6"/>
    <s v="PP"/>
    <n v="1000"/>
    <s v="PP"/>
    <n v="10"/>
    <n v="148.77999999999997"/>
    <n v="3"/>
    <n v="19"/>
    <m/>
    <n v="145.77999999999997"/>
    <s v="1105.0899999999999"/>
    <m/>
    <m/>
    <m/>
    <n v="0"/>
    <n v="0"/>
    <m/>
    <m/>
    <m/>
    <m/>
    <m/>
    <m/>
    <m/>
    <m/>
    <n v="0"/>
    <n v="0"/>
    <n v="0"/>
    <n v="12"/>
    <n v="12"/>
    <m/>
    <m/>
    <n v="0"/>
    <n v="153.77999999999997"/>
    <m/>
    <x v="17"/>
    <n v="50"/>
    <m/>
    <m/>
    <m/>
  </r>
  <r>
    <x v="1"/>
    <x v="0"/>
    <s v="3/10"/>
    <x v="172"/>
    <s v="سٹاک"/>
    <s v="PP"/>
    <n v="3"/>
    <s v="5.5-6"/>
    <s v="PP"/>
    <n v="1000"/>
    <s v="PP"/>
    <n v="10"/>
    <n v="154.94"/>
    <n v="3"/>
    <n v="21"/>
    <m/>
    <n v="151.94"/>
    <s v="1105.0899999999999"/>
    <m/>
    <m/>
    <m/>
    <n v="0"/>
    <n v="0"/>
    <m/>
    <m/>
    <m/>
    <m/>
    <m/>
    <m/>
    <m/>
    <m/>
    <n v="0"/>
    <n v="0"/>
    <n v="0"/>
    <n v="12"/>
    <n v="12"/>
    <m/>
    <m/>
    <n v="0"/>
    <n v="159.94"/>
    <m/>
    <x v="17"/>
    <n v="50"/>
    <m/>
    <m/>
    <m/>
  </r>
  <r>
    <x v="0"/>
    <x v="2"/>
    <s v="7564/1"/>
    <x v="172"/>
    <s v="خذیفہ پلاسٹک اعظم مارکیٹ"/>
    <s v="PP"/>
    <n v="10"/>
    <s v="8"/>
    <s v="PP"/>
    <n v="100"/>
    <s v="PP"/>
    <n v="4"/>
    <n v="105.03999999999999"/>
    <n v="0.4"/>
    <m/>
    <m/>
    <n v="104.63999999999999"/>
    <s v="104.63999999999999"/>
    <m/>
    <m/>
    <m/>
    <n v="0"/>
    <n v="0"/>
    <m/>
    <m/>
    <m/>
    <m/>
    <m/>
    <m/>
    <m/>
    <m/>
    <n v="0"/>
    <n v="0"/>
    <n v="0"/>
    <n v="12"/>
    <n v="12"/>
    <m/>
    <m/>
    <n v="0"/>
    <n v="110.04"/>
    <m/>
    <x v="17"/>
    <n v="50"/>
    <m/>
    <m/>
    <m/>
  </r>
  <r>
    <x v="0"/>
    <x v="2"/>
    <s v="10/11"/>
    <x v="172"/>
    <s v="سٹاک"/>
    <s v="PP"/>
    <n v="10"/>
    <n v="5"/>
    <s v="PP"/>
    <n v="1500"/>
    <s v="PP"/>
    <n v="5"/>
    <n v="227.76999999999998"/>
    <n v="6.75"/>
    <m/>
    <m/>
    <n v="221.01999999999998"/>
    <s v="1438.23"/>
    <m/>
    <m/>
    <m/>
    <n v="0"/>
    <n v="0"/>
    <m/>
    <m/>
    <m/>
    <m/>
    <m/>
    <m/>
    <m/>
    <m/>
    <n v="0"/>
    <n v="0"/>
    <n v="0"/>
    <n v="12"/>
    <n v="12"/>
    <m/>
    <m/>
    <n v="0"/>
    <n v="232.77"/>
    <m/>
    <x v="17"/>
    <n v="50"/>
    <m/>
    <m/>
    <m/>
  </r>
  <r>
    <x v="1"/>
    <x v="2"/>
    <s v="10/11"/>
    <x v="172"/>
    <s v="سٹاک"/>
    <s v="PP"/>
    <n v="10"/>
    <n v="5"/>
    <s v="PP"/>
    <n v="1500"/>
    <s v="PP"/>
    <n v="7"/>
    <n v="325.25"/>
    <n v="9.4500000000000011"/>
    <m/>
    <m/>
    <n v="315.8"/>
    <s v="1438.23"/>
    <m/>
    <m/>
    <m/>
    <n v="0"/>
    <n v="0"/>
    <m/>
    <m/>
    <m/>
    <m/>
    <m/>
    <m/>
    <m/>
    <m/>
    <n v="0"/>
    <n v="0"/>
    <n v="0"/>
    <n v="12"/>
    <n v="12"/>
    <m/>
    <m/>
    <n v="0"/>
    <n v="330.25"/>
    <m/>
    <x v="17"/>
    <n v="50"/>
    <m/>
    <m/>
    <m/>
  </r>
  <r>
    <x v="0"/>
    <x v="3"/>
    <s v="5877 J"/>
    <x v="172"/>
    <s v="Jilani Poly Stock"/>
    <s v="PP"/>
    <n v="20"/>
    <s v="5-5.5"/>
    <s v="PP"/>
    <n v="1000"/>
    <s v="PP"/>
    <n v="14"/>
    <n v="798.26"/>
    <n v="2.8000000000000003"/>
    <m/>
    <m/>
    <n v="795.46"/>
    <s v="1021.89"/>
    <m/>
    <m/>
    <m/>
    <n v="0"/>
    <n v="0"/>
    <m/>
    <m/>
    <m/>
    <m/>
    <m/>
    <m/>
    <m/>
    <m/>
    <n v="0"/>
    <n v="0"/>
    <n v="0"/>
    <n v="12"/>
    <n v="12"/>
    <m/>
    <m/>
    <n v="0"/>
    <n v="803.26"/>
    <m/>
    <x v="17"/>
    <n v="50"/>
    <m/>
    <m/>
    <m/>
  </r>
  <r>
    <x v="1"/>
    <x v="3"/>
    <s v="5877 J"/>
    <x v="172"/>
    <s v="Jilani Poly Stock"/>
    <s v="PP"/>
    <n v="20"/>
    <s v="5-5.5"/>
    <s v="PP"/>
    <n v="1000"/>
    <s v="PP"/>
    <n v="3"/>
    <n v="183.17999999999998"/>
    <n v="7.5"/>
    <m/>
    <m/>
    <n v="175.67999999999998"/>
    <s v="1021.89"/>
    <m/>
    <m/>
    <m/>
    <n v="0"/>
    <n v="0"/>
    <m/>
    <m/>
    <m/>
    <m/>
    <m/>
    <m/>
    <n v="25"/>
    <m/>
    <n v="25"/>
    <n v="0.41666666666666674"/>
    <n v="0.41666666666666674"/>
    <n v="11.583333333333334"/>
    <n v="12"/>
    <m/>
    <m/>
    <n v="0"/>
    <n v="188.18"/>
    <m/>
    <x v="17"/>
    <n v="50"/>
    <m/>
    <m/>
    <m/>
  </r>
  <r>
    <x v="1"/>
    <x v="3"/>
    <s v="20/1"/>
    <x v="172"/>
    <s v="سٹاک"/>
    <s v="PP"/>
    <n v="20"/>
    <n v="5"/>
    <s v="PP"/>
    <n v="500"/>
    <s v="PP"/>
    <n v="7"/>
    <n v="497.31999999999994"/>
    <n v="11.62"/>
    <m/>
    <m/>
    <n v="485.69999999999993"/>
    <s v="623.84999999999991"/>
    <m/>
    <m/>
    <m/>
    <n v="0"/>
    <n v="0"/>
    <m/>
    <m/>
    <m/>
    <m/>
    <m/>
    <m/>
    <m/>
    <m/>
    <n v="0"/>
    <n v="0"/>
    <n v="0"/>
    <n v="12"/>
    <n v="12"/>
    <m/>
    <m/>
    <n v="0"/>
    <n v="502.31999999999994"/>
    <m/>
    <x v="17"/>
    <n v="50"/>
    <m/>
    <m/>
    <m/>
  </r>
  <r>
    <x v="0"/>
    <x v="4"/>
    <s v="2826/1"/>
    <x v="172"/>
    <s v="REFLECT PACK"/>
    <s v="PP"/>
    <n v="14"/>
    <s v="5.5-6"/>
    <s v="PP"/>
    <n v="2000"/>
    <s v="PP"/>
    <n v="9"/>
    <n v="563.62"/>
    <n v="12.6"/>
    <m/>
    <m/>
    <n v="551.02"/>
    <s v="2026.44"/>
    <m/>
    <m/>
    <m/>
    <n v="0"/>
    <n v="0"/>
    <m/>
    <n v="20"/>
    <m/>
    <m/>
    <m/>
    <m/>
    <m/>
    <m/>
    <n v="20"/>
    <n v="0.33333333333333331"/>
    <n v="0.33333333333333331"/>
    <n v="11.666666666666666"/>
    <n v="12"/>
    <m/>
    <m/>
    <n v="0"/>
    <n v="568.62"/>
    <m/>
    <x v="17"/>
    <n v="50"/>
    <m/>
    <m/>
    <m/>
  </r>
  <r>
    <x v="1"/>
    <x v="4"/>
    <s v="2826/1"/>
    <x v="172"/>
    <s v="REFLECT PACK"/>
    <s v="PP"/>
    <n v="14"/>
    <s v="5.5-6"/>
    <s v="PP"/>
    <n v="2000"/>
    <s v="PP"/>
    <n v="3"/>
    <n v="180.24"/>
    <n v="5.0999999999999996"/>
    <m/>
    <m/>
    <n v="175.14000000000001"/>
    <s v="2026.44"/>
    <n v="25"/>
    <m/>
    <m/>
    <n v="25"/>
    <n v="0.41666666666666674"/>
    <m/>
    <m/>
    <m/>
    <m/>
    <m/>
    <m/>
    <m/>
    <m/>
    <n v="0"/>
    <n v="0"/>
    <n v="0.41666666666666674"/>
    <n v="11.583333333333334"/>
    <n v="12"/>
    <m/>
    <m/>
    <n v="0"/>
    <n v="185.24"/>
    <m/>
    <x v="17"/>
    <n v="50"/>
    <m/>
    <m/>
    <m/>
  </r>
  <r>
    <x v="1"/>
    <x v="4"/>
    <s v="7527/1"/>
    <x v="172"/>
    <s v="منور قریشی میانوالی"/>
    <s v="PP"/>
    <n v="14"/>
    <s v="5"/>
    <s v="PP"/>
    <n v="100"/>
    <s v="PP"/>
    <n v="2"/>
    <n v="110.52"/>
    <n v="3.4"/>
    <m/>
    <m/>
    <n v="107.11999999999999"/>
    <s v="107.11999999999999"/>
    <m/>
    <m/>
    <m/>
    <n v="0"/>
    <n v="0"/>
    <n v="60"/>
    <m/>
    <m/>
    <m/>
    <m/>
    <m/>
    <m/>
    <m/>
    <n v="60"/>
    <n v="1"/>
    <n v="1"/>
    <n v="11"/>
    <n v="12"/>
    <m/>
    <m/>
    <n v="0"/>
    <n v="115.52"/>
    <m/>
    <x v="17"/>
    <n v="50"/>
    <m/>
    <m/>
    <m/>
  </r>
  <r>
    <x v="1"/>
    <x v="4"/>
    <s v="7504/1"/>
    <x v="172"/>
    <s v="رمضان پلاسٹک سیالکوٹ"/>
    <s v="PP"/>
    <n v="11"/>
    <s v="7"/>
    <s v="PP"/>
    <n v="50"/>
    <s v="PP"/>
    <n v="4"/>
    <n v="211.53000000000003"/>
    <n v="5.6"/>
    <m/>
    <m/>
    <n v="205.93000000000004"/>
    <s v="259.18000000000006"/>
    <m/>
    <m/>
    <m/>
    <n v="0"/>
    <n v="0"/>
    <m/>
    <m/>
    <m/>
    <m/>
    <m/>
    <m/>
    <m/>
    <m/>
    <n v="0"/>
    <n v="0"/>
    <n v="0"/>
    <n v="12"/>
    <n v="12"/>
    <m/>
    <m/>
    <n v="0"/>
    <n v="216.53000000000003"/>
    <m/>
    <x v="17"/>
    <n v="50"/>
    <m/>
    <m/>
    <m/>
  </r>
  <r>
    <x v="0"/>
    <x v="0"/>
    <s v="3/10"/>
    <x v="173"/>
    <s v="سٹاک"/>
    <s v="PP"/>
    <n v="3"/>
    <s v="5.5-6"/>
    <s v="PP"/>
    <n v="1000"/>
    <s v="PP"/>
    <n v="10"/>
    <n v="137.87"/>
    <n v="3"/>
    <n v="30"/>
    <m/>
    <n v="134.87"/>
    <s v="1105.0899999999999"/>
    <m/>
    <m/>
    <m/>
    <n v="0"/>
    <n v="0"/>
    <m/>
    <m/>
    <m/>
    <m/>
    <m/>
    <m/>
    <m/>
    <m/>
    <n v="0"/>
    <n v="0"/>
    <n v="0"/>
    <n v="12"/>
    <n v="12"/>
    <m/>
    <m/>
    <n v="0"/>
    <n v="142.87"/>
    <m/>
    <x v="17"/>
    <n v="50"/>
    <m/>
    <m/>
    <m/>
  </r>
  <r>
    <x v="1"/>
    <x v="0"/>
    <s v="3/10"/>
    <x v="173"/>
    <s v="سٹاک"/>
    <s v="PP"/>
    <n v="3"/>
    <s v="5.5-6"/>
    <s v="PP"/>
    <n v="1000"/>
    <s v="PP"/>
    <n v="8"/>
    <n v="127.18"/>
    <n v="2.4"/>
    <n v="30"/>
    <m/>
    <n v="124.78"/>
    <s v="1105.0899999999999"/>
    <m/>
    <m/>
    <m/>
    <n v="0"/>
    <n v="0"/>
    <m/>
    <m/>
    <m/>
    <m/>
    <m/>
    <m/>
    <m/>
    <m/>
    <n v="0"/>
    <n v="0"/>
    <n v="0"/>
    <n v="12"/>
    <n v="12"/>
    <m/>
    <m/>
    <n v="0"/>
    <n v="132.18"/>
    <m/>
    <x v="17"/>
    <n v="50"/>
    <m/>
    <m/>
    <m/>
  </r>
  <r>
    <x v="1"/>
    <x v="1"/>
    <s v="5/4"/>
    <x v="173"/>
    <s v="سٹاک"/>
    <s v="PP"/>
    <n v="5"/>
    <s v="5.5-6"/>
    <s v="PP"/>
    <n v="1000"/>
    <s v="PP"/>
    <n v="5"/>
    <n v="95.99"/>
    <n v="2.5"/>
    <m/>
    <m/>
    <n v="93.49"/>
    <s v="1409.8899999999999"/>
    <m/>
    <m/>
    <n v="270"/>
    <n v="270"/>
    <n v="4.5"/>
    <n v="80"/>
    <m/>
    <m/>
    <m/>
    <m/>
    <m/>
    <n v="40"/>
    <m/>
    <n v="120"/>
    <n v="2"/>
    <n v="6.5"/>
    <n v="5.5"/>
    <n v="12"/>
    <m/>
    <m/>
    <n v="0"/>
    <n v="100.99"/>
    <m/>
    <x v="17"/>
    <n v="50"/>
    <m/>
    <m/>
    <m/>
  </r>
  <r>
    <x v="0"/>
    <x v="2"/>
    <s v="10/11"/>
    <x v="173"/>
    <s v="سٹاک"/>
    <s v="PP"/>
    <n v="10"/>
    <n v="5"/>
    <s v="PP"/>
    <n v="1500"/>
    <s v="PP"/>
    <n v="8"/>
    <n v="328.34999999999997"/>
    <n v="9.6"/>
    <m/>
    <m/>
    <n v="318.74999999999994"/>
    <s v="1438.23"/>
    <m/>
    <m/>
    <m/>
    <n v="0"/>
    <n v="0"/>
    <m/>
    <m/>
    <m/>
    <m/>
    <m/>
    <m/>
    <m/>
    <m/>
    <n v="0"/>
    <n v="0"/>
    <n v="0"/>
    <n v="12"/>
    <n v="12"/>
    <m/>
    <m/>
    <n v="0"/>
    <n v="333.34999999999997"/>
    <m/>
    <x v="17"/>
    <n v="50"/>
    <m/>
    <m/>
    <m/>
  </r>
  <r>
    <x v="1"/>
    <x v="2"/>
    <s v="10/11"/>
    <x v="173"/>
    <s v="سٹاک"/>
    <s v="PP"/>
    <n v="10"/>
    <n v="5"/>
    <s v="PP"/>
    <n v="1500"/>
    <s v="PP"/>
    <n v="6"/>
    <n v="303.11"/>
    <n v="7.1999999999999993"/>
    <m/>
    <m/>
    <n v="295.91000000000003"/>
    <s v="1438.23"/>
    <m/>
    <m/>
    <m/>
    <n v="0"/>
    <n v="0"/>
    <m/>
    <m/>
    <m/>
    <m/>
    <m/>
    <m/>
    <m/>
    <m/>
    <n v="0"/>
    <n v="0"/>
    <n v="0"/>
    <n v="12"/>
    <n v="12"/>
    <m/>
    <m/>
    <n v="0"/>
    <n v="308.11"/>
    <m/>
    <x v="17"/>
    <n v="50"/>
    <m/>
    <m/>
    <m/>
  </r>
  <r>
    <x v="0"/>
    <x v="3"/>
    <s v="20/1"/>
    <x v="173"/>
    <s v="سٹاک"/>
    <s v="PP"/>
    <n v="20"/>
    <n v="5"/>
    <s v="PP"/>
    <n v="500"/>
    <s v="PP"/>
    <n v="3"/>
    <n v="144.15"/>
    <n v="6"/>
    <m/>
    <m/>
    <n v="138.15"/>
    <s v="623.84999999999991"/>
    <n v="35"/>
    <m/>
    <m/>
    <n v="35"/>
    <n v="0.58333333333333337"/>
    <m/>
    <m/>
    <m/>
    <m/>
    <m/>
    <m/>
    <m/>
    <m/>
    <n v="0"/>
    <n v="0"/>
    <n v="0.58333333333333337"/>
    <n v="11.416666666666666"/>
    <n v="12"/>
    <m/>
    <m/>
    <n v="0"/>
    <n v="149.15"/>
    <m/>
    <x v="17"/>
    <n v="50"/>
    <m/>
    <m/>
    <m/>
  </r>
  <r>
    <x v="0"/>
    <x v="3"/>
    <s v="7571/1"/>
    <x v="173"/>
    <s v="سلطان ٹریڈرز فیصل اباد"/>
    <s v="PP"/>
    <n v="16"/>
    <s v="9"/>
    <s v="PP"/>
    <n v="50"/>
    <s v="PP"/>
    <n v="1"/>
    <n v="48.57"/>
    <n v="1.6"/>
    <m/>
    <m/>
    <n v="46.97"/>
    <s v="46.97"/>
    <m/>
    <m/>
    <m/>
    <n v="0"/>
    <n v="0"/>
    <m/>
    <m/>
    <m/>
    <m/>
    <m/>
    <m/>
    <m/>
    <m/>
    <n v="0"/>
    <n v="0"/>
    <n v="0"/>
    <n v="12"/>
    <n v="12"/>
    <m/>
    <m/>
    <n v="0"/>
    <n v="53.57"/>
    <m/>
    <x v="17"/>
    <n v="50"/>
    <m/>
    <m/>
    <m/>
  </r>
  <r>
    <x v="0"/>
    <x v="3"/>
    <s v="5875 J"/>
    <x v="173"/>
    <s v="Jilani Poly Stock"/>
    <s v="PP"/>
    <n v="16"/>
    <s v="5-5.5"/>
    <s v="PP"/>
    <n v="1000"/>
    <s v="PP"/>
    <n v="7"/>
    <n v="375.04999999999995"/>
    <n v="11.200000000000001"/>
    <m/>
    <m/>
    <n v="363.84999999999997"/>
    <s v="1036.97"/>
    <m/>
    <m/>
    <m/>
    <n v="0"/>
    <n v="0"/>
    <m/>
    <m/>
    <m/>
    <m/>
    <m/>
    <m/>
    <m/>
    <m/>
    <n v="0"/>
    <n v="0"/>
    <n v="0"/>
    <n v="12"/>
    <n v="12"/>
    <m/>
    <m/>
    <n v="0"/>
    <n v="380.0499999999999"/>
    <m/>
    <x v="17"/>
    <n v="50"/>
    <m/>
    <m/>
    <m/>
  </r>
  <r>
    <x v="0"/>
    <x v="3"/>
    <s v="7571/3"/>
    <x v="173"/>
    <s v="سلطان ٹریڈرز فیصل اباد"/>
    <s v="PP"/>
    <n v="20"/>
    <s v="9"/>
    <s v="PP"/>
    <n v="50"/>
    <s v="PP"/>
    <n v="2"/>
    <n v="59.16"/>
    <n v="4"/>
    <m/>
    <m/>
    <n v="55.16"/>
    <s v="55.16"/>
    <m/>
    <m/>
    <m/>
    <n v="0"/>
    <n v="0"/>
    <m/>
    <m/>
    <m/>
    <m/>
    <m/>
    <m/>
    <m/>
    <m/>
    <n v="0"/>
    <n v="0"/>
    <n v="0"/>
    <n v="12"/>
    <n v="12"/>
    <m/>
    <m/>
    <n v="0"/>
    <n v="64.16"/>
    <m/>
    <x v="17"/>
    <n v="50"/>
    <m/>
    <m/>
    <m/>
  </r>
  <r>
    <x v="0"/>
    <x v="3"/>
    <s v="7572/1"/>
    <x v="173"/>
    <s v="محبوب مقبول گوجرانوالہ"/>
    <s v="PP"/>
    <n v="14"/>
    <s v="6.5-7"/>
    <s v="PP"/>
    <n v="100"/>
    <s v="PP"/>
    <n v="2"/>
    <n v="89.490000000000009"/>
    <n v="3.2"/>
    <m/>
    <m/>
    <n v="86.29"/>
    <s v="187.37"/>
    <m/>
    <m/>
    <m/>
    <n v="0"/>
    <n v="0"/>
    <m/>
    <m/>
    <m/>
    <m/>
    <m/>
    <m/>
    <m/>
    <m/>
    <n v="0"/>
    <n v="0"/>
    <n v="0"/>
    <n v="12"/>
    <n v="12"/>
    <m/>
    <m/>
    <n v="0"/>
    <n v="94.490000000000009"/>
    <m/>
    <x v="17"/>
    <n v="50"/>
    <m/>
    <m/>
    <m/>
  </r>
  <r>
    <x v="1"/>
    <x v="3"/>
    <s v="5875 J"/>
    <x v="173"/>
    <s v="Jilani Poly Stock"/>
    <s v="PP"/>
    <n v="16"/>
    <s v="5-5.5"/>
    <s v="PP"/>
    <n v="1000"/>
    <s v="PP"/>
    <n v="14"/>
    <n v="695.52"/>
    <n v="22.400000000000002"/>
    <m/>
    <m/>
    <n v="673.12"/>
    <s v="1036.97"/>
    <n v="20"/>
    <m/>
    <m/>
    <n v="20"/>
    <n v="0.33333333333333331"/>
    <m/>
    <m/>
    <m/>
    <m/>
    <m/>
    <m/>
    <m/>
    <m/>
    <n v="0"/>
    <n v="0"/>
    <n v="0.33333333333333331"/>
    <n v="11.666666666666666"/>
    <n v="12"/>
    <m/>
    <m/>
    <n v="0"/>
    <n v="700.52"/>
    <m/>
    <x v="17"/>
    <n v="50"/>
    <m/>
    <m/>
    <m/>
  </r>
  <r>
    <x v="1"/>
    <x v="3"/>
    <s v="7577/2"/>
    <x v="173"/>
    <s v="عمیر P وہاڑی"/>
    <s v="PP"/>
    <n v="19"/>
    <s v="7"/>
    <s v="PP"/>
    <n v="50"/>
    <s v="PP"/>
    <n v="1"/>
    <n v="53.69"/>
    <n v="2.5"/>
    <m/>
    <m/>
    <n v="51.19"/>
    <s v="51.19"/>
    <m/>
    <m/>
    <m/>
    <n v="0"/>
    <n v="0"/>
    <m/>
    <m/>
    <m/>
    <m/>
    <m/>
    <m/>
    <m/>
    <m/>
    <n v="0"/>
    <n v="0"/>
    <n v="0"/>
    <n v="12"/>
    <n v="12"/>
    <m/>
    <m/>
    <n v="0"/>
    <n v="58.69"/>
    <m/>
    <x v="17"/>
    <n v="50"/>
    <m/>
    <m/>
    <m/>
  </r>
  <r>
    <x v="0"/>
    <x v="4"/>
    <s v="7504/1"/>
    <x v="173"/>
    <s v="رمضان پلاسٹک سیالکوٹ"/>
    <s v="PP"/>
    <n v="11"/>
    <s v="7"/>
    <s v="PP"/>
    <n v="50"/>
    <s v="PP"/>
    <n v="1"/>
    <n v="54.35"/>
    <n v="1.1000000000000001"/>
    <m/>
    <m/>
    <n v="53.25"/>
    <s v="259.18000000000006"/>
    <m/>
    <m/>
    <m/>
    <n v="0"/>
    <n v="0"/>
    <m/>
    <m/>
    <m/>
    <m/>
    <m/>
    <m/>
    <m/>
    <m/>
    <n v="0"/>
    <n v="0"/>
    <n v="0"/>
    <n v="12"/>
    <n v="12"/>
    <m/>
    <m/>
    <n v="0"/>
    <n v="59.35"/>
    <m/>
    <x v="17"/>
    <n v="50"/>
    <m/>
    <m/>
    <m/>
  </r>
  <r>
    <x v="0"/>
    <x v="4"/>
    <s v="11/7"/>
    <x v="173"/>
    <s v="سٹاک"/>
    <s v="PP"/>
    <n v="11"/>
    <s v="5-5.5"/>
    <s v="PP"/>
    <n v="2000"/>
    <s v="PP"/>
    <n v="9"/>
    <n v="480.28"/>
    <n v="9.9"/>
    <n v="4.5"/>
    <m/>
    <n v="470.38"/>
    <s v="2068.3000000000002"/>
    <m/>
    <m/>
    <m/>
    <n v="0"/>
    <n v="0"/>
    <m/>
    <m/>
    <m/>
    <m/>
    <m/>
    <m/>
    <m/>
    <m/>
    <n v="0"/>
    <n v="0"/>
    <n v="0"/>
    <n v="12"/>
    <n v="12"/>
    <m/>
    <m/>
    <n v="0"/>
    <n v="485.28"/>
    <m/>
    <x v="17"/>
    <n v="50"/>
    <m/>
    <m/>
    <m/>
  </r>
  <r>
    <x v="1"/>
    <x v="4"/>
    <s v="7571/2"/>
    <x v="173"/>
    <s v="سلطان ٹریڈرز فیصل اباد"/>
    <s v="PP"/>
    <n v="11"/>
    <s v="9"/>
    <s v="PP"/>
    <n v="50"/>
    <s v="PP"/>
    <n v="2"/>
    <n v="58.01"/>
    <n v="2.6"/>
    <n v="4.5"/>
    <m/>
    <n v="55.41"/>
    <s v="55.41"/>
    <m/>
    <m/>
    <m/>
    <n v="0"/>
    <n v="0"/>
    <m/>
    <m/>
    <m/>
    <m/>
    <m/>
    <m/>
    <m/>
    <m/>
    <n v="0"/>
    <n v="0"/>
    <n v="0"/>
    <n v="12"/>
    <n v="12"/>
    <m/>
    <m/>
    <n v="0"/>
    <n v="63.01"/>
    <m/>
    <x v="17"/>
    <n v="50"/>
    <m/>
    <m/>
    <m/>
  </r>
  <r>
    <x v="1"/>
    <x v="4"/>
    <s v="11/7"/>
    <x v="173"/>
    <s v="سٹاک"/>
    <s v="PP"/>
    <n v="11"/>
    <s v="5-5.5"/>
    <s v="PP"/>
    <n v="2000"/>
    <s v="PP"/>
    <n v="8"/>
    <n v="488.25000000000006"/>
    <n v="10.4"/>
    <m/>
    <m/>
    <n v="477.85000000000008"/>
    <s v="2068.3000000000002"/>
    <m/>
    <m/>
    <m/>
    <n v="0"/>
    <n v="0"/>
    <m/>
    <m/>
    <m/>
    <m/>
    <m/>
    <m/>
    <m/>
    <m/>
    <n v="0"/>
    <n v="0"/>
    <n v="0"/>
    <n v="12"/>
    <n v="12"/>
    <m/>
    <m/>
    <n v="0"/>
    <n v="493.25000000000006"/>
    <m/>
    <x v="17"/>
    <n v="50"/>
    <m/>
    <m/>
    <m/>
  </r>
  <r>
    <x v="0"/>
    <x v="0"/>
    <s v="3/10"/>
    <x v="174"/>
    <s v="سٹاک"/>
    <s v="PP"/>
    <n v="3"/>
    <s v="5.5-6"/>
    <s v="PP"/>
    <n v="1000"/>
    <s v="PP"/>
    <n v="9"/>
    <n v="135.07999999999998"/>
    <n v="2.6999999999999997"/>
    <n v="25"/>
    <m/>
    <n v="132.38"/>
    <s v="1105.0899999999999"/>
    <m/>
    <m/>
    <m/>
    <n v="0"/>
    <n v="0"/>
    <m/>
    <m/>
    <m/>
    <m/>
    <m/>
    <m/>
    <m/>
    <m/>
    <n v="0"/>
    <n v="0"/>
    <n v="0"/>
    <n v="12"/>
    <n v="12"/>
    <m/>
    <m/>
    <n v="0"/>
    <n v="140.07999999999998"/>
    <m/>
    <x v="17"/>
    <n v="50"/>
    <m/>
    <m/>
    <m/>
  </r>
  <r>
    <x v="1"/>
    <x v="0"/>
    <s v="3/10"/>
    <x v="174"/>
    <s v="سٹاک"/>
    <s v="PP"/>
    <n v="3"/>
    <s v="5.5-6"/>
    <s v="PP"/>
    <n v="1000"/>
    <s v="PP"/>
    <n v="9"/>
    <n v="124.24"/>
    <n v="2.6999999999999997"/>
    <n v="24"/>
    <m/>
    <n v="121.53999999999999"/>
    <s v="1105.0899999999999"/>
    <m/>
    <m/>
    <m/>
    <n v="0"/>
    <n v="0"/>
    <m/>
    <m/>
    <m/>
    <m/>
    <m/>
    <m/>
    <m/>
    <m/>
    <n v="0"/>
    <n v="0"/>
    <n v="0"/>
    <n v="12"/>
    <n v="12"/>
    <m/>
    <m/>
    <n v="0"/>
    <n v="129.24"/>
    <m/>
    <x v="17"/>
    <n v="50"/>
    <m/>
    <m/>
    <m/>
  </r>
  <r>
    <x v="0"/>
    <x v="1"/>
    <s v="5/4"/>
    <x v="174"/>
    <s v="سٹاک"/>
    <s v="PP"/>
    <n v="5"/>
    <s v="5.5-6"/>
    <s v="PP"/>
    <n v="1000"/>
    <s v="PP"/>
    <n v="6"/>
    <n v="115.76"/>
    <n v="3"/>
    <n v="3"/>
    <m/>
    <n v="112.76"/>
    <s v="1409.8899999999999"/>
    <m/>
    <m/>
    <m/>
    <n v="0"/>
    <n v="0"/>
    <m/>
    <m/>
    <n v="240"/>
    <m/>
    <m/>
    <m/>
    <m/>
    <m/>
    <n v="240"/>
    <n v="4"/>
    <n v="4"/>
    <n v="8"/>
    <n v="12"/>
    <m/>
    <m/>
    <n v="0"/>
    <n v="120.76"/>
    <m/>
    <x v="17"/>
    <n v="50"/>
    <m/>
    <m/>
    <m/>
  </r>
  <r>
    <x v="1"/>
    <x v="1"/>
    <s v="5/4"/>
    <x v="174"/>
    <s v="سٹاک"/>
    <s v="PP"/>
    <n v="5"/>
    <s v="5.5-6"/>
    <s v="PP"/>
    <n v="1000"/>
    <s v="PP"/>
    <n v="9"/>
    <n v="191.35"/>
    <n v="4.5"/>
    <n v="3"/>
    <m/>
    <n v="186.85"/>
    <s v="1409.8899999999999"/>
    <m/>
    <m/>
    <m/>
    <n v="0"/>
    <n v="0"/>
    <m/>
    <m/>
    <m/>
    <m/>
    <m/>
    <m/>
    <m/>
    <m/>
    <n v="0"/>
    <n v="0"/>
    <n v="0"/>
    <n v="12"/>
    <n v="12"/>
    <m/>
    <m/>
    <n v="0"/>
    <n v="196.35"/>
    <m/>
    <x v="17"/>
    <n v="50"/>
    <m/>
    <m/>
    <m/>
  </r>
  <r>
    <x v="0"/>
    <x v="2"/>
    <s v="10/11"/>
    <x v="174"/>
    <s v="سٹاک"/>
    <s v="PP"/>
    <n v="10"/>
    <n v="5"/>
    <s v="PP"/>
    <n v="1500"/>
    <s v="PP"/>
    <n v="6"/>
    <n v="287.35000000000002"/>
    <n v="0.60000000000000009"/>
    <m/>
    <m/>
    <n v="286.75"/>
    <s v="1438.23"/>
    <m/>
    <m/>
    <n v="60"/>
    <n v="60"/>
    <n v="1"/>
    <m/>
    <m/>
    <m/>
    <m/>
    <m/>
    <m/>
    <m/>
    <m/>
    <n v="0"/>
    <n v="0"/>
    <n v="1"/>
    <n v="11"/>
    <n v="12"/>
    <m/>
    <m/>
    <n v="0"/>
    <n v="292.35000000000002"/>
    <m/>
    <x v="17"/>
    <n v="50"/>
    <m/>
    <m/>
    <m/>
  </r>
  <r>
    <x v="0"/>
    <x v="3"/>
    <s v="5889 J"/>
    <x v="174"/>
    <s v="Shah Posh Plas Rwp"/>
    <s v="PP"/>
    <n v="19"/>
    <s v="10-10.5"/>
    <s v="PP"/>
    <n v="1000"/>
    <s v="PP"/>
    <n v="15"/>
    <n v="819.11000000000024"/>
    <n v="28.5"/>
    <m/>
    <m/>
    <n v="790.61000000000024"/>
    <s v="1219.5900000000001"/>
    <n v="30"/>
    <m/>
    <m/>
    <n v="30"/>
    <n v="0.5"/>
    <m/>
    <m/>
    <m/>
    <m/>
    <m/>
    <m/>
    <m/>
    <m/>
    <n v="0"/>
    <n v="0"/>
    <n v="0.5"/>
    <n v="11.5"/>
    <n v="12"/>
    <m/>
    <m/>
    <n v="0"/>
    <n v="824.11000000000035"/>
    <m/>
    <x v="17"/>
    <n v="50"/>
    <m/>
    <m/>
    <m/>
  </r>
  <r>
    <x v="1"/>
    <x v="3"/>
    <s v="5889 J"/>
    <x v="174"/>
    <s v="Shah Posh Plas Rwp"/>
    <s v="PP"/>
    <n v="19"/>
    <s v="10-10.5"/>
    <s v="PP"/>
    <n v="1000"/>
    <s v="PP"/>
    <n v="8"/>
    <n v="443.38"/>
    <n v="14.4"/>
    <m/>
    <m/>
    <n v="428.98"/>
    <s v="1219.5900000000001"/>
    <n v="30"/>
    <m/>
    <m/>
    <n v="30"/>
    <n v="0.5"/>
    <m/>
    <m/>
    <m/>
    <m/>
    <m/>
    <m/>
    <m/>
    <m/>
    <n v="0"/>
    <n v="0"/>
    <n v="0.5"/>
    <n v="11.5"/>
    <n v="12"/>
    <m/>
    <m/>
    <n v="0"/>
    <n v="448.38"/>
    <m/>
    <x v="17"/>
    <n v="50"/>
    <m/>
    <m/>
    <m/>
  </r>
  <r>
    <x v="1"/>
    <x v="3"/>
    <s v="5890 J"/>
    <x v="174"/>
    <s v="Shah Posh Plas Rwp"/>
    <s v="PP"/>
    <n v="21"/>
    <s v="10-10.5"/>
    <s v="PP"/>
    <n v="500"/>
    <s v="PP"/>
    <n v="8"/>
    <n v="477.85999999999996"/>
    <n v="20"/>
    <m/>
    <m/>
    <n v="457.85999999999996"/>
    <s v="515.91999999999996"/>
    <m/>
    <m/>
    <m/>
    <n v="0"/>
    <n v="0"/>
    <m/>
    <m/>
    <m/>
    <m/>
    <m/>
    <m/>
    <m/>
    <m/>
    <n v="0"/>
    <n v="0"/>
    <n v="0"/>
    <n v="12"/>
    <n v="12"/>
    <m/>
    <m/>
    <n v="0"/>
    <n v="482.86"/>
    <m/>
    <x v="17"/>
    <n v="50"/>
    <m/>
    <m/>
    <m/>
  </r>
  <r>
    <x v="0"/>
    <x v="4"/>
    <s v="11/7"/>
    <x v="174"/>
    <s v="سٹاک"/>
    <s v="PP"/>
    <n v="11"/>
    <s v="5-5.5"/>
    <s v="PP"/>
    <n v="2000"/>
    <s v="PP"/>
    <n v="10"/>
    <n v="531.1"/>
    <n v="11"/>
    <m/>
    <m/>
    <n v="520.1"/>
    <s v="2068.3000000000002"/>
    <m/>
    <m/>
    <m/>
    <n v="0"/>
    <n v="0"/>
    <m/>
    <m/>
    <m/>
    <m/>
    <m/>
    <m/>
    <m/>
    <m/>
    <n v="0"/>
    <n v="0"/>
    <n v="0"/>
    <n v="12"/>
    <n v="12"/>
    <m/>
    <m/>
    <n v="0"/>
    <n v="536.1"/>
    <m/>
    <x v="17"/>
    <n v="50"/>
    <m/>
    <m/>
    <m/>
  </r>
  <r>
    <x v="1"/>
    <x v="4"/>
    <s v="11/7"/>
    <x v="174"/>
    <s v="سٹاک"/>
    <s v="PP"/>
    <n v="11"/>
    <s v="5-5.5"/>
    <s v="PP"/>
    <n v="2000"/>
    <s v="PP"/>
    <n v="9"/>
    <n v="526.91"/>
    <n v="11.700000000000001"/>
    <m/>
    <m/>
    <n v="515.20999999999992"/>
    <s v="2068.3000000000002"/>
    <m/>
    <m/>
    <m/>
    <n v="0"/>
    <n v="0"/>
    <m/>
    <m/>
    <m/>
    <m/>
    <m/>
    <m/>
    <m/>
    <m/>
    <n v="0"/>
    <n v="0"/>
    <n v="0"/>
    <n v="12"/>
    <n v="12"/>
    <m/>
    <m/>
    <n v="0"/>
    <n v="531.91"/>
    <m/>
    <x v="17"/>
    <n v="50"/>
    <m/>
    <m/>
    <m/>
  </r>
  <r>
    <x v="0"/>
    <x v="0"/>
    <s v="3/10"/>
    <x v="175"/>
    <s v="سٹاک"/>
    <s v="PP"/>
    <n v="3"/>
    <s v="5.5-6"/>
    <s v="PP"/>
    <n v="1000"/>
    <s v="PP"/>
    <n v="2"/>
    <n v="29.520000000000003"/>
    <n v="0.6"/>
    <m/>
    <m/>
    <n v="28.92"/>
    <s v="1105.0899999999999"/>
    <m/>
    <m/>
    <m/>
    <n v="0"/>
    <n v="0"/>
    <m/>
    <m/>
    <m/>
    <m/>
    <m/>
    <m/>
    <m/>
    <m/>
    <n v="0"/>
    <n v="0"/>
    <n v="0"/>
    <n v="12"/>
    <n v="12"/>
    <m/>
    <m/>
    <n v="0"/>
    <n v="34.520000000000003"/>
    <m/>
    <x v="17"/>
    <n v="50"/>
    <m/>
    <m/>
    <m/>
  </r>
  <r>
    <x v="0"/>
    <x v="0"/>
    <s v="4/10"/>
    <x v="175"/>
    <s v="سٹاک"/>
    <s v="PP"/>
    <n v="4"/>
    <s v="5-5.5"/>
    <s v="PP"/>
    <n v="1000"/>
    <s v="PP"/>
    <n v="6"/>
    <n v="107.21000000000001"/>
    <n v="2.4000000000000004"/>
    <n v="15"/>
    <m/>
    <n v="104.81"/>
    <s v="1014.8799999999999"/>
    <m/>
    <m/>
    <m/>
    <n v="0"/>
    <n v="0"/>
    <m/>
    <m/>
    <m/>
    <m/>
    <m/>
    <m/>
    <m/>
    <m/>
    <n v="0"/>
    <n v="0"/>
    <n v="0"/>
    <n v="12"/>
    <n v="12"/>
    <m/>
    <m/>
    <n v="0"/>
    <n v="112.21"/>
    <m/>
    <x v="17"/>
    <n v="50"/>
    <m/>
    <m/>
    <m/>
  </r>
  <r>
    <x v="1"/>
    <x v="0"/>
    <s v="4/10"/>
    <x v="175"/>
    <s v="سٹاک"/>
    <s v="PP"/>
    <n v="4"/>
    <s v="5-5.5"/>
    <s v="PP"/>
    <n v="1000"/>
    <s v="PP"/>
    <n v="8"/>
    <n v="160.37"/>
    <n v="3.2"/>
    <n v="22"/>
    <m/>
    <n v="157.17000000000002"/>
    <s v="1014.8799999999999"/>
    <n v="15"/>
    <m/>
    <m/>
    <n v="15"/>
    <n v="0.25"/>
    <m/>
    <m/>
    <m/>
    <m/>
    <m/>
    <m/>
    <n v="20"/>
    <m/>
    <n v="20"/>
    <n v="0.33333333333333331"/>
    <n v="0.58333333333333326"/>
    <n v="11.416666666666666"/>
    <n v="12"/>
    <m/>
    <m/>
    <n v="0"/>
    <n v="165.37"/>
    <m/>
    <x v="17"/>
    <n v="50"/>
    <m/>
    <m/>
    <m/>
  </r>
  <r>
    <x v="0"/>
    <x v="1"/>
    <s v="5/4"/>
    <x v="175"/>
    <s v="سٹاک"/>
    <s v="PP"/>
    <n v="5"/>
    <s v="5.5-6"/>
    <s v="PP"/>
    <n v="1000"/>
    <s v="PP"/>
    <n v="10"/>
    <n v="217.2"/>
    <n v="5"/>
    <m/>
    <m/>
    <n v="212.2"/>
    <s v="1409.8899999999999"/>
    <m/>
    <m/>
    <m/>
    <n v="0"/>
    <n v="0"/>
    <m/>
    <m/>
    <m/>
    <m/>
    <m/>
    <m/>
    <m/>
    <m/>
    <n v="0"/>
    <n v="0"/>
    <n v="0"/>
    <n v="12"/>
    <n v="12"/>
    <m/>
    <m/>
    <n v="0"/>
    <n v="222.2"/>
    <m/>
    <x v="17"/>
    <n v="50"/>
    <m/>
    <m/>
    <m/>
  </r>
  <r>
    <x v="1"/>
    <x v="1"/>
    <s v="5/4"/>
    <x v="175"/>
    <s v="سٹاک"/>
    <s v="PP"/>
    <n v="5"/>
    <s v="5.5-6"/>
    <s v="PP"/>
    <n v="1000"/>
    <s v="PP"/>
    <n v="8"/>
    <n v="178.20999999999998"/>
    <n v="4"/>
    <m/>
    <m/>
    <n v="174.20999999999998"/>
    <s v="1409.8899999999999"/>
    <m/>
    <m/>
    <m/>
    <n v="0"/>
    <n v="0"/>
    <m/>
    <m/>
    <m/>
    <m/>
    <m/>
    <m/>
    <m/>
    <m/>
    <n v="0"/>
    <n v="0"/>
    <n v="0"/>
    <n v="12"/>
    <n v="12"/>
    <m/>
    <m/>
    <n v="0"/>
    <n v="183.21"/>
    <m/>
    <x v="17"/>
    <n v="50"/>
    <m/>
    <m/>
    <m/>
  </r>
  <r>
    <x v="0"/>
    <x v="3"/>
    <s v="5890 J"/>
    <x v="175"/>
    <s v="Shah Posh Plas Rwp"/>
    <s v="PP"/>
    <n v="21"/>
    <s v="10-10.5"/>
    <s v="PP"/>
    <n v="500"/>
    <s v="PP"/>
    <n v="1"/>
    <n v="60.16"/>
    <n v="2.1"/>
    <m/>
    <m/>
    <n v="58.059999999999995"/>
    <s v="515.91999999999996"/>
    <m/>
    <m/>
    <m/>
    <n v="0"/>
    <n v="0"/>
    <m/>
    <m/>
    <m/>
    <m/>
    <m/>
    <m/>
    <m/>
    <m/>
    <n v="0"/>
    <n v="0"/>
    <n v="0"/>
    <n v="12"/>
    <n v="12"/>
    <m/>
    <m/>
    <n v="0"/>
    <n v="65.16"/>
    <m/>
    <x v="17"/>
    <n v="50"/>
    <m/>
    <m/>
    <m/>
  </r>
  <r>
    <x v="0"/>
    <x v="3"/>
    <s v="2582 F"/>
    <x v="175"/>
    <s v="Usman Amin"/>
    <s v="PP"/>
    <n v="18"/>
    <s v="7"/>
    <s v="PP"/>
    <n v="325"/>
    <s v="PP"/>
    <n v="7"/>
    <n v="352.51"/>
    <n v="12.6"/>
    <m/>
    <m/>
    <n v="339.90999999999997"/>
    <s v="339.90999999999997"/>
    <m/>
    <m/>
    <m/>
    <n v="0"/>
    <n v="0"/>
    <m/>
    <m/>
    <m/>
    <m/>
    <m/>
    <m/>
    <m/>
    <m/>
    <n v="0"/>
    <n v="0"/>
    <n v="0"/>
    <n v="12"/>
    <n v="12"/>
    <m/>
    <m/>
    <n v="0"/>
    <n v="357.51"/>
    <m/>
    <x v="17"/>
    <n v="50"/>
    <m/>
    <m/>
    <m/>
  </r>
  <r>
    <x v="0"/>
    <x v="3"/>
    <s v="5876 J"/>
    <x v="175"/>
    <s v="Jilani Poly Stock"/>
    <s v="PP"/>
    <n v="18"/>
    <s v="5-5.5"/>
    <s v="PP"/>
    <n v="1000"/>
    <s v="PP"/>
    <n v="4"/>
    <n v="199.91"/>
    <n v="7.2"/>
    <m/>
    <m/>
    <n v="192.71"/>
    <s v="1170.7"/>
    <n v="30"/>
    <m/>
    <m/>
    <n v="30"/>
    <n v="0.5"/>
    <m/>
    <m/>
    <m/>
    <m/>
    <m/>
    <m/>
    <m/>
    <m/>
    <n v="0"/>
    <n v="0"/>
    <n v="0.5"/>
    <n v="11.5"/>
    <n v="12"/>
    <m/>
    <m/>
    <n v="0"/>
    <n v="204.91"/>
    <m/>
    <x v="17"/>
    <n v="50"/>
    <m/>
    <m/>
    <m/>
  </r>
  <r>
    <x v="0"/>
    <x v="3"/>
    <s v="7558/1"/>
    <x v="175"/>
    <s v="عاصم مدنی انارکلی"/>
    <s v="PP"/>
    <n v="18"/>
    <s v="7.5"/>
    <s v="PP"/>
    <n v="50"/>
    <s v="PP"/>
    <n v="4"/>
    <n v="174.31"/>
    <n v="7.2"/>
    <m/>
    <m/>
    <n v="167.11"/>
    <s v="167.11"/>
    <m/>
    <m/>
    <m/>
    <n v="0"/>
    <n v="0"/>
    <m/>
    <m/>
    <m/>
    <m/>
    <m/>
    <m/>
    <m/>
    <m/>
    <n v="0"/>
    <n v="0"/>
    <n v="0"/>
    <n v="12"/>
    <n v="12"/>
    <m/>
    <m/>
    <n v="0"/>
    <n v="179.31"/>
    <m/>
    <x v="17"/>
    <n v="50"/>
    <m/>
    <m/>
    <m/>
  </r>
  <r>
    <x v="1"/>
    <x v="3"/>
    <s v="5876 J"/>
    <x v="175"/>
    <s v="Jilani Poly Stock"/>
    <s v="PP"/>
    <n v="18"/>
    <s v="5-5.5"/>
    <s v="PP"/>
    <n v="1000"/>
    <s v="PP"/>
    <n v="14"/>
    <n v="782.72"/>
    <n v="25.2"/>
    <m/>
    <m/>
    <n v="757.52"/>
    <s v="1170.7"/>
    <m/>
    <m/>
    <m/>
    <n v="0"/>
    <n v="0"/>
    <m/>
    <m/>
    <m/>
    <m/>
    <m/>
    <m/>
    <m/>
    <m/>
    <n v="0"/>
    <n v="0"/>
    <n v="0"/>
    <n v="12"/>
    <n v="12"/>
    <m/>
    <m/>
    <n v="0"/>
    <n v="787.72"/>
    <m/>
    <x v="17"/>
    <n v="50"/>
    <m/>
    <m/>
    <m/>
  </r>
  <r>
    <x v="0"/>
    <x v="4"/>
    <s v="11/7"/>
    <x v="175"/>
    <s v="سٹاک"/>
    <s v="PP"/>
    <n v="11"/>
    <s v="5-5.5"/>
    <s v="PP"/>
    <n v="2000"/>
    <s v="PP"/>
    <n v="2"/>
    <n v="86.960000000000008"/>
    <n v="2.2000000000000002"/>
    <m/>
    <m/>
    <n v="84.76"/>
    <s v="2068.3000000000002"/>
    <m/>
    <m/>
    <m/>
    <n v="0"/>
    <n v="0"/>
    <m/>
    <m/>
    <m/>
    <m/>
    <m/>
    <m/>
    <m/>
    <m/>
    <n v="0"/>
    <n v="0"/>
    <n v="0"/>
    <n v="12"/>
    <n v="12"/>
    <m/>
    <m/>
    <n v="0"/>
    <n v="91.96"/>
    <m/>
    <x v="17"/>
    <n v="50"/>
    <m/>
    <m/>
    <m/>
  </r>
  <r>
    <x v="0"/>
    <x v="4"/>
    <s v="2594 F"/>
    <x v="175"/>
    <s v="Usman Amin"/>
    <s v="PP"/>
    <n v="13"/>
    <s v="8"/>
    <s v="PP"/>
    <n v="100"/>
    <s v="PP"/>
    <n v="4"/>
    <n v="216.64999999999998"/>
    <n v="5.2"/>
    <m/>
    <m/>
    <n v="211.45"/>
    <s v="211.45"/>
    <m/>
    <m/>
    <m/>
    <n v="0"/>
    <n v="0"/>
    <m/>
    <m/>
    <m/>
    <m/>
    <m/>
    <m/>
    <m/>
    <m/>
    <n v="0"/>
    <n v="0"/>
    <n v="0"/>
    <n v="12"/>
    <n v="12"/>
    <m/>
    <m/>
    <n v="0"/>
    <n v="221.65"/>
    <m/>
    <x v="17"/>
    <n v="50"/>
    <m/>
    <m/>
    <m/>
  </r>
  <r>
    <x v="0"/>
    <x v="4"/>
    <s v="7588/5"/>
    <x v="175"/>
    <s v="ہیڈ افس لاہور"/>
    <s v="PP"/>
    <n v="13"/>
    <s v="7"/>
    <s v="PP"/>
    <n v="200"/>
    <s v="PP"/>
    <n v="4"/>
    <n v="251.04000000000002"/>
    <n v="11.700000000000001"/>
    <n v="4.5"/>
    <m/>
    <n v="239.34000000000003"/>
    <s v="444.14000000000004"/>
    <n v="20"/>
    <m/>
    <m/>
    <n v="20"/>
    <n v="0.33333333333333331"/>
    <m/>
    <m/>
    <m/>
    <m/>
    <m/>
    <m/>
    <m/>
    <m/>
    <n v="0"/>
    <n v="0"/>
    <n v="0.33333333333333331"/>
    <n v="11.666666666666666"/>
    <n v="12"/>
    <m/>
    <m/>
    <n v="0"/>
    <n v="256.04000000000002"/>
    <m/>
    <x v="17"/>
    <n v="50"/>
    <m/>
    <m/>
    <m/>
  </r>
  <r>
    <x v="1"/>
    <x v="4"/>
    <s v="7588/5"/>
    <x v="175"/>
    <s v="ہیڈ افس لاہور"/>
    <s v="PP"/>
    <n v="13"/>
    <s v="7"/>
    <s v="PP"/>
    <n v="200"/>
    <s v="PP"/>
    <n v="4"/>
    <n v="211.28"/>
    <n v="6.48"/>
    <n v="4.5"/>
    <m/>
    <n v="204.8"/>
    <s v="444.14000000000004"/>
    <n v="20"/>
    <m/>
    <m/>
    <n v="20"/>
    <n v="0.33333333333333331"/>
    <m/>
    <m/>
    <m/>
    <m/>
    <m/>
    <m/>
    <m/>
    <m/>
    <n v="0"/>
    <n v="0"/>
    <n v="0.33333333333333331"/>
    <n v="11.666666666666666"/>
    <n v="12"/>
    <m/>
    <m/>
    <n v="0"/>
    <n v="216.28"/>
    <m/>
    <x v="17"/>
    <n v="50"/>
    <m/>
    <m/>
    <m/>
  </r>
  <r>
    <x v="1"/>
    <x v="4"/>
    <s v="7586/4"/>
    <x v="175"/>
    <s v="اصف پلاسٹک سرگو ھا"/>
    <s v="PP"/>
    <n v="12"/>
    <s v="4.5"/>
    <s v="PP"/>
    <n v="100"/>
    <s v="PP"/>
    <n v="3"/>
    <n v="196.44"/>
    <n v="4.3499999999999996"/>
    <m/>
    <m/>
    <n v="192.09"/>
    <s v="900.66"/>
    <m/>
    <m/>
    <m/>
    <n v="0"/>
    <n v="0"/>
    <m/>
    <m/>
    <m/>
    <m/>
    <m/>
    <m/>
    <m/>
    <m/>
    <n v="0"/>
    <n v="0"/>
    <n v="0"/>
    <n v="12"/>
    <n v="12"/>
    <m/>
    <m/>
    <n v="0"/>
    <n v="201.44"/>
    <m/>
    <x v="17"/>
    <n v="50"/>
    <m/>
    <m/>
    <m/>
  </r>
  <r>
    <x v="1"/>
    <x v="4"/>
    <s v="7576/1"/>
    <x v="175"/>
    <s v="منور قریشی میانوالی"/>
    <s v="PP"/>
    <n v="13"/>
    <s v="4.5"/>
    <s v="PP"/>
    <n v="100"/>
    <s v="PP"/>
    <n v="2"/>
    <n v="112.45"/>
    <n v="3.4"/>
    <m/>
    <m/>
    <n v="109.05"/>
    <s v="109.05"/>
    <m/>
    <m/>
    <m/>
    <n v="0"/>
    <n v="0"/>
    <m/>
    <m/>
    <m/>
    <m/>
    <m/>
    <m/>
    <m/>
    <m/>
    <n v="0"/>
    <n v="0"/>
    <n v="0"/>
    <n v="12"/>
    <n v="12"/>
    <m/>
    <m/>
    <n v="0"/>
    <n v="117.45"/>
    <m/>
    <x v="17"/>
    <n v="50"/>
    <m/>
    <m/>
    <m/>
  </r>
  <r>
    <x v="0"/>
    <x v="0"/>
    <s v="4/10"/>
    <x v="176"/>
    <s v="سٹاک"/>
    <s v="PP"/>
    <n v="4"/>
    <s v="5-5.5"/>
    <s v="PP"/>
    <n v="1000"/>
    <s v="PP"/>
    <n v="9"/>
    <n v="153.99"/>
    <n v="3.6"/>
    <n v="74"/>
    <m/>
    <n v="150.39000000000001"/>
    <s v="1014.8799999999999"/>
    <m/>
    <m/>
    <m/>
    <n v="0"/>
    <n v="0"/>
    <m/>
    <m/>
    <m/>
    <m/>
    <m/>
    <m/>
    <m/>
    <m/>
    <n v="0"/>
    <n v="0"/>
    <n v="0"/>
    <n v="12"/>
    <n v="12"/>
    <m/>
    <m/>
    <n v="0"/>
    <n v="158.99"/>
    <m/>
    <x v="17"/>
    <n v="50"/>
    <m/>
    <m/>
    <m/>
  </r>
  <r>
    <x v="1"/>
    <x v="0"/>
    <s v="4/10"/>
    <x v="176"/>
    <s v="سٹاک"/>
    <s v="PP"/>
    <n v="4"/>
    <s v="5-5.5"/>
    <s v="PP"/>
    <n v="1000"/>
    <s v="PP"/>
    <n v="8"/>
    <n v="152.62"/>
    <n v="3.2"/>
    <n v="69"/>
    <m/>
    <n v="149.42000000000002"/>
    <s v="1014.8799999999999"/>
    <m/>
    <m/>
    <m/>
    <n v="0"/>
    <n v="0"/>
    <m/>
    <m/>
    <m/>
    <m/>
    <m/>
    <m/>
    <m/>
    <m/>
    <n v="0"/>
    <n v="0"/>
    <n v="0"/>
    <n v="12"/>
    <n v="12"/>
    <m/>
    <m/>
    <n v="0"/>
    <n v="157.62"/>
    <m/>
    <x v="17"/>
    <n v="50"/>
    <m/>
    <m/>
    <m/>
  </r>
  <r>
    <x v="0"/>
    <x v="1"/>
    <s v="5/4"/>
    <x v="176"/>
    <s v="سٹاک"/>
    <s v="PP"/>
    <n v="5"/>
    <s v="5.5-6"/>
    <s v="PP"/>
    <n v="1000"/>
    <s v="PP"/>
    <n v="4"/>
    <n v="85.45"/>
    <n v="2"/>
    <m/>
    <m/>
    <n v="83.45"/>
    <s v="1409.8899999999999"/>
    <m/>
    <m/>
    <m/>
    <n v="0"/>
    <n v="0"/>
    <n v="240"/>
    <m/>
    <m/>
    <m/>
    <m/>
    <m/>
    <n v="20"/>
    <m/>
    <n v="260"/>
    <n v="4.333333333333333"/>
    <n v="4.333333333333333"/>
    <n v="7.666666666666667"/>
    <n v="12"/>
    <m/>
    <m/>
    <n v="0"/>
    <n v="90.45"/>
    <m/>
    <x v="17"/>
    <n v="50"/>
    <m/>
    <m/>
    <m/>
  </r>
  <r>
    <x v="1"/>
    <x v="1"/>
    <s v="5/4"/>
    <x v="176"/>
    <s v="سٹاک"/>
    <s v="PP"/>
    <n v="5"/>
    <s v="5.5-6"/>
    <s v="PP"/>
    <n v="1000"/>
    <s v="PP"/>
    <n v="8"/>
    <n v="174.79"/>
    <n v="4"/>
    <m/>
    <m/>
    <n v="170.79"/>
    <s v="1409.8899999999999"/>
    <m/>
    <m/>
    <m/>
    <n v="0"/>
    <n v="0"/>
    <m/>
    <m/>
    <m/>
    <m/>
    <m/>
    <m/>
    <m/>
    <m/>
    <n v="0"/>
    <n v="0"/>
    <n v="0"/>
    <n v="12"/>
    <n v="12"/>
    <m/>
    <m/>
    <n v="0"/>
    <n v="179.79"/>
    <m/>
    <x v="17"/>
    <n v="50"/>
    <m/>
    <m/>
    <m/>
  </r>
  <r>
    <x v="0"/>
    <x v="3"/>
    <s v="5876 J"/>
    <x v="176"/>
    <s v="Jilani Poly Stock"/>
    <s v="PP"/>
    <n v="18"/>
    <s v="5-5.5"/>
    <s v="PP"/>
    <n v="1000"/>
    <s v="PP"/>
    <n v="4"/>
    <n v="227.67"/>
    <n v="7.2"/>
    <m/>
    <m/>
    <n v="220.47"/>
    <s v="1170.7"/>
    <n v="40"/>
    <m/>
    <m/>
    <n v="40"/>
    <n v="0.66666666666666663"/>
    <n v="20"/>
    <m/>
    <m/>
    <m/>
    <m/>
    <m/>
    <m/>
    <m/>
    <n v="20"/>
    <n v="0.33333333333333331"/>
    <n v="1"/>
    <n v="11"/>
    <n v="12"/>
    <m/>
    <m/>
    <n v="0"/>
    <n v="232.67"/>
    <m/>
    <x v="17"/>
    <n v="50"/>
    <m/>
    <m/>
    <m/>
  </r>
  <r>
    <x v="0"/>
    <x v="3"/>
    <s v="2571 F"/>
    <x v="176"/>
    <s v="Usman Amin"/>
    <s v="PP"/>
    <n v="19"/>
    <s v="20"/>
    <s v="PP"/>
    <n v="3000"/>
    <s v="PP"/>
    <n v="12"/>
    <n v="433.92999999999995"/>
    <n v="22.799999999999997"/>
    <m/>
    <m/>
    <n v="411.12999999999994"/>
    <s v="4015.1600000000003"/>
    <m/>
    <m/>
    <m/>
    <n v="0"/>
    <n v="0"/>
    <m/>
    <m/>
    <m/>
    <m/>
    <m/>
    <m/>
    <m/>
    <m/>
    <n v="0"/>
    <n v="0"/>
    <n v="0"/>
    <n v="12"/>
    <n v="12"/>
    <m/>
    <m/>
    <n v="0"/>
    <n v="438.92999999999989"/>
    <m/>
    <x v="17"/>
    <n v="50"/>
    <m/>
    <m/>
    <m/>
  </r>
  <r>
    <x v="0"/>
    <x v="3"/>
    <s v="7586/9"/>
    <x v="176"/>
    <s v="اصف پلاسٹک سرگو ھا"/>
    <s v="PP"/>
    <n v="18"/>
    <s v="4.5"/>
    <s v="PP"/>
    <n v="150"/>
    <s v="PP"/>
    <n v="4"/>
    <n v="105.88000000000001"/>
    <n v="7.2"/>
    <m/>
    <m/>
    <n v="98.68"/>
    <s v="98.68"/>
    <m/>
    <m/>
    <m/>
    <n v="0"/>
    <n v="0"/>
    <m/>
    <m/>
    <m/>
    <m/>
    <m/>
    <m/>
    <m/>
    <m/>
    <n v="0"/>
    <n v="0"/>
    <n v="0"/>
    <n v="12"/>
    <n v="12"/>
    <m/>
    <m/>
    <n v="0"/>
    <n v="110.88"/>
    <m/>
    <x v="17"/>
    <n v="50"/>
    <m/>
    <m/>
    <m/>
  </r>
  <r>
    <x v="1"/>
    <x v="3"/>
    <s v="2571 F"/>
    <x v="176"/>
    <s v="Usman Amin"/>
    <s v="PP"/>
    <n v="19"/>
    <s v="20"/>
    <s v="PP"/>
    <n v="3000"/>
    <s v="PP"/>
    <n v="15"/>
    <n v="670.13"/>
    <n v="34.5"/>
    <m/>
    <m/>
    <n v="635.63"/>
    <s v="4015.1600000000003"/>
    <n v="30"/>
    <m/>
    <m/>
    <n v="30"/>
    <n v="0.5"/>
    <m/>
    <m/>
    <m/>
    <m/>
    <m/>
    <m/>
    <m/>
    <m/>
    <n v="0"/>
    <n v="0"/>
    <n v="0.5"/>
    <n v="11.5"/>
    <n v="12"/>
    <m/>
    <m/>
    <n v="0"/>
    <n v="675.13"/>
    <m/>
    <x v="17"/>
    <n v="50"/>
    <m/>
    <m/>
    <m/>
  </r>
  <r>
    <x v="1"/>
    <x v="3"/>
    <s v="2583 F"/>
    <x v="176"/>
    <s v="Usman Amin"/>
    <s v="PP"/>
    <n v="20"/>
    <s v="7.5-8"/>
    <s v="PP"/>
    <n v="100"/>
    <s v="PP"/>
    <n v="4"/>
    <n v="196.39"/>
    <n v="10"/>
    <m/>
    <m/>
    <n v="186.39"/>
    <s v="231.95999999999998"/>
    <m/>
    <m/>
    <m/>
    <n v="0"/>
    <n v="0"/>
    <m/>
    <m/>
    <m/>
    <m/>
    <m/>
    <m/>
    <m/>
    <m/>
    <n v="0"/>
    <n v="0"/>
    <n v="0"/>
    <n v="12"/>
    <n v="12"/>
    <m/>
    <m/>
    <n v="0"/>
    <n v="201.39"/>
    <m/>
    <x v="17"/>
    <n v="50"/>
    <m/>
    <m/>
    <m/>
  </r>
  <r>
    <x v="0"/>
    <x v="4"/>
    <s v="7586/4"/>
    <x v="176"/>
    <s v="اصف پلاسٹک سرگو ھا"/>
    <s v="PP"/>
    <n v="12"/>
    <s v="4.5"/>
    <s v="PP"/>
    <n v="100"/>
    <s v="PP"/>
    <n v="9"/>
    <n v="516.62"/>
    <n v="10.799999999999999"/>
    <n v="4"/>
    <m/>
    <n v="505.82"/>
    <s v="900.66"/>
    <m/>
    <m/>
    <m/>
    <n v="0"/>
    <n v="0"/>
    <m/>
    <m/>
    <m/>
    <m/>
    <m/>
    <m/>
    <m/>
    <m/>
    <n v="0"/>
    <n v="0"/>
    <n v="0"/>
    <n v="12"/>
    <n v="12"/>
    <m/>
    <m/>
    <n v="0"/>
    <n v="521.62"/>
    <m/>
    <x v="17"/>
    <n v="50"/>
    <m/>
    <m/>
    <m/>
  </r>
  <r>
    <x v="1"/>
    <x v="4"/>
    <s v="7586/4"/>
    <x v="176"/>
    <s v="اصف پلاسٹک سرگو ھا"/>
    <s v="PP"/>
    <n v="12"/>
    <s v="4.5"/>
    <s v="PP"/>
    <n v="100"/>
    <s v="PP"/>
    <n v="3"/>
    <n v="206.95000000000002"/>
    <n v="4.1999999999999993"/>
    <n v="4"/>
    <m/>
    <n v="202.75000000000003"/>
    <s v="900.66"/>
    <m/>
    <m/>
    <m/>
    <n v="0"/>
    <n v="0"/>
    <m/>
    <m/>
    <m/>
    <m/>
    <m/>
    <m/>
    <m/>
    <m/>
    <n v="0"/>
    <n v="0"/>
    <n v="0"/>
    <n v="12"/>
    <n v="12"/>
    <m/>
    <m/>
    <n v="0"/>
    <n v="211.95"/>
    <m/>
    <x v="17"/>
    <n v="50"/>
    <m/>
    <m/>
    <m/>
  </r>
  <r>
    <x v="1"/>
    <x v="4"/>
    <s v="12/11"/>
    <x v="176"/>
    <s v="سٹاک"/>
    <s v="PP"/>
    <n v="12"/>
    <n v="5"/>
    <s v="PP"/>
    <n v="2000"/>
    <s v="PP"/>
    <n v="6"/>
    <n v="336.79"/>
    <n v="8.1000000000000014"/>
    <m/>
    <m/>
    <n v="328.69"/>
    <s v="2104.27"/>
    <m/>
    <m/>
    <m/>
    <n v="0"/>
    <n v="0"/>
    <m/>
    <m/>
    <m/>
    <m/>
    <m/>
    <m/>
    <m/>
    <m/>
    <n v="0"/>
    <n v="0"/>
    <n v="0"/>
    <n v="12"/>
    <n v="12"/>
    <m/>
    <m/>
    <n v="0"/>
    <n v="341.79"/>
    <m/>
    <x v="17"/>
    <n v="50"/>
    <m/>
    <m/>
    <m/>
  </r>
  <r>
    <x v="0"/>
    <x v="0"/>
    <s v="4/10"/>
    <x v="177"/>
    <s v="سٹاک"/>
    <s v="PP"/>
    <n v="4"/>
    <s v="5-5.5"/>
    <s v="PP"/>
    <n v="1000"/>
    <s v="PP"/>
    <n v="9"/>
    <n v="157.94"/>
    <n v="3.6"/>
    <n v="23"/>
    <m/>
    <n v="154.34"/>
    <s v="1014.8799999999999"/>
    <m/>
    <m/>
    <m/>
    <n v="0"/>
    <n v="0"/>
    <m/>
    <m/>
    <m/>
    <m/>
    <m/>
    <m/>
    <m/>
    <m/>
    <n v="0"/>
    <n v="0"/>
    <n v="0"/>
    <n v="12"/>
    <n v="12"/>
    <m/>
    <m/>
    <n v="0"/>
    <n v="162.94"/>
    <m/>
    <x v="17"/>
    <n v="50"/>
    <m/>
    <m/>
    <m/>
  </r>
  <r>
    <x v="1"/>
    <x v="0"/>
    <s v="4/10"/>
    <x v="177"/>
    <s v="سٹاک"/>
    <s v="PP"/>
    <n v="4"/>
    <s v="5-5.5"/>
    <s v="PP"/>
    <n v="1000"/>
    <s v="PP"/>
    <n v="6"/>
    <n v="114.2"/>
    <n v="2.4000000000000004"/>
    <m/>
    <m/>
    <n v="111.8"/>
    <s v="1014.8799999999999"/>
    <m/>
    <m/>
    <n v="120"/>
    <n v="120"/>
    <n v="2"/>
    <m/>
    <m/>
    <m/>
    <m/>
    <m/>
    <m/>
    <m/>
    <m/>
    <n v="0"/>
    <n v="0"/>
    <n v="2"/>
    <n v="10"/>
    <n v="12"/>
    <m/>
    <m/>
    <n v="0"/>
    <n v="119.2"/>
    <m/>
    <x v="17"/>
    <n v="50"/>
    <m/>
    <m/>
    <m/>
  </r>
  <r>
    <x v="0"/>
    <x v="1"/>
    <s v="5/4"/>
    <x v="177"/>
    <s v="سٹاک"/>
    <s v="PP"/>
    <n v="5"/>
    <s v="5.5-6"/>
    <s v="PP"/>
    <n v="1000"/>
    <s v="PP"/>
    <n v="8"/>
    <n v="166.8"/>
    <n v="4"/>
    <m/>
    <m/>
    <n v="162.80000000000001"/>
    <s v="1409.8899999999999"/>
    <m/>
    <m/>
    <m/>
    <n v="0"/>
    <n v="0"/>
    <m/>
    <m/>
    <m/>
    <m/>
    <m/>
    <m/>
    <m/>
    <m/>
    <n v="0"/>
    <n v="0"/>
    <n v="0"/>
    <n v="12"/>
    <n v="12"/>
    <m/>
    <m/>
    <n v="0"/>
    <n v="171.8"/>
    <m/>
    <x v="17"/>
    <n v="50"/>
    <m/>
    <m/>
    <m/>
  </r>
  <r>
    <x v="1"/>
    <x v="1"/>
    <s v="5/4"/>
    <x v="177"/>
    <s v="سٹاک"/>
    <s v="PP"/>
    <n v="5"/>
    <s v="5.5-6"/>
    <s v="PP"/>
    <n v="1000"/>
    <s v="PP"/>
    <n v="6"/>
    <n v="132.5"/>
    <n v="3"/>
    <m/>
    <m/>
    <n v="129.5"/>
    <s v="1409.8899999999999"/>
    <m/>
    <m/>
    <n v="120"/>
    <n v="120"/>
    <n v="2"/>
    <m/>
    <m/>
    <m/>
    <m/>
    <m/>
    <m/>
    <m/>
    <m/>
    <n v="0"/>
    <n v="0"/>
    <n v="2"/>
    <n v="10"/>
    <n v="12"/>
    <m/>
    <m/>
    <n v="0"/>
    <n v="137.5"/>
    <m/>
    <x v="17"/>
    <n v="50"/>
    <m/>
    <m/>
    <m/>
  </r>
  <r>
    <x v="0"/>
    <x v="3"/>
    <s v="2583 F"/>
    <x v="177"/>
    <s v="Usman Amin"/>
    <s v="PP"/>
    <n v="20"/>
    <s v="7.5-8"/>
    <s v="PP"/>
    <n v="100"/>
    <s v="PP"/>
    <n v="1"/>
    <n v="47.57"/>
    <n v="2"/>
    <m/>
    <m/>
    <n v="45.57"/>
    <s v="231.95999999999998"/>
    <n v="25"/>
    <m/>
    <m/>
    <n v="25"/>
    <n v="0.41666666666666674"/>
    <m/>
    <m/>
    <n v="150"/>
    <m/>
    <m/>
    <m/>
    <m/>
    <m/>
    <n v="150"/>
    <n v="2.5"/>
    <n v="2.9166666666666665"/>
    <n v="9.0833333333333339"/>
    <n v="12"/>
    <m/>
    <m/>
    <n v="0"/>
    <n v="52.57"/>
    <m/>
    <x v="17"/>
    <n v="50"/>
    <m/>
    <m/>
    <m/>
  </r>
  <r>
    <x v="0"/>
    <x v="3"/>
    <s v="7588/10"/>
    <x v="177"/>
    <s v="ہیڈ افس لاہور"/>
    <s v="PP"/>
    <n v="16"/>
    <s v="7"/>
    <s v="PP"/>
    <n v="125"/>
    <s v="PP"/>
    <n v="3"/>
    <n v="112.36"/>
    <n v="4.8000000000000007"/>
    <m/>
    <m/>
    <n v="107.56"/>
    <s v="107.56"/>
    <n v="25"/>
    <m/>
    <m/>
    <n v="25"/>
    <n v="0.41666666666666674"/>
    <m/>
    <m/>
    <m/>
    <m/>
    <m/>
    <m/>
    <m/>
    <m/>
    <n v="0"/>
    <n v="0"/>
    <n v="0.41666666666666674"/>
    <n v="11.583333333333334"/>
    <n v="12"/>
    <m/>
    <m/>
    <n v="0"/>
    <n v="117.36"/>
    <m/>
    <x v="17"/>
    <n v="50"/>
    <m/>
    <m/>
    <m/>
  </r>
  <r>
    <x v="0"/>
    <x v="3"/>
    <s v="16/3"/>
    <x v="177"/>
    <s v="سٹاک"/>
    <s v="PP"/>
    <n v="16"/>
    <n v="5"/>
    <s v="PP"/>
    <n v="1000"/>
    <s v="PP"/>
    <n v="1"/>
    <n v="49.5"/>
    <n v="1.6"/>
    <m/>
    <m/>
    <n v="47.9"/>
    <s v="1265.21"/>
    <m/>
    <m/>
    <m/>
    <n v="0"/>
    <n v="0"/>
    <m/>
    <m/>
    <m/>
    <m/>
    <m/>
    <m/>
    <m/>
    <m/>
    <n v="0"/>
    <n v="0"/>
    <n v="0"/>
    <n v="12"/>
    <n v="12"/>
    <m/>
    <m/>
    <n v="0"/>
    <n v="54.5"/>
    <m/>
    <x v="17"/>
    <n v="50"/>
    <m/>
    <m/>
    <m/>
  </r>
  <r>
    <x v="0"/>
    <x v="3"/>
    <s v="6148 J"/>
    <x v="177"/>
    <s v="Bundu Khan Lahore"/>
    <s v="PP"/>
    <n v="16"/>
    <s v="4-4.5/8-9"/>
    <s v="PP"/>
    <n v="200"/>
    <s v="PP"/>
    <n v="4"/>
    <n v="210.14999999999998"/>
    <n v="6.4"/>
    <m/>
    <m/>
    <n v="203.74999999999997"/>
    <s v="203.74999999999997"/>
    <m/>
    <m/>
    <m/>
    <n v="0"/>
    <n v="0"/>
    <m/>
    <m/>
    <m/>
    <m/>
    <m/>
    <m/>
    <m/>
    <m/>
    <n v="0"/>
    <n v="0"/>
    <n v="0"/>
    <n v="12"/>
    <n v="12"/>
    <m/>
    <m/>
    <n v="0"/>
    <n v="215.15"/>
    <m/>
    <x v="17"/>
    <n v="50"/>
    <m/>
    <m/>
    <m/>
  </r>
  <r>
    <x v="0"/>
    <x v="3"/>
    <s v="6149 J"/>
    <x v="177"/>
    <s v="Bundu Khan Lahore"/>
    <s v="PP"/>
    <n v="10"/>
    <s v="4-4.5/8-9"/>
    <s v="PP"/>
    <n v="200"/>
    <s v="PP"/>
    <n v="2"/>
    <n v="115.74"/>
    <n v="2.8"/>
    <m/>
    <m/>
    <n v="112.94"/>
    <s v="210.62"/>
    <m/>
    <m/>
    <m/>
    <n v="0"/>
    <n v="0"/>
    <m/>
    <m/>
    <m/>
    <m/>
    <m/>
    <m/>
    <m/>
    <m/>
    <n v="0"/>
    <n v="0"/>
    <n v="0"/>
    <n v="12"/>
    <n v="12"/>
    <m/>
    <m/>
    <n v="0"/>
    <n v="120.74"/>
    <m/>
    <x v="17"/>
    <n v="50"/>
    <m/>
    <m/>
    <m/>
  </r>
  <r>
    <x v="1"/>
    <x v="3"/>
    <s v="6149 J"/>
    <x v="177"/>
    <s v="Bundu Khan Lahore"/>
    <s v="PP"/>
    <n v="10"/>
    <s v="4-4.5/8-9"/>
    <s v="PP"/>
    <n v="200"/>
    <s v="PP"/>
    <n v="2"/>
    <n v="101.08"/>
    <n v="3.4"/>
    <m/>
    <m/>
    <n v="97.679999999999993"/>
    <s v="210.62"/>
    <m/>
    <m/>
    <n v="120"/>
    <n v="120"/>
    <n v="2"/>
    <m/>
    <m/>
    <m/>
    <m/>
    <m/>
    <m/>
    <m/>
    <m/>
    <n v="0"/>
    <n v="0"/>
    <n v="2"/>
    <n v="10"/>
    <n v="12"/>
    <m/>
    <m/>
    <n v="0"/>
    <n v="106.08"/>
    <m/>
    <x v="17"/>
    <n v="50"/>
    <m/>
    <m/>
    <m/>
  </r>
  <r>
    <x v="1"/>
    <x v="3"/>
    <s v="7572/1"/>
    <x v="177"/>
    <s v="محبوب مقبول گوجرانوالہ"/>
    <s v="PP"/>
    <n v="14"/>
    <s v="6.5-7"/>
    <s v="PP"/>
    <n v="100"/>
    <s v="PP"/>
    <n v="2"/>
    <n v="104.47999999999999"/>
    <n v="3.4"/>
    <m/>
    <m/>
    <n v="101.07999999999998"/>
    <s v="187.37"/>
    <m/>
    <m/>
    <m/>
    <n v="0"/>
    <n v="0"/>
    <m/>
    <m/>
    <m/>
    <m/>
    <m/>
    <m/>
    <m/>
    <m/>
    <n v="0"/>
    <n v="0"/>
    <n v="0"/>
    <n v="12"/>
    <n v="12"/>
    <m/>
    <m/>
    <n v="0"/>
    <n v="109.48"/>
    <m/>
    <x v="17"/>
    <n v="50"/>
    <m/>
    <m/>
    <m/>
  </r>
  <r>
    <x v="1"/>
    <x v="3"/>
    <s v="14/5"/>
    <x v="177"/>
    <s v="سٹاک"/>
    <s v="PP"/>
    <n v="14"/>
    <n v="5"/>
    <s v="PP"/>
    <n v="1000"/>
    <s v="PP"/>
    <n v="3"/>
    <n v="160.5"/>
    <n v="3.9000000000000004"/>
    <m/>
    <m/>
    <n v="156.6"/>
    <s v="2546.6099999999997"/>
    <m/>
    <m/>
    <m/>
    <n v="0"/>
    <n v="0"/>
    <m/>
    <m/>
    <m/>
    <m/>
    <m/>
    <m/>
    <m/>
    <m/>
    <n v="0"/>
    <n v="0"/>
    <n v="0"/>
    <n v="12"/>
    <n v="12"/>
    <m/>
    <m/>
    <n v="0"/>
    <n v="165.5"/>
    <m/>
    <x v="17"/>
    <n v="50"/>
    <m/>
    <m/>
    <m/>
  </r>
  <r>
    <x v="1"/>
    <x v="3"/>
    <s v="7588/6"/>
    <x v="177"/>
    <s v="ہیڈ افس لاہور"/>
    <s v="PP"/>
    <n v="14"/>
    <s v="7"/>
    <s v="PP"/>
    <n v="200"/>
    <s v="PP"/>
    <n v="5"/>
    <n v="212.27"/>
    <n v="8.5"/>
    <m/>
    <m/>
    <n v="203.77"/>
    <s v="203.77"/>
    <m/>
    <m/>
    <m/>
    <n v="0"/>
    <n v="0"/>
    <m/>
    <m/>
    <m/>
    <m/>
    <m/>
    <m/>
    <m/>
    <m/>
    <n v="0"/>
    <n v="0"/>
    <n v="0"/>
    <n v="12"/>
    <n v="12"/>
    <m/>
    <m/>
    <n v="0"/>
    <n v="217.27"/>
    <m/>
    <x v="17"/>
    <n v="50"/>
    <m/>
    <m/>
    <m/>
  </r>
  <r>
    <x v="0"/>
    <x v="4"/>
    <s v="12/11"/>
    <x v="177"/>
    <s v="سٹاک"/>
    <s v="PP"/>
    <n v="12"/>
    <n v="5"/>
    <s v="PP"/>
    <n v="2000"/>
    <s v="PP"/>
    <n v="10"/>
    <n v="597.26"/>
    <n v="12"/>
    <m/>
    <m/>
    <n v="585.26"/>
    <s v="2104.27"/>
    <m/>
    <m/>
    <m/>
    <n v="0"/>
    <n v="0"/>
    <m/>
    <m/>
    <m/>
    <m/>
    <m/>
    <m/>
    <m/>
    <m/>
    <n v="0"/>
    <n v="0"/>
    <n v="0"/>
    <n v="12"/>
    <n v="12"/>
    <m/>
    <m/>
    <n v="0"/>
    <n v="602.26"/>
    <m/>
    <x v="17"/>
    <n v="50"/>
    <m/>
    <m/>
    <m/>
  </r>
  <r>
    <x v="1"/>
    <x v="4"/>
    <s v="12/11"/>
    <x v="177"/>
    <s v="سٹاک"/>
    <s v="PP"/>
    <n v="12"/>
    <n v="5"/>
    <s v="PP"/>
    <n v="2000"/>
    <s v="PP"/>
    <n v="10"/>
    <n v="509.13"/>
    <n v="12"/>
    <m/>
    <m/>
    <n v="497.13"/>
    <s v="2104.27"/>
    <m/>
    <m/>
    <n v="120"/>
    <n v="120"/>
    <n v="2"/>
    <m/>
    <m/>
    <m/>
    <m/>
    <m/>
    <m/>
    <m/>
    <m/>
    <n v="0"/>
    <n v="0"/>
    <n v="2"/>
    <n v="10"/>
    <n v="12"/>
    <m/>
    <m/>
    <n v="0"/>
    <n v="514.13"/>
    <m/>
    <x v="6"/>
    <n v="50"/>
    <m/>
    <m/>
    <m/>
  </r>
  <r>
    <x v="0"/>
    <x v="0"/>
    <s v="2.5/4"/>
    <x v="178"/>
    <s v="سٹاک"/>
    <s v="PP"/>
    <n v="2.5"/>
    <s v="5.5-6"/>
    <s v="PP"/>
    <n v="1000"/>
    <s v="PP"/>
    <n v="5"/>
    <n v="89.81"/>
    <n v="1"/>
    <n v="30"/>
    <m/>
    <n v="88.81"/>
    <s v="1310.6899999999998"/>
    <m/>
    <n v="230"/>
    <m/>
    <n v="230"/>
    <n v="3.8333333333333335"/>
    <m/>
    <m/>
    <m/>
    <m/>
    <m/>
    <m/>
    <m/>
    <m/>
    <n v="0"/>
    <n v="0"/>
    <n v="3.8333333333333335"/>
    <n v="8.1666666666666661"/>
    <n v="12"/>
    <m/>
    <m/>
    <n v="0"/>
    <n v="94.81"/>
    <m/>
    <x v="18"/>
    <n v="51"/>
    <m/>
    <m/>
    <m/>
  </r>
  <r>
    <x v="1"/>
    <x v="0"/>
    <s v="2.5/4"/>
    <x v="178"/>
    <s v="سٹاک"/>
    <s v="PP"/>
    <n v="2.5"/>
    <s v="5.5-6"/>
    <s v="PP"/>
    <n v="1000"/>
    <s v="PP"/>
    <n v="9"/>
    <n v="126.39999999999999"/>
    <n v="1.8"/>
    <n v="36"/>
    <m/>
    <n v="124.6"/>
    <s v="1310.6899999999998"/>
    <m/>
    <m/>
    <m/>
    <n v="0"/>
    <n v="0"/>
    <m/>
    <m/>
    <n v="30"/>
    <m/>
    <m/>
    <m/>
    <m/>
    <m/>
    <n v="30"/>
    <n v="0.5"/>
    <n v="0.5"/>
    <n v="11.5"/>
    <n v="12"/>
    <m/>
    <m/>
    <n v="0"/>
    <n v="131.39999999999998"/>
    <m/>
    <x v="18"/>
    <n v="51"/>
    <m/>
    <m/>
    <m/>
  </r>
  <r>
    <x v="0"/>
    <x v="1"/>
    <s v="4/10"/>
    <x v="178"/>
    <s v="سٹاک"/>
    <s v="PP"/>
    <n v="4"/>
    <s v="5-5.5"/>
    <s v="PP"/>
    <n v="1000"/>
    <s v="PP"/>
    <n v="6"/>
    <n v="75.779999999999987"/>
    <n v="2.4000000000000004"/>
    <m/>
    <m/>
    <n v="73.379999999999981"/>
    <s v="1014.8799999999999"/>
    <m/>
    <n v="230"/>
    <m/>
    <n v="230"/>
    <n v="3.8333333333333335"/>
    <m/>
    <m/>
    <m/>
    <m/>
    <m/>
    <m/>
    <m/>
    <m/>
    <n v="0"/>
    <n v="0"/>
    <n v="3.8333333333333335"/>
    <n v="8.1666666666666661"/>
    <n v="12"/>
    <m/>
    <m/>
    <n v="0"/>
    <n v="80.779999999999987"/>
    <m/>
    <x v="18"/>
    <n v="51"/>
    <m/>
    <m/>
    <m/>
  </r>
  <r>
    <x v="1"/>
    <x v="1"/>
    <s v="4/10"/>
    <x v="178"/>
    <s v="سٹاک"/>
    <s v="PP"/>
    <n v="4"/>
    <s v="5-5.5"/>
    <s v="PP"/>
    <n v="1000"/>
    <s v="PP"/>
    <n v="6"/>
    <n v="115.97"/>
    <n v="2.4000000000000004"/>
    <m/>
    <m/>
    <n v="113.57"/>
    <s v="1014.8799999999999"/>
    <n v="30"/>
    <m/>
    <m/>
    <n v="30"/>
    <n v="0.5"/>
    <m/>
    <m/>
    <m/>
    <m/>
    <m/>
    <m/>
    <m/>
    <m/>
    <n v="0"/>
    <n v="0"/>
    <n v="0.5"/>
    <n v="11.5"/>
    <n v="12"/>
    <m/>
    <m/>
    <n v="0"/>
    <n v="120.97"/>
    <m/>
    <x v="18"/>
    <n v="51"/>
    <m/>
    <m/>
    <m/>
  </r>
  <r>
    <x v="1"/>
    <x v="1"/>
    <s v="2/5"/>
    <x v="178"/>
    <s v="سٹاک"/>
    <s v="PP"/>
    <n v="2"/>
    <s v="5.5-6"/>
    <s v="PP"/>
    <s v=" رول بیگ 15"/>
    <s v="PP"/>
    <n v="2"/>
    <n v="18.22"/>
    <n v="0.4"/>
    <m/>
    <m/>
    <n v="17.82"/>
    <s v="393.87"/>
    <m/>
    <m/>
    <m/>
    <n v="0"/>
    <n v="0"/>
    <m/>
    <m/>
    <m/>
    <m/>
    <m/>
    <m/>
    <m/>
    <m/>
    <n v="0"/>
    <n v="0"/>
    <n v="0"/>
    <n v="12"/>
    <n v="12"/>
    <m/>
    <m/>
    <n v="0"/>
    <n v="23.22"/>
    <m/>
    <x v="18"/>
    <n v="51"/>
    <m/>
    <m/>
    <m/>
  </r>
  <r>
    <x v="0"/>
    <x v="3"/>
    <s v="7588/1"/>
    <x v="178"/>
    <s v="ہیڈ افس لاہور"/>
    <s v="PP"/>
    <n v="28"/>
    <s v="5"/>
    <s v="PP"/>
    <n v="125"/>
    <s v="PP"/>
    <n v="8"/>
    <n v="425.62"/>
    <n v="22.4"/>
    <m/>
    <m/>
    <n v="403.22"/>
    <s v="1612.44"/>
    <m/>
    <n v="230"/>
    <m/>
    <n v="230"/>
    <n v="3.8333333333333335"/>
    <m/>
    <m/>
    <m/>
    <m/>
    <m/>
    <m/>
    <n v="120"/>
    <m/>
    <n v="120"/>
    <n v="2"/>
    <n v="5.8333333333333339"/>
    <n v="6.1666666666666661"/>
    <n v="12"/>
    <m/>
    <m/>
    <n v="0"/>
    <n v="430.62"/>
    <m/>
    <x v="18"/>
    <n v="51"/>
    <m/>
    <m/>
    <m/>
  </r>
  <r>
    <x v="1"/>
    <x v="3"/>
    <s v="7588/1"/>
    <x v="178"/>
    <s v="ہیڈ افس لاہور"/>
    <s v="PP"/>
    <n v="28"/>
    <s v="5"/>
    <s v="PP"/>
    <n v="125"/>
    <s v="PP"/>
    <n v="10"/>
    <n v="678.45"/>
    <n v="28"/>
    <m/>
    <m/>
    <n v="650.45000000000005"/>
    <s v="1612.44"/>
    <m/>
    <m/>
    <m/>
    <n v="0"/>
    <n v="0"/>
    <m/>
    <m/>
    <n v="105"/>
    <m/>
    <m/>
    <m/>
    <m/>
    <m/>
    <n v="105"/>
    <n v="1.75"/>
    <n v="1.75"/>
    <n v="10.25"/>
    <n v="12"/>
    <m/>
    <m/>
    <n v="0"/>
    <n v="683.45"/>
    <m/>
    <x v="18"/>
    <n v="51"/>
    <m/>
    <m/>
    <m/>
  </r>
  <r>
    <x v="0"/>
    <x v="4"/>
    <s v="12/11"/>
    <x v="178"/>
    <s v="سٹاک"/>
    <s v="PP"/>
    <n v="12"/>
    <n v="5"/>
    <s v="PP"/>
    <n v="2000"/>
    <s v="PP"/>
    <n v="7"/>
    <n v="443.93"/>
    <n v="9.7999999999999989"/>
    <n v="2"/>
    <m/>
    <n v="434.13"/>
    <s v="2104.27"/>
    <m/>
    <n v="180"/>
    <m/>
    <n v="180"/>
    <n v="3"/>
    <m/>
    <m/>
    <m/>
    <m/>
    <m/>
    <m/>
    <m/>
    <m/>
    <n v="0"/>
    <n v="0"/>
    <n v="3"/>
    <n v="9"/>
    <n v="12"/>
    <m/>
    <m/>
    <n v="0"/>
    <n v="448.93"/>
    <m/>
    <x v="18"/>
    <n v="51"/>
    <m/>
    <m/>
    <m/>
  </r>
  <r>
    <x v="1"/>
    <x v="4"/>
    <s v="12/11"/>
    <x v="178"/>
    <s v="سٹاک"/>
    <s v="PP"/>
    <n v="12"/>
    <n v="5"/>
    <s v="PP"/>
    <n v="2000"/>
    <s v="PP"/>
    <n v="4"/>
    <n v="263.86"/>
    <n v="4.8"/>
    <n v="2"/>
    <m/>
    <n v="259.06"/>
    <s v="2104.27"/>
    <n v="25"/>
    <m/>
    <m/>
    <n v="25"/>
    <n v="0.41666666666666674"/>
    <m/>
    <m/>
    <n v="60"/>
    <m/>
    <m/>
    <m/>
    <m/>
    <m/>
    <n v="60"/>
    <n v="1"/>
    <n v="1.4166666666666667"/>
    <n v="10.583333333333334"/>
    <n v="12"/>
    <m/>
    <m/>
    <n v="0"/>
    <n v="268.86"/>
    <m/>
    <x v="18"/>
    <n v="51"/>
    <m/>
    <m/>
    <m/>
  </r>
  <r>
    <x v="1"/>
    <x v="4"/>
    <s v="7589/1"/>
    <x v="178"/>
    <s v="MTM شاہ عالم"/>
    <s v="PP"/>
    <n v="9"/>
    <s v="7"/>
    <s v="PP"/>
    <n v="500"/>
    <s v="PP"/>
    <n v="4"/>
    <n v="225.45"/>
    <n v="3.6"/>
    <m/>
    <m/>
    <n v="221.85"/>
    <s v="527"/>
    <m/>
    <m/>
    <m/>
    <n v="0"/>
    <n v="0"/>
    <m/>
    <m/>
    <m/>
    <m/>
    <m/>
    <m/>
    <m/>
    <m/>
    <n v="0"/>
    <n v="0"/>
    <n v="0"/>
    <n v="12"/>
    <n v="12"/>
    <m/>
    <m/>
    <n v="0"/>
    <n v="230.45"/>
    <m/>
    <x v="18"/>
    <n v="51"/>
    <m/>
    <m/>
    <m/>
  </r>
  <r>
    <x v="0"/>
    <x v="0"/>
    <s v="2.5/7"/>
    <x v="179"/>
    <s v="سٹاک"/>
    <s v="PP"/>
    <n v="2.5"/>
    <s v="5.5-6"/>
    <s v="PP"/>
    <n v="1500"/>
    <s v="PP"/>
    <n v="9"/>
    <n v="122.88"/>
    <n v="1.8"/>
    <m/>
    <m/>
    <n v="121.08"/>
    <s v="1775.1299999999999"/>
    <m/>
    <m/>
    <m/>
    <n v="0"/>
    <n v="0"/>
    <m/>
    <m/>
    <m/>
    <m/>
    <m/>
    <m/>
    <m/>
    <m/>
    <n v="0"/>
    <n v="0"/>
    <n v="0"/>
    <n v="12"/>
    <n v="12"/>
    <m/>
    <m/>
    <n v="0"/>
    <n v="127.88"/>
    <m/>
    <x v="18"/>
    <n v="51"/>
    <m/>
    <m/>
    <m/>
  </r>
  <r>
    <x v="1"/>
    <x v="0"/>
    <s v="2.5/7"/>
    <x v="179"/>
    <s v="سٹاک"/>
    <s v="PP"/>
    <n v="2.5"/>
    <s v="5.5-6"/>
    <s v="PP"/>
    <n v="1500"/>
    <s v="PP"/>
    <n v="10"/>
    <n v="137.35999999999999"/>
    <n v="2"/>
    <m/>
    <m/>
    <n v="135.35999999999999"/>
    <s v="1775.1299999999999"/>
    <m/>
    <m/>
    <m/>
    <n v="0"/>
    <n v="0"/>
    <m/>
    <m/>
    <m/>
    <m/>
    <m/>
    <m/>
    <m/>
    <m/>
    <n v="0"/>
    <n v="0"/>
    <n v="0"/>
    <n v="12"/>
    <n v="12"/>
    <m/>
    <m/>
    <n v="0"/>
    <n v="142.36000000000001"/>
    <m/>
    <x v="18"/>
    <n v="51"/>
    <m/>
    <m/>
    <m/>
  </r>
  <r>
    <x v="0"/>
    <x v="1"/>
    <s v="2/5"/>
    <x v="179"/>
    <s v="سٹاک"/>
    <s v="PP"/>
    <n v="2"/>
    <s v="5.5-6"/>
    <s v="PP"/>
    <s v=" رول بیگ 15"/>
    <s v="PP"/>
    <n v="5"/>
    <n v="85.94"/>
    <n v="1"/>
    <m/>
    <m/>
    <n v="84.94"/>
    <s v="393.87"/>
    <n v="40"/>
    <m/>
    <m/>
    <n v="40"/>
    <n v="0.66666666666666663"/>
    <m/>
    <m/>
    <m/>
    <m/>
    <m/>
    <m/>
    <m/>
    <m/>
    <n v="0"/>
    <n v="0"/>
    <n v="0.66666666666666663"/>
    <n v="11.333333333333334"/>
    <n v="12"/>
    <m/>
    <m/>
    <n v="0"/>
    <n v="90.94"/>
    <m/>
    <x v="18"/>
    <n v="51"/>
    <m/>
    <m/>
    <m/>
  </r>
  <r>
    <x v="0"/>
    <x v="1"/>
    <s v="6/9"/>
    <x v="179"/>
    <s v="سٹاک"/>
    <s v="PP"/>
    <n v="6"/>
    <n v="5"/>
    <s v="PP"/>
    <n v="1000"/>
    <s v="PP"/>
    <n v="2"/>
    <n v="39.43"/>
    <n v="1.2"/>
    <m/>
    <m/>
    <n v="38.229999999999997"/>
    <s v="1388.43"/>
    <m/>
    <m/>
    <m/>
    <n v="0"/>
    <n v="0"/>
    <m/>
    <m/>
    <m/>
    <m/>
    <m/>
    <m/>
    <m/>
    <m/>
    <n v="0"/>
    <n v="0"/>
    <n v="0"/>
    <n v="12"/>
    <n v="12"/>
    <m/>
    <m/>
    <n v="0"/>
    <n v="44.43"/>
    <m/>
    <x v="18"/>
    <n v="51"/>
    <m/>
    <m/>
    <m/>
  </r>
  <r>
    <x v="1"/>
    <x v="1"/>
    <s v="6/9"/>
    <x v="179"/>
    <s v="سٹاک"/>
    <s v="PP"/>
    <n v="6"/>
    <n v="5"/>
    <s v="PP"/>
    <n v="1000"/>
    <s v="PP"/>
    <n v="2"/>
    <n v="48.5"/>
    <n v="1.4"/>
    <m/>
    <m/>
    <n v="47.1"/>
    <s v="1388.43"/>
    <m/>
    <m/>
    <m/>
    <n v="0"/>
    <n v="0"/>
    <m/>
    <m/>
    <m/>
    <m/>
    <m/>
    <m/>
    <m/>
    <m/>
    <n v="0"/>
    <n v="0"/>
    <n v="0"/>
    <n v="12"/>
    <n v="12"/>
    <m/>
    <m/>
    <n v="0"/>
    <n v="53.5"/>
    <m/>
    <x v="18"/>
    <n v="51"/>
    <m/>
    <m/>
    <m/>
  </r>
  <r>
    <x v="1"/>
    <x v="1"/>
    <s v="2/5"/>
    <x v="179"/>
    <s v="سٹاک"/>
    <s v="PP"/>
    <n v="2"/>
    <s v="5.5-6"/>
    <s v="PP"/>
    <s v=" رول بیگ 15"/>
    <s v="PP"/>
    <n v="5"/>
    <n v="91.94"/>
    <n v="1"/>
    <m/>
    <m/>
    <n v="90.94"/>
    <s v="393.87"/>
    <n v="30"/>
    <m/>
    <m/>
    <n v="30"/>
    <n v="0.5"/>
    <m/>
    <m/>
    <m/>
    <m/>
    <m/>
    <m/>
    <m/>
    <m/>
    <n v="0"/>
    <n v="0"/>
    <n v="0.5"/>
    <n v="11.5"/>
    <n v="12"/>
    <m/>
    <m/>
    <n v="0"/>
    <n v="96.94"/>
    <m/>
    <x v="18"/>
    <n v="51"/>
    <m/>
    <m/>
    <m/>
  </r>
  <r>
    <x v="0"/>
    <x v="2"/>
    <s v="6/9"/>
    <x v="179"/>
    <s v="سٹاک"/>
    <s v="PP"/>
    <n v="6"/>
    <n v="5"/>
    <s v="PP"/>
    <n v="1000"/>
    <s v="PP"/>
    <n v="4"/>
    <n v="142.32"/>
    <n v="2.4"/>
    <m/>
    <m/>
    <n v="139.91999999999999"/>
    <s v="1388.43"/>
    <m/>
    <m/>
    <m/>
    <n v="0"/>
    <n v="0"/>
    <m/>
    <m/>
    <m/>
    <m/>
    <m/>
    <m/>
    <m/>
    <m/>
    <n v="0"/>
    <n v="0"/>
    <n v="0"/>
    <n v="12"/>
    <n v="12"/>
    <m/>
    <m/>
    <n v="0"/>
    <n v="147.32"/>
    <m/>
    <x v="18"/>
    <n v="51"/>
    <m/>
    <m/>
    <m/>
  </r>
  <r>
    <x v="1"/>
    <x v="2"/>
    <s v="6/9"/>
    <x v="179"/>
    <s v="سٹاک"/>
    <s v="PP"/>
    <n v="6"/>
    <n v="5"/>
    <s v="PP"/>
    <n v="1000"/>
    <s v="PP"/>
    <n v="3"/>
    <n v="85.65"/>
    <n v="1.7999999999999998"/>
    <m/>
    <m/>
    <n v="83.850000000000009"/>
    <s v="1388.43"/>
    <m/>
    <m/>
    <n v="540"/>
    <n v="540"/>
    <n v="9"/>
    <m/>
    <m/>
    <m/>
    <m/>
    <m/>
    <m/>
    <m/>
    <m/>
    <n v="0"/>
    <n v="0"/>
    <n v="9"/>
    <n v="3"/>
    <n v="12"/>
    <m/>
    <m/>
    <n v="0"/>
    <n v="90.65"/>
    <m/>
    <x v="18"/>
    <n v="51"/>
    <m/>
    <m/>
    <m/>
  </r>
  <r>
    <x v="0"/>
    <x v="3"/>
    <s v="7588/1"/>
    <x v="179"/>
    <s v="ہیڈ افس لاہور"/>
    <s v="PP"/>
    <n v="28"/>
    <s v="5"/>
    <s v="PP"/>
    <n v="125"/>
    <s v="PP"/>
    <n v="9"/>
    <n v="586.29999999999995"/>
    <n v="27.53"/>
    <n v="30"/>
    <m/>
    <n v="558.77"/>
    <s v="1612.44"/>
    <m/>
    <m/>
    <m/>
    <n v="0"/>
    <n v="0"/>
    <m/>
    <m/>
    <m/>
    <m/>
    <m/>
    <m/>
    <m/>
    <m/>
    <n v="0"/>
    <n v="0"/>
    <n v="0"/>
    <n v="12"/>
    <n v="12"/>
    <m/>
    <m/>
    <n v="0"/>
    <n v="591.29999999999995"/>
    <m/>
    <x v="18"/>
    <n v="51"/>
    <m/>
    <m/>
    <m/>
  </r>
  <r>
    <x v="0"/>
    <x v="3"/>
    <s v="6205 J"/>
    <x v="179"/>
    <s v="Jilani Poly Stock"/>
    <s v="PP"/>
    <n v="28"/>
    <s v="5-5.5"/>
    <s v="PP"/>
    <n v="1000"/>
    <s v="PP"/>
    <n v="3"/>
    <n v="164.71"/>
    <n v="10.8"/>
    <n v="26"/>
    <m/>
    <n v="153.91"/>
    <s v="1025.8399999999999"/>
    <m/>
    <m/>
    <m/>
    <n v="0"/>
    <n v="0"/>
    <m/>
    <m/>
    <m/>
    <m/>
    <m/>
    <m/>
    <m/>
    <m/>
    <n v="0"/>
    <n v="0"/>
    <n v="0"/>
    <n v="12"/>
    <n v="12"/>
    <m/>
    <m/>
    <n v="0"/>
    <n v="169.71"/>
    <m/>
    <x v="18"/>
    <n v="51"/>
    <m/>
    <m/>
    <m/>
  </r>
  <r>
    <x v="1"/>
    <x v="3"/>
    <s v="6205 J"/>
    <x v="179"/>
    <s v="Jilani Poly Stock"/>
    <s v="PP"/>
    <n v="28"/>
    <s v="5-5.5"/>
    <s v="PP"/>
    <n v="1000"/>
    <s v="PP"/>
    <n v="12"/>
    <n v="794.09999999999991"/>
    <n v="42"/>
    <m/>
    <m/>
    <n v="752.09999999999991"/>
    <s v="1025.8399999999999"/>
    <m/>
    <m/>
    <m/>
    <n v="0"/>
    <n v="0"/>
    <m/>
    <m/>
    <m/>
    <m/>
    <m/>
    <m/>
    <m/>
    <m/>
    <n v="0"/>
    <n v="0"/>
    <n v="0"/>
    <n v="12"/>
    <n v="12"/>
    <m/>
    <m/>
    <n v="0"/>
    <n v="799.0999999999998"/>
    <m/>
    <x v="18"/>
    <n v="51"/>
    <m/>
    <m/>
    <m/>
  </r>
  <r>
    <x v="0"/>
    <x v="4"/>
    <s v="7589/1"/>
    <x v="179"/>
    <s v="MTM شاہ عالم"/>
    <s v="PP"/>
    <n v="9"/>
    <s v="7"/>
    <s v="PP"/>
    <n v="500"/>
    <s v="PP"/>
    <n v="6"/>
    <n v="311.75"/>
    <n v="6.6000000000000005"/>
    <m/>
    <m/>
    <n v="305.14999999999998"/>
    <s v="527"/>
    <m/>
    <m/>
    <m/>
    <n v="0"/>
    <n v="0"/>
    <m/>
    <m/>
    <m/>
    <m/>
    <m/>
    <m/>
    <m/>
    <m/>
    <n v="0"/>
    <n v="0"/>
    <n v="0"/>
    <n v="12"/>
    <n v="12"/>
    <m/>
    <m/>
    <n v="0"/>
    <n v="316.75"/>
    <m/>
    <x v="18"/>
    <n v="51"/>
    <m/>
    <m/>
    <m/>
  </r>
  <r>
    <x v="0"/>
    <x v="4"/>
    <s v="9/10"/>
    <x v="179"/>
    <s v="سٹاک"/>
    <s v="PP"/>
    <n v="9"/>
    <s v="5-5.5"/>
    <s v="PP"/>
    <n v="1000"/>
    <s v="PP"/>
    <n v="4"/>
    <n v="206.57"/>
    <n v="4.4000000000000004"/>
    <m/>
    <m/>
    <n v="202.17"/>
    <s v="1037.8200000000002"/>
    <m/>
    <m/>
    <m/>
    <n v="0"/>
    <n v="0"/>
    <m/>
    <m/>
    <m/>
    <m/>
    <m/>
    <m/>
    <m/>
    <m/>
    <n v="0"/>
    <n v="0"/>
    <n v="0"/>
    <n v="12"/>
    <n v="12"/>
    <m/>
    <m/>
    <n v="0"/>
    <n v="211.57"/>
    <m/>
    <x v="18"/>
    <n v="51"/>
    <m/>
    <m/>
    <m/>
  </r>
  <r>
    <x v="1"/>
    <x v="4"/>
    <s v="9/10"/>
    <x v="179"/>
    <s v="سٹاک"/>
    <s v="PP"/>
    <n v="9"/>
    <s v="5-5.5"/>
    <s v="PP"/>
    <n v="1000"/>
    <s v="PP"/>
    <n v="9"/>
    <n v="469.53000000000003"/>
    <n v="9.9"/>
    <m/>
    <m/>
    <n v="459.63000000000005"/>
    <s v="1037.8200000000002"/>
    <m/>
    <m/>
    <m/>
    <n v="0"/>
    <n v="0"/>
    <m/>
    <m/>
    <m/>
    <m/>
    <m/>
    <m/>
    <m/>
    <m/>
    <n v="0"/>
    <n v="0"/>
    <n v="0"/>
    <n v="12"/>
    <n v="12"/>
    <m/>
    <m/>
    <n v="0"/>
    <n v="474.53"/>
    <m/>
    <x v="18"/>
    <n v="51"/>
    <m/>
    <m/>
    <m/>
  </r>
  <r>
    <x v="0"/>
    <x v="0"/>
    <s v="2.5/7"/>
    <x v="180"/>
    <s v="سٹاک"/>
    <s v="PP"/>
    <n v="2.5"/>
    <s v="5.5-6"/>
    <s v="PP"/>
    <n v="1500"/>
    <s v="PP"/>
    <n v="10"/>
    <n v="136.67000000000002"/>
    <n v="2"/>
    <m/>
    <m/>
    <n v="134.67000000000002"/>
    <s v="1775.1299999999999"/>
    <m/>
    <m/>
    <m/>
    <n v="0"/>
    <n v="0"/>
    <m/>
    <m/>
    <m/>
    <m/>
    <m/>
    <m/>
    <m/>
    <m/>
    <n v="0"/>
    <n v="0"/>
    <n v="0"/>
    <n v="12"/>
    <n v="12"/>
    <m/>
    <m/>
    <n v="0"/>
    <n v="141.67000000000002"/>
    <m/>
    <x v="18"/>
    <n v="51"/>
    <m/>
    <m/>
    <m/>
  </r>
  <r>
    <x v="1"/>
    <x v="0"/>
    <s v="2.5/7"/>
    <x v="180"/>
    <s v="سٹاک"/>
    <s v="PP"/>
    <n v="2.5"/>
    <s v="5.5-6"/>
    <s v="PP"/>
    <n v="1500"/>
    <s v="PP"/>
    <n v="10"/>
    <n v="136.26"/>
    <n v="2"/>
    <m/>
    <m/>
    <n v="134.26"/>
    <s v="1775.1299999999999"/>
    <m/>
    <m/>
    <m/>
    <n v="0"/>
    <n v="0"/>
    <m/>
    <m/>
    <m/>
    <m/>
    <m/>
    <m/>
    <m/>
    <m/>
    <n v="0"/>
    <n v="0"/>
    <n v="0"/>
    <n v="12"/>
    <n v="12"/>
    <m/>
    <m/>
    <n v="0"/>
    <n v="141.26"/>
    <m/>
    <x v="18"/>
    <n v="51"/>
    <m/>
    <m/>
    <m/>
  </r>
  <r>
    <x v="0"/>
    <x v="1"/>
    <s v="2/5"/>
    <x v="180"/>
    <s v="سٹاک"/>
    <s v="PP"/>
    <n v="2"/>
    <s v="5.5-6"/>
    <s v="PP"/>
    <s v=" رول بیگ 15"/>
    <s v="PP"/>
    <n v="4"/>
    <n v="80.540000000000006"/>
    <n v="0.8"/>
    <m/>
    <m/>
    <n v="79.740000000000009"/>
    <s v="393.87"/>
    <m/>
    <m/>
    <m/>
    <n v="0"/>
    <n v="0"/>
    <m/>
    <m/>
    <m/>
    <m/>
    <m/>
    <m/>
    <m/>
    <m/>
    <n v="0"/>
    <n v="0"/>
    <n v="0"/>
    <n v="12"/>
    <n v="12"/>
    <m/>
    <m/>
    <n v="0"/>
    <n v="85.54"/>
    <m/>
    <x v="18"/>
    <n v="51"/>
    <m/>
    <m/>
    <m/>
  </r>
  <r>
    <x v="0"/>
    <x v="1"/>
    <s v="2/5"/>
    <x v="180"/>
    <s v="سٹاک"/>
    <s v="PP"/>
    <n v="2"/>
    <s v="5.5-6"/>
    <s v="PP"/>
    <s v=" رول بیگ 15"/>
    <s v="PP"/>
    <n v="3"/>
    <n v="31.16"/>
    <n v="0.60000000000000009"/>
    <m/>
    <m/>
    <n v="30.56"/>
    <s v="393.87"/>
    <m/>
    <m/>
    <m/>
    <n v="0"/>
    <n v="0"/>
    <m/>
    <m/>
    <m/>
    <m/>
    <m/>
    <m/>
    <m/>
    <m/>
    <n v="0"/>
    <n v="0"/>
    <n v="0"/>
    <n v="12"/>
    <n v="12"/>
    <m/>
    <m/>
    <n v="0"/>
    <n v="36.159999999999997"/>
    <m/>
    <x v="18"/>
    <n v="51"/>
    <m/>
    <m/>
    <m/>
  </r>
  <r>
    <x v="1"/>
    <x v="1"/>
    <s v="2/5"/>
    <x v="180"/>
    <s v="سٹاک"/>
    <s v="PP"/>
    <n v="2"/>
    <s v="5.5-6"/>
    <s v="PP"/>
    <s v=" رول بیگ 15"/>
    <s v="PP"/>
    <n v="6"/>
    <n v="91.070000000000007"/>
    <n v="1.2000000000000002"/>
    <m/>
    <m/>
    <n v="89.87"/>
    <s v="393.87"/>
    <n v="25"/>
    <m/>
    <m/>
    <n v="25"/>
    <n v="0.41666666666666674"/>
    <m/>
    <m/>
    <m/>
    <m/>
    <m/>
    <m/>
    <m/>
    <m/>
    <n v="0"/>
    <n v="0"/>
    <n v="0.41666666666666674"/>
    <n v="11.583333333333334"/>
    <n v="12"/>
    <m/>
    <m/>
    <n v="0"/>
    <n v="96.07"/>
    <m/>
    <x v="18"/>
    <n v="51"/>
    <m/>
    <m/>
    <m/>
  </r>
  <r>
    <x v="1"/>
    <x v="1"/>
    <s v="7596/1"/>
    <x v="180"/>
    <s v="ایم دین پنڈی"/>
    <s v="PP"/>
    <n v="5"/>
    <s v="14"/>
    <s v="PP"/>
    <n v="1200"/>
    <s v="PP"/>
    <n v="3"/>
    <n v="58.790000000000006"/>
    <n v="1.5"/>
    <m/>
    <m/>
    <n v="57.290000000000006"/>
    <s v="1260.9399999999998"/>
    <m/>
    <m/>
    <m/>
    <n v="0"/>
    <n v="0"/>
    <m/>
    <m/>
    <m/>
    <m/>
    <m/>
    <m/>
    <m/>
    <m/>
    <n v="0"/>
    <n v="0"/>
    <n v="0"/>
    <n v="12"/>
    <n v="12"/>
    <m/>
    <m/>
    <n v="0"/>
    <n v="63.790000000000006"/>
    <m/>
    <x v="18"/>
    <n v="51"/>
    <m/>
    <m/>
    <m/>
  </r>
  <r>
    <x v="0"/>
    <x v="3"/>
    <s v="6205 J"/>
    <x v="180"/>
    <s v="Jilani Poly Stock"/>
    <s v="PP"/>
    <n v="28"/>
    <s v="5-5.5"/>
    <s v="PP"/>
    <n v="1000"/>
    <s v="PP"/>
    <n v="2"/>
    <n v="126.96000000000001"/>
    <n v="7.13"/>
    <n v="21"/>
    <m/>
    <n v="119.83000000000001"/>
    <s v="1025.8399999999999"/>
    <m/>
    <m/>
    <m/>
    <n v="0"/>
    <n v="0"/>
    <m/>
    <m/>
    <m/>
    <m/>
    <m/>
    <m/>
    <m/>
    <m/>
    <n v="0"/>
    <n v="0"/>
    <n v="0"/>
    <n v="12"/>
    <n v="12"/>
    <m/>
    <m/>
    <n v="0"/>
    <n v="131.96"/>
    <m/>
    <x v="18"/>
    <n v="51"/>
    <m/>
    <m/>
    <m/>
  </r>
  <r>
    <x v="0"/>
    <x v="3"/>
    <s v="7591/1"/>
    <x v="180"/>
    <s v="عرفان احمد اعظم مارکیٹ"/>
    <s v="PP"/>
    <n v="28"/>
    <s v="6"/>
    <s v="PP"/>
    <n v="500"/>
    <s v="PP"/>
    <n v="11"/>
    <n v="683.92"/>
    <n v="39.6"/>
    <m/>
    <m/>
    <n v="644.31999999999994"/>
    <s v="798.09999999999991"/>
    <m/>
    <m/>
    <m/>
    <n v="0"/>
    <n v="0"/>
    <m/>
    <m/>
    <m/>
    <m/>
    <m/>
    <m/>
    <m/>
    <m/>
    <n v="0"/>
    <n v="0"/>
    <n v="0"/>
    <n v="12"/>
    <n v="12"/>
    <m/>
    <m/>
    <n v="0"/>
    <n v="688.92"/>
    <m/>
    <x v="18"/>
    <n v="51"/>
    <m/>
    <m/>
    <m/>
  </r>
  <r>
    <x v="1"/>
    <x v="3"/>
    <s v="7591/1"/>
    <x v="180"/>
    <s v="عرفان احمد اعظم مارکیٹ"/>
    <s v="PP"/>
    <n v="28"/>
    <s v="6"/>
    <s v="PP"/>
    <n v="500"/>
    <s v="PP"/>
    <n v="3"/>
    <n v="162.18"/>
    <n v="8.3999999999999986"/>
    <m/>
    <m/>
    <n v="153.78"/>
    <s v="798.09999999999991"/>
    <n v="30"/>
    <m/>
    <m/>
    <n v="30"/>
    <n v="0.5"/>
    <m/>
    <m/>
    <m/>
    <m/>
    <m/>
    <m/>
    <m/>
    <m/>
    <n v="0"/>
    <n v="0"/>
    <n v="0.5"/>
    <n v="11.5"/>
    <n v="12"/>
    <m/>
    <m/>
    <n v="0"/>
    <n v="167.18"/>
    <m/>
    <x v="18"/>
    <n v="51"/>
    <m/>
    <m/>
    <m/>
  </r>
  <r>
    <x v="1"/>
    <x v="3"/>
    <s v="6203 J"/>
    <x v="180"/>
    <s v="Jilani Poly Stock"/>
    <s v="PP"/>
    <n v="20"/>
    <s v="5-5.5"/>
    <s v="PP"/>
    <n v="1000"/>
    <s v="PP"/>
    <n v="10"/>
    <n v="620.46999999999991"/>
    <n v="20"/>
    <m/>
    <m/>
    <n v="600.46999999999991"/>
    <s v="1109.28"/>
    <m/>
    <m/>
    <m/>
    <n v="0"/>
    <n v="0"/>
    <m/>
    <m/>
    <m/>
    <m/>
    <m/>
    <m/>
    <m/>
    <m/>
    <n v="0"/>
    <n v="0"/>
    <n v="0"/>
    <n v="12"/>
    <n v="12"/>
    <m/>
    <m/>
    <n v="0"/>
    <n v="625.46999999999991"/>
    <m/>
    <x v="18"/>
    <n v="51"/>
    <m/>
    <m/>
    <m/>
  </r>
  <r>
    <x v="0"/>
    <x v="4"/>
    <s v="9/10"/>
    <x v="180"/>
    <s v="سٹاک"/>
    <s v="PP"/>
    <n v="9"/>
    <s v="5-5.5"/>
    <s v="PP"/>
    <n v="1000"/>
    <s v="PP"/>
    <n v="7"/>
    <n v="384.42"/>
    <n v="8.4"/>
    <m/>
    <m/>
    <n v="376.02000000000004"/>
    <s v="1037.8200000000002"/>
    <n v="25"/>
    <m/>
    <m/>
    <n v="25"/>
    <n v="0.41666666666666674"/>
    <m/>
    <m/>
    <m/>
    <m/>
    <m/>
    <m/>
    <m/>
    <m/>
    <n v="0"/>
    <n v="0"/>
    <n v="0.41666666666666674"/>
    <n v="11.583333333333334"/>
    <n v="12"/>
    <m/>
    <m/>
    <n v="0"/>
    <n v="389.42"/>
    <m/>
    <x v="18"/>
    <n v="51"/>
    <m/>
    <m/>
    <m/>
  </r>
  <r>
    <x v="0"/>
    <x v="4"/>
    <s v="7602/1"/>
    <x v="180"/>
    <s v="گوگا پلاسٹک گوجرانوالہ"/>
    <s v="PP"/>
    <n v="9"/>
    <s v="12"/>
    <s v="PP"/>
    <n v="50"/>
    <s v="PP"/>
    <n v="1"/>
    <n v="55.9"/>
    <n v="1.2"/>
    <m/>
    <m/>
    <n v="54.699999999999996"/>
    <s v="54.699999999999996"/>
    <m/>
    <m/>
    <m/>
    <n v="0"/>
    <n v="0"/>
    <m/>
    <m/>
    <m/>
    <m/>
    <m/>
    <m/>
    <m/>
    <m/>
    <n v="0"/>
    <n v="0"/>
    <n v="0"/>
    <n v="12"/>
    <n v="12"/>
    <m/>
    <m/>
    <n v="0"/>
    <n v="60.9"/>
    <m/>
    <x v="18"/>
    <n v="51"/>
    <m/>
    <m/>
    <m/>
  </r>
  <r>
    <x v="1"/>
    <x v="4"/>
    <s v="7586/2"/>
    <x v="180"/>
    <s v="اصف پلاسٹک سرگو ھا"/>
    <s v="PP"/>
    <n v="10"/>
    <s v="4.5"/>
    <s v="PP"/>
    <n v="100"/>
    <s v="PP"/>
    <n v="8"/>
    <n v="368.61"/>
    <n v="8"/>
    <n v="15"/>
    <m/>
    <n v="360.61"/>
    <s v="360.61"/>
    <m/>
    <m/>
    <m/>
    <n v="0"/>
    <n v="0"/>
    <m/>
    <m/>
    <m/>
    <m/>
    <m/>
    <m/>
    <m/>
    <m/>
    <n v="0"/>
    <n v="0"/>
    <n v="0"/>
    <n v="12"/>
    <n v="12"/>
    <m/>
    <m/>
    <n v="0"/>
    <n v="373.61"/>
    <m/>
    <x v="18"/>
    <n v="51"/>
    <m/>
    <m/>
    <m/>
  </r>
  <r>
    <x v="1"/>
    <x v="4"/>
    <s v="10/12"/>
    <x v="180"/>
    <s v="سٹاک"/>
    <s v="PP"/>
    <n v="10"/>
    <n v="5"/>
    <s v="PP"/>
    <n v="1500"/>
    <s v="PP"/>
    <n v="2"/>
    <n v="114.28"/>
    <n v="2"/>
    <m/>
    <m/>
    <n v="112.28"/>
    <s v="1765.8999999999999"/>
    <m/>
    <m/>
    <m/>
    <n v="0"/>
    <n v="0"/>
    <m/>
    <m/>
    <m/>
    <m/>
    <m/>
    <m/>
    <m/>
    <m/>
    <n v="0"/>
    <n v="0"/>
    <n v="0"/>
    <n v="12"/>
    <n v="12"/>
    <m/>
    <m/>
    <n v="0"/>
    <n v="119.28"/>
    <m/>
    <x v="18"/>
    <n v="51"/>
    <m/>
    <m/>
    <m/>
  </r>
  <r>
    <x v="0"/>
    <x v="0"/>
    <s v="2.5/7"/>
    <x v="181"/>
    <s v="سٹاک"/>
    <s v="PP"/>
    <n v="2.5"/>
    <s v="5.5-6"/>
    <s v="PP"/>
    <n v="1500"/>
    <s v="PP"/>
    <n v="9"/>
    <n v="130.81"/>
    <n v="1.8"/>
    <m/>
    <m/>
    <n v="129.01"/>
    <s v="1775.1299999999999"/>
    <m/>
    <m/>
    <m/>
    <n v="0"/>
    <n v="0"/>
    <m/>
    <m/>
    <m/>
    <m/>
    <m/>
    <m/>
    <m/>
    <m/>
    <n v="0"/>
    <n v="0"/>
    <n v="0"/>
    <n v="12"/>
    <n v="12"/>
    <m/>
    <m/>
    <n v="0"/>
    <n v="135.81"/>
    <m/>
    <x v="18"/>
    <n v="51"/>
    <m/>
    <m/>
    <m/>
  </r>
  <r>
    <x v="1"/>
    <x v="0"/>
    <s v="2.5/7"/>
    <x v="181"/>
    <s v="سٹاک"/>
    <s v="PP"/>
    <n v="2.5"/>
    <s v="5.5-6"/>
    <s v="PP"/>
    <n v="1500"/>
    <s v="PP"/>
    <n v="10"/>
    <n v="135.29"/>
    <n v="2"/>
    <m/>
    <m/>
    <n v="133.29"/>
    <s v="1775.1299999999999"/>
    <m/>
    <m/>
    <m/>
    <n v="0"/>
    <n v="0"/>
    <m/>
    <m/>
    <m/>
    <m/>
    <m/>
    <m/>
    <m/>
    <m/>
    <n v="0"/>
    <n v="0"/>
    <n v="0"/>
    <n v="12"/>
    <n v="12"/>
    <m/>
    <m/>
    <n v="0"/>
    <n v="140.29"/>
    <m/>
    <x v="18"/>
    <n v="51"/>
    <m/>
    <m/>
    <m/>
  </r>
  <r>
    <x v="0"/>
    <x v="1"/>
    <s v="7596/1"/>
    <x v="181"/>
    <s v="ایم دین پنڈی"/>
    <s v="PP"/>
    <n v="5"/>
    <s v="14"/>
    <s v="PP"/>
    <n v="1200"/>
    <s v="PP"/>
    <n v="11"/>
    <n v="240.26"/>
    <n v="5.5"/>
    <m/>
    <m/>
    <n v="234.76"/>
    <s v="1260.9399999999998"/>
    <m/>
    <m/>
    <m/>
    <n v="0"/>
    <n v="0"/>
    <m/>
    <m/>
    <n v="25"/>
    <m/>
    <m/>
    <m/>
    <m/>
    <m/>
    <n v="25"/>
    <n v="0.41666666666666674"/>
    <n v="0.41666666666666674"/>
    <n v="11.583333333333334"/>
    <n v="12"/>
    <m/>
    <m/>
    <n v="0"/>
    <n v="245.26"/>
    <m/>
    <x v="18"/>
    <n v="51"/>
    <m/>
    <m/>
    <m/>
  </r>
  <r>
    <x v="1"/>
    <x v="1"/>
    <s v="7596/1"/>
    <x v="181"/>
    <s v="ایم دین پنڈی"/>
    <s v="PP"/>
    <n v="5"/>
    <s v="14"/>
    <s v="PP"/>
    <n v="1200"/>
    <s v="PP"/>
    <n v="12"/>
    <n v="269.26"/>
    <n v="6"/>
    <m/>
    <m/>
    <n v="263.26"/>
    <s v="1260.9399999999998"/>
    <m/>
    <m/>
    <m/>
    <n v="0"/>
    <n v="0"/>
    <m/>
    <m/>
    <m/>
    <m/>
    <m/>
    <m/>
    <m/>
    <m/>
    <n v="0"/>
    <n v="0"/>
    <n v="0"/>
    <n v="12"/>
    <n v="12"/>
    <m/>
    <m/>
    <n v="0"/>
    <n v="274.26"/>
    <m/>
    <x v="18"/>
    <n v="51"/>
    <m/>
    <m/>
    <m/>
  </r>
  <r>
    <x v="0"/>
    <x v="3"/>
    <s v="6203 J"/>
    <x v="181"/>
    <s v="Jilani Poly Stock"/>
    <s v="PP"/>
    <n v="20"/>
    <s v="5-5.5"/>
    <s v="PP"/>
    <n v="1000"/>
    <s v="PP"/>
    <n v="10"/>
    <n v="533.31000000000006"/>
    <n v="24.5"/>
    <m/>
    <m/>
    <n v="508.81000000000006"/>
    <s v="1109.28"/>
    <m/>
    <m/>
    <m/>
    <n v="0"/>
    <n v="0"/>
    <m/>
    <m/>
    <m/>
    <m/>
    <m/>
    <m/>
    <m/>
    <m/>
    <n v="0"/>
    <n v="0"/>
    <n v="0"/>
    <n v="12"/>
    <n v="12"/>
    <m/>
    <m/>
    <n v="0"/>
    <n v="538.31000000000006"/>
    <m/>
    <x v="18"/>
    <n v="51"/>
    <m/>
    <m/>
    <m/>
  </r>
  <r>
    <x v="0"/>
    <x v="3"/>
    <s v="7601/3"/>
    <x v="181"/>
    <s v="العمر پلاسٹک گوجرانوالہ"/>
    <s v="PP"/>
    <n v="20"/>
    <s v="6"/>
    <s v="PP"/>
    <n v="750"/>
    <s v="PP"/>
    <n v="4"/>
    <n v="232.26"/>
    <n v="9.6"/>
    <n v="22"/>
    <m/>
    <n v="222.66"/>
    <s v="754.38999999999987"/>
    <m/>
    <m/>
    <m/>
    <n v="0"/>
    <n v="0"/>
    <m/>
    <m/>
    <n v="20"/>
    <m/>
    <m/>
    <m/>
    <m/>
    <m/>
    <n v="20"/>
    <n v="0.33333333333333331"/>
    <n v="0.33333333333333331"/>
    <n v="11.666666666666666"/>
    <n v="12"/>
    <m/>
    <m/>
    <n v="0"/>
    <n v="237.26"/>
    <m/>
    <x v="18"/>
    <n v="51"/>
    <m/>
    <m/>
    <m/>
  </r>
  <r>
    <x v="1"/>
    <x v="3"/>
    <s v="7601/3"/>
    <x v="181"/>
    <s v="العمر پلاسٹک گوجرانوالہ"/>
    <s v="PP"/>
    <n v="20"/>
    <s v="6"/>
    <s v="PP"/>
    <n v="750"/>
    <s v="PP"/>
    <n v="10"/>
    <n v="556.2299999999999"/>
    <n v="24.5"/>
    <n v="24"/>
    <m/>
    <n v="531.7299999999999"/>
    <s v="754.38999999999987"/>
    <n v="30"/>
    <m/>
    <m/>
    <n v="30"/>
    <n v="0.5"/>
    <m/>
    <m/>
    <m/>
    <m/>
    <m/>
    <m/>
    <m/>
    <m/>
    <n v="0"/>
    <n v="0"/>
    <n v="0.5"/>
    <n v="11.5"/>
    <n v="12"/>
    <m/>
    <m/>
    <n v="0"/>
    <n v="561.2299999999999"/>
    <m/>
    <x v="18"/>
    <n v="51"/>
    <m/>
    <m/>
    <m/>
  </r>
  <r>
    <x v="1"/>
    <x v="3"/>
    <s v="7601/1"/>
    <x v="181"/>
    <s v="العمر پلاسٹک گوجرانوالہ"/>
    <s v="PP"/>
    <n v="16"/>
    <s v="6"/>
    <s v="PP"/>
    <n v="500"/>
    <s v="PP"/>
    <n v="3"/>
    <n v="120.65"/>
    <n v="4.8000000000000007"/>
    <m/>
    <m/>
    <n v="115.85000000000001"/>
    <s v="502.03000000000003"/>
    <m/>
    <m/>
    <m/>
    <n v="0"/>
    <n v="0"/>
    <m/>
    <m/>
    <m/>
    <m/>
    <m/>
    <m/>
    <m/>
    <m/>
    <n v="0"/>
    <n v="0"/>
    <n v="0"/>
    <n v="12"/>
    <n v="12"/>
    <m/>
    <m/>
    <n v="0"/>
    <n v="125.65"/>
    <m/>
    <x v="18"/>
    <n v="51"/>
    <m/>
    <m/>
    <m/>
  </r>
  <r>
    <x v="1"/>
    <x v="3"/>
    <s v="7601/7"/>
    <x v="181"/>
    <s v="العمر پلاسٹک گوجرانوالہ"/>
    <s v="PP"/>
    <n v="16"/>
    <s v="10"/>
    <s v="PP"/>
    <n v="250"/>
    <s v="PP"/>
    <n v="4"/>
    <n v="152.07999999999998"/>
    <n v="6.4"/>
    <m/>
    <m/>
    <n v="145.67999999999998"/>
    <s v="260.13"/>
    <m/>
    <m/>
    <m/>
    <n v="0"/>
    <n v="0"/>
    <m/>
    <m/>
    <m/>
    <m/>
    <m/>
    <m/>
    <m/>
    <m/>
    <n v="0"/>
    <n v="0"/>
    <n v="0"/>
    <n v="12"/>
    <n v="12"/>
    <m/>
    <m/>
    <n v="0"/>
    <n v="157.07999999999998"/>
    <m/>
    <x v="18"/>
    <n v="51"/>
    <m/>
    <m/>
    <m/>
  </r>
  <r>
    <x v="0"/>
    <x v="4"/>
    <s v="10/12"/>
    <x v="181"/>
    <s v="سٹاک"/>
    <s v="PP"/>
    <n v="10"/>
    <n v="5"/>
    <s v="PP"/>
    <n v="1500"/>
    <s v="PP"/>
    <n v="9"/>
    <n v="491.71"/>
    <n v="11.700000000000001"/>
    <n v="2.5"/>
    <m/>
    <n v="480.01"/>
    <s v="1765.8999999999999"/>
    <m/>
    <m/>
    <m/>
    <n v="0"/>
    <n v="0"/>
    <m/>
    <m/>
    <m/>
    <m/>
    <m/>
    <m/>
    <m/>
    <m/>
    <n v="0"/>
    <n v="0"/>
    <n v="0"/>
    <n v="12"/>
    <n v="12"/>
    <m/>
    <m/>
    <n v="0"/>
    <n v="496.71"/>
    <m/>
    <x v="18"/>
    <n v="51"/>
    <m/>
    <m/>
    <m/>
  </r>
  <r>
    <x v="1"/>
    <x v="4"/>
    <s v="10/12"/>
    <x v="181"/>
    <s v="سٹاک"/>
    <s v="PP"/>
    <n v="10"/>
    <n v="5"/>
    <s v="PP"/>
    <n v="1500"/>
    <s v="PP"/>
    <n v="9"/>
    <n v="512.27"/>
    <n v="11.700000000000001"/>
    <n v="2.5"/>
    <m/>
    <n v="500.57"/>
    <s v="1765.8999999999999"/>
    <m/>
    <m/>
    <m/>
    <n v="0"/>
    <n v="0"/>
    <m/>
    <m/>
    <m/>
    <m/>
    <m/>
    <m/>
    <m/>
    <m/>
    <n v="0"/>
    <n v="0"/>
    <n v="0"/>
    <n v="12"/>
    <n v="12"/>
    <m/>
    <m/>
    <n v="0"/>
    <n v="517.27"/>
    <m/>
    <x v="18"/>
    <n v="51"/>
    <m/>
    <m/>
    <m/>
  </r>
  <r>
    <x v="0"/>
    <x v="0"/>
    <s v="2.5/7"/>
    <x v="182"/>
    <s v="سٹاک"/>
    <s v="PP"/>
    <n v="2.5"/>
    <s v="5.5-6"/>
    <s v="PP"/>
    <n v="1500"/>
    <s v="PP"/>
    <n v="9"/>
    <n v="124.19"/>
    <n v="1.8"/>
    <m/>
    <m/>
    <n v="122.39"/>
    <s v="1775.1299999999999"/>
    <m/>
    <m/>
    <m/>
    <n v="0"/>
    <n v="0"/>
    <m/>
    <m/>
    <m/>
    <m/>
    <m/>
    <m/>
    <m/>
    <m/>
    <n v="0"/>
    <n v="0"/>
    <n v="0"/>
    <n v="12"/>
    <n v="12"/>
    <m/>
    <m/>
    <n v="0"/>
    <n v="129.19"/>
    <m/>
    <x v="18"/>
    <n v="51"/>
    <m/>
    <m/>
    <m/>
  </r>
  <r>
    <x v="1"/>
    <x v="0"/>
    <s v="2.5/7"/>
    <x v="182"/>
    <s v="سٹاک"/>
    <s v="PP"/>
    <n v="2.5"/>
    <s v="5.5-6"/>
    <s v="PP"/>
    <n v="1500"/>
    <s v="PP"/>
    <n v="9"/>
    <n v="120.05000000000001"/>
    <n v="1.8"/>
    <m/>
    <m/>
    <n v="118.25000000000001"/>
    <s v="1775.1299999999999"/>
    <m/>
    <m/>
    <m/>
    <n v="0"/>
    <n v="0"/>
    <m/>
    <m/>
    <m/>
    <m/>
    <m/>
    <m/>
    <m/>
    <m/>
    <n v="0"/>
    <n v="0"/>
    <n v="0"/>
    <n v="12"/>
    <n v="12"/>
    <m/>
    <m/>
    <n v="0"/>
    <n v="125.05"/>
    <m/>
    <x v="18"/>
    <n v="51"/>
    <m/>
    <m/>
    <m/>
  </r>
  <r>
    <x v="0"/>
    <x v="1"/>
    <s v="7596/1"/>
    <x v="182"/>
    <s v="ایم دین پنڈی"/>
    <s v="PP"/>
    <n v="5"/>
    <s v="14"/>
    <s v="PP"/>
    <n v="1200"/>
    <s v="PP"/>
    <n v="11"/>
    <n v="251.02999999999997"/>
    <n v="5.5"/>
    <m/>
    <m/>
    <n v="245.52999999999997"/>
    <s v="1260.9399999999998"/>
    <m/>
    <m/>
    <m/>
    <n v="0"/>
    <n v="0"/>
    <m/>
    <m/>
    <m/>
    <m/>
    <m/>
    <m/>
    <m/>
    <m/>
    <n v="0"/>
    <n v="0"/>
    <n v="0"/>
    <n v="12"/>
    <n v="12"/>
    <m/>
    <m/>
    <n v="0"/>
    <n v="256.02999999999997"/>
    <m/>
    <x v="18"/>
    <n v="51"/>
    <m/>
    <m/>
    <m/>
  </r>
  <r>
    <x v="1"/>
    <x v="1"/>
    <s v="7596/1"/>
    <x v="182"/>
    <s v="ایم دین پنڈی"/>
    <s v="PP"/>
    <n v="5"/>
    <s v="14"/>
    <s v="PP"/>
    <n v="1200"/>
    <s v="PP"/>
    <n v="11"/>
    <n v="247.27999999999997"/>
    <n v="5.5"/>
    <m/>
    <m/>
    <n v="241.77999999999997"/>
    <s v="1260.9399999999998"/>
    <m/>
    <m/>
    <m/>
    <n v="0"/>
    <n v="0"/>
    <m/>
    <m/>
    <m/>
    <m/>
    <m/>
    <m/>
    <m/>
    <m/>
    <n v="0"/>
    <n v="0"/>
    <n v="0"/>
    <n v="12"/>
    <n v="12"/>
    <m/>
    <m/>
    <n v="0"/>
    <n v="252.27999999999997"/>
    <m/>
    <x v="18"/>
    <n v="51"/>
    <m/>
    <m/>
    <m/>
  </r>
  <r>
    <x v="0"/>
    <x v="3"/>
    <s v="7601/7"/>
    <x v="182"/>
    <s v="العمر پلاسٹک گوجرانوالہ"/>
    <s v="PP"/>
    <n v="16"/>
    <s v="10"/>
    <s v="PP"/>
    <n v="250"/>
    <s v="PP"/>
    <n v="2"/>
    <n v="118.35"/>
    <n v="3.9"/>
    <m/>
    <m/>
    <n v="114.44999999999999"/>
    <s v="260.13"/>
    <m/>
    <m/>
    <m/>
    <n v="0"/>
    <n v="0"/>
    <m/>
    <m/>
    <m/>
    <m/>
    <m/>
    <m/>
    <m/>
    <m/>
    <n v="0"/>
    <n v="0"/>
    <n v="0"/>
    <n v="12"/>
    <n v="12"/>
    <m/>
    <m/>
    <n v="0"/>
    <n v="123.35"/>
    <m/>
    <x v="18"/>
    <n v="51"/>
    <m/>
    <m/>
    <m/>
  </r>
  <r>
    <x v="0"/>
    <x v="3"/>
    <s v="7601/1"/>
    <x v="182"/>
    <s v="العمر پلاسٹک گوجرانوالہ"/>
    <s v="PP"/>
    <n v="16"/>
    <s v="6"/>
    <s v="PP"/>
    <n v="500"/>
    <s v="PP"/>
    <n v="7"/>
    <n v="396.68"/>
    <n v="10.5"/>
    <m/>
    <m/>
    <n v="386.18"/>
    <s v="502.03000000000003"/>
    <m/>
    <m/>
    <m/>
    <n v="0"/>
    <n v="0"/>
    <m/>
    <m/>
    <m/>
    <m/>
    <m/>
    <m/>
    <m/>
    <m/>
    <n v="0"/>
    <n v="0"/>
    <n v="0"/>
    <n v="12"/>
    <n v="12"/>
    <m/>
    <m/>
    <n v="0"/>
    <n v="401.68"/>
    <m/>
    <x v="18"/>
    <n v="51"/>
    <m/>
    <m/>
    <m/>
  </r>
  <r>
    <x v="0"/>
    <x v="3"/>
    <s v="6202 J"/>
    <x v="182"/>
    <s v="Jilani Poly Stock"/>
    <s v="PP"/>
    <n v="16"/>
    <s v="5-5.5"/>
    <s v="PP"/>
    <n v="1000"/>
    <s v="PP"/>
    <n v="1"/>
    <n v="56.12"/>
    <n v="1.9"/>
    <m/>
    <m/>
    <n v="54.22"/>
    <s v="1172.71"/>
    <m/>
    <m/>
    <m/>
    <n v="0"/>
    <n v="0"/>
    <m/>
    <m/>
    <m/>
    <m/>
    <m/>
    <m/>
    <m/>
    <m/>
    <n v="0"/>
    <n v="0"/>
    <n v="0"/>
    <n v="12"/>
    <n v="12"/>
    <m/>
    <m/>
    <n v="0"/>
    <n v="61.12"/>
    <m/>
    <x v="18"/>
    <n v="51"/>
    <m/>
    <m/>
    <m/>
  </r>
  <r>
    <x v="0"/>
    <x v="3"/>
    <s v="6176 J"/>
    <x v="182"/>
    <s v="Khan Chapli Kbab and Fish Corner"/>
    <s v="PP"/>
    <n v="16"/>
    <s v="11-11.5"/>
    <s v="PP"/>
    <n v="100"/>
    <s v="PP"/>
    <n v="2"/>
    <n v="105.07"/>
    <n v="3.8"/>
    <m/>
    <m/>
    <n v="101.27"/>
    <s v="101.27"/>
    <m/>
    <m/>
    <m/>
    <n v="0"/>
    <n v="0"/>
    <m/>
    <m/>
    <m/>
    <m/>
    <m/>
    <m/>
    <m/>
    <m/>
    <n v="0"/>
    <n v="0"/>
    <n v="0"/>
    <n v="12"/>
    <n v="12"/>
    <m/>
    <m/>
    <n v="0"/>
    <n v="110.07"/>
    <m/>
    <x v="18"/>
    <n v="51"/>
    <m/>
    <m/>
    <m/>
  </r>
  <r>
    <x v="0"/>
    <x v="3"/>
    <s v="2838/1"/>
    <x v="182"/>
    <s v="RMC PACK LHR"/>
    <s v="PP"/>
    <n v="16"/>
    <s v="5-5.5"/>
    <s v="PP"/>
    <n v="100"/>
    <s v="PP"/>
    <n v="2"/>
    <n v="103.49000000000001"/>
    <n v="2.78"/>
    <n v="23"/>
    <m/>
    <n v="100.71000000000001"/>
    <s v="100.71000000000001"/>
    <m/>
    <m/>
    <m/>
    <n v="0"/>
    <n v="0"/>
    <m/>
    <m/>
    <m/>
    <m/>
    <m/>
    <m/>
    <m/>
    <m/>
    <n v="0"/>
    <n v="0"/>
    <n v="0"/>
    <n v="12"/>
    <n v="12"/>
    <m/>
    <m/>
    <n v="0"/>
    <n v="108.49"/>
    <m/>
    <x v="18"/>
    <n v="51"/>
    <m/>
    <m/>
    <m/>
  </r>
  <r>
    <x v="1"/>
    <x v="3"/>
    <s v="6202 J"/>
    <x v="182"/>
    <s v="Jilani Poly Stock"/>
    <s v="PP"/>
    <n v="16"/>
    <s v="5-5.5"/>
    <s v="PP"/>
    <n v="1000"/>
    <s v="PP"/>
    <n v="12"/>
    <n v="719.15000000000009"/>
    <n v="19.200000000000003"/>
    <n v="24"/>
    <m/>
    <n v="699.95"/>
    <s v="1172.71"/>
    <m/>
    <m/>
    <m/>
    <n v="0"/>
    <n v="0"/>
    <m/>
    <m/>
    <m/>
    <m/>
    <m/>
    <m/>
    <m/>
    <m/>
    <n v="0"/>
    <n v="0"/>
    <n v="0"/>
    <n v="12"/>
    <n v="12"/>
    <m/>
    <m/>
    <n v="0"/>
    <n v="724.1500000000002"/>
    <m/>
    <x v="18"/>
    <n v="51"/>
    <m/>
    <m/>
    <m/>
  </r>
  <r>
    <x v="0"/>
    <x v="4"/>
    <s v="10/12"/>
    <x v="182"/>
    <s v="سٹاک"/>
    <s v="PP"/>
    <n v="10"/>
    <n v="5"/>
    <s v="PP"/>
    <n v="1500"/>
    <s v="PP"/>
    <n v="10"/>
    <n v="578.49000000000012"/>
    <n v="12.5"/>
    <n v="2"/>
    <m/>
    <n v="565.99000000000012"/>
    <s v="1765.8999999999999"/>
    <n v="15"/>
    <m/>
    <m/>
    <n v="15"/>
    <n v="0.25"/>
    <m/>
    <m/>
    <m/>
    <m/>
    <m/>
    <m/>
    <m/>
    <m/>
    <n v="0"/>
    <n v="0"/>
    <n v="0.25"/>
    <n v="11.75"/>
    <n v="12"/>
    <m/>
    <m/>
    <n v="0"/>
    <n v="583.49000000000012"/>
    <m/>
    <x v="18"/>
    <n v="51"/>
    <m/>
    <m/>
    <m/>
  </r>
  <r>
    <x v="1"/>
    <x v="4"/>
    <s v="6216 J"/>
    <x v="182"/>
    <s v="Foxell Exclusive LHR"/>
    <s v="PP"/>
    <n v="15"/>
    <s v="9-10"/>
    <s v="PP"/>
    <n v="100"/>
    <s v="PP"/>
    <n v="2"/>
    <n v="117.72"/>
    <n v="3"/>
    <n v="2"/>
    <m/>
    <n v="114.72"/>
    <s v="114.72"/>
    <m/>
    <m/>
    <m/>
    <n v="0"/>
    <n v="0"/>
    <m/>
    <m/>
    <m/>
    <m/>
    <m/>
    <m/>
    <m/>
    <m/>
    <n v="0"/>
    <n v="0"/>
    <n v="0"/>
    <n v="12"/>
    <n v="12"/>
    <m/>
    <m/>
    <n v="0"/>
    <n v="122.72"/>
    <m/>
    <x v="18"/>
    <n v="51"/>
    <m/>
    <m/>
    <m/>
  </r>
  <r>
    <x v="1"/>
    <x v="4"/>
    <s v="7601/6"/>
    <x v="182"/>
    <s v="العمر پلاسٹک گوجرانوالہ"/>
    <s v="PP"/>
    <n v="14"/>
    <s v="10"/>
    <s v="PP"/>
    <n v="250"/>
    <s v="PP"/>
    <n v="3"/>
    <n v="155.69999999999999"/>
    <n v="4.1999999999999993"/>
    <m/>
    <m/>
    <n v="151.5"/>
    <s v="258.65999999999997"/>
    <m/>
    <m/>
    <m/>
    <n v="0"/>
    <n v="0"/>
    <m/>
    <m/>
    <m/>
    <m/>
    <m/>
    <m/>
    <m/>
    <m/>
    <n v="0"/>
    <n v="0"/>
    <n v="0"/>
    <n v="12"/>
    <n v="12"/>
    <m/>
    <m/>
    <n v="0"/>
    <n v="160.69999999999999"/>
    <m/>
    <x v="18"/>
    <n v="51"/>
    <m/>
    <m/>
    <m/>
  </r>
  <r>
    <x v="1"/>
    <x v="4"/>
    <s v="2622 F"/>
    <x v="182"/>
    <s v="Usman Amin"/>
    <s v="PP"/>
    <n v="15"/>
    <s v="7.5-8"/>
    <s v="PP"/>
    <n v="100"/>
    <s v="PP"/>
    <n v="2"/>
    <n v="112.50999999999999"/>
    <n v="1.4"/>
    <m/>
    <m/>
    <n v="111.10999999999999"/>
    <s v="111.10999999999999"/>
    <m/>
    <m/>
    <m/>
    <n v="0"/>
    <n v="0"/>
    <m/>
    <m/>
    <m/>
    <m/>
    <m/>
    <m/>
    <m/>
    <m/>
    <n v="0"/>
    <n v="0"/>
    <n v="0"/>
    <n v="12"/>
    <n v="12"/>
    <m/>
    <m/>
    <n v="0"/>
    <n v="117.51"/>
    <m/>
    <x v="18"/>
    <n v="51"/>
    <m/>
    <m/>
    <m/>
  </r>
  <r>
    <x v="1"/>
    <x v="4"/>
    <s v="7588/8"/>
    <x v="182"/>
    <s v="ہیڈ افس لاہور"/>
    <s v="PP"/>
    <n v="15"/>
    <s v="7"/>
    <s v="PP"/>
    <n v="200"/>
    <s v="PP"/>
    <n v="4"/>
    <n v="206.72"/>
    <n v="6"/>
    <m/>
    <m/>
    <n v="200.72"/>
    <s v="200.72"/>
    <n v="20"/>
    <m/>
    <m/>
    <n v="20"/>
    <n v="0.33333333333333331"/>
    <m/>
    <m/>
    <m/>
    <m/>
    <m/>
    <m/>
    <m/>
    <m/>
    <n v="0"/>
    <n v="0"/>
    <n v="0.33333333333333331"/>
    <n v="11.666666666666666"/>
    <n v="12"/>
    <m/>
    <m/>
    <n v="0"/>
    <n v="211.72"/>
    <m/>
    <x v="18"/>
    <n v="51"/>
    <m/>
    <m/>
    <m/>
  </r>
  <r>
    <x v="0"/>
    <x v="0"/>
    <s v="2.5/7"/>
    <x v="183"/>
    <s v="سٹاک"/>
    <s v="PP"/>
    <n v="2.5"/>
    <s v="5.5-6"/>
    <s v="PP"/>
    <n v="1500"/>
    <s v="PP"/>
    <n v="9"/>
    <n v="124.58999999999999"/>
    <n v="1.8"/>
    <m/>
    <m/>
    <n v="122.78999999999999"/>
    <s v="1775.1299999999999"/>
    <m/>
    <m/>
    <m/>
    <n v="0"/>
    <n v="0"/>
    <m/>
    <m/>
    <m/>
    <m/>
    <m/>
    <m/>
    <m/>
    <m/>
    <n v="0"/>
    <n v="0"/>
    <n v="0"/>
    <n v="12"/>
    <n v="12"/>
    <m/>
    <m/>
    <n v="0"/>
    <n v="129.58999999999995"/>
    <m/>
    <x v="18"/>
    <n v="51"/>
    <m/>
    <m/>
    <m/>
  </r>
  <r>
    <x v="1"/>
    <x v="0"/>
    <s v="2.5/7"/>
    <x v="183"/>
    <s v="سٹاک"/>
    <s v="PP"/>
    <n v="2.5"/>
    <s v="5.5-6"/>
    <s v="PP"/>
    <n v="1500"/>
    <s v="PP"/>
    <n v="7"/>
    <n v="92.58"/>
    <n v="1.4000000000000001"/>
    <m/>
    <m/>
    <n v="91.179999999999993"/>
    <s v="1775.1299999999999"/>
    <m/>
    <m/>
    <n v="120"/>
    <n v="120"/>
    <n v="2"/>
    <m/>
    <m/>
    <m/>
    <m/>
    <m/>
    <m/>
    <m/>
    <m/>
    <n v="0"/>
    <n v="0"/>
    <n v="2"/>
    <n v="10"/>
    <n v="12"/>
    <m/>
    <m/>
    <n v="0"/>
    <n v="97.58"/>
    <m/>
    <x v="18"/>
    <n v="51"/>
    <m/>
    <m/>
    <m/>
  </r>
  <r>
    <x v="0"/>
    <x v="1"/>
    <s v="7596/1"/>
    <x v="183"/>
    <s v="ایم دین پنڈی"/>
    <s v="PP"/>
    <n v="5"/>
    <s v="14"/>
    <s v="PP"/>
    <n v="1200"/>
    <s v="PP"/>
    <n v="10"/>
    <n v="223.32"/>
    <n v="5"/>
    <m/>
    <m/>
    <n v="218.32"/>
    <s v="1260.9399999999998"/>
    <n v="15"/>
    <m/>
    <m/>
    <n v="15"/>
    <n v="0.25"/>
    <m/>
    <m/>
    <m/>
    <m/>
    <m/>
    <m/>
    <m/>
    <m/>
    <n v="0"/>
    <n v="0"/>
    <n v="0.25"/>
    <n v="11.75"/>
    <n v="12"/>
    <m/>
    <m/>
    <n v="0"/>
    <n v="228.32"/>
    <m/>
    <x v="18"/>
    <n v="51"/>
    <m/>
    <m/>
    <m/>
  </r>
  <r>
    <x v="0"/>
    <x v="1"/>
    <s v="3/11"/>
    <x v="183"/>
    <s v="سٹاک"/>
    <s v="PP"/>
    <n v="3"/>
    <s v="5.5-6"/>
    <s v="PP"/>
    <n v="200"/>
    <s v="PP"/>
    <n v="1"/>
    <n v="12.87"/>
    <n v="0.3"/>
    <m/>
    <m/>
    <n v="12.569999999999999"/>
    <s v="108.17999999999999"/>
    <m/>
    <m/>
    <m/>
    <n v="0"/>
    <n v="0"/>
    <m/>
    <m/>
    <m/>
    <m/>
    <m/>
    <m/>
    <m/>
    <m/>
    <n v="0"/>
    <n v="0"/>
    <n v="0"/>
    <n v="12"/>
    <n v="12"/>
    <m/>
    <m/>
    <n v="0"/>
    <n v="17.869999999999997"/>
    <m/>
    <x v="18"/>
    <n v="51"/>
    <m/>
    <m/>
    <m/>
  </r>
  <r>
    <x v="1"/>
    <x v="1"/>
    <s v="3/11"/>
    <x v="183"/>
    <s v="سٹاک"/>
    <s v="PP"/>
    <n v="3"/>
    <s v="5.5-6"/>
    <s v="PP"/>
    <n v="200"/>
    <s v="PP"/>
    <n v="7"/>
    <n v="97.71"/>
    <n v="2.1"/>
    <m/>
    <m/>
    <n v="95.61"/>
    <s v="108.17999999999999"/>
    <m/>
    <m/>
    <n v="120"/>
    <n v="120"/>
    <n v="2"/>
    <m/>
    <m/>
    <m/>
    <m/>
    <m/>
    <m/>
    <m/>
    <m/>
    <n v="0"/>
    <n v="0"/>
    <n v="2"/>
    <n v="10"/>
    <n v="12"/>
    <m/>
    <m/>
    <n v="0"/>
    <n v="102.71"/>
    <m/>
    <x v="18"/>
    <n v="51"/>
    <m/>
    <m/>
    <m/>
  </r>
  <r>
    <x v="0"/>
    <x v="3"/>
    <s v="6202 J"/>
    <x v="183"/>
    <s v="Jilani Poly Stock"/>
    <s v="PP"/>
    <n v="16"/>
    <s v="5-5.5"/>
    <s v="PP"/>
    <n v="1000"/>
    <s v="PP"/>
    <n v="8"/>
    <n v="433.74"/>
    <n v="15.2"/>
    <m/>
    <m/>
    <n v="418.54"/>
    <s v="1172.71"/>
    <n v="25"/>
    <m/>
    <m/>
    <n v="25"/>
    <n v="0.41666666666666674"/>
    <m/>
    <m/>
    <m/>
    <m/>
    <m/>
    <m/>
    <m/>
    <m/>
    <n v="0"/>
    <n v="0"/>
    <n v="0.41666666666666674"/>
    <n v="11.583333333333334"/>
    <n v="12"/>
    <m/>
    <m/>
    <n v="0"/>
    <n v="438.74"/>
    <m/>
    <x v="18"/>
    <n v="51"/>
    <m/>
    <m/>
    <m/>
  </r>
  <r>
    <x v="0"/>
    <x v="3"/>
    <s v="7599/1"/>
    <x v="183"/>
    <s v="ایان فرقان ٹمبر مارکیٹ"/>
    <s v="PP"/>
    <n v="10.5"/>
    <s v="2.5-5"/>
    <s v="PP"/>
    <n v="450"/>
    <s v="PP"/>
    <n v="6"/>
    <n v="147.59"/>
    <n v="4.8000000000000007"/>
    <n v="13"/>
    <m/>
    <n v="142.79"/>
    <s v="475.19000000000005"/>
    <m/>
    <m/>
    <m/>
    <n v="0"/>
    <n v="0"/>
    <m/>
    <m/>
    <m/>
    <m/>
    <m/>
    <m/>
    <m/>
    <m/>
    <n v="0"/>
    <n v="0"/>
    <n v="0"/>
    <n v="12"/>
    <n v="12"/>
    <m/>
    <m/>
    <n v="0"/>
    <n v="152.59"/>
    <m/>
    <x v="18"/>
    <n v="51"/>
    <m/>
    <m/>
    <m/>
  </r>
  <r>
    <x v="1"/>
    <x v="3"/>
    <s v="7599/1"/>
    <x v="183"/>
    <s v="ایان فرقان ٹمبر مارکیٹ"/>
    <s v="PP"/>
    <n v="10.5"/>
    <s v="2.5-5"/>
    <s v="PP"/>
    <n v="450"/>
    <s v="PP"/>
    <n v="14"/>
    <n v="343.6"/>
    <n v="11.200000000000001"/>
    <n v="17"/>
    <m/>
    <n v="332.40000000000003"/>
    <s v="475.19000000000005"/>
    <m/>
    <m/>
    <n v="120"/>
    <n v="120"/>
    <n v="2"/>
    <m/>
    <m/>
    <m/>
    <m/>
    <m/>
    <m/>
    <m/>
    <m/>
    <n v="0"/>
    <n v="0"/>
    <n v="2"/>
    <n v="10"/>
    <n v="12"/>
    <m/>
    <m/>
    <n v="0"/>
    <n v="348.6"/>
    <m/>
    <x v="18"/>
    <n v="51"/>
    <m/>
    <m/>
    <m/>
  </r>
  <r>
    <x v="0"/>
    <x v="4"/>
    <s v="7601/6"/>
    <x v="183"/>
    <s v="العمر پلاسٹک گوجرانوالہ"/>
    <s v="PP"/>
    <n v="14"/>
    <s v="10"/>
    <s v="PP"/>
    <n v="250"/>
    <s v="PP"/>
    <n v="3"/>
    <n v="112.25999999999999"/>
    <n v="5.0999999999999996"/>
    <m/>
    <m/>
    <n v="107.16"/>
    <s v="258.65999999999997"/>
    <m/>
    <m/>
    <m/>
    <n v="0"/>
    <n v="0"/>
    <m/>
    <m/>
    <m/>
    <m/>
    <m/>
    <m/>
    <m/>
    <m/>
    <n v="0"/>
    <n v="0"/>
    <n v="0"/>
    <n v="12"/>
    <n v="12"/>
    <m/>
    <m/>
    <n v="0"/>
    <n v="117.26"/>
    <m/>
    <x v="18"/>
    <n v="51"/>
    <m/>
    <m/>
    <m/>
  </r>
  <r>
    <x v="0"/>
    <x v="4"/>
    <s v="7586/1"/>
    <x v="183"/>
    <s v="اصف پلاسٹک سرگو ھا"/>
    <s v="PP"/>
    <n v="14"/>
    <s v="4.5"/>
    <s v="PP"/>
    <n v="100"/>
    <s v="PP"/>
    <n v="4"/>
    <n v="214.23000000000002"/>
    <n v="7.2"/>
    <m/>
    <m/>
    <n v="207.03000000000003"/>
    <s v="207.03000000000003"/>
    <m/>
    <m/>
    <m/>
    <n v="0"/>
    <n v="0"/>
    <m/>
    <m/>
    <m/>
    <m/>
    <m/>
    <m/>
    <m/>
    <m/>
    <n v="0"/>
    <n v="0"/>
    <n v="0"/>
    <n v="12"/>
    <n v="12"/>
    <m/>
    <m/>
    <n v="0"/>
    <n v="219.23"/>
    <m/>
    <x v="18"/>
    <n v="51"/>
    <m/>
    <m/>
    <m/>
  </r>
  <r>
    <x v="0"/>
    <x v="4"/>
    <s v="14/9"/>
    <x v="183"/>
    <s v="سٹاک"/>
    <s v="PP"/>
    <n v="14"/>
    <n v="5"/>
    <s v="PP"/>
    <n v="1500"/>
    <s v="PP"/>
    <n v="2"/>
    <n v="118.44999999999999"/>
    <n v="3.6"/>
    <m/>
    <m/>
    <n v="114.85"/>
    <s v="1627.2500000000002"/>
    <m/>
    <m/>
    <m/>
    <n v="0"/>
    <n v="0"/>
    <m/>
    <m/>
    <m/>
    <m/>
    <m/>
    <m/>
    <m/>
    <m/>
    <n v="0"/>
    <n v="0"/>
    <n v="0"/>
    <n v="12"/>
    <n v="12"/>
    <m/>
    <m/>
    <n v="0"/>
    <n v="123.45"/>
    <m/>
    <x v="18"/>
    <n v="51"/>
    <m/>
    <m/>
    <m/>
  </r>
  <r>
    <x v="0"/>
    <x v="4"/>
    <s v="6217 J"/>
    <x v="183"/>
    <s v="Foxell Exclusive LHR"/>
    <s v="PP"/>
    <n v="14"/>
    <s v="9-10"/>
    <s v="PP"/>
    <n v="100"/>
    <s v="PP"/>
    <n v="2"/>
    <n v="106.03"/>
    <n v="3.6"/>
    <m/>
    <m/>
    <n v="102.43"/>
    <s v="102.43"/>
    <m/>
    <m/>
    <m/>
    <n v="0"/>
    <n v="0"/>
    <m/>
    <m/>
    <m/>
    <m/>
    <m/>
    <m/>
    <m/>
    <m/>
    <n v="0"/>
    <n v="0"/>
    <n v="0"/>
    <n v="12"/>
    <n v="12"/>
    <m/>
    <m/>
    <n v="0"/>
    <n v="111.03"/>
    <m/>
    <x v="18"/>
    <n v="51"/>
    <m/>
    <m/>
    <m/>
  </r>
  <r>
    <x v="1"/>
    <x v="4"/>
    <s v="14/9"/>
    <x v="183"/>
    <s v="سٹاک"/>
    <s v="PP"/>
    <n v="14"/>
    <n v="5"/>
    <s v="PP"/>
    <n v="1500"/>
    <s v="PP"/>
    <n v="8"/>
    <n v="440.96999999999997"/>
    <n v="11.2"/>
    <m/>
    <m/>
    <n v="429.77"/>
    <s v="1627.2500000000002"/>
    <m/>
    <m/>
    <n v="120"/>
    <n v="120"/>
    <n v="2"/>
    <m/>
    <m/>
    <m/>
    <m/>
    <m/>
    <m/>
    <m/>
    <m/>
    <n v="0"/>
    <n v="0"/>
    <n v="2"/>
    <n v="10"/>
    <n v="12"/>
    <m/>
    <m/>
    <n v="0"/>
    <n v="445.97"/>
    <m/>
    <x v="18"/>
    <n v="51"/>
    <m/>
    <m/>
    <m/>
  </r>
  <r>
    <x v="0"/>
    <x v="0"/>
    <s v="2.5/7"/>
    <x v="184"/>
    <s v="سٹاک"/>
    <s v="PP"/>
    <n v="2.5"/>
    <s v="5.5-6"/>
    <s v="PP"/>
    <n v="1500"/>
    <s v="PP"/>
    <n v="6"/>
    <n v="82.36"/>
    <n v="1.2000000000000002"/>
    <m/>
    <m/>
    <n v="81.16"/>
    <s v="1775.1299999999999"/>
    <m/>
    <n v="180"/>
    <m/>
    <n v="180"/>
    <n v="3"/>
    <m/>
    <m/>
    <m/>
    <m/>
    <m/>
    <m/>
    <m/>
    <m/>
    <n v="0"/>
    <n v="0"/>
    <n v="3"/>
    <n v="9"/>
    <n v="12"/>
    <m/>
    <m/>
    <n v="0"/>
    <n v="87.36"/>
    <m/>
    <x v="19"/>
    <n v="52"/>
    <m/>
    <m/>
    <m/>
  </r>
  <r>
    <x v="1"/>
    <x v="0"/>
    <s v="2.5/7"/>
    <x v="184"/>
    <s v="سٹاک"/>
    <s v="PP"/>
    <n v="2.5"/>
    <s v="5.5-6"/>
    <s v="PP"/>
    <n v="1500"/>
    <s v="PP"/>
    <n v="8"/>
    <n v="110.19000000000001"/>
    <n v="1.6"/>
    <m/>
    <m/>
    <n v="108.59000000000002"/>
    <s v="1775.1299999999999"/>
    <m/>
    <m/>
    <m/>
    <n v="0"/>
    <n v="0"/>
    <m/>
    <m/>
    <m/>
    <m/>
    <m/>
    <m/>
    <m/>
    <m/>
    <n v="0"/>
    <n v="0"/>
    <n v="0"/>
    <n v="12"/>
    <n v="12"/>
    <m/>
    <m/>
    <n v="0"/>
    <n v="115.19"/>
    <m/>
    <x v="19"/>
    <n v="52"/>
    <m/>
    <m/>
    <m/>
  </r>
  <r>
    <x v="0"/>
    <x v="1"/>
    <s v="3/12"/>
    <x v="184"/>
    <s v="سٹاک"/>
    <s v="PP"/>
    <n v="3"/>
    <s v="5.5-6"/>
    <s v="PP"/>
    <n v="500"/>
    <s v="PP"/>
    <n v="5"/>
    <n v="70.8"/>
    <n v="1.5"/>
    <m/>
    <m/>
    <n v="69.3"/>
    <s v="651.07999999999993"/>
    <m/>
    <n v="180"/>
    <m/>
    <n v="180"/>
    <n v="3"/>
    <m/>
    <m/>
    <m/>
    <m/>
    <m/>
    <m/>
    <m/>
    <m/>
    <n v="0"/>
    <n v="0"/>
    <n v="3"/>
    <n v="9"/>
    <n v="12"/>
    <m/>
    <m/>
    <n v="0"/>
    <n v="75.8"/>
    <m/>
    <x v="19"/>
    <n v="52"/>
    <m/>
    <m/>
    <m/>
  </r>
  <r>
    <x v="1"/>
    <x v="1"/>
    <s v="3/12"/>
    <x v="184"/>
    <s v="سٹاک"/>
    <s v="PP"/>
    <n v="3"/>
    <s v="5.5-6"/>
    <s v="PP"/>
    <n v="500"/>
    <s v="PP"/>
    <n v="9"/>
    <n v="130.89000000000001"/>
    <n v="2.6999999999999997"/>
    <m/>
    <m/>
    <n v="128.19000000000003"/>
    <s v="651.07999999999993"/>
    <m/>
    <m/>
    <m/>
    <n v="0"/>
    <n v="0"/>
    <m/>
    <m/>
    <m/>
    <m/>
    <m/>
    <m/>
    <m/>
    <m/>
    <n v="0"/>
    <n v="0"/>
    <n v="0"/>
    <n v="12"/>
    <n v="12"/>
    <m/>
    <m/>
    <n v="0"/>
    <n v="135.88999999999999"/>
    <m/>
    <x v="19"/>
    <n v="52"/>
    <m/>
    <m/>
    <m/>
  </r>
  <r>
    <x v="0"/>
    <x v="3"/>
    <s v="7588/11"/>
    <x v="184"/>
    <s v="ہیڈ افس لاہور"/>
    <s v="PP"/>
    <n v="23"/>
    <s v="7"/>
    <s v="PP"/>
    <n v="125"/>
    <s v="PP"/>
    <n v="3"/>
    <n v="142.72"/>
    <n v="9.3000000000000007"/>
    <m/>
    <m/>
    <n v="133.41999999999999"/>
    <s v="133.41999999999999"/>
    <n v="25"/>
    <n v="180"/>
    <m/>
    <n v="205"/>
    <n v="3.4166666666666665"/>
    <m/>
    <m/>
    <m/>
    <m/>
    <m/>
    <m/>
    <n v="25"/>
    <m/>
    <n v="25"/>
    <n v="0.41666666666666674"/>
    <n v="3.833333333333333"/>
    <n v="8.1666666666666679"/>
    <n v="12"/>
    <m/>
    <m/>
    <n v="0"/>
    <n v="147.72"/>
    <m/>
    <x v="19"/>
    <n v="52"/>
    <m/>
    <m/>
    <m/>
  </r>
  <r>
    <x v="0"/>
    <x v="3"/>
    <s v="2624 F"/>
    <x v="184"/>
    <s v="Usman Amin"/>
    <s v="PP"/>
    <n v="22"/>
    <s v="7.5-8"/>
    <s v="PP"/>
    <n v="100"/>
    <s v="PP"/>
    <n v="2"/>
    <n v="117.67000000000002"/>
    <n v="4.4000000000000004"/>
    <m/>
    <m/>
    <n v="113.27000000000001"/>
    <s v="113.27000000000001"/>
    <m/>
    <n v="210"/>
    <m/>
    <n v="210"/>
    <n v="3.5"/>
    <m/>
    <m/>
    <m/>
    <m/>
    <m/>
    <m/>
    <m/>
    <m/>
    <n v="0"/>
    <n v="0"/>
    <n v="3.5"/>
    <n v="8.5"/>
    <n v="12"/>
    <m/>
    <m/>
    <n v="0"/>
    <n v="122.67000000000002"/>
    <m/>
    <x v="19"/>
    <n v="52"/>
    <m/>
    <m/>
    <m/>
  </r>
  <r>
    <x v="0"/>
    <x v="3"/>
    <s v="7601/4"/>
    <x v="184"/>
    <s v="العمر پلاسٹک گوجرانوالہ"/>
    <s v="PP"/>
    <n v="22"/>
    <s v="6"/>
    <s v="PP"/>
    <n v="250"/>
    <s v="PP"/>
    <n v="5"/>
    <n v="238.77"/>
    <n v="11"/>
    <m/>
    <m/>
    <n v="227.77"/>
    <s v="257.57"/>
    <m/>
    <m/>
    <m/>
    <n v="0"/>
    <n v="0"/>
    <m/>
    <m/>
    <m/>
    <m/>
    <m/>
    <m/>
    <m/>
    <m/>
    <n v="0"/>
    <n v="0"/>
    <n v="0"/>
    <n v="12"/>
    <n v="12"/>
    <m/>
    <m/>
    <n v="0"/>
    <n v="243.77"/>
    <m/>
    <x v="19"/>
    <n v="52"/>
    <m/>
    <m/>
    <m/>
  </r>
  <r>
    <x v="1"/>
    <x v="3"/>
    <s v="7601/4"/>
    <x v="184"/>
    <s v="العمر پلاسٹک گوجرانوالہ"/>
    <s v="PP"/>
    <n v="22"/>
    <s v="6"/>
    <s v="PP"/>
    <n v="250"/>
    <s v="PP"/>
    <n v="1"/>
    <n v="33"/>
    <n v="3.2"/>
    <m/>
    <m/>
    <n v="29.8"/>
    <s v="257.57"/>
    <n v="15"/>
    <m/>
    <m/>
    <n v="15"/>
    <n v="0.25"/>
    <m/>
    <m/>
    <m/>
    <m/>
    <m/>
    <m/>
    <m/>
    <m/>
    <n v="0"/>
    <n v="0"/>
    <n v="0.25"/>
    <n v="11.75"/>
    <n v="12"/>
    <m/>
    <m/>
    <n v="0"/>
    <n v="38"/>
    <m/>
    <x v="19"/>
    <n v="52"/>
    <m/>
    <m/>
    <m/>
  </r>
  <r>
    <x v="1"/>
    <x v="3"/>
    <s v="2841/1"/>
    <x v="184"/>
    <s v="RMC PACK LHR"/>
    <s v="PP"/>
    <n v="16"/>
    <s v="6-6.5"/>
    <s v="PP"/>
    <n v="200"/>
    <s v="PP"/>
    <n v="4"/>
    <n v="217.05"/>
    <n v="6.4"/>
    <m/>
    <m/>
    <n v="210.65"/>
    <s v="210.65"/>
    <n v="15"/>
    <m/>
    <m/>
    <n v="15"/>
    <n v="0.25"/>
    <m/>
    <m/>
    <m/>
    <m/>
    <m/>
    <m/>
    <m/>
    <m/>
    <n v="0"/>
    <n v="0"/>
    <n v="0.25"/>
    <n v="11.75"/>
    <n v="12"/>
    <m/>
    <m/>
    <n v="0"/>
    <n v="222.05"/>
    <m/>
    <x v="19"/>
    <n v="52"/>
    <m/>
    <m/>
    <m/>
  </r>
  <r>
    <x v="1"/>
    <x v="3"/>
    <s v="7601/9"/>
    <x v="184"/>
    <s v="العمر پلاسٹک گوجرانوالہ"/>
    <s v="PP"/>
    <n v="26"/>
    <s v="10"/>
    <s v="PP"/>
    <n v="100"/>
    <s v="PP"/>
    <n v="2"/>
    <n v="108.38999999999999"/>
    <n v="4.2"/>
    <m/>
    <m/>
    <n v="104.18999999999998"/>
    <s v="104.18999999999998"/>
    <n v="20"/>
    <m/>
    <m/>
    <n v="20"/>
    <n v="0.33333333333333331"/>
    <m/>
    <m/>
    <m/>
    <m/>
    <m/>
    <m/>
    <m/>
    <m/>
    <n v="0"/>
    <n v="0"/>
    <n v="0.33333333333333331"/>
    <n v="11.666666666666666"/>
    <n v="12"/>
    <m/>
    <m/>
    <n v="0"/>
    <n v="113.39"/>
    <m/>
    <x v="19"/>
    <n v="52"/>
    <m/>
    <m/>
    <m/>
  </r>
  <r>
    <x v="1"/>
    <x v="3"/>
    <s v="7588/12"/>
    <x v="184"/>
    <s v="ہیڈ افس لاہور"/>
    <s v="PP"/>
    <n v="25"/>
    <s v="7"/>
    <s v="PP"/>
    <n v="125"/>
    <s v="PP"/>
    <n v="2"/>
    <n v="136.55000000000001"/>
    <n v="4.2"/>
    <m/>
    <m/>
    <n v="132.35000000000002"/>
    <s v="132.35000000000002"/>
    <n v="20"/>
    <m/>
    <m/>
    <n v="20"/>
    <n v="0.33333333333333331"/>
    <m/>
    <m/>
    <m/>
    <m/>
    <m/>
    <m/>
    <m/>
    <m/>
    <n v="0"/>
    <n v="0"/>
    <n v="0.33333333333333331"/>
    <n v="11.666666666666666"/>
    <n v="12"/>
    <m/>
    <m/>
    <n v="0"/>
    <n v="141.55000000000001"/>
    <m/>
    <x v="19"/>
    <n v="52"/>
    <m/>
    <m/>
    <m/>
  </r>
  <r>
    <x v="1"/>
    <x v="3"/>
    <s v="6295 J"/>
    <x v="184"/>
    <s v="Zahid Shawl And Abaya Gujrawala"/>
    <s v="PP"/>
    <n v="17"/>
    <s v="5.5-6"/>
    <s v="PP"/>
    <n v="50"/>
    <s v="PP"/>
    <n v="1"/>
    <n v="52.79"/>
    <n v="2"/>
    <m/>
    <m/>
    <n v="50.79"/>
    <s v="50.79"/>
    <m/>
    <m/>
    <m/>
    <n v="0"/>
    <n v="0"/>
    <m/>
    <m/>
    <m/>
    <m/>
    <m/>
    <m/>
    <m/>
    <m/>
    <n v="0"/>
    <n v="0"/>
    <n v="0"/>
    <n v="12"/>
    <n v="12"/>
    <m/>
    <m/>
    <n v="0"/>
    <n v="57.79"/>
    <m/>
    <x v="19"/>
    <n v="52"/>
    <m/>
    <m/>
    <m/>
  </r>
  <r>
    <x v="1"/>
    <x v="3"/>
    <s v="6296 J"/>
    <x v="184"/>
    <s v="Zahid Shawl And Abaya Gujrawala"/>
    <s v="PP"/>
    <n v="17"/>
    <s v="5.5-6"/>
    <s v="PP"/>
    <n v="50"/>
    <s v="PP"/>
    <n v="1"/>
    <n v="53.12"/>
    <n v="1.4"/>
    <m/>
    <m/>
    <n v="51.72"/>
    <s v="51.72"/>
    <m/>
    <m/>
    <m/>
    <n v="0"/>
    <n v="0"/>
    <m/>
    <m/>
    <m/>
    <m/>
    <m/>
    <m/>
    <m/>
    <m/>
    <n v="0"/>
    <n v="0"/>
    <n v="0"/>
    <n v="12"/>
    <n v="12"/>
    <m/>
    <m/>
    <n v="0"/>
    <n v="58.12"/>
    <m/>
    <x v="19"/>
    <n v="52"/>
    <m/>
    <m/>
    <m/>
  </r>
  <r>
    <x v="1"/>
    <x v="3"/>
    <s v="6294 J"/>
    <x v="184"/>
    <s v="Zahid Shawl And Abaya Gujrawala"/>
    <s v="PP"/>
    <n v="17"/>
    <s v="5.5-6"/>
    <s v="PP"/>
    <n v="50"/>
    <s v="PP"/>
    <n v="2"/>
    <n v="62.43"/>
    <n v="1.4"/>
    <m/>
    <m/>
    <n v="61.03"/>
    <s v="61.03"/>
    <m/>
    <m/>
    <m/>
    <n v="0"/>
    <n v="0"/>
    <m/>
    <m/>
    <m/>
    <m/>
    <m/>
    <m/>
    <m/>
    <m/>
    <n v="0"/>
    <n v="0"/>
    <n v="0"/>
    <n v="12"/>
    <n v="12"/>
    <m/>
    <m/>
    <n v="0"/>
    <n v="67.430000000000007"/>
    <m/>
    <x v="19"/>
    <n v="52"/>
    <m/>
    <m/>
    <m/>
  </r>
  <r>
    <x v="0"/>
    <x v="4"/>
    <s v="14/9"/>
    <x v="184"/>
    <s v="سٹاک"/>
    <s v="PP"/>
    <n v="14"/>
    <n v="5"/>
    <s v="PP"/>
    <n v="1500"/>
    <s v="PP"/>
    <n v="6"/>
    <n v="418.73999999999995"/>
    <n v="8.3999999999999986"/>
    <n v="14"/>
    <m/>
    <n v="410.34"/>
    <s v="1627.2500000000002"/>
    <m/>
    <n v="210"/>
    <m/>
    <n v="210"/>
    <n v="3.5"/>
    <m/>
    <m/>
    <m/>
    <m/>
    <m/>
    <m/>
    <n v="30"/>
    <m/>
    <n v="30"/>
    <n v="0.5"/>
    <n v="4"/>
    <n v="8"/>
    <n v="12"/>
    <m/>
    <m/>
    <n v="0"/>
    <n v="423.7399999999999"/>
    <m/>
    <x v="19"/>
    <n v="52"/>
    <m/>
    <m/>
    <m/>
  </r>
  <r>
    <x v="1"/>
    <x v="4"/>
    <s v="14/9"/>
    <x v="184"/>
    <s v="سٹاک"/>
    <s v="PP"/>
    <n v="14"/>
    <n v="5"/>
    <s v="PP"/>
    <n v="1500"/>
    <s v="PP"/>
    <n v="10"/>
    <n v="601.03000000000009"/>
    <n v="17"/>
    <n v="24"/>
    <m/>
    <n v="584.03000000000009"/>
    <s v="1627.2500000000002"/>
    <m/>
    <m/>
    <m/>
    <n v="0"/>
    <n v="0"/>
    <m/>
    <m/>
    <m/>
    <m/>
    <m/>
    <m/>
    <m/>
    <m/>
    <n v="0"/>
    <n v="0"/>
    <n v="0"/>
    <n v="12"/>
    <n v="12"/>
    <m/>
    <m/>
    <n v="0"/>
    <n v="606.03000000000009"/>
    <m/>
    <x v="19"/>
    <n v="52"/>
    <m/>
    <m/>
    <m/>
  </r>
  <r>
    <x v="0"/>
    <x v="0"/>
    <s v="2.5/7"/>
    <x v="185"/>
    <s v="سٹاک"/>
    <s v="PP"/>
    <n v="2.5"/>
    <s v="5.5-6"/>
    <s v="PP"/>
    <n v="1500"/>
    <s v="PP"/>
    <n v="9"/>
    <n v="127.66000000000001"/>
    <n v="1.8"/>
    <m/>
    <m/>
    <n v="125.86000000000001"/>
    <s v="1775.1299999999999"/>
    <m/>
    <m/>
    <m/>
    <n v="0"/>
    <n v="0"/>
    <m/>
    <m/>
    <m/>
    <m/>
    <m/>
    <m/>
    <m/>
    <m/>
    <n v="0"/>
    <n v="0"/>
    <n v="0"/>
    <n v="12"/>
    <n v="12"/>
    <m/>
    <m/>
    <n v="0"/>
    <n v="132.66000000000005"/>
    <m/>
    <x v="19"/>
    <n v="52"/>
    <m/>
    <m/>
    <m/>
  </r>
  <r>
    <x v="1"/>
    <x v="0"/>
    <s v="2.5/7"/>
    <x v="185"/>
    <s v="سٹاک"/>
    <s v="PP"/>
    <n v="2.5"/>
    <s v="5.5-6"/>
    <s v="PP"/>
    <n v="1500"/>
    <s v="PP"/>
    <n v="9"/>
    <n v="127.18000000000002"/>
    <n v="1.8"/>
    <m/>
    <m/>
    <n v="125.38000000000002"/>
    <s v="1775.1299999999999"/>
    <m/>
    <m/>
    <m/>
    <n v="0"/>
    <n v="0"/>
    <m/>
    <m/>
    <m/>
    <m/>
    <m/>
    <m/>
    <m/>
    <m/>
    <n v="0"/>
    <n v="0"/>
    <n v="0"/>
    <n v="12"/>
    <n v="12"/>
    <m/>
    <m/>
    <n v="0"/>
    <n v="132.18"/>
    <m/>
    <x v="19"/>
    <n v="52"/>
    <m/>
    <m/>
    <m/>
  </r>
  <r>
    <x v="0"/>
    <x v="1"/>
    <s v="3/12"/>
    <x v="185"/>
    <s v="سٹاک"/>
    <s v="PP"/>
    <n v="3"/>
    <s v="5.5-6"/>
    <s v="PP"/>
    <n v="500"/>
    <s v="PP"/>
    <n v="10"/>
    <n v="142.53"/>
    <n v="3"/>
    <m/>
    <m/>
    <n v="139.53"/>
    <s v="651.07999999999993"/>
    <m/>
    <m/>
    <m/>
    <n v="0"/>
    <n v="0"/>
    <m/>
    <m/>
    <m/>
    <m/>
    <m/>
    <m/>
    <m/>
    <m/>
    <n v="0"/>
    <n v="0"/>
    <n v="0"/>
    <n v="12"/>
    <n v="12"/>
    <m/>
    <m/>
    <n v="0"/>
    <n v="147.53"/>
    <m/>
    <x v="19"/>
    <n v="52"/>
    <m/>
    <m/>
    <m/>
  </r>
  <r>
    <x v="1"/>
    <x v="1"/>
    <s v="3/12"/>
    <x v="185"/>
    <s v="سٹاک"/>
    <s v="PP"/>
    <n v="3"/>
    <s v="5.5-6"/>
    <s v="PP"/>
    <n v="500"/>
    <s v="PP"/>
    <n v="10"/>
    <n v="139.38"/>
    <n v="3"/>
    <m/>
    <m/>
    <n v="136.38"/>
    <s v="651.07999999999993"/>
    <m/>
    <m/>
    <m/>
    <n v="0"/>
    <n v="0"/>
    <m/>
    <m/>
    <m/>
    <m/>
    <m/>
    <m/>
    <m/>
    <m/>
    <n v="0"/>
    <n v="0"/>
    <n v="0"/>
    <n v="12"/>
    <n v="12"/>
    <m/>
    <m/>
    <n v="0"/>
    <n v="144.38"/>
    <m/>
    <x v="19"/>
    <n v="52"/>
    <m/>
    <m/>
    <m/>
  </r>
  <r>
    <x v="0"/>
    <x v="3"/>
    <s v="7588/9"/>
    <x v="185"/>
    <s v="ہیڈ افس لاہور"/>
    <s v="PP"/>
    <n v="17"/>
    <s v="7"/>
    <s v="PP"/>
    <n v="200"/>
    <s v="PP"/>
    <n v="7"/>
    <n v="422.81"/>
    <n v="11.9"/>
    <m/>
    <m/>
    <n v="410.91"/>
    <s v="410.91"/>
    <m/>
    <m/>
    <m/>
    <n v="0"/>
    <n v="0"/>
    <m/>
    <m/>
    <m/>
    <m/>
    <m/>
    <m/>
    <m/>
    <m/>
    <n v="0"/>
    <n v="0"/>
    <n v="0"/>
    <n v="12"/>
    <n v="12"/>
    <m/>
    <m/>
    <n v="0"/>
    <n v="427.81"/>
    <m/>
    <x v="19"/>
    <n v="52"/>
    <m/>
    <m/>
    <m/>
  </r>
  <r>
    <x v="0"/>
    <x v="3"/>
    <s v="2571 F"/>
    <x v="185"/>
    <s v="Usman Amin"/>
    <s v="PP"/>
    <n v="19"/>
    <s v="20"/>
    <s v="PP"/>
    <n v="3000"/>
    <s v="PP"/>
    <n v="8"/>
    <n v="363.83000000000004"/>
    <n v="15.2"/>
    <n v="31"/>
    <m/>
    <n v="348.63000000000005"/>
    <s v="4015.1600000000003"/>
    <n v="60"/>
    <m/>
    <m/>
    <n v="60"/>
    <n v="1"/>
    <m/>
    <m/>
    <m/>
    <m/>
    <m/>
    <m/>
    <m/>
    <m/>
    <n v="0"/>
    <n v="0"/>
    <n v="1"/>
    <n v="11"/>
    <n v="12"/>
    <m/>
    <m/>
    <n v="0"/>
    <n v="368.83"/>
    <m/>
    <x v="19"/>
    <n v="52"/>
    <m/>
    <m/>
    <m/>
  </r>
  <r>
    <x v="1"/>
    <x v="3"/>
    <s v="2571 F"/>
    <x v="185"/>
    <s v="Usman Amin"/>
    <s v="PP"/>
    <n v="19"/>
    <s v="20"/>
    <s v="PP"/>
    <n v="3000"/>
    <s v="PP"/>
    <n v="24"/>
    <n v="1100.7699999999998"/>
    <n v="55.199999999999996"/>
    <n v="55"/>
    <m/>
    <n v="1045.5699999999997"/>
    <s v="4015.1600000000003"/>
    <m/>
    <m/>
    <m/>
    <n v="0"/>
    <n v="0"/>
    <m/>
    <m/>
    <m/>
    <m/>
    <m/>
    <m/>
    <m/>
    <m/>
    <n v="0"/>
    <n v="0"/>
    <n v="0"/>
    <n v="12"/>
    <n v="12"/>
    <m/>
    <m/>
    <n v="0"/>
    <n v="1105.7699999999998"/>
    <m/>
    <x v="19"/>
    <n v="52"/>
    <m/>
    <m/>
    <m/>
  </r>
  <r>
    <x v="0"/>
    <x v="4"/>
    <s v="14/9"/>
    <x v="185"/>
    <s v="سٹاک"/>
    <s v="PP"/>
    <n v="14"/>
    <n v="5"/>
    <s v="PP"/>
    <n v="1500"/>
    <s v="PP"/>
    <n v="2"/>
    <n v="91.06"/>
    <n v="2.8"/>
    <m/>
    <m/>
    <n v="88.26"/>
    <s v="1627.2500000000002"/>
    <n v="20"/>
    <m/>
    <m/>
    <n v="20"/>
    <n v="0.33333333333333331"/>
    <m/>
    <m/>
    <m/>
    <m/>
    <m/>
    <m/>
    <m/>
    <m/>
    <n v="0"/>
    <n v="0"/>
    <n v="0.33333333333333331"/>
    <n v="11.666666666666666"/>
    <n v="12"/>
    <m/>
    <m/>
    <n v="0"/>
    <n v="96.06"/>
    <m/>
    <x v="19"/>
    <n v="52"/>
    <m/>
    <m/>
    <m/>
  </r>
  <r>
    <x v="0"/>
    <x v="4"/>
    <s v="12/12"/>
    <x v="185"/>
    <s v="سٹاک"/>
    <s v="PP"/>
    <n v="12"/>
    <n v="5"/>
    <s v="PP"/>
    <n v="1000"/>
    <s v="PP"/>
    <n v="2"/>
    <n v="147.49"/>
    <n v="2.4"/>
    <m/>
    <m/>
    <n v="145.09"/>
    <s v="1816.9200000000003"/>
    <m/>
    <m/>
    <m/>
    <n v="0"/>
    <n v="0"/>
    <m/>
    <m/>
    <m/>
    <m/>
    <m/>
    <m/>
    <m/>
    <m/>
    <n v="0"/>
    <n v="0"/>
    <n v="0"/>
    <n v="12"/>
    <n v="12"/>
    <m/>
    <m/>
    <n v="0"/>
    <n v="152.49"/>
    <m/>
    <x v="19"/>
    <n v="52"/>
    <m/>
    <m/>
    <m/>
  </r>
  <r>
    <x v="0"/>
    <x v="4"/>
    <s v="7601/5"/>
    <x v="185"/>
    <s v="العمر پلاسٹک گوجرانوالہ"/>
    <s v="PP"/>
    <n v="12"/>
    <s v="10"/>
    <s v="PP"/>
    <n v="250"/>
    <s v="PP"/>
    <n v="5"/>
    <n v="278.35000000000002"/>
    <n v="6"/>
    <n v="4.5"/>
    <m/>
    <n v="272.35000000000002"/>
    <s v="272.35000000000002"/>
    <m/>
    <m/>
    <m/>
    <n v="0"/>
    <n v="0"/>
    <m/>
    <m/>
    <m/>
    <m/>
    <m/>
    <m/>
    <m/>
    <m/>
    <n v="0"/>
    <n v="0"/>
    <n v="0"/>
    <n v="12"/>
    <n v="12"/>
    <m/>
    <m/>
    <n v="0"/>
    <n v="283.35000000000002"/>
    <m/>
    <x v="19"/>
    <n v="52"/>
    <m/>
    <m/>
    <m/>
  </r>
  <r>
    <x v="1"/>
    <x v="4"/>
    <s v="12/12"/>
    <x v="185"/>
    <s v="سٹاک"/>
    <s v="PP"/>
    <n v="12"/>
    <n v="5"/>
    <s v="PP"/>
    <n v="1000"/>
    <s v="PP"/>
    <n v="9"/>
    <n v="552.11"/>
    <n v="11.700000000000001"/>
    <n v="4.5"/>
    <m/>
    <n v="540.41"/>
    <s v="1816.9200000000003"/>
    <m/>
    <m/>
    <m/>
    <n v="0"/>
    <n v="0"/>
    <m/>
    <m/>
    <m/>
    <m/>
    <m/>
    <m/>
    <m/>
    <m/>
    <n v="0"/>
    <n v="0"/>
    <n v="0"/>
    <n v="12"/>
    <n v="12"/>
    <m/>
    <m/>
    <n v="0"/>
    <n v="557.11"/>
    <m/>
    <x v="19"/>
    <n v="52"/>
    <m/>
    <m/>
    <m/>
  </r>
  <r>
    <x v="0"/>
    <x v="0"/>
    <s v="2.5/7"/>
    <x v="186"/>
    <s v="سٹاک"/>
    <s v="PP"/>
    <n v="2.5"/>
    <s v="5.5-6"/>
    <s v="PP"/>
    <n v="1500"/>
    <s v="PP"/>
    <n v="7"/>
    <n v="93.26"/>
    <n v="1.4000000000000001"/>
    <m/>
    <m/>
    <n v="91.86"/>
    <s v="1775.1299999999999"/>
    <n v="25"/>
    <m/>
    <m/>
    <n v="25"/>
    <n v="0.41666666666666674"/>
    <m/>
    <m/>
    <m/>
    <m/>
    <m/>
    <m/>
    <m/>
    <m/>
    <n v="0"/>
    <n v="0"/>
    <n v="0.41666666666666674"/>
    <n v="11.583333333333334"/>
    <n v="12"/>
    <m/>
    <m/>
    <n v="0"/>
    <n v="98.26"/>
    <m/>
    <x v="19"/>
    <n v="52"/>
    <m/>
    <m/>
    <m/>
  </r>
  <r>
    <x v="1"/>
    <x v="0"/>
    <s v="4/11"/>
    <x v="186"/>
    <s v="سٹاک"/>
    <s v="PP"/>
    <n v="4"/>
    <s v="5-5.5"/>
    <s v="PP"/>
    <n v="1500"/>
    <s v="PP"/>
    <n v="8"/>
    <n v="151.57"/>
    <n v="3.2"/>
    <m/>
    <m/>
    <n v="148.37"/>
    <s v="2816.31"/>
    <m/>
    <m/>
    <m/>
    <n v="0"/>
    <n v="0"/>
    <m/>
    <m/>
    <m/>
    <m/>
    <m/>
    <m/>
    <m/>
    <m/>
    <n v="0"/>
    <n v="0"/>
    <n v="0"/>
    <n v="12"/>
    <n v="12"/>
    <m/>
    <m/>
    <n v="0"/>
    <n v="156.57"/>
    <m/>
    <x v="19"/>
    <n v="52"/>
    <m/>
    <m/>
    <m/>
  </r>
  <r>
    <x v="0"/>
    <x v="1"/>
    <s v="3/12"/>
    <x v="186"/>
    <s v="سٹاک"/>
    <s v="PP"/>
    <n v="3"/>
    <s v="5.5-6"/>
    <s v="PP"/>
    <n v="500"/>
    <s v="PP"/>
    <n v="10"/>
    <n v="141.14000000000001"/>
    <n v="3"/>
    <m/>
    <m/>
    <n v="138.14000000000001"/>
    <s v="651.07999999999993"/>
    <m/>
    <m/>
    <m/>
    <n v="0"/>
    <n v="0"/>
    <m/>
    <m/>
    <m/>
    <m/>
    <m/>
    <m/>
    <m/>
    <m/>
    <n v="0"/>
    <n v="0"/>
    <n v="0"/>
    <n v="12"/>
    <n v="12"/>
    <m/>
    <m/>
    <n v="0"/>
    <n v="146.13999999999999"/>
    <m/>
    <x v="19"/>
    <n v="52"/>
    <m/>
    <m/>
    <m/>
  </r>
  <r>
    <x v="1"/>
    <x v="1"/>
    <s v="3/12"/>
    <x v="186"/>
    <s v="سٹاک"/>
    <s v="PP"/>
    <n v="3"/>
    <s v="5.5-6"/>
    <s v="PP"/>
    <n v="500"/>
    <s v="PP"/>
    <n v="3"/>
    <n v="40.44"/>
    <n v="0.89999999999999991"/>
    <m/>
    <m/>
    <n v="39.54"/>
    <s v="651.07999999999993"/>
    <n v="30"/>
    <m/>
    <m/>
    <n v="30"/>
    <n v="0.5"/>
    <m/>
    <m/>
    <m/>
    <m/>
    <m/>
    <m/>
    <m/>
    <m/>
    <n v="0"/>
    <n v="0"/>
    <n v="0.5"/>
    <n v="11.5"/>
    <n v="12"/>
    <m/>
    <m/>
    <n v="0"/>
    <n v="45.44"/>
    <m/>
    <x v="19"/>
    <n v="52"/>
    <m/>
    <m/>
    <m/>
  </r>
  <r>
    <x v="1"/>
    <x v="1"/>
    <s v="7596/2"/>
    <x v="186"/>
    <s v="ایم دین پنڈی"/>
    <s v="PP"/>
    <n v="6"/>
    <s v="14"/>
    <s v="PP"/>
    <n v="300"/>
    <s v="PP"/>
    <n v="5"/>
    <n v="128.66"/>
    <n v="3"/>
    <m/>
    <m/>
    <n v="125.66"/>
    <s v="319.98"/>
    <m/>
    <m/>
    <m/>
    <n v="0"/>
    <n v="0"/>
    <m/>
    <m/>
    <m/>
    <m/>
    <m/>
    <m/>
    <m/>
    <m/>
    <n v="0"/>
    <n v="0"/>
    <n v="0"/>
    <n v="12"/>
    <n v="12"/>
    <m/>
    <m/>
    <n v="0"/>
    <n v="133.66"/>
    <m/>
    <x v="19"/>
    <n v="52"/>
    <m/>
    <m/>
    <m/>
  </r>
  <r>
    <x v="0"/>
    <x v="3"/>
    <s v="2571 F"/>
    <x v="186"/>
    <s v="Usman Amin"/>
    <s v="PP"/>
    <n v="19"/>
    <s v="20"/>
    <s v="PP"/>
    <n v="3000"/>
    <s v="PP"/>
    <n v="24"/>
    <n v="1038.05"/>
    <n v="36"/>
    <n v="38"/>
    <m/>
    <n v="1002.05"/>
    <s v="4015.1600000000003"/>
    <m/>
    <m/>
    <m/>
    <n v="0"/>
    <n v="0"/>
    <m/>
    <m/>
    <m/>
    <m/>
    <m/>
    <m/>
    <m/>
    <m/>
    <n v="0"/>
    <n v="0"/>
    <n v="0"/>
    <n v="12"/>
    <n v="12"/>
    <m/>
    <m/>
    <n v="0"/>
    <n v="1043.05"/>
    <m/>
    <x v="19"/>
    <n v="52"/>
    <m/>
    <m/>
    <m/>
  </r>
  <r>
    <x v="1"/>
    <x v="3"/>
    <s v="2571 F"/>
    <x v="186"/>
    <s v="Usman Amin"/>
    <s v="PP"/>
    <n v="19"/>
    <s v="20"/>
    <s v="PP"/>
    <n v="3000"/>
    <s v="PP"/>
    <n v="13"/>
    <n v="596.85"/>
    <n v="24.7"/>
    <n v="78"/>
    <m/>
    <n v="572.15"/>
    <s v="4015.1600000000003"/>
    <n v="25"/>
    <m/>
    <m/>
    <n v="25"/>
    <n v="0.41666666666666674"/>
    <m/>
    <m/>
    <m/>
    <m/>
    <m/>
    <m/>
    <m/>
    <m/>
    <n v="0"/>
    <n v="0"/>
    <n v="0.41666666666666674"/>
    <n v="11.583333333333334"/>
    <n v="12"/>
    <m/>
    <m/>
    <n v="0"/>
    <n v="601.85"/>
    <m/>
    <x v="19"/>
    <n v="52"/>
    <m/>
    <m/>
    <m/>
  </r>
  <r>
    <x v="1"/>
    <x v="3"/>
    <s v="6204 J"/>
    <x v="186"/>
    <s v="Jilani Poly Stock"/>
    <s v="PP"/>
    <n v="24"/>
    <s v="5-5.5"/>
    <s v="PP"/>
    <n v="1000"/>
    <s v="PP"/>
    <n v="5"/>
    <n v="313.39999999999998"/>
    <n v="16"/>
    <m/>
    <m/>
    <n v="297.39999999999998"/>
    <s v="1527.8"/>
    <m/>
    <m/>
    <m/>
    <n v="0"/>
    <n v="0"/>
    <m/>
    <m/>
    <m/>
    <m/>
    <m/>
    <m/>
    <m/>
    <m/>
    <n v="0"/>
    <n v="0"/>
    <n v="0"/>
    <n v="12"/>
    <n v="12"/>
    <m/>
    <m/>
    <n v="0"/>
    <n v="318.39999999999998"/>
    <m/>
    <x v="19"/>
    <n v="52"/>
    <m/>
    <m/>
    <m/>
  </r>
  <r>
    <x v="0"/>
    <x v="4"/>
    <s v="12/12"/>
    <x v="186"/>
    <s v="سٹاک"/>
    <s v="PP"/>
    <n v="12"/>
    <n v="5"/>
    <s v="PP"/>
    <n v="1000"/>
    <s v="PP"/>
    <n v="10"/>
    <n v="611.24000000000012"/>
    <n v="13"/>
    <n v="1"/>
    <m/>
    <n v="598.24000000000012"/>
    <s v="1816.9200000000003"/>
    <m/>
    <m/>
    <m/>
    <n v="0"/>
    <n v="0"/>
    <m/>
    <m/>
    <m/>
    <m/>
    <m/>
    <m/>
    <m/>
    <m/>
    <n v="0"/>
    <n v="0"/>
    <n v="0"/>
    <n v="12"/>
    <n v="12"/>
    <m/>
    <m/>
    <n v="0"/>
    <n v="616.24000000000012"/>
    <m/>
    <x v="19"/>
    <n v="52"/>
    <m/>
    <m/>
    <m/>
  </r>
  <r>
    <x v="1"/>
    <x v="4"/>
    <s v="12/12"/>
    <x v="186"/>
    <s v="سٹاک"/>
    <s v="PP"/>
    <n v="12"/>
    <n v="5"/>
    <s v="PP"/>
    <n v="1000"/>
    <s v="PP"/>
    <n v="9"/>
    <n v="546.68000000000006"/>
    <n v="13.5"/>
    <n v="1"/>
    <m/>
    <n v="533.18000000000006"/>
    <s v="1816.9200000000003"/>
    <n v="20"/>
    <m/>
    <m/>
    <n v="20"/>
    <n v="0.33333333333333331"/>
    <m/>
    <m/>
    <m/>
    <m/>
    <m/>
    <m/>
    <m/>
    <m/>
    <n v="0"/>
    <n v="0"/>
    <n v="0.33333333333333331"/>
    <n v="11.666666666666666"/>
    <n v="12"/>
    <m/>
    <m/>
    <n v="0"/>
    <n v="551.68000000000006"/>
    <m/>
    <x v="19"/>
    <n v="52"/>
    <m/>
    <m/>
    <m/>
  </r>
  <r>
    <x v="0"/>
    <x v="0"/>
    <s v="4/11"/>
    <x v="187"/>
    <s v="سٹاک"/>
    <s v="PP"/>
    <n v="4"/>
    <s v="5-5.5"/>
    <s v="PP"/>
    <n v="1500"/>
    <s v="PP"/>
    <n v="8"/>
    <n v="124.02"/>
    <n v="3.2"/>
    <m/>
    <m/>
    <n v="120.82"/>
    <s v="2816.31"/>
    <m/>
    <m/>
    <m/>
    <n v="0"/>
    <n v="0"/>
    <m/>
    <m/>
    <m/>
    <m/>
    <m/>
    <m/>
    <m/>
    <m/>
    <n v="0"/>
    <n v="0"/>
    <n v="0"/>
    <n v="12"/>
    <n v="12"/>
    <m/>
    <m/>
    <n v="0"/>
    <n v="129.01999999999998"/>
    <m/>
    <x v="19"/>
    <n v="52"/>
    <m/>
    <m/>
    <m/>
  </r>
  <r>
    <x v="1"/>
    <x v="0"/>
    <s v="4/11"/>
    <x v="187"/>
    <s v="سٹاک"/>
    <s v="PP"/>
    <n v="4"/>
    <s v="5-5.5"/>
    <s v="PP"/>
    <n v="1500"/>
    <s v="PP"/>
    <n v="8"/>
    <n v="149.91999999999999"/>
    <n v="3.2"/>
    <m/>
    <m/>
    <n v="146.72"/>
    <s v="2816.31"/>
    <n v="30"/>
    <m/>
    <m/>
    <n v="30"/>
    <n v="0.5"/>
    <m/>
    <m/>
    <m/>
    <m/>
    <m/>
    <m/>
    <m/>
    <m/>
    <n v="0"/>
    <n v="0"/>
    <n v="0.5"/>
    <n v="11.5"/>
    <n v="12"/>
    <m/>
    <m/>
    <n v="0"/>
    <n v="154.91999999999999"/>
    <m/>
    <x v="19"/>
    <n v="52"/>
    <m/>
    <m/>
    <m/>
  </r>
  <r>
    <x v="0"/>
    <x v="1"/>
    <s v="7596/2"/>
    <x v="187"/>
    <s v="ایم دین پنڈی"/>
    <s v="PP"/>
    <n v="6"/>
    <s v="14"/>
    <s v="PP"/>
    <n v="300"/>
    <s v="PP"/>
    <n v="9"/>
    <n v="199.72"/>
    <n v="5.3999999999999995"/>
    <m/>
    <m/>
    <n v="194.32"/>
    <s v="319.98"/>
    <m/>
    <m/>
    <m/>
    <n v="0"/>
    <n v="0"/>
    <m/>
    <m/>
    <m/>
    <m/>
    <m/>
    <m/>
    <m/>
    <m/>
    <n v="0"/>
    <n v="0"/>
    <n v="0"/>
    <n v="12"/>
    <n v="12"/>
    <m/>
    <m/>
    <n v="0"/>
    <n v="204.72"/>
    <m/>
    <x v="19"/>
    <n v="52"/>
    <m/>
    <m/>
    <m/>
  </r>
  <r>
    <x v="0"/>
    <x v="1"/>
    <s v="7616/1"/>
    <x v="187"/>
    <s v="یونیورسل اعظم مارکیٹ"/>
    <s v="PP"/>
    <n v="6"/>
    <s v="6"/>
    <s v="PP"/>
    <n v="100"/>
    <s v="PP"/>
    <n v="2"/>
    <n v="31.549999999999997"/>
    <n v="1.2"/>
    <m/>
    <m/>
    <n v="30.349999999999998"/>
    <s v="126.84999999999998"/>
    <m/>
    <m/>
    <m/>
    <n v="0"/>
    <n v="0"/>
    <m/>
    <m/>
    <m/>
    <m/>
    <m/>
    <m/>
    <m/>
    <m/>
    <n v="0"/>
    <n v="0"/>
    <n v="0"/>
    <n v="12"/>
    <n v="12"/>
    <m/>
    <m/>
    <n v="0"/>
    <n v="36.549999999999997"/>
    <m/>
    <x v="19"/>
    <n v="52"/>
    <m/>
    <m/>
    <m/>
  </r>
  <r>
    <x v="0"/>
    <x v="1"/>
    <s v="6/9"/>
    <x v="187"/>
    <s v="سٹاک"/>
    <s v="PP"/>
    <n v="6"/>
    <n v="5"/>
    <s v="PP"/>
    <n v="1000"/>
    <s v="PP"/>
    <n v="1"/>
    <n v="15.35"/>
    <n v="0.6"/>
    <m/>
    <m/>
    <n v="14.75"/>
    <s v="1388.43"/>
    <m/>
    <m/>
    <m/>
    <n v="0"/>
    <n v="0"/>
    <m/>
    <m/>
    <m/>
    <m/>
    <m/>
    <m/>
    <m/>
    <m/>
    <n v="0"/>
    <n v="0"/>
    <n v="0"/>
    <n v="12"/>
    <n v="12"/>
    <m/>
    <m/>
    <n v="0"/>
    <n v="20.350000000000001"/>
    <m/>
    <x v="19"/>
    <n v="52"/>
    <m/>
    <m/>
    <m/>
  </r>
  <r>
    <x v="1"/>
    <x v="1"/>
    <s v="7616/1"/>
    <x v="187"/>
    <s v="یونیورسل اعظم مارکیٹ"/>
    <s v="PP"/>
    <n v="6"/>
    <s v="6"/>
    <s v="PP"/>
    <n v="100"/>
    <s v="PP"/>
    <n v="4"/>
    <n v="98.899999999999991"/>
    <n v="2.4"/>
    <m/>
    <m/>
    <n v="96.499999999999986"/>
    <s v="126.84999999999998"/>
    <m/>
    <m/>
    <m/>
    <n v="0"/>
    <n v="0"/>
    <m/>
    <m/>
    <m/>
    <m/>
    <m/>
    <m/>
    <m/>
    <m/>
    <n v="0"/>
    <n v="0"/>
    <n v="0"/>
    <n v="12"/>
    <n v="12"/>
    <m/>
    <m/>
    <n v="0"/>
    <n v="103.9"/>
    <m/>
    <x v="19"/>
    <n v="52"/>
    <m/>
    <m/>
    <m/>
  </r>
  <r>
    <x v="1"/>
    <x v="1"/>
    <s v="6/9"/>
    <x v="187"/>
    <s v="سٹاک"/>
    <s v="PP"/>
    <n v="6"/>
    <n v="5"/>
    <s v="PP"/>
    <n v="1000"/>
    <s v="PP"/>
    <n v="5"/>
    <n v="130.82"/>
    <n v="3"/>
    <m/>
    <m/>
    <n v="127.82"/>
    <s v="1388.43"/>
    <m/>
    <m/>
    <m/>
    <n v="0"/>
    <n v="0"/>
    <m/>
    <m/>
    <m/>
    <m/>
    <m/>
    <m/>
    <m/>
    <m/>
    <n v="0"/>
    <n v="0"/>
    <n v="0"/>
    <n v="12"/>
    <n v="12"/>
    <m/>
    <m/>
    <n v="0"/>
    <n v="135.82"/>
    <m/>
    <x v="19"/>
    <n v="52"/>
    <m/>
    <m/>
    <m/>
  </r>
  <r>
    <x v="0"/>
    <x v="3"/>
    <s v="6204 J"/>
    <x v="187"/>
    <s v="Jilani Poly Stock"/>
    <s v="PP"/>
    <n v="24"/>
    <s v="5-5.5"/>
    <s v="PP"/>
    <n v="1000"/>
    <s v="PP"/>
    <n v="13"/>
    <n v="812.35"/>
    <n v="42.9"/>
    <n v="33"/>
    <m/>
    <n v="769.45"/>
    <s v="1527.8"/>
    <m/>
    <m/>
    <m/>
    <n v="0"/>
    <n v="0"/>
    <m/>
    <m/>
    <m/>
    <m/>
    <m/>
    <m/>
    <m/>
    <m/>
    <n v="0"/>
    <n v="0"/>
    <n v="0"/>
    <n v="12"/>
    <n v="12"/>
    <m/>
    <m/>
    <n v="0"/>
    <n v="817.35"/>
    <m/>
    <x v="19"/>
    <n v="52"/>
    <m/>
    <m/>
    <m/>
  </r>
  <r>
    <x v="1"/>
    <x v="3"/>
    <s v="6204 J"/>
    <x v="187"/>
    <s v="Jilani Poly Stock"/>
    <s v="PP"/>
    <n v="24"/>
    <s v="5-5.5"/>
    <s v="PP"/>
    <n v="1000"/>
    <s v="PP"/>
    <n v="8"/>
    <n v="487.35"/>
    <n v="26.4"/>
    <n v="22"/>
    <m/>
    <n v="460.95000000000005"/>
    <s v="1527.8"/>
    <m/>
    <m/>
    <m/>
    <n v="0"/>
    <n v="0"/>
    <m/>
    <m/>
    <m/>
    <m/>
    <m/>
    <m/>
    <m/>
    <m/>
    <n v="0"/>
    <n v="0"/>
    <n v="0"/>
    <n v="12"/>
    <n v="12"/>
    <m/>
    <m/>
    <n v="0"/>
    <n v="492.35"/>
    <m/>
    <x v="19"/>
    <n v="52"/>
    <m/>
    <m/>
    <m/>
  </r>
  <r>
    <x v="1"/>
    <x v="3"/>
    <s v="24/5"/>
    <x v="187"/>
    <s v="سٹاک"/>
    <s v="PP"/>
    <n v="24"/>
    <n v="5"/>
    <s v="PP"/>
    <n v="1000"/>
    <s v="PP"/>
    <n v="5"/>
    <n v="338.65"/>
    <n v="16.5"/>
    <m/>
    <m/>
    <n v="322.14999999999998"/>
    <s v="1030.76"/>
    <m/>
    <m/>
    <m/>
    <n v="0"/>
    <n v="0"/>
    <m/>
    <m/>
    <m/>
    <m/>
    <m/>
    <m/>
    <m/>
    <m/>
    <n v="0"/>
    <n v="0"/>
    <n v="0"/>
    <n v="12"/>
    <n v="12"/>
    <m/>
    <m/>
    <n v="0"/>
    <n v="343.65"/>
    <m/>
    <x v="19"/>
    <n v="52"/>
    <m/>
    <m/>
    <m/>
  </r>
  <r>
    <x v="0"/>
    <x v="4"/>
    <s v="7573/1"/>
    <x v="187"/>
    <s v="خذیفہ پلاسٹک اعظم مارکیٹ"/>
    <s v="PP"/>
    <n v="8"/>
    <s v="6"/>
    <s v="PP"/>
    <n v="50"/>
    <s v="PP"/>
    <n v="4"/>
    <n v="113.37"/>
    <n v="3.2"/>
    <m/>
    <m/>
    <n v="110.17"/>
    <s v="110.17"/>
    <m/>
    <m/>
    <m/>
    <n v="0"/>
    <n v="0"/>
    <m/>
    <m/>
    <m/>
    <m/>
    <m/>
    <m/>
    <m/>
    <m/>
    <n v="0"/>
    <n v="0"/>
    <n v="0"/>
    <n v="12"/>
    <n v="12"/>
    <m/>
    <m/>
    <n v="0"/>
    <n v="118.37"/>
    <m/>
    <x v="19"/>
    <n v="52"/>
    <m/>
    <m/>
    <m/>
  </r>
  <r>
    <x v="0"/>
    <x v="4"/>
    <s v="9/11"/>
    <x v="187"/>
    <s v="سٹاک"/>
    <s v="PP"/>
    <n v="9"/>
    <s v="5-5.5"/>
    <s v="PP"/>
    <n v="500"/>
    <s v="PP"/>
    <n v="4"/>
    <n v="188.07"/>
    <n v="3.6"/>
    <m/>
    <m/>
    <n v="184.47"/>
    <s v="762.16"/>
    <m/>
    <m/>
    <m/>
    <n v="0"/>
    <n v="0"/>
    <m/>
    <m/>
    <m/>
    <m/>
    <m/>
    <m/>
    <m/>
    <m/>
    <n v="0"/>
    <n v="0"/>
    <n v="0"/>
    <n v="12"/>
    <n v="12"/>
    <m/>
    <m/>
    <n v="0"/>
    <n v="193.07"/>
    <m/>
    <x v="19"/>
    <n v="52"/>
    <m/>
    <m/>
    <m/>
  </r>
  <r>
    <x v="0"/>
    <x v="4"/>
    <s v="7604/1"/>
    <x v="187"/>
    <s v="خذیفہ پلاسٹک اعظم مارکیٹ"/>
    <s v="PP"/>
    <n v="9"/>
    <s v="8"/>
    <s v="PP"/>
    <n v="100"/>
    <s v="PP"/>
    <n v="4"/>
    <n v="116.15"/>
    <n v="3.6"/>
    <m/>
    <m/>
    <n v="112.55000000000001"/>
    <s v="112.55000000000001"/>
    <m/>
    <m/>
    <m/>
    <n v="0"/>
    <n v="0"/>
    <m/>
    <m/>
    <m/>
    <m/>
    <m/>
    <m/>
    <m/>
    <m/>
    <n v="0"/>
    <n v="0"/>
    <n v="0"/>
    <n v="12"/>
    <n v="12"/>
    <m/>
    <m/>
    <n v="0"/>
    <n v="121.15"/>
    <m/>
    <x v="19"/>
    <n v="52"/>
    <m/>
    <m/>
    <m/>
  </r>
  <r>
    <x v="1"/>
    <x v="4"/>
    <s v="9/11"/>
    <x v="187"/>
    <s v="سٹاک"/>
    <s v="PP"/>
    <n v="9"/>
    <s v="5-5.5"/>
    <s v="PP"/>
    <n v="500"/>
    <s v="PP"/>
    <n v="10"/>
    <n v="483.28"/>
    <n v="11.5"/>
    <m/>
    <m/>
    <n v="471.78"/>
    <s v="762.16"/>
    <m/>
    <m/>
    <m/>
    <n v="0"/>
    <n v="0"/>
    <m/>
    <m/>
    <m/>
    <m/>
    <m/>
    <m/>
    <m/>
    <m/>
    <n v="0"/>
    <n v="0"/>
    <n v="0"/>
    <n v="12"/>
    <n v="12"/>
    <m/>
    <m/>
    <n v="0"/>
    <n v="488.28"/>
    <m/>
    <x v="19"/>
    <n v="52"/>
    <m/>
    <m/>
    <m/>
  </r>
  <r>
    <x v="0"/>
    <x v="0"/>
    <s v="4/11"/>
    <x v="188"/>
    <s v="سٹاک"/>
    <s v="PP"/>
    <n v="4"/>
    <s v="5-5.5"/>
    <s v="PP"/>
    <n v="1500"/>
    <s v="PP"/>
    <n v="8"/>
    <n v="153.96"/>
    <n v="3.2"/>
    <m/>
    <m/>
    <n v="150.76000000000002"/>
    <s v="2816.31"/>
    <m/>
    <m/>
    <m/>
    <n v="0"/>
    <n v="0"/>
    <m/>
    <m/>
    <m/>
    <m/>
    <m/>
    <m/>
    <m/>
    <m/>
    <n v="0"/>
    <n v="0"/>
    <n v="0"/>
    <n v="12"/>
    <n v="12"/>
    <m/>
    <m/>
    <n v="0"/>
    <n v="158.96"/>
    <m/>
    <x v="19"/>
    <n v="52"/>
    <m/>
    <m/>
    <m/>
  </r>
  <r>
    <x v="1"/>
    <x v="0"/>
    <s v="4/11"/>
    <x v="188"/>
    <s v="سٹاک"/>
    <s v="PP"/>
    <n v="4"/>
    <s v="5-5.5"/>
    <s v="PP"/>
    <n v="1500"/>
    <s v="PP"/>
    <n v="7"/>
    <n v="135.76999999999998"/>
    <n v="2.8000000000000003"/>
    <m/>
    <m/>
    <n v="132.96999999999997"/>
    <s v="2816.31"/>
    <m/>
    <m/>
    <m/>
    <n v="0"/>
    <n v="0"/>
    <m/>
    <m/>
    <m/>
    <m/>
    <m/>
    <m/>
    <m/>
    <m/>
    <n v="0"/>
    <n v="0"/>
    <n v="0"/>
    <n v="12"/>
    <n v="12"/>
    <m/>
    <m/>
    <n v="0"/>
    <n v="140.76999999999998"/>
    <m/>
    <x v="19"/>
    <n v="52"/>
    <m/>
    <m/>
    <m/>
  </r>
  <r>
    <x v="0"/>
    <x v="1"/>
    <s v="7621/5"/>
    <x v="188"/>
    <s v="اصف پلاسٹک سرگو ھا"/>
    <s v="PP"/>
    <n v="6"/>
    <s v="4.5"/>
    <s v="PP"/>
    <n v="100"/>
    <s v="PP"/>
    <n v="4"/>
    <n v="104.94999999999999"/>
    <n v="2.4"/>
    <m/>
    <m/>
    <n v="102.54999999999998"/>
    <s v="102.54999999999998"/>
    <m/>
    <m/>
    <m/>
    <n v="0"/>
    <n v="0"/>
    <m/>
    <m/>
    <m/>
    <m/>
    <m/>
    <m/>
    <m/>
    <m/>
    <n v="0"/>
    <n v="0"/>
    <n v="0"/>
    <n v="12"/>
    <n v="12"/>
    <m/>
    <m/>
    <n v="0"/>
    <n v="109.95"/>
    <m/>
    <x v="19"/>
    <n v="52"/>
    <m/>
    <m/>
    <m/>
  </r>
  <r>
    <x v="0"/>
    <x v="1"/>
    <s v="6/9"/>
    <x v="188"/>
    <s v="سٹاک"/>
    <s v="PP"/>
    <n v="6"/>
    <n v="5"/>
    <s v="PP"/>
    <n v="1000"/>
    <s v="PP"/>
    <n v="6"/>
    <n v="136.01"/>
    <n v="3.5999999999999996"/>
    <m/>
    <m/>
    <n v="132.41"/>
    <s v="1388.43"/>
    <m/>
    <m/>
    <m/>
    <n v="0"/>
    <n v="0"/>
    <m/>
    <m/>
    <m/>
    <m/>
    <m/>
    <m/>
    <m/>
    <m/>
    <n v="0"/>
    <n v="0"/>
    <n v="0"/>
    <n v="12"/>
    <n v="12"/>
    <m/>
    <m/>
    <n v="0"/>
    <n v="141.01"/>
    <m/>
    <x v="19"/>
    <n v="52"/>
    <m/>
    <m/>
    <m/>
  </r>
  <r>
    <x v="1"/>
    <x v="1"/>
    <s v="4/11"/>
    <x v="188"/>
    <s v="سٹاک"/>
    <s v="PP"/>
    <n v="4"/>
    <s v="5-5.5"/>
    <s v="PP"/>
    <n v="1500"/>
    <s v="PP"/>
    <n v="7"/>
    <n v="172.45999999999998"/>
    <n v="2.8000000000000003"/>
    <m/>
    <m/>
    <n v="169.65999999999997"/>
    <s v="2816.31"/>
    <m/>
    <m/>
    <m/>
    <n v="0"/>
    <n v="0"/>
    <m/>
    <m/>
    <m/>
    <m/>
    <m/>
    <m/>
    <m/>
    <m/>
    <n v="0"/>
    <n v="0"/>
    <n v="0"/>
    <n v="12"/>
    <n v="12"/>
    <m/>
    <m/>
    <n v="0"/>
    <n v="177.45999999999998"/>
    <m/>
    <x v="19"/>
    <n v="52"/>
    <m/>
    <m/>
    <m/>
  </r>
  <r>
    <x v="0"/>
    <x v="3"/>
    <s v="24/5"/>
    <x v="188"/>
    <s v="سٹاک"/>
    <s v="PP"/>
    <n v="24"/>
    <n v="5"/>
    <s v="PP"/>
    <n v="1000"/>
    <s v="PP"/>
    <n v="12"/>
    <n v="737.41"/>
    <n v="28.799999999999997"/>
    <m/>
    <m/>
    <n v="708.61"/>
    <s v="1030.76"/>
    <m/>
    <m/>
    <m/>
    <n v="0"/>
    <n v="0"/>
    <m/>
    <m/>
    <m/>
    <m/>
    <m/>
    <m/>
    <m/>
    <m/>
    <n v="0"/>
    <n v="0"/>
    <n v="0"/>
    <n v="12"/>
    <n v="12"/>
    <m/>
    <m/>
    <n v="0"/>
    <n v="742.41"/>
    <m/>
    <x v="19"/>
    <n v="52"/>
    <m/>
    <m/>
    <m/>
  </r>
  <r>
    <x v="0"/>
    <x v="3"/>
    <s v="7601/8"/>
    <x v="188"/>
    <s v="العمر پلاسٹک گوجرانوالہ"/>
    <s v="PP"/>
    <n v="24"/>
    <s v="10"/>
    <s v="PP"/>
    <n v="100"/>
    <s v="PP"/>
    <n v="1"/>
    <n v="47.92"/>
    <n v="2.4"/>
    <m/>
    <m/>
    <n v="45.52"/>
    <s v="101.15"/>
    <m/>
    <m/>
    <m/>
    <n v="0"/>
    <n v="0"/>
    <m/>
    <m/>
    <m/>
    <m/>
    <m/>
    <m/>
    <m/>
    <m/>
    <n v="0"/>
    <n v="0"/>
    <n v="0"/>
    <n v="12"/>
    <n v="12"/>
    <m/>
    <m/>
    <n v="0"/>
    <n v="52.92"/>
    <m/>
    <x v="19"/>
    <n v="52"/>
    <m/>
    <m/>
    <m/>
  </r>
  <r>
    <x v="1"/>
    <x v="3"/>
    <s v="7601/8"/>
    <x v="188"/>
    <s v="العمر پلاسٹک گوجرانوالہ"/>
    <s v="PP"/>
    <n v="24"/>
    <s v="10"/>
    <s v="PP"/>
    <n v="100"/>
    <s v="PP"/>
    <n v="1"/>
    <n v="58.93"/>
    <n v="3.3"/>
    <m/>
    <m/>
    <n v="55.63"/>
    <s v="101.15"/>
    <m/>
    <m/>
    <m/>
    <n v="0"/>
    <n v="0"/>
    <m/>
    <m/>
    <m/>
    <m/>
    <m/>
    <m/>
    <m/>
    <m/>
    <n v="0"/>
    <n v="0"/>
    <n v="0"/>
    <n v="12"/>
    <n v="12"/>
    <m/>
    <m/>
    <n v="0"/>
    <n v="63.93"/>
    <m/>
    <x v="19"/>
    <n v="52"/>
    <m/>
    <m/>
    <m/>
  </r>
  <r>
    <x v="1"/>
    <x v="3"/>
    <s v="6386 J"/>
    <x v="188"/>
    <s v="Punjab Rusk Lahore"/>
    <s v="PP"/>
    <n v="20"/>
    <s v="6-6.5"/>
    <s v="PP"/>
    <n v="500"/>
    <s v="PP"/>
    <n v="8"/>
    <n v="489.34"/>
    <n v="19.2"/>
    <m/>
    <m/>
    <n v="470.14"/>
    <s v="470.14"/>
    <m/>
    <m/>
    <m/>
    <n v="0"/>
    <n v="0"/>
    <m/>
    <m/>
    <m/>
    <m/>
    <m/>
    <m/>
    <m/>
    <m/>
    <n v="0"/>
    <n v="0"/>
    <n v="0"/>
    <n v="12"/>
    <n v="12"/>
    <m/>
    <m/>
    <n v="0"/>
    <n v="494.34"/>
    <m/>
    <x v="19"/>
    <n v="52"/>
    <m/>
    <m/>
    <m/>
  </r>
  <r>
    <x v="0"/>
    <x v="4"/>
    <s v="9/11"/>
    <x v="188"/>
    <s v="سٹاک"/>
    <s v="PP"/>
    <n v="9"/>
    <s v="5-5.5"/>
    <s v="PP"/>
    <n v="500"/>
    <s v="PP"/>
    <n v="2"/>
    <n v="107.71000000000001"/>
    <n v="1.8"/>
    <m/>
    <m/>
    <n v="105.91000000000001"/>
    <s v="762.16"/>
    <m/>
    <m/>
    <m/>
    <n v="0"/>
    <n v="0"/>
    <m/>
    <m/>
    <m/>
    <m/>
    <m/>
    <m/>
    <m/>
    <m/>
    <n v="0"/>
    <n v="0"/>
    <n v="0"/>
    <n v="12"/>
    <n v="12"/>
    <m/>
    <m/>
    <n v="0"/>
    <n v="112.71"/>
    <m/>
    <x v="19"/>
    <n v="52"/>
    <m/>
    <m/>
    <m/>
  </r>
  <r>
    <x v="0"/>
    <x v="4"/>
    <s v="7608/1"/>
    <x v="188"/>
    <s v="ریفلیکٹ پیک لاہور"/>
    <s v="PP"/>
    <n v="17"/>
    <s v="5.5-6"/>
    <s v="PP"/>
    <n v="5000"/>
    <s v="PP"/>
    <n v="4"/>
    <n v="255.18"/>
    <n v="6.8"/>
    <n v="15"/>
    <m/>
    <n v="248.38"/>
    <s v="4925.4399999999996"/>
    <m/>
    <m/>
    <m/>
    <n v="0"/>
    <n v="0"/>
    <m/>
    <m/>
    <m/>
    <m/>
    <m/>
    <m/>
    <m/>
    <m/>
    <n v="0"/>
    <n v="0"/>
    <n v="0"/>
    <n v="12"/>
    <n v="12"/>
    <m/>
    <m/>
    <n v="0"/>
    <n v="260.18"/>
    <m/>
    <x v="19"/>
    <n v="52"/>
    <m/>
    <m/>
    <m/>
  </r>
  <r>
    <x v="1"/>
    <x v="4"/>
    <s v="7608/1"/>
    <x v="188"/>
    <s v="ریفلیکٹ پیک لاہور"/>
    <s v="PP"/>
    <n v="17"/>
    <s v="5.5-6"/>
    <s v="PP"/>
    <n v="5000"/>
    <s v="PP"/>
    <n v="7"/>
    <n v="490.72"/>
    <n v="14"/>
    <n v="12"/>
    <m/>
    <n v="476.72"/>
    <s v="4925.4399999999996"/>
    <m/>
    <m/>
    <m/>
    <n v="0"/>
    <n v="0"/>
    <m/>
    <m/>
    <m/>
    <m/>
    <m/>
    <m/>
    <m/>
    <m/>
    <n v="0"/>
    <n v="0"/>
    <n v="0"/>
    <n v="12"/>
    <n v="12"/>
    <m/>
    <m/>
    <n v="0"/>
    <n v="495.72"/>
    <m/>
    <x v="19"/>
    <n v="52"/>
    <m/>
    <m/>
    <m/>
  </r>
  <r>
    <x v="2"/>
    <x v="6"/>
    <m/>
    <x v="189"/>
    <s v="A+B SHIFT ALL MACHINES OFF"/>
    <m/>
    <m/>
    <m/>
    <m/>
    <m/>
    <s v="PP"/>
    <m/>
    <m/>
    <m/>
    <m/>
    <m/>
    <n v="0"/>
    <s v="0"/>
    <m/>
    <m/>
    <m/>
    <n v="0"/>
    <n v="0"/>
    <m/>
    <m/>
    <m/>
    <m/>
    <m/>
    <m/>
    <m/>
    <m/>
    <n v="0"/>
    <n v="0"/>
    <n v="0"/>
    <n v="12"/>
    <n v="12"/>
    <m/>
    <m/>
    <n v="0"/>
    <n v="5"/>
    <m/>
    <x v="19"/>
    <m/>
    <m/>
    <m/>
    <m/>
  </r>
  <r>
    <x v="0"/>
    <x v="0"/>
    <s v="4/11"/>
    <x v="190"/>
    <s v="سٹاک"/>
    <s v="PP"/>
    <n v="4"/>
    <s v="5-5.5"/>
    <s v="PP"/>
    <n v="1500"/>
    <s v="PP"/>
    <n v="6"/>
    <n v="113.1"/>
    <n v="2.4000000000000004"/>
    <m/>
    <m/>
    <n v="110.69999999999999"/>
    <s v="2816.31"/>
    <m/>
    <n v="200"/>
    <m/>
    <n v="200"/>
    <n v="3.3333333333333335"/>
    <m/>
    <m/>
    <m/>
    <m/>
    <m/>
    <m/>
    <m/>
    <m/>
    <n v="0"/>
    <n v="0"/>
    <n v="3.3333333333333335"/>
    <n v="8.6666666666666661"/>
    <n v="12"/>
    <m/>
    <m/>
    <n v="0"/>
    <n v="118.1"/>
    <m/>
    <x v="20"/>
    <n v="52"/>
    <m/>
    <m/>
    <m/>
  </r>
  <r>
    <x v="1"/>
    <x v="0"/>
    <s v="4/11"/>
    <x v="190"/>
    <s v="سٹاک"/>
    <s v="PP"/>
    <n v="4"/>
    <s v="5-5.5"/>
    <s v="PP"/>
    <n v="1500"/>
    <s v="PP"/>
    <n v="8"/>
    <n v="167.32"/>
    <n v="3.2"/>
    <m/>
    <m/>
    <n v="164.12"/>
    <s v="2816.31"/>
    <m/>
    <m/>
    <m/>
    <n v="0"/>
    <n v="0"/>
    <m/>
    <m/>
    <m/>
    <m/>
    <m/>
    <m/>
    <m/>
    <m/>
    <n v="0"/>
    <n v="0"/>
    <n v="0"/>
    <n v="12"/>
    <n v="12"/>
    <m/>
    <m/>
    <n v="0"/>
    <n v="172.32"/>
    <m/>
    <x v="20"/>
    <n v="52"/>
    <m/>
    <m/>
    <m/>
  </r>
  <r>
    <x v="0"/>
    <x v="1"/>
    <s v="6/9"/>
    <x v="190"/>
    <s v="سٹاک"/>
    <s v="PP"/>
    <n v="6"/>
    <n v="5"/>
    <s v="PP"/>
    <n v="1000"/>
    <s v="PP"/>
    <n v="7"/>
    <n v="148.35000000000002"/>
    <n v="4.2"/>
    <m/>
    <m/>
    <n v="144.15000000000003"/>
    <s v="1388.43"/>
    <m/>
    <n v="180"/>
    <m/>
    <n v="180"/>
    <n v="3"/>
    <m/>
    <m/>
    <m/>
    <m/>
    <m/>
    <m/>
    <m/>
    <m/>
    <n v="0"/>
    <n v="0"/>
    <n v="3"/>
    <n v="9"/>
    <n v="12"/>
    <m/>
    <m/>
    <n v="0"/>
    <n v="153.35000000000002"/>
    <m/>
    <x v="20"/>
    <n v="52"/>
    <m/>
    <m/>
    <m/>
  </r>
  <r>
    <x v="1"/>
    <x v="1"/>
    <s v="6/9"/>
    <x v="190"/>
    <s v="سٹاک"/>
    <s v="PP"/>
    <n v="6"/>
    <n v="5"/>
    <s v="PP"/>
    <n v="1000"/>
    <s v="PP"/>
    <n v="10"/>
    <n v="228.29"/>
    <n v="6"/>
    <m/>
    <m/>
    <n v="222.29"/>
    <s v="1388.43"/>
    <m/>
    <m/>
    <m/>
    <n v="0"/>
    <n v="0"/>
    <m/>
    <m/>
    <m/>
    <m/>
    <m/>
    <m/>
    <m/>
    <m/>
    <n v="0"/>
    <n v="0"/>
    <n v="0"/>
    <n v="12"/>
    <n v="12"/>
    <m/>
    <m/>
    <n v="0"/>
    <n v="233.29"/>
    <m/>
    <x v="20"/>
    <n v="52"/>
    <m/>
    <m/>
    <m/>
  </r>
  <r>
    <x v="0"/>
    <x v="3"/>
    <s v="6385 J"/>
    <x v="190"/>
    <s v="Punjab Rusk Lahore"/>
    <s v="PP"/>
    <n v="20"/>
    <s v="6-6.5"/>
    <s v="PP"/>
    <n v="500"/>
    <s v="PP"/>
    <n v="10"/>
    <n v="558.8900000000001"/>
    <n v="24"/>
    <n v="23"/>
    <m/>
    <n v="534.8900000000001"/>
    <s v="534.8900000000001"/>
    <m/>
    <n v="180"/>
    <m/>
    <n v="180"/>
    <n v="3"/>
    <m/>
    <m/>
    <m/>
    <m/>
    <m/>
    <m/>
    <m/>
    <m/>
    <n v="0"/>
    <n v="0"/>
    <n v="3"/>
    <n v="9"/>
    <n v="12"/>
    <m/>
    <m/>
    <n v="0"/>
    <n v="563.8900000000001"/>
    <m/>
    <x v="20"/>
    <n v="52"/>
    <m/>
    <m/>
    <m/>
  </r>
  <r>
    <x v="1"/>
    <x v="3"/>
    <s v="6397 J"/>
    <x v="190"/>
    <s v="Jilani Poly Stock"/>
    <s v="PP"/>
    <n v="20"/>
    <s v="5-5.5"/>
    <s v="PP"/>
    <s v="-"/>
    <s v="PP"/>
    <n v="12"/>
    <n v="729.15"/>
    <n v="28.799999999999997"/>
    <n v="16"/>
    <m/>
    <n v="700.35"/>
    <s v="1198.79"/>
    <m/>
    <m/>
    <m/>
    <n v="0"/>
    <n v="0"/>
    <m/>
    <m/>
    <n v="10"/>
    <m/>
    <m/>
    <m/>
    <m/>
    <m/>
    <n v="10"/>
    <n v="0.16666666666666666"/>
    <n v="0.16666666666666666"/>
    <n v="11.833333333333334"/>
    <n v="12"/>
    <m/>
    <m/>
    <n v="0"/>
    <n v="734.15"/>
    <m/>
    <x v="20"/>
    <n v="52"/>
    <m/>
    <m/>
    <m/>
  </r>
  <r>
    <x v="0"/>
    <x v="4"/>
    <s v="7608/1"/>
    <x v="190"/>
    <s v="ریفلیکٹ پیک لاہور"/>
    <s v="PP"/>
    <n v="17"/>
    <s v="5.5-6"/>
    <s v="PP"/>
    <n v="5000"/>
    <s v="PP"/>
    <n v="5"/>
    <n v="359.78000000000003"/>
    <n v="9.7799999999999994"/>
    <n v="5"/>
    <m/>
    <n v="350.00000000000006"/>
    <s v="4925.4399999999996"/>
    <m/>
    <n v="210"/>
    <m/>
    <n v="210"/>
    <n v="3.5"/>
    <m/>
    <m/>
    <m/>
    <m/>
    <m/>
    <m/>
    <m/>
    <m/>
    <n v="0"/>
    <n v="0"/>
    <n v="3.5"/>
    <n v="8.5"/>
    <n v="12"/>
    <m/>
    <m/>
    <n v="0"/>
    <n v="364.78"/>
    <m/>
    <x v="20"/>
    <n v="52"/>
    <m/>
    <m/>
    <m/>
  </r>
  <r>
    <x v="1"/>
    <x v="4"/>
    <s v="7608/1"/>
    <x v="190"/>
    <s v="ریفلیکٹ پیک لاہور"/>
    <s v="PP"/>
    <n v="17"/>
    <s v="5.5-6"/>
    <s v="PP"/>
    <n v="5000"/>
    <s v="PP"/>
    <n v="8"/>
    <n v="595.03"/>
    <n v="16"/>
    <n v="5"/>
    <m/>
    <n v="579.03"/>
    <s v="4925.4399999999996"/>
    <m/>
    <m/>
    <m/>
    <n v="0"/>
    <n v="0"/>
    <m/>
    <m/>
    <m/>
    <m/>
    <m/>
    <m/>
    <m/>
    <m/>
    <n v="0"/>
    <n v="0"/>
    <n v="0"/>
    <n v="12"/>
    <n v="12"/>
    <m/>
    <m/>
    <n v="0"/>
    <n v="600.03"/>
    <m/>
    <x v="20"/>
    <n v="52"/>
    <m/>
    <m/>
    <m/>
  </r>
  <r>
    <x v="0"/>
    <x v="0"/>
    <s v="4/11"/>
    <x v="191"/>
    <s v="سٹاک"/>
    <s v="PP"/>
    <n v="4"/>
    <s v="5-5.5"/>
    <s v="PP"/>
    <n v="1500"/>
    <s v="PP"/>
    <n v="7"/>
    <n v="153.16"/>
    <n v="2.8000000000000003"/>
    <m/>
    <m/>
    <n v="150.35999999999999"/>
    <s v="2816.31"/>
    <m/>
    <m/>
    <m/>
    <n v="0"/>
    <n v="0"/>
    <m/>
    <m/>
    <m/>
    <m/>
    <m/>
    <m/>
    <m/>
    <m/>
    <n v="0"/>
    <n v="0"/>
    <n v="0"/>
    <n v="12"/>
    <n v="12"/>
    <m/>
    <m/>
    <n v="0"/>
    <n v="158.16"/>
    <m/>
    <x v="20"/>
    <n v="52"/>
    <m/>
    <m/>
    <m/>
  </r>
  <r>
    <x v="1"/>
    <x v="0"/>
    <s v="4/11"/>
    <x v="191"/>
    <s v="سٹاک"/>
    <s v="PP"/>
    <n v="4"/>
    <s v="5-5.5"/>
    <s v="PP"/>
    <n v="1500"/>
    <s v="PP"/>
    <n v="7"/>
    <n v="154.63"/>
    <n v="2.8000000000000003"/>
    <m/>
    <m/>
    <n v="151.82999999999998"/>
    <s v="2816.31"/>
    <m/>
    <m/>
    <m/>
    <n v="0"/>
    <n v="0"/>
    <m/>
    <m/>
    <m/>
    <m/>
    <m/>
    <m/>
    <m/>
    <m/>
    <n v="0"/>
    <n v="0"/>
    <n v="0"/>
    <n v="12"/>
    <n v="12"/>
    <m/>
    <m/>
    <n v="0"/>
    <n v="159.63"/>
    <m/>
    <x v="20"/>
    <n v="52"/>
    <m/>
    <m/>
    <m/>
  </r>
  <r>
    <x v="0"/>
    <x v="1"/>
    <s v="7614/5"/>
    <x v="191"/>
    <s v="محبوب مقبول گوجرانوالہ"/>
    <s v="PP"/>
    <n v="6"/>
    <s v="5"/>
    <s v="PP"/>
    <s v="4 رول بیگ"/>
    <s v="PP"/>
    <n v="7"/>
    <n v="148.68"/>
    <n v="4.2"/>
    <m/>
    <m/>
    <n v="144.48000000000002"/>
    <s v="144.48000000000002"/>
    <m/>
    <m/>
    <m/>
    <n v="0"/>
    <n v="0"/>
    <m/>
    <m/>
    <m/>
    <m/>
    <m/>
    <m/>
    <m/>
    <m/>
    <n v="0"/>
    <n v="0"/>
    <n v="0"/>
    <n v="12"/>
    <n v="12"/>
    <m/>
    <m/>
    <n v="0"/>
    <n v="153.68"/>
    <m/>
    <x v="20"/>
    <n v="52"/>
    <m/>
    <m/>
    <m/>
  </r>
  <r>
    <x v="0"/>
    <x v="1"/>
    <s v="6/9"/>
    <x v="191"/>
    <s v="سٹاک"/>
    <s v="PP"/>
    <n v="6"/>
    <n v="5"/>
    <s v="PP"/>
    <n v="1000"/>
    <s v="PP"/>
    <n v="4"/>
    <n v="73.459999999999994"/>
    <n v="2.4"/>
    <m/>
    <m/>
    <n v="71.059999999999988"/>
    <s v="1388.43"/>
    <m/>
    <m/>
    <m/>
    <n v="0"/>
    <n v="0"/>
    <m/>
    <m/>
    <m/>
    <m/>
    <m/>
    <m/>
    <m/>
    <m/>
    <n v="0"/>
    <n v="0"/>
    <n v="0"/>
    <n v="12"/>
    <n v="12"/>
    <m/>
    <m/>
    <n v="0"/>
    <n v="78.459999999999994"/>
    <m/>
    <x v="20"/>
    <n v="52"/>
    <m/>
    <m/>
    <m/>
  </r>
  <r>
    <x v="1"/>
    <x v="1"/>
    <s v="6/9"/>
    <x v="191"/>
    <s v="سٹاک"/>
    <s v="PP"/>
    <n v="6"/>
    <n v="5"/>
    <s v="PP"/>
    <n v="1000"/>
    <s v="PP"/>
    <n v="12"/>
    <n v="241.56"/>
    <n v="7.1999999999999993"/>
    <m/>
    <m/>
    <n v="234.36"/>
    <s v="1388.43"/>
    <m/>
    <m/>
    <m/>
    <n v="0"/>
    <n v="0"/>
    <m/>
    <m/>
    <m/>
    <m/>
    <m/>
    <m/>
    <m/>
    <m/>
    <n v="0"/>
    <n v="0"/>
    <n v="0"/>
    <n v="12"/>
    <n v="12"/>
    <m/>
    <m/>
    <n v="0"/>
    <n v="246.56"/>
    <m/>
    <x v="20"/>
    <n v="52"/>
    <m/>
    <m/>
    <m/>
  </r>
  <r>
    <x v="1"/>
    <x v="2"/>
    <s v="6/9"/>
    <x v="191"/>
    <s v="سٹاک"/>
    <s v="PP"/>
    <n v="6"/>
    <n v="5"/>
    <s v="PP"/>
    <n v="1000"/>
    <s v="PP"/>
    <n v="2"/>
    <n v="64.52000000000001"/>
    <n v="1.2"/>
    <m/>
    <m/>
    <n v="63.320000000000007"/>
    <s v="1388.43"/>
    <m/>
    <n v="150"/>
    <m/>
    <n v="150"/>
    <n v="2.5"/>
    <m/>
    <m/>
    <m/>
    <m/>
    <m/>
    <m/>
    <n v="30"/>
    <m/>
    <n v="30"/>
    <n v="0.5"/>
    <n v="3"/>
    <n v="9"/>
    <n v="12"/>
    <m/>
    <m/>
    <n v="0"/>
    <n v="69.52000000000001"/>
    <m/>
    <x v="20"/>
    <n v="52"/>
    <m/>
    <m/>
    <m/>
  </r>
  <r>
    <x v="1"/>
    <x v="2"/>
    <s v="6429 J"/>
    <x v="191"/>
    <s v="Ibtsam Traders Sheikhupura"/>
    <s v="PP"/>
    <n v="6"/>
    <s v="7.5-8"/>
    <s v="PP"/>
    <n v="200"/>
    <s v="PP"/>
    <n v="4"/>
    <n v="125.28999999999999"/>
    <n v="3.2"/>
    <m/>
    <m/>
    <n v="122.08999999999999"/>
    <s v="209.89999999999998"/>
    <m/>
    <m/>
    <m/>
    <n v="0"/>
    <n v="0"/>
    <m/>
    <m/>
    <m/>
    <m/>
    <m/>
    <m/>
    <m/>
    <m/>
    <n v="0"/>
    <n v="0"/>
    <n v="0"/>
    <n v="12"/>
    <n v="12"/>
    <m/>
    <m/>
    <n v="0"/>
    <n v="130.29"/>
    <m/>
    <x v="20"/>
    <n v="52"/>
    <m/>
    <m/>
    <m/>
  </r>
  <r>
    <x v="0"/>
    <x v="4"/>
    <s v="7608/1"/>
    <x v="191"/>
    <s v="ریفلیکٹ پیک لاہور"/>
    <s v="PP"/>
    <n v="17"/>
    <s v="5.5-6"/>
    <s v="PP"/>
    <n v="5000"/>
    <s v="PP"/>
    <n v="4"/>
    <n v="306.88"/>
    <n v="7.8000000000000007"/>
    <m/>
    <m/>
    <n v="299.08"/>
    <s v="4925.4399999999996"/>
    <m/>
    <m/>
    <m/>
    <n v="0"/>
    <n v="0"/>
    <n v="375"/>
    <m/>
    <m/>
    <m/>
    <m/>
    <m/>
    <m/>
    <m/>
    <n v="375"/>
    <n v="6.25"/>
    <n v="6.25"/>
    <n v="5.75"/>
    <n v="12"/>
    <m/>
    <m/>
    <n v="0"/>
    <n v="311.88"/>
    <m/>
    <x v="20"/>
    <n v="52"/>
    <m/>
    <m/>
    <m/>
  </r>
  <r>
    <x v="1"/>
    <x v="4"/>
    <s v="2686 F"/>
    <x v="191"/>
    <s v="Usman Amin"/>
    <s v="PP"/>
    <n v="17"/>
    <s v="7.5-8"/>
    <s v="PP"/>
    <n v="300"/>
    <s v="PP"/>
    <n v="6"/>
    <n v="326.44"/>
    <n v="10.199999999999999"/>
    <m/>
    <m/>
    <n v="316.24"/>
    <s v="316.24"/>
    <m/>
    <m/>
    <m/>
    <n v="0"/>
    <n v="0"/>
    <m/>
    <m/>
    <m/>
    <m/>
    <m/>
    <m/>
    <m/>
    <m/>
    <n v="0"/>
    <n v="0"/>
    <n v="0"/>
    <n v="12"/>
    <n v="12"/>
    <m/>
    <m/>
    <n v="0"/>
    <n v="331.44"/>
    <m/>
    <x v="20"/>
    <n v="52"/>
    <m/>
    <m/>
    <m/>
  </r>
  <r>
    <x v="1"/>
    <x v="4"/>
    <s v="7608/1"/>
    <x v="191"/>
    <s v="ریفلیکٹ پیک لاہور"/>
    <s v="PP"/>
    <n v="17"/>
    <s v="5.5-6"/>
    <s v="PP"/>
    <n v="5000"/>
    <s v="PP"/>
    <n v="4"/>
    <n v="259.83000000000004"/>
    <n v="8.8000000000000007"/>
    <m/>
    <m/>
    <n v="251.03000000000003"/>
    <s v="4925.4399999999996"/>
    <m/>
    <m/>
    <m/>
    <n v="0"/>
    <n v="0"/>
    <m/>
    <m/>
    <m/>
    <m/>
    <m/>
    <m/>
    <m/>
    <m/>
    <n v="0"/>
    <n v="0"/>
    <n v="0"/>
    <n v="12"/>
    <n v="12"/>
    <m/>
    <m/>
    <n v="0"/>
    <n v="264.83000000000004"/>
    <m/>
    <x v="20"/>
    <n v="52"/>
    <m/>
    <m/>
    <m/>
  </r>
  <r>
    <x v="0"/>
    <x v="3"/>
    <s v="6397 J"/>
    <x v="191"/>
    <s v="Jilani Poly Stock"/>
    <s v="PP"/>
    <n v="20"/>
    <s v="5-5.5"/>
    <s v="PP"/>
    <s v="-"/>
    <s v="PP"/>
    <n v="4"/>
    <n v="240.88"/>
    <n v="9.6"/>
    <n v="4"/>
    <m/>
    <n v="231.28"/>
    <s v="1198.79"/>
    <m/>
    <m/>
    <m/>
    <n v="0"/>
    <n v="0"/>
    <n v="480"/>
    <m/>
    <n v="75"/>
    <m/>
    <m/>
    <m/>
    <m/>
    <m/>
    <n v="555"/>
    <n v="9.25"/>
    <n v="9.25"/>
    <n v="2.75"/>
    <n v="12"/>
    <m/>
    <m/>
    <n v="0"/>
    <n v="245.88"/>
    <m/>
    <x v="20"/>
    <n v="52"/>
    <m/>
    <m/>
    <m/>
  </r>
  <r>
    <x v="1"/>
    <x v="3"/>
    <s v="6397 J"/>
    <x v="191"/>
    <s v="Jilani Poly Stock"/>
    <s v="PP"/>
    <n v="20"/>
    <s v="5-5.5"/>
    <s v="PP"/>
    <s v="-"/>
    <s v="PP"/>
    <n v="4"/>
    <n v="277.15999999999997"/>
    <n v="10"/>
    <n v="4"/>
    <m/>
    <n v="267.15999999999997"/>
    <s v="1198.79"/>
    <n v="25"/>
    <m/>
    <m/>
    <n v="25"/>
    <n v="0.41666666666666674"/>
    <m/>
    <m/>
    <m/>
    <m/>
    <m/>
    <m/>
    <m/>
    <m/>
    <n v="0"/>
    <n v="0"/>
    <n v="0.41666666666666674"/>
    <n v="11.583333333333334"/>
    <n v="12"/>
    <m/>
    <m/>
    <n v="0"/>
    <n v="282.15999999999997"/>
    <m/>
    <x v="20"/>
    <n v="52"/>
    <m/>
    <m/>
    <m/>
  </r>
  <r>
    <x v="1"/>
    <x v="3"/>
    <s v="6463 J"/>
    <x v="191"/>
    <s v="Jhangir Hussain Gudam Leager HD"/>
    <s v="PP"/>
    <n v="22"/>
    <s v="5-5.5"/>
    <s v="PP"/>
    <n v="300"/>
    <s v="PP"/>
    <n v="6"/>
    <n v="370.21999999999997"/>
    <n v="16.799999999999997"/>
    <n v="31"/>
    <m/>
    <n v="353.41999999999996"/>
    <s v="353.41999999999996"/>
    <n v="25"/>
    <m/>
    <m/>
    <n v="25"/>
    <n v="0.41666666666666674"/>
    <m/>
    <m/>
    <m/>
    <m/>
    <m/>
    <m/>
    <m/>
    <m/>
    <n v="0"/>
    <n v="0"/>
    <n v="0.41666666666666674"/>
    <n v="11.583333333333334"/>
    <n v="12"/>
    <m/>
    <m/>
    <n v="0"/>
    <n v="375.22"/>
    <m/>
    <x v="20"/>
    <n v="52"/>
    <m/>
    <m/>
    <m/>
  </r>
  <r>
    <x v="1"/>
    <x v="3"/>
    <s v="6298 J"/>
    <x v="191"/>
    <s v="Laam Lungi By M Shawl Lahore "/>
    <s v="PP"/>
    <n v="15"/>
    <s v="6-6.5"/>
    <s v="PP"/>
    <n v="125"/>
    <s v="PP"/>
    <n v="1"/>
    <n v="49.6"/>
    <n v="1.9"/>
    <n v="32"/>
    <m/>
    <n v="47.7"/>
    <s v="131.76999999999998"/>
    <m/>
    <m/>
    <m/>
    <n v="0"/>
    <n v="0"/>
    <m/>
    <m/>
    <m/>
    <m/>
    <m/>
    <m/>
    <m/>
    <m/>
    <n v="0"/>
    <n v="0"/>
    <n v="0"/>
    <n v="12"/>
    <n v="12"/>
    <m/>
    <m/>
    <n v="0"/>
    <n v="54.6"/>
    <m/>
    <x v="20"/>
    <n v="52"/>
    <m/>
    <m/>
    <m/>
  </r>
  <r>
    <x v="0"/>
    <x v="0"/>
    <s v="4/11"/>
    <x v="192"/>
    <s v="سٹاک"/>
    <s v="PP"/>
    <n v="4"/>
    <s v="5-5.5"/>
    <s v="PP"/>
    <n v="1500"/>
    <s v="PP"/>
    <n v="8"/>
    <n v="171.83"/>
    <n v="3.2"/>
    <m/>
    <m/>
    <n v="168.63000000000002"/>
    <s v="2816.31"/>
    <m/>
    <m/>
    <m/>
    <n v="0"/>
    <n v="0"/>
    <m/>
    <m/>
    <m/>
    <m/>
    <m/>
    <m/>
    <m/>
    <m/>
    <n v="0"/>
    <n v="0"/>
    <n v="0"/>
    <n v="12"/>
    <n v="12"/>
    <m/>
    <m/>
    <n v="0"/>
    <n v="176.83"/>
    <m/>
    <x v="20"/>
    <n v="52"/>
    <m/>
    <m/>
    <m/>
  </r>
  <r>
    <x v="1"/>
    <x v="0"/>
    <s v="4/11"/>
    <x v="192"/>
    <s v="سٹاک"/>
    <s v="PP"/>
    <n v="4"/>
    <s v="5-5.5"/>
    <s v="PP"/>
    <n v="1500"/>
    <s v="PP"/>
    <n v="8"/>
    <n v="156.85"/>
    <n v="3.2"/>
    <m/>
    <m/>
    <n v="153.65"/>
    <s v="2816.31"/>
    <m/>
    <m/>
    <m/>
    <n v="0"/>
    <n v="0"/>
    <m/>
    <m/>
    <m/>
    <m/>
    <m/>
    <m/>
    <m/>
    <m/>
    <n v="0"/>
    <n v="0"/>
    <n v="0"/>
    <n v="12"/>
    <n v="12"/>
    <m/>
    <m/>
    <n v="0"/>
    <n v="161.85"/>
    <m/>
    <x v="20"/>
    <n v="52"/>
    <m/>
    <m/>
    <m/>
  </r>
  <r>
    <x v="1"/>
    <x v="0"/>
    <s v="7621/9"/>
    <x v="192"/>
    <s v="اصف پلاسٹک سرگو ھا"/>
    <s v="PP"/>
    <n v="4"/>
    <s v="4.5"/>
    <s v="PP"/>
    <n v="250"/>
    <s v="PP"/>
    <n v="1"/>
    <n v="15.5"/>
    <n v="0.4"/>
    <m/>
    <m/>
    <n v="15.1"/>
    <s v="265.49"/>
    <m/>
    <m/>
    <m/>
    <n v="0"/>
    <n v="0"/>
    <m/>
    <m/>
    <m/>
    <m/>
    <m/>
    <m/>
    <m/>
    <m/>
    <n v="0"/>
    <n v="0"/>
    <n v="0"/>
    <n v="12"/>
    <n v="12"/>
    <m/>
    <m/>
    <n v="0"/>
    <n v="20.5"/>
    <m/>
    <x v="20"/>
    <n v="52"/>
    <m/>
    <m/>
    <m/>
  </r>
  <r>
    <x v="0"/>
    <x v="1"/>
    <s v="6/9"/>
    <x v="192"/>
    <s v="سٹاک"/>
    <s v="PP"/>
    <n v="6"/>
    <n v="5"/>
    <s v="PP"/>
    <n v="1000"/>
    <s v="PP"/>
    <n v="3"/>
    <n v="70.97"/>
    <n v="1.7999999999999998"/>
    <m/>
    <m/>
    <n v="69.17"/>
    <s v="1388.43"/>
    <m/>
    <m/>
    <m/>
    <n v="0"/>
    <n v="0"/>
    <m/>
    <m/>
    <m/>
    <m/>
    <m/>
    <m/>
    <m/>
    <m/>
    <n v="0"/>
    <n v="0"/>
    <n v="0"/>
    <n v="12"/>
    <n v="12"/>
    <m/>
    <m/>
    <n v="0"/>
    <n v="75.97"/>
    <m/>
    <x v="20"/>
    <n v="52"/>
    <m/>
    <m/>
    <m/>
  </r>
  <r>
    <x v="0"/>
    <x v="1"/>
    <s v="5/5"/>
    <x v="192"/>
    <s v="سٹاک"/>
    <s v="PP"/>
    <n v="5"/>
    <s v="5.5-6"/>
    <s v="PP"/>
    <s v=" رول بیگ 15"/>
    <s v="PP"/>
    <n v="7"/>
    <n v="152.19999999999999"/>
    <n v="3.5"/>
    <m/>
    <m/>
    <n v="148.69999999999999"/>
    <s v="519.29999999999995"/>
    <n v="25"/>
    <m/>
    <m/>
    <n v="25"/>
    <n v="0.41666666666666674"/>
    <m/>
    <m/>
    <m/>
    <m/>
    <m/>
    <m/>
    <m/>
    <m/>
    <n v="0"/>
    <n v="0"/>
    <n v="0.41666666666666674"/>
    <n v="11.583333333333334"/>
    <n v="12"/>
    <m/>
    <m/>
    <n v="0"/>
    <n v="157.19999999999999"/>
    <m/>
    <x v="20"/>
    <n v="52"/>
    <m/>
    <m/>
    <m/>
  </r>
  <r>
    <x v="1"/>
    <x v="1"/>
    <s v="5/5"/>
    <x v="192"/>
    <s v="سٹاک"/>
    <s v="PP"/>
    <n v="5"/>
    <s v="5.5-6"/>
    <s v="PP"/>
    <s v=" رول بیگ 15"/>
    <s v="PP"/>
    <n v="9"/>
    <n v="225.26"/>
    <n v="5"/>
    <m/>
    <m/>
    <n v="220.26"/>
    <s v="519.29999999999995"/>
    <m/>
    <m/>
    <m/>
    <n v="0"/>
    <n v="0"/>
    <m/>
    <m/>
    <m/>
    <m/>
    <m/>
    <m/>
    <m/>
    <m/>
    <n v="0"/>
    <n v="0"/>
    <n v="0"/>
    <n v="12"/>
    <n v="12"/>
    <m/>
    <m/>
    <n v="0"/>
    <n v="230.26"/>
    <m/>
    <x v="20"/>
    <n v="52"/>
    <m/>
    <m/>
    <m/>
  </r>
  <r>
    <x v="0"/>
    <x v="2"/>
    <s v="6429 J"/>
    <x v="192"/>
    <s v="Ibtsam Traders Sheikhupura"/>
    <s v="PP"/>
    <n v="6"/>
    <s v="7.5-8"/>
    <s v="PP"/>
    <n v="200"/>
    <s v="PP"/>
    <n v="3"/>
    <n v="90.210000000000008"/>
    <n v="2.4000000000000004"/>
    <m/>
    <m/>
    <n v="87.81"/>
    <s v="209.89999999999998"/>
    <m/>
    <m/>
    <m/>
    <n v="0"/>
    <n v="0"/>
    <m/>
    <m/>
    <m/>
    <m/>
    <m/>
    <m/>
    <m/>
    <m/>
    <n v="0"/>
    <n v="0"/>
    <n v="0"/>
    <n v="12"/>
    <n v="12"/>
    <m/>
    <m/>
    <n v="0"/>
    <n v="95.21"/>
    <m/>
    <x v="20"/>
    <n v="52"/>
    <m/>
    <m/>
    <m/>
  </r>
  <r>
    <x v="0"/>
    <x v="2"/>
    <s v="7621/4"/>
    <x v="192"/>
    <s v="اصف پلاسٹک سرگو ھا"/>
    <s v="PP"/>
    <n v="7"/>
    <s v="4.5"/>
    <s v="PP"/>
    <n v="100"/>
    <s v="PP"/>
    <n v="4"/>
    <n v="124.51"/>
    <n v="3.6"/>
    <m/>
    <m/>
    <n v="120.91000000000001"/>
    <s v="120.91000000000001"/>
    <m/>
    <m/>
    <m/>
    <n v="0"/>
    <n v="0"/>
    <m/>
    <m/>
    <m/>
    <m/>
    <m/>
    <m/>
    <m/>
    <m/>
    <n v="0"/>
    <n v="0"/>
    <n v="0"/>
    <n v="12"/>
    <n v="12"/>
    <m/>
    <m/>
    <n v="0"/>
    <n v="129.51"/>
    <m/>
    <x v="20"/>
    <n v="52"/>
    <m/>
    <m/>
    <m/>
  </r>
  <r>
    <x v="0"/>
    <x v="2"/>
    <s v="7596/3"/>
    <x v="192"/>
    <s v="ایم دین پنڈی"/>
    <s v="PP"/>
    <n v="7"/>
    <s v="15"/>
    <s v="PP"/>
    <n v="150"/>
    <s v="PP"/>
    <n v="1"/>
    <n v="35.200000000000003"/>
    <n v="0.9"/>
    <m/>
    <m/>
    <n v="34.300000000000004"/>
    <s v="182.34"/>
    <n v="20"/>
    <m/>
    <m/>
    <n v="20"/>
    <n v="0.33333333333333331"/>
    <m/>
    <m/>
    <m/>
    <m/>
    <m/>
    <m/>
    <m/>
    <m/>
    <n v="0"/>
    <n v="0"/>
    <n v="0.33333333333333331"/>
    <n v="11.666666666666666"/>
    <n v="12"/>
    <m/>
    <m/>
    <n v="0"/>
    <n v="40.200000000000003"/>
    <m/>
    <x v="20"/>
    <n v="52"/>
    <m/>
    <m/>
    <m/>
  </r>
  <r>
    <x v="0"/>
    <x v="2"/>
    <s v="7/10"/>
    <x v="192"/>
    <s v="سٹاک"/>
    <s v="PP"/>
    <n v="7"/>
    <n v="5"/>
    <s v="PP"/>
    <n v="1000"/>
    <s v="PP"/>
    <n v="1"/>
    <n v="32.549999999999997"/>
    <n v="0.7"/>
    <m/>
    <m/>
    <n v="31.849999999999998"/>
    <s v="1136.6300000000001"/>
    <m/>
    <m/>
    <m/>
    <n v="0"/>
    <n v="0"/>
    <m/>
    <m/>
    <m/>
    <m/>
    <m/>
    <m/>
    <m/>
    <m/>
    <n v="0"/>
    <n v="0"/>
    <n v="0"/>
    <n v="12"/>
    <n v="12"/>
    <m/>
    <m/>
    <n v="0"/>
    <n v="37.549999999999997"/>
    <m/>
    <x v="20"/>
    <n v="52"/>
    <m/>
    <m/>
    <m/>
  </r>
  <r>
    <x v="1"/>
    <x v="2"/>
    <s v="7596/3"/>
    <x v="192"/>
    <s v="ایم دین پنڈی"/>
    <s v="PP"/>
    <n v="7"/>
    <s v="15"/>
    <s v="PP"/>
    <n v="150"/>
    <s v="PP"/>
    <n v="6"/>
    <n v="153.44"/>
    <n v="5.4"/>
    <m/>
    <m/>
    <n v="148.04"/>
    <s v="182.34"/>
    <m/>
    <m/>
    <m/>
    <n v="0"/>
    <n v="0"/>
    <m/>
    <m/>
    <m/>
    <m/>
    <m/>
    <m/>
    <m/>
    <m/>
    <n v="0"/>
    <n v="0"/>
    <n v="0"/>
    <n v="12"/>
    <n v="12"/>
    <m/>
    <m/>
    <n v="0"/>
    <n v="158.44"/>
    <m/>
    <x v="20"/>
    <n v="52"/>
    <m/>
    <m/>
    <m/>
  </r>
  <r>
    <x v="1"/>
    <x v="2"/>
    <s v="7/10"/>
    <x v="192"/>
    <s v="سٹاک"/>
    <s v="PP"/>
    <n v="7"/>
    <n v="5"/>
    <s v="PP"/>
    <n v="1000"/>
    <s v="PP"/>
    <n v="6"/>
    <n v="198.99"/>
    <n v="5.4"/>
    <m/>
    <m/>
    <n v="193.59"/>
    <s v="1136.6300000000001"/>
    <m/>
    <m/>
    <m/>
    <n v="0"/>
    <n v="0"/>
    <m/>
    <m/>
    <m/>
    <m/>
    <m/>
    <m/>
    <m/>
    <m/>
    <n v="0"/>
    <n v="0"/>
    <n v="0"/>
    <n v="12"/>
    <n v="12"/>
    <m/>
    <m/>
    <n v="0"/>
    <n v="203.99"/>
    <m/>
    <x v="20"/>
    <n v="52"/>
    <m/>
    <m/>
    <m/>
  </r>
  <r>
    <x v="0"/>
    <x v="3"/>
    <s v="6298 J"/>
    <x v="192"/>
    <s v="Laam Lungi By M Shawl Lahore "/>
    <s v="PP"/>
    <n v="15"/>
    <s v="6-6.5"/>
    <s v="PP"/>
    <n v="125"/>
    <s v="PP"/>
    <n v="2"/>
    <n v="87.57"/>
    <n v="3.5"/>
    <m/>
    <m/>
    <n v="84.07"/>
    <s v="131.76999999999998"/>
    <m/>
    <m/>
    <m/>
    <n v="0"/>
    <n v="0"/>
    <m/>
    <m/>
    <m/>
    <m/>
    <m/>
    <m/>
    <m/>
    <m/>
    <n v="0"/>
    <n v="0"/>
    <n v="0"/>
    <n v="12"/>
    <n v="12"/>
    <m/>
    <m/>
    <n v="0"/>
    <n v="92.57"/>
    <m/>
    <x v="20"/>
    <n v="52"/>
    <m/>
    <m/>
    <m/>
  </r>
  <r>
    <x v="0"/>
    <x v="3"/>
    <s v="7601/2"/>
    <x v="192"/>
    <s v="العمر پلاسٹک گوجرانوالہ"/>
    <s v="PP"/>
    <n v="18"/>
    <s v="6"/>
    <s v="PP"/>
    <n v="250"/>
    <s v="PP"/>
    <n v="6"/>
    <n v="275.25"/>
    <n v="12.600000000000001"/>
    <m/>
    <m/>
    <n v="262.64999999999998"/>
    <s v="262.64999999999998"/>
    <n v="25"/>
    <m/>
    <m/>
    <n v="25"/>
    <n v="0.41666666666666674"/>
    <m/>
    <m/>
    <m/>
    <m/>
    <m/>
    <m/>
    <m/>
    <m/>
    <n v="0"/>
    <n v="0"/>
    <n v="0.41666666666666674"/>
    <n v="11.583333333333334"/>
    <n v="12"/>
    <m/>
    <m/>
    <n v="0"/>
    <n v="280.25"/>
    <m/>
    <x v="20"/>
    <n v="52"/>
    <m/>
    <m/>
    <m/>
  </r>
  <r>
    <x v="0"/>
    <x v="3"/>
    <s v="18/8"/>
    <x v="192"/>
    <s v="سٹاک"/>
    <s v="PP"/>
    <n v="18"/>
    <n v="5"/>
    <s v="PP"/>
    <n v="1500"/>
    <s v="PP"/>
    <n v="7"/>
    <n v="459.4"/>
    <n v="15.400000000000002"/>
    <n v="20"/>
    <m/>
    <n v="444"/>
    <s v="1662.32"/>
    <m/>
    <m/>
    <m/>
    <n v="0"/>
    <n v="0"/>
    <m/>
    <m/>
    <m/>
    <m/>
    <m/>
    <m/>
    <m/>
    <m/>
    <n v="0"/>
    <n v="0"/>
    <n v="0"/>
    <n v="12"/>
    <n v="12"/>
    <m/>
    <m/>
    <n v="0"/>
    <n v="464.4"/>
    <m/>
    <x v="20"/>
    <n v="52"/>
    <m/>
    <m/>
    <m/>
  </r>
  <r>
    <x v="1"/>
    <x v="3"/>
    <s v="18/8"/>
    <x v="192"/>
    <s v="سٹاک"/>
    <s v="PP"/>
    <n v="18"/>
    <n v="5"/>
    <s v="PP"/>
    <n v="1500"/>
    <s v="PP"/>
    <n v="13"/>
    <n v="738.66"/>
    <n v="28.6"/>
    <n v="44"/>
    <m/>
    <n v="710.06"/>
    <s v="1662.32"/>
    <m/>
    <m/>
    <m/>
    <n v="0"/>
    <n v="0"/>
    <m/>
    <m/>
    <m/>
    <m/>
    <m/>
    <m/>
    <m/>
    <m/>
    <n v="0"/>
    <n v="0"/>
    <n v="0"/>
    <n v="12"/>
    <n v="12"/>
    <m/>
    <m/>
    <n v="0"/>
    <n v="743.66"/>
    <m/>
    <x v="20"/>
    <n v="52"/>
    <m/>
    <m/>
    <m/>
  </r>
  <r>
    <x v="0"/>
    <x v="4"/>
    <s v="7608/1"/>
    <x v="192"/>
    <s v="ریفلیکٹ پیک لاہور"/>
    <s v="PP"/>
    <n v="17"/>
    <s v="5.5-6"/>
    <s v="PP"/>
    <n v="5000"/>
    <s v="PP"/>
    <n v="9"/>
    <n v="595.38999999999987"/>
    <n v="19.8"/>
    <m/>
    <m/>
    <n v="575.58999999999992"/>
    <s v="4925.4399999999996"/>
    <m/>
    <m/>
    <m/>
    <n v="0"/>
    <n v="0"/>
    <m/>
    <m/>
    <m/>
    <m/>
    <m/>
    <m/>
    <m/>
    <m/>
    <n v="0"/>
    <n v="0"/>
    <n v="0"/>
    <n v="12"/>
    <n v="12"/>
    <m/>
    <m/>
    <n v="0"/>
    <n v="600.38999999999987"/>
    <m/>
    <x v="20"/>
    <n v="52"/>
    <m/>
    <m/>
    <m/>
  </r>
  <r>
    <x v="1"/>
    <x v="4"/>
    <s v="7608/1"/>
    <x v="192"/>
    <s v="ریفلیکٹ پیک لاہور"/>
    <s v="PP"/>
    <n v="17"/>
    <s v="5.5-6"/>
    <s v="PP"/>
    <n v="5000"/>
    <s v="PP"/>
    <n v="8"/>
    <n v="477.17"/>
    <n v="16.8"/>
    <m/>
    <m/>
    <n v="460.37"/>
    <s v="4925.4399999999996"/>
    <m/>
    <m/>
    <m/>
    <n v="0"/>
    <n v="0"/>
    <m/>
    <m/>
    <m/>
    <m/>
    <m/>
    <m/>
    <m/>
    <m/>
    <n v="0"/>
    <n v="0"/>
    <n v="0"/>
    <n v="12"/>
    <n v="12"/>
    <m/>
    <m/>
    <n v="0"/>
    <n v="482.17"/>
    <m/>
    <x v="20"/>
    <n v="52"/>
    <m/>
    <m/>
    <m/>
  </r>
  <r>
    <x v="0"/>
    <x v="0"/>
    <s v="7621/9"/>
    <x v="193"/>
    <s v="اصف پلاسٹک سرگو ھا"/>
    <s v="PP"/>
    <n v="4"/>
    <s v="4.5"/>
    <s v="PP"/>
    <n v="250"/>
    <s v="PP"/>
    <n v="9"/>
    <n v="173.95"/>
    <n v="3.6"/>
    <m/>
    <m/>
    <n v="170.35"/>
    <s v="265.49"/>
    <m/>
    <m/>
    <m/>
    <n v="0"/>
    <n v="0"/>
    <m/>
    <m/>
    <m/>
    <m/>
    <m/>
    <m/>
    <m/>
    <m/>
    <n v="0"/>
    <n v="0"/>
    <n v="0"/>
    <n v="12"/>
    <n v="12"/>
    <m/>
    <m/>
    <n v="0"/>
    <n v="178.95"/>
    <m/>
    <x v="21"/>
    <n v="54"/>
    <m/>
    <m/>
    <m/>
  </r>
  <r>
    <x v="1"/>
    <x v="0"/>
    <s v="7621/9"/>
    <x v="193"/>
    <s v="اصف پلاسٹک سرگو ھا"/>
    <s v="PP"/>
    <n v="4"/>
    <s v="4.5"/>
    <s v="PP"/>
    <n v="250"/>
    <s v="PP"/>
    <n v="6"/>
    <n v="82.44"/>
    <n v="2.4000000000000004"/>
    <m/>
    <m/>
    <n v="80.039999999999992"/>
    <s v="265.49"/>
    <m/>
    <m/>
    <m/>
    <n v="0"/>
    <n v="0"/>
    <m/>
    <m/>
    <m/>
    <m/>
    <m/>
    <m/>
    <n v="60"/>
    <m/>
    <n v="60"/>
    <n v="1"/>
    <n v="1"/>
    <n v="11"/>
    <n v="12"/>
    <m/>
    <m/>
    <n v="0"/>
    <n v="87.44"/>
    <m/>
    <x v="21"/>
    <n v="53"/>
    <m/>
    <m/>
    <m/>
  </r>
  <r>
    <x v="1"/>
    <x v="0"/>
    <s v="4/11"/>
    <x v="193"/>
    <s v="سٹاک"/>
    <s v="PP"/>
    <n v="4"/>
    <s v="5-5.5"/>
    <s v="PP"/>
    <n v="1500"/>
    <s v="PP"/>
    <n v="5"/>
    <n v="81.260000000000005"/>
    <n v="2"/>
    <m/>
    <m/>
    <n v="79.260000000000005"/>
    <s v="2816.31"/>
    <m/>
    <m/>
    <m/>
    <n v="0"/>
    <n v="0"/>
    <m/>
    <m/>
    <m/>
    <m/>
    <m/>
    <m/>
    <m/>
    <m/>
    <n v="0"/>
    <n v="0"/>
    <n v="0"/>
    <n v="12"/>
    <n v="12"/>
    <m/>
    <m/>
    <n v="0"/>
    <n v="86.26"/>
    <m/>
    <x v="21"/>
    <n v="53"/>
    <m/>
    <m/>
    <m/>
  </r>
  <r>
    <x v="0"/>
    <x v="1"/>
    <s v="5/5"/>
    <x v="193"/>
    <s v="سٹاک"/>
    <s v="PP"/>
    <n v="5"/>
    <s v="5.5-6"/>
    <s v="PP"/>
    <s v=" رول بیگ 15"/>
    <s v="PP"/>
    <n v="6"/>
    <n v="153.33999999999997"/>
    <n v="3"/>
    <m/>
    <m/>
    <n v="150.33999999999997"/>
    <s v="519.29999999999995"/>
    <m/>
    <m/>
    <m/>
    <n v="0"/>
    <n v="0"/>
    <m/>
    <m/>
    <m/>
    <m/>
    <m/>
    <m/>
    <m/>
    <m/>
    <n v="0"/>
    <n v="0"/>
    <n v="0"/>
    <n v="12"/>
    <n v="12"/>
    <m/>
    <m/>
    <n v="0"/>
    <n v="158.33999999999995"/>
    <m/>
    <x v="21"/>
    <n v="53"/>
    <m/>
    <m/>
    <m/>
  </r>
  <r>
    <x v="0"/>
    <x v="1"/>
    <s v="5/6"/>
    <x v="193"/>
    <s v="سٹاک"/>
    <s v="PP"/>
    <n v="5"/>
    <s v="5.5-6"/>
    <s v="PP"/>
    <n v="500"/>
    <s v="PP"/>
    <n v="3"/>
    <n v="71.240000000000009"/>
    <n v="1.5"/>
    <m/>
    <m/>
    <n v="69.740000000000009"/>
    <s v="285.79999999999995"/>
    <m/>
    <m/>
    <m/>
    <n v="0"/>
    <n v="0"/>
    <m/>
    <m/>
    <m/>
    <m/>
    <m/>
    <m/>
    <m/>
    <m/>
    <n v="0"/>
    <n v="0"/>
    <n v="0"/>
    <n v="12"/>
    <n v="12"/>
    <m/>
    <m/>
    <n v="0"/>
    <n v="76.240000000000009"/>
    <m/>
    <x v="21"/>
    <n v="53"/>
    <m/>
    <m/>
    <m/>
  </r>
  <r>
    <x v="1"/>
    <x v="1"/>
    <s v="5/6"/>
    <x v="193"/>
    <s v="سٹاک"/>
    <s v="PP"/>
    <n v="5"/>
    <s v="5.5-6"/>
    <s v="PP"/>
    <n v="500"/>
    <s v="PP"/>
    <n v="10"/>
    <n v="221.05999999999997"/>
    <n v="5"/>
    <m/>
    <m/>
    <n v="216.05999999999997"/>
    <s v="285.79999999999995"/>
    <m/>
    <m/>
    <m/>
    <n v="0"/>
    <n v="0"/>
    <m/>
    <m/>
    <m/>
    <m/>
    <m/>
    <m/>
    <m/>
    <m/>
    <n v="0"/>
    <n v="0"/>
    <n v="0"/>
    <n v="12"/>
    <n v="12"/>
    <m/>
    <m/>
    <n v="0"/>
    <n v="226.05999999999997"/>
    <m/>
    <x v="21"/>
    <n v="53"/>
    <m/>
    <m/>
    <m/>
  </r>
  <r>
    <x v="0"/>
    <x v="2"/>
    <s v="7/10"/>
    <x v="193"/>
    <s v="سٹاک"/>
    <s v="PP"/>
    <n v="7"/>
    <n v="5"/>
    <s v="PP"/>
    <n v="1000"/>
    <s v="PP"/>
    <n v="9"/>
    <n v="338.29"/>
    <n v="8.1"/>
    <m/>
    <m/>
    <n v="330.19"/>
    <s v="1136.6300000000001"/>
    <m/>
    <m/>
    <m/>
    <n v="0"/>
    <n v="0"/>
    <m/>
    <m/>
    <m/>
    <m/>
    <m/>
    <m/>
    <m/>
    <m/>
    <n v="0"/>
    <n v="0"/>
    <n v="0"/>
    <n v="12"/>
    <n v="12"/>
    <m/>
    <m/>
    <n v="0"/>
    <n v="343.29"/>
    <m/>
    <x v="21"/>
    <n v="53"/>
    <m/>
    <m/>
    <m/>
  </r>
  <r>
    <x v="1"/>
    <x v="2"/>
    <s v="7/10"/>
    <x v="193"/>
    <s v="سٹاک"/>
    <s v="PP"/>
    <n v="7"/>
    <n v="5"/>
    <s v="PP"/>
    <n v="1000"/>
    <s v="PP"/>
    <n v="9"/>
    <n v="284.95"/>
    <n v="8.1"/>
    <m/>
    <m/>
    <n v="276.84999999999997"/>
    <s v="1136.6300000000001"/>
    <m/>
    <m/>
    <m/>
    <n v="0"/>
    <n v="0"/>
    <m/>
    <m/>
    <m/>
    <m/>
    <m/>
    <m/>
    <m/>
    <m/>
    <n v="0"/>
    <n v="0"/>
    <n v="0"/>
    <n v="12"/>
    <n v="12"/>
    <m/>
    <m/>
    <n v="0"/>
    <n v="289.95"/>
    <m/>
    <x v="21"/>
    <n v="53"/>
    <m/>
    <m/>
    <m/>
  </r>
  <r>
    <x v="0"/>
    <x v="3"/>
    <s v="18/8"/>
    <x v="193"/>
    <s v="سٹاک"/>
    <s v="PP"/>
    <n v="18"/>
    <n v="5"/>
    <s v="PP"/>
    <n v="1500"/>
    <s v="PP"/>
    <n v="6"/>
    <n v="420.61"/>
    <n v="17.600000000000001"/>
    <m/>
    <m/>
    <n v="403.01"/>
    <s v="1662.32"/>
    <n v="25"/>
    <m/>
    <m/>
    <n v="25"/>
    <n v="0.41666666666666674"/>
    <m/>
    <m/>
    <n v="210"/>
    <m/>
    <m/>
    <m/>
    <n v="40"/>
    <m/>
    <n v="250"/>
    <n v="4.166666666666667"/>
    <n v="4.5833333333333339"/>
    <n v="7.4166666666666652"/>
    <n v="12"/>
    <m/>
    <m/>
    <n v="0"/>
    <n v="425.61"/>
    <m/>
    <x v="21"/>
    <n v="53"/>
    <m/>
    <m/>
    <m/>
  </r>
  <r>
    <x v="0"/>
    <x v="3"/>
    <s v="16/1"/>
    <x v="193"/>
    <s v="سٹاک"/>
    <s v="PP"/>
    <n v="16"/>
    <n v="5"/>
    <s v="PP"/>
    <n v="600"/>
    <s v="PP"/>
    <n v="3"/>
    <n v="119.34"/>
    <n v="5.6999999999999993"/>
    <n v="20"/>
    <m/>
    <n v="113.64"/>
    <s v="424.17999999999995"/>
    <m/>
    <m/>
    <m/>
    <n v="0"/>
    <n v="0"/>
    <m/>
    <m/>
    <m/>
    <m/>
    <m/>
    <m/>
    <m/>
    <m/>
    <n v="0"/>
    <n v="0"/>
    <n v="0"/>
    <n v="12"/>
    <n v="12"/>
    <m/>
    <m/>
    <n v="0"/>
    <n v="124.34"/>
    <m/>
    <x v="21"/>
    <n v="53"/>
    <m/>
    <m/>
    <m/>
  </r>
  <r>
    <x v="1"/>
    <x v="3"/>
    <s v="2636 F"/>
    <x v="193"/>
    <s v="Usman Amin"/>
    <s v="PP"/>
    <n v="16.2"/>
    <s v="-"/>
    <s v="PP"/>
    <n v="2000"/>
    <s v="PP"/>
    <n v="9"/>
    <n v="518.87"/>
    <n v="18"/>
    <n v="23"/>
    <m/>
    <n v="500.87"/>
    <s v="500.87"/>
    <m/>
    <m/>
    <m/>
    <n v="0"/>
    <n v="0"/>
    <m/>
    <m/>
    <m/>
    <m/>
    <m/>
    <m/>
    <m/>
    <m/>
    <n v="0"/>
    <n v="0"/>
    <n v="0"/>
    <n v="12"/>
    <n v="12"/>
    <m/>
    <m/>
    <n v="0"/>
    <n v="523.87"/>
    <m/>
    <x v="21"/>
    <n v="53"/>
    <m/>
    <m/>
    <m/>
  </r>
  <r>
    <x v="1"/>
    <x v="3"/>
    <s v="7609/1"/>
    <x v="193"/>
    <s v="جناح پیپر ادو بازار"/>
    <s v="PP"/>
    <n v="17"/>
    <s v="10.5 گرام"/>
    <s v="PP"/>
    <n v="500"/>
    <s v="PP"/>
    <n v="4"/>
    <n v="241.3"/>
    <n v="4.8"/>
    <m/>
    <m/>
    <n v="236.5"/>
    <s v="504.07"/>
    <m/>
    <m/>
    <m/>
    <n v="0"/>
    <n v="0"/>
    <m/>
    <m/>
    <m/>
    <m/>
    <m/>
    <m/>
    <m/>
    <m/>
    <n v="0"/>
    <n v="0"/>
    <n v="0"/>
    <n v="12"/>
    <n v="12"/>
    <m/>
    <m/>
    <n v="0"/>
    <n v="246.3"/>
    <m/>
    <x v="21"/>
    <n v="53"/>
    <m/>
    <m/>
    <m/>
  </r>
  <r>
    <x v="0"/>
    <x v="4"/>
    <s v="7608/1"/>
    <x v="193"/>
    <s v="ریفلیکٹ پیک لاہور"/>
    <s v="PP"/>
    <n v="17"/>
    <s v="5.5-6"/>
    <s v="PP"/>
    <n v="5000"/>
    <s v="PP"/>
    <n v="9"/>
    <n v="605.64"/>
    <n v="18"/>
    <n v="5"/>
    <m/>
    <n v="587.64"/>
    <s v="4925.4399999999996"/>
    <m/>
    <m/>
    <m/>
    <n v="0"/>
    <n v="0"/>
    <m/>
    <m/>
    <m/>
    <m/>
    <m/>
    <m/>
    <m/>
    <m/>
    <n v="0"/>
    <n v="0"/>
    <n v="0"/>
    <n v="12"/>
    <n v="12"/>
    <m/>
    <m/>
    <n v="0"/>
    <n v="610.64"/>
    <m/>
    <x v="21"/>
    <n v="53"/>
    <m/>
    <m/>
    <m/>
  </r>
  <r>
    <x v="1"/>
    <x v="4"/>
    <s v="7608/1"/>
    <x v="193"/>
    <s v="ریفلیکٹ پیک لاہور"/>
    <s v="PP"/>
    <n v="17"/>
    <s v="5.5-6"/>
    <s v="PP"/>
    <n v="5000"/>
    <s v="PP"/>
    <n v="10"/>
    <n v="579.74"/>
    <n v="20"/>
    <n v="5"/>
    <m/>
    <n v="559.74"/>
    <s v="4925.4399999999996"/>
    <m/>
    <m/>
    <m/>
    <n v="0"/>
    <n v="0"/>
    <m/>
    <m/>
    <m/>
    <m/>
    <m/>
    <m/>
    <m/>
    <m/>
    <n v="0"/>
    <n v="0"/>
    <n v="0"/>
    <n v="12"/>
    <n v="12"/>
    <m/>
    <m/>
    <n v="0"/>
    <n v="584.74"/>
    <m/>
    <x v="21"/>
    <n v="53"/>
    <m/>
    <m/>
    <m/>
  </r>
  <r>
    <x v="0"/>
    <x v="0"/>
    <s v="4/11"/>
    <x v="194"/>
    <s v="سٹاک"/>
    <s v="PP"/>
    <n v="4"/>
    <s v="5-5.5"/>
    <s v="PP"/>
    <n v="1500"/>
    <s v="PP"/>
    <n v="8"/>
    <n v="158.31"/>
    <n v="3.2"/>
    <m/>
    <m/>
    <n v="155.11000000000001"/>
    <s v="2816.31"/>
    <m/>
    <m/>
    <m/>
    <n v="0"/>
    <n v="0"/>
    <m/>
    <m/>
    <m/>
    <m/>
    <m/>
    <m/>
    <m/>
    <m/>
    <n v="0"/>
    <n v="0"/>
    <n v="0"/>
    <n v="12"/>
    <n v="12"/>
    <m/>
    <m/>
    <n v="0"/>
    <n v="163.31"/>
    <m/>
    <x v="21"/>
    <n v="53"/>
    <m/>
    <m/>
    <m/>
  </r>
  <r>
    <x v="1"/>
    <x v="0"/>
    <s v="4/11"/>
    <x v="194"/>
    <s v="سٹاک"/>
    <s v="PP"/>
    <n v="4"/>
    <s v="5-5.5"/>
    <s v="PP"/>
    <n v="1500"/>
    <s v="PP"/>
    <n v="1"/>
    <n v="15.97"/>
    <n v="0.4"/>
    <m/>
    <m/>
    <n v="15.57"/>
    <s v="2816.31"/>
    <m/>
    <m/>
    <n v="660"/>
    <n v="660"/>
    <n v="11"/>
    <m/>
    <m/>
    <m/>
    <m/>
    <m/>
    <m/>
    <m/>
    <m/>
    <n v="0"/>
    <n v="0"/>
    <n v="11"/>
    <n v="1"/>
    <n v="12"/>
    <m/>
    <m/>
    <n v="0"/>
    <n v="20.97"/>
    <m/>
    <x v="21"/>
    <n v="53"/>
    <m/>
    <m/>
    <m/>
  </r>
  <r>
    <x v="0"/>
    <x v="2"/>
    <s v="7/10"/>
    <x v="194"/>
    <s v="سٹاک"/>
    <s v="PP"/>
    <n v="7"/>
    <n v="5"/>
    <s v="PP"/>
    <n v="1000"/>
    <s v="PP"/>
    <n v="8"/>
    <n v="311.35000000000002"/>
    <n v="7.2"/>
    <m/>
    <m/>
    <n v="304.15000000000003"/>
    <s v="1136.6300000000001"/>
    <n v="30"/>
    <m/>
    <m/>
    <n v="30"/>
    <n v="0.5"/>
    <m/>
    <m/>
    <m/>
    <m/>
    <m/>
    <m/>
    <m/>
    <m/>
    <n v="0"/>
    <n v="0"/>
    <n v="0.5"/>
    <n v="11.5"/>
    <n v="12"/>
    <m/>
    <m/>
    <n v="0"/>
    <n v="316.35000000000002"/>
    <m/>
    <x v="21"/>
    <n v="53"/>
    <m/>
    <m/>
    <m/>
  </r>
  <r>
    <x v="1"/>
    <x v="2"/>
    <s v="7621/3"/>
    <x v="194"/>
    <s v="اصف پلاسٹک سرگو ھا"/>
    <s v="PP"/>
    <n v="8"/>
    <s v="4.5"/>
    <s v="PP"/>
    <n v="100"/>
    <s v="PP"/>
    <n v="12"/>
    <n v="346.03000000000003"/>
    <n v="9.6000000000000014"/>
    <m/>
    <m/>
    <n v="336.43"/>
    <s v="336.43"/>
    <m/>
    <m/>
    <m/>
    <n v="0"/>
    <n v="0"/>
    <m/>
    <m/>
    <m/>
    <m/>
    <m/>
    <m/>
    <m/>
    <m/>
    <n v="0"/>
    <n v="0"/>
    <n v="0"/>
    <n v="12"/>
    <n v="12"/>
    <m/>
    <m/>
    <n v="0"/>
    <n v="351.03000000000003"/>
    <m/>
    <x v="21"/>
    <n v="53"/>
    <m/>
    <m/>
    <m/>
  </r>
  <r>
    <x v="1"/>
    <x v="2"/>
    <s v="8/1"/>
    <x v="194"/>
    <s v="سٹاک"/>
    <s v="PP"/>
    <n v="8"/>
    <n v="5"/>
    <s v="PP"/>
    <n v="500"/>
    <s v="PP"/>
    <n v="1"/>
    <n v="42.14"/>
    <n v="0.8"/>
    <m/>
    <m/>
    <n v="41.34"/>
    <s v="1185.0599999999997"/>
    <m/>
    <m/>
    <m/>
    <n v="0"/>
    <n v="0"/>
    <m/>
    <m/>
    <m/>
    <m/>
    <m/>
    <m/>
    <m/>
    <m/>
    <n v="0"/>
    <n v="0"/>
    <n v="0"/>
    <n v="12"/>
    <n v="12"/>
    <m/>
    <m/>
    <n v="0"/>
    <n v="47.14"/>
    <m/>
    <x v="21"/>
    <n v="53"/>
    <m/>
    <m/>
    <m/>
  </r>
  <r>
    <x v="0"/>
    <x v="3"/>
    <s v="7609/1"/>
    <x v="194"/>
    <s v="جناح پیپر ادو بازار"/>
    <s v="PP"/>
    <n v="17"/>
    <s v="10.5 گرام"/>
    <s v="PP"/>
    <n v="500"/>
    <s v="PP"/>
    <n v="5"/>
    <n v="277.51"/>
    <n v="9.9400000000000013"/>
    <m/>
    <m/>
    <n v="267.57"/>
    <s v="504.07"/>
    <m/>
    <m/>
    <m/>
    <n v="0"/>
    <n v="0"/>
    <m/>
    <m/>
    <m/>
    <m/>
    <m/>
    <m/>
    <m/>
    <m/>
    <n v="0"/>
    <n v="0"/>
    <n v="0"/>
    <n v="12"/>
    <n v="12"/>
    <m/>
    <m/>
    <n v="0"/>
    <n v="282.51"/>
    <m/>
    <x v="21"/>
    <n v="53"/>
    <m/>
    <m/>
    <m/>
  </r>
  <r>
    <x v="0"/>
    <x v="3"/>
    <s v="7610/1"/>
    <x v="194"/>
    <s v="جناح پیپر ادو بازار"/>
    <s v="PP"/>
    <n v="17"/>
    <s v="16.5 گرام"/>
    <s v="PP"/>
    <n v="700"/>
    <s v="PP"/>
    <n v="10"/>
    <n v="554.79000000000008"/>
    <n v="16"/>
    <n v="23"/>
    <m/>
    <n v="538.79000000000008"/>
    <s v="709.94"/>
    <m/>
    <m/>
    <m/>
    <n v="0"/>
    <n v="0"/>
    <m/>
    <m/>
    <m/>
    <m/>
    <m/>
    <m/>
    <m/>
    <m/>
    <n v="0"/>
    <n v="0"/>
    <n v="0"/>
    <n v="12"/>
    <n v="12"/>
    <m/>
    <m/>
    <n v="0"/>
    <n v="559.79000000000008"/>
    <m/>
    <x v="21"/>
    <n v="53"/>
    <m/>
    <m/>
    <m/>
  </r>
  <r>
    <x v="1"/>
    <x v="3"/>
    <s v="7610/1"/>
    <x v="194"/>
    <s v="جناح پیپر ادو بازار"/>
    <s v="PP"/>
    <n v="17"/>
    <s v="16.5 گرام"/>
    <s v="PP"/>
    <n v="700"/>
    <s v="PP"/>
    <n v="3"/>
    <n v="176.14999999999998"/>
    <n v="5"/>
    <n v="22"/>
    <m/>
    <n v="171.14999999999998"/>
    <s v="709.94"/>
    <m/>
    <m/>
    <m/>
    <n v="0"/>
    <n v="0"/>
    <m/>
    <m/>
    <m/>
    <m/>
    <m/>
    <m/>
    <m/>
    <m/>
    <n v="0"/>
    <n v="0"/>
    <n v="0"/>
    <n v="12"/>
    <n v="12"/>
    <m/>
    <m/>
    <n v="0"/>
    <n v="181.15"/>
    <m/>
    <x v="21"/>
    <n v="53"/>
    <m/>
    <m/>
    <m/>
  </r>
  <r>
    <x v="1"/>
    <x v="3"/>
    <s v="7610/2"/>
    <x v="194"/>
    <s v="جناح پیپر ادو بازار"/>
    <s v="PP"/>
    <n v="17"/>
    <s v="23 گرام"/>
    <s v="PP"/>
    <n v="800"/>
    <s v="PP"/>
    <n v="10"/>
    <n v="599.05000000000007"/>
    <n v="17"/>
    <m/>
    <m/>
    <n v="582.05000000000007"/>
    <s v="1319.4700000000003"/>
    <m/>
    <m/>
    <m/>
    <n v="0"/>
    <n v="0"/>
    <m/>
    <m/>
    <m/>
    <m/>
    <m/>
    <m/>
    <m/>
    <m/>
    <n v="0"/>
    <n v="0"/>
    <n v="0"/>
    <n v="12"/>
    <n v="12"/>
    <m/>
    <m/>
    <n v="0"/>
    <n v="604.05000000000007"/>
    <m/>
    <x v="21"/>
    <n v="53"/>
    <m/>
    <m/>
    <m/>
  </r>
  <r>
    <x v="0"/>
    <x v="4"/>
    <s v="7608/1"/>
    <x v="194"/>
    <s v="ریفلیکٹ پیک لاہور"/>
    <s v="PP"/>
    <n v="17"/>
    <s v="5.5-6"/>
    <s v="PP"/>
    <n v="5000"/>
    <s v="PP"/>
    <n v="7"/>
    <n v="499.03999999999996"/>
    <n v="14"/>
    <n v="2"/>
    <m/>
    <n v="485.03999999999996"/>
    <s v="4925.4399999999996"/>
    <m/>
    <m/>
    <m/>
    <n v="0"/>
    <n v="0"/>
    <m/>
    <m/>
    <m/>
    <m/>
    <m/>
    <m/>
    <m/>
    <m/>
    <n v="0"/>
    <n v="0"/>
    <n v="0"/>
    <n v="12"/>
    <n v="12"/>
    <m/>
    <m/>
    <n v="0"/>
    <n v="504.04"/>
    <m/>
    <x v="21"/>
    <n v="53"/>
    <m/>
    <m/>
    <m/>
  </r>
  <r>
    <x v="1"/>
    <x v="4"/>
    <s v="7608/1"/>
    <x v="194"/>
    <s v="ریفلیکٹ پیک لاہور"/>
    <s v="PP"/>
    <n v="17"/>
    <s v="5.5-6"/>
    <s v="PP"/>
    <n v="5000"/>
    <s v="PP"/>
    <n v="1"/>
    <n v="54.62"/>
    <n v="1.8"/>
    <n v="2"/>
    <m/>
    <n v="52.82"/>
    <s v="4925.4399999999996"/>
    <m/>
    <m/>
    <m/>
    <n v="0"/>
    <n v="0"/>
    <m/>
    <m/>
    <m/>
    <m/>
    <m/>
    <m/>
    <m/>
    <m/>
    <n v="0"/>
    <n v="0"/>
    <n v="0"/>
    <n v="12"/>
    <n v="12"/>
    <m/>
    <m/>
    <n v="0"/>
    <n v="59.62"/>
    <m/>
    <x v="21"/>
    <n v="53"/>
    <m/>
    <m/>
    <m/>
  </r>
  <r>
    <x v="1"/>
    <x v="4"/>
    <s v="7630/1"/>
    <x v="194"/>
    <s v="عبد الباری وہاڑی"/>
    <s v="PP"/>
    <n v="17"/>
    <s v="7"/>
    <s v="PP"/>
    <n v="125"/>
    <s v="PP"/>
    <n v="2"/>
    <n v="125.28999999999999"/>
    <n v="3.4"/>
    <m/>
    <m/>
    <n v="121.88999999999999"/>
    <s v="121.88999999999999"/>
    <m/>
    <m/>
    <m/>
    <n v="0"/>
    <n v="0"/>
    <m/>
    <m/>
    <m/>
    <m/>
    <m/>
    <m/>
    <m/>
    <m/>
    <n v="0"/>
    <n v="0"/>
    <n v="0"/>
    <n v="12"/>
    <n v="12"/>
    <m/>
    <m/>
    <n v="0"/>
    <n v="130.29"/>
    <m/>
    <x v="21"/>
    <n v="53"/>
    <m/>
    <m/>
    <m/>
  </r>
  <r>
    <x v="1"/>
    <x v="4"/>
    <s v="2702 F"/>
    <x v="194"/>
    <s v="Usman Amin"/>
    <s v="PP"/>
    <n v="17"/>
    <s v="6.5-7"/>
    <s v="PP"/>
    <n v="450"/>
    <s v="PP"/>
    <n v="6"/>
    <n v="404.46000000000004"/>
    <n v="12.6"/>
    <m/>
    <m/>
    <n v="391.86"/>
    <s v="454.22"/>
    <m/>
    <m/>
    <m/>
    <n v="0"/>
    <n v="0"/>
    <m/>
    <m/>
    <m/>
    <m/>
    <m/>
    <m/>
    <m/>
    <m/>
    <n v="0"/>
    <n v="0"/>
    <n v="0"/>
    <n v="12"/>
    <n v="12"/>
    <m/>
    <m/>
    <n v="0"/>
    <n v="409.46"/>
    <m/>
    <x v="21"/>
    <n v="53"/>
    <m/>
    <m/>
    <m/>
  </r>
  <r>
    <x v="0"/>
    <x v="0"/>
    <s v="3.5/1"/>
    <x v="195"/>
    <s v="سٹاک"/>
    <s v="PP"/>
    <n v="3.5"/>
    <s v="5.5-6"/>
    <s v="PP"/>
    <n v="500"/>
    <s v="PP"/>
    <n v="5"/>
    <n v="95.200000000000017"/>
    <n v="1.75"/>
    <m/>
    <m/>
    <n v="93.450000000000017"/>
    <s v="712.43000000000006"/>
    <m/>
    <n v="210"/>
    <m/>
    <n v="210"/>
    <n v="3.5"/>
    <m/>
    <m/>
    <m/>
    <m/>
    <m/>
    <m/>
    <m/>
    <m/>
    <n v="0"/>
    <n v="0"/>
    <n v="3.5"/>
    <n v="8.5"/>
    <n v="12"/>
    <m/>
    <m/>
    <n v="0"/>
    <n v="100.20000000000002"/>
    <m/>
    <x v="21"/>
    <n v="53"/>
    <m/>
    <m/>
    <m/>
  </r>
  <r>
    <x v="1"/>
    <x v="0"/>
    <s v="3.5/1"/>
    <x v="195"/>
    <s v="سٹاک"/>
    <s v="PP"/>
    <n v="3.5"/>
    <s v="5.5-6"/>
    <s v="PP"/>
    <n v="500"/>
    <s v="PP"/>
    <n v="4"/>
    <n v="75.38"/>
    <n v="1.4"/>
    <m/>
    <m/>
    <n v="73.97999999999999"/>
    <s v="712.43000000000006"/>
    <n v="20"/>
    <m/>
    <m/>
    <n v="20"/>
    <n v="0.33333333333333331"/>
    <m/>
    <m/>
    <m/>
    <m/>
    <m/>
    <m/>
    <m/>
    <m/>
    <n v="0"/>
    <n v="0"/>
    <n v="0.33333333333333331"/>
    <n v="11.666666666666666"/>
    <n v="12"/>
    <m/>
    <m/>
    <n v="0"/>
    <n v="80.38"/>
    <m/>
    <x v="21"/>
    <n v="53"/>
    <m/>
    <m/>
    <m/>
  </r>
  <r>
    <x v="1"/>
    <x v="0"/>
    <s v="2.5/8"/>
    <x v="195"/>
    <s v="سٹاک"/>
    <s v="PP"/>
    <n v="2.5"/>
    <s v="5.5-6"/>
    <s v="PP"/>
    <n v="1000"/>
    <s v="PP"/>
    <n v="5"/>
    <n v="66.73"/>
    <n v="1.25"/>
    <m/>
    <m/>
    <n v="65.48"/>
    <s v="1069.0400000000002"/>
    <m/>
    <m/>
    <m/>
    <n v="0"/>
    <n v="0"/>
    <m/>
    <m/>
    <m/>
    <m/>
    <m/>
    <m/>
    <m/>
    <m/>
    <n v="0"/>
    <n v="0"/>
    <n v="0"/>
    <n v="12"/>
    <n v="12"/>
    <m/>
    <m/>
    <n v="0"/>
    <n v="71.73"/>
    <m/>
    <x v="21"/>
    <n v="53"/>
    <m/>
    <m/>
    <m/>
  </r>
  <r>
    <x v="0"/>
    <x v="1"/>
    <s v="4/11"/>
    <x v="195"/>
    <s v="سٹاک"/>
    <s v="PP"/>
    <n v="4"/>
    <s v="5-5.5"/>
    <s v="PP"/>
    <n v="1500"/>
    <s v="PP"/>
    <n v="8"/>
    <n v="150.28"/>
    <n v="3.2"/>
    <m/>
    <m/>
    <n v="147.08000000000001"/>
    <s v="2816.31"/>
    <m/>
    <n v="160"/>
    <m/>
    <n v="160"/>
    <n v="2.6666666666666665"/>
    <m/>
    <m/>
    <m/>
    <m/>
    <m/>
    <m/>
    <m/>
    <m/>
    <n v="0"/>
    <n v="0"/>
    <n v="2.6666666666666665"/>
    <n v="9.3333333333333339"/>
    <n v="12"/>
    <m/>
    <m/>
    <n v="0"/>
    <n v="155.28"/>
    <m/>
    <x v="21"/>
    <n v="53"/>
    <m/>
    <m/>
    <m/>
  </r>
  <r>
    <x v="1"/>
    <x v="1"/>
    <s v="4/11"/>
    <x v="195"/>
    <s v="سٹاک"/>
    <s v="PP"/>
    <n v="4"/>
    <s v="5-5.5"/>
    <s v="PP"/>
    <n v="1500"/>
    <s v="PP"/>
    <n v="9"/>
    <n v="163.72999999999999"/>
    <n v="3.6"/>
    <m/>
    <m/>
    <n v="160.13"/>
    <s v="2816.31"/>
    <m/>
    <m/>
    <m/>
    <n v="0"/>
    <n v="0"/>
    <m/>
    <m/>
    <m/>
    <m/>
    <m/>
    <m/>
    <m/>
    <m/>
    <n v="0"/>
    <n v="0"/>
    <n v="0"/>
    <n v="12"/>
    <n v="12"/>
    <m/>
    <m/>
    <n v="0"/>
    <n v="168.73"/>
    <m/>
    <x v="21"/>
    <n v="53"/>
    <m/>
    <m/>
    <m/>
  </r>
  <r>
    <x v="0"/>
    <x v="3"/>
    <s v="7610/2"/>
    <x v="195"/>
    <s v="جناح پیپر ادو بازار"/>
    <s v="PP"/>
    <n v="17"/>
    <s v="23 گرام"/>
    <s v="PP"/>
    <n v="800"/>
    <s v="PP"/>
    <n v="16"/>
    <n v="767.82"/>
    <n v="30.4"/>
    <n v="28"/>
    <m/>
    <n v="737.42000000000007"/>
    <s v="1319.4700000000003"/>
    <m/>
    <m/>
    <m/>
    <n v="0"/>
    <n v="0"/>
    <m/>
    <m/>
    <m/>
    <m/>
    <m/>
    <m/>
    <m/>
    <m/>
    <n v="0"/>
    <n v="0"/>
    <n v="0"/>
    <n v="12"/>
    <n v="12"/>
    <m/>
    <m/>
    <n v="0"/>
    <n v="772.82"/>
    <m/>
    <x v="21"/>
    <n v="53"/>
    <m/>
    <m/>
    <m/>
  </r>
  <r>
    <x v="1"/>
    <x v="3"/>
    <s v="7606/1"/>
    <x v="195"/>
    <s v="حیدر عمر بہاولپور"/>
    <s v="PP"/>
    <n v="5"/>
    <s v="5"/>
    <s v="PP"/>
    <n v="50"/>
    <s v="PP"/>
    <n v="1"/>
    <n v="56.79"/>
    <n v="1.7"/>
    <n v="30"/>
    <m/>
    <n v="55.089999999999996"/>
    <s v="55.089999999999996"/>
    <n v="25"/>
    <m/>
    <m/>
    <n v="25"/>
    <n v="0.41666666666666674"/>
    <m/>
    <m/>
    <m/>
    <m/>
    <m/>
    <m/>
    <m/>
    <m/>
    <n v="0"/>
    <n v="0"/>
    <n v="0.41666666666666674"/>
    <n v="11.583333333333334"/>
    <n v="12"/>
    <m/>
    <m/>
    <n v="0"/>
    <n v="61.79"/>
    <m/>
    <x v="21"/>
    <n v="53"/>
    <m/>
    <m/>
    <m/>
  </r>
  <r>
    <x v="1"/>
    <x v="3"/>
    <s v="6551 J"/>
    <x v="195"/>
    <s v="Ali Sweets And Bakers Raheem Yar Khan"/>
    <s v="PP"/>
    <n v="22"/>
    <s v="6-6.5"/>
    <s v="PP"/>
    <n v="100"/>
    <s v="PP"/>
    <n v="2"/>
    <n v="102.14"/>
    <n v="4.4000000000000004"/>
    <m/>
    <m/>
    <n v="97.74"/>
    <s v="97.74"/>
    <m/>
    <m/>
    <m/>
    <n v="0"/>
    <n v="0"/>
    <m/>
    <m/>
    <m/>
    <m/>
    <m/>
    <m/>
    <m/>
    <m/>
    <n v="0"/>
    <n v="0"/>
    <n v="0"/>
    <n v="12"/>
    <n v="12"/>
    <m/>
    <m/>
    <n v="0"/>
    <n v="107.14"/>
    <m/>
    <x v="21"/>
    <n v="53"/>
    <m/>
    <m/>
    <m/>
  </r>
  <r>
    <x v="1"/>
    <x v="3"/>
    <s v="6571 J"/>
    <x v="195"/>
    <s v="Jilani Poly Stock"/>
    <s v="PP"/>
    <n v="22"/>
    <s v="5-5.5"/>
    <s v="PP"/>
    <s v="-"/>
    <s v="PP"/>
    <n v="10"/>
    <n v="610.47000000000014"/>
    <n v="22"/>
    <m/>
    <m/>
    <n v="588.47000000000014"/>
    <s v="1328.2450000000003"/>
    <m/>
    <m/>
    <m/>
    <n v="0"/>
    <n v="0"/>
    <m/>
    <m/>
    <m/>
    <m/>
    <m/>
    <m/>
    <m/>
    <m/>
    <n v="0"/>
    <n v="0"/>
    <n v="0"/>
    <n v="12"/>
    <n v="12"/>
    <m/>
    <m/>
    <n v="0"/>
    <n v="615.47000000000014"/>
    <m/>
    <x v="21"/>
    <n v="53"/>
    <m/>
    <m/>
    <m/>
  </r>
  <r>
    <x v="0"/>
    <x v="4"/>
    <s v="2702 F"/>
    <x v="195"/>
    <s v="Usman Amin"/>
    <s v="PP"/>
    <n v="17"/>
    <s v="6.5-7"/>
    <s v="PP"/>
    <n v="450"/>
    <s v="PP"/>
    <n v="1"/>
    <n v="64.36"/>
    <n v="2"/>
    <m/>
    <m/>
    <n v="62.36"/>
    <s v="454.22"/>
    <m/>
    <m/>
    <m/>
    <n v="0"/>
    <n v="0"/>
    <m/>
    <m/>
    <m/>
    <m/>
    <m/>
    <m/>
    <m/>
    <m/>
    <n v="0"/>
    <n v="0"/>
    <n v="0"/>
    <n v="12"/>
    <n v="12"/>
    <m/>
    <m/>
    <n v="0"/>
    <n v="69.36"/>
    <m/>
    <x v="21"/>
    <n v="53"/>
    <m/>
    <m/>
    <m/>
  </r>
  <r>
    <x v="0"/>
    <x v="4"/>
    <s v="2705 F"/>
    <x v="195"/>
    <s v="Usman Amin"/>
    <s v="PP"/>
    <n v="15"/>
    <s v="6.5-7"/>
    <s v="PP"/>
    <n v="150"/>
    <s v="PP"/>
    <n v="3"/>
    <n v="157.4"/>
    <n v="5.4"/>
    <m/>
    <m/>
    <n v="152"/>
    <s v="152"/>
    <m/>
    <m/>
    <m/>
    <n v="0"/>
    <n v="0"/>
    <m/>
    <m/>
    <m/>
    <m/>
    <m/>
    <m/>
    <m/>
    <m/>
    <n v="0"/>
    <n v="0"/>
    <n v="0"/>
    <n v="12"/>
    <n v="12"/>
    <m/>
    <m/>
    <n v="0"/>
    <n v="162.4"/>
    <m/>
    <x v="21"/>
    <n v="53"/>
    <m/>
    <m/>
    <m/>
  </r>
  <r>
    <x v="0"/>
    <x v="4"/>
    <s v="7522/5"/>
    <x v="195"/>
    <s v="طارق سوپ چکوال"/>
    <s v="PP"/>
    <n v="13"/>
    <n v="7"/>
    <s v="PP"/>
    <n v="25"/>
    <s v="PP"/>
    <n v="1"/>
    <n v="33.69"/>
    <n v="1.55"/>
    <m/>
    <m/>
    <n v="32.14"/>
    <s v="32.14"/>
    <m/>
    <m/>
    <m/>
    <n v="0"/>
    <n v="0"/>
    <m/>
    <m/>
    <m/>
    <m/>
    <m/>
    <m/>
    <m/>
    <m/>
    <n v="0"/>
    <n v="0"/>
    <n v="0"/>
    <n v="12"/>
    <n v="12"/>
    <m/>
    <m/>
    <n v="0"/>
    <n v="38.69"/>
    <m/>
    <x v="21"/>
    <n v="53"/>
    <m/>
    <m/>
    <m/>
  </r>
  <r>
    <x v="0"/>
    <x v="4"/>
    <s v="7638/1"/>
    <x v="195"/>
    <s v="حاجی اسماعیل وہاڑی"/>
    <s v="PP"/>
    <n v="15"/>
    <s v="7"/>
    <s v="PP"/>
    <n v="125"/>
    <s v="PP"/>
    <n v="3"/>
    <n v="134.79"/>
    <n v="5.0999999999999996"/>
    <m/>
    <m/>
    <n v="129.69"/>
    <s v="129.69"/>
    <n v="20"/>
    <m/>
    <m/>
    <n v="20"/>
    <n v="0.33333333333333331"/>
    <m/>
    <m/>
    <m/>
    <m/>
    <m/>
    <m/>
    <m/>
    <m/>
    <n v="0"/>
    <n v="0"/>
    <n v="0.33333333333333331"/>
    <n v="11.666666666666666"/>
    <n v="12"/>
    <m/>
    <m/>
    <n v="0"/>
    <n v="139.79"/>
    <m/>
    <x v="21"/>
    <n v="53"/>
    <m/>
    <m/>
    <m/>
  </r>
  <r>
    <x v="0"/>
    <x v="4"/>
    <s v="2695 F"/>
    <x v="195"/>
    <s v="Usman Amin"/>
    <s v="PP"/>
    <n v="15"/>
    <s v="6.5-7"/>
    <s v="PP"/>
    <n v="100"/>
    <s v="PP"/>
    <n v="2"/>
    <n v="107.88"/>
    <n v="3.4"/>
    <n v="3"/>
    <m/>
    <n v="104.47999999999999"/>
    <s v="104.47999999999999"/>
    <n v="20"/>
    <m/>
    <m/>
    <n v="20"/>
    <n v="0.33333333333333331"/>
    <m/>
    <m/>
    <m/>
    <m/>
    <m/>
    <m/>
    <m/>
    <m/>
    <n v="0"/>
    <n v="0"/>
    <n v="0.33333333333333331"/>
    <n v="11.666666666666666"/>
    <n v="12"/>
    <m/>
    <m/>
    <n v="0"/>
    <n v="112.88"/>
    <m/>
    <x v="21"/>
    <n v="53"/>
    <m/>
    <m/>
    <m/>
  </r>
  <r>
    <x v="1"/>
    <x v="4"/>
    <s v="7628/1"/>
    <x v="195"/>
    <s v="فہیم پلاسٹک ملتان"/>
    <s v="PP"/>
    <n v="13"/>
    <s v="7"/>
    <s v="PP"/>
    <n v="300"/>
    <s v="PP"/>
    <n v="6"/>
    <n v="311.63"/>
    <n v="7.8000000000000007"/>
    <n v="3"/>
    <m/>
    <n v="303.83"/>
    <s v="303.83"/>
    <n v="25"/>
    <m/>
    <m/>
    <n v="25"/>
    <n v="0.41666666666666674"/>
    <m/>
    <m/>
    <m/>
    <m/>
    <m/>
    <m/>
    <m/>
    <m/>
    <n v="0"/>
    <n v="0"/>
    <n v="0.41666666666666674"/>
    <n v="11.583333333333334"/>
    <n v="12"/>
    <m/>
    <m/>
    <n v="0"/>
    <n v="316.63"/>
    <m/>
    <x v="21"/>
    <n v="53"/>
    <m/>
    <m/>
    <m/>
  </r>
  <r>
    <x v="1"/>
    <x v="4"/>
    <s v="7584/1"/>
    <x v="195"/>
    <s v="علی پلاسٹک جھنگ"/>
    <s v="PP"/>
    <n v="13"/>
    <s v="4.5"/>
    <s v="PP"/>
    <n v="100"/>
    <s v="PP"/>
    <n v="4"/>
    <n v="110.11999999999999"/>
    <n v="5.2"/>
    <m/>
    <m/>
    <n v="104.91999999999999"/>
    <s v="104.91999999999999"/>
    <m/>
    <m/>
    <m/>
    <n v="0"/>
    <n v="0"/>
    <m/>
    <m/>
    <m/>
    <m/>
    <m/>
    <m/>
    <m/>
    <m/>
    <n v="0"/>
    <n v="0"/>
    <n v="0"/>
    <n v="12"/>
    <n v="12"/>
    <m/>
    <m/>
    <n v="0"/>
    <n v="115.12"/>
    <m/>
    <x v="21"/>
    <n v="53"/>
    <m/>
    <m/>
    <m/>
  </r>
  <r>
    <x v="1"/>
    <x v="4"/>
    <s v="7585/1"/>
    <x v="195"/>
    <s v="طیب P گوجرانوالہ"/>
    <s v="PP"/>
    <n v="11"/>
    <s v="7"/>
    <s v="PP"/>
    <n v="100"/>
    <s v="PP"/>
    <n v="2"/>
    <n v="77.88"/>
    <n v="2.2000000000000002"/>
    <m/>
    <m/>
    <n v="75.679999999999993"/>
    <s v="116.57999999999998"/>
    <m/>
    <m/>
    <m/>
    <n v="0"/>
    <n v="0"/>
    <m/>
    <m/>
    <m/>
    <m/>
    <m/>
    <m/>
    <m/>
    <m/>
    <n v="0"/>
    <n v="0"/>
    <n v="0"/>
    <n v="12"/>
    <n v="12"/>
    <m/>
    <m/>
    <n v="0"/>
    <n v="82.88"/>
    <m/>
    <x v="21"/>
    <n v="53"/>
    <m/>
    <m/>
    <m/>
  </r>
  <r>
    <x v="0"/>
    <x v="0"/>
    <s v="2.5/8"/>
    <x v="196"/>
    <s v="سٹاک"/>
    <s v="PP"/>
    <n v="2.5"/>
    <s v="5.5-6"/>
    <s v="PP"/>
    <n v="1000"/>
    <s v="PP"/>
    <n v="10"/>
    <n v="131.48000000000002"/>
    <n v="2.5"/>
    <n v="26"/>
    <m/>
    <n v="128.98000000000002"/>
    <s v="1069.0400000000002"/>
    <m/>
    <m/>
    <m/>
    <n v="0"/>
    <n v="0"/>
    <m/>
    <m/>
    <m/>
    <m/>
    <m/>
    <m/>
    <m/>
    <m/>
    <n v="0"/>
    <n v="0"/>
    <n v="0"/>
    <n v="12"/>
    <n v="12"/>
    <m/>
    <m/>
    <n v="0"/>
    <n v="136.48000000000002"/>
    <m/>
    <x v="21"/>
    <n v="53"/>
    <m/>
    <m/>
    <m/>
  </r>
  <r>
    <x v="1"/>
    <x v="0"/>
    <s v="2.5/8"/>
    <x v="196"/>
    <s v="سٹاک"/>
    <s v="PP"/>
    <n v="2.5"/>
    <s v="5.5-6"/>
    <s v="PP"/>
    <n v="1000"/>
    <s v="PP"/>
    <n v="10"/>
    <n v="143.21"/>
    <n v="2.5"/>
    <n v="23"/>
    <m/>
    <n v="140.71"/>
    <s v="1069.0400000000002"/>
    <m/>
    <m/>
    <m/>
    <n v="0"/>
    <n v="0"/>
    <m/>
    <m/>
    <m/>
    <m/>
    <m/>
    <m/>
    <m/>
    <m/>
    <n v="0"/>
    <n v="0"/>
    <n v="0"/>
    <n v="12"/>
    <n v="12"/>
    <m/>
    <m/>
    <n v="0"/>
    <n v="148.21"/>
    <m/>
    <x v="21"/>
    <n v="53"/>
    <m/>
    <m/>
    <m/>
  </r>
  <r>
    <x v="0"/>
    <x v="1"/>
    <s v="4/11"/>
    <x v="196"/>
    <s v="سٹاک"/>
    <s v="PP"/>
    <n v="4"/>
    <s v="5-5.5"/>
    <s v="PP"/>
    <n v="1500"/>
    <s v="PP"/>
    <n v="11"/>
    <n v="192.99999999999997"/>
    <n v="4.4000000000000004"/>
    <m/>
    <m/>
    <n v="188.59999999999997"/>
    <s v="2816.31"/>
    <m/>
    <m/>
    <m/>
    <n v="0"/>
    <n v="0"/>
    <m/>
    <m/>
    <m/>
    <m/>
    <m/>
    <m/>
    <m/>
    <m/>
    <n v="0"/>
    <n v="0"/>
    <n v="0"/>
    <n v="12"/>
    <n v="12"/>
    <m/>
    <m/>
    <n v="0"/>
    <n v="197.99999999999997"/>
    <m/>
    <x v="21"/>
    <n v="53"/>
    <m/>
    <m/>
    <m/>
  </r>
  <r>
    <x v="1"/>
    <x v="1"/>
    <s v="4/11"/>
    <x v="196"/>
    <s v="سٹاک"/>
    <s v="PP"/>
    <n v="4"/>
    <s v="5-5.5"/>
    <s v="PP"/>
    <n v="1500"/>
    <s v="PP"/>
    <n v="11"/>
    <n v="201.29"/>
    <n v="4.4000000000000004"/>
    <m/>
    <m/>
    <n v="196.89"/>
    <s v="2816.31"/>
    <m/>
    <m/>
    <m/>
    <n v="0"/>
    <n v="0"/>
    <m/>
    <m/>
    <m/>
    <m/>
    <m/>
    <m/>
    <m/>
    <m/>
    <n v="0"/>
    <n v="0"/>
    <n v="0"/>
    <n v="12"/>
    <n v="12"/>
    <m/>
    <m/>
    <n v="0"/>
    <n v="206.29"/>
    <m/>
    <x v="21"/>
    <n v="53"/>
    <m/>
    <m/>
    <m/>
  </r>
  <r>
    <x v="0"/>
    <x v="3"/>
    <s v="6571 J"/>
    <x v="196"/>
    <s v="Jilani Poly Stock"/>
    <s v="PP"/>
    <n v="22"/>
    <s v="5-5.5"/>
    <s v="PP"/>
    <s v="-"/>
    <s v="PP"/>
    <n v="13"/>
    <n v="768.37500000000011"/>
    <n v="28.6"/>
    <m/>
    <m/>
    <n v="739.77500000000009"/>
    <s v="1328.2450000000003"/>
    <n v="25"/>
    <m/>
    <m/>
    <n v="25"/>
    <n v="0.41666666666666674"/>
    <m/>
    <m/>
    <m/>
    <m/>
    <m/>
    <m/>
    <m/>
    <m/>
    <n v="0"/>
    <n v="0"/>
    <n v="0.41666666666666674"/>
    <n v="11.583333333333334"/>
    <n v="12"/>
    <m/>
    <m/>
    <n v="0"/>
    <n v="773.37500000000011"/>
    <m/>
    <x v="21"/>
    <n v="53"/>
    <m/>
    <m/>
    <m/>
  </r>
  <r>
    <x v="1"/>
    <x v="3"/>
    <s v="6569 J"/>
    <x v="196"/>
    <s v="Jilani Poly Stock"/>
    <s v="PP"/>
    <n v="24"/>
    <s v="5-5.5"/>
    <s v="PP"/>
    <s v="-"/>
    <s v="PP"/>
    <n v="12"/>
    <n v="790.43999999999994"/>
    <n v="28.799999999999997"/>
    <m/>
    <m/>
    <n v="761.64"/>
    <s v="1409.37"/>
    <m/>
    <m/>
    <m/>
    <n v="0"/>
    <n v="0"/>
    <m/>
    <m/>
    <m/>
    <m/>
    <m/>
    <m/>
    <m/>
    <m/>
    <n v="0"/>
    <n v="0"/>
    <n v="0"/>
    <n v="12"/>
    <n v="12"/>
    <m/>
    <m/>
    <n v="0"/>
    <n v="795.44"/>
    <m/>
    <x v="21"/>
    <n v="53"/>
    <m/>
    <m/>
    <m/>
  </r>
  <r>
    <x v="1"/>
    <x v="3"/>
    <s v="6569 J"/>
    <x v="196"/>
    <s v="Jilani Poly Stock"/>
    <s v="PP"/>
    <n v="24"/>
    <s v="5-5.5"/>
    <s v="PP"/>
    <s v="-"/>
    <s v="PP"/>
    <n v="1"/>
    <n v="65.400000000000006"/>
    <n v="2.4"/>
    <m/>
    <m/>
    <n v="63.000000000000007"/>
    <s v="1409.37"/>
    <m/>
    <m/>
    <m/>
    <n v="0"/>
    <n v="0"/>
    <m/>
    <m/>
    <m/>
    <m/>
    <m/>
    <m/>
    <m/>
    <m/>
    <n v="0"/>
    <n v="0"/>
    <n v="0"/>
    <n v="12"/>
    <n v="12"/>
    <m/>
    <m/>
    <n v="0"/>
    <n v="70.400000000000006"/>
    <m/>
    <x v="21"/>
    <n v="53"/>
    <m/>
    <m/>
    <m/>
  </r>
  <r>
    <x v="0"/>
    <x v="4"/>
    <s v="7585/1"/>
    <x v="196"/>
    <s v="طیب P گوجرانوالہ"/>
    <s v="PP"/>
    <n v="11"/>
    <s v="7"/>
    <s v="PP"/>
    <n v="100"/>
    <s v="PP"/>
    <n v="1"/>
    <n v="42"/>
    <n v="1.1000000000000001"/>
    <m/>
    <m/>
    <n v="40.9"/>
    <s v="116.57999999999998"/>
    <m/>
    <m/>
    <m/>
    <n v="0"/>
    <n v="0"/>
    <m/>
    <m/>
    <m/>
    <m/>
    <m/>
    <m/>
    <m/>
    <m/>
    <n v="0"/>
    <n v="0"/>
    <n v="0"/>
    <n v="12"/>
    <n v="12"/>
    <m/>
    <m/>
    <n v="0"/>
    <n v="47"/>
    <m/>
    <x v="21"/>
    <n v="53"/>
    <m/>
    <m/>
    <m/>
  </r>
  <r>
    <x v="0"/>
    <x v="4"/>
    <s v="11/8"/>
    <x v="196"/>
    <s v="سٹاک"/>
    <s v="PP"/>
    <n v="11"/>
    <s v="5-5.5"/>
    <s v="PP"/>
    <n v="1500"/>
    <s v="PP"/>
    <n v="4"/>
    <n v="211.82999999999998"/>
    <n v="4.4000000000000004"/>
    <m/>
    <m/>
    <n v="207.42999999999998"/>
    <s v="1653.33"/>
    <m/>
    <m/>
    <m/>
    <n v="0"/>
    <n v="0"/>
    <m/>
    <m/>
    <m/>
    <m/>
    <m/>
    <m/>
    <m/>
    <m/>
    <n v="0"/>
    <n v="0"/>
    <n v="0"/>
    <n v="12"/>
    <n v="12"/>
    <m/>
    <m/>
    <n v="0"/>
    <n v="216.83"/>
    <m/>
    <x v="21"/>
    <n v="53"/>
    <m/>
    <m/>
    <m/>
  </r>
  <r>
    <x v="0"/>
    <x v="4"/>
    <s v="7628/2"/>
    <x v="196"/>
    <s v="فہیم پلاسٹک ملتان"/>
    <s v="PP"/>
    <n v="11"/>
    <s v="7"/>
    <s v="PP"/>
    <n v="100"/>
    <s v="PP"/>
    <n v="2"/>
    <n v="95.66"/>
    <n v="2.2000000000000002"/>
    <m/>
    <m/>
    <n v="93.46"/>
    <s v="93.46"/>
    <m/>
    <m/>
    <m/>
    <n v="0"/>
    <n v="0"/>
    <m/>
    <m/>
    <m/>
    <m/>
    <m/>
    <m/>
    <m/>
    <m/>
    <n v="0"/>
    <n v="0"/>
    <n v="0"/>
    <n v="12"/>
    <n v="12"/>
    <m/>
    <m/>
    <n v="0"/>
    <n v="100.66"/>
    <m/>
    <x v="21"/>
    <n v="53"/>
    <m/>
    <m/>
    <m/>
  </r>
  <r>
    <x v="0"/>
    <x v="4"/>
    <s v="7586/3"/>
    <x v="196"/>
    <s v="اصف پلاسٹک سرگو ھا"/>
    <s v="PP"/>
    <n v="11"/>
    <s v="4.5"/>
    <s v="PP"/>
    <n v="100"/>
    <s v="PP"/>
    <n v="4"/>
    <n v="198.13"/>
    <n v="4.4000000000000004"/>
    <m/>
    <m/>
    <n v="193.73"/>
    <s v="193.73"/>
    <m/>
    <m/>
    <m/>
    <n v="0"/>
    <n v="0"/>
    <m/>
    <m/>
    <m/>
    <m/>
    <m/>
    <m/>
    <m/>
    <m/>
    <n v="0"/>
    <n v="0"/>
    <n v="0"/>
    <n v="12"/>
    <n v="12"/>
    <m/>
    <m/>
    <n v="0"/>
    <n v="203.13"/>
    <m/>
    <x v="21"/>
    <n v="53"/>
    <m/>
    <m/>
    <m/>
  </r>
  <r>
    <x v="1"/>
    <x v="4"/>
    <s v="11/8"/>
    <x v="196"/>
    <s v="سٹاک"/>
    <s v="PP"/>
    <n v="11"/>
    <s v="5-5.5"/>
    <s v="PP"/>
    <n v="1500"/>
    <s v="PP"/>
    <n v="10"/>
    <n v="569.64"/>
    <n v="12"/>
    <m/>
    <m/>
    <n v="557.64"/>
    <s v="1653.33"/>
    <m/>
    <m/>
    <m/>
    <n v="0"/>
    <n v="0"/>
    <m/>
    <m/>
    <m/>
    <m/>
    <m/>
    <m/>
    <m/>
    <m/>
    <n v="0"/>
    <n v="0"/>
    <n v="0"/>
    <n v="12"/>
    <n v="12"/>
    <m/>
    <m/>
    <n v="0"/>
    <n v="574.64"/>
    <m/>
    <x v="21"/>
    <n v="53"/>
    <m/>
    <m/>
    <m/>
  </r>
  <r>
    <x v="0"/>
    <x v="0"/>
    <s v="2.5/8"/>
    <x v="197"/>
    <s v="سٹاک"/>
    <s v="PP"/>
    <n v="2.5"/>
    <s v="5.5-6"/>
    <s v="PP"/>
    <n v="1000"/>
    <s v="PP"/>
    <n v="9"/>
    <n v="121.55999999999999"/>
    <n v="2.25"/>
    <n v="23"/>
    <m/>
    <n v="119.30999999999999"/>
    <s v="1069.0400000000002"/>
    <m/>
    <m/>
    <m/>
    <n v="0"/>
    <n v="0"/>
    <n v="60"/>
    <m/>
    <m/>
    <m/>
    <m/>
    <m/>
    <m/>
    <m/>
    <n v="60"/>
    <n v="1"/>
    <n v="1"/>
    <n v="11"/>
    <n v="12"/>
    <m/>
    <m/>
    <n v="0"/>
    <n v="126.56"/>
    <m/>
    <x v="21"/>
    <n v="54"/>
    <m/>
    <m/>
    <m/>
  </r>
  <r>
    <x v="1"/>
    <x v="0"/>
    <s v="2.5/8"/>
    <x v="197"/>
    <s v="سٹاک"/>
    <s v="PP"/>
    <n v="2.5"/>
    <s v="5.5-6"/>
    <s v="PP"/>
    <n v="1000"/>
    <s v="PP"/>
    <n v="8"/>
    <n v="103.41"/>
    <n v="2"/>
    <n v="20"/>
    <m/>
    <n v="101.41"/>
    <s v="1069.0400000000002"/>
    <m/>
    <m/>
    <m/>
    <n v="0"/>
    <n v="0"/>
    <m/>
    <m/>
    <n v="210"/>
    <m/>
    <m/>
    <m/>
    <m/>
    <m/>
    <n v="210"/>
    <n v="3.5"/>
    <n v="3.5"/>
    <n v="8.5"/>
    <n v="12"/>
    <m/>
    <m/>
    <n v="0"/>
    <n v="108.41"/>
    <m/>
    <x v="21"/>
    <n v="54"/>
    <m/>
    <m/>
    <m/>
  </r>
  <r>
    <x v="0"/>
    <x v="1"/>
    <s v="4/11"/>
    <x v="197"/>
    <s v="سٹاک"/>
    <s v="PP"/>
    <n v="4"/>
    <s v="5-5.5"/>
    <s v="PP"/>
    <n v="1500"/>
    <s v="PP"/>
    <n v="6"/>
    <n v="107.47999999999999"/>
    <n v="2.4000000000000004"/>
    <m/>
    <m/>
    <n v="105.07999999999998"/>
    <s v="2816.31"/>
    <n v="60"/>
    <m/>
    <m/>
    <n v="60"/>
    <n v="1"/>
    <m/>
    <m/>
    <m/>
    <m/>
    <m/>
    <m/>
    <m/>
    <m/>
    <n v="0"/>
    <n v="0"/>
    <n v="1"/>
    <n v="11"/>
    <n v="12"/>
    <m/>
    <m/>
    <n v="0"/>
    <n v="112.48"/>
    <m/>
    <x v="21"/>
    <n v="54"/>
    <m/>
    <m/>
    <m/>
  </r>
  <r>
    <x v="0"/>
    <x v="1"/>
    <s v="7648/1"/>
    <x v="197"/>
    <s v="عزیز ٹریڈز ہاوس لاہور"/>
    <s v="PP"/>
    <n v="3.5"/>
    <s v="8"/>
    <s v="PP"/>
    <n v="1000"/>
    <s v="PP"/>
    <n v="3"/>
    <n v="48"/>
    <n v="1.0499999999999998"/>
    <m/>
    <m/>
    <n v="46.95"/>
    <s v="965.60000000000014"/>
    <m/>
    <m/>
    <m/>
    <n v="0"/>
    <n v="0"/>
    <m/>
    <m/>
    <m/>
    <m/>
    <m/>
    <m/>
    <m/>
    <m/>
    <n v="0"/>
    <n v="0"/>
    <n v="0"/>
    <n v="12"/>
    <n v="12"/>
    <m/>
    <m/>
    <n v="0"/>
    <n v="53"/>
    <m/>
    <x v="21"/>
    <n v="54"/>
    <m/>
    <m/>
    <m/>
  </r>
  <r>
    <x v="1"/>
    <x v="1"/>
    <s v="7648/1"/>
    <x v="197"/>
    <s v="عزیز ٹریڈز ہاوس لاہور"/>
    <s v="PP"/>
    <n v="3.5"/>
    <s v="8"/>
    <s v="PP"/>
    <n v="1000"/>
    <s v="PP"/>
    <n v="11"/>
    <n v="171.74000000000004"/>
    <n v="4.1999999999999993"/>
    <m/>
    <m/>
    <n v="167.54000000000005"/>
    <s v="965.60000000000014"/>
    <m/>
    <m/>
    <m/>
    <n v="0"/>
    <n v="0"/>
    <m/>
    <m/>
    <m/>
    <m/>
    <m/>
    <m/>
    <m/>
    <m/>
    <n v="0"/>
    <n v="0"/>
    <n v="0"/>
    <n v="12"/>
    <n v="12"/>
    <m/>
    <m/>
    <n v="0"/>
    <n v="176.74000000000004"/>
    <m/>
    <x v="21"/>
    <n v="54"/>
    <m/>
    <m/>
    <m/>
  </r>
  <r>
    <x v="0"/>
    <x v="3"/>
    <s v="6569 J"/>
    <x v="197"/>
    <s v="Jilani Poly Stock"/>
    <s v="PP"/>
    <n v="24"/>
    <s v="5-5.5"/>
    <s v="PP"/>
    <s v="-"/>
    <s v="PP"/>
    <n v="10"/>
    <n v="608.73"/>
    <n v="24"/>
    <m/>
    <m/>
    <n v="584.73"/>
    <s v="1409.37"/>
    <n v="25"/>
    <m/>
    <m/>
    <n v="25"/>
    <n v="0.41666666666666674"/>
    <m/>
    <n v="180"/>
    <m/>
    <m/>
    <m/>
    <m/>
    <m/>
    <m/>
    <n v="180"/>
    <n v="3"/>
    <n v="3.4166666666666665"/>
    <n v="8.5833333333333339"/>
    <n v="12"/>
    <m/>
    <m/>
    <n v="0"/>
    <n v="613.73"/>
    <m/>
    <x v="21"/>
    <n v="54"/>
    <m/>
    <m/>
    <m/>
  </r>
  <r>
    <x v="0"/>
    <x v="3"/>
    <s v="6566 J"/>
    <x v="197"/>
    <s v="Jilani Poly Stock"/>
    <s v="PP"/>
    <n v="16"/>
    <s v="5-5.5"/>
    <s v="PP"/>
    <s v="-"/>
    <s v="PP"/>
    <n v="1"/>
    <n v="28.67"/>
    <n v="1.6"/>
    <m/>
    <m/>
    <n v="27.07"/>
    <s v="1240.1400000000001"/>
    <m/>
    <m/>
    <m/>
    <n v="0"/>
    <n v="0"/>
    <m/>
    <m/>
    <m/>
    <m/>
    <m/>
    <m/>
    <m/>
    <m/>
    <n v="0"/>
    <n v="0"/>
    <n v="0"/>
    <n v="12"/>
    <n v="12"/>
    <m/>
    <m/>
    <n v="0"/>
    <n v="33.67"/>
    <m/>
    <x v="21"/>
    <n v="54"/>
    <m/>
    <m/>
    <m/>
  </r>
  <r>
    <x v="1"/>
    <x v="3"/>
    <s v="6558 J"/>
    <x v="197"/>
    <s v="RMC PACK"/>
    <s v="PP"/>
    <n v="16"/>
    <s v="5-5.5"/>
    <s v="PP"/>
    <n v="100"/>
    <s v="PP"/>
    <n v="2"/>
    <n v="111.3"/>
    <n v="3.2"/>
    <m/>
    <m/>
    <n v="108.1"/>
    <s v="108.1"/>
    <m/>
    <m/>
    <m/>
    <n v="0"/>
    <n v="0"/>
    <m/>
    <m/>
    <m/>
    <m/>
    <m/>
    <m/>
    <m/>
    <m/>
    <n v="0"/>
    <n v="0"/>
    <n v="0"/>
    <n v="12"/>
    <n v="12"/>
    <m/>
    <m/>
    <n v="0"/>
    <n v="116.3"/>
    <m/>
    <x v="21"/>
    <n v="54"/>
    <m/>
    <m/>
    <m/>
  </r>
  <r>
    <x v="1"/>
    <x v="3"/>
    <s v="6566 J"/>
    <x v="197"/>
    <s v="Jilani Poly Stock"/>
    <s v="PP"/>
    <n v="16"/>
    <s v="5-5.5"/>
    <s v="PP"/>
    <s v="-"/>
    <s v="PP"/>
    <n v="13"/>
    <n v="627.85"/>
    <n v="20.8"/>
    <m/>
    <m/>
    <n v="607.05000000000007"/>
    <s v="1240.1400000000001"/>
    <m/>
    <m/>
    <m/>
    <n v="0"/>
    <n v="0"/>
    <m/>
    <m/>
    <m/>
    <m/>
    <m/>
    <m/>
    <m/>
    <m/>
    <n v="0"/>
    <n v="0"/>
    <n v="0"/>
    <n v="12"/>
    <n v="12"/>
    <m/>
    <m/>
    <n v="0"/>
    <n v="632.85"/>
    <m/>
    <x v="21"/>
    <n v="54"/>
    <m/>
    <m/>
    <m/>
  </r>
  <r>
    <x v="0"/>
    <x v="4"/>
    <s v="11/8"/>
    <x v="197"/>
    <s v="سٹاک"/>
    <s v="PP"/>
    <n v="11"/>
    <s v="5-5.5"/>
    <s v="PP"/>
    <n v="1500"/>
    <s v="PP"/>
    <n v="9"/>
    <n v="476.51"/>
    <n v="9.9"/>
    <n v="5.5"/>
    <m/>
    <n v="466.61"/>
    <s v="1653.33"/>
    <m/>
    <m/>
    <m/>
    <n v="0"/>
    <n v="0"/>
    <n v="75"/>
    <m/>
    <m/>
    <m/>
    <m/>
    <m/>
    <m/>
    <m/>
    <n v="75"/>
    <n v="1.25"/>
    <n v="1.25"/>
    <n v="10.75"/>
    <n v="12"/>
    <m/>
    <m/>
    <n v="0"/>
    <n v="481.51"/>
    <m/>
    <x v="21"/>
    <n v="54"/>
    <m/>
    <m/>
    <m/>
  </r>
  <r>
    <x v="1"/>
    <x v="4"/>
    <s v="11/8"/>
    <x v="197"/>
    <s v="سٹاک"/>
    <s v="PP"/>
    <n v="11"/>
    <s v="5-5.5"/>
    <s v="PP"/>
    <n v="1500"/>
    <s v="PP"/>
    <n v="7"/>
    <n v="430.05000000000007"/>
    <n v="8.4"/>
    <n v="5.5"/>
    <m/>
    <n v="421.65000000000009"/>
    <s v="1653.33"/>
    <m/>
    <m/>
    <m/>
    <n v="0"/>
    <n v="0"/>
    <m/>
    <m/>
    <m/>
    <m/>
    <m/>
    <m/>
    <m/>
    <m/>
    <n v="0"/>
    <n v="0"/>
    <n v="0"/>
    <n v="12"/>
    <n v="12"/>
    <m/>
    <m/>
    <n v="0"/>
    <n v="435.05000000000007"/>
    <m/>
    <x v="21"/>
    <n v="54"/>
    <m/>
    <m/>
    <m/>
  </r>
  <r>
    <x v="1"/>
    <x v="4"/>
    <s v="7640/2"/>
    <x v="197"/>
    <s v="ہیڈ افس لاہور،C/O رانا سمیع"/>
    <s v="PP"/>
    <n v="9"/>
    <s v="4-4.5"/>
    <s v="PP"/>
    <n v="50"/>
    <s v="PP"/>
    <n v="2"/>
    <n v="60.33"/>
    <n v="2.6"/>
    <m/>
    <m/>
    <n v="57.73"/>
    <s v="57.73"/>
    <n v="20"/>
    <m/>
    <m/>
    <n v="20"/>
    <n v="0.33333333333333331"/>
    <m/>
    <m/>
    <m/>
    <m/>
    <m/>
    <m/>
    <m/>
    <m/>
    <n v="0"/>
    <n v="0"/>
    <n v="0.33333333333333331"/>
    <n v="11.666666666666666"/>
    <n v="12"/>
    <m/>
    <m/>
    <n v="0"/>
    <n v="65.33"/>
    <m/>
    <x v="21"/>
    <n v="54"/>
    <m/>
    <m/>
    <m/>
  </r>
  <r>
    <x v="0"/>
    <x v="0"/>
    <s v="2.5/8"/>
    <x v="198"/>
    <s v="سٹاک"/>
    <s v="PP"/>
    <n v="2.5"/>
    <s v="5.5-6"/>
    <s v="PP"/>
    <n v="1000"/>
    <s v="PP"/>
    <n v="11"/>
    <n v="146.44"/>
    <n v="2.75"/>
    <m/>
    <m/>
    <n v="143.69"/>
    <s v="1069.0400000000002"/>
    <m/>
    <m/>
    <m/>
    <n v="0"/>
    <n v="0"/>
    <m/>
    <m/>
    <m/>
    <m/>
    <m/>
    <m/>
    <m/>
    <m/>
    <n v="0"/>
    <n v="0"/>
    <n v="0"/>
    <n v="12"/>
    <n v="12"/>
    <m/>
    <m/>
    <n v="0"/>
    <n v="151.44"/>
    <m/>
    <x v="21"/>
    <n v="54"/>
    <m/>
    <m/>
    <m/>
  </r>
  <r>
    <x v="1"/>
    <x v="0"/>
    <s v="2.5/8"/>
    <x v="198"/>
    <s v="سٹاک"/>
    <s v="PP"/>
    <n v="2.5"/>
    <s v="5.5-6"/>
    <s v="PP"/>
    <n v="1000"/>
    <s v="PP"/>
    <n v="10"/>
    <n v="145.32999999999998"/>
    <n v="2.5"/>
    <m/>
    <m/>
    <n v="142.82999999999998"/>
    <s v="1069.0400000000002"/>
    <m/>
    <m/>
    <m/>
    <n v="0"/>
    <n v="0"/>
    <m/>
    <m/>
    <m/>
    <m/>
    <m/>
    <m/>
    <m/>
    <m/>
    <n v="0"/>
    <n v="0"/>
    <n v="0"/>
    <n v="12"/>
    <n v="12"/>
    <m/>
    <m/>
    <n v="0"/>
    <n v="150.32999999999998"/>
    <m/>
    <x v="21"/>
    <n v="54"/>
    <m/>
    <m/>
    <m/>
  </r>
  <r>
    <x v="0"/>
    <x v="1"/>
    <s v="7648/1"/>
    <x v="198"/>
    <s v="عزیز ٹریڈز ہاوس لاہور"/>
    <s v="PP"/>
    <n v="3.5"/>
    <s v="8"/>
    <s v="PP"/>
    <n v="1000"/>
    <s v="PP"/>
    <n v="11"/>
    <n v="170.89000000000001"/>
    <n v="3.8499999999999996"/>
    <m/>
    <m/>
    <n v="167.04000000000002"/>
    <s v="965.60000000000014"/>
    <m/>
    <m/>
    <m/>
    <n v="0"/>
    <n v="0"/>
    <m/>
    <m/>
    <m/>
    <m/>
    <m/>
    <m/>
    <m/>
    <m/>
    <n v="0"/>
    <n v="0"/>
    <n v="0"/>
    <n v="12"/>
    <n v="12"/>
    <m/>
    <m/>
    <n v="0"/>
    <n v="175.89"/>
    <m/>
    <x v="21"/>
    <n v="54"/>
    <m/>
    <m/>
    <m/>
  </r>
  <r>
    <x v="1"/>
    <x v="1"/>
    <s v="7648/1"/>
    <x v="198"/>
    <s v="عزیز ٹریڈز ہاوس لاہور"/>
    <s v="PP"/>
    <n v="3.5"/>
    <s v="8"/>
    <s v="PP"/>
    <n v="1000"/>
    <s v="PP"/>
    <n v="11"/>
    <n v="174.13"/>
    <n v="3.8499999999999996"/>
    <m/>
    <m/>
    <n v="170.28"/>
    <s v="965.60000000000014"/>
    <m/>
    <m/>
    <m/>
    <n v="0"/>
    <n v="0"/>
    <m/>
    <m/>
    <m/>
    <m/>
    <m/>
    <m/>
    <m/>
    <m/>
    <n v="0"/>
    <n v="0"/>
    <n v="0"/>
    <n v="12"/>
    <n v="12"/>
    <m/>
    <m/>
    <n v="0"/>
    <n v="179.13"/>
    <m/>
    <x v="21"/>
    <n v="54"/>
    <m/>
    <m/>
    <m/>
  </r>
  <r>
    <x v="0"/>
    <x v="3"/>
    <s v="6566 J"/>
    <x v="198"/>
    <s v="Jilani Poly Stock"/>
    <s v="PP"/>
    <n v="16"/>
    <s v="5-5.5"/>
    <s v="PP"/>
    <s v="-"/>
    <s v="PP"/>
    <n v="11"/>
    <n v="626.91999999999996"/>
    <n v="20.9"/>
    <m/>
    <m/>
    <n v="606.02"/>
    <s v="1240.1400000000001"/>
    <n v="50"/>
    <m/>
    <m/>
    <n v="50"/>
    <n v="0.83333333333333348"/>
    <m/>
    <m/>
    <m/>
    <m/>
    <m/>
    <m/>
    <m/>
    <m/>
    <n v="0"/>
    <n v="0"/>
    <n v="0.83333333333333348"/>
    <n v="11.166666666666666"/>
    <n v="12"/>
    <m/>
    <m/>
    <n v="0"/>
    <n v="631.91999999999996"/>
    <m/>
    <x v="21"/>
    <n v="54"/>
    <m/>
    <m/>
    <m/>
  </r>
  <r>
    <x v="0"/>
    <x v="3"/>
    <s v="2688 F"/>
    <x v="198"/>
    <s v="Usman Amin"/>
    <s v="PEVA"/>
    <n v="16"/>
    <s v="20"/>
    <s v="PEVA"/>
    <n v="750"/>
    <s v="PP"/>
    <n v="3"/>
    <n v="163.58000000000001"/>
    <n v="5.6999999999999993"/>
    <n v="97"/>
    <m/>
    <n v="157.88000000000002"/>
    <s v="1042.96"/>
    <m/>
    <m/>
    <m/>
    <n v="0"/>
    <n v="0"/>
    <m/>
    <m/>
    <m/>
    <m/>
    <m/>
    <m/>
    <m/>
    <m/>
    <n v="0"/>
    <n v="0"/>
    <n v="0"/>
    <n v="12"/>
    <n v="12"/>
    <m/>
    <m/>
    <n v="0"/>
    <n v="168.58"/>
    <m/>
    <x v="21"/>
    <n v="54"/>
    <m/>
    <m/>
    <m/>
  </r>
  <r>
    <x v="1"/>
    <x v="3"/>
    <s v="2688 F"/>
    <x v="198"/>
    <s v="Usman Amin"/>
    <s v="PEVA"/>
    <n v="16"/>
    <s v="20"/>
    <s v="PEVA"/>
    <n v="750"/>
    <s v="PP"/>
    <n v="13"/>
    <n v="626.41999999999996"/>
    <n v="26"/>
    <n v="68"/>
    <m/>
    <n v="600.41999999999996"/>
    <s v="1042.96"/>
    <n v="25"/>
    <m/>
    <m/>
    <n v="25"/>
    <n v="0.41666666666666674"/>
    <m/>
    <m/>
    <m/>
    <m/>
    <m/>
    <m/>
    <m/>
    <m/>
    <n v="0"/>
    <n v="0"/>
    <n v="0.41666666666666674"/>
    <n v="11.583333333333334"/>
    <n v="12"/>
    <m/>
    <m/>
    <n v="0"/>
    <n v="631.41999999999996"/>
    <m/>
    <x v="21"/>
    <n v="54"/>
    <m/>
    <m/>
    <m/>
  </r>
  <r>
    <x v="1"/>
    <x v="3"/>
    <s v="2690 F"/>
    <x v="198"/>
    <s v="Usman Amin"/>
    <s v="PEVA"/>
    <n v="18"/>
    <s v="20"/>
    <s v="PEVA"/>
    <n v="910"/>
    <s v="PP"/>
    <n v="8"/>
    <n v="435.90999999999997"/>
    <n v="13.52"/>
    <m/>
    <m/>
    <n v="422.39"/>
    <s v="1340.6099999999997"/>
    <m/>
    <m/>
    <m/>
    <n v="0"/>
    <n v="0"/>
    <m/>
    <m/>
    <m/>
    <m/>
    <m/>
    <m/>
    <m/>
    <m/>
    <n v="0"/>
    <n v="0"/>
    <n v="0"/>
    <n v="12"/>
    <n v="12"/>
    <m/>
    <m/>
    <n v="0"/>
    <n v="440.91"/>
    <m/>
    <x v="21"/>
    <n v="54"/>
    <m/>
    <m/>
    <m/>
  </r>
  <r>
    <x v="0"/>
    <x v="4"/>
    <s v="7639/1"/>
    <x v="198"/>
    <s v="MTM شاہ عالم"/>
    <s v="PP"/>
    <n v="9"/>
    <s v="7"/>
    <s v="PP"/>
    <n v="100"/>
    <s v="PP"/>
    <n v="2"/>
    <n v="88.93"/>
    <n v="1.8"/>
    <m/>
    <m/>
    <n v="87.13000000000001"/>
    <s v="87.13000000000001"/>
    <m/>
    <m/>
    <m/>
    <n v="0"/>
    <n v="0"/>
    <m/>
    <m/>
    <m/>
    <m/>
    <m/>
    <m/>
    <m/>
    <m/>
    <n v="0"/>
    <n v="0"/>
    <n v="0"/>
    <n v="12"/>
    <n v="12"/>
    <m/>
    <m/>
    <n v="0"/>
    <n v="93.93"/>
    <m/>
    <x v="21"/>
    <n v="54"/>
    <m/>
    <m/>
    <m/>
  </r>
  <r>
    <x v="0"/>
    <x v="4"/>
    <s v="7626/1"/>
    <x v="198"/>
    <s v="بلال صاحب اعظم مارکیٹ"/>
    <s v="PP"/>
    <n v="10"/>
    <s v="8"/>
    <s v="PP"/>
    <n v="50"/>
    <s v="PP"/>
    <n v="2"/>
    <n v="55.5"/>
    <n v="2"/>
    <m/>
    <m/>
    <n v="53.5"/>
    <s v="53.5"/>
    <m/>
    <m/>
    <m/>
    <n v="0"/>
    <n v="0"/>
    <m/>
    <m/>
    <m/>
    <m/>
    <m/>
    <m/>
    <m/>
    <m/>
    <n v="0"/>
    <n v="0"/>
    <n v="0"/>
    <n v="12"/>
    <n v="12"/>
    <m/>
    <m/>
    <n v="0"/>
    <n v="60.5"/>
    <m/>
    <x v="21"/>
    <n v="54"/>
    <m/>
    <m/>
    <m/>
  </r>
  <r>
    <x v="0"/>
    <x v="4"/>
    <s v="7640/1"/>
    <x v="198"/>
    <s v="ہیڈ افس لاہور،C/O رانا سمیع"/>
    <s v="PP"/>
    <n v="10"/>
    <s v="4-4.5"/>
    <s v="PP"/>
    <n v="50"/>
    <s v="PP"/>
    <n v="2"/>
    <n v="54.75"/>
    <n v="2"/>
    <m/>
    <m/>
    <n v="52.75"/>
    <s v="52.75"/>
    <n v="25"/>
    <m/>
    <m/>
    <n v="25"/>
    <n v="0.41666666666666674"/>
    <m/>
    <m/>
    <m/>
    <m/>
    <m/>
    <m/>
    <m/>
    <m/>
    <n v="0"/>
    <n v="0"/>
    <n v="0.41666666666666674"/>
    <n v="11.583333333333334"/>
    <n v="12"/>
    <m/>
    <m/>
    <n v="0"/>
    <n v="59.75"/>
    <m/>
    <x v="21"/>
    <n v="54"/>
    <m/>
    <m/>
    <m/>
  </r>
  <r>
    <x v="0"/>
    <x v="4"/>
    <s v="7641/1"/>
    <x v="198"/>
    <s v="ایم دین پنڈی"/>
    <s v="PP"/>
    <n v="10"/>
    <s v="14-15"/>
    <s v="PP"/>
    <n v="1050"/>
    <s v="PP"/>
    <n v="5"/>
    <n v="243.63"/>
    <n v="6"/>
    <n v="6"/>
    <m/>
    <n v="237.63"/>
    <s v="939.8599999999999"/>
    <m/>
    <m/>
    <m/>
    <n v="0"/>
    <n v="0"/>
    <m/>
    <m/>
    <m/>
    <m/>
    <m/>
    <m/>
    <m/>
    <m/>
    <n v="0"/>
    <n v="0"/>
    <n v="0"/>
    <n v="12"/>
    <n v="12"/>
    <m/>
    <m/>
    <n v="0"/>
    <n v="248.63"/>
    <m/>
    <x v="21"/>
    <n v="54"/>
    <m/>
    <m/>
    <m/>
  </r>
  <r>
    <x v="1"/>
    <x v="4"/>
    <s v="7641/1"/>
    <x v="198"/>
    <s v="ایم دین پنڈی"/>
    <s v="PP"/>
    <n v="10"/>
    <s v="14-15"/>
    <s v="PP"/>
    <n v="1050"/>
    <s v="PP"/>
    <n v="11"/>
    <n v="584.91"/>
    <n v="14.850000000000001"/>
    <n v="6"/>
    <m/>
    <n v="570.05999999999995"/>
    <s v="939.8599999999999"/>
    <m/>
    <m/>
    <m/>
    <n v="0"/>
    <n v="0"/>
    <m/>
    <m/>
    <m/>
    <m/>
    <m/>
    <m/>
    <m/>
    <m/>
    <n v="0"/>
    <n v="0"/>
    <n v="0"/>
    <n v="12"/>
    <n v="12"/>
    <m/>
    <m/>
    <n v="0"/>
    <n v="589.91"/>
    <m/>
    <x v="21"/>
    <n v="54"/>
    <m/>
    <m/>
    <m/>
  </r>
  <r>
    <x v="0"/>
    <x v="0"/>
    <s v="2.5/8"/>
    <x v="199"/>
    <s v="سٹاک"/>
    <s v="PP"/>
    <n v="2.5"/>
    <s v="5.5-6"/>
    <s v="PP"/>
    <n v="1000"/>
    <s v="PP"/>
    <n v="9"/>
    <n v="130.49"/>
    <n v="2.25"/>
    <m/>
    <m/>
    <n v="128.24"/>
    <s v="1069.0400000000002"/>
    <m/>
    <m/>
    <m/>
    <n v="0"/>
    <n v="0"/>
    <m/>
    <m/>
    <m/>
    <m/>
    <m/>
    <m/>
    <m/>
    <m/>
    <n v="0"/>
    <n v="0"/>
    <n v="0"/>
    <n v="12"/>
    <n v="12"/>
    <m/>
    <m/>
    <n v="0"/>
    <n v="135.49"/>
    <m/>
    <x v="21"/>
    <n v="54"/>
    <m/>
    <m/>
    <m/>
  </r>
  <r>
    <x v="1"/>
    <x v="0"/>
    <s v="2.5/8"/>
    <x v="199"/>
    <s v="سٹاک"/>
    <s v="PP"/>
    <n v="2.5"/>
    <s v="5.5-6"/>
    <s v="PP"/>
    <n v="1000"/>
    <s v="PP"/>
    <n v="7"/>
    <n v="100.14"/>
    <n v="1.75"/>
    <m/>
    <m/>
    <n v="98.39"/>
    <s v="1069.0400000000002"/>
    <n v="20"/>
    <m/>
    <m/>
    <n v="20"/>
    <n v="0.33333333333333331"/>
    <m/>
    <m/>
    <m/>
    <m/>
    <m/>
    <m/>
    <m/>
    <m/>
    <n v="0"/>
    <n v="0"/>
    <n v="0.33333333333333331"/>
    <n v="11.666666666666666"/>
    <n v="12"/>
    <m/>
    <m/>
    <n v="0"/>
    <n v="105.14"/>
    <m/>
    <x v="21"/>
    <n v="54"/>
    <m/>
    <m/>
    <m/>
  </r>
  <r>
    <x v="1"/>
    <x v="0"/>
    <s v="7636/2"/>
    <x v="199"/>
    <s v="محبوب مقبول گوجرانوالہ"/>
    <s v="PP"/>
    <n v="1.5"/>
    <s v="5"/>
    <s v="PP"/>
    <s v="8 رول بیگ"/>
    <s v="PP"/>
    <n v="1"/>
    <n v="19.8"/>
    <n v="0.15"/>
    <m/>
    <m/>
    <n v="19.650000000000002"/>
    <s v="153.94000000000003"/>
    <m/>
    <m/>
    <m/>
    <n v="0"/>
    <n v="0"/>
    <m/>
    <m/>
    <m/>
    <m/>
    <m/>
    <m/>
    <m/>
    <m/>
    <n v="0"/>
    <n v="0"/>
    <n v="0"/>
    <n v="12"/>
    <n v="12"/>
    <m/>
    <m/>
    <n v="0"/>
    <n v="24.8"/>
    <m/>
    <x v="21"/>
    <n v="54"/>
    <m/>
    <m/>
    <m/>
  </r>
  <r>
    <x v="0"/>
    <x v="1"/>
    <s v="7648/1"/>
    <x v="199"/>
    <s v="عزیز ٹریڈز ہاوس لاہور"/>
    <s v="PP"/>
    <n v="3.5"/>
    <s v="8"/>
    <s v="PP"/>
    <n v="1000"/>
    <s v="PP"/>
    <n v="10"/>
    <n v="150.06"/>
    <n v="3.5"/>
    <m/>
    <m/>
    <n v="146.56"/>
    <s v="965.60000000000014"/>
    <m/>
    <m/>
    <m/>
    <n v="0"/>
    <n v="0"/>
    <m/>
    <m/>
    <n v="120"/>
    <m/>
    <m/>
    <m/>
    <m/>
    <m/>
    <n v="120"/>
    <n v="2"/>
    <n v="2"/>
    <n v="10"/>
    <n v="12"/>
    <m/>
    <m/>
    <n v="0"/>
    <n v="155.06"/>
    <m/>
    <x v="21"/>
    <n v="54"/>
    <m/>
    <m/>
    <m/>
  </r>
  <r>
    <x v="1"/>
    <x v="1"/>
    <s v="7648/1"/>
    <x v="199"/>
    <s v="عزیز ٹریڈز ہاوس لاہور"/>
    <s v="PP"/>
    <n v="3.5"/>
    <s v="8"/>
    <s v="PP"/>
    <n v="1000"/>
    <s v="PP"/>
    <n v="10"/>
    <n v="164.1"/>
    <n v="3.5"/>
    <m/>
    <m/>
    <n v="160.6"/>
    <s v="965.60000000000014"/>
    <m/>
    <m/>
    <m/>
    <n v="0"/>
    <n v="0"/>
    <m/>
    <m/>
    <m/>
    <m/>
    <m/>
    <m/>
    <m/>
    <m/>
    <n v="0"/>
    <n v="0"/>
    <n v="0"/>
    <n v="12"/>
    <n v="12"/>
    <m/>
    <m/>
    <n v="0"/>
    <n v="169.1"/>
    <m/>
    <x v="21"/>
    <n v="54"/>
    <m/>
    <m/>
    <m/>
  </r>
  <r>
    <x v="0"/>
    <x v="3"/>
    <s v="2690 F"/>
    <x v="199"/>
    <s v="Usman Amin"/>
    <s v="PEVA"/>
    <n v="18"/>
    <s v="20"/>
    <s v="PEVA"/>
    <n v="910"/>
    <s v="PP"/>
    <n v="14"/>
    <n v="680.28999999999985"/>
    <n v="25.2"/>
    <n v="128"/>
    <m/>
    <n v="655.0899999999998"/>
    <s v="1340.6099999999997"/>
    <n v="90"/>
    <m/>
    <m/>
    <n v="90"/>
    <n v="1.5"/>
    <m/>
    <m/>
    <m/>
    <m/>
    <m/>
    <m/>
    <m/>
    <m/>
    <n v="0"/>
    <n v="0"/>
    <n v="1.5"/>
    <n v="10.5"/>
    <n v="12"/>
    <m/>
    <m/>
    <n v="0"/>
    <n v="685.28999999999985"/>
    <m/>
    <x v="21"/>
    <n v="54"/>
    <m/>
    <m/>
    <m/>
  </r>
  <r>
    <x v="1"/>
    <x v="3"/>
    <s v="2690 F"/>
    <x v="199"/>
    <s v="Usman Amin"/>
    <s v="PEVA"/>
    <n v="18"/>
    <s v="20"/>
    <s v="PEVA"/>
    <n v="910"/>
    <s v="PP"/>
    <n v="5"/>
    <n v="273.15999999999997"/>
    <n v="10.029999999999999"/>
    <n v="105"/>
    <m/>
    <n v="263.13"/>
    <s v="1340.6099999999997"/>
    <n v="20"/>
    <m/>
    <m/>
    <n v="20"/>
    <n v="0.33333333333333331"/>
    <n v="60"/>
    <m/>
    <n v="60"/>
    <m/>
    <m/>
    <m/>
    <m/>
    <m/>
    <n v="120"/>
    <n v="2"/>
    <n v="2.3333333333333335"/>
    <n v="9.6666666666666661"/>
    <n v="12"/>
    <m/>
    <m/>
    <n v="0"/>
    <n v="278.15999999999997"/>
    <m/>
    <x v="21"/>
    <n v="54"/>
    <m/>
    <m/>
    <m/>
  </r>
  <r>
    <x v="1"/>
    <x v="3"/>
    <s v="2688 F"/>
    <x v="199"/>
    <s v="Usman Amin"/>
    <s v="PEVA"/>
    <n v="16"/>
    <s v="20"/>
    <s v="PEVA"/>
    <n v="750"/>
    <s v="PP"/>
    <n v="2"/>
    <n v="108.94999999999999"/>
    <n v="3.3"/>
    <m/>
    <m/>
    <n v="105.64999999999999"/>
    <s v="1042.96"/>
    <n v="20"/>
    <m/>
    <m/>
    <n v="20"/>
    <n v="0.33333333333333331"/>
    <m/>
    <m/>
    <m/>
    <m/>
    <m/>
    <m/>
    <m/>
    <m/>
    <n v="0"/>
    <n v="0"/>
    <n v="0.33333333333333331"/>
    <n v="11.666666666666666"/>
    <n v="12"/>
    <m/>
    <m/>
    <n v="0"/>
    <n v="113.95"/>
    <m/>
    <x v="21"/>
    <n v="54"/>
    <m/>
    <m/>
    <m/>
  </r>
  <r>
    <x v="1"/>
    <x v="3"/>
    <s v="2691 F"/>
    <x v="199"/>
    <s v="Usman Amin"/>
    <s v="PEVA"/>
    <n v="25"/>
    <s v="28"/>
    <s v="PEVA"/>
    <n v="40"/>
    <s v="PP"/>
    <n v="1"/>
    <n v="24.79"/>
    <n v="2.8"/>
    <m/>
    <m/>
    <n v="21.99"/>
    <s v="21.99"/>
    <n v="20"/>
    <m/>
    <m/>
    <n v="20"/>
    <n v="0.33333333333333331"/>
    <m/>
    <m/>
    <m/>
    <m/>
    <m/>
    <m/>
    <m/>
    <m/>
    <n v="0"/>
    <n v="0"/>
    <n v="0.33333333333333331"/>
    <n v="11.666666666666666"/>
    <n v="12"/>
    <m/>
    <m/>
    <n v="0"/>
    <n v="29.79"/>
    <m/>
    <x v="21"/>
    <n v="54"/>
    <m/>
    <m/>
    <m/>
  </r>
  <r>
    <x v="1"/>
    <x v="3"/>
    <s v="2689 F"/>
    <x v="199"/>
    <s v="Usman Amin"/>
    <s v="PEVA"/>
    <n v="17"/>
    <s v="20"/>
    <s v="PEVA"/>
    <n v="100"/>
    <s v="PP"/>
    <n v="4"/>
    <n v="213.69"/>
    <n v="7.6"/>
    <m/>
    <m/>
    <n v="206.09"/>
    <s v="206.09"/>
    <m/>
    <m/>
    <m/>
    <n v="0"/>
    <n v="0"/>
    <m/>
    <m/>
    <m/>
    <m/>
    <m/>
    <m/>
    <m/>
    <m/>
    <n v="0"/>
    <n v="0"/>
    <n v="0"/>
    <n v="12"/>
    <n v="12"/>
    <m/>
    <m/>
    <n v="0"/>
    <n v="218.69"/>
    <m/>
    <x v="21"/>
    <n v="54"/>
    <m/>
    <m/>
    <m/>
  </r>
  <r>
    <x v="0"/>
    <x v="4"/>
    <s v="7641/1"/>
    <x v="199"/>
    <s v="ایم دین پنڈی"/>
    <s v="PP"/>
    <n v="10"/>
    <s v="14-15"/>
    <s v="PP"/>
    <n v="1050"/>
    <s v="PP"/>
    <n v="4"/>
    <n v="136.17000000000002"/>
    <n v="4"/>
    <m/>
    <m/>
    <n v="132.17000000000002"/>
    <s v="939.8599999999999"/>
    <m/>
    <m/>
    <m/>
    <n v="0"/>
    <n v="0"/>
    <m/>
    <m/>
    <m/>
    <m/>
    <m/>
    <m/>
    <m/>
    <m/>
    <n v="0"/>
    <n v="0"/>
    <n v="0"/>
    <n v="13"/>
    <n v="12"/>
    <m/>
    <m/>
    <n v="0"/>
    <n v="141.17000000000002"/>
    <m/>
    <x v="21"/>
    <n v="54"/>
    <m/>
    <m/>
    <m/>
  </r>
  <r>
    <x v="0"/>
    <x v="4"/>
    <s v="7654/1"/>
    <x v="199"/>
    <s v="خذیفہ پلاسٹک اعظم مارکیٹ"/>
    <s v="PP"/>
    <n v="10"/>
    <s v="8"/>
    <s v="PP"/>
    <n v="100"/>
    <s v="PP"/>
    <n v="3"/>
    <n v="76.5"/>
    <n v="3"/>
    <m/>
    <m/>
    <n v="73.5"/>
    <s v="73.5"/>
    <m/>
    <m/>
    <m/>
    <n v="0"/>
    <n v="0"/>
    <m/>
    <m/>
    <m/>
    <m/>
    <m/>
    <m/>
    <m/>
    <m/>
    <n v="0"/>
    <n v="0"/>
    <n v="0"/>
    <n v="14"/>
    <n v="12"/>
    <m/>
    <m/>
    <n v="0"/>
    <n v="81.5"/>
    <m/>
    <x v="21"/>
    <n v="54"/>
    <m/>
    <m/>
    <m/>
  </r>
  <r>
    <x v="0"/>
    <x v="4"/>
    <s v="7621/1"/>
    <x v="199"/>
    <s v="اصف پلاسٹک سرگو ھا"/>
    <s v="PP"/>
    <n v="12"/>
    <s v="4.5"/>
    <s v="PP"/>
    <n v="100"/>
    <s v="PP"/>
    <n v="2"/>
    <n v="99.210000000000008"/>
    <n v="2.4"/>
    <m/>
    <m/>
    <n v="96.81"/>
    <s v="96.81"/>
    <n v="25"/>
    <m/>
    <m/>
    <n v="25"/>
    <n v="0.41666666666666674"/>
    <m/>
    <m/>
    <m/>
    <m/>
    <m/>
    <m/>
    <n v="60"/>
    <m/>
    <n v="60"/>
    <n v="1"/>
    <n v="1.4166666666666667"/>
    <n v="13.583333333333334"/>
    <n v="12"/>
    <m/>
    <m/>
    <n v="0"/>
    <n v="104.21"/>
    <m/>
    <x v="21"/>
    <n v="54"/>
    <m/>
    <m/>
    <m/>
  </r>
  <r>
    <x v="0"/>
    <x v="4"/>
    <s v="10/12"/>
    <x v="199"/>
    <s v="سٹاک"/>
    <s v="PP"/>
    <n v="10"/>
    <n v="5"/>
    <s v="PP"/>
    <n v="1500"/>
    <s v="PP"/>
    <n v="3"/>
    <n v="110.05"/>
    <n v="3"/>
    <n v="7.5"/>
    <m/>
    <n v="107.05"/>
    <s v="1765.8999999999999"/>
    <m/>
    <m/>
    <m/>
    <n v="0"/>
    <n v="0"/>
    <m/>
    <m/>
    <m/>
    <m/>
    <m/>
    <m/>
    <m/>
    <m/>
    <n v="0"/>
    <n v="0"/>
    <n v="0"/>
    <n v="16"/>
    <n v="12"/>
    <m/>
    <m/>
    <n v="0"/>
    <n v="115.05"/>
    <m/>
    <x v="21"/>
    <n v="54"/>
    <m/>
    <m/>
    <m/>
  </r>
  <r>
    <x v="1"/>
    <x v="4"/>
    <s v="7647/1"/>
    <x v="199"/>
    <s v="گڈ لک انٹرپرایزز شاہ عالم"/>
    <s v="PP"/>
    <n v="12"/>
    <s v="4-4.5"/>
    <s v="PP"/>
    <n v="100"/>
    <s v="PP"/>
    <n v="2"/>
    <n v="125.69"/>
    <n v="2.9"/>
    <n v="7.5"/>
    <m/>
    <n v="122.78999999999999"/>
    <s v="122.78999999999999"/>
    <n v="30"/>
    <m/>
    <m/>
    <n v="30"/>
    <n v="0.5"/>
    <m/>
    <m/>
    <m/>
    <m/>
    <m/>
    <m/>
    <m/>
    <m/>
    <n v="0"/>
    <n v="0"/>
    <n v="0.5"/>
    <n v="16.5"/>
    <n v="12"/>
    <m/>
    <m/>
    <n v="0"/>
    <n v="130.69"/>
    <m/>
    <x v="21"/>
    <n v="54"/>
    <m/>
    <m/>
    <m/>
  </r>
  <r>
    <x v="1"/>
    <x v="4"/>
    <s v="6567 J"/>
    <x v="199"/>
    <s v="Jilani Poly Stock"/>
    <s v="PP"/>
    <n v="18"/>
    <s v="5-5.5"/>
    <s v="PP"/>
    <s v="-"/>
    <s v="PP"/>
    <n v="3"/>
    <n v="211.76999999999998"/>
    <n v="6.6000000000000005"/>
    <m/>
    <m/>
    <n v="205.17"/>
    <s v="1264.72"/>
    <m/>
    <m/>
    <m/>
    <n v="0"/>
    <n v="0"/>
    <m/>
    <m/>
    <m/>
    <m/>
    <m/>
    <m/>
    <m/>
    <m/>
    <n v="0"/>
    <n v="0"/>
    <n v="0"/>
    <n v="18"/>
    <n v="12"/>
    <m/>
    <m/>
    <n v="0"/>
    <n v="216.77"/>
    <m/>
    <x v="21"/>
    <n v="54"/>
    <m/>
    <m/>
    <m/>
  </r>
  <r>
    <x v="1"/>
    <x v="4"/>
    <s v="7645/1"/>
    <x v="199"/>
    <s v="ایم دین پنڈی"/>
    <s v="PP"/>
    <n v="12"/>
    <n v="15"/>
    <s v="PP"/>
    <n v="150"/>
    <s v="PP"/>
    <n v="3"/>
    <n v="181.62"/>
    <n v="4.4399999999999995"/>
    <m/>
    <m/>
    <n v="177.18"/>
    <s v="177.18"/>
    <m/>
    <m/>
    <m/>
    <n v="0"/>
    <n v="0"/>
    <m/>
    <m/>
    <m/>
    <m/>
    <m/>
    <m/>
    <m/>
    <m/>
    <n v="0"/>
    <n v="0"/>
    <n v="0"/>
    <n v="19"/>
    <n v="12"/>
    <m/>
    <m/>
    <n v="0"/>
    <n v="186.62"/>
    <m/>
    <x v="21"/>
    <n v="54"/>
    <m/>
    <m/>
    <m/>
  </r>
  <r>
    <x v="0"/>
    <x v="0"/>
    <s v="7636/2"/>
    <x v="200"/>
    <s v="محبوب مقبول گوجرانوالہ"/>
    <s v="PP"/>
    <n v="1.5"/>
    <s v="5"/>
    <s v="PP"/>
    <s v="8 رول بیگ"/>
    <s v="PP"/>
    <n v="5"/>
    <n v="96.260000000000019"/>
    <n v="0.75"/>
    <m/>
    <m/>
    <n v="95.510000000000019"/>
    <s v="153.94000000000003"/>
    <m/>
    <m/>
    <m/>
    <n v="0"/>
    <n v="0"/>
    <m/>
    <m/>
    <m/>
    <m/>
    <m/>
    <m/>
    <m/>
    <m/>
    <n v="0"/>
    <n v="0"/>
    <n v="0"/>
    <n v="20"/>
    <n v="12"/>
    <m/>
    <m/>
    <n v="0"/>
    <n v="101.26000000000002"/>
    <m/>
    <x v="21"/>
    <n v="54"/>
    <m/>
    <m/>
    <m/>
  </r>
  <r>
    <x v="1"/>
    <x v="0"/>
    <s v="7636/2"/>
    <x v="200"/>
    <s v="محبوب مقبول گوجرانوالہ"/>
    <s v="PP"/>
    <n v="1.5"/>
    <s v="5"/>
    <s v="PP"/>
    <s v="8 رول بیگ"/>
    <s v="PP"/>
    <n v="2"/>
    <n v="39.08"/>
    <n v="0.3"/>
    <m/>
    <m/>
    <n v="38.78"/>
    <s v="153.94000000000003"/>
    <n v="30"/>
    <m/>
    <m/>
    <n v="30"/>
    <n v="0.5"/>
    <m/>
    <m/>
    <m/>
    <m/>
    <m/>
    <m/>
    <m/>
    <m/>
    <n v="0"/>
    <n v="0"/>
    <n v="0.5"/>
    <n v="20.5"/>
    <n v="12"/>
    <m/>
    <m/>
    <n v="0"/>
    <n v="44.08"/>
    <m/>
    <x v="21"/>
    <n v="54"/>
    <m/>
    <m/>
    <m/>
  </r>
  <r>
    <x v="1"/>
    <x v="0"/>
    <s v="4/13"/>
    <x v="200"/>
    <s v="سٹاک"/>
    <s v="PP"/>
    <n v="4"/>
    <s v="5-5.5"/>
    <s v="PP"/>
    <n v="1000"/>
    <s v="PP"/>
    <n v="4"/>
    <n v="77.39"/>
    <n v="1.6"/>
    <m/>
    <m/>
    <n v="75.790000000000006"/>
    <s v="75.790000000000006"/>
    <m/>
    <m/>
    <m/>
    <n v="0"/>
    <n v="0"/>
    <m/>
    <m/>
    <m/>
    <m/>
    <m/>
    <m/>
    <m/>
    <m/>
    <n v="0"/>
    <n v="0"/>
    <n v="0"/>
    <n v="22"/>
    <n v="12"/>
    <m/>
    <m/>
    <n v="0"/>
    <n v="82.39"/>
    <m/>
    <x v="21"/>
    <n v="54"/>
    <m/>
    <m/>
    <m/>
  </r>
  <r>
    <x v="0"/>
    <x v="1"/>
    <s v="7648/1"/>
    <x v="200"/>
    <s v="عزیز ٹریڈز ہاوس لاہور"/>
    <s v="PP"/>
    <n v="3.5"/>
    <s v="8"/>
    <s v="PP"/>
    <n v="1000"/>
    <s v="PP"/>
    <n v="9"/>
    <n v="138.13"/>
    <n v="31.5"/>
    <m/>
    <m/>
    <n v="106.63"/>
    <s v="965.60000000000014"/>
    <n v="15"/>
    <m/>
    <m/>
    <n v="15"/>
    <n v="0.25"/>
    <m/>
    <m/>
    <m/>
    <m/>
    <m/>
    <m/>
    <m/>
    <m/>
    <n v="0"/>
    <n v="0"/>
    <n v="0.25"/>
    <n v="22.75"/>
    <n v="12"/>
    <m/>
    <m/>
    <n v="0"/>
    <n v="143.13"/>
    <m/>
    <x v="21"/>
    <n v="54"/>
    <m/>
    <m/>
    <m/>
  </r>
  <r>
    <x v="1"/>
    <x v="1"/>
    <s v="6/10"/>
    <x v="200"/>
    <s v="سٹاک"/>
    <s v="PP"/>
    <n v="6"/>
    <n v="5"/>
    <s v="PP"/>
    <n v="1000"/>
    <s v="PP"/>
    <n v="10"/>
    <n v="249.3"/>
    <n v="6"/>
    <m/>
    <m/>
    <n v="243.3"/>
    <s v="243.3"/>
    <m/>
    <m/>
    <m/>
    <n v="0"/>
    <n v="0"/>
    <m/>
    <m/>
    <m/>
    <m/>
    <m/>
    <m/>
    <m/>
    <m/>
    <n v="0"/>
    <n v="0"/>
    <n v="0"/>
    <n v="24"/>
    <n v="12"/>
    <m/>
    <m/>
    <n v="0"/>
    <n v="254.3"/>
    <m/>
    <x v="21"/>
    <n v="54"/>
    <m/>
    <m/>
    <m/>
  </r>
  <r>
    <x v="0"/>
    <x v="3"/>
    <s v="2688 F"/>
    <x v="200"/>
    <s v="Usman Amin"/>
    <s v="PEVA"/>
    <n v="16"/>
    <s v="20"/>
    <s v="PEVA"/>
    <n v="750"/>
    <s v="PP"/>
    <n v="4"/>
    <n v="185.41"/>
    <n v="6.4"/>
    <m/>
    <m/>
    <n v="179.01"/>
    <s v="1042.96"/>
    <m/>
    <m/>
    <m/>
    <n v="0"/>
    <n v="0"/>
    <m/>
    <m/>
    <m/>
    <m/>
    <m/>
    <m/>
    <m/>
    <m/>
    <n v="0"/>
    <n v="0"/>
    <n v="0"/>
    <n v="25"/>
    <n v="12"/>
    <m/>
    <m/>
    <n v="0"/>
    <n v="190.41"/>
    <m/>
    <x v="21"/>
    <n v="54"/>
    <m/>
    <m/>
    <m/>
  </r>
  <r>
    <x v="0"/>
    <x v="3"/>
    <s v="7656/1"/>
    <x v="200"/>
    <s v="حنان پلاسٹک فیصل آباد"/>
    <s v="PP"/>
    <n v="16"/>
    <s v="6"/>
    <s v="PP"/>
    <n v="750"/>
    <s v="PP"/>
    <n v="11"/>
    <n v="524.78000000000009"/>
    <n v="17.600000000000001"/>
    <n v="60"/>
    <m/>
    <n v="507.18000000000006"/>
    <s v="697.93000000000006"/>
    <n v="25"/>
    <m/>
    <m/>
    <n v="25"/>
    <n v="0.41666666666666674"/>
    <m/>
    <m/>
    <m/>
    <m/>
    <m/>
    <m/>
    <m/>
    <m/>
    <n v="0"/>
    <n v="0"/>
    <n v="0.41666666666666674"/>
    <n v="25.583333333333332"/>
    <n v="12"/>
    <m/>
    <m/>
    <n v="0"/>
    <n v="529.78000000000009"/>
    <m/>
    <x v="21"/>
    <n v="54"/>
    <m/>
    <m/>
    <m/>
  </r>
  <r>
    <x v="1"/>
    <x v="3"/>
    <s v="7656/1"/>
    <x v="200"/>
    <s v="حنان پلاسٹک فیصل آباد"/>
    <s v="PP"/>
    <n v="16"/>
    <s v="6"/>
    <s v="PP"/>
    <n v="750"/>
    <s v="PP"/>
    <n v="4"/>
    <n v="198.35"/>
    <n v="7.6"/>
    <n v="21"/>
    <m/>
    <n v="190.75"/>
    <s v="697.93000000000006"/>
    <n v="15"/>
    <m/>
    <m/>
    <n v="15"/>
    <n v="0.25"/>
    <m/>
    <m/>
    <m/>
    <m/>
    <m/>
    <m/>
    <n v="30"/>
    <m/>
    <n v="30"/>
    <n v="0.5"/>
    <n v="0.75"/>
    <n v="26.25"/>
    <n v="12"/>
    <m/>
    <m/>
    <n v="0"/>
    <n v="203.35"/>
    <m/>
    <x v="21"/>
    <n v="54"/>
    <m/>
    <m/>
    <m/>
  </r>
  <r>
    <x v="1"/>
    <x v="3"/>
    <s v="7656/2"/>
    <x v="200"/>
    <s v="حنان پلاسٹک فیصل آباد"/>
    <s v="PP"/>
    <n v="14"/>
    <s v="6"/>
    <s v="PP"/>
    <n v="750"/>
    <s v="PP"/>
    <n v="9"/>
    <n v="403.53"/>
    <n v="15.299999999999999"/>
    <m/>
    <m/>
    <n v="388.22999999999996"/>
    <s v="763.34999999999991"/>
    <m/>
    <m/>
    <m/>
    <n v="0"/>
    <n v="0"/>
    <m/>
    <m/>
    <m/>
    <m/>
    <m/>
    <m/>
    <m/>
    <m/>
    <n v="0"/>
    <n v="0"/>
    <n v="0"/>
    <n v="12"/>
    <n v="12"/>
    <m/>
    <m/>
    <n v="0"/>
    <n v="408.53"/>
    <m/>
    <x v="21"/>
    <n v="54"/>
    <m/>
    <m/>
    <m/>
  </r>
  <r>
    <x v="0"/>
    <x v="4"/>
    <s v="18/8"/>
    <x v="200"/>
    <s v="سٹاک"/>
    <s v="PP"/>
    <n v="18"/>
    <n v="5"/>
    <s v="PP"/>
    <n v="1500"/>
    <s v="PP"/>
    <n v="2"/>
    <n v="108.85"/>
    <n v="3.6"/>
    <m/>
    <m/>
    <n v="105.25"/>
    <s v="1662.32"/>
    <m/>
    <m/>
    <m/>
    <n v="0"/>
    <n v="0"/>
    <m/>
    <m/>
    <m/>
    <m/>
    <m/>
    <m/>
    <m/>
    <m/>
    <n v="0"/>
    <n v="0"/>
    <n v="0"/>
    <n v="12"/>
    <n v="12"/>
    <m/>
    <m/>
    <n v="0"/>
    <n v="113.85"/>
    <m/>
    <x v="21"/>
    <n v="54"/>
    <m/>
    <m/>
    <m/>
  </r>
  <r>
    <x v="0"/>
    <x v="4"/>
    <s v="6567 J"/>
    <x v="200"/>
    <s v="Jilani Poly Stock"/>
    <s v="PP"/>
    <n v="18"/>
    <s v="5-5.5"/>
    <s v="PP"/>
    <s v="-"/>
    <s v="PP"/>
    <n v="10"/>
    <n v="522.1"/>
    <n v="18"/>
    <n v="4"/>
    <m/>
    <n v="504.1"/>
    <s v="3582.0800000000004"/>
    <m/>
    <m/>
    <m/>
    <n v="0"/>
    <n v="0"/>
    <m/>
    <m/>
    <m/>
    <m/>
    <m/>
    <m/>
    <m/>
    <m/>
    <n v="0"/>
    <n v="0"/>
    <n v="0"/>
    <n v="12"/>
    <n v="12"/>
    <m/>
    <m/>
    <n v="0"/>
    <n v="527.1"/>
    <m/>
    <x v="21"/>
    <n v="54"/>
    <m/>
    <m/>
    <m/>
  </r>
  <r>
    <x v="1"/>
    <x v="4"/>
    <s v="6567 J"/>
    <x v="200"/>
    <s v="Jilani Poly Stock"/>
    <s v="PP"/>
    <n v="18"/>
    <s v="5-5.5"/>
    <s v="PP"/>
    <s v="-"/>
    <s v="PP"/>
    <n v="9"/>
    <n v="575.25"/>
    <n v="19.8"/>
    <n v="4"/>
    <m/>
    <n v="555.45000000000005"/>
    <s v="3582.0800000000004"/>
    <m/>
    <m/>
    <m/>
    <n v="0"/>
    <n v="0"/>
    <m/>
    <m/>
    <m/>
    <m/>
    <m/>
    <m/>
    <m/>
    <m/>
    <n v="0"/>
    <n v="0"/>
    <n v="0"/>
    <n v="12"/>
    <n v="12"/>
    <m/>
    <m/>
    <n v="0"/>
    <n v="580.25"/>
    <m/>
    <x v="21"/>
    <n v="54"/>
    <m/>
    <m/>
    <m/>
  </r>
  <r>
    <x v="0"/>
    <x v="0"/>
    <s v="4/13"/>
    <x v="201"/>
    <s v="سٹاک"/>
    <s v="PP"/>
    <n v="4"/>
    <s v="5-5.5"/>
    <s v="PP"/>
    <n v="1000"/>
    <s v="PP"/>
    <n v="8"/>
    <n v="173.88"/>
    <n v="3.2"/>
    <n v="15"/>
    <m/>
    <n v="170.68"/>
    <s v="1168.77"/>
    <m/>
    <m/>
    <m/>
    <n v="0"/>
    <n v="0"/>
    <m/>
    <m/>
    <m/>
    <m/>
    <m/>
    <m/>
    <m/>
    <m/>
    <n v="0"/>
    <n v="0"/>
    <n v="0"/>
    <n v="12"/>
    <n v="12"/>
    <m/>
    <m/>
    <n v="0"/>
    <n v="178.88"/>
    <m/>
    <x v="21"/>
    <n v="54"/>
    <m/>
    <m/>
    <m/>
  </r>
  <r>
    <x v="1"/>
    <x v="0"/>
    <s v="4/13"/>
    <x v="201"/>
    <s v="سٹاک"/>
    <s v="PP"/>
    <n v="4"/>
    <s v="5-5.5"/>
    <s v="PP"/>
    <n v="1000"/>
    <s v="PP"/>
    <n v="7"/>
    <n v="169.67000000000002"/>
    <n v="2.8000000000000003"/>
    <m/>
    <m/>
    <n v="166.87"/>
    <s v="1168.77"/>
    <m/>
    <m/>
    <m/>
    <n v="0"/>
    <n v="0"/>
    <m/>
    <m/>
    <m/>
    <m/>
    <m/>
    <m/>
    <m/>
    <m/>
    <n v="0"/>
    <n v="0"/>
    <n v="0"/>
    <n v="12"/>
    <n v="12"/>
    <m/>
    <m/>
    <n v="0"/>
    <n v="174.67000000000002"/>
    <m/>
    <x v="21"/>
    <n v="54"/>
    <m/>
    <m/>
    <m/>
  </r>
  <r>
    <x v="0"/>
    <x v="1"/>
    <s v="6/10"/>
    <x v="201"/>
    <s v="سٹاک"/>
    <s v="PP"/>
    <n v="6"/>
    <n v="5"/>
    <s v="PP"/>
    <n v="1000"/>
    <s v="PP"/>
    <n v="10"/>
    <n v="244.81"/>
    <n v="6"/>
    <m/>
    <m/>
    <n v="238.81"/>
    <s v="976.09999999999991"/>
    <m/>
    <m/>
    <m/>
    <n v="0"/>
    <n v="0"/>
    <m/>
    <m/>
    <m/>
    <m/>
    <m/>
    <m/>
    <m/>
    <m/>
    <n v="0"/>
    <n v="0"/>
    <n v="0"/>
    <n v="12"/>
    <n v="12"/>
    <m/>
    <m/>
    <n v="0"/>
    <n v="249.81"/>
    <m/>
    <x v="21"/>
    <n v="54"/>
    <m/>
    <m/>
    <m/>
  </r>
  <r>
    <x v="1"/>
    <x v="1"/>
    <s v="6/10"/>
    <x v="201"/>
    <s v="سٹاک"/>
    <s v="PP"/>
    <n v="6"/>
    <n v="5"/>
    <s v="PP"/>
    <n v="1000"/>
    <s v="PP"/>
    <n v="10"/>
    <n v="246.19999999999996"/>
    <n v="6"/>
    <m/>
    <m/>
    <n v="240.19999999999996"/>
    <s v="976.09999999999991"/>
    <m/>
    <m/>
    <m/>
    <n v="0"/>
    <n v="0"/>
    <m/>
    <m/>
    <m/>
    <m/>
    <m/>
    <m/>
    <m/>
    <m/>
    <n v="0"/>
    <n v="0"/>
    <n v="0"/>
    <n v="12"/>
    <n v="12"/>
    <m/>
    <m/>
    <n v="0"/>
    <n v="251.19999999999996"/>
    <m/>
    <x v="21"/>
    <n v="54"/>
    <m/>
    <m/>
    <m/>
  </r>
  <r>
    <x v="0"/>
    <x v="3"/>
    <s v="7656/2"/>
    <x v="201"/>
    <s v="حنان پلاسٹک فیصل آباد"/>
    <s v="PP"/>
    <n v="14"/>
    <s v="6"/>
    <s v="PP"/>
    <n v="750"/>
    <s v="PP"/>
    <n v="8"/>
    <n v="388.64"/>
    <n v="13.52"/>
    <m/>
    <m/>
    <n v="375.12"/>
    <s v="763.34999999999991"/>
    <m/>
    <m/>
    <m/>
    <n v="0"/>
    <n v="0"/>
    <m/>
    <m/>
    <m/>
    <m/>
    <m/>
    <m/>
    <m/>
    <m/>
    <n v="0"/>
    <n v="0"/>
    <n v="0"/>
    <n v="12"/>
    <n v="12"/>
    <m/>
    <m/>
    <n v="0"/>
    <n v="393.64"/>
    <m/>
    <x v="21"/>
    <n v="54"/>
    <m/>
    <m/>
    <m/>
  </r>
  <r>
    <x v="0"/>
    <x v="3"/>
    <s v="6610 J"/>
    <x v="201"/>
    <s v="Waseem Copy House Urdu Bazar"/>
    <s v="PP"/>
    <n v="14"/>
    <s v="6-6.5"/>
    <s v="PP"/>
    <n v="100"/>
    <s v="PP"/>
    <n v="3"/>
    <n v="119.75999999999999"/>
    <n v="4.1999999999999993"/>
    <m/>
    <m/>
    <n v="115.55999999999999"/>
    <s v="115.55999999999999"/>
    <m/>
    <m/>
    <m/>
    <n v="0"/>
    <n v="0"/>
    <m/>
    <m/>
    <m/>
    <m/>
    <m/>
    <m/>
    <m/>
    <m/>
    <n v="0"/>
    <n v="0"/>
    <n v="0"/>
    <n v="12"/>
    <n v="12"/>
    <m/>
    <m/>
    <n v="0"/>
    <n v="124.76"/>
    <m/>
    <x v="21"/>
    <n v="54"/>
    <m/>
    <m/>
    <m/>
  </r>
  <r>
    <x v="0"/>
    <x v="3"/>
    <s v="6534 J"/>
    <x v="201"/>
    <s v="Alam Bakers Sheikupura"/>
    <s v="PP"/>
    <n v="14"/>
    <s v="6-6.5"/>
    <s v="PP"/>
    <n v="100"/>
    <s v="PP"/>
    <n v="2"/>
    <n v="104.66"/>
    <n v="2.8"/>
    <m/>
    <m/>
    <n v="101.86"/>
    <s v="101.86"/>
    <m/>
    <m/>
    <m/>
    <n v="0"/>
    <n v="0"/>
    <m/>
    <m/>
    <m/>
    <m/>
    <m/>
    <m/>
    <m/>
    <m/>
    <n v="0"/>
    <n v="0"/>
    <n v="0"/>
    <n v="12"/>
    <n v="12"/>
    <m/>
    <m/>
    <n v="0"/>
    <n v="109.66"/>
    <m/>
    <x v="21"/>
    <n v="54"/>
    <m/>
    <m/>
    <m/>
  </r>
  <r>
    <x v="0"/>
    <x v="3"/>
    <s v="6608 J"/>
    <x v="201"/>
    <s v="Waseem Copy House Urdu Bazar"/>
    <s v="PP"/>
    <n v="14"/>
    <s v="6-6.5"/>
    <s v="PP"/>
    <n v="100"/>
    <s v="PP"/>
    <n v="1"/>
    <n v="42.17"/>
    <n v="1.4"/>
    <m/>
    <m/>
    <n v="40.770000000000003"/>
    <s v="94.820000000000007"/>
    <m/>
    <m/>
    <m/>
    <n v="0"/>
    <n v="0"/>
    <m/>
    <m/>
    <m/>
    <m/>
    <m/>
    <m/>
    <m/>
    <m/>
    <n v="0"/>
    <n v="0"/>
    <n v="0"/>
    <n v="12"/>
    <n v="12"/>
    <m/>
    <m/>
    <n v="0"/>
    <n v="47.17"/>
    <m/>
    <x v="21"/>
    <n v="54"/>
    <m/>
    <m/>
    <m/>
  </r>
  <r>
    <x v="1"/>
    <x v="3"/>
    <s v="6608 J"/>
    <x v="201"/>
    <s v="Waseem Copy House Urdu Bazar"/>
    <s v="PP"/>
    <n v="14"/>
    <s v="6-6.5"/>
    <s v="PP"/>
    <n v="100"/>
    <s v="PP"/>
    <n v="1"/>
    <n v="55.7"/>
    <n v="1.65"/>
    <m/>
    <m/>
    <n v="54.050000000000004"/>
    <s v="94.820000000000007"/>
    <m/>
    <m/>
    <m/>
    <n v="0"/>
    <n v="0"/>
    <m/>
    <m/>
    <m/>
    <m/>
    <m/>
    <m/>
    <m/>
    <m/>
    <n v="0"/>
    <n v="0"/>
    <n v="0"/>
    <n v="12"/>
    <n v="12"/>
    <m/>
    <m/>
    <n v="0"/>
    <n v="60.7"/>
    <m/>
    <x v="21"/>
    <n v="54"/>
    <m/>
    <m/>
    <m/>
  </r>
  <r>
    <x v="1"/>
    <x v="3"/>
    <s v="6609 J"/>
    <x v="201"/>
    <s v="Waseem Copy House Urdu Bazar"/>
    <s v="PP"/>
    <n v="14"/>
    <s v="6-6.5"/>
    <s v="PP"/>
    <n v="100"/>
    <s v="PP"/>
    <n v="2"/>
    <n v="104.16999999999999"/>
    <n v="3.3"/>
    <m/>
    <m/>
    <n v="100.86999999999999"/>
    <s v="100.86999999999999"/>
    <m/>
    <m/>
    <m/>
    <n v="0"/>
    <n v="0"/>
    <m/>
    <m/>
    <m/>
    <m/>
    <m/>
    <m/>
    <m/>
    <m/>
    <n v="0"/>
    <n v="0"/>
    <n v="0"/>
    <n v="12"/>
    <n v="12"/>
    <m/>
    <m/>
    <n v="0"/>
    <n v="109.17"/>
    <m/>
    <x v="21"/>
    <n v="54"/>
    <m/>
    <m/>
    <m/>
  </r>
  <r>
    <x v="1"/>
    <x v="3"/>
    <s v="6570 J"/>
    <x v="201"/>
    <s v="Jilani Poly Stock"/>
    <s v="PP"/>
    <n v="28"/>
    <s v="5-5.5"/>
    <s v="PP"/>
    <s v="-"/>
    <s v="PP"/>
    <n v="9"/>
    <n v="592.42000000000007"/>
    <n v="31.5"/>
    <m/>
    <m/>
    <n v="560.92000000000007"/>
    <s v="2898.7700000000004"/>
    <m/>
    <m/>
    <m/>
    <n v="0"/>
    <n v="0"/>
    <m/>
    <m/>
    <m/>
    <m/>
    <m/>
    <m/>
    <m/>
    <m/>
    <n v="0"/>
    <n v="0"/>
    <n v="0"/>
    <n v="12"/>
    <n v="12"/>
    <m/>
    <m/>
    <n v="0"/>
    <n v="597.42000000000007"/>
    <m/>
    <x v="21"/>
    <n v="54"/>
    <m/>
    <m/>
    <m/>
  </r>
  <r>
    <x v="0"/>
    <x v="4"/>
    <s v="6567 J"/>
    <x v="201"/>
    <s v="Jilani Poly Stock"/>
    <s v="PP"/>
    <n v="18"/>
    <s v="5-5.5"/>
    <s v="PP"/>
    <s v="-"/>
    <s v="PP"/>
    <n v="7"/>
    <n v="431.59000000000003"/>
    <n v="12.6"/>
    <m/>
    <m/>
    <n v="418.99"/>
    <s v="3582.0800000000004"/>
    <n v="30"/>
    <m/>
    <m/>
    <n v="30"/>
    <n v="0.5"/>
    <m/>
    <m/>
    <n v="90"/>
    <m/>
    <m/>
    <m/>
    <m/>
    <m/>
    <n v="90"/>
    <n v="1.5"/>
    <n v="2"/>
    <n v="10"/>
    <n v="12"/>
    <m/>
    <m/>
    <n v="0"/>
    <n v="436.59"/>
    <m/>
    <x v="21"/>
    <n v="54"/>
    <m/>
    <m/>
    <m/>
  </r>
  <r>
    <x v="0"/>
    <x v="4"/>
    <s v="6751 J"/>
    <x v="201"/>
    <s v="Jhangir Hussain Gudam Leager HD"/>
    <s v="PP"/>
    <n v="18"/>
    <s v="5-5.5"/>
    <s v="PP"/>
    <n v="100"/>
    <s v="PP"/>
    <n v="1"/>
    <n v="41.04"/>
    <n v="1.8"/>
    <n v="5.5"/>
    <m/>
    <n v="39.24"/>
    <s v="102.07"/>
    <m/>
    <m/>
    <m/>
    <n v="0"/>
    <n v="0"/>
    <m/>
    <m/>
    <m/>
    <m/>
    <m/>
    <m/>
    <m/>
    <m/>
    <n v="0"/>
    <n v="0"/>
    <n v="0"/>
    <n v="12"/>
    <n v="12"/>
    <m/>
    <m/>
    <n v="0"/>
    <n v="46.04"/>
    <m/>
    <x v="21"/>
    <n v="54"/>
    <m/>
    <m/>
    <m/>
  </r>
  <r>
    <x v="1"/>
    <x v="4"/>
    <s v="6751 J"/>
    <x v="201"/>
    <s v="Jhangir Hussain Gudam Leager HD"/>
    <s v="PP"/>
    <n v="18"/>
    <s v="5-5.5"/>
    <s v="PP"/>
    <n v="100"/>
    <s v="PP"/>
    <n v="1"/>
    <n v="65.03"/>
    <n v="2.2000000000000002"/>
    <n v="5.5"/>
    <m/>
    <n v="62.83"/>
    <s v="102.07"/>
    <m/>
    <m/>
    <m/>
    <n v="0"/>
    <n v="0"/>
    <m/>
    <m/>
    <m/>
    <m/>
    <m/>
    <m/>
    <m/>
    <m/>
    <n v="0"/>
    <n v="0"/>
    <n v="0"/>
    <n v="12"/>
    <n v="12"/>
    <m/>
    <m/>
    <n v="0"/>
    <n v="70.03"/>
    <m/>
    <x v="21"/>
    <n v="54"/>
    <m/>
    <m/>
    <m/>
  </r>
  <r>
    <x v="1"/>
    <x v="4"/>
    <s v="6654 J"/>
    <x v="201"/>
    <s v="Baber Sher C/O Al Fatah Bakers"/>
    <s v="PP"/>
    <n v="18"/>
    <s v="5-5.5"/>
    <s v="PP"/>
    <n v="300"/>
    <s v="PP"/>
    <n v="5"/>
    <n v="299.40999999999997"/>
    <n v="11"/>
    <m/>
    <m/>
    <n v="288.40999999999997"/>
    <s v="288.40999999999997"/>
    <m/>
    <m/>
    <m/>
    <n v="0"/>
    <n v="0"/>
    <m/>
    <m/>
    <m/>
    <m/>
    <m/>
    <m/>
    <m/>
    <m/>
    <n v="0"/>
    <n v="0"/>
    <n v="0"/>
    <n v="12"/>
    <n v="12"/>
    <m/>
    <m/>
    <n v="0"/>
    <n v="304.40999999999997"/>
    <m/>
    <x v="21"/>
    <n v="54"/>
    <m/>
    <m/>
    <m/>
  </r>
  <r>
    <x v="1"/>
    <x v="4"/>
    <s v="7671/3"/>
    <x v="201"/>
    <s v="امارات پلاسٹک چونگ"/>
    <s v="PP"/>
    <n v="18"/>
    <s v="4.5"/>
    <s v="PP"/>
    <n v="100"/>
    <s v="PP"/>
    <n v="2"/>
    <n v="90.2"/>
    <n v="4.3"/>
    <n v="19"/>
    <m/>
    <n v="85.9"/>
    <s v="208.8"/>
    <m/>
    <m/>
    <m/>
    <n v="0"/>
    <n v="0"/>
    <m/>
    <m/>
    <m/>
    <m/>
    <m/>
    <m/>
    <m/>
    <m/>
    <n v="0"/>
    <n v="0"/>
    <n v="0"/>
    <n v="12"/>
    <n v="12"/>
    <m/>
    <m/>
    <n v="0"/>
    <n v="95.2"/>
    <m/>
    <x v="21"/>
    <n v="54"/>
    <m/>
    <m/>
    <m/>
  </r>
  <r>
    <x v="1"/>
    <x v="4"/>
    <s v="6535 J"/>
    <x v="201"/>
    <s v="Alam Bakers Sheikupura"/>
    <s v="PP"/>
    <n v="18"/>
    <s v="6-6.5"/>
    <s v="PP"/>
    <n v="100"/>
    <s v="PP"/>
    <n v="2"/>
    <n v="116.19"/>
    <n v="4.4000000000000004"/>
    <m/>
    <m/>
    <n v="111.78999999999999"/>
    <s v="111.78999999999999"/>
    <m/>
    <m/>
    <m/>
    <n v="0"/>
    <n v="0"/>
    <m/>
    <m/>
    <m/>
    <m/>
    <m/>
    <m/>
    <m/>
    <m/>
    <n v="0"/>
    <n v="0"/>
    <n v="0"/>
    <n v="12"/>
    <n v="12"/>
    <m/>
    <m/>
    <n v="0"/>
    <n v="121.19"/>
    <m/>
    <x v="21"/>
    <n v="54"/>
    <m/>
    <m/>
    <m/>
  </r>
  <r>
    <x v="0"/>
    <x v="0"/>
    <s v="4/13"/>
    <x v="202"/>
    <s v="سٹاک"/>
    <s v="PP"/>
    <n v="4"/>
    <s v="5-5.5"/>
    <s v="PP"/>
    <n v="1000"/>
    <s v="PP"/>
    <n v="8"/>
    <n v="170.61"/>
    <n v="3.2"/>
    <m/>
    <m/>
    <n v="167.41000000000003"/>
    <s v="1168.77"/>
    <m/>
    <m/>
    <m/>
    <n v="0"/>
    <n v="0"/>
    <m/>
    <m/>
    <m/>
    <m/>
    <m/>
    <m/>
    <m/>
    <m/>
    <n v="0"/>
    <n v="0"/>
    <n v="0"/>
    <n v="12"/>
    <n v="12"/>
    <m/>
    <m/>
    <n v="0"/>
    <n v="175.61"/>
    <m/>
    <x v="21"/>
    <n v="54"/>
    <m/>
    <m/>
    <m/>
  </r>
  <r>
    <x v="0"/>
    <x v="1"/>
    <s v="6/10"/>
    <x v="202"/>
    <s v="سٹاک"/>
    <s v="PP"/>
    <n v="6"/>
    <n v="5"/>
    <s v="PP"/>
    <n v="1000"/>
    <s v="PP"/>
    <n v="11"/>
    <n v="241.71000000000004"/>
    <n v="6.6"/>
    <m/>
    <m/>
    <n v="235.11000000000004"/>
    <s v="976.09999999999991"/>
    <m/>
    <m/>
    <m/>
    <n v="0"/>
    <n v="0"/>
    <m/>
    <m/>
    <m/>
    <m/>
    <m/>
    <m/>
    <m/>
    <m/>
    <n v="0"/>
    <n v="0"/>
    <n v="0"/>
    <n v="12"/>
    <n v="12"/>
    <m/>
    <m/>
    <n v="0"/>
    <n v="246.71000000000004"/>
    <m/>
    <x v="21"/>
    <n v="54"/>
    <m/>
    <m/>
    <m/>
  </r>
  <r>
    <x v="0"/>
    <x v="3"/>
    <s v="6570 J"/>
    <x v="202"/>
    <s v="Jilani Poly Stock"/>
    <s v="PP"/>
    <n v="28"/>
    <s v="5-5.5"/>
    <s v="PP"/>
    <s v="-"/>
    <s v="PP"/>
    <n v="11"/>
    <n v="740.79000000000008"/>
    <n v="30.799999999999997"/>
    <n v="4"/>
    <m/>
    <n v="709.99000000000012"/>
    <s v="2898.7700000000004"/>
    <m/>
    <m/>
    <m/>
    <n v="0"/>
    <n v="0"/>
    <m/>
    <m/>
    <m/>
    <m/>
    <m/>
    <m/>
    <m/>
    <m/>
    <n v="0"/>
    <n v="0"/>
    <n v="0"/>
    <n v="12"/>
    <n v="12"/>
    <m/>
    <m/>
    <n v="0"/>
    <n v="745.79"/>
    <m/>
    <x v="21"/>
    <n v="54"/>
    <m/>
    <m/>
    <m/>
  </r>
  <r>
    <x v="1"/>
    <x v="3"/>
    <s v="6570 J"/>
    <x v="202"/>
    <s v="Jilani Poly Stock"/>
    <s v="PP"/>
    <n v="28"/>
    <s v="5-5.5"/>
    <s v="PP"/>
    <s v="-"/>
    <s v="PP"/>
    <n v="5"/>
    <n v="309.87"/>
    <n v="14"/>
    <n v="28"/>
    <m/>
    <n v="295.87"/>
    <s v="2898.7700000000004"/>
    <m/>
    <m/>
    <m/>
    <n v="0"/>
    <n v="0"/>
    <m/>
    <m/>
    <n v="120"/>
    <m/>
    <m/>
    <m/>
    <m/>
    <m/>
    <n v="120"/>
    <n v="2"/>
    <n v="2"/>
    <n v="10"/>
    <n v="12"/>
    <m/>
    <m/>
    <n v="0"/>
    <n v="314.87"/>
    <m/>
    <x v="21"/>
    <n v="54"/>
    <m/>
    <m/>
    <m/>
  </r>
  <r>
    <x v="1"/>
    <x v="3"/>
    <s v="6502 J"/>
    <x v="202"/>
    <s v="High Class Bakers Gujrat"/>
    <s v="PP"/>
    <s v="28 شیٹ"/>
    <s v="4-4.5/8-9"/>
    <s v="PP"/>
    <n v="300"/>
    <s v="PP"/>
    <n v="4"/>
    <n v="193.91"/>
    <n v="14"/>
    <m/>
    <m/>
    <n v="179.91"/>
    <s v="284.49"/>
    <m/>
    <m/>
    <m/>
    <n v="0"/>
    <n v="0"/>
    <m/>
    <m/>
    <n v="125"/>
    <m/>
    <m/>
    <m/>
    <m/>
    <m/>
    <n v="125"/>
    <n v="2.0833333333333335"/>
    <n v="2.0833333333333335"/>
    <n v="9.9166666666666661"/>
    <n v="12"/>
    <m/>
    <m/>
    <n v="0"/>
    <n v="198.91"/>
    <m/>
    <x v="21"/>
    <n v="54"/>
    <m/>
    <m/>
    <m/>
  </r>
  <r>
    <x v="0"/>
    <x v="4"/>
    <s v="7671/3"/>
    <x v="202"/>
    <s v="امارات پلاسٹک چونگ"/>
    <s v="PP"/>
    <n v="18"/>
    <s v="4.5"/>
    <s v="PP"/>
    <n v="100"/>
    <s v="PP"/>
    <n v="2"/>
    <n v="126.5"/>
    <n v="3.6"/>
    <m/>
    <m/>
    <n v="122.9"/>
    <s v="208.8"/>
    <n v="25"/>
    <m/>
    <m/>
    <n v="25"/>
    <n v="0.41666666666666674"/>
    <m/>
    <m/>
    <n v="480"/>
    <m/>
    <m/>
    <m/>
    <m/>
    <m/>
    <n v="480"/>
    <n v="8"/>
    <n v="8.4166666666666661"/>
    <n v="3.5833333333333339"/>
    <n v="12"/>
    <m/>
    <m/>
    <n v="0"/>
    <n v="131.5"/>
    <m/>
    <x v="21"/>
    <n v="54"/>
    <m/>
    <m/>
    <m/>
  </r>
  <r>
    <x v="0"/>
    <x v="4"/>
    <s v="7663/14"/>
    <x v="202"/>
    <s v="ہیڈ افس لاہور"/>
    <s v="PP"/>
    <n v="15"/>
    <s v="7"/>
    <s v="PP"/>
    <n v="375"/>
    <s v="PP"/>
    <n v="1"/>
    <n v="41.7"/>
    <n v="1.5"/>
    <m/>
    <m/>
    <n v="40.200000000000003"/>
    <s v="395.48"/>
    <m/>
    <m/>
    <m/>
    <n v="0"/>
    <n v="0"/>
    <m/>
    <m/>
    <m/>
    <m/>
    <m/>
    <m/>
    <m/>
    <m/>
    <n v="0"/>
    <n v="0"/>
    <n v="0"/>
    <n v="12"/>
    <n v="12"/>
    <m/>
    <m/>
    <n v="0"/>
    <n v="46.7"/>
    <m/>
    <x v="21"/>
    <n v="54"/>
    <m/>
    <m/>
    <m/>
  </r>
  <r>
    <x v="1"/>
    <x v="4"/>
    <s v="7663/14"/>
    <x v="202"/>
    <s v="ہیڈ افس لاہور"/>
    <s v="PP"/>
    <n v="15"/>
    <s v="7"/>
    <s v="PP"/>
    <n v="375"/>
    <s v="PP"/>
    <n v="5"/>
    <n v="264.65000000000003"/>
    <n v="7.5"/>
    <m/>
    <m/>
    <n v="257.15000000000003"/>
    <s v="395.48"/>
    <m/>
    <n v="90"/>
    <m/>
    <n v="90"/>
    <n v="1.5"/>
    <m/>
    <m/>
    <n v="120"/>
    <m/>
    <m/>
    <m/>
    <m/>
    <m/>
    <n v="120"/>
    <n v="2"/>
    <n v="3.5"/>
    <n v="8.5"/>
    <n v="12"/>
    <m/>
    <m/>
    <n v="0"/>
    <n v="269.65000000000003"/>
    <m/>
    <x v="21"/>
    <n v="54"/>
    <m/>
    <m/>
    <m/>
  </r>
  <r>
    <x v="1"/>
    <x v="1"/>
    <s v="6/10"/>
    <x v="203"/>
    <s v="سٹاک"/>
    <s v="PP"/>
    <n v="6"/>
    <n v="5"/>
    <s v="PP"/>
    <n v="1000"/>
    <s v="PP"/>
    <n v="1"/>
    <n v="19.28"/>
    <n v="0.6"/>
    <m/>
    <m/>
    <n v="18.68"/>
    <s v="976.09999999999991"/>
    <m/>
    <n v="150"/>
    <m/>
    <n v="150"/>
    <n v="2.5"/>
    <m/>
    <m/>
    <m/>
    <m/>
    <m/>
    <m/>
    <m/>
    <m/>
    <n v="0"/>
    <n v="0"/>
    <n v="2.5"/>
    <n v="9.5"/>
    <n v="12"/>
    <m/>
    <m/>
    <n v="0"/>
    <n v="24.28"/>
    <m/>
    <x v="21"/>
    <n v="54"/>
    <m/>
    <m/>
    <m/>
  </r>
  <r>
    <x v="1"/>
    <x v="1"/>
    <s v="7670/8"/>
    <x v="203"/>
    <s v="آصف پلاسٹک سرگودھا"/>
    <s v="PP"/>
    <n v="4.5"/>
    <s v="4.5"/>
    <s v="PP"/>
    <n v="200"/>
    <s v="PP"/>
    <n v="7"/>
    <n v="118.69000000000001"/>
    <n v="31.5"/>
    <m/>
    <m/>
    <n v="87.190000000000012"/>
    <s v="269.02000000000004"/>
    <m/>
    <m/>
    <m/>
    <n v="0"/>
    <n v="0"/>
    <m/>
    <m/>
    <m/>
    <m/>
    <m/>
    <m/>
    <m/>
    <m/>
    <n v="0"/>
    <n v="0"/>
    <n v="0"/>
    <n v="12"/>
    <n v="12"/>
    <m/>
    <m/>
    <n v="0"/>
    <n v="123.69"/>
    <m/>
    <x v="21"/>
    <n v="54"/>
    <m/>
    <m/>
    <m/>
  </r>
  <r>
    <x v="1"/>
    <x v="0"/>
    <s v="4/13"/>
    <x v="203"/>
    <s v="سٹاک"/>
    <s v="PP"/>
    <n v="4"/>
    <s v="5-5.5"/>
    <s v="PP"/>
    <n v="1000"/>
    <s v="PP"/>
    <n v="7"/>
    <n v="144.18"/>
    <n v="2.8000000000000003"/>
    <m/>
    <m/>
    <n v="141.38"/>
    <s v="1168.77"/>
    <m/>
    <n v="120"/>
    <m/>
    <n v="120"/>
    <n v="2"/>
    <m/>
    <m/>
    <m/>
    <m/>
    <m/>
    <m/>
    <m/>
    <m/>
    <n v="0"/>
    <n v="0"/>
    <n v="2"/>
    <n v="10"/>
    <n v="12"/>
    <m/>
    <m/>
    <n v="0"/>
    <n v="149.18"/>
    <m/>
    <x v="21"/>
    <n v="54"/>
    <m/>
    <m/>
    <m/>
  </r>
  <r>
    <x v="0"/>
    <x v="3"/>
    <s v="6502 J"/>
    <x v="203"/>
    <s v="High Class Bakers Gujrat"/>
    <s v="PP"/>
    <s v="28 شیٹ"/>
    <s v="4-4.5/8-9"/>
    <s v="PP"/>
    <n v="300"/>
    <s v="PP"/>
    <n v="2"/>
    <n v="111.51"/>
    <n v="6.93"/>
    <m/>
    <m/>
    <n v="104.58000000000001"/>
    <s v="284.49"/>
    <m/>
    <m/>
    <m/>
    <n v="0"/>
    <n v="0"/>
    <m/>
    <m/>
    <m/>
    <m/>
    <m/>
    <m/>
    <m/>
    <m/>
    <n v="0"/>
    <n v="0"/>
    <n v="0"/>
    <n v="12"/>
    <n v="12"/>
    <m/>
    <m/>
    <n v="0"/>
    <n v="116.51"/>
    <m/>
    <x v="21"/>
    <n v="54"/>
    <m/>
    <m/>
    <m/>
  </r>
  <r>
    <x v="0"/>
    <x v="3"/>
    <s v="6732 J"/>
    <x v="203"/>
    <s v="Carefour Pakistan Ltd"/>
    <s v="PP"/>
    <s v="28&quot; شیٹ"/>
    <s v="4.5-5/9-10"/>
    <s v="PP"/>
    <n v="100"/>
    <s v="PP"/>
    <n v="2"/>
    <n v="106.24000000000001"/>
    <n v="6.93"/>
    <m/>
    <m/>
    <n v="99.31"/>
    <s v="99.31"/>
    <m/>
    <m/>
    <m/>
    <n v="0"/>
    <n v="0"/>
    <m/>
    <m/>
    <m/>
    <m/>
    <m/>
    <m/>
    <m/>
    <m/>
    <n v="0"/>
    <n v="0"/>
    <n v="0"/>
    <n v="12"/>
    <n v="12"/>
    <m/>
    <m/>
    <n v="0"/>
    <n v="111.24"/>
    <m/>
    <x v="21"/>
    <n v="54"/>
    <m/>
    <m/>
    <m/>
  </r>
  <r>
    <x v="0"/>
    <x v="3"/>
    <s v="7662/1"/>
    <x v="203"/>
    <s v="ایم دین پنڈی"/>
    <s v="PP"/>
    <n v="16"/>
    <s v="15"/>
    <s v="PP"/>
    <n v="300"/>
    <s v="PP"/>
    <n v="1"/>
    <n v="47.75"/>
    <n v="1.9"/>
    <m/>
    <m/>
    <n v="45.85"/>
    <s v="276.65000000000003"/>
    <m/>
    <m/>
    <m/>
    <n v="0"/>
    <n v="0"/>
    <m/>
    <m/>
    <m/>
    <m/>
    <m/>
    <m/>
    <m/>
    <m/>
    <n v="0"/>
    <n v="0"/>
    <n v="0"/>
    <n v="12"/>
    <n v="12"/>
    <m/>
    <m/>
    <n v="0"/>
    <n v="52.75"/>
    <m/>
    <x v="21"/>
    <n v="54"/>
    <m/>
    <m/>
    <m/>
  </r>
  <r>
    <x v="0"/>
    <x v="3"/>
    <s v="6727 J"/>
    <x v="203"/>
    <s v="Carefour Pakistan Ltd"/>
    <s v="PP"/>
    <s v="28&quot; شیٹ"/>
    <s v="4.5-5/9-10"/>
    <s v="PP"/>
    <n v="100"/>
    <s v="PP"/>
    <n v="2"/>
    <n v="116.69"/>
    <n v="6.6999999999999993"/>
    <m/>
    <m/>
    <n v="109.99"/>
    <s v="109.99"/>
    <m/>
    <m/>
    <m/>
    <n v="0"/>
    <n v="0"/>
    <m/>
    <m/>
    <m/>
    <m/>
    <m/>
    <m/>
    <m/>
    <m/>
    <n v="0"/>
    <n v="0"/>
    <n v="0"/>
    <n v="12"/>
    <n v="12"/>
    <m/>
    <m/>
    <n v="0"/>
    <n v="121.69"/>
    <m/>
    <x v="21"/>
    <n v="54"/>
    <m/>
    <m/>
    <m/>
  </r>
  <r>
    <x v="0"/>
    <x v="3"/>
    <s v="6503 J"/>
    <x v="203"/>
    <s v="High Class Bakers Gujrat"/>
    <s v="PP"/>
    <s v="16 شیٹ"/>
    <s v="4-4.5/8-9"/>
    <s v="PP"/>
    <n v="300"/>
    <s v="PP"/>
    <n v="7"/>
    <n v="257.25"/>
    <n v="10.310000000000002"/>
    <m/>
    <m/>
    <n v="246.94"/>
    <s v="246.94"/>
    <m/>
    <m/>
    <m/>
    <n v="0"/>
    <n v="0"/>
    <m/>
    <m/>
    <m/>
    <m/>
    <m/>
    <m/>
    <m/>
    <m/>
    <n v="0"/>
    <n v="0"/>
    <n v="0"/>
    <n v="12"/>
    <n v="12"/>
    <m/>
    <m/>
    <n v="0"/>
    <n v="262.25"/>
    <m/>
    <x v="21"/>
    <n v="54"/>
    <m/>
    <m/>
    <m/>
  </r>
  <r>
    <x v="0"/>
    <x v="3"/>
    <s v="6729 J"/>
    <x v="203"/>
    <s v="Carefour Pakistan Ltd"/>
    <s v="PP"/>
    <s v="28&quot; شیٹ"/>
    <s v="4.5-5/9-10"/>
    <s v="PP"/>
    <n v="100"/>
    <s v="PP"/>
    <n v="2"/>
    <n v="120.21000000000001"/>
    <n v="6.95"/>
    <n v="32"/>
    <m/>
    <n v="113.26"/>
    <s v="435.25"/>
    <n v="20"/>
    <m/>
    <m/>
    <n v="20"/>
    <n v="0.33333333333333331"/>
    <m/>
    <m/>
    <m/>
    <m/>
    <m/>
    <m/>
    <m/>
    <m/>
    <n v="0"/>
    <n v="0"/>
    <n v="0.33333333333333331"/>
    <n v="11.666666666666666"/>
    <n v="12"/>
    <m/>
    <m/>
    <n v="0"/>
    <n v="125.21"/>
    <m/>
    <x v="21"/>
    <n v="54"/>
    <m/>
    <m/>
    <m/>
  </r>
  <r>
    <x v="1"/>
    <x v="3"/>
    <s v="7662/1"/>
    <x v="203"/>
    <s v="ایم دین پنڈی"/>
    <s v="PP"/>
    <n v="16"/>
    <s v="15"/>
    <s v="PP"/>
    <n v="300"/>
    <s v="PP"/>
    <n v="5"/>
    <n v="238.8"/>
    <n v="8"/>
    <n v="55"/>
    <m/>
    <n v="230.8"/>
    <s v="276.65000000000003"/>
    <m/>
    <m/>
    <m/>
    <n v="0"/>
    <n v="0"/>
    <m/>
    <m/>
    <m/>
    <m/>
    <m/>
    <m/>
    <m/>
    <m/>
    <n v="0"/>
    <n v="0"/>
    <n v="0"/>
    <n v="12"/>
    <n v="12"/>
    <m/>
    <m/>
    <n v="0"/>
    <n v="243.8"/>
    <m/>
    <x v="21"/>
    <n v="54"/>
    <m/>
    <m/>
    <m/>
  </r>
  <r>
    <x v="1"/>
    <x v="3"/>
    <s v="16/4"/>
    <x v="203"/>
    <s v="سٹاک"/>
    <s v="PP"/>
    <n v="16"/>
    <n v="5"/>
    <s v="PP"/>
    <n v="1000"/>
    <s v="PP"/>
    <n v="10"/>
    <n v="536.64"/>
    <n v="16"/>
    <m/>
    <m/>
    <n v="520.64"/>
    <s v="1064.67"/>
    <m/>
    <m/>
    <m/>
    <n v="0"/>
    <n v="0"/>
    <m/>
    <m/>
    <m/>
    <m/>
    <m/>
    <m/>
    <m/>
    <m/>
    <n v="0"/>
    <n v="0"/>
    <n v="0"/>
    <n v="12"/>
    <n v="12"/>
    <m/>
    <m/>
    <n v="0"/>
    <n v="541.64"/>
    <m/>
    <x v="21"/>
    <n v="54"/>
    <m/>
    <m/>
    <m/>
  </r>
  <r>
    <x v="0"/>
    <x v="4"/>
    <s v="7663/14"/>
    <x v="203"/>
    <s v="ہیڈ افس لاہور"/>
    <s v="PP"/>
    <n v="15"/>
    <s v="7"/>
    <s v="PP"/>
    <n v="375"/>
    <s v="PP"/>
    <n v="2"/>
    <n v="101.50999999999999"/>
    <n v="3.38"/>
    <m/>
    <m/>
    <n v="98.13"/>
    <s v="395.48"/>
    <m/>
    <m/>
    <m/>
    <n v="0"/>
    <n v="0"/>
    <m/>
    <m/>
    <m/>
    <m/>
    <m/>
    <m/>
    <m/>
    <m/>
    <n v="0"/>
    <n v="0"/>
    <n v="0"/>
    <n v="12"/>
    <n v="12"/>
    <m/>
    <m/>
    <n v="0"/>
    <n v="106.51"/>
    <m/>
    <x v="21"/>
    <n v="54"/>
    <m/>
    <m/>
    <m/>
  </r>
  <r>
    <x v="0"/>
    <x v="4"/>
    <s v="7655/1"/>
    <x v="203"/>
    <s v="ایم دین پنڈی"/>
    <s v="PP"/>
    <n v="7"/>
    <s v="15"/>
    <s v="PP"/>
    <n v="750"/>
    <s v="PP"/>
    <n v="8"/>
    <n v="312.84999999999997"/>
    <n v="6.7000000000000011"/>
    <m/>
    <m/>
    <n v="306.14999999999998"/>
    <s v="749.8"/>
    <n v="20"/>
    <m/>
    <m/>
    <n v="20"/>
    <n v="0.33333333333333331"/>
    <m/>
    <m/>
    <m/>
    <m/>
    <m/>
    <m/>
    <m/>
    <m/>
    <n v="0"/>
    <n v="0"/>
    <n v="0.33333333333333331"/>
    <n v="11.666666666666666"/>
    <n v="12"/>
    <m/>
    <m/>
    <n v="0"/>
    <n v="317.84999999999997"/>
    <m/>
    <x v="21"/>
    <n v="54"/>
    <m/>
    <m/>
    <m/>
  </r>
  <r>
    <x v="0"/>
    <x v="4"/>
    <s v="7649/2"/>
    <x v="203"/>
    <s v="اسلم پلاسٹک ملتان"/>
    <s v="PP"/>
    <n v="15"/>
    <s v="7"/>
    <s v="PP"/>
    <n v="50"/>
    <s v="PP"/>
    <n v="1"/>
    <n v="58.03"/>
    <n v="1.89"/>
    <m/>
    <m/>
    <n v="56.14"/>
    <s v="56.14"/>
    <m/>
    <m/>
    <m/>
    <n v="0"/>
    <n v="0"/>
    <m/>
    <m/>
    <m/>
    <m/>
    <m/>
    <m/>
    <m/>
    <m/>
    <n v="0"/>
    <n v="0"/>
    <n v="0"/>
    <n v="12"/>
    <n v="12"/>
    <m/>
    <m/>
    <n v="0"/>
    <n v="63.03"/>
    <m/>
    <x v="21"/>
    <n v="54"/>
    <m/>
    <m/>
    <m/>
  </r>
  <r>
    <x v="0"/>
    <x v="4"/>
    <s v="7664/1"/>
    <x v="203"/>
    <s v="THE CREATION LHR"/>
    <s v="PP"/>
    <n v="15"/>
    <s v="7-7.5"/>
    <s v="PP"/>
    <n v="100"/>
    <s v="PP"/>
    <n v="2"/>
    <n v="113.07"/>
    <n v="3.4699999999999998"/>
    <n v="3"/>
    <m/>
    <n v="109.6"/>
    <s v="109.6"/>
    <m/>
    <m/>
    <m/>
    <n v="0"/>
    <n v="0"/>
    <m/>
    <m/>
    <m/>
    <m/>
    <m/>
    <m/>
    <m/>
    <m/>
    <n v="0"/>
    <n v="0"/>
    <n v="0"/>
    <n v="12"/>
    <n v="12"/>
    <m/>
    <m/>
    <n v="0"/>
    <n v="118.07"/>
    <m/>
    <x v="21"/>
    <n v="54"/>
    <m/>
    <m/>
    <m/>
  </r>
  <r>
    <x v="1"/>
    <x v="4"/>
    <s v="7655/1"/>
    <x v="203"/>
    <s v="ایم دین پنڈی"/>
    <s v="PP"/>
    <n v="7"/>
    <s v="15"/>
    <s v="PP"/>
    <n v="750"/>
    <s v="PP"/>
    <n v="13"/>
    <n v="452.75"/>
    <n v="9.1"/>
    <n v="3"/>
    <m/>
    <n v="443.65"/>
    <s v="749.8"/>
    <n v="25"/>
    <m/>
    <m/>
    <n v="25"/>
    <n v="0.41666666666666674"/>
    <m/>
    <m/>
    <m/>
    <m/>
    <m/>
    <m/>
    <n v="45"/>
    <m/>
    <n v="45"/>
    <n v="0.75"/>
    <n v="1.1666666666666667"/>
    <n v="10.833333333333334"/>
    <n v="12"/>
    <m/>
    <m/>
    <n v="0"/>
    <n v="457.75"/>
    <m/>
    <x v="21"/>
    <n v="54"/>
    <m/>
    <m/>
    <m/>
  </r>
  <r>
    <x v="0"/>
    <x v="0"/>
    <s v="4/13"/>
    <x v="204"/>
    <s v="سٹاک"/>
    <s v="PP"/>
    <n v="4"/>
    <s v="5-5.5"/>
    <s v="PP"/>
    <n v="1000"/>
    <s v="PP"/>
    <n v="8"/>
    <n v="157.56999999999996"/>
    <n v="3.2"/>
    <m/>
    <m/>
    <n v="154.36999999999998"/>
    <s v="1168.77"/>
    <n v="20"/>
    <m/>
    <m/>
    <n v="20"/>
    <n v="0.33333333333333331"/>
    <m/>
    <m/>
    <m/>
    <m/>
    <m/>
    <m/>
    <m/>
    <m/>
    <n v="0"/>
    <n v="0"/>
    <n v="0.33333333333333331"/>
    <n v="11.666666666666666"/>
    <n v="12"/>
    <m/>
    <m/>
    <n v="0"/>
    <n v="162.56999999999996"/>
    <m/>
    <x v="22"/>
    <n v="55"/>
    <m/>
    <m/>
    <m/>
  </r>
  <r>
    <x v="1"/>
    <x v="0"/>
    <s v="7666/1"/>
    <x v="204"/>
    <s v="ہجویری ٹریڈرز اردو بازار"/>
    <s v="PP"/>
    <n v="2"/>
    <s v="12"/>
    <s v="PP"/>
    <n v="500"/>
    <s v="PP"/>
    <n v="14"/>
    <n v="173.9"/>
    <n v="2.8000000000000003"/>
    <m/>
    <m/>
    <n v="171.1"/>
    <s v="512.66"/>
    <m/>
    <m/>
    <m/>
    <n v="0"/>
    <n v="0"/>
    <m/>
    <m/>
    <m/>
    <m/>
    <m/>
    <m/>
    <m/>
    <m/>
    <n v="0"/>
    <n v="0"/>
    <n v="0"/>
    <n v="12"/>
    <n v="12"/>
    <m/>
    <m/>
    <n v="0"/>
    <n v="178.9"/>
    <m/>
    <x v="22"/>
    <n v="55"/>
    <m/>
    <m/>
    <m/>
  </r>
  <r>
    <x v="0"/>
    <x v="1"/>
    <s v="7670/8"/>
    <x v="204"/>
    <s v="آصف پلاسٹک سرگودھا"/>
    <s v="PP"/>
    <n v="4.5"/>
    <s v="4.5"/>
    <s v="PP"/>
    <n v="200"/>
    <s v="PP"/>
    <n v="10"/>
    <n v="186.33"/>
    <n v="4.5"/>
    <m/>
    <m/>
    <n v="181.83"/>
    <s v="269.02000000000004"/>
    <n v="20"/>
    <m/>
    <m/>
    <n v="20"/>
    <n v="0.33333333333333331"/>
    <n v="60"/>
    <m/>
    <m/>
    <m/>
    <m/>
    <m/>
    <m/>
    <m/>
    <n v="60"/>
    <n v="1"/>
    <n v="1.3333333333333333"/>
    <n v="10.666666666666666"/>
    <n v="12"/>
    <m/>
    <m/>
    <n v="0"/>
    <n v="191.33"/>
    <m/>
    <x v="22"/>
    <n v="55"/>
    <m/>
    <m/>
    <m/>
  </r>
  <r>
    <x v="1"/>
    <x v="1"/>
    <s v="2.5/9"/>
    <x v="204"/>
    <s v="سٹاک"/>
    <s v="PP"/>
    <n v="2.5"/>
    <s v="5.5-6"/>
    <s v="PP"/>
    <s v="15 رول بیگ"/>
    <s v="PP"/>
    <n v="7"/>
    <n v="106.67"/>
    <n v="1.75"/>
    <m/>
    <m/>
    <n v="104.92"/>
    <s v="434.33000000000004"/>
    <m/>
    <m/>
    <m/>
    <n v="0"/>
    <n v="0"/>
    <m/>
    <m/>
    <m/>
    <m/>
    <m/>
    <m/>
    <m/>
    <m/>
    <n v="0"/>
    <n v="0"/>
    <n v="0"/>
    <n v="12"/>
    <n v="12"/>
    <m/>
    <m/>
    <n v="0"/>
    <n v="111.67"/>
    <m/>
    <x v="22"/>
    <n v="55"/>
    <m/>
    <m/>
    <m/>
  </r>
  <r>
    <x v="0"/>
    <x v="3"/>
    <s v="16/4"/>
    <x v="204"/>
    <s v="سٹاک"/>
    <s v="PP"/>
    <n v="16"/>
    <n v="5"/>
    <s v="PP"/>
    <n v="1000"/>
    <s v="PP"/>
    <n v="12"/>
    <n v="563.23"/>
    <n v="19.200000000000003"/>
    <m/>
    <m/>
    <n v="544.03"/>
    <s v="1064.67"/>
    <m/>
    <m/>
    <m/>
    <n v="0"/>
    <n v="0"/>
    <m/>
    <m/>
    <m/>
    <m/>
    <m/>
    <m/>
    <m/>
    <m/>
    <n v="0"/>
    <n v="0"/>
    <n v="0"/>
    <n v="12"/>
    <n v="12"/>
    <m/>
    <m/>
    <n v="0"/>
    <n v="568.23"/>
    <m/>
    <x v="22"/>
    <n v="55"/>
    <m/>
    <m/>
    <m/>
  </r>
  <r>
    <x v="0"/>
    <x v="3"/>
    <s v="2636 F"/>
    <x v="204"/>
    <s v="Usman Amin"/>
    <s v="PP"/>
    <n v="16.2"/>
    <s v="-"/>
    <s v="PP"/>
    <n v="2000"/>
    <s v="PP"/>
    <n v="6"/>
    <n v="258.61"/>
    <n v="12"/>
    <m/>
    <m/>
    <n v="246.61"/>
    <s v="1776.6399999999999"/>
    <m/>
    <m/>
    <m/>
    <n v="0"/>
    <n v="0"/>
    <m/>
    <m/>
    <m/>
    <m/>
    <m/>
    <m/>
    <m/>
    <m/>
    <n v="0"/>
    <n v="0"/>
    <n v="0"/>
    <n v="12"/>
    <n v="12"/>
    <m/>
    <m/>
    <n v="0"/>
    <n v="263.61"/>
    <m/>
    <x v="22"/>
    <n v="55"/>
    <m/>
    <m/>
    <m/>
  </r>
  <r>
    <x v="1"/>
    <x v="3"/>
    <s v="2636 F"/>
    <x v="204"/>
    <s v="Usman Amin"/>
    <s v="PP"/>
    <n v="16.2"/>
    <s v="-"/>
    <s v="PP"/>
    <n v="2000"/>
    <s v="PP"/>
    <n v="13"/>
    <n v="705.53"/>
    <n v="20.8"/>
    <m/>
    <m/>
    <n v="684.73"/>
    <s v="1776.6399999999999"/>
    <m/>
    <m/>
    <m/>
    <n v="0"/>
    <n v="0"/>
    <m/>
    <m/>
    <m/>
    <m/>
    <m/>
    <m/>
    <m/>
    <m/>
    <n v="0"/>
    <n v="0"/>
    <n v="0"/>
    <n v="12"/>
    <n v="12"/>
    <m/>
    <m/>
    <n v="0"/>
    <n v="710.53"/>
    <m/>
    <x v="22"/>
    <n v="55"/>
    <m/>
    <m/>
    <m/>
  </r>
  <r>
    <x v="0"/>
    <x v="4"/>
    <s v="6776 J"/>
    <x v="204"/>
    <s v="Usman Arif Butt Gujranwala"/>
    <s v="PP"/>
    <n v="14"/>
    <n v="10"/>
    <s v="PP"/>
    <n v="425"/>
    <s v="PP"/>
    <n v="7"/>
    <n v="442.92999999999995"/>
    <n v="12.6"/>
    <m/>
    <m/>
    <n v="430.32999999999993"/>
    <s v="430.32999999999993"/>
    <m/>
    <m/>
    <m/>
    <n v="0"/>
    <n v="0"/>
    <m/>
    <m/>
    <m/>
    <m/>
    <m/>
    <m/>
    <m/>
    <m/>
    <n v="0"/>
    <n v="0"/>
    <n v="0"/>
    <n v="12"/>
    <n v="12"/>
    <m/>
    <m/>
    <n v="0"/>
    <n v="447.92999999999989"/>
    <m/>
    <x v="22"/>
    <n v="55"/>
    <m/>
    <m/>
    <m/>
  </r>
  <r>
    <x v="0"/>
    <x v="4"/>
    <s v="7621/2"/>
    <x v="204"/>
    <s v="اصف پلاسٹک سرگو ھا"/>
    <s v="PP"/>
    <n v="14"/>
    <s v="4.5"/>
    <s v="PP"/>
    <n v="100"/>
    <s v="PP"/>
    <n v="1"/>
    <n v="49.6"/>
    <n v="1.8"/>
    <m/>
    <m/>
    <n v="47.800000000000004"/>
    <s v="203.5"/>
    <m/>
    <m/>
    <m/>
    <n v="0"/>
    <n v="0"/>
    <m/>
    <m/>
    <m/>
    <m/>
    <m/>
    <m/>
    <m/>
    <m/>
    <n v="0"/>
    <n v="0"/>
    <n v="0"/>
    <n v="12"/>
    <n v="12"/>
    <m/>
    <m/>
    <n v="0"/>
    <n v="54.6"/>
    <m/>
    <x v="22"/>
    <n v="55"/>
    <m/>
    <m/>
    <m/>
  </r>
  <r>
    <x v="0"/>
    <x v="4"/>
    <s v="7618/1"/>
    <x v="204"/>
    <s v="العمر پلاسٹک گوجرانوالہ"/>
    <s v="PP"/>
    <n v="14"/>
    <s v="6"/>
    <s v="PP"/>
    <n v="200"/>
    <s v="PP"/>
    <n v="1"/>
    <n v="49.73"/>
    <n v="1.9"/>
    <m/>
    <m/>
    <n v="47.83"/>
    <s v="182.34000000000003"/>
    <m/>
    <m/>
    <m/>
    <n v="0"/>
    <n v="0"/>
    <m/>
    <m/>
    <m/>
    <m/>
    <m/>
    <m/>
    <m/>
    <m/>
    <n v="0"/>
    <n v="0"/>
    <n v="0"/>
    <n v="12"/>
    <n v="12"/>
    <m/>
    <m/>
    <n v="0"/>
    <n v="54.73"/>
    <m/>
    <x v="22"/>
    <n v="55"/>
    <m/>
    <m/>
    <m/>
  </r>
  <r>
    <x v="0"/>
    <x v="4"/>
    <s v="7649/1"/>
    <x v="204"/>
    <s v="اسلم پلاسٹک ملتان"/>
    <s v="PP"/>
    <n v="14"/>
    <s v="7"/>
    <s v="PP"/>
    <n v="50"/>
    <s v="PP"/>
    <n v="1"/>
    <n v="52.14"/>
    <n v="1.8"/>
    <n v="14"/>
    <m/>
    <n v="50.34"/>
    <s v="50.34"/>
    <m/>
    <m/>
    <m/>
    <n v="0"/>
    <n v="0"/>
    <m/>
    <m/>
    <m/>
    <m/>
    <m/>
    <m/>
    <m/>
    <m/>
    <n v="0"/>
    <n v="0"/>
    <n v="0"/>
    <n v="12"/>
    <n v="12"/>
    <m/>
    <m/>
    <n v="0"/>
    <n v="57.14"/>
    <m/>
    <x v="22"/>
    <n v="55"/>
    <m/>
    <m/>
    <m/>
  </r>
  <r>
    <x v="1"/>
    <x v="4"/>
    <s v="7618/1"/>
    <x v="204"/>
    <s v="العمر پلاسٹک گوجرانوالہ"/>
    <s v="PP"/>
    <n v="14"/>
    <s v="6"/>
    <s v="PP"/>
    <n v="200"/>
    <s v="PP"/>
    <n v="3"/>
    <n v="138.71"/>
    <n v="4.1999999999999993"/>
    <n v="23"/>
    <m/>
    <n v="134.51000000000002"/>
    <s v="182.34000000000003"/>
    <m/>
    <m/>
    <m/>
    <n v="0"/>
    <n v="0"/>
    <m/>
    <m/>
    <n v="60"/>
    <m/>
    <m/>
    <m/>
    <m/>
    <m/>
    <n v="60"/>
    <n v="1"/>
    <n v="1"/>
    <n v="11"/>
    <n v="12"/>
    <m/>
    <m/>
    <n v="0"/>
    <n v="143.71"/>
    <m/>
    <x v="22"/>
    <n v="55"/>
    <m/>
    <m/>
    <m/>
  </r>
  <r>
    <x v="1"/>
    <x v="4"/>
    <s v="7621/2"/>
    <x v="204"/>
    <s v="اصف پلاسٹک سرگو ھا"/>
    <s v="PP"/>
    <n v="14"/>
    <s v="4.5"/>
    <s v="PP"/>
    <n v="100"/>
    <s v="PP"/>
    <n v="1"/>
    <n v="50.57"/>
    <n v="1.4"/>
    <m/>
    <m/>
    <n v="49.17"/>
    <s v="203.5"/>
    <m/>
    <m/>
    <m/>
    <n v="0"/>
    <n v="0"/>
    <m/>
    <m/>
    <m/>
    <m/>
    <m/>
    <m/>
    <m/>
    <m/>
    <n v="0"/>
    <n v="0"/>
    <n v="0"/>
    <n v="12"/>
    <n v="12"/>
    <m/>
    <m/>
    <n v="0"/>
    <n v="55.57"/>
    <m/>
    <x v="22"/>
    <n v="55"/>
    <m/>
    <m/>
    <m/>
  </r>
  <r>
    <x v="0"/>
    <x v="0"/>
    <s v="7666/1"/>
    <x v="205"/>
    <s v="ہجویری ٹریڈرز اردو بازار"/>
    <s v="PP"/>
    <n v="2"/>
    <s v="12"/>
    <s v="PP"/>
    <n v="500"/>
    <s v="PP"/>
    <n v="14"/>
    <n v="158"/>
    <n v="2.8000000000000003"/>
    <m/>
    <m/>
    <n v="155.19999999999999"/>
    <s v="512.66"/>
    <m/>
    <m/>
    <m/>
    <n v="0"/>
    <n v="0"/>
    <m/>
    <m/>
    <m/>
    <m/>
    <m/>
    <m/>
    <m/>
    <m/>
    <n v="0"/>
    <n v="0"/>
    <n v="0"/>
    <n v="12"/>
    <n v="12"/>
    <m/>
    <m/>
    <n v="0"/>
    <n v="163"/>
    <m/>
    <x v="22"/>
    <n v="55"/>
    <m/>
    <m/>
    <m/>
  </r>
  <r>
    <x v="1"/>
    <x v="0"/>
    <s v="7666/1"/>
    <x v="205"/>
    <s v="ہجویری ٹریڈرز اردو بازار"/>
    <s v="PP"/>
    <n v="2"/>
    <s v="12"/>
    <s v="PP"/>
    <n v="500"/>
    <s v="PP"/>
    <n v="12"/>
    <n v="154"/>
    <n v="2.4000000000000004"/>
    <m/>
    <m/>
    <n v="151.6"/>
    <s v="512.66"/>
    <m/>
    <m/>
    <m/>
    <n v="0"/>
    <n v="0"/>
    <m/>
    <m/>
    <m/>
    <m/>
    <m/>
    <m/>
    <m/>
    <m/>
    <n v="0"/>
    <n v="0"/>
    <n v="0"/>
    <n v="12"/>
    <n v="12"/>
    <m/>
    <m/>
    <n v="0"/>
    <n v="159"/>
    <m/>
    <x v="22"/>
    <n v="55"/>
    <m/>
    <m/>
    <m/>
  </r>
  <r>
    <x v="0"/>
    <x v="1"/>
    <s v="2.5/9"/>
    <x v="205"/>
    <s v="سٹاک"/>
    <s v="PP"/>
    <n v="2.5"/>
    <s v="5.5-6"/>
    <s v="PP"/>
    <s v="15 رول بیگ"/>
    <s v="PP"/>
    <n v="5"/>
    <n v="112.76999999999998"/>
    <n v="1.25"/>
    <m/>
    <m/>
    <n v="111.51999999999998"/>
    <s v="434.33000000000004"/>
    <m/>
    <m/>
    <m/>
    <n v="0"/>
    <n v="0"/>
    <m/>
    <m/>
    <m/>
    <m/>
    <m/>
    <m/>
    <m/>
    <m/>
    <n v="0"/>
    <n v="0"/>
    <n v="0"/>
    <n v="12"/>
    <n v="12"/>
    <m/>
    <m/>
    <n v="0"/>
    <n v="117.76999999999998"/>
    <m/>
    <x v="22"/>
    <n v="55"/>
    <m/>
    <m/>
    <m/>
  </r>
  <r>
    <x v="0"/>
    <x v="1"/>
    <s v="2.5/9"/>
    <x v="205"/>
    <s v="سٹاک"/>
    <s v="PP"/>
    <n v="2.5"/>
    <s v="5.5-6"/>
    <s v="PP"/>
    <s v="15 رول بیگ"/>
    <s v="PP"/>
    <n v="2"/>
    <n v="23.43"/>
    <n v="0.5"/>
    <n v="4.5"/>
    <m/>
    <n v="22.93"/>
    <s v="434.33000000000004"/>
    <m/>
    <m/>
    <m/>
    <n v="0"/>
    <n v="0"/>
    <m/>
    <m/>
    <m/>
    <m/>
    <m/>
    <m/>
    <m/>
    <m/>
    <n v="0"/>
    <n v="0"/>
    <n v="0"/>
    <n v="12"/>
    <n v="12"/>
    <m/>
    <m/>
    <n v="0"/>
    <n v="28.43"/>
    <m/>
    <x v="22"/>
    <n v="55"/>
    <m/>
    <m/>
    <m/>
  </r>
  <r>
    <x v="1"/>
    <x v="1"/>
    <s v="2.5/9"/>
    <x v="205"/>
    <s v="سٹاک"/>
    <s v="PP"/>
    <n v="2.5"/>
    <s v="5.5-6"/>
    <s v="PP"/>
    <s v="15 رول بیگ"/>
    <s v="PP"/>
    <n v="9"/>
    <n v="123.02000000000002"/>
    <n v="2.25"/>
    <n v="4.5"/>
    <m/>
    <n v="120.77000000000002"/>
    <s v="434.33000000000004"/>
    <m/>
    <m/>
    <m/>
    <n v="0"/>
    <n v="0"/>
    <m/>
    <m/>
    <m/>
    <m/>
    <m/>
    <m/>
    <m/>
    <m/>
    <n v="0"/>
    <n v="0"/>
    <n v="0"/>
    <n v="12"/>
    <n v="12"/>
    <m/>
    <m/>
    <n v="0"/>
    <n v="128.02000000000004"/>
    <m/>
    <x v="22"/>
    <n v="55"/>
    <m/>
    <m/>
    <m/>
  </r>
  <r>
    <x v="0"/>
    <x v="3"/>
    <s v="2636 F"/>
    <x v="205"/>
    <s v="Usman Amin"/>
    <s v="PP"/>
    <n v="16.2"/>
    <s v="-"/>
    <s v="PP"/>
    <n v="2000"/>
    <s v="PP"/>
    <n v="7"/>
    <n v="357.72999999999996"/>
    <n v="13.299999999999999"/>
    <m/>
    <m/>
    <n v="344.42999999999995"/>
    <s v="1776.6399999999999"/>
    <m/>
    <m/>
    <m/>
    <n v="0"/>
    <n v="0"/>
    <m/>
    <m/>
    <m/>
    <m/>
    <m/>
    <m/>
    <m/>
    <m/>
    <n v="0"/>
    <n v="0"/>
    <n v="0"/>
    <n v="12"/>
    <n v="12"/>
    <m/>
    <m/>
    <n v="0"/>
    <n v="362.73"/>
    <m/>
    <x v="22"/>
    <n v="55"/>
    <m/>
    <m/>
    <m/>
  </r>
  <r>
    <x v="0"/>
    <x v="3"/>
    <s v="6566 J"/>
    <x v="205"/>
    <s v="Jilani Poly Stock"/>
    <s v="PP"/>
    <n v="16"/>
    <s v="5-5.5"/>
    <s v="PP"/>
    <s v="-"/>
    <s v="PP"/>
    <n v="9"/>
    <n v="507.53"/>
    <n v="17.099999999999998"/>
    <n v="21"/>
    <m/>
    <n v="490.42999999999995"/>
    <s v="3335.7599999999998"/>
    <m/>
    <m/>
    <m/>
    <n v="0"/>
    <n v="0"/>
    <m/>
    <m/>
    <m/>
    <m/>
    <m/>
    <m/>
    <m/>
    <m/>
    <n v="0"/>
    <n v="0"/>
    <n v="0"/>
    <n v="12"/>
    <n v="12"/>
    <m/>
    <m/>
    <n v="0"/>
    <n v="512.53"/>
    <m/>
    <x v="22"/>
    <n v="55"/>
    <m/>
    <m/>
    <m/>
  </r>
  <r>
    <x v="1"/>
    <x v="3"/>
    <s v="6566 J"/>
    <x v="205"/>
    <s v="Jilani Poly Stock"/>
    <s v="PP"/>
    <n v="16"/>
    <s v="5-5.5"/>
    <s v="PP"/>
    <s v="-"/>
    <s v="PP"/>
    <n v="11"/>
    <n v="525.26"/>
    <n v="17.600000000000001"/>
    <n v="30"/>
    <m/>
    <n v="507.65999999999997"/>
    <s v="3335.7599999999998"/>
    <m/>
    <m/>
    <m/>
    <n v="0"/>
    <n v="0"/>
    <m/>
    <m/>
    <m/>
    <m/>
    <m/>
    <m/>
    <m/>
    <m/>
    <n v="0"/>
    <n v="0"/>
    <n v="0"/>
    <n v="12"/>
    <n v="12"/>
    <m/>
    <m/>
    <n v="0"/>
    <n v="530.26"/>
    <m/>
    <x v="22"/>
    <n v="55"/>
    <m/>
    <m/>
    <m/>
  </r>
  <r>
    <x v="1"/>
    <x v="3"/>
    <s v="6777 J"/>
    <x v="205"/>
    <s v="Usman Arif Butt Gujranwala"/>
    <s v="PP"/>
    <n v="16"/>
    <n v="10"/>
    <s v="PP"/>
    <n v="425"/>
    <s v="PP"/>
    <n v="6"/>
    <n v="309.31"/>
    <n v="9.6000000000000014"/>
    <m/>
    <m/>
    <n v="299.70999999999998"/>
    <s v="435.71"/>
    <m/>
    <m/>
    <m/>
    <n v="0"/>
    <n v="0"/>
    <m/>
    <m/>
    <m/>
    <m/>
    <m/>
    <m/>
    <m/>
    <m/>
    <n v="0"/>
    <n v="0"/>
    <n v="0"/>
    <n v="12"/>
    <n v="12"/>
    <m/>
    <m/>
    <n v="0"/>
    <n v="314.31"/>
    <m/>
    <x v="22"/>
    <n v="55"/>
    <m/>
    <m/>
    <m/>
  </r>
  <r>
    <x v="0"/>
    <x v="0"/>
    <s v="7666/1"/>
    <x v="206"/>
    <s v="ہجویری ٹریڈرز اردو بازار"/>
    <s v="PP"/>
    <n v="2"/>
    <s v="12"/>
    <s v="PP"/>
    <n v="500"/>
    <s v="PP"/>
    <n v="3"/>
    <n v="35.36"/>
    <n v="0.60000000000000009"/>
    <m/>
    <m/>
    <n v="34.76"/>
    <s v="512.66"/>
    <m/>
    <m/>
    <m/>
    <n v="0"/>
    <n v="0"/>
    <m/>
    <m/>
    <m/>
    <m/>
    <m/>
    <m/>
    <m/>
    <m/>
    <n v="0"/>
    <n v="0"/>
    <n v="0"/>
    <n v="12"/>
    <n v="12"/>
    <m/>
    <m/>
    <n v="0"/>
    <n v="40.36"/>
    <m/>
    <x v="22"/>
    <n v="55"/>
    <m/>
    <m/>
    <m/>
  </r>
  <r>
    <x v="0"/>
    <x v="0"/>
    <s v="2.5/9"/>
    <x v="206"/>
    <s v="سٹاک"/>
    <s v="PP"/>
    <n v="2.5"/>
    <s v="5.5-6"/>
    <s v="PP"/>
    <s v="15 رول بیگ"/>
    <s v="PP"/>
    <n v="4"/>
    <n v="52.31"/>
    <n v="1"/>
    <m/>
    <m/>
    <n v="51.31"/>
    <s v="434.33000000000004"/>
    <m/>
    <m/>
    <m/>
    <n v="0"/>
    <n v="0"/>
    <m/>
    <m/>
    <m/>
    <m/>
    <m/>
    <m/>
    <m/>
    <m/>
    <n v="0"/>
    <n v="0"/>
    <n v="0"/>
    <n v="12"/>
    <n v="12"/>
    <m/>
    <m/>
    <n v="0"/>
    <n v="57.31"/>
    <m/>
    <x v="22"/>
    <n v="55"/>
    <m/>
    <m/>
    <m/>
  </r>
  <r>
    <x v="0"/>
    <x v="0"/>
    <s v="2.5/9"/>
    <x v="206"/>
    <s v="سٹاک"/>
    <s v="PP"/>
    <n v="2.5"/>
    <s v="5.5-6"/>
    <s v="PP"/>
    <s v="15 رول بیگ"/>
    <s v="PP"/>
    <n v="1"/>
    <n v="23.13"/>
    <n v="0.25"/>
    <m/>
    <m/>
    <n v="22.88"/>
    <s v="434.33000000000004"/>
    <n v="15"/>
    <m/>
    <m/>
    <n v="15"/>
    <n v="0.25"/>
    <m/>
    <m/>
    <m/>
    <m/>
    <m/>
    <m/>
    <m/>
    <m/>
    <n v="0"/>
    <n v="0"/>
    <n v="0.25"/>
    <n v="11.75"/>
    <n v="12"/>
    <m/>
    <m/>
    <n v="0"/>
    <n v="28.13"/>
    <m/>
    <x v="22"/>
    <n v="55"/>
    <m/>
    <m/>
    <m/>
  </r>
  <r>
    <x v="1"/>
    <x v="0"/>
    <s v="2.5/10"/>
    <x v="206"/>
    <s v="سٹاک"/>
    <s v="PP"/>
    <n v="2.5"/>
    <s v="5.5-6"/>
    <s v="PP"/>
    <n v="1000"/>
    <s v="PP"/>
    <n v="7"/>
    <n v="131.37"/>
    <n v="1.75"/>
    <m/>
    <m/>
    <n v="129.62"/>
    <s v="1052.47"/>
    <m/>
    <m/>
    <m/>
    <n v="0"/>
    <n v="0"/>
    <m/>
    <m/>
    <m/>
    <m/>
    <m/>
    <m/>
    <m/>
    <m/>
    <n v="0"/>
    <n v="0"/>
    <n v="0"/>
    <n v="12"/>
    <n v="12"/>
    <m/>
    <m/>
    <n v="0"/>
    <n v="136.37"/>
    <m/>
    <x v="22"/>
    <n v="55"/>
    <m/>
    <m/>
    <m/>
  </r>
  <r>
    <x v="0"/>
    <x v="1"/>
    <s v="2.5/10"/>
    <x v="206"/>
    <s v="سٹاک"/>
    <s v="PP"/>
    <n v="2.5"/>
    <s v="5.5-6"/>
    <s v="PP"/>
    <n v="1000"/>
    <s v="PP"/>
    <n v="2"/>
    <n v="24.07"/>
    <n v="0.5"/>
    <m/>
    <m/>
    <n v="23.57"/>
    <s v="1052.47"/>
    <m/>
    <m/>
    <m/>
    <n v="0"/>
    <n v="0"/>
    <m/>
    <m/>
    <m/>
    <m/>
    <m/>
    <m/>
    <m/>
    <m/>
    <n v="0"/>
    <n v="0"/>
    <n v="0"/>
    <n v="12"/>
    <n v="12"/>
    <m/>
    <m/>
    <n v="0"/>
    <n v="29.07"/>
    <m/>
    <x v="22"/>
    <n v="55"/>
    <m/>
    <m/>
    <m/>
  </r>
  <r>
    <x v="0"/>
    <x v="1"/>
    <s v="4/13"/>
    <x v="206"/>
    <s v="سٹاک"/>
    <s v="PP"/>
    <n v="4"/>
    <s v="5-5.5"/>
    <s v="PP"/>
    <n v="1000"/>
    <s v="PP"/>
    <n v="5"/>
    <n v="88.78"/>
    <n v="1.25"/>
    <m/>
    <m/>
    <n v="87.53"/>
    <s v="1168.77"/>
    <m/>
    <m/>
    <m/>
    <n v="0"/>
    <n v="0"/>
    <m/>
    <m/>
    <m/>
    <m/>
    <m/>
    <m/>
    <m/>
    <m/>
    <n v="0"/>
    <n v="0"/>
    <n v="0"/>
    <n v="12"/>
    <n v="12"/>
    <m/>
    <m/>
    <n v="0"/>
    <n v="93.78"/>
    <m/>
    <x v="22"/>
    <n v="55"/>
    <m/>
    <m/>
    <m/>
  </r>
  <r>
    <x v="0"/>
    <x v="1"/>
    <s v="4/13"/>
    <x v="206"/>
    <s v="سٹاک"/>
    <s v="PP"/>
    <n v="4"/>
    <s v="5-5.5"/>
    <s v="PP"/>
    <n v="1000"/>
    <s v="PP"/>
    <n v="2"/>
    <n v="42.11"/>
    <n v="0.5"/>
    <m/>
    <m/>
    <n v="41.61"/>
    <s v="1168.77"/>
    <n v="25"/>
    <m/>
    <m/>
    <n v="25"/>
    <n v="0.41666666666666674"/>
    <m/>
    <m/>
    <m/>
    <m/>
    <m/>
    <m/>
    <m/>
    <m/>
    <n v="0"/>
    <n v="0"/>
    <n v="0.41666666666666674"/>
    <n v="11.583333333333334"/>
    <n v="12"/>
    <m/>
    <m/>
    <n v="0"/>
    <n v="47.11"/>
    <m/>
    <x v="22"/>
    <n v="55"/>
    <m/>
    <m/>
    <m/>
  </r>
  <r>
    <x v="1"/>
    <x v="1"/>
    <s v="4/13"/>
    <x v="206"/>
    <s v="سٹاک"/>
    <s v="PP"/>
    <n v="4"/>
    <s v="5-5.5"/>
    <s v="PP"/>
    <n v="1000"/>
    <s v="PP"/>
    <n v="9"/>
    <n v="166.73000000000002"/>
    <n v="3.6"/>
    <m/>
    <m/>
    <n v="163.13000000000002"/>
    <s v="1168.77"/>
    <m/>
    <m/>
    <m/>
    <n v="0"/>
    <n v="0"/>
    <m/>
    <m/>
    <m/>
    <m/>
    <m/>
    <m/>
    <m/>
    <m/>
    <n v="0"/>
    <n v="0"/>
    <n v="0"/>
    <n v="12"/>
    <n v="12"/>
    <m/>
    <m/>
    <n v="0"/>
    <n v="171.73000000000002"/>
    <m/>
    <x v="22"/>
    <n v="55"/>
    <m/>
    <m/>
    <m/>
  </r>
  <r>
    <x v="1"/>
    <x v="2"/>
    <s v="7670/4"/>
    <x v="206"/>
    <s v="آصف پلاسٹک سرگودھا"/>
    <s v="PP"/>
    <n v="8"/>
    <s v="4.5"/>
    <s v="PP"/>
    <n v="100"/>
    <s v="PP"/>
    <n v="4"/>
    <n v="104.84"/>
    <n v="3.2"/>
    <m/>
    <m/>
    <n v="101.64"/>
    <s v="101.64"/>
    <m/>
    <n v="60"/>
    <m/>
    <n v="60"/>
    <n v="1"/>
    <m/>
    <m/>
    <m/>
    <m/>
    <m/>
    <m/>
    <n v="40"/>
    <m/>
    <n v="40"/>
    <n v="0.66666666666666663"/>
    <n v="1.6666666666666663"/>
    <n v="10.333333333333334"/>
    <n v="12"/>
    <m/>
    <m/>
    <n v="0"/>
    <n v="109.84"/>
    <m/>
    <x v="22"/>
    <n v="55"/>
    <m/>
    <m/>
    <m/>
  </r>
  <r>
    <x v="1"/>
    <x v="2"/>
    <s v="7653/1"/>
    <x v="206"/>
    <s v="خذیفہ پلاسٹک اعظم مارکیٹ"/>
    <s v="PP"/>
    <n v="8"/>
    <s v="6"/>
    <s v="PP"/>
    <n v="100"/>
    <s v="PP"/>
    <n v="4"/>
    <n v="154.69999999999999"/>
    <n v="3.2"/>
    <m/>
    <m/>
    <n v="151.5"/>
    <s v="224.79"/>
    <m/>
    <m/>
    <m/>
    <n v="0"/>
    <n v="0"/>
    <m/>
    <m/>
    <m/>
    <m/>
    <m/>
    <m/>
    <m/>
    <m/>
    <n v="0"/>
    <n v="0"/>
    <n v="0"/>
    <n v="12"/>
    <n v="12"/>
    <m/>
    <m/>
    <n v="0"/>
    <n v="159.69999999999999"/>
    <m/>
    <x v="22"/>
    <n v="55"/>
    <m/>
    <m/>
    <m/>
  </r>
  <r>
    <x v="0"/>
    <x v="3"/>
    <s v="6777 J"/>
    <x v="206"/>
    <s v="Usman Arif Butt Gujranwala"/>
    <s v="PP"/>
    <n v="16"/>
    <n v="10"/>
    <s v="PP"/>
    <n v="425"/>
    <s v="PP"/>
    <n v="3"/>
    <n v="141.9"/>
    <n v="5.9"/>
    <m/>
    <m/>
    <n v="136"/>
    <s v="435.71"/>
    <m/>
    <m/>
    <m/>
    <n v="0"/>
    <n v="0"/>
    <m/>
    <m/>
    <m/>
    <m/>
    <m/>
    <m/>
    <m/>
    <m/>
    <n v="0"/>
    <n v="0"/>
    <n v="0"/>
    <n v="12"/>
    <n v="12"/>
    <m/>
    <m/>
    <n v="0"/>
    <n v="146.9"/>
    <m/>
    <x v="22"/>
    <n v="55"/>
    <m/>
    <m/>
    <m/>
  </r>
  <r>
    <x v="0"/>
    <x v="3"/>
    <s v="6655 J"/>
    <x v="206"/>
    <s v="Baber Sher C/O Al Fatah Bakers"/>
    <s v="PP"/>
    <n v="20"/>
    <s v="5-5.5"/>
    <s v="PP"/>
    <n v="250"/>
    <s v="PP"/>
    <n v="4"/>
    <n v="265.08999999999997"/>
    <n v="10"/>
    <m/>
    <m/>
    <n v="255.08999999999997"/>
    <s v="255.08999999999997"/>
    <m/>
    <m/>
    <m/>
    <n v="0"/>
    <n v="0"/>
    <m/>
    <m/>
    <m/>
    <m/>
    <m/>
    <m/>
    <m/>
    <m/>
    <n v="0"/>
    <n v="0"/>
    <n v="0"/>
    <n v="12"/>
    <n v="12"/>
    <m/>
    <m/>
    <n v="0"/>
    <n v="270.08999999999997"/>
    <m/>
    <x v="22"/>
    <n v="55"/>
    <m/>
    <m/>
    <m/>
  </r>
  <r>
    <x v="0"/>
    <x v="3"/>
    <s v="6566 J"/>
    <x v="206"/>
    <s v="Jilani Poly Stock"/>
    <s v="PP"/>
    <n v="16"/>
    <s v="5-5.5"/>
    <s v="PP"/>
    <s v="-"/>
    <s v="PP"/>
    <n v="5"/>
    <n v="265.5"/>
    <n v="9.5"/>
    <m/>
    <m/>
    <n v="256"/>
    <s v="3335.7599999999998"/>
    <m/>
    <m/>
    <m/>
    <n v="0"/>
    <n v="0"/>
    <m/>
    <m/>
    <m/>
    <m/>
    <m/>
    <m/>
    <m/>
    <m/>
    <n v="0"/>
    <n v="0"/>
    <n v="0"/>
    <n v="12"/>
    <n v="12"/>
    <m/>
    <m/>
    <n v="0"/>
    <n v="270.5"/>
    <m/>
    <x v="22"/>
    <n v="55"/>
    <m/>
    <m/>
    <m/>
  </r>
  <r>
    <x v="0"/>
    <x v="3"/>
    <s v="6752 J"/>
    <x v="206"/>
    <s v="Jhangir Hussain Gudam Leager HD"/>
    <s v="PP"/>
    <n v="20"/>
    <s v="5-5.5"/>
    <s v="PP"/>
    <n v="250"/>
    <s v="PP"/>
    <n v="3"/>
    <n v="170.31"/>
    <n v="7.8000000000000007"/>
    <n v="20"/>
    <m/>
    <n v="162.51"/>
    <s v="270.16999999999996"/>
    <n v="25"/>
    <m/>
    <m/>
    <n v="25"/>
    <n v="0.41666666666666674"/>
    <m/>
    <m/>
    <m/>
    <m/>
    <m/>
    <m/>
    <m/>
    <m/>
    <n v="0"/>
    <n v="0"/>
    <n v="0.41666666666666674"/>
    <n v="11.583333333333334"/>
    <n v="12"/>
    <m/>
    <m/>
    <n v="0"/>
    <n v="175.31"/>
    <m/>
    <x v="22"/>
    <n v="55"/>
    <m/>
    <m/>
    <m/>
  </r>
  <r>
    <x v="1"/>
    <x v="3"/>
    <s v="6752 J"/>
    <x v="206"/>
    <s v="Jhangir Hussain Gudam Leager HD"/>
    <s v="PP"/>
    <n v="20"/>
    <s v="5-5.5"/>
    <s v="PP"/>
    <n v="250"/>
    <s v="PP"/>
    <n v="2"/>
    <n v="112.66"/>
    <n v="5"/>
    <n v="24"/>
    <m/>
    <n v="107.66"/>
    <s v="270.16999999999996"/>
    <m/>
    <m/>
    <m/>
    <n v="0"/>
    <n v="0"/>
    <m/>
    <m/>
    <m/>
    <m/>
    <m/>
    <m/>
    <m/>
    <m/>
    <n v="0"/>
    <n v="0"/>
    <n v="0"/>
    <n v="12"/>
    <n v="12"/>
    <m/>
    <m/>
    <n v="0"/>
    <n v="117.66"/>
    <m/>
    <x v="22"/>
    <n v="55"/>
    <m/>
    <m/>
    <m/>
  </r>
  <r>
    <x v="1"/>
    <x v="3"/>
    <s v="6568 J"/>
    <x v="206"/>
    <s v="Jilani Poly Stock"/>
    <s v="PP"/>
    <n v="20"/>
    <s v="5-5.5"/>
    <s v="PP"/>
    <s v="-"/>
    <s v="PP"/>
    <n v="13"/>
    <n v="785.73"/>
    <n v="26"/>
    <m/>
    <m/>
    <n v="759.73"/>
    <s v="2705.81"/>
    <m/>
    <m/>
    <m/>
    <n v="0"/>
    <n v="0"/>
    <m/>
    <m/>
    <m/>
    <m/>
    <m/>
    <m/>
    <m/>
    <m/>
    <n v="0"/>
    <n v="0"/>
    <n v="0"/>
    <n v="12"/>
    <n v="12"/>
    <m/>
    <m/>
    <n v="0"/>
    <n v="790.73"/>
    <m/>
    <x v="22"/>
    <n v="55"/>
    <m/>
    <m/>
    <m/>
  </r>
  <r>
    <x v="0"/>
    <x v="4"/>
    <s v="7621/2"/>
    <x v="206"/>
    <s v="اصف پلاسٹک سرگو ھا"/>
    <s v="PP"/>
    <n v="14"/>
    <s v="4.5"/>
    <s v="PP"/>
    <n v="100"/>
    <s v="PP"/>
    <n v="2"/>
    <n v="109.93"/>
    <n v="3.4"/>
    <n v="4"/>
    <m/>
    <n v="106.53"/>
    <s v="203.5"/>
    <n v="25"/>
    <n v="430"/>
    <m/>
    <n v="455"/>
    <n v="7.583333333333333"/>
    <m/>
    <m/>
    <m/>
    <m/>
    <m/>
    <m/>
    <m/>
    <m/>
    <n v="0"/>
    <n v="0"/>
    <n v="7.583333333333333"/>
    <n v="4.416666666666667"/>
    <n v="12"/>
    <m/>
    <m/>
    <n v="0"/>
    <n v="114.93"/>
    <m/>
    <x v="22"/>
    <n v="55"/>
    <m/>
    <m/>
    <m/>
  </r>
  <r>
    <x v="1"/>
    <x v="4"/>
    <s v="7678/1"/>
    <x v="206"/>
    <s v="محبوب مقبول گوجرانوالہ"/>
    <s v="PP"/>
    <n v="17"/>
    <s v="5"/>
    <s v="PP"/>
    <n v="100"/>
    <s v="PP"/>
    <n v="2"/>
    <n v="103.13"/>
    <n v="3.4"/>
    <n v="4"/>
    <m/>
    <n v="99.72999999999999"/>
    <s v="99.72999999999999"/>
    <m/>
    <m/>
    <m/>
    <n v="0"/>
    <n v="0"/>
    <m/>
    <m/>
    <m/>
    <m/>
    <m/>
    <m/>
    <n v="45"/>
    <m/>
    <n v="45"/>
    <n v="0.75"/>
    <n v="0.75"/>
    <n v="11.25"/>
    <n v="12"/>
    <m/>
    <m/>
    <n v="0"/>
    <n v="108.13"/>
    <m/>
    <x v="22"/>
    <n v="55"/>
    <m/>
    <m/>
    <m/>
  </r>
  <r>
    <x v="1"/>
    <x v="4"/>
    <s v="7663/15"/>
    <x v="206"/>
    <s v="ہیڈ افس لاہور"/>
    <s v="PP"/>
    <n v="17"/>
    <s v="7"/>
    <s v="PP"/>
    <n v="250"/>
    <s v="PP"/>
    <n v="4"/>
    <n v="199.42"/>
    <n v="6.8"/>
    <m/>
    <m/>
    <n v="192.61999999999998"/>
    <s v="192.61999999999998"/>
    <m/>
    <m/>
    <m/>
    <n v="0"/>
    <n v="0"/>
    <m/>
    <m/>
    <m/>
    <m/>
    <m/>
    <m/>
    <m/>
    <m/>
    <n v="0"/>
    <n v="0"/>
    <n v="0"/>
    <n v="12"/>
    <n v="12"/>
    <m/>
    <m/>
    <n v="0"/>
    <n v="204.42"/>
    <m/>
    <x v="22"/>
    <n v="55"/>
    <m/>
    <m/>
    <m/>
  </r>
  <r>
    <x v="1"/>
    <x v="4"/>
    <s v="7672/1"/>
    <x v="206"/>
    <s v="عرفان احمد اعظم مارکیٹ"/>
    <s v="PP"/>
    <n v="17"/>
    <n v="6"/>
    <s v="PP"/>
    <n v="200"/>
    <s v="PP"/>
    <n v="4"/>
    <n v="182.09"/>
    <n v="6.8"/>
    <m/>
    <m/>
    <n v="175.29"/>
    <s v="175.29"/>
    <m/>
    <m/>
    <m/>
    <n v="0"/>
    <n v="0"/>
    <m/>
    <m/>
    <m/>
    <m/>
    <m/>
    <m/>
    <m/>
    <m/>
    <n v="0"/>
    <n v="0"/>
    <n v="0"/>
    <n v="12"/>
    <n v="12"/>
    <m/>
    <m/>
    <n v="0"/>
    <n v="187.09"/>
    <m/>
    <x v="22"/>
    <n v="55"/>
    <m/>
    <m/>
    <m/>
  </r>
  <r>
    <x v="0"/>
    <x v="0"/>
    <s v="2.5/10"/>
    <x v="207"/>
    <s v="سٹاک"/>
    <s v="PP"/>
    <n v="2.5"/>
    <s v="5.5-6"/>
    <s v="PP"/>
    <n v="1000"/>
    <s v="PP"/>
    <n v="9"/>
    <n v="120.02000000000001"/>
    <n v="13.5"/>
    <m/>
    <m/>
    <n v="106.52000000000001"/>
    <s v="1052.47"/>
    <m/>
    <m/>
    <m/>
    <n v="0"/>
    <n v="0"/>
    <m/>
    <m/>
    <m/>
    <m/>
    <m/>
    <m/>
    <m/>
    <m/>
    <n v="0"/>
    <n v="0"/>
    <n v="0"/>
    <n v="12"/>
    <n v="12"/>
    <m/>
    <m/>
    <n v="0"/>
    <n v="125.02"/>
    <m/>
    <x v="22"/>
    <n v="55"/>
    <m/>
    <m/>
    <m/>
  </r>
  <r>
    <x v="0"/>
    <x v="1"/>
    <s v="4/12"/>
    <x v="207"/>
    <s v="سٹاک"/>
    <s v="PP"/>
    <n v="4"/>
    <s v="5-5.5"/>
    <s v="PP"/>
    <n v="1000"/>
    <s v="PP"/>
    <n v="9"/>
    <n v="159.22"/>
    <n v="1.8"/>
    <m/>
    <m/>
    <n v="157.41999999999999"/>
    <s v="157.41999999999999"/>
    <m/>
    <m/>
    <m/>
    <n v="0"/>
    <n v="0"/>
    <m/>
    <m/>
    <m/>
    <m/>
    <m/>
    <m/>
    <m/>
    <m/>
    <n v="0"/>
    <n v="0"/>
    <n v="0"/>
    <n v="12"/>
    <n v="12"/>
    <m/>
    <m/>
    <n v="0"/>
    <n v="164.22"/>
    <m/>
    <x v="22"/>
    <n v="55"/>
    <m/>
    <m/>
    <m/>
  </r>
  <r>
    <x v="0"/>
    <x v="2"/>
    <s v="7653/1"/>
    <x v="207"/>
    <s v="خذیفہ پلاسٹک اعظم مارکیٹ"/>
    <s v="PP"/>
    <n v="8"/>
    <s v="6"/>
    <s v="PP"/>
    <n v="100"/>
    <s v="PP"/>
    <n v="2"/>
    <n v="75.44"/>
    <n v="2.15"/>
    <m/>
    <m/>
    <n v="73.289999999999992"/>
    <s v="224.79"/>
    <m/>
    <m/>
    <m/>
    <n v="0"/>
    <n v="0"/>
    <m/>
    <m/>
    <m/>
    <m/>
    <m/>
    <m/>
    <m/>
    <m/>
    <n v="0"/>
    <n v="0"/>
    <n v="0"/>
    <n v="12"/>
    <n v="12"/>
    <m/>
    <m/>
    <n v="0"/>
    <n v="80.44"/>
    <m/>
    <x v="22"/>
    <n v="55"/>
    <m/>
    <m/>
    <m/>
  </r>
  <r>
    <x v="0"/>
    <x v="2"/>
    <s v="7683/1"/>
    <x v="207"/>
    <s v="خذیفہ پلاسٹک اعظم مارکیٹ"/>
    <s v="PP"/>
    <n v="9"/>
    <s v="6"/>
    <s v="PP"/>
    <n v="100"/>
    <s v="PP"/>
    <n v="4"/>
    <n v="106.50999999999999"/>
    <n v="4.8"/>
    <m/>
    <m/>
    <n v="101.71"/>
    <s v="101.71"/>
    <m/>
    <m/>
    <m/>
    <n v="0"/>
    <n v="0"/>
    <m/>
    <m/>
    <m/>
    <m/>
    <m/>
    <m/>
    <m/>
    <m/>
    <n v="0"/>
    <n v="0"/>
    <n v="0"/>
    <n v="12"/>
    <n v="12"/>
    <m/>
    <m/>
    <n v="0"/>
    <n v="111.51"/>
    <m/>
    <x v="22"/>
    <n v="55"/>
    <m/>
    <m/>
    <m/>
  </r>
  <r>
    <x v="0"/>
    <x v="2"/>
    <s v="7670/6"/>
    <x v="207"/>
    <s v="آصف پلاسٹک سرگودھا"/>
    <s v="PP"/>
    <n v="9"/>
    <s v="4.5"/>
    <s v="PP"/>
    <n v="100"/>
    <s v="PP"/>
    <n v="2"/>
    <n v="63.55"/>
    <n v="3.5999999999999996"/>
    <m/>
    <m/>
    <n v="59.949999999999996"/>
    <s v="59.949999999999996"/>
    <m/>
    <m/>
    <m/>
    <n v="0"/>
    <n v="0"/>
    <m/>
    <m/>
    <m/>
    <m/>
    <m/>
    <m/>
    <m/>
    <m/>
    <n v="0"/>
    <n v="0"/>
    <n v="0"/>
    <n v="12"/>
    <n v="12"/>
    <m/>
    <m/>
    <n v="0"/>
    <n v="68.55"/>
    <m/>
    <x v="22"/>
    <n v="55"/>
    <m/>
    <m/>
    <m/>
  </r>
  <r>
    <x v="0"/>
    <x v="2"/>
    <s v="7682/1"/>
    <x v="207"/>
    <s v="خذیفہ پلاسٹک اعظم مارکیٹ"/>
    <s v="PP"/>
    <n v="9"/>
    <s v="8"/>
    <s v="PP"/>
    <n v="100"/>
    <s v="PP"/>
    <n v="1"/>
    <n v="28.44"/>
    <n v="1.2"/>
    <m/>
    <m/>
    <n v="27.240000000000002"/>
    <s v="104.28"/>
    <n v="20"/>
    <m/>
    <m/>
    <n v="20"/>
    <n v="0.33333333333333331"/>
    <m/>
    <m/>
    <m/>
    <m/>
    <m/>
    <m/>
    <m/>
    <m/>
    <n v="0"/>
    <n v="0"/>
    <n v="0.33333333333333331"/>
    <n v="11.666666666666666"/>
    <n v="12"/>
    <m/>
    <m/>
    <n v="0"/>
    <n v="33.44"/>
    <m/>
    <x v="22"/>
    <n v="55"/>
    <m/>
    <m/>
    <m/>
  </r>
  <r>
    <x v="0"/>
    <x v="2"/>
    <s v="7682/1"/>
    <x v="207"/>
    <s v="خذیفہ پلاسٹک اعظم مارکیٹ"/>
    <s v="PP"/>
    <n v="9"/>
    <s v="8"/>
    <s v="PP"/>
    <n v="100"/>
    <s v="PP"/>
    <n v="3"/>
    <n v="79.740000000000009"/>
    <n v="2.7"/>
    <m/>
    <m/>
    <n v="77.040000000000006"/>
    <s v="104.28"/>
    <m/>
    <m/>
    <m/>
    <n v="0"/>
    <n v="0"/>
    <m/>
    <m/>
    <m/>
    <m/>
    <m/>
    <m/>
    <m/>
    <m/>
    <n v="0"/>
    <n v="0"/>
    <n v="0"/>
    <n v="12"/>
    <n v="12"/>
    <m/>
    <m/>
    <n v="0"/>
    <n v="84.740000000000009"/>
    <m/>
    <x v="22"/>
    <n v="55"/>
    <m/>
    <m/>
    <m/>
  </r>
  <r>
    <x v="1"/>
    <x v="2"/>
    <s v="7675/3"/>
    <x v="207"/>
    <s v="حنان پلاسٹک فیصل آباد"/>
    <s v="PP"/>
    <n v="15"/>
    <s v="7"/>
    <s v="PP"/>
    <n v="300"/>
    <s v="PP"/>
    <n v="4"/>
    <n v="193.45"/>
    <n v="6"/>
    <m/>
    <m/>
    <n v="187.45"/>
    <s v="300.81"/>
    <n v="30"/>
    <m/>
    <m/>
    <n v="30"/>
    <n v="0.5"/>
    <m/>
    <m/>
    <m/>
    <m/>
    <m/>
    <m/>
    <m/>
    <m/>
    <n v="0"/>
    <n v="0"/>
    <n v="0.5"/>
    <n v="11.5"/>
    <n v="12"/>
    <m/>
    <m/>
    <n v="0"/>
    <n v="198.45"/>
    <m/>
    <x v="22"/>
    <n v="55"/>
    <m/>
    <m/>
    <m/>
  </r>
  <r>
    <x v="1"/>
    <x v="2"/>
    <s v="10/1"/>
    <x v="207"/>
    <s v="سٹاک"/>
    <s v="PP"/>
    <n v="10"/>
    <n v="5"/>
    <s v="PP"/>
    <n v="2000"/>
    <s v="PP"/>
    <n v="1"/>
    <n v="31.55"/>
    <n v="1"/>
    <m/>
    <m/>
    <n v="30.55"/>
    <s v="3142.1300000000006"/>
    <n v="30"/>
    <m/>
    <m/>
    <n v="30"/>
    <n v="0.5"/>
    <m/>
    <m/>
    <m/>
    <m/>
    <m/>
    <m/>
    <m/>
    <m/>
    <n v="0"/>
    <n v="0"/>
    <n v="0.5"/>
    <n v="11.5"/>
    <n v="12"/>
    <m/>
    <m/>
    <n v="0"/>
    <n v="36.549999999999997"/>
    <m/>
    <x v="22"/>
    <n v="55"/>
    <m/>
    <m/>
    <m/>
  </r>
  <r>
    <x v="0"/>
    <x v="3"/>
    <s v="6568 J"/>
    <x v="207"/>
    <s v="Jilani Poly Stock"/>
    <s v="PP"/>
    <n v="20"/>
    <s v="5-5.5"/>
    <s v="PP"/>
    <s v="-"/>
    <s v="PP"/>
    <n v="14"/>
    <n v="834.9899999999999"/>
    <n v="41.6"/>
    <n v="32"/>
    <m/>
    <n v="793.38999999999987"/>
    <s v="2705.81"/>
    <m/>
    <m/>
    <m/>
    <n v="0"/>
    <n v="0"/>
    <m/>
    <m/>
    <m/>
    <m/>
    <m/>
    <m/>
    <m/>
    <m/>
    <n v="0"/>
    <n v="0"/>
    <n v="0"/>
    <n v="12"/>
    <n v="12"/>
    <m/>
    <m/>
    <n v="0"/>
    <n v="839.9899999999999"/>
    <m/>
    <x v="22"/>
    <n v="55"/>
    <m/>
    <m/>
    <m/>
  </r>
  <r>
    <x v="1"/>
    <x v="3"/>
    <s v="6568 J"/>
    <x v="207"/>
    <s v="Jilani Poly Stock"/>
    <s v="PP"/>
    <n v="20"/>
    <s v="5-5.5"/>
    <s v="PP"/>
    <s v="-"/>
    <s v="PP"/>
    <n v="2"/>
    <n v="127.14"/>
    <n v="4"/>
    <n v="33"/>
    <m/>
    <n v="123.14"/>
    <s v="2705.81"/>
    <n v="45"/>
    <m/>
    <m/>
    <n v="45"/>
    <n v="0.75"/>
    <m/>
    <m/>
    <m/>
    <m/>
    <m/>
    <m/>
    <m/>
    <m/>
    <n v="0"/>
    <n v="0"/>
    <n v="0.75"/>
    <n v="11.25"/>
    <n v="12"/>
    <m/>
    <m/>
    <n v="0"/>
    <n v="132.13999999999999"/>
    <m/>
    <x v="22"/>
    <n v="55"/>
    <m/>
    <m/>
    <m/>
  </r>
  <r>
    <x v="1"/>
    <x v="3"/>
    <s v="6733 J"/>
    <x v="207"/>
    <s v="Carefour Pakistan Ltd"/>
    <s v="PP"/>
    <s v="20&quot; شیٹ"/>
    <s v="4.5-5/9-10"/>
    <s v="PP"/>
    <n v="100"/>
    <s v="PP"/>
    <n v="8"/>
    <n v="248.99"/>
    <n v="16"/>
    <m/>
    <m/>
    <n v="232.99"/>
    <s v="232.99"/>
    <m/>
    <m/>
    <m/>
    <n v="0"/>
    <n v="0"/>
    <m/>
    <m/>
    <m/>
    <m/>
    <m/>
    <m/>
    <m/>
    <m/>
    <n v="0"/>
    <n v="0"/>
    <n v="0"/>
    <n v="12"/>
    <n v="12"/>
    <m/>
    <m/>
    <n v="0"/>
    <n v="253.99"/>
    <m/>
    <x v="22"/>
    <n v="55"/>
    <m/>
    <m/>
    <m/>
  </r>
  <r>
    <x v="1"/>
    <x v="3"/>
    <s v="6778 J"/>
    <x v="207"/>
    <s v="Usman Arif Butt Gujranwala"/>
    <s v="PP"/>
    <n v="20"/>
    <n v="10"/>
    <s v="PP"/>
    <n v="260"/>
    <s v="PP"/>
    <n v="5"/>
    <n v="274.01"/>
    <n v="10"/>
    <m/>
    <m/>
    <n v="264.01"/>
    <s v="264.01"/>
    <m/>
    <m/>
    <m/>
    <n v="0"/>
    <n v="0"/>
    <m/>
    <m/>
    <m/>
    <m/>
    <m/>
    <m/>
    <m/>
    <m/>
    <n v="0"/>
    <n v="0"/>
    <n v="0"/>
    <n v="12"/>
    <n v="12"/>
    <m/>
    <m/>
    <n v="0"/>
    <n v="279.01"/>
    <m/>
    <x v="22"/>
    <n v="55"/>
    <m/>
    <m/>
    <m/>
  </r>
  <r>
    <x v="0"/>
    <x v="4"/>
    <s v="7663/5"/>
    <x v="207"/>
    <s v="ہیڈ افس لاہور"/>
    <s v="PP"/>
    <n v="10"/>
    <s v="5"/>
    <s v="PP"/>
    <n v="375"/>
    <s v="PP"/>
    <n v="5"/>
    <n v="295.73"/>
    <n v="11"/>
    <m/>
    <m/>
    <n v="284.73"/>
    <s v="284.73"/>
    <m/>
    <m/>
    <m/>
    <n v="0"/>
    <n v="0"/>
    <m/>
    <m/>
    <m/>
    <m/>
    <m/>
    <m/>
    <m/>
    <m/>
    <n v="0"/>
    <n v="0"/>
    <n v="0"/>
    <n v="12"/>
    <n v="12"/>
    <m/>
    <m/>
    <n v="0"/>
    <n v="300.73"/>
    <m/>
    <x v="22"/>
    <n v="55"/>
    <m/>
    <m/>
    <m/>
  </r>
  <r>
    <x v="0"/>
    <x v="4"/>
    <s v="7671/1"/>
    <x v="207"/>
    <s v="امارات پلاسٹک چونگ"/>
    <s v="PP"/>
    <n v="12"/>
    <s v="4.5"/>
    <s v="PP"/>
    <n v="400"/>
    <s v="PP"/>
    <n v="5"/>
    <n v="210.82000000000002"/>
    <n v="7.5"/>
    <n v="3"/>
    <m/>
    <n v="203.32000000000002"/>
    <s v="498.06000000000006"/>
    <n v="30"/>
    <m/>
    <m/>
    <n v="30"/>
    <n v="0.5"/>
    <m/>
    <m/>
    <m/>
    <m/>
    <m/>
    <m/>
    <m/>
    <m/>
    <n v="0"/>
    <n v="0"/>
    <n v="0.5"/>
    <n v="11.5"/>
    <n v="12"/>
    <m/>
    <m/>
    <n v="0"/>
    <n v="215.82"/>
    <m/>
    <x v="22"/>
    <n v="55"/>
    <m/>
    <m/>
    <m/>
  </r>
  <r>
    <x v="1"/>
    <x v="4"/>
    <s v="7675/1"/>
    <x v="207"/>
    <s v="حنان پلاسٹک فیصل آباد"/>
    <s v="PP"/>
    <n v="12"/>
    <s v="7"/>
    <s v="PP"/>
    <n v="300"/>
    <s v="PP"/>
    <n v="10"/>
    <n v="580.89"/>
    <n v="12"/>
    <n v="3"/>
    <m/>
    <n v="568.89"/>
    <s v="568.89"/>
    <m/>
    <m/>
    <m/>
    <n v="0"/>
    <n v="0"/>
    <m/>
    <m/>
    <m/>
    <m/>
    <m/>
    <m/>
    <m/>
    <m/>
    <n v="0"/>
    <n v="0"/>
    <n v="0"/>
    <n v="12"/>
    <n v="12"/>
    <m/>
    <m/>
    <n v="0"/>
    <n v="585.89"/>
    <m/>
    <x v="22"/>
    <n v="55"/>
    <m/>
    <m/>
    <m/>
  </r>
  <r>
    <x v="0"/>
    <x v="0"/>
    <s v="2.5/10"/>
    <x v="208"/>
    <s v="سٹاک"/>
    <s v="PP"/>
    <n v="2.5"/>
    <s v="5.5-6"/>
    <s v="PP"/>
    <n v="1000"/>
    <s v="PP"/>
    <n v="6"/>
    <n v="83.070000000000007"/>
    <n v="1.5"/>
    <m/>
    <m/>
    <n v="81.570000000000007"/>
    <s v="1052.47"/>
    <m/>
    <n v="225"/>
    <m/>
    <n v="225"/>
    <n v="3.75"/>
    <m/>
    <m/>
    <m/>
    <m/>
    <m/>
    <m/>
    <m/>
    <m/>
    <n v="0"/>
    <n v="0"/>
    <n v="3.75"/>
    <n v="8.25"/>
    <n v="12"/>
    <m/>
    <m/>
    <n v="0"/>
    <n v="88.07"/>
    <m/>
    <x v="22"/>
    <n v="55"/>
    <m/>
    <m/>
    <m/>
  </r>
  <r>
    <x v="1"/>
    <x v="0"/>
    <s v="2.5/10"/>
    <x v="208"/>
    <s v="سٹاک"/>
    <s v="PP"/>
    <n v="2.5"/>
    <s v="5.5-6"/>
    <s v="PP"/>
    <n v="1000"/>
    <s v="PP"/>
    <n v="10"/>
    <n v="131.47"/>
    <n v="2.5"/>
    <m/>
    <m/>
    <n v="128.97"/>
    <s v="1052.47"/>
    <m/>
    <m/>
    <m/>
    <n v="0"/>
    <n v="0"/>
    <m/>
    <m/>
    <m/>
    <m/>
    <m/>
    <m/>
    <m/>
    <m/>
    <n v="0"/>
    <n v="0"/>
    <n v="0"/>
    <n v="12"/>
    <n v="12"/>
    <m/>
    <m/>
    <n v="0"/>
    <n v="136.47"/>
    <m/>
    <x v="22"/>
    <n v="55"/>
    <m/>
    <m/>
    <m/>
  </r>
  <r>
    <x v="0"/>
    <x v="1"/>
    <s v="4/15"/>
    <x v="208"/>
    <s v="سٹاک"/>
    <s v="PP"/>
    <n v="4"/>
    <s v="5-5.5"/>
    <s v="PP"/>
    <n v="1000"/>
    <s v="PP"/>
    <n v="7"/>
    <n v="119.77"/>
    <n v="2.8000000000000003"/>
    <m/>
    <m/>
    <n v="116.97"/>
    <s v="966.98"/>
    <m/>
    <n v="210"/>
    <m/>
    <n v="210"/>
    <n v="3.5"/>
    <m/>
    <m/>
    <m/>
    <m/>
    <m/>
    <m/>
    <m/>
    <m/>
    <n v="0"/>
    <n v="0"/>
    <n v="3.5"/>
    <n v="8.5"/>
    <n v="12"/>
    <m/>
    <m/>
    <n v="0"/>
    <n v="124.77"/>
    <m/>
    <x v="22"/>
    <n v="55"/>
    <m/>
    <m/>
    <m/>
  </r>
  <r>
    <x v="1"/>
    <x v="1"/>
    <s v="4/15"/>
    <x v="208"/>
    <s v="سٹاک"/>
    <s v="PP"/>
    <n v="4"/>
    <s v="5-5.5"/>
    <s v="PP"/>
    <n v="1000"/>
    <s v="PP"/>
    <n v="10"/>
    <n v="161.66999999999999"/>
    <n v="4"/>
    <m/>
    <m/>
    <n v="157.66999999999999"/>
    <s v="966.98"/>
    <m/>
    <m/>
    <m/>
    <n v="0"/>
    <n v="0"/>
    <m/>
    <m/>
    <m/>
    <m/>
    <m/>
    <m/>
    <m/>
    <m/>
    <n v="0"/>
    <n v="0"/>
    <n v="0"/>
    <n v="12"/>
    <n v="12"/>
    <m/>
    <m/>
    <n v="0"/>
    <n v="166.67"/>
    <m/>
    <x v="22"/>
    <n v="55"/>
    <m/>
    <m/>
    <m/>
  </r>
  <r>
    <x v="0"/>
    <x v="2"/>
    <s v="7675/3"/>
    <x v="208"/>
    <s v="حنان پلاسٹک فیصل آباد"/>
    <s v="PP"/>
    <n v="15"/>
    <s v="7"/>
    <s v="PP"/>
    <n v="300"/>
    <s v="PP"/>
    <n v="2"/>
    <n v="116.96"/>
    <n v="3.6"/>
    <m/>
    <m/>
    <n v="113.36"/>
    <s v="300.81"/>
    <m/>
    <m/>
    <m/>
    <n v="0"/>
    <n v="0"/>
    <m/>
    <m/>
    <m/>
    <m/>
    <m/>
    <m/>
    <m/>
    <m/>
    <n v="0"/>
    <n v="0"/>
    <n v="0"/>
    <n v="12"/>
    <n v="12"/>
    <m/>
    <m/>
    <n v="0"/>
    <n v="121.96"/>
    <m/>
    <x v="22"/>
    <n v="55"/>
    <m/>
    <m/>
    <m/>
  </r>
  <r>
    <x v="0"/>
    <x v="2"/>
    <s v="7671/4"/>
    <x v="208"/>
    <s v="امارات پلاسٹک چونگ"/>
    <s v="PP"/>
    <n v="10"/>
    <s v="4.5"/>
    <s v="PP"/>
    <n v="100"/>
    <s v="PP"/>
    <n v="4"/>
    <n v="133.44999999999999"/>
    <n v="5.6"/>
    <m/>
    <m/>
    <n v="127.85"/>
    <s v="127.85"/>
    <n v="20"/>
    <m/>
    <m/>
    <n v="20"/>
    <n v="0.33333333333333331"/>
    <m/>
    <m/>
    <m/>
    <m/>
    <m/>
    <m/>
    <m/>
    <m/>
    <n v="0"/>
    <n v="0"/>
    <n v="0.33333333333333331"/>
    <n v="11.666666666666666"/>
    <n v="12"/>
    <m/>
    <m/>
    <n v="0"/>
    <n v="138.44999999999999"/>
    <m/>
    <x v="22"/>
    <n v="55"/>
    <m/>
    <m/>
    <m/>
  </r>
  <r>
    <x v="0"/>
    <x v="2"/>
    <s v="7670/1"/>
    <x v="208"/>
    <s v="آصف پلاسٹک سرگودھا"/>
    <s v="PP"/>
    <n v="11"/>
    <s v="4.5"/>
    <s v="PP"/>
    <n v="100"/>
    <s v="PP"/>
    <n v="1"/>
    <n v="30.58"/>
    <n v="1.1000000000000001"/>
    <m/>
    <m/>
    <n v="29.479999999999997"/>
    <s v="122.14000000000001"/>
    <n v="20"/>
    <m/>
    <m/>
    <n v="20"/>
    <n v="0.33333333333333331"/>
    <m/>
    <m/>
    <m/>
    <m/>
    <m/>
    <m/>
    <m/>
    <m/>
    <n v="0"/>
    <n v="0"/>
    <n v="0.33333333333333331"/>
    <n v="11.666666666666666"/>
    <n v="12"/>
    <m/>
    <m/>
    <n v="0"/>
    <n v="35.58"/>
    <m/>
    <x v="22"/>
    <n v="55"/>
    <m/>
    <m/>
    <m/>
  </r>
  <r>
    <x v="1"/>
    <x v="2"/>
    <s v="7670/1"/>
    <x v="208"/>
    <s v="آصف پلاسٹک سرگودھا"/>
    <s v="PP"/>
    <n v="11"/>
    <s v="4.5"/>
    <s v="PP"/>
    <n v="100"/>
    <s v="PP"/>
    <n v="3"/>
    <n v="95.960000000000008"/>
    <n v="3.3000000000000003"/>
    <m/>
    <m/>
    <n v="92.660000000000011"/>
    <s v="122.14000000000001"/>
    <m/>
    <m/>
    <m/>
    <n v="0"/>
    <n v="0"/>
    <m/>
    <m/>
    <m/>
    <m/>
    <m/>
    <m/>
    <m/>
    <m/>
    <n v="0"/>
    <n v="0"/>
    <n v="0"/>
    <n v="12"/>
    <n v="12"/>
    <m/>
    <m/>
    <n v="0"/>
    <n v="100.96"/>
    <m/>
    <x v="22"/>
    <n v="55"/>
    <m/>
    <m/>
    <m/>
  </r>
  <r>
    <x v="1"/>
    <x v="2"/>
    <s v="7/11"/>
    <x v="208"/>
    <s v="سٹاک"/>
    <s v="PP"/>
    <n v="7"/>
    <n v="5"/>
    <s v="PP"/>
    <n v="1000"/>
    <s v="PP"/>
    <n v="2"/>
    <n v="64.180000000000007"/>
    <n v="1.4"/>
    <m/>
    <m/>
    <n v="62.780000000000008"/>
    <s v="966.09"/>
    <n v="20"/>
    <m/>
    <m/>
    <n v="20"/>
    <n v="0.33333333333333331"/>
    <m/>
    <m/>
    <n v="120"/>
    <m/>
    <m/>
    <m/>
    <m/>
    <m/>
    <n v="120"/>
    <n v="2"/>
    <n v="2.3333333333333335"/>
    <n v="9.6666666666666661"/>
    <n v="12"/>
    <m/>
    <m/>
    <n v="0"/>
    <n v="69.180000000000007"/>
    <m/>
    <x v="22"/>
    <n v="55"/>
    <m/>
    <m/>
    <m/>
  </r>
  <r>
    <x v="0"/>
    <x v="3"/>
    <s v="6731 J"/>
    <x v="208"/>
    <s v="Carefour Pakistan Ltd"/>
    <s v="PP"/>
    <s v="22&quot; شیٹ"/>
    <s v="4.5-5/9-10"/>
    <s v="PP"/>
    <n v="100"/>
    <s v="PP"/>
    <n v="5"/>
    <n v="242.28000000000003"/>
    <n v="12.5"/>
    <m/>
    <m/>
    <n v="229.78000000000003"/>
    <s v="229.78000000000003"/>
    <m/>
    <m/>
    <m/>
    <n v="0"/>
    <n v="0"/>
    <n v="60"/>
    <m/>
    <n v="220"/>
    <m/>
    <m/>
    <m/>
    <m/>
    <m/>
    <n v="280"/>
    <n v="4.666666666666667"/>
    <n v="4.666666666666667"/>
    <n v="7.333333333333333"/>
    <n v="12"/>
    <m/>
    <m/>
    <n v="0"/>
    <n v="247.28000000000003"/>
    <m/>
    <x v="22"/>
    <n v="55"/>
    <m/>
    <m/>
    <m/>
  </r>
  <r>
    <x v="0"/>
    <x v="3"/>
    <s v="6730 J"/>
    <x v="208"/>
    <s v="Carefour Pakistan Ltd"/>
    <s v="PP"/>
    <s v="22&quot; شیٹ"/>
    <s v="4.5-5/9-10"/>
    <s v="PP"/>
    <n v="100"/>
    <s v="PP"/>
    <n v="5"/>
    <n v="246.60999999999999"/>
    <n v="13.45"/>
    <n v="44"/>
    <m/>
    <n v="233.16"/>
    <s v="233.16"/>
    <m/>
    <m/>
    <m/>
    <n v="0"/>
    <n v="0"/>
    <m/>
    <m/>
    <m/>
    <m/>
    <m/>
    <m/>
    <m/>
    <m/>
    <n v="0"/>
    <n v="0"/>
    <n v="0"/>
    <n v="12"/>
    <n v="12"/>
    <m/>
    <m/>
    <n v="0"/>
    <n v="251.61"/>
    <m/>
    <x v="22"/>
    <n v="55"/>
    <m/>
    <m/>
    <m/>
  </r>
  <r>
    <x v="1"/>
    <x v="3"/>
    <s v="7667/1"/>
    <x v="208"/>
    <s v="بوٹا پلاسٹک اعظم مارکیٹ"/>
    <s v="PP"/>
    <n v="23"/>
    <s v="5-5.5"/>
    <s v="PP"/>
    <n v="500"/>
    <s v="PP"/>
    <n v="8"/>
    <n v="473.75999999999988"/>
    <n v="18.399999999999999"/>
    <n v="41"/>
    <m/>
    <n v="455.3599999999999"/>
    <s v="512.05999999999995"/>
    <m/>
    <n v="90"/>
    <m/>
    <n v="90"/>
    <n v="1.5"/>
    <n v="60"/>
    <m/>
    <n v="60"/>
    <m/>
    <m/>
    <m/>
    <m/>
    <m/>
    <n v="120"/>
    <n v="2"/>
    <n v="3.5"/>
    <n v="8.5"/>
    <n v="12"/>
    <m/>
    <m/>
    <n v="0"/>
    <n v="478.75999999999982"/>
    <m/>
    <x v="22"/>
    <n v="55"/>
    <m/>
    <m/>
    <m/>
  </r>
  <r>
    <x v="0"/>
    <x v="4"/>
    <s v="7675/2"/>
    <x v="208"/>
    <s v="حنان پلاسٹک فیصل آباد"/>
    <s v="PP"/>
    <n v="12"/>
    <s v="7"/>
    <s v="PP"/>
    <n v="300"/>
    <s v="PP"/>
    <n v="2"/>
    <n v="68.48"/>
    <n v="3"/>
    <m/>
    <m/>
    <n v="65.48"/>
    <s v="65.48"/>
    <m/>
    <m/>
    <m/>
    <n v="0"/>
    <n v="0"/>
    <m/>
    <m/>
    <m/>
    <m/>
    <m/>
    <m/>
    <m/>
    <m/>
    <n v="0"/>
    <n v="0"/>
    <n v="0"/>
    <n v="12"/>
    <n v="12"/>
    <m/>
    <m/>
    <n v="0"/>
    <n v="73.48"/>
    <m/>
    <x v="22"/>
    <n v="55"/>
    <m/>
    <m/>
    <m/>
  </r>
  <r>
    <x v="0"/>
    <x v="4"/>
    <s v="7668/1"/>
    <x v="208"/>
    <s v="ایم دین پنڈی"/>
    <s v="PP"/>
    <n v="12"/>
    <s v="14-15"/>
    <s v="PP"/>
    <n v="450"/>
    <s v="PP"/>
    <n v="9"/>
    <n v="489.17"/>
    <n v="13.5"/>
    <n v="1.5"/>
    <m/>
    <n v="475.67"/>
    <s v="475.67"/>
    <m/>
    <m/>
    <m/>
    <n v="0"/>
    <n v="0"/>
    <m/>
    <m/>
    <m/>
    <m/>
    <m/>
    <m/>
    <m/>
    <m/>
    <n v="0"/>
    <n v="0"/>
    <n v="0"/>
    <n v="12"/>
    <n v="12"/>
    <m/>
    <m/>
    <n v="0"/>
    <n v="494.17"/>
    <m/>
    <x v="22"/>
    <n v="55"/>
    <m/>
    <m/>
    <m/>
  </r>
  <r>
    <x v="1"/>
    <x v="4"/>
    <s v="7670/2"/>
    <x v="208"/>
    <s v="آصف پلاسٹک سرگودھا"/>
    <s v="PP"/>
    <n v="12"/>
    <s v="4.5"/>
    <s v="PP"/>
    <n v="100"/>
    <s v="PP"/>
    <n v="9"/>
    <n v="476.96999999999997"/>
    <n v="10.799999999999999"/>
    <n v="1.5"/>
    <m/>
    <n v="466.16999999999996"/>
    <s v="466.16999999999996"/>
    <m/>
    <m/>
    <m/>
    <n v="0"/>
    <n v="0"/>
    <m/>
    <m/>
    <m/>
    <m/>
    <m/>
    <m/>
    <m/>
    <m/>
    <n v="0"/>
    <n v="0"/>
    <n v="0"/>
    <n v="12"/>
    <n v="12"/>
    <m/>
    <m/>
    <n v="0"/>
    <n v="481.97"/>
    <m/>
    <x v="22"/>
    <n v="55"/>
    <m/>
    <m/>
    <m/>
  </r>
  <r>
    <x v="0"/>
    <x v="0"/>
    <s v="2.5/10"/>
    <x v="209"/>
    <s v="سٹاک"/>
    <s v="PP"/>
    <n v="2.5"/>
    <s v="5.5-6"/>
    <s v="PP"/>
    <n v="1000"/>
    <s v="PP"/>
    <n v="9"/>
    <n v="124.33"/>
    <n v="2.25"/>
    <n v="26"/>
    <m/>
    <n v="122.08"/>
    <s v="1052.47"/>
    <m/>
    <m/>
    <m/>
    <n v="0"/>
    <n v="0"/>
    <m/>
    <m/>
    <m/>
    <m/>
    <m/>
    <m/>
    <m/>
    <m/>
    <n v="0"/>
    <n v="0"/>
    <n v="0"/>
    <n v="12"/>
    <n v="12"/>
    <m/>
    <m/>
    <n v="0"/>
    <n v="129.32999999999998"/>
    <m/>
    <x v="22"/>
    <n v="55"/>
    <m/>
    <m/>
    <m/>
  </r>
  <r>
    <x v="1"/>
    <x v="0"/>
    <s v="2.5/10"/>
    <x v="209"/>
    <s v="سٹاک"/>
    <s v="PP"/>
    <n v="2.5"/>
    <s v="5.5-6"/>
    <s v="PP"/>
    <n v="1000"/>
    <s v="PP"/>
    <n v="8"/>
    <n v="106"/>
    <n v="2"/>
    <n v="13"/>
    <m/>
    <n v="104"/>
    <s v="1052.47"/>
    <m/>
    <m/>
    <n v="120"/>
    <n v="120"/>
    <n v="2"/>
    <m/>
    <m/>
    <m/>
    <m/>
    <m/>
    <m/>
    <m/>
    <m/>
    <n v="0"/>
    <n v="0"/>
    <n v="2"/>
    <n v="10"/>
    <n v="12"/>
    <m/>
    <m/>
    <n v="0"/>
    <n v="111"/>
    <m/>
    <x v="22"/>
    <n v="55"/>
    <m/>
    <m/>
    <m/>
  </r>
  <r>
    <x v="0"/>
    <x v="1"/>
    <s v="4/15"/>
    <x v="209"/>
    <s v="سٹاک"/>
    <s v="PP"/>
    <n v="4"/>
    <s v="5-5.5"/>
    <s v="PP"/>
    <n v="1000"/>
    <s v="PP"/>
    <n v="9"/>
    <n v="151.19"/>
    <n v="3.6"/>
    <m/>
    <m/>
    <n v="147.59"/>
    <s v="966.98"/>
    <m/>
    <m/>
    <m/>
    <n v="0"/>
    <n v="0"/>
    <m/>
    <m/>
    <m/>
    <m/>
    <m/>
    <m/>
    <m/>
    <m/>
    <n v="0"/>
    <n v="0"/>
    <n v="0"/>
    <n v="12"/>
    <n v="12"/>
    <m/>
    <m/>
    <n v="0"/>
    <n v="156.19"/>
    <m/>
    <x v="22"/>
    <n v="55"/>
    <m/>
    <m/>
    <m/>
  </r>
  <r>
    <x v="1"/>
    <x v="1"/>
    <s v="4/15"/>
    <x v="209"/>
    <s v="سٹاک"/>
    <s v="PP"/>
    <n v="4"/>
    <s v="5-5.5"/>
    <s v="PP"/>
    <n v="1000"/>
    <s v="PP"/>
    <n v="9"/>
    <n v="144.02999999999997"/>
    <n v="3.6"/>
    <m/>
    <m/>
    <n v="140.42999999999998"/>
    <s v="966.98"/>
    <m/>
    <m/>
    <n v="120"/>
    <n v="120"/>
    <n v="2"/>
    <m/>
    <m/>
    <m/>
    <m/>
    <m/>
    <m/>
    <m/>
    <m/>
    <n v="0"/>
    <n v="0"/>
    <n v="2"/>
    <n v="10"/>
    <n v="12"/>
    <m/>
    <m/>
    <n v="0"/>
    <n v="149.02999999999997"/>
    <m/>
    <x v="22"/>
    <n v="55"/>
    <m/>
    <m/>
    <m/>
  </r>
  <r>
    <x v="0"/>
    <x v="2"/>
    <s v="7/11"/>
    <x v="209"/>
    <s v="سٹاک"/>
    <s v="PP"/>
    <n v="7"/>
    <n v="5"/>
    <s v="PP"/>
    <n v="1000"/>
    <s v="PP"/>
    <n v="5"/>
    <n v="173.86"/>
    <n v="4"/>
    <m/>
    <m/>
    <n v="169.86"/>
    <s v="966.09"/>
    <m/>
    <m/>
    <m/>
    <n v="0"/>
    <n v="0"/>
    <m/>
    <m/>
    <n v="240"/>
    <m/>
    <m/>
    <m/>
    <m/>
    <m/>
    <n v="240"/>
    <n v="4"/>
    <n v="4"/>
    <n v="8"/>
    <n v="12"/>
    <m/>
    <m/>
    <n v="0"/>
    <n v="178.86"/>
    <m/>
    <x v="22"/>
    <n v="55"/>
    <m/>
    <m/>
    <m/>
  </r>
  <r>
    <x v="1"/>
    <x v="2"/>
    <s v="7688/8"/>
    <x v="209"/>
    <s v="رفیق پلاسٹک اوکاڑہ"/>
    <s v="PP"/>
    <n v="7"/>
    <s v="4-4.5"/>
    <s v="PP"/>
    <n v="100"/>
    <s v="PP"/>
    <n v="4"/>
    <n v="108.86"/>
    <n v="2.8"/>
    <m/>
    <m/>
    <n v="106.06"/>
    <s v="106.06"/>
    <m/>
    <m/>
    <m/>
    <n v="0"/>
    <n v="0"/>
    <m/>
    <m/>
    <m/>
    <m/>
    <m/>
    <m/>
    <m/>
    <m/>
    <n v="0"/>
    <n v="0"/>
    <n v="0"/>
    <n v="12"/>
    <n v="12"/>
    <m/>
    <m/>
    <n v="0"/>
    <n v="113.86"/>
    <m/>
    <x v="22"/>
    <n v="55"/>
    <m/>
    <m/>
    <m/>
  </r>
  <r>
    <x v="1"/>
    <x v="2"/>
    <s v="7/11"/>
    <x v="209"/>
    <s v="سٹاک"/>
    <s v="PP"/>
    <n v="7"/>
    <n v="5"/>
    <s v="PP"/>
    <n v="1000"/>
    <s v="PP"/>
    <n v="2"/>
    <n v="67.56"/>
    <n v="1.4"/>
    <m/>
    <m/>
    <n v="66.16"/>
    <s v="966.09"/>
    <m/>
    <m/>
    <n v="120"/>
    <n v="120"/>
    <n v="2"/>
    <m/>
    <m/>
    <m/>
    <m/>
    <m/>
    <m/>
    <m/>
    <m/>
    <n v="0"/>
    <n v="0"/>
    <n v="2"/>
    <n v="10"/>
    <n v="12"/>
    <m/>
    <m/>
    <n v="0"/>
    <n v="72.56"/>
    <m/>
    <x v="22"/>
    <n v="55"/>
    <m/>
    <m/>
    <m/>
  </r>
  <r>
    <x v="1"/>
    <x v="2"/>
    <s v="7692/1"/>
    <x v="209"/>
    <s v="عظیم ٹوئز شاہ رعالم"/>
    <s v="PP"/>
    <n v="7"/>
    <s v="10"/>
    <s v="PP"/>
    <n v="75"/>
    <s v="PP"/>
    <n v="5"/>
    <n v="110.32"/>
    <n v="3.5"/>
    <m/>
    <m/>
    <n v="106.82"/>
    <s v="106.82"/>
    <m/>
    <m/>
    <m/>
    <n v="0"/>
    <n v="0"/>
    <m/>
    <m/>
    <m/>
    <m/>
    <m/>
    <m/>
    <m/>
    <m/>
    <n v="0"/>
    <n v="0"/>
    <n v="0"/>
    <n v="12"/>
    <n v="12"/>
    <m/>
    <m/>
    <n v="0"/>
    <n v="115.32"/>
    <m/>
    <x v="22"/>
    <n v="55"/>
    <m/>
    <m/>
    <m/>
  </r>
  <r>
    <x v="0"/>
    <x v="3"/>
    <s v="7667/1"/>
    <x v="209"/>
    <s v="بوٹا پلاسٹک اعظم مارکیٹ"/>
    <s v="PP"/>
    <n v="23"/>
    <s v="5-5.5"/>
    <s v="PP"/>
    <n v="500"/>
    <s v="PP"/>
    <n v="1"/>
    <n v="59.5"/>
    <n v="2.8"/>
    <m/>
    <m/>
    <n v="56.7"/>
    <s v="512.05999999999995"/>
    <n v="25"/>
    <n v="80"/>
    <m/>
    <n v="105"/>
    <n v="1.75"/>
    <m/>
    <m/>
    <m/>
    <m/>
    <m/>
    <m/>
    <n v="30"/>
    <m/>
    <n v="30"/>
    <n v="0.5"/>
    <n v="2.25"/>
    <n v="9.75"/>
    <n v="12"/>
    <m/>
    <m/>
    <n v="0"/>
    <n v="64.5"/>
    <m/>
    <x v="22"/>
    <n v="55"/>
    <m/>
    <m/>
    <m/>
  </r>
  <r>
    <x v="0"/>
    <x v="3"/>
    <s v="2781 F"/>
    <x v="209"/>
    <s v="Usman Amin"/>
    <s v="PP"/>
    <n v="18"/>
    <s v="7"/>
    <s v="PP"/>
    <n v="105"/>
    <s v="PP"/>
    <n v="3"/>
    <n v="140.55000000000001"/>
    <n v="6.6000000000000005"/>
    <m/>
    <m/>
    <n v="133.95000000000002"/>
    <s v="133.95000000000002"/>
    <n v="25"/>
    <m/>
    <m/>
    <n v="25"/>
    <n v="0.41666666666666674"/>
    <m/>
    <m/>
    <m/>
    <m/>
    <m/>
    <m/>
    <m/>
    <m/>
    <n v="0"/>
    <n v="0"/>
    <n v="0.41666666666666674"/>
    <n v="11.583333333333334"/>
    <n v="12"/>
    <m/>
    <m/>
    <n v="0"/>
    <n v="145.55000000000001"/>
    <m/>
    <x v="22"/>
    <n v="55"/>
    <m/>
    <m/>
    <m/>
  </r>
  <r>
    <x v="0"/>
    <x v="3"/>
    <s v="6657 J"/>
    <x v="209"/>
    <s v="Baber Sher C/O Al Fatah Bakers"/>
    <s v="PP"/>
    <n v="26"/>
    <s v="5-5.5"/>
    <s v="PP"/>
    <n v="150"/>
    <s v="PP"/>
    <n v="6"/>
    <n v="374.35"/>
    <n v="20.399999999999999"/>
    <m/>
    <m/>
    <n v="353.95000000000005"/>
    <s v="854.23"/>
    <m/>
    <m/>
    <m/>
    <n v="0"/>
    <n v="0"/>
    <m/>
    <m/>
    <m/>
    <m/>
    <m/>
    <m/>
    <m/>
    <m/>
    <n v="0"/>
    <n v="0"/>
    <n v="0"/>
    <n v="12"/>
    <n v="12"/>
    <m/>
    <m/>
    <n v="0"/>
    <n v="379.35"/>
    <m/>
    <x v="22"/>
    <n v="55"/>
    <m/>
    <m/>
    <m/>
  </r>
  <r>
    <x v="1"/>
    <x v="3"/>
    <s v="6567 J"/>
    <x v="209"/>
    <s v="Jilani Poly Stock"/>
    <s v="PP"/>
    <n v="18"/>
    <s v="5-5.5"/>
    <s v="PP"/>
    <s v="-"/>
    <s v="PP"/>
    <n v="13"/>
    <n v="773.91"/>
    <n v="23.400000000000002"/>
    <m/>
    <m/>
    <n v="750.51"/>
    <s v="3582.0800000000004"/>
    <m/>
    <m/>
    <n v="120"/>
    <n v="120"/>
    <n v="2"/>
    <m/>
    <m/>
    <m/>
    <m/>
    <m/>
    <m/>
    <m/>
    <m/>
    <n v="0"/>
    <n v="0"/>
    <n v="2"/>
    <n v="10"/>
    <n v="12"/>
    <m/>
    <m/>
    <n v="0"/>
    <n v="778.91"/>
    <m/>
    <x v="22"/>
    <n v="55"/>
    <m/>
    <m/>
    <m/>
  </r>
  <r>
    <x v="0"/>
    <x v="4"/>
    <s v="7671/1"/>
    <x v="209"/>
    <s v="امارات پلاسٹک چونگ"/>
    <s v="PP"/>
    <n v="12"/>
    <s v="4.5"/>
    <s v="PP"/>
    <n v="400"/>
    <s v="PP"/>
    <n v="6"/>
    <n v="303.74"/>
    <n v="9"/>
    <m/>
    <m/>
    <n v="294.74"/>
    <s v="498.06000000000006"/>
    <m/>
    <m/>
    <m/>
    <n v="0"/>
    <n v="0"/>
    <m/>
    <m/>
    <m/>
    <m/>
    <m/>
    <m/>
    <m/>
    <m/>
    <n v="0"/>
    <n v="0"/>
    <n v="0"/>
    <n v="12"/>
    <n v="12"/>
    <m/>
    <m/>
    <n v="0"/>
    <n v="308.74"/>
    <m/>
    <x v="22"/>
    <n v="55"/>
    <m/>
    <m/>
    <m/>
  </r>
  <r>
    <x v="0"/>
    <x v="4"/>
    <s v="7690/1"/>
    <x v="209"/>
    <s v="العمر پلاسٹک گوجرانوالہ"/>
    <s v="PP"/>
    <n v="12"/>
    <s v="6"/>
    <s v="PP"/>
    <n v="250"/>
    <s v="PP"/>
    <n v="2"/>
    <n v="114.68"/>
    <n v="3"/>
    <m/>
    <m/>
    <n v="111.68"/>
    <s v="259.82"/>
    <m/>
    <m/>
    <m/>
    <n v="0"/>
    <n v="0"/>
    <m/>
    <m/>
    <m/>
    <m/>
    <m/>
    <m/>
    <m/>
    <m/>
    <n v="0"/>
    <n v="0"/>
    <n v="0"/>
    <n v="12"/>
    <n v="12"/>
    <m/>
    <m/>
    <n v="0"/>
    <n v="119.68"/>
    <m/>
    <x v="22"/>
    <n v="55"/>
    <m/>
    <m/>
    <m/>
  </r>
  <r>
    <x v="0"/>
    <x v="4"/>
    <s v="2850/1"/>
    <x v="209"/>
    <s v="RMC PACK LHR"/>
    <s v="PP"/>
    <n v="12"/>
    <s v="5-5.5"/>
    <s v="PP"/>
    <n v="100"/>
    <s v="PP"/>
    <n v="2"/>
    <n v="112.14"/>
    <n v="3"/>
    <n v="1.5"/>
    <m/>
    <n v="109.14"/>
    <s v="109.14"/>
    <m/>
    <m/>
    <m/>
    <n v="0"/>
    <n v="0"/>
    <m/>
    <m/>
    <m/>
    <m/>
    <m/>
    <m/>
    <m/>
    <m/>
    <n v="0"/>
    <n v="0"/>
    <n v="0"/>
    <n v="12"/>
    <n v="12"/>
    <m/>
    <m/>
    <n v="0"/>
    <n v="117.14"/>
    <m/>
    <x v="22"/>
    <n v="55"/>
    <m/>
    <m/>
    <m/>
  </r>
  <r>
    <x v="1"/>
    <x v="4"/>
    <s v="7690/1"/>
    <x v="209"/>
    <s v="العمر پلاسٹک گوجرانوالہ"/>
    <s v="PP"/>
    <n v="12"/>
    <s v="6"/>
    <s v="PP"/>
    <n v="250"/>
    <s v="PP"/>
    <n v="4"/>
    <n v="152.94"/>
    <n v="4.8"/>
    <n v="1.5"/>
    <m/>
    <n v="148.13999999999999"/>
    <s v="259.82"/>
    <m/>
    <m/>
    <m/>
    <n v="0"/>
    <n v="0"/>
    <m/>
    <m/>
    <m/>
    <m/>
    <m/>
    <m/>
    <m/>
    <m/>
    <n v="0"/>
    <n v="0"/>
    <n v="0"/>
    <n v="12"/>
    <n v="12"/>
    <m/>
    <m/>
    <n v="0"/>
    <n v="157.94"/>
    <m/>
    <x v="22"/>
    <n v="55"/>
    <m/>
    <m/>
    <m/>
  </r>
  <r>
    <x v="1"/>
    <x v="4"/>
    <s v="7691/1"/>
    <x v="209"/>
    <s v="العمر پلاسٹک گوجرانوالہ"/>
    <s v="PP"/>
    <n v="12"/>
    <s v="10"/>
    <s v="PP"/>
    <n v="250"/>
    <s v="PP"/>
    <n v="10"/>
    <n v="272.35999999999996"/>
    <n v="13"/>
    <m/>
    <m/>
    <n v="259.35999999999996"/>
    <s v="259.35999999999996"/>
    <m/>
    <m/>
    <n v="120"/>
    <n v="120"/>
    <n v="2"/>
    <m/>
    <m/>
    <m/>
    <m/>
    <m/>
    <m/>
    <m/>
    <m/>
    <n v="0"/>
    <n v="0"/>
    <n v="2"/>
    <n v="10"/>
    <n v="12"/>
    <m/>
    <m/>
    <n v="0"/>
    <n v="277.35999999999996"/>
    <m/>
    <x v="22"/>
    <n v="55"/>
    <m/>
    <m/>
    <m/>
  </r>
  <r>
    <x v="2"/>
    <x v="6"/>
    <m/>
    <x v="210"/>
    <s v="A+B SHIFT ALL MACHINES OFF"/>
    <m/>
    <m/>
    <m/>
    <m/>
    <m/>
    <m/>
    <m/>
    <m/>
    <m/>
    <m/>
    <m/>
    <n v="0"/>
    <s v="0"/>
    <m/>
    <m/>
    <m/>
    <n v="0"/>
    <n v="0"/>
    <m/>
    <m/>
    <m/>
    <m/>
    <m/>
    <m/>
    <m/>
    <m/>
    <n v="0"/>
    <n v="0"/>
    <n v="0"/>
    <n v="12"/>
    <n v="12"/>
    <m/>
    <m/>
    <n v="0"/>
    <m/>
    <m/>
    <x v="0"/>
    <m/>
    <m/>
    <m/>
    <m/>
  </r>
  <r>
    <x v="0"/>
    <x v="0"/>
    <s v="2.5/10"/>
    <x v="211"/>
    <s v="سٹاک"/>
    <s v="PP"/>
    <n v="2.5"/>
    <s v="5.5-6"/>
    <s v="PP"/>
    <n v="1000"/>
    <s v="PP"/>
    <n v="8"/>
    <n v="115.27999999999999"/>
    <n v="2"/>
    <n v="40"/>
    <m/>
    <n v="113.27999999999999"/>
    <s v="1052.47"/>
    <m/>
    <n v="120"/>
    <m/>
    <n v="120"/>
    <n v="2"/>
    <m/>
    <m/>
    <m/>
    <m/>
    <m/>
    <m/>
    <m/>
    <m/>
    <n v="0"/>
    <n v="0"/>
    <n v="2"/>
    <n v="10"/>
    <n v="12"/>
    <m/>
    <m/>
    <n v="0"/>
    <n v="120.28"/>
    <m/>
    <x v="23"/>
    <n v="56"/>
    <m/>
    <m/>
    <m/>
  </r>
  <r>
    <x v="1"/>
    <x v="0"/>
    <s v="2.5/10"/>
    <x v="211"/>
    <s v="سٹاک"/>
    <s v="PP"/>
    <n v="2.5"/>
    <s v="5.5-6"/>
    <s v="PP"/>
    <n v="1000"/>
    <s v="PP"/>
    <n v="10"/>
    <n v="136.1"/>
    <n v="2.5"/>
    <n v="22"/>
    <m/>
    <n v="133.6"/>
    <s v="1052.47"/>
    <m/>
    <m/>
    <m/>
    <n v="0"/>
    <n v="0"/>
    <m/>
    <m/>
    <m/>
    <m/>
    <m/>
    <m/>
    <m/>
    <m/>
    <n v="0"/>
    <n v="0"/>
    <n v="0"/>
    <n v="12"/>
    <n v="12"/>
    <m/>
    <m/>
    <n v="0"/>
    <n v="141.1"/>
    <m/>
    <x v="23"/>
    <n v="56"/>
    <m/>
    <m/>
    <m/>
  </r>
  <r>
    <x v="0"/>
    <x v="1"/>
    <s v="4/15"/>
    <x v="211"/>
    <s v="سٹاک"/>
    <s v="PP"/>
    <n v="4"/>
    <s v="5-5.5"/>
    <s v="PP"/>
    <n v="1000"/>
    <s v="PP"/>
    <n v="9"/>
    <n v="147.18"/>
    <n v="3.6"/>
    <m/>
    <m/>
    <n v="143.58000000000001"/>
    <s v="966.98"/>
    <m/>
    <n v="120"/>
    <m/>
    <n v="120"/>
    <n v="2"/>
    <m/>
    <m/>
    <m/>
    <m/>
    <m/>
    <m/>
    <m/>
    <m/>
    <n v="0"/>
    <n v="0"/>
    <n v="2"/>
    <n v="10"/>
    <n v="12"/>
    <m/>
    <m/>
    <n v="0"/>
    <n v="152.18"/>
    <m/>
    <x v="23"/>
    <n v="56"/>
    <m/>
    <m/>
    <m/>
  </r>
  <r>
    <x v="1"/>
    <x v="1"/>
    <s v="4/15"/>
    <x v="211"/>
    <s v="سٹاک"/>
    <s v="PP"/>
    <n v="4"/>
    <s v="5-5.5"/>
    <s v="PP"/>
    <n v="1000"/>
    <s v="PP"/>
    <n v="11"/>
    <n v="177.75"/>
    <n v="4.4000000000000004"/>
    <m/>
    <m/>
    <n v="173.35"/>
    <s v="966.98"/>
    <m/>
    <m/>
    <m/>
    <n v="0"/>
    <n v="0"/>
    <m/>
    <m/>
    <m/>
    <m/>
    <m/>
    <m/>
    <m/>
    <m/>
    <n v="0"/>
    <n v="0"/>
    <n v="0"/>
    <n v="12"/>
    <n v="12"/>
    <m/>
    <m/>
    <n v="0"/>
    <n v="182.75"/>
    <m/>
    <x v="23"/>
    <n v="56"/>
    <m/>
    <m/>
    <m/>
  </r>
  <r>
    <x v="0"/>
    <x v="2"/>
    <s v="7/11"/>
    <x v="211"/>
    <s v="سٹاک"/>
    <s v="PP"/>
    <n v="7"/>
    <n v="5"/>
    <s v="PP"/>
    <n v="1000"/>
    <s v="PP"/>
    <n v="5"/>
    <n v="200.90999999999997"/>
    <n v="3.5"/>
    <m/>
    <m/>
    <n v="197.40999999999997"/>
    <s v="966.09"/>
    <m/>
    <n v="180"/>
    <m/>
    <n v="180"/>
    <n v="3"/>
    <m/>
    <m/>
    <m/>
    <m/>
    <m/>
    <m/>
    <m/>
    <m/>
    <n v="0"/>
    <n v="0"/>
    <n v="3"/>
    <n v="9"/>
    <n v="12"/>
    <m/>
    <m/>
    <n v="0"/>
    <n v="205.90999999999997"/>
    <m/>
    <x v="23"/>
    <n v="56"/>
    <m/>
    <m/>
    <m/>
  </r>
  <r>
    <x v="1"/>
    <x v="2"/>
    <s v="7/11"/>
    <x v="211"/>
    <s v="سٹاک"/>
    <s v="PP"/>
    <n v="7"/>
    <n v="5"/>
    <s v="PP"/>
    <n v="1000"/>
    <s v="PP"/>
    <n v="7"/>
    <n v="259.57"/>
    <n v="6.3"/>
    <m/>
    <m/>
    <n v="253.26999999999998"/>
    <s v="966.09"/>
    <m/>
    <m/>
    <m/>
    <n v="0"/>
    <n v="0"/>
    <m/>
    <m/>
    <m/>
    <m/>
    <m/>
    <m/>
    <m/>
    <m/>
    <n v="0"/>
    <n v="0"/>
    <n v="0"/>
    <n v="12"/>
    <n v="12"/>
    <m/>
    <m/>
    <n v="0"/>
    <n v="264.57"/>
    <m/>
    <x v="23"/>
    <n v="56"/>
    <m/>
    <m/>
    <m/>
  </r>
  <r>
    <x v="0"/>
    <x v="3"/>
    <s v="6567 J"/>
    <x v="211"/>
    <s v="Jilani Poly Stock"/>
    <s v="PP"/>
    <n v="18"/>
    <s v="5-5.5"/>
    <s v="PP"/>
    <s v="-"/>
    <s v="PP"/>
    <n v="8"/>
    <n v="318.77999999999997"/>
    <n v="24"/>
    <m/>
    <m/>
    <n v="294.77999999999997"/>
    <s v="3582.0800000000004"/>
    <n v="15"/>
    <m/>
    <m/>
    <n v="15"/>
    <n v="0.25"/>
    <m/>
    <m/>
    <m/>
    <m/>
    <m/>
    <m/>
    <m/>
    <m/>
    <n v="0"/>
    <n v="0"/>
    <n v="0.25"/>
    <n v="11.75"/>
    <n v="12"/>
    <m/>
    <m/>
    <n v="0"/>
    <n v="323.77999999999997"/>
    <m/>
    <x v="23"/>
    <n v="56"/>
    <m/>
    <m/>
    <m/>
  </r>
  <r>
    <x v="0"/>
    <x v="3"/>
    <s v="6729 J"/>
    <x v="211"/>
    <s v="Carefour Pakistan Ltd"/>
    <s v="PP"/>
    <s v="28&quot; شیٹ"/>
    <s v="4.5-5/9-10"/>
    <s v="PP"/>
    <n v="100"/>
    <s v="PP"/>
    <n v="2"/>
    <n v="76.92"/>
    <n v="5.6"/>
    <m/>
    <m/>
    <n v="71.320000000000007"/>
    <s v="435.25"/>
    <n v="15"/>
    <m/>
    <m/>
    <n v="15"/>
    <n v="0.25"/>
    <m/>
    <m/>
    <m/>
    <m/>
    <m/>
    <m/>
    <n v="30"/>
    <m/>
    <n v="30"/>
    <n v="0.5"/>
    <n v="0.75"/>
    <n v="11.25"/>
    <n v="12"/>
    <m/>
    <m/>
    <n v="0"/>
    <n v="81.92"/>
    <m/>
    <x v="23"/>
    <n v="56"/>
    <m/>
    <m/>
    <m/>
  </r>
  <r>
    <x v="0"/>
    <x v="3"/>
    <s v="6567 J"/>
    <x v="211"/>
    <s v="Jilani Poly Stock"/>
    <s v="PP"/>
    <n v="18"/>
    <s v="5-5.5"/>
    <s v="PP"/>
    <s v="-"/>
    <s v="PP"/>
    <n v="1"/>
    <n v="62.7"/>
    <n v="1.8"/>
    <m/>
    <m/>
    <n v="60.900000000000006"/>
    <s v="3582.0800000000004"/>
    <n v="15"/>
    <m/>
    <m/>
    <n v="15"/>
    <n v="0.25"/>
    <m/>
    <m/>
    <m/>
    <m/>
    <m/>
    <m/>
    <m/>
    <m/>
    <n v="0"/>
    <n v="0"/>
    <n v="0.25"/>
    <n v="11.75"/>
    <n v="12"/>
    <m/>
    <m/>
    <n v="0"/>
    <n v="67.7"/>
    <m/>
    <x v="23"/>
    <n v="56"/>
    <m/>
    <m/>
    <m/>
  </r>
  <r>
    <x v="1"/>
    <x v="3"/>
    <s v="6729 J"/>
    <x v="211"/>
    <s v="Carefour Pakistan Ltd"/>
    <s v="PP"/>
    <s v="28&quot; شیٹ"/>
    <s v="4.5-5/9-10"/>
    <s v="PP"/>
    <n v="100"/>
    <s v="PP"/>
    <n v="6"/>
    <n v="271.67"/>
    <n v="21"/>
    <m/>
    <m/>
    <n v="250.67000000000002"/>
    <s v="435.25"/>
    <m/>
    <m/>
    <m/>
    <n v="0"/>
    <n v="0"/>
    <m/>
    <m/>
    <m/>
    <m/>
    <m/>
    <m/>
    <m/>
    <m/>
    <n v="0"/>
    <n v="0"/>
    <n v="0"/>
    <n v="12"/>
    <n v="12"/>
    <m/>
    <m/>
    <n v="0"/>
    <n v="276.67"/>
    <m/>
    <x v="23"/>
    <n v="56"/>
    <m/>
    <m/>
    <m/>
  </r>
  <r>
    <x v="1"/>
    <x v="3"/>
    <s v="6567 J"/>
    <x v="211"/>
    <s v="Jilani Poly Stock"/>
    <s v="PP"/>
    <n v="18"/>
    <s v="5-5.5"/>
    <s v="PP"/>
    <s v="-"/>
    <s v="PP"/>
    <n v="9"/>
    <n v="506.5200000000001"/>
    <n v="19.8"/>
    <m/>
    <m/>
    <n v="486.72000000000008"/>
    <s v="3582.0800000000004"/>
    <n v="20"/>
    <m/>
    <m/>
    <n v="20"/>
    <n v="0.33333333333333331"/>
    <m/>
    <m/>
    <m/>
    <m/>
    <m/>
    <m/>
    <m/>
    <m/>
    <n v="0"/>
    <n v="0"/>
    <n v="0.33333333333333331"/>
    <n v="11.666666666666666"/>
    <n v="12"/>
    <m/>
    <m/>
    <n v="0"/>
    <n v="511.5200000000001"/>
    <m/>
    <x v="23"/>
    <n v="56"/>
    <m/>
    <m/>
    <m/>
  </r>
  <r>
    <x v="0"/>
    <x v="4"/>
    <s v="7690/4"/>
    <x v="211"/>
    <s v="العمر پلاسٹک گوجرانوالہ"/>
    <s v="PP"/>
    <n v="16"/>
    <s v="6"/>
    <s v="PP"/>
    <n v="1000"/>
    <s v="PP"/>
    <n v="3"/>
    <n v="158.03"/>
    <n v="6"/>
    <n v="1.5"/>
    <m/>
    <n v="152.03"/>
    <s v="956.46999999999991"/>
    <m/>
    <n v="210"/>
    <m/>
    <n v="210"/>
    <n v="3.5"/>
    <m/>
    <m/>
    <n v="120"/>
    <m/>
    <m/>
    <m/>
    <m/>
    <m/>
    <n v="120"/>
    <n v="2"/>
    <n v="5.5"/>
    <n v="6.5"/>
    <n v="12"/>
    <m/>
    <m/>
    <n v="0"/>
    <n v="163.03"/>
    <m/>
    <x v="23"/>
    <n v="56"/>
    <m/>
    <m/>
    <m/>
  </r>
  <r>
    <x v="1"/>
    <x v="4"/>
    <s v="7690/4"/>
    <x v="211"/>
    <s v="العمر پلاسٹک گوجرانوالہ"/>
    <s v="PP"/>
    <n v="16"/>
    <s v="6"/>
    <s v="PP"/>
    <n v="1000"/>
    <s v="PP"/>
    <n v="7"/>
    <n v="481.13999999999993"/>
    <n v="14"/>
    <n v="1.5"/>
    <m/>
    <n v="467.13999999999993"/>
    <s v="956.46999999999991"/>
    <m/>
    <m/>
    <m/>
    <n v="0"/>
    <n v="0"/>
    <m/>
    <m/>
    <m/>
    <m/>
    <m/>
    <m/>
    <m/>
    <m/>
    <n v="0"/>
    <n v="0"/>
    <n v="0"/>
    <n v="12"/>
    <n v="12"/>
    <m/>
    <m/>
    <n v="0"/>
    <n v="486.13999999999993"/>
    <m/>
    <x v="23"/>
    <n v="56"/>
    <m/>
    <m/>
    <m/>
  </r>
  <r>
    <x v="0"/>
    <x v="0"/>
    <s v="2.5/10"/>
    <x v="212"/>
    <s v="سٹاک"/>
    <s v="PP"/>
    <n v="2.5"/>
    <s v="5.5-6"/>
    <s v="PP"/>
    <n v="1000"/>
    <s v="PP"/>
    <n v="8"/>
    <n v="111.25999999999999"/>
    <n v="2"/>
    <m/>
    <m/>
    <n v="109.25999999999999"/>
    <s v="1052.47"/>
    <m/>
    <m/>
    <n v="240"/>
    <n v="240"/>
    <n v="4"/>
    <m/>
    <m/>
    <m/>
    <m/>
    <m/>
    <m/>
    <m/>
    <m/>
    <n v="0"/>
    <n v="0"/>
    <n v="4"/>
    <n v="8"/>
    <n v="12"/>
    <m/>
    <m/>
    <n v="0"/>
    <n v="116.26"/>
    <m/>
    <x v="23"/>
    <n v="56"/>
    <m/>
    <m/>
    <m/>
  </r>
  <r>
    <x v="0"/>
    <x v="1"/>
    <s v="4/15"/>
    <x v="212"/>
    <s v="سٹاک"/>
    <s v="PP"/>
    <n v="4"/>
    <s v="5-5.5"/>
    <s v="PP"/>
    <n v="1000"/>
    <s v="PP"/>
    <n v="6"/>
    <n v="89.79"/>
    <n v="2.4000000000000004"/>
    <m/>
    <m/>
    <n v="87.39"/>
    <s v="966.98"/>
    <n v="25"/>
    <m/>
    <m/>
    <n v="25"/>
    <n v="0.41666666666666674"/>
    <m/>
    <m/>
    <m/>
    <m/>
    <m/>
    <m/>
    <m/>
    <m/>
    <n v="0"/>
    <n v="0"/>
    <n v="0.41666666666666674"/>
    <n v="11.583333333333334"/>
    <n v="12"/>
    <m/>
    <m/>
    <n v="0"/>
    <n v="94.79"/>
    <m/>
    <x v="23"/>
    <n v="56"/>
    <m/>
    <m/>
    <m/>
  </r>
  <r>
    <x v="0"/>
    <x v="1"/>
    <s v="3/13"/>
    <x v="212"/>
    <s v="سٹاک"/>
    <s v="PP"/>
    <n v="3"/>
    <s v="5.5-6"/>
    <s v="PP"/>
    <n v="1000"/>
    <s v="PP"/>
    <n v="4"/>
    <n v="51.21"/>
    <n v="1.2"/>
    <m/>
    <m/>
    <n v="50.01"/>
    <s v="1045.8999999999999"/>
    <m/>
    <m/>
    <m/>
    <n v="0"/>
    <n v="0"/>
    <m/>
    <m/>
    <m/>
    <m/>
    <m/>
    <m/>
    <m/>
    <m/>
    <n v="0"/>
    <n v="0"/>
    <n v="0"/>
    <n v="12"/>
    <n v="12"/>
    <m/>
    <m/>
    <n v="0"/>
    <n v="56.21"/>
    <m/>
    <x v="23"/>
    <n v="56"/>
    <m/>
    <m/>
    <m/>
  </r>
  <r>
    <x v="1"/>
    <x v="1"/>
    <s v="3/13"/>
    <x v="212"/>
    <s v="سٹاک"/>
    <s v="PP"/>
    <n v="3"/>
    <s v="5.5-6"/>
    <s v="PP"/>
    <n v="1000"/>
    <s v="PP"/>
    <n v="9"/>
    <n v="119.67"/>
    <n v="2.6999999999999997"/>
    <m/>
    <m/>
    <n v="116.97"/>
    <s v="1045.8999999999999"/>
    <m/>
    <m/>
    <m/>
    <n v="0"/>
    <n v="0"/>
    <m/>
    <m/>
    <m/>
    <m/>
    <m/>
    <m/>
    <m/>
    <m/>
    <n v="0"/>
    <n v="0"/>
    <n v="0"/>
    <n v="12"/>
    <n v="12"/>
    <m/>
    <m/>
    <n v="0"/>
    <n v="124.67"/>
    <m/>
    <x v="23"/>
    <n v="56"/>
    <m/>
    <m/>
    <m/>
  </r>
  <r>
    <x v="0"/>
    <x v="2"/>
    <s v="7/11"/>
    <x v="212"/>
    <s v="سٹاک"/>
    <s v="PP"/>
    <n v="7"/>
    <n v="5"/>
    <s v="PP"/>
    <n v="1000"/>
    <s v="PP"/>
    <n v="5"/>
    <n v="220.11"/>
    <n v="3.5"/>
    <m/>
    <m/>
    <n v="216.61"/>
    <s v="966.09"/>
    <m/>
    <m/>
    <n v="180"/>
    <n v="180"/>
    <n v="3"/>
    <m/>
    <m/>
    <m/>
    <m/>
    <m/>
    <m/>
    <m/>
    <m/>
    <n v="0"/>
    <n v="0"/>
    <n v="3"/>
    <n v="9"/>
    <n v="12"/>
    <m/>
    <m/>
    <n v="0"/>
    <n v="225.11"/>
    <m/>
    <x v="23"/>
    <n v="56"/>
    <m/>
    <m/>
    <m/>
  </r>
  <r>
    <x v="0"/>
    <x v="3"/>
    <s v="6567 J"/>
    <x v="212"/>
    <s v="Jilani Poly Stock"/>
    <s v="PP"/>
    <n v="18"/>
    <s v="5-5.5"/>
    <s v="PP"/>
    <s v="-"/>
    <s v="PP"/>
    <n v="5"/>
    <n v="314.46000000000004"/>
    <n v="9"/>
    <m/>
    <m/>
    <n v="305.46000000000004"/>
    <s v="3582.0800000000004"/>
    <m/>
    <m/>
    <m/>
    <n v="0"/>
    <n v="0"/>
    <m/>
    <m/>
    <m/>
    <m/>
    <m/>
    <m/>
    <m/>
    <m/>
    <n v="0"/>
    <n v="0"/>
    <n v="0"/>
    <n v="12"/>
    <n v="12"/>
    <m/>
    <m/>
    <n v="0"/>
    <n v="319.46000000000004"/>
    <m/>
    <x v="23"/>
    <n v="56"/>
    <m/>
    <m/>
    <m/>
  </r>
  <r>
    <x v="0"/>
    <x v="3"/>
    <s v="7696/1"/>
    <x v="212"/>
    <s v="رفیق پلاسٹک اوکاڑہ"/>
    <s v="PP"/>
    <n v="18"/>
    <s v="4.5"/>
    <s v="PP"/>
    <n v="100"/>
    <s v="PP"/>
    <n v="4"/>
    <n v="189.54000000000002"/>
    <n v="7.2"/>
    <m/>
    <m/>
    <n v="182.34000000000003"/>
    <s v="261.76000000000005"/>
    <m/>
    <m/>
    <m/>
    <n v="0"/>
    <n v="0"/>
    <m/>
    <m/>
    <m/>
    <m/>
    <m/>
    <m/>
    <m/>
    <m/>
    <n v="0"/>
    <n v="0"/>
    <n v="0"/>
    <n v="12"/>
    <n v="12"/>
    <m/>
    <m/>
    <n v="0"/>
    <n v="194.54"/>
    <m/>
    <x v="23"/>
    <n v="56"/>
    <m/>
    <m/>
    <m/>
  </r>
  <r>
    <x v="0"/>
    <x v="3"/>
    <s v="7690/5"/>
    <x v="212"/>
    <s v="العمر پلاسٹک گوجرانوالہ"/>
    <s v="PP"/>
    <n v="18"/>
    <s v="6"/>
    <s v="PP"/>
    <n v="500"/>
    <s v="PP"/>
    <n v="2"/>
    <n v="122.66"/>
    <n v="3.6"/>
    <m/>
    <m/>
    <n v="119.06"/>
    <s v="810.65999999999985"/>
    <m/>
    <m/>
    <m/>
    <n v="0"/>
    <n v="0"/>
    <m/>
    <m/>
    <m/>
    <m/>
    <m/>
    <m/>
    <m/>
    <m/>
    <n v="0"/>
    <n v="0"/>
    <n v="0"/>
    <n v="12"/>
    <n v="12"/>
    <m/>
    <m/>
    <n v="0"/>
    <n v="127.66"/>
    <m/>
    <x v="23"/>
    <n v="56"/>
    <m/>
    <m/>
    <m/>
  </r>
  <r>
    <x v="0"/>
    <x v="3"/>
    <s v="7688/6"/>
    <x v="212"/>
    <s v="رفیق پلاسٹک اوکاڑہ"/>
    <s v="PP"/>
    <n v="18"/>
    <s v="4-4.5"/>
    <s v="PP"/>
    <n v="50"/>
    <s v="PP"/>
    <n v="1"/>
    <n v="47.29"/>
    <n v="1.8"/>
    <m/>
    <m/>
    <n v="45.49"/>
    <s v="45.49"/>
    <m/>
    <m/>
    <m/>
    <n v="0"/>
    <n v="0"/>
    <m/>
    <m/>
    <m/>
    <m/>
    <m/>
    <m/>
    <m/>
    <m/>
    <n v="0"/>
    <n v="0"/>
    <n v="0"/>
    <n v="12"/>
    <n v="12"/>
    <m/>
    <m/>
    <n v="0"/>
    <n v="52.29"/>
    <m/>
    <x v="23"/>
    <n v="56"/>
    <m/>
    <m/>
    <m/>
  </r>
  <r>
    <x v="0"/>
    <x v="3"/>
    <s v="7696/1"/>
    <x v="212"/>
    <s v="رفیق پلاسٹک اوکاڑہ"/>
    <s v="PP"/>
    <n v="18"/>
    <s v="4.5"/>
    <s v="PP"/>
    <n v="100"/>
    <s v="PP"/>
    <n v="2"/>
    <n v="83.02000000000001"/>
    <n v="3.6"/>
    <n v="20"/>
    <m/>
    <n v="79.420000000000016"/>
    <s v="261.76000000000005"/>
    <m/>
    <m/>
    <m/>
    <n v="0"/>
    <n v="0"/>
    <m/>
    <m/>
    <m/>
    <m/>
    <m/>
    <m/>
    <m/>
    <m/>
    <n v="0"/>
    <n v="0"/>
    <n v="0"/>
    <n v="12"/>
    <n v="12"/>
    <m/>
    <m/>
    <n v="0"/>
    <n v="88.02000000000001"/>
    <m/>
    <x v="23"/>
    <n v="56"/>
    <m/>
    <m/>
    <m/>
  </r>
  <r>
    <x v="1"/>
    <x v="3"/>
    <s v="7690/5"/>
    <x v="212"/>
    <s v="العمر پلاسٹک گوجرانوالہ"/>
    <s v="PP"/>
    <n v="18"/>
    <s v="6"/>
    <s v="PP"/>
    <n v="500"/>
    <s v="PP"/>
    <n v="14"/>
    <n v="719.59999999999991"/>
    <n v="28"/>
    <n v="7"/>
    <m/>
    <n v="691.59999999999991"/>
    <s v="810.65999999999985"/>
    <m/>
    <m/>
    <m/>
    <n v="0"/>
    <n v="0"/>
    <m/>
    <m/>
    <m/>
    <m/>
    <m/>
    <m/>
    <m/>
    <m/>
    <n v="0"/>
    <n v="0"/>
    <n v="0"/>
    <n v="12"/>
    <n v="12"/>
    <m/>
    <m/>
    <n v="0"/>
    <n v="724.5999999999998"/>
    <m/>
    <x v="23"/>
    <n v="56"/>
    <m/>
    <m/>
    <m/>
  </r>
  <r>
    <x v="1"/>
    <x v="3"/>
    <s v="7695/1"/>
    <x v="212"/>
    <s v="ہیڈ افس لاہور"/>
    <s v="PP"/>
    <n v="18"/>
    <s v="7"/>
    <s v="PP"/>
    <n v="50"/>
    <s v="PP"/>
    <n v="1"/>
    <n v="55.89"/>
    <n v="1.8"/>
    <m/>
    <m/>
    <n v="54.09"/>
    <s v="54.09"/>
    <m/>
    <m/>
    <m/>
    <n v="0"/>
    <n v="0"/>
    <m/>
    <m/>
    <m/>
    <m/>
    <m/>
    <m/>
    <m/>
    <m/>
    <n v="0"/>
    <n v="0"/>
    <n v="0"/>
    <n v="12"/>
    <n v="12"/>
    <m/>
    <m/>
    <n v="0"/>
    <n v="60.89"/>
    <m/>
    <x v="23"/>
    <n v="56"/>
    <m/>
    <m/>
    <m/>
  </r>
  <r>
    <x v="1"/>
    <x v="3"/>
    <s v="7691/6"/>
    <x v="212"/>
    <s v="العمر پلاسٹک گوجرانوالہ"/>
    <s v="PP"/>
    <n v="18"/>
    <s v="10"/>
    <s v="PP"/>
    <n v="150"/>
    <s v="PP"/>
    <n v="2"/>
    <n v="81.789999999999992"/>
    <n v="3.4"/>
    <m/>
    <m/>
    <n v="78.389999999999986"/>
    <s v="168.81"/>
    <m/>
    <m/>
    <m/>
    <n v="0"/>
    <n v="0"/>
    <m/>
    <m/>
    <m/>
    <m/>
    <m/>
    <m/>
    <m/>
    <m/>
    <n v="0"/>
    <n v="0"/>
    <n v="0"/>
    <n v="12"/>
    <n v="12"/>
    <m/>
    <m/>
    <n v="0"/>
    <n v="86.79"/>
    <m/>
    <x v="23"/>
    <n v="56"/>
    <m/>
    <m/>
    <m/>
  </r>
  <r>
    <x v="0"/>
    <x v="4"/>
    <s v="7690/4"/>
    <x v="212"/>
    <s v="العمر پلاسٹک گوجرانوالہ"/>
    <s v="PP"/>
    <n v="16"/>
    <s v="6"/>
    <s v="PP"/>
    <n v="1000"/>
    <s v="PP"/>
    <n v="5"/>
    <n v="307.37"/>
    <n v="8"/>
    <m/>
    <m/>
    <n v="299.37"/>
    <s v="956.46999999999991"/>
    <m/>
    <m/>
    <m/>
    <n v="0"/>
    <n v="0"/>
    <m/>
    <m/>
    <m/>
    <m/>
    <m/>
    <m/>
    <m/>
    <m/>
    <n v="0"/>
    <n v="0"/>
    <n v="0"/>
    <n v="12"/>
    <n v="12"/>
    <m/>
    <m/>
    <n v="0"/>
    <n v="312.37"/>
    <m/>
    <x v="23"/>
    <n v="56"/>
    <m/>
    <m/>
    <m/>
  </r>
  <r>
    <x v="0"/>
    <x v="4"/>
    <s v="7691/3"/>
    <x v="212"/>
    <s v="العمر پلاسٹک گوجرانوالہ"/>
    <s v="PP"/>
    <n v="16"/>
    <s v="10"/>
    <s v="PP"/>
    <n v="250"/>
    <s v="PP"/>
    <n v="6"/>
    <n v="250.18"/>
    <n v="9.6000000000000014"/>
    <n v="2"/>
    <m/>
    <n v="240.58"/>
    <s v="240.58"/>
    <n v="25"/>
    <m/>
    <m/>
    <n v="25"/>
    <n v="0.41666666666666674"/>
    <m/>
    <m/>
    <m/>
    <m/>
    <m/>
    <m/>
    <m/>
    <m/>
    <n v="0"/>
    <n v="0"/>
    <n v="0.41666666666666674"/>
    <n v="11.583333333333334"/>
    <n v="12"/>
    <m/>
    <m/>
    <n v="0"/>
    <n v="255.18"/>
    <m/>
    <x v="23"/>
    <n v="56"/>
    <m/>
    <m/>
    <m/>
  </r>
  <r>
    <x v="1"/>
    <x v="4"/>
    <s v="2850/2"/>
    <x v="212"/>
    <s v="ZAMEENDAR FOOD"/>
    <s v="PP"/>
    <n v="17"/>
    <s v="5-5.5"/>
    <s v="PP"/>
    <n v="1500"/>
    <s v="PP"/>
    <n v="10"/>
    <n v="554.22"/>
    <n v="17"/>
    <n v="2"/>
    <m/>
    <n v="537.22"/>
    <s v="3232.4"/>
    <m/>
    <m/>
    <m/>
    <n v="0"/>
    <n v="0"/>
    <m/>
    <m/>
    <m/>
    <m/>
    <m/>
    <m/>
    <m/>
    <m/>
    <n v="0"/>
    <n v="0"/>
    <n v="0"/>
    <n v="12"/>
    <n v="12"/>
    <m/>
    <m/>
    <n v="0"/>
    <n v="559.22"/>
    <m/>
    <x v="23"/>
    <n v="56"/>
    <m/>
    <m/>
    <m/>
  </r>
  <r>
    <x v="0"/>
    <x v="1"/>
    <s v="3/13"/>
    <x v="213"/>
    <s v="سٹاک"/>
    <s v="PP"/>
    <n v="3"/>
    <s v="5.5-6"/>
    <s v="PP"/>
    <n v="1000"/>
    <s v="PP"/>
    <n v="9"/>
    <n v="114.55"/>
    <n v="2.6999999999999997"/>
    <m/>
    <m/>
    <n v="111.85"/>
    <s v="1045.8999999999999"/>
    <m/>
    <m/>
    <m/>
    <n v="0"/>
    <n v="0"/>
    <m/>
    <m/>
    <m/>
    <m/>
    <m/>
    <m/>
    <m/>
    <m/>
    <n v="0"/>
    <n v="0"/>
    <n v="0"/>
    <n v="12"/>
    <n v="12"/>
    <m/>
    <m/>
    <n v="0"/>
    <n v="119.55"/>
    <m/>
    <x v="23"/>
    <n v="56"/>
    <m/>
    <m/>
    <m/>
  </r>
  <r>
    <x v="1"/>
    <x v="1"/>
    <s v="3/13"/>
    <x v="213"/>
    <s v="سٹاک"/>
    <s v="PP"/>
    <n v="3"/>
    <s v="5.5-6"/>
    <s v="PP"/>
    <n v="1000"/>
    <s v="PP"/>
    <n v="10"/>
    <n v="142.74"/>
    <n v="3"/>
    <m/>
    <m/>
    <n v="139.74"/>
    <s v="1045.8999999999999"/>
    <m/>
    <m/>
    <m/>
    <n v="0"/>
    <n v="0"/>
    <m/>
    <m/>
    <m/>
    <m/>
    <m/>
    <m/>
    <m/>
    <m/>
    <n v="0"/>
    <n v="0"/>
    <n v="0"/>
    <n v="12"/>
    <n v="12"/>
    <m/>
    <m/>
    <n v="0"/>
    <n v="147.74"/>
    <m/>
    <x v="23"/>
    <n v="56"/>
    <m/>
    <m/>
    <m/>
  </r>
  <r>
    <x v="0"/>
    <x v="3"/>
    <s v="7691/6"/>
    <x v="213"/>
    <s v="العمر پلاسٹک گوجرانوالہ"/>
    <s v="PP"/>
    <n v="18"/>
    <s v="10"/>
    <s v="PP"/>
    <n v="150"/>
    <s v="PP"/>
    <n v="2"/>
    <n v="94.02000000000001"/>
    <n v="3.6"/>
    <m/>
    <m/>
    <n v="90.420000000000016"/>
    <s v="168.81"/>
    <m/>
    <m/>
    <m/>
    <n v="0"/>
    <n v="0"/>
    <m/>
    <m/>
    <m/>
    <m/>
    <m/>
    <m/>
    <m/>
    <m/>
    <n v="0"/>
    <n v="0"/>
    <n v="0"/>
    <n v="12"/>
    <n v="12"/>
    <m/>
    <m/>
    <n v="0"/>
    <n v="99.02"/>
    <m/>
    <x v="23"/>
    <n v="56"/>
    <m/>
    <m/>
    <m/>
  </r>
  <r>
    <x v="0"/>
    <x v="3"/>
    <s v="7691/4"/>
    <x v="213"/>
    <s v="العمر پلاسٹک گوجرانوالہ"/>
    <s v="PP"/>
    <n v="24"/>
    <s v="10"/>
    <s v="PP"/>
    <n v="100"/>
    <s v="PP"/>
    <n v="2"/>
    <n v="107.28"/>
    <n v="4.8"/>
    <m/>
    <m/>
    <n v="102.48"/>
    <s v="102.48"/>
    <m/>
    <m/>
    <m/>
    <n v="0"/>
    <n v="0"/>
    <m/>
    <m/>
    <m/>
    <m/>
    <m/>
    <m/>
    <m/>
    <m/>
    <n v="0"/>
    <n v="0"/>
    <n v="0"/>
    <n v="12"/>
    <n v="12"/>
    <m/>
    <m/>
    <n v="0"/>
    <n v="112.28"/>
    <m/>
    <x v="23"/>
    <n v="56"/>
    <m/>
    <m/>
    <m/>
  </r>
  <r>
    <x v="0"/>
    <x v="3"/>
    <s v="6779 J"/>
    <x v="213"/>
    <s v="Usman Arif Butt Gujranwala"/>
    <s v="PP"/>
    <n v="24"/>
    <n v="10"/>
    <s v="PP"/>
    <n v="210"/>
    <s v="PP"/>
    <n v="2"/>
    <n v="119.93"/>
    <n v="4.8"/>
    <m/>
    <m/>
    <n v="115.13000000000001"/>
    <s v="222.18"/>
    <n v="25"/>
    <m/>
    <m/>
    <n v="25"/>
    <n v="0.41666666666666674"/>
    <m/>
    <m/>
    <m/>
    <m/>
    <m/>
    <m/>
    <m/>
    <m/>
    <n v="0"/>
    <n v="0"/>
    <n v="0.41666666666666674"/>
    <n v="11.583333333333334"/>
    <n v="12"/>
    <m/>
    <m/>
    <n v="0"/>
    <n v="124.93"/>
    <m/>
    <x v="23"/>
    <n v="56"/>
    <m/>
    <m/>
    <m/>
  </r>
  <r>
    <x v="0"/>
    <x v="3"/>
    <s v="7671/2"/>
    <x v="213"/>
    <s v="امارات پلاسٹک چونگ"/>
    <s v="PP"/>
    <n v="24"/>
    <s v="4.5"/>
    <s v="PP"/>
    <n v="200"/>
    <s v="PP"/>
    <n v="7"/>
    <n v="431.95"/>
    <n v="16.8"/>
    <n v="48"/>
    <m/>
    <n v="415.15"/>
    <s v="415.15"/>
    <m/>
    <m/>
    <m/>
    <n v="0"/>
    <n v="0"/>
    <m/>
    <m/>
    <m/>
    <m/>
    <m/>
    <m/>
    <m/>
    <m/>
    <n v="0"/>
    <n v="0"/>
    <n v="0"/>
    <n v="12"/>
    <n v="12"/>
    <m/>
    <m/>
    <n v="0"/>
    <n v="436.95"/>
    <m/>
    <x v="23"/>
    <n v="56"/>
    <m/>
    <m/>
    <m/>
  </r>
  <r>
    <x v="1"/>
    <x v="3"/>
    <s v="6779 J"/>
    <x v="213"/>
    <s v="Usman Arif Butt Gujranwala"/>
    <s v="PP"/>
    <n v="24"/>
    <n v="10"/>
    <s v="PP"/>
    <n v="210"/>
    <s v="PP"/>
    <n v="2"/>
    <n v="112.9"/>
    <n v="5.85"/>
    <n v="15"/>
    <m/>
    <n v="107.05000000000001"/>
    <s v="222.18"/>
    <m/>
    <m/>
    <m/>
    <n v="0"/>
    <n v="0"/>
    <m/>
    <m/>
    <m/>
    <m/>
    <m/>
    <m/>
    <m/>
    <m/>
    <n v="0"/>
    <n v="0"/>
    <n v="0"/>
    <n v="12"/>
    <n v="12"/>
    <m/>
    <m/>
    <n v="0"/>
    <n v="117.9"/>
    <m/>
    <x v="23"/>
    <n v="56"/>
    <m/>
    <m/>
    <m/>
  </r>
  <r>
    <x v="1"/>
    <x v="3"/>
    <s v="6570 J"/>
    <x v="213"/>
    <s v="Jilani Poly Stock"/>
    <s v="PP"/>
    <n v="28"/>
    <s v="5-5.5"/>
    <s v="PP"/>
    <s v="-"/>
    <s v="PP"/>
    <n v="9"/>
    <n v="602.04"/>
    <n v="31.5"/>
    <m/>
    <m/>
    <n v="570.54"/>
    <s v="2898.7700000000004"/>
    <n v="25"/>
    <m/>
    <m/>
    <n v="25"/>
    <n v="0.41666666666666674"/>
    <m/>
    <m/>
    <m/>
    <m/>
    <m/>
    <m/>
    <m/>
    <m/>
    <n v="0"/>
    <n v="0"/>
    <n v="0.41666666666666674"/>
    <n v="11.583333333333334"/>
    <n v="12"/>
    <m/>
    <m/>
    <n v="0"/>
    <n v="607.04"/>
    <m/>
    <x v="23"/>
    <n v="56"/>
    <m/>
    <m/>
    <m/>
  </r>
  <r>
    <x v="0"/>
    <x v="4"/>
    <s v="2850/2"/>
    <x v="213"/>
    <s v="ZAMEENDAR FOOD"/>
    <s v="PP"/>
    <n v="17"/>
    <s v="5-5.5"/>
    <s v="PP"/>
    <n v="1500"/>
    <s v="PP"/>
    <n v="8"/>
    <n v="471.53000000000003"/>
    <n v="13.6"/>
    <n v="2.5"/>
    <m/>
    <n v="457.93"/>
    <s v="3232.4"/>
    <m/>
    <m/>
    <m/>
    <n v="0"/>
    <n v="0"/>
    <m/>
    <m/>
    <m/>
    <m/>
    <m/>
    <m/>
    <n v="40"/>
    <m/>
    <n v="40"/>
    <n v="0.66666666666666663"/>
    <n v="0.66666666666666663"/>
    <n v="11.333333333333334"/>
    <n v="12"/>
    <m/>
    <m/>
    <n v="0"/>
    <n v="476.53"/>
    <m/>
    <x v="23"/>
    <n v="56"/>
    <m/>
    <m/>
    <m/>
  </r>
  <r>
    <x v="1"/>
    <x v="4"/>
    <s v="2850/2"/>
    <x v="213"/>
    <s v="ZAMEENDAR FOOD"/>
    <s v="PP"/>
    <n v="17"/>
    <s v="5-5.5"/>
    <s v="PP"/>
    <n v="1500"/>
    <s v="PP"/>
    <n v="9"/>
    <n v="592.79"/>
    <n v="17.099999999999998"/>
    <n v="2.5"/>
    <m/>
    <n v="575.68999999999994"/>
    <s v="3232.4"/>
    <m/>
    <m/>
    <m/>
    <n v="0"/>
    <n v="0"/>
    <m/>
    <m/>
    <m/>
    <m/>
    <m/>
    <m/>
    <m/>
    <m/>
    <n v="0"/>
    <n v="0"/>
    <n v="0"/>
    <n v="12"/>
    <n v="12"/>
    <m/>
    <m/>
    <n v="0"/>
    <n v="597.79"/>
    <m/>
    <x v="23"/>
    <n v="56"/>
    <m/>
    <m/>
    <m/>
  </r>
  <r>
    <x v="0"/>
    <x v="1"/>
    <s v="3/13"/>
    <x v="214"/>
    <s v="سٹاک"/>
    <s v="PP"/>
    <n v="3"/>
    <s v="5.5-6"/>
    <s v="PP"/>
    <n v="1000"/>
    <s v="PP"/>
    <n v="9"/>
    <n v="108.69000000000001"/>
    <n v="2.6999999999999997"/>
    <m/>
    <m/>
    <n v="105.99000000000001"/>
    <s v="1045.8999999999999"/>
    <m/>
    <m/>
    <m/>
    <n v="0"/>
    <n v="0"/>
    <m/>
    <m/>
    <m/>
    <m/>
    <m/>
    <m/>
    <m/>
    <m/>
    <n v="0"/>
    <n v="0"/>
    <n v="0"/>
    <n v="12"/>
    <n v="12"/>
    <m/>
    <m/>
    <n v="0"/>
    <n v="113.69"/>
    <m/>
    <x v="23"/>
    <n v="56"/>
    <m/>
    <m/>
    <m/>
  </r>
  <r>
    <x v="0"/>
    <x v="1"/>
    <s v="7688/2"/>
    <x v="214"/>
    <s v="رفیق پلاسٹک اوکاڑہ"/>
    <s v="PP"/>
    <n v="6"/>
    <s v="4-4.5"/>
    <s v="PP"/>
    <n v="100"/>
    <s v="PP"/>
    <n v="1"/>
    <n v="21.12"/>
    <n v="0.6"/>
    <n v="20"/>
    <m/>
    <n v="20.52"/>
    <s v="104.53"/>
    <n v="15"/>
    <m/>
    <m/>
    <n v="15"/>
    <n v="0.25"/>
    <m/>
    <m/>
    <m/>
    <m/>
    <m/>
    <m/>
    <m/>
    <m/>
    <n v="0"/>
    <n v="0"/>
    <n v="0.25"/>
    <n v="11.75"/>
    <n v="12"/>
    <m/>
    <m/>
    <n v="0"/>
    <n v="26.12"/>
    <m/>
    <x v="23"/>
    <n v="56"/>
    <m/>
    <m/>
    <m/>
  </r>
  <r>
    <x v="1"/>
    <x v="1"/>
    <s v="7688/2"/>
    <x v="214"/>
    <s v="رفیق پلاسٹک اوکاڑہ"/>
    <s v="PP"/>
    <n v="6"/>
    <s v="4-4.5"/>
    <s v="PP"/>
    <n v="100"/>
    <s v="PP"/>
    <n v="7"/>
    <n v="88.210000000000008"/>
    <n v="4.2"/>
    <n v="22"/>
    <m/>
    <n v="84.01"/>
    <s v="104.53"/>
    <n v="15"/>
    <m/>
    <m/>
    <n v="15"/>
    <n v="0.25"/>
    <m/>
    <m/>
    <m/>
    <m/>
    <m/>
    <m/>
    <m/>
    <m/>
    <n v="0"/>
    <n v="0"/>
    <n v="0.25"/>
    <n v="11.75"/>
    <n v="12"/>
    <m/>
    <m/>
    <n v="0"/>
    <n v="93.21"/>
    <m/>
    <x v="23"/>
    <n v="56"/>
    <m/>
    <m/>
    <m/>
  </r>
  <r>
    <x v="1"/>
    <x v="1"/>
    <s v="2.5/11"/>
    <x v="214"/>
    <s v="سٹاک"/>
    <s v="PP"/>
    <n v="2.5"/>
    <s v="5.5-6"/>
    <s v="PP"/>
    <s v="15 رول بیگ"/>
    <s v="PP"/>
    <n v="2"/>
    <n v="39.299999999999997"/>
    <n v="0.5"/>
    <m/>
    <m/>
    <n v="38.799999999999997"/>
    <s v="711.25"/>
    <m/>
    <m/>
    <m/>
    <n v="0"/>
    <n v="0"/>
    <m/>
    <m/>
    <m/>
    <m/>
    <m/>
    <m/>
    <m/>
    <m/>
    <n v="0"/>
    <n v="0"/>
    <n v="0"/>
    <n v="12"/>
    <n v="12"/>
    <m/>
    <m/>
    <n v="0"/>
    <n v="44.3"/>
    <m/>
    <x v="23"/>
    <n v="56"/>
    <m/>
    <m/>
    <m/>
  </r>
  <r>
    <x v="0"/>
    <x v="3"/>
    <s v="6570 J"/>
    <x v="214"/>
    <s v="Jilani Poly Stock"/>
    <s v="PP"/>
    <n v="28"/>
    <s v="5-5.5"/>
    <s v="PP"/>
    <s v="-"/>
    <s v="PP"/>
    <n v="9"/>
    <n v="591.41"/>
    <n v="25.2"/>
    <m/>
    <m/>
    <n v="566.20999999999992"/>
    <s v="2898.7700000000004"/>
    <m/>
    <m/>
    <m/>
    <n v="0"/>
    <n v="0"/>
    <m/>
    <m/>
    <m/>
    <m/>
    <m/>
    <m/>
    <m/>
    <m/>
    <n v="0"/>
    <n v="0"/>
    <n v="0"/>
    <n v="12"/>
    <n v="12"/>
    <m/>
    <m/>
    <n v="0"/>
    <n v="596.41"/>
    <m/>
    <x v="23"/>
    <n v="56"/>
    <m/>
    <m/>
    <m/>
  </r>
  <r>
    <x v="0"/>
    <x v="3"/>
    <s v="6566 J"/>
    <x v="214"/>
    <s v="Jilani Poly Stock"/>
    <s v="PP"/>
    <n v="16"/>
    <s v="5-5.5"/>
    <s v="PP"/>
    <s v="-"/>
    <s v="PP"/>
    <n v="2"/>
    <n v="109.44"/>
    <n v="3.2"/>
    <m/>
    <m/>
    <n v="106.24"/>
    <s v="3335.7599999999998"/>
    <n v="25"/>
    <m/>
    <m/>
    <n v="25"/>
    <n v="0.41666666666666674"/>
    <m/>
    <m/>
    <m/>
    <m/>
    <m/>
    <m/>
    <m/>
    <m/>
    <n v="0"/>
    <n v="0"/>
    <n v="0.41666666666666674"/>
    <n v="11.583333333333334"/>
    <n v="12"/>
    <m/>
    <m/>
    <n v="0"/>
    <n v="114.44"/>
    <m/>
    <x v="23"/>
    <n v="56"/>
    <m/>
    <m/>
    <m/>
  </r>
  <r>
    <x v="1"/>
    <x v="3"/>
    <s v="6566 J"/>
    <x v="214"/>
    <s v="Jilani Poly Stock"/>
    <s v="PP"/>
    <n v="16"/>
    <s v="5-5.5"/>
    <s v="PP"/>
    <s v="-"/>
    <s v="PP"/>
    <n v="13"/>
    <n v="759.99"/>
    <n v="24.7"/>
    <m/>
    <m/>
    <n v="735.29"/>
    <s v="3335.7599999999998"/>
    <m/>
    <m/>
    <m/>
    <n v="0"/>
    <n v="0"/>
    <m/>
    <m/>
    <m/>
    <m/>
    <m/>
    <m/>
    <m/>
    <m/>
    <n v="0"/>
    <n v="0"/>
    <n v="0"/>
    <n v="12"/>
    <n v="12"/>
    <m/>
    <m/>
    <n v="0"/>
    <n v="764.99"/>
    <m/>
    <x v="23"/>
    <n v="56"/>
    <m/>
    <m/>
    <m/>
  </r>
  <r>
    <x v="0"/>
    <x v="4"/>
    <s v="2850/2"/>
    <x v="214"/>
    <s v="ZAMEENDAR FOOD"/>
    <s v="PP"/>
    <n v="17"/>
    <s v="5-5.5"/>
    <s v="PP"/>
    <n v="1500"/>
    <s v="PP"/>
    <n v="9"/>
    <n v="489.96"/>
    <n v="15.299999999999999"/>
    <m/>
    <m/>
    <n v="474.65999999999997"/>
    <s v="3232.4"/>
    <n v="20"/>
    <m/>
    <m/>
    <n v="20"/>
    <n v="0.33333333333333331"/>
    <m/>
    <m/>
    <m/>
    <m/>
    <m/>
    <m/>
    <m/>
    <m/>
    <n v="0"/>
    <n v="0"/>
    <n v="0.33333333333333331"/>
    <n v="11.666666666666666"/>
    <n v="12"/>
    <m/>
    <m/>
    <n v="0"/>
    <n v="494.96"/>
    <m/>
    <x v="23"/>
    <n v="56"/>
    <m/>
    <m/>
    <m/>
  </r>
  <r>
    <x v="0"/>
    <x v="4"/>
    <s v="7679/1"/>
    <x v="214"/>
    <s v="المدینہ پلاسٹک ڈئیر"/>
    <s v="PP"/>
    <n v="15"/>
    <s v="7"/>
    <s v="PP"/>
    <n v="200"/>
    <s v="PP"/>
    <n v="1"/>
    <n v="47.7"/>
    <n v="1.5"/>
    <n v="3"/>
    <m/>
    <n v="46.2"/>
    <s v="283.55"/>
    <m/>
    <m/>
    <m/>
    <n v="0"/>
    <n v="0"/>
    <m/>
    <m/>
    <m/>
    <m/>
    <m/>
    <m/>
    <m/>
    <m/>
    <n v="0"/>
    <n v="0"/>
    <n v="0"/>
    <n v="12"/>
    <n v="12"/>
    <m/>
    <m/>
    <n v="0"/>
    <n v="52.7"/>
    <m/>
    <x v="23"/>
    <n v="56"/>
    <m/>
    <m/>
    <m/>
  </r>
  <r>
    <x v="1"/>
    <x v="4"/>
    <s v="7679/1"/>
    <x v="214"/>
    <s v="المدینہ پلاسٹک ڈئیر"/>
    <s v="PP"/>
    <n v="15"/>
    <s v="7"/>
    <s v="PP"/>
    <n v="200"/>
    <s v="PP"/>
    <n v="5"/>
    <n v="245.54999999999998"/>
    <n v="8.1999999999999993"/>
    <n v="3"/>
    <m/>
    <n v="237.35"/>
    <s v="283.55"/>
    <n v="20"/>
    <m/>
    <m/>
    <n v="20"/>
    <n v="0.33333333333333331"/>
    <m/>
    <m/>
    <m/>
    <m/>
    <m/>
    <m/>
    <m/>
    <m/>
    <n v="0"/>
    <n v="0"/>
    <n v="0.33333333333333331"/>
    <n v="11.666666666666666"/>
    <n v="12"/>
    <m/>
    <m/>
    <n v="0"/>
    <n v="250.55"/>
    <m/>
    <x v="23"/>
    <n v="56"/>
    <m/>
    <m/>
    <m/>
  </r>
  <r>
    <x v="1"/>
    <x v="4"/>
    <s v="7692/2"/>
    <x v="214"/>
    <s v="عظیم ٹوئز شاہ رعالم"/>
    <s v="PP"/>
    <n v="8"/>
    <s v="10"/>
    <s v="PP"/>
    <n v="200"/>
    <s v="PP"/>
    <n v="8"/>
    <n v="220.70999999999998"/>
    <n v="8"/>
    <m/>
    <m/>
    <n v="212.70999999999998"/>
    <s v="212.70999999999998"/>
    <n v="20"/>
    <m/>
    <m/>
    <n v="20"/>
    <n v="0.33333333333333331"/>
    <m/>
    <m/>
    <m/>
    <m/>
    <m/>
    <m/>
    <m/>
    <m/>
    <n v="0"/>
    <n v="0"/>
    <n v="0.33333333333333331"/>
    <n v="11.666666666666666"/>
    <n v="12"/>
    <m/>
    <m/>
    <n v="0"/>
    <n v="225.71"/>
    <m/>
    <x v="23"/>
    <n v="56"/>
    <m/>
    <m/>
    <m/>
  </r>
  <r>
    <x v="1"/>
    <x v="4"/>
    <s v="2850/2"/>
    <x v="214"/>
    <s v="ZAMEENDAR FOOD"/>
    <s v="PP"/>
    <n v="17"/>
    <s v="5-5.5"/>
    <s v="PP"/>
    <n v="1500"/>
    <s v="PP"/>
    <n v="1"/>
    <n v="61.96"/>
    <n v="1.9"/>
    <m/>
    <m/>
    <n v="60.06"/>
    <s v="3232.4"/>
    <m/>
    <m/>
    <m/>
    <n v="0"/>
    <n v="0"/>
    <m/>
    <m/>
    <m/>
    <m/>
    <m/>
    <m/>
    <m/>
    <m/>
    <n v="0"/>
    <n v="0"/>
    <n v="0"/>
    <n v="12"/>
    <n v="12"/>
    <m/>
    <m/>
    <n v="0"/>
    <n v="66.960000000000008"/>
    <m/>
    <x v="23"/>
    <n v="56"/>
    <m/>
    <m/>
    <m/>
  </r>
  <r>
    <x v="0"/>
    <x v="0"/>
    <s v="2.5/11"/>
    <x v="215"/>
    <s v="سٹاک"/>
    <s v="PP"/>
    <n v="2.5"/>
    <s v="5.5-6"/>
    <s v="PP"/>
    <s v="15 رول بیگ"/>
    <s v="PP"/>
    <n v="7"/>
    <n v="136.66"/>
    <n v="1.75"/>
    <n v="20"/>
    <m/>
    <n v="134.91"/>
    <s v="711.25"/>
    <m/>
    <m/>
    <m/>
    <n v="0"/>
    <n v="0"/>
    <m/>
    <m/>
    <m/>
    <m/>
    <m/>
    <m/>
    <n v="40"/>
    <m/>
    <n v="40"/>
    <n v="0.66666666666666663"/>
    <n v="0.66666666666666663"/>
    <n v="11.333333333333334"/>
    <n v="12"/>
    <m/>
    <m/>
    <n v="0"/>
    <n v="141.66"/>
    <m/>
    <x v="23"/>
    <n v="56"/>
    <m/>
    <m/>
    <m/>
  </r>
  <r>
    <x v="1"/>
    <x v="0"/>
    <s v="2.5/11"/>
    <x v="215"/>
    <s v="سٹاک"/>
    <s v="PP"/>
    <n v="2.5"/>
    <s v="5.5-6"/>
    <s v="PP"/>
    <s v="15 رول بیگ"/>
    <s v="PP"/>
    <n v="7"/>
    <n v="137.55000000000001"/>
    <n v="1.75"/>
    <n v="23"/>
    <m/>
    <n v="135.80000000000001"/>
    <s v="711.25"/>
    <m/>
    <m/>
    <m/>
    <n v="0"/>
    <n v="0"/>
    <m/>
    <m/>
    <m/>
    <m/>
    <m/>
    <m/>
    <m/>
    <m/>
    <n v="0"/>
    <n v="0"/>
    <n v="0"/>
    <n v="12"/>
    <n v="12"/>
    <m/>
    <m/>
    <n v="0"/>
    <n v="142.55000000000001"/>
    <m/>
    <x v="23"/>
    <n v="56"/>
    <m/>
    <m/>
    <m/>
  </r>
  <r>
    <x v="0"/>
    <x v="3"/>
    <s v="6570 J"/>
    <x v="215"/>
    <s v="Jilani Poly Stock"/>
    <s v="PP"/>
    <n v="28"/>
    <s v="5-5.5"/>
    <s v="PP"/>
    <s v="-"/>
    <s v="PP"/>
    <n v="4"/>
    <n v="206.44"/>
    <n v="11.2"/>
    <m/>
    <m/>
    <n v="195.24"/>
    <s v="2898.7700000000004"/>
    <m/>
    <m/>
    <m/>
    <n v="0"/>
    <n v="0"/>
    <m/>
    <m/>
    <m/>
    <m/>
    <m/>
    <m/>
    <m/>
    <m/>
    <n v="0"/>
    <n v="0"/>
    <n v="0"/>
    <n v="12"/>
    <n v="12"/>
    <m/>
    <m/>
    <n v="0"/>
    <n v="211.44"/>
    <m/>
    <x v="23"/>
    <n v="56"/>
    <m/>
    <m/>
    <m/>
  </r>
  <r>
    <x v="0"/>
    <x v="3"/>
    <s v="6568 J"/>
    <x v="215"/>
    <s v="Jilani Poly Stock"/>
    <s v="PP"/>
    <n v="20"/>
    <s v="5-5.5"/>
    <s v="PP"/>
    <s v="-"/>
    <s v="PP"/>
    <n v="6"/>
    <n v="350.48"/>
    <n v="12"/>
    <m/>
    <m/>
    <n v="338.48"/>
    <s v="2705.81"/>
    <n v="25"/>
    <m/>
    <m/>
    <n v="25"/>
    <n v="0.41666666666666674"/>
    <m/>
    <m/>
    <m/>
    <m/>
    <m/>
    <m/>
    <m/>
    <m/>
    <n v="0"/>
    <n v="0"/>
    <n v="0.41666666666666674"/>
    <n v="11.583333333333334"/>
    <n v="12"/>
    <m/>
    <m/>
    <n v="0"/>
    <n v="355.48"/>
    <m/>
    <x v="23"/>
    <n v="56"/>
    <m/>
    <m/>
    <m/>
  </r>
  <r>
    <x v="0"/>
    <x v="3"/>
    <s v="7690/4"/>
    <x v="215"/>
    <s v="العمر پلاسٹک گوجرانوالہ"/>
    <s v="PP"/>
    <n v="16"/>
    <s v="6"/>
    <s v="PP"/>
    <n v="1000"/>
    <s v="PP"/>
    <n v="1"/>
    <n v="39.53"/>
    <n v="1.6"/>
    <m/>
    <m/>
    <n v="37.93"/>
    <s v="956.46999999999991"/>
    <m/>
    <m/>
    <m/>
    <n v="0"/>
    <n v="0"/>
    <m/>
    <m/>
    <m/>
    <m/>
    <m/>
    <m/>
    <m/>
    <m/>
    <n v="0"/>
    <n v="0"/>
    <n v="0"/>
    <n v="12"/>
    <n v="12"/>
    <m/>
    <m/>
    <n v="0"/>
    <n v="44.53"/>
    <m/>
    <x v="23"/>
    <n v="56"/>
    <m/>
    <m/>
    <m/>
  </r>
  <r>
    <x v="0"/>
    <x v="3"/>
    <s v="2822 F"/>
    <x v="215"/>
    <s v="Usman Amin"/>
    <s v="PP"/>
    <n v="16"/>
    <s v="8"/>
    <s v="PP"/>
    <n v="50"/>
    <s v="PP"/>
    <n v="3"/>
    <n v="160.78"/>
    <n v="4.8000000000000007"/>
    <m/>
    <m/>
    <n v="155.97999999999999"/>
    <s v="155.97999999999999"/>
    <m/>
    <m/>
    <m/>
    <n v="0"/>
    <n v="0"/>
    <m/>
    <m/>
    <m/>
    <m/>
    <m/>
    <m/>
    <m/>
    <m/>
    <n v="0"/>
    <n v="0"/>
    <n v="0"/>
    <n v="12"/>
    <n v="12"/>
    <m/>
    <m/>
    <n v="0"/>
    <n v="165.78"/>
    <m/>
    <x v="23"/>
    <n v="56"/>
    <m/>
    <m/>
    <m/>
  </r>
  <r>
    <x v="1"/>
    <x v="3"/>
    <s v="6568 J"/>
    <x v="215"/>
    <s v="Jilani Poly Stock"/>
    <s v="PP"/>
    <n v="20"/>
    <s v="5-5.5"/>
    <s v="PP"/>
    <s v="-"/>
    <s v="PP"/>
    <n v="11"/>
    <n v="717.47"/>
    <n v="26.4"/>
    <m/>
    <m/>
    <n v="691.07"/>
    <s v="2705.81"/>
    <m/>
    <m/>
    <m/>
    <n v="0"/>
    <n v="0"/>
    <m/>
    <m/>
    <m/>
    <m/>
    <m/>
    <m/>
    <m/>
    <m/>
    <n v="0"/>
    <n v="0"/>
    <n v="0"/>
    <n v="12"/>
    <n v="12"/>
    <m/>
    <m/>
    <n v="0"/>
    <n v="722.47"/>
    <m/>
    <x v="23"/>
    <n v="56"/>
    <m/>
    <m/>
    <m/>
  </r>
  <r>
    <x v="1"/>
    <x v="3"/>
    <s v="2825 F"/>
    <x v="215"/>
    <s v="Usman Amin"/>
    <s v="PP"/>
    <n v="20"/>
    <s v="8"/>
    <s v="PP"/>
    <n v="50"/>
    <s v="PP"/>
    <n v="1"/>
    <n v="55.64"/>
    <n v="2"/>
    <m/>
    <m/>
    <n v="53.64"/>
    <s v="53.64"/>
    <m/>
    <m/>
    <m/>
    <n v="0"/>
    <n v="0"/>
    <m/>
    <m/>
    <m/>
    <m/>
    <m/>
    <m/>
    <m/>
    <m/>
    <n v="0"/>
    <n v="0"/>
    <n v="0"/>
    <n v="12"/>
    <n v="12"/>
    <m/>
    <m/>
    <n v="0"/>
    <n v="60.64"/>
    <m/>
    <x v="23"/>
    <n v="56"/>
    <m/>
    <m/>
    <m/>
  </r>
  <r>
    <x v="1"/>
    <x v="3"/>
    <s v="7690/6"/>
    <x v="215"/>
    <s v="العمر پلاسٹک گوجرانوالہ"/>
    <s v="PP"/>
    <n v="20"/>
    <s v="6"/>
    <s v="PP"/>
    <n v="1000"/>
    <s v="PP"/>
    <n v="1"/>
    <n v="65.61"/>
    <n v="2"/>
    <m/>
    <m/>
    <n v="63.61"/>
    <s v="938.16999999999973"/>
    <m/>
    <m/>
    <m/>
    <n v="0"/>
    <n v="0"/>
    <m/>
    <m/>
    <m/>
    <m/>
    <m/>
    <m/>
    <m/>
    <m/>
    <n v="0"/>
    <n v="0"/>
    <n v="0"/>
    <n v="12"/>
    <n v="12"/>
    <m/>
    <m/>
    <n v="0"/>
    <n v="70.61"/>
    <m/>
    <x v="23"/>
    <n v="56"/>
    <m/>
    <m/>
    <m/>
  </r>
  <r>
    <x v="0"/>
    <x v="4"/>
    <s v="2850/2"/>
    <x v="215"/>
    <s v="ZAMEENDAR FOOD"/>
    <s v="PP"/>
    <n v="17"/>
    <s v="5-5.5"/>
    <s v="PP"/>
    <n v="1500"/>
    <s v="PP"/>
    <n v="11"/>
    <n v="600.8599999999999"/>
    <n v="20.9"/>
    <n v="4"/>
    <m/>
    <n v="579.95999999999992"/>
    <s v="3232.4"/>
    <m/>
    <m/>
    <m/>
    <n v="0"/>
    <n v="0"/>
    <m/>
    <m/>
    <m/>
    <m/>
    <m/>
    <m/>
    <m/>
    <m/>
    <n v="0"/>
    <n v="0"/>
    <n v="0"/>
    <n v="12"/>
    <n v="12"/>
    <m/>
    <m/>
    <n v="0"/>
    <n v="605.8599999999999"/>
    <m/>
    <x v="23"/>
    <n v="56"/>
    <m/>
    <m/>
    <m/>
  </r>
  <r>
    <x v="1"/>
    <x v="4"/>
    <s v="2850/2"/>
    <x v="215"/>
    <s v="ZAMEENDAR FOOD"/>
    <s v="PP"/>
    <n v="17"/>
    <s v="5-5.5"/>
    <s v="PP"/>
    <n v="1500"/>
    <s v="PP"/>
    <n v="11"/>
    <n v="567.78000000000009"/>
    <n v="20.9"/>
    <n v="4"/>
    <m/>
    <n v="546.88000000000011"/>
    <s v="3232.4"/>
    <n v="15"/>
    <m/>
    <m/>
    <n v="15"/>
    <n v="0.25"/>
    <m/>
    <m/>
    <m/>
    <m/>
    <m/>
    <m/>
    <m/>
    <m/>
    <n v="0"/>
    <n v="0"/>
    <n v="0.25"/>
    <n v="11.75"/>
    <n v="12"/>
    <m/>
    <m/>
    <n v="0"/>
    <n v="572.78000000000009"/>
    <m/>
    <x v="23"/>
    <n v="56"/>
    <m/>
    <m/>
    <m/>
  </r>
  <r>
    <x v="0"/>
    <x v="0"/>
    <s v="2.5/11"/>
    <x v="216"/>
    <s v="سٹاک"/>
    <s v="PP"/>
    <n v="2.5"/>
    <s v="5.5-6"/>
    <s v="PP"/>
    <s v="15 رول بیگ"/>
    <s v="PP"/>
    <n v="8"/>
    <n v="148.44"/>
    <n v="20"/>
    <n v="25"/>
    <m/>
    <n v="128.44"/>
    <s v="711.25"/>
    <m/>
    <m/>
    <m/>
    <n v="0"/>
    <n v="0"/>
    <m/>
    <m/>
    <m/>
    <m/>
    <m/>
    <m/>
    <m/>
    <m/>
    <n v="0"/>
    <n v="0"/>
    <n v="0"/>
    <n v="12"/>
    <n v="12"/>
    <m/>
    <m/>
    <n v="0"/>
    <n v="153.44"/>
    <m/>
    <x v="23"/>
    <n v="56"/>
    <m/>
    <m/>
    <m/>
  </r>
  <r>
    <x v="1"/>
    <x v="0"/>
    <s v="2.5/11"/>
    <x v="216"/>
    <s v="سٹاک"/>
    <s v="PP"/>
    <n v="2.5"/>
    <s v="5.5-6"/>
    <s v="PP"/>
    <s v="15 رول بیگ"/>
    <s v="PP"/>
    <n v="5"/>
    <n v="97.75"/>
    <n v="12.5"/>
    <m/>
    <m/>
    <n v="85.25"/>
    <s v="711.25"/>
    <m/>
    <m/>
    <m/>
    <n v="0"/>
    <n v="0"/>
    <m/>
    <m/>
    <m/>
    <m/>
    <m/>
    <m/>
    <m/>
    <m/>
    <n v="0"/>
    <n v="0"/>
    <n v="0"/>
    <n v="12"/>
    <n v="12"/>
    <m/>
    <m/>
    <n v="0"/>
    <n v="102.75"/>
    <m/>
    <x v="23"/>
    <n v="56"/>
    <m/>
    <m/>
    <m/>
  </r>
  <r>
    <x v="0"/>
    <x v="3"/>
    <s v="7690/6"/>
    <x v="216"/>
    <s v="العمر پلاسٹک گوجرانوالہ"/>
    <s v="PP"/>
    <n v="20"/>
    <s v="6"/>
    <s v="PP"/>
    <n v="1000"/>
    <s v="PP"/>
    <n v="12"/>
    <n v="790.00999999999976"/>
    <n v="30"/>
    <m/>
    <m/>
    <n v="760.00999999999976"/>
    <s v="938.16999999999973"/>
    <m/>
    <m/>
    <m/>
    <n v="0"/>
    <n v="0"/>
    <m/>
    <m/>
    <m/>
    <m/>
    <m/>
    <m/>
    <m/>
    <m/>
    <n v="0"/>
    <n v="0"/>
    <n v="0"/>
    <n v="12"/>
    <n v="12"/>
    <m/>
    <m/>
    <n v="0"/>
    <n v="795.00999999999965"/>
    <m/>
    <x v="23"/>
    <n v="56"/>
    <m/>
    <m/>
    <m/>
  </r>
  <r>
    <x v="1"/>
    <x v="3"/>
    <s v="7690/6"/>
    <x v="216"/>
    <s v="العمر پلاسٹک گوجرانوالہ"/>
    <s v="PP"/>
    <n v="20"/>
    <s v="6"/>
    <s v="PP"/>
    <n v="1000"/>
    <s v="PP"/>
    <n v="2"/>
    <n v="119.44999999999999"/>
    <n v="4.9000000000000004"/>
    <n v="30"/>
    <m/>
    <n v="114.54999999999998"/>
    <s v="938.16999999999973"/>
    <m/>
    <m/>
    <m/>
    <n v="0"/>
    <n v="0"/>
    <m/>
    <m/>
    <m/>
    <m/>
    <m/>
    <m/>
    <m/>
    <m/>
    <n v="0"/>
    <n v="0"/>
    <n v="0"/>
    <n v="12"/>
    <n v="12"/>
    <m/>
    <m/>
    <n v="0"/>
    <n v="124.45"/>
    <m/>
    <x v="23"/>
    <n v="56"/>
    <m/>
    <m/>
    <m/>
  </r>
  <r>
    <x v="1"/>
    <x v="3"/>
    <s v="7691/7"/>
    <x v="216"/>
    <s v="العمر پلاسٹک گوجرانوالہ"/>
    <s v="PP"/>
    <n v="22"/>
    <s v="10"/>
    <s v="PP"/>
    <n v="150"/>
    <s v="PP"/>
    <n v="4"/>
    <n v="171.25"/>
    <n v="6.8"/>
    <m/>
    <m/>
    <n v="164.45"/>
    <s v="164.45"/>
    <m/>
    <m/>
    <m/>
    <n v="0"/>
    <n v="0"/>
    <m/>
    <m/>
    <m/>
    <m/>
    <m/>
    <m/>
    <m/>
    <m/>
    <n v="0"/>
    <n v="0"/>
    <n v="0"/>
    <n v="12"/>
    <n v="12"/>
    <m/>
    <m/>
    <n v="0"/>
    <n v="176.25"/>
    <m/>
    <x v="23"/>
    <n v="56"/>
    <m/>
    <m/>
    <m/>
  </r>
  <r>
    <x v="1"/>
    <x v="3"/>
    <s v="7690/8"/>
    <x v="216"/>
    <s v="العمر پلاسٹک گوجرانوالہ"/>
    <s v="PP"/>
    <n v="22"/>
    <s v="6"/>
    <s v="PP"/>
    <n v="250"/>
    <s v="PP"/>
    <n v="4"/>
    <n v="260.05"/>
    <n v="6.8"/>
    <m/>
    <m/>
    <n v="253.25"/>
    <s v="253.25"/>
    <m/>
    <m/>
    <m/>
    <n v="0"/>
    <n v="0"/>
    <m/>
    <m/>
    <m/>
    <m/>
    <m/>
    <m/>
    <m/>
    <m/>
    <n v="0"/>
    <n v="0"/>
    <n v="0"/>
    <n v="12"/>
    <n v="12"/>
    <m/>
    <m/>
    <n v="0"/>
    <n v="265.05"/>
    <m/>
    <x v="23"/>
    <n v="56"/>
    <m/>
    <m/>
    <m/>
  </r>
  <r>
    <x v="1"/>
    <x v="3"/>
    <s v="7691/5"/>
    <x v="216"/>
    <s v="العمر پلاسٹک گوجرانوالہ"/>
    <s v="PP"/>
    <n v="20"/>
    <s v="10"/>
    <s v="PP"/>
    <n v="150"/>
    <s v="PP"/>
    <n v="4"/>
    <n v="171.45999999999998"/>
    <n v="10"/>
    <m/>
    <m/>
    <n v="161.45999999999998"/>
    <s v="161.45999999999998"/>
    <m/>
    <m/>
    <m/>
    <n v="0"/>
    <n v="0"/>
    <m/>
    <m/>
    <m/>
    <m/>
    <m/>
    <m/>
    <m/>
    <m/>
    <n v="0"/>
    <n v="0"/>
    <n v="0"/>
    <n v="12"/>
    <n v="12"/>
    <m/>
    <m/>
    <n v="0"/>
    <n v="176.45999999999998"/>
    <m/>
    <x v="23"/>
    <n v="56"/>
    <m/>
    <m/>
    <m/>
  </r>
  <r>
    <x v="0"/>
    <x v="4"/>
    <s v="7690/2"/>
    <x v="216"/>
    <s v="العمر پلاسٹک گوجرانوالہ"/>
    <s v="PP"/>
    <n v="14"/>
    <s v="6"/>
    <s v="PP"/>
    <n v="250"/>
    <s v="PP"/>
    <n v="8"/>
    <n v="409.03000000000003"/>
    <n v="11.2"/>
    <m/>
    <m/>
    <n v="397.83000000000004"/>
    <s v="397.83000000000004"/>
    <m/>
    <m/>
    <m/>
    <n v="0"/>
    <n v="0"/>
    <m/>
    <m/>
    <m/>
    <m/>
    <m/>
    <m/>
    <m/>
    <m/>
    <n v="0"/>
    <n v="0"/>
    <n v="0"/>
    <n v="12"/>
    <n v="12"/>
    <m/>
    <m/>
    <n v="0"/>
    <n v="414.03"/>
    <m/>
    <x v="23"/>
    <n v="56"/>
    <m/>
    <m/>
    <m/>
  </r>
  <r>
    <x v="0"/>
    <x v="4"/>
    <s v="7691/2"/>
    <x v="216"/>
    <s v="العمر پلاسٹک گوجرانوالہ"/>
    <s v="PP"/>
    <n v="14"/>
    <s v="10"/>
    <s v="PP"/>
    <n v="250"/>
    <s v="PP"/>
    <n v="4"/>
    <n v="169.31"/>
    <n v="5.6"/>
    <m/>
    <m/>
    <n v="163.71"/>
    <s v="299.75"/>
    <m/>
    <m/>
    <m/>
    <n v="0"/>
    <n v="0"/>
    <m/>
    <m/>
    <m/>
    <m/>
    <m/>
    <m/>
    <m/>
    <m/>
    <n v="0"/>
    <n v="0"/>
    <n v="0"/>
    <n v="12"/>
    <n v="12"/>
    <m/>
    <m/>
    <n v="0"/>
    <n v="174.31"/>
    <m/>
    <x v="23"/>
    <n v="56"/>
    <m/>
    <m/>
    <m/>
  </r>
  <r>
    <x v="1"/>
    <x v="4"/>
    <s v="7691/2"/>
    <x v="216"/>
    <s v="العمر پلاسٹک گوجرانوالہ"/>
    <s v="PP"/>
    <n v="14"/>
    <s v="10"/>
    <s v="PP"/>
    <n v="250"/>
    <s v="PP"/>
    <n v="2"/>
    <n v="139.63999999999999"/>
    <n v="3.6"/>
    <m/>
    <m/>
    <n v="136.04"/>
    <s v="299.75"/>
    <m/>
    <m/>
    <m/>
    <n v="0"/>
    <n v="0"/>
    <m/>
    <m/>
    <m/>
    <m/>
    <m/>
    <m/>
    <m/>
    <m/>
    <n v="0"/>
    <n v="0"/>
    <n v="0"/>
    <n v="12"/>
    <n v="12"/>
    <m/>
    <m/>
    <n v="0"/>
    <n v="144.63999999999999"/>
    <m/>
    <x v="23"/>
    <n v="56"/>
    <m/>
    <m/>
    <m/>
  </r>
  <r>
    <x v="1"/>
    <x v="4"/>
    <s v="14/10"/>
    <x v="216"/>
    <s v="سٹاک"/>
    <s v="PP"/>
    <n v="14"/>
    <n v="5"/>
    <s v="PP"/>
    <n v="1000"/>
    <s v="PP"/>
    <n v="6"/>
    <n v="392.82999999999993"/>
    <n v="10.8"/>
    <m/>
    <m/>
    <n v="382.02999999999992"/>
    <s v="1304.4099999999999"/>
    <m/>
    <m/>
    <m/>
    <n v="0"/>
    <n v="0"/>
    <m/>
    <m/>
    <m/>
    <m/>
    <m/>
    <m/>
    <m/>
    <m/>
    <n v="0"/>
    <n v="0"/>
    <n v="0"/>
    <n v="12"/>
    <n v="12"/>
    <m/>
    <m/>
    <n v="0"/>
    <n v="397.82999999999993"/>
    <m/>
    <x v="23"/>
    <n v="56"/>
    <m/>
    <m/>
    <m/>
  </r>
  <r>
    <x v="0"/>
    <x v="1"/>
    <s v="7713/1"/>
    <x v="217"/>
    <s v="عظیم ٹوئز شاہ رعالم"/>
    <s v="PP"/>
    <n v="6"/>
    <s v="10"/>
    <s v="PP"/>
    <n v="500"/>
    <s v="PP"/>
    <n v="6"/>
    <n v="102.17999999999999"/>
    <n v="3.5999999999999996"/>
    <m/>
    <m/>
    <n v="98.58"/>
    <s v="606.04"/>
    <m/>
    <n v="300"/>
    <m/>
    <n v="300"/>
    <n v="5"/>
    <m/>
    <m/>
    <m/>
    <m/>
    <m/>
    <m/>
    <m/>
    <m/>
    <n v="0"/>
    <n v="0"/>
    <n v="5"/>
    <n v="7"/>
    <n v="12"/>
    <m/>
    <m/>
    <n v="0"/>
    <n v="107.18"/>
    <m/>
    <x v="24"/>
    <n v="57"/>
    <m/>
    <m/>
    <m/>
  </r>
  <r>
    <x v="1"/>
    <x v="1"/>
    <s v="7713/1"/>
    <x v="217"/>
    <s v="عظیم ٹوئز شاہ رعالم"/>
    <s v="PP"/>
    <n v="6"/>
    <s v="10"/>
    <s v="PP"/>
    <n v="500"/>
    <s v="PP"/>
    <n v="11"/>
    <n v="186.48"/>
    <n v="6.6"/>
    <m/>
    <m/>
    <n v="179.88"/>
    <s v="606.04"/>
    <m/>
    <m/>
    <m/>
    <n v="0"/>
    <n v="0"/>
    <m/>
    <m/>
    <m/>
    <m/>
    <m/>
    <m/>
    <m/>
    <m/>
    <n v="0"/>
    <n v="0"/>
    <n v="0"/>
    <n v="12"/>
    <n v="12"/>
    <m/>
    <m/>
    <n v="0"/>
    <n v="191.48"/>
    <m/>
    <x v="24"/>
    <n v="57"/>
    <m/>
    <m/>
    <m/>
  </r>
  <r>
    <x v="0"/>
    <x v="3"/>
    <s v="7075 J"/>
    <x v="217"/>
    <s v="Shah Posh Plas Rwp"/>
    <s v="PP"/>
    <n v="17"/>
    <s v="10-10.5"/>
    <s v="PP"/>
    <n v="1000"/>
    <s v="PP"/>
    <n v="10"/>
    <n v="556.42999999999995"/>
    <n v="15.07"/>
    <n v="13"/>
    <m/>
    <n v="541.3599999999999"/>
    <s v="995.50999999999988"/>
    <m/>
    <n v="240"/>
    <m/>
    <n v="240"/>
    <n v="4"/>
    <m/>
    <m/>
    <m/>
    <m/>
    <m/>
    <m/>
    <m/>
    <m/>
    <n v="0"/>
    <n v="0"/>
    <n v="4"/>
    <n v="8"/>
    <n v="12"/>
    <m/>
    <m/>
    <n v="0"/>
    <n v="561.42999999999995"/>
    <m/>
    <x v="24"/>
    <n v="57"/>
    <m/>
    <m/>
    <m/>
  </r>
  <r>
    <x v="1"/>
    <x v="3"/>
    <s v="7075 J"/>
    <x v="217"/>
    <s v="Shah Posh Plas Rwp"/>
    <s v="PP"/>
    <n v="17"/>
    <s v="10-10.5"/>
    <s v="PP"/>
    <n v="1000"/>
    <s v="PP"/>
    <n v="9"/>
    <n v="469.45"/>
    <n v="15.299999999999999"/>
    <n v="23"/>
    <m/>
    <n v="454.15"/>
    <s v="995.50999999999988"/>
    <m/>
    <m/>
    <m/>
    <n v="0"/>
    <n v="0"/>
    <m/>
    <m/>
    <m/>
    <m/>
    <m/>
    <m/>
    <m/>
    <m/>
    <n v="0"/>
    <n v="0"/>
    <n v="0"/>
    <n v="12"/>
    <n v="12"/>
    <m/>
    <m/>
    <n v="0"/>
    <n v="474.45"/>
    <m/>
    <x v="24"/>
    <n v="57"/>
    <m/>
    <m/>
    <m/>
  </r>
  <r>
    <x v="1"/>
    <x v="3"/>
    <s v="7164 J"/>
    <x v="217"/>
    <s v="Shah Posh Plas Rwp"/>
    <s v="PP"/>
    <n v="17"/>
    <s v="10-10.5"/>
    <s v="PP"/>
    <n v="2500"/>
    <s v="PP"/>
    <n v="9"/>
    <n v="472.86"/>
    <n v="15.299999999999999"/>
    <m/>
    <m/>
    <n v="457.56"/>
    <s v="2412.02"/>
    <m/>
    <m/>
    <m/>
    <n v="0"/>
    <n v="0"/>
    <m/>
    <m/>
    <m/>
    <m/>
    <m/>
    <m/>
    <m/>
    <m/>
    <n v="0"/>
    <n v="0"/>
    <n v="0"/>
    <n v="12"/>
    <n v="12"/>
    <m/>
    <m/>
    <n v="0"/>
    <n v="477.86"/>
    <m/>
    <x v="24"/>
    <n v="57"/>
    <m/>
    <m/>
    <m/>
  </r>
  <r>
    <x v="0"/>
    <x v="4"/>
    <s v="14/10"/>
    <x v="217"/>
    <s v="سٹاک"/>
    <s v="PP"/>
    <n v="14"/>
    <n v="5"/>
    <s v="PP"/>
    <n v="1000"/>
    <s v="PP"/>
    <n v="6"/>
    <n v="306.58999999999997"/>
    <n v="10.8"/>
    <m/>
    <m/>
    <n v="295.78999999999996"/>
    <s v="1304.4099999999999"/>
    <m/>
    <n v="265"/>
    <m/>
    <n v="265"/>
    <n v="4.416666666666667"/>
    <m/>
    <m/>
    <m/>
    <m/>
    <m/>
    <m/>
    <m/>
    <m/>
    <n v="0"/>
    <n v="0"/>
    <n v="4.416666666666667"/>
    <n v="7.583333333333333"/>
    <n v="12"/>
    <m/>
    <m/>
    <n v="0"/>
    <n v="311.58999999999997"/>
    <m/>
    <x v="24"/>
    <n v="57"/>
    <m/>
    <m/>
    <m/>
  </r>
  <r>
    <x v="0"/>
    <x v="4"/>
    <s v="2826 F"/>
    <x v="217"/>
    <s v="Usman Amin"/>
    <s v="PP"/>
    <n v="14"/>
    <s v="8"/>
    <s v="PP"/>
    <n v="50"/>
    <s v="PP"/>
    <n v="1"/>
    <n v="50.34"/>
    <n v="1.8"/>
    <m/>
    <m/>
    <n v="48.540000000000006"/>
    <s v="106.29"/>
    <m/>
    <m/>
    <m/>
    <n v="0"/>
    <n v="0"/>
    <m/>
    <m/>
    <m/>
    <m/>
    <m/>
    <m/>
    <m/>
    <m/>
    <n v="0"/>
    <n v="0"/>
    <n v="0"/>
    <n v="12"/>
    <n v="12"/>
    <m/>
    <m/>
    <n v="0"/>
    <n v="55.34"/>
    <m/>
    <x v="24"/>
    <n v="57"/>
    <m/>
    <m/>
    <m/>
  </r>
  <r>
    <x v="1"/>
    <x v="4"/>
    <s v="2826 F"/>
    <x v="217"/>
    <s v="Usman Amin"/>
    <s v="PP"/>
    <n v="14"/>
    <s v="8"/>
    <s v="PP"/>
    <n v="50"/>
    <s v="PP"/>
    <n v="2"/>
    <n v="60.55"/>
    <n v="2.8"/>
    <m/>
    <m/>
    <n v="57.75"/>
    <s v="106.29"/>
    <m/>
    <m/>
    <m/>
    <n v="0"/>
    <n v="0"/>
    <m/>
    <m/>
    <m/>
    <m/>
    <m/>
    <m/>
    <m/>
    <m/>
    <n v="0"/>
    <n v="0"/>
    <n v="0"/>
    <n v="12"/>
    <n v="12"/>
    <m/>
    <m/>
    <n v="0"/>
    <n v="65.55"/>
    <m/>
    <x v="24"/>
    <n v="57"/>
    <m/>
    <m/>
    <m/>
  </r>
  <r>
    <x v="1"/>
    <x v="4"/>
    <s v="7710/16"/>
    <x v="217"/>
    <s v="ہیڈ افس لاہور"/>
    <s v="PP"/>
    <n v="13"/>
    <s v="7"/>
    <s v="PP"/>
    <n v="250"/>
    <s v="PP"/>
    <n v="3"/>
    <n v="138.30000000000001"/>
    <n v="3.9000000000000004"/>
    <m/>
    <m/>
    <n v="134.4"/>
    <s v="279.06"/>
    <n v="25"/>
    <m/>
    <m/>
    <n v="25"/>
    <n v="0.41666666666666674"/>
    <m/>
    <m/>
    <m/>
    <m/>
    <m/>
    <m/>
    <m/>
    <m/>
    <n v="0"/>
    <n v="0"/>
    <n v="0.41666666666666674"/>
    <n v="11.583333333333334"/>
    <n v="12"/>
    <m/>
    <m/>
    <n v="0"/>
    <n v="143.30000000000001"/>
    <m/>
    <x v="24"/>
    <n v="57"/>
    <m/>
    <m/>
    <m/>
  </r>
  <r>
    <x v="1"/>
    <x v="4"/>
    <s v="14/10"/>
    <x v="217"/>
    <s v="سٹاک"/>
    <s v="PP"/>
    <n v="14"/>
    <n v="5"/>
    <s v="PP"/>
    <n v="1000"/>
    <s v="PP"/>
    <n v="7"/>
    <n v="337.87"/>
    <n v="9.7999999999999989"/>
    <m/>
    <m/>
    <n v="328.07"/>
    <s v="1304.4099999999999"/>
    <m/>
    <m/>
    <m/>
    <n v="0"/>
    <n v="0"/>
    <m/>
    <m/>
    <m/>
    <m/>
    <m/>
    <m/>
    <m/>
    <m/>
    <n v="0"/>
    <n v="0"/>
    <n v="0"/>
    <n v="12"/>
    <n v="12"/>
    <m/>
    <m/>
    <n v="0"/>
    <n v="342.87"/>
    <m/>
    <x v="24"/>
    <n v="57"/>
    <m/>
    <m/>
    <m/>
  </r>
  <r>
    <x v="0"/>
    <x v="1"/>
    <s v="7713/1"/>
    <x v="218"/>
    <s v="عظیم ٹوئز شاہ رعالم"/>
    <s v="PP"/>
    <n v="6"/>
    <s v="10"/>
    <s v="PP"/>
    <n v="500"/>
    <s v="PP"/>
    <n v="8"/>
    <n v="177.16000000000003"/>
    <n v="4.8"/>
    <m/>
    <m/>
    <n v="172.36"/>
    <s v="606.04"/>
    <m/>
    <m/>
    <m/>
    <n v="0"/>
    <n v="0"/>
    <m/>
    <m/>
    <m/>
    <m/>
    <m/>
    <m/>
    <m/>
    <m/>
    <n v="0"/>
    <n v="0"/>
    <n v="0"/>
    <n v="12"/>
    <n v="12"/>
    <m/>
    <m/>
    <n v="0"/>
    <n v="182.16000000000005"/>
    <m/>
    <x v="24"/>
    <n v="57"/>
    <m/>
    <m/>
    <m/>
  </r>
  <r>
    <x v="1"/>
    <x v="1"/>
    <s v="7713/1"/>
    <x v="218"/>
    <s v="عظیم ٹوئز شاہ رعالم"/>
    <s v="PP"/>
    <n v="6"/>
    <s v="10"/>
    <s v="PP"/>
    <n v="500"/>
    <s v="PP"/>
    <n v="9"/>
    <n v="160.62"/>
    <n v="5.3999999999999995"/>
    <m/>
    <m/>
    <n v="155.22"/>
    <s v="606.04"/>
    <n v="15"/>
    <m/>
    <m/>
    <n v="15"/>
    <n v="0.25"/>
    <m/>
    <m/>
    <m/>
    <m/>
    <m/>
    <m/>
    <m/>
    <m/>
    <n v="0"/>
    <n v="0"/>
    <n v="0.25"/>
    <n v="11.75"/>
    <n v="12"/>
    <m/>
    <m/>
    <n v="0"/>
    <n v="165.62"/>
    <m/>
    <x v="24"/>
    <n v="57"/>
    <m/>
    <m/>
    <m/>
  </r>
  <r>
    <x v="1"/>
    <x v="1"/>
    <s v="3/13"/>
    <x v="218"/>
    <s v="سٹاک"/>
    <s v="PP"/>
    <n v="3"/>
    <s v="5.5-6"/>
    <s v="PP"/>
    <n v="1000"/>
    <s v="PP"/>
    <n v="1"/>
    <n v="13.59"/>
    <n v="0.3"/>
    <m/>
    <m/>
    <n v="13.29"/>
    <s v="1045.8999999999999"/>
    <m/>
    <m/>
    <m/>
    <n v="0"/>
    <n v="0"/>
    <m/>
    <m/>
    <m/>
    <m/>
    <m/>
    <m/>
    <m/>
    <m/>
    <n v="0"/>
    <n v="0"/>
    <n v="0"/>
    <n v="12"/>
    <n v="12"/>
    <m/>
    <m/>
    <n v="0"/>
    <n v="18.59"/>
    <m/>
    <x v="24"/>
    <n v="57"/>
    <m/>
    <m/>
    <m/>
  </r>
  <r>
    <x v="0"/>
    <x v="3"/>
    <s v="7164 J"/>
    <x v="218"/>
    <s v="Shah Posh Plas Rwp"/>
    <s v="PP"/>
    <n v="17"/>
    <s v="10-10.5"/>
    <s v="PP"/>
    <n v="2500"/>
    <s v="PP"/>
    <n v="8"/>
    <n v="482.15999999999997"/>
    <n v="16"/>
    <m/>
    <m/>
    <n v="466.15999999999997"/>
    <s v="2412.02"/>
    <m/>
    <m/>
    <m/>
    <n v="0"/>
    <n v="0"/>
    <m/>
    <m/>
    <m/>
    <m/>
    <m/>
    <m/>
    <m/>
    <m/>
    <n v="0"/>
    <n v="0"/>
    <n v="0"/>
    <n v="12"/>
    <n v="12"/>
    <m/>
    <m/>
    <n v="0"/>
    <n v="487.16"/>
    <m/>
    <x v="24"/>
    <n v="57"/>
    <m/>
    <m/>
    <m/>
  </r>
  <r>
    <x v="0"/>
    <x v="3"/>
    <s v="6569 J"/>
    <x v="218"/>
    <s v="Jilani Poly Stock"/>
    <s v="PP"/>
    <n v="24"/>
    <s v="5-5.5"/>
    <s v="PP"/>
    <s v="-"/>
    <s v="PP"/>
    <n v="5"/>
    <n v="314.78000000000003"/>
    <n v="9.629999999999999"/>
    <n v="18"/>
    <m/>
    <n v="305.15000000000003"/>
    <s v="2414.75"/>
    <n v="25"/>
    <m/>
    <m/>
    <n v="25"/>
    <n v="0.41666666666666674"/>
    <m/>
    <m/>
    <m/>
    <m/>
    <m/>
    <m/>
    <m/>
    <m/>
    <n v="0"/>
    <n v="0"/>
    <n v="0.41666666666666674"/>
    <n v="11.583333333333334"/>
    <n v="12"/>
    <m/>
    <m/>
    <n v="0"/>
    <n v="319.78000000000003"/>
    <m/>
    <x v="24"/>
    <n v="57"/>
    <m/>
    <m/>
    <m/>
  </r>
  <r>
    <x v="1"/>
    <x v="3"/>
    <s v="6569 J"/>
    <x v="218"/>
    <s v="Jilani Poly Stock"/>
    <s v="PP"/>
    <n v="24"/>
    <s v="5-5.5"/>
    <s v="PP"/>
    <s v="-"/>
    <s v="PP"/>
    <n v="11"/>
    <n v="726.63000000000011"/>
    <n v="26.4"/>
    <n v="18"/>
    <m/>
    <n v="700.23000000000013"/>
    <s v="2414.75"/>
    <m/>
    <m/>
    <m/>
    <n v="0"/>
    <n v="0"/>
    <m/>
    <m/>
    <m/>
    <m/>
    <m/>
    <m/>
    <m/>
    <m/>
    <n v="0"/>
    <n v="0"/>
    <n v="0"/>
    <n v="12"/>
    <n v="12"/>
    <m/>
    <m/>
    <n v="0"/>
    <n v="731.63000000000011"/>
    <m/>
    <x v="24"/>
    <n v="57"/>
    <m/>
    <m/>
    <m/>
  </r>
  <r>
    <x v="1"/>
    <x v="3"/>
    <s v="7690/9"/>
    <x v="218"/>
    <s v="العمر پلاسٹک گوجرانوالہ"/>
    <s v="PP"/>
    <n v="24"/>
    <s v="6"/>
    <s v="PP"/>
    <n v="150"/>
    <s v="PP"/>
    <n v="2"/>
    <n v="81.89"/>
    <n v="4.8"/>
    <m/>
    <m/>
    <n v="77.09"/>
    <s v="158.98000000000002"/>
    <m/>
    <m/>
    <m/>
    <n v="0"/>
    <n v="0"/>
    <m/>
    <m/>
    <m/>
    <m/>
    <m/>
    <m/>
    <m/>
    <m/>
    <n v="0"/>
    <n v="0"/>
    <n v="0"/>
    <n v="12"/>
    <n v="12"/>
    <m/>
    <m/>
    <n v="0"/>
    <n v="86.89"/>
    <m/>
    <x v="24"/>
    <n v="57"/>
    <m/>
    <m/>
    <m/>
  </r>
  <r>
    <x v="0"/>
    <x v="4"/>
    <s v="7710/16"/>
    <x v="218"/>
    <s v="ہیڈ افس لاہور"/>
    <s v="PP"/>
    <n v="13"/>
    <s v="7"/>
    <s v="PP"/>
    <n v="250"/>
    <s v="PP"/>
    <n v="3"/>
    <n v="149.46"/>
    <n v="4.8000000000000007"/>
    <m/>
    <m/>
    <n v="144.66"/>
    <s v="279.06"/>
    <m/>
    <m/>
    <m/>
    <n v="0"/>
    <n v="0"/>
    <m/>
    <m/>
    <m/>
    <m/>
    <m/>
    <m/>
    <m/>
    <m/>
    <n v="0"/>
    <n v="0"/>
    <n v="0"/>
    <n v="12"/>
    <n v="12"/>
    <m/>
    <m/>
    <n v="0"/>
    <n v="154.46"/>
    <m/>
    <x v="24"/>
    <n v="57"/>
    <m/>
    <m/>
    <m/>
  </r>
  <r>
    <x v="0"/>
    <x v="4"/>
    <s v="7710/18"/>
    <x v="218"/>
    <s v="ہیڈ افس لاہور"/>
    <s v="PP"/>
    <n v="15"/>
    <s v="7"/>
    <s v="PP"/>
    <n v="375"/>
    <s v="PP"/>
    <n v="3"/>
    <n v="164.92000000000002"/>
    <n v="5.4"/>
    <m/>
    <m/>
    <n v="159.52000000000001"/>
    <s v="656"/>
    <n v="20"/>
    <m/>
    <m/>
    <n v="20"/>
    <n v="0.33333333333333331"/>
    <n v="135"/>
    <m/>
    <m/>
    <m/>
    <m/>
    <m/>
    <m/>
    <m/>
    <n v="135"/>
    <n v="2.25"/>
    <n v="2.5833333333333335"/>
    <n v="9.4166666666666661"/>
    <n v="12"/>
    <m/>
    <m/>
    <n v="0"/>
    <n v="169.92000000000002"/>
    <m/>
    <x v="24"/>
    <n v="57"/>
    <m/>
    <m/>
    <m/>
  </r>
  <r>
    <x v="0"/>
    <x v="4"/>
    <s v="7085 J"/>
    <x v="218"/>
    <s v="Foxcel Exclusive LHR"/>
    <s v="PP"/>
    <n v="13"/>
    <s v="9-10."/>
    <s v="PP"/>
    <n v="100"/>
    <s v="PP"/>
    <n v="2"/>
    <n v="110.00999999999999"/>
    <n v="3.2"/>
    <m/>
    <m/>
    <n v="106.80999999999999"/>
    <s v="106.80999999999999"/>
    <m/>
    <m/>
    <m/>
    <n v="0"/>
    <n v="0"/>
    <m/>
    <m/>
    <m/>
    <m/>
    <m/>
    <m/>
    <m/>
    <m/>
    <n v="0"/>
    <n v="0"/>
    <n v="0"/>
    <n v="12"/>
    <n v="12"/>
    <m/>
    <m/>
    <n v="0"/>
    <n v="115.01"/>
    <m/>
    <x v="24"/>
    <n v="57"/>
    <m/>
    <m/>
    <m/>
  </r>
  <r>
    <x v="1"/>
    <x v="4"/>
    <s v="7710/18"/>
    <x v="218"/>
    <s v="ہیڈ افس لاہور"/>
    <s v="PP"/>
    <n v="15"/>
    <s v="7"/>
    <s v="PP"/>
    <n v="375"/>
    <s v="PP"/>
    <n v="11"/>
    <n v="516.28"/>
    <n v="19.8"/>
    <m/>
    <m/>
    <n v="496.47999999999996"/>
    <s v="656"/>
    <n v="25"/>
    <m/>
    <m/>
    <n v="25"/>
    <n v="0.41666666666666674"/>
    <m/>
    <m/>
    <m/>
    <m/>
    <m/>
    <m/>
    <n v="35"/>
    <m/>
    <n v="35"/>
    <n v="0.58333333333333337"/>
    <n v="1"/>
    <n v="11"/>
    <n v="12"/>
    <m/>
    <m/>
    <n v="0"/>
    <n v="521.28"/>
    <m/>
    <x v="24"/>
    <n v="57"/>
    <m/>
    <m/>
    <m/>
  </r>
  <r>
    <x v="0"/>
    <x v="0"/>
    <s v="2.5/11"/>
    <x v="219"/>
    <s v="سٹاک"/>
    <s v="PP"/>
    <n v="2.5"/>
    <s v="5.5-6"/>
    <s v="PP"/>
    <s v="15 رول بیگ"/>
    <s v="PP"/>
    <n v="3"/>
    <n v="62.419999999999995"/>
    <n v="0.60000000000000009"/>
    <m/>
    <m/>
    <n v="61.819999999999993"/>
    <s v="711.25"/>
    <m/>
    <n v="360"/>
    <m/>
    <n v="360"/>
    <n v="6"/>
    <m/>
    <m/>
    <m/>
    <m/>
    <m/>
    <m/>
    <m/>
    <m/>
    <n v="0"/>
    <n v="0"/>
    <n v="6"/>
    <n v="6"/>
    <n v="12"/>
    <m/>
    <m/>
    <n v="0"/>
    <n v="67.419999999999987"/>
    <m/>
    <x v="24"/>
    <n v="57"/>
    <m/>
    <m/>
    <m/>
  </r>
  <r>
    <x v="1"/>
    <x v="0"/>
    <s v="2.5/11"/>
    <x v="219"/>
    <s v="سٹاک"/>
    <s v="PP"/>
    <n v="2.5"/>
    <s v="5.5-6"/>
    <s v="PP"/>
    <s v="15 رول بیگ"/>
    <s v="PP"/>
    <n v="6"/>
    <n v="127.43"/>
    <n v="1.2000000000000002"/>
    <m/>
    <m/>
    <n v="126.23"/>
    <s v="711.25"/>
    <m/>
    <m/>
    <m/>
    <n v="0"/>
    <n v="0"/>
    <m/>
    <m/>
    <m/>
    <m/>
    <m/>
    <m/>
    <m/>
    <m/>
    <n v="0"/>
    <n v="0"/>
    <n v="0"/>
    <n v="12"/>
    <n v="12"/>
    <m/>
    <m/>
    <n v="0"/>
    <n v="132.43"/>
    <m/>
    <x v="24"/>
    <n v="57"/>
    <m/>
    <m/>
    <m/>
  </r>
  <r>
    <x v="0"/>
    <x v="1"/>
    <s v="3/13"/>
    <x v="219"/>
    <s v="سٹاک"/>
    <s v="PP"/>
    <n v="3"/>
    <s v="5.5-6"/>
    <s v="PP"/>
    <n v="1000"/>
    <s v="PP"/>
    <n v="11"/>
    <n v="143.97999999999999"/>
    <n v="3.3"/>
    <m/>
    <m/>
    <n v="140.67999999999998"/>
    <s v="1045.8999999999999"/>
    <m/>
    <m/>
    <m/>
    <n v="0"/>
    <n v="0"/>
    <m/>
    <m/>
    <m/>
    <m/>
    <m/>
    <m/>
    <m/>
    <m/>
    <n v="0"/>
    <n v="0"/>
    <n v="0"/>
    <n v="12"/>
    <n v="12"/>
    <m/>
    <m/>
    <n v="0"/>
    <n v="148.97999999999999"/>
    <m/>
    <x v="24"/>
    <n v="57"/>
    <m/>
    <m/>
    <m/>
  </r>
  <r>
    <x v="1"/>
    <x v="1"/>
    <s v="3/13"/>
    <x v="219"/>
    <s v="سٹاک"/>
    <s v="PP"/>
    <n v="3"/>
    <s v="5.5-6"/>
    <s v="PP"/>
    <n v="1000"/>
    <s v="PP"/>
    <n v="11"/>
    <n v="139.44"/>
    <n v="3.3"/>
    <m/>
    <m/>
    <n v="136.13999999999999"/>
    <s v="1045.8999999999999"/>
    <m/>
    <m/>
    <m/>
    <n v="0"/>
    <n v="0"/>
    <m/>
    <m/>
    <m/>
    <m/>
    <m/>
    <m/>
    <m/>
    <m/>
    <n v="0"/>
    <n v="0"/>
    <n v="0"/>
    <n v="12"/>
    <n v="12"/>
    <m/>
    <m/>
    <n v="0"/>
    <n v="144.44"/>
    <m/>
    <x v="24"/>
    <n v="57"/>
    <m/>
    <m/>
    <m/>
  </r>
  <r>
    <x v="0"/>
    <x v="3"/>
    <s v="7690/9"/>
    <x v="219"/>
    <s v="العمر پلاسٹک گوجرانوالہ"/>
    <s v="PP"/>
    <n v="24"/>
    <s v="6"/>
    <s v="PP"/>
    <n v="150"/>
    <s v="PP"/>
    <n v="2"/>
    <n v="87.19"/>
    <n v="5.3000000000000007"/>
    <m/>
    <m/>
    <n v="81.89"/>
    <s v="158.98000000000002"/>
    <n v="25"/>
    <m/>
    <m/>
    <n v="25"/>
    <n v="0.41666666666666674"/>
    <m/>
    <m/>
    <m/>
    <m/>
    <m/>
    <m/>
    <m/>
    <m/>
    <n v="0"/>
    <n v="0"/>
    <n v="0.41666666666666674"/>
    <n v="11.583333333333334"/>
    <n v="12"/>
    <m/>
    <m/>
    <n v="0"/>
    <n v="92.19"/>
    <m/>
    <x v="24"/>
    <n v="57"/>
    <m/>
    <m/>
    <m/>
  </r>
  <r>
    <x v="0"/>
    <x v="3"/>
    <s v="7164 J"/>
    <x v="219"/>
    <s v="Shah Posh Plas Rwp"/>
    <s v="PP"/>
    <n v="17"/>
    <s v="10-10.5"/>
    <s v="PP"/>
    <n v="2500"/>
    <s v="PP"/>
    <n v="14"/>
    <n v="847.51999999999987"/>
    <n v="24.53"/>
    <n v="19"/>
    <m/>
    <n v="822.9899999999999"/>
    <s v="2412.02"/>
    <m/>
    <m/>
    <m/>
    <n v="0"/>
    <n v="0"/>
    <m/>
    <m/>
    <m/>
    <m/>
    <m/>
    <m/>
    <m/>
    <m/>
    <n v="0"/>
    <n v="0"/>
    <n v="0"/>
    <n v="12"/>
    <n v="12"/>
    <m/>
    <m/>
    <n v="0"/>
    <n v="852.51999999999987"/>
    <m/>
    <x v="24"/>
    <n v="57"/>
    <m/>
    <m/>
    <m/>
  </r>
  <r>
    <x v="1"/>
    <x v="3"/>
    <s v="7164 J"/>
    <x v="219"/>
    <s v="Shah Posh Plas Rwp"/>
    <s v="PP"/>
    <n v="17"/>
    <s v="10-10.5"/>
    <s v="PP"/>
    <n v="2500"/>
    <s v="PP"/>
    <n v="12"/>
    <n v="688.03"/>
    <n v="22.72"/>
    <n v="13"/>
    <m/>
    <n v="665.31"/>
    <s v="2412.02"/>
    <m/>
    <m/>
    <m/>
    <n v="0"/>
    <n v="0"/>
    <m/>
    <m/>
    <m/>
    <m/>
    <m/>
    <m/>
    <m/>
    <m/>
    <n v="0"/>
    <n v="0"/>
    <n v="0"/>
    <n v="12"/>
    <n v="12"/>
    <m/>
    <m/>
    <n v="0"/>
    <n v="693.03"/>
    <m/>
    <x v="24"/>
    <n v="57"/>
    <m/>
    <m/>
    <m/>
  </r>
  <r>
    <x v="1"/>
    <x v="3"/>
    <s v="7710/19"/>
    <x v="219"/>
    <s v="ہیڈ افس لاہور"/>
    <s v="PP"/>
    <n v="17"/>
    <s v="7"/>
    <s v="PP"/>
    <n v="375"/>
    <s v="PP"/>
    <n v="4"/>
    <n v="263.78000000000003"/>
    <n v="6.8"/>
    <m/>
    <m/>
    <n v="256.98"/>
    <s v="378.75"/>
    <m/>
    <m/>
    <m/>
    <n v="0"/>
    <n v="0"/>
    <m/>
    <m/>
    <m/>
    <m/>
    <m/>
    <m/>
    <m/>
    <m/>
    <n v="0"/>
    <n v="0"/>
    <n v="0"/>
    <n v="12"/>
    <n v="12"/>
    <m/>
    <m/>
    <n v="0"/>
    <n v="268.78000000000003"/>
    <m/>
    <x v="24"/>
    <n v="57"/>
    <m/>
    <m/>
    <m/>
  </r>
  <r>
    <x v="0"/>
    <x v="4"/>
    <s v="7707/2"/>
    <x v="219"/>
    <s v="حذیفہ P اعظم مارکیٹ"/>
    <s v="PP"/>
    <n v="9"/>
    <s v="6"/>
    <s v="PP"/>
    <n v="100"/>
    <s v="PP"/>
    <n v="8"/>
    <n v="329.42"/>
    <n v="4.0999999999999996"/>
    <m/>
    <m/>
    <n v="325.32"/>
    <s v="325.32"/>
    <m/>
    <m/>
    <m/>
    <n v="0"/>
    <n v="0"/>
    <m/>
    <m/>
    <m/>
    <m/>
    <m/>
    <m/>
    <m/>
    <m/>
    <n v="0"/>
    <n v="0"/>
    <n v="0"/>
    <n v="12"/>
    <n v="12"/>
    <m/>
    <m/>
    <n v="0"/>
    <n v="334.42"/>
    <m/>
    <x v="24"/>
    <n v="57"/>
    <m/>
    <m/>
    <m/>
  </r>
  <r>
    <x v="0"/>
    <x v="4"/>
    <s v="7732/2"/>
    <x v="219"/>
    <s v="شیخ انور  لیہٰ"/>
    <s v="PP"/>
    <n v="9"/>
    <s v="4-4.5"/>
    <s v="PP"/>
    <n v="100"/>
    <s v="PP"/>
    <n v="2"/>
    <n v="61.4"/>
    <n v="1.8"/>
    <n v="3"/>
    <m/>
    <n v="59.6"/>
    <s v="118.30000000000001"/>
    <m/>
    <m/>
    <m/>
    <n v="0"/>
    <n v="0"/>
    <m/>
    <m/>
    <m/>
    <m/>
    <m/>
    <m/>
    <m/>
    <m/>
    <n v="0"/>
    <n v="0"/>
    <n v="0"/>
    <n v="12"/>
    <n v="12"/>
    <m/>
    <m/>
    <n v="0"/>
    <n v="66.400000000000006"/>
    <m/>
    <x v="24"/>
    <n v="57"/>
    <m/>
    <m/>
    <m/>
  </r>
  <r>
    <x v="1"/>
    <x v="4"/>
    <s v="7732/2"/>
    <x v="219"/>
    <s v="شیخ انور  لیہٰ"/>
    <s v="PP"/>
    <n v="9"/>
    <s v="4-4.5"/>
    <s v="PP"/>
    <n v="100"/>
    <s v="PP"/>
    <n v="2"/>
    <n v="61.1"/>
    <n v="2.4"/>
    <n v="3"/>
    <m/>
    <n v="58.7"/>
    <s v="118.30000000000001"/>
    <n v="20"/>
    <m/>
    <m/>
    <n v="20"/>
    <n v="0.33333333333333331"/>
    <m/>
    <m/>
    <m/>
    <m/>
    <m/>
    <m/>
    <m/>
    <m/>
    <n v="0"/>
    <n v="0"/>
    <n v="0.33333333333333331"/>
    <n v="11.666666666666666"/>
    <n v="12"/>
    <m/>
    <m/>
    <n v="0"/>
    <n v="66.099999999999994"/>
    <m/>
    <x v="24"/>
    <n v="57"/>
    <m/>
    <m/>
    <m/>
  </r>
  <r>
    <x v="1"/>
    <x v="4"/>
    <s v="7707/1"/>
    <x v="219"/>
    <s v="حذیفہ P اعظم مارکیٹ"/>
    <s v="PP"/>
    <n v="10"/>
    <s v="8"/>
    <s v="PP"/>
    <n v="100"/>
    <s v="PP"/>
    <n v="4"/>
    <n v="107.12"/>
    <n v="4.92"/>
    <m/>
    <m/>
    <n v="102.2"/>
    <s v="102.2"/>
    <n v="25"/>
    <m/>
    <m/>
    <n v="25"/>
    <n v="0.41666666666666674"/>
    <m/>
    <m/>
    <m/>
    <m/>
    <m/>
    <m/>
    <m/>
    <m/>
    <n v="0"/>
    <n v="0"/>
    <n v="0.41666666666666674"/>
    <n v="11.583333333333334"/>
    <n v="12"/>
    <m/>
    <m/>
    <n v="0"/>
    <n v="112.12"/>
    <m/>
    <x v="24"/>
    <n v="57"/>
    <m/>
    <m/>
    <m/>
  </r>
  <r>
    <x v="1"/>
    <x v="4"/>
    <s v="7717/6"/>
    <x v="219"/>
    <s v="سلطان ٹریڈرز فیصل اباد"/>
    <s v="PP"/>
    <n v="10"/>
    <s v="9"/>
    <s v="PP"/>
    <n v="100"/>
    <s v="PP"/>
    <n v="4"/>
    <n v="159.66"/>
    <n v="4"/>
    <m/>
    <m/>
    <n v="155.66"/>
    <s v="155.66"/>
    <m/>
    <m/>
    <m/>
    <n v="0"/>
    <n v="0"/>
    <m/>
    <m/>
    <m/>
    <m/>
    <m/>
    <m/>
    <m/>
    <m/>
    <n v="0"/>
    <n v="0"/>
    <n v="0"/>
    <n v="12"/>
    <n v="12"/>
    <m/>
    <m/>
    <n v="0"/>
    <n v="164.66"/>
    <m/>
    <x v="24"/>
    <n v="57"/>
    <m/>
    <m/>
    <m/>
  </r>
  <r>
    <x v="1"/>
    <x v="4"/>
    <s v="7717/1"/>
    <x v="219"/>
    <s v="سلطان ٹریڈرز فیصل اباد"/>
    <s v="PP"/>
    <n v="12"/>
    <s v="9"/>
    <s v="PP"/>
    <n v="75"/>
    <s v="PP"/>
    <n v="1"/>
    <n v="50.7"/>
    <n v="1.2"/>
    <m/>
    <m/>
    <n v="49.5"/>
    <s v="267.60000000000002"/>
    <m/>
    <m/>
    <m/>
    <n v="0"/>
    <n v="0"/>
    <m/>
    <m/>
    <m/>
    <m/>
    <m/>
    <m/>
    <m/>
    <m/>
    <n v="0"/>
    <n v="0"/>
    <n v="0"/>
    <n v="12"/>
    <n v="12"/>
    <m/>
    <m/>
    <n v="0"/>
    <n v="55.7"/>
    <m/>
    <x v="24"/>
    <n v="57"/>
    <m/>
    <m/>
    <m/>
  </r>
  <r>
    <x v="0"/>
    <x v="0"/>
    <s v="2/6"/>
    <x v="220"/>
    <s v="سٹاک"/>
    <s v="PP"/>
    <n v="2"/>
    <s v="5.5-6"/>
    <s v="PP"/>
    <s v="30 رول بیگ"/>
    <s v="PP"/>
    <n v="5"/>
    <n v="105.16"/>
    <n v="1"/>
    <m/>
    <m/>
    <n v="104.16"/>
    <s v="687.5100000000001"/>
    <m/>
    <m/>
    <m/>
    <n v="0"/>
    <n v="0"/>
    <m/>
    <m/>
    <m/>
    <m/>
    <m/>
    <m/>
    <m/>
    <m/>
    <n v="0"/>
    <n v="0"/>
    <n v="0"/>
    <n v="12"/>
    <n v="12"/>
    <m/>
    <m/>
    <n v="0"/>
    <n v="110.16"/>
    <m/>
    <x v="24"/>
    <n v="57"/>
    <m/>
    <m/>
    <m/>
  </r>
  <r>
    <x v="0"/>
    <x v="0"/>
    <s v="2/6"/>
    <x v="220"/>
    <s v="سٹاک"/>
    <s v="PP"/>
    <n v="2"/>
    <s v="5.5-6"/>
    <s v="PP"/>
    <s v="30 رول بیگ"/>
    <s v="PP"/>
    <n v="2"/>
    <n v="23.06"/>
    <n v="0.4"/>
    <m/>
    <m/>
    <n v="22.66"/>
    <s v="687.5100000000001"/>
    <m/>
    <m/>
    <m/>
    <n v="0"/>
    <n v="0"/>
    <m/>
    <m/>
    <m/>
    <m/>
    <m/>
    <m/>
    <m/>
    <m/>
    <n v="0"/>
    <n v="0"/>
    <n v="0"/>
    <n v="12"/>
    <n v="12"/>
    <m/>
    <m/>
    <n v="0"/>
    <n v="28.06"/>
    <m/>
    <x v="24"/>
    <n v="57"/>
    <m/>
    <m/>
    <m/>
  </r>
  <r>
    <x v="1"/>
    <x v="0"/>
    <s v="2/6"/>
    <x v="220"/>
    <s v="سٹاک"/>
    <s v="PP"/>
    <n v="2"/>
    <s v="5.5-6"/>
    <s v="PP"/>
    <s v="30 رول بیگ"/>
    <s v="PP"/>
    <n v="7"/>
    <n v="131.97"/>
    <n v="1.4000000000000001"/>
    <m/>
    <m/>
    <n v="130.57"/>
    <s v="687.5100000000001"/>
    <m/>
    <m/>
    <m/>
    <n v="0"/>
    <n v="0"/>
    <m/>
    <m/>
    <m/>
    <m/>
    <m/>
    <m/>
    <m/>
    <m/>
    <n v="0"/>
    <n v="0"/>
    <n v="0"/>
    <n v="12"/>
    <n v="12"/>
    <m/>
    <m/>
    <n v="0"/>
    <n v="136.97"/>
    <m/>
    <x v="24"/>
    <n v="57"/>
    <m/>
    <m/>
    <m/>
  </r>
  <r>
    <x v="0"/>
    <x v="1"/>
    <s v="3/13"/>
    <x v="220"/>
    <s v="سٹاک"/>
    <s v="PP"/>
    <n v="3"/>
    <s v="5.5-6"/>
    <s v="PP"/>
    <n v="1000"/>
    <s v="PP"/>
    <n v="10"/>
    <n v="132.63999999999999"/>
    <n v="3"/>
    <m/>
    <m/>
    <n v="129.63999999999999"/>
    <s v="1045.8999999999999"/>
    <m/>
    <m/>
    <m/>
    <n v="0"/>
    <n v="0"/>
    <m/>
    <m/>
    <m/>
    <m/>
    <m/>
    <m/>
    <m/>
    <m/>
    <n v="0"/>
    <n v="0"/>
    <n v="0"/>
    <n v="12"/>
    <n v="12"/>
    <m/>
    <m/>
    <n v="0"/>
    <n v="137.63999999999999"/>
    <m/>
    <x v="24"/>
    <n v="57"/>
    <m/>
    <m/>
    <m/>
  </r>
  <r>
    <x v="1"/>
    <x v="1"/>
    <s v="3/13"/>
    <x v="220"/>
    <s v="سٹاک"/>
    <s v="PP"/>
    <n v="3"/>
    <s v="5.5-6"/>
    <s v="PP"/>
    <n v="1000"/>
    <s v="PP"/>
    <n v="8"/>
    <n v="103.99000000000001"/>
    <n v="2.4"/>
    <m/>
    <m/>
    <n v="101.59"/>
    <s v="1045.8999999999999"/>
    <m/>
    <m/>
    <m/>
    <n v="0"/>
    <n v="0"/>
    <m/>
    <m/>
    <m/>
    <m/>
    <m/>
    <m/>
    <m/>
    <m/>
    <n v="0"/>
    <n v="0"/>
    <n v="0"/>
    <n v="12"/>
    <n v="12"/>
    <m/>
    <m/>
    <n v="0"/>
    <n v="108.99"/>
    <m/>
    <x v="24"/>
    <n v="57"/>
    <m/>
    <m/>
    <m/>
  </r>
  <r>
    <x v="1"/>
    <x v="1"/>
    <s v="4/17"/>
    <x v="220"/>
    <s v="سٹاک"/>
    <s v="PP"/>
    <n v="4"/>
    <s v="5-5.5"/>
    <s v="PP"/>
    <n v="1000"/>
    <s v="PP"/>
    <n v="2"/>
    <n v="36.26"/>
    <n v="0.8"/>
    <m/>
    <m/>
    <n v="35.46"/>
    <s v="1073.69"/>
    <m/>
    <m/>
    <m/>
    <n v="0"/>
    <n v="0"/>
    <m/>
    <m/>
    <m/>
    <m/>
    <m/>
    <m/>
    <m/>
    <m/>
    <n v="0"/>
    <n v="0"/>
    <n v="0"/>
    <n v="12"/>
    <n v="12"/>
    <m/>
    <m/>
    <n v="0"/>
    <n v="41.26"/>
    <m/>
    <x v="24"/>
    <n v="57"/>
    <m/>
    <m/>
    <m/>
  </r>
  <r>
    <x v="0"/>
    <x v="3"/>
    <s v="7710/19"/>
    <x v="220"/>
    <s v="ہیڈ افس لاہور"/>
    <s v="PP"/>
    <n v="17"/>
    <s v="7"/>
    <s v="PP"/>
    <n v="375"/>
    <s v="PP"/>
    <n v="2"/>
    <n v="125.47"/>
    <n v="3.7"/>
    <m/>
    <m/>
    <n v="121.77"/>
    <s v="378.75"/>
    <m/>
    <m/>
    <m/>
    <n v="0"/>
    <n v="0"/>
    <m/>
    <m/>
    <m/>
    <m/>
    <m/>
    <m/>
    <m/>
    <m/>
    <n v="0"/>
    <n v="0"/>
    <n v="0"/>
    <n v="12"/>
    <n v="12"/>
    <m/>
    <m/>
    <n v="0"/>
    <n v="130.47"/>
    <m/>
    <x v="24"/>
    <n v="57"/>
    <m/>
    <m/>
    <m/>
  </r>
  <r>
    <x v="0"/>
    <x v="3"/>
    <s v="28/3"/>
    <x v="220"/>
    <s v="سٹاک"/>
    <s v="PP"/>
    <n v="28"/>
    <n v="5"/>
    <s v="PP"/>
    <n v="500"/>
    <s v="PP"/>
    <n v="9"/>
    <n v="590.42999999999995"/>
    <n v="21.599999999999998"/>
    <m/>
    <m/>
    <n v="568.82999999999993"/>
    <s v="568.82999999999993"/>
    <m/>
    <m/>
    <m/>
    <n v="0"/>
    <n v="0"/>
    <m/>
    <m/>
    <m/>
    <m/>
    <m/>
    <m/>
    <m/>
    <m/>
    <n v="0"/>
    <n v="0"/>
    <n v="0"/>
    <n v="12"/>
    <n v="12"/>
    <m/>
    <m/>
    <n v="0"/>
    <n v="595.42999999999995"/>
    <m/>
    <x v="24"/>
    <n v="57"/>
    <m/>
    <m/>
    <m/>
  </r>
  <r>
    <x v="0"/>
    <x v="3"/>
    <s v="7111 J"/>
    <x v="220"/>
    <s v="Jilani Poly Stock"/>
    <s v="PP"/>
    <n v="28"/>
    <s v="5-5.5"/>
    <s v="PP"/>
    <s v="-"/>
    <s v="PP"/>
    <n v="1"/>
    <n v="62.47"/>
    <n v="2.5"/>
    <n v="14"/>
    <m/>
    <n v="59.97"/>
    <s v="1554.5300000000002"/>
    <n v="20"/>
    <m/>
    <m/>
    <n v="20"/>
    <n v="0.33333333333333331"/>
    <m/>
    <m/>
    <m/>
    <m/>
    <m/>
    <m/>
    <m/>
    <m/>
    <n v="0"/>
    <n v="0"/>
    <n v="0.33333333333333331"/>
    <n v="11.666666666666666"/>
    <n v="12"/>
    <m/>
    <m/>
    <n v="0"/>
    <n v="67.47"/>
    <m/>
    <x v="24"/>
    <n v="57"/>
    <m/>
    <m/>
    <m/>
  </r>
  <r>
    <x v="1"/>
    <x v="3"/>
    <s v="7111 J"/>
    <x v="220"/>
    <s v="Jilani Poly Stock"/>
    <s v="PP"/>
    <n v="28"/>
    <s v="5-5.5"/>
    <s v="PP"/>
    <s v="-"/>
    <s v="PP"/>
    <n v="11"/>
    <n v="750.5"/>
    <n v="30.799999999999997"/>
    <n v="16"/>
    <m/>
    <n v="719.7"/>
    <s v="1554.5300000000002"/>
    <m/>
    <m/>
    <m/>
    <n v="0"/>
    <n v="0"/>
    <m/>
    <m/>
    <m/>
    <m/>
    <m/>
    <m/>
    <m/>
    <m/>
    <n v="0"/>
    <n v="0"/>
    <n v="0"/>
    <n v="12"/>
    <n v="12"/>
    <m/>
    <m/>
    <n v="0"/>
    <n v="755.5"/>
    <m/>
    <x v="24"/>
    <n v="57"/>
    <m/>
    <m/>
    <m/>
  </r>
  <r>
    <x v="0"/>
    <x v="4"/>
    <s v="7717/1"/>
    <x v="220"/>
    <s v="سلطان ٹریڈرز فیصل اباد"/>
    <s v="PP"/>
    <n v="12"/>
    <s v="9"/>
    <s v="PP"/>
    <n v="75"/>
    <s v="PP"/>
    <n v="4"/>
    <n v="223.82"/>
    <n v="5.7200000000000006"/>
    <m/>
    <m/>
    <n v="218.1"/>
    <s v="267.60000000000002"/>
    <m/>
    <m/>
    <m/>
    <n v="0"/>
    <n v="0"/>
    <m/>
    <m/>
    <m/>
    <m/>
    <m/>
    <m/>
    <m/>
    <m/>
    <n v="0"/>
    <n v="0"/>
    <n v="0"/>
    <n v="12"/>
    <n v="12"/>
    <m/>
    <m/>
    <n v="0"/>
    <n v="228.82"/>
    <m/>
    <x v="24"/>
    <n v="57"/>
    <m/>
    <m/>
    <m/>
  </r>
  <r>
    <x v="0"/>
    <x v="4"/>
    <s v="12/13"/>
    <x v="220"/>
    <s v="سٹاک"/>
    <s v="PP"/>
    <n v="12"/>
    <n v="5"/>
    <s v="PP"/>
    <n v="1000"/>
    <s v="PP"/>
    <n v="4"/>
    <n v="254.39000000000004"/>
    <n v="5.6199999999999992"/>
    <n v="5"/>
    <m/>
    <n v="248.77000000000004"/>
    <s v="1508.8300000000002"/>
    <m/>
    <m/>
    <m/>
    <n v="0"/>
    <n v="0"/>
    <m/>
    <m/>
    <m/>
    <m/>
    <m/>
    <m/>
    <m/>
    <m/>
    <n v="0"/>
    <n v="0"/>
    <n v="0"/>
    <n v="12"/>
    <n v="12"/>
    <m/>
    <m/>
    <n v="0"/>
    <n v="259.39000000000004"/>
    <m/>
    <x v="24"/>
    <n v="57"/>
    <m/>
    <m/>
    <m/>
  </r>
  <r>
    <x v="1"/>
    <x v="4"/>
    <s v="12/13"/>
    <x v="220"/>
    <s v="سٹاک"/>
    <s v="PP"/>
    <n v="12"/>
    <n v="5"/>
    <s v="PP"/>
    <n v="1000"/>
    <s v="PP"/>
    <n v="6"/>
    <n v="342.73"/>
    <n v="7.1999999999999993"/>
    <n v="5"/>
    <m/>
    <n v="335.53000000000003"/>
    <s v="1508.8300000000002"/>
    <m/>
    <m/>
    <m/>
    <n v="0"/>
    <n v="0"/>
    <m/>
    <m/>
    <m/>
    <m/>
    <m/>
    <m/>
    <m/>
    <m/>
    <n v="0"/>
    <n v="0"/>
    <n v="0"/>
    <n v="12"/>
    <n v="12"/>
    <m/>
    <m/>
    <n v="0"/>
    <n v="347.73"/>
    <m/>
    <x v="24"/>
    <n v="57"/>
    <m/>
    <m/>
    <m/>
  </r>
  <r>
    <x v="1"/>
    <x v="4"/>
    <s v="7198 J"/>
    <x v="220"/>
    <s v="RMC PACK"/>
    <s v="PP"/>
    <n v="12"/>
    <s v="5.5-6/11-12"/>
    <s v="PP"/>
    <n v="100"/>
    <s v="PP"/>
    <n v="3"/>
    <n v="104.99000000000001"/>
    <n v="3.5999999999999996"/>
    <m/>
    <m/>
    <n v="101.39000000000001"/>
    <s v="101.39000000000001"/>
    <m/>
    <m/>
    <m/>
    <n v="0"/>
    <n v="0"/>
    <m/>
    <m/>
    <m/>
    <m/>
    <m/>
    <m/>
    <m/>
    <m/>
    <n v="0"/>
    <n v="0"/>
    <n v="0"/>
    <n v="12"/>
    <n v="12"/>
    <m/>
    <m/>
    <n v="0"/>
    <n v="109.99"/>
    <m/>
    <x v="24"/>
    <n v="57"/>
    <m/>
    <m/>
    <m/>
  </r>
  <r>
    <x v="0"/>
    <x v="0"/>
    <s v="2/6"/>
    <x v="221"/>
    <s v="سٹاک"/>
    <s v="PP"/>
    <n v="2"/>
    <s v="5.5-6"/>
    <s v="PP"/>
    <s v="30 رول بیگ"/>
    <s v="PP"/>
    <n v="5"/>
    <n v="90.96"/>
    <n v="1"/>
    <m/>
    <m/>
    <n v="89.96"/>
    <s v="687.5100000000001"/>
    <m/>
    <m/>
    <m/>
    <n v="0"/>
    <n v="0"/>
    <m/>
    <m/>
    <m/>
    <m/>
    <m/>
    <m/>
    <m/>
    <m/>
    <n v="0"/>
    <n v="0"/>
    <n v="0"/>
    <n v="12"/>
    <n v="12"/>
    <m/>
    <m/>
    <n v="0"/>
    <n v="95.96"/>
    <m/>
    <x v="24"/>
    <n v="57"/>
    <m/>
    <m/>
    <m/>
  </r>
  <r>
    <x v="0"/>
    <x v="0"/>
    <s v="2.5/3"/>
    <x v="221"/>
    <s v="سٹاک"/>
    <s v="PP"/>
    <n v="2.5"/>
    <s v="5.5-6"/>
    <s v="PP"/>
    <n v="1000"/>
    <s v="PP"/>
    <n v="3"/>
    <n v="40.799999999999997"/>
    <n v="0.75"/>
    <n v="12"/>
    <m/>
    <n v="40.049999999999997"/>
    <s v="1646.3900000000003"/>
    <m/>
    <m/>
    <m/>
    <n v="0"/>
    <n v="0"/>
    <m/>
    <m/>
    <m/>
    <m/>
    <m/>
    <m/>
    <m/>
    <m/>
    <n v="0"/>
    <n v="0"/>
    <n v="0"/>
    <n v="12"/>
    <n v="12"/>
    <m/>
    <m/>
    <n v="0"/>
    <n v="45.8"/>
    <m/>
    <x v="24"/>
    <n v="57"/>
    <m/>
    <m/>
    <m/>
  </r>
  <r>
    <x v="1"/>
    <x v="0"/>
    <s v="2.5/3"/>
    <x v="221"/>
    <s v="سٹاک"/>
    <s v="PP"/>
    <n v="2.5"/>
    <s v="5.5-6"/>
    <s v="PP"/>
    <n v="1000"/>
    <s v="PP"/>
    <n v="9"/>
    <n v="125.69"/>
    <n v="1.8"/>
    <n v="12"/>
    <m/>
    <n v="123.89"/>
    <s v="1646.3900000000003"/>
    <m/>
    <m/>
    <n v="120"/>
    <n v="120"/>
    <n v="2"/>
    <m/>
    <m/>
    <m/>
    <m/>
    <m/>
    <m/>
    <m/>
    <m/>
    <n v="0"/>
    <n v="0"/>
    <n v="2"/>
    <n v="10"/>
    <n v="12"/>
    <m/>
    <m/>
    <n v="0"/>
    <n v="130.69"/>
    <m/>
    <x v="24"/>
    <n v="57"/>
    <m/>
    <m/>
    <m/>
  </r>
  <r>
    <x v="0"/>
    <x v="1"/>
    <s v="4/17"/>
    <x v="221"/>
    <s v="سٹاک"/>
    <s v="PP"/>
    <n v="4"/>
    <s v="5-5.5"/>
    <s v="PP"/>
    <n v="1000"/>
    <s v="PP"/>
    <n v="8"/>
    <n v="137.85"/>
    <n v="3.2"/>
    <m/>
    <m/>
    <n v="134.65"/>
    <s v="1073.69"/>
    <m/>
    <m/>
    <m/>
    <n v="0"/>
    <n v="0"/>
    <m/>
    <m/>
    <m/>
    <m/>
    <m/>
    <m/>
    <m/>
    <m/>
    <n v="0"/>
    <n v="0"/>
    <n v="0"/>
    <n v="12"/>
    <n v="12"/>
    <m/>
    <m/>
    <n v="0"/>
    <n v="142.85"/>
    <m/>
    <x v="24"/>
    <n v="57"/>
    <m/>
    <m/>
    <m/>
  </r>
  <r>
    <x v="1"/>
    <x v="1"/>
    <s v="4/17"/>
    <x v="221"/>
    <s v="سٹاک"/>
    <s v="PP"/>
    <n v="4"/>
    <s v="5-5.5"/>
    <s v="PP"/>
    <n v="1000"/>
    <s v="PP"/>
    <n v="8"/>
    <n v="127.77000000000001"/>
    <n v="3.2"/>
    <m/>
    <m/>
    <n v="124.57000000000001"/>
    <s v="1073.69"/>
    <m/>
    <m/>
    <n v="120"/>
    <n v="120"/>
    <n v="2"/>
    <m/>
    <m/>
    <m/>
    <m/>
    <m/>
    <m/>
    <m/>
    <m/>
    <n v="0"/>
    <n v="0"/>
    <n v="2"/>
    <n v="10"/>
    <n v="12"/>
    <m/>
    <m/>
    <n v="0"/>
    <n v="132.77000000000001"/>
    <m/>
    <x v="24"/>
    <n v="57"/>
    <m/>
    <m/>
    <m/>
  </r>
  <r>
    <x v="0"/>
    <x v="4"/>
    <s v="12/13"/>
    <x v="221"/>
    <s v="سٹاک"/>
    <s v="PP"/>
    <n v="12"/>
    <n v="5"/>
    <s v="PP"/>
    <n v="1000"/>
    <s v="PP"/>
    <n v="8"/>
    <n v="500.83"/>
    <n v="11.2"/>
    <m/>
    <m/>
    <n v="489.63"/>
    <s v="1508.8300000000002"/>
    <m/>
    <m/>
    <m/>
    <n v="0"/>
    <n v="0"/>
    <m/>
    <m/>
    <m/>
    <m/>
    <m/>
    <m/>
    <m/>
    <m/>
    <n v="0"/>
    <n v="0"/>
    <n v="0"/>
    <n v="12"/>
    <n v="12"/>
    <m/>
    <m/>
    <n v="0"/>
    <n v="505.83"/>
    <m/>
    <x v="24"/>
    <n v="57"/>
    <m/>
    <m/>
    <m/>
  </r>
  <r>
    <x v="1"/>
    <x v="4"/>
    <s v="12/13"/>
    <x v="221"/>
    <s v="سٹاک"/>
    <s v="PP"/>
    <n v="12"/>
    <n v="5"/>
    <s v="PP"/>
    <n v="1000"/>
    <s v="PP"/>
    <n v="8"/>
    <n v="446.1"/>
    <n v="11.2"/>
    <m/>
    <m/>
    <n v="434.90000000000003"/>
    <s v="1508.8300000000002"/>
    <m/>
    <m/>
    <n v="120"/>
    <n v="120"/>
    <n v="2"/>
    <m/>
    <m/>
    <m/>
    <m/>
    <m/>
    <m/>
    <m/>
    <m/>
    <n v="0"/>
    <n v="0"/>
    <n v="2"/>
    <n v="10"/>
    <n v="12"/>
    <m/>
    <m/>
    <n v="0"/>
    <n v="451.1"/>
    <m/>
    <x v="24"/>
    <n v="57"/>
    <m/>
    <m/>
    <m/>
  </r>
  <r>
    <x v="0"/>
    <x v="3"/>
    <s v="7111 J"/>
    <x v="221"/>
    <s v="Jilani Poly Stock"/>
    <s v="PP"/>
    <n v="28"/>
    <s v="5-5.5"/>
    <s v="PP"/>
    <s v="-"/>
    <s v="PP"/>
    <n v="10"/>
    <n v="683.46"/>
    <n v="24"/>
    <n v="7"/>
    <m/>
    <n v="659.46"/>
    <s v="1554.5300000000002"/>
    <m/>
    <m/>
    <m/>
    <n v="0"/>
    <n v="0"/>
    <m/>
    <m/>
    <m/>
    <m/>
    <m/>
    <m/>
    <m/>
    <m/>
    <n v="0"/>
    <n v="0"/>
    <n v="0"/>
    <n v="12"/>
    <n v="12"/>
    <m/>
    <m/>
    <n v="0"/>
    <n v="688.46"/>
    <m/>
    <x v="24"/>
    <n v="57"/>
    <m/>
    <m/>
    <m/>
  </r>
  <r>
    <x v="1"/>
    <x v="3"/>
    <s v="7111 J"/>
    <x v="221"/>
    <s v="Jilani Poly Stock"/>
    <s v="PP"/>
    <n v="28"/>
    <s v="5-5.5"/>
    <s v="PP"/>
    <s v="-"/>
    <s v="PP"/>
    <n v="2"/>
    <n v="121"/>
    <n v="5.6"/>
    <n v="4"/>
    <m/>
    <n v="115.4"/>
    <s v="1554.5300000000002"/>
    <m/>
    <m/>
    <m/>
    <n v="0"/>
    <n v="0"/>
    <m/>
    <m/>
    <m/>
    <m/>
    <m/>
    <m/>
    <m/>
    <m/>
    <n v="0"/>
    <n v="0"/>
    <n v="0"/>
    <n v="12"/>
    <n v="12"/>
    <m/>
    <m/>
    <n v="0"/>
    <n v="126"/>
    <m/>
    <x v="24"/>
    <n v="57"/>
    <m/>
    <m/>
    <m/>
  </r>
  <r>
    <x v="1"/>
    <x v="3"/>
    <s v="7108 J"/>
    <x v="221"/>
    <s v="Jilani Poly Stock"/>
    <s v="PP"/>
    <n v="18"/>
    <s v="5-5.5"/>
    <s v="PP"/>
    <s v="-"/>
    <s v="PP"/>
    <n v="5"/>
    <n v="305.85999999999996"/>
    <n v="10.8"/>
    <m/>
    <m/>
    <n v="295.05999999999995"/>
    <s v="1074.5"/>
    <m/>
    <m/>
    <m/>
    <n v="0"/>
    <n v="0"/>
    <m/>
    <m/>
    <m/>
    <m/>
    <m/>
    <m/>
    <m/>
    <m/>
    <n v="0"/>
    <n v="0"/>
    <n v="0"/>
    <n v="12"/>
    <n v="12"/>
    <m/>
    <m/>
    <n v="0"/>
    <n v="310.85999999999996"/>
    <m/>
    <x v="24"/>
    <n v="57"/>
    <m/>
    <m/>
    <m/>
  </r>
  <r>
    <x v="1"/>
    <x v="3"/>
    <s v="7248 J"/>
    <x v="221"/>
    <s v="Asim Attari Azam Market Lhr"/>
    <s v="PP"/>
    <n v="28"/>
    <s v="9-10."/>
    <s v="PP"/>
    <n v="100"/>
    <s v="PP"/>
    <n v="3"/>
    <n v="109.50000000000001"/>
    <n v="8.3999999999999986"/>
    <m/>
    <m/>
    <n v="101.10000000000002"/>
    <s v="101.10000000000002"/>
    <m/>
    <m/>
    <m/>
    <n v="0"/>
    <n v="0"/>
    <m/>
    <m/>
    <m/>
    <m/>
    <m/>
    <m/>
    <m/>
    <m/>
    <n v="0"/>
    <n v="0"/>
    <n v="0"/>
    <n v="12"/>
    <n v="12"/>
    <m/>
    <m/>
    <n v="0"/>
    <n v="114.5"/>
    <m/>
    <x v="24"/>
    <n v="57"/>
    <m/>
    <m/>
    <m/>
  </r>
  <r>
    <x v="1"/>
    <x v="3"/>
    <s v="7717/3"/>
    <x v="221"/>
    <s v="سلطان ٹریڈرز فیصل اباد"/>
    <s v="PP"/>
    <n v="18"/>
    <s v="9"/>
    <s v="PP"/>
    <n v="75"/>
    <s v="PP"/>
    <n v="2"/>
    <n v="82.12"/>
    <n v="3.6"/>
    <m/>
    <m/>
    <n v="78.52000000000001"/>
    <s v="78.52000000000001"/>
    <m/>
    <m/>
    <m/>
    <n v="0"/>
    <n v="0"/>
    <m/>
    <m/>
    <m/>
    <m/>
    <m/>
    <m/>
    <m/>
    <m/>
    <n v="0"/>
    <n v="0"/>
    <n v="0"/>
    <n v="12"/>
    <n v="12"/>
    <m/>
    <m/>
    <n v="0"/>
    <n v="87.12"/>
    <m/>
    <x v="24"/>
    <n v="57"/>
    <m/>
    <m/>
    <m/>
  </r>
  <r>
    <x v="0"/>
    <x v="0"/>
    <s v="2.5/3"/>
    <x v="222"/>
    <s v="سٹاک"/>
    <s v="PP"/>
    <n v="2.5"/>
    <s v="5.5-6"/>
    <s v="PP"/>
    <n v="1000"/>
    <s v="PP"/>
    <n v="7"/>
    <n v="97.149999999999991"/>
    <n v="1.75"/>
    <n v="4"/>
    <m/>
    <n v="95.399999999999991"/>
    <s v="1646.3900000000003"/>
    <m/>
    <n v="120"/>
    <m/>
    <n v="120"/>
    <n v="2"/>
    <m/>
    <m/>
    <m/>
    <m/>
    <m/>
    <m/>
    <m/>
    <m/>
    <n v="0"/>
    <n v="0"/>
    <n v="2"/>
    <n v="10"/>
    <n v="12"/>
    <m/>
    <m/>
    <n v="0"/>
    <n v="102.15"/>
    <m/>
    <x v="25"/>
    <m/>
    <m/>
    <m/>
    <m/>
  </r>
  <r>
    <x v="1"/>
    <x v="0"/>
    <s v="2.5/3"/>
    <x v="222"/>
    <s v="سٹاک"/>
    <s v="PP"/>
    <n v="2.5"/>
    <s v="5.5-6"/>
    <s v="PP"/>
    <n v="1000"/>
    <s v="PP"/>
    <n v="10"/>
    <n v="133.59"/>
    <n v="2.5"/>
    <n v="4"/>
    <m/>
    <n v="131.09"/>
    <s v="1646.3900000000003"/>
    <m/>
    <m/>
    <m/>
    <n v="0"/>
    <n v="0"/>
    <m/>
    <m/>
    <m/>
    <m/>
    <m/>
    <m/>
    <m/>
    <m/>
    <n v="0"/>
    <n v="0"/>
    <n v="0"/>
    <n v="12"/>
    <n v="12"/>
    <m/>
    <m/>
    <n v="0"/>
    <n v="138.59"/>
    <m/>
    <x v="25"/>
    <m/>
    <m/>
    <m/>
    <m/>
  </r>
  <r>
    <x v="0"/>
    <x v="1"/>
    <s v="4/17"/>
    <x v="222"/>
    <s v="سٹاک"/>
    <s v="PP"/>
    <n v="4"/>
    <s v="5-5.5"/>
    <s v="PP"/>
    <n v="1000"/>
    <s v="PP"/>
    <n v="8"/>
    <n v="139.20000000000002"/>
    <n v="3.2"/>
    <m/>
    <m/>
    <n v="136.00000000000003"/>
    <s v="1073.69"/>
    <m/>
    <n v="180"/>
    <m/>
    <n v="180"/>
    <n v="3"/>
    <m/>
    <m/>
    <m/>
    <m/>
    <m/>
    <m/>
    <m/>
    <m/>
    <n v="0"/>
    <n v="0"/>
    <n v="3"/>
    <n v="9"/>
    <n v="12"/>
    <m/>
    <m/>
    <n v="0"/>
    <n v="144.20000000000002"/>
    <m/>
    <x v="25"/>
    <m/>
    <m/>
    <m/>
    <m/>
  </r>
  <r>
    <x v="1"/>
    <x v="1"/>
    <s v="4/17"/>
    <x v="222"/>
    <s v="سٹاک"/>
    <s v="PP"/>
    <n v="4"/>
    <s v="5-5.5"/>
    <s v="PP"/>
    <n v="1000"/>
    <s v="PP"/>
    <n v="11"/>
    <n v="189.10999999999999"/>
    <n v="8.8000000000000007"/>
    <m/>
    <m/>
    <n v="180.30999999999997"/>
    <s v="1073.69"/>
    <m/>
    <m/>
    <m/>
    <n v="0"/>
    <n v="0"/>
    <m/>
    <m/>
    <m/>
    <m/>
    <m/>
    <m/>
    <m/>
    <m/>
    <n v="0"/>
    <n v="0"/>
    <n v="0"/>
    <n v="12"/>
    <n v="12"/>
    <m/>
    <m/>
    <n v="0"/>
    <n v="194.11"/>
    <m/>
    <x v="25"/>
    <m/>
    <m/>
    <m/>
    <m/>
  </r>
  <r>
    <x v="0"/>
    <x v="3"/>
    <s v="7108 J"/>
    <x v="222"/>
    <s v="Jilani Poly Stock"/>
    <s v="PP"/>
    <n v="18"/>
    <s v="5-5.5"/>
    <s v="PP"/>
    <s v="-"/>
    <s v="PP"/>
    <n v="7"/>
    <n v="404.84"/>
    <n v="12.6"/>
    <m/>
    <m/>
    <n v="392.23999999999995"/>
    <s v="1074.5"/>
    <m/>
    <m/>
    <m/>
    <n v="0"/>
    <n v="0"/>
    <n v="300"/>
    <m/>
    <m/>
    <m/>
    <m/>
    <m/>
    <n v="120"/>
    <m/>
    <n v="420"/>
    <n v="7"/>
    <n v="7"/>
    <n v="5"/>
    <n v="12"/>
    <m/>
    <m/>
    <n v="0"/>
    <n v="409.84"/>
    <m/>
    <x v="25"/>
    <m/>
    <m/>
    <m/>
    <m/>
  </r>
  <r>
    <x v="0"/>
    <x v="3"/>
    <s v="18/9"/>
    <x v="222"/>
    <s v="سٹاک"/>
    <s v="PP"/>
    <n v="18"/>
    <n v="5"/>
    <s v="PP"/>
    <n v="1000"/>
    <s v="PP"/>
    <n v="2"/>
    <n v="89.36"/>
    <n v="3.6"/>
    <m/>
    <m/>
    <n v="85.76"/>
    <s v="1097.5300000000002"/>
    <m/>
    <m/>
    <m/>
    <n v="0"/>
    <n v="0"/>
    <m/>
    <m/>
    <m/>
    <m/>
    <m/>
    <m/>
    <m/>
    <m/>
    <n v="0"/>
    <n v="0"/>
    <n v="0"/>
    <n v="12"/>
    <n v="12"/>
    <m/>
    <m/>
    <n v="0"/>
    <n v="94.36"/>
    <m/>
    <x v="25"/>
    <m/>
    <m/>
    <m/>
    <m/>
  </r>
  <r>
    <x v="1"/>
    <x v="3"/>
    <s v="18/9"/>
    <x v="222"/>
    <s v="سٹاک"/>
    <s v="PP"/>
    <n v="18"/>
    <n v="5"/>
    <s v="PP"/>
    <n v="1000"/>
    <s v="PP"/>
    <n v="14"/>
    <n v="726.37000000000012"/>
    <n v="29.400000000000002"/>
    <m/>
    <m/>
    <n v="696.97000000000014"/>
    <s v="1097.5300000000002"/>
    <m/>
    <m/>
    <m/>
    <n v="0"/>
    <n v="0"/>
    <m/>
    <m/>
    <m/>
    <m/>
    <m/>
    <m/>
    <m/>
    <m/>
    <n v="0"/>
    <n v="0"/>
    <n v="0"/>
    <n v="12"/>
    <n v="12"/>
    <m/>
    <m/>
    <n v="0"/>
    <n v="731.37000000000012"/>
    <m/>
    <x v="25"/>
    <m/>
    <m/>
    <m/>
    <m/>
  </r>
  <r>
    <x v="0"/>
    <x v="4"/>
    <s v="7710/15"/>
    <x v="222"/>
    <s v="ہیڈ افس لاہور"/>
    <s v="PP"/>
    <n v="11"/>
    <s v="7"/>
    <s v="PP"/>
    <n v="200"/>
    <s v="PP"/>
    <n v="4"/>
    <n v="229.52"/>
    <n v="4.4000000000000004"/>
    <m/>
    <m/>
    <n v="225.12"/>
    <s v="225.12"/>
    <n v="20"/>
    <n v="270"/>
    <m/>
    <n v="290"/>
    <n v="4.833333333333333"/>
    <m/>
    <m/>
    <m/>
    <m/>
    <m/>
    <m/>
    <m/>
    <m/>
    <n v="0"/>
    <n v="0"/>
    <n v="4.833333333333333"/>
    <n v="7.166666666666667"/>
    <n v="12"/>
    <m/>
    <m/>
    <n v="0"/>
    <n v="234.52"/>
    <m/>
    <x v="25"/>
    <m/>
    <m/>
    <m/>
    <m/>
  </r>
  <r>
    <x v="0"/>
    <x v="4"/>
    <s v="10/13"/>
    <x v="222"/>
    <s v="سٹاک"/>
    <s v="PP"/>
    <n v="10"/>
    <n v="5"/>
    <s v="PP"/>
    <n v="1000"/>
    <s v="PP"/>
    <n v="3"/>
    <n v="134.5"/>
    <n v="3"/>
    <n v="30"/>
    <m/>
    <n v="131.5"/>
    <s v="1032.1400000000001"/>
    <m/>
    <m/>
    <m/>
    <n v="0"/>
    <n v="0"/>
    <m/>
    <m/>
    <m/>
    <m/>
    <m/>
    <m/>
    <m/>
    <m/>
    <n v="0"/>
    <n v="0"/>
    <n v="0"/>
    <n v="12"/>
    <n v="12"/>
    <m/>
    <m/>
    <n v="0"/>
    <n v="139.5"/>
    <m/>
    <x v="25"/>
    <m/>
    <m/>
    <m/>
    <m/>
  </r>
  <r>
    <x v="1"/>
    <x v="4"/>
    <s v="10/13"/>
    <x v="222"/>
    <s v="سٹاک"/>
    <s v="PP"/>
    <n v="10"/>
    <n v="5"/>
    <s v="PP"/>
    <n v="1000"/>
    <s v="PP"/>
    <n v="10"/>
    <n v="503.42"/>
    <n v="12"/>
    <n v="20"/>
    <m/>
    <n v="491.42"/>
    <s v="1032.1400000000001"/>
    <m/>
    <m/>
    <m/>
    <n v="0"/>
    <n v="0"/>
    <m/>
    <m/>
    <m/>
    <m/>
    <m/>
    <m/>
    <m/>
    <m/>
    <n v="0"/>
    <n v="0"/>
    <n v="0"/>
    <n v="12"/>
    <n v="12"/>
    <m/>
    <m/>
    <n v="0"/>
    <n v="508.42"/>
    <m/>
    <x v="25"/>
    <m/>
    <m/>
    <m/>
    <m/>
  </r>
  <r>
    <x v="0"/>
    <x v="0"/>
    <s v="2.5/13"/>
    <x v="223"/>
    <s v="سٹاک"/>
    <s v="PP"/>
    <n v="2.5"/>
    <s v="5.5-6"/>
    <s v="PP"/>
    <n v="1500"/>
    <s v="PP"/>
    <n v="9"/>
    <n v="126.58000000000001"/>
    <n v="2.25"/>
    <m/>
    <m/>
    <n v="124.33000000000001"/>
    <s v="814.55"/>
    <m/>
    <m/>
    <m/>
    <n v="0"/>
    <n v="0"/>
    <m/>
    <m/>
    <m/>
    <m/>
    <m/>
    <m/>
    <m/>
    <m/>
    <n v="0"/>
    <n v="0"/>
    <n v="0"/>
    <n v="12"/>
    <n v="12"/>
    <m/>
    <m/>
    <n v="0"/>
    <n v="131.58000000000001"/>
    <m/>
    <x v="25"/>
    <m/>
    <m/>
    <m/>
    <m/>
  </r>
  <r>
    <x v="1"/>
    <x v="0"/>
    <s v="2.5/13"/>
    <x v="223"/>
    <s v="سٹاک"/>
    <s v="PP"/>
    <n v="2.5"/>
    <s v="5.5-6"/>
    <s v="PP"/>
    <n v="1500"/>
    <s v="PP"/>
    <n v="6"/>
    <n v="121.97999999999999"/>
    <n v="1.5"/>
    <n v="47"/>
    <m/>
    <n v="120.47999999999999"/>
    <s v="814.55"/>
    <m/>
    <m/>
    <m/>
    <n v="0"/>
    <n v="0"/>
    <m/>
    <m/>
    <m/>
    <m/>
    <m/>
    <m/>
    <m/>
    <m/>
    <n v="0"/>
    <n v="0"/>
    <n v="0"/>
    <n v="12"/>
    <n v="12"/>
    <m/>
    <m/>
    <n v="0"/>
    <n v="126.98"/>
    <m/>
    <x v="25"/>
    <m/>
    <m/>
    <m/>
    <m/>
  </r>
  <r>
    <x v="0"/>
    <x v="1"/>
    <s v="4/17"/>
    <x v="223"/>
    <s v="سٹاک"/>
    <s v="PP"/>
    <n v="4"/>
    <s v="5-5.5"/>
    <s v="PP"/>
    <n v="1000"/>
    <s v="PP"/>
    <n v="10"/>
    <n v="164.06"/>
    <n v="4"/>
    <m/>
    <m/>
    <n v="160.06"/>
    <s v="1073.69"/>
    <m/>
    <m/>
    <m/>
    <n v="0"/>
    <n v="0"/>
    <m/>
    <m/>
    <m/>
    <m/>
    <m/>
    <m/>
    <m/>
    <m/>
    <n v="0"/>
    <n v="0"/>
    <n v="0"/>
    <n v="12"/>
    <n v="12"/>
    <m/>
    <m/>
    <n v="0"/>
    <n v="169.06"/>
    <m/>
    <x v="25"/>
    <m/>
    <m/>
    <m/>
    <m/>
  </r>
  <r>
    <x v="1"/>
    <x v="1"/>
    <s v="4/17"/>
    <x v="223"/>
    <s v="سٹاک"/>
    <s v="PP"/>
    <n v="4"/>
    <s v="5-5.5"/>
    <s v="PP"/>
    <n v="1000"/>
    <s v="PP"/>
    <n v="10"/>
    <n v="165.62"/>
    <n v="4"/>
    <m/>
    <m/>
    <n v="161.62"/>
    <s v="1073.69"/>
    <m/>
    <m/>
    <m/>
    <n v="0"/>
    <n v="0"/>
    <m/>
    <m/>
    <m/>
    <m/>
    <m/>
    <m/>
    <m/>
    <m/>
    <n v="0"/>
    <n v="0"/>
    <n v="0"/>
    <n v="12"/>
    <n v="12"/>
    <m/>
    <m/>
    <n v="0"/>
    <n v="170.62"/>
    <m/>
    <x v="25"/>
    <m/>
    <m/>
    <m/>
    <m/>
  </r>
  <r>
    <x v="0"/>
    <x v="3"/>
    <s v="18/9"/>
    <x v="223"/>
    <s v="سٹاک"/>
    <s v="PP"/>
    <n v="18"/>
    <n v="5"/>
    <s v="PP"/>
    <n v="1000"/>
    <s v="PP"/>
    <n v="5"/>
    <n v="323.8"/>
    <n v="9"/>
    <m/>
    <m/>
    <n v="314.8"/>
    <s v="1097.5300000000002"/>
    <n v="25"/>
    <m/>
    <m/>
    <n v="25"/>
    <n v="0.41666666666666674"/>
    <m/>
    <m/>
    <m/>
    <m/>
    <m/>
    <m/>
    <m/>
    <m/>
    <n v="0"/>
    <n v="0"/>
    <n v="0.41666666666666674"/>
    <n v="11.583333333333334"/>
    <n v="12"/>
    <m/>
    <m/>
    <n v="0"/>
    <n v="328.8"/>
    <m/>
    <x v="25"/>
    <m/>
    <m/>
    <m/>
    <m/>
  </r>
  <r>
    <x v="0"/>
    <x v="3"/>
    <s v="7108 J"/>
    <x v="223"/>
    <s v="Jilani Poly Stock"/>
    <s v="PP"/>
    <n v="18"/>
    <s v="5-5.5"/>
    <s v="PP"/>
    <s v="-"/>
    <s v="PP"/>
    <n v="6"/>
    <n v="398"/>
    <n v="10.8"/>
    <m/>
    <m/>
    <n v="387.2"/>
    <s v="1074.5"/>
    <m/>
    <m/>
    <m/>
    <n v="0"/>
    <n v="0"/>
    <m/>
    <m/>
    <m/>
    <m/>
    <m/>
    <m/>
    <m/>
    <m/>
    <n v="0"/>
    <n v="0"/>
    <n v="0"/>
    <n v="12"/>
    <n v="12"/>
    <m/>
    <m/>
    <n v="0"/>
    <n v="403"/>
    <m/>
    <x v="25"/>
    <m/>
    <m/>
    <m/>
    <m/>
  </r>
  <r>
    <x v="0"/>
    <x v="3"/>
    <s v="7740/1"/>
    <x v="223"/>
    <s v="ایم سلیمان پاکستان مارکیٹ"/>
    <s v="PP"/>
    <n v="22"/>
    <s v="5"/>
    <s v="PP"/>
    <n v="400"/>
    <s v="PP"/>
    <n v="1"/>
    <n v="62.15"/>
    <n v="2.2000000000000002"/>
    <m/>
    <m/>
    <n v="59.949999999999996"/>
    <s v="399.78"/>
    <m/>
    <m/>
    <m/>
    <n v="0"/>
    <n v="0"/>
    <m/>
    <m/>
    <m/>
    <m/>
    <m/>
    <m/>
    <m/>
    <m/>
    <n v="0"/>
    <n v="0"/>
    <n v="0"/>
    <n v="12"/>
    <n v="12"/>
    <m/>
    <m/>
    <n v="0"/>
    <n v="67.150000000000006"/>
    <m/>
    <x v="25"/>
    <m/>
    <m/>
    <m/>
    <m/>
  </r>
  <r>
    <x v="1"/>
    <x v="3"/>
    <s v="7740/1"/>
    <x v="223"/>
    <s v="ایم سلیمان پاکستان مارکیٹ"/>
    <s v="PP"/>
    <n v="22"/>
    <s v="5"/>
    <s v="PP"/>
    <n v="400"/>
    <s v="PP"/>
    <n v="6"/>
    <n v="354.83"/>
    <n v="15"/>
    <m/>
    <m/>
    <n v="339.83"/>
    <s v="399.78"/>
    <n v="25"/>
    <m/>
    <m/>
    <n v="25"/>
    <n v="0.41666666666666674"/>
    <m/>
    <m/>
    <m/>
    <m/>
    <m/>
    <m/>
    <m/>
    <m/>
    <n v="0"/>
    <n v="0"/>
    <n v="0.41666666666666674"/>
    <n v="11.583333333333334"/>
    <n v="12"/>
    <m/>
    <m/>
    <n v="0"/>
    <n v="359.83"/>
    <m/>
    <x v="25"/>
    <m/>
    <m/>
    <m/>
    <m/>
  </r>
  <r>
    <x v="1"/>
    <x v="3"/>
    <s v="7710/20"/>
    <x v="223"/>
    <s v="ہیڈ افس لاہور"/>
    <s v="PP"/>
    <n v="19"/>
    <s v="7"/>
    <s v="PP"/>
    <n v="200"/>
    <s v="PP"/>
    <n v="4"/>
    <n v="207.99"/>
    <n v="9"/>
    <m/>
    <m/>
    <n v="198.99"/>
    <s v="198.99"/>
    <n v="22"/>
    <m/>
    <m/>
    <n v="22"/>
    <n v="0.36666666666666664"/>
    <m/>
    <m/>
    <m/>
    <m/>
    <m/>
    <m/>
    <m/>
    <m/>
    <n v="0"/>
    <n v="0"/>
    <n v="0.36666666666666664"/>
    <n v="11.633333333333333"/>
    <n v="12"/>
    <m/>
    <m/>
    <n v="0"/>
    <n v="212.99"/>
    <m/>
    <x v="25"/>
    <m/>
    <m/>
    <m/>
    <m/>
  </r>
  <r>
    <x v="1"/>
    <x v="3"/>
    <s v="24/6"/>
    <x v="223"/>
    <s v="سٹاک"/>
    <s v="PP"/>
    <n v="24"/>
    <n v="5"/>
    <s v="PP"/>
    <n v="1500"/>
    <s v="PP"/>
    <n v="2"/>
    <n v="127.19"/>
    <n v="5.6"/>
    <m/>
    <m/>
    <n v="121.59"/>
    <s v="1554.8600000000001"/>
    <m/>
    <m/>
    <m/>
    <n v="0"/>
    <n v="0"/>
    <m/>
    <m/>
    <m/>
    <m/>
    <m/>
    <m/>
    <m/>
    <m/>
    <n v="0"/>
    <n v="0"/>
    <n v="0"/>
    <n v="12"/>
    <n v="12"/>
    <m/>
    <m/>
    <n v="0"/>
    <n v="132.19"/>
    <m/>
    <x v="25"/>
    <m/>
    <m/>
    <m/>
    <m/>
  </r>
  <r>
    <x v="0"/>
    <x v="4"/>
    <s v="10/13"/>
    <x v="223"/>
    <s v="سٹاک"/>
    <s v="PP"/>
    <n v="10"/>
    <n v="5"/>
    <s v="PP"/>
    <n v="1000"/>
    <s v="PP"/>
    <n v="9"/>
    <n v="419.22"/>
    <n v="10"/>
    <m/>
    <m/>
    <n v="409.22"/>
    <s v="1032.1400000000001"/>
    <m/>
    <m/>
    <m/>
    <n v="0"/>
    <n v="0"/>
    <m/>
    <m/>
    <m/>
    <m/>
    <m/>
    <m/>
    <m/>
    <m/>
    <n v="0"/>
    <n v="0"/>
    <n v="0"/>
    <n v="12"/>
    <n v="12"/>
    <m/>
    <m/>
    <n v="0"/>
    <n v="424.22"/>
    <m/>
    <x v="25"/>
    <m/>
    <m/>
    <m/>
    <m/>
  </r>
  <r>
    <x v="0"/>
    <x v="4"/>
    <s v="7745/1"/>
    <x v="223"/>
    <s v="اصف پلاسٹک سرگو ھا"/>
    <s v="PP"/>
    <n v="10"/>
    <s v="4.5"/>
    <s v="PP"/>
    <n v="200"/>
    <s v="PP"/>
    <n v="2"/>
    <n v="82.7"/>
    <n v="2"/>
    <m/>
    <m/>
    <n v="80.7"/>
    <s v="302.74"/>
    <m/>
    <m/>
    <m/>
    <n v="0"/>
    <n v="0"/>
    <m/>
    <m/>
    <m/>
    <m/>
    <m/>
    <m/>
    <m/>
    <m/>
    <n v="0"/>
    <n v="0"/>
    <n v="0"/>
    <n v="12"/>
    <n v="12"/>
    <m/>
    <m/>
    <n v="0"/>
    <n v="87.7"/>
    <m/>
    <x v="25"/>
    <m/>
    <m/>
    <m/>
    <m/>
  </r>
  <r>
    <x v="1"/>
    <x v="4"/>
    <s v="7745/1"/>
    <x v="223"/>
    <s v="اصف پلاسٹک سرگو ھا"/>
    <s v="PP"/>
    <n v="10"/>
    <s v="4.5"/>
    <s v="PP"/>
    <n v="200"/>
    <s v="PP"/>
    <n v="4"/>
    <n v="226.84"/>
    <n v="4.8"/>
    <m/>
    <m/>
    <n v="222.04"/>
    <s v="302.74"/>
    <m/>
    <m/>
    <m/>
    <n v="0"/>
    <n v="0"/>
    <m/>
    <m/>
    <m/>
    <m/>
    <m/>
    <m/>
    <m/>
    <m/>
    <n v="0"/>
    <n v="0"/>
    <n v="0"/>
    <n v="12"/>
    <n v="12"/>
    <m/>
    <m/>
    <n v="0"/>
    <n v="231.84"/>
    <m/>
    <x v="25"/>
    <m/>
    <m/>
    <m/>
    <m/>
  </r>
  <r>
    <x v="1"/>
    <x v="4"/>
    <s v="7717/2"/>
    <x v="223"/>
    <s v="سلطان ٹریڈرز فیصل اباد"/>
    <s v="PP"/>
    <n v="16"/>
    <s v="9"/>
    <s v="PP"/>
    <n v="100"/>
    <s v="PP"/>
    <n v="2"/>
    <n v="109.71000000000001"/>
    <n v="3.8"/>
    <m/>
    <m/>
    <n v="105.91000000000001"/>
    <s v="105.91000000000001"/>
    <n v="25"/>
    <m/>
    <m/>
    <n v="25"/>
    <n v="0.41666666666666674"/>
    <m/>
    <m/>
    <m/>
    <m/>
    <m/>
    <m/>
    <m/>
    <m/>
    <n v="0"/>
    <n v="0"/>
    <n v="0.41666666666666674"/>
    <n v="11.583333333333334"/>
    <n v="12"/>
    <m/>
    <m/>
    <n v="0"/>
    <n v="114.71"/>
    <m/>
    <x v="25"/>
    <m/>
    <m/>
    <m/>
    <m/>
  </r>
  <r>
    <x v="1"/>
    <x v="4"/>
    <s v="16/5"/>
    <x v="223"/>
    <s v="سٹاک"/>
    <s v="PP"/>
    <n v="16"/>
    <n v="5"/>
    <s v="PP"/>
    <n v="1000"/>
    <s v="PP"/>
    <n v="2"/>
    <n v="110.42"/>
    <n v="3.8"/>
    <m/>
    <m/>
    <n v="106.62"/>
    <s v="1780.2200000000003"/>
    <m/>
    <m/>
    <m/>
    <n v="0"/>
    <n v="0"/>
    <m/>
    <m/>
    <m/>
    <m/>
    <m/>
    <m/>
    <m/>
    <m/>
    <n v="0"/>
    <n v="0"/>
    <n v="0"/>
    <n v="12"/>
    <n v="12"/>
    <m/>
    <m/>
    <n v="0"/>
    <n v="115.42"/>
    <m/>
    <x v="25"/>
    <m/>
    <m/>
    <m/>
    <m/>
  </r>
  <r>
    <x v="1"/>
    <x v="4"/>
    <s v="7745/4"/>
    <x v="223"/>
    <s v="اصف پلاسٹک سرگو ھا"/>
    <s v="PP"/>
    <n v="16"/>
    <s v="4.5"/>
    <s v="PP"/>
    <n v="50"/>
    <s v="PP"/>
    <n v="2"/>
    <n v="52.209999999999994"/>
    <n v="3.8"/>
    <m/>
    <m/>
    <n v="48.41"/>
    <s v="48.41"/>
    <m/>
    <m/>
    <m/>
    <n v="0"/>
    <n v="0"/>
    <m/>
    <m/>
    <m/>
    <m/>
    <m/>
    <m/>
    <m/>
    <m/>
    <n v="0"/>
    <n v="0"/>
    <n v="0"/>
    <n v="12"/>
    <n v="12"/>
    <m/>
    <m/>
    <n v="0"/>
    <n v="57.209999999999994"/>
    <m/>
    <x v="25"/>
    <m/>
    <m/>
    <m/>
    <m/>
  </r>
  <r>
    <x v="0"/>
    <x v="0"/>
    <s v="2.5/13"/>
    <x v="224"/>
    <s v="سٹاک"/>
    <s v="PP"/>
    <n v="2.5"/>
    <s v="5.5-6"/>
    <s v="PP"/>
    <n v="1500"/>
    <s v="PP"/>
    <n v="7"/>
    <n v="132.28"/>
    <n v="1.75"/>
    <n v="24"/>
    <m/>
    <n v="130.53"/>
    <s v="814.55"/>
    <m/>
    <m/>
    <m/>
    <n v="0"/>
    <n v="0"/>
    <m/>
    <m/>
    <m/>
    <m/>
    <m/>
    <m/>
    <m/>
    <m/>
    <n v="0"/>
    <n v="0"/>
    <n v="0"/>
    <n v="12"/>
    <n v="12"/>
    <m/>
    <m/>
    <n v="0"/>
    <n v="137.28"/>
    <m/>
    <x v="25"/>
    <m/>
    <m/>
    <m/>
    <m/>
  </r>
  <r>
    <x v="1"/>
    <x v="0"/>
    <s v="2.5/13"/>
    <x v="224"/>
    <s v="سٹاک"/>
    <s v="PP"/>
    <n v="2.5"/>
    <s v="5.5-6"/>
    <s v="PP"/>
    <n v="1500"/>
    <s v="PP"/>
    <n v="9"/>
    <n v="118.69"/>
    <n v="2.25"/>
    <n v="23"/>
    <m/>
    <n v="116.44"/>
    <s v="814.55"/>
    <m/>
    <m/>
    <m/>
    <n v="0"/>
    <n v="0"/>
    <m/>
    <m/>
    <m/>
    <m/>
    <m/>
    <m/>
    <m/>
    <m/>
    <n v="0"/>
    <n v="0"/>
    <n v="0"/>
    <n v="12"/>
    <n v="12"/>
    <m/>
    <m/>
    <n v="0"/>
    <n v="123.69"/>
    <m/>
    <x v="25"/>
    <m/>
    <m/>
    <m/>
    <m/>
  </r>
  <r>
    <x v="0"/>
    <x v="1"/>
    <s v="4/17"/>
    <x v="224"/>
    <s v="سٹاک"/>
    <s v="PP"/>
    <n v="4"/>
    <s v="5-5.5"/>
    <s v="PP"/>
    <n v="1000"/>
    <s v="PP"/>
    <n v="7"/>
    <n v="123.61999999999998"/>
    <n v="2.8000000000000003"/>
    <m/>
    <m/>
    <n v="120.81999999999998"/>
    <s v="1073.69"/>
    <m/>
    <m/>
    <m/>
    <n v="0"/>
    <n v="0"/>
    <m/>
    <m/>
    <m/>
    <m/>
    <m/>
    <m/>
    <m/>
    <m/>
    <n v="0"/>
    <n v="0"/>
    <n v="0"/>
    <n v="12"/>
    <n v="12"/>
    <m/>
    <m/>
    <n v="0"/>
    <n v="128.61999999999998"/>
    <m/>
    <x v="25"/>
    <m/>
    <m/>
    <m/>
    <m/>
  </r>
  <r>
    <x v="0"/>
    <x v="1"/>
    <s v="7745/7"/>
    <x v="224"/>
    <s v="اصف پلاسٹک سرگو ھا"/>
    <s v="PP"/>
    <n v="4"/>
    <s v="4.5"/>
    <s v="PP"/>
    <n v="200"/>
    <s v="PP"/>
    <n v="4"/>
    <n v="62.69"/>
    <n v="1.6"/>
    <m/>
    <m/>
    <n v="61.089999999999996"/>
    <s v="220.71"/>
    <m/>
    <m/>
    <m/>
    <n v="0"/>
    <n v="0"/>
    <m/>
    <m/>
    <m/>
    <m/>
    <m/>
    <m/>
    <m/>
    <m/>
    <n v="0"/>
    <n v="0"/>
    <n v="0"/>
    <n v="12"/>
    <n v="12"/>
    <m/>
    <m/>
    <n v="0"/>
    <n v="67.69"/>
    <m/>
    <x v="25"/>
    <m/>
    <m/>
    <m/>
    <m/>
  </r>
  <r>
    <x v="1"/>
    <x v="1"/>
    <s v="7745/7"/>
    <x v="224"/>
    <s v="اصف پلاسٹک سرگو ھا"/>
    <s v="PP"/>
    <n v="4"/>
    <s v="4.5"/>
    <s v="PP"/>
    <n v="200"/>
    <s v="PP"/>
    <n v="10"/>
    <n v="163.62"/>
    <n v="4"/>
    <m/>
    <m/>
    <n v="159.62"/>
    <s v="220.71"/>
    <m/>
    <m/>
    <m/>
    <n v="0"/>
    <n v="0"/>
    <m/>
    <m/>
    <m/>
    <m/>
    <m/>
    <m/>
    <m/>
    <m/>
    <n v="0"/>
    <n v="0"/>
    <n v="0"/>
    <n v="12"/>
    <n v="12"/>
    <m/>
    <m/>
    <n v="0"/>
    <n v="168.62"/>
    <m/>
    <x v="25"/>
    <m/>
    <m/>
    <m/>
    <m/>
  </r>
  <r>
    <x v="1"/>
    <x v="1"/>
    <s v="4/17"/>
    <x v="224"/>
    <s v="سٹاک"/>
    <s v="PP"/>
    <n v="4"/>
    <s v="5-5.5"/>
    <s v="PP"/>
    <n v="1000"/>
    <s v="PP"/>
    <n v="1"/>
    <n v="20.6"/>
    <n v="0.4"/>
    <m/>
    <m/>
    <n v="20.200000000000003"/>
    <s v="1073.69"/>
    <m/>
    <m/>
    <m/>
    <n v="0"/>
    <n v="0"/>
    <m/>
    <m/>
    <m/>
    <m/>
    <m/>
    <m/>
    <m/>
    <m/>
    <n v="0"/>
    <n v="0"/>
    <n v="0"/>
    <n v="12"/>
    <n v="12"/>
    <m/>
    <m/>
    <n v="0"/>
    <n v="25.6"/>
    <m/>
    <x v="25"/>
    <m/>
    <m/>
    <m/>
    <m/>
  </r>
  <r>
    <x v="0"/>
    <x v="3"/>
    <s v="24/6"/>
    <x v="224"/>
    <s v="سٹاک"/>
    <s v="PP"/>
    <n v="24"/>
    <n v="5"/>
    <s v="PP"/>
    <n v="1500"/>
    <s v="PP"/>
    <n v="11"/>
    <n v="785.30000000000018"/>
    <n v="30.799999999999997"/>
    <m/>
    <m/>
    <n v="754.50000000000023"/>
    <s v="1554.8600000000001"/>
    <m/>
    <m/>
    <m/>
    <n v="0"/>
    <n v="0"/>
    <m/>
    <m/>
    <m/>
    <m/>
    <m/>
    <m/>
    <m/>
    <m/>
    <n v="0"/>
    <n v="0"/>
    <n v="0"/>
    <n v="12"/>
    <n v="12"/>
    <m/>
    <m/>
    <n v="0"/>
    <n v="790.30000000000018"/>
    <m/>
    <x v="25"/>
    <m/>
    <m/>
    <m/>
    <m/>
  </r>
  <r>
    <x v="1"/>
    <x v="3"/>
    <s v="24/6"/>
    <x v="224"/>
    <s v="سٹاک"/>
    <s v="PP"/>
    <n v="24"/>
    <n v="5"/>
    <s v="PP"/>
    <n v="1500"/>
    <s v="PP"/>
    <n v="11"/>
    <n v="709.56999999999994"/>
    <n v="30.799999999999997"/>
    <m/>
    <m/>
    <n v="678.77"/>
    <s v="1554.8600000000001"/>
    <n v="25"/>
    <m/>
    <m/>
    <n v="25"/>
    <n v="0.41666666666666674"/>
    <m/>
    <m/>
    <m/>
    <m/>
    <m/>
    <m/>
    <m/>
    <m/>
    <n v="0"/>
    <n v="0"/>
    <n v="0.41666666666666674"/>
    <n v="11.583333333333334"/>
    <n v="12"/>
    <m/>
    <m/>
    <n v="0"/>
    <n v="714.56999999999994"/>
    <m/>
    <x v="25"/>
    <m/>
    <m/>
    <m/>
    <m/>
  </r>
  <r>
    <x v="1"/>
    <x v="3"/>
    <s v="16/5"/>
    <x v="224"/>
    <s v="سٹاک"/>
    <s v="PP"/>
    <n v="16"/>
    <n v="5"/>
    <s v="PP"/>
    <n v="1000"/>
    <s v="PP"/>
    <n v="1"/>
    <n v="54.75"/>
    <n v="1.9"/>
    <m/>
    <m/>
    <n v="52.85"/>
    <s v="1780.2200000000003"/>
    <m/>
    <m/>
    <m/>
    <n v="0"/>
    <n v="0"/>
    <m/>
    <m/>
    <m/>
    <m/>
    <m/>
    <m/>
    <m/>
    <m/>
    <n v="0"/>
    <n v="0"/>
    <n v="0"/>
    <n v="12"/>
    <n v="12"/>
    <m/>
    <m/>
    <n v="0"/>
    <n v="59.75"/>
    <m/>
    <x v="25"/>
    <m/>
    <m/>
    <m/>
    <m/>
  </r>
  <r>
    <x v="0"/>
    <x v="4"/>
    <s v="16/5"/>
    <x v="224"/>
    <s v="سٹاک"/>
    <s v="PP"/>
    <n v="16"/>
    <n v="5"/>
    <s v="PP"/>
    <n v="1000"/>
    <s v="PP"/>
    <n v="2"/>
    <n v="121.92"/>
    <n v="4.8000000000000007"/>
    <m/>
    <m/>
    <n v="117.12"/>
    <s v="1780.2200000000003"/>
    <m/>
    <m/>
    <m/>
    <n v="0"/>
    <n v="0"/>
    <m/>
    <m/>
    <m/>
    <m/>
    <m/>
    <m/>
    <m/>
    <m/>
    <n v="0"/>
    <n v="0"/>
    <n v="0"/>
    <n v="12"/>
    <n v="12"/>
    <m/>
    <m/>
    <n v="0"/>
    <n v="126.92"/>
    <m/>
    <x v="25"/>
    <m/>
    <m/>
    <m/>
    <m/>
  </r>
  <r>
    <x v="0"/>
    <x v="4"/>
    <s v="7732/1"/>
    <x v="224"/>
    <s v="شیخ انور  لیہٰ"/>
    <s v="PP"/>
    <n v="14"/>
    <s v="4-4.5"/>
    <s v="PP"/>
    <n v="100"/>
    <s v="PP"/>
    <n v="1"/>
    <n v="42.66"/>
    <n v="1.4"/>
    <n v="6"/>
    <m/>
    <n v="41.26"/>
    <s v="202.46999999999997"/>
    <n v="30"/>
    <m/>
    <m/>
    <n v="30"/>
    <n v="0.5"/>
    <m/>
    <m/>
    <n v="330"/>
    <m/>
    <m/>
    <m/>
    <n v="30"/>
    <m/>
    <n v="360"/>
    <n v="6"/>
    <n v="6.5"/>
    <n v="5.5"/>
    <n v="12"/>
    <m/>
    <m/>
    <n v="0"/>
    <n v="47.66"/>
    <m/>
    <x v="25"/>
    <m/>
    <m/>
    <m/>
    <m/>
  </r>
  <r>
    <x v="1"/>
    <x v="4"/>
    <s v="7732/1"/>
    <x v="224"/>
    <s v="شیخ انور  لیہٰ"/>
    <s v="PP"/>
    <n v="14"/>
    <s v="4-4.5"/>
    <s v="PP"/>
    <n v="100"/>
    <s v="PP"/>
    <n v="3"/>
    <n v="166.01"/>
    <n v="4.8000000000000007"/>
    <n v="6"/>
    <m/>
    <n v="161.20999999999998"/>
    <s v="202.46999999999997"/>
    <n v="20"/>
    <m/>
    <m/>
    <n v="20"/>
    <n v="0.33333333333333331"/>
    <m/>
    <m/>
    <m/>
    <m/>
    <m/>
    <m/>
    <m/>
    <m/>
    <n v="0"/>
    <n v="0"/>
    <n v="0.33333333333333331"/>
    <n v="11.666666666666666"/>
    <n v="12"/>
    <m/>
    <m/>
    <n v="0"/>
    <n v="171.01"/>
    <m/>
    <x v="25"/>
    <m/>
    <m/>
    <m/>
    <m/>
  </r>
  <r>
    <x v="1"/>
    <x v="4"/>
    <s v="7745/6"/>
    <x v="224"/>
    <s v="اصف پلاسٹک سرگو ھا"/>
    <s v="PP"/>
    <n v="12"/>
    <s v="4.5"/>
    <s v="PP"/>
    <n v="300"/>
    <s v="PP"/>
    <n v="5"/>
    <n v="289.70999999999998"/>
    <n v="6.75"/>
    <m/>
    <m/>
    <n v="282.95999999999998"/>
    <s v="458.09999999999997"/>
    <m/>
    <m/>
    <m/>
    <n v="0"/>
    <n v="0"/>
    <m/>
    <m/>
    <m/>
    <m/>
    <m/>
    <m/>
    <m/>
    <m/>
    <n v="0"/>
    <n v="0"/>
    <n v="0"/>
    <n v="12"/>
    <n v="12"/>
    <m/>
    <m/>
    <n v="0"/>
    <n v="294.70999999999998"/>
    <m/>
    <x v="25"/>
    <m/>
    <m/>
    <m/>
    <m/>
  </r>
  <r>
    <x v="1"/>
    <x v="4"/>
    <s v="12/14"/>
    <x v="224"/>
    <s v="سٹاک"/>
    <s v="PP"/>
    <n v="12"/>
    <n v="5"/>
    <s v="PP"/>
    <n v="1500"/>
    <s v="PP"/>
    <n v="1"/>
    <n v="59.84"/>
    <n v="1.35"/>
    <m/>
    <m/>
    <n v="58.49"/>
    <s v="1511.5199999999998"/>
    <m/>
    <m/>
    <m/>
    <n v="0"/>
    <n v="0"/>
    <m/>
    <m/>
    <m/>
    <m/>
    <m/>
    <m/>
    <m/>
    <m/>
    <n v="0"/>
    <n v="0"/>
    <n v="0"/>
    <n v="12"/>
    <n v="12"/>
    <m/>
    <m/>
    <n v="0"/>
    <n v="64.84"/>
    <m/>
    <x v="25"/>
    <m/>
    <m/>
    <m/>
    <m/>
  </r>
  <r>
    <x v="0"/>
    <x v="0"/>
    <s v="2.5/13"/>
    <x v="225"/>
    <s v="سٹاک"/>
    <s v="PP"/>
    <n v="2.5"/>
    <s v="5.5-6"/>
    <s v="PP"/>
    <n v="1500"/>
    <s v="PP"/>
    <n v="8"/>
    <n v="116.46"/>
    <n v="2"/>
    <m/>
    <m/>
    <n v="114.46"/>
    <s v="814.55"/>
    <m/>
    <m/>
    <m/>
    <n v="0"/>
    <n v="0"/>
    <m/>
    <m/>
    <m/>
    <m/>
    <m/>
    <m/>
    <m/>
    <m/>
    <n v="0"/>
    <n v="0"/>
    <n v="0"/>
    <n v="12"/>
    <n v="12"/>
    <m/>
    <m/>
    <n v="0"/>
    <n v="121.46"/>
    <m/>
    <x v="25"/>
    <m/>
    <m/>
    <m/>
    <m/>
  </r>
  <r>
    <x v="1"/>
    <x v="0"/>
    <s v="2.5/13"/>
    <x v="225"/>
    <s v="سٹاک"/>
    <s v="PP"/>
    <n v="2.5"/>
    <s v="5.5-6"/>
    <s v="PP"/>
    <n v="1500"/>
    <s v="PP"/>
    <n v="7"/>
    <n v="99.800000000000011"/>
    <n v="1.75"/>
    <m/>
    <m/>
    <n v="98.050000000000011"/>
    <s v="814.55"/>
    <m/>
    <m/>
    <n v="120"/>
    <n v="120"/>
    <n v="2"/>
    <m/>
    <m/>
    <m/>
    <m/>
    <m/>
    <m/>
    <m/>
    <m/>
    <n v="0"/>
    <n v="0"/>
    <n v="2"/>
    <n v="10"/>
    <n v="12"/>
    <m/>
    <m/>
    <n v="0"/>
    <n v="104.8"/>
    <m/>
    <x v="25"/>
    <m/>
    <m/>
    <m/>
    <m/>
  </r>
  <r>
    <x v="0"/>
    <x v="1"/>
    <s v="4/16"/>
    <x v="225"/>
    <s v="سٹاک"/>
    <s v="PP"/>
    <n v="4"/>
    <s v="5-5.5"/>
    <s v="PP"/>
    <s v="15 رول بیگ"/>
    <s v="PP"/>
    <n v="9"/>
    <n v="180.52"/>
    <n v="3.6"/>
    <m/>
    <m/>
    <n v="176.92000000000002"/>
    <s v="304.28000000000003"/>
    <m/>
    <m/>
    <m/>
    <n v="0"/>
    <n v="0"/>
    <m/>
    <m/>
    <m/>
    <m/>
    <m/>
    <m/>
    <m/>
    <m/>
    <n v="0"/>
    <n v="0"/>
    <n v="0"/>
    <n v="12"/>
    <n v="12"/>
    <m/>
    <m/>
    <n v="0"/>
    <n v="185.52"/>
    <m/>
    <x v="25"/>
    <m/>
    <m/>
    <m/>
    <m/>
  </r>
  <r>
    <x v="1"/>
    <x v="1"/>
    <s v="4/16"/>
    <x v="225"/>
    <s v="سٹاک"/>
    <s v="PP"/>
    <n v="4"/>
    <s v="5-5.5"/>
    <s v="PP"/>
    <s v="15 رول بیگ"/>
    <s v="PP"/>
    <n v="6"/>
    <n v="129.76000000000002"/>
    <n v="2.4000000000000004"/>
    <m/>
    <m/>
    <n v="127.36000000000001"/>
    <s v="304.28000000000003"/>
    <m/>
    <m/>
    <n v="120"/>
    <n v="120"/>
    <n v="2"/>
    <m/>
    <m/>
    <m/>
    <m/>
    <m/>
    <m/>
    <m/>
    <m/>
    <n v="0"/>
    <n v="0"/>
    <n v="2"/>
    <n v="10"/>
    <n v="12"/>
    <m/>
    <m/>
    <n v="0"/>
    <n v="134.76000000000002"/>
    <m/>
    <x v="25"/>
    <m/>
    <m/>
    <m/>
    <m/>
  </r>
  <r>
    <x v="0"/>
    <x v="3"/>
    <s v="7745/6"/>
    <x v="225"/>
    <s v="اصف پلاسٹک سرگو ھا"/>
    <s v="PP"/>
    <n v="12"/>
    <s v="4.5"/>
    <s v="PP"/>
    <n v="300"/>
    <s v="PP"/>
    <n v="4"/>
    <n v="179.94"/>
    <n v="4.8"/>
    <m/>
    <m/>
    <n v="175.14"/>
    <s v="458.09999999999997"/>
    <m/>
    <m/>
    <m/>
    <n v="0"/>
    <n v="0"/>
    <m/>
    <m/>
    <m/>
    <m/>
    <m/>
    <m/>
    <m/>
    <m/>
    <n v="0"/>
    <n v="0"/>
    <n v="0"/>
    <n v="12"/>
    <n v="12"/>
    <m/>
    <m/>
    <n v="0"/>
    <n v="184.94"/>
    <m/>
    <x v="25"/>
    <m/>
    <m/>
    <m/>
    <m/>
  </r>
  <r>
    <x v="0"/>
    <x v="3"/>
    <s v="12/14"/>
    <x v="225"/>
    <s v="سٹاک"/>
    <s v="PP"/>
    <n v="12"/>
    <n v="5"/>
    <s v="PP"/>
    <n v="1500"/>
    <s v="PP"/>
    <n v="7"/>
    <n v="388.12"/>
    <n v="8.4"/>
    <m/>
    <m/>
    <n v="379.72"/>
    <s v="1511.5199999999998"/>
    <m/>
    <m/>
    <m/>
    <n v="0"/>
    <n v="0"/>
    <m/>
    <m/>
    <m/>
    <m/>
    <m/>
    <m/>
    <m/>
    <m/>
    <n v="0"/>
    <n v="0"/>
    <n v="0"/>
    <n v="12"/>
    <n v="12"/>
    <m/>
    <m/>
    <n v="0"/>
    <n v="393.12"/>
    <m/>
    <x v="25"/>
    <m/>
    <m/>
    <m/>
    <m/>
  </r>
  <r>
    <x v="1"/>
    <x v="3"/>
    <s v="12/14"/>
    <x v="225"/>
    <s v="سٹاک"/>
    <s v="PP"/>
    <n v="12"/>
    <n v="5"/>
    <s v="PP"/>
    <n v="1500"/>
    <s v="PP"/>
    <n v="7"/>
    <n v="418.32999999999993"/>
    <n v="9.4500000000000011"/>
    <m/>
    <m/>
    <n v="408.87999999999994"/>
    <s v="1511.5199999999998"/>
    <m/>
    <m/>
    <n v="120"/>
    <n v="120"/>
    <n v="2"/>
    <m/>
    <m/>
    <m/>
    <m/>
    <m/>
    <m/>
    <m/>
    <m/>
    <n v="0"/>
    <n v="0"/>
    <n v="2"/>
    <n v="10"/>
    <n v="12"/>
    <m/>
    <m/>
    <n v="0"/>
    <n v="423.32999999999993"/>
    <m/>
    <x v="25"/>
    <m/>
    <m/>
    <m/>
    <m/>
  </r>
  <r>
    <x v="0"/>
    <x v="4"/>
    <s v="16/5"/>
    <x v="225"/>
    <s v="سٹاک"/>
    <s v="PP"/>
    <n v="16"/>
    <n v="5"/>
    <s v="PP"/>
    <n v="1000"/>
    <s v="PP"/>
    <n v="1"/>
    <n v="55.6"/>
    <n v="1.6"/>
    <m/>
    <m/>
    <n v="54"/>
    <s v="1780.2200000000003"/>
    <m/>
    <m/>
    <m/>
    <n v="0"/>
    <n v="0"/>
    <m/>
    <m/>
    <m/>
    <m/>
    <m/>
    <m/>
    <m/>
    <m/>
    <n v="0"/>
    <n v="0"/>
    <n v="0"/>
    <n v="12"/>
    <n v="12"/>
    <m/>
    <m/>
    <n v="0"/>
    <n v="60.6"/>
    <m/>
    <x v="25"/>
    <m/>
    <m/>
    <m/>
    <m/>
  </r>
  <r>
    <x v="0"/>
    <x v="4"/>
    <s v="7107/18"/>
    <x v="225"/>
    <s v="حیدر عمر بہاولپور"/>
    <s v="PP"/>
    <n v="16"/>
    <n v="5"/>
    <s v="PP"/>
    <n v="100"/>
    <s v="PP"/>
    <n v="12"/>
    <n v="661.29999999999984"/>
    <n v="19.200000000000003"/>
    <n v="13.5"/>
    <m/>
    <n v="642.0999999999998"/>
    <s v="642.0999999999998"/>
    <m/>
    <m/>
    <m/>
    <n v="0"/>
    <n v="0"/>
    <m/>
    <m/>
    <m/>
    <m/>
    <m/>
    <m/>
    <m/>
    <m/>
    <n v="0"/>
    <n v="0"/>
    <n v="0"/>
    <n v="12"/>
    <n v="12"/>
    <m/>
    <m/>
    <n v="0"/>
    <n v="666.29999999999984"/>
    <m/>
    <x v="25"/>
    <m/>
    <m/>
    <m/>
    <m/>
  </r>
  <r>
    <x v="1"/>
    <x v="4"/>
    <s v="7107 J"/>
    <x v="225"/>
    <s v="Jilani Poly Stock"/>
    <s v="PP"/>
    <n v="16"/>
    <s v="5-5.5"/>
    <s v="PP"/>
    <s v="-"/>
    <s v="PP"/>
    <n v="10"/>
    <n v="596.93999999999994"/>
    <n v="16"/>
    <n v="13.5"/>
    <m/>
    <n v="580.93999999999994"/>
    <s v="580.93999999999994"/>
    <m/>
    <m/>
    <n v="120"/>
    <n v="120"/>
    <n v="2"/>
    <m/>
    <m/>
    <m/>
    <m/>
    <m/>
    <m/>
    <m/>
    <m/>
    <n v="0"/>
    <n v="0"/>
    <n v="2"/>
    <n v="10"/>
    <n v="12"/>
    <m/>
    <m/>
    <n v="0"/>
    <n v="601.93999999999994"/>
    <m/>
    <x v="25"/>
    <m/>
    <m/>
    <m/>
    <m/>
  </r>
  <r>
    <x v="2"/>
    <x v="6"/>
    <m/>
    <x v="139"/>
    <s v="ALL MACHINES OFF DUE TO BASANT/KASHMIRHOLIDAYS"/>
    <m/>
    <m/>
    <m/>
    <m/>
    <m/>
    <m/>
    <m/>
    <m/>
    <m/>
    <m/>
    <m/>
    <n v="0"/>
    <s v="0"/>
    <m/>
    <m/>
    <m/>
    <m/>
    <m/>
    <m/>
    <m/>
    <m/>
    <m/>
    <m/>
    <m/>
    <m/>
    <m/>
    <m/>
    <m/>
    <m/>
    <m/>
    <m/>
    <m/>
    <m/>
    <m/>
    <m/>
    <m/>
    <x v="0"/>
    <m/>
    <m/>
    <m/>
    <m/>
  </r>
  <r>
    <x v="0"/>
    <x v="0"/>
    <s v="2.5/13"/>
    <x v="226"/>
    <s v="سٹاک"/>
    <s v="PP"/>
    <n v="2.5"/>
    <s v="5.5-6"/>
    <s v="PP"/>
    <n v="1500"/>
    <s v="PP"/>
    <n v="6"/>
    <n v="84.25"/>
    <n v="1.75"/>
    <m/>
    <m/>
    <n v="82.5"/>
    <s v="814.55"/>
    <m/>
    <n v="180"/>
    <m/>
    <n v="180"/>
    <n v="3"/>
    <n v="10"/>
    <m/>
    <m/>
    <m/>
    <m/>
    <m/>
    <m/>
    <m/>
    <n v="10"/>
    <n v="0.16666666666666666"/>
    <n v="3.1666666666666665"/>
    <n v="8.8333333333333339"/>
    <n v="12"/>
    <m/>
    <m/>
    <n v="0"/>
    <n v="89.25"/>
    <m/>
    <x v="26"/>
    <m/>
    <m/>
    <m/>
    <m/>
  </r>
  <r>
    <x v="1"/>
    <x v="0"/>
    <s v="2.5/13"/>
    <x v="226"/>
    <s v="سٹاک"/>
    <s v="PP"/>
    <n v="2.5"/>
    <s v="5.5-6"/>
    <s v="PP"/>
    <n v="1500"/>
    <s v="PP"/>
    <n v="2"/>
    <n v="28.259999999999998"/>
    <n v="0.5"/>
    <m/>
    <m/>
    <n v="27.759999999999998"/>
    <s v="814.55"/>
    <n v="15"/>
    <m/>
    <m/>
    <n v="15"/>
    <n v="0.25"/>
    <m/>
    <m/>
    <m/>
    <m/>
    <m/>
    <m/>
    <m/>
    <m/>
    <n v="0"/>
    <n v="0"/>
    <n v="0.25"/>
    <n v="11.75"/>
    <n v="12"/>
    <m/>
    <m/>
    <n v="0"/>
    <n v="33.26"/>
    <m/>
    <x v="26"/>
    <m/>
    <m/>
    <m/>
    <m/>
  </r>
  <r>
    <x v="1"/>
    <x v="0"/>
    <s v="3/15"/>
    <x v="226"/>
    <s v="سٹاک"/>
    <s v="PP"/>
    <n v="3"/>
    <s v="5.5-6"/>
    <s v="PP"/>
    <n v="1000"/>
    <s v="PP"/>
    <n v="6"/>
    <n v="114.94999999999999"/>
    <n v="1.7999999999999998"/>
    <m/>
    <m/>
    <n v="113.14999999999999"/>
    <s v="1691.48"/>
    <m/>
    <m/>
    <m/>
    <n v="0"/>
    <n v="0"/>
    <m/>
    <m/>
    <m/>
    <m/>
    <m/>
    <m/>
    <m/>
    <m/>
    <n v="0"/>
    <n v="0"/>
    <n v="0"/>
    <n v="12"/>
    <n v="12"/>
    <m/>
    <m/>
    <n v="0"/>
    <n v="119.95"/>
    <m/>
    <x v="26"/>
    <m/>
    <m/>
    <m/>
    <m/>
  </r>
  <r>
    <x v="0"/>
    <x v="1"/>
    <s v="6/11"/>
    <x v="226"/>
    <s v="سٹاک"/>
    <s v="PP"/>
    <n v="6"/>
    <n v="5"/>
    <s v="PP"/>
    <n v="1500"/>
    <s v="PP"/>
    <n v="9"/>
    <n v="139.15"/>
    <n v="5.3999999999999995"/>
    <m/>
    <m/>
    <n v="133.75"/>
    <s v="1543.8600000000001"/>
    <m/>
    <n v="200"/>
    <m/>
    <n v="200"/>
    <n v="3.3333333333333335"/>
    <n v="10"/>
    <m/>
    <m/>
    <m/>
    <m/>
    <m/>
    <m/>
    <m/>
    <n v="10"/>
    <n v="0.16666666666666666"/>
    <n v="3.5"/>
    <n v="8.5"/>
    <n v="12"/>
    <m/>
    <m/>
    <n v="0"/>
    <n v="144.15"/>
    <m/>
    <x v="26"/>
    <m/>
    <m/>
    <m/>
    <m/>
  </r>
  <r>
    <x v="1"/>
    <x v="1"/>
    <s v="6/11"/>
    <x v="226"/>
    <s v="سٹاک"/>
    <s v="PP"/>
    <n v="6"/>
    <n v="5"/>
    <s v="PP"/>
    <n v="1500"/>
    <s v="PP"/>
    <n v="10"/>
    <n v="212.99"/>
    <n v="6"/>
    <m/>
    <m/>
    <n v="206.99"/>
    <s v="1543.8600000000001"/>
    <m/>
    <m/>
    <m/>
    <n v="0"/>
    <n v="0"/>
    <m/>
    <m/>
    <m/>
    <m/>
    <m/>
    <m/>
    <m/>
    <m/>
    <n v="0"/>
    <n v="0"/>
    <n v="0"/>
    <n v="12"/>
    <n v="12"/>
    <m/>
    <m/>
    <n v="0"/>
    <n v="217.99"/>
    <m/>
    <x v="26"/>
    <m/>
    <m/>
    <m/>
    <m/>
  </r>
  <r>
    <x v="0"/>
    <x v="3"/>
    <s v="16/5"/>
    <x v="226"/>
    <s v="سٹاک"/>
    <s v="PP"/>
    <n v="16"/>
    <n v="5"/>
    <s v="PP"/>
    <n v="1000"/>
    <s v="PP"/>
    <n v="8"/>
    <n v="464.39"/>
    <n v="15.2"/>
    <n v="6"/>
    <m/>
    <n v="449.19"/>
    <s v="1780.2200000000003"/>
    <m/>
    <n v="195"/>
    <m/>
    <n v="195"/>
    <n v="3.25"/>
    <n v="10"/>
    <m/>
    <m/>
    <m/>
    <m/>
    <m/>
    <m/>
    <m/>
    <n v="10"/>
    <n v="0.16666666666666666"/>
    <n v="3.4166666666666665"/>
    <n v="8.5833333333333339"/>
    <n v="12"/>
    <m/>
    <m/>
    <n v="0"/>
    <n v="469.39"/>
    <m/>
    <x v="26"/>
    <m/>
    <m/>
    <m/>
    <m/>
  </r>
  <r>
    <x v="1"/>
    <x v="3"/>
    <s v="16/5"/>
    <x v="226"/>
    <s v="سٹاک"/>
    <s v="PP"/>
    <n v="16"/>
    <n v="5"/>
    <s v="PP"/>
    <n v="1000"/>
    <s v="PP"/>
    <n v="5"/>
    <n v="318.44000000000005"/>
    <n v="9.5"/>
    <n v="6"/>
    <m/>
    <n v="308.94000000000005"/>
    <s v="1780.2200000000003"/>
    <n v="25"/>
    <m/>
    <m/>
    <n v="25"/>
    <n v="0.41666666666666674"/>
    <m/>
    <m/>
    <m/>
    <m/>
    <m/>
    <m/>
    <m/>
    <m/>
    <n v="0"/>
    <n v="0"/>
    <n v="0.41666666666666674"/>
    <n v="11.583333333333334"/>
    <n v="12"/>
    <m/>
    <m/>
    <n v="0"/>
    <n v="323.44000000000005"/>
    <m/>
    <x v="26"/>
    <m/>
    <m/>
    <m/>
    <m/>
  </r>
  <r>
    <x v="1"/>
    <x v="3"/>
    <s v="7109 J"/>
    <x v="226"/>
    <s v="Jilani Poly Stock"/>
    <s v="PP"/>
    <n v="20"/>
    <s v="5-5.5"/>
    <s v="PP"/>
    <s v="-"/>
    <s v="PP"/>
    <n v="6"/>
    <n v="388.02000000000004"/>
    <n v="12"/>
    <m/>
    <m/>
    <n v="376.02000000000004"/>
    <s v="978.61000000000013"/>
    <m/>
    <m/>
    <m/>
    <n v="0"/>
    <n v="0"/>
    <m/>
    <m/>
    <m/>
    <m/>
    <m/>
    <m/>
    <m/>
    <m/>
    <n v="0"/>
    <n v="0"/>
    <n v="0"/>
    <n v="12"/>
    <n v="12"/>
    <m/>
    <m/>
    <n v="0"/>
    <n v="393.02"/>
    <m/>
    <x v="26"/>
    <m/>
    <m/>
    <m/>
    <m/>
  </r>
  <r>
    <x v="0"/>
    <x v="4"/>
    <s v="12/14"/>
    <x v="226"/>
    <s v="سٹاک"/>
    <s v="PP"/>
    <n v="12"/>
    <n v="5"/>
    <s v="PP"/>
    <n v="1500"/>
    <s v="PP"/>
    <n v="6"/>
    <n v="280.41999999999996"/>
    <n v="8.1000000000000014"/>
    <n v="43"/>
    <m/>
    <n v="272.31999999999994"/>
    <s v="1511.5199999999998"/>
    <m/>
    <n v="150"/>
    <m/>
    <n v="150"/>
    <n v="2.5"/>
    <n v="10"/>
    <m/>
    <m/>
    <m/>
    <m/>
    <m/>
    <n v="60"/>
    <m/>
    <n v="70"/>
    <n v="1.1666666666666667"/>
    <n v="3.666666666666667"/>
    <n v="8.3333333333333321"/>
    <n v="12"/>
    <m/>
    <m/>
    <n v="0"/>
    <n v="285.41999999999996"/>
    <m/>
    <x v="26"/>
    <m/>
    <m/>
    <m/>
    <m/>
  </r>
  <r>
    <x v="1"/>
    <x v="4"/>
    <s v="12/14"/>
    <x v="226"/>
    <s v="سٹاک"/>
    <s v="PP"/>
    <n v="12"/>
    <n v="5"/>
    <s v="PP"/>
    <n v="1500"/>
    <s v="PP"/>
    <n v="6"/>
    <n v="399.30999999999995"/>
    <n v="7.1999999999999993"/>
    <m/>
    <m/>
    <n v="392.10999999999996"/>
    <s v="1511.5199999999998"/>
    <n v="20"/>
    <m/>
    <m/>
    <n v="20"/>
    <n v="0.33333333333333331"/>
    <m/>
    <m/>
    <m/>
    <m/>
    <m/>
    <m/>
    <m/>
    <m/>
    <n v="0"/>
    <n v="0"/>
    <n v="0.33333333333333331"/>
    <n v="11.666666666666666"/>
    <n v="12"/>
    <m/>
    <m/>
    <n v="0"/>
    <n v="404.30999999999995"/>
    <m/>
    <x v="26"/>
    <m/>
    <m/>
    <m/>
    <m/>
  </r>
  <r>
    <x v="1"/>
    <x v="4"/>
    <s v="7750/1"/>
    <x v="226"/>
    <s v="عظیم ٹوئز شاہ رعالم"/>
    <s v="PP"/>
    <n v="13"/>
    <s v="10"/>
    <s v="PP"/>
    <n v="560"/>
    <s v="PP"/>
    <n v="4"/>
    <n v="194.87"/>
    <n v="5.2"/>
    <n v="12"/>
    <m/>
    <n v="189.67000000000002"/>
    <s v="580.55999999999995"/>
    <m/>
    <m/>
    <m/>
    <n v="0"/>
    <n v="0"/>
    <m/>
    <m/>
    <m/>
    <m/>
    <m/>
    <m/>
    <m/>
    <m/>
    <n v="0"/>
    <n v="0"/>
    <n v="0"/>
    <n v="12"/>
    <n v="12"/>
    <m/>
    <m/>
    <n v="0"/>
    <n v="199.87"/>
    <m/>
    <x v="26"/>
    <m/>
    <m/>
    <m/>
    <m/>
  </r>
  <r>
    <x v="0"/>
    <x v="0"/>
    <s v="3/15"/>
    <x v="227"/>
    <s v="سٹاک"/>
    <s v="PP"/>
    <n v="3"/>
    <s v="5.5-6"/>
    <s v="PP"/>
    <n v="1000"/>
    <s v="PP"/>
    <n v="8"/>
    <n v="135.65"/>
    <n v="2.4"/>
    <m/>
    <m/>
    <n v="133.25"/>
    <s v="1691.48"/>
    <m/>
    <m/>
    <m/>
    <n v="0"/>
    <n v="0"/>
    <n v="10"/>
    <m/>
    <m/>
    <m/>
    <m/>
    <m/>
    <m/>
    <m/>
    <n v="10"/>
    <n v="0.16666666666666666"/>
    <n v="0.16666666666666666"/>
    <n v="11.833333333333334"/>
    <n v="12"/>
    <m/>
    <m/>
    <n v="0"/>
    <n v="140.65"/>
    <m/>
    <x v="26"/>
    <m/>
    <m/>
    <m/>
    <m/>
  </r>
  <r>
    <x v="1"/>
    <x v="0"/>
    <s v="3/15"/>
    <x v="227"/>
    <s v="سٹاک"/>
    <s v="PP"/>
    <n v="3"/>
    <s v="5.5-6"/>
    <s v="PP"/>
    <n v="1000"/>
    <s v="PP"/>
    <n v="7"/>
    <n v="133.30000000000001"/>
    <n v="2.1"/>
    <m/>
    <m/>
    <n v="131.20000000000002"/>
    <s v="1691.48"/>
    <m/>
    <m/>
    <m/>
    <n v="0"/>
    <n v="0"/>
    <m/>
    <m/>
    <m/>
    <m/>
    <m/>
    <m/>
    <m/>
    <m/>
    <n v="0"/>
    <n v="0"/>
    <n v="0"/>
    <n v="12"/>
    <n v="12"/>
    <m/>
    <m/>
    <n v="0"/>
    <n v="138.30000000000001"/>
    <m/>
    <x v="26"/>
    <m/>
    <m/>
    <m/>
    <m/>
  </r>
  <r>
    <x v="0"/>
    <x v="1"/>
    <s v="6/11"/>
    <x v="227"/>
    <s v="سٹاک"/>
    <s v="PP"/>
    <n v="6"/>
    <n v="5"/>
    <s v="PP"/>
    <n v="1500"/>
    <s v="PP"/>
    <n v="9"/>
    <n v="218.77"/>
    <n v="5.3999999999999995"/>
    <m/>
    <m/>
    <n v="213.37"/>
    <s v="1543.8600000000001"/>
    <m/>
    <m/>
    <m/>
    <n v="0"/>
    <n v="0"/>
    <n v="10"/>
    <m/>
    <m/>
    <m/>
    <m/>
    <m/>
    <n v="60"/>
    <m/>
    <n v="70"/>
    <n v="1.1666666666666667"/>
    <n v="1.1666666666666667"/>
    <n v="10.833333333333334"/>
    <n v="12"/>
    <m/>
    <m/>
    <n v="0"/>
    <n v="223.77"/>
    <m/>
    <x v="26"/>
    <m/>
    <m/>
    <m/>
    <m/>
  </r>
  <r>
    <x v="1"/>
    <x v="1"/>
    <s v="6/11"/>
    <x v="227"/>
    <s v="سٹاک"/>
    <s v="PP"/>
    <n v="6"/>
    <n v="5"/>
    <s v="PP"/>
    <n v="1500"/>
    <s v="PP"/>
    <n v="9"/>
    <n v="228.89999999999998"/>
    <n v="5.3999999999999995"/>
    <m/>
    <m/>
    <n v="223.49999999999997"/>
    <s v="1543.8600000000001"/>
    <m/>
    <m/>
    <m/>
    <n v="0"/>
    <n v="0"/>
    <m/>
    <m/>
    <m/>
    <m/>
    <m/>
    <m/>
    <m/>
    <m/>
    <n v="0"/>
    <n v="0"/>
    <n v="0"/>
    <n v="12"/>
    <n v="12"/>
    <m/>
    <m/>
    <n v="0"/>
    <n v="233.9"/>
    <m/>
    <x v="26"/>
    <m/>
    <m/>
    <m/>
    <m/>
  </r>
  <r>
    <x v="0"/>
    <x v="3"/>
    <s v="7109 J"/>
    <x v="227"/>
    <s v="Jilani Poly Stock"/>
    <s v="PP"/>
    <n v="20"/>
    <s v="5-5.5"/>
    <s v="PP"/>
    <s v="-"/>
    <s v="PP"/>
    <n v="10"/>
    <n v="627.59"/>
    <n v="25"/>
    <m/>
    <m/>
    <n v="602.59"/>
    <s v="978.61000000000013"/>
    <m/>
    <m/>
    <m/>
    <n v="0"/>
    <n v="0"/>
    <n v="20"/>
    <m/>
    <m/>
    <m/>
    <m/>
    <m/>
    <m/>
    <m/>
    <n v="20"/>
    <n v="0.33333333333333331"/>
    <n v="0.33333333333333331"/>
    <n v="11.666666666666666"/>
    <n v="12"/>
    <m/>
    <m/>
    <n v="0"/>
    <n v="632.59"/>
    <m/>
    <x v="26"/>
    <m/>
    <m/>
    <m/>
    <m/>
  </r>
  <r>
    <x v="0"/>
    <x v="3"/>
    <s v="2902 F"/>
    <x v="227"/>
    <s v="Usman Amin"/>
    <s v="PP"/>
    <n v="20"/>
    <s v="5-5.5"/>
    <s v="PP"/>
    <n v="300"/>
    <s v="PP"/>
    <n v="2"/>
    <n v="117.21000000000001"/>
    <n v="4"/>
    <n v="34"/>
    <m/>
    <n v="113.21000000000001"/>
    <s v="338.61"/>
    <m/>
    <m/>
    <m/>
    <n v="0"/>
    <n v="0"/>
    <m/>
    <m/>
    <m/>
    <m/>
    <m/>
    <m/>
    <m/>
    <m/>
    <n v="0"/>
    <n v="0"/>
    <n v="0"/>
    <n v="12"/>
    <n v="12"/>
    <m/>
    <m/>
    <n v="0"/>
    <n v="122.21"/>
    <m/>
    <x v="26"/>
    <m/>
    <m/>
    <m/>
    <m/>
  </r>
  <r>
    <x v="1"/>
    <x v="3"/>
    <s v="2902 F"/>
    <x v="227"/>
    <s v="Usman Amin"/>
    <s v="PP"/>
    <n v="20"/>
    <s v="5-5.5"/>
    <s v="PP"/>
    <n v="300"/>
    <s v="PP"/>
    <n v="4"/>
    <n v="233.39999999999998"/>
    <n v="8"/>
    <n v="40"/>
    <m/>
    <n v="225.39999999999998"/>
    <s v="338.61"/>
    <n v="25"/>
    <m/>
    <m/>
    <n v="25"/>
    <n v="0.41666666666666674"/>
    <m/>
    <m/>
    <m/>
    <m/>
    <m/>
    <m/>
    <m/>
    <m/>
    <n v="0"/>
    <n v="0"/>
    <n v="0.41666666666666674"/>
    <n v="11.583333333333334"/>
    <n v="12"/>
    <m/>
    <m/>
    <n v="0"/>
    <n v="238.4"/>
    <m/>
    <x v="26"/>
    <m/>
    <m/>
    <m/>
    <m/>
  </r>
  <r>
    <x v="1"/>
    <x v="3"/>
    <s v="7110 J"/>
    <x v="227"/>
    <s v="Jilani Poly Stock"/>
    <s v="PP"/>
    <n v="24"/>
    <s v="5-5.5"/>
    <s v="PP"/>
    <s v="-"/>
    <s v="PP"/>
    <n v="7"/>
    <n v="485.7600000000001"/>
    <n v="16.8"/>
    <m/>
    <m/>
    <n v="468.96000000000009"/>
    <s v="1167.51"/>
    <m/>
    <m/>
    <m/>
    <n v="0"/>
    <n v="0"/>
    <m/>
    <m/>
    <n v="25"/>
    <m/>
    <m/>
    <m/>
    <m/>
    <m/>
    <n v="25"/>
    <n v="0.41666666666666674"/>
    <n v="0.41666666666666674"/>
    <n v="11.583333333333334"/>
    <n v="12"/>
    <m/>
    <m/>
    <n v="0"/>
    <n v="490.7600000000001"/>
    <m/>
    <x v="26"/>
    <m/>
    <m/>
    <m/>
    <m/>
  </r>
  <r>
    <x v="0"/>
    <x v="4"/>
    <s v="7750/1"/>
    <x v="227"/>
    <s v="عظیم ٹوئز شاہ رعالم"/>
    <s v="PP"/>
    <n v="13"/>
    <s v="10"/>
    <s v="PP"/>
    <n v="560"/>
    <s v="PP"/>
    <n v="7"/>
    <n v="401.39"/>
    <n v="10.5"/>
    <m/>
    <m/>
    <n v="390.89"/>
    <s v="580.55999999999995"/>
    <n v="20"/>
    <m/>
    <m/>
    <n v="20"/>
    <n v="0.33333333333333331"/>
    <n v="20"/>
    <m/>
    <m/>
    <m/>
    <m/>
    <m/>
    <m/>
    <m/>
    <n v="20"/>
    <n v="0.33333333333333331"/>
    <n v="0.66666666666666663"/>
    <n v="11.333333333333334"/>
    <n v="12"/>
    <m/>
    <m/>
    <n v="0"/>
    <n v="406.39"/>
    <m/>
    <x v="26"/>
    <m/>
    <m/>
    <m/>
    <m/>
  </r>
  <r>
    <x v="0"/>
    <x v="4"/>
    <s v="10/14"/>
    <x v="227"/>
    <s v="سٹاک"/>
    <s v="PP"/>
    <n v="10"/>
    <n v="5"/>
    <s v="PP"/>
    <n v="1000"/>
    <s v="PP"/>
    <n v="3"/>
    <n v="146.72"/>
    <n v="3.5999999999999996"/>
    <n v="3.5"/>
    <m/>
    <n v="143.12"/>
    <s v="862.98"/>
    <m/>
    <m/>
    <m/>
    <n v="0"/>
    <n v="0"/>
    <m/>
    <m/>
    <m/>
    <m/>
    <m/>
    <m/>
    <m/>
    <m/>
    <n v="0"/>
    <n v="0"/>
    <n v="0"/>
    <n v="12"/>
    <n v="12"/>
    <m/>
    <m/>
    <n v="0"/>
    <n v="151.72"/>
    <m/>
    <x v="26"/>
    <m/>
    <m/>
    <m/>
    <m/>
  </r>
  <r>
    <x v="1"/>
    <x v="4"/>
    <s v="10/14"/>
    <x v="227"/>
    <s v="سٹاک"/>
    <s v="PP"/>
    <n v="10"/>
    <n v="5"/>
    <s v="PP"/>
    <n v="1000"/>
    <s v="PP"/>
    <n v="6"/>
    <n v="251.3"/>
    <n v="6"/>
    <n v="3.5"/>
    <m/>
    <n v="245.3"/>
    <s v="862.98"/>
    <n v="20"/>
    <m/>
    <m/>
    <n v="20"/>
    <n v="0.33333333333333331"/>
    <m/>
    <m/>
    <n v="25"/>
    <m/>
    <m/>
    <m/>
    <m/>
    <m/>
    <n v="25"/>
    <n v="0.41666666666666674"/>
    <n v="0.75"/>
    <n v="11.25"/>
    <n v="12"/>
    <m/>
    <m/>
    <n v="0"/>
    <n v="256.3"/>
    <m/>
    <x v="26"/>
    <m/>
    <m/>
    <m/>
    <m/>
  </r>
  <r>
    <x v="1"/>
    <x v="4"/>
    <s v="7301 J"/>
    <x v="227"/>
    <s v="Raza Graments Lahore"/>
    <s v="PP"/>
    <n v="14"/>
    <s v="11.5-12"/>
    <s v="PP"/>
    <n v="1000"/>
    <s v="PP"/>
    <n v="4"/>
    <n v="217.84000000000003"/>
    <n v="5.6"/>
    <m/>
    <m/>
    <n v="212.24000000000004"/>
    <s v="979.65"/>
    <m/>
    <m/>
    <m/>
    <n v="0"/>
    <n v="0"/>
    <m/>
    <m/>
    <m/>
    <m/>
    <m/>
    <m/>
    <m/>
    <m/>
    <n v="0"/>
    <n v="0"/>
    <n v="0"/>
    <n v="12"/>
    <n v="12"/>
    <m/>
    <m/>
    <n v="0"/>
    <n v="222.84000000000003"/>
    <m/>
    <x v="26"/>
    <m/>
    <m/>
    <m/>
    <m/>
  </r>
  <r>
    <x v="0"/>
    <x v="0"/>
    <s v="3/15"/>
    <x v="228"/>
    <s v="سٹاک"/>
    <s v="PP"/>
    <n v="3"/>
    <s v="5.5-6"/>
    <s v="PP"/>
    <n v="1000"/>
    <s v="PP"/>
    <n v="7"/>
    <n v="130.75"/>
    <n v="2.1"/>
    <n v="5"/>
    <m/>
    <n v="128.65"/>
    <s v="1691.48"/>
    <m/>
    <m/>
    <m/>
    <n v="0"/>
    <n v="0"/>
    <m/>
    <m/>
    <m/>
    <m/>
    <m/>
    <m/>
    <m/>
    <m/>
    <n v="0"/>
    <n v="0"/>
    <n v="0"/>
    <n v="12"/>
    <n v="12"/>
    <m/>
    <m/>
    <n v="0"/>
    <n v="135.75"/>
    <m/>
    <x v="26"/>
    <m/>
    <m/>
    <m/>
    <m/>
  </r>
  <r>
    <x v="1"/>
    <x v="0"/>
    <s v="3/15"/>
    <x v="228"/>
    <s v="سٹاک"/>
    <s v="PP"/>
    <n v="3"/>
    <s v="5.5-6"/>
    <s v="PP"/>
    <n v="1000"/>
    <s v="PP"/>
    <n v="8"/>
    <n v="149.72999999999999"/>
    <n v="2.4"/>
    <n v="5"/>
    <m/>
    <n v="147.32999999999998"/>
    <s v="1691.48"/>
    <m/>
    <m/>
    <m/>
    <n v="0"/>
    <n v="0"/>
    <m/>
    <m/>
    <m/>
    <m/>
    <m/>
    <m/>
    <m/>
    <m/>
    <n v="0"/>
    <n v="0"/>
    <n v="0"/>
    <n v="12"/>
    <n v="12"/>
    <m/>
    <m/>
    <n v="0"/>
    <n v="154.72999999999999"/>
    <m/>
    <x v="26"/>
    <m/>
    <m/>
    <m/>
    <m/>
  </r>
  <r>
    <x v="0"/>
    <x v="1"/>
    <s v="6/11"/>
    <x v="228"/>
    <s v="سٹاک"/>
    <s v="PP"/>
    <n v="6"/>
    <n v="5"/>
    <s v="PP"/>
    <n v="1500"/>
    <s v="PP"/>
    <n v="10"/>
    <n v="229.48"/>
    <n v="6"/>
    <m/>
    <m/>
    <n v="223.48"/>
    <s v="1543.8600000000001"/>
    <m/>
    <m/>
    <m/>
    <n v="0"/>
    <n v="0"/>
    <m/>
    <m/>
    <m/>
    <m/>
    <m/>
    <m/>
    <m/>
    <m/>
    <n v="0"/>
    <n v="0"/>
    <n v="0"/>
    <n v="12"/>
    <n v="12"/>
    <m/>
    <m/>
    <n v="0"/>
    <n v="234.48"/>
    <m/>
    <x v="26"/>
    <m/>
    <m/>
    <m/>
    <m/>
  </r>
  <r>
    <x v="1"/>
    <x v="1"/>
    <s v="6/11"/>
    <x v="228"/>
    <s v="سٹاک"/>
    <s v="PP"/>
    <n v="6"/>
    <n v="5"/>
    <s v="PP"/>
    <n v="1500"/>
    <s v="PP"/>
    <n v="10"/>
    <n v="224.41000000000003"/>
    <n v="6"/>
    <m/>
    <m/>
    <n v="218.41000000000003"/>
    <s v="1543.8600000000001"/>
    <m/>
    <m/>
    <m/>
    <n v="0"/>
    <n v="0"/>
    <m/>
    <m/>
    <m/>
    <m/>
    <m/>
    <m/>
    <m/>
    <m/>
    <n v="0"/>
    <n v="0"/>
    <n v="0"/>
    <n v="12"/>
    <n v="12"/>
    <m/>
    <m/>
    <n v="0"/>
    <n v="229.41000000000005"/>
    <m/>
    <x v="26"/>
    <m/>
    <m/>
    <m/>
    <m/>
  </r>
  <r>
    <x v="0"/>
    <x v="3"/>
    <s v="7110 J"/>
    <x v="228"/>
    <s v="Jilani Poly Stock"/>
    <s v="PP"/>
    <n v="24"/>
    <s v="5-5.5"/>
    <s v="PP"/>
    <s v="-"/>
    <s v="PP"/>
    <n v="11"/>
    <n v="732.14999999999986"/>
    <n v="33.599999999999994"/>
    <n v="25"/>
    <m/>
    <n v="698.54999999999984"/>
    <s v="1167.51"/>
    <m/>
    <m/>
    <m/>
    <n v="0"/>
    <n v="0"/>
    <m/>
    <m/>
    <m/>
    <m/>
    <m/>
    <m/>
    <m/>
    <m/>
    <n v="0"/>
    <n v="0"/>
    <n v="0"/>
    <n v="12"/>
    <n v="12"/>
    <m/>
    <m/>
    <n v="0"/>
    <n v="737.14999999999986"/>
    <m/>
    <x v="26"/>
    <m/>
    <m/>
    <m/>
    <m/>
  </r>
  <r>
    <x v="0"/>
    <x v="3"/>
    <s v="7432 J"/>
    <x v="228"/>
    <s v="Imran Printing Multan"/>
    <s v="PP"/>
    <n v="24"/>
    <s v="5.5-6"/>
    <s v="PP"/>
    <n v="100"/>
    <s v="PP"/>
    <n v="1"/>
    <n v="56.29"/>
    <n v="2.8"/>
    <m/>
    <m/>
    <n v="53.49"/>
    <s v="119.27000000000001"/>
    <m/>
    <m/>
    <m/>
    <n v="0"/>
    <n v="0"/>
    <m/>
    <m/>
    <m/>
    <m/>
    <m/>
    <m/>
    <m/>
    <m/>
    <n v="0"/>
    <n v="0"/>
    <n v="0"/>
    <n v="12"/>
    <n v="12"/>
    <m/>
    <m/>
    <n v="0"/>
    <n v="61.29"/>
    <m/>
    <x v="26"/>
    <m/>
    <m/>
    <m/>
    <m/>
  </r>
  <r>
    <x v="1"/>
    <x v="3"/>
    <s v="7432 J"/>
    <x v="228"/>
    <s v="Imran Printing Multan"/>
    <s v="PP"/>
    <n v="24"/>
    <s v="5.5-6"/>
    <s v="PP"/>
    <n v="100"/>
    <s v="PP"/>
    <n v="1"/>
    <n v="68.180000000000007"/>
    <n v="2.4"/>
    <n v="16"/>
    <m/>
    <n v="65.78"/>
    <s v="119.27000000000001"/>
    <m/>
    <m/>
    <m/>
    <n v="0"/>
    <n v="0"/>
    <m/>
    <m/>
    <n v="660"/>
    <m/>
    <m/>
    <m/>
    <m/>
    <m/>
    <n v="660"/>
    <n v="11"/>
    <n v="11"/>
    <n v="1"/>
    <n v="12"/>
    <m/>
    <m/>
    <n v="0"/>
    <n v="73.180000000000007"/>
    <m/>
    <x v="26"/>
    <m/>
    <m/>
    <m/>
    <m/>
  </r>
  <r>
    <x v="0"/>
    <x v="4"/>
    <s v="7301 J"/>
    <x v="228"/>
    <s v="Raza Graments Lahore"/>
    <s v="PP"/>
    <n v="14"/>
    <s v="11.5-12"/>
    <s v="PP"/>
    <n v="1000"/>
    <s v="PP"/>
    <n v="5"/>
    <n v="240.48"/>
    <n v="8"/>
    <m/>
    <m/>
    <n v="232.48"/>
    <s v="979.65"/>
    <m/>
    <m/>
    <m/>
    <n v="0"/>
    <n v="0"/>
    <n v="60"/>
    <m/>
    <m/>
    <m/>
    <m/>
    <m/>
    <m/>
    <m/>
    <n v="60"/>
    <n v="1"/>
    <n v="1"/>
    <n v="11"/>
    <n v="12"/>
    <m/>
    <m/>
    <n v="0"/>
    <n v="245.48"/>
    <m/>
    <x v="26"/>
    <m/>
    <m/>
    <m/>
    <m/>
  </r>
  <r>
    <x v="0"/>
    <x v="4"/>
    <s v="14/10"/>
    <x v="228"/>
    <s v="سٹاک"/>
    <s v="PP"/>
    <n v="14"/>
    <n v="5"/>
    <s v="PP"/>
    <n v="1000"/>
    <s v="PP"/>
    <n v="4"/>
    <n v="243.62"/>
    <n v="6.4"/>
    <m/>
    <m/>
    <n v="237.22"/>
    <s v="1304.4099999999999"/>
    <n v="20"/>
    <m/>
    <m/>
    <n v="20"/>
    <n v="0.33333333333333331"/>
    <m/>
    <m/>
    <m/>
    <m/>
    <m/>
    <m/>
    <m/>
    <m/>
    <n v="0"/>
    <n v="0"/>
    <n v="0.33333333333333331"/>
    <n v="11.666666666666666"/>
    <n v="12"/>
    <m/>
    <m/>
    <n v="0"/>
    <n v="248.62"/>
    <m/>
    <x v="26"/>
    <m/>
    <m/>
    <m/>
    <m/>
  </r>
  <r>
    <x v="1"/>
    <x v="4"/>
    <s v="14/10"/>
    <x v="228"/>
    <s v="سٹاک"/>
    <s v="PP"/>
    <n v="14"/>
    <n v="5"/>
    <s v="PP"/>
    <n v="1000"/>
    <s v="PP"/>
    <n v="1"/>
    <n v="62.7"/>
    <n v="1.4"/>
    <m/>
    <m/>
    <n v="61.300000000000004"/>
    <s v="1304.4099999999999"/>
    <n v="20"/>
    <m/>
    <m/>
    <n v="20"/>
    <n v="0.33333333333333331"/>
    <m/>
    <m/>
    <m/>
    <m/>
    <m/>
    <m/>
    <m/>
    <m/>
    <n v="0"/>
    <n v="0"/>
    <n v="0.33333333333333331"/>
    <n v="11.666666666666666"/>
    <n v="12"/>
    <m/>
    <m/>
    <n v="0"/>
    <n v="67.7"/>
    <m/>
    <x v="26"/>
    <m/>
    <m/>
    <m/>
    <m/>
  </r>
  <r>
    <x v="1"/>
    <x v="4"/>
    <s v="7737/13"/>
    <x v="228"/>
    <s v="عمران مشتاق پتوکی"/>
    <s v="PP"/>
    <n v="7"/>
    <s v="4-4.5"/>
    <s v="PP"/>
    <n v="100"/>
    <s v="PP"/>
    <n v="4"/>
    <n v="99.28"/>
    <n v="2.8"/>
    <m/>
    <m/>
    <n v="96.48"/>
    <s v="96.48"/>
    <m/>
    <m/>
    <m/>
    <n v="0"/>
    <n v="0"/>
    <m/>
    <m/>
    <m/>
    <m/>
    <m/>
    <m/>
    <m/>
    <m/>
    <n v="0"/>
    <n v="0"/>
    <n v="0"/>
    <n v="12"/>
    <n v="12"/>
    <m/>
    <m/>
    <n v="0"/>
    <n v="104.28"/>
    <m/>
    <x v="26"/>
    <m/>
    <m/>
    <m/>
    <m/>
  </r>
  <r>
    <x v="1"/>
    <x v="4"/>
    <s v="10/4"/>
    <x v="228"/>
    <s v="سٹاک"/>
    <s v="PP"/>
    <n v="10"/>
    <n v="5"/>
    <s v="PP"/>
    <n v="1000"/>
    <s v="PP"/>
    <n v="3"/>
    <n v="133.99"/>
    <n v="3"/>
    <m/>
    <m/>
    <n v="130.99"/>
    <s v="1488.8200000000002"/>
    <m/>
    <m/>
    <m/>
    <n v="0"/>
    <n v="0"/>
    <m/>
    <m/>
    <m/>
    <m/>
    <m/>
    <m/>
    <m/>
    <m/>
    <n v="0"/>
    <n v="0"/>
    <n v="0"/>
    <n v="12"/>
    <n v="12"/>
    <m/>
    <m/>
    <n v="0"/>
    <n v="138.99"/>
    <m/>
    <x v="26"/>
    <m/>
    <m/>
    <m/>
    <m/>
  </r>
  <r>
    <x v="1"/>
    <x v="4"/>
    <s v="7750/2"/>
    <x v="228"/>
    <s v="عظیم ٹوئز شاہ رعالم"/>
    <s v="PP"/>
    <n v="7"/>
    <s v="10"/>
    <s v="PP"/>
    <n v="100"/>
    <s v="PP"/>
    <n v="4"/>
    <n v="108.11999999999999"/>
    <n v="2.8"/>
    <m/>
    <m/>
    <n v="105.32"/>
    <s v="105.32"/>
    <m/>
    <m/>
    <m/>
    <n v="0"/>
    <n v="0"/>
    <m/>
    <m/>
    <m/>
    <m/>
    <m/>
    <m/>
    <m/>
    <m/>
    <n v="0"/>
    <n v="0"/>
    <n v="0"/>
    <n v="12"/>
    <n v="12"/>
    <m/>
    <m/>
    <n v="0"/>
    <n v="113.12"/>
    <m/>
    <x v="26"/>
    <m/>
    <m/>
    <m/>
    <m/>
  </r>
  <r>
    <x v="1"/>
    <x v="4"/>
    <s v="14/5"/>
    <x v="228"/>
    <s v="سٹاک"/>
    <s v="PP"/>
    <n v="14"/>
    <n v="5"/>
    <s v="PP"/>
    <n v="1000"/>
    <s v="PP"/>
    <n v="1"/>
    <n v="15.17"/>
    <n v="1.4"/>
    <m/>
    <m/>
    <n v="13.77"/>
    <s v="2560.3799999999997"/>
    <m/>
    <m/>
    <m/>
    <n v="0"/>
    <n v="0"/>
    <m/>
    <m/>
    <m/>
    <m/>
    <m/>
    <m/>
    <m/>
    <m/>
    <n v="0"/>
    <n v="0"/>
    <n v="0"/>
    <n v="12"/>
    <n v="12"/>
    <m/>
    <m/>
    <n v="0"/>
    <n v="20.170000000000002"/>
    <m/>
    <x v="26"/>
    <m/>
    <m/>
    <m/>
    <m/>
  </r>
  <r>
    <x v="0"/>
    <x v="0"/>
    <s v="3/15"/>
    <x v="229"/>
    <s v="سٹاک"/>
    <s v="PP"/>
    <n v="3"/>
    <s v="5.5-6"/>
    <s v="PP"/>
    <n v="1000"/>
    <s v="PP"/>
    <n v="7"/>
    <n v="132.09"/>
    <n v="2.1"/>
    <n v="18"/>
    <m/>
    <n v="129.99"/>
    <s v="1691.48"/>
    <m/>
    <m/>
    <m/>
    <n v="0"/>
    <n v="0"/>
    <m/>
    <m/>
    <m/>
    <m/>
    <m/>
    <m/>
    <m/>
    <m/>
    <n v="0"/>
    <n v="0"/>
    <n v="0"/>
    <n v="12"/>
    <n v="12"/>
    <m/>
    <m/>
    <n v="0"/>
    <n v="137.09"/>
    <m/>
    <x v="26"/>
    <m/>
    <m/>
    <m/>
    <m/>
  </r>
  <r>
    <x v="1"/>
    <x v="0"/>
    <s v="3/15"/>
    <x v="229"/>
    <s v="سٹاک"/>
    <s v="PP"/>
    <n v="3"/>
    <s v="5.5-6"/>
    <s v="PP"/>
    <n v="1000"/>
    <s v="PP"/>
    <n v="6"/>
    <n v="118.04"/>
    <n v="1.7999999999999998"/>
    <n v="33"/>
    <m/>
    <n v="116.24000000000001"/>
    <s v="1691.48"/>
    <m/>
    <m/>
    <m/>
    <n v="0"/>
    <n v="0"/>
    <n v="60"/>
    <m/>
    <m/>
    <m/>
    <m/>
    <m/>
    <m/>
    <m/>
    <n v="60"/>
    <n v="1"/>
    <n v="1"/>
    <n v="11"/>
    <n v="12"/>
    <m/>
    <m/>
    <n v="0"/>
    <n v="123.04"/>
    <m/>
    <x v="26"/>
    <m/>
    <m/>
    <m/>
    <m/>
  </r>
  <r>
    <x v="0"/>
    <x v="1"/>
    <s v="6/11"/>
    <x v="229"/>
    <s v="سٹاک"/>
    <s v="PP"/>
    <n v="6"/>
    <n v="5"/>
    <s v="PP"/>
    <n v="1500"/>
    <s v="PP"/>
    <n v="9"/>
    <n v="215.63"/>
    <n v="5.3999999999999995"/>
    <m/>
    <m/>
    <n v="210.23"/>
    <s v="1543.8600000000001"/>
    <m/>
    <m/>
    <m/>
    <n v="0"/>
    <n v="0"/>
    <m/>
    <m/>
    <m/>
    <m/>
    <m/>
    <m/>
    <m/>
    <m/>
    <n v="0"/>
    <n v="0"/>
    <n v="0"/>
    <n v="12"/>
    <n v="12"/>
    <m/>
    <m/>
    <n v="0"/>
    <n v="220.63"/>
    <m/>
    <x v="26"/>
    <m/>
    <m/>
    <m/>
    <m/>
  </r>
  <r>
    <x v="1"/>
    <x v="1"/>
    <s v="6/11"/>
    <x v="229"/>
    <s v="سٹاک"/>
    <s v="PP"/>
    <n v="6"/>
    <n v="5"/>
    <s v="PP"/>
    <n v="1500"/>
    <s v="PP"/>
    <n v="6"/>
    <n v="117.72999999999999"/>
    <n v="3.5999999999999996"/>
    <m/>
    <m/>
    <n v="114.13"/>
    <s v="1543.8600000000001"/>
    <m/>
    <m/>
    <m/>
    <n v="0"/>
    <n v="0"/>
    <m/>
    <m/>
    <m/>
    <m/>
    <m/>
    <m/>
    <m/>
    <m/>
    <n v="0"/>
    <n v="0"/>
    <n v="0"/>
    <n v="12"/>
    <n v="12"/>
    <m/>
    <m/>
    <n v="0"/>
    <n v="122.73"/>
    <m/>
    <x v="26"/>
    <m/>
    <m/>
    <m/>
    <m/>
  </r>
  <r>
    <x v="1"/>
    <x v="1"/>
    <s v="5/7"/>
    <x v="229"/>
    <s v="سٹاک"/>
    <s v="PP"/>
    <n v="5"/>
    <s v="5.5-6"/>
    <s v="PP"/>
    <n v="1000"/>
    <s v="PP"/>
    <n v="3"/>
    <n v="50.72"/>
    <n v="1.5"/>
    <m/>
    <m/>
    <n v="49.22"/>
    <s v="1245.8800000000001"/>
    <n v="15"/>
    <m/>
    <m/>
    <n v="15"/>
    <n v="0.25"/>
    <n v="60"/>
    <m/>
    <m/>
    <m/>
    <m/>
    <m/>
    <m/>
    <m/>
    <n v="60"/>
    <n v="1"/>
    <n v="1.25"/>
    <n v="10.75"/>
    <n v="12"/>
    <m/>
    <m/>
    <n v="0"/>
    <n v="55.72"/>
    <m/>
    <x v="26"/>
    <m/>
    <m/>
    <m/>
    <m/>
  </r>
  <r>
    <x v="0"/>
    <x v="4"/>
    <s v="10/14"/>
    <x v="229"/>
    <s v="سٹاک"/>
    <s v="PP"/>
    <n v="10"/>
    <n v="5"/>
    <s v="PP"/>
    <n v="1000"/>
    <s v="PP"/>
    <n v="5"/>
    <n v="230.94"/>
    <n v="5"/>
    <m/>
    <m/>
    <n v="225.94"/>
    <s v="862.98"/>
    <n v="20"/>
    <m/>
    <m/>
    <n v="20"/>
    <n v="0.33333333333333331"/>
    <m/>
    <m/>
    <m/>
    <m/>
    <m/>
    <m/>
    <m/>
    <m/>
    <n v="0"/>
    <n v="0"/>
    <n v="0.33333333333333331"/>
    <n v="11.666666666666666"/>
    <n v="12"/>
    <m/>
    <m/>
    <n v="0"/>
    <n v="235.94"/>
    <m/>
    <x v="26"/>
    <m/>
    <m/>
    <m/>
    <m/>
  </r>
  <r>
    <x v="0"/>
    <x v="4"/>
    <s v="7301 J"/>
    <x v="229"/>
    <s v="Raza Graments Lahore"/>
    <s v="PP"/>
    <n v="14"/>
    <s v="11.5-12"/>
    <s v="PP"/>
    <n v="1000"/>
    <s v="PP"/>
    <n v="5"/>
    <n v="274.77"/>
    <n v="8"/>
    <n v="5"/>
    <m/>
    <n v="266.77"/>
    <s v="979.65"/>
    <m/>
    <m/>
    <m/>
    <n v="0"/>
    <n v="0"/>
    <m/>
    <m/>
    <m/>
    <m/>
    <m/>
    <m/>
    <m/>
    <m/>
    <n v="0"/>
    <n v="0"/>
    <n v="0"/>
    <n v="12"/>
    <n v="12"/>
    <m/>
    <m/>
    <n v="0"/>
    <n v="279.77"/>
    <m/>
    <x v="26"/>
    <m/>
    <m/>
    <m/>
    <m/>
  </r>
  <r>
    <x v="1"/>
    <x v="4"/>
    <s v="7301 J"/>
    <x v="229"/>
    <s v="Raza Graments Lahore"/>
    <s v="PP"/>
    <n v="14"/>
    <s v="11.5-12"/>
    <s v="PP"/>
    <n v="1000"/>
    <s v="PP"/>
    <n v="5"/>
    <n v="275.15999999999997"/>
    <n v="7"/>
    <n v="5"/>
    <m/>
    <n v="268.15999999999997"/>
    <s v="979.65"/>
    <m/>
    <m/>
    <m/>
    <n v="0"/>
    <n v="0"/>
    <m/>
    <m/>
    <m/>
    <m/>
    <m/>
    <m/>
    <m/>
    <m/>
    <n v="0"/>
    <n v="0"/>
    <n v="0"/>
    <n v="12"/>
    <n v="12"/>
    <m/>
    <m/>
    <n v="0"/>
    <n v="280.15999999999997"/>
    <m/>
    <x v="26"/>
    <m/>
    <m/>
    <m/>
    <m/>
  </r>
  <r>
    <x v="1"/>
    <x v="4"/>
    <s v="10/14"/>
    <x v="229"/>
    <s v="سٹاک"/>
    <s v="PP"/>
    <n v="10"/>
    <n v="5"/>
    <s v="PP"/>
    <n v="1000"/>
    <s v="PP"/>
    <n v="5"/>
    <n v="206.25"/>
    <n v="5"/>
    <m/>
    <m/>
    <n v="201.25"/>
    <s v="862.98"/>
    <n v="20"/>
    <m/>
    <m/>
    <n v="20"/>
    <n v="0.33333333333333331"/>
    <n v="80"/>
    <m/>
    <m/>
    <m/>
    <m/>
    <m/>
    <m/>
    <m/>
    <n v="80"/>
    <n v="1.3333333333333333"/>
    <n v="1.6666666666666663"/>
    <n v="10.333333333333334"/>
    <n v="12"/>
    <m/>
    <m/>
    <n v="0"/>
    <n v="211.25"/>
    <m/>
    <x v="26"/>
    <m/>
    <m/>
    <m/>
    <m/>
  </r>
  <r>
    <x v="1"/>
    <x v="3"/>
    <s v="7430 J"/>
    <x v="229"/>
    <s v="Jilani Poly Stock"/>
    <s v="PP"/>
    <n v="28"/>
    <s v="5-5.5"/>
    <s v="PP"/>
    <s v="-"/>
    <s v="PP"/>
    <n v="3"/>
    <n v="182.88"/>
    <n v="8.3999999999999986"/>
    <m/>
    <m/>
    <n v="174.48"/>
    <s v="1769.1799999999998"/>
    <m/>
    <m/>
    <m/>
    <n v="0"/>
    <n v="0"/>
    <m/>
    <m/>
    <m/>
    <m/>
    <m/>
    <m/>
    <m/>
    <m/>
    <n v="0"/>
    <n v="0"/>
    <n v="0"/>
    <n v="12"/>
    <n v="12"/>
    <m/>
    <m/>
    <n v="0"/>
    <n v="187.88"/>
    <m/>
    <x v="26"/>
    <m/>
    <m/>
    <m/>
    <m/>
  </r>
  <r>
    <x v="1"/>
    <x v="3"/>
    <s v="7430 J"/>
    <x v="229"/>
    <s v="Jilani Poly Stock"/>
    <s v="PP"/>
    <n v="28"/>
    <s v="5-5.5"/>
    <s v="PP"/>
    <s v="-"/>
    <s v="PP"/>
    <n v="4"/>
    <n v="248.64"/>
    <n v="11.2"/>
    <m/>
    <m/>
    <n v="237.44"/>
    <s v="1769.1799999999998"/>
    <m/>
    <n v="240"/>
    <m/>
    <n v="240"/>
    <n v="4"/>
    <n v="80"/>
    <m/>
    <m/>
    <m/>
    <m/>
    <m/>
    <m/>
    <m/>
    <n v="80"/>
    <n v="1.3333333333333333"/>
    <n v="5.333333333333333"/>
    <n v="6.666666666666667"/>
    <n v="12"/>
    <m/>
    <m/>
    <n v="0"/>
    <n v="253.64"/>
    <m/>
    <x v="26"/>
    <m/>
    <m/>
    <m/>
    <m/>
  </r>
  <r>
    <x v="0"/>
    <x v="0"/>
    <s v="3/15"/>
    <x v="230"/>
    <s v="سٹاک"/>
    <s v="PP"/>
    <n v="3"/>
    <s v="5.5-6"/>
    <s v="PP"/>
    <n v="1000"/>
    <s v="PP"/>
    <n v="7"/>
    <n v="136"/>
    <n v="2.1"/>
    <m/>
    <m/>
    <n v="133.9"/>
    <s v="1691.48"/>
    <m/>
    <m/>
    <m/>
    <n v="0"/>
    <n v="0"/>
    <m/>
    <m/>
    <m/>
    <m/>
    <m/>
    <m/>
    <m/>
    <m/>
    <n v="0"/>
    <n v="0"/>
    <n v="0"/>
    <n v="12"/>
    <n v="12"/>
    <m/>
    <m/>
    <n v="0"/>
    <n v="141"/>
    <m/>
    <x v="26"/>
    <m/>
    <m/>
    <m/>
    <m/>
  </r>
  <r>
    <x v="1"/>
    <x v="0"/>
    <s v="3/15"/>
    <x v="230"/>
    <s v="سٹاک"/>
    <s v="PP"/>
    <n v="3"/>
    <s v="5.5-6"/>
    <s v="PP"/>
    <n v="1000"/>
    <s v="PP"/>
    <n v="7"/>
    <n v="135.60000000000002"/>
    <n v="2.1"/>
    <m/>
    <m/>
    <n v="133.50000000000003"/>
    <s v="1691.48"/>
    <m/>
    <m/>
    <m/>
    <n v="0"/>
    <n v="0"/>
    <m/>
    <m/>
    <m/>
    <m/>
    <m/>
    <m/>
    <m/>
    <m/>
    <n v="0"/>
    <n v="0"/>
    <n v="0"/>
    <n v="12"/>
    <n v="12"/>
    <m/>
    <m/>
    <n v="0"/>
    <n v="140.60000000000002"/>
    <m/>
    <x v="26"/>
    <m/>
    <m/>
    <m/>
    <m/>
  </r>
  <r>
    <x v="0"/>
    <x v="1"/>
    <s v="5/7"/>
    <x v="230"/>
    <s v="سٹاک"/>
    <s v="PP"/>
    <n v="5"/>
    <s v="5.5-6"/>
    <s v="PP"/>
    <n v="1000"/>
    <s v="PP"/>
    <n v="9"/>
    <n v="193.60999999999999"/>
    <n v="4.5"/>
    <m/>
    <m/>
    <n v="189.10999999999999"/>
    <s v="1245.8800000000001"/>
    <m/>
    <m/>
    <m/>
    <n v="0"/>
    <n v="0"/>
    <m/>
    <m/>
    <m/>
    <m/>
    <m/>
    <m/>
    <m/>
    <m/>
    <n v="0"/>
    <n v="0"/>
    <n v="0"/>
    <n v="12"/>
    <n v="12"/>
    <m/>
    <m/>
    <n v="0"/>
    <n v="198.61"/>
    <m/>
    <x v="26"/>
    <m/>
    <m/>
    <m/>
    <m/>
  </r>
  <r>
    <x v="1"/>
    <x v="1"/>
    <s v="5/7"/>
    <x v="230"/>
    <s v="سٹاک"/>
    <s v="PP"/>
    <n v="5"/>
    <s v="5.5-6"/>
    <s v="PP"/>
    <n v="1000"/>
    <s v="PP"/>
    <n v="10"/>
    <n v="195.41000000000003"/>
    <n v="5"/>
    <m/>
    <m/>
    <n v="190.41000000000003"/>
    <s v="1245.8800000000001"/>
    <m/>
    <m/>
    <m/>
    <n v="0"/>
    <n v="0"/>
    <m/>
    <m/>
    <m/>
    <m/>
    <m/>
    <m/>
    <m/>
    <m/>
    <n v="0"/>
    <n v="0"/>
    <n v="0"/>
    <n v="12"/>
    <n v="12"/>
    <m/>
    <m/>
    <n v="0"/>
    <n v="200.41000000000005"/>
    <m/>
    <x v="26"/>
    <m/>
    <m/>
    <m/>
    <m/>
  </r>
  <r>
    <x v="0"/>
    <x v="3"/>
    <s v="7430 J"/>
    <x v="230"/>
    <s v="Jilani Poly Stock"/>
    <s v="PP"/>
    <n v="28"/>
    <s v="5-5.5"/>
    <s v="PP"/>
    <s v="-"/>
    <s v="PP"/>
    <n v="8"/>
    <n v="601.99"/>
    <n v="28"/>
    <m/>
    <m/>
    <n v="573.99"/>
    <s v="1769.1799999999998"/>
    <m/>
    <m/>
    <m/>
    <n v="0"/>
    <n v="0"/>
    <m/>
    <m/>
    <m/>
    <m/>
    <m/>
    <m/>
    <m/>
    <m/>
    <n v="0"/>
    <n v="0"/>
    <n v="0"/>
    <n v="12"/>
    <n v="12"/>
    <m/>
    <m/>
    <n v="0"/>
    <n v="606.99"/>
    <m/>
    <x v="26"/>
    <m/>
    <m/>
    <m/>
    <m/>
  </r>
  <r>
    <x v="0"/>
    <x v="3"/>
    <s v="2901 F"/>
    <x v="230"/>
    <s v="Usman Amin"/>
    <s v="PEVA"/>
    <n v="22"/>
    <s v="24"/>
    <s v="PEVA"/>
    <n v="1000"/>
    <s v="PP"/>
    <n v="2"/>
    <n v="80.36"/>
    <n v="4.4000000000000004"/>
    <n v="115"/>
    <m/>
    <n v="75.959999999999994"/>
    <s v="1164.9299999999998"/>
    <n v="60"/>
    <m/>
    <m/>
    <n v="60"/>
    <n v="1"/>
    <m/>
    <m/>
    <n v="60"/>
    <m/>
    <m/>
    <m/>
    <m/>
    <m/>
    <n v="60"/>
    <n v="1"/>
    <n v="2"/>
    <n v="10"/>
    <n v="12"/>
    <m/>
    <m/>
    <n v="0"/>
    <n v="85.36"/>
    <m/>
    <x v="26"/>
    <m/>
    <m/>
    <m/>
    <m/>
  </r>
  <r>
    <x v="1"/>
    <x v="3"/>
    <s v="2901 F"/>
    <x v="230"/>
    <s v="Usman Amin"/>
    <s v="PEVA"/>
    <n v="22"/>
    <s v="24"/>
    <s v="PEVA"/>
    <n v="1000"/>
    <s v="PP"/>
    <n v="29"/>
    <n v="1152.7699999999998"/>
    <n v="63.800000000000004"/>
    <n v="112"/>
    <m/>
    <n v="1088.9699999999998"/>
    <s v="1164.9299999999998"/>
    <n v="45"/>
    <m/>
    <m/>
    <n v="45"/>
    <n v="0.75"/>
    <m/>
    <m/>
    <m/>
    <m/>
    <m/>
    <m/>
    <m/>
    <m/>
    <n v="0"/>
    <n v="0"/>
    <n v="0.75"/>
    <n v="11.25"/>
    <n v="12"/>
    <m/>
    <m/>
    <n v="0"/>
    <n v="1157.7699999999998"/>
    <m/>
    <x v="26"/>
    <m/>
    <m/>
    <m/>
    <m/>
  </r>
  <r>
    <x v="0"/>
    <x v="4"/>
    <s v="10/14"/>
    <x v="230"/>
    <s v="سٹاک"/>
    <s v="PP"/>
    <n v="10"/>
    <n v="5"/>
    <s v="PP"/>
    <n v="1000"/>
    <s v="PP"/>
    <n v="1"/>
    <n v="48.57"/>
    <n v="1.2"/>
    <m/>
    <m/>
    <n v="47.37"/>
    <s v="862.98"/>
    <m/>
    <m/>
    <m/>
    <n v="0"/>
    <n v="0"/>
    <m/>
    <m/>
    <m/>
    <m/>
    <m/>
    <m/>
    <m/>
    <m/>
    <n v="0"/>
    <n v="0"/>
    <n v="0"/>
    <n v="12"/>
    <n v="12"/>
    <m/>
    <m/>
    <n v="0"/>
    <n v="53.57"/>
    <m/>
    <x v="26"/>
    <m/>
    <m/>
    <m/>
    <m/>
  </r>
  <r>
    <x v="0"/>
    <x v="4"/>
    <s v="7752/1"/>
    <x v="230"/>
    <s v="عبدالباری وہاڑی"/>
    <s v="PP"/>
    <n v="15"/>
    <s v="7"/>
    <s v="PP"/>
    <n v="200"/>
    <s v="PP"/>
    <n v="4"/>
    <n v="219.03999999999996"/>
    <n v="7.2"/>
    <m/>
    <m/>
    <n v="211.83999999999997"/>
    <s v="211.83999999999997"/>
    <m/>
    <m/>
    <m/>
    <n v="0"/>
    <n v="0"/>
    <m/>
    <m/>
    <m/>
    <m/>
    <m/>
    <m/>
    <m/>
    <m/>
    <n v="0"/>
    <n v="0"/>
    <n v="0"/>
    <n v="12"/>
    <n v="12"/>
    <m/>
    <m/>
    <n v="0"/>
    <n v="224.03999999999996"/>
    <m/>
    <x v="26"/>
    <m/>
    <m/>
    <m/>
    <m/>
  </r>
  <r>
    <x v="0"/>
    <x v="4"/>
    <s v="7760/1"/>
    <x v="230"/>
    <s v="اسلم پلاسٹک ملتان"/>
    <s v="PP"/>
    <n v="10"/>
    <s v="7"/>
    <s v="PP"/>
    <n v="150"/>
    <s v="PP"/>
    <n v="3"/>
    <n v="156.63999999999999"/>
    <n v="3.5999999999999996"/>
    <m/>
    <m/>
    <n v="153.04"/>
    <s v="153.04"/>
    <m/>
    <m/>
    <m/>
    <n v="0"/>
    <n v="0"/>
    <m/>
    <m/>
    <m/>
    <m/>
    <m/>
    <m/>
    <m/>
    <m/>
    <n v="0"/>
    <n v="0"/>
    <n v="0"/>
    <n v="12"/>
    <n v="12"/>
    <m/>
    <m/>
    <n v="0"/>
    <n v="161.63999999999999"/>
    <m/>
    <x v="26"/>
    <m/>
    <m/>
    <m/>
    <m/>
  </r>
  <r>
    <x v="0"/>
    <x v="4"/>
    <s v="7599 J"/>
    <x v="230"/>
    <s v="Special Papari Nimko Kamoki"/>
    <s v="PP"/>
    <n v="15"/>
    <s v="8"/>
    <s v="PP"/>
    <n v="100"/>
    <s v="PP"/>
    <n v="1"/>
    <n v="50.1"/>
    <n v="1.8"/>
    <n v="3"/>
    <m/>
    <n v="48.300000000000004"/>
    <s v="101.5"/>
    <n v="20"/>
    <m/>
    <m/>
    <n v="20"/>
    <n v="0.33333333333333331"/>
    <m/>
    <m/>
    <m/>
    <m/>
    <m/>
    <m/>
    <m/>
    <m/>
    <n v="0"/>
    <n v="0"/>
    <n v="0.33333333333333331"/>
    <n v="11.666666666666666"/>
    <n v="12"/>
    <m/>
    <m/>
    <n v="0"/>
    <n v="55.1"/>
    <m/>
    <x v="26"/>
    <m/>
    <m/>
    <m/>
    <m/>
  </r>
  <r>
    <x v="1"/>
    <x v="4"/>
    <s v="7599 J"/>
    <x v="230"/>
    <s v="Special Papari Nimko Kamoki"/>
    <s v="PP"/>
    <n v="15"/>
    <s v="8"/>
    <s v="PP"/>
    <n v="100"/>
    <s v="PP"/>
    <n v="1"/>
    <n v="54.7"/>
    <n v="1.5"/>
    <n v="3"/>
    <m/>
    <n v="53.2"/>
    <s v="101.5"/>
    <n v="25"/>
    <m/>
    <m/>
    <n v="25"/>
    <n v="0.41666666666666674"/>
    <m/>
    <m/>
    <m/>
    <m/>
    <m/>
    <m/>
    <m/>
    <m/>
    <n v="0"/>
    <n v="0"/>
    <n v="0.41666666666666674"/>
    <n v="11.583333333333334"/>
    <n v="12"/>
    <m/>
    <m/>
    <n v="0"/>
    <n v="59.7"/>
    <m/>
    <x v="26"/>
    <m/>
    <m/>
    <m/>
    <m/>
  </r>
  <r>
    <x v="1"/>
    <x v="4"/>
    <s v="7759/2"/>
    <x v="230"/>
    <s v="فہیم پلاسٹک ملتان"/>
    <s v="PP"/>
    <n v="13"/>
    <s v="7"/>
    <s v="PP"/>
    <n v="500"/>
    <s v="PP"/>
    <n v="7"/>
    <n v="371.34"/>
    <n v="9.1"/>
    <m/>
    <m/>
    <n v="362.23999999999995"/>
    <s v="564.1099999999999"/>
    <m/>
    <m/>
    <m/>
    <n v="0"/>
    <n v="0"/>
    <m/>
    <m/>
    <m/>
    <m/>
    <m/>
    <m/>
    <m/>
    <m/>
    <n v="0"/>
    <n v="0"/>
    <n v="0"/>
    <n v="12"/>
    <n v="12"/>
    <m/>
    <m/>
    <n v="0"/>
    <n v="376.34"/>
    <m/>
    <x v="26"/>
    <m/>
    <m/>
    <m/>
    <m/>
  </r>
  <r>
    <x v="1"/>
    <x v="4"/>
    <s v="7623 J"/>
    <x v="230"/>
    <s v="Maryam Fabrics Azam Market LHR"/>
    <s v="PP"/>
    <n v="15"/>
    <s v="8.5-9"/>
    <s v="PP"/>
    <n v="100"/>
    <s v="PP"/>
    <n v="2"/>
    <n v="106.53"/>
    <n v="3"/>
    <m/>
    <m/>
    <n v="103.53"/>
    <s v="103.53"/>
    <m/>
    <m/>
    <m/>
    <n v="0"/>
    <n v="0"/>
    <m/>
    <m/>
    <m/>
    <m/>
    <m/>
    <m/>
    <m/>
    <m/>
    <n v="0"/>
    <n v="0"/>
    <n v="0"/>
    <n v="12"/>
    <n v="12"/>
    <m/>
    <m/>
    <n v="0"/>
    <n v="111.53"/>
    <m/>
    <x v="26"/>
    <m/>
    <m/>
    <m/>
    <m/>
  </r>
  <r>
    <x v="0"/>
    <x v="0"/>
    <s v="3/15"/>
    <x v="231"/>
    <s v="سٹاک"/>
    <s v="PP"/>
    <n v="3"/>
    <s v="5.5-6"/>
    <s v="PP"/>
    <n v="1000"/>
    <s v="PP"/>
    <n v="7"/>
    <n v="129.17000000000002"/>
    <n v="2.1"/>
    <n v="19"/>
    <m/>
    <n v="127.07000000000002"/>
    <s v="1691.48"/>
    <m/>
    <m/>
    <m/>
    <n v="0"/>
    <n v="0"/>
    <m/>
    <m/>
    <m/>
    <m/>
    <m/>
    <m/>
    <m/>
    <m/>
    <n v="0"/>
    <n v="0"/>
    <n v="0"/>
    <n v="12"/>
    <n v="12"/>
    <m/>
    <m/>
    <n v="0"/>
    <n v="134.17000000000002"/>
    <m/>
    <x v="26"/>
    <m/>
    <m/>
    <m/>
    <m/>
  </r>
  <r>
    <x v="1"/>
    <x v="0"/>
    <s v="3/15"/>
    <x v="231"/>
    <s v="سٹاک"/>
    <s v="PP"/>
    <n v="3"/>
    <s v="5.5-6"/>
    <s v="PP"/>
    <n v="1000"/>
    <s v="PP"/>
    <n v="7"/>
    <n v="127.07"/>
    <n v="2.1"/>
    <n v="29"/>
    <m/>
    <n v="124.97"/>
    <s v="1691.48"/>
    <m/>
    <m/>
    <m/>
    <n v="0"/>
    <n v="0"/>
    <n v="60"/>
    <m/>
    <m/>
    <m/>
    <m/>
    <m/>
    <m/>
    <m/>
    <n v="60"/>
    <n v="1"/>
    <n v="1"/>
    <n v="11"/>
    <n v="12"/>
    <m/>
    <m/>
    <n v="0"/>
    <n v="132.07"/>
    <m/>
    <x v="26"/>
    <m/>
    <m/>
    <m/>
    <m/>
  </r>
  <r>
    <x v="0"/>
    <x v="1"/>
    <s v="5/7"/>
    <x v="231"/>
    <s v="سٹاک"/>
    <s v="PP"/>
    <n v="5"/>
    <s v="5.5-6"/>
    <s v="PP"/>
    <n v="1000"/>
    <s v="PP"/>
    <n v="9"/>
    <n v="190.15"/>
    <n v="4.5"/>
    <m/>
    <m/>
    <n v="185.65"/>
    <s v="1245.8800000000001"/>
    <m/>
    <m/>
    <m/>
    <n v="0"/>
    <n v="0"/>
    <m/>
    <m/>
    <m/>
    <m/>
    <m/>
    <m/>
    <m/>
    <m/>
    <n v="0"/>
    <n v="0"/>
    <n v="0"/>
    <n v="12"/>
    <n v="12"/>
    <m/>
    <m/>
    <n v="0"/>
    <n v="195.15"/>
    <m/>
    <x v="26"/>
    <m/>
    <m/>
    <m/>
    <m/>
  </r>
  <r>
    <x v="1"/>
    <x v="1"/>
    <s v="5/7"/>
    <x v="231"/>
    <s v="سٹاک"/>
    <s v="PP"/>
    <n v="5"/>
    <s v="5.5-6"/>
    <s v="PP"/>
    <n v="1000"/>
    <s v="PP"/>
    <n v="9"/>
    <n v="178.5"/>
    <n v="4.5"/>
    <m/>
    <m/>
    <n v="174"/>
    <s v="1245.8800000000001"/>
    <m/>
    <m/>
    <m/>
    <n v="0"/>
    <n v="0"/>
    <n v="60"/>
    <m/>
    <m/>
    <m/>
    <m/>
    <m/>
    <m/>
    <m/>
    <n v="60"/>
    <n v="1"/>
    <n v="1"/>
    <n v="11"/>
    <n v="12"/>
    <m/>
    <m/>
    <n v="0"/>
    <n v="183.5"/>
    <m/>
    <x v="26"/>
    <m/>
    <m/>
    <m/>
    <m/>
  </r>
  <r>
    <x v="0"/>
    <x v="3"/>
    <s v="7427 J"/>
    <x v="231"/>
    <s v="Jilani Poly Stock"/>
    <s v="PP"/>
    <n v="18"/>
    <s v="5-5.5"/>
    <s v="PP"/>
    <s v="-"/>
    <s v="PP"/>
    <n v="9"/>
    <n v="573.89"/>
    <n v="10.799999999999999"/>
    <m/>
    <m/>
    <n v="563.09"/>
    <s v="1572.8700000000001"/>
    <m/>
    <m/>
    <m/>
    <n v="0"/>
    <n v="0"/>
    <m/>
    <m/>
    <m/>
    <m/>
    <m/>
    <m/>
    <m/>
    <m/>
    <n v="0"/>
    <n v="0"/>
    <n v="0"/>
    <n v="12"/>
    <n v="12"/>
    <m/>
    <m/>
    <n v="0"/>
    <n v="578.89"/>
    <m/>
    <x v="26"/>
    <m/>
    <m/>
    <m/>
    <m/>
  </r>
  <r>
    <x v="0"/>
    <x v="3"/>
    <s v="18/10"/>
    <x v="231"/>
    <s v="سٹاک"/>
    <s v="PP"/>
    <n v="18"/>
    <n v="5"/>
    <s v="PP"/>
    <n v="1000"/>
    <s v="PP"/>
    <n v="2"/>
    <n v="102.09"/>
    <n v="3.6"/>
    <m/>
    <m/>
    <n v="98.490000000000009"/>
    <s v="1156.8899999999999"/>
    <m/>
    <m/>
    <m/>
    <n v="0"/>
    <n v="0"/>
    <m/>
    <m/>
    <m/>
    <m/>
    <m/>
    <m/>
    <m/>
    <m/>
    <n v="0"/>
    <n v="0"/>
    <n v="0"/>
    <n v="12"/>
    <n v="12"/>
    <m/>
    <m/>
    <n v="0"/>
    <n v="107.09"/>
    <m/>
    <x v="26"/>
    <m/>
    <m/>
    <m/>
    <m/>
  </r>
  <r>
    <x v="1"/>
    <x v="3"/>
    <s v="7427 J"/>
    <x v="231"/>
    <s v="Jilani Poly Stock"/>
    <s v="PP"/>
    <n v="18"/>
    <s v="5-5.5"/>
    <s v="PP"/>
    <s v="-"/>
    <s v="PP"/>
    <n v="13"/>
    <n v="772.70999999999992"/>
    <n v="23.400000000000002"/>
    <m/>
    <m/>
    <n v="749.31"/>
    <s v="1572.8700000000001"/>
    <m/>
    <m/>
    <m/>
    <n v="0"/>
    <n v="0"/>
    <n v="60"/>
    <m/>
    <m/>
    <m/>
    <m/>
    <m/>
    <m/>
    <m/>
    <n v="60"/>
    <n v="1"/>
    <n v="1"/>
    <n v="11"/>
    <n v="12"/>
    <m/>
    <m/>
    <n v="0"/>
    <n v="777.71"/>
    <m/>
    <x v="26"/>
    <m/>
    <m/>
    <m/>
    <m/>
  </r>
  <r>
    <x v="0"/>
    <x v="4"/>
    <s v="7759/2"/>
    <x v="231"/>
    <s v="فہیم پلاسٹک ملتان"/>
    <s v="PP"/>
    <n v="13"/>
    <s v="7"/>
    <s v="PP"/>
    <n v="500"/>
    <s v="PP"/>
    <n v="4"/>
    <n v="207.87"/>
    <n v="6"/>
    <m/>
    <m/>
    <n v="201.87"/>
    <s v="564.1099999999999"/>
    <m/>
    <m/>
    <m/>
    <n v="0"/>
    <n v="0"/>
    <m/>
    <m/>
    <m/>
    <m/>
    <m/>
    <m/>
    <m/>
    <m/>
    <n v="0"/>
    <n v="0"/>
    <n v="0"/>
    <n v="12"/>
    <n v="12"/>
    <m/>
    <m/>
    <n v="0"/>
    <n v="212.87"/>
    <m/>
    <x v="26"/>
    <m/>
    <m/>
    <m/>
    <m/>
  </r>
  <r>
    <x v="0"/>
    <x v="4"/>
    <s v="7745/3"/>
    <x v="231"/>
    <s v="اصف پلاسٹک سرگو ھا"/>
    <s v="PP"/>
    <n v="9"/>
    <s v="4.5"/>
    <s v="PP"/>
    <n v="100"/>
    <s v="PP"/>
    <n v="5"/>
    <n v="246.27"/>
    <n v="5.5"/>
    <m/>
    <m/>
    <n v="240.77"/>
    <s v="279.77"/>
    <n v="20"/>
    <m/>
    <m/>
    <n v="20"/>
    <n v="0.33333333333333331"/>
    <m/>
    <m/>
    <m/>
    <m/>
    <m/>
    <m/>
    <m/>
    <m/>
    <n v="0"/>
    <n v="0"/>
    <n v="0.33333333333333331"/>
    <n v="11.666666666666666"/>
    <n v="12"/>
    <m/>
    <m/>
    <n v="0"/>
    <n v="251.27"/>
    <m/>
    <x v="26"/>
    <m/>
    <m/>
    <m/>
    <m/>
  </r>
  <r>
    <x v="1"/>
    <x v="4"/>
    <s v="9/12"/>
    <x v="231"/>
    <s v="سٹاک"/>
    <s v="PP"/>
    <n v="9"/>
    <s v="5-5.5"/>
    <s v="PP"/>
    <n v="1000"/>
    <s v="PP"/>
    <n v="9"/>
    <n v="367.71"/>
    <n v="8.1"/>
    <m/>
    <m/>
    <n v="359.60999999999996"/>
    <s v="1101.79"/>
    <m/>
    <m/>
    <m/>
    <n v="0"/>
    <n v="0"/>
    <n v="60"/>
    <m/>
    <m/>
    <m/>
    <m/>
    <m/>
    <m/>
    <m/>
    <n v="60"/>
    <n v="1"/>
    <n v="1"/>
    <n v="11"/>
    <n v="12"/>
    <m/>
    <m/>
    <n v="0"/>
    <n v="372.71"/>
    <m/>
    <x v="26"/>
    <m/>
    <m/>
    <m/>
    <m/>
  </r>
  <r>
    <x v="1"/>
    <x v="4"/>
    <s v="7745/3"/>
    <x v="231"/>
    <s v="اصف پلاسٹک سرگو ھا"/>
    <s v="PP"/>
    <n v="9"/>
    <s v="4.5"/>
    <s v="PP"/>
    <n v="100"/>
    <s v="PP"/>
    <n v="1"/>
    <n v="39.9"/>
    <n v="0.9"/>
    <m/>
    <m/>
    <n v="39"/>
    <s v="279.77"/>
    <m/>
    <m/>
    <m/>
    <n v="0"/>
    <n v="0"/>
    <m/>
    <m/>
    <m/>
    <m/>
    <m/>
    <m/>
    <m/>
    <m/>
    <n v="0"/>
    <n v="0"/>
    <n v="0"/>
    <n v="12"/>
    <n v="12"/>
    <m/>
    <m/>
    <n v="0"/>
    <n v="44.9"/>
    <m/>
    <x v="26"/>
    <m/>
    <m/>
    <m/>
    <m/>
  </r>
  <r>
    <x v="0"/>
    <x v="0"/>
    <s v="3/15"/>
    <x v="232"/>
    <s v="سٹاک"/>
    <s v="PP"/>
    <n v="3"/>
    <s v="5.5-6"/>
    <s v="PP"/>
    <n v="1000"/>
    <s v="PP"/>
    <n v="8"/>
    <n v="153.26000000000002"/>
    <n v="2.4"/>
    <n v="27"/>
    <m/>
    <n v="150.86000000000001"/>
    <s v="1691.48"/>
    <m/>
    <m/>
    <m/>
    <n v="0"/>
    <n v="0"/>
    <m/>
    <m/>
    <m/>
    <m/>
    <m/>
    <m/>
    <m/>
    <m/>
    <n v="0"/>
    <n v="0"/>
    <n v="0"/>
    <n v="12"/>
    <n v="12"/>
    <m/>
    <m/>
    <n v="0"/>
    <n v="158.26000000000002"/>
    <m/>
    <x v="26"/>
    <m/>
    <m/>
    <m/>
    <m/>
  </r>
  <r>
    <x v="1"/>
    <x v="0"/>
    <s v="3/15"/>
    <x v="232"/>
    <s v="سٹاک"/>
    <s v="PP"/>
    <n v="3"/>
    <s v="5.5-6"/>
    <s v="PP"/>
    <n v="1000"/>
    <s v="PP"/>
    <n v="6"/>
    <n v="111.11"/>
    <n v="1.7999999999999998"/>
    <n v="13"/>
    <m/>
    <n v="109.31"/>
    <s v="1691.48"/>
    <m/>
    <m/>
    <m/>
    <n v="0"/>
    <n v="0"/>
    <m/>
    <m/>
    <m/>
    <m/>
    <m/>
    <m/>
    <m/>
    <m/>
    <n v="0"/>
    <n v="0"/>
    <n v="0"/>
    <n v="12"/>
    <n v="12"/>
    <m/>
    <m/>
    <n v="0"/>
    <n v="116.11"/>
    <m/>
    <x v="26"/>
    <m/>
    <m/>
    <m/>
    <m/>
  </r>
  <r>
    <x v="1"/>
    <x v="0"/>
    <s v="2/6"/>
    <x v="232"/>
    <s v="سٹاک"/>
    <s v="PP"/>
    <n v="2"/>
    <s v="5.5-6"/>
    <s v="PP"/>
    <s v="30 رول بیگ"/>
    <s v="PP"/>
    <n v="1"/>
    <n v="16.36"/>
    <n v="0.2"/>
    <m/>
    <m/>
    <n v="16.16"/>
    <s v="687.5100000000001"/>
    <m/>
    <m/>
    <m/>
    <n v="0"/>
    <n v="0"/>
    <m/>
    <m/>
    <m/>
    <m/>
    <m/>
    <m/>
    <m/>
    <m/>
    <n v="0"/>
    <n v="0"/>
    <n v="0"/>
    <n v="12"/>
    <n v="12"/>
    <m/>
    <m/>
    <n v="0"/>
    <n v="21.36"/>
    <m/>
    <x v="26"/>
    <m/>
    <m/>
    <m/>
    <m/>
  </r>
  <r>
    <x v="0"/>
    <x v="1"/>
    <s v="5/7"/>
    <x v="232"/>
    <s v="سٹاک"/>
    <s v="PP"/>
    <n v="5"/>
    <s v="5.5-6"/>
    <s v="PP"/>
    <n v="1000"/>
    <s v="PP"/>
    <n v="9"/>
    <n v="178.33"/>
    <n v="4.5"/>
    <m/>
    <m/>
    <n v="173.83"/>
    <s v="1245.8800000000001"/>
    <m/>
    <m/>
    <m/>
    <n v="0"/>
    <n v="0"/>
    <m/>
    <m/>
    <m/>
    <m/>
    <m/>
    <m/>
    <m/>
    <m/>
    <n v="0"/>
    <n v="0"/>
    <n v="0"/>
    <n v="12"/>
    <n v="12"/>
    <m/>
    <m/>
    <n v="0"/>
    <n v="183.33"/>
    <m/>
    <x v="26"/>
    <m/>
    <m/>
    <m/>
    <m/>
  </r>
  <r>
    <x v="1"/>
    <x v="1"/>
    <s v="5/7"/>
    <x v="232"/>
    <s v="سٹاک"/>
    <s v="PP"/>
    <n v="5"/>
    <s v="5.5-6"/>
    <s v="PP"/>
    <n v="1000"/>
    <s v="PP"/>
    <n v="8"/>
    <n v="175.2"/>
    <n v="4"/>
    <m/>
    <m/>
    <n v="171.2"/>
    <s v="1245.8800000000001"/>
    <n v="15"/>
    <m/>
    <m/>
    <n v="15"/>
    <n v="0.25"/>
    <m/>
    <m/>
    <m/>
    <m/>
    <m/>
    <m/>
    <m/>
    <m/>
    <n v="0"/>
    <n v="0"/>
    <n v="0.25"/>
    <n v="11.75"/>
    <n v="12"/>
    <m/>
    <m/>
    <n v="0"/>
    <n v="180.2"/>
    <m/>
    <x v="26"/>
    <m/>
    <m/>
    <m/>
    <m/>
  </r>
  <r>
    <x v="1"/>
    <x v="1"/>
    <s v="3/15"/>
    <x v="232"/>
    <s v="سٹاک"/>
    <s v="PP"/>
    <n v="3"/>
    <s v="5.5-6"/>
    <s v="PP"/>
    <n v="1000"/>
    <s v="PP"/>
    <n v="1"/>
    <n v="12.36"/>
    <n v="0.3"/>
    <m/>
    <m/>
    <n v="12.059999999999999"/>
    <s v="1691.48"/>
    <m/>
    <m/>
    <m/>
    <n v="0"/>
    <n v="0"/>
    <m/>
    <m/>
    <m/>
    <m/>
    <m/>
    <m/>
    <m/>
    <m/>
    <n v="0"/>
    <n v="0"/>
    <n v="0"/>
    <n v="12"/>
    <n v="12"/>
    <m/>
    <m/>
    <n v="0"/>
    <n v="17.36"/>
    <m/>
    <x v="26"/>
    <m/>
    <m/>
    <m/>
    <m/>
  </r>
  <r>
    <x v="0"/>
    <x v="3"/>
    <s v="7427 J"/>
    <x v="232"/>
    <s v="Jilani Poly Stock"/>
    <s v="PP"/>
    <n v="18"/>
    <s v="5-5.5"/>
    <s v="PP"/>
    <s v="-"/>
    <s v="PP"/>
    <n v="5"/>
    <n v="269.47000000000003"/>
    <n v="9"/>
    <m/>
    <m/>
    <n v="260.47000000000003"/>
    <s v="1572.8700000000001"/>
    <m/>
    <m/>
    <m/>
    <n v="0"/>
    <n v="0"/>
    <m/>
    <m/>
    <m/>
    <m/>
    <m/>
    <m/>
    <m/>
    <m/>
    <n v="0"/>
    <n v="0"/>
    <n v="0"/>
    <n v="12"/>
    <n v="12"/>
    <m/>
    <m/>
    <n v="0"/>
    <n v="274.47000000000003"/>
    <m/>
    <x v="26"/>
    <m/>
    <m/>
    <m/>
    <m/>
  </r>
  <r>
    <x v="0"/>
    <x v="3"/>
    <s v="18/10"/>
    <x v="232"/>
    <s v="سٹاک"/>
    <s v="PP"/>
    <n v="18"/>
    <n v="5"/>
    <s v="PP"/>
    <n v="1000"/>
    <s v="PP"/>
    <n v="10"/>
    <n v="525.26"/>
    <n v="18"/>
    <m/>
    <m/>
    <n v="507.26"/>
    <s v="1156.8899999999999"/>
    <m/>
    <m/>
    <m/>
    <n v="0"/>
    <n v="0"/>
    <m/>
    <m/>
    <m/>
    <m/>
    <m/>
    <m/>
    <m/>
    <m/>
    <n v="0"/>
    <n v="0"/>
    <n v="0"/>
    <n v="12"/>
    <n v="12"/>
    <m/>
    <m/>
    <n v="0"/>
    <n v="530.26"/>
    <m/>
    <x v="26"/>
    <m/>
    <m/>
    <m/>
    <m/>
  </r>
  <r>
    <x v="1"/>
    <x v="3"/>
    <s v="18/10"/>
    <x v="232"/>
    <s v="سٹاک"/>
    <s v="PP"/>
    <n v="18"/>
    <n v="5"/>
    <s v="PP"/>
    <n v="1000"/>
    <s v="PP"/>
    <n v="9"/>
    <n v="567.34"/>
    <n v="16.2"/>
    <m/>
    <m/>
    <n v="551.14"/>
    <s v="1156.8899999999999"/>
    <m/>
    <m/>
    <m/>
    <n v="0"/>
    <n v="0"/>
    <m/>
    <m/>
    <m/>
    <m/>
    <m/>
    <m/>
    <m/>
    <m/>
    <n v="0"/>
    <n v="0"/>
    <n v="0"/>
    <n v="12"/>
    <n v="12"/>
    <m/>
    <m/>
    <n v="0"/>
    <n v="572.34"/>
    <m/>
    <x v="26"/>
    <m/>
    <m/>
    <m/>
    <m/>
  </r>
  <r>
    <x v="1"/>
    <x v="3"/>
    <s v="7430 J"/>
    <x v="232"/>
    <s v="Jilani Poly Stock"/>
    <s v="PP"/>
    <n v="28"/>
    <s v="5-5.5"/>
    <s v="PP"/>
    <s v="-"/>
    <s v="PP"/>
    <n v="3"/>
    <n v="172.79"/>
    <n v="8.3999999999999986"/>
    <m/>
    <m/>
    <n v="164.39"/>
    <s v="1769.1799999999998"/>
    <n v="30"/>
    <m/>
    <m/>
    <n v="30"/>
    <n v="0.5"/>
    <m/>
    <m/>
    <m/>
    <m/>
    <m/>
    <m/>
    <m/>
    <m/>
    <n v="0"/>
    <n v="0"/>
    <n v="0.5"/>
    <n v="11.5"/>
    <n v="12"/>
    <m/>
    <m/>
    <n v="0"/>
    <n v="177.79"/>
    <m/>
    <x v="26"/>
    <m/>
    <m/>
    <m/>
    <m/>
  </r>
  <r>
    <x v="0"/>
    <x v="4"/>
    <s v="9/12"/>
    <x v="232"/>
    <s v="سٹاک"/>
    <s v="PP"/>
    <n v="9"/>
    <s v="5-5.5"/>
    <s v="PP"/>
    <n v="1000"/>
    <s v="PP"/>
    <n v="4"/>
    <n v="188.04000000000002"/>
    <n v="3.6"/>
    <n v="4.5"/>
    <m/>
    <n v="184.44000000000003"/>
    <s v="1101.79"/>
    <m/>
    <m/>
    <m/>
    <n v="0"/>
    <n v="0"/>
    <m/>
    <m/>
    <n v="420"/>
    <m/>
    <m/>
    <m/>
    <m/>
    <m/>
    <n v="420"/>
    <n v="7"/>
    <n v="7"/>
    <n v="5"/>
    <n v="12"/>
    <m/>
    <m/>
    <n v="0"/>
    <n v="193.04"/>
    <m/>
    <x v="26"/>
    <m/>
    <m/>
    <m/>
    <m/>
  </r>
  <r>
    <x v="1"/>
    <x v="4"/>
    <s v="9/12"/>
    <x v="232"/>
    <s v="سٹاک"/>
    <s v="PP"/>
    <n v="9"/>
    <s v="5-5.5"/>
    <s v="PP"/>
    <n v="1000"/>
    <s v="PP"/>
    <n v="7"/>
    <n v="329.09000000000003"/>
    <n v="6.3"/>
    <n v="4.5"/>
    <m/>
    <n v="322.79000000000002"/>
    <s v="1101.79"/>
    <m/>
    <n v="70"/>
    <m/>
    <n v="70"/>
    <n v="1.1666666666666667"/>
    <m/>
    <m/>
    <m/>
    <m/>
    <m/>
    <m/>
    <m/>
    <m/>
    <n v="0"/>
    <n v="0"/>
    <n v="1.1666666666666667"/>
    <n v="10.833333333333334"/>
    <n v="12"/>
    <m/>
    <m/>
    <n v="0"/>
    <n v="334.09000000000003"/>
    <m/>
    <x v="26"/>
    <m/>
    <m/>
    <m/>
    <m/>
  </r>
  <r>
    <x v="1"/>
    <x v="4"/>
    <s v="7678 J"/>
    <x v="232"/>
    <s v="RMC PACK"/>
    <s v="PP"/>
    <n v="9"/>
    <n v="6.5"/>
    <s v="PP"/>
    <n v="40"/>
    <s v="PP"/>
    <n v="1"/>
    <n v="55.18"/>
    <n v="1.1000000000000001"/>
    <m/>
    <m/>
    <n v="54.08"/>
    <s v="54.08"/>
    <m/>
    <m/>
    <m/>
    <n v="0"/>
    <n v="0"/>
    <m/>
    <m/>
    <m/>
    <m/>
    <m/>
    <m/>
    <m/>
    <m/>
    <n v="0"/>
    <n v="0"/>
    <n v="0"/>
    <n v="12"/>
    <n v="12"/>
    <m/>
    <m/>
    <n v="0"/>
    <n v="60.18"/>
    <m/>
    <x v="26"/>
    <m/>
    <m/>
    <m/>
    <m/>
  </r>
  <r>
    <x v="0"/>
    <x v="0"/>
    <s v="2/6"/>
    <x v="233"/>
    <s v="سٹاک"/>
    <s v="PP"/>
    <n v="2"/>
    <s v="5.5-6"/>
    <s v="PP"/>
    <s v="30 رول بیگ"/>
    <s v="PP"/>
    <n v="5"/>
    <n v="86.95"/>
    <n v="1"/>
    <m/>
    <m/>
    <n v="85.95"/>
    <s v="687.5100000000001"/>
    <m/>
    <m/>
    <m/>
    <n v="0"/>
    <n v="0"/>
    <m/>
    <m/>
    <m/>
    <m/>
    <m/>
    <m/>
    <m/>
    <m/>
    <n v="0"/>
    <n v="0"/>
    <n v="0"/>
    <n v="12"/>
    <n v="12"/>
    <m/>
    <m/>
    <n v="0"/>
    <n v="91.95"/>
    <m/>
    <x v="27"/>
    <m/>
    <m/>
    <m/>
    <m/>
  </r>
  <r>
    <x v="0"/>
    <x v="0"/>
    <s v="7771/1"/>
    <x v="233"/>
    <s v="ہجویری ٹریڈرز اردو بازار"/>
    <s v="PP"/>
    <n v="2"/>
    <s v="12"/>
    <s v="PP"/>
    <n v="600"/>
    <s v="PP"/>
    <n v="1"/>
    <n v="15.7"/>
    <n v="0.2"/>
    <m/>
    <m/>
    <n v="15.5"/>
    <s v="1094.5000000000002"/>
    <m/>
    <m/>
    <m/>
    <n v="0"/>
    <n v="0"/>
    <m/>
    <m/>
    <m/>
    <m/>
    <m/>
    <m/>
    <m/>
    <m/>
    <n v="0"/>
    <n v="0"/>
    <n v="0"/>
    <n v="12"/>
    <n v="12"/>
    <m/>
    <m/>
    <n v="0"/>
    <n v="20.7"/>
    <m/>
    <x v="27"/>
    <m/>
    <m/>
    <m/>
    <m/>
  </r>
  <r>
    <x v="1"/>
    <x v="0"/>
    <s v="7771/1"/>
    <x v="233"/>
    <s v="ہجویری ٹریڈرز اردو بازار"/>
    <s v="PP"/>
    <n v="2"/>
    <s v="12"/>
    <s v="PP"/>
    <n v="600"/>
    <s v="PP"/>
    <n v="12"/>
    <n v="161.22"/>
    <n v="2.4000000000000004"/>
    <m/>
    <m/>
    <n v="158.82"/>
    <s v="1094.5000000000002"/>
    <m/>
    <m/>
    <m/>
    <n v="0"/>
    <n v="0"/>
    <m/>
    <m/>
    <m/>
    <m/>
    <m/>
    <m/>
    <m/>
    <m/>
    <n v="0"/>
    <n v="0"/>
    <n v="0"/>
    <n v="12"/>
    <n v="12"/>
    <m/>
    <m/>
    <n v="0"/>
    <n v="166.22"/>
    <m/>
    <x v="27"/>
    <m/>
    <m/>
    <m/>
    <m/>
  </r>
  <r>
    <x v="0"/>
    <x v="1"/>
    <s v="5/7"/>
    <x v="233"/>
    <s v="سٹاک"/>
    <s v="PP"/>
    <n v="5"/>
    <s v="5.5-6"/>
    <s v="PP"/>
    <n v="1000"/>
    <s v="PP"/>
    <n v="8"/>
    <n v="116.46000000000001"/>
    <n v="4"/>
    <m/>
    <m/>
    <n v="112.46000000000001"/>
    <s v="1245.8800000000001"/>
    <m/>
    <m/>
    <m/>
    <n v="0"/>
    <n v="0"/>
    <m/>
    <m/>
    <m/>
    <m/>
    <m/>
    <m/>
    <m/>
    <m/>
    <n v="0"/>
    <n v="0"/>
    <n v="0"/>
    <n v="12"/>
    <n v="12"/>
    <m/>
    <m/>
    <n v="0"/>
    <n v="121.46"/>
    <m/>
    <x v="27"/>
    <m/>
    <m/>
    <m/>
    <m/>
  </r>
  <r>
    <x v="1"/>
    <x v="1"/>
    <s v="3/14"/>
    <x v="233"/>
    <s v="سٹاک"/>
    <s v="PP"/>
    <n v="3"/>
    <s v="5.5-6"/>
    <s v="PP"/>
    <s v="19 رول بیگ"/>
    <s v="PP"/>
    <n v="7"/>
    <n v="151.69"/>
    <n v="2.1"/>
    <m/>
    <m/>
    <n v="149.59"/>
    <s v="592.99"/>
    <m/>
    <m/>
    <m/>
    <n v="0"/>
    <n v="0"/>
    <m/>
    <m/>
    <m/>
    <m/>
    <m/>
    <m/>
    <m/>
    <m/>
    <n v="0"/>
    <n v="0"/>
    <n v="0"/>
    <n v="12"/>
    <n v="12"/>
    <m/>
    <m/>
    <n v="0"/>
    <n v="156.69"/>
    <m/>
    <x v="27"/>
    <m/>
    <m/>
    <m/>
    <m/>
  </r>
  <r>
    <x v="0"/>
    <x v="3"/>
    <s v="7430 J"/>
    <x v="233"/>
    <s v="Jilani Poly Stock"/>
    <s v="PP"/>
    <n v="28"/>
    <s v="5-5.5"/>
    <s v="PP"/>
    <s v="-"/>
    <s v="PP"/>
    <n v="9"/>
    <n v="644.08000000000004"/>
    <n v="25.2"/>
    <m/>
    <m/>
    <n v="618.88"/>
    <s v="1769.1799999999998"/>
    <m/>
    <m/>
    <m/>
    <n v="0"/>
    <n v="0"/>
    <m/>
    <m/>
    <m/>
    <m/>
    <m/>
    <m/>
    <m/>
    <m/>
    <n v="0"/>
    <n v="0"/>
    <n v="0"/>
    <n v="12"/>
    <n v="12"/>
    <m/>
    <m/>
    <n v="0"/>
    <n v="649.08000000000004"/>
    <m/>
    <x v="27"/>
    <m/>
    <m/>
    <m/>
    <m/>
  </r>
  <r>
    <x v="0"/>
    <x v="3"/>
    <s v="28/4"/>
    <x v="233"/>
    <s v="سٹاک"/>
    <s v="PP"/>
    <n v="28"/>
    <n v="5"/>
    <s v="PP"/>
    <n v="500"/>
    <s v="PP"/>
    <n v="2"/>
    <n v="111.22"/>
    <n v="5.6"/>
    <n v="23"/>
    <m/>
    <n v="105.62"/>
    <s v="509.28000000000009"/>
    <m/>
    <m/>
    <m/>
    <n v="0"/>
    <n v="0"/>
    <m/>
    <m/>
    <m/>
    <m/>
    <m/>
    <m/>
    <m/>
    <m/>
    <n v="0"/>
    <n v="0"/>
    <n v="0"/>
    <n v="12"/>
    <n v="12"/>
    <m/>
    <m/>
    <n v="0"/>
    <n v="116.22"/>
    <m/>
    <x v="27"/>
    <m/>
    <m/>
    <m/>
    <m/>
  </r>
  <r>
    <x v="1"/>
    <x v="3"/>
    <s v="28/4"/>
    <x v="233"/>
    <s v="سٹاک"/>
    <s v="PP"/>
    <n v="28"/>
    <n v="5"/>
    <s v="PP"/>
    <n v="500"/>
    <s v="PP"/>
    <n v="6"/>
    <n v="424.66000000000008"/>
    <n v="21"/>
    <n v="10"/>
    <m/>
    <n v="403.66000000000008"/>
    <s v="509.28000000000009"/>
    <n v="15"/>
    <m/>
    <m/>
    <n v="15"/>
    <n v="0.25"/>
    <m/>
    <m/>
    <m/>
    <m/>
    <m/>
    <m/>
    <m/>
    <m/>
    <n v="0"/>
    <n v="0"/>
    <n v="0.25"/>
    <n v="11.75"/>
    <n v="12"/>
    <m/>
    <m/>
    <n v="0"/>
    <n v="429.66000000000008"/>
    <m/>
    <x v="27"/>
    <m/>
    <m/>
    <m/>
    <m/>
  </r>
  <r>
    <x v="1"/>
    <x v="3"/>
    <s v="7433 J"/>
    <x v="233"/>
    <s v="Imran Printing Multan"/>
    <s v="PP"/>
    <n v="30"/>
    <s v="5.5-6"/>
    <s v="PP"/>
    <n v="100"/>
    <s v="PP"/>
    <n v="2"/>
    <n v="111.53"/>
    <n v="7"/>
    <m/>
    <m/>
    <n v="104.53"/>
    <s v="104.53"/>
    <n v="15"/>
    <m/>
    <m/>
    <n v="15"/>
    <n v="0.25"/>
    <m/>
    <m/>
    <n v="20"/>
    <m/>
    <m/>
    <m/>
    <m/>
    <m/>
    <n v="20"/>
    <n v="0.33333333333333331"/>
    <n v="0.58333333333333326"/>
    <n v="11.416666666666666"/>
    <n v="12"/>
    <m/>
    <m/>
    <n v="0"/>
    <n v="116.53"/>
    <m/>
    <x v="27"/>
    <m/>
    <m/>
    <m/>
    <m/>
  </r>
  <r>
    <x v="1"/>
    <x v="3"/>
    <s v="7428 J"/>
    <x v="233"/>
    <s v="Jilani Poly Stock"/>
    <s v="PP"/>
    <n v="20"/>
    <s v="5-5.5"/>
    <s v="PP"/>
    <s v="-"/>
    <s v="PP"/>
    <n v="3"/>
    <n v="161.72"/>
    <n v="7.5"/>
    <m/>
    <m/>
    <n v="154.22"/>
    <s v="1498.83"/>
    <m/>
    <m/>
    <m/>
    <n v="0"/>
    <n v="0"/>
    <m/>
    <m/>
    <m/>
    <m/>
    <m/>
    <m/>
    <m/>
    <m/>
    <n v="0"/>
    <n v="0"/>
    <n v="0"/>
    <n v="12"/>
    <n v="12"/>
    <m/>
    <m/>
    <n v="0"/>
    <n v="166.72"/>
    <m/>
    <x v="27"/>
    <m/>
    <m/>
    <m/>
    <m/>
  </r>
  <r>
    <x v="0"/>
    <x v="4"/>
    <s v="9/12"/>
    <x v="233"/>
    <s v="سٹاک"/>
    <s v="PP"/>
    <n v="9"/>
    <s v="5-5.5"/>
    <s v="PP"/>
    <n v="1000"/>
    <s v="PP"/>
    <n v="5"/>
    <n v="239.45"/>
    <n v="4.5"/>
    <m/>
    <m/>
    <n v="234.95"/>
    <s v="1101.79"/>
    <m/>
    <m/>
    <m/>
    <n v="0"/>
    <n v="0"/>
    <m/>
    <m/>
    <m/>
    <m/>
    <m/>
    <m/>
    <m/>
    <m/>
    <n v="0"/>
    <n v="0"/>
    <n v="0"/>
    <n v="12"/>
    <n v="12"/>
    <m/>
    <m/>
    <n v="0"/>
    <n v="244.45"/>
    <m/>
    <x v="27"/>
    <m/>
    <m/>
    <m/>
    <m/>
  </r>
  <r>
    <x v="0"/>
    <x v="4"/>
    <s v="7371 J"/>
    <x v="233"/>
    <s v="Zam Zam Shopping Mall Timbergra"/>
    <s v="PP"/>
    <n v="14"/>
    <s v="6-6.5"/>
    <s v="PP"/>
    <n v="100"/>
    <s v="PP"/>
    <n v="1"/>
    <n v="47.4"/>
    <n v="1.4"/>
    <m/>
    <m/>
    <n v="46"/>
    <s v="204.39"/>
    <m/>
    <m/>
    <m/>
    <n v="0"/>
    <n v="0"/>
    <m/>
    <m/>
    <m/>
    <m/>
    <m/>
    <m/>
    <m/>
    <m/>
    <n v="0"/>
    <n v="0"/>
    <n v="0"/>
    <n v="12"/>
    <n v="12"/>
    <m/>
    <m/>
    <n v="0"/>
    <n v="52.4"/>
    <m/>
    <x v="27"/>
    <m/>
    <m/>
    <m/>
    <m/>
  </r>
  <r>
    <x v="0"/>
    <x v="4"/>
    <s v="7774/2"/>
    <x v="233"/>
    <s v="بلال احمد اعظم مارکیٹ"/>
    <s v="PP"/>
    <n v="9"/>
    <s v="8"/>
    <s v="PP"/>
    <n v="50"/>
    <s v="PP"/>
    <n v="2"/>
    <n v="72.12"/>
    <n v="1.8"/>
    <m/>
    <m/>
    <n v="70.320000000000007"/>
    <s v="70.320000000000007"/>
    <m/>
    <m/>
    <m/>
    <n v="0"/>
    <n v="0"/>
    <m/>
    <m/>
    <m/>
    <m/>
    <m/>
    <m/>
    <m/>
    <m/>
    <n v="0"/>
    <n v="0"/>
    <n v="0"/>
    <n v="12"/>
    <n v="12"/>
    <m/>
    <m/>
    <n v="0"/>
    <n v="77.12"/>
    <m/>
    <x v="27"/>
    <m/>
    <m/>
    <m/>
    <m/>
  </r>
  <r>
    <x v="0"/>
    <x v="4"/>
    <s v="7371 J"/>
    <x v="233"/>
    <s v="Zam Zam Shopping Mall Timbergra"/>
    <s v="PP"/>
    <n v="14"/>
    <s v="6-6.5"/>
    <s v="PP"/>
    <n v="100"/>
    <s v="PP"/>
    <n v="2"/>
    <n v="102"/>
    <n v="2.8"/>
    <n v="4"/>
    <m/>
    <n v="99.2"/>
    <s v="204.39"/>
    <m/>
    <m/>
    <m/>
    <n v="0"/>
    <n v="0"/>
    <m/>
    <m/>
    <m/>
    <m/>
    <m/>
    <m/>
    <m/>
    <m/>
    <n v="0"/>
    <n v="0"/>
    <n v="0"/>
    <n v="12"/>
    <n v="12"/>
    <m/>
    <m/>
    <n v="0"/>
    <n v="107"/>
    <m/>
    <x v="27"/>
    <m/>
    <m/>
    <m/>
    <m/>
  </r>
  <r>
    <x v="1"/>
    <x v="4"/>
    <s v="7371 J"/>
    <x v="233"/>
    <s v="Zam Zam Shopping Mall Timbergra"/>
    <s v="PP"/>
    <n v="14"/>
    <s v="6-6.5"/>
    <s v="PP"/>
    <n v="100"/>
    <s v="PP"/>
    <n v="1"/>
    <n v="60.59"/>
    <n v="1.4"/>
    <n v="4"/>
    <m/>
    <n v="59.190000000000005"/>
    <s v="204.39"/>
    <m/>
    <m/>
    <m/>
    <n v="0"/>
    <n v="0"/>
    <m/>
    <m/>
    <m/>
    <m/>
    <m/>
    <m/>
    <m/>
    <m/>
    <n v="0"/>
    <n v="0"/>
    <n v="0"/>
    <n v="12"/>
    <n v="12"/>
    <m/>
    <m/>
    <n v="0"/>
    <n v="65.59"/>
    <m/>
    <x v="27"/>
    <m/>
    <m/>
    <m/>
    <m/>
  </r>
  <r>
    <x v="1"/>
    <x v="4"/>
    <s v="7600 J"/>
    <x v="233"/>
    <s v="Special Papari Nimko Kamoki"/>
    <s v="PP"/>
    <n v="14"/>
    <n v="8"/>
    <s v="PP"/>
    <n v="100"/>
    <s v="PP"/>
    <n v="2"/>
    <n v="104.34"/>
    <n v="3"/>
    <m/>
    <m/>
    <n v="101.34"/>
    <s v="101.34"/>
    <n v="20"/>
    <m/>
    <m/>
    <n v="20"/>
    <n v="0.33333333333333331"/>
    <m/>
    <m/>
    <m/>
    <m/>
    <m/>
    <m/>
    <m/>
    <m/>
    <n v="0"/>
    <n v="0"/>
    <n v="0.33333333333333331"/>
    <n v="11.666666666666666"/>
    <n v="12"/>
    <m/>
    <m/>
    <n v="0"/>
    <n v="109.34"/>
    <m/>
    <x v="27"/>
    <m/>
    <m/>
    <m/>
    <m/>
  </r>
  <r>
    <x v="1"/>
    <x v="4"/>
    <s v="7762/1"/>
    <x v="233"/>
    <s v="عمران مشتاق پتوکی"/>
    <s v="PP"/>
    <n v="12"/>
    <s v="4-4.5"/>
    <s v="PP"/>
    <n v="100"/>
    <s v="PP"/>
    <n v="6"/>
    <n v="343.97"/>
    <n v="7.1999999999999993"/>
    <m/>
    <m/>
    <n v="336.77000000000004"/>
    <s v="336.77000000000004"/>
    <m/>
    <m/>
    <m/>
    <n v="0"/>
    <n v="0"/>
    <m/>
    <m/>
    <m/>
    <m/>
    <m/>
    <m/>
    <m/>
    <m/>
    <n v="0"/>
    <n v="0"/>
    <n v="0"/>
    <n v="12"/>
    <n v="12"/>
    <m/>
    <m/>
    <n v="0"/>
    <n v="348.97"/>
    <m/>
    <x v="27"/>
    <m/>
    <m/>
    <m/>
    <m/>
  </r>
  <r>
    <x v="0"/>
    <x v="0"/>
    <s v="7771/1"/>
    <x v="234"/>
    <s v="ہجویری ٹریڈرز اردو بازار"/>
    <s v="PP"/>
    <n v="2"/>
    <s v="12"/>
    <s v="PP"/>
    <n v="600"/>
    <s v="PP"/>
    <n v="12"/>
    <n v="150.27000000000004"/>
    <n v="2.4000000000000004"/>
    <m/>
    <m/>
    <n v="147.87000000000003"/>
    <s v="1094.5000000000002"/>
    <m/>
    <m/>
    <m/>
    <n v="0"/>
    <n v="0"/>
    <m/>
    <m/>
    <m/>
    <m/>
    <m/>
    <m/>
    <m/>
    <m/>
    <n v="0"/>
    <n v="0"/>
    <n v="0"/>
    <n v="12"/>
    <n v="12"/>
    <m/>
    <m/>
    <n v="0"/>
    <n v="155.27000000000004"/>
    <m/>
    <x v="27"/>
    <m/>
    <m/>
    <m/>
    <m/>
  </r>
  <r>
    <x v="1"/>
    <x v="0"/>
    <s v="7771/1"/>
    <x v="234"/>
    <s v="ہجویری ٹریڈرز اردو بازار"/>
    <s v="PP"/>
    <n v="2"/>
    <s v="12"/>
    <s v="PP"/>
    <n v="600"/>
    <s v="PP"/>
    <n v="11"/>
    <n v="152.27999999999997"/>
    <n v="2.2000000000000002"/>
    <m/>
    <m/>
    <n v="150.07999999999998"/>
    <s v="1094.5000000000002"/>
    <m/>
    <m/>
    <m/>
    <n v="0"/>
    <n v="0"/>
    <m/>
    <m/>
    <m/>
    <m/>
    <m/>
    <m/>
    <m/>
    <m/>
    <n v="0"/>
    <n v="0"/>
    <n v="0"/>
    <n v="12"/>
    <n v="12"/>
    <m/>
    <m/>
    <n v="0"/>
    <n v="157.27999999999997"/>
    <m/>
    <x v="27"/>
    <m/>
    <m/>
    <m/>
    <m/>
  </r>
  <r>
    <x v="0"/>
    <x v="1"/>
    <s v="3/14"/>
    <x v="234"/>
    <s v="سٹاک"/>
    <s v="PP"/>
    <n v="3"/>
    <s v="5.5-6"/>
    <s v="PP"/>
    <s v="19 رول بیگ"/>
    <s v="PP"/>
    <n v="8"/>
    <n v="153.95999999999998"/>
    <n v="2.4"/>
    <m/>
    <m/>
    <n v="151.55999999999997"/>
    <s v="592.99"/>
    <m/>
    <m/>
    <m/>
    <n v="0"/>
    <n v="0"/>
    <m/>
    <m/>
    <m/>
    <m/>
    <m/>
    <m/>
    <m/>
    <m/>
    <n v="0"/>
    <n v="0"/>
    <n v="0"/>
    <n v="12"/>
    <n v="12"/>
    <m/>
    <m/>
    <n v="0"/>
    <n v="158.95999999999998"/>
    <m/>
    <x v="27"/>
    <m/>
    <m/>
    <m/>
    <m/>
  </r>
  <r>
    <x v="1"/>
    <x v="1"/>
    <s v="3/14"/>
    <x v="234"/>
    <s v="سٹاک"/>
    <s v="PP"/>
    <n v="3"/>
    <s v="5.5-6"/>
    <s v="PP"/>
    <s v="19 رول بیگ"/>
    <s v="PP"/>
    <n v="7"/>
    <n v="141.20000000000002"/>
    <n v="2.1"/>
    <m/>
    <m/>
    <n v="139.10000000000002"/>
    <s v="592.99"/>
    <m/>
    <m/>
    <m/>
    <n v="0"/>
    <n v="0"/>
    <m/>
    <m/>
    <m/>
    <m/>
    <m/>
    <m/>
    <m/>
    <m/>
    <n v="0"/>
    <n v="0"/>
    <n v="0"/>
    <n v="12"/>
    <n v="12"/>
    <m/>
    <m/>
    <n v="0"/>
    <n v="146.20000000000002"/>
    <m/>
    <x v="27"/>
    <m/>
    <m/>
    <m/>
    <m/>
  </r>
  <r>
    <x v="0"/>
    <x v="3"/>
    <s v="7428 J"/>
    <x v="234"/>
    <s v="Jilani Poly Stock"/>
    <s v="PP"/>
    <n v="20"/>
    <s v="5-5.5"/>
    <s v="PP"/>
    <s v="-"/>
    <s v="PP"/>
    <n v="13"/>
    <n v="782.86999999999989"/>
    <n v="26"/>
    <n v="3"/>
    <m/>
    <n v="756.86999999999989"/>
    <s v="1498.83"/>
    <m/>
    <m/>
    <m/>
    <n v="0"/>
    <n v="0"/>
    <m/>
    <m/>
    <m/>
    <m/>
    <m/>
    <m/>
    <m/>
    <m/>
    <n v="0"/>
    <n v="0"/>
    <n v="0"/>
    <n v="12"/>
    <n v="12"/>
    <m/>
    <m/>
    <n v="0"/>
    <n v="787.86999999999989"/>
    <m/>
    <x v="27"/>
    <m/>
    <m/>
    <m/>
    <m/>
  </r>
  <r>
    <x v="1"/>
    <x v="3"/>
    <s v="7428 J"/>
    <x v="234"/>
    <s v="Jilani Poly Stock"/>
    <s v="PP"/>
    <n v="20"/>
    <s v="5-5.5"/>
    <s v="PP"/>
    <s v="-"/>
    <s v="PP"/>
    <n v="9"/>
    <n v="610.69000000000005"/>
    <n v="22.95"/>
    <n v="3"/>
    <m/>
    <n v="587.74"/>
    <s v="1498.83"/>
    <n v="35"/>
    <m/>
    <m/>
    <n v="35"/>
    <n v="0.58333333333333337"/>
    <m/>
    <m/>
    <m/>
    <m/>
    <m/>
    <m/>
    <m/>
    <m/>
    <n v="0"/>
    <n v="0"/>
    <n v="0.58333333333333337"/>
    <n v="11.416666666666666"/>
    <n v="12"/>
    <m/>
    <m/>
    <n v="0"/>
    <n v="615.69000000000005"/>
    <m/>
    <x v="27"/>
    <m/>
    <m/>
    <m/>
    <m/>
  </r>
  <r>
    <x v="1"/>
    <x v="3"/>
    <s v="2956 F"/>
    <x v="234"/>
    <s v="Usman Amin"/>
    <s v="PP"/>
    <n v="17"/>
    <s v="7.5-8"/>
    <s v="PP"/>
    <n v="250"/>
    <s v="PP"/>
    <n v="3"/>
    <n v="156.66999999999999"/>
    <n v="5.0999999999999996"/>
    <m/>
    <m/>
    <n v="151.57"/>
    <s v="302.03999999999996"/>
    <m/>
    <m/>
    <m/>
    <n v="0"/>
    <n v="0"/>
    <m/>
    <m/>
    <m/>
    <m/>
    <m/>
    <m/>
    <m/>
    <m/>
    <n v="0"/>
    <n v="0"/>
    <n v="0"/>
    <n v="12"/>
    <n v="12"/>
    <m/>
    <m/>
    <n v="0"/>
    <n v="161.66999999999999"/>
    <m/>
    <x v="27"/>
    <m/>
    <m/>
    <m/>
    <m/>
  </r>
  <r>
    <x v="0"/>
    <x v="4"/>
    <s v="7767/3"/>
    <x v="234"/>
    <s v="ثاقب P خانپور"/>
    <s v="PP"/>
    <n v="12"/>
    <s v="5"/>
    <s v="PP"/>
    <n v="25"/>
    <s v="PP"/>
    <n v="2"/>
    <n v="69.990000000000009"/>
    <n v="2.4"/>
    <m/>
    <m/>
    <n v="67.59"/>
    <s v="67.59"/>
    <m/>
    <m/>
    <m/>
    <n v="0"/>
    <n v="0"/>
    <m/>
    <m/>
    <m/>
    <m/>
    <m/>
    <m/>
    <m/>
    <m/>
    <n v="0"/>
    <n v="0"/>
    <n v="0"/>
    <n v="12"/>
    <n v="12"/>
    <m/>
    <m/>
    <n v="0"/>
    <n v="74.990000000000009"/>
    <m/>
    <x v="27"/>
    <m/>
    <m/>
    <m/>
    <m/>
  </r>
  <r>
    <x v="0"/>
    <x v="4"/>
    <s v="12/15"/>
    <x v="234"/>
    <s v="سٹاک"/>
    <s v="PP"/>
    <n v="12"/>
    <n v="5"/>
    <s v="PP"/>
    <n v="1500"/>
    <s v="PP"/>
    <n v="7"/>
    <n v="354.20000000000005"/>
    <n v="8.4"/>
    <m/>
    <m/>
    <n v="345.80000000000007"/>
    <s v="1297.3900000000001"/>
    <m/>
    <m/>
    <m/>
    <n v="0"/>
    <n v="0"/>
    <m/>
    <m/>
    <m/>
    <m/>
    <m/>
    <m/>
    <m/>
    <m/>
    <n v="0"/>
    <n v="0"/>
    <n v="0"/>
    <n v="12"/>
    <n v="12"/>
    <m/>
    <m/>
    <n v="0"/>
    <n v="359.20000000000005"/>
    <m/>
    <x v="27"/>
    <m/>
    <m/>
    <m/>
    <m/>
  </r>
  <r>
    <x v="0"/>
    <x v="4"/>
    <s v="7760/2"/>
    <x v="234"/>
    <s v="اسلم پلاسٹک ملتان"/>
    <s v="PP"/>
    <n v="12"/>
    <s v="7"/>
    <s v="PP"/>
    <n v="150"/>
    <s v="PP"/>
    <n v="2"/>
    <n v="95.78"/>
    <n v="2.4"/>
    <n v="21"/>
    <m/>
    <n v="93.38"/>
    <s v="93.38"/>
    <m/>
    <m/>
    <m/>
    <n v="0"/>
    <n v="0"/>
    <m/>
    <m/>
    <m/>
    <m/>
    <m/>
    <m/>
    <m/>
    <m/>
    <n v="0"/>
    <n v="0"/>
    <n v="0"/>
    <n v="12"/>
    <n v="12"/>
    <m/>
    <m/>
    <n v="0"/>
    <n v="100.78"/>
    <m/>
    <x v="27"/>
    <m/>
    <m/>
    <m/>
    <m/>
  </r>
  <r>
    <x v="1"/>
    <x v="4"/>
    <s v="12/15"/>
    <x v="234"/>
    <s v="سٹاک"/>
    <s v="PP"/>
    <n v="12"/>
    <n v="5"/>
    <s v="PP"/>
    <n v="1500"/>
    <s v="PP"/>
    <n v="9"/>
    <n v="525.79"/>
    <n v="11.700000000000001"/>
    <n v="29"/>
    <m/>
    <n v="514.08999999999992"/>
    <s v="1297.3900000000001"/>
    <m/>
    <m/>
    <m/>
    <n v="0"/>
    <n v="0"/>
    <m/>
    <m/>
    <m/>
    <m/>
    <m/>
    <m/>
    <m/>
    <m/>
    <n v="0"/>
    <n v="0"/>
    <n v="0"/>
    <n v="12"/>
    <n v="12"/>
    <m/>
    <m/>
    <n v="0"/>
    <n v="530.79"/>
    <m/>
    <x v="27"/>
    <m/>
    <m/>
    <m/>
    <m/>
  </r>
  <r>
    <x v="0"/>
    <x v="0"/>
    <s v="7771/1"/>
    <x v="235"/>
    <s v="ہجویری ٹریڈرز اردو بازار"/>
    <s v="PP"/>
    <n v="2"/>
    <s v="12"/>
    <s v="PP"/>
    <n v="600"/>
    <s v="PP"/>
    <n v="10"/>
    <n v="139.62"/>
    <n v="2"/>
    <n v="46"/>
    <m/>
    <n v="137.62"/>
    <s v="1094.5000000000002"/>
    <m/>
    <m/>
    <m/>
    <n v="0"/>
    <n v="0"/>
    <n v="60"/>
    <m/>
    <n v="60"/>
    <m/>
    <m/>
    <m/>
    <m/>
    <m/>
    <n v="120"/>
    <n v="2"/>
    <n v="2"/>
    <n v="10"/>
    <n v="12"/>
    <m/>
    <m/>
    <n v="0"/>
    <n v="144.62"/>
    <m/>
    <x v="27"/>
    <m/>
    <m/>
    <m/>
    <m/>
  </r>
  <r>
    <x v="1"/>
    <x v="0"/>
    <s v="7771/1"/>
    <x v="235"/>
    <s v="ہجویری ٹریڈرز اردو بازار"/>
    <s v="PP"/>
    <n v="2"/>
    <s v="12"/>
    <s v="PP"/>
    <n v="600"/>
    <s v="PP"/>
    <n v="3"/>
    <n v="39.510000000000005"/>
    <n v="0.60000000000000009"/>
    <n v="34"/>
    <m/>
    <n v="38.910000000000004"/>
    <s v="1094.5000000000002"/>
    <m/>
    <m/>
    <m/>
    <n v="0"/>
    <n v="0"/>
    <m/>
    <m/>
    <m/>
    <m/>
    <m/>
    <m/>
    <m/>
    <m/>
    <n v="0"/>
    <n v="0"/>
    <n v="0"/>
    <n v="12"/>
    <n v="12"/>
    <m/>
    <m/>
    <n v="0"/>
    <n v="44.510000000000005"/>
    <m/>
    <x v="27"/>
    <m/>
    <m/>
    <m/>
    <m/>
  </r>
  <r>
    <x v="1"/>
    <x v="0"/>
    <s v="2/6"/>
    <x v="235"/>
    <s v="سٹاک"/>
    <s v="PP"/>
    <n v="2"/>
    <s v="5.5-6"/>
    <s v="PP"/>
    <s v="30 رول بیگ"/>
    <s v="PP"/>
    <n v="3"/>
    <n v="64.62"/>
    <n v="0.60000000000000009"/>
    <m/>
    <m/>
    <n v="64.02000000000001"/>
    <s v="687.5100000000001"/>
    <m/>
    <m/>
    <m/>
    <n v="0"/>
    <n v="0"/>
    <m/>
    <m/>
    <m/>
    <m/>
    <m/>
    <m/>
    <m/>
    <m/>
    <n v="0"/>
    <n v="0"/>
    <n v="0"/>
    <n v="12"/>
    <n v="12"/>
    <m/>
    <m/>
    <n v="0"/>
    <n v="69.62"/>
    <m/>
    <x v="27"/>
    <m/>
    <m/>
    <m/>
    <m/>
  </r>
  <r>
    <x v="0"/>
    <x v="1"/>
    <s v="3/14"/>
    <x v="235"/>
    <s v="سٹاک"/>
    <s v="PP"/>
    <n v="3"/>
    <s v="5.5-6"/>
    <s v="PP"/>
    <s v="19 رول بیگ"/>
    <s v="PP"/>
    <n v="9"/>
    <n v="155.44"/>
    <n v="2.6999999999999997"/>
    <m/>
    <m/>
    <n v="152.74"/>
    <s v="592.99"/>
    <n v="15"/>
    <m/>
    <m/>
    <n v="15"/>
    <n v="0.25"/>
    <n v="60"/>
    <m/>
    <m/>
    <m/>
    <m/>
    <m/>
    <m/>
    <m/>
    <n v="60"/>
    <n v="1"/>
    <n v="1.25"/>
    <n v="10.75"/>
    <n v="12"/>
    <m/>
    <m/>
    <n v="0"/>
    <n v="160.44"/>
    <m/>
    <x v="27"/>
    <m/>
    <m/>
    <m/>
    <m/>
  </r>
  <r>
    <x v="1"/>
    <x v="1"/>
    <s v="6/12"/>
    <x v="235"/>
    <s v="سٹاک"/>
    <s v="PP"/>
    <n v="6"/>
    <n v="5"/>
    <s v="PP"/>
    <n v="1500"/>
    <s v="PP"/>
    <n v="8"/>
    <n v="167.65"/>
    <n v="4.8"/>
    <m/>
    <m/>
    <n v="162.85"/>
    <s v="1576.9800000000002"/>
    <m/>
    <m/>
    <m/>
    <n v="0"/>
    <n v="0"/>
    <m/>
    <m/>
    <m/>
    <m/>
    <m/>
    <m/>
    <m/>
    <m/>
    <n v="0"/>
    <n v="0"/>
    <n v="0"/>
    <n v="12"/>
    <n v="12"/>
    <m/>
    <m/>
    <n v="0"/>
    <n v="172.65"/>
    <m/>
    <x v="27"/>
    <m/>
    <m/>
    <m/>
    <m/>
  </r>
  <r>
    <x v="0"/>
    <x v="3"/>
    <s v="2956 F"/>
    <x v="235"/>
    <s v="Usman Amin"/>
    <s v="PP"/>
    <n v="17"/>
    <s v="7.5-8"/>
    <s v="PP"/>
    <n v="250"/>
    <s v="PP"/>
    <n v="3"/>
    <n v="155.57"/>
    <n v="5.0999999999999996"/>
    <m/>
    <m/>
    <n v="150.47"/>
    <s v="302.03999999999996"/>
    <n v="20"/>
    <m/>
    <m/>
    <n v="20"/>
    <n v="0.33333333333333331"/>
    <m/>
    <m/>
    <m/>
    <m/>
    <m/>
    <m/>
    <m/>
    <m/>
    <n v="0"/>
    <n v="0"/>
    <n v="0.33333333333333331"/>
    <n v="11.666666666666666"/>
    <n v="12"/>
    <m/>
    <m/>
    <n v="0"/>
    <n v="160.57"/>
    <m/>
    <x v="27"/>
    <m/>
    <m/>
    <m/>
    <m/>
  </r>
  <r>
    <x v="0"/>
    <x v="3"/>
    <s v="7684 J"/>
    <x v="235"/>
    <s v="Carrefour Pakistan Ltd"/>
    <s v="PP"/>
    <s v="24&quot; شیٹ"/>
    <s v="5-5.5/10-11"/>
    <s v="PP"/>
    <n v="250"/>
    <s v="PP"/>
    <n v="6"/>
    <n v="245.54999999999998"/>
    <n v="14.399999999999999"/>
    <m/>
    <m/>
    <n v="231.14999999999998"/>
    <s v="231.14999999999998"/>
    <n v="20"/>
    <m/>
    <m/>
    <n v="20"/>
    <n v="0.33333333333333331"/>
    <m/>
    <m/>
    <m/>
    <m/>
    <m/>
    <m/>
    <m/>
    <m/>
    <n v="0"/>
    <n v="0"/>
    <n v="0.33333333333333331"/>
    <n v="11.666666666666666"/>
    <n v="12"/>
    <m/>
    <m/>
    <n v="0"/>
    <n v="250.55"/>
    <m/>
    <x v="27"/>
    <m/>
    <m/>
    <m/>
    <m/>
  </r>
  <r>
    <x v="0"/>
    <x v="3"/>
    <s v="7429 J"/>
    <x v="235"/>
    <s v="Jilani Poly Stock"/>
    <s v="PP"/>
    <n v="24"/>
    <s v="5-5.5"/>
    <s v="PP"/>
    <s v="-"/>
    <s v="PP"/>
    <n v="4"/>
    <n v="287.44"/>
    <n v="9.6"/>
    <m/>
    <m/>
    <n v="277.83999999999997"/>
    <s v="1649.1299999999999"/>
    <n v="25"/>
    <m/>
    <m/>
    <n v="25"/>
    <n v="0.41666666666666674"/>
    <n v="60"/>
    <m/>
    <n v="60"/>
    <m/>
    <m/>
    <m/>
    <m/>
    <m/>
    <n v="120"/>
    <n v="2"/>
    <n v="2.4166666666666665"/>
    <n v="9.5833333333333339"/>
    <n v="12"/>
    <m/>
    <m/>
    <n v="0"/>
    <n v="292.44"/>
    <m/>
    <x v="27"/>
    <m/>
    <m/>
    <m/>
    <m/>
  </r>
  <r>
    <x v="1"/>
    <x v="3"/>
    <s v="7683 J"/>
    <x v="235"/>
    <s v="Carrefour Pakistan Ltd"/>
    <s v="PP"/>
    <s v="32&quot; شیٹ"/>
    <s v="5-5.5/10-11"/>
    <s v="PP"/>
    <n v="250"/>
    <s v="PP"/>
    <n v="6"/>
    <n v="303.72000000000003"/>
    <n v="19.200000000000003"/>
    <m/>
    <m/>
    <n v="284.52000000000004"/>
    <s v="284.52000000000004"/>
    <n v="20"/>
    <n v="75"/>
    <m/>
    <n v="95"/>
    <n v="1.5833333333333333"/>
    <m/>
    <m/>
    <m/>
    <m/>
    <m/>
    <m/>
    <m/>
    <m/>
    <n v="0"/>
    <n v="0"/>
    <n v="1.5833333333333333"/>
    <n v="10.416666666666666"/>
    <n v="12"/>
    <m/>
    <m/>
    <n v="0"/>
    <n v="308.72000000000003"/>
    <m/>
    <x v="27"/>
    <m/>
    <m/>
    <m/>
    <m/>
  </r>
  <r>
    <x v="1"/>
    <x v="3"/>
    <s v="7429 J"/>
    <x v="235"/>
    <s v="Jilani Poly Stock"/>
    <s v="PP"/>
    <n v="24"/>
    <s v="5-5.5"/>
    <s v="PP"/>
    <s v="-"/>
    <s v="PP"/>
    <n v="7"/>
    <n v="431.25999999999993"/>
    <n v="16.8"/>
    <m/>
    <m/>
    <n v="414.45999999999992"/>
    <s v="1649.1299999999999"/>
    <m/>
    <m/>
    <m/>
    <n v="0"/>
    <n v="0"/>
    <m/>
    <m/>
    <m/>
    <m/>
    <m/>
    <m/>
    <m/>
    <m/>
    <n v="0"/>
    <n v="0"/>
    <n v="0"/>
    <n v="12"/>
    <n v="12"/>
    <m/>
    <m/>
    <n v="0"/>
    <n v="436.25999999999993"/>
    <m/>
    <x v="27"/>
    <m/>
    <m/>
    <m/>
    <m/>
  </r>
  <r>
    <x v="0"/>
    <x v="4"/>
    <s v="12/5"/>
    <x v="235"/>
    <s v="سٹاک"/>
    <s v="PP"/>
    <n v="12"/>
    <n v="5"/>
    <s v="PP"/>
    <n v="500"/>
    <s v="PP"/>
    <n v="4"/>
    <n v="240.82999999999998"/>
    <n v="4.8"/>
    <m/>
    <m/>
    <n v="236.02999999999997"/>
    <s v="1341.6499999999999"/>
    <m/>
    <m/>
    <m/>
    <n v="0"/>
    <n v="0"/>
    <m/>
    <m/>
    <m/>
    <m/>
    <m/>
    <m/>
    <m/>
    <m/>
    <n v="0"/>
    <n v="0"/>
    <n v="0"/>
    <n v="12"/>
    <n v="12"/>
    <m/>
    <m/>
    <n v="0"/>
    <n v="245.83"/>
    <m/>
    <x v="27"/>
    <m/>
    <m/>
    <m/>
    <m/>
  </r>
  <r>
    <x v="0"/>
    <x v="4"/>
    <s v="7782/5"/>
    <x v="235"/>
    <s v="آصف پلاسٹک سرگودھا"/>
    <s v="PP"/>
    <n v="12"/>
    <s v="4.5"/>
    <s v="PP"/>
    <n v="300"/>
    <s v="PP"/>
    <n v="4"/>
    <n v="202.61"/>
    <n v="4.8"/>
    <n v="3"/>
    <m/>
    <n v="197.81"/>
    <s v="311.40999999999997"/>
    <m/>
    <m/>
    <m/>
    <n v="0"/>
    <n v="0"/>
    <n v="60"/>
    <m/>
    <m/>
    <m/>
    <m/>
    <m/>
    <n v="45"/>
    <m/>
    <n v="105"/>
    <n v="1.75"/>
    <n v="1.75"/>
    <n v="10.25"/>
    <n v="12"/>
    <m/>
    <m/>
    <n v="0"/>
    <n v="207.61"/>
    <m/>
    <x v="27"/>
    <m/>
    <m/>
    <m/>
    <m/>
  </r>
  <r>
    <x v="1"/>
    <x v="4"/>
    <s v="7782/5"/>
    <x v="235"/>
    <s v="آصف پلاسٹک سرگودھا"/>
    <s v="PP"/>
    <n v="12"/>
    <s v="4.5"/>
    <s v="PP"/>
    <n v="300"/>
    <s v="PP"/>
    <n v="2"/>
    <n v="116.25"/>
    <n v="2.6500000000000004"/>
    <n v="3"/>
    <m/>
    <n v="113.6"/>
    <s v="311.40999999999997"/>
    <m/>
    <m/>
    <m/>
    <n v="0"/>
    <n v="0"/>
    <m/>
    <m/>
    <m/>
    <m/>
    <m/>
    <m/>
    <m/>
    <m/>
    <n v="0"/>
    <n v="0"/>
    <n v="0"/>
    <n v="12"/>
    <n v="12"/>
    <m/>
    <m/>
    <n v="0"/>
    <n v="121.25"/>
    <m/>
    <x v="27"/>
    <m/>
    <m/>
    <m/>
    <m/>
  </r>
  <r>
    <x v="1"/>
    <x v="4"/>
    <s v="12/15"/>
    <x v="235"/>
    <s v="سٹاک"/>
    <s v="PP"/>
    <n v="12"/>
    <n v="5"/>
    <s v="PP"/>
    <n v="1500"/>
    <s v="PP"/>
    <n v="8"/>
    <n v="447.90000000000003"/>
    <n v="10.4"/>
    <m/>
    <m/>
    <n v="437.50000000000006"/>
    <s v="1297.3900000000001"/>
    <m/>
    <m/>
    <m/>
    <n v="0"/>
    <n v="0"/>
    <m/>
    <m/>
    <m/>
    <m/>
    <m/>
    <m/>
    <m/>
    <m/>
    <n v="0"/>
    <n v="0"/>
    <n v="0"/>
    <n v="12"/>
    <n v="12"/>
    <m/>
    <m/>
    <n v="0"/>
    <n v="452.9"/>
    <m/>
    <x v="27"/>
    <m/>
    <m/>
    <m/>
    <m/>
  </r>
  <r>
    <x v="0"/>
    <x v="0"/>
    <s v="2/6"/>
    <x v="236"/>
    <s v="سٹاک"/>
    <s v="PP"/>
    <n v="2"/>
    <s v="5.5-6"/>
    <s v="PP"/>
    <s v="30 رول بیگ"/>
    <s v="PP"/>
    <n v="7"/>
    <n v="112.58000000000001"/>
    <n v="1.4000000000000001"/>
    <n v="19"/>
    <m/>
    <n v="111.18"/>
    <s v="687.5100000000001"/>
    <m/>
    <m/>
    <m/>
    <n v="0"/>
    <n v="0"/>
    <m/>
    <m/>
    <m/>
    <m/>
    <m/>
    <m/>
    <m/>
    <m/>
    <n v="0"/>
    <n v="0"/>
    <n v="0"/>
    <n v="12"/>
    <n v="12"/>
    <m/>
    <m/>
    <n v="0"/>
    <n v="117.58"/>
    <m/>
    <x v="27"/>
    <m/>
    <m/>
    <m/>
    <m/>
  </r>
  <r>
    <x v="1"/>
    <x v="0"/>
    <s v="2.5/14"/>
    <x v="236"/>
    <s v="سٹاک"/>
    <s v="PP"/>
    <n v="2.5"/>
    <s v="5.5-6"/>
    <s v="PP"/>
    <s v="15 رول بیگ"/>
    <s v="PP"/>
    <n v="7"/>
    <n v="107.03999999999999"/>
    <n v="1.4000000000000001"/>
    <n v="20"/>
    <m/>
    <n v="105.63999999999999"/>
    <s v="713.33000000000015"/>
    <m/>
    <m/>
    <m/>
    <n v="0"/>
    <n v="0"/>
    <m/>
    <m/>
    <m/>
    <m/>
    <m/>
    <m/>
    <m/>
    <m/>
    <n v="0"/>
    <n v="0"/>
    <n v="0"/>
    <n v="12"/>
    <n v="12"/>
    <m/>
    <m/>
    <n v="0"/>
    <n v="112.04"/>
    <m/>
    <x v="27"/>
    <m/>
    <m/>
    <m/>
    <m/>
  </r>
  <r>
    <x v="0"/>
    <x v="1"/>
    <s v="6/12"/>
    <x v="236"/>
    <s v="سٹاک"/>
    <s v="PP"/>
    <n v="6"/>
    <n v="5"/>
    <s v="PP"/>
    <n v="1500"/>
    <s v="PP"/>
    <n v="8"/>
    <n v="199.08000000000004"/>
    <n v="4.8"/>
    <m/>
    <m/>
    <n v="194.28000000000003"/>
    <s v="1576.9800000000002"/>
    <m/>
    <m/>
    <m/>
    <n v="0"/>
    <n v="0"/>
    <m/>
    <m/>
    <m/>
    <m/>
    <m/>
    <m/>
    <m/>
    <m/>
    <n v="0"/>
    <n v="0"/>
    <n v="0"/>
    <n v="12"/>
    <n v="12"/>
    <m/>
    <m/>
    <n v="0"/>
    <n v="204.08000000000004"/>
    <m/>
    <x v="27"/>
    <m/>
    <m/>
    <m/>
    <m/>
  </r>
  <r>
    <x v="1"/>
    <x v="1"/>
    <s v="6/12"/>
    <x v="236"/>
    <s v="سٹاک"/>
    <s v="PP"/>
    <n v="6"/>
    <n v="5"/>
    <s v="PP"/>
    <n v="1500"/>
    <s v="PP"/>
    <n v="8"/>
    <n v="179.87000000000003"/>
    <n v="4.8"/>
    <m/>
    <m/>
    <n v="175.07000000000002"/>
    <s v="1576.9800000000002"/>
    <m/>
    <m/>
    <m/>
    <n v="0"/>
    <n v="0"/>
    <m/>
    <m/>
    <m/>
    <m/>
    <m/>
    <m/>
    <m/>
    <m/>
    <n v="0"/>
    <n v="0"/>
    <n v="0"/>
    <n v="12"/>
    <n v="12"/>
    <m/>
    <m/>
    <n v="0"/>
    <n v="184.87000000000003"/>
    <m/>
    <x v="27"/>
    <m/>
    <m/>
    <m/>
    <m/>
  </r>
  <r>
    <x v="0"/>
    <x v="3"/>
    <s v="7429 J"/>
    <x v="236"/>
    <s v="Jilani Poly Stock"/>
    <s v="PP"/>
    <n v="24"/>
    <s v="5-5.5"/>
    <s v="PP"/>
    <s v="-"/>
    <s v="PP"/>
    <n v="10"/>
    <n v="776.78"/>
    <n v="24"/>
    <m/>
    <m/>
    <n v="752.78"/>
    <s v="1649.1299999999999"/>
    <m/>
    <m/>
    <m/>
    <n v="0"/>
    <n v="0"/>
    <m/>
    <m/>
    <m/>
    <m/>
    <m/>
    <m/>
    <m/>
    <m/>
    <n v="0"/>
    <n v="0"/>
    <n v="0"/>
    <n v="12"/>
    <n v="12"/>
    <m/>
    <m/>
    <n v="0"/>
    <n v="781.78"/>
    <m/>
    <x v="27"/>
    <m/>
    <m/>
    <m/>
    <m/>
  </r>
  <r>
    <x v="1"/>
    <x v="3"/>
    <s v="7429 J"/>
    <x v="236"/>
    <s v="Jilani Poly Stock"/>
    <s v="PP"/>
    <n v="24"/>
    <s v="5-5.5"/>
    <s v="PP"/>
    <s v="-"/>
    <s v="PP"/>
    <n v="3"/>
    <n v="211.25"/>
    <n v="7.1999999999999993"/>
    <m/>
    <m/>
    <n v="204.05"/>
    <s v="1649.1299999999999"/>
    <n v="25"/>
    <m/>
    <m/>
    <n v="25"/>
    <n v="0.41666666666666674"/>
    <m/>
    <m/>
    <m/>
    <m/>
    <m/>
    <m/>
    <m/>
    <m/>
    <n v="0"/>
    <n v="0"/>
    <n v="0.41666666666666674"/>
    <n v="11.583333333333334"/>
    <n v="12"/>
    <m/>
    <m/>
    <n v="0"/>
    <n v="216.25"/>
    <m/>
    <x v="27"/>
    <m/>
    <m/>
    <m/>
    <m/>
  </r>
  <r>
    <x v="1"/>
    <x v="3"/>
    <s v="6657 J"/>
    <x v="236"/>
    <s v="Baber Sher C/O Al Fatah Bakers"/>
    <s v="PP"/>
    <n v="26"/>
    <s v="5-5.5"/>
    <s v="PP"/>
    <n v="150"/>
    <s v="PP"/>
    <n v="8"/>
    <n v="521.08000000000004"/>
    <n v="20.8"/>
    <m/>
    <m/>
    <n v="500.28000000000003"/>
    <s v="854.23"/>
    <n v="25"/>
    <m/>
    <m/>
    <n v="25"/>
    <n v="0.41666666666666674"/>
    <m/>
    <m/>
    <m/>
    <m/>
    <m/>
    <m/>
    <m/>
    <m/>
    <n v="0"/>
    <n v="0"/>
    <n v="0.41666666666666674"/>
    <n v="11.583333333333334"/>
    <n v="12"/>
    <m/>
    <m/>
    <n v="0"/>
    <n v="526.08000000000004"/>
    <m/>
    <x v="27"/>
    <m/>
    <m/>
    <m/>
    <m/>
  </r>
  <r>
    <x v="0"/>
    <x v="4"/>
    <s v="12/5"/>
    <x v="236"/>
    <s v="سٹاک"/>
    <s v="PP"/>
    <n v="12"/>
    <n v="5"/>
    <s v="PP"/>
    <n v="500"/>
    <s v="PP"/>
    <n v="2"/>
    <n v="88.240000000000009"/>
    <n v="2.4"/>
    <m/>
    <m/>
    <n v="85.84"/>
    <s v="1341.6499999999999"/>
    <m/>
    <m/>
    <m/>
    <n v="0"/>
    <n v="0"/>
    <m/>
    <m/>
    <m/>
    <m/>
    <m/>
    <m/>
    <m/>
    <m/>
    <n v="0"/>
    <n v="0"/>
    <n v="0"/>
    <n v="12"/>
    <n v="12"/>
    <m/>
    <m/>
    <n v="0"/>
    <n v="93.240000000000009"/>
    <m/>
    <x v="27"/>
    <m/>
    <m/>
    <m/>
    <m/>
  </r>
  <r>
    <x v="0"/>
    <x v="4"/>
    <s v="7775/2"/>
    <x v="236"/>
    <s v="امارات پلاسٹک چونگ"/>
    <s v="PP"/>
    <n v="10"/>
    <s v="4.5"/>
    <s v="PP"/>
    <n v="100"/>
    <s v="PP"/>
    <n v="4"/>
    <n v="132.88"/>
    <n v="4"/>
    <m/>
    <m/>
    <n v="128.88"/>
    <s v="128.88"/>
    <m/>
    <m/>
    <m/>
    <n v="0"/>
    <n v="0"/>
    <m/>
    <m/>
    <m/>
    <m/>
    <m/>
    <m/>
    <m/>
    <m/>
    <n v="0"/>
    <n v="0"/>
    <n v="0"/>
    <n v="12"/>
    <n v="12"/>
    <m/>
    <m/>
    <n v="0"/>
    <n v="137.88"/>
    <m/>
    <x v="27"/>
    <m/>
    <m/>
    <m/>
    <m/>
  </r>
  <r>
    <x v="0"/>
    <x v="4"/>
    <s v="10/15"/>
    <x v="236"/>
    <s v="سٹاک"/>
    <s v="PP"/>
    <n v="10"/>
    <n v="5"/>
    <s v="PP"/>
    <n v="1500"/>
    <s v="PP"/>
    <n v="4"/>
    <n v="212.04"/>
    <n v="4"/>
    <m/>
    <m/>
    <n v="208.04"/>
    <s v="1521.83"/>
    <n v="20"/>
    <m/>
    <m/>
    <n v="20"/>
    <n v="0.33333333333333331"/>
    <m/>
    <m/>
    <m/>
    <m/>
    <m/>
    <m/>
    <m/>
    <m/>
    <n v="0"/>
    <n v="0"/>
    <n v="0.33333333333333331"/>
    <n v="11.666666666666666"/>
    <n v="12"/>
    <m/>
    <m/>
    <n v="0"/>
    <n v="217.04"/>
    <m/>
    <x v="27"/>
    <m/>
    <m/>
    <m/>
    <m/>
  </r>
  <r>
    <x v="0"/>
    <x v="4"/>
    <s v="7774/1"/>
    <x v="236"/>
    <s v="بلال احمد اعظم مارکیٹ"/>
    <s v="PP"/>
    <n v="10"/>
    <s v="8"/>
    <s v="PP"/>
    <n v="50"/>
    <s v="PP"/>
    <n v="2"/>
    <n v="55.370000000000005"/>
    <n v="2"/>
    <n v="5"/>
    <m/>
    <n v="53.370000000000005"/>
    <s v="53.370000000000005"/>
    <m/>
    <m/>
    <m/>
    <n v="0"/>
    <n v="0"/>
    <m/>
    <m/>
    <m/>
    <m/>
    <m/>
    <m/>
    <m/>
    <m/>
    <n v="0"/>
    <n v="0"/>
    <n v="0"/>
    <n v="12"/>
    <n v="12"/>
    <m/>
    <m/>
    <n v="0"/>
    <n v="60.370000000000005"/>
    <m/>
    <x v="27"/>
    <m/>
    <m/>
    <m/>
    <m/>
  </r>
  <r>
    <x v="1"/>
    <x v="4"/>
    <s v="10/15"/>
    <x v="236"/>
    <s v="سٹاک"/>
    <s v="PP"/>
    <n v="10"/>
    <n v="5"/>
    <s v="PP"/>
    <n v="1500"/>
    <s v="PP"/>
    <n v="9"/>
    <n v="496.75000000000006"/>
    <n v="9"/>
    <n v="5"/>
    <m/>
    <n v="487.75000000000006"/>
    <s v="1521.83"/>
    <m/>
    <m/>
    <m/>
    <n v="0"/>
    <n v="0"/>
    <m/>
    <m/>
    <m/>
    <m/>
    <m/>
    <m/>
    <m/>
    <m/>
    <n v="0"/>
    <n v="0"/>
    <n v="0"/>
    <n v="12"/>
    <n v="12"/>
    <m/>
    <m/>
    <n v="0"/>
    <n v="501.75000000000006"/>
    <m/>
    <x v="27"/>
    <m/>
    <m/>
    <m/>
    <m/>
  </r>
  <r>
    <x v="0"/>
    <x v="0"/>
    <s v="2/6"/>
    <x v="237"/>
    <s v="سٹاک"/>
    <s v="PP"/>
    <n v="2"/>
    <s v="5.5-6"/>
    <s v="PP"/>
    <s v="30 رول بیگ"/>
    <s v="PP"/>
    <n v="4"/>
    <n v="63.650000000000006"/>
    <n v="0.8"/>
    <m/>
    <m/>
    <n v="62.850000000000009"/>
    <s v="687.5100000000001"/>
    <m/>
    <m/>
    <m/>
    <n v="0"/>
    <n v="0"/>
    <m/>
    <m/>
    <m/>
    <m/>
    <m/>
    <m/>
    <m/>
    <m/>
    <n v="0"/>
    <n v="0"/>
    <n v="0"/>
    <n v="12"/>
    <n v="12"/>
    <m/>
    <m/>
    <n v="0"/>
    <n v="68.650000000000006"/>
    <m/>
    <x v="27"/>
    <m/>
    <m/>
    <m/>
    <m/>
  </r>
  <r>
    <x v="0"/>
    <x v="0"/>
    <s v="2.5/14"/>
    <x v="237"/>
    <s v="سٹاک"/>
    <s v="PP"/>
    <n v="2.5"/>
    <s v="5.5-6"/>
    <s v="PP"/>
    <s v="15 رول بیگ"/>
    <s v="PP"/>
    <n v="3"/>
    <n v="49.129999999999995"/>
    <n v="0.75"/>
    <m/>
    <m/>
    <n v="48.379999999999995"/>
    <s v="713.33000000000015"/>
    <m/>
    <m/>
    <m/>
    <n v="0"/>
    <n v="0"/>
    <m/>
    <m/>
    <m/>
    <m/>
    <m/>
    <m/>
    <m/>
    <m/>
    <n v="0"/>
    <n v="0"/>
    <n v="0"/>
    <n v="12"/>
    <n v="12"/>
    <m/>
    <m/>
    <n v="0"/>
    <n v="54.129999999999995"/>
    <m/>
    <x v="27"/>
    <m/>
    <m/>
    <m/>
    <m/>
  </r>
  <r>
    <x v="1"/>
    <x v="0"/>
    <s v="2.5/14"/>
    <x v="237"/>
    <s v="سٹاک"/>
    <s v="PP"/>
    <n v="2.5"/>
    <s v="5.5-6"/>
    <s v="PP"/>
    <s v="15 رول بیگ"/>
    <s v="PP"/>
    <n v="6"/>
    <n v="117.92000000000002"/>
    <n v="1.5"/>
    <m/>
    <m/>
    <n v="116.42000000000002"/>
    <s v="713.33000000000015"/>
    <m/>
    <m/>
    <m/>
    <n v="0"/>
    <n v="0"/>
    <m/>
    <m/>
    <m/>
    <m/>
    <m/>
    <m/>
    <m/>
    <m/>
    <n v="0"/>
    <n v="0"/>
    <n v="0"/>
    <n v="12"/>
    <n v="12"/>
    <m/>
    <m/>
    <n v="0"/>
    <n v="122.92000000000002"/>
    <m/>
    <x v="27"/>
    <m/>
    <m/>
    <m/>
    <m/>
  </r>
  <r>
    <x v="0"/>
    <x v="1"/>
    <s v="6/12"/>
    <x v="237"/>
    <s v="سٹاک"/>
    <s v="PP"/>
    <n v="6"/>
    <n v="5"/>
    <s v="PP"/>
    <n v="1500"/>
    <s v="PP"/>
    <n v="8"/>
    <n v="176.18"/>
    <n v="4.8"/>
    <m/>
    <m/>
    <n v="171.38"/>
    <s v="1576.9800000000002"/>
    <m/>
    <m/>
    <m/>
    <n v="0"/>
    <n v="0"/>
    <m/>
    <m/>
    <m/>
    <m/>
    <m/>
    <m/>
    <m/>
    <m/>
    <n v="0"/>
    <n v="0"/>
    <n v="0"/>
    <n v="12"/>
    <n v="12"/>
    <m/>
    <m/>
    <n v="0"/>
    <n v="181.18"/>
    <m/>
    <x v="27"/>
    <m/>
    <m/>
    <m/>
    <m/>
  </r>
  <r>
    <x v="1"/>
    <x v="1"/>
    <s v="6/12"/>
    <x v="237"/>
    <s v="سٹاک"/>
    <s v="PP"/>
    <n v="6"/>
    <n v="5"/>
    <s v="PP"/>
    <n v="1500"/>
    <s v="PP"/>
    <n v="8"/>
    <n v="161.30000000000001"/>
    <n v="4.8"/>
    <m/>
    <m/>
    <n v="156.5"/>
    <s v="1576.9800000000002"/>
    <m/>
    <m/>
    <m/>
    <n v="0"/>
    <n v="0"/>
    <m/>
    <m/>
    <m/>
    <m/>
    <m/>
    <m/>
    <m/>
    <m/>
    <n v="0"/>
    <n v="0"/>
    <n v="0"/>
    <n v="12"/>
    <n v="12"/>
    <m/>
    <m/>
    <n v="0"/>
    <n v="166.3"/>
    <m/>
    <x v="27"/>
    <m/>
    <m/>
    <m/>
    <m/>
  </r>
  <r>
    <x v="0"/>
    <x v="3"/>
    <s v="16/6"/>
    <x v="237"/>
    <s v="سٹاک"/>
    <s v="PP"/>
    <n v="16"/>
    <n v="5"/>
    <s v="PP"/>
    <n v="1000"/>
    <s v="PP"/>
    <n v="5"/>
    <n v="298.74"/>
    <n v="8"/>
    <m/>
    <m/>
    <n v="290.74"/>
    <s v="1087.8800000000001"/>
    <m/>
    <m/>
    <m/>
    <n v="0"/>
    <n v="0"/>
    <m/>
    <m/>
    <m/>
    <m/>
    <m/>
    <m/>
    <m/>
    <m/>
    <n v="0"/>
    <n v="0"/>
    <n v="0"/>
    <n v="12"/>
    <n v="12"/>
    <m/>
    <m/>
    <n v="0"/>
    <n v="303.74"/>
    <m/>
    <x v="27"/>
    <m/>
    <m/>
    <m/>
    <m/>
  </r>
  <r>
    <x v="0"/>
    <x v="3"/>
    <s v="16/6"/>
    <x v="237"/>
    <s v="سٹاک"/>
    <s v="PP"/>
    <n v="16"/>
    <n v="5"/>
    <s v="PP"/>
    <n v="1000"/>
    <s v="PP"/>
    <n v="4"/>
    <n v="274.81000000000006"/>
    <n v="6.4"/>
    <n v="12"/>
    <m/>
    <n v="268.41000000000008"/>
    <s v="1087.8800000000001"/>
    <m/>
    <m/>
    <m/>
    <n v="0"/>
    <n v="0"/>
    <m/>
    <m/>
    <m/>
    <m/>
    <m/>
    <m/>
    <m/>
    <m/>
    <n v="0"/>
    <n v="0"/>
    <n v="0"/>
    <n v="12"/>
    <n v="12"/>
    <m/>
    <m/>
    <n v="0"/>
    <n v="279.81000000000006"/>
    <m/>
    <x v="27"/>
    <m/>
    <m/>
    <m/>
    <m/>
  </r>
  <r>
    <x v="1"/>
    <x v="3"/>
    <s v="16/6"/>
    <x v="237"/>
    <s v="سٹاک"/>
    <s v="PP"/>
    <n v="16"/>
    <n v="5"/>
    <s v="PP"/>
    <n v="1000"/>
    <s v="PP"/>
    <n v="9"/>
    <n v="545.82999999999993"/>
    <n v="17.099999999999998"/>
    <n v="15"/>
    <m/>
    <n v="528.7299999999999"/>
    <s v="1087.8800000000001"/>
    <m/>
    <m/>
    <m/>
    <n v="0"/>
    <n v="0"/>
    <m/>
    <m/>
    <m/>
    <m/>
    <m/>
    <m/>
    <m/>
    <m/>
    <n v="0"/>
    <n v="0"/>
    <n v="0"/>
    <n v="12"/>
    <n v="12"/>
    <m/>
    <m/>
    <n v="0"/>
    <n v="550.82999999999993"/>
    <m/>
    <x v="27"/>
    <m/>
    <m/>
    <m/>
    <m/>
  </r>
  <r>
    <x v="1"/>
    <x v="3"/>
    <s v="7775/4"/>
    <x v="237"/>
    <s v="امارات پلاسٹک چونگ"/>
    <s v="PP"/>
    <n v="16"/>
    <s v="4.5"/>
    <s v="PP"/>
    <n v="100"/>
    <s v="PP"/>
    <n v="2"/>
    <n v="107.00999999999999"/>
    <n v="3.8"/>
    <m/>
    <m/>
    <n v="103.21"/>
    <s v="103.21"/>
    <m/>
    <m/>
    <m/>
    <n v="0"/>
    <n v="0"/>
    <m/>
    <m/>
    <m/>
    <m/>
    <m/>
    <m/>
    <m/>
    <m/>
    <n v="0"/>
    <n v="0"/>
    <n v="0"/>
    <n v="12"/>
    <n v="12"/>
    <m/>
    <m/>
    <n v="0"/>
    <n v="112.01"/>
    <m/>
    <x v="27"/>
    <m/>
    <m/>
    <m/>
    <m/>
  </r>
  <r>
    <x v="1"/>
    <x v="3"/>
    <s v="7426 J"/>
    <x v="237"/>
    <s v="Jilani Poly Stock"/>
    <s v="PP"/>
    <n v="16"/>
    <s v="5-5.5"/>
    <s v="PP"/>
    <s v="-"/>
    <s v="PP"/>
    <n v="1"/>
    <n v="57.36"/>
    <n v="1.6"/>
    <m/>
    <m/>
    <n v="55.76"/>
    <s v="1442.8799999999999"/>
    <m/>
    <m/>
    <m/>
    <n v="0"/>
    <n v="0"/>
    <m/>
    <m/>
    <m/>
    <m/>
    <m/>
    <m/>
    <m/>
    <m/>
    <n v="0"/>
    <n v="0"/>
    <n v="0"/>
    <n v="12"/>
    <n v="12"/>
    <m/>
    <m/>
    <n v="0"/>
    <n v="62.36"/>
    <m/>
    <x v="27"/>
    <m/>
    <m/>
    <m/>
    <m/>
  </r>
  <r>
    <x v="0"/>
    <x v="4"/>
    <s v="10/15"/>
    <x v="237"/>
    <s v="سٹاک"/>
    <s v="PP"/>
    <n v="10"/>
    <n v="5"/>
    <s v="PP"/>
    <n v="1500"/>
    <s v="PP"/>
    <n v="9"/>
    <n v="460.90000000000003"/>
    <n v="9"/>
    <m/>
    <m/>
    <n v="451.90000000000003"/>
    <s v="1521.83"/>
    <m/>
    <m/>
    <m/>
    <n v="0"/>
    <n v="0"/>
    <m/>
    <m/>
    <m/>
    <m/>
    <m/>
    <m/>
    <m/>
    <m/>
    <n v="0"/>
    <n v="0"/>
    <n v="0"/>
    <n v="12"/>
    <n v="12"/>
    <m/>
    <m/>
    <n v="0"/>
    <n v="465.9"/>
    <m/>
    <x v="27"/>
    <m/>
    <m/>
    <m/>
    <m/>
  </r>
  <r>
    <x v="1"/>
    <x v="4"/>
    <s v="10/15"/>
    <x v="237"/>
    <s v="سٹاک"/>
    <s v="PP"/>
    <n v="10"/>
    <n v="5"/>
    <s v="PP"/>
    <n v="1500"/>
    <s v="PP"/>
    <n v="7"/>
    <n v="382.53999999999996"/>
    <n v="8.4"/>
    <m/>
    <m/>
    <n v="374.14"/>
    <s v="1521.83"/>
    <n v="25"/>
    <m/>
    <m/>
    <n v="25"/>
    <n v="0.41666666666666674"/>
    <m/>
    <m/>
    <m/>
    <m/>
    <m/>
    <m/>
    <m/>
    <m/>
    <n v="0"/>
    <n v="0"/>
    <n v="0.41666666666666674"/>
    <n v="11.583333333333334"/>
    <n v="12"/>
    <m/>
    <m/>
    <n v="0"/>
    <n v="387.54"/>
    <m/>
    <x v="27"/>
    <m/>
    <m/>
    <m/>
    <m/>
  </r>
  <r>
    <x v="1"/>
    <x v="4"/>
    <s v="7785/1"/>
    <x v="237"/>
    <s v="ایم دین پنڈی"/>
    <s v="PP"/>
    <n v="7"/>
    <s v="15"/>
    <s v="PP"/>
    <n v="600"/>
    <s v="PP"/>
    <n v="3"/>
    <n v="107.42"/>
    <n v="2.7"/>
    <m/>
    <m/>
    <n v="104.72"/>
    <s v="620.41999999999996"/>
    <m/>
    <m/>
    <m/>
    <n v="0"/>
    <n v="0"/>
    <m/>
    <m/>
    <m/>
    <m/>
    <m/>
    <m/>
    <m/>
    <m/>
    <n v="0"/>
    <n v="0"/>
    <n v="0"/>
    <n v="12"/>
    <n v="12"/>
    <m/>
    <m/>
    <n v="0"/>
    <n v="112.42"/>
    <m/>
    <x v="27"/>
    <m/>
    <m/>
    <m/>
    <m/>
  </r>
  <r>
    <x v="0"/>
    <x v="0"/>
    <s v="2.5/14"/>
    <x v="238"/>
    <s v="سٹاک"/>
    <s v="PP"/>
    <n v="2.5"/>
    <s v="5.5-6"/>
    <s v="PP"/>
    <s v="15 رول بیگ"/>
    <s v="PP"/>
    <n v="7"/>
    <n v="128.04999999999998"/>
    <n v="1.75"/>
    <m/>
    <m/>
    <n v="126.29999999999998"/>
    <s v="713.33000000000015"/>
    <m/>
    <m/>
    <m/>
    <n v="0"/>
    <n v="0"/>
    <m/>
    <m/>
    <m/>
    <m/>
    <m/>
    <m/>
    <m/>
    <m/>
    <n v="0"/>
    <n v="0"/>
    <n v="0"/>
    <n v="12"/>
    <n v="12"/>
    <m/>
    <m/>
    <n v="0"/>
    <n v="133.04999999999998"/>
    <m/>
    <x v="27"/>
    <m/>
    <m/>
    <m/>
    <m/>
  </r>
  <r>
    <x v="1"/>
    <x v="0"/>
    <s v="2.5/14"/>
    <x v="238"/>
    <s v="سٹاک"/>
    <s v="PP"/>
    <n v="2.5"/>
    <s v="5.5-6"/>
    <s v="PP"/>
    <s v="15 رول بیگ"/>
    <s v="PP"/>
    <n v="8"/>
    <n v="131.07000000000002"/>
    <n v="2"/>
    <m/>
    <m/>
    <n v="129.07000000000002"/>
    <s v="713.33000000000015"/>
    <m/>
    <m/>
    <m/>
    <n v="0"/>
    <n v="0"/>
    <m/>
    <m/>
    <m/>
    <m/>
    <m/>
    <m/>
    <m/>
    <m/>
    <n v="0"/>
    <n v="0"/>
    <n v="0"/>
    <n v="12"/>
    <n v="12"/>
    <m/>
    <m/>
    <n v="0"/>
    <n v="136.07000000000002"/>
    <m/>
    <x v="27"/>
    <m/>
    <m/>
    <m/>
    <m/>
  </r>
  <r>
    <x v="0"/>
    <x v="1"/>
    <s v="6/12"/>
    <x v="238"/>
    <s v="سٹاک"/>
    <s v="PP"/>
    <n v="6"/>
    <n v="5"/>
    <s v="PP"/>
    <n v="1500"/>
    <s v="PP"/>
    <n v="6"/>
    <n v="147.15"/>
    <n v="3.5999999999999996"/>
    <m/>
    <m/>
    <n v="143.55000000000001"/>
    <s v="1576.9800000000002"/>
    <m/>
    <m/>
    <m/>
    <n v="0"/>
    <n v="0"/>
    <m/>
    <m/>
    <m/>
    <m/>
    <m/>
    <m/>
    <m/>
    <m/>
    <n v="0"/>
    <n v="0"/>
    <n v="0"/>
    <n v="12"/>
    <n v="12"/>
    <m/>
    <m/>
    <n v="0"/>
    <n v="152.15"/>
    <m/>
    <x v="27"/>
    <m/>
    <m/>
    <m/>
    <m/>
  </r>
  <r>
    <x v="1"/>
    <x v="1"/>
    <s v="6/12"/>
    <x v="238"/>
    <s v="سٹاک"/>
    <s v="PP"/>
    <n v="6"/>
    <n v="5"/>
    <s v="PP"/>
    <n v="1500"/>
    <s v="PP"/>
    <n v="7"/>
    <n v="169.91"/>
    <n v="4.2"/>
    <m/>
    <m/>
    <n v="165.71"/>
    <s v="1576.9800000000002"/>
    <m/>
    <m/>
    <m/>
    <n v="0"/>
    <n v="0"/>
    <m/>
    <m/>
    <m/>
    <m/>
    <m/>
    <m/>
    <m/>
    <m/>
    <n v="0"/>
    <n v="0"/>
    <n v="0"/>
    <n v="12"/>
    <n v="12"/>
    <m/>
    <m/>
    <n v="0"/>
    <n v="174.91"/>
    <m/>
    <x v="27"/>
    <m/>
    <m/>
    <m/>
    <m/>
  </r>
  <r>
    <x v="0"/>
    <x v="3"/>
    <s v="7426 J"/>
    <x v="238"/>
    <s v="Jilani Poly Stock"/>
    <s v="PP"/>
    <n v="16"/>
    <s v="5-5.5"/>
    <s v="PP"/>
    <s v="-"/>
    <s v="PP"/>
    <n v="11"/>
    <n v="699.56"/>
    <n v="17.600000000000001"/>
    <n v="6"/>
    <m/>
    <n v="681.95999999999992"/>
    <s v="1442.8799999999999"/>
    <m/>
    <m/>
    <m/>
    <n v="0"/>
    <n v="0"/>
    <m/>
    <m/>
    <m/>
    <m/>
    <m/>
    <m/>
    <m/>
    <m/>
    <n v="0"/>
    <n v="0"/>
    <n v="0"/>
    <n v="12"/>
    <n v="12"/>
    <m/>
    <m/>
    <n v="0"/>
    <n v="704.56"/>
    <m/>
    <x v="27"/>
    <m/>
    <m/>
    <m/>
    <m/>
  </r>
  <r>
    <x v="1"/>
    <x v="3"/>
    <s v="7426 J"/>
    <x v="238"/>
    <s v="Jilani Poly Stock"/>
    <s v="PP"/>
    <n v="16"/>
    <s v="5-5.5"/>
    <s v="PP"/>
    <s v="-"/>
    <s v="PP"/>
    <n v="11"/>
    <n v="676.22"/>
    <n v="17.600000000000001"/>
    <m/>
    <m/>
    <n v="658.62"/>
    <s v="1442.8799999999999"/>
    <m/>
    <m/>
    <m/>
    <n v="0"/>
    <n v="0"/>
    <m/>
    <m/>
    <m/>
    <m/>
    <m/>
    <m/>
    <m/>
    <m/>
    <n v="0"/>
    <n v="0"/>
    <n v="0"/>
    <n v="12"/>
    <n v="12"/>
    <m/>
    <m/>
    <n v="0"/>
    <n v="681.22"/>
    <m/>
    <x v="27"/>
    <m/>
    <m/>
    <m/>
    <m/>
  </r>
  <r>
    <x v="0"/>
    <x v="4"/>
    <s v="7785/1"/>
    <x v="238"/>
    <s v="ایم دین پنڈی"/>
    <s v="PP"/>
    <n v="7"/>
    <s v="15"/>
    <s v="PP"/>
    <n v="600"/>
    <s v="PP"/>
    <n v="13"/>
    <n v="440.56"/>
    <n v="9.1"/>
    <n v="4"/>
    <m/>
    <n v="431.46"/>
    <s v="620.41999999999996"/>
    <m/>
    <m/>
    <m/>
    <n v="0"/>
    <n v="0"/>
    <m/>
    <m/>
    <m/>
    <m/>
    <m/>
    <m/>
    <m/>
    <m/>
    <n v="0"/>
    <n v="0"/>
    <n v="0"/>
    <n v="12"/>
    <n v="12"/>
    <m/>
    <m/>
    <n v="0"/>
    <n v="445.56"/>
    <m/>
    <x v="27"/>
    <m/>
    <m/>
    <m/>
    <m/>
  </r>
  <r>
    <x v="1"/>
    <x v="4"/>
    <s v="7785/1"/>
    <x v="238"/>
    <s v="ایم دین پنڈی"/>
    <s v="PP"/>
    <n v="7"/>
    <s v="15"/>
    <s v="PP"/>
    <n v="600"/>
    <s v="PP"/>
    <n v="2"/>
    <n v="85.639999999999986"/>
    <n v="1.4"/>
    <n v="24"/>
    <m/>
    <n v="84.239999999999981"/>
    <s v="620.41999999999996"/>
    <n v="30"/>
    <m/>
    <m/>
    <n v="30"/>
    <n v="0.5"/>
    <m/>
    <m/>
    <m/>
    <m/>
    <m/>
    <m/>
    <n v="20"/>
    <m/>
    <n v="20"/>
    <n v="0.33333333333333331"/>
    <n v="0.83333333333333326"/>
    <n v="11.166666666666666"/>
    <n v="12"/>
    <m/>
    <m/>
    <n v="0"/>
    <n v="90.639999999999986"/>
    <m/>
    <x v="27"/>
    <m/>
    <m/>
    <m/>
    <m/>
  </r>
  <r>
    <x v="1"/>
    <x v="4"/>
    <s v="7785/2"/>
    <x v="238"/>
    <s v="ایم دین پنڈی"/>
    <s v="PP"/>
    <n v="9"/>
    <s v="15"/>
    <s v="PP"/>
    <n v="600"/>
    <s v="PP"/>
    <n v="9"/>
    <n v="405.56"/>
    <n v="8.1"/>
    <m/>
    <m/>
    <n v="397.46"/>
    <s v="612.29999999999995"/>
    <m/>
    <m/>
    <m/>
    <n v="0"/>
    <n v="0"/>
    <m/>
    <m/>
    <m/>
    <m/>
    <m/>
    <m/>
    <m/>
    <m/>
    <n v="0"/>
    <n v="0"/>
    <n v="0"/>
    <n v="12"/>
    <n v="12"/>
    <m/>
    <m/>
    <n v="0"/>
    <n v="410.56"/>
    <m/>
    <x v="27"/>
    <m/>
    <m/>
    <m/>
    <m/>
  </r>
  <r>
    <x v="0"/>
    <x v="0"/>
    <s v="2.5/14"/>
    <x v="239"/>
    <s v="سٹاک"/>
    <s v="PP"/>
    <n v="2.5"/>
    <s v="5.5-6"/>
    <s v="PP"/>
    <s v="15 رول بیگ"/>
    <s v="PP"/>
    <n v="7"/>
    <n v="137.55000000000001"/>
    <n v="1.75"/>
    <m/>
    <m/>
    <n v="135.80000000000001"/>
    <s v="713.33000000000015"/>
    <m/>
    <m/>
    <m/>
    <n v="0"/>
    <n v="0"/>
    <m/>
    <m/>
    <m/>
    <m/>
    <m/>
    <m/>
    <m/>
    <m/>
    <n v="0"/>
    <n v="0"/>
    <n v="0"/>
    <n v="12"/>
    <n v="12"/>
    <m/>
    <m/>
    <n v="0"/>
    <n v="142.55000000000001"/>
    <m/>
    <x v="27"/>
    <m/>
    <m/>
    <m/>
    <m/>
  </r>
  <r>
    <x v="1"/>
    <x v="0"/>
    <s v="2.5/14"/>
    <x v="239"/>
    <s v="سٹاک"/>
    <s v="PP"/>
    <n v="2.5"/>
    <s v="5.5-6"/>
    <s v="PP"/>
    <s v="15 رول بیگ"/>
    <s v="PP"/>
    <n v="3"/>
    <n v="52.47"/>
    <n v="0.75"/>
    <m/>
    <m/>
    <n v="51.72"/>
    <s v="713.33000000000015"/>
    <m/>
    <m/>
    <m/>
    <n v="0"/>
    <n v="0"/>
    <m/>
    <m/>
    <m/>
    <m/>
    <m/>
    <m/>
    <m/>
    <m/>
    <n v="0"/>
    <n v="0"/>
    <n v="0"/>
    <n v="12"/>
    <n v="12"/>
    <m/>
    <m/>
    <n v="0"/>
    <n v="57.47"/>
    <m/>
    <x v="27"/>
    <m/>
    <m/>
    <m/>
    <m/>
  </r>
  <r>
    <x v="1"/>
    <x v="0"/>
    <s v="7771/1"/>
    <x v="239"/>
    <s v="ہجویری ٹریڈرز اردو بازار"/>
    <s v="PP"/>
    <n v="2"/>
    <s v="12"/>
    <s v="PP"/>
    <n v="600"/>
    <s v="PP"/>
    <n v="6"/>
    <n v="80.02000000000001"/>
    <n v="1.2000000000000002"/>
    <m/>
    <m/>
    <n v="78.820000000000007"/>
    <s v="1094.5000000000002"/>
    <n v="25"/>
    <m/>
    <m/>
    <n v="25"/>
    <n v="0.41666666666666674"/>
    <m/>
    <m/>
    <m/>
    <m/>
    <m/>
    <m/>
    <m/>
    <m/>
    <n v="0"/>
    <n v="0"/>
    <n v="0.41666666666666674"/>
    <n v="11.583333333333334"/>
    <n v="12"/>
    <m/>
    <m/>
    <n v="0"/>
    <n v="85.02000000000001"/>
    <m/>
    <x v="27"/>
    <m/>
    <m/>
    <m/>
    <m/>
  </r>
  <r>
    <x v="0"/>
    <x v="1"/>
    <s v="6/12"/>
    <x v="239"/>
    <s v="سٹاک"/>
    <s v="PP"/>
    <n v="6"/>
    <n v="5"/>
    <s v="PP"/>
    <n v="1500"/>
    <s v="PP"/>
    <n v="7"/>
    <n v="187.98000000000002"/>
    <n v="4.2"/>
    <m/>
    <m/>
    <n v="183.78000000000003"/>
    <s v="1576.9800000000002"/>
    <m/>
    <m/>
    <m/>
    <n v="0"/>
    <n v="0"/>
    <m/>
    <m/>
    <m/>
    <m/>
    <m/>
    <m/>
    <m/>
    <m/>
    <n v="0"/>
    <n v="0"/>
    <n v="0"/>
    <n v="12"/>
    <n v="12"/>
    <m/>
    <m/>
    <n v="0"/>
    <n v="192.98"/>
    <m/>
    <x v="27"/>
    <m/>
    <m/>
    <m/>
    <m/>
  </r>
  <r>
    <x v="1"/>
    <x v="1"/>
    <s v="6/12"/>
    <x v="239"/>
    <s v="سٹاک"/>
    <s v="PP"/>
    <n v="6"/>
    <n v="5"/>
    <s v="PP"/>
    <n v="1500"/>
    <s v="PP"/>
    <n v="7"/>
    <n v="152.86999999999998"/>
    <n v="4.2"/>
    <m/>
    <m/>
    <n v="148.66999999999999"/>
    <s v="1576.9800000000002"/>
    <m/>
    <m/>
    <m/>
    <n v="0"/>
    <n v="0"/>
    <m/>
    <m/>
    <m/>
    <m/>
    <m/>
    <m/>
    <m/>
    <m/>
    <n v="0"/>
    <n v="0"/>
    <n v="0"/>
    <n v="12"/>
    <n v="12"/>
    <m/>
    <m/>
    <n v="0"/>
    <n v="157.86999999999998"/>
    <m/>
    <x v="27"/>
    <m/>
    <m/>
    <m/>
    <m/>
  </r>
  <r>
    <x v="0"/>
    <x v="3"/>
    <s v="7426 J"/>
    <x v="239"/>
    <s v="Jilani Poly Stock"/>
    <s v="PP"/>
    <n v="16"/>
    <s v="5-5.5"/>
    <s v="PP"/>
    <s v="-"/>
    <s v="PP"/>
    <n v="1"/>
    <n v="48.14"/>
    <n v="1.6"/>
    <m/>
    <m/>
    <n v="46.54"/>
    <s v="1442.8799999999999"/>
    <m/>
    <m/>
    <m/>
    <n v="0"/>
    <n v="0"/>
    <m/>
    <m/>
    <m/>
    <m/>
    <m/>
    <m/>
    <m/>
    <m/>
    <n v="0"/>
    <n v="0"/>
    <n v="0"/>
    <n v="12"/>
    <n v="12"/>
    <m/>
    <m/>
    <n v="0"/>
    <n v="53.14"/>
    <m/>
    <x v="27"/>
    <m/>
    <m/>
    <m/>
    <m/>
  </r>
  <r>
    <x v="0"/>
    <x v="3"/>
    <s v="2995 F"/>
    <x v="239"/>
    <s v="Usman Amin"/>
    <s v="PP"/>
    <n v="16.2"/>
    <s v="-"/>
    <s v="PP"/>
    <n v="3000"/>
    <s v="PP"/>
    <n v="12"/>
    <n v="664.24"/>
    <n v="21.089999999999996"/>
    <m/>
    <m/>
    <n v="643.15"/>
    <s v="7934.61"/>
    <m/>
    <m/>
    <m/>
    <n v="0"/>
    <n v="0"/>
    <m/>
    <m/>
    <m/>
    <m/>
    <m/>
    <m/>
    <m/>
    <m/>
    <n v="0"/>
    <n v="0"/>
    <n v="0"/>
    <n v="12"/>
    <n v="12"/>
    <m/>
    <m/>
    <n v="0"/>
    <n v="669.24"/>
    <m/>
    <x v="27"/>
    <m/>
    <m/>
    <m/>
    <m/>
  </r>
  <r>
    <x v="1"/>
    <x v="3"/>
    <s v="2995 F"/>
    <x v="239"/>
    <s v="Usman Amin"/>
    <s v="PP"/>
    <n v="16.2"/>
    <s v="-"/>
    <s v="PP"/>
    <n v="3000"/>
    <s v="PP"/>
    <n v="11"/>
    <n v="683.88999999999987"/>
    <n v="20.9"/>
    <m/>
    <m/>
    <n v="662.9899999999999"/>
    <s v="7934.61"/>
    <m/>
    <m/>
    <m/>
    <n v="0"/>
    <n v="0"/>
    <m/>
    <m/>
    <m/>
    <m/>
    <m/>
    <m/>
    <m/>
    <m/>
    <n v="0"/>
    <n v="0"/>
    <n v="0"/>
    <n v="12"/>
    <n v="12"/>
    <m/>
    <m/>
    <n v="0"/>
    <n v="688.88999999999987"/>
    <m/>
    <x v="27"/>
    <m/>
    <m/>
    <m/>
    <m/>
  </r>
  <r>
    <x v="0"/>
    <x v="4"/>
    <s v="7785/2"/>
    <x v="239"/>
    <s v="ایم دین پنڈی"/>
    <s v="PP"/>
    <n v="9"/>
    <s v="15"/>
    <s v="PP"/>
    <n v="600"/>
    <s v="PP"/>
    <n v="4"/>
    <n v="219.64"/>
    <n v="4.8"/>
    <m/>
    <m/>
    <n v="214.83999999999997"/>
    <s v="612.29999999999995"/>
    <m/>
    <m/>
    <m/>
    <n v="0"/>
    <n v="0"/>
    <m/>
    <m/>
    <m/>
    <m/>
    <m/>
    <m/>
    <m/>
    <m/>
    <n v="0"/>
    <n v="0"/>
    <n v="0"/>
    <n v="12"/>
    <n v="12"/>
    <m/>
    <m/>
    <n v="0"/>
    <n v="224.64"/>
    <m/>
    <x v="27"/>
    <m/>
    <m/>
    <m/>
    <m/>
  </r>
  <r>
    <x v="0"/>
    <x v="4"/>
    <s v="7782/1"/>
    <x v="239"/>
    <s v="آصف پلاسٹک سرگودھا"/>
    <s v="PP"/>
    <n v="9"/>
    <s v="4.5"/>
    <s v="PP"/>
    <n v="100"/>
    <s v="PP"/>
    <n v="4"/>
    <n v="116.38"/>
    <n v="4.4000000000000004"/>
    <m/>
    <m/>
    <n v="111.97999999999999"/>
    <s v="347.71999999999997"/>
    <n v="30"/>
    <m/>
    <m/>
    <n v="30"/>
    <n v="0.5"/>
    <m/>
    <m/>
    <m/>
    <m/>
    <m/>
    <m/>
    <m/>
    <m/>
    <n v="0"/>
    <n v="0"/>
    <n v="0.5"/>
    <n v="11.5"/>
    <n v="12"/>
    <m/>
    <m/>
    <n v="0"/>
    <n v="121.38"/>
    <m/>
    <x v="27"/>
    <m/>
    <m/>
    <m/>
    <m/>
  </r>
  <r>
    <x v="0"/>
    <x v="4"/>
    <s v="7759/1"/>
    <x v="239"/>
    <s v="فہیم پلاسٹک ملتان"/>
    <s v="PP"/>
    <n v="11"/>
    <s v="7"/>
    <s v="PP"/>
    <n v="100"/>
    <s v="PP"/>
    <n v="3"/>
    <n v="146.97999999999999"/>
    <n v="3.3000000000000003"/>
    <n v="20"/>
    <m/>
    <n v="143.67999999999998"/>
    <s v="143.67999999999998"/>
    <m/>
    <m/>
    <m/>
    <n v="0"/>
    <n v="0"/>
    <m/>
    <m/>
    <m/>
    <m/>
    <m/>
    <m/>
    <m/>
    <m/>
    <n v="0"/>
    <n v="0"/>
    <n v="0"/>
    <n v="12"/>
    <n v="12"/>
    <m/>
    <m/>
    <n v="0"/>
    <n v="151.97999999999999"/>
    <m/>
    <x v="27"/>
    <m/>
    <m/>
    <m/>
    <m/>
  </r>
  <r>
    <x v="1"/>
    <x v="4"/>
    <s v="11/9"/>
    <x v="239"/>
    <s v="سٹاک"/>
    <s v="PP"/>
    <n v="11"/>
    <s v="5-5.5"/>
    <s v="PP"/>
    <n v="1000"/>
    <s v="PP"/>
    <n v="10"/>
    <n v="485.57000000000005"/>
    <n v="11"/>
    <n v="23"/>
    <m/>
    <n v="474.57000000000005"/>
    <s v="1299.1200000000001"/>
    <m/>
    <m/>
    <m/>
    <n v="0"/>
    <n v="0"/>
    <m/>
    <m/>
    <m/>
    <m/>
    <m/>
    <m/>
    <m/>
    <m/>
    <n v="0"/>
    <n v="0"/>
    <n v="0"/>
    <n v="12"/>
    <n v="12"/>
    <m/>
    <m/>
    <n v="0"/>
    <n v="490.57000000000011"/>
    <m/>
    <x v="27"/>
    <m/>
    <m/>
    <m/>
    <m/>
  </r>
  <r>
    <x v="0"/>
    <x v="0"/>
    <s v="7771/1"/>
    <x v="240"/>
    <s v="ہجویری ٹریڈرز اردو بازار"/>
    <s v="PP"/>
    <n v="2"/>
    <s v="12"/>
    <s v="PP"/>
    <n v="600"/>
    <s v="PP"/>
    <n v="11"/>
    <n v="148.44"/>
    <n v="2.2000000000000002"/>
    <m/>
    <m/>
    <n v="146.24"/>
    <s v="1094.5000000000002"/>
    <m/>
    <m/>
    <m/>
    <n v="0"/>
    <n v="0"/>
    <m/>
    <m/>
    <m/>
    <m/>
    <m/>
    <m/>
    <m/>
    <m/>
    <n v="0"/>
    <n v="0"/>
    <n v="0"/>
    <n v="12"/>
    <n v="12"/>
    <m/>
    <m/>
    <n v="0"/>
    <n v="153.44"/>
    <m/>
    <x v="28"/>
    <m/>
    <m/>
    <m/>
    <m/>
  </r>
  <r>
    <x v="1"/>
    <x v="0"/>
    <s v="7771/1"/>
    <x v="240"/>
    <s v="ہجویری ٹریڈرز اردو بازار"/>
    <s v="PP"/>
    <n v="2"/>
    <s v="12"/>
    <s v="PP"/>
    <n v="600"/>
    <s v="PP"/>
    <n v="12"/>
    <n v="160.05000000000001"/>
    <n v="2.4000000000000004"/>
    <m/>
    <m/>
    <n v="157.65"/>
    <s v="1094.5000000000002"/>
    <m/>
    <m/>
    <m/>
    <n v="0"/>
    <n v="0"/>
    <m/>
    <m/>
    <m/>
    <m/>
    <m/>
    <m/>
    <m/>
    <m/>
    <n v="0"/>
    <n v="0"/>
    <n v="0"/>
    <n v="12"/>
    <n v="12"/>
    <m/>
    <m/>
    <n v="0"/>
    <n v="165.05"/>
    <m/>
    <x v="28"/>
    <m/>
    <m/>
    <m/>
    <m/>
  </r>
  <r>
    <x v="0"/>
    <x v="1"/>
    <s v="6/12"/>
    <x v="240"/>
    <s v="سٹاک"/>
    <s v="PP"/>
    <n v="6"/>
    <n v="5"/>
    <s v="PP"/>
    <n v="1500"/>
    <s v="PP"/>
    <n v="3"/>
    <n v="76.989999999999995"/>
    <n v="1.7999999999999998"/>
    <m/>
    <m/>
    <n v="75.19"/>
    <s v="1576.9800000000002"/>
    <m/>
    <m/>
    <m/>
    <n v="0"/>
    <n v="0"/>
    <m/>
    <m/>
    <m/>
    <m/>
    <m/>
    <m/>
    <m/>
    <m/>
    <n v="0"/>
    <n v="0"/>
    <n v="0"/>
    <n v="12"/>
    <n v="12"/>
    <m/>
    <m/>
    <n v="0"/>
    <n v="81.99"/>
    <m/>
    <x v="28"/>
    <m/>
    <m/>
    <m/>
    <m/>
  </r>
  <r>
    <x v="0"/>
    <x v="1"/>
    <s v="7782/10"/>
    <x v="240"/>
    <s v="آصف پلاسٹک سرگودھا"/>
    <s v="PP"/>
    <n v="4.5"/>
    <s v="4.5"/>
    <s v="PP"/>
    <n v="150"/>
    <s v="PP"/>
    <n v="3"/>
    <n v="53.22"/>
    <n v="1.35"/>
    <m/>
    <m/>
    <n v="51.87"/>
    <s v="153.54"/>
    <n v="20"/>
    <m/>
    <m/>
    <n v="20"/>
    <n v="0.33333333333333331"/>
    <m/>
    <m/>
    <m/>
    <m/>
    <m/>
    <m/>
    <m/>
    <m/>
    <n v="0"/>
    <n v="0"/>
    <n v="0.33333333333333331"/>
    <n v="11.666666666666666"/>
    <n v="12"/>
    <m/>
    <m/>
    <n v="0"/>
    <n v="58.22"/>
    <m/>
    <x v="28"/>
    <m/>
    <m/>
    <m/>
    <m/>
  </r>
  <r>
    <x v="1"/>
    <x v="1"/>
    <s v="7782/10"/>
    <x v="240"/>
    <s v="آصف پلاسٹک سرگودھا"/>
    <s v="PP"/>
    <n v="4.5"/>
    <s v="4.5"/>
    <s v="PP"/>
    <n v="150"/>
    <s v="PP"/>
    <n v="6"/>
    <n v="104.36999999999999"/>
    <n v="2.7"/>
    <m/>
    <m/>
    <n v="101.66999999999999"/>
    <s v="153.54"/>
    <n v="20"/>
    <m/>
    <m/>
    <n v="20"/>
    <n v="0.33333333333333331"/>
    <m/>
    <m/>
    <m/>
    <m/>
    <m/>
    <m/>
    <n v="25"/>
    <m/>
    <n v="25"/>
    <n v="0.41666666666666674"/>
    <n v="0.75"/>
    <n v="11.25"/>
    <n v="12"/>
    <m/>
    <m/>
    <n v="0"/>
    <n v="109.37"/>
    <m/>
    <x v="28"/>
    <m/>
    <m/>
    <m/>
    <m/>
  </r>
  <r>
    <x v="1"/>
    <x v="1"/>
    <s v="7782/11"/>
    <x v="240"/>
    <s v="آصف پلاسٹک سرگودھا"/>
    <s v="PP"/>
    <n v="3.5"/>
    <s v="4.5"/>
    <s v="PP"/>
    <n v="250"/>
    <s v="PP"/>
    <n v="2"/>
    <n v="30.91"/>
    <n v="0.7"/>
    <m/>
    <m/>
    <n v="30.21"/>
    <s v="30.21"/>
    <m/>
    <m/>
    <m/>
    <n v="0"/>
    <n v="0"/>
    <m/>
    <m/>
    <m/>
    <m/>
    <m/>
    <m/>
    <m/>
    <m/>
    <n v="0"/>
    <n v="0"/>
    <n v="0"/>
    <n v="12"/>
    <n v="12"/>
    <m/>
    <m/>
    <n v="0"/>
    <n v="35.909999999999997"/>
    <m/>
    <x v="28"/>
    <m/>
    <m/>
    <m/>
    <m/>
  </r>
  <r>
    <x v="0"/>
    <x v="3"/>
    <s v="2995 F"/>
    <x v="240"/>
    <s v="Usman Amin"/>
    <s v="PP"/>
    <n v="16.2"/>
    <s v="-"/>
    <s v="PP"/>
    <n v="3000"/>
    <s v="PP"/>
    <n v="13"/>
    <n v="747.29000000000008"/>
    <n v="24.7"/>
    <n v="13"/>
    <m/>
    <n v="722.59"/>
    <s v="7934.61"/>
    <m/>
    <m/>
    <m/>
    <n v="0"/>
    <n v="0"/>
    <m/>
    <m/>
    <m/>
    <m/>
    <m/>
    <m/>
    <m/>
    <m/>
    <n v="0"/>
    <n v="0"/>
    <n v="0"/>
    <n v="12"/>
    <n v="12"/>
    <m/>
    <m/>
    <n v="0"/>
    <n v="752.29"/>
    <m/>
    <x v="28"/>
    <m/>
    <m/>
    <m/>
    <m/>
  </r>
  <r>
    <x v="1"/>
    <x v="3"/>
    <s v="2995 F"/>
    <x v="240"/>
    <s v="Usman Amin"/>
    <s v="PP"/>
    <n v="16.2"/>
    <s v="-"/>
    <s v="PP"/>
    <n v="3000"/>
    <s v="PP"/>
    <n v="13"/>
    <n v="758.21"/>
    <n v="26"/>
    <n v="23"/>
    <m/>
    <n v="732.21"/>
    <s v="7934.61"/>
    <m/>
    <m/>
    <m/>
    <n v="0"/>
    <n v="0"/>
    <m/>
    <m/>
    <m/>
    <m/>
    <m/>
    <m/>
    <m/>
    <m/>
    <n v="0"/>
    <n v="0"/>
    <n v="0"/>
    <n v="12"/>
    <n v="12"/>
    <m/>
    <m/>
    <n v="0"/>
    <n v="763.21"/>
    <m/>
    <x v="28"/>
    <m/>
    <m/>
    <m/>
    <m/>
  </r>
  <r>
    <x v="0"/>
    <x v="4"/>
    <s v="11/9"/>
    <x v="240"/>
    <s v="سٹاک"/>
    <s v="PP"/>
    <n v="11"/>
    <s v="5-5.5"/>
    <s v="PP"/>
    <n v="1000"/>
    <s v="PP"/>
    <n v="12"/>
    <n v="591.12"/>
    <n v="15.600000000000001"/>
    <n v="2.5"/>
    <m/>
    <n v="575.52"/>
    <s v="1299.1200000000001"/>
    <m/>
    <m/>
    <m/>
    <n v="0"/>
    <n v="0"/>
    <m/>
    <m/>
    <m/>
    <m/>
    <m/>
    <m/>
    <m/>
    <m/>
    <n v="0"/>
    <n v="0"/>
    <n v="0"/>
    <n v="12"/>
    <n v="12"/>
    <m/>
    <m/>
    <n v="0"/>
    <n v="596.12"/>
    <m/>
    <x v="28"/>
    <m/>
    <m/>
    <m/>
    <m/>
  </r>
  <r>
    <x v="1"/>
    <x v="4"/>
    <s v="11/9"/>
    <x v="240"/>
    <s v="سٹاک"/>
    <s v="PP"/>
    <n v="11"/>
    <s v="5-5.5"/>
    <s v="PP"/>
    <n v="1000"/>
    <s v="PP"/>
    <n v="5"/>
    <n v="255.52999999999997"/>
    <n v="6.5"/>
    <n v="2.5"/>
    <m/>
    <n v="249.02999999999997"/>
    <s v="1299.1200000000001"/>
    <m/>
    <m/>
    <m/>
    <n v="0"/>
    <n v="0"/>
    <m/>
    <m/>
    <m/>
    <m/>
    <m/>
    <m/>
    <m/>
    <m/>
    <n v="0"/>
    <n v="0"/>
    <n v="0"/>
    <n v="12"/>
    <n v="12"/>
    <m/>
    <m/>
    <n v="0"/>
    <n v="260.52999999999997"/>
    <m/>
    <x v="28"/>
    <m/>
    <m/>
    <m/>
    <m/>
  </r>
  <r>
    <x v="1"/>
    <x v="4"/>
    <s v="7797/5"/>
    <x v="240"/>
    <s v="ایم دین پنڈی"/>
    <s v="PP"/>
    <n v="10"/>
    <s v="11"/>
    <s v="PP"/>
    <n v="150"/>
    <s v="PP"/>
    <n v="4"/>
    <n v="168.10000000000002"/>
    <n v="4"/>
    <m/>
    <m/>
    <n v="164.10000000000002"/>
    <s v="164.10000000000002"/>
    <m/>
    <m/>
    <m/>
    <n v="0"/>
    <n v="0"/>
    <m/>
    <m/>
    <m/>
    <m/>
    <m/>
    <m/>
    <m/>
    <m/>
    <n v="0"/>
    <n v="0"/>
    <n v="0"/>
    <n v="12"/>
    <n v="12"/>
    <m/>
    <m/>
    <n v="0"/>
    <n v="173.10000000000002"/>
    <m/>
    <x v="28"/>
    <m/>
    <m/>
    <m/>
    <m/>
  </r>
  <r>
    <x v="1"/>
    <x v="4"/>
    <s v="7795/1"/>
    <x v="240"/>
    <s v="عمیر خالد محمود رائے ونڈ"/>
    <s v="PP"/>
    <n v="11"/>
    <s v="4"/>
    <s v="PP"/>
    <n v="100"/>
    <s v="PP"/>
    <n v="4"/>
    <n v="131.05000000000001"/>
    <n v="5.3000000000000007"/>
    <m/>
    <m/>
    <n v="125.75000000000001"/>
    <s v="125.75000000000001"/>
    <n v="25"/>
    <m/>
    <m/>
    <n v="25"/>
    <n v="0.41666666666666674"/>
    <m/>
    <m/>
    <m/>
    <m/>
    <m/>
    <m/>
    <m/>
    <m/>
    <n v="0"/>
    <n v="0"/>
    <n v="0.41666666666666674"/>
    <n v="11.583333333333334"/>
    <n v="12"/>
    <m/>
    <m/>
    <n v="0"/>
    <n v="136.05000000000001"/>
    <m/>
    <x v="28"/>
    <m/>
    <m/>
    <m/>
    <m/>
  </r>
  <r>
    <x v="1"/>
    <x v="4"/>
    <s v="7797/9"/>
    <x v="240"/>
    <s v="-"/>
    <m/>
    <m/>
    <m/>
    <m/>
    <m/>
    <s v="PP"/>
    <n v="2"/>
    <n v="79.199999999999989"/>
    <n v="2"/>
    <m/>
    <m/>
    <n v="77.199999999999989"/>
    <s v="77.199999999999989"/>
    <m/>
    <m/>
    <m/>
    <n v="0"/>
    <n v="0"/>
    <m/>
    <m/>
    <m/>
    <m/>
    <m/>
    <m/>
    <m/>
    <m/>
    <n v="0"/>
    <n v="0"/>
    <n v="0"/>
    <n v="12"/>
    <n v="12"/>
    <m/>
    <m/>
    <n v="0"/>
    <n v="84.199999999999989"/>
    <m/>
    <x v="28"/>
    <m/>
    <m/>
    <m/>
    <m/>
  </r>
  <r>
    <x v="0"/>
    <x v="0"/>
    <s v="7771/1"/>
    <x v="241"/>
    <s v="ہجویری ٹریڈرز اردو بازار"/>
    <s v="PP"/>
    <n v="2"/>
    <s v="12"/>
    <s v="PP"/>
    <n v="600"/>
    <s v="PP"/>
    <n v="5"/>
    <n v="63.99"/>
    <n v="1"/>
    <m/>
    <m/>
    <n v="62.99"/>
    <s v="1094.5000000000002"/>
    <n v="20"/>
    <m/>
    <m/>
    <n v="20"/>
    <n v="0.33333333333333331"/>
    <m/>
    <m/>
    <m/>
    <m/>
    <m/>
    <m/>
    <m/>
    <m/>
    <n v="0"/>
    <n v="0"/>
    <n v="0.33333333333333331"/>
    <n v="11.666666666666666"/>
    <n v="12"/>
    <m/>
    <m/>
    <n v="0"/>
    <n v="68.990000000000009"/>
    <m/>
    <x v="28"/>
    <m/>
    <m/>
    <m/>
    <m/>
  </r>
  <r>
    <x v="0"/>
    <x v="0"/>
    <s v="2.5/15"/>
    <x v="241"/>
    <s v="سٹاک"/>
    <s v="PP"/>
    <n v="2.5"/>
    <s v="5.5-6"/>
    <s v="PP"/>
    <n v="1000"/>
    <s v="PP"/>
    <n v="4"/>
    <n v="63"/>
    <n v="1.25"/>
    <m/>
    <m/>
    <n v="61.75"/>
    <s v="1142.6000000000001"/>
    <m/>
    <m/>
    <m/>
    <n v="0"/>
    <n v="0"/>
    <m/>
    <m/>
    <m/>
    <m/>
    <m/>
    <m/>
    <m/>
    <m/>
    <n v="0"/>
    <n v="0"/>
    <n v="0"/>
    <n v="12"/>
    <n v="12"/>
    <m/>
    <m/>
    <n v="0"/>
    <n v="68"/>
    <m/>
    <x v="28"/>
    <m/>
    <m/>
    <m/>
    <m/>
  </r>
  <r>
    <x v="1"/>
    <x v="0"/>
    <s v="2.5/15"/>
    <x v="241"/>
    <s v="سٹاک"/>
    <s v="PP"/>
    <n v="2.5"/>
    <s v="5.5-6"/>
    <s v="PP"/>
    <n v="1000"/>
    <s v="PP"/>
    <n v="9"/>
    <n v="127.76"/>
    <n v="2.25"/>
    <m/>
    <m/>
    <n v="125.51"/>
    <s v="1142.6000000000001"/>
    <m/>
    <m/>
    <m/>
    <n v="0"/>
    <n v="0"/>
    <m/>
    <m/>
    <m/>
    <m/>
    <m/>
    <m/>
    <m/>
    <m/>
    <n v="0"/>
    <n v="0"/>
    <n v="0"/>
    <n v="12"/>
    <n v="12"/>
    <m/>
    <m/>
    <n v="0"/>
    <n v="132.76"/>
    <m/>
    <x v="28"/>
    <m/>
    <m/>
    <m/>
    <m/>
  </r>
  <r>
    <x v="0"/>
    <x v="1"/>
    <s v="7782/1"/>
    <x v="241"/>
    <s v="آصف پلاسٹک سرگودھا"/>
    <s v="PP"/>
    <n v="9"/>
    <s v="4.5"/>
    <s v="PP"/>
    <n v="100"/>
    <s v="PP"/>
    <n v="11"/>
    <n v="167.20999999999998"/>
    <n v="3.8499999999999996"/>
    <m/>
    <m/>
    <n v="163.35999999999999"/>
    <s v="347.71999999999997"/>
    <m/>
    <m/>
    <m/>
    <n v="0"/>
    <n v="0"/>
    <m/>
    <m/>
    <m/>
    <m/>
    <m/>
    <m/>
    <m/>
    <m/>
    <n v="0"/>
    <n v="0"/>
    <n v="0"/>
    <n v="12"/>
    <n v="12"/>
    <m/>
    <m/>
    <n v="0"/>
    <n v="172.20999999999998"/>
    <m/>
    <x v="28"/>
    <m/>
    <m/>
    <m/>
    <m/>
  </r>
  <r>
    <x v="1"/>
    <x v="1"/>
    <s v="7782/1"/>
    <x v="241"/>
    <s v="آصف پلاسٹک سرگودھا"/>
    <s v="PP"/>
    <n v="9"/>
    <s v="4.5"/>
    <s v="PP"/>
    <n v="100"/>
    <s v="PP"/>
    <n v="5"/>
    <n v="74.13"/>
    <n v="1.75"/>
    <m/>
    <m/>
    <n v="72.38"/>
    <s v="347.71999999999997"/>
    <m/>
    <m/>
    <m/>
    <n v="0"/>
    <n v="0"/>
    <m/>
    <m/>
    <m/>
    <m/>
    <m/>
    <m/>
    <m/>
    <m/>
    <n v="0"/>
    <n v="0"/>
    <n v="0"/>
    <n v="12"/>
    <n v="12"/>
    <m/>
    <m/>
    <n v="0"/>
    <n v="79.13"/>
    <m/>
    <x v="28"/>
    <m/>
    <m/>
    <m/>
    <m/>
  </r>
  <r>
    <x v="1"/>
    <x v="1"/>
    <s v="4/18"/>
    <x v="241"/>
    <s v="سٹاک"/>
    <s v="PP"/>
    <n v="4"/>
    <s v="5-5.5"/>
    <s v="PP"/>
    <n v="1000"/>
    <s v="PP"/>
    <n v="5"/>
    <n v="76.410000000000011"/>
    <n v="2"/>
    <m/>
    <m/>
    <n v="74.410000000000011"/>
    <s v="1135.3999999999999"/>
    <n v="20"/>
    <m/>
    <m/>
    <n v="20"/>
    <n v="0.33333333333333331"/>
    <m/>
    <m/>
    <m/>
    <m/>
    <m/>
    <m/>
    <m/>
    <m/>
    <n v="0"/>
    <n v="0"/>
    <n v="0.33333333333333331"/>
    <n v="11.666666666666666"/>
    <n v="12"/>
    <m/>
    <m/>
    <n v="0"/>
    <n v="81.410000000000011"/>
    <m/>
    <x v="28"/>
    <m/>
    <m/>
    <m/>
    <m/>
  </r>
  <r>
    <x v="0"/>
    <x v="3"/>
    <s v="2995 F"/>
    <x v="241"/>
    <s v="Usman Amin"/>
    <s v="PP"/>
    <n v="16.2"/>
    <s v="-"/>
    <s v="PP"/>
    <n v="3000"/>
    <s v="PP"/>
    <n v="13"/>
    <n v="766.06999999999994"/>
    <n v="24.7"/>
    <n v="18"/>
    <m/>
    <n v="741.36999999999989"/>
    <s v="7934.61"/>
    <m/>
    <m/>
    <m/>
    <n v="0"/>
    <n v="0"/>
    <m/>
    <m/>
    <m/>
    <m/>
    <m/>
    <m/>
    <m/>
    <m/>
    <n v="0"/>
    <n v="0"/>
    <n v="0"/>
    <n v="12"/>
    <n v="12"/>
    <m/>
    <m/>
    <n v="0"/>
    <n v="771.07"/>
    <m/>
    <x v="28"/>
    <m/>
    <m/>
    <m/>
    <m/>
  </r>
  <r>
    <x v="1"/>
    <x v="3"/>
    <s v="2995 F"/>
    <x v="241"/>
    <s v="Usman Amin"/>
    <s v="PP"/>
    <n v="16.2"/>
    <s v="-"/>
    <s v="PP"/>
    <n v="3000"/>
    <s v="PP"/>
    <n v="13"/>
    <n v="718.11999999999989"/>
    <n v="24.7"/>
    <n v="26"/>
    <m/>
    <n v="693.41999999999985"/>
    <s v="7934.61"/>
    <m/>
    <m/>
    <m/>
    <n v="0"/>
    <n v="0"/>
    <m/>
    <m/>
    <m/>
    <m/>
    <m/>
    <m/>
    <m/>
    <m/>
    <n v="0"/>
    <n v="0"/>
    <n v="0"/>
    <n v="12"/>
    <n v="12"/>
    <m/>
    <m/>
    <n v="0"/>
    <n v="723.11999999999989"/>
    <m/>
    <x v="28"/>
    <m/>
    <m/>
    <m/>
    <m/>
  </r>
  <r>
    <x v="0"/>
    <x v="4"/>
    <s v="7797/4"/>
    <x v="241"/>
    <s v="ایم دین پنڈی"/>
    <s v="PP"/>
    <n v="10"/>
    <s v="15"/>
    <s v="PP"/>
    <n v="150"/>
    <s v="PP"/>
    <n v="2"/>
    <n v="89.38"/>
    <n v="0.2"/>
    <m/>
    <m/>
    <n v="89.179999999999993"/>
    <s v="89.179999999999993"/>
    <m/>
    <m/>
    <m/>
    <n v="0"/>
    <n v="0"/>
    <m/>
    <m/>
    <m/>
    <m/>
    <m/>
    <m/>
    <m/>
    <m/>
    <n v="0"/>
    <n v="0"/>
    <n v="0"/>
    <n v="12"/>
    <n v="12"/>
    <m/>
    <m/>
    <n v="0"/>
    <n v="94.38"/>
    <m/>
    <x v="28"/>
    <m/>
    <m/>
    <m/>
    <m/>
  </r>
  <r>
    <x v="0"/>
    <x v="4"/>
    <s v="7797/6"/>
    <x v="241"/>
    <s v="ایم دین پنڈی"/>
    <s v="PP"/>
    <n v="7"/>
    <s v="15"/>
    <s v="PP"/>
    <n v="600"/>
    <s v="PP"/>
    <n v="11"/>
    <n v="436.96999999999991"/>
    <n v="7.6999999999999993"/>
    <n v="3"/>
    <m/>
    <n v="429.26999999999992"/>
    <s v="581.81999999999994"/>
    <n v="30"/>
    <m/>
    <m/>
    <n v="30"/>
    <n v="0.5"/>
    <m/>
    <m/>
    <m/>
    <m/>
    <m/>
    <m/>
    <m/>
    <m/>
    <n v="0"/>
    <n v="0"/>
    <n v="0.5"/>
    <n v="11.5"/>
    <n v="12"/>
    <m/>
    <m/>
    <n v="0"/>
    <n v="441.96999999999991"/>
    <m/>
    <x v="28"/>
    <m/>
    <m/>
    <m/>
    <m/>
  </r>
  <r>
    <x v="1"/>
    <x v="4"/>
    <s v="7797/6"/>
    <x v="241"/>
    <s v="ایم دین پنڈی"/>
    <s v="PP"/>
    <n v="7"/>
    <s v="15"/>
    <s v="PP"/>
    <n v="600"/>
    <s v="PP"/>
    <n v="5"/>
    <n v="156.05000000000001"/>
    <n v="3.5"/>
    <n v="3"/>
    <m/>
    <n v="152.55000000000001"/>
    <s v="581.81999999999994"/>
    <n v="20"/>
    <m/>
    <m/>
    <n v="20"/>
    <n v="0.33333333333333331"/>
    <m/>
    <m/>
    <m/>
    <m/>
    <m/>
    <m/>
    <n v="30"/>
    <m/>
    <n v="30"/>
    <n v="0.5"/>
    <n v="0.83333333333333326"/>
    <n v="11.166666666666666"/>
    <n v="12"/>
    <m/>
    <m/>
    <n v="0"/>
    <n v="161.05000000000001"/>
    <m/>
    <x v="28"/>
    <m/>
    <m/>
    <m/>
    <m/>
  </r>
  <r>
    <x v="1"/>
    <x v="4"/>
    <s v="7797/2"/>
    <x v="241"/>
    <s v="ایم دین پنڈی"/>
    <s v="PP"/>
    <n v="7"/>
    <s v="15"/>
    <s v="PP"/>
    <n v="150"/>
    <s v="PP"/>
    <n v="4"/>
    <n v="121.91999999999999"/>
    <n v="3.5"/>
    <m/>
    <m/>
    <n v="118.41999999999999"/>
    <s v="118.41999999999999"/>
    <m/>
    <m/>
    <m/>
    <n v="0"/>
    <n v="0"/>
    <m/>
    <m/>
    <m/>
    <m/>
    <m/>
    <m/>
    <m/>
    <m/>
    <n v="0"/>
    <n v="0"/>
    <n v="0"/>
    <n v="12"/>
    <n v="12"/>
    <m/>
    <m/>
    <n v="0"/>
    <n v="126.92"/>
    <m/>
    <x v="28"/>
    <m/>
    <m/>
    <m/>
    <m/>
  </r>
  <r>
    <x v="1"/>
    <x v="4"/>
    <s v="7797/3"/>
    <x v="241"/>
    <s v="ایم دین پنڈی"/>
    <s v="PP"/>
    <n v="8"/>
    <s v="15"/>
    <s v="PP"/>
    <n v="300"/>
    <s v="PP"/>
    <n v="3"/>
    <n v="120.74000000000001"/>
    <n v="2.4000000000000004"/>
    <m/>
    <m/>
    <n v="118.34"/>
    <s v="266.69000000000005"/>
    <m/>
    <m/>
    <m/>
    <n v="0"/>
    <n v="0"/>
    <m/>
    <m/>
    <m/>
    <m/>
    <m/>
    <m/>
    <m/>
    <m/>
    <n v="0"/>
    <n v="0"/>
    <n v="0"/>
    <n v="12"/>
    <n v="12"/>
    <m/>
    <m/>
    <n v="0"/>
    <n v="125.74"/>
    <m/>
    <x v="28"/>
    <m/>
    <m/>
    <m/>
    <m/>
  </r>
  <r>
    <x v="0"/>
    <x v="0"/>
    <s v="2.5/15"/>
    <x v="242"/>
    <s v="سٹاک"/>
    <s v="PP"/>
    <n v="2.5"/>
    <s v="5.5-6"/>
    <s v="PP"/>
    <n v="1000"/>
    <s v="PP"/>
    <n v="8"/>
    <n v="121.67"/>
    <n v="2"/>
    <m/>
    <m/>
    <n v="119.67"/>
    <s v="1142.6000000000001"/>
    <m/>
    <m/>
    <m/>
    <n v="0"/>
    <n v="0"/>
    <m/>
    <m/>
    <m/>
    <m/>
    <m/>
    <m/>
    <m/>
    <m/>
    <n v="0"/>
    <n v="0"/>
    <n v="0"/>
    <n v="12"/>
    <n v="12"/>
    <m/>
    <m/>
    <n v="0"/>
    <n v="126.67"/>
    <m/>
    <x v="28"/>
    <m/>
    <m/>
    <m/>
    <m/>
  </r>
  <r>
    <x v="1"/>
    <x v="0"/>
    <s v="2.5/15"/>
    <x v="242"/>
    <s v="سٹاک"/>
    <s v="PP"/>
    <n v="2.5"/>
    <s v="5.5-6"/>
    <s v="PP"/>
    <n v="1000"/>
    <s v="PP"/>
    <n v="9"/>
    <n v="117.28"/>
    <n v="2.25"/>
    <m/>
    <m/>
    <n v="115.03"/>
    <s v="1142.6000000000001"/>
    <m/>
    <m/>
    <m/>
    <n v="0"/>
    <n v="0"/>
    <m/>
    <m/>
    <m/>
    <m/>
    <m/>
    <m/>
    <m/>
    <m/>
    <n v="0"/>
    <n v="0"/>
    <n v="0"/>
    <n v="12"/>
    <n v="12"/>
    <m/>
    <m/>
    <n v="0"/>
    <n v="122.28"/>
    <m/>
    <x v="28"/>
    <m/>
    <m/>
    <m/>
    <m/>
  </r>
  <r>
    <x v="0"/>
    <x v="1"/>
    <s v="7782/9"/>
    <x v="242"/>
    <s v="آصف پلاسٹک سرگودھا"/>
    <s v="PP"/>
    <n v="4"/>
    <s v="4.5"/>
    <s v="PP"/>
    <n v="375"/>
    <s v="PP"/>
    <n v="11"/>
    <n v="190.74"/>
    <n v="4.4000000000000004"/>
    <m/>
    <m/>
    <n v="186.34"/>
    <s v="307.55"/>
    <m/>
    <m/>
    <m/>
    <n v="0"/>
    <n v="0"/>
    <m/>
    <m/>
    <m/>
    <m/>
    <m/>
    <m/>
    <m/>
    <m/>
    <n v="0"/>
    <n v="0"/>
    <n v="0"/>
    <n v="12"/>
    <n v="12"/>
    <m/>
    <m/>
    <n v="0"/>
    <n v="195.74"/>
    <m/>
    <x v="28"/>
    <m/>
    <m/>
    <m/>
    <m/>
  </r>
  <r>
    <x v="1"/>
    <x v="1"/>
    <s v="7782/9"/>
    <x v="242"/>
    <s v="آصف پلاسٹک سرگودھا"/>
    <s v="PP"/>
    <n v="4"/>
    <s v="4.5"/>
    <s v="PP"/>
    <n v="375"/>
    <s v="PP"/>
    <n v="7"/>
    <n v="124.00999999999999"/>
    <n v="2.8000000000000003"/>
    <m/>
    <m/>
    <n v="121.21"/>
    <s v="307.55"/>
    <m/>
    <m/>
    <m/>
    <n v="0"/>
    <n v="0"/>
    <m/>
    <m/>
    <m/>
    <m/>
    <m/>
    <m/>
    <n v="30"/>
    <m/>
    <n v="30"/>
    <n v="0.5"/>
    <n v="0.5"/>
    <n v="11.5"/>
    <n v="12"/>
    <m/>
    <m/>
    <n v="0"/>
    <n v="129.01"/>
    <m/>
    <x v="28"/>
    <m/>
    <m/>
    <m/>
    <m/>
  </r>
  <r>
    <x v="1"/>
    <x v="1"/>
    <s v="4/18"/>
    <x v="242"/>
    <s v="سٹاک"/>
    <s v="PP"/>
    <n v="4"/>
    <s v="5-5.5"/>
    <s v="PP"/>
    <n v="1000"/>
    <s v="PP"/>
    <n v="3"/>
    <n v="45.66"/>
    <n v="1.2000000000000002"/>
    <m/>
    <m/>
    <n v="44.459999999999994"/>
    <s v="1135.3999999999999"/>
    <m/>
    <m/>
    <m/>
    <n v="0"/>
    <n v="0"/>
    <m/>
    <m/>
    <m/>
    <m/>
    <m/>
    <m/>
    <m/>
    <m/>
    <n v="0"/>
    <n v="0"/>
    <n v="0"/>
    <n v="12"/>
    <n v="12"/>
    <m/>
    <m/>
    <n v="0"/>
    <n v="50.66"/>
    <m/>
    <x v="28"/>
    <m/>
    <m/>
    <m/>
    <m/>
  </r>
  <r>
    <x v="0"/>
    <x v="3"/>
    <s v="2995 F"/>
    <x v="242"/>
    <s v="Usman Amin"/>
    <s v="PP"/>
    <n v="16.2"/>
    <s v="-"/>
    <s v="PP"/>
    <n v="3000"/>
    <s v="PP"/>
    <n v="7"/>
    <n v="406.85999999999996"/>
    <n v="13.93"/>
    <m/>
    <m/>
    <n v="392.92999999999995"/>
    <s v="7934.61"/>
    <m/>
    <m/>
    <m/>
    <n v="0"/>
    <n v="0"/>
    <m/>
    <m/>
    <m/>
    <m/>
    <m/>
    <m/>
    <m/>
    <m/>
    <n v="0"/>
    <n v="0"/>
    <n v="0"/>
    <n v="12"/>
    <n v="12"/>
    <m/>
    <m/>
    <n v="0"/>
    <n v="411.86"/>
    <m/>
    <x v="28"/>
    <m/>
    <m/>
    <m/>
    <m/>
  </r>
  <r>
    <x v="0"/>
    <x v="3"/>
    <s v="2963 F"/>
    <x v="242"/>
    <s v="Usman Amin"/>
    <s v="PEVA"/>
    <n v="21"/>
    <s v="20"/>
    <s v="PEVA"/>
    <n v="500"/>
    <s v="PP"/>
    <n v="7"/>
    <n v="411.15999999999997"/>
    <n v="23.52"/>
    <m/>
    <m/>
    <n v="387.64"/>
    <s v="387.64"/>
    <m/>
    <m/>
    <m/>
    <n v="0"/>
    <n v="0"/>
    <m/>
    <m/>
    <m/>
    <m/>
    <m/>
    <m/>
    <m/>
    <m/>
    <n v="0"/>
    <n v="0"/>
    <n v="0"/>
    <n v="12"/>
    <n v="12"/>
    <m/>
    <m/>
    <n v="0"/>
    <n v="416.16"/>
    <m/>
    <x v="28"/>
    <m/>
    <m/>
    <m/>
    <m/>
  </r>
  <r>
    <x v="0"/>
    <x v="3"/>
    <s v="7788/1"/>
    <x v="242"/>
    <s v="عظیم ٹوئز شاہ رعالم"/>
    <s v="PP"/>
    <n v="21"/>
    <s v="10"/>
    <s v="PP"/>
    <n v="100"/>
    <s v="PP"/>
    <n v="1"/>
    <n v="48"/>
    <n v="2.63"/>
    <n v="21"/>
    <m/>
    <n v="45.37"/>
    <s v="117.11999999999998"/>
    <n v="25"/>
    <m/>
    <m/>
    <n v="25"/>
    <n v="0.41666666666666674"/>
    <m/>
    <m/>
    <m/>
    <m/>
    <m/>
    <m/>
    <m/>
    <m/>
    <n v="0"/>
    <n v="0"/>
    <n v="0.41666666666666674"/>
    <n v="11.583333333333334"/>
    <n v="12"/>
    <m/>
    <m/>
    <n v="0"/>
    <n v="53"/>
    <m/>
    <x v="28"/>
    <m/>
    <m/>
    <m/>
    <m/>
  </r>
  <r>
    <x v="1"/>
    <x v="3"/>
    <s v="7788/1"/>
    <x v="242"/>
    <s v="عظیم ٹوئز شاہ رعالم"/>
    <s v="PP"/>
    <n v="21"/>
    <s v="10"/>
    <s v="PP"/>
    <n v="100"/>
    <s v="PP"/>
    <n v="2"/>
    <n v="75.949999999999989"/>
    <n v="4.2"/>
    <n v="43"/>
    <m/>
    <n v="71.749999999999986"/>
    <s v="117.11999999999998"/>
    <n v="25"/>
    <m/>
    <m/>
    <n v="25"/>
    <n v="0.41666666666666674"/>
    <m/>
    <m/>
    <m/>
    <m/>
    <m/>
    <m/>
    <n v="45"/>
    <m/>
    <n v="45"/>
    <n v="0.75"/>
    <n v="1.1666666666666667"/>
    <n v="10.833333333333334"/>
    <n v="12"/>
    <m/>
    <m/>
    <n v="0"/>
    <n v="80.949999999999989"/>
    <m/>
    <x v="28"/>
    <m/>
    <m/>
    <m/>
    <m/>
  </r>
  <r>
    <x v="1"/>
    <x v="3"/>
    <s v="7798/4"/>
    <x v="242"/>
    <s v="العمر پلاسٹک گوجرانوالہ"/>
    <s v="PP"/>
    <n v="22"/>
    <s v="5"/>
    <s v="PP"/>
    <n v="150"/>
    <s v="PP"/>
    <n v="6"/>
    <n v="313.54000000000002"/>
    <n v="13.200000000000001"/>
    <m/>
    <m/>
    <n v="300.34000000000003"/>
    <s v="405.34000000000003"/>
    <n v="25"/>
    <m/>
    <m/>
    <n v="25"/>
    <n v="0.41666666666666674"/>
    <m/>
    <m/>
    <m/>
    <m/>
    <m/>
    <m/>
    <m/>
    <m/>
    <n v="0"/>
    <n v="0"/>
    <n v="0.41666666666666674"/>
    <n v="11.583333333333334"/>
    <n v="12"/>
    <m/>
    <m/>
    <n v="0"/>
    <n v="318.54000000000002"/>
    <m/>
    <x v="28"/>
    <m/>
    <m/>
    <m/>
    <m/>
  </r>
  <r>
    <x v="1"/>
    <x v="3"/>
    <s v="7798/4"/>
    <x v="242"/>
    <s v="العمر پلاسٹک گوجرانوالہ"/>
    <s v="PP"/>
    <n v="22"/>
    <s v="5"/>
    <s v="PP"/>
    <n v="150"/>
    <s v="PP"/>
    <n v="2"/>
    <n v="109.4"/>
    <n v="4.4000000000000004"/>
    <m/>
    <m/>
    <n v="105"/>
    <s v="405.34000000000003"/>
    <m/>
    <m/>
    <m/>
    <n v="0"/>
    <n v="0"/>
    <m/>
    <m/>
    <m/>
    <m/>
    <m/>
    <m/>
    <m/>
    <m/>
    <n v="0"/>
    <n v="0"/>
    <n v="0"/>
    <n v="12"/>
    <n v="12"/>
    <m/>
    <m/>
    <n v="0"/>
    <n v="114.4"/>
    <m/>
    <x v="28"/>
    <m/>
    <m/>
    <m/>
    <m/>
  </r>
  <r>
    <x v="1"/>
    <x v="3"/>
    <s v="7782/2"/>
    <x v="242"/>
    <s v="آصف پلاسٹک سرگودھا"/>
    <s v="PP"/>
    <n v="8"/>
    <s v="4.5"/>
    <s v="PP"/>
    <n v="50"/>
    <s v="PP"/>
    <n v="2"/>
    <n v="100.47"/>
    <n v="3.2"/>
    <m/>
    <m/>
    <n v="97.27"/>
    <s v="401.34000000000003"/>
    <m/>
    <m/>
    <m/>
    <n v="0"/>
    <n v="0"/>
    <m/>
    <m/>
    <m/>
    <m/>
    <m/>
    <m/>
    <m/>
    <m/>
    <n v="0"/>
    <n v="0"/>
    <n v="0"/>
    <n v="12"/>
    <n v="12"/>
    <m/>
    <m/>
    <n v="0"/>
    <n v="105.47"/>
    <m/>
    <x v="28"/>
    <m/>
    <m/>
    <m/>
    <m/>
  </r>
  <r>
    <x v="0"/>
    <x v="4"/>
    <s v="7797/3"/>
    <x v="242"/>
    <s v="ایم دین پنڈی"/>
    <s v="PP"/>
    <n v="8"/>
    <s v="15"/>
    <s v="PP"/>
    <n v="300"/>
    <s v="PP"/>
    <n v="4"/>
    <n v="152.85000000000002"/>
    <n v="4.5"/>
    <m/>
    <m/>
    <n v="148.35000000000002"/>
    <s v="266.69000000000005"/>
    <m/>
    <m/>
    <m/>
    <n v="0"/>
    <n v="0"/>
    <m/>
    <m/>
    <m/>
    <m/>
    <m/>
    <m/>
    <m/>
    <m/>
    <n v="0"/>
    <n v="0"/>
    <n v="0"/>
    <n v="12"/>
    <n v="12"/>
    <m/>
    <m/>
    <n v="0"/>
    <n v="157.85000000000002"/>
    <m/>
    <x v="28"/>
    <m/>
    <m/>
    <m/>
    <m/>
  </r>
  <r>
    <x v="0"/>
    <x v="4"/>
    <s v="7782/2"/>
    <x v="242"/>
    <s v="آصف پلاسٹک سرگودھا"/>
    <s v="PP"/>
    <n v="8"/>
    <s v="4.5"/>
    <s v="PP"/>
    <n v="50"/>
    <s v="PP"/>
    <n v="8"/>
    <n v="208.32"/>
    <n v="60"/>
    <m/>
    <m/>
    <n v="148.32"/>
    <s v="401.34000000000003"/>
    <m/>
    <m/>
    <m/>
    <n v="0"/>
    <n v="0"/>
    <m/>
    <m/>
    <m/>
    <m/>
    <m/>
    <m/>
    <m/>
    <m/>
    <n v="0"/>
    <n v="0"/>
    <n v="0"/>
    <n v="12"/>
    <n v="12"/>
    <m/>
    <m/>
    <n v="0"/>
    <n v="213.32"/>
    <m/>
    <x v="28"/>
    <m/>
    <m/>
    <m/>
    <m/>
  </r>
  <r>
    <x v="1"/>
    <x v="4"/>
    <s v="7782/2"/>
    <x v="242"/>
    <s v="آصف پلاسٹک سرگودھا"/>
    <s v="PP"/>
    <n v="8"/>
    <s v="4.5"/>
    <s v="PP"/>
    <n v="50"/>
    <s v="PP"/>
    <n v="9"/>
    <n v="218.75000000000003"/>
    <n v="63"/>
    <m/>
    <m/>
    <n v="155.75000000000003"/>
    <s v="401.34000000000003"/>
    <m/>
    <m/>
    <m/>
    <n v="0"/>
    <n v="0"/>
    <m/>
    <n v="30"/>
    <m/>
    <m/>
    <m/>
    <m/>
    <m/>
    <m/>
    <n v="30"/>
    <n v="0.5"/>
    <n v="0.5"/>
    <n v="11.5"/>
    <n v="12"/>
    <m/>
    <m/>
    <n v="0"/>
    <n v="223.75000000000003"/>
    <m/>
    <x v="28"/>
    <m/>
    <m/>
    <m/>
    <m/>
  </r>
  <r>
    <x v="1"/>
    <x v="4"/>
    <s v="8/11"/>
    <x v="242"/>
    <s v="سٹاک"/>
    <s v="PP"/>
    <n v="8"/>
    <n v="5"/>
    <s v="PP"/>
    <n v="1500"/>
    <s v="PP"/>
    <n v="2"/>
    <n v="74.319999999999993"/>
    <n v="1.6"/>
    <m/>
    <m/>
    <n v="72.72"/>
    <s v="920.0100000000001"/>
    <m/>
    <m/>
    <m/>
    <n v="0"/>
    <n v="0"/>
    <m/>
    <m/>
    <m/>
    <m/>
    <m/>
    <m/>
    <m/>
    <m/>
    <n v="0"/>
    <n v="0"/>
    <n v="0"/>
    <n v="12"/>
    <n v="12"/>
    <m/>
    <m/>
    <n v="0"/>
    <n v="79.319999999999993"/>
    <m/>
    <x v="28"/>
    <m/>
    <m/>
    <m/>
    <m/>
  </r>
  <r>
    <x v="0"/>
    <x v="0"/>
    <s v="2.5/15"/>
    <x v="243"/>
    <s v="سٹاک"/>
    <s v="PP"/>
    <n v="2.5"/>
    <s v="5.5-6"/>
    <s v="PP"/>
    <n v="1000"/>
    <s v="PP"/>
    <n v="9"/>
    <n v="122.92"/>
    <n v="2.25"/>
    <m/>
    <m/>
    <n v="120.67"/>
    <s v="1142.6000000000001"/>
    <m/>
    <m/>
    <m/>
    <n v="0"/>
    <n v="0"/>
    <m/>
    <m/>
    <m/>
    <m/>
    <m/>
    <m/>
    <m/>
    <m/>
    <n v="0"/>
    <n v="0"/>
    <n v="0"/>
    <n v="12"/>
    <n v="12"/>
    <m/>
    <m/>
    <n v="0"/>
    <n v="127.92"/>
    <m/>
    <x v="28"/>
    <m/>
    <m/>
    <m/>
    <m/>
  </r>
  <r>
    <x v="1"/>
    <x v="0"/>
    <s v="2.5/15"/>
    <x v="243"/>
    <s v="سٹاک"/>
    <s v="PP"/>
    <n v="2.5"/>
    <s v="5.5-6"/>
    <s v="PP"/>
    <n v="1000"/>
    <s v="PP"/>
    <n v="7"/>
    <n v="104.99000000000001"/>
    <n v="1.75"/>
    <m/>
    <m/>
    <n v="103.24000000000001"/>
    <s v="1142.6000000000001"/>
    <m/>
    <m/>
    <m/>
    <n v="0"/>
    <n v="0"/>
    <m/>
    <m/>
    <m/>
    <m/>
    <m/>
    <m/>
    <m/>
    <m/>
    <n v="0"/>
    <n v="0"/>
    <n v="0"/>
    <n v="12"/>
    <n v="12"/>
    <m/>
    <m/>
    <n v="0"/>
    <n v="109.99"/>
    <m/>
    <x v="28"/>
    <m/>
    <m/>
    <m/>
    <m/>
  </r>
  <r>
    <x v="0"/>
    <x v="1"/>
    <s v="4/18"/>
    <x v="243"/>
    <s v="سٹاک"/>
    <s v="PP"/>
    <n v="4"/>
    <s v="5-5.5"/>
    <s v="PP"/>
    <n v="1000"/>
    <s v="PP"/>
    <n v="2"/>
    <n v="27.54"/>
    <n v="0.8"/>
    <m/>
    <m/>
    <n v="26.74"/>
    <s v="1135.3999999999999"/>
    <m/>
    <m/>
    <m/>
    <n v="0"/>
    <n v="0"/>
    <m/>
    <m/>
    <m/>
    <m/>
    <m/>
    <m/>
    <m/>
    <m/>
    <n v="0"/>
    <n v="0"/>
    <n v="0"/>
    <n v="12"/>
    <n v="12"/>
    <m/>
    <m/>
    <n v="0"/>
    <n v="32.54"/>
    <m/>
    <x v="28"/>
    <m/>
    <m/>
    <m/>
    <m/>
  </r>
  <r>
    <x v="0"/>
    <x v="1"/>
    <s v="7782/7"/>
    <x v="243"/>
    <s v="آصف پلاسٹک سرگودھا"/>
    <s v="PP"/>
    <n v="5"/>
    <s v="4.5"/>
    <s v="PP"/>
    <n v="150"/>
    <s v="PP"/>
    <n v="2"/>
    <n v="36.840000000000003"/>
    <n v="1"/>
    <m/>
    <m/>
    <n v="35.840000000000003"/>
    <s v="153.62"/>
    <m/>
    <m/>
    <m/>
    <n v="0"/>
    <n v="0"/>
    <m/>
    <m/>
    <n v="420"/>
    <m/>
    <m/>
    <m/>
    <m/>
    <m/>
    <n v="420"/>
    <n v="7"/>
    <n v="7"/>
    <n v="5"/>
    <n v="12"/>
    <m/>
    <m/>
    <n v="0"/>
    <n v="41.84"/>
    <m/>
    <x v="28"/>
    <m/>
    <m/>
    <m/>
    <m/>
  </r>
  <r>
    <x v="1"/>
    <x v="1"/>
    <s v="7782/7"/>
    <x v="243"/>
    <s v="آصف پلاسٹک سرگودھا"/>
    <s v="PP"/>
    <n v="5"/>
    <s v="4.5"/>
    <s v="PP"/>
    <n v="150"/>
    <s v="PP"/>
    <n v="6"/>
    <n v="120.78000000000002"/>
    <n v="3"/>
    <m/>
    <m/>
    <n v="117.78000000000002"/>
    <s v="153.62"/>
    <m/>
    <m/>
    <m/>
    <n v="0"/>
    <n v="0"/>
    <m/>
    <m/>
    <m/>
    <m/>
    <m/>
    <m/>
    <m/>
    <m/>
    <n v="0"/>
    <n v="0"/>
    <n v="0"/>
    <n v="12"/>
    <n v="12"/>
    <m/>
    <m/>
    <n v="0"/>
    <n v="125.78000000000002"/>
    <m/>
    <x v="28"/>
    <m/>
    <m/>
    <m/>
    <m/>
  </r>
  <r>
    <x v="1"/>
    <x v="1"/>
    <s v="4/18"/>
    <x v="243"/>
    <s v="سٹاک"/>
    <s v="PP"/>
    <n v="4"/>
    <s v="5-5.5"/>
    <s v="PP"/>
    <n v="1000"/>
    <s v="PP"/>
    <n v="4"/>
    <n v="70.899999999999991"/>
    <n v="1.6"/>
    <m/>
    <m/>
    <n v="69.3"/>
    <s v="1135.3999999999999"/>
    <n v="25"/>
    <m/>
    <m/>
    <n v="25"/>
    <n v="0.41666666666666674"/>
    <m/>
    <m/>
    <m/>
    <m/>
    <m/>
    <m/>
    <m/>
    <m/>
    <n v="0"/>
    <n v="0"/>
    <n v="0.41666666666666674"/>
    <n v="11.583333333333334"/>
    <n v="12"/>
    <m/>
    <m/>
    <n v="0"/>
    <n v="75.899999999999977"/>
    <m/>
    <x v="28"/>
    <m/>
    <m/>
    <m/>
    <m/>
  </r>
  <r>
    <x v="0"/>
    <x v="3"/>
    <s v="7791/1"/>
    <x v="243"/>
    <s v="نواب جیلانی لیٰہ"/>
    <s v="PP"/>
    <n v="17"/>
    <s v="7"/>
    <s v="PP"/>
    <n v="150"/>
    <s v="PP"/>
    <n v="3"/>
    <n v="183.25"/>
    <n v="6.3000000000000007"/>
    <m/>
    <m/>
    <n v="176.95"/>
    <s v="176.95"/>
    <m/>
    <m/>
    <m/>
    <n v="0"/>
    <n v="0"/>
    <m/>
    <m/>
    <m/>
    <m/>
    <m/>
    <m/>
    <m/>
    <m/>
    <n v="0"/>
    <n v="0"/>
    <n v="0"/>
    <n v="12"/>
    <n v="12"/>
    <m/>
    <m/>
    <n v="0"/>
    <n v="188.25"/>
    <m/>
    <x v="28"/>
    <m/>
    <m/>
    <m/>
    <m/>
  </r>
  <r>
    <x v="0"/>
    <x v="3"/>
    <s v="7863 J"/>
    <x v="243"/>
    <s v="Shahid Sawiayan Cowk Azam"/>
    <s v="PP"/>
    <n v="17"/>
    <s v="5-5.5"/>
    <s v="PP"/>
    <n v="300"/>
    <s v="PP"/>
    <n v="6"/>
    <n v="326.53999999999996"/>
    <n v="12.600000000000001"/>
    <m/>
    <m/>
    <n v="313.93999999999994"/>
    <s v="313.93999999999994"/>
    <m/>
    <m/>
    <m/>
    <n v="0"/>
    <n v="0"/>
    <m/>
    <m/>
    <m/>
    <m/>
    <m/>
    <m/>
    <m/>
    <m/>
    <n v="0"/>
    <n v="0"/>
    <n v="0"/>
    <n v="12"/>
    <n v="12"/>
    <m/>
    <m/>
    <n v="0"/>
    <n v="331.53999999999996"/>
    <m/>
    <x v="28"/>
    <m/>
    <m/>
    <m/>
    <m/>
  </r>
  <r>
    <x v="0"/>
    <x v="3"/>
    <s v="2998 F"/>
    <x v="243"/>
    <s v="Usman Amin"/>
    <s v="PP"/>
    <n v="17"/>
    <s v="7-7.5"/>
    <s v="PP"/>
    <n v="150"/>
    <s v="PP"/>
    <n v="3"/>
    <n v="193.98000000000002"/>
    <n v="5.0999999999999996"/>
    <n v="8"/>
    <m/>
    <n v="188.88000000000002"/>
    <s v="188.88000000000002"/>
    <m/>
    <m/>
    <m/>
    <n v="0"/>
    <n v="0"/>
    <m/>
    <m/>
    <m/>
    <m/>
    <m/>
    <m/>
    <m/>
    <m/>
    <n v="0"/>
    <n v="0"/>
    <n v="0"/>
    <n v="12"/>
    <n v="12"/>
    <m/>
    <m/>
    <n v="0"/>
    <n v="198.98"/>
    <m/>
    <x v="28"/>
    <m/>
    <m/>
    <m/>
    <m/>
  </r>
  <r>
    <x v="1"/>
    <x v="3"/>
    <s v="3000 F"/>
    <x v="243"/>
    <s v="Usman Amin"/>
    <s v="PP"/>
    <n v="19"/>
    <s v="08"/>
    <s v="PP"/>
    <n v="50"/>
    <s v="PP"/>
    <n v="1"/>
    <n v="55.48"/>
    <n v="1.9"/>
    <n v="13"/>
    <m/>
    <n v="53.58"/>
    <s v="53.58"/>
    <m/>
    <m/>
    <m/>
    <n v="0"/>
    <n v="0"/>
    <m/>
    <m/>
    <m/>
    <m/>
    <m/>
    <m/>
    <m/>
    <m/>
    <n v="0"/>
    <n v="0"/>
    <n v="0"/>
    <n v="12"/>
    <n v="12"/>
    <m/>
    <m/>
    <n v="0"/>
    <n v="60.48"/>
    <m/>
    <x v="28"/>
    <m/>
    <m/>
    <m/>
    <m/>
  </r>
  <r>
    <x v="1"/>
    <x v="3"/>
    <s v="3001 F"/>
    <x v="243"/>
    <s v="Usman Amin"/>
    <s v="PP"/>
    <n v="19"/>
    <s v="08"/>
    <s v="PP"/>
    <n v="50"/>
    <s v="PP"/>
    <n v="1"/>
    <n v="54.22"/>
    <n v="1.9"/>
    <m/>
    <m/>
    <n v="52.32"/>
    <s v="52.32"/>
    <m/>
    <m/>
    <m/>
    <n v="0"/>
    <n v="0"/>
    <m/>
    <m/>
    <m/>
    <m/>
    <m/>
    <m/>
    <m/>
    <m/>
    <n v="0"/>
    <n v="0"/>
    <n v="0"/>
    <n v="12"/>
    <n v="12"/>
    <m/>
    <m/>
    <n v="0"/>
    <n v="59.22"/>
    <m/>
    <x v="28"/>
    <m/>
    <m/>
    <m/>
    <m/>
  </r>
  <r>
    <x v="1"/>
    <x v="3"/>
    <s v="7853 J"/>
    <x v="243"/>
    <s v="Jilani Poly Stock"/>
    <s v="PP"/>
    <n v="18"/>
    <s v="5-5.5"/>
    <s v="PP"/>
    <s v="-"/>
    <s v="PP"/>
    <n v="10"/>
    <n v="539.39"/>
    <n v="18"/>
    <m/>
    <m/>
    <n v="521.39"/>
    <s v="982.57999999999993"/>
    <m/>
    <m/>
    <m/>
    <n v="0"/>
    <n v="0"/>
    <m/>
    <m/>
    <m/>
    <m/>
    <m/>
    <m/>
    <m/>
    <m/>
    <n v="0"/>
    <n v="0"/>
    <n v="0"/>
    <n v="12"/>
    <n v="12"/>
    <m/>
    <m/>
    <n v="0"/>
    <n v="544.39"/>
    <m/>
    <x v="28"/>
    <m/>
    <m/>
    <m/>
    <m/>
  </r>
  <r>
    <x v="1"/>
    <x v="3"/>
    <s v="7889 J"/>
    <x v="243"/>
    <s v="Alam Printers Butkhela"/>
    <s v="PP"/>
    <n v="18"/>
    <s v="6-6.5"/>
    <s v="PP"/>
    <n v="100"/>
    <s v="PP"/>
    <n v="2"/>
    <n v="114.21000000000001"/>
    <n v="3.6"/>
    <m/>
    <m/>
    <n v="110.61000000000001"/>
    <s v="110.61000000000001"/>
    <m/>
    <m/>
    <m/>
    <n v="0"/>
    <n v="0"/>
    <m/>
    <m/>
    <m/>
    <m/>
    <m/>
    <m/>
    <m/>
    <m/>
    <n v="0"/>
    <n v="0"/>
    <n v="0"/>
    <n v="12"/>
    <n v="12"/>
    <m/>
    <m/>
    <n v="0"/>
    <n v="119.21"/>
    <m/>
    <x v="28"/>
    <m/>
    <m/>
    <m/>
    <m/>
  </r>
  <r>
    <x v="0"/>
    <x v="4"/>
    <s v="8/11"/>
    <x v="243"/>
    <s v="سٹاک"/>
    <s v="PP"/>
    <n v="8"/>
    <n v="5"/>
    <s v="PP"/>
    <n v="1500"/>
    <s v="PP"/>
    <n v="10"/>
    <n v="364.04999999999995"/>
    <n v="10"/>
    <n v="4.5"/>
    <m/>
    <n v="354.04999999999995"/>
    <s v="920.0100000000001"/>
    <m/>
    <m/>
    <m/>
    <n v="0"/>
    <n v="0"/>
    <m/>
    <m/>
    <m/>
    <m/>
    <m/>
    <m/>
    <m/>
    <m/>
    <n v="0"/>
    <n v="0"/>
    <n v="0"/>
    <n v="12"/>
    <n v="12"/>
    <m/>
    <m/>
    <n v="0"/>
    <n v="369.0499999999999"/>
    <m/>
    <x v="28"/>
    <m/>
    <m/>
    <m/>
    <m/>
  </r>
  <r>
    <x v="1"/>
    <x v="4"/>
    <s v="8/11"/>
    <x v="243"/>
    <s v="سٹاک"/>
    <s v="PP"/>
    <n v="8"/>
    <n v="5"/>
    <s v="PP"/>
    <n v="1500"/>
    <s v="PP"/>
    <n v="8"/>
    <n v="357.78000000000003"/>
    <n v="6.4"/>
    <n v="4.5"/>
    <m/>
    <n v="351.38000000000005"/>
    <s v="920.0100000000001"/>
    <m/>
    <m/>
    <m/>
    <n v="0"/>
    <n v="0"/>
    <m/>
    <m/>
    <m/>
    <m/>
    <m/>
    <m/>
    <m/>
    <m/>
    <n v="0"/>
    <n v="0"/>
    <n v="0"/>
    <n v="12"/>
    <n v="12"/>
    <m/>
    <m/>
    <n v="0"/>
    <n v="362.78"/>
    <m/>
    <x v="28"/>
    <m/>
    <m/>
    <m/>
    <m/>
  </r>
  <r>
    <x v="0"/>
    <x v="0"/>
    <s v="2.5/15"/>
    <x v="244"/>
    <s v="سٹاک"/>
    <s v="PP"/>
    <n v="2.5"/>
    <s v="5.5-6"/>
    <s v="PP"/>
    <n v="1000"/>
    <s v="PP"/>
    <n v="7"/>
    <n v="111.29000000000002"/>
    <n v="2.25"/>
    <m/>
    <m/>
    <n v="109.04000000000002"/>
    <s v="1142.6000000000001"/>
    <m/>
    <m/>
    <m/>
    <n v="0"/>
    <n v="0"/>
    <m/>
    <m/>
    <m/>
    <m/>
    <m/>
    <m/>
    <n v="30"/>
    <m/>
    <n v="30"/>
    <n v="0.5"/>
    <n v="0.5"/>
    <n v="11.5"/>
    <n v="12"/>
    <m/>
    <m/>
    <n v="0"/>
    <n v="116.29000000000002"/>
    <m/>
    <x v="28"/>
    <m/>
    <m/>
    <m/>
    <m/>
  </r>
  <r>
    <x v="1"/>
    <x v="0"/>
    <s v="2.5/15"/>
    <x v="244"/>
    <s v="سٹاک"/>
    <s v="PP"/>
    <n v="2.5"/>
    <s v="5.5-6"/>
    <s v="PP"/>
    <n v="1000"/>
    <s v="PP"/>
    <n v="8"/>
    <n v="128.19999999999999"/>
    <n v="2"/>
    <m/>
    <m/>
    <n v="126.19999999999999"/>
    <s v="1142.6000000000001"/>
    <m/>
    <m/>
    <m/>
    <n v="0"/>
    <n v="0"/>
    <m/>
    <m/>
    <m/>
    <m/>
    <m/>
    <m/>
    <m/>
    <m/>
    <n v="0"/>
    <n v="0"/>
    <n v="0"/>
    <n v="12"/>
    <n v="12"/>
    <m/>
    <m/>
    <n v="0"/>
    <n v="133.19999999999999"/>
    <m/>
    <x v="28"/>
    <m/>
    <m/>
    <m/>
    <m/>
  </r>
  <r>
    <x v="0"/>
    <x v="1"/>
    <s v="4/18"/>
    <x v="244"/>
    <s v="سٹاک"/>
    <s v="PP"/>
    <n v="4"/>
    <s v="5-5.5"/>
    <s v="PP"/>
    <n v="1000"/>
    <s v="PP"/>
    <n v="11"/>
    <n v="193.6"/>
    <n v="4.4000000000000004"/>
    <m/>
    <m/>
    <n v="189.2"/>
    <s v="1135.3999999999999"/>
    <m/>
    <m/>
    <m/>
    <n v="0"/>
    <n v="0"/>
    <m/>
    <m/>
    <m/>
    <m/>
    <m/>
    <m/>
    <m/>
    <m/>
    <n v="0"/>
    <n v="0"/>
    <n v="0"/>
    <n v="12"/>
    <n v="12"/>
    <m/>
    <m/>
    <n v="0"/>
    <n v="198.6"/>
    <m/>
    <x v="28"/>
    <m/>
    <m/>
    <m/>
    <m/>
  </r>
  <r>
    <x v="1"/>
    <x v="1"/>
    <s v="4/18"/>
    <x v="244"/>
    <s v="سٹاک"/>
    <s v="PP"/>
    <n v="4"/>
    <s v="5-5.5"/>
    <s v="PP"/>
    <n v="1000"/>
    <s v="PP"/>
    <n v="9"/>
    <n v="162.04"/>
    <n v="3.6"/>
    <m/>
    <m/>
    <n v="158.44"/>
    <s v="1135.3999999999999"/>
    <m/>
    <m/>
    <m/>
    <n v="0"/>
    <n v="0"/>
    <m/>
    <m/>
    <m/>
    <m/>
    <m/>
    <m/>
    <m/>
    <m/>
    <n v="0"/>
    <n v="0"/>
    <n v="0"/>
    <n v="12"/>
    <n v="12"/>
    <m/>
    <m/>
    <n v="0"/>
    <n v="167.04"/>
    <m/>
    <x v="28"/>
    <m/>
    <m/>
    <m/>
    <m/>
  </r>
  <r>
    <x v="0"/>
    <x v="3"/>
    <s v="7853 J"/>
    <x v="244"/>
    <s v="Jilani Poly Stock"/>
    <s v="PP"/>
    <n v="18"/>
    <s v="5-5.5"/>
    <s v="PP"/>
    <s v="-"/>
    <s v="PP"/>
    <n v="9"/>
    <n v="480.98999999999995"/>
    <n v="19.8"/>
    <m/>
    <m/>
    <n v="461.18999999999994"/>
    <s v="982.57999999999993"/>
    <m/>
    <m/>
    <m/>
    <n v="0"/>
    <n v="0"/>
    <m/>
    <m/>
    <m/>
    <m/>
    <m/>
    <m/>
    <m/>
    <m/>
    <n v="0"/>
    <n v="0"/>
    <n v="0"/>
    <n v="12"/>
    <n v="12"/>
    <m/>
    <m/>
    <n v="0"/>
    <n v="485.9899999999999"/>
    <m/>
    <x v="28"/>
    <m/>
    <m/>
    <m/>
    <m/>
  </r>
  <r>
    <x v="0"/>
    <x v="3"/>
    <s v="18/11"/>
    <x v="244"/>
    <s v="سٹاک"/>
    <s v="PP"/>
    <n v="18"/>
    <n v="5"/>
    <s v="PP"/>
    <n v="1000"/>
    <s v="PP"/>
    <n v="4"/>
    <n v="219.72000000000003"/>
    <n v="7.2"/>
    <n v="25"/>
    <m/>
    <n v="212.52000000000004"/>
    <s v="1744.47"/>
    <m/>
    <m/>
    <m/>
    <n v="0"/>
    <n v="0"/>
    <m/>
    <m/>
    <m/>
    <m/>
    <m/>
    <m/>
    <m/>
    <m/>
    <n v="0"/>
    <n v="0"/>
    <n v="0"/>
    <n v="12"/>
    <n v="12"/>
    <m/>
    <m/>
    <n v="0"/>
    <n v="224.72000000000003"/>
    <m/>
    <x v="28"/>
    <m/>
    <m/>
    <m/>
    <m/>
  </r>
  <r>
    <x v="1"/>
    <x v="3"/>
    <s v="18/11"/>
    <x v="244"/>
    <s v="سٹاک"/>
    <s v="PP"/>
    <n v="18"/>
    <n v="5"/>
    <s v="PP"/>
    <n v="1000"/>
    <s v="PP"/>
    <n v="11"/>
    <n v="738.89"/>
    <n v="19.8"/>
    <n v="20"/>
    <m/>
    <n v="719.09"/>
    <s v="1744.47"/>
    <m/>
    <m/>
    <m/>
    <n v="0"/>
    <n v="0"/>
    <m/>
    <m/>
    <m/>
    <m/>
    <m/>
    <m/>
    <m/>
    <m/>
    <n v="0"/>
    <n v="0"/>
    <n v="0"/>
    <n v="12"/>
    <n v="12"/>
    <m/>
    <m/>
    <n v="0"/>
    <n v="743.89"/>
    <m/>
    <x v="28"/>
    <m/>
    <m/>
    <m/>
    <m/>
  </r>
  <r>
    <x v="0"/>
    <x v="4"/>
    <s v="8/11"/>
    <x v="244"/>
    <s v="سٹاک"/>
    <s v="PP"/>
    <n v="8"/>
    <n v="5"/>
    <s v="PP"/>
    <n v="1500"/>
    <s v="PP"/>
    <n v="4"/>
    <n v="145.86000000000001"/>
    <n v="4"/>
    <m/>
    <m/>
    <n v="141.86000000000001"/>
    <s v="920.0100000000001"/>
    <m/>
    <m/>
    <m/>
    <n v="0"/>
    <n v="0"/>
    <m/>
    <m/>
    <m/>
    <m/>
    <m/>
    <m/>
    <m/>
    <m/>
    <n v="0"/>
    <n v="0"/>
    <n v="0"/>
    <n v="12"/>
    <n v="12"/>
    <m/>
    <m/>
    <n v="0"/>
    <n v="150.86000000000001"/>
    <m/>
    <x v="28"/>
    <m/>
    <m/>
    <m/>
    <m/>
  </r>
  <r>
    <x v="0"/>
    <x v="4"/>
    <s v="7790/1"/>
    <x v="244"/>
    <s v="عظیم ٹوئز شاہ رعالم"/>
    <s v="PP"/>
    <n v="14"/>
    <s v="10"/>
    <s v="PP"/>
    <n v="100"/>
    <s v="PP"/>
    <n v="2"/>
    <n v="110.65"/>
    <n v="3.2"/>
    <m/>
    <m/>
    <n v="107.45"/>
    <s v="107.45"/>
    <m/>
    <m/>
    <m/>
    <n v="0"/>
    <n v="0"/>
    <m/>
    <m/>
    <m/>
    <m/>
    <m/>
    <m/>
    <m/>
    <m/>
    <n v="0"/>
    <n v="0"/>
    <n v="0"/>
    <n v="12"/>
    <n v="12"/>
    <m/>
    <m/>
    <n v="0"/>
    <n v="115.65"/>
    <m/>
    <x v="28"/>
    <m/>
    <m/>
    <m/>
    <m/>
  </r>
  <r>
    <x v="0"/>
    <x v="4"/>
    <s v="7800/6"/>
    <x v="244"/>
    <s v="ملک خالد سلیم فیصل آباد"/>
    <s v="PP"/>
    <n v="13"/>
    <s v="5"/>
    <s v="PP"/>
    <n v="300"/>
    <s v="PP"/>
    <n v="1"/>
    <n v="41.97"/>
    <n v="1.5"/>
    <m/>
    <m/>
    <n v="40.47"/>
    <s v="525.11"/>
    <n v="20"/>
    <m/>
    <m/>
    <n v="20"/>
    <n v="0.33333333333333331"/>
    <m/>
    <m/>
    <m/>
    <m/>
    <m/>
    <m/>
    <m/>
    <m/>
    <n v="0"/>
    <n v="0"/>
    <n v="0.33333333333333331"/>
    <n v="11.666666666666666"/>
    <n v="12"/>
    <m/>
    <m/>
    <n v="0"/>
    <n v="46.97"/>
    <m/>
    <x v="28"/>
    <m/>
    <m/>
    <m/>
    <m/>
  </r>
  <r>
    <x v="0"/>
    <x v="4"/>
    <s v="7805/1"/>
    <x v="244"/>
    <s v="علی پلاسٹک جھنگ"/>
    <s v="PP"/>
    <n v="13"/>
    <s v="4-4.5"/>
    <s v="PP"/>
    <n v="100"/>
    <s v="PP"/>
    <n v="2"/>
    <n v="100.52000000000001"/>
    <n v="3"/>
    <n v="6"/>
    <m/>
    <n v="97.52000000000001"/>
    <s v="97.52000000000001"/>
    <n v="25"/>
    <m/>
    <m/>
    <n v="25"/>
    <n v="0.41666666666666674"/>
    <m/>
    <m/>
    <m/>
    <m/>
    <m/>
    <m/>
    <m/>
    <m/>
    <n v="0"/>
    <n v="0"/>
    <n v="0.41666666666666674"/>
    <n v="11.583333333333334"/>
    <n v="12"/>
    <m/>
    <m/>
    <n v="0"/>
    <n v="105.52"/>
    <m/>
    <x v="28"/>
    <m/>
    <m/>
    <m/>
    <m/>
  </r>
  <r>
    <x v="1"/>
    <x v="4"/>
    <s v="7800/6"/>
    <x v="244"/>
    <s v="ملک خالد سلیم فیصل آباد"/>
    <s v="PP"/>
    <n v="13"/>
    <s v="5"/>
    <s v="PP"/>
    <n v="300"/>
    <s v="PP"/>
    <n v="8"/>
    <n v="443.14"/>
    <n v="10.4"/>
    <n v="6"/>
    <m/>
    <n v="432.74"/>
    <s v="525.11"/>
    <m/>
    <m/>
    <m/>
    <n v="0"/>
    <n v="0"/>
    <m/>
    <m/>
    <m/>
    <m/>
    <m/>
    <m/>
    <m/>
    <m/>
    <n v="0"/>
    <n v="0"/>
    <n v="0"/>
    <n v="12"/>
    <n v="12"/>
    <m/>
    <m/>
    <n v="0"/>
    <n v="448.14"/>
    <m/>
    <x v="28"/>
    <m/>
    <m/>
    <m/>
    <m/>
  </r>
  <r>
    <x v="0"/>
    <x v="0"/>
    <s v="2.5/15"/>
    <x v="245"/>
    <s v="سٹاک"/>
    <s v="PP"/>
    <n v="2.5"/>
    <s v="5.5-6"/>
    <s v="PP"/>
    <n v="1000"/>
    <s v="PP"/>
    <n v="8"/>
    <n v="114.41"/>
    <n v="2"/>
    <m/>
    <m/>
    <n v="112.41"/>
    <s v="1142.6000000000001"/>
    <m/>
    <m/>
    <m/>
    <n v="0"/>
    <n v="0"/>
    <m/>
    <m/>
    <m/>
    <m/>
    <m/>
    <m/>
    <m/>
    <m/>
    <n v="0"/>
    <n v="0"/>
    <n v="0"/>
    <n v="12"/>
    <n v="12"/>
    <m/>
    <m/>
    <n v="0"/>
    <n v="119.41"/>
    <m/>
    <x v="28"/>
    <m/>
    <m/>
    <m/>
    <m/>
  </r>
  <r>
    <x v="1"/>
    <x v="0"/>
    <s v="2.5/15"/>
    <x v="245"/>
    <s v="سٹاک"/>
    <s v="PP"/>
    <n v="2.5"/>
    <s v="5.5-6"/>
    <s v="PP"/>
    <n v="1000"/>
    <s v="PP"/>
    <n v="9"/>
    <n v="151.32999999999998"/>
    <n v="2.25"/>
    <m/>
    <m/>
    <n v="149.07999999999998"/>
    <s v="1142.6000000000001"/>
    <m/>
    <m/>
    <m/>
    <n v="0"/>
    <n v="0"/>
    <m/>
    <m/>
    <m/>
    <m/>
    <m/>
    <m/>
    <m/>
    <m/>
    <n v="0"/>
    <n v="0"/>
    <n v="0"/>
    <n v="12"/>
    <n v="12"/>
    <m/>
    <m/>
    <n v="0"/>
    <n v="156.32999999999998"/>
    <m/>
    <x v="28"/>
    <m/>
    <m/>
    <m/>
    <m/>
  </r>
  <r>
    <x v="0"/>
    <x v="1"/>
    <s v="4/18"/>
    <x v="245"/>
    <s v="سٹاک"/>
    <s v="PP"/>
    <n v="4"/>
    <s v="5-5.5"/>
    <s v="PP"/>
    <n v="1000"/>
    <s v="PP"/>
    <n v="7"/>
    <n v="125.44"/>
    <n v="2.8000000000000003"/>
    <m/>
    <m/>
    <n v="122.64"/>
    <s v="1135.3999999999999"/>
    <m/>
    <m/>
    <m/>
    <n v="0"/>
    <n v="0"/>
    <m/>
    <m/>
    <n v="150"/>
    <m/>
    <m/>
    <m/>
    <m/>
    <m/>
    <n v="150"/>
    <n v="2.5"/>
    <n v="2.5"/>
    <n v="9.5"/>
    <n v="12"/>
    <m/>
    <m/>
    <n v="0"/>
    <n v="130.44"/>
    <m/>
    <x v="28"/>
    <m/>
    <m/>
    <m/>
    <m/>
  </r>
  <r>
    <x v="1"/>
    <x v="1"/>
    <s v="4/18"/>
    <x v="245"/>
    <s v="سٹاک"/>
    <s v="PP"/>
    <n v="4"/>
    <s v="5-5.5"/>
    <s v="PP"/>
    <n v="1000"/>
    <s v="PP"/>
    <n v="8"/>
    <n v="138.68"/>
    <n v="3.2"/>
    <m/>
    <m/>
    <n v="135.48000000000002"/>
    <s v="1135.3999999999999"/>
    <m/>
    <m/>
    <m/>
    <n v="0"/>
    <n v="0"/>
    <m/>
    <m/>
    <m/>
    <m/>
    <m/>
    <m/>
    <m/>
    <m/>
    <n v="0"/>
    <n v="0"/>
    <n v="0"/>
    <n v="12"/>
    <n v="12"/>
    <m/>
    <m/>
    <n v="0"/>
    <n v="143.68"/>
    <m/>
    <x v="28"/>
    <m/>
    <m/>
    <m/>
    <m/>
  </r>
  <r>
    <x v="0"/>
    <x v="3"/>
    <s v="18/11"/>
    <x v="245"/>
    <s v="سٹاک"/>
    <s v="PP"/>
    <n v="18"/>
    <n v="5"/>
    <s v="PP"/>
    <n v="1000"/>
    <s v="PP"/>
    <n v="11"/>
    <n v="681.53000000000009"/>
    <n v="24.200000000000003"/>
    <m/>
    <m/>
    <n v="657.33"/>
    <s v="1744.47"/>
    <m/>
    <m/>
    <m/>
    <n v="0"/>
    <n v="0"/>
    <m/>
    <m/>
    <m/>
    <m/>
    <m/>
    <m/>
    <m/>
    <m/>
    <n v="0"/>
    <n v="0"/>
    <n v="0"/>
    <n v="12"/>
    <n v="12"/>
    <m/>
    <m/>
    <n v="0"/>
    <n v="686.53000000000009"/>
    <m/>
    <x v="28"/>
    <m/>
    <m/>
    <m/>
    <m/>
  </r>
  <r>
    <x v="0"/>
    <x v="3"/>
    <s v="7821/11"/>
    <x v="245"/>
    <s v="العمر پلاسٹک گوجرانوالہ"/>
    <s v="PP"/>
    <n v="18"/>
    <s v="6"/>
    <s v="PP"/>
    <n v="100"/>
    <s v="PP"/>
    <n v="1"/>
    <n v="69.209999999999994"/>
    <n v="2.2000000000000002"/>
    <m/>
    <m/>
    <n v="67.009999999999991"/>
    <s v="125.50999999999999"/>
    <m/>
    <m/>
    <m/>
    <n v="0"/>
    <n v="0"/>
    <m/>
    <m/>
    <m/>
    <m/>
    <m/>
    <m/>
    <m/>
    <m/>
    <n v="0"/>
    <n v="0"/>
    <n v="0"/>
    <n v="12"/>
    <n v="12"/>
    <m/>
    <m/>
    <n v="0"/>
    <n v="74.209999999999994"/>
    <m/>
    <x v="28"/>
    <m/>
    <m/>
    <m/>
    <m/>
  </r>
  <r>
    <x v="1"/>
    <x v="3"/>
    <s v="7821/11"/>
    <x v="245"/>
    <s v="العمر پلاسٹک گوجرانوالہ"/>
    <s v="PP"/>
    <n v="18"/>
    <s v="6"/>
    <s v="PP"/>
    <n v="100"/>
    <s v="PP"/>
    <n v="1"/>
    <n v="60.3"/>
    <n v="1.8"/>
    <m/>
    <m/>
    <n v="58.5"/>
    <s v="125.50999999999999"/>
    <m/>
    <m/>
    <m/>
    <n v="0"/>
    <n v="0"/>
    <m/>
    <m/>
    <m/>
    <m/>
    <m/>
    <m/>
    <m/>
    <m/>
    <n v="0"/>
    <n v="0"/>
    <n v="0"/>
    <n v="12"/>
    <n v="12"/>
    <m/>
    <m/>
    <n v="0"/>
    <n v="65.3"/>
    <m/>
    <x v="28"/>
    <m/>
    <m/>
    <m/>
    <m/>
  </r>
  <r>
    <x v="1"/>
    <x v="3"/>
    <s v="7821/5"/>
    <x v="245"/>
    <s v="العمر پلاسٹک گوجرانوالہ"/>
    <s v="PP"/>
    <n v="18"/>
    <s v="10"/>
    <s v="PP"/>
    <n v="200"/>
    <s v="PP"/>
    <n v="6"/>
    <n v="217.73999999999998"/>
    <n v="10.8"/>
    <m/>
    <m/>
    <n v="206.93999999999997"/>
    <s v="206.93999999999997"/>
    <m/>
    <m/>
    <m/>
    <n v="0"/>
    <n v="0"/>
    <m/>
    <m/>
    <m/>
    <m/>
    <m/>
    <m/>
    <m/>
    <m/>
    <n v="0"/>
    <n v="0"/>
    <n v="0"/>
    <n v="12"/>
    <n v="12"/>
    <m/>
    <m/>
    <n v="0"/>
    <n v="222.74"/>
    <m/>
    <x v="28"/>
    <m/>
    <m/>
    <m/>
    <m/>
  </r>
  <r>
    <x v="1"/>
    <x v="3"/>
    <s v="7891 J"/>
    <x v="245"/>
    <s v="Raza Graments Lahore"/>
    <s v="PP"/>
    <n v="14"/>
    <s v="11.5-12"/>
    <s v="PP"/>
    <n v="1100"/>
    <s v="PP"/>
    <n v="4"/>
    <n v="256.86"/>
    <n v="5.6"/>
    <m/>
    <m/>
    <n v="251.26000000000002"/>
    <s v="1188.6300000000001"/>
    <m/>
    <m/>
    <m/>
    <n v="0"/>
    <n v="0"/>
    <m/>
    <m/>
    <m/>
    <m/>
    <m/>
    <m/>
    <m/>
    <m/>
    <n v="0"/>
    <n v="0"/>
    <n v="0"/>
    <n v="12"/>
    <n v="12"/>
    <m/>
    <m/>
    <n v="0"/>
    <n v="261.86"/>
    <m/>
    <x v="28"/>
    <m/>
    <m/>
    <m/>
    <m/>
  </r>
  <r>
    <x v="1"/>
    <x v="3"/>
    <s v="2999 F"/>
    <x v="245"/>
    <s v="Usman Amin"/>
    <s v="PP"/>
    <n v="14"/>
    <s v="08"/>
    <s v="PP"/>
    <n v="100"/>
    <s v="PP"/>
    <n v="2"/>
    <n v="107.44"/>
    <n v="2.8"/>
    <m/>
    <m/>
    <n v="104.64"/>
    <s v="104.64"/>
    <n v="30"/>
    <m/>
    <m/>
    <n v="30"/>
    <n v="0.5"/>
    <m/>
    <m/>
    <m/>
    <m/>
    <m/>
    <m/>
    <m/>
    <m/>
    <n v="0"/>
    <n v="0"/>
    <n v="0.5"/>
    <n v="11.5"/>
    <n v="12"/>
    <m/>
    <m/>
    <n v="0"/>
    <n v="112.44"/>
    <m/>
    <x v="28"/>
    <m/>
    <m/>
    <m/>
    <m/>
  </r>
  <r>
    <x v="1"/>
    <x v="3"/>
    <s v="18/11"/>
    <x v="245"/>
    <s v="سٹاک"/>
    <s v="PP"/>
    <n v="18"/>
    <n v="5"/>
    <s v="PP"/>
    <n v="1000"/>
    <s v="PP"/>
    <n v="3"/>
    <n v="160.93"/>
    <n v="5.4"/>
    <m/>
    <m/>
    <n v="155.53"/>
    <s v="1744.47"/>
    <m/>
    <m/>
    <m/>
    <n v="0"/>
    <n v="0"/>
    <m/>
    <m/>
    <m/>
    <m/>
    <m/>
    <m/>
    <m/>
    <m/>
    <n v="0"/>
    <n v="0"/>
    <n v="0"/>
    <n v="12"/>
    <n v="12"/>
    <m/>
    <m/>
    <n v="0"/>
    <n v="165.93"/>
    <m/>
    <x v="28"/>
    <m/>
    <m/>
    <m/>
    <m/>
  </r>
  <r>
    <x v="0"/>
    <x v="4"/>
    <s v="7800/6"/>
    <x v="245"/>
    <s v="ملک خالد سلیم فیصل آباد"/>
    <s v="PP"/>
    <n v="13"/>
    <s v="5"/>
    <s v="PP"/>
    <n v="300"/>
    <s v="PP"/>
    <n v="1"/>
    <n v="53.2"/>
    <n v="1.3"/>
    <m/>
    <m/>
    <n v="51.900000000000006"/>
    <s v="525.11"/>
    <m/>
    <m/>
    <m/>
    <n v="0"/>
    <n v="0"/>
    <m/>
    <m/>
    <m/>
    <m/>
    <m/>
    <m/>
    <m/>
    <m/>
    <n v="0"/>
    <n v="0"/>
    <n v="0"/>
    <n v="12"/>
    <n v="12"/>
    <m/>
    <m/>
    <n v="0"/>
    <n v="58.2"/>
    <m/>
    <x v="28"/>
    <m/>
    <m/>
    <m/>
    <m/>
  </r>
  <r>
    <x v="0"/>
    <x v="4"/>
    <s v="7808/1"/>
    <x v="245"/>
    <s v="فہیم پلاسٹک ملتان"/>
    <s v="PP"/>
    <n v="13"/>
    <s v="7"/>
    <s v="PP"/>
    <n v="500"/>
    <s v="PP"/>
    <n v="7"/>
    <n v="414.42"/>
    <n v="9.1"/>
    <m/>
    <m/>
    <n v="405.32"/>
    <s v="504.02"/>
    <m/>
    <m/>
    <m/>
    <n v="0"/>
    <n v="0"/>
    <m/>
    <m/>
    <m/>
    <m/>
    <m/>
    <m/>
    <m/>
    <m/>
    <n v="0"/>
    <n v="0"/>
    <n v="0"/>
    <n v="12"/>
    <n v="12"/>
    <m/>
    <m/>
    <n v="0"/>
    <n v="419.42"/>
    <m/>
    <x v="28"/>
    <m/>
    <m/>
    <m/>
    <m/>
  </r>
  <r>
    <x v="1"/>
    <x v="4"/>
    <s v="7795/2"/>
    <x v="245"/>
    <s v="عمیر خالد محمود رائے ونڈ"/>
    <s v="PP"/>
    <n v="12"/>
    <s v="4"/>
    <s v="PP"/>
    <n v="100"/>
    <s v="PP"/>
    <n v="6"/>
    <n v="325.27999999999997"/>
    <n v="7.1999999999999993"/>
    <m/>
    <m/>
    <n v="318.08"/>
    <s v="406.46999999999997"/>
    <m/>
    <m/>
    <m/>
    <n v="0"/>
    <n v="0"/>
    <m/>
    <m/>
    <m/>
    <m/>
    <m/>
    <m/>
    <m/>
    <m/>
    <n v="0"/>
    <n v="0"/>
    <n v="0"/>
    <n v="12"/>
    <n v="12"/>
    <m/>
    <m/>
    <n v="0"/>
    <n v="330.28"/>
    <m/>
    <x v="28"/>
    <m/>
    <m/>
    <m/>
    <m/>
  </r>
  <r>
    <x v="1"/>
    <x v="4"/>
    <s v="7808/1"/>
    <x v="245"/>
    <s v="فہیم پلاسٹک ملتان"/>
    <s v="PP"/>
    <n v="13"/>
    <s v="7"/>
    <s v="PP"/>
    <n v="500"/>
    <s v="PP"/>
    <n v="2"/>
    <n v="101.30000000000001"/>
    <n v="2.6"/>
    <m/>
    <m/>
    <n v="98.700000000000017"/>
    <s v="504.02"/>
    <n v="30"/>
    <m/>
    <m/>
    <n v="30"/>
    <n v="0.5"/>
    <m/>
    <m/>
    <m/>
    <m/>
    <m/>
    <m/>
    <m/>
    <m/>
    <n v="0"/>
    <n v="0"/>
    <n v="0.5"/>
    <n v="11.5"/>
    <n v="12"/>
    <m/>
    <m/>
    <n v="0"/>
    <n v="106.3"/>
    <m/>
    <x v="28"/>
    <m/>
    <m/>
    <m/>
    <m/>
  </r>
  <r>
    <x v="0"/>
    <x v="0"/>
    <s v="2.5/16"/>
    <x v="246"/>
    <s v="سٹاک"/>
    <s v="PP"/>
    <n v="2.5"/>
    <s v="5.5-6"/>
    <s v="PP"/>
    <s v="15 رول بیگ"/>
    <s v="PP"/>
    <n v="6"/>
    <n v="124.85000000000001"/>
    <n v="1.5"/>
    <n v="30"/>
    <m/>
    <n v="123.35000000000001"/>
    <s v="456.21000000000004"/>
    <m/>
    <m/>
    <m/>
    <n v="0"/>
    <n v="0"/>
    <m/>
    <m/>
    <m/>
    <m/>
    <m/>
    <m/>
    <m/>
    <m/>
    <n v="0"/>
    <n v="0"/>
    <n v="0"/>
    <n v="12"/>
    <n v="12"/>
    <m/>
    <m/>
    <n v="0"/>
    <n v="129.85000000000002"/>
    <m/>
    <x v="29"/>
    <m/>
    <m/>
    <m/>
    <m/>
  </r>
  <r>
    <x v="1"/>
    <x v="0"/>
    <s v="2.5/16"/>
    <x v="246"/>
    <s v="سٹاک"/>
    <s v="PP"/>
    <n v="2.5"/>
    <s v="5.5-6"/>
    <s v="PP"/>
    <s v="15 رول بیگ"/>
    <s v="PP"/>
    <n v="7"/>
    <n v="137.18"/>
    <n v="1.75"/>
    <n v="16"/>
    <m/>
    <n v="135.43"/>
    <s v="456.21000000000004"/>
    <m/>
    <m/>
    <m/>
    <n v="0"/>
    <n v="0"/>
    <m/>
    <m/>
    <m/>
    <m/>
    <m/>
    <m/>
    <m/>
    <m/>
    <n v="0"/>
    <n v="0"/>
    <n v="0"/>
    <n v="12"/>
    <n v="12"/>
    <m/>
    <m/>
    <n v="0"/>
    <n v="142.18"/>
    <m/>
    <x v="29"/>
    <m/>
    <m/>
    <m/>
    <m/>
  </r>
  <r>
    <x v="0"/>
    <x v="1"/>
    <s v="4/18"/>
    <x v="246"/>
    <s v="سٹاک"/>
    <s v="PP"/>
    <n v="4"/>
    <s v="5-5.5"/>
    <s v="PP"/>
    <n v="1000"/>
    <s v="PP"/>
    <n v="11"/>
    <n v="166.64999999999998"/>
    <n v="4.4000000000000004"/>
    <m/>
    <m/>
    <n v="162.24999999999997"/>
    <s v="1135.3999999999999"/>
    <m/>
    <m/>
    <m/>
    <n v="0"/>
    <n v="0"/>
    <m/>
    <m/>
    <m/>
    <m/>
    <m/>
    <m/>
    <m/>
    <m/>
    <n v="0"/>
    <n v="0"/>
    <n v="0"/>
    <n v="12"/>
    <n v="12"/>
    <m/>
    <m/>
    <n v="0"/>
    <n v="171.64999999999998"/>
    <m/>
    <x v="29"/>
    <m/>
    <m/>
    <m/>
    <m/>
  </r>
  <r>
    <x v="1"/>
    <x v="1"/>
    <s v="4/18"/>
    <x v="246"/>
    <s v="سٹاک"/>
    <s v="PP"/>
    <n v="4"/>
    <s v="5-5.5"/>
    <s v="PP"/>
    <n v="1000"/>
    <s v="PP"/>
    <n v="9"/>
    <n v="156.07999999999998"/>
    <n v="3.6"/>
    <m/>
    <m/>
    <n v="152.47999999999999"/>
    <s v="1135.3999999999999"/>
    <n v="20"/>
    <m/>
    <m/>
    <n v="20"/>
    <n v="0.33333333333333331"/>
    <m/>
    <m/>
    <m/>
    <m/>
    <m/>
    <m/>
    <m/>
    <m/>
    <n v="0"/>
    <n v="0"/>
    <n v="0.33333333333333331"/>
    <n v="11.666666666666666"/>
    <n v="12"/>
    <m/>
    <m/>
    <n v="0"/>
    <n v="161.07999999999998"/>
    <m/>
    <x v="29"/>
    <m/>
    <m/>
    <m/>
    <m/>
  </r>
  <r>
    <x v="0"/>
    <x v="3"/>
    <s v="7891 J"/>
    <x v="246"/>
    <s v="Raza Graments Lahore"/>
    <s v="PP"/>
    <n v="14"/>
    <s v="11.5-12"/>
    <s v="PP"/>
    <n v="1100"/>
    <s v="PP"/>
    <n v="12"/>
    <n v="731.1400000000001"/>
    <n v="16.799999999999997"/>
    <n v="43"/>
    <m/>
    <n v="714.34000000000015"/>
    <s v="1188.6300000000001"/>
    <m/>
    <m/>
    <m/>
    <n v="0"/>
    <n v="0"/>
    <m/>
    <m/>
    <m/>
    <m/>
    <m/>
    <m/>
    <m/>
    <m/>
    <n v="0"/>
    <n v="0"/>
    <n v="0"/>
    <n v="12"/>
    <n v="12"/>
    <m/>
    <m/>
    <n v="0"/>
    <n v="736.1400000000001"/>
    <m/>
    <x v="29"/>
    <m/>
    <m/>
    <m/>
    <m/>
  </r>
  <r>
    <x v="1"/>
    <x v="3"/>
    <s v="7891 J"/>
    <x v="246"/>
    <s v="Raza Graments Lahore"/>
    <s v="PP"/>
    <n v="14"/>
    <s v="11.5-12"/>
    <s v="PP"/>
    <n v="1100"/>
    <s v="PP"/>
    <n v="4"/>
    <n v="229.43"/>
    <n v="6.4"/>
    <m/>
    <m/>
    <n v="223.03"/>
    <s v="1188.6300000000001"/>
    <m/>
    <m/>
    <m/>
    <n v="0"/>
    <n v="0"/>
    <m/>
    <m/>
    <m/>
    <m/>
    <m/>
    <m/>
    <m/>
    <m/>
    <n v="0"/>
    <n v="0"/>
    <n v="0"/>
    <n v="12"/>
    <n v="12"/>
    <m/>
    <m/>
    <n v="0"/>
    <n v="234.43"/>
    <m/>
    <x v="29"/>
    <m/>
    <m/>
    <m/>
    <m/>
  </r>
  <r>
    <x v="1"/>
    <x v="3"/>
    <s v="28/5"/>
    <x v="246"/>
    <s v="سٹاک"/>
    <s v="PP"/>
    <n v="28"/>
    <n v="5"/>
    <s v="PP"/>
    <n v="1000"/>
    <s v="PP"/>
    <n v="7"/>
    <n v="490.28"/>
    <n v="24.5"/>
    <m/>
    <m/>
    <n v="465.78"/>
    <s v="1055.3499999999999"/>
    <n v="35"/>
    <m/>
    <m/>
    <n v="35"/>
    <n v="0.58333333333333337"/>
    <m/>
    <m/>
    <m/>
    <m/>
    <m/>
    <m/>
    <m/>
    <m/>
    <n v="0"/>
    <n v="0"/>
    <n v="0.58333333333333337"/>
    <n v="11.416666666666666"/>
    <n v="12"/>
    <m/>
    <m/>
    <n v="0"/>
    <n v="495.28"/>
    <m/>
    <x v="29"/>
    <m/>
    <m/>
    <m/>
    <m/>
  </r>
  <r>
    <x v="0"/>
    <x v="4"/>
    <s v="7795/2"/>
    <x v="246"/>
    <s v="عمیر خالد محمود رائے ونڈ"/>
    <s v="PP"/>
    <n v="12"/>
    <s v="4"/>
    <s v="PP"/>
    <n v="100"/>
    <s v="PP"/>
    <n v="2"/>
    <n v="90.789999999999992"/>
    <n v="2.4"/>
    <m/>
    <m/>
    <n v="88.389999999999986"/>
    <s v="406.46999999999997"/>
    <m/>
    <m/>
    <m/>
    <n v="0"/>
    <n v="0"/>
    <m/>
    <m/>
    <m/>
    <m/>
    <m/>
    <m/>
    <m/>
    <m/>
    <n v="0"/>
    <n v="0"/>
    <n v="0"/>
    <n v="12"/>
    <n v="12"/>
    <m/>
    <m/>
    <n v="0"/>
    <n v="95.79"/>
    <m/>
    <x v="29"/>
    <m/>
    <m/>
    <m/>
    <m/>
  </r>
  <r>
    <x v="0"/>
    <x v="4"/>
    <s v="12/16"/>
    <x v="246"/>
    <s v="سٹاک"/>
    <s v="PP"/>
    <n v="12"/>
    <n v="5"/>
    <s v="PP"/>
    <n v="1500"/>
    <s v="PP"/>
    <n v="3"/>
    <n v="137.25"/>
    <n v="3.5999999999999996"/>
    <m/>
    <m/>
    <n v="133.65"/>
    <s v="651.80000000000007"/>
    <m/>
    <m/>
    <m/>
    <n v="0"/>
    <n v="0"/>
    <m/>
    <m/>
    <m/>
    <m/>
    <m/>
    <m/>
    <m/>
    <m/>
    <n v="0"/>
    <n v="0"/>
    <n v="0"/>
    <n v="12"/>
    <n v="12"/>
    <m/>
    <m/>
    <n v="0"/>
    <n v="142.25"/>
    <m/>
    <x v="29"/>
    <m/>
    <m/>
    <m/>
    <m/>
  </r>
  <r>
    <x v="0"/>
    <x v="4"/>
    <s v="7797/1"/>
    <x v="246"/>
    <s v="ایم دین پنڈی"/>
    <s v="PP"/>
    <n v="12"/>
    <s v="15"/>
    <s v="PP"/>
    <n v="150"/>
    <s v="PP"/>
    <n v="3"/>
    <n v="159.77000000000001"/>
    <n v="3.5999999999999996"/>
    <m/>
    <m/>
    <n v="156.17000000000002"/>
    <s v="156.17000000000002"/>
    <m/>
    <m/>
    <m/>
    <n v="0"/>
    <n v="0"/>
    <m/>
    <m/>
    <m/>
    <m/>
    <m/>
    <m/>
    <m/>
    <m/>
    <n v="0"/>
    <n v="0"/>
    <n v="0"/>
    <n v="12"/>
    <n v="12"/>
    <m/>
    <m/>
    <n v="0"/>
    <n v="164.77"/>
    <m/>
    <x v="29"/>
    <m/>
    <m/>
    <m/>
    <m/>
  </r>
  <r>
    <x v="0"/>
    <x v="4"/>
    <s v="7793/2"/>
    <x v="246"/>
    <s v="اسلم پلاسٹک ملتان"/>
    <s v="PP"/>
    <n v="12"/>
    <s v="7"/>
    <s v="PP"/>
    <n v="50"/>
    <s v="PP"/>
    <n v="1"/>
    <n v="54.2"/>
    <n v="1.2"/>
    <m/>
    <m/>
    <n v="53"/>
    <s v="53"/>
    <m/>
    <m/>
    <m/>
    <n v="0"/>
    <n v="0"/>
    <m/>
    <m/>
    <m/>
    <m/>
    <m/>
    <m/>
    <m/>
    <m/>
    <n v="0"/>
    <n v="0"/>
    <n v="0"/>
    <n v="12"/>
    <n v="12"/>
    <m/>
    <m/>
    <n v="0"/>
    <n v="59.2"/>
    <m/>
    <x v="29"/>
    <m/>
    <m/>
    <m/>
    <m/>
  </r>
  <r>
    <x v="1"/>
    <x v="4"/>
    <s v="12/16"/>
    <x v="246"/>
    <s v="سٹاک"/>
    <s v="PP"/>
    <n v="12"/>
    <n v="5"/>
    <s v="PP"/>
    <n v="1500"/>
    <s v="PP"/>
    <n v="10"/>
    <n v="531.65000000000009"/>
    <n v="13.5"/>
    <m/>
    <m/>
    <n v="518.15000000000009"/>
    <s v="651.80000000000007"/>
    <m/>
    <m/>
    <m/>
    <n v="0"/>
    <n v="0"/>
    <m/>
    <m/>
    <m/>
    <m/>
    <m/>
    <m/>
    <m/>
    <m/>
    <n v="0"/>
    <n v="0"/>
    <n v="0"/>
    <n v="12"/>
    <n v="12"/>
    <m/>
    <m/>
    <n v="0"/>
    <n v="536.65000000000009"/>
    <m/>
    <x v="29"/>
    <m/>
    <m/>
    <m/>
    <m/>
  </r>
  <r>
    <x v="0"/>
    <x v="0"/>
    <s v="2.5/16"/>
    <x v="247"/>
    <s v="سٹاک"/>
    <s v="PP"/>
    <n v="2.5"/>
    <s v="5.5-6"/>
    <s v="PP"/>
    <s v="15 رول بیگ"/>
    <s v="PP"/>
    <n v="7"/>
    <n v="126.21"/>
    <n v="1.75"/>
    <n v="26"/>
    <m/>
    <n v="124.46"/>
    <s v="456.21000000000004"/>
    <m/>
    <m/>
    <m/>
    <n v="0"/>
    <n v="0"/>
    <m/>
    <m/>
    <m/>
    <m/>
    <m/>
    <m/>
    <m/>
    <m/>
    <n v="0"/>
    <n v="0"/>
    <n v="0"/>
    <n v="12"/>
    <n v="12"/>
    <m/>
    <m/>
    <n v="0"/>
    <n v="131.20999999999998"/>
    <m/>
    <x v="29"/>
    <m/>
    <m/>
    <m/>
    <m/>
  </r>
  <r>
    <x v="1"/>
    <x v="0"/>
    <s v="2.5/16"/>
    <x v="247"/>
    <s v="سٹاک"/>
    <s v="PP"/>
    <n v="2.5"/>
    <s v="5.5-6"/>
    <s v="PP"/>
    <s v="15 رول بیگ"/>
    <s v="PP"/>
    <n v="5"/>
    <n v="74.22"/>
    <n v="1.25"/>
    <n v="31"/>
    <m/>
    <n v="72.97"/>
    <s v="456.21000000000004"/>
    <n v="10"/>
    <m/>
    <m/>
    <n v="10"/>
    <n v="0.16666666666666666"/>
    <m/>
    <m/>
    <m/>
    <m/>
    <m/>
    <m/>
    <m/>
    <m/>
    <n v="0"/>
    <n v="0"/>
    <n v="0.16666666666666666"/>
    <n v="11.833333333333334"/>
    <n v="12"/>
    <m/>
    <m/>
    <n v="0"/>
    <n v="79.22"/>
    <m/>
    <x v="29"/>
    <m/>
    <m/>
    <m/>
    <m/>
  </r>
  <r>
    <x v="1"/>
    <x v="0"/>
    <s v="2/7"/>
    <x v="247"/>
    <s v="سٹاک"/>
    <s v="PP"/>
    <n v="2"/>
    <s v="5.5-6"/>
    <s v="PP"/>
    <s v="15 رول بیگ"/>
    <s v="PP"/>
    <n v="2"/>
    <n v="39.81"/>
    <n v="0.4"/>
    <m/>
    <m/>
    <n v="39.410000000000004"/>
    <s v="423.19"/>
    <m/>
    <m/>
    <m/>
    <n v="0"/>
    <n v="0"/>
    <m/>
    <m/>
    <m/>
    <m/>
    <m/>
    <m/>
    <m/>
    <m/>
    <n v="0"/>
    <n v="0"/>
    <n v="0"/>
    <n v="12"/>
    <n v="12"/>
    <m/>
    <m/>
    <n v="0"/>
    <n v="44.81"/>
    <m/>
    <x v="29"/>
    <m/>
    <m/>
    <m/>
    <m/>
  </r>
  <r>
    <x v="0"/>
    <x v="1"/>
    <s v="3/17"/>
    <x v="247"/>
    <s v="سٹاک"/>
    <s v="PP"/>
    <n v="3"/>
    <s v="5.5-6"/>
    <s v="PP"/>
    <n v="1000"/>
    <s v="PP"/>
    <n v="11"/>
    <n v="146.28"/>
    <n v="3.3"/>
    <m/>
    <m/>
    <n v="142.97999999999999"/>
    <s v="722.53"/>
    <m/>
    <m/>
    <m/>
    <n v="0"/>
    <n v="0"/>
    <m/>
    <m/>
    <n v="30"/>
    <m/>
    <m/>
    <m/>
    <m/>
    <m/>
    <n v="30"/>
    <n v="0.5"/>
    <n v="0.5"/>
    <n v="11.5"/>
    <n v="12"/>
    <m/>
    <m/>
    <n v="0"/>
    <n v="151.28"/>
    <m/>
    <x v="29"/>
    <m/>
    <m/>
    <m/>
    <m/>
  </r>
  <r>
    <x v="1"/>
    <x v="1"/>
    <s v="3/17"/>
    <x v="247"/>
    <s v="سٹاک"/>
    <s v="PP"/>
    <n v="3"/>
    <s v="5.5-6"/>
    <s v="PP"/>
    <n v="1000"/>
    <s v="PP"/>
    <n v="12"/>
    <n v="141.43"/>
    <n v="3.5999999999999996"/>
    <m/>
    <m/>
    <n v="137.83000000000001"/>
    <s v="722.53"/>
    <m/>
    <m/>
    <m/>
    <n v="0"/>
    <n v="0"/>
    <m/>
    <m/>
    <m/>
    <m/>
    <m/>
    <m/>
    <m/>
    <m/>
    <n v="0"/>
    <n v="0"/>
    <n v="0"/>
    <n v="12"/>
    <n v="12"/>
    <m/>
    <m/>
    <n v="0"/>
    <n v="146.43"/>
    <m/>
    <x v="29"/>
    <m/>
    <m/>
    <m/>
    <m/>
  </r>
  <r>
    <x v="0"/>
    <x v="3"/>
    <s v="28/5"/>
    <x v="247"/>
    <s v="سٹاک"/>
    <s v="PP"/>
    <n v="28"/>
    <n v="5"/>
    <s v="PP"/>
    <n v="1000"/>
    <s v="PP"/>
    <n v="9"/>
    <n v="614.7700000000001"/>
    <n v="25.2"/>
    <m/>
    <m/>
    <n v="589.57000000000005"/>
    <s v="1055.3499999999999"/>
    <m/>
    <m/>
    <m/>
    <n v="0"/>
    <n v="0"/>
    <m/>
    <m/>
    <m/>
    <m/>
    <m/>
    <m/>
    <m/>
    <m/>
    <n v="0"/>
    <n v="0"/>
    <n v="0"/>
    <n v="12"/>
    <n v="12"/>
    <m/>
    <m/>
    <n v="0"/>
    <n v="619.7700000000001"/>
    <m/>
    <x v="29"/>
    <m/>
    <m/>
    <m/>
    <m/>
  </r>
  <r>
    <x v="0"/>
    <x v="3"/>
    <s v="7856 J"/>
    <x v="247"/>
    <s v="Jilani Poly Stock"/>
    <s v="PP"/>
    <n v="28"/>
    <s v="5-5.5"/>
    <s v="PP"/>
    <s v="-"/>
    <s v="PP"/>
    <n v="2"/>
    <n v="120.11"/>
    <n v="5.6"/>
    <m/>
    <m/>
    <n v="114.51"/>
    <s v="1653.81"/>
    <m/>
    <m/>
    <m/>
    <n v="0"/>
    <n v="0"/>
    <m/>
    <m/>
    <m/>
    <m/>
    <m/>
    <m/>
    <m/>
    <m/>
    <n v="0"/>
    <n v="0"/>
    <n v="0"/>
    <n v="12"/>
    <n v="12"/>
    <m/>
    <m/>
    <n v="0"/>
    <n v="125.11"/>
    <m/>
    <x v="29"/>
    <m/>
    <m/>
    <m/>
    <m/>
  </r>
  <r>
    <x v="1"/>
    <x v="3"/>
    <s v="7856 J"/>
    <x v="247"/>
    <s v="Jilani Poly Stock"/>
    <s v="PP"/>
    <n v="28"/>
    <s v="5-5.5"/>
    <s v="PP"/>
    <s v="-"/>
    <s v="PP"/>
    <n v="10"/>
    <n v="753.74"/>
    <n v="28"/>
    <m/>
    <m/>
    <n v="725.74"/>
    <s v="1653.81"/>
    <m/>
    <m/>
    <m/>
    <n v="0"/>
    <n v="0"/>
    <m/>
    <m/>
    <m/>
    <m/>
    <m/>
    <m/>
    <m/>
    <m/>
    <n v="0"/>
    <n v="0"/>
    <n v="0"/>
    <n v="12"/>
    <n v="12"/>
    <m/>
    <m/>
    <n v="0"/>
    <n v="758.74"/>
    <m/>
    <x v="29"/>
    <m/>
    <m/>
    <m/>
    <m/>
  </r>
  <r>
    <x v="0"/>
    <x v="4"/>
    <s v="12/6"/>
    <x v="247"/>
    <s v="سٹاک"/>
    <s v="PP"/>
    <n v="12"/>
    <n v="5"/>
    <s v="PP"/>
    <n v="1000"/>
    <s v="PP"/>
    <n v="10"/>
    <n v="517.99"/>
    <n v="12"/>
    <m/>
    <m/>
    <n v="505.99"/>
    <s v="2091.0699999999997"/>
    <m/>
    <m/>
    <m/>
    <n v="0"/>
    <n v="0"/>
    <m/>
    <m/>
    <m/>
    <m/>
    <m/>
    <m/>
    <m/>
    <m/>
    <n v="0"/>
    <n v="0"/>
    <n v="0"/>
    <n v="12"/>
    <n v="12"/>
    <m/>
    <m/>
    <n v="0"/>
    <n v="522.99"/>
    <m/>
    <x v="29"/>
    <m/>
    <m/>
    <m/>
    <m/>
  </r>
  <r>
    <x v="1"/>
    <x v="4"/>
    <s v="12/6"/>
    <x v="247"/>
    <s v="سٹاک"/>
    <s v="PP"/>
    <n v="12"/>
    <n v="5"/>
    <s v="PP"/>
    <n v="1000"/>
    <s v="PP"/>
    <n v="9"/>
    <n v="475.86"/>
    <n v="10.799999999999999"/>
    <m/>
    <m/>
    <n v="465.06"/>
    <s v="2091.0699999999997"/>
    <n v="25"/>
    <m/>
    <m/>
    <n v="25"/>
    <n v="0.41666666666666674"/>
    <m/>
    <m/>
    <m/>
    <m/>
    <m/>
    <m/>
    <m/>
    <m/>
    <n v="0"/>
    <n v="0"/>
    <n v="0.41666666666666674"/>
    <n v="11.583333333333334"/>
    <n v="12"/>
    <m/>
    <m/>
    <n v="0"/>
    <n v="480.86"/>
    <m/>
    <x v="29"/>
    <m/>
    <m/>
    <m/>
    <m/>
  </r>
  <r>
    <x v="0"/>
    <x v="0"/>
    <s v="2/7"/>
    <x v="248"/>
    <s v="سٹاک"/>
    <s v="PP"/>
    <n v="2"/>
    <s v="5.5-6"/>
    <s v="PP"/>
    <s v="15 رول بیگ"/>
    <s v="PP"/>
    <n v="6"/>
    <n v="90.11999999999999"/>
    <n v="1.2000000000000002"/>
    <n v="15"/>
    <m/>
    <n v="88.919999999999987"/>
    <s v="423.19"/>
    <m/>
    <m/>
    <m/>
    <n v="0"/>
    <n v="0"/>
    <m/>
    <m/>
    <m/>
    <m/>
    <m/>
    <m/>
    <m/>
    <m/>
    <n v="0"/>
    <n v="0"/>
    <n v="0"/>
    <n v="12"/>
    <n v="12"/>
    <m/>
    <m/>
    <n v="0"/>
    <n v="95.12"/>
    <m/>
    <x v="29"/>
    <m/>
    <m/>
    <m/>
    <m/>
  </r>
  <r>
    <x v="1"/>
    <x v="0"/>
    <s v="2/7"/>
    <x v="248"/>
    <s v="سٹاک"/>
    <s v="PP"/>
    <n v="2"/>
    <s v="5.5-6"/>
    <s v="PP"/>
    <s v="15 رول بیگ"/>
    <s v="PP"/>
    <n v="6"/>
    <n v="107.24"/>
    <n v="1.2000000000000002"/>
    <n v="20"/>
    <m/>
    <n v="106.03999999999999"/>
    <s v="423.19"/>
    <m/>
    <m/>
    <m/>
    <n v="0"/>
    <n v="0"/>
    <m/>
    <m/>
    <m/>
    <m/>
    <m/>
    <m/>
    <m/>
    <m/>
    <n v="0"/>
    <n v="0"/>
    <n v="0"/>
    <n v="12"/>
    <n v="12"/>
    <m/>
    <m/>
    <n v="0"/>
    <n v="112.24"/>
    <m/>
    <x v="29"/>
    <m/>
    <m/>
    <m/>
    <m/>
  </r>
  <r>
    <x v="0"/>
    <x v="1"/>
    <s v="3/17"/>
    <x v="248"/>
    <s v="سٹاک"/>
    <s v="PP"/>
    <n v="3"/>
    <s v="5.5-6"/>
    <s v="PP"/>
    <n v="1000"/>
    <s v="PP"/>
    <n v="4"/>
    <n v="46.52"/>
    <n v="1.2"/>
    <m/>
    <m/>
    <n v="45.32"/>
    <s v="722.53"/>
    <n v="25"/>
    <m/>
    <m/>
    <n v="25"/>
    <n v="0.41666666666666674"/>
    <m/>
    <m/>
    <n v="330"/>
    <m/>
    <m/>
    <m/>
    <n v="35"/>
    <m/>
    <n v="365"/>
    <n v="6.083333333333333"/>
    <n v="6.5"/>
    <n v="5.5"/>
    <n v="12"/>
    <m/>
    <m/>
    <n v="0"/>
    <n v="51.52"/>
    <m/>
    <x v="29"/>
    <m/>
    <m/>
    <m/>
    <m/>
  </r>
  <r>
    <x v="1"/>
    <x v="1"/>
    <s v="7827/16"/>
    <x v="248"/>
    <s v="آ صف پلاسٹک سرگودھا"/>
    <s v="PP"/>
    <n v="3.5"/>
    <s v="4"/>
    <s v="PP"/>
    <n v="300"/>
    <s v="PP"/>
    <n v="9"/>
    <n v="136.45999999999998"/>
    <n v="3.15"/>
    <m/>
    <m/>
    <n v="133.30999999999997"/>
    <s v="362.09999999999997"/>
    <m/>
    <m/>
    <m/>
    <n v="0"/>
    <n v="0"/>
    <m/>
    <m/>
    <m/>
    <m/>
    <m/>
    <m/>
    <m/>
    <m/>
    <n v="0"/>
    <n v="0"/>
    <n v="0"/>
    <n v="12"/>
    <n v="12"/>
    <m/>
    <m/>
    <n v="0"/>
    <n v="141.45999999999998"/>
    <m/>
    <x v="29"/>
    <m/>
    <m/>
    <m/>
    <m/>
  </r>
  <r>
    <x v="0"/>
    <x v="3"/>
    <s v="7856 J"/>
    <x v="248"/>
    <s v="Jilani Poly Stock"/>
    <s v="PP"/>
    <n v="28"/>
    <s v="5-5.5"/>
    <s v="PP"/>
    <s v="-"/>
    <s v="PP"/>
    <n v="9"/>
    <n v="699.89"/>
    <n v="31.41"/>
    <m/>
    <m/>
    <n v="668.48"/>
    <s v="1653.81"/>
    <m/>
    <m/>
    <m/>
    <n v="0"/>
    <n v="0"/>
    <n v="60"/>
    <m/>
    <m/>
    <m/>
    <m/>
    <m/>
    <m/>
    <m/>
    <n v="60"/>
    <n v="1"/>
    <n v="1"/>
    <n v="11"/>
    <n v="12"/>
    <m/>
    <m/>
    <n v="0"/>
    <n v="704.89"/>
    <m/>
    <x v="29"/>
    <m/>
    <m/>
    <m/>
    <m/>
  </r>
  <r>
    <x v="1"/>
    <x v="3"/>
    <s v="7856 J"/>
    <x v="248"/>
    <s v="Jilani Poly Stock"/>
    <s v="PP"/>
    <n v="28"/>
    <s v="5-5.5"/>
    <s v="PP"/>
    <s v="-"/>
    <s v="PP"/>
    <n v="2"/>
    <n v="152.07999999999998"/>
    <n v="7"/>
    <m/>
    <m/>
    <n v="145.07999999999998"/>
    <s v="1653.81"/>
    <m/>
    <m/>
    <m/>
    <n v="0"/>
    <n v="0"/>
    <m/>
    <m/>
    <m/>
    <m/>
    <m/>
    <m/>
    <m/>
    <m/>
    <n v="0"/>
    <n v="0"/>
    <n v="0"/>
    <n v="12"/>
    <n v="12"/>
    <m/>
    <m/>
    <n v="0"/>
    <n v="157.07999999999998"/>
    <m/>
    <x v="29"/>
    <m/>
    <m/>
    <m/>
    <m/>
  </r>
  <r>
    <x v="1"/>
    <x v="3"/>
    <s v="7948 J"/>
    <x v="248"/>
    <s v="Alam Baker Shahdrah"/>
    <s v="PP"/>
    <n v="19"/>
    <s v="6-6.5"/>
    <s v="PP"/>
    <n v="100"/>
    <s v="PP"/>
    <n v="2"/>
    <n v="129.12"/>
    <n v="4.4000000000000004"/>
    <m/>
    <m/>
    <n v="124.72"/>
    <s v="124.72"/>
    <m/>
    <m/>
    <m/>
    <n v="0"/>
    <n v="0"/>
    <m/>
    <m/>
    <m/>
    <m/>
    <m/>
    <m/>
    <m/>
    <m/>
    <n v="0"/>
    <n v="0"/>
    <n v="0"/>
    <n v="12"/>
    <n v="12"/>
    <m/>
    <m/>
    <n v="0"/>
    <n v="134.12"/>
    <m/>
    <x v="29"/>
    <m/>
    <m/>
    <m/>
    <m/>
  </r>
  <r>
    <x v="1"/>
    <x v="3"/>
    <s v="7827/15"/>
    <x v="248"/>
    <s v="آ صف پلاسٹک سرگودھا"/>
    <s v="PP"/>
    <n v="16"/>
    <s v="4"/>
    <s v="PP"/>
    <n v="200"/>
    <s v="PP"/>
    <n v="4"/>
    <n v="203.97"/>
    <n v="7.6"/>
    <m/>
    <m/>
    <n v="196.37"/>
    <s v="196.37"/>
    <m/>
    <m/>
    <m/>
    <n v="0"/>
    <n v="0"/>
    <m/>
    <m/>
    <m/>
    <m/>
    <m/>
    <m/>
    <m/>
    <m/>
    <n v="0"/>
    <n v="0"/>
    <n v="0"/>
    <n v="12"/>
    <n v="12"/>
    <m/>
    <m/>
    <n v="0"/>
    <n v="208.97"/>
    <m/>
    <x v="29"/>
    <m/>
    <m/>
    <m/>
    <m/>
  </r>
  <r>
    <x v="1"/>
    <x v="3"/>
    <s v="7953 J"/>
    <x v="248"/>
    <s v="Khan Chapli Kabab and Fish Coner Lahore"/>
    <s v="PP"/>
    <n v="16"/>
    <n v="9"/>
    <s v="PP"/>
    <n v="100"/>
    <s v="PP"/>
    <n v="2"/>
    <n v="115.06"/>
    <n v="3.8"/>
    <m/>
    <m/>
    <n v="111.26"/>
    <s v="111.26"/>
    <m/>
    <m/>
    <m/>
    <n v="0"/>
    <n v="0"/>
    <m/>
    <m/>
    <m/>
    <m/>
    <m/>
    <m/>
    <m/>
    <m/>
    <n v="0"/>
    <n v="0"/>
    <n v="0"/>
    <n v="12"/>
    <n v="12"/>
    <m/>
    <m/>
    <n v="0"/>
    <n v="120.06"/>
    <m/>
    <x v="29"/>
    <m/>
    <m/>
    <m/>
    <m/>
  </r>
  <r>
    <x v="0"/>
    <x v="4"/>
    <s v="8/12"/>
    <x v="248"/>
    <s v="سٹاک"/>
    <s v="PP"/>
    <n v="8"/>
    <n v="5"/>
    <s v="PP"/>
    <n v="1500"/>
    <s v="PP"/>
    <n v="8"/>
    <n v="318.73"/>
    <n v="6.4"/>
    <n v="2"/>
    <m/>
    <n v="312.33000000000004"/>
    <s v="2110.27"/>
    <m/>
    <m/>
    <m/>
    <n v="0"/>
    <n v="0"/>
    <m/>
    <m/>
    <m/>
    <m/>
    <m/>
    <m/>
    <m/>
    <m/>
    <n v="0"/>
    <n v="0"/>
    <n v="0"/>
    <n v="12"/>
    <n v="12"/>
    <m/>
    <m/>
    <n v="0"/>
    <n v="323.73"/>
    <m/>
    <x v="29"/>
    <m/>
    <m/>
    <m/>
    <m/>
  </r>
  <r>
    <x v="1"/>
    <x v="4"/>
    <s v="8/12"/>
    <x v="248"/>
    <s v="سٹاک"/>
    <s v="PP"/>
    <n v="8"/>
    <n v="5"/>
    <s v="PP"/>
    <n v="1500"/>
    <s v="PP"/>
    <n v="7"/>
    <n v="300.95000000000005"/>
    <n v="5.6000000000000005"/>
    <n v="2"/>
    <m/>
    <n v="295.35000000000002"/>
    <s v="2110.27"/>
    <m/>
    <m/>
    <m/>
    <n v="0"/>
    <n v="0"/>
    <m/>
    <m/>
    <m/>
    <m/>
    <m/>
    <m/>
    <m/>
    <m/>
    <n v="0"/>
    <n v="0"/>
    <n v="0"/>
    <n v="12"/>
    <n v="12"/>
    <m/>
    <m/>
    <n v="0"/>
    <n v="305.95000000000005"/>
    <m/>
    <x v="29"/>
    <m/>
    <m/>
    <m/>
    <m/>
  </r>
  <r>
    <x v="0"/>
    <x v="0"/>
    <s v="2/7"/>
    <x v="249"/>
    <s v="سٹاک"/>
    <s v="PP"/>
    <n v="2"/>
    <s v="5.5-6"/>
    <s v="PP"/>
    <s v="15 رول بیگ"/>
    <s v="PP"/>
    <n v="6"/>
    <n v="105.17"/>
    <n v="1.2000000000000002"/>
    <n v="22"/>
    <m/>
    <n v="103.97"/>
    <s v="423.19"/>
    <m/>
    <m/>
    <m/>
    <n v="0"/>
    <n v="0"/>
    <m/>
    <m/>
    <m/>
    <m/>
    <m/>
    <m/>
    <m/>
    <m/>
    <n v="0"/>
    <n v="0"/>
    <n v="0"/>
    <n v="12"/>
    <n v="12"/>
    <m/>
    <m/>
    <n v="0"/>
    <n v="110.17"/>
    <m/>
    <x v="29"/>
    <m/>
    <m/>
    <m/>
    <m/>
  </r>
  <r>
    <x v="1"/>
    <x v="0"/>
    <s v="2/7"/>
    <x v="249"/>
    <s v="سٹاک"/>
    <s v="PP"/>
    <n v="2"/>
    <s v="5.5-6"/>
    <s v="PP"/>
    <s v="15 رول بیگ"/>
    <s v="PP"/>
    <n v="6"/>
    <n v="86.050000000000011"/>
    <n v="1.2000000000000002"/>
    <n v="32"/>
    <m/>
    <n v="84.850000000000009"/>
    <s v="423.19"/>
    <m/>
    <m/>
    <m/>
    <n v="0"/>
    <n v="0"/>
    <m/>
    <m/>
    <m/>
    <m/>
    <m/>
    <m/>
    <m/>
    <m/>
    <n v="0"/>
    <n v="0"/>
    <n v="0"/>
    <n v="12"/>
    <n v="12"/>
    <m/>
    <m/>
    <n v="0"/>
    <n v="91.050000000000011"/>
    <m/>
    <x v="29"/>
    <m/>
    <m/>
    <m/>
    <m/>
  </r>
  <r>
    <x v="1"/>
    <x v="0"/>
    <s v="3/17"/>
    <x v="249"/>
    <s v="سٹاک"/>
    <s v="PP"/>
    <n v="3"/>
    <s v="5.5-6"/>
    <s v="PP"/>
    <n v="1000"/>
    <s v="PP"/>
    <n v="1"/>
    <n v="15"/>
    <n v="0.3"/>
    <m/>
    <m/>
    <n v="14.7"/>
    <s v="722.53"/>
    <n v="25"/>
    <m/>
    <m/>
    <n v="25"/>
    <n v="0.41666666666666674"/>
    <m/>
    <m/>
    <m/>
    <m/>
    <m/>
    <m/>
    <m/>
    <m/>
    <n v="0"/>
    <n v="0"/>
    <n v="0.41666666666666674"/>
    <n v="11.583333333333334"/>
    <n v="12"/>
    <m/>
    <m/>
    <n v="0"/>
    <n v="20"/>
    <m/>
    <x v="29"/>
    <m/>
    <m/>
    <m/>
    <m/>
  </r>
  <r>
    <x v="0"/>
    <x v="1"/>
    <s v="7827/16"/>
    <x v="249"/>
    <s v="آ صف پلاسٹک سرگودھا"/>
    <s v="PP"/>
    <n v="3.5"/>
    <s v="4"/>
    <s v="PP"/>
    <n v="300"/>
    <s v="PP"/>
    <n v="8"/>
    <n v="114.72"/>
    <n v="2.8"/>
    <m/>
    <m/>
    <n v="111.92"/>
    <s v="362.09999999999997"/>
    <m/>
    <m/>
    <m/>
    <n v="0"/>
    <n v="0"/>
    <m/>
    <m/>
    <m/>
    <m/>
    <m/>
    <m/>
    <m/>
    <m/>
    <n v="0"/>
    <n v="0"/>
    <n v="0"/>
    <n v="12"/>
    <n v="12"/>
    <m/>
    <m/>
    <n v="0"/>
    <n v="119.72"/>
    <m/>
    <x v="29"/>
    <m/>
    <m/>
    <m/>
    <m/>
  </r>
  <r>
    <x v="1"/>
    <x v="1"/>
    <s v="7827/16"/>
    <x v="249"/>
    <s v="آ صف پلاسٹک سرگودھا"/>
    <s v="PP"/>
    <n v="3.5"/>
    <s v="4"/>
    <s v="PP"/>
    <n v="300"/>
    <s v="PP"/>
    <n v="8"/>
    <n v="119.67"/>
    <n v="2.8"/>
    <m/>
    <m/>
    <n v="116.87"/>
    <s v="362.09999999999997"/>
    <m/>
    <m/>
    <m/>
    <n v="0"/>
    <n v="0"/>
    <m/>
    <m/>
    <m/>
    <m/>
    <m/>
    <m/>
    <m/>
    <m/>
    <n v="0"/>
    <n v="0"/>
    <n v="0"/>
    <n v="12"/>
    <n v="12"/>
    <m/>
    <m/>
    <n v="0"/>
    <n v="124.67"/>
    <m/>
    <x v="29"/>
    <m/>
    <m/>
    <m/>
    <m/>
  </r>
  <r>
    <x v="1"/>
    <x v="1"/>
    <s v="7827/20"/>
    <x v="249"/>
    <s v="آ صف پلاسٹک سرگودھا"/>
    <s v="PP"/>
    <n v="4"/>
    <s v="4"/>
    <s v="PP"/>
    <n v="200"/>
    <s v="PP"/>
    <n v="1"/>
    <n v="15.87"/>
    <n v="0.4"/>
    <m/>
    <m/>
    <n v="15.469999999999999"/>
    <s v="15.469999999999999"/>
    <n v="20"/>
    <m/>
    <m/>
    <n v="20"/>
    <n v="0.33333333333333331"/>
    <m/>
    <m/>
    <m/>
    <m/>
    <m/>
    <m/>
    <m/>
    <m/>
    <n v="0"/>
    <n v="0"/>
    <n v="0.33333333333333331"/>
    <n v="11.666666666666666"/>
    <n v="12"/>
    <m/>
    <m/>
    <n v="0"/>
    <n v="20.869999999999997"/>
    <m/>
    <x v="29"/>
    <m/>
    <m/>
    <m/>
    <m/>
  </r>
  <r>
    <x v="0"/>
    <x v="3"/>
    <s v="7824/1"/>
    <x v="249"/>
    <s v="ون سیٹ گارمینٹس انار کلی"/>
    <s v="PP"/>
    <n v="16"/>
    <s v="6"/>
    <s v="PP"/>
    <s v="80"/>
    <s v="PP"/>
    <n v="2"/>
    <n v="133.34"/>
    <n v="3.2"/>
    <m/>
    <m/>
    <n v="130.14000000000001"/>
    <s v="130.14000000000001"/>
    <m/>
    <m/>
    <m/>
    <n v="0"/>
    <n v="0"/>
    <m/>
    <m/>
    <m/>
    <m/>
    <m/>
    <m/>
    <m/>
    <m/>
    <n v="0"/>
    <n v="0"/>
    <n v="0"/>
    <n v="12"/>
    <n v="12"/>
    <m/>
    <m/>
    <n v="0"/>
    <n v="138.34"/>
    <m/>
    <x v="29"/>
    <m/>
    <m/>
    <m/>
    <m/>
  </r>
  <r>
    <x v="0"/>
    <x v="3"/>
    <s v="7821/8"/>
    <x v="249"/>
    <s v="العمر پلاسٹک گوجرانوالہ"/>
    <s v="PP"/>
    <n v="16"/>
    <s v="6"/>
    <s v="PP"/>
    <n v="500"/>
    <s v="PP"/>
    <n v="11"/>
    <n v="571.34"/>
    <n v="17.600000000000001"/>
    <m/>
    <m/>
    <n v="553.74"/>
    <s v="553.74"/>
    <m/>
    <m/>
    <m/>
    <n v="0"/>
    <n v="0"/>
    <m/>
    <m/>
    <m/>
    <m/>
    <m/>
    <m/>
    <m/>
    <m/>
    <n v="0"/>
    <n v="0"/>
    <n v="0"/>
    <n v="12"/>
    <n v="12"/>
    <m/>
    <m/>
    <n v="0"/>
    <n v="576.34"/>
    <m/>
    <x v="29"/>
    <m/>
    <m/>
    <m/>
    <m/>
  </r>
  <r>
    <x v="1"/>
    <x v="3"/>
    <s v="7852 J"/>
    <x v="249"/>
    <s v="Jilani Poly Stock"/>
    <s v="PP"/>
    <n v="16"/>
    <s v="5-5.5"/>
    <s v="PP"/>
    <s v="-"/>
    <s v="PP"/>
    <n v="12"/>
    <n v="720.70999999999992"/>
    <n v="19.200000000000003"/>
    <m/>
    <m/>
    <n v="701.50999999999988"/>
    <s v="1579.6999999999998"/>
    <m/>
    <m/>
    <m/>
    <n v="0"/>
    <n v="0"/>
    <m/>
    <m/>
    <m/>
    <m/>
    <m/>
    <m/>
    <m/>
    <m/>
    <n v="0"/>
    <n v="0"/>
    <n v="0"/>
    <n v="12"/>
    <n v="12"/>
    <m/>
    <m/>
    <n v="0"/>
    <n v="725.71"/>
    <m/>
    <x v="29"/>
    <m/>
    <m/>
    <m/>
    <m/>
  </r>
  <r>
    <x v="0"/>
    <x v="4"/>
    <s v="8/12"/>
    <x v="249"/>
    <s v="سٹاک"/>
    <s v="PP"/>
    <n v="8"/>
    <n v="5"/>
    <s v="PP"/>
    <n v="1500"/>
    <s v="PP"/>
    <n v="4"/>
    <n v="164.43"/>
    <n v="3.2"/>
    <m/>
    <m/>
    <n v="161.23000000000002"/>
    <s v="2110.27"/>
    <m/>
    <m/>
    <m/>
    <n v="0"/>
    <n v="0"/>
    <m/>
    <m/>
    <m/>
    <m/>
    <m/>
    <m/>
    <m/>
    <m/>
    <n v="0"/>
    <n v="0"/>
    <n v="0"/>
    <n v="12"/>
    <n v="12"/>
    <m/>
    <m/>
    <n v="0"/>
    <n v="169.43"/>
    <m/>
    <x v="29"/>
    <m/>
    <m/>
    <m/>
    <m/>
  </r>
  <r>
    <x v="0"/>
    <x v="4"/>
    <s v="7827/8"/>
    <x v="249"/>
    <s v="آ صف پلاسٹک سرگودھا"/>
    <s v="PP"/>
    <n v="8"/>
    <s v="4"/>
    <s v="PP"/>
    <n v="150"/>
    <s v="PP"/>
    <n v="4"/>
    <n v="159.88"/>
    <n v="3.2"/>
    <n v="7"/>
    <m/>
    <n v="156.68"/>
    <s v="406.55"/>
    <m/>
    <m/>
    <m/>
    <n v="0"/>
    <n v="0"/>
    <m/>
    <m/>
    <m/>
    <m/>
    <m/>
    <m/>
    <m/>
    <m/>
    <n v="0"/>
    <n v="0"/>
    <n v="0"/>
    <n v="12"/>
    <n v="12"/>
    <m/>
    <m/>
    <n v="0"/>
    <n v="164.88"/>
    <m/>
    <x v="29"/>
    <m/>
    <m/>
    <m/>
    <m/>
  </r>
  <r>
    <x v="1"/>
    <x v="4"/>
    <s v="7827/8"/>
    <x v="249"/>
    <s v="آ صف پلاسٹک سرگودھا"/>
    <s v="PP"/>
    <n v="8"/>
    <s v="4"/>
    <s v="PP"/>
    <n v="150"/>
    <s v="PP"/>
    <n v="6"/>
    <n v="255.87"/>
    <n v="6"/>
    <n v="7"/>
    <m/>
    <n v="249.87"/>
    <s v="406.55"/>
    <m/>
    <m/>
    <m/>
    <n v="0"/>
    <n v="0"/>
    <m/>
    <m/>
    <m/>
    <m/>
    <m/>
    <m/>
    <m/>
    <m/>
    <n v="0"/>
    <n v="0"/>
    <n v="0"/>
    <n v="12"/>
    <n v="12"/>
    <m/>
    <m/>
    <n v="0"/>
    <n v="260.87"/>
    <m/>
    <x v="29"/>
    <m/>
    <m/>
    <m/>
    <m/>
  </r>
  <r>
    <x v="1"/>
    <x v="4"/>
    <s v="8/12"/>
    <x v="249"/>
    <s v="سٹاک"/>
    <s v="PP"/>
    <n v="8"/>
    <n v="5"/>
    <s v="PP"/>
    <n v="1500"/>
    <s v="PP"/>
    <n v="2"/>
    <n v="74.63"/>
    <n v="1.6"/>
    <m/>
    <m/>
    <n v="73.03"/>
    <s v="2110.27"/>
    <m/>
    <m/>
    <m/>
    <n v="0"/>
    <n v="0"/>
    <m/>
    <m/>
    <m/>
    <m/>
    <m/>
    <m/>
    <m/>
    <m/>
    <n v="0"/>
    <n v="0"/>
    <n v="0"/>
    <n v="12"/>
    <n v="12"/>
    <m/>
    <m/>
    <n v="0"/>
    <n v="79.63"/>
    <m/>
    <x v="29"/>
    <m/>
    <m/>
    <m/>
    <m/>
  </r>
  <r>
    <x v="0"/>
    <x v="0"/>
    <s v="3/16"/>
    <x v="250"/>
    <s v="سٹاک"/>
    <s v="PP"/>
    <n v="3"/>
    <s v="5.5-6"/>
    <s v="PP"/>
    <s v="15 رول بیگ"/>
    <s v="PP"/>
    <n v="2"/>
    <n v="23.5"/>
    <n v="0.6"/>
    <m/>
    <m/>
    <n v="22.9"/>
    <s v="22.9"/>
    <m/>
    <m/>
    <m/>
    <n v="0"/>
    <n v="0"/>
    <m/>
    <m/>
    <m/>
    <m/>
    <m/>
    <m/>
    <m/>
    <m/>
    <n v="0"/>
    <n v="0"/>
    <n v="0"/>
    <n v="12"/>
    <n v="12"/>
    <m/>
    <m/>
    <n v="0"/>
    <n v="28.5"/>
    <m/>
    <x v="29"/>
    <m/>
    <m/>
    <m/>
    <m/>
  </r>
  <r>
    <x v="0"/>
    <x v="0"/>
    <s v="7833/1"/>
    <x v="250"/>
    <s v="عزیز ٹریڈز ہاوس لاہور"/>
    <s v="PP"/>
    <n v="3.5"/>
    <s v="8"/>
    <s v="PP"/>
    <n v="1000"/>
    <s v="PP"/>
    <n v="5"/>
    <n v="96.539999999999992"/>
    <n v="1.75"/>
    <n v="36"/>
    <m/>
    <n v="94.789999999999992"/>
    <s v="1019.44"/>
    <m/>
    <m/>
    <m/>
    <n v="0"/>
    <n v="0"/>
    <m/>
    <m/>
    <m/>
    <m/>
    <m/>
    <m/>
    <m/>
    <m/>
    <n v="0"/>
    <n v="0"/>
    <n v="0"/>
    <n v="12"/>
    <n v="12"/>
    <m/>
    <m/>
    <n v="0"/>
    <n v="101.54"/>
    <m/>
    <x v="29"/>
    <m/>
    <m/>
    <m/>
    <m/>
  </r>
  <r>
    <x v="1"/>
    <x v="0"/>
    <s v="7833/1"/>
    <x v="250"/>
    <s v="عزیز ٹریڈز ہاوس لاہور"/>
    <s v="PP"/>
    <n v="3.5"/>
    <s v="8"/>
    <s v="PP"/>
    <n v="1000"/>
    <s v="PP"/>
    <n v="8"/>
    <n v="163.87"/>
    <n v="2.8"/>
    <m/>
    <m/>
    <n v="161.07"/>
    <s v="1019.44"/>
    <m/>
    <m/>
    <m/>
    <n v="0"/>
    <n v="0"/>
    <m/>
    <m/>
    <m/>
    <m/>
    <m/>
    <m/>
    <m/>
    <m/>
    <n v="0"/>
    <n v="0"/>
    <n v="0"/>
    <n v="12"/>
    <n v="12"/>
    <m/>
    <m/>
    <n v="0"/>
    <n v="168.87"/>
    <m/>
    <x v="29"/>
    <m/>
    <m/>
    <m/>
    <m/>
  </r>
  <r>
    <x v="0"/>
    <x v="1"/>
    <s v="7827/3"/>
    <x v="250"/>
    <s v="آ صف پلاسٹک سرگودھا"/>
    <s v="PP"/>
    <n v="4"/>
    <s v="4"/>
    <s v="PP"/>
    <n v="375"/>
    <s v="PP"/>
    <n v="12"/>
    <n v="155.19999999999999"/>
    <n v="4.8000000000000007"/>
    <m/>
    <m/>
    <n v="150.39999999999998"/>
    <s v="368.73999999999995"/>
    <m/>
    <m/>
    <m/>
    <n v="0"/>
    <n v="0"/>
    <m/>
    <m/>
    <m/>
    <m/>
    <m/>
    <m/>
    <m/>
    <m/>
    <n v="0"/>
    <n v="0"/>
    <n v="0"/>
    <n v="12"/>
    <n v="12"/>
    <m/>
    <m/>
    <n v="0"/>
    <n v="160.19999999999999"/>
    <m/>
    <x v="29"/>
    <m/>
    <m/>
    <m/>
    <m/>
  </r>
  <r>
    <x v="1"/>
    <x v="1"/>
    <s v="7827/3"/>
    <x v="250"/>
    <s v="آ صف پلاسٹک سرگودھا"/>
    <s v="PP"/>
    <n v="4"/>
    <s v="4"/>
    <s v="PP"/>
    <n v="375"/>
    <s v="PP"/>
    <n v="9"/>
    <n v="152.18999999999997"/>
    <n v="3.6"/>
    <m/>
    <m/>
    <n v="148.58999999999997"/>
    <s v="368.73999999999995"/>
    <m/>
    <m/>
    <m/>
    <n v="0"/>
    <n v="0"/>
    <m/>
    <m/>
    <m/>
    <m/>
    <m/>
    <m/>
    <m/>
    <m/>
    <n v="0"/>
    <n v="0"/>
    <n v="0"/>
    <n v="12"/>
    <n v="12"/>
    <m/>
    <m/>
    <n v="0"/>
    <n v="157.18999999999997"/>
    <m/>
    <x v="29"/>
    <m/>
    <m/>
    <m/>
    <m/>
  </r>
  <r>
    <x v="0"/>
    <x v="3"/>
    <s v="7852 J"/>
    <x v="250"/>
    <s v="Jilani Poly Stock"/>
    <s v="PP"/>
    <n v="16"/>
    <s v="5-5.5"/>
    <s v="PP"/>
    <s v="-"/>
    <s v="PP"/>
    <n v="12"/>
    <n v="734.16"/>
    <n v="19.200000000000003"/>
    <m/>
    <m/>
    <n v="714.95999999999992"/>
    <s v="1579.6999999999998"/>
    <m/>
    <m/>
    <m/>
    <n v="0"/>
    <n v="0"/>
    <m/>
    <m/>
    <m/>
    <m/>
    <m/>
    <m/>
    <m/>
    <m/>
    <n v="0"/>
    <n v="0"/>
    <n v="0"/>
    <n v="12"/>
    <n v="12"/>
    <m/>
    <m/>
    <n v="0"/>
    <n v="739.16"/>
    <m/>
    <x v="29"/>
    <m/>
    <m/>
    <m/>
    <m/>
  </r>
  <r>
    <x v="1"/>
    <x v="3"/>
    <s v="7852 J"/>
    <x v="250"/>
    <s v="Jilani Poly Stock"/>
    <s v="PP"/>
    <n v="16"/>
    <s v="5-5.5"/>
    <s v="PP"/>
    <s v="-"/>
    <s v="PP"/>
    <n v="3"/>
    <n v="168.93"/>
    <n v="5.6999999999999993"/>
    <m/>
    <m/>
    <n v="163.23000000000002"/>
    <s v="1579.6999999999998"/>
    <m/>
    <m/>
    <m/>
    <n v="0"/>
    <n v="0"/>
    <m/>
    <m/>
    <m/>
    <m/>
    <m/>
    <m/>
    <m/>
    <m/>
    <n v="0"/>
    <n v="0"/>
    <n v="0"/>
    <n v="12"/>
    <n v="12"/>
    <m/>
    <m/>
    <n v="0"/>
    <n v="173.93"/>
    <m/>
    <x v="29"/>
    <m/>
    <m/>
    <m/>
    <m/>
  </r>
  <r>
    <x v="1"/>
    <x v="3"/>
    <s v="8111 J"/>
    <x v="250"/>
    <s v="High Class Bakers Gujrat"/>
    <s v="PP"/>
    <s v="16 شیٹ"/>
    <s v="4-4.5/8-9"/>
    <s v="PP"/>
    <n v="100"/>
    <s v="PP"/>
    <n v="4"/>
    <n v="115.47999999999999"/>
    <n v="7.6"/>
    <m/>
    <m/>
    <n v="107.88"/>
    <s v="107.88"/>
    <m/>
    <m/>
    <m/>
    <n v="0"/>
    <n v="0"/>
    <m/>
    <m/>
    <m/>
    <m/>
    <m/>
    <m/>
    <m/>
    <m/>
    <n v="0"/>
    <n v="0"/>
    <n v="0"/>
    <n v="12"/>
    <n v="12"/>
    <m/>
    <m/>
    <n v="0"/>
    <n v="120.48"/>
    <m/>
    <x v="29"/>
    <m/>
    <m/>
    <m/>
    <m/>
  </r>
  <r>
    <x v="1"/>
    <x v="3"/>
    <s v="7821/10"/>
    <x v="250"/>
    <s v="العمر پلاسٹک گوجرانوالہ"/>
    <s v="PP"/>
    <n v="20"/>
    <s v="6"/>
    <s v="PP"/>
    <n v="500"/>
    <s v="PP"/>
    <n v="3"/>
    <n v="216.87"/>
    <n v="7.5"/>
    <m/>
    <m/>
    <n v="209.37"/>
    <s v="559.48"/>
    <m/>
    <m/>
    <m/>
    <n v="0"/>
    <n v="0"/>
    <m/>
    <m/>
    <m/>
    <m/>
    <m/>
    <m/>
    <m/>
    <m/>
    <n v="0"/>
    <n v="0"/>
    <n v="0"/>
    <n v="12"/>
    <n v="12"/>
    <m/>
    <m/>
    <n v="0"/>
    <n v="221.87"/>
    <m/>
    <x v="29"/>
    <m/>
    <m/>
    <m/>
    <m/>
  </r>
  <r>
    <x v="1"/>
    <x v="3"/>
    <s v="7827/12"/>
    <x v="250"/>
    <s v="آ صف پلاسٹک سرگودھا"/>
    <s v="PP"/>
    <n v="20"/>
    <s v="4"/>
    <s v="PP"/>
    <n v="150"/>
    <s v="PP"/>
    <n v="3"/>
    <n v="174.62"/>
    <n v="6"/>
    <m/>
    <m/>
    <n v="168.62"/>
    <s v="168.62"/>
    <m/>
    <m/>
    <m/>
    <n v="0"/>
    <n v="0"/>
    <m/>
    <m/>
    <m/>
    <m/>
    <m/>
    <m/>
    <m/>
    <m/>
    <n v="0"/>
    <n v="0"/>
    <n v="0"/>
    <n v="12"/>
    <n v="12"/>
    <m/>
    <m/>
    <n v="0"/>
    <n v="179.62"/>
    <m/>
    <x v="29"/>
    <m/>
    <m/>
    <m/>
    <m/>
  </r>
  <r>
    <x v="0"/>
    <x v="4"/>
    <s v="8/12"/>
    <x v="250"/>
    <s v="سٹاک"/>
    <s v="PP"/>
    <n v="8"/>
    <n v="5"/>
    <s v="PP"/>
    <n v="1500"/>
    <s v="PP"/>
    <n v="8"/>
    <n v="319.28999999999996"/>
    <n v="6.4"/>
    <n v="7"/>
    <m/>
    <n v="312.89"/>
    <s v="2110.27"/>
    <m/>
    <m/>
    <m/>
    <n v="0"/>
    <n v="0"/>
    <m/>
    <m/>
    <m/>
    <m/>
    <m/>
    <m/>
    <m/>
    <m/>
    <n v="0"/>
    <n v="0"/>
    <n v="0"/>
    <n v="12"/>
    <n v="12"/>
    <m/>
    <m/>
    <n v="0"/>
    <n v="324.28999999999996"/>
    <m/>
    <x v="29"/>
    <m/>
    <m/>
    <m/>
    <m/>
  </r>
  <r>
    <x v="1"/>
    <x v="4"/>
    <s v="8/12"/>
    <x v="250"/>
    <s v="سٹاک"/>
    <s v="PP"/>
    <n v="8"/>
    <n v="5"/>
    <s v="PP"/>
    <n v="1500"/>
    <s v="PP"/>
    <n v="8"/>
    <n v="295.42"/>
    <n v="6.4"/>
    <n v="7"/>
    <m/>
    <n v="289.02000000000004"/>
    <s v="2110.27"/>
    <m/>
    <m/>
    <m/>
    <n v="0"/>
    <n v="0"/>
    <m/>
    <m/>
    <m/>
    <m/>
    <m/>
    <m/>
    <m/>
    <m/>
    <n v="0"/>
    <n v="0"/>
    <n v="0"/>
    <n v="12"/>
    <n v="12"/>
    <m/>
    <m/>
    <n v="0"/>
    <n v="300.42"/>
    <m/>
    <x v="29"/>
    <m/>
    <m/>
    <m/>
    <m/>
  </r>
  <r>
    <x v="0"/>
    <x v="0"/>
    <s v="7833/1"/>
    <x v="251"/>
    <s v="عزیز ٹریڈز ہاوس لاہور"/>
    <s v="PP"/>
    <n v="3.5"/>
    <s v="8"/>
    <s v="PP"/>
    <n v="1000"/>
    <s v="PP"/>
    <n v="8"/>
    <n v="150.4"/>
    <n v="2.8"/>
    <n v="5"/>
    <m/>
    <n v="147.6"/>
    <s v="1019.44"/>
    <m/>
    <m/>
    <m/>
    <n v="0"/>
    <n v="0"/>
    <m/>
    <m/>
    <m/>
    <m/>
    <m/>
    <m/>
    <m/>
    <m/>
    <n v="0"/>
    <n v="0"/>
    <n v="0"/>
    <n v="12"/>
    <n v="12"/>
    <m/>
    <m/>
    <n v="0"/>
    <n v="155.4"/>
    <m/>
    <x v="29"/>
    <m/>
    <m/>
    <m/>
    <m/>
  </r>
  <r>
    <x v="1"/>
    <x v="0"/>
    <s v="7833/1"/>
    <x v="251"/>
    <s v="عزیز ٹریڈز ہاوس لاہور"/>
    <s v="PP"/>
    <n v="3.5"/>
    <s v="8"/>
    <s v="PP"/>
    <n v="1000"/>
    <s v="PP"/>
    <n v="8"/>
    <n v="152.54000000000002"/>
    <n v="2.8"/>
    <n v="5"/>
    <m/>
    <n v="149.74"/>
    <s v="1019.44"/>
    <m/>
    <m/>
    <m/>
    <n v="0"/>
    <n v="0"/>
    <m/>
    <m/>
    <m/>
    <m/>
    <m/>
    <m/>
    <m/>
    <m/>
    <n v="0"/>
    <n v="0"/>
    <n v="0"/>
    <n v="12"/>
    <n v="12"/>
    <m/>
    <m/>
    <n v="0"/>
    <n v="157.54000000000002"/>
    <m/>
    <x v="29"/>
    <m/>
    <m/>
    <m/>
    <m/>
  </r>
  <r>
    <x v="0"/>
    <x v="1"/>
    <s v="7827/3"/>
    <x v="251"/>
    <s v="آ صف پلاسٹک سرگودھا"/>
    <s v="PP"/>
    <n v="4"/>
    <s v="4"/>
    <s v="PP"/>
    <n v="375"/>
    <s v="PP"/>
    <n v="5"/>
    <n v="71.75"/>
    <n v="2"/>
    <m/>
    <m/>
    <n v="69.75"/>
    <s v="368.73999999999995"/>
    <m/>
    <m/>
    <m/>
    <n v="0"/>
    <n v="0"/>
    <m/>
    <m/>
    <m/>
    <m/>
    <m/>
    <m/>
    <m/>
    <m/>
    <n v="0"/>
    <n v="0"/>
    <n v="0"/>
    <n v="12"/>
    <n v="12"/>
    <m/>
    <m/>
    <n v="0"/>
    <n v="76.75"/>
    <m/>
    <x v="29"/>
    <m/>
    <m/>
    <m/>
    <m/>
  </r>
  <r>
    <x v="0"/>
    <x v="1"/>
    <s v="4/5"/>
    <x v="251"/>
    <s v="سٹاک"/>
    <s v="PP"/>
    <n v="4"/>
    <s v="5-5.5"/>
    <s v="PP"/>
    <n v="500"/>
    <s v="PP"/>
    <n v="5"/>
    <n v="84.68"/>
    <n v="2"/>
    <m/>
    <m/>
    <n v="82.68"/>
    <s v="754.3"/>
    <m/>
    <m/>
    <m/>
    <n v="0"/>
    <n v="0"/>
    <m/>
    <m/>
    <m/>
    <m/>
    <m/>
    <m/>
    <m/>
    <m/>
    <n v="0"/>
    <n v="0"/>
    <n v="0"/>
    <n v="12"/>
    <n v="12"/>
    <m/>
    <m/>
    <n v="0"/>
    <n v="89.68"/>
    <m/>
    <x v="29"/>
    <m/>
    <m/>
    <m/>
    <m/>
  </r>
  <r>
    <x v="0"/>
    <x v="1"/>
    <s v="7827/1"/>
    <x v="251"/>
    <s v="آ صف پلاسٹک سرگودھا"/>
    <s v="PP"/>
    <n v="5"/>
    <s v="4"/>
    <s v="PP"/>
    <n v="50"/>
    <s v="PP"/>
    <n v="1"/>
    <n v="5.31"/>
    <n v="0.5"/>
    <n v="22"/>
    <m/>
    <n v="4.8099999999999996"/>
    <s v="164.82"/>
    <n v="20"/>
    <m/>
    <m/>
    <n v="20"/>
    <n v="0.33333333333333331"/>
    <m/>
    <m/>
    <m/>
    <m/>
    <m/>
    <m/>
    <n v="40"/>
    <m/>
    <n v="40"/>
    <n v="0.66666666666666663"/>
    <n v="1"/>
    <n v="11"/>
    <n v="12"/>
    <m/>
    <m/>
    <n v="0"/>
    <n v="10.31"/>
    <m/>
    <x v="29"/>
    <m/>
    <m/>
    <m/>
    <m/>
  </r>
  <r>
    <x v="1"/>
    <x v="1"/>
    <s v="7827/1"/>
    <x v="251"/>
    <s v="آ صف پلاسٹک سرگودھا"/>
    <s v="PP"/>
    <n v="5"/>
    <s v="4"/>
    <s v="PP"/>
    <n v="50"/>
    <s v="PP"/>
    <n v="9"/>
    <n v="164.51"/>
    <n v="4.5"/>
    <n v="26"/>
    <m/>
    <n v="160.01"/>
    <s v="164.82"/>
    <m/>
    <m/>
    <m/>
    <n v="0"/>
    <n v="0"/>
    <m/>
    <m/>
    <m/>
    <m/>
    <m/>
    <m/>
    <m/>
    <m/>
    <n v="0"/>
    <n v="0"/>
    <n v="0"/>
    <n v="12"/>
    <n v="12"/>
    <m/>
    <m/>
    <n v="0"/>
    <n v="169.51"/>
    <m/>
    <x v="29"/>
    <m/>
    <m/>
    <m/>
    <m/>
  </r>
  <r>
    <x v="0"/>
    <x v="3"/>
    <s v="7821/10"/>
    <x v="251"/>
    <s v="العمر پلاسٹک گوجرانوالہ"/>
    <s v="PP"/>
    <n v="20"/>
    <s v="6"/>
    <s v="PP"/>
    <n v="500"/>
    <s v="PP"/>
    <n v="5"/>
    <n v="300.2"/>
    <n v="10"/>
    <m/>
    <m/>
    <n v="290.2"/>
    <s v="559.48"/>
    <m/>
    <m/>
    <m/>
    <n v="0"/>
    <n v="0"/>
    <m/>
    <m/>
    <m/>
    <m/>
    <m/>
    <m/>
    <m/>
    <m/>
    <n v="0"/>
    <n v="0"/>
    <n v="0"/>
    <n v="12"/>
    <n v="12"/>
    <m/>
    <m/>
    <n v="0"/>
    <n v="305.2"/>
    <m/>
    <x v="29"/>
    <m/>
    <m/>
    <m/>
    <m/>
  </r>
  <r>
    <x v="0"/>
    <x v="3"/>
    <s v="7854 J"/>
    <x v="251"/>
    <s v="Jilani Poly Stock"/>
    <s v="PP"/>
    <n v="20"/>
    <s v="5-5.5"/>
    <s v="PP"/>
    <s v="-"/>
    <s v="PP"/>
    <n v="5"/>
    <n v="359.9"/>
    <n v="10"/>
    <m/>
    <m/>
    <n v="349.9"/>
    <s v="1290.4000000000001"/>
    <m/>
    <m/>
    <m/>
    <n v="0"/>
    <n v="0"/>
    <m/>
    <m/>
    <m/>
    <m/>
    <m/>
    <m/>
    <m/>
    <m/>
    <n v="0"/>
    <n v="0"/>
    <n v="0"/>
    <n v="12"/>
    <n v="12"/>
    <m/>
    <m/>
    <n v="0"/>
    <n v="364.9"/>
    <m/>
    <x v="29"/>
    <m/>
    <m/>
    <m/>
    <m/>
  </r>
  <r>
    <x v="0"/>
    <x v="3"/>
    <s v="20/1"/>
    <x v="251"/>
    <s v="سٹاک"/>
    <s v="PP"/>
    <n v="20"/>
    <n v="5"/>
    <s v="PP"/>
    <n v="500"/>
    <s v="PP"/>
    <n v="2"/>
    <n v="130.03"/>
    <n v="4"/>
    <m/>
    <m/>
    <n v="126.03"/>
    <s v="749.87999999999988"/>
    <m/>
    <m/>
    <m/>
    <n v="0"/>
    <n v="0"/>
    <m/>
    <m/>
    <m/>
    <m/>
    <m/>
    <m/>
    <m/>
    <m/>
    <n v="0"/>
    <n v="0"/>
    <n v="0"/>
    <n v="12"/>
    <n v="12"/>
    <m/>
    <m/>
    <n v="0"/>
    <n v="135.03"/>
    <m/>
    <x v="29"/>
    <m/>
    <m/>
    <m/>
    <m/>
  </r>
  <r>
    <x v="1"/>
    <x v="3"/>
    <s v="7821/6"/>
    <x v="251"/>
    <s v="العمر پلاسٹک گوجرانوالہ"/>
    <s v="PP"/>
    <n v="20"/>
    <s v="10"/>
    <s v="PP"/>
    <n v="200"/>
    <s v="PP"/>
    <n v="4"/>
    <n v="231.89000000000001"/>
    <n v="8"/>
    <m/>
    <m/>
    <n v="223.89000000000001"/>
    <s v="223.89000000000001"/>
    <m/>
    <m/>
    <m/>
    <n v="0"/>
    <n v="0"/>
    <m/>
    <m/>
    <m/>
    <m/>
    <m/>
    <m/>
    <m/>
    <m/>
    <n v="0"/>
    <n v="0"/>
    <n v="0"/>
    <n v="12"/>
    <n v="12"/>
    <m/>
    <m/>
    <n v="0"/>
    <n v="236.89"/>
    <m/>
    <x v="29"/>
    <m/>
    <m/>
    <m/>
    <m/>
  </r>
  <r>
    <x v="1"/>
    <x v="3"/>
    <s v="7854 J"/>
    <x v="251"/>
    <s v="Jilani Poly Stock"/>
    <s v="PP"/>
    <n v="20"/>
    <s v="5-5.5"/>
    <s v="PP"/>
    <s v="-"/>
    <s v="PP"/>
    <n v="10"/>
    <n v="670.2600000000001"/>
    <n v="20"/>
    <m/>
    <m/>
    <n v="650.2600000000001"/>
    <s v="1290.4000000000001"/>
    <m/>
    <m/>
    <m/>
    <n v="0"/>
    <n v="0"/>
    <m/>
    <m/>
    <m/>
    <m/>
    <m/>
    <m/>
    <m/>
    <m/>
    <n v="0"/>
    <n v="0"/>
    <n v="0"/>
    <n v="12"/>
    <n v="12"/>
    <m/>
    <m/>
    <n v="0"/>
    <n v="675.2600000000001"/>
    <m/>
    <x v="29"/>
    <m/>
    <m/>
    <m/>
    <m/>
  </r>
  <r>
    <x v="0"/>
    <x v="4"/>
    <s v="8/12"/>
    <x v="251"/>
    <s v="سٹاک"/>
    <s v="PP"/>
    <n v="8"/>
    <n v="5"/>
    <s v="PP"/>
    <n v="1500"/>
    <s v="PP"/>
    <n v="6"/>
    <n v="236.89"/>
    <n v="4.8000000000000007"/>
    <m/>
    <m/>
    <n v="232.08999999999997"/>
    <s v="2110.27"/>
    <m/>
    <m/>
    <m/>
    <n v="0"/>
    <n v="0"/>
    <m/>
    <m/>
    <m/>
    <m/>
    <m/>
    <m/>
    <m/>
    <m/>
    <n v="0"/>
    <n v="0"/>
    <n v="0"/>
    <n v="12"/>
    <n v="12"/>
    <m/>
    <m/>
    <n v="0"/>
    <n v="241.89"/>
    <m/>
    <x v="29"/>
    <m/>
    <m/>
    <m/>
    <m/>
  </r>
  <r>
    <x v="0"/>
    <x v="4"/>
    <s v="7836/1"/>
    <x v="251"/>
    <s v="حزیفہ پلاسٹک اعظم مارکیٹ"/>
    <s v="PP"/>
    <n v="8"/>
    <s v="6"/>
    <s v="PP"/>
    <n v="100"/>
    <s v="PP"/>
    <n v="4"/>
    <n v="101.91"/>
    <n v="3.2"/>
    <m/>
    <m/>
    <n v="98.71"/>
    <s v="98.71"/>
    <m/>
    <m/>
    <m/>
    <n v="0"/>
    <n v="0"/>
    <m/>
    <m/>
    <m/>
    <m/>
    <m/>
    <m/>
    <m/>
    <m/>
    <n v="0"/>
    <n v="0"/>
    <n v="0"/>
    <n v="12"/>
    <n v="12"/>
    <m/>
    <m/>
    <n v="0"/>
    <n v="106.91"/>
    <m/>
    <x v="29"/>
    <m/>
    <m/>
    <m/>
    <m/>
  </r>
  <r>
    <x v="1"/>
    <x v="4"/>
    <s v="8/12"/>
    <x v="251"/>
    <s v="سٹاک"/>
    <s v="PP"/>
    <n v="8"/>
    <n v="5"/>
    <s v="PP"/>
    <n v="1500"/>
    <s v="PP"/>
    <n v="8"/>
    <n v="374.5"/>
    <n v="6.4"/>
    <m/>
    <m/>
    <n v="368.1"/>
    <s v="2110.27"/>
    <m/>
    <m/>
    <m/>
    <n v="0"/>
    <n v="0"/>
    <m/>
    <m/>
    <m/>
    <m/>
    <m/>
    <m/>
    <m/>
    <m/>
    <n v="0"/>
    <n v="0"/>
    <n v="0"/>
    <n v="12"/>
    <n v="12"/>
    <m/>
    <m/>
    <n v="0"/>
    <n v="379.5"/>
    <m/>
    <x v="29"/>
    <m/>
    <m/>
    <m/>
    <m/>
  </r>
  <r>
    <x v="0"/>
    <x v="0"/>
    <s v="7833/1"/>
    <x v="252"/>
    <s v="عزیز ٹریڈز ہاوس لاہور"/>
    <s v="PP"/>
    <n v="3.5"/>
    <s v="8"/>
    <s v="PP"/>
    <n v="1000"/>
    <s v="PP"/>
    <n v="7"/>
    <n v="150"/>
    <n v="2.4499999999999997"/>
    <m/>
    <m/>
    <n v="147.55000000000001"/>
    <s v="1019.44"/>
    <m/>
    <m/>
    <m/>
    <n v="0"/>
    <n v="0"/>
    <m/>
    <m/>
    <m/>
    <m/>
    <m/>
    <m/>
    <m/>
    <m/>
    <n v="0"/>
    <n v="0"/>
    <n v="0"/>
    <n v="12"/>
    <n v="12"/>
    <m/>
    <m/>
    <n v="0"/>
    <n v="155"/>
    <m/>
    <x v="29"/>
    <m/>
    <m/>
    <m/>
    <m/>
  </r>
  <r>
    <x v="1"/>
    <x v="0"/>
    <s v="7833/1"/>
    <x v="252"/>
    <s v="عزیز ٹریڈز ہاوس لاہور"/>
    <s v="PP"/>
    <n v="3.5"/>
    <s v="8"/>
    <s v="PP"/>
    <n v="1000"/>
    <s v="PP"/>
    <n v="6"/>
    <n v="125.42"/>
    <n v="2.0999999999999996"/>
    <m/>
    <m/>
    <n v="123.32000000000001"/>
    <s v="1019.44"/>
    <m/>
    <m/>
    <m/>
    <n v="0"/>
    <n v="0"/>
    <m/>
    <m/>
    <m/>
    <m/>
    <m/>
    <m/>
    <m/>
    <m/>
    <n v="0"/>
    <n v="0"/>
    <n v="0"/>
    <n v="12"/>
    <n v="12"/>
    <m/>
    <m/>
    <n v="0"/>
    <n v="130.42000000000002"/>
    <m/>
    <x v="29"/>
    <m/>
    <m/>
    <m/>
    <m/>
  </r>
  <r>
    <x v="0"/>
    <x v="1"/>
    <s v="7827 J"/>
    <x v="252"/>
    <s v="-"/>
    <m/>
    <m/>
    <m/>
    <m/>
    <m/>
    <s v="PP"/>
    <n v="8"/>
    <n v="148.97999999999999"/>
    <n v="4"/>
    <m/>
    <m/>
    <n v="144.97999999999999"/>
    <s v="166.45999999999998"/>
    <m/>
    <m/>
    <m/>
    <n v="0"/>
    <n v="0"/>
    <m/>
    <m/>
    <m/>
    <m/>
    <m/>
    <m/>
    <m/>
    <m/>
    <n v="0"/>
    <n v="0"/>
    <n v="0"/>
    <n v="12"/>
    <n v="12"/>
    <m/>
    <m/>
    <n v="0"/>
    <n v="153.97999999999999"/>
    <m/>
    <x v="29"/>
    <m/>
    <m/>
    <m/>
    <m/>
  </r>
  <r>
    <x v="1"/>
    <x v="1"/>
    <s v="7827 J"/>
    <x v="252"/>
    <s v="-"/>
    <m/>
    <m/>
    <m/>
    <m/>
    <m/>
    <s v="PP"/>
    <n v="1"/>
    <n v="21.98"/>
    <n v="0.5"/>
    <m/>
    <m/>
    <n v="21.48"/>
    <s v="166.45999999999998"/>
    <m/>
    <m/>
    <m/>
    <n v="0"/>
    <n v="0"/>
    <m/>
    <m/>
    <m/>
    <m/>
    <m/>
    <m/>
    <m/>
    <m/>
    <n v="0"/>
    <n v="0"/>
    <n v="0"/>
    <n v="12"/>
    <n v="12"/>
    <m/>
    <m/>
    <n v="0"/>
    <n v="26.98"/>
    <m/>
    <x v="29"/>
    <m/>
    <m/>
    <m/>
    <m/>
  </r>
  <r>
    <x v="1"/>
    <x v="1"/>
    <s v="3/17"/>
    <x v="252"/>
    <s v="سٹاک"/>
    <s v="PP"/>
    <n v="3"/>
    <s v="5.5-6"/>
    <s v="PP"/>
    <n v="1000"/>
    <s v="PP"/>
    <n v="5"/>
    <n v="67.92"/>
    <n v="1.5"/>
    <m/>
    <m/>
    <n v="66.42"/>
    <s v="722.53"/>
    <m/>
    <m/>
    <m/>
    <n v="0"/>
    <n v="0"/>
    <m/>
    <m/>
    <m/>
    <m/>
    <m/>
    <m/>
    <m/>
    <m/>
    <n v="0"/>
    <n v="0"/>
    <n v="0"/>
    <n v="12"/>
    <n v="12"/>
    <m/>
    <m/>
    <n v="0"/>
    <n v="72.92"/>
    <m/>
    <x v="29"/>
    <m/>
    <m/>
    <m/>
    <m/>
  </r>
  <r>
    <x v="0"/>
    <x v="3"/>
    <s v="7854 J"/>
    <x v="252"/>
    <s v="Jilani Poly Stock"/>
    <s v="PP"/>
    <n v="20"/>
    <s v="5-5.5"/>
    <s v="PP"/>
    <s v="-"/>
    <s v="PP"/>
    <n v="4"/>
    <n v="298.24"/>
    <n v="8"/>
    <m/>
    <m/>
    <n v="290.24"/>
    <s v="1290.4000000000001"/>
    <m/>
    <m/>
    <m/>
    <n v="0"/>
    <n v="0"/>
    <m/>
    <m/>
    <m/>
    <m/>
    <m/>
    <m/>
    <m/>
    <m/>
    <n v="0"/>
    <n v="0"/>
    <n v="0"/>
    <n v="12"/>
    <n v="12"/>
    <m/>
    <m/>
    <n v="0"/>
    <n v="303.24"/>
    <m/>
    <x v="29"/>
    <m/>
    <m/>
    <m/>
    <m/>
  </r>
  <r>
    <x v="0"/>
    <x v="3"/>
    <s v="7821/10"/>
    <x v="252"/>
    <s v="العمر پلاسٹک گوجرانوالہ"/>
    <s v="PP"/>
    <n v="20"/>
    <s v="6"/>
    <s v="PP"/>
    <n v="500"/>
    <s v="PP"/>
    <n v="1"/>
    <n v="61.91"/>
    <n v="2"/>
    <m/>
    <m/>
    <n v="59.91"/>
    <s v="559.48"/>
    <n v="30"/>
    <m/>
    <m/>
    <n v="30"/>
    <n v="0.5"/>
    <m/>
    <m/>
    <m/>
    <m/>
    <m/>
    <m/>
    <m/>
    <m/>
    <n v="0"/>
    <n v="0"/>
    <n v="0.5"/>
    <n v="11.5"/>
    <n v="12"/>
    <m/>
    <m/>
    <n v="0"/>
    <n v="66.91"/>
    <m/>
    <x v="29"/>
    <m/>
    <m/>
    <m/>
    <m/>
  </r>
  <r>
    <x v="0"/>
    <x v="3"/>
    <s v="8110 J"/>
    <x v="252"/>
    <s v="High Class Bakers Gujrat"/>
    <s v="PP"/>
    <s v="28 شیٹ"/>
    <s v="4-4.5/8-9"/>
    <s v="PP"/>
    <n v="100"/>
    <s v="PP"/>
    <n v="5"/>
    <n v="221.82"/>
    <n v="14"/>
    <n v="62"/>
    <m/>
    <n v="207.82"/>
    <s v="207.82"/>
    <n v="30"/>
    <m/>
    <m/>
    <n v="30"/>
    <n v="0.5"/>
    <m/>
    <m/>
    <m/>
    <m/>
    <m/>
    <m/>
    <m/>
    <m/>
    <n v="0"/>
    <n v="0"/>
    <n v="0.5"/>
    <n v="11.5"/>
    <n v="12"/>
    <m/>
    <m/>
    <n v="0"/>
    <n v="226.82"/>
    <m/>
    <x v="29"/>
    <m/>
    <m/>
    <m/>
    <m/>
  </r>
  <r>
    <x v="1"/>
    <x v="3"/>
    <s v="2995 F"/>
    <x v="252"/>
    <s v="Usman Amin"/>
    <s v="PP"/>
    <n v="16.2"/>
    <s v="-"/>
    <s v="PP"/>
    <n v="3000"/>
    <s v="PP"/>
    <n v="9"/>
    <n v="548.11999999999989"/>
    <n v="14.4"/>
    <m/>
    <m/>
    <n v="533.71999999999991"/>
    <s v="7934.61"/>
    <m/>
    <m/>
    <m/>
    <n v="0"/>
    <n v="0"/>
    <m/>
    <m/>
    <m/>
    <m/>
    <m/>
    <m/>
    <m/>
    <m/>
    <n v="0"/>
    <n v="0"/>
    <n v="0"/>
    <n v="12"/>
    <n v="12"/>
    <m/>
    <m/>
    <n v="0"/>
    <n v="553.11999999999989"/>
    <m/>
    <x v="29"/>
    <m/>
    <m/>
    <m/>
    <m/>
  </r>
  <r>
    <x v="0"/>
    <x v="4"/>
    <s v="8/12"/>
    <x v="252"/>
    <s v="سٹاک"/>
    <s v="PP"/>
    <n v="8"/>
    <n v="5"/>
    <s v="PP"/>
    <n v="1500"/>
    <s v="PP"/>
    <n v="2"/>
    <n v="67.83"/>
    <n v="1.6"/>
    <n v="4"/>
    <m/>
    <n v="66.23"/>
    <s v="2110.27"/>
    <m/>
    <n v="60"/>
    <m/>
    <n v="60"/>
    <n v="1"/>
    <m/>
    <m/>
    <n v="480"/>
    <n v="20"/>
    <m/>
    <m/>
    <n v="40"/>
    <m/>
    <n v="540"/>
    <n v="9"/>
    <n v="10"/>
    <n v="2"/>
    <n v="12"/>
    <m/>
    <m/>
    <n v="0"/>
    <n v="72.83"/>
    <m/>
    <x v="29"/>
    <m/>
    <m/>
    <m/>
    <m/>
  </r>
  <r>
    <x v="1"/>
    <x v="4"/>
    <s v="14/11"/>
    <x v="252"/>
    <s v="سٹاک"/>
    <s v="PP"/>
    <n v="14"/>
    <n v="5"/>
    <s v="PP"/>
    <n v="1000"/>
    <s v="PP"/>
    <n v="3"/>
    <n v="181.54"/>
    <n v="4.1999999999999993"/>
    <n v="4"/>
    <m/>
    <n v="177.34"/>
    <s v="912.4799999999999"/>
    <m/>
    <m/>
    <m/>
    <n v="0"/>
    <n v="0"/>
    <m/>
    <m/>
    <m/>
    <m/>
    <m/>
    <m/>
    <m/>
    <m/>
    <n v="0"/>
    <n v="0"/>
    <n v="0"/>
    <n v="12"/>
    <n v="12"/>
    <m/>
    <m/>
    <n v="0"/>
    <n v="186.54"/>
    <m/>
    <x v="29"/>
    <m/>
    <m/>
    <m/>
    <m/>
  </r>
  <r>
    <x v="1"/>
    <x v="4"/>
    <s v="7827/11"/>
    <x v="252"/>
    <s v="آ صف پلاسٹک سرگودھا"/>
    <s v="PP"/>
    <n v="14"/>
    <s v="4"/>
    <s v="PP"/>
    <n v="150"/>
    <s v="PP"/>
    <n v="4"/>
    <n v="208.37"/>
    <n v="5.6"/>
    <m/>
    <m/>
    <n v="202.77"/>
    <s v="257.63"/>
    <m/>
    <m/>
    <m/>
    <n v="0"/>
    <n v="0"/>
    <m/>
    <m/>
    <m/>
    <m/>
    <m/>
    <m/>
    <m/>
    <m/>
    <n v="0"/>
    <n v="0"/>
    <n v="0"/>
    <n v="12"/>
    <n v="12"/>
    <m/>
    <m/>
    <n v="0"/>
    <n v="213.37"/>
    <m/>
    <x v="29"/>
    <m/>
    <m/>
    <m/>
    <m/>
  </r>
  <r>
    <x v="2"/>
    <x v="6"/>
    <m/>
    <x v="253"/>
    <s v="A+B SHIFT ALL MACHINES OFF"/>
    <m/>
    <m/>
    <m/>
    <m/>
    <m/>
    <s v="PP"/>
    <m/>
    <m/>
    <m/>
    <m/>
    <m/>
    <n v="0"/>
    <s v="0"/>
    <m/>
    <m/>
    <m/>
    <n v="0"/>
    <n v="0"/>
    <m/>
    <m/>
    <m/>
    <m/>
    <m/>
    <m/>
    <m/>
    <m/>
    <n v="0"/>
    <n v="0"/>
    <n v="0"/>
    <n v="12"/>
    <n v="12"/>
    <m/>
    <m/>
    <n v="0"/>
    <m/>
    <m/>
    <x v="29"/>
    <m/>
    <m/>
    <m/>
    <m/>
  </r>
  <r>
    <x v="0"/>
    <x v="0"/>
    <s v="7833/1"/>
    <x v="254"/>
    <s v="عزیز ٹریڈز ہاوس لاہور"/>
    <s v="PP"/>
    <n v="3.5"/>
    <s v="8"/>
    <s v="PP"/>
    <n v="1000"/>
    <s v="PP"/>
    <n v="7"/>
    <n v="119.79999999999998"/>
    <n v="2.4499999999999997"/>
    <m/>
    <m/>
    <n v="117.34999999999998"/>
    <s v="1019.44"/>
    <m/>
    <n v="160"/>
    <m/>
    <n v="160"/>
    <n v="2.6666666666666665"/>
    <m/>
    <m/>
    <m/>
    <m/>
    <m/>
    <m/>
    <m/>
    <m/>
    <n v="0"/>
    <n v="0"/>
    <n v="2.6666666666666665"/>
    <n v="9.3333333333333339"/>
    <n v="12"/>
    <m/>
    <m/>
    <n v="0"/>
    <n v="124.79999999999998"/>
    <m/>
    <x v="30"/>
    <m/>
    <m/>
    <m/>
    <m/>
  </r>
  <r>
    <x v="1"/>
    <x v="0"/>
    <s v="7833/1"/>
    <x v="254"/>
    <s v="عزیز ٹریڈز ہاوس لاہور"/>
    <s v="PP"/>
    <n v="3.5"/>
    <s v="8"/>
    <s v="PP"/>
    <n v="1000"/>
    <s v="PP"/>
    <n v="3"/>
    <n v="79.069999999999993"/>
    <n v="1.0499999999999998"/>
    <m/>
    <m/>
    <n v="78.02"/>
    <s v="1019.44"/>
    <n v="20"/>
    <m/>
    <m/>
    <n v="20"/>
    <n v="0.33333333333333331"/>
    <m/>
    <m/>
    <m/>
    <m/>
    <m/>
    <m/>
    <m/>
    <m/>
    <n v="0"/>
    <n v="0"/>
    <n v="0.33333333333333331"/>
    <n v="11.666666666666666"/>
    <n v="12"/>
    <m/>
    <m/>
    <n v="0"/>
    <n v="84.07"/>
    <m/>
    <x v="30"/>
    <m/>
    <m/>
    <m/>
    <m/>
  </r>
  <r>
    <x v="1"/>
    <x v="0"/>
    <s v="2.5/17"/>
    <x v="254"/>
    <s v="سٹاک"/>
    <s v="PP"/>
    <n v="2.5"/>
    <s v="5.5-6"/>
    <s v="PP"/>
    <n v="1000"/>
    <s v="PP"/>
    <n v="4"/>
    <n v="57.44"/>
    <n v="1"/>
    <m/>
    <m/>
    <n v="56.44"/>
    <s v="867.37"/>
    <m/>
    <m/>
    <m/>
    <n v="0"/>
    <n v="0"/>
    <m/>
    <m/>
    <m/>
    <m/>
    <m/>
    <m/>
    <m/>
    <m/>
    <n v="0"/>
    <n v="0"/>
    <n v="0"/>
    <n v="12"/>
    <n v="12"/>
    <m/>
    <m/>
    <n v="0"/>
    <n v="62.44"/>
    <m/>
    <x v="30"/>
    <m/>
    <m/>
    <m/>
    <m/>
  </r>
  <r>
    <x v="0"/>
    <x v="1"/>
    <s v="3/17"/>
    <x v="254"/>
    <s v="سٹاک"/>
    <s v="PP"/>
    <n v="3"/>
    <s v="5.5-6"/>
    <s v="PP"/>
    <n v="1000"/>
    <s v="PP"/>
    <n v="6"/>
    <n v="84.1"/>
    <n v="1.7999999999999998"/>
    <m/>
    <m/>
    <n v="82.3"/>
    <s v="722.53"/>
    <m/>
    <n v="150"/>
    <m/>
    <n v="150"/>
    <n v="2.5"/>
    <m/>
    <m/>
    <m/>
    <m/>
    <m/>
    <m/>
    <m/>
    <m/>
    <n v="0"/>
    <n v="0"/>
    <n v="2.5"/>
    <n v="9.5"/>
    <n v="12"/>
    <m/>
    <m/>
    <n v="0"/>
    <n v="89.1"/>
    <m/>
    <x v="30"/>
    <m/>
    <m/>
    <m/>
    <m/>
  </r>
  <r>
    <x v="1"/>
    <x v="1"/>
    <s v="3/17"/>
    <x v="254"/>
    <s v="سٹاک"/>
    <s v="PP"/>
    <n v="3"/>
    <s v="5.5-6"/>
    <s v="PP"/>
    <n v="1000"/>
    <s v="PP"/>
    <n v="8"/>
    <n v="110.33999999999999"/>
    <n v="2.4"/>
    <m/>
    <m/>
    <n v="107.93999999999998"/>
    <s v="722.53"/>
    <m/>
    <m/>
    <m/>
    <n v="0"/>
    <n v="0"/>
    <m/>
    <m/>
    <m/>
    <m/>
    <m/>
    <m/>
    <m/>
    <m/>
    <n v="0"/>
    <n v="0"/>
    <n v="0"/>
    <n v="12"/>
    <n v="12"/>
    <m/>
    <m/>
    <n v="0"/>
    <n v="115.34"/>
    <m/>
    <x v="30"/>
    <m/>
    <m/>
    <m/>
    <m/>
  </r>
  <r>
    <x v="0"/>
    <x v="3"/>
    <s v="2995 F"/>
    <x v="254"/>
    <s v="Usman Amin"/>
    <s v="PP"/>
    <n v="16.2"/>
    <s v="-"/>
    <s v="PP"/>
    <n v="3000"/>
    <s v="PP"/>
    <n v="8"/>
    <n v="474.09000000000003"/>
    <n v="1.28"/>
    <n v="35"/>
    <m/>
    <n v="472.81000000000006"/>
    <s v="7934.61"/>
    <m/>
    <n v="180"/>
    <m/>
    <n v="180"/>
    <n v="3"/>
    <m/>
    <m/>
    <m/>
    <m/>
    <m/>
    <m/>
    <m/>
    <m/>
    <n v="0"/>
    <n v="0"/>
    <n v="3"/>
    <n v="9"/>
    <n v="12"/>
    <m/>
    <m/>
    <n v="0"/>
    <n v="479.09"/>
    <m/>
    <x v="30"/>
    <m/>
    <m/>
    <m/>
    <m/>
  </r>
  <r>
    <x v="1"/>
    <x v="3"/>
    <s v="2995 F"/>
    <x v="254"/>
    <s v="Usman Amin"/>
    <s v="PP"/>
    <n v="16.2"/>
    <s v="-"/>
    <s v="PP"/>
    <n v="3000"/>
    <s v="PP"/>
    <n v="11"/>
    <n v="654.15"/>
    <n v="1.76"/>
    <n v="46"/>
    <m/>
    <n v="652.39"/>
    <s v="7934.61"/>
    <m/>
    <m/>
    <m/>
    <n v="0"/>
    <n v="0"/>
    <m/>
    <m/>
    <m/>
    <m/>
    <m/>
    <m/>
    <m/>
    <m/>
    <n v="0"/>
    <n v="0"/>
    <n v="0"/>
    <n v="12"/>
    <n v="12"/>
    <m/>
    <m/>
    <n v="0"/>
    <n v="659.15"/>
    <m/>
    <x v="30"/>
    <m/>
    <m/>
    <m/>
    <m/>
  </r>
  <r>
    <x v="0"/>
    <x v="4"/>
    <s v="7827/11"/>
    <x v="254"/>
    <s v="آ صف پلاسٹک سرگودھا"/>
    <s v="PP"/>
    <n v="14"/>
    <s v="4"/>
    <s v="PP"/>
    <n v="150"/>
    <s v="PP"/>
    <n v="1"/>
    <n v="56.26"/>
    <n v="1.4"/>
    <m/>
    <m/>
    <n v="54.86"/>
    <s v="257.63"/>
    <m/>
    <m/>
    <m/>
    <n v="0"/>
    <n v="0"/>
    <m/>
    <m/>
    <m/>
    <m/>
    <m/>
    <m/>
    <m/>
    <m/>
    <n v="0"/>
    <n v="0"/>
    <n v="0"/>
    <n v="12"/>
    <n v="12"/>
    <m/>
    <m/>
    <n v="0"/>
    <n v="61.26"/>
    <m/>
    <x v="30"/>
    <m/>
    <m/>
    <m/>
    <m/>
  </r>
  <r>
    <x v="0"/>
    <x v="4"/>
    <s v="7821/7"/>
    <x v="254"/>
    <s v="العمر پلاسٹک گوجرانوالہ"/>
    <s v="PP"/>
    <n v="14"/>
    <s v="6"/>
    <s v="PP"/>
    <n v="250"/>
    <s v="PP"/>
    <n v="2"/>
    <n v="88.68"/>
    <n v="2.8"/>
    <n v="2.5"/>
    <m/>
    <n v="85.88000000000001"/>
    <s v="415.95000000000005"/>
    <m/>
    <n v="480"/>
    <m/>
    <n v="480"/>
    <n v="8"/>
    <m/>
    <m/>
    <m/>
    <m/>
    <m/>
    <m/>
    <m/>
    <m/>
    <n v="0"/>
    <n v="0"/>
    <n v="8"/>
    <n v="4"/>
    <n v="12"/>
    <m/>
    <m/>
    <n v="0"/>
    <n v="93.68"/>
    <m/>
    <x v="30"/>
    <m/>
    <m/>
    <m/>
    <m/>
  </r>
  <r>
    <x v="1"/>
    <x v="4"/>
    <s v="7821/7"/>
    <x v="254"/>
    <s v="العمر پلاسٹک گوجرانوالہ"/>
    <s v="PP"/>
    <n v="14"/>
    <s v="6"/>
    <s v="PP"/>
    <n v="250"/>
    <s v="PP"/>
    <n v="6"/>
    <n v="338.47"/>
    <n v="8.3999999999999986"/>
    <n v="2.5"/>
    <m/>
    <n v="330.07000000000005"/>
    <s v="415.95000000000005"/>
    <m/>
    <m/>
    <m/>
    <n v="0"/>
    <n v="0"/>
    <m/>
    <m/>
    <m/>
    <m/>
    <m/>
    <m/>
    <m/>
    <m/>
    <n v="0"/>
    <n v="0"/>
    <n v="0"/>
    <n v="12"/>
    <n v="12"/>
    <m/>
    <m/>
    <n v="0"/>
    <n v="343.47"/>
    <m/>
    <x v="30"/>
    <m/>
    <m/>
    <m/>
    <m/>
  </r>
  <r>
    <x v="1"/>
    <x v="4"/>
    <s v="7821/3"/>
    <x v="254"/>
    <s v="العمر پلاسٹک گوجرانوالہ"/>
    <s v="PP"/>
    <n v="14"/>
    <s v="10"/>
    <s v="PP"/>
    <n v="100"/>
    <s v="PP"/>
    <n v="2"/>
    <n v="100.58"/>
    <n v="2"/>
    <m/>
    <m/>
    <n v="98.58"/>
    <s v="123.91"/>
    <m/>
    <m/>
    <m/>
    <n v="0"/>
    <n v="0"/>
    <m/>
    <m/>
    <m/>
    <m/>
    <m/>
    <m/>
    <m/>
    <m/>
    <n v="0"/>
    <n v="0"/>
    <n v="0"/>
    <n v="12"/>
    <n v="12"/>
    <m/>
    <m/>
    <n v="0"/>
    <n v="105.58"/>
    <m/>
    <x v="30"/>
    <m/>
    <m/>
    <m/>
    <m/>
  </r>
  <r>
    <x v="0"/>
    <x v="0"/>
    <s v="2.5/17"/>
    <x v="255"/>
    <s v="سٹاک"/>
    <s v="PP"/>
    <n v="2.5"/>
    <s v="5.5-6"/>
    <s v="PP"/>
    <n v="1000"/>
    <s v="PP"/>
    <n v="4"/>
    <n v="56.72"/>
    <n v="1"/>
    <m/>
    <m/>
    <n v="55.72"/>
    <s v="867.37"/>
    <n v="15"/>
    <m/>
    <m/>
    <n v="15"/>
    <n v="0.25"/>
    <m/>
    <m/>
    <m/>
    <m/>
    <m/>
    <m/>
    <m/>
    <m/>
    <n v="0"/>
    <n v="0"/>
    <n v="0.25"/>
    <n v="11.75"/>
    <n v="12"/>
    <m/>
    <m/>
    <n v="0"/>
    <n v="61.72"/>
    <m/>
    <x v="30"/>
    <m/>
    <m/>
    <m/>
    <m/>
  </r>
  <r>
    <x v="0"/>
    <x v="0"/>
    <s v="7841/11"/>
    <x v="255"/>
    <s v="طاہر پلاسٹک جھنگ"/>
    <s v="PP"/>
    <n v="3.5"/>
    <s v="5"/>
    <s v="PP"/>
    <n v="150"/>
    <s v="PP"/>
    <n v="2"/>
    <n v="37.24"/>
    <n v="0.7"/>
    <m/>
    <m/>
    <n v="36.54"/>
    <s v="229.45999999999998"/>
    <m/>
    <m/>
    <m/>
    <n v="0"/>
    <n v="0"/>
    <m/>
    <m/>
    <m/>
    <m/>
    <m/>
    <m/>
    <m/>
    <m/>
    <n v="0"/>
    <n v="0"/>
    <n v="0"/>
    <n v="12"/>
    <n v="12"/>
    <m/>
    <m/>
    <n v="0"/>
    <n v="42.24"/>
    <m/>
    <x v="30"/>
    <m/>
    <m/>
    <m/>
    <m/>
  </r>
  <r>
    <x v="1"/>
    <x v="0"/>
    <s v="7841/11"/>
    <x v="255"/>
    <s v="طاہر پلاسٹک جھنگ"/>
    <s v="PP"/>
    <n v="3.5"/>
    <s v="5"/>
    <s v="PP"/>
    <n v="150"/>
    <s v="PP"/>
    <n v="6"/>
    <n v="124.36999999999998"/>
    <n v="2.0999999999999996"/>
    <m/>
    <m/>
    <n v="122.26999999999998"/>
    <s v="229.45999999999998"/>
    <m/>
    <m/>
    <m/>
    <n v="0"/>
    <n v="0"/>
    <m/>
    <m/>
    <m/>
    <m/>
    <m/>
    <m/>
    <m/>
    <m/>
    <n v="0"/>
    <n v="0"/>
    <n v="0"/>
    <n v="12"/>
    <n v="12"/>
    <m/>
    <m/>
    <n v="0"/>
    <n v="129.36999999999998"/>
    <m/>
    <x v="30"/>
    <m/>
    <m/>
    <m/>
    <m/>
  </r>
  <r>
    <x v="0"/>
    <x v="1"/>
    <s v="3/17"/>
    <x v="255"/>
    <s v="سٹاک"/>
    <s v="PP"/>
    <n v="3"/>
    <s v="5.5-6"/>
    <s v="PP"/>
    <n v="1000"/>
    <s v="PP"/>
    <n v="9"/>
    <n v="127.74000000000001"/>
    <n v="2.6999999999999997"/>
    <m/>
    <m/>
    <n v="125.04"/>
    <s v="722.53"/>
    <n v="20"/>
    <m/>
    <m/>
    <n v="20"/>
    <n v="0.33333333333333331"/>
    <m/>
    <m/>
    <m/>
    <m/>
    <m/>
    <m/>
    <m/>
    <m/>
    <n v="0"/>
    <n v="0"/>
    <n v="0.33333333333333331"/>
    <n v="11.666666666666666"/>
    <n v="12"/>
    <m/>
    <m/>
    <n v="0"/>
    <n v="132.74"/>
    <m/>
    <x v="30"/>
    <m/>
    <m/>
    <m/>
    <m/>
  </r>
  <r>
    <x v="1"/>
    <x v="1"/>
    <s v="7841/2"/>
    <x v="255"/>
    <s v="طاہر پلاسٹک جھنگ"/>
    <s v="PP"/>
    <n v="6"/>
    <s v="4.5"/>
    <s v="PP"/>
    <n v="100"/>
    <s v="PP"/>
    <n v="6"/>
    <n v="109.64999999999999"/>
    <n v="3.5999999999999996"/>
    <m/>
    <m/>
    <n v="106.05"/>
    <s v="106.05"/>
    <m/>
    <m/>
    <m/>
    <n v="0"/>
    <n v="0"/>
    <m/>
    <m/>
    <m/>
    <m/>
    <m/>
    <m/>
    <m/>
    <m/>
    <n v="0"/>
    <n v="0"/>
    <n v="0"/>
    <n v="12"/>
    <n v="12"/>
    <m/>
    <m/>
    <n v="0"/>
    <n v="114.65"/>
    <m/>
    <x v="30"/>
    <m/>
    <m/>
    <m/>
    <m/>
  </r>
  <r>
    <x v="1"/>
    <x v="1"/>
    <s v="6/1"/>
    <x v="255"/>
    <s v="سٹاک"/>
    <s v="PP"/>
    <n v="6"/>
    <n v="5"/>
    <s v="PP"/>
    <n v="400"/>
    <s v="PP"/>
    <n v="5"/>
    <n v="96.86"/>
    <n v="3"/>
    <m/>
    <m/>
    <n v="93.86"/>
    <s v="374.04"/>
    <m/>
    <m/>
    <m/>
    <n v="0"/>
    <n v="0"/>
    <m/>
    <m/>
    <m/>
    <m/>
    <m/>
    <m/>
    <m/>
    <m/>
    <n v="0"/>
    <n v="0"/>
    <n v="0"/>
    <n v="12"/>
    <n v="12"/>
    <m/>
    <m/>
    <n v="0"/>
    <n v="101.86"/>
    <m/>
    <x v="30"/>
    <m/>
    <m/>
    <m/>
    <m/>
  </r>
  <r>
    <x v="0"/>
    <x v="3"/>
    <s v="2995 F"/>
    <x v="255"/>
    <s v="Usman Amin"/>
    <s v="PP"/>
    <n v="16.2"/>
    <s v="-"/>
    <s v="PP"/>
    <n v="3000"/>
    <s v="PP"/>
    <n v="4"/>
    <n v="180.67000000000002"/>
    <n v="7.6"/>
    <m/>
    <m/>
    <n v="173.07000000000002"/>
    <s v="7934.61"/>
    <m/>
    <m/>
    <m/>
    <n v="0"/>
    <n v="0"/>
    <m/>
    <m/>
    <m/>
    <m/>
    <m/>
    <m/>
    <m/>
    <m/>
    <n v="0"/>
    <n v="0"/>
    <n v="0"/>
    <n v="12"/>
    <n v="12"/>
    <m/>
    <m/>
    <n v="0"/>
    <n v="185.67"/>
    <m/>
    <x v="30"/>
    <m/>
    <m/>
    <m/>
    <m/>
  </r>
  <r>
    <x v="0"/>
    <x v="3"/>
    <s v="7829/1"/>
    <x v="255"/>
    <s v="جناح  پیپر اردو بازار"/>
    <s v="PP"/>
    <n v="17"/>
    <s v="23 گرام"/>
    <s v="PP"/>
    <n v="800"/>
    <s v="PP"/>
    <n v="7"/>
    <n v="408.13"/>
    <n v="11.9"/>
    <m/>
    <m/>
    <n v="396.23"/>
    <s v="812.37000000000012"/>
    <n v="35"/>
    <m/>
    <m/>
    <n v="35"/>
    <n v="0.58333333333333337"/>
    <m/>
    <m/>
    <m/>
    <m/>
    <m/>
    <m/>
    <n v="40"/>
    <m/>
    <n v="40"/>
    <n v="0.66666666666666663"/>
    <n v="1.25"/>
    <n v="10.75"/>
    <n v="12"/>
    <m/>
    <m/>
    <n v="0"/>
    <n v="413.13"/>
    <m/>
    <x v="30"/>
    <m/>
    <m/>
    <m/>
    <m/>
  </r>
  <r>
    <x v="1"/>
    <x v="3"/>
    <s v="7829/1"/>
    <x v="255"/>
    <s v="جناح  پیپر اردو بازار"/>
    <s v="PP"/>
    <n v="17"/>
    <s v="23 گرام"/>
    <s v="PP"/>
    <n v="800"/>
    <s v="PP"/>
    <n v="6"/>
    <n v="426.34000000000003"/>
    <n v="10.199999999999999"/>
    <m/>
    <m/>
    <n v="416.14000000000004"/>
    <s v="812.37000000000012"/>
    <m/>
    <m/>
    <m/>
    <n v="0"/>
    <n v="0"/>
    <m/>
    <m/>
    <m/>
    <m/>
    <m/>
    <m/>
    <m/>
    <m/>
    <n v="0"/>
    <n v="0"/>
    <n v="0"/>
    <n v="12"/>
    <n v="12"/>
    <m/>
    <m/>
    <n v="0"/>
    <n v="431.34"/>
    <m/>
    <x v="30"/>
    <m/>
    <m/>
    <m/>
    <m/>
  </r>
  <r>
    <x v="1"/>
    <x v="3"/>
    <s v="7839/1"/>
    <x v="255"/>
    <s v="ریفلیکٹ پیک لاہور"/>
    <s v="PP"/>
    <n v="15"/>
    <s v="5.5-6"/>
    <s v="PP"/>
    <n v="5000"/>
    <s v="PP"/>
    <n v="2"/>
    <n v="105.63"/>
    <n v="3"/>
    <m/>
    <m/>
    <n v="102.63"/>
    <s v="5187.33"/>
    <m/>
    <m/>
    <m/>
    <n v="0"/>
    <n v="0"/>
    <m/>
    <m/>
    <m/>
    <m/>
    <m/>
    <m/>
    <m/>
    <m/>
    <n v="0"/>
    <n v="0"/>
    <n v="0"/>
    <n v="12"/>
    <n v="12"/>
    <m/>
    <m/>
    <n v="0"/>
    <n v="110.63"/>
    <m/>
    <x v="30"/>
    <m/>
    <m/>
    <m/>
    <m/>
  </r>
  <r>
    <x v="1"/>
    <x v="3"/>
    <s v="7821/4"/>
    <x v="255"/>
    <s v="العمر پلاسٹک گوجرانوالہ"/>
    <s v="PP"/>
    <n v="15"/>
    <s v="10"/>
    <s v="PP"/>
    <n v="200"/>
    <s v="PP"/>
    <n v="3"/>
    <n v="191.7"/>
    <n v="4.5"/>
    <m/>
    <m/>
    <n v="187.2"/>
    <s v="253.36999999999998"/>
    <m/>
    <m/>
    <m/>
    <n v="0"/>
    <n v="0"/>
    <m/>
    <m/>
    <m/>
    <m/>
    <m/>
    <m/>
    <m/>
    <m/>
    <n v="0"/>
    <n v="0"/>
    <n v="0"/>
    <n v="12"/>
    <n v="12"/>
    <m/>
    <m/>
    <n v="0"/>
    <n v="196.7"/>
    <m/>
    <x v="30"/>
    <m/>
    <m/>
    <m/>
    <m/>
  </r>
  <r>
    <x v="0"/>
    <x v="4"/>
    <s v="7821/3"/>
    <x v="255"/>
    <s v="العمر پلاسٹک گوجرانوالہ"/>
    <s v="PP"/>
    <n v="14"/>
    <s v="10"/>
    <s v="PP"/>
    <n v="100"/>
    <s v="PP"/>
    <n v="1"/>
    <n v="26.73"/>
    <n v="1.4"/>
    <m/>
    <m/>
    <n v="25.330000000000002"/>
    <s v="123.91"/>
    <m/>
    <m/>
    <m/>
    <n v="0"/>
    <n v="0"/>
    <m/>
    <m/>
    <m/>
    <m/>
    <m/>
    <m/>
    <m/>
    <m/>
    <n v="0"/>
    <n v="0"/>
    <n v="0"/>
    <n v="12"/>
    <n v="12"/>
    <m/>
    <m/>
    <n v="0"/>
    <n v="31.73"/>
    <m/>
    <x v="30"/>
    <m/>
    <m/>
    <m/>
    <m/>
  </r>
  <r>
    <x v="0"/>
    <x v="4"/>
    <s v="14/11"/>
    <x v="255"/>
    <s v="سٹاک"/>
    <s v="PP"/>
    <n v="14"/>
    <n v="5"/>
    <s v="PP"/>
    <n v="1000"/>
    <s v="PP"/>
    <n v="9"/>
    <n v="519.46999999999991"/>
    <n v="12.6"/>
    <n v="42"/>
    <m/>
    <n v="506.86999999999989"/>
    <s v="912.4799999999999"/>
    <m/>
    <m/>
    <m/>
    <n v="0"/>
    <n v="0"/>
    <m/>
    <m/>
    <m/>
    <m/>
    <m/>
    <m/>
    <m/>
    <m/>
    <n v="0"/>
    <n v="0"/>
    <n v="0"/>
    <n v="12"/>
    <n v="12"/>
    <m/>
    <m/>
    <n v="0"/>
    <n v="524.46999999999991"/>
    <m/>
    <x v="30"/>
    <m/>
    <m/>
    <m/>
    <m/>
  </r>
  <r>
    <x v="1"/>
    <x v="4"/>
    <s v="14/11"/>
    <x v="255"/>
    <s v="سٹاک"/>
    <s v="PP"/>
    <n v="14"/>
    <n v="5"/>
    <s v="PP"/>
    <n v="1000"/>
    <s v="PP"/>
    <n v="4"/>
    <n v="233.87"/>
    <n v="5.6"/>
    <n v="34"/>
    <m/>
    <n v="228.27"/>
    <s v="912.4799999999999"/>
    <m/>
    <m/>
    <m/>
    <n v="0"/>
    <n v="0"/>
    <m/>
    <m/>
    <m/>
    <m/>
    <m/>
    <m/>
    <m/>
    <m/>
    <n v="0"/>
    <n v="0"/>
    <n v="0"/>
    <n v="12"/>
    <n v="12"/>
    <m/>
    <m/>
    <n v="0"/>
    <n v="238.87"/>
    <m/>
    <x v="30"/>
    <m/>
    <m/>
    <m/>
    <m/>
  </r>
  <r>
    <x v="1"/>
    <x v="4"/>
    <s v="7827/9"/>
    <x v="255"/>
    <s v="آ صف پلاسٹک سرگودھا"/>
    <s v="PP"/>
    <n v="10"/>
    <s v="4"/>
    <s v="PP"/>
    <n v="200"/>
    <s v="PP"/>
    <n v="5"/>
    <n v="242.9"/>
    <n v="5"/>
    <m/>
    <m/>
    <n v="237.9"/>
    <s v="666.74"/>
    <m/>
    <m/>
    <m/>
    <n v="0"/>
    <n v="0"/>
    <m/>
    <m/>
    <m/>
    <m/>
    <m/>
    <m/>
    <m/>
    <m/>
    <n v="0"/>
    <n v="0"/>
    <n v="0"/>
    <n v="12"/>
    <n v="12"/>
    <m/>
    <m/>
    <n v="0"/>
    <n v="247.9"/>
    <m/>
    <x v="30"/>
    <m/>
    <m/>
    <m/>
    <m/>
  </r>
  <r>
    <x v="0"/>
    <x v="0"/>
    <s v="7841/11"/>
    <x v="256"/>
    <s v="طاہر پلاسٹک جھنگ"/>
    <s v="PP"/>
    <n v="3.5"/>
    <s v="5"/>
    <s v="PP"/>
    <n v="150"/>
    <s v="PP"/>
    <n v="4"/>
    <n v="84.65"/>
    <n v="14"/>
    <m/>
    <m/>
    <n v="70.650000000000006"/>
    <s v="229.45999999999998"/>
    <n v="20"/>
    <m/>
    <m/>
    <n v="20"/>
    <n v="0.33333333333333331"/>
    <m/>
    <m/>
    <m/>
    <m/>
    <m/>
    <m/>
    <m/>
    <m/>
    <n v="0"/>
    <n v="0"/>
    <n v="0.33333333333333331"/>
    <n v="11.666666666666666"/>
    <n v="12"/>
    <m/>
    <m/>
    <n v="0"/>
    <n v="89.65"/>
    <m/>
    <x v="30"/>
    <m/>
    <m/>
    <m/>
    <m/>
  </r>
  <r>
    <x v="0"/>
    <x v="0"/>
    <s v="2.5/17"/>
    <x v="256"/>
    <s v="سٹاک"/>
    <s v="PP"/>
    <n v="2.5"/>
    <s v="5.5-6"/>
    <s v="PP"/>
    <n v="1000"/>
    <s v="PP"/>
    <n v="4"/>
    <n v="52.540000000000006"/>
    <n v="1"/>
    <m/>
    <m/>
    <n v="51.540000000000006"/>
    <s v="867.37"/>
    <m/>
    <m/>
    <m/>
    <n v="0"/>
    <n v="0"/>
    <m/>
    <m/>
    <m/>
    <m/>
    <m/>
    <m/>
    <m/>
    <m/>
    <n v="0"/>
    <n v="0"/>
    <n v="0"/>
    <n v="12"/>
    <n v="12"/>
    <m/>
    <m/>
    <n v="0"/>
    <n v="57.540000000000006"/>
    <m/>
    <x v="30"/>
    <m/>
    <m/>
    <m/>
    <m/>
  </r>
  <r>
    <x v="1"/>
    <x v="0"/>
    <s v="2.5/17"/>
    <x v="256"/>
    <s v="سٹاک"/>
    <s v="PP"/>
    <n v="2.5"/>
    <s v="5.5-6"/>
    <s v="PP"/>
    <n v="1000"/>
    <s v="PP"/>
    <n v="7"/>
    <n v="108.95000000000002"/>
    <n v="1.75"/>
    <m/>
    <m/>
    <n v="107.20000000000002"/>
    <s v="867.37"/>
    <m/>
    <m/>
    <m/>
    <n v="0"/>
    <n v="0"/>
    <m/>
    <m/>
    <m/>
    <m/>
    <m/>
    <m/>
    <m/>
    <m/>
    <n v="0"/>
    <n v="0"/>
    <n v="0"/>
    <n v="12"/>
    <n v="12"/>
    <m/>
    <m/>
    <n v="0"/>
    <n v="113.95000000000002"/>
    <m/>
    <x v="30"/>
    <m/>
    <m/>
    <m/>
    <m/>
  </r>
  <r>
    <x v="0"/>
    <x v="1"/>
    <s v="7831/2"/>
    <x v="256"/>
    <s v="ینیور سل اعظم مارکیٹ"/>
    <s v="PP"/>
    <n v="6"/>
    <s v="6"/>
    <s v="PP"/>
    <n v="100"/>
    <s v="PP"/>
    <n v="2"/>
    <n v="43.510000000000005"/>
    <n v="1.2"/>
    <m/>
    <m/>
    <n v="42.31"/>
    <s v="42.31"/>
    <m/>
    <m/>
    <m/>
    <n v="0"/>
    <n v="0"/>
    <m/>
    <m/>
    <m/>
    <m/>
    <m/>
    <m/>
    <m/>
    <m/>
    <n v="0"/>
    <n v="0"/>
    <n v="0"/>
    <n v="12"/>
    <n v="12"/>
    <m/>
    <m/>
    <n v="0"/>
    <n v="48.510000000000005"/>
    <m/>
    <x v="30"/>
    <m/>
    <m/>
    <m/>
    <m/>
  </r>
  <r>
    <x v="0"/>
    <x v="1"/>
    <s v="7841/9"/>
    <x v="256"/>
    <s v="طاہر پلاسٹک جھنگ"/>
    <s v="PP"/>
    <n v="5"/>
    <s v="4.5"/>
    <s v="PP"/>
    <n v="100"/>
    <s v="PP"/>
    <n v="6"/>
    <n v="119.08999999999999"/>
    <n v="3"/>
    <m/>
    <m/>
    <n v="116.08999999999999"/>
    <s v="116.08999999999999"/>
    <n v="20"/>
    <m/>
    <m/>
    <n v="20"/>
    <n v="0.33333333333333331"/>
    <m/>
    <m/>
    <m/>
    <m/>
    <m/>
    <m/>
    <m/>
    <m/>
    <n v="0"/>
    <n v="0"/>
    <n v="0.33333333333333331"/>
    <n v="11.666666666666666"/>
    <n v="12"/>
    <m/>
    <m/>
    <n v="0"/>
    <n v="124.09"/>
    <m/>
    <x v="30"/>
    <m/>
    <m/>
    <m/>
    <m/>
  </r>
  <r>
    <x v="0"/>
    <x v="1"/>
    <s v="5/8"/>
    <x v="256"/>
    <s v="سٹاک"/>
    <s v="PP"/>
    <n v="5"/>
    <s v="5.5-6"/>
    <s v="PP"/>
    <n v="500"/>
    <s v="PP"/>
    <n v="1"/>
    <n v="17.88"/>
    <n v="0.5"/>
    <m/>
    <m/>
    <n v="17.38"/>
    <s v="606.11"/>
    <m/>
    <m/>
    <m/>
    <n v="0"/>
    <n v="0"/>
    <m/>
    <m/>
    <m/>
    <m/>
    <m/>
    <m/>
    <m/>
    <m/>
    <n v="0"/>
    <n v="0"/>
    <n v="0"/>
    <n v="12"/>
    <n v="12"/>
    <m/>
    <m/>
    <n v="0"/>
    <n v="22.88"/>
    <m/>
    <x v="30"/>
    <m/>
    <m/>
    <m/>
    <m/>
  </r>
  <r>
    <x v="1"/>
    <x v="1"/>
    <s v="5/8"/>
    <x v="256"/>
    <s v="سٹاک"/>
    <s v="PP"/>
    <n v="5"/>
    <s v="5.5-6"/>
    <s v="PP"/>
    <n v="500"/>
    <s v="PP"/>
    <n v="9"/>
    <n v="179.12999999999997"/>
    <n v="4.5"/>
    <m/>
    <m/>
    <n v="174.62999999999997"/>
    <s v="606.11"/>
    <m/>
    <m/>
    <m/>
    <n v="0"/>
    <n v="0"/>
    <m/>
    <m/>
    <m/>
    <m/>
    <m/>
    <m/>
    <m/>
    <m/>
    <n v="0"/>
    <n v="0"/>
    <n v="0"/>
    <n v="12"/>
    <n v="12"/>
    <m/>
    <m/>
    <n v="0"/>
    <n v="184.12999999999997"/>
    <m/>
    <x v="30"/>
    <m/>
    <m/>
    <m/>
    <m/>
  </r>
  <r>
    <x v="0"/>
    <x v="3"/>
    <s v="7821/4"/>
    <x v="256"/>
    <s v="العمر پلاسٹک گوجرانوالہ"/>
    <s v="PP"/>
    <n v="15"/>
    <s v="10"/>
    <s v="PP"/>
    <n v="200"/>
    <s v="PP"/>
    <n v="1"/>
    <n v="67.819999999999993"/>
    <n v="1.65"/>
    <m/>
    <m/>
    <n v="66.169999999999987"/>
    <s v="253.36999999999998"/>
    <m/>
    <m/>
    <m/>
    <n v="0"/>
    <n v="0"/>
    <m/>
    <m/>
    <m/>
    <m/>
    <m/>
    <m/>
    <m/>
    <m/>
    <n v="0"/>
    <n v="0"/>
    <n v="0"/>
    <n v="12"/>
    <n v="12"/>
    <m/>
    <m/>
    <n v="0"/>
    <n v="72.819999999999993"/>
    <m/>
    <x v="30"/>
    <m/>
    <m/>
    <m/>
    <m/>
  </r>
  <r>
    <x v="0"/>
    <x v="3"/>
    <s v="7839/1"/>
    <x v="256"/>
    <s v="ریفلیکٹ پیک لاہور"/>
    <s v="PP"/>
    <n v="15"/>
    <s v="5.5-6"/>
    <s v="PP"/>
    <n v="5000"/>
    <s v="PP"/>
    <n v="11"/>
    <n v="663.75"/>
    <n v="16.5"/>
    <n v="18"/>
    <m/>
    <n v="647.25"/>
    <s v="5187.33"/>
    <m/>
    <m/>
    <m/>
    <n v="0"/>
    <n v="0"/>
    <m/>
    <m/>
    <m/>
    <m/>
    <m/>
    <m/>
    <m/>
    <m/>
    <n v="0"/>
    <n v="0"/>
    <n v="0"/>
    <n v="12"/>
    <n v="12"/>
    <m/>
    <m/>
    <n v="0"/>
    <n v="668.75"/>
    <m/>
    <x v="30"/>
    <m/>
    <m/>
    <m/>
    <m/>
  </r>
  <r>
    <x v="1"/>
    <x v="3"/>
    <s v="7839/1"/>
    <x v="256"/>
    <s v="ریفلیکٹ پیک لاہور"/>
    <s v="PP"/>
    <n v="15"/>
    <s v="5.5-6"/>
    <s v="PP"/>
    <n v="5000"/>
    <s v="PP"/>
    <n v="12"/>
    <n v="731.04"/>
    <n v="18"/>
    <n v="32"/>
    <m/>
    <n v="713.04"/>
    <s v="5187.33"/>
    <m/>
    <m/>
    <m/>
    <n v="0"/>
    <n v="0"/>
    <m/>
    <m/>
    <m/>
    <m/>
    <m/>
    <m/>
    <m/>
    <m/>
    <n v="0"/>
    <n v="0"/>
    <n v="0"/>
    <n v="12"/>
    <n v="12"/>
    <m/>
    <m/>
    <n v="0"/>
    <n v="736.04"/>
    <m/>
    <x v="30"/>
    <m/>
    <m/>
    <m/>
    <m/>
  </r>
  <r>
    <x v="0"/>
    <x v="4"/>
    <s v="7827/9"/>
    <x v="256"/>
    <s v="آ صف پلاسٹک سرگودھا"/>
    <s v="PP"/>
    <n v="10"/>
    <s v="4"/>
    <s v="PP"/>
    <n v="200"/>
    <s v="PP"/>
    <n v="9"/>
    <n v="437.84000000000003"/>
    <n v="9"/>
    <n v="3.5"/>
    <m/>
    <n v="428.84000000000003"/>
    <s v="666.74"/>
    <m/>
    <m/>
    <m/>
    <n v="0"/>
    <n v="0"/>
    <m/>
    <m/>
    <m/>
    <m/>
    <m/>
    <m/>
    <m/>
    <m/>
    <n v="0"/>
    <n v="0"/>
    <n v="0"/>
    <n v="12"/>
    <n v="12"/>
    <m/>
    <m/>
    <n v="0"/>
    <n v="442.84"/>
    <m/>
    <x v="30"/>
    <m/>
    <m/>
    <m/>
    <m/>
  </r>
  <r>
    <x v="1"/>
    <x v="4"/>
    <s v="7834/1"/>
    <x v="256"/>
    <s v="اسلم پلاسٹک ملتان"/>
    <s v="PP"/>
    <n v="10"/>
    <s v="7"/>
    <s v="PP"/>
    <n v="150"/>
    <s v="PP"/>
    <n v="4"/>
    <n v="175.79999999999998"/>
    <n v="4"/>
    <n v="3.5"/>
    <m/>
    <n v="171.79999999999998"/>
    <s v="171.79999999999998"/>
    <m/>
    <m/>
    <m/>
    <n v="0"/>
    <n v="0"/>
    <m/>
    <m/>
    <m/>
    <m/>
    <m/>
    <m/>
    <m/>
    <m/>
    <n v="0"/>
    <n v="0"/>
    <n v="0"/>
    <n v="12"/>
    <n v="12"/>
    <m/>
    <m/>
    <n v="0"/>
    <n v="180.8"/>
    <m/>
    <x v="30"/>
    <m/>
    <m/>
    <m/>
    <m/>
  </r>
  <r>
    <x v="1"/>
    <x v="4"/>
    <s v="7836/3"/>
    <x v="256"/>
    <s v="حزیفہ پلاسٹک اعظم مارکیٹ"/>
    <s v="PP"/>
    <n v="10"/>
    <s v="6"/>
    <s v="PP"/>
    <n v="100"/>
    <s v="PP"/>
    <n v="4"/>
    <n v="115.82999999999998"/>
    <n v="9.1999999999999993"/>
    <m/>
    <m/>
    <n v="106.62999999999998"/>
    <s v="106.62999999999998"/>
    <m/>
    <m/>
    <m/>
    <n v="0"/>
    <n v="0"/>
    <m/>
    <m/>
    <m/>
    <m/>
    <m/>
    <m/>
    <m/>
    <m/>
    <n v="0"/>
    <n v="0"/>
    <n v="0"/>
    <n v="12"/>
    <n v="12"/>
    <m/>
    <m/>
    <n v="0"/>
    <n v="120.82999999999998"/>
    <m/>
    <x v="30"/>
    <m/>
    <m/>
    <m/>
    <m/>
  </r>
  <r>
    <x v="1"/>
    <x v="4"/>
    <s v="7827/2"/>
    <x v="256"/>
    <s v="آ صف پلاسٹک سرگودھا"/>
    <s v="PP"/>
    <n v="12"/>
    <s v="4"/>
    <s v="PP"/>
    <n v="500"/>
    <s v="PP"/>
    <n v="1"/>
    <n v="50.1"/>
    <n v="1.2"/>
    <m/>
    <m/>
    <n v="48.9"/>
    <s v="998.43000000000006"/>
    <m/>
    <m/>
    <m/>
    <n v="0"/>
    <n v="0"/>
    <m/>
    <m/>
    <m/>
    <m/>
    <m/>
    <m/>
    <m/>
    <m/>
    <n v="0"/>
    <n v="0"/>
    <n v="0"/>
    <n v="12"/>
    <n v="12"/>
    <m/>
    <m/>
    <n v="0"/>
    <n v="55.1"/>
    <m/>
    <x v="30"/>
    <m/>
    <m/>
    <m/>
    <m/>
  </r>
  <r>
    <x v="1"/>
    <x v="4"/>
    <s v="7815/1"/>
    <x v="256"/>
    <s v="بلال احمد اعظم مارکیٹ"/>
    <s v="PP"/>
    <n v="10"/>
    <s v="8"/>
    <s v="PP"/>
    <n v="50"/>
    <s v="PP"/>
    <n v="2"/>
    <n v="26.18"/>
    <n v="1"/>
    <m/>
    <m/>
    <n v="25.18"/>
    <s v="25.18"/>
    <m/>
    <m/>
    <m/>
    <n v="0"/>
    <n v="0"/>
    <m/>
    <m/>
    <m/>
    <m/>
    <m/>
    <m/>
    <m/>
    <m/>
    <n v="0"/>
    <n v="0"/>
    <n v="0"/>
    <n v="12"/>
    <n v="12"/>
    <m/>
    <m/>
    <n v="0"/>
    <n v="31.18"/>
    <m/>
    <x v="30"/>
    <m/>
    <m/>
    <m/>
    <m/>
  </r>
  <r>
    <x v="1"/>
    <x v="4"/>
    <s v="7834/2"/>
    <x v="256"/>
    <s v="اسلم پلاسٹک ملتان"/>
    <s v="PP"/>
    <n v="12"/>
    <s v="7"/>
    <s v="PP"/>
    <n v="150"/>
    <s v="PP"/>
    <n v="2"/>
    <n v="108.5"/>
    <n v="2.4"/>
    <m/>
    <m/>
    <n v="106.1"/>
    <s v="106.1"/>
    <m/>
    <m/>
    <m/>
    <n v="0"/>
    <n v="0"/>
    <m/>
    <m/>
    <m/>
    <m/>
    <m/>
    <m/>
    <m/>
    <m/>
    <n v="0"/>
    <n v="0"/>
    <n v="0"/>
    <n v="12"/>
    <n v="12"/>
    <m/>
    <m/>
    <n v="0"/>
    <n v="113.5"/>
    <m/>
    <x v="30"/>
    <m/>
    <m/>
    <m/>
    <m/>
  </r>
  <r>
    <x v="0"/>
    <x v="0"/>
    <s v="2.5/17"/>
    <x v="257"/>
    <s v="سٹاک"/>
    <s v="PP"/>
    <n v="2.5"/>
    <s v="5.5-6"/>
    <s v="PP"/>
    <n v="1000"/>
    <s v="PP"/>
    <n v="7"/>
    <n v="107.21"/>
    <n v="1.75"/>
    <m/>
    <m/>
    <n v="105.46"/>
    <s v="867.37"/>
    <m/>
    <m/>
    <m/>
    <n v="0"/>
    <n v="0"/>
    <m/>
    <m/>
    <m/>
    <m/>
    <m/>
    <m/>
    <m/>
    <m/>
    <n v="0"/>
    <n v="0"/>
    <n v="0"/>
    <n v="12"/>
    <n v="12"/>
    <m/>
    <m/>
    <n v="0"/>
    <n v="112.21"/>
    <m/>
    <x v="30"/>
    <m/>
    <m/>
    <m/>
    <m/>
  </r>
  <r>
    <x v="1"/>
    <x v="0"/>
    <s v="2.5/17"/>
    <x v="257"/>
    <s v="سٹاک"/>
    <s v="PP"/>
    <n v="2.5"/>
    <s v="5.5-6"/>
    <s v="PP"/>
    <n v="1000"/>
    <s v="PP"/>
    <n v="7"/>
    <n v="103.4"/>
    <n v="1.75"/>
    <m/>
    <m/>
    <n v="101.65"/>
    <s v="867.37"/>
    <m/>
    <m/>
    <m/>
    <n v="0"/>
    <n v="0"/>
    <m/>
    <m/>
    <m/>
    <m/>
    <m/>
    <m/>
    <m/>
    <m/>
    <n v="0"/>
    <n v="0"/>
    <n v="0"/>
    <n v="12"/>
    <n v="12"/>
    <m/>
    <m/>
    <n v="0"/>
    <n v="108.4"/>
    <m/>
    <x v="30"/>
    <m/>
    <m/>
    <m/>
    <m/>
  </r>
  <r>
    <x v="0"/>
    <x v="1"/>
    <s v="5/8"/>
    <x v="257"/>
    <s v="سٹاک"/>
    <s v="PP"/>
    <n v="5"/>
    <s v="5.5-6"/>
    <s v="PP"/>
    <n v="500"/>
    <s v="PP"/>
    <n v="8"/>
    <n v="155.9"/>
    <n v="4"/>
    <m/>
    <m/>
    <n v="151.9"/>
    <s v="606.11"/>
    <m/>
    <m/>
    <m/>
    <n v="0"/>
    <n v="0"/>
    <m/>
    <m/>
    <m/>
    <m/>
    <m/>
    <m/>
    <m/>
    <m/>
    <n v="0"/>
    <n v="0"/>
    <n v="0"/>
    <n v="12"/>
    <n v="12"/>
    <m/>
    <m/>
    <n v="0"/>
    <n v="160.9"/>
    <m/>
    <x v="30"/>
    <m/>
    <m/>
    <m/>
    <m/>
  </r>
  <r>
    <x v="1"/>
    <x v="1"/>
    <s v="5/8"/>
    <x v="257"/>
    <s v="سٹاک"/>
    <s v="PP"/>
    <n v="5"/>
    <s v="5.5-6"/>
    <s v="PP"/>
    <n v="500"/>
    <s v="PP"/>
    <n v="8"/>
    <n v="164.07000000000002"/>
    <n v="4"/>
    <m/>
    <m/>
    <n v="160.07000000000002"/>
    <s v="606.11"/>
    <m/>
    <m/>
    <m/>
    <n v="0"/>
    <n v="0"/>
    <m/>
    <m/>
    <m/>
    <m/>
    <m/>
    <m/>
    <m/>
    <m/>
    <n v="0"/>
    <n v="0"/>
    <n v="0"/>
    <n v="12"/>
    <n v="12"/>
    <m/>
    <m/>
    <n v="0"/>
    <n v="169.07000000000002"/>
    <m/>
    <x v="30"/>
    <m/>
    <m/>
    <m/>
    <m/>
  </r>
  <r>
    <x v="0"/>
    <x v="3"/>
    <s v="7839/1"/>
    <x v="257"/>
    <s v="ریفلیکٹ پیک لاہور"/>
    <s v="PP"/>
    <n v="15"/>
    <s v="5.5-6"/>
    <s v="PP"/>
    <n v="5000"/>
    <s v="PP"/>
    <n v="14"/>
    <n v="710.06000000000017"/>
    <n v="23.099999999999998"/>
    <n v="30"/>
    <m/>
    <n v="686.96000000000015"/>
    <s v="5187.33"/>
    <m/>
    <m/>
    <m/>
    <n v="0"/>
    <n v="0"/>
    <m/>
    <m/>
    <m/>
    <m/>
    <m/>
    <m/>
    <m/>
    <m/>
    <n v="0"/>
    <n v="0"/>
    <n v="0"/>
    <n v="12"/>
    <n v="12"/>
    <m/>
    <m/>
    <n v="0"/>
    <n v="715.06000000000017"/>
    <m/>
    <x v="30"/>
    <m/>
    <m/>
    <m/>
    <m/>
  </r>
  <r>
    <x v="0"/>
    <x v="3"/>
    <m/>
    <x v="257"/>
    <s v="-"/>
    <m/>
    <m/>
    <m/>
    <m/>
    <m/>
    <s v="PP"/>
    <n v="1"/>
    <n v="63.08"/>
    <n v="1.65"/>
    <m/>
    <m/>
    <n v="61.43"/>
    <s v="0"/>
    <m/>
    <m/>
    <m/>
    <n v="0"/>
    <n v="0"/>
    <m/>
    <m/>
    <m/>
    <m/>
    <m/>
    <m/>
    <m/>
    <m/>
    <n v="0"/>
    <n v="0"/>
    <n v="0"/>
    <n v="12"/>
    <n v="12"/>
    <m/>
    <m/>
    <n v="0"/>
    <n v="68.08"/>
    <m/>
    <x v="30"/>
    <m/>
    <m/>
    <m/>
    <m/>
  </r>
  <r>
    <x v="1"/>
    <x v="3"/>
    <s v="7839/1"/>
    <x v="257"/>
    <s v="ریفلیکٹ پیک لاہور"/>
    <s v="PP"/>
    <n v="15"/>
    <s v="5.5-6"/>
    <s v="PP"/>
    <n v="5000"/>
    <s v="PP"/>
    <n v="13"/>
    <n v="768.46"/>
    <n v="21.45"/>
    <n v="36"/>
    <m/>
    <n v="747.01"/>
    <s v="5187.33"/>
    <m/>
    <m/>
    <m/>
    <n v="0"/>
    <n v="0"/>
    <m/>
    <m/>
    <m/>
    <m/>
    <m/>
    <m/>
    <m/>
    <m/>
    <n v="0"/>
    <n v="0"/>
    <n v="0"/>
    <n v="12"/>
    <n v="12"/>
    <m/>
    <m/>
    <n v="0"/>
    <n v="773.46"/>
    <m/>
    <x v="30"/>
    <m/>
    <m/>
    <m/>
    <m/>
  </r>
  <r>
    <x v="0"/>
    <x v="4"/>
    <s v="7827/2"/>
    <x v="257"/>
    <s v="آ صف پلاسٹک سرگودھا"/>
    <s v="PP"/>
    <n v="12"/>
    <s v="4"/>
    <s v="PP"/>
    <n v="500"/>
    <s v="PP"/>
    <n v="12"/>
    <n v="555.99"/>
    <n v="14.399999999999999"/>
    <n v="4.5"/>
    <m/>
    <n v="541.59"/>
    <s v="998.43000000000006"/>
    <m/>
    <m/>
    <m/>
    <n v="0"/>
    <n v="0"/>
    <m/>
    <m/>
    <m/>
    <m/>
    <m/>
    <m/>
    <m/>
    <m/>
    <n v="0"/>
    <n v="0"/>
    <n v="0"/>
    <n v="12"/>
    <n v="12"/>
    <m/>
    <m/>
    <n v="0"/>
    <n v="560.99"/>
    <m/>
    <x v="30"/>
    <m/>
    <m/>
    <m/>
    <m/>
  </r>
  <r>
    <x v="1"/>
    <x v="4"/>
    <s v="7827/2"/>
    <x v="257"/>
    <s v="آ صف پلاسٹک سرگودھا"/>
    <s v="PP"/>
    <n v="12"/>
    <s v="4"/>
    <s v="PP"/>
    <n v="500"/>
    <s v="PP"/>
    <n v="8"/>
    <n v="417.64"/>
    <n v="9.7000000000000011"/>
    <n v="4.5"/>
    <m/>
    <n v="407.94"/>
    <s v="998.43000000000006"/>
    <n v="25"/>
    <m/>
    <m/>
    <n v="25"/>
    <n v="0.41666666666666674"/>
    <m/>
    <m/>
    <m/>
    <m/>
    <m/>
    <m/>
    <m/>
    <m/>
    <n v="0"/>
    <n v="0"/>
    <n v="0.41666666666666674"/>
    <n v="11.583333333333334"/>
    <n v="12"/>
    <m/>
    <m/>
    <n v="0"/>
    <n v="422.64"/>
    <m/>
    <x v="30"/>
    <m/>
    <m/>
    <m/>
    <m/>
  </r>
  <r>
    <x v="1"/>
    <x v="4"/>
    <s v="7827/6"/>
    <x v="257"/>
    <s v="آ صف پلاسٹک سرگودھا"/>
    <s v="PP"/>
    <n v="9"/>
    <s v="4"/>
    <s v="PP"/>
    <n v="150"/>
    <s v="PP"/>
    <n v="4"/>
    <n v="100.78"/>
    <n v="3.6"/>
    <m/>
    <m/>
    <n v="97.18"/>
    <s v="97.18"/>
    <m/>
    <m/>
    <m/>
    <n v="0"/>
    <n v="0"/>
    <m/>
    <m/>
    <m/>
    <m/>
    <m/>
    <m/>
    <m/>
    <m/>
    <n v="0"/>
    <n v="0"/>
    <n v="0"/>
    <n v="12"/>
    <n v="12"/>
    <m/>
    <m/>
    <n v="0"/>
    <n v="105.78"/>
    <m/>
    <x v="30"/>
    <m/>
    <m/>
    <m/>
    <m/>
  </r>
  <r>
    <x v="0"/>
    <x v="0"/>
    <s v="2.5/17"/>
    <x v="258"/>
    <s v="سٹاک"/>
    <s v="PP"/>
    <n v="2.5"/>
    <s v="5.5-6"/>
    <s v="PP"/>
    <n v="1000"/>
    <s v="PP"/>
    <n v="7"/>
    <n v="105.88999999999999"/>
    <n v="1.75"/>
    <m/>
    <m/>
    <n v="104.13999999999999"/>
    <s v="867.37"/>
    <m/>
    <m/>
    <m/>
    <n v="0"/>
    <n v="0"/>
    <m/>
    <m/>
    <m/>
    <m/>
    <m/>
    <m/>
    <m/>
    <m/>
    <n v="0"/>
    <n v="0"/>
    <n v="0"/>
    <n v="12"/>
    <n v="12"/>
    <m/>
    <m/>
    <n v="0"/>
    <n v="110.89"/>
    <m/>
    <x v="30"/>
    <m/>
    <m/>
    <m/>
    <m/>
  </r>
  <r>
    <x v="1"/>
    <x v="0"/>
    <s v="2.5/17"/>
    <x v="258"/>
    <s v="سٹاک"/>
    <s v="PP"/>
    <n v="2.5"/>
    <s v="5.5-6"/>
    <s v="PP"/>
    <n v="1000"/>
    <s v="PP"/>
    <n v="7"/>
    <n v="113.76000000000002"/>
    <n v="1.75"/>
    <m/>
    <m/>
    <n v="112.01000000000002"/>
    <s v="867.37"/>
    <m/>
    <m/>
    <m/>
    <n v="0"/>
    <n v="0"/>
    <m/>
    <m/>
    <m/>
    <m/>
    <m/>
    <m/>
    <m/>
    <m/>
    <n v="0"/>
    <n v="0"/>
    <n v="0"/>
    <n v="12"/>
    <n v="12"/>
    <m/>
    <m/>
    <n v="0"/>
    <n v="118.76000000000002"/>
    <m/>
    <x v="30"/>
    <m/>
    <m/>
    <m/>
    <m/>
  </r>
  <r>
    <x v="0"/>
    <x v="1"/>
    <s v="5/8"/>
    <x v="258"/>
    <s v="سٹاک"/>
    <s v="PP"/>
    <n v="5"/>
    <s v="5.5-6"/>
    <s v="PP"/>
    <n v="500"/>
    <s v="PP"/>
    <n v="5"/>
    <n v="104.63"/>
    <n v="2.5"/>
    <m/>
    <m/>
    <n v="102.13"/>
    <s v="606.11"/>
    <m/>
    <m/>
    <m/>
    <n v="0"/>
    <n v="0"/>
    <m/>
    <m/>
    <m/>
    <m/>
    <m/>
    <m/>
    <m/>
    <m/>
    <n v="0"/>
    <n v="0"/>
    <n v="0"/>
    <n v="12"/>
    <n v="12"/>
    <m/>
    <m/>
    <n v="0"/>
    <n v="109.63"/>
    <m/>
    <x v="30"/>
    <m/>
    <m/>
    <m/>
    <m/>
  </r>
  <r>
    <x v="0"/>
    <x v="1"/>
    <s v="4/19"/>
    <x v="258"/>
    <s v="سٹاک"/>
    <s v="PP"/>
    <n v="4"/>
    <s v="5-5.5"/>
    <s v="PP"/>
    <n v="1000"/>
    <s v="PP"/>
    <n v="1"/>
    <n v="13.15"/>
    <n v="0.4"/>
    <m/>
    <m/>
    <n v="12.75"/>
    <s v="1117.3"/>
    <n v="15"/>
    <m/>
    <m/>
    <n v="15"/>
    <n v="0.25"/>
    <m/>
    <m/>
    <n v="330"/>
    <m/>
    <m/>
    <m/>
    <m/>
    <m/>
    <n v="330"/>
    <n v="5.5"/>
    <n v="5.75"/>
    <n v="6.25"/>
    <n v="12"/>
    <m/>
    <m/>
    <n v="0"/>
    <n v="18.149999999999999"/>
    <m/>
    <x v="30"/>
    <m/>
    <m/>
    <m/>
    <m/>
  </r>
  <r>
    <x v="1"/>
    <x v="1"/>
    <s v="4/19"/>
    <x v="258"/>
    <s v="سٹاک"/>
    <s v="PP"/>
    <n v="4"/>
    <s v="5-5.5"/>
    <s v="PP"/>
    <n v="1000"/>
    <s v="PP"/>
    <n v="9"/>
    <n v="154.54"/>
    <n v="3.6"/>
    <m/>
    <m/>
    <n v="150.94"/>
    <s v="1117.3"/>
    <m/>
    <m/>
    <m/>
    <n v="0"/>
    <n v="0"/>
    <m/>
    <m/>
    <m/>
    <m/>
    <m/>
    <m/>
    <m/>
    <m/>
    <n v="0"/>
    <n v="0"/>
    <n v="0"/>
    <n v="12"/>
    <n v="12"/>
    <m/>
    <m/>
    <n v="0"/>
    <n v="159.54"/>
    <m/>
    <x v="30"/>
    <m/>
    <m/>
    <m/>
    <m/>
  </r>
  <r>
    <x v="0"/>
    <x v="3"/>
    <s v="7839/1"/>
    <x v="258"/>
    <s v="ریفلیکٹ پیک لاہور"/>
    <s v="PP"/>
    <n v="15"/>
    <s v="5.5-6"/>
    <s v="PP"/>
    <n v="5000"/>
    <s v="PP"/>
    <n v="13"/>
    <n v="761.08"/>
    <n v="20.8"/>
    <n v="19"/>
    <m/>
    <n v="740.28000000000009"/>
    <s v="5187.33"/>
    <m/>
    <m/>
    <m/>
    <n v="0"/>
    <n v="0"/>
    <m/>
    <m/>
    <m/>
    <m/>
    <m/>
    <m/>
    <m/>
    <m/>
    <n v="0"/>
    <n v="0"/>
    <n v="0"/>
    <n v="12"/>
    <n v="12"/>
    <m/>
    <m/>
    <n v="0"/>
    <n v="766.08"/>
    <m/>
    <x v="30"/>
    <m/>
    <m/>
    <m/>
    <m/>
  </r>
  <r>
    <x v="1"/>
    <x v="3"/>
    <s v="7839/1"/>
    <x v="258"/>
    <s v="ریفلیکٹ پیک لاہور"/>
    <s v="PP"/>
    <n v="15"/>
    <s v="5.5-6"/>
    <s v="PP"/>
    <n v="5000"/>
    <s v="PP"/>
    <n v="12"/>
    <n v="736.5"/>
    <n v="18"/>
    <n v="20"/>
    <m/>
    <n v="718.5"/>
    <s v="5187.33"/>
    <m/>
    <m/>
    <m/>
    <n v="0"/>
    <n v="0"/>
    <m/>
    <m/>
    <m/>
    <m/>
    <m/>
    <m/>
    <m/>
    <m/>
    <n v="0"/>
    <n v="0"/>
    <n v="0"/>
    <n v="12"/>
    <n v="12"/>
    <m/>
    <m/>
    <n v="0"/>
    <n v="741.5"/>
    <m/>
    <x v="30"/>
    <m/>
    <m/>
    <m/>
    <m/>
  </r>
  <r>
    <x v="0"/>
    <x v="4"/>
    <s v="7827/10"/>
    <x v="258"/>
    <s v="آ صف پلاسٹک سرگودھا"/>
    <s v="PP"/>
    <n v="12"/>
    <s v="4"/>
    <s v="PP"/>
    <n v="150"/>
    <s v="PP"/>
    <n v="2"/>
    <n v="61.19"/>
    <n v="2.2000000000000002"/>
    <m/>
    <m/>
    <n v="58.989999999999995"/>
    <s v="58.989999999999995"/>
    <m/>
    <m/>
    <m/>
    <n v="0"/>
    <n v="0"/>
    <m/>
    <m/>
    <m/>
    <m/>
    <m/>
    <m/>
    <m/>
    <m/>
    <n v="0"/>
    <n v="0"/>
    <n v="0"/>
    <n v="12"/>
    <n v="12"/>
    <m/>
    <m/>
    <n v="0"/>
    <n v="66.19"/>
    <m/>
    <x v="30"/>
    <m/>
    <m/>
    <m/>
    <m/>
  </r>
  <r>
    <x v="0"/>
    <x v="4"/>
    <s v="7821/1"/>
    <x v="258"/>
    <s v="العمر پلاسٹک گوجرانوالہ"/>
    <s v="PP"/>
    <n v="9"/>
    <s v="10"/>
    <s v="PP"/>
    <n v="100"/>
    <s v="PP"/>
    <n v="6"/>
    <n v="170.2"/>
    <n v="6.6000000000000005"/>
    <m/>
    <m/>
    <n v="163.6"/>
    <s v="163.6"/>
    <m/>
    <m/>
    <m/>
    <n v="0"/>
    <n v="0"/>
    <m/>
    <m/>
    <m/>
    <m/>
    <m/>
    <m/>
    <m/>
    <m/>
    <n v="0"/>
    <n v="0"/>
    <n v="0"/>
    <n v="12"/>
    <n v="12"/>
    <m/>
    <m/>
    <n v="0"/>
    <n v="175.2"/>
    <m/>
    <x v="30"/>
    <m/>
    <m/>
    <m/>
    <m/>
  </r>
  <r>
    <x v="0"/>
    <x v="4"/>
    <s v="7627/1"/>
    <x v="258"/>
    <s v="CANCEL"/>
    <s v="PP"/>
    <s v="-"/>
    <n v="0"/>
    <s v="PP"/>
    <n v="0"/>
    <s v="PP"/>
    <n v="1"/>
    <n v="34.56"/>
    <n v="1.3"/>
    <m/>
    <m/>
    <n v="33.260000000000005"/>
    <s v="33.260000000000005"/>
    <m/>
    <m/>
    <m/>
    <n v="0"/>
    <n v="0"/>
    <m/>
    <m/>
    <m/>
    <m/>
    <m/>
    <m/>
    <m/>
    <m/>
    <n v="0"/>
    <n v="0"/>
    <n v="0"/>
    <n v="12"/>
    <n v="12"/>
    <m/>
    <m/>
    <n v="0"/>
    <n v="39.56"/>
    <m/>
    <x v="30"/>
    <m/>
    <m/>
    <m/>
    <m/>
  </r>
  <r>
    <x v="0"/>
    <x v="4"/>
    <s v="7836/2"/>
    <x v="258"/>
    <s v="حزیفہ پلاسٹک اعظم مارکیٹ"/>
    <s v="PP"/>
    <n v="9"/>
    <s v="6"/>
    <s v="PP"/>
    <n v="100"/>
    <s v="PP"/>
    <n v="4"/>
    <n v="115.64999999999999"/>
    <n v="4.4000000000000004"/>
    <n v="2.5"/>
    <m/>
    <n v="111.24999999999999"/>
    <s v="111.24999999999999"/>
    <n v="25"/>
    <m/>
    <m/>
    <n v="25"/>
    <n v="0.41666666666666674"/>
    <m/>
    <m/>
    <m/>
    <m/>
    <m/>
    <m/>
    <m/>
    <m/>
    <n v="0"/>
    <n v="0"/>
    <n v="0.41666666666666674"/>
    <n v="11.583333333333334"/>
    <n v="12"/>
    <m/>
    <m/>
    <n v="0"/>
    <n v="120.65"/>
    <m/>
    <x v="30"/>
    <m/>
    <m/>
    <m/>
    <m/>
  </r>
  <r>
    <x v="1"/>
    <x v="4"/>
    <s v="7827/7"/>
    <x v="258"/>
    <s v="آ صف پلاسٹک سرگودھا"/>
    <s v="PP"/>
    <n v="11"/>
    <s v="4"/>
    <s v="PP"/>
    <n v="150"/>
    <s v="PP"/>
    <n v="2"/>
    <n v="83.03"/>
    <n v="2.2000000000000002"/>
    <n v="2.5"/>
    <m/>
    <n v="80.83"/>
    <s v="80.83"/>
    <m/>
    <m/>
    <m/>
    <n v="0"/>
    <n v="0"/>
    <m/>
    <m/>
    <m/>
    <m/>
    <m/>
    <m/>
    <m/>
    <m/>
    <n v="0"/>
    <n v="0"/>
    <n v="0"/>
    <n v="12"/>
    <n v="12"/>
    <m/>
    <m/>
    <n v="0"/>
    <n v="88.03"/>
    <m/>
    <x v="30"/>
    <m/>
    <m/>
    <m/>
    <m/>
  </r>
  <r>
    <x v="1"/>
    <x v="4"/>
    <s v="11/10"/>
    <x v="258"/>
    <s v="سٹاک"/>
    <s v="PP"/>
    <n v="11"/>
    <s v="5-5.5"/>
    <s v="PP"/>
    <n v="1000"/>
    <s v="PP"/>
    <n v="5"/>
    <n v="368.03999999999996"/>
    <n v="5.5"/>
    <m/>
    <m/>
    <n v="362.53999999999996"/>
    <s v="431.73999999999995"/>
    <m/>
    <m/>
    <m/>
    <n v="0"/>
    <n v="0"/>
    <m/>
    <m/>
    <m/>
    <m/>
    <m/>
    <m/>
    <m/>
    <m/>
    <n v="0"/>
    <n v="0"/>
    <n v="0"/>
    <n v="12"/>
    <n v="12"/>
    <m/>
    <m/>
    <n v="0"/>
    <n v="373.04"/>
    <m/>
    <x v="30"/>
    <m/>
    <m/>
    <m/>
    <m/>
  </r>
  <r>
    <x v="1"/>
    <x v="4"/>
    <s v="7821/2"/>
    <x v="258"/>
    <s v="العمر پلاسٹک گوجرانوالہ"/>
    <s v="PP"/>
    <n v="11"/>
    <s v="10"/>
    <s v="PP"/>
    <n v="100"/>
    <s v="PP"/>
    <n v="4"/>
    <n v="126.88000000000001"/>
    <n v="4.4000000000000004"/>
    <m/>
    <m/>
    <n v="122.48"/>
    <s v="122.48"/>
    <m/>
    <m/>
    <m/>
    <n v="0"/>
    <n v="0"/>
    <m/>
    <m/>
    <m/>
    <m/>
    <m/>
    <m/>
    <m/>
    <m/>
    <n v="0"/>
    <n v="0"/>
    <n v="0"/>
    <n v="12"/>
    <n v="12"/>
    <m/>
    <m/>
    <n v="0"/>
    <n v="131.88"/>
    <m/>
    <x v="30"/>
    <m/>
    <m/>
    <m/>
    <m/>
  </r>
  <r>
    <x v="0"/>
    <x v="0"/>
    <s v="2.5/17"/>
    <x v="259"/>
    <s v="سٹاک"/>
    <s v="PP"/>
    <n v="2.5"/>
    <s v="5.5-6"/>
    <s v="PP"/>
    <n v="1000"/>
    <s v="PP"/>
    <n v="7"/>
    <n v="109.33000000000001"/>
    <n v="1.75"/>
    <n v="23"/>
    <m/>
    <n v="107.58000000000001"/>
    <s v="867.37"/>
    <m/>
    <m/>
    <m/>
    <n v="0"/>
    <n v="0"/>
    <m/>
    <m/>
    <m/>
    <m/>
    <m/>
    <m/>
    <m/>
    <m/>
    <n v="0"/>
    <n v="0"/>
    <n v="0"/>
    <n v="12"/>
    <n v="12"/>
    <m/>
    <m/>
    <n v="0"/>
    <n v="114.33"/>
    <m/>
    <x v="30"/>
    <m/>
    <m/>
    <m/>
    <m/>
  </r>
  <r>
    <x v="1"/>
    <x v="0"/>
    <s v="2.5/17"/>
    <x v="259"/>
    <s v="سٹاک"/>
    <s v="PP"/>
    <n v="2.5"/>
    <s v="5.5-6"/>
    <s v="PP"/>
    <n v="1000"/>
    <s v="PP"/>
    <n v="4"/>
    <n v="66.63"/>
    <n v="1"/>
    <n v="20"/>
    <m/>
    <n v="65.63"/>
    <s v="867.37"/>
    <m/>
    <m/>
    <m/>
    <n v="0"/>
    <n v="0"/>
    <m/>
    <m/>
    <m/>
    <m/>
    <m/>
    <m/>
    <m/>
    <m/>
    <n v="0"/>
    <n v="0"/>
    <n v="0"/>
    <n v="12"/>
    <n v="12"/>
    <m/>
    <m/>
    <n v="0"/>
    <n v="71.63"/>
    <m/>
    <x v="30"/>
    <m/>
    <m/>
    <m/>
    <m/>
  </r>
  <r>
    <x v="1"/>
    <x v="0"/>
    <s v="3/18"/>
    <x v="259"/>
    <s v="سٹاک"/>
    <s v="PP"/>
    <n v="3"/>
    <s v="5.5-6"/>
    <s v="PP"/>
    <n v="1000"/>
    <s v="PP"/>
    <n v="2"/>
    <n v="43.3"/>
    <n v="0.6"/>
    <m/>
    <m/>
    <n v="42.699999999999996"/>
    <s v="525.57000000000005"/>
    <m/>
    <m/>
    <m/>
    <n v="0"/>
    <n v="0"/>
    <m/>
    <m/>
    <m/>
    <m/>
    <m/>
    <m/>
    <m/>
    <m/>
    <n v="0"/>
    <n v="0"/>
    <n v="0"/>
    <n v="12"/>
    <n v="12"/>
    <m/>
    <m/>
    <n v="0"/>
    <n v="48.3"/>
    <m/>
    <x v="30"/>
    <m/>
    <m/>
    <m/>
    <m/>
  </r>
  <r>
    <x v="0"/>
    <x v="1"/>
    <s v="4/19"/>
    <x v="259"/>
    <s v="سٹاک"/>
    <s v="PP"/>
    <n v="4"/>
    <s v="5-5.5"/>
    <s v="PP"/>
    <n v="1000"/>
    <s v="PP"/>
    <n v="13"/>
    <n v="201.26999999999998"/>
    <n v="5.2"/>
    <m/>
    <m/>
    <n v="196.07"/>
    <s v="1117.3"/>
    <m/>
    <m/>
    <m/>
    <n v="0"/>
    <n v="0"/>
    <m/>
    <m/>
    <m/>
    <m/>
    <m/>
    <m/>
    <m/>
    <m/>
    <n v="0"/>
    <n v="0"/>
    <n v="0"/>
    <n v="12"/>
    <n v="12"/>
    <m/>
    <m/>
    <n v="0"/>
    <n v="206.27"/>
    <m/>
    <x v="30"/>
    <m/>
    <m/>
    <m/>
    <m/>
  </r>
  <r>
    <x v="1"/>
    <x v="1"/>
    <s v="4/19"/>
    <x v="259"/>
    <s v="سٹاک"/>
    <s v="PP"/>
    <n v="4"/>
    <s v="5-5.5"/>
    <s v="PP"/>
    <n v="1000"/>
    <s v="PP"/>
    <n v="8"/>
    <n v="151.31"/>
    <n v="3.2"/>
    <m/>
    <m/>
    <n v="148.11000000000001"/>
    <s v="1117.3"/>
    <m/>
    <m/>
    <m/>
    <n v="0"/>
    <n v="0"/>
    <m/>
    <m/>
    <m/>
    <m/>
    <m/>
    <m/>
    <m/>
    <m/>
    <n v="0"/>
    <n v="0"/>
    <n v="0"/>
    <n v="12"/>
    <n v="12"/>
    <m/>
    <m/>
    <n v="0"/>
    <n v="156.31"/>
    <m/>
    <x v="30"/>
    <m/>
    <m/>
    <m/>
    <m/>
  </r>
  <r>
    <x v="0"/>
    <x v="3"/>
    <s v="7839/1"/>
    <x v="259"/>
    <s v="ریفلیکٹ پیک لاہور"/>
    <s v="PP"/>
    <n v="15"/>
    <s v="5.5-6"/>
    <s v="PP"/>
    <n v="5000"/>
    <s v="PP"/>
    <n v="13"/>
    <n v="766.74"/>
    <n v="21.45"/>
    <m/>
    <m/>
    <n v="745.29"/>
    <s v="5187.33"/>
    <m/>
    <m/>
    <m/>
    <n v="0"/>
    <n v="0"/>
    <m/>
    <m/>
    <m/>
    <m/>
    <m/>
    <m/>
    <m/>
    <m/>
    <n v="0"/>
    <n v="0"/>
    <n v="0"/>
    <n v="12"/>
    <n v="12"/>
    <m/>
    <m/>
    <n v="0"/>
    <n v="771.74"/>
    <m/>
    <x v="30"/>
    <m/>
    <m/>
    <m/>
    <m/>
  </r>
  <r>
    <x v="1"/>
    <x v="3"/>
    <s v="7839/1"/>
    <x v="259"/>
    <s v="ریفلیکٹ پیک لاہور"/>
    <s v="PP"/>
    <n v="15"/>
    <s v="5.5-6"/>
    <s v="PP"/>
    <n v="5000"/>
    <s v="PP"/>
    <n v="2"/>
    <n v="89.37"/>
    <n v="3"/>
    <m/>
    <m/>
    <n v="86.37"/>
    <s v="5187.33"/>
    <m/>
    <m/>
    <m/>
    <n v="0"/>
    <n v="0"/>
    <m/>
    <m/>
    <m/>
    <m/>
    <m/>
    <m/>
    <m/>
    <m/>
    <n v="0"/>
    <n v="0"/>
    <n v="0"/>
    <n v="12"/>
    <n v="12"/>
    <m/>
    <m/>
    <n v="0"/>
    <n v="94.37"/>
    <m/>
    <x v="30"/>
    <m/>
    <m/>
    <m/>
    <m/>
  </r>
  <r>
    <x v="1"/>
    <x v="3"/>
    <s v="7845/18"/>
    <x v="259"/>
    <s v="ہیڈافس لاہور"/>
    <s v="PP"/>
    <n v="15"/>
    <s v="7"/>
    <s v="PP"/>
    <n v="250"/>
    <s v="PP"/>
    <n v="11"/>
    <n v="677.64"/>
    <n v="16.5"/>
    <m/>
    <m/>
    <n v="661.14"/>
    <s v="914.48"/>
    <m/>
    <m/>
    <m/>
    <n v="0"/>
    <n v="0"/>
    <m/>
    <m/>
    <m/>
    <m/>
    <m/>
    <m/>
    <m/>
    <m/>
    <n v="0"/>
    <n v="0"/>
    <n v="0"/>
    <n v="12"/>
    <n v="12"/>
    <m/>
    <m/>
    <n v="0"/>
    <n v="682.64"/>
    <m/>
    <x v="30"/>
    <m/>
    <m/>
    <m/>
    <m/>
  </r>
  <r>
    <x v="0"/>
    <x v="4"/>
    <s v="12/10"/>
    <x v="259"/>
    <s v="سٹاک"/>
    <s v="PP"/>
    <n v="12"/>
    <n v="5"/>
    <s v="PP"/>
    <n v="3000"/>
    <s v="PP"/>
    <n v="11"/>
    <n v="599.13"/>
    <n v="13.2"/>
    <n v="3.5"/>
    <m/>
    <n v="585.92999999999995"/>
    <s v="3583.7799999999997"/>
    <m/>
    <m/>
    <m/>
    <n v="0"/>
    <n v="0"/>
    <m/>
    <m/>
    <m/>
    <m/>
    <m/>
    <m/>
    <m/>
    <m/>
    <n v="0"/>
    <n v="0"/>
    <n v="0"/>
    <n v="12"/>
    <n v="12"/>
    <m/>
    <m/>
    <n v="0"/>
    <n v="604.13"/>
    <m/>
    <x v="30"/>
    <m/>
    <m/>
    <m/>
    <m/>
  </r>
  <r>
    <x v="1"/>
    <x v="4"/>
    <s v="11/10"/>
    <x v="259"/>
    <s v="سٹاک"/>
    <s v="PP"/>
    <n v="11"/>
    <s v="5-5.5"/>
    <s v="PP"/>
    <n v="1000"/>
    <s v="PP"/>
    <n v="1"/>
    <n v="70.3"/>
    <n v="1.1000000000000001"/>
    <n v="3.5"/>
    <m/>
    <n v="69.2"/>
    <s v="431.73999999999995"/>
    <m/>
    <m/>
    <m/>
    <n v="0"/>
    <n v="0"/>
    <m/>
    <m/>
    <m/>
    <m/>
    <m/>
    <m/>
    <m/>
    <m/>
    <n v="0"/>
    <n v="0"/>
    <n v="0"/>
    <n v="12"/>
    <n v="12"/>
    <m/>
    <m/>
    <n v="0"/>
    <n v="75.3"/>
    <m/>
    <x v="30"/>
    <m/>
    <m/>
    <m/>
    <m/>
  </r>
  <r>
    <x v="1"/>
    <x v="4"/>
    <s v="12/17"/>
    <x v="259"/>
    <s v="سٹاک"/>
    <s v="PP"/>
    <n v="12"/>
    <n v="5"/>
    <s v="PP"/>
    <n v="1500"/>
    <s v="PP"/>
    <n v="7"/>
    <n v="473.89000000000004"/>
    <n v="8.4"/>
    <m/>
    <m/>
    <n v="465.49000000000007"/>
    <s v="1885.49"/>
    <m/>
    <m/>
    <m/>
    <n v="0"/>
    <n v="0"/>
    <m/>
    <m/>
    <m/>
    <m/>
    <m/>
    <m/>
    <m/>
    <m/>
    <n v="0"/>
    <n v="0"/>
    <n v="0"/>
    <n v="12"/>
    <n v="12"/>
    <m/>
    <m/>
    <n v="0"/>
    <n v="478.89"/>
    <m/>
    <x v="30"/>
    <m/>
    <m/>
    <m/>
    <m/>
  </r>
  <r>
    <x v="0"/>
    <x v="0"/>
    <s v="3/18"/>
    <x v="260"/>
    <s v="سٹاک"/>
    <s v="PP"/>
    <n v="3"/>
    <s v="5.5-6"/>
    <s v="PP"/>
    <n v="1000"/>
    <s v="PP"/>
    <n v="7"/>
    <n v="126.68"/>
    <n v="2.1"/>
    <n v="32"/>
    <m/>
    <n v="124.58000000000001"/>
    <s v="525.57000000000005"/>
    <m/>
    <m/>
    <m/>
    <n v="0"/>
    <n v="0"/>
    <m/>
    <m/>
    <m/>
    <m/>
    <m/>
    <m/>
    <m/>
    <m/>
    <n v="0"/>
    <n v="0"/>
    <n v="0"/>
    <n v="12"/>
    <n v="12"/>
    <m/>
    <m/>
    <n v="0"/>
    <n v="131.68"/>
    <m/>
    <x v="30"/>
    <m/>
    <m/>
    <m/>
    <m/>
  </r>
  <r>
    <x v="1"/>
    <x v="0"/>
    <s v="3/18"/>
    <x v="260"/>
    <s v="سٹاک"/>
    <s v="PP"/>
    <n v="3"/>
    <s v="5.5-6"/>
    <s v="PP"/>
    <n v="1000"/>
    <s v="PP"/>
    <n v="7"/>
    <n v="129.23000000000002"/>
    <n v="2.1"/>
    <n v="31"/>
    <m/>
    <n v="127.13000000000002"/>
    <s v="525.57000000000005"/>
    <m/>
    <m/>
    <m/>
    <n v="0"/>
    <n v="0"/>
    <m/>
    <m/>
    <m/>
    <m/>
    <m/>
    <m/>
    <m/>
    <m/>
    <n v="0"/>
    <n v="0"/>
    <n v="0"/>
    <n v="12"/>
    <n v="12"/>
    <m/>
    <m/>
    <n v="0"/>
    <n v="134.23000000000002"/>
    <m/>
    <x v="30"/>
    <m/>
    <m/>
    <m/>
    <m/>
  </r>
  <r>
    <x v="0"/>
    <x v="1"/>
    <s v="4/19"/>
    <x v="260"/>
    <s v="سٹاک"/>
    <s v="PP"/>
    <n v="4"/>
    <s v="5-5.5"/>
    <s v="PP"/>
    <n v="1000"/>
    <s v="PP"/>
    <n v="9"/>
    <n v="154.73999999999998"/>
    <n v="3.6"/>
    <m/>
    <m/>
    <n v="151.13999999999999"/>
    <s v="1117.3"/>
    <m/>
    <m/>
    <m/>
    <n v="0"/>
    <n v="0"/>
    <m/>
    <m/>
    <m/>
    <m/>
    <m/>
    <m/>
    <m/>
    <m/>
    <n v="0"/>
    <n v="0"/>
    <n v="0"/>
    <n v="12"/>
    <n v="12"/>
    <m/>
    <m/>
    <n v="0"/>
    <n v="159.73999999999998"/>
    <m/>
    <x v="30"/>
    <m/>
    <m/>
    <m/>
    <m/>
  </r>
  <r>
    <x v="1"/>
    <x v="1"/>
    <s v="4/19"/>
    <x v="260"/>
    <s v="سٹاک"/>
    <s v="PP"/>
    <n v="4"/>
    <s v="5-5.5"/>
    <s v="PP"/>
    <n v="1000"/>
    <s v="PP"/>
    <n v="8"/>
    <n v="147.89000000000001"/>
    <n v="3.2"/>
    <m/>
    <m/>
    <n v="144.69000000000003"/>
    <s v="1117.3"/>
    <m/>
    <m/>
    <m/>
    <n v="0"/>
    <n v="0"/>
    <m/>
    <m/>
    <m/>
    <m/>
    <m/>
    <m/>
    <m/>
    <m/>
    <n v="0"/>
    <n v="0"/>
    <n v="0"/>
    <n v="12"/>
    <n v="12"/>
    <m/>
    <m/>
    <n v="0"/>
    <n v="152.88999999999999"/>
    <m/>
    <x v="30"/>
    <m/>
    <m/>
    <m/>
    <m/>
  </r>
  <r>
    <x v="0"/>
    <x v="3"/>
    <s v="7845/18"/>
    <x v="260"/>
    <s v="ہیڈافس لاہور"/>
    <s v="PP"/>
    <n v="15"/>
    <s v="7"/>
    <s v="PP"/>
    <n v="250"/>
    <s v="PP"/>
    <n v="4"/>
    <n v="259.33999999999997"/>
    <n v="6"/>
    <m/>
    <m/>
    <n v="253.33999999999997"/>
    <s v="914.48"/>
    <n v="25"/>
    <m/>
    <m/>
    <n v="25"/>
    <n v="0.41666666666666674"/>
    <m/>
    <m/>
    <m/>
    <m/>
    <m/>
    <m/>
    <m/>
    <m/>
    <n v="0"/>
    <n v="0"/>
    <n v="0.41666666666666674"/>
    <n v="11.583333333333334"/>
    <n v="12"/>
    <m/>
    <m/>
    <n v="0"/>
    <n v="264.33999999999997"/>
    <m/>
    <x v="30"/>
    <m/>
    <m/>
    <m/>
    <m/>
  </r>
  <r>
    <x v="0"/>
    <x v="3"/>
    <s v="7846/4"/>
    <x v="260"/>
    <s v="العمر پلاسٹک گوجرانوالہ"/>
    <s v="PP"/>
    <n v="15"/>
    <s v="10"/>
    <s v="PP"/>
    <n v="100"/>
    <s v="PP"/>
    <n v="2"/>
    <n v="112.49"/>
    <n v="3"/>
    <m/>
    <m/>
    <n v="109.49"/>
    <s v="109.49"/>
    <m/>
    <m/>
    <m/>
    <n v="0"/>
    <n v="0"/>
    <m/>
    <m/>
    <m/>
    <m/>
    <m/>
    <m/>
    <m/>
    <m/>
    <n v="0"/>
    <n v="0"/>
    <n v="0"/>
    <n v="12"/>
    <n v="12"/>
    <m/>
    <m/>
    <n v="0"/>
    <n v="117.49"/>
    <m/>
    <x v="30"/>
    <m/>
    <m/>
    <m/>
    <m/>
  </r>
  <r>
    <x v="0"/>
    <x v="3"/>
    <s v="2995 F"/>
    <x v="260"/>
    <s v="Usman Amin"/>
    <s v="PP"/>
    <n v="16.2"/>
    <s v="-"/>
    <s v="PP"/>
    <n v="3000"/>
    <s v="PP"/>
    <n v="6"/>
    <n v="344.11999999999995"/>
    <n v="9.6000000000000014"/>
    <m/>
    <m/>
    <n v="334.51999999999992"/>
    <s v="7934.61"/>
    <m/>
    <m/>
    <m/>
    <n v="0"/>
    <n v="0"/>
    <m/>
    <m/>
    <m/>
    <m/>
    <m/>
    <m/>
    <m/>
    <m/>
    <n v="0"/>
    <n v="0"/>
    <n v="0"/>
    <n v="12"/>
    <n v="12"/>
    <m/>
    <m/>
    <n v="0"/>
    <n v="349.11999999999995"/>
    <m/>
    <x v="30"/>
    <m/>
    <m/>
    <m/>
    <m/>
  </r>
  <r>
    <x v="1"/>
    <x v="3"/>
    <s v="2995 F"/>
    <x v="260"/>
    <s v="Usman Amin"/>
    <s v="PP"/>
    <n v="16.2"/>
    <s v="-"/>
    <s v="PP"/>
    <n v="3000"/>
    <s v="PP"/>
    <n v="12"/>
    <n v="695.2"/>
    <n v="19.200000000000003"/>
    <m/>
    <m/>
    <n v="676"/>
    <s v="7934.61"/>
    <m/>
    <m/>
    <m/>
    <n v="0"/>
    <n v="0"/>
    <m/>
    <m/>
    <m/>
    <m/>
    <m/>
    <m/>
    <m/>
    <m/>
    <n v="0"/>
    <n v="0"/>
    <n v="0"/>
    <n v="12"/>
    <n v="12"/>
    <m/>
    <m/>
    <n v="0"/>
    <n v="700.2"/>
    <m/>
    <x v="30"/>
    <m/>
    <m/>
    <m/>
    <m/>
  </r>
  <r>
    <x v="0"/>
    <x v="4"/>
    <s v="12/17"/>
    <x v="260"/>
    <s v="سٹاک"/>
    <s v="PP"/>
    <n v="12"/>
    <n v="5"/>
    <s v="PP"/>
    <n v="1500"/>
    <s v="PP"/>
    <n v="9"/>
    <n v="579.32999999999993"/>
    <n v="10.799999999999999"/>
    <m/>
    <m/>
    <n v="568.53"/>
    <s v="1885.49"/>
    <m/>
    <m/>
    <m/>
    <n v="0"/>
    <n v="0"/>
    <m/>
    <n v="25"/>
    <m/>
    <m/>
    <m/>
    <m/>
    <m/>
    <m/>
    <n v="25"/>
    <n v="0.41666666666666674"/>
    <n v="0.41666666666666674"/>
    <n v="11.583333333333334"/>
    <n v="12"/>
    <m/>
    <m/>
    <n v="0"/>
    <n v="584.32999999999993"/>
    <m/>
    <x v="30"/>
    <m/>
    <m/>
    <m/>
    <m/>
  </r>
  <r>
    <x v="0"/>
    <x v="4"/>
    <s v="7846/2"/>
    <x v="260"/>
    <s v="العمر پلاسٹک گوجرانوالہ"/>
    <s v="PP"/>
    <n v="12"/>
    <s v="10"/>
    <s v="PP"/>
    <n v="100"/>
    <s v="PP"/>
    <n v="4"/>
    <n v="119.32"/>
    <n v="4.8"/>
    <m/>
    <m/>
    <n v="114.52"/>
    <s v="114.52"/>
    <m/>
    <m/>
    <m/>
    <n v="0"/>
    <n v="0"/>
    <m/>
    <m/>
    <m/>
    <m/>
    <m/>
    <m/>
    <m/>
    <m/>
    <n v="0"/>
    <n v="0"/>
    <n v="0"/>
    <n v="12"/>
    <n v="12"/>
    <m/>
    <m/>
    <n v="0"/>
    <n v="124.32"/>
    <m/>
    <x v="30"/>
    <m/>
    <m/>
    <m/>
    <m/>
  </r>
  <r>
    <x v="1"/>
    <x v="4"/>
    <s v="12/17"/>
    <x v="260"/>
    <s v="سٹاک"/>
    <s v="PP"/>
    <n v="12"/>
    <n v="5"/>
    <s v="PP"/>
    <n v="1500"/>
    <s v="PP"/>
    <n v="9"/>
    <n v="555.02"/>
    <n v="13.5"/>
    <m/>
    <m/>
    <n v="541.52"/>
    <s v="1885.49"/>
    <m/>
    <m/>
    <m/>
    <n v="0"/>
    <n v="0"/>
    <m/>
    <m/>
    <m/>
    <m/>
    <m/>
    <m/>
    <m/>
    <m/>
    <n v="0"/>
    <n v="0"/>
    <n v="0"/>
    <n v="12"/>
    <n v="12"/>
    <m/>
    <m/>
    <n v="0"/>
    <n v="560.02"/>
    <m/>
    <x v="30"/>
    <m/>
    <m/>
    <m/>
    <m/>
  </r>
  <r>
    <x v="0"/>
    <x v="0"/>
    <s v="3/18"/>
    <x v="261"/>
    <s v="سٹاک"/>
    <s v="PP"/>
    <n v="3"/>
    <s v="5.5-6"/>
    <s v="PP"/>
    <n v="1000"/>
    <s v="PP"/>
    <n v="7"/>
    <n v="121.32000000000001"/>
    <n v="2.1"/>
    <m/>
    <m/>
    <n v="119.22000000000001"/>
    <s v="525.57000000000005"/>
    <m/>
    <m/>
    <m/>
    <n v="0"/>
    <n v="0"/>
    <m/>
    <m/>
    <m/>
    <m/>
    <m/>
    <m/>
    <m/>
    <m/>
    <n v="0"/>
    <n v="0"/>
    <n v="0"/>
    <n v="12"/>
    <n v="12"/>
    <m/>
    <m/>
    <n v="0"/>
    <n v="126.32"/>
    <m/>
    <x v="30"/>
    <m/>
    <m/>
    <m/>
    <m/>
  </r>
  <r>
    <x v="1"/>
    <x v="0"/>
    <s v="3/18"/>
    <x v="261"/>
    <s v="سٹاک"/>
    <s v="PP"/>
    <n v="3"/>
    <s v="5.5-6"/>
    <s v="PP"/>
    <n v="1000"/>
    <s v="PP"/>
    <n v="6"/>
    <n v="113.73999999999998"/>
    <n v="1.7999999999999998"/>
    <m/>
    <m/>
    <n v="111.93999999999998"/>
    <s v="525.57000000000005"/>
    <m/>
    <m/>
    <m/>
    <n v="0"/>
    <n v="0"/>
    <m/>
    <m/>
    <m/>
    <m/>
    <m/>
    <m/>
    <m/>
    <m/>
    <n v="0"/>
    <n v="0"/>
    <n v="0"/>
    <n v="12"/>
    <n v="12"/>
    <m/>
    <m/>
    <n v="0"/>
    <n v="118.73999999999998"/>
    <m/>
    <x v="30"/>
    <m/>
    <m/>
    <m/>
    <m/>
  </r>
  <r>
    <x v="0"/>
    <x v="1"/>
    <s v="4/19"/>
    <x v="261"/>
    <s v="سٹاک"/>
    <s v="PP"/>
    <n v="4"/>
    <s v="5-5.5"/>
    <s v="PP"/>
    <n v="1000"/>
    <s v="PP"/>
    <n v="9"/>
    <n v="157.49999999999997"/>
    <n v="3.6"/>
    <m/>
    <m/>
    <n v="153.89999999999998"/>
    <s v="1117.3"/>
    <m/>
    <m/>
    <m/>
    <n v="0"/>
    <n v="0"/>
    <m/>
    <m/>
    <m/>
    <m/>
    <m/>
    <m/>
    <m/>
    <m/>
    <n v="0"/>
    <n v="0"/>
    <n v="0"/>
    <n v="12"/>
    <n v="12"/>
    <m/>
    <m/>
    <n v="0"/>
    <n v="162.49999999999997"/>
    <m/>
    <x v="30"/>
    <m/>
    <m/>
    <m/>
    <m/>
  </r>
  <r>
    <x v="1"/>
    <x v="1"/>
    <s v="4/19"/>
    <x v="261"/>
    <s v="سٹاک"/>
    <s v="PP"/>
    <n v="4"/>
    <s v="5-5.5"/>
    <s v="PP"/>
    <n v="1000"/>
    <s v="PP"/>
    <n v="9"/>
    <n v="163.29999999999998"/>
    <n v="3.6"/>
    <m/>
    <m/>
    <n v="159.69999999999999"/>
    <s v="1117.3"/>
    <m/>
    <m/>
    <m/>
    <n v="0"/>
    <n v="0"/>
    <m/>
    <m/>
    <m/>
    <m/>
    <m/>
    <m/>
    <m/>
    <m/>
    <n v="0"/>
    <n v="0"/>
    <n v="0"/>
    <n v="12"/>
    <n v="12"/>
    <m/>
    <m/>
    <n v="0"/>
    <n v="168.29999999999998"/>
    <m/>
    <x v="30"/>
    <m/>
    <m/>
    <m/>
    <m/>
  </r>
  <r>
    <x v="0"/>
    <x v="3"/>
    <s v="2995 F"/>
    <x v="261"/>
    <s v="Usman Amin"/>
    <s v="PP"/>
    <n v="16.2"/>
    <s v="-"/>
    <s v="PP"/>
    <n v="3000"/>
    <s v="PP"/>
    <n v="8"/>
    <n v="516.24"/>
    <n v="12.8"/>
    <m/>
    <m/>
    <n v="503.44"/>
    <s v="7934.61"/>
    <m/>
    <m/>
    <m/>
    <n v="0"/>
    <n v="0"/>
    <m/>
    <m/>
    <m/>
    <m/>
    <m/>
    <m/>
    <m/>
    <m/>
    <n v="0"/>
    <n v="0"/>
    <n v="0"/>
    <n v="12"/>
    <n v="12"/>
    <m/>
    <m/>
    <n v="0"/>
    <n v="521.24"/>
    <m/>
    <x v="30"/>
    <m/>
    <m/>
    <m/>
    <m/>
  </r>
  <r>
    <x v="0"/>
    <x v="3"/>
    <s v="7845/21"/>
    <x v="261"/>
    <s v="ہیڈافس لاہور"/>
    <s v="PP"/>
    <n v="17"/>
    <s v="7"/>
    <s v="PP"/>
    <n v="375"/>
    <s v="PP"/>
    <n v="1"/>
    <n v="56.09"/>
    <n v="1.6"/>
    <n v="4.5"/>
    <m/>
    <n v="54.49"/>
    <s v="436.45"/>
    <m/>
    <m/>
    <m/>
    <n v="0"/>
    <n v="0"/>
    <m/>
    <m/>
    <m/>
    <m/>
    <m/>
    <m/>
    <m/>
    <m/>
    <n v="0"/>
    <n v="0"/>
    <n v="0"/>
    <n v="12"/>
    <n v="12"/>
    <m/>
    <m/>
    <n v="0"/>
    <n v="61.09"/>
    <m/>
    <x v="30"/>
    <m/>
    <m/>
    <m/>
    <m/>
  </r>
  <r>
    <x v="1"/>
    <x v="3"/>
    <s v="7845/22"/>
    <x v="261"/>
    <s v="ہیڈافس لاہور"/>
    <s v="PP"/>
    <n v="16"/>
    <s v="7"/>
    <s v="PP"/>
    <n v="200"/>
    <s v="PP"/>
    <n v="2"/>
    <n v="127.92000000000002"/>
    <n v="3.2"/>
    <n v="4.5"/>
    <m/>
    <n v="124.72000000000001"/>
    <s v="293.61"/>
    <m/>
    <m/>
    <m/>
    <n v="0"/>
    <n v="0"/>
    <m/>
    <m/>
    <m/>
    <m/>
    <m/>
    <m/>
    <m/>
    <m/>
    <n v="0"/>
    <n v="0"/>
    <n v="0"/>
    <n v="12"/>
    <n v="12"/>
    <m/>
    <m/>
    <n v="0"/>
    <n v="132.92000000000002"/>
    <m/>
    <x v="30"/>
    <m/>
    <m/>
    <m/>
    <m/>
  </r>
  <r>
    <x v="1"/>
    <x v="3"/>
    <s v="7841/6"/>
    <x v="261"/>
    <s v="طاہر پلاسٹک جھنگ"/>
    <s v="PP"/>
    <n v="16"/>
    <s v="4.5"/>
    <s v="PP"/>
    <n v="100"/>
    <s v="PP"/>
    <n v="2"/>
    <n v="116.72999999999999"/>
    <n v="3.8"/>
    <m/>
    <m/>
    <n v="112.92999999999999"/>
    <s v="214.98"/>
    <m/>
    <m/>
    <m/>
    <n v="0"/>
    <n v="0"/>
    <m/>
    <m/>
    <m/>
    <m/>
    <m/>
    <m/>
    <m/>
    <m/>
    <n v="0"/>
    <n v="0"/>
    <n v="0"/>
    <n v="12"/>
    <n v="12"/>
    <m/>
    <m/>
    <n v="0"/>
    <n v="121.73"/>
    <m/>
    <x v="30"/>
    <m/>
    <m/>
    <m/>
    <m/>
  </r>
  <r>
    <x v="1"/>
    <x v="3"/>
    <s v="7845/22"/>
    <x v="261"/>
    <s v="ہیڈافس لاہور"/>
    <s v="PP"/>
    <n v="16"/>
    <s v="7"/>
    <s v="PP"/>
    <n v="200"/>
    <s v="PP"/>
    <n v="3"/>
    <n v="173.69"/>
    <n v="4.8000000000000007"/>
    <m/>
    <m/>
    <n v="168.89"/>
    <s v="293.61"/>
    <m/>
    <m/>
    <m/>
    <n v="0"/>
    <n v="0"/>
    <m/>
    <m/>
    <m/>
    <m/>
    <m/>
    <m/>
    <m/>
    <m/>
    <n v="0"/>
    <n v="0"/>
    <n v="0"/>
    <n v="12"/>
    <n v="12"/>
    <m/>
    <m/>
    <n v="0"/>
    <n v="178.69"/>
    <m/>
    <x v="30"/>
    <m/>
    <m/>
    <m/>
    <m/>
  </r>
  <r>
    <x v="1"/>
    <x v="3"/>
    <s v="7846/9"/>
    <x v="261"/>
    <s v="العمر پلاسٹک گوجرانوالہ"/>
    <s v="PP"/>
    <n v="16"/>
    <s v="8"/>
    <s v="PP"/>
    <n v="250"/>
    <s v="PP"/>
    <n v="4"/>
    <n v="270.65999999999997"/>
    <n v="6.4"/>
    <m/>
    <m/>
    <n v="264.26"/>
    <s v="264.26"/>
    <m/>
    <m/>
    <m/>
    <n v="0"/>
    <n v="0"/>
    <m/>
    <m/>
    <m/>
    <m/>
    <m/>
    <m/>
    <m/>
    <m/>
    <n v="0"/>
    <n v="0"/>
    <n v="0"/>
    <n v="12"/>
    <n v="12"/>
    <m/>
    <m/>
    <n v="0"/>
    <n v="275.65999999999997"/>
    <m/>
    <x v="30"/>
    <m/>
    <m/>
    <m/>
    <m/>
  </r>
  <r>
    <x v="0"/>
    <x v="4"/>
    <s v="12/17"/>
    <x v="261"/>
    <s v="سٹاک"/>
    <s v="PP"/>
    <n v="12"/>
    <n v="5"/>
    <s v="PP"/>
    <n v="1500"/>
    <s v="PP"/>
    <n v="4"/>
    <n v="314.75"/>
    <n v="4.8"/>
    <m/>
    <m/>
    <n v="309.95"/>
    <s v="1885.49"/>
    <m/>
    <m/>
    <m/>
    <n v="0"/>
    <n v="0"/>
    <m/>
    <m/>
    <m/>
    <m/>
    <m/>
    <m/>
    <m/>
    <m/>
    <n v="0"/>
    <n v="0"/>
    <n v="0"/>
    <n v="12"/>
    <n v="12"/>
    <m/>
    <m/>
    <n v="0"/>
    <n v="319.75"/>
    <m/>
    <x v="30"/>
    <m/>
    <m/>
    <m/>
    <m/>
  </r>
  <r>
    <x v="0"/>
    <x v="4"/>
    <s v="7846/8"/>
    <x v="261"/>
    <s v="العمر پلاسٹک گوجرانوالہ"/>
    <s v="PP"/>
    <n v="14"/>
    <s v="8"/>
    <s v="PP"/>
    <n v="150"/>
    <s v="PP"/>
    <n v="3"/>
    <n v="127.36000000000001"/>
    <n v="4.1999999999999993"/>
    <m/>
    <m/>
    <n v="123.16000000000001"/>
    <s v="123.16000000000001"/>
    <m/>
    <m/>
    <m/>
    <n v="0"/>
    <n v="0"/>
    <m/>
    <m/>
    <m/>
    <m/>
    <m/>
    <m/>
    <m/>
    <m/>
    <n v="0"/>
    <n v="0"/>
    <n v="0"/>
    <n v="12"/>
    <n v="12"/>
    <m/>
    <m/>
    <n v="0"/>
    <n v="132.36000000000001"/>
    <m/>
    <x v="30"/>
    <m/>
    <m/>
    <m/>
    <m/>
  </r>
  <r>
    <x v="0"/>
    <x v="4"/>
    <s v="7846/3"/>
    <x v="261"/>
    <s v="العمر پلاسٹک گوجرانوالہ"/>
    <s v="PP"/>
    <n v="14"/>
    <s v="10"/>
    <s v="PP"/>
    <n v="100"/>
    <s v="PP"/>
    <n v="1"/>
    <n v="59.04"/>
    <n v="1.4"/>
    <n v="25"/>
    <m/>
    <n v="57.64"/>
    <s v="114.49"/>
    <m/>
    <m/>
    <m/>
    <n v="0"/>
    <n v="0"/>
    <m/>
    <m/>
    <m/>
    <m/>
    <m/>
    <m/>
    <m/>
    <m/>
    <n v="0"/>
    <n v="0"/>
    <n v="0"/>
    <n v="12"/>
    <n v="12"/>
    <m/>
    <m/>
    <n v="0"/>
    <n v="64.039999999999992"/>
    <m/>
    <x v="30"/>
    <m/>
    <m/>
    <m/>
    <m/>
  </r>
  <r>
    <x v="1"/>
    <x v="4"/>
    <s v="7846/3"/>
    <x v="261"/>
    <s v="العمر پلاسٹک گوجرانوالہ"/>
    <s v="PP"/>
    <n v="14"/>
    <s v="10"/>
    <s v="PP"/>
    <n v="100"/>
    <s v="PP"/>
    <n v="1"/>
    <n v="58.55"/>
    <n v="1.7"/>
    <m/>
    <m/>
    <n v="56.849999999999994"/>
    <s v="114.49"/>
    <m/>
    <m/>
    <m/>
    <n v="0"/>
    <n v="0"/>
    <m/>
    <m/>
    <m/>
    <m/>
    <m/>
    <m/>
    <m/>
    <m/>
    <n v="0"/>
    <n v="0"/>
    <n v="0"/>
    <n v="12"/>
    <n v="12"/>
    <m/>
    <m/>
    <n v="0"/>
    <n v="63.55"/>
    <m/>
    <x v="30"/>
    <m/>
    <m/>
    <m/>
    <m/>
  </r>
  <r>
    <x v="1"/>
    <x v="4"/>
    <s v="7845/7"/>
    <x v="261"/>
    <s v="ہیڈافس لاہور"/>
    <s v="PP"/>
    <n v="4"/>
    <s v="5"/>
    <s v="PP"/>
    <n v="250"/>
    <s v="PP"/>
    <n v="7"/>
    <n v="451.55000000000007"/>
    <n v="10.85"/>
    <m/>
    <m/>
    <n v="440.70000000000005"/>
    <s v="440.70000000000005"/>
    <m/>
    <m/>
    <m/>
    <n v="0"/>
    <n v="0"/>
    <m/>
    <m/>
    <m/>
    <m/>
    <m/>
    <m/>
    <m/>
    <m/>
    <n v="0"/>
    <n v="0"/>
    <n v="0"/>
    <n v="12"/>
    <n v="12"/>
    <m/>
    <m/>
    <n v="0"/>
    <n v="456.55000000000007"/>
    <m/>
    <x v="30"/>
    <m/>
    <m/>
    <m/>
    <m/>
  </r>
  <r>
    <x v="2"/>
    <x v="6"/>
    <m/>
    <x v="139"/>
    <s v="ALL MACHINES OFF DUE TO EID UL FITER HOLIDAYS"/>
    <m/>
    <m/>
    <m/>
    <m/>
    <m/>
    <s v="PP"/>
    <m/>
    <m/>
    <m/>
    <m/>
    <m/>
    <n v="0"/>
    <s v="0"/>
    <m/>
    <m/>
    <m/>
    <m/>
    <m/>
    <m/>
    <m/>
    <m/>
    <m/>
    <m/>
    <m/>
    <m/>
    <m/>
    <m/>
    <m/>
    <m/>
    <m/>
    <m/>
    <m/>
    <m/>
    <m/>
    <m/>
    <m/>
    <x v="0"/>
    <m/>
    <m/>
    <m/>
    <m/>
  </r>
  <r>
    <x v="0"/>
    <x v="3"/>
    <s v="16/5"/>
    <x v="262"/>
    <s v="سٹاک"/>
    <s v="PP"/>
    <n v="16"/>
    <n v="5"/>
    <s v="PP"/>
    <n v="1000"/>
    <s v="PP"/>
    <n v="2"/>
    <n v="96.84"/>
    <n v="3.2"/>
    <m/>
    <m/>
    <n v="93.64"/>
    <s v="1780.2200000000003"/>
    <m/>
    <m/>
    <m/>
    <n v="0"/>
    <n v="0"/>
    <m/>
    <m/>
    <m/>
    <m/>
    <m/>
    <m/>
    <m/>
    <m/>
    <n v="0"/>
    <n v="0"/>
    <n v="0"/>
    <n v="12"/>
    <n v="12"/>
    <m/>
    <m/>
    <n v="0"/>
    <n v="101.84"/>
    <m/>
    <x v="31"/>
    <m/>
    <m/>
    <m/>
    <m/>
  </r>
  <r>
    <x v="0"/>
    <x v="3"/>
    <s v="7846/5"/>
    <x v="262"/>
    <s v="العمر پلاسٹک گوجرانوالہ"/>
    <s v="PP"/>
    <n v="16"/>
    <s v="10"/>
    <s v="PP"/>
    <n v="150"/>
    <s v="PP"/>
    <n v="4"/>
    <n v="170.61"/>
    <n v="6.4"/>
    <m/>
    <m/>
    <n v="164.21"/>
    <s v="164.21"/>
    <m/>
    <m/>
    <m/>
    <n v="0"/>
    <n v="0"/>
    <m/>
    <m/>
    <m/>
    <m/>
    <m/>
    <m/>
    <m/>
    <m/>
    <n v="0"/>
    <n v="0"/>
    <n v="0"/>
    <n v="12"/>
    <n v="12"/>
    <m/>
    <m/>
    <n v="0"/>
    <n v="175.61"/>
    <m/>
    <x v="31"/>
    <m/>
    <m/>
    <m/>
    <m/>
  </r>
  <r>
    <x v="0"/>
    <x v="3"/>
    <s v="7841/6"/>
    <x v="262"/>
    <s v="طاہر پلاسٹک جھنگ"/>
    <s v="PP"/>
    <n v="16"/>
    <s v="4.5"/>
    <s v="PP"/>
    <n v="100"/>
    <s v="PP"/>
    <n v="2"/>
    <n v="105.25"/>
    <n v="3.2"/>
    <m/>
    <m/>
    <n v="102.05"/>
    <s v="214.98"/>
    <m/>
    <m/>
    <m/>
    <n v="0"/>
    <n v="0"/>
    <m/>
    <m/>
    <m/>
    <m/>
    <m/>
    <m/>
    <m/>
    <m/>
    <n v="0"/>
    <n v="0"/>
    <n v="0"/>
    <n v="12"/>
    <n v="12"/>
    <m/>
    <m/>
    <n v="0"/>
    <n v="110.25"/>
    <m/>
    <x v="31"/>
    <m/>
    <m/>
    <m/>
    <m/>
  </r>
  <r>
    <x v="0"/>
    <x v="3"/>
    <s v="3123 F"/>
    <x v="262"/>
    <s v="Usman Amin"/>
    <s v="PP"/>
    <n v="26"/>
    <s v="5-5.5"/>
    <s v="PP"/>
    <n v="400"/>
    <s v="PP"/>
    <n v="3"/>
    <n v="111.88"/>
    <n v="7.8000000000000007"/>
    <m/>
    <m/>
    <n v="104.08"/>
    <s v="411.76999999999992"/>
    <n v="25"/>
    <n v="180"/>
    <m/>
    <n v="205"/>
    <n v="3.4166666666666665"/>
    <m/>
    <m/>
    <m/>
    <m/>
    <m/>
    <m/>
    <n v="30"/>
    <m/>
    <n v="30"/>
    <n v="0.5"/>
    <n v="3.9166666666666665"/>
    <n v="8.0833333333333339"/>
    <n v="12"/>
    <m/>
    <m/>
    <n v="0"/>
    <n v="116.88"/>
    <m/>
    <x v="31"/>
    <m/>
    <m/>
    <m/>
    <m/>
  </r>
  <r>
    <x v="1"/>
    <x v="3"/>
    <s v="3123 F"/>
    <x v="262"/>
    <s v="Usman Amin"/>
    <s v="PP"/>
    <n v="26"/>
    <s v="5-5.5"/>
    <s v="PP"/>
    <n v="400"/>
    <s v="PP"/>
    <n v="9"/>
    <n v="335.58999999999992"/>
    <n v="27.900000000000002"/>
    <m/>
    <m/>
    <n v="307.68999999999994"/>
    <s v="411.76999999999992"/>
    <n v="25"/>
    <m/>
    <m/>
    <n v="25"/>
    <n v="0.41666666666666674"/>
    <m/>
    <m/>
    <m/>
    <m/>
    <m/>
    <m/>
    <m/>
    <m/>
    <n v="0"/>
    <n v="0"/>
    <n v="0.41666666666666674"/>
    <n v="11.583333333333334"/>
    <n v="12"/>
    <m/>
    <m/>
    <n v="0"/>
    <n v="340.58999999999992"/>
    <m/>
    <x v="31"/>
    <m/>
    <m/>
    <m/>
    <m/>
  </r>
  <r>
    <x v="1"/>
    <x v="3"/>
    <s v="7843/1"/>
    <x v="262"/>
    <s v="محبوب مقبول گوجرانوالہ"/>
    <s v="PP"/>
    <n v="17"/>
    <s v="5"/>
    <s v="PP"/>
    <n v="150"/>
    <s v="PP"/>
    <n v="3"/>
    <n v="164.14"/>
    <n v="5.6999999999999993"/>
    <m/>
    <m/>
    <n v="158.44"/>
    <s v="158.44"/>
    <m/>
    <m/>
    <m/>
    <n v="0"/>
    <n v="0"/>
    <m/>
    <m/>
    <m/>
    <m/>
    <m/>
    <m/>
    <m/>
    <m/>
    <n v="0"/>
    <n v="0"/>
    <n v="0"/>
    <n v="12"/>
    <n v="12"/>
    <m/>
    <m/>
    <n v="0"/>
    <n v="169.14"/>
    <m/>
    <x v="31"/>
    <m/>
    <m/>
    <m/>
    <m/>
  </r>
  <r>
    <x v="1"/>
    <x v="3"/>
    <s v="7845/21"/>
    <x v="262"/>
    <s v="ہیڈافس لاہور"/>
    <s v="PP"/>
    <n v="17"/>
    <s v="7"/>
    <s v="PP"/>
    <n v="375"/>
    <s v="PP"/>
    <n v="2"/>
    <n v="129.88999999999999"/>
    <n v="3.8"/>
    <m/>
    <m/>
    <n v="126.08999999999999"/>
    <s v="436.45"/>
    <m/>
    <m/>
    <m/>
    <n v="0"/>
    <n v="0"/>
    <m/>
    <m/>
    <m/>
    <m/>
    <m/>
    <m/>
    <m/>
    <m/>
    <n v="0"/>
    <n v="0"/>
    <n v="0"/>
    <n v="12"/>
    <n v="12"/>
    <m/>
    <m/>
    <n v="0"/>
    <n v="134.88999999999999"/>
    <m/>
    <x v="31"/>
    <m/>
    <m/>
    <m/>
    <m/>
  </r>
  <r>
    <x v="0"/>
    <x v="4"/>
    <s v="7845/17"/>
    <x v="262"/>
    <s v="ہیڈافس لاہور"/>
    <s v="PP"/>
    <n v="13"/>
    <s v="7"/>
    <s v="PP"/>
    <n v="375"/>
    <s v="PP"/>
    <n v="6"/>
    <n v="326.54999999999995"/>
    <n v="7.8000000000000007"/>
    <m/>
    <m/>
    <n v="318.74999999999994"/>
    <s v="318.74999999999994"/>
    <m/>
    <m/>
    <m/>
    <n v="0"/>
    <n v="0"/>
    <m/>
    <m/>
    <m/>
    <m/>
    <m/>
    <m/>
    <m/>
    <m/>
    <n v="0"/>
    <n v="0"/>
    <n v="0"/>
    <n v="12"/>
    <n v="12"/>
    <m/>
    <m/>
    <n v="0"/>
    <n v="331.54999999999995"/>
    <m/>
    <x v="31"/>
    <m/>
    <m/>
    <m/>
    <m/>
  </r>
  <r>
    <x v="0"/>
    <x v="4"/>
    <s v="14/12"/>
    <x v="262"/>
    <s v="سٹاک"/>
    <s v="PP"/>
    <n v="14"/>
    <n v="5"/>
    <s v="PP"/>
    <n v="1500"/>
    <s v="PP"/>
    <n v="2"/>
    <n v="88.06"/>
    <n v="2.8"/>
    <n v="53"/>
    <m/>
    <n v="85.26"/>
    <s v="1527.5600000000002"/>
    <n v="20"/>
    <n v="180"/>
    <m/>
    <n v="200"/>
    <n v="3.3333333333333335"/>
    <m/>
    <m/>
    <m/>
    <m/>
    <m/>
    <m/>
    <m/>
    <m/>
    <n v="0"/>
    <n v="0"/>
    <n v="3.3333333333333335"/>
    <n v="8.6666666666666661"/>
    <n v="12"/>
    <m/>
    <m/>
    <n v="0"/>
    <n v="93.06"/>
    <m/>
    <x v="31"/>
    <m/>
    <m/>
    <m/>
    <m/>
  </r>
  <r>
    <x v="1"/>
    <x v="4"/>
    <s v="14/12"/>
    <x v="262"/>
    <s v="سٹاک"/>
    <s v="PP"/>
    <n v="14"/>
    <n v="5"/>
    <s v="PP"/>
    <n v="1500"/>
    <s v="PP"/>
    <n v="10"/>
    <n v="634.32000000000016"/>
    <n v="16"/>
    <n v="13"/>
    <m/>
    <n v="618.32000000000016"/>
    <s v="1527.5600000000002"/>
    <m/>
    <m/>
    <m/>
    <n v="0"/>
    <n v="0"/>
    <m/>
    <m/>
    <m/>
    <m/>
    <m/>
    <m/>
    <m/>
    <m/>
    <n v="0"/>
    <n v="0"/>
    <n v="0"/>
    <n v="12"/>
    <n v="12"/>
    <m/>
    <m/>
    <n v="0"/>
    <n v="639.32000000000016"/>
    <m/>
    <x v="31"/>
    <m/>
    <m/>
    <m/>
    <m/>
  </r>
  <r>
    <x v="1"/>
    <x v="0"/>
    <s v="3/19"/>
    <x v="263"/>
    <s v="سٹاک"/>
    <s v="PP"/>
    <n v="3"/>
    <s v="5.5-6"/>
    <s v="PP"/>
    <n v="1000"/>
    <s v="PP"/>
    <n v="5"/>
    <n v="94.79"/>
    <n v="1.5"/>
    <m/>
    <m/>
    <n v="93.29"/>
    <s v="1191.46"/>
    <m/>
    <n v="180"/>
    <m/>
    <n v="180"/>
    <n v="3"/>
    <m/>
    <m/>
    <m/>
    <m/>
    <m/>
    <m/>
    <m/>
    <m/>
    <n v="0"/>
    <n v="0"/>
    <n v="3"/>
    <n v="9"/>
    <n v="12"/>
    <m/>
    <m/>
    <n v="0"/>
    <n v="99.79"/>
    <m/>
    <x v="31"/>
    <m/>
    <m/>
    <m/>
    <m/>
  </r>
  <r>
    <x v="1"/>
    <x v="1"/>
    <s v="4/20"/>
    <x v="263"/>
    <s v="سٹاک"/>
    <s v="PP"/>
    <n v="4"/>
    <s v="5-5.5"/>
    <s v="PP"/>
    <n v="2000"/>
    <s v="PP"/>
    <n v="6"/>
    <n v="114.09"/>
    <n v="2.4000000000000004"/>
    <n v="17"/>
    <m/>
    <n v="111.69"/>
    <s v="2364.3999999999996"/>
    <m/>
    <n v="150"/>
    <m/>
    <n v="150"/>
    <n v="2.5"/>
    <m/>
    <m/>
    <m/>
    <m/>
    <m/>
    <m/>
    <m/>
    <m/>
    <n v="0"/>
    <n v="0"/>
    <n v="2.5"/>
    <n v="9.5"/>
    <n v="12"/>
    <m/>
    <m/>
    <n v="0"/>
    <n v="119.09"/>
    <m/>
    <x v="31"/>
    <m/>
    <m/>
    <m/>
    <m/>
  </r>
  <r>
    <x v="0"/>
    <x v="3"/>
    <s v="7845/21"/>
    <x v="263"/>
    <s v="ہیڈافس لاہور"/>
    <s v="PP"/>
    <n v="17"/>
    <s v="7"/>
    <s v="PP"/>
    <n v="375"/>
    <s v="PP"/>
    <n v="5"/>
    <n v="264.37"/>
    <n v="8.5"/>
    <m/>
    <m/>
    <n v="255.87"/>
    <s v="436.45"/>
    <m/>
    <m/>
    <m/>
    <n v="0"/>
    <n v="0"/>
    <m/>
    <m/>
    <m/>
    <m/>
    <m/>
    <m/>
    <m/>
    <m/>
    <n v="0"/>
    <n v="0"/>
    <n v="0"/>
    <n v="12"/>
    <n v="12"/>
    <m/>
    <m/>
    <n v="0"/>
    <n v="269.37"/>
    <m/>
    <x v="31"/>
    <m/>
    <m/>
    <m/>
    <m/>
  </r>
  <r>
    <x v="0"/>
    <x v="3"/>
    <s v="3133 F"/>
    <x v="263"/>
    <s v="Usman Amin"/>
    <s v="PP"/>
    <n v="20"/>
    <s v="5-5.5"/>
    <s v="PP"/>
    <n v="300"/>
    <s v="PP"/>
    <n v="5"/>
    <n v="327.03999999999996"/>
    <n v="10"/>
    <m/>
    <m/>
    <n v="317.03999999999996"/>
    <s v="317.03999999999996"/>
    <m/>
    <m/>
    <m/>
    <n v="0"/>
    <n v="0"/>
    <m/>
    <m/>
    <m/>
    <m/>
    <m/>
    <m/>
    <m/>
    <m/>
    <n v="0"/>
    <n v="0"/>
    <n v="0"/>
    <n v="12"/>
    <n v="12"/>
    <m/>
    <m/>
    <n v="0"/>
    <n v="332.03999999999996"/>
    <m/>
    <x v="31"/>
    <m/>
    <m/>
    <m/>
    <m/>
  </r>
  <r>
    <x v="0"/>
    <x v="3"/>
    <s v="7846/11"/>
    <x v="263"/>
    <s v="العمر پلاسٹک گوجرانوالہ"/>
    <s v="PP"/>
    <n v="20"/>
    <s v="8"/>
    <s v="PP"/>
    <n v="250"/>
    <s v="PP"/>
    <n v="2"/>
    <n v="117.53"/>
    <n v="4"/>
    <m/>
    <m/>
    <n v="113.53"/>
    <s v="247.44"/>
    <m/>
    <m/>
    <m/>
    <n v="0"/>
    <n v="0"/>
    <m/>
    <m/>
    <m/>
    <m/>
    <m/>
    <m/>
    <m/>
    <m/>
    <n v="0"/>
    <n v="0"/>
    <n v="0"/>
    <n v="12"/>
    <n v="12"/>
    <m/>
    <m/>
    <n v="0"/>
    <n v="122.53"/>
    <m/>
    <x v="31"/>
    <m/>
    <m/>
    <m/>
    <m/>
  </r>
  <r>
    <x v="1"/>
    <x v="3"/>
    <s v="7846/11"/>
    <x v="263"/>
    <s v="العمر پلاسٹک گوجرانوالہ"/>
    <s v="PP"/>
    <n v="20"/>
    <s v="8"/>
    <s v="PP"/>
    <n v="250"/>
    <s v="PP"/>
    <n v="2"/>
    <n v="138.91"/>
    <n v="5"/>
    <m/>
    <m/>
    <n v="133.91"/>
    <s v="247.44"/>
    <n v="25"/>
    <m/>
    <m/>
    <n v="25"/>
    <n v="0.41666666666666674"/>
    <m/>
    <m/>
    <m/>
    <m/>
    <m/>
    <m/>
    <m/>
    <m/>
    <n v="0"/>
    <n v="0"/>
    <n v="0.41666666666666674"/>
    <n v="11.583333333333334"/>
    <n v="12"/>
    <m/>
    <m/>
    <n v="0"/>
    <n v="143.91"/>
    <m/>
    <x v="31"/>
    <m/>
    <m/>
    <m/>
    <m/>
  </r>
  <r>
    <x v="1"/>
    <x v="3"/>
    <s v="7846/7"/>
    <x v="263"/>
    <s v="العمر پلاسٹک گوجرانوالہ"/>
    <s v="PP"/>
    <n v="20"/>
    <s v="10"/>
    <s v="PP"/>
    <n v="150"/>
    <s v="PP"/>
    <n v="3"/>
    <n v="180.67"/>
    <n v="7.5"/>
    <m/>
    <m/>
    <n v="173.17"/>
    <s v="173.17"/>
    <n v="15"/>
    <m/>
    <m/>
    <n v="15"/>
    <n v="0.25"/>
    <m/>
    <m/>
    <m/>
    <m/>
    <m/>
    <m/>
    <m/>
    <m/>
    <n v="0"/>
    <n v="0"/>
    <n v="0.25"/>
    <n v="11.75"/>
    <n v="12"/>
    <m/>
    <m/>
    <n v="0"/>
    <n v="185.67"/>
    <m/>
    <x v="31"/>
    <m/>
    <m/>
    <m/>
    <m/>
  </r>
  <r>
    <x v="1"/>
    <x v="3"/>
    <s v="7846/12"/>
    <x v="263"/>
    <s v="العمر پلاسٹک گوجرانوالہ"/>
    <s v="PP"/>
    <n v="22"/>
    <s v="8"/>
    <s v="PP"/>
    <n v="250"/>
    <s v="PP"/>
    <n v="4"/>
    <n v="252.78"/>
    <n v="10.8"/>
    <m/>
    <m/>
    <n v="241.98"/>
    <s v="241.98"/>
    <m/>
    <m/>
    <m/>
    <n v="0"/>
    <n v="0"/>
    <m/>
    <m/>
    <m/>
    <m/>
    <m/>
    <m/>
    <m/>
    <m/>
    <n v="0"/>
    <n v="0"/>
    <n v="0"/>
    <n v="12"/>
    <n v="12"/>
    <m/>
    <m/>
    <n v="0"/>
    <n v="257.77999999999997"/>
    <m/>
    <x v="31"/>
    <m/>
    <m/>
    <m/>
    <m/>
  </r>
  <r>
    <x v="1"/>
    <x v="3"/>
    <s v="7845/13"/>
    <x v="263"/>
    <s v="ہیڈافس لاہور"/>
    <s v="PP"/>
    <n v="22"/>
    <s v="5"/>
    <s v="PP"/>
    <n v="125"/>
    <s v="PP"/>
    <n v="3"/>
    <n v="137.45000000000002"/>
    <n v="8.1000000000000014"/>
    <m/>
    <m/>
    <n v="129.35000000000002"/>
    <s v="129.35000000000002"/>
    <m/>
    <m/>
    <m/>
    <n v="0"/>
    <n v="0"/>
    <m/>
    <m/>
    <m/>
    <m/>
    <m/>
    <m/>
    <m/>
    <m/>
    <n v="0"/>
    <n v="0"/>
    <n v="0"/>
    <n v="12"/>
    <n v="12"/>
    <m/>
    <m/>
    <n v="0"/>
    <n v="142.45000000000002"/>
    <m/>
    <x v="31"/>
    <m/>
    <m/>
    <m/>
    <m/>
  </r>
  <r>
    <x v="0"/>
    <x v="4"/>
    <s v="14/12"/>
    <x v="263"/>
    <s v="سٹاک"/>
    <s v="PP"/>
    <n v="14"/>
    <n v="5"/>
    <s v="PP"/>
    <n v="1500"/>
    <s v="PP"/>
    <n v="10"/>
    <n v="600.70000000000005"/>
    <n v="14"/>
    <n v="8"/>
    <m/>
    <n v="586.70000000000005"/>
    <s v="1527.5600000000002"/>
    <m/>
    <m/>
    <m/>
    <n v="0"/>
    <n v="0"/>
    <m/>
    <m/>
    <m/>
    <m/>
    <m/>
    <m/>
    <m/>
    <m/>
    <n v="0"/>
    <n v="0"/>
    <n v="0"/>
    <n v="12"/>
    <n v="12"/>
    <m/>
    <m/>
    <n v="0"/>
    <n v="605.70000000000005"/>
    <m/>
    <x v="31"/>
    <m/>
    <m/>
    <m/>
    <m/>
  </r>
  <r>
    <x v="1"/>
    <x v="4"/>
    <s v="14/12"/>
    <x v="263"/>
    <s v="سٹاک"/>
    <s v="PP"/>
    <n v="14"/>
    <n v="5"/>
    <s v="PP"/>
    <n v="1500"/>
    <s v="PP"/>
    <n v="4"/>
    <n v="243.67999999999998"/>
    <n v="6.4"/>
    <m/>
    <m/>
    <n v="237.27999999999997"/>
    <s v="1527.5600000000002"/>
    <n v="20"/>
    <m/>
    <m/>
    <n v="20"/>
    <n v="0.33333333333333331"/>
    <m/>
    <m/>
    <m/>
    <m/>
    <m/>
    <m/>
    <m/>
    <m/>
    <n v="0"/>
    <n v="0"/>
    <n v="0.33333333333333331"/>
    <n v="11.666666666666666"/>
    <n v="12"/>
    <m/>
    <m/>
    <n v="0"/>
    <n v="248.68"/>
    <m/>
    <x v="31"/>
    <m/>
    <m/>
    <m/>
    <m/>
  </r>
  <r>
    <x v="1"/>
    <x v="4"/>
    <s v="9/13"/>
    <x v="263"/>
    <s v="سٹاک"/>
    <s v="PP"/>
    <n v="9"/>
    <s v="5-5.5"/>
    <s v="PP"/>
    <n v="1500"/>
    <s v="PP"/>
    <n v="4"/>
    <n v="169.20000000000002"/>
    <n v="4.4000000000000004"/>
    <m/>
    <m/>
    <n v="164.8"/>
    <s v="1747.67"/>
    <m/>
    <m/>
    <m/>
    <n v="0"/>
    <n v="0"/>
    <m/>
    <m/>
    <m/>
    <m/>
    <m/>
    <m/>
    <m/>
    <m/>
    <n v="0"/>
    <n v="0"/>
    <n v="0"/>
    <n v="12"/>
    <n v="12"/>
    <m/>
    <m/>
    <n v="0"/>
    <n v="174.20000000000002"/>
    <m/>
    <x v="31"/>
    <m/>
    <m/>
    <m/>
    <m/>
  </r>
  <r>
    <x v="0"/>
    <x v="0"/>
    <s v="3/19"/>
    <x v="264"/>
    <s v="سٹاک"/>
    <s v="PP"/>
    <n v="3"/>
    <s v="5.5-6"/>
    <s v="PP"/>
    <n v="1000"/>
    <s v="PP"/>
    <n v="7"/>
    <n v="134.52999999999997"/>
    <n v="2.1"/>
    <n v="13"/>
    <m/>
    <n v="132.42999999999998"/>
    <s v="1191.46"/>
    <m/>
    <m/>
    <m/>
    <n v="0"/>
    <n v="0"/>
    <m/>
    <m/>
    <m/>
    <m/>
    <m/>
    <m/>
    <m/>
    <m/>
    <n v="0"/>
    <n v="0"/>
    <n v="0"/>
    <n v="12"/>
    <n v="12"/>
    <m/>
    <m/>
    <n v="0"/>
    <n v="139.52999999999997"/>
    <m/>
    <x v="31"/>
    <m/>
    <m/>
    <m/>
    <m/>
  </r>
  <r>
    <x v="1"/>
    <x v="0"/>
    <s v="3/19"/>
    <x v="264"/>
    <s v="سٹاک"/>
    <s v="PP"/>
    <n v="3"/>
    <s v="5.5-6"/>
    <s v="PP"/>
    <n v="1000"/>
    <s v="PP"/>
    <n v="7"/>
    <n v="132.35999999999999"/>
    <n v="2.1"/>
    <n v="5"/>
    <m/>
    <n v="130.26"/>
    <s v="1191.46"/>
    <m/>
    <m/>
    <m/>
    <n v="0"/>
    <n v="0"/>
    <m/>
    <m/>
    <m/>
    <m/>
    <m/>
    <m/>
    <m/>
    <m/>
    <n v="0"/>
    <n v="0"/>
    <n v="0"/>
    <n v="12"/>
    <n v="12"/>
    <m/>
    <m/>
    <n v="0"/>
    <n v="137.36000000000001"/>
    <m/>
    <x v="31"/>
    <m/>
    <m/>
    <m/>
    <m/>
  </r>
  <r>
    <x v="0"/>
    <x v="1"/>
    <s v="4/20"/>
    <x v="264"/>
    <s v="سٹاک"/>
    <s v="PP"/>
    <n v="4"/>
    <s v="5-5.5"/>
    <s v="PP"/>
    <n v="2000"/>
    <m/>
    <n v="9"/>
    <n v="168.61999999999998"/>
    <n v="3.6"/>
    <m/>
    <m/>
    <n v="165.01999999999998"/>
    <s v="2364.3999999999996"/>
    <m/>
    <m/>
    <m/>
    <n v="0"/>
    <n v="0"/>
    <m/>
    <m/>
    <m/>
    <m/>
    <m/>
    <m/>
    <m/>
    <m/>
    <n v="0"/>
    <n v="0"/>
    <n v="0"/>
    <n v="12"/>
    <n v="12"/>
    <m/>
    <m/>
    <n v="0"/>
    <n v="173.61999999999998"/>
    <m/>
    <x v="31"/>
    <m/>
    <m/>
    <m/>
    <m/>
  </r>
  <r>
    <x v="1"/>
    <x v="1"/>
    <s v="4/20"/>
    <x v="264"/>
    <s v="سٹاک"/>
    <s v="PP"/>
    <n v="4"/>
    <s v="5-5.5"/>
    <s v="PP"/>
    <n v="2000"/>
    <m/>
    <n v="9"/>
    <n v="172.6"/>
    <n v="3.6"/>
    <m/>
    <m/>
    <n v="169"/>
    <s v="2364.3999999999996"/>
    <m/>
    <m/>
    <m/>
    <n v="0"/>
    <n v="0"/>
    <m/>
    <m/>
    <m/>
    <m/>
    <m/>
    <m/>
    <m/>
    <m/>
    <n v="0"/>
    <n v="0"/>
    <n v="0"/>
    <n v="12"/>
    <n v="12"/>
    <m/>
    <m/>
    <n v="0"/>
    <n v="177.6"/>
    <m/>
    <x v="31"/>
    <m/>
    <m/>
    <m/>
    <m/>
  </r>
  <r>
    <x v="0"/>
    <x v="3"/>
    <s v="7855 J"/>
    <x v="264"/>
    <s v="Jilani Poly Stock"/>
    <s v="PP"/>
    <n v="24"/>
    <s v="5-5.5"/>
    <s v="PP"/>
    <s v="-"/>
    <m/>
    <n v="12"/>
    <n v="780.40999999999985"/>
    <n v="36"/>
    <m/>
    <m/>
    <n v="744.40999999999985"/>
    <s v="1719.3399999999997"/>
    <m/>
    <m/>
    <m/>
    <n v="0"/>
    <n v="0"/>
    <m/>
    <m/>
    <m/>
    <m/>
    <m/>
    <m/>
    <m/>
    <m/>
    <n v="0"/>
    <n v="0"/>
    <n v="0"/>
    <n v="12"/>
    <n v="12"/>
    <m/>
    <m/>
    <n v="0"/>
    <n v="785.40999999999985"/>
    <m/>
    <x v="31"/>
    <m/>
    <m/>
    <m/>
    <m/>
  </r>
  <r>
    <x v="1"/>
    <x v="3"/>
    <s v="7855 J"/>
    <x v="264"/>
    <s v="Jilani Poly Stock"/>
    <s v="PP"/>
    <n v="24"/>
    <s v="5-5.5"/>
    <s v="PP"/>
    <s v="-"/>
    <m/>
    <n v="11"/>
    <n v="746.55999999999983"/>
    <n v="33"/>
    <m/>
    <m/>
    <n v="713.55999999999983"/>
    <s v="1719.3399999999997"/>
    <m/>
    <m/>
    <m/>
    <n v="0"/>
    <n v="0"/>
    <m/>
    <m/>
    <m/>
    <m/>
    <m/>
    <m/>
    <m/>
    <m/>
    <n v="0"/>
    <n v="0"/>
    <n v="0"/>
    <n v="12"/>
    <n v="12"/>
    <m/>
    <m/>
    <n v="0"/>
    <n v="751.55999999999983"/>
    <m/>
    <x v="31"/>
    <m/>
    <m/>
    <m/>
    <m/>
  </r>
  <r>
    <x v="0"/>
    <x v="4"/>
    <s v="9/13"/>
    <x v="264"/>
    <s v="سٹاک"/>
    <s v="PP"/>
    <n v="9"/>
    <s v="5-5.5"/>
    <s v="PP"/>
    <n v="1500"/>
    <m/>
    <n v="9"/>
    <n v="424.49"/>
    <n v="8.1"/>
    <m/>
    <m/>
    <n v="416.39"/>
    <s v="1747.67"/>
    <m/>
    <m/>
    <m/>
    <n v="0"/>
    <n v="0"/>
    <m/>
    <m/>
    <m/>
    <m/>
    <m/>
    <m/>
    <m/>
    <m/>
    <n v="0"/>
    <n v="0"/>
    <n v="0"/>
    <n v="12"/>
    <n v="12"/>
    <m/>
    <m/>
    <n v="0"/>
    <n v="429.49"/>
    <m/>
    <x v="31"/>
    <m/>
    <m/>
    <m/>
    <m/>
  </r>
  <r>
    <x v="1"/>
    <x v="4"/>
    <s v="9/13"/>
    <x v="264"/>
    <s v="سٹاک"/>
    <s v="PP"/>
    <n v="9"/>
    <s v="5-5.5"/>
    <s v="PP"/>
    <n v="1500"/>
    <m/>
    <n v="9"/>
    <n v="424.43999999999994"/>
    <n v="8.1"/>
    <m/>
    <m/>
    <n v="416.33999999999992"/>
    <s v="1747.67"/>
    <m/>
    <m/>
    <m/>
    <n v="0"/>
    <n v="0"/>
    <m/>
    <m/>
    <m/>
    <m/>
    <m/>
    <m/>
    <m/>
    <m/>
    <n v="0"/>
    <n v="0"/>
    <n v="0"/>
    <n v="12"/>
    <n v="12"/>
    <m/>
    <m/>
    <n v="0"/>
    <n v="429.43999999999994"/>
    <m/>
    <x v="31"/>
    <m/>
    <m/>
    <m/>
    <m/>
  </r>
  <r>
    <x v="0"/>
    <x v="0"/>
    <s v="3/19"/>
    <x v="265"/>
    <s v="سٹاک"/>
    <s v="PP"/>
    <n v="3"/>
    <s v="5.5-6"/>
    <s v="PP"/>
    <n v="1000"/>
    <m/>
    <n v="7"/>
    <n v="115.81"/>
    <n v="2.1"/>
    <m/>
    <m/>
    <n v="113.71000000000001"/>
    <s v="1191.46"/>
    <m/>
    <m/>
    <m/>
    <n v="0"/>
    <n v="0"/>
    <m/>
    <m/>
    <m/>
    <m/>
    <m/>
    <m/>
    <n v="30"/>
    <m/>
    <n v="30"/>
    <n v="0.5"/>
    <n v="0.5"/>
    <n v="11.5"/>
    <n v="12"/>
    <m/>
    <m/>
    <n v="0"/>
    <n v="120.81"/>
    <m/>
    <x v="31"/>
    <m/>
    <m/>
    <m/>
    <m/>
  </r>
  <r>
    <x v="1"/>
    <x v="0"/>
    <s v="3/19"/>
    <x v="265"/>
    <s v="سٹاک"/>
    <s v="PP"/>
    <n v="3"/>
    <s v="5.5-6"/>
    <s v="PP"/>
    <n v="1000"/>
    <m/>
    <n v="6"/>
    <n v="115.41999999999999"/>
    <n v="1.7999999999999998"/>
    <m/>
    <m/>
    <n v="113.61999999999999"/>
    <s v="1191.46"/>
    <m/>
    <m/>
    <m/>
    <n v="0"/>
    <n v="0"/>
    <m/>
    <m/>
    <m/>
    <m/>
    <m/>
    <m/>
    <m/>
    <m/>
    <n v="0"/>
    <n v="0"/>
    <n v="0"/>
    <n v="12"/>
    <n v="12"/>
    <m/>
    <m/>
    <n v="0"/>
    <n v="120.42"/>
    <m/>
    <x v="31"/>
    <m/>
    <m/>
    <m/>
    <m/>
  </r>
  <r>
    <x v="0"/>
    <x v="1"/>
    <s v="4/20"/>
    <x v="265"/>
    <s v="سٹاک"/>
    <s v="PP"/>
    <n v="4"/>
    <s v="5-5.5"/>
    <s v="PP"/>
    <n v="2000"/>
    <m/>
    <n v="9"/>
    <n v="165.52"/>
    <n v="3.6"/>
    <m/>
    <m/>
    <n v="161.92000000000002"/>
    <s v="2364.3999999999996"/>
    <m/>
    <m/>
    <m/>
    <n v="0"/>
    <n v="0"/>
    <m/>
    <m/>
    <m/>
    <m/>
    <m/>
    <m/>
    <m/>
    <m/>
    <n v="0"/>
    <n v="0"/>
    <n v="0"/>
    <n v="12"/>
    <n v="12"/>
    <m/>
    <m/>
    <n v="0"/>
    <n v="170.52"/>
    <m/>
    <x v="31"/>
    <m/>
    <m/>
    <m/>
    <m/>
  </r>
  <r>
    <x v="1"/>
    <x v="1"/>
    <s v="4/20"/>
    <x v="265"/>
    <s v="سٹاک"/>
    <s v="PP"/>
    <n v="4"/>
    <s v="5-5.5"/>
    <s v="PP"/>
    <n v="2000"/>
    <m/>
    <n v="9"/>
    <n v="172.7"/>
    <n v="3.2"/>
    <m/>
    <m/>
    <n v="169.5"/>
    <s v="2364.3999999999996"/>
    <m/>
    <m/>
    <m/>
    <n v="0"/>
    <n v="0"/>
    <m/>
    <m/>
    <m/>
    <m/>
    <m/>
    <m/>
    <n v="20"/>
    <m/>
    <n v="20"/>
    <n v="0.33333333333333331"/>
    <n v="0.33333333333333331"/>
    <n v="11.666666666666666"/>
    <n v="12"/>
    <m/>
    <m/>
    <n v="0"/>
    <n v="177.7"/>
    <m/>
    <x v="31"/>
    <m/>
    <m/>
    <m/>
    <m/>
  </r>
  <r>
    <x v="0"/>
    <x v="3"/>
    <s v="7855 J"/>
    <x v="265"/>
    <s v="Jilani Poly Stock"/>
    <s v="PP"/>
    <n v="24"/>
    <s v="5-5.5"/>
    <s v="PP"/>
    <s v="-"/>
    <m/>
    <n v="4"/>
    <n v="270.97000000000003"/>
    <n v="9.6"/>
    <m/>
    <m/>
    <n v="261.37"/>
    <s v="1719.3399999999997"/>
    <m/>
    <m/>
    <m/>
    <n v="0"/>
    <n v="0"/>
    <m/>
    <m/>
    <m/>
    <m/>
    <m/>
    <m/>
    <m/>
    <m/>
    <n v="0"/>
    <n v="0"/>
    <n v="0"/>
    <n v="12"/>
    <n v="12"/>
    <m/>
    <m/>
    <n v="0"/>
    <n v="275.97000000000003"/>
    <m/>
    <x v="31"/>
    <m/>
    <m/>
    <m/>
    <m/>
  </r>
  <r>
    <x v="0"/>
    <x v="3"/>
    <s v="7852/2"/>
    <x v="265"/>
    <s v="رمضان پلاسٹک سیالکوٹ"/>
    <s v="PP"/>
    <n v="15"/>
    <s v="7"/>
    <s v="PP"/>
    <n v="100"/>
    <m/>
    <n v="6"/>
    <n v="268.25"/>
    <n v="9"/>
    <m/>
    <m/>
    <n v="259.25"/>
    <s v="259.25"/>
    <m/>
    <m/>
    <m/>
    <n v="0"/>
    <n v="0"/>
    <m/>
    <m/>
    <m/>
    <m/>
    <m/>
    <m/>
    <m/>
    <m/>
    <n v="0"/>
    <n v="0"/>
    <n v="0"/>
    <n v="12"/>
    <n v="12"/>
    <m/>
    <m/>
    <n v="0"/>
    <n v="273.25"/>
    <m/>
    <x v="31"/>
    <m/>
    <m/>
    <m/>
    <m/>
  </r>
  <r>
    <x v="0"/>
    <x v="3"/>
    <s v="7863/2"/>
    <x v="265"/>
    <s v="امیر حمزہ ملتان"/>
    <s v="PP"/>
    <n v="15"/>
    <s v="5"/>
    <s v="PP"/>
    <n v="125"/>
    <m/>
    <n v="3"/>
    <n v="151.94999999999999"/>
    <n v="4.5"/>
    <n v="10"/>
    <m/>
    <n v="147.44999999999999"/>
    <s v="274.86"/>
    <n v="30"/>
    <m/>
    <m/>
    <n v="30"/>
    <n v="0.5"/>
    <m/>
    <m/>
    <m/>
    <m/>
    <m/>
    <m/>
    <m/>
    <m/>
    <n v="0"/>
    <n v="0"/>
    <n v="0.5"/>
    <n v="11.5"/>
    <n v="12"/>
    <m/>
    <m/>
    <n v="0"/>
    <n v="156.94999999999999"/>
    <m/>
    <x v="31"/>
    <m/>
    <m/>
    <m/>
    <m/>
  </r>
  <r>
    <x v="1"/>
    <x v="3"/>
    <s v="7863/2"/>
    <x v="265"/>
    <s v="امیر حمزہ ملتان"/>
    <s v="PP"/>
    <n v="15"/>
    <s v="5"/>
    <s v="PP"/>
    <n v="125"/>
    <m/>
    <n v="2"/>
    <n v="130.81"/>
    <n v="3.4"/>
    <n v="14"/>
    <m/>
    <n v="127.41"/>
    <s v="274.86"/>
    <m/>
    <m/>
    <m/>
    <n v="0"/>
    <n v="0"/>
    <m/>
    <m/>
    <m/>
    <m/>
    <m/>
    <m/>
    <m/>
    <m/>
    <n v="0"/>
    <n v="0"/>
    <n v="0"/>
    <n v="12"/>
    <n v="12"/>
    <m/>
    <m/>
    <n v="0"/>
    <n v="135.81"/>
    <m/>
    <x v="31"/>
    <m/>
    <m/>
    <m/>
    <m/>
  </r>
  <r>
    <x v="1"/>
    <x v="3"/>
    <s v="7870/1"/>
    <x v="265"/>
    <s v="ریفلیکٹ پیک لاہور"/>
    <s v="PP"/>
    <n v="15"/>
    <s v="5.5-6"/>
    <s v="PP"/>
    <n v="3000"/>
    <m/>
    <n v="11"/>
    <n v="612.53"/>
    <n v="16.5"/>
    <m/>
    <m/>
    <n v="596.03"/>
    <s v="5393.2400000000007"/>
    <m/>
    <m/>
    <m/>
    <n v="0"/>
    <n v="0"/>
    <m/>
    <m/>
    <m/>
    <m/>
    <m/>
    <m/>
    <m/>
    <m/>
    <n v="0"/>
    <n v="0"/>
    <n v="0"/>
    <n v="12"/>
    <n v="12"/>
    <m/>
    <m/>
    <n v="0"/>
    <n v="617.53"/>
    <m/>
    <x v="31"/>
    <m/>
    <m/>
    <m/>
    <m/>
  </r>
  <r>
    <x v="0"/>
    <x v="4"/>
    <s v="9/13"/>
    <x v="265"/>
    <s v="سٹاک"/>
    <s v="PP"/>
    <n v="9"/>
    <s v="5-5.5"/>
    <s v="PP"/>
    <n v="1500"/>
    <m/>
    <n v="6"/>
    <n v="285.53999999999996"/>
    <n v="5.4"/>
    <m/>
    <m/>
    <n v="280.14"/>
    <s v="1747.67"/>
    <m/>
    <m/>
    <m/>
    <n v="0"/>
    <n v="0"/>
    <m/>
    <m/>
    <m/>
    <m/>
    <m/>
    <m/>
    <m/>
    <m/>
    <n v="0"/>
    <n v="0"/>
    <n v="0"/>
    <n v="12"/>
    <n v="12"/>
    <m/>
    <m/>
    <n v="0"/>
    <n v="290.53999999999996"/>
    <m/>
    <x v="31"/>
    <m/>
    <m/>
    <m/>
    <m/>
  </r>
  <r>
    <x v="1"/>
    <x v="4"/>
    <s v="9/13"/>
    <x v="265"/>
    <s v="سٹاک"/>
    <s v="PP"/>
    <n v="9"/>
    <s v="5-5.5"/>
    <s v="PP"/>
    <n v="1500"/>
    <m/>
    <n v="7"/>
    <n v="334.74"/>
    <n v="7.7000000000000011"/>
    <m/>
    <m/>
    <n v="327.04000000000002"/>
    <s v="1747.67"/>
    <m/>
    <m/>
    <m/>
    <n v="0"/>
    <n v="0"/>
    <m/>
    <m/>
    <n v="180"/>
    <m/>
    <m/>
    <m/>
    <m/>
    <m/>
    <n v="180"/>
    <n v="3"/>
    <n v="3"/>
    <n v="9"/>
    <n v="12"/>
    <m/>
    <m/>
    <n v="0"/>
    <n v="339.74"/>
    <m/>
    <x v="31"/>
    <m/>
    <m/>
    <m/>
    <m/>
  </r>
  <r>
    <x v="0"/>
    <x v="0"/>
    <s v="3/19"/>
    <x v="266"/>
    <s v="سٹاک"/>
    <s v="PP"/>
    <n v="3"/>
    <s v="5.5-6"/>
    <s v="PP"/>
    <n v="1000"/>
    <m/>
    <n v="7"/>
    <n v="131.51999999999998"/>
    <n v="2.1"/>
    <m/>
    <m/>
    <n v="129.41999999999999"/>
    <s v="1191.46"/>
    <m/>
    <m/>
    <m/>
    <n v="0"/>
    <n v="0"/>
    <m/>
    <m/>
    <m/>
    <m/>
    <m/>
    <m/>
    <m/>
    <m/>
    <n v="0"/>
    <n v="0"/>
    <n v="0"/>
    <n v="12"/>
    <n v="12"/>
    <m/>
    <m/>
    <n v="0"/>
    <n v="136.51999999999998"/>
    <m/>
    <x v="31"/>
    <m/>
    <m/>
    <m/>
    <m/>
  </r>
  <r>
    <x v="1"/>
    <x v="0"/>
    <s v="3/19"/>
    <x v="266"/>
    <s v="سٹاک"/>
    <s v="PP"/>
    <n v="3"/>
    <s v="5.5-6"/>
    <s v="PP"/>
    <n v="1000"/>
    <m/>
    <n v="7"/>
    <n v="123.69"/>
    <n v="2.1"/>
    <m/>
    <m/>
    <n v="121.59"/>
    <s v="1191.46"/>
    <m/>
    <m/>
    <m/>
    <n v="0"/>
    <n v="0"/>
    <m/>
    <m/>
    <m/>
    <m/>
    <m/>
    <m/>
    <m/>
    <m/>
    <n v="0"/>
    <n v="0"/>
    <n v="0"/>
    <n v="12"/>
    <n v="12"/>
    <m/>
    <m/>
    <n v="0"/>
    <n v="128.69"/>
    <m/>
    <x v="31"/>
    <m/>
    <m/>
    <m/>
    <m/>
  </r>
  <r>
    <x v="0"/>
    <x v="1"/>
    <s v="4/20"/>
    <x v="266"/>
    <s v="سٹاک"/>
    <s v="PP"/>
    <n v="4"/>
    <s v="5-5.5"/>
    <s v="PP"/>
    <n v="2000"/>
    <m/>
    <n v="10"/>
    <n v="182.03"/>
    <n v="4"/>
    <m/>
    <m/>
    <n v="178.03"/>
    <s v="2364.3999999999996"/>
    <m/>
    <m/>
    <m/>
    <n v="0"/>
    <n v="0"/>
    <m/>
    <m/>
    <m/>
    <m/>
    <m/>
    <m/>
    <m/>
    <m/>
    <n v="0"/>
    <n v="0"/>
    <n v="0"/>
    <n v="12"/>
    <n v="12"/>
    <m/>
    <m/>
    <n v="0"/>
    <n v="187.03"/>
    <m/>
    <x v="31"/>
    <m/>
    <m/>
    <m/>
    <m/>
  </r>
  <r>
    <x v="1"/>
    <x v="1"/>
    <s v="4/20"/>
    <x v="266"/>
    <s v="سٹاک"/>
    <s v="PP"/>
    <n v="4"/>
    <s v="5-5.5"/>
    <s v="PP"/>
    <n v="2000"/>
    <m/>
    <n v="10"/>
    <n v="179.20999999999998"/>
    <n v="4"/>
    <m/>
    <m/>
    <n v="175.20999999999998"/>
    <s v="2364.3999999999996"/>
    <m/>
    <m/>
    <m/>
    <n v="0"/>
    <n v="0"/>
    <m/>
    <m/>
    <m/>
    <m/>
    <m/>
    <m/>
    <m/>
    <m/>
    <n v="0"/>
    <n v="0"/>
    <n v="0"/>
    <n v="12"/>
    <n v="12"/>
    <m/>
    <m/>
    <n v="0"/>
    <n v="184.21"/>
    <m/>
    <x v="31"/>
    <m/>
    <m/>
    <m/>
    <m/>
  </r>
  <r>
    <x v="0"/>
    <x v="3"/>
    <s v="7870/1"/>
    <x v="266"/>
    <s v="ریفلیکٹ پیک لاہور"/>
    <s v="PP"/>
    <n v="15"/>
    <s v="5.5-6"/>
    <s v="PP"/>
    <n v="3000"/>
    <m/>
    <n v="8"/>
    <n v="442.96"/>
    <n v="13.6"/>
    <n v="7"/>
    <m/>
    <n v="429.35999999999996"/>
    <s v="5393.2400000000007"/>
    <m/>
    <m/>
    <m/>
    <n v="0"/>
    <n v="0"/>
    <m/>
    <m/>
    <m/>
    <m/>
    <m/>
    <m/>
    <m/>
    <m/>
    <n v="0"/>
    <n v="0"/>
    <n v="0"/>
    <n v="12"/>
    <n v="12"/>
    <m/>
    <m/>
    <n v="0"/>
    <n v="447.96"/>
    <m/>
    <x v="31"/>
    <m/>
    <m/>
    <m/>
    <m/>
  </r>
  <r>
    <x v="1"/>
    <x v="3"/>
    <s v="7870/1"/>
    <x v="266"/>
    <s v="ریفلیکٹ پیک لاہور"/>
    <s v="PP"/>
    <n v="15"/>
    <s v="5.5-6"/>
    <s v="PP"/>
    <n v="3000"/>
    <m/>
    <n v="10"/>
    <n v="528.7299999999999"/>
    <n v="17"/>
    <n v="19"/>
    <m/>
    <n v="511.7299999999999"/>
    <s v="5393.2400000000007"/>
    <m/>
    <m/>
    <m/>
    <n v="0"/>
    <n v="0"/>
    <m/>
    <m/>
    <m/>
    <m/>
    <m/>
    <m/>
    <m/>
    <m/>
    <n v="0"/>
    <n v="0"/>
    <n v="0"/>
    <n v="12"/>
    <n v="12"/>
    <m/>
    <m/>
    <n v="0"/>
    <n v="533.7299999999999"/>
    <m/>
    <x v="31"/>
    <m/>
    <m/>
    <m/>
    <m/>
  </r>
  <r>
    <x v="0"/>
    <x v="4"/>
    <s v="9/13"/>
    <x v="266"/>
    <s v="سٹاک"/>
    <s v="PP"/>
    <n v="9"/>
    <s v="5-5.5"/>
    <s v="PP"/>
    <n v="1500"/>
    <m/>
    <n v="3"/>
    <n v="145.66"/>
    <n v="2.7"/>
    <m/>
    <m/>
    <n v="142.96"/>
    <s v="1747.67"/>
    <m/>
    <m/>
    <m/>
    <n v="0"/>
    <n v="0"/>
    <m/>
    <m/>
    <m/>
    <m/>
    <m/>
    <m/>
    <m/>
    <m/>
    <n v="0"/>
    <n v="0"/>
    <n v="0"/>
    <n v="12"/>
    <n v="12"/>
    <m/>
    <m/>
    <n v="0"/>
    <n v="150.66"/>
    <m/>
    <x v="31"/>
    <m/>
    <m/>
    <m/>
    <m/>
  </r>
  <r>
    <x v="0"/>
    <x v="4"/>
    <s v="7871/3"/>
    <x v="266"/>
    <s v="ایم عمران پاکستان مارکیٹ"/>
    <s v="PP"/>
    <n v="14"/>
    <s v="6.5"/>
    <s v="PP"/>
    <n v="200"/>
    <m/>
    <n v="5"/>
    <n v="251.2"/>
    <n v="7"/>
    <m/>
    <m/>
    <n v="244.2"/>
    <s v="244.2"/>
    <n v="30"/>
    <m/>
    <m/>
    <n v="30"/>
    <n v="0.5"/>
    <m/>
    <m/>
    <m/>
    <m/>
    <m/>
    <m/>
    <m/>
    <m/>
    <n v="0"/>
    <n v="0"/>
    <n v="0.5"/>
    <n v="11.5"/>
    <n v="12"/>
    <m/>
    <m/>
    <n v="0"/>
    <n v="256.2"/>
    <m/>
    <x v="31"/>
    <m/>
    <m/>
    <m/>
    <m/>
  </r>
  <r>
    <x v="1"/>
    <x v="4"/>
    <s v="7864/2"/>
    <x v="266"/>
    <s v="سلیمان پلاسٹک جھنگ"/>
    <s v="PP"/>
    <n v="14"/>
    <s v="4.5"/>
    <s v="PP"/>
    <n v="100"/>
    <m/>
    <n v="3"/>
    <n v="104.50999999999999"/>
    <n v="4.1999999999999993"/>
    <m/>
    <m/>
    <n v="100.30999999999999"/>
    <s v="153.77999999999997"/>
    <m/>
    <m/>
    <m/>
    <n v="0"/>
    <n v="0"/>
    <m/>
    <m/>
    <m/>
    <m/>
    <m/>
    <m/>
    <m/>
    <m/>
    <n v="0"/>
    <n v="0"/>
    <n v="0"/>
    <n v="12"/>
    <n v="12"/>
    <m/>
    <m/>
    <n v="0"/>
    <n v="109.51"/>
    <m/>
    <x v="31"/>
    <m/>
    <m/>
    <m/>
    <m/>
  </r>
  <r>
    <x v="1"/>
    <x v="4"/>
    <s v="8387 J"/>
    <x v="266"/>
    <s v="Lala Yaseen Lahore"/>
    <s v="PP"/>
    <n v="14"/>
    <s v="9-10"/>
    <s v="PP"/>
    <n v="150"/>
    <m/>
    <n v="3"/>
    <n v="155.56"/>
    <n v="4.1999999999999993"/>
    <m/>
    <m/>
    <n v="151.36000000000001"/>
    <s v="151.36000000000001"/>
    <m/>
    <m/>
    <m/>
    <n v="0"/>
    <n v="0"/>
    <m/>
    <m/>
    <m/>
    <m/>
    <m/>
    <m/>
    <m/>
    <m/>
    <n v="0"/>
    <n v="0"/>
    <n v="0"/>
    <n v="12"/>
    <n v="12"/>
    <m/>
    <m/>
    <n v="0"/>
    <n v="160.56"/>
    <m/>
    <x v="31"/>
    <m/>
    <m/>
    <m/>
    <m/>
  </r>
  <r>
    <x v="1"/>
    <x v="4"/>
    <s v="8340 J"/>
    <x v="266"/>
    <s v="Special Papari Nimko Kamonki "/>
    <s v="PP"/>
    <n v="14"/>
    <n v="8"/>
    <s v="PP"/>
    <n v="100"/>
    <m/>
    <n v="2"/>
    <n v="102.38"/>
    <n v="2.8"/>
    <m/>
    <m/>
    <n v="99.58"/>
    <s v="99.58"/>
    <m/>
    <m/>
    <m/>
    <n v="0"/>
    <n v="0"/>
    <m/>
    <m/>
    <m/>
    <m/>
    <m/>
    <m/>
    <m/>
    <m/>
    <n v="0"/>
    <n v="0"/>
    <n v="0"/>
    <n v="12"/>
    <n v="12"/>
    <m/>
    <m/>
    <n v="0"/>
    <n v="107.38"/>
    <m/>
    <x v="31"/>
    <m/>
    <m/>
    <m/>
    <m/>
  </r>
  <r>
    <x v="1"/>
    <x v="4"/>
    <s v="8301 J"/>
    <x v="266"/>
    <s v="Raza Graments Lahore"/>
    <s v="PP"/>
    <n v="14"/>
    <s v="11.5-12"/>
    <s v="PP"/>
    <n v="1000"/>
    <m/>
    <n v="3"/>
    <n v="182.45"/>
    <n v="4.1999999999999993"/>
    <m/>
    <m/>
    <n v="178.25"/>
    <s v="1121.29"/>
    <m/>
    <m/>
    <m/>
    <n v="0"/>
    <n v="0"/>
    <m/>
    <m/>
    <m/>
    <m/>
    <m/>
    <m/>
    <m/>
    <m/>
    <n v="0"/>
    <n v="0"/>
    <n v="0"/>
    <n v="12"/>
    <n v="12"/>
    <m/>
    <m/>
    <n v="0"/>
    <n v="187.45"/>
    <m/>
    <x v="31"/>
    <m/>
    <m/>
    <m/>
    <m/>
  </r>
  <r>
    <x v="1"/>
    <x v="4"/>
    <s v="8388 J"/>
    <x v="266"/>
    <s v="Lala Yaseen Lahore"/>
    <s v="PP"/>
    <n v="14"/>
    <s v="9-10"/>
    <s v="PP"/>
    <n v="60"/>
    <m/>
    <n v="2"/>
    <n v="83.22999999999999"/>
    <n v="2.8"/>
    <m/>
    <m/>
    <n v="80.429999999999993"/>
    <s v="80.429999999999993"/>
    <m/>
    <m/>
    <m/>
    <n v="0"/>
    <n v="0"/>
    <m/>
    <m/>
    <m/>
    <m/>
    <m/>
    <m/>
    <m/>
    <m/>
    <n v="0"/>
    <n v="0"/>
    <n v="0"/>
    <n v="12"/>
    <n v="12"/>
    <m/>
    <m/>
    <n v="0"/>
    <n v="88.22999999999999"/>
    <m/>
    <x v="31"/>
    <m/>
    <m/>
    <m/>
    <m/>
  </r>
  <r>
    <x v="0"/>
    <x v="0"/>
    <s v="3/19"/>
    <x v="267"/>
    <s v="سٹاک"/>
    <s v="PP"/>
    <n v="3"/>
    <s v="5.5-6"/>
    <s v="PP"/>
    <n v="1000"/>
    <m/>
    <n v="7"/>
    <n v="136.35999999999999"/>
    <n v="2.1"/>
    <m/>
    <m/>
    <n v="134.26"/>
    <s v="1191.46"/>
    <m/>
    <m/>
    <m/>
    <n v="0"/>
    <n v="0"/>
    <m/>
    <m/>
    <m/>
    <m/>
    <m/>
    <m/>
    <m/>
    <m/>
    <n v="0"/>
    <n v="0"/>
    <n v="0"/>
    <n v="12"/>
    <n v="12"/>
    <m/>
    <m/>
    <n v="0"/>
    <n v="141.36000000000001"/>
    <m/>
    <x v="32"/>
    <m/>
    <m/>
    <m/>
    <m/>
  </r>
  <r>
    <x v="1"/>
    <x v="0"/>
    <s v="3/19"/>
    <x v="267"/>
    <s v="سٹاک"/>
    <s v="PP"/>
    <n v="3"/>
    <s v="5.5-6"/>
    <s v="PP"/>
    <n v="1000"/>
    <m/>
    <n v="7"/>
    <n v="130.52000000000001"/>
    <n v="2.1"/>
    <m/>
    <m/>
    <n v="128.42000000000002"/>
    <s v="1191.46"/>
    <m/>
    <m/>
    <m/>
    <n v="0"/>
    <n v="0"/>
    <m/>
    <m/>
    <m/>
    <m/>
    <m/>
    <m/>
    <m/>
    <m/>
    <n v="0"/>
    <n v="0"/>
    <n v="0"/>
    <n v="12"/>
    <n v="12"/>
    <m/>
    <m/>
    <n v="0"/>
    <n v="135.52000000000001"/>
    <m/>
    <x v="32"/>
    <m/>
    <m/>
    <m/>
    <m/>
  </r>
  <r>
    <x v="0"/>
    <x v="1"/>
    <s v="4/20"/>
    <x v="267"/>
    <s v="سٹاک"/>
    <s v="PP"/>
    <n v="4"/>
    <s v="5-5.5"/>
    <s v="PP"/>
    <n v="2000"/>
    <m/>
    <n v="10"/>
    <n v="198.37"/>
    <n v="4"/>
    <m/>
    <m/>
    <n v="194.37"/>
    <s v="2364.3999999999996"/>
    <m/>
    <m/>
    <m/>
    <n v="0"/>
    <n v="0"/>
    <m/>
    <m/>
    <m/>
    <m/>
    <m/>
    <m/>
    <m/>
    <m/>
    <n v="0"/>
    <n v="0"/>
    <n v="0"/>
    <n v="12"/>
    <n v="12"/>
    <m/>
    <m/>
    <n v="0"/>
    <n v="203.37"/>
    <m/>
    <x v="32"/>
    <m/>
    <m/>
    <m/>
    <m/>
  </r>
  <r>
    <x v="1"/>
    <x v="1"/>
    <s v="4/20"/>
    <x v="267"/>
    <s v="سٹاک"/>
    <s v="PP"/>
    <n v="4"/>
    <s v="5-5.5"/>
    <s v="PP"/>
    <n v="2000"/>
    <m/>
    <n v="10"/>
    <n v="182.6"/>
    <n v="4"/>
    <m/>
    <m/>
    <n v="178.6"/>
    <s v="2364.3999999999996"/>
    <m/>
    <m/>
    <m/>
    <n v="0"/>
    <n v="0"/>
    <m/>
    <m/>
    <m/>
    <m/>
    <m/>
    <m/>
    <m/>
    <m/>
    <n v="0"/>
    <n v="0"/>
    <n v="0"/>
    <n v="12"/>
    <n v="12"/>
    <m/>
    <m/>
    <n v="0"/>
    <n v="187.6"/>
    <m/>
    <x v="32"/>
    <m/>
    <m/>
    <m/>
    <m/>
  </r>
  <r>
    <x v="0"/>
    <x v="4"/>
    <s v="8301 J"/>
    <x v="267"/>
    <s v="Raza Graments Lahore"/>
    <s v="PP"/>
    <n v="14"/>
    <s v="11.5-12"/>
    <s v="PP"/>
    <n v="1000"/>
    <m/>
    <n v="11"/>
    <n v="603.21999999999991"/>
    <n v="15.399999999999999"/>
    <n v="15"/>
    <m/>
    <n v="587.81999999999994"/>
    <s v="1121.29"/>
    <m/>
    <m/>
    <m/>
    <n v="0"/>
    <n v="0"/>
    <m/>
    <m/>
    <m/>
    <m/>
    <m/>
    <m/>
    <m/>
    <m/>
    <n v="0"/>
    <n v="0"/>
    <n v="0"/>
    <n v="12"/>
    <n v="12"/>
    <m/>
    <m/>
    <n v="0"/>
    <n v="608.21999999999991"/>
    <m/>
    <x v="32"/>
    <m/>
    <m/>
    <m/>
    <m/>
  </r>
  <r>
    <x v="1"/>
    <x v="4"/>
    <s v="8301 J"/>
    <x v="267"/>
    <s v="Raza Graments Lahore"/>
    <s v="PP"/>
    <n v="14"/>
    <s v="11.5-12"/>
    <s v="PP"/>
    <n v="1000"/>
    <m/>
    <n v="6"/>
    <n v="363.62"/>
    <n v="8.3999999999999986"/>
    <n v="14"/>
    <m/>
    <n v="355.22"/>
    <s v="1121.29"/>
    <n v="25"/>
    <m/>
    <m/>
    <n v="25"/>
    <n v="0.41666666666666674"/>
    <m/>
    <m/>
    <m/>
    <m/>
    <m/>
    <m/>
    <m/>
    <m/>
    <n v="0"/>
    <n v="0"/>
    <n v="0.41666666666666674"/>
    <n v="11.583333333333334"/>
    <n v="12"/>
    <m/>
    <m/>
    <n v="0"/>
    <n v="368.62"/>
    <m/>
    <x v="32"/>
    <m/>
    <m/>
    <m/>
    <m/>
  </r>
  <r>
    <x v="1"/>
    <x v="4"/>
    <s v="7854/1"/>
    <x v="267"/>
    <s v="عثمان امین لاہور"/>
    <s v="PP"/>
    <n v="7"/>
    <s v="5-5.5"/>
    <s v="PP"/>
    <n v="4500"/>
    <m/>
    <n v="3"/>
    <n v="114.84"/>
    <n v="2.0999999999999996"/>
    <m/>
    <m/>
    <n v="112.74000000000001"/>
    <s v="1957.7199999999998"/>
    <m/>
    <m/>
    <m/>
    <n v="0"/>
    <n v="0"/>
    <m/>
    <m/>
    <m/>
    <m/>
    <m/>
    <m/>
    <m/>
    <m/>
    <n v="0"/>
    <n v="0"/>
    <n v="0"/>
    <n v="12"/>
    <n v="12"/>
    <m/>
    <m/>
    <n v="0"/>
    <n v="119.84"/>
    <m/>
    <x v="32"/>
    <m/>
    <m/>
    <m/>
    <m/>
  </r>
  <r>
    <x v="1"/>
    <x v="4"/>
    <s v="7864/2"/>
    <x v="267"/>
    <s v="سلیمان پلاسٹک جھنگ"/>
    <s v="PP"/>
    <n v="14"/>
    <s v="4.5"/>
    <s v="PP"/>
    <n v="100"/>
    <m/>
    <n v="1"/>
    <n v="54.87"/>
    <n v="1.4"/>
    <m/>
    <m/>
    <n v="53.47"/>
    <s v="153.77999999999997"/>
    <m/>
    <m/>
    <m/>
    <n v="0"/>
    <n v="0"/>
    <m/>
    <m/>
    <m/>
    <m/>
    <m/>
    <m/>
    <m/>
    <m/>
    <n v="0"/>
    <n v="0"/>
    <n v="0"/>
    <n v="12"/>
    <n v="12"/>
    <m/>
    <m/>
    <n v="0"/>
    <n v="59.87"/>
    <m/>
    <x v="32"/>
    <m/>
    <m/>
    <m/>
    <m/>
  </r>
  <r>
    <x v="0"/>
    <x v="3"/>
    <s v="7870/1"/>
    <x v="267"/>
    <s v="ریفلیکٹ پیک لاہور"/>
    <s v="PP"/>
    <n v="15"/>
    <s v="5.5-6"/>
    <s v="PP"/>
    <n v="3000"/>
    <m/>
    <n v="9"/>
    <n v="517.35"/>
    <n v="13.5"/>
    <m/>
    <m/>
    <n v="503.85"/>
    <s v="5393.2400000000007"/>
    <m/>
    <m/>
    <m/>
    <n v="0"/>
    <n v="0"/>
    <m/>
    <m/>
    <m/>
    <m/>
    <m/>
    <m/>
    <m/>
    <m/>
    <n v="0"/>
    <n v="0"/>
    <n v="0"/>
    <n v="12"/>
    <n v="12"/>
    <m/>
    <m/>
    <n v="0"/>
    <n v="522.35"/>
    <m/>
    <x v="32"/>
    <m/>
    <m/>
    <m/>
    <m/>
  </r>
  <r>
    <x v="1"/>
    <x v="3"/>
    <s v="7870/1"/>
    <x v="267"/>
    <s v="ریفلیکٹ پیک لاہور"/>
    <s v="PP"/>
    <n v="15"/>
    <s v="5.5-6"/>
    <s v="PP"/>
    <n v="3000"/>
    <m/>
    <n v="10"/>
    <n v="543.02"/>
    <n v="14"/>
    <m/>
    <m/>
    <n v="529.02"/>
    <s v="5393.2400000000007"/>
    <m/>
    <m/>
    <m/>
    <n v="0"/>
    <n v="0"/>
    <m/>
    <m/>
    <m/>
    <m/>
    <m/>
    <m/>
    <m/>
    <m/>
    <n v="0"/>
    <n v="0"/>
    <n v="0"/>
    <n v="12"/>
    <n v="12"/>
    <m/>
    <m/>
    <n v="0"/>
    <n v="548.02"/>
    <m/>
    <x v="32"/>
    <m/>
    <m/>
    <m/>
    <m/>
  </r>
  <r>
    <x v="0"/>
    <x v="0"/>
    <s v="3/19"/>
    <x v="268"/>
    <s v="سٹاک"/>
    <s v="PP"/>
    <n v="3"/>
    <s v="5.5-6"/>
    <s v="PP"/>
    <n v="1000"/>
    <m/>
    <n v="6"/>
    <n v="96.259999999999991"/>
    <n v="1.7999999999999998"/>
    <m/>
    <m/>
    <n v="94.46"/>
    <s v="1191.46"/>
    <m/>
    <m/>
    <m/>
    <n v="0"/>
    <n v="0"/>
    <m/>
    <m/>
    <m/>
    <m/>
    <m/>
    <m/>
    <m/>
    <m/>
    <n v="0"/>
    <n v="0"/>
    <n v="0"/>
    <n v="12"/>
    <n v="12"/>
    <m/>
    <m/>
    <n v="0"/>
    <n v="101.26"/>
    <m/>
    <x v="32"/>
    <m/>
    <m/>
    <m/>
    <m/>
  </r>
  <r>
    <x v="0"/>
    <x v="1"/>
    <s v="4/20"/>
    <x v="268"/>
    <s v="سٹاک"/>
    <s v="PP"/>
    <n v="4"/>
    <s v="5-5.5"/>
    <s v="PP"/>
    <n v="2000"/>
    <m/>
    <n v="10"/>
    <n v="180.07000000000002"/>
    <n v="4"/>
    <m/>
    <m/>
    <n v="176.07000000000002"/>
    <s v="2364.3999999999996"/>
    <m/>
    <m/>
    <m/>
    <n v="0"/>
    <n v="0"/>
    <m/>
    <m/>
    <m/>
    <m/>
    <m/>
    <m/>
    <m/>
    <m/>
    <n v="0"/>
    <n v="0"/>
    <n v="0"/>
    <n v="12"/>
    <n v="12"/>
    <m/>
    <m/>
    <n v="0"/>
    <n v="185.07"/>
    <m/>
    <x v="32"/>
    <m/>
    <m/>
    <m/>
    <m/>
  </r>
  <r>
    <x v="1"/>
    <x v="1"/>
    <s v="4/20"/>
    <x v="268"/>
    <s v="سٹاک"/>
    <s v="PP"/>
    <n v="4"/>
    <s v="5-5.5"/>
    <s v="PP"/>
    <n v="2000"/>
    <m/>
    <n v="9"/>
    <n v="173.92"/>
    <n v="3.6"/>
    <m/>
    <m/>
    <n v="170.32"/>
    <s v="2364.3999999999996"/>
    <m/>
    <m/>
    <m/>
    <n v="0"/>
    <n v="0"/>
    <m/>
    <m/>
    <m/>
    <m/>
    <m/>
    <m/>
    <m/>
    <m/>
    <n v="0"/>
    <n v="0"/>
    <n v="0"/>
    <n v="12"/>
    <n v="12"/>
    <m/>
    <m/>
    <n v="0"/>
    <n v="178.92"/>
    <m/>
    <x v="32"/>
    <m/>
    <m/>
    <m/>
    <m/>
  </r>
  <r>
    <x v="0"/>
    <x v="3"/>
    <s v="7870/1"/>
    <x v="268"/>
    <s v="ریفلیکٹ پیک لاہور"/>
    <s v="PP"/>
    <n v="15"/>
    <s v="5.5-6"/>
    <s v="PP"/>
    <n v="3000"/>
    <m/>
    <n v="8"/>
    <n v="459.26"/>
    <n v="12"/>
    <m/>
    <m/>
    <n v="447.26"/>
    <s v="5393.2400000000007"/>
    <n v="30"/>
    <m/>
    <m/>
    <n v="30"/>
    <n v="0.5"/>
    <m/>
    <m/>
    <m/>
    <m/>
    <m/>
    <m/>
    <m/>
    <m/>
    <n v="0"/>
    <n v="0"/>
    <n v="0.5"/>
    <n v="11.5"/>
    <n v="12"/>
    <m/>
    <m/>
    <n v="0"/>
    <n v="464.26"/>
    <m/>
    <x v="32"/>
    <m/>
    <m/>
    <m/>
    <m/>
  </r>
  <r>
    <x v="0"/>
    <x v="3"/>
    <s v="3153 F"/>
    <x v="268"/>
    <s v="Usman Amin"/>
    <s v="PP"/>
    <n v="26"/>
    <n v="5"/>
    <s v="PP"/>
    <n v="325"/>
    <m/>
    <n v="1"/>
    <n v="43.45"/>
    <n v="3.3"/>
    <m/>
    <m/>
    <n v="40.150000000000006"/>
    <s v="486.97000000000008"/>
    <m/>
    <m/>
    <m/>
    <n v="0"/>
    <n v="0"/>
    <m/>
    <m/>
    <m/>
    <m/>
    <m/>
    <m/>
    <m/>
    <m/>
    <n v="0"/>
    <n v="0"/>
    <n v="0"/>
    <n v="12"/>
    <n v="12"/>
    <m/>
    <m/>
    <n v="0"/>
    <n v="48.45"/>
    <m/>
    <x v="32"/>
    <m/>
    <m/>
    <m/>
    <m/>
  </r>
  <r>
    <x v="1"/>
    <x v="3"/>
    <s v="3153 F"/>
    <x v="268"/>
    <s v="Usman Amin"/>
    <s v="PP"/>
    <n v="26"/>
    <n v="5"/>
    <s v="PP"/>
    <n v="325"/>
    <m/>
    <n v="5"/>
    <n v="293.28000000000003"/>
    <n v="13"/>
    <m/>
    <m/>
    <n v="280.28000000000003"/>
    <s v="486.97000000000008"/>
    <n v="20"/>
    <m/>
    <m/>
    <n v="20"/>
    <n v="0.33333333333333331"/>
    <m/>
    <m/>
    <n v="120"/>
    <m/>
    <m/>
    <m/>
    <m/>
    <m/>
    <n v="120"/>
    <n v="2"/>
    <n v="2.3333333333333335"/>
    <n v="9.6666666666666661"/>
    <n v="12"/>
    <m/>
    <m/>
    <n v="0"/>
    <n v="298.28000000000003"/>
    <m/>
    <x v="32"/>
    <m/>
    <m/>
    <m/>
    <m/>
  </r>
  <r>
    <x v="1"/>
    <x v="3"/>
    <s v="8449 J"/>
    <x v="268"/>
    <s v="Bundu Khan Lahore"/>
    <s v="PP"/>
    <s v="22&quot; شیٹ"/>
    <s v="4-4.5/8-9"/>
    <s v="PP"/>
    <n v="150"/>
    <m/>
    <n v="3"/>
    <n v="158.45000000000002"/>
    <n v="6.6000000000000005"/>
    <m/>
    <m/>
    <n v="151.85000000000002"/>
    <s v="303.87"/>
    <m/>
    <m/>
    <m/>
    <n v="0"/>
    <n v="0"/>
    <m/>
    <m/>
    <m/>
    <m/>
    <m/>
    <m/>
    <m/>
    <m/>
    <n v="0"/>
    <n v="0"/>
    <n v="0"/>
    <n v="12"/>
    <n v="12"/>
    <m/>
    <m/>
    <n v="0"/>
    <n v="163.45000000000002"/>
    <m/>
    <x v="32"/>
    <m/>
    <m/>
    <m/>
    <m/>
  </r>
  <r>
    <x v="1"/>
    <x v="3"/>
    <s v="8449 J"/>
    <x v="268"/>
    <s v="Bundu Khan Lahore"/>
    <s v="PP"/>
    <s v="22&quot; شیٹ"/>
    <s v="4-4.5/8-9"/>
    <s v="PP"/>
    <n v="150"/>
    <m/>
    <n v="4"/>
    <n v="160.82000000000002"/>
    <n v="8.8000000000000007"/>
    <m/>
    <m/>
    <n v="152.02000000000001"/>
    <s v="303.87"/>
    <m/>
    <m/>
    <m/>
    <n v="0"/>
    <n v="0"/>
    <m/>
    <m/>
    <m/>
    <m/>
    <m/>
    <m/>
    <m/>
    <m/>
    <n v="0"/>
    <n v="0"/>
    <n v="0"/>
    <n v="12"/>
    <n v="12"/>
    <m/>
    <m/>
    <n v="0"/>
    <n v="165.82000000000002"/>
    <m/>
    <x v="32"/>
    <m/>
    <m/>
    <m/>
    <m/>
  </r>
  <r>
    <x v="0"/>
    <x v="4"/>
    <s v="7854/1"/>
    <x v="268"/>
    <s v="عثمان امین لاہور"/>
    <s v="PP"/>
    <n v="7"/>
    <s v="5-5.5"/>
    <s v="PP"/>
    <n v="4500"/>
    <m/>
    <n v="10"/>
    <n v="390.04"/>
    <n v="7"/>
    <n v="15"/>
    <m/>
    <n v="383.04"/>
    <s v="1957.7199999999998"/>
    <m/>
    <m/>
    <m/>
    <n v="0"/>
    <n v="0"/>
    <m/>
    <m/>
    <m/>
    <m/>
    <m/>
    <m/>
    <m/>
    <m/>
    <n v="0"/>
    <n v="0"/>
    <n v="0"/>
    <n v="12"/>
    <n v="12"/>
    <m/>
    <m/>
    <n v="0"/>
    <n v="395.04"/>
    <m/>
    <x v="32"/>
    <m/>
    <m/>
    <m/>
    <m/>
  </r>
  <r>
    <x v="1"/>
    <x v="4"/>
    <s v="7854/1"/>
    <x v="268"/>
    <s v="عثمان امین لاہور"/>
    <s v="PP"/>
    <n v="7"/>
    <s v="5-5.5"/>
    <s v="PP"/>
    <n v="4500"/>
    <m/>
    <n v="2"/>
    <n v="80.12"/>
    <n v="1.4"/>
    <n v="18"/>
    <m/>
    <n v="78.72"/>
    <s v="1957.7199999999998"/>
    <m/>
    <m/>
    <m/>
    <n v="0"/>
    <n v="0"/>
    <m/>
    <m/>
    <m/>
    <m/>
    <m/>
    <m/>
    <m/>
    <m/>
    <n v="0"/>
    <n v="0"/>
    <n v="0"/>
    <n v="12"/>
    <n v="12"/>
    <m/>
    <m/>
    <n v="0"/>
    <n v="85.12"/>
    <m/>
    <x v="32"/>
    <m/>
    <m/>
    <m/>
    <m/>
  </r>
  <r>
    <x v="1"/>
    <x v="4"/>
    <s v="7870/1"/>
    <x v="268"/>
    <s v="ریفلیکٹ پیک لاہور"/>
    <s v="PP"/>
    <n v="15"/>
    <s v="5.5-6"/>
    <s v="PP"/>
    <n v="3000"/>
    <m/>
    <n v="9"/>
    <n v="480.76"/>
    <n v="13.5"/>
    <m/>
    <m/>
    <n v="467.26"/>
    <s v="5393.2400000000007"/>
    <n v="20"/>
    <m/>
    <m/>
    <n v="20"/>
    <n v="0.33333333333333331"/>
    <m/>
    <m/>
    <m/>
    <m/>
    <m/>
    <m/>
    <m/>
    <m/>
    <n v="0"/>
    <n v="0"/>
    <n v="0.33333333333333331"/>
    <n v="11.666666666666666"/>
    <n v="12"/>
    <m/>
    <m/>
    <n v="0"/>
    <n v="485.76"/>
    <m/>
    <x v="32"/>
    <m/>
    <m/>
    <m/>
    <m/>
  </r>
  <r>
    <x v="0"/>
    <x v="1"/>
    <s v="4/20"/>
    <x v="269"/>
    <s v="سٹاک"/>
    <s v="PP"/>
    <n v="4"/>
    <s v="5-5.5"/>
    <s v="PP"/>
    <n v="2000"/>
    <m/>
    <n v="10"/>
    <n v="186.96"/>
    <n v="4"/>
    <n v="30"/>
    <m/>
    <n v="182.96"/>
    <s v="2364.3999999999996"/>
    <m/>
    <m/>
    <m/>
    <n v="0"/>
    <n v="0"/>
    <m/>
    <m/>
    <m/>
    <m/>
    <m/>
    <m/>
    <m/>
    <m/>
    <n v="0"/>
    <n v="0"/>
    <n v="0"/>
    <n v="12"/>
    <n v="12"/>
    <m/>
    <m/>
    <n v="0"/>
    <n v="191.96"/>
    <m/>
    <x v="32"/>
    <m/>
    <m/>
    <m/>
    <m/>
  </r>
  <r>
    <x v="1"/>
    <x v="1"/>
    <s v="4/20"/>
    <x v="269"/>
    <s v="سٹاک"/>
    <s v="PP"/>
    <n v="4"/>
    <s v="5-5.5"/>
    <s v="PP"/>
    <n v="2000"/>
    <m/>
    <n v="11"/>
    <n v="206.20000000000002"/>
    <n v="4.4000000000000004"/>
    <n v="15"/>
    <m/>
    <n v="201.8"/>
    <s v="2364.3999999999996"/>
    <m/>
    <m/>
    <m/>
    <n v="0"/>
    <n v="0"/>
    <m/>
    <m/>
    <m/>
    <m/>
    <m/>
    <m/>
    <m/>
    <m/>
    <n v="0"/>
    <n v="0"/>
    <n v="0"/>
    <n v="12"/>
    <n v="12"/>
    <m/>
    <m/>
    <n v="0"/>
    <n v="211.2"/>
    <m/>
    <x v="32"/>
    <m/>
    <m/>
    <m/>
    <m/>
  </r>
  <r>
    <x v="0"/>
    <x v="3"/>
    <s v="8448 J"/>
    <x v="269"/>
    <s v="Bundu Khan Lahore"/>
    <s v="PP"/>
    <s v="22&quot; شیٹ"/>
    <s v="4-4.5/8-9"/>
    <s v="PP"/>
    <n v="100"/>
    <m/>
    <n v="3"/>
    <n v="118.24000000000001"/>
    <n v="5.3900000000000006"/>
    <m/>
    <m/>
    <n v="112.85000000000001"/>
    <s v="112.85000000000001"/>
    <m/>
    <m/>
    <m/>
    <n v="0"/>
    <n v="0"/>
    <m/>
    <m/>
    <m/>
    <m/>
    <m/>
    <m/>
    <m/>
    <m/>
    <n v="0"/>
    <n v="0"/>
    <n v="0"/>
    <n v="12"/>
    <n v="12"/>
    <m/>
    <m/>
    <n v="0"/>
    <n v="123.24"/>
    <m/>
    <x v="32"/>
    <m/>
    <m/>
    <m/>
    <m/>
  </r>
  <r>
    <x v="0"/>
    <x v="3"/>
    <s v="3153 F"/>
    <x v="269"/>
    <s v="Usman Amin"/>
    <s v="PP"/>
    <n v="26"/>
    <n v="5"/>
    <s v="PP"/>
    <n v="325"/>
    <m/>
    <n v="3"/>
    <n v="171.93"/>
    <n v="5.3900000000000006"/>
    <m/>
    <m/>
    <n v="166.54000000000002"/>
    <s v="486.97000000000008"/>
    <m/>
    <m/>
    <m/>
    <n v="0"/>
    <n v="0"/>
    <m/>
    <m/>
    <m/>
    <m/>
    <m/>
    <m/>
    <m/>
    <m/>
    <n v="0"/>
    <n v="0"/>
    <n v="0"/>
    <n v="12"/>
    <n v="12"/>
    <m/>
    <m/>
    <n v="0"/>
    <n v="176.93"/>
    <m/>
    <x v="32"/>
    <m/>
    <m/>
    <m/>
    <m/>
  </r>
  <r>
    <x v="0"/>
    <x v="3"/>
    <s v="7845/23"/>
    <x v="269"/>
    <s v="ہیڈافس لاہور"/>
    <s v="PP"/>
    <n v="19"/>
    <s v="7"/>
    <s v="PP"/>
    <n v="200"/>
    <m/>
    <n v="3"/>
    <n v="159.55000000000001"/>
    <n v="6.3"/>
    <m/>
    <m/>
    <n v="153.25"/>
    <s v="201.52"/>
    <n v="30"/>
    <m/>
    <m/>
    <n v="30"/>
    <n v="0.5"/>
    <m/>
    <m/>
    <m/>
    <m/>
    <m/>
    <m/>
    <m/>
    <m/>
    <n v="0"/>
    <n v="0"/>
    <n v="0.5"/>
    <n v="11.5"/>
    <n v="12"/>
    <m/>
    <m/>
    <n v="0"/>
    <n v="164.55"/>
    <m/>
    <x v="32"/>
    <m/>
    <m/>
    <m/>
    <m/>
  </r>
  <r>
    <x v="0"/>
    <x v="3"/>
    <s v="8506 J"/>
    <x v="269"/>
    <s v="Royal Broke Lahore"/>
    <s v="PP"/>
    <n v="22"/>
    <s v="8-8.5"/>
    <s v="PP"/>
    <n v="150"/>
    <m/>
    <n v="3"/>
    <n v="160.43"/>
    <n v="5.3599999999999994"/>
    <m/>
    <m/>
    <n v="155.07"/>
    <s v="155.07"/>
    <n v="30"/>
    <m/>
    <m/>
    <n v="30"/>
    <n v="0.5"/>
    <m/>
    <m/>
    <m/>
    <m/>
    <m/>
    <m/>
    <m/>
    <m/>
    <n v="0"/>
    <n v="0"/>
    <n v="0.5"/>
    <n v="11.5"/>
    <n v="12"/>
    <m/>
    <m/>
    <n v="0"/>
    <n v="165.43"/>
    <m/>
    <x v="32"/>
    <m/>
    <m/>
    <m/>
    <m/>
  </r>
  <r>
    <x v="1"/>
    <x v="3"/>
    <s v="7845/23"/>
    <x v="269"/>
    <s v="ہیڈافس لاہور"/>
    <s v="PP"/>
    <n v="19"/>
    <s v="7"/>
    <s v="PP"/>
    <n v="200"/>
    <m/>
    <n v="1"/>
    <n v="50.17"/>
    <n v="1.9"/>
    <m/>
    <m/>
    <n v="48.27"/>
    <s v="201.52"/>
    <n v="30"/>
    <m/>
    <m/>
    <n v="30"/>
    <n v="0.5"/>
    <m/>
    <m/>
    <m/>
    <m/>
    <m/>
    <m/>
    <m/>
    <m/>
    <n v="0"/>
    <n v="0"/>
    <n v="0.5"/>
    <n v="11.5"/>
    <n v="12"/>
    <m/>
    <m/>
    <n v="0"/>
    <n v="55.17"/>
    <m/>
    <x v="32"/>
    <m/>
    <m/>
    <m/>
    <m/>
  </r>
  <r>
    <x v="1"/>
    <x v="3"/>
    <s v="7864/7"/>
    <x v="269"/>
    <s v="سلیمان پلاسٹک جھنگ"/>
    <s v="PP"/>
    <n v="18"/>
    <s v="4.5"/>
    <s v="PP"/>
    <n v="100"/>
    <m/>
    <n v="5"/>
    <n v="259.44"/>
    <n v="5.6999999999999993"/>
    <m/>
    <m/>
    <n v="253.74"/>
    <s v="414.53"/>
    <m/>
    <m/>
    <m/>
    <n v="0"/>
    <n v="0"/>
    <m/>
    <m/>
    <m/>
    <m/>
    <m/>
    <m/>
    <m/>
    <m/>
    <n v="0"/>
    <n v="0"/>
    <n v="0"/>
    <n v="12"/>
    <n v="12"/>
    <m/>
    <m/>
    <n v="0"/>
    <n v="264.44"/>
    <m/>
    <x v="32"/>
    <m/>
    <m/>
    <m/>
    <m/>
  </r>
  <r>
    <x v="1"/>
    <x v="3"/>
    <s v="8459 J"/>
    <x v="269"/>
    <s v="J M Trading Kamoki"/>
    <s v="PP"/>
    <n v="18"/>
    <s v="4-4.5"/>
    <s v="PP"/>
    <n v="100"/>
    <m/>
    <n v="1"/>
    <n v="53.56"/>
    <n v="5.6999999999999993"/>
    <m/>
    <m/>
    <n v="47.86"/>
    <s v="142.35"/>
    <m/>
    <m/>
    <m/>
    <n v="0"/>
    <n v="0"/>
    <m/>
    <m/>
    <m/>
    <m/>
    <m/>
    <m/>
    <m/>
    <m/>
    <n v="0"/>
    <n v="0"/>
    <n v="0"/>
    <n v="12"/>
    <n v="12"/>
    <m/>
    <m/>
    <n v="0"/>
    <n v="58.56"/>
    <m/>
    <x v="32"/>
    <m/>
    <m/>
    <m/>
    <m/>
  </r>
  <r>
    <x v="1"/>
    <x v="3"/>
    <s v="8504 J"/>
    <x v="269"/>
    <s v="Royal Broke Lahore"/>
    <s v="PP"/>
    <n v="19"/>
    <s v="8-8.5"/>
    <s v="PP"/>
    <n v="150"/>
    <m/>
    <n v="3"/>
    <n v="151.68"/>
    <n v="9"/>
    <m/>
    <m/>
    <n v="142.68"/>
    <s v="142.68"/>
    <m/>
    <m/>
    <m/>
    <n v="0"/>
    <n v="0"/>
    <m/>
    <m/>
    <m/>
    <m/>
    <m/>
    <m/>
    <m/>
    <m/>
    <n v="0"/>
    <n v="0"/>
    <n v="0"/>
    <n v="12"/>
    <n v="12"/>
    <m/>
    <m/>
    <n v="0"/>
    <n v="156.68"/>
    <m/>
    <x v="32"/>
    <m/>
    <m/>
    <m/>
    <m/>
  </r>
  <r>
    <x v="1"/>
    <x v="3"/>
    <s v="8500 J"/>
    <x v="269"/>
    <s v="Royal Broke Lahore"/>
    <s v="PP"/>
    <n v="19"/>
    <s v="8-8.5"/>
    <s v="PP"/>
    <n v="150"/>
    <m/>
    <n v="2"/>
    <n v="108.87"/>
    <n v="1.8"/>
    <m/>
    <m/>
    <n v="107.07000000000001"/>
    <s v="107.07000000000001"/>
    <m/>
    <m/>
    <m/>
    <n v="0"/>
    <n v="0"/>
    <m/>
    <m/>
    <m/>
    <m/>
    <m/>
    <m/>
    <m/>
    <m/>
    <n v="0"/>
    <n v="0"/>
    <n v="0"/>
    <n v="12"/>
    <n v="12"/>
    <m/>
    <m/>
    <n v="0"/>
    <n v="113.87"/>
    <m/>
    <x v="32"/>
    <m/>
    <m/>
    <m/>
    <m/>
  </r>
  <r>
    <x v="0"/>
    <x v="4"/>
    <s v="7870/1"/>
    <x v="269"/>
    <s v="ریفلیکٹ پیک لاہور"/>
    <s v="PP"/>
    <n v="15"/>
    <s v="5.5-6"/>
    <s v="PP"/>
    <n v="3000"/>
    <m/>
    <n v="5"/>
    <n v="293.76"/>
    <n v="8.5"/>
    <m/>
    <m/>
    <n v="285.26"/>
    <s v="5393.2400000000007"/>
    <m/>
    <m/>
    <m/>
    <n v="0"/>
    <n v="0"/>
    <m/>
    <m/>
    <m/>
    <m/>
    <m/>
    <m/>
    <n v="120"/>
    <m/>
    <n v="120"/>
    <n v="2"/>
    <n v="2"/>
    <n v="10"/>
    <n v="12"/>
    <m/>
    <m/>
    <n v="0"/>
    <n v="298.76"/>
    <m/>
    <x v="32"/>
    <m/>
    <m/>
    <m/>
    <m/>
  </r>
  <r>
    <x v="0"/>
    <x v="4"/>
    <s v="7871/1"/>
    <x v="269"/>
    <s v="ایم عمران پاکستان مارکیٹ"/>
    <s v="PP"/>
    <n v="15"/>
    <s v="6.5"/>
    <s v="PP"/>
    <n v="500"/>
    <m/>
    <n v="4"/>
    <n v="224.60999999999999"/>
    <n v="6.8"/>
    <m/>
    <m/>
    <n v="217.80999999999997"/>
    <s v="511.95999999999992"/>
    <m/>
    <m/>
    <m/>
    <n v="0"/>
    <n v="0"/>
    <m/>
    <m/>
    <m/>
    <m/>
    <m/>
    <m/>
    <m/>
    <m/>
    <n v="0"/>
    <n v="0"/>
    <n v="0"/>
    <n v="12"/>
    <n v="12"/>
    <m/>
    <m/>
    <n v="0"/>
    <n v="229.61"/>
    <m/>
    <x v="32"/>
    <m/>
    <m/>
    <m/>
    <m/>
  </r>
  <r>
    <x v="1"/>
    <x v="4"/>
    <s v="7871/1"/>
    <x v="269"/>
    <s v="ایم عمران پاکستان مارکیٹ"/>
    <s v="PP"/>
    <n v="15"/>
    <s v="6.5"/>
    <s v="PP"/>
    <n v="500"/>
    <m/>
    <n v="5"/>
    <n v="301.64999999999998"/>
    <n v="7.5"/>
    <m/>
    <m/>
    <n v="294.14999999999998"/>
    <s v="511.95999999999992"/>
    <n v="20"/>
    <m/>
    <m/>
    <n v="20"/>
    <n v="0.33333333333333331"/>
    <m/>
    <m/>
    <m/>
    <m/>
    <m/>
    <m/>
    <m/>
    <m/>
    <n v="0"/>
    <n v="0"/>
    <n v="0.33333333333333331"/>
    <n v="11.666666666666666"/>
    <n v="12"/>
    <m/>
    <m/>
    <n v="0"/>
    <n v="306.64999999999998"/>
    <m/>
    <x v="32"/>
    <m/>
    <m/>
    <m/>
    <m/>
  </r>
  <r>
    <x v="1"/>
    <x v="4"/>
    <s v="7870/1"/>
    <x v="269"/>
    <s v="ریفلیکٹ پیک لاہور"/>
    <s v="PP"/>
    <n v="15"/>
    <s v="5.5-6"/>
    <s v="PP"/>
    <n v="3000"/>
    <m/>
    <n v="1"/>
    <n v="37.64"/>
    <n v="1.5"/>
    <m/>
    <m/>
    <n v="36.14"/>
    <s v="5393.2400000000007"/>
    <n v="20"/>
    <m/>
    <m/>
    <n v="20"/>
    <n v="0.33333333333333331"/>
    <m/>
    <m/>
    <m/>
    <m/>
    <m/>
    <m/>
    <m/>
    <m/>
    <n v="0"/>
    <n v="0"/>
    <n v="0.33333333333333331"/>
    <n v="11.666666666666666"/>
    <n v="12"/>
    <m/>
    <m/>
    <n v="0"/>
    <n v="42.64"/>
    <m/>
    <x v="32"/>
    <m/>
    <m/>
    <m/>
    <m/>
  </r>
  <r>
    <x v="1"/>
    <x v="4"/>
    <s v="7871/2"/>
    <x v="269"/>
    <s v="ایم عمران پاکستان مارکیٹ"/>
    <s v="PP"/>
    <n v="13"/>
    <s v="6.5"/>
    <s v="PP"/>
    <n v="300"/>
    <m/>
    <n v="6"/>
    <n v="313.24"/>
    <n v="7.8000000000000007"/>
    <m/>
    <m/>
    <n v="305.44"/>
    <s v="305.44"/>
    <n v="20"/>
    <m/>
    <m/>
    <n v="20"/>
    <n v="0.33333333333333331"/>
    <m/>
    <m/>
    <m/>
    <m/>
    <m/>
    <m/>
    <m/>
    <m/>
    <n v="0"/>
    <n v="0"/>
    <n v="0.33333333333333331"/>
    <n v="11.666666666666666"/>
    <n v="12"/>
    <m/>
    <m/>
    <n v="0"/>
    <n v="318.24"/>
    <m/>
    <x v="32"/>
    <m/>
    <m/>
    <m/>
    <m/>
  </r>
  <r>
    <x v="0"/>
    <x v="1"/>
    <s v="4/20"/>
    <x v="270"/>
    <s v="سٹاک"/>
    <s v="PP"/>
    <n v="4"/>
    <s v="5-5.5"/>
    <s v="PP"/>
    <n v="2000"/>
    <m/>
    <n v="7"/>
    <n v="132.71"/>
    <n v="2.8000000000000003"/>
    <n v="17"/>
    <m/>
    <n v="129.91"/>
    <s v="2364.3999999999996"/>
    <n v="20"/>
    <m/>
    <m/>
    <n v="20"/>
    <n v="0.33333333333333331"/>
    <m/>
    <m/>
    <m/>
    <m/>
    <m/>
    <m/>
    <m/>
    <m/>
    <n v="0"/>
    <n v="0"/>
    <n v="0.33333333333333331"/>
    <n v="11.666666666666666"/>
    <n v="12"/>
    <m/>
    <m/>
    <n v="0"/>
    <n v="137.71"/>
    <m/>
    <x v="32"/>
    <m/>
    <m/>
    <m/>
    <m/>
  </r>
  <r>
    <x v="0"/>
    <x v="1"/>
    <s v="7854/2"/>
    <x v="270"/>
    <s v="عثمان امین لاہور"/>
    <s v="PP"/>
    <n v="6"/>
    <s v="5-5.5"/>
    <s v="PP"/>
    <n v="4500"/>
    <m/>
    <n v="3"/>
    <n v="48.88"/>
    <n v="1.7999999999999998"/>
    <m/>
    <m/>
    <n v="47.080000000000005"/>
    <s v="2548.2199999999998"/>
    <m/>
    <m/>
    <m/>
    <n v="0"/>
    <n v="0"/>
    <m/>
    <m/>
    <m/>
    <m/>
    <m/>
    <m/>
    <m/>
    <m/>
    <n v="0"/>
    <n v="0"/>
    <n v="0"/>
    <n v="12"/>
    <n v="12"/>
    <m/>
    <m/>
    <n v="0"/>
    <n v="53.88"/>
    <m/>
    <x v="32"/>
    <m/>
    <m/>
    <m/>
    <m/>
  </r>
  <r>
    <x v="1"/>
    <x v="1"/>
    <s v="7854/2"/>
    <x v="270"/>
    <s v="عثمان امین لاہور"/>
    <s v="PP"/>
    <n v="6"/>
    <s v="5-5.5"/>
    <s v="PP"/>
    <n v="4500"/>
    <m/>
    <n v="10"/>
    <n v="237.4"/>
    <n v="6"/>
    <n v="4"/>
    <m/>
    <n v="231.4"/>
    <s v="2548.2199999999998"/>
    <m/>
    <m/>
    <m/>
    <n v="0"/>
    <n v="0"/>
    <m/>
    <m/>
    <m/>
    <m/>
    <m/>
    <m/>
    <m/>
    <m/>
    <n v="0"/>
    <n v="0"/>
    <n v="0"/>
    <n v="12"/>
    <n v="12"/>
    <m/>
    <m/>
    <n v="0"/>
    <n v="242.4"/>
    <m/>
    <x v="32"/>
    <m/>
    <m/>
    <m/>
    <m/>
  </r>
  <r>
    <x v="0"/>
    <x v="3"/>
    <s v="8459 J"/>
    <x v="270"/>
    <s v="J M Trading Kamoki"/>
    <s v="PP"/>
    <n v="18"/>
    <s v="4-4.5"/>
    <s v="PP"/>
    <n v="100"/>
    <m/>
    <n v="2"/>
    <n v="98.289999999999992"/>
    <n v="3.8"/>
    <m/>
    <m/>
    <n v="94.49"/>
    <s v="142.35"/>
    <n v="20"/>
    <m/>
    <m/>
    <n v="20"/>
    <n v="0.33333333333333331"/>
    <m/>
    <m/>
    <m/>
    <m/>
    <m/>
    <m/>
    <m/>
    <m/>
    <n v="0"/>
    <n v="0"/>
    <n v="0.33333333333333331"/>
    <n v="11.666666666666666"/>
    <n v="12"/>
    <m/>
    <m/>
    <n v="0"/>
    <n v="103.29"/>
    <m/>
    <x v="32"/>
    <m/>
    <m/>
    <m/>
    <m/>
  </r>
  <r>
    <x v="0"/>
    <x v="3"/>
    <s v="7846/10"/>
    <x v="270"/>
    <s v="العمر پلاسٹک گوجرانوالہ"/>
    <s v="PP"/>
    <n v="18"/>
    <s v="8"/>
    <s v="PP"/>
    <n v="250"/>
    <m/>
    <n v="4"/>
    <n v="262.65999999999997"/>
    <n v="8.2000000000000011"/>
    <m/>
    <m/>
    <n v="254.45999999999998"/>
    <s v="254.45999999999998"/>
    <m/>
    <m/>
    <m/>
    <n v="0"/>
    <n v="0"/>
    <m/>
    <m/>
    <m/>
    <m/>
    <m/>
    <m/>
    <m/>
    <m/>
    <n v="0"/>
    <n v="0"/>
    <n v="0"/>
    <n v="12"/>
    <n v="12"/>
    <m/>
    <m/>
    <n v="0"/>
    <n v="267.65999999999997"/>
    <m/>
    <x v="32"/>
    <m/>
    <m/>
    <m/>
    <m/>
  </r>
  <r>
    <x v="0"/>
    <x v="3"/>
    <s v="8398 J"/>
    <x v="270"/>
    <s v="Usman Arif Butt Gujranwala"/>
    <s v="PP"/>
    <n v="16"/>
    <s v="4.5-5"/>
    <s v="PP"/>
    <n v="525"/>
    <m/>
    <n v="2"/>
    <n v="100.62"/>
    <n v="4"/>
    <m/>
    <m/>
    <n v="96.62"/>
    <s v="1047.1100000000001"/>
    <m/>
    <m/>
    <m/>
    <n v="0"/>
    <n v="0"/>
    <m/>
    <m/>
    <m/>
    <m/>
    <m/>
    <m/>
    <m/>
    <m/>
    <n v="0"/>
    <n v="0"/>
    <n v="0"/>
    <n v="12"/>
    <n v="12"/>
    <m/>
    <m/>
    <n v="0"/>
    <n v="105.62"/>
    <m/>
    <x v="32"/>
    <m/>
    <m/>
    <m/>
    <m/>
  </r>
  <r>
    <x v="0"/>
    <x v="3"/>
    <s v="7864/7"/>
    <x v="270"/>
    <s v="سلیمان پلاسٹک جھنگ"/>
    <s v="PP"/>
    <n v="18"/>
    <s v="4.5"/>
    <s v="PP"/>
    <n v="100"/>
    <m/>
    <n v="3"/>
    <n v="166.79"/>
    <n v="6"/>
    <m/>
    <m/>
    <n v="160.79"/>
    <s v="414.53"/>
    <m/>
    <m/>
    <m/>
    <n v="0"/>
    <n v="0"/>
    <m/>
    <m/>
    <m/>
    <m/>
    <m/>
    <m/>
    <m/>
    <m/>
    <n v="0"/>
    <n v="0"/>
    <n v="0"/>
    <n v="12"/>
    <n v="12"/>
    <m/>
    <m/>
    <n v="0"/>
    <n v="171.79"/>
    <m/>
    <x v="32"/>
    <m/>
    <m/>
    <m/>
    <m/>
  </r>
  <r>
    <x v="0"/>
    <x v="3"/>
    <s v="7846/6"/>
    <x v="270"/>
    <s v="العمر پلاسٹک گوجرانوالہ"/>
    <s v="PP"/>
    <n v="18"/>
    <s v="10"/>
    <s v="PP"/>
    <n v="100"/>
    <m/>
    <n v="2"/>
    <n v="114.25"/>
    <n v="4.0999999999999996"/>
    <m/>
    <m/>
    <n v="110.15"/>
    <s v="110.15"/>
    <m/>
    <m/>
    <m/>
    <n v="0"/>
    <n v="0"/>
    <m/>
    <m/>
    <m/>
    <m/>
    <m/>
    <m/>
    <m/>
    <m/>
    <n v="0"/>
    <n v="0"/>
    <n v="0"/>
    <n v="12"/>
    <n v="12"/>
    <m/>
    <m/>
    <n v="0"/>
    <n v="119.25"/>
    <m/>
    <x v="32"/>
    <m/>
    <m/>
    <m/>
    <m/>
  </r>
  <r>
    <x v="1"/>
    <x v="3"/>
    <s v="8398 J"/>
    <x v="270"/>
    <s v="Usman Arif Butt Gujranwala"/>
    <s v="PP"/>
    <n v="16"/>
    <s v="4.5-5"/>
    <s v="PP"/>
    <n v="525"/>
    <m/>
    <n v="11"/>
    <n v="551.31000000000006"/>
    <n v="22"/>
    <m/>
    <m/>
    <n v="529.31000000000006"/>
    <s v="1047.1100000000001"/>
    <m/>
    <m/>
    <m/>
    <n v="0"/>
    <n v="0"/>
    <m/>
    <m/>
    <m/>
    <m/>
    <m/>
    <m/>
    <m/>
    <m/>
    <n v="0"/>
    <n v="0"/>
    <n v="0"/>
    <n v="12"/>
    <n v="12"/>
    <m/>
    <m/>
    <n v="0"/>
    <n v="556.31000000000006"/>
    <m/>
    <x v="32"/>
    <m/>
    <m/>
    <m/>
    <m/>
  </r>
  <r>
    <x v="0"/>
    <x v="4"/>
    <s v="7870/1"/>
    <x v="270"/>
    <s v="ریفلیکٹ پیک لاہور"/>
    <s v="PP"/>
    <n v="15"/>
    <s v="5.5-6"/>
    <s v="PP"/>
    <n v="3000"/>
    <m/>
    <n v="9"/>
    <n v="624.46"/>
    <n v="15.299999999999999"/>
    <m/>
    <m/>
    <n v="609.16000000000008"/>
    <s v="5393.2400000000007"/>
    <m/>
    <m/>
    <m/>
    <n v="0"/>
    <n v="0"/>
    <m/>
    <m/>
    <m/>
    <m/>
    <m/>
    <m/>
    <m/>
    <m/>
    <n v="0"/>
    <n v="0"/>
    <n v="0"/>
    <n v="12"/>
    <n v="12"/>
    <m/>
    <m/>
    <n v="0"/>
    <n v="629.46"/>
    <m/>
    <x v="32"/>
    <m/>
    <m/>
    <m/>
    <m/>
  </r>
  <r>
    <x v="1"/>
    <x v="4"/>
    <s v="7870/1"/>
    <x v="270"/>
    <s v="ریفلیکٹ پیک لاہور"/>
    <s v="PP"/>
    <n v="15"/>
    <s v="5.5-6"/>
    <s v="PP"/>
    <n v="3000"/>
    <m/>
    <n v="11"/>
    <n v="637.4"/>
    <n v="18.7"/>
    <m/>
    <m/>
    <n v="618.69999999999993"/>
    <s v="5393.2400000000007"/>
    <m/>
    <m/>
    <m/>
    <n v="0"/>
    <n v="0"/>
    <m/>
    <m/>
    <m/>
    <m/>
    <m/>
    <m/>
    <m/>
    <m/>
    <n v="0"/>
    <n v="0"/>
    <n v="0"/>
    <n v="12"/>
    <n v="12"/>
    <m/>
    <m/>
    <n v="0"/>
    <n v="642.4"/>
    <m/>
    <x v="32"/>
    <m/>
    <m/>
    <m/>
    <m/>
  </r>
  <r>
    <x v="0"/>
    <x v="1"/>
    <s v="7854/2"/>
    <x v="271"/>
    <s v="عثمان امین لاہور"/>
    <s v="PP"/>
    <n v="6"/>
    <s v="5-5.5"/>
    <s v="PP"/>
    <n v="4500"/>
    <m/>
    <n v="10"/>
    <n v="236.37"/>
    <n v="6"/>
    <m/>
    <m/>
    <n v="230.37"/>
    <s v="2548.2199999999998"/>
    <m/>
    <m/>
    <m/>
    <n v="0"/>
    <n v="0"/>
    <m/>
    <m/>
    <m/>
    <m/>
    <m/>
    <m/>
    <m/>
    <m/>
    <n v="0"/>
    <n v="0"/>
    <n v="0"/>
    <n v="12"/>
    <n v="12"/>
    <m/>
    <m/>
    <n v="0"/>
    <n v="241.37"/>
    <m/>
    <x v="32"/>
    <m/>
    <m/>
    <m/>
    <m/>
  </r>
  <r>
    <x v="1"/>
    <x v="1"/>
    <s v="7854/2"/>
    <x v="271"/>
    <s v="عثمان امین لاہور"/>
    <s v="PP"/>
    <n v="6"/>
    <s v="5-5.5"/>
    <s v="PP"/>
    <n v="4500"/>
    <m/>
    <n v="10"/>
    <n v="233.82999999999998"/>
    <n v="6"/>
    <m/>
    <m/>
    <n v="227.82999999999998"/>
    <s v="2548.2199999999998"/>
    <m/>
    <m/>
    <m/>
    <n v="0"/>
    <n v="0"/>
    <m/>
    <m/>
    <m/>
    <m/>
    <m/>
    <m/>
    <m/>
    <m/>
    <n v="0"/>
    <n v="0"/>
    <n v="0"/>
    <n v="12"/>
    <n v="12"/>
    <m/>
    <m/>
    <n v="0"/>
    <n v="238.83"/>
    <m/>
    <x v="32"/>
    <m/>
    <m/>
    <m/>
    <m/>
  </r>
  <r>
    <x v="0"/>
    <x v="3"/>
    <s v="8398 J"/>
    <x v="271"/>
    <s v="Usman Arif Butt Gujranwala"/>
    <s v="PP"/>
    <n v="16"/>
    <s v="4.5-5"/>
    <s v="PP"/>
    <n v="525"/>
    <m/>
    <n v="8"/>
    <n v="436.38000000000005"/>
    <n v="15.2"/>
    <n v="52"/>
    <m/>
    <n v="421.18000000000006"/>
    <s v="1047.1100000000001"/>
    <n v="35"/>
    <m/>
    <m/>
    <n v="35"/>
    <n v="0.58333333333333337"/>
    <m/>
    <m/>
    <m/>
    <m/>
    <m/>
    <m/>
    <m/>
    <m/>
    <n v="0"/>
    <n v="0"/>
    <n v="0.58333333333333337"/>
    <n v="11.416666666666666"/>
    <n v="12"/>
    <m/>
    <m/>
    <n v="0"/>
    <n v="441.38000000000005"/>
    <m/>
    <x v="32"/>
    <m/>
    <m/>
    <m/>
    <m/>
  </r>
  <r>
    <x v="0"/>
    <x v="3"/>
    <s v="8558 J"/>
    <x v="271"/>
    <s v="Carrefour Pakistan Ltd"/>
    <s v="PP"/>
    <s v="30&quot; شیٹ"/>
    <s v="4.5-5/9-10"/>
    <s v="PP"/>
    <n v="200"/>
    <m/>
    <n v="3"/>
    <n v="75.83"/>
    <n v="7.1999999999999993"/>
    <m/>
    <m/>
    <n v="68.63"/>
    <s v="211.35"/>
    <m/>
    <m/>
    <m/>
    <n v="0"/>
    <n v="0"/>
    <m/>
    <m/>
    <m/>
    <m/>
    <m/>
    <m/>
    <m/>
    <m/>
    <n v="0"/>
    <n v="0"/>
    <n v="0"/>
    <n v="12"/>
    <n v="12"/>
    <m/>
    <m/>
    <n v="0"/>
    <n v="80.83"/>
    <m/>
    <x v="32"/>
    <m/>
    <m/>
    <m/>
    <m/>
  </r>
  <r>
    <x v="1"/>
    <x v="3"/>
    <s v="8558 J"/>
    <x v="271"/>
    <s v="Carrefour Pakistan Ltd"/>
    <s v="PP"/>
    <s v="30&quot; شیٹ"/>
    <s v="4.5-5/9-10"/>
    <s v="PP"/>
    <n v="200"/>
    <m/>
    <n v="3"/>
    <n v="149.91999999999999"/>
    <n v="7.1999999999999993"/>
    <n v="72"/>
    <m/>
    <n v="142.72"/>
    <s v="211.35"/>
    <n v="30"/>
    <m/>
    <m/>
    <n v="30"/>
    <n v="0.5"/>
    <m/>
    <m/>
    <m/>
    <m/>
    <m/>
    <m/>
    <m/>
    <m/>
    <n v="0"/>
    <n v="0"/>
    <n v="0.5"/>
    <n v="11.5"/>
    <n v="12"/>
    <m/>
    <m/>
    <n v="0"/>
    <n v="154.91999999999999"/>
    <m/>
    <x v="32"/>
    <m/>
    <m/>
    <m/>
    <m/>
  </r>
  <r>
    <x v="1"/>
    <x v="3"/>
    <s v="8562 J"/>
    <x v="271"/>
    <s v="Jilani Poly Stock"/>
    <s v="PP"/>
    <n v="22"/>
    <s v="5-5.5"/>
    <s v="PP"/>
    <n v="1000"/>
    <m/>
    <n v="9"/>
    <n v="579.66999999999996"/>
    <n v="18"/>
    <m/>
    <m/>
    <n v="561.66999999999996"/>
    <s v="1077.72"/>
    <m/>
    <m/>
    <m/>
    <n v="0"/>
    <n v="0"/>
    <m/>
    <m/>
    <m/>
    <m/>
    <m/>
    <m/>
    <m/>
    <m/>
    <n v="0"/>
    <n v="0"/>
    <n v="0"/>
    <n v="12"/>
    <n v="12"/>
    <m/>
    <m/>
    <n v="0"/>
    <n v="584.66999999999996"/>
    <m/>
    <x v="32"/>
    <m/>
    <m/>
    <m/>
    <m/>
  </r>
  <r>
    <x v="0"/>
    <x v="4"/>
    <s v="7870/1"/>
    <x v="271"/>
    <s v="ریفلیکٹ پیک لاہور"/>
    <s v="PP"/>
    <n v="15"/>
    <s v="5.5-6"/>
    <s v="PP"/>
    <n v="3000"/>
    <m/>
    <n v="6"/>
    <n v="369.67"/>
    <n v="10.199999999999999"/>
    <m/>
    <m/>
    <n v="359.47"/>
    <s v="5393.2400000000007"/>
    <n v="25"/>
    <m/>
    <m/>
    <n v="25"/>
    <n v="0.41666666666666674"/>
    <m/>
    <m/>
    <m/>
    <m/>
    <m/>
    <m/>
    <n v="60"/>
    <m/>
    <n v="60"/>
    <n v="1"/>
    <n v="1.4166666666666667"/>
    <n v="10.583333333333334"/>
    <n v="12"/>
    <m/>
    <m/>
    <n v="0"/>
    <n v="374.67"/>
    <m/>
    <x v="32"/>
    <m/>
    <m/>
    <m/>
    <m/>
  </r>
  <r>
    <x v="0"/>
    <x v="4"/>
    <s v="7878/1"/>
    <x v="271"/>
    <s v="ریفلیکٹ پیک لاہور"/>
    <s v="PP"/>
    <n v="17"/>
    <s v="5.5-6"/>
    <s v="PP"/>
    <n v="5000"/>
    <m/>
    <n v="2"/>
    <n v="136.76"/>
    <n v="3.7"/>
    <m/>
    <m/>
    <n v="133.06"/>
    <s v="5089.380000000001"/>
    <m/>
    <m/>
    <m/>
    <n v="0"/>
    <n v="0"/>
    <m/>
    <m/>
    <m/>
    <m/>
    <m/>
    <m/>
    <m/>
    <m/>
    <n v="0"/>
    <n v="0"/>
    <n v="0"/>
    <n v="12"/>
    <n v="12"/>
    <m/>
    <m/>
    <n v="0"/>
    <n v="141.76"/>
    <m/>
    <x v="32"/>
    <m/>
    <m/>
    <m/>
    <m/>
  </r>
  <r>
    <x v="1"/>
    <x v="4"/>
    <s v="7878/1"/>
    <x v="271"/>
    <s v="ریفلیکٹ پیک لاہور"/>
    <s v="PP"/>
    <n v="17"/>
    <s v="5.5-6"/>
    <s v="PP"/>
    <n v="5000"/>
    <m/>
    <n v="9"/>
    <n v="605.47"/>
    <n v="17.099999999999998"/>
    <m/>
    <m/>
    <n v="588.37"/>
    <s v="5089.380000000001"/>
    <m/>
    <m/>
    <m/>
    <n v="0"/>
    <n v="0"/>
    <m/>
    <m/>
    <m/>
    <m/>
    <m/>
    <m/>
    <m/>
    <m/>
    <n v="0"/>
    <n v="0"/>
    <n v="0"/>
    <n v="12"/>
    <n v="12"/>
    <m/>
    <m/>
    <n v="0"/>
    <n v="610.47"/>
    <m/>
    <x v="32"/>
    <m/>
    <m/>
    <m/>
    <m/>
  </r>
  <r>
    <x v="0"/>
    <x v="1"/>
    <s v="7854/2"/>
    <x v="272"/>
    <s v="عثمان امین لاہور"/>
    <s v="PP"/>
    <n v="6"/>
    <s v="5-5.5"/>
    <s v="PP"/>
    <n v="4500"/>
    <m/>
    <n v="14"/>
    <n v="234.79"/>
    <n v="8.4"/>
    <m/>
    <m/>
    <n v="226.39"/>
    <s v="2548.2199999999998"/>
    <m/>
    <m/>
    <m/>
    <n v="0"/>
    <n v="0"/>
    <m/>
    <m/>
    <m/>
    <m/>
    <m/>
    <m/>
    <m/>
    <m/>
    <n v="0"/>
    <n v="0"/>
    <n v="0"/>
    <n v="12"/>
    <n v="12"/>
    <m/>
    <m/>
    <n v="0"/>
    <n v="239.79"/>
    <m/>
    <x v="32"/>
    <m/>
    <m/>
    <m/>
    <m/>
  </r>
  <r>
    <x v="1"/>
    <x v="1"/>
    <s v="7854/2"/>
    <x v="272"/>
    <s v="عثمان امین لاہور"/>
    <s v="PP"/>
    <n v="6"/>
    <s v="5-5.5"/>
    <s v="PP"/>
    <n v="4500"/>
    <m/>
    <n v="9"/>
    <n v="194.51"/>
    <n v="5.3999999999999995"/>
    <m/>
    <m/>
    <n v="189.10999999999999"/>
    <s v="2548.2199999999998"/>
    <m/>
    <m/>
    <m/>
    <n v="0"/>
    <n v="0"/>
    <m/>
    <m/>
    <m/>
    <m/>
    <m/>
    <m/>
    <m/>
    <m/>
    <n v="0"/>
    <n v="0"/>
    <n v="0"/>
    <n v="12"/>
    <n v="12"/>
    <m/>
    <m/>
    <n v="0"/>
    <n v="199.51"/>
    <m/>
    <x v="32"/>
    <m/>
    <m/>
    <m/>
    <m/>
  </r>
  <r>
    <x v="0"/>
    <x v="3"/>
    <s v="8562 J"/>
    <x v="272"/>
    <s v="Jilani Poly Stock"/>
    <s v="PP"/>
    <n v="22"/>
    <s v="5-5.5"/>
    <s v="PP"/>
    <n v="1000"/>
    <m/>
    <n v="9"/>
    <n v="535.85"/>
    <n v="19.8"/>
    <n v="20"/>
    <m/>
    <n v="516.05000000000007"/>
    <s v="1077.72"/>
    <m/>
    <m/>
    <m/>
    <n v="0"/>
    <n v="0"/>
    <m/>
    <m/>
    <m/>
    <m/>
    <m/>
    <m/>
    <m/>
    <m/>
    <n v="0"/>
    <n v="0"/>
    <n v="0"/>
    <n v="12"/>
    <n v="12"/>
    <m/>
    <m/>
    <n v="0"/>
    <n v="540.85"/>
    <m/>
    <x v="32"/>
    <m/>
    <m/>
    <m/>
    <m/>
  </r>
  <r>
    <x v="0"/>
    <x v="3"/>
    <s v="7883/1"/>
    <x v="272"/>
    <s v="محبوب مقبول گوجرانوالہ"/>
    <s v="PP"/>
    <n v="22"/>
    <s v="8"/>
    <s v="PP"/>
    <n v="500"/>
    <m/>
    <n v="4"/>
    <n v="261.41999999999996"/>
    <n v="11.6"/>
    <m/>
    <m/>
    <n v="249.81999999999996"/>
    <s v="557.14"/>
    <m/>
    <m/>
    <m/>
    <n v="0"/>
    <n v="0"/>
    <m/>
    <m/>
    <m/>
    <m/>
    <m/>
    <m/>
    <m/>
    <m/>
    <n v="0"/>
    <n v="0"/>
    <n v="0"/>
    <n v="12"/>
    <n v="12"/>
    <m/>
    <m/>
    <n v="0"/>
    <n v="266.41999999999996"/>
    <m/>
    <x v="32"/>
    <m/>
    <m/>
    <m/>
    <m/>
  </r>
  <r>
    <x v="1"/>
    <x v="3"/>
    <s v="7883/1"/>
    <x v="272"/>
    <s v="محبوب مقبول گوجرانوالہ"/>
    <s v="PP"/>
    <n v="22"/>
    <s v="8"/>
    <s v="PP"/>
    <n v="500"/>
    <m/>
    <n v="5"/>
    <n v="321.82"/>
    <n v="14.5"/>
    <n v="25"/>
    <m/>
    <n v="307.32"/>
    <s v="557.14"/>
    <n v="30"/>
    <m/>
    <m/>
    <n v="30"/>
    <n v="0.5"/>
    <m/>
    <m/>
    <m/>
    <m/>
    <m/>
    <m/>
    <m/>
    <m/>
    <n v="0"/>
    <n v="0"/>
    <n v="0.5"/>
    <n v="11.5"/>
    <n v="12"/>
    <m/>
    <m/>
    <n v="0"/>
    <n v="326.82"/>
    <m/>
    <x v="32"/>
    <m/>
    <m/>
    <m/>
    <m/>
  </r>
  <r>
    <x v="1"/>
    <x v="3"/>
    <s v="7883/2"/>
    <x v="272"/>
    <s v="محبوب مقبول گوجرانوالہ"/>
    <s v="PP"/>
    <n v="20"/>
    <s v="8"/>
    <s v="PP"/>
    <n v="500"/>
    <m/>
    <n v="7"/>
    <n v="466.08000000000004"/>
    <n v="11.9"/>
    <m/>
    <m/>
    <n v="454.18000000000006"/>
    <s v="505.62000000000006"/>
    <m/>
    <m/>
    <m/>
    <n v="0"/>
    <n v="0"/>
    <m/>
    <m/>
    <m/>
    <m/>
    <m/>
    <m/>
    <m/>
    <m/>
    <n v="0"/>
    <n v="0"/>
    <n v="0"/>
    <n v="12"/>
    <n v="12"/>
    <m/>
    <m/>
    <n v="0"/>
    <n v="471.08"/>
    <m/>
    <x v="32"/>
    <m/>
    <m/>
    <m/>
    <m/>
  </r>
  <r>
    <x v="0"/>
    <x v="4"/>
    <s v="7878/1"/>
    <x v="272"/>
    <s v="ریفلیکٹ پیک لاہور"/>
    <s v="PP"/>
    <n v="17"/>
    <s v="5.5-6"/>
    <s v="PP"/>
    <n v="5000"/>
    <m/>
    <n v="7"/>
    <n v="441.34000000000003"/>
    <n v="13.299999999999999"/>
    <m/>
    <m/>
    <n v="428.04"/>
    <s v="5089.380000000001"/>
    <m/>
    <m/>
    <m/>
    <n v="0"/>
    <n v="0"/>
    <m/>
    <m/>
    <m/>
    <m/>
    <m/>
    <m/>
    <m/>
    <m/>
    <n v="0"/>
    <n v="0"/>
    <n v="0"/>
    <n v="12"/>
    <n v="12"/>
    <m/>
    <m/>
    <n v="0"/>
    <n v="446.34"/>
    <m/>
    <x v="32"/>
    <m/>
    <m/>
    <m/>
    <m/>
  </r>
  <r>
    <x v="1"/>
    <x v="4"/>
    <s v="7878/1"/>
    <x v="272"/>
    <s v="ریفلیکٹ پیک لاہور"/>
    <s v="PP"/>
    <n v="17"/>
    <s v="5.5-6"/>
    <s v="PP"/>
    <n v="5000"/>
    <m/>
    <n v="10"/>
    <n v="653.52"/>
    <n v="19"/>
    <m/>
    <m/>
    <n v="634.52"/>
    <s v="5089.380000000001"/>
    <m/>
    <m/>
    <m/>
    <n v="0"/>
    <n v="0"/>
    <m/>
    <m/>
    <m/>
    <m/>
    <m/>
    <m/>
    <m/>
    <m/>
    <n v="0"/>
    <n v="0"/>
    <n v="0"/>
    <n v="12"/>
    <n v="12"/>
    <m/>
    <m/>
    <n v="0"/>
    <n v="658.52"/>
    <m/>
    <x v="32"/>
    <m/>
    <m/>
    <m/>
    <m/>
  </r>
  <r>
    <x v="0"/>
    <x v="1"/>
    <s v="7854/2"/>
    <x v="273"/>
    <s v="عثمان امین لاہور"/>
    <s v="PP"/>
    <n v="6"/>
    <s v="5-5.5"/>
    <s v="PP"/>
    <n v="4500"/>
    <m/>
    <n v="9"/>
    <n v="221.26000000000002"/>
    <n v="5.3999999999999995"/>
    <n v="27"/>
    <m/>
    <n v="215.86"/>
    <s v="2548.2199999999998"/>
    <m/>
    <m/>
    <m/>
    <n v="0"/>
    <n v="0"/>
    <m/>
    <m/>
    <m/>
    <m/>
    <m/>
    <m/>
    <n v="25"/>
    <m/>
    <n v="25"/>
    <n v="0.41666666666666674"/>
    <n v="0.41666666666666674"/>
    <n v="11.583333333333334"/>
    <n v="12"/>
    <m/>
    <m/>
    <n v="0"/>
    <n v="226.26"/>
    <m/>
    <x v="32"/>
    <m/>
    <m/>
    <m/>
    <m/>
  </r>
  <r>
    <x v="1"/>
    <x v="1"/>
    <s v="7854/2"/>
    <x v="273"/>
    <s v="عثمان امین لاہور"/>
    <s v="PP"/>
    <n v="6"/>
    <s v="5-5.5"/>
    <s v="PP"/>
    <n v="4500"/>
    <m/>
    <n v="11"/>
    <n v="231.07000000000002"/>
    <n v="6.6"/>
    <n v="6"/>
    <m/>
    <n v="224.47000000000003"/>
    <s v="2548.2199999999998"/>
    <m/>
    <m/>
    <m/>
    <n v="0"/>
    <n v="0"/>
    <m/>
    <m/>
    <m/>
    <m/>
    <m/>
    <m/>
    <m/>
    <m/>
    <n v="0"/>
    <n v="0"/>
    <n v="0"/>
    <n v="12"/>
    <n v="12"/>
    <m/>
    <m/>
    <n v="0"/>
    <n v="236.07"/>
    <m/>
    <x v="32"/>
    <m/>
    <m/>
    <m/>
    <m/>
  </r>
  <r>
    <x v="0"/>
    <x v="3"/>
    <s v="7883/2"/>
    <x v="273"/>
    <s v="محبوب مقبول گوجرانوالہ"/>
    <s v="PP"/>
    <n v="20"/>
    <s v="8"/>
    <s v="PP"/>
    <n v="500"/>
    <m/>
    <n v="1"/>
    <n v="53.44"/>
    <n v="2"/>
    <m/>
    <m/>
    <n v="51.44"/>
    <s v="505.62000000000006"/>
    <n v="25"/>
    <m/>
    <m/>
    <n v="25"/>
    <n v="0.41666666666666674"/>
    <m/>
    <m/>
    <m/>
    <m/>
    <m/>
    <m/>
    <m/>
    <m/>
    <n v="0"/>
    <n v="0"/>
    <n v="0.41666666666666674"/>
    <n v="11.583333333333334"/>
    <n v="12"/>
    <m/>
    <m/>
    <n v="0"/>
    <n v="58.44"/>
    <m/>
    <x v="32"/>
    <m/>
    <m/>
    <m/>
    <m/>
  </r>
  <r>
    <x v="0"/>
    <x v="3"/>
    <s v="8501 J"/>
    <x v="273"/>
    <s v="Royal Broke Lahore"/>
    <s v="PP"/>
    <n v="20"/>
    <s v="8-8.5"/>
    <s v="PP"/>
    <n v="150"/>
    <m/>
    <n v="3"/>
    <n v="160.47999999999999"/>
    <n v="6"/>
    <m/>
    <m/>
    <n v="154.47999999999999"/>
    <s v="154.47999999999999"/>
    <m/>
    <m/>
    <m/>
    <n v="0"/>
    <n v="0"/>
    <m/>
    <m/>
    <m/>
    <m/>
    <m/>
    <m/>
    <m/>
    <m/>
    <n v="0"/>
    <n v="0"/>
    <n v="0"/>
    <n v="12"/>
    <n v="12"/>
    <m/>
    <m/>
    <n v="0"/>
    <n v="165.48"/>
    <m/>
    <x v="32"/>
    <m/>
    <m/>
    <m/>
    <m/>
  </r>
  <r>
    <x v="0"/>
    <x v="3"/>
    <s v="8505 J"/>
    <x v="273"/>
    <s v="Royal Broke Lahore"/>
    <s v="PP"/>
    <n v="20"/>
    <s v="8-8.5"/>
    <s v="PP"/>
    <n v="150"/>
    <m/>
    <n v="3"/>
    <n v="152.76"/>
    <n v="6"/>
    <m/>
    <m/>
    <n v="146.76"/>
    <s v="146.76"/>
    <m/>
    <m/>
    <m/>
    <n v="0"/>
    <n v="0"/>
    <m/>
    <m/>
    <m/>
    <m/>
    <m/>
    <m/>
    <m/>
    <m/>
    <n v="0"/>
    <n v="0"/>
    <n v="0"/>
    <n v="12"/>
    <n v="12"/>
    <m/>
    <m/>
    <n v="0"/>
    <n v="157.76"/>
    <m/>
    <x v="32"/>
    <m/>
    <m/>
    <m/>
    <m/>
  </r>
  <r>
    <x v="0"/>
    <x v="3"/>
    <s v="7878/1"/>
    <x v="273"/>
    <s v="ریفلیکٹ پیک لاہور"/>
    <s v="PP"/>
    <n v="17"/>
    <s v="5.5-6"/>
    <s v="PP"/>
    <n v="5000"/>
    <m/>
    <n v="4"/>
    <n v="244.5"/>
    <n v="6.8"/>
    <m/>
    <m/>
    <n v="237.7"/>
    <s v="5089.380000000001"/>
    <m/>
    <m/>
    <m/>
    <n v="0"/>
    <n v="0"/>
    <m/>
    <m/>
    <m/>
    <m/>
    <m/>
    <m/>
    <m/>
    <m/>
    <n v="0"/>
    <n v="0"/>
    <n v="0"/>
    <n v="12"/>
    <n v="12"/>
    <m/>
    <m/>
    <n v="0"/>
    <n v="249.5"/>
    <m/>
    <x v="32"/>
    <m/>
    <m/>
    <m/>
    <m/>
  </r>
  <r>
    <x v="1"/>
    <x v="3"/>
    <s v="7871/4"/>
    <x v="273"/>
    <s v="ایم عمران پاکستان مارکیٹ"/>
    <s v="PP"/>
    <n v="17"/>
    <s v="6.5"/>
    <s v="PP"/>
    <n v="200"/>
    <m/>
    <n v="5"/>
    <n v="209.04000000000002"/>
    <n v="8.5"/>
    <m/>
    <m/>
    <n v="200.54000000000002"/>
    <s v="200.54000000000002"/>
    <m/>
    <m/>
    <m/>
    <n v="0"/>
    <n v="0"/>
    <m/>
    <m/>
    <m/>
    <m/>
    <m/>
    <m/>
    <m/>
    <m/>
    <n v="0"/>
    <n v="0"/>
    <n v="0"/>
    <n v="12"/>
    <n v="12"/>
    <m/>
    <m/>
    <n v="0"/>
    <n v="214.04"/>
    <m/>
    <x v="32"/>
    <m/>
    <m/>
    <m/>
    <m/>
  </r>
  <r>
    <x v="1"/>
    <x v="3"/>
    <s v="7878/1"/>
    <x v="273"/>
    <s v="ریفلیکٹ پیک لاہور"/>
    <s v="PP"/>
    <n v="17"/>
    <s v="5.5-6"/>
    <s v="PP"/>
    <n v="5000"/>
    <m/>
    <n v="5"/>
    <n v="323.74"/>
    <n v="8.5"/>
    <m/>
    <m/>
    <n v="315.24"/>
    <s v="5089.380000000001"/>
    <m/>
    <m/>
    <m/>
    <n v="0"/>
    <n v="0"/>
    <m/>
    <m/>
    <m/>
    <m/>
    <m/>
    <m/>
    <m/>
    <m/>
    <n v="0"/>
    <n v="0"/>
    <n v="0"/>
    <n v="12"/>
    <n v="12"/>
    <m/>
    <m/>
    <n v="0"/>
    <n v="328.74"/>
    <m/>
    <x v="32"/>
    <m/>
    <m/>
    <m/>
    <m/>
  </r>
  <r>
    <x v="0"/>
    <x v="4"/>
    <s v="7878/1"/>
    <x v="273"/>
    <s v="ریفلیکٹ پیک لاہور"/>
    <s v="PP"/>
    <n v="17"/>
    <s v="5.5-6"/>
    <s v="PP"/>
    <n v="5000"/>
    <m/>
    <n v="7"/>
    <n v="435.57000000000005"/>
    <n v="11.9"/>
    <m/>
    <m/>
    <n v="423.67000000000007"/>
    <s v="5089.380000000001"/>
    <n v="20"/>
    <m/>
    <m/>
    <n v="20"/>
    <n v="0.33333333333333331"/>
    <m/>
    <m/>
    <m/>
    <m/>
    <m/>
    <m/>
    <m/>
    <m/>
    <n v="0"/>
    <n v="0"/>
    <n v="0.33333333333333331"/>
    <n v="11.666666666666666"/>
    <n v="12"/>
    <m/>
    <m/>
    <n v="0"/>
    <n v="440.57000000000011"/>
    <m/>
    <x v="32"/>
    <m/>
    <m/>
    <m/>
    <m/>
  </r>
  <r>
    <x v="0"/>
    <x v="4"/>
    <s v="7854/1"/>
    <x v="273"/>
    <s v="عثمان امین لاہور"/>
    <s v="PP"/>
    <n v="7"/>
    <s v="5-5.5"/>
    <s v="PP"/>
    <n v="4500"/>
    <m/>
    <n v="1"/>
    <n v="40"/>
    <n v="0.7"/>
    <m/>
    <m/>
    <n v="39.299999999999997"/>
    <s v="1957.7199999999998"/>
    <m/>
    <m/>
    <m/>
    <n v="0"/>
    <n v="0"/>
    <m/>
    <m/>
    <m/>
    <m/>
    <m/>
    <m/>
    <m/>
    <m/>
    <n v="0"/>
    <n v="0"/>
    <n v="0"/>
    <n v="12"/>
    <n v="12"/>
    <m/>
    <m/>
    <n v="0"/>
    <n v="45"/>
    <m/>
    <x v="32"/>
    <m/>
    <m/>
    <m/>
    <m/>
  </r>
  <r>
    <x v="1"/>
    <x v="4"/>
    <s v="7841/1"/>
    <x v="273"/>
    <s v="طاہر پلاسٹک جھنگ"/>
    <s v="PP"/>
    <n v="7"/>
    <s v="4.5"/>
    <s v="PP"/>
    <n v="100"/>
    <m/>
    <n v="6"/>
    <n v="228.32000000000002"/>
    <n v="4.1999999999999993"/>
    <m/>
    <m/>
    <n v="224.12000000000003"/>
    <s v="224.12000000000003"/>
    <m/>
    <m/>
    <m/>
    <n v="0"/>
    <n v="0"/>
    <m/>
    <m/>
    <m/>
    <m/>
    <m/>
    <m/>
    <m/>
    <m/>
    <n v="0"/>
    <n v="0"/>
    <n v="0"/>
    <n v="12"/>
    <n v="12"/>
    <m/>
    <m/>
    <n v="0"/>
    <n v="233.32"/>
    <m/>
    <x v="32"/>
    <m/>
    <m/>
    <m/>
    <m/>
  </r>
  <r>
    <x v="1"/>
    <x v="4"/>
    <s v="7854/1"/>
    <x v="273"/>
    <s v="عثمان امین لاہور"/>
    <s v="PP"/>
    <n v="7"/>
    <s v="5-5.5"/>
    <s v="PP"/>
    <n v="4500"/>
    <m/>
    <n v="2"/>
    <n v="81.78"/>
    <n v="1.6"/>
    <m/>
    <m/>
    <n v="80.180000000000007"/>
    <s v="1957.7199999999998"/>
    <m/>
    <m/>
    <m/>
    <n v="0"/>
    <n v="0"/>
    <m/>
    <m/>
    <m/>
    <m/>
    <m/>
    <m/>
    <m/>
    <m/>
    <n v="0"/>
    <n v="0"/>
    <n v="0"/>
    <n v="12"/>
    <n v="12"/>
    <m/>
    <m/>
    <n v="0"/>
    <n v="86.78"/>
    <m/>
    <x v="32"/>
    <m/>
    <m/>
    <m/>
    <m/>
  </r>
  <r>
    <x v="0"/>
    <x v="1"/>
    <s v="7854/2"/>
    <x v="274"/>
    <s v="عثمان امین لاہور"/>
    <s v="PP"/>
    <n v="6"/>
    <s v="5-5.5"/>
    <s v="PP"/>
    <n v="4500"/>
    <m/>
    <n v="8"/>
    <n v="207.56"/>
    <n v="4.8"/>
    <m/>
    <m/>
    <n v="202.76"/>
    <s v="2548.2199999999998"/>
    <m/>
    <m/>
    <m/>
    <n v="0"/>
    <n v="0"/>
    <m/>
    <m/>
    <m/>
    <m/>
    <m/>
    <m/>
    <m/>
    <m/>
    <n v="0"/>
    <n v="0"/>
    <n v="0"/>
    <n v="12"/>
    <n v="12"/>
    <m/>
    <m/>
    <n v="0"/>
    <n v="212.56"/>
    <m/>
    <x v="33"/>
    <m/>
    <m/>
    <m/>
    <m/>
  </r>
  <r>
    <x v="1"/>
    <x v="1"/>
    <s v="7854/2"/>
    <x v="274"/>
    <s v="عثمان امین لاہور"/>
    <s v="PP"/>
    <n v="6"/>
    <s v="5-5.5"/>
    <s v="PP"/>
    <n v="4500"/>
    <m/>
    <n v="8"/>
    <n v="215.46"/>
    <n v="4.8"/>
    <m/>
    <m/>
    <n v="210.66"/>
    <s v="2548.2199999999998"/>
    <m/>
    <m/>
    <m/>
    <n v="0"/>
    <n v="0"/>
    <m/>
    <m/>
    <m/>
    <m/>
    <m/>
    <m/>
    <m/>
    <m/>
    <n v="0"/>
    <n v="0"/>
    <n v="0"/>
    <n v="12"/>
    <n v="12"/>
    <m/>
    <m/>
    <n v="0"/>
    <n v="220.46"/>
    <m/>
    <x v="33"/>
    <m/>
    <m/>
    <m/>
    <m/>
  </r>
  <r>
    <x v="0"/>
    <x v="3"/>
    <s v="7878/1"/>
    <x v="274"/>
    <s v="ریفلیکٹ پیک لاہور"/>
    <s v="PP"/>
    <n v="17"/>
    <s v="5.5-6"/>
    <s v="PP"/>
    <n v="5000"/>
    <m/>
    <n v="8"/>
    <n v="511.94000000000005"/>
    <n v="15.2"/>
    <m/>
    <m/>
    <n v="496.74000000000007"/>
    <s v="5089.380000000001"/>
    <m/>
    <m/>
    <m/>
    <n v="0"/>
    <n v="0"/>
    <m/>
    <m/>
    <m/>
    <m/>
    <m/>
    <m/>
    <m/>
    <m/>
    <n v="0"/>
    <n v="0"/>
    <n v="0"/>
    <n v="12"/>
    <n v="12"/>
    <m/>
    <m/>
    <n v="0"/>
    <n v="516.94000000000005"/>
    <m/>
    <x v="33"/>
    <m/>
    <m/>
    <m/>
    <m/>
  </r>
  <r>
    <x v="1"/>
    <x v="3"/>
    <s v="7878/1"/>
    <x v="274"/>
    <s v="ریفلیکٹ پیک لاہور"/>
    <s v="PP"/>
    <n v="17"/>
    <s v="5.5-6"/>
    <s v="PP"/>
    <n v="5000"/>
    <m/>
    <n v="9"/>
    <n v="542.4799999999999"/>
    <n v="17.099999999999998"/>
    <m/>
    <m/>
    <n v="525.37999999999988"/>
    <s v="5089.380000000001"/>
    <m/>
    <m/>
    <m/>
    <n v="0"/>
    <n v="0"/>
    <m/>
    <m/>
    <m/>
    <m/>
    <m/>
    <m/>
    <m/>
    <m/>
    <n v="0"/>
    <n v="0"/>
    <n v="0"/>
    <n v="12"/>
    <n v="12"/>
    <m/>
    <m/>
    <n v="0"/>
    <n v="547.4799999999999"/>
    <m/>
    <x v="33"/>
    <m/>
    <m/>
    <m/>
    <m/>
  </r>
  <r>
    <x v="0"/>
    <x v="4"/>
    <s v="7854/1"/>
    <x v="274"/>
    <s v="عثمان امین لاہور"/>
    <s v="PP"/>
    <n v="7"/>
    <s v="5-5.5"/>
    <s v="PP"/>
    <n v="4500"/>
    <m/>
    <n v="8"/>
    <n v="288.77999999999997"/>
    <n v="5.6"/>
    <m/>
    <m/>
    <n v="283.17999999999995"/>
    <s v="1957.7199999999998"/>
    <m/>
    <m/>
    <m/>
    <n v="0"/>
    <n v="0"/>
    <m/>
    <m/>
    <m/>
    <m/>
    <m/>
    <m/>
    <m/>
    <m/>
    <n v="0"/>
    <n v="0"/>
    <n v="0"/>
    <n v="12"/>
    <n v="12"/>
    <m/>
    <m/>
    <n v="0"/>
    <n v="293.77999999999997"/>
    <m/>
    <x v="33"/>
    <m/>
    <m/>
    <m/>
    <m/>
  </r>
  <r>
    <x v="1"/>
    <x v="4"/>
    <s v="7854/1"/>
    <x v="274"/>
    <s v="عثمان امین لاہور"/>
    <s v="PP"/>
    <n v="7"/>
    <s v="5-5.5"/>
    <s v="PP"/>
    <n v="4500"/>
    <m/>
    <n v="8"/>
    <n v="309.76"/>
    <n v="5.6"/>
    <m/>
    <m/>
    <n v="304.15999999999997"/>
    <s v="1957.7199999999998"/>
    <m/>
    <m/>
    <m/>
    <n v="0"/>
    <n v="0"/>
    <m/>
    <m/>
    <m/>
    <m/>
    <m/>
    <m/>
    <m/>
    <m/>
    <n v="0"/>
    <n v="0"/>
    <n v="0"/>
    <n v="12"/>
    <n v="12"/>
    <m/>
    <m/>
    <n v="0"/>
    <n v="314.76"/>
    <m/>
    <x v="33"/>
    <m/>
    <m/>
    <m/>
    <m/>
  </r>
  <r>
    <x v="0"/>
    <x v="1"/>
    <s v="7854/2"/>
    <x v="275"/>
    <s v="عثمان امین لاہور"/>
    <s v="PP"/>
    <n v="6"/>
    <s v="5-5.5"/>
    <s v="PP"/>
    <n v="4500"/>
    <m/>
    <n v="7"/>
    <n v="179.20999999999998"/>
    <n v="4.2"/>
    <n v="3"/>
    <m/>
    <n v="175.01"/>
    <s v="2548.2199999999998"/>
    <m/>
    <m/>
    <m/>
    <n v="0"/>
    <n v="0"/>
    <m/>
    <m/>
    <m/>
    <m/>
    <m/>
    <m/>
    <m/>
    <m/>
    <n v="0"/>
    <n v="0"/>
    <n v="0"/>
    <n v="12"/>
    <n v="12"/>
    <m/>
    <m/>
    <n v="0"/>
    <n v="184.21"/>
    <m/>
    <x v="33"/>
    <m/>
    <m/>
    <m/>
    <m/>
  </r>
  <r>
    <x v="1"/>
    <x v="1"/>
    <s v="7854/2"/>
    <x v="275"/>
    <s v="عثمان امین لاہور"/>
    <s v="PP"/>
    <n v="6"/>
    <s v="5-5.5"/>
    <s v="PP"/>
    <n v="4500"/>
    <m/>
    <n v="8"/>
    <n v="203.63"/>
    <n v="4.8"/>
    <n v="5"/>
    <m/>
    <n v="198.82999999999998"/>
    <s v="2548.2199999999998"/>
    <m/>
    <m/>
    <m/>
    <n v="0"/>
    <n v="0"/>
    <m/>
    <m/>
    <m/>
    <m/>
    <m/>
    <m/>
    <m/>
    <m/>
    <n v="0"/>
    <n v="0"/>
    <n v="0"/>
    <n v="12"/>
    <n v="12"/>
    <m/>
    <m/>
    <n v="0"/>
    <n v="208.63"/>
    <m/>
    <x v="33"/>
    <m/>
    <m/>
    <m/>
    <m/>
  </r>
  <r>
    <x v="0"/>
    <x v="3"/>
    <s v="7878/1"/>
    <x v="275"/>
    <s v="ریفلیکٹ پیک لاہور"/>
    <s v="PP"/>
    <n v="17"/>
    <s v="5.5-6"/>
    <s v="PP"/>
    <n v="5000"/>
    <m/>
    <n v="8"/>
    <n v="516.68000000000006"/>
    <n v="15.2"/>
    <m/>
    <m/>
    <n v="501.48000000000008"/>
    <s v="5089.380000000001"/>
    <m/>
    <m/>
    <m/>
    <n v="0"/>
    <n v="0"/>
    <m/>
    <m/>
    <m/>
    <m/>
    <m/>
    <m/>
    <m/>
    <m/>
    <n v="0"/>
    <n v="0"/>
    <n v="0"/>
    <n v="12"/>
    <n v="12"/>
    <m/>
    <m/>
    <n v="0"/>
    <n v="521.68000000000006"/>
    <m/>
    <x v="33"/>
    <m/>
    <m/>
    <m/>
    <m/>
  </r>
  <r>
    <x v="1"/>
    <x v="3"/>
    <s v="7878/1"/>
    <x v="275"/>
    <s v="ریفلیکٹ پیک لاہور"/>
    <s v="PP"/>
    <n v="17"/>
    <s v="5.5-6"/>
    <s v="PP"/>
    <n v="5000"/>
    <m/>
    <n v="8"/>
    <n v="512.22"/>
    <n v="15.2"/>
    <m/>
    <m/>
    <n v="497.02000000000004"/>
    <s v="5089.380000000001"/>
    <m/>
    <m/>
    <m/>
    <n v="0"/>
    <n v="0"/>
    <m/>
    <m/>
    <m/>
    <m/>
    <m/>
    <m/>
    <m/>
    <m/>
    <n v="0"/>
    <n v="0"/>
    <n v="0"/>
    <n v="12"/>
    <n v="12"/>
    <m/>
    <m/>
    <n v="0"/>
    <n v="517.22"/>
    <m/>
    <x v="33"/>
    <m/>
    <m/>
    <m/>
    <m/>
  </r>
  <r>
    <x v="0"/>
    <x v="4"/>
    <s v="7854/1"/>
    <x v="275"/>
    <s v="عثمان امین لاہور"/>
    <s v="PP"/>
    <n v="7"/>
    <s v="5-5.5"/>
    <s v="PP"/>
    <n v="4500"/>
    <m/>
    <n v="6"/>
    <n v="211.22000000000003"/>
    <n v="4.1999999999999993"/>
    <m/>
    <m/>
    <n v="207.02000000000004"/>
    <s v="1957.7199999999998"/>
    <m/>
    <m/>
    <m/>
    <n v="0"/>
    <n v="0"/>
    <m/>
    <m/>
    <m/>
    <m/>
    <m/>
    <m/>
    <m/>
    <m/>
    <n v="0"/>
    <n v="0"/>
    <n v="0"/>
    <n v="12"/>
    <n v="12"/>
    <m/>
    <m/>
    <n v="0"/>
    <n v="216.22000000000003"/>
    <m/>
    <x v="33"/>
    <m/>
    <m/>
    <m/>
    <m/>
  </r>
  <r>
    <x v="1"/>
    <x v="4"/>
    <s v="7854/1"/>
    <x v="275"/>
    <s v="عثمان امین لاہور"/>
    <s v="PP"/>
    <n v="7"/>
    <s v="5-5.5"/>
    <s v="PP"/>
    <n v="4500"/>
    <m/>
    <n v="7"/>
    <n v="264.66000000000003"/>
    <n v="4.8999999999999995"/>
    <m/>
    <m/>
    <n v="259.76000000000005"/>
    <s v="1957.7199999999998"/>
    <m/>
    <m/>
    <m/>
    <n v="0"/>
    <n v="0"/>
    <m/>
    <m/>
    <m/>
    <m/>
    <m/>
    <m/>
    <m/>
    <m/>
    <n v="0"/>
    <n v="0"/>
    <n v="0"/>
    <n v="12"/>
    <n v="12"/>
    <m/>
    <m/>
    <n v="0"/>
    <n v="269.66000000000003"/>
    <m/>
    <x v="33"/>
    <m/>
    <m/>
    <m/>
    <m/>
  </r>
  <r>
    <x v="0"/>
    <x v="1"/>
    <s v="8411 J"/>
    <x v="276"/>
    <s v="Ibtsam Traders Sheikhupura"/>
    <s v="PP"/>
    <n v="6"/>
    <s v="7.5-8"/>
    <s v="PP"/>
    <n v="100"/>
    <m/>
    <n v="4"/>
    <n v="103.05000000000001"/>
    <n v="2.4"/>
    <m/>
    <m/>
    <n v="100.65"/>
    <s v="100.65"/>
    <m/>
    <m/>
    <m/>
    <n v="0"/>
    <n v="0"/>
    <m/>
    <m/>
    <m/>
    <m/>
    <m/>
    <m/>
    <m/>
    <m/>
    <n v="0"/>
    <n v="0"/>
    <n v="0"/>
    <n v="12"/>
    <n v="12"/>
    <m/>
    <m/>
    <n v="0"/>
    <n v="108.05"/>
    <m/>
    <x v="33"/>
    <m/>
    <m/>
    <m/>
    <m/>
  </r>
  <r>
    <x v="0"/>
    <x v="1"/>
    <s v="6/1"/>
    <x v="276"/>
    <s v="سٹاک"/>
    <s v="PP"/>
    <n v="6"/>
    <n v="5"/>
    <s v="PP"/>
    <n v="400"/>
    <m/>
    <n v="5"/>
    <n v="111.56"/>
    <n v="3"/>
    <n v="33"/>
    <m/>
    <n v="108.56"/>
    <s v="374.04"/>
    <m/>
    <m/>
    <m/>
    <n v="0"/>
    <n v="0"/>
    <m/>
    <m/>
    <m/>
    <m/>
    <m/>
    <m/>
    <n v="30"/>
    <m/>
    <n v="30"/>
    <n v="0.5"/>
    <n v="0.5"/>
    <n v="11.5"/>
    <n v="12"/>
    <m/>
    <m/>
    <n v="0"/>
    <n v="116.56"/>
    <m/>
    <x v="33"/>
    <m/>
    <m/>
    <m/>
    <m/>
  </r>
  <r>
    <x v="1"/>
    <x v="1"/>
    <s v="7854/2"/>
    <x v="276"/>
    <s v="عثمان امین لاہور"/>
    <s v="PP"/>
    <n v="6"/>
    <s v="5-5.5"/>
    <s v="PP"/>
    <n v="4500"/>
    <m/>
    <n v="8"/>
    <n v="173.25"/>
    <n v="4.8"/>
    <n v="22"/>
    <m/>
    <n v="168.45"/>
    <s v="2548.2199999999998"/>
    <m/>
    <m/>
    <m/>
    <n v="0"/>
    <n v="0"/>
    <m/>
    <m/>
    <n v="60"/>
    <m/>
    <m/>
    <m/>
    <m/>
    <m/>
    <n v="60"/>
    <n v="1"/>
    <n v="1"/>
    <n v="11"/>
    <n v="12"/>
    <m/>
    <m/>
    <n v="0"/>
    <n v="178.25"/>
    <m/>
    <x v="33"/>
    <m/>
    <m/>
    <m/>
    <m/>
  </r>
  <r>
    <x v="0"/>
    <x v="3"/>
    <s v="7878/1"/>
    <x v="276"/>
    <s v="ریفلیکٹ پیک لاہور"/>
    <s v="PP"/>
    <n v="17"/>
    <s v="5.5-6"/>
    <s v="PP"/>
    <n v="5000"/>
    <m/>
    <n v="5"/>
    <n v="316.66000000000003"/>
    <n v="8.5"/>
    <m/>
    <m/>
    <n v="308.16000000000003"/>
    <s v="5089.380000000001"/>
    <m/>
    <m/>
    <m/>
    <n v="0"/>
    <n v="0"/>
    <m/>
    <m/>
    <m/>
    <m/>
    <m/>
    <m/>
    <m/>
    <m/>
    <n v="0"/>
    <n v="0"/>
    <n v="0"/>
    <n v="12"/>
    <n v="12"/>
    <m/>
    <m/>
    <n v="0"/>
    <n v="321.66000000000003"/>
    <m/>
    <x v="33"/>
    <m/>
    <m/>
    <m/>
    <m/>
  </r>
  <r>
    <x v="0"/>
    <x v="3"/>
    <s v="8580 J"/>
    <x v="276"/>
    <s v="Super Uniform Shope LHR"/>
    <s v="PP"/>
    <n v="14"/>
    <s v="7-7.5"/>
    <s v="PP"/>
    <n v="100"/>
    <m/>
    <n v="1"/>
    <n v="40.4"/>
    <n v="1.4"/>
    <m/>
    <m/>
    <n v="39"/>
    <s v="103.22"/>
    <m/>
    <m/>
    <m/>
    <n v="0"/>
    <n v="0"/>
    <m/>
    <m/>
    <m/>
    <m/>
    <m/>
    <m/>
    <m/>
    <m/>
    <n v="0"/>
    <n v="0"/>
    <n v="0"/>
    <n v="12"/>
    <n v="12"/>
    <m/>
    <m/>
    <n v="0"/>
    <n v="45.4"/>
    <m/>
    <x v="33"/>
    <m/>
    <m/>
    <m/>
    <m/>
  </r>
  <r>
    <x v="0"/>
    <x v="3"/>
    <s v="7857/2"/>
    <x v="276"/>
    <s v="پنجاب Pوہاڑی"/>
    <s v="PP"/>
    <n v="17"/>
    <s v="7"/>
    <s v="PP"/>
    <n v="25"/>
    <m/>
    <n v="2"/>
    <n v="113.6"/>
    <n v="3.4"/>
    <m/>
    <m/>
    <n v="110.19999999999999"/>
    <s v="110.19999999999999"/>
    <m/>
    <m/>
    <m/>
    <n v="0"/>
    <n v="0"/>
    <m/>
    <m/>
    <m/>
    <m/>
    <m/>
    <m/>
    <m/>
    <m/>
    <n v="0"/>
    <n v="0"/>
    <n v="0"/>
    <n v="12"/>
    <n v="12"/>
    <m/>
    <m/>
    <n v="0"/>
    <n v="118.6"/>
    <m/>
    <x v="33"/>
    <m/>
    <m/>
    <m/>
    <m/>
  </r>
  <r>
    <x v="0"/>
    <x v="3"/>
    <s v="7863/1"/>
    <x v="276"/>
    <s v="امیر حمزہ ملتان"/>
    <s v="PP"/>
    <n v="17"/>
    <s v="5"/>
    <s v="PP"/>
    <n v="1000"/>
    <m/>
    <n v="2"/>
    <n v="98.32"/>
    <n v="3.4"/>
    <m/>
    <m/>
    <n v="94.919999999999987"/>
    <s v="1240.72"/>
    <n v="30"/>
    <m/>
    <m/>
    <n v="30"/>
    <n v="0.5"/>
    <m/>
    <m/>
    <m/>
    <m/>
    <m/>
    <m/>
    <m/>
    <m/>
    <n v="0"/>
    <n v="0"/>
    <n v="0.5"/>
    <n v="11.5"/>
    <n v="12"/>
    <m/>
    <m/>
    <n v="0"/>
    <n v="103.32"/>
    <m/>
    <x v="33"/>
    <m/>
    <m/>
    <m/>
    <m/>
  </r>
  <r>
    <x v="1"/>
    <x v="3"/>
    <s v="8580 J"/>
    <x v="276"/>
    <s v="Super Uniform Shope LHR"/>
    <s v="PP"/>
    <n v="14"/>
    <s v="7-7.5"/>
    <s v="PP"/>
    <n v="100"/>
    <m/>
    <n v="2"/>
    <n v="67.02"/>
    <n v="2.8"/>
    <m/>
    <m/>
    <n v="64.22"/>
    <s v="103.22"/>
    <n v="20"/>
    <m/>
    <m/>
    <n v="20"/>
    <n v="0.33333333333333331"/>
    <m/>
    <m/>
    <m/>
    <m/>
    <m/>
    <m/>
    <m/>
    <m/>
    <n v="0"/>
    <n v="0"/>
    <n v="0.33333333333333331"/>
    <n v="11.666666666666666"/>
    <n v="12"/>
    <m/>
    <m/>
    <n v="0"/>
    <n v="72.02"/>
    <m/>
    <x v="33"/>
    <m/>
    <m/>
    <m/>
    <m/>
  </r>
  <r>
    <x v="1"/>
    <x v="3"/>
    <s v="8610 J"/>
    <x v="276"/>
    <s v="Emarat Plastic Thokar Niaz Baig"/>
    <s v="PP"/>
    <n v="24"/>
    <s v="5-5.5"/>
    <s v="PP"/>
    <n v="200"/>
    <m/>
    <n v="4"/>
    <n v="224.28"/>
    <n v="11.6"/>
    <m/>
    <m/>
    <n v="212.68"/>
    <s v="212.68"/>
    <m/>
    <m/>
    <m/>
    <n v="0"/>
    <n v="0"/>
    <m/>
    <m/>
    <m/>
    <m/>
    <m/>
    <m/>
    <m/>
    <m/>
    <n v="0"/>
    <n v="0"/>
    <n v="0"/>
    <n v="12"/>
    <n v="12"/>
    <m/>
    <m/>
    <n v="0"/>
    <n v="229.28"/>
    <m/>
    <x v="33"/>
    <m/>
    <m/>
    <m/>
    <m/>
  </r>
  <r>
    <x v="1"/>
    <x v="3"/>
    <s v="8503 J"/>
    <x v="276"/>
    <s v="Royal Broke Lahore"/>
    <s v="PP"/>
    <n v="24"/>
    <s v="8-8.5"/>
    <s v="PP"/>
    <n v="100"/>
    <m/>
    <n v="2"/>
    <n v="114.78"/>
    <n v="5.8"/>
    <m/>
    <m/>
    <n v="108.98"/>
    <s v="108.98"/>
    <m/>
    <m/>
    <m/>
    <n v="0"/>
    <n v="0"/>
    <m/>
    <m/>
    <m/>
    <m/>
    <m/>
    <m/>
    <m/>
    <m/>
    <n v="0"/>
    <n v="0"/>
    <n v="0"/>
    <n v="12"/>
    <n v="12"/>
    <m/>
    <m/>
    <n v="0"/>
    <n v="119.78"/>
    <m/>
    <x v="33"/>
    <m/>
    <m/>
    <m/>
    <m/>
  </r>
  <r>
    <x v="1"/>
    <x v="3"/>
    <s v="8507 J"/>
    <x v="276"/>
    <s v="Royal Broke Lahore"/>
    <s v="PP"/>
    <n v="24"/>
    <s v="8-8.5"/>
    <s v="PP"/>
    <n v="100"/>
    <m/>
    <n v="2"/>
    <n v="115.34"/>
    <n v="5.8"/>
    <m/>
    <m/>
    <n v="109.54"/>
    <s v="109.54"/>
    <m/>
    <m/>
    <m/>
    <n v="0"/>
    <n v="0"/>
    <m/>
    <m/>
    <m/>
    <m/>
    <m/>
    <m/>
    <m/>
    <m/>
    <n v="0"/>
    <n v="0"/>
    <n v="0"/>
    <n v="12"/>
    <n v="12"/>
    <m/>
    <m/>
    <n v="0"/>
    <n v="120.34"/>
    <m/>
    <x v="33"/>
    <m/>
    <m/>
    <m/>
    <m/>
  </r>
  <r>
    <x v="0"/>
    <x v="4"/>
    <s v="7854/1"/>
    <x v="276"/>
    <s v="عثمان امین لاہور"/>
    <s v="PP"/>
    <n v="7"/>
    <s v="5-5.5"/>
    <s v="PP"/>
    <n v="4500"/>
    <m/>
    <n v="6"/>
    <n v="213.82"/>
    <n v="4.1999999999999993"/>
    <m/>
    <m/>
    <n v="209.62"/>
    <s v="1957.7199999999998"/>
    <m/>
    <m/>
    <m/>
    <n v="0"/>
    <n v="0"/>
    <m/>
    <m/>
    <m/>
    <m/>
    <m/>
    <m/>
    <m/>
    <n v="180"/>
    <n v="180"/>
    <n v="3"/>
    <n v="3"/>
    <n v="9"/>
    <n v="12"/>
    <m/>
    <m/>
    <n v="0"/>
    <n v="218.82"/>
    <m/>
    <x v="33"/>
    <m/>
    <m/>
    <m/>
    <m/>
  </r>
  <r>
    <x v="1"/>
    <x v="4"/>
    <s v="8550 J"/>
    <x v="276"/>
    <s v="Ibtsam Traders Sheikhupura"/>
    <s v="PP"/>
    <n v="7"/>
    <s v="7.5-8"/>
    <s v="PP"/>
    <n v="100"/>
    <m/>
    <n v="3"/>
    <n v="99.399999999999991"/>
    <n v="2.7"/>
    <m/>
    <m/>
    <n v="96.699999999999989"/>
    <s v="96.699999999999989"/>
    <n v="15"/>
    <m/>
    <m/>
    <n v="15"/>
    <n v="0.25"/>
    <m/>
    <m/>
    <m/>
    <m/>
    <m/>
    <m/>
    <m/>
    <n v="150"/>
    <n v="150"/>
    <n v="2.5"/>
    <n v="2.75"/>
    <n v="9.25"/>
    <n v="12"/>
    <m/>
    <m/>
    <n v="0"/>
    <n v="104.4"/>
    <m/>
    <x v="33"/>
    <m/>
    <m/>
    <m/>
    <m/>
  </r>
  <r>
    <x v="1"/>
    <x v="4"/>
    <s v="7864/4"/>
    <x v="276"/>
    <s v="سلیمان پلاسٹک جھنگ"/>
    <s v="PP"/>
    <n v="8"/>
    <s v="4.5"/>
    <s v="PP"/>
    <n v="100"/>
    <m/>
    <n v="1"/>
    <n v="25.16"/>
    <n v="0.7"/>
    <m/>
    <m/>
    <n v="24.46"/>
    <s v="103.38"/>
    <m/>
    <m/>
    <m/>
    <n v="0"/>
    <n v="0"/>
    <m/>
    <m/>
    <m/>
    <m/>
    <m/>
    <m/>
    <m/>
    <m/>
    <n v="0"/>
    <n v="0"/>
    <n v="0"/>
    <n v="12"/>
    <n v="12"/>
    <m/>
    <m/>
    <n v="0"/>
    <n v="30.16"/>
    <m/>
    <x v="33"/>
    <m/>
    <m/>
    <m/>
    <m/>
  </r>
  <r>
    <x v="1"/>
    <x v="4"/>
    <s v="8412 J"/>
    <x v="276"/>
    <s v="Ibtsam Traders Sheikhupura"/>
    <s v="PP"/>
    <n v="8"/>
    <s v="7.5-8"/>
    <s v="PP"/>
    <n v="100"/>
    <m/>
    <n v="3"/>
    <n v="104.80000000000001"/>
    <n v="3"/>
    <m/>
    <m/>
    <n v="101.80000000000001"/>
    <s v="101.80000000000001"/>
    <m/>
    <m/>
    <m/>
    <n v="0"/>
    <n v="0"/>
    <m/>
    <m/>
    <m/>
    <m/>
    <m/>
    <m/>
    <m/>
    <m/>
    <n v="0"/>
    <n v="0"/>
    <n v="0"/>
    <n v="12"/>
    <n v="12"/>
    <m/>
    <m/>
    <n v="0"/>
    <n v="109.8"/>
    <m/>
    <x v="33"/>
    <m/>
    <m/>
    <m/>
    <m/>
  </r>
  <r>
    <x v="0"/>
    <x v="1"/>
    <s v="6/1"/>
    <x v="277"/>
    <s v="سٹاک"/>
    <s v="PP"/>
    <n v="6"/>
    <n v="5"/>
    <s v="PP"/>
    <n v="400"/>
    <m/>
    <n v="7"/>
    <n v="175.82"/>
    <n v="4.2"/>
    <m/>
    <m/>
    <n v="171.62"/>
    <s v="374.04"/>
    <m/>
    <m/>
    <m/>
    <n v="0"/>
    <n v="0"/>
    <m/>
    <m/>
    <m/>
    <m/>
    <m/>
    <m/>
    <m/>
    <m/>
    <n v="0"/>
    <n v="0"/>
    <n v="0"/>
    <n v="12"/>
    <n v="12"/>
    <m/>
    <m/>
    <n v="0"/>
    <n v="180.82"/>
    <m/>
    <x v="33"/>
    <m/>
    <m/>
    <m/>
    <m/>
  </r>
  <r>
    <x v="0"/>
    <x v="1"/>
    <s v="7864/1"/>
    <x v="277"/>
    <s v="سلیمان پلاسٹک جھنگ"/>
    <s v="PP"/>
    <n v="6"/>
    <s v="4.5"/>
    <s v="PP"/>
    <n v="100"/>
    <m/>
    <n v="2"/>
    <n v="39.42"/>
    <n v="1.2"/>
    <m/>
    <m/>
    <n v="38.22"/>
    <s v="131.59"/>
    <m/>
    <m/>
    <m/>
    <n v="0"/>
    <n v="0"/>
    <m/>
    <m/>
    <m/>
    <m/>
    <m/>
    <m/>
    <m/>
    <m/>
    <n v="0"/>
    <n v="0"/>
    <n v="0"/>
    <n v="12"/>
    <n v="12"/>
    <m/>
    <m/>
    <n v="0"/>
    <n v="44.42"/>
    <m/>
    <x v="33"/>
    <m/>
    <m/>
    <m/>
    <m/>
  </r>
  <r>
    <x v="1"/>
    <x v="1"/>
    <s v="7864/1"/>
    <x v="277"/>
    <s v="سلیمان پلاسٹک جھنگ"/>
    <s v="PP"/>
    <n v="6"/>
    <s v="4.5"/>
    <s v="PP"/>
    <n v="100"/>
    <m/>
    <n v="4"/>
    <n v="95.77000000000001"/>
    <n v="2.4"/>
    <m/>
    <m/>
    <n v="93.37"/>
    <s v="131.59"/>
    <n v="25"/>
    <m/>
    <m/>
    <n v="25"/>
    <n v="0.41666666666666674"/>
    <m/>
    <m/>
    <n v="35"/>
    <m/>
    <m/>
    <m/>
    <m/>
    <m/>
    <n v="35"/>
    <n v="0.58333333333333337"/>
    <n v="1"/>
    <n v="11"/>
    <n v="12"/>
    <m/>
    <m/>
    <n v="0"/>
    <n v="100.77"/>
    <m/>
    <x v="33"/>
    <m/>
    <m/>
    <m/>
    <m/>
  </r>
  <r>
    <x v="1"/>
    <x v="1"/>
    <s v="7838/3"/>
    <x v="277"/>
    <s v="نواب جیلانی لیٰہ"/>
    <s v="PP"/>
    <n v="3.5"/>
    <s v="5"/>
    <s v="PP"/>
    <n v="75"/>
    <m/>
    <n v="3"/>
    <n v="42.97"/>
    <n v="1.0499999999999998"/>
    <m/>
    <m/>
    <n v="41.92"/>
    <s v="544.79"/>
    <m/>
    <m/>
    <m/>
    <n v="0"/>
    <n v="0"/>
    <m/>
    <m/>
    <m/>
    <m/>
    <m/>
    <m/>
    <m/>
    <m/>
    <n v="0"/>
    <n v="0"/>
    <n v="0"/>
    <n v="12"/>
    <n v="12"/>
    <m/>
    <m/>
    <n v="0"/>
    <n v="47.97"/>
    <m/>
    <x v="33"/>
    <m/>
    <m/>
    <m/>
    <m/>
  </r>
  <r>
    <x v="0"/>
    <x v="3"/>
    <s v="8607 J"/>
    <x v="277"/>
    <s v="Emarat Plastic Thokar Niaz Baig"/>
    <s v="PP"/>
    <n v="20"/>
    <s v="5-5.5"/>
    <s v="PP"/>
    <n v="400"/>
    <m/>
    <n v="8"/>
    <n v="416.08000000000004"/>
    <n v="16"/>
    <m/>
    <m/>
    <n v="400.08000000000004"/>
    <s v="400.08000000000004"/>
    <m/>
    <m/>
    <m/>
    <n v="0"/>
    <n v="0"/>
    <m/>
    <m/>
    <m/>
    <m/>
    <m/>
    <m/>
    <m/>
    <m/>
    <n v="0"/>
    <n v="0"/>
    <n v="0"/>
    <n v="12"/>
    <n v="12"/>
    <m/>
    <m/>
    <n v="0"/>
    <n v="421.08"/>
    <m/>
    <x v="33"/>
    <m/>
    <m/>
    <m/>
    <m/>
  </r>
  <r>
    <x v="0"/>
    <x v="3"/>
    <s v="8608 J"/>
    <x v="277"/>
    <s v="Emarat Plastic Thokar Niaz Baig"/>
    <s v="PP"/>
    <n v="16"/>
    <s v="5-5.5"/>
    <s v="PP"/>
    <n v="300"/>
    <m/>
    <n v="1"/>
    <n v="45.66"/>
    <n v="1.6"/>
    <n v="2"/>
    <m/>
    <n v="44.059999999999995"/>
    <s v="322.02"/>
    <n v="90"/>
    <m/>
    <m/>
    <n v="90"/>
    <n v="1.5"/>
    <m/>
    <m/>
    <m/>
    <m/>
    <m/>
    <m/>
    <m/>
    <m/>
    <n v="0"/>
    <n v="0"/>
    <n v="1.5"/>
    <n v="10.5"/>
    <n v="12"/>
    <m/>
    <m/>
    <n v="0"/>
    <n v="50.66"/>
    <m/>
    <x v="33"/>
    <m/>
    <m/>
    <m/>
    <m/>
  </r>
  <r>
    <x v="1"/>
    <x v="3"/>
    <s v="8608 J"/>
    <x v="277"/>
    <s v="Emarat Plastic Thokar Niaz Baig"/>
    <s v="PP"/>
    <n v="16"/>
    <s v="5-5.5"/>
    <s v="PP"/>
    <n v="300"/>
    <m/>
    <n v="5"/>
    <n v="284.76"/>
    <n v="6.8"/>
    <n v="2"/>
    <m/>
    <n v="277.95999999999998"/>
    <s v="322.02"/>
    <m/>
    <m/>
    <m/>
    <n v="0"/>
    <n v="0"/>
    <m/>
    <m/>
    <m/>
    <m/>
    <m/>
    <m/>
    <m/>
    <m/>
    <n v="0"/>
    <n v="0"/>
    <n v="0"/>
    <n v="12"/>
    <n v="12"/>
    <m/>
    <m/>
    <n v="0"/>
    <n v="289.76"/>
    <m/>
    <x v="33"/>
    <m/>
    <m/>
    <m/>
    <m/>
  </r>
  <r>
    <x v="1"/>
    <x v="3"/>
    <s v="3216 F"/>
    <x v="277"/>
    <s v="Usman Amin"/>
    <s v="PP"/>
    <n v="16"/>
    <s v="7.5-8"/>
    <s v="PP"/>
    <n v="100"/>
    <m/>
    <n v="3"/>
    <n v="169.38"/>
    <n v="5.6"/>
    <m/>
    <m/>
    <n v="163.78"/>
    <s v="163.78"/>
    <m/>
    <m/>
    <m/>
    <n v="0"/>
    <n v="0"/>
    <m/>
    <m/>
    <m/>
    <m/>
    <m/>
    <m/>
    <m/>
    <m/>
    <n v="0"/>
    <n v="0"/>
    <n v="0"/>
    <n v="12"/>
    <n v="12"/>
    <m/>
    <m/>
    <n v="0"/>
    <n v="174.38"/>
    <m/>
    <x v="33"/>
    <m/>
    <m/>
    <m/>
    <m/>
  </r>
  <r>
    <x v="1"/>
    <x v="3"/>
    <s v="3037 F"/>
    <x v="277"/>
    <s v="Usman Amin"/>
    <s v="PP"/>
    <n v="16.2"/>
    <s v="-"/>
    <s v="PP"/>
    <n v="5000"/>
    <m/>
    <n v="2"/>
    <n v="106.64"/>
    <n v="3.7"/>
    <m/>
    <m/>
    <n v="102.94"/>
    <s v="5046.17"/>
    <m/>
    <m/>
    <m/>
    <n v="0"/>
    <n v="0"/>
    <m/>
    <m/>
    <m/>
    <m/>
    <m/>
    <m/>
    <m/>
    <m/>
    <n v="0"/>
    <n v="0"/>
    <n v="0"/>
    <n v="12"/>
    <n v="12"/>
    <m/>
    <m/>
    <n v="0"/>
    <n v="111.64"/>
    <m/>
    <x v="33"/>
    <m/>
    <m/>
    <m/>
    <m/>
  </r>
  <r>
    <x v="0"/>
    <x v="4"/>
    <s v="7864/4"/>
    <x v="277"/>
    <s v="سلیمان پلاسٹک جھنگ"/>
    <s v="PP"/>
    <n v="8"/>
    <s v="4.5"/>
    <s v="PP"/>
    <n v="100"/>
    <m/>
    <n v="3"/>
    <n v="81.319999999999993"/>
    <n v="2.4000000000000004"/>
    <m/>
    <m/>
    <n v="78.919999999999987"/>
    <s v="103.38"/>
    <n v="30"/>
    <m/>
    <m/>
    <n v="30"/>
    <n v="0.5"/>
    <n v="120"/>
    <m/>
    <m/>
    <m/>
    <m/>
    <m/>
    <m/>
    <m/>
    <n v="120"/>
    <n v="2"/>
    <n v="2.5"/>
    <n v="9.5"/>
    <n v="12"/>
    <m/>
    <m/>
    <n v="0"/>
    <n v="86.32"/>
    <m/>
    <x v="33"/>
    <m/>
    <m/>
    <m/>
    <m/>
  </r>
  <r>
    <x v="0"/>
    <x v="4"/>
    <s v="7863/1"/>
    <x v="277"/>
    <s v="امیر حمزہ ملتان"/>
    <s v="PP"/>
    <n v="17"/>
    <s v="5"/>
    <s v="PP"/>
    <n v="1000"/>
    <m/>
    <n v="6"/>
    <n v="317.96000000000004"/>
    <n v="10.199999999999999"/>
    <n v="23"/>
    <m/>
    <n v="307.76000000000005"/>
    <s v="1240.72"/>
    <m/>
    <m/>
    <m/>
    <n v="0"/>
    <n v="0"/>
    <m/>
    <m/>
    <m/>
    <m/>
    <m/>
    <m/>
    <m/>
    <m/>
    <n v="0"/>
    <n v="0"/>
    <n v="0"/>
    <n v="12"/>
    <n v="12"/>
    <m/>
    <m/>
    <n v="0"/>
    <n v="322.96000000000004"/>
    <m/>
    <x v="33"/>
    <m/>
    <m/>
    <m/>
    <m/>
  </r>
  <r>
    <x v="1"/>
    <x v="4"/>
    <s v="7863/1"/>
    <x v="277"/>
    <s v="امیر حمزہ ملتان"/>
    <s v="PP"/>
    <n v="17"/>
    <s v="5"/>
    <s v="PP"/>
    <n v="1000"/>
    <m/>
    <n v="9"/>
    <n v="570.21999999999991"/>
    <n v="15.299999999999999"/>
    <n v="24"/>
    <m/>
    <n v="554.91999999999996"/>
    <s v="1240.72"/>
    <m/>
    <m/>
    <m/>
    <n v="0"/>
    <n v="0"/>
    <m/>
    <m/>
    <m/>
    <m/>
    <m/>
    <m/>
    <m/>
    <m/>
    <n v="0"/>
    <n v="0"/>
    <n v="0"/>
    <n v="12"/>
    <n v="12"/>
    <m/>
    <m/>
    <n v="0"/>
    <n v="575.21999999999991"/>
    <m/>
    <x v="33"/>
    <m/>
    <m/>
    <m/>
    <m/>
  </r>
  <r>
    <x v="0"/>
    <x v="4"/>
    <s v="7863/1"/>
    <x v="278"/>
    <s v="امیر حمزہ ملتان"/>
    <s v="PP"/>
    <n v="17"/>
    <s v="5"/>
    <s v="PP"/>
    <n v="1000"/>
    <m/>
    <n v="5"/>
    <n v="291.62"/>
    <n v="8.5"/>
    <m/>
    <m/>
    <n v="283.12"/>
    <s v="1240.72"/>
    <m/>
    <m/>
    <m/>
    <n v="0"/>
    <n v="0"/>
    <m/>
    <m/>
    <m/>
    <m/>
    <m/>
    <m/>
    <m/>
    <m/>
    <n v="0"/>
    <n v="0"/>
    <n v="0"/>
    <n v="12"/>
    <n v="12"/>
    <m/>
    <m/>
    <n v="0"/>
    <n v="296.62"/>
    <m/>
    <x v="33"/>
    <m/>
    <m/>
    <m/>
    <m/>
  </r>
  <r>
    <x v="0"/>
    <x v="4"/>
    <s v="3210 F"/>
    <x v="278"/>
    <s v="Usman Amin"/>
    <s v="PP"/>
    <n v="17"/>
    <s v="7.5-8"/>
    <s v="PP"/>
    <n v="370"/>
    <m/>
    <n v="4"/>
    <n v="223.00000000000003"/>
    <n v="6.8"/>
    <n v="47"/>
    <m/>
    <n v="216.20000000000002"/>
    <s v="379.22"/>
    <m/>
    <m/>
    <m/>
    <n v="0"/>
    <n v="0"/>
    <m/>
    <m/>
    <n v="90"/>
    <m/>
    <m/>
    <m/>
    <m/>
    <m/>
    <n v="90"/>
    <n v="1.5"/>
    <n v="1.5"/>
    <n v="10.5"/>
    <n v="12"/>
    <m/>
    <m/>
    <n v="0"/>
    <n v="228.00000000000003"/>
    <m/>
    <x v="33"/>
    <m/>
    <m/>
    <m/>
    <m/>
  </r>
  <r>
    <x v="1"/>
    <x v="4"/>
    <s v="3210 F"/>
    <x v="278"/>
    <s v="Usman Amin"/>
    <s v="PP"/>
    <n v="17"/>
    <s v="7.5-8"/>
    <s v="PP"/>
    <n v="370"/>
    <m/>
    <n v="3"/>
    <n v="168.12"/>
    <n v="5.0999999999999996"/>
    <n v="38"/>
    <m/>
    <n v="163.02000000000001"/>
    <s v="379.22"/>
    <n v="25"/>
    <m/>
    <m/>
    <n v="25"/>
    <n v="0.41666666666666674"/>
    <m/>
    <m/>
    <m/>
    <m/>
    <m/>
    <m/>
    <m/>
    <m/>
    <n v="0"/>
    <n v="0"/>
    <n v="0.41666666666666674"/>
    <n v="11.583333333333334"/>
    <n v="12"/>
    <m/>
    <m/>
    <n v="0"/>
    <n v="173.12"/>
    <m/>
    <x v="33"/>
    <m/>
    <m/>
    <m/>
    <m/>
  </r>
  <r>
    <x v="1"/>
    <x v="4"/>
    <s v="7887/5"/>
    <x v="278"/>
    <s v="نیو پاک جھنگ"/>
    <s v="PP"/>
    <n v="12"/>
    <s v="4.5"/>
    <s v="PP"/>
    <n v="250"/>
    <m/>
    <n v="4"/>
    <n v="174.92000000000002"/>
    <n v="4.8"/>
    <m/>
    <m/>
    <n v="170.12"/>
    <s v="264.76"/>
    <m/>
    <m/>
    <m/>
    <n v="0"/>
    <n v="0"/>
    <m/>
    <m/>
    <m/>
    <m/>
    <m/>
    <m/>
    <m/>
    <m/>
    <n v="0"/>
    <n v="0"/>
    <n v="0"/>
    <n v="12"/>
    <n v="12"/>
    <m/>
    <m/>
    <n v="0"/>
    <n v="179.92000000000002"/>
    <m/>
    <x v="33"/>
    <m/>
    <m/>
    <m/>
    <m/>
  </r>
  <r>
    <x v="1"/>
    <x v="4"/>
    <s v="7893/1"/>
    <x v="278"/>
    <s v="ایم دین پنڈی"/>
    <s v="PP"/>
    <n v="12"/>
    <s v="15"/>
    <s v="PP"/>
    <n v="150"/>
    <m/>
    <n v="4"/>
    <n v="158.88"/>
    <n v="4.8"/>
    <m/>
    <m/>
    <n v="154.07999999999998"/>
    <s v="154.07999999999998"/>
    <m/>
    <m/>
    <m/>
    <n v="0"/>
    <n v="0"/>
    <m/>
    <m/>
    <m/>
    <m/>
    <m/>
    <m/>
    <m/>
    <m/>
    <n v="0"/>
    <n v="0"/>
    <n v="0"/>
    <n v="12"/>
    <n v="12"/>
    <m/>
    <m/>
    <n v="0"/>
    <n v="163.88"/>
    <m/>
    <x v="33"/>
    <m/>
    <m/>
    <m/>
    <m/>
  </r>
  <r>
    <x v="0"/>
    <x v="3"/>
    <s v="3037 F"/>
    <x v="278"/>
    <s v="Usman Amin"/>
    <s v="PP"/>
    <n v="16.2"/>
    <s v="-"/>
    <s v="PP"/>
    <n v="5000"/>
    <m/>
    <n v="11"/>
    <n v="528.34"/>
    <n v="17.600000000000001"/>
    <m/>
    <m/>
    <n v="510.74"/>
    <s v="5046.17"/>
    <m/>
    <m/>
    <m/>
    <n v="0"/>
    <n v="0"/>
    <n v="120"/>
    <m/>
    <m/>
    <m/>
    <m/>
    <m/>
    <n v="45"/>
    <m/>
    <n v="165"/>
    <n v="2.75"/>
    <n v="2.75"/>
    <n v="9.25"/>
    <n v="12"/>
    <m/>
    <m/>
    <n v="0"/>
    <n v="533.34"/>
    <m/>
    <x v="33"/>
    <m/>
    <m/>
    <m/>
    <m/>
  </r>
  <r>
    <x v="1"/>
    <x v="3"/>
    <s v="16/5"/>
    <x v="278"/>
    <s v="سٹاک"/>
    <s v="PP"/>
    <n v="16"/>
    <n v="5"/>
    <s v="PP"/>
    <n v="1000"/>
    <m/>
    <n v="12"/>
    <n v="617.06000000000006"/>
    <n v="19.200000000000003"/>
    <m/>
    <m/>
    <n v="597.86"/>
    <s v="1780.2200000000003"/>
    <m/>
    <m/>
    <m/>
    <n v="0"/>
    <n v="0"/>
    <m/>
    <m/>
    <m/>
    <m/>
    <m/>
    <m/>
    <m/>
    <m/>
    <n v="0"/>
    <n v="0"/>
    <n v="0"/>
    <n v="12"/>
    <n v="12"/>
    <m/>
    <m/>
    <n v="0"/>
    <n v="622.06000000000006"/>
    <m/>
    <x v="33"/>
    <m/>
    <m/>
    <m/>
    <m/>
  </r>
  <r>
    <x v="0"/>
    <x v="1"/>
    <s v="7838/3"/>
    <x v="278"/>
    <s v="نواب جیلانی لیٰہ"/>
    <s v="PP"/>
    <n v="3.5"/>
    <s v="5"/>
    <s v="PP"/>
    <n v="75"/>
    <m/>
    <n v="6"/>
    <n v="93.32"/>
    <n v="2.0999999999999996"/>
    <m/>
    <m/>
    <n v="91.22"/>
    <s v="544.79"/>
    <m/>
    <m/>
    <m/>
    <n v="0"/>
    <n v="0"/>
    <m/>
    <m/>
    <n v="60"/>
    <m/>
    <m/>
    <m/>
    <m/>
    <m/>
    <n v="60"/>
    <n v="1"/>
    <n v="1"/>
    <n v="11"/>
    <n v="12"/>
    <m/>
    <m/>
    <n v="0"/>
    <n v="98.32"/>
    <m/>
    <x v="33"/>
    <m/>
    <m/>
    <m/>
    <m/>
  </r>
  <r>
    <x v="1"/>
    <x v="1"/>
    <s v="7838/3"/>
    <x v="278"/>
    <s v="نواب جیلانی لیٰہ"/>
    <s v="PP"/>
    <n v="3.5"/>
    <s v="5"/>
    <s v="PP"/>
    <n v="75"/>
    <m/>
    <n v="7"/>
    <n v="109.21999999999998"/>
    <n v="2.4499999999999997"/>
    <m/>
    <m/>
    <n v="106.76999999999998"/>
    <s v="544.79"/>
    <m/>
    <m/>
    <m/>
    <n v="0"/>
    <n v="0"/>
    <m/>
    <m/>
    <m/>
    <m/>
    <m/>
    <m/>
    <m/>
    <m/>
    <n v="0"/>
    <n v="0"/>
    <n v="0"/>
    <n v="12"/>
    <n v="12"/>
    <m/>
    <m/>
    <n v="0"/>
    <n v="114.21999999999998"/>
    <m/>
    <x v="33"/>
    <m/>
    <m/>
    <m/>
    <m/>
  </r>
  <r>
    <x v="0"/>
    <x v="1"/>
    <s v="7838/3"/>
    <x v="279"/>
    <s v="نواب جیلانی لیٰہ"/>
    <s v="PP"/>
    <n v="3.5"/>
    <s v="5"/>
    <s v="PP"/>
    <n v="75"/>
    <m/>
    <n v="7"/>
    <n v="120.77000000000001"/>
    <n v="2.4499999999999997"/>
    <m/>
    <m/>
    <n v="118.32000000000001"/>
    <s v="544.79"/>
    <m/>
    <m/>
    <m/>
    <n v="0"/>
    <n v="0"/>
    <m/>
    <m/>
    <m/>
    <m/>
    <m/>
    <m/>
    <n v="30"/>
    <m/>
    <n v="30"/>
    <n v="0.5"/>
    <n v="0.5"/>
    <n v="11.5"/>
    <n v="12"/>
    <m/>
    <m/>
    <n v="0"/>
    <n v="125.77"/>
    <m/>
    <x v="33"/>
    <m/>
    <m/>
    <m/>
    <m/>
  </r>
  <r>
    <x v="1"/>
    <x v="1"/>
    <s v="7838/3"/>
    <x v="279"/>
    <s v="نواب جیلانی لیٰہ"/>
    <s v="PP"/>
    <n v="3.5"/>
    <s v="5"/>
    <s v="PP"/>
    <n v="75"/>
    <m/>
    <n v="8"/>
    <n v="128.5"/>
    <n v="2.8"/>
    <m/>
    <m/>
    <n v="125.7"/>
    <s v="544.79"/>
    <m/>
    <m/>
    <m/>
    <n v="0"/>
    <n v="0"/>
    <m/>
    <m/>
    <m/>
    <m/>
    <m/>
    <m/>
    <m/>
    <m/>
    <n v="0"/>
    <n v="0"/>
    <n v="0"/>
    <n v="12"/>
    <n v="12"/>
    <m/>
    <m/>
    <n v="0"/>
    <n v="133.5"/>
    <m/>
    <x v="33"/>
    <m/>
    <m/>
    <m/>
    <m/>
  </r>
  <r>
    <x v="0"/>
    <x v="3"/>
    <s v="3037 F"/>
    <x v="279"/>
    <s v="Usman Amin"/>
    <s v="PP"/>
    <n v="16.2"/>
    <s v="-"/>
    <s v="PP"/>
    <n v="5000"/>
    <m/>
    <n v="12"/>
    <n v="735.86"/>
    <n v="19.200000000000003"/>
    <m/>
    <m/>
    <n v="716.66"/>
    <s v="5046.17"/>
    <m/>
    <m/>
    <m/>
    <n v="0"/>
    <n v="0"/>
    <m/>
    <m/>
    <m/>
    <m/>
    <m/>
    <m/>
    <m/>
    <m/>
    <n v="0"/>
    <n v="0"/>
    <n v="0"/>
    <n v="12"/>
    <n v="12"/>
    <m/>
    <m/>
    <n v="0"/>
    <n v="740.86"/>
    <m/>
    <x v="33"/>
    <m/>
    <m/>
    <m/>
    <m/>
  </r>
  <r>
    <x v="1"/>
    <x v="3"/>
    <s v="3037 F"/>
    <x v="279"/>
    <s v="Usman Amin"/>
    <s v="PP"/>
    <n v="16.2"/>
    <s v="-"/>
    <s v="PP"/>
    <n v="5000"/>
    <m/>
    <n v="15"/>
    <n v="722.26"/>
    <n v="24"/>
    <m/>
    <m/>
    <n v="698.26"/>
    <s v="5046.17"/>
    <m/>
    <m/>
    <m/>
    <n v="0"/>
    <n v="0"/>
    <m/>
    <m/>
    <m/>
    <m/>
    <m/>
    <m/>
    <m/>
    <m/>
    <n v="0"/>
    <n v="0"/>
    <n v="0"/>
    <n v="12"/>
    <n v="12"/>
    <m/>
    <m/>
    <n v="0"/>
    <n v="727.26"/>
    <m/>
    <x v="33"/>
    <m/>
    <m/>
    <m/>
    <m/>
  </r>
  <r>
    <x v="0"/>
    <x v="4"/>
    <s v="7887/5"/>
    <x v="279"/>
    <s v="نیو پاک جھنگ"/>
    <s v="PP"/>
    <n v="12"/>
    <s v="4.5"/>
    <s v="PP"/>
    <n v="250"/>
    <m/>
    <n v="2"/>
    <n v="97.039999999999992"/>
    <n v="2.4"/>
    <m/>
    <m/>
    <n v="94.639999999999986"/>
    <s v="264.76"/>
    <m/>
    <m/>
    <m/>
    <n v="0"/>
    <n v="0"/>
    <m/>
    <m/>
    <m/>
    <m/>
    <m/>
    <m/>
    <m/>
    <m/>
    <n v="0"/>
    <n v="0"/>
    <n v="0"/>
    <n v="12"/>
    <n v="12"/>
    <m/>
    <m/>
    <n v="0"/>
    <n v="102.04"/>
    <m/>
    <x v="33"/>
    <m/>
    <m/>
    <m/>
    <m/>
  </r>
  <r>
    <x v="0"/>
    <x v="4"/>
    <s v="3218 F"/>
    <x v="279"/>
    <s v="Usman Amin"/>
    <s v="PP"/>
    <n v="13"/>
    <s v="7.5-8"/>
    <s v="PP"/>
    <n v="220"/>
    <m/>
    <n v="5"/>
    <n v="259.14"/>
    <n v="6.5"/>
    <n v="30"/>
    <m/>
    <n v="252.64"/>
    <s v="468.1"/>
    <n v="25"/>
    <m/>
    <m/>
    <n v="25"/>
    <n v="0.41666666666666674"/>
    <m/>
    <m/>
    <n v="15"/>
    <m/>
    <m/>
    <m/>
    <m/>
    <m/>
    <n v="15"/>
    <n v="0.25"/>
    <n v="0.66666666666666674"/>
    <n v="11.333333333333334"/>
    <n v="12"/>
    <m/>
    <m/>
    <n v="0"/>
    <n v="264.14"/>
    <m/>
    <x v="33"/>
    <m/>
    <m/>
    <m/>
    <m/>
  </r>
  <r>
    <x v="1"/>
    <x v="4"/>
    <s v="3218 F"/>
    <x v="279"/>
    <s v="Usman Amin"/>
    <s v="PP"/>
    <n v="13"/>
    <s v="7.5-8"/>
    <s v="PP"/>
    <n v="220"/>
    <m/>
    <n v="4"/>
    <n v="222.46"/>
    <n v="7"/>
    <n v="28"/>
    <m/>
    <n v="215.46"/>
    <s v="468.1"/>
    <m/>
    <m/>
    <m/>
    <n v="0"/>
    <n v="0"/>
    <m/>
    <m/>
    <m/>
    <m/>
    <m/>
    <m/>
    <m/>
    <m/>
    <n v="0"/>
    <n v="0"/>
    <n v="0"/>
    <n v="12"/>
    <n v="12"/>
    <m/>
    <m/>
    <n v="0"/>
    <n v="227.46"/>
    <m/>
    <x v="33"/>
    <m/>
    <m/>
    <m/>
    <m/>
  </r>
  <r>
    <x v="1"/>
    <x v="4"/>
    <s v="7901/1"/>
    <x v="279"/>
    <s v="ہیڈافس لاہور"/>
    <s v="PP"/>
    <n v="13"/>
    <s v="7"/>
    <s v="PP"/>
    <n v="200"/>
    <m/>
    <n v="3"/>
    <n v="155.28"/>
    <n v="3.9000000000000004"/>
    <m/>
    <m/>
    <n v="151.38"/>
    <s v="204.44"/>
    <m/>
    <m/>
    <m/>
    <n v="0"/>
    <n v="0"/>
    <m/>
    <m/>
    <m/>
    <m/>
    <m/>
    <m/>
    <m/>
    <m/>
    <n v="0"/>
    <n v="0"/>
    <n v="0"/>
    <n v="12"/>
    <n v="12"/>
    <m/>
    <m/>
    <n v="0"/>
    <n v="160.28"/>
    <m/>
    <x v="33"/>
    <m/>
    <m/>
    <m/>
    <m/>
  </r>
  <r>
    <x v="0"/>
    <x v="1"/>
    <s v="7838/3"/>
    <x v="280"/>
    <s v="نواب جیلانی لیٰہ"/>
    <s v="PP"/>
    <n v="3.5"/>
    <s v="5"/>
    <s v="PP"/>
    <n v="75"/>
    <m/>
    <n v="4"/>
    <n v="62.26"/>
    <n v="1.4"/>
    <m/>
    <m/>
    <n v="60.86"/>
    <s v="544.79"/>
    <m/>
    <m/>
    <m/>
    <n v="0"/>
    <n v="0"/>
    <m/>
    <m/>
    <m/>
    <m/>
    <m/>
    <m/>
    <m/>
    <m/>
    <n v="0"/>
    <n v="0"/>
    <n v="0"/>
    <n v="12"/>
    <n v="12"/>
    <m/>
    <m/>
    <n v="0"/>
    <n v="67.259999999999991"/>
    <m/>
    <x v="33"/>
    <m/>
    <m/>
    <m/>
    <m/>
  </r>
  <r>
    <x v="0"/>
    <x v="1"/>
    <s v="7903/12"/>
    <x v="280"/>
    <s v="محبوب مقبول گوجرانوالہ"/>
    <s v="PP"/>
    <n v="1.5"/>
    <s v="5"/>
    <s v="PP"/>
    <s v="5رول بیگ"/>
    <m/>
    <n v="2"/>
    <n v="41.47"/>
    <n v="0.3"/>
    <m/>
    <m/>
    <n v="41.17"/>
    <s v="98.15"/>
    <n v="25"/>
    <m/>
    <m/>
    <n v="25"/>
    <n v="0.41666666666666674"/>
    <m/>
    <m/>
    <m/>
    <m/>
    <m/>
    <m/>
    <m/>
    <m/>
    <n v="0"/>
    <n v="0"/>
    <n v="0.41666666666666674"/>
    <n v="11.583333333333334"/>
    <n v="12"/>
    <m/>
    <m/>
    <n v="0"/>
    <n v="46.47"/>
    <m/>
    <x v="33"/>
    <m/>
    <m/>
    <m/>
    <m/>
  </r>
  <r>
    <x v="1"/>
    <x v="1"/>
    <s v="7903/12"/>
    <x v="280"/>
    <s v="محبوب مقبول گوجرانوالہ"/>
    <s v="PP"/>
    <n v="1.5"/>
    <s v="5"/>
    <s v="PP"/>
    <s v="5رول بیگ"/>
    <m/>
    <n v="3"/>
    <n v="57.43"/>
    <n v="0.44999999999999996"/>
    <m/>
    <m/>
    <n v="56.98"/>
    <s v="98.15"/>
    <n v="25"/>
    <m/>
    <m/>
    <n v="25"/>
    <n v="0.41666666666666674"/>
    <m/>
    <m/>
    <m/>
    <m/>
    <m/>
    <m/>
    <m/>
    <m/>
    <n v="0"/>
    <n v="0"/>
    <n v="0.41666666666666674"/>
    <n v="11.583333333333334"/>
    <n v="12"/>
    <m/>
    <m/>
    <n v="0"/>
    <n v="62.43"/>
    <m/>
    <x v="33"/>
    <m/>
    <m/>
    <m/>
    <m/>
  </r>
  <r>
    <x v="1"/>
    <x v="1"/>
    <s v="7887/1"/>
    <x v="280"/>
    <s v="نیو پاک جھنگ"/>
    <s v="PP"/>
    <n v="5"/>
    <s v="4.5"/>
    <s v="PP"/>
    <n v="100"/>
    <m/>
    <n v="3"/>
    <n v="51.78"/>
    <n v="1.5"/>
    <m/>
    <m/>
    <n v="50.28"/>
    <s v="304.85000000000002"/>
    <m/>
    <m/>
    <m/>
    <n v="0"/>
    <n v="0"/>
    <m/>
    <m/>
    <m/>
    <m/>
    <m/>
    <m/>
    <m/>
    <m/>
    <n v="0"/>
    <n v="0"/>
    <n v="0"/>
    <n v="12"/>
    <n v="12"/>
    <m/>
    <m/>
    <n v="0"/>
    <n v="56.78"/>
    <m/>
    <x v="33"/>
    <m/>
    <m/>
    <m/>
    <m/>
  </r>
  <r>
    <x v="0"/>
    <x v="3"/>
    <s v="3037 F"/>
    <x v="280"/>
    <s v="Usman Amin"/>
    <s v="PP"/>
    <n v="16.2"/>
    <s v="-"/>
    <s v="PP"/>
    <n v="5000"/>
    <m/>
    <n v="14"/>
    <n v="735.63999999999987"/>
    <n v="26.599999999999998"/>
    <n v="18"/>
    <m/>
    <n v="709.03999999999985"/>
    <s v="5046.17"/>
    <m/>
    <m/>
    <m/>
    <n v="0"/>
    <n v="0"/>
    <m/>
    <m/>
    <m/>
    <m/>
    <m/>
    <m/>
    <m/>
    <m/>
    <n v="0"/>
    <n v="0"/>
    <n v="0"/>
    <n v="12"/>
    <n v="12"/>
    <m/>
    <m/>
    <n v="0"/>
    <n v="740.63999999999987"/>
    <m/>
    <x v="33"/>
    <m/>
    <m/>
    <m/>
    <m/>
  </r>
  <r>
    <x v="1"/>
    <x v="3"/>
    <s v="3037 F"/>
    <x v="280"/>
    <s v="Usman Amin"/>
    <s v="PP"/>
    <n v="16.2"/>
    <s v="-"/>
    <s v="PP"/>
    <n v="5000"/>
    <m/>
    <n v="11"/>
    <n v="629.93999999999994"/>
    <n v="20.9"/>
    <n v="13"/>
    <m/>
    <n v="609.04"/>
    <s v="5046.17"/>
    <m/>
    <m/>
    <m/>
    <n v="0"/>
    <n v="0"/>
    <m/>
    <m/>
    <m/>
    <m/>
    <m/>
    <m/>
    <n v="60"/>
    <m/>
    <n v="60"/>
    <n v="1"/>
    <n v="1"/>
    <n v="11"/>
    <n v="12"/>
    <m/>
    <m/>
    <n v="0"/>
    <n v="634.93999999999994"/>
    <m/>
    <x v="33"/>
    <m/>
    <m/>
    <m/>
    <m/>
  </r>
  <r>
    <x v="0"/>
    <x v="4"/>
    <s v="7901/1"/>
    <x v="280"/>
    <s v="ہیڈافس لاہور"/>
    <s v="PP"/>
    <n v="13"/>
    <s v="7"/>
    <s v="PP"/>
    <n v="200"/>
    <m/>
    <n v="1"/>
    <n v="54.36"/>
    <n v="1.3"/>
    <m/>
    <m/>
    <n v="53.06"/>
    <s v="204.44"/>
    <m/>
    <m/>
    <m/>
    <n v="0"/>
    <n v="0"/>
    <m/>
    <m/>
    <m/>
    <m/>
    <m/>
    <m/>
    <m/>
    <m/>
    <n v="0"/>
    <n v="0"/>
    <n v="0"/>
    <n v="12"/>
    <n v="12"/>
    <m/>
    <m/>
    <n v="0"/>
    <n v="59.36"/>
    <m/>
    <x v="33"/>
    <m/>
    <m/>
    <m/>
    <m/>
  </r>
  <r>
    <x v="0"/>
    <x v="4"/>
    <s v="7896/1"/>
    <x v="280"/>
    <s v="ایم عمران پاکستان مارکیٹ"/>
    <s v="PP"/>
    <n v="13"/>
    <s v="6.5"/>
    <s v="PP"/>
    <n v="500"/>
    <m/>
    <n v="6"/>
    <n v="241.8"/>
    <n v="9.6000000000000014"/>
    <m/>
    <m/>
    <n v="232.20000000000002"/>
    <s v="497.03999999999996"/>
    <m/>
    <m/>
    <m/>
    <n v="0"/>
    <n v="0"/>
    <m/>
    <m/>
    <m/>
    <m/>
    <m/>
    <m/>
    <m/>
    <m/>
    <n v="0"/>
    <n v="0"/>
    <n v="0"/>
    <n v="12"/>
    <n v="12"/>
    <m/>
    <m/>
    <n v="0"/>
    <n v="246.8"/>
    <m/>
    <x v="33"/>
    <m/>
    <m/>
    <m/>
    <m/>
  </r>
  <r>
    <x v="0"/>
    <x v="4"/>
    <s v="7894/8"/>
    <x v="280"/>
    <s v="حاجی اسماعیل وہاڑی"/>
    <s v="PP"/>
    <n v="13"/>
    <n v="7"/>
    <s v="PP"/>
    <n v="50"/>
    <m/>
    <n v="2"/>
    <n v="114.58"/>
    <n v="3.1"/>
    <m/>
    <m/>
    <n v="111.48"/>
    <s v="111.48"/>
    <m/>
    <m/>
    <m/>
    <n v="0"/>
    <n v="0"/>
    <m/>
    <m/>
    <m/>
    <m/>
    <m/>
    <m/>
    <m/>
    <m/>
    <n v="0"/>
    <n v="0"/>
    <n v="0"/>
    <n v="12"/>
    <n v="12"/>
    <m/>
    <m/>
    <n v="0"/>
    <n v="119.58"/>
    <m/>
    <x v="33"/>
    <m/>
    <m/>
    <m/>
    <m/>
  </r>
  <r>
    <x v="1"/>
    <x v="4"/>
    <s v="7896/1"/>
    <x v="280"/>
    <s v="ایم عمران پاکستان مارکیٹ"/>
    <s v="PP"/>
    <n v="13"/>
    <s v="6.5"/>
    <s v="PP"/>
    <n v="500"/>
    <m/>
    <n v="6"/>
    <n v="272.64"/>
    <n v="7.8000000000000007"/>
    <m/>
    <m/>
    <n v="264.83999999999997"/>
    <s v="497.03999999999996"/>
    <m/>
    <m/>
    <m/>
    <n v="0"/>
    <n v="0"/>
    <m/>
    <m/>
    <m/>
    <m/>
    <m/>
    <m/>
    <m/>
    <m/>
    <n v="0"/>
    <n v="0"/>
    <n v="0"/>
    <n v="12"/>
    <n v="12"/>
    <m/>
    <m/>
    <n v="0"/>
    <n v="277.64"/>
    <m/>
    <x v="33"/>
    <m/>
    <m/>
    <m/>
    <m/>
  </r>
  <r>
    <x v="1"/>
    <x v="4"/>
    <s v="7901/2"/>
    <x v="280"/>
    <s v="ہیڈافس لاہور"/>
    <s v="PP"/>
    <n v="14"/>
    <s v="7"/>
    <s v="PP"/>
    <n v="200"/>
    <m/>
    <n v="3"/>
    <n v="146.18"/>
    <n v="4.1999999999999993"/>
    <m/>
    <m/>
    <n v="141.98000000000002"/>
    <s v="246.68"/>
    <n v="25"/>
    <m/>
    <m/>
    <n v="25"/>
    <n v="0.41666666666666674"/>
    <m/>
    <m/>
    <m/>
    <m/>
    <m/>
    <m/>
    <m/>
    <m/>
    <n v="0"/>
    <n v="0"/>
    <n v="0.41666666666666674"/>
    <n v="11.583333333333334"/>
    <n v="12"/>
    <m/>
    <m/>
    <n v="0"/>
    <n v="151.18"/>
    <m/>
    <x v="33"/>
    <m/>
    <m/>
    <m/>
    <m/>
  </r>
  <r>
    <x v="0"/>
    <x v="1"/>
    <s v="7887/1"/>
    <x v="281"/>
    <s v="نیو پاک جھنگ"/>
    <s v="PP"/>
    <n v="5"/>
    <s v="4.5"/>
    <s v="PP"/>
    <n v="100"/>
    <m/>
    <n v="7"/>
    <n v="149.33000000000001"/>
    <n v="3.5"/>
    <m/>
    <m/>
    <n v="145.83000000000001"/>
    <s v="304.85000000000002"/>
    <m/>
    <m/>
    <m/>
    <n v="0"/>
    <n v="0"/>
    <m/>
    <m/>
    <m/>
    <m/>
    <m/>
    <m/>
    <m/>
    <m/>
    <n v="0"/>
    <n v="0"/>
    <n v="0"/>
    <n v="12"/>
    <n v="12"/>
    <m/>
    <m/>
    <n v="0"/>
    <n v="154.33000000000001"/>
    <m/>
    <x v="34"/>
    <m/>
    <m/>
    <m/>
    <m/>
  </r>
  <r>
    <x v="0"/>
    <x v="1"/>
    <s v="5/9"/>
    <x v="281"/>
    <s v="سٹاک"/>
    <s v="PP"/>
    <n v="5"/>
    <s v="5.5-6"/>
    <s v="PP"/>
    <n v="500"/>
    <m/>
    <n v="1"/>
    <n v="21.38"/>
    <n v="0.5"/>
    <m/>
    <m/>
    <n v="20.88"/>
    <s v="1004.63"/>
    <m/>
    <m/>
    <m/>
    <n v="0"/>
    <n v="0"/>
    <m/>
    <m/>
    <m/>
    <m/>
    <m/>
    <m/>
    <m/>
    <m/>
    <n v="0"/>
    <n v="0"/>
    <n v="0"/>
    <n v="12"/>
    <n v="12"/>
    <m/>
    <m/>
    <n v="0"/>
    <n v="26.38"/>
    <m/>
    <x v="34"/>
    <m/>
    <m/>
    <m/>
    <m/>
  </r>
  <r>
    <x v="1"/>
    <x v="1"/>
    <s v="5/9"/>
    <x v="281"/>
    <s v="سٹاک"/>
    <s v="PP"/>
    <n v="5"/>
    <s v="5.5-6"/>
    <s v="PP"/>
    <n v="500"/>
    <m/>
    <n v="8"/>
    <n v="173.59"/>
    <n v="4"/>
    <m/>
    <m/>
    <n v="169.59"/>
    <s v="1004.63"/>
    <m/>
    <m/>
    <m/>
    <n v="0"/>
    <n v="0"/>
    <m/>
    <m/>
    <m/>
    <m/>
    <m/>
    <m/>
    <m/>
    <m/>
    <n v="0"/>
    <n v="0"/>
    <n v="0"/>
    <n v="12"/>
    <n v="12"/>
    <m/>
    <m/>
    <n v="0"/>
    <n v="178.59"/>
    <m/>
    <x v="34"/>
    <m/>
    <m/>
    <m/>
    <m/>
  </r>
  <r>
    <x v="0"/>
    <x v="3"/>
    <s v="3037 F"/>
    <x v="281"/>
    <s v="Usman Amin"/>
    <s v="PP"/>
    <n v="16.2"/>
    <s v="-"/>
    <s v="PP"/>
    <n v="5000"/>
    <m/>
    <n v="13"/>
    <n v="708.34"/>
    <n v="24.81"/>
    <n v="12"/>
    <m/>
    <n v="683.53000000000009"/>
    <s v="5046.17"/>
    <m/>
    <m/>
    <m/>
    <n v="0"/>
    <n v="0"/>
    <m/>
    <m/>
    <m/>
    <m/>
    <m/>
    <m/>
    <m/>
    <m/>
    <n v="0"/>
    <n v="0"/>
    <n v="0"/>
    <n v="12"/>
    <n v="12"/>
    <m/>
    <m/>
    <n v="0"/>
    <n v="713.34"/>
    <m/>
    <x v="34"/>
    <m/>
    <m/>
    <m/>
    <m/>
  </r>
  <r>
    <x v="1"/>
    <x v="3"/>
    <s v="3037 F"/>
    <x v="281"/>
    <s v="Usman Amin"/>
    <s v="PP"/>
    <n v="16.2"/>
    <s v="-"/>
    <s v="PP"/>
    <n v="5000"/>
    <m/>
    <n v="12"/>
    <n v="743.3599999999999"/>
    <n v="22.799999999999997"/>
    <n v="18"/>
    <m/>
    <n v="720.56"/>
    <s v="5046.17"/>
    <m/>
    <m/>
    <m/>
    <n v="0"/>
    <n v="0"/>
    <m/>
    <m/>
    <m/>
    <m/>
    <m/>
    <m/>
    <m/>
    <m/>
    <n v="0"/>
    <n v="0"/>
    <n v="0"/>
    <n v="12"/>
    <n v="12"/>
    <m/>
    <m/>
    <n v="0"/>
    <n v="748.3599999999999"/>
    <m/>
    <x v="34"/>
    <m/>
    <m/>
    <m/>
    <m/>
  </r>
  <r>
    <x v="0"/>
    <x v="4"/>
    <s v="7901/2"/>
    <x v="281"/>
    <s v="ہیڈافس لاہور"/>
    <s v="PP"/>
    <n v="14"/>
    <s v="7"/>
    <s v="PP"/>
    <n v="200"/>
    <m/>
    <n v="2"/>
    <n v="108"/>
    <n v="3.3"/>
    <m/>
    <m/>
    <n v="104.7"/>
    <s v="246.68"/>
    <m/>
    <m/>
    <m/>
    <n v="0"/>
    <n v="0"/>
    <m/>
    <m/>
    <m/>
    <m/>
    <m/>
    <m/>
    <m/>
    <m/>
    <n v="0"/>
    <n v="0"/>
    <n v="0"/>
    <n v="12"/>
    <n v="12"/>
    <m/>
    <m/>
    <n v="0"/>
    <n v="113"/>
    <m/>
    <x v="34"/>
    <m/>
    <m/>
    <m/>
    <m/>
  </r>
  <r>
    <x v="0"/>
    <x v="4"/>
    <s v="7898/1"/>
    <x v="281"/>
    <s v="العمر پلاسٹک گوجرانوالہ"/>
    <s v="PP"/>
    <n v="14"/>
    <s v="6"/>
    <s v="PP"/>
    <n v="500"/>
    <m/>
    <n v="7"/>
    <n v="339.92999999999995"/>
    <n v="11.9"/>
    <m/>
    <m/>
    <n v="328.03"/>
    <s v="794.32999999999993"/>
    <m/>
    <m/>
    <m/>
    <n v="0"/>
    <n v="0"/>
    <m/>
    <m/>
    <m/>
    <m/>
    <m/>
    <m/>
    <m/>
    <m/>
    <n v="0"/>
    <n v="0"/>
    <n v="0"/>
    <n v="12"/>
    <n v="12"/>
    <m/>
    <m/>
    <n v="0"/>
    <n v="344.92999999999995"/>
    <m/>
    <x v="34"/>
    <m/>
    <m/>
    <m/>
    <m/>
  </r>
  <r>
    <x v="1"/>
    <x v="4"/>
    <s v="7898/1"/>
    <x v="281"/>
    <s v="العمر پلاسٹک گوجرانوالہ"/>
    <s v="PP"/>
    <n v="14"/>
    <s v="6"/>
    <s v="PP"/>
    <n v="500"/>
    <m/>
    <n v="8"/>
    <n v="380.26"/>
    <n v="11.2"/>
    <m/>
    <s v="`"/>
    <n v="369.06"/>
    <s v="794.32999999999993"/>
    <m/>
    <m/>
    <m/>
    <n v="0"/>
    <n v="0"/>
    <m/>
    <m/>
    <m/>
    <m/>
    <m/>
    <m/>
    <m/>
    <m/>
    <n v="0"/>
    <n v="0"/>
    <n v="0"/>
    <n v="12"/>
    <n v="12"/>
    <m/>
    <m/>
    <n v="0"/>
    <n v="385.26"/>
    <m/>
    <x v="34"/>
    <m/>
    <m/>
    <m/>
    <m/>
  </r>
  <r>
    <x v="0"/>
    <x v="1"/>
    <s v="5/9"/>
    <x v="282"/>
    <s v="سٹاک"/>
    <s v="PP"/>
    <n v="5"/>
    <s v="5.5-6"/>
    <s v="PP"/>
    <n v="500"/>
    <m/>
    <n v="8"/>
    <n v="161.27000000000001"/>
    <n v="4"/>
    <m/>
    <s v=" "/>
    <n v="157.27000000000001"/>
    <s v="1004.63"/>
    <m/>
    <m/>
    <m/>
    <n v="0"/>
    <n v="0"/>
    <m/>
    <m/>
    <m/>
    <m/>
    <m/>
    <m/>
    <n v="30"/>
    <m/>
    <n v="30"/>
    <n v="0.5"/>
    <n v="0.5"/>
    <n v="11.5"/>
    <n v="12"/>
    <m/>
    <m/>
    <n v="0"/>
    <n v="166.27"/>
    <m/>
    <x v="34"/>
    <m/>
    <m/>
    <m/>
    <m/>
  </r>
  <r>
    <x v="0"/>
    <x v="1"/>
    <s v="7903/14"/>
    <x v="282"/>
    <s v="محبوب مقبول گوجرانوالہ"/>
    <s v="PP"/>
    <n v="5"/>
    <s v="5"/>
    <s v="PP"/>
    <s v="8رول بیگ"/>
    <m/>
    <n v="1"/>
    <n v="16.21"/>
    <n v="0.5"/>
    <m/>
    <s v=" "/>
    <n v="15.71"/>
    <s v="198.01"/>
    <m/>
    <m/>
    <m/>
    <n v="0"/>
    <n v="0"/>
    <m/>
    <m/>
    <m/>
    <m/>
    <m/>
    <m/>
    <m/>
    <m/>
    <n v="0"/>
    <n v="0"/>
    <n v="0"/>
    <n v="12"/>
    <n v="12"/>
    <m/>
    <m/>
    <n v="0"/>
    <n v="21.21"/>
    <m/>
    <x v="34"/>
    <m/>
    <m/>
    <m/>
    <m/>
  </r>
  <r>
    <x v="1"/>
    <x v="1"/>
    <s v="7903/14"/>
    <x v="282"/>
    <s v="محبوب مقبول گوجرانوالہ"/>
    <s v="PP"/>
    <n v="5"/>
    <s v="5"/>
    <s v="PP"/>
    <s v="8رول بیگ"/>
    <m/>
    <n v="8"/>
    <n v="186.29999999999998"/>
    <n v="4"/>
    <m/>
    <s v=" "/>
    <n v="182.29999999999998"/>
    <s v="198.01"/>
    <m/>
    <m/>
    <m/>
    <n v="0"/>
    <n v="0"/>
    <m/>
    <m/>
    <m/>
    <m/>
    <m/>
    <m/>
    <m/>
    <m/>
    <n v="0"/>
    <n v="0"/>
    <n v="0"/>
    <n v="12"/>
    <n v="12"/>
    <m/>
    <m/>
    <n v="0"/>
    <n v="191.3"/>
    <m/>
    <x v="34"/>
    <m/>
    <m/>
    <m/>
    <m/>
  </r>
  <r>
    <x v="0"/>
    <x v="3"/>
    <s v="8644 J"/>
    <x v="282"/>
    <s v="Special Papari Nimko Kamonki "/>
    <s v="PP"/>
    <n v="16"/>
    <s v="8"/>
    <s v="PP"/>
    <n v="100"/>
    <m/>
    <n v="2"/>
    <n v="106.88"/>
    <n v="4"/>
    <m/>
    <s v=" "/>
    <n v="102.88"/>
    <s v="102.88"/>
    <m/>
    <m/>
    <m/>
    <n v="0"/>
    <n v="0"/>
    <m/>
    <m/>
    <m/>
    <m/>
    <m/>
    <m/>
    <m/>
    <m/>
    <n v="0"/>
    <n v="0"/>
    <n v="0"/>
    <n v="12"/>
    <n v="12"/>
    <m/>
    <m/>
    <n v="0"/>
    <n v="111.88"/>
    <m/>
    <x v="34"/>
    <m/>
    <m/>
    <m/>
    <m/>
  </r>
  <r>
    <x v="0"/>
    <x v="3"/>
    <s v="7898/3"/>
    <x v="282"/>
    <s v="العمر پلاسٹک گوجرانوالہ"/>
    <s v="PP"/>
    <n v="16"/>
    <s v="6"/>
    <s v="PP"/>
    <n v="1000"/>
    <m/>
    <n v="8"/>
    <n v="424.49999999999994"/>
    <n v="15.2"/>
    <n v="10"/>
    <s v=" "/>
    <n v="409.29999999999995"/>
    <s v="1057.7"/>
    <m/>
    <m/>
    <m/>
    <n v="0"/>
    <n v="0"/>
    <m/>
    <m/>
    <m/>
    <m/>
    <m/>
    <m/>
    <m/>
    <m/>
    <n v="0"/>
    <n v="0"/>
    <n v="0"/>
    <n v="12"/>
    <n v="12"/>
    <m/>
    <m/>
    <n v="0"/>
    <n v="429.49999999999994"/>
    <m/>
    <x v="34"/>
    <m/>
    <m/>
    <m/>
    <m/>
  </r>
  <r>
    <x v="1"/>
    <x v="3"/>
    <s v="7898/3"/>
    <x v="282"/>
    <s v="العمر پلاسٹک گوجرانوالہ"/>
    <s v="PP"/>
    <n v="16"/>
    <s v="6"/>
    <s v="PP"/>
    <n v="1000"/>
    <m/>
    <n v="8"/>
    <n v="496.76"/>
    <n v="12.8"/>
    <n v="8"/>
    <s v=" "/>
    <n v="483.96"/>
    <s v="1057.7"/>
    <m/>
    <m/>
    <m/>
    <n v="0"/>
    <n v="0"/>
    <m/>
    <m/>
    <m/>
    <m/>
    <m/>
    <m/>
    <m/>
    <m/>
    <n v="0"/>
    <n v="0"/>
    <n v="0"/>
    <n v="12"/>
    <n v="12"/>
    <m/>
    <m/>
    <n v="0"/>
    <n v="501.76"/>
    <m/>
    <x v="34"/>
    <m/>
    <m/>
    <m/>
    <m/>
  </r>
  <r>
    <x v="0"/>
    <x v="4"/>
    <s v="7898/1"/>
    <x v="282"/>
    <s v="العمر پلاسٹک گوجرانوالہ"/>
    <s v="PP"/>
    <n v="14"/>
    <s v="6"/>
    <s v="PP"/>
    <n v="500"/>
    <m/>
    <n v="2"/>
    <n v="100.03999999999999"/>
    <n v="2.8"/>
    <m/>
    <s v=" "/>
    <n v="97.24"/>
    <s v="794.32999999999993"/>
    <m/>
    <m/>
    <m/>
    <n v="0"/>
    <n v="0"/>
    <m/>
    <m/>
    <m/>
    <m/>
    <m/>
    <m/>
    <m/>
    <m/>
    <n v="0"/>
    <n v="0"/>
    <n v="0"/>
    <n v="12"/>
    <n v="12"/>
    <m/>
    <m/>
    <n v="0"/>
    <n v="105.04"/>
    <m/>
    <x v="34"/>
    <m/>
    <m/>
    <m/>
    <m/>
  </r>
  <r>
    <x v="0"/>
    <x v="4"/>
    <s v="3212 F"/>
    <x v="282"/>
    <s v="Usman Amin"/>
    <s v="PP"/>
    <n v="18"/>
    <s v="7.5-8"/>
    <s v="PP"/>
    <n v="125"/>
    <m/>
    <n v="3"/>
    <n v="168.07999999999998"/>
    <n v="5.4"/>
    <m/>
    <s v=" "/>
    <n v="162.67999999999998"/>
    <s v="382.68"/>
    <m/>
    <m/>
    <m/>
    <n v="0"/>
    <n v="0"/>
    <m/>
    <m/>
    <m/>
    <m/>
    <m/>
    <m/>
    <m/>
    <m/>
    <n v="0"/>
    <n v="0"/>
    <n v="0"/>
    <n v="12"/>
    <n v="12"/>
    <m/>
    <m/>
    <n v="0"/>
    <n v="173.07999999999998"/>
    <m/>
    <x v="34"/>
    <m/>
    <m/>
    <m/>
    <m/>
  </r>
  <r>
    <x v="0"/>
    <x v="4"/>
    <s v="7893/3"/>
    <x v="282"/>
    <s v="ایم دین پنڈی"/>
    <s v="PP"/>
    <n v="14"/>
    <s v="15"/>
    <s v="PP"/>
    <n v="150"/>
    <m/>
    <n v="3"/>
    <n v="162.38"/>
    <n v="5.4"/>
    <m/>
    <s v=" "/>
    <n v="156.97999999999999"/>
    <s v="156.97999999999999"/>
    <n v="25"/>
    <m/>
    <m/>
    <n v="25"/>
    <n v="0.41666666666666674"/>
    <m/>
    <m/>
    <m/>
    <m/>
    <m/>
    <m/>
    <m/>
    <m/>
    <n v="0"/>
    <n v="0"/>
    <n v="0.41666666666666674"/>
    <n v="11.583333333333334"/>
    <n v="12"/>
    <m/>
    <m/>
    <n v="0"/>
    <n v="167.38"/>
    <m/>
    <x v="34"/>
    <m/>
    <m/>
    <m/>
    <m/>
  </r>
  <r>
    <x v="1"/>
    <x v="4"/>
    <s v="3212 F"/>
    <x v="282"/>
    <s v="Usman Amin"/>
    <s v="PP"/>
    <n v="18"/>
    <s v="7.5-8"/>
    <s v="PP"/>
    <n v="125"/>
    <m/>
    <n v="5"/>
    <n v="229.00000000000003"/>
    <n v="9"/>
    <m/>
    <s v=" "/>
    <n v="220.00000000000003"/>
    <s v="382.68"/>
    <m/>
    <m/>
    <m/>
    <n v="0"/>
    <n v="0"/>
    <m/>
    <m/>
    <m/>
    <m/>
    <m/>
    <m/>
    <m/>
    <m/>
    <n v="0"/>
    <n v="0"/>
    <n v="0"/>
    <n v="12"/>
    <n v="12"/>
    <m/>
    <m/>
    <n v="0"/>
    <n v="234.00000000000003"/>
    <m/>
    <x v="34"/>
    <m/>
    <m/>
    <m/>
    <m/>
  </r>
  <r>
    <x v="1"/>
    <x v="4"/>
    <s v="7898/4"/>
    <x v="282"/>
    <s v="العمر پلاسٹک گوجرانوالہ"/>
    <s v="PP"/>
    <n v="18"/>
    <s v="6"/>
    <s v="PP"/>
    <n v="500"/>
    <m/>
    <n v="4"/>
    <n v="199.58"/>
    <n v="7.2"/>
    <m/>
    <s v=" "/>
    <n v="192.38000000000002"/>
    <s v="794.98"/>
    <m/>
    <m/>
    <m/>
    <n v="0"/>
    <n v="0"/>
    <m/>
    <m/>
    <m/>
    <m/>
    <m/>
    <m/>
    <m/>
    <m/>
    <n v="0"/>
    <n v="0"/>
    <n v="0"/>
    <n v="12"/>
    <n v="12"/>
    <m/>
    <m/>
    <n v="0"/>
    <n v="204.58"/>
    <m/>
    <x v="34"/>
    <m/>
    <m/>
    <m/>
    <m/>
  </r>
  <r>
    <x v="0"/>
    <x v="1"/>
    <s v="7903/13"/>
    <x v="283"/>
    <s v="محبوب مقبول گوجرانوالہ"/>
    <s v="PP"/>
    <n v="4"/>
    <s v="5"/>
    <s v="PP"/>
    <s v="8رول بیگ"/>
    <m/>
    <n v="7"/>
    <n v="116.54"/>
    <n v="2.8000000000000003"/>
    <n v="13"/>
    <s v=" "/>
    <n v="113.74000000000001"/>
    <s v="375.78"/>
    <m/>
    <n v="200"/>
    <m/>
    <n v="200"/>
    <n v="3.3333333333333335"/>
    <m/>
    <m/>
    <n v="70"/>
    <m/>
    <m/>
    <m/>
    <m/>
    <m/>
    <n v="70"/>
    <n v="1.1666666666666667"/>
    <n v="4.5"/>
    <n v="7.5"/>
    <n v="12"/>
    <m/>
    <m/>
    <n v="0"/>
    <n v="121.54"/>
    <m/>
    <x v="34"/>
    <m/>
    <m/>
    <m/>
    <m/>
  </r>
  <r>
    <x v="1"/>
    <x v="1"/>
    <s v="7903/13"/>
    <x v="283"/>
    <s v="محبوب مقبول گوجرانوالہ"/>
    <s v="PP"/>
    <n v="4"/>
    <s v="5"/>
    <s v="PP"/>
    <s v="8رول بیگ"/>
    <m/>
    <n v="7"/>
    <n v="144.41"/>
    <n v="2.8000000000000003"/>
    <n v="18"/>
    <s v=" "/>
    <n v="141.60999999999999"/>
    <s v="375.78"/>
    <m/>
    <m/>
    <m/>
    <n v="0"/>
    <n v="0"/>
    <m/>
    <m/>
    <m/>
    <m/>
    <m/>
    <m/>
    <m/>
    <m/>
    <n v="0"/>
    <n v="0"/>
    <n v="0"/>
    <n v="12"/>
    <n v="12"/>
    <m/>
    <m/>
    <n v="0"/>
    <n v="149.41"/>
    <m/>
    <x v="34"/>
    <m/>
    <m/>
    <m/>
    <m/>
  </r>
  <r>
    <x v="0"/>
    <x v="3"/>
    <s v="7898/3"/>
    <x v="283"/>
    <s v="العمر پلاسٹک گوجرانوالہ"/>
    <s v="PP"/>
    <n v="16"/>
    <s v="6"/>
    <s v="PP"/>
    <n v="1000"/>
    <m/>
    <n v="3"/>
    <n v="169.24"/>
    <n v="4.8000000000000007"/>
    <m/>
    <s v=" "/>
    <n v="164.44"/>
    <s v="1057.7"/>
    <m/>
    <m/>
    <m/>
    <n v="0"/>
    <n v="0"/>
    <m/>
    <m/>
    <m/>
    <m/>
    <m/>
    <m/>
    <m/>
    <m/>
    <n v="0"/>
    <n v="0"/>
    <n v="0"/>
    <n v="12"/>
    <n v="12"/>
    <m/>
    <m/>
    <n v="0"/>
    <n v="174.24"/>
    <m/>
    <x v="34"/>
    <m/>
    <m/>
    <m/>
    <m/>
  </r>
  <r>
    <x v="0"/>
    <x v="3"/>
    <s v="7893/2"/>
    <x v="283"/>
    <s v="ایم دین پنڈی"/>
    <s v="PP"/>
    <n v="16"/>
    <s v="15"/>
    <s v="PP"/>
    <n v="150"/>
    <m/>
    <n v="6"/>
    <n v="307.92"/>
    <n v="9.6000000000000014"/>
    <m/>
    <s v=" "/>
    <n v="298.32"/>
    <s v="298.32"/>
    <n v="25"/>
    <m/>
    <m/>
    <n v="25"/>
    <n v="0.41666666666666674"/>
    <m/>
    <m/>
    <m/>
    <m/>
    <m/>
    <m/>
    <m/>
    <m/>
    <n v="0"/>
    <n v="0"/>
    <n v="0.41666666666666674"/>
    <n v="11.583333333333334"/>
    <n v="12"/>
    <m/>
    <m/>
    <n v="0"/>
    <n v="312.92"/>
    <m/>
    <x v="34"/>
    <m/>
    <m/>
    <m/>
    <m/>
  </r>
  <r>
    <x v="1"/>
    <x v="3"/>
    <s v="8628 J"/>
    <x v="283"/>
    <s v="Special Papari Nimko Kamonki "/>
    <s v="PP"/>
    <n v="15"/>
    <s v="8"/>
    <s v="PP"/>
    <n v="100"/>
    <m/>
    <n v="1"/>
    <n v="23.6"/>
    <n v="1.5"/>
    <m/>
    <s v=" "/>
    <n v="22.1"/>
    <s v="22.1"/>
    <m/>
    <m/>
    <m/>
    <n v="0"/>
    <n v="0"/>
    <m/>
    <m/>
    <m/>
    <m/>
    <m/>
    <m/>
    <m/>
    <m/>
    <n v="0"/>
    <n v="0"/>
    <n v="0"/>
    <n v="12"/>
    <n v="12"/>
    <m/>
    <m/>
    <n v="0"/>
    <n v="28.6"/>
    <m/>
    <x v="34"/>
    <m/>
    <m/>
    <m/>
    <m/>
  </r>
  <r>
    <x v="1"/>
    <x v="3"/>
    <s v="7896/2"/>
    <x v="283"/>
    <s v="ایم عمران پاکستان مارکیٹ"/>
    <s v="PP"/>
    <n v="15"/>
    <s v="6.5"/>
    <s v="PP"/>
    <n v="500"/>
    <m/>
    <n v="14"/>
    <n v="478.38000000000005"/>
    <n v="21"/>
    <m/>
    <s v=" "/>
    <n v="457.38000000000005"/>
    <s v="549.06000000000006"/>
    <m/>
    <m/>
    <m/>
    <n v="0"/>
    <n v="0"/>
    <m/>
    <m/>
    <m/>
    <m/>
    <m/>
    <m/>
    <m/>
    <m/>
    <n v="0"/>
    <n v="0"/>
    <n v="0"/>
    <n v="12"/>
    <n v="12"/>
    <m/>
    <m/>
    <n v="0"/>
    <n v="483.38000000000005"/>
    <m/>
    <x v="34"/>
    <m/>
    <m/>
    <m/>
    <m/>
  </r>
  <r>
    <x v="0"/>
    <x v="4"/>
    <s v="7898/4"/>
    <x v="283"/>
    <s v="العمر پلاسٹک گوجرانوالہ"/>
    <s v="PP"/>
    <n v="18"/>
    <s v="6"/>
    <s v="PP"/>
    <n v="500"/>
    <m/>
    <n v="7"/>
    <n v="413.94"/>
    <n v="12.6"/>
    <m/>
    <s v=" "/>
    <n v="401.34"/>
    <s v="794.98"/>
    <m/>
    <m/>
    <m/>
    <n v="0"/>
    <n v="0"/>
    <m/>
    <m/>
    <m/>
    <m/>
    <m/>
    <m/>
    <m/>
    <m/>
    <n v="0"/>
    <n v="0"/>
    <n v="0"/>
    <n v="12"/>
    <n v="12"/>
    <m/>
    <m/>
    <n v="0"/>
    <n v="418.94"/>
    <m/>
    <x v="34"/>
    <m/>
    <m/>
    <m/>
    <m/>
  </r>
  <r>
    <x v="1"/>
    <x v="4"/>
    <s v="7898/4"/>
    <x v="283"/>
    <s v="العمر پلاسٹک گوجرانوالہ"/>
    <s v="PP"/>
    <n v="18"/>
    <s v="6"/>
    <s v="PP"/>
    <n v="500"/>
    <m/>
    <n v="4"/>
    <n v="208.45999999999998"/>
    <n v="7.2"/>
    <m/>
    <s v=" "/>
    <n v="201.26"/>
    <s v="794.98"/>
    <n v="25"/>
    <m/>
    <m/>
    <n v="25"/>
    <n v="0.41666666666666674"/>
    <m/>
    <m/>
    <m/>
    <m/>
    <m/>
    <m/>
    <m/>
    <m/>
    <n v="0"/>
    <n v="0"/>
    <n v="0.41666666666666674"/>
    <n v="11.583333333333334"/>
    <n v="12"/>
    <m/>
    <m/>
    <n v="0"/>
    <n v="213.46"/>
    <m/>
    <x v="34"/>
    <m/>
    <m/>
    <m/>
    <m/>
  </r>
  <r>
    <x v="1"/>
    <x v="4"/>
    <s v="12/18"/>
    <x v="283"/>
    <s v="سٹاک"/>
    <s v="PP"/>
    <n v="12"/>
    <n v="5"/>
    <s v="PP"/>
    <n v="1500"/>
    <m/>
    <n v="4"/>
    <n v="183.78"/>
    <n v="4.8"/>
    <m/>
    <s v=" "/>
    <n v="178.98"/>
    <s v="1629.1000000000001"/>
    <m/>
    <m/>
    <m/>
    <n v="0"/>
    <n v="0"/>
    <m/>
    <m/>
    <m/>
    <m/>
    <m/>
    <m/>
    <m/>
    <m/>
    <n v="0"/>
    <n v="0"/>
    <n v="0"/>
    <n v="12"/>
    <n v="12"/>
    <m/>
    <m/>
    <n v="0"/>
    <n v="188.78"/>
    <m/>
    <x v="34"/>
    <m/>
    <m/>
    <m/>
    <m/>
  </r>
  <r>
    <x v="0"/>
    <x v="1"/>
    <s v="7903/13"/>
    <x v="284"/>
    <s v="محبوب مقبول گوجرانوالہ"/>
    <s v="PP"/>
    <n v="4"/>
    <s v="5"/>
    <s v="PP"/>
    <s v="8رول بیگ"/>
    <m/>
    <n v="6"/>
    <n v="122.82999999999998"/>
    <n v="2.4000000000000004"/>
    <m/>
    <s v=" "/>
    <n v="120.42999999999998"/>
    <s v="375.78"/>
    <m/>
    <m/>
    <m/>
    <n v="0"/>
    <n v="0"/>
    <m/>
    <m/>
    <m/>
    <m/>
    <m/>
    <m/>
    <m/>
    <m/>
    <n v="0"/>
    <n v="0"/>
    <n v="0"/>
    <n v="12"/>
    <n v="12"/>
    <m/>
    <m/>
    <n v="0"/>
    <n v="127.82999999999998"/>
    <m/>
    <x v="34"/>
    <m/>
    <m/>
    <m/>
    <m/>
  </r>
  <r>
    <x v="0"/>
    <x v="1"/>
    <s v="3/20"/>
    <x v="284"/>
    <s v="سٹاک"/>
    <s v="PP"/>
    <n v="3"/>
    <s v="5.5-6"/>
    <s v="PP"/>
    <s v="8رول بیگ"/>
    <m/>
    <n v="1"/>
    <n v="22.06"/>
    <n v="0.3"/>
    <m/>
    <s v=" "/>
    <n v="21.759999999999998"/>
    <s v="245.15"/>
    <n v="20"/>
    <m/>
    <m/>
    <n v="20"/>
    <n v="0.33333333333333331"/>
    <m/>
    <m/>
    <m/>
    <m/>
    <m/>
    <m/>
    <m/>
    <m/>
    <n v="0"/>
    <n v="0"/>
    <n v="0.33333333333333331"/>
    <n v="11.666666666666666"/>
    <n v="12"/>
    <m/>
    <m/>
    <n v="0"/>
    <n v="27.06"/>
    <m/>
    <x v="34"/>
    <m/>
    <m/>
    <m/>
    <m/>
  </r>
  <r>
    <x v="1"/>
    <x v="1"/>
    <s v="3/20"/>
    <x v="284"/>
    <s v="سٹاک"/>
    <s v="PP"/>
    <n v="3"/>
    <s v="5.5-6"/>
    <s v="PP"/>
    <s v="8رول بیگ"/>
    <m/>
    <n v="6"/>
    <n v="117.82000000000001"/>
    <n v="1.7999999999999998"/>
    <m/>
    <s v=" "/>
    <n v="116.02000000000001"/>
    <s v="245.15"/>
    <m/>
    <m/>
    <m/>
    <n v="0"/>
    <n v="0"/>
    <m/>
    <m/>
    <m/>
    <m/>
    <m/>
    <m/>
    <m/>
    <m/>
    <n v="0"/>
    <n v="0"/>
    <n v="0"/>
    <n v="12"/>
    <n v="12"/>
    <m/>
    <m/>
    <n v="0"/>
    <n v="122.82"/>
    <m/>
    <x v="34"/>
    <m/>
    <m/>
    <m/>
    <m/>
  </r>
  <r>
    <x v="0"/>
    <x v="3"/>
    <s v="7896/2"/>
    <x v="284"/>
    <s v="ایم عمران پاکستان مارکیٹ"/>
    <s v="PP"/>
    <n v="15"/>
    <s v="6.5"/>
    <s v="PP"/>
    <n v="500"/>
    <m/>
    <n v="2"/>
    <n v="95.38"/>
    <n v="3.7"/>
    <m/>
    <s v=" "/>
    <n v="91.679999999999993"/>
    <s v="549.06000000000006"/>
    <m/>
    <m/>
    <m/>
    <n v="0"/>
    <n v="0"/>
    <m/>
    <m/>
    <m/>
    <m/>
    <m/>
    <m/>
    <m/>
    <m/>
    <n v="0"/>
    <n v="0"/>
    <n v="0"/>
    <n v="12"/>
    <n v="12"/>
    <m/>
    <m/>
    <n v="0"/>
    <n v="100.38"/>
    <m/>
    <x v="34"/>
    <m/>
    <m/>
    <m/>
    <m/>
  </r>
  <r>
    <x v="0"/>
    <x v="3"/>
    <s v="7901/3"/>
    <x v="284"/>
    <s v="ہیڈافس لاہور"/>
    <s v="PP"/>
    <n v="15"/>
    <s v="7"/>
    <s v="PP"/>
    <n v="200"/>
    <m/>
    <n v="8"/>
    <n v="422.52"/>
    <n v="14.4"/>
    <n v="8"/>
    <s v=" "/>
    <n v="408.12"/>
    <s v="408.12"/>
    <n v="20"/>
    <m/>
    <m/>
    <n v="20"/>
    <n v="0.33333333333333331"/>
    <m/>
    <m/>
    <m/>
    <m/>
    <m/>
    <m/>
    <m/>
    <m/>
    <n v="0"/>
    <n v="0"/>
    <n v="0.33333333333333331"/>
    <n v="11.666666666666666"/>
    <n v="12"/>
    <m/>
    <m/>
    <n v="0"/>
    <n v="427.52"/>
    <m/>
    <x v="34"/>
    <m/>
    <m/>
    <m/>
    <m/>
  </r>
  <r>
    <x v="1"/>
    <x v="3"/>
    <s v="8636 J"/>
    <x v="284"/>
    <s v="Laam Lungi By M Shawl Lahore "/>
    <s v="PP"/>
    <n v="14"/>
    <s v="6-6.5"/>
    <s v="PP"/>
    <n v="100"/>
    <m/>
    <n v="2"/>
    <n v="112.62"/>
    <n v="2.8"/>
    <n v="19"/>
    <s v=" "/>
    <n v="109.82000000000001"/>
    <s v="109.82000000000001"/>
    <m/>
    <m/>
    <m/>
    <n v="0"/>
    <n v="0"/>
    <m/>
    <m/>
    <m/>
    <m/>
    <m/>
    <m/>
    <m/>
    <m/>
    <n v="0"/>
    <n v="0"/>
    <n v="0"/>
    <n v="12"/>
    <n v="12"/>
    <m/>
    <m/>
    <n v="0"/>
    <n v="117.62"/>
    <m/>
    <x v="34"/>
    <m/>
    <m/>
    <m/>
    <m/>
  </r>
  <r>
    <x v="1"/>
    <x v="3"/>
    <s v="7915/8"/>
    <x v="284"/>
    <s v="آصف پلاسٹک سرگودھا"/>
    <s v="PP"/>
    <n v="14"/>
    <s v="4.5"/>
    <s v="PP"/>
    <n v="150"/>
    <m/>
    <n v="4"/>
    <n v="163.14000000000001"/>
    <n v="5.0999999999999996"/>
    <m/>
    <s v=" "/>
    <n v="158.04000000000002"/>
    <s v="158.04000000000002"/>
    <n v="30"/>
    <m/>
    <m/>
    <n v="30"/>
    <n v="0.5"/>
    <m/>
    <m/>
    <m/>
    <m/>
    <m/>
    <m/>
    <m/>
    <m/>
    <n v="0"/>
    <n v="0"/>
    <n v="0.5"/>
    <n v="11.5"/>
    <n v="12"/>
    <m/>
    <m/>
    <n v="0"/>
    <n v="168.14"/>
    <m/>
    <x v="34"/>
    <m/>
    <m/>
    <m/>
    <m/>
  </r>
  <r>
    <x v="1"/>
    <x v="3"/>
    <s v="8706 J"/>
    <x v="284"/>
    <s v="Bundu Khan Lahore"/>
    <s v="PP"/>
    <s v="18&quot; شیٹ"/>
    <s v="4-4.5/8-9"/>
    <s v="PP"/>
    <n v="100"/>
    <m/>
    <n v="3"/>
    <n v="102.34"/>
    <n v="5.4"/>
    <m/>
    <s v=" "/>
    <n v="96.94"/>
    <s v="96.94"/>
    <m/>
    <m/>
    <m/>
    <n v="0"/>
    <n v="0"/>
    <m/>
    <m/>
    <m/>
    <m/>
    <m/>
    <m/>
    <m/>
    <m/>
    <n v="0"/>
    <n v="0"/>
    <n v="0"/>
    <n v="12"/>
    <n v="12"/>
    <m/>
    <m/>
    <n v="0"/>
    <n v="107.34"/>
    <m/>
    <x v="34"/>
    <m/>
    <m/>
    <m/>
    <m/>
  </r>
  <r>
    <x v="1"/>
    <x v="3"/>
    <s v="8645 J"/>
    <x v="284"/>
    <s v="Special Papari Nimko Kamonki "/>
    <s v="PP"/>
    <n v="18"/>
    <s v="8"/>
    <s v="PP"/>
    <n v="100"/>
    <m/>
    <n v="1"/>
    <n v="58.84"/>
    <n v="1.8"/>
    <m/>
    <s v=" "/>
    <n v="57.040000000000006"/>
    <s v="105.14000000000001"/>
    <m/>
    <m/>
    <m/>
    <n v="0"/>
    <n v="0"/>
    <m/>
    <m/>
    <m/>
    <m/>
    <m/>
    <m/>
    <m/>
    <m/>
    <n v="0"/>
    <n v="0"/>
    <n v="0"/>
    <n v="12"/>
    <n v="12"/>
    <m/>
    <m/>
    <n v="0"/>
    <n v="63.84"/>
    <m/>
    <x v="34"/>
    <m/>
    <m/>
    <m/>
    <m/>
  </r>
  <r>
    <x v="0"/>
    <x v="4"/>
    <s v="12/18"/>
    <x v="284"/>
    <s v="سٹاک"/>
    <s v="PP"/>
    <n v="12"/>
    <n v="5"/>
    <s v="PP"/>
    <n v="1500"/>
    <m/>
    <n v="8"/>
    <n v="448.29999999999995"/>
    <n v="9.6"/>
    <m/>
    <s v=" "/>
    <n v="438.69999999999993"/>
    <s v="1629.1000000000001"/>
    <m/>
    <m/>
    <m/>
    <n v="0"/>
    <n v="0"/>
    <m/>
    <m/>
    <m/>
    <m/>
    <m/>
    <m/>
    <m/>
    <m/>
    <n v="0"/>
    <n v="0"/>
    <n v="0"/>
    <n v="12"/>
    <n v="12"/>
    <m/>
    <m/>
    <n v="0"/>
    <n v="453.2999999999999"/>
    <m/>
    <x v="34"/>
    <m/>
    <m/>
    <m/>
    <m/>
  </r>
  <r>
    <x v="1"/>
    <x v="4"/>
    <s v="12/18"/>
    <x v="284"/>
    <s v="سٹاک"/>
    <s v="PP"/>
    <n v="12"/>
    <n v="5"/>
    <s v="PP"/>
    <n v="1500"/>
    <m/>
    <n v="8"/>
    <n v="395.96000000000004"/>
    <n v="9.6"/>
    <m/>
    <s v=" "/>
    <n v="386.36"/>
    <s v="1629.1000000000001"/>
    <m/>
    <m/>
    <m/>
    <n v="0"/>
    <n v="0"/>
    <m/>
    <m/>
    <m/>
    <m/>
    <m/>
    <m/>
    <m/>
    <m/>
    <n v="0"/>
    <n v="0"/>
    <n v="0"/>
    <n v="12"/>
    <n v="12"/>
    <m/>
    <m/>
    <n v="0"/>
    <n v="400.96"/>
    <m/>
    <x v="34"/>
    <m/>
    <m/>
    <m/>
    <m/>
  </r>
  <r>
    <x v="0"/>
    <x v="1"/>
    <s v="3/20"/>
    <x v="285"/>
    <s v="سٹاک"/>
    <s v="PP"/>
    <n v="3"/>
    <s v="5.5-6"/>
    <s v="PP"/>
    <s v="8رول بیگ"/>
    <m/>
    <n v="6"/>
    <n v="109.17"/>
    <n v="1.7999999999999998"/>
    <m/>
    <s v=" "/>
    <n v="107.37"/>
    <s v="245.15"/>
    <m/>
    <m/>
    <m/>
    <n v="0"/>
    <n v="0"/>
    <m/>
    <m/>
    <m/>
    <m/>
    <m/>
    <m/>
    <m/>
    <m/>
    <n v="0"/>
    <n v="0"/>
    <n v="0"/>
    <n v="12"/>
    <n v="12"/>
    <m/>
    <m/>
    <n v="0"/>
    <n v="114.17"/>
    <m/>
    <x v="34"/>
    <m/>
    <m/>
    <m/>
    <m/>
  </r>
  <r>
    <x v="0"/>
    <x v="1"/>
    <s v="5/10"/>
    <x v="285"/>
    <s v="سٹاک"/>
    <s v="PP"/>
    <n v="5"/>
    <s v="5.5-6"/>
    <s v="PP"/>
    <n v="1000"/>
    <m/>
    <n v="2"/>
    <n v="25.049999999999997"/>
    <n v="1"/>
    <n v="5"/>
    <s v=" "/>
    <n v="24.049999999999997"/>
    <s v="642.51"/>
    <n v="30"/>
    <m/>
    <m/>
    <n v="30"/>
    <n v="0.5"/>
    <m/>
    <m/>
    <m/>
    <m/>
    <m/>
    <m/>
    <m/>
    <m/>
    <n v="0"/>
    <n v="0"/>
    <n v="0.5"/>
    <n v="11.5"/>
    <n v="12"/>
    <m/>
    <m/>
    <n v="0"/>
    <n v="30.049999999999997"/>
    <m/>
    <x v="34"/>
    <m/>
    <m/>
    <m/>
    <m/>
  </r>
  <r>
    <x v="1"/>
    <x v="1"/>
    <s v="5/10"/>
    <x v="285"/>
    <s v="سٹاک"/>
    <s v="PP"/>
    <n v="5"/>
    <s v="5.5-6"/>
    <s v="PP"/>
    <n v="1000"/>
    <m/>
    <n v="7"/>
    <n v="137.84"/>
    <n v="3.5"/>
    <n v="3"/>
    <s v=" "/>
    <n v="134.34"/>
    <s v="642.51"/>
    <m/>
    <m/>
    <m/>
    <n v="0"/>
    <n v="0"/>
    <m/>
    <m/>
    <m/>
    <m/>
    <m/>
    <m/>
    <m/>
    <m/>
    <n v="0"/>
    <n v="0"/>
    <n v="0"/>
    <n v="12"/>
    <n v="12"/>
    <m/>
    <m/>
    <n v="0"/>
    <n v="142.84"/>
    <m/>
    <x v="34"/>
    <m/>
    <m/>
    <m/>
    <m/>
  </r>
  <r>
    <x v="0"/>
    <x v="3"/>
    <s v="8645 J"/>
    <x v="285"/>
    <s v="Special Papari Nimko Kamonki "/>
    <s v="PP"/>
    <n v="18"/>
    <s v="8"/>
    <s v="PP"/>
    <n v="100"/>
    <m/>
    <n v="1"/>
    <n v="50.2"/>
    <n v="2.1"/>
    <m/>
    <s v=" "/>
    <n v="48.1"/>
    <s v="105.14000000000001"/>
    <m/>
    <m/>
    <m/>
    <n v="0"/>
    <n v="0"/>
    <m/>
    <m/>
    <m/>
    <m/>
    <m/>
    <n v="540"/>
    <m/>
    <m/>
    <n v="540"/>
    <n v="9"/>
    <n v="9"/>
    <n v="3"/>
    <n v="12"/>
    <m/>
    <m/>
    <n v="0"/>
    <n v="55.2"/>
    <m/>
    <x v="34"/>
    <m/>
    <m/>
    <m/>
    <m/>
  </r>
  <r>
    <x v="0"/>
    <x v="4"/>
    <s v="12/18"/>
    <x v="285"/>
    <s v="سٹاک"/>
    <s v="PP"/>
    <n v="12"/>
    <n v="5"/>
    <s v="PP"/>
    <n v="1500"/>
    <m/>
    <n v="8"/>
    <n v="484.68"/>
    <n v="10.299999999999999"/>
    <n v="1"/>
    <s v=" "/>
    <n v="474.38"/>
    <s v="1629.1000000000001"/>
    <m/>
    <m/>
    <m/>
    <n v="0"/>
    <n v="0"/>
    <m/>
    <m/>
    <m/>
    <m/>
    <m/>
    <m/>
    <m/>
    <m/>
    <n v="0"/>
    <n v="0"/>
    <n v="0"/>
    <n v="12"/>
    <n v="12"/>
    <m/>
    <m/>
    <n v="0"/>
    <n v="489.68"/>
    <m/>
    <x v="34"/>
    <m/>
    <m/>
    <m/>
    <m/>
  </r>
  <r>
    <x v="1"/>
    <x v="4"/>
    <s v="12/18"/>
    <x v="285"/>
    <s v="سٹاک"/>
    <s v="PP"/>
    <n v="12"/>
    <n v="5"/>
    <s v="PP"/>
    <n v="1500"/>
    <m/>
    <n v="3"/>
    <n v="154.28"/>
    <n v="3.5999999999999996"/>
    <n v="1"/>
    <s v=" "/>
    <n v="150.68"/>
    <s v="1629.1000000000001"/>
    <m/>
    <m/>
    <m/>
    <n v="0"/>
    <n v="0"/>
    <m/>
    <m/>
    <m/>
    <m/>
    <m/>
    <m/>
    <m/>
    <m/>
    <n v="0"/>
    <n v="0"/>
    <n v="0"/>
    <n v="12"/>
    <n v="12"/>
    <m/>
    <m/>
    <n v="0"/>
    <n v="159.28"/>
    <m/>
    <x v="34"/>
    <m/>
    <m/>
    <m/>
    <m/>
  </r>
  <r>
    <x v="1"/>
    <x v="4"/>
    <s v="7915/1"/>
    <x v="285"/>
    <s v="آصف پلاسٹک سرگودھا"/>
    <s v="PP"/>
    <n v="12"/>
    <s v="4.5"/>
    <s v="PP"/>
    <n v="300"/>
    <m/>
    <n v="5"/>
    <n v="249.04"/>
    <n v="6"/>
    <m/>
    <s v=" "/>
    <n v="243.04"/>
    <s v="644.83999999999992"/>
    <m/>
    <m/>
    <m/>
    <n v="0"/>
    <n v="0"/>
    <m/>
    <m/>
    <m/>
    <m/>
    <m/>
    <m/>
    <m/>
    <m/>
    <n v="0"/>
    <n v="0"/>
    <n v="0"/>
    <n v="12"/>
    <n v="12"/>
    <m/>
    <m/>
    <n v="0"/>
    <n v="254.04"/>
    <m/>
    <x v="34"/>
    <m/>
    <m/>
    <m/>
    <m/>
  </r>
  <r>
    <x v="0"/>
    <x v="1"/>
    <s v="5/10"/>
    <x v="286"/>
    <s v="سٹاک"/>
    <s v="PP"/>
    <n v="5"/>
    <s v="5.5-6"/>
    <s v="PP"/>
    <n v="1000"/>
    <m/>
    <n v="9"/>
    <n v="177.89000000000001"/>
    <n v="4.5"/>
    <m/>
    <s v=" "/>
    <n v="173.39000000000001"/>
    <s v="642.51"/>
    <m/>
    <m/>
    <m/>
    <n v="0"/>
    <n v="0"/>
    <m/>
    <m/>
    <m/>
    <m/>
    <m/>
    <m/>
    <m/>
    <m/>
    <n v="0"/>
    <n v="0"/>
    <n v="0"/>
    <n v="12"/>
    <n v="12"/>
    <m/>
    <m/>
    <n v="0"/>
    <n v="182.89"/>
    <m/>
    <x v="34"/>
    <m/>
    <m/>
    <m/>
    <m/>
  </r>
  <r>
    <x v="1"/>
    <x v="1"/>
    <s v="5/10"/>
    <x v="286"/>
    <s v="سٹاک"/>
    <s v="PP"/>
    <n v="5"/>
    <s v="5.5-6"/>
    <s v="PP"/>
    <n v="1000"/>
    <m/>
    <n v="8"/>
    <n v="158.19"/>
    <n v="7.2"/>
    <m/>
    <s v=" "/>
    <n v="150.99"/>
    <s v="642.51"/>
    <m/>
    <m/>
    <m/>
    <n v="0"/>
    <n v="0"/>
    <m/>
    <m/>
    <m/>
    <m/>
    <m/>
    <m/>
    <m/>
    <m/>
    <n v="0"/>
    <n v="0"/>
    <n v="0"/>
    <n v="12"/>
    <n v="12"/>
    <m/>
    <m/>
    <n v="0"/>
    <n v="163.19"/>
    <m/>
    <x v="34"/>
    <m/>
    <m/>
    <m/>
    <m/>
  </r>
  <r>
    <x v="0"/>
    <x v="4"/>
    <s v="7915/1"/>
    <x v="286"/>
    <s v="آصف پلاسٹک سرگودھا"/>
    <s v="PP"/>
    <n v="12"/>
    <s v="4.5"/>
    <s v="PP"/>
    <n v="300"/>
    <m/>
    <n v="8"/>
    <n v="411.4"/>
    <n v="9.6"/>
    <n v="1.5"/>
    <s v=" "/>
    <n v="401.79999999999995"/>
    <s v="644.83999999999992"/>
    <n v="20"/>
    <m/>
    <m/>
    <n v="20"/>
    <n v="0.33333333333333331"/>
    <m/>
    <m/>
    <m/>
    <m/>
    <m/>
    <m/>
    <m/>
    <m/>
    <n v="0"/>
    <n v="0"/>
    <n v="0.33333333333333331"/>
    <n v="11.666666666666666"/>
    <n v="12"/>
    <m/>
    <m/>
    <n v="0"/>
    <n v="416.4"/>
    <m/>
    <x v="34"/>
    <m/>
    <m/>
    <m/>
    <m/>
  </r>
  <r>
    <x v="1"/>
    <x v="4"/>
    <s v="7887/4"/>
    <x v="286"/>
    <s v="نیو پاک جھنگ"/>
    <s v="PP"/>
    <n v="9"/>
    <s v="4.5"/>
    <s v="PP"/>
    <n v="100"/>
    <m/>
    <n v="9"/>
    <n v="386.92"/>
    <n v="10.799999999999999"/>
    <n v="1.5"/>
    <s v=" "/>
    <n v="376.12"/>
    <s v="454.46000000000004"/>
    <m/>
    <m/>
    <m/>
    <n v="0"/>
    <n v="0"/>
    <m/>
    <m/>
    <m/>
    <m/>
    <m/>
    <m/>
    <m/>
    <m/>
    <n v="0"/>
    <n v="0"/>
    <n v="0"/>
    <n v="12"/>
    <n v="12"/>
    <m/>
    <m/>
    <n v="0"/>
    <n v="391.92"/>
    <m/>
    <x v="34"/>
    <m/>
    <m/>
    <m/>
    <m/>
  </r>
  <r>
    <x v="0"/>
    <x v="3"/>
    <s v="7898/7"/>
    <x v="286"/>
    <s v="العمر پلاسٹک گوجرانوالہ"/>
    <s v="PP"/>
    <n v="22"/>
    <s v="6"/>
    <s v="PP"/>
    <n v="250"/>
    <m/>
    <n v="4"/>
    <n v="249.57"/>
    <n v="8.65"/>
    <m/>
    <s v=" "/>
    <n v="240.92"/>
    <s v="240.92"/>
    <m/>
    <m/>
    <m/>
    <n v="0"/>
    <n v="0"/>
    <m/>
    <m/>
    <m/>
    <m/>
    <m/>
    <m/>
    <m/>
    <m/>
    <n v="0"/>
    <n v="0"/>
    <n v="0"/>
    <n v="12"/>
    <n v="12"/>
    <m/>
    <m/>
    <n v="0"/>
    <n v="254.57"/>
    <m/>
    <x v="34"/>
    <m/>
    <m/>
    <m/>
    <m/>
  </r>
  <r>
    <x v="0"/>
    <x v="3"/>
    <s v="8679 J"/>
    <x v="286"/>
    <s v="Ali Sweets And Bakers Raheem Yar Khan"/>
    <s v="PP"/>
    <n v="22"/>
    <s v="6-6.5"/>
    <s v="PP"/>
    <n v="100"/>
    <m/>
    <n v="2"/>
    <n v="109"/>
    <n v="5.6999999999999993"/>
    <n v="14"/>
    <s v=" "/>
    <n v="103.3"/>
    <s v="103.3"/>
    <n v="30"/>
    <n v="180"/>
    <m/>
    <n v="210"/>
    <n v="3.5"/>
    <m/>
    <m/>
    <m/>
    <m/>
    <m/>
    <m/>
    <m/>
    <m/>
    <n v="0"/>
    <n v="0"/>
    <n v="3.5"/>
    <n v="8.5"/>
    <n v="12"/>
    <m/>
    <m/>
    <n v="0"/>
    <n v="114"/>
    <m/>
    <x v="34"/>
    <m/>
    <m/>
    <m/>
    <m/>
  </r>
  <r>
    <x v="1"/>
    <x v="3"/>
    <s v="7912/1"/>
    <x v="286"/>
    <s v="ریفلیکٹ پیک لاہور"/>
    <s v="PP"/>
    <n v="17"/>
    <s v="5.5-6"/>
    <s v="PP"/>
    <n v="500"/>
    <m/>
    <n v="9"/>
    <n v="475.41999999999996"/>
    <n v="15.299999999999999"/>
    <n v="17"/>
    <s v=" "/>
    <n v="460.11999999999995"/>
    <s v="724.3599999999999"/>
    <m/>
    <m/>
    <m/>
    <n v="0"/>
    <n v="0"/>
    <m/>
    <m/>
    <m/>
    <m/>
    <m/>
    <m/>
    <m/>
    <m/>
    <n v="0"/>
    <n v="0"/>
    <n v="0"/>
    <n v="12"/>
    <n v="12"/>
    <m/>
    <m/>
    <n v="0"/>
    <n v="480.42"/>
    <m/>
    <x v="34"/>
    <m/>
    <m/>
    <m/>
    <m/>
  </r>
  <r>
    <x v="0"/>
    <x v="1"/>
    <s v="5/10"/>
    <x v="287"/>
    <s v="سٹاک"/>
    <s v="PP"/>
    <n v="5"/>
    <s v="5.5-6"/>
    <s v="PP"/>
    <n v="1000"/>
    <m/>
    <n v="9"/>
    <n v="163.74"/>
    <n v="4"/>
    <n v="19"/>
    <s v=" "/>
    <n v="159.74"/>
    <s v="642.51"/>
    <m/>
    <m/>
    <m/>
    <n v="0"/>
    <n v="0"/>
    <m/>
    <m/>
    <m/>
    <m/>
    <m/>
    <m/>
    <m/>
    <m/>
    <n v="0"/>
    <n v="0"/>
    <n v="0"/>
    <n v="12"/>
    <n v="12"/>
    <m/>
    <m/>
    <n v="0"/>
    <n v="168.74"/>
    <m/>
    <x v="34"/>
    <m/>
    <m/>
    <m/>
    <m/>
  </r>
  <r>
    <x v="1"/>
    <x v="1"/>
    <s v="5/9"/>
    <x v="287"/>
    <s v="سٹاک"/>
    <s v="PP"/>
    <n v="5"/>
    <s v="5.5-6"/>
    <s v="PP"/>
    <n v="500"/>
    <m/>
    <n v="8"/>
    <n v="168.17999999999998"/>
    <n v="4"/>
    <n v="6"/>
    <s v=" "/>
    <n v="164.17999999999998"/>
    <s v="1004.63"/>
    <m/>
    <m/>
    <m/>
    <n v="0"/>
    <n v="0"/>
    <m/>
    <m/>
    <m/>
    <m/>
    <m/>
    <m/>
    <m/>
    <m/>
    <n v="0"/>
    <n v="0"/>
    <n v="0"/>
    <n v="12"/>
    <n v="12"/>
    <m/>
    <m/>
    <n v="0"/>
    <n v="173.17999999999998"/>
    <m/>
    <x v="34"/>
    <m/>
    <m/>
    <m/>
    <m/>
  </r>
  <r>
    <x v="0"/>
    <x v="3"/>
    <s v="7912/1"/>
    <x v="287"/>
    <s v="ریفلیکٹ پیک لاہور"/>
    <s v="PP"/>
    <n v="17"/>
    <s v="5.5-6"/>
    <s v="PP"/>
    <n v="500"/>
    <m/>
    <n v="5"/>
    <n v="272.74"/>
    <n v="8.5"/>
    <m/>
    <s v=" "/>
    <n v="264.24"/>
    <s v="724.3599999999999"/>
    <m/>
    <m/>
    <m/>
    <n v="0"/>
    <n v="0"/>
    <m/>
    <m/>
    <m/>
    <m/>
    <m/>
    <m/>
    <m/>
    <m/>
    <n v="0"/>
    <n v="0"/>
    <n v="0"/>
    <n v="12"/>
    <n v="12"/>
    <m/>
    <m/>
    <n v="0"/>
    <n v="277.74"/>
    <m/>
    <x v="34"/>
    <m/>
    <m/>
    <m/>
    <m/>
  </r>
  <r>
    <x v="0"/>
    <x v="3"/>
    <s v="7890/1"/>
    <x v="287"/>
    <s v="جناح  پیپر اردو بازار"/>
    <s v="PP"/>
    <n v="17"/>
    <s v="10.5 گرام"/>
    <s v="PP"/>
    <n v="750"/>
    <m/>
    <n v="5"/>
    <n v="249"/>
    <n v="8.5"/>
    <m/>
    <s v=" "/>
    <n v="240.5"/>
    <s v="728.90000000000009"/>
    <m/>
    <m/>
    <m/>
    <n v="0"/>
    <n v="0"/>
    <m/>
    <m/>
    <m/>
    <m/>
    <m/>
    <m/>
    <m/>
    <m/>
    <n v="0"/>
    <n v="0"/>
    <n v="0"/>
    <n v="12"/>
    <n v="12"/>
    <m/>
    <m/>
    <n v="0"/>
    <n v="254"/>
    <m/>
    <x v="34"/>
    <m/>
    <m/>
    <m/>
    <m/>
  </r>
  <r>
    <x v="1"/>
    <x v="3"/>
    <s v="7890/1"/>
    <x v="287"/>
    <s v="جناح  پیپر اردو بازار"/>
    <s v="PP"/>
    <n v="17"/>
    <s v="10.5 گرام"/>
    <s v="PP"/>
    <n v="750"/>
    <m/>
    <n v="11"/>
    <n v="507.10000000000008"/>
    <n v="18.7"/>
    <m/>
    <s v=" "/>
    <n v="488.40000000000009"/>
    <s v="728.90000000000009"/>
    <n v="25"/>
    <m/>
    <m/>
    <n v="25"/>
    <n v="0.41666666666666674"/>
    <m/>
    <m/>
    <m/>
    <m/>
    <m/>
    <m/>
    <m/>
    <m/>
    <n v="0"/>
    <n v="0"/>
    <n v="0.41666666666666674"/>
    <n v="11.583333333333334"/>
    <n v="12"/>
    <m/>
    <m/>
    <n v="0"/>
    <n v="512.10000000000014"/>
    <m/>
    <x v="34"/>
    <m/>
    <m/>
    <m/>
    <m/>
  </r>
  <r>
    <x v="1"/>
    <x v="3"/>
    <s v="7913A/1"/>
    <x v="287"/>
    <s v="ریفلیکٹ پیک لاہور"/>
    <s v="PP"/>
    <n v="16"/>
    <s v="5.5-6"/>
    <s v="PP"/>
    <n v="500"/>
    <m/>
    <n v="1"/>
    <n v="62.6"/>
    <n v="1.6"/>
    <m/>
    <s v=" "/>
    <n v="61"/>
    <s v="589.55000000000007"/>
    <m/>
    <m/>
    <m/>
    <n v="0"/>
    <n v="0"/>
    <m/>
    <m/>
    <m/>
    <m/>
    <m/>
    <m/>
    <m/>
    <m/>
    <n v="0"/>
    <n v="0"/>
    <n v="0"/>
    <n v="12"/>
    <n v="12"/>
    <m/>
    <m/>
    <n v="0"/>
    <n v="67.599999999999994"/>
    <m/>
    <x v="34"/>
    <m/>
    <m/>
    <m/>
    <m/>
  </r>
  <r>
    <x v="0"/>
    <x v="4"/>
    <s v="7887/4"/>
    <x v="287"/>
    <s v="نیو پاک جھنگ"/>
    <s v="PP"/>
    <n v="9"/>
    <s v="4.5"/>
    <s v="PP"/>
    <n v="100"/>
    <m/>
    <n v="2"/>
    <n v="80.14"/>
    <n v="1.8"/>
    <m/>
    <s v=" "/>
    <n v="78.34"/>
    <s v="454.46000000000004"/>
    <m/>
    <m/>
    <m/>
    <n v="0"/>
    <n v="0"/>
    <m/>
    <m/>
    <m/>
    <m/>
    <m/>
    <m/>
    <m/>
    <m/>
    <n v="0"/>
    <n v="0"/>
    <n v="0"/>
    <n v="12"/>
    <n v="12"/>
    <m/>
    <m/>
    <n v="0"/>
    <n v="85.14"/>
    <m/>
    <x v="34"/>
    <m/>
    <m/>
    <m/>
    <m/>
  </r>
  <r>
    <x v="0"/>
    <x v="4"/>
    <s v="7905/3"/>
    <x v="287"/>
    <s v="حذیفہ پلاسٹک اعظم مارکیٹ"/>
    <s v="PP"/>
    <n v="9"/>
    <s v="6"/>
    <s v="PP"/>
    <n v="50"/>
    <m/>
    <n v="4"/>
    <n v="54.32"/>
    <n v="3.6"/>
    <m/>
    <s v=" "/>
    <n v="50.72"/>
    <s v="50.72"/>
    <m/>
    <m/>
    <m/>
    <n v="0"/>
    <n v="0"/>
    <m/>
    <m/>
    <m/>
    <m/>
    <m/>
    <m/>
    <m/>
    <m/>
    <n v="0"/>
    <n v="0"/>
    <n v="0"/>
    <n v="12"/>
    <n v="12"/>
    <m/>
    <m/>
    <n v="0"/>
    <n v="59.32"/>
    <m/>
    <x v="34"/>
    <m/>
    <m/>
    <m/>
    <m/>
  </r>
  <r>
    <x v="0"/>
    <x v="4"/>
    <s v="8/13"/>
    <x v="287"/>
    <s v="سٹاک"/>
    <s v="PP"/>
    <n v="8"/>
    <n v="5"/>
    <s v="PP"/>
    <n v="1500"/>
    <m/>
    <n v="4"/>
    <n v="135.01999999999998"/>
    <n v="3.2"/>
    <m/>
    <s v=" "/>
    <n v="131.82"/>
    <s v="1750.8199999999997"/>
    <m/>
    <m/>
    <m/>
    <n v="0"/>
    <n v="0"/>
    <m/>
    <m/>
    <m/>
    <m/>
    <m/>
    <m/>
    <m/>
    <m/>
    <n v="0"/>
    <n v="0"/>
    <n v="0"/>
    <n v="12"/>
    <n v="12"/>
    <m/>
    <m/>
    <n v="0"/>
    <n v="140.01999999999998"/>
    <m/>
    <x v="34"/>
    <m/>
    <m/>
    <m/>
    <m/>
  </r>
  <r>
    <x v="0"/>
    <x v="4"/>
    <s v="7905/1"/>
    <x v="287"/>
    <s v="حذیفہ پلاسٹک اعظم مارکیٹ"/>
    <s v="PP"/>
    <n v="9"/>
    <s v="8"/>
    <s v="PP"/>
    <n v="50"/>
    <m/>
    <n v="4"/>
    <n v="58.1"/>
    <n v="3.6"/>
    <m/>
    <s v=" "/>
    <n v="54.5"/>
    <s v="54.5"/>
    <n v="25"/>
    <m/>
    <m/>
    <n v="25"/>
    <n v="0.41666666666666674"/>
    <m/>
    <m/>
    <m/>
    <m/>
    <m/>
    <m/>
    <m/>
    <m/>
    <n v="0"/>
    <n v="0"/>
    <n v="0.41666666666666674"/>
    <n v="11.583333333333334"/>
    <n v="12"/>
    <m/>
    <m/>
    <n v="0"/>
    <n v="63.1"/>
    <m/>
    <x v="34"/>
    <m/>
    <m/>
    <m/>
    <m/>
  </r>
  <r>
    <x v="0"/>
    <x v="4"/>
    <s v="7905/2"/>
    <x v="287"/>
    <s v="حذیفہ پلاسٹک اعظم مارکیٹ"/>
    <s v="PP"/>
    <n v="8"/>
    <s v="6"/>
    <s v="PP"/>
    <n v="50"/>
    <m/>
    <n v="4"/>
    <n v="56.980000000000004"/>
    <n v="3.2"/>
    <m/>
    <s v=" "/>
    <n v="53.78"/>
    <s v="53.78"/>
    <m/>
    <m/>
    <m/>
    <n v="0"/>
    <n v="0"/>
    <m/>
    <m/>
    <m/>
    <m/>
    <m/>
    <m/>
    <m/>
    <m/>
    <n v="0"/>
    <n v="0"/>
    <n v="0"/>
    <n v="12"/>
    <n v="12"/>
    <m/>
    <m/>
    <n v="0"/>
    <n v="61.98"/>
    <m/>
    <x v="34"/>
    <m/>
    <m/>
    <m/>
    <m/>
  </r>
  <r>
    <x v="1"/>
    <x v="4"/>
    <s v="8/13"/>
    <x v="287"/>
    <s v="سٹاک"/>
    <s v="PP"/>
    <n v="8"/>
    <n v="5"/>
    <s v="PP"/>
    <n v="1500"/>
    <m/>
    <n v="9"/>
    <n v="322.14"/>
    <n v="8.6"/>
    <m/>
    <s v=" "/>
    <n v="313.53999999999996"/>
    <s v="1750.8199999999997"/>
    <m/>
    <m/>
    <m/>
    <n v="0"/>
    <n v="0"/>
    <m/>
    <m/>
    <m/>
    <m/>
    <m/>
    <m/>
    <m/>
    <m/>
    <n v="0"/>
    <n v="0"/>
    <n v="0"/>
    <n v="12"/>
    <n v="12"/>
    <m/>
    <m/>
    <n v="0"/>
    <n v="327.14"/>
    <m/>
    <x v="34"/>
    <m/>
    <m/>
    <m/>
    <m/>
  </r>
  <r>
    <x v="0"/>
    <x v="0"/>
    <s v="4/21"/>
    <x v="288"/>
    <s v="سٹاک"/>
    <s v="PP"/>
    <n v="4"/>
    <s v="5-5.5"/>
    <s v="PP"/>
    <n v="1000"/>
    <m/>
    <n v="4"/>
    <n v="69.37"/>
    <n v="1.6"/>
    <m/>
    <s v=" "/>
    <n v="67.77000000000001"/>
    <s v="830.59"/>
    <m/>
    <n v="330"/>
    <m/>
    <n v="330"/>
    <n v="5.5"/>
    <m/>
    <m/>
    <m/>
    <m/>
    <m/>
    <m/>
    <n v="30"/>
    <m/>
    <n v="30"/>
    <n v="0.5"/>
    <n v="6"/>
    <n v="6"/>
    <n v="12"/>
    <m/>
    <m/>
    <n v="0"/>
    <n v="74.37"/>
    <m/>
    <x v="35"/>
    <m/>
    <m/>
    <m/>
    <m/>
  </r>
  <r>
    <x v="1"/>
    <x v="0"/>
    <s v="4/21"/>
    <x v="288"/>
    <s v="سٹاک"/>
    <s v="PP"/>
    <n v="4"/>
    <s v="5-5.5"/>
    <s v="PP"/>
    <n v="1000"/>
    <m/>
    <n v="7"/>
    <n v="142.01999999999998"/>
    <n v="2.8000000000000003"/>
    <m/>
    <s v=" "/>
    <n v="139.21999999999997"/>
    <s v="830.59"/>
    <m/>
    <m/>
    <m/>
    <n v="0"/>
    <n v="0"/>
    <m/>
    <m/>
    <m/>
    <m/>
    <m/>
    <m/>
    <m/>
    <m/>
    <n v="0"/>
    <n v="0"/>
    <n v="0"/>
    <n v="12"/>
    <n v="12"/>
    <m/>
    <m/>
    <n v="0"/>
    <n v="147.01999999999998"/>
    <m/>
    <x v="35"/>
    <m/>
    <m/>
    <m/>
    <m/>
  </r>
  <r>
    <x v="0"/>
    <x v="1"/>
    <s v="5/9"/>
    <x v="288"/>
    <s v="سٹاک"/>
    <s v="PP"/>
    <n v="5"/>
    <s v="5.5-6"/>
    <s v="PP"/>
    <n v="500"/>
    <m/>
    <n v="11"/>
    <n v="190.07"/>
    <n v="5.5"/>
    <n v="15"/>
    <s v=" "/>
    <n v="184.57"/>
    <s v="1004.63"/>
    <m/>
    <m/>
    <m/>
    <n v="0"/>
    <n v="0"/>
    <m/>
    <m/>
    <m/>
    <m/>
    <m/>
    <m/>
    <m/>
    <m/>
    <n v="0"/>
    <n v="0"/>
    <n v="0"/>
    <n v="12"/>
    <n v="12"/>
    <m/>
    <m/>
    <n v="0"/>
    <n v="195.07"/>
    <m/>
    <x v="35"/>
    <m/>
    <m/>
    <m/>
    <m/>
  </r>
  <r>
    <x v="1"/>
    <x v="1"/>
    <s v="5/9"/>
    <x v="288"/>
    <s v="سٹاک"/>
    <s v="PP"/>
    <n v="5"/>
    <s v="5.5-6"/>
    <s v="PP"/>
    <n v="500"/>
    <m/>
    <n v="8"/>
    <n v="157.96"/>
    <n v="4"/>
    <n v="15"/>
    <s v=" "/>
    <n v="153.96"/>
    <s v="1004.63"/>
    <m/>
    <m/>
    <m/>
    <n v="0"/>
    <n v="0"/>
    <m/>
    <m/>
    <m/>
    <m/>
    <m/>
    <m/>
    <m/>
    <m/>
    <n v="0"/>
    <n v="0"/>
    <n v="0"/>
    <n v="12"/>
    <n v="12"/>
    <m/>
    <m/>
    <n v="0"/>
    <n v="162.96"/>
    <m/>
    <x v="35"/>
    <m/>
    <m/>
    <m/>
    <m/>
  </r>
  <r>
    <x v="0"/>
    <x v="3"/>
    <s v="7913A/1"/>
    <x v="288"/>
    <s v="ریفلیکٹ پیک لاہور"/>
    <s v="PP"/>
    <n v="16"/>
    <s v="5.5-6"/>
    <s v="PP"/>
    <n v="500"/>
    <m/>
    <n v="10"/>
    <n v="486.45000000000005"/>
    <n v="16"/>
    <m/>
    <s v=" "/>
    <n v="470.45000000000005"/>
    <s v="589.55000000000007"/>
    <m/>
    <m/>
    <m/>
    <n v="0"/>
    <n v="0"/>
    <m/>
    <m/>
    <m/>
    <m/>
    <m/>
    <m/>
    <m/>
    <m/>
    <n v="0"/>
    <n v="0"/>
    <n v="0"/>
    <n v="12"/>
    <n v="12"/>
    <m/>
    <m/>
    <n v="0"/>
    <n v="491.4500000000001"/>
    <m/>
    <x v="35"/>
    <m/>
    <m/>
    <m/>
    <m/>
  </r>
  <r>
    <x v="1"/>
    <x v="3"/>
    <s v="7913A/1"/>
    <x v="288"/>
    <s v="ریفلیکٹ پیک لاہور"/>
    <s v="PP"/>
    <n v="16"/>
    <s v="5.5-6"/>
    <s v="PP"/>
    <n v="500"/>
    <m/>
    <n v="1"/>
    <n v="59.7"/>
    <n v="1.6"/>
    <m/>
    <s v=" "/>
    <n v="58.1"/>
    <s v="589.55000000000007"/>
    <m/>
    <m/>
    <m/>
    <n v="0"/>
    <n v="0"/>
    <m/>
    <m/>
    <m/>
    <m/>
    <m/>
    <m/>
    <m/>
    <m/>
    <n v="0"/>
    <n v="0"/>
    <n v="0"/>
    <n v="12"/>
    <n v="12"/>
    <m/>
    <m/>
    <n v="0"/>
    <n v="64.7"/>
    <m/>
    <x v="35"/>
    <m/>
    <m/>
    <m/>
    <m/>
  </r>
  <r>
    <x v="1"/>
    <x v="3"/>
    <s v="7919/1"/>
    <x v="288"/>
    <s v="حنان پلاسٹک فیصل آباد"/>
    <s v="PP"/>
    <n v="16"/>
    <s v="7"/>
    <s v="PP"/>
    <n v="500"/>
    <m/>
    <n v="7"/>
    <n v="414.93999999999994"/>
    <n v="11.200000000000001"/>
    <m/>
    <s v=" "/>
    <n v="403.73999999999995"/>
    <s v="537.69999999999993"/>
    <m/>
    <m/>
    <m/>
    <n v="0"/>
    <n v="0"/>
    <m/>
    <m/>
    <m/>
    <m/>
    <m/>
    <m/>
    <m/>
    <m/>
    <n v="0"/>
    <n v="0"/>
    <n v="0"/>
    <n v="12"/>
    <n v="12"/>
    <m/>
    <m/>
    <n v="0"/>
    <n v="419.93999999999994"/>
    <m/>
    <x v="35"/>
    <m/>
    <m/>
    <m/>
    <m/>
  </r>
  <r>
    <x v="0"/>
    <x v="4"/>
    <s v="8/13"/>
    <x v="288"/>
    <s v="سٹاک"/>
    <s v="PP"/>
    <n v="8"/>
    <n v="5"/>
    <s v="PP"/>
    <n v="1500"/>
    <m/>
    <n v="11"/>
    <n v="375.88"/>
    <n v="8.8000000000000007"/>
    <m/>
    <s v=" "/>
    <n v="367.08"/>
    <s v="1750.8199999999997"/>
    <m/>
    <m/>
    <m/>
    <n v="0"/>
    <n v="0"/>
    <m/>
    <m/>
    <m/>
    <m/>
    <m/>
    <m/>
    <m/>
    <m/>
    <n v="0"/>
    <n v="0"/>
    <n v="0"/>
    <n v="12"/>
    <n v="12"/>
    <m/>
    <m/>
    <n v="0"/>
    <n v="380.88"/>
    <m/>
    <x v="35"/>
    <m/>
    <m/>
    <m/>
    <m/>
  </r>
  <r>
    <x v="1"/>
    <x v="4"/>
    <s v="8/13"/>
    <x v="288"/>
    <s v="سٹاک"/>
    <s v="PP"/>
    <n v="8"/>
    <n v="5"/>
    <s v="PP"/>
    <n v="1500"/>
    <m/>
    <n v="8"/>
    <n v="337.55999999999995"/>
    <n v="6.4"/>
    <m/>
    <s v=" "/>
    <n v="331.15999999999997"/>
    <s v="1750.8199999999997"/>
    <m/>
    <m/>
    <m/>
    <n v="0"/>
    <n v="0"/>
    <m/>
    <m/>
    <m/>
    <m/>
    <m/>
    <m/>
    <m/>
    <m/>
    <n v="0"/>
    <n v="0"/>
    <n v="0"/>
    <n v="12"/>
    <n v="12"/>
    <m/>
    <m/>
    <n v="0"/>
    <n v="342.55999999999995"/>
    <m/>
    <x v="35"/>
    <m/>
    <m/>
    <m/>
    <m/>
  </r>
  <r>
    <x v="0"/>
    <x v="0"/>
    <s v="4/21"/>
    <x v="289"/>
    <s v="سٹاک"/>
    <s v="PP"/>
    <n v="4"/>
    <s v="5-5.5"/>
    <s v="PP"/>
    <n v="1000"/>
    <m/>
    <n v="8"/>
    <n v="165.19"/>
    <n v="3.2"/>
    <m/>
    <s v=" "/>
    <n v="161.99"/>
    <s v="830.59"/>
    <m/>
    <m/>
    <m/>
    <n v="0"/>
    <n v="0"/>
    <m/>
    <m/>
    <m/>
    <m/>
    <m/>
    <m/>
    <m/>
    <m/>
    <n v="0"/>
    <n v="0"/>
    <n v="0"/>
    <n v="12"/>
    <n v="12"/>
    <m/>
    <m/>
    <n v="0"/>
    <n v="170.19"/>
    <m/>
    <x v="35"/>
    <m/>
    <m/>
    <m/>
    <m/>
  </r>
  <r>
    <x v="1"/>
    <x v="0"/>
    <s v="7935/1"/>
    <x v="289"/>
    <s v="عزیز ٹریڈرز  ہاوس لاہور"/>
    <s v="PP"/>
    <n v="4"/>
    <s v="8"/>
    <s v="PP"/>
    <n v="50"/>
    <m/>
    <n v="4"/>
    <n v="49.66"/>
    <n v="1.6"/>
    <m/>
    <s v=" "/>
    <n v="48.059999999999995"/>
    <s v="48.059999999999995"/>
    <m/>
    <m/>
    <m/>
    <n v="0"/>
    <n v="0"/>
    <m/>
    <m/>
    <m/>
    <m/>
    <m/>
    <m/>
    <m/>
    <m/>
    <n v="0"/>
    <n v="0"/>
    <n v="0"/>
    <n v="12"/>
    <n v="12"/>
    <m/>
    <m/>
    <n v="0"/>
    <n v="54.66"/>
    <m/>
    <x v="35"/>
    <m/>
    <m/>
    <m/>
    <m/>
  </r>
  <r>
    <x v="1"/>
    <x v="0"/>
    <s v="4/21"/>
    <x v="289"/>
    <s v="سٹاک"/>
    <s v="PP"/>
    <n v="4"/>
    <s v="5-5.5"/>
    <s v="PP"/>
    <n v="1000"/>
    <m/>
    <n v="6"/>
    <n v="119.25"/>
    <n v="2.4000000000000004"/>
    <m/>
    <s v=" "/>
    <n v="116.85"/>
    <s v="830.59"/>
    <m/>
    <m/>
    <m/>
    <n v="0"/>
    <n v="0"/>
    <m/>
    <m/>
    <m/>
    <m/>
    <m/>
    <m/>
    <m/>
    <m/>
    <n v="0"/>
    <n v="0"/>
    <n v="0"/>
    <n v="12"/>
    <n v="12"/>
    <m/>
    <m/>
    <n v="0"/>
    <n v="124.25"/>
    <m/>
    <x v="35"/>
    <m/>
    <m/>
    <m/>
    <m/>
  </r>
  <r>
    <x v="0"/>
    <x v="1"/>
    <s v="5/9"/>
    <x v="289"/>
    <s v="سٹاک"/>
    <s v="PP"/>
    <n v="5"/>
    <s v="5.5-6"/>
    <s v="PP"/>
    <n v="500"/>
    <m/>
    <n v="8"/>
    <n v="145.38"/>
    <n v="4"/>
    <m/>
    <s v=" "/>
    <n v="141.38"/>
    <s v="1004.63"/>
    <m/>
    <m/>
    <m/>
    <n v="0"/>
    <n v="0"/>
    <m/>
    <m/>
    <m/>
    <m/>
    <m/>
    <m/>
    <m/>
    <m/>
    <n v="0"/>
    <n v="0"/>
    <n v="0"/>
    <n v="12"/>
    <n v="12"/>
    <m/>
    <m/>
    <n v="0"/>
    <n v="150.38"/>
    <m/>
    <x v="35"/>
    <m/>
    <m/>
    <m/>
    <m/>
  </r>
  <r>
    <x v="0"/>
    <x v="1"/>
    <s v="7887/1"/>
    <x v="289"/>
    <s v="نیو پاک جھنگ"/>
    <s v="PP"/>
    <n v="5"/>
    <s v="4.5"/>
    <s v="PP"/>
    <n v="100"/>
    <m/>
    <n v="1"/>
    <n v="12.75"/>
    <n v="0.5"/>
    <m/>
    <s v=" "/>
    <n v="12.25"/>
    <s v="304.85000000000002"/>
    <m/>
    <m/>
    <m/>
    <n v="0"/>
    <n v="0"/>
    <m/>
    <m/>
    <m/>
    <m/>
    <m/>
    <m/>
    <m/>
    <m/>
    <n v="0"/>
    <n v="0"/>
    <n v="0"/>
    <n v="12"/>
    <n v="12"/>
    <m/>
    <m/>
    <n v="0"/>
    <n v="17.75"/>
    <m/>
    <x v="35"/>
    <m/>
    <m/>
    <m/>
    <m/>
  </r>
  <r>
    <x v="1"/>
    <x v="1"/>
    <s v="7887/1"/>
    <x v="289"/>
    <s v="نیو پاک جھنگ"/>
    <s v="PP"/>
    <n v="5"/>
    <s v="4.5"/>
    <s v="PP"/>
    <n v="100"/>
    <m/>
    <n v="8"/>
    <n v="100.49000000000001"/>
    <n v="4"/>
    <m/>
    <s v=" "/>
    <n v="96.490000000000009"/>
    <s v="304.85000000000002"/>
    <m/>
    <m/>
    <m/>
    <n v="0"/>
    <n v="0"/>
    <m/>
    <m/>
    <m/>
    <m/>
    <m/>
    <m/>
    <m/>
    <m/>
    <n v="0"/>
    <n v="0"/>
    <n v="0"/>
    <n v="12"/>
    <n v="12"/>
    <m/>
    <m/>
    <n v="0"/>
    <n v="105.49"/>
    <m/>
    <x v="35"/>
    <m/>
    <m/>
    <m/>
    <m/>
  </r>
  <r>
    <x v="1"/>
    <x v="1"/>
    <s v="7916/1"/>
    <x v="289"/>
    <s v="عزیز ٹریڈز ہاوس لاہور"/>
    <s v="PP"/>
    <n v="3.5"/>
    <s v="8"/>
    <s v="PP"/>
    <n v="100"/>
    <m/>
    <n v="2"/>
    <n v="31.4"/>
    <n v="0.7"/>
    <m/>
    <s v=" "/>
    <n v="30.7"/>
    <s v="181.15"/>
    <n v="25"/>
    <m/>
    <m/>
    <n v="25"/>
    <n v="0.41666666666666674"/>
    <m/>
    <m/>
    <m/>
    <m/>
    <m/>
    <m/>
    <m/>
    <m/>
    <n v="0"/>
    <n v="0"/>
    <n v="0.41666666666666674"/>
    <n v="11.583333333333334"/>
    <n v="12"/>
    <m/>
    <m/>
    <n v="0"/>
    <n v="36.4"/>
    <m/>
    <x v="35"/>
    <m/>
    <m/>
    <m/>
    <m/>
  </r>
  <r>
    <x v="1"/>
    <x v="1"/>
    <s v="5/9"/>
    <x v="289"/>
    <s v="سٹاک"/>
    <s v="PP"/>
    <n v="5"/>
    <s v="5.5-6"/>
    <s v="PP"/>
    <n v="500"/>
    <m/>
    <n v="1"/>
    <n v="13.3"/>
    <n v="0.5"/>
    <m/>
    <s v=" "/>
    <n v="12.8"/>
    <s v="1004.63"/>
    <m/>
    <m/>
    <m/>
    <n v="0"/>
    <n v="0"/>
    <m/>
    <m/>
    <m/>
    <m/>
    <m/>
    <m/>
    <m/>
    <m/>
    <n v="0"/>
    <n v="0"/>
    <n v="0"/>
    <n v="12"/>
    <n v="12"/>
    <m/>
    <m/>
    <n v="0"/>
    <n v="18.3"/>
    <m/>
    <x v="35"/>
    <m/>
    <m/>
    <m/>
    <m/>
  </r>
  <r>
    <x v="0"/>
    <x v="3"/>
    <s v="7919/1"/>
    <x v="289"/>
    <s v="حنان پلاسٹک فیصل آباد"/>
    <s v="PP"/>
    <n v="16"/>
    <s v="7"/>
    <s v="PP"/>
    <n v="500"/>
    <m/>
    <n v="3"/>
    <n v="138.76"/>
    <n v="4.8000000000000007"/>
    <m/>
    <s v=" "/>
    <n v="133.95999999999998"/>
    <s v="537.69999999999993"/>
    <m/>
    <m/>
    <m/>
    <n v="0"/>
    <n v="0"/>
    <m/>
    <m/>
    <m/>
    <m/>
    <m/>
    <m/>
    <m/>
    <m/>
    <n v="0"/>
    <n v="0"/>
    <n v="0"/>
    <n v="12"/>
    <n v="12"/>
    <m/>
    <m/>
    <n v="0"/>
    <n v="143.76"/>
    <m/>
    <x v="35"/>
    <m/>
    <m/>
    <m/>
    <m/>
  </r>
  <r>
    <x v="0"/>
    <x v="3"/>
    <s v="7898/6"/>
    <x v="289"/>
    <s v="العمر پلاسٹک گوجرانوالہ"/>
    <s v="PP"/>
    <n v="20"/>
    <s v="6"/>
    <s v="PP"/>
    <n v="1000"/>
    <m/>
    <n v="8"/>
    <n v="406.64000000000004"/>
    <n v="16"/>
    <n v="14"/>
    <s v=" "/>
    <n v="390.64000000000004"/>
    <s v="976.52"/>
    <n v="30"/>
    <m/>
    <m/>
    <n v="30"/>
    <n v="0.5"/>
    <m/>
    <m/>
    <m/>
    <m/>
    <m/>
    <m/>
    <m/>
    <m/>
    <n v="0"/>
    <n v="0"/>
    <n v="0.5"/>
    <n v="11.5"/>
    <n v="12"/>
    <m/>
    <m/>
    <n v="0"/>
    <n v="411.64"/>
    <m/>
    <x v="35"/>
    <m/>
    <m/>
    <m/>
    <m/>
  </r>
  <r>
    <x v="1"/>
    <x v="3"/>
    <s v="7898/6"/>
    <x v="289"/>
    <s v="العمر پلاسٹک گوجرانوالہ"/>
    <s v="PP"/>
    <n v="20"/>
    <s v="6"/>
    <s v="PP"/>
    <n v="1000"/>
    <m/>
    <n v="7"/>
    <n v="423.96"/>
    <n v="14"/>
    <n v="21"/>
    <s v=" "/>
    <n v="409.96"/>
    <s v="976.52"/>
    <m/>
    <m/>
    <m/>
    <n v="0"/>
    <n v="0"/>
    <m/>
    <m/>
    <n v="60"/>
    <m/>
    <m/>
    <m/>
    <m/>
    <m/>
    <n v="60"/>
    <n v="1"/>
    <n v="1"/>
    <n v="11"/>
    <n v="12"/>
    <m/>
    <m/>
    <n v="0"/>
    <n v="428.96"/>
    <m/>
    <x v="35"/>
    <m/>
    <m/>
    <m/>
    <m/>
  </r>
  <r>
    <x v="0"/>
    <x v="4"/>
    <s v="8/13"/>
    <x v="289"/>
    <s v="سٹاک"/>
    <s v="PP"/>
    <n v="8"/>
    <n v="5"/>
    <s v="PP"/>
    <n v="1500"/>
    <m/>
    <n v="9"/>
    <n v="348.02"/>
    <n v="7.2"/>
    <m/>
    <s v=" "/>
    <n v="340.82"/>
    <s v="1750.8199999999997"/>
    <m/>
    <m/>
    <m/>
    <n v="0"/>
    <n v="0"/>
    <m/>
    <m/>
    <m/>
    <m/>
    <m/>
    <m/>
    <m/>
    <m/>
    <n v="0"/>
    <n v="0"/>
    <n v="0"/>
    <n v="12"/>
    <n v="12"/>
    <m/>
    <m/>
    <n v="0"/>
    <n v="353.02"/>
    <m/>
    <x v="35"/>
    <m/>
    <m/>
    <m/>
    <m/>
  </r>
  <r>
    <x v="1"/>
    <x v="4"/>
    <s v="8/13"/>
    <x v="289"/>
    <s v="سٹاک"/>
    <s v="PP"/>
    <n v="8"/>
    <n v="5"/>
    <s v="PP"/>
    <n v="1500"/>
    <m/>
    <n v="6"/>
    <n v="271.2"/>
    <n v="4.8000000000000007"/>
    <m/>
    <s v=" "/>
    <n v="266.39999999999998"/>
    <s v="1750.8199999999997"/>
    <m/>
    <m/>
    <m/>
    <n v="0"/>
    <n v="0"/>
    <m/>
    <m/>
    <n v="60"/>
    <m/>
    <m/>
    <m/>
    <m/>
    <m/>
    <n v="60"/>
    <n v="1"/>
    <n v="1"/>
    <n v="11"/>
    <n v="12"/>
    <m/>
    <m/>
    <n v="0"/>
    <n v="276.2"/>
    <m/>
    <x v="35"/>
    <m/>
    <m/>
    <m/>
    <m/>
  </r>
  <r>
    <x v="1"/>
    <x v="4"/>
    <s v="7915/3"/>
    <x v="289"/>
    <s v="آصف پلاسٹک سرگودھا"/>
    <s v="PP"/>
    <n v="10"/>
    <s v="4.5"/>
    <s v="PP"/>
    <n v="100"/>
    <m/>
    <n v="1"/>
    <n v="55.26"/>
    <n v="1.3"/>
    <m/>
    <s v=" "/>
    <n v="53.96"/>
    <s v="310.95999999999998"/>
    <m/>
    <m/>
    <m/>
    <n v="0"/>
    <n v="0"/>
    <m/>
    <m/>
    <m/>
    <m/>
    <m/>
    <m/>
    <m/>
    <m/>
    <n v="0"/>
    <n v="0"/>
    <n v="0"/>
    <n v="12"/>
    <n v="12"/>
    <m/>
    <m/>
    <n v="0"/>
    <n v="60.26"/>
    <m/>
    <x v="35"/>
    <m/>
    <m/>
    <m/>
    <m/>
  </r>
  <r>
    <x v="0"/>
    <x v="0"/>
    <s v="4/21"/>
    <x v="290"/>
    <s v="سٹاک"/>
    <s v="PP"/>
    <n v="4"/>
    <s v="5-5.5"/>
    <s v="PP"/>
    <n v="1000"/>
    <m/>
    <n v="6"/>
    <n v="138.58000000000001"/>
    <n v="2.4000000000000004"/>
    <n v="12"/>
    <s v=" "/>
    <n v="136.18"/>
    <s v="830.59"/>
    <n v="20"/>
    <m/>
    <m/>
    <n v="20"/>
    <n v="0.33333333333333331"/>
    <m/>
    <m/>
    <m/>
    <m/>
    <m/>
    <m/>
    <m/>
    <m/>
    <n v="0"/>
    <n v="0"/>
    <n v="0.33333333333333331"/>
    <n v="11.666666666666666"/>
    <n v="12"/>
    <m/>
    <m/>
    <n v="0"/>
    <n v="143.58000000000001"/>
    <m/>
    <x v="35"/>
    <m/>
    <m/>
    <m/>
    <m/>
  </r>
  <r>
    <x v="1"/>
    <x v="0"/>
    <s v="2/8"/>
    <x v="290"/>
    <s v="سٹاک"/>
    <s v="PP"/>
    <n v="2"/>
    <s v="5.5-6"/>
    <s v="PP"/>
    <s v="15رول بیگ"/>
    <m/>
    <n v="5"/>
    <n v="104.09"/>
    <n v="1"/>
    <n v="24"/>
    <s v=" "/>
    <n v="103.09"/>
    <s v="501.53999999999996"/>
    <m/>
    <m/>
    <m/>
    <n v="0"/>
    <n v="0"/>
    <m/>
    <m/>
    <m/>
    <m/>
    <m/>
    <m/>
    <m/>
    <m/>
    <n v="0"/>
    <n v="0"/>
    <n v="0"/>
    <n v="12"/>
    <n v="12"/>
    <m/>
    <m/>
    <n v="0"/>
    <n v="109.09"/>
    <m/>
    <x v="35"/>
    <m/>
    <m/>
    <m/>
    <m/>
  </r>
  <r>
    <x v="0"/>
    <x v="1"/>
    <s v="7916/1"/>
    <x v="290"/>
    <s v="عزیز ٹریڈز ہاوس لاہور"/>
    <s v="PP"/>
    <n v="3.5"/>
    <s v="8"/>
    <s v="PP"/>
    <n v="100"/>
    <m/>
    <n v="8"/>
    <n v="111.85000000000001"/>
    <n v="2.8"/>
    <m/>
    <s v=" "/>
    <n v="109.05000000000001"/>
    <s v="181.15"/>
    <n v="20"/>
    <m/>
    <m/>
    <n v="20"/>
    <n v="0.33333333333333331"/>
    <m/>
    <m/>
    <m/>
    <m/>
    <m/>
    <m/>
    <m/>
    <m/>
    <n v="0"/>
    <n v="0"/>
    <n v="0.33333333333333331"/>
    <n v="11.666666666666666"/>
    <n v="12"/>
    <m/>
    <m/>
    <n v="0"/>
    <n v="116.85"/>
    <m/>
    <x v="35"/>
    <m/>
    <m/>
    <m/>
    <m/>
  </r>
  <r>
    <x v="1"/>
    <x v="1"/>
    <s v="4/21"/>
    <x v="290"/>
    <s v="سٹاک"/>
    <s v="PP"/>
    <n v="4"/>
    <s v="5-5.5"/>
    <s v="PP"/>
    <n v="1000"/>
    <m/>
    <n v="9"/>
    <n v="155.29"/>
    <n v="3.6"/>
    <m/>
    <s v=" "/>
    <n v="151.69"/>
    <s v="830.59"/>
    <m/>
    <m/>
    <m/>
    <n v="0"/>
    <n v="0"/>
    <m/>
    <m/>
    <m/>
    <m/>
    <m/>
    <m/>
    <m/>
    <m/>
    <n v="0"/>
    <n v="0"/>
    <n v="0"/>
    <n v="12"/>
    <n v="12"/>
    <m/>
    <m/>
    <n v="0"/>
    <n v="160.29"/>
    <m/>
    <x v="35"/>
    <m/>
    <m/>
    <m/>
    <m/>
  </r>
  <r>
    <x v="0"/>
    <x v="4"/>
    <s v="7915/3"/>
    <x v="290"/>
    <s v="آصف پلاسٹک سرگودھا"/>
    <s v="PP"/>
    <n v="10"/>
    <s v="4.5"/>
    <s v="PP"/>
    <n v="100"/>
    <m/>
    <n v="6"/>
    <n v="263"/>
    <n v="6"/>
    <m/>
    <s v=" "/>
    <n v="257"/>
    <s v="310.95999999999998"/>
    <m/>
    <m/>
    <m/>
    <n v="0"/>
    <n v="0"/>
    <m/>
    <m/>
    <m/>
    <m/>
    <m/>
    <m/>
    <m/>
    <m/>
    <n v="0"/>
    <n v="0"/>
    <n v="0"/>
    <n v="12"/>
    <n v="12"/>
    <m/>
    <m/>
    <n v="0"/>
    <n v="268"/>
    <m/>
    <x v="35"/>
    <m/>
    <m/>
    <m/>
    <m/>
  </r>
  <r>
    <x v="0"/>
    <x v="4"/>
    <s v="7864/3"/>
    <x v="290"/>
    <s v="سلیمان پلاسٹک جھنگ"/>
    <s v="PP"/>
    <n v="11"/>
    <s v="4.5"/>
    <s v="PP"/>
    <n v="100"/>
    <m/>
    <n v="4"/>
    <n v="116.97999999999999"/>
    <n v="4.4000000000000004"/>
    <m/>
    <s v=" "/>
    <n v="112.57999999999998"/>
    <s v="112.57999999999998"/>
    <n v="25"/>
    <m/>
    <m/>
    <n v="25"/>
    <n v="0.41666666666666674"/>
    <m/>
    <m/>
    <m/>
    <m/>
    <m/>
    <m/>
    <m/>
    <m/>
    <n v="0"/>
    <n v="0"/>
    <n v="0.41666666666666674"/>
    <n v="11.583333333333334"/>
    <n v="12"/>
    <m/>
    <m/>
    <n v="0"/>
    <n v="121.98"/>
    <m/>
    <x v="35"/>
    <m/>
    <m/>
    <m/>
    <m/>
  </r>
  <r>
    <x v="1"/>
    <x v="4"/>
    <s v="7938/2"/>
    <x v="290"/>
    <s v="AR پلاسٹک پشاور"/>
    <s v="PP"/>
    <n v="11"/>
    <s v="7"/>
    <s v="PP"/>
    <n v="200"/>
    <m/>
    <n v="7"/>
    <n v="317.39999999999998"/>
    <n v="9.1"/>
    <m/>
    <s v=" "/>
    <n v="308.29999999999995"/>
    <s v="308.29999999999995"/>
    <m/>
    <m/>
    <m/>
    <n v="0"/>
    <n v="0"/>
    <m/>
    <m/>
    <m/>
    <m/>
    <m/>
    <m/>
    <m/>
    <m/>
    <n v="0"/>
    <n v="0"/>
    <n v="0"/>
    <n v="12"/>
    <n v="12"/>
    <m/>
    <m/>
    <n v="0"/>
    <n v="322.39999999999998"/>
    <m/>
    <x v="35"/>
    <m/>
    <m/>
    <m/>
    <m/>
  </r>
  <r>
    <x v="1"/>
    <x v="4"/>
    <s v="7934/2"/>
    <x v="290"/>
    <s v="خواجہ مدثر ٹمبر مارکیٹ"/>
    <s v="PP"/>
    <n v="17"/>
    <s v="7"/>
    <s v="PP"/>
    <n v="200"/>
    <m/>
    <n v="3"/>
    <n v="105.06"/>
    <n v="3.5999999999999996"/>
    <m/>
    <s v=" "/>
    <n v="101.46000000000001"/>
    <s v="101.46000000000001"/>
    <m/>
    <m/>
    <m/>
    <n v="0"/>
    <n v="0"/>
    <m/>
    <m/>
    <m/>
    <m/>
    <m/>
    <m/>
    <m/>
    <m/>
    <n v="0"/>
    <n v="0"/>
    <n v="0"/>
    <n v="12"/>
    <n v="12"/>
    <m/>
    <m/>
    <n v="0"/>
    <n v="110.06"/>
    <m/>
    <x v="35"/>
    <m/>
    <m/>
    <m/>
    <m/>
  </r>
  <r>
    <x v="0"/>
    <x v="3"/>
    <s v="7898/6"/>
    <x v="290"/>
    <s v="العمر پلاسٹک گوجرانوالہ"/>
    <s v="PP"/>
    <n v="20"/>
    <s v="6"/>
    <s v="PP"/>
    <n v="1000"/>
    <m/>
    <n v="3"/>
    <n v="181.92"/>
    <n v="6"/>
    <m/>
    <s v=" "/>
    <n v="175.92"/>
    <s v="976.52"/>
    <m/>
    <m/>
    <m/>
    <n v="0"/>
    <n v="0"/>
    <m/>
    <m/>
    <m/>
    <m/>
    <m/>
    <m/>
    <m/>
    <m/>
    <n v="0"/>
    <n v="0"/>
    <n v="0"/>
    <n v="12"/>
    <n v="12"/>
    <m/>
    <m/>
    <n v="0"/>
    <n v="186.92"/>
    <m/>
    <x v="35"/>
    <m/>
    <m/>
    <m/>
    <m/>
  </r>
  <r>
    <x v="0"/>
    <x v="3"/>
    <s v="7919/2"/>
    <x v="290"/>
    <s v="حنان پلاسٹک فیصل آباد"/>
    <s v="PP"/>
    <n v="14"/>
    <s v="7"/>
    <s v="PP"/>
    <n v="500"/>
    <m/>
    <n v="6"/>
    <n v="245.55999999999997"/>
    <n v="8.3999999999999986"/>
    <m/>
    <s v=" "/>
    <n v="237.15999999999997"/>
    <s v="506.09999999999997"/>
    <m/>
    <m/>
    <m/>
    <n v="0"/>
    <n v="0"/>
    <m/>
    <m/>
    <m/>
    <m/>
    <m/>
    <m/>
    <m/>
    <m/>
    <n v="0"/>
    <n v="0"/>
    <n v="0"/>
    <n v="12"/>
    <n v="12"/>
    <m/>
    <m/>
    <n v="0"/>
    <n v="250.55999999999997"/>
    <m/>
    <x v="35"/>
    <m/>
    <m/>
    <m/>
    <m/>
  </r>
  <r>
    <x v="1"/>
    <x v="3"/>
    <s v="7919/2"/>
    <x v="290"/>
    <s v="حنان پلاسٹک فیصل آباد"/>
    <s v="PP"/>
    <n v="14"/>
    <s v="7"/>
    <s v="PP"/>
    <n v="500"/>
    <m/>
    <n v="5"/>
    <n v="276.94"/>
    <n v="8"/>
    <m/>
    <s v=" "/>
    <n v="268.94"/>
    <s v="506.09999999999997"/>
    <n v="25"/>
    <m/>
    <m/>
    <n v="25"/>
    <n v="0.41666666666666674"/>
    <m/>
    <m/>
    <m/>
    <m/>
    <m/>
    <m/>
    <n v="60"/>
    <m/>
    <n v="60"/>
    <n v="1"/>
    <n v="1.4166666666666667"/>
    <n v="10.583333333333334"/>
    <n v="12"/>
    <m/>
    <m/>
    <n v="0"/>
    <n v="281.94"/>
    <m/>
    <x v="35"/>
    <m/>
    <m/>
    <m/>
    <m/>
  </r>
  <r>
    <x v="0"/>
    <x v="0"/>
    <s v="2/8"/>
    <x v="291"/>
    <s v="سٹاک"/>
    <s v="PP"/>
    <n v="2"/>
    <s v="5.5-6"/>
    <s v="PP"/>
    <s v="15رول بیگ"/>
    <m/>
    <n v="6"/>
    <n v="108.43"/>
    <n v="1.2000000000000002"/>
    <m/>
    <s v=" "/>
    <n v="107.23"/>
    <s v="501.53999999999996"/>
    <m/>
    <m/>
    <m/>
    <n v="0"/>
    <n v="0"/>
    <m/>
    <m/>
    <m/>
    <m/>
    <m/>
    <m/>
    <m/>
    <m/>
    <n v="0"/>
    <n v="0"/>
    <n v="0"/>
    <n v="12"/>
    <n v="12"/>
    <m/>
    <m/>
    <n v="0"/>
    <n v="113.43"/>
    <m/>
    <x v="35"/>
    <m/>
    <m/>
    <m/>
    <m/>
  </r>
  <r>
    <x v="1"/>
    <x v="0"/>
    <s v="2/8"/>
    <x v="291"/>
    <s v="سٹاک"/>
    <s v="PP"/>
    <n v="2"/>
    <s v="5.5-6"/>
    <s v="PP"/>
    <s v="15رول بیگ"/>
    <m/>
    <n v="2"/>
    <n v="45.24"/>
    <n v="0.4"/>
    <m/>
    <s v=" "/>
    <n v="44.84"/>
    <s v="501.53999999999996"/>
    <m/>
    <m/>
    <m/>
    <n v="0"/>
    <n v="0"/>
    <m/>
    <m/>
    <m/>
    <m/>
    <m/>
    <m/>
    <m/>
    <m/>
    <n v="0"/>
    <n v="0"/>
    <n v="0"/>
    <n v="12"/>
    <n v="12"/>
    <m/>
    <m/>
    <n v="0"/>
    <n v="50.24"/>
    <m/>
    <x v="35"/>
    <m/>
    <m/>
    <m/>
    <m/>
  </r>
  <r>
    <x v="1"/>
    <x v="0"/>
    <s v="7916/1"/>
    <x v="291"/>
    <s v="عزیز ٹریڈز ہاوس لاہور"/>
    <s v="PP"/>
    <n v="3.5"/>
    <s v="8"/>
    <s v="PP"/>
    <n v="100"/>
    <m/>
    <n v="3"/>
    <n v="42"/>
    <n v="0.60000000000000009"/>
    <m/>
    <s v=" "/>
    <n v="41.4"/>
    <s v="181.15"/>
    <m/>
    <m/>
    <m/>
    <n v="0"/>
    <n v="0"/>
    <m/>
    <m/>
    <m/>
    <m/>
    <m/>
    <m/>
    <m/>
    <m/>
    <n v="0"/>
    <n v="0"/>
    <n v="0"/>
    <n v="12"/>
    <n v="12"/>
    <m/>
    <m/>
    <n v="0"/>
    <n v="47"/>
    <m/>
    <x v="35"/>
    <m/>
    <m/>
    <m/>
    <m/>
  </r>
  <r>
    <x v="0"/>
    <x v="1"/>
    <s v="4/21"/>
    <x v="291"/>
    <s v="سٹاک"/>
    <s v="PP"/>
    <n v="4"/>
    <s v="5-5.5"/>
    <s v="PP"/>
    <n v="1000"/>
    <m/>
    <n v="4"/>
    <n v="58.49"/>
    <n v="1.6"/>
    <m/>
    <s v=" "/>
    <n v="56.89"/>
    <s v="830.59"/>
    <m/>
    <m/>
    <m/>
    <n v="0"/>
    <n v="0"/>
    <m/>
    <m/>
    <m/>
    <m/>
    <m/>
    <m/>
    <m/>
    <m/>
    <n v="0"/>
    <n v="0"/>
    <n v="0"/>
    <n v="12"/>
    <n v="12"/>
    <m/>
    <m/>
    <n v="0"/>
    <n v="63.49"/>
    <m/>
    <x v="35"/>
    <m/>
    <m/>
    <m/>
    <m/>
  </r>
  <r>
    <x v="0"/>
    <x v="1"/>
    <s v="7934A/4"/>
    <x v="291"/>
    <s v="ایم  عمران پاکستان مارکیٹ"/>
    <s v="PP"/>
    <n v="7"/>
    <n v="6.5"/>
    <s v="PP"/>
    <n v="200"/>
    <m/>
    <n v="4"/>
    <n v="74.78"/>
    <n v="2.8"/>
    <m/>
    <s v=" "/>
    <n v="71.98"/>
    <s v="194.31"/>
    <m/>
    <m/>
    <m/>
    <n v="0"/>
    <n v="0"/>
    <m/>
    <m/>
    <m/>
    <m/>
    <m/>
    <m/>
    <m/>
    <m/>
    <n v="0"/>
    <n v="0"/>
    <n v="0"/>
    <n v="12"/>
    <n v="12"/>
    <m/>
    <m/>
    <n v="0"/>
    <n v="79.78"/>
    <m/>
    <x v="35"/>
    <m/>
    <m/>
    <m/>
    <m/>
  </r>
  <r>
    <x v="0"/>
    <x v="1"/>
    <s v="7/12"/>
    <x v="291"/>
    <s v="سٹاک"/>
    <s v="PP"/>
    <n v="7"/>
    <n v="5"/>
    <s v="PP"/>
    <n v="1000"/>
    <m/>
    <n v="3"/>
    <n v="68.819999999999993"/>
    <n v="2.0999999999999996"/>
    <m/>
    <s v=" "/>
    <n v="66.72"/>
    <s v="764.43"/>
    <n v="40"/>
    <m/>
    <m/>
    <n v="40"/>
    <n v="0.66666666666666663"/>
    <m/>
    <m/>
    <m/>
    <m/>
    <m/>
    <m/>
    <m/>
    <m/>
    <n v="0"/>
    <n v="0"/>
    <n v="0.66666666666666663"/>
    <n v="11.333333333333334"/>
    <n v="12"/>
    <m/>
    <m/>
    <n v="0"/>
    <n v="73.819999999999993"/>
    <m/>
    <x v="35"/>
    <m/>
    <m/>
    <m/>
    <m/>
  </r>
  <r>
    <x v="1"/>
    <x v="1"/>
    <s v="7934A/4"/>
    <x v="291"/>
    <s v="ایم  عمران پاکستان مارکیٹ"/>
    <s v="PP"/>
    <n v="7"/>
    <n v="6.5"/>
    <s v="PP"/>
    <n v="200"/>
    <m/>
    <n v="6"/>
    <n v="126.53"/>
    <n v="4.1999999999999993"/>
    <m/>
    <s v=" "/>
    <n v="122.33"/>
    <s v="194.31"/>
    <n v="20"/>
    <m/>
    <m/>
    <n v="20"/>
    <n v="0.33333333333333331"/>
    <m/>
    <m/>
    <m/>
    <m/>
    <m/>
    <m/>
    <m/>
    <m/>
    <n v="0"/>
    <n v="0"/>
    <n v="0.33333333333333331"/>
    <n v="11.666666666666666"/>
    <n v="12"/>
    <m/>
    <m/>
    <n v="0"/>
    <n v="131.53"/>
    <m/>
    <x v="35"/>
    <m/>
    <m/>
    <m/>
    <m/>
  </r>
  <r>
    <x v="1"/>
    <x v="1"/>
    <s v="7949/1"/>
    <x v="291"/>
    <s v="اے ایس کلاتھ -اعظم مارکیٹ"/>
    <s v="PP"/>
    <n v="6"/>
    <s v="6"/>
    <s v="PP"/>
    <n v="100"/>
    <m/>
    <n v="3"/>
    <n v="70.7"/>
    <n v="1.7999999999999998"/>
    <m/>
    <s v=" "/>
    <n v="68.900000000000006"/>
    <s v="156.85000000000002"/>
    <m/>
    <m/>
    <m/>
    <n v="0"/>
    <n v="0"/>
    <m/>
    <m/>
    <m/>
    <m/>
    <m/>
    <m/>
    <m/>
    <m/>
    <n v="0"/>
    <n v="0"/>
    <n v="0"/>
    <n v="12"/>
    <n v="12"/>
    <m/>
    <m/>
    <n v="0"/>
    <n v="75.7"/>
    <m/>
    <x v="35"/>
    <m/>
    <m/>
    <m/>
    <m/>
  </r>
  <r>
    <x v="0"/>
    <x v="3"/>
    <s v="3037 F"/>
    <x v="291"/>
    <s v="Usman Amin"/>
    <s v="PP"/>
    <n v="16.2"/>
    <s v="-"/>
    <s v="PP"/>
    <n v="5000"/>
    <m/>
    <n v="6"/>
    <n v="305"/>
    <n v="9.6000000000000014"/>
    <m/>
    <s v=" "/>
    <n v="295.39999999999998"/>
    <s v="5046.17"/>
    <m/>
    <m/>
    <m/>
    <n v="0"/>
    <n v="0"/>
    <m/>
    <m/>
    <m/>
    <m/>
    <m/>
    <m/>
    <m/>
    <m/>
    <n v="0"/>
    <n v="0"/>
    <n v="0"/>
    <n v="12"/>
    <n v="12"/>
    <m/>
    <m/>
    <n v="0"/>
    <n v="310"/>
    <m/>
    <x v="35"/>
    <m/>
    <m/>
    <m/>
    <m/>
  </r>
  <r>
    <x v="0"/>
    <x v="3"/>
    <s v="7932/14"/>
    <x v="291"/>
    <s v="فہیم پلاسٹک ملتان"/>
    <s v="PP"/>
    <n v="13"/>
    <s v="7"/>
    <s v="PP"/>
    <n v="400"/>
    <m/>
    <n v="4"/>
    <n v="164.78"/>
    <n v="5.2"/>
    <m/>
    <s v=" "/>
    <n v="159.58000000000001"/>
    <s v="849.07999999999993"/>
    <m/>
    <m/>
    <m/>
    <n v="0"/>
    <n v="0"/>
    <m/>
    <m/>
    <m/>
    <m/>
    <m/>
    <m/>
    <m/>
    <m/>
    <n v="0"/>
    <n v="0"/>
    <n v="0"/>
    <n v="12"/>
    <n v="12"/>
    <m/>
    <m/>
    <n v="0"/>
    <n v="169.78"/>
    <m/>
    <x v="35"/>
    <m/>
    <m/>
    <m/>
    <m/>
  </r>
  <r>
    <x v="0"/>
    <x v="3"/>
    <s v="16/6"/>
    <x v="291"/>
    <s v="سٹاک"/>
    <s v="PP"/>
    <n v="16"/>
    <n v="5"/>
    <s v="PP"/>
    <n v="1000"/>
    <m/>
    <n v="2"/>
    <n v="87.240000000000009"/>
    <n v="3.2"/>
    <n v="33"/>
    <s v=" "/>
    <n v="84.04"/>
    <s v="1171.92"/>
    <n v="25"/>
    <m/>
    <m/>
    <n v="25"/>
    <n v="0.41666666666666674"/>
    <m/>
    <m/>
    <m/>
    <m/>
    <m/>
    <m/>
    <m/>
    <m/>
    <n v="0"/>
    <n v="0"/>
    <n v="0.41666666666666674"/>
    <n v="11.583333333333334"/>
    <n v="12"/>
    <m/>
    <m/>
    <n v="0"/>
    <n v="92.240000000000009"/>
    <m/>
    <x v="35"/>
    <m/>
    <m/>
    <m/>
    <m/>
  </r>
  <r>
    <x v="1"/>
    <x v="3"/>
    <s v="7932/14"/>
    <x v="291"/>
    <s v="فہیم پلاسٹک ملتان"/>
    <s v="PP"/>
    <n v="13"/>
    <s v="7"/>
    <s v="PP"/>
    <n v="400"/>
    <m/>
    <n v="10"/>
    <n v="565.17999999999995"/>
    <n v="13"/>
    <n v="30"/>
    <s v=" "/>
    <n v="552.17999999999995"/>
    <s v="849.07999999999993"/>
    <m/>
    <m/>
    <m/>
    <n v="0"/>
    <n v="0"/>
    <m/>
    <m/>
    <m/>
    <m/>
    <m/>
    <m/>
    <m/>
    <m/>
    <n v="0"/>
    <n v="0"/>
    <n v="0"/>
    <n v="12"/>
    <n v="12"/>
    <m/>
    <m/>
    <n v="0"/>
    <n v="570.17999999999995"/>
    <m/>
    <x v="35"/>
    <m/>
    <m/>
    <m/>
    <m/>
  </r>
  <r>
    <x v="0"/>
    <x v="4"/>
    <s v="7934A/2"/>
    <x v="291"/>
    <s v="ایم  عمران پاکستان مارکیٹ"/>
    <s v="PP"/>
    <n v="11"/>
    <n v="6.5"/>
    <s v="PP"/>
    <n v="300"/>
    <m/>
    <n v="8"/>
    <n v="218.76"/>
    <n v="8.8000000000000007"/>
    <m/>
    <s v=" "/>
    <n v="209.95999999999998"/>
    <s v="209.95999999999998"/>
    <m/>
    <m/>
    <m/>
    <n v="0"/>
    <n v="0"/>
    <m/>
    <m/>
    <m/>
    <m/>
    <m/>
    <m/>
    <m/>
    <m/>
    <n v="0"/>
    <n v="0"/>
    <n v="0"/>
    <n v="12"/>
    <n v="12"/>
    <m/>
    <m/>
    <n v="0"/>
    <n v="223.76"/>
    <m/>
    <x v="35"/>
    <m/>
    <m/>
    <m/>
    <m/>
  </r>
  <r>
    <x v="0"/>
    <x v="4"/>
    <s v="12/5"/>
    <x v="291"/>
    <s v="سٹاک"/>
    <s v="PP"/>
    <n v="12"/>
    <n v="5"/>
    <s v="PP"/>
    <n v="500"/>
    <m/>
    <n v="1"/>
    <n v="18.8"/>
    <n v="1.2"/>
    <m/>
    <s v=" "/>
    <n v="17.600000000000001"/>
    <s v="1359.2499999999998"/>
    <n v="25"/>
    <m/>
    <m/>
    <n v="25"/>
    <n v="0.41666666666666674"/>
    <m/>
    <m/>
    <m/>
    <m/>
    <m/>
    <m/>
    <n v="30"/>
    <m/>
    <n v="30"/>
    <n v="0.5"/>
    <n v="0.91666666666666674"/>
    <n v="11.083333333333334"/>
    <n v="12"/>
    <m/>
    <m/>
    <n v="0"/>
    <n v="23.8"/>
    <m/>
    <x v="35"/>
    <m/>
    <m/>
    <m/>
    <m/>
  </r>
  <r>
    <x v="0"/>
    <x v="4"/>
    <s v="7943/2"/>
    <x v="291"/>
    <s v="حنان پلاسٹک فیصل اباد"/>
    <s v="PP"/>
    <n v="12"/>
    <s v="7"/>
    <s v="PP"/>
    <n v="300"/>
    <m/>
    <n v="3"/>
    <n v="128.1"/>
    <n v="3.5999999999999996"/>
    <m/>
    <s v=" "/>
    <n v="124.5"/>
    <s v="575.46"/>
    <m/>
    <m/>
    <m/>
    <n v="0"/>
    <n v="0"/>
    <m/>
    <m/>
    <m/>
    <m/>
    <m/>
    <m/>
    <m/>
    <m/>
    <n v="0"/>
    <n v="0"/>
    <n v="0"/>
    <n v="12"/>
    <n v="12"/>
    <m/>
    <m/>
    <n v="0"/>
    <n v="133.1"/>
    <m/>
    <x v="35"/>
    <m/>
    <m/>
    <m/>
    <m/>
  </r>
  <r>
    <x v="1"/>
    <x v="4"/>
    <s v="7943/2"/>
    <x v="291"/>
    <s v="حنان پلاسٹک فیصل اباد"/>
    <s v="PP"/>
    <n v="12"/>
    <s v="7"/>
    <s v="PP"/>
    <n v="300"/>
    <m/>
    <n v="7"/>
    <n v="362.1"/>
    <n v="8.4"/>
    <m/>
    <s v=" "/>
    <n v="353.70000000000005"/>
    <s v="575.46"/>
    <m/>
    <m/>
    <m/>
    <n v="0"/>
    <n v="0"/>
    <m/>
    <m/>
    <m/>
    <m/>
    <m/>
    <m/>
    <m/>
    <m/>
    <n v="0"/>
    <n v="0"/>
    <n v="0"/>
    <n v="12"/>
    <n v="12"/>
    <m/>
    <m/>
    <n v="0"/>
    <n v="367.1"/>
    <m/>
    <x v="35"/>
    <m/>
    <m/>
    <m/>
    <m/>
  </r>
  <r>
    <x v="0"/>
    <x v="0"/>
    <s v="2/8"/>
    <x v="292"/>
    <s v="سٹاک"/>
    <s v="PP"/>
    <n v="2"/>
    <s v="5.5-6"/>
    <s v="PP"/>
    <s v="15رول بیگ"/>
    <m/>
    <n v="5"/>
    <n v="96.11999999999999"/>
    <n v="1"/>
    <m/>
    <s v=" "/>
    <n v="95.11999999999999"/>
    <s v="501.53999999999996"/>
    <m/>
    <m/>
    <m/>
    <n v="0"/>
    <n v="0"/>
    <m/>
    <m/>
    <m/>
    <m/>
    <m/>
    <m/>
    <m/>
    <m/>
    <n v="0"/>
    <n v="0"/>
    <n v="0"/>
    <n v="12"/>
    <n v="12"/>
    <m/>
    <m/>
    <n v="0"/>
    <n v="101.12"/>
    <m/>
    <x v="0"/>
    <m/>
    <m/>
    <m/>
    <m/>
  </r>
  <r>
    <x v="1"/>
    <x v="0"/>
    <s v="2/8"/>
    <x v="292"/>
    <s v="سٹاک"/>
    <s v="PP"/>
    <n v="2"/>
    <s v="5.5-6"/>
    <s v="PP"/>
    <s v="15رول بیگ"/>
    <m/>
    <n v="5"/>
    <n v="93.89"/>
    <n v="1"/>
    <m/>
    <s v=" "/>
    <n v="92.89"/>
    <s v="501.53999999999996"/>
    <m/>
    <m/>
    <m/>
    <n v="0"/>
    <n v="0"/>
    <m/>
    <m/>
    <m/>
    <m/>
    <m/>
    <m/>
    <m/>
    <m/>
    <n v="0"/>
    <n v="0"/>
    <n v="0"/>
    <n v="12"/>
    <n v="12"/>
    <m/>
    <m/>
    <n v="0"/>
    <n v="98.89"/>
    <m/>
    <x v="0"/>
    <m/>
    <m/>
    <m/>
    <m/>
  </r>
  <r>
    <x v="0"/>
    <x v="1"/>
    <s v="6/5"/>
    <x v="292"/>
    <s v="سٹاک"/>
    <s v="PP"/>
    <n v="6"/>
    <n v="5"/>
    <s v="PP"/>
    <n v="1000"/>
    <m/>
    <n v="2"/>
    <n v="33.81"/>
    <n v="1.2"/>
    <m/>
    <s v=" "/>
    <n v="32.61"/>
    <s v="1396.42"/>
    <m/>
    <m/>
    <m/>
    <n v="0"/>
    <n v="0"/>
    <m/>
    <m/>
    <m/>
    <m/>
    <m/>
    <m/>
    <m/>
    <m/>
    <n v="0"/>
    <n v="0"/>
    <n v="0"/>
    <n v="12"/>
    <n v="12"/>
    <m/>
    <m/>
    <n v="0"/>
    <n v="38.81"/>
    <m/>
    <x v="0"/>
    <m/>
    <m/>
    <m/>
    <m/>
  </r>
  <r>
    <x v="0"/>
    <x v="1"/>
    <s v="8727 J"/>
    <x v="292"/>
    <s v="Ibtsam Traders Sheikhupura"/>
    <s v="PP"/>
    <n v="6"/>
    <s v="7.5-8"/>
    <s v="PP"/>
    <n v="200"/>
    <m/>
    <n v="4"/>
    <n v="65.58"/>
    <n v="2.4"/>
    <m/>
    <s v=" "/>
    <n v="63.18"/>
    <s v="203.16000000000003"/>
    <m/>
    <m/>
    <m/>
    <n v="0"/>
    <n v="0"/>
    <m/>
    <m/>
    <m/>
    <m/>
    <m/>
    <m/>
    <m/>
    <m/>
    <n v="0"/>
    <n v="0"/>
    <n v="0"/>
    <n v="12"/>
    <n v="12"/>
    <m/>
    <m/>
    <n v="0"/>
    <n v="70.58"/>
    <m/>
    <x v="0"/>
    <m/>
    <m/>
    <m/>
    <m/>
  </r>
  <r>
    <x v="0"/>
    <x v="1"/>
    <s v="7949/1"/>
    <x v="292"/>
    <s v="اے ایس کلاتھ -اعظم مارکیٹ"/>
    <s v="PP"/>
    <n v="6"/>
    <s v="6"/>
    <s v="PP"/>
    <n v="100"/>
    <m/>
    <n v="4"/>
    <n v="90.350000000000009"/>
    <n v="2.4"/>
    <m/>
    <s v=" "/>
    <n v="87.95"/>
    <s v="156.85000000000002"/>
    <m/>
    <m/>
    <m/>
    <n v="0"/>
    <n v="0"/>
    <m/>
    <m/>
    <m/>
    <m/>
    <m/>
    <m/>
    <n v="25"/>
    <m/>
    <n v="25"/>
    <n v="0.41666666666666674"/>
    <n v="0.41666666666666674"/>
    <n v="11.583333333333334"/>
    <n v="12"/>
    <m/>
    <m/>
    <n v="0"/>
    <n v="95.350000000000023"/>
    <m/>
    <x v="0"/>
    <m/>
    <m/>
    <m/>
    <m/>
  </r>
  <r>
    <x v="1"/>
    <x v="1"/>
    <s v="8727 J"/>
    <x v="292"/>
    <s v="Ibtsam Traders Sheikhupura"/>
    <s v="PP"/>
    <n v="6"/>
    <s v="7.5-8"/>
    <s v="PP"/>
    <n v="200"/>
    <m/>
    <n v="8"/>
    <n v="146.58000000000001"/>
    <n v="6.6000000000000005"/>
    <m/>
    <s v=" "/>
    <n v="139.98000000000002"/>
    <s v="203.16000000000003"/>
    <n v="20"/>
    <m/>
    <m/>
    <n v="20"/>
    <n v="0.33333333333333331"/>
    <m/>
    <m/>
    <m/>
    <m/>
    <m/>
    <m/>
    <m/>
    <m/>
    <n v="0"/>
    <n v="0"/>
    <n v="0.33333333333333331"/>
    <n v="11.666666666666666"/>
    <n v="12"/>
    <m/>
    <m/>
    <n v="0"/>
    <n v="151.58000000000001"/>
    <m/>
    <x v="0"/>
    <m/>
    <m/>
    <m/>
    <m/>
  </r>
  <r>
    <x v="1"/>
    <x v="1"/>
    <s v="7914/6"/>
    <x v="292"/>
    <s v="عمران مشتاق پتوکی"/>
    <s v="PP"/>
    <n v="6"/>
    <s v="10"/>
    <s v="PP"/>
    <n v="50"/>
    <m/>
    <n v="4"/>
    <n v="60.649999999999991"/>
    <n v="3.5"/>
    <m/>
    <s v=" "/>
    <n v="57.149999999999991"/>
    <s v="57.149999999999991"/>
    <m/>
    <m/>
    <m/>
    <n v="0"/>
    <n v="0"/>
    <m/>
    <m/>
    <m/>
    <m/>
    <m/>
    <m/>
    <m/>
    <m/>
    <n v="0"/>
    <n v="0"/>
    <n v="0"/>
    <n v="12"/>
    <n v="12"/>
    <m/>
    <m/>
    <n v="0"/>
    <n v="65.649999999999991"/>
    <m/>
    <x v="0"/>
    <m/>
    <m/>
    <m/>
    <m/>
  </r>
  <r>
    <x v="0"/>
    <x v="3"/>
    <s v="7932/14"/>
    <x v="292"/>
    <s v="فہیم پلاسٹک ملتان"/>
    <s v="PP"/>
    <n v="13"/>
    <s v="7"/>
    <s v="PP"/>
    <n v="400"/>
    <m/>
    <n v="3"/>
    <n v="141.22"/>
    <n v="3.9000000000000004"/>
    <m/>
    <s v=" "/>
    <n v="137.32"/>
    <s v="849.07999999999993"/>
    <m/>
    <m/>
    <m/>
    <n v="0"/>
    <n v="0"/>
    <m/>
    <m/>
    <m/>
    <m/>
    <m/>
    <m/>
    <m/>
    <m/>
    <n v="0"/>
    <n v="0"/>
    <n v="0"/>
    <n v="12"/>
    <n v="12"/>
    <m/>
    <m/>
    <n v="0"/>
    <n v="146.22"/>
    <m/>
    <x v="0"/>
    <m/>
    <m/>
    <m/>
    <m/>
  </r>
  <r>
    <x v="0"/>
    <x v="3"/>
    <s v="13/2"/>
    <x v="292"/>
    <s v="جیلانی پولی سٹاک"/>
    <s v="PP"/>
    <n v="13"/>
    <n v="5"/>
    <s v="PP"/>
    <n v="500"/>
    <m/>
    <n v="8"/>
    <n v="346.1"/>
    <n v="10.4"/>
    <n v="27"/>
    <s v=" "/>
    <n v="335.70000000000005"/>
    <s v="335.70000000000005"/>
    <m/>
    <m/>
    <m/>
    <n v="0"/>
    <n v="0"/>
    <m/>
    <m/>
    <n v="60"/>
    <m/>
    <m/>
    <m/>
    <n v="30"/>
    <m/>
    <n v="90"/>
    <n v="1.5"/>
    <n v="1.5"/>
    <n v="10.5"/>
    <n v="12"/>
    <m/>
    <m/>
    <n v="0"/>
    <n v="351.1"/>
    <m/>
    <x v="0"/>
    <m/>
    <m/>
    <m/>
    <m/>
  </r>
  <r>
    <x v="1"/>
    <x v="3"/>
    <s v="12/2"/>
    <x v="292"/>
    <s v="سٹاک"/>
    <s v="PP"/>
    <n v="12"/>
    <n v="5"/>
    <s v="PP"/>
    <n v="1000"/>
    <m/>
    <n v="3"/>
    <n v="183.4"/>
    <n v="3.9000000000000004"/>
    <n v="21"/>
    <s v=" "/>
    <n v="179.5"/>
    <s v="535.72"/>
    <m/>
    <m/>
    <m/>
    <n v="0"/>
    <n v="0"/>
    <m/>
    <m/>
    <m/>
    <m/>
    <m/>
    <m/>
    <m/>
    <m/>
    <n v="0"/>
    <n v="0"/>
    <n v="0"/>
    <n v="12"/>
    <n v="12"/>
    <m/>
    <m/>
    <n v="0"/>
    <n v="188.4"/>
    <m/>
    <x v="0"/>
    <m/>
    <m/>
    <m/>
    <m/>
  </r>
  <r>
    <x v="1"/>
    <x v="3"/>
    <s v="14/13"/>
    <x v="292"/>
    <s v="سٹاک"/>
    <s v="PP"/>
    <n v="14"/>
    <n v="5"/>
    <s v="PP"/>
    <n v="2000"/>
    <m/>
    <n v="5"/>
    <n v="290.7"/>
    <n v="7"/>
    <m/>
    <s v=" "/>
    <n v="283.7"/>
    <s v="1991.3200000000002"/>
    <n v="25"/>
    <m/>
    <m/>
    <n v="25"/>
    <n v="0.41666666666666674"/>
    <m/>
    <m/>
    <m/>
    <m/>
    <m/>
    <m/>
    <m/>
    <m/>
    <n v="0"/>
    <n v="0"/>
    <n v="0.41666666666666674"/>
    <n v="11.583333333333334"/>
    <n v="12"/>
    <m/>
    <m/>
    <n v="0"/>
    <n v="295.7"/>
    <m/>
    <x v="0"/>
    <m/>
    <m/>
    <m/>
    <m/>
  </r>
  <r>
    <x v="0"/>
    <x v="4"/>
    <s v="7943/2"/>
    <x v="292"/>
    <s v="حنان پلاسٹک فیصل اباد"/>
    <s v="PP"/>
    <n v="12"/>
    <s v="7"/>
    <s v="PP"/>
    <n v="300"/>
    <m/>
    <n v="2"/>
    <n v="99.66"/>
    <n v="2.4"/>
    <m/>
    <s v=" "/>
    <n v="97.259999999999991"/>
    <s v="575.46"/>
    <m/>
    <m/>
    <m/>
    <n v="0"/>
    <n v="0"/>
    <m/>
    <m/>
    <m/>
    <m/>
    <m/>
    <m/>
    <m/>
    <m/>
    <n v="0"/>
    <n v="0"/>
    <n v="0"/>
    <n v="12"/>
    <n v="12"/>
    <m/>
    <m/>
    <n v="0"/>
    <n v="104.66"/>
    <m/>
    <x v="0"/>
    <m/>
    <m/>
    <m/>
    <m/>
  </r>
  <r>
    <x v="0"/>
    <x v="4"/>
    <s v="7946/1"/>
    <x v="292"/>
    <s v="ایم دین پنڈی"/>
    <s v="PP"/>
    <n v="8"/>
    <s v="11"/>
    <s v="PP"/>
    <n v="450"/>
    <m/>
    <n v="8"/>
    <n v="288.08"/>
    <n v="6.4"/>
    <m/>
    <s v=" "/>
    <n v="281.68"/>
    <s v="469.18"/>
    <n v="25"/>
    <m/>
    <m/>
    <n v="25"/>
    <n v="0.41666666666666674"/>
    <m/>
    <m/>
    <m/>
    <m/>
    <m/>
    <m/>
    <m/>
    <m/>
    <n v="0"/>
    <n v="0"/>
    <n v="0.41666666666666674"/>
    <n v="11.583333333333334"/>
    <n v="12"/>
    <m/>
    <m/>
    <n v="0"/>
    <n v="293.08"/>
    <m/>
    <x v="0"/>
    <m/>
    <m/>
    <m/>
    <m/>
  </r>
  <r>
    <x v="1"/>
    <x v="4"/>
    <s v="7946/1"/>
    <x v="292"/>
    <s v="ایم دین پنڈی"/>
    <s v="PP"/>
    <n v="8"/>
    <s v="11"/>
    <s v="PP"/>
    <n v="450"/>
    <m/>
    <n v="4"/>
    <n v="190.7"/>
    <n v="3.2"/>
    <m/>
    <s v=" "/>
    <n v="187.5"/>
    <s v="469.18"/>
    <m/>
    <m/>
    <m/>
    <n v="0"/>
    <n v="0"/>
    <m/>
    <m/>
    <m/>
    <m/>
    <m/>
    <m/>
    <m/>
    <m/>
    <n v="0"/>
    <n v="0"/>
    <n v="0"/>
    <n v="12"/>
    <n v="12"/>
    <m/>
    <m/>
    <n v="0"/>
    <n v="195.7"/>
    <m/>
    <x v="0"/>
    <m/>
    <m/>
    <m/>
    <m/>
  </r>
  <r>
    <x v="1"/>
    <x v="4"/>
    <s v="8/14"/>
    <x v="292"/>
    <s v="سٹاک"/>
    <s v="PP"/>
    <n v="8"/>
    <n v="5"/>
    <s v="PP"/>
    <n v="1500"/>
    <m/>
    <n v="4"/>
    <n v="175.46"/>
    <n v="3.2"/>
    <m/>
    <s v=" "/>
    <n v="172.26000000000002"/>
    <s v="1399.6200000000001"/>
    <m/>
    <m/>
    <m/>
    <n v="0"/>
    <n v="0"/>
    <m/>
    <m/>
    <m/>
    <m/>
    <m/>
    <m/>
    <m/>
    <m/>
    <n v="0"/>
    <n v="0"/>
    <n v="0"/>
    <n v="12"/>
    <n v="12"/>
    <m/>
    <m/>
    <n v="0"/>
    <n v="180.46"/>
    <m/>
    <x v="0"/>
    <m/>
    <m/>
    <m/>
    <m/>
  </r>
  <r>
    <x v="0"/>
    <x v="0"/>
    <s v="2/8"/>
    <x v="293"/>
    <s v="سٹاک"/>
    <s v="PP"/>
    <n v="2"/>
    <s v="5.5-6"/>
    <s v="PP"/>
    <s v="15رول بیگ"/>
    <m/>
    <n v="4"/>
    <n v="59.17"/>
    <n v="0.8"/>
    <m/>
    <s v=" "/>
    <n v="58.370000000000005"/>
    <s v="501.53999999999996"/>
    <m/>
    <m/>
    <m/>
    <n v="0"/>
    <n v="0"/>
    <m/>
    <m/>
    <m/>
    <m/>
    <m/>
    <m/>
    <m/>
    <m/>
    <n v="0"/>
    <n v="0"/>
    <n v="0"/>
    <n v="12"/>
    <n v="12"/>
    <m/>
    <m/>
    <n v="0"/>
    <n v="64.17"/>
    <m/>
    <x v="0"/>
    <m/>
    <m/>
    <m/>
    <m/>
  </r>
  <r>
    <x v="0"/>
    <x v="0"/>
    <s v="7951/1"/>
    <x v="293"/>
    <s v="محبوب مقبول گوجرانوالہ"/>
    <s v="PP"/>
    <n v="1.5"/>
    <s v="5"/>
    <s v="PP"/>
    <n v="100"/>
    <m/>
    <n v="3"/>
    <n v="29.86"/>
    <n v="0.3"/>
    <n v="26"/>
    <s v=" "/>
    <n v="29.56"/>
    <s v="130.92000000000002"/>
    <n v="25"/>
    <m/>
    <m/>
    <n v="25"/>
    <n v="0.41666666666666674"/>
    <m/>
    <m/>
    <m/>
    <m/>
    <m/>
    <m/>
    <m/>
    <m/>
    <n v="0"/>
    <n v="0"/>
    <n v="0.41666666666666674"/>
    <n v="11.583333333333334"/>
    <n v="12"/>
    <m/>
    <m/>
    <n v="0"/>
    <n v="34.86"/>
    <m/>
    <x v="0"/>
    <m/>
    <m/>
    <m/>
    <m/>
  </r>
  <r>
    <x v="1"/>
    <x v="0"/>
    <s v="7951/1"/>
    <x v="293"/>
    <s v="محبوب مقبول گوجرانوالہ"/>
    <s v="PP"/>
    <n v="1.5"/>
    <s v="5"/>
    <s v="PP"/>
    <n v="100"/>
    <m/>
    <n v="7"/>
    <n v="57.960000000000008"/>
    <n v="1.05"/>
    <n v="30"/>
    <s v=" "/>
    <n v="56.910000000000011"/>
    <s v="130.92000000000002"/>
    <m/>
    <m/>
    <m/>
    <n v="0"/>
    <n v="0"/>
    <n v="20"/>
    <m/>
    <m/>
    <m/>
    <m/>
    <m/>
    <m/>
    <m/>
    <n v="20"/>
    <n v="0.33333333333333331"/>
    <n v="0.33333333333333331"/>
    <n v="11.666666666666666"/>
    <n v="12"/>
    <m/>
    <m/>
    <n v="0"/>
    <n v="62.960000000000008"/>
    <m/>
    <x v="0"/>
    <m/>
    <m/>
    <m/>
    <m/>
  </r>
  <r>
    <x v="0"/>
    <x v="1"/>
    <s v="7/12"/>
    <x v="293"/>
    <s v="سٹاک"/>
    <s v="PP"/>
    <n v="7"/>
    <n v="5"/>
    <s v="PP"/>
    <n v="1000"/>
    <m/>
    <n v="8"/>
    <n v="165.54999999999998"/>
    <n v="5.6"/>
    <m/>
    <s v=" "/>
    <n v="159.94999999999999"/>
    <s v="764.43"/>
    <m/>
    <m/>
    <m/>
    <n v="0"/>
    <n v="0"/>
    <m/>
    <m/>
    <m/>
    <m/>
    <m/>
    <m/>
    <m/>
    <m/>
    <n v="0"/>
    <n v="0"/>
    <n v="0"/>
    <n v="12"/>
    <n v="12"/>
    <m/>
    <m/>
    <n v="0"/>
    <n v="170.54999999999998"/>
    <m/>
    <x v="0"/>
    <m/>
    <m/>
    <m/>
    <m/>
  </r>
  <r>
    <x v="1"/>
    <x v="1"/>
    <s v="7/12"/>
    <x v="293"/>
    <s v="سٹاک"/>
    <s v="PP"/>
    <n v="7"/>
    <n v="5"/>
    <s v="PP"/>
    <n v="1000"/>
    <m/>
    <n v="6"/>
    <n v="163.15"/>
    <n v="4.1999999999999993"/>
    <m/>
    <s v=" "/>
    <n v="158.95000000000002"/>
    <s v="764.43"/>
    <m/>
    <m/>
    <m/>
    <n v="0"/>
    <n v="0"/>
    <n v="20"/>
    <m/>
    <m/>
    <m/>
    <m/>
    <m/>
    <m/>
    <m/>
    <n v="20"/>
    <n v="0.33333333333333331"/>
    <n v="0.33333333333333331"/>
    <n v="11.666666666666666"/>
    <n v="12"/>
    <m/>
    <m/>
    <n v="0"/>
    <n v="168.15"/>
    <m/>
    <x v="0"/>
    <m/>
    <m/>
    <m/>
    <m/>
  </r>
  <r>
    <x v="0"/>
    <x v="3"/>
    <s v="14/13"/>
    <x v="293"/>
    <s v="سٹاک"/>
    <s v="PP"/>
    <n v="14"/>
    <n v="5"/>
    <s v="PP"/>
    <n v="2000"/>
    <m/>
    <n v="9"/>
    <n v="509.69999999999993"/>
    <n v="12.6"/>
    <m/>
    <s v=" "/>
    <n v="497.09999999999991"/>
    <s v="1991.3200000000002"/>
    <m/>
    <m/>
    <m/>
    <n v="0"/>
    <n v="0"/>
    <m/>
    <m/>
    <m/>
    <m/>
    <m/>
    <m/>
    <m/>
    <m/>
    <n v="0"/>
    <n v="0"/>
    <n v="0"/>
    <n v="12"/>
    <n v="12"/>
    <m/>
    <m/>
    <n v="0"/>
    <n v="514.69999999999993"/>
    <m/>
    <x v="0"/>
    <m/>
    <m/>
    <m/>
    <m/>
  </r>
  <r>
    <x v="1"/>
    <x v="3"/>
    <s v="14/13"/>
    <x v="293"/>
    <s v="سٹاک"/>
    <s v="PP"/>
    <n v="14"/>
    <n v="5"/>
    <s v="PP"/>
    <n v="2000"/>
    <m/>
    <n v="11"/>
    <n v="497.56"/>
    <n v="15.399999999999999"/>
    <m/>
    <s v=" "/>
    <n v="482.16"/>
    <s v="1991.3200000000002"/>
    <m/>
    <m/>
    <m/>
    <n v="0"/>
    <n v="0"/>
    <n v="20"/>
    <m/>
    <m/>
    <m/>
    <m/>
    <m/>
    <m/>
    <m/>
    <n v="20"/>
    <n v="0.33333333333333331"/>
    <n v="0.33333333333333331"/>
    <n v="11.666666666666666"/>
    <n v="12"/>
    <m/>
    <m/>
    <n v="0"/>
    <n v="502.56"/>
    <m/>
    <x v="0"/>
    <m/>
    <m/>
    <m/>
    <m/>
  </r>
  <r>
    <x v="0"/>
    <x v="4"/>
    <s v="8/14"/>
    <x v="293"/>
    <s v="سٹاک"/>
    <s v="PP"/>
    <n v="8"/>
    <n v="5"/>
    <s v="PP"/>
    <n v="1500"/>
    <m/>
    <n v="7"/>
    <n v="272.90000000000003"/>
    <n v="5.6000000000000005"/>
    <m/>
    <s v=" "/>
    <n v="267.3"/>
    <s v="1399.6200000000001"/>
    <m/>
    <m/>
    <m/>
    <n v="0"/>
    <n v="0"/>
    <m/>
    <m/>
    <m/>
    <m/>
    <m/>
    <m/>
    <m/>
    <m/>
    <n v="0"/>
    <n v="0"/>
    <n v="0"/>
    <n v="12"/>
    <n v="12"/>
    <m/>
    <m/>
    <n v="0"/>
    <n v="277.90000000000003"/>
    <m/>
    <x v="0"/>
    <m/>
    <m/>
    <m/>
    <m/>
  </r>
  <r>
    <x v="1"/>
    <x v="4"/>
    <s v="8/14"/>
    <x v="293"/>
    <s v="سٹاک"/>
    <s v="PP"/>
    <n v="8"/>
    <n v="5"/>
    <s v="PP"/>
    <n v="1500"/>
    <m/>
    <n v="9"/>
    <n v="318.32"/>
    <n v="7.2"/>
    <m/>
    <s v=" "/>
    <n v="311.12"/>
    <s v="1399.6200000000001"/>
    <m/>
    <m/>
    <m/>
    <n v="0"/>
    <n v="0"/>
    <n v="25"/>
    <m/>
    <m/>
    <m/>
    <m/>
    <m/>
    <m/>
    <m/>
    <n v="25"/>
    <n v="0.41666666666666674"/>
    <n v="0.41666666666666674"/>
    <n v="11.583333333333334"/>
    <n v="12"/>
    <m/>
    <m/>
    <n v="0"/>
    <n v="323.32"/>
    <m/>
    <x v="0"/>
    <m/>
    <m/>
    <m/>
    <m/>
  </r>
  <r>
    <x v="0"/>
    <x v="0"/>
    <s v="7951/1"/>
    <x v="294"/>
    <s v="محبوب مقبول گوجرانوالہ"/>
    <s v="PP"/>
    <n v="1.5"/>
    <s v="5"/>
    <s v="PP"/>
    <n v="100"/>
    <m/>
    <n v="4"/>
    <n v="45.05"/>
    <n v="0.6"/>
    <m/>
    <s v=" "/>
    <n v="44.449999999999996"/>
    <s v="130.92000000000002"/>
    <m/>
    <m/>
    <m/>
    <n v="0"/>
    <n v="0"/>
    <m/>
    <m/>
    <m/>
    <m/>
    <m/>
    <m/>
    <m/>
    <m/>
    <n v="0"/>
    <n v="0"/>
    <n v="0"/>
    <n v="12"/>
    <n v="12"/>
    <m/>
    <m/>
    <n v="0"/>
    <n v="50.05"/>
    <m/>
    <x v="0"/>
    <m/>
    <m/>
    <m/>
    <m/>
  </r>
  <r>
    <x v="0"/>
    <x v="0"/>
    <s v="7950/10"/>
    <x v="294"/>
    <s v="العمر پلاسٹک گوجرانوالہ"/>
    <s v="PP"/>
    <n v="1.5"/>
    <s v="5"/>
    <s v="PP"/>
    <s v="6 رول بیگ"/>
    <m/>
    <n v="2"/>
    <n v="34.450000000000003"/>
    <n v="0.3"/>
    <n v="21"/>
    <s v=" "/>
    <n v="34.150000000000006"/>
    <s v="111.78"/>
    <m/>
    <m/>
    <m/>
    <n v="0"/>
    <n v="0"/>
    <m/>
    <m/>
    <m/>
    <m/>
    <m/>
    <m/>
    <m/>
    <m/>
    <n v="0"/>
    <n v="0"/>
    <n v="0"/>
    <n v="12"/>
    <n v="12"/>
    <m/>
    <m/>
    <n v="0"/>
    <n v="39.450000000000003"/>
    <m/>
    <x v="0"/>
    <m/>
    <m/>
    <m/>
    <m/>
  </r>
  <r>
    <x v="1"/>
    <x v="0"/>
    <s v="7950/10"/>
    <x v="294"/>
    <s v="العمر پلاسٹک گوجرانوالہ"/>
    <s v="PP"/>
    <n v="1.5"/>
    <s v="5"/>
    <s v="PP"/>
    <s v="6 رول بیگ"/>
    <m/>
    <n v="6"/>
    <n v="78.53"/>
    <n v="0.89999999999999991"/>
    <n v="31"/>
    <s v=" "/>
    <n v="77.63"/>
    <s v="111.78"/>
    <m/>
    <m/>
    <m/>
    <n v="0"/>
    <n v="0"/>
    <m/>
    <m/>
    <m/>
    <m/>
    <m/>
    <m/>
    <m/>
    <m/>
    <n v="0"/>
    <n v="0"/>
    <n v="0"/>
    <n v="12"/>
    <n v="12"/>
    <m/>
    <m/>
    <n v="0"/>
    <n v="83.53"/>
    <m/>
    <x v="0"/>
    <m/>
    <m/>
    <m/>
    <m/>
  </r>
  <r>
    <x v="0"/>
    <x v="1"/>
    <s v="7/12"/>
    <x v="294"/>
    <s v="سٹاک"/>
    <s v="PP"/>
    <n v="7"/>
    <n v="5"/>
    <s v="PP"/>
    <n v="1000"/>
    <m/>
    <n v="9"/>
    <n v="203.58"/>
    <n v="6.3"/>
    <m/>
    <s v=" "/>
    <n v="197.28"/>
    <s v="764.43"/>
    <m/>
    <m/>
    <m/>
    <n v="0"/>
    <n v="0"/>
    <m/>
    <m/>
    <m/>
    <m/>
    <m/>
    <m/>
    <m/>
    <m/>
    <n v="0"/>
    <n v="0"/>
    <n v="0"/>
    <n v="12"/>
    <n v="12"/>
    <m/>
    <m/>
    <n v="0"/>
    <n v="208.58"/>
    <m/>
    <x v="0"/>
    <m/>
    <m/>
    <m/>
    <m/>
  </r>
  <r>
    <x v="1"/>
    <x v="1"/>
    <s v="7/12"/>
    <x v="294"/>
    <s v="سٹاک"/>
    <s v="PP"/>
    <n v="7"/>
    <n v="5"/>
    <s v="PP"/>
    <n v="1000"/>
    <m/>
    <n v="8"/>
    <n v="187.13"/>
    <n v="5.6"/>
    <m/>
    <s v=" "/>
    <n v="181.53"/>
    <s v="764.43"/>
    <m/>
    <m/>
    <m/>
    <n v="0"/>
    <n v="0"/>
    <m/>
    <m/>
    <m/>
    <m/>
    <m/>
    <m/>
    <m/>
    <m/>
    <n v="0"/>
    <n v="0"/>
    <n v="0"/>
    <n v="12"/>
    <n v="12"/>
    <m/>
    <m/>
    <n v="0"/>
    <n v="192.13"/>
    <m/>
    <x v="0"/>
    <m/>
    <m/>
    <m/>
    <m/>
  </r>
  <r>
    <x v="0"/>
    <x v="3"/>
    <s v="14/13"/>
    <x v="294"/>
    <s v="سٹاک"/>
    <s v="PP"/>
    <n v="14"/>
    <n v="5"/>
    <s v="PP"/>
    <n v="2000"/>
    <m/>
    <n v="9"/>
    <n v="478.03999999999996"/>
    <n v="12.6"/>
    <m/>
    <s v=" "/>
    <n v="465.43999999999994"/>
    <s v="1991.3200000000002"/>
    <m/>
    <m/>
    <m/>
    <n v="0"/>
    <n v="0"/>
    <m/>
    <m/>
    <m/>
    <m/>
    <m/>
    <m/>
    <m/>
    <m/>
    <n v="0"/>
    <n v="0"/>
    <n v="0"/>
    <n v="12"/>
    <n v="12"/>
    <m/>
    <m/>
    <n v="0"/>
    <n v="483.04"/>
    <m/>
    <x v="0"/>
    <m/>
    <m/>
    <m/>
    <m/>
  </r>
  <r>
    <x v="1"/>
    <x v="3"/>
    <s v="14/13"/>
    <x v="294"/>
    <s v="سٹاک"/>
    <s v="PP"/>
    <n v="14"/>
    <n v="5"/>
    <s v="PP"/>
    <n v="2000"/>
    <m/>
    <n v="5"/>
    <n v="269.92"/>
    <n v="7"/>
    <m/>
    <s v=" "/>
    <n v="262.92"/>
    <s v="1991.3200000000002"/>
    <m/>
    <m/>
    <m/>
    <n v="0"/>
    <n v="0"/>
    <m/>
    <m/>
    <m/>
    <m/>
    <m/>
    <m/>
    <m/>
    <m/>
    <n v="0"/>
    <n v="0"/>
    <n v="0"/>
    <n v="12"/>
    <n v="12"/>
    <m/>
    <m/>
    <n v="0"/>
    <n v="274.92"/>
    <m/>
    <x v="0"/>
    <m/>
    <m/>
    <m/>
    <m/>
  </r>
  <r>
    <x v="1"/>
    <x v="3"/>
    <s v="7956/2"/>
    <x v="294"/>
    <s v="ایم عمران پاکستان مارکیٹ"/>
    <s v="PP"/>
    <n v="14"/>
    <s v="6.5"/>
    <s v="PP"/>
    <n v="250"/>
    <m/>
    <n v="4"/>
    <n v="220.9"/>
    <n v="5.6"/>
    <m/>
    <s v=" "/>
    <n v="215.3"/>
    <s v="215.3"/>
    <m/>
    <m/>
    <m/>
    <n v="0"/>
    <n v="0"/>
    <m/>
    <m/>
    <m/>
    <m/>
    <m/>
    <m/>
    <m/>
    <m/>
    <n v="0"/>
    <n v="0"/>
    <n v="0"/>
    <n v="12"/>
    <n v="12"/>
    <m/>
    <m/>
    <n v="0"/>
    <n v="225.9"/>
    <m/>
    <x v="0"/>
    <m/>
    <m/>
    <m/>
    <m/>
  </r>
  <r>
    <x v="0"/>
    <x v="4"/>
    <s v="8/14"/>
    <x v="294"/>
    <s v="سٹاک"/>
    <s v="PP"/>
    <n v="8"/>
    <n v="5"/>
    <s v="PP"/>
    <n v="1500"/>
    <m/>
    <n v="8"/>
    <n v="335.4"/>
    <n v="6.4"/>
    <m/>
    <s v=" "/>
    <n v="329"/>
    <s v="1399.6200000000001"/>
    <m/>
    <m/>
    <m/>
    <n v="0"/>
    <n v="0"/>
    <m/>
    <m/>
    <m/>
    <m/>
    <m/>
    <m/>
    <m/>
    <m/>
    <n v="0"/>
    <n v="0"/>
    <n v="0"/>
    <n v="12"/>
    <n v="12"/>
    <m/>
    <m/>
    <n v="0"/>
    <n v="340.4"/>
    <m/>
    <x v="0"/>
    <m/>
    <m/>
    <m/>
    <m/>
  </r>
  <r>
    <x v="1"/>
    <x v="4"/>
    <s v="8/14"/>
    <x v="294"/>
    <s v="سٹاک"/>
    <s v="PP"/>
    <n v="8"/>
    <n v="5"/>
    <s v="PP"/>
    <n v="1500"/>
    <m/>
    <n v="9"/>
    <n v="327.14000000000004"/>
    <n v="7.2"/>
    <m/>
    <s v=" "/>
    <n v="319.94000000000005"/>
    <s v="1399.6200000000001"/>
    <m/>
    <m/>
    <m/>
    <n v="0"/>
    <n v="0"/>
    <m/>
    <m/>
    <m/>
    <m/>
    <m/>
    <m/>
    <m/>
    <m/>
    <n v="0"/>
    <n v="0"/>
    <n v="0"/>
    <n v="12"/>
    <n v="12"/>
    <m/>
    <m/>
    <n v="0"/>
    <n v="332.14000000000004"/>
    <m/>
    <x v="0"/>
    <m/>
    <m/>
    <m/>
    <m/>
  </r>
  <r>
    <x v="2"/>
    <x v="6"/>
    <m/>
    <x v="139"/>
    <s v="-"/>
    <m/>
    <m/>
    <m/>
    <m/>
    <m/>
    <m/>
    <m/>
    <m/>
    <m/>
    <m/>
    <s v=" "/>
    <m/>
    <s v="0"/>
    <m/>
    <m/>
    <m/>
    <n v="0"/>
    <n v="0"/>
    <m/>
    <m/>
    <m/>
    <m/>
    <m/>
    <m/>
    <m/>
    <m/>
    <n v="0"/>
    <n v="0"/>
    <n v="0"/>
    <n v="12"/>
    <n v="12"/>
    <m/>
    <m/>
    <n v="0"/>
    <m/>
    <m/>
    <x v="0"/>
    <m/>
    <m/>
    <m/>
    <m/>
  </r>
  <r>
    <x v="2"/>
    <x v="6"/>
    <m/>
    <x v="139"/>
    <s v="-"/>
    <m/>
    <m/>
    <m/>
    <m/>
    <m/>
    <m/>
    <m/>
    <m/>
    <m/>
    <m/>
    <s v=" "/>
    <m/>
    <s v="0"/>
    <m/>
    <m/>
    <m/>
    <n v="0"/>
    <n v="0"/>
    <m/>
    <m/>
    <m/>
    <m/>
    <m/>
    <m/>
    <m/>
    <m/>
    <n v="0"/>
    <n v="0"/>
    <n v="0"/>
    <n v="12"/>
    <n v="12"/>
    <m/>
    <m/>
    <n v="0"/>
    <m/>
    <m/>
    <x v="0"/>
    <m/>
    <m/>
    <m/>
    <m/>
  </r>
  <r>
    <x v="2"/>
    <x v="6"/>
    <m/>
    <x v="139"/>
    <s v="-"/>
    <m/>
    <m/>
    <m/>
    <m/>
    <m/>
    <m/>
    <m/>
    <m/>
    <m/>
    <m/>
    <s v=" "/>
    <m/>
    <s v="0"/>
    <m/>
    <m/>
    <m/>
    <n v="0"/>
    <n v="0"/>
    <m/>
    <m/>
    <m/>
    <m/>
    <m/>
    <m/>
    <m/>
    <m/>
    <n v="0"/>
    <n v="0"/>
    <n v="0"/>
    <n v="12"/>
    <n v="12"/>
    <m/>
    <m/>
    <n v="0"/>
    <m/>
    <m/>
    <x v="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2E67D-B771-4F7E-A362-3F2704545C7E}" name="PivotTable3" cacheId="58"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3:AG197" firstHeaderRow="0" firstDataRow="1" firstDataCol="4"/>
  <pivotFields count="47">
    <pivotField axis="axisRow" compact="0" outline="0" subtotalTop="0" showAll="0" defaultSubtotal="0">
      <items count="3">
        <item x="0"/>
        <item x="1"/>
        <item x="2"/>
      </items>
      <extLst>
        <ext xmlns:x14="http://schemas.microsoft.com/office/spreadsheetml/2009/9/main" uri="{2946ED86-A175-432a-8AC1-64E0C546D7DE}">
          <x14:pivotField fillDownLabels="1"/>
        </ext>
      </extLst>
    </pivotField>
    <pivotField axis="axisRow" compact="0" outline="0" subtotalTop="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items count="37">
        <item h="1" x="25"/>
        <item h="1" x="26"/>
        <item h="1" x="27"/>
        <item h="1" x="28"/>
        <item h="1" x="29"/>
        <item h="1" x="30"/>
        <item x="31"/>
        <item x="32"/>
        <item x="33"/>
        <item x="34"/>
        <item x="35"/>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m="1" x="36"/>
        <item h="1" x="0"/>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4">
        <item sd="0" x="0"/>
        <item x="1"/>
        <item x="2"/>
        <item x="3"/>
        <item x="4"/>
        <item sd="0" x="5"/>
        <item sd="0" x="6"/>
        <item sd="0" x="7"/>
        <item sd="0" x="8"/>
        <item x="9"/>
        <item x="10"/>
        <item x="11"/>
        <item x="12"/>
        <item sd="0" x="13"/>
      </items>
      <extLst>
        <ext xmlns:x14="http://schemas.microsoft.com/office/spreadsheetml/2009/9/main" uri="{2946ED86-A175-432a-8AC1-64E0C546D7DE}">
          <x14:pivotField fillDownLabels="1"/>
        </ext>
      </extLst>
    </pivotField>
  </pivotFields>
  <rowFields count="4">
    <field x="3"/>
    <field x="46"/>
    <field x="1"/>
    <field x="0"/>
  </rowFields>
  <rowItems count="194">
    <i>
      <x v="92"/>
      <x v="4"/>
      <x v="3"/>
      <x/>
    </i>
    <i r="3">
      <x v="1"/>
    </i>
    <i r="2">
      <x v="4"/>
      <x/>
    </i>
    <i r="3">
      <x v="1"/>
    </i>
    <i>
      <x v="93"/>
      <x v="4"/>
      <x/>
      <x v="1"/>
    </i>
    <i r="2">
      <x v="1"/>
      <x v="1"/>
    </i>
    <i r="2">
      <x v="3"/>
      <x/>
    </i>
    <i r="3">
      <x v="1"/>
    </i>
    <i r="2">
      <x v="4"/>
      <x/>
    </i>
    <i r="3">
      <x v="1"/>
    </i>
    <i>
      <x v="94"/>
      <x v="4"/>
      <x/>
      <x/>
    </i>
    <i r="3">
      <x v="1"/>
    </i>
    <i r="2">
      <x v="1"/>
      <x/>
    </i>
    <i r="3">
      <x v="1"/>
    </i>
    <i r="2">
      <x v="3"/>
      <x/>
    </i>
    <i r="3">
      <x v="1"/>
    </i>
    <i r="2">
      <x v="4"/>
      <x/>
    </i>
    <i r="3">
      <x v="1"/>
    </i>
    <i>
      <x v="95"/>
      <x v="4"/>
      <x/>
      <x/>
    </i>
    <i r="3">
      <x v="1"/>
    </i>
    <i r="2">
      <x v="1"/>
      <x/>
    </i>
    <i r="3">
      <x v="1"/>
    </i>
    <i r="2">
      <x v="3"/>
      <x/>
    </i>
    <i r="3">
      <x v="1"/>
    </i>
    <i r="2">
      <x v="4"/>
      <x/>
    </i>
    <i r="3">
      <x v="1"/>
    </i>
    <i>
      <x v="96"/>
      <x v="4"/>
      <x/>
      <x/>
    </i>
    <i r="3">
      <x v="1"/>
    </i>
    <i r="2">
      <x v="1"/>
      <x/>
    </i>
    <i r="3">
      <x v="1"/>
    </i>
    <i r="2">
      <x v="3"/>
      <x/>
    </i>
    <i r="3">
      <x v="1"/>
    </i>
    <i r="2">
      <x v="4"/>
      <x/>
    </i>
    <i r="3">
      <x v="1"/>
    </i>
    <i>
      <x v="97"/>
      <x v="4"/>
      <x/>
      <x/>
    </i>
    <i r="3">
      <x v="1"/>
    </i>
    <i r="2">
      <x v="1"/>
      <x/>
    </i>
    <i r="3">
      <x v="1"/>
    </i>
    <i r="2">
      <x v="3"/>
      <x/>
    </i>
    <i r="3">
      <x v="1"/>
    </i>
    <i r="2">
      <x v="4"/>
      <x/>
    </i>
    <i r="3">
      <x v="1"/>
    </i>
    <i>
      <x v="98"/>
      <x v="4"/>
      <x/>
      <x/>
    </i>
    <i r="2">
      <x v="1"/>
      <x/>
    </i>
    <i r="3">
      <x v="1"/>
    </i>
    <i r="2">
      <x v="3"/>
      <x/>
    </i>
    <i r="3">
      <x v="1"/>
    </i>
    <i r="2">
      <x v="4"/>
      <x/>
    </i>
    <i r="3">
      <x v="1"/>
    </i>
    <i>
      <x v="99"/>
      <x v="4"/>
      <x v="1"/>
      <x/>
    </i>
    <i r="3">
      <x v="1"/>
    </i>
    <i r="2">
      <x v="3"/>
      <x/>
    </i>
    <i r="3">
      <x v="1"/>
    </i>
    <i r="2">
      <x v="4"/>
      <x/>
    </i>
    <i r="3">
      <x v="1"/>
    </i>
    <i>
      <x v="100"/>
      <x v="4"/>
      <x v="1"/>
      <x/>
    </i>
    <i r="3">
      <x v="1"/>
    </i>
    <i r="2">
      <x v="3"/>
      <x/>
    </i>
    <i r="3">
      <x v="1"/>
    </i>
    <i r="2">
      <x v="4"/>
      <x/>
    </i>
    <i r="3">
      <x v="1"/>
    </i>
    <i>
      <x v="101"/>
      <x v="4"/>
      <x v="1"/>
      <x/>
    </i>
    <i r="3">
      <x v="1"/>
    </i>
    <i r="2">
      <x v="3"/>
      <x/>
    </i>
    <i r="3">
      <x v="1"/>
    </i>
    <i r="2">
      <x v="4"/>
      <x/>
    </i>
    <i r="3">
      <x v="1"/>
    </i>
    <i>
      <x v="102"/>
      <x v="4"/>
      <x v="1"/>
      <x/>
    </i>
    <i r="3">
      <x v="1"/>
    </i>
    <i r="2">
      <x v="3"/>
      <x/>
    </i>
    <i r="3">
      <x v="1"/>
    </i>
    <i r="2">
      <x v="4"/>
      <x/>
    </i>
    <i r="3">
      <x v="1"/>
    </i>
    <i>
      <x v="103"/>
      <x v="4"/>
      <x v="1"/>
      <x/>
    </i>
    <i r="3">
      <x v="1"/>
    </i>
    <i r="2">
      <x v="3"/>
      <x/>
    </i>
    <i r="3">
      <x v="1"/>
    </i>
    <i r="2">
      <x v="4"/>
      <x/>
    </i>
    <i r="3">
      <x v="1"/>
    </i>
    <i>
      <x v="104"/>
      <x v="4"/>
      <x v="1"/>
      <x/>
    </i>
    <i r="3">
      <x v="1"/>
    </i>
    <i r="2">
      <x v="3"/>
      <x/>
    </i>
    <i r="3">
      <x v="1"/>
    </i>
    <i r="2">
      <x v="4"/>
      <x/>
    </i>
    <i r="3">
      <x v="1"/>
    </i>
    <i>
      <x v="105"/>
      <x v="4"/>
      <x v="1"/>
      <x/>
    </i>
    <i r="3">
      <x v="1"/>
    </i>
    <i r="2">
      <x v="3"/>
      <x/>
    </i>
    <i r="3">
      <x v="1"/>
    </i>
    <i r="2">
      <x v="4"/>
      <x/>
    </i>
    <i r="3">
      <x v="1"/>
    </i>
    <i>
      <x v="106"/>
      <x v="4"/>
      <x v="1"/>
      <x/>
    </i>
    <i r="3">
      <x v="1"/>
    </i>
    <i r="2">
      <x v="3"/>
      <x/>
    </i>
    <i r="3">
      <x v="1"/>
    </i>
    <i r="2">
      <x v="4"/>
      <x/>
    </i>
    <i r="3">
      <x v="1"/>
    </i>
    <i>
      <x v="107"/>
      <x v="4"/>
      <x v="1"/>
      <x/>
    </i>
    <i r="3">
      <x v="1"/>
    </i>
    <i r="2">
      <x v="3"/>
      <x/>
    </i>
    <i r="3">
      <x v="1"/>
    </i>
    <i r="2">
      <x v="4"/>
      <x/>
    </i>
    <i r="3">
      <x v="1"/>
    </i>
    <i>
      <x v="108"/>
      <x v="4"/>
      <x v="1"/>
      <x/>
    </i>
    <i r="3">
      <x v="1"/>
    </i>
    <i r="2">
      <x v="3"/>
      <x/>
    </i>
    <i r="3">
      <x v="1"/>
    </i>
    <i r="2">
      <x v="4"/>
      <x/>
    </i>
    <i r="3">
      <x v="1"/>
    </i>
    <i>
      <x v="109"/>
      <x v="4"/>
      <x v="1"/>
      <x/>
    </i>
    <i r="3">
      <x v="1"/>
    </i>
    <i r="2">
      <x v="3"/>
      <x/>
    </i>
    <i r="3">
      <x v="1"/>
    </i>
    <i r="2">
      <x v="4"/>
      <x/>
    </i>
    <i r="3">
      <x v="1"/>
    </i>
    <i>
      <x v="110"/>
      <x v="4"/>
      <x v="1"/>
      <x/>
    </i>
    <i r="3">
      <x v="1"/>
    </i>
    <i r="2">
      <x v="3"/>
      <x/>
    </i>
    <i r="3">
      <x v="1"/>
    </i>
    <i r="2">
      <x v="4"/>
      <x/>
    </i>
    <i r="3">
      <x v="1"/>
    </i>
    <i>
      <x v="111"/>
      <x v="4"/>
      <x v="1"/>
      <x/>
    </i>
    <i r="3">
      <x v="1"/>
    </i>
    <i r="2">
      <x v="3"/>
      <x/>
    </i>
    <i r="3">
      <x v="1"/>
    </i>
    <i r="2">
      <x v="4"/>
      <x/>
    </i>
    <i r="3">
      <x v="1"/>
    </i>
    <i>
      <x v="112"/>
      <x v="4"/>
      <x v="1"/>
      <x/>
    </i>
    <i r="3">
      <x v="1"/>
    </i>
    <i r="2">
      <x v="3"/>
      <x/>
    </i>
    <i r="3">
      <x v="1"/>
    </i>
    <i r="2">
      <x v="4"/>
      <x/>
    </i>
    <i r="3">
      <x v="1"/>
    </i>
    <i>
      <x v="113"/>
      <x v="4"/>
      <x v="1"/>
      <x/>
    </i>
    <i r="3">
      <x v="1"/>
    </i>
    <i r="2">
      <x v="3"/>
      <x/>
    </i>
    <i r="3">
      <x v="1"/>
    </i>
    <i r="2">
      <x v="4"/>
      <x/>
    </i>
    <i r="3">
      <x v="1"/>
    </i>
    <i>
      <x v="114"/>
      <x v="4"/>
      <x v="1"/>
      <x/>
    </i>
    <i r="3">
      <x v="1"/>
    </i>
    <i r="2">
      <x v="3"/>
      <x/>
    </i>
    <i r="3">
      <x v="1"/>
    </i>
    <i r="2">
      <x v="4"/>
      <x/>
    </i>
    <i r="3">
      <x v="1"/>
    </i>
    <i>
      <x v="115"/>
      <x v="4"/>
      <x v="1"/>
      <x/>
    </i>
    <i r="3">
      <x v="1"/>
    </i>
    <i r="2">
      <x v="3"/>
      <x/>
    </i>
    <i r="2">
      <x v="4"/>
      <x/>
    </i>
    <i r="3">
      <x v="1"/>
    </i>
    <i>
      <x v="116"/>
      <x v="4"/>
      <x v="1"/>
      <x/>
    </i>
    <i r="3">
      <x v="1"/>
    </i>
    <i r="2">
      <x v="3"/>
      <x/>
    </i>
    <i r="3">
      <x v="1"/>
    </i>
    <i r="2">
      <x v="4"/>
      <x/>
    </i>
    <i r="3">
      <x v="1"/>
    </i>
    <i>
      <x v="117"/>
      <x v="4"/>
      <x v="1"/>
      <x/>
    </i>
    <i r="3">
      <x v="1"/>
    </i>
    <i r="2">
      <x v="3"/>
      <x/>
    </i>
    <i r="3">
      <x v="1"/>
    </i>
    <i r="2">
      <x v="4"/>
      <x/>
    </i>
    <i r="3">
      <x v="1"/>
    </i>
    <i>
      <x v="118"/>
      <x v="4"/>
      <x/>
      <x/>
    </i>
    <i r="3">
      <x v="1"/>
    </i>
    <i r="2">
      <x v="1"/>
      <x/>
    </i>
    <i r="3">
      <x v="1"/>
    </i>
    <i r="2">
      <x v="3"/>
      <x/>
    </i>
    <i r="3">
      <x v="1"/>
    </i>
    <i r="2">
      <x v="4"/>
      <x/>
    </i>
    <i r="3">
      <x v="1"/>
    </i>
    <i>
      <x v="119"/>
      <x v="4"/>
      <x/>
      <x/>
    </i>
    <i r="3">
      <x v="1"/>
    </i>
    <i r="2">
      <x v="1"/>
      <x/>
    </i>
    <i r="3">
      <x v="1"/>
    </i>
    <i r="2">
      <x v="3"/>
      <x/>
    </i>
    <i r="3">
      <x v="1"/>
    </i>
    <i r="2">
      <x v="4"/>
      <x/>
    </i>
    <i r="3">
      <x v="1"/>
    </i>
    <i>
      <x v="120"/>
      <x v="4"/>
      <x/>
      <x/>
    </i>
    <i r="3">
      <x v="1"/>
    </i>
    <i r="2">
      <x v="1"/>
      <x/>
    </i>
    <i r="3">
      <x v="1"/>
    </i>
    <i r="2">
      <x v="3"/>
      <x/>
    </i>
    <i r="3">
      <x v="1"/>
    </i>
    <i r="2">
      <x v="4"/>
      <x/>
    </i>
    <i r="3">
      <x v="1"/>
    </i>
    <i>
      <x v="121"/>
      <x v="4"/>
      <x/>
      <x/>
    </i>
    <i r="3">
      <x v="1"/>
    </i>
    <i r="2">
      <x v="1"/>
      <x/>
    </i>
    <i r="3">
      <x v="1"/>
    </i>
    <i r="2">
      <x v="3"/>
      <x/>
    </i>
    <i r="3">
      <x v="1"/>
    </i>
    <i r="2">
      <x v="4"/>
      <x/>
    </i>
    <i r="3">
      <x v="1"/>
    </i>
  </rowItems>
  <colFields count="1">
    <field x="-2"/>
  </colFields>
  <colItems count="29">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colItems>
  <dataFields count="29">
    <dataField name="Min of TOTAL HOURS" fld="35" subtotal="min" baseField="1" baseItem="2"/>
    <dataField name="Count of REMARKS" fld="42" subtotal="count" baseField="0" baseItem="0"/>
    <dataField name="Count of REMARKS_2" fld="45" subtotal="count" baseField="0" baseItem="0"/>
    <dataField name="Sum of  سیمپل چیک" fld="27" baseField="0" baseItem="0"/>
    <dataField name="Sum of TREET" fld="30" baseField="0" baseItem="0"/>
    <dataField name="Count of KWH/KG" fld="37" subtotal="count" baseField="0" baseItem="0"/>
    <dataField name="Sum of NET WEIGHT" fld="16" baseField="0" baseItem="0"/>
    <dataField name="Count of ACTION" fld="43" subtotal="count" baseField="0" baseItem="0"/>
    <dataField name="Count of ACTION PLAN" fld="44" subtotal="count" baseField="0" baseItem="0"/>
    <dataField name="Sum of کوالٹی CHANGE" fld="18" baseField="0" baseItem="0"/>
    <dataField name="Sum of ھیٹنگ" fld="19" baseField="0" baseItem="0"/>
    <dataField name="Sum of MACHINE ON" fld="20" baseField="0" baseItem="0"/>
    <dataField name="Sum of TOTAL MIN" fld="21" baseField="1" baseItem="0"/>
    <dataField name="Sum of P.S   HOURS" fld="22" baseField="0" baseItem="0"/>
    <dataField name="Sum of الیکٹریکل" fld="23" baseField="0" baseItem="0"/>
    <dataField name="Sum of ڈایی صاف " fld="24" baseField="0" baseItem="0"/>
    <dataField name="Sum of مکینیکل" fld="25" baseField="0" baseItem="0"/>
    <dataField name="Sum of سائز کم " fld="26" baseField="0" baseItem="0"/>
    <dataField name="Sum of OTHER" fld="28" baseField="0" baseItem="0"/>
    <dataField name="Sum of  جالی تبدیل" fld="29" baseField="0" baseItem="0"/>
    <dataField name="Sum of TOTAL MIN_1" fld="31" baseField="0" baseItem="0"/>
    <dataField name="Sum of U.P.S HOURS" fld="32" baseField="0" baseItem="0"/>
    <dataField name="Sum of T.S HOURS" fld="33" baseField="3" baseItem="0"/>
    <dataField name="Sum of RUNNING" fld="34" baseField="0" baseItem="0"/>
    <dataField name="Sum of WASTAGE/KGs" fld="36" baseField="0" baseItem="0"/>
    <dataField name="Sum of TOTAL PRODUCTION" fld="38" baseField="0" baseItem="0"/>
    <dataField name="Sum of TARGET" fld="39" baseField="0" baseItem="0"/>
    <dataField name="Sum of RECIPE" fld="40" baseField="0" baseItem="0"/>
    <dataField name="Min of WEEK NO." fld="41" subtotal="min" baseField="1" baseItem="2"/>
  </dataFields>
  <pivotTableStyleInfo name="PivotStyleLight16" showRowHeaders="1" showColHeaders="0"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2B64463-64D8-4F63-8265-6ABBFDF30CFE}" autoFormatId="16" applyNumberFormats="0" applyBorderFormats="0" applyFontFormats="0" applyPatternFormats="0" applyAlignmentFormats="0" applyWidthHeightFormats="0">
  <queryTableRefresh nextId="47">
    <queryTableFields count="46">
      <queryTableField id="1" name="SHIFT" tableColumnId="1"/>
      <queryTableField id="2" name="MCH#" tableColumnId="2"/>
      <queryTableField id="3" name="SO#" tableColumnId="3"/>
      <queryTableField id="4" name="DATE" tableColumnId="4"/>
      <queryTableField id="5" name="JOB NAME" tableColumnId="5"/>
      <queryTableField id="6" name="MATERIAL" tableColumnId="6"/>
      <queryTableField id="7" name="SIZE" tableColumnId="7"/>
      <queryTableField id="8" name="GUAGE" tableColumnId="8"/>
      <queryTableField id="9" name="QUALITY" tableColumnId="9"/>
      <queryTableField id="10" name="ORDER WEIGHT" tableColumnId="10"/>
      <queryTableField id="11" name="SECTION" tableColumnId="11"/>
      <queryTableField id="12" name="NO OF ROLLS" tableColumnId="12"/>
      <queryTableField id="13" name="G. WEIGHT" tableColumnId="13"/>
      <queryTableField id="14" name="CORE WEIGHT" tableColumnId="14"/>
      <queryTableField id="15" name="PRD WATSE" tableColumnId="15"/>
      <queryTableField id="16" name="SAMPLE WASTE" tableColumnId="16"/>
      <queryTableField id="17" name="NET WEIGHT" tableColumnId="17"/>
      <queryTableField id="18" name="FOREMAN" tableColumnId="18"/>
      <queryTableField id="19" name="کوالٹی CHANGE" tableColumnId="19"/>
      <queryTableField id="20" name="ھیٹنگ" tableColumnId="20"/>
      <queryTableField id="21" name="MACHINE ON" tableColumnId="21"/>
      <queryTableField id="22" name="TOTAL MIN" tableColumnId="22"/>
      <queryTableField id="23" name="P.S   HOURS" tableColumnId="23"/>
      <queryTableField id="24" name="الیکٹریکل" tableColumnId="24"/>
      <queryTableField id="25" name="ڈایی صاف " tableColumnId="25"/>
      <queryTableField id="26" name="مکینیکل" tableColumnId="26"/>
      <queryTableField id="27" name="سائز کم " tableColumnId="27"/>
      <queryTableField id="28" name=" سیمپل چیک" tableColumnId="28"/>
      <queryTableField id="29" name="OTHER" tableColumnId="29"/>
      <queryTableField id="30" name=" جالی تبدیل" tableColumnId="30"/>
      <queryTableField id="31" name="TREET" tableColumnId="31"/>
      <queryTableField id="32" name="TOTAL MIN_1" tableColumnId="32"/>
      <queryTableField id="33" name="U.P.S HOURS" tableColumnId="33"/>
      <queryTableField id="34" name="T.S HOURS" tableColumnId="34"/>
      <queryTableField id="35" name="RUNNING" tableColumnId="35"/>
      <queryTableField id="36" name="TOTAL HOURS" tableColumnId="36"/>
      <queryTableField id="37" name="WASTAGE/KGs" tableColumnId="37"/>
      <queryTableField id="38" name="KWH/KG" tableColumnId="38"/>
      <queryTableField id="39" name="TOTAL PRODUCTION" tableColumnId="39"/>
      <queryTableField id="40" name="TARGET" tableColumnId="40"/>
      <queryTableField id="41" name="RECIPE" tableColumnId="41"/>
      <queryTableField id="42" name="WEEK NO." tableColumnId="42"/>
      <queryTableField id="43" name="REMARKS" tableColumnId="43"/>
      <queryTableField id="44" name="ACTION" tableColumnId="44"/>
      <queryTableField id="45" name="ACTION PLAN" tableColumnId="45"/>
      <queryTableField id="46" name="REMARKS_2" tableColumnId="4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NO." xr10:uid="{2F93FF53-E7FA-46F1-A4C5-460D23DAA596}" sourceName="WEEK NO.">
  <pivotTables>
    <pivotTable tabId="13" name="PivotTable3"/>
  </pivotTables>
  <data>
    <tabular pivotCacheId="459053952">
      <items count="37">
        <i x="25"/>
        <i x="26"/>
        <i x="27"/>
        <i x="28"/>
        <i x="29"/>
        <i x="30"/>
        <i x="31" s="1"/>
        <i x="32" s="1"/>
        <i x="33" s="1"/>
        <i x="34" s="1"/>
        <i x="35" s="1"/>
        <i x="1"/>
        <i x="2"/>
        <i x="3"/>
        <i x="4"/>
        <i x="5"/>
        <i x="6"/>
        <i x="7"/>
        <i x="8"/>
        <i x="9"/>
        <i x="10"/>
        <i x="11"/>
        <i x="12"/>
        <i x="13"/>
        <i x="14"/>
        <i x="15"/>
        <i x="16"/>
        <i x="17"/>
        <i x="18"/>
        <i x="19"/>
        <i x="20"/>
        <i x="21"/>
        <i x="22"/>
        <i x="23"/>
        <i x="24"/>
        <i x="0"/>
        <i x="3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NO." xr10:uid="{22791198-8F21-4181-8EA9-642128F9D4FF}" cache="Slicer_WEEK_NO." caption="WEEK NO." startItem="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8C2BB4-A168-4AB2-8CFB-EE18368DFA5A}" name="PP_PRD" displayName="PP_PRD" ref="A1:AT3950" tableType="queryTable" totalsRowShown="0">
  <autoFilter ref="A1:AT3950" xr:uid="{258C2BB4-A168-4AB2-8CFB-EE18368DFA5A}"/>
  <tableColumns count="46">
    <tableColumn id="1" xr3:uid="{C24D0437-3151-40F1-8032-EC9276F08025}" uniqueName="1" name="SHIFT" queryTableFieldId="1" dataDxfId="38"/>
    <tableColumn id="2" xr3:uid="{A90AD17C-8C9D-4CDA-B719-4B4F0541C715}" uniqueName="2" name="MCH#" queryTableFieldId="2"/>
    <tableColumn id="3" xr3:uid="{2B69F890-F766-4AA4-9F62-07B9BC5EA333}" uniqueName="3" name="SO#" queryTableFieldId="3" dataDxfId="37"/>
    <tableColumn id="4" xr3:uid="{AD81BA90-5D41-4061-98B1-7FD8C8162EE0}" uniqueName="4" name="DATE" queryTableFieldId="4" dataDxfId="36"/>
    <tableColumn id="5" xr3:uid="{84D7D791-C03C-4572-830B-E3D3C838859A}" uniqueName="5" name="JOB NAME" queryTableFieldId="5" dataDxfId="35"/>
    <tableColumn id="6" xr3:uid="{6450358B-0FA1-4E82-8192-D16A0900296B}" uniqueName="6" name="MATERIAL" queryTableFieldId="6" dataDxfId="34"/>
    <tableColumn id="7" xr3:uid="{379C240C-0610-449A-A096-15602D692AAB}" uniqueName="7" name="SIZE" queryTableFieldId="7"/>
    <tableColumn id="8" xr3:uid="{D1B5273F-568C-4374-B977-465AA9F09F37}" uniqueName="8" name="GUAGE" queryTableFieldId="8"/>
    <tableColumn id="9" xr3:uid="{8C443343-324A-46D6-8326-5EB31638F949}" uniqueName="9" name="QUALITY" queryTableFieldId="9"/>
    <tableColumn id="10" xr3:uid="{4A6DEBB2-2582-43DE-B66A-30F15CD731C7}" uniqueName="10" name="ORDER WEIGHT" queryTableFieldId="10"/>
    <tableColumn id="11" xr3:uid="{88578133-6F29-4649-B520-7ED59D7E5EF9}" uniqueName="11" name="SECTION" queryTableFieldId="11" dataDxfId="33"/>
    <tableColumn id="12" xr3:uid="{6B4004F6-3151-4E3D-8835-DC2BFF5F9761}" uniqueName="12" name="NO OF ROLLS" queryTableFieldId="12"/>
    <tableColumn id="13" xr3:uid="{1B210028-5C2A-4425-9486-3FC0F8DA84D6}" uniqueName="13" name="G. WEIGHT" queryTableFieldId="13"/>
    <tableColumn id="14" xr3:uid="{970FE61B-6DC1-46E6-96F4-CFFFA52126AC}" uniqueName="14" name="CORE WEIGHT" queryTableFieldId="14"/>
    <tableColumn id="15" xr3:uid="{0BD47A1B-3678-4F77-B3CE-AF03A6FE0DF9}" uniqueName="15" name="PRD WATSE" queryTableFieldId="15"/>
    <tableColumn id="16" xr3:uid="{866205FD-8716-490E-9847-75E75D06E5CE}" uniqueName="16" name="SAMPLE WASTE" queryTableFieldId="16"/>
    <tableColumn id="17" xr3:uid="{DFCBC455-9648-4B19-B30C-C946A1A39D5B}" uniqueName="17" name="NET WEIGHT" queryTableFieldId="17"/>
    <tableColumn id="18" xr3:uid="{0B1FFF93-2221-4727-9C2A-502A29BBDD00}" uniqueName="18" name="FOREMAN" queryTableFieldId="18" dataDxfId="32"/>
    <tableColumn id="19" xr3:uid="{83406FAF-AAB2-489B-A678-AE4E7686C51E}" uniqueName="19" name="کوالٹی CHANGE" queryTableFieldId="19"/>
    <tableColumn id="20" xr3:uid="{41CBA093-E3F9-41C5-A3B7-B6190DBF8FB8}" uniqueName="20" name="ھیٹنگ" queryTableFieldId="20"/>
    <tableColumn id="21" xr3:uid="{488CE6EB-97A0-478D-9332-9065575408CA}" uniqueName="21" name="MACHINE ON" queryTableFieldId="21"/>
    <tableColumn id="22" xr3:uid="{079B4F98-6CF9-4B9D-A73D-DF07972A14E9}" uniqueName="22" name="TOTAL MIN" queryTableFieldId="22"/>
    <tableColumn id="23" xr3:uid="{0BDC24C7-7042-4660-85F7-6C556DABFFB7}" uniqueName="23" name="P.S   HOURS" queryTableFieldId="23"/>
    <tableColumn id="24" xr3:uid="{3011A654-B3C3-4B9D-A715-8733DAC62F3B}" uniqueName="24" name="الیکٹریکل" queryTableFieldId="24"/>
    <tableColumn id="25" xr3:uid="{00BD1FA1-01D1-415F-A023-2C75483D849A}" uniqueName="25" name="ڈایی صاف " queryTableFieldId="25"/>
    <tableColumn id="26" xr3:uid="{272C0AC6-188C-44B2-BC34-8F050C527A2F}" uniqueName="26" name="مکینیکل" queryTableFieldId="26"/>
    <tableColumn id="27" xr3:uid="{21001FEE-25C3-45A6-910E-75061B7DE384}" uniqueName="27" name="سائز کم " queryTableFieldId="27"/>
    <tableColumn id="28" xr3:uid="{D4530F63-6A68-4232-9381-8C19294EA9A0}" uniqueName="28" name=" سیمپل چیک" queryTableFieldId="28"/>
    <tableColumn id="29" xr3:uid="{B8198DAA-5D3B-4284-8D0C-A1707813CF47}" uniqueName="29" name="OTHER" queryTableFieldId="29"/>
    <tableColumn id="30" xr3:uid="{0E85CEEA-1CF1-4815-9013-4F93CD7C7D72}" uniqueName="30" name=" جالی تبدیل" queryTableFieldId="30"/>
    <tableColumn id="31" xr3:uid="{CF1CA068-9498-4D87-8B80-4E6E1A2B8A67}" uniqueName="31" name="TREET" queryTableFieldId="31"/>
    <tableColumn id="32" xr3:uid="{02C7A3C5-50A1-47E1-BA84-6DAC3BA9864A}" uniqueName="32" name="TOTAL MIN_1" queryTableFieldId="32"/>
    <tableColumn id="33" xr3:uid="{A0746F9C-4D77-469F-865A-9AD0D882301A}" uniqueName="33" name="U.P.S HOURS" queryTableFieldId="33"/>
    <tableColumn id="34" xr3:uid="{D1C4E945-49A8-4CD4-9775-75E21C173104}" uniqueName="34" name="T.S HOURS" queryTableFieldId="34"/>
    <tableColumn id="35" xr3:uid="{C6D0F0FB-E8A8-477A-9956-A87D449E3FDA}" uniqueName="35" name="RUNNING" queryTableFieldId="35"/>
    <tableColumn id="36" xr3:uid="{C7DE17FC-3B0E-4C23-A976-8533B40E450A}" uniqueName="36" name="TOTAL HOURS" queryTableFieldId="36"/>
    <tableColumn id="37" xr3:uid="{6239DD44-1718-4D53-B3CB-5573763F05CF}" uniqueName="37" name="WASTAGE/KGs" queryTableFieldId="37"/>
    <tableColumn id="38" xr3:uid="{6BA8DDB6-94A3-43AC-9F40-9359166ECAA3}" uniqueName="38" name="KWH/KG" queryTableFieldId="38"/>
    <tableColumn id="39" xr3:uid="{9F2EDB1C-27BE-41AE-BB7A-922B1C1DEB7C}" uniqueName="39" name="TOTAL PRODUCTION" queryTableFieldId="39"/>
    <tableColumn id="40" xr3:uid="{9A6C3FCE-A199-4D3E-8D71-598831E31A0D}" uniqueName="40" name="TARGET" queryTableFieldId="40"/>
    <tableColumn id="41" xr3:uid="{014050F8-D710-4BC0-B1A6-9253682BA77A}" uniqueName="41" name="RECIPE" queryTableFieldId="41"/>
    <tableColumn id="42" xr3:uid="{7ECB5B50-C4A5-47E1-895E-5DC20A0E017A}" uniqueName="42" name="WEEK NO." queryTableFieldId="42"/>
    <tableColumn id="43" xr3:uid="{6B3D46B9-CD6E-436F-9E15-98278EFC0B94}" uniqueName="43" name="REMARKS" queryTableFieldId="43"/>
    <tableColumn id="44" xr3:uid="{89AF01FE-3DFF-415F-931A-CD2F4C640A9C}" uniqueName="44" name="ACTION" queryTableFieldId="44"/>
    <tableColumn id="45" xr3:uid="{576EAB71-5BB9-4AA1-952F-9475A83CBFB8}" uniqueName="45" name="ACTION PLAN" queryTableFieldId="45"/>
    <tableColumn id="46" xr3:uid="{CFF4E272-E79E-48EE-8408-AED84F035CB9}" uniqueName="46" name="REMARKS_2" queryTableFieldId="4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6A18-6A93-4714-93D8-4CC33CC9ADAF}">
  <dimension ref="A1:AF1998"/>
  <sheetViews>
    <sheetView topLeftCell="A2" workbookViewId="0">
      <pane xSplit="1" ySplit="1" topLeftCell="B1982" activePane="bottomRight" state="frozen"/>
      <selection activeCell="A2" sqref="A2"/>
      <selection pane="topRight" activeCell="B2" sqref="B2"/>
      <selection pane="bottomLeft" activeCell="A3" sqref="A3"/>
      <selection pane="bottomRight" activeCell="A1996" sqref="A1996"/>
    </sheetView>
  </sheetViews>
  <sheetFormatPr defaultRowHeight="12.6" customHeight="1" x14ac:dyDescent="0.6"/>
  <cols>
    <col min="1" max="2" width="11.42578125" style="20" customWidth="1"/>
    <col min="3" max="3" width="11" customWidth="1"/>
    <col min="4" max="4" width="12.85546875" customWidth="1"/>
    <col min="5" max="5" width="16.5703125" customWidth="1"/>
    <col min="6" max="8" width="14" customWidth="1"/>
    <col min="9" max="9" width="10.85546875" customWidth="1"/>
    <col min="10" max="10" width="12" customWidth="1"/>
    <col min="11" max="11" width="12.5703125" customWidth="1"/>
    <col min="12" max="12" width="22.7109375" bestFit="1" customWidth="1"/>
    <col min="13" max="13" width="13.140625" customWidth="1"/>
    <col min="14" max="16" width="14.42578125" customWidth="1"/>
    <col min="17" max="18" width="13.140625" customWidth="1"/>
    <col min="19" max="19" width="15.42578125" customWidth="1"/>
    <col min="20" max="20" width="17" customWidth="1"/>
    <col min="21" max="21" width="14.85546875" customWidth="1"/>
    <col min="22" max="22" width="14.42578125" customWidth="1"/>
    <col min="23" max="23" width="15.85546875" customWidth="1"/>
    <col min="24" max="24" width="14.42578125" customWidth="1"/>
    <col min="25" max="25" width="12.42578125" customWidth="1"/>
    <col min="26" max="26" width="19.28515625" customWidth="1"/>
    <col min="27" max="27" width="13.28515625" customWidth="1"/>
    <col min="28" max="28" width="12" style="19" customWidth="1"/>
    <col min="29" max="29" width="14.5703125" style="19" customWidth="1"/>
    <col min="30" max="30" width="80.42578125" style="9" bestFit="1" customWidth="1"/>
    <col min="31" max="31" width="60.85546875" style="9" bestFit="1" customWidth="1"/>
    <col min="32" max="32" width="29.42578125" style="9" bestFit="1" customWidth="1"/>
  </cols>
  <sheetData>
    <row r="1" spans="1:32" ht="12.6" customHeight="1" x14ac:dyDescent="0.25">
      <c r="A1" s="3"/>
      <c r="B1" s="3"/>
      <c r="C1" s="1"/>
      <c r="D1" s="1"/>
      <c r="E1" s="1"/>
      <c r="F1" s="1"/>
      <c r="G1" s="1"/>
      <c r="H1" s="1"/>
      <c r="I1" s="1"/>
      <c r="J1" s="1"/>
      <c r="K1" s="1"/>
      <c r="L1" s="2" t="s">
        <v>0</v>
      </c>
      <c r="M1" s="2"/>
      <c r="N1" s="1"/>
      <c r="O1" s="1"/>
      <c r="P1" s="1"/>
      <c r="Q1" s="1"/>
      <c r="R1" s="1"/>
      <c r="S1" s="1"/>
      <c r="T1" s="1"/>
      <c r="U1" s="1"/>
      <c r="V1" s="1"/>
      <c r="W1" s="1"/>
      <c r="X1" s="1"/>
      <c r="Y1" s="1"/>
      <c r="Z1" s="1"/>
      <c r="AA1" s="1"/>
      <c r="AB1" s="1"/>
      <c r="AC1" s="1"/>
      <c r="AD1" s="8"/>
      <c r="AE1" s="24"/>
      <c r="AF1" s="8"/>
    </row>
    <row r="2" spans="1:32" ht="12.6" customHeight="1" x14ac:dyDescent="0.25">
      <c r="A2" s="5" t="s">
        <v>1</v>
      </c>
      <c r="B2" s="5" t="s">
        <v>39</v>
      </c>
      <c r="C2" s="6" t="s">
        <v>2</v>
      </c>
      <c r="D2" s="22" t="s">
        <v>43</v>
      </c>
      <c r="E2" s="7" t="s">
        <v>44</v>
      </c>
      <c r="F2" s="7" t="s">
        <v>35</v>
      </c>
      <c r="G2" s="7"/>
      <c r="H2" s="7"/>
      <c r="I2" s="6" t="s">
        <v>3</v>
      </c>
      <c r="J2" s="6" t="s">
        <v>4</v>
      </c>
      <c r="K2" s="7" t="s">
        <v>5</v>
      </c>
      <c r="L2" s="7" t="s">
        <v>41</v>
      </c>
      <c r="M2" s="7" t="s">
        <v>6</v>
      </c>
      <c r="N2" s="7" t="s">
        <v>36</v>
      </c>
      <c r="O2" s="7" t="s">
        <v>40</v>
      </c>
      <c r="P2" s="7" t="s">
        <v>37</v>
      </c>
      <c r="Q2" s="7" t="s">
        <v>42</v>
      </c>
      <c r="R2" s="7" t="s">
        <v>55</v>
      </c>
      <c r="S2" s="6" t="s">
        <v>3</v>
      </c>
      <c r="T2" s="6" t="s">
        <v>7</v>
      </c>
      <c r="U2" s="6" t="s">
        <v>8</v>
      </c>
      <c r="V2" s="6" t="s">
        <v>9</v>
      </c>
      <c r="W2" s="6" t="s">
        <v>10</v>
      </c>
      <c r="X2" s="6" t="s">
        <v>19</v>
      </c>
      <c r="Y2" s="6" t="s">
        <v>11</v>
      </c>
      <c r="Z2" s="6" t="s">
        <v>13</v>
      </c>
      <c r="AA2" s="6" t="s">
        <v>14</v>
      </c>
      <c r="AB2" s="6" t="s">
        <v>15</v>
      </c>
      <c r="AC2" s="6" t="s">
        <v>33</v>
      </c>
      <c r="AD2" s="7" t="s">
        <v>16</v>
      </c>
      <c r="AE2" s="25" t="s">
        <v>17</v>
      </c>
      <c r="AF2" s="7" t="s">
        <v>18</v>
      </c>
    </row>
    <row r="3" spans="1:32" ht="12.6" customHeight="1" x14ac:dyDescent="0.25">
      <c r="A3" s="14">
        <v>45658</v>
      </c>
      <c r="B3" s="14" t="s">
        <v>45</v>
      </c>
      <c r="C3" s="15">
        <v>1</v>
      </c>
      <c r="D3" s="16"/>
      <c r="E3" s="16"/>
      <c r="F3" s="17"/>
      <c r="G3" s="21"/>
      <c r="H3" s="21"/>
      <c r="I3" s="4">
        <v>0</v>
      </c>
      <c r="J3" s="4">
        <v>0</v>
      </c>
      <c r="K3" s="4"/>
      <c r="L3" s="16"/>
      <c r="M3" s="4"/>
      <c r="N3" s="4"/>
      <c r="O3" s="4"/>
      <c r="P3" s="4"/>
      <c r="Q3" s="4"/>
      <c r="R3" s="4"/>
      <c r="S3" s="4">
        <v>0</v>
      </c>
      <c r="T3" s="4">
        <v>0</v>
      </c>
      <c r="U3" s="4">
        <v>0</v>
      </c>
      <c r="V3" s="4">
        <v>12</v>
      </c>
      <c r="W3" s="4">
        <v>12</v>
      </c>
      <c r="X3" s="4">
        <v>54.5</v>
      </c>
      <c r="Y3" s="4">
        <v>2020</v>
      </c>
      <c r="Z3" s="4">
        <v>128.82999999999998</v>
      </c>
      <c r="AA3" s="4">
        <v>146</v>
      </c>
      <c r="AB3" s="18">
        <v>398</v>
      </c>
      <c r="AC3" s="18">
        <v>1</v>
      </c>
      <c r="AD3" s="28"/>
      <c r="AE3" s="26"/>
      <c r="AF3" s="28"/>
    </row>
    <row r="4" spans="1:32" ht="12.6" customHeight="1" x14ac:dyDescent="0.25">
      <c r="A4" s="14">
        <v>45658</v>
      </c>
      <c r="B4" s="14" t="s">
        <v>46</v>
      </c>
      <c r="C4" s="15">
        <v>1</v>
      </c>
      <c r="D4" s="16"/>
      <c r="E4" s="16"/>
      <c r="F4" s="17"/>
      <c r="G4" s="21"/>
      <c r="H4" s="21"/>
      <c r="I4" s="4">
        <v>0</v>
      </c>
      <c r="J4" s="4">
        <v>0</v>
      </c>
      <c r="K4" s="4"/>
      <c r="L4" s="16"/>
      <c r="M4" s="4"/>
      <c r="N4" s="4"/>
      <c r="O4" s="4"/>
      <c r="P4" s="4"/>
      <c r="Q4" s="4"/>
      <c r="R4" s="4"/>
      <c r="S4" s="4">
        <v>0</v>
      </c>
      <c r="T4" s="4">
        <v>0</v>
      </c>
      <c r="U4" s="4">
        <v>0</v>
      </c>
      <c r="V4" s="4">
        <v>12</v>
      </c>
      <c r="W4" s="4">
        <v>12</v>
      </c>
      <c r="X4" s="4">
        <v>54.5</v>
      </c>
      <c r="Y4" s="4"/>
      <c r="Z4" s="4">
        <v>35.75</v>
      </c>
      <c r="AA4" s="4">
        <v>146</v>
      </c>
      <c r="AB4" s="18"/>
      <c r="AC4" s="18">
        <v>1</v>
      </c>
      <c r="AD4" s="28"/>
      <c r="AE4" s="26"/>
      <c r="AF4" s="28"/>
    </row>
    <row r="5" spans="1:32" ht="12.6" customHeight="1" x14ac:dyDescent="0.25">
      <c r="A5" s="14">
        <v>45658</v>
      </c>
      <c r="B5" s="14" t="s">
        <v>45</v>
      </c>
      <c r="C5" s="15">
        <v>2</v>
      </c>
      <c r="D5" s="16"/>
      <c r="E5" s="16"/>
      <c r="F5" s="17"/>
      <c r="G5" s="21"/>
      <c r="H5" s="21"/>
      <c r="I5" s="4">
        <v>0</v>
      </c>
      <c r="J5" s="4">
        <v>0</v>
      </c>
      <c r="K5" s="4"/>
      <c r="L5" s="16"/>
      <c r="M5" s="4"/>
      <c r="N5" s="4"/>
      <c r="O5" s="4"/>
      <c r="P5" s="4"/>
      <c r="Q5" s="4"/>
      <c r="R5" s="4"/>
      <c r="S5" s="4">
        <v>0</v>
      </c>
      <c r="T5" s="4">
        <v>0</v>
      </c>
      <c r="U5" s="4">
        <v>0</v>
      </c>
      <c r="V5" s="4">
        <v>12</v>
      </c>
      <c r="W5" s="4">
        <v>12</v>
      </c>
      <c r="X5" s="4">
        <v>0</v>
      </c>
      <c r="Y5" s="4"/>
      <c r="Z5" s="4">
        <v>63.01</v>
      </c>
      <c r="AA5" s="4">
        <v>58</v>
      </c>
      <c r="AB5" s="18"/>
      <c r="AC5" s="18">
        <v>1</v>
      </c>
      <c r="AD5" s="28"/>
      <c r="AE5" s="26"/>
      <c r="AF5" s="28"/>
    </row>
    <row r="6" spans="1:32" ht="12.6" customHeight="1" x14ac:dyDescent="0.25">
      <c r="A6" s="14">
        <v>45658</v>
      </c>
      <c r="B6" s="14" t="s">
        <v>46</v>
      </c>
      <c r="C6" s="15">
        <v>2</v>
      </c>
      <c r="D6" s="16"/>
      <c r="E6" s="16"/>
      <c r="F6" s="17"/>
      <c r="G6" s="21"/>
      <c r="H6" s="21"/>
      <c r="I6" s="4">
        <v>0</v>
      </c>
      <c r="J6" s="4">
        <v>0</v>
      </c>
      <c r="K6" s="4"/>
      <c r="L6" s="16"/>
      <c r="M6" s="4"/>
      <c r="N6" s="4"/>
      <c r="O6" s="4"/>
      <c r="P6" s="4"/>
      <c r="Q6" s="4"/>
      <c r="R6" s="4"/>
      <c r="S6" s="4">
        <v>0</v>
      </c>
      <c r="T6" s="4">
        <v>0</v>
      </c>
      <c r="U6" s="4">
        <v>0</v>
      </c>
      <c r="V6" s="4">
        <v>12</v>
      </c>
      <c r="W6" s="4">
        <v>12</v>
      </c>
      <c r="X6" s="4">
        <v>0</v>
      </c>
      <c r="Y6" s="4"/>
      <c r="Z6" s="4">
        <v>18.450000000000003</v>
      </c>
      <c r="AA6" s="4">
        <v>58</v>
      </c>
      <c r="AB6" s="18"/>
      <c r="AC6" s="18">
        <v>1</v>
      </c>
      <c r="AD6" s="28"/>
      <c r="AE6" s="26"/>
      <c r="AF6" s="28"/>
    </row>
    <row r="7" spans="1:32" ht="12.6" customHeight="1" x14ac:dyDescent="0.25">
      <c r="A7" s="14">
        <v>45658</v>
      </c>
      <c r="B7" s="14" t="s">
        <v>45</v>
      </c>
      <c r="C7" s="15">
        <v>3</v>
      </c>
      <c r="D7" s="16"/>
      <c r="E7" s="16"/>
      <c r="F7" s="17"/>
      <c r="G7" s="21"/>
      <c r="H7" s="21"/>
      <c r="I7" s="4">
        <v>0</v>
      </c>
      <c r="J7" s="4">
        <v>0</v>
      </c>
      <c r="K7" s="4"/>
      <c r="L7" s="16"/>
      <c r="M7" s="4"/>
      <c r="N7" s="4"/>
      <c r="O7" s="4"/>
      <c r="P7" s="4"/>
      <c r="Q7" s="4"/>
      <c r="R7" s="4"/>
      <c r="S7" s="4">
        <v>0</v>
      </c>
      <c r="T7" s="4">
        <v>0</v>
      </c>
      <c r="U7" s="4">
        <v>0</v>
      </c>
      <c r="V7" s="4">
        <v>12</v>
      </c>
      <c r="W7" s="4">
        <v>12</v>
      </c>
      <c r="X7" s="4">
        <v>0</v>
      </c>
      <c r="Y7" s="4"/>
      <c r="Z7" s="4">
        <v>305.64999999999998</v>
      </c>
      <c r="AA7" s="4">
        <v>239</v>
      </c>
      <c r="AB7" s="18"/>
      <c r="AC7" s="18">
        <v>1</v>
      </c>
      <c r="AD7" s="28"/>
      <c r="AE7" s="26"/>
      <c r="AF7" s="28"/>
    </row>
    <row r="8" spans="1:32" ht="12.6" customHeight="1" x14ac:dyDescent="0.25">
      <c r="A8" s="14">
        <v>45658</v>
      </c>
      <c r="B8" s="14" t="s">
        <v>46</v>
      </c>
      <c r="C8" s="15">
        <v>3</v>
      </c>
      <c r="D8" s="16">
        <v>25</v>
      </c>
      <c r="E8" s="16"/>
      <c r="F8" s="17"/>
      <c r="G8" s="21"/>
      <c r="H8" s="21"/>
      <c r="I8" s="4">
        <v>25</v>
      </c>
      <c r="J8" s="4">
        <v>0.41666666666666669</v>
      </c>
      <c r="K8" s="4"/>
      <c r="L8" s="16"/>
      <c r="M8" s="4"/>
      <c r="N8" s="4"/>
      <c r="O8" s="4"/>
      <c r="P8" s="4"/>
      <c r="Q8" s="4"/>
      <c r="R8" s="4"/>
      <c r="S8" s="4">
        <v>0</v>
      </c>
      <c r="T8" s="4">
        <v>0</v>
      </c>
      <c r="U8" s="4">
        <v>0.41666666666666669</v>
      </c>
      <c r="V8" s="4">
        <v>11.583333333333334</v>
      </c>
      <c r="W8" s="4">
        <v>12</v>
      </c>
      <c r="X8" s="4">
        <v>0</v>
      </c>
      <c r="Y8" s="4"/>
      <c r="Z8" s="4">
        <v>255.63</v>
      </c>
      <c r="AA8" s="4">
        <v>239</v>
      </c>
      <c r="AB8" s="18"/>
      <c r="AC8" s="18">
        <v>1</v>
      </c>
      <c r="AD8" s="28"/>
      <c r="AE8" s="26"/>
      <c r="AF8" s="28"/>
    </row>
    <row r="9" spans="1:32" ht="12.6" customHeight="1" x14ac:dyDescent="0.25">
      <c r="A9" s="14">
        <v>45658</v>
      </c>
      <c r="B9" s="14" t="s">
        <v>45</v>
      </c>
      <c r="C9" s="15">
        <v>4</v>
      </c>
      <c r="D9" s="16"/>
      <c r="E9" s="16"/>
      <c r="F9" s="17"/>
      <c r="G9" s="21"/>
      <c r="H9" s="21"/>
      <c r="I9" s="4">
        <v>0</v>
      </c>
      <c r="J9" s="4">
        <v>0</v>
      </c>
      <c r="K9" s="4"/>
      <c r="L9" s="16"/>
      <c r="M9" s="4"/>
      <c r="N9" s="4"/>
      <c r="O9" s="4"/>
      <c r="P9" s="4"/>
      <c r="Q9" s="4"/>
      <c r="R9" s="4"/>
      <c r="S9" s="4">
        <v>0</v>
      </c>
      <c r="T9" s="4">
        <v>0</v>
      </c>
      <c r="U9" s="4">
        <v>0</v>
      </c>
      <c r="V9" s="4">
        <v>12</v>
      </c>
      <c r="W9" s="4">
        <v>12</v>
      </c>
      <c r="X9" s="4">
        <v>0</v>
      </c>
      <c r="Y9" s="4"/>
      <c r="Z9" s="4">
        <v>802.27000000000021</v>
      </c>
      <c r="AA9" s="4">
        <v>797</v>
      </c>
      <c r="AB9" s="18"/>
      <c r="AC9" s="18">
        <v>1</v>
      </c>
      <c r="AD9" s="28"/>
      <c r="AE9" s="26"/>
      <c r="AF9" s="28"/>
    </row>
    <row r="10" spans="1:32" ht="12.6" customHeight="1" x14ac:dyDescent="0.25">
      <c r="A10" s="14">
        <v>45658</v>
      </c>
      <c r="B10" s="14" t="s">
        <v>46</v>
      </c>
      <c r="C10" s="15">
        <v>4</v>
      </c>
      <c r="D10" s="16"/>
      <c r="E10" s="16"/>
      <c r="F10" s="17"/>
      <c r="G10" s="21"/>
      <c r="H10" s="21"/>
      <c r="I10" s="4">
        <v>0</v>
      </c>
      <c r="J10" s="4">
        <v>0</v>
      </c>
      <c r="K10" s="4"/>
      <c r="L10" s="16"/>
      <c r="M10" s="4"/>
      <c r="N10" s="4"/>
      <c r="O10" s="4"/>
      <c r="P10" s="4"/>
      <c r="Q10" s="4"/>
      <c r="R10" s="4"/>
      <c r="S10" s="4">
        <v>0</v>
      </c>
      <c r="T10" s="4">
        <v>0</v>
      </c>
      <c r="U10" s="4">
        <v>0</v>
      </c>
      <c r="V10" s="4">
        <v>12</v>
      </c>
      <c r="W10" s="4">
        <v>12</v>
      </c>
      <c r="X10" s="4">
        <v>0</v>
      </c>
      <c r="Y10" s="4"/>
      <c r="Z10" s="4">
        <v>770.81</v>
      </c>
      <c r="AA10" s="4">
        <v>797</v>
      </c>
      <c r="AB10" s="18"/>
      <c r="AC10" s="18">
        <v>1</v>
      </c>
      <c r="AD10" s="28"/>
      <c r="AE10" s="26"/>
      <c r="AF10" s="28"/>
    </row>
    <row r="11" spans="1:32" ht="12.6" customHeight="1" x14ac:dyDescent="0.25">
      <c r="A11" s="14">
        <v>45658</v>
      </c>
      <c r="B11" s="14" t="s">
        <v>45</v>
      </c>
      <c r="C11" s="15">
        <v>5</v>
      </c>
      <c r="D11" s="16"/>
      <c r="E11" s="16"/>
      <c r="F11" s="17"/>
      <c r="G11" s="21"/>
      <c r="H11" s="21"/>
      <c r="I11" s="4">
        <v>0</v>
      </c>
      <c r="J11" s="4">
        <v>0</v>
      </c>
      <c r="K11" s="4"/>
      <c r="L11" s="16"/>
      <c r="M11" s="4"/>
      <c r="N11" s="4"/>
      <c r="O11" s="4"/>
      <c r="P11" s="4"/>
      <c r="Q11" s="4"/>
      <c r="R11" s="4"/>
      <c r="S11" s="4">
        <v>0</v>
      </c>
      <c r="T11" s="4">
        <v>0</v>
      </c>
      <c r="U11" s="4">
        <v>0</v>
      </c>
      <c r="V11" s="4">
        <v>12</v>
      </c>
      <c r="W11" s="4">
        <v>12</v>
      </c>
      <c r="X11" s="4">
        <v>0</v>
      </c>
      <c r="Y11" s="4"/>
      <c r="Z11" s="4">
        <v>617.66000000000008</v>
      </c>
      <c r="AA11" s="4">
        <v>379</v>
      </c>
      <c r="AB11" s="18"/>
      <c r="AC11" s="18">
        <v>1</v>
      </c>
      <c r="AD11" s="28"/>
      <c r="AE11" s="26"/>
      <c r="AF11" s="28"/>
    </row>
    <row r="12" spans="1:32" ht="12.6" customHeight="1" x14ac:dyDescent="0.25">
      <c r="A12" s="14">
        <v>45658</v>
      </c>
      <c r="B12" s="14" t="s">
        <v>46</v>
      </c>
      <c r="C12" s="15">
        <v>5</v>
      </c>
      <c r="D12" s="16">
        <v>30</v>
      </c>
      <c r="E12" s="16"/>
      <c r="F12" s="17"/>
      <c r="G12" s="21"/>
      <c r="H12" s="21"/>
      <c r="I12" s="4">
        <v>30</v>
      </c>
      <c r="J12" s="4">
        <v>0.5</v>
      </c>
      <c r="K12" s="4"/>
      <c r="L12" s="16"/>
      <c r="M12" s="4"/>
      <c r="N12" s="4"/>
      <c r="O12" s="4"/>
      <c r="P12" s="4"/>
      <c r="Q12" s="4"/>
      <c r="R12" s="4"/>
      <c r="S12" s="4">
        <v>0</v>
      </c>
      <c r="T12" s="4">
        <v>0</v>
      </c>
      <c r="U12" s="4">
        <v>0.5</v>
      </c>
      <c r="V12" s="4">
        <v>11.5</v>
      </c>
      <c r="W12" s="4">
        <v>12</v>
      </c>
      <c r="X12" s="4">
        <v>0</v>
      </c>
      <c r="Y12" s="4"/>
      <c r="Z12" s="4">
        <v>567.66</v>
      </c>
      <c r="AA12" s="4">
        <v>379</v>
      </c>
      <c r="AB12" s="18"/>
      <c r="AC12" s="18">
        <v>1</v>
      </c>
      <c r="AD12" s="28"/>
      <c r="AE12" s="26"/>
      <c r="AF12" s="28"/>
    </row>
    <row r="13" spans="1:32" ht="12.6" customHeight="1" x14ac:dyDescent="0.25">
      <c r="A13" s="14">
        <v>45658</v>
      </c>
      <c r="B13" s="14" t="s">
        <v>45</v>
      </c>
      <c r="C13" s="15">
        <v>6</v>
      </c>
      <c r="D13" s="16"/>
      <c r="E13" s="16"/>
      <c r="F13" s="17"/>
      <c r="G13" s="21"/>
      <c r="H13" s="21"/>
      <c r="I13" s="4">
        <v>0</v>
      </c>
      <c r="J13" s="4">
        <v>0</v>
      </c>
      <c r="K13" s="4"/>
      <c r="L13" s="16"/>
      <c r="M13" s="4"/>
      <c r="N13" s="4"/>
      <c r="O13" s="4"/>
      <c r="P13" s="4"/>
      <c r="Q13" s="4"/>
      <c r="R13" s="4"/>
      <c r="S13" s="4">
        <v>0</v>
      </c>
      <c r="T13" s="4">
        <v>0</v>
      </c>
      <c r="U13" s="4">
        <v>0</v>
      </c>
      <c r="V13" s="4">
        <v>0</v>
      </c>
      <c r="W13" s="4"/>
      <c r="X13" s="4">
        <v>0</v>
      </c>
      <c r="Y13" s="4"/>
      <c r="Z13" s="4">
        <v>0</v>
      </c>
      <c r="AA13" s="4"/>
      <c r="AB13" s="18"/>
      <c r="AC13" s="18">
        <v>1</v>
      </c>
      <c r="AD13" s="28"/>
      <c r="AE13" s="26"/>
      <c r="AF13" s="28"/>
    </row>
    <row r="14" spans="1:32" ht="12.6" customHeight="1" x14ac:dyDescent="0.25">
      <c r="A14" s="14">
        <v>45658</v>
      </c>
      <c r="B14" s="14" t="s">
        <v>46</v>
      </c>
      <c r="C14" s="15">
        <v>6</v>
      </c>
      <c r="D14" s="16"/>
      <c r="E14" s="16"/>
      <c r="F14" s="17"/>
      <c r="G14" s="21"/>
      <c r="H14" s="21"/>
      <c r="I14" s="4">
        <v>0</v>
      </c>
      <c r="J14" s="4">
        <v>0</v>
      </c>
      <c r="K14" s="4"/>
      <c r="L14" s="16"/>
      <c r="M14" s="4"/>
      <c r="N14" s="4"/>
      <c r="O14" s="4"/>
      <c r="P14" s="4"/>
      <c r="Q14" s="4"/>
      <c r="R14" s="4"/>
      <c r="S14" s="4">
        <v>0</v>
      </c>
      <c r="T14" s="4">
        <v>0</v>
      </c>
      <c r="U14" s="4">
        <v>0</v>
      </c>
      <c r="V14" s="4">
        <v>0</v>
      </c>
      <c r="W14" s="4"/>
      <c r="X14" s="4">
        <v>0</v>
      </c>
      <c r="Y14" s="4"/>
      <c r="Z14" s="4">
        <v>0</v>
      </c>
      <c r="AA14" s="4"/>
      <c r="AB14" s="18"/>
      <c r="AC14" s="18">
        <v>1</v>
      </c>
      <c r="AD14" s="28"/>
      <c r="AE14" s="26"/>
      <c r="AF14" s="28"/>
    </row>
    <row r="15" spans="1:32" ht="12.6" customHeight="1" x14ac:dyDescent="0.25">
      <c r="A15" s="14">
        <v>45659</v>
      </c>
      <c r="B15" s="14" t="s">
        <v>45</v>
      </c>
      <c r="C15" s="15">
        <v>1</v>
      </c>
      <c r="D15" s="16"/>
      <c r="E15" s="16"/>
      <c r="F15" s="17"/>
      <c r="G15" s="21"/>
      <c r="H15" s="21"/>
      <c r="I15" s="4">
        <v>0</v>
      </c>
      <c r="J15" s="4">
        <v>0</v>
      </c>
      <c r="K15" s="4">
        <v>120</v>
      </c>
      <c r="L15" s="16"/>
      <c r="M15" s="4"/>
      <c r="N15" s="4"/>
      <c r="O15" s="4"/>
      <c r="P15" s="4"/>
      <c r="Q15" s="4"/>
      <c r="R15" s="4"/>
      <c r="S15" s="4">
        <v>120</v>
      </c>
      <c r="T15" s="4">
        <v>2</v>
      </c>
      <c r="U15" s="4">
        <v>2</v>
      </c>
      <c r="V15" s="4">
        <v>10</v>
      </c>
      <c r="W15" s="4">
        <v>12</v>
      </c>
      <c r="X15" s="4">
        <v>22</v>
      </c>
      <c r="Y15" s="4">
        <v>2001</v>
      </c>
      <c r="Z15" s="4">
        <v>130.88000000000002</v>
      </c>
      <c r="AA15" s="4">
        <v>146</v>
      </c>
      <c r="AB15" s="18">
        <v>398</v>
      </c>
      <c r="AC15" s="18">
        <v>1</v>
      </c>
      <c r="AD15" s="28"/>
      <c r="AE15" s="26"/>
      <c r="AF15" s="28"/>
    </row>
    <row r="16" spans="1:32" ht="12.6" customHeight="1" x14ac:dyDescent="0.25">
      <c r="A16" s="14">
        <v>45659</v>
      </c>
      <c r="B16" s="14" t="s">
        <v>46</v>
      </c>
      <c r="C16" s="15">
        <v>1</v>
      </c>
      <c r="D16" s="16"/>
      <c r="E16" s="16"/>
      <c r="F16" s="17"/>
      <c r="G16" s="21"/>
      <c r="H16" s="21"/>
      <c r="I16" s="4">
        <v>0</v>
      </c>
      <c r="J16" s="4">
        <v>0</v>
      </c>
      <c r="K16" s="4"/>
      <c r="L16" s="16"/>
      <c r="M16" s="4"/>
      <c r="N16" s="4"/>
      <c r="O16" s="4"/>
      <c r="P16" s="4"/>
      <c r="Q16" s="4"/>
      <c r="R16" s="4"/>
      <c r="S16" s="4">
        <v>0</v>
      </c>
      <c r="T16" s="4">
        <v>0</v>
      </c>
      <c r="U16" s="4">
        <v>0</v>
      </c>
      <c r="V16" s="4">
        <v>12</v>
      </c>
      <c r="W16" s="4">
        <v>12</v>
      </c>
      <c r="X16" s="4">
        <v>30</v>
      </c>
      <c r="Y16" s="4"/>
      <c r="Z16" s="4">
        <v>118.84</v>
      </c>
      <c r="AA16" s="4">
        <v>146</v>
      </c>
      <c r="AB16" s="18"/>
      <c r="AC16" s="18">
        <v>1</v>
      </c>
      <c r="AD16" s="28"/>
      <c r="AE16" s="26"/>
      <c r="AF16" s="28"/>
    </row>
    <row r="17" spans="1:32" ht="12.6" customHeight="1" x14ac:dyDescent="0.25">
      <c r="A17" s="14">
        <v>45659</v>
      </c>
      <c r="B17" s="14" t="s">
        <v>45</v>
      </c>
      <c r="C17" s="15">
        <v>2</v>
      </c>
      <c r="D17" s="16"/>
      <c r="E17" s="16"/>
      <c r="F17" s="17"/>
      <c r="G17" s="21"/>
      <c r="H17" s="21"/>
      <c r="I17" s="4">
        <v>0</v>
      </c>
      <c r="J17" s="4">
        <v>0</v>
      </c>
      <c r="K17" s="4"/>
      <c r="L17" s="16"/>
      <c r="M17" s="4"/>
      <c r="N17" s="4"/>
      <c r="O17" s="4"/>
      <c r="P17" s="4">
        <v>60</v>
      </c>
      <c r="Q17" s="4"/>
      <c r="R17" s="4"/>
      <c r="S17" s="4">
        <v>60</v>
      </c>
      <c r="T17" s="4">
        <v>1</v>
      </c>
      <c r="U17" s="4">
        <v>1</v>
      </c>
      <c r="V17" s="4">
        <v>11</v>
      </c>
      <c r="W17" s="4">
        <v>12</v>
      </c>
      <c r="X17" s="4">
        <v>0</v>
      </c>
      <c r="Y17" s="4"/>
      <c r="Z17" s="4">
        <v>86.37</v>
      </c>
      <c r="AA17" s="4">
        <v>58</v>
      </c>
      <c r="AB17" s="18"/>
      <c r="AC17" s="18">
        <v>1</v>
      </c>
      <c r="AD17" s="28"/>
      <c r="AE17" s="26"/>
      <c r="AF17" s="28"/>
    </row>
    <row r="18" spans="1:32" ht="12.6" customHeight="1" x14ac:dyDescent="0.25">
      <c r="A18" s="14">
        <v>45659</v>
      </c>
      <c r="B18" s="14" t="s">
        <v>46</v>
      </c>
      <c r="C18" s="15">
        <v>2</v>
      </c>
      <c r="D18" s="16"/>
      <c r="E18" s="16"/>
      <c r="F18" s="17"/>
      <c r="G18" s="21"/>
      <c r="H18" s="21"/>
      <c r="I18" s="4">
        <v>0</v>
      </c>
      <c r="J18" s="4">
        <v>0</v>
      </c>
      <c r="K18" s="4"/>
      <c r="L18" s="16"/>
      <c r="M18" s="4"/>
      <c r="N18" s="4"/>
      <c r="O18" s="4"/>
      <c r="P18" s="4"/>
      <c r="Q18" s="4"/>
      <c r="R18" s="4"/>
      <c r="S18" s="4">
        <v>0</v>
      </c>
      <c r="T18" s="4">
        <v>0</v>
      </c>
      <c r="U18" s="4">
        <v>0</v>
      </c>
      <c r="V18" s="4">
        <v>12</v>
      </c>
      <c r="W18" s="4">
        <v>12</v>
      </c>
      <c r="X18" s="4">
        <v>0</v>
      </c>
      <c r="Y18" s="4"/>
      <c r="Z18" s="4">
        <v>72.39</v>
      </c>
      <c r="AA18" s="4">
        <v>58</v>
      </c>
      <c r="AB18" s="18"/>
      <c r="AC18" s="18">
        <v>1</v>
      </c>
      <c r="AD18" s="28"/>
      <c r="AE18" s="26"/>
      <c r="AF18" s="28"/>
    </row>
    <row r="19" spans="1:32" ht="12.6" customHeight="1" x14ac:dyDescent="0.25">
      <c r="A19" s="14">
        <v>45659</v>
      </c>
      <c r="B19" s="14" t="s">
        <v>45</v>
      </c>
      <c r="C19" s="15">
        <v>3</v>
      </c>
      <c r="D19" s="16"/>
      <c r="E19" s="16"/>
      <c r="F19" s="17"/>
      <c r="G19" s="21"/>
      <c r="H19" s="21"/>
      <c r="I19" s="4">
        <v>0</v>
      </c>
      <c r="J19" s="4">
        <v>0</v>
      </c>
      <c r="K19" s="4"/>
      <c r="L19" s="16"/>
      <c r="M19" s="4"/>
      <c r="N19" s="4"/>
      <c r="O19" s="4"/>
      <c r="P19" s="4"/>
      <c r="Q19" s="4"/>
      <c r="R19" s="4"/>
      <c r="S19" s="4">
        <v>0</v>
      </c>
      <c r="T19" s="4">
        <v>0</v>
      </c>
      <c r="U19" s="4">
        <v>0</v>
      </c>
      <c r="V19" s="4">
        <v>12</v>
      </c>
      <c r="W19" s="4">
        <v>12</v>
      </c>
      <c r="X19" s="4">
        <v>0</v>
      </c>
      <c r="Y19" s="4"/>
      <c r="Z19" s="4">
        <v>297.87</v>
      </c>
      <c r="AA19" s="4">
        <v>239</v>
      </c>
      <c r="AB19" s="18"/>
      <c r="AC19" s="18">
        <v>1</v>
      </c>
      <c r="AD19" s="28"/>
      <c r="AE19" s="26"/>
      <c r="AF19" s="28"/>
    </row>
    <row r="20" spans="1:32" ht="12.6" customHeight="1" x14ac:dyDescent="0.25">
      <c r="A20" s="14">
        <v>45659</v>
      </c>
      <c r="B20" s="14" t="s">
        <v>46</v>
      </c>
      <c r="C20" s="15">
        <v>3</v>
      </c>
      <c r="D20" s="16"/>
      <c r="E20" s="16"/>
      <c r="F20" s="17"/>
      <c r="G20" s="21"/>
      <c r="H20" s="21"/>
      <c r="I20" s="4">
        <v>0</v>
      </c>
      <c r="J20" s="4">
        <v>0</v>
      </c>
      <c r="K20" s="4"/>
      <c r="L20" s="16"/>
      <c r="M20" s="4"/>
      <c r="N20" s="4"/>
      <c r="O20" s="4"/>
      <c r="P20" s="4"/>
      <c r="Q20" s="4"/>
      <c r="R20" s="4"/>
      <c r="S20" s="4">
        <v>0</v>
      </c>
      <c r="T20" s="4">
        <v>0</v>
      </c>
      <c r="U20" s="4">
        <v>0</v>
      </c>
      <c r="V20" s="4">
        <v>12</v>
      </c>
      <c r="W20" s="4">
        <v>12</v>
      </c>
      <c r="X20" s="4">
        <v>0</v>
      </c>
      <c r="Y20" s="4"/>
      <c r="Z20" s="4">
        <v>320.82000000000005</v>
      </c>
      <c r="AA20" s="4">
        <v>239</v>
      </c>
      <c r="AB20" s="18"/>
      <c r="AC20" s="18">
        <v>1</v>
      </c>
      <c r="AD20" s="28"/>
      <c r="AE20" s="26"/>
      <c r="AF20" s="28"/>
    </row>
    <row r="21" spans="1:32" ht="12.6" customHeight="1" x14ac:dyDescent="0.25">
      <c r="A21" s="14">
        <v>45659</v>
      </c>
      <c r="B21" s="14" t="s">
        <v>45</v>
      </c>
      <c r="C21" s="15">
        <v>4</v>
      </c>
      <c r="D21" s="16"/>
      <c r="E21" s="16"/>
      <c r="F21" s="17"/>
      <c r="G21" s="21"/>
      <c r="H21" s="21"/>
      <c r="I21" s="4">
        <v>0</v>
      </c>
      <c r="J21" s="4">
        <v>0</v>
      </c>
      <c r="K21" s="4"/>
      <c r="L21" s="16"/>
      <c r="M21" s="4"/>
      <c r="N21" s="4"/>
      <c r="O21" s="4"/>
      <c r="P21" s="4"/>
      <c r="Q21" s="4"/>
      <c r="R21" s="4"/>
      <c r="S21" s="4">
        <v>0</v>
      </c>
      <c r="T21" s="4">
        <v>0</v>
      </c>
      <c r="U21" s="4">
        <v>0</v>
      </c>
      <c r="V21" s="4">
        <v>12</v>
      </c>
      <c r="W21" s="4">
        <v>12</v>
      </c>
      <c r="X21" s="4">
        <v>0</v>
      </c>
      <c r="Y21" s="4"/>
      <c r="Z21" s="4">
        <v>875.88</v>
      </c>
      <c r="AA21" s="4">
        <v>797</v>
      </c>
      <c r="AB21" s="18"/>
      <c r="AC21" s="18">
        <v>1</v>
      </c>
      <c r="AD21" s="28"/>
      <c r="AE21" s="26"/>
      <c r="AF21" s="28"/>
    </row>
    <row r="22" spans="1:32" ht="12.6" customHeight="1" x14ac:dyDescent="0.25">
      <c r="A22" s="14">
        <v>45659</v>
      </c>
      <c r="B22" s="14" t="s">
        <v>46</v>
      </c>
      <c r="C22" s="15">
        <v>4</v>
      </c>
      <c r="D22" s="16"/>
      <c r="E22" s="16"/>
      <c r="F22" s="17"/>
      <c r="G22" s="21"/>
      <c r="H22" s="21"/>
      <c r="I22" s="4">
        <v>0</v>
      </c>
      <c r="J22" s="4">
        <v>0</v>
      </c>
      <c r="K22" s="4"/>
      <c r="L22" s="16"/>
      <c r="M22" s="4"/>
      <c r="N22" s="4"/>
      <c r="O22" s="4"/>
      <c r="P22" s="4"/>
      <c r="Q22" s="4"/>
      <c r="R22" s="4"/>
      <c r="S22" s="4">
        <v>0</v>
      </c>
      <c r="T22" s="4">
        <v>0</v>
      </c>
      <c r="U22" s="4">
        <v>0</v>
      </c>
      <c r="V22" s="4">
        <v>12</v>
      </c>
      <c r="W22" s="4">
        <v>12</v>
      </c>
      <c r="X22" s="4">
        <v>0</v>
      </c>
      <c r="Y22" s="4"/>
      <c r="Z22" s="4">
        <v>766.03</v>
      </c>
      <c r="AA22" s="4">
        <v>797</v>
      </c>
      <c r="AB22" s="18"/>
      <c r="AC22" s="18">
        <v>1</v>
      </c>
      <c r="AD22" s="28"/>
      <c r="AE22" s="26"/>
      <c r="AF22" s="28"/>
    </row>
    <row r="23" spans="1:32" ht="12.6" customHeight="1" x14ac:dyDescent="0.25">
      <c r="A23" s="14">
        <v>45659</v>
      </c>
      <c r="B23" s="14" t="s">
        <v>45</v>
      </c>
      <c r="C23" s="15">
        <v>5</v>
      </c>
      <c r="D23" s="16"/>
      <c r="E23" s="16"/>
      <c r="F23" s="17"/>
      <c r="G23" s="21"/>
      <c r="H23" s="21"/>
      <c r="I23" s="4">
        <v>0</v>
      </c>
      <c r="J23" s="4">
        <v>0</v>
      </c>
      <c r="K23" s="4"/>
      <c r="L23" s="16"/>
      <c r="M23" s="4"/>
      <c r="N23" s="4"/>
      <c r="O23" s="4"/>
      <c r="P23" s="4">
        <v>120</v>
      </c>
      <c r="Q23" s="4"/>
      <c r="R23" s="4"/>
      <c r="S23" s="4">
        <v>120</v>
      </c>
      <c r="T23" s="4">
        <v>2</v>
      </c>
      <c r="U23" s="4">
        <v>2</v>
      </c>
      <c r="V23" s="4">
        <v>10</v>
      </c>
      <c r="W23" s="4">
        <v>12</v>
      </c>
      <c r="X23" s="4">
        <v>0</v>
      </c>
      <c r="Y23" s="4"/>
      <c r="Z23" s="4">
        <v>439.83</v>
      </c>
      <c r="AA23" s="4">
        <v>379</v>
      </c>
      <c r="AB23" s="18"/>
      <c r="AC23" s="18">
        <v>1</v>
      </c>
      <c r="AD23" s="28"/>
      <c r="AE23" s="26"/>
      <c r="AF23" s="28"/>
    </row>
    <row r="24" spans="1:32" ht="12.6" customHeight="1" x14ac:dyDescent="0.25">
      <c r="A24" s="14">
        <v>45659</v>
      </c>
      <c r="B24" s="14" t="s">
        <v>46</v>
      </c>
      <c r="C24" s="15">
        <v>5</v>
      </c>
      <c r="D24" s="16"/>
      <c r="E24" s="16"/>
      <c r="F24" s="17"/>
      <c r="G24" s="21"/>
      <c r="H24" s="21"/>
      <c r="I24" s="4">
        <v>0</v>
      </c>
      <c r="J24" s="4">
        <v>0</v>
      </c>
      <c r="K24" s="4"/>
      <c r="L24" s="16"/>
      <c r="M24" s="4"/>
      <c r="N24" s="4"/>
      <c r="O24" s="4"/>
      <c r="P24" s="4"/>
      <c r="Q24" s="4"/>
      <c r="R24" s="4"/>
      <c r="S24" s="4">
        <v>0</v>
      </c>
      <c r="T24" s="4">
        <v>0</v>
      </c>
      <c r="U24" s="4">
        <v>0</v>
      </c>
      <c r="V24" s="4">
        <v>12</v>
      </c>
      <c r="W24" s="4">
        <v>12</v>
      </c>
      <c r="X24" s="4">
        <v>0</v>
      </c>
      <c r="Y24" s="4"/>
      <c r="Z24" s="4">
        <v>538.48</v>
      </c>
      <c r="AA24" s="4">
        <v>379</v>
      </c>
      <c r="AB24" s="18"/>
      <c r="AC24" s="18">
        <v>1</v>
      </c>
      <c r="AD24" s="28"/>
      <c r="AE24" s="26"/>
      <c r="AF24" s="28"/>
    </row>
    <row r="25" spans="1:32" ht="12.6" customHeight="1" x14ac:dyDescent="0.25">
      <c r="A25" s="14">
        <v>45659</v>
      </c>
      <c r="B25" s="14" t="s">
        <v>45</v>
      </c>
      <c r="C25" s="15">
        <v>6</v>
      </c>
      <c r="D25" s="16"/>
      <c r="E25" s="16"/>
      <c r="F25" s="17"/>
      <c r="G25" s="21"/>
      <c r="H25" s="21"/>
      <c r="I25" s="4">
        <v>0</v>
      </c>
      <c r="J25" s="4">
        <v>0</v>
      </c>
      <c r="K25" s="4"/>
      <c r="L25" s="16"/>
      <c r="M25" s="4"/>
      <c r="N25" s="4"/>
      <c r="O25" s="4"/>
      <c r="P25" s="4"/>
      <c r="Q25" s="4"/>
      <c r="R25" s="4"/>
      <c r="S25" s="4">
        <v>0</v>
      </c>
      <c r="T25" s="4">
        <v>0</v>
      </c>
      <c r="U25" s="4">
        <v>0</v>
      </c>
      <c r="V25" s="4">
        <v>0</v>
      </c>
      <c r="W25" s="4"/>
      <c r="X25" s="4">
        <v>0</v>
      </c>
      <c r="Y25" s="4"/>
      <c r="Z25" s="4">
        <v>0</v>
      </c>
      <c r="AA25" s="4"/>
      <c r="AB25" s="18"/>
      <c r="AC25" s="18">
        <v>1</v>
      </c>
      <c r="AD25" s="28"/>
      <c r="AE25" s="26"/>
      <c r="AF25" s="28"/>
    </row>
    <row r="26" spans="1:32" ht="12.6" customHeight="1" x14ac:dyDescent="0.25">
      <c r="A26" s="14">
        <v>45659</v>
      </c>
      <c r="B26" s="14" t="s">
        <v>46</v>
      </c>
      <c r="C26" s="15">
        <v>6</v>
      </c>
      <c r="D26" s="16"/>
      <c r="E26" s="16"/>
      <c r="F26" s="17"/>
      <c r="G26" s="21"/>
      <c r="H26" s="21"/>
      <c r="I26" s="4">
        <v>0</v>
      </c>
      <c r="J26" s="4">
        <v>0</v>
      </c>
      <c r="K26" s="4"/>
      <c r="L26" s="16"/>
      <c r="M26" s="4"/>
      <c r="N26" s="4"/>
      <c r="O26" s="4"/>
      <c r="P26" s="4"/>
      <c r="Q26" s="4"/>
      <c r="R26" s="4"/>
      <c r="S26" s="4">
        <v>0</v>
      </c>
      <c r="T26" s="4">
        <v>0</v>
      </c>
      <c r="U26" s="4">
        <v>0</v>
      </c>
      <c r="V26" s="4">
        <v>0</v>
      </c>
      <c r="W26" s="4"/>
      <c r="X26" s="4">
        <v>0</v>
      </c>
      <c r="Y26" s="4"/>
      <c r="Z26" s="4">
        <v>0</v>
      </c>
      <c r="AA26" s="4"/>
      <c r="AB26" s="18"/>
      <c r="AC26" s="18">
        <v>1</v>
      </c>
      <c r="AD26" s="28"/>
      <c r="AE26" s="26"/>
      <c r="AF26" s="28"/>
    </row>
    <row r="27" spans="1:32" ht="12.6" customHeight="1" x14ac:dyDescent="0.25">
      <c r="A27" s="14">
        <v>45660</v>
      </c>
      <c r="B27" s="14" t="s">
        <v>45</v>
      </c>
      <c r="C27" s="15">
        <v>1</v>
      </c>
      <c r="D27" s="16"/>
      <c r="E27" s="16"/>
      <c r="F27" s="17"/>
      <c r="G27" s="21"/>
      <c r="H27" s="21"/>
      <c r="I27" s="4">
        <v>0</v>
      </c>
      <c r="J27" s="4">
        <v>0</v>
      </c>
      <c r="K27" s="4"/>
      <c r="L27" s="16">
        <v>60</v>
      </c>
      <c r="M27" s="4"/>
      <c r="N27" s="4"/>
      <c r="O27" s="4"/>
      <c r="P27" s="4"/>
      <c r="Q27" s="4"/>
      <c r="R27" s="4"/>
      <c r="S27" s="4">
        <v>60</v>
      </c>
      <c r="T27" s="4">
        <v>1</v>
      </c>
      <c r="U27" s="4">
        <v>1</v>
      </c>
      <c r="V27" s="4">
        <v>11</v>
      </c>
      <c r="W27" s="4">
        <v>12</v>
      </c>
      <c r="X27" s="4">
        <v>40</v>
      </c>
      <c r="Y27" s="4">
        <v>2088</v>
      </c>
      <c r="Z27" s="4">
        <v>146.12</v>
      </c>
      <c r="AA27" s="4">
        <v>146</v>
      </c>
      <c r="AB27" s="18">
        <v>398</v>
      </c>
      <c r="AC27" s="18">
        <v>1</v>
      </c>
      <c r="AD27" s="28"/>
      <c r="AE27" s="26"/>
      <c r="AF27" s="28"/>
    </row>
    <row r="28" spans="1:32" ht="12.6" customHeight="1" x14ac:dyDescent="0.25">
      <c r="A28" s="14">
        <v>45660</v>
      </c>
      <c r="B28" s="14" t="s">
        <v>46</v>
      </c>
      <c r="C28" s="15">
        <v>1</v>
      </c>
      <c r="D28" s="16"/>
      <c r="E28" s="16"/>
      <c r="F28" s="17"/>
      <c r="G28" s="21"/>
      <c r="H28" s="21"/>
      <c r="I28" s="4">
        <v>0</v>
      </c>
      <c r="J28" s="4">
        <v>0</v>
      </c>
      <c r="K28" s="4"/>
      <c r="L28" s="16"/>
      <c r="M28" s="4"/>
      <c r="N28" s="4"/>
      <c r="O28" s="4"/>
      <c r="P28" s="4"/>
      <c r="Q28" s="4"/>
      <c r="R28" s="4"/>
      <c r="S28" s="4">
        <v>0</v>
      </c>
      <c r="T28" s="4">
        <v>0</v>
      </c>
      <c r="U28" s="4">
        <v>0</v>
      </c>
      <c r="V28" s="4">
        <v>12</v>
      </c>
      <c r="W28" s="4">
        <v>12</v>
      </c>
      <c r="X28" s="4">
        <v>30</v>
      </c>
      <c r="Y28" s="4"/>
      <c r="Z28" s="4">
        <v>128.62</v>
      </c>
      <c r="AA28" s="4">
        <v>146</v>
      </c>
      <c r="AB28" s="18"/>
      <c r="AC28" s="18">
        <v>1</v>
      </c>
      <c r="AD28" s="28"/>
      <c r="AE28" s="26"/>
      <c r="AF28" s="28"/>
    </row>
    <row r="29" spans="1:32" ht="12.6" customHeight="1" x14ac:dyDescent="0.25">
      <c r="A29" s="14">
        <v>45660</v>
      </c>
      <c r="B29" s="14" t="s">
        <v>45</v>
      </c>
      <c r="C29" s="15">
        <v>2</v>
      </c>
      <c r="D29" s="16"/>
      <c r="E29" s="16"/>
      <c r="F29" s="17"/>
      <c r="G29" s="21"/>
      <c r="H29" s="21"/>
      <c r="I29" s="4">
        <v>0</v>
      </c>
      <c r="J29" s="4">
        <v>0</v>
      </c>
      <c r="K29" s="4"/>
      <c r="L29" s="16"/>
      <c r="M29" s="4"/>
      <c r="N29" s="4"/>
      <c r="O29" s="4"/>
      <c r="P29" s="4"/>
      <c r="Q29" s="4"/>
      <c r="R29" s="4"/>
      <c r="S29" s="4">
        <v>0</v>
      </c>
      <c r="T29" s="4">
        <v>0</v>
      </c>
      <c r="U29" s="4">
        <v>0</v>
      </c>
      <c r="V29" s="4">
        <v>12</v>
      </c>
      <c r="W29" s="4">
        <v>12</v>
      </c>
      <c r="X29" s="4">
        <v>0</v>
      </c>
      <c r="Y29" s="4"/>
      <c r="Z29" s="4">
        <v>77.150000000000006</v>
      </c>
      <c r="AA29" s="4">
        <v>58</v>
      </c>
      <c r="AB29" s="18"/>
      <c r="AC29" s="18">
        <v>1</v>
      </c>
      <c r="AD29" s="28"/>
      <c r="AE29" s="26"/>
      <c r="AF29" s="28"/>
    </row>
    <row r="30" spans="1:32" ht="12.6" customHeight="1" x14ac:dyDescent="0.25">
      <c r="A30" s="14">
        <v>45660</v>
      </c>
      <c r="B30" s="14" t="s">
        <v>46</v>
      </c>
      <c r="C30" s="15">
        <v>2</v>
      </c>
      <c r="D30" s="16"/>
      <c r="E30" s="16"/>
      <c r="F30" s="17"/>
      <c r="G30" s="21"/>
      <c r="H30" s="21"/>
      <c r="I30" s="4">
        <v>0</v>
      </c>
      <c r="J30" s="4">
        <v>0</v>
      </c>
      <c r="K30" s="4"/>
      <c r="L30" s="16"/>
      <c r="M30" s="4"/>
      <c r="N30" s="4"/>
      <c r="O30" s="4"/>
      <c r="P30" s="4"/>
      <c r="Q30" s="4">
        <v>45</v>
      </c>
      <c r="R30" s="4"/>
      <c r="S30" s="4">
        <v>45</v>
      </c>
      <c r="T30" s="4">
        <v>0.75</v>
      </c>
      <c r="U30" s="4">
        <v>0.75</v>
      </c>
      <c r="V30" s="4">
        <v>11.25</v>
      </c>
      <c r="W30" s="4">
        <v>12</v>
      </c>
      <c r="X30" s="4">
        <v>0</v>
      </c>
      <c r="Y30" s="4"/>
      <c r="Z30" s="4">
        <v>91.46</v>
      </c>
      <c r="AA30" s="4">
        <v>58</v>
      </c>
      <c r="AB30" s="18"/>
      <c r="AC30" s="18">
        <v>1</v>
      </c>
      <c r="AD30" s="28"/>
      <c r="AE30" s="26"/>
      <c r="AF30" s="28"/>
    </row>
    <row r="31" spans="1:32" ht="12.6" customHeight="1" x14ac:dyDescent="0.25">
      <c r="A31" s="14">
        <v>45660</v>
      </c>
      <c r="B31" s="14" t="s">
        <v>45</v>
      </c>
      <c r="C31" s="15">
        <v>3</v>
      </c>
      <c r="D31" s="16"/>
      <c r="E31" s="16"/>
      <c r="F31" s="17"/>
      <c r="G31" s="21"/>
      <c r="H31" s="21"/>
      <c r="I31" s="4">
        <v>0</v>
      </c>
      <c r="J31" s="4">
        <v>0</v>
      </c>
      <c r="K31" s="4"/>
      <c r="L31" s="16"/>
      <c r="M31" s="4"/>
      <c r="N31" s="4"/>
      <c r="O31" s="4"/>
      <c r="P31" s="4"/>
      <c r="Q31" s="4"/>
      <c r="R31" s="4"/>
      <c r="S31" s="4">
        <v>0</v>
      </c>
      <c r="T31" s="4">
        <v>0</v>
      </c>
      <c r="U31" s="4">
        <v>0</v>
      </c>
      <c r="V31" s="4">
        <v>12</v>
      </c>
      <c r="W31" s="4">
        <v>12</v>
      </c>
      <c r="X31" s="4">
        <v>0</v>
      </c>
      <c r="Y31" s="4"/>
      <c r="Z31" s="4">
        <v>291.52999999999997</v>
      </c>
      <c r="AA31" s="4">
        <v>239</v>
      </c>
      <c r="AB31" s="18"/>
      <c r="AC31" s="18">
        <v>1</v>
      </c>
      <c r="AD31" s="28"/>
      <c r="AE31" s="26"/>
      <c r="AF31" s="28"/>
    </row>
    <row r="32" spans="1:32" ht="12.6" customHeight="1" x14ac:dyDescent="0.25">
      <c r="A32" s="14">
        <v>45660</v>
      </c>
      <c r="B32" s="14" t="s">
        <v>46</v>
      </c>
      <c r="C32" s="15">
        <v>3</v>
      </c>
      <c r="D32" s="16"/>
      <c r="E32" s="16"/>
      <c r="F32" s="17"/>
      <c r="G32" s="21"/>
      <c r="H32" s="21"/>
      <c r="I32" s="4">
        <v>0</v>
      </c>
      <c r="J32" s="4">
        <v>0</v>
      </c>
      <c r="K32" s="4"/>
      <c r="L32" s="16"/>
      <c r="M32" s="4"/>
      <c r="N32" s="4"/>
      <c r="O32" s="4"/>
      <c r="P32" s="4"/>
      <c r="Q32" s="4"/>
      <c r="R32" s="4"/>
      <c r="S32" s="4">
        <v>0</v>
      </c>
      <c r="T32" s="4">
        <v>0</v>
      </c>
      <c r="U32" s="4">
        <v>0</v>
      </c>
      <c r="V32" s="4">
        <v>12</v>
      </c>
      <c r="W32" s="4">
        <v>12</v>
      </c>
      <c r="X32" s="4">
        <v>0</v>
      </c>
      <c r="Y32" s="4"/>
      <c r="Z32" s="4">
        <v>289.84000000000003</v>
      </c>
      <c r="AA32" s="4">
        <v>239</v>
      </c>
      <c r="AB32" s="18"/>
      <c r="AC32" s="18">
        <v>1</v>
      </c>
      <c r="AD32" s="28"/>
      <c r="AE32" s="26"/>
      <c r="AF32" s="28"/>
    </row>
    <row r="33" spans="1:32" ht="12.6" customHeight="1" x14ac:dyDescent="0.25">
      <c r="A33" s="14">
        <v>45660</v>
      </c>
      <c r="B33" s="14" t="s">
        <v>45</v>
      </c>
      <c r="C33" s="15">
        <v>4</v>
      </c>
      <c r="D33" s="16"/>
      <c r="E33" s="16"/>
      <c r="F33" s="17"/>
      <c r="G33" s="21"/>
      <c r="H33" s="21"/>
      <c r="I33" s="4">
        <v>0</v>
      </c>
      <c r="J33" s="4">
        <v>0</v>
      </c>
      <c r="K33" s="4"/>
      <c r="L33" s="16"/>
      <c r="M33" s="4"/>
      <c r="N33" s="4"/>
      <c r="O33" s="4"/>
      <c r="P33" s="4"/>
      <c r="Q33" s="4"/>
      <c r="R33" s="4"/>
      <c r="S33" s="4">
        <v>0</v>
      </c>
      <c r="T33" s="4">
        <v>0</v>
      </c>
      <c r="U33" s="4">
        <v>0</v>
      </c>
      <c r="V33" s="4">
        <v>12</v>
      </c>
      <c r="W33" s="4">
        <v>12</v>
      </c>
      <c r="X33" s="4">
        <v>0</v>
      </c>
      <c r="Y33" s="4"/>
      <c r="Z33" s="4">
        <v>797.05</v>
      </c>
      <c r="AA33" s="4">
        <v>797</v>
      </c>
      <c r="AB33" s="18"/>
      <c r="AC33" s="18">
        <v>1</v>
      </c>
      <c r="AD33" s="28"/>
      <c r="AE33" s="26"/>
      <c r="AF33" s="28"/>
    </row>
    <row r="34" spans="1:32" ht="12.6" customHeight="1" x14ac:dyDescent="0.25">
      <c r="A34" s="14">
        <v>45660</v>
      </c>
      <c r="B34" s="14" t="s">
        <v>46</v>
      </c>
      <c r="C34" s="15">
        <v>4</v>
      </c>
      <c r="D34" s="16"/>
      <c r="E34" s="16"/>
      <c r="F34" s="17"/>
      <c r="G34" s="21"/>
      <c r="H34" s="21"/>
      <c r="I34" s="4">
        <v>0</v>
      </c>
      <c r="J34" s="4">
        <v>0</v>
      </c>
      <c r="K34" s="4"/>
      <c r="L34" s="16"/>
      <c r="M34" s="4"/>
      <c r="N34" s="4"/>
      <c r="O34" s="4"/>
      <c r="P34" s="4"/>
      <c r="Q34" s="4"/>
      <c r="R34" s="4"/>
      <c r="S34" s="4">
        <v>0</v>
      </c>
      <c r="T34" s="4">
        <v>0</v>
      </c>
      <c r="U34" s="4">
        <v>0</v>
      </c>
      <c r="V34" s="4">
        <v>12</v>
      </c>
      <c r="W34" s="4">
        <v>12</v>
      </c>
      <c r="X34" s="4">
        <v>0</v>
      </c>
      <c r="Y34" s="4"/>
      <c r="Z34" s="4">
        <v>826.54</v>
      </c>
      <c r="AA34" s="4">
        <v>797</v>
      </c>
      <c r="AB34" s="18"/>
      <c r="AC34" s="18">
        <v>1</v>
      </c>
      <c r="AD34" s="28"/>
      <c r="AE34" s="26"/>
      <c r="AF34" s="28"/>
    </row>
    <row r="35" spans="1:32" ht="12.6" customHeight="1" x14ac:dyDescent="0.25">
      <c r="A35" s="14">
        <v>45660</v>
      </c>
      <c r="B35" s="14" t="s">
        <v>45</v>
      </c>
      <c r="C35" s="15">
        <v>5</v>
      </c>
      <c r="D35" s="16"/>
      <c r="E35" s="16"/>
      <c r="F35" s="17"/>
      <c r="G35" s="21"/>
      <c r="H35" s="21"/>
      <c r="I35" s="4">
        <v>0</v>
      </c>
      <c r="J35" s="4">
        <v>0</v>
      </c>
      <c r="K35" s="4"/>
      <c r="L35" s="16"/>
      <c r="M35" s="4"/>
      <c r="N35" s="4"/>
      <c r="O35" s="4"/>
      <c r="P35" s="4"/>
      <c r="Q35" s="4"/>
      <c r="R35" s="4"/>
      <c r="S35" s="4">
        <v>0</v>
      </c>
      <c r="T35" s="4">
        <v>0</v>
      </c>
      <c r="U35" s="4">
        <v>0</v>
      </c>
      <c r="V35" s="4">
        <v>12</v>
      </c>
      <c r="W35" s="4">
        <v>12</v>
      </c>
      <c r="X35" s="4">
        <v>0</v>
      </c>
      <c r="Y35" s="4"/>
      <c r="Z35" s="4">
        <v>504.72999999999996</v>
      </c>
      <c r="AA35" s="4">
        <v>379</v>
      </c>
      <c r="AB35" s="18"/>
      <c r="AC35" s="18">
        <v>1</v>
      </c>
      <c r="AD35" s="28"/>
      <c r="AE35" s="26"/>
      <c r="AF35" s="28"/>
    </row>
    <row r="36" spans="1:32" ht="12.6" customHeight="1" x14ac:dyDescent="0.25">
      <c r="A36" s="14">
        <v>45660</v>
      </c>
      <c r="B36" s="14" t="s">
        <v>46</v>
      </c>
      <c r="C36" s="15">
        <v>5</v>
      </c>
      <c r="D36" s="16">
        <v>10</v>
      </c>
      <c r="E36" s="16"/>
      <c r="F36" s="17"/>
      <c r="G36" s="21"/>
      <c r="H36" s="21"/>
      <c r="I36" s="4">
        <v>10</v>
      </c>
      <c r="J36" s="4">
        <v>0.16666666666666666</v>
      </c>
      <c r="K36" s="4"/>
      <c r="L36" s="16"/>
      <c r="M36" s="4"/>
      <c r="N36" s="4"/>
      <c r="O36" s="4"/>
      <c r="P36" s="4"/>
      <c r="Q36" s="4"/>
      <c r="R36" s="4"/>
      <c r="S36" s="4">
        <v>0</v>
      </c>
      <c r="T36" s="4">
        <v>0</v>
      </c>
      <c r="U36" s="4">
        <v>0.16666666666666666</v>
      </c>
      <c r="V36" s="4">
        <v>11.833333333333334</v>
      </c>
      <c r="W36" s="4">
        <v>12</v>
      </c>
      <c r="X36" s="4">
        <v>0</v>
      </c>
      <c r="Y36" s="4"/>
      <c r="Z36" s="4">
        <v>557.98</v>
      </c>
      <c r="AA36" s="4">
        <v>379</v>
      </c>
      <c r="AB36" s="18"/>
      <c r="AC36" s="18">
        <v>1</v>
      </c>
      <c r="AD36" s="28"/>
      <c r="AE36" s="26"/>
      <c r="AF36" s="28"/>
    </row>
    <row r="37" spans="1:32" ht="12.6" customHeight="1" x14ac:dyDescent="0.25">
      <c r="A37" s="14">
        <v>45660</v>
      </c>
      <c r="B37" s="14" t="s">
        <v>45</v>
      </c>
      <c r="C37" s="15">
        <v>6</v>
      </c>
      <c r="D37" s="16"/>
      <c r="E37" s="16"/>
      <c r="F37" s="17"/>
      <c r="G37" s="21"/>
      <c r="H37" s="21"/>
      <c r="I37" s="4">
        <v>0</v>
      </c>
      <c r="J37" s="4">
        <v>0</v>
      </c>
      <c r="K37" s="4"/>
      <c r="L37" s="16"/>
      <c r="M37" s="4"/>
      <c r="N37" s="4"/>
      <c r="O37" s="4"/>
      <c r="P37" s="4"/>
      <c r="Q37" s="4"/>
      <c r="R37" s="4"/>
      <c r="S37" s="4">
        <v>0</v>
      </c>
      <c r="T37" s="4">
        <v>0</v>
      </c>
      <c r="U37" s="4">
        <v>0</v>
      </c>
      <c r="V37" s="4">
        <v>0</v>
      </c>
      <c r="W37" s="4"/>
      <c r="X37" s="4">
        <v>0</v>
      </c>
      <c r="Y37" s="4"/>
      <c r="Z37" s="4">
        <v>0</v>
      </c>
      <c r="AA37" s="4"/>
      <c r="AB37" s="18"/>
      <c r="AC37" s="18">
        <v>1</v>
      </c>
      <c r="AD37" s="28"/>
      <c r="AE37" s="26"/>
      <c r="AF37" s="28"/>
    </row>
    <row r="38" spans="1:32" ht="12.6" customHeight="1" x14ac:dyDescent="0.25">
      <c r="A38" s="14">
        <v>45660</v>
      </c>
      <c r="B38" s="14" t="s">
        <v>46</v>
      </c>
      <c r="C38" s="15">
        <v>6</v>
      </c>
      <c r="D38" s="16"/>
      <c r="E38" s="16"/>
      <c r="F38" s="17"/>
      <c r="G38" s="21"/>
      <c r="H38" s="21"/>
      <c r="I38" s="4">
        <v>0</v>
      </c>
      <c r="J38" s="4">
        <v>0</v>
      </c>
      <c r="K38" s="4"/>
      <c r="L38" s="16"/>
      <c r="M38" s="4"/>
      <c r="N38" s="4"/>
      <c r="O38" s="4"/>
      <c r="P38" s="4"/>
      <c r="Q38" s="4"/>
      <c r="R38" s="4"/>
      <c r="S38" s="4">
        <v>0</v>
      </c>
      <c r="T38" s="4">
        <v>0</v>
      </c>
      <c r="U38" s="4">
        <v>0</v>
      </c>
      <c r="V38" s="4">
        <v>0</v>
      </c>
      <c r="W38" s="4"/>
      <c r="X38" s="4">
        <v>0</v>
      </c>
      <c r="Y38" s="4"/>
      <c r="Z38" s="4">
        <v>0</v>
      </c>
      <c r="AA38" s="4"/>
      <c r="AB38" s="18"/>
      <c r="AC38" s="18">
        <v>1</v>
      </c>
      <c r="AD38" s="28"/>
      <c r="AE38" s="26"/>
      <c r="AF38" s="28"/>
    </row>
    <row r="39" spans="1:32" ht="12.6" customHeight="1" x14ac:dyDescent="0.25">
      <c r="A39" s="14">
        <v>45661</v>
      </c>
      <c r="B39" s="14" t="s">
        <v>45</v>
      </c>
      <c r="C39" s="15">
        <v>1</v>
      </c>
      <c r="D39" s="16">
        <v>10</v>
      </c>
      <c r="E39" s="16"/>
      <c r="F39" s="17"/>
      <c r="G39" s="21"/>
      <c r="H39" s="21"/>
      <c r="I39" s="4">
        <v>10</v>
      </c>
      <c r="J39" s="4">
        <v>0.16666666666666666</v>
      </c>
      <c r="K39" s="4"/>
      <c r="L39" s="16"/>
      <c r="M39" s="4"/>
      <c r="N39" s="4"/>
      <c r="O39" s="4"/>
      <c r="P39" s="4"/>
      <c r="Q39" s="4"/>
      <c r="R39" s="4"/>
      <c r="S39" s="4">
        <v>0</v>
      </c>
      <c r="T39" s="4">
        <v>0</v>
      </c>
      <c r="U39" s="4">
        <v>0.16666666666666666</v>
      </c>
      <c r="V39" s="4">
        <v>11.833333333333334</v>
      </c>
      <c r="W39" s="4">
        <v>12</v>
      </c>
      <c r="X39" s="4">
        <v>42</v>
      </c>
      <c r="Y39" s="4">
        <v>1778</v>
      </c>
      <c r="Z39" s="4">
        <v>152.51999999999998</v>
      </c>
      <c r="AA39" s="4">
        <v>146</v>
      </c>
      <c r="AB39" s="18">
        <v>398</v>
      </c>
      <c r="AC39" s="18">
        <v>1</v>
      </c>
      <c r="AD39" s="28"/>
      <c r="AE39" s="26"/>
      <c r="AF39" s="28"/>
    </row>
    <row r="40" spans="1:32" ht="12.6" customHeight="1" x14ac:dyDescent="0.25">
      <c r="A40" s="14">
        <v>45661</v>
      </c>
      <c r="B40" s="14" t="s">
        <v>46</v>
      </c>
      <c r="C40" s="15">
        <v>1</v>
      </c>
      <c r="D40" s="16"/>
      <c r="E40" s="16"/>
      <c r="F40" s="17"/>
      <c r="G40" s="21"/>
      <c r="H40" s="21"/>
      <c r="I40" s="4">
        <v>0</v>
      </c>
      <c r="J40" s="4">
        <v>0</v>
      </c>
      <c r="K40" s="4"/>
      <c r="L40" s="16"/>
      <c r="M40" s="4"/>
      <c r="N40" s="4"/>
      <c r="O40" s="4"/>
      <c r="P40" s="4"/>
      <c r="Q40" s="4"/>
      <c r="R40" s="4"/>
      <c r="S40" s="4">
        <v>0</v>
      </c>
      <c r="T40" s="4">
        <v>0</v>
      </c>
      <c r="U40" s="4">
        <v>0</v>
      </c>
      <c r="V40" s="4">
        <v>12</v>
      </c>
      <c r="W40" s="4">
        <v>12</v>
      </c>
      <c r="X40" s="4">
        <v>42</v>
      </c>
      <c r="Y40" s="4"/>
      <c r="Z40" s="4">
        <v>203.11</v>
      </c>
      <c r="AA40" s="4">
        <v>146</v>
      </c>
      <c r="AB40" s="18"/>
      <c r="AC40" s="18">
        <v>1</v>
      </c>
      <c r="AD40" s="28"/>
      <c r="AE40" s="26"/>
      <c r="AF40" s="28"/>
    </row>
    <row r="41" spans="1:32" ht="12.6" customHeight="1" x14ac:dyDescent="0.25">
      <c r="A41" s="14">
        <v>45661</v>
      </c>
      <c r="B41" s="14" t="s">
        <v>45</v>
      </c>
      <c r="C41" s="15">
        <v>2</v>
      </c>
      <c r="D41" s="16"/>
      <c r="E41" s="16"/>
      <c r="F41" s="17"/>
      <c r="G41" s="21"/>
      <c r="H41" s="21"/>
      <c r="I41" s="4">
        <v>0</v>
      </c>
      <c r="J41" s="4">
        <v>0</v>
      </c>
      <c r="K41" s="4"/>
      <c r="L41" s="16"/>
      <c r="M41" s="4"/>
      <c r="N41" s="4"/>
      <c r="O41" s="4"/>
      <c r="P41" s="4"/>
      <c r="Q41" s="4"/>
      <c r="R41" s="4"/>
      <c r="S41" s="4">
        <v>0</v>
      </c>
      <c r="T41" s="4">
        <v>0</v>
      </c>
      <c r="U41" s="4">
        <v>0</v>
      </c>
      <c r="V41" s="4">
        <v>0</v>
      </c>
      <c r="W41" s="4"/>
      <c r="X41" s="4">
        <v>0</v>
      </c>
      <c r="Y41" s="4"/>
      <c r="Z41" s="4">
        <v>0</v>
      </c>
      <c r="AA41" s="4">
        <v>58</v>
      </c>
      <c r="AB41" s="18"/>
      <c r="AC41" s="18">
        <v>1</v>
      </c>
      <c r="AD41" s="28"/>
      <c r="AE41" s="26"/>
      <c r="AF41" s="28"/>
    </row>
    <row r="42" spans="1:32" ht="12.6" customHeight="1" x14ac:dyDescent="0.25">
      <c r="A42" s="14">
        <v>45661</v>
      </c>
      <c r="B42" s="14" t="s">
        <v>46</v>
      </c>
      <c r="C42" s="15">
        <v>2</v>
      </c>
      <c r="D42" s="16"/>
      <c r="E42" s="16"/>
      <c r="F42" s="17"/>
      <c r="G42" s="21"/>
      <c r="H42" s="21"/>
      <c r="I42" s="4">
        <v>0</v>
      </c>
      <c r="J42" s="4">
        <v>0</v>
      </c>
      <c r="K42" s="4"/>
      <c r="L42" s="16"/>
      <c r="M42" s="4"/>
      <c r="N42" s="4"/>
      <c r="O42" s="4"/>
      <c r="P42" s="4"/>
      <c r="Q42" s="4"/>
      <c r="R42" s="4"/>
      <c r="S42" s="4">
        <v>0</v>
      </c>
      <c r="T42" s="4">
        <v>0</v>
      </c>
      <c r="U42" s="4">
        <v>0</v>
      </c>
      <c r="V42" s="4">
        <v>0</v>
      </c>
      <c r="W42" s="4"/>
      <c r="X42" s="4">
        <v>0</v>
      </c>
      <c r="Y42" s="4"/>
      <c r="Z42" s="4">
        <v>0</v>
      </c>
      <c r="AA42" s="4">
        <v>58</v>
      </c>
      <c r="AB42" s="18"/>
      <c r="AC42" s="18">
        <v>1</v>
      </c>
      <c r="AD42" s="28"/>
      <c r="AE42" s="26"/>
      <c r="AF42" s="28"/>
    </row>
    <row r="43" spans="1:32" ht="12.6" customHeight="1" x14ac:dyDescent="0.25">
      <c r="A43" s="14">
        <v>45661</v>
      </c>
      <c r="B43" s="14" t="s">
        <v>45</v>
      </c>
      <c r="C43" s="15">
        <v>3</v>
      </c>
      <c r="D43" s="16"/>
      <c r="E43" s="16"/>
      <c r="F43" s="17"/>
      <c r="G43" s="21"/>
      <c r="H43" s="21"/>
      <c r="I43" s="4">
        <v>0</v>
      </c>
      <c r="J43" s="4">
        <v>0</v>
      </c>
      <c r="K43" s="4"/>
      <c r="L43" s="16"/>
      <c r="M43" s="4"/>
      <c r="N43" s="4"/>
      <c r="O43" s="4"/>
      <c r="P43" s="4"/>
      <c r="Q43" s="4"/>
      <c r="R43" s="4"/>
      <c r="S43" s="4">
        <v>0</v>
      </c>
      <c r="T43" s="4">
        <v>0</v>
      </c>
      <c r="U43" s="4">
        <v>0</v>
      </c>
      <c r="V43" s="4">
        <v>12</v>
      </c>
      <c r="W43" s="4">
        <v>12</v>
      </c>
      <c r="X43" s="4">
        <v>0</v>
      </c>
      <c r="Y43" s="4"/>
      <c r="Z43" s="4">
        <v>336.32</v>
      </c>
      <c r="AA43" s="4">
        <v>239</v>
      </c>
      <c r="AB43" s="18"/>
      <c r="AC43" s="18">
        <v>1</v>
      </c>
      <c r="AD43" s="28"/>
      <c r="AE43" s="26"/>
      <c r="AF43" s="28"/>
    </row>
    <row r="44" spans="1:32" ht="12.6" customHeight="1" x14ac:dyDescent="0.25">
      <c r="A44" s="14">
        <v>45661</v>
      </c>
      <c r="B44" s="14" t="s">
        <v>46</v>
      </c>
      <c r="C44" s="15">
        <v>3</v>
      </c>
      <c r="D44" s="16"/>
      <c r="E44" s="16"/>
      <c r="F44" s="17"/>
      <c r="G44" s="21"/>
      <c r="H44" s="21"/>
      <c r="I44" s="4">
        <v>0</v>
      </c>
      <c r="J44" s="4">
        <v>0</v>
      </c>
      <c r="K44" s="4"/>
      <c r="L44" s="16"/>
      <c r="M44" s="4"/>
      <c r="N44" s="4"/>
      <c r="O44" s="4"/>
      <c r="P44" s="4"/>
      <c r="Q44" s="4"/>
      <c r="R44" s="4"/>
      <c r="S44" s="4">
        <v>0</v>
      </c>
      <c r="T44" s="4">
        <v>0</v>
      </c>
      <c r="U44" s="4">
        <v>0</v>
      </c>
      <c r="V44" s="4">
        <v>12</v>
      </c>
      <c r="W44" s="4">
        <v>12</v>
      </c>
      <c r="X44" s="4">
        <v>0</v>
      </c>
      <c r="Y44" s="4"/>
      <c r="Z44" s="4">
        <v>367.92</v>
      </c>
      <c r="AA44" s="4">
        <v>239</v>
      </c>
      <c r="AB44" s="18"/>
      <c r="AC44" s="18">
        <v>1</v>
      </c>
      <c r="AD44" s="28"/>
      <c r="AE44" s="26"/>
      <c r="AF44" s="28"/>
    </row>
    <row r="45" spans="1:32" ht="12.6" customHeight="1" x14ac:dyDescent="0.25">
      <c r="A45" s="14">
        <v>45661</v>
      </c>
      <c r="B45" s="14" t="s">
        <v>45</v>
      </c>
      <c r="C45" s="15">
        <v>4</v>
      </c>
      <c r="D45" s="16"/>
      <c r="E45" s="16"/>
      <c r="F45" s="17"/>
      <c r="G45" s="21"/>
      <c r="H45" s="21"/>
      <c r="I45" s="4">
        <v>0</v>
      </c>
      <c r="J45" s="4">
        <v>0</v>
      </c>
      <c r="K45" s="4"/>
      <c r="L45" s="16"/>
      <c r="M45" s="4"/>
      <c r="N45" s="4"/>
      <c r="O45" s="4"/>
      <c r="P45" s="4"/>
      <c r="Q45" s="4"/>
      <c r="R45" s="4"/>
      <c r="S45" s="4">
        <v>0</v>
      </c>
      <c r="T45" s="4">
        <v>0</v>
      </c>
      <c r="U45" s="4">
        <v>0</v>
      </c>
      <c r="V45" s="4">
        <v>12</v>
      </c>
      <c r="W45" s="4">
        <v>12</v>
      </c>
      <c r="X45" s="4">
        <v>0</v>
      </c>
      <c r="Y45" s="4"/>
      <c r="Z45" s="4">
        <v>787.81</v>
      </c>
      <c r="AA45" s="4">
        <v>797</v>
      </c>
      <c r="AB45" s="18"/>
      <c r="AC45" s="18">
        <v>1</v>
      </c>
      <c r="AD45" s="28"/>
      <c r="AE45" s="26"/>
      <c r="AF45" s="28"/>
    </row>
    <row r="46" spans="1:32" ht="12.6" customHeight="1" x14ac:dyDescent="0.25">
      <c r="A46" s="14">
        <v>45661</v>
      </c>
      <c r="B46" s="14" t="s">
        <v>46</v>
      </c>
      <c r="C46" s="15">
        <v>4</v>
      </c>
      <c r="D46" s="16"/>
      <c r="E46" s="16"/>
      <c r="F46" s="17"/>
      <c r="G46" s="21"/>
      <c r="H46" s="21"/>
      <c r="I46" s="4">
        <v>0</v>
      </c>
      <c r="J46" s="4">
        <v>0</v>
      </c>
      <c r="K46" s="4"/>
      <c r="L46" s="16"/>
      <c r="M46" s="4"/>
      <c r="N46" s="4"/>
      <c r="O46" s="4"/>
      <c r="P46" s="4"/>
      <c r="Q46" s="4"/>
      <c r="R46" s="4"/>
      <c r="S46" s="4">
        <v>0</v>
      </c>
      <c r="T46" s="4">
        <v>0</v>
      </c>
      <c r="U46" s="4">
        <v>0</v>
      </c>
      <c r="V46" s="4">
        <v>12</v>
      </c>
      <c r="W46" s="4">
        <v>12</v>
      </c>
      <c r="X46" s="4">
        <v>0</v>
      </c>
      <c r="Y46" s="4"/>
      <c r="Z46" s="4">
        <v>912.64</v>
      </c>
      <c r="AA46" s="4">
        <v>797</v>
      </c>
      <c r="AB46" s="18"/>
      <c r="AC46" s="18">
        <v>1</v>
      </c>
      <c r="AD46" s="28"/>
      <c r="AE46" s="26"/>
      <c r="AF46" s="28"/>
    </row>
    <row r="47" spans="1:32" ht="12.6" customHeight="1" x14ac:dyDescent="0.25">
      <c r="A47" s="14">
        <v>45661</v>
      </c>
      <c r="B47" s="14" t="s">
        <v>45</v>
      </c>
      <c r="C47" s="15">
        <v>5</v>
      </c>
      <c r="D47" s="16"/>
      <c r="E47" s="16"/>
      <c r="F47" s="17"/>
      <c r="G47" s="21"/>
      <c r="H47" s="21"/>
      <c r="I47" s="4">
        <v>0</v>
      </c>
      <c r="J47" s="4">
        <v>0</v>
      </c>
      <c r="K47" s="4"/>
      <c r="L47" s="16"/>
      <c r="M47" s="4"/>
      <c r="N47" s="4"/>
      <c r="O47" s="4"/>
      <c r="P47" s="4"/>
      <c r="Q47" s="4"/>
      <c r="R47" s="4"/>
      <c r="S47" s="4">
        <v>0</v>
      </c>
      <c r="T47" s="4">
        <v>0</v>
      </c>
      <c r="U47" s="4">
        <v>0</v>
      </c>
      <c r="V47" s="4">
        <v>0</v>
      </c>
      <c r="W47" s="4"/>
      <c r="X47" s="4">
        <v>0</v>
      </c>
      <c r="Y47" s="4"/>
      <c r="Z47" s="4">
        <v>0</v>
      </c>
      <c r="AA47" s="4">
        <v>379</v>
      </c>
      <c r="AB47" s="18"/>
      <c r="AC47" s="18">
        <v>1</v>
      </c>
      <c r="AD47" s="28"/>
      <c r="AE47" s="26"/>
      <c r="AF47" s="28"/>
    </row>
    <row r="48" spans="1:32" ht="12.6" customHeight="1" x14ac:dyDescent="0.25">
      <c r="A48" s="14">
        <v>45661</v>
      </c>
      <c r="B48" s="14" t="s">
        <v>46</v>
      </c>
      <c r="C48" s="15">
        <v>5</v>
      </c>
      <c r="D48" s="16"/>
      <c r="E48" s="16"/>
      <c r="F48" s="17"/>
      <c r="G48" s="21"/>
      <c r="H48" s="21"/>
      <c r="I48" s="4">
        <v>0</v>
      </c>
      <c r="J48" s="4">
        <v>0</v>
      </c>
      <c r="K48" s="4"/>
      <c r="L48" s="16"/>
      <c r="M48" s="4"/>
      <c r="N48" s="4"/>
      <c r="O48" s="4"/>
      <c r="P48" s="4"/>
      <c r="Q48" s="4"/>
      <c r="R48" s="4"/>
      <c r="S48" s="4">
        <v>0</v>
      </c>
      <c r="T48" s="4">
        <v>0</v>
      </c>
      <c r="U48" s="4">
        <v>0</v>
      </c>
      <c r="V48" s="4">
        <v>0</v>
      </c>
      <c r="W48" s="4"/>
      <c r="X48" s="4">
        <v>0</v>
      </c>
      <c r="Y48" s="4"/>
      <c r="Z48" s="4">
        <v>0</v>
      </c>
      <c r="AA48" s="4">
        <v>379</v>
      </c>
      <c r="AB48" s="18"/>
      <c r="AC48" s="18">
        <v>1</v>
      </c>
      <c r="AD48" s="28"/>
      <c r="AE48" s="26"/>
      <c r="AF48" s="28"/>
    </row>
    <row r="49" spans="1:32" ht="12.6" customHeight="1" x14ac:dyDescent="0.25">
      <c r="A49" s="14">
        <v>45661</v>
      </c>
      <c r="B49" s="14" t="s">
        <v>45</v>
      </c>
      <c r="C49" s="15">
        <v>6</v>
      </c>
      <c r="D49" s="16"/>
      <c r="E49" s="16"/>
      <c r="F49" s="17"/>
      <c r="G49" s="21"/>
      <c r="H49" s="21"/>
      <c r="I49" s="4">
        <v>0</v>
      </c>
      <c r="J49" s="4">
        <v>0</v>
      </c>
      <c r="K49" s="4"/>
      <c r="L49" s="16"/>
      <c r="M49" s="4"/>
      <c r="N49" s="4"/>
      <c r="O49" s="4"/>
      <c r="P49" s="4"/>
      <c r="Q49" s="4"/>
      <c r="R49" s="4"/>
      <c r="S49" s="4">
        <v>0</v>
      </c>
      <c r="T49" s="4">
        <v>0</v>
      </c>
      <c r="U49" s="4">
        <v>0</v>
      </c>
      <c r="V49" s="4">
        <v>0</v>
      </c>
      <c r="W49" s="4"/>
      <c r="X49" s="4">
        <v>0</v>
      </c>
      <c r="Y49" s="4"/>
      <c r="Z49" s="4">
        <v>0</v>
      </c>
      <c r="AA49" s="4"/>
      <c r="AB49" s="18"/>
      <c r="AC49" s="18">
        <v>1</v>
      </c>
      <c r="AD49" s="28"/>
      <c r="AE49" s="26"/>
      <c r="AF49" s="28"/>
    </row>
    <row r="50" spans="1:32" ht="12.6" customHeight="1" x14ac:dyDescent="0.25">
      <c r="A50" s="14">
        <v>45661</v>
      </c>
      <c r="B50" s="14" t="s">
        <v>46</v>
      </c>
      <c r="C50" s="15">
        <v>6</v>
      </c>
      <c r="D50" s="16"/>
      <c r="E50" s="16"/>
      <c r="F50" s="17"/>
      <c r="G50" s="21"/>
      <c r="H50" s="21"/>
      <c r="I50" s="4">
        <v>0</v>
      </c>
      <c r="J50" s="4">
        <v>0</v>
      </c>
      <c r="K50" s="4"/>
      <c r="L50" s="16"/>
      <c r="M50" s="4"/>
      <c r="N50" s="4"/>
      <c r="O50" s="4"/>
      <c r="P50" s="4"/>
      <c r="Q50" s="4"/>
      <c r="R50" s="4"/>
      <c r="S50" s="4">
        <v>0</v>
      </c>
      <c r="T50" s="4">
        <v>0</v>
      </c>
      <c r="U50" s="4">
        <v>0</v>
      </c>
      <c r="V50" s="4">
        <v>0</v>
      </c>
      <c r="W50" s="4"/>
      <c r="X50" s="4">
        <v>0</v>
      </c>
      <c r="Y50" s="4"/>
      <c r="Z50" s="4">
        <v>0</v>
      </c>
      <c r="AA50" s="4"/>
      <c r="AB50" s="18"/>
      <c r="AC50" s="18">
        <v>1</v>
      </c>
      <c r="AD50" s="28"/>
      <c r="AE50" s="26"/>
      <c r="AF50" s="28"/>
    </row>
    <row r="51" spans="1:32" ht="12.6" customHeight="1" x14ac:dyDescent="0.25">
      <c r="A51" s="14">
        <v>45662</v>
      </c>
      <c r="B51" s="14" t="s">
        <v>45</v>
      </c>
      <c r="C51" s="15">
        <v>1</v>
      </c>
      <c r="D51" s="16"/>
      <c r="E51" s="16"/>
      <c r="F51" s="17"/>
      <c r="G51" s="21"/>
      <c r="H51" s="21"/>
      <c r="I51" s="4">
        <v>0</v>
      </c>
      <c r="J51" s="4">
        <v>0</v>
      </c>
      <c r="K51" s="4"/>
      <c r="L51" s="16"/>
      <c r="M51" s="4"/>
      <c r="N51" s="4"/>
      <c r="O51" s="4"/>
      <c r="P51" s="4"/>
      <c r="Q51" s="4"/>
      <c r="R51" s="4"/>
      <c r="S51" s="4">
        <v>0</v>
      </c>
      <c r="T51" s="4">
        <v>0</v>
      </c>
      <c r="U51" s="4">
        <v>0</v>
      </c>
      <c r="V51" s="4">
        <v>12</v>
      </c>
      <c r="W51" s="4">
        <v>12</v>
      </c>
      <c r="X51" s="4">
        <v>38</v>
      </c>
      <c r="Y51" s="4">
        <v>1653</v>
      </c>
      <c r="Z51" s="4">
        <v>155.63</v>
      </c>
      <c r="AA51" s="4">
        <v>146</v>
      </c>
      <c r="AB51" s="18">
        <v>398</v>
      </c>
      <c r="AC51" s="18">
        <v>1</v>
      </c>
      <c r="AD51" s="28"/>
      <c r="AE51" s="26"/>
      <c r="AF51" s="28"/>
    </row>
    <row r="52" spans="1:32" ht="12.6" customHeight="1" x14ac:dyDescent="0.25">
      <c r="A52" s="14">
        <v>45662</v>
      </c>
      <c r="B52" s="14" t="s">
        <v>46</v>
      </c>
      <c r="C52" s="15">
        <v>1</v>
      </c>
      <c r="D52" s="16"/>
      <c r="E52" s="16"/>
      <c r="F52" s="17"/>
      <c r="G52" s="21"/>
      <c r="H52" s="21"/>
      <c r="I52" s="4">
        <v>0</v>
      </c>
      <c r="J52" s="4">
        <v>0</v>
      </c>
      <c r="K52" s="4"/>
      <c r="L52" s="16"/>
      <c r="M52" s="4"/>
      <c r="N52" s="4"/>
      <c r="O52" s="4"/>
      <c r="P52" s="4"/>
      <c r="Q52" s="4"/>
      <c r="R52" s="4"/>
      <c r="S52" s="4">
        <v>0</v>
      </c>
      <c r="T52" s="4">
        <v>0</v>
      </c>
      <c r="U52" s="4">
        <v>0</v>
      </c>
      <c r="V52" s="4">
        <v>12</v>
      </c>
      <c r="W52" s="4">
        <v>12</v>
      </c>
      <c r="X52" s="4">
        <v>38</v>
      </c>
      <c r="Y52" s="4"/>
      <c r="Z52" s="4">
        <v>308.12</v>
      </c>
      <c r="AA52" s="4">
        <v>146</v>
      </c>
      <c r="AB52" s="18"/>
      <c r="AC52" s="18">
        <v>1</v>
      </c>
      <c r="AD52" s="28"/>
      <c r="AE52" s="26"/>
      <c r="AF52" s="28"/>
    </row>
    <row r="53" spans="1:32" ht="12.6" customHeight="1" x14ac:dyDescent="0.25">
      <c r="A53" s="14">
        <v>45662</v>
      </c>
      <c r="B53" s="14" t="s">
        <v>45</v>
      </c>
      <c r="C53" s="15">
        <v>2</v>
      </c>
      <c r="D53" s="16"/>
      <c r="E53" s="16"/>
      <c r="F53" s="17"/>
      <c r="G53" s="21"/>
      <c r="H53" s="21"/>
      <c r="I53" s="4">
        <v>0</v>
      </c>
      <c r="J53" s="4">
        <v>0</v>
      </c>
      <c r="K53" s="4"/>
      <c r="L53" s="16"/>
      <c r="M53" s="4">
        <v>120</v>
      </c>
      <c r="N53" s="4"/>
      <c r="O53" s="4"/>
      <c r="P53" s="4"/>
      <c r="Q53" s="4"/>
      <c r="R53" s="4"/>
      <c r="S53" s="4">
        <v>120</v>
      </c>
      <c r="T53" s="4">
        <v>2</v>
      </c>
      <c r="U53" s="4">
        <v>2</v>
      </c>
      <c r="V53" s="4">
        <v>10</v>
      </c>
      <c r="W53" s="4">
        <v>12</v>
      </c>
      <c r="X53" s="4">
        <v>0</v>
      </c>
      <c r="Y53" s="4"/>
      <c r="Z53" s="4">
        <v>100.74</v>
      </c>
      <c r="AA53" s="4">
        <v>58</v>
      </c>
      <c r="AB53" s="18"/>
      <c r="AC53" s="18">
        <v>1</v>
      </c>
      <c r="AD53" s="28"/>
      <c r="AE53" s="26"/>
      <c r="AF53" s="28"/>
    </row>
    <row r="54" spans="1:32" ht="12.6" customHeight="1" x14ac:dyDescent="0.25">
      <c r="A54" s="14">
        <v>45662</v>
      </c>
      <c r="B54" s="14" t="s">
        <v>46</v>
      </c>
      <c r="C54" s="15">
        <v>2</v>
      </c>
      <c r="D54" s="16"/>
      <c r="E54" s="16"/>
      <c r="F54" s="17"/>
      <c r="G54" s="21"/>
      <c r="H54" s="21"/>
      <c r="I54" s="4">
        <v>0</v>
      </c>
      <c r="J54" s="4">
        <v>0</v>
      </c>
      <c r="K54" s="4"/>
      <c r="L54" s="16"/>
      <c r="M54" s="4"/>
      <c r="N54" s="4"/>
      <c r="O54" s="4"/>
      <c r="P54" s="4"/>
      <c r="Q54" s="4"/>
      <c r="R54" s="4"/>
      <c r="S54" s="4">
        <v>0</v>
      </c>
      <c r="T54" s="4">
        <v>0</v>
      </c>
      <c r="U54" s="4">
        <v>0</v>
      </c>
      <c r="V54" s="4">
        <v>12</v>
      </c>
      <c r="W54" s="4">
        <v>12</v>
      </c>
      <c r="X54" s="4">
        <v>0</v>
      </c>
      <c r="Y54" s="4"/>
      <c r="Z54" s="4">
        <v>80.960000000000008</v>
      </c>
      <c r="AA54" s="4">
        <v>58</v>
      </c>
      <c r="AB54" s="18"/>
      <c r="AC54" s="18">
        <v>1</v>
      </c>
      <c r="AD54" s="28"/>
      <c r="AE54" s="26"/>
      <c r="AF54" s="28"/>
    </row>
    <row r="55" spans="1:32" ht="12.6" customHeight="1" x14ac:dyDescent="0.25">
      <c r="A55" s="14">
        <v>45662</v>
      </c>
      <c r="B55" s="14" t="s">
        <v>45</v>
      </c>
      <c r="C55" s="15">
        <v>3</v>
      </c>
      <c r="D55" s="16"/>
      <c r="E55" s="16"/>
      <c r="F55" s="17"/>
      <c r="G55" s="21"/>
      <c r="H55" s="21"/>
      <c r="I55" s="4">
        <v>0</v>
      </c>
      <c r="J55" s="4">
        <v>0</v>
      </c>
      <c r="K55" s="4"/>
      <c r="L55" s="16"/>
      <c r="M55" s="4"/>
      <c r="N55" s="4"/>
      <c r="O55" s="4"/>
      <c r="P55" s="4"/>
      <c r="Q55" s="4"/>
      <c r="R55" s="4"/>
      <c r="S55" s="4">
        <v>0</v>
      </c>
      <c r="T55" s="4">
        <v>0</v>
      </c>
      <c r="U55" s="4">
        <v>0</v>
      </c>
      <c r="V55" s="4">
        <v>0</v>
      </c>
      <c r="W55" s="4"/>
      <c r="X55" s="4">
        <v>0</v>
      </c>
      <c r="Y55" s="4"/>
      <c r="Z55" s="4">
        <v>0</v>
      </c>
      <c r="AA55" s="4">
        <v>239</v>
      </c>
      <c r="AB55" s="18"/>
      <c r="AC55" s="18">
        <v>1</v>
      </c>
      <c r="AD55" s="28"/>
      <c r="AE55" s="26"/>
      <c r="AF55" s="28"/>
    </row>
    <row r="56" spans="1:32" ht="12.6" customHeight="1" x14ac:dyDescent="0.25">
      <c r="A56" s="14">
        <v>45662</v>
      </c>
      <c r="B56" s="14" t="s">
        <v>46</v>
      </c>
      <c r="C56" s="15">
        <v>3</v>
      </c>
      <c r="D56" s="16"/>
      <c r="E56" s="16"/>
      <c r="F56" s="17"/>
      <c r="G56" s="21"/>
      <c r="H56" s="21"/>
      <c r="I56" s="4">
        <v>0</v>
      </c>
      <c r="J56" s="4">
        <v>0</v>
      </c>
      <c r="K56" s="4"/>
      <c r="L56" s="16"/>
      <c r="M56" s="4"/>
      <c r="N56" s="4"/>
      <c r="O56" s="4"/>
      <c r="P56" s="4"/>
      <c r="Q56" s="4"/>
      <c r="R56" s="4"/>
      <c r="S56" s="4">
        <v>0</v>
      </c>
      <c r="T56" s="4">
        <v>0</v>
      </c>
      <c r="U56" s="4">
        <v>0</v>
      </c>
      <c r="V56" s="4">
        <v>0</v>
      </c>
      <c r="W56" s="4"/>
      <c r="X56" s="4">
        <v>0</v>
      </c>
      <c r="Y56" s="4"/>
      <c r="Z56" s="4">
        <v>0</v>
      </c>
      <c r="AA56" s="4">
        <v>239</v>
      </c>
      <c r="AB56" s="18"/>
      <c r="AC56" s="18">
        <v>1</v>
      </c>
      <c r="AD56" s="28"/>
      <c r="AE56" s="26"/>
      <c r="AF56" s="28"/>
    </row>
    <row r="57" spans="1:32" ht="12.6" customHeight="1" x14ac:dyDescent="0.25">
      <c r="A57" s="14">
        <v>45662</v>
      </c>
      <c r="B57" s="14" t="s">
        <v>45</v>
      </c>
      <c r="C57" s="15">
        <v>4</v>
      </c>
      <c r="D57" s="16"/>
      <c r="E57" s="16"/>
      <c r="F57" s="17"/>
      <c r="G57" s="21"/>
      <c r="H57" s="21"/>
      <c r="I57" s="4">
        <v>0</v>
      </c>
      <c r="J57" s="4">
        <v>0</v>
      </c>
      <c r="K57" s="4"/>
      <c r="L57" s="16"/>
      <c r="M57" s="4"/>
      <c r="N57" s="4"/>
      <c r="O57" s="4"/>
      <c r="P57" s="4"/>
      <c r="Q57" s="4"/>
      <c r="R57" s="4"/>
      <c r="S57" s="4">
        <v>0</v>
      </c>
      <c r="T57" s="4">
        <v>0</v>
      </c>
      <c r="U57" s="4">
        <v>0</v>
      </c>
      <c r="V57" s="4">
        <v>12</v>
      </c>
      <c r="W57" s="4">
        <v>12</v>
      </c>
      <c r="X57" s="4">
        <v>0</v>
      </c>
      <c r="Y57" s="4"/>
      <c r="Z57" s="4">
        <v>751.23</v>
      </c>
      <c r="AA57" s="4">
        <v>797</v>
      </c>
      <c r="AB57" s="18"/>
      <c r="AC57" s="18">
        <v>1</v>
      </c>
      <c r="AD57" s="28"/>
      <c r="AE57" s="26"/>
      <c r="AF57" s="28"/>
    </row>
    <row r="58" spans="1:32" ht="12.6" customHeight="1" x14ac:dyDescent="0.25">
      <c r="A58" s="14">
        <v>45662</v>
      </c>
      <c r="B58" s="14" t="s">
        <v>46</v>
      </c>
      <c r="C58" s="15">
        <v>4</v>
      </c>
      <c r="D58" s="16">
        <v>30</v>
      </c>
      <c r="E58" s="16"/>
      <c r="F58" s="17"/>
      <c r="G58" s="21"/>
      <c r="H58" s="21"/>
      <c r="I58" s="4">
        <v>30</v>
      </c>
      <c r="J58" s="4">
        <v>0.5</v>
      </c>
      <c r="K58" s="4"/>
      <c r="L58" s="16"/>
      <c r="M58" s="4"/>
      <c r="N58" s="4"/>
      <c r="O58" s="4"/>
      <c r="P58" s="4"/>
      <c r="Q58" s="4"/>
      <c r="R58" s="4"/>
      <c r="S58" s="4">
        <v>0</v>
      </c>
      <c r="T58" s="4">
        <v>0</v>
      </c>
      <c r="U58" s="4">
        <v>0.5</v>
      </c>
      <c r="V58" s="4">
        <v>11.5</v>
      </c>
      <c r="W58" s="4">
        <v>12</v>
      </c>
      <c r="X58" s="4">
        <v>0</v>
      </c>
      <c r="Y58" s="4"/>
      <c r="Z58" s="4">
        <v>832.82999999999993</v>
      </c>
      <c r="AA58" s="4">
        <v>797</v>
      </c>
      <c r="AB58" s="18"/>
      <c r="AC58" s="18">
        <v>1</v>
      </c>
      <c r="AD58" s="28"/>
      <c r="AE58" s="26"/>
      <c r="AF58" s="28"/>
    </row>
    <row r="59" spans="1:32" ht="12.6" customHeight="1" x14ac:dyDescent="0.25">
      <c r="A59" s="14">
        <v>45662</v>
      </c>
      <c r="B59" s="14" t="s">
        <v>45</v>
      </c>
      <c r="C59" s="15">
        <v>5</v>
      </c>
      <c r="D59" s="16"/>
      <c r="E59" s="16"/>
      <c r="F59" s="17"/>
      <c r="G59" s="21"/>
      <c r="H59" s="21"/>
      <c r="I59" s="4">
        <v>0</v>
      </c>
      <c r="J59" s="4">
        <v>0</v>
      </c>
      <c r="K59" s="4"/>
      <c r="L59" s="16"/>
      <c r="M59" s="4"/>
      <c r="N59" s="4"/>
      <c r="O59" s="4"/>
      <c r="P59" s="4"/>
      <c r="Q59" s="4"/>
      <c r="R59" s="4"/>
      <c r="S59" s="4">
        <v>0</v>
      </c>
      <c r="T59" s="4">
        <v>0</v>
      </c>
      <c r="U59" s="4">
        <v>0</v>
      </c>
      <c r="V59" s="4">
        <v>12</v>
      </c>
      <c r="W59" s="4">
        <v>12</v>
      </c>
      <c r="X59" s="4">
        <v>0</v>
      </c>
      <c r="Y59" s="4"/>
      <c r="Z59" s="4">
        <v>381.21000000000004</v>
      </c>
      <c r="AA59" s="4">
        <v>379</v>
      </c>
      <c r="AB59" s="18"/>
      <c r="AC59" s="18">
        <v>1</v>
      </c>
      <c r="AD59" s="28"/>
      <c r="AE59" s="26"/>
      <c r="AF59" s="28"/>
    </row>
    <row r="60" spans="1:32" ht="12.6" customHeight="1" x14ac:dyDescent="0.25">
      <c r="A60" s="14">
        <v>45662</v>
      </c>
      <c r="B60" s="14" t="s">
        <v>46</v>
      </c>
      <c r="C60" s="15">
        <v>5</v>
      </c>
      <c r="D60" s="16"/>
      <c r="E60" s="16"/>
      <c r="F60" s="17"/>
      <c r="G60" s="21"/>
      <c r="H60" s="21"/>
      <c r="I60" s="4">
        <v>0</v>
      </c>
      <c r="J60" s="4">
        <v>0</v>
      </c>
      <c r="K60" s="4"/>
      <c r="L60" s="16"/>
      <c r="M60" s="4"/>
      <c r="N60" s="4"/>
      <c r="O60" s="4"/>
      <c r="P60" s="4"/>
      <c r="Q60" s="4"/>
      <c r="R60" s="4"/>
      <c r="S60" s="4">
        <v>0</v>
      </c>
      <c r="T60" s="4">
        <v>0</v>
      </c>
      <c r="U60" s="4">
        <v>0</v>
      </c>
      <c r="V60" s="4">
        <v>12</v>
      </c>
      <c r="W60" s="4">
        <v>12</v>
      </c>
      <c r="X60" s="4">
        <v>0</v>
      </c>
      <c r="Y60" s="4"/>
      <c r="Z60" s="4">
        <v>253.16000000000003</v>
      </c>
      <c r="AA60" s="4">
        <v>379</v>
      </c>
      <c r="AB60" s="18"/>
      <c r="AC60" s="18">
        <v>1</v>
      </c>
      <c r="AD60" s="28"/>
      <c r="AE60" s="26"/>
      <c r="AF60" s="28"/>
    </row>
    <row r="61" spans="1:32" ht="12.6" customHeight="1" x14ac:dyDescent="0.25">
      <c r="A61" s="14">
        <v>45662</v>
      </c>
      <c r="B61" s="14" t="s">
        <v>45</v>
      </c>
      <c r="C61" s="15">
        <v>6</v>
      </c>
      <c r="D61" s="16"/>
      <c r="E61" s="16"/>
      <c r="F61" s="17"/>
      <c r="G61" s="21"/>
      <c r="H61" s="21"/>
      <c r="I61" s="4">
        <v>0</v>
      </c>
      <c r="J61" s="4">
        <v>0</v>
      </c>
      <c r="K61" s="4"/>
      <c r="L61" s="16"/>
      <c r="M61" s="4"/>
      <c r="N61" s="4"/>
      <c r="O61" s="4"/>
      <c r="P61" s="4"/>
      <c r="Q61" s="4"/>
      <c r="R61" s="4"/>
      <c r="S61" s="4">
        <v>0</v>
      </c>
      <c r="T61" s="4">
        <v>0</v>
      </c>
      <c r="U61" s="4">
        <v>0</v>
      </c>
      <c r="V61" s="4">
        <v>0</v>
      </c>
      <c r="W61" s="4"/>
      <c r="X61" s="4">
        <v>0</v>
      </c>
      <c r="Y61" s="4"/>
      <c r="Z61" s="4">
        <v>0</v>
      </c>
      <c r="AA61" s="4"/>
      <c r="AB61" s="18"/>
      <c r="AC61" s="18">
        <v>1</v>
      </c>
      <c r="AD61" s="28"/>
      <c r="AE61" s="26"/>
      <c r="AF61" s="28"/>
    </row>
    <row r="62" spans="1:32" ht="12.6" customHeight="1" x14ac:dyDescent="0.25">
      <c r="A62" s="14">
        <v>45662</v>
      </c>
      <c r="B62" s="14" t="s">
        <v>46</v>
      </c>
      <c r="C62" s="15">
        <v>6</v>
      </c>
      <c r="D62" s="16"/>
      <c r="E62" s="16"/>
      <c r="F62" s="17"/>
      <c r="G62" s="21"/>
      <c r="H62" s="21"/>
      <c r="I62" s="4">
        <v>0</v>
      </c>
      <c r="J62" s="4">
        <v>0</v>
      </c>
      <c r="K62" s="4"/>
      <c r="L62" s="16"/>
      <c r="M62" s="4"/>
      <c r="N62" s="4"/>
      <c r="O62" s="4"/>
      <c r="P62" s="4"/>
      <c r="Q62" s="4"/>
      <c r="R62" s="4"/>
      <c r="S62" s="4">
        <v>0</v>
      </c>
      <c r="T62" s="4">
        <v>0</v>
      </c>
      <c r="U62" s="4">
        <v>0</v>
      </c>
      <c r="V62" s="4">
        <v>0</v>
      </c>
      <c r="W62" s="4"/>
      <c r="X62" s="4">
        <v>0</v>
      </c>
      <c r="Y62" s="4"/>
      <c r="Z62" s="4">
        <v>0</v>
      </c>
      <c r="AA62" s="4"/>
      <c r="AB62" s="18"/>
      <c r="AC62" s="18">
        <v>1</v>
      </c>
      <c r="AD62" s="28"/>
      <c r="AE62" s="26"/>
      <c r="AF62" s="28"/>
    </row>
    <row r="63" spans="1:32" ht="12.6" customHeight="1" x14ac:dyDescent="0.25">
      <c r="A63" s="14">
        <v>45663</v>
      </c>
      <c r="B63" s="14" t="s">
        <v>45</v>
      </c>
      <c r="C63" s="15">
        <v>1</v>
      </c>
      <c r="D63" s="16"/>
      <c r="E63" s="16"/>
      <c r="F63" s="17"/>
      <c r="G63" s="21"/>
      <c r="H63" s="21"/>
      <c r="I63" s="4">
        <v>0</v>
      </c>
      <c r="J63" s="4">
        <v>0</v>
      </c>
      <c r="K63" s="4">
        <v>90</v>
      </c>
      <c r="L63" s="16"/>
      <c r="M63" s="4"/>
      <c r="N63" s="4"/>
      <c r="O63" s="4"/>
      <c r="P63" s="4"/>
      <c r="Q63" s="4"/>
      <c r="R63" s="4"/>
      <c r="S63" s="4">
        <v>90</v>
      </c>
      <c r="T63" s="4">
        <v>1.5</v>
      </c>
      <c r="U63" s="4">
        <v>1.5</v>
      </c>
      <c r="V63" s="4">
        <v>10.5</v>
      </c>
      <c r="W63" s="4">
        <v>12</v>
      </c>
      <c r="X63" s="4">
        <v>44</v>
      </c>
      <c r="Y63" s="4">
        <v>2000</v>
      </c>
      <c r="Z63" s="4">
        <v>191.24</v>
      </c>
      <c r="AA63" s="4">
        <v>3900</v>
      </c>
      <c r="AB63" s="18">
        <v>398</v>
      </c>
      <c r="AC63" s="18">
        <v>2</v>
      </c>
      <c r="AD63" s="28"/>
      <c r="AE63" s="26"/>
      <c r="AF63" s="28"/>
    </row>
    <row r="64" spans="1:32" ht="12.6" customHeight="1" x14ac:dyDescent="0.25">
      <c r="A64" s="14">
        <v>45663</v>
      </c>
      <c r="B64" s="14" t="s">
        <v>46</v>
      </c>
      <c r="C64" s="15">
        <v>1</v>
      </c>
      <c r="D64" s="16"/>
      <c r="E64" s="16"/>
      <c r="F64" s="17"/>
      <c r="G64" s="21"/>
      <c r="H64" s="21"/>
      <c r="I64" s="4">
        <v>0</v>
      </c>
      <c r="J64" s="4">
        <v>0</v>
      </c>
      <c r="K64" s="4"/>
      <c r="L64" s="16"/>
      <c r="M64" s="4"/>
      <c r="N64" s="4"/>
      <c r="O64" s="4"/>
      <c r="P64" s="4"/>
      <c r="Q64" s="4"/>
      <c r="R64" s="4"/>
      <c r="S64" s="4">
        <v>0</v>
      </c>
      <c r="T64" s="4">
        <v>0</v>
      </c>
      <c r="U64" s="4">
        <v>0</v>
      </c>
      <c r="V64" s="4">
        <v>12</v>
      </c>
      <c r="W64" s="4">
        <v>12</v>
      </c>
      <c r="X64" s="4">
        <v>44</v>
      </c>
      <c r="Y64" s="4"/>
      <c r="Z64" s="4">
        <v>164.57</v>
      </c>
      <c r="AA64" s="4"/>
      <c r="AB64" s="18"/>
      <c r="AC64" s="18">
        <v>2</v>
      </c>
      <c r="AD64" s="28"/>
      <c r="AE64" s="26"/>
      <c r="AF64" s="28"/>
    </row>
    <row r="65" spans="1:32" ht="12.6" customHeight="1" x14ac:dyDescent="0.25">
      <c r="A65" s="14">
        <v>45663</v>
      </c>
      <c r="B65" s="14" t="s">
        <v>45</v>
      </c>
      <c r="C65" s="15">
        <v>2</v>
      </c>
      <c r="D65" s="16"/>
      <c r="E65" s="16"/>
      <c r="F65" s="17"/>
      <c r="G65" s="21"/>
      <c r="H65" s="21"/>
      <c r="I65" s="4">
        <v>0</v>
      </c>
      <c r="J65" s="4">
        <v>0</v>
      </c>
      <c r="K65" s="4"/>
      <c r="L65" s="16"/>
      <c r="M65" s="4"/>
      <c r="N65" s="4"/>
      <c r="O65" s="4"/>
      <c r="P65" s="4"/>
      <c r="Q65" s="4"/>
      <c r="R65" s="4"/>
      <c r="S65" s="4">
        <v>0</v>
      </c>
      <c r="T65" s="4">
        <v>0</v>
      </c>
      <c r="U65" s="4">
        <v>0</v>
      </c>
      <c r="V65" s="4">
        <v>12</v>
      </c>
      <c r="W65" s="4">
        <v>12</v>
      </c>
      <c r="X65" s="4">
        <v>0</v>
      </c>
      <c r="Y65" s="4"/>
      <c r="Z65" s="4">
        <v>136.63999999999999</v>
      </c>
      <c r="AA65" s="4"/>
      <c r="AB65" s="18"/>
      <c r="AC65" s="18">
        <v>2</v>
      </c>
      <c r="AD65" s="28"/>
      <c r="AE65" s="26"/>
      <c r="AF65" s="28"/>
    </row>
    <row r="66" spans="1:32" ht="12.6" customHeight="1" x14ac:dyDescent="0.25">
      <c r="A66" s="14">
        <v>45663</v>
      </c>
      <c r="B66" s="14" t="s">
        <v>46</v>
      </c>
      <c r="C66" s="15">
        <v>2</v>
      </c>
      <c r="D66" s="16"/>
      <c r="E66" s="16"/>
      <c r="F66" s="17"/>
      <c r="G66" s="21"/>
      <c r="H66" s="21"/>
      <c r="I66" s="4">
        <v>0</v>
      </c>
      <c r="J66" s="4">
        <v>0</v>
      </c>
      <c r="K66" s="4"/>
      <c r="L66" s="16"/>
      <c r="M66" s="4"/>
      <c r="N66" s="4"/>
      <c r="O66" s="4"/>
      <c r="P66" s="4"/>
      <c r="Q66" s="4"/>
      <c r="R66" s="4"/>
      <c r="S66" s="4">
        <v>0</v>
      </c>
      <c r="T66" s="4">
        <v>0</v>
      </c>
      <c r="U66" s="4">
        <v>0</v>
      </c>
      <c r="V66" s="4">
        <v>12</v>
      </c>
      <c r="W66" s="4">
        <v>12</v>
      </c>
      <c r="X66" s="4">
        <v>0</v>
      </c>
      <c r="Y66" s="4"/>
      <c r="Z66" s="4">
        <v>135.43</v>
      </c>
      <c r="AA66" s="4"/>
      <c r="AB66" s="18"/>
      <c r="AC66" s="18">
        <v>2</v>
      </c>
      <c r="AD66" s="28"/>
      <c r="AE66" s="26"/>
      <c r="AF66" s="28"/>
    </row>
    <row r="67" spans="1:32" ht="12.6" customHeight="1" x14ac:dyDescent="0.25">
      <c r="A67" s="14">
        <v>45663</v>
      </c>
      <c r="B67" s="14" t="s">
        <v>45</v>
      </c>
      <c r="C67" s="15">
        <v>3</v>
      </c>
      <c r="D67" s="16">
        <v>40</v>
      </c>
      <c r="E67" s="16"/>
      <c r="F67" s="17"/>
      <c r="G67" s="21"/>
      <c r="H67" s="21"/>
      <c r="I67" s="4">
        <v>40</v>
      </c>
      <c r="J67" s="4">
        <v>0.66666666666666663</v>
      </c>
      <c r="K67" s="4"/>
      <c r="L67" s="16"/>
      <c r="M67" s="4"/>
      <c r="N67" s="4"/>
      <c r="O67" s="4"/>
      <c r="P67" s="4"/>
      <c r="Q67" s="4"/>
      <c r="R67" s="4"/>
      <c r="S67" s="4">
        <v>0</v>
      </c>
      <c r="T67" s="4">
        <v>0</v>
      </c>
      <c r="U67" s="4">
        <v>0.66666666666666663</v>
      </c>
      <c r="V67" s="4">
        <v>11.333333333333334</v>
      </c>
      <c r="W67" s="4">
        <v>12</v>
      </c>
      <c r="X67" s="4">
        <v>0</v>
      </c>
      <c r="Y67" s="4"/>
      <c r="Z67" s="4">
        <v>247.76000000000002</v>
      </c>
      <c r="AA67" s="4"/>
      <c r="AB67" s="18"/>
      <c r="AC67" s="18">
        <v>2</v>
      </c>
      <c r="AD67" s="28"/>
      <c r="AE67" s="26"/>
      <c r="AF67" s="28"/>
    </row>
    <row r="68" spans="1:32" ht="12.6" customHeight="1" x14ac:dyDescent="0.25">
      <c r="A68" s="14">
        <v>45663</v>
      </c>
      <c r="B68" s="14" t="s">
        <v>46</v>
      </c>
      <c r="C68" s="15">
        <v>3</v>
      </c>
      <c r="D68" s="16"/>
      <c r="E68" s="16"/>
      <c r="F68" s="17"/>
      <c r="G68" s="21"/>
      <c r="H68" s="21"/>
      <c r="I68" s="4">
        <v>0</v>
      </c>
      <c r="J68" s="4">
        <v>0</v>
      </c>
      <c r="K68" s="4"/>
      <c r="L68" s="16"/>
      <c r="M68" s="4"/>
      <c r="N68" s="4"/>
      <c r="O68" s="4"/>
      <c r="P68" s="4"/>
      <c r="Q68" s="4"/>
      <c r="R68" s="4"/>
      <c r="S68" s="4">
        <v>0</v>
      </c>
      <c r="T68" s="4">
        <v>0</v>
      </c>
      <c r="U68" s="4">
        <v>0</v>
      </c>
      <c r="V68" s="4">
        <v>12</v>
      </c>
      <c r="W68" s="4">
        <v>12</v>
      </c>
      <c r="X68" s="4">
        <v>0</v>
      </c>
      <c r="Y68" s="4"/>
      <c r="Z68" s="4">
        <v>270.19</v>
      </c>
      <c r="AA68" s="4"/>
      <c r="AB68" s="18"/>
      <c r="AC68" s="18">
        <v>2</v>
      </c>
      <c r="AD68" s="28"/>
      <c r="AE68" s="26"/>
      <c r="AF68" s="28"/>
    </row>
    <row r="69" spans="1:32" ht="12.6" customHeight="1" x14ac:dyDescent="0.25">
      <c r="A69" s="14">
        <v>45663</v>
      </c>
      <c r="B69" s="14" t="s">
        <v>45</v>
      </c>
      <c r="C69" s="15">
        <v>4</v>
      </c>
      <c r="D69" s="16">
        <v>30</v>
      </c>
      <c r="E69" s="16"/>
      <c r="F69" s="17"/>
      <c r="G69" s="21"/>
      <c r="H69" s="21"/>
      <c r="I69" s="4">
        <v>30</v>
      </c>
      <c r="J69" s="4">
        <v>0.5</v>
      </c>
      <c r="K69" s="4"/>
      <c r="L69" s="16"/>
      <c r="M69" s="4"/>
      <c r="N69" s="4"/>
      <c r="O69" s="4"/>
      <c r="P69" s="4"/>
      <c r="Q69" s="4"/>
      <c r="R69" s="4"/>
      <c r="S69" s="4">
        <v>0</v>
      </c>
      <c r="T69" s="4">
        <v>0</v>
      </c>
      <c r="U69" s="4">
        <v>0.5</v>
      </c>
      <c r="V69" s="4">
        <v>11.5</v>
      </c>
      <c r="W69" s="4">
        <v>12</v>
      </c>
      <c r="X69" s="4">
        <v>0</v>
      </c>
      <c r="Y69" s="4"/>
      <c r="Z69" s="4">
        <v>895.62999999999988</v>
      </c>
      <c r="AA69" s="4"/>
      <c r="AB69" s="18"/>
      <c r="AC69" s="18">
        <v>2</v>
      </c>
      <c r="AD69" s="28"/>
      <c r="AE69" s="26"/>
      <c r="AF69" s="28"/>
    </row>
    <row r="70" spans="1:32" ht="12.6" customHeight="1" x14ac:dyDescent="0.25">
      <c r="A70" s="14">
        <v>45663</v>
      </c>
      <c r="B70" s="14" t="s">
        <v>46</v>
      </c>
      <c r="C70" s="15">
        <v>4</v>
      </c>
      <c r="D70" s="16"/>
      <c r="E70" s="16"/>
      <c r="F70" s="17"/>
      <c r="G70" s="21"/>
      <c r="H70" s="21"/>
      <c r="I70" s="4">
        <v>0</v>
      </c>
      <c r="J70" s="4">
        <v>0</v>
      </c>
      <c r="K70" s="4">
        <v>90</v>
      </c>
      <c r="L70" s="16"/>
      <c r="M70" s="4"/>
      <c r="N70" s="4"/>
      <c r="O70" s="4"/>
      <c r="P70" s="4"/>
      <c r="Q70" s="4"/>
      <c r="R70" s="4"/>
      <c r="S70" s="4">
        <v>90</v>
      </c>
      <c r="T70" s="4">
        <v>1.5</v>
      </c>
      <c r="U70" s="4">
        <v>1.5</v>
      </c>
      <c r="V70" s="4">
        <v>10.5</v>
      </c>
      <c r="W70" s="4">
        <v>12</v>
      </c>
      <c r="X70" s="4">
        <v>0</v>
      </c>
      <c r="Y70" s="4"/>
      <c r="Z70" s="4">
        <v>757.71999999999991</v>
      </c>
      <c r="AA70" s="4"/>
      <c r="AB70" s="18"/>
      <c r="AC70" s="18">
        <v>2</v>
      </c>
      <c r="AD70" s="28"/>
      <c r="AE70" s="26"/>
      <c r="AF70" s="28"/>
    </row>
    <row r="71" spans="1:32" ht="12.6" customHeight="1" x14ac:dyDescent="0.25">
      <c r="A71" s="14">
        <v>45663</v>
      </c>
      <c r="B71" s="14" t="s">
        <v>45</v>
      </c>
      <c r="C71" s="15">
        <v>5</v>
      </c>
      <c r="D71" s="16"/>
      <c r="E71" s="16"/>
      <c r="F71" s="17"/>
      <c r="G71" s="21"/>
      <c r="H71" s="21"/>
      <c r="I71" s="4">
        <v>0</v>
      </c>
      <c r="J71" s="4">
        <v>0</v>
      </c>
      <c r="K71" s="4"/>
      <c r="L71" s="16"/>
      <c r="M71" s="4">
        <v>60</v>
      </c>
      <c r="N71" s="4"/>
      <c r="O71" s="4"/>
      <c r="P71" s="4"/>
      <c r="Q71" s="4"/>
      <c r="R71" s="4"/>
      <c r="S71" s="4">
        <v>60</v>
      </c>
      <c r="T71" s="4">
        <v>1</v>
      </c>
      <c r="U71" s="4">
        <v>1</v>
      </c>
      <c r="V71" s="4">
        <v>11</v>
      </c>
      <c r="W71" s="4">
        <v>12</v>
      </c>
      <c r="X71" s="4">
        <v>0</v>
      </c>
      <c r="Y71" s="4"/>
      <c r="Z71" s="4">
        <v>207.11</v>
      </c>
      <c r="AA71" s="4"/>
      <c r="AB71" s="18"/>
      <c r="AC71" s="18">
        <v>2</v>
      </c>
      <c r="AD71" s="28"/>
      <c r="AE71" s="26"/>
      <c r="AF71" s="28"/>
    </row>
    <row r="72" spans="1:32" ht="12.6" customHeight="1" x14ac:dyDescent="0.25">
      <c r="A72" s="14">
        <v>45663</v>
      </c>
      <c r="B72" s="14" t="s">
        <v>46</v>
      </c>
      <c r="C72" s="15">
        <v>5</v>
      </c>
      <c r="D72" s="16"/>
      <c r="E72" s="16"/>
      <c r="F72" s="17"/>
      <c r="G72" s="21"/>
      <c r="H72" s="21"/>
      <c r="I72" s="4">
        <v>0</v>
      </c>
      <c r="J72" s="4">
        <v>0</v>
      </c>
      <c r="K72" s="4"/>
      <c r="L72" s="16"/>
      <c r="M72" s="4"/>
      <c r="N72" s="4"/>
      <c r="O72" s="4"/>
      <c r="P72" s="4"/>
      <c r="Q72" s="4"/>
      <c r="R72" s="4"/>
      <c r="S72" s="4">
        <v>0</v>
      </c>
      <c r="T72" s="4">
        <v>0</v>
      </c>
      <c r="U72" s="4">
        <v>0</v>
      </c>
      <c r="V72" s="4">
        <v>12</v>
      </c>
      <c r="W72" s="4">
        <v>12</v>
      </c>
      <c r="X72" s="4">
        <v>0</v>
      </c>
      <c r="Y72" s="4"/>
      <c r="Z72" s="4">
        <v>617.28</v>
      </c>
      <c r="AA72" s="4"/>
      <c r="AB72" s="18"/>
      <c r="AC72" s="18">
        <v>2</v>
      </c>
      <c r="AD72" s="28"/>
      <c r="AE72" s="26"/>
      <c r="AF72" s="28"/>
    </row>
    <row r="73" spans="1:32" ht="12.6" customHeight="1" x14ac:dyDescent="0.25">
      <c r="A73" s="14">
        <v>45663</v>
      </c>
      <c r="B73" s="14" t="s">
        <v>45</v>
      </c>
      <c r="C73" s="15">
        <v>6</v>
      </c>
      <c r="D73" s="16"/>
      <c r="E73" s="16"/>
      <c r="F73" s="17"/>
      <c r="G73" s="21"/>
      <c r="H73" s="21"/>
      <c r="I73" s="4">
        <v>0</v>
      </c>
      <c r="J73" s="4">
        <v>0</v>
      </c>
      <c r="K73" s="4"/>
      <c r="L73" s="16"/>
      <c r="M73" s="4"/>
      <c r="N73" s="4"/>
      <c r="O73" s="4"/>
      <c r="P73" s="4"/>
      <c r="Q73" s="4"/>
      <c r="R73" s="4"/>
      <c r="S73" s="4">
        <v>0</v>
      </c>
      <c r="T73" s="4">
        <v>0</v>
      </c>
      <c r="U73" s="4">
        <v>0</v>
      </c>
      <c r="V73" s="4">
        <v>0</v>
      </c>
      <c r="W73" s="4"/>
      <c r="X73" s="4">
        <v>0</v>
      </c>
      <c r="Y73" s="4"/>
      <c r="Z73" s="4">
        <v>0</v>
      </c>
      <c r="AA73" s="4"/>
      <c r="AB73" s="18"/>
      <c r="AC73" s="18">
        <v>2</v>
      </c>
      <c r="AD73" s="28"/>
      <c r="AE73" s="26"/>
      <c r="AF73" s="28"/>
    </row>
    <row r="74" spans="1:32" ht="12.6" customHeight="1" x14ac:dyDescent="0.25">
      <c r="A74" s="14">
        <v>45663</v>
      </c>
      <c r="B74" s="14" t="s">
        <v>46</v>
      </c>
      <c r="C74" s="15">
        <v>6</v>
      </c>
      <c r="D74" s="16"/>
      <c r="E74" s="16"/>
      <c r="F74" s="17"/>
      <c r="G74" s="21"/>
      <c r="H74" s="21"/>
      <c r="I74" s="4">
        <v>0</v>
      </c>
      <c r="J74" s="4">
        <v>0</v>
      </c>
      <c r="K74" s="4"/>
      <c r="L74" s="16"/>
      <c r="M74" s="4"/>
      <c r="N74" s="4"/>
      <c r="O74" s="4"/>
      <c r="P74" s="4"/>
      <c r="Q74" s="4"/>
      <c r="R74" s="4"/>
      <c r="S74" s="4">
        <v>0</v>
      </c>
      <c r="T74" s="4">
        <v>0</v>
      </c>
      <c r="U74" s="4">
        <v>0</v>
      </c>
      <c r="V74" s="4">
        <v>0</v>
      </c>
      <c r="W74" s="4"/>
      <c r="X74" s="4">
        <v>0</v>
      </c>
      <c r="Y74" s="4"/>
      <c r="Z74" s="4">
        <v>0</v>
      </c>
      <c r="AA74" s="4"/>
      <c r="AB74" s="18"/>
      <c r="AC74" s="18">
        <v>2</v>
      </c>
      <c r="AD74" s="28"/>
      <c r="AE74" s="26"/>
      <c r="AF74" s="28"/>
    </row>
    <row r="75" spans="1:32" ht="12.6" customHeight="1" x14ac:dyDescent="0.25">
      <c r="A75" s="14">
        <v>45664</v>
      </c>
      <c r="B75" s="14" t="s">
        <v>45</v>
      </c>
      <c r="C75" s="15">
        <v>1</v>
      </c>
      <c r="D75" s="16"/>
      <c r="E75" s="16"/>
      <c r="F75" s="17"/>
      <c r="G75" s="21"/>
      <c r="H75" s="21"/>
      <c r="I75" s="4">
        <v>0</v>
      </c>
      <c r="J75" s="4">
        <v>0</v>
      </c>
      <c r="K75" s="4"/>
      <c r="L75" s="16"/>
      <c r="M75" s="4"/>
      <c r="N75" s="4"/>
      <c r="O75" s="4"/>
      <c r="P75" s="4"/>
      <c r="Q75" s="4"/>
      <c r="R75" s="4"/>
      <c r="S75" s="4">
        <v>0</v>
      </c>
      <c r="T75" s="4">
        <v>0</v>
      </c>
      <c r="U75" s="4">
        <v>0</v>
      </c>
      <c r="V75" s="4">
        <v>12</v>
      </c>
      <c r="W75" s="4">
        <v>12</v>
      </c>
      <c r="X75" s="4">
        <v>30</v>
      </c>
      <c r="Y75" s="4">
        <v>2163</v>
      </c>
      <c r="Z75" s="4">
        <v>186.47</v>
      </c>
      <c r="AA75" s="4">
        <v>3900</v>
      </c>
      <c r="AB75" s="18">
        <v>398</v>
      </c>
      <c r="AC75" s="18">
        <v>2</v>
      </c>
      <c r="AD75" s="28"/>
      <c r="AE75" s="26"/>
      <c r="AF75" s="28"/>
    </row>
    <row r="76" spans="1:32" ht="12.6" customHeight="1" x14ac:dyDescent="0.25">
      <c r="A76" s="14">
        <v>45664</v>
      </c>
      <c r="B76" s="14" t="s">
        <v>46</v>
      </c>
      <c r="C76" s="15">
        <v>1</v>
      </c>
      <c r="D76" s="16"/>
      <c r="E76" s="16"/>
      <c r="F76" s="17"/>
      <c r="G76" s="21"/>
      <c r="H76" s="21"/>
      <c r="I76" s="4">
        <v>0</v>
      </c>
      <c r="J76" s="4">
        <v>0</v>
      </c>
      <c r="K76" s="4"/>
      <c r="L76" s="16"/>
      <c r="M76" s="4"/>
      <c r="N76" s="4"/>
      <c r="O76" s="4"/>
      <c r="P76" s="4"/>
      <c r="Q76" s="4"/>
      <c r="R76" s="4"/>
      <c r="S76" s="4">
        <v>0</v>
      </c>
      <c r="T76" s="4">
        <v>0</v>
      </c>
      <c r="U76" s="4">
        <v>0</v>
      </c>
      <c r="V76" s="4">
        <v>12</v>
      </c>
      <c r="W76" s="4">
        <v>12</v>
      </c>
      <c r="X76" s="4">
        <v>102</v>
      </c>
      <c r="Y76" s="4"/>
      <c r="Z76" s="4">
        <v>180.26000000000002</v>
      </c>
      <c r="AA76" s="4"/>
      <c r="AB76" s="18"/>
      <c r="AC76" s="18">
        <v>2</v>
      </c>
      <c r="AD76" s="28"/>
      <c r="AE76" s="26"/>
      <c r="AF76" s="28"/>
    </row>
    <row r="77" spans="1:32" ht="12.6" customHeight="1" x14ac:dyDescent="0.25">
      <c r="A77" s="14">
        <v>45664</v>
      </c>
      <c r="B77" s="14" t="s">
        <v>45</v>
      </c>
      <c r="C77" s="15">
        <v>2</v>
      </c>
      <c r="D77" s="16"/>
      <c r="E77" s="16"/>
      <c r="F77" s="17"/>
      <c r="G77" s="21"/>
      <c r="H77" s="21"/>
      <c r="I77" s="4">
        <v>0</v>
      </c>
      <c r="J77" s="4">
        <v>0</v>
      </c>
      <c r="K77" s="4"/>
      <c r="L77" s="16"/>
      <c r="M77" s="4"/>
      <c r="N77" s="4"/>
      <c r="O77" s="4"/>
      <c r="P77" s="4"/>
      <c r="Q77" s="4"/>
      <c r="R77" s="4"/>
      <c r="S77" s="4">
        <v>0</v>
      </c>
      <c r="T77" s="4">
        <v>0</v>
      </c>
      <c r="U77" s="4">
        <v>0</v>
      </c>
      <c r="V77" s="4">
        <v>12</v>
      </c>
      <c r="W77" s="4">
        <v>12</v>
      </c>
      <c r="X77" s="4">
        <v>0</v>
      </c>
      <c r="Y77" s="4"/>
      <c r="Z77" s="4">
        <v>146.84</v>
      </c>
      <c r="AA77" s="4"/>
      <c r="AB77" s="18"/>
      <c r="AC77" s="18">
        <v>2</v>
      </c>
      <c r="AD77" s="28"/>
      <c r="AE77" s="26"/>
      <c r="AF77" s="28"/>
    </row>
    <row r="78" spans="1:32" ht="12.6" customHeight="1" x14ac:dyDescent="0.25">
      <c r="A78" s="14">
        <v>45664</v>
      </c>
      <c r="B78" s="14" t="s">
        <v>46</v>
      </c>
      <c r="C78" s="15">
        <v>2</v>
      </c>
      <c r="D78" s="16"/>
      <c r="E78" s="16"/>
      <c r="F78" s="17"/>
      <c r="G78" s="21"/>
      <c r="H78" s="21"/>
      <c r="I78" s="4">
        <v>0</v>
      </c>
      <c r="J78" s="4">
        <v>0</v>
      </c>
      <c r="K78" s="4"/>
      <c r="L78" s="16"/>
      <c r="M78" s="4"/>
      <c r="N78" s="4"/>
      <c r="O78" s="4"/>
      <c r="P78" s="4"/>
      <c r="Q78" s="4"/>
      <c r="R78" s="4"/>
      <c r="S78" s="4">
        <v>0</v>
      </c>
      <c r="T78" s="4">
        <v>0</v>
      </c>
      <c r="U78" s="4">
        <v>0</v>
      </c>
      <c r="V78" s="4">
        <v>12</v>
      </c>
      <c r="W78" s="4">
        <v>12</v>
      </c>
      <c r="X78" s="4">
        <v>0</v>
      </c>
      <c r="Y78" s="4"/>
      <c r="Z78" s="4">
        <v>126.63000000000001</v>
      </c>
      <c r="AA78" s="4"/>
      <c r="AB78" s="18"/>
      <c r="AC78" s="18">
        <v>2</v>
      </c>
      <c r="AD78" s="28"/>
      <c r="AE78" s="26"/>
      <c r="AF78" s="28"/>
    </row>
    <row r="79" spans="1:32" ht="12.6" customHeight="1" x14ac:dyDescent="0.25">
      <c r="A79" s="14">
        <v>45664</v>
      </c>
      <c r="B79" s="14" t="s">
        <v>45</v>
      </c>
      <c r="C79" s="15">
        <v>3</v>
      </c>
      <c r="D79" s="16"/>
      <c r="E79" s="16"/>
      <c r="F79" s="17"/>
      <c r="G79" s="21"/>
      <c r="H79" s="21"/>
      <c r="I79" s="4">
        <v>0</v>
      </c>
      <c r="J79" s="4">
        <v>0</v>
      </c>
      <c r="K79" s="4"/>
      <c r="L79" s="16"/>
      <c r="M79" s="4"/>
      <c r="N79" s="4"/>
      <c r="O79" s="4"/>
      <c r="P79" s="4"/>
      <c r="Q79" s="4"/>
      <c r="R79" s="4"/>
      <c r="S79" s="4">
        <v>0</v>
      </c>
      <c r="T79" s="4">
        <v>0</v>
      </c>
      <c r="U79" s="4">
        <v>0</v>
      </c>
      <c r="V79" s="4">
        <v>12</v>
      </c>
      <c r="W79" s="4">
        <v>12</v>
      </c>
      <c r="X79" s="4">
        <v>0</v>
      </c>
      <c r="Y79" s="4"/>
      <c r="Z79" s="4">
        <v>259.13</v>
      </c>
      <c r="AA79" s="4"/>
      <c r="AB79" s="18"/>
      <c r="AC79" s="18">
        <v>2</v>
      </c>
      <c r="AD79" s="28"/>
      <c r="AE79" s="26"/>
      <c r="AF79" s="28"/>
    </row>
    <row r="80" spans="1:32" ht="12.6" customHeight="1" x14ac:dyDescent="0.25">
      <c r="A80" s="14">
        <v>45664</v>
      </c>
      <c r="B80" s="14" t="s">
        <v>46</v>
      </c>
      <c r="C80" s="15">
        <v>3</v>
      </c>
      <c r="D80" s="16"/>
      <c r="E80" s="16"/>
      <c r="F80" s="17"/>
      <c r="G80" s="21"/>
      <c r="H80" s="21"/>
      <c r="I80" s="4">
        <v>0</v>
      </c>
      <c r="J80" s="4">
        <v>0</v>
      </c>
      <c r="K80" s="4"/>
      <c r="L80" s="16"/>
      <c r="M80" s="4"/>
      <c r="N80" s="4"/>
      <c r="O80" s="4"/>
      <c r="P80" s="4"/>
      <c r="Q80" s="4"/>
      <c r="R80" s="4"/>
      <c r="S80" s="4">
        <v>0</v>
      </c>
      <c r="T80" s="4">
        <v>0</v>
      </c>
      <c r="U80" s="4">
        <v>0</v>
      </c>
      <c r="V80" s="4">
        <v>12</v>
      </c>
      <c r="W80" s="4">
        <v>12</v>
      </c>
      <c r="X80" s="4">
        <v>0</v>
      </c>
      <c r="Y80" s="4"/>
      <c r="Z80" s="4">
        <v>264.41999999999996</v>
      </c>
      <c r="AA80" s="4"/>
      <c r="AB80" s="18"/>
      <c r="AC80" s="18">
        <v>2</v>
      </c>
      <c r="AD80" s="28"/>
      <c r="AE80" s="26"/>
      <c r="AF80" s="28"/>
    </row>
    <row r="81" spans="1:32" ht="12.6" customHeight="1" x14ac:dyDescent="0.25">
      <c r="A81" s="14">
        <v>45664</v>
      </c>
      <c r="B81" s="14" t="s">
        <v>45</v>
      </c>
      <c r="C81" s="15">
        <v>4</v>
      </c>
      <c r="D81" s="16"/>
      <c r="E81" s="16"/>
      <c r="F81" s="17"/>
      <c r="G81" s="21"/>
      <c r="H81" s="21"/>
      <c r="I81" s="4">
        <v>0</v>
      </c>
      <c r="J81" s="4">
        <v>0</v>
      </c>
      <c r="K81" s="4"/>
      <c r="L81" s="16"/>
      <c r="M81" s="4"/>
      <c r="N81" s="4"/>
      <c r="O81" s="4"/>
      <c r="P81" s="4"/>
      <c r="Q81" s="4"/>
      <c r="R81" s="4"/>
      <c r="S81" s="4">
        <v>0</v>
      </c>
      <c r="T81" s="4">
        <v>0</v>
      </c>
      <c r="U81" s="4">
        <v>0</v>
      </c>
      <c r="V81" s="4">
        <v>12</v>
      </c>
      <c r="W81" s="4">
        <v>12</v>
      </c>
      <c r="X81" s="4">
        <v>0</v>
      </c>
      <c r="Y81" s="4"/>
      <c r="Z81" s="4">
        <v>640.16</v>
      </c>
      <c r="AA81" s="4"/>
      <c r="AB81" s="18"/>
      <c r="AC81" s="18">
        <v>2</v>
      </c>
      <c r="AD81" s="28"/>
      <c r="AE81" s="26"/>
      <c r="AF81" s="28"/>
    </row>
    <row r="82" spans="1:32" ht="12.6" customHeight="1" x14ac:dyDescent="0.25">
      <c r="A82" s="14">
        <v>45664</v>
      </c>
      <c r="B82" s="14" t="s">
        <v>46</v>
      </c>
      <c r="C82" s="15">
        <v>4</v>
      </c>
      <c r="D82" s="16"/>
      <c r="E82" s="16"/>
      <c r="F82" s="17"/>
      <c r="G82" s="21"/>
      <c r="H82" s="21"/>
      <c r="I82" s="4">
        <v>0</v>
      </c>
      <c r="J82" s="4">
        <v>0</v>
      </c>
      <c r="K82" s="4"/>
      <c r="L82" s="16"/>
      <c r="M82" s="4"/>
      <c r="N82" s="4"/>
      <c r="O82" s="4"/>
      <c r="P82" s="4"/>
      <c r="Q82" s="4"/>
      <c r="R82" s="4"/>
      <c r="S82" s="4">
        <v>0</v>
      </c>
      <c r="T82" s="4">
        <v>0</v>
      </c>
      <c r="U82" s="4">
        <v>0</v>
      </c>
      <c r="V82" s="4">
        <v>12</v>
      </c>
      <c r="W82" s="4">
        <v>12</v>
      </c>
      <c r="X82" s="4">
        <v>0</v>
      </c>
      <c r="Y82" s="4"/>
      <c r="Z82" s="4">
        <v>860.62</v>
      </c>
      <c r="AA82" s="4"/>
      <c r="AB82" s="18"/>
      <c r="AC82" s="18">
        <v>2</v>
      </c>
      <c r="AD82" s="28"/>
      <c r="AE82" s="26"/>
      <c r="AF82" s="28"/>
    </row>
    <row r="83" spans="1:32" ht="12.6" customHeight="1" x14ac:dyDescent="0.25">
      <c r="A83" s="14">
        <v>45664</v>
      </c>
      <c r="B83" s="14" t="s">
        <v>45</v>
      </c>
      <c r="C83" s="15">
        <v>5</v>
      </c>
      <c r="D83" s="16"/>
      <c r="E83" s="16"/>
      <c r="F83" s="17"/>
      <c r="G83" s="21"/>
      <c r="H83" s="21"/>
      <c r="I83" s="4">
        <v>0</v>
      </c>
      <c r="J83" s="4">
        <v>0</v>
      </c>
      <c r="K83" s="4"/>
      <c r="L83" s="16"/>
      <c r="M83" s="4"/>
      <c r="N83" s="4"/>
      <c r="O83" s="4"/>
      <c r="P83" s="4"/>
      <c r="Q83" s="4"/>
      <c r="R83" s="4"/>
      <c r="S83" s="4">
        <v>0</v>
      </c>
      <c r="T83" s="4">
        <v>0</v>
      </c>
      <c r="U83" s="4">
        <v>0</v>
      </c>
      <c r="V83" s="4">
        <v>12</v>
      </c>
      <c r="W83" s="4">
        <v>12</v>
      </c>
      <c r="X83" s="4">
        <v>0</v>
      </c>
      <c r="Y83" s="4"/>
      <c r="Z83" s="4">
        <v>580.83000000000004</v>
      </c>
      <c r="AA83" s="4"/>
      <c r="AB83" s="18"/>
      <c r="AC83" s="18">
        <v>2</v>
      </c>
      <c r="AD83" s="28"/>
      <c r="AE83" s="26"/>
      <c r="AF83" s="28"/>
    </row>
    <row r="84" spans="1:32" ht="12.6" customHeight="1" x14ac:dyDescent="0.25">
      <c r="A84" s="14">
        <v>45664</v>
      </c>
      <c r="B84" s="14" t="s">
        <v>46</v>
      </c>
      <c r="C84" s="15">
        <v>5</v>
      </c>
      <c r="D84" s="16"/>
      <c r="E84" s="16"/>
      <c r="F84" s="17"/>
      <c r="G84" s="21"/>
      <c r="H84" s="21"/>
      <c r="I84" s="4">
        <v>0</v>
      </c>
      <c r="J84" s="4">
        <v>0</v>
      </c>
      <c r="K84" s="4"/>
      <c r="L84" s="16"/>
      <c r="M84" s="4"/>
      <c r="N84" s="4"/>
      <c r="O84" s="4"/>
      <c r="P84" s="4"/>
      <c r="Q84" s="4"/>
      <c r="R84" s="4"/>
      <c r="S84" s="4">
        <v>0</v>
      </c>
      <c r="T84" s="4">
        <v>0</v>
      </c>
      <c r="U84" s="4">
        <v>0</v>
      </c>
      <c r="V84" s="4">
        <v>12</v>
      </c>
      <c r="W84" s="4">
        <v>12</v>
      </c>
      <c r="X84" s="4">
        <v>0</v>
      </c>
      <c r="Y84" s="4"/>
      <c r="Z84" s="4">
        <v>629.04000000000008</v>
      </c>
      <c r="AA84" s="4"/>
      <c r="AB84" s="18"/>
      <c r="AC84" s="18">
        <v>2</v>
      </c>
      <c r="AD84" s="28"/>
      <c r="AE84" s="26"/>
      <c r="AF84" s="28"/>
    </row>
    <row r="85" spans="1:32" ht="12.6" customHeight="1" x14ac:dyDescent="0.25">
      <c r="A85" s="14">
        <v>45664</v>
      </c>
      <c r="B85" s="14" t="s">
        <v>45</v>
      </c>
      <c r="C85" s="15">
        <v>6</v>
      </c>
      <c r="D85" s="16"/>
      <c r="E85" s="16"/>
      <c r="F85" s="17"/>
      <c r="G85" s="21"/>
      <c r="H85" s="21"/>
      <c r="I85" s="4">
        <v>0</v>
      </c>
      <c r="J85" s="4">
        <v>0</v>
      </c>
      <c r="K85" s="4"/>
      <c r="L85" s="16"/>
      <c r="M85" s="4"/>
      <c r="N85" s="4"/>
      <c r="O85" s="4"/>
      <c r="P85" s="4"/>
      <c r="Q85" s="4"/>
      <c r="R85" s="4"/>
      <c r="S85" s="4">
        <v>0</v>
      </c>
      <c r="T85" s="4">
        <v>0</v>
      </c>
      <c r="U85" s="4">
        <v>0</v>
      </c>
      <c r="V85" s="4">
        <v>0</v>
      </c>
      <c r="W85" s="4"/>
      <c r="X85" s="4">
        <v>0</v>
      </c>
      <c r="Y85" s="4"/>
      <c r="Z85" s="4">
        <v>0</v>
      </c>
      <c r="AA85" s="4"/>
      <c r="AB85" s="18"/>
      <c r="AC85" s="18">
        <v>2</v>
      </c>
      <c r="AD85" s="28"/>
      <c r="AE85" s="26"/>
      <c r="AF85" s="28"/>
    </row>
    <row r="86" spans="1:32" ht="12.6" customHeight="1" x14ac:dyDescent="0.25">
      <c r="A86" s="14">
        <v>45664</v>
      </c>
      <c r="B86" s="14" t="s">
        <v>46</v>
      </c>
      <c r="C86" s="15">
        <v>6</v>
      </c>
      <c r="D86" s="16"/>
      <c r="E86" s="16"/>
      <c r="F86" s="17"/>
      <c r="G86" s="21"/>
      <c r="H86" s="21"/>
      <c r="I86" s="4">
        <v>0</v>
      </c>
      <c r="J86" s="4">
        <v>0</v>
      </c>
      <c r="K86" s="4"/>
      <c r="L86" s="16"/>
      <c r="M86" s="4"/>
      <c r="N86" s="4"/>
      <c r="O86" s="4"/>
      <c r="P86" s="4"/>
      <c r="Q86" s="4"/>
      <c r="R86" s="4"/>
      <c r="S86" s="4">
        <v>0</v>
      </c>
      <c r="T86" s="4">
        <v>0</v>
      </c>
      <c r="U86" s="4">
        <v>0</v>
      </c>
      <c r="V86" s="4">
        <v>0</v>
      </c>
      <c r="W86" s="4"/>
      <c r="X86" s="4">
        <v>0</v>
      </c>
      <c r="Y86" s="4"/>
      <c r="Z86" s="4">
        <v>0</v>
      </c>
      <c r="AA86" s="4"/>
      <c r="AB86" s="18"/>
      <c r="AC86" s="18">
        <v>2</v>
      </c>
      <c r="AD86" s="28"/>
      <c r="AE86" s="26"/>
      <c r="AF86" s="28"/>
    </row>
    <row r="87" spans="1:32" ht="12.6" customHeight="1" x14ac:dyDescent="0.25">
      <c r="A87" s="14">
        <v>45665</v>
      </c>
      <c r="B87" s="14" t="s">
        <v>45</v>
      </c>
      <c r="C87" s="15">
        <v>1</v>
      </c>
      <c r="D87" s="16"/>
      <c r="E87" s="16"/>
      <c r="F87" s="17"/>
      <c r="G87" s="21"/>
      <c r="H87" s="21"/>
      <c r="I87" s="4">
        <v>0</v>
      </c>
      <c r="J87" s="4">
        <v>0</v>
      </c>
      <c r="K87" s="4"/>
      <c r="L87" s="16"/>
      <c r="M87" s="4"/>
      <c r="N87" s="4"/>
      <c r="O87" s="4"/>
      <c r="P87" s="4"/>
      <c r="Q87" s="4"/>
      <c r="R87" s="4"/>
      <c r="S87" s="4">
        <v>0</v>
      </c>
      <c r="T87" s="4">
        <v>0</v>
      </c>
      <c r="U87" s="4">
        <v>0</v>
      </c>
      <c r="V87" s="4">
        <v>12</v>
      </c>
      <c r="W87" s="4">
        <v>12</v>
      </c>
      <c r="X87" s="4">
        <v>31</v>
      </c>
      <c r="Y87" s="4">
        <v>2087</v>
      </c>
      <c r="Z87" s="4">
        <v>186.06</v>
      </c>
      <c r="AA87" s="4">
        <v>4000</v>
      </c>
      <c r="AB87" s="18">
        <v>398</v>
      </c>
      <c r="AC87" s="18">
        <v>2</v>
      </c>
      <c r="AD87" s="28"/>
      <c r="AE87" s="26"/>
      <c r="AF87" s="28"/>
    </row>
    <row r="88" spans="1:32" ht="12.6" customHeight="1" x14ac:dyDescent="0.25">
      <c r="A88" s="14">
        <v>45665</v>
      </c>
      <c r="B88" s="14" t="s">
        <v>46</v>
      </c>
      <c r="C88" s="15">
        <v>1</v>
      </c>
      <c r="D88" s="16"/>
      <c r="E88" s="16"/>
      <c r="F88" s="17"/>
      <c r="G88" s="21"/>
      <c r="H88" s="21"/>
      <c r="I88" s="4">
        <v>0</v>
      </c>
      <c r="J88" s="4">
        <v>0</v>
      </c>
      <c r="K88" s="4"/>
      <c r="L88" s="16"/>
      <c r="M88" s="4"/>
      <c r="N88" s="4"/>
      <c r="O88" s="4"/>
      <c r="P88" s="4"/>
      <c r="Q88" s="4"/>
      <c r="R88" s="4"/>
      <c r="S88" s="4">
        <v>0</v>
      </c>
      <c r="T88" s="4">
        <v>0</v>
      </c>
      <c r="U88" s="4">
        <v>0</v>
      </c>
      <c r="V88" s="4">
        <v>12</v>
      </c>
      <c r="W88" s="4">
        <v>12</v>
      </c>
      <c r="X88" s="4">
        <v>61</v>
      </c>
      <c r="Y88" s="4"/>
      <c r="Z88" s="4">
        <v>182.93</v>
      </c>
      <c r="AA88" s="4"/>
      <c r="AB88" s="18"/>
      <c r="AC88" s="18">
        <v>2</v>
      </c>
      <c r="AD88" s="28"/>
      <c r="AE88" s="26"/>
      <c r="AF88" s="28"/>
    </row>
    <row r="89" spans="1:32" ht="12.6" customHeight="1" x14ac:dyDescent="0.25">
      <c r="A89" s="14">
        <v>45665</v>
      </c>
      <c r="B89" s="14" t="s">
        <v>45</v>
      </c>
      <c r="C89" s="15">
        <v>2</v>
      </c>
      <c r="D89" s="16">
        <v>30</v>
      </c>
      <c r="E89" s="16"/>
      <c r="F89" s="17"/>
      <c r="G89" s="21"/>
      <c r="H89" s="21"/>
      <c r="I89" s="4">
        <v>30</v>
      </c>
      <c r="J89" s="4">
        <v>0.5</v>
      </c>
      <c r="K89" s="4"/>
      <c r="L89" s="16"/>
      <c r="M89" s="4"/>
      <c r="N89" s="4"/>
      <c r="O89" s="4"/>
      <c r="P89" s="4"/>
      <c r="Q89" s="4"/>
      <c r="R89" s="4"/>
      <c r="S89" s="4">
        <v>0</v>
      </c>
      <c r="T89" s="4">
        <v>0</v>
      </c>
      <c r="U89" s="4">
        <v>0.5</v>
      </c>
      <c r="V89" s="4">
        <v>11.5</v>
      </c>
      <c r="W89" s="4">
        <v>12</v>
      </c>
      <c r="X89" s="4">
        <v>0</v>
      </c>
      <c r="Y89" s="4"/>
      <c r="Z89" s="4">
        <v>99.04</v>
      </c>
      <c r="AA89" s="4"/>
      <c r="AB89" s="18"/>
      <c r="AC89" s="18">
        <v>2</v>
      </c>
      <c r="AD89" s="28"/>
      <c r="AE89" s="26"/>
      <c r="AF89" s="28"/>
    </row>
    <row r="90" spans="1:32" ht="12.6" customHeight="1" x14ac:dyDescent="0.25">
      <c r="A90" s="14">
        <v>45665</v>
      </c>
      <c r="B90" s="14" t="s">
        <v>46</v>
      </c>
      <c r="C90" s="15">
        <v>2</v>
      </c>
      <c r="D90" s="16"/>
      <c r="E90" s="16"/>
      <c r="F90" s="17"/>
      <c r="G90" s="21"/>
      <c r="H90" s="21"/>
      <c r="I90" s="4">
        <v>0</v>
      </c>
      <c r="J90" s="4">
        <v>0</v>
      </c>
      <c r="K90" s="4"/>
      <c r="L90" s="16"/>
      <c r="M90" s="4"/>
      <c r="N90" s="4"/>
      <c r="O90" s="4"/>
      <c r="P90" s="4"/>
      <c r="Q90" s="4"/>
      <c r="R90" s="4"/>
      <c r="S90" s="4">
        <v>0</v>
      </c>
      <c r="T90" s="4">
        <v>0</v>
      </c>
      <c r="U90" s="4">
        <v>0</v>
      </c>
      <c r="V90" s="4">
        <v>12</v>
      </c>
      <c r="W90" s="4">
        <v>12</v>
      </c>
      <c r="X90" s="4">
        <v>0</v>
      </c>
      <c r="Y90" s="4"/>
      <c r="Z90" s="4">
        <v>98.19</v>
      </c>
      <c r="AA90" s="4"/>
      <c r="AB90" s="18"/>
      <c r="AC90" s="18">
        <v>2</v>
      </c>
      <c r="AD90" s="28"/>
      <c r="AE90" s="26"/>
      <c r="AF90" s="28"/>
    </row>
    <row r="91" spans="1:32" ht="12.6" customHeight="1" x14ac:dyDescent="0.25">
      <c r="A91" s="14">
        <v>45665</v>
      </c>
      <c r="B91" s="14" t="s">
        <v>45</v>
      </c>
      <c r="C91" s="15">
        <v>3</v>
      </c>
      <c r="D91" s="16">
        <v>30</v>
      </c>
      <c r="E91" s="16"/>
      <c r="F91" s="17"/>
      <c r="G91" s="21"/>
      <c r="H91" s="21"/>
      <c r="I91" s="4">
        <v>30</v>
      </c>
      <c r="J91" s="4">
        <v>0.5</v>
      </c>
      <c r="K91" s="4"/>
      <c r="L91" s="16"/>
      <c r="M91" s="4"/>
      <c r="N91" s="4"/>
      <c r="O91" s="4"/>
      <c r="P91" s="4"/>
      <c r="Q91" s="4"/>
      <c r="R91" s="4"/>
      <c r="S91" s="4">
        <v>0</v>
      </c>
      <c r="T91" s="4">
        <v>0</v>
      </c>
      <c r="U91" s="4">
        <v>0.5</v>
      </c>
      <c r="V91" s="4">
        <v>11.5</v>
      </c>
      <c r="W91" s="4">
        <v>12</v>
      </c>
      <c r="X91" s="4">
        <v>0</v>
      </c>
      <c r="Y91" s="4"/>
      <c r="Z91" s="4">
        <v>258.58999999999997</v>
      </c>
      <c r="AA91" s="4"/>
      <c r="AB91" s="18"/>
      <c r="AC91" s="18">
        <v>2</v>
      </c>
      <c r="AD91" s="28"/>
      <c r="AE91" s="26"/>
      <c r="AF91" s="28"/>
    </row>
    <row r="92" spans="1:32" ht="12.6" customHeight="1" x14ac:dyDescent="0.25">
      <c r="A92" s="14">
        <v>45665</v>
      </c>
      <c r="B92" s="14" t="s">
        <v>46</v>
      </c>
      <c r="C92" s="15">
        <v>3</v>
      </c>
      <c r="D92" s="16"/>
      <c r="E92" s="16"/>
      <c r="F92" s="17"/>
      <c r="G92" s="21"/>
      <c r="H92" s="21"/>
      <c r="I92" s="4">
        <v>0</v>
      </c>
      <c r="J92" s="4">
        <v>0</v>
      </c>
      <c r="K92" s="4"/>
      <c r="L92" s="16"/>
      <c r="M92" s="4"/>
      <c r="N92" s="4"/>
      <c r="O92" s="4"/>
      <c r="P92" s="4"/>
      <c r="Q92" s="4"/>
      <c r="R92" s="4"/>
      <c r="S92" s="4">
        <v>0</v>
      </c>
      <c r="T92" s="4">
        <v>0</v>
      </c>
      <c r="U92" s="4">
        <v>0</v>
      </c>
      <c r="V92" s="4">
        <v>12</v>
      </c>
      <c r="W92" s="4">
        <v>12</v>
      </c>
      <c r="X92" s="4">
        <v>0</v>
      </c>
      <c r="Y92" s="4"/>
      <c r="Z92" s="4">
        <v>266.8</v>
      </c>
      <c r="AA92" s="4"/>
      <c r="AB92" s="18"/>
      <c r="AC92" s="18">
        <v>2</v>
      </c>
      <c r="AD92" s="28"/>
      <c r="AE92" s="26"/>
      <c r="AF92" s="28"/>
    </row>
    <row r="93" spans="1:32" ht="12.6" customHeight="1" x14ac:dyDescent="0.25">
      <c r="A93" s="14">
        <v>45665</v>
      </c>
      <c r="B93" s="14" t="s">
        <v>45</v>
      </c>
      <c r="C93" s="15">
        <v>4</v>
      </c>
      <c r="D93" s="16"/>
      <c r="E93" s="16"/>
      <c r="F93" s="17"/>
      <c r="G93" s="21"/>
      <c r="H93" s="21"/>
      <c r="I93" s="4">
        <v>0</v>
      </c>
      <c r="J93" s="4">
        <v>0</v>
      </c>
      <c r="K93" s="4"/>
      <c r="L93" s="16"/>
      <c r="M93" s="4"/>
      <c r="N93" s="4"/>
      <c r="O93" s="4"/>
      <c r="P93" s="4"/>
      <c r="Q93" s="4"/>
      <c r="R93" s="4"/>
      <c r="S93" s="4">
        <v>0</v>
      </c>
      <c r="T93" s="4">
        <v>0</v>
      </c>
      <c r="U93" s="4">
        <v>0</v>
      </c>
      <c r="V93" s="4">
        <v>12</v>
      </c>
      <c r="W93" s="4">
        <v>12</v>
      </c>
      <c r="X93" s="4">
        <v>0</v>
      </c>
      <c r="Y93" s="4"/>
      <c r="Z93" s="4">
        <v>748.38</v>
      </c>
      <c r="AA93" s="4"/>
      <c r="AB93" s="18"/>
      <c r="AC93" s="18">
        <v>2</v>
      </c>
      <c r="AD93" s="28"/>
      <c r="AE93" s="26"/>
      <c r="AF93" s="28"/>
    </row>
    <row r="94" spans="1:32" ht="12.6" customHeight="1" x14ac:dyDescent="0.25">
      <c r="A94" s="14">
        <v>45665</v>
      </c>
      <c r="B94" s="14" t="s">
        <v>46</v>
      </c>
      <c r="C94" s="15">
        <v>4</v>
      </c>
      <c r="D94" s="16"/>
      <c r="E94" s="16"/>
      <c r="F94" s="17"/>
      <c r="G94" s="21"/>
      <c r="H94" s="21"/>
      <c r="I94" s="4">
        <v>0</v>
      </c>
      <c r="J94" s="4">
        <v>0</v>
      </c>
      <c r="K94" s="4"/>
      <c r="L94" s="16"/>
      <c r="M94" s="4"/>
      <c r="N94" s="4"/>
      <c r="O94" s="4"/>
      <c r="P94" s="4"/>
      <c r="Q94" s="4"/>
      <c r="R94" s="4"/>
      <c r="S94" s="4">
        <v>0</v>
      </c>
      <c r="T94" s="4">
        <v>0</v>
      </c>
      <c r="U94" s="4">
        <v>0</v>
      </c>
      <c r="V94" s="4">
        <v>12</v>
      </c>
      <c r="W94" s="4">
        <v>12</v>
      </c>
      <c r="X94" s="4">
        <v>0</v>
      </c>
      <c r="Y94" s="4"/>
      <c r="Z94" s="4">
        <v>829.67000000000007</v>
      </c>
      <c r="AA94" s="4"/>
      <c r="AB94" s="18"/>
      <c r="AC94" s="18">
        <v>2</v>
      </c>
      <c r="AD94" s="28"/>
      <c r="AE94" s="26"/>
      <c r="AF94" s="28"/>
    </row>
    <row r="95" spans="1:32" ht="12.6" customHeight="1" x14ac:dyDescent="0.25">
      <c r="A95" s="14">
        <v>45665</v>
      </c>
      <c r="B95" s="14" t="s">
        <v>45</v>
      </c>
      <c r="C95" s="15">
        <v>5</v>
      </c>
      <c r="D95" s="16"/>
      <c r="E95" s="16"/>
      <c r="F95" s="17"/>
      <c r="G95" s="21"/>
      <c r="H95" s="21"/>
      <c r="I95" s="4">
        <v>0</v>
      </c>
      <c r="J95" s="4">
        <v>0</v>
      </c>
      <c r="K95" s="4"/>
      <c r="L95" s="16"/>
      <c r="M95" s="4"/>
      <c r="N95" s="4"/>
      <c r="O95" s="4"/>
      <c r="P95" s="4"/>
      <c r="Q95" s="4"/>
      <c r="R95" s="4"/>
      <c r="S95" s="4">
        <v>0</v>
      </c>
      <c r="T95" s="4">
        <v>0</v>
      </c>
      <c r="U95" s="4">
        <v>0</v>
      </c>
      <c r="V95" s="4">
        <v>12</v>
      </c>
      <c r="W95" s="4">
        <v>12</v>
      </c>
      <c r="X95" s="4">
        <v>0</v>
      </c>
      <c r="Y95" s="4"/>
      <c r="Z95" s="4">
        <v>598.79999999999995</v>
      </c>
      <c r="AA95" s="4"/>
      <c r="AB95" s="18"/>
      <c r="AC95" s="18">
        <v>2</v>
      </c>
      <c r="AD95" s="28"/>
      <c r="AE95" s="26"/>
      <c r="AF95" s="28"/>
    </row>
    <row r="96" spans="1:32" ht="12.6" customHeight="1" x14ac:dyDescent="0.25">
      <c r="A96" s="14">
        <v>45665</v>
      </c>
      <c r="B96" s="14" t="s">
        <v>46</v>
      </c>
      <c r="C96" s="15">
        <v>5</v>
      </c>
      <c r="D96" s="16"/>
      <c r="E96" s="16"/>
      <c r="F96" s="17"/>
      <c r="G96" s="21"/>
      <c r="H96" s="21"/>
      <c r="I96" s="4">
        <v>0</v>
      </c>
      <c r="J96" s="4">
        <v>0</v>
      </c>
      <c r="K96" s="4"/>
      <c r="L96" s="16"/>
      <c r="M96" s="4"/>
      <c r="N96" s="4"/>
      <c r="O96" s="4"/>
      <c r="P96" s="4"/>
      <c r="Q96" s="4"/>
      <c r="R96" s="4"/>
      <c r="S96" s="4">
        <v>0</v>
      </c>
      <c r="T96" s="4">
        <v>0</v>
      </c>
      <c r="U96" s="4">
        <v>0</v>
      </c>
      <c r="V96" s="4">
        <v>12</v>
      </c>
      <c r="W96" s="4">
        <v>12</v>
      </c>
      <c r="X96" s="4">
        <v>0</v>
      </c>
      <c r="Y96" s="4"/>
      <c r="Z96" s="4">
        <v>626.49</v>
      </c>
      <c r="AA96" s="4"/>
      <c r="AB96" s="18"/>
      <c r="AC96" s="18">
        <v>2</v>
      </c>
      <c r="AD96" s="28"/>
      <c r="AE96" s="26"/>
      <c r="AF96" s="28"/>
    </row>
    <row r="97" spans="1:32" ht="12.6" customHeight="1" x14ac:dyDescent="0.25">
      <c r="A97" s="14">
        <v>45665</v>
      </c>
      <c r="B97" s="14" t="s">
        <v>45</v>
      </c>
      <c r="C97" s="15">
        <v>6</v>
      </c>
      <c r="D97" s="16"/>
      <c r="E97" s="16"/>
      <c r="F97" s="17"/>
      <c r="G97" s="21"/>
      <c r="H97" s="21"/>
      <c r="I97" s="4">
        <v>0</v>
      </c>
      <c r="J97" s="4">
        <v>0</v>
      </c>
      <c r="K97" s="4"/>
      <c r="L97" s="16"/>
      <c r="M97" s="4"/>
      <c r="N97" s="4"/>
      <c r="O97" s="4"/>
      <c r="P97" s="4"/>
      <c r="Q97" s="4"/>
      <c r="R97" s="4"/>
      <c r="S97" s="4">
        <v>0</v>
      </c>
      <c r="T97" s="4">
        <v>0</v>
      </c>
      <c r="U97" s="4">
        <v>0</v>
      </c>
      <c r="V97" s="4">
        <v>0</v>
      </c>
      <c r="W97" s="4"/>
      <c r="X97" s="4">
        <v>0</v>
      </c>
      <c r="Y97" s="4"/>
      <c r="Z97" s="4">
        <v>0</v>
      </c>
      <c r="AA97" s="4"/>
      <c r="AB97" s="18"/>
      <c r="AC97" s="18">
        <v>2</v>
      </c>
      <c r="AD97" s="28"/>
      <c r="AE97" s="26"/>
      <c r="AF97" s="28"/>
    </row>
    <row r="98" spans="1:32" ht="12.6" customHeight="1" x14ac:dyDescent="0.25">
      <c r="A98" s="14">
        <v>45665</v>
      </c>
      <c r="B98" s="14" t="s">
        <v>46</v>
      </c>
      <c r="C98" s="15">
        <v>6</v>
      </c>
      <c r="D98" s="16"/>
      <c r="E98" s="16"/>
      <c r="F98" s="17"/>
      <c r="G98" s="21"/>
      <c r="H98" s="21"/>
      <c r="I98" s="4">
        <v>0</v>
      </c>
      <c r="J98" s="4">
        <v>0</v>
      </c>
      <c r="K98" s="4"/>
      <c r="L98" s="16"/>
      <c r="M98" s="4"/>
      <c r="N98" s="4"/>
      <c r="O98" s="4"/>
      <c r="P98" s="4"/>
      <c r="Q98" s="4"/>
      <c r="R98" s="4"/>
      <c r="S98" s="4">
        <v>0</v>
      </c>
      <c r="T98" s="4">
        <v>0</v>
      </c>
      <c r="U98" s="4">
        <v>0</v>
      </c>
      <c r="V98" s="4">
        <v>0</v>
      </c>
      <c r="W98" s="4"/>
      <c r="X98" s="4">
        <v>0</v>
      </c>
      <c r="Y98" s="4"/>
      <c r="Z98" s="4">
        <v>0</v>
      </c>
      <c r="AA98" s="4"/>
      <c r="AB98" s="18"/>
      <c r="AC98" s="18">
        <v>2</v>
      </c>
      <c r="AD98" s="28"/>
      <c r="AE98" s="26"/>
      <c r="AF98" s="28"/>
    </row>
    <row r="99" spans="1:32" ht="12.6" customHeight="1" x14ac:dyDescent="0.25">
      <c r="A99" s="14">
        <v>45666</v>
      </c>
      <c r="B99" s="14" t="s">
        <v>45</v>
      </c>
      <c r="C99" s="15">
        <v>1</v>
      </c>
      <c r="D99" s="16"/>
      <c r="E99" s="16"/>
      <c r="F99" s="17"/>
      <c r="G99" s="21"/>
      <c r="H99" s="21"/>
      <c r="I99" s="4">
        <v>0</v>
      </c>
      <c r="J99" s="4">
        <v>0</v>
      </c>
      <c r="K99" s="4">
        <v>30</v>
      </c>
      <c r="L99" s="16"/>
      <c r="M99" s="4"/>
      <c r="N99" s="4"/>
      <c r="O99" s="4"/>
      <c r="P99" s="4"/>
      <c r="Q99" s="4"/>
      <c r="R99" s="4"/>
      <c r="S99" s="4">
        <v>30</v>
      </c>
      <c r="T99" s="4">
        <v>0.5</v>
      </c>
      <c r="U99" s="4">
        <v>0.5</v>
      </c>
      <c r="V99" s="4">
        <v>11.5</v>
      </c>
      <c r="W99" s="4">
        <v>12</v>
      </c>
      <c r="X99" s="4">
        <v>40</v>
      </c>
      <c r="Y99" s="4">
        <v>2057</v>
      </c>
      <c r="Z99" s="4">
        <v>209.47</v>
      </c>
      <c r="AA99" s="4">
        <v>3700</v>
      </c>
      <c r="AB99" s="18">
        <v>398</v>
      </c>
      <c r="AC99" s="18">
        <v>2</v>
      </c>
      <c r="AD99" s="28"/>
      <c r="AE99" s="26"/>
      <c r="AF99" s="28"/>
    </row>
    <row r="100" spans="1:32" ht="12.6" customHeight="1" x14ac:dyDescent="0.25">
      <c r="A100" s="14">
        <v>45666</v>
      </c>
      <c r="B100" s="14" t="s">
        <v>46</v>
      </c>
      <c r="C100" s="15">
        <v>1</v>
      </c>
      <c r="D100" s="16"/>
      <c r="E100" s="16"/>
      <c r="F100" s="17"/>
      <c r="G100" s="21"/>
      <c r="H100" s="21"/>
      <c r="I100" s="4">
        <v>0</v>
      </c>
      <c r="J100" s="4">
        <v>0</v>
      </c>
      <c r="K100" s="4"/>
      <c r="L100" s="16"/>
      <c r="M100" s="4"/>
      <c r="N100" s="4"/>
      <c r="O100" s="4"/>
      <c r="P100" s="4"/>
      <c r="Q100" s="4"/>
      <c r="R100" s="4"/>
      <c r="S100" s="4">
        <v>0</v>
      </c>
      <c r="T100" s="4">
        <v>0</v>
      </c>
      <c r="U100" s="4">
        <v>0</v>
      </c>
      <c r="V100" s="4">
        <v>12</v>
      </c>
      <c r="W100" s="4">
        <v>12</v>
      </c>
      <c r="X100" s="4">
        <v>45</v>
      </c>
      <c r="Y100" s="4"/>
      <c r="Z100" s="4">
        <v>208.77</v>
      </c>
      <c r="AA100" s="4"/>
      <c r="AB100" s="18"/>
      <c r="AC100" s="18">
        <v>2</v>
      </c>
      <c r="AD100" s="28"/>
      <c r="AE100" s="26"/>
      <c r="AF100" s="28"/>
    </row>
    <row r="101" spans="1:32" ht="12.6" customHeight="1" x14ac:dyDescent="0.25">
      <c r="A101" s="14">
        <v>45666</v>
      </c>
      <c r="B101" s="14" t="s">
        <v>45</v>
      </c>
      <c r="C101" s="15">
        <v>2</v>
      </c>
      <c r="D101" s="16"/>
      <c r="E101" s="16"/>
      <c r="F101" s="17"/>
      <c r="G101" s="21"/>
      <c r="H101" s="21"/>
      <c r="I101" s="4">
        <v>0</v>
      </c>
      <c r="J101" s="4">
        <v>0</v>
      </c>
      <c r="K101" s="4">
        <v>30</v>
      </c>
      <c r="L101" s="16"/>
      <c r="M101" s="4"/>
      <c r="N101" s="4"/>
      <c r="O101" s="4"/>
      <c r="P101" s="4"/>
      <c r="Q101" s="4"/>
      <c r="R101" s="4"/>
      <c r="S101" s="4">
        <v>30</v>
      </c>
      <c r="T101" s="4">
        <v>0.5</v>
      </c>
      <c r="U101" s="4">
        <v>0.5</v>
      </c>
      <c r="V101" s="4">
        <v>11.5</v>
      </c>
      <c r="W101" s="4">
        <v>12</v>
      </c>
      <c r="X101" s="4">
        <v>0</v>
      </c>
      <c r="Y101" s="4"/>
      <c r="Z101" s="4">
        <v>106.5</v>
      </c>
      <c r="AA101" s="4"/>
      <c r="AB101" s="18"/>
      <c r="AC101" s="18">
        <v>2</v>
      </c>
      <c r="AD101" s="28"/>
      <c r="AE101" s="26"/>
      <c r="AF101" s="28"/>
    </row>
    <row r="102" spans="1:32" ht="12.6" customHeight="1" x14ac:dyDescent="0.25">
      <c r="A102" s="14">
        <v>45666</v>
      </c>
      <c r="B102" s="14" t="s">
        <v>46</v>
      </c>
      <c r="C102" s="15">
        <v>2</v>
      </c>
      <c r="D102" s="16"/>
      <c r="E102" s="16"/>
      <c r="F102" s="17"/>
      <c r="G102" s="21"/>
      <c r="H102" s="21"/>
      <c r="I102" s="4">
        <v>0</v>
      </c>
      <c r="J102" s="4">
        <v>0</v>
      </c>
      <c r="K102" s="4"/>
      <c r="L102" s="16"/>
      <c r="M102" s="4"/>
      <c r="N102" s="4"/>
      <c r="O102" s="4"/>
      <c r="P102" s="4"/>
      <c r="Q102" s="4"/>
      <c r="R102" s="4"/>
      <c r="S102" s="4">
        <v>0</v>
      </c>
      <c r="T102" s="4">
        <v>0</v>
      </c>
      <c r="U102" s="4">
        <v>0</v>
      </c>
      <c r="V102" s="4">
        <v>12</v>
      </c>
      <c r="W102" s="4">
        <v>12</v>
      </c>
      <c r="X102" s="4">
        <v>0</v>
      </c>
      <c r="Y102" s="4"/>
      <c r="Z102" s="4">
        <v>98.72</v>
      </c>
      <c r="AA102" s="4"/>
      <c r="AB102" s="18"/>
      <c r="AC102" s="18">
        <v>2</v>
      </c>
      <c r="AD102" s="28"/>
      <c r="AE102" s="26"/>
      <c r="AF102" s="28"/>
    </row>
    <row r="103" spans="1:32" ht="12.6" customHeight="1" x14ac:dyDescent="0.25">
      <c r="A103" s="14">
        <v>45666</v>
      </c>
      <c r="B103" s="14" t="s">
        <v>45</v>
      </c>
      <c r="C103" s="15">
        <v>3</v>
      </c>
      <c r="D103" s="16"/>
      <c r="E103" s="16"/>
      <c r="F103" s="17"/>
      <c r="G103" s="21"/>
      <c r="H103" s="21"/>
      <c r="I103" s="4">
        <v>0</v>
      </c>
      <c r="J103" s="4">
        <v>0</v>
      </c>
      <c r="K103" s="4">
        <v>30</v>
      </c>
      <c r="L103" s="16"/>
      <c r="M103" s="4"/>
      <c r="N103" s="4"/>
      <c r="O103" s="4"/>
      <c r="P103" s="4"/>
      <c r="Q103" s="4"/>
      <c r="R103" s="4"/>
      <c r="S103" s="4">
        <v>30</v>
      </c>
      <c r="T103" s="4">
        <v>0.5</v>
      </c>
      <c r="U103" s="4">
        <v>0.5</v>
      </c>
      <c r="V103" s="4">
        <v>11.5</v>
      </c>
      <c r="W103" s="4">
        <v>12</v>
      </c>
      <c r="X103" s="4">
        <v>0</v>
      </c>
      <c r="Y103" s="4"/>
      <c r="Z103" s="4">
        <v>236.89999999999998</v>
      </c>
      <c r="AA103" s="4"/>
      <c r="AB103" s="18"/>
      <c r="AC103" s="18">
        <v>2</v>
      </c>
      <c r="AD103" s="28"/>
      <c r="AE103" s="26"/>
      <c r="AF103" s="28"/>
    </row>
    <row r="104" spans="1:32" ht="12.6" customHeight="1" x14ac:dyDescent="0.25">
      <c r="A104" s="14">
        <v>45666</v>
      </c>
      <c r="B104" s="14" t="s">
        <v>46</v>
      </c>
      <c r="C104" s="15">
        <v>3</v>
      </c>
      <c r="D104" s="16"/>
      <c r="E104" s="16"/>
      <c r="F104" s="17"/>
      <c r="G104" s="21"/>
      <c r="H104" s="21"/>
      <c r="I104" s="4">
        <v>0</v>
      </c>
      <c r="J104" s="4">
        <v>0</v>
      </c>
      <c r="K104" s="4"/>
      <c r="L104" s="16"/>
      <c r="M104" s="4"/>
      <c r="N104" s="4"/>
      <c r="O104" s="4"/>
      <c r="P104" s="4"/>
      <c r="Q104" s="4"/>
      <c r="R104" s="4"/>
      <c r="S104" s="4">
        <v>0</v>
      </c>
      <c r="T104" s="4">
        <v>0</v>
      </c>
      <c r="U104" s="4">
        <v>0</v>
      </c>
      <c r="V104" s="4">
        <v>12</v>
      </c>
      <c r="W104" s="4">
        <v>12</v>
      </c>
      <c r="X104" s="4">
        <v>0</v>
      </c>
      <c r="Y104" s="4"/>
      <c r="Z104" s="4">
        <v>263.97000000000003</v>
      </c>
      <c r="AA104" s="4"/>
      <c r="AB104" s="18"/>
      <c r="AC104" s="18">
        <v>2</v>
      </c>
      <c r="AD104" s="28"/>
      <c r="AE104" s="26"/>
      <c r="AF104" s="28"/>
    </row>
    <row r="105" spans="1:32" ht="12.6" customHeight="1" x14ac:dyDescent="0.25">
      <c r="A105" s="14">
        <v>45666</v>
      </c>
      <c r="B105" s="14" t="s">
        <v>45</v>
      </c>
      <c r="C105" s="15">
        <v>4</v>
      </c>
      <c r="D105" s="16"/>
      <c r="E105" s="16"/>
      <c r="F105" s="17"/>
      <c r="G105" s="21"/>
      <c r="H105" s="21"/>
      <c r="I105" s="4">
        <v>0</v>
      </c>
      <c r="J105" s="4">
        <v>0</v>
      </c>
      <c r="K105" s="4">
        <v>30</v>
      </c>
      <c r="L105" s="16"/>
      <c r="M105" s="4"/>
      <c r="N105" s="4"/>
      <c r="O105" s="4"/>
      <c r="P105" s="4"/>
      <c r="Q105" s="4"/>
      <c r="R105" s="4"/>
      <c r="S105" s="4">
        <v>30</v>
      </c>
      <c r="T105" s="4">
        <v>0.5</v>
      </c>
      <c r="U105" s="4">
        <v>0.5</v>
      </c>
      <c r="V105" s="4">
        <v>11.5</v>
      </c>
      <c r="W105" s="4">
        <v>12</v>
      </c>
      <c r="X105" s="4">
        <v>0</v>
      </c>
      <c r="Y105" s="4"/>
      <c r="Z105" s="4">
        <v>695.95</v>
      </c>
      <c r="AA105" s="4"/>
      <c r="AB105" s="18"/>
      <c r="AC105" s="18">
        <v>2</v>
      </c>
      <c r="AD105" s="28"/>
      <c r="AE105" s="26"/>
      <c r="AF105" s="28"/>
    </row>
    <row r="106" spans="1:32" ht="12.6" customHeight="1" x14ac:dyDescent="0.25">
      <c r="A106" s="14">
        <v>45666</v>
      </c>
      <c r="B106" s="14" t="s">
        <v>46</v>
      </c>
      <c r="C106" s="15">
        <v>4</v>
      </c>
      <c r="D106" s="16"/>
      <c r="E106" s="16"/>
      <c r="F106" s="17"/>
      <c r="G106" s="21"/>
      <c r="H106" s="21"/>
      <c r="I106" s="4">
        <v>0</v>
      </c>
      <c r="J106" s="4">
        <v>0</v>
      </c>
      <c r="K106" s="4"/>
      <c r="L106" s="16"/>
      <c r="M106" s="4"/>
      <c r="N106" s="4"/>
      <c r="O106" s="4"/>
      <c r="P106" s="4"/>
      <c r="Q106" s="4"/>
      <c r="R106" s="4"/>
      <c r="S106" s="4">
        <v>0</v>
      </c>
      <c r="T106" s="4">
        <v>0</v>
      </c>
      <c r="U106" s="4">
        <v>0</v>
      </c>
      <c r="V106" s="4">
        <v>12</v>
      </c>
      <c r="W106" s="4">
        <v>12</v>
      </c>
      <c r="X106" s="4">
        <v>0</v>
      </c>
      <c r="Y106" s="4"/>
      <c r="Z106" s="4">
        <v>771.42000000000007</v>
      </c>
      <c r="AA106" s="4"/>
      <c r="AB106" s="18"/>
      <c r="AC106" s="18">
        <v>2</v>
      </c>
      <c r="AD106" s="28"/>
      <c r="AE106" s="26"/>
      <c r="AF106" s="28"/>
    </row>
    <row r="107" spans="1:32" ht="12.6" customHeight="1" x14ac:dyDescent="0.25">
      <c r="A107" s="14">
        <v>45666</v>
      </c>
      <c r="B107" s="14" t="s">
        <v>45</v>
      </c>
      <c r="C107" s="15">
        <v>5</v>
      </c>
      <c r="D107" s="16"/>
      <c r="E107" s="16"/>
      <c r="F107" s="17"/>
      <c r="G107" s="21"/>
      <c r="H107" s="21"/>
      <c r="I107" s="4">
        <v>0</v>
      </c>
      <c r="J107" s="4">
        <v>0</v>
      </c>
      <c r="K107" s="4">
        <v>30</v>
      </c>
      <c r="L107" s="16"/>
      <c r="M107" s="4"/>
      <c r="N107" s="4"/>
      <c r="O107" s="4"/>
      <c r="P107" s="4"/>
      <c r="Q107" s="4"/>
      <c r="R107" s="4"/>
      <c r="S107" s="4">
        <v>30</v>
      </c>
      <c r="T107" s="4">
        <v>0.5</v>
      </c>
      <c r="U107" s="4">
        <v>0.5</v>
      </c>
      <c r="V107" s="4">
        <v>11.5</v>
      </c>
      <c r="W107" s="4">
        <v>12</v>
      </c>
      <c r="X107" s="4">
        <v>0</v>
      </c>
      <c r="Y107" s="4"/>
      <c r="Z107" s="4">
        <v>417.19</v>
      </c>
      <c r="AA107" s="4"/>
      <c r="AB107" s="18"/>
      <c r="AC107" s="18">
        <v>2</v>
      </c>
      <c r="AD107" s="28"/>
      <c r="AE107" s="26"/>
      <c r="AF107" s="28"/>
    </row>
    <row r="108" spans="1:32" ht="12.6" customHeight="1" x14ac:dyDescent="0.25">
      <c r="A108" s="14">
        <v>45666</v>
      </c>
      <c r="B108" s="14" t="s">
        <v>46</v>
      </c>
      <c r="C108" s="15">
        <v>5</v>
      </c>
      <c r="D108" s="16"/>
      <c r="E108" s="16"/>
      <c r="F108" s="17"/>
      <c r="G108" s="21"/>
      <c r="H108" s="21"/>
      <c r="I108" s="4">
        <v>0</v>
      </c>
      <c r="J108" s="4">
        <v>0</v>
      </c>
      <c r="K108" s="4"/>
      <c r="L108" s="16"/>
      <c r="M108" s="4"/>
      <c r="N108" s="4"/>
      <c r="O108" s="4"/>
      <c r="P108" s="4"/>
      <c r="Q108" s="4"/>
      <c r="R108" s="4"/>
      <c r="S108" s="4">
        <v>0</v>
      </c>
      <c r="T108" s="4">
        <v>0</v>
      </c>
      <c r="U108" s="4">
        <v>0</v>
      </c>
      <c r="V108" s="4">
        <v>12</v>
      </c>
      <c r="W108" s="4">
        <v>12</v>
      </c>
      <c r="X108" s="4">
        <v>0</v>
      </c>
      <c r="Y108" s="4"/>
      <c r="Z108" s="4">
        <v>530.21</v>
      </c>
      <c r="AA108" s="4"/>
      <c r="AB108" s="18"/>
      <c r="AC108" s="18">
        <v>2</v>
      </c>
      <c r="AD108" s="28"/>
      <c r="AE108" s="26"/>
      <c r="AF108" s="28"/>
    </row>
    <row r="109" spans="1:32" ht="12.6" customHeight="1" x14ac:dyDescent="0.25">
      <c r="A109" s="14">
        <v>45666</v>
      </c>
      <c r="B109" s="14" t="s">
        <v>45</v>
      </c>
      <c r="C109" s="15">
        <v>6</v>
      </c>
      <c r="D109" s="16"/>
      <c r="E109" s="16"/>
      <c r="F109" s="17"/>
      <c r="G109" s="21"/>
      <c r="H109" s="21"/>
      <c r="I109" s="4">
        <v>0</v>
      </c>
      <c r="J109" s="4">
        <v>0</v>
      </c>
      <c r="K109" s="4"/>
      <c r="L109" s="16"/>
      <c r="M109" s="4"/>
      <c r="N109" s="4"/>
      <c r="O109" s="4"/>
      <c r="P109" s="4"/>
      <c r="Q109" s="4"/>
      <c r="R109" s="4"/>
      <c r="S109" s="4">
        <v>0</v>
      </c>
      <c r="T109" s="4">
        <v>0</v>
      </c>
      <c r="U109" s="4">
        <v>0</v>
      </c>
      <c r="V109" s="4">
        <v>0</v>
      </c>
      <c r="W109" s="4"/>
      <c r="X109" s="4">
        <v>0</v>
      </c>
      <c r="Y109" s="4"/>
      <c r="Z109" s="4">
        <v>0</v>
      </c>
      <c r="AA109" s="4"/>
      <c r="AB109" s="18"/>
      <c r="AC109" s="18">
        <v>2</v>
      </c>
      <c r="AD109" s="28"/>
      <c r="AE109" s="26"/>
      <c r="AF109" s="28"/>
    </row>
    <row r="110" spans="1:32" ht="12.6" customHeight="1" x14ac:dyDescent="0.25">
      <c r="A110" s="14">
        <v>45666</v>
      </c>
      <c r="B110" s="14" t="s">
        <v>46</v>
      </c>
      <c r="C110" s="15">
        <v>6</v>
      </c>
      <c r="D110" s="16"/>
      <c r="E110" s="16"/>
      <c r="F110" s="17"/>
      <c r="G110" s="21"/>
      <c r="H110" s="21"/>
      <c r="I110" s="4">
        <v>0</v>
      </c>
      <c r="J110" s="4">
        <v>0</v>
      </c>
      <c r="K110" s="4"/>
      <c r="L110" s="16"/>
      <c r="M110" s="4"/>
      <c r="N110" s="4"/>
      <c r="O110" s="4"/>
      <c r="P110" s="4"/>
      <c r="Q110" s="4"/>
      <c r="R110" s="4"/>
      <c r="S110" s="4">
        <v>0</v>
      </c>
      <c r="T110" s="4">
        <v>0</v>
      </c>
      <c r="U110" s="4">
        <v>0</v>
      </c>
      <c r="V110" s="4">
        <v>0</v>
      </c>
      <c r="W110" s="4"/>
      <c r="X110" s="4">
        <v>0</v>
      </c>
      <c r="Y110" s="4"/>
      <c r="Z110" s="4">
        <v>0</v>
      </c>
      <c r="AA110" s="4"/>
      <c r="AB110" s="18"/>
      <c r="AC110" s="18">
        <v>2</v>
      </c>
      <c r="AD110" s="28"/>
      <c r="AE110" s="26"/>
      <c r="AF110" s="28"/>
    </row>
    <row r="111" spans="1:32" ht="12.6" customHeight="1" x14ac:dyDescent="0.25">
      <c r="A111" s="14">
        <v>45667</v>
      </c>
      <c r="B111" s="14" t="s">
        <v>45</v>
      </c>
      <c r="C111" s="15">
        <v>1</v>
      </c>
      <c r="D111" s="16"/>
      <c r="E111" s="16"/>
      <c r="F111" s="17"/>
      <c r="G111" s="21"/>
      <c r="H111" s="21"/>
      <c r="I111" s="4">
        <v>0</v>
      </c>
      <c r="J111" s="4">
        <v>0</v>
      </c>
      <c r="K111" s="4"/>
      <c r="L111" s="16"/>
      <c r="M111" s="4"/>
      <c r="N111" s="4"/>
      <c r="O111" s="4"/>
      <c r="P111" s="4"/>
      <c r="Q111" s="4"/>
      <c r="R111" s="4"/>
      <c r="S111" s="4">
        <v>0</v>
      </c>
      <c r="T111" s="4">
        <v>0</v>
      </c>
      <c r="U111" s="4">
        <v>0</v>
      </c>
      <c r="V111" s="4">
        <v>12</v>
      </c>
      <c r="W111" s="4">
        <v>12</v>
      </c>
      <c r="X111" s="4">
        <v>35</v>
      </c>
      <c r="Y111" s="4">
        <v>1522</v>
      </c>
      <c r="Z111" s="4">
        <v>195.58</v>
      </c>
      <c r="AA111" s="4">
        <v>2800</v>
      </c>
      <c r="AB111" s="18">
        <v>398</v>
      </c>
      <c r="AC111" s="18">
        <v>2</v>
      </c>
      <c r="AD111" s="28"/>
      <c r="AE111" s="26"/>
      <c r="AF111" s="28"/>
    </row>
    <row r="112" spans="1:32" ht="12.6" customHeight="1" x14ac:dyDescent="0.25">
      <c r="A112" s="14">
        <v>45667</v>
      </c>
      <c r="B112" s="14" t="s">
        <v>46</v>
      </c>
      <c r="C112" s="15">
        <v>1</v>
      </c>
      <c r="D112" s="16"/>
      <c r="E112" s="16"/>
      <c r="F112" s="17"/>
      <c r="G112" s="21"/>
      <c r="H112" s="21"/>
      <c r="I112" s="4">
        <v>0</v>
      </c>
      <c r="J112" s="4">
        <v>0</v>
      </c>
      <c r="K112" s="4"/>
      <c r="L112" s="16"/>
      <c r="M112" s="4"/>
      <c r="N112" s="4"/>
      <c r="O112" s="4"/>
      <c r="P112" s="4"/>
      <c r="Q112" s="4"/>
      <c r="R112" s="4"/>
      <c r="S112" s="4">
        <v>0</v>
      </c>
      <c r="T112" s="4">
        <v>0</v>
      </c>
      <c r="U112" s="4">
        <v>0</v>
      </c>
      <c r="V112" s="4">
        <v>12</v>
      </c>
      <c r="W112" s="4">
        <v>12</v>
      </c>
      <c r="X112" s="4">
        <v>55</v>
      </c>
      <c r="Y112" s="4"/>
      <c r="Z112" s="4">
        <v>196.36</v>
      </c>
      <c r="AA112" s="4"/>
      <c r="AB112" s="18"/>
      <c r="AC112" s="18">
        <v>2</v>
      </c>
      <c r="AD112" s="28"/>
      <c r="AE112" s="26"/>
      <c r="AF112" s="28"/>
    </row>
    <row r="113" spans="1:32" ht="12.6" customHeight="1" x14ac:dyDescent="0.25">
      <c r="A113" s="14">
        <v>45667</v>
      </c>
      <c r="B113" s="14" t="s">
        <v>45</v>
      </c>
      <c r="C113" s="15">
        <v>2</v>
      </c>
      <c r="D113" s="16"/>
      <c r="E113" s="16"/>
      <c r="F113" s="17"/>
      <c r="G113" s="21"/>
      <c r="H113" s="21"/>
      <c r="I113" s="4">
        <v>0</v>
      </c>
      <c r="J113" s="4">
        <v>0</v>
      </c>
      <c r="K113" s="4"/>
      <c r="L113" s="16"/>
      <c r="M113" s="4"/>
      <c r="N113" s="4"/>
      <c r="O113" s="4"/>
      <c r="P113" s="4"/>
      <c r="Q113" s="4"/>
      <c r="R113" s="4"/>
      <c r="S113" s="4">
        <v>0</v>
      </c>
      <c r="T113" s="4">
        <v>0</v>
      </c>
      <c r="U113" s="4">
        <v>0</v>
      </c>
      <c r="V113" s="4">
        <v>12</v>
      </c>
      <c r="W113" s="4">
        <v>12</v>
      </c>
      <c r="X113" s="4">
        <v>0</v>
      </c>
      <c r="Y113" s="4"/>
      <c r="Z113" s="4">
        <v>107.58</v>
      </c>
      <c r="AA113" s="4"/>
      <c r="AB113" s="18"/>
      <c r="AC113" s="18">
        <v>2</v>
      </c>
      <c r="AD113" s="28"/>
      <c r="AE113" s="26"/>
      <c r="AF113" s="28"/>
    </row>
    <row r="114" spans="1:32" ht="12.6" customHeight="1" x14ac:dyDescent="0.25">
      <c r="A114" s="14">
        <v>45667</v>
      </c>
      <c r="B114" s="14" t="s">
        <v>46</v>
      </c>
      <c r="C114" s="15">
        <v>2</v>
      </c>
      <c r="D114" s="16"/>
      <c r="E114" s="16"/>
      <c r="F114" s="17"/>
      <c r="G114" s="21"/>
      <c r="H114" s="21"/>
      <c r="I114" s="4">
        <v>0</v>
      </c>
      <c r="J114" s="4">
        <v>0</v>
      </c>
      <c r="K114" s="4"/>
      <c r="L114" s="16"/>
      <c r="M114" s="4"/>
      <c r="N114" s="4"/>
      <c r="O114" s="4"/>
      <c r="P114" s="4"/>
      <c r="Q114" s="4"/>
      <c r="R114" s="4"/>
      <c r="S114" s="4">
        <v>0</v>
      </c>
      <c r="T114" s="4">
        <v>0</v>
      </c>
      <c r="U114" s="4">
        <v>0</v>
      </c>
      <c r="V114" s="4">
        <v>12</v>
      </c>
      <c r="W114" s="4">
        <v>12</v>
      </c>
      <c r="X114" s="4">
        <v>0</v>
      </c>
      <c r="Y114" s="4"/>
      <c r="Z114" s="4">
        <v>101.02</v>
      </c>
      <c r="AA114" s="4"/>
      <c r="AB114" s="18"/>
      <c r="AC114" s="18">
        <v>2</v>
      </c>
      <c r="AD114" s="28"/>
      <c r="AE114" s="26"/>
      <c r="AF114" s="28"/>
    </row>
    <row r="115" spans="1:32" ht="12.6" customHeight="1" x14ac:dyDescent="0.25">
      <c r="A115" s="14">
        <v>45667</v>
      </c>
      <c r="B115" s="14" t="s">
        <v>45</v>
      </c>
      <c r="C115" s="15">
        <v>3</v>
      </c>
      <c r="D115" s="16"/>
      <c r="E115" s="16"/>
      <c r="F115" s="17"/>
      <c r="G115" s="21"/>
      <c r="H115" s="21"/>
      <c r="I115" s="4">
        <v>0</v>
      </c>
      <c r="J115" s="4">
        <v>0</v>
      </c>
      <c r="K115" s="4"/>
      <c r="L115" s="16"/>
      <c r="M115" s="4"/>
      <c r="N115" s="4"/>
      <c r="O115" s="4"/>
      <c r="P115" s="4"/>
      <c r="Q115" s="4"/>
      <c r="R115" s="4"/>
      <c r="S115" s="4">
        <v>0</v>
      </c>
      <c r="T115" s="4">
        <v>0</v>
      </c>
      <c r="U115" s="4">
        <v>0</v>
      </c>
      <c r="V115" s="4">
        <v>12</v>
      </c>
      <c r="W115" s="4">
        <v>12</v>
      </c>
      <c r="X115" s="4">
        <v>0</v>
      </c>
      <c r="Y115" s="4"/>
      <c r="Z115" s="4">
        <v>239.57000000000002</v>
      </c>
      <c r="AA115" s="4"/>
      <c r="AB115" s="18"/>
      <c r="AC115" s="18">
        <v>2</v>
      </c>
      <c r="AD115" s="28"/>
      <c r="AE115" s="26"/>
      <c r="AF115" s="28"/>
    </row>
    <row r="116" spans="1:32" ht="12.6" customHeight="1" x14ac:dyDescent="0.25">
      <c r="A116" s="14">
        <v>45667</v>
      </c>
      <c r="B116" s="14" t="s">
        <v>46</v>
      </c>
      <c r="C116" s="15">
        <v>3</v>
      </c>
      <c r="D116" s="16"/>
      <c r="E116" s="16"/>
      <c r="F116" s="17"/>
      <c r="G116" s="21"/>
      <c r="H116" s="21"/>
      <c r="I116" s="4">
        <v>0</v>
      </c>
      <c r="J116" s="4">
        <v>0</v>
      </c>
      <c r="K116" s="4"/>
      <c r="L116" s="16"/>
      <c r="M116" s="4"/>
      <c r="N116" s="4"/>
      <c r="O116" s="4"/>
      <c r="P116" s="4"/>
      <c r="Q116" s="4"/>
      <c r="R116" s="4"/>
      <c r="S116" s="4">
        <v>0</v>
      </c>
      <c r="T116" s="4">
        <v>0</v>
      </c>
      <c r="U116" s="4">
        <v>0</v>
      </c>
      <c r="V116" s="4">
        <v>12</v>
      </c>
      <c r="W116" s="4">
        <v>12</v>
      </c>
      <c r="X116" s="4">
        <v>0</v>
      </c>
      <c r="Y116" s="4"/>
      <c r="Z116" s="4">
        <v>378.89</v>
      </c>
      <c r="AA116" s="4"/>
      <c r="AB116" s="18"/>
      <c r="AC116" s="18">
        <v>2</v>
      </c>
      <c r="AD116" s="28"/>
      <c r="AE116" s="26"/>
      <c r="AF116" s="28"/>
    </row>
    <row r="117" spans="1:32" ht="12.6" customHeight="1" x14ac:dyDescent="0.25">
      <c r="A117" s="14">
        <v>45667</v>
      </c>
      <c r="B117" s="14" t="s">
        <v>45</v>
      </c>
      <c r="C117" s="15">
        <v>4</v>
      </c>
      <c r="D117" s="16"/>
      <c r="E117" s="16"/>
      <c r="F117" s="17"/>
      <c r="G117" s="21"/>
      <c r="H117" s="21"/>
      <c r="I117" s="4">
        <v>0</v>
      </c>
      <c r="J117" s="4">
        <v>0</v>
      </c>
      <c r="K117" s="4"/>
      <c r="L117" s="16"/>
      <c r="M117" s="4"/>
      <c r="N117" s="4"/>
      <c r="O117" s="4"/>
      <c r="P117" s="4"/>
      <c r="Q117" s="4"/>
      <c r="R117" s="4"/>
      <c r="S117" s="4">
        <v>0</v>
      </c>
      <c r="T117" s="4">
        <v>0</v>
      </c>
      <c r="U117" s="4">
        <v>0</v>
      </c>
      <c r="V117" s="4">
        <v>12</v>
      </c>
      <c r="W117" s="4">
        <v>12</v>
      </c>
      <c r="X117" s="4">
        <v>0</v>
      </c>
      <c r="Y117" s="4"/>
      <c r="Z117" s="4">
        <v>424.05</v>
      </c>
      <c r="AA117" s="4"/>
      <c r="AB117" s="18"/>
      <c r="AC117" s="18">
        <v>2</v>
      </c>
      <c r="AD117" s="28"/>
      <c r="AE117" s="26"/>
      <c r="AF117" s="28"/>
    </row>
    <row r="118" spans="1:32" ht="12.6" customHeight="1" x14ac:dyDescent="0.25">
      <c r="A118" s="14">
        <v>45667</v>
      </c>
      <c r="B118" s="14" t="s">
        <v>46</v>
      </c>
      <c r="C118" s="15">
        <v>4</v>
      </c>
      <c r="D118" s="16"/>
      <c r="E118" s="16"/>
      <c r="F118" s="17"/>
      <c r="G118" s="21"/>
      <c r="H118" s="21"/>
      <c r="I118" s="4">
        <v>0</v>
      </c>
      <c r="J118" s="4">
        <v>0</v>
      </c>
      <c r="K118" s="4"/>
      <c r="L118" s="16"/>
      <c r="M118" s="4"/>
      <c r="N118" s="4"/>
      <c r="O118" s="4"/>
      <c r="P118" s="4"/>
      <c r="Q118" s="4"/>
      <c r="R118" s="4"/>
      <c r="S118" s="4">
        <v>0</v>
      </c>
      <c r="T118" s="4">
        <v>0</v>
      </c>
      <c r="U118" s="4">
        <v>0</v>
      </c>
      <c r="V118" s="4">
        <v>0</v>
      </c>
      <c r="W118" s="4"/>
      <c r="X118" s="4">
        <v>0</v>
      </c>
      <c r="Y118" s="4"/>
      <c r="Z118" s="4">
        <v>0</v>
      </c>
      <c r="AA118" s="4"/>
      <c r="AB118" s="18"/>
      <c r="AC118" s="18">
        <v>2</v>
      </c>
      <c r="AD118" s="28"/>
      <c r="AE118" s="26"/>
      <c r="AF118" s="28"/>
    </row>
    <row r="119" spans="1:32" ht="12.6" customHeight="1" x14ac:dyDescent="0.25">
      <c r="A119" s="14">
        <v>45667</v>
      </c>
      <c r="B119" s="14" t="s">
        <v>45</v>
      </c>
      <c r="C119" s="15">
        <v>5</v>
      </c>
      <c r="D119" s="16">
        <v>30</v>
      </c>
      <c r="E119" s="16"/>
      <c r="F119" s="17"/>
      <c r="G119" s="21"/>
      <c r="H119" s="21"/>
      <c r="I119" s="4">
        <v>30</v>
      </c>
      <c r="J119" s="4">
        <v>0.5</v>
      </c>
      <c r="K119" s="4"/>
      <c r="L119" s="16"/>
      <c r="M119" s="4"/>
      <c r="N119" s="4"/>
      <c r="O119" s="4"/>
      <c r="P119" s="4"/>
      <c r="Q119" s="4"/>
      <c r="R119" s="4"/>
      <c r="S119" s="4">
        <v>0</v>
      </c>
      <c r="T119" s="4">
        <v>0</v>
      </c>
      <c r="U119" s="4">
        <v>0.5</v>
      </c>
      <c r="V119" s="4">
        <v>11.5</v>
      </c>
      <c r="W119" s="4">
        <v>12</v>
      </c>
      <c r="X119" s="4">
        <v>0</v>
      </c>
      <c r="Y119" s="4"/>
      <c r="Z119" s="4">
        <v>555.85</v>
      </c>
      <c r="AA119" s="4"/>
      <c r="AB119" s="18"/>
      <c r="AC119" s="18">
        <v>2</v>
      </c>
      <c r="AD119" s="28"/>
      <c r="AE119" s="26"/>
      <c r="AF119" s="28"/>
    </row>
    <row r="120" spans="1:32" ht="12.6" customHeight="1" x14ac:dyDescent="0.25">
      <c r="A120" s="14">
        <v>45667</v>
      </c>
      <c r="B120" s="14" t="s">
        <v>46</v>
      </c>
      <c r="C120" s="15">
        <v>5</v>
      </c>
      <c r="D120" s="16"/>
      <c r="E120" s="16"/>
      <c r="F120" s="17"/>
      <c r="G120" s="21"/>
      <c r="H120" s="21"/>
      <c r="I120" s="4">
        <v>0</v>
      </c>
      <c r="J120" s="4">
        <v>0</v>
      </c>
      <c r="K120" s="4"/>
      <c r="L120" s="16"/>
      <c r="M120" s="4"/>
      <c r="N120" s="4"/>
      <c r="O120" s="4"/>
      <c r="P120" s="4"/>
      <c r="Q120" s="4"/>
      <c r="R120" s="4"/>
      <c r="S120" s="4">
        <v>0</v>
      </c>
      <c r="T120" s="4">
        <v>0</v>
      </c>
      <c r="U120" s="4">
        <v>0</v>
      </c>
      <c r="V120" s="4">
        <v>12</v>
      </c>
      <c r="W120" s="4">
        <v>12</v>
      </c>
      <c r="X120" s="4">
        <v>0</v>
      </c>
      <c r="Y120" s="4"/>
      <c r="Z120" s="4">
        <v>546.44000000000005</v>
      </c>
      <c r="AA120" s="4"/>
      <c r="AB120" s="18"/>
      <c r="AC120" s="18">
        <v>2</v>
      </c>
      <c r="AD120" s="28"/>
      <c r="AE120" s="26"/>
      <c r="AF120" s="28"/>
    </row>
    <row r="121" spans="1:32" ht="12.6" customHeight="1" x14ac:dyDescent="0.25">
      <c r="A121" s="14">
        <v>45667</v>
      </c>
      <c r="B121" s="14" t="s">
        <v>45</v>
      </c>
      <c r="C121" s="15">
        <v>6</v>
      </c>
      <c r="D121" s="16"/>
      <c r="E121" s="16"/>
      <c r="F121" s="17"/>
      <c r="G121" s="21"/>
      <c r="H121" s="21"/>
      <c r="I121" s="4">
        <v>0</v>
      </c>
      <c r="J121" s="4">
        <v>0</v>
      </c>
      <c r="K121" s="4"/>
      <c r="L121" s="16"/>
      <c r="M121" s="4"/>
      <c r="N121" s="4"/>
      <c r="O121" s="4"/>
      <c r="P121" s="4"/>
      <c r="Q121" s="4"/>
      <c r="R121" s="4"/>
      <c r="S121" s="4">
        <v>0</v>
      </c>
      <c r="T121" s="4">
        <v>0</v>
      </c>
      <c r="U121" s="4">
        <v>0</v>
      </c>
      <c r="V121" s="4">
        <v>0</v>
      </c>
      <c r="W121" s="4"/>
      <c r="X121" s="4">
        <v>0</v>
      </c>
      <c r="Y121" s="4"/>
      <c r="Z121" s="4">
        <v>0</v>
      </c>
      <c r="AA121" s="4"/>
      <c r="AB121" s="18"/>
      <c r="AC121" s="18">
        <v>2</v>
      </c>
      <c r="AD121" s="28"/>
      <c r="AE121" s="26"/>
      <c r="AF121" s="28"/>
    </row>
    <row r="122" spans="1:32" ht="12.6" customHeight="1" x14ac:dyDescent="0.25">
      <c r="A122" s="14">
        <v>45667</v>
      </c>
      <c r="B122" s="14" t="s">
        <v>46</v>
      </c>
      <c r="C122" s="15">
        <v>6</v>
      </c>
      <c r="D122" s="16"/>
      <c r="E122" s="16"/>
      <c r="F122" s="17"/>
      <c r="G122" s="21"/>
      <c r="H122" s="21"/>
      <c r="I122" s="4">
        <v>0</v>
      </c>
      <c r="J122" s="4">
        <v>0</v>
      </c>
      <c r="K122" s="4"/>
      <c r="L122" s="16"/>
      <c r="M122" s="4"/>
      <c r="N122" s="4"/>
      <c r="O122" s="4"/>
      <c r="P122" s="4"/>
      <c r="Q122" s="4"/>
      <c r="R122" s="4"/>
      <c r="S122" s="4">
        <v>0</v>
      </c>
      <c r="T122" s="4">
        <v>0</v>
      </c>
      <c r="U122" s="4">
        <v>0</v>
      </c>
      <c r="V122" s="4">
        <v>0</v>
      </c>
      <c r="W122" s="4"/>
      <c r="X122" s="4">
        <v>0</v>
      </c>
      <c r="Y122" s="4"/>
      <c r="Z122" s="4">
        <v>0</v>
      </c>
      <c r="AA122" s="4"/>
      <c r="AB122" s="18"/>
      <c r="AC122" s="18">
        <v>2</v>
      </c>
      <c r="AD122" s="28"/>
      <c r="AE122" s="26"/>
      <c r="AF122" s="28"/>
    </row>
    <row r="123" spans="1:32" ht="12.6" customHeight="1" x14ac:dyDescent="0.25">
      <c r="A123" s="14">
        <v>45668</v>
      </c>
      <c r="B123" s="14" t="s">
        <v>45</v>
      </c>
      <c r="C123" s="15">
        <v>1</v>
      </c>
      <c r="D123" s="16">
        <v>25</v>
      </c>
      <c r="E123" s="16"/>
      <c r="F123" s="17"/>
      <c r="G123" s="21"/>
      <c r="H123" s="21"/>
      <c r="I123" s="4">
        <v>25</v>
      </c>
      <c r="J123" s="4">
        <v>0.41666666666666669</v>
      </c>
      <c r="K123" s="4"/>
      <c r="L123" s="16"/>
      <c r="M123" s="4"/>
      <c r="N123" s="4"/>
      <c r="O123" s="4"/>
      <c r="P123" s="4"/>
      <c r="Q123" s="4"/>
      <c r="R123" s="4"/>
      <c r="S123" s="4">
        <v>0</v>
      </c>
      <c r="T123" s="4">
        <v>0</v>
      </c>
      <c r="U123" s="4">
        <v>0.41666666666666669</v>
      </c>
      <c r="V123" s="4">
        <v>11.583333333333334</v>
      </c>
      <c r="W123" s="4">
        <v>12</v>
      </c>
      <c r="X123" s="4">
        <v>30</v>
      </c>
      <c r="Y123" s="4">
        <v>1693</v>
      </c>
      <c r="Z123" s="4">
        <v>186.65999999999997</v>
      </c>
      <c r="AA123" s="4">
        <v>3000</v>
      </c>
      <c r="AB123" s="18">
        <v>398</v>
      </c>
      <c r="AC123" s="18">
        <v>2</v>
      </c>
      <c r="AD123" s="28"/>
      <c r="AE123" s="26"/>
      <c r="AF123" s="28"/>
    </row>
    <row r="124" spans="1:32" ht="12.6" customHeight="1" x14ac:dyDescent="0.25">
      <c r="A124" s="14">
        <v>45668</v>
      </c>
      <c r="B124" s="14" t="s">
        <v>46</v>
      </c>
      <c r="C124" s="15">
        <v>1</v>
      </c>
      <c r="D124" s="16"/>
      <c r="E124" s="16"/>
      <c r="F124" s="17"/>
      <c r="G124" s="21"/>
      <c r="H124" s="21"/>
      <c r="I124" s="4">
        <v>0</v>
      </c>
      <c r="J124" s="4">
        <v>0</v>
      </c>
      <c r="K124" s="4"/>
      <c r="L124" s="16"/>
      <c r="M124" s="4"/>
      <c r="N124" s="4"/>
      <c r="O124" s="4"/>
      <c r="P124" s="4"/>
      <c r="Q124" s="4"/>
      <c r="R124" s="4"/>
      <c r="S124" s="4">
        <v>0</v>
      </c>
      <c r="T124" s="4">
        <v>0</v>
      </c>
      <c r="U124" s="4">
        <v>0</v>
      </c>
      <c r="V124" s="4">
        <v>12</v>
      </c>
      <c r="W124" s="4">
        <v>12</v>
      </c>
      <c r="X124" s="4">
        <v>40</v>
      </c>
      <c r="Y124" s="4"/>
      <c r="Z124" s="4">
        <v>167.56</v>
      </c>
      <c r="AA124" s="4"/>
      <c r="AB124" s="18"/>
      <c r="AC124" s="18">
        <v>2</v>
      </c>
      <c r="AD124" s="28"/>
      <c r="AE124" s="26"/>
      <c r="AF124" s="28"/>
    </row>
    <row r="125" spans="1:32" ht="12.6" customHeight="1" x14ac:dyDescent="0.25">
      <c r="A125" s="14">
        <v>45668</v>
      </c>
      <c r="B125" s="14" t="s">
        <v>45</v>
      </c>
      <c r="C125" s="15">
        <v>2</v>
      </c>
      <c r="D125" s="16">
        <v>20</v>
      </c>
      <c r="E125" s="16"/>
      <c r="F125" s="17"/>
      <c r="G125" s="21"/>
      <c r="H125" s="21"/>
      <c r="I125" s="4">
        <v>20</v>
      </c>
      <c r="J125" s="4">
        <v>0.33333333333333331</v>
      </c>
      <c r="K125" s="4"/>
      <c r="L125" s="16"/>
      <c r="M125" s="4"/>
      <c r="N125" s="4"/>
      <c r="O125" s="4"/>
      <c r="P125" s="4"/>
      <c r="Q125" s="4"/>
      <c r="R125" s="4"/>
      <c r="S125" s="4">
        <v>0</v>
      </c>
      <c r="T125" s="4">
        <v>0</v>
      </c>
      <c r="U125" s="4">
        <v>0.33333333333333331</v>
      </c>
      <c r="V125" s="4">
        <v>11.666666666666666</v>
      </c>
      <c r="W125" s="4">
        <v>12</v>
      </c>
      <c r="X125" s="4">
        <v>0</v>
      </c>
      <c r="Y125" s="4"/>
      <c r="Z125" s="4">
        <v>76.59</v>
      </c>
      <c r="AA125" s="4"/>
      <c r="AB125" s="18"/>
      <c r="AC125" s="18">
        <v>2</v>
      </c>
      <c r="AD125" s="28"/>
      <c r="AE125" s="26"/>
      <c r="AF125" s="28"/>
    </row>
    <row r="126" spans="1:32" ht="12.6" customHeight="1" x14ac:dyDescent="0.25">
      <c r="A126" s="14">
        <v>45668</v>
      </c>
      <c r="B126" s="14" t="s">
        <v>46</v>
      </c>
      <c r="C126" s="15">
        <v>2</v>
      </c>
      <c r="D126" s="16"/>
      <c r="E126" s="16"/>
      <c r="F126" s="17"/>
      <c r="G126" s="21"/>
      <c r="H126" s="21"/>
      <c r="I126" s="4">
        <v>0</v>
      </c>
      <c r="J126" s="4">
        <v>0</v>
      </c>
      <c r="K126" s="4"/>
      <c r="L126" s="16"/>
      <c r="M126" s="4"/>
      <c r="N126" s="4"/>
      <c r="O126" s="4"/>
      <c r="P126" s="4"/>
      <c r="Q126" s="4"/>
      <c r="R126" s="4"/>
      <c r="S126" s="4">
        <v>0</v>
      </c>
      <c r="T126" s="4">
        <v>0</v>
      </c>
      <c r="U126" s="4">
        <v>0</v>
      </c>
      <c r="V126" s="4">
        <v>12</v>
      </c>
      <c r="W126" s="4">
        <v>12</v>
      </c>
      <c r="X126" s="4">
        <v>0</v>
      </c>
      <c r="Y126" s="4"/>
      <c r="Z126" s="4">
        <v>51.989999999999995</v>
      </c>
      <c r="AA126" s="4"/>
      <c r="AB126" s="18"/>
      <c r="AC126" s="18">
        <v>2</v>
      </c>
      <c r="AD126" s="28"/>
      <c r="AE126" s="26"/>
      <c r="AF126" s="28"/>
    </row>
    <row r="127" spans="1:32" ht="12.6" customHeight="1" x14ac:dyDescent="0.25">
      <c r="A127" s="14">
        <v>45668</v>
      </c>
      <c r="B127" s="14" t="s">
        <v>45</v>
      </c>
      <c r="C127" s="15">
        <v>3</v>
      </c>
      <c r="D127" s="16"/>
      <c r="E127" s="16"/>
      <c r="F127" s="17"/>
      <c r="G127" s="21"/>
      <c r="H127" s="21"/>
      <c r="I127" s="4">
        <v>0</v>
      </c>
      <c r="J127" s="4">
        <v>0</v>
      </c>
      <c r="K127" s="4"/>
      <c r="L127" s="16"/>
      <c r="M127" s="4"/>
      <c r="N127" s="4"/>
      <c r="O127" s="4"/>
      <c r="P127" s="4"/>
      <c r="Q127" s="4"/>
      <c r="R127" s="4"/>
      <c r="S127" s="4">
        <v>0</v>
      </c>
      <c r="T127" s="4">
        <v>0</v>
      </c>
      <c r="U127" s="4">
        <v>0</v>
      </c>
      <c r="V127" s="4">
        <v>12</v>
      </c>
      <c r="W127" s="4">
        <v>12</v>
      </c>
      <c r="X127" s="4">
        <v>0</v>
      </c>
      <c r="Y127" s="4"/>
      <c r="Z127" s="4">
        <v>297.56000000000006</v>
      </c>
      <c r="AA127" s="4"/>
      <c r="AB127" s="18"/>
      <c r="AC127" s="18">
        <v>2</v>
      </c>
      <c r="AD127" s="28"/>
      <c r="AE127" s="26"/>
      <c r="AF127" s="28"/>
    </row>
    <row r="128" spans="1:32" ht="12.6" customHeight="1" x14ac:dyDescent="0.25">
      <c r="A128" s="14">
        <v>45668</v>
      </c>
      <c r="B128" s="14" t="s">
        <v>46</v>
      </c>
      <c r="C128" s="15">
        <v>3</v>
      </c>
      <c r="D128" s="16"/>
      <c r="E128" s="16"/>
      <c r="F128" s="17"/>
      <c r="G128" s="21"/>
      <c r="H128" s="21"/>
      <c r="I128" s="4">
        <v>0</v>
      </c>
      <c r="J128" s="4">
        <v>0</v>
      </c>
      <c r="K128" s="4"/>
      <c r="L128" s="16"/>
      <c r="M128" s="4"/>
      <c r="N128" s="4"/>
      <c r="O128" s="4"/>
      <c r="P128" s="4"/>
      <c r="Q128" s="4"/>
      <c r="R128" s="4"/>
      <c r="S128" s="4">
        <v>0</v>
      </c>
      <c r="T128" s="4">
        <v>0</v>
      </c>
      <c r="U128" s="4">
        <v>0</v>
      </c>
      <c r="V128" s="4">
        <v>12</v>
      </c>
      <c r="W128" s="4">
        <v>12</v>
      </c>
      <c r="X128" s="4">
        <v>0</v>
      </c>
      <c r="Y128" s="4"/>
      <c r="Z128" s="4">
        <v>237.58999999999997</v>
      </c>
      <c r="AA128" s="4"/>
      <c r="AB128" s="18"/>
      <c r="AC128" s="18">
        <v>2</v>
      </c>
      <c r="AD128" s="28"/>
      <c r="AE128" s="26"/>
      <c r="AF128" s="28"/>
    </row>
    <row r="129" spans="1:32" ht="12.6" customHeight="1" x14ac:dyDescent="0.25">
      <c r="A129" s="14">
        <v>45668</v>
      </c>
      <c r="B129" s="14" t="s">
        <v>45</v>
      </c>
      <c r="C129" s="15">
        <v>4</v>
      </c>
      <c r="D129" s="16">
        <v>20</v>
      </c>
      <c r="E129" s="16"/>
      <c r="F129" s="17"/>
      <c r="G129" s="21"/>
      <c r="H129" s="21"/>
      <c r="I129" s="4">
        <v>20</v>
      </c>
      <c r="J129" s="4">
        <v>0.33333333333333331</v>
      </c>
      <c r="K129" s="4"/>
      <c r="L129" s="16"/>
      <c r="M129" s="4"/>
      <c r="N129" s="4"/>
      <c r="O129" s="4"/>
      <c r="P129" s="4"/>
      <c r="Q129" s="4"/>
      <c r="R129" s="4"/>
      <c r="S129" s="4">
        <v>0</v>
      </c>
      <c r="T129" s="4">
        <v>0</v>
      </c>
      <c r="U129" s="4">
        <v>0.33333333333333331</v>
      </c>
      <c r="V129" s="4">
        <v>11.666666666666666</v>
      </c>
      <c r="W129" s="4">
        <v>12</v>
      </c>
      <c r="X129" s="4">
        <v>0</v>
      </c>
      <c r="Y129" s="4"/>
      <c r="Z129" s="4">
        <v>486.68</v>
      </c>
      <c r="AA129" s="4"/>
      <c r="AB129" s="18"/>
      <c r="AC129" s="18">
        <v>2</v>
      </c>
      <c r="AD129" s="28"/>
      <c r="AE129" s="26"/>
      <c r="AF129" s="28"/>
    </row>
    <row r="130" spans="1:32" ht="12.6" customHeight="1" x14ac:dyDescent="0.25">
      <c r="A130" s="14">
        <v>45668</v>
      </c>
      <c r="B130" s="14" t="s">
        <v>46</v>
      </c>
      <c r="C130" s="15">
        <v>4</v>
      </c>
      <c r="D130" s="16"/>
      <c r="E130" s="16"/>
      <c r="F130" s="17"/>
      <c r="G130" s="21"/>
      <c r="H130" s="21"/>
      <c r="I130" s="4">
        <v>0</v>
      </c>
      <c r="J130" s="4">
        <v>0</v>
      </c>
      <c r="K130" s="4"/>
      <c r="L130" s="16"/>
      <c r="M130" s="4"/>
      <c r="N130" s="4"/>
      <c r="O130" s="4"/>
      <c r="P130" s="4"/>
      <c r="Q130" s="4"/>
      <c r="R130" s="4"/>
      <c r="S130" s="4">
        <v>0</v>
      </c>
      <c r="T130" s="4">
        <v>0</v>
      </c>
      <c r="U130" s="4">
        <v>0</v>
      </c>
      <c r="V130" s="4">
        <v>12</v>
      </c>
      <c r="W130" s="4">
        <v>12</v>
      </c>
      <c r="X130" s="4">
        <v>0</v>
      </c>
      <c r="Y130" s="4"/>
      <c r="Z130" s="4">
        <v>558.27</v>
      </c>
      <c r="AA130" s="4"/>
      <c r="AB130" s="18"/>
      <c r="AC130" s="18">
        <v>2</v>
      </c>
      <c r="AD130" s="28"/>
      <c r="AE130" s="26"/>
      <c r="AF130" s="28"/>
    </row>
    <row r="131" spans="1:32" ht="12.6" customHeight="1" x14ac:dyDescent="0.25">
      <c r="A131" s="14">
        <v>45668</v>
      </c>
      <c r="B131" s="14" t="s">
        <v>45</v>
      </c>
      <c r="C131" s="15">
        <v>5</v>
      </c>
      <c r="D131" s="16"/>
      <c r="E131" s="16"/>
      <c r="F131" s="17"/>
      <c r="G131" s="21"/>
      <c r="H131" s="21"/>
      <c r="I131" s="4">
        <v>0</v>
      </c>
      <c r="J131" s="4">
        <v>0</v>
      </c>
      <c r="K131" s="4"/>
      <c r="L131" s="16"/>
      <c r="M131" s="4"/>
      <c r="N131" s="4"/>
      <c r="O131" s="4"/>
      <c r="P131" s="4"/>
      <c r="Q131" s="4"/>
      <c r="R131" s="4"/>
      <c r="S131" s="4">
        <v>0</v>
      </c>
      <c r="T131" s="4">
        <v>0</v>
      </c>
      <c r="U131" s="4">
        <v>0</v>
      </c>
      <c r="V131" s="4">
        <v>12</v>
      </c>
      <c r="W131" s="4">
        <v>12</v>
      </c>
      <c r="X131" s="4">
        <v>0</v>
      </c>
      <c r="Y131" s="4"/>
      <c r="Z131" s="4">
        <v>550.93000000000006</v>
      </c>
      <c r="AA131" s="4"/>
      <c r="AB131" s="18"/>
      <c r="AC131" s="18">
        <v>2</v>
      </c>
      <c r="AD131" s="28"/>
      <c r="AE131" s="26"/>
      <c r="AF131" s="28"/>
    </row>
    <row r="132" spans="1:32" ht="12.6" customHeight="1" x14ac:dyDescent="0.25">
      <c r="A132" s="14">
        <v>45668</v>
      </c>
      <c r="B132" s="14" t="s">
        <v>46</v>
      </c>
      <c r="C132" s="15">
        <v>5</v>
      </c>
      <c r="D132" s="16"/>
      <c r="E132" s="16"/>
      <c r="F132" s="17"/>
      <c r="G132" s="21"/>
      <c r="H132" s="21"/>
      <c r="I132" s="4">
        <v>0</v>
      </c>
      <c r="J132" s="4">
        <v>0</v>
      </c>
      <c r="K132" s="4"/>
      <c r="L132" s="16"/>
      <c r="M132" s="4"/>
      <c r="N132" s="4"/>
      <c r="O132" s="4"/>
      <c r="P132" s="4"/>
      <c r="Q132" s="4"/>
      <c r="R132" s="4"/>
      <c r="S132" s="4">
        <v>0</v>
      </c>
      <c r="T132" s="4">
        <v>0</v>
      </c>
      <c r="U132" s="4">
        <v>0</v>
      </c>
      <c r="V132" s="4">
        <v>12</v>
      </c>
      <c r="W132" s="4">
        <v>12</v>
      </c>
      <c r="X132" s="4">
        <v>0</v>
      </c>
      <c r="Y132" s="4"/>
      <c r="Z132" s="4">
        <v>408.19000000000005</v>
      </c>
      <c r="AA132" s="4"/>
      <c r="AB132" s="18"/>
      <c r="AC132" s="18">
        <v>2</v>
      </c>
      <c r="AD132" s="28"/>
      <c r="AE132" s="26"/>
      <c r="AF132" s="28"/>
    </row>
    <row r="133" spans="1:32" ht="12.6" customHeight="1" x14ac:dyDescent="0.25">
      <c r="A133" s="14">
        <v>45668</v>
      </c>
      <c r="B133" s="14" t="s">
        <v>45</v>
      </c>
      <c r="C133" s="15">
        <v>6</v>
      </c>
      <c r="D133" s="16"/>
      <c r="E133" s="16"/>
      <c r="F133" s="17"/>
      <c r="G133" s="21"/>
      <c r="H133" s="21"/>
      <c r="I133" s="4">
        <v>0</v>
      </c>
      <c r="J133" s="4">
        <v>0</v>
      </c>
      <c r="K133" s="4"/>
      <c r="L133" s="16"/>
      <c r="M133" s="4"/>
      <c r="N133" s="4"/>
      <c r="O133" s="4"/>
      <c r="P133" s="4"/>
      <c r="Q133" s="4"/>
      <c r="R133" s="4"/>
      <c r="S133" s="4">
        <v>0</v>
      </c>
      <c r="T133" s="4">
        <v>0</v>
      </c>
      <c r="U133" s="4">
        <v>0</v>
      </c>
      <c r="V133" s="4">
        <v>0</v>
      </c>
      <c r="W133" s="4"/>
      <c r="X133" s="4">
        <v>0</v>
      </c>
      <c r="Y133" s="4"/>
      <c r="Z133" s="4">
        <v>0</v>
      </c>
      <c r="AA133" s="4"/>
      <c r="AB133" s="18"/>
      <c r="AC133" s="18">
        <v>2</v>
      </c>
      <c r="AD133" s="28"/>
      <c r="AE133" s="26"/>
      <c r="AF133" s="28"/>
    </row>
    <row r="134" spans="1:32" ht="12.6" customHeight="1" x14ac:dyDescent="0.25">
      <c r="A134" s="14">
        <v>45668</v>
      </c>
      <c r="B134" s="14" t="s">
        <v>46</v>
      </c>
      <c r="C134" s="15">
        <v>6</v>
      </c>
      <c r="D134" s="16"/>
      <c r="E134" s="16"/>
      <c r="F134" s="17"/>
      <c r="G134" s="21"/>
      <c r="H134" s="21"/>
      <c r="I134" s="4">
        <v>0</v>
      </c>
      <c r="J134" s="4">
        <v>0</v>
      </c>
      <c r="K134" s="4"/>
      <c r="L134" s="16"/>
      <c r="M134" s="4"/>
      <c r="N134" s="4"/>
      <c r="O134" s="4"/>
      <c r="P134" s="4"/>
      <c r="Q134" s="4"/>
      <c r="R134" s="4"/>
      <c r="S134" s="4">
        <v>0</v>
      </c>
      <c r="T134" s="4">
        <v>0</v>
      </c>
      <c r="U134" s="4">
        <v>0</v>
      </c>
      <c r="V134" s="4">
        <v>0</v>
      </c>
      <c r="W134" s="4"/>
      <c r="X134" s="4">
        <v>0</v>
      </c>
      <c r="Y134" s="4"/>
      <c r="Z134" s="4">
        <v>0</v>
      </c>
      <c r="AA134" s="4"/>
      <c r="AB134" s="18"/>
      <c r="AC134" s="18">
        <v>2</v>
      </c>
      <c r="AD134" s="28"/>
      <c r="AE134" s="26"/>
      <c r="AF134" s="28"/>
    </row>
    <row r="135" spans="1:32" ht="12.4" customHeight="1" x14ac:dyDescent="0.25">
      <c r="A135" s="14">
        <v>45670</v>
      </c>
      <c r="B135" s="14" t="s">
        <v>45</v>
      </c>
      <c r="C135" s="15">
        <v>1</v>
      </c>
      <c r="D135" s="16"/>
      <c r="E135" s="16"/>
      <c r="F135" s="17"/>
      <c r="G135" s="21"/>
      <c r="H135" s="21"/>
      <c r="I135" s="4">
        <v>0</v>
      </c>
      <c r="J135" s="4">
        <v>0</v>
      </c>
      <c r="K135" s="4"/>
      <c r="L135" s="16"/>
      <c r="M135" s="4"/>
      <c r="N135" s="4">
        <v>20</v>
      </c>
      <c r="O135" s="4"/>
      <c r="P135" s="4"/>
      <c r="Q135" s="4"/>
      <c r="R135" s="4"/>
      <c r="S135" s="4">
        <v>20</v>
      </c>
      <c r="T135" s="4">
        <v>0.33333333333333331</v>
      </c>
      <c r="U135" s="4">
        <v>0.33333333333333331</v>
      </c>
      <c r="V135" s="4">
        <v>11.666666666666666</v>
      </c>
      <c r="W135" s="4">
        <v>12</v>
      </c>
      <c r="X135" s="4">
        <v>104</v>
      </c>
      <c r="Y135" s="4">
        <v>1839</v>
      </c>
      <c r="Z135" s="4">
        <v>93.77</v>
      </c>
      <c r="AA135" s="4">
        <v>100</v>
      </c>
      <c r="AB135" s="18">
        <v>398</v>
      </c>
      <c r="AC135" s="18">
        <v>3</v>
      </c>
      <c r="AD135" s="28"/>
      <c r="AE135" s="26"/>
      <c r="AF135" s="28"/>
    </row>
    <row r="136" spans="1:32" ht="12.4" customHeight="1" x14ac:dyDescent="0.25">
      <c r="A136" s="14">
        <v>45670</v>
      </c>
      <c r="B136" s="14" t="s">
        <v>46</v>
      </c>
      <c r="C136" s="15">
        <v>1</v>
      </c>
      <c r="D136" s="16"/>
      <c r="E136" s="16"/>
      <c r="F136" s="17"/>
      <c r="G136" s="21"/>
      <c r="H136" s="21"/>
      <c r="I136" s="4">
        <v>0</v>
      </c>
      <c r="J136" s="4">
        <v>0</v>
      </c>
      <c r="K136" s="4"/>
      <c r="L136" s="16"/>
      <c r="M136" s="4"/>
      <c r="N136" s="4"/>
      <c r="O136" s="4"/>
      <c r="P136" s="4"/>
      <c r="Q136" s="4"/>
      <c r="R136" s="4"/>
      <c r="S136" s="4">
        <v>0</v>
      </c>
      <c r="T136" s="4">
        <v>0</v>
      </c>
      <c r="U136" s="4">
        <v>0</v>
      </c>
      <c r="V136" s="4">
        <v>12</v>
      </c>
      <c r="W136" s="4">
        <v>12</v>
      </c>
      <c r="X136" s="4"/>
      <c r="Y136" s="4"/>
      <c r="Z136" s="4">
        <v>223.73</v>
      </c>
      <c r="AA136" s="4">
        <v>200</v>
      </c>
      <c r="AB136" s="18"/>
      <c r="AC136" s="18">
        <v>3</v>
      </c>
      <c r="AD136" s="28"/>
      <c r="AE136" s="26"/>
      <c r="AF136" s="28"/>
    </row>
    <row r="137" spans="1:32" ht="12.4" customHeight="1" x14ac:dyDescent="0.25">
      <c r="A137" s="14">
        <v>45670</v>
      </c>
      <c r="B137" s="14" t="s">
        <v>45</v>
      </c>
      <c r="C137" s="15">
        <v>2</v>
      </c>
      <c r="D137" s="16"/>
      <c r="E137" s="16"/>
      <c r="F137" s="17"/>
      <c r="G137" s="21"/>
      <c r="H137" s="21"/>
      <c r="I137" s="4">
        <v>0</v>
      </c>
      <c r="J137" s="4">
        <v>0</v>
      </c>
      <c r="K137" s="4"/>
      <c r="L137" s="16"/>
      <c r="M137" s="4"/>
      <c r="N137" s="4"/>
      <c r="O137" s="4"/>
      <c r="P137" s="4"/>
      <c r="Q137" s="4"/>
      <c r="R137" s="4"/>
      <c r="S137" s="4">
        <v>0</v>
      </c>
      <c r="T137" s="4">
        <v>0</v>
      </c>
      <c r="U137" s="4">
        <v>0</v>
      </c>
      <c r="V137" s="4">
        <v>12</v>
      </c>
      <c r="W137" s="4">
        <v>12</v>
      </c>
      <c r="X137" s="4"/>
      <c r="Y137" s="4"/>
      <c r="Z137" s="4">
        <v>133.74</v>
      </c>
      <c r="AA137" s="4">
        <v>100</v>
      </c>
      <c r="AB137" s="18"/>
      <c r="AC137" s="18">
        <v>3</v>
      </c>
      <c r="AD137" s="28"/>
      <c r="AE137" s="26"/>
      <c r="AF137" s="28"/>
    </row>
    <row r="138" spans="1:32" ht="12.4" customHeight="1" x14ac:dyDescent="0.25">
      <c r="A138" s="14">
        <v>45670</v>
      </c>
      <c r="B138" s="14" t="s">
        <v>46</v>
      </c>
      <c r="C138" s="15">
        <v>2</v>
      </c>
      <c r="D138" s="16"/>
      <c r="E138" s="16"/>
      <c r="F138" s="17"/>
      <c r="G138" s="21"/>
      <c r="H138" s="21"/>
      <c r="I138" s="4">
        <v>0</v>
      </c>
      <c r="J138" s="4">
        <v>0</v>
      </c>
      <c r="K138" s="4"/>
      <c r="L138" s="16"/>
      <c r="M138" s="4"/>
      <c r="N138" s="4"/>
      <c r="O138" s="4"/>
      <c r="P138" s="4"/>
      <c r="Q138" s="4"/>
      <c r="R138" s="4"/>
      <c r="S138" s="4">
        <v>0</v>
      </c>
      <c r="T138" s="4">
        <v>0</v>
      </c>
      <c r="U138" s="4">
        <v>0</v>
      </c>
      <c r="V138" s="4">
        <v>12</v>
      </c>
      <c r="W138" s="4">
        <v>12</v>
      </c>
      <c r="X138" s="4"/>
      <c r="Y138" s="4"/>
      <c r="Z138" s="4">
        <v>170.26999999999998</v>
      </c>
      <c r="AA138" s="4">
        <v>150</v>
      </c>
      <c r="AB138" s="18"/>
      <c r="AC138" s="18">
        <v>3</v>
      </c>
      <c r="AD138" s="28"/>
      <c r="AE138" s="26"/>
      <c r="AF138" s="28"/>
    </row>
    <row r="139" spans="1:32" ht="12.4" customHeight="1" x14ac:dyDescent="0.25">
      <c r="A139" s="14">
        <v>45670</v>
      </c>
      <c r="B139" s="14" t="s">
        <v>45</v>
      </c>
      <c r="C139" s="15">
        <v>3</v>
      </c>
      <c r="D139" s="16"/>
      <c r="E139" s="16"/>
      <c r="F139" s="17"/>
      <c r="G139" s="21"/>
      <c r="H139" s="21"/>
      <c r="I139" s="4">
        <v>0</v>
      </c>
      <c r="J139" s="4">
        <v>0</v>
      </c>
      <c r="K139" s="4"/>
      <c r="L139" s="16"/>
      <c r="M139" s="4"/>
      <c r="N139" s="4"/>
      <c r="O139" s="4"/>
      <c r="P139" s="4"/>
      <c r="Q139" s="4"/>
      <c r="R139" s="4"/>
      <c r="S139" s="4">
        <v>0</v>
      </c>
      <c r="T139" s="4">
        <v>0</v>
      </c>
      <c r="U139" s="4">
        <v>0</v>
      </c>
      <c r="V139" s="4">
        <v>12</v>
      </c>
      <c r="W139" s="4">
        <v>12</v>
      </c>
      <c r="X139" s="4"/>
      <c r="Y139" s="4"/>
      <c r="Z139" s="4">
        <v>250.32000000000002</v>
      </c>
      <c r="AA139" s="4">
        <v>250</v>
      </c>
      <c r="AB139" s="18"/>
      <c r="AC139" s="18">
        <v>3</v>
      </c>
      <c r="AD139" s="28"/>
      <c r="AE139" s="26"/>
      <c r="AF139" s="28"/>
    </row>
    <row r="140" spans="1:32" ht="12.4" customHeight="1" x14ac:dyDescent="0.25">
      <c r="A140" s="14">
        <v>45670</v>
      </c>
      <c r="B140" s="14" t="s">
        <v>46</v>
      </c>
      <c r="C140" s="15">
        <v>3</v>
      </c>
      <c r="D140" s="16"/>
      <c r="E140" s="16"/>
      <c r="F140" s="17"/>
      <c r="G140" s="21"/>
      <c r="H140" s="21"/>
      <c r="I140" s="4">
        <v>0</v>
      </c>
      <c r="J140" s="4">
        <v>0</v>
      </c>
      <c r="K140" s="4"/>
      <c r="L140" s="16"/>
      <c r="M140" s="4"/>
      <c r="N140" s="4"/>
      <c r="O140" s="4"/>
      <c r="P140" s="4"/>
      <c r="Q140" s="4"/>
      <c r="R140" s="4"/>
      <c r="S140" s="4">
        <v>0</v>
      </c>
      <c r="T140" s="4">
        <v>0</v>
      </c>
      <c r="U140" s="4">
        <v>0</v>
      </c>
      <c r="V140" s="4">
        <v>12</v>
      </c>
      <c r="W140" s="4">
        <v>12</v>
      </c>
      <c r="X140" s="4"/>
      <c r="Y140" s="4"/>
      <c r="Z140" s="4">
        <v>394.96</v>
      </c>
      <c r="AA140" s="4">
        <v>350</v>
      </c>
      <c r="AB140" s="18"/>
      <c r="AC140" s="18">
        <v>3</v>
      </c>
      <c r="AD140" s="28"/>
      <c r="AE140" s="26"/>
      <c r="AF140" s="28"/>
    </row>
    <row r="141" spans="1:32" ht="12.4" customHeight="1" x14ac:dyDescent="0.25">
      <c r="A141" s="14">
        <v>45670</v>
      </c>
      <c r="B141" s="14" t="s">
        <v>45</v>
      </c>
      <c r="C141" s="15">
        <v>4</v>
      </c>
      <c r="D141" s="16"/>
      <c r="E141" s="16"/>
      <c r="F141" s="17"/>
      <c r="G141" s="21"/>
      <c r="H141" s="21"/>
      <c r="I141" s="4">
        <v>0</v>
      </c>
      <c r="J141" s="4">
        <v>0</v>
      </c>
      <c r="K141" s="4"/>
      <c r="L141" s="16"/>
      <c r="M141" s="4"/>
      <c r="N141" s="4"/>
      <c r="O141" s="4"/>
      <c r="P141" s="4"/>
      <c r="Q141" s="4"/>
      <c r="R141" s="4"/>
      <c r="S141" s="4">
        <v>0</v>
      </c>
      <c r="T141" s="4">
        <v>0</v>
      </c>
      <c r="U141" s="4">
        <v>0</v>
      </c>
      <c r="V141" s="4">
        <v>12</v>
      </c>
      <c r="W141" s="4">
        <v>12</v>
      </c>
      <c r="X141" s="4"/>
      <c r="Y141" s="4"/>
      <c r="Z141" s="4">
        <v>604.77</v>
      </c>
      <c r="AA141" s="4">
        <v>600</v>
      </c>
      <c r="AB141" s="18"/>
      <c r="AC141" s="18">
        <v>3</v>
      </c>
      <c r="AD141" s="28"/>
      <c r="AE141" s="26"/>
      <c r="AF141" s="28"/>
    </row>
    <row r="142" spans="1:32" ht="12.4" customHeight="1" x14ac:dyDescent="0.25">
      <c r="A142" s="14">
        <v>45670</v>
      </c>
      <c r="B142" s="14" t="s">
        <v>46</v>
      </c>
      <c r="C142" s="15">
        <v>4</v>
      </c>
      <c r="D142" s="16"/>
      <c r="E142" s="16"/>
      <c r="F142" s="17"/>
      <c r="G142" s="21"/>
      <c r="H142" s="21"/>
      <c r="I142" s="4">
        <v>0</v>
      </c>
      <c r="J142" s="4">
        <v>0</v>
      </c>
      <c r="K142" s="4"/>
      <c r="L142" s="16"/>
      <c r="M142" s="4"/>
      <c r="N142" s="4"/>
      <c r="O142" s="4"/>
      <c r="P142" s="4"/>
      <c r="Q142" s="4"/>
      <c r="R142" s="4"/>
      <c r="S142" s="4">
        <v>0</v>
      </c>
      <c r="T142" s="4">
        <v>0</v>
      </c>
      <c r="U142" s="4">
        <v>0</v>
      </c>
      <c r="V142" s="4">
        <v>12</v>
      </c>
      <c r="W142" s="4">
        <v>12</v>
      </c>
      <c r="X142" s="4"/>
      <c r="Y142" s="4"/>
      <c r="Z142" s="4">
        <v>632.38</v>
      </c>
      <c r="AA142" s="4">
        <v>600</v>
      </c>
      <c r="AB142" s="18"/>
      <c r="AC142" s="18">
        <v>3</v>
      </c>
      <c r="AD142" s="28"/>
      <c r="AE142" s="26"/>
      <c r="AF142" s="28"/>
    </row>
    <row r="143" spans="1:32" ht="12.4" customHeight="1" x14ac:dyDescent="0.25">
      <c r="A143" s="14">
        <v>45670</v>
      </c>
      <c r="B143" s="14" t="s">
        <v>46</v>
      </c>
      <c r="C143" s="15">
        <v>4</v>
      </c>
      <c r="D143" s="16"/>
      <c r="E143" s="16"/>
      <c r="F143" s="17"/>
      <c r="G143" s="21"/>
      <c r="H143" s="21"/>
      <c r="I143" s="4">
        <v>0</v>
      </c>
      <c r="J143" s="4">
        <v>0</v>
      </c>
      <c r="K143" s="4"/>
      <c r="L143" s="16"/>
      <c r="M143" s="4"/>
      <c r="N143" s="4"/>
      <c r="O143" s="4"/>
      <c r="P143" s="4"/>
      <c r="Q143" s="4"/>
      <c r="R143" s="4"/>
      <c r="S143" s="4">
        <v>0</v>
      </c>
      <c r="T143" s="4">
        <v>0</v>
      </c>
      <c r="U143" s="4">
        <v>0</v>
      </c>
      <c r="V143" s="4">
        <v>12</v>
      </c>
      <c r="W143" s="4">
        <v>12</v>
      </c>
      <c r="X143" s="4"/>
      <c r="Y143" s="4"/>
      <c r="Z143" s="4">
        <v>632.38</v>
      </c>
      <c r="AA143" s="4">
        <v>600</v>
      </c>
      <c r="AB143" s="18"/>
      <c r="AC143" s="18">
        <v>3</v>
      </c>
      <c r="AD143" s="28"/>
      <c r="AE143" s="26"/>
      <c r="AF143" s="28"/>
    </row>
    <row r="144" spans="1:32" ht="12.4" customHeight="1" x14ac:dyDescent="0.25">
      <c r="A144" s="14">
        <v>45670</v>
      </c>
      <c r="B144" s="14" t="s">
        <v>46</v>
      </c>
      <c r="C144" s="15">
        <v>6</v>
      </c>
      <c r="D144" s="16"/>
      <c r="E144" s="16"/>
      <c r="F144" s="17"/>
      <c r="G144" s="21"/>
      <c r="H144" s="21"/>
      <c r="I144" s="4">
        <v>0</v>
      </c>
      <c r="J144" s="4">
        <v>0</v>
      </c>
      <c r="K144" s="4"/>
      <c r="L144" s="16"/>
      <c r="M144" s="4"/>
      <c r="N144" s="4"/>
      <c r="O144" s="4"/>
      <c r="P144" s="4"/>
      <c r="Q144" s="4"/>
      <c r="R144" s="4"/>
      <c r="S144" s="4">
        <v>0</v>
      </c>
      <c r="T144" s="4">
        <v>0</v>
      </c>
      <c r="U144" s="4">
        <v>0</v>
      </c>
      <c r="V144" s="4">
        <v>12</v>
      </c>
      <c r="W144" s="4">
        <v>12</v>
      </c>
      <c r="X144" s="4"/>
      <c r="Y144" s="4"/>
      <c r="Z144" s="4">
        <v>512.69000000000005</v>
      </c>
      <c r="AA144" s="4">
        <v>450</v>
      </c>
      <c r="AB144" s="18"/>
      <c r="AC144" s="18">
        <v>3</v>
      </c>
      <c r="AD144" s="28"/>
      <c r="AE144" s="26"/>
      <c r="AF144" s="28"/>
    </row>
    <row r="145" spans="1:32" ht="12.4" customHeight="1" x14ac:dyDescent="0.25">
      <c r="A145" s="14">
        <v>45671</v>
      </c>
      <c r="B145" s="14" t="s">
        <v>45</v>
      </c>
      <c r="C145" s="15">
        <v>1</v>
      </c>
      <c r="D145" s="16"/>
      <c r="E145" s="16"/>
      <c r="F145" s="17"/>
      <c r="G145" s="21"/>
      <c r="H145" s="21"/>
      <c r="I145" s="4">
        <v>0</v>
      </c>
      <c r="J145" s="4">
        <v>0</v>
      </c>
      <c r="K145" s="4"/>
      <c r="L145" s="16"/>
      <c r="M145" s="4"/>
      <c r="N145" s="4"/>
      <c r="O145" s="4"/>
      <c r="P145" s="4"/>
      <c r="Q145" s="4"/>
      <c r="R145" s="4"/>
      <c r="S145" s="4">
        <v>0</v>
      </c>
      <c r="T145" s="4">
        <v>0</v>
      </c>
      <c r="U145" s="4">
        <v>0</v>
      </c>
      <c r="V145" s="4">
        <v>12</v>
      </c>
      <c r="W145" s="4">
        <v>12</v>
      </c>
      <c r="X145" s="4">
        <v>172</v>
      </c>
      <c r="Y145" s="4">
        <v>2192</v>
      </c>
      <c r="Z145" s="4">
        <v>214.2</v>
      </c>
      <c r="AA145" s="4">
        <v>250</v>
      </c>
      <c r="AB145" s="18">
        <v>398</v>
      </c>
      <c r="AC145" s="18">
        <v>3</v>
      </c>
      <c r="AD145" s="28"/>
      <c r="AE145" s="26"/>
      <c r="AF145" s="28"/>
    </row>
    <row r="146" spans="1:32" ht="12.4" customHeight="1" x14ac:dyDescent="0.25">
      <c r="A146" s="14">
        <v>45671</v>
      </c>
      <c r="B146" s="14" t="s">
        <v>46</v>
      </c>
      <c r="C146" s="15">
        <v>1</v>
      </c>
      <c r="D146" s="16"/>
      <c r="E146" s="16"/>
      <c r="F146" s="17"/>
      <c r="G146" s="21"/>
      <c r="H146" s="21"/>
      <c r="I146" s="4">
        <v>0</v>
      </c>
      <c r="J146" s="4">
        <v>0</v>
      </c>
      <c r="K146" s="4"/>
      <c r="L146" s="16"/>
      <c r="M146" s="4"/>
      <c r="N146" s="4"/>
      <c r="O146" s="4"/>
      <c r="P146" s="4"/>
      <c r="Q146" s="4"/>
      <c r="R146" s="4"/>
      <c r="S146" s="4">
        <v>0</v>
      </c>
      <c r="T146" s="4">
        <v>0</v>
      </c>
      <c r="U146" s="4">
        <v>0</v>
      </c>
      <c r="V146" s="4">
        <v>12</v>
      </c>
      <c r="W146" s="4">
        <v>12</v>
      </c>
      <c r="X146" s="4"/>
      <c r="Y146" s="4"/>
      <c r="Z146" s="4">
        <v>208.86</v>
      </c>
      <c r="AA146" s="4">
        <v>200</v>
      </c>
      <c r="AB146" s="18"/>
      <c r="AC146" s="18">
        <v>3</v>
      </c>
      <c r="AD146" s="28"/>
      <c r="AE146" s="26"/>
      <c r="AF146" s="28"/>
    </row>
    <row r="147" spans="1:32" ht="12.4" customHeight="1" x14ac:dyDescent="0.25">
      <c r="A147" s="14">
        <v>45671</v>
      </c>
      <c r="B147" s="14" t="s">
        <v>45</v>
      </c>
      <c r="C147" s="15">
        <v>2</v>
      </c>
      <c r="D147" s="16">
        <v>20</v>
      </c>
      <c r="E147" s="16"/>
      <c r="F147" s="17"/>
      <c r="G147" s="21"/>
      <c r="H147" s="21"/>
      <c r="I147" s="4">
        <v>20</v>
      </c>
      <c r="J147" s="4">
        <v>0.33333333333333331</v>
      </c>
      <c r="K147" s="4"/>
      <c r="L147" s="16"/>
      <c r="M147" s="4"/>
      <c r="N147" s="4"/>
      <c r="O147" s="4"/>
      <c r="P147" s="4"/>
      <c r="Q147" s="4"/>
      <c r="R147" s="4"/>
      <c r="S147" s="4">
        <v>0</v>
      </c>
      <c r="T147" s="4">
        <v>0</v>
      </c>
      <c r="U147" s="4">
        <v>0.33333333333333331</v>
      </c>
      <c r="V147" s="4">
        <v>11.666666666666666</v>
      </c>
      <c r="W147" s="4">
        <v>12</v>
      </c>
      <c r="X147" s="4"/>
      <c r="Y147" s="4"/>
      <c r="Z147" s="4">
        <v>126.94</v>
      </c>
      <c r="AA147" s="4">
        <v>150</v>
      </c>
      <c r="AB147" s="18"/>
      <c r="AC147" s="18">
        <v>3</v>
      </c>
      <c r="AD147" s="28"/>
      <c r="AE147" s="26"/>
      <c r="AF147" s="28"/>
    </row>
    <row r="148" spans="1:32" ht="12.4" customHeight="1" x14ac:dyDescent="0.25">
      <c r="A148" s="14">
        <v>45671</v>
      </c>
      <c r="B148" s="14" t="s">
        <v>46</v>
      </c>
      <c r="C148" s="15">
        <v>2</v>
      </c>
      <c r="D148" s="16"/>
      <c r="E148" s="16"/>
      <c r="F148" s="17"/>
      <c r="G148" s="21"/>
      <c r="H148" s="21"/>
      <c r="I148" s="4">
        <v>0</v>
      </c>
      <c r="J148" s="4">
        <v>0</v>
      </c>
      <c r="K148" s="4"/>
      <c r="L148" s="16"/>
      <c r="M148" s="4"/>
      <c r="N148" s="4"/>
      <c r="O148" s="4"/>
      <c r="P148" s="4"/>
      <c r="Q148" s="4"/>
      <c r="R148" s="4"/>
      <c r="S148" s="4">
        <v>0</v>
      </c>
      <c r="T148" s="4">
        <v>0</v>
      </c>
      <c r="U148" s="4">
        <v>0</v>
      </c>
      <c r="V148" s="4">
        <v>12</v>
      </c>
      <c r="W148" s="4">
        <v>12</v>
      </c>
      <c r="X148" s="4"/>
      <c r="Y148" s="4"/>
      <c r="Z148" s="4">
        <v>137.35999999999999</v>
      </c>
      <c r="AA148" s="4">
        <v>150</v>
      </c>
      <c r="AB148" s="18"/>
      <c r="AC148" s="18">
        <v>3</v>
      </c>
      <c r="AD148" s="28"/>
      <c r="AE148" s="26"/>
      <c r="AF148" s="28"/>
    </row>
    <row r="149" spans="1:32" ht="12.4" customHeight="1" x14ac:dyDescent="0.25">
      <c r="A149" s="14">
        <v>45671</v>
      </c>
      <c r="B149" s="14" t="s">
        <v>45</v>
      </c>
      <c r="C149" s="15">
        <v>3</v>
      </c>
      <c r="D149" s="16"/>
      <c r="E149" s="16"/>
      <c r="F149" s="17"/>
      <c r="G149" s="21"/>
      <c r="H149" s="21"/>
      <c r="I149" s="4">
        <v>0</v>
      </c>
      <c r="J149" s="4">
        <v>0</v>
      </c>
      <c r="K149" s="4"/>
      <c r="L149" s="16"/>
      <c r="M149" s="4"/>
      <c r="N149" s="4"/>
      <c r="O149" s="4"/>
      <c r="P149" s="4"/>
      <c r="Q149" s="4"/>
      <c r="R149" s="4"/>
      <c r="S149" s="4">
        <v>0</v>
      </c>
      <c r="T149" s="4">
        <v>0</v>
      </c>
      <c r="U149" s="4">
        <v>0</v>
      </c>
      <c r="V149" s="4">
        <v>12</v>
      </c>
      <c r="W149" s="4">
        <v>12</v>
      </c>
      <c r="X149" s="4"/>
      <c r="Y149" s="4"/>
      <c r="Z149" s="4">
        <v>325.61</v>
      </c>
      <c r="AA149" s="4">
        <v>350</v>
      </c>
      <c r="AB149" s="18"/>
      <c r="AC149" s="18">
        <v>3</v>
      </c>
      <c r="AD149" s="28"/>
      <c r="AE149" s="26"/>
      <c r="AF149" s="28"/>
    </row>
    <row r="150" spans="1:32" ht="12.4" customHeight="1" x14ac:dyDescent="0.25">
      <c r="A150" s="14">
        <v>45671</v>
      </c>
      <c r="B150" s="14" t="s">
        <v>46</v>
      </c>
      <c r="C150" s="15">
        <v>3</v>
      </c>
      <c r="D150" s="16"/>
      <c r="E150" s="16"/>
      <c r="F150" s="17"/>
      <c r="G150" s="21"/>
      <c r="H150" s="21"/>
      <c r="I150" s="4">
        <v>0</v>
      </c>
      <c r="J150" s="4">
        <v>0</v>
      </c>
      <c r="K150" s="4"/>
      <c r="L150" s="16"/>
      <c r="M150" s="4"/>
      <c r="N150" s="4"/>
      <c r="O150" s="4"/>
      <c r="P150" s="4"/>
      <c r="Q150" s="4"/>
      <c r="R150" s="4"/>
      <c r="S150" s="4">
        <v>0</v>
      </c>
      <c r="T150" s="4">
        <v>0</v>
      </c>
      <c r="U150" s="4">
        <v>0</v>
      </c>
      <c r="V150" s="4">
        <v>12</v>
      </c>
      <c r="W150" s="4">
        <v>12</v>
      </c>
      <c r="X150" s="4"/>
      <c r="Y150" s="4"/>
      <c r="Z150" s="4">
        <v>312.87</v>
      </c>
      <c r="AA150" s="4">
        <v>300</v>
      </c>
      <c r="AB150" s="18"/>
      <c r="AC150" s="18">
        <v>3</v>
      </c>
      <c r="AD150" s="28"/>
      <c r="AE150" s="26"/>
      <c r="AF150" s="28"/>
    </row>
    <row r="151" spans="1:32" ht="12.4" customHeight="1" x14ac:dyDescent="0.25">
      <c r="A151" s="14">
        <v>45671</v>
      </c>
      <c r="B151" s="14" t="s">
        <v>45</v>
      </c>
      <c r="C151" s="15">
        <v>4</v>
      </c>
      <c r="D151" s="16">
        <v>100</v>
      </c>
      <c r="E151" s="16"/>
      <c r="F151" s="17"/>
      <c r="G151" s="21"/>
      <c r="H151" s="21"/>
      <c r="I151" s="4">
        <v>100</v>
      </c>
      <c r="J151" s="4">
        <v>1.6666666666666667</v>
      </c>
      <c r="K151" s="4"/>
      <c r="L151" s="16"/>
      <c r="M151" s="4"/>
      <c r="N151" s="4"/>
      <c r="O151" s="4"/>
      <c r="P151" s="4"/>
      <c r="Q151" s="4"/>
      <c r="R151" s="4"/>
      <c r="S151" s="4">
        <v>0</v>
      </c>
      <c r="T151" s="4">
        <v>0</v>
      </c>
      <c r="U151" s="4">
        <v>1.6666666666666667</v>
      </c>
      <c r="V151" s="4">
        <v>10.333333333333334</v>
      </c>
      <c r="W151" s="4">
        <v>12</v>
      </c>
      <c r="X151" s="4"/>
      <c r="Y151" s="4"/>
      <c r="Z151" s="4">
        <v>798.69</v>
      </c>
      <c r="AA151" s="4">
        <v>800</v>
      </c>
      <c r="AB151" s="18"/>
      <c r="AC151" s="18">
        <v>3</v>
      </c>
      <c r="AD151" s="28"/>
      <c r="AE151" s="26"/>
      <c r="AF151" s="28"/>
    </row>
    <row r="152" spans="1:32" ht="12.4" customHeight="1" x14ac:dyDescent="0.25">
      <c r="A152" s="14">
        <v>45671</v>
      </c>
      <c r="B152" s="14" t="s">
        <v>46</v>
      </c>
      <c r="C152" s="15">
        <v>4</v>
      </c>
      <c r="D152" s="16"/>
      <c r="E152" s="16"/>
      <c r="F152" s="17"/>
      <c r="G152" s="21"/>
      <c r="H152" s="21"/>
      <c r="I152" s="4">
        <v>0</v>
      </c>
      <c r="J152" s="4">
        <v>0</v>
      </c>
      <c r="K152" s="4"/>
      <c r="L152" s="16"/>
      <c r="M152" s="4"/>
      <c r="N152" s="4"/>
      <c r="O152" s="4"/>
      <c r="P152" s="4"/>
      <c r="Q152" s="4"/>
      <c r="R152" s="4"/>
      <c r="S152" s="4">
        <v>0</v>
      </c>
      <c r="T152" s="4">
        <v>0</v>
      </c>
      <c r="U152" s="4">
        <v>0</v>
      </c>
      <c r="V152" s="4">
        <v>12</v>
      </c>
      <c r="W152" s="4">
        <v>12</v>
      </c>
      <c r="X152" s="4"/>
      <c r="Y152" s="4"/>
      <c r="Z152" s="4">
        <v>821.9</v>
      </c>
      <c r="AA152" s="4">
        <v>800</v>
      </c>
      <c r="AB152" s="18"/>
      <c r="AC152" s="18">
        <v>3</v>
      </c>
      <c r="AD152" s="28"/>
      <c r="AE152" s="26"/>
      <c r="AF152" s="28"/>
    </row>
    <row r="153" spans="1:32" ht="12.4" customHeight="1" x14ac:dyDescent="0.25">
      <c r="A153" s="14">
        <v>45671</v>
      </c>
      <c r="B153" s="14" t="s">
        <v>46</v>
      </c>
      <c r="C153" s="15">
        <v>5</v>
      </c>
      <c r="D153" s="16">
        <v>40</v>
      </c>
      <c r="E153" s="16"/>
      <c r="F153" s="17"/>
      <c r="G153" s="21"/>
      <c r="H153" s="21"/>
      <c r="I153" s="4">
        <v>40</v>
      </c>
      <c r="J153" s="4">
        <v>0.66666666666666663</v>
      </c>
      <c r="K153" s="4"/>
      <c r="L153" s="16"/>
      <c r="M153" s="4"/>
      <c r="N153" s="4"/>
      <c r="O153" s="4"/>
      <c r="P153" s="4"/>
      <c r="Q153" s="4"/>
      <c r="R153" s="4"/>
      <c r="S153" s="4">
        <v>0</v>
      </c>
      <c r="T153" s="4">
        <v>0</v>
      </c>
      <c r="U153" s="4">
        <v>0.66666666666666663</v>
      </c>
      <c r="V153" s="4">
        <v>11.333333333333334</v>
      </c>
      <c r="W153" s="4">
        <v>12</v>
      </c>
      <c r="X153" s="4"/>
      <c r="Y153" s="4"/>
      <c r="Z153" s="4">
        <v>586.52</v>
      </c>
      <c r="AA153" s="4">
        <v>600</v>
      </c>
      <c r="AB153" s="18"/>
      <c r="AC153" s="18">
        <v>3</v>
      </c>
      <c r="AD153" s="28"/>
      <c r="AE153" s="26"/>
      <c r="AF153" s="28"/>
    </row>
    <row r="154" spans="1:32" ht="12.4" customHeight="1" x14ac:dyDescent="0.25">
      <c r="A154" s="14">
        <v>45671</v>
      </c>
      <c r="B154" s="14" t="s">
        <v>46</v>
      </c>
      <c r="C154" s="15">
        <v>5</v>
      </c>
      <c r="D154" s="16"/>
      <c r="E154" s="16"/>
      <c r="F154" s="17"/>
      <c r="G154" s="21"/>
      <c r="H154" s="21"/>
      <c r="I154" s="4">
        <v>0</v>
      </c>
      <c r="J154" s="4">
        <v>0</v>
      </c>
      <c r="K154" s="4"/>
      <c r="L154" s="16"/>
      <c r="M154" s="4"/>
      <c r="N154" s="4"/>
      <c r="O154" s="4"/>
      <c r="P154" s="4"/>
      <c r="Q154" s="4"/>
      <c r="R154" s="4"/>
      <c r="S154" s="4">
        <v>0</v>
      </c>
      <c r="T154" s="4">
        <v>0</v>
      </c>
      <c r="U154" s="4">
        <v>0</v>
      </c>
      <c r="V154" s="4">
        <v>12</v>
      </c>
      <c r="W154" s="4">
        <v>12</v>
      </c>
      <c r="X154" s="4"/>
      <c r="Y154" s="4"/>
      <c r="Z154" s="4">
        <v>586.52</v>
      </c>
      <c r="AA154" s="4">
        <v>600</v>
      </c>
      <c r="AB154" s="18"/>
      <c r="AC154" s="18">
        <v>3</v>
      </c>
      <c r="AD154" s="28"/>
      <c r="AE154" s="26"/>
      <c r="AF154" s="28"/>
    </row>
    <row r="155" spans="1:32" ht="12.4" customHeight="1" x14ac:dyDescent="0.25">
      <c r="A155" s="14">
        <v>45672</v>
      </c>
      <c r="B155" s="14" t="s">
        <v>45</v>
      </c>
      <c r="C155" s="15">
        <v>1</v>
      </c>
      <c r="D155" s="16"/>
      <c r="E155" s="16"/>
      <c r="F155" s="17"/>
      <c r="G155" s="21"/>
      <c r="H155" s="21"/>
      <c r="I155" s="4">
        <v>0</v>
      </c>
      <c r="J155" s="4">
        <v>0</v>
      </c>
      <c r="K155" s="4"/>
      <c r="L155" s="16"/>
      <c r="M155" s="4"/>
      <c r="N155" s="4"/>
      <c r="O155" s="4"/>
      <c r="P155" s="4"/>
      <c r="Q155" s="4"/>
      <c r="R155" s="4"/>
      <c r="S155" s="4">
        <v>0</v>
      </c>
      <c r="T155" s="4">
        <v>0</v>
      </c>
      <c r="U155" s="4">
        <v>0</v>
      </c>
      <c r="V155" s="4">
        <v>12</v>
      </c>
      <c r="W155" s="4">
        <v>12</v>
      </c>
      <c r="X155" s="4">
        <v>80</v>
      </c>
      <c r="Y155" s="4">
        <v>2133</v>
      </c>
      <c r="Z155" s="4">
        <v>238.43</v>
      </c>
      <c r="AA155" s="4">
        <v>250</v>
      </c>
      <c r="AB155" s="18">
        <v>398</v>
      </c>
      <c r="AC155" s="18">
        <v>3</v>
      </c>
      <c r="AD155" s="28"/>
      <c r="AE155" s="26"/>
      <c r="AF155" s="28"/>
    </row>
    <row r="156" spans="1:32" ht="12.4" customHeight="1" x14ac:dyDescent="0.25">
      <c r="A156" s="14">
        <v>45672</v>
      </c>
      <c r="B156" s="14" t="s">
        <v>46</v>
      </c>
      <c r="C156" s="15">
        <v>1</v>
      </c>
      <c r="D156" s="16"/>
      <c r="E156" s="16"/>
      <c r="F156" s="17"/>
      <c r="G156" s="21"/>
      <c r="H156" s="21"/>
      <c r="I156" s="4">
        <v>0</v>
      </c>
      <c r="J156" s="4">
        <v>0</v>
      </c>
      <c r="K156" s="4"/>
      <c r="L156" s="16"/>
      <c r="M156" s="4"/>
      <c r="N156" s="4"/>
      <c r="O156" s="4"/>
      <c r="P156" s="4"/>
      <c r="Q156" s="4"/>
      <c r="R156" s="4"/>
      <c r="S156" s="4">
        <v>0</v>
      </c>
      <c r="T156" s="4">
        <v>0</v>
      </c>
      <c r="U156" s="4">
        <v>0</v>
      </c>
      <c r="V156" s="4">
        <v>12</v>
      </c>
      <c r="W156" s="4">
        <v>12</v>
      </c>
      <c r="X156" s="4"/>
      <c r="Y156" s="4"/>
      <c r="Z156" s="4">
        <v>200.26999999999998</v>
      </c>
      <c r="AA156" s="4">
        <v>200</v>
      </c>
      <c r="AB156" s="18"/>
      <c r="AC156" s="18">
        <v>3</v>
      </c>
      <c r="AD156" s="28"/>
      <c r="AE156" s="26"/>
      <c r="AF156" s="28"/>
    </row>
    <row r="157" spans="1:32" ht="12.4" customHeight="1" x14ac:dyDescent="0.25">
      <c r="A157" s="14">
        <v>45672</v>
      </c>
      <c r="B157" s="14" t="s">
        <v>45</v>
      </c>
      <c r="C157" s="15">
        <v>2</v>
      </c>
      <c r="D157" s="16">
        <v>20</v>
      </c>
      <c r="E157" s="16"/>
      <c r="F157" s="17"/>
      <c r="G157" s="21"/>
      <c r="H157" s="21"/>
      <c r="I157" s="4">
        <v>20</v>
      </c>
      <c r="J157" s="4">
        <v>0.33333333333333331</v>
      </c>
      <c r="K157" s="4"/>
      <c r="L157" s="16"/>
      <c r="M157" s="4"/>
      <c r="N157" s="4"/>
      <c r="O157" s="4"/>
      <c r="P157" s="4"/>
      <c r="Q157" s="4"/>
      <c r="R157" s="4"/>
      <c r="S157" s="4">
        <v>0</v>
      </c>
      <c r="T157" s="4">
        <v>0</v>
      </c>
      <c r="U157" s="4">
        <v>0.33333333333333331</v>
      </c>
      <c r="V157" s="4">
        <v>11.666666666666666</v>
      </c>
      <c r="W157" s="4">
        <v>12</v>
      </c>
      <c r="X157" s="4"/>
      <c r="Y157" s="4"/>
      <c r="Z157" s="4">
        <v>108</v>
      </c>
      <c r="AA157" s="4">
        <v>100</v>
      </c>
      <c r="AB157" s="18"/>
      <c r="AC157" s="18">
        <v>3</v>
      </c>
      <c r="AD157" s="28"/>
      <c r="AE157" s="26"/>
      <c r="AF157" s="28"/>
    </row>
    <row r="158" spans="1:32" ht="12.4" customHeight="1" x14ac:dyDescent="0.25">
      <c r="A158" s="14">
        <v>45672</v>
      </c>
      <c r="B158" s="14" t="s">
        <v>46</v>
      </c>
      <c r="C158" s="15">
        <v>2</v>
      </c>
      <c r="D158" s="16"/>
      <c r="E158" s="16"/>
      <c r="F158" s="17"/>
      <c r="G158" s="21"/>
      <c r="H158" s="21"/>
      <c r="I158" s="4">
        <v>0</v>
      </c>
      <c r="J158" s="4">
        <v>0</v>
      </c>
      <c r="K158" s="4"/>
      <c r="L158" s="16"/>
      <c r="M158" s="4"/>
      <c r="N158" s="4"/>
      <c r="O158" s="4"/>
      <c r="P158" s="4"/>
      <c r="Q158" s="4"/>
      <c r="R158" s="4"/>
      <c r="S158" s="4">
        <v>0</v>
      </c>
      <c r="T158" s="4">
        <v>0</v>
      </c>
      <c r="U158" s="4">
        <v>0</v>
      </c>
      <c r="V158" s="4">
        <v>12</v>
      </c>
      <c r="W158" s="4">
        <v>12</v>
      </c>
      <c r="X158" s="4"/>
      <c r="Y158" s="4"/>
      <c r="Z158" s="4">
        <v>102.81</v>
      </c>
      <c r="AA158" s="4">
        <v>100</v>
      </c>
      <c r="AB158" s="18"/>
      <c r="AC158" s="18">
        <v>3</v>
      </c>
      <c r="AD158" s="28"/>
      <c r="AE158" s="26"/>
      <c r="AF158" s="28"/>
    </row>
    <row r="159" spans="1:32" ht="12.4" customHeight="1" x14ac:dyDescent="0.25">
      <c r="A159" s="14">
        <v>45672</v>
      </c>
      <c r="B159" s="14" t="s">
        <v>45</v>
      </c>
      <c r="C159" s="15">
        <v>3</v>
      </c>
      <c r="D159" s="16">
        <v>20</v>
      </c>
      <c r="E159" s="16"/>
      <c r="F159" s="17"/>
      <c r="G159" s="21"/>
      <c r="H159" s="21"/>
      <c r="I159" s="4">
        <v>20</v>
      </c>
      <c r="J159" s="4">
        <v>0.33333333333333331</v>
      </c>
      <c r="K159" s="4"/>
      <c r="L159" s="16"/>
      <c r="M159" s="4"/>
      <c r="N159" s="4"/>
      <c r="O159" s="4"/>
      <c r="P159" s="4"/>
      <c r="Q159" s="4"/>
      <c r="R159" s="4"/>
      <c r="S159" s="4">
        <v>0</v>
      </c>
      <c r="T159" s="4">
        <v>0</v>
      </c>
      <c r="U159" s="4">
        <v>0.33333333333333331</v>
      </c>
      <c r="V159" s="4">
        <v>11.666666666666666</v>
      </c>
      <c r="W159" s="4">
        <v>12</v>
      </c>
      <c r="X159" s="4"/>
      <c r="Y159" s="4"/>
      <c r="Z159" s="4">
        <v>292.31</v>
      </c>
      <c r="AA159" s="4">
        <v>300</v>
      </c>
      <c r="AB159" s="18"/>
      <c r="AC159" s="18">
        <v>3</v>
      </c>
      <c r="AD159" s="28"/>
      <c r="AE159" s="26"/>
      <c r="AF159" s="28"/>
    </row>
    <row r="160" spans="1:32" ht="12.4" customHeight="1" x14ac:dyDescent="0.25">
      <c r="A160" s="14">
        <v>45672</v>
      </c>
      <c r="B160" s="14" t="s">
        <v>46</v>
      </c>
      <c r="C160" s="15">
        <v>3</v>
      </c>
      <c r="D160" s="16"/>
      <c r="E160" s="16"/>
      <c r="F160" s="17"/>
      <c r="G160" s="21"/>
      <c r="H160" s="21"/>
      <c r="I160" s="4">
        <v>0</v>
      </c>
      <c r="J160" s="4">
        <v>0</v>
      </c>
      <c r="K160" s="4"/>
      <c r="L160" s="16"/>
      <c r="M160" s="4"/>
      <c r="N160" s="4"/>
      <c r="O160" s="4"/>
      <c r="P160" s="4"/>
      <c r="Q160" s="4"/>
      <c r="R160" s="4"/>
      <c r="S160" s="4">
        <v>0</v>
      </c>
      <c r="T160" s="4">
        <v>0</v>
      </c>
      <c r="U160" s="4">
        <v>0</v>
      </c>
      <c r="V160" s="4">
        <v>12</v>
      </c>
      <c r="W160" s="4">
        <v>12</v>
      </c>
      <c r="X160" s="4"/>
      <c r="Y160" s="4"/>
      <c r="Z160" s="4">
        <v>254.23</v>
      </c>
      <c r="AA160" s="4">
        <v>250</v>
      </c>
      <c r="AB160" s="18"/>
      <c r="AC160" s="18">
        <v>3</v>
      </c>
      <c r="AD160" s="28"/>
      <c r="AE160" s="26"/>
      <c r="AF160" s="28"/>
    </row>
    <row r="161" spans="1:32" ht="12.4" customHeight="1" x14ac:dyDescent="0.25">
      <c r="A161" s="14">
        <v>45672</v>
      </c>
      <c r="B161" s="14" t="s">
        <v>45</v>
      </c>
      <c r="C161" s="15">
        <v>4</v>
      </c>
      <c r="D161" s="16">
        <v>40</v>
      </c>
      <c r="E161" s="16"/>
      <c r="F161" s="17"/>
      <c r="G161" s="21"/>
      <c r="H161" s="21"/>
      <c r="I161" s="4">
        <v>40</v>
      </c>
      <c r="J161" s="4">
        <v>0.66666666666666663</v>
      </c>
      <c r="K161" s="4"/>
      <c r="L161" s="16"/>
      <c r="M161" s="4"/>
      <c r="N161" s="4"/>
      <c r="O161" s="4"/>
      <c r="P161" s="4">
        <v>40</v>
      </c>
      <c r="Q161" s="4"/>
      <c r="R161" s="4"/>
      <c r="S161" s="4">
        <v>40</v>
      </c>
      <c r="T161" s="4">
        <v>0.66666666666666663</v>
      </c>
      <c r="U161" s="4">
        <v>1.3333333333333333</v>
      </c>
      <c r="V161" s="4">
        <v>10.666666666666666</v>
      </c>
      <c r="W161" s="4">
        <v>12</v>
      </c>
      <c r="X161" s="4"/>
      <c r="Y161" s="4"/>
      <c r="Z161" s="4">
        <v>862.37999999999988</v>
      </c>
      <c r="AA161" s="4">
        <v>700</v>
      </c>
      <c r="AB161" s="18"/>
      <c r="AC161" s="18">
        <v>3</v>
      </c>
      <c r="AD161" s="28"/>
      <c r="AE161" s="26"/>
      <c r="AF161" s="28"/>
    </row>
    <row r="162" spans="1:32" ht="12.4" customHeight="1" x14ac:dyDescent="0.25">
      <c r="A162" s="14">
        <v>45672</v>
      </c>
      <c r="B162" s="14" t="s">
        <v>46</v>
      </c>
      <c r="C162" s="15">
        <v>4</v>
      </c>
      <c r="D162" s="16"/>
      <c r="E162" s="16"/>
      <c r="F162" s="17"/>
      <c r="G162" s="21"/>
      <c r="H162" s="21"/>
      <c r="I162" s="4">
        <v>0</v>
      </c>
      <c r="J162" s="4">
        <v>0</v>
      </c>
      <c r="K162" s="4"/>
      <c r="L162" s="16"/>
      <c r="M162" s="4"/>
      <c r="N162" s="4"/>
      <c r="O162" s="4"/>
      <c r="P162" s="4"/>
      <c r="Q162" s="4"/>
      <c r="R162" s="4"/>
      <c r="S162" s="4">
        <v>0</v>
      </c>
      <c r="T162" s="4">
        <v>0</v>
      </c>
      <c r="U162" s="4">
        <v>0</v>
      </c>
      <c r="V162" s="4">
        <v>12</v>
      </c>
      <c r="W162" s="4">
        <v>12</v>
      </c>
      <c r="X162" s="4"/>
      <c r="Y162" s="4"/>
      <c r="Z162" s="4">
        <v>686.32</v>
      </c>
      <c r="AA162" s="4">
        <v>700</v>
      </c>
      <c r="AB162" s="18"/>
      <c r="AC162" s="18">
        <v>3</v>
      </c>
      <c r="AD162" s="28"/>
      <c r="AE162" s="26"/>
      <c r="AF162" s="28"/>
    </row>
    <row r="163" spans="1:32" ht="12.4" customHeight="1" x14ac:dyDescent="0.25">
      <c r="A163" s="14">
        <v>45672</v>
      </c>
      <c r="B163" s="14" t="s">
        <v>45</v>
      </c>
      <c r="C163" s="15">
        <v>5</v>
      </c>
      <c r="D163" s="16"/>
      <c r="E163" s="16"/>
      <c r="F163" s="17"/>
      <c r="G163" s="21"/>
      <c r="H163" s="21"/>
      <c r="I163" s="4">
        <v>0</v>
      </c>
      <c r="J163" s="4">
        <v>0</v>
      </c>
      <c r="K163" s="4"/>
      <c r="L163" s="16"/>
      <c r="M163" s="4"/>
      <c r="N163" s="4"/>
      <c r="O163" s="4"/>
      <c r="P163" s="4"/>
      <c r="Q163" s="4"/>
      <c r="R163" s="4"/>
      <c r="S163" s="4">
        <v>0</v>
      </c>
      <c r="T163" s="4">
        <v>0</v>
      </c>
      <c r="U163" s="4">
        <v>0</v>
      </c>
      <c r="V163" s="4">
        <v>12</v>
      </c>
      <c r="W163" s="4">
        <v>12</v>
      </c>
      <c r="X163" s="4"/>
      <c r="Y163" s="4"/>
      <c r="Z163" s="4">
        <v>538.52</v>
      </c>
      <c r="AA163" s="4">
        <v>600</v>
      </c>
      <c r="AB163" s="18"/>
      <c r="AC163" s="18">
        <v>3</v>
      </c>
      <c r="AD163" s="28"/>
      <c r="AE163" s="26"/>
      <c r="AF163" s="28"/>
    </row>
    <row r="164" spans="1:32" ht="12.4" customHeight="1" x14ac:dyDescent="0.25">
      <c r="A164" s="14">
        <v>45672</v>
      </c>
      <c r="B164" s="14" t="s">
        <v>46</v>
      </c>
      <c r="C164" s="15">
        <v>5</v>
      </c>
      <c r="D164" s="16"/>
      <c r="E164" s="16"/>
      <c r="F164" s="17"/>
      <c r="G164" s="21"/>
      <c r="H164" s="21"/>
      <c r="I164" s="4">
        <v>0</v>
      </c>
      <c r="J164" s="4">
        <v>0</v>
      </c>
      <c r="K164" s="4"/>
      <c r="L164" s="16"/>
      <c r="M164" s="4"/>
      <c r="N164" s="4"/>
      <c r="O164" s="4"/>
      <c r="P164" s="4"/>
      <c r="Q164" s="4"/>
      <c r="R164" s="4"/>
      <c r="S164" s="4">
        <v>0</v>
      </c>
      <c r="T164" s="4">
        <v>0</v>
      </c>
      <c r="U164" s="4">
        <v>0</v>
      </c>
      <c r="V164" s="4">
        <v>12</v>
      </c>
      <c r="W164" s="4">
        <v>12</v>
      </c>
      <c r="X164" s="4"/>
      <c r="Y164" s="4"/>
      <c r="Z164" s="4">
        <v>570.625</v>
      </c>
      <c r="AA164" s="4">
        <v>600</v>
      </c>
      <c r="AB164" s="18"/>
      <c r="AC164" s="18">
        <v>3</v>
      </c>
      <c r="AD164" s="28"/>
      <c r="AE164" s="26"/>
      <c r="AF164" s="28"/>
    </row>
    <row r="165" spans="1:32" ht="12.4" customHeight="1" x14ac:dyDescent="0.25">
      <c r="A165" s="14">
        <v>45673</v>
      </c>
      <c r="B165" s="14" t="s">
        <v>45</v>
      </c>
      <c r="C165" s="15">
        <v>1</v>
      </c>
      <c r="D165" s="16"/>
      <c r="E165" s="16"/>
      <c r="F165" s="17"/>
      <c r="G165" s="21"/>
      <c r="H165" s="21"/>
      <c r="I165" s="4">
        <v>0</v>
      </c>
      <c r="J165" s="4">
        <v>0</v>
      </c>
      <c r="K165" s="4"/>
      <c r="L165" s="16"/>
      <c r="M165" s="4"/>
      <c r="N165" s="4"/>
      <c r="O165" s="4"/>
      <c r="P165" s="4"/>
      <c r="Q165" s="4"/>
      <c r="R165" s="4"/>
      <c r="S165" s="4">
        <v>0</v>
      </c>
      <c r="T165" s="4">
        <v>0</v>
      </c>
      <c r="U165" s="4">
        <v>0</v>
      </c>
      <c r="V165" s="4">
        <v>12</v>
      </c>
      <c r="W165" s="4">
        <v>12</v>
      </c>
      <c r="X165" s="4">
        <v>97</v>
      </c>
      <c r="Y165" s="4">
        <v>2097</v>
      </c>
      <c r="Z165" s="4">
        <v>206.58</v>
      </c>
      <c r="AA165" s="4">
        <v>250</v>
      </c>
      <c r="AB165" s="18">
        <v>398</v>
      </c>
      <c r="AC165" s="18">
        <v>3</v>
      </c>
      <c r="AD165" s="28"/>
      <c r="AE165" s="26"/>
      <c r="AF165" s="28"/>
    </row>
    <row r="166" spans="1:32" ht="12.4" customHeight="1" x14ac:dyDescent="0.25">
      <c r="A166" s="14">
        <v>45673</v>
      </c>
      <c r="B166" s="14" t="s">
        <v>46</v>
      </c>
      <c r="C166" s="15">
        <v>1</v>
      </c>
      <c r="D166" s="16"/>
      <c r="E166" s="16"/>
      <c r="F166" s="17"/>
      <c r="G166" s="21"/>
      <c r="H166" s="21"/>
      <c r="I166" s="4">
        <v>0</v>
      </c>
      <c r="J166" s="4">
        <v>0</v>
      </c>
      <c r="K166" s="4"/>
      <c r="L166" s="16"/>
      <c r="M166" s="4"/>
      <c r="N166" s="4"/>
      <c r="O166" s="4"/>
      <c r="P166" s="4"/>
      <c r="Q166" s="4"/>
      <c r="R166" s="4"/>
      <c r="S166" s="4">
        <v>0</v>
      </c>
      <c r="T166" s="4">
        <v>0</v>
      </c>
      <c r="U166" s="4">
        <v>0</v>
      </c>
      <c r="V166" s="4">
        <v>12</v>
      </c>
      <c r="W166" s="4">
        <v>12</v>
      </c>
      <c r="X166" s="4"/>
      <c r="Y166" s="4"/>
      <c r="Z166" s="4">
        <v>212.48</v>
      </c>
      <c r="AA166" s="4">
        <v>200</v>
      </c>
      <c r="AB166" s="18"/>
      <c r="AC166" s="18">
        <v>3</v>
      </c>
      <c r="AD166" s="28"/>
      <c r="AE166" s="26"/>
      <c r="AF166" s="28"/>
    </row>
    <row r="167" spans="1:32" ht="12.4" customHeight="1" x14ac:dyDescent="0.25">
      <c r="A167" s="14">
        <v>45673</v>
      </c>
      <c r="B167" s="14" t="s">
        <v>45</v>
      </c>
      <c r="C167" s="15">
        <v>2</v>
      </c>
      <c r="D167" s="16"/>
      <c r="E167" s="16"/>
      <c r="F167" s="17"/>
      <c r="G167" s="21"/>
      <c r="H167" s="21"/>
      <c r="I167" s="4">
        <v>0</v>
      </c>
      <c r="J167" s="4">
        <v>0</v>
      </c>
      <c r="K167" s="4"/>
      <c r="L167" s="16"/>
      <c r="M167" s="4"/>
      <c r="N167" s="4"/>
      <c r="O167" s="4"/>
      <c r="P167" s="4"/>
      <c r="Q167" s="4"/>
      <c r="R167" s="4"/>
      <c r="S167" s="4">
        <v>0</v>
      </c>
      <c r="T167" s="4">
        <v>0</v>
      </c>
      <c r="U167" s="4">
        <v>0</v>
      </c>
      <c r="V167" s="4">
        <v>12</v>
      </c>
      <c r="W167" s="4">
        <v>12</v>
      </c>
      <c r="X167" s="4"/>
      <c r="Y167" s="4"/>
      <c r="Z167" s="4">
        <v>112.6</v>
      </c>
      <c r="AA167" s="4">
        <v>150</v>
      </c>
      <c r="AB167" s="18"/>
      <c r="AC167" s="18">
        <v>3</v>
      </c>
      <c r="AD167" s="28"/>
      <c r="AE167" s="26"/>
      <c r="AF167" s="28"/>
    </row>
    <row r="168" spans="1:32" ht="12.4" customHeight="1" x14ac:dyDescent="0.25">
      <c r="A168" s="14">
        <v>45673</v>
      </c>
      <c r="B168" s="14" t="s">
        <v>46</v>
      </c>
      <c r="C168" s="15">
        <v>2</v>
      </c>
      <c r="D168" s="16"/>
      <c r="E168" s="16"/>
      <c r="F168" s="17"/>
      <c r="G168" s="21"/>
      <c r="H168" s="21"/>
      <c r="I168" s="4">
        <v>0</v>
      </c>
      <c r="J168" s="4">
        <v>0</v>
      </c>
      <c r="K168" s="4"/>
      <c r="L168" s="16"/>
      <c r="M168" s="4"/>
      <c r="N168" s="4"/>
      <c r="O168" s="4"/>
      <c r="P168" s="4"/>
      <c r="Q168" s="4"/>
      <c r="R168" s="4"/>
      <c r="S168" s="4">
        <v>0</v>
      </c>
      <c r="T168" s="4">
        <v>0</v>
      </c>
      <c r="U168" s="4">
        <v>0</v>
      </c>
      <c r="V168" s="4">
        <v>12</v>
      </c>
      <c r="W168" s="4">
        <v>12</v>
      </c>
      <c r="X168" s="4"/>
      <c r="Y168" s="4"/>
      <c r="Z168" s="4">
        <v>136.18</v>
      </c>
      <c r="AA168" s="4">
        <v>200</v>
      </c>
      <c r="AB168" s="18"/>
      <c r="AC168" s="18">
        <v>3</v>
      </c>
      <c r="AD168" s="28"/>
      <c r="AE168" s="26"/>
      <c r="AF168" s="28"/>
    </row>
    <row r="169" spans="1:32" ht="12.4" customHeight="1" x14ac:dyDescent="0.25">
      <c r="A169" s="14">
        <v>45673</v>
      </c>
      <c r="B169" s="14" t="s">
        <v>45</v>
      </c>
      <c r="C169" s="15">
        <v>3</v>
      </c>
      <c r="D169" s="16"/>
      <c r="E169" s="16"/>
      <c r="F169" s="17"/>
      <c r="G169" s="21"/>
      <c r="H169" s="21"/>
      <c r="I169" s="4">
        <v>0</v>
      </c>
      <c r="J169" s="4">
        <v>0</v>
      </c>
      <c r="K169" s="4"/>
      <c r="L169" s="16"/>
      <c r="M169" s="4"/>
      <c r="N169" s="4"/>
      <c r="O169" s="4"/>
      <c r="P169" s="4"/>
      <c r="Q169" s="4"/>
      <c r="R169" s="4"/>
      <c r="S169" s="4">
        <v>0</v>
      </c>
      <c r="T169" s="4">
        <v>0</v>
      </c>
      <c r="U169" s="4">
        <v>0</v>
      </c>
      <c r="V169" s="4">
        <v>12</v>
      </c>
      <c r="W169" s="4">
        <v>12</v>
      </c>
      <c r="X169" s="4"/>
      <c r="Y169" s="4"/>
      <c r="Z169" s="4">
        <v>271.53000000000003</v>
      </c>
      <c r="AA169" s="4">
        <v>300</v>
      </c>
      <c r="AB169" s="18"/>
      <c r="AC169" s="18">
        <v>3</v>
      </c>
      <c r="AD169" s="28"/>
      <c r="AE169" s="26"/>
      <c r="AF169" s="28"/>
    </row>
    <row r="170" spans="1:32" ht="12.4" customHeight="1" x14ac:dyDescent="0.25">
      <c r="A170" s="14">
        <v>45673</v>
      </c>
      <c r="B170" s="14" t="s">
        <v>46</v>
      </c>
      <c r="C170" s="15">
        <v>3</v>
      </c>
      <c r="D170" s="16"/>
      <c r="E170" s="16"/>
      <c r="F170" s="17"/>
      <c r="G170" s="21"/>
      <c r="H170" s="21"/>
      <c r="I170" s="4">
        <v>0</v>
      </c>
      <c r="J170" s="4">
        <v>0</v>
      </c>
      <c r="K170" s="4"/>
      <c r="L170" s="16"/>
      <c r="M170" s="4"/>
      <c r="N170" s="4"/>
      <c r="O170" s="4"/>
      <c r="P170" s="4"/>
      <c r="Q170" s="4"/>
      <c r="R170" s="4"/>
      <c r="S170" s="4">
        <v>0</v>
      </c>
      <c r="T170" s="4">
        <v>0</v>
      </c>
      <c r="U170" s="4">
        <v>0</v>
      </c>
      <c r="V170" s="4">
        <v>12</v>
      </c>
      <c r="W170" s="4">
        <v>12</v>
      </c>
      <c r="X170" s="4"/>
      <c r="Y170" s="4"/>
      <c r="Z170" s="4">
        <v>274.19</v>
      </c>
      <c r="AA170" s="4">
        <v>300</v>
      </c>
      <c r="AB170" s="18"/>
      <c r="AC170" s="18">
        <v>3</v>
      </c>
      <c r="AD170" s="28"/>
      <c r="AE170" s="26"/>
      <c r="AF170" s="28"/>
    </row>
    <row r="171" spans="1:32" ht="12.4" customHeight="1" x14ac:dyDescent="0.25">
      <c r="A171" s="14">
        <v>45673</v>
      </c>
      <c r="B171" s="14" t="s">
        <v>45</v>
      </c>
      <c r="C171" s="15">
        <v>4</v>
      </c>
      <c r="D171" s="16">
        <v>20</v>
      </c>
      <c r="E171" s="16"/>
      <c r="F171" s="17"/>
      <c r="G171" s="21"/>
      <c r="H171" s="21"/>
      <c r="I171" s="4">
        <v>20</v>
      </c>
      <c r="J171" s="4">
        <v>0.33333333333333331</v>
      </c>
      <c r="K171" s="4"/>
      <c r="L171" s="16"/>
      <c r="M171" s="4"/>
      <c r="N171" s="4"/>
      <c r="O171" s="4"/>
      <c r="P171" s="4">
        <v>25</v>
      </c>
      <c r="Q171" s="4"/>
      <c r="R171" s="4"/>
      <c r="S171" s="4">
        <v>25</v>
      </c>
      <c r="T171" s="4">
        <v>0.41666666666666669</v>
      </c>
      <c r="U171" s="4">
        <v>0.75</v>
      </c>
      <c r="V171" s="4">
        <v>11.25</v>
      </c>
      <c r="W171" s="4">
        <v>12</v>
      </c>
      <c r="X171" s="4"/>
      <c r="Y171" s="4"/>
      <c r="Z171" s="4">
        <v>693.29</v>
      </c>
      <c r="AA171" s="4">
        <v>700</v>
      </c>
      <c r="AB171" s="18"/>
      <c r="AC171" s="18">
        <v>3</v>
      </c>
      <c r="AD171" s="28"/>
      <c r="AE171" s="26"/>
      <c r="AF171" s="28"/>
    </row>
    <row r="172" spans="1:32" ht="12.4" customHeight="1" x14ac:dyDescent="0.25">
      <c r="A172" s="14">
        <v>45673</v>
      </c>
      <c r="B172" s="14" t="s">
        <v>46</v>
      </c>
      <c r="C172" s="15">
        <v>4</v>
      </c>
      <c r="D172" s="16"/>
      <c r="E172" s="16"/>
      <c r="F172" s="17"/>
      <c r="G172" s="21"/>
      <c r="H172" s="21"/>
      <c r="I172" s="4">
        <v>0</v>
      </c>
      <c r="J172" s="4">
        <v>0</v>
      </c>
      <c r="K172" s="4"/>
      <c r="L172" s="16"/>
      <c r="M172" s="4"/>
      <c r="N172" s="4"/>
      <c r="O172" s="4"/>
      <c r="P172" s="4"/>
      <c r="Q172" s="4"/>
      <c r="R172" s="4"/>
      <c r="S172" s="4">
        <v>0</v>
      </c>
      <c r="T172" s="4">
        <v>0</v>
      </c>
      <c r="U172" s="4">
        <v>0</v>
      </c>
      <c r="V172" s="4">
        <v>12</v>
      </c>
      <c r="W172" s="4">
        <v>12</v>
      </c>
      <c r="X172" s="4"/>
      <c r="Y172" s="4"/>
      <c r="Z172" s="4">
        <v>773.51</v>
      </c>
      <c r="AA172" s="4">
        <v>800</v>
      </c>
      <c r="AB172" s="18"/>
      <c r="AC172" s="18">
        <v>3</v>
      </c>
      <c r="AD172" s="28"/>
      <c r="AE172" s="26"/>
      <c r="AF172" s="28"/>
    </row>
    <row r="173" spans="1:32" ht="12.4" customHeight="1" x14ac:dyDescent="0.25">
      <c r="A173" s="14">
        <v>45673</v>
      </c>
      <c r="B173" s="14" t="s">
        <v>45</v>
      </c>
      <c r="C173" s="15">
        <v>5</v>
      </c>
      <c r="D173" s="16"/>
      <c r="E173" s="16"/>
      <c r="F173" s="17"/>
      <c r="G173" s="21"/>
      <c r="H173" s="21"/>
      <c r="I173" s="4">
        <v>0</v>
      </c>
      <c r="J173" s="4">
        <v>0</v>
      </c>
      <c r="K173" s="4"/>
      <c r="L173" s="16"/>
      <c r="M173" s="4"/>
      <c r="N173" s="4"/>
      <c r="O173" s="4"/>
      <c r="P173" s="4"/>
      <c r="Q173" s="4"/>
      <c r="R173" s="4"/>
      <c r="S173" s="4">
        <v>0</v>
      </c>
      <c r="T173" s="4">
        <v>0</v>
      </c>
      <c r="U173" s="4">
        <v>0</v>
      </c>
      <c r="V173" s="4">
        <v>12</v>
      </c>
      <c r="W173" s="4">
        <v>12</v>
      </c>
      <c r="X173" s="4"/>
      <c r="Y173" s="4"/>
      <c r="Z173" s="4">
        <v>548.25</v>
      </c>
      <c r="AA173" s="4">
        <v>550</v>
      </c>
      <c r="AB173" s="18"/>
      <c r="AC173" s="18">
        <v>3</v>
      </c>
      <c r="AD173" s="28"/>
      <c r="AE173" s="26"/>
      <c r="AF173" s="28"/>
    </row>
    <row r="174" spans="1:32" ht="12.4" customHeight="1" x14ac:dyDescent="0.25">
      <c r="A174" s="14">
        <v>45673</v>
      </c>
      <c r="B174" s="14" t="s">
        <v>46</v>
      </c>
      <c r="C174" s="15">
        <v>5</v>
      </c>
      <c r="D174" s="16"/>
      <c r="E174" s="16"/>
      <c r="F174" s="17"/>
      <c r="G174" s="21"/>
      <c r="H174" s="21"/>
      <c r="I174" s="4">
        <v>0</v>
      </c>
      <c r="J174" s="4">
        <v>0</v>
      </c>
      <c r="K174" s="4"/>
      <c r="L174" s="16"/>
      <c r="M174" s="4"/>
      <c r="N174" s="4"/>
      <c r="O174" s="4"/>
      <c r="P174" s="4"/>
      <c r="Q174" s="4"/>
      <c r="R174" s="4"/>
      <c r="S174" s="4">
        <v>0</v>
      </c>
      <c r="T174" s="4">
        <v>0</v>
      </c>
      <c r="U174" s="4">
        <v>0</v>
      </c>
      <c r="V174" s="4">
        <v>12</v>
      </c>
      <c r="W174" s="4">
        <v>12</v>
      </c>
      <c r="X174" s="4"/>
      <c r="Y174" s="4"/>
      <c r="Z174" s="4">
        <v>525.65</v>
      </c>
      <c r="AA174" s="4">
        <v>550</v>
      </c>
      <c r="AB174" s="18"/>
      <c r="AC174" s="18">
        <v>3</v>
      </c>
      <c r="AD174" s="28"/>
      <c r="AE174" s="26"/>
      <c r="AF174" s="28"/>
    </row>
    <row r="175" spans="1:32" ht="12.4" customHeight="1" x14ac:dyDescent="0.25">
      <c r="A175" s="14">
        <v>45674</v>
      </c>
      <c r="B175" s="14" t="s">
        <v>45</v>
      </c>
      <c r="C175" s="15">
        <v>1</v>
      </c>
      <c r="D175" s="16"/>
      <c r="E175" s="16"/>
      <c r="F175" s="17"/>
      <c r="G175" s="21"/>
      <c r="H175" s="21"/>
      <c r="I175" s="4">
        <v>0</v>
      </c>
      <c r="J175" s="4">
        <v>0</v>
      </c>
      <c r="K175" s="4"/>
      <c r="L175" s="16"/>
      <c r="M175" s="4"/>
      <c r="N175" s="4"/>
      <c r="O175" s="4"/>
      <c r="P175" s="4"/>
      <c r="Q175" s="4"/>
      <c r="R175" s="4"/>
      <c r="S175" s="4">
        <v>0</v>
      </c>
      <c r="T175" s="4">
        <v>0</v>
      </c>
      <c r="U175" s="4">
        <v>0</v>
      </c>
      <c r="V175" s="4">
        <v>12</v>
      </c>
      <c r="W175" s="4">
        <v>12</v>
      </c>
      <c r="X175" s="4">
        <v>75</v>
      </c>
      <c r="Y175" s="4">
        <v>1988</v>
      </c>
      <c r="Z175" s="4">
        <v>132.29999999999998</v>
      </c>
      <c r="AA175" s="4">
        <v>200</v>
      </c>
      <c r="AB175" s="18">
        <v>398</v>
      </c>
      <c r="AC175" s="18">
        <v>3</v>
      </c>
      <c r="AD175" s="28"/>
      <c r="AE175" s="26"/>
      <c r="AF175" s="28"/>
    </row>
    <row r="176" spans="1:32" ht="12.4" customHeight="1" x14ac:dyDescent="0.25">
      <c r="A176" s="14">
        <v>45674</v>
      </c>
      <c r="B176" s="14" t="s">
        <v>46</v>
      </c>
      <c r="C176" s="15">
        <v>1</v>
      </c>
      <c r="D176" s="16"/>
      <c r="E176" s="16"/>
      <c r="F176" s="17"/>
      <c r="G176" s="21"/>
      <c r="H176" s="21"/>
      <c r="I176" s="4">
        <v>0</v>
      </c>
      <c r="J176" s="4">
        <v>0</v>
      </c>
      <c r="K176" s="4"/>
      <c r="L176" s="16"/>
      <c r="M176" s="4"/>
      <c r="N176" s="4"/>
      <c r="O176" s="4"/>
      <c r="P176" s="4"/>
      <c r="Q176" s="4"/>
      <c r="R176" s="4"/>
      <c r="S176" s="4">
        <v>0</v>
      </c>
      <c r="T176" s="4">
        <v>0</v>
      </c>
      <c r="U176" s="4">
        <v>0</v>
      </c>
      <c r="V176" s="4">
        <v>12</v>
      </c>
      <c r="W176" s="4">
        <v>12</v>
      </c>
      <c r="X176" s="4"/>
      <c r="Y176" s="4"/>
      <c r="Z176" s="4">
        <v>135.76</v>
      </c>
      <c r="AA176" s="4">
        <v>150</v>
      </c>
      <c r="AB176" s="18"/>
      <c r="AC176" s="18">
        <v>3</v>
      </c>
      <c r="AD176" s="28"/>
      <c r="AE176" s="26"/>
      <c r="AF176" s="28"/>
    </row>
    <row r="177" spans="1:32" ht="12.4" customHeight="1" x14ac:dyDescent="0.25">
      <c r="A177" s="14">
        <v>45674</v>
      </c>
      <c r="B177" s="14" t="s">
        <v>45</v>
      </c>
      <c r="C177" s="15">
        <v>2</v>
      </c>
      <c r="D177" s="16"/>
      <c r="E177" s="16"/>
      <c r="F177" s="17"/>
      <c r="G177" s="21"/>
      <c r="H177" s="21"/>
      <c r="I177" s="4">
        <v>0</v>
      </c>
      <c r="J177" s="4">
        <v>0</v>
      </c>
      <c r="K177" s="4"/>
      <c r="L177" s="16"/>
      <c r="M177" s="4"/>
      <c r="N177" s="4"/>
      <c r="O177" s="4"/>
      <c r="P177" s="4"/>
      <c r="Q177" s="4"/>
      <c r="R177" s="4"/>
      <c r="S177" s="4">
        <v>0</v>
      </c>
      <c r="T177" s="4">
        <v>0</v>
      </c>
      <c r="U177" s="4">
        <v>0</v>
      </c>
      <c r="V177" s="4">
        <v>12</v>
      </c>
      <c r="W177" s="4">
        <v>12</v>
      </c>
      <c r="X177" s="4"/>
      <c r="Y177" s="4"/>
      <c r="Z177" s="4">
        <v>165.14</v>
      </c>
      <c r="AA177" s="4">
        <v>200</v>
      </c>
      <c r="AB177" s="18"/>
      <c r="AC177" s="18">
        <v>3</v>
      </c>
      <c r="AD177" s="28"/>
      <c r="AE177" s="26"/>
      <c r="AF177" s="28"/>
    </row>
    <row r="178" spans="1:32" ht="12.4" customHeight="1" x14ac:dyDescent="0.25">
      <c r="A178" s="14">
        <v>45674</v>
      </c>
      <c r="B178" s="14" t="s">
        <v>46</v>
      </c>
      <c r="C178" s="15">
        <v>2</v>
      </c>
      <c r="D178" s="16"/>
      <c r="E178" s="16"/>
      <c r="F178" s="17"/>
      <c r="G178" s="21"/>
      <c r="H178" s="21"/>
      <c r="I178" s="4">
        <v>0</v>
      </c>
      <c r="J178" s="4">
        <v>0</v>
      </c>
      <c r="K178" s="4"/>
      <c r="L178" s="16"/>
      <c r="M178" s="4"/>
      <c r="N178" s="4"/>
      <c r="O178" s="4"/>
      <c r="P178" s="4"/>
      <c r="Q178" s="4"/>
      <c r="R178" s="4"/>
      <c r="S178" s="4">
        <v>0</v>
      </c>
      <c r="T178" s="4">
        <v>0</v>
      </c>
      <c r="U178" s="4">
        <v>0</v>
      </c>
      <c r="V178" s="4">
        <v>12</v>
      </c>
      <c r="W178" s="4">
        <v>12</v>
      </c>
      <c r="X178" s="4"/>
      <c r="Y178" s="4"/>
      <c r="Z178" s="4">
        <v>176.73</v>
      </c>
      <c r="AA178" s="4">
        <v>200</v>
      </c>
      <c r="AB178" s="18"/>
      <c r="AC178" s="18">
        <v>3</v>
      </c>
      <c r="AD178" s="28"/>
      <c r="AE178" s="26"/>
      <c r="AF178" s="28"/>
    </row>
    <row r="179" spans="1:32" ht="12.4" customHeight="1" x14ac:dyDescent="0.25">
      <c r="A179" s="14">
        <v>45674</v>
      </c>
      <c r="B179" s="14" t="s">
        <v>45</v>
      </c>
      <c r="C179" s="15">
        <v>3</v>
      </c>
      <c r="D179" s="16"/>
      <c r="E179" s="16"/>
      <c r="F179" s="17"/>
      <c r="G179" s="21"/>
      <c r="H179" s="21"/>
      <c r="I179" s="4">
        <v>0</v>
      </c>
      <c r="J179" s="4">
        <v>0</v>
      </c>
      <c r="K179" s="4"/>
      <c r="L179" s="16"/>
      <c r="M179" s="4"/>
      <c r="N179" s="4"/>
      <c r="O179" s="4"/>
      <c r="P179" s="4"/>
      <c r="Q179" s="4"/>
      <c r="R179" s="4"/>
      <c r="S179" s="4">
        <v>0</v>
      </c>
      <c r="T179" s="4">
        <v>0</v>
      </c>
      <c r="U179" s="4">
        <v>0</v>
      </c>
      <c r="V179" s="4">
        <v>12</v>
      </c>
      <c r="W179" s="4">
        <v>12</v>
      </c>
      <c r="X179" s="4"/>
      <c r="Y179" s="4"/>
      <c r="Z179" s="4">
        <v>262.17</v>
      </c>
      <c r="AA179" s="4">
        <v>300</v>
      </c>
      <c r="AB179" s="18"/>
      <c r="AC179" s="18">
        <v>3</v>
      </c>
      <c r="AD179" s="28"/>
      <c r="AE179" s="26"/>
      <c r="AF179" s="28"/>
    </row>
    <row r="180" spans="1:32" ht="12.4" customHeight="1" x14ac:dyDescent="0.25">
      <c r="A180" s="14">
        <v>45674</v>
      </c>
      <c r="B180" s="14" t="s">
        <v>46</v>
      </c>
      <c r="C180" s="15">
        <v>3</v>
      </c>
      <c r="D180" s="16"/>
      <c r="E180" s="16"/>
      <c r="F180" s="17"/>
      <c r="G180" s="21"/>
      <c r="H180" s="21"/>
      <c r="I180" s="4">
        <v>0</v>
      </c>
      <c r="J180" s="4">
        <v>0</v>
      </c>
      <c r="K180" s="4"/>
      <c r="L180" s="16"/>
      <c r="M180" s="4"/>
      <c r="N180" s="4"/>
      <c r="O180" s="4"/>
      <c r="P180" s="4"/>
      <c r="Q180" s="4"/>
      <c r="R180" s="4"/>
      <c r="S180" s="4">
        <v>0</v>
      </c>
      <c r="T180" s="4">
        <v>0</v>
      </c>
      <c r="U180" s="4">
        <v>0</v>
      </c>
      <c r="V180" s="4">
        <v>12</v>
      </c>
      <c r="W180" s="4">
        <v>12</v>
      </c>
      <c r="X180" s="4"/>
      <c r="Y180" s="4"/>
      <c r="Z180" s="4">
        <v>267.89999999999998</v>
      </c>
      <c r="AA180" s="4">
        <v>300</v>
      </c>
      <c r="AB180" s="18"/>
      <c r="AC180" s="18">
        <v>3</v>
      </c>
      <c r="AD180" s="28"/>
      <c r="AE180" s="26"/>
      <c r="AF180" s="28"/>
    </row>
    <row r="181" spans="1:32" ht="12.4" customHeight="1" x14ac:dyDescent="0.25">
      <c r="A181" s="14">
        <v>45674</v>
      </c>
      <c r="B181" s="14" t="s">
        <v>45</v>
      </c>
      <c r="C181" s="15">
        <v>4</v>
      </c>
      <c r="D181" s="16">
        <v>35</v>
      </c>
      <c r="E181" s="16"/>
      <c r="F181" s="17"/>
      <c r="G181" s="21"/>
      <c r="H181" s="21"/>
      <c r="I181" s="4">
        <v>35</v>
      </c>
      <c r="J181" s="4">
        <v>0.58333333333333337</v>
      </c>
      <c r="K181" s="4"/>
      <c r="L181" s="16"/>
      <c r="M181" s="4"/>
      <c r="N181" s="4"/>
      <c r="O181" s="4"/>
      <c r="P181" s="4"/>
      <c r="Q181" s="4"/>
      <c r="R181" s="4"/>
      <c r="S181" s="4">
        <v>0</v>
      </c>
      <c r="T181" s="4">
        <v>0</v>
      </c>
      <c r="U181" s="4">
        <v>0.58333333333333337</v>
      </c>
      <c r="V181" s="4">
        <v>11.416666666666666</v>
      </c>
      <c r="W181" s="4">
        <v>12</v>
      </c>
      <c r="X181" s="4"/>
      <c r="Y181" s="4"/>
      <c r="Z181" s="4">
        <v>855.31</v>
      </c>
      <c r="AA181" s="4">
        <v>850</v>
      </c>
      <c r="AB181" s="18"/>
      <c r="AC181" s="18">
        <v>3</v>
      </c>
      <c r="AD181" s="28"/>
      <c r="AE181" s="26"/>
      <c r="AF181" s="28"/>
    </row>
    <row r="182" spans="1:32" ht="12.4" customHeight="1" x14ac:dyDescent="0.25">
      <c r="A182" s="14">
        <v>45674</v>
      </c>
      <c r="B182" s="14" t="s">
        <v>46</v>
      </c>
      <c r="C182" s="15">
        <v>4</v>
      </c>
      <c r="D182" s="16"/>
      <c r="E182" s="16"/>
      <c r="F182" s="17"/>
      <c r="G182" s="21"/>
      <c r="H182" s="21"/>
      <c r="I182" s="4">
        <v>0</v>
      </c>
      <c r="J182" s="4">
        <v>0</v>
      </c>
      <c r="K182" s="4"/>
      <c r="L182" s="16"/>
      <c r="M182" s="4"/>
      <c r="N182" s="4"/>
      <c r="O182" s="4"/>
      <c r="P182" s="4"/>
      <c r="Q182" s="4"/>
      <c r="R182" s="4"/>
      <c r="S182" s="4">
        <v>0</v>
      </c>
      <c r="T182" s="4">
        <v>0</v>
      </c>
      <c r="U182" s="4">
        <v>0</v>
      </c>
      <c r="V182" s="4">
        <v>12</v>
      </c>
      <c r="W182" s="4">
        <v>12</v>
      </c>
      <c r="X182" s="4"/>
      <c r="Y182" s="4"/>
      <c r="Z182" s="4">
        <v>804.75</v>
      </c>
      <c r="AA182" s="4">
        <v>800</v>
      </c>
      <c r="AB182" s="18"/>
      <c r="AC182" s="18">
        <v>3</v>
      </c>
      <c r="AD182" s="28"/>
      <c r="AE182" s="26"/>
      <c r="AF182" s="28"/>
    </row>
    <row r="183" spans="1:32" ht="12.4" customHeight="1" x14ac:dyDescent="0.25">
      <c r="A183" s="14">
        <v>45674</v>
      </c>
      <c r="B183" s="14" t="s">
        <v>45</v>
      </c>
      <c r="C183" s="15">
        <v>5</v>
      </c>
      <c r="D183" s="16"/>
      <c r="E183" s="16"/>
      <c r="F183" s="17"/>
      <c r="G183" s="21"/>
      <c r="H183" s="21"/>
      <c r="I183" s="4">
        <v>0</v>
      </c>
      <c r="J183" s="4">
        <v>0</v>
      </c>
      <c r="K183" s="4"/>
      <c r="L183" s="16"/>
      <c r="M183" s="4"/>
      <c r="N183" s="4"/>
      <c r="O183" s="4"/>
      <c r="P183" s="4">
        <v>420</v>
      </c>
      <c r="Q183" s="4"/>
      <c r="R183" s="4"/>
      <c r="S183" s="4">
        <v>420</v>
      </c>
      <c r="T183" s="4">
        <v>7</v>
      </c>
      <c r="U183" s="4">
        <v>7</v>
      </c>
      <c r="V183" s="4">
        <v>5</v>
      </c>
      <c r="W183" s="4">
        <v>12</v>
      </c>
      <c r="X183" s="4"/>
      <c r="Y183" s="4"/>
      <c r="Z183" s="4">
        <v>248.45</v>
      </c>
      <c r="AA183" s="4">
        <v>300</v>
      </c>
      <c r="AB183" s="18"/>
      <c r="AC183" s="18">
        <v>3</v>
      </c>
      <c r="AD183" s="28"/>
      <c r="AE183" s="26"/>
      <c r="AF183" s="28"/>
    </row>
    <row r="184" spans="1:32" ht="12.4" customHeight="1" x14ac:dyDescent="0.25">
      <c r="A184" s="14">
        <v>45674</v>
      </c>
      <c r="B184" s="14" t="s">
        <v>46</v>
      </c>
      <c r="C184" s="15">
        <v>5</v>
      </c>
      <c r="D184" s="16"/>
      <c r="E184" s="16"/>
      <c r="F184" s="17"/>
      <c r="G184" s="21"/>
      <c r="H184" s="21"/>
      <c r="I184" s="4">
        <v>0</v>
      </c>
      <c r="J184" s="4">
        <v>0</v>
      </c>
      <c r="K184" s="4"/>
      <c r="L184" s="16"/>
      <c r="M184" s="4"/>
      <c r="N184" s="4"/>
      <c r="O184" s="4"/>
      <c r="P184" s="4"/>
      <c r="Q184" s="4"/>
      <c r="R184" s="4"/>
      <c r="S184" s="4">
        <v>0</v>
      </c>
      <c r="T184" s="4">
        <v>0</v>
      </c>
      <c r="U184" s="4">
        <v>0</v>
      </c>
      <c r="V184" s="4">
        <v>12</v>
      </c>
      <c r="W184" s="4">
        <v>12</v>
      </c>
      <c r="X184" s="4"/>
      <c r="Y184" s="4"/>
      <c r="Z184" s="4">
        <v>560.70000000000005</v>
      </c>
      <c r="AA184" s="4">
        <v>600</v>
      </c>
      <c r="AB184" s="18"/>
      <c r="AC184" s="18">
        <v>3</v>
      </c>
      <c r="AD184" s="28"/>
      <c r="AE184" s="26"/>
      <c r="AF184" s="28"/>
    </row>
    <row r="185" spans="1:32" ht="12.4" customHeight="1" x14ac:dyDescent="0.25">
      <c r="A185" s="14">
        <v>45675</v>
      </c>
      <c r="B185" s="14" t="s">
        <v>45</v>
      </c>
      <c r="C185" s="15">
        <v>1</v>
      </c>
      <c r="D185" s="16"/>
      <c r="E185" s="16"/>
      <c r="F185" s="17"/>
      <c r="G185" s="21"/>
      <c r="H185" s="21"/>
      <c r="I185" s="4">
        <v>0</v>
      </c>
      <c r="J185" s="4">
        <v>0</v>
      </c>
      <c r="K185" s="4"/>
      <c r="L185" s="16"/>
      <c r="M185" s="4"/>
      <c r="N185" s="4"/>
      <c r="O185" s="4"/>
      <c r="P185" s="4"/>
      <c r="Q185" s="4"/>
      <c r="R185" s="4"/>
      <c r="S185" s="4">
        <v>0</v>
      </c>
      <c r="T185" s="4">
        <v>0</v>
      </c>
      <c r="U185" s="4">
        <v>0</v>
      </c>
      <c r="V185" s="4">
        <v>12</v>
      </c>
      <c r="W185" s="4">
        <v>12</v>
      </c>
      <c r="X185" s="4">
        <v>80</v>
      </c>
      <c r="Y185" s="4">
        <v>1562</v>
      </c>
      <c r="Z185" s="4">
        <v>148.46</v>
      </c>
      <c r="AA185" s="4">
        <v>200</v>
      </c>
      <c r="AB185" s="18">
        <v>398</v>
      </c>
      <c r="AC185" s="18">
        <v>3</v>
      </c>
      <c r="AD185" s="28"/>
      <c r="AE185" s="26"/>
      <c r="AF185" s="28"/>
    </row>
    <row r="186" spans="1:32" ht="12.4" customHeight="1" x14ac:dyDescent="0.25">
      <c r="A186" s="14">
        <v>45675</v>
      </c>
      <c r="B186" s="14" t="s">
        <v>46</v>
      </c>
      <c r="C186" s="15">
        <v>1</v>
      </c>
      <c r="D186" s="16"/>
      <c r="E186" s="16"/>
      <c r="F186" s="17"/>
      <c r="G186" s="21"/>
      <c r="H186" s="21"/>
      <c r="I186" s="4">
        <v>0</v>
      </c>
      <c r="J186" s="4">
        <v>0</v>
      </c>
      <c r="K186" s="4"/>
      <c r="L186" s="16"/>
      <c r="M186" s="4"/>
      <c r="N186" s="4"/>
      <c r="O186" s="4"/>
      <c r="P186" s="4"/>
      <c r="Q186" s="4"/>
      <c r="R186" s="4"/>
      <c r="S186" s="4">
        <v>0</v>
      </c>
      <c r="T186" s="4">
        <v>0</v>
      </c>
      <c r="U186" s="4">
        <v>0</v>
      </c>
      <c r="V186" s="4">
        <v>12</v>
      </c>
      <c r="W186" s="4">
        <v>12</v>
      </c>
      <c r="X186" s="4"/>
      <c r="Y186" s="4"/>
      <c r="Z186" s="4">
        <v>112.8</v>
      </c>
      <c r="AA186" s="4">
        <v>150</v>
      </c>
      <c r="AB186" s="18"/>
      <c r="AC186" s="18">
        <v>3</v>
      </c>
      <c r="AD186" s="28"/>
      <c r="AE186" s="26"/>
      <c r="AF186" s="28"/>
    </row>
    <row r="187" spans="1:32" ht="12.4" customHeight="1" x14ac:dyDescent="0.25">
      <c r="A187" s="14">
        <v>45675</v>
      </c>
      <c r="B187" s="14" t="s">
        <v>45</v>
      </c>
      <c r="C187" s="15">
        <v>2</v>
      </c>
      <c r="D187" s="16"/>
      <c r="E187" s="16"/>
      <c r="F187" s="17"/>
      <c r="G187" s="21"/>
      <c r="H187" s="21"/>
      <c r="I187" s="4">
        <v>0</v>
      </c>
      <c r="J187" s="4">
        <v>0</v>
      </c>
      <c r="K187" s="4"/>
      <c r="L187" s="16"/>
      <c r="M187" s="4"/>
      <c r="N187" s="4"/>
      <c r="O187" s="4"/>
      <c r="P187" s="4"/>
      <c r="Q187" s="4"/>
      <c r="R187" s="4"/>
      <c r="S187" s="4">
        <v>0</v>
      </c>
      <c r="T187" s="4">
        <v>0</v>
      </c>
      <c r="U187" s="4">
        <v>0</v>
      </c>
      <c r="V187" s="4">
        <v>12</v>
      </c>
      <c r="W187" s="4">
        <v>12</v>
      </c>
      <c r="X187" s="4"/>
      <c r="Y187" s="4"/>
      <c r="Z187" s="4">
        <v>183.51000000000002</v>
      </c>
      <c r="AA187" s="4">
        <v>200</v>
      </c>
      <c r="AB187" s="18"/>
      <c r="AC187" s="18">
        <v>3</v>
      </c>
      <c r="AD187" s="28"/>
      <c r="AE187" s="26"/>
      <c r="AF187" s="28"/>
    </row>
    <row r="188" spans="1:32" ht="12.4" customHeight="1" x14ac:dyDescent="0.25">
      <c r="A188" s="14">
        <v>45675</v>
      </c>
      <c r="B188" s="14" t="s">
        <v>46</v>
      </c>
      <c r="C188" s="15">
        <v>2</v>
      </c>
      <c r="D188" s="16"/>
      <c r="E188" s="16"/>
      <c r="F188" s="17"/>
      <c r="G188" s="21"/>
      <c r="H188" s="21"/>
      <c r="I188" s="4">
        <v>0</v>
      </c>
      <c r="J188" s="4">
        <v>0</v>
      </c>
      <c r="K188" s="4"/>
      <c r="L188" s="16"/>
      <c r="M188" s="4"/>
      <c r="N188" s="4"/>
      <c r="O188" s="4"/>
      <c r="P188" s="4"/>
      <c r="Q188" s="4"/>
      <c r="R188" s="4"/>
      <c r="S188" s="4">
        <v>0</v>
      </c>
      <c r="T188" s="4">
        <v>0</v>
      </c>
      <c r="U188" s="4">
        <v>0</v>
      </c>
      <c r="V188" s="4">
        <v>12</v>
      </c>
      <c r="W188" s="4">
        <v>12</v>
      </c>
      <c r="X188" s="4"/>
      <c r="Y188" s="4"/>
      <c r="Z188" s="4">
        <v>132.9</v>
      </c>
      <c r="AA188" s="4">
        <v>150</v>
      </c>
      <c r="AB188" s="18"/>
      <c r="AC188" s="18">
        <v>3</v>
      </c>
      <c r="AD188" s="28"/>
      <c r="AE188" s="26"/>
      <c r="AF188" s="28"/>
    </row>
    <row r="189" spans="1:32" ht="12.4" customHeight="1" x14ac:dyDescent="0.25">
      <c r="A189" s="14">
        <v>45675</v>
      </c>
      <c r="B189" s="14" t="s">
        <v>45</v>
      </c>
      <c r="C189" s="15">
        <v>3</v>
      </c>
      <c r="D189" s="16"/>
      <c r="E189" s="16"/>
      <c r="F189" s="17"/>
      <c r="G189" s="21"/>
      <c r="H189" s="21"/>
      <c r="I189" s="4">
        <v>0</v>
      </c>
      <c r="J189" s="4">
        <v>0</v>
      </c>
      <c r="K189" s="4"/>
      <c r="L189" s="16"/>
      <c r="M189" s="4"/>
      <c r="N189" s="4"/>
      <c r="O189" s="4"/>
      <c r="P189" s="4"/>
      <c r="Q189" s="4"/>
      <c r="R189" s="4"/>
      <c r="S189" s="4">
        <v>0</v>
      </c>
      <c r="T189" s="4">
        <v>0</v>
      </c>
      <c r="U189" s="4">
        <v>0</v>
      </c>
      <c r="V189" s="4">
        <v>12</v>
      </c>
      <c r="W189" s="4">
        <v>12</v>
      </c>
      <c r="X189" s="4"/>
      <c r="Y189" s="4"/>
      <c r="Z189" s="4">
        <v>267.25000000000006</v>
      </c>
      <c r="AA189" s="4">
        <v>250</v>
      </c>
      <c r="AB189" s="18"/>
      <c r="AC189" s="18">
        <v>3</v>
      </c>
      <c r="AD189" s="28"/>
      <c r="AE189" s="26"/>
      <c r="AF189" s="28"/>
    </row>
    <row r="190" spans="1:32" ht="12.4" customHeight="1" x14ac:dyDescent="0.25">
      <c r="A190" s="14">
        <v>45675</v>
      </c>
      <c r="B190" s="14" t="s">
        <v>46</v>
      </c>
      <c r="C190" s="15">
        <v>3</v>
      </c>
      <c r="D190" s="16"/>
      <c r="E190" s="16"/>
      <c r="F190" s="17"/>
      <c r="G190" s="21"/>
      <c r="H190" s="21"/>
      <c r="I190" s="4">
        <v>0</v>
      </c>
      <c r="J190" s="4">
        <v>0</v>
      </c>
      <c r="K190" s="4"/>
      <c r="L190" s="16"/>
      <c r="M190" s="4"/>
      <c r="N190" s="4"/>
      <c r="O190" s="4"/>
      <c r="P190" s="4"/>
      <c r="Q190" s="4"/>
      <c r="R190" s="4"/>
      <c r="S190" s="4">
        <v>0</v>
      </c>
      <c r="T190" s="4">
        <v>0</v>
      </c>
      <c r="U190" s="4">
        <v>0</v>
      </c>
      <c r="V190" s="4">
        <v>12</v>
      </c>
      <c r="W190" s="4">
        <v>12</v>
      </c>
      <c r="X190" s="4"/>
      <c r="Y190" s="4"/>
      <c r="Z190" s="4">
        <v>136.07999999999998</v>
      </c>
      <c r="AA190" s="4">
        <v>150</v>
      </c>
      <c r="AB190" s="18"/>
      <c r="AC190" s="18">
        <v>3</v>
      </c>
      <c r="AD190" s="28"/>
      <c r="AE190" s="26"/>
      <c r="AF190" s="28"/>
    </row>
    <row r="191" spans="1:32" ht="12.4" customHeight="1" x14ac:dyDescent="0.25">
      <c r="A191" s="14">
        <v>45675</v>
      </c>
      <c r="B191" s="14" t="s">
        <v>45</v>
      </c>
      <c r="C191" s="15">
        <v>4</v>
      </c>
      <c r="D191" s="16">
        <v>20</v>
      </c>
      <c r="E191" s="16"/>
      <c r="F191" s="17"/>
      <c r="G191" s="21"/>
      <c r="H191" s="21"/>
      <c r="I191" s="4">
        <v>20</v>
      </c>
      <c r="J191" s="4">
        <v>0.33333333333333331</v>
      </c>
      <c r="K191" s="4"/>
      <c r="L191" s="16"/>
      <c r="M191" s="4"/>
      <c r="N191" s="4"/>
      <c r="O191" s="4"/>
      <c r="P191" s="4"/>
      <c r="Q191" s="4"/>
      <c r="R191" s="4"/>
      <c r="S191" s="4">
        <v>0</v>
      </c>
      <c r="T191" s="4">
        <v>0</v>
      </c>
      <c r="U191" s="4">
        <v>0.33333333333333331</v>
      </c>
      <c r="V191" s="4">
        <v>11.666666666666666</v>
      </c>
      <c r="W191" s="4">
        <v>12</v>
      </c>
      <c r="X191" s="4"/>
      <c r="Y191" s="4"/>
      <c r="Z191" s="4">
        <v>853.0300000000002</v>
      </c>
      <c r="AA191" s="4">
        <v>800</v>
      </c>
      <c r="AB191" s="18"/>
      <c r="AC191" s="18">
        <v>3</v>
      </c>
      <c r="AD191" s="28"/>
      <c r="AE191" s="26"/>
      <c r="AF191" s="28"/>
    </row>
    <row r="192" spans="1:32" ht="12.4" customHeight="1" x14ac:dyDescent="0.25">
      <c r="A192" s="14">
        <v>45675</v>
      </c>
      <c r="B192" s="14" t="s">
        <v>46</v>
      </c>
      <c r="C192" s="15">
        <v>4</v>
      </c>
      <c r="D192" s="16"/>
      <c r="E192" s="16"/>
      <c r="F192" s="17"/>
      <c r="G192" s="21"/>
      <c r="H192" s="21"/>
      <c r="I192" s="4">
        <v>0</v>
      </c>
      <c r="J192" s="4">
        <v>0</v>
      </c>
      <c r="K192" s="4"/>
      <c r="L192" s="16"/>
      <c r="M192" s="4"/>
      <c r="N192" s="4"/>
      <c r="O192" s="4"/>
      <c r="P192" s="4"/>
      <c r="Q192" s="4"/>
      <c r="R192" s="4"/>
      <c r="S192" s="4">
        <v>0</v>
      </c>
      <c r="T192" s="4">
        <v>0</v>
      </c>
      <c r="U192" s="4">
        <v>0</v>
      </c>
      <c r="V192" s="4">
        <v>12</v>
      </c>
      <c r="W192" s="4">
        <v>12</v>
      </c>
      <c r="X192" s="4"/>
      <c r="Y192" s="4"/>
      <c r="Z192" s="4">
        <v>502.62999999999994</v>
      </c>
      <c r="AA192" s="4">
        <v>500</v>
      </c>
      <c r="AB192" s="18"/>
      <c r="AC192" s="18">
        <v>3</v>
      </c>
      <c r="AD192" s="28"/>
      <c r="AE192" s="26"/>
      <c r="AF192" s="28"/>
    </row>
    <row r="193" spans="1:32" ht="12.4" customHeight="1" x14ac:dyDescent="0.25">
      <c r="A193" s="14">
        <v>45675</v>
      </c>
      <c r="B193" s="14" t="s">
        <v>45</v>
      </c>
      <c r="C193" s="15">
        <v>5</v>
      </c>
      <c r="D193" s="16"/>
      <c r="E193" s="16"/>
      <c r="F193" s="17"/>
      <c r="G193" s="21"/>
      <c r="H193" s="21"/>
      <c r="I193" s="4">
        <v>0</v>
      </c>
      <c r="J193" s="4">
        <v>0</v>
      </c>
      <c r="K193" s="4"/>
      <c r="L193" s="16"/>
      <c r="M193" s="4"/>
      <c r="N193" s="4"/>
      <c r="O193" s="4"/>
      <c r="P193" s="4"/>
      <c r="Q193" s="4">
        <v>25</v>
      </c>
      <c r="R193" s="4"/>
      <c r="S193" s="4">
        <v>25</v>
      </c>
      <c r="T193" s="4">
        <v>0.41666666666666669</v>
      </c>
      <c r="U193" s="4">
        <v>0.41666666666666669</v>
      </c>
      <c r="V193" s="4">
        <v>11.583333333333334</v>
      </c>
      <c r="W193" s="4">
        <v>12</v>
      </c>
      <c r="X193" s="4"/>
      <c r="Y193" s="4"/>
      <c r="Z193" s="4">
        <v>518.3900000000001</v>
      </c>
      <c r="AA193" s="4">
        <v>500</v>
      </c>
      <c r="AB193" s="18"/>
      <c r="AC193" s="18">
        <v>3</v>
      </c>
      <c r="AD193" s="28"/>
      <c r="AE193" s="26"/>
      <c r="AF193" s="28"/>
    </row>
    <row r="194" spans="1:32" ht="12.4" customHeight="1" x14ac:dyDescent="0.25">
      <c r="A194" s="14">
        <v>45675</v>
      </c>
      <c r="B194" s="14" t="s">
        <v>46</v>
      </c>
      <c r="C194" s="15">
        <v>5</v>
      </c>
      <c r="D194" s="16"/>
      <c r="E194" s="16"/>
      <c r="F194" s="17"/>
      <c r="G194" s="21"/>
      <c r="H194" s="21"/>
      <c r="I194" s="4">
        <v>0</v>
      </c>
      <c r="J194" s="4">
        <v>0</v>
      </c>
      <c r="K194" s="4"/>
      <c r="L194" s="16"/>
      <c r="M194" s="4"/>
      <c r="N194" s="4"/>
      <c r="O194" s="4"/>
      <c r="P194" s="4"/>
      <c r="Q194" s="4"/>
      <c r="R194" s="4"/>
      <c r="S194" s="4">
        <v>0</v>
      </c>
      <c r="T194" s="4">
        <v>0</v>
      </c>
      <c r="U194" s="4">
        <v>0</v>
      </c>
      <c r="V194" s="4">
        <v>12</v>
      </c>
      <c r="W194" s="4">
        <v>12</v>
      </c>
      <c r="X194" s="4"/>
      <c r="Y194" s="4"/>
      <c r="Z194" s="4">
        <v>148.42000000000002</v>
      </c>
      <c r="AA194" s="4">
        <v>200</v>
      </c>
      <c r="AB194" s="18"/>
      <c r="AC194" s="18">
        <v>3</v>
      </c>
      <c r="AD194" s="28"/>
      <c r="AE194" s="26"/>
      <c r="AF194" s="28"/>
    </row>
    <row r="195" spans="1:32" ht="12.4" customHeight="1" x14ac:dyDescent="0.25">
      <c r="A195" s="14">
        <v>45677</v>
      </c>
      <c r="B195" s="14" t="s">
        <v>45</v>
      </c>
      <c r="C195" s="15">
        <v>1</v>
      </c>
      <c r="D195" s="16"/>
      <c r="E195" s="16"/>
      <c r="F195" s="17"/>
      <c r="G195" s="21"/>
      <c r="H195" s="21"/>
      <c r="I195" s="4">
        <v>0</v>
      </c>
      <c r="J195" s="4">
        <v>0</v>
      </c>
      <c r="K195" s="4"/>
      <c r="L195" s="16"/>
      <c r="M195" s="4"/>
      <c r="N195" s="4"/>
      <c r="O195" s="4"/>
      <c r="P195" s="4"/>
      <c r="Q195" s="4"/>
      <c r="R195" s="4"/>
      <c r="S195" s="4">
        <v>0</v>
      </c>
      <c r="T195" s="4">
        <v>0</v>
      </c>
      <c r="U195" s="4">
        <v>0</v>
      </c>
      <c r="V195" s="4">
        <v>12</v>
      </c>
      <c r="W195" s="4">
        <v>12</v>
      </c>
      <c r="X195" s="4">
        <v>35.5</v>
      </c>
      <c r="Y195" s="4">
        <v>1666</v>
      </c>
      <c r="Z195" s="4">
        <v>96.36</v>
      </c>
      <c r="AA195" s="4">
        <v>100</v>
      </c>
      <c r="AB195" s="18">
        <v>398</v>
      </c>
      <c r="AC195" s="18">
        <v>4</v>
      </c>
      <c r="AD195" s="28"/>
      <c r="AE195" s="26"/>
      <c r="AF195" s="28"/>
    </row>
    <row r="196" spans="1:32" ht="12.4" customHeight="1" x14ac:dyDescent="0.25">
      <c r="A196" s="14">
        <v>45677</v>
      </c>
      <c r="B196" s="14" t="s">
        <v>46</v>
      </c>
      <c r="C196" s="15">
        <v>1</v>
      </c>
      <c r="D196" s="16">
        <v>30</v>
      </c>
      <c r="E196" s="16"/>
      <c r="F196" s="17"/>
      <c r="G196" s="21"/>
      <c r="H196" s="21"/>
      <c r="I196" s="4">
        <v>30</v>
      </c>
      <c r="J196" s="4">
        <v>0.5</v>
      </c>
      <c r="K196" s="4"/>
      <c r="L196" s="16"/>
      <c r="M196" s="4"/>
      <c r="N196" s="4"/>
      <c r="O196" s="4"/>
      <c r="P196" s="4"/>
      <c r="Q196" s="4"/>
      <c r="R196" s="4"/>
      <c r="S196" s="4">
        <v>0</v>
      </c>
      <c r="T196" s="4">
        <v>0</v>
      </c>
      <c r="U196" s="4">
        <v>0.5</v>
      </c>
      <c r="V196" s="4">
        <v>11.5</v>
      </c>
      <c r="W196" s="4">
        <v>12</v>
      </c>
      <c r="X196" s="4">
        <v>35.5</v>
      </c>
      <c r="Y196" s="4"/>
      <c r="Z196" s="4">
        <v>156.38999999999999</v>
      </c>
      <c r="AA196" s="4">
        <v>150</v>
      </c>
      <c r="AB196" s="18"/>
      <c r="AC196" s="18">
        <v>4</v>
      </c>
      <c r="AD196" s="28"/>
      <c r="AE196" s="26"/>
      <c r="AF196" s="28"/>
    </row>
    <row r="197" spans="1:32" ht="12.4" customHeight="1" x14ac:dyDescent="0.25">
      <c r="A197" s="14">
        <v>45677</v>
      </c>
      <c r="B197" s="14" t="s">
        <v>45</v>
      </c>
      <c r="C197" s="15">
        <v>2</v>
      </c>
      <c r="D197" s="16"/>
      <c r="E197" s="16"/>
      <c r="F197" s="17"/>
      <c r="G197" s="21"/>
      <c r="H197" s="21"/>
      <c r="I197" s="4">
        <v>0</v>
      </c>
      <c r="J197" s="4">
        <v>0</v>
      </c>
      <c r="K197" s="4"/>
      <c r="L197" s="16"/>
      <c r="M197" s="4"/>
      <c r="N197" s="4"/>
      <c r="O197" s="4"/>
      <c r="P197" s="4"/>
      <c r="Q197" s="4"/>
      <c r="R197" s="4"/>
      <c r="S197" s="4">
        <v>0</v>
      </c>
      <c r="T197" s="4">
        <v>0</v>
      </c>
      <c r="U197" s="4">
        <v>0</v>
      </c>
      <c r="V197" s="4">
        <v>12</v>
      </c>
      <c r="W197" s="4">
        <v>12</v>
      </c>
      <c r="X197" s="4">
        <v>0</v>
      </c>
      <c r="Y197" s="4"/>
      <c r="Z197" s="4">
        <v>149.54</v>
      </c>
      <c r="AA197" s="4">
        <v>150</v>
      </c>
      <c r="AB197" s="18"/>
      <c r="AC197" s="18">
        <v>4</v>
      </c>
      <c r="AD197" s="28"/>
      <c r="AE197" s="26"/>
      <c r="AF197" s="28"/>
    </row>
    <row r="198" spans="1:32" ht="12.4" customHeight="1" x14ac:dyDescent="0.25">
      <c r="A198" s="14">
        <v>45677</v>
      </c>
      <c r="B198" s="14" t="s">
        <v>46</v>
      </c>
      <c r="C198" s="15">
        <v>2</v>
      </c>
      <c r="D198" s="16"/>
      <c r="E198" s="16"/>
      <c r="F198" s="17"/>
      <c r="G198" s="21"/>
      <c r="H198" s="21"/>
      <c r="I198" s="4">
        <v>0</v>
      </c>
      <c r="J198" s="4">
        <v>0</v>
      </c>
      <c r="K198" s="4"/>
      <c r="L198" s="16"/>
      <c r="M198" s="4"/>
      <c r="N198" s="4"/>
      <c r="O198" s="4"/>
      <c r="P198" s="4"/>
      <c r="Q198" s="4"/>
      <c r="R198" s="4"/>
      <c r="S198" s="4">
        <v>0</v>
      </c>
      <c r="T198" s="4">
        <v>0</v>
      </c>
      <c r="U198" s="4">
        <v>0</v>
      </c>
      <c r="V198" s="4">
        <v>12</v>
      </c>
      <c r="W198" s="4">
        <v>12</v>
      </c>
      <c r="X198" s="4">
        <v>0</v>
      </c>
      <c r="Y198" s="4"/>
      <c r="Z198" s="4">
        <v>220.83999999999997</v>
      </c>
      <c r="AA198" s="4">
        <v>200</v>
      </c>
      <c r="AB198" s="18"/>
      <c r="AC198" s="18">
        <v>4</v>
      </c>
      <c r="AD198" s="28"/>
      <c r="AE198" s="26"/>
      <c r="AF198" s="28"/>
    </row>
    <row r="199" spans="1:32" ht="12.4" customHeight="1" x14ac:dyDescent="0.25">
      <c r="A199" s="14">
        <v>45677</v>
      </c>
      <c r="B199" s="14" t="s">
        <v>45</v>
      </c>
      <c r="C199" s="15">
        <v>3</v>
      </c>
      <c r="D199" s="16"/>
      <c r="E199" s="16"/>
      <c r="F199" s="17"/>
      <c r="G199" s="21"/>
      <c r="H199" s="21"/>
      <c r="I199" s="4">
        <v>0</v>
      </c>
      <c r="J199" s="4">
        <v>0</v>
      </c>
      <c r="K199" s="4"/>
      <c r="L199" s="16"/>
      <c r="M199" s="4"/>
      <c r="N199" s="4"/>
      <c r="O199" s="4"/>
      <c r="P199" s="4"/>
      <c r="Q199" s="4"/>
      <c r="R199" s="4"/>
      <c r="S199" s="4">
        <v>0</v>
      </c>
      <c r="T199" s="4">
        <v>0</v>
      </c>
      <c r="U199" s="4">
        <v>0</v>
      </c>
      <c r="V199" s="4">
        <v>12</v>
      </c>
      <c r="W199" s="4">
        <v>12</v>
      </c>
      <c r="X199" s="4">
        <v>0</v>
      </c>
      <c r="Y199" s="4"/>
      <c r="Z199" s="4">
        <v>196.36</v>
      </c>
      <c r="AA199" s="4">
        <v>200</v>
      </c>
      <c r="AB199" s="18"/>
      <c r="AC199" s="18">
        <v>4</v>
      </c>
      <c r="AD199" s="28"/>
      <c r="AE199" s="26"/>
      <c r="AF199" s="28"/>
    </row>
    <row r="200" spans="1:32" ht="12.4" customHeight="1" x14ac:dyDescent="0.25">
      <c r="A200" s="14">
        <v>45677</v>
      </c>
      <c r="B200" s="14" t="s">
        <v>46</v>
      </c>
      <c r="C200" s="15">
        <v>3</v>
      </c>
      <c r="D200" s="16"/>
      <c r="E200" s="16"/>
      <c r="F200" s="17"/>
      <c r="G200" s="21"/>
      <c r="H200" s="21"/>
      <c r="I200" s="4">
        <v>0</v>
      </c>
      <c r="J200" s="4">
        <v>0</v>
      </c>
      <c r="K200" s="4"/>
      <c r="L200" s="16"/>
      <c r="M200" s="4"/>
      <c r="N200" s="4"/>
      <c r="O200" s="4"/>
      <c r="P200" s="4"/>
      <c r="Q200" s="4"/>
      <c r="R200" s="4"/>
      <c r="S200" s="4">
        <v>0</v>
      </c>
      <c r="T200" s="4">
        <v>0</v>
      </c>
      <c r="U200" s="4">
        <v>0</v>
      </c>
      <c r="V200" s="4">
        <v>12</v>
      </c>
      <c r="W200" s="4">
        <v>12</v>
      </c>
      <c r="X200" s="4">
        <v>0</v>
      </c>
      <c r="Y200" s="4"/>
      <c r="Z200" s="4">
        <v>338.43</v>
      </c>
      <c r="AA200" s="4">
        <v>300</v>
      </c>
      <c r="AB200" s="18"/>
      <c r="AC200" s="18">
        <v>4</v>
      </c>
      <c r="AD200" s="28"/>
      <c r="AE200" s="26"/>
      <c r="AF200" s="28"/>
    </row>
    <row r="201" spans="1:32" ht="12.4" customHeight="1" x14ac:dyDescent="0.25">
      <c r="A201" s="14">
        <v>45677</v>
      </c>
      <c r="B201" s="14" t="s">
        <v>46</v>
      </c>
      <c r="C201" s="15">
        <v>4</v>
      </c>
      <c r="D201" s="16"/>
      <c r="E201" s="16"/>
      <c r="F201" s="17"/>
      <c r="G201" s="21"/>
      <c r="H201" s="21"/>
      <c r="I201" s="4">
        <v>0</v>
      </c>
      <c r="J201" s="4">
        <v>0</v>
      </c>
      <c r="K201" s="4"/>
      <c r="L201" s="16"/>
      <c r="M201" s="4"/>
      <c r="N201" s="4"/>
      <c r="O201" s="4"/>
      <c r="P201" s="4"/>
      <c r="Q201" s="4"/>
      <c r="R201" s="4"/>
      <c r="S201" s="4">
        <v>0</v>
      </c>
      <c r="T201" s="4">
        <v>0</v>
      </c>
      <c r="U201" s="4">
        <v>0</v>
      </c>
      <c r="V201" s="4">
        <v>12</v>
      </c>
      <c r="W201" s="4">
        <v>12</v>
      </c>
      <c r="X201" s="4">
        <v>0</v>
      </c>
      <c r="Y201" s="4"/>
      <c r="Z201" s="4">
        <v>529.57999999999993</v>
      </c>
      <c r="AA201" s="4">
        <v>500</v>
      </c>
      <c r="AB201" s="18"/>
      <c r="AC201" s="18">
        <v>4</v>
      </c>
      <c r="AD201" s="28"/>
      <c r="AE201" s="26"/>
      <c r="AF201" s="28"/>
    </row>
    <row r="202" spans="1:32" ht="12.4" customHeight="1" x14ac:dyDescent="0.25">
      <c r="A202" s="14">
        <v>45677</v>
      </c>
      <c r="B202" s="14" t="s">
        <v>45</v>
      </c>
      <c r="C202" s="15">
        <v>5</v>
      </c>
      <c r="D202" s="16"/>
      <c r="E202" s="16"/>
      <c r="F202" s="17"/>
      <c r="G202" s="21"/>
      <c r="H202" s="21"/>
      <c r="I202" s="4">
        <v>0</v>
      </c>
      <c r="J202" s="4">
        <v>0</v>
      </c>
      <c r="K202" s="4"/>
      <c r="L202" s="16"/>
      <c r="M202" s="4"/>
      <c r="N202" s="4"/>
      <c r="O202" s="4"/>
      <c r="P202" s="4"/>
      <c r="Q202" s="4"/>
      <c r="R202" s="4"/>
      <c r="S202" s="4">
        <v>0</v>
      </c>
      <c r="T202" s="4">
        <v>0</v>
      </c>
      <c r="U202" s="4">
        <v>0</v>
      </c>
      <c r="V202" s="4">
        <v>12</v>
      </c>
      <c r="W202" s="4">
        <v>12</v>
      </c>
      <c r="X202" s="4">
        <v>0</v>
      </c>
      <c r="Y202" s="4"/>
      <c r="Z202" s="4">
        <v>305.64000000000004</v>
      </c>
      <c r="AA202" s="4">
        <v>300</v>
      </c>
      <c r="AB202" s="18"/>
      <c r="AC202" s="18">
        <v>4</v>
      </c>
      <c r="AD202" s="28"/>
      <c r="AE202" s="26"/>
      <c r="AF202" s="28"/>
    </row>
    <row r="203" spans="1:32" ht="12.4" customHeight="1" x14ac:dyDescent="0.25">
      <c r="A203" s="14">
        <v>45677</v>
      </c>
      <c r="B203" s="14" t="s">
        <v>46</v>
      </c>
      <c r="C203" s="15">
        <v>5</v>
      </c>
      <c r="D203" s="16"/>
      <c r="E203" s="16"/>
      <c r="F203" s="17"/>
      <c r="G203" s="21"/>
      <c r="H203" s="21"/>
      <c r="I203" s="4">
        <v>0</v>
      </c>
      <c r="J203" s="4">
        <v>0</v>
      </c>
      <c r="K203" s="4"/>
      <c r="L203" s="16"/>
      <c r="M203" s="4"/>
      <c r="N203" s="4"/>
      <c r="O203" s="4"/>
      <c r="P203" s="4"/>
      <c r="Q203" s="4"/>
      <c r="R203" s="4"/>
      <c r="S203" s="4">
        <v>0</v>
      </c>
      <c r="T203" s="4">
        <v>0</v>
      </c>
      <c r="U203" s="4">
        <v>0</v>
      </c>
      <c r="V203" s="4">
        <v>12</v>
      </c>
      <c r="W203" s="4">
        <v>12</v>
      </c>
      <c r="X203" s="4">
        <v>0</v>
      </c>
      <c r="Y203" s="4"/>
      <c r="Z203" s="4">
        <v>512.9</v>
      </c>
      <c r="AA203" s="4">
        <v>500</v>
      </c>
      <c r="AB203" s="18"/>
      <c r="AC203" s="18">
        <v>4</v>
      </c>
      <c r="AD203" s="28"/>
      <c r="AE203" s="26"/>
      <c r="AF203" s="28"/>
    </row>
    <row r="204" spans="1:32" ht="12.4" customHeight="1" x14ac:dyDescent="0.25">
      <c r="A204" s="14">
        <v>45678</v>
      </c>
      <c r="B204" s="14" t="s">
        <v>45</v>
      </c>
      <c r="C204" s="15">
        <v>1</v>
      </c>
      <c r="D204" s="16"/>
      <c r="E204" s="16"/>
      <c r="F204" s="17"/>
      <c r="G204" s="21"/>
      <c r="H204" s="21"/>
      <c r="I204" s="4">
        <v>0</v>
      </c>
      <c r="J204" s="4">
        <v>0</v>
      </c>
      <c r="K204" s="4"/>
      <c r="L204" s="16"/>
      <c r="M204" s="4"/>
      <c r="N204" s="4"/>
      <c r="O204" s="4"/>
      <c r="P204" s="4"/>
      <c r="Q204" s="4"/>
      <c r="R204" s="4"/>
      <c r="S204" s="4">
        <v>0</v>
      </c>
      <c r="T204" s="4">
        <v>0</v>
      </c>
      <c r="U204" s="4">
        <v>0</v>
      </c>
      <c r="V204" s="4">
        <v>12</v>
      </c>
      <c r="W204" s="4">
        <v>12</v>
      </c>
      <c r="X204" s="4">
        <v>45</v>
      </c>
      <c r="Y204" s="4">
        <v>2120</v>
      </c>
      <c r="Z204" s="4">
        <v>149.72999999999999</v>
      </c>
      <c r="AA204" s="4">
        <v>200</v>
      </c>
      <c r="AB204" s="18">
        <v>398</v>
      </c>
      <c r="AC204" s="18">
        <v>4</v>
      </c>
      <c r="AD204" s="28"/>
      <c r="AE204" s="26"/>
      <c r="AF204" s="28"/>
    </row>
    <row r="205" spans="1:32" ht="12.4" customHeight="1" x14ac:dyDescent="0.25">
      <c r="A205" s="14">
        <v>45678</v>
      </c>
      <c r="B205" s="14" t="s">
        <v>46</v>
      </c>
      <c r="C205" s="15">
        <v>1</v>
      </c>
      <c r="D205" s="16"/>
      <c r="E205" s="16"/>
      <c r="F205" s="17"/>
      <c r="G205" s="21"/>
      <c r="H205" s="21"/>
      <c r="I205" s="4">
        <v>0</v>
      </c>
      <c r="J205" s="4">
        <v>0</v>
      </c>
      <c r="K205" s="4"/>
      <c r="L205" s="16"/>
      <c r="M205" s="4"/>
      <c r="N205" s="4"/>
      <c r="O205" s="4"/>
      <c r="P205" s="4"/>
      <c r="Q205" s="4"/>
      <c r="R205" s="4"/>
      <c r="S205" s="4">
        <v>0</v>
      </c>
      <c r="T205" s="4">
        <v>0</v>
      </c>
      <c r="U205" s="4">
        <v>0</v>
      </c>
      <c r="V205" s="4">
        <v>12</v>
      </c>
      <c r="W205" s="4">
        <v>12</v>
      </c>
      <c r="X205" s="4">
        <v>45</v>
      </c>
      <c r="Y205" s="4"/>
      <c r="Z205" s="4">
        <v>161.54000000000002</v>
      </c>
      <c r="AA205" s="4">
        <v>160</v>
      </c>
      <c r="AB205" s="18"/>
      <c r="AC205" s="18">
        <v>4</v>
      </c>
      <c r="AD205" s="28"/>
      <c r="AE205" s="26"/>
      <c r="AF205" s="28"/>
    </row>
    <row r="206" spans="1:32" ht="12.4" customHeight="1" x14ac:dyDescent="0.25">
      <c r="A206" s="14">
        <v>45678</v>
      </c>
      <c r="B206" s="14" t="s">
        <v>45</v>
      </c>
      <c r="C206" s="15">
        <v>2</v>
      </c>
      <c r="D206" s="16"/>
      <c r="E206" s="16"/>
      <c r="F206" s="17"/>
      <c r="G206" s="21"/>
      <c r="H206" s="21"/>
      <c r="I206" s="4">
        <v>0</v>
      </c>
      <c r="J206" s="4">
        <v>0</v>
      </c>
      <c r="K206" s="4"/>
      <c r="L206" s="16"/>
      <c r="M206" s="4"/>
      <c r="N206" s="4"/>
      <c r="O206" s="4"/>
      <c r="P206" s="4">
        <v>120</v>
      </c>
      <c r="Q206" s="4"/>
      <c r="R206" s="4"/>
      <c r="S206" s="4">
        <v>120</v>
      </c>
      <c r="T206" s="4">
        <v>2</v>
      </c>
      <c r="U206" s="4">
        <v>2</v>
      </c>
      <c r="V206" s="4">
        <v>10</v>
      </c>
      <c r="W206" s="4">
        <v>12</v>
      </c>
      <c r="X206" s="4">
        <v>0</v>
      </c>
      <c r="Y206" s="4"/>
      <c r="Z206" s="4">
        <v>165.54999999999998</v>
      </c>
      <c r="AA206" s="4">
        <v>170</v>
      </c>
      <c r="AB206" s="18"/>
      <c r="AC206" s="18">
        <v>4</v>
      </c>
      <c r="AD206" s="28"/>
      <c r="AE206" s="26"/>
      <c r="AF206" s="28"/>
    </row>
    <row r="207" spans="1:32" ht="12.4" customHeight="1" x14ac:dyDescent="0.25">
      <c r="A207" s="14">
        <v>45678</v>
      </c>
      <c r="B207" s="14" t="s">
        <v>46</v>
      </c>
      <c r="C207" s="15">
        <v>2</v>
      </c>
      <c r="D207" s="16"/>
      <c r="E207" s="16"/>
      <c r="F207" s="17"/>
      <c r="G207" s="21"/>
      <c r="H207" s="21"/>
      <c r="I207" s="4">
        <v>0</v>
      </c>
      <c r="J207" s="4">
        <v>0</v>
      </c>
      <c r="K207" s="4"/>
      <c r="L207" s="16"/>
      <c r="M207" s="4"/>
      <c r="N207" s="4"/>
      <c r="O207" s="4"/>
      <c r="P207" s="4"/>
      <c r="Q207" s="4"/>
      <c r="R207" s="4"/>
      <c r="S207" s="4">
        <v>0</v>
      </c>
      <c r="T207" s="4">
        <v>0</v>
      </c>
      <c r="U207" s="4">
        <v>0</v>
      </c>
      <c r="V207" s="4">
        <v>12</v>
      </c>
      <c r="W207" s="4">
        <v>12</v>
      </c>
      <c r="X207" s="4">
        <v>0</v>
      </c>
      <c r="Y207" s="4"/>
      <c r="Z207" s="4">
        <v>182.31</v>
      </c>
      <c r="AA207" s="4">
        <v>200</v>
      </c>
      <c r="AB207" s="18"/>
      <c r="AC207" s="18">
        <v>4</v>
      </c>
      <c r="AD207" s="28"/>
      <c r="AE207" s="26"/>
      <c r="AF207" s="28"/>
    </row>
    <row r="208" spans="1:32" ht="12.4" customHeight="1" x14ac:dyDescent="0.25">
      <c r="A208" s="14">
        <v>45678</v>
      </c>
      <c r="B208" s="14" t="s">
        <v>45</v>
      </c>
      <c r="C208" s="15">
        <v>3</v>
      </c>
      <c r="D208" s="16"/>
      <c r="E208" s="16"/>
      <c r="F208" s="17"/>
      <c r="G208" s="21"/>
      <c r="H208" s="21"/>
      <c r="I208" s="4">
        <v>0</v>
      </c>
      <c r="J208" s="4">
        <v>0</v>
      </c>
      <c r="K208" s="4"/>
      <c r="L208" s="16"/>
      <c r="M208" s="4"/>
      <c r="N208" s="4"/>
      <c r="O208" s="4"/>
      <c r="P208" s="4"/>
      <c r="Q208" s="4"/>
      <c r="R208" s="4"/>
      <c r="S208" s="4">
        <v>0</v>
      </c>
      <c r="T208" s="4">
        <v>0</v>
      </c>
      <c r="U208" s="4">
        <v>0</v>
      </c>
      <c r="V208" s="4">
        <v>12</v>
      </c>
      <c r="W208" s="4">
        <v>12</v>
      </c>
      <c r="X208" s="4">
        <v>0</v>
      </c>
      <c r="Y208" s="4"/>
      <c r="Z208" s="4">
        <v>311.29000000000002</v>
      </c>
      <c r="AA208" s="4">
        <v>300</v>
      </c>
      <c r="AB208" s="18"/>
      <c r="AC208" s="18">
        <v>4</v>
      </c>
      <c r="AD208" s="28"/>
      <c r="AE208" s="26"/>
      <c r="AF208" s="28"/>
    </row>
    <row r="209" spans="1:32" ht="12.4" customHeight="1" x14ac:dyDescent="0.25">
      <c r="A209" s="14">
        <v>45678</v>
      </c>
      <c r="B209" s="14" t="s">
        <v>46</v>
      </c>
      <c r="C209" s="15">
        <v>3</v>
      </c>
      <c r="D209" s="16"/>
      <c r="E209" s="16"/>
      <c r="F209" s="17"/>
      <c r="G209" s="21"/>
      <c r="H209" s="21"/>
      <c r="I209" s="4">
        <v>0</v>
      </c>
      <c r="J209" s="4">
        <v>0</v>
      </c>
      <c r="K209" s="4"/>
      <c r="L209" s="16"/>
      <c r="M209" s="4"/>
      <c r="N209" s="4"/>
      <c r="O209" s="4"/>
      <c r="P209" s="4"/>
      <c r="Q209" s="4"/>
      <c r="R209" s="4"/>
      <c r="S209" s="4">
        <v>0</v>
      </c>
      <c r="T209" s="4">
        <v>0</v>
      </c>
      <c r="U209" s="4">
        <v>0</v>
      </c>
      <c r="V209" s="4">
        <v>12</v>
      </c>
      <c r="W209" s="4">
        <v>12</v>
      </c>
      <c r="X209" s="4">
        <v>0</v>
      </c>
      <c r="Y209" s="4"/>
      <c r="Z209" s="4">
        <v>320.42</v>
      </c>
      <c r="AA209" s="4">
        <v>300</v>
      </c>
      <c r="AB209" s="18"/>
      <c r="AC209" s="18">
        <v>4</v>
      </c>
      <c r="AD209" s="28"/>
      <c r="AE209" s="26"/>
      <c r="AF209" s="28"/>
    </row>
    <row r="210" spans="1:32" ht="12.4" customHeight="1" x14ac:dyDescent="0.25">
      <c r="A210" s="14">
        <v>45678</v>
      </c>
      <c r="B210" s="14" t="s">
        <v>45</v>
      </c>
      <c r="C210" s="15">
        <v>4</v>
      </c>
      <c r="D210" s="16"/>
      <c r="E210" s="16"/>
      <c r="F210" s="17"/>
      <c r="G210" s="21"/>
      <c r="H210" s="21"/>
      <c r="I210" s="4">
        <v>0</v>
      </c>
      <c r="J210" s="4">
        <v>0</v>
      </c>
      <c r="K210" s="4"/>
      <c r="L210" s="16"/>
      <c r="M210" s="4"/>
      <c r="N210" s="4"/>
      <c r="O210" s="4"/>
      <c r="P210" s="4"/>
      <c r="Q210" s="4"/>
      <c r="R210" s="4"/>
      <c r="S210" s="4">
        <v>0</v>
      </c>
      <c r="T210" s="4">
        <v>0</v>
      </c>
      <c r="U210" s="4">
        <v>0</v>
      </c>
      <c r="V210" s="4">
        <v>12</v>
      </c>
      <c r="W210" s="4">
        <v>12</v>
      </c>
      <c r="X210" s="4">
        <v>0</v>
      </c>
      <c r="Y210" s="4"/>
      <c r="Z210" s="4">
        <v>723.96</v>
      </c>
      <c r="AA210" s="4">
        <v>750</v>
      </c>
      <c r="AB210" s="18"/>
      <c r="AC210" s="18">
        <v>4</v>
      </c>
      <c r="AD210" s="28"/>
      <c r="AE210" s="26"/>
      <c r="AF210" s="28"/>
    </row>
    <row r="211" spans="1:32" ht="12.4" customHeight="1" x14ac:dyDescent="0.25">
      <c r="A211" s="14">
        <v>45678</v>
      </c>
      <c r="B211" s="14" t="s">
        <v>46</v>
      </c>
      <c r="C211" s="15">
        <v>4</v>
      </c>
      <c r="D211" s="16"/>
      <c r="E211" s="16"/>
      <c r="F211" s="17"/>
      <c r="G211" s="21"/>
      <c r="H211" s="21"/>
      <c r="I211" s="4">
        <v>0</v>
      </c>
      <c r="J211" s="4">
        <v>0</v>
      </c>
      <c r="K211" s="4"/>
      <c r="L211" s="16"/>
      <c r="M211" s="4"/>
      <c r="N211" s="4"/>
      <c r="O211" s="4"/>
      <c r="P211" s="4"/>
      <c r="Q211" s="4"/>
      <c r="R211" s="4"/>
      <c r="S211" s="4">
        <v>0</v>
      </c>
      <c r="T211" s="4">
        <v>0</v>
      </c>
      <c r="U211" s="4">
        <v>0</v>
      </c>
      <c r="V211" s="4">
        <v>12</v>
      </c>
      <c r="W211" s="4">
        <v>12</v>
      </c>
      <c r="X211" s="4">
        <v>0</v>
      </c>
      <c r="Y211" s="4"/>
      <c r="Z211" s="4">
        <v>886.95999999999981</v>
      </c>
      <c r="AA211" s="4">
        <v>900</v>
      </c>
      <c r="AB211" s="18"/>
      <c r="AC211" s="18">
        <v>4</v>
      </c>
      <c r="AD211" s="28"/>
      <c r="AE211" s="26"/>
      <c r="AF211" s="28"/>
    </row>
    <row r="212" spans="1:32" ht="12.4" customHeight="1" x14ac:dyDescent="0.25">
      <c r="A212" s="14">
        <v>45678</v>
      </c>
      <c r="B212" s="14" t="s">
        <v>45</v>
      </c>
      <c r="C212" s="15">
        <v>5</v>
      </c>
      <c r="D212" s="16">
        <v>30</v>
      </c>
      <c r="E212" s="16"/>
      <c r="F212" s="17"/>
      <c r="G212" s="21"/>
      <c r="H212" s="21"/>
      <c r="I212" s="4">
        <v>30</v>
      </c>
      <c r="J212" s="4">
        <v>0.5</v>
      </c>
      <c r="K212" s="4"/>
      <c r="L212" s="16"/>
      <c r="M212" s="4"/>
      <c r="N212" s="4"/>
      <c r="O212" s="4"/>
      <c r="P212" s="4"/>
      <c r="Q212" s="4"/>
      <c r="R212" s="4"/>
      <c r="S212" s="4">
        <v>0</v>
      </c>
      <c r="T212" s="4">
        <v>0</v>
      </c>
      <c r="U212" s="4">
        <v>0.5</v>
      </c>
      <c r="V212" s="4">
        <v>11.5</v>
      </c>
      <c r="W212" s="4">
        <v>12</v>
      </c>
      <c r="X212" s="4">
        <v>0</v>
      </c>
      <c r="Y212" s="4"/>
      <c r="Z212" s="4">
        <v>563.67500000000007</v>
      </c>
      <c r="AA212" s="4">
        <v>600</v>
      </c>
      <c r="AB212" s="18"/>
      <c r="AC212" s="18">
        <v>4</v>
      </c>
      <c r="AD212" s="28"/>
      <c r="AE212" s="26"/>
      <c r="AF212" s="28"/>
    </row>
    <row r="213" spans="1:32" ht="12.4" customHeight="1" x14ac:dyDescent="0.25">
      <c r="A213" s="14">
        <v>45678</v>
      </c>
      <c r="B213" s="14" t="s">
        <v>46</v>
      </c>
      <c r="C213" s="15">
        <v>5</v>
      </c>
      <c r="D213" s="16">
        <v>30</v>
      </c>
      <c r="E213" s="16"/>
      <c r="F213" s="17"/>
      <c r="G213" s="21"/>
      <c r="H213" s="21"/>
      <c r="I213" s="4">
        <v>30</v>
      </c>
      <c r="J213" s="4">
        <v>0.5</v>
      </c>
      <c r="K213" s="4"/>
      <c r="L213" s="16"/>
      <c r="M213" s="4"/>
      <c r="N213" s="4"/>
      <c r="O213" s="4"/>
      <c r="P213" s="4"/>
      <c r="Q213" s="4"/>
      <c r="R213" s="4"/>
      <c r="S213" s="4">
        <v>0</v>
      </c>
      <c r="T213" s="4">
        <v>0</v>
      </c>
      <c r="U213" s="4">
        <v>0.5</v>
      </c>
      <c r="V213" s="4">
        <v>11.5</v>
      </c>
      <c r="W213" s="4">
        <v>12</v>
      </c>
      <c r="X213" s="4">
        <v>0</v>
      </c>
      <c r="Y213" s="4"/>
      <c r="Z213" s="4">
        <v>524.5</v>
      </c>
      <c r="AA213" s="4">
        <v>520</v>
      </c>
      <c r="AB213" s="18"/>
      <c r="AC213" s="18">
        <v>4</v>
      </c>
      <c r="AD213" s="28"/>
      <c r="AE213" s="26"/>
      <c r="AF213" s="28"/>
    </row>
    <row r="214" spans="1:32" ht="12.4" customHeight="1" x14ac:dyDescent="0.25">
      <c r="A214" s="14">
        <v>45679</v>
      </c>
      <c r="B214" s="14" t="s">
        <v>45</v>
      </c>
      <c r="C214" s="15">
        <v>1</v>
      </c>
      <c r="D214" s="16">
        <v>80</v>
      </c>
      <c r="E214" s="16"/>
      <c r="F214" s="17"/>
      <c r="G214" s="21"/>
      <c r="H214" s="21"/>
      <c r="I214" s="4">
        <v>80</v>
      </c>
      <c r="J214" s="4">
        <v>1.3333333333333333</v>
      </c>
      <c r="K214" s="4"/>
      <c r="L214" s="16"/>
      <c r="M214" s="4"/>
      <c r="N214" s="4"/>
      <c r="O214" s="4"/>
      <c r="P214" s="4">
        <v>90</v>
      </c>
      <c r="Q214" s="4"/>
      <c r="R214" s="4"/>
      <c r="S214" s="4">
        <v>90</v>
      </c>
      <c r="T214" s="4">
        <v>1.5</v>
      </c>
      <c r="U214" s="4">
        <v>2.833333333333333</v>
      </c>
      <c r="V214" s="4">
        <v>9.1666666666666679</v>
      </c>
      <c r="W214" s="4">
        <v>12</v>
      </c>
      <c r="X214" s="4">
        <v>55</v>
      </c>
      <c r="Y214" s="4">
        <v>2010</v>
      </c>
      <c r="Z214" s="4">
        <v>123.37</v>
      </c>
      <c r="AA214" s="4">
        <v>200</v>
      </c>
      <c r="AB214" s="18">
        <v>398</v>
      </c>
      <c r="AC214" s="18">
        <v>4</v>
      </c>
      <c r="AD214" s="28"/>
      <c r="AE214" s="26"/>
      <c r="AF214" s="28"/>
    </row>
    <row r="215" spans="1:32" ht="12.4" customHeight="1" x14ac:dyDescent="0.25">
      <c r="A215" s="14">
        <v>45679</v>
      </c>
      <c r="B215" s="14" t="s">
        <v>46</v>
      </c>
      <c r="C215" s="15">
        <v>1</v>
      </c>
      <c r="D215" s="16"/>
      <c r="E215" s="16"/>
      <c r="F215" s="17"/>
      <c r="G215" s="21"/>
      <c r="H215" s="21"/>
      <c r="I215" s="4">
        <v>0</v>
      </c>
      <c r="J215" s="4">
        <v>0</v>
      </c>
      <c r="K215" s="4"/>
      <c r="L215" s="16"/>
      <c r="M215" s="4"/>
      <c r="N215" s="4"/>
      <c r="O215" s="4"/>
      <c r="P215" s="4"/>
      <c r="Q215" s="4"/>
      <c r="R215" s="4"/>
      <c r="S215" s="4">
        <v>0</v>
      </c>
      <c r="T215" s="4">
        <v>0</v>
      </c>
      <c r="U215" s="4">
        <v>0</v>
      </c>
      <c r="V215" s="4">
        <v>12</v>
      </c>
      <c r="W215" s="4">
        <v>12</v>
      </c>
      <c r="X215" s="4">
        <v>55</v>
      </c>
      <c r="Y215" s="4"/>
      <c r="Z215" s="4">
        <v>118.55</v>
      </c>
      <c r="AA215" s="4">
        <v>200</v>
      </c>
      <c r="AB215" s="18"/>
      <c r="AC215" s="18">
        <v>4</v>
      </c>
      <c r="AD215" s="28"/>
      <c r="AE215" s="26"/>
      <c r="AF215" s="28"/>
    </row>
    <row r="216" spans="1:32" ht="12.4" customHeight="1" x14ac:dyDescent="0.25">
      <c r="A216" s="14">
        <v>45679</v>
      </c>
      <c r="B216" s="14" t="s">
        <v>45</v>
      </c>
      <c r="C216" s="15">
        <v>2</v>
      </c>
      <c r="D216" s="16"/>
      <c r="E216" s="16"/>
      <c r="F216" s="17"/>
      <c r="G216" s="21"/>
      <c r="H216" s="21"/>
      <c r="I216" s="4">
        <v>0</v>
      </c>
      <c r="J216" s="4">
        <v>0</v>
      </c>
      <c r="K216" s="4"/>
      <c r="L216" s="16"/>
      <c r="M216" s="4"/>
      <c r="N216" s="4"/>
      <c r="O216" s="4"/>
      <c r="P216" s="4"/>
      <c r="Q216" s="4"/>
      <c r="R216" s="4"/>
      <c r="S216" s="4">
        <v>0</v>
      </c>
      <c r="T216" s="4">
        <v>0</v>
      </c>
      <c r="U216" s="4">
        <v>0</v>
      </c>
      <c r="V216" s="4">
        <v>12</v>
      </c>
      <c r="W216" s="4">
        <v>12</v>
      </c>
      <c r="X216" s="4">
        <v>0</v>
      </c>
      <c r="Y216" s="4"/>
      <c r="Z216" s="4">
        <v>80.680000000000007</v>
      </c>
      <c r="AA216" s="4">
        <v>100</v>
      </c>
      <c r="AB216" s="18"/>
      <c r="AC216" s="18">
        <v>4</v>
      </c>
      <c r="AD216" s="28"/>
      <c r="AE216" s="26"/>
      <c r="AF216" s="28"/>
    </row>
    <row r="217" spans="1:32" ht="12.4" customHeight="1" x14ac:dyDescent="0.25">
      <c r="A217" s="14">
        <v>45679</v>
      </c>
      <c r="B217" s="14" t="s">
        <v>45</v>
      </c>
      <c r="C217" s="15">
        <v>3</v>
      </c>
      <c r="D217" s="16"/>
      <c r="E217" s="16"/>
      <c r="F217" s="17"/>
      <c r="G217" s="21"/>
      <c r="H217" s="21"/>
      <c r="I217" s="4">
        <v>0</v>
      </c>
      <c r="J217" s="4">
        <v>0</v>
      </c>
      <c r="K217" s="4"/>
      <c r="L217" s="16"/>
      <c r="M217" s="4"/>
      <c r="N217" s="4"/>
      <c r="O217" s="4"/>
      <c r="P217" s="4"/>
      <c r="Q217" s="4"/>
      <c r="R217" s="4"/>
      <c r="S217" s="4">
        <v>0</v>
      </c>
      <c r="T217" s="4">
        <v>0</v>
      </c>
      <c r="U217" s="4">
        <v>0</v>
      </c>
      <c r="V217" s="4">
        <v>12</v>
      </c>
      <c r="W217" s="4">
        <v>12</v>
      </c>
      <c r="X217" s="4">
        <v>0</v>
      </c>
      <c r="Y217" s="4"/>
      <c r="Z217" s="4">
        <v>312.33999999999997</v>
      </c>
      <c r="AA217" s="4">
        <v>300</v>
      </c>
      <c r="AB217" s="18"/>
      <c r="AC217" s="18">
        <v>4</v>
      </c>
      <c r="AD217" s="28"/>
      <c r="AE217" s="26"/>
      <c r="AF217" s="28"/>
    </row>
    <row r="218" spans="1:32" ht="12.4" customHeight="1" x14ac:dyDescent="0.25">
      <c r="A218" s="14">
        <v>45679</v>
      </c>
      <c r="B218" s="14" t="s">
        <v>46</v>
      </c>
      <c r="C218" s="15">
        <v>3</v>
      </c>
      <c r="D218" s="16"/>
      <c r="E218" s="16"/>
      <c r="F218" s="17"/>
      <c r="G218" s="21"/>
      <c r="H218" s="21"/>
      <c r="I218" s="4">
        <v>0</v>
      </c>
      <c r="J218" s="4">
        <v>0</v>
      </c>
      <c r="K218" s="4"/>
      <c r="L218" s="16"/>
      <c r="M218" s="4"/>
      <c r="N218" s="4"/>
      <c r="O218" s="4"/>
      <c r="P218" s="4"/>
      <c r="Q218" s="4"/>
      <c r="R218" s="4"/>
      <c r="S218" s="4">
        <v>0</v>
      </c>
      <c r="T218" s="4">
        <v>0</v>
      </c>
      <c r="U218" s="4">
        <v>0</v>
      </c>
      <c r="V218" s="4">
        <v>12</v>
      </c>
      <c r="W218" s="4">
        <v>12</v>
      </c>
      <c r="X218" s="4">
        <v>0</v>
      </c>
      <c r="Y218" s="4"/>
      <c r="Z218" s="4">
        <v>327.57</v>
      </c>
      <c r="AA218" s="4">
        <v>350</v>
      </c>
      <c r="AB218" s="18"/>
      <c r="AC218" s="18">
        <v>4</v>
      </c>
      <c r="AD218" s="28"/>
      <c r="AE218" s="26"/>
      <c r="AF218" s="28"/>
    </row>
    <row r="219" spans="1:32" ht="12.4" customHeight="1" x14ac:dyDescent="0.25">
      <c r="A219" s="14">
        <v>45679</v>
      </c>
      <c r="B219" s="14" t="s">
        <v>45</v>
      </c>
      <c r="C219" s="15">
        <v>4</v>
      </c>
      <c r="D219" s="16">
        <v>30</v>
      </c>
      <c r="E219" s="16"/>
      <c r="F219" s="17"/>
      <c r="G219" s="21"/>
      <c r="H219" s="21"/>
      <c r="I219" s="4">
        <v>30</v>
      </c>
      <c r="J219" s="4">
        <v>0.5</v>
      </c>
      <c r="K219" s="4"/>
      <c r="L219" s="16"/>
      <c r="M219" s="4"/>
      <c r="N219" s="4"/>
      <c r="O219" s="4"/>
      <c r="P219" s="4"/>
      <c r="Q219" s="4"/>
      <c r="R219" s="4"/>
      <c r="S219" s="4">
        <v>0</v>
      </c>
      <c r="T219" s="4">
        <v>0</v>
      </c>
      <c r="U219" s="4">
        <v>0.5</v>
      </c>
      <c r="V219" s="4">
        <v>11.5</v>
      </c>
      <c r="W219" s="4">
        <v>12</v>
      </c>
      <c r="X219" s="4">
        <v>0</v>
      </c>
      <c r="Y219" s="4"/>
      <c r="Z219" s="4">
        <v>829.3900000000001</v>
      </c>
      <c r="AA219" s="4">
        <v>800</v>
      </c>
      <c r="AB219" s="18"/>
      <c r="AC219" s="18">
        <v>4</v>
      </c>
      <c r="AD219" s="28"/>
      <c r="AE219" s="26"/>
      <c r="AF219" s="28"/>
    </row>
    <row r="220" spans="1:32" ht="12.4" customHeight="1" x14ac:dyDescent="0.25">
      <c r="A220" s="14">
        <v>45679</v>
      </c>
      <c r="B220" s="14" t="s">
        <v>46</v>
      </c>
      <c r="C220" s="15">
        <v>4</v>
      </c>
      <c r="D220" s="16"/>
      <c r="E220" s="16"/>
      <c r="F220" s="17"/>
      <c r="G220" s="21"/>
      <c r="H220" s="21"/>
      <c r="I220" s="4">
        <v>0</v>
      </c>
      <c r="J220" s="4">
        <v>0</v>
      </c>
      <c r="K220" s="4"/>
      <c r="L220" s="16"/>
      <c r="M220" s="4"/>
      <c r="N220" s="4"/>
      <c r="O220" s="4"/>
      <c r="P220" s="4"/>
      <c r="Q220" s="4"/>
      <c r="R220" s="4"/>
      <c r="S220" s="4">
        <v>0</v>
      </c>
      <c r="T220" s="4">
        <v>0</v>
      </c>
      <c r="U220" s="4">
        <v>0</v>
      </c>
      <c r="V220" s="4">
        <v>12</v>
      </c>
      <c r="W220" s="4">
        <v>12</v>
      </c>
      <c r="X220" s="4">
        <v>0</v>
      </c>
      <c r="Y220" s="4"/>
      <c r="Z220" s="4">
        <v>880.57</v>
      </c>
      <c r="AA220" s="4">
        <v>900</v>
      </c>
      <c r="AB220" s="18"/>
      <c r="AC220" s="18">
        <v>4</v>
      </c>
      <c r="AD220" s="28"/>
      <c r="AE220" s="26"/>
      <c r="AF220" s="28"/>
    </row>
    <row r="221" spans="1:32" ht="12.4" customHeight="1" x14ac:dyDescent="0.25">
      <c r="A221" s="14">
        <v>45679</v>
      </c>
      <c r="B221" s="14" t="s">
        <v>45</v>
      </c>
      <c r="C221" s="15">
        <v>5</v>
      </c>
      <c r="D221" s="16"/>
      <c r="E221" s="16"/>
      <c r="F221" s="17"/>
      <c r="G221" s="21"/>
      <c r="H221" s="21"/>
      <c r="I221" s="4">
        <v>0</v>
      </c>
      <c r="J221" s="4">
        <v>0</v>
      </c>
      <c r="K221" s="4"/>
      <c r="L221" s="16"/>
      <c r="M221" s="4"/>
      <c r="N221" s="4"/>
      <c r="O221" s="4"/>
      <c r="P221" s="4"/>
      <c r="Q221" s="4"/>
      <c r="R221" s="4"/>
      <c r="S221" s="4">
        <v>0</v>
      </c>
      <c r="T221" s="4">
        <v>0</v>
      </c>
      <c r="U221" s="4">
        <v>0</v>
      </c>
      <c r="V221" s="4">
        <v>12</v>
      </c>
      <c r="W221" s="4">
        <v>12</v>
      </c>
      <c r="X221" s="4">
        <v>0</v>
      </c>
      <c r="Y221" s="4"/>
      <c r="Z221" s="4">
        <v>592.13499999999999</v>
      </c>
      <c r="AA221" s="4">
        <v>600</v>
      </c>
      <c r="AB221" s="18"/>
      <c r="AC221" s="18">
        <v>4</v>
      </c>
      <c r="AD221" s="28"/>
      <c r="AE221" s="26"/>
      <c r="AF221" s="28"/>
    </row>
    <row r="222" spans="1:32" ht="12.4" customHeight="1" x14ac:dyDescent="0.25">
      <c r="A222" s="14">
        <v>45679</v>
      </c>
      <c r="B222" s="14" t="s">
        <v>46</v>
      </c>
      <c r="C222" s="15">
        <v>5</v>
      </c>
      <c r="D222" s="16"/>
      <c r="E222" s="16"/>
      <c r="F222" s="17"/>
      <c r="G222" s="21"/>
      <c r="H222" s="21"/>
      <c r="I222" s="4">
        <v>0</v>
      </c>
      <c r="J222" s="4">
        <v>0</v>
      </c>
      <c r="K222" s="4"/>
      <c r="L222" s="16"/>
      <c r="M222" s="4"/>
      <c r="N222" s="4"/>
      <c r="O222" s="4"/>
      <c r="P222" s="4"/>
      <c r="Q222" s="4"/>
      <c r="R222" s="4"/>
      <c r="S222" s="4">
        <v>0</v>
      </c>
      <c r="T222" s="4">
        <v>0</v>
      </c>
      <c r="U222" s="4">
        <v>0</v>
      </c>
      <c r="V222" s="4">
        <v>12</v>
      </c>
      <c r="W222" s="4">
        <v>12</v>
      </c>
      <c r="X222" s="4">
        <v>0</v>
      </c>
      <c r="Y222" s="4"/>
      <c r="Z222" s="4">
        <v>626.66</v>
      </c>
      <c r="AA222" s="4">
        <v>650</v>
      </c>
      <c r="AB222" s="18"/>
      <c r="AC222" s="18">
        <v>4</v>
      </c>
      <c r="AD222" s="28"/>
      <c r="AE222" s="26"/>
      <c r="AF222" s="28"/>
    </row>
    <row r="223" spans="1:32" ht="12.4" customHeight="1" x14ac:dyDescent="0.25">
      <c r="A223" s="14">
        <v>45680</v>
      </c>
      <c r="B223" s="14" t="s">
        <v>45</v>
      </c>
      <c r="C223" s="15">
        <v>1</v>
      </c>
      <c r="D223" s="16"/>
      <c r="E223" s="16"/>
      <c r="F223" s="17"/>
      <c r="G223" s="21"/>
      <c r="H223" s="21"/>
      <c r="I223" s="4">
        <v>0</v>
      </c>
      <c r="J223" s="4">
        <v>0</v>
      </c>
      <c r="K223" s="4"/>
      <c r="L223" s="16"/>
      <c r="M223" s="4"/>
      <c r="N223" s="4"/>
      <c r="O223" s="4"/>
      <c r="P223" s="4"/>
      <c r="Q223" s="4"/>
      <c r="R223" s="4"/>
      <c r="S223" s="4">
        <v>0</v>
      </c>
      <c r="T223" s="4">
        <v>0</v>
      </c>
      <c r="U223" s="4">
        <v>0</v>
      </c>
      <c r="V223" s="4">
        <v>12</v>
      </c>
      <c r="W223" s="4">
        <v>12</v>
      </c>
      <c r="X223" s="4">
        <v>60</v>
      </c>
      <c r="Y223" s="4">
        <v>2070</v>
      </c>
      <c r="Z223" s="4">
        <v>115.44</v>
      </c>
      <c r="AA223" s="4">
        <v>150</v>
      </c>
      <c r="AB223" s="18">
        <v>398</v>
      </c>
      <c r="AC223" s="18">
        <v>4</v>
      </c>
      <c r="AD223" s="28"/>
      <c r="AE223" s="26"/>
      <c r="AF223" s="28"/>
    </row>
    <row r="224" spans="1:32" ht="12.4" customHeight="1" x14ac:dyDescent="0.25">
      <c r="A224" s="14">
        <v>45680</v>
      </c>
      <c r="B224" s="14" t="s">
        <v>46</v>
      </c>
      <c r="C224" s="15">
        <v>1</v>
      </c>
      <c r="D224" s="16"/>
      <c r="E224" s="16"/>
      <c r="F224" s="17"/>
      <c r="G224" s="21"/>
      <c r="H224" s="21"/>
      <c r="I224" s="4">
        <v>0</v>
      </c>
      <c r="J224" s="4">
        <v>0</v>
      </c>
      <c r="K224" s="4"/>
      <c r="L224" s="16"/>
      <c r="M224" s="4"/>
      <c r="N224" s="4"/>
      <c r="O224" s="4"/>
      <c r="P224" s="4"/>
      <c r="Q224" s="4"/>
      <c r="R224" s="4"/>
      <c r="S224" s="4">
        <v>0</v>
      </c>
      <c r="T224" s="4">
        <v>0</v>
      </c>
      <c r="U224" s="4">
        <v>0</v>
      </c>
      <c r="V224" s="4">
        <v>12</v>
      </c>
      <c r="W224" s="4">
        <v>12</v>
      </c>
      <c r="X224" s="4">
        <v>60</v>
      </c>
      <c r="Y224" s="4"/>
      <c r="Z224" s="4">
        <v>120.84</v>
      </c>
      <c r="AA224" s="4">
        <v>150</v>
      </c>
      <c r="AB224" s="18"/>
      <c r="AC224" s="18">
        <v>4</v>
      </c>
      <c r="AD224" s="28"/>
      <c r="AE224" s="26"/>
      <c r="AF224" s="28"/>
    </row>
    <row r="225" spans="1:32" ht="12.4" customHeight="1" x14ac:dyDescent="0.25">
      <c r="A225" s="14">
        <v>45680</v>
      </c>
      <c r="B225" s="14" t="s">
        <v>46</v>
      </c>
      <c r="C225" s="15">
        <v>2</v>
      </c>
      <c r="D225" s="16"/>
      <c r="E225" s="16"/>
      <c r="F225" s="17"/>
      <c r="G225" s="21"/>
      <c r="H225" s="21"/>
      <c r="I225" s="4">
        <v>0</v>
      </c>
      <c r="J225" s="4">
        <v>0</v>
      </c>
      <c r="K225" s="4"/>
      <c r="L225" s="16"/>
      <c r="M225" s="4"/>
      <c r="N225" s="4"/>
      <c r="O225" s="4"/>
      <c r="P225" s="4"/>
      <c r="Q225" s="4"/>
      <c r="R225" s="4"/>
      <c r="S225" s="4">
        <v>0</v>
      </c>
      <c r="T225" s="4">
        <v>0</v>
      </c>
      <c r="U225" s="4">
        <v>0</v>
      </c>
      <c r="V225" s="4">
        <v>12</v>
      </c>
      <c r="W225" s="4">
        <v>12</v>
      </c>
      <c r="X225" s="4">
        <v>0</v>
      </c>
      <c r="Y225" s="4"/>
      <c r="Z225" s="4">
        <v>199.28</v>
      </c>
      <c r="AA225" s="4">
        <v>200</v>
      </c>
      <c r="AB225" s="18"/>
      <c r="AC225" s="18">
        <v>4</v>
      </c>
      <c r="AD225" s="28"/>
      <c r="AE225" s="26"/>
      <c r="AF225" s="28"/>
    </row>
    <row r="226" spans="1:32" ht="12.4" customHeight="1" x14ac:dyDescent="0.25">
      <c r="A226" s="14">
        <v>45680</v>
      </c>
      <c r="B226" s="14" t="s">
        <v>45</v>
      </c>
      <c r="C226" s="15">
        <v>3</v>
      </c>
      <c r="D226" s="16"/>
      <c r="E226" s="16"/>
      <c r="F226" s="17"/>
      <c r="G226" s="21"/>
      <c r="H226" s="21"/>
      <c r="I226" s="4">
        <v>0</v>
      </c>
      <c r="J226" s="4">
        <v>0</v>
      </c>
      <c r="K226" s="4"/>
      <c r="L226" s="16"/>
      <c r="M226" s="4"/>
      <c r="N226" s="4"/>
      <c r="O226" s="4"/>
      <c r="P226" s="4"/>
      <c r="Q226" s="4"/>
      <c r="R226" s="4"/>
      <c r="S226" s="4">
        <v>0</v>
      </c>
      <c r="T226" s="4">
        <v>0</v>
      </c>
      <c r="U226" s="4">
        <v>0</v>
      </c>
      <c r="V226" s="4">
        <v>12</v>
      </c>
      <c r="W226" s="4">
        <v>12</v>
      </c>
      <c r="X226" s="4">
        <v>0</v>
      </c>
      <c r="Y226" s="4"/>
      <c r="Z226" s="4">
        <v>410.68</v>
      </c>
      <c r="AA226" s="4">
        <v>400</v>
      </c>
      <c r="AB226" s="18"/>
      <c r="AC226" s="18">
        <v>4</v>
      </c>
      <c r="AD226" s="28"/>
      <c r="AE226" s="26"/>
      <c r="AF226" s="28"/>
    </row>
    <row r="227" spans="1:32" ht="12.4" customHeight="1" x14ac:dyDescent="0.25">
      <c r="A227" s="14">
        <v>45680</v>
      </c>
      <c r="B227" s="14" t="s">
        <v>46</v>
      </c>
      <c r="C227" s="15">
        <v>3</v>
      </c>
      <c r="D227" s="16"/>
      <c r="E227" s="16"/>
      <c r="F227" s="17"/>
      <c r="G227" s="21"/>
      <c r="H227" s="21"/>
      <c r="I227" s="4">
        <v>0</v>
      </c>
      <c r="J227" s="4">
        <v>0</v>
      </c>
      <c r="K227" s="4"/>
      <c r="L227" s="16"/>
      <c r="M227" s="4"/>
      <c r="N227" s="4"/>
      <c r="O227" s="4"/>
      <c r="P227" s="4"/>
      <c r="Q227" s="4"/>
      <c r="R227" s="4"/>
      <c r="S227" s="4">
        <v>0</v>
      </c>
      <c r="T227" s="4">
        <v>0</v>
      </c>
      <c r="U227" s="4">
        <v>0</v>
      </c>
      <c r="V227" s="4">
        <v>12</v>
      </c>
      <c r="W227" s="4">
        <v>12</v>
      </c>
      <c r="X227" s="4">
        <v>0</v>
      </c>
      <c r="Y227" s="4"/>
      <c r="Z227" s="4">
        <v>319.15000000000003</v>
      </c>
      <c r="AA227" s="4">
        <v>350</v>
      </c>
      <c r="AB227" s="18"/>
      <c r="AC227" s="18">
        <v>4</v>
      </c>
      <c r="AD227" s="28"/>
      <c r="AE227" s="26"/>
      <c r="AF227" s="28"/>
    </row>
    <row r="228" spans="1:32" ht="12.4" customHeight="1" x14ac:dyDescent="0.25">
      <c r="A228" s="14">
        <v>45680</v>
      </c>
      <c r="B228" s="14" t="s">
        <v>45</v>
      </c>
      <c r="C228" s="15">
        <v>4</v>
      </c>
      <c r="D228" s="16"/>
      <c r="E228" s="16"/>
      <c r="F228" s="17"/>
      <c r="G228" s="21"/>
      <c r="H228" s="21"/>
      <c r="I228" s="4">
        <v>0</v>
      </c>
      <c r="J228" s="4">
        <v>0</v>
      </c>
      <c r="K228" s="4"/>
      <c r="L228" s="16"/>
      <c r="M228" s="4"/>
      <c r="N228" s="4"/>
      <c r="O228" s="4"/>
      <c r="P228" s="4"/>
      <c r="Q228" s="4"/>
      <c r="R228" s="4"/>
      <c r="S228" s="4">
        <v>0</v>
      </c>
      <c r="T228" s="4">
        <v>0</v>
      </c>
      <c r="U228" s="4">
        <v>0</v>
      </c>
      <c r="V228" s="4">
        <v>12</v>
      </c>
      <c r="W228" s="4">
        <v>12</v>
      </c>
      <c r="X228" s="4">
        <v>0</v>
      </c>
      <c r="Y228" s="4"/>
      <c r="Z228" s="4">
        <v>880.15</v>
      </c>
      <c r="AA228" s="4">
        <v>900</v>
      </c>
      <c r="AB228" s="18"/>
      <c r="AC228" s="18">
        <v>4</v>
      </c>
      <c r="AD228" s="28"/>
      <c r="AE228" s="26"/>
      <c r="AF228" s="28"/>
    </row>
    <row r="229" spans="1:32" ht="12.4" customHeight="1" x14ac:dyDescent="0.25">
      <c r="A229" s="14">
        <v>45680</v>
      </c>
      <c r="B229" s="14" t="s">
        <v>46</v>
      </c>
      <c r="C229" s="15">
        <v>4</v>
      </c>
      <c r="D229" s="16"/>
      <c r="E229" s="16"/>
      <c r="F229" s="17"/>
      <c r="G229" s="21"/>
      <c r="H229" s="21"/>
      <c r="I229" s="4">
        <v>0</v>
      </c>
      <c r="J229" s="4">
        <v>0</v>
      </c>
      <c r="K229" s="4"/>
      <c r="L229" s="16"/>
      <c r="M229" s="4"/>
      <c r="N229" s="4"/>
      <c r="O229" s="4"/>
      <c r="P229" s="4"/>
      <c r="Q229" s="4"/>
      <c r="R229" s="4"/>
      <c r="S229" s="4">
        <v>0</v>
      </c>
      <c r="T229" s="4">
        <v>0</v>
      </c>
      <c r="U229" s="4">
        <v>0</v>
      </c>
      <c r="V229" s="4">
        <v>12</v>
      </c>
      <c r="W229" s="4">
        <v>12</v>
      </c>
      <c r="X229" s="4">
        <v>0</v>
      </c>
      <c r="Y229" s="4"/>
      <c r="Z229" s="4">
        <v>888.38</v>
      </c>
      <c r="AA229" s="4">
        <v>900</v>
      </c>
      <c r="AB229" s="18"/>
      <c r="AC229" s="18">
        <v>4</v>
      </c>
      <c r="AD229" s="28"/>
      <c r="AE229" s="26"/>
      <c r="AF229" s="28"/>
    </row>
    <row r="230" spans="1:32" ht="12.4" customHeight="1" x14ac:dyDescent="0.25">
      <c r="A230" s="14">
        <v>45680</v>
      </c>
      <c r="B230" s="14" t="s">
        <v>45</v>
      </c>
      <c r="C230" s="15">
        <v>5</v>
      </c>
      <c r="D230" s="16"/>
      <c r="E230" s="16"/>
      <c r="F230" s="17"/>
      <c r="G230" s="21"/>
      <c r="H230" s="21"/>
      <c r="I230" s="4">
        <v>0</v>
      </c>
      <c r="J230" s="4">
        <v>0</v>
      </c>
      <c r="K230" s="4"/>
      <c r="L230" s="16"/>
      <c r="M230" s="4"/>
      <c r="N230" s="4"/>
      <c r="O230" s="4"/>
      <c r="P230" s="4"/>
      <c r="Q230" s="4"/>
      <c r="R230" s="4"/>
      <c r="S230" s="4">
        <v>0</v>
      </c>
      <c r="T230" s="4">
        <v>0</v>
      </c>
      <c r="U230" s="4">
        <v>0</v>
      </c>
      <c r="V230" s="4">
        <v>12</v>
      </c>
      <c r="W230" s="4">
        <v>12</v>
      </c>
      <c r="X230" s="4">
        <v>0</v>
      </c>
      <c r="Y230" s="4"/>
      <c r="Z230" s="4">
        <v>628.75</v>
      </c>
      <c r="AA230" s="4">
        <v>650</v>
      </c>
      <c r="AB230" s="18"/>
      <c r="AC230" s="18">
        <v>4</v>
      </c>
      <c r="AD230" s="28"/>
      <c r="AE230" s="26"/>
      <c r="AF230" s="28"/>
    </row>
    <row r="231" spans="1:32" ht="12.4" customHeight="1" x14ac:dyDescent="0.25">
      <c r="A231" s="14">
        <v>45680</v>
      </c>
      <c r="B231" s="14" t="s">
        <v>46</v>
      </c>
      <c r="C231" s="15">
        <v>5</v>
      </c>
      <c r="D231" s="16"/>
      <c r="E231" s="16"/>
      <c r="F231" s="17"/>
      <c r="G231" s="21"/>
      <c r="H231" s="21"/>
      <c r="I231" s="4">
        <v>0</v>
      </c>
      <c r="J231" s="4">
        <v>0</v>
      </c>
      <c r="K231" s="4"/>
      <c r="L231" s="16"/>
      <c r="M231" s="4"/>
      <c r="N231" s="4"/>
      <c r="O231" s="4"/>
      <c r="P231" s="4"/>
      <c r="Q231" s="4"/>
      <c r="R231" s="4"/>
      <c r="S231" s="4">
        <v>0</v>
      </c>
      <c r="T231" s="4">
        <v>0</v>
      </c>
      <c r="U231" s="4">
        <v>0</v>
      </c>
      <c r="V231" s="4">
        <v>12</v>
      </c>
      <c r="W231" s="4">
        <v>12</v>
      </c>
      <c r="X231" s="4">
        <v>0</v>
      </c>
      <c r="Y231" s="4"/>
      <c r="Z231" s="4">
        <v>593.61</v>
      </c>
      <c r="AA231" s="4">
        <v>600</v>
      </c>
      <c r="AB231" s="18"/>
      <c r="AC231" s="18">
        <v>4</v>
      </c>
      <c r="AD231" s="28"/>
      <c r="AE231" s="26"/>
      <c r="AF231" s="28"/>
    </row>
    <row r="232" spans="1:32" ht="12.4" customHeight="1" x14ac:dyDescent="0.25">
      <c r="A232" s="14">
        <v>45681</v>
      </c>
      <c r="B232" s="14" t="s">
        <v>45</v>
      </c>
      <c r="C232" s="15">
        <v>1</v>
      </c>
      <c r="D232" s="16">
        <v>20</v>
      </c>
      <c r="E232" s="16"/>
      <c r="F232" s="17"/>
      <c r="G232" s="21"/>
      <c r="H232" s="21"/>
      <c r="I232" s="4">
        <v>20</v>
      </c>
      <c r="J232" s="4">
        <v>0.33333333333333331</v>
      </c>
      <c r="K232" s="4"/>
      <c r="L232" s="16"/>
      <c r="M232" s="4"/>
      <c r="N232" s="4"/>
      <c r="O232" s="4"/>
      <c r="P232" s="4">
        <v>240</v>
      </c>
      <c r="Q232" s="4"/>
      <c r="R232" s="4"/>
      <c r="S232" s="4">
        <v>240</v>
      </c>
      <c r="T232" s="4">
        <v>4</v>
      </c>
      <c r="U232" s="4">
        <v>4.333333333333333</v>
      </c>
      <c r="V232" s="4">
        <v>7.666666666666667</v>
      </c>
      <c r="W232" s="4">
        <v>12</v>
      </c>
      <c r="X232" s="4">
        <v>45</v>
      </c>
      <c r="Y232" s="4">
        <v>1910</v>
      </c>
      <c r="Z232" s="4">
        <v>99.22</v>
      </c>
      <c r="AA232" s="4">
        <v>200</v>
      </c>
      <c r="AB232" s="18">
        <v>398</v>
      </c>
      <c r="AC232" s="18">
        <v>4</v>
      </c>
      <c r="AD232" s="28"/>
      <c r="AE232" s="26"/>
      <c r="AF232" s="28"/>
    </row>
    <row r="233" spans="1:32" ht="12.4" customHeight="1" x14ac:dyDescent="0.25">
      <c r="A233" s="14">
        <v>45681</v>
      </c>
      <c r="B233" s="14" t="s">
        <v>46</v>
      </c>
      <c r="C233" s="15">
        <v>1</v>
      </c>
      <c r="D233" s="16"/>
      <c r="E233" s="16"/>
      <c r="F233" s="17"/>
      <c r="G233" s="21"/>
      <c r="H233" s="21"/>
      <c r="I233" s="4">
        <v>0</v>
      </c>
      <c r="J233" s="4">
        <v>0</v>
      </c>
      <c r="K233" s="4"/>
      <c r="L233" s="16"/>
      <c r="M233" s="4"/>
      <c r="N233" s="4"/>
      <c r="O233" s="4"/>
      <c r="P233" s="4"/>
      <c r="Q233" s="4"/>
      <c r="R233" s="4"/>
      <c r="S233" s="4">
        <v>0</v>
      </c>
      <c r="T233" s="4">
        <v>0</v>
      </c>
      <c r="U233" s="4">
        <v>0</v>
      </c>
      <c r="V233" s="4">
        <v>12</v>
      </c>
      <c r="W233" s="4">
        <v>12</v>
      </c>
      <c r="X233" s="4">
        <v>55</v>
      </c>
      <c r="Y233" s="4"/>
      <c r="Z233" s="4">
        <v>124.58</v>
      </c>
      <c r="AA233" s="4">
        <v>200</v>
      </c>
      <c r="AB233" s="18"/>
      <c r="AC233" s="18">
        <v>4</v>
      </c>
      <c r="AD233" s="28"/>
      <c r="AE233" s="26"/>
      <c r="AF233" s="28"/>
    </row>
    <row r="234" spans="1:32" ht="12.4" customHeight="1" x14ac:dyDescent="0.25">
      <c r="A234" s="14">
        <v>45681</v>
      </c>
      <c r="B234" s="14" t="s">
        <v>45</v>
      </c>
      <c r="C234" s="15">
        <v>2</v>
      </c>
      <c r="D234" s="16">
        <v>40</v>
      </c>
      <c r="E234" s="16"/>
      <c r="F234" s="17"/>
      <c r="G234" s="21"/>
      <c r="H234" s="21"/>
      <c r="I234" s="4">
        <v>40</v>
      </c>
      <c r="J234" s="4">
        <v>0.66666666666666663</v>
      </c>
      <c r="K234" s="4"/>
      <c r="L234" s="16"/>
      <c r="M234" s="4"/>
      <c r="N234" s="4"/>
      <c r="O234" s="4"/>
      <c r="P234" s="4">
        <v>480</v>
      </c>
      <c r="Q234" s="4"/>
      <c r="R234" s="4"/>
      <c r="S234" s="4">
        <v>480</v>
      </c>
      <c r="T234" s="4">
        <v>8</v>
      </c>
      <c r="U234" s="4">
        <v>8.6666666666666661</v>
      </c>
      <c r="V234" s="4">
        <v>3.3333333333333339</v>
      </c>
      <c r="W234" s="4">
        <v>12</v>
      </c>
      <c r="X234" s="4">
        <v>0</v>
      </c>
      <c r="Y234" s="4"/>
      <c r="Z234" s="4">
        <v>45.779999999999994</v>
      </c>
      <c r="AA234" s="4">
        <v>150</v>
      </c>
      <c r="AB234" s="18"/>
      <c r="AC234" s="18">
        <v>4</v>
      </c>
      <c r="AD234" s="28"/>
      <c r="AE234" s="26"/>
      <c r="AF234" s="28"/>
    </row>
    <row r="235" spans="1:32" ht="12.4" customHeight="1" x14ac:dyDescent="0.25">
      <c r="A235" s="14">
        <v>45681</v>
      </c>
      <c r="B235" s="14" t="s">
        <v>46</v>
      </c>
      <c r="C235" s="15">
        <v>2</v>
      </c>
      <c r="D235" s="16"/>
      <c r="E235" s="16"/>
      <c r="F235" s="17"/>
      <c r="G235" s="21"/>
      <c r="H235" s="21"/>
      <c r="I235" s="4">
        <v>0</v>
      </c>
      <c r="J235" s="4">
        <v>0</v>
      </c>
      <c r="K235" s="4"/>
      <c r="L235" s="16"/>
      <c r="M235" s="4"/>
      <c r="N235" s="4"/>
      <c r="O235" s="4"/>
      <c r="P235" s="4"/>
      <c r="Q235" s="4"/>
      <c r="R235" s="4"/>
      <c r="S235" s="4">
        <v>0</v>
      </c>
      <c r="T235" s="4">
        <v>0</v>
      </c>
      <c r="U235" s="4">
        <v>0</v>
      </c>
      <c r="V235" s="4">
        <v>12</v>
      </c>
      <c r="W235" s="4">
        <v>12</v>
      </c>
      <c r="X235" s="4">
        <v>0</v>
      </c>
      <c r="Y235" s="4"/>
      <c r="Z235" s="4">
        <v>177.51</v>
      </c>
      <c r="AA235" s="4">
        <v>200</v>
      </c>
      <c r="AB235" s="18"/>
      <c r="AC235" s="18">
        <v>4</v>
      </c>
      <c r="AD235" s="28"/>
      <c r="AE235" s="26"/>
      <c r="AF235" s="28"/>
    </row>
    <row r="236" spans="1:32" ht="12.4" customHeight="1" x14ac:dyDescent="0.25">
      <c r="A236" s="14">
        <v>45681</v>
      </c>
      <c r="B236" s="14" t="s">
        <v>45</v>
      </c>
      <c r="C236" s="15">
        <v>3</v>
      </c>
      <c r="D236" s="16">
        <v>30</v>
      </c>
      <c r="E236" s="16"/>
      <c r="F236" s="17"/>
      <c r="G236" s="21"/>
      <c r="H236" s="21"/>
      <c r="I236" s="4">
        <v>30</v>
      </c>
      <c r="J236" s="4">
        <v>0.5</v>
      </c>
      <c r="K236" s="4"/>
      <c r="L236" s="16"/>
      <c r="M236" s="4"/>
      <c r="N236" s="4"/>
      <c r="O236" s="4"/>
      <c r="P236" s="4">
        <v>330</v>
      </c>
      <c r="Q236" s="4"/>
      <c r="R236" s="4"/>
      <c r="S236" s="4">
        <v>330</v>
      </c>
      <c r="T236" s="4">
        <v>5.5</v>
      </c>
      <c r="U236" s="4">
        <v>6</v>
      </c>
      <c r="V236" s="4">
        <v>6</v>
      </c>
      <c r="W236" s="4">
        <v>12</v>
      </c>
      <c r="X236" s="4">
        <v>0</v>
      </c>
      <c r="Y236" s="4"/>
      <c r="Z236" s="4">
        <v>238.44</v>
      </c>
      <c r="AA236" s="4">
        <v>250</v>
      </c>
      <c r="AB236" s="18"/>
      <c r="AC236" s="18">
        <v>4</v>
      </c>
      <c r="AD236" s="28"/>
      <c r="AE236" s="26"/>
      <c r="AF236" s="28"/>
    </row>
    <row r="237" spans="1:32" ht="12.4" customHeight="1" x14ac:dyDescent="0.25">
      <c r="A237" s="14">
        <v>45681</v>
      </c>
      <c r="B237" s="14" t="s">
        <v>46</v>
      </c>
      <c r="C237" s="15">
        <v>3</v>
      </c>
      <c r="D237" s="16"/>
      <c r="E237" s="16"/>
      <c r="F237" s="17"/>
      <c r="G237" s="21"/>
      <c r="H237" s="21"/>
      <c r="I237" s="4">
        <v>0</v>
      </c>
      <c r="J237" s="4">
        <v>0</v>
      </c>
      <c r="K237" s="4"/>
      <c r="L237" s="16"/>
      <c r="M237" s="4"/>
      <c r="N237" s="4"/>
      <c r="O237" s="4"/>
      <c r="P237" s="4"/>
      <c r="Q237" s="4"/>
      <c r="R237" s="4"/>
      <c r="S237" s="4">
        <v>0</v>
      </c>
      <c r="T237" s="4">
        <v>0</v>
      </c>
      <c r="U237" s="4">
        <v>0</v>
      </c>
      <c r="V237" s="4">
        <v>12</v>
      </c>
      <c r="W237" s="4">
        <v>12</v>
      </c>
      <c r="X237" s="4">
        <v>0</v>
      </c>
      <c r="Y237" s="4"/>
      <c r="Z237" s="4">
        <v>324.75</v>
      </c>
      <c r="AA237" s="4">
        <v>400</v>
      </c>
      <c r="AB237" s="18"/>
      <c r="AC237" s="18">
        <v>4</v>
      </c>
      <c r="AD237" s="28"/>
      <c r="AE237" s="26"/>
      <c r="AF237" s="28"/>
    </row>
    <row r="238" spans="1:32" ht="12.4" customHeight="1" x14ac:dyDescent="0.25">
      <c r="A238" s="14">
        <v>45681</v>
      </c>
      <c r="B238" s="14" t="s">
        <v>45</v>
      </c>
      <c r="C238" s="15">
        <v>4</v>
      </c>
      <c r="D238" s="16">
        <v>30</v>
      </c>
      <c r="E238" s="16"/>
      <c r="F238" s="17"/>
      <c r="G238" s="21"/>
      <c r="H238" s="21"/>
      <c r="I238" s="4">
        <v>30</v>
      </c>
      <c r="J238" s="4">
        <v>0.5</v>
      </c>
      <c r="K238" s="4"/>
      <c r="L238" s="16"/>
      <c r="M238" s="4"/>
      <c r="N238" s="4"/>
      <c r="O238" s="4"/>
      <c r="P238" s="4">
        <v>330</v>
      </c>
      <c r="Q238" s="4"/>
      <c r="R238" s="4"/>
      <c r="S238" s="4">
        <v>330</v>
      </c>
      <c r="T238" s="4">
        <v>5.5</v>
      </c>
      <c r="U238" s="4">
        <v>6</v>
      </c>
      <c r="V238" s="4">
        <v>6</v>
      </c>
      <c r="W238" s="4">
        <v>12</v>
      </c>
      <c r="X238" s="4">
        <v>0</v>
      </c>
      <c r="Y238" s="4"/>
      <c r="Z238" s="4">
        <v>521.18000000000006</v>
      </c>
      <c r="AA238" s="4">
        <v>600</v>
      </c>
      <c r="AB238" s="18"/>
      <c r="AC238" s="18">
        <v>4</v>
      </c>
      <c r="AD238" s="28"/>
      <c r="AE238" s="26"/>
      <c r="AF238" s="28"/>
    </row>
    <row r="239" spans="1:32" ht="12.4" customHeight="1" x14ac:dyDescent="0.25">
      <c r="A239" s="14">
        <v>45681</v>
      </c>
      <c r="B239" s="14" t="s">
        <v>46</v>
      </c>
      <c r="C239" s="15">
        <v>4</v>
      </c>
      <c r="D239" s="16"/>
      <c r="E239" s="16"/>
      <c r="F239" s="17"/>
      <c r="G239" s="21"/>
      <c r="H239" s="21"/>
      <c r="I239" s="4">
        <v>0</v>
      </c>
      <c r="J239" s="4">
        <v>0</v>
      </c>
      <c r="K239" s="4"/>
      <c r="L239" s="16"/>
      <c r="M239" s="4"/>
      <c r="N239" s="4"/>
      <c r="O239" s="4"/>
      <c r="P239" s="4"/>
      <c r="Q239" s="4"/>
      <c r="R239" s="4"/>
      <c r="S239" s="4">
        <v>0</v>
      </c>
      <c r="T239" s="4">
        <v>0</v>
      </c>
      <c r="U239" s="4">
        <v>0</v>
      </c>
      <c r="V239" s="4">
        <v>12</v>
      </c>
      <c r="W239" s="4">
        <v>12</v>
      </c>
      <c r="X239" s="4">
        <v>0</v>
      </c>
      <c r="Y239" s="4"/>
      <c r="Z239" s="4">
        <v>873.1</v>
      </c>
      <c r="AA239" s="4">
        <v>1000</v>
      </c>
      <c r="AB239" s="18"/>
      <c r="AC239" s="18">
        <v>4</v>
      </c>
      <c r="AD239" s="28"/>
      <c r="AE239" s="26"/>
      <c r="AF239" s="28"/>
    </row>
    <row r="240" spans="1:32" ht="12.4" customHeight="1" x14ac:dyDescent="0.25">
      <c r="A240" s="14">
        <v>45681</v>
      </c>
      <c r="B240" s="14" t="s">
        <v>45</v>
      </c>
      <c r="C240" s="15">
        <v>5</v>
      </c>
      <c r="D240" s="16"/>
      <c r="E240" s="16"/>
      <c r="F240" s="17"/>
      <c r="G240" s="21"/>
      <c r="H240" s="21"/>
      <c r="I240" s="4">
        <v>0</v>
      </c>
      <c r="J240" s="4">
        <v>0</v>
      </c>
      <c r="K240" s="4"/>
      <c r="L240" s="16"/>
      <c r="M240" s="4"/>
      <c r="N240" s="4"/>
      <c r="O240" s="4"/>
      <c r="P240" s="4">
        <v>330</v>
      </c>
      <c r="Q240" s="4"/>
      <c r="R240" s="4"/>
      <c r="S240" s="4">
        <v>330</v>
      </c>
      <c r="T240" s="4">
        <v>5.5</v>
      </c>
      <c r="U240" s="4">
        <v>5.5</v>
      </c>
      <c r="V240" s="4">
        <v>6.5</v>
      </c>
      <c r="W240" s="4">
        <v>12</v>
      </c>
      <c r="X240" s="4">
        <v>0</v>
      </c>
      <c r="Y240" s="4"/>
      <c r="Z240" s="4">
        <v>436.47999999999996</v>
      </c>
      <c r="AA240" s="4">
        <v>550</v>
      </c>
      <c r="AB240" s="18"/>
      <c r="AC240" s="18">
        <v>4</v>
      </c>
      <c r="AD240" s="28"/>
      <c r="AE240" s="26"/>
      <c r="AF240" s="28"/>
    </row>
    <row r="241" spans="1:32" ht="12.4" customHeight="1" x14ac:dyDescent="0.25">
      <c r="A241" s="14">
        <v>45681</v>
      </c>
      <c r="B241" s="14" t="s">
        <v>46</v>
      </c>
      <c r="C241" s="15">
        <v>5</v>
      </c>
      <c r="D241" s="16"/>
      <c r="E241" s="16"/>
      <c r="F241" s="17"/>
      <c r="G241" s="21"/>
      <c r="H241" s="21"/>
      <c r="I241" s="4">
        <v>0</v>
      </c>
      <c r="J241" s="4">
        <v>0</v>
      </c>
      <c r="K241" s="4"/>
      <c r="L241" s="16"/>
      <c r="M241" s="4"/>
      <c r="N241" s="4"/>
      <c r="O241" s="4"/>
      <c r="P241" s="4"/>
      <c r="Q241" s="4"/>
      <c r="R241" s="4"/>
      <c r="S241" s="4">
        <v>0</v>
      </c>
      <c r="T241" s="4">
        <v>0</v>
      </c>
      <c r="U241" s="4">
        <v>0</v>
      </c>
      <c r="V241" s="4">
        <v>12</v>
      </c>
      <c r="W241" s="4">
        <v>12</v>
      </c>
      <c r="X241" s="4">
        <v>0</v>
      </c>
      <c r="Y241" s="4"/>
      <c r="Z241" s="4">
        <v>584.18499999999995</v>
      </c>
      <c r="AA241" s="4">
        <v>650</v>
      </c>
      <c r="AB241" s="18"/>
      <c r="AC241" s="18">
        <v>4</v>
      </c>
      <c r="AD241" s="28"/>
      <c r="AE241" s="26"/>
      <c r="AF241" s="28"/>
    </row>
    <row r="242" spans="1:32" ht="12.4" customHeight="1" x14ac:dyDescent="0.25">
      <c r="A242" s="14">
        <v>45682</v>
      </c>
      <c r="B242" s="14" t="s">
        <v>45</v>
      </c>
      <c r="C242" s="15">
        <v>1</v>
      </c>
      <c r="D242" s="16"/>
      <c r="E242" s="16"/>
      <c r="F242" s="17"/>
      <c r="G242" s="21"/>
      <c r="H242" s="21"/>
      <c r="I242" s="4">
        <v>0</v>
      </c>
      <c r="J242" s="4">
        <v>0</v>
      </c>
      <c r="K242" s="4"/>
      <c r="L242" s="16"/>
      <c r="M242" s="4"/>
      <c r="N242" s="4"/>
      <c r="O242" s="4"/>
      <c r="P242" s="4"/>
      <c r="Q242" s="4"/>
      <c r="R242" s="4"/>
      <c r="S242" s="4">
        <v>0</v>
      </c>
      <c r="T242" s="4">
        <v>0</v>
      </c>
      <c r="U242" s="4">
        <v>0</v>
      </c>
      <c r="V242" s="4">
        <v>12</v>
      </c>
      <c r="W242" s="4">
        <v>12</v>
      </c>
      <c r="X242" s="4">
        <v>30</v>
      </c>
      <c r="Y242" s="4">
        <v>2042</v>
      </c>
      <c r="Z242" s="4">
        <v>116.22</v>
      </c>
      <c r="AA242" s="4">
        <v>100</v>
      </c>
      <c r="AB242" s="18">
        <v>398</v>
      </c>
      <c r="AC242" s="18">
        <v>4</v>
      </c>
      <c r="AD242" s="28"/>
      <c r="AE242" s="26"/>
      <c r="AF242" s="28"/>
    </row>
    <row r="243" spans="1:32" ht="12.4" customHeight="1" x14ac:dyDescent="0.25">
      <c r="A243" s="14">
        <v>45682</v>
      </c>
      <c r="B243" s="14" t="s">
        <v>46</v>
      </c>
      <c r="C243" s="15">
        <v>1</v>
      </c>
      <c r="D243" s="16"/>
      <c r="E243" s="16"/>
      <c r="F243" s="17"/>
      <c r="G243" s="21"/>
      <c r="H243" s="21"/>
      <c r="I243" s="4">
        <v>0</v>
      </c>
      <c r="J243" s="4">
        <v>0</v>
      </c>
      <c r="K243" s="4"/>
      <c r="L243" s="16"/>
      <c r="M243" s="4"/>
      <c r="N243" s="4"/>
      <c r="O243" s="4"/>
      <c r="P243" s="4"/>
      <c r="Q243" s="4"/>
      <c r="R243" s="4"/>
      <c r="S243" s="4">
        <v>0</v>
      </c>
      <c r="T243" s="4">
        <v>0</v>
      </c>
      <c r="U243" s="4">
        <v>0</v>
      </c>
      <c r="V243" s="4">
        <v>12</v>
      </c>
      <c r="W243" s="4">
        <v>12</v>
      </c>
      <c r="X243" s="4">
        <v>30</v>
      </c>
      <c r="Y243" s="4"/>
      <c r="Z243" s="4">
        <v>112.88999999999999</v>
      </c>
      <c r="AA243" s="4">
        <v>150</v>
      </c>
      <c r="AB243" s="18"/>
      <c r="AC243" s="18">
        <v>4</v>
      </c>
      <c r="AD243" s="28"/>
      <c r="AE243" s="26"/>
      <c r="AF243" s="28"/>
    </row>
    <row r="244" spans="1:32" ht="12.4" customHeight="1" x14ac:dyDescent="0.25">
      <c r="A244" s="14">
        <v>45682</v>
      </c>
      <c r="B244" s="14" t="s">
        <v>45</v>
      </c>
      <c r="C244" s="15">
        <v>2</v>
      </c>
      <c r="D244" s="16"/>
      <c r="E244" s="16"/>
      <c r="F244" s="17"/>
      <c r="G244" s="21"/>
      <c r="H244" s="21"/>
      <c r="I244" s="4">
        <v>0</v>
      </c>
      <c r="J244" s="4">
        <v>0</v>
      </c>
      <c r="K244" s="4"/>
      <c r="L244" s="16"/>
      <c r="M244" s="4"/>
      <c r="N244" s="4"/>
      <c r="O244" s="4"/>
      <c r="P244" s="4">
        <v>60</v>
      </c>
      <c r="Q244" s="4">
        <v>40</v>
      </c>
      <c r="R244" s="4"/>
      <c r="S244" s="4">
        <v>100</v>
      </c>
      <c r="T244" s="4">
        <v>1.6666666666666667</v>
      </c>
      <c r="U244" s="4">
        <v>1.6666666666666667</v>
      </c>
      <c r="V244" s="4">
        <v>10.333333333333334</v>
      </c>
      <c r="W244" s="4">
        <v>12</v>
      </c>
      <c r="X244" s="4">
        <v>0</v>
      </c>
      <c r="Y244" s="4"/>
      <c r="Z244" s="4">
        <v>205.68999999999997</v>
      </c>
      <c r="AA244" s="4">
        <v>250</v>
      </c>
      <c r="AB244" s="18"/>
      <c r="AC244" s="18">
        <v>4</v>
      </c>
      <c r="AD244" s="28"/>
      <c r="AE244" s="26"/>
      <c r="AF244" s="28"/>
    </row>
    <row r="245" spans="1:32" ht="12.4" customHeight="1" x14ac:dyDescent="0.25">
      <c r="A245" s="14">
        <v>45682</v>
      </c>
      <c r="B245" s="14" t="s">
        <v>46</v>
      </c>
      <c r="C245" s="15">
        <v>2</v>
      </c>
      <c r="D245" s="16"/>
      <c r="E245" s="16"/>
      <c r="F245" s="17"/>
      <c r="G245" s="21"/>
      <c r="H245" s="21"/>
      <c r="I245" s="4">
        <v>0</v>
      </c>
      <c r="J245" s="4">
        <v>0</v>
      </c>
      <c r="K245" s="4"/>
      <c r="L245" s="16"/>
      <c r="M245" s="4"/>
      <c r="N245" s="4"/>
      <c r="O245" s="4"/>
      <c r="P245" s="4"/>
      <c r="Q245" s="4"/>
      <c r="R245" s="4"/>
      <c r="S245" s="4">
        <v>0</v>
      </c>
      <c r="T245" s="4">
        <v>0</v>
      </c>
      <c r="U245" s="4">
        <v>0</v>
      </c>
      <c r="V245" s="4">
        <v>12</v>
      </c>
      <c r="W245" s="4">
        <v>12</v>
      </c>
      <c r="X245" s="4">
        <v>0</v>
      </c>
      <c r="Y245" s="4"/>
      <c r="Z245" s="4">
        <v>226.86</v>
      </c>
      <c r="AA245" s="4">
        <v>250</v>
      </c>
      <c r="AB245" s="18"/>
      <c r="AC245" s="18">
        <v>4</v>
      </c>
      <c r="AD245" s="28"/>
      <c r="AE245" s="26"/>
      <c r="AF245" s="28"/>
    </row>
    <row r="246" spans="1:32" ht="12.4" customHeight="1" x14ac:dyDescent="0.25">
      <c r="A246" s="14">
        <v>45682</v>
      </c>
      <c r="B246" s="14" t="s">
        <v>45</v>
      </c>
      <c r="C246" s="15">
        <v>3</v>
      </c>
      <c r="D246" s="16"/>
      <c r="E246" s="16"/>
      <c r="F246" s="17"/>
      <c r="G246" s="21"/>
      <c r="H246" s="21"/>
      <c r="I246" s="4">
        <v>0</v>
      </c>
      <c r="J246" s="4">
        <v>0</v>
      </c>
      <c r="K246" s="4"/>
      <c r="L246" s="16"/>
      <c r="M246" s="4"/>
      <c r="N246" s="4"/>
      <c r="O246" s="4"/>
      <c r="P246" s="4">
        <v>50</v>
      </c>
      <c r="Q246" s="4">
        <v>50</v>
      </c>
      <c r="R246" s="4"/>
      <c r="S246" s="4">
        <v>100</v>
      </c>
      <c r="T246" s="4">
        <v>1.6666666666666667</v>
      </c>
      <c r="U246" s="4">
        <v>1.6666666666666667</v>
      </c>
      <c r="V246" s="4">
        <v>10.333333333333334</v>
      </c>
      <c r="W246" s="4">
        <v>12</v>
      </c>
      <c r="X246" s="4">
        <v>0</v>
      </c>
      <c r="Y246" s="4"/>
      <c r="Z246" s="4">
        <v>217.52</v>
      </c>
      <c r="AA246" s="4">
        <v>250</v>
      </c>
      <c r="AB246" s="18"/>
      <c r="AC246" s="18">
        <v>4</v>
      </c>
      <c r="AD246" s="28"/>
      <c r="AE246" s="26"/>
      <c r="AF246" s="28"/>
    </row>
    <row r="247" spans="1:32" ht="12.4" customHeight="1" x14ac:dyDescent="0.25">
      <c r="A247" s="14">
        <v>45682</v>
      </c>
      <c r="B247" s="14" t="s">
        <v>46</v>
      </c>
      <c r="C247" s="15">
        <v>3</v>
      </c>
      <c r="D247" s="16"/>
      <c r="E247" s="16"/>
      <c r="F247" s="17"/>
      <c r="G247" s="21"/>
      <c r="H247" s="21"/>
      <c r="I247" s="4">
        <v>0</v>
      </c>
      <c r="J247" s="4">
        <v>0</v>
      </c>
      <c r="K247" s="4"/>
      <c r="L247" s="16"/>
      <c r="M247" s="4"/>
      <c r="N247" s="4"/>
      <c r="O247" s="4"/>
      <c r="P247" s="4"/>
      <c r="Q247" s="4"/>
      <c r="R247" s="4"/>
      <c r="S247" s="4">
        <v>0</v>
      </c>
      <c r="T247" s="4">
        <v>0</v>
      </c>
      <c r="U247" s="4">
        <v>0</v>
      </c>
      <c r="V247" s="4">
        <v>12</v>
      </c>
      <c r="W247" s="4">
        <v>12</v>
      </c>
      <c r="X247" s="4">
        <v>0</v>
      </c>
      <c r="Y247" s="4"/>
      <c r="Z247" s="4">
        <v>284.96999999999997</v>
      </c>
      <c r="AA247" s="4">
        <v>300</v>
      </c>
      <c r="AB247" s="18"/>
      <c r="AC247" s="18">
        <v>4</v>
      </c>
      <c r="AD247" s="28"/>
      <c r="AE247" s="26"/>
      <c r="AF247" s="28"/>
    </row>
    <row r="248" spans="1:32" ht="12.4" customHeight="1" x14ac:dyDescent="0.25">
      <c r="A248" s="14">
        <v>45682</v>
      </c>
      <c r="B248" s="14" t="s">
        <v>45</v>
      </c>
      <c r="C248" s="15">
        <v>4</v>
      </c>
      <c r="D248" s="16"/>
      <c r="E248" s="16"/>
      <c r="F248" s="17"/>
      <c r="G248" s="21"/>
      <c r="H248" s="21"/>
      <c r="I248" s="4">
        <v>0</v>
      </c>
      <c r="J248" s="4">
        <v>0</v>
      </c>
      <c r="K248" s="4"/>
      <c r="L248" s="16"/>
      <c r="M248" s="4"/>
      <c r="N248" s="4"/>
      <c r="O248" s="4"/>
      <c r="P248" s="4"/>
      <c r="Q248" s="4"/>
      <c r="R248" s="4"/>
      <c r="S248" s="4">
        <v>0</v>
      </c>
      <c r="T248" s="4">
        <v>0</v>
      </c>
      <c r="U248" s="4">
        <v>0</v>
      </c>
      <c r="V248" s="4">
        <v>12</v>
      </c>
      <c r="W248" s="4">
        <v>12</v>
      </c>
      <c r="X248" s="4">
        <v>0</v>
      </c>
      <c r="Y248" s="4"/>
      <c r="Z248" s="4">
        <v>780.49</v>
      </c>
      <c r="AA248" s="4">
        <v>800</v>
      </c>
      <c r="AB248" s="18"/>
      <c r="AC248" s="18">
        <v>4</v>
      </c>
      <c r="AD248" s="28"/>
      <c r="AE248" s="26"/>
      <c r="AF248" s="28"/>
    </row>
    <row r="249" spans="1:32" ht="12.4" customHeight="1" x14ac:dyDescent="0.25">
      <c r="A249" s="14">
        <v>45682</v>
      </c>
      <c r="B249" s="14" t="s">
        <v>46</v>
      </c>
      <c r="C249" s="15">
        <v>4</v>
      </c>
      <c r="D249" s="16"/>
      <c r="E249" s="16"/>
      <c r="F249" s="17"/>
      <c r="G249" s="21"/>
      <c r="H249" s="21"/>
      <c r="I249" s="4">
        <v>0</v>
      </c>
      <c r="J249" s="4">
        <v>0</v>
      </c>
      <c r="K249" s="4"/>
      <c r="L249" s="16"/>
      <c r="M249" s="4"/>
      <c r="N249" s="4"/>
      <c r="O249" s="4"/>
      <c r="P249" s="4"/>
      <c r="Q249" s="4"/>
      <c r="R249" s="4"/>
      <c r="S249" s="4">
        <v>0</v>
      </c>
      <c r="T249" s="4">
        <v>0</v>
      </c>
      <c r="U249" s="4">
        <v>0</v>
      </c>
      <c r="V249" s="4">
        <v>12</v>
      </c>
      <c r="W249" s="4">
        <v>12</v>
      </c>
      <c r="X249" s="4">
        <v>0</v>
      </c>
      <c r="Y249" s="4"/>
      <c r="Z249" s="4">
        <v>780.63000000000011</v>
      </c>
      <c r="AA249" s="4">
        <v>800</v>
      </c>
      <c r="AB249" s="18"/>
      <c r="AC249" s="18">
        <v>4</v>
      </c>
      <c r="AD249" s="28"/>
      <c r="AE249" s="26"/>
      <c r="AF249" s="28"/>
    </row>
    <row r="250" spans="1:32" ht="12.4" customHeight="1" x14ac:dyDescent="0.25">
      <c r="A250" s="14">
        <v>45682</v>
      </c>
      <c r="B250" s="14" t="s">
        <v>45</v>
      </c>
      <c r="C250" s="15">
        <v>5</v>
      </c>
      <c r="D250" s="16"/>
      <c r="E250" s="16"/>
      <c r="F250" s="17"/>
      <c r="G250" s="21"/>
      <c r="H250" s="21"/>
      <c r="I250" s="4">
        <v>0</v>
      </c>
      <c r="J250" s="4">
        <v>0</v>
      </c>
      <c r="K250" s="4"/>
      <c r="L250" s="16"/>
      <c r="M250" s="4"/>
      <c r="N250" s="4"/>
      <c r="O250" s="4"/>
      <c r="P250" s="4">
        <v>50</v>
      </c>
      <c r="Q250" s="4">
        <v>40</v>
      </c>
      <c r="R250" s="4"/>
      <c r="S250" s="4">
        <v>90</v>
      </c>
      <c r="T250" s="4">
        <v>1.5</v>
      </c>
      <c r="U250" s="4">
        <v>1.5</v>
      </c>
      <c r="V250" s="4">
        <v>10.5</v>
      </c>
      <c r="W250" s="4">
        <v>12</v>
      </c>
      <c r="X250" s="4">
        <v>0</v>
      </c>
      <c r="Y250" s="4"/>
      <c r="Z250" s="4">
        <v>384.46500000000003</v>
      </c>
      <c r="AA250" s="4">
        <v>400</v>
      </c>
      <c r="AB250" s="18"/>
      <c r="AC250" s="18">
        <v>4</v>
      </c>
      <c r="AD250" s="28"/>
      <c r="AE250" s="26"/>
      <c r="AF250" s="28"/>
    </row>
    <row r="251" spans="1:32" ht="12.4" customHeight="1" x14ac:dyDescent="0.25">
      <c r="A251" s="14">
        <v>45682</v>
      </c>
      <c r="B251" s="14" t="s">
        <v>46</v>
      </c>
      <c r="C251" s="15">
        <v>5</v>
      </c>
      <c r="D251" s="16"/>
      <c r="E251" s="16"/>
      <c r="F251" s="17"/>
      <c r="G251" s="21"/>
      <c r="H251" s="21"/>
      <c r="I251" s="4">
        <v>0</v>
      </c>
      <c r="J251" s="4">
        <v>0</v>
      </c>
      <c r="K251" s="4"/>
      <c r="L251" s="16"/>
      <c r="M251" s="4"/>
      <c r="N251" s="4"/>
      <c r="O251" s="4"/>
      <c r="P251" s="4"/>
      <c r="Q251" s="4"/>
      <c r="R251" s="4"/>
      <c r="S251" s="4">
        <v>0</v>
      </c>
      <c r="T251" s="4">
        <v>0</v>
      </c>
      <c r="U251" s="4">
        <v>0</v>
      </c>
      <c r="V251" s="4">
        <v>12</v>
      </c>
      <c r="W251" s="4">
        <v>12</v>
      </c>
      <c r="X251" s="4">
        <v>0</v>
      </c>
      <c r="Y251" s="4"/>
      <c r="Z251" s="4">
        <v>493.39000000000004</v>
      </c>
      <c r="AA251" s="4">
        <v>500</v>
      </c>
      <c r="AB251" s="18"/>
      <c r="AC251" s="18">
        <v>4</v>
      </c>
      <c r="AD251" s="28"/>
      <c r="AE251" s="26"/>
      <c r="AF251" s="28"/>
    </row>
    <row r="252" spans="1:32" ht="12.4" customHeight="1" x14ac:dyDescent="0.25">
      <c r="A252" s="14">
        <v>45683</v>
      </c>
      <c r="B252" s="14" t="s">
        <v>45</v>
      </c>
      <c r="C252" s="15">
        <v>1</v>
      </c>
      <c r="D252" s="16"/>
      <c r="E252" s="16"/>
      <c r="F252" s="17"/>
      <c r="G252" s="21"/>
      <c r="H252" s="21"/>
      <c r="I252" s="4">
        <v>0</v>
      </c>
      <c r="J252" s="4">
        <v>0</v>
      </c>
      <c r="K252" s="4"/>
      <c r="L252" s="16"/>
      <c r="M252" s="4"/>
      <c r="N252" s="4"/>
      <c r="O252" s="4"/>
      <c r="P252" s="4"/>
      <c r="Q252" s="4"/>
      <c r="R252" s="4"/>
      <c r="S252" s="4">
        <v>0</v>
      </c>
      <c r="T252" s="4">
        <v>0</v>
      </c>
      <c r="U252" s="4">
        <v>0</v>
      </c>
      <c r="V252" s="4">
        <v>12</v>
      </c>
      <c r="W252" s="4">
        <v>12</v>
      </c>
      <c r="X252" s="4">
        <v>40</v>
      </c>
      <c r="Y252" s="4">
        <v>2041</v>
      </c>
      <c r="Z252" s="4">
        <v>103.74000000000001</v>
      </c>
      <c r="AA252" s="4">
        <v>100</v>
      </c>
      <c r="AB252" s="18">
        <v>398</v>
      </c>
      <c r="AC252" s="18">
        <v>4</v>
      </c>
      <c r="AD252" s="28"/>
      <c r="AE252" s="26"/>
      <c r="AF252" s="28"/>
    </row>
    <row r="253" spans="1:32" ht="12.4" customHeight="1" x14ac:dyDescent="0.25">
      <c r="A253" s="14">
        <v>45683</v>
      </c>
      <c r="B253" s="14" t="s">
        <v>46</v>
      </c>
      <c r="C253" s="15">
        <v>1</v>
      </c>
      <c r="D253" s="16"/>
      <c r="E253" s="16"/>
      <c r="F253" s="17"/>
      <c r="G253" s="21"/>
      <c r="H253" s="21"/>
      <c r="I253" s="4">
        <v>0</v>
      </c>
      <c r="J253" s="4">
        <v>0</v>
      </c>
      <c r="K253" s="4"/>
      <c r="L253" s="16"/>
      <c r="M253" s="4"/>
      <c r="N253" s="4"/>
      <c r="O253" s="4"/>
      <c r="P253" s="4"/>
      <c r="Q253" s="4"/>
      <c r="R253" s="4"/>
      <c r="S253" s="4">
        <v>0</v>
      </c>
      <c r="T253" s="4">
        <v>0</v>
      </c>
      <c r="U253" s="4">
        <v>0</v>
      </c>
      <c r="V253" s="4">
        <v>12</v>
      </c>
      <c r="W253" s="4">
        <v>12</v>
      </c>
      <c r="X253" s="4">
        <v>40</v>
      </c>
      <c r="Y253" s="4"/>
      <c r="Z253" s="4">
        <v>140.82</v>
      </c>
      <c r="AA253" s="4">
        <v>150</v>
      </c>
      <c r="AB253" s="18"/>
      <c r="AC253" s="18">
        <v>4</v>
      </c>
      <c r="AD253" s="28"/>
      <c r="AE253" s="26"/>
      <c r="AF253" s="28"/>
    </row>
    <row r="254" spans="1:32" ht="12.4" customHeight="1" x14ac:dyDescent="0.25">
      <c r="A254" s="14">
        <v>45683</v>
      </c>
      <c r="B254" s="14" t="s">
        <v>45</v>
      </c>
      <c r="C254" s="15">
        <v>2</v>
      </c>
      <c r="D254" s="16"/>
      <c r="E254" s="16"/>
      <c r="F254" s="17"/>
      <c r="G254" s="21"/>
      <c r="H254" s="21"/>
      <c r="I254" s="4">
        <v>0</v>
      </c>
      <c r="J254" s="4">
        <v>0</v>
      </c>
      <c r="K254" s="4"/>
      <c r="L254" s="16"/>
      <c r="M254" s="4"/>
      <c r="N254" s="4"/>
      <c r="O254" s="4"/>
      <c r="P254" s="4"/>
      <c r="Q254" s="4"/>
      <c r="R254" s="4"/>
      <c r="S254" s="4">
        <v>0</v>
      </c>
      <c r="T254" s="4">
        <v>0</v>
      </c>
      <c r="U254" s="4">
        <v>0</v>
      </c>
      <c r="V254" s="4">
        <v>12</v>
      </c>
      <c r="W254" s="4">
        <v>12</v>
      </c>
      <c r="X254" s="4">
        <v>0</v>
      </c>
      <c r="Y254" s="4"/>
      <c r="Z254" s="4">
        <v>199.32999999999998</v>
      </c>
      <c r="AA254" s="4">
        <v>200</v>
      </c>
      <c r="AB254" s="18"/>
      <c r="AC254" s="18">
        <v>4</v>
      </c>
      <c r="AD254" s="28"/>
      <c r="AE254" s="26"/>
      <c r="AF254" s="28"/>
    </row>
    <row r="255" spans="1:32" ht="12.4" customHeight="1" x14ac:dyDescent="0.25">
      <c r="A255" s="14">
        <v>45683</v>
      </c>
      <c r="B255" s="14" t="s">
        <v>46</v>
      </c>
      <c r="C255" s="15">
        <v>2</v>
      </c>
      <c r="D255" s="16"/>
      <c r="E255" s="16"/>
      <c r="F255" s="17"/>
      <c r="G255" s="21"/>
      <c r="H255" s="21"/>
      <c r="I255" s="4">
        <v>0</v>
      </c>
      <c r="J255" s="4">
        <v>0</v>
      </c>
      <c r="K255" s="4"/>
      <c r="L255" s="16"/>
      <c r="M255" s="4"/>
      <c r="N255" s="4"/>
      <c r="O255" s="4"/>
      <c r="P255" s="4"/>
      <c r="Q255" s="4"/>
      <c r="R255" s="4"/>
      <c r="S255" s="4">
        <v>0</v>
      </c>
      <c r="T255" s="4">
        <v>0</v>
      </c>
      <c r="U255" s="4">
        <v>0</v>
      </c>
      <c r="V255" s="4">
        <v>12</v>
      </c>
      <c r="W255" s="4">
        <v>12</v>
      </c>
      <c r="X255" s="4">
        <v>0</v>
      </c>
      <c r="Y255" s="4"/>
      <c r="Z255" s="4">
        <v>219.98</v>
      </c>
      <c r="AA255" s="4">
        <v>200</v>
      </c>
      <c r="AB255" s="18"/>
      <c r="AC255" s="18">
        <v>4</v>
      </c>
      <c r="AD255" s="28"/>
      <c r="AE255" s="26"/>
      <c r="AF255" s="28"/>
    </row>
    <row r="256" spans="1:32" ht="12.4" customHeight="1" x14ac:dyDescent="0.25">
      <c r="A256" s="14">
        <v>45683</v>
      </c>
      <c r="B256" s="14" t="s">
        <v>45</v>
      </c>
      <c r="C256" s="15">
        <v>3</v>
      </c>
      <c r="D256" s="16"/>
      <c r="E256" s="16"/>
      <c r="F256" s="17"/>
      <c r="G256" s="21"/>
      <c r="H256" s="21"/>
      <c r="I256" s="4">
        <v>0</v>
      </c>
      <c r="J256" s="4">
        <v>0</v>
      </c>
      <c r="K256" s="4"/>
      <c r="L256" s="16"/>
      <c r="M256" s="4"/>
      <c r="N256" s="4"/>
      <c r="O256" s="4"/>
      <c r="P256" s="4"/>
      <c r="Q256" s="4"/>
      <c r="R256" s="4"/>
      <c r="S256" s="4">
        <v>0</v>
      </c>
      <c r="T256" s="4">
        <v>0</v>
      </c>
      <c r="U256" s="4">
        <v>0</v>
      </c>
      <c r="V256" s="4">
        <v>12</v>
      </c>
      <c r="W256" s="4">
        <v>12</v>
      </c>
      <c r="X256" s="4">
        <v>0</v>
      </c>
      <c r="Y256" s="4"/>
      <c r="Z256" s="4">
        <v>322.71000000000004</v>
      </c>
      <c r="AA256" s="4">
        <v>300</v>
      </c>
      <c r="AB256" s="18"/>
      <c r="AC256" s="18">
        <v>4</v>
      </c>
      <c r="AD256" s="28"/>
      <c r="AE256" s="26"/>
      <c r="AF256" s="28"/>
    </row>
    <row r="257" spans="1:32" ht="12.4" customHeight="1" x14ac:dyDescent="0.25">
      <c r="A257" s="14">
        <v>45683</v>
      </c>
      <c r="B257" s="14" t="s">
        <v>46</v>
      </c>
      <c r="C257" s="15">
        <v>3</v>
      </c>
      <c r="D257" s="16"/>
      <c r="E257" s="16"/>
      <c r="F257" s="17"/>
      <c r="G257" s="21"/>
      <c r="H257" s="21"/>
      <c r="I257" s="4">
        <v>0</v>
      </c>
      <c r="J257" s="4">
        <v>0</v>
      </c>
      <c r="K257" s="4"/>
      <c r="L257" s="16"/>
      <c r="M257" s="4"/>
      <c r="N257" s="4"/>
      <c r="O257" s="4"/>
      <c r="P257" s="4"/>
      <c r="Q257" s="4"/>
      <c r="R257" s="4"/>
      <c r="S257" s="4">
        <v>0</v>
      </c>
      <c r="T257" s="4">
        <v>0</v>
      </c>
      <c r="U257" s="4">
        <v>0</v>
      </c>
      <c r="V257" s="4">
        <v>12</v>
      </c>
      <c r="W257" s="4">
        <v>12</v>
      </c>
      <c r="X257" s="4">
        <v>0</v>
      </c>
      <c r="Y257" s="4"/>
      <c r="Z257" s="4">
        <v>279.33999999999997</v>
      </c>
      <c r="AA257" s="4">
        <v>250</v>
      </c>
      <c r="AB257" s="18"/>
      <c r="AC257" s="18">
        <v>4</v>
      </c>
      <c r="AD257" s="28"/>
      <c r="AE257" s="26"/>
      <c r="AF257" s="28"/>
    </row>
    <row r="258" spans="1:32" ht="12.4" customHeight="1" x14ac:dyDescent="0.25">
      <c r="A258" s="14">
        <v>45683</v>
      </c>
      <c r="B258" s="14" t="s">
        <v>45</v>
      </c>
      <c r="C258" s="15">
        <v>4</v>
      </c>
      <c r="D258" s="16"/>
      <c r="E258" s="16"/>
      <c r="F258" s="17"/>
      <c r="G258" s="21"/>
      <c r="H258" s="21"/>
      <c r="I258" s="4">
        <v>0</v>
      </c>
      <c r="J258" s="4">
        <v>0</v>
      </c>
      <c r="K258" s="4"/>
      <c r="L258" s="16"/>
      <c r="M258" s="4"/>
      <c r="N258" s="4"/>
      <c r="O258" s="4"/>
      <c r="P258" s="4"/>
      <c r="Q258" s="4">
        <v>60</v>
      </c>
      <c r="R258" s="4"/>
      <c r="S258" s="4">
        <v>60</v>
      </c>
      <c r="T258" s="4">
        <v>1</v>
      </c>
      <c r="U258" s="4">
        <v>1</v>
      </c>
      <c r="V258" s="4">
        <v>11</v>
      </c>
      <c r="W258" s="4">
        <v>12</v>
      </c>
      <c r="X258" s="4">
        <v>0</v>
      </c>
      <c r="Y258" s="4"/>
      <c r="Z258" s="4">
        <v>780.87000000000012</v>
      </c>
      <c r="AA258" s="4">
        <v>800</v>
      </c>
      <c r="AB258" s="18"/>
      <c r="AC258" s="18">
        <v>4</v>
      </c>
      <c r="AD258" s="28"/>
      <c r="AE258" s="26"/>
      <c r="AF258" s="28"/>
    </row>
    <row r="259" spans="1:32" ht="12.4" customHeight="1" x14ac:dyDescent="0.25">
      <c r="A259" s="14">
        <v>45683</v>
      </c>
      <c r="B259" s="14" t="s">
        <v>46</v>
      </c>
      <c r="C259" s="15">
        <v>4</v>
      </c>
      <c r="D259" s="16"/>
      <c r="E259" s="16"/>
      <c r="F259" s="17"/>
      <c r="G259" s="21"/>
      <c r="H259" s="21"/>
      <c r="I259" s="4">
        <v>0</v>
      </c>
      <c r="J259" s="4">
        <v>0</v>
      </c>
      <c r="K259" s="4"/>
      <c r="L259" s="16"/>
      <c r="M259" s="4"/>
      <c r="N259" s="4"/>
      <c r="O259" s="4"/>
      <c r="P259" s="4"/>
      <c r="Q259" s="4"/>
      <c r="R259" s="4"/>
      <c r="S259" s="4">
        <v>0</v>
      </c>
      <c r="T259" s="4">
        <v>0</v>
      </c>
      <c r="U259" s="4">
        <v>0</v>
      </c>
      <c r="V259" s="4">
        <v>12</v>
      </c>
      <c r="W259" s="4">
        <v>12</v>
      </c>
      <c r="X259" s="4">
        <v>0</v>
      </c>
      <c r="Y259" s="4"/>
      <c r="Z259" s="4">
        <v>758.12</v>
      </c>
      <c r="AA259" s="4">
        <v>750</v>
      </c>
      <c r="AB259" s="18"/>
      <c r="AC259" s="18">
        <v>4</v>
      </c>
      <c r="AD259" s="28"/>
      <c r="AE259" s="26"/>
      <c r="AF259" s="28"/>
    </row>
    <row r="260" spans="1:32" ht="12.4" customHeight="1" x14ac:dyDescent="0.25">
      <c r="A260" s="14">
        <v>45683</v>
      </c>
      <c r="B260" s="14" t="s">
        <v>45</v>
      </c>
      <c r="C260" s="15">
        <v>5</v>
      </c>
      <c r="D260" s="16"/>
      <c r="E260" s="16"/>
      <c r="F260" s="17"/>
      <c r="G260" s="21"/>
      <c r="H260" s="21"/>
      <c r="I260" s="4">
        <v>0</v>
      </c>
      <c r="J260" s="4">
        <v>0</v>
      </c>
      <c r="K260" s="4"/>
      <c r="L260" s="16"/>
      <c r="M260" s="4"/>
      <c r="N260" s="4"/>
      <c r="O260" s="4"/>
      <c r="P260" s="4"/>
      <c r="Q260" s="4"/>
      <c r="R260" s="4"/>
      <c r="S260" s="4">
        <v>0</v>
      </c>
      <c r="T260" s="4">
        <v>0</v>
      </c>
      <c r="U260" s="4">
        <v>0</v>
      </c>
      <c r="V260" s="4">
        <v>12</v>
      </c>
      <c r="W260" s="4">
        <v>12</v>
      </c>
      <c r="X260" s="4">
        <v>0</v>
      </c>
      <c r="Y260" s="4"/>
      <c r="Z260" s="4">
        <v>530.49</v>
      </c>
      <c r="AA260" s="4">
        <v>550</v>
      </c>
      <c r="AB260" s="18"/>
      <c r="AC260" s="18">
        <v>4</v>
      </c>
      <c r="AD260" s="28"/>
      <c r="AE260" s="26"/>
      <c r="AF260" s="28"/>
    </row>
    <row r="261" spans="1:32" ht="12.4" customHeight="1" x14ac:dyDescent="0.25">
      <c r="A261" s="14">
        <v>45683</v>
      </c>
      <c r="B261" s="14" t="s">
        <v>46</v>
      </c>
      <c r="C261" s="15">
        <v>5</v>
      </c>
      <c r="D261" s="16"/>
      <c r="E261" s="16"/>
      <c r="F261" s="17"/>
      <c r="G261" s="21"/>
      <c r="H261" s="21"/>
      <c r="I261" s="4">
        <v>0</v>
      </c>
      <c r="J261" s="4">
        <v>0</v>
      </c>
      <c r="K261" s="4"/>
      <c r="L261" s="16"/>
      <c r="M261" s="4"/>
      <c r="N261" s="4"/>
      <c r="O261" s="4"/>
      <c r="P261" s="4"/>
      <c r="Q261" s="4"/>
      <c r="R261" s="4"/>
      <c r="S261" s="4">
        <v>0</v>
      </c>
      <c r="T261" s="4">
        <v>0</v>
      </c>
      <c r="U261" s="4">
        <v>0</v>
      </c>
      <c r="V261" s="4">
        <v>12</v>
      </c>
      <c r="W261" s="4">
        <v>12</v>
      </c>
      <c r="X261" s="4">
        <v>0</v>
      </c>
      <c r="Y261" s="4"/>
      <c r="Z261" s="4">
        <v>486.51</v>
      </c>
      <c r="AA261" s="4">
        <v>500</v>
      </c>
      <c r="AB261" s="18"/>
      <c r="AC261" s="18">
        <v>4</v>
      </c>
      <c r="AD261" s="28"/>
      <c r="AE261" s="26"/>
      <c r="AF261" s="28"/>
    </row>
    <row r="262" spans="1:32" ht="12.6" customHeight="1" x14ac:dyDescent="0.25">
      <c r="A262" s="14">
        <v>45684</v>
      </c>
      <c r="B262" s="14" t="s">
        <v>45</v>
      </c>
      <c r="C262" s="15">
        <v>1</v>
      </c>
      <c r="D262" s="16"/>
      <c r="E262" s="16"/>
      <c r="F262" s="17"/>
      <c r="G262" s="21"/>
      <c r="H262" s="21"/>
      <c r="I262" s="4">
        <v>0</v>
      </c>
      <c r="J262" s="4">
        <v>0</v>
      </c>
      <c r="K262" s="4"/>
      <c r="L262" s="16"/>
      <c r="M262" s="4"/>
      <c r="N262" s="4"/>
      <c r="O262" s="4"/>
      <c r="P262" s="4"/>
      <c r="Q262" s="4"/>
      <c r="R262" s="4"/>
      <c r="S262" s="4">
        <v>0</v>
      </c>
      <c r="T262" s="4">
        <v>0</v>
      </c>
      <c r="U262" s="4">
        <v>0</v>
      </c>
      <c r="V262" s="4">
        <v>12</v>
      </c>
      <c r="W262" s="4">
        <v>12</v>
      </c>
      <c r="X262" s="4">
        <v>32.5</v>
      </c>
      <c r="Y262" s="4">
        <v>2067</v>
      </c>
      <c r="Z262" s="4">
        <v>120.60000000000001</v>
      </c>
      <c r="AA262" s="4">
        <v>150</v>
      </c>
      <c r="AB262" s="18">
        <v>398</v>
      </c>
      <c r="AC262" s="18">
        <v>5</v>
      </c>
      <c r="AD262" s="28"/>
      <c r="AE262" s="26"/>
      <c r="AF262" s="28"/>
    </row>
    <row r="263" spans="1:32" ht="12.6" customHeight="1" x14ac:dyDescent="0.25">
      <c r="A263" s="14">
        <v>45684</v>
      </c>
      <c r="B263" s="14" t="s">
        <v>46</v>
      </c>
      <c r="C263" s="15">
        <v>1</v>
      </c>
      <c r="D263" s="16"/>
      <c r="E263" s="16"/>
      <c r="F263" s="17"/>
      <c r="G263" s="21"/>
      <c r="H263" s="21"/>
      <c r="I263" s="4">
        <v>0</v>
      </c>
      <c r="J263" s="4">
        <v>0</v>
      </c>
      <c r="K263" s="4"/>
      <c r="L263" s="16"/>
      <c r="M263" s="4"/>
      <c r="N263" s="4"/>
      <c r="O263" s="4"/>
      <c r="P263" s="4"/>
      <c r="Q263" s="4"/>
      <c r="R263" s="4"/>
      <c r="S263" s="4">
        <v>0</v>
      </c>
      <c r="T263" s="4">
        <v>0</v>
      </c>
      <c r="U263" s="4">
        <v>0</v>
      </c>
      <c r="V263" s="4">
        <v>12</v>
      </c>
      <c r="W263" s="4">
        <v>12</v>
      </c>
      <c r="X263" s="4">
        <v>32.5</v>
      </c>
      <c r="Y263" s="4"/>
      <c r="Z263" s="4">
        <v>133.02000000000001</v>
      </c>
      <c r="AA263" s="4">
        <v>150</v>
      </c>
      <c r="AB263" s="18"/>
      <c r="AC263" s="18">
        <v>5</v>
      </c>
      <c r="AD263" s="28"/>
      <c r="AE263" s="26"/>
      <c r="AF263" s="28"/>
    </row>
    <row r="264" spans="1:32" ht="12.6" customHeight="1" x14ac:dyDescent="0.25">
      <c r="A264" s="14">
        <v>45684</v>
      </c>
      <c r="B264" s="14" t="s">
        <v>45</v>
      </c>
      <c r="C264" s="15">
        <v>2</v>
      </c>
      <c r="D264" s="16"/>
      <c r="E264" s="16"/>
      <c r="F264" s="17"/>
      <c r="G264" s="21"/>
      <c r="H264" s="21"/>
      <c r="I264" s="4">
        <v>0</v>
      </c>
      <c r="J264" s="4">
        <v>0</v>
      </c>
      <c r="K264" s="4"/>
      <c r="L264" s="16"/>
      <c r="M264" s="4"/>
      <c r="N264" s="4"/>
      <c r="O264" s="4"/>
      <c r="P264" s="4"/>
      <c r="Q264" s="4"/>
      <c r="R264" s="4"/>
      <c r="S264" s="4">
        <v>0</v>
      </c>
      <c r="T264" s="4">
        <v>0</v>
      </c>
      <c r="U264" s="4">
        <v>0</v>
      </c>
      <c r="V264" s="4">
        <v>12</v>
      </c>
      <c r="W264" s="4">
        <v>12</v>
      </c>
      <c r="X264" s="4">
        <v>0</v>
      </c>
      <c r="Y264" s="4"/>
      <c r="Z264" s="4">
        <v>187.28000000000003</v>
      </c>
      <c r="AA264" s="4">
        <v>200</v>
      </c>
      <c r="AB264" s="18"/>
      <c r="AC264" s="18">
        <v>5</v>
      </c>
      <c r="AD264" s="28"/>
      <c r="AE264" s="26"/>
      <c r="AF264" s="28"/>
    </row>
    <row r="265" spans="1:32" ht="12.6" customHeight="1" x14ac:dyDescent="0.25">
      <c r="A265" s="14">
        <v>45684</v>
      </c>
      <c r="B265" s="14" t="s">
        <v>46</v>
      </c>
      <c r="C265" s="15">
        <v>2</v>
      </c>
      <c r="D265" s="16"/>
      <c r="E265" s="16"/>
      <c r="F265" s="17"/>
      <c r="G265" s="21"/>
      <c r="H265" s="21"/>
      <c r="I265" s="4">
        <v>0</v>
      </c>
      <c r="J265" s="4">
        <v>0</v>
      </c>
      <c r="K265" s="4"/>
      <c r="L265" s="16"/>
      <c r="M265" s="4"/>
      <c r="N265" s="4"/>
      <c r="O265" s="4"/>
      <c r="P265" s="4"/>
      <c r="Q265" s="4"/>
      <c r="R265" s="4"/>
      <c r="S265" s="4">
        <v>0</v>
      </c>
      <c r="T265" s="4">
        <v>0</v>
      </c>
      <c r="U265" s="4">
        <v>0</v>
      </c>
      <c r="V265" s="4">
        <v>12</v>
      </c>
      <c r="W265" s="4">
        <v>12</v>
      </c>
      <c r="X265" s="4">
        <v>0</v>
      </c>
      <c r="Y265" s="4"/>
      <c r="Z265" s="4">
        <v>203.65</v>
      </c>
      <c r="AA265" s="4">
        <v>200</v>
      </c>
      <c r="AB265" s="18"/>
      <c r="AC265" s="18">
        <v>5</v>
      </c>
      <c r="AD265" s="28"/>
      <c r="AE265" s="26"/>
      <c r="AF265" s="28"/>
    </row>
    <row r="266" spans="1:32" ht="12.6" customHeight="1" x14ac:dyDescent="0.25">
      <c r="A266" s="14">
        <v>45684</v>
      </c>
      <c r="B266" s="14" t="s">
        <v>45</v>
      </c>
      <c r="C266" s="15">
        <v>3</v>
      </c>
      <c r="D266" s="16"/>
      <c r="E266" s="16"/>
      <c r="F266" s="17"/>
      <c r="G266" s="21"/>
      <c r="H266" s="21"/>
      <c r="I266" s="4">
        <v>0</v>
      </c>
      <c r="J266" s="4">
        <v>0</v>
      </c>
      <c r="K266" s="4"/>
      <c r="L266" s="16"/>
      <c r="M266" s="4"/>
      <c r="N266" s="4"/>
      <c r="O266" s="4"/>
      <c r="P266" s="4"/>
      <c r="Q266" s="4"/>
      <c r="R266" s="4"/>
      <c r="S266" s="4">
        <v>0</v>
      </c>
      <c r="T266" s="4">
        <v>0</v>
      </c>
      <c r="U266" s="4">
        <v>0</v>
      </c>
      <c r="V266" s="4">
        <v>12</v>
      </c>
      <c r="W266" s="4">
        <v>12</v>
      </c>
      <c r="X266" s="4">
        <v>0</v>
      </c>
      <c r="Y266" s="4"/>
      <c r="Z266" s="4">
        <v>271.47999999999996</v>
      </c>
      <c r="AA266" s="4">
        <v>300</v>
      </c>
      <c r="AB266" s="18"/>
      <c r="AC266" s="18">
        <v>5</v>
      </c>
      <c r="AD266" s="28"/>
      <c r="AE266" s="26"/>
      <c r="AF266" s="28"/>
    </row>
    <row r="267" spans="1:32" ht="12.6" customHeight="1" x14ac:dyDescent="0.25">
      <c r="A267" s="14">
        <v>45684</v>
      </c>
      <c r="B267" s="14" t="s">
        <v>46</v>
      </c>
      <c r="C267" s="15">
        <v>3</v>
      </c>
      <c r="D267" s="16"/>
      <c r="E267" s="16"/>
      <c r="F267" s="17"/>
      <c r="G267" s="21"/>
      <c r="H267" s="21"/>
      <c r="I267" s="4">
        <v>0</v>
      </c>
      <c r="J267" s="4">
        <v>0</v>
      </c>
      <c r="K267" s="4"/>
      <c r="L267" s="16"/>
      <c r="M267" s="4"/>
      <c r="N267" s="4"/>
      <c r="O267" s="4"/>
      <c r="P267" s="4"/>
      <c r="Q267" s="4"/>
      <c r="R267" s="4"/>
      <c r="S267" s="4">
        <v>0</v>
      </c>
      <c r="T267" s="4">
        <v>0</v>
      </c>
      <c r="U267" s="4">
        <v>0</v>
      </c>
      <c r="V267" s="4">
        <v>12</v>
      </c>
      <c r="W267" s="4">
        <v>12</v>
      </c>
      <c r="X267" s="4">
        <v>0</v>
      </c>
      <c r="Y267" s="4"/>
      <c r="Z267" s="4">
        <v>231.94</v>
      </c>
      <c r="AA267" s="4">
        <v>250</v>
      </c>
      <c r="AB267" s="18"/>
      <c r="AC267" s="18">
        <v>5</v>
      </c>
      <c r="AD267" s="28"/>
      <c r="AE267" s="26"/>
      <c r="AF267" s="28"/>
    </row>
    <row r="268" spans="1:32" ht="12.6" customHeight="1" x14ac:dyDescent="0.25">
      <c r="A268" s="14">
        <v>45684</v>
      </c>
      <c r="B268" s="14" t="s">
        <v>45</v>
      </c>
      <c r="C268" s="15">
        <v>4</v>
      </c>
      <c r="D268" s="16"/>
      <c r="E268" s="16"/>
      <c r="F268" s="17"/>
      <c r="G268" s="21"/>
      <c r="H268" s="21"/>
      <c r="I268" s="4">
        <v>0</v>
      </c>
      <c r="J268" s="4">
        <v>0</v>
      </c>
      <c r="K268" s="4"/>
      <c r="L268" s="16"/>
      <c r="M268" s="4"/>
      <c r="N268" s="4"/>
      <c r="O268" s="4"/>
      <c r="P268" s="4"/>
      <c r="Q268" s="4"/>
      <c r="R268" s="4"/>
      <c r="S268" s="4">
        <v>0</v>
      </c>
      <c r="T268" s="4">
        <v>0</v>
      </c>
      <c r="U268" s="4">
        <v>0</v>
      </c>
      <c r="V268" s="4">
        <v>12</v>
      </c>
      <c r="W268" s="4">
        <v>12</v>
      </c>
      <c r="X268" s="4">
        <v>0</v>
      </c>
      <c r="Y268" s="4"/>
      <c r="Z268" s="4">
        <v>929.18</v>
      </c>
      <c r="AA268" s="4">
        <v>950</v>
      </c>
      <c r="AB268" s="18"/>
      <c r="AC268" s="18">
        <v>5</v>
      </c>
      <c r="AD268" s="28"/>
      <c r="AE268" s="26"/>
      <c r="AF268" s="28"/>
    </row>
    <row r="269" spans="1:32" ht="12.6" customHeight="1" x14ac:dyDescent="0.25">
      <c r="A269" s="14">
        <v>45684</v>
      </c>
      <c r="B269" s="14" t="s">
        <v>46</v>
      </c>
      <c r="C269" s="15">
        <v>4</v>
      </c>
      <c r="D269" s="16"/>
      <c r="E269" s="16"/>
      <c r="F269" s="17"/>
      <c r="G269" s="21"/>
      <c r="H269" s="21"/>
      <c r="I269" s="4">
        <v>0</v>
      </c>
      <c r="J269" s="4">
        <v>0</v>
      </c>
      <c r="K269" s="4"/>
      <c r="L269" s="16"/>
      <c r="M269" s="4"/>
      <c r="N269" s="4"/>
      <c r="O269" s="4"/>
      <c r="P269" s="4"/>
      <c r="Q269" s="4"/>
      <c r="R269" s="4"/>
      <c r="S269" s="4">
        <v>0</v>
      </c>
      <c r="T269" s="4">
        <v>0</v>
      </c>
      <c r="U269" s="4">
        <v>0</v>
      </c>
      <c r="V269" s="4">
        <v>12</v>
      </c>
      <c r="W269" s="4">
        <v>12</v>
      </c>
      <c r="X269" s="4">
        <v>0</v>
      </c>
      <c r="Y269" s="4"/>
      <c r="Z269" s="4">
        <v>663.68000000000006</v>
      </c>
      <c r="AA269" s="4">
        <v>700</v>
      </c>
      <c r="AB269" s="18"/>
      <c r="AC269" s="18">
        <v>5</v>
      </c>
      <c r="AD269" s="28"/>
      <c r="AE269" s="26"/>
      <c r="AF269" s="28"/>
    </row>
    <row r="270" spans="1:32" ht="12.6" customHeight="1" x14ac:dyDescent="0.25">
      <c r="A270" s="14">
        <v>45684</v>
      </c>
      <c r="B270" s="14" t="s">
        <v>45</v>
      </c>
      <c r="C270" s="15">
        <v>5</v>
      </c>
      <c r="D270" s="16"/>
      <c r="E270" s="16"/>
      <c r="F270" s="17"/>
      <c r="G270" s="21"/>
      <c r="H270" s="21"/>
      <c r="I270" s="4">
        <v>0</v>
      </c>
      <c r="J270" s="4">
        <v>0</v>
      </c>
      <c r="K270" s="4"/>
      <c r="L270" s="16"/>
      <c r="M270" s="4"/>
      <c r="N270" s="4"/>
      <c r="O270" s="4"/>
      <c r="P270" s="4"/>
      <c r="Q270" s="4"/>
      <c r="R270" s="4"/>
      <c r="S270" s="4">
        <v>0</v>
      </c>
      <c r="T270" s="4">
        <v>0</v>
      </c>
      <c r="U270" s="4">
        <v>0</v>
      </c>
      <c r="V270" s="4">
        <v>12</v>
      </c>
      <c r="W270" s="4">
        <v>12</v>
      </c>
      <c r="X270" s="4">
        <v>0</v>
      </c>
      <c r="Y270" s="4"/>
      <c r="Z270" s="4">
        <v>491.57</v>
      </c>
      <c r="AA270" s="4">
        <v>500</v>
      </c>
      <c r="AB270" s="18"/>
      <c r="AC270" s="18">
        <v>5</v>
      </c>
      <c r="AD270" s="28"/>
      <c r="AE270" s="26"/>
      <c r="AF270" s="28"/>
    </row>
    <row r="271" spans="1:32" ht="12.6" customHeight="1" x14ac:dyDescent="0.25">
      <c r="A271" s="14">
        <v>45684</v>
      </c>
      <c r="B271" s="14" t="s">
        <v>46</v>
      </c>
      <c r="C271" s="15">
        <v>5</v>
      </c>
      <c r="D271" s="16"/>
      <c r="E271" s="16"/>
      <c r="F271" s="17"/>
      <c r="G271" s="21"/>
      <c r="H271" s="21"/>
      <c r="I271" s="4">
        <v>0</v>
      </c>
      <c r="J271" s="4">
        <v>0</v>
      </c>
      <c r="K271" s="4"/>
      <c r="L271" s="16"/>
      <c r="M271" s="4"/>
      <c r="N271" s="4"/>
      <c r="O271" s="4"/>
      <c r="P271" s="4"/>
      <c r="Q271" s="4"/>
      <c r="R271" s="4"/>
      <c r="S271" s="4">
        <v>0</v>
      </c>
      <c r="T271" s="4">
        <v>0</v>
      </c>
      <c r="U271" s="4">
        <v>0</v>
      </c>
      <c r="V271" s="4">
        <v>12</v>
      </c>
      <c r="W271" s="4">
        <v>12</v>
      </c>
      <c r="X271" s="4">
        <v>0</v>
      </c>
      <c r="Y271" s="4"/>
      <c r="Z271" s="4">
        <v>473.19</v>
      </c>
      <c r="AA271" s="4">
        <v>500</v>
      </c>
      <c r="AB271" s="18"/>
      <c r="AC271" s="18">
        <v>5</v>
      </c>
      <c r="AD271" s="28"/>
      <c r="AE271" s="26"/>
      <c r="AF271" s="28"/>
    </row>
    <row r="272" spans="1:32" ht="12.6" customHeight="1" x14ac:dyDescent="0.25">
      <c r="A272" s="14">
        <v>45685</v>
      </c>
      <c r="B272" s="14" t="s">
        <v>45</v>
      </c>
      <c r="C272" s="15">
        <v>1</v>
      </c>
      <c r="D272" s="16"/>
      <c r="E272" s="16"/>
      <c r="F272" s="17"/>
      <c r="G272" s="21"/>
      <c r="H272" s="21"/>
      <c r="I272" s="4">
        <v>0</v>
      </c>
      <c r="J272" s="4">
        <v>0</v>
      </c>
      <c r="K272" s="4"/>
      <c r="L272" s="16"/>
      <c r="M272" s="4"/>
      <c r="N272" s="4"/>
      <c r="O272" s="4"/>
      <c r="P272" s="4"/>
      <c r="Q272" s="4"/>
      <c r="R272" s="4"/>
      <c r="S272" s="4">
        <v>0</v>
      </c>
      <c r="T272" s="4">
        <v>0</v>
      </c>
      <c r="U272" s="4">
        <v>0</v>
      </c>
      <c r="V272" s="4">
        <v>12</v>
      </c>
      <c r="W272" s="4">
        <v>12</v>
      </c>
      <c r="X272" s="4">
        <v>15</v>
      </c>
      <c r="Y272" s="4">
        <v>2103</v>
      </c>
      <c r="Z272" s="4">
        <v>163.81</v>
      </c>
      <c r="AA272" s="4">
        <v>150</v>
      </c>
      <c r="AB272" s="18">
        <v>398</v>
      </c>
      <c r="AC272" s="18">
        <v>5</v>
      </c>
      <c r="AD272" s="28"/>
      <c r="AE272" s="26"/>
      <c r="AF272" s="28"/>
    </row>
    <row r="273" spans="1:32" ht="12.6" customHeight="1" x14ac:dyDescent="0.25">
      <c r="A273" s="14">
        <v>45685</v>
      </c>
      <c r="B273" s="14" t="s">
        <v>46</v>
      </c>
      <c r="C273" s="15">
        <v>1</v>
      </c>
      <c r="D273" s="16"/>
      <c r="E273" s="16"/>
      <c r="F273" s="17"/>
      <c r="G273" s="21"/>
      <c r="H273" s="21"/>
      <c r="I273" s="4">
        <v>0</v>
      </c>
      <c r="J273" s="4">
        <v>0</v>
      </c>
      <c r="K273" s="4"/>
      <c r="L273" s="16"/>
      <c r="M273" s="4"/>
      <c r="N273" s="4"/>
      <c r="O273" s="4"/>
      <c r="P273" s="4"/>
      <c r="Q273" s="4"/>
      <c r="R273" s="4"/>
      <c r="S273" s="4">
        <v>0</v>
      </c>
      <c r="T273" s="4">
        <v>0</v>
      </c>
      <c r="U273" s="4">
        <v>0</v>
      </c>
      <c r="V273" s="4">
        <v>12</v>
      </c>
      <c r="W273" s="4">
        <v>12</v>
      </c>
      <c r="X273" s="4">
        <v>45</v>
      </c>
      <c r="Y273" s="4"/>
      <c r="Z273" s="4">
        <v>187.37999999999997</v>
      </c>
      <c r="AA273" s="4">
        <v>200</v>
      </c>
      <c r="AB273" s="18"/>
      <c r="AC273" s="18">
        <v>5</v>
      </c>
      <c r="AD273" s="28"/>
      <c r="AE273" s="26"/>
      <c r="AF273" s="28"/>
    </row>
    <row r="274" spans="1:32" ht="12.6" customHeight="1" x14ac:dyDescent="0.25">
      <c r="A274" s="14">
        <v>45685</v>
      </c>
      <c r="B274" s="14" t="s">
        <v>45</v>
      </c>
      <c r="C274" s="15">
        <v>2</v>
      </c>
      <c r="D274" s="16"/>
      <c r="E274" s="16"/>
      <c r="F274" s="17"/>
      <c r="G274" s="21"/>
      <c r="H274" s="21"/>
      <c r="I274" s="4">
        <v>0</v>
      </c>
      <c r="J274" s="4">
        <v>0</v>
      </c>
      <c r="K274" s="4"/>
      <c r="L274" s="16"/>
      <c r="M274" s="4"/>
      <c r="N274" s="4"/>
      <c r="O274" s="4"/>
      <c r="P274" s="4"/>
      <c r="Q274" s="4"/>
      <c r="R274" s="4"/>
      <c r="S274" s="4">
        <v>0</v>
      </c>
      <c r="T274" s="4">
        <v>0</v>
      </c>
      <c r="U274" s="4">
        <v>0</v>
      </c>
      <c r="V274" s="4">
        <v>12</v>
      </c>
      <c r="W274" s="4">
        <v>12</v>
      </c>
      <c r="X274" s="4">
        <v>0</v>
      </c>
      <c r="Y274" s="4"/>
      <c r="Z274" s="4">
        <v>190.34000000000003</v>
      </c>
      <c r="AA274" s="4">
        <v>200</v>
      </c>
      <c r="AB274" s="18"/>
      <c r="AC274" s="18">
        <v>5</v>
      </c>
      <c r="AD274" s="28"/>
      <c r="AE274" s="26"/>
      <c r="AF274" s="28"/>
    </row>
    <row r="275" spans="1:32" ht="12.6" customHeight="1" x14ac:dyDescent="0.25">
      <c r="A275" s="14">
        <v>45685</v>
      </c>
      <c r="B275" s="14" t="s">
        <v>46</v>
      </c>
      <c r="C275" s="15">
        <v>2</v>
      </c>
      <c r="D275" s="16"/>
      <c r="E275" s="16"/>
      <c r="F275" s="17"/>
      <c r="G275" s="21"/>
      <c r="H275" s="21"/>
      <c r="I275" s="4">
        <v>0</v>
      </c>
      <c r="J275" s="4">
        <v>0</v>
      </c>
      <c r="K275" s="4"/>
      <c r="L275" s="16"/>
      <c r="M275" s="4"/>
      <c r="N275" s="4"/>
      <c r="O275" s="4"/>
      <c r="P275" s="4"/>
      <c r="Q275" s="4"/>
      <c r="R275" s="4"/>
      <c r="S275" s="4">
        <v>0</v>
      </c>
      <c r="T275" s="4">
        <v>0</v>
      </c>
      <c r="U275" s="4">
        <v>0</v>
      </c>
      <c r="V275" s="4">
        <v>12</v>
      </c>
      <c r="W275" s="4">
        <v>12</v>
      </c>
      <c r="X275" s="4">
        <v>0</v>
      </c>
      <c r="Y275" s="4"/>
      <c r="Z275" s="4">
        <v>186.51</v>
      </c>
      <c r="AA275" s="4">
        <v>200</v>
      </c>
      <c r="AB275" s="18"/>
      <c r="AC275" s="18">
        <v>5</v>
      </c>
      <c r="AD275" s="28"/>
      <c r="AE275" s="26"/>
      <c r="AF275" s="28"/>
    </row>
    <row r="276" spans="1:32" ht="12.6" customHeight="1" x14ac:dyDescent="0.25">
      <c r="A276" s="14">
        <v>45685</v>
      </c>
      <c r="B276" s="14" t="s">
        <v>45</v>
      </c>
      <c r="C276" s="15">
        <v>3</v>
      </c>
      <c r="D276" s="16">
        <v>30</v>
      </c>
      <c r="E276" s="16"/>
      <c r="F276" s="17"/>
      <c r="G276" s="21"/>
      <c r="H276" s="21"/>
      <c r="I276" s="4">
        <v>30</v>
      </c>
      <c r="J276" s="4">
        <v>0.5</v>
      </c>
      <c r="K276" s="4"/>
      <c r="L276" s="16"/>
      <c r="M276" s="4"/>
      <c r="N276" s="4"/>
      <c r="O276" s="4"/>
      <c r="P276" s="4"/>
      <c r="Q276" s="4">
        <v>30</v>
      </c>
      <c r="R276" s="4"/>
      <c r="S276" s="4">
        <v>30</v>
      </c>
      <c r="T276" s="4">
        <v>0.5</v>
      </c>
      <c r="U276" s="4">
        <v>1</v>
      </c>
      <c r="V276" s="4">
        <v>11</v>
      </c>
      <c r="W276" s="4">
        <v>12</v>
      </c>
      <c r="X276" s="4">
        <v>0</v>
      </c>
      <c r="Y276" s="4"/>
      <c r="Z276" s="4">
        <v>323.84000000000003</v>
      </c>
      <c r="AA276" s="4">
        <v>350</v>
      </c>
      <c r="AB276" s="18"/>
      <c r="AC276" s="18">
        <v>5</v>
      </c>
      <c r="AD276" s="28"/>
      <c r="AE276" s="26"/>
      <c r="AF276" s="28"/>
    </row>
    <row r="277" spans="1:32" ht="12.6" customHeight="1" x14ac:dyDescent="0.25">
      <c r="A277" s="14">
        <v>45685</v>
      </c>
      <c r="B277" s="14" t="s">
        <v>46</v>
      </c>
      <c r="C277" s="15">
        <v>3</v>
      </c>
      <c r="D277" s="16"/>
      <c r="E277" s="16"/>
      <c r="F277" s="17"/>
      <c r="G277" s="21"/>
      <c r="H277" s="21"/>
      <c r="I277" s="4">
        <v>0</v>
      </c>
      <c r="J277" s="4">
        <v>0</v>
      </c>
      <c r="K277" s="4"/>
      <c r="L277" s="16"/>
      <c r="M277" s="4"/>
      <c r="N277" s="4"/>
      <c r="O277" s="4"/>
      <c r="P277" s="4"/>
      <c r="Q277" s="4"/>
      <c r="R277" s="4"/>
      <c r="S277" s="4">
        <v>0</v>
      </c>
      <c r="T277" s="4">
        <v>0</v>
      </c>
      <c r="U277" s="4">
        <v>0</v>
      </c>
      <c r="V277" s="4">
        <v>12</v>
      </c>
      <c r="W277" s="4">
        <v>12</v>
      </c>
      <c r="X277" s="4">
        <v>0</v>
      </c>
      <c r="Y277" s="4"/>
      <c r="Z277" s="4">
        <v>336.78000000000003</v>
      </c>
      <c r="AA277" s="4">
        <v>350</v>
      </c>
      <c r="AB277" s="18"/>
      <c r="AC277" s="18">
        <v>5</v>
      </c>
      <c r="AD277" s="28"/>
      <c r="AE277" s="26"/>
      <c r="AF277" s="28"/>
    </row>
    <row r="278" spans="1:32" ht="12.6" customHeight="1" x14ac:dyDescent="0.25">
      <c r="A278" s="14">
        <v>45685</v>
      </c>
      <c r="B278" s="14" t="s">
        <v>45</v>
      </c>
      <c r="C278" s="15">
        <v>4</v>
      </c>
      <c r="D278" s="16">
        <v>30</v>
      </c>
      <c r="E278" s="16"/>
      <c r="F278" s="17"/>
      <c r="G278" s="21"/>
      <c r="H278" s="21"/>
      <c r="I278" s="4">
        <v>30</v>
      </c>
      <c r="J278" s="4">
        <v>0.5</v>
      </c>
      <c r="K278" s="4"/>
      <c r="L278" s="16"/>
      <c r="M278" s="4"/>
      <c r="N278" s="4"/>
      <c r="O278" s="4"/>
      <c r="P278" s="4"/>
      <c r="Q278" s="4"/>
      <c r="R278" s="4"/>
      <c r="S278" s="4">
        <v>0</v>
      </c>
      <c r="T278" s="4">
        <v>0</v>
      </c>
      <c r="U278" s="4">
        <v>0.5</v>
      </c>
      <c r="V278" s="4">
        <v>11.5</v>
      </c>
      <c r="W278" s="4">
        <v>12</v>
      </c>
      <c r="X278" s="4">
        <v>0</v>
      </c>
      <c r="Y278" s="4"/>
      <c r="Z278" s="4">
        <v>796.91</v>
      </c>
      <c r="AA278" s="4">
        <v>800</v>
      </c>
      <c r="AB278" s="18"/>
      <c r="AC278" s="18">
        <v>5</v>
      </c>
      <c r="AD278" s="28"/>
      <c r="AE278" s="26"/>
      <c r="AF278" s="28"/>
    </row>
    <row r="279" spans="1:32" ht="12.6" customHeight="1" x14ac:dyDescent="0.25">
      <c r="A279" s="14">
        <v>45685</v>
      </c>
      <c r="B279" s="14" t="s">
        <v>46</v>
      </c>
      <c r="C279" s="15">
        <v>4</v>
      </c>
      <c r="D279" s="16"/>
      <c r="E279" s="16"/>
      <c r="F279" s="17"/>
      <c r="G279" s="21"/>
      <c r="H279" s="21"/>
      <c r="I279" s="4">
        <v>0</v>
      </c>
      <c r="J279" s="4">
        <v>0</v>
      </c>
      <c r="K279" s="4"/>
      <c r="L279" s="16"/>
      <c r="M279" s="4"/>
      <c r="N279" s="4"/>
      <c r="O279" s="4"/>
      <c r="P279" s="4"/>
      <c r="Q279" s="4"/>
      <c r="R279" s="4"/>
      <c r="S279" s="4">
        <v>0</v>
      </c>
      <c r="T279" s="4">
        <v>0</v>
      </c>
      <c r="U279" s="4">
        <v>0</v>
      </c>
      <c r="V279" s="4">
        <v>12</v>
      </c>
      <c r="W279" s="4">
        <v>12</v>
      </c>
      <c r="X279" s="4">
        <v>0</v>
      </c>
      <c r="Y279" s="4"/>
      <c r="Z279" s="4">
        <v>759.8</v>
      </c>
      <c r="AA279" s="4">
        <v>750</v>
      </c>
      <c r="AB279" s="18"/>
      <c r="AC279" s="18">
        <v>5</v>
      </c>
      <c r="AD279" s="28"/>
      <c r="AE279" s="26"/>
      <c r="AF279" s="28"/>
    </row>
    <row r="280" spans="1:32" ht="12.6" customHeight="1" x14ac:dyDescent="0.25">
      <c r="A280" s="14">
        <v>45685</v>
      </c>
      <c r="B280" s="14" t="s">
        <v>45</v>
      </c>
      <c r="C280" s="15">
        <v>5</v>
      </c>
      <c r="D280" s="16"/>
      <c r="E280" s="16"/>
      <c r="F280" s="17"/>
      <c r="G280" s="21"/>
      <c r="H280" s="21"/>
      <c r="I280" s="4">
        <v>0</v>
      </c>
      <c r="J280" s="4">
        <v>0</v>
      </c>
      <c r="K280" s="4"/>
      <c r="L280" s="16"/>
      <c r="M280" s="4"/>
      <c r="N280" s="4"/>
      <c r="O280" s="4"/>
      <c r="P280" s="4"/>
      <c r="Q280" s="4">
        <v>30</v>
      </c>
      <c r="R280" s="4"/>
      <c r="S280" s="4">
        <v>30</v>
      </c>
      <c r="T280" s="4">
        <v>0.5</v>
      </c>
      <c r="U280" s="4">
        <v>0.5</v>
      </c>
      <c r="V280" s="4">
        <v>11.5</v>
      </c>
      <c r="W280" s="4">
        <v>12</v>
      </c>
      <c r="X280" s="4">
        <v>0</v>
      </c>
      <c r="Y280" s="4"/>
      <c r="Z280" s="4">
        <v>502.03</v>
      </c>
      <c r="AA280" s="4">
        <v>500</v>
      </c>
      <c r="AB280" s="18"/>
      <c r="AC280" s="18">
        <v>5</v>
      </c>
      <c r="AD280" s="28"/>
      <c r="AE280" s="26"/>
      <c r="AF280" s="28"/>
    </row>
    <row r="281" spans="1:32" ht="12.6" customHeight="1" x14ac:dyDescent="0.25">
      <c r="A281" s="14">
        <v>45685</v>
      </c>
      <c r="B281" s="14" t="s">
        <v>46</v>
      </c>
      <c r="C281" s="15">
        <v>5</v>
      </c>
      <c r="D281" s="16"/>
      <c r="E281" s="16"/>
      <c r="F281" s="17"/>
      <c r="G281" s="21"/>
      <c r="H281" s="21"/>
      <c r="I281" s="4">
        <v>0</v>
      </c>
      <c r="J281" s="4">
        <v>0</v>
      </c>
      <c r="K281" s="4"/>
      <c r="L281" s="16"/>
      <c r="M281" s="4"/>
      <c r="N281" s="4"/>
      <c r="O281" s="4"/>
      <c r="P281" s="4"/>
      <c r="Q281" s="4"/>
      <c r="R281" s="4"/>
      <c r="S281" s="4">
        <v>0</v>
      </c>
      <c r="T281" s="4">
        <v>0</v>
      </c>
      <c r="U281" s="4">
        <v>0</v>
      </c>
      <c r="V281" s="4">
        <v>12</v>
      </c>
      <c r="W281" s="4">
        <v>12</v>
      </c>
      <c r="X281" s="4">
        <v>0</v>
      </c>
      <c r="Y281" s="4"/>
      <c r="Z281" s="4">
        <v>521.23</v>
      </c>
      <c r="AA281" s="4">
        <v>500</v>
      </c>
      <c r="AB281" s="18"/>
      <c r="AC281" s="18">
        <v>5</v>
      </c>
      <c r="AD281" s="28"/>
      <c r="AE281" s="26"/>
      <c r="AF281" s="28"/>
    </row>
    <row r="282" spans="1:32" ht="12.6" customHeight="1" x14ac:dyDescent="0.25">
      <c r="A282" s="14">
        <v>45686</v>
      </c>
      <c r="B282" s="14" t="s">
        <v>45</v>
      </c>
      <c r="C282" s="15">
        <v>1</v>
      </c>
      <c r="D282" s="16"/>
      <c r="E282" s="16"/>
      <c r="F282" s="17"/>
      <c r="G282" s="21"/>
      <c r="H282" s="21"/>
      <c r="I282" s="4">
        <v>0</v>
      </c>
      <c r="J282" s="4">
        <v>0</v>
      </c>
      <c r="K282" s="4"/>
      <c r="L282" s="16"/>
      <c r="M282" s="4"/>
      <c r="N282" s="4"/>
      <c r="O282" s="4"/>
      <c r="P282" s="4"/>
      <c r="Q282" s="4"/>
      <c r="R282" s="4"/>
      <c r="S282" s="4">
        <v>0</v>
      </c>
      <c r="T282" s="4">
        <v>0</v>
      </c>
      <c r="U282" s="4">
        <v>0</v>
      </c>
      <c r="V282" s="4">
        <v>12</v>
      </c>
      <c r="W282" s="4">
        <v>12</v>
      </c>
      <c r="X282" s="4">
        <v>38</v>
      </c>
      <c r="Y282" s="4">
        <v>2016</v>
      </c>
      <c r="Z282" s="4">
        <v>104.85000000000001</v>
      </c>
      <c r="AA282" s="4">
        <v>100</v>
      </c>
      <c r="AB282" s="18">
        <v>398</v>
      </c>
      <c r="AC282" s="18">
        <v>5</v>
      </c>
      <c r="AD282" s="28"/>
      <c r="AE282" s="26"/>
      <c r="AF282" s="28"/>
    </row>
    <row r="283" spans="1:32" ht="12.6" customHeight="1" x14ac:dyDescent="0.25">
      <c r="A283" s="14">
        <v>45686</v>
      </c>
      <c r="B283" s="14" t="s">
        <v>46</v>
      </c>
      <c r="C283" s="15">
        <v>1</v>
      </c>
      <c r="D283" s="16">
        <v>15</v>
      </c>
      <c r="E283" s="16"/>
      <c r="F283" s="17"/>
      <c r="G283" s="21"/>
      <c r="H283" s="21"/>
      <c r="I283" s="4">
        <v>15</v>
      </c>
      <c r="J283" s="4">
        <v>0.25</v>
      </c>
      <c r="K283" s="4"/>
      <c r="L283" s="16"/>
      <c r="M283" s="4"/>
      <c r="N283" s="4"/>
      <c r="O283" s="4"/>
      <c r="P283" s="4"/>
      <c r="Q283" s="4"/>
      <c r="R283" s="4"/>
      <c r="S283" s="4">
        <v>0</v>
      </c>
      <c r="T283" s="4">
        <v>0</v>
      </c>
      <c r="U283" s="4">
        <v>0.25</v>
      </c>
      <c r="V283" s="4">
        <v>11.75</v>
      </c>
      <c r="W283" s="4">
        <v>12</v>
      </c>
      <c r="X283" s="4">
        <v>38</v>
      </c>
      <c r="Y283" s="4"/>
      <c r="Z283" s="4">
        <v>145.18</v>
      </c>
      <c r="AA283" s="4">
        <v>150</v>
      </c>
      <c r="AB283" s="18"/>
      <c r="AC283" s="18">
        <v>5</v>
      </c>
      <c r="AD283" s="28"/>
      <c r="AE283" s="26"/>
      <c r="AF283" s="28"/>
    </row>
    <row r="284" spans="1:32" ht="12.6" customHeight="1" x14ac:dyDescent="0.25">
      <c r="A284" s="14">
        <v>45686</v>
      </c>
      <c r="B284" s="14" t="s">
        <v>45</v>
      </c>
      <c r="C284" s="15">
        <v>2</v>
      </c>
      <c r="D284" s="16"/>
      <c r="E284" s="16"/>
      <c r="F284" s="17"/>
      <c r="G284" s="21"/>
      <c r="H284" s="21"/>
      <c r="I284" s="4">
        <v>0</v>
      </c>
      <c r="J284" s="4">
        <v>0</v>
      </c>
      <c r="K284" s="4"/>
      <c r="L284" s="16"/>
      <c r="M284" s="4"/>
      <c r="N284" s="4"/>
      <c r="O284" s="4"/>
      <c r="P284" s="4"/>
      <c r="Q284" s="4"/>
      <c r="R284" s="4"/>
      <c r="S284" s="4">
        <v>0</v>
      </c>
      <c r="T284" s="4">
        <v>0</v>
      </c>
      <c r="U284" s="4">
        <v>0</v>
      </c>
      <c r="V284" s="4">
        <v>12</v>
      </c>
      <c r="W284" s="4">
        <v>12</v>
      </c>
      <c r="X284" s="4">
        <v>0</v>
      </c>
      <c r="Y284" s="4"/>
      <c r="Z284" s="4">
        <v>205.89000000000001</v>
      </c>
      <c r="AA284" s="4">
        <v>200</v>
      </c>
      <c r="AB284" s="18"/>
      <c r="AC284" s="18">
        <v>5</v>
      </c>
      <c r="AD284" s="28"/>
      <c r="AE284" s="26"/>
      <c r="AF284" s="28"/>
    </row>
    <row r="285" spans="1:32" ht="12.6" customHeight="1" x14ac:dyDescent="0.25">
      <c r="A285" s="14">
        <v>45686</v>
      </c>
      <c r="B285" s="14" t="s">
        <v>46</v>
      </c>
      <c r="C285" s="15">
        <v>2</v>
      </c>
      <c r="D285" s="16"/>
      <c r="E285" s="16"/>
      <c r="F285" s="17"/>
      <c r="G285" s="21"/>
      <c r="H285" s="21"/>
      <c r="I285" s="4">
        <v>0</v>
      </c>
      <c r="J285" s="4">
        <v>0</v>
      </c>
      <c r="K285" s="4"/>
      <c r="L285" s="16"/>
      <c r="M285" s="4"/>
      <c r="N285" s="4"/>
      <c r="O285" s="4"/>
      <c r="P285" s="4"/>
      <c r="Q285" s="4"/>
      <c r="R285" s="4"/>
      <c r="S285" s="4">
        <v>0</v>
      </c>
      <c r="T285" s="4">
        <v>0</v>
      </c>
      <c r="U285" s="4">
        <v>0</v>
      </c>
      <c r="V285" s="4">
        <v>12</v>
      </c>
      <c r="W285" s="4">
        <v>12</v>
      </c>
      <c r="X285" s="4">
        <v>0</v>
      </c>
      <c r="Y285" s="4"/>
      <c r="Z285" s="4">
        <v>202.03</v>
      </c>
      <c r="AA285" s="4">
        <v>200</v>
      </c>
      <c r="AB285" s="18"/>
      <c r="AC285" s="18">
        <v>5</v>
      </c>
      <c r="AD285" s="28"/>
      <c r="AE285" s="26"/>
      <c r="AF285" s="28"/>
    </row>
    <row r="286" spans="1:32" ht="12.6" customHeight="1" x14ac:dyDescent="0.25">
      <c r="A286" s="14">
        <v>45686</v>
      </c>
      <c r="B286" s="14" t="s">
        <v>45</v>
      </c>
      <c r="C286" s="15">
        <v>3</v>
      </c>
      <c r="D286" s="16"/>
      <c r="E286" s="16"/>
      <c r="F286" s="17"/>
      <c r="G286" s="21"/>
      <c r="H286" s="21"/>
      <c r="I286" s="4">
        <v>0</v>
      </c>
      <c r="J286" s="4">
        <v>0</v>
      </c>
      <c r="K286" s="4"/>
      <c r="L286" s="16"/>
      <c r="M286" s="4"/>
      <c r="N286" s="4"/>
      <c r="O286" s="4"/>
      <c r="P286" s="4"/>
      <c r="Q286" s="4"/>
      <c r="R286" s="4"/>
      <c r="S286" s="4">
        <v>0</v>
      </c>
      <c r="T286" s="4">
        <v>0</v>
      </c>
      <c r="U286" s="4">
        <v>0</v>
      </c>
      <c r="V286" s="4">
        <v>12</v>
      </c>
      <c r="W286" s="4">
        <v>12</v>
      </c>
      <c r="X286" s="4">
        <v>0</v>
      </c>
      <c r="Y286" s="4"/>
      <c r="Z286" s="4">
        <v>323.56</v>
      </c>
      <c r="AA286" s="4">
        <v>350</v>
      </c>
      <c r="AB286" s="18"/>
      <c r="AC286" s="18">
        <v>5</v>
      </c>
      <c r="AD286" s="28"/>
      <c r="AE286" s="26"/>
      <c r="AF286" s="28"/>
    </row>
    <row r="287" spans="1:32" ht="12.6" customHeight="1" x14ac:dyDescent="0.25">
      <c r="A287" s="14">
        <v>45686</v>
      </c>
      <c r="B287" s="14" t="s">
        <v>46</v>
      </c>
      <c r="C287" s="15">
        <v>3</v>
      </c>
      <c r="D287" s="16"/>
      <c r="E287" s="16"/>
      <c r="F287" s="17"/>
      <c r="G287" s="21"/>
      <c r="H287" s="21"/>
      <c r="I287" s="4">
        <v>0</v>
      </c>
      <c r="J287" s="4">
        <v>0</v>
      </c>
      <c r="K287" s="4"/>
      <c r="L287" s="16"/>
      <c r="M287" s="4"/>
      <c r="N287" s="4"/>
      <c r="O287" s="4"/>
      <c r="P287" s="4"/>
      <c r="Q287" s="4"/>
      <c r="R287" s="4"/>
      <c r="S287" s="4">
        <v>0</v>
      </c>
      <c r="T287" s="4">
        <v>0</v>
      </c>
      <c r="U287" s="4">
        <v>0</v>
      </c>
      <c r="V287" s="4">
        <v>12</v>
      </c>
      <c r="W287" s="4">
        <v>12</v>
      </c>
      <c r="X287" s="4">
        <v>0</v>
      </c>
      <c r="Y287" s="4"/>
      <c r="Z287" s="4">
        <v>346.02</v>
      </c>
      <c r="AA287" s="4">
        <v>400</v>
      </c>
      <c r="AB287" s="18"/>
      <c r="AC287" s="18">
        <v>5</v>
      </c>
      <c r="AD287" s="28"/>
      <c r="AE287" s="26"/>
      <c r="AF287" s="28"/>
    </row>
    <row r="288" spans="1:32" ht="12.6" customHeight="1" x14ac:dyDescent="0.25">
      <c r="A288" s="14">
        <v>45686</v>
      </c>
      <c r="B288" s="14" t="s">
        <v>45</v>
      </c>
      <c r="C288" s="15">
        <v>4</v>
      </c>
      <c r="D288" s="16"/>
      <c r="E288" s="16"/>
      <c r="F288" s="17"/>
      <c r="G288" s="21"/>
      <c r="H288" s="21"/>
      <c r="I288" s="4">
        <v>0</v>
      </c>
      <c r="J288" s="4">
        <v>0</v>
      </c>
      <c r="K288" s="4"/>
      <c r="L288" s="16"/>
      <c r="M288" s="4"/>
      <c r="N288" s="4"/>
      <c r="O288" s="4"/>
      <c r="P288" s="4"/>
      <c r="Q288" s="4">
        <v>270</v>
      </c>
      <c r="R288" s="4"/>
      <c r="S288" s="4">
        <v>270</v>
      </c>
      <c r="T288" s="4">
        <v>4.5</v>
      </c>
      <c r="U288" s="4">
        <v>4.5</v>
      </c>
      <c r="V288" s="4">
        <v>7.5</v>
      </c>
      <c r="W288" s="4">
        <v>12</v>
      </c>
      <c r="X288" s="4">
        <v>0</v>
      </c>
      <c r="Y288" s="4"/>
      <c r="Z288" s="4">
        <v>684.39</v>
      </c>
      <c r="AA288" s="4">
        <v>700</v>
      </c>
      <c r="AB288" s="18"/>
      <c r="AC288" s="18">
        <v>5</v>
      </c>
      <c r="AD288" s="28"/>
      <c r="AE288" s="26"/>
      <c r="AF288" s="28"/>
    </row>
    <row r="289" spans="1:32" ht="12.6" customHeight="1" x14ac:dyDescent="0.25">
      <c r="A289" s="14">
        <v>45686</v>
      </c>
      <c r="B289" s="14" t="s">
        <v>46</v>
      </c>
      <c r="C289" s="15">
        <v>4</v>
      </c>
      <c r="D289" s="16"/>
      <c r="E289" s="16"/>
      <c r="F289" s="17"/>
      <c r="G289" s="21"/>
      <c r="H289" s="21"/>
      <c r="I289" s="4">
        <v>0</v>
      </c>
      <c r="J289" s="4">
        <v>0</v>
      </c>
      <c r="K289" s="4"/>
      <c r="L289" s="16"/>
      <c r="M289" s="4"/>
      <c r="N289" s="4"/>
      <c r="O289" s="4"/>
      <c r="P289" s="4"/>
      <c r="Q289" s="4"/>
      <c r="R289" s="4"/>
      <c r="S289" s="4">
        <v>0</v>
      </c>
      <c r="T289" s="4">
        <v>0</v>
      </c>
      <c r="U289" s="4">
        <v>0</v>
      </c>
      <c r="V289" s="4">
        <v>12</v>
      </c>
      <c r="W289" s="4">
        <v>12</v>
      </c>
      <c r="X289" s="4">
        <v>0</v>
      </c>
      <c r="Y289" s="4"/>
      <c r="Z289" s="4">
        <v>834.77</v>
      </c>
      <c r="AA289" s="4">
        <v>850</v>
      </c>
      <c r="AB289" s="18"/>
      <c r="AC289" s="18">
        <v>5</v>
      </c>
      <c r="AD289" s="28"/>
      <c r="AE289" s="26"/>
      <c r="AF289" s="28"/>
    </row>
    <row r="290" spans="1:32" ht="12.6" customHeight="1" x14ac:dyDescent="0.25">
      <c r="A290" s="14">
        <v>45686</v>
      </c>
      <c r="B290" s="14" t="s">
        <v>45</v>
      </c>
      <c r="C290" s="15">
        <v>5</v>
      </c>
      <c r="D290" s="16"/>
      <c r="E290" s="16"/>
      <c r="F290" s="17"/>
      <c r="G290" s="21"/>
      <c r="H290" s="21"/>
      <c r="I290" s="4">
        <v>0</v>
      </c>
      <c r="J290" s="4">
        <v>0</v>
      </c>
      <c r="K290" s="4"/>
      <c r="L290" s="16">
        <v>20</v>
      </c>
      <c r="M290" s="4"/>
      <c r="N290" s="4"/>
      <c r="O290" s="4"/>
      <c r="P290" s="4"/>
      <c r="Q290" s="4">
        <v>300</v>
      </c>
      <c r="R290" s="4"/>
      <c r="S290" s="4">
        <v>320</v>
      </c>
      <c r="T290" s="4">
        <v>5.333333333333333</v>
      </c>
      <c r="U290" s="4">
        <v>5.333333333333333</v>
      </c>
      <c r="V290" s="4">
        <v>6.666666666666667</v>
      </c>
      <c r="W290" s="4">
        <v>12</v>
      </c>
      <c r="X290" s="4">
        <v>0</v>
      </c>
      <c r="Y290" s="4"/>
      <c r="Z290" s="4">
        <v>421.29999999999995</v>
      </c>
      <c r="AA290" s="4">
        <v>450</v>
      </c>
      <c r="AB290" s="18"/>
      <c r="AC290" s="18">
        <v>5</v>
      </c>
      <c r="AD290" s="28"/>
      <c r="AE290" s="26"/>
      <c r="AF290" s="28"/>
    </row>
    <row r="291" spans="1:32" ht="12.6" customHeight="1" x14ac:dyDescent="0.25">
      <c r="A291" s="14">
        <v>45686</v>
      </c>
      <c r="B291" s="14" t="s">
        <v>46</v>
      </c>
      <c r="C291" s="15">
        <v>5</v>
      </c>
      <c r="D291" s="16"/>
      <c r="E291" s="16"/>
      <c r="F291" s="17"/>
      <c r="G291" s="21"/>
      <c r="H291" s="21"/>
      <c r="I291" s="4">
        <v>0</v>
      </c>
      <c r="J291" s="4">
        <v>0</v>
      </c>
      <c r="K291" s="4"/>
      <c r="L291" s="16"/>
      <c r="M291" s="4"/>
      <c r="N291" s="4"/>
      <c r="O291" s="4"/>
      <c r="P291" s="4"/>
      <c r="Q291" s="4"/>
      <c r="R291" s="4"/>
      <c r="S291" s="4">
        <v>0</v>
      </c>
      <c r="T291" s="4">
        <v>0</v>
      </c>
      <c r="U291" s="4">
        <v>0</v>
      </c>
      <c r="V291" s="4">
        <v>12</v>
      </c>
      <c r="W291" s="4">
        <v>12</v>
      </c>
      <c r="X291" s="4">
        <v>0</v>
      </c>
      <c r="Y291" s="4"/>
      <c r="Z291" s="4">
        <v>478.31</v>
      </c>
      <c r="AA291" s="4">
        <v>550</v>
      </c>
      <c r="AB291" s="18"/>
      <c r="AC291" s="18">
        <v>5</v>
      </c>
      <c r="AD291" s="28"/>
      <c r="AE291" s="26"/>
      <c r="AF291" s="28"/>
    </row>
    <row r="292" spans="1:32" ht="12.6" customHeight="1" x14ac:dyDescent="0.25">
      <c r="A292" s="14">
        <v>45687</v>
      </c>
      <c r="B292" s="14" t="s">
        <v>45</v>
      </c>
      <c r="C292" s="15">
        <v>1</v>
      </c>
      <c r="D292" s="16"/>
      <c r="E292" s="16"/>
      <c r="F292" s="17"/>
      <c r="G292" s="21"/>
      <c r="H292" s="21"/>
      <c r="I292" s="4">
        <v>0</v>
      </c>
      <c r="J292" s="4">
        <v>0</v>
      </c>
      <c r="K292" s="4"/>
      <c r="L292" s="16"/>
      <c r="M292" s="4"/>
      <c r="N292" s="4"/>
      <c r="O292" s="4"/>
      <c r="P292" s="4"/>
      <c r="Q292" s="4"/>
      <c r="R292" s="4"/>
      <c r="S292" s="4">
        <v>0</v>
      </c>
      <c r="T292" s="4">
        <v>0</v>
      </c>
      <c r="U292" s="4">
        <v>0</v>
      </c>
      <c r="V292" s="4">
        <v>12</v>
      </c>
      <c r="W292" s="4">
        <v>12</v>
      </c>
      <c r="X292" s="4">
        <v>45</v>
      </c>
      <c r="Y292" s="4">
        <v>2110</v>
      </c>
      <c r="Z292" s="4">
        <v>133.03</v>
      </c>
      <c r="AA292" s="4">
        <v>130</v>
      </c>
      <c r="AB292" s="18">
        <v>398</v>
      </c>
      <c r="AC292" s="18">
        <v>5</v>
      </c>
      <c r="AD292" s="28"/>
      <c r="AE292" s="26"/>
      <c r="AF292" s="28"/>
    </row>
    <row r="293" spans="1:32" ht="12.6" customHeight="1" x14ac:dyDescent="0.25">
      <c r="A293" s="14">
        <v>45687</v>
      </c>
      <c r="B293" s="14" t="s">
        <v>46</v>
      </c>
      <c r="C293" s="15">
        <v>1</v>
      </c>
      <c r="D293" s="16"/>
      <c r="E293" s="16"/>
      <c r="F293" s="17"/>
      <c r="G293" s="21"/>
      <c r="H293" s="21"/>
      <c r="I293" s="4">
        <v>0</v>
      </c>
      <c r="J293" s="4">
        <v>0</v>
      </c>
      <c r="K293" s="4"/>
      <c r="L293" s="16"/>
      <c r="M293" s="4"/>
      <c r="N293" s="4"/>
      <c r="O293" s="4"/>
      <c r="P293" s="4"/>
      <c r="Q293" s="4"/>
      <c r="R293" s="4"/>
      <c r="S293" s="4">
        <v>0</v>
      </c>
      <c r="T293" s="4">
        <v>0</v>
      </c>
      <c r="U293" s="4">
        <v>0</v>
      </c>
      <c r="V293" s="4">
        <v>12</v>
      </c>
      <c r="W293" s="4">
        <v>12</v>
      </c>
      <c r="X293" s="4">
        <v>45</v>
      </c>
      <c r="Y293" s="4"/>
      <c r="Z293" s="4">
        <v>135.09</v>
      </c>
      <c r="AA293" s="4">
        <v>150</v>
      </c>
      <c r="AB293" s="18"/>
      <c r="AC293" s="18">
        <v>5</v>
      </c>
      <c r="AD293" s="28"/>
      <c r="AE293" s="26"/>
      <c r="AF293" s="28"/>
    </row>
    <row r="294" spans="1:32" ht="12.6" customHeight="1" x14ac:dyDescent="0.25">
      <c r="A294" s="14">
        <v>45687</v>
      </c>
      <c r="B294" s="14" t="s">
        <v>45</v>
      </c>
      <c r="C294" s="15">
        <v>2</v>
      </c>
      <c r="D294" s="16"/>
      <c r="E294" s="16"/>
      <c r="F294" s="17"/>
      <c r="G294" s="21"/>
      <c r="H294" s="21"/>
      <c r="I294" s="4">
        <v>0</v>
      </c>
      <c r="J294" s="4">
        <v>0</v>
      </c>
      <c r="K294" s="4"/>
      <c r="L294" s="16"/>
      <c r="M294" s="4"/>
      <c r="N294" s="4"/>
      <c r="O294" s="4"/>
      <c r="P294" s="4"/>
      <c r="Q294" s="4"/>
      <c r="R294" s="4"/>
      <c r="S294" s="4">
        <v>0</v>
      </c>
      <c r="T294" s="4">
        <v>0</v>
      </c>
      <c r="U294" s="4">
        <v>0</v>
      </c>
      <c r="V294" s="4">
        <v>12</v>
      </c>
      <c r="W294" s="4">
        <v>12</v>
      </c>
      <c r="X294" s="4">
        <v>0</v>
      </c>
      <c r="Y294" s="4"/>
      <c r="Z294" s="4">
        <v>194.35999999999999</v>
      </c>
      <c r="AA294" s="4">
        <v>200</v>
      </c>
      <c r="AB294" s="18"/>
      <c r="AC294" s="18">
        <v>5</v>
      </c>
      <c r="AD294" s="28"/>
      <c r="AE294" s="26"/>
      <c r="AF294" s="28"/>
    </row>
    <row r="295" spans="1:32" ht="12.6" customHeight="1" x14ac:dyDescent="0.25">
      <c r="A295" s="14">
        <v>45687</v>
      </c>
      <c r="B295" s="14" t="s">
        <v>46</v>
      </c>
      <c r="C295" s="15">
        <v>2</v>
      </c>
      <c r="D295" s="16"/>
      <c r="E295" s="16"/>
      <c r="F295" s="17"/>
      <c r="G295" s="21"/>
      <c r="H295" s="21"/>
      <c r="I295" s="4">
        <v>0</v>
      </c>
      <c r="J295" s="4">
        <v>0</v>
      </c>
      <c r="K295" s="4"/>
      <c r="L295" s="16"/>
      <c r="M295" s="4"/>
      <c r="N295" s="4"/>
      <c r="O295" s="4"/>
      <c r="P295" s="4"/>
      <c r="Q295" s="4"/>
      <c r="R295" s="4"/>
      <c r="S295" s="4">
        <v>0</v>
      </c>
      <c r="T295" s="4">
        <v>0</v>
      </c>
      <c r="U295" s="4">
        <v>0</v>
      </c>
      <c r="V295" s="4">
        <v>12</v>
      </c>
      <c r="W295" s="4">
        <v>12</v>
      </c>
      <c r="X295" s="4">
        <v>0</v>
      </c>
      <c r="Y295" s="4"/>
      <c r="Z295" s="4">
        <v>204.21</v>
      </c>
      <c r="AA295" s="4">
        <v>200</v>
      </c>
      <c r="AB295" s="18"/>
      <c r="AC295" s="18">
        <v>5</v>
      </c>
      <c r="AD295" s="28"/>
      <c r="AE295" s="26"/>
      <c r="AF295" s="28"/>
    </row>
    <row r="296" spans="1:32" ht="12.6" customHeight="1" x14ac:dyDescent="0.25">
      <c r="A296" s="14">
        <v>45687</v>
      </c>
      <c r="B296" s="14" t="s">
        <v>45</v>
      </c>
      <c r="C296" s="15">
        <v>3</v>
      </c>
      <c r="D296" s="16"/>
      <c r="E296" s="16"/>
      <c r="F296" s="17"/>
      <c r="G296" s="21"/>
      <c r="H296" s="21"/>
      <c r="I296" s="4">
        <v>0</v>
      </c>
      <c r="J296" s="4">
        <v>0</v>
      </c>
      <c r="K296" s="4"/>
      <c r="L296" s="16"/>
      <c r="M296" s="4">
        <v>140</v>
      </c>
      <c r="N296" s="4"/>
      <c r="O296" s="4"/>
      <c r="P296" s="4"/>
      <c r="Q296" s="4"/>
      <c r="R296" s="4"/>
      <c r="S296" s="4">
        <v>140</v>
      </c>
      <c r="T296" s="4">
        <v>2.3333333333333335</v>
      </c>
      <c r="U296" s="4">
        <v>2.3333333333333335</v>
      </c>
      <c r="V296" s="4">
        <v>9.6666666666666661</v>
      </c>
      <c r="W296" s="4">
        <v>12</v>
      </c>
      <c r="X296" s="4">
        <v>0</v>
      </c>
      <c r="Y296" s="4"/>
      <c r="Z296" s="4">
        <v>281.63</v>
      </c>
      <c r="AA296" s="4">
        <v>350</v>
      </c>
      <c r="AB296" s="18"/>
      <c r="AC296" s="18">
        <v>5</v>
      </c>
      <c r="AD296" s="28"/>
      <c r="AE296" s="26"/>
      <c r="AF296" s="28"/>
    </row>
    <row r="297" spans="1:32" ht="12.6" customHeight="1" x14ac:dyDescent="0.25">
      <c r="A297" s="14">
        <v>45687</v>
      </c>
      <c r="B297" s="14" t="s">
        <v>46</v>
      </c>
      <c r="C297" s="15">
        <v>3</v>
      </c>
      <c r="D297" s="16"/>
      <c r="E297" s="16"/>
      <c r="F297" s="17"/>
      <c r="G297" s="21"/>
      <c r="H297" s="21"/>
      <c r="I297" s="4">
        <v>0</v>
      </c>
      <c r="J297" s="4">
        <v>0</v>
      </c>
      <c r="K297" s="4"/>
      <c r="L297" s="16"/>
      <c r="M297" s="4"/>
      <c r="N297" s="4"/>
      <c r="O297" s="4"/>
      <c r="P297" s="4"/>
      <c r="Q297" s="4"/>
      <c r="R297" s="4"/>
      <c r="S297" s="4">
        <v>0</v>
      </c>
      <c r="T297" s="4">
        <v>0</v>
      </c>
      <c r="U297" s="4">
        <v>0</v>
      </c>
      <c r="V297" s="4">
        <v>12</v>
      </c>
      <c r="W297" s="4">
        <v>12</v>
      </c>
      <c r="X297" s="4">
        <v>0</v>
      </c>
      <c r="Y297" s="4"/>
      <c r="Z297" s="4">
        <v>353.36</v>
      </c>
      <c r="AA297" s="4">
        <v>350</v>
      </c>
      <c r="AB297" s="18"/>
      <c r="AC297" s="18">
        <v>5</v>
      </c>
      <c r="AD297" s="28"/>
      <c r="AE297" s="26"/>
      <c r="AF297" s="28"/>
    </row>
    <row r="298" spans="1:32" ht="12.6" customHeight="1" x14ac:dyDescent="0.25">
      <c r="A298" s="14">
        <v>45687</v>
      </c>
      <c r="B298" s="14" t="s">
        <v>45</v>
      </c>
      <c r="C298" s="15">
        <v>4</v>
      </c>
      <c r="D298" s="16">
        <v>25</v>
      </c>
      <c r="E298" s="16"/>
      <c r="F298" s="17"/>
      <c r="G298" s="21"/>
      <c r="H298" s="21"/>
      <c r="I298" s="4">
        <v>25</v>
      </c>
      <c r="J298" s="4">
        <v>0.41666666666666669</v>
      </c>
      <c r="K298" s="4"/>
      <c r="L298" s="16"/>
      <c r="M298" s="4">
        <v>120</v>
      </c>
      <c r="N298" s="4"/>
      <c r="O298" s="4"/>
      <c r="P298" s="4"/>
      <c r="Q298" s="4"/>
      <c r="R298" s="4"/>
      <c r="S298" s="4">
        <v>120</v>
      </c>
      <c r="T298" s="4">
        <v>2</v>
      </c>
      <c r="U298" s="4">
        <v>2.4166666666666665</v>
      </c>
      <c r="V298" s="4">
        <v>9.5833333333333339</v>
      </c>
      <c r="W298" s="4">
        <v>12</v>
      </c>
      <c r="X298" s="4">
        <v>0</v>
      </c>
      <c r="Y298" s="4"/>
      <c r="Z298" s="4">
        <v>827.2600000000001</v>
      </c>
      <c r="AA298" s="4">
        <v>900</v>
      </c>
      <c r="AB298" s="18"/>
      <c r="AC298" s="18">
        <v>5</v>
      </c>
      <c r="AD298" s="28"/>
      <c r="AE298" s="26"/>
      <c r="AF298" s="28"/>
    </row>
    <row r="299" spans="1:32" ht="12.6" customHeight="1" x14ac:dyDescent="0.25">
      <c r="A299" s="14">
        <v>45687</v>
      </c>
      <c r="B299" s="14" t="s">
        <v>46</v>
      </c>
      <c r="C299" s="15">
        <v>4</v>
      </c>
      <c r="D299" s="16"/>
      <c r="E299" s="16"/>
      <c r="F299" s="17"/>
      <c r="G299" s="21"/>
      <c r="H299" s="21"/>
      <c r="I299" s="4">
        <v>0</v>
      </c>
      <c r="J299" s="4">
        <v>0</v>
      </c>
      <c r="K299" s="4"/>
      <c r="L299" s="16"/>
      <c r="M299" s="4"/>
      <c r="N299" s="4"/>
      <c r="O299" s="4"/>
      <c r="P299" s="4"/>
      <c r="Q299" s="4"/>
      <c r="R299" s="4"/>
      <c r="S299" s="4">
        <v>0</v>
      </c>
      <c r="T299" s="4">
        <v>0</v>
      </c>
      <c r="U299" s="4">
        <v>0</v>
      </c>
      <c r="V299" s="4">
        <v>12</v>
      </c>
      <c r="W299" s="4">
        <v>12</v>
      </c>
      <c r="X299" s="4">
        <v>0</v>
      </c>
      <c r="Y299" s="4"/>
      <c r="Z299" s="4">
        <v>791.56999999999994</v>
      </c>
      <c r="AA299" s="4">
        <v>800</v>
      </c>
      <c r="AB299" s="18"/>
      <c r="AC299" s="18">
        <v>5</v>
      </c>
      <c r="AD299" s="28"/>
      <c r="AE299" s="26"/>
      <c r="AF299" s="28"/>
    </row>
    <row r="300" spans="1:32" ht="12.6" customHeight="1" x14ac:dyDescent="0.25">
      <c r="A300" s="14">
        <v>45687</v>
      </c>
      <c r="B300" s="14" t="s">
        <v>45</v>
      </c>
      <c r="C300" s="15">
        <v>5</v>
      </c>
      <c r="D300" s="16">
        <v>25</v>
      </c>
      <c r="E300" s="16"/>
      <c r="F300" s="17"/>
      <c r="G300" s="21"/>
      <c r="H300" s="21"/>
      <c r="I300" s="4">
        <v>25</v>
      </c>
      <c r="J300" s="4">
        <v>0.41666666666666669</v>
      </c>
      <c r="K300" s="4"/>
      <c r="L300" s="16"/>
      <c r="M300" s="4"/>
      <c r="N300" s="4"/>
      <c r="O300" s="4"/>
      <c r="P300" s="4"/>
      <c r="Q300" s="4"/>
      <c r="R300" s="4"/>
      <c r="S300" s="4">
        <v>0</v>
      </c>
      <c r="T300" s="4">
        <v>0</v>
      </c>
      <c r="U300" s="4">
        <v>0.41666666666666669</v>
      </c>
      <c r="V300" s="4">
        <v>11.583333333333334</v>
      </c>
      <c r="W300" s="4">
        <v>12</v>
      </c>
      <c r="X300" s="4">
        <v>0</v>
      </c>
      <c r="Y300" s="4"/>
      <c r="Z300" s="4">
        <v>541.43499999999995</v>
      </c>
      <c r="AA300" s="4">
        <v>600</v>
      </c>
      <c r="AB300" s="18"/>
      <c r="AC300" s="18">
        <v>5</v>
      </c>
      <c r="AD300" s="28"/>
      <c r="AE300" s="26"/>
      <c r="AF300" s="28"/>
    </row>
    <row r="301" spans="1:32" ht="12.6" customHeight="1" x14ac:dyDescent="0.25">
      <c r="A301" s="14">
        <v>45687</v>
      </c>
      <c r="B301" s="14" t="s">
        <v>46</v>
      </c>
      <c r="C301" s="15">
        <v>5</v>
      </c>
      <c r="D301" s="16"/>
      <c r="E301" s="16"/>
      <c r="F301" s="17"/>
      <c r="G301" s="21"/>
      <c r="H301" s="21"/>
      <c r="I301" s="4">
        <v>0</v>
      </c>
      <c r="J301" s="4">
        <v>0</v>
      </c>
      <c r="K301" s="4"/>
      <c r="L301" s="16"/>
      <c r="M301" s="4"/>
      <c r="N301" s="4"/>
      <c r="O301" s="4"/>
      <c r="P301" s="4"/>
      <c r="Q301" s="4"/>
      <c r="R301" s="4"/>
      <c r="S301" s="4">
        <v>0</v>
      </c>
      <c r="T301" s="4">
        <v>0</v>
      </c>
      <c r="U301" s="4">
        <v>0</v>
      </c>
      <c r="V301" s="4">
        <v>12</v>
      </c>
      <c r="W301" s="4">
        <v>12</v>
      </c>
      <c r="X301" s="4">
        <v>0</v>
      </c>
      <c r="Y301" s="4"/>
      <c r="Z301" s="4">
        <v>536.91</v>
      </c>
      <c r="AA301" s="4">
        <v>600</v>
      </c>
      <c r="AB301" s="18"/>
      <c r="AC301" s="18">
        <v>5</v>
      </c>
      <c r="AD301" s="28"/>
      <c r="AE301" s="26"/>
      <c r="AF301" s="28"/>
    </row>
    <row r="302" spans="1:32" ht="12.6" customHeight="1" x14ac:dyDescent="0.25">
      <c r="A302" s="14">
        <v>45688</v>
      </c>
      <c r="B302" s="14" t="s">
        <v>45</v>
      </c>
      <c r="C302" s="15">
        <v>1</v>
      </c>
      <c r="D302" s="16"/>
      <c r="E302" s="16"/>
      <c r="F302" s="17"/>
      <c r="G302" s="21"/>
      <c r="H302" s="21"/>
      <c r="I302" s="4">
        <v>0</v>
      </c>
      <c r="J302" s="4">
        <v>0</v>
      </c>
      <c r="K302" s="4"/>
      <c r="L302" s="16"/>
      <c r="M302" s="4"/>
      <c r="N302" s="4"/>
      <c r="O302" s="4"/>
      <c r="P302" s="4"/>
      <c r="Q302" s="4"/>
      <c r="R302" s="4"/>
      <c r="S302" s="4">
        <v>0</v>
      </c>
      <c r="T302" s="4">
        <v>0</v>
      </c>
      <c r="U302" s="4">
        <v>0</v>
      </c>
      <c r="V302" s="4">
        <v>12</v>
      </c>
      <c r="W302" s="4">
        <v>12</v>
      </c>
      <c r="X302" s="4">
        <v>35</v>
      </c>
      <c r="Y302" s="4">
        <v>2163</v>
      </c>
      <c r="Z302" s="4">
        <v>185.58999999999997</v>
      </c>
      <c r="AA302" s="4">
        <v>150</v>
      </c>
      <c r="AB302" s="18">
        <v>398</v>
      </c>
      <c r="AC302" s="18">
        <v>5</v>
      </c>
      <c r="AD302" s="28"/>
      <c r="AE302" s="26"/>
      <c r="AF302" s="28"/>
    </row>
    <row r="303" spans="1:32" ht="12.6" customHeight="1" x14ac:dyDescent="0.25">
      <c r="A303" s="14">
        <v>45688</v>
      </c>
      <c r="B303" s="14" t="s">
        <v>46</v>
      </c>
      <c r="C303" s="15">
        <v>1</v>
      </c>
      <c r="D303" s="16"/>
      <c r="E303" s="16"/>
      <c r="F303" s="17"/>
      <c r="G303" s="21"/>
      <c r="H303" s="21"/>
      <c r="I303" s="4">
        <v>0</v>
      </c>
      <c r="J303" s="4">
        <v>0</v>
      </c>
      <c r="K303" s="4"/>
      <c r="L303" s="16"/>
      <c r="M303" s="4"/>
      <c r="N303" s="4"/>
      <c r="O303" s="4"/>
      <c r="P303" s="4"/>
      <c r="Q303" s="4"/>
      <c r="R303" s="4"/>
      <c r="S303" s="4">
        <v>0</v>
      </c>
      <c r="T303" s="4">
        <v>0</v>
      </c>
      <c r="U303" s="4">
        <v>0</v>
      </c>
      <c r="V303" s="4">
        <v>12</v>
      </c>
      <c r="W303" s="4">
        <v>12</v>
      </c>
      <c r="X303" s="4">
        <v>35</v>
      </c>
      <c r="Y303" s="4"/>
      <c r="Z303" s="4">
        <v>170.67000000000002</v>
      </c>
      <c r="AA303" s="4">
        <v>200</v>
      </c>
      <c r="AB303" s="18"/>
      <c r="AC303" s="18">
        <v>5</v>
      </c>
      <c r="AD303" s="28"/>
      <c r="AE303" s="26"/>
      <c r="AF303" s="28"/>
    </row>
    <row r="304" spans="1:32" ht="12.6" customHeight="1" x14ac:dyDescent="0.25">
      <c r="A304" s="14">
        <v>45688</v>
      </c>
      <c r="B304" s="14" t="s">
        <v>45</v>
      </c>
      <c r="C304" s="15">
        <v>2</v>
      </c>
      <c r="D304" s="16"/>
      <c r="E304" s="16"/>
      <c r="F304" s="17"/>
      <c r="G304" s="21"/>
      <c r="H304" s="21"/>
      <c r="I304" s="4">
        <v>0</v>
      </c>
      <c r="J304" s="4">
        <v>0</v>
      </c>
      <c r="K304" s="4"/>
      <c r="L304" s="16"/>
      <c r="M304" s="4"/>
      <c r="N304" s="4"/>
      <c r="O304" s="4"/>
      <c r="P304" s="4"/>
      <c r="Q304" s="4"/>
      <c r="R304" s="4"/>
      <c r="S304" s="4">
        <v>0</v>
      </c>
      <c r="T304" s="4">
        <v>0</v>
      </c>
      <c r="U304" s="4">
        <v>0</v>
      </c>
      <c r="V304" s="4">
        <v>12</v>
      </c>
      <c r="W304" s="4">
        <v>12</v>
      </c>
      <c r="X304" s="4">
        <v>0</v>
      </c>
      <c r="Y304" s="4"/>
      <c r="Z304" s="4">
        <v>200.22</v>
      </c>
      <c r="AA304" s="4">
        <v>200</v>
      </c>
      <c r="AB304" s="18"/>
      <c r="AC304" s="18">
        <v>5</v>
      </c>
      <c r="AD304" s="28"/>
      <c r="AE304" s="26"/>
      <c r="AF304" s="28"/>
    </row>
    <row r="305" spans="1:32" ht="12.6" customHeight="1" x14ac:dyDescent="0.25">
      <c r="A305" s="14">
        <v>45688</v>
      </c>
      <c r="B305" s="14" t="s">
        <v>46</v>
      </c>
      <c r="C305" s="15">
        <v>2</v>
      </c>
      <c r="D305" s="16"/>
      <c r="E305" s="16"/>
      <c r="F305" s="17"/>
      <c r="G305" s="21"/>
      <c r="H305" s="21"/>
      <c r="I305" s="4">
        <v>0</v>
      </c>
      <c r="J305" s="4">
        <v>0</v>
      </c>
      <c r="K305" s="4"/>
      <c r="L305" s="16"/>
      <c r="M305" s="4"/>
      <c r="N305" s="4"/>
      <c r="O305" s="4"/>
      <c r="P305" s="4"/>
      <c r="Q305" s="4"/>
      <c r="R305" s="4"/>
      <c r="S305" s="4">
        <v>0</v>
      </c>
      <c r="T305" s="4">
        <v>0</v>
      </c>
      <c r="U305" s="4">
        <v>0</v>
      </c>
      <c r="V305" s="4">
        <v>12</v>
      </c>
      <c r="W305" s="4">
        <v>12</v>
      </c>
      <c r="X305" s="4">
        <v>0</v>
      </c>
      <c r="Y305" s="4"/>
      <c r="Z305" s="4">
        <v>200.56</v>
      </c>
      <c r="AA305" s="4">
        <v>200</v>
      </c>
      <c r="AB305" s="18"/>
      <c r="AC305" s="18">
        <v>5</v>
      </c>
      <c r="AD305" s="28"/>
      <c r="AE305" s="26"/>
      <c r="AF305" s="28"/>
    </row>
    <row r="306" spans="1:32" ht="12.6" customHeight="1" x14ac:dyDescent="0.25">
      <c r="A306" s="14">
        <v>45688</v>
      </c>
      <c r="B306" s="14" t="s">
        <v>45</v>
      </c>
      <c r="C306" s="15">
        <v>3</v>
      </c>
      <c r="D306" s="16"/>
      <c r="E306" s="16"/>
      <c r="F306" s="17"/>
      <c r="G306" s="21"/>
      <c r="H306" s="21"/>
      <c r="I306" s="4">
        <v>0</v>
      </c>
      <c r="J306" s="4">
        <v>0</v>
      </c>
      <c r="K306" s="4"/>
      <c r="L306" s="16"/>
      <c r="M306" s="4"/>
      <c r="N306" s="4"/>
      <c r="O306" s="4"/>
      <c r="P306" s="4"/>
      <c r="Q306" s="4"/>
      <c r="R306" s="4"/>
      <c r="S306" s="4">
        <v>0</v>
      </c>
      <c r="T306" s="4">
        <v>0</v>
      </c>
      <c r="U306" s="4">
        <v>0</v>
      </c>
      <c r="V306" s="4">
        <v>12</v>
      </c>
      <c r="W306" s="4">
        <v>12</v>
      </c>
      <c r="X306" s="4">
        <v>0</v>
      </c>
      <c r="Y306" s="4"/>
      <c r="Z306" s="4">
        <v>334.37</v>
      </c>
      <c r="AA306" s="4">
        <v>330</v>
      </c>
      <c r="AB306" s="18"/>
      <c r="AC306" s="18">
        <v>5</v>
      </c>
      <c r="AD306" s="28"/>
      <c r="AE306" s="26"/>
      <c r="AF306" s="28"/>
    </row>
    <row r="307" spans="1:32" ht="12.6" customHeight="1" x14ac:dyDescent="0.25">
      <c r="A307" s="14">
        <v>45688</v>
      </c>
      <c r="B307" s="14" t="s">
        <v>46</v>
      </c>
      <c r="C307" s="15">
        <v>3</v>
      </c>
      <c r="D307" s="16"/>
      <c r="E307" s="16"/>
      <c r="F307" s="17"/>
      <c r="G307" s="21"/>
      <c r="H307" s="21"/>
      <c r="I307" s="4">
        <v>0</v>
      </c>
      <c r="J307" s="4">
        <v>0</v>
      </c>
      <c r="K307" s="4"/>
      <c r="L307" s="16"/>
      <c r="M307" s="4"/>
      <c r="N307" s="4"/>
      <c r="O307" s="4"/>
      <c r="P307" s="4"/>
      <c r="Q307" s="4"/>
      <c r="R307" s="4"/>
      <c r="S307" s="4">
        <v>0</v>
      </c>
      <c r="T307" s="4">
        <v>0</v>
      </c>
      <c r="U307" s="4">
        <v>0</v>
      </c>
      <c r="V307" s="4">
        <v>12</v>
      </c>
      <c r="W307" s="4">
        <v>12</v>
      </c>
      <c r="X307" s="4">
        <v>0</v>
      </c>
      <c r="Y307" s="4"/>
      <c r="Z307" s="4">
        <v>320.78999999999996</v>
      </c>
      <c r="AA307" s="4">
        <v>320</v>
      </c>
      <c r="AB307" s="18"/>
      <c r="AC307" s="18">
        <v>5</v>
      </c>
      <c r="AD307" s="28"/>
      <c r="AE307" s="26"/>
      <c r="AF307" s="28"/>
    </row>
    <row r="308" spans="1:32" ht="12.6" customHeight="1" x14ac:dyDescent="0.25">
      <c r="A308" s="14">
        <v>45688</v>
      </c>
      <c r="B308" s="14" t="s">
        <v>45</v>
      </c>
      <c r="C308" s="15">
        <v>4</v>
      </c>
      <c r="D308" s="16"/>
      <c r="E308" s="16"/>
      <c r="F308" s="17"/>
      <c r="G308" s="21"/>
      <c r="H308" s="21"/>
      <c r="I308" s="4">
        <v>0</v>
      </c>
      <c r="J308" s="4">
        <v>0</v>
      </c>
      <c r="K308" s="4"/>
      <c r="L308" s="16"/>
      <c r="M308" s="4"/>
      <c r="N308" s="4"/>
      <c r="O308" s="4"/>
      <c r="P308" s="4"/>
      <c r="Q308" s="4"/>
      <c r="R308" s="4"/>
      <c r="S308" s="4">
        <v>0</v>
      </c>
      <c r="T308" s="4">
        <v>0</v>
      </c>
      <c r="U308" s="4">
        <v>0</v>
      </c>
      <c r="V308" s="4">
        <v>12</v>
      </c>
      <c r="W308" s="4">
        <v>12</v>
      </c>
      <c r="X308" s="4">
        <v>0</v>
      </c>
      <c r="Y308" s="4"/>
      <c r="Z308" s="4">
        <v>822.31999999999994</v>
      </c>
      <c r="AA308" s="4">
        <v>850</v>
      </c>
      <c r="AB308" s="18"/>
      <c r="AC308" s="18">
        <v>5</v>
      </c>
      <c r="AD308" s="28"/>
      <c r="AE308" s="26"/>
      <c r="AF308" s="28"/>
    </row>
    <row r="309" spans="1:32" ht="12.6" customHeight="1" x14ac:dyDescent="0.25">
      <c r="A309" s="14">
        <v>45688</v>
      </c>
      <c r="B309" s="14" t="s">
        <v>46</v>
      </c>
      <c r="C309" s="15">
        <v>4</v>
      </c>
      <c r="D309" s="16">
        <v>30</v>
      </c>
      <c r="E309" s="16"/>
      <c r="F309" s="17"/>
      <c r="G309" s="21"/>
      <c r="H309" s="21"/>
      <c r="I309" s="4">
        <v>30</v>
      </c>
      <c r="J309" s="4">
        <v>0.5</v>
      </c>
      <c r="K309" s="4"/>
      <c r="L309" s="16"/>
      <c r="M309" s="4"/>
      <c r="N309" s="4"/>
      <c r="O309" s="4"/>
      <c r="P309" s="4"/>
      <c r="Q309" s="4"/>
      <c r="R309" s="4"/>
      <c r="S309" s="4">
        <v>0</v>
      </c>
      <c r="T309" s="4">
        <v>0</v>
      </c>
      <c r="U309" s="4">
        <v>0.5</v>
      </c>
      <c r="V309" s="4">
        <v>11.5</v>
      </c>
      <c r="W309" s="4">
        <v>12</v>
      </c>
      <c r="X309" s="4">
        <v>0</v>
      </c>
      <c r="Y309" s="4"/>
      <c r="Z309" s="4">
        <v>849.89</v>
      </c>
      <c r="AA309" s="4">
        <v>850</v>
      </c>
      <c r="AB309" s="18"/>
      <c r="AC309" s="18">
        <v>5</v>
      </c>
      <c r="AD309" s="28"/>
      <c r="AE309" s="26"/>
      <c r="AF309" s="28"/>
    </row>
    <row r="310" spans="1:32" ht="12.6" customHeight="1" x14ac:dyDescent="0.25">
      <c r="A310" s="14">
        <v>45688</v>
      </c>
      <c r="B310" s="14" t="s">
        <v>45</v>
      </c>
      <c r="C310" s="15">
        <v>5</v>
      </c>
      <c r="D310" s="16"/>
      <c r="E310" s="16"/>
      <c r="F310" s="17"/>
      <c r="G310" s="21"/>
      <c r="H310" s="21"/>
      <c r="I310" s="4">
        <v>0</v>
      </c>
      <c r="J310" s="4">
        <v>0</v>
      </c>
      <c r="K310" s="4"/>
      <c r="L310" s="16"/>
      <c r="M310" s="4"/>
      <c r="N310" s="4"/>
      <c r="O310" s="4"/>
      <c r="P310" s="4"/>
      <c r="Q310" s="4"/>
      <c r="R310" s="4"/>
      <c r="S310" s="4">
        <v>0</v>
      </c>
      <c r="T310" s="4">
        <v>0</v>
      </c>
      <c r="U310" s="4">
        <v>0</v>
      </c>
      <c r="V310" s="4">
        <v>12</v>
      </c>
      <c r="W310" s="4">
        <v>12</v>
      </c>
      <c r="X310" s="4">
        <v>0</v>
      </c>
      <c r="Y310" s="4"/>
      <c r="Z310" s="4">
        <v>595.49</v>
      </c>
      <c r="AA310" s="4">
        <v>600</v>
      </c>
      <c r="AB310" s="18"/>
      <c r="AC310" s="18">
        <v>5</v>
      </c>
      <c r="AD310" s="28"/>
      <c r="AE310" s="26"/>
      <c r="AF310" s="28"/>
    </row>
    <row r="311" spans="1:32" ht="12.6" customHeight="1" x14ac:dyDescent="0.25">
      <c r="A311" s="14">
        <v>45688</v>
      </c>
      <c r="B311" s="14" t="s">
        <v>46</v>
      </c>
      <c r="C311" s="15">
        <v>5</v>
      </c>
      <c r="D311" s="16"/>
      <c r="E311" s="16"/>
      <c r="F311" s="17"/>
      <c r="G311" s="21"/>
      <c r="H311" s="21"/>
      <c r="I311" s="4">
        <v>0</v>
      </c>
      <c r="J311" s="4">
        <v>0</v>
      </c>
      <c r="K311" s="4"/>
      <c r="L311" s="16"/>
      <c r="M311" s="4"/>
      <c r="N311" s="4"/>
      <c r="O311" s="4"/>
      <c r="P311" s="4"/>
      <c r="Q311" s="4"/>
      <c r="R311" s="4"/>
      <c r="S311" s="4">
        <v>0</v>
      </c>
      <c r="T311" s="4">
        <v>0</v>
      </c>
      <c r="U311" s="4">
        <v>0</v>
      </c>
      <c r="V311" s="4">
        <v>12</v>
      </c>
      <c r="W311" s="4">
        <v>12</v>
      </c>
      <c r="X311" s="4">
        <v>0</v>
      </c>
      <c r="Y311" s="4"/>
      <c r="Z311" s="4">
        <v>584.76</v>
      </c>
      <c r="AA311" s="4">
        <v>600</v>
      </c>
      <c r="AB311" s="18"/>
      <c r="AC311" s="18">
        <v>5</v>
      </c>
      <c r="AD311" s="28"/>
      <c r="AE311" s="26"/>
      <c r="AF311" s="28"/>
    </row>
    <row r="312" spans="1:32" ht="12.6" customHeight="1" x14ac:dyDescent="0.25">
      <c r="A312" s="14">
        <v>45689</v>
      </c>
      <c r="B312" s="14" t="s">
        <v>45</v>
      </c>
      <c r="C312" s="15">
        <v>1</v>
      </c>
      <c r="D312" s="16"/>
      <c r="E312" s="16"/>
      <c r="F312" s="17"/>
      <c r="G312" s="21"/>
      <c r="H312" s="21"/>
      <c r="I312" s="4">
        <v>0</v>
      </c>
      <c r="J312" s="4">
        <v>0</v>
      </c>
      <c r="K312" s="4"/>
      <c r="L312" s="16"/>
      <c r="M312" s="4"/>
      <c r="N312" s="4"/>
      <c r="O312" s="4"/>
      <c r="P312" s="4"/>
      <c r="Q312" s="4"/>
      <c r="R312" s="4"/>
      <c r="S312" s="4">
        <v>0</v>
      </c>
      <c r="T312" s="4">
        <v>0</v>
      </c>
      <c r="U312" s="4">
        <v>0</v>
      </c>
      <c r="V312" s="4">
        <v>12</v>
      </c>
      <c r="W312" s="4">
        <v>12</v>
      </c>
      <c r="X312" s="4">
        <v>45</v>
      </c>
      <c r="Y312" s="4">
        <v>1739</v>
      </c>
      <c r="Z312" s="4">
        <v>137.55000000000001</v>
      </c>
      <c r="AA312" s="4">
        <v>130</v>
      </c>
      <c r="AB312" s="18">
        <v>398</v>
      </c>
      <c r="AC312" s="18">
        <v>5</v>
      </c>
      <c r="AD312" s="28"/>
      <c r="AE312" s="26"/>
      <c r="AF312" s="28"/>
    </row>
    <row r="313" spans="1:32" ht="12.6" customHeight="1" x14ac:dyDescent="0.25">
      <c r="A313" s="14">
        <v>45689</v>
      </c>
      <c r="B313" s="14" t="s">
        <v>46</v>
      </c>
      <c r="C313" s="15">
        <v>1</v>
      </c>
      <c r="D313" s="16"/>
      <c r="E313" s="16"/>
      <c r="F313" s="17"/>
      <c r="G313" s="21"/>
      <c r="H313" s="21"/>
      <c r="I313" s="4">
        <v>0</v>
      </c>
      <c r="J313" s="4">
        <v>0</v>
      </c>
      <c r="K313" s="4"/>
      <c r="L313" s="16"/>
      <c r="M313" s="4"/>
      <c r="N313" s="4"/>
      <c r="O313" s="4"/>
      <c r="P313" s="4"/>
      <c r="Q313" s="4"/>
      <c r="R313" s="4"/>
      <c r="S313" s="4">
        <v>0</v>
      </c>
      <c r="T313" s="4">
        <v>0</v>
      </c>
      <c r="U313" s="4">
        <v>0</v>
      </c>
      <c r="V313" s="4">
        <v>12</v>
      </c>
      <c r="W313" s="4">
        <v>12</v>
      </c>
      <c r="X313" s="4">
        <v>45</v>
      </c>
      <c r="Y313" s="4"/>
      <c r="Z313" s="4">
        <v>122.34</v>
      </c>
      <c r="AA313" s="4">
        <v>150</v>
      </c>
      <c r="AB313" s="18"/>
      <c r="AC313" s="18">
        <v>5</v>
      </c>
      <c r="AD313" s="28"/>
      <c r="AE313" s="26"/>
      <c r="AF313" s="28"/>
    </row>
    <row r="314" spans="1:32" ht="12.6" customHeight="1" x14ac:dyDescent="0.25">
      <c r="A314" s="14">
        <v>45689</v>
      </c>
      <c r="B314" s="14" t="s">
        <v>45</v>
      </c>
      <c r="C314" s="15">
        <v>2</v>
      </c>
      <c r="D314" s="16"/>
      <c r="E314" s="16"/>
      <c r="F314" s="17"/>
      <c r="G314" s="21"/>
      <c r="H314" s="21"/>
      <c r="I314" s="4">
        <v>0</v>
      </c>
      <c r="J314" s="4">
        <v>0</v>
      </c>
      <c r="K314" s="4"/>
      <c r="L314" s="16"/>
      <c r="M314" s="4"/>
      <c r="N314" s="4"/>
      <c r="O314" s="4"/>
      <c r="P314" s="4"/>
      <c r="Q314" s="4"/>
      <c r="R314" s="4"/>
      <c r="S314" s="4">
        <v>0</v>
      </c>
      <c r="T314" s="4">
        <v>0</v>
      </c>
      <c r="U314" s="4">
        <v>0</v>
      </c>
      <c r="V314" s="4">
        <v>12</v>
      </c>
      <c r="W314" s="4">
        <v>12</v>
      </c>
      <c r="X314" s="4">
        <v>0</v>
      </c>
      <c r="Y314" s="4"/>
      <c r="Z314" s="4">
        <v>141.43</v>
      </c>
      <c r="AA314" s="4">
        <v>150</v>
      </c>
      <c r="AB314" s="18"/>
      <c r="AC314" s="18">
        <v>5</v>
      </c>
      <c r="AD314" s="28"/>
      <c r="AE314" s="26"/>
      <c r="AF314" s="28"/>
    </row>
    <row r="315" spans="1:32" ht="12.6" customHeight="1" x14ac:dyDescent="0.25">
      <c r="A315" s="14">
        <v>45689</v>
      </c>
      <c r="B315" s="14" t="s">
        <v>46</v>
      </c>
      <c r="C315" s="15">
        <v>2</v>
      </c>
      <c r="D315" s="16"/>
      <c r="E315" s="16"/>
      <c r="F315" s="17"/>
      <c r="G315" s="21"/>
      <c r="H315" s="21"/>
      <c r="I315" s="4">
        <v>0</v>
      </c>
      <c r="J315" s="4">
        <v>0</v>
      </c>
      <c r="K315" s="4"/>
      <c r="L315" s="16"/>
      <c r="M315" s="4"/>
      <c r="N315" s="4"/>
      <c r="O315" s="4"/>
      <c r="P315" s="4"/>
      <c r="Q315" s="4"/>
      <c r="R315" s="4"/>
      <c r="S315" s="4">
        <v>0</v>
      </c>
      <c r="T315" s="4">
        <v>0</v>
      </c>
      <c r="U315" s="4">
        <v>0</v>
      </c>
      <c r="V315" s="4">
        <v>12</v>
      </c>
      <c r="W315" s="4">
        <v>12</v>
      </c>
      <c r="X315" s="4">
        <v>0</v>
      </c>
      <c r="Y315" s="4"/>
      <c r="Z315" s="4">
        <v>142.31</v>
      </c>
      <c r="AA315" s="4">
        <v>150</v>
      </c>
      <c r="AB315" s="18"/>
      <c r="AC315" s="18">
        <v>5</v>
      </c>
      <c r="AD315" s="28"/>
      <c r="AE315" s="26"/>
      <c r="AF315" s="28"/>
    </row>
    <row r="316" spans="1:32" ht="12.6" customHeight="1" x14ac:dyDescent="0.25">
      <c r="A316" s="14">
        <v>45689</v>
      </c>
      <c r="B316" s="14" t="s">
        <v>45</v>
      </c>
      <c r="C316" s="15">
        <v>3</v>
      </c>
      <c r="D316" s="16"/>
      <c r="E316" s="16"/>
      <c r="F316" s="17"/>
      <c r="G316" s="21"/>
      <c r="H316" s="21"/>
      <c r="I316" s="4">
        <v>0</v>
      </c>
      <c r="J316" s="4">
        <v>0</v>
      </c>
      <c r="K316" s="4"/>
      <c r="L316" s="16"/>
      <c r="M316" s="4"/>
      <c r="N316" s="4"/>
      <c r="O316" s="4"/>
      <c r="P316" s="4"/>
      <c r="Q316" s="4"/>
      <c r="R316" s="4"/>
      <c r="S316" s="4">
        <v>0</v>
      </c>
      <c r="T316" s="4">
        <v>0</v>
      </c>
      <c r="U316" s="4">
        <v>0</v>
      </c>
      <c r="V316" s="4">
        <v>12</v>
      </c>
      <c r="W316" s="4">
        <v>12</v>
      </c>
      <c r="X316" s="4">
        <v>0</v>
      </c>
      <c r="Y316" s="4"/>
      <c r="Z316" s="4">
        <v>329.77000000000004</v>
      </c>
      <c r="AA316" s="4">
        <v>350</v>
      </c>
      <c r="AB316" s="18"/>
      <c r="AC316" s="18">
        <v>5</v>
      </c>
      <c r="AD316" s="28"/>
      <c r="AE316" s="26"/>
      <c r="AF316" s="28"/>
    </row>
    <row r="317" spans="1:32" ht="12.6" customHeight="1" x14ac:dyDescent="0.25">
      <c r="A317" s="14">
        <v>45689</v>
      </c>
      <c r="B317" s="14" t="s">
        <v>46</v>
      </c>
      <c r="C317" s="15">
        <v>3</v>
      </c>
      <c r="D317" s="16"/>
      <c r="E317" s="16"/>
      <c r="F317" s="17"/>
      <c r="G317" s="21"/>
      <c r="H317" s="21"/>
      <c r="I317" s="4">
        <v>0</v>
      </c>
      <c r="J317" s="4">
        <v>0</v>
      </c>
      <c r="K317" s="4"/>
      <c r="L317" s="16"/>
      <c r="M317" s="4"/>
      <c r="N317" s="4"/>
      <c r="O317" s="4"/>
      <c r="P317" s="4"/>
      <c r="Q317" s="4"/>
      <c r="R317" s="4"/>
      <c r="S317" s="4">
        <v>0</v>
      </c>
      <c r="T317" s="4">
        <v>0</v>
      </c>
      <c r="U317" s="4">
        <v>0</v>
      </c>
      <c r="V317" s="4">
        <v>12</v>
      </c>
      <c r="W317" s="4">
        <v>12</v>
      </c>
      <c r="X317" s="4">
        <v>0</v>
      </c>
      <c r="Y317" s="4"/>
      <c r="Z317" s="4">
        <v>223.90999999999997</v>
      </c>
      <c r="AA317" s="4">
        <v>250</v>
      </c>
      <c r="AB317" s="18"/>
      <c r="AC317" s="18">
        <v>5</v>
      </c>
      <c r="AD317" s="28"/>
      <c r="AE317" s="26"/>
      <c r="AF317" s="28"/>
    </row>
    <row r="318" spans="1:32" ht="12.6" customHeight="1" x14ac:dyDescent="0.25">
      <c r="A318" s="14">
        <v>45689</v>
      </c>
      <c r="B318" s="14" t="s">
        <v>45</v>
      </c>
      <c r="C318" s="15">
        <v>4</v>
      </c>
      <c r="D318" s="16"/>
      <c r="E318" s="16"/>
      <c r="F318" s="17"/>
      <c r="G318" s="21"/>
      <c r="H318" s="21"/>
      <c r="I318" s="4">
        <v>0</v>
      </c>
      <c r="J318" s="4">
        <v>0</v>
      </c>
      <c r="K318" s="4"/>
      <c r="L318" s="16"/>
      <c r="M318" s="4"/>
      <c r="N318" s="4"/>
      <c r="O318" s="4"/>
      <c r="P318" s="4"/>
      <c r="Q318" s="4"/>
      <c r="R318" s="4"/>
      <c r="S318" s="4">
        <v>0</v>
      </c>
      <c r="T318" s="4">
        <v>0</v>
      </c>
      <c r="U318" s="4">
        <v>0</v>
      </c>
      <c r="V318" s="4">
        <v>12</v>
      </c>
      <c r="W318" s="4">
        <v>12</v>
      </c>
      <c r="X318" s="4">
        <v>0</v>
      </c>
      <c r="Y318" s="4"/>
      <c r="Z318" s="4">
        <v>855.62999999999988</v>
      </c>
      <c r="AA318" s="4">
        <v>850</v>
      </c>
      <c r="AB318" s="18"/>
      <c r="AC318" s="18">
        <v>5</v>
      </c>
      <c r="AD318" s="28"/>
      <c r="AE318" s="26"/>
      <c r="AF318" s="28"/>
    </row>
    <row r="319" spans="1:32" ht="12.6" customHeight="1" x14ac:dyDescent="0.25">
      <c r="A319" s="14">
        <v>45689</v>
      </c>
      <c r="B319" s="14" t="s">
        <v>46</v>
      </c>
      <c r="C319" s="15">
        <v>4</v>
      </c>
      <c r="D319" s="16"/>
      <c r="E319" s="16"/>
      <c r="F319" s="17"/>
      <c r="G319" s="21"/>
      <c r="H319" s="21"/>
      <c r="I319" s="4">
        <v>0</v>
      </c>
      <c r="J319" s="4">
        <v>0</v>
      </c>
      <c r="K319" s="4"/>
      <c r="L319" s="16"/>
      <c r="M319" s="4"/>
      <c r="N319" s="4"/>
      <c r="O319" s="4"/>
      <c r="P319" s="4"/>
      <c r="Q319" s="4"/>
      <c r="R319" s="4"/>
      <c r="S319" s="4">
        <v>0</v>
      </c>
      <c r="T319" s="4">
        <v>0</v>
      </c>
      <c r="U319" s="4">
        <v>0</v>
      </c>
      <c r="V319" s="4">
        <v>12</v>
      </c>
      <c r="W319" s="4">
        <v>12</v>
      </c>
      <c r="X319" s="4">
        <v>0</v>
      </c>
      <c r="Y319" s="4"/>
      <c r="Z319" s="4">
        <v>589.44000000000005</v>
      </c>
      <c r="AA319" s="4">
        <v>600</v>
      </c>
      <c r="AB319" s="18"/>
      <c r="AC319" s="18">
        <v>5</v>
      </c>
      <c r="AD319" s="28"/>
      <c r="AE319" s="26"/>
      <c r="AF319" s="28"/>
    </row>
    <row r="320" spans="1:32" ht="12.6" customHeight="1" x14ac:dyDescent="0.25">
      <c r="A320" s="14">
        <v>45689</v>
      </c>
      <c r="B320" s="14" t="s">
        <v>45</v>
      </c>
      <c r="C320" s="15">
        <v>5</v>
      </c>
      <c r="D320" s="16"/>
      <c r="E320" s="16"/>
      <c r="F320" s="17"/>
      <c r="G320" s="21"/>
      <c r="H320" s="21"/>
      <c r="I320" s="4">
        <v>0</v>
      </c>
      <c r="J320" s="4">
        <v>0</v>
      </c>
      <c r="K320" s="4"/>
      <c r="L320" s="16"/>
      <c r="M320" s="4"/>
      <c r="N320" s="4"/>
      <c r="O320" s="4"/>
      <c r="P320" s="4"/>
      <c r="Q320" s="4"/>
      <c r="R320" s="4"/>
      <c r="S320" s="4">
        <v>0</v>
      </c>
      <c r="T320" s="4">
        <v>0</v>
      </c>
      <c r="U320" s="4">
        <v>0</v>
      </c>
      <c r="V320" s="4">
        <v>12</v>
      </c>
      <c r="W320" s="4">
        <v>12</v>
      </c>
      <c r="X320" s="4">
        <v>0</v>
      </c>
      <c r="Y320" s="4"/>
      <c r="Z320" s="4">
        <v>626.66</v>
      </c>
      <c r="AA320" s="4">
        <v>650</v>
      </c>
      <c r="AB320" s="18"/>
      <c r="AC320" s="18">
        <v>5</v>
      </c>
      <c r="AD320" s="28"/>
      <c r="AE320" s="26"/>
      <c r="AF320" s="28"/>
    </row>
    <row r="321" spans="1:32" ht="12.6" customHeight="1" x14ac:dyDescent="0.25">
      <c r="A321" s="14">
        <v>45689</v>
      </c>
      <c r="B321" s="14" t="s">
        <v>46</v>
      </c>
      <c r="C321" s="15">
        <v>5</v>
      </c>
      <c r="D321" s="16"/>
      <c r="E321" s="16"/>
      <c r="F321" s="17"/>
      <c r="G321" s="21"/>
      <c r="H321" s="21"/>
      <c r="I321" s="4">
        <v>0</v>
      </c>
      <c r="J321" s="4">
        <v>0</v>
      </c>
      <c r="K321" s="4"/>
      <c r="L321" s="16"/>
      <c r="M321" s="4"/>
      <c r="N321" s="4"/>
      <c r="O321" s="4"/>
      <c r="P321" s="4"/>
      <c r="Q321" s="4"/>
      <c r="R321" s="4"/>
      <c r="S321" s="4">
        <v>0</v>
      </c>
      <c r="T321" s="4">
        <v>0</v>
      </c>
      <c r="U321" s="4">
        <v>0</v>
      </c>
      <c r="V321" s="4">
        <v>12</v>
      </c>
      <c r="W321" s="4">
        <v>12</v>
      </c>
      <c r="X321" s="4">
        <v>0</v>
      </c>
      <c r="Y321" s="4"/>
      <c r="Z321" s="4">
        <v>396.77</v>
      </c>
      <c r="AA321" s="4">
        <v>400</v>
      </c>
      <c r="AB321" s="18"/>
      <c r="AC321" s="18">
        <v>5</v>
      </c>
      <c r="AD321" s="28"/>
      <c r="AE321" s="26"/>
      <c r="AF321" s="28"/>
    </row>
    <row r="322" spans="1:32" ht="12.6" customHeight="1" x14ac:dyDescent="0.25">
      <c r="A322" s="14">
        <v>45691</v>
      </c>
      <c r="B322" s="14" t="s">
        <v>45</v>
      </c>
      <c r="C322" s="15">
        <v>1</v>
      </c>
      <c r="D322" s="16"/>
      <c r="E322" s="16"/>
      <c r="F322" s="17"/>
      <c r="G322" s="21"/>
      <c r="H322" s="21"/>
      <c r="I322" s="4">
        <v>0</v>
      </c>
      <c r="J322" s="4">
        <v>0</v>
      </c>
      <c r="K322" s="4"/>
      <c r="L322" s="16"/>
      <c r="M322" s="4"/>
      <c r="N322" s="4"/>
      <c r="O322" s="4"/>
      <c r="P322" s="4"/>
      <c r="Q322" s="4"/>
      <c r="R322" s="4"/>
      <c r="S322" s="4">
        <v>0</v>
      </c>
      <c r="T322" s="4">
        <v>0</v>
      </c>
      <c r="U322" s="4">
        <v>0</v>
      </c>
      <c r="V322" s="4">
        <v>12</v>
      </c>
      <c r="W322" s="4">
        <v>12</v>
      </c>
      <c r="X322" s="4">
        <v>25</v>
      </c>
      <c r="Y322" s="4">
        <v>1516</v>
      </c>
      <c r="Z322" s="4">
        <v>125.9</v>
      </c>
      <c r="AA322" s="4">
        <v>150</v>
      </c>
      <c r="AB322" s="18">
        <v>398</v>
      </c>
      <c r="AC322" s="18">
        <v>6</v>
      </c>
      <c r="AD322" s="28"/>
      <c r="AE322" s="26"/>
      <c r="AF322" s="28"/>
    </row>
    <row r="323" spans="1:32" ht="12.6" customHeight="1" x14ac:dyDescent="0.25">
      <c r="A323" s="14">
        <v>45691</v>
      </c>
      <c r="B323" s="14" t="s">
        <v>46</v>
      </c>
      <c r="C323" s="15">
        <v>1</v>
      </c>
      <c r="D323" s="16"/>
      <c r="E323" s="16"/>
      <c r="F323" s="17"/>
      <c r="G323" s="21"/>
      <c r="H323" s="21"/>
      <c r="I323" s="4">
        <v>0</v>
      </c>
      <c r="J323" s="4">
        <v>0</v>
      </c>
      <c r="K323" s="4"/>
      <c r="L323" s="16"/>
      <c r="M323" s="4"/>
      <c r="N323" s="4"/>
      <c r="O323" s="4"/>
      <c r="P323" s="4"/>
      <c r="Q323" s="4"/>
      <c r="R323" s="4"/>
      <c r="S323" s="4">
        <v>0</v>
      </c>
      <c r="T323" s="4">
        <v>0</v>
      </c>
      <c r="U323" s="4">
        <v>0</v>
      </c>
      <c r="V323" s="4">
        <v>12</v>
      </c>
      <c r="W323" s="4">
        <v>12</v>
      </c>
      <c r="X323" s="4">
        <v>25</v>
      </c>
      <c r="Y323" s="4"/>
      <c r="Z323" s="4">
        <v>144.44999999999999</v>
      </c>
      <c r="AA323" s="4">
        <v>200</v>
      </c>
      <c r="AB323" s="18"/>
      <c r="AC323" s="18">
        <v>6</v>
      </c>
      <c r="AD323" s="28"/>
      <c r="AE323" s="26"/>
      <c r="AF323" s="28"/>
    </row>
    <row r="324" spans="1:32" ht="12.6" customHeight="1" x14ac:dyDescent="0.25">
      <c r="A324" s="14">
        <v>45691</v>
      </c>
      <c r="B324" s="14" t="s">
        <v>45</v>
      </c>
      <c r="C324" s="15">
        <v>2</v>
      </c>
      <c r="D324" s="16"/>
      <c r="E324" s="16"/>
      <c r="F324" s="17"/>
      <c r="G324" s="21"/>
      <c r="H324" s="21"/>
      <c r="I324" s="4">
        <v>0</v>
      </c>
      <c r="J324" s="4">
        <v>0</v>
      </c>
      <c r="K324" s="4"/>
      <c r="L324" s="16"/>
      <c r="M324" s="4"/>
      <c r="N324" s="4"/>
      <c r="O324" s="4"/>
      <c r="P324" s="4"/>
      <c r="Q324" s="4"/>
      <c r="R324" s="4"/>
      <c r="S324" s="4">
        <v>0</v>
      </c>
      <c r="T324" s="4">
        <v>0</v>
      </c>
      <c r="U324" s="4">
        <v>0</v>
      </c>
      <c r="V324" s="4">
        <v>12</v>
      </c>
      <c r="W324" s="4">
        <v>12</v>
      </c>
      <c r="X324" s="4">
        <v>0</v>
      </c>
      <c r="Y324" s="4"/>
      <c r="Z324" s="4">
        <v>144.57</v>
      </c>
      <c r="AA324" s="4">
        <v>200</v>
      </c>
      <c r="AB324" s="18"/>
      <c r="AC324" s="18">
        <v>6</v>
      </c>
      <c r="AD324" s="28"/>
      <c r="AE324" s="26"/>
      <c r="AF324" s="28"/>
    </row>
    <row r="325" spans="1:32" ht="12.6" customHeight="1" x14ac:dyDescent="0.25">
      <c r="A325" s="14">
        <v>45691</v>
      </c>
      <c r="B325" s="14" t="s">
        <v>46</v>
      </c>
      <c r="C325" s="15">
        <v>2</v>
      </c>
      <c r="D325" s="16"/>
      <c r="E325" s="16"/>
      <c r="F325" s="17"/>
      <c r="G325" s="21"/>
      <c r="H325" s="21"/>
      <c r="I325" s="4">
        <v>0</v>
      </c>
      <c r="J325" s="4">
        <v>0</v>
      </c>
      <c r="K325" s="4"/>
      <c r="L325" s="16"/>
      <c r="M325" s="4"/>
      <c r="N325" s="4"/>
      <c r="O325" s="4"/>
      <c r="P325" s="4"/>
      <c r="Q325" s="4"/>
      <c r="R325" s="4"/>
      <c r="S325" s="4">
        <v>0</v>
      </c>
      <c r="T325" s="4">
        <v>0</v>
      </c>
      <c r="U325" s="4">
        <v>0</v>
      </c>
      <c r="V325" s="4">
        <v>12</v>
      </c>
      <c r="W325" s="4">
        <v>12</v>
      </c>
      <c r="X325" s="4">
        <v>0</v>
      </c>
      <c r="Y325" s="4"/>
      <c r="Z325" s="4">
        <v>169.71</v>
      </c>
      <c r="AA325" s="4">
        <v>200</v>
      </c>
      <c r="AB325" s="18"/>
      <c r="AC325" s="18">
        <v>6</v>
      </c>
      <c r="AD325" s="28"/>
      <c r="AE325" s="26"/>
      <c r="AF325" s="28"/>
    </row>
    <row r="326" spans="1:32" ht="12.6" customHeight="1" x14ac:dyDescent="0.25">
      <c r="A326" s="14">
        <v>45691</v>
      </c>
      <c r="B326" s="14" t="s">
        <v>45</v>
      </c>
      <c r="C326" s="15">
        <v>3</v>
      </c>
      <c r="D326" s="16"/>
      <c r="E326" s="16"/>
      <c r="F326" s="17"/>
      <c r="G326" s="21"/>
      <c r="H326" s="21"/>
      <c r="I326" s="4">
        <v>0</v>
      </c>
      <c r="J326" s="4">
        <v>0</v>
      </c>
      <c r="K326" s="4"/>
      <c r="L326" s="16"/>
      <c r="M326" s="4"/>
      <c r="N326" s="4"/>
      <c r="O326" s="4"/>
      <c r="P326" s="4"/>
      <c r="Q326" s="4"/>
      <c r="R326" s="4"/>
      <c r="S326" s="4">
        <v>0</v>
      </c>
      <c r="T326" s="4">
        <v>0</v>
      </c>
      <c r="U326" s="4">
        <v>0</v>
      </c>
      <c r="V326" s="4">
        <v>12</v>
      </c>
      <c r="W326" s="4">
        <v>12</v>
      </c>
      <c r="X326" s="4">
        <v>0</v>
      </c>
      <c r="Y326" s="4"/>
      <c r="Z326" s="4">
        <v>243.71</v>
      </c>
      <c r="AA326" s="4">
        <v>250</v>
      </c>
      <c r="AB326" s="18"/>
      <c r="AC326" s="18">
        <v>6</v>
      </c>
      <c r="AD326" s="28"/>
      <c r="AE326" s="26"/>
      <c r="AF326" s="28"/>
    </row>
    <row r="327" spans="1:32" ht="12.6" customHeight="1" x14ac:dyDescent="0.25">
      <c r="A327" s="14">
        <v>45691</v>
      </c>
      <c r="B327" s="14" t="s">
        <v>46</v>
      </c>
      <c r="C327" s="15">
        <v>3</v>
      </c>
      <c r="D327" s="16"/>
      <c r="E327" s="16"/>
      <c r="F327" s="17"/>
      <c r="G327" s="21"/>
      <c r="H327" s="21"/>
      <c r="I327" s="4">
        <v>0</v>
      </c>
      <c r="J327" s="4">
        <v>0</v>
      </c>
      <c r="K327" s="4"/>
      <c r="L327" s="16"/>
      <c r="M327" s="4"/>
      <c r="N327" s="4"/>
      <c r="O327" s="4"/>
      <c r="P327" s="4"/>
      <c r="Q327" s="4"/>
      <c r="R327" s="4"/>
      <c r="S327" s="4">
        <v>0</v>
      </c>
      <c r="T327" s="4">
        <v>0</v>
      </c>
      <c r="U327" s="4">
        <v>0</v>
      </c>
      <c r="V327" s="4">
        <v>12</v>
      </c>
      <c r="W327" s="4">
        <v>12</v>
      </c>
      <c r="X327" s="4">
        <v>0</v>
      </c>
      <c r="Y327" s="4"/>
      <c r="Z327" s="4">
        <v>315.40000000000003</v>
      </c>
      <c r="AA327" s="4">
        <v>350</v>
      </c>
      <c r="AB327" s="18"/>
      <c r="AC327" s="18">
        <v>6</v>
      </c>
      <c r="AD327" s="28"/>
      <c r="AE327" s="26"/>
      <c r="AF327" s="28"/>
    </row>
    <row r="328" spans="1:32" ht="12.6" customHeight="1" x14ac:dyDescent="0.25">
      <c r="A328" s="14">
        <v>45691</v>
      </c>
      <c r="B328" s="14" t="s">
        <v>45</v>
      </c>
      <c r="C328" s="15">
        <v>4</v>
      </c>
      <c r="D328" s="16"/>
      <c r="E328" s="16"/>
      <c r="F328" s="17"/>
      <c r="G328" s="21"/>
      <c r="H328" s="21"/>
      <c r="I328" s="4">
        <v>0</v>
      </c>
      <c r="J328" s="4">
        <v>0</v>
      </c>
      <c r="K328" s="4"/>
      <c r="L328" s="16"/>
      <c r="M328" s="4"/>
      <c r="N328" s="4"/>
      <c r="O328" s="4"/>
      <c r="P328" s="4"/>
      <c r="Q328" s="4"/>
      <c r="R328" s="4"/>
      <c r="S328" s="4">
        <v>0</v>
      </c>
      <c r="T328" s="4">
        <v>0</v>
      </c>
      <c r="U328" s="4">
        <v>0</v>
      </c>
      <c r="V328" s="4">
        <v>12</v>
      </c>
      <c r="W328" s="4">
        <v>12</v>
      </c>
      <c r="X328" s="4">
        <v>0</v>
      </c>
      <c r="Y328" s="4"/>
      <c r="Z328" s="4">
        <v>74.89</v>
      </c>
      <c r="AA328" s="4">
        <v>100</v>
      </c>
      <c r="AB328" s="18"/>
      <c r="AC328" s="18">
        <v>6</v>
      </c>
      <c r="AD328" s="28"/>
      <c r="AE328" s="26"/>
      <c r="AF328" s="28"/>
    </row>
    <row r="329" spans="1:32" ht="12.6" customHeight="1" x14ac:dyDescent="0.25">
      <c r="A329" s="14">
        <v>45691</v>
      </c>
      <c r="B329" s="14" t="s">
        <v>46</v>
      </c>
      <c r="C329" s="15">
        <v>4</v>
      </c>
      <c r="D329" s="16"/>
      <c r="E329" s="16"/>
      <c r="F329" s="17"/>
      <c r="G329" s="21"/>
      <c r="H329" s="21"/>
      <c r="I329" s="4">
        <v>0</v>
      </c>
      <c r="J329" s="4">
        <v>0</v>
      </c>
      <c r="K329" s="4"/>
      <c r="L329" s="16"/>
      <c r="M329" s="4"/>
      <c r="N329" s="4"/>
      <c r="O329" s="4"/>
      <c r="P329" s="4"/>
      <c r="Q329" s="4"/>
      <c r="R329" s="4"/>
      <c r="S329" s="4">
        <v>0</v>
      </c>
      <c r="T329" s="4">
        <v>0</v>
      </c>
      <c r="U329" s="4">
        <v>0</v>
      </c>
      <c r="V329" s="4">
        <v>12</v>
      </c>
      <c r="W329" s="4">
        <v>12</v>
      </c>
      <c r="X329" s="4">
        <v>0</v>
      </c>
      <c r="Y329" s="4"/>
      <c r="Z329" s="4">
        <v>145.28</v>
      </c>
      <c r="AA329" s="4">
        <v>150</v>
      </c>
      <c r="AB329" s="18"/>
      <c r="AC329" s="18">
        <v>6</v>
      </c>
      <c r="AD329" s="28"/>
      <c r="AE329" s="26"/>
      <c r="AF329" s="28"/>
    </row>
    <row r="330" spans="1:32" ht="12.6" customHeight="1" x14ac:dyDescent="0.25">
      <c r="A330" s="14">
        <v>45691</v>
      </c>
      <c r="B330" s="14" t="s">
        <v>45</v>
      </c>
      <c r="C330" s="15">
        <v>5</v>
      </c>
      <c r="D330" s="16"/>
      <c r="E330" s="16"/>
      <c r="F330" s="17"/>
      <c r="G330" s="21"/>
      <c r="H330" s="21"/>
      <c r="I330" s="4">
        <v>0</v>
      </c>
      <c r="J330" s="4">
        <v>0</v>
      </c>
      <c r="K330" s="4"/>
      <c r="L330" s="16"/>
      <c r="M330" s="4"/>
      <c r="N330" s="4"/>
      <c r="O330" s="4"/>
      <c r="P330" s="4"/>
      <c r="Q330" s="4"/>
      <c r="R330" s="4"/>
      <c r="S330" s="4">
        <v>0</v>
      </c>
      <c r="T330" s="4">
        <v>0</v>
      </c>
      <c r="U330" s="4">
        <v>0</v>
      </c>
      <c r="V330" s="4">
        <v>12</v>
      </c>
      <c r="W330" s="4">
        <v>12</v>
      </c>
      <c r="X330" s="4">
        <v>0</v>
      </c>
      <c r="Y330" s="4"/>
      <c r="Z330" s="4">
        <v>404.90999999999997</v>
      </c>
      <c r="AA330" s="4">
        <v>450</v>
      </c>
      <c r="AB330" s="18"/>
      <c r="AC330" s="18">
        <v>6</v>
      </c>
      <c r="AD330" s="28"/>
      <c r="AE330" s="26"/>
      <c r="AF330" s="28"/>
    </row>
    <row r="331" spans="1:32" ht="12.6" customHeight="1" x14ac:dyDescent="0.25">
      <c r="A331" s="14">
        <v>45691</v>
      </c>
      <c r="B331" s="14" t="s">
        <v>46</v>
      </c>
      <c r="C331" s="15">
        <v>5</v>
      </c>
      <c r="D331" s="16"/>
      <c r="E331" s="16"/>
      <c r="F331" s="17"/>
      <c r="G331" s="21"/>
      <c r="H331" s="21"/>
      <c r="I331" s="4">
        <v>0</v>
      </c>
      <c r="J331" s="4">
        <v>0</v>
      </c>
      <c r="K331" s="4"/>
      <c r="L331" s="16"/>
      <c r="M331" s="4"/>
      <c r="N331" s="4"/>
      <c r="O331" s="4"/>
      <c r="P331" s="4"/>
      <c r="Q331" s="4"/>
      <c r="R331" s="4"/>
      <c r="S331" s="4">
        <v>0</v>
      </c>
      <c r="T331" s="4">
        <v>0</v>
      </c>
      <c r="U331" s="4">
        <v>0</v>
      </c>
      <c r="V331" s="4">
        <v>12</v>
      </c>
      <c r="W331" s="4">
        <v>12</v>
      </c>
      <c r="X331" s="4">
        <v>0</v>
      </c>
      <c r="Y331" s="4"/>
      <c r="Z331" s="4">
        <v>543.09</v>
      </c>
      <c r="AA331" s="4">
        <v>550</v>
      </c>
      <c r="AB331" s="18"/>
      <c r="AC331" s="18">
        <v>6</v>
      </c>
      <c r="AD331" s="28"/>
      <c r="AE331" s="26"/>
      <c r="AF331" s="28"/>
    </row>
    <row r="332" spans="1:32" ht="12.6" customHeight="1" x14ac:dyDescent="0.25">
      <c r="A332" s="14">
        <v>45692</v>
      </c>
      <c r="B332" s="14" t="s">
        <v>45</v>
      </c>
      <c r="C332" s="15">
        <v>1</v>
      </c>
      <c r="D332" s="16"/>
      <c r="E332" s="16"/>
      <c r="F332" s="17"/>
      <c r="G332" s="21"/>
      <c r="H332" s="21"/>
      <c r="I332" s="4">
        <v>0</v>
      </c>
      <c r="J332" s="4">
        <v>0</v>
      </c>
      <c r="K332" s="4"/>
      <c r="L332" s="16"/>
      <c r="M332" s="4"/>
      <c r="N332" s="4"/>
      <c r="O332" s="4"/>
      <c r="P332" s="4"/>
      <c r="Q332" s="4"/>
      <c r="R332" s="4"/>
      <c r="S332" s="4">
        <v>0</v>
      </c>
      <c r="T332" s="4">
        <v>0</v>
      </c>
      <c r="U332" s="4">
        <v>0</v>
      </c>
      <c r="V332" s="4">
        <v>12</v>
      </c>
      <c r="W332" s="4">
        <v>12</v>
      </c>
      <c r="X332" s="4">
        <v>15</v>
      </c>
      <c r="Y332" s="4">
        <v>1235</v>
      </c>
      <c r="Z332" s="4">
        <v>168.07999999999998</v>
      </c>
      <c r="AA332" s="4">
        <v>150</v>
      </c>
      <c r="AB332" s="18">
        <v>398</v>
      </c>
      <c r="AC332" s="18">
        <v>6</v>
      </c>
      <c r="AD332" s="28"/>
      <c r="AE332" s="26"/>
      <c r="AF332" s="28"/>
    </row>
    <row r="333" spans="1:32" ht="12.6" customHeight="1" x14ac:dyDescent="0.25">
      <c r="A333" s="14">
        <v>45692</v>
      </c>
      <c r="B333" s="14" t="s">
        <v>46</v>
      </c>
      <c r="C333" s="15">
        <v>1</v>
      </c>
      <c r="D333" s="16"/>
      <c r="E333" s="16"/>
      <c r="F333" s="17"/>
      <c r="G333" s="21"/>
      <c r="H333" s="21"/>
      <c r="I333" s="4">
        <v>0</v>
      </c>
      <c r="J333" s="4">
        <v>0</v>
      </c>
      <c r="K333" s="4"/>
      <c r="L333" s="16"/>
      <c r="M333" s="4"/>
      <c r="N333" s="4"/>
      <c r="O333" s="4"/>
      <c r="P333" s="4"/>
      <c r="Q333" s="4"/>
      <c r="R333" s="4"/>
      <c r="S333" s="4">
        <v>0</v>
      </c>
      <c r="T333" s="4">
        <v>0</v>
      </c>
      <c r="U333" s="4">
        <v>0</v>
      </c>
      <c r="V333" s="4">
        <v>12</v>
      </c>
      <c r="W333" s="4">
        <v>12</v>
      </c>
      <c r="X333" s="4">
        <v>15</v>
      </c>
      <c r="Y333" s="4"/>
      <c r="Z333" s="4">
        <v>95.22999999999999</v>
      </c>
      <c r="AA333" s="4">
        <v>100</v>
      </c>
      <c r="AB333" s="18"/>
      <c r="AC333" s="18">
        <v>6</v>
      </c>
      <c r="AD333" s="28"/>
      <c r="AE333" s="26"/>
      <c r="AF333" s="28"/>
    </row>
    <row r="334" spans="1:32" ht="12.6" customHeight="1" x14ac:dyDescent="0.25">
      <c r="A334" s="14">
        <v>45692</v>
      </c>
      <c r="B334" s="14" t="s">
        <v>45</v>
      </c>
      <c r="C334" s="15">
        <v>2</v>
      </c>
      <c r="D334" s="16">
        <v>20</v>
      </c>
      <c r="E334" s="16"/>
      <c r="F334" s="17"/>
      <c r="G334" s="21"/>
      <c r="H334" s="21"/>
      <c r="I334" s="4">
        <v>20</v>
      </c>
      <c r="J334" s="4">
        <v>0.33333333333333331</v>
      </c>
      <c r="K334" s="4"/>
      <c r="L334" s="16"/>
      <c r="M334" s="4"/>
      <c r="N334" s="4"/>
      <c r="O334" s="4"/>
      <c r="P334" s="4"/>
      <c r="Q334" s="4"/>
      <c r="R334" s="4"/>
      <c r="S334" s="4">
        <v>0</v>
      </c>
      <c r="T334" s="4">
        <v>0</v>
      </c>
      <c r="U334" s="4">
        <v>0.33333333333333331</v>
      </c>
      <c r="V334" s="4">
        <v>11.666666666666666</v>
      </c>
      <c r="W334" s="4">
        <v>12</v>
      </c>
      <c r="X334" s="4">
        <v>0</v>
      </c>
      <c r="Y334" s="4"/>
      <c r="Z334" s="4">
        <v>194.07000000000002</v>
      </c>
      <c r="AA334" s="4">
        <v>200</v>
      </c>
      <c r="AB334" s="18"/>
      <c r="AC334" s="18">
        <v>6</v>
      </c>
      <c r="AD334" s="28"/>
      <c r="AE334" s="26"/>
      <c r="AF334" s="28"/>
    </row>
    <row r="335" spans="1:32" ht="12.6" customHeight="1" x14ac:dyDescent="0.25">
      <c r="A335" s="14">
        <v>45692</v>
      </c>
      <c r="B335" s="14" t="s">
        <v>46</v>
      </c>
      <c r="C335" s="15">
        <v>2</v>
      </c>
      <c r="D335" s="16"/>
      <c r="E335" s="16"/>
      <c r="F335" s="17"/>
      <c r="G335" s="21"/>
      <c r="H335" s="21"/>
      <c r="I335" s="4">
        <v>0</v>
      </c>
      <c r="J335" s="4">
        <v>0</v>
      </c>
      <c r="K335" s="4"/>
      <c r="L335" s="16"/>
      <c r="M335" s="4"/>
      <c r="N335" s="4"/>
      <c r="O335" s="4"/>
      <c r="P335" s="4"/>
      <c r="Q335" s="4"/>
      <c r="R335" s="4"/>
      <c r="S335" s="4">
        <v>0</v>
      </c>
      <c r="T335" s="4">
        <v>0</v>
      </c>
      <c r="U335" s="4">
        <v>0</v>
      </c>
      <c r="V335" s="4">
        <v>12</v>
      </c>
      <c r="W335" s="4">
        <v>12</v>
      </c>
      <c r="X335" s="4">
        <v>0</v>
      </c>
      <c r="Y335" s="4"/>
      <c r="Z335" s="4">
        <v>180.23999999999998</v>
      </c>
      <c r="AA335" s="4">
        <v>200</v>
      </c>
      <c r="AB335" s="18"/>
      <c r="AC335" s="18">
        <v>6</v>
      </c>
      <c r="AD335" s="28"/>
      <c r="AE335" s="26"/>
      <c r="AF335" s="28"/>
    </row>
    <row r="336" spans="1:32" ht="12.6" customHeight="1" x14ac:dyDescent="0.25">
      <c r="A336" s="14">
        <v>45692</v>
      </c>
      <c r="B336" s="14" t="s">
        <v>45</v>
      </c>
      <c r="C336" s="15">
        <v>3</v>
      </c>
      <c r="D336" s="16">
        <v>30</v>
      </c>
      <c r="E336" s="16"/>
      <c r="F336" s="17"/>
      <c r="G336" s="21"/>
      <c r="H336" s="21"/>
      <c r="I336" s="4">
        <v>30</v>
      </c>
      <c r="J336" s="4">
        <v>0.5</v>
      </c>
      <c r="K336" s="4"/>
      <c r="L336" s="16"/>
      <c r="M336" s="4"/>
      <c r="N336" s="4"/>
      <c r="O336" s="4"/>
      <c r="P336" s="4"/>
      <c r="Q336" s="4"/>
      <c r="R336" s="4"/>
      <c r="S336" s="4">
        <v>0</v>
      </c>
      <c r="T336" s="4">
        <v>0</v>
      </c>
      <c r="U336" s="4">
        <v>0.5</v>
      </c>
      <c r="V336" s="4">
        <v>11.5</v>
      </c>
      <c r="W336" s="4">
        <v>12</v>
      </c>
      <c r="X336" s="4">
        <v>0</v>
      </c>
      <c r="Y336" s="4"/>
      <c r="Z336" s="4">
        <v>226.27</v>
      </c>
      <c r="AA336" s="4">
        <v>250</v>
      </c>
      <c r="AB336" s="18"/>
      <c r="AC336" s="18">
        <v>6</v>
      </c>
      <c r="AD336" s="28"/>
      <c r="AE336" s="26"/>
      <c r="AF336" s="28"/>
    </row>
    <row r="337" spans="1:32" ht="12.6" customHeight="1" x14ac:dyDescent="0.25">
      <c r="A337" s="14">
        <v>45692</v>
      </c>
      <c r="B337" s="14" t="s">
        <v>46</v>
      </c>
      <c r="C337" s="15">
        <v>3</v>
      </c>
      <c r="D337" s="16"/>
      <c r="E337" s="16"/>
      <c r="F337" s="17"/>
      <c r="G337" s="21"/>
      <c r="H337" s="21"/>
      <c r="I337" s="4">
        <v>0</v>
      </c>
      <c r="J337" s="4">
        <v>0</v>
      </c>
      <c r="K337" s="4"/>
      <c r="L337" s="16"/>
      <c r="M337" s="4"/>
      <c r="N337" s="4"/>
      <c r="O337" s="4"/>
      <c r="P337" s="4"/>
      <c r="Q337" s="4"/>
      <c r="R337" s="4"/>
      <c r="S337" s="4">
        <v>0</v>
      </c>
      <c r="T337" s="4">
        <v>0</v>
      </c>
      <c r="U337" s="4">
        <v>0</v>
      </c>
      <c r="V337" s="4">
        <v>12</v>
      </c>
      <c r="W337" s="4">
        <v>12</v>
      </c>
      <c r="X337" s="4">
        <v>0</v>
      </c>
      <c r="Y337" s="4"/>
      <c r="Z337" s="4">
        <v>236.52</v>
      </c>
      <c r="AA337" s="4">
        <v>250</v>
      </c>
      <c r="AB337" s="18"/>
      <c r="AC337" s="18">
        <v>6</v>
      </c>
      <c r="AD337" s="28"/>
      <c r="AE337" s="26"/>
      <c r="AF337" s="28"/>
    </row>
    <row r="338" spans="1:32" ht="12.6" customHeight="1" x14ac:dyDescent="0.25">
      <c r="A338" s="14">
        <v>45692</v>
      </c>
      <c r="B338" s="14" t="s">
        <v>45</v>
      </c>
      <c r="C338" s="15">
        <v>5</v>
      </c>
      <c r="D338" s="16">
        <v>40</v>
      </c>
      <c r="E338" s="16"/>
      <c r="F338" s="17"/>
      <c r="G338" s="21"/>
      <c r="H338" s="21"/>
      <c r="I338" s="4">
        <v>40</v>
      </c>
      <c r="J338" s="4">
        <v>0.66666666666666663</v>
      </c>
      <c r="K338" s="4"/>
      <c r="L338" s="16"/>
      <c r="M338" s="4"/>
      <c r="N338" s="4"/>
      <c r="O338" s="4"/>
      <c r="P338" s="4"/>
      <c r="Q338" s="4"/>
      <c r="R338" s="4"/>
      <c r="S338" s="4">
        <v>0</v>
      </c>
      <c r="T338" s="4">
        <v>0</v>
      </c>
      <c r="U338" s="4">
        <v>0.66666666666666663</v>
      </c>
      <c r="V338" s="4">
        <v>11.333333333333334</v>
      </c>
      <c r="W338" s="4">
        <v>12</v>
      </c>
      <c r="X338" s="4">
        <v>0</v>
      </c>
      <c r="Y338" s="4"/>
      <c r="Z338" s="4">
        <v>489.59999999999991</v>
      </c>
      <c r="AA338" s="4">
        <v>500</v>
      </c>
      <c r="AB338" s="18"/>
      <c r="AC338" s="18">
        <v>6</v>
      </c>
      <c r="AD338" s="28"/>
      <c r="AE338" s="26"/>
      <c r="AF338" s="28"/>
    </row>
    <row r="339" spans="1:32" ht="12.6" customHeight="1" x14ac:dyDescent="0.25">
      <c r="A339" s="14">
        <v>45692</v>
      </c>
      <c r="B339" s="14" t="s">
        <v>46</v>
      </c>
      <c r="C339" s="15">
        <v>5</v>
      </c>
      <c r="D339" s="16"/>
      <c r="E339" s="16"/>
      <c r="F339" s="17"/>
      <c r="G339" s="21"/>
      <c r="H339" s="21"/>
      <c r="I339" s="4">
        <v>0</v>
      </c>
      <c r="J339" s="4">
        <v>0</v>
      </c>
      <c r="K339" s="4"/>
      <c r="L339" s="16"/>
      <c r="M339" s="4"/>
      <c r="N339" s="4"/>
      <c r="O339" s="4"/>
      <c r="P339" s="4"/>
      <c r="Q339" s="4"/>
      <c r="R339" s="4"/>
      <c r="S339" s="4">
        <v>0</v>
      </c>
      <c r="T339" s="4">
        <v>0</v>
      </c>
      <c r="U339" s="4">
        <v>0</v>
      </c>
      <c r="V339" s="4">
        <v>12</v>
      </c>
      <c r="W339" s="4">
        <v>12</v>
      </c>
      <c r="X339" s="4">
        <v>0</v>
      </c>
      <c r="Y339" s="4"/>
      <c r="Z339" s="4">
        <v>531.63</v>
      </c>
      <c r="AA339" s="4">
        <v>550</v>
      </c>
      <c r="AB339" s="18"/>
      <c r="AC339" s="18">
        <v>6</v>
      </c>
      <c r="AD339" s="28"/>
      <c r="AE339" s="26"/>
      <c r="AF339" s="28"/>
    </row>
    <row r="340" spans="1:32" ht="12.6" customHeight="1" x14ac:dyDescent="0.25">
      <c r="A340" s="14">
        <v>45693</v>
      </c>
      <c r="B340" s="14" t="s">
        <v>45</v>
      </c>
      <c r="C340" s="15">
        <v>1</v>
      </c>
      <c r="D340" s="16"/>
      <c r="E340" s="16"/>
      <c r="F340" s="17"/>
      <c r="G340" s="21"/>
      <c r="H340" s="21"/>
      <c r="I340" s="4">
        <v>0</v>
      </c>
      <c r="J340" s="4">
        <v>0</v>
      </c>
      <c r="K340" s="4"/>
      <c r="L340" s="16"/>
      <c r="M340" s="4"/>
      <c r="N340" s="4"/>
      <c r="O340" s="4"/>
      <c r="P340" s="4"/>
      <c r="Q340" s="4"/>
      <c r="R340" s="4"/>
      <c r="S340" s="4">
        <v>0</v>
      </c>
      <c r="T340" s="4">
        <v>0</v>
      </c>
      <c r="U340" s="4">
        <v>0</v>
      </c>
      <c r="V340" s="4">
        <v>12</v>
      </c>
      <c r="W340" s="4">
        <v>12</v>
      </c>
      <c r="X340" s="4">
        <v>9</v>
      </c>
      <c r="Y340" s="4">
        <v>1285</v>
      </c>
      <c r="Z340" s="4">
        <v>189.7</v>
      </c>
      <c r="AA340" s="4">
        <v>200</v>
      </c>
      <c r="AB340" s="18">
        <v>398</v>
      </c>
      <c r="AC340" s="18">
        <v>6</v>
      </c>
      <c r="AD340" s="28"/>
      <c r="AE340" s="26"/>
      <c r="AF340" s="28"/>
    </row>
    <row r="341" spans="1:32" ht="12.6" customHeight="1" x14ac:dyDescent="0.25">
      <c r="A341" s="14">
        <v>45693</v>
      </c>
      <c r="B341" s="14" t="s">
        <v>46</v>
      </c>
      <c r="C341" s="15">
        <v>1</v>
      </c>
      <c r="D341" s="16"/>
      <c r="E341" s="16"/>
      <c r="F341" s="17"/>
      <c r="G341" s="21"/>
      <c r="H341" s="21"/>
      <c r="I341" s="4">
        <v>0</v>
      </c>
      <c r="J341" s="4">
        <v>0</v>
      </c>
      <c r="K341" s="4"/>
      <c r="L341" s="16"/>
      <c r="M341" s="4"/>
      <c r="N341" s="4"/>
      <c r="O341" s="4"/>
      <c r="P341" s="4"/>
      <c r="Q341" s="4"/>
      <c r="R341" s="4"/>
      <c r="S341" s="4">
        <v>0</v>
      </c>
      <c r="T341" s="4">
        <v>0</v>
      </c>
      <c r="U341" s="4">
        <v>0</v>
      </c>
      <c r="V341" s="4">
        <v>12</v>
      </c>
      <c r="W341" s="4">
        <v>12</v>
      </c>
      <c r="X341" s="4">
        <v>9</v>
      </c>
      <c r="Y341" s="4"/>
      <c r="Z341" s="4">
        <v>96.690000000000012</v>
      </c>
      <c r="AA341" s="4">
        <v>100</v>
      </c>
      <c r="AB341" s="18"/>
      <c r="AC341" s="18">
        <v>6</v>
      </c>
      <c r="AD341" s="28"/>
      <c r="AE341" s="26"/>
      <c r="AF341" s="28"/>
    </row>
    <row r="342" spans="1:32" ht="12.6" customHeight="1" x14ac:dyDescent="0.25">
      <c r="A342" s="14">
        <v>45693</v>
      </c>
      <c r="B342" s="14" t="s">
        <v>45</v>
      </c>
      <c r="C342" s="15">
        <v>2</v>
      </c>
      <c r="D342" s="16"/>
      <c r="E342" s="16"/>
      <c r="F342" s="17"/>
      <c r="G342" s="21"/>
      <c r="H342" s="21"/>
      <c r="I342" s="4">
        <v>0</v>
      </c>
      <c r="J342" s="4">
        <v>0</v>
      </c>
      <c r="K342" s="4"/>
      <c r="L342" s="16"/>
      <c r="M342" s="4"/>
      <c r="N342" s="4"/>
      <c r="O342" s="4"/>
      <c r="P342" s="4"/>
      <c r="Q342" s="4"/>
      <c r="R342" s="4"/>
      <c r="S342" s="4">
        <v>0</v>
      </c>
      <c r="T342" s="4">
        <v>0</v>
      </c>
      <c r="U342" s="4">
        <v>0</v>
      </c>
      <c r="V342" s="4">
        <v>12</v>
      </c>
      <c r="W342" s="4">
        <v>12</v>
      </c>
      <c r="X342" s="4">
        <v>0</v>
      </c>
      <c r="Y342" s="4"/>
      <c r="Z342" s="4">
        <v>180.52</v>
      </c>
      <c r="AA342" s="4">
        <v>200</v>
      </c>
      <c r="AB342" s="18"/>
      <c r="AC342" s="18">
        <v>6</v>
      </c>
      <c r="AD342" s="28"/>
      <c r="AE342" s="26"/>
      <c r="AF342" s="28"/>
    </row>
    <row r="343" spans="1:32" ht="12.6" customHeight="1" x14ac:dyDescent="0.25">
      <c r="A343" s="14">
        <v>45693</v>
      </c>
      <c r="B343" s="14" t="s">
        <v>46</v>
      </c>
      <c r="C343" s="15">
        <v>2</v>
      </c>
      <c r="D343" s="16"/>
      <c r="E343" s="16"/>
      <c r="F343" s="17"/>
      <c r="G343" s="21"/>
      <c r="H343" s="21"/>
      <c r="I343" s="4">
        <v>0</v>
      </c>
      <c r="J343" s="4">
        <v>0</v>
      </c>
      <c r="K343" s="4"/>
      <c r="L343" s="16"/>
      <c r="M343" s="4"/>
      <c r="N343" s="4"/>
      <c r="O343" s="4"/>
      <c r="P343" s="4"/>
      <c r="Q343" s="4"/>
      <c r="R343" s="4"/>
      <c r="S343" s="4">
        <v>0</v>
      </c>
      <c r="T343" s="4">
        <v>0</v>
      </c>
      <c r="U343" s="4">
        <v>0</v>
      </c>
      <c r="V343" s="4">
        <v>12</v>
      </c>
      <c r="W343" s="4">
        <v>12</v>
      </c>
      <c r="X343" s="4">
        <v>0</v>
      </c>
      <c r="Y343" s="4"/>
      <c r="Z343" s="4">
        <v>171.81</v>
      </c>
      <c r="AA343" s="4">
        <v>200</v>
      </c>
      <c r="AB343" s="18"/>
      <c r="AC343" s="18">
        <v>6</v>
      </c>
      <c r="AD343" s="28"/>
      <c r="AE343" s="26"/>
      <c r="AF343" s="28"/>
    </row>
    <row r="344" spans="1:32" ht="12.6" customHeight="1" x14ac:dyDescent="0.25">
      <c r="A344" s="14">
        <v>45693</v>
      </c>
      <c r="B344" s="14" t="s">
        <v>45</v>
      </c>
      <c r="C344" s="15">
        <v>3</v>
      </c>
      <c r="D344" s="16"/>
      <c r="E344" s="16"/>
      <c r="F344" s="17"/>
      <c r="G344" s="21"/>
      <c r="H344" s="21"/>
      <c r="I344" s="4">
        <v>0</v>
      </c>
      <c r="J344" s="4">
        <v>0</v>
      </c>
      <c r="K344" s="4"/>
      <c r="L344" s="16"/>
      <c r="M344" s="4"/>
      <c r="N344" s="4"/>
      <c r="O344" s="4"/>
      <c r="P344" s="4"/>
      <c r="Q344" s="4"/>
      <c r="R344" s="4"/>
      <c r="S344" s="4">
        <v>0</v>
      </c>
      <c r="T344" s="4">
        <v>0</v>
      </c>
      <c r="U344" s="4">
        <v>0</v>
      </c>
      <c r="V344" s="4">
        <v>12</v>
      </c>
      <c r="W344" s="4">
        <v>12</v>
      </c>
      <c r="X344" s="4">
        <v>0</v>
      </c>
      <c r="Y344" s="4"/>
      <c r="Z344" s="4">
        <v>223.75</v>
      </c>
      <c r="AA344" s="4">
        <v>250</v>
      </c>
      <c r="AB344" s="18"/>
      <c r="AC344" s="18">
        <v>6</v>
      </c>
      <c r="AD344" s="28"/>
      <c r="AE344" s="26"/>
      <c r="AF344" s="28"/>
    </row>
    <row r="345" spans="1:32" ht="12.6" customHeight="1" x14ac:dyDescent="0.25">
      <c r="A345" s="14">
        <v>45693</v>
      </c>
      <c r="B345" s="14" t="s">
        <v>46</v>
      </c>
      <c r="C345" s="15">
        <v>3</v>
      </c>
      <c r="D345" s="16"/>
      <c r="E345" s="16"/>
      <c r="F345" s="17"/>
      <c r="G345" s="21"/>
      <c r="H345" s="21"/>
      <c r="I345" s="4">
        <v>0</v>
      </c>
      <c r="J345" s="4">
        <v>0</v>
      </c>
      <c r="K345" s="4"/>
      <c r="L345" s="16"/>
      <c r="M345" s="4"/>
      <c r="N345" s="4"/>
      <c r="O345" s="4"/>
      <c r="P345" s="4"/>
      <c r="Q345" s="4"/>
      <c r="R345" s="4"/>
      <c r="S345" s="4">
        <v>0</v>
      </c>
      <c r="T345" s="4">
        <v>0</v>
      </c>
      <c r="U345" s="4">
        <v>0</v>
      </c>
      <c r="V345" s="4">
        <v>12</v>
      </c>
      <c r="W345" s="4">
        <v>12</v>
      </c>
      <c r="X345" s="4">
        <v>0</v>
      </c>
      <c r="Y345" s="4"/>
      <c r="Z345" s="4">
        <v>266.19</v>
      </c>
      <c r="AA345" s="4">
        <v>250</v>
      </c>
      <c r="AB345" s="18"/>
      <c r="AC345" s="18">
        <v>6</v>
      </c>
      <c r="AD345" s="28"/>
      <c r="AE345" s="26"/>
      <c r="AF345" s="28"/>
    </row>
    <row r="346" spans="1:32" ht="12.6" customHeight="1" x14ac:dyDescent="0.25">
      <c r="A346" s="14">
        <v>45693</v>
      </c>
      <c r="B346" s="14" t="s">
        <v>45</v>
      </c>
      <c r="C346" s="15">
        <v>5</v>
      </c>
      <c r="D346" s="16">
        <v>30</v>
      </c>
      <c r="E346" s="16"/>
      <c r="F346" s="17"/>
      <c r="G346" s="21"/>
      <c r="H346" s="21"/>
      <c r="I346" s="4">
        <v>30</v>
      </c>
      <c r="J346" s="4">
        <v>0.5</v>
      </c>
      <c r="K346" s="4"/>
      <c r="L346" s="16"/>
      <c r="M346" s="4"/>
      <c r="N346" s="4"/>
      <c r="O346" s="4"/>
      <c r="P346" s="4"/>
      <c r="Q346" s="4"/>
      <c r="R346" s="4"/>
      <c r="S346" s="4">
        <v>0</v>
      </c>
      <c r="T346" s="4">
        <v>0</v>
      </c>
      <c r="U346" s="4">
        <v>0.5</v>
      </c>
      <c r="V346" s="4">
        <v>11.5</v>
      </c>
      <c r="W346" s="4">
        <v>12</v>
      </c>
      <c r="X346" s="4">
        <v>0</v>
      </c>
      <c r="Y346" s="4"/>
      <c r="Z346" s="4">
        <v>564.97</v>
      </c>
      <c r="AA346" s="4">
        <v>550</v>
      </c>
      <c r="AB346" s="18"/>
      <c r="AC346" s="18">
        <v>6</v>
      </c>
      <c r="AD346" s="28"/>
      <c r="AE346" s="26"/>
      <c r="AF346" s="28"/>
    </row>
    <row r="347" spans="1:32" ht="12.6" customHeight="1" x14ac:dyDescent="0.25">
      <c r="A347" s="14">
        <v>45693</v>
      </c>
      <c r="B347" s="14" t="s">
        <v>46</v>
      </c>
      <c r="C347" s="15">
        <v>5</v>
      </c>
      <c r="D347" s="16"/>
      <c r="E347" s="16"/>
      <c r="F347" s="17"/>
      <c r="G347" s="21"/>
      <c r="H347" s="21"/>
      <c r="I347" s="4">
        <v>0</v>
      </c>
      <c r="J347" s="4">
        <v>0</v>
      </c>
      <c r="K347" s="4"/>
      <c r="L347" s="16"/>
      <c r="M347" s="4"/>
      <c r="N347" s="4"/>
      <c r="O347" s="4"/>
      <c r="P347" s="4"/>
      <c r="Q347" s="4"/>
      <c r="R347" s="4"/>
      <c r="S347" s="4">
        <v>0</v>
      </c>
      <c r="T347" s="4">
        <v>0</v>
      </c>
      <c r="U347" s="4">
        <v>0</v>
      </c>
      <c r="V347" s="4">
        <v>12</v>
      </c>
      <c r="W347" s="4">
        <v>12</v>
      </c>
      <c r="X347" s="4">
        <v>0</v>
      </c>
      <c r="Y347" s="4"/>
      <c r="Z347" s="4">
        <v>591.06000000000006</v>
      </c>
      <c r="AA347" s="4">
        <v>600</v>
      </c>
      <c r="AB347" s="18"/>
      <c r="AC347" s="18">
        <v>6</v>
      </c>
      <c r="AD347" s="28"/>
      <c r="AE347" s="26"/>
      <c r="AF347" s="28"/>
    </row>
    <row r="348" spans="1:32" ht="12.6" customHeight="1" x14ac:dyDescent="0.25">
      <c r="A348" s="14">
        <v>45694</v>
      </c>
      <c r="B348" s="14" t="s">
        <v>45</v>
      </c>
      <c r="C348" s="15">
        <v>1</v>
      </c>
      <c r="D348" s="16"/>
      <c r="E348" s="16"/>
      <c r="F348" s="17"/>
      <c r="G348" s="21"/>
      <c r="H348" s="21"/>
      <c r="I348" s="4">
        <v>0</v>
      </c>
      <c r="J348" s="4">
        <v>0</v>
      </c>
      <c r="K348" s="4"/>
      <c r="L348" s="16"/>
      <c r="M348" s="4"/>
      <c r="N348" s="4"/>
      <c r="O348" s="4"/>
      <c r="P348" s="4"/>
      <c r="Q348" s="4"/>
      <c r="R348" s="4"/>
      <c r="S348" s="4">
        <v>0</v>
      </c>
      <c r="T348" s="4">
        <v>0</v>
      </c>
      <c r="U348" s="4">
        <v>0</v>
      </c>
      <c r="V348" s="4">
        <v>12</v>
      </c>
      <c r="W348" s="4">
        <v>12</v>
      </c>
      <c r="X348" s="4">
        <v>18</v>
      </c>
      <c r="Y348" s="4">
        <v>1299</v>
      </c>
      <c r="Z348" s="4">
        <v>158.38</v>
      </c>
      <c r="AA348" s="4">
        <v>150</v>
      </c>
      <c r="AB348" s="18">
        <v>398</v>
      </c>
      <c r="AC348" s="18">
        <v>6</v>
      </c>
      <c r="AD348" s="28"/>
      <c r="AE348" s="26"/>
      <c r="AF348" s="28"/>
    </row>
    <row r="349" spans="1:32" ht="12.6" customHeight="1" x14ac:dyDescent="0.25">
      <c r="A349" s="14">
        <v>45694</v>
      </c>
      <c r="B349" s="14" t="s">
        <v>46</v>
      </c>
      <c r="C349" s="15">
        <v>1</v>
      </c>
      <c r="D349" s="16"/>
      <c r="E349" s="16"/>
      <c r="F349" s="17"/>
      <c r="G349" s="21"/>
      <c r="H349" s="21"/>
      <c r="I349" s="4">
        <v>0</v>
      </c>
      <c r="J349" s="4">
        <v>0</v>
      </c>
      <c r="K349" s="4"/>
      <c r="L349" s="16"/>
      <c r="M349" s="4"/>
      <c r="N349" s="4"/>
      <c r="O349" s="4"/>
      <c r="P349" s="4"/>
      <c r="Q349" s="4"/>
      <c r="R349" s="4"/>
      <c r="S349" s="4">
        <v>0</v>
      </c>
      <c r="T349" s="4">
        <v>0</v>
      </c>
      <c r="U349" s="4">
        <v>0</v>
      </c>
      <c r="V349" s="4">
        <v>12</v>
      </c>
      <c r="W349" s="4">
        <v>12</v>
      </c>
      <c r="X349" s="4">
        <v>18</v>
      </c>
      <c r="Y349" s="4"/>
      <c r="Z349" s="4">
        <v>149.52000000000001</v>
      </c>
      <c r="AA349" s="4">
        <v>150</v>
      </c>
      <c r="AB349" s="18"/>
      <c r="AC349" s="18">
        <v>6</v>
      </c>
      <c r="AD349" s="28"/>
      <c r="AE349" s="26"/>
      <c r="AF349" s="28"/>
    </row>
    <row r="350" spans="1:32" ht="12.6" customHeight="1" x14ac:dyDescent="0.25">
      <c r="A350" s="14">
        <v>45694</v>
      </c>
      <c r="B350" s="14" t="s">
        <v>45</v>
      </c>
      <c r="C350" s="15">
        <v>2</v>
      </c>
      <c r="D350" s="16"/>
      <c r="E350" s="16"/>
      <c r="F350" s="17"/>
      <c r="G350" s="21"/>
      <c r="H350" s="21"/>
      <c r="I350" s="4">
        <v>0</v>
      </c>
      <c r="J350" s="4">
        <v>0</v>
      </c>
      <c r="K350" s="4"/>
      <c r="L350" s="16"/>
      <c r="M350" s="4"/>
      <c r="N350" s="4"/>
      <c r="O350" s="4"/>
      <c r="P350" s="4"/>
      <c r="Q350" s="4"/>
      <c r="R350" s="4"/>
      <c r="S350" s="4">
        <v>0</v>
      </c>
      <c r="T350" s="4">
        <v>0</v>
      </c>
      <c r="U350" s="4">
        <v>0</v>
      </c>
      <c r="V350" s="4">
        <v>12</v>
      </c>
      <c r="W350" s="4">
        <v>12</v>
      </c>
      <c r="X350" s="4">
        <v>0</v>
      </c>
      <c r="Y350" s="4"/>
      <c r="Z350" s="4">
        <v>178.38</v>
      </c>
      <c r="AA350" s="4">
        <v>200</v>
      </c>
      <c r="AB350" s="18"/>
      <c r="AC350" s="18">
        <v>6</v>
      </c>
      <c r="AD350" s="28"/>
      <c r="AE350" s="26"/>
      <c r="AF350" s="28"/>
    </row>
    <row r="351" spans="1:32" ht="12.6" customHeight="1" x14ac:dyDescent="0.25">
      <c r="A351" s="14">
        <v>45694</v>
      </c>
      <c r="B351" s="14" t="s">
        <v>46</v>
      </c>
      <c r="C351" s="15">
        <v>2</v>
      </c>
      <c r="D351" s="16"/>
      <c r="E351" s="16"/>
      <c r="F351" s="17"/>
      <c r="G351" s="21"/>
      <c r="H351" s="21"/>
      <c r="I351" s="4">
        <v>0</v>
      </c>
      <c r="J351" s="4">
        <v>0</v>
      </c>
      <c r="K351" s="4"/>
      <c r="L351" s="16"/>
      <c r="M351" s="4"/>
      <c r="N351" s="4"/>
      <c r="O351" s="4"/>
      <c r="P351" s="4"/>
      <c r="Q351" s="4"/>
      <c r="R351" s="4"/>
      <c r="S351" s="4">
        <v>0</v>
      </c>
      <c r="T351" s="4">
        <v>0</v>
      </c>
      <c r="U351" s="4">
        <v>0</v>
      </c>
      <c r="V351" s="4">
        <v>12</v>
      </c>
      <c r="W351" s="4">
        <v>12</v>
      </c>
      <c r="X351" s="4">
        <v>0</v>
      </c>
      <c r="Y351" s="4"/>
      <c r="Z351" s="4">
        <v>178.15</v>
      </c>
      <c r="AA351" s="4">
        <v>200</v>
      </c>
      <c r="AB351" s="18"/>
      <c r="AC351" s="18">
        <v>6</v>
      </c>
      <c r="AD351" s="28"/>
      <c r="AE351" s="26"/>
      <c r="AF351" s="28"/>
    </row>
    <row r="352" spans="1:32" ht="12.6" customHeight="1" x14ac:dyDescent="0.25">
      <c r="A352" s="14">
        <v>45694</v>
      </c>
      <c r="B352" s="14" t="s">
        <v>45</v>
      </c>
      <c r="C352" s="15">
        <v>3</v>
      </c>
      <c r="D352" s="16"/>
      <c r="E352" s="16"/>
      <c r="F352" s="17"/>
      <c r="G352" s="21"/>
      <c r="H352" s="21"/>
      <c r="I352" s="4">
        <v>0</v>
      </c>
      <c r="J352" s="4">
        <v>0</v>
      </c>
      <c r="K352" s="4"/>
      <c r="L352" s="16"/>
      <c r="M352" s="4"/>
      <c r="N352" s="4"/>
      <c r="O352" s="4"/>
      <c r="P352" s="4"/>
      <c r="Q352" s="4"/>
      <c r="R352" s="4"/>
      <c r="S352" s="4">
        <v>0</v>
      </c>
      <c r="T352" s="4">
        <v>0</v>
      </c>
      <c r="U352" s="4">
        <v>0</v>
      </c>
      <c r="V352" s="4">
        <v>12</v>
      </c>
      <c r="W352" s="4">
        <v>12</v>
      </c>
      <c r="X352" s="4">
        <v>0</v>
      </c>
      <c r="Y352" s="4"/>
      <c r="Z352" s="4">
        <v>295.53999999999996</v>
      </c>
      <c r="AA352" s="4">
        <v>300</v>
      </c>
      <c r="AB352" s="18"/>
      <c r="AC352" s="18">
        <v>6</v>
      </c>
      <c r="AD352" s="28"/>
      <c r="AE352" s="26"/>
      <c r="AF352" s="28"/>
    </row>
    <row r="353" spans="1:32" ht="12.6" customHeight="1" x14ac:dyDescent="0.25">
      <c r="A353" s="14">
        <v>45694</v>
      </c>
      <c r="B353" s="14" t="s">
        <v>46</v>
      </c>
      <c r="C353" s="15">
        <v>3</v>
      </c>
      <c r="D353" s="16">
        <v>90</v>
      </c>
      <c r="E353" s="16"/>
      <c r="F353" s="17"/>
      <c r="G353" s="21"/>
      <c r="H353" s="21"/>
      <c r="I353" s="4">
        <v>90</v>
      </c>
      <c r="J353" s="4">
        <v>1.5</v>
      </c>
      <c r="K353" s="4"/>
      <c r="L353" s="16"/>
      <c r="M353" s="4"/>
      <c r="N353" s="4"/>
      <c r="O353" s="4"/>
      <c r="P353" s="4"/>
      <c r="Q353" s="4"/>
      <c r="R353" s="4"/>
      <c r="S353" s="4">
        <v>0</v>
      </c>
      <c r="T353" s="4">
        <v>0</v>
      </c>
      <c r="U353" s="4">
        <v>1.5</v>
      </c>
      <c r="V353" s="4">
        <v>10.5</v>
      </c>
      <c r="W353" s="4">
        <v>12</v>
      </c>
      <c r="X353" s="4">
        <v>0</v>
      </c>
      <c r="Y353" s="4"/>
      <c r="Z353" s="4">
        <v>263.88</v>
      </c>
      <c r="AA353" s="4">
        <v>250</v>
      </c>
      <c r="AB353" s="18"/>
      <c r="AC353" s="18">
        <v>6</v>
      </c>
      <c r="AD353" s="28"/>
      <c r="AE353" s="26"/>
      <c r="AF353" s="28"/>
    </row>
    <row r="354" spans="1:32" ht="12.6" customHeight="1" x14ac:dyDescent="0.25">
      <c r="A354" s="14">
        <v>45694</v>
      </c>
      <c r="B354" s="14" t="s">
        <v>45</v>
      </c>
      <c r="C354" s="15">
        <v>5</v>
      </c>
      <c r="D354" s="16"/>
      <c r="E354" s="16"/>
      <c r="F354" s="17"/>
      <c r="G354" s="21"/>
      <c r="H354" s="21"/>
      <c r="I354" s="4">
        <v>0</v>
      </c>
      <c r="J354" s="4">
        <v>0</v>
      </c>
      <c r="K354" s="4"/>
      <c r="L354" s="16"/>
      <c r="M354" s="4"/>
      <c r="N354" s="4"/>
      <c r="O354" s="4"/>
      <c r="P354" s="4"/>
      <c r="Q354" s="4"/>
      <c r="R354" s="4"/>
      <c r="S354" s="4">
        <v>0</v>
      </c>
      <c r="T354" s="4">
        <v>0</v>
      </c>
      <c r="U354" s="4">
        <v>0</v>
      </c>
      <c r="V354" s="4">
        <v>12</v>
      </c>
      <c r="W354" s="4">
        <v>12</v>
      </c>
      <c r="X354" s="4">
        <v>0</v>
      </c>
      <c r="Y354" s="4"/>
      <c r="Z354" s="4">
        <v>627.01</v>
      </c>
      <c r="AA354" s="4">
        <v>650</v>
      </c>
      <c r="AB354" s="18"/>
      <c r="AC354" s="18">
        <v>6</v>
      </c>
      <c r="AD354" s="28"/>
      <c r="AE354" s="26"/>
      <c r="AF354" s="28"/>
    </row>
    <row r="355" spans="1:32" ht="12.6" customHeight="1" x14ac:dyDescent="0.25">
      <c r="A355" s="14">
        <v>45694</v>
      </c>
      <c r="B355" s="14" t="s">
        <v>46</v>
      </c>
      <c r="C355" s="15">
        <v>5</v>
      </c>
      <c r="D355" s="16">
        <v>30</v>
      </c>
      <c r="E355" s="16"/>
      <c r="F355" s="17"/>
      <c r="G355" s="21"/>
      <c r="H355" s="21"/>
      <c r="I355" s="4">
        <v>30</v>
      </c>
      <c r="J355" s="4">
        <v>0.5</v>
      </c>
      <c r="K355" s="4"/>
      <c r="L355" s="16"/>
      <c r="M355" s="4"/>
      <c r="N355" s="4"/>
      <c r="O355" s="4"/>
      <c r="P355" s="4"/>
      <c r="Q355" s="4"/>
      <c r="R355" s="4"/>
      <c r="S355" s="4">
        <v>0</v>
      </c>
      <c r="T355" s="4">
        <v>0</v>
      </c>
      <c r="U355" s="4">
        <v>0.5</v>
      </c>
      <c r="V355" s="4">
        <v>11.5</v>
      </c>
      <c r="W355" s="4">
        <v>12</v>
      </c>
      <c r="X355" s="4">
        <v>0</v>
      </c>
      <c r="Y355" s="4"/>
      <c r="Z355" s="4">
        <v>558.53000000000009</v>
      </c>
      <c r="AA355" s="4">
        <v>600</v>
      </c>
      <c r="AB355" s="18"/>
      <c r="AC355" s="18">
        <v>6</v>
      </c>
      <c r="AD355" s="28"/>
      <c r="AE355" s="26"/>
      <c r="AF355" s="28"/>
    </row>
    <row r="356" spans="1:32" ht="12.6" customHeight="1" x14ac:dyDescent="0.25">
      <c r="A356" s="14">
        <v>45695</v>
      </c>
      <c r="B356" s="14" t="s">
        <v>45</v>
      </c>
      <c r="C356" s="15">
        <v>1</v>
      </c>
      <c r="D356" s="16"/>
      <c r="E356" s="16"/>
      <c r="F356" s="17"/>
      <c r="G356" s="21"/>
      <c r="H356" s="21"/>
      <c r="I356" s="4">
        <v>0</v>
      </c>
      <c r="J356" s="4">
        <v>0</v>
      </c>
      <c r="K356" s="4"/>
      <c r="L356" s="16"/>
      <c r="M356" s="4"/>
      <c r="N356" s="4"/>
      <c r="O356" s="4"/>
      <c r="P356" s="4"/>
      <c r="Q356" s="4"/>
      <c r="R356" s="4"/>
      <c r="S356" s="4">
        <v>0</v>
      </c>
      <c r="T356" s="4">
        <v>0</v>
      </c>
      <c r="U356" s="4">
        <v>0</v>
      </c>
      <c r="V356" s="4">
        <v>12</v>
      </c>
      <c r="W356" s="4">
        <v>12</v>
      </c>
      <c r="X356" s="4">
        <v>15</v>
      </c>
      <c r="Y356" s="4">
        <v>1330</v>
      </c>
      <c r="Z356" s="4">
        <v>147.82</v>
      </c>
      <c r="AA356" s="4">
        <v>150</v>
      </c>
      <c r="AB356" s="18">
        <v>398</v>
      </c>
      <c r="AC356" s="18">
        <v>6</v>
      </c>
      <c r="AD356" s="28"/>
      <c r="AE356" s="26"/>
      <c r="AF356" s="28"/>
    </row>
    <row r="357" spans="1:32" ht="12.6" customHeight="1" x14ac:dyDescent="0.25">
      <c r="A357" s="14">
        <v>45695</v>
      </c>
      <c r="B357" s="14" t="s">
        <v>46</v>
      </c>
      <c r="C357" s="15">
        <v>1</v>
      </c>
      <c r="D357" s="16"/>
      <c r="E357" s="16"/>
      <c r="F357" s="17"/>
      <c r="G357" s="21"/>
      <c r="H357" s="21"/>
      <c r="I357" s="4">
        <v>0</v>
      </c>
      <c r="J357" s="4">
        <v>0</v>
      </c>
      <c r="K357" s="4"/>
      <c r="L357" s="16"/>
      <c r="M357" s="4"/>
      <c r="N357" s="4"/>
      <c r="O357" s="4"/>
      <c r="P357" s="4"/>
      <c r="Q357" s="4"/>
      <c r="R357" s="4"/>
      <c r="S357" s="4">
        <v>0</v>
      </c>
      <c r="T357" s="4">
        <v>0</v>
      </c>
      <c r="U357" s="4">
        <v>0</v>
      </c>
      <c r="V357" s="4">
        <v>12</v>
      </c>
      <c r="W357" s="4">
        <v>12</v>
      </c>
      <c r="X357" s="4">
        <v>15</v>
      </c>
      <c r="Y357" s="4"/>
      <c r="Z357" s="4">
        <v>174.14</v>
      </c>
      <c r="AA357" s="4">
        <v>200</v>
      </c>
      <c r="AB357" s="18"/>
      <c r="AC357" s="18">
        <v>6</v>
      </c>
      <c r="AD357" s="28"/>
      <c r="AE357" s="26"/>
      <c r="AF357" s="28"/>
    </row>
    <row r="358" spans="1:32" ht="12.6" customHeight="1" x14ac:dyDescent="0.25">
      <c r="A358" s="14">
        <v>45695</v>
      </c>
      <c r="B358" s="14" t="s">
        <v>45</v>
      </c>
      <c r="C358" s="15">
        <v>2</v>
      </c>
      <c r="D358" s="16"/>
      <c r="E358" s="16"/>
      <c r="F358" s="17"/>
      <c r="G358" s="21"/>
      <c r="H358" s="21"/>
      <c r="I358" s="4">
        <v>0</v>
      </c>
      <c r="J358" s="4">
        <v>0</v>
      </c>
      <c r="K358" s="4"/>
      <c r="L358" s="16"/>
      <c r="M358" s="4"/>
      <c r="N358" s="4"/>
      <c r="O358" s="4"/>
      <c r="P358" s="4"/>
      <c r="Q358" s="4"/>
      <c r="R358" s="4"/>
      <c r="S358" s="4">
        <v>0</v>
      </c>
      <c r="T358" s="4">
        <v>0</v>
      </c>
      <c r="U358" s="4">
        <v>0</v>
      </c>
      <c r="V358" s="4">
        <v>12</v>
      </c>
      <c r="W358" s="4">
        <v>12</v>
      </c>
      <c r="X358" s="4">
        <v>0</v>
      </c>
      <c r="Y358" s="4"/>
      <c r="Z358" s="4">
        <v>179.86</v>
      </c>
      <c r="AA358" s="4">
        <v>200</v>
      </c>
      <c r="AB358" s="18"/>
      <c r="AC358" s="18">
        <v>6</v>
      </c>
      <c r="AD358" s="28"/>
      <c r="AE358" s="26"/>
      <c r="AF358" s="28"/>
    </row>
    <row r="359" spans="1:32" ht="12.6" customHeight="1" x14ac:dyDescent="0.25">
      <c r="A359" s="14">
        <v>45695</v>
      </c>
      <c r="B359" s="14" t="s">
        <v>46</v>
      </c>
      <c r="C359" s="15">
        <v>2</v>
      </c>
      <c r="D359" s="16"/>
      <c r="E359" s="16"/>
      <c r="F359" s="17"/>
      <c r="G359" s="21"/>
      <c r="H359" s="21"/>
      <c r="I359" s="4">
        <v>0</v>
      </c>
      <c r="J359" s="4">
        <v>0</v>
      </c>
      <c r="K359" s="4"/>
      <c r="L359" s="16"/>
      <c r="M359" s="4"/>
      <c r="N359" s="4"/>
      <c r="O359" s="4"/>
      <c r="P359" s="4"/>
      <c r="Q359" s="4"/>
      <c r="R359" s="4"/>
      <c r="S359" s="4">
        <v>0</v>
      </c>
      <c r="T359" s="4">
        <v>0</v>
      </c>
      <c r="U359" s="4">
        <v>0</v>
      </c>
      <c r="V359" s="4">
        <v>12</v>
      </c>
      <c r="W359" s="4">
        <v>12</v>
      </c>
      <c r="X359" s="4">
        <v>0</v>
      </c>
      <c r="Y359" s="4"/>
      <c r="Z359" s="4">
        <v>188.01999999999998</v>
      </c>
      <c r="AA359" s="4">
        <v>200</v>
      </c>
      <c r="AB359" s="18"/>
      <c r="AC359" s="18">
        <v>6</v>
      </c>
      <c r="AD359" s="28"/>
      <c r="AE359" s="26"/>
      <c r="AF359" s="28"/>
    </row>
    <row r="360" spans="1:32" ht="12.6" customHeight="1" x14ac:dyDescent="0.25">
      <c r="A360" s="14">
        <v>45695</v>
      </c>
      <c r="B360" s="14" t="s">
        <v>45</v>
      </c>
      <c r="C360" s="15">
        <v>3</v>
      </c>
      <c r="D360" s="16"/>
      <c r="E360" s="16"/>
      <c r="F360" s="17"/>
      <c r="G360" s="21"/>
      <c r="H360" s="21"/>
      <c r="I360" s="4">
        <v>0</v>
      </c>
      <c r="J360" s="4">
        <v>0</v>
      </c>
      <c r="K360" s="4"/>
      <c r="L360" s="16"/>
      <c r="M360" s="4"/>
      <c r="N360" s="4"/>
      <c r="O360" s="4"/>
      <c r="P360" s="4"/>
      <c r="Q360" s="4"/>
      <c r="R360" s="4"/>
      <c r="S360" s="4">
        <v>0</v>
      </c>
      <c r="T360" s="4">
        <v>0</v>
      </c>
      <c r="U360" s="4">
        <v>0</v>
      </c>
      <c r="V360" s="4">
        <v>12</v>
      </c>
      <c r="W360" s="4">
        <v>12</v>
      </c>
      <c r="X360" s="4">
        <v>0</v>
      </c>
      <c r="Y360" s="4"/>
      <c r="Z360" s="4">
        <v>307.41000000000008</v>
      </c>
      <c r="AA360" s="4">
        <v>300</v>
      </c>
      <c r="AB360" s="18"/>
      <c r="AC360" s="18">
        <v>6</v>
      </c>
      <c r="AD360" s="28"/>
      <c r="AE360" s="26"/>
      <c r="AF360" s="28"/>
    </row>
    <row r="361" spans="1:32" ht="12.6" customHeight="1" x14ac:dyDescent="0.25">
      <c r="A361" s="14">
        <v>45695</v>
      </c>
      <c r="B361" s="14" t="s">
        <v>46</v>
      </c>
      <c r="C361" s="15">
        <v>3</v>
      </c>
      <c r="D361" s="16"/>
      <c r="E361" s="16"/>
      <c r="F361" s="17"/>
      <c r="G361" s="21"/>
      <c r="H361" s="21"/>
      <c r="I361" s="4">
        <v>0</v>
      </c>
      <c r="J361" s="4">
        <v>0</v>
      </c>
      <c r="K361" s="4"/>
      <c r="L361" s="16"/>
      <c r="M361" s="4"/>
      <c r="N361" s="4"/>
      <c r="O361" s="4"/>
      <c r="P361" s="4"/>
      <c r="Q361" s="4"/>
      <c r="R361" s="4"/>
      <c r="S361" s="4">
        <v>0</v>
      </c>
      <c r="T361" s="4">
        <v>0</v>
      </c>
      <c r="U361" s="4">
        <v>0</v>
      </c>
      <c r="V361" s="4">
        <v>12</v>
      </c>
      <c r="W361" s="4">
        <v>12</v>
      </c>
      <c r="X361" s="4">
        <v>0</v>
      </c>
      <c r="Y361" s="4"/>
      <c r="Z361" s="4">
        <v>337.36999999999995</v>
      </c>
      <c r="AA361" s="4">
        <v>350</v>
      </c>
      <c r="AB361" s="18"/>
      <c r="AC361" s="18">
        <v>6</v>
      </c>
      <c r="AD361" s="28"/>
      <c r="AE361" s="26"/>
      <c r="AF361" s="28"/>
    </row>
    <row r="362" spans="1:32" ht="12.6" customHeight="1" x14ac:dyDescent="0.25">
      <c r="A362" s="14">
        <v>45695</v>
      </c>
      <c r="B362" s="14" t="s">
        <v>45</v>
      </c>
      <c r="C362" s="15">
        <v>5</v>
      </c>
      <c r="D362" s="16"/>
      <c r="E362" s="16"/>
      <c r="F362" s="17"/>
      <c r="G362" s="21"/>
      <c r="H362" s="21"/>
      <c r="I362" s="4">
        <v>0</v>
      </c>
      <c r="J362" s="4">
        <v>0</v>
      </c>
      <c r="K362" s="4"/>
      <c r="L362" s="16"/>
      <c r="M362" s="4"/>
      <c r="N362" s="4"/>
      <c r="O362" s="4"/>
      <c r="P362" s="4"/>
      <c r="Q362" s="4"/>
      <c r="R362" s="4"/>
      <c r="S362" s="4">
        <v>0</v>
      </c>
      <c r="T362" s="4">
        <v>0</v>
      </c>
      <c r="U362" s="4">
        <v>0</v>
      </c>
      <c r="V362" s="4">
        <v>12</v>
      </c>
      <c r="W362" s="4">
        <v>12</v>
      </c>
      <c r="X362" s="4">
        <v>0</v>
      </c>
      <c r="Y362" s="4"/>
      <c r="Z362" s="4">
        <v>65.88000000000001</v>
      </c>
      <c r="AA362" s="4">
        <v>100</v>
      </c>
      <c r="AB362" s="18"/>
      <c r="AC362" s="18">
        <v>6</v>
      </c>
      <c r="AD362" s="28"/>
      <c r="AE362" s="26"/>
      <c r="AF362" s="28"/>
    </row>
    <row r="363" spans="1:32" ht="12.6" customHeight="1" x14ac:dyDescent="0.25">
      <c r="A363" s="14">
        <v>45695</v>
      </c>
      <c r="B363" s="14" t="s">
        <v>46</v>
      </c>
      <c r="C363" s="15">
        <v>5</v>
      </c>
      <c r="D363" s="16"/>
      <c r="E363" s="16"/>
      <c r="F363" s="17"/>
      <c r="G363" s="21"/>
      <c r="H363" s="21"/>
      <c r="I363" s="4">
        <v>0</v>
      </c>
      <c r="J363" s="4">
        <v>0</v>
      </c>
      <c r="K363" s="4"/>
      <c r="L363" s="16"/>
      <c r="M363" s="4"/>
      <c r="N363" s="4"/>
      <c r="O363" s="4"/>
      <c r="P363" s="4"/>
      <c r="Q363" s="4"/>
      <c r="R363" s="4"/>
      <c r="S363" s="4">
        <v>0</v>
      </c>
      <c r="T363" s="4">
        <v>0</v>
      </c>
      <c r="U363" s="4">
        <v>0</v>
      </c>
      <c r="V363" s="4">
        <v>12</v>
      </c>
      <c r="W363" s="4">
        <v>12</v>
      </c>
      <c r="X363" s="4">
        <v>0</v>
      </c>
      <c r="Y363" s="4"/>
      <c r="Z363" s="4">
        <v>566.04999999999995</v>
      </c>
      <c r="AA363" s="4">
        <v>600</v>
      </c>
      <c r="AB363" s="18"/>
      <c r="AC363" s="18">
        <v>6</v>
      </c>
      <c r="AD363" s="28"/>
      <c r="AE363" s="26"/>
      <c r="AF363" s="28"/>
    </row>
    <row r="364" spans="1:32" ht="12.6" customHeight="1" x14ac:dyDescent="0.25">
      <c r="A364" s="14">
        <v>45696</v>
      </c>
      <c r="B364" s="14" t="s">
        <v>45</v>
      </c>
      <c r="C364" s="15">
        <v>1</v>
      </c>
      <c r="D364" s="16">
        <v>5</v>
      </c>
      <c r="E364" s="16"/>
      <c r="F364" s="17"/>
      <c r="G364" s="21"/>
      <c r="H364" s="21"/>
      <c r="I364" s="4">
        <v>5</v>
      </c>
      <c r="J364" s="4">
        <v>8.3333333333333329E-2</v>
      </c>
      <c r="K364" s="4"/>
      <c r="L364" s="16"/>
      <c r="M364" s="4"/>
      <c r="N364" s="4"/>
      <c r="O364" s="4"/>
      <c r="P364" s="4"/>
      <c r="Q364" s="4"/>
      <c r="R364" s="4"/>
      <c r="S364" s="4">
        <v>0</v>
      </c>
      <c r="T364" s="4">
        <v>0</v>
      </c>
      <c r="U364" s="4">
        <v>8.3333333333333329E-2</v>
      </c>
      <c r="V364" s="4">
        <v>11.916666666666666</v>
      </c>
      <c r="W364" s="4">
        <v>12</v>
      </c>
      <c r="X364" s="4">
        <v>25</v>
      </c>
      <c r="Y364" s="4">
        <v>1174</v>
      </c>
      <c r="Z364" s="4">
        <v>161.1</v>
      </c>
      <c r="AA364" s="4">
        <v>150</v>
      </c>
      <c r="AB364" s="18">
        <v>398</v>
      </c>
      <c r="AC364" s="18">
        <v>6</v>
      </c>
      <c r="AD364" s="28"/>
      <c r="AE364" s="26"/>
      <c r="AF364" s="28"/>
    </row>
    <row r="365" spans="1:32" ht="12.6" customHeight="1" x14ac:dyDescent="0.25">
      <c r="A365" s="14">
        <v>45696</v>
      </c>
      <c r="B365" s="14" t="s">
        <v>46</v>
      </c>
      <c r="C365" s="15">
        <v>1</v>
      </c>
      <c r="D365" s="16"/>
      <c r="E365" s="16"/>
      <c r="F365" s="17"/>
      <c r="G365" s="21"/>
      <c r="H365" s="21"/>
      <c r="I365" s="4">
        <v>0</v>
      </c>
      <c r="J365" s="4">
        <v>0</v>
      </c>
      <c r="K365" s="4"/>
      <c r="L365" s="16"/>
      <c r="M365" s="4"/>
      <c r="N365" s="4"/>
      <c r="O365" s="4"/>
      <c r="P365" s="4"/>
      <c r="Q365" s="4"/>
      <c r="R365" s="4"/>
      <c r="S365" s="4">
        <v>0</v>
      </c>
      <c r="T365" s="4">
        <v>0</v>
      </c>
      <c r="U365" s="4">
        <v>0</v>
      </c>
      <c r="V365" s="4">
        <v>12</v>
      </c>
      <c r="W365" s="4">
        <v>12</v>
      </c>
      <c r="X365" s="4">
        <v>25</v>
      </c>
      <c r="Y365" s="4"/>
      <c r="Z365" s="4">
        <v>124.59</v>
      </c>
      <c r="AA365" s="4">
        <v>150</v>
      </c>
      <c r="AB365" s="18"/>
      <c r="AC365" s="18">
        <v>6</v>
      </c>
      <c r="AD365" s="28"/>
      <c r="AE365" s="26"/>
      <c r="AF365" s="28"/>
    </row>
    <row r="366" spans="1:32" ht="12.6" customHeight="1" x14ac:dyDescent="0.25">
      <c r="A366" s="14">
        <v>45696</v>
      </c>
      <c r="B366" s="14" t="s">
        <v>45</v>
      </c>
      <c r="C366" s="15">
        <v>2</v>
      </c>
      <c r="D366" s="16"/>
      <c r="E366" s="16"/>
      <c r="F366" s="17"/>
      <c r="G366" s="21"/>
      <c r="H366" s="21"/>
      <c r="I366" s="4">
        <v>0</v>
      </c>
      <c r="J366" s="4">
        <v>0</v>
      </c>
      <c r="K366" s="4"/>
      <c r="L366" s="16"/>
      <c r="M366" s="4"/>
      <c r="N366" s="4"/>
      <c r="O366" s="4"/>
      <c r="P366" s="4"/>
      <c r="Q366" s="4"/>
      <c r="R366" s="4"/>
      <c r="S366" s="4">
        <v>0</v>
      </c>
      <c r="T366" s="4">
        <v>0</v>
      </c>
      <c r="U366" s="4">
        <v>0</v>
      </c>
      <c r="V366" s="4">
        <v>12</v>
      </c>
      <c r="W366" s="4">
        <v>12</v>
      </c>
      <c r="X366" s="4">
        <v>0</v>
      </c>
      <c r="Y366" s="4"/>
      <c r="Z366" s="4">
        <v>184.39999999999998</v>
      </c>
      <c r="AA366" s="4">
        <v>200</v>
      </c>
      <c r="AB366" s="18"/>
      <c r="AC366" s="18">
        <v>6</v>
      </c>
      <c r="AD366" s="28"/>
      <c r="AE366" s="26"/>
      <c r="AF366" s="28"/>
    </row>
    <row r="367" spans="1:32" ht="12.6" customHeight="1" x14ac:dyDescent="0.25">
      <c r="A367" s="14">
        <v>45696</v>
      </c>
      <c r="B367" s="14" t="s">
        <v>46</v>
      </c>
      <c r="C367" s="15">
        <v>2</v>
      </c>
      <c r="D367" s="16"/>
      <c r="E367" s="16"/>
      <c r="F367" s="17"/>
      <c r="G367" s="21"/>
      <c r="H367" s="21"/>
      <c r="I367" s="4">
        <v>0</v>
      </c>
      <c r="J367" s="4">
        <v>0</v>
      </c>
      <c r="K367" s="4"/>
      <c r="L367" s="16"/>
      <c r="M367" s="4"/>
      <c r="N367" s="4"/>
      <c r="O367" s="4"/>
      <c r="P367" s="4"/>
      <c r="Q367" s="4"/>
      <c r="R367" s="4"/>
      <c r="S367" s="4">
        <v>0</v>
      </c>
      <c r="T367" s="4">
        <v>0</v>
      </c>
      <c r="U367" s="4">
        <v>0</v>
      </c>
      <c r="V367" s="4">
        <v>12</v>
      </c>
      <c r="W367" s="4">
        <v>12</v>
      </c>
      <c r="X367" s="4">
        <v>0</v>
      </c>
      <c r="Y367" s="4"/>
      <c r="Z367" s="4">
        <v>146.14999999999998</v>
      </c>
      <c r="AA367" s="4">
        <v>150</v>
      </c>
      <c r="AB367" s="18"/>
      <c r="AC367" s="18">
        <v>6</v>
      </c>
      <c r="AD367" s="28"/>
      <c r="AE367" s="26"/>
      <c r="AF367" s="28"/>
    </row>
    <row r="368" spans="1:32" ht="12.6" customHeight="1" x14ac:dyDescent="0.25">
      <c r="A368" s="14">
        <v>45696</v>
      </c>
      <c r="B368" s="14" t="s">
        <v>45</v>
      </c>
      <c r="C368" s="15">
        <v>3</v>
      </c>
      <c r="D368" s="16"/>
      <c r="E368" s="16"/>
      <c r="F368" s="17"/>
      <c r="G368" s="21"/>
      <c r="H368" s="21"/>
      <c r="I368" s="4">
        <v>0</v>
      </c>
      <c r="J368" s="4">
        <v>0</v>
      </c>
      <c r="K368" s="4"/>
      <c r="L368" s="16"/>
      <c r="M368" s="4"/>
      <c r="N368" s="4"/>
      <c r="O368" s="4"/>
      <c r="P368" s="4">
        <v>90</v>
      </c>
      <c r="Q368" s="4"/>
      <c r="R368" s="4"/>
      <c r="S368" s="4">
        <v>90</v>
      </c>
      <c r="T368" s="4">
        <v>1.5</v>
      </c>
      <c r="U368" s="4">
        <v>1.5</v>
      </c>
      <c r="V368" s="4">
        <v>10.5</v>
      </c>
      <c r="W368" s="4">
        <v>12</v>
      </c>
      <c r="X368" s="4">
        <v>0</v>
      </c>
      <c r="Y368" s="4"/>
      <c r="Z368" s="4">
        <v>324.72000000000003</v>
      </c>
      <c r="AA368" s="4">
        <v>350</v>
      </c>
      <c r="AB368" s="18"/>
      <c r="AC368" s="18">
        <v>6</v>
      </c>
      <c r="AD368" s="28"/>
      <c r="AE368" s="26"/>
      <c r="AF368" s="28"/>
    </row>
    <row r="369" spans="1:32" ht="12.6" customHeight="1" x14ac:dyDescent="0.25">
      <c r="A369" s="14">
        <v>45696</v>
      </c>
      <c r="B369" s="14" t="s">
        <v>46</v>
      </c>
      <c r="C369" s="15">
        <v>3</v>
      </c>
      <c r="D369" s="16"/>
      <c r="E369" s="16"/>
      <c r="F369" s="17"/>
      <c r="G369" s="21"/>
      <c r="H369" s="21"/>
      <c r="I369" s="4">
        <v>0</v>
      </c>
      <c r="J369" s="4">
        <v>0</v>
      </c>
      <c r="K369" s="4"/>
      <c r="L369" s="16"/>
      <c r="M369" s="4"/>
      <c r="N369" s="4"/>
      <c r="O369" s="4"/>
      <c r="P369" s="4"/>
      <c r="Q369" s="4"/>
      <c r="R369" s="4"/>
      <c r="S369" s="4">
        <v>0</v>
      </c>
      <c r="T369" s="4">
        <v>0</v>
      </c>
      <c r="U369" s="4">
        <v>0</v>
      </c>
      <c r="V369" s="4">
        <v>12</v>
      </c>
      <c r="W369" s="4">
        <v>12</v>
      </c>
      <c r="X369" s="4">
        <v>0</v>
      </c>
      <c r="Y369" s="4"/>
      <c r="Z369" s="4">
        <v>276.33</v>
      </c>
      <c r="AA369" s="4">
        <v>300</v>
      </c>
      <c r="AB369" s="18"/>
      <c r="AC369" s="18">
        <v>6</v>
      </c>
      <c r="AD369" s="28"/>
      <c r="AE369" s="26"/>
      <c r="AF369" s="28"/>
    </row>
    <row r="370" spans="1:32" ht="12.6" customHeight="1" x14ac:dyDescent="0.25">
      <c r="A370" s="14">
        <v>45696</v>
      </c>
      <c r="B370" s="14" t="s">
        <v>45</v>
      </c>
      <c r="C370" s="15">
        <v>5</v>
      </c>
      <c r="D370" s="16"/>
      <c r="E370" s="16"/>
      <c r="F370" s="17"/>
      <c r="G370" s="21"/>
      <c r="H370" s="21"/>
      <c r="I370" s="4">
        <v>0</v>
      </c>
      <c r="J370" s="4">
        <v>0</v>
      </c>
      <c r="K370" s="4"/>
      <c r="L370" s="16"/>
      <c r="M370" s="4"/>
      <c r="N370" s="4"/>
      <c r="O370" s="4"/>
      <c r="P370" s="4"/>
      <c r="Q370" s="4"/>
      <c r="R370" s="4"/>
      <c r="S370" s="4">
        <v>0</v>
      </c>
      <c r="T370" s="4">
        <v>0</v>
      </c>
      <c r="U370" s="4">
        <v>0</v>
      </c>
      <c r="V370" s="4">
        <v>12</v>
      </c>
      <c r="W370" s="4">
        <v>12</v>
      </c>
      <c r="X370" s="4">
        <v>0</v>
      </c>
      <c r="Y370" s="4"/>
      <c r="Z370" s="4">
        <v>640.51</v>
      </c>
      <c r="AA370" s="4">
        <v>650</v>
      </c>
      <c r="AB370" s="18"/>
      <c r="AC370" s="18">
        <v>6</v>
      </c>
      <c r="AD370" s="28"/>
      <c r="AE370" s="26"/>
      <c r="AF370" s="28"/>
    </row>
    <row r="371" spans="1:32" ht="12.6" customHeight="1" x14ac:dyDescent="0.25">
      <c r="A371" s="14">
        <v>45696</v>
      </c>
      <c r="B371" s="14" t="s">
        <v>46</v>
      </c>
      <c r="C371" s="15">
        <v>5</v>
      </c>
      <c r="D371" s="16"/>
      <c r="E371" s="16"/>
      <c r="F371" s="17"/>
      <c r="G371" s="21"/>
      <c r="H371" s="21"/>
      <c r="I371" s="4">
        <v>0</v>
      </c>
      <c r="J371" s="4">
        <v>0</v>
      </c>
      <c r="K371" s="4"/>
      <c r="L371" s="16"/>
      <c r="M371" s="4"/>
      <c r="N371" s="4"/>
      <c r="O371" s="4"/>
      <c r="P371" s="4"/>
      <c r="Q371" s="4"/>
      <c r="R371" s="4"/>
      <c r="S371" s="4">
        <v>0</v>
      </c>
      <c r="T371" s="4">
        <v>0</v>
      </c>
      <c r="U371" s="4">
        <v>0</v>
      </c>
      <c r="V371" s="4">
        <v>12</v>
      </c>
      <c r="W371" s="4">
        <v>12</v>
      </c>
      <c r="X371" s="4">
        <v>0</v>
      </c>
      <c r="Y371" s="4"/>
      <c r="Z371" s="4">
        <v>566.18999999999994</v>
      </c>
      <c r="AA371" s="4">
        <v>550</v>
      </c>
      <c r="AB371" s="18"/>
      <c r="AC371" s="18">
        <v>6</v>
      </c>
      <c r="AD371" s="28"/>
      <c r="AE371" s="26"/>
      <c r="AF371" s="28"/>
    </row>
    <row r="372" spans="1:32" ht="12.6" customHeight="1" x14ac:dyDescent="0.25">
      <c r="A372" s="14">
        <v>45698</v>
      </c>
      <c r="B372" s="14" t="s">
        <v>45</v>
      </c>
      <c r="C372" s="15">
        <v>1</v>
      </c>
      <c r="D372" s="16">
        <v>30</v>
      </c>
      <c r="E372" s="16"/>
      <c r="F372" s="17"/>
      <c r="G372" s="21"/>
      <c r="H372" s="21"/>
      <c r="I372" s="4">
        <v>30</v>
      </c>
      <c r="J372" s="4">
        <v>0.5</v>
      </c>
      <c r="K372" s="4"/>
      <c r="L372" s="16"/>
      <c r="M372" s="4"/>
      <c r="N372" s="4"/>
      <c r="O372" s="4"/>
      <c r="P372" s="4"/>
      <c r="Q372" s="4">
        <v>10</v>
      </c>
      <c r="R372" s="4"/>
      <c r="S372" s="4">
        <v>10</v>
      </c>
      <c r="T372" s="4">
        <v>0.16666666666666666</v>
      </c>
      <c r="U372" s="4">
        <v>0.66666666666666663</v>
      </c>
      <c r="V372" s="4">
        <v>11.333333333333334</v>
      </c>
      <c r="W372" s="4">
        <v>12</v>
      </c>
      <c r="X372" s="4">
        <v>28</v>
      </c>
      <c r="Y372" s="4">
        <v>1972</v>
      </c>
      <c r="Z372" s="4">
        <v>88.01</v>
      </c>
      <c r="AA372" s="4">
        <v>150</v>
      </c>
      <c r="AB372" s="18">
        <v>398</v>
      </c>
      <c r="AC372" s="18">
        <v>7</v>
      </c>
      <c r="AD372" s="28"/>
      <c r="AE372" s="26"/>
      <c r="AF372" s="28"/>
    </row>
    <row r="373" spans="1:32" ht="12.6" customHeight="1" x14ac:dyDescent="0.25">
      <c r="A373" s="14">
        <v>45698</v>
      </c>
      <c r="B373" s="14" t="s">
        <v>46</v>
      </c>
      <c r="C373" s="15">
        <v>1</v>
      </c>
      <c r="D373" s="16"/>
      <c r="E373" s="16"/>
      <c r="F373" s="17"/>
      <c r="G373" s="21"/>
      <c r="H373" s="21"/>
      <c r="I373" s="4">
        <v>0</v>
      </c>
      <c r="J373" s="4">
        <v>0</v>
      </c>
      <c r="K373" s="4"/>
      <c r="L373" s="16"/>
      <c r="M373" s="4"/>
      <c r="N373" s="4"/>
      <c r="O373" s="4"/>
      <c r="P373" s="4"/>
      <c r="Q373" s="4"/>
      <c r="R373" s="4"/>
      <c r="S373" s="4">
        <v>0</v>
      </c>
      <c r="T373" s="4">
        <v>0</v>
      </c>
      <c r="U373" s="4">
        <v>0</v>
      </c>
      <c r="V373" s="4">
        <v>12</v>
      </c>
      <c r="W373" s="4">
        <v>12</v>
      </c>
      <c r="X373" s="4">
        <v>45</v>
      </c>
      <c r="Y373" s="4"/>
      <c r="Z373" s="4">
        <v>118</v>
      </c>
      <c r="AA373" s="4">
        <v>150</v>
      </c>
      <c r="AB373" s="18"/>
      <c r="AC373" s="18">
        <v>7</v>
      </c>
      <c r="AD373" s="28"/>
      <c r="AE373" s="26"/>
      <c r="AF373" s="28"/>
    </row>
    <row r="374" spans="1:32" ht="12.6" customHeight="1" x14ac:dyDescent="0.25">
      <c r="A374" s="14">
        <v>45698</v>
      </c>
      <c r="B374" s="14" t="s">
        <v>45</v>
      </c>
      <c r="C374" s="15">
        <v>2</v>
      </c>
      <c r="D374" s="16"/>
      <c r="E374" s="16"/>
      <c r="F374" s="17"/>
      <c r="G374" s="21"/>
      <c r="H374" s="21"/>
      <c r="I374" s="4">
        <v>0</v>
      </c>
      <c r="J374" s="4">
        <v>0</v>
      </c>
      <c r="K374" s="4"/>
      <c r="L374" s="16"/>
      <c r="M374" s="4"/>
      <c r="N374" s="4"/>
      <c r="O374" s="4"/>
      <c r="P374" s="4"/>
      <c r="Q374" s="4"/>
      <c r="R374" s="4"/>
      <c r="S374" s="4">
        <v>0</v>
      </c>
      <c r="T374" s="4">
        <v>0</v>
      </c>
      <c r="U374" s="4">
        <v>0</v>
      </c>
      <c r="V374" s="4">
        <v>12</v>
      </c>
      <c r="W374" s="4">
        <v>12</v>
      </c>
      <c r="X374" s="4">
        <v>0</v>
      </c>
      <c r="Y374" s="4"/>
      <c r="Z374" s="4">
        <v>145.10999999999999</v>
      </c>
      <c r="AA374" s="4">
        <v>200</v>
      </c>
      <c r="AB374" s="18"/>
      <c r="AC374" s="18">
        <v>7</v>
      </c>
      <c r="AD374" s="28"/>
      <c r="AE374" s="26"/>
      <c r="AF374" s="28"/>
    </row>
    <row r="375" spans="1:32" ht="12.6" customHeight="1" x14ac:dyDescent="0.25">
      <c r="A375" s="14">
        <v>45698</v>
      </c>
      <c r="B375" s="14" t="s">
        <v>46</v>
      </c>
      <c r="C375" s="15">
        <v>2</v>
      </c>
      <c r="D375" s="16"/>
      <c r="E375" s="16"/>
      <c r="F375" s="17"/>
      <c r="G375" s="21"/>
      <c r="H375" s="21"/>
      <c r="I375" s="4">
        <v>0</v>
      </c>
      <c r="J375" s="4">
        <v>0</v>
      </c>
      <c r="K375" s="4"/>
      <c r="L375" s="16"/>
      <c r="M375" s="4"/>
      <c r="N375" s="4"/>
      <c r="O375" s="4"/>
      <c r="P375" s="4"/>
      <c r="Q375" s="4"/>
      <c r="R375" s="4"/>
      <c r="S375" s="4">
        <v>0</v>
      </c>
      <c r="T375" s="4">
        <v>0</v>
      </c>
      <c r="U375" s="4">
        <v>0</v>
      </c>
      <c r="V375" s="4">
        <v>12</v>
      </c>
      <c r="W375" s="4">
        <v>12</v>
      </c>
      <c r="X375" s="4">
        <v>0</v>
      </c>
      <c r="Y375" s="4"/>
      <c r="Z375" s="4">
        <v>177.19499999999999</v>
      </c>
      <c r="AA375" s="4">
        <v>200</v>
      </c>
      <c r="AB375" s="18"/>
      <c r="AC375" s="18">
        <v>7</v>
      </c>
      <c r="AD375" s="28"/>
      <c r="AE375" s="26"/>
      <c r="AF375" s="28"/>
    </row>
    <row r="376" spans="1:32" ht="12.6" customHeight="1" x14ac:dyDescent="0.25">
      <c r="A376" s="14">
        <v>45698</v>
      </c>
      <c r="B376" s="14" t="s">
        <v>45</v>
      </c>
      <c r="C376" s="15">
        <v>3</v>
      </c>
      <c r="D376" s="16"/>
      <c r="E376" s="16"/>
      <c r="F376" s="17"/>
      <c r="G376" s="21"/>
      <c r="H376" s="21"/>
      <c r="I376" s="4">
        <v>0</v>
      </c>
      <c r="J376" s="4">
        <v>0</v>
      </c>
      <c r="K376" s="4"/>
      <c r="L376" s="16"/>
      <c r="M376" s="4"/>
      <c r="N376" s="4"/>
      <c r="O376" s="4"/>
      <c r="P376" s="4"/>
      <c r="Q376" s="4"/>
      <c r="R376" s="4"/>
      <c r="S376" s="4">
        <v>0</v>
      </c>
      <c r="T376" s="4">
        <v>0</v>
      </c>
      <c r="U376" s="4">
        <v>0</v>
      </c>
      <c r="V376" s="4">
        <v>12</v>
      </c>
      <c r="W376" s="4">
        <v>12</v>
      </c>
      <c r="X376" s="4">
        <v>0</v>
      </c>
      <c r="Y376" s="4"/>
      <c r="Z376" s="4">
        <v>239.25</v>
      </c>
      <c r="AA376" s="4">
        <v>250</v>
      </c>
      <c r="AB376" s="18"/>
      <c r="AC376" s="18">
        <v>7</v>
      </c>
      <c r="AD376" s="28"/>
      <c r="AE376" s="26"/>
      <c r="AF376" s="28"/>
    </row>
    <row r="377" spans="1:32" ht="12.6" customHeight="1" x14ac:dyDescent="0.25">
      <c r="A377" s="14">
        <v>45698</v>
      </c>
      <c r="B377" s="14" t="s">
        <v>46</v>
      </c>
      <c r="C377" s="15">
        <v>3</v>
      </c>
      <c r="D377" s="16"/>
      <c r="E377" s="16"/>
      <c r="F377" s="17"/>
      <c r="G377" s="21"/>
      <c r="H377" s="21"/>
      <c r="I377" s="4">
        <v>0</v>
      </c>
      <c r="J377" s="4">
        <v>0</v>
      </c>
      <c r="K377" s="4"/>
      <c r="L377" s="16"/>
      <c r="M377" s="4"/>
      <c r="N377" s="4"/>
      <c r="O377" s="4"/>
      <c r="P377" s="4"/>
      <c r="Q377" s="4"/>
      <c r="R377" s="4"/>
      <c r="S377" s="4">
        <v>0</v>
      </c>
      <c r="T377" s="4">
        <v>0</v>
      </c>
      <c r="U377" s="4">
        <v>0</v>
      </c>
      <c r="V377" s="4">
        <v>12</v>
      </c>
      <c r="W377" s="4">
        <v>12</v>
      </c>
      <c r="X377" s="4">
        <v>0</v>
      </c>
      <c r="Y377" s="4"/>
      <c r="Z377" s="4">
        <v>281.48</v>
      </c>
      <c r="AA377" s="4">
        <v>350</v>
      </c>
      <c r="AB377" s="18"/>
      <c r="AC377" s="18">
        <v>7</v>
      </c>
      <c r="AD377" s="28"/>
      <c r="AE377" s="26"/>
      <c r="AF377" s="28"/>
    </row>
    <row r="378" spans="1:32" ht="12.6" customHeight="1" x14ac:dyDescent="0.25">
      <c r="A378" s="14">
        <v>45698</v>
      </c>
      <c r="B378" s="14" t="s">
        <v>45</v>
      </c>
      <c r="C378" s="15">
        <v>4</v>
      </c>
      <c r="D378" s="16"/>
      <c r="E378" s="16"/>
      <c r="F378" s="17"/>
      <c r="G378" s="21"/>
      <c r="H378" s="21"/>
      <c r="I378" s="4">
        <v>0</v>
      </c>
      <c r="J378" s="4">
        <v>0</v>
      </c>
      <c r="K378" s="4"/>
      <c r="L378" s="16"/>
      <c r="M378" s="4"/>
      <c r="N378" s="4"/>
      <c r="O378" s="4"/>
      <c r="P378" s="4"/>
      <c r="Q378" s="4"/>
      <c r="R378" s="4"/>
      <c r="S378" s="4">
        <v>0</v>
      </c>
      <c r="T378" s="4">
        <v>0</v>
      </c>
      <c r="U378" s="4">
        <v>0</v>
      </c>
      <c r="V378" s="4">
        <v>12</v>
      </c>
      <c r="W378" s="4">
        <v>12</v>
      </c>
      <c r="X378" s="4">
        <v>0</v>
      </c>
      <c r="Y378" s="4"/>
      <c r="Z378" s="4">
        <v>441.63</v>
      </c>
      <c r="AA378" s="4">
        <v>450</v>
      </c>
      <c r="AB378" s="18"/>
      <c r="AC378" s="18">
        <v>7</v>
      </c>
      <c r="AD378" s="28"/>
      <c r="AE378" s="26"/>
      <c r="AF378" s="28"/>
    </row>
    <row r="379" spans="1:32" ht="12.6" customHeight="1" x14ac:dyDescent="0.25">
      <c r="A379" s="14">
        <v>45698</v>
      </c>
      <c r="B379" s="14" t="s">
        <v>46</v>
      </c>
      <c r="C379" s="15">
        <v>4</v>
      </c>
      <c r="D379" s="16"/>
      <c r="E379" s="16"/>
      <c r="F379" s="17"/>
      <c r="G379" s="21"/>
      <c r="H379" s="21"/>
      <c r="I379" s="4">
        <v>0</v>
      </c>
      <c r="J379" s="4">
        <v>0</v>
      </c>
      <c r="K379" s="4"/>
      <c r="L379" s="16"/>
      <c r="M379" s="4"/>
      <c r="N379" s="4"/>
      <c r="O379" s="4"/>
      <c r="P379" s="4"/>
      <c r="Q379" s="4"/>
      <c r="R379" s="4"/>
      <c r="S379" s="4">
        <v>0</v>
      </c>
      <c r="T379" s="4">
        <v>0</v>
      </c>
      <c r="U379" s="4">
        <v>0</v>
      </c>
      <c r="V379" s="4">
        <v>12</v>
      </c>
      <c r="W379" s="4">
        <v>12</v>
      </c>
      <c r="X379" s="4">
        <v>0</v>
      </c>
      <c r="Y379" s="4"/>
      <c r="Z379" s="4">
        <v>600.29999999999995</v>
      </c>
      <c r="AA379" s="4">
        <v>600</v>
      </c>
      <c r="AB379" s="18"/>
      <c r="AC379" s="18">
        <v>7</v>
      </c>
      <c r="AD379" s="28"/>
      <c r="AE379" s="26"/>
      <c r="AF379" s="28"/>
    </row>
    <row r="380" spans="1:32" ht="12.6" customHeight="1" x14ac:dyDescent="0.25">
      <c r="A380" s="14">
        <v>45698</v>
      </c>
      <c r="B380" s="14" t="s">
        <v>45</v>
      </c>
      <c r="C380" s="15">
        <v>5</v>
      </c>
      <c r="D380" s="16"/>
      <c r="E380" s="16"/>
      <c r="F380" s="17"/>
      <c r="G380" s="21"/>
      <c r="H380" s="21"/>
      <c r="I380" s="4">
        <v>0</v>
      </c>
      <c r="J380" s="4">
        <v>0</v>
      </c>
      <c r="K380" s="4"/>
      <c r="L380" s="16"/>
      <c r="M380" s="4"/>
      <c r="N380" s="4"/>
      <c r="O380" s="4"/>
      <c r="P380" s="4"/>
      <c r="Q380" s="4"/>
      <c r="R380" s="4"/>
      <c r="S380" s="4">
        <v>0</v>
      </c>
      <c r="T380" s="4">
        <v>0</v>
      </c>
      <c r="U380" s="4">
        <v>0</v>
      </c>
      <c r="V380" s="4">
        <v>12</v>
      </c>
      <c r="W380" s="4">
        <v>12</v>
      </c>
      <c r="X380" s="4">
        <v>0</v>
      </c>
      <c r="Y380" s="4"/>
      <c r="Z380" s="4">
        <v>393.14000000000004</v>
      </c>
      <c r="AA380" s="4">
        <v>400</v>
      </c>
      <c r="AB380" s="18"/>
      <c r="AC380" s="18">
        <v>7</v>
      </c>
      <c r="AD380" s="28"/>
      <c r="AE380" s="26"/>
      <c r="AF380" s="28"/>
    </row>
    <row r="381" spans="1:32" ht="12.6" customHeight="1" x14ac:dyDescent="0.25">
      <c r="A381" s="14">
        <v>45698</v>
      </c>
      <c r="B381" s="14" t="s">
        <v>46</v>
      </c>
      <c r="C381" s="15">
        <v>5</v>
      </c>
      <c r="D381" s="16"/>
      <c r="E381" s="16"/>
      <c r="F381" s="17"/>
      <c r="G381" s="21"/>
      <c r="H381" s="21"/>
      <c r="I381" s="4">
        <v>0</v>
      </c>
      <c r="J381" s="4">
        <v>0</v>
      </c>
      <c r="K381" s="4"/>
      <c r="L381" s="16"/>
      <c r="M381" s="4"/>
      <c r="N381" s="4"/>
      <c r="O381" s="4"/>
      <c r="P381" s="4"/>
      <c r="Q381" s="4"/>
      <c r="R381" s="4"/>
      <c r="S381" s="4">
        <v>0</v>
      </c>
      <c r="T381" s="4">
        <v>0</v>
      </c>
      <c r="U381" s="4">
        <v>0</v>
      </c>
      <c r="V381" s="4">
        <v>12</v>
      </c>
      <c r="W381" s="4">
        <v>12</v>
      </c>
      <c r="X381" s="4">
        <v>0</v>
      </c>
      <c r="Y381" s="4"/>
      <c r="Z381" s="4">
        <v>539.75</v>
      </c>
      <c r="AA381" s="4">
        <v>550</v>
      </c>
      <c r="AB381" s="18"/>
      <c r="AC381" s="18">
        <v>7</v>
      </c>
      <c r="AD381" s="28"/>
      <c r="AE381" s="26"/>
      <c r="AF381" s="28"/>
    </row>
    <row r="382" spans="1:32" ht="12.6" customHeight="1" x14ac:dyDescent="0.25">
      <c r="A382" s="14">
        <v>45699</v>
      </c>
      <c r="B382" s="14" t="s">
        <v>45</v>
      </c>
      <c r="C382" s="15">
        <v>1</v>
      </c>
      <c r="D382" s="16"/>
      <c r="E382" s="16"/>
      <c r="F382" s="17"/>
      <c r="G382" s="21"/>
      <c r="H382" s="21"/>
      <c r="I382" s="4">
        <v>0</v>
      </c>
      <c r="J382" s="4">
        <v>0</v>
      </c>
      <c r="K382" s="4"/>
      <c r="L382" s="16"/>
      <c r="M382" s="4"/>
      <c r="N382" s="4"/>
      <c r="O382" s="4"/>
      <c r="P382" s="4">
        <v>60</v>
      </c>
      <c r="Q382" s="4"/>
      <c r="R382" s="4"/>
      <c r="S382" s="4">
        <v>60</v>
      </c>
      <c r="T382" s="4">
        <v>1</v>
      </c>
      <c r="U382" s="4">
        <v>1</v>
      </c>
      <c r="V382" s="4">
        <v>11</v>
      </c>
      <c r="W382" s="4">
        <v>12</v>
      </c>
      <c r="X382" s="4">
        <v>82</v>
      </c>
      <c r="Y382" s="4">
        <v>2120</v>
      </c>
      <c r="Z382" s="4">
        <v>132.83999999999997</v>
      </c>
      <c r="AA382" s="4">
        <v>150</v>
      </c>
      <c r="AB382" s="18">
        <v>398</v>
      </c>
      <c r="AC382" s="18">
        <v>7</v>
      </c>
      <c r="AD382" s="28"/>
      <c r="AE382" s="26"/>
      <c r="AF382" s="28"/>
    </row>
    <row r="383" spans="1:32" ht="12.6" customHeight="1" x14ac:dyDescent="0.25">
      <c r="A383" s="14">
        <v>45699</v>
      </c>
      <c r="B383" s="14" t="s">
        <v>46</v>
      </c>
      <c r="C383" s="15">
        <v>1</v>
      </c>
      <c r="D383" s="16"/>
      <c r="E383" s="16"/>
      <c r="F383" s="17"/>
      <c r="G383" s="21"/>
      <c r="H383" s="21"/>
      <c r="I383" s="4">
        <v>0</v>
      </c>
      <c r="J383" s="4">
        <v>0</v>
      </c>
      <c r="K383" s="4"/>
      <c r="L383" s="16"/>
      <c r="M383" s="4"/>
      <c r="N383" s="4"/>
      <c r="O383" s="4"/>
      <c r="P383" s="4"/>
      <c r="Q383" s="4"/>
      <c r="R383" s="4"/>
      <c r="S383" s="4">
        <v>0</v>
      </c>
      <c r="T383" s="4">
        <v>0</v>
      </c>
      <c r="U383" s="4">
        <v>0</v>
      </c>
      <c r="V383" s="4">
        <v>12</v>
      </c>
      <c r="W383" s="4">
        <v>12</v>
      </c>
      <c r="X383" s="4">
        <v>126</v>
      </c>
      <c r="Y383" s="4"/>
      <c r="Z383" s="4">
        <v>138.07</v>
      </c>
      <c r="AA383" s="4">
        <v>150</v>
      </c>
      <c r="AB383" s="18"/>
      <c r="AC383" s="18">
        <v>7</v>
      </c>
      <c r="AD383" s="28"/>
      <c r="AE383" s="26"/>
      <c r="AF383" s="28"/>
    </row>
    <row r="384" spans="1:32" ht="12.6" customHeight="1" x14ac:dyDescent="0.25">
      <c r="A384" s="14">
        <v>45699</v>
      </c>
      <c r="B384" s="14" t="s">
        <v>45</v>
      </c>
      <c r="C384" s="15">
        <v>2</v>
      </c>
      <c r="D384" s="16">
        <v>20</v>
      </c>
      <c r="E384" s="16"/>
      <c r="F384" s="17"/>
      <c r="G384" s="21"/>
      <c r="H384" s="21"/>
      <c r="I384" s="4">
        <v>20</v>
      </c>
      <c r="J384" s="4">
        <v>0.33333333333333331</v>
      </c>
      <c r="K384" s="4"/>
      <c r="L384" s="16"/>
      <c r="M384" s="4"/>
      <c r="N384" s="4"/>
      <c r="O384" s="4"/>
      <c r="P384" s="4"/>
      <c r="Q384" s="4"/>
      <c r="R384" s="4"/>
      <c r="S384" s="4">
        <v>0</v>
      </c>
      <c r="T384" s="4">
        <v>0</v>
      </c>
      <c r="U384" s="4">
        <v>0.33333333333333331</v>
      </c>
      <c r="V384" s="4">
        <v>11.666666666666666</v>
      </c>
      <c r="W384" s="4">
        <v>12</v>
      </c>
      <c r="X384" s="4">
        <v>0</v>
      </c>
      <c r="Y384" s="4"/>
      <c r="Z384" s="4">
        <v>191.51</v>
      </c>
      <c r="AA384" s="4">
        <v>200</v>
      </c>
      <c r="AB384" s="18"/>
      <c r="AC384" s="18">
        <v>7</v>
      </c>
      <c r="AD384" s="28"/>
      <c r="AE384" s="26"/>
      <c r="AF384" s="28"/>
    </row>
    <row r="385" spans="1:32" ht="12.6" customHeight="1" x14ac:dyDescent="0.25">
      <c r="A385" s="14">
        <v>45699</v>
      </c>
      <c r="B385" s="14" t="s">
        <v>46</v>
      </c>
      <c r="C385" s="15">
        <v>2</v>
      </c>
      <c r="D385" s="16"/>
      <c r="E385" s="16"/>
      <c r="F385" s="17"/>
      <c r="G385" s="21"/>
      <c r="H385" s="21"/>
      <c r="I385" s="4">
        <v>0</v>
      </c>
      <c r="J385" s="4">
        <v>0</v>
      </c>
      <c r="K385" s="4"/>
      <c r="L385" s="16"/>
      <c r="M385" s="4"/>
      <c r="N385" s="4"/>
      <c r="O385" s="4"/>
      <c r="P385" s="4"/>
      <c r="Q385" s="4"/>
      <c r="R385" s="4"/>
      <c r="S385" s="4">
        <v>0</v>
      </c>
      <c r="T385" s="4">
        <v>0</v>
      </c>
      <c r="U385" s="4">
        <v>0</v>
      </c>
      <c r="V385" s="4">
        <v>12</v>
      </c>
      <c r="W385" s="4">
        <v>12</v>
      </c>
      <c r="X385" s="4">
        <v>0</v>
      </c>
      <c r="Y385" s="4"/>
      <c r="Z385" s="4">
        <v>168.60000000000002</v>
      </c>
      <c r="AA385" s="4">
        <v>150</v>
      </c>
      <c r="AB385" s="18"/>
      <c r="AC385" s="18">
        <v>7</v>
      </c>
      <c r="AD385" s="28"/>
      <c r="AE385" s="26"/>
      <c r="AF385" s="28"/>
    </row>
    <row r="386" spans="1:32" ht="12.6" customHeight="1" x14ac:dyDescent="0.25">
      <c r="A386" s="14">
        <v>45699</v>
      </c>
      <c r="B386" s="14" t="s">
        <v>45</v>
      </c>
      <c r="C386" s="15">
        <v>3</v>
      </c>
      <c r="D386" s="16"/>
      <c r="E386" s="16"/>
      <c r="F386" s="17"/>
      <c r="G386" s="21"/>
      <c r="H386" s="21"/>
      <c r="I386" s="4">
        <v>0</v>
      </c>
      <c r="J386" s="4">
        <v>0</v>
      </c>
      <c r="K386" s="4"/>
      <c r="L386" s="16"/>
      <c r="M386" s="4"/>
      <c r="N386" s="4"/>
      <c r="O386" s="4"/>
      <c r="P386" s="4"/>
      <c r="Q386" s="4"/>
      <c r="R386" s="4"/>
      <c r="S386" s="4">
        <v>0</v>
      </c>
      <c r="T386" s="4">
        <v>0</v>
      </c>
      <c r="U386" s="4">
        <v>0</v>
      </c>
      <c r="V386" s="4">
        <v>12</v>
      </c>
      <c r="W386" s="4">
        <v>12</v>
      </c>
      <c r="X386" s="4">
        <v>0</v>
      </c>
      <c r="Y386" s="4"/>
      <c r="Z386" s="4">
        <v>310.52999999999997</v>
      </c>
      <c r="AA386" s="4">
        <v>300</v>
      </c>
      <c r="AB386" s="18"/>
      <c r="AC386" s="18">
        <v>7</v>
      </c>
      <c r="AD386" s="28"/>
      <c r="AE386" s="26"/>
      <c r="AF386" s="28"/>
    </row>
    <row r="387" spans="1:32" ht="12.6" customHeight="1" x14ac:dyDescent="0.25">
      <c r="A387" s="14">
        <v>45699</v>
      </c>
      <c r="B387" s="14" t="s">
        <v>46</v>
      </c>
      <c r="C387" s="15">
        <v>3</v>
      </c>
      <c r="D387" s="16"/>
      <c r="E387" s="16"/>
      <c r="F387" s="17"/>
      <c r="G387" s="21"/>
      <c r="H387" s="21"/>
      <c r="I387" s="4">
        <v>0</v>
      </c>
      <c r="J387" s="4">
        <v>0</v>
      </c>
      <c r="K387" s="4"/>
      <c r="L387" s="16"/>
      <c r="M387" s="4"/>
      <c r="N387" s="4"/>
      <c r="O387" s="4"/>
      <c r="P387" s="4"/>
      <c r="Q387" s="4"/>
      <c r="R387" s="4"/>
      <c r="S387" s="4">
        <v>0</v>
      </c>
      <c r="T387" s="4">
        <v>0</v>
      </c>
      <c r="U387" s="4">
        <v>0</v>
      </c>
      <c r="V387" s="4">
        <v>12</v>
      </c>
      <c r="W387" s="4">
        <v>12</v>
      </c>
      <c r="X387" s="4">
        <v>0</v>
      </c>
      <c r="Y387" s="4"/>
      <c r="Z387" s="4">
        <v>305.38000000000005</v>
      </c>
      <c r="AA387" s="4">
        <v>300</v>
      </c>
      <c r="AB387" s="18"/>
      <c r="AC387" s="18">
        <v>7</v>
      </c>
      <c r="AD387" s="28"/>
      <c r="AE387" s="26"/>
      <c r="AF387" s="28"/>
    </row>
    <row r="388" spans="1:32" ht="12.6" customHeight="1" x14ac:dyDescent="0.25">
      <c r="A388" s="14">
        <v>45699</v>
      </c>
      <c r="B388" s="14" t="s">
        <v>45</v>
      </c>
      <c r="C388" s="15">
        <v>4</v>
      </c>
      <c r="D388" s="16"/>
      <c r="E388" s="16"/>
      <c r="F388" s="17"/>
      <c r="G388" s="21"/>
      <c r="H388" s="21"/>
      <c r="I388" s="4">
        <v>0</v>
      </c>
      <c r="J388" s="4">
        <v>0</v>
      </c>
      <c r="K388" s="4"/>
      <c r="L388" s="16"/>
      <c r="M388" s="4"/>
      <c r="N388" s="4"/>
      <c r="O388" s="4"/>
      <c r="P388" s="4"/>
      <c r="Q388" s="4">
        <v>30</v>
      </c>
      <c r="R388" s="4"/>
      <c r="S388" s="4">
        <v>30</v>
      </c>
      <c r="T388" s="4">
        <v>0.5</v>
      </c>
      <c r="U388" s="4">
        <v>0.5</v>
      </c>
      <c r="V388" s="4">
        <v>11.5</v>
      </c>
      <c r="W388" s="4">
        <v>12</v>
      </c>
      <c r="X388" s="4">
        <v>0</v>
      </c>
      <c r="Y388" s="4"/>
      <c r="Z388" s="4">
        <v>786.27</v>
      </c>
      <c r="AA388" s="4">
        <v>800</v>
      </c>
      <c r="AB388" s="18"/>
      <c r="AC388" s="18">
        <v>7</v>
      </c>
      <c r="AD388" s="28"/>
      <c r="AE388" s="26"/>
      <c r="AF388" s="28"/>
    </row>
    <row r="389" spans="1:32" ht="12.6" customHeight="1" x14ac:dyDescent="0.25">
      <c r="A389" s="14">
        <v>45699</v>
      </c>
      <c r="B389" s="14" t="s">
        <v>46</v>
      </c>
      <c r="C389" s="15">
        <v>4</v>
      </c>
      <c r="D389" s="16">
        <v>30</v>
      </c>
      <c r="E389" s="16"/>
      <c r="F389" s="17"/>
      <c r="G389" s="21"/>
      <c r="H389" s="21"/>
      <c r="I389" s="4">
        <v>30</v>
      </c>
      <c r="J389" s="4">
        <v>0.5</v>
      </c>
      <c r="K389" s="4"/>
      <c r="L389" s="16"/>
      <c r="M389" s="4"/>
      <c r="N389" s="4"/>
      <c r="O389" s="4"/>
      <c r="P389" s="4"/>
      <c r="Q389" s="4"/>
      <c r="R389" s="4"/>
      <c r="S389" s="4">
        <v>0</v>
      </c>
      <c r="T389" s="4">
        <v>0</v>
      </c>
      <c r="U389" s="4">
        <v>0.5</v>
      </c>
      <c r="V389" s="4">
        <v>11.5</v>
      </c>
      <c r="W389" s="4">
        <v>12</v>
      </c>
      <c r="X389" s="4">
        <v>0</v>
      </c>
      <c r="Y389" s="4"/>
      <c r="Z389" s="4">
        <v>730.78000000000009</v>
      </c>
      <c r="AA389" s="4">
        <v>750</v>
      </c>
      <c r="AB389" s="18"/>
      <c r="AC389" s="18">
        <v>7</v>
      </c>
      <c r="AD389" s="28"/>
      <c r="AE389" s="26"/>
      <c r="AF389" s="28"/>
    </row>
    <row r="390" spans="1:32" ht="12.6" customHeight="1" x14ac:dyDescent="0.25">
      <c r="A390" s="14">
        <v>45699</v>
      </c>
      <c r="B390" s="14" t="s">
        <v>45</v>
      </c>
      <c r="C390" s="15">
        <v>5</v>
      </c>
      <c r="D390" s="16">
        <v>40</v>
      </c>
      <c r="E390" s="16"/>
      <c r="F390" s="17"/>
      <c r="G390" s="21"/>
      <c r="H390" s="21"/>
      <c r="I390" s="4">
        <v>40</v>
      </c>
      <c r="J390" s="4">
        <v>0.66666666666666663</v>
      </c>
      <c r="K390" s="4"/>
      <c r="L390" s="16"/>
      <c r="M390" s="4"/>
      <c r="N390" s="4"/>
      <c r="O390" s="4"/>
      <c r="P390" s="4"/>
      <c r="Q390" s="4"/>
      <c r="R390" s="4"/>
      <c r="S390" s="4">
        <v>0</v>
      </c>
      <c r="T390" s="4">
        <v>0</v>
      </c>
      <c r="U390" s="4">
        <v>0.66666666666666663</v>
      </c>
      <c r="V390" s="4">
        <v>11.333333333333334</v>
      </c>
      <c r="W390" s="4">
        <v>12</v>
      </c>
      <c r="X390" s="4">
        <v>0</v>
      </c>
      <c r="Y390" s="4"/>
      <c r="Z390" s="4">
        <v>593.8599999999999</v>
      </c>
      <c r="AA390" s="4">
        <v>600</v>
      </c>
      <c r="AB390" s="18"/>
      <c r="AC390" s="18">
        <v>7</v>
      </c>
      <c r="AD390" s="28"/>
      <c r="AE390" s="26"/>
      <c r="AF390" s="28"/>
    </row>
    <row r="391" spans="1:32" ht="12.6" customHeight="1" x14ac:dyDescent="0.25">
      <c r="A391" s="14">
        <v>45699</v>
      </c>
      <c r="B391" s="14" t="s">
        <v>46</v>
      </c>
      <c r="C391" s="15">
        <v>5</v>
      </c>
      <c r="D391" s="16"/>
      <c r="E391" s="16"/>
      <c r="F391" s="17"/>
      <c r="G391" s="21"/>
      <c r="H391" s="21"/>
      <c r="I391" s="4">
        <v>0</v>
      </c>
      <c r="J391" s="4">
        <v>0</v>
      </c>
      <c r="K391" s="4"/>
      <c r="L391" s="16"/>
      <c r="M391" s="4"/>
      <c r="N391" s="4"/>
      <c r="O391" s="4"/>
      <c r="P391" s="4"/>
      <c r="Q391" s="4"/>
      <c r="R391" s="4"/>
      <c r="S391" s="4">
        <v>0</v>
      </c>
      <c r="T391" s="4">
        <v>0</v>
      </c>
      <c r="U391" s="4">
        <v>0</v>
      </c>
      <c r="V391" s="4">
        <v>12</v>
      </c>
      <c r="W391" s="4">
        <v>12</v>
      </c>
      <c r="X391" s="4">
        <v>0</v>
      </c>
      <c r="Y391" s="4"/>
      <c r="Z391" s="4">
        <v>613.48</v>
      </c>
      <c r="AA391" s="4">
        <v>600</v>
      </c>
      <c r="AB391" s="18"/>
      <c r="AC391" s="18">
        <v>7</v>
      </c>
      <c r="AD391" s="28"/>
      <c r="AE391" s="26"/>
      <c r="AF391" s="28"/>
    </row>
    <row r="392" spans="1:32" ht="12.6" customHeight="1" x14ac:dyDescent="0.25">
      <c r="A392" s="14">
        <v>45700</v>
      </c>
      <c r="B392" s="14" t="s">
        <v>45</v>
      </c>
      <c r="C392" s="15">
        <v>1</v>
      </c>
      <c r="D392" s="16"/>
      <c r="E392" s="16"/>
      <c r="F392" s="17"/>
      <c r="G392" s="21"/>
      <c r="H392" s="21"/>
      <c r="I392" s="4">
        <v>0</v>
      </c>
      <c r="J392" s="4">
        <v>0</v>
      </c>
      <c r="K392" s="4"/>
      <c r="L392" s="16"/>
      <c r="M392" s="4"/>
      <c r="N392" s="4"/>
      <c r="O392" s="4"/>
      <c r="P392" s="4"/>
      <c r="Q392" s="4"/>
      <c r="R392" s="4"/>
      <c r="S392" s="4">
        <v>0</v>
      </c>
      <c r="T392" s="4">
        <v>0</v>
      </c>
      <c r="U392" s="4">
        <v>0</v>
      </c>
      <c r="V392" s="4">
        <v>12</v>
      </c>
      <c r="W392" s="4">
        <v>12</v>
      </c>
      <c r="X392" s="4">
        <v>33</v>
      </c>
      <c r="Y392" s="4">
        <v>2047</v>
      </c>
      <c r="Z392" s="4">
        <v>131.19999999999999</v>
      </c>
      <c r="AA392" s="4">
        <v>100</v>
      </c>
      <c r="AB392" s="18">
        <v>398</v>
      </c>
      <c r="AC392" s="18">
        <v>7</v>
      </c>
      <c r="AD392" s="28"/>
      <c r="AE392" s="26"/>
      <c r="AF392" s="28"/>
    </row>
    <row r="393" spans="1:32" ht="12.6" customHeight="1" x14ac:dyDescent="0.25">
      <c r="A393" s="14">
        <v>45700</v>
      </c>
      <c r="B393" s="14" t="s">
        <v>46</v>
      </c>
      <c r="C393" s="15">
        <v>1</v>
      </c>
      <c r="D393" s="16"/>
      <c r="E393" s="16"/>
      <c r="F393" s="17"/>
      <c r="G393" s="21"/>
      <c r="H393" s="21"/>
      <c r="I393" s="4">
        <v>0</v>
      </c>
      <c r="J393" s="4">
        <v>0</v>
      </c>
      <c r="K393" s="4"/>
      <c r="L393" s="16"/>
      <c r="M393" s="4"/>
      <c r="N393" s="4"/>
      <c r="O393" s="4"/>
      <c r="P393" s="4"/>
      <c r="Q393" s="4"/>
      <c r="R393" s="4"/>
      <c r="S393" s="4">
        <v>0</v>
      </c>
      <c r="T393" s="4">
        <v>0</v>
      </c>
      <c r="U393" s="4">
        <v>0</v>
      </c>
      <c r="V393" s="4">
        <v>12</v>
      </c>
      <c r="W393" s="4">
        <v>12</v>
      </c>
      <c r="X393" s="4">
        <v>33</v>
      </c>
      <c r="Y393" s="4"/>
      <c r="Z393" s="4">
        <v>133.55000000000001</v>
      </c>
      <c r="AA393" s="4">
        <v>150</v>
      </c>
      <c r="AB393" s="18"/>
      <c r="AC393" s="18">
        <v>7</v>
      </c>
      <c r="AD393" s="28"/>
      <c r="AE393" s="26"/>
      <c r="AF393" s="28"/>
    </row>
    <row r="394" spans="1:32" ht="12.6" customHeight="1" x14ac:dyDescent="0.25">
      <c r="A394" s="14">
        <v>45700</v>
      </c>
      <c r="B394" s="14" t="s">
        <v>45</v>
      </c>
      <c r="C394" s="15">
        <v>2</v>
      </c>
      <c r="D394" s="16"/>
      <c r="E394" s="16"/>
      <c r="F394" s="17"/>
      <c r="G394" s="21"/>
      <c r="H394" s="21"/>
      <c r="I394" s="4">
        <v>0</v>
      </c>
      <c r="J394" s="4">
        <v>0</v>
      </c>
      <c r="K394" s="4"/>
      <c r="L394" s="16"/>
      <c r="M394" s="4"/>
      <c r="N394" s="4"/>
      <c r="O394" s="4"/>
      <c r="P394" s="4"/>
      <c r="Q394" s="4"/>
      <c r="R394" s="4"/>
      <c r="S394" s="4">
        <v>0</v>
      </c>
      <c r="T394" s="4">
        <v>0</v>
      </c>
      <c r="U394" s="4">
        <v>0</v>
      </c>
      <c r="V394" s="4">
        <v>12</v>
      </c>
      <c r="W394" s="4">
        <v>12</v>
      </c>
      <c r="X394" s="4">
        <v>0</v>
      </c>
      <c r="Y394" s="4"/>
      <c r="Z394" s="4">
        <v>173.82</v>
      </c>
      <c r="AA394" s="4">
        <v>200</v>
      </c>
      <c r="AB394" s="18"/>
      <c r="AC394" s="18">
        <v>7</v>
      </c>
      <c r="AD394" s="28"/>
      <c r="AE394" s="26"/>
      <c r="AF394" s="28"/>
    </row>
    <row r="395" spans="1:32" ht="12.6" customHeight="1" x14ac:dyDescent="0.25">
      <c r="A395" s="14">
        <v>45700</v>
      </c>
      <c r="B395" s="14" t="s">
        <v>46</v>
      </c>
      <c r="C395" s="15">
        <v>2</v>
      </c>
      <c r="D395" s="16"/>
      <c r="E395" s="16"/>
      <c r="F395" s="17"/>
      <c r="G395" s="21"/>
      <c r="H395" s="21"/>
      <c r="I395" s="4">
        <v>0</v>
      </c>
      <c r="J395" s="4">
        <v>0</v>
      </c>
      <c r="K395" s="4"/>
      <c r="L395" s="16"/>
      <c r="M395" s="4"/>
      <c r="N395" s="4"/>
      <c r="O395" s="4"/>
      <c r="P395" s="4"/>
      <c r="Q395" s="4"/>
      <c r="R395" s="4"/>
      <c r="S395" s="4">
        <v>0</v>
      </c>
      <c r="T395" s="4">
        <v>0</v>
      </c>
      <c r="U395" s="4">
        <v>0</v>
      </c>
      <c r="V395" s="4">
        <v>12</v>
      </c>
      <c r="W395" s="4">
        <v>12</v>
      </c>
      <c r="X395" s="4">
        <v>0</v>
      </c>
      <c r="Y395" s="4"/>
      <c r="Z395" s="4">
        <v>174.22000000000003</v>
      </c>
      <c r="AA395" s="4">
        <v>200</v>
      </c>
      <c r="AB395" s="18"/>
      <c r="AC395" s="18">
        <v>7</v>
      </c>
      <c r="AD395" s="28"/>
      <c r="AE395" s="26"/>
      <c r="AF395" s="28"/>
    </row>
    <row r="396" spans="1:32" ht="12.6" customHeight="1" x14ac:dyDescent="0.25">
      <c r="A396" s="14">
        <v>45700</v>
      </c>
      <c r="B396" s="14" t="s">
        <v>45</v>
      </c>
      <c r="C396" s="15">
        <v>3</v>
      </c>
      <c r="D396" s="16"/>
      <c r="E396" s="16"/>
      <c r="F396" s="17"/>
      <c r="G396" s="21"/>
      <c r="H396" s="21"/>
      <c r="I396" s="4">
        <v>0</v>
      </c>
      <c r="J396" s="4">
        <v>0</v>
      </c>
      <c r="K396" s="4"/>
      <c r="L396" s="16"/>
      <c r="M396" s="4"/>
      <c r="N396" s="4"/>
      <c r="O396" s="4"/>
      <c r="P396" s="4"/>
      <c r="Q396" s="4"/>
      <c r="R396" s="4"/>
      <c r="S396" s="4">
        <v>0</v>
      </c>
      <c r="T396" s="4">
        <v>0</v>
      </c>
      <c r="U396" s="4">
        <v>0</v>
      </c>
      <c r="V396" s="4">
        <v>12</v>
      </c>
      <c r="W396" s="4">
        <v>12</v>
      </c>
      <c r="X396" s="4">
        <v>0</v>
      </c>
      <c r="Y396" s="4"/>
      <c r="Z396" s="4">
        <v>285.75</v>
      </c>
      <c r="AA396" s="4">
        <v>300</v>
      </c>
      <c r="AB396" s="18"/>
      <c r="AC396" s="18">
        <v>7</v>
      </c>
      <c r="AD396" s="28"/>
      <c r="AE396" s="26"/>
      <c r="AF396" s="28"/>
    </row>
    <row r="397" spans="1:32" ht="12.6" customHeight="1" x14ac:dyDescent="0.25">
      <c r="A397" s="14">
        <v>45700</v>
      </c>
      <c r="B397" s="14" t="s">
        <v>46</v>
      </c>
      <c r="C397" s="15">
        <v>3</v>
      </c>
      <c r="D397" s="16"/>
      <c r="E397" s="16"/>
      <c r="F397" s="17"/>
      <c r="G397" s="21"/>
      <c r="H397" s="21"/>
      <c r="I397" s="4">
        <v>0</v>
      </c>
      <c r="J397" s="4">
        <v>0</v>
      </c>
      <c r="K397" s="4"/>
      <c r="L397" s="16"/>
      <c r="M397" s="4"/>
      <c r="N397" s="4"/>
      <c r="O397" s="4"/>
      <c r="P397" s="4"/>
      <c r="Q397" s="4"/>
      <c r="R397" s="4"/>
      <c r="S397" s="4">
        <v>0</v>
      </c>
      <c r="T397" s="4">
        <v>0</v>
      </c>
      <c r="U397" s="4">
        <v>0</v>
      </c>
      <c r="V397" s="4">
        <v>12</v>
      </c>
      <c r="W397" s="4">
        <v>12</v>
      </c>
      <c r="X397" s="4">
        <v>0</v>
      </c>
      <c r="Y397" s="4"/>
      <c r="Z397" s="4">
        <v>306</v>
      </c>
      <c r="AA397" s="4">
        <v>300</v>
      </c>
      <c r="AB397" s="18"/>
      <c r="AC397" s="18">
        <v>7</v>
      </c>
      <c r="AD397" s="28"/>
      <c r="AE397" s="26"/>
      <c r="AF397" s="28"/>
    </row>
    <row r="398" spans="1:32" ht="12.6" customHeight="1" x14ac:dyDescent="0.25">
      <c r="A398" s="14">
        <v>45700</v>
      </c>
      <c r="B398" s="14" t="s">
        <v>45</v>
      </c>
      <c r="C398" s="15">
        <v>4</v>
      </c>
      <c r="D398" s="16"/>
      <c r="E398" s="16"/>
      <c r="F398" s="17"/>
      <c r="G398" s="21"/>
      <c r="H398" s="21"/>
      <c r="I398" s="4">
        <v>0</v>
      </c>
      <c r="J398" s="4">
        <v>0</v>
      </c>
      <c r="K398" s="4"/>
      <c r="L398" s="16"/>
      <c r="M398" s="4"/>
      <c r="N398" s="4"/>
      <c r="O398" s="4"/>
      <c r="P398" s="4"/>
      <c r="Q398" s="4"/>
      <c r="R398" s="4"/>
      <c r="S398" s="4">
        <v>0</v>
      </c>
      <c r="T398" s="4">
        <v>0</v>
      </c>
      <c r="U398" s="4">
        <v>0</v>
      </c>
      <c r="V398" s="4">
        <v>12</v>
      </c>
      <c r="W398" s="4">
        <v>12</v>
      </c>
      <c r="X398" s="4">
        <v>0</v>
      </c>
      <c r="Y398" s="4"/>
      <c r="Z398" s="4">
        <v>756.31999999999994</v>
      </c>
      <c r="AA398" s="4">
        <v>750</v>
      </c>
      <c r="AB398" s="18"/>
      <c r="AC398" s="18">
        <v>7</v>
      </c>
      <c r="AD398" s="28"/>
      <c r="AE398" s="26"/>
      <c r="AF398" s="28"/>
    </row>
    <row r="399" spans="1:32" ht="12.6" customHeight="1" x14ac:dyDescent="0.25">
      <c r="A399" s="14">
        <v>45700</v>
      </c>
      <c r="B399" s="14" t="s">
        <v>46</v>
      </c>
      <c r="C399" s="15">
        <v>4</v>
      </c>
      <c r="D399" s="16"/>
      <c r="E399" s="16"/>
      <c r="F399" s="17"/>
      <c r="G399" s="21"/>
      <c r="H399" s="21"/>
      <c r="I399" s="4">
        <v>0</v>
      </c>
      <c r="J399" s="4">
        <v>0</v>
      </c>
      <c r="K399" s="4"/>
      <c r="L399" s="16"/>
      <c r="M399" s="4"/>
      <c r="N399" s="4"/>
      <c r="O399" s="4"/>
      <c r="P399" s="4"/>
      <c r="Q399" s="4"/>
      <c r="R399" s="4"/>
      <c r="S399" s="4">
        <v>0</v>
      </c>
      <c r="T399" s="4">
        <v>0</v>
      </c>
      <c r="U399" s="4">
        <v>0</v>
      </c>
      <c r="V399" s="4">
        <v>12</v>
      </c>
      <c r="W399" s="4">
        <v>12</v>
      </c>
      <c r="X399" s="4">
        <v>0</v>
      </c>
      <c r="Y399" s="4"/>
      <c r="Z399" s="4">
        <v>796.44999999999993</v>
      </c>
      <c r="AA399" s="4">
        <v>800</v>
      </c>
      <c r="AB399" s="18"/>
      <c r="AC399" s="18">
        <v>7</v>
      </c>
      <c r="AD399" s="28"/>
      <c r="AE399" s="26"/>
      <c r="AF399" s="28"/>
    </row>
    <row r="400" spans="1:32" ht="12.6" customHeight="1" x14ac:dyDescent="0.25">
      <c r="A400" s="14">
        <v>45700</v>
      </c>
      <c r="B400" s="14" t="s">
        <v>45</v>
      </c>
      <c r="C400" s="15">
        <v>5</v>
      </c>
      <c r="D400" s="16"/>
      <c r="E400" s="16"/>
      <c r="F400" s="17"/>
      <c r="G400" s="21"/>
      <c r="H400" s="21"/>
      <c r="I400" s="4">
        <v>0</v>
      </c>
      <c r="J400" s="4">
        <v>0</v>
      </c>
      <c r="K400" s="4"/>
      <c r="L400" s="16"/>
      <c r="M400" s="4"/>
      <c r="N400" s="4"/>
      <c r="O400" s="4"/>
      <c r="P400" s="4"/>
      <c r="Q400" s="4"/>
      <c r="R400" s="4"/>
      <c r="S400" s="4">
        <v>0</v>
      </c>
      <c r="T400" s="4">
        <v>0</v>
      </c>
      <c r="U400" s="4">
        <v>0</v>
      </c>
      <c r="V400" s="4">
        <v>12</v>
      </c>
      <c r="W400" s="4">
        <v>12</v>
      </c>
      <c r="X400" s="4">
        <v>0</v>
      </c>
      <c r="Y400" s="4"/>
      <c r="Z400" s="4">
        <v>476.76</v>
      </c>
      <c r="AA400" s="4">
        <v>450</v>
      </c>
      <c r="AB400" s="18"/>
      <c r="AC400" s="18">
        <v>7</v>
      </c>
      <c r="AD400" s="28"/>
      <c r="AE400" s="26"/>
      <c r="AF400" s="28"/>
    </row>
    <row r="401" spans="1:32" ht="12.6" customHeight="1" x14ac:dyDescent="0.25">
      <c r="A401" s="14">
        <v>45700</v>
      </c>
      <c r="B401" s="14" t="s">
        <v>46</v>
      </c>
      <c r="C401" s="15">
        <v>5</v>
      </c>
      <c r="D401" s="16"/>
      <c r="E401" s="16"/>
      <c r="F401" s="17"/>
      <c r="G401" s="21"/>
      <c r="H401" s="21"/>
      <c r="I401" s="4">
        <v>0</v>
      </c>
      <c r="J401" s="4">
        <v>0</v>
      </c>
      <c r="K401" s="4"/>
      <c r="L401" s="16"/>
      <c r="M401" s="4"/>
      <c r="N401" s="4"/>
      <c r="O401" s="4"/>
      <c r="P401" s="4"/>
      <c r="Q401" s="4"/>
      <c r="R401" s="4"/>
      <c r="S401" s="4">
        <v>0</v>
      </c>
      <c r="T401" s="4">
        <v>0</v>
      </c>
      <c r="U401" s="4">
        <v>0</v>
      </c>
      <c r="V401" s="4">
        <v>12</v>
      </c>
      <c r="W401" s="4">
        <v>12</v>
      </c>
      <c r="X401" s="4">
        <v>0</v>
      </c>
      <c r="Y401" s="4"/>
      <c r="Z401" s="4">
        <v>463.02</v>
      </c>
      <c r="AA401" s="4">
        <v>450</v>
      </c>
      <c r="AB401" s="18"/>
      <c r="AC401" s="18">
        <v>7</v>
      </c>
      <c r="AD401" s="28"/>
      <c r="AE401" s="26"/>
      <c r="AF401" s="28"/>
    </row>
    <row r="402" spans="1:32" ht="12.6" customHeight="1" x14ac:dyDescent="0.25">
      <c r="A402" s="14">
        <v>45701</v>
      </c>
      <c r="B402" s="14" t="s">
        <v>45</v>
      </c>
      <c r="C402" s="15">
        <v>1</v>
      </c>
      <c r="D402" s="16"/>
      <c r="E402" s="16"/>
      <c r="F402" s="17"/>
      <c r="G402" s="21"/>
      <c r="H402" s="21"/>
      <c r="I402" s="4">
        <v>0</v>
      </c>
      <c r="J402" s="4">
        <v>0</v>
      </c>
      <c r="K402" s="4"/>
      <c r="L402" s="16"/>
      <c r="M402" s="4"/>
      <c r="N402" s="4"/>
      <c r="O402" s="4"/>
      <c r="P402" s="4"/>
      <c r="Q402" s="4"/>
      <c r="R402" s="4"/>
      <c r="S402" s="4">
        <v>0</v>
      </c>
      <c r="T402" s="4">
        <v>0</v>
      </c>
      <c r="U402" s="4">
        <v>0</v>
      </c>
      <c r="V402" s="4">
        <v>12</v>
      </c>
      <c r="W402" s="4">
        <v>12</v>
      </c>
      <c r="X402" s="4">
        <v>41</v>
      </c>
      <c r="Y402" s="4">
        <v>2061</v>
      </c>
      <c r="Z402" s="4">
        <v>148.20999999999998</v>
      </c>
      <c r="AA402" s="4">
        <v>150</v>
      </c>
      <c r="AB402" s="18">
        <v>398</v>
      </c>
      <c r="AC402" s="18">
        <v>7</v>
      </c>
      <c r="AD402" s="28"/>
      <c r="AE402" s="26"/>
      <c r="AF402" s="28"/>
    </row>
    <row r="403" spans="1:32" ht="12.6" customHeight="1" x14ac:dyDescent="0.25">
      <c r="A403" s="14">
        <v>45701</v>
      </c>
      <c r="B403" s="14" t="s">
        <v>46</v>
      </c>
      <c r="C403" s="15">
        <v>1</v>
      </c>
      <c r="D403" s="16"/>
      <c r="E403" s="16"/>
      <c r="F403" s="17"/>
      <c r="G403" s="21"/>
      <c r="H403" s="21"/>
      <c r="I403" s="4">
        <v>0</v>
      </c>
      <c r="J403" s="4">
        <v>0</v>
      </c>
      <c r="K403" s="4"/>
      <c r="L403" s="16"/>
      <c r="M403" s="4"/>
      <c r="N403" s="4"/>
      <c r="O403" s="4"/>
      <c r="P403" s="4"/>
      <c r="Q403" s="4"/>
      <c r="R403" s="4"/>
      <c r="S403" s="4">
        <v>0</v>
      </c>
      <c r="T403" s="4">
        <v>0</v>
      </c>
      <c r="U403" s="4">
        <v>0</v>
      </c>
      <c r="V403" s="4">
        <v>12</v>
      </c>
      <c r="W403" s="4">
        <v>12</v>
      </c>
      <c r="X403" s="4">
        <v>41</v>
      </c>
      <c r="Y403" s="4"/>
      <c r="Z403" s="4">
        <v>142.30000000000001</v>
      </c>
      <c r="AA403" s="4">
        <v>150</v>
      </c>
      <c r="AB403" s="18"/>
      <c r="AC403" s="18">
        <v>7</v>
      </c>
      <c r="AD403" s="28"/>
      <c r="AE403" s="26"/>
      <c r="AF403" s="28"/>
    </row>
    <row r="404" spans="1:32" ht="12.6" customHeight="1" x14ac:dyDescent="0.25">
      <c r="A404" s="14">
        <v>45701</v>
      </c>
      <c r="B404" s="14" t="s">
        <v>45</v>
      </c>
      <c r="C404" s="15">
        <v>2</v>
      </c>
      <c r="D404" s="16"/>
      <c r="E404" s="16"/>
      <c r="F404" s="17"/>
      <c r="G404" s="21"/>
      <c r="H404" s="21"/>
      <c r="I404" s="4">
        <v>0</v>
      </c>
      <c r="J404" s="4">
        <v>0</v>
      </c>
      <c r="K404" s="4"/>
      <c r="L404" s="16"/>
      <c r="M404" s="4"/>
      <c r="N404" s="4"/>
      <c r="O404" s="4"/>
      <c r="P404" s="4"/>
      <c r="Q404" s="4"/>
      <c r="R404" s="4"/>
      <c r="S404" s="4">
        <v>0</v>
      </c>
      <c r="T404" s="4">
        <v>0</v>
      </c>
      <c r="U404" s="4">
        <v>0</v>
      </c>
      <c r="V404" s="4">
        <v>12</v>
      </c>
      <c r="W404" s="4">
        <v>12</v>
      </c>
      <c r="X404" s="4">
        <v>0</v>
      </c>
      <c r="Y404" s="4"/>
      <c r="Z404" s="4">
        <v>184.03</v>
      </c>
      <c r="AA404" s="4">
        <v>200</v>
      </c>
      <c r="AB404" s="18"/>
      <c r="AC404" s="18">
        <v>7</v>
      </c>
      <c r="AD404" s="28"/>
      <c r="AE404" s="26"/>
      <c r="AF404" s="28"/>
    </row>
    <row r="405" spans="1:32" ht="12.6" customHeight="1" x14ac:dyDescent="0.25">
      <c r="A405" s="14">
        <v>45701</v>
      </c>
      <c r="B405" s="14" t="s">
        <v>46</v>
      </c>
      <c r="C405" s="15">
        <v>2</v>
      </c>
      <c r="D405" s="16"/>
      <c r="E405" s="16"/>
      <c r="F405" s="17"/>
      <c r="G405" s="21"/>
      <c r="H405" s="21"/>
      <c r="I405" s="4">
        <v>0</v>
      </c>
      <c r="J405" s="4">
        <v>0</v>
      </c>
      <c r="K405" s="4"/>
      <c r="L405" s="16"/>
      <c r="M405" s="4"/>
      <c r="N405" s="4"/>
      <c r="O405" s="4"/>
      <c r="P405" s="4"/>
      <c r="Q405" s="4"/>
      <c r="R405" s="4"/>
      <c r="S405" s="4">
        <v>0</v>
      </c>
      <c r="T405" s="4">
        <v>0</v>
      </c>
      <c r="U405" s="4">
        <v>0</v>
      </c>
      <c r="V405" s="4">
        <v>12</v>
      </c>
      <c r="W405" s="4">
        <v>12</v>
      </c>
      <c r="X405" s="4">
        <v>0</v>
      </c>
      <c r="Y405" s="4"/>
      <c r="Z405" s="4">
        <v>175.34</v>
      </c>
      <c r="AA405" s="4">
        <v>200</v>
      </c>
      <c r="AB405" s="18"/>
      <c r="AC405" s="18">
        <v>7</v>
      </c>
      <c r="AD405" s="28"/>
      <c r="AE405" s="26"/>
      <c r="AF405" s="28"/>
    </row>
    <row r="406" spans="1:32" ht="12.6" customHeight="1" x14ac:dyDescent="0.25">
      <c r="A406" s="14">
        <v>45701</v>
      </c>
      <c r="B406" s="14" t="s">
        <v>45</v>
      </c>
      <c r="C406" s="15">
        <v>3</v>
      </c>
      <c r="D406" s="16"/>
      <c r="E406" s="16"/>
      <c r="F406" s="17"/>
      <c r="G406" s="21"/>
      <c r="H406" s="21"/>
      <c r="I406" s="4">
        <v>0</v>
      </c>
      <c r="J406" s="4">
        <v>0</v>
      </c>
      <c r="K406" s="4"/>
      <c r="L406" s="16"/>
      <c r="M406" s="4"/>
      <c r="N406" s="4"/>
      <c r="O406" s="4"/>
      <c r="P406" s="4"/>
      <c r="Q406" s="4"/>
      <c r="R406" s="4"/>
      <c r="S406" s="4">
        <v>0</v>
      </c>
      <c r="T406" s="4">
        <v>0</v>
      </c>
      <c r="U406" s="4">
        <v>0</v>
      </c>
      <c r="V406" s="4">
        <v>12</v>
      </c>
      <c r="W406" s="4">
        <v>12</v>
      </c>
      <c r="X406" s="4">
        <v>0</v>
      </c>
      <c r="Y406" s="4"/>
      <c r="Z406" s="4">
        <v>300.67999999999995</v>
      </c>
      <c r="AA406" s="4">
        <v>300</v>
      </c>
      <c r="AB406" s="18"/>
      <c r="AC406" s="18">
        <v>7</v>
      </c>
      <c r="AD406" s="28"/>
      <c r="AE406" s="26"/>
      <c r="AF406" s="28"/>
    </row>
    <row r="407" spans="1:32" ht="12.6" customHeight="1" x14ac:dyDescent="0.25">
      <c r="A407" s="14">
        <v>45701</v>
      </c>
      <c r="B407" s="14" t="s">
        <v>46</v>
      </c>
      <c r="C407" s="15">
        <v>3</v>
      </c>
      <c r="D407" s="16"/>
      <c r="E407" s="16"/>
      <c r="F407" s="17"/>
      <c r="G407" s="21"/>
      <c r="H407" s="21"/>
      <c r="I407" s="4">
        <v>0</v>
      </c>
      <c r="J407" s="4">
        <v>0</v>
      </c>
      <c r="K407" s="4"/>
      <c r="L407" s="16"/>
      <c r="M407" s="4"/>
      <c r="N407" s="4"/>
      <c r="O407" s="4"/>
      <c r="P407" s="4"/>
      <c r="Q407" s="4"/>
      <c r="R407" s="4"/>
      <c r="S407" s="4">
        <v>0</v>
      </c>
      <c r="T407" s="4">
        <v>0</v>
      </c>
      <c r="U407" s="4">
        <v>0</v>
      </c>
      <c r="V407" s="4">
        <v>12</v>
      </c>
      <c r="W407" s="4">
        <v>12</v>
      </c>
      <c r="X407" s="4">
        <v>0</v>
      </c>
      <c r="Y407" s="4"/>
      <c r="Z407" s="4">
        <v>320.97000000000003</v>
      </c>
      <c r="AA407" s="4">
        <v>300</v>
      </c>
      <c r="AB407" s="18"/>
      <c r="AC407" s="18">
        <v>7</v>
      </c>
      <c r="AD407" s="28"/>
      <c r="AE407" s="26"/>
      <c r="AF407" s="28"/>
    </row>
    <row r="408" spans="1:32" ht="12.6" customHeight="1" x14ac:dyDescent="0.25">
      <c r="A408" s="14">
        <v>45701</v>
      </c>
      <c r="B408" s="14" t="s">
        <v>45</v>
      </c>
      <c r="C408" s="15">
        <v>4</v>
      </c>
      <c r="D408" s="16"/>
      <c r="E408" s="16"/>
      <c r="F408" s="17"/>
      <c r="G408" s="21"/>
      <c r="H408" s="21"/>
      <c r="I408" s="4">
        <v>0</v>
      </c>
      <c r="J408" s="4">
        <v>0</v>
      </c>
      <c r="K408" s="4"/>
      <c r="L408" s="16"/>
      <c r="M408" s="4"/>
      <c r="N408" s="4"/>
      <c r="O408" s="4"/>
      <c r="P408" s="4"/>
      <c r="Q408" s="4"/>
      <c r="R408" s="4"/>
      <c r="S408" s="4">
        <v>0</v>
      </c>
      <c r="T408" s="4">
        <v>0</v>
      </c>
      <c r="U408" s="4">
        <v>0</v>
      </c>
      <c r="V408" s="4">
        <v>12</v>
      </c>
      <c r="W408" s="4">
        <v>12</v>
      </c>
      <c r="X408" s="4">
        <v>0</v>
      </c>
      <c r="Y408" s="4"/>
      <c r="Z408" s="4">
        <v>882.3900000000001</v>
      </c>
      <c r="AA408" s="4">
        <v>900</v>
      </c>
      <c r="AB408" s="18"/>
      <c r="AC408" s="18">
        <v>7</v>
      </c>
      <c r="AD408" s="28"/>
      <c r="AE408" s="26"/>
      <c r="AF408" s="28"/>
    </row>
    <row r="409" spans="1:32" ht="12.6" customHeight="1" x14ac:dyDescent="0.25">
      <c r="A409" s="14">
        <v>45701</v>
      </c>
      <c r="B409" s="14" t="s">
        <v>46</v>
      </c>
      <c r="C409" s="15">
        <v>4</v>
      </c>
      <c r="D409" s="16"/>
      <c r="E409" s="16"/>
      <c r="F409" s="17"/>
      <c r="G409" s="21"/>
      <c r="H409" s="21"/>
      <c r="I409" s="4">
        <v>0</v>
      </c>
      <c r="J409" s="4">
        <v>0</v>
      </c>
      <c r="K409" s="4"/>
      <c r="L409" s="16"/>
      <c r="M409" s="4"/>
      <c r="N409" s="4"/>
      <c r="O409" s="4"/>
      <c r="P409" s="4"/>
      <c r="Q409" s="4"/>
      <c r="R409" s="4"/>
      <c r="S409" s="4">
        <v>0</v>
      </c>
      <c r="T409" s="4">
        <v>0</v>
      </c>
      <c r="U409" s="4">
        <v>0</v>
      </c>
      <c r="V409" s="4">
        <v>12</v>
      </c>
      <c r="W409" s="4">
        <v>12</v>
      </c>
      <c r="X409" s="4">
        <v>0</v>
      </c>
      <c r="Y409" s="4"/>
      <c r="Z409" s="4">
        <v>847.59000000000015</v>
      </c>
      <c r="AA409" s="4">
        <v>800</v>
      </c>
      <c r="AB409" s="18"/>
      <c r="AC409" s="18">
        <v>7</v>
      </c>
      <c r="AD409" s="28"/>
      <c r="AE409" s="26"/>
      <c r="AF409" s="28"/>
    </row>
    <row r="410" spans="1:32" ht="12.6" customHeight="1" x14ac:dyDescent="0.25">
      <c r="A410" s="14">
        <v>45701</v>
      </c>
      <c r="B410" s="14" t="s">
        <v>45</v>
      </c>
      <c r="C410" s="15">
        <v>5</v>
      </c>
      <c r="D410" s="16"/>
      <c r="E410" s="16"/>
      <c r="F410" s="17"/>
      <c r="G410" s="21"/>
      <c r="H410" s="21"/>
      <c r="I410" s="4">
        <v>0</v>
      </c>
      <c r="J410" s="4">
        <v>0</v>
      </c>
      <c r="K410" s="4"/>
      <c r="L410" s="16"/>
      <c r="M410" s="4"/>
      <c r="N410" s="4"/>
      <c r="O410" s="4"/>
      <c r="P410" s="4"/>
      <c r="Q410" s="4"/>
      <c r="R410" s="4"/>
      <c r="S410" s="4">
        <v>0</v>
      </c>
      <c r="T410" s="4">
        <v>0</v>
      </c>
      <c r="U410" s="4">
        <v>0</v>
      </c>
      <c r="V410" s="4">
        <v>12</v>
      </c>
      <c r="W410" s="4">
        <v>12</v>
      </c>
      <c r="X410" s="4">
        <v>0</v>
      </c>
      <c r="Y410" s="4"/>
      <c r="Z410" s="4">
        <v>483.71999999999997</v>
      </c>
      <c r="AA410" s="4">
        <v>500</v>
      </c>
      <c r="AB410" s="18"/>
      <c r="AC410" s="18">
        <v>7</v>
      </c>
      <c r="AD410" s="28"/>
      <c r="AE410" s="26"/>
      <c r="AF410" s="28"/>
    </row>
    <row r="411" spans="1:32" ht="12.6" customHeight="1" x14ac:dyDescent="0.25">
      <c r="A411" s="14">
        <v>45701</v>
      </c>
      <c r="B411" s="14" t="s">
        <v>46</v>
      </c>
      <c r="C411" s="15">
        <v>5</v>
      </c>
      <c r="D411" s="16"/>
      <c r="E411" s="16"/>
      <c r="F411" s="17"/>
      <c r="G411" s="21"/>
      <c r="H411" s="21"/>
      <c r="I411" s="4">
        <v>0</v>
      </c>
      <c r="J411" s="4">
        <v>0</v>
      </c>
      <c r="K411" s="4"/>
      <c r="L411" s="16"/>
      <c r="M411" s="4"/>
      <c r="N411" s="4"/>
      <c r="O411" s="4"/>
      <c r="P411" s="4"/>
      <c r="Q411" s="4"/>
      <c r="R411" s="4"/>
      <c r="S411" s="4">
        <v>0</v>
      </c>
      <c r="T411" s="4">
        <v>0</v>
      </c>
      <c r="U411" s="4">
        <v>0</v>
      </c>
      <c r="V411" s="4">
        <v>12</v>
      </c>
      <c r="W411" s="4">
        <v>12</v>
      </c>
      <c r="X411" s="4">
        <v>0</v>
      </c>
      <c r="Y411" s="4"/>
      <c r="Z411" s="4">
        <v>490.62</v>
      </c>
      <c r="AA411" s="4">
        <v>500</v>
      </c>
      <c r="AB411" s="18"/>
      <c r="AC411" s="18">
        <v>7</v>
      </c>
      <c r="AD411" s="28"/>
      <c r="AE411" s="26"/>
      <c r="AF411" s="28"/>
    </row>
    <row r="412" spans="1:32" ht="12.6" customHeight="1" x14ac:dyDescent="0.25">
      <c r="A412" s="14">
        <v>45702</v>
      </c>
      <c r="B412" s="14" t="s">
        <v>45</v>
      </c>
      <c r="C412" s="15">
        <v>1</v>
      </c>
      <c r="D412" s="16"/>
      <c r="E412" s="16"/>
      <c r="F412" s="17"/>
      <c r="G412" s="21"/>
      <c r="H412" s="21"/>
      <c r="I412" s="4">
        <v>0</v>
      </c>
      <c r="J412" s="4">
        <v>0</v>
      </c>
      <c r="K412" s="4"/>
      <c r="L412" s="16"/>
      <c r="M412" s="4"/>
      <c r="N412" s="4"/>
      <c r="O412" s="4"/>
      <c r="P412" s="4"/>
      <c r="Q412" s="4"/>
      <c r="R412" s="4"/>
      <c r="S412" s="4">
        <v>0</v>
      </c>
      <c r="T412" s="4">
        <v>0</v>
      </c>
      <c r="U412" s="4">
        <v>0</v>
      </c>
      <c r="V412" s="4">
        <v>12</v>
      </c>
      <c r="W412" s="4">
        <v>12</v>
      </c>
      <c r="X412" s="4">
        <v>25</v>
      </c>
      <c r="Y412" s="4">
        <v>1997</v>
      </c>
      <c r="Z412" s="4">
        <v>147.52000000000001</v>
      </c>
      <c r="AA412" s="4">
        <v>150</v>
      </c>
      <c r="AB412" s="18">
        <v>398</v>
      </c>
      <c r="AC412" s="18">
        <v>7</v>
      </c>
      <c r="AD412" s="28"/>
      <c r="AE412" s="26"/>
      <c r="AF412" s="28"/>
    </row>
    <row r="413" spans="1:32" ht="12.6" customHeight="1" x14ac:dyDescent="0.25">
      <c r="A413" s="14">
        <v>45702</v>
      </c>
      <c r="B413" s="14" t="s">
        <v>46</v>
      </c>
      <c r="C413" s="15">
        <v>1</v>
      </c>
      <c r="D413" s="16"/>
      <c r="E413" s="16"/>
      <c r="F413" s="17"/>
      <c r="G413" s="21"/>
      <c r="H413" s="21"/>
      <c r="I413" s="4">
        <v>0</v>
      </c>
      <c r="J413" s="4">
        <v>0</v>
      </c>
      <c r="K413" s="4"/>
      <c r="L413" s="16"/>
      <c r="M413" s="4"/>
      <c r="N413" s="4"/>
      <c r="O413" s="4"/>
      <c r="P413" s="4"/>
      <c r="Q413" s="4"/>
      <c r="R413" s="4"/>
      <c r="S413" s="4">
        <v>0</v>
      </c>
      <c r="T413" s="4">
        <v>0</v>
      </c>
      <c r="U413" s="4">
        <v>0</v>
      </c>
      <c r="V413" s="4">
        <v>12</v>
      </c>
      <c r="W413" s="4">
        <v>12</v>
      </c>
      <c r="X413" s="4">
        <v>25</v>
      </c>
      <c r="Y413" s="4"/>
      <c r="Z413" s="4">
        <v>156.25</v>
      </c>
      <c r="AA413" s="4">
        <v>150</v>
      </c>
      <c r="AB413" s="18"/>
      <c r="AC413" s="18">
        <v>7</v>
      </c>
      <c r="AD413" s="28"/>
      <c r="AE413" s="26"/>
      <c r="AF413" s="28"/>
    </row>
    <row r="414" spans="1:32" ht="12.6" customHeight="1" x14ac:dyDescent="0.25">
      <c r="A414" s="14">
        <v>45702</v>
      </c>
      <c r="B414" s="14" t="s">
        <v>45</v>
      </c>
      <c r="C414" s="15">
        <v>2</v>
      </c>
      <c r="D414" s="16"/>
      <c r="E414" s="16"/>
      <c r="F414" s="17"/>
      <c r="G414" s="21"/>
      <c r="H414" s="21"/>
      <c r="I414" s="4">
        <v>0</v>
      </c>
      <c r="J414" s="4">
        <v>0</v>
      </c>
      <c r="K414" s="4"/>
      <c r="L414" s="16"/>
      <c r="M414" s="4"/>
      <c r="N414" s="4"/>
      <c r="O414" s="4"/>
      <c r="P414" s="4"/>
      <c r="Q414" s="4"/>
      <c r="R414" s="4"/>
      <c r="S414" s="4">
        <v>0</v>
      </c>
      <c r="T414" s="4">
        <v>0</v>
      </c>
      <c r="U414" s="4">
        <v>0</v>
      </c>
      <c r="V414" s="4">
        <v>12</v>
      </c>
      <c r="W414" s="4">
        <v>12</v>
      </c>
      <c r="X414" s="4">
        <v>0</v>
      </c>
      <c r="Y414" s="4"/>
      <c r="Z414" s="4">
        <v>183.75000000000003</v>
      </c>
      <c r="AA414" s="4">
        <v>250</v>
      </c>
      <c r="AB414" s="18"/>
      <c r="AC414" s="18">
        <v>7</v>
      </c>
      <c r="AD414" s="28"/>
      <c r="AE414" s="26"/>
      <c r="AF414" s="28"/>
    </row>
    <row r="415" spans="1:32" ht="12.6" customHeight="1" x14ac:dyDescent="0.25">
      <c r="A415" s="14">
        <v>45702</v>
      </c>
      <c r="B415" s="14" t="s">
        <v>46</v>
      </c>
      <c r="C415" s="15">
        <v>2</v>
      </c>
      <c r="D415" s="16"/>
      <c r="E415" s="16"/>
      <c r="F415" s="17"/>
      <c r="G415" s="21"/>
      <c r="H415" s="21"/>
      <c r="I415" s="4">
        <v>0</v>
      </c>
      <c r="J415" s="4">
        <v>0</v>
      </c>
      <c r="K415" s="4"/>
      <c r="L415" s="16"/>
      <c r="M415" s="4"/>
      <c r="N415" s="4"/>
      <c r="O415" s="4"/>
      <c r="P415" s="4"/>
      <c r="Q415" s="4"/>
      <c r="R415" s="4"/>
      <c r="S415" s="4">
        <v>0</v>
      </c>
      <c r="T415" s="4">
        <v>0</v>
      </c>
      <c r="U415" s="4">
        <v>0</v>
      </c>
      <c r="V415" s="4">
        <v>12</v>
      </c>
      <c r="W415" s="4">
        <v>12</v>
      </c>
      <c r="X415" s="4">
        <v>0</v>
      </c>
      <c r="Y415" s="4"/>
      <c r="Z415" s="4">
        <v>172.76</v>
      </c>
      <c r="AA415" s="4">
        <v>250</v>
      </c>
      <c r="AB415" s="18"/>
      <c r="AC415" s="18">
        <v>7</v>
      </c>
      <c r="AD415" s="28"/>
      <c r="AE415" s="26"/>
      <c r="AF415" s="28"/>
    </row>
    <row r="416" spans="1:32" ht="12.6" customHeight="1" x14ac:dyDescent="0.25">
      <c r="A416" s="14">
        <v>45702</v>
      </c>
      <c r="B416" s="14" t="s">
        <v>45</v>
      </c>
      <c r="C416" s="15">
        <v>3</v>
      </c>
      <c r="D416" s="16"/>
      <c r="E416" s="16"/>
      <c r="F416" s="17"/>
      <c r="G416" s="21"/>
      <c r="H416" s="21"/>
      <c r="I416" s="4">
        <v>0</v>
      </c>
      <c r="J416" s="4">
        <v>0</v>
      </c>
      <c r="K416" s="4"/>
      <c r="L416" s="16"/>
      <c r="M416" s="4"/>
      <c r="N416" s="4"/>
      <c r="O416" s="4"/>
      <c r="P416" s="4"/>
      <c r="Q416" s="4"/>
      <c r="R416" s="4"/>
      <c r="S416" s="4">
        <v>0</v>
      </c>
      <c r="T416" s="4">
        <v>0</v>
      </c>
      <c r="U416" s="4">
        <v>0</v>
      </c>
      <c r="V416" s="4">
        <v>12</v>
      </c>
      <c r="W416" s="4">
        <v>12</v>
      </c>
      <c r="X416" s="4">
        <v>0</v>
      </c>
      <c r="Y416" s="4"/>
      <c r="Z416" s="4">
        <v>307.72000000000003</v>
      </c>
      <c r="AA416" s="4">
        <v>350</v>
      </c>
      <c r="AB416" s="18"/>
      <c r="AC416" s="18">
        <v>7</v>
      </c>
      <c r="AD416" s="28"/>
      <c r="AE416" s="26"/>
      <c r="AF416" s="28"/>
    </row>
    <row r="417" spans="1:32" ht="12.6" customHeight="1" x14ac:dyDescent="0.25">
      <c r="A417" s="14">
        <v>45702</v>
      </c>
      <c r="B417" s="14" t="s">
        <v>46</v>
      </c>
      <c r="C417" s="15">
        <v>3</v>
      </c>
      <c r="D417" s="16"/>
      <c r="E417" s="16"/>
      <c r="F417" s="17"/>
      <c r="G417" s="21"/>
      <c r="H417" s="21"/>
      <c r="I417" s="4">
        <v>0</v>
      </c>
      <c r="J417" s="4">
        <v>0</v>
      </c>
      <c r="K417" s="4"/>
      <c r="L417" s="16"/>
      <c r="M417" s="4"/>
      <c r="N417" s="4"/>
      <c r="O417" s="4"/>
      <c r="P417" s="4"/>
      <c r="Q417" s="4"/>
      <c r="R417" s="4"/>
      <c r="S417" s="4">
        <v>0</v>
      </c>
      <c r="T417" s="4">
        <v>0</v>
      </c>
      <c r="U417" s="4">
        <v>0</v>
      </c>
      <c r="V417" s="4">
        <v>12</v>
      </c>
      <c r="W417" s="4">
        <v>12</v>
      </c>
      <c r="X417" s="4">
        <v>0</v>
      </c>
      <c r="Y417" s="4"/>
      <c r="Z417" s="4">
        <v>279.97000000000003</v>
      </c>
      <c r="AA417" s="4">
        <v>300</v>
      </c>
      <c r="AB417" s="18"/>
      <c r="AC417" s="18">
        <v>7</v>
      </c>
      <c r="AD417" s="28"/>
      <c r="AE417" s="26"/>
      <c r="AF417" s="28"/>
    </row>
    <row r="418" spans="1:32" ht="12.6" customHeight="1" x14ac:dyDescent="0.25">
      <c r="A418" s="14">
        <v>45702</v>
      </c>
      <c r="B418" s="14" t="s">
        <v>45</v>
      </c>
      <c r="C418" s="15">
        <v>4</v>
      </c>
      <c r="D418" s="16">
        <v>40</v>
      </c>
      <c r="E418" s="16"/>
      <c r="F418" s="17"/>
      <c r="G418" s="21"/>
      <c r="H418" s="21"/>
      <c r="I418" s="4">
        <v>40</v>
      </c>
      <c r="J418" s="4">
        <v>0.66666666666666663</v>
      </c>
      <c r="K418" s="4"/>
      <c r="L418" s="16"/>
      <c r="M418" s="4"/>
      <c r="N418" s="4"/>
      <c r="O418" s="4"/>
      <c r="P418" s="4"/>
      <c r="Q418" s="4"/>
      <c r="R418" s="4"/>
      <c r="S418" s="4">
        <v>0</v>
      </c>
      <c r="T418" s="4">
        <v>0</v>
      </c>
      <c r="U418" s="4">
        <v>0.66666666666666663</v>
      </c>
      <c r="V418" s="4">
        <v>11.333333333333334</v>
      </c>
      <c r="W418" s="4">
        <v>12</v>
      </c>
      <c r="X418" s="4">
        <v>0</v>
      </c>
      <c r="Y418" s="4"/>
      <c r="Z418" s="4">
        <v>816.76</v>
      </c>
      <c r="AA418" s="4">
        <v>800</v>
      </c>
      <c r="AB418" s="18"/>
      <c r="AC418" s="18">
        <v>7</v>
      </c>
      <c r="AD418" s="28"/>
      <c r="AE418" s="26"/>
      <c r="AF418" s="28"/>
    </row>
    <row r="419" spans="1:32" ht="12.6" customHeight="1" x14ac:dyDescent="0.25">
      <c r="A419" s="14">
        <v>45702</v>
      </c>
      <c r="B419" s="14" t="s">
        <v>46</v>
      </c>
      <c r="C419" s="15">
        <v>4</v>
      </c>
      <c r="D419" s="16">
        <v>40</v>
      </c>
      <c r="E419" s="16"/>
      <c r="F419" s="17"/>
      <c r="G419" s="21"/>
      <c r="H419" s="21"/>
      <c r="I419" s="4">
        <v>40</v>
      </c>
      <c r="J419" s="4">
        <v>0.66666666666666663</v>
      </c>
      <c r="K419" s="4"/>
      <c r="L419" s="16"/>
      <c r="M419" s="4"/>
      <c r="N419" s="4"/>
      <c r="O419" s="4"/>
      <c r="P419" s="4"/>
      <c r="Q419" s="4"/>
      <c r="R419" s="4"/>
      <c r="S419" s="4">
        <v>0</v>
      </c>
      <c r="T419" s="4">
        <v>0</v>
      </c>
      <c r="U419" s="4">
        <v>0.66666666666666663</v>
      </c>
      <c r="V419" s="4">
        <v>11.333333333333334</v>
      </c>
      <c r="W419" s="4">
        <v>12</v>
      </c>
      <c r="X419" s="4">
        <v>0</v>
      </c>
      <c r="Y419" s="4"/>
      <c r="Z419" s="4">
        <v>845.51</v>
      </c>
      <c r="AA419" s="4">
        <v>900</v>
      </c>
      <c r="AB419" s="18"/>
      <c r="AC419" s="18">
        <v>7</v>
      </c>
      <c r="AD419" s="28"/>
      <c r="AE419" s="26"/>
      <c r="AF419" s="28"/>
    </row>
    <row r="420" spans="1:32" ht="12.6" customHeight="1" x14ac:dyDescent="0.25">
      <c r="A420" s="14">
        <v>45702</v>
      </c>
      <c r="B420" s="14" t="s">
        <v>45</v>
      </c>
      <c r="C420" s="15">
        <v>5</v>
      </c>
      <c r="D420" s="16"/>
      <c r="E420" s="16"/>
      <c r="F420" s="17"/>
      <c r="G420" s="21"/>
      <c r="H420" s="21"/>
      <c r="I420" s="4">
        <v>0</v>
      </c>
      <c r="J420" s="4">
        <v>0</v>
      </c>
      <c r="K420" s="4"/>
      <c r="L420" s="16"/>
      <c r="M420" s="4"/>
      <c r="N420" s="4"/>
      <c r="O420" s="4"/>
      <c r="P420" s="4"/>
      <c r="Q420" s="4"/>
      <c r="R420" s="4"/>
      <c r="S420" s="4">
        <v>0</v>
      </c>
      <c r="T420" s="4">
        <v>0</v>
      </c>
      <c r="U420" s="4">
        <v>0</v>
      </c>
      <c r="V420" s="4">
        <v>12</v>
      </c>
      <c r="W420" s="4">
        <v>12</v>
      </c>
      <c r="X420" s="4">
        <v>0</v>
      </c>
      <c r="Y420" s="4"/>
      <c r="Z420" s="4">
        <v>513.82000000000005</v>
      </c>
      <c r="AA420" s="4">
        <v>550</v>
      </c>
      <c r="AB420" s="18"/>
      <c r="AC420" s="18">
        <v>7</v>
      </c>
      <c r="AD420" s="28"/>
      <c r="AE420" s="26"/>
      <c r="AF420" s="28"/>
    </row>
    <row r="421" spans="1:32" ht="12.6" customHeight="1" x14ac:dyDescent="0.25">
      <c r="A421" s="14">
        <v>45702</v>
      </c>
      <c r="B421" s="14" t="s">
        <v>46</v>
      </c>
      <c r="C421" s="15">
        <v>5</v>
      </c>
      <c r="D421" s="16"/>
      <c r="E421" s="16"/>
      <c r="F421" s="17"/>
      <c r="G421" s="21"/>
      <c r="H421" s="21"/>
      <c r="I421" s="4">
        <v>0</v>
      </c>
      <c r="J421" s="4">
        <v>0</v>
      </c>
      <c r="K421" s="4"/>
      <c r="L421" s="16"/>
      <c r="M421" s="4"/>
      <c r="N421" s="4"/>
      <c r="O421" s="4"/>
      <c r="P421" s="4">
        <v>300</v>
      </c>
      <c r="Q421" s="4"/>
      <c r="R421" s="4"/>
      <c r="S421" s="4">
        <v>300</v>
      </c>
      <c r="T421" s="4">
        <v>5</v>
      </c>
      <c r="U421" s="4">
        <v>5</v>
      </c>
      <c r="V421" s="4">
        <v>7</v>
      </c>
      <c r="W421" s="4">
        <v>12</v>
      </c>
      <c r="X421" s="4">
        <v>0</v>
      </c>
      <c r="Y421" s="4"/>
      <c r="Z421" s="4">
        <v>390.88</v>
      </c>
      <c r="AA421" s="4">
        <v>400</v>
      </c>
      <c r="AB421" s="18"/>
      <c r="AC421" s="18">
        <v>7</v>
      </c>
      <c r="AD421" s="28"/>
      <c r="AE421" s="26"/>
      <c r="AF421" s="28"/>
    </row>
    <row r="422" spans="1:32" ht="12.6" customHeight="1" x14ac:dyDescent="0.25">
      <c r="A422" s="14">
        <v>45703</v>
      </c>
      <c r="B422" s="14" t="s">
        <v>45</v>
      </c>
      <c r="C422" s="15">
        <v>1</v>
      </c>
      <c r="D422" s="16"/>
      <c r="E422" s="16"/>
      <c r="F422" s="17"/>
      <c r="G422" s="21"/>
      <c r="H422" s="21"/>
      <c r="I422" s="4">
        <v>0</v>
      </c>
      <c r="J422" s="4">
        <v>0</v>
      </c>
      <c r="K422" s="4"/>
      <c r="L422" s="16"/>
      <c r="M422" s="4"/>
      <c r="N422" s="4"/>
      <c r="O422" s="4"/>
      <c r="P422" s="4"/>
      <c r="Q422" s="4"/>
      <c r="R422" s="4"/>
      <c r="S422" s="4">
        <v>0</v>
      </c>
      <c r="T422" s="4">
        <v>0</v>
      </c>
      <c r="U422" s="4">
        <v>0</v>
      </c>
      <c r="V422" s="4">
        <v>12</v>
      </c>
      <c r="W422" s="4">
        <v>12</v>
      </c>
      <c r="X422" s="4">
        <v>35</v>
      </c>
      <c r="Y422" s="4">
        <v>1554</v>
      </c>
      <c r="Z422" s="4">
        <v>143.99</v>
      </c>
      <c r="AA422" s="4">
        <v>150</v>
      </c>
      <c r="AB422" s="18">
        <v>398</v>
      </c>
      <c r="AC422" s="18">
        <v>7</v>
      </c>
      <c r="AD422" s="28"/>
      <c r="AE422" s="26"/>
      <c r="AF422" s="28"/>
    </row>
    <row r="423" spans="1:32" ht="12.6" customHeight="1" x14ac:dyDescent="0.25">
      <c r="A423" s="14">
        <v>45703</v>
      </c>
      <c r="B423" s="14" t="s">
        <v>46</v>
      </c>
      <c r="C423" s="15">
        <v>1</v>
      </c>
      <c r="D423" s="16"/>
      <c r="E423" s="16"/>
      <c r="F423" s="17"/>
      <c r="G423" s="21"/>
      <c r="H423" s="21"/>
      <c r="I423" s="4">
        <v>0</v>
      </c>
      <c r="J423" s="4">
        <v>0</v>
      </c>
      <c r="K423" s="4"/>
      <c r="L423" s="16"/>
      <c r="M423" s="4"/>
      <c r="N423" s="4"/>
      <c r="O423" s="4"/>
      <c r="P423" s="4"/>
      <c r="Q423" s="4"/>
      <c r="R423" s="4"/>
      <c r="S423" s="4">
        <v>0</v>
      </c>
      <c r="T423" s="4">
        <v>0</v>
      </c>
      <c r="U423" s="4">
        <v>0</v>
      </c>
      <c r="V423" s="4">
        <v>12</v>
      </c>
      <c r="W423" s="4">
        <v>12</v>
      </c>
      <c r="X423" s="4">
        <v>35</v>
      </c>
      <c r="Y423" s="4"/>
      <c r="Z423" s="4">
        <v>128.53</v>
      </c>
      <c r="AA423" s="4">
        <v>100</v>
      </c>
      <c r="AB423" s="18"/>
      <c r="AC423" s="18">
        <v>7</v>
      </c>
      <c r="AD423" s="28"/>
      <c r="AE423" s="26"/>
      <c r="AF423" s="28"/>
    </row>
    <row r="424" spans="1:32" ht="12.6" customHeight="1" x14ac:dyDescent="0.25">
      <c r="A424" s="14">
        <v>45703</v>
      </c>
      <c r="B424" s="14" t="s">
        <v>45</v>
      </c>
      <c r="C424" s="15">
        <v>2</v>
      </c>
      <c r="D424" s="16"/>
      <c r="E424" s="16"/>
      <c r="F424" s="17"/>
      <c r="G424" s="21"/>
      <c r="H424" s="21"/>
      <c r="I424" s="4">
        <v>0</v>
      </c>
      <c r="J424" s="4">
        <v>0</v>
      </c>
      <c r="K424" s="4"/>
      <c r="L424" s="16"/>
      <c r="M424" s="4"/>
      <c r="N424" s="4"/>
      <c r="O424" s="4"/>
      <c r="P424" s="4"/>
      <c r="Q424" s="4"/>
      <c r="R424" s="4"/>
      <c r="S424" s="4">
        <v>0</v>
      </c>
      <c r="T424" s="4">
        <v>0</v>
      </c>
      <c r="U424" s="4">
        <v>0</v>
      </c>
      <c r="V424" s="4">
        <v>12</v>
      </c>
      <c r="W424" s="4">
        <v>12</v>
      </c>
      <c r="X424" s="4">
        <v>0</v>
      </c>
      <c r="Y424" s="4"/>
      <c r="Z424" s="4">
        <v>181.37000000000003</v>
      </c>
      <c r="AA424" s="4">
        <v>150</v>
      </c>
      <c r="AB424" s="18"/>
      <c r="AC424" s="18">
        <v>7</v>
      </c>
      <c r="AD424" s="28"/>
      <c r="AE424" s="26"/>
      <c r="AF424" s="28"/>
    </row>
    <row r="425" spans="1:32" ht="12.6" customHeight="1" x14ac:dyDescent="0.25">
      <c r="A425" s="14">
        <v>45703</v>
      </c>
      <c r="B425" s="14" t="s">
        <v>46</v>
      </c>
      <c r="C425" s="15">
        <v>2</v>
      </c>
      <c r="D425" s="16"/>
      <c r="E425" s="16"/>
      <c r="F425" s="17"/>
      <c r="G425" s="21"/>
      <c r="H425" s="21"/>
      <c r="I425" s="4">
        <v>0</v>
      </c>
      <c r="J425" s="4">
        <v>0</v>
      </c>
      <c r="K425" s="4"/>
      <c r="L425" s="16"/>
      <c r="M425" s="4"/>
      <c r="N425" s="4"/>
      <c r="O425" s="4"/>
      <c r="P425" s="4"/>
      <c r="Q425" s="4"/>
      <c r="R425" s="4"/>
      <c r="S425" s="4">
        <v>0</v>
      </c>
      <c r="T425" s="4">
        <v>0</v>
      </c>
      <c r="U425" s="4">
        <v>0</v>
      </c>
      <c r="V425" s="4">
        <v>12</v>
      </c>
      <c r="W425" s="4">
        <v>12</v>
      </c>
      <c r="X425" s="4">
        <v>0</v>
      </c>
      <c r="Y425" s="4"/>
      <c r="Z425" s="4">
        <v>151.92000000000002</v>
      </c>
      <c r="AA425" s="4">
        <v>150</v>
      </c>
      <c r="AB425" s="18"/>
      <c r="AC425" s="18">
        <v>7</v>
      </c>
      <c r="AD425" s="28"/>
      <c r="AE425" s="26"/>
      <c r="AF425" s="28"/>
    </row>
    <row r="426" spans="1:32" ht="12.6" customHeight="1" x14ac:dyDescent="0.25">
      <c r="A426" s="14">
        <v>45703</v>
      </c>
      <c r="B426" s="14" t="s">
        <v>45</v>
      </c>
      <c r="C426" s="15">
        <v>3</v>
      </c>
      <c r="D426" s="16"/>
      <c r="E426" s="16"/>
      <c r="F426" s="17"/>
      <c r="G426" s="21"/>
      <c r="H426" s="21"/>
      <c r="I426" s="4">
        <v>0</v>
      </c>
      <c r="J426" s="4">
        <v>0</v>
      </c>
      <c r="K426" s="4"/>
      <c r="L426" s="16"/>
      <c r="M426" s="4"/>
      <c r="N426" s="4"/>
      <c r="O426" s="4"/>
      <c r="P426" s="4"/>
      <c r="Q426" s="4"/>
      <c r="R426" s="4"/>
      <c r="S426" s="4">
        <v>0</v>
      </c>
      <c r="T426" s="4">
        <v>0</v>
      </c>
      <c r="U426" s="4">
        <v>0</v>
      </c>
      <c r="V426" s="4">
        <v>12</v>
      </c>
      <c r="W426" s="4">
        <v>12</v>
      </c>
      <c r="X426" s="4">
        <v>0</v>
      </c>
      <c r="Y426" s="4"/>
      <c r="Z426" s="4">
        <v>293.73</v>
      </c>
      <c r="AA426" s="4">
        <v>300</v>
      </c>
      <c r="AB426" s="18"/>
      <c r="AC426" s="18">
        <v>7</v>
      </c>
      <c r="AD426" s="28"/>
      <c r="AE426" s="26"/>
      <c r="AF426" s="28"/>
    </row>
    <row r="427" spans="1:32" ht="12.6" customHeight="1" x14ac:dyDescent="0.25">
      <c r="A427" s="14">
        <v>45703</v>
      </c>
      <c r="B427" s="14" t="s">
        <v>46</v>
      </c>
      <c r="C427" s="15">
        <v>3</v>
      </c>
      <c r="D427" s="16"/>
      <c r="E427" s="16"/>
      <c r="F427" s="17"/>
      <c r="G427" s="21"/>
      <c r="H427" s="21"/>
      <c r="I427" s="4">
        <v>0</v>
      </c>
      <c r="J427" s="4">
        <v>0</v>
      </c>
      <c r="K427" s="4"/>
      <c r="L427" s="16"/>
      <c r="M427" s="4"/>
      <c r="N427" s="4"/>
      <c r="O427" s="4"/>
      <c r="P427" s="4"/>
      <c r="Q427" s="4"/>
      <c r="R427" s="4"/>
      <c r="S427" s="4">
        <v>0</v>
      </c>
      <c r="T427" s="4">
        <v>0</v>
      </c>
      <c r="U427" s="4">
        <v>0</v>
      </c>
      <c r="V427" s="4">
        <v>12</v>
      </c>
      <c r="W427" s="4">
        <v>12</v>
      </c>
      <c r="X427" s="4">
        <v>0</v>
      </c>
      <c r="Y427" s="4"/>
      <c r="Z427" s="4">
        <v>282.62</v>
      </c>
      <c r="AA427" s="4">
        <v>250</v>
      </c>
      <c r="AB427" s="18"/>
      <c r="AC427" s="18">
        <v>7</v>
      </c>
      <c r="AD427" s="28"/>
      <c r="AE427" s="26"/>
      <c r="AF427" s="28"/>
    </row>
    <row r="428" spans="1:32" ht="12.6" customHeight="1" x14ac:dyDescent="0.25">
      <c r="A428" s="14">
        <v>45703</v>
      </c>
      <c r="B428" s="14" t="s">
        <v>45</v>
      </c>
      <c r="C428" s="15">
        <v>4</v>
      </c>
      <c r="D428" s="16"/>
      <c r="E428" s="16"/>
      <c r="F428" s="17"/>
      <c r="G428" s="21"/>
      <c r="H428" s="21"/>
      <c r="I428" s="4">
        <v>0</v>
      </c>
      <c r="J428" s="4">
        <v>0</v>
      </c>
      <c r="K428" s="4"/>
      <c r="L428" s="16"/>
      <c r="M428" s="4"/>
      <c r="N428" s="4"/>
      <c r="O428" s="4"/>
      <c r="P428" s="4"/>
      <c r="Q428" s="4"/>
      <c r="R428" s="4"/>
      <c r="S428" s="4">
        <v>0</v>
      </c>
      <c r="T428" s="4">
        <v>0</v>
      </c>
      <c r="U428" s="4">
        <v>0</v>
      </c>
      <c r="V428" s="4">
        <v>12</v>
      </c>
      <c r="W428" s="4">
        <v>12</v>
      </c>
      <c r="X428" s="4">
        <v>0</v>
      </c>
      <c r="Y428" s="4"/>
      <c r="Z428" s="4">
        <v>829.42999999999984</v>
      </c>
      <c r="AA428" s="4">
        <v>800</v>
      </c>
      <c r="AB428" s="18"/>
      <c r="AC428" s="18">
        <v>7</v>
      </c>
      <c r="AD428" s="28"/>
      <c r="AE428" s="26"/>
      <c r="AF428" s="28"/>
    </row>
    <row r="429" spans="1:32" ht="12.6" customHeight="1" x14ac:dyDescent="0.25">
      <c r="A429" s="14">
        <v>45703</v>
      </c>
      <c r="B429" s="14" t="s">
        <v>46</v>
      </c>
      <c r="C429" s="15">
        <v>4</v>
      </c>
      <c r="D429" s="16"/>
      <c r="E429" s="16"/>
      <c r="F429" s="17"/>
      <c r="G429" s="21"/>
      <c r="H429" s="21"/>
      <c r="I429" s="4">
        <v>0</v>
      </c>
      <c r="J429" s="4">
        <v>0</v>
      </c>
      <c r="K429" s="4"/>
      <c r="L429" s="16"/>
      <c r="M429" s="4"/>
      <c r="N429" s="4"/>
      <c r="O429" s="4"/>
      <c r="P429" s="4"/>
      <c r="Q429" s="4"/>
      <c r="R429" s="4"/>
      <c r="S429" s="4">
        <v>0</v>
      </c>
      <c r="T429" s="4">
        <v>0</v>
      </c>
      <c r="U429" s="4">
        <v>0</v>
      </c>
      <c r="V429" s="4">
        <v>12</v>
      </c>
      <c r="W429" s="4">
        <v>12</v>
      </c>
      <c r="X429" s="4">
        <v>0</v>
      </c>
      <c r="Y429" s="4"/>
      <c r="Z429" s="4">
        <v>794.49</v>
      </c>
      <c r="AA429" s="4">
        <v>800</v>
      </c>
      <c r="AB429" s="18"/>
      <c r="AC429" s="18">
        <v>7</v>
      </c>
      <c r="AD429" s="28"/>
      <c r="AE429" s="26"/>
      <c r="AF429" s="28"/>
    </row>
    <row r="430" spans="1:32" ht="12.6" customHeight="1" x14ac:dyDescent="0.25">
      <c r="A430" s="14">
        <v>45704</v>
      </c>
      <c r="B430" s="14" t="s">
        <v>45</v>
      </c>
      <c r="C430" s="15">
        <v>1</v>
      </c>
      <c r="D430" s="16"/>
      <c r="E430" s="16"/>
      <c r="F430" s="17"/>
      <c r="G430" s="21"/>
      <c r="H430" s="21"/>
      <c r="I430" s="4">
        <v>0</v>
      </c>
      <c r="J430" s="4">
        <v>0</v>
      </c>
      <c r="K430" s="4"/>
      <c r="L430" s="16"/>
      <c r="M430" s="4"/>
      <c r="N430" s="4"/>
      <c r="O430" s="4"/>
      <c r="P430" s="4"/>
      <c r="Q430" s="4"/>
      <c r="R430" s="4"/>
      <c r="S430" s="4">
        <v>0</v>
      </c>
      <c r="T430" s="4">
        <v>0</v>
      </c>
      <c r="U430" s="4">
        <v>0</v>
      </c>
      <c r="V430" s="4">
        <v>12</v>
      </c>
      <c r="W430" s="4">
        <v>12</v>
      </c>
      <c r="X430" s="4">
        <v>40</v>
      </c>
      <c r="Y430" s="4">
        <v>1977</v>
      </c>
      <c r="Z430" s="4">
        <v>158.66</v>
      </c>
      <c r="AA430" s="4">
        <v>150</v>
      </c>
      <c r="AB430" s="18">
        <v>398</v>
      </c>
      <c r="AC430" s="18">
        <v>7</v>
      </c>
      <c r="AD430" s="28"/>
      <c r="AE430" s="26"/>
      <c r="AF430" s="28"/>
    </row>
    <row r="431" spans="1:32" ht="12.6" customHeight="1" x14ac:dyDescent="0.25">
      <c r="A431" s="14">
        <v>45704</v>
      </c>
      <c r="B431" s="14" t="s">
        <v>46</v>
      </c>
      <c r="C431" s="15">
        <v>1</v>
      </c>
      <c r="D431" s="16"/>
      <c r="E431" s="16"/>
      <c r="F431" s="17"/>
      <c r="G431" s="21"/>
      <c r="H431" s="21"/>
      <c r="I431" s="4">
        <v>0</v>
      </c>
      <c r="J431" s="4">
        <v>0</v>
      </c>
      <c r="K431" s="4"/>
      <c r="L431" s="16"/>
      <c r="M431" s="4"/>
      <c r="N431" s="4"/>
      <c r="O431" s="4"/>
      <c r="P431" s="4"/>
      <c r="Q431" s="4"/>
      <c r="R431" s="4"/>
      <c r="S431" s="4">
        <v>0</v>
      </c>
      <c r="T431" s="4">
        <v>0</v>
      </c>
      <c r="U431" s="4">
        <v>0</v>
      </c>
      <c r="V431" s="4">
        <v>12</v>
      </c>
      <c r="W431" s="4">
        <v>12</v>
      </c>
      <c r="X431" s="4">
        <v>40</v>
      </c>
      <c r="Y431" s="4"/>
      <c r="Z431" s="4">
        <v>145.59</v>
      </c>
      <c r="AA431" s="4">
        <v>150</v>
      </c>
      <c r="AB431" s="18"/>
      <c r="AC431" s="18">
        <v>7</v>
      </c>
      <c r="AD431" s="28"/>
      <c r="AE431" s="26"/>
      <c r="AF431" s="28"/>
    </row>
    <row r="432" spans="1:32" ht="12.6" customHeight="1" x14ac:dyDescent="0.25">
      <c r="A432" s="14">
        <v>45704</v>
      </c>
      <c r="B432" s="14" t="s">
        <v>45</v>
      </c>
      <c r="C432" s="15">
        <v>2</v>
      </c>
      <c r="D432" s="16"/>
      <c r="E432" s="16"/>
      <c r="F432" s="17"/>
      <c r="G432" s="21"/>
      <c r="H432" s="21"/>
      <c r="I432" s="4">
        <v>0</v>
      </c>
      <c r="J432" s="4">
        <v>0</v>
      </c>
      <c r="K432" s="4"/>
      <c r="L432" s="16"/>
      <c r="M432" s="4"/>
      <c r="N432" s="4"/>
      <c r="O432" s="4"/>
      <c r="P432" s="4"/>
      <c r="Q432" s="4"/>
      <c r="R432" s="4"/>
      <c r="S432" s="4">
        <v>0</v>
      </c>
      <c r="T432" s="4">
        <v>0</v>
      </c>
      <c r="U432" s="4">
        <v>0</v>
      </c>
      <c r="V432" s="4">
        <v>12</v>
      </c>
      <c r="W432" s="4">
        <v>12</v>
      </c>
      <c r="X432" s="4">
        <v>0</v>
      </c>
      <c r="Y432" s="4"/>
      <c r="Z432" s="4">
        <v>161.76999999999998</v>
      </c>
      <c r="AA432" s="4">
        <v>150</v>
      </c>
      <c r="AB432" s="18"/>
      <c r="AC432" s="18">
        <v>7</v>
      </c>
      <c r="AD432" s="28"/>
      <c r="AE432" s="26"/>
      <c r="AF432" s="28"/>
    </row>
    <row r="433" spans="1:32" ht="12.6" customHeight="1" x14ac:dyDescent="0.25">
      <c r="A433" s="14">
        <v>45704</v>
      </c>
      <c r="B433" s="14" t="s">
        <v>46</v>
      </c>
      <c r="C433" s="15">
        <v>2</v>
      </c>
      <c r="D433" s="16"/>
      <c r="E433" s="16"/>
      <c r="F433" s="17"/>
      <c r="G433" s="21"/>
      <c r="H433" s="21"/>
      <c r="I433" s="4">
        <v>0</v>
      </c>
      <c r="J433" s="4">
        <v>0</v>
      </c>
      <c r="K433" s="4"/>
      <c r="L433" s="16"/>
      <c r="M433" s="4"/>
      <c r="N433" s="4"/>
      <c r="O433" s="4"/>
      <c r="P433" s="4"/>
      <c r="Q433" s="4"/>
      <c r="R433" s="4"/>
      <c r="S433" s="4">
        <v>0</v>
      </c>
      <c r="T433" s="4">
        <v>0</v>
      </c>
      <c r="U433" s="4">
        <v>0</v>
      </c>
      <c r="V433" s="4">
        <v>12</v>
      </c>
      <c r="W433" s="4">
        <v>12</v>
      </c>
      <c r="X433" s="4">
        <v>0</v>
      </c>
      <c r="Y433" s="4"/>
      <c r="Z433" s="4">
        <v>184.68</v>
      </c>
      <c r="AA433" s="4">
        <v>200</v>
      </c>
      <c r="AB433" s="18"/>
      <c r="AC433" s="18">
        <v>7</v>
      </c>
      <c r="AD433" s="28"/>
      <c r="AE433" s="26"/>
      <c r="AF433" s="28"/>
    </row>
    <row r="434" spans="1:32" ht="12.6" customHeight="1" x14ac:dyDescent="0.25">
      <c r="A434" s="14">
        <v>45704</v>
      </c>
      <c r="B434" s="14" t="s">
        <v>45</v>
      </c>
      <c r="C434" s="15">
        <v>3</v>
      </c>
      <c r="D434" s="16"/>
      <c r="E434" s="16"/>
      <c r="F434" s="17"/>
      <c r="G434" s="21"/>
      <c r="H434" s="21"/>
      <c r="I434" s="4">
        <v>0</v>
      </c>
      <c r="J434" s="4">
        <v>0</v>
      </c>
      <c r="K434" s="4"/>
      <c r="L434" s="16"/>
      <c r="M434" s="4"/>
      <c r="N434" s="4"/>
      <c r="O434" s="4"/>
      <c r="P434" s="4"/>
      <c r="Q434" s="4"/>
      <c r="R434" s="4"/>
      <c r="S434" s="4">
        <v>0</v>
      </c>
      <c r="T434" s="4">
        <v>0</v>
      </c>
      <c r="U434" s="4">
        <v>0</v>
      </c>
      <c r="V434" s="4">
        <v>12</v>
      </c>
      <c r="W434" s="4">
        <v>12</v>
      </c>
      <c r="X434" s="4">
        <v>0</v>
      </c>
      <c r="Y434" s="4"/>
      <c r="Z434" s="4">
        <v>272.15000000000003</v>
      </c>
      <c r="AA434" s="4">
        <v>300</v>
      </c>
      <c r="AB434" s="18"/>
      <c r="AC434" s="18">
        <v>7</v>
      </c>
      <c r="AD434" s="28"/>
      <c r="AE434" s="26"/>
      <c r="AF434" s="28"/>
    </row>
    <row r="435" spans="1:32" ht="12.6" customHeight="1" x14ac:dyDescent="0.25">
      <c r="A435" s="14">
        <v>45704</v>
      </c>
      <c r="B435" s="14" t="s">
        <v>46</v>
      </c>
      <c r="C435" s="15">
        <v>3</v>
      </c>
      <c r="D435" s="16"/>
      <c r="E435" s="16"/>
      <c r="F435" s="17"/>
      <c r="G435" s="21"/>
      <c r="H435" s="21"/>
      <c r="I435" s="4">
        <v>0</v>
      </c>
      <c r="J435" s="4">
        <v>0</v>
      </c>
      <c r="K435" s="4"/>
      <c r="L435" s="16"/>
      <c r="M435" s="4"/>
      <c r="N435" s="4"/>
      <c r="O435" s="4"/>
      <c r="P435" s="4"/>
      <c r="Q435" s="4"/>
      <c r="R435" s="4"/>
      <c r="S435" s="4">
        <v>0</v>
      </c>
      <c r="T435" s="4">
        <v>0</v>
      </c>
      <c r="U435" s="4">
        <v>0</v>
      </c>
      <c r="V435" s="4">
        <v>12</v>
      </c>
      <c r="W435" s="4">
        <v>12</v>
      </c>
      <c r="X435" s="4">
        <v>0</v>
      </c>
      <c r="Y435" s="4"/>
      <c r="Z435" s="4">
        <v>308.34000000000003</v>
      </c>
      <c r="AA435" s="4">
        <v>300</v>
      </c>
      <c r="AB435" s="18"/>
      <c r="AC435" s="18">
        <v>7</v>
      </c>
      <c r="AD435" s="28"/>
      <c r="AE435" s="26"/>
      <c r="AF435" s="28"/>
    </row>
    <row r="436" spans="1:32" ht="12.6" customHeight="1" x14ac:dyDescent="0.25">
      <c r="A436" s="14">
        <v>45704</v>
      </c>
      <c r="B436" s="14" t="s">
        <v>45</v>
      </c>
      <c r="C436" s="15">
        <v>4</v>
      </c>
      <c r="D436" s="16"/>
      <c r="E436" s="16"/>
      <c r="F436" s="17"/>
      <c r="G436" s="21"/>
      <c r="H436" s="21"/>
      <c r="I436" s="4">
        <v>0</v>
      </c>
      <c r="J436" s="4">
        <v>0</v>
      </c>
      <c r="K436" s="4"/>
      <c r="L436" s="16"/>
      <c r="M436" s="4"/>
      <c r="N436" s="4"/>
      <c r="O436" s="4"/>
      <c r="P436" s="4"/>
      <c r="Q436" s="4"/>
      <c r="R436" s="4"/>
      <c r="S436" s="4">
        <v>0</v>
      </c>
      <c r="T436" s="4">
        <v>0</v>
      </c>
      <c r="U436" s="4">
        <v>0</v>
      </c>
      <c r="V436" s="4">
        <v>12</v>
      </c>
      <c r="W436" s="4">
        <v>12</v>
      </c>
      <c r="X436" s="4">
        <v>0</v>
      </c>
      <c r="Y436" s="4"/>
      <c r="Z436" s="4">
        <v>837.05</v>
      </c>
      <c r="AA436" s="4">
        <v>850</v>
      </c>
      <c r="AB436" s="18"/>
      <c r="AC436" s="18">
        <v>7</v>
      </c>
      <c r="AD436" s="28"/>
      <c r="AE436" s="26"/>
      <c r="AF436" s="28"/>
    </row>
    <row r="437" spans="1:32" ht="12.6" customHeight="1" x14ac:dyDescent="0.25">
      <c r="A437" s="14">
        <v>45704</v>
      </c>
      <c r="B437" s="14" t="s">
        <v>46</v>
      </c>
      <c r="C437" s="15">
        <v>4</v>
      </c>
      <c r="D437" s="16">
        <v>30</v>
      </c>
      <c r="E437" s="16"/>
      <c r="F437" s="17"/>
      <c r="G437" s="21"/>
      <c r="H437" s="21"/>
      <c r="I437" s="4">
        <v>30</v>
      </c>
      <c r="J437" s="4">
        <v>0.5</v>
      </c>
      <c r="K437" s="4"/>
      <c r="L437" s="16"/>
      <c r="M437" s="4"/>
      <c r="N437" s="4"/>
      <c r="O437" s="4"/>
      <c r="P437" s="4"/>
      <c r="Q437" s="4"/>
      <c r="R437" s="4"/>
      <c r="S437" s="4">
        <v>0</v>
      </c>
      <c r="T437" s="4">
        <v>0</v>
      </c>
      <c r="U437" s="4">
        <v>0.5</v>
      </c>
      <c r="V437" s="4">
        <v>11.5</v>
      </c>
      <c r="W437" s="4">
        <v>12</v>
      </c>
      <c r="X437" s="4">
        <v>0</v>
      </c>
      <c r="Y437" s="4"/>
      <c r="Z437" s="4">
        <v>797.55</v>
      </c>
      <c r="AA437" s="4">
        <v>800</v>
      </c>
      <c r="AB437" s="18"/>
      <c r="AC437" s="18">
        <v>7</v>
      </c>
      <c r="AD437" s="28"/>
      <c r="AE437" s="26"/>
      <c r="AF437" s="28"/>
    </row>
    <row r="438" spans="1:32" ht="12.6" customHeight="1" x14ac:dyDescent="0.25">
      <c r="A438" s="14">
        <v>45704</v>
      </c>
      <c r="B438" s="14" t="s">
        <v>45</v>
      </c>
      <c r="C438" s="15">
        <v>5</v>
      </c>
      <c r="D438" s="16"/>
      <c r="E438" s="16"/>
      <c r="F438" s="17"/>
      <c r="G438" s="21"/>
      <c r="H438" s="21"/>
      <c r="I438" s="4">
        <v>0</v>
      </c>
      <c r="J438" s="4">
        <v>0</v>
      </c>
      <c r="K438" s="4"/>
      <c r="L438" s="16"/>
      <c r="M438" s="4"/>
      <c r="N438" s="4"/>
      <c r="O438" s="4"/>
      <c r="P438" s="4"/>
      <c r="Q438" s="4"/>
      <c r="R438" s="4"/>
      <c r="S438" s="4">
        <v>0</v>
      </c>
      <c r="T438" s="4">
        <v>0</v>
      </c>
      <c r="U438" s="4">
        <v>0</v>
      </c>
      <c r="V438" s="4">
        <v>12</v>
      </c>
      <c r="W438" s="4">
        <v>12</v>
      </c>
      <c r="X438" s="4">
        <v>0</v>
      </c>
      <c r="Y438" s="4"/>
      <c r="Z438" s="4">
        <v>241.42500000000001</v>
      </c>
      <c r="AA438" s="4">
        <v>250</v>
      </c>
      <c r="AB438" s="18"/>
      <c r="AC438" s="18">
        <v>7</v>
      </c>
      <c r="AD438" s="28"/>
      <c r="AE438" s="26"/>
      <c r="AF438" s="28"/>
    </row>
    <row r="439" spans="1:32" ht="12.6" customHeight="1" x14ac:dyDescent="0.25">
      <c r="A439" s="14">
        <v>45704</v>
      </c>
      <c r="B439" s="14" t="s">
        <v>46</v>
      </c>
      <c r="C439" s="15">
        <v>5</v>
      </c>
      <c r="D439" s="16"/>
      <c r="E439" s="16"/>
      <c r="F439" s="17"/>
      <c r="G439" s="21"/>
      <c r="H439" s="21"/>
      <c r="I439" s="4">
        <v>0</v>
      </c>
      <c r="J439" s="4">
        <v>0</v>
      </c>
      <c r="K439" s="4"/>
      <c r="L439" s="16"/>
      <c r="M439" s="4"/>
      <c r="N439" s="4"/>
      <c r="O439" s="4"/>
      <c r="P439" s="4"/>
      <c r="Q439" s="4"/>
      <c r="R439" s="4"/>
      <c r="S439" s="4">
        <v>0</v>
      </c>
      <c r="T439" s="4">
        <v>0</v>
      </c>
      <c r="U439" s="4">
        <v>0</v>
      </c>
      <c r="V439" s="4">
        <v>12</v>
      </c>
      <c r="W439" s="4">
        <v>12</v>
      </c>
      <c r="X439" s="4">
        <v>0</v>
      </c>
      <c r="Y439" s="4"/>
      <c r="Z439" s="4">
        <v>500.22</v>
      </c>
      <c r="AA439" s="4">
        <v>500</v>
      </c>
      <c r="AB439" s="18"/>
      <c r="AC439" s="18">
        <v>7</v>
      </c>
      <c r="AD439" s="28"/>
      <c r="AE439" s="26"/>
      <c r="AF439" s="28"/>
    </row>
    <row r="440" spans="1:32" ht="12.6" customHeight="1" x14ac:dyDescent="0.25">
      <c r="A440" s="14">
        <v>45705</v>
      </c>
      <c r="B440" s="14" t="s">
        <v>45</v>
      </c>
      <c r="C440" s="15">
        <v>1</v>
      </c>
      <c r="D440" s="16">
        <v>20</v>
      </c>
      <c r="E440" s="16"/>
      <c r="F440" s="17"/>
      <c r="G440" s="21"/>
      <c r="H440" s="21"/>
      <c r="I440" s="4">
        <v>20</v>
      </c>
      <c r="J440" s="4">
        <v>0.33333333333333331</v>
      </c>
      <c r="K440" s="4"/>
      <c r="L440" s="16"/>
      <c r="M440" s="4"/>
      <c r="N440" s="4"/>
      <c r="O440" s="4"/>
      <c r="P440" s="4"/>
      <c r="Q440" s="4"/>
      <c r="R440" s="4"/>
      <c r="S440" s="4">
        <v>0</v>
      </c>
      <c r="T440" s="4">
        <v>0</v>
      </c>
      <c r="U440" s="4">
        <v>0.33333333333333331</v>
      </c>
      <c r="V440" s="4">
        <v>11.666666666666666</v>
      </c>
      <c r="W440" s="4">
        <v>12</v>
      </c>
      <c r="X440" s="4">
        <v>26</v>
      </c>
      <c r="Y440" s="4">
        <v>2019</v>
      </c>
      <c r="Z440" s="4">
        <v>146.16</v>
      </c>
      <c r="AA440" s="4">
        <v>150</v>
      </c>
      <c r="AB440" s="18">
        <v>398</v>
      </c>
      <c r="AC440" s="18">
        <v>8</v>
      </c>
      <c r="AD440" s="28"/>
      <c r="AE440" s="26"/>
      <c r="AF440" s="28"/>
    </row>
    <row r="441" spans="1:32" ht="12.6" customHeight="1" x14ac:dyDescent="0.25">
      <c r="A441" s="14">
        <v>45705</v>
      </c>
      <c r="B441" s="14" t="s">
        <v>46</v>
      </c>
      <c r="C441" s="15">
        <v>1</v>
      </c>
      <c r="D441" s="16"/>
      <c r="E441" s="16"/>
      <c r="F441" s="17"/>
      <c r="G441" s="21"/>
      <c r="H441" s="21"/>
      <c r="I441" s="4">
        <v>0</v>
      </c>
      <c r="J441" s="4">
        <v>0</v>
      </c>
      <c r="K441" s="4"/>
      <c r="L441" s="16"/>
      <c r="M441" s="4"/>
      <c r="N441" s="4"/>
      <c r="O441" s="4"/>
      <c r="P441" s="4"/>
      <c r="Q441" s="4"/>
      <c r="R441" s="4"/>
      <c r="S441" s="4">
        <v>0</v>
      </c>
      <c r="T441" s="4">
        <v>0</v>
      </c>
      <c r="U441" s="4">
        <v>0</v>
      </c>
      <c r="V441" s="4">
        <v>12</v>
      </c>
      <c r="W441" s="4">
        <v>12</v>
      </c>
      <c r="X441" s="4">
        <v>40</v>
      </c>
      <c r="Y441" s="4"/>
      <c r="Z441" s="4">
        <v>132.57</v>
      </c>
      <c r="AA441" s="4">
        <v>150</v>
      </c>
      <c r="AB441" s="18"/>
      <c r="AC441" s="18">
        <v>8</v>
      </c>
      <c r="AD441" s="28"/>
      <c r="AE441" s="26"/>
      <c r="AF441" s="28"/>
    </row>
    <row r="442" spans="1:32" ht="12.6" customHeight="1" x14ac:dyDescent="0.25">
      <c r="A442" s="14">
        <v>45705</v>
      </c>
      <c r="B442" s="14" t="s">
        <v>45</v>
      </c>
      <c r="C442" s="15">
        <v>2</v>
      </c>
      <c r="D442" s="16"/>
      <c r="E442" s="16"/>
      <c r="F442" s="17"/>
      <c r="G442" s="21"/>
      <c r="H442" s="21"/>
      <c r="I442" s="4">
        <v>0</v>
      </c>
      <c r="J442" s="4">
        <v>0</v>
      </c>
      <c r="K442" s="4"/>
      <c r="L442" s="16"/>
      <c r="M442" s="4"/>
      <c r="N442" s="4"/>
      <c r="O442" s="4"/>
      <c r="P442" s="4"/>
      <c r="Q442" s="4"/>
      <c r="R442" s="4"/>
      <c r="S442" s="4">
        <v>0</v>
      </c>
      <c r="T442" s="4">
        <v>0</v>
      </c>
      <c r="U442" s="4">
        <v>0</v>
      </c>
      <c r="V442" s="4">
        <v>12</v>
      </c>
      <c r="W442" s="4">
        <v>12</v>
      </c>
      <c r="X442" s="4">
        <v>0</v>
      </c>
      <c r="Y442" s="4"/>
      <c r="Z442" s="4">
        <v>179.59999999999997</v>
      </c>
      <c r="AA442" s="4">
        <v>200</v>
      </c>
      <c r="AB442" s="18"/>
      <c r="AC442" s="18">
        <v>8</v>
      </c>
      <c r="AD442" s="28"/>
      <c r="AE442" s="26"/>
      <c r="AF442" s="28"/>
    </row>
    <row r="443" spans="1:32" ht="12.6" customHeight="1" x14ac:dyDescent="0.25">
      <c r="A443" s="14">
        <v>45705</v>
      </c>
      <c r="B443" s="14" t="s">
        <v>46</v>
      </c>
      <c r="C443" s="15">
        <v>2</v>
      </c>
      <c r="D443" s="16"/>
      <c r="E443" s="16"/>
      <c r="F443" s="17"/>
      <c r="G443" s="21"/>
      <c r="H443" s="21"/>
      <c r="I443" s="4">
        <v>0</v>
      </c>
      <c r="J443" s="4">
        <v>0</v>
      </c>
      <c r="K443" s="4"/>
      <c r="L443" s="16"/>
      <c r="M443" s="4"/>
      <c r="N443" s="4"/>
      <c r="O443" s="4"/>
      <c r="P443" s="4"/>
      <c r="Q443" s="4"/>
      <c r="R443" s="4"/>
      <c r="S443" s="4">
        <v>0</v>
      </c>
      <c r="T443" s="4">
        <v>0</v>
      </c>
      <c r="U443" s="4">
        <v>0</v>
      </c>
      <c r="V443" s="4">
        <v>12</v>
      </c>
      <c r="W443" s="4">
        <v>12</v>
      </c>
      <c r="X443" s="4">
        <v>0</v>
      </c>
      <c r="Y443" s="4"/>
      <c r="Z443" s="4">
        <v>171.42000000000002</v>
      </c>
      <c r="AA443" s="4">
        <v>200</v>
      </c>
      <c r="AB443" s="18"/>
      <c r="AC443" s="18">
        <v>8</v>
      </c>
      <c r="AD443" s="28"/>
      <c r="AE443" s="26"/>
      <c r="AF443" s="28"/>
    </row>
    <row r="444" spans="1:32" ht="12.6" customHeight="1" x14ac:dyDescent="0.25">
      <c r="A444" s="14">
        <v>45705</v>
      </c>
      <c r="B444" s="14" t="s">
        <v>45</v>
      </c>
      <c r="C444" s="15">
        <v>3</v>
      </c>
      <c r="D444" s="16"/>
      <c r="E444" s="16"/>
      <c r="F444" s="17"/>
      <c r="G444" s="21"/>
      <c r="H444" s="21"/>
      <c r="I444" s="4">
        <v>0</v>
      </c>
      <c r="J444" s="4">
        <v>0</v>
      </c>
      <c r="K444" s="4"/>
      <c r="L444" s="16"/>
      <c r="M444" s="4"/>
      <c r="N444" s="4"/>
      <c r="O444" s="4"/>
      <c r="P444" s="4"/>
      <c r="Q444" s="4"/>
      <c r="R444" s="4"/>
      <c r="S444" s="4">
        <v>0</v>
      </c>
      <c r="T444" s="4">
        <v>0</v>
      </c>
      <c r="U444" s="4">
        <v>0</v>
      </c>
      <c r="V444" s="4">
        <v>12</v>
      </c>
      <c r="W444" s="4">
        <v>12</v>
      </c>
      <c r="X444" s="4">
        <v>0</v>
      </c>
      <c r="Y444" s="4"/>
      <c r="Z444" s="4">
        <v>282.62</v>
      </c>
      <c r="AA444" s="4">
        <v>300</v>
      </c>
      <c r="AB444" s="18"/>
      <c r="AC444" s="18">
        <v>8</v>
      </c>
      <c r="AD444" s="28"/>
      <c r="AE444" s="26"/>
      <c r="AF444" s="28"/>
    </row>
    <row r="445" spans="1:32" ht="12.6" customHeight="1" x14ac:dyDescent="0.25">
      <c r="A445" s="14">
        <v>45705</v>
      </c>
      <c r="B445" s="14" t="s">
        <v>46</v>
      </c>
      <c r="C445" s="15">
        <v>3</v>
      </c>
      <c r="D445" s="16"/>
      <c r="E445" s="16"/>
      <c r="F445" s="17"/>
      <c r="G445" s="21"/>
      <c r="H445" s="21"/>
      <c r="I445" s="4">
        <v>0</v>
      </c>
      <c r="J445" s="4">
        <v>0</v>
      </c>
      <c r="K445" s="4"/>
      <c r="L445" s="16"/>
      <c r="M445" s="4"/>
      <c r="N445" s="4"/>
      <c r="O445" s="4"/>
      <c r="P445" s="4"/>
      <c r="Q445" s="4"/>
      <c r="R445" s="4"/>
      <c r="S445" s="4">
        <v>0</v>
      </c>
      <c r="T445" s="4">
        <v>0</v>
      </c>
      <c r="U445" s="4">
        <v>0</v>
      </c>
      <c r="V445" s="4">
        <v>12</v>
      </c>
      <c r="W445" s="4">
        <v>12</v>
      </c>
      <c r="X445" s="4">
        <v>0</v>
      </c>
      <c r="Y445" s="4"/>
      <c r="Z445" s="4">
        <v>280.40000000000003</v>
      </c>
      <c r="AA445" s="4">
        <v>300</v>
      </c>
      <c r="AB445" s="18"/>
      <c r="AC445" s="18">
        <v>8</v>
      </c>
      <c r="AD445" s="28"/>
      <c r="AE445" s="26"/>
      <c r="AF445" s="28"/>
    </row>
    <row r="446" spans="1:32" ht="12.6" customHeight="1" x14ac:dyDescent="0.25">
      <c r="A446" s="14">
        <v>45705</v>
      </c>
      <c r="B446" s="14" t="s">
        <v>45</v>
      </c>
      <c r="C446" s="15">
        <v>4</v>
      </c>
      <c r="D446" s="16">
        <v>90</v>
      </c>
      <c r="E446" s="16"/>
      <c r="F446" s="17"/>
      <c r="G446" s="21"/>
      <c r="H446" s="21"/>
      <c r="I446" s="4">
        <v>90</v>
      </c>
      <c r="J446" s="4">
        <v>1.5</v>
      </c>
      <c r="K446" s="4"/>
      <c r="L446" s="16"/>
      <c r="M446" s="4"/>
      <c r="N446" s="4"/>
      <c r="O446" s="4"/>
      <c r="P446" s="4"/>
      <c r="Q446" s="4"/>
      <c r="R446" s="4"/>
      <c r="S446" s="4">
        <v>0</v>
      </c>
      <c r="T446" s="4">
        <v>0</v>
      </c>
      <c r="U446" s="4">
        <v>1.5</v>
      </c>
      <c r="V446" s="4">
        <v>10.5</v>
      </c>
      <c r="W446" s="4">
        <v>12</v>
      </c>
      <c r="X446" s="4">
        <v>0</v>
      </c>
      <c r="Y446" s="4"/>
      <c r="Z446" s="4">
        <v>836.88</v>
      </c>
      <c r="AA446" s="4">
        <v>800</v>
      </c>
      <c r="AB446" s="18"/>
      <c r="AC446" s="18">
        <v>8</v>
      </c>
      <c r="AD446" s="28"/>
      <c r="AE446" s="26"/>
      <c r="AF446" s="28"/>
    </row>
    <row r="447" spans="1:32" ht="12.6" customHeight="1" x14ac:dyDescent="0.25">
      <c r="A447" s="14">
        <v>45705</v>
      </c>
      <c r="B447" s="14" t="s">
        <v>46</v>
      </c>
      <c r="C447" s="15">
        <v>4</v>
      </c>
      <c r="D447" s="16"/>
      <c r="E447" s="16"/>
      <c r="F447" s="17"/>
      <c r="G447" s="21"/>
      <c r="H447" s="21"/>
      <c r="I447" s="4">
        <v>0</v>
      </c>
      <c r="J447" s="4">
        <v>0</v>
      </c>
      <c r="K447" s="4"/>
      <c r="L447" s="16"/>
      <c r="M447" s="4"/>
      <c r="N447" s="4"/>
      <c r="O447" s="4"/>
      <c r="P447" s="4"/>
      <c r="Q447" s="4"/>
      <c r="R447" s="4"/>
      <c r="S447" s="4">
        <v>0</v>
      </c>
      <c r="T447" s="4">
        <v>0</v>
      </c>
      <c r="U447" s="4">
        <v>0</v>
      </c>
      <c r="V447" s="4">
        <v>12</v>
      </c>
      <c r="W447" s="4">
        <v>12</v>
      </c>
      <c r="X447" s="4">
        <v>0</v>
      </c>
      <c r="Y447" s="4"/>
      <c r="Z447" s="4">
        <v>882.11</v>
      </c>
      <c r="AA447" s="4">
        <v>900</v>
      </c>
      <c r="AB447" s="18"/>
      <c r="AC447" s="18">
        <v>8</v>
      </c>
      <c r="AD447" s="28"/>
      <c r="AE447" s="26"/>
      <c r="AF447" s="28"/>
    </row>
    <row r="448" spans="1:32" ht="12.6" customHeight="1" x14ac:dyDescent="0.25">
      <c r="A448" s="14">
        <v>45705</v>
      </c>
      <c r="B448" s="14" t="s">
        <v>45</v>
      </c>
      <c r="C448" s="15">
        <v>5</v>
      </c>
      <c r="D448" s="16"/>
      <c r="E448" s="16"/>
      <c r="F448" s="17"/>
      <c r="G448" s="21"/>
      <c r="H448" s="21"/>
      <c r="I448" s="4">
        <v>0</v>
      </c>
      <c r="J448" s="4">
        <v>0</v>
      </c>
      <c r="K448" s="4"/>
      <c r="L448" s="16"/>
      <c r="M448" s="4"/>
      <c r="N448" s="4"/>
      <c r="O448" s="4"/>
      <c r="P448" s="4"/>
      <c r="Q448" s="4"/>
      <c r="R448" s="4"/>
      <c r="S448" s="4">
        <v>0</v>
      </c>
      <c r="T448" s="4">
        <v>0</v>
      </c>
      <c r="U448" s="4">
        <v>0</v>
      </c>
      <c r="V448" s="4">
        <v>12</v>
      </c>
      <c r="W448" s="4">
        <v>12</v>
      </c>
      <c r="X448" s="4">
        <v>0</v>
      </c>
      <c r="Y448" s="4"/>
      <c r="Z448" s="4">
        <v>483.0200000000001</v>
      </c>
      <c r="AA448" s="4">
        <v>500</v>
      </c>
      <c r="AB448" s="18"/>
      <c r="AC448" s="18">
        <v>8</v>
      </c>
      <c r="AD448" s="28"/>
      <c r="AE448" s="26"/>
      <c r="AF448" s="28"/>
    </row>
    <row r="449" spans="1:32" ht="12.6" customHeight="1" x14ac:dyDescent="0.25">
      <c r="A449" s="14">
        <v>45705</v>
      </c>
      <c r="B449" s="14" t="s">
        <v>46</v>
      </c>
      <c r="C449" s="15">
        <v>5</v>
      </c>
      <c r="D449" s="16"/>
      <c r="E449" s="16"/>
      <c r="F449" s="17"/>
      <c r="G449" s="21"/>
      <c r="H449" s="21"/>
      <c r="I449" s="4">
        <v>0</v>
      </c>
      <c r="J449" s="4">
        <v>0</v>
      </c>
      <c r="K449" s="4"/>
      <c r="L449" s="16"/>
      <c r="M449" s="4"/>
      <c r="N449" s="4"/>
      <c r="O449" s="4"/>
      <c r="P449" s="4"/>
      <c r="Q449" s="4"/>
      <c r="R449" s="4"/>
      <c r="S449" s="4">
        <v>0</v>
      </c>
      <c r="T449" s="4">
        <v>0</v>
      </c>
      <c r="U449" s="4">
        <v>0</v>
      </c>
      <c r="V449" s="4">
        <v>12</v>
      </c>
      <c r="W449" s="4">
        <v>12</v>
      </c>
      <c r="X449" s="4">
        <v>0</v>
      </c>
      <c r="Y449" s="4"/>
      <c r="Z449" s="4">
        <v>539.17999999999995</v>
      </c>
      <c r="AA449" s="4">
        <v>500</v>
      </c>
      <c r="AB449" s="18"/>
      <c r="AC449" s="18">
        <v>8</v>
      </c>
      <c r="AD449" s="28"/>
      <c r="AE449" s="26"/>
      <c r="AF449" s="28"/>
    </row>
    <row r="450" spans="1:32" ht="12.6" customHeight="1" x14ac:dyDescent="0.25">
      <c r="A450" s="14">
        <v>45706</v>
      </c>
      <c r="B450" s="14" t="s">
        <v>45</v>
      </c>
      <c r="C450" s="15">
        <v>1</v>
      </c>
      <c r="D450" s="16"/>
      <c r="E450" s="16"/>
      <c r="F450" s="17"/>
      <c r="G450" s="21"/>
      <c r="H450" s="21"/>
      <c r="I450" s="4">
        <v>0</v>
      </c>
      <c r="J450" s="4">
        <v>0</v>
      </c>
      <c r="K450" s="4"/>
      <c r="L450" s="16"/>
      <c r="M450" s="4"/>
      <c r="N450" s="4"/>
      <c r="O450" s="4"/>
      <c r="P450" s="4"/>
      <c r="Q450" s="4"/>
      <c r="R450" s="4"/>
      <c r="S450" s="4">
        <v>0</v>
      </c>
      <c r="T450" s="4">
        <v>0</v>
      </c>
      <c r="U450" s="4">
        <v>0</v>
      </c>
      <c r="V450" s="4">
        <v>12</v>
      </c>
      <c r="W450" s="4">
        <v>12</v>
      </c>
      <c r="X450" s="4">
        <v>45</v>
      </c>
      <c r="Y450" s="4">
        <v>1975</v>
      </c>
      <c r="Z450" s="4">
        <v>111.45</v>
      </c>
      <c r="AA450" s="4">
        <v>100</v>
      </c>
      <c r="AB450" s="18">
        <v>398</v>
      </c>
      <c r="AC450" s="18">
        <v>8</v>
      </c>
      <c r="AD450" s="28"/>
      <c r="AE450" s="26"/>
      <c r="AF450" s="28"/>
    </row>
    <row r="451" spans="1:32" ht="12.6" customHeight="1" x14ac:dyDescent="0.25">
      <c r="A451" s="14">
        <v>45706</v>
      </c>
      <c r="B451" s="14" t="s">
        <v>46</v>
      </c>
      <c r="C451" s="15">
        <v>1</v>
      </c>
      <c r="D451" s="16"/>
      <c r="E451" s="16"/>
      <c r="F451" s="17"/>
      <c r="G451" s="21"/>
      <c r="H451" s="21"/>
      <c r="I451" s="4">
        <v>0</v>
      </c>
      <c r="J451" s="4">
        <v>0</v>
      </c>
      <c r="K451" s="4"/>
      <c r="L451" s="16"/>
      <c r="M451" s="4"/>
      <c r="N451" s="4"/>
      <c r="O451" s="4"/>
      <c r="P451" s="4"/>
      <c r="Q451" s="4"/>
      <c r="R451" s="4"/>
      <c r="S451" s="4">
        <v>0</v>
      </c>
      <c r="T451" s="4">
        <v>0</v>
      </c>
      <c r="U451" s="4">
        <v>0</v>
      </c>
      <c r="V451" s="4">
        <v>12</v>
      </c>
      <c r="W451" s="4">
        <v>12</v>
      </c>
      <c r="X451" s="4">
        <v>30</v>
      </c>
      <c r="Y451" s="4"/>
      <c r="Z451" s="4">
        <v>152.32999999999998</v>
      </c>
      <c r="AA451" s="4">
        <v>150</v>
      </c>
      <c r="AB451" s="18"/>
      <c r="AC451" s="18">
        <v>8</v>
      </c>
      <c r="AD451" s="28"/>
      <c r="AE451" s="26"/>
      <c r="AF451" s="28"/>
    </row>
    <row r="452" spans="1:32" ht="12.6" customHeight="1" x14ac:dyDescent="0.25">
      <c r="A452" s="14">
        <v>45706</v>
      </c>
      <c r="B452" s="14" t="s">
        <v>45</v>
      </c>
      <c r="C452" s="15">
        <v>2</v>
      </c>
      <c r="D452" s="16"/>
      <c r="E452" s="16"/>
      <c r="F452" s="17"/>
      <c r="G452" s="21"/>
      <c r="H452" s="21"/>
      <c r="I452" s="4">
        <v>0</v>
      </c>
      <c r="J452" s="4">
        <v>0</v>
      </c>
      <c r="K452" s="4"/>
      <c r="L452" s="16"/>
      <c r="M452" s="4"/>
      <c r="N452" s="4"/>
      <c r="O452" s="4"/>
      <c r="P452" s="4"/>
      <c r="Q452" s="4"/>
      <c r="R452" s="4"/>
      <c r="S452" s="4">
        <v>0</v>
      </c>
      <c r="T452" s="4">
        <v>0</v>
      </c>
      <c r="U452" s="4">
        <v>0</v>
      </c>
      <c r="V452" s="4">
        <v>12</v>
      </c>
      <c r="W452" s="4">
        <v>12</v>
      </c>
      <c r="X452" s="4">
        <v>0</v>
      </c>
      <c r="Y452" s="4"/>
      <c r="Z452" s="4">
        <v>147.49</v>
      </c>
      <c r="AA452" s="4">
        <v>150</v>
      </c>
      <c r="AB452" s="18"/>
      <c r="AC452" s="18">
        <v>8</v>
      </c>
      <c r="AD452" s="28"/>
      <c r="AE452" s="26"/>
      <c r="AF452" s="28"/>
    </row>
    <row r="453" spans="1:32" ht="12.6" customHeight="1" x14ac:dyDescent="0.25">
      <c r="A453" s="14">
        <v>45706</v>
      </c>
      <c r="B453" s="14" t="s">
        <v>46</v>
      </c>
      <c r="C453" s="15">
        <v>2</v>
      </c>
      <c r="D453" s="16"/>
      <c r="E453" s="16"/>
      <c r="F453" s="17"/>
      <c r="G453" s="21"/>
      <c r="H453" s="21"/>
      <c r="I453" s="4">
        <v>0</v>
      </c>
      <c r="J453" s="4">
        <v>0</v>
      </c>
      <c r="K453" s="4"/>
      <c r="L453" s="16"/>
      <c r="M453" s="4"/>
      <c r="N453" s="4"/>
      <c r="O453" s="4"/>
      <c r="P453" s="4"/>
      <c r="Q453" s="4"/>
      <c r="R453" s="4"/>
      <c r="S453" s="4">
        <v>0</v>
      </c>
      <c r="T453" s="4">
        <v>0</v>
      </c>
      <c r="U453" s="4">
        <v>0</v>
      </c>
      <c r="V453" s="4">
        <v>12</v>
      </c>
      <c r="W453" s="4">
        <v>12</v>
      </c>
      <c r="X453" s="4">
        <v>0</v>
      </c>
      <c r="Y453" s="4"/>
      <c r="Z453" s="4">
        <v>171.87000000000003</v>
      </c>
      <c r="AA453" s="4">
        <v>200</v>
      </c>
      <c r="AB453" s="18"/>
      <c r="AC453" s="18">
        <v>8</v>
      </c>
      <c r="AD453" s="28"/>
      <c r="AE453" s="26"/>
      <c r="AF453" s="28"/>
    </row>
    <row r="454" spans="1:32" ht="12.6" customHeight="1" x14ac:dyDescent="0.25">
      <c r="A454" s="14">
        <v>45706</v>
      </c>
      <c r="B454" s="14" t="s">
        <v>45</v>
      </c>
      <c r="C454" s="15">
        <v>3</v>
      </c>
      <c r="D454" s="16"/>
      <c r="E454" s="16"/>
      <c r="F454" s="17"/>
      <c r="G454" s="21"/>
      <c r="H454" s="21"/>
      <c r="I454" s="4">
        <v>0</v>
      </c>
      <c r="J454" s="4">
        <v>0</v>
      </c>
      <c r="K454" s="4"/>
      <c r="L454" s="16"/>
      <c r="M454" s="4"/>
      <c r="N454" s="4"/>
      <c r="O454" s="4"/>
      <c r="P454" s="4"/>
      <c r="Q454" s="4"/>
      <c r="R454" s="4"/>
      <c r="S454" s="4">
        <v>0</v>
      </c>
      <c r="T454" s="4">
        <v>0</v>
      </c>
      <c r="U454" s="4">
        <v>0</v>
      </c>
      <c r="V454" s="4">
        <v>12</v>
      </c>
      <c r="W454" s="4">
        <v>12</v>
      </c>
      <c r="X454" s="4">
        <v>0</v>
      </c>
      <c r="Y454" s="4"/>
      <c r="Z454" s="4">
        <v>286.52</v>
      </c>
      <c r="AA454" s="4">
        <v>300</v>
      </c>
      <c r="AB454" s="18"/>
      <c r="AC454" s="18">
        <v>8</v>
      </c>
      <c r="AD454" s="28"/>
      <c r="AE454" s="26"/>
      <c r="AF454" s="28"/>
    </row>
    <row r="455" spans="1:32" ht="12.6" customHeight="1" x14ac:dyDescent="0.25">
      <c r="A455" s="14">
        <v>45706</v>
      </c>
      <c r="B455" s="14" t="s">
        <v>46</v>
      </c>
      <c r="C455" s="15">
        <v>3</v>
      </c>
      <c r="D455" s="16"/>
      <c r="E455" s="16"/>
      <c r="F455" s="17"/>
      <c r="G455" s="21"/>
      <c r="H455" s="21"/>
      <c r="I455" s="4">
        <v>0</v>
      </c>
      <c r="J455" s="4">
        <v>0</v>
      </c>
      <c r="K455" s="4"/>
      <c r="L455" s="16"/>
      <c r="M455" s="4"/>
      <c r="N455" s="4"/>
      <c r="O455" s="4"/>
      <c r="P455" s="4"/>
      <c r="Q455" s="4"/>
      <c r="R455" s="4"/>
      <c r="S455" s="4">
        <v>0</v>
      </c>
      <c r="T455" s="4">
        <v>0</v>
      </c>
      <c r="U455" s="4">
        <v>0</v>
      </c>
      <c r="V455" s="4">
        <v>12</v>
      </c>
      <c r="W455" s="4">
        <v>12</v>
      </c>
      <c r="X455" s="4">
        <v>0</v>
      </c>
      <c r="Y455" s="4"/>
      <c r="Z455" s="4">
        <v>266.56</v>
      </c>
      <c r="AA455" s="4">
        <v>250</v>
      </c>
      <c r="AB455" s="18"/>
      <c r="AC455" s="18">
        <v>8</v>
      </c>
      <c r="AD455" s="28"/>
      <c r="AE455" s="26"/>
      <c r="AF455" s="28"/>
    </row>
    <row r="456" spans="1:32" ht="12.6" customHeight="1" x14ac:dyDescent="0.25">
      <c r="A456" s="14">
        <v>45706</v>
      </c>
      <c r="B456" s="14" t="s">
        <v>45</v>
      </c>
      <c r="C456" s="15">
        <v>4</v>
      </c>
      <c r="D456" s="16"/>
      <c r="E456" s="16"/>
      <c r="F456" s="17"/>
      <c r="G456" s="21"/>
      <c r="H456" s="21"/>
      <c r="I456" s="4">
        <v>0</v>
      </c>
      <c r="J456" s="4">
        <v>0</v>
      </c>
      <c r="K456" s="4"/>
      <c r="L456" s="16"/>
      <c r="M456" s="4"/>
      <c r="N456" s="4"/>
      <c r="O456" s="4"/>
      <c r="P456" s="4"/>
      <c r="Q456" s="4"/>
      <c r="R456" s="4"/>
      <c r="S456" s="4">
        <v>0</v>
      </c>
      <c r="T456" s="4">
        <v>0</v>
      </c>
      <c r="U456" s="4">
        <v>0</v>
      </c>
      <c r="V456" s="4">
        <v>12</v>
      </c>
      <c r="W456" s="4">
        <v>12</v>
      </c>
      <c r="X456" s="4">
        <v>0</v>
      </c>
      <c r="Y456" s="4"/>
      <c r="Z456" s="4">
        <v>853.66000000000008</v>
      </c>
      <c r="AA456" s="4">
        <v>850</v>
      </c>
      <c r="AB456" s="18"/>
      <c r="AC456" s="18">
        <v>8</v>
      </c>
      <c r="AD456" s="28"/>
      <c r="AE456" s="26"/>
      <c r="AF456" s="28"/>
    </row>
    <row r="457" spans="1:32" ht="12.6" customHeight="1" x14ac:dyDescent="0.25">
      <c r="A457" s="14">
        <v>45706</v>
      </c>
      <c r="B457" s="14" t="s">
        <v>46</v>
      </c>
      <c r="C457" s="15">
        <v>4</v>
      </c>
      <c r="D457" s="16">
        <v>30</v>
      </c>
      <c r="E457" s="16"/>
      <c r="F457" s="17"/>
      <c r="G457" s="21"/>
      <c r="H457" s="21"/>
      <c r="I457" s="4">
        <v>30</v>
      </c>
      <c r="J457" s="4">
        <v>0.5</v>
      </c>
      <c r="K457" s="4"/>
      <c r="L457" s="16"/>
      <c r="M457" s="4"/>
      <c r="N457" s="4"/>
      <c r="O457" s="4"/>
      <c r="P457" s="4"/>
      <c r="Q457" s="4"/>
      <c r="R457" s="4"/>
      <c r="S457" s="4">
        <v>0</v>
      </c>
      <c r="T457" s="4">
        <v>0</v>
      </c>
      <c r="U457" s="4">
        <v>0.5</v>
      </c>
      <c r="V457" s="4">
        <v>11.5</v>
      </c>
      <c r="W457" s="4">
        <v>12</v>
      </c>
      <c r="X457" s="4">
        <v>0</v>
      </c>
      <c r="Y457" s="4"/>
      <c r="Z457" s="4">
        <v>808.08</v>
      </c>
      <c r="AA457" s="4">
        <v>800</v>
      </c>
      <c r="AB457" s="18"/>
      <c r="AC457" s="18">
        <v>8</v>
      </c>
      <c r="AD457" s="28"/>
      <c r="AE457" s="26"/>
      <c r="AF457" s="28"/>
    </row>
    <row r="458" spans="1:32" ht="12.6" customHeight="1" x14ac:dyDescent="0.25">
      <c r="A458" s="14">
        <v>45706</v>
      </c>
      <c r="B458" s="14" t="s">
        <v>45</v>
      </c>
      <c r="C458" s="15">
        <v>5</v>
      </c>
      <c r="D458" s="16"/>
      <c r="E458" s="16"/>
      <c r="F458" s="17"/>
      <c r="G458" s="21"/>
      <c r="H458" s="21"/>
      <c r="I458" s="4">
        <v>0</v>
      </c>
      <c r="J458" s="4">
        <v>0</v>
      </c>
      <c r="K458" s="4"/>
      <c r="L458" s="16"/>
      <c r="M458" s="4"/>
      <c r="N458" s="4"/>
      <c r="O458" s="4"/>
      <c r="P458" s="4"/>
      <c r="Q458" s="4"/>
      <c r="R458" s="4"/>
      <c r="S458" s="4">
        <v>0</v>
      </c>
      <c r="T458" s="4">
        <v>0</v>
      </c>
      <c r="U458" s="4">
        <v>0</v>
      </c>
      <c r="V458" s="4">
        <v>12</v>
      </c>
      <c r="W458" s="4">
        <v>12</v>
      </c>
      <c r="X458" s="4">
        <v>0</v>
      </c>
      <c r="Y458" s="4"/>
      <c r="Z458" s="4">
        <v>489.41999999999996</v>
      </c>
      <c r="AA458" s="4">
        <v>500</v>
      </c>
      <c r="AB458" s="18"/>
      <c r="AC458" s="18">
        <v>8</v>
      </c>
      <c r="AD458" s="28"/>
      <c r="AE458" s="26"/>
      <c r="AF458" s="28"/>
    </row>
    <row r="459" spans="1:32" ht="12.6" customHeight="1" x14ac:dyDescent="0.25">
      <c r="A459" s="14">
        <v>45706</v>
      </c>
      <c r="B459" s="14" t="s">
        <v>46</v>
      </c>
      <c r="C459" s="15">
        <v>5</v>
      </c>
      <c r="D459" s="16"/>
      <c r="E459" s="16"/>
      <c r="F459" s="17"/>
      <c r="G459" s="21"/>
      <c r="H459" s="21"/>
      <c r="I459" s="4">
        <v>0</v>
      </c>
      <c r="J459" s="4">
        <v>0</v>
      </c>
      <c r="K459" s="4"/>
      <c r="L459" s="16"/>
      <c r="M459" s="4"/>
      <c r="N459" s="4"/>
      <c r="O459" s="4"/>
      <c r="P459" s="4"/>
      <c r="Q459" s="4"/>
      <c r="R459" s="4"/>
      <c r="S459" s="4">
        <v>0</v>
      </c>
      <c r="T459" s="4">
        <v>0</v>
      </c>
      <c r="U459" s="4">
        <v>0</v>
      </c>
      <c r="V459" s="4">
        <v>12</v>
      </c>
      <c r="W459" s="4">
        <v>12</v>
      </c>
      <c r="X459" s="4">
        <v>0</v>
      </c>
      <c r="Y459" s="4"/>
      <c r="Z459" s="4">
        <v>497.82000000000005</v>
      </c>
      <c r="AA459" s="4">
        <v>500</v>
      </c>
      <c r="AB459" s="18"/>
      <c r="AC459" s="18">
        <v>8</v>
      </c>
      <c r="AD459" s="28"/>
      <c r="AE459" s="26"/>
      <c r="AF459" s="28"/>
    </row>
    <row r="460" spans="1:32" ht="12.6" customHeight="1" x14ac:dyDescent="0.25">
      <c r="A460" s="14">
        <v>45707</v>
      </c>
      <c r="B460" s="14" t="s">
        <v>45</v>
      </c>
      <c r="C460" s="15">
        <v>1</v>
      </c>
      <c r="D460" s="16"/>
      <c r="E460" s="16"/>
      <c r="F460" s="17"/>
      <c r="G460" s="21"/>
      <c r="H460" s="21"/>
      <c r="I460" s="4">
        <v>0</v>
      </c>
      <c r="J460" s="4">
        <v>0</v>
      </c>
      <c r="K460" s="4"/>
      <c r="L460" s="16"/>
      <c r="M460" s="4"/>
      <c r="N460" s="4"/>
      <c r="O460" s="4"/>
      <c r="P460" s="4"/>
      <c r="Q460" s="4"/>
      <c r="R460" s="4"/>
      <c r="S460" s="4">
        <v>0</v>
      </c>
      <c r="T460" s="4">
        <v>0</v>
      </c>
      <c r="U460" s="4">
        <v>0</v>
      </c>
      <c r="V460" s="4">
        <v>12</v>
      </c>
      <c r="W460" s="4">
        <v>12</v>
      </c>
      <c r="X460" s="4">
        <v>0</v>
      </c>
      <c r="Y460" s="4">
        <v>1957</v>
      </c>
      <c r="Z460" s="4">
        <v>125.13000000000001</v>
      </c>
      <c r="AA460" s="4">
        <v>100</v>
      </c>
      <c r="AB460" s="18">
        <v>398</v>
      </c>
      <c r="AC460" s="18">
        <v>8</v>
      </c>
      <c r="AD460" s="28"/>
      <c r="AE460" s="26"/>
      <c r="AF460" s="28"/>
    </row>
    <row r="461" spans="1:32" ht="12.6" customHeight="1" x14ac:dyDescent="0.25">
      <c r="A461" s="14">
        <v>45707</v>
      </c>
      <c r="B461" s="14" t="s">
        <v>46</v>
      </c>
      <c r="C461" s="15">
        <v>1</v>
      </c>
      <c r="D461" s="16"/>
      <c r="E461" s="16"/>
      <c r="F461" s="17"/>
      <c r="G461" s="21"/>
      <c r="H461" s="21"/>
      <c r="I461" s="4">
        <v>0</v>
      </c>
      <c r="J461" s="4">
        <v>0</v>
      </c>
      <c r="K461" s="4"/>
      <c r="L461" s="16"/>
      <c r="M461" s="4"/>
      <c r="N461" s="4"/>
      <c r="O461" s="4"/>
      <c r="P461" s="4"/>
      <c r="Q461" s="4"/>
      <c r="R461" s="4"/>
      <c r="S461" s="4">
        <v>0</v>
      </c>
      <c r="T461" s="4">
        <v>0</v>
      </c>
      <c r="U461" s="4">
        <v>0</v>
      </c>
      <c r="V461" s="4">
        <v>12</v>
      </c>
      <c r="W461" s="4">
        <v>12</v>
      </c>
      <c r="X461" s="4">
        <v>0</v>
      </c>
      <c r="Y461" s="4"/>
      <c r="Z461" s="4">
        <v>120.08000000000001</v>
      </c>
      <c r="AA461" s="4">
        <v>100</v>
      </c>
      <c r="AB461" s="18"/>
      <c r="AC461" s="18">
        <v>8</v>
      </c>
      <c r="AD461" s="28"/>
      <c r="AE461" s="26"/>
      <c r="AF461" s="28"/>
    </row>
    <row r="462" spans="1:32" ht="12.6" customHeight="1" x14ac:dyDescent="0.25">
      <c r="A462" s="14">
        <v>45707</v>
      </c>
      <c r="B462" s="14" t="s">
        <v>45</v>
      </c>
      <c r="C462" s="15">
        <v>2</v>
      </c>
      <c r="D462" s="16"/>
      <c r="E462" s="16"/>
      <c r="F462" s="17"/>
      <c r="G462" s="21"/>
      <c r="H462" s="21"/>
      <c r="I462" s="4">
        <v>0</v>
      </c>
      <c r="J462" s="4">
        <v>0</v>
      </c>
      <c r="K462" s="4"/>
      <c r="L462" s="16"/>
      <c r="M462" s="4"/>
      <c r="N462" s="4"/>
      <c r="O462" s="4"/>
      <c r="P462" s="4"/>
      <c r="Q462" s="4"/>
      <c r="R462" s="4"/>
      <c r="S462" s="4">
        <v>0</v>
      </c>
      <c r="T462" s="4">
        <v>0</v>
      </c>
      <c r="U462" s="4">
        <v>0</v>
      </c>
      <c r="V462" s="4">
        <v>12</v>
      </c>
      <c r="W462" s="4">
        <v>12</v>
      </c>
      <c r="X462" s="4">
        <v>0</v>
      </c>
      <c r="Y462" s="4"/>
      <c r="Z462" s="4">
        <v>183.61</v>
      </c>
      <c r="AA462" s="4">
        <v>200</v>
      </c>
      <c r="AB462" s="18"/>
      <c r="AC462" s="18">
        <v>8</v>
      </c>
      <c r="AD462" s="28"/>
      <c r="AE462" s="26"/>
      <c r="AF462" s="28"/>
    </row>
    <row r="463" spans="1:32" ht="12.6" customHeight="1" x14ac:dyDescent="0.25">
      <c r="A463" s="14">
        <v>45707</v>
      </c>
      <c r="B463" s="14" t="s">
        <v>46</v>
      </c>
      <c r="C463" s="15">
        <v>2</v>
      </c>
      <c r="D463" s="16"/>
      <c r="E463" s="16"/>
      <c r="F463" s="17"/>
      <c r="G463" s="21"/>
      <c r="H463" s="21"/>
      <c r="I463" s="4">
        <v>0</v>
      </c>
      <c r="J463" s="4">
        <v>0</v>
      </c>
      <c r="K463" s="4"/>
      <c r="L463" s="16"/>
      <c r="M463" s="4"/>
      <c r="N463" s="4"/>
      <c r="O463" s="4"/>
      <c r="P463" s="4"/>
      <c r="Q463" s="4"/>
      <c r="R463" s="4"/>
      <c r="S463" s="4">
        <v>0</v>
      </c>
      <c r="T463" s="4">
        <v>0</v>
      </c>
      <c r="U463" s="4">
        <v>0</v>
      </c>
      <c r="V463" s="4">
        <v>12</v>
      </c>
      <c r="W463" s="4">
        <v>12</v>
      </c>
      <c r="X463" s="4">
        <v>0</v>
      </c>
      <c r="Y463" s="4"/>
      <c r="Z463" s="4">
        <v>177.35999999999999</v>
      </c>
      <c r="AA463" s="4">
        <v>200</v>
      </c>
      <c r="AB463" s="18"/>
      <c r="AC463" s="18">
        <v>8</v>
      </c>
      <c r="AD463" s="28"/>
      <c r="AE463" s="26"/>
      <c r="AF463" s="28"/>
    </row>
    <row r="464" spans="1:32" ht="12.6" customHeight="1" x14ac:dyDescent="0.25">
      <c r="A464" s="14">
        <v>45707</v>
      </c>
      <c r="B464" s="14" t="s">
        <v>45</v>
      </c>
      <c r="C464" s="15">
        <v>3</v>
      </c>
      <c r="D464" s="16"/>
      <c r="E464" s="16"/>
      <c r="F464" s="17"/>
      <c r="G464" s="21"/>
      <c r="H464" s="21"/>
      <c r="I464" s="4">
        <v>0</v>
      </c>
      <c r="J464" s="4">
        <v>0</v>
      </c>
      <c r="K464" s="4"/>
      <c r="L464" s="16"/>
      <c r="M464" s="4"/>
      <c r="N464" s="4"/>
      <c r="O464" s="4"/>
      <c r="P464" s="4"/>
      <c r="Q464" s="4"/>
      <c r="R464" s="4"/>
      <c r="S464" s="4">
        <v>0</v>
      </c>
      <c r="T464" s="4">
        <v>0</v>
      </c>
      <c r="U464" s="4">
        <v>0</v>
      </c>
      <c r="V464" s="4">
        <v>12</v>
      </c>
      <c r="W464" s="4">
        <v>12</v>
      </c>
      <c r="X464" s="4">
        <v>0</v>
      </c>
      <c r="Y464" s="4"/>
      <c r="Z464" s="4">
        <v>264.43</v>
      </c>
      <c r="AA464" s="4">
        <v>250</v>
      </c>
      <c r="AB464" s="18"/>
      <c r="AC464" s="18">
        <v>8</v>
      </c>
      <c r="AD464" s="28"/>
      <c r="AE464" s="26"/>
      <c r="AF464" s="28"/>
    </row>
    <row r="465" spans="1:32" ht="12.6" customHeight="1" x14ac:dyDescent="0.25">
      <c r="A465" s="14">
        <v>45707</v>
      </c>
      <c r="B465" s="14" t="s">
        <v>46</v>
      </c>
      <c r="C465" s="15">
        <v>3</v>
      </c>
      <c r="D465" s="16"/>
      <c r="E465" s="16"/>
      <c r="F465" s="17"/>
      <c r="G465" s="21"/>
      <c r="H465" s="21"/>
      <c r="I465" s="4">
        <v>0</v>
      </c>
      <c r="J465" s="4">
        <v>0</v>
      </c>
      <c r="K465" s="4"/>
      <c r="L465" s="16"/>
      <c r="M465" s="4"/>
      <c r="N465" s="4"/>
      <c r="O465" s="4"/>
      <c r="P465" s="4"/>
      <c r="Q465" s="4"/>
      <c r="R465" s="4"/>
      <c r="S465" s="4">
        <v>0</v>
      </c>
      <c r="T465" s="4">
        <v>0</v>
      </c>
      <c r="U465" s="4">
        <v>0</v>
      </c>
      <c r="V465" s="4">
        <v>12</v>
      </c>
      <c r="W465" s="4">
        <v>12</v>
      </c>
      <c r="X465" s="4">
        <v>0</v>
      </c>
      <c r="Y465" s="4"/>
      <c r="Z465" s="4">
        <v>258.64999999999998</v>
      </c>
      <c r="AA465" s="4">
        <v>300</v>
      </c>
      <c r="AB465" s="18"/>
      <c r="AC465" s="18">
        <v>8</v>
      </c>
      <c r="AD465" s="28"/>
      <c r="AE465" s="26"/>
      <c r="AF465" s="28"/>
    </row>
    <row r="466" spans="1:32" ht="12.6" customHeight="1" x14ac:dyDescent="0.25">
      <c r="A466" s="14">
        <v>45707</v>
      </c>
      <c r="B466" s="14" t="s">
        <v>45</v>
      </c>
      <c r="C466" s="15">
        <v>4</v>
      </c>
      <c r="D466" s="16">
        <v>30</v>
      </c>
      <c r="E466" s="16"/>
      <c r="F466" s="17"/>
      <c r="G466" s="21"/>
      <c r="H466" s="21"/>
      <c r="I466" s="4">
        <v>30</v>
      </c>
      <c r="J466" s="4">
        <v>0.5</v>
      </c>
      <c r="K466" s="4"/>
      <c r="L466" s="16"/>
      <c r="M466" s="4"/>
      <c r="N466" s="4"/>
      <c r="O466" s="4"/>
      <c r="P466" s="4"/>
      <c r="Q466" s="4"/>
      <c r="R466" s="4"/>
      <c r="S466" s="4">
        <v>0</v>
      </c>
      <c r="T466" s="4">
        <v>0</v>
      </c>
      <c r="U466" s="4">
        <v>0.5</v>
      </c>
      <c r="V466" s="4">
        <v>11.5</v>
      </c>
      <c r="W466" s="4">
        <v>12</v>
      </c>
      <c r="X466" s="4">
        <v>0</v>
      </c>
      <c r="Y466" s="4"/>
      <c r="Z466" s="4">
        <v>804.06</v>
      </c>
      <c r="AA466" s="4">
        <v>850</v>
      </c>
      <c r="AB466" s="18"/>
      <c r="AC466" s="18">
        <v>8</v>
      </c>
      <c r="AD466" s="28"/>
      <c r="AE466" s="26"/>
      <c r="AF466" s="28"/>
    </row>
    <row r="467" spans="1:32" ht="12.6" customHeight="1" x14ac:dyDescent="0.25">
      <c r="A467" s="14">
        <v>45707</v>
      </c>
      <c r="B467" s="14" t="s">
        <v>46</v>
      </c>
      <c r="C467" s="15">
        <v>4</v>
      </c>
      <c r="D467" s="16">
        <v>50</v>
      </c>
      <c r="E467" s="16"/>
      <c r="F467" s="17"/>
      <c r="G467" s="21"/>
      <c r="H467" s="21"/>
      <c r="I467" s="4">
        <v>50</v>
      </c>
      <c r="J467" s="4">
        <v>0.83333333333333337</v>
      </c>
      <c r="K467" s="4"/>
      <c r="L467" s="16"/>
      <c r="M467" s="4"/>
      <c r="N467" s="4"/>
      <c r="O467" s="4"/>
      <c r="P467" s="4"/>
      <c r="Q467" s="4"/>
      <c r="R467" s="4"/>
      <c r="S467" s="4">
        <v>0</v>
      </c>
      <c r="T467" s="4">
        <v>0</v>
      </c>
      <c r="U467" s="4">
        <v>0.83333333333333337</v>
      </c>
      <c r="V467" s="4">
        <v>11.166666666666666</v>
      </c>
      <c r="W467" s="4">
        <v>12</v>
      </c>
      <c r="X467" s="4">
        <v>0</v>
      </c>
      <c r="Y467" s="4"/>
      <c r="Z467" s="4">
        <v>739.47</v>
      </c>
      <c r="AA467" s="4">
        <v>750</v>
      </c>
      <c r="AB467" s="18"/>
      <c r="AC467" s="18">
        <v>8</v>
      </c>
      <c r="AD467" s="28"/>
      <c r="AE467" s="26"/>
      <c r="AF467" s="28"/>
    </row>
    <row r="468" spans="1:32" ht="12.6" customHeight="1" x14ac:dyDescent="0.25">
      <c r="A468" s="14">
        <v>45707</v>
      </c>
      <c r="B468" s="14" t="s">
        <v>45</v>
      </c>
      <c r="C468" s="15">
        <v>5</v>
      </c>
      <c r="D468" s="16"/>
      <c r="E468" s="16"/>
      <c r="F468" s="17"/>
      <c r="G468" s="21"/>
      <c r="H468" s="21"/>
      <c r="I468" s="4">
        <v>0</v>
      </c>
      <c r="J468" s="4">
        <v>0</v>
      </c>
      <c r="K468" s="4"/>
      <c r="L468" s="16"/>
      <c r="M468" s="4"/>
      <c r="N468" s="4"/>
      <c r="O468" s="4"/>
      <c r="P468" s="4"/>
      <c r="Q468" s="4"/>
      <c r="R468" s="4"/>
      <c r="S468" s="4">
        <v>0</v>
      </c>
      <c r="T468" s="4">
        <v>0</v>
      </c>
      <c r="U468" s="4">
        <v>0</v>
      </c>
      <c r="V468" s="4">
        <v>12</v>
      </c>
      <c r="W468" s="4">
        <v>12</v>
      </c>
      <c r="X468" s="4">
        <v>0</v>
      </c>
      <c r="Y468" s="4"/>
      <c r="Z468" s="4">
        <v>548.59999999999991</v>
      </c>
      <c r="AA468" s="4">
        <v>550</v>
      </c>
      <c r="AB468" s="18"/>
      <c r="AC468" s="18">
        <v>8</v>
      </c>
      <c r="AD468" s="28"/>
      <c r="AE468" s="26"/>
      <c r="AF468" s="28"/>
    </row>
    <row r="469" spans="1:32" ht="12.6" customHeight="1" x14ac:dyDescent="0.25">
      <c r="A469" s="14">
        <v>45707</v>
      </c>
      <c r="B469" s="14" t="s">
        <v>46</v>
      </c>
      <c r="C469" s="15">
        <v>5</v>
      </c>
      <c r="D469" s="16"/>
      <c r="E469" s="16"/>
      <c r="F469" s="17"/>
      <c r="G469" s="21"/>
      <c r="H469" s="21"/>
      <c r="I469" s="4">
        <v>0</v>
      </c>
      <c r="J469" s="4">
        <v>0</v>
      </c>
      <c r="K469" s="4"/>
      <c r="L469" s="16"/>
      <c r="M469" s="4"/>
      <c r="N469" s="4"/>
      <c r="O469" s="4"/>
      <c r="P469" s="4"/>
      <c r="Q469" s="4"/>
      <c r="R469" s="4"/>
      <c r="S469" s="4">
        <v>0</v>
      </c>
      <c r="T469" s="4">
        <v>0</v>
      </c>
      <c r="U469" s="4">
        <v>0</v>
      </c>
      <c r="V469" s="4">
        <v>12</v>
      </c>
      <c r="W469" s="4">
        <v>12</v>
      </c>
      <c r="X469" s="4">
        <v>0</v>
      </c>
      <c r="Y469" s="4"/>
      <c r="Z469" s="4">
        <v>486.35999999999996</v>
      </c>
      <c r="AA469" s="4">
        <v>500</v>
      </c>
      <c r="AB469" s="18"/>
      <c r="AC469" s="18">
        <v>8</v>
      </c>
      <c r="AD469" s="28"/>
      <c r="AE469" s="26"/>
      <c r="AF469" s="28"/>
    </row>
    <row r="470" spans="1:32" ht="12.6" customHeight="1" x14ac:dyDescent="0.25">
      <c r="A470" s="14">
        <v>45708</v>
      </c>
      <c r="B470" s="14" t="s">
        <v>45</v>
      </c>
      <c r="C470" s="15">
        <v>1</v>
      </c>
      <c r="D470" s="16"/>
      <c r="E470" s="16"/>
      <c r="F470" s="17"/>
      <c r="G470" s="21"/>
      <c r="H470" s="21"/>
      <c r="I470" s="4">
        <v>0</v>
      </c>
      <c r="J470" s="4">
        <v>0</v>
      </c>
      <c r="K470" s="4"/>
      <c r="L470" s="16"/>
      <c r="M470" s="4"/>
      <c r="N470" s="4"/>
      <c r="O470" s="4"/>
      <c r="P470" s="4"/>
      <c r="Q470" s="4">
        <v>30</v>
      </c>
      <c r="R470" s="4"/>
      <c r="S470" s="4">
        <v>30</v>
      </c>
      <c r="T470" s="4">
        <v>0.5</v>
      </c>
      <c r="U470" s="4">
        <v>0.5</v>
      </c>
      <c r="V470" s="4">
        <v>11.5</v>
      </c>
      <c r="W470" s="4">
        <v>12</v>
      </c>
      <c r="X470" s="4">
        <v>30</v>
      </c>
      <c r="Y470" s="4">
        <v>2087</v>
      </c>
      <c r="Z470" s="4">
        <v>154.72999999999999</v>
      </c>
      <c r="AA470" s="4">
        <v>150</v>
      </c>
      <c r="AB470" s="18">
        <v>398</v>
      </c>
      <c r="AC470" s="18">
        <v>8</v>
      </c>
      <c r="AD470" s="28"/>
      <c r="AE470" s="26"/>
      <c r="AF470" s="28"/>
    </row>
    <row r="471" spans="1:32" ht="12.6" customHeight="1" x14ac:dyDescent="0.25">
      <c r="A471" s="14">
        <v>45708</v>
      </c>
      <c r="B471" s="14" t="s">
        <v>46</v>
      </c>
      <c r="C471" s="15">
        <v>1</v>
      </c>
      <c r="D471" s="16"/>
      <c r="E471" s="16"/>
      <c r="F471" s="17"/>
      <c r="G471" s="21"/>
      <c r="H471" s="21"/>
      <c r="I471" s="4">
        <v>0</v>
      </c>
      <c r="J471" s="4">
        <v>0</v>
      </c>
      <c r="K471" s="4"/>
      <c r="L471" s="16"/>
      <c r="M471" s="4"/>
      <c r="N471" s="4"/>
      <c r="O471" s="4"/>
      <c r="P471" s="4"/>
      <c r="Q471" s="4"/>
      <c r="R471" s="4"/>
      <c r="S471" s="4">
        <v>0</v>
      </c>
      <c r="T471" s="4">
        <v>0</v>
      </c>
      <c r="U471" s="4">
        <v>0</v>
      </c>
      <c r="V471" s="4">
        <v>12</v>
      </c>
      <c r="W471" s="4">
        <v>12</v>
      </c>
      <c r="X471" s="4">
        <v>36</v>
      </c>
      <c r="Y471" s="4"/>
      <c r="Z471" s="4">
        <v>146.80000000000004</v>
      </c>
      <c r="AA471" s="4">
        <v>150</v>
      </c>
      <c r="AB471" s="18"/>
      <c r="AC471" s="18">
        <v>8</v>
      </c>
      <c r="AD471" s="28"/>
      <c r="AE471" s="26"/>
      <c r="AF471" s="28"/>
    </row>
    <row r="472" spans="1:32" ht="12.6" customHeight="1" x14ac:dyDescent="0.25">
      <c r="A472" s="14">
        <v>45708</v>
      </c>
      <c r="B472" s="14" t="s">
        <v>45</v>
      </c>
      <c r="C472" s="15">
        <v>2</v>
      </c>
      <c r="D472" s="16"/>
      <c r="E472" s="16"/>
      <c r="F472" s="17"/>
      <c r="G472" s="21"/>
      <c r="H472" s="21"/>
      <c r="I472" s="4">
        <v>0</v>
      </c>
      <c r="J472" s="4">
        <v>0</v>
      </c>
      <c r="K472" s="4"/>
      <c r="L472" s="16"/>
      <c r="M472" s="4"/>
      <c r="N472" s="4"/>
      <c r="O472" s="4"/>
      <c r="P472" s="4"/>
      <c r="Q472" s="4"/>
      <c r="R472" s="4"/>
      <c r="S472" s="4">
        <v>0</v>
      </c>
      <c r="T472" s="4">
        <v>0</v>
      </c>
      <c r="U472" s="4">
        <v>0</v>
      </c>
      <c r="V472" s="4">
        <v>12</v>
      </c>
      <c r="W472" s="4">
        <v>12</v>
      </c>
      <c r="X472" s="4">
        <v>0</v>
      </c>
      <c r="Y472" s="4"/>
      <c r="Z472" s="4">
        <v>194.11</v>
      </c>
      <c r="AA472" s="4">
        <v>200</v>
      </c>
      <c r="AB472" s="18"/>
      <c r="AC472" s="18">
        <v>8</v>
      </c>
      <c r="AD472" s="28"/>
      <c r="AE472" s="26"/>
      <c r="AF472" s="28"/>
    </row>
    <row r="473" spans="1:32" ht="12.6" customHeight="1" x14ac:dyDescent="0.25">
      <c r="A473" s="14">
        <v>45708</v>
      </c>
      <c r="B473" s="14" t="s">
        <v>46</v>
      </c>
      <c r="C473" s="15">
        <v>2</v>
      </c>
      <c r="D473" s="16"/>
      <c r="E473" s="16"/>
      <c r="F473" s="17"/>
      <c r="G473" s="21"/>
      <c r="H473" s="21"/>
      <c r="I473" s="4">
        <v>0</v>
      </c>
      <c r="J473" s="4">
        <v>0</v>
      </c>
      <c r="K473" s="4"/>
      <c r="L473" s="16"/>
      <c r="M473" s="4"/>
      <c r="N473" s="4"/>
      <c r="O473" s="4"/>
      <c r="P473" s="4"/>
      <c r="Q473" s="4"/>
      <c r="R473" s="4"/>
      <c r="S473" s="4">
        <v>0</v>
      </c>
      <c r="T473" s="4">
        <v>0</v>
      </c>
      <c r="U473" s="4">
        <v>0</v>
      </c>
      <c r="V473" s="4">
        <v>12</v>
      </c>
      <c r="W473" s="4">
        <v>12</v>
      </c>
      <c r="X473" s="4">
        <v>0</v>
      </c>
      <c r="Y473" s="4"/>
      <c r="Z473" s="4">
        <v>125.36999999999998</v>
      </c>
      <c r="AA473" s="4">
        <v>150</v>
      </c>
      <c r="AB473" s="18"/>
      <c r="AC473" s="18">
        <v>8</v>
      </c>
      <c r="AD473" s="28"/>
      <c r="AE473" s="26"/>
      <c r="AF473" s="28"/>
    </row>
    <row r="474" spans="1:32" ht="12.6" customHeight="1" x14ac:dyDescent="0.25">
      <c r="A474" s="14">
        <v>45708</v>
      </c>
      <c r="B474" s="14" t="s">
        <v>45</v>
      </c>
      <c r="C474" s="15">
        <v>3</v>
      </c>
      <c r="D474" s="16">
        <v>30</v>
      </c>
      <c r="E474" s="16"/>
      <c r="F474" s="17"/>
      <c r="G474" s="21"/>
      <c r="H474" s="21"/>
      <c r="I474" s="4">
        <v>30</v>
      </c>
      <c r="J474" s="4">
        <v>0.5</v>
      </c>
      <c r="K474" s="4"/>
      <c r="L474" s="16"/>
      <c r="M474" s="4"/>
      <c r="N474" s="4"/>
      <c r="O474" s="4"/>
      <c r="P474" s="4"/>
      <c r="Q474" s="4">
        <v>30</v>
      </c>
      <c r="R474" s="4"/>
      <c r="S474" s="4">
        <v>30</v>
      </c>
      <c r="T474" s="4">
        <v>0.5</v>
      </c>
      <c r="U474" s="4">
        <v>1</v>
      </c>
      <c r="V474" s="4">
        <v>11</v>
      </c>
      <c r="W474" s="4">
        <v>12</v>
      </c>
      <c r="X474" s="4">
        <v>0</v>
      </c>
      <c r="Y474" s="4"/>
      <c r="Z474" s="4">
        <v>347.7</v>
      </c>
      <c r="AA474" s="4">
        <v>350</v>
      </c>
      <c r="AB474" s="18"/>
      <c r="AC474" s="18">
        <v>8</v>
      </c>
      <c r="AD474" s="28"/>
      <c r="AE474" s="26"/>
      <c r="AF474" s="28"/>
    </row>
    <row r="475" spans="1:32" ht="12.6" customHeight="1" x14ac:dyDescent="0.25">
      <c r="A475" s="14">
        <v>45708</v>
      </c>
      <c r="B475" s="14" t="s">
        <v>46</v>
      </c>
      <c r="C475" s="15">
        <v>3</v>
      </c>
      <c r="D475" s="16"/>
      <c r="E475" s="16"/>
      <c r="F475" s="17"/>
      <c r="G475" s="21"/>
      <c r="H475" s="21"/>
      <c r="I475" s="4">
        <v>0</v>
      </c>
      <c r="J475" s="4">
        <v>0</v>
      </c>
      <c r="K475" s="4"/>
      <c r="L475" s="16"/>
      <c r="M475" s="4"/>
      <c r="N475" s="4"/>
      <c r="O475" s="4"/>
      <c r="P475" s="4"/>
      <c r="Q475" s="4"/>
      <c r="R475" s="4"/>
      <c r="S475" s="4">
        <v>0</v>
      </c>
      <c r="T475" s="4">
        <v>0</v>
      </c>
      <c r="U475" s="4">
        <v>0</v>
      </c>
      <c r="V475" s="4">
        <v>12</v>
      </c>
      <c r="W475" s="4">
        <v>12</v>
      </c>
      <c r="X475" s="4">
        <v>0</v>
      </c>
      <c r="Y475" s="4"/>
      <c r="Z475" s="4">
        <v>339.21</v>
      </c>
      <c r="AA475" s="4">
        <v>350</v>
      </c>
      <c r="AB475" s="18"/>
      <c r="AC475" s="18">
        <v>8</v>
      </c>
      <c r="AD475" s="28"/>
      <c r="AE475" s="26"/>
      <c r="AF475" s="28"/>
    </row>
    <row r="476" spans="1:32" ht="12.6" customHeight="1" x14ac:dyDescent="0.25">
      <c r="A476" s="14">
        <v>45708</v>
      </c>
      <c r="B476" s="14" t="s">
        <v>45</v>
      </c>
      <c r="C476" s="15">
        <v>4</v>
      </c>
      <c r="D476" s="16"/>
      <c r="E476" s="16"/>
      <c r="F476" s="17"/>
      <c r="G476" s="21"/>
      <c r="H476" s="21"/>
      <c r="I476" s="4">
        <v>0</v>
      </c>
      <c r="J476" s="4">
        <v>0</v>
      </c>
      <c r="K476" s="4"/>
      <c r="L476" s="16"/>
      <c r="M476" s="4"/>
      <c r="N476" s="4"/>
      <c r="O476" s="4"/>
      <c r="P476" s="4"/>
      <c r="Q476" s="4"/>
      <c r="R476" s="4"/>
      <c r="S476" s="4">
        <v>0</v>
      </c>
      <c r="T476" s="4">
        <v>0</v>
      </c>
      <c r="U476" s="4">
        <v>0</v>
      </c>
      <c r="V476" s="4">
        <v>12</v>
      </c>
      <c r="W476" s="4">
        <v>12</v>
      </c>
      <c r="X476" s="4">
        <v>0</v>
      </c>
      <c r="Y476" s="4"/>
      <c r="Z476" s="4">
        <v>769.4</v>
      </c>
      <c r="AA476" s="4">
        <v>750</v>
      </c>
      <c r="AB476" s="18"/>
      <c r="AC476" s="18">
        <v>8</v>
      </c>
      <c r="AD476" s="28"/>
      <c r="AE476" s="26"/>
      <c r="AF476" s="28"/>
    </row>
    <row r="477" spans="1:32" ht="12.6" customHeight="1" x14ac:dyDescent="0.25">
      <c r="A477" s="14">
        <v>45708</v>
      </c>
      <c r="B477" s="14" t="s">
        <v>46</v>
      </c>
      <c r="C477" s="15">
        <v>4</v>
      </c>
      <c r="D477" s="16"/>
      <c r="E477" s="16"/>
      <c r="F477" s="17"/>
      <c r="G477" s="21"/>
      <c r="H477" s="21"/>
      <c r="I477" s="4">
        <v>0</v>
      </c>
      <c r="J477" s="4">
        <v>0</v>
      </c>
      <c r="K477" s="4"/>
      <c r="L477" s="16"/>
      <c r="M477" s="4"/>
      <c r="N477" s="4"/>
      <c r="O477" s="4"/>
      <c r="P477" s="4"/>
      <c r="Q477" s="4"/>
      <c r="R477" s="4"/>
      <c r="S477" s="4">
        <v>0</v>
      </c>
      <c r="T477" s="4">
        <v>0</v>
      </c>
      <c r="U477" s="4">
        <v>0</v>
      </c>
      <c r="V477" s="4">
        <v>12</v>
      </c>
      <c r="W477" s="4">
        <v>12</v>
      </c>
      <c r="X477" s="4">
        <v>0</v>
      </c>
      <c r="Y477" s="4"/>
      <c r="Z477" s="4">
        <v>737.33000000000015</v>
      </c>
      <c r="AA477" s="4">
        <v>700</v>
      </c>
      <c r="AB477" s="18"/>
      <c r="AC477" s="18">
        <v>8</v>
      </c>
      <c r="AD477" s="28"/>
      <c r="AE477" s="26"/>
      <c r="AF477" s="28"/>
    </row>
    <row r="478" spans="1:32" ht="12.6" customHeight="1" x14ac:dyDescent="0.25">
      <c r="A478" s="14">
        <v>45708</v>
      </c>
      <c r="B478" s="14" t="s">
        <v>45</v>
      </c>
      <c r="C478" s="15">
        <v>5</v>
      </c>
      <c r="D478" s="16"/>
      <c r="E478" s="16"/>
      <c r="F478" s="17"/>
      <c r="G478" s="21"/>
      <c r="H478" s="21"/>
      <c r="I478" s="4">
        <v>0</v>
      </c>
      <c r="J478" s="4">
        <v>0</v>
      </c>
      <c r="K478" s="4"/>
      <c r="L478" s="16"/>
      <c r="M478" s="4"/>
      <c r="N478" s="4"/>
      <c r="O478" s="4"/>
      <c r="P478" s="4"/>
      <c r="Q478" s="4"/>
      <c r="R478" s="4"/>
      <c r="S478" s="4">
        <v>0</v>
      </c>
      <c r="T478" s="4">
        <v>0</v>
      </c>
      <c r="U478" s="4">
        <v>0</v>
      </c>
      <c r="V478" s="4">
        <v>12</v>
      </c>
      <c r="W478" s="4">
        <v>12</v>
      </c>
      <c r="X478" s="4">
        <v>0</v>
      </c>
      <c r="Y478" s="4"/>
      <c r="Z478" s="4">
        <v>506.89</v>
      </c>
      <c r="AA478" s="4">
        <v>550</v>
      </c>
      <c r="AB478" s="18"/>
      <c r="AC478" s="18">
        <v>8</v>
      </c>
      <c r="AD478" s="28"/>
      <c r="AE478" s="26"/>
      <c r="AF478" s="28"/>
    </row>
    <row r="479" spans="1:32" ht="12.6" customHeight="1" x14ac:dyDescent="0.25">
      <c r="A479" s="14">
        <v>45708</v>
      </c>
      <c r="B479" s="14" t="s">
        <v>46</v>
      </c>
      <c r="C479" s="15">
        <v>5</v>
      </c>
      <c r="D479" s="16">
        <v>20</v>
      </c>
      <c r="E479" s="16"/>
      <c r="F479" s="17"/>
      <c r="G479" s="21"/>
      <c r="H479" s="21"/>
      <c r="I479" s="4">
        <v>20</v>
      </c>
      <c r="J479" s="4">
        <v>0.33333333333333331</v>
      </c>
      <c r="K479" s="4"/>
      <c r="L479" s="16"/>
      <c r="M479" s="4"/>
      <c r="N479" s="4"/>
      <c r="O479" s="4"/>
      <c r="P479" s="4"/>
      <c r="Q479" s="4"/>
      <c r="R479" s="4"/>
      <c r="S479" s="4">
        <v>0</v>
      </c>
      <c r="T479" s="4">
        <v>0</v>
      </c>
      <c r="U479" s="4">
        <v>0.33333333333333331</v>
      </c>
      <c r="V479" s="4">
        <v>11.666666666666666</v>
      </c>
      <c r="W479" s="4">
        <v>12</v>
      </c>
      <c r="X479" s="4">
        <v>0</v>
      </c>
      <c r="Y479" s="4"/>
      <c r="Z479" s="4">
        <v>526.98</v>
      </c>
      <c r="AA479" s="4">
        <v>550</v>
      </c>
      <c r="AB479" s="18"/>
      <c r="AC479" s="18">
        <v>8</v>
      </c>
      <c r="AD479" s="28"/>
      <c r="AE479" s="26"/>
      <c r="AF479" s="28"/>
    </row>
    <row r="480" spans="1:32" ht="12.6" customHeight="1" x14ac:dyDescent="0.25">
      <c r="A480" s="14">
        <v>45709</v>
      </c>
      <c r="B480" s="14" t="s">
        <v>45</v>
      </c>
      <c r="C480" s="15">
        <v>1</v>
      </c>
      <c r="D480" s="16">
        <v>20</v>
      </c>
      <c r="E480" s="16"/>
      <c r="F480" s="17"/>
      <c r="G480" s="21"/>
      <c r="H480" s="21"/>
      <c r="I480" s="4">
        <v>20</v>
      </c>
      <c r="J480" s="4">
        <v>0.33333333333333331</v>
      </c>
      <c r="K480" s="4"/>
      <c r="L480" s="16"/>
      <c r="M480" s="4"/>
      <c r="N480" s="4"/>
      <c r="O480" s="4"/>
      <c r="P480" s="4"/>
      <c r="Q480" s="4"/>
      <c r="R480" s="4"/>
      <c r="S480" s="4">
        <v>0</v>
      </c>
      <c r="T480" s="4">
        <v>0</v>
      </c>
      <c r="U480" s="4">
        <v>0.33333333333333331</v>
      </c>
      <c r="V480" s="4">
        <v>11.666666666666666</v>
      </c>
      <c r="W480" s="4">
        <v>12</v>
      </c>
      <c r="X480" s="4">
        <v>30</v>
      </c>
      <c r="Y480" s="4">
        <v>2071</v>
      </c>
      <c r="Z480" s="4">
        <v>169.35999999999996</v>
      </c>
      <c r="AA480" s="4">
        <v>150</v>
      </c>
      <c r="AB480" s="18">
        <v>398</v>
      </c>
      <c r="AC480" s="18">
        <v>8</v>
      </c>
      <c r="AD480" s="28"/>
      <c r="AE480" s="26"/>
      <c r="AF480" s="28"/>
    </row>
    <row r="481" spans="1:32" ht="12.6" customHeight="1" x14ac:dyDescent="0.25">
      <c r="A481" s="14">
        <v>45709</v>
      </c>
      <c r="B481" s="14" t="s">
        <v>45</v>
      </c>
      <c r="C481" s="15">
        <v>2</v>
      </c>
      <c r="D481" s="16"/>
      <c r="E481" s="16"/>
      <c r="F481" s="17"/>
      <c r="G481" s="21"/>
      <c r="H481" s="21"/>
      <c r="I481" s="4">
        <v>0</v>
      </c>
      <c r="J481" s="4">
        <v>0</v>
      </c>
      <c r="K481" s="4"/>
      <c r="L481" s="16"/>
      <c r="M481" s="4"/>
      <c r="N481" s="4"/>
      <c r="O481" s="4"/>
      <c r="P481" s="4"/>
      <c r="Q481" s="4"/>
      <c r="R481" s="4"/>
      <c r="S481" s="4">
        <v>0</v>
      </c>
      <c r="T481" s="4">
        <v>0</v>
      </c>
      <c r="U481" s="4">
        <v>0</v>
      </c>
      <c r="V481" s="4">
        <v>12</v>
      </c>
      <c r="W481" s="4">
        <v>12</v>
      </c>
      <c r="X481" s="4">
        <v>0</v>
      </c>
      <c r="Y481" s="4"/>
      <c r="Z481" s="4">
        <v>282.54999999999995</v>
      </c>
      <c r="AA481" s="4">
        <v>300</v>
      </c>
      <c r="AB481" s="18"/>
      <c r="AC481" s="18">
        <v>8</v>
      </c>
      <c r="AD481" s="28"/>
      <c r="AE481" s="26"/>
      <c r="AF481" s="28"/>
    </row>
    <row r="482" spans="1:32" ht="12.6" customHeight="1" x14ac:dyDescent="0.25">
      <c r="A482" s="14">
        <v>45709</v>
      </c>
      <c r="B482" s="14" t="s">
        <v>46</v>
      </c>
      <c r="C482" s="15">
        <v>2</v>
      </c>
      <c r="D482" s="16"/>
      <c r="E482" s="16"/>
      <c r="F482" s="17"/>
      <c r="G482" s="21"/>
      <c r="H482" s="21"/>
      <c r="I482" s="4">
        <v>0</v>
      </c>
      <c r="J482" s="4">
        <v>0</v>
      </c>
      <c r="K482" s="4"/>
      <c r="L482" s="16"/>
      <c r="M482" s="4"/>
      <c r="N482" s="4"/>
      <c r="O482" s="4"/>
      <c r="P482" s="4"/>
      <c r="Q482" s="4"/>
      <c r="R482" s="4"/>
      <c r="S482" s="4">
        <v>0</v>
      </c>
      <c r="T482" s="4">
        <v>0</v>
      </c>
      <c r="U482" s="4">
        <v>0</v>
      </c>
      <c r="V482" s="4">
        <v>12</v>
      </c>
      <c r="W482" s="4">
        <v>12</v>
      </c>
      <c r="X482" s="4">
        <v>30</v>
      </c>
      <c r="Y482" s="4"/>
      <c r="Z482" s="4">
        <v>143.16</v>
      </c>
      <c r="AA482" s="4">
        <v>150</v>
      </c>
      <c r="AB482" s="18"/>
      <c r="AC482" s="18">
        <v>8</v>
      </c>
      <c r="AD482" s="28"/>
      <c r="AE482" s="26"/>
      <c r="AF482" s="28"/>
    </row>
    <row r="483" spans="1:32" ht="12.6" customHeight="1" x14ac:dyDescent="0.25">
      <c r="A483" s="14">
        <v>45709</v>
      </c>
      <c r="B483" s="14" t="s">
        <v>45</v>
      </c>
      <c r="C483" s="15">
        <v>3</v>
      </c>
      <c r="D483" s="16">
        <v>30</v>
      </c>
      <c r="E483" s="16"/>
      <c r="F483" s="17"/>
      <c r="G483" s="21"/>
      <c r="H483" s="21"/>
      <c r="I483" s="4">
        <v>30</v>
      </c>
      <c r="J483" s="4">
        <v>0.5</v>
      </c>
      <c r="K483" s="4"/>
      <c r="L483" s="16"/>
      <c r="M483" s="4"/>
      <c r="N483" s="4"/>
      <c r="O483" s="4"/>
      <c r="P483" s="4"/>
      <c r="Q483" s="4"/>
      <c r="R483" s="4"/>
      <c r="S483" s="4">
        <v>0</v>
      </c>
      <c r="T483" s="4">
        <v>0</v>
      </c>
      <c r="U483" s="4">
        <v>0.5</v>
      </c>
      <c r="V483" s="4">
        <v>11.5</v>
      </c>
      <c r="W483" s="4">
        <v>12</v>
      </c>
      <c r="X483" s="4">
        <v>0</v>
      </c>
      <c r="Y483" s="4"/>
      <c r="Z483" s="4">
        <v>332.34</v>
      </c>
      <c r="AA483" s="4">
        <v>300</v>
      </c>
      <c r="AB483" s="18"/>
      <c r="AC483" s="18">
        <v>8</v>
      </c>
      <c r="AD483" s="28"/>
      <c r="AE483" s="26"/>
      <c r="AF483" s="28"/>
    </row>
    <row r="484" spans="1:32" ht="12.6" customHeight="1" x14ac:dyDescent="0.25">
      <c r="A484" s="14">
        <v>45709</v>
      </c>
      <c r="B484" s="14" t="s">
        <v>46</v>
      </c>
      <c r="C484" s="15">
        <v>3</v>
      </c>
      <c r="D484" s="16"/>
      <c r="E484" s="16"/>
      <c r="F484" s="17"/>
      <c r="G484" s="21"/>
      <c r="H484" s="21"/>
      <c r="I484" s="4">
        <v>0</v>
      </c>
      <c r="J484" s="4">
        <v>0</v>
      </c>
      <c r="K484" s="4"/>
      <c r="L484" s="16"/>
      <c r="M484" s="4"/>
      <c r="N484" s="4"/>
      <c r="O484" s="4"/>
      <c r="P484" s="4"/>
      <c r="Q484" s="4"/>
      <c r="R484" s="4"/>
      <c r="S484" s="4">
        <v>0</v>
      </c>
      <c r="T484" s="4">
        <v>0</v>
      </c>
      <c r="U484" s="4">
        <v>0</v>
      </c>
      <c r="V484" s="4">
        <v>12</v>
      </c>
      <c r="W484" s="4">
        <v>12</v>
      </c>
      <c r="X484" s="4">
        <v>0</v>
      </c>
      <c r="Y484" s="4"/>
      <c r="Z484" s="4">
        <v>339.32999999999993</v>
      </c>
      <c r="AA484" s="4">
        <v>300</v>
      </c>
      <c r="AB484" s="18"/>
      <c r="AC484" s="18">
        <v>8</v>
      </c>
      <c r="AD484" s="28"/>
      <c r="AE484" s="26"/>
      <c r="AF484" s="28"/>
    </row>
    <row r="485" spans="1:32" ht="12.6" customHeight="1" x14ac:dyDescent="0.25">
      <c r="A485" s="14">
        <v>45709</v>
      </c>
      <c r="B485" s="14" t="s">
        <v>45</v>
      </c>
      <c r="C485" s="15">
        <v>4</v>
      </c>
      <c r="D485" s="16">
        <v>20</v>
      </c>
      <c r="E485" s="16"/>
      <c r="F485" s="17"/>
      <c r="G485" s="21"/>
      <c r="H485" s="21"/>
      <c r="I485" s="4">
        <v>20</v>
      </c>
      <c r="J485" s="4">
        <v>0.33333333333333331</v>
      </c>
      <c r="K485" s="4"/>
      <c r="L485" s="16"/>
      <c r="M485" s="4"/>
      <c r="N485" s="4"/>
      <c r="O485" s="4"/>
      <c r="P485" s="4"/>
      <c r="Q485" s="4">
        <v>30</v>
      </c>
      <c r="R485" s="4"/>
      <c r="S485" s="4">
        <v>30</v>
      </c>
      <c r="T485" s="4">
        <v>0.5</v>
      </c>
      <c r="U485" s="4">
        <v>0.83333333333333326</v>
      </c>
      <c r="V485" s="4">
        <v>11.166666666666666</v>
      </c>
      <c r="W485" s="4">
        <v>12</v>
      </c>
      <c r="X485" s="4">
        <v>0</v>
      </c>
      <c r="Y485" s="4"/>
      <c r="Z485" s="4">
        <v>816.08999999999992</v>
      </c>
      <c r="AA485" s="4">
        <v>800</v>
      </c>
      <c r="AB485" s="18"/>
      <c r="AC485" s="18">
        <v>8</v>
      </c>
      <c r="AD485" s="28"/>
      <c r="AE485" s="26"/>
      <c r="AF485" s="28"/>
    </row>
    <row r="486" spans="1:32" ht="12.6" customHeight="1" x14ac:dyDescent="0.25">
      <c r="A486" s="14">
        <v>45709</v>
      </c>
      <c r="B486" s="14" t="s">
        <v>46</v>
      </c>
      <c r="C486" s="15">
        <v>4</v>
      </c>
      <c r="D486" s="16">
        <v>20</v>
      </c>
      <c r="E486" s="16"/>
      <c r="F486" s="17"/>
      <c r="G486" s="21"/>
      <c r="H486" s="21"/>
      <c r="I486" s="4">
        <v>20</v>
      </c>
      <c r="J486" s="4">
        <v>0.33333333333333331</v>
      </c>
      <c r="K486" s="4"/>
      <c r="L486" s="16"/>
      <c r="M486" s="4"/>
      <c r="N486" s="4"/>
      <c r="O486" s="4"/>
      <c r="P486" s="4"/>
      <c r="Q486" s="4"/>
      <c r="R486" s="4"/>
      <c r="S486" s="4">
        <v>0</v>
      </c>
      <c r="T486" s="4">
        <v>0</v>
      </c>
      <c r="U486" s="4">
        <v>0.33333333333333331</v>
      </c>
      <c r="V486" s="4">
        <v>11.666666666666666</v>
      </c>
      <c r="W486" s="4">
        <v>12</v>
      </c>
      <c r="X486" s="4">
        <v>0</v>
      </c>
      <c r="Y486" s="4"/>
      <c r="Z486" s="4">
        <v>779.32999999999993</v>
      </c>
      <c r="AA486" s="4">
        <v>800</v>
      </c>
      <c r="AB486" s="18"/>
      <c r="AC486" s="18">
        <v>8</v>
      </c>
      <c r="AD486" s="28"/>
      <c r="AE486" s="26"/>
      <c r="AF486" s="28"/>
    </row>
    <row r="487" spans="1:32" ht="12.6" customHeight="1" x14ac:dyDescent="0.25">
      <c r="A487" s="14">
        <v>45709</v>
      </c>
      <c r="B487" s="14" t="s">
        <v>45</v>
      </c>
      <c r="C487" s="15">
        <v>5</v>
      </c>
      <c r="D487" s="16">
        <v>20</v>
      </c>
      <c r="E487" s="16"/>
      <c r="F487" s="17"/>
      <c r="G487" s="21"/>
      <c r="H487" s="21"/>
      <c r="I487" s="4">
        <v>20</v>
      </c>
      <c r="J487" s="4">
        <v>0.33333333333333331</v>
      </c>
      <c r="K487" s="4"/>
      <c r="L487" s="16"/>
      <c r="M487" s="4"/>
      <c r="N487" s="4"/>
      <c r="O487" s="4"/>
      <c r="P487" s="4"/>
      <c r="Q487" s="4">
        <v>30</v>
      </c>
      <c r="R487" s="4"/>
      <c r="S487" s="4">
        <v>30</v>
      </c>
      <c r="T487" s="4">
        <v>0.5</v>
      </c>
      <c r="U487" s="4">
        <v>0.83333333333333326</v>
      </c>
      <c r="V487" s="4">
        <v>11.166666666666666</v>
      </c>
      <c r="W487" s="4">
        <v>12</v>
      </c>
      <c r="X487" s="4">
        <v>0</v>
      </c>
      <c r="Y487" s="4"/>
      <c r="Z487" s="4">
        <v>612.54999999999995</v>
      </c>
      <c r="AA487" s="4">
        <v>600</v>
      </c>
      <c r="AB487" s="18"/>
      <c r="AC487" s="18">
        <v>8</v>
      </c>
      <c r="AD487" s="28"/>
      <c r="AE487" s="26"/>
      <c r="AF487" s="28"/>
    </row>
    <row r="488" spans="1:32" ht="12.6" customHeight="1" x14ac:dyDescent="0.25">
      <c r="A488" s="14">
        <v>45709</v>
      </c>
      <c r="B488" s="14" t="s">
        <v>46</v>
      </c>
      <c r="C488" s="15">
        <v>5</v>
      </c>
      <c r="D488" s="16">
        <v>20</v>
      </c>
      <c r="E488" s="16"/>
      <c r="F488" s="17"/>
      <c r="G488" s="21"/>
      <c r="H488" s="21"/>
      <c r="I488" s="4">
        <v>20</v>
      </c>
      <c r="J488" s="4">
        <v>0.33333333333333331</v>
      </c>
      <c r="K488" s="4"/>
      <c r="L488" s="16"/>
      <c r="M488" s="4"/>
      <c r="N488" s="4"/>
      <c r="O488" s="4"/>
      <c r="P488" s="4"/>
      <c r="Q488" s="4"/>
      <c r="R488" s="4"/>
      <c r="S488" s="4">
        <v>0</v>
      </c>
      <c r="T488" s="4">
        <v>0</v>
      </c>
      <c r="U488" s="4">
        <v>0.33333333333333331</v>
      </c>
      <c r="V488" s="4">
        <v>11.666666666666666</v>
      </c>
      <c r="W488" s="4">
        <v>12</v>
      </c>
      <c r="X488" s="4">
        <v>0</v>
      </c>
      <c r="Y488" s="4"/>
      <c r="Z488" s="4">
        <v>585.36</v>
      </c>
      <c r="AA488" s="4">
        <v>600</v>
      </c>
      <c r="AB488" s="18"/>
      <c r="AC488" s="18">
        <v>8</v>
      </c>
      <c r="AD488" s="28"/>
      <c r="AE488" s="26"/>
      <c r="AF488" s="28"/>
    </row>
    <row r="489" spans="1:32" ht="12.6" customHeight="1" x14ac:dyDescent="0.25">
      <c r="A489" s="14">
        <v>45710</v>
      </c>
      <c r="B489" s="14" t="s">
        <v>45</v>
      </c>
      <c r="C489" s="15">
        <v>1</v>
      </c>
      <c r="D489" s="16"/>
      <c r="E489" s="16"/>
      <c r="F489" s="17"/>
      <c r="G489" s="21"/>
      <c r="H489" s="21"/>
      <c r="I489" s="4">
        <v>0</v>
      </c>
      <c r="J489" s="4">
        <v>0</v>
      </c>
      <c r="K489" s="4"/>
      <c r="L489" s="16"/>
      <c r="M489" s="4"/>
      <c r="N489" s="4"/>
      <c r="O489" s="4"/>
      <c r="P489" s="4"/>
      <c r="Q489" s="4"/>
      <c r="R489" s="4"/>
      <c r="S489" s="4">
        <v>0</v>
      </c>
      <c r="T489" s="4">
        <v>0</v>
      </c>
      <c r="U489" s="4">
        <v>0</v>
      </c>
      <c r="V489" s="4">
        <v>12</v>
      </c>
      <c r="W489" s="4">
        <v>12</v>
      </c>
      <c r="X489" s="4">
        <v>25</v>
      </c>
      <c r="Y489" s="4">
        <v>2026</v>
      </c>
      <c r="Z489" s="4">
        <v>114.87</v>
      </c>
      <c r="AA489" s="4">
        <v>100</v>
      </c>
      <c r="AB489" s="18">
        <v>398</v>
      </c>
      <c r="AC489" s="18">
        <v>8</v>
      </c>
      <c r="AD489" s="28"/>
      <c r="AE489" s="26"/>
      <c r="AF489" s="28"/>
    </row>
    <row r="490" spans="1:32" ht="12.6" customHeight="1" x14ac:dyDescent="0.25">
      <c r="A490" s="14">
        <v>45710</v>
      </c>
      <c r="B490" s="14" t="s">
        <v>46</v>
      </c>
      <c r="C490" s="15">
        <v>1</v>
      </c>
      <c r="D490" s="16"/>
      <c r="E490" s="16"/>
      <c r="F490" s="17"/>
      <c r="G490" s="21"/>
      <c r="H490" s="21"/>
      <c r="I490" s="4">
        <v>0</v>
      </c>
      <c r="J490" s="4">
        <v>0</v>
      </c>
      <c r="K490" s="4"/>
      <c r="L490" s="16"/>
      <c r="M490" s="4"/>
      <c r="N490" s="4"/>
      <c r="O490" s="4"/>
      <c r="P490" s="4"/>
      <c r="Q490" s="4"/>
      <c r="R490" s="4"/>
      <c r="S490" s="4">
        <v>0</v>
      </c>
      <c r="T490" s="4">
        <v>0</v>
      </c>
      <c r="U490" s="4">
        <v>0</v>
      </c>
      <c r="V490" s="4">
        <v>12</v>
      </c>
      <c r="W490" s="4">
        <v>12</v>
      </c>
      <c r="X490" s="4">
        <v>25</v>
      </c>
      <c r="Y490" s="4"/>
      <c r="Z490" s="4">
        <v>131.09000000000003</v>
      </c>
      <c r="AA490" s="4">
        <v>100</v>
      </c>
      <c r="AB490" s="18"/>
      <c r="AC490" s="18">
        <v>8</v>
      </c>
      <c r="AD490" s="28"/>
      <c r="AE490" s="26"/>
      <c r="AF490" s="28"/>
    </row>
    <row r="491" spans="1:32" ht="12.6" customHeight="1" x14ac:dyDescent="0.25">
      <c r="A491" s="14">
        <v>45710</v>
      </c>
      <c r="B491" s="14" t="s">
        <v>45</v>
      </c>
      <c r="C491" s="15">
        <v>2</v>
      </c>
      <c r="D491" s="16"/>
      <c r="E491" s="16"/>
      <c r="F491" s="17"/>
      <c r="G491" s="21"/>
      <c r="H491" s="21"/>
      <c r="I491" s="4">
        <v>0</v>
      </c>
      <c r="J491" s="4">
        <v>0</v>
      </c>
      <c r="K491" s="4"/>
      <c r="L491" s="16"/>
      <c r="M491" s="4"/>
      <c r="N491" s="4"/>
      <c r="O491" s="4"/>
      <c r="P491" s="4"/>
      <c r="Q491" s="4"/>
      <c r="R491" s="4"/>
      <c r="S491" s="4">
        <v>0</v>
      </c>
      <c r="T491" s="4">
        <v>0</v>
      </c>
      <c r="U491" s="4">
        <v>0</v>
      </c>
      <c r="V491" s="4">
        <v>12</v>
      </c>
      <c r="W491" s="4">
        <v>12</v>
      </c>
      <c r="X491" s="4">
        <v>0</v>
      </c>
      <c r="Y491" s="4"/>
      <c r="Z491" s="4">
        <v>142.16000000000003</v>
      </c>
      <c r="AA491" s="4">
        <v>150</v>
      </c>
      <c r="AB491" s="18"/>
      <c r="AC491" s="18">
        <v>8</v>
      </c>
      <c r="AD491" s="28"/>
      <c r="AE491" s="26"/>
      <c r="AF491" s="28"/>
    </row>
    <row r="492" spans="1:32" ht="12.6" customHeight="1" x14ac:dyDescent="0.25">
      <c r="A492" s="14">
        <v>45710</v>
      </c>
      <c r="B492" s="14" t="s">
        <v>46</v>
      </c>
      <c r="C492" s="15">
        <v>2</v>
      </c>
      <c r="D492" s="16"/>
      <c r="E492" s="16"/>
      <c r="F492" s="17"/>
      <c r="G492" s="21"/>
      <c r="H492" s="21"/>
      <c r="I492" s="4">
        <v>0</v>
      </c>
      <c r="J492" s="4">
        <v>0</v>
      </c>
      <c r="K492" s="4"/>
      <c r="L492" s="16"/>
      <c r="M492" s="4"/>
      <c r="N492" s="4"/>
      <c r="O492" s="4"/>
      <c r="P492" s="4"/>
      <c r="Q492" s="4"/>
      <c r="R492" s="4"/>
      <c r="S492" s="4">
        <v>0</v>
      </c>
      <c r="T492" s="4">
        <v>0</v>
      </c>
      <c r="U492" s="4">
        <v>0</v>
      </c>
      <c r="V492" s="4">
        <v>12</v>
      </c>
      <c r="W492" s="4">
        <v>12</v>
      </c>
      <c r="X492" s="4">
        <v>0</v>
      </c>
      <c r="Y492" s="4"/>
      <c r="Z492" s="4">
        <v>132.41</v>
      </c>
      <c r="AA492" s="4">
        <v>150</v>
      </c>
      <c r="AB492" s="18"/>
      <c r="AC492" s="18">
        <v>8</v>
      </c>
      <c r="AD492" s="28"/>
      <c r="AE492" s="26"/>
      <c r="AF492" s="28"/>
    </row>
    <row r="493" spans="1:32" ht="12.6" customHeight="1" x14ac:dyDescent="0.25">
      <c r="A493" s="14">
        <v>45710</v>
      </c>
      <c r="B493" s="14" t="s">
        <v>45</v>
      </c>
      <c r="C493" s="15">
        <v>3</v>
      </c>
      <c r="D493" s="16"/>
      <c r="E493" s="16"/>
      <c r="F493" s="17"/>
      <c r="G493" s="21"/>
      <c r="H493" s="21"/>
      <c r="I493" s="4">
        <v>0</v>
      </c>
      <c r="J493" s="4">
        <v>0</v>
      </c>
      <c r="K493" s="4"/>
      <c r="L493" s="16"/>
      <c r="M493" s="4"/>
      <c r="N493" s="4"/>
      <c r="O493" s="4"/>
      <c r="P493" s="4"/>
      <c r="Q493" s="4"/>
      <c r="R493" s="4"/>
      <c r="S493" s="4">
        <v>0</v>
      </c>
      <c r="T493" s="4">
        <v>0</v>
      </c>
      <c r="U493" s="4">
        <v>0</v>
      </c>
      <c r="V493" s="4">
        <v>12</v>
      </c>
      <c r="W493" s="4">
        <v>12</v>
      </c>
      <c r="X493" s="4">
        <v>0</v>
      </c>
      <c r="Y493" s="4"/>
      <c r="Z493" s="4">
        <v>340.59000000000003</v>
      </c>
      <c r="AA493" s="4">
        <v>350</v>
      </c>
      <c r="AB493" s="18"/>
      <c r="AC493" s="18">
        <v>8</v>
      </c>
      <c r="AD493" s="28"/>
      <c r="AE493" s="26"/>
      <c r="AF493" s="28"/>
    </row>
    <row r="494" spans="1:32" ht="12.6" customHeight="1" x14ac:dyDescent="0.25">
      <c r="A494" s="14">
        <v>45710</v>
      </c>
      <c r="B494" s="14" t="s">
        <v>46</v>
      </c>
      <c r="C494" s="15">
        <v>3</v>
      </c>
      <c r="D494" s="16"/>
      <c r="E494" s="16"/>
      <c r="F494" s="17"/>
      <c r="G494" s="21"/>
      <c r="H494" s="21"/>
      <c r="I494" s="4">
        <v>0</v>
      </c>
      <c r="J494" s="4">
        <v>0</v>
      </c>
      <c r="K494" s="4"/>
      <c r="L494" s="16"/>
      <c r="M494" s="4"/>
      <c r="N494" s="4"/>
      <c r="O494" s="4"/>
      <c r="P494" s="4"/>
      <c r="Q494" s="4"/>
      <c r="R494" s="4"/>
      <c r="S494" s="4">
        <v>0</v>
      </c>
      <c r="T494" s="4">
        <v>0</v>
      </c>
      <c r="U494" s="4">
        <v>0</v>
      </c>
      <c r="V494" s="4">
        <v>12</v>
      </c>
      <c r="W494" s="4">
        <v>12</v>
      </c>
      <c r="X494" s="4">
        <v>0</v>
      </c>
      <c r="Y494" s="4"/>
      <c r="Z494" s="4">
        <v>321.67</v>
      </c>
      <c r="AA494" s="4">
        <v>350</v>
      </c>
      <c r="AB494" s="18"/>
      <c r="AC494" s="18">
        <v>8</v>
      </c>
      <c r="AD494" s="28"/>
      <c r="AE494" s="26"/>
      <c r="AF494" s="28"/>
    </row>
    <row r="495" spans="1:32" ht="12.6" customHeight="1" x14ac:dyDescent="0.25">
      <c r="A495" s="14">
        <v>45710</v>
      </c>
      <c r="B495" s="14" t="s">
        <v>45</v>
      </c>
      <c r="C495" s="15">
        <v>4</v>
      </c>
      <c r="D495" s="16"/>
      <c r="E495" s="16"/>
      <c r="F495" s="17"/>
      <c r="G495" s="21"/>
      <c r="H495" s="21"/>
      <c r="I495" s="4">
        <v>0</v>
      </c>
      <c r="J495" s="4">
        <v>0</v>
      </c>
      <c r="K495" s="4"/>
      <c r="L495" s="16"/>
      <c r="M495" s="4"/>
      <c r="N495" s="4"/>
      <c r="O495" s="4"/>
      <c r="P495" s="4"/>
      <c r="Q495" s="4"/>
      <c r="R495" s="4"/>
      <c r="S495" s="4">
        <v>0</v>
      </c>
      <c r="T495" s="4">
        <v>0</v>
      </c>
      <c r="U495" s="4">
        <v>0</v>
      </c>
      <c r="V495" s="4">
        <v>12</v>
      </c>
      <c r="W495" s="4">
        <v>12</v>
      </c>
      <c r="X495" s="4">
        <v>0</v>
      </c>
      <c r="Y495" s="4"/>
      <c r="Z495" s="4">
        <v>776.63000000000011</v>
      </c>
      <c r="AA495" s="4">
        <v>800</v>
      </c>
      <c r="AB495" s="18"/>
      <c r="AC495" s="18">
        <v>8</v>
      </c>
      <c r="AD495" s="28"/>
      <c r="AE495" s="26"/>
      <c r="AF495" s="28"/>
    </row>
    <row r="496" spans="1:32" ht="12.6" customHeight="1" x14ac:dyDescent="0.25">
      <c r="A496" s="14">
        <v>45710</v>
      </c>
      <c r="B496" s="14" t="s">
        <v>46</v>
      </c>
      <c r="C496" s="15">
        <v>4</v>
      </c>
      <c r="D496" s="16">
        <v>20</v>
      </c>
      <c r="E496" s="16"/>
      <c r="F496" s="17"/>
      <c r="G496" s="21"/>
      <c r="H496" s="21"/>
      <c r="I496" s="4">
        <v>20</v>
      </c>
      <c r="J496" s="4">
        <v>0.33333333333333331</v>
      </c>
      <c r="K496" s="4"/>
      <c r="L496" s="16"/>
      <c r="M496" s="4"/>
      <c r="N496" s="4"/>
      <c r="O496" s="4"/>
      <c r="P496" s="4"/>
      <c r="Q496" s="4"/>
      <c r="R496" s="4"/>
      <c r="S496" s="4">
        <v>0</v>
      </c>
      <c r="T496" s="4">
        <v>0</v>
      </c>
      <c r="U496" s="4">
        <v>0.33333333333333331</v>
      </c>
      <c r="V496" s="4">
        <v>11.666666666666666</v>
      </c>
      <c r="W496" s="4">
        <v>12</v>
      </c>
      <c r="X496" s="4">
        <v>0</v>
      </c>
      <c r="Y496" s="4"/>
      <c r="Z496" s="4">
        <v>822.87</v>
      </c>
      <c r="AA496" s="4">
        <v>850</v>
      </c>
      <c r="AB496" s="18"/>
      <c r="AC496" s="18">
        <v>8</v>
      </c>
      <c r="AD496" s="28"/>
      <c r="AE496" s="26"/>
      <c r="AF496" s="28"/>
    </row>
    <row r="497" spans="1:32" ht="12.6" customHeight="1" x14ac:dyDescent="0.25">
      <c r="A497" s="14">
        <v>45710</v>
      </c>
      <c r="B497" s="14" t="s">
        <v>45</v>
      </c>
      <c r="C497" s="15">
        <v>5</v>
      </c>
      <c r="D497" s="16"/>
      <c r="E497" s="16"/>
      <c r="F497" s="17"/>
      <c r="G497" s="21"/>
      <c r="H497" s="21"/>
      <c r="I497" s="4">
        <v>0</v>
      </c>
      <c r="J497" s="4">
        <v>0</v>
      </c>
      <c r="K497" s="4"/>
      <c r="L497" s="16"/>
      <c r="M497" s="4"/>
      <c r="N497" s="4"/>
      <c r="O497" s="4"/>
      <c r="P497" s="4"/>
      <c r="Q497" s="4"/>
      <c r="R497" s="4"/>
      <c r="S497" s="4">
        <v>0</v>
      </c>
      <c r="T497" s="4">
        <v>0</v>
      </c>
      <c r="U497" s="4">
        <v>0</v>
      </c>
      <c r="V497" s="4">
        <v>12</v>
      </c>
      <c r="W497" s="4">
        <v>12</v>
      </c>
      <c r="X497" s="4">
        <v>0</v>
      </c>
      <c r="Y497" s="4"/>
      <c r="Z497" s="4">
        <v>545.01499999999987</v>
      </c>
      <c r="AA497" s="4">
        <v>550</v>
      </c>
      <c r="AB497" s="18"/>
      <c r="AC497" s="18">
        <v>8</v>
      </c>
      <c r="AD497" s="28"/>
      <c r="AE497" s="26"/>
      <c r="AF497" s="28"/>
    </row>
    <row r="498" spans="1:32" ht="12.6" customHeight="1" x14ac:dyDescent="0.25">
      <c r="A498" s="14">
        <v>45710</v>
      </c>
      <c r="B498" s="14" t="s">
        <v>46</v>
      </c>
      <c r="C498" s="15">
        <v>5</v>
      </c>
      <c r="D498" s="16">
        <v>20</v>
      </c>
      <c r="E498" s="16"/>
      <c r="F498" s="17"/>
      <c r="G498" s="21"/>
      <c r="H498" s="21"/>
      <c r="I498" s="4">
        <v>20</v>
      </c>
      <c r="J498" s="4">
        <v>0.33333333333333331</v>
      </c>
      <c r="K498" s="4"/>
      <c r="L498" s="16"/>
      <c r="M498" s="4"/>
      <c r="N498" s="4"/>
      <c r="O498" s="4"/>
      <c r="P498" s="4"/>
      <c r="Q498" s="4"/>
      <c r="R498" s="4"/>
      <c r="S498" s="4">
        <v>0</v>
      </c>
      <c r="T498" s="4">
        <v>0</v>
      </c>
      <c r="U498" s="4">
        <v>0.33333333333333331</v>
      </c>
      <c r="V498" s="4">
        <v>11.666666666666666</v>
      </c>
      <c r="W498" s="4">
        <v>12</v>
      </c>
      <c r="X498" s="4">
        <v>0</v>
      </c>
      <c r="Y498" s="4"/>
      <c r="Z498" s="4">
        <v>565.5</v>
      </c>
      <c r="AA498" s="4">
        <v>600</v>
      </c>
      <c r="AB498" s="18"/>
      <c r="AC498" s="18">
        <v>8</v>
      </c>
      <c r="AD498" s="28"/>
      <c r="AE498" s="26"/>
      <c r="AF498" s="28"/>
    </row>
    <row r="499" spans="1:32" ht="12.6" customHeight="1" x14ac:dyDescent="0.25">
      <c r="A499" s="14">
        <v>45711</v>
      </c>
      <c r="B499" s="14" t="s">
        <v>45</v>
      </c>
      <c r="C499" s="15">
        <v>1</v>
      </c>
      <c r="D499" s="16"/>
      <c r="E499" s="16"/>
      <c r="F499" s="17"/>
      <c r="G499" s="21"/>
      <c r="H499" s="21"/>
      <c r="I499" s="4">
        <v>0</v>
      </c>
      <c r="J499" s="4">
        <v>0</v>
      </c>
      <c r="K499" s="4"/>
      <c r="L499" s="16"/>
      <c r="M499" s="4"/>
      <c r="N499" s="4"/>
      <c r="O499" s="4"/>
      <c r="P499" s="4"/>
      <c r="Q499" s="4"/>
      <c r="R499" s="4"/>
      <c r="S499" s="4">
        <v>0</v>
      </c>
      <c r="T499" s="4">
        <v>0</v>
      </c>
      <c r="U499" s="4">
        <v>0</v>
      </c>
      <c r="V499" s="4">
        <v>12</v>
      </c>
      <c r="W499" s="4">
        <v>12</v>
      </c>
      <c r="X499" s="4">
        <v>40</v>
      </c>
      <c r="Y499" s="4">
        <v>2007</v>
      </c>
      <c r="Z499" s="4">
        <v>115.77999999999999</v>
      </c>
      <c r="AA499" s="4">
        <v>100</v>
      </c>
      <c r="AB499" s="18">
        <v>398</v>
      </c>
      <c r="AC499" s="18">
        <v>8</v>
      </c>
      <c r="AD499" s="28"/>
      <c r="AE499" s="26"/>
      <c r="AF499" s="28"/>
    </row>
    <row r="500" spans="1:32" ht="12.6" customHeight="1" x14ac:dyDescent="0.25">
      <c r="A500" s="14">
        <v>45711</v>
      </c>
      <c r="B500" s="14" t="s">
        <v>46</v>
      </c>
      <c r="C500" s="15">
        <v>1</v>
      </c>
      <c r="D500" s="16"/>
      <c r="E500" s="16"/>
      <c r="F500" s="17"/>
      <c r="G500" s="21"/>
      <c r="H500" s="21"/>
      <c r="I500" s="4">
        <v>0</v>
      </c>
      <c r="J500" s="4">
        <v>0</v>
      </c>
      <c r="K500" s="4"/>
      <c r="L500" s="16"/>
      <c r="M500" s="4"/>
      <c r="N500" s="4"/>
      <c r="O500" s="4"/>
      <c r="P500" s="4"/>
      <c r="Q500" s="4"/>
      <c r="R500" s="4"/>
      <c r="S500" s="4">
        <v>0</v>
      </c>
      <c r="T500" s="4">
        <v>0</v>
      </c>
      <c r="U500" s="4">
        <v>0</v>
      </c>
      <c r="V500" s="4">
        <v>12</v>
      </c>
      <c r="W500" s="4">
        <v>12</v>
      </c>
      <c r="X500" s="4">
        <v>40</v>
      </c>
      <c r="Y500" s="4"/>
      <c r="Z500" s="4">
        <v>114.32000000000001</v>
      </c>
      <c r="AA500" s="4">
        <v>100</v>
      </c>
      <c r="AB500" s="18"/>
      <c r="AC500" s="18">
        <v>8</v>
      </c>
      <c r="AD500" s="28"/>
      <c r="AE500" s="26"/>
      <c r="AF500" s="28"/>
    </row>
    <row r="501" spans="1:32" ht="12.6" customHeight="1" x14ac:dyDescent="0.25">
      <c r="A501" s="14">
        <v>45711</v>
      </c>
      <c r="B501" s="14" t="s">
        <v>45</v>
      </c>
      <c r="C501" s="15">
        <v>2</v>
      </c>
      <c r="D501" s="16"/>
      <c r="E501" s="16"/>
      <c r="F501" s="17"/>
      <c r="G501" s="21"/>
      <c r="H501" s="21"/>
      <c r="I501" s="4">
        <v>0</v>
      </c>
      <c r="J501" s="4">
        <v>0</v>
      </c>
      <c r="K501" s="4"/>
      <c r="L501" s="16"/>
      <c r="M501" s="4"/>
      <c r="N501" s="4"/>
      <c r="O501" s="4"/>
      <c r="P501" s="4"/>
      <c r="Q501" s="4"/>
      <c r="R501" s="4"/>
      <c r="S501" s="4">
        <v>0</v>
      </c>
      <c r="T501" s="4">
        <v>0</v>
      </c>
      <c r="U501" s="4">
        <v>0</v>
      </c>
      <c r="V501" s="4">
        <v>12</v>
      </c>
      <c r="W501" s="4">
        <v>12</v>
      </c>
      <c r="X501" s="4">
        <v>0</v>
      </c>
      <c r="Y501" s="4"/>
      <c r="Z501" s="4">
        <v>137.10000000000002</v>
      </c>
      <c r="AA501" s="4">
        <v>100</v>
      </c>
      <c r="AB501" s="18"/>
      <c r="AC501" s="18">
        <v>8</v>
      </c>
      <c r="AD501" s="28"/>
      <c r="AE501" s="26"/>
      <c r="AF501" s="28"/>
    </row>
    <row r="502" spans="1:32" ht="12.6" customHeight="1" x14ac:dyDescent="0.25">
      <c r="A502" s="14">
        <v>45711</v>
      </c>
      <c r="B502" s="14" t="s">
        <v>46</v>
      </c>
      <c r="C502" s="15">
        <v>2</v>
      </c>
      <c r="D502" s="16"/>
      <c r="E502" s="16"/>
      <c r="F502" s="17"/>
      <c r="G502" s="21"/>
      <c r="H502" s="21"/>
      <c r="I502" s="4">
        <v>0</v>
      </c>
      <c r="J502" s="4">
        <v>0</v>
      </c>
      <c r="K502" s="4"/>
      <c r="L502" s="16"/>
      <c r="M502" s="4"/>
      <c r="N502" s="4"/>
      <c r="O502" s="4"/>
      <c r="P502" s="4"/>
      <c r="Q502" s="4"/>
      <c r="R502" s="4"/>
      <c r="S502" s="4">
        <v>0</v>
      </c>
      <c r="T502" s="4">
        <v>0</v>
      </c>
      <c r="U502" s="4">
        <v>0</v>
      </c>
      <c r="V502" s="4">
        <v>12</v>
      </c>
      <c r="W502" s="4">
        <v>12</v>
      </c>
      <c r="X502" s="4">
        <v>0</v>
      </c>
      <c r="Y502" s="4"/>
      <c r="Z502" s="4">
        <v>144.32</v>
      </c>
      <c r="AA502" s="4">
        <v>100</v>
      </c>
      <c r="AB502" s="18"/>
      <c r="AC502" s="18">
        <v>8</v>
      </c>
      <c r="AD502" s="28"/>
      <c r="AE502" s="26"/>
      <c r="AF502" s="28"/>
    </row>
    <row r="503" spans="1:32" ht="12.6" customHeight="1" x14ac:dyDescent="0.25">
      <c r="A503" s="14">
        <v>45711</v>
      </c>
      <c r="B503" s="14" t="s">
        <v>45</v>
      </c>
      <c r="C503" s="15">
        <v>3</v>
      </c>
      <c r="D503" s="16"/>
      <c r="E503" s="16"/>
      <c r="F503" s="17"/>
      <c r="G503" s="21"/>
      <c r="H503" s="21"/>
      <c r="I503" s="4">
        <v>0</v>
      </c>
      <c r="J503" s="4">
        <v>0</v>
      </c>
      <c r="K503" s="4"/>
      <c r="L503" s="16"/>
      <c r="M503" s="4"/>
      <c r="N503" s="4"/>
      <c r="O503" s="4"/>
      <c r="P503" s="4"/>
      <c r="Q503" s="4"/>
      <c r="R503" s="4"/>
      <c r="S503" s="4">
        <v>0</v>
      </c>
      <c r="T503" s="4">
        <v>0</v>
      </c>
      <c r="U503" s="4">
        <v>0</v>
      </c>
      <c r="V503" s="4">
        <v>12</v>
      </c>
      <c r="W503" s="4">
        <v>12</v>
      </c>
      <c r="X503" s="4">
        <v>0</v>
      </c>
      <c r="Y503" s="4"/>
      <c r="Z503" s="4">
        <v>379.47000000000008</v>
      </c>
      <c r="AA503" s="4">
        <v>400</v>
      </c>
      <c r="AB503" s="18"/>
      <c r="AC503" s="18">
        <v>8</v>
      </c>
      <c r="AD503" s="28"/>
      <c r="AE503" s="26"/>
      <c r="AF503" s="28"/>
    </row>
    <row r="504" spans="1:32" ht="12.6" customHeight="1" x14ac:dyDescent="0.25">
      <c r="A504" s="14">
        <v>45711</v>
      </c>
      <c r="B504" s="14" t="s">
        <v>46</v>
      </c>
      <c r="C504" s="15">
        <v>3</v>
      </c>
      <c r="D504" s="16"/>
      <c r="E504" s="16"/>
      <c r="F504" s="17"/>
      <c r="G504" s="21"/>
      <c r="H504" s="21"/>
      <c r="I504" s="4">
        <v>0</v>
      </c>
      <c r="J504" s="4">
        <v>0</v>
      </c>
      <c r="K504" s="4"/>
      <c r="L504" s="16"/>
      <c r="M504" s="4"/>
      <c r="N504" s="4"/>
      <c r="O504" s="4"/>
      <c r="P504" s="4"/>
      <c r="Q504" s="4"/>
      <c r="R504" s="4"/>
      <c r="S504" s="4">
        <v>0</v>
      </c>
      <c r="T504" s="4">
        <v>0</v>
      </c>
      <c r="U504" s="4">
        <v>0</v>
      </c>
      <c r="V504" s="4">
        <v>12</v>
      </c>
      <c r="W504" s="4">
        <v>12</v>
      </c>
      <c r="X504" s="4">
        <v>0</v>
      </c>
      <c r="Y504" s="4"/>
      <c r="Z504" s="4">
        <v>365.32</v>
      </c>
      <c r="AA504" s="4">
        <v>400</v>
      </c>
      <c r="AB504" s="18"/>
      <c r="AC504" s="18">
        <v>8</v>
      </c>
      <c r="AD504" s="28"/>
      <c r="AE504" s="26"/>
      <c r="AF504" s="28"/>
    </row>
    <row r="505" spans="1:32" ht="12.6" customHeight="1" x14ac:dyDescent="0.25">
      <c r="A505" s="14">
        <v>45711</v>
      </c>
      <c r="B505" s="14" t="s">
        <v>45</v>
      </c>
      <c r="C505" s="15">
        <v>4</v>
      </c>
      <c r="D505" s="16"/>
      <c r="E505" s="16"/>
      <c r="F505" s="17"/>
      <c r="G505" s="21"/>
      <c r="H505" s="21"/>
      <c r="I505" s="4">
        <v>0</v>
      </c>
      <c r="J505" s="4">
        <v>0</v>
      </c>
      <c r="K505" s="4"/>
      <c r="L505" s="16"/>
      <c r="M505" s="4"/>
      <c r="N505" s="4"/>
      <c r="O505" s="4"/>
      <c r="P505" s="4"/>
      <c r="Q505" s="4"/>
      <c r="R505" s="4"/>
      <c r="S505" s="4">
        <v>0</v>
      </c>
      <c r="T505" s="4">
        <v>0</v>
      </c>
      <c r="U505" s="4">
        <v>0</v>
      </c>
      <c r="V505" s="4">
        <v>12</v>
      </c>
      <c r="W505" s="4">
        <v>12</v>
      </c>
      <c r="X505" s="4">
        <v>0</v>
      </c>
      <c r="Y505" s="4"/>
      <c r="Z505" s="4">
        <v>853.03</v>
      </c>
      <c r="AA505" s="4">
        <v>850</v>
      </c>
      <c r="AB505" s="18"/>
      <c r="AC505" s="18">
        <v>8</v>
      </c>
      <c r="AD505" s="28"/>
      <c r="AE505" s="26"/>
      <c r="AF505" s="28"/>
    </row>
    <row r="506" spans="1:32" ht="12.6" customHeight="1" x14ac:dyDescent="0.25">
      <c r="A506" s="14">
        <v>45711</v>
      </c>
      <c r="B506" s="14" t="s">
        <v>46</v>
      </c>
      <c r="C506" s="15">
        <v>4</v>
      </c>
      <c r="D506" s="16"/>
      <c r="E506" s="16"/>
      <c r="F506" s="17"/>
      <c r="G506" s="21"/>
      <c r="H506" s="21"/>
      <c r="I506" s="4">
        <v>0</v>
      </c>
      <c r="J506" s="4">
        <v>0</v>
      </c>
      <c r="K506" s="4"/>
      <c r="L506" s="16"/>
      <c r="M506" s="4"/>
      <c r="N506" s="4"/>
      <c r="O506" s="4"/>
      <c r="P506" s="4"/>
      <c r="Q506" s="4"/>
      <c r="R506" s="4"/>
      <c r="S506" s="4">
        <v>0</v>
      </c>
      <c r="T506" s="4">
        <v>0</v>
      </c>
      <c r="U506" s="4">
        <v>0</v>
      </c>
      <c r="V506" s="4">
        <v>12</v>
      </c>
      <c r="W506" s="4">
        <v>12</v>
      </c>
      <c r="X506" s="4">
        <v>0</v>
      </c>
      <c r="Y506" s="4"/>
      <c r="Z506" s="4">
        <v>865.49</v>
      </c>
      <c r="AA506" s="4">
        <v>850</v>
      </c>
      <c r="AB506" s="18"/>
      <c r="AC506" s="18">
        <v>8</v>
      </c>
      <c r="AD506" s="28"/>
      <c r="AE506" s="26"/>
      <c r="AF506" s="28"/>
    </row>
    <row r="507" spans="1:32" ht="12.6" customHeight="1" x14ac:dyDescent="0.25">
      <c r="A507" s="14">
        <v>45711</v>
      </c>
      <c r="B507" s="14" t="s">
        <v>45</v>
      </c>
      <c r="C507" s="15">
        <v>5</v>
      </c>
      <c r="D507" s="16"/>
      <c r="E507" s="16"/>
      <c r="F507" s="17"/>
      <c r="G507" s="21"/>
      <c r="H507" s="21"/>
      <c r="I507" s="4">
        <v>0</v>
      </c>
      <c r="J507" s="4">
        <v>0</v>
      </c>
      <c r="K507" s="4"/>
      <c r="L507" s="16"/>
      <c r="M507" s="4"/>
      <c r="N507" s="4"/>
      <c r="O507" s="4"/>
      <c r="P507" s="4"/>
      <c r="Q507" s="4"/>
      <c r="R507" s="4"/>
      <c r="S507" s="4">
        <v>0</v>
      </c>
      <c r="T507" s="4">
        <v>0</v>
      </c>
      <c r="U507" s="4">
        <v>0</v>
      </c>
      <c r="V507" s="4">
        <v>12</v>
      </c>
      <c r="W507" s="4">
        <v>12</v>
      </c>
      <c r="X507" s="4">
        <v>0</v>
      </c>
      <c r="Y507" s="4"/>
      <c r="Z507" s="4">
        <v>520.35</v>
      </c>
      <c r="AA507" s="4">
        <v>500</v>
      </c>
      <c r="AB507" s="18"/>
      <c r="AC507" s="18">
        <v>8</v>
      </c>
      <c r="AD507" s="28"/>
      <c r="AE507" s="26"/>
      <c r="AF507" s="28"/>
    </row>
    <row r="508" spans="1:32" ht="12.6" customHeight="1" x14ac:dyDescent="0.25">
      <c r="A508" s="14">
        <v>45711</v>
      </c>
      <c r="B508" s="14" t="s">
        <v>46</v>
      </c>
      <c r="C508" s="15">
        <v>5</v>
      </c>
      <c r="D508" s="16"/>
      <c r="E508" s="16"/>
      <c r="F508" s="17"/>
      <c r="G508" s="21"/>
      <c r="H508" s="21"/>
      <c r="I508" s="4">
        <v>0</v>
      </c>
      <c r="J508" s="4">
        <v>0</v>
      </c>
      <c r="K508" s="4"/>
      <c r="L508" s="16"/>
      <c r="M508" s="4"/>
      <c r="N508" s="4"/>
      <c r="O508" s="4"/>
      <c r="P508" s="4"/>
      <c r="Q508" s="4"/>
      <c r="R508" s="4"/>
      <c r="S508" s="4">
        <v>0</v>
      </c>
      <c r="T508" s="4">
        <v>0</v>
      </c>
      <c r="U508" s="4">
        <v>0</v>
      </c>
      <c r="V508" s="4">
        <v>12</v>
      </c>
      <c r="W508" s="4">
        <v>12</v>
      </c>
      <c r="X508" s="4">
        <v>0</v>
      </c>
      <c r="Y508" s="4"/>
      <c r="Z508" s="4">
        <v>587.33000000000004</v>
      </c>
      <c r="AA508" s="4">
        <v>600</v>
      </c>
      <c r="AB508" s="18"/>
      <c r="AC508" s="18">
        <v>8</v>
      </c>
      <c r="AD508" s="28"/>
      <c r="AE508" s="26"/>
      <c r="AF508" s="28"/>
    </row>
    <row r="509" spans="1:32" ht="12.6" customHeight="1" x14ac:dyDescent="0.25">
      <c r="A509" s="14">
        <v>45712</v>
      </c>
      <c r="B509" s="14" t="s">
        <v>45</v>
      </c>
      <c r="C509" s="15">
        <v>1</v>
      </c>
      <c r="D509" s="16"/>
      <c r="E509" s="16"/>
      <c r="F509" s="17"/>
      <c r="G509" s="21"/>
      <c r="H509" s="21"/>
      <c r="I509" s="4">
        <v>0</v>
      </c>
      <c r="J509" s="4">
        <v>0</v>
      </c>
      <c r="K509" s="4"/>
      <c r="L509" s="16"/>
      <c r="M509" s="4"/>
      <c r="N509" s="4"/>
      <c r="O509" s="4"/>
      <c r="P509" s="4"/>
      <c r="Q509" s="4"/>
      <c r="R509" s="4"/>
      <c r="S509" s="4">
        <v>0</v>
      </c>
      <c r="T509" s="4">
        <v>0</v>
      </c>
      <c r="U509" s="4">
        <v>0</v>
      </c>
      <c r="V509" s="4">
        <v>12</v>
      </c>
      <c r="W509" s="4">
        <v>12</v>
      </c>
      <c r="X509" s="4">
        <v>21</v>
      </c>
      <c r="Y509" s="4">
        <v>2010</v>
      </c>
      <c r="Z509" s="4">
        <v>152.17999999999998</v>
      </c>
      <c r="AA509" s="4">
        <v>150</v>
      </c>
      <c r="AB509" s="18">
        <v>398</v>
      </c>
      <c r="AC509" s="18">
        <v>9</v>
      </c>
      <c r="AD509" s="28"/>
      <c r="AE509" s="26"/>
      <c r="AF509" s="28"/>
    </row>
    <row r="510" spans="1:32" ht="12.6" customHeight="1" x14ac:dyDescent="0.25">
      <c r="A510" s="14">
        <v>45712</v>
      </c>
      <c r="B510" s="14" t="s">
        <v>46</v>
      </c>
      <c r="C510" s="15">
        <v>1</v>
      </c>
      <c r="D510" s="16"/>
      <c r="E510" s="16"/>
      <c r="F510" s="17"/>
      <c r="G510" s="21"/>
      <c r="H510" s="21"/>
      <c r="I510" s="4">
        <v>0</v>
      </c>
      <c r="J510" s="4">
        <v>0</v>
      </c>
      <c r="K510" s="4"/>
      <c r="L510" s="16"/>
      <c r="M510" s="4"/>
      <c r="N510" s="4"/>
      <c r="O510" s="4"/>
      <c r="P510" s="4"/>
      <c r="Q510" s="4"/>
      <c r="R510" s="4"/>
      <c r="S510" s="4">
        <v>0</v>
      </c>
      <c r="T510" s="4">
        <v>0</v>
      </c>
      <c r="U510" s="4">
        <v>0</v>
      </c>
      <c r="V510" s="4">
        <v>12</v>
      </c>
      <c r="W510" s="4">
        <v>12</v>
      </c>
      <c r="X510" s="4">
        <v>34</v>
      </c>
      <c r="Y510" s="4"/>
      <c r="Z510" s="4">
        <v>133.71</v>
      </c>
      <c r="AA510" s="4">
        <v>150</v>
      </c>
      <c r="AB510" s="18"/>
      <c r="AC510" s="18">
        <v>9</v>
      </c>
      <c r="AD510" s="28"/>
      <c r="AE510" s="26"/>
      <c r="AF510" s="28"/>
    </row>
    <row r="511" spans="1:32" ht="12.6" customHeight="1" x14ac:dyDescent="0.25">
      <c r="A511" s="14">
        <v>45712</v>
      </c>
      <c r="B511" s="14" t="s">
        <v>45</v>
      </c>
      <c r="C511" s="15">
        <v>2</v>
      </c>
      <c r="D511" s="16"/>
      <c r="E511" s="16"/>
      <c r="F511" s="17"/>
      <c r="G511" s="21"/>
      <c r="H511" s="21"/>
      <c r="I511" s="4">
        <v>0</v>
      </c>
      <c r="J511" s="4">
        <v>0</v>
      </c>
      <c r="K511" s="4"/>
      <c r="L511" s="16"/>
      <c r="M511" s="4"/>
      <c r="N511" s="4"/>
      <c r="O511" s="4"/>
      <c r="P511" s="4"/>
      <c r="Q511" s="4"/>
      <c r="R511" s="4"/>
      <c r="S511" s="4">
        <v>0</v>
      </c>
      <c r="T511" s="4">
        <v>0</v>
      </c>
      <c r="U511" s="4">
        <v>0</v>
      </c>
      <c r="V511" s="4">
        <v>12</v>
      </c>
      <c r="W511" s="4">
        <v>12</v>
      </c>
      <c r="X511" s="4">
        <v>0</v>
      </c>
      <c r="Y511" s="4"/>
      <c r="Z511" s="4">
        <v>138.46</v>
      </c>
      <c r="AA511" s="4">
        <v>100</v>
      </c>
      <c r="AB511" s="18"/>
      <c r="AC511" s="18">
        <v>9</v>
      </c>
      <c r="AD511" s="28"/>
      <c r="AE511" s="26"/>
      <c r="AF511" s="28"/>
    </row>
    <row r="512" spans="1:32" ht="12.6" customHeight="1" x14ac:dyDescent="0.25">
      <c r="A512" s="14">
        <v>45712</v>
      </c>
      <c r="B512" s="14" t="s">
        <v>46</v>
      </c>
      <c r="C512" s="15">
        <v>2</v>
      </c>
      <c r="D512" s="16"/>
      <c r="E512" s="16"/>
      <c r="F512" s="17"/>
      <c r="G512" s="21"/>
      <c r="H512" s="21"/>
      <c r="I512" s="4">
        <v>0</v>
      </c>
      <c r="J512" s="4">
        <v>0</v>
      </c>
      <c r="K512" s="4"/>
      <c r="L512" s="16"/>
      <c r="M512" s="4"/>
      <c r="N512" s="4"/>
      <c r="O512" s="4"/>
      <c r="P512" s="4"/>
      <c r="Q512" s="4"/>
      <c r="R512" s="4"/>
      <c r="S512" s="4">
        <v>0</v>
      </c>
      <c r="T512" s="4">
        <v>0</v>
      </c>
      <c r="U512" s="4">
        <v>0</v>
      </c>
      <c r="V512" s="4">
        <v>12</v>
      </c>
      <c r="W512" s="4">
        <v>12</v>
      </c>
      <c r="X512" s="4">
        <v>0</v>
      </c>
      <c r="Y512" s="4"/>
      <c r="Z512" s="4">
        <v>133.67000000000002</v>
      </c>
      <c r="AA512" s="4">
        <v>150</v>
      </c>
      <c r="AB512" s="18"/>
      <c r="AC512" s="18">
        <v>9</v>
      </c>
      <c r="AD512" s="28"/>
      <c r="AE512" s="26"/>
      <c r="AF512" s="28"/>
    </row>
    <row r="513" spans="1:32" ht="12.6" customHeight="1" x14ac:dyDescent="0.25">
      <c r="A513" s="14">
        <v>45712</v>
      </c>
      <c r="B513" s="14" t="s">
        <v>45</v>
      </c>
      <c r="C513" s="15">
        <v>3</v>
      </c>
      <c r="D513" s="16"/>
      <c r="E513" s="16"/>
      <c r="F513" s="17"/>
      <c r="G513" s="21"/>
      <c r="H513" s="21"/>
      <c r="I513" s="4">
        <v>0</v>
      </c>
      <c r="J513" s="4">
        <v>0</v>
      </c>
      <c r="K513" s="4"/>
      <c r="L513" s="16"/>
      <c r="M513" s="4"/>
      <c r="N513" s="4"/>
      <c r="O513" s="4"/>
      <c r="P513" s="4"/>
      <c r="Q513" s="4"/>
      <c r="R513" s="4"/>
      <c r="S513" s="4">
        <v>0</v>
      </c>
      <c r="T513" s="4">
        <v>0</v>
      </c>
      <c r="U513" s="4">
        <v>0</v>
      </c>
      <c r="V513" s="4">
        <v>12</v>
      </c>
      <c r="W513" s="4">
        <v>12</v>
      </c>
      <c r="X513" s="4">
        <v>0</v>
      </c>
      <c r="Y513" s="4"/>
      <c r="Z513" s="4">
        <v>325.02000000000004</v>
      </c>
      <c r="AA513" s="4">
        <v>350</v>
      </c>
      <c r="AB513" s="18"/>
      <c r="AC513" s="18">
        <v>9</v>
      </c>
      <c r="AD513" s="28"/>
      <c r="AE513" s="26"/>
      <c r="AF513" s="28"/>
    </row>
    <row r="514" spans="1:32" ht="12.6" customHeight="1" x14ac:dyDescent="0.25">
      <c r="A514" s="14">
        <v>45712</v>
      </c>
      <c r="B514" s="14" t="s">
        <v>46</v>
      </c>
      <c r="C514" s="15">
        <v>3</v>
      </c>
      <c r="D514" s="16"/>
      <c r="E514" s="16"/>
      <c r="F514" s="17"/>
      <c r="G514" s="21"/>
      <c r="H514" s="21"/>
      <c r="I514" s="4">
        <v>0</v>
      </c>
      <c r="J514" s="4">
        <v>0</v>
      </c>
      <c r="K514" s="4"/>
      <c r="L514" s="16"/>
      <c r="M514" s="4"/>
      <c r="N514" s="4"/>
      <c r="O514" s="4"/>
      <c r="P514" s="4"/>
      <c r="Q514" s="4"/>
      <c r="R514" s="4"/>
      <c r="S514" s="4">
        <v>0</v>
      </c>
      <c r="T514" s="4">
        <v>0</v>
      </c>
      <c r="U514" s="4">
        <v>0</v>
      </c>
      <c r="V514" s="4">
        <v>12</v>
      </c>
      <c r="W514" s="4">
        <v>12</v>
      </c>
      <c r="X514" s="4">
        <v>0</v>
      </c>
      <c r="Y514" s="4"/>
      <c r="Z514" s="4">
        <v>378.04999999999995</v>
      </c>
      <c r="AA514" s="4">
        <v>400</v>
      </c>
      <c r="AB514" s="18"/>
      <c r="AC514" s="18">
        <v>9</v>
      </c>
      <c r="AD514" s="28"/>
      <c r="AE514" s="26"/>
      <c r="AF514" s="28"/>
    </row>
    <row r="515" spans="1:32" ht="12.6" customHeight="1" x14ac:dyDescent="0.25">
      <c r="A515" s="14">
        <v>45712</v>
      </c>
      <c r="B515" s="14" t="s">
        <v>45</v>
      </c>
      <c r="C515" s="15">
        <v>4</v>
      </c>
      <c r="D515" s="16">
        <v>20</v>
      </c>
      <c r="E515" s="16"/>
      <c r="F515" s="17"/>
      <c r="G515" s="21"/>
      <c r="H515" s="21"/>
      <c r="I515" s="4">
        <v>20</v>
      </c>
      <c r="J515" s="4">
        <v>0.33333333333333331</v>
      </c>
      <c r="K515" s="4"/>
      <c r="L515" s="16"/>
      <c r="M515" s="4"/>
      <c r="N515" s="4"/>
      <c r="O515" s="4"/>
      <c r="P515" s="4"/>
      <c r="Q515" s="4"/>
      <c r="R515" s="4"/>
      <c r="S515" s="4">
        <v>0</v>
      </c>
      <c r="T515" s="4">
        <v>0</v>
      </c>
      <c r="U515" s="4">
        <v>0.33333333333333331</v>
      </c>
      <c r="V515" s="4">
        <v>11.666666666666666</v>
      </c>
      <c r="W515" s="4">
        <v>12</v>
      </c>
      <c r="X515" s="4">
        <v>0</v>
      </c>
      <c r="Y515" s="4"/>
      <c r="Z515" s="4">
        <v>862.29</v>
      </c>
      <c r="AA515" s="4">
        <v>850</v>
      </c>
      <c r="AB515" s="18"/>
      <c r="AC515" s="18">
        <v>9</v>
      </c>
      <c r="AD515" s="28"/>
      <c r="AE515" s="26"/>
      <c r="AF515" s="28"/>
    </row>
    <row r="516" spans="1:32" ht="12.6" customHeight="1" x14ac:dyDescent="0.25">
      <c r="A516" s="14">
        <v>45712</v>
      </c>
      <c r="B516" s="14" t="s">
        <v>46</v>
      </c>
      <c r="C516" s="15">
        <v>4</v>
      </c>
      <c r="D516" s="16"/>
      <c r="E516" s="16"/>
      <c r="F516" s="17"/>
      <c r="G516" s="21"/>
      <c r="H516" s="21"/>
      <c r="I516" s="4">
        <v>0</v>
      </c>
      <c r="J516" s="4">
        <v>0</v>
      </c>
      <c r="K516" s="4"/>
      <c r="L516" s="16"/>
      <c r="M516" s="4"/>
      <c r="N516" s="4"/>
      <c r="O516" s="4"/>
      <c r="P516" s="4"/>
      <c r="Q516" s="4"/>
      <c r="R516" s="4"/>
      <c r="S516" s="4">
        <v>0</v>
      </c>
      <c r="T516" s="4">
        <v>0</v>
      </c>
      <c r="U516" s="4">
        <v>0</v>
      </c>
      <c r="V516" s="4">
        <v>12</v>
      </c>
      <c r="W516" s="4">
        <v>12</v>
      </c>
      <c r="X516" s="4">
        <v>0</v>
      </c>
      <c r="Y516" s="4"/>
      <c r="Z516" s="4">
        <v>820.73</v>
      </c>
      <c r="AA516" s="4">
        <v>850</v>
      </c>
      <c r="AB516" s="18"/>
      <c r="AC516" s="18">
        <v>9</v>
      </c>
      <c r="AD516" s="28"/>
      <c r="AE516" s="26"/>
      <c r="AF516" s="28"/>
    </row>
    <row r="517" spans="1:32" ht="12.6" customHeight="1" x14ac:dyDescent="0.25">
      <c r="A517" s="14">
        <v>45712</v>
      </c>
      <c r="B517" s="14" t="s">
        <v>45</v>
      </c>
      <c r="C517" s="15">
        <v>5</v>
      </c>
      <c r="D517" s="16"/>
      <c r="E517" s="16"/>
      <c r="F517" s="17"/>
      <c r="G517" s="21"/>
      <c r="H517" s="21"/>
      <c r="I517" s="4">
        <v>0</v>
      </c>
      <c r="J517" s="4">
        <v>0</v>
      </c>
      <c r="K517" s="4"/>
      <c r="L517" s="16"/>
      <c r="M517" s="4"/>
      <c r="N517" s="4"/>
      <c r="O517" s="4"/>
      <c r="P517" s="4"/>
      <c r="Q517" s="4"/>
      <c r="R517" s="4"/>
      <c r="S517" s="4">
        <v>0</v>
      </c>
      <c r="T517" s="4">
        <v>0</v>
      </c>
      <c r="U517" s="4">
        <v>0</v>
      </c>
      <c r="V517" s="4">
        <v>12</v>
      </c>
      <c r="W517" s="4">
        <v>12</v>
      </c>
      <c r="X517" s="4">
        <v>0</v>
      </c>
      <c r="Y517" s="4"/>
      <c r="Z517" s="4">
        <v>595.79999999999995</v>
      </c>
      <c r="AA517" s="4">
        <v>600</v>
      </c>
      <c r="AB517" s="18"/>
      <c r="AC517" s="18">
        <v>9</v>
      </c>
      <c r="AD517" s="28"/>
      <c r="AE517" s="26"/>
      <c r="AF517" s="28"/>
    </row>
    <row r="518" spans="1:32" ht="12.6" customHeight="1" x14ac:dyDescent="0.25">
      <c r="A518" s="14">
        <v>45712</v>
      </c>
      <c r="B518" s="14" t="s">
        <v>46</v>
      </c>
      <c r="C518" s="15">
        <v>5</v>
      </c>
      <c r="D518" s="16"/>
      <c r="E518" s="16"/>
      <c r="F518" s="17"/>
      <c r="G518" s="21"/>
      <c r="H518" s="21"/>
      <c r="I518" s="4">
        <v>0</v>
      </c>
      <c r="J518" s="4">
        <v>0</v>
      </c>
      <c r="K518" s="4"/>
      <c r="L518" s="16"/>
      <c r="M518" s="4"/>
      <c r="N518" s="4"/>
      <c r="O518" s="4"/>
      <c r="P518" s="4"/>
      <c r="Q518" s="4"/>
      <c r="R518" s="4"/>
      <c r="S518" s="4">
        <v>0</v>
      </c>
      <c r="T518" s="4">
        <v>0</v>
      </c>
      <c r="U518" s="4">
        <v>0</v>
      </c>
      <c r="V518" s="4">
        <v>12</v>
      </c>
      <c r="W518" s="4">
        <v>12</v>
      </c>
      <c r="X518" s="4">
        <v>0</v>
      </c>
      <c r="Y518" s="4"/>
      <c r="Z518" s="4">
        <v>618.5</v>
      </c>
      <c r="AA518" s="4">
        <v>600</v>
      </c>
      <c r="AB518" s="18"/>
      <c r="AC518" s="18">
        <v>9</v>
      </c>
      <c r="AD518" s="28"/>
      <c r="AE518" s="26"/>
      <c r="AF518" s="28"/>
    </row>
    <row r="519" spans="1:32" ht="12.6" customHeight="1" x14ac:dyDescent="0.25">
      <c r="A519" s="14">
        <v>45713</v>
      </c>
      <c r="B519" s="14" t="s">
        <v>45</v>
      </c>
      <c r="C519" s="15">
        <v>1</v>
      </c>
      <c r="D519" s="16"/>
      <c r="E519" s="16"/>
      <c r="F519" s="17"/>
      <c r="G519" s="21"/>
      <c r="H519" s="21"/>
      <c r="I519" s="4">
        <v>0</v>
      </c>
      <c r="J519" s="4">
        <v>0</v>
      </c>
      <c r="K519" s="4"/>
      <c r="L519" s="16"/>
      <c r="M519" s="4"/>
      <c r="N519" s="4"/>
      <c r="O519" s="4"/>
      <c r="P519" s="4"/>
      <c r="Q519" s="4"/>
      <c r="R519" s="4"/>
      <c r="S519" s="4">
        <v>0</v>
      </c>
      <c r="T519" s="4">
        <v>0</v>
      </c>
      <c r="U519" s="4">
        <v>0</v>
      </c>
      <c r="V519" s="4">
        <v>12</v>
      </c>
      <c r="W519" s="4">
        <v>12</v>
      </c>
      <c r="X519" s="4">
        <v>70</v>
      </c>
      <c r="Y519" s="4">
        <v>2022</v>
      </c>
      <c r="Z519" s="4">
        <v>173.32</v>
      </c>
      <c r="AA519" s="4">
        <v>200</v>
      </c>
      <c r="AB519" s="18">
        <v>398</v>
      </c>
      <c r="AC519" s="18">
        <v>9</v>
      </c>
      <c r="AD519" s="28"/>
      <c r="AE519" s="26"/>
      <c r="AF519" s="28"/>
    </row>
    <row r="520" spans="1:32" ht="12.6" customHeight="1" x14ac:dyDescent="0.25">
      <c r="A520" s="14">
        <v>45713</v>
      </c>
      <c r="B520" s="14" t="s">
        <v>46</v>
      </c>
      <c r="C520" s="15">
        <v>1</v>
      </c>
      <c r="D520" s="16"/>
      <c r="E520" s="16"/>
      <c r="F520" s="17"/>
      <c r="G520" s="21"/>
      <c r="H520" s="21"/>
      <c r="I520" s="4">
        <v>0</v>
      </c>
      <c r="J520" s="4">
        <v>0</v>
      </c>
      <c r="K520" s="4"/>
      <c r="L520" s="16"/>
      <c r="M520" s="4"/>
      <c r="N520" s="4"/>
      <c r="O520" s="4"/>
      <c r="P520" s="4"/>
      <c r="Q520" s="4"/>
      <c r="R520" s="4"/>
      <c r="S520" s="4">
        <v>0</v>
      </c>
      <c r="T520" s="4">
        <v>0</v>
      </c>
      <c r="U520" s="4">
        <v>0</v>
      </c>
      <c r="V520" s="4">
        <v>12</v>
      </c>
      <c r="W520" s="4">
        <v>12</v>
      </c>
      <c r="X520" s="4">
        <v>44</v>
      </c>
      <c r="Y520" s="4"/>
      <c r="Z520" s="4">
        <v>152.44999999999999</v>
      </c>
      <c r="AA520" s="4">
        <v>150</v>
      </c>
      <c r="AB520" s="18"/>
      <c r="AC520" s="18">
        <v>9</v>
      </c>
      <c r="AD520" s="28"/>
      <c r="AE520" s="26"/>
      <c r="AF520" s="28"/>
    </row>
    <row r="521" spans="1:32" ht="12.6" customHeight="1" x14ac:dyDescent="0.25">
      <c r="A521" s="14">
        <v>45713</v>
      </c>
      <c r="B521" s="14" t="s">
        <v>45</v>
      </c>
      <c r="C521" s="15">
        <v>2</v>
      </c>
      <c r="D521" s="16"/>
      <c r="E521" s="16"/>
      <c r="F521" s="17"/>
      <c r="G521" s="21"/>
      <c r="H521" s="21"/>
      <c r="I521" s="4">
        <v>0</v>
      </c>
      <c r="J521" s="4">
        <v>0</v>
      </c>
      <c r="K521" s="4"/>
      <c r="L521" s="16"/>
      <c r="M521" s="4"/>
      <c r="N521" s="4"/>
      <c r="O521" s="4"/>
      <c r="P521" s="4"/>
      <c r="Q521" s="4"/>
      <c r="R521" s="4"/>
      <c r="S521" s="4">
        <v>0</v>
      </c>
      <c r="T521" s="4">
        <v>0</v>
      </c>
      <c r="U521" s="4">
        <v>0</v>
      </c>
      <c r="V521" s="4">
        <v>12</v>
      </c>
      <c r="W521" s="4">
        <v>12</v>
      </c>
      <c r="X521" s="4">
        <v>0</v>
      </c>
      <c r="Y521" s="4"/>
      <c r="Z521" s="4">
        <v>158.72999999999999</v>
      </c>
      <c r="AA521" s="4">
        <v>150</v>
      </c>
      <c r="AB521" s="18"/>
      <c r="AC521" s="18">
        <v>9</v>
      </c>
      <c r="AD521" s="28"/>
      <c r="AE521" s="26"/>
      <c r="AF521" s="28"/>
    </row>
    <row r="522" spans="1:32" ht="12.6" customHeight="1" x14ac:dyDescent="0.25">
      <c r="A522" s="14">
        <v>45713</v>
      </c>
      <c r="B522" s="14" t="s">
        <v>46</v>
      </c>
      <c r="C522" s="15">
        <v>2</v>
      </c>
      <c r="D522" s="16"/>
      <c r="E522" s="16"/>
      <c r="F522" s="17"/>
      <c r="G522" s="21"/>
      <c r="H522" s="21"/>
      <c r="I522" s="4">
        <v>0</v>
      </c>
      <c r="J522" s="4">
        <v>0</v>
      </c>
      <c r="K522" s="4"/>
      <c r="L522" s="16"/>
      <c r="M522" s="4"/>
      <c r="N522" s="4"/>
      <c r="O522" s="4"/>
      <c r="P522" s="4"/>
      <c r="Q522" s="4"/>
      <c r="R522" s="4"/>
      <c r="S522" s="4">
        <v>0</v>
      </c>
      <c r="T522" s="4">
        <v>0</v>
      </c>
      <c r="U522" s="4">
        <v>0</v>
      </c>
      <c r="V522" s="4">
        <v>12</v>
      </c>
      <c r="W522" s="4">
        <v>12</v>
      </c>
      <c r="X522" s="4">
        <v>0</v>
      </c>
      <c r="Y522" s="4"/>
      <c r="Z522" s="4">
        <v>151.77999999999997</v>
      </c>
      <c r="AA522" s="4">
        <v>150</v>
      </c>
      <c r="AB522" s="18"/>
      <c r="AC522" s="18">
        <v>9</v>
      </c>
      <c r="AD522" s="28"/>
      <c r="AE522" s="26"/>
      <c r="AF522" s="28"/>
    </row>
    <row r="523" spans="1:32" ht="12.6" customHeight="1" x14ac:dyDescent="0.25">
      <c r="A523" s="14">
        <v>45713</v>
      </c>
      <c r="B523" s="14" t="s">
        <v>45</v>
      </c>
      <c r="C523" s="15">
        <v>3</v>
      </c>
      <c r="D523" s="16"/>
      <c r="E523" s="16"/>
      <c r="F523" s="17"/>
      <c r="G523" s="21"/>
      <c r="H523" s="21"/>
      <c r="I523" s="4">
        <v>0</v>
      </c>
      <c r="J523" s="4">
        <v>0</v>
      </c>
      <c r="K523" s="4"/>
      <c r="L523" s="16"/>
      <c r="M523" s="4"/>
      <c r="N523" s="4"/>
      <c r="O523" s="4"/>
      <c r="P523" s="4"/>
      <c r="Q523" s="4"/>
      <c r="R523" s="4"/>
      <c r="S523" s="4">
        <v>0</v>
      </c>
      <c r="T523" s="4">
        <v>0</v>
      </c>
      <c r="U523" s="4">
        <v>0</v>
      </c>
      <c r="V523" s="4">
        <v>12</v>
      </c>
      <c r="W523" s="4">
        <v>12</v>
      </c>
      <c r="X523" s="4">
        <v>0</v>
      </c>
      <c r="Y523" s="4"/>
      <c r="Z523" s="4">
        <v>365.57000000000005</v>
      </c>
      <c r="AA523" s="4">
        <v>350</v>
      </c>
      <c r="AB523" s="18"/>
      <c r="AC523" s="18">
        <v>9</v>
      </c>
      <c r="AD523" s="28"/>
      <c r="AE523" s="26"/>
      <c r="AF523" s="28"/>
    </row>
    <row r="524" spans="1:32" ht="12.6" customHeight="1" x14ac:dyDescent="0.25">
      <c r="A524" s="14">
        <v>45713</v>
      </c>
      <c r="B524" s="14" t="s">
        <v>46</v>
      </c>
      <c r="C524" s="15">
        <v>3</v>
      </c>
      <c r="D524" s="16"/>
      <c r="E524" s="16"/>
      <c r="F524" s="17"/>
      <c r="G524" s="21"/>
      <c r="H524" s="21"/>
      <c r="I524" s="4">
        <v>0</v>
      </c>
      <c r="J524" s="4">
        <v>0</v>
      </c>
      <c r="K524" s="4"/>
      <c r="L524" s="16"/>
      <c r="M524" s="4"/>
      <c r="N524" s="4"/>
      <c r="O524" s="4"/>
      <c r="P524" s="4"/>
      <c r="Q524" s="4"/>
      <c r="R524" s="4"/>
      <c r="S524" s="4">
        <v>0</v>
      </c>
      <c r="T524" s="4">
        <v>0</v>
      </c>
      <c r="U524" s="4">
        <v>0</v>
      </c>
      <c r="V524" s="4">
        <v>12</v>
      </c>
      <c r="W524" s="4">
        <v>12</v>
      </c>
      <c r="X524" s="4">
        <v>0</v>
      </c>
      <c r="Y524" s="4"/>
      <c r="Z524" s="4">
        <v>307.22000000000003</v>
      </c>
      <c r="AA524" s="4">
        <v>300</v>
      </c>
      <c r="AB524" s="18"/>
      <c r="AC524" s="18">
        <v>9</v>
      </c>
      <c r="AD524" s="28"/>
      <c r="AE524" s="26"/>
      <c r="AF524" s="28"/>
    </row>
    <row r="525" spans="1:32" ht="12.6" customHeight="1" x14ac:dyDescent="0.25">
      <c r="A525" s="14">
        <v>45713</v>
      </c>
      <c r="B525" s="14" t="s">
        <v>45</v>
      </c>
      <c r="C525" s="15">
        <v>4</v>
      </c>
      <c r="D525" s="16">
        <v>20</v>
      </c>
      <c r="E525" s="16"/>
      <c r="F525" s="17"/>
      <c r="G525" s="21"/>
      <c r="H525" s="21"/>
      <c r="I525" s="4">
        <v>20</v>
      </c>
      <c r="J525" s="4">
        <v>0.33333333333333331</v>
      </c>
      <c r="K525" s="4"/>
      <c r="L525" s="16"/>
      <c r="M525" s="4"/>
      <c r="N525" s="4"/>
      <c r="O525" s="4"/>
      <c r="P525" s="4"/>
      <c r="Q525" s="4"/>
      <c r="R525" s="4"/>
      <c r="S525" s="4">
        <v>0</v>
      </c>
      <c r="T525" s="4">
        <v>0</v>
      </c>
      <c r="U525" s="4">
        <v>0.33333333333333331</v>
      </c>
      <c r="V525" s="4">
        <v>11.666666666666666</v>
      </c>
      <c r="W525" s="4">
        <v>12</v>
      </c>
      <c r="X525" s="4">
        <v>0</v>
      </c>
      <c r="Y525" s="4"/>
      <c r="Z525" s="4">
        <v>826.19000000000017</v>
      </c>
      <c r="AA525" s="4">
        <v>850</v>
      </c>
      <c r="AB525" s="18"/>
      <c r="AC525" s="18">
        <v>9</v>
      </c>
      <c r="AD525" s="28"/>
      <c r="AE525" s="26"/>
      <c r="AF525" s="28"/>
    </row>
    <row r="526" spans="1:32" ht="12.6" customHeight="1" x14ac:dyDescent="0.25">
      <c r="A526" s="14">
        <v>45713</v>
      </c>
      <c r="B526" s="14" t="s">
        <v>46</v>
      </c>
      <c r="C526" s="15">
        <v>4</v>
      </c>
      <c r="D526" s="16"/>
      <c r="E526" s="16"/>
      <c r="F526" s="17"/>
      <c r="G526" s="21"/>
      <c r="H526" s="21"/>
      <c r="I526" s="4">
        <v>0</v>
      </c>
      <c r="J526" s="4">
        <v>0</v>
      </c>
      <c r="K526" s="4"/>
      <c r="L526" s="16"/>
      <c r="M526" s="4"/>
      <c r="N526" s="4"/>
      <c r="O526" s="4"/>
      <c r="P526" s="4"/>
      <c r="Q526" s="4"/>
      <c r="R526" s="4"/>
      <c r="S526" s="4">
        <v>0</v>
      </c>
      <c r="T526" s="4">
        <v>0</v>
      </c>
      <c r="U526" s="4">
        <v>0</v>
      </c>
      <c r="V526" s="4">
        <v>12</v>
      </c>
      <c r="W526" s="4">
        <v>12</v>
      </c>
      <c r="X526" s="4">
        <v>0</v>
      </c>
      <c r="Y526" s="4"/>
      <c r="Z526" s="4">
        <v>670.38</v>
      </c>
      <c r="AA526" s="4">
        <v>650</v>
      </c>
      <c r="AB526" s="18"/>
      <c r="AC526" s="18">
        <v>9</v>
      </c>
      <c r="AD526" s="28"/>
      <c r="AE526" s="26"/>
      <c r="AF526" s="28"/>
    </row>
    <row r="527" spans="1:32" ht="12.6" customHeight="1" x14ac:dyDescent="0.25">
      <c r="A527" s="14">
        <v>45713</v>
      </c>
      <c r="B527" s="14" t="s">
        <v>45</v>
      </c>
      <c r="C527" s="15">
        <v>5</v>
      </c>
      <c r="D527" s="16">
        <v>20</v>
      </c>
      <c r="E527" s="16"/>
      <c r="F527" s="17"/>
      <c r="G527" s="21"/>
      <c r="H527" s="21"/>
      <c r="I527" s="4">
        <v>20</v>
      </c>
      <c r="J527" s="4">
        <v>0.33333333333333331</v>
      </c>
      <c r="K527" s="4"/>
      <c r="L527" s="16"/>
      <c r="M527" s="4"/>
      <c r="N527" s="4"/>
      <c r="O527" s="4"/>
      <c r="P527" s="4"/>
      <c r="Q527" s="4"/>
      <c r="R527" s="4"/>
      <c r="S527" s="4">
        <v>0</v>
      </c>
      <c r="T527" s="4">
        <v>0</v>
      </c>
      <c r="U527" s="4">
        <v>0.33333333333333331</v>
      </c>
      <c r="V527" s="4">
        <v>11.666666666666666</v>
      </c>
      <c r="W527" s="4">
        <v>12</v>
      </c>
      <c r="X527" s="4">
        <v>0</v>
      </c>
      <c r="Y527" s="4"/>
      <c r="Z527" s="4">
        <v>559.35</v>
      </c>
      <c r="AA527" s="4">
        <v>550</v>
      </c>
      <c r="AB527" s="18"/>
      <c r="AC527" s="18">
        <v>9</v>
      </c>
      <c r="AD527" s="28"/>
      <c r="AE527" s="26"/>
      <c r="AF527" s="28"/>
    </row>
    <row r="528" spans="1:32" ht="12.6" customHeight="1" x14ac:dyDescent="0.25">
      <c r="A528" s="14">
        <v>45713</v>
      </c>
      <c r="B528" s="14" t="s">
        <v>46</v>
      </c>
      <c r="C528" s="15">
        <v>5</v>
      </c>
      <c r="D528" s="16"/>
      <c r="E528" s="16"/>
      <c r="F528" s="17"/>
      <c r="G528" s="21"/>
      <c r="H528" s="21"/>
      <c r="I528" s="4">
        <v>0</v>
      </c>
      <c r="J528" s="4">
        <v>0</v>
      </c>
      <c r="K528" s="4"/>
      <c r="L528" s="16"/>
      <c r="M528" s="4"/>
      <c r="N528" s="4"/>
      <c r="O528" s="4"/>
      <c r="P528" s="4"/>
      <c r="Q528" s="4"/>
      <c r="R528" s="4"/>
      <c r="S528" s="4">
        <v>0</v>
      </c>
      <c r="T528" s="4">
        <v>0</v>
      </c>
      <c r="U528" s="4">
        <v>0</v>
      </c>
      <c r="V528" s="4">
        <v>12</v>
      </c>
      <c r="W528" s="4">
        <v>12</v>
      </c>
      <c r="X528" s="4">
        <v>0</v>
      </c>
      <c r="Y528" s="4"/>
      <c r="Z528" s="4">
        <v>541.17500000000007</v>
      </c>
      <c r="AA528" s="4">
        <v>550</v>
      </c>
      <c r="AB528" s="18"/>
      <c r="AC528" s="18">
        <v>9</v>
      </c>
      <c r="AD528" s="28"/>
      <c r="AE528" s="26"/>
      <c r="AF528" s="28"/>
    </row>
    <row r="529" spans="1:32" ht="12.6" customHeight="1" x14ac:dyDescent="0.25">
      <c r="A529" s="14">
        <v>45714</v>
      </c>
      <c r="B529" s="14" t="s">
        <v>45</v>
      </c>
      <c r="C529" s="15">
        <v>1</v>
      </c>
      <c r="D529" s="16"/>
      <c r="E529" s="16"/>
      <c r="F529" s="17"/>
      <c r="G529" s="21"/>
      <c r="H529" s="21"/>
      <c r="I529" s="4">
        <v>0</v>
      </c>
      <c r="J529" s="4">
        <v>0</v>
      </c>
      <c r="K529" s="4"/>
      <c r="L529" s="16"/>
      <c r="M529" s="4"/>
      <c r="N529" s="4"/>
      <c r="O529" s="4"/>
      <c r="P529" s="4"/>
      <c r="Q529" s="4"/>
      <c r="R529" s="4"/>
      <c r="S529" s="4">
        <v>0</v>
      </c>
      <c r="T529" s="4">
        <v>0</v>
      </c>
      <c r="U529" s="4">
        <v>0</v>
      </c>
      <c r="V529" s="4">
        <v>12</v>
      </c>
      <c r="W529" s="4">
        <v>12</v>
      </c>
      <c r="X529" s="4">
        <v>35</v>
      </c>
      <c r="Y529" s="4">
        <v>2006</v>
      </c>
      <c r="Z529" s="4">
        <v>142.59</v>
      </c>
      <c r="AA529" s="4">
        <v>150</v>
      </c>
      <c r="AB529" s="18">
        <v>398</v>
      </c>
      <c r="AC529" s="18">
        <v>9</v>
      </c>
      <c r="AD529" s="28"/>
      <c r="AE529" s="26"/>
      <c r="AF529" s="28"/>
    </row>
    <row r="530" spans="1:32" ht="12.6" customHeight="1" x14ac:dyDescent="0.25">
      <c r="A530" s="14">
        <v>45714</v>
      </c>
      <c r="B530" s="14" t="s">
        <v>46</v>
      </c>
      <c r="C530" s="15">
        <v>1</v>
      </c>
      <c r="D530" s="16"/>
      <c r="E530" s="16"/>
      <c r="F530" s="17"/>
      <c r="G530" s="21"/>
      <c r="H530" s="21"/>
      <c r="I530" s="4">
        <v>0</v>
      </c>
      <c r="J530" s="4">
        <v>0</v>
      </c>
      <c r="K530" s="4"/>
      <c r="L530" s="16"/>
      <c r="M530" s="4"/>
      <c r="N530" s="4"/>
      <c r="O530" s="4"/>
      <c r="P530" s="4"/>
      <c r="Q530" s="4"/>
      <c r="R530" s="4"/>
      <c r="S530" s="4">
        <v>0</v>
      </c>
      <c r="T530" s="4">
        <v>0</v>
      </c>
      <c r="U530" s="4">
        <v>0</v>
      </c>
      <c r="V530" s="4">
        <v>12</v>
      </c>
      <c r="W530" s="4">
        <v>12</v>
      </c>
      <c r="X530" s="4">
        <v>20</v>
      </c>
      <c r="Y530" s="4"/>
      <c r="Z530" s="4">
        <v>141.48999999999998</v>
      </c>
      <c r="AA530" s="4">
        <v>150</v>
      </c>
      <c r="AB530" s="18"/>
      <c r="AC530" s="18">
        <v>9</v>
      </c>
      <c r="AD530" s="28"/>
      <c r="AE530" s="26"/>
      <c r="AF530" s="28"/>
    </row>
    <row r="531" spans="1:32" ht="12.6" customHeight="1" x14ac:dyDescent="0.25">
      <c r="A531" s="14">
        <v>45714</v>
      </c>
      <c r="B531" s="14" t="s">
        <v>45</v>
      </c>
      <c r="C531" s="15">
        <v>2</v>
      </c>
      <c r="D531" s="16"/>
      <c r="E531" s="16"/>
      <c r="F531" s="17"/>
      <c r="G531" s="21"/>
      <c r="H531" s="21"/>
      <c r="I531" s="4">
        <v>0</v>
      </c>
      <c r="J531" s="4">
        <v>0</v>
      </c>
      <c r="K531" s="4"/>
      <c r="L531" s="16"/>
      <c r="M531" s="4"/>
      <c r="N531" s="4"/>
      <c r="O531" s="4"/>
      <c r="P531" s="4"/>
      <c r="Q531" s="4"/>
      <c r="R531" s="4"/>
      <c r="S531" s="4">
        <v>0</v>
      </c>
      <c r="T531" s="4">
        <v>0</v>
      </c>
      <c r="U531" s="4">
        <v>0</v>
      </c>
      <c r="V531" s="4">
        <v>12</v>
      </c>
      <c r="W531" s="4">
        <v>12</v>
      </c>
      <c r="X531" s="4">
        <v>0</v>
      </c>
      <c r="Y531" s="4"/>
      <c r="Z531" s="4">
        <v>155.53</v>
      </c>
      <c r="AA531" s="4">
        <v>150</v>
      </c>
      <c r="AB531" s="18"/>
      <c r="AC531" s="18">
        <v>9</v>
      </c>
      <c r="AD531" s="28"/>
      <c r="AE531" s="26"/>
      <c r="AF531" s="28"/>
    </row>
    <row r="532" spans="1:32" ht="12.6" customHeight="1" x14ac:dyDescent="0.25">
      <c r="A532" s="14">
        <v>45714</v>
      </c>
      <c r="B532" s="14" t="s">
        <v>46</v>
      </c>
      <c r="C532" s="15">
        <v>2</v>
      </c>
      <c r="D532" s="16"/>
      <c r="E532" s="16"/>
      <c r="F532" s="17"/>
      <c r="G532" s="21"/>
      <c r="H532" s="21"/>
      <c r="I532" s="4">
        <v>0</v>
      </c>
      <c r="J532" s="4">
        <v>0</v>
      </c>
      <c r="K532" s="4"/>
      <c r="L532" s="16"/>
      <c r="M532" s="4"/>
      <c r="N532" s="4"/>
      <c r="O532" s="4"/>
      <c r="P532" s="4"/>
      <c r="Q532" s="4"/>
      <c r="R532" s="4"/>
      <c r="S532" s="4">
        <v>0</v>
      </c>
      <c r="T532" s="4">
        <v>0</v>
      </c>
      <c r="U532" s="4">
        <v>0</v>
      </c>
      <c r="V532" s="4">
        <v>12</v>
      </c>
      <c r="W532" s="4">
        <v>12</v>
      </c>
      <c r="X532" s="4">
        <v>0</v>
      </c>
      <c r="Y532" s="4"/>
      <c r="Z532" s="4">
        <v>168.38</v>
      </c>
      <c r="AA532" s="4">
        <v>150</v>
      </c>
      <c r="AB532" s="18"/>
      <c r="AC532" s="18">
        <v>9</v>
      </c>
      <c r="AD532" s="28"/>
      <c r="AE532" s="26"/>
      <c r="AF532" s="28"/>
    </row>
    <row r="533" spans="1:32" ht="12.6" customHeight="1" x14ac:dyDescent="0.25">
      <c r="A533" s="14">
        <v>45714</v>
      </c>
      <c r="B533" s="14" t="s">
        <v>45</v>
      </c>
      <c r="C533" s="15">
        <v>3</v>
      </c>
      <c r="D533" s="16">
        <v>20</v>
      </c>
      <c r="E533" s="16"/>
      <c r="F533" s="17"/>
      <c r="G533" s="21"/>
      <c r="H533" s="21"/>
      <c r="I533" s="4">
        <v>20</v>
      </c>
      <c r="J533" s="4">
        <v>0.33333333333333331</v>
      </c>
      <c r="K533" s="4"/>
      <c r="L533" s="16"/>
      <c r="M533" s="4"/>
      <c r="N533" s="4"/>
      <c r="O533" s="4"/>
      <c r="P533" s="4"/>
      <c r="Q533" s="4"/>
      <c r="R533" s="4"/>
      <c r="S533" s="4">
        <v>0</v>
      </c>
      <c r="T533" s="4">
        <v>0</v>
      </c>
      <c r="U533" s="4">
        <v>0.33333333333333331</v>
      </c>
      <c r="V533" s="4">
        <v>11.666666666666666</v>
      </c>
      <c r="W533" s="4">
        <v>12</v>
      </c>
      <c r="X533" s="4">
        <v>0</v>
      </c>
      <c r="Y533" s="4"/>
      <c r="Z533" s="4">
        <v>342.40999999999997</v>
      </c>
      <c r="AA533" s="4">
        <v>350</v>
      </c>
      <c r="AB533" s="18"/>
      <c r="AC533" s="18">
        <v>9</v>
      </c>
      <c r="AD533" s="28"/>
      <c r="AE533" s="26"/>
      <c r="AF533" s="28"/>
    </row>
    <row r="534" spans="1:32" ht="12.6" customHeight="1" x14ac:dyDescent="0.25">
      <c r="A534" s="14">
        <v>45714</v>
      </c>
      <c r="B534" s="14" t="s">
        <v>46</v>
      </c>
      <c r="C534" s="15">
        <v>3</v>
      </c>
      <c r="D534" s="16"/>
      <c r="E534" s="16"/>
      <c r="F534" s="17"/>
      <c r="G534" s="21"/>
      <c r="H534" s="21"/>
      <c r="I534" s="4">
        <v>0</v>
      </c>
      <c r="J534" s="4">
        <v>0</v>
      </c>
      <c r="K534" s="4"/>
      <c r="L534" s="16"/>
      <c r="M534" s="4"/>
      <c r="N534" s="4"/>
      <c r="O534" s="4"/>
      <c r="P534" s="4"/>
      <c r="Q534" s="4"/>
      <c r="R534" s="4"/>
      <c r="S534" s="4">
        <v>0</v>
      </c>
      <c r="T534" s="4">
        <v>0</v>
      </c>
      <c r="U534" s="4">
        <v>0</v>
      </c>
      <c r="V534" s="4">
        <v>12</v>
      </c>
      <c r="W534" s="4">
        <v>12</v>
      </c>
      <c r="X534" s="4">
        <v>0</v>
      </c>
      <c r="Y534" s="4"/>
      <c r="Z534" s="4">
        <v>321.05</v>
      </c>
      <c r="AA534" s="4">
        <v>350</v>
      </c>
      <c r="AB534" s="18"/>
      <c r="AC534" s="18">
        <v>9</v>
      </c>
      <c r="AD534" s="28"/>
      <c r="AE534" s="26"/>
      <c r="AF534" s="28"/>
    </row>
    <row r="535" spans="1:32" ht="12.6" customHeight="1" x14ac:dyDescent="0.25">
      <c r="A535" s="14">
        <v>45714</v>
      </c>
      <c r="B535" s="14" t="s">
        <v>45</v>
      </c>
      <c r="C535" s="15">
        <v>4</v>
      </c>
      <c r="D535" s="16"/>
      <c r="E535" s="16"/>
      <c r="F535" s="17"/>
      <c r="G535" s="21"/>
      <c r="H535" s="21"/>
      <c r="I535" s="4">
        <v>0</v>
      </c>
      <c r="J535" s="4">
        <v>0</v>
      </c>
      <c r="K535" s="4"/>
      <c r="L535" s="16"/>
      <c r="M535" s="4"/>
      <c r="N535" s="4"/>
      <c r="O535" s="4"/>
      <c r="P535" s="4"/>
      <c r="Q535" s="4"/>
      <c r="R535" s="4"/>
      <c r="S535" s="4">
        <v>0</v>
      </c>
      <c r="T535" s="4">
        <v>0</v>
      </c>
      <c r="U535" s="4">
        <v>0</v>
      </c>
      <c r="V535" s="4">
        <v>12</v>
      </c>
      <c r="W535" s="4">
        <v>12</v>
      </c>
      <c r="X535" s="4">
        <v>0</v>
      </c>
      <c r="Y535" s="4"/>
      <c r="Z535" s="4">
        <v>790.67000000000007</v>
      </c>
      <c r="AA535" s="4">
        <v>800</v>
      </c>
      <c r="AB535" s="18"/>
      <c r="AC535" s="18">
        <v>9</v>
      </c>
      <c r="AD535" s="28"/>
      <c r="AE535" s="26"/>
      <c r="AF535" s="28"/>
    </row>
    <row r="536" spans="1:32" ht="12.6" customHeight="1" x14ac:dyDescent="0.25">
      <c r="A536" s="14">
        <v>45714</v>
      </c>
      <c r="B536" s="14" t="s">
        <v>46</v>
      </c>
      <c r="C536" s="15">
        <v>4</v>
      </c>
      <c r="D536" s="16"/>
      <c r="E536" s="16"/>
      <c r="F536" s="17"/>
      <c r="G536" s="21"/>
      <c r="H536" s="21"/>
      <c r="I536" s="4">
        <v>0</v>
      </c>
      <c r="J536" s="4">
        <v>0</v>
      </c>
      <c r="K536" s="4"/>
      <c r="L536" s="16"/>
      <c r="M536" s="4"/>
      <c r="N536" s="4"/>
      <c r="O536" s="4"/>
      <c r="P536" s="4"/>
      <c r="Q536" s="4"/>
      <c r="R536" s="4"/>
      <c r="S536" s="4">
        <v>0</v>
      </c>
      <c r="T536" s="4">
        <v>0</v>
      </c>
      <c r="U536" s="4">
        <v>0</v>
      </c>
      <c r="V536" s="4">
        <v>12</v>
      </c>
      <c r="W536" s="4">
        <v>12</v>
      </c>
      <c r="X536" s="4">
        <v>0</v>
      </c>
      <c r="Y536" s="4"/>
      <c r="Z536" s="4">
        <v>717.96</v>
      </c>
      <c r="AA536" s="4">
        <v>700</v>
      </c>
      <c r="AB536" s="18"/>
      <c r="AC536" s="18">
        <v>9</v>
      </c>
      <c r="AD536" s="28"/>
      <c r="AE536" s="26"/>
      <c r="AF536" s="28"/>
    </row>
    <row r="537" spans="1:32" ht="12.6" customHeight="1" x14ac:dyDescent="0.25">
      <c r="A537" s="14">
        <v>45714</v>
      </c>
      <c r="B537" s="14" t="s">
        <v>45</v>
      </c>
      <c r="C537" s="15">
        <v>5</v>
      </c>
      <c r="D537" s="16">
        <v>20</v>
      </c>
      <c r="E537" s="16"/>
      <c r="F537" s="17"/>
      <c r="G537" s="21"/>
      <c r="H537" s="21"/>
      <c r="I537" s="4">
        <v>20</v>
      </c>
      <c r="J537" s="4">
        <v>0.33333333333333331</v>
      </c>
      <c r="K537" s="4"/>
      <c r="L537" s="16"/>
      <c r="M537" s="4"/>
      <c r="N537" s="4"/>
      <c r="O537" s="4"/>
      <c r="P537" s="4"/>
      <c r="Q537" s="4"/>
      <c r="R537" s="4"/>
      <c r="S537" s="4">
        <v>0</v>
      </c>
      <c r="T537" s="4">
        <v>0</v>
      </c>
      <c r="U537" s="4">
        <v>0.33333333333333331</v>
      </c>
      <c r="V537" s="4">
        <v>11.666666666666666</v>
      </c>
      <c r="W537" s="4">
        <v>12</v>
      </c>
      <c r="X537" s="4">
        <v>0</v>
      </c>
      <c r="Y537" s="4"/>
      <c r="Z537" s="4">
        <v>577.76</v>
      </c>
      <c r="AA537" s="4">
        <v>600</v>
      </c>
      <c r="AB537" s="18"/>
      <c r="AC537" s="18">
        <v>9</v>
      </c>
      <c r="AD537" s="28"/>
      <c r="AE537" s="26"/>
      <c r="AF537" s="28"/>
    </row>
    <row r="538" spans="1:32" ht="12.6" customHeight="1" x14ac:dyDescent="0.25">
      <c r="A538" s="14">
        <v>45714</v>
      </c>
      <c r="B538" s="14" t="s">
        <v>46</v>
      </c>
      <c r="C538" s="15">
        <v>5</v>
      </c>
      <c r="D538" s="16"/>
      <c r="E538" s="16"/>
      <c r="F538" s="17"/>
      <c r="G538" s="21"/>
      <c r="H538" s="21"/>
      <c r="I538" s="4">
        <v>0</v>
      </c>
      <c r="J538" s="4">
        <v>0</v>
      </c>
      <c r="K538" s="4"/>
      <c r="L538" s="16"/>
      <c r="M538" s="4"/>
      <c r="N538" s="4"/>
      <c r="O538" s="4"/>
      <c r="P538" s="4"/>
      <c r="Q538" s="4"/>
      <c r="R538" s="4"/>
      <c r="S538" s="4">
        <v>0</v>
      </c>
      <c r="T538" s="4">
        <v>0</v>
      </c>
      <c r="U538" s="4">
        <v>0</v>
      </c>
      <c r="V538" s="4">
        <v>12</v>
      </c>
      <c r="W538" s="4">
        <v>12</v>
      </c>
      <c r="X538" s="4">
        <v>0</v>
      </c>
      <c r="Y538" s="4"/>
      <c r="Z538" s="4">
        <v>563.04</v>
      </c>
      <c r="AA538" s="4">
        <v>550</v>
      </c>
      <c r="AB538" s="18"/>
      <c r="AC538" s="18">
        <v>9</v>
      </c>
      <c r="AD538" s="28"/>
      <c r="AE538" s="26"/>
      <c r="AF538" s="28"/>
    </row>
    <row r="539" spans="1:32" ht="12.6" customHeight="1" x14ac:dyDescent="0.25">
      <c r="A539" s="14">
        <v>45715</v>
      </c>
      <c r="B539" s="14" t="s">
        <v>45</v>
      </c>
      <c r="C539" s="15">
        <v>1</v>
      </c>
      <c r="D539" s="16"/>
      <c r="E539" s="16"/>
      <c r="F539" s="17"/>
      <c r="G539" s="21"/>
      <c r="H539" s="21"/>
      <c r="I539" s="4">
        <v>0</v>
      </c>
      <c r="J539" s="4">
        <v>0</v>
      </c>
      <c r="K539" s="4"/>
      <c r="L539" s="16"/>
      <c r="M539" s="4"/>
      <c r="N539" s="4"/>
      <c r="O539" s="4"/>
      <c r="P539" s="4"/>
      <c r="Q539" s="4"/>
      <c r="R539" s="4"/>
      <c r="S539" s="4">
        <v>0</v>
      </c>
      <c r="T539" s="4">
        <v>0</v>
      </c>
      <c r="U539" s="4">
        <v>0</v>
      </c>
      <c r="V539" s="4">
        <v>12</v>
      </c>
      <c r="W539" s="4">
        <v>12</v>
      </c>
      <c r="X539" s="4">
        <v>55</v>
      </c>
      <c r="Y539" s="4">
        <v>1939</v>
      </c>
      <c r="Z539" s="4">
        <v>138.51999999999998</v>
      </c>
      <c r="AA539" s="4">
        <v>100</v>
      </c>
      <c r="AB539" s="18">
        <v>398</v>
      </c>
      <c r="AC539" s="18">
        <v>9</v>
      </c>
      <c r="AD539" s="28"/>
      <c r="AE539" s="26"/>
      <c r="AF539" s="28"/>
    </row>
    <row r="540" spans="1:32" ht="12.6" customHeight="1" x14ac:dyDescent="0.25">
      <c r="A540" s="14">
        <v>45715</v>
      </c>
      <c r="B540" s="14" t="s">
        <v>46</v>
      </c>
      <c r="C540" s="15">
        <v>1</v>
      </c>
      <c r="D540" s="16"/>
      <c r="E540" s="16"/>
      <c r="F540" s="17"/>
      <c r="G540" s="21"/>
      <c r="H540" s="21"/>
      <c r="I540" s="4">
        <v>0</v>
      </c>
      <c r="J540" s="4">
        <v>0</v>
      </c>
      <c r="K540" s="4"/>
      <c r="L540" s="16"/>
      <c r="M540" s="4"/>
      <c r="N540" s="4"/>
      <c r="O540" s="4"/>
      <c r="P540" s="4"/>
      <c r="Q540" s="4"/>
      <c r="R540" s="4"/>
      <c r="S540" s="4">
        <v>0</v>
      </c>
      <c r="T540" s="4">
        <v>0</v>
      </c>
      <c r="U540" s="4">
        <v>0</v>
      </c>
      <c r="V540" s="4">
        <v>12</v>
      </c>
      <c r="W540" s="4">
        <v>12</v>
      </c>
      <c r="X540" s="4">
        <v>25</v>
      </c>
      <c r="Y540" s="4"/>
      <c r="Z540" s="4">
        <v>140.03</v>
      </c>
      <c r="AA540" s="4">
        <v>150</v>
      </c>
      <c r="AB540" s="18"/>
      <c r="AC540" s="18">
        <v>9</v>
      </c>
      <c r="AD540" s="28"/>
      <c r="AE540" s="26"/>
      <c r="AF540" s="28"/>
    </row>
    <row r="541" spans="1:32" ht="12.6" customHeight="1" x14ac:dyDescent="0.25">
      <c r="A541" s="14">
        <v>45715</v>
      </c>
      <c r="B541" s="14" t="s">
        <v>45</v>
      </c>
      <c r="C541" s="15">
        <v>2</v>
      </c>
      <c r="D541" s="16"/>
      <c r="E541" s="16"/>
      <c r="F541" s="17"/>
      <c r="G541" s="21"/>
      <c r="H541" s="21"/>
      <c r="I541" s="4">
        <v>0</v>
      </c>
      <c r="J541" s="4">
        <v>0</v>
      </c>
      <c r="K541" s="4"/>
      <c r="L541" s="16"/>
      <c r="M541" s="4"/>
      <c r="N541" s="4"/>
      <c r="O541" s="4"/>
      <c r="P541" s="4">
        <v>150</v>
      </c>
      <c r="Q541" s="4"/>
      <c r="R541" s="4"/>
      <c r="S541" s="4">
        <v>150</v>
      </c>
      <c r="T541" s="4">
        <v>2.5</v>
      </c>
      <c r="U541" s="4">
        <v>2.5</v>
      </c>
      <c r="V541" s="4">
        <v>9.5</v>
      </c>
      <c r="W541" s="4">
        <v>12</v>
      </c>
      <c r="X541" s="4">
        <v>0</v>
      </c>
      <c r="Y541" s="4"/>
      <c r="Z541" s="4">
        <v>130.58000000000001</v>
      </c>
      <c r="AA541" s="4">
        <v>150</v>
      </c>
      <c r="AB541" s="18"/>
      <c r="AC541" s="18">
        <v>9</v>
      </c>
      <c r="AD541" s="28"/>
      <c r="AE541" s="26"/>
      <c r="AF541" s="28"/>
    </row>
    <row r="542" spans="1:32" ht="12.6" customHeight="1" x14ac:dyDescent="0.25">
      <c r="A542" s="14">
        <v>45715</v>
      </c>
      <c r="B542" s="14" t="s">
        <v>46</v>
      </c>
      <c r="C542" s="15">
        <v>2</v>
      </c>
      <c r="D542" s="16"/>
      <c r="E542" s="16"/>
      <c r="F542" s="17"/>
      <c r="G542" s="21"/>
      <c r="H542" s="21"/>
      <c r="I542" s="4">
        <v>0</v>
      </c>
      <c r="J542" s="4">
        <v>0</v>
      </c>
      <c r="K542" s="4"/>
      <c r="L542" s="16"/>
      <c r="M542" s="4"/>
      <c r="N542" s="4"/>
      <c r="O542" s="4"/>
      <c r="P542" s="4"/>
      <c r="Q542" s="4"/>
      <c r="R542" s="4"/>
      <c r="S542" s="4">
        <v>0</v>
      </c>
      <c r="T542" s="4">
        <v>0</v>
      </c>
      <c r="U542" s="4">
        <v>0</v>
      </c>
      <c r="V542" s="4">
        <v>12</v>
      </c>
      <c r="W542" s="4">
        <v>12</v>
      </c>
      <c r="X542" s="4">
        <v>0</v>
      </c>
      <c r="Y542" s="4"/>
      <c r="Z542" s="4">
        <v>139.60000000000002</v>
      </c>
      <c r="AA542" s="4">
        <v>150</v>
      </c>
      <c r="AB542" s="18"/>
      <c r="AC542" s="18">
        <v>9</v>
      </c>
      <c r="AD542" s="28"/>
      <c r="AE542" s="26"/>
      <c r="AF542" s="28"/>
    </row>
    <row r="543" spans="1:32" ht="12.6" customHeight="1" x14ac:dyDescent="0.25">
      <c r="A543" s="14">
        <v>45715</v>
      </c>
      <c r="B543" s="14" t="s">
        <v>45</v>
      </c>
      <c r="C543" s="15">
        <v>3</v>
      </c>
      <c r="D543" s="16"/>
      <c r="E543" s="16"/>
      <c r="F543" s="17"/>
      <c r="G543" s="21"/>
      <c r="H543" s="21"/>
      <c r="I543" s="4">
        <v>0</v>
      </c>
      <c r="J543" s="4">
        <v>0</v>
      </c>
      <c r="K543" s="4"/>
      <c r="L543" s="16"/>
      <c r="M543" s="4"/>
      <c r="N543" s="4"/>
      <c r="O543" s="4"/>
      <c r="P543" s="4"/>
      <c r="Q543" s="4"/>
      <c r="R543" s="4"/>
      <c r="S543" s="4">
        <v>0</v>
      </c>
      <c r="T543" s="4">
        <v>0</v>
      </c>
      <c r="U543" s="4">
        <v>0</v>
      </c>
      <c r="V543" s="4">
        <v>12</v>
      </c>
      <c r="W543" s="4">
        <v>12</v>
      </c>
      <c r="X543" s="4">
        <v>0</v>
      </c>
      <c r="Y543" s="4"/>
      <c r="Z543" s="4">
        <v>306.60000000000002</v>
      </c>
      <c r="AA543" s="4">
        <v>300</v>
      </c>
      <c r="AB543" s="18"/>
      <c r="AC543" s="18">
        <v>9</v>
      </c>
      <c r="AD543" s="28"/>
      <c r="AE543" s="26"/>
      <c r="AF543" s="28"/>
    </row>
    <row r="544" spans="1:32" ht="12.6" customHeight="1" x14ac:dyDescent="0.25">
      <c r="A544" s="14">
        <v>45715</v>
      </c>
      <c r="B544" s="14" t="s">
        <v>46</v>
      </c>
      <c r="C544" s="15">
        <v>3</v>
      </c>
      <c r="D544" s="16"/>
      <c r="E544" s="16"/>
      <c r="F544" s="17"/>
      <c r="G544" s="21"/>
      <c r="H544" s="21"/>
      <c r="I544" s="4">
        <v>0</v>
      </c>
      <c r="J544" s="4">
        <v>0</v>
      </c>
      <c r="K544" s="4"/>
      <c r="L544" s="16"/>
      <c r="M544" s="4"/>
      <c r="N544" s="4"/>
      <c r="O544" s="4"/>
      <c r="P544" s="4"/>
      <c r="Q544" s="4"/>
      <c r="R544" s="4"/>
      <c r="S544" s="4">
        <v>0</v>
      </c>
      <c r="T544" s="4">
        <v>0</v>
      </c>
      <c r="U544" s="4">
        <v>0</v>
      </c>
      <c r="V544" s="4">
        <v>12</v>
      </c>
      <c r="W544" s="4">
        <v>12</v>
      </c>
      <c r="X544" s="4">
        <v>0</v>
      </c>
      <c r="Y544" s="4"/>
      <c r="Z544" s="4">
        <v>264.73</v>
      </c>
      <c r="AA544" s="4">
        <v>250</v>
      </c>
      <c r="AB544" s="18"/>
      <c r="AC544" s="18">
        <v>9</v>
      </c>
      <c r="AD544" s="28"/>
      <c r="AE544" s="26"/>
      <c r="AF544" s="28"/>
    </row>
    <row r="545" spans="1:32" ht="12.6" customHeight="1" x14ac:dyDescent="0.25">
      <c r="A545" s="14">
        <v>45715</v>
      </c>
      <c r="B545" s="14" t="s">
        <v>45</v>
      </c>
      <c r="C545" s="15">
        <v>4</v>
      </c>
      <c r="D545" s="16"/>
      <c r="E545" s="16"/>
      <c r="F545" s="17"/>
      <c r="G545" s="21"/>
      <c r="H545" s="21"/>
      <c r="I545" s="4">
        <v>0</v>
      </c>
      <c r="J545" s="4">
        <v>0</v>
      </c>
      <c r="K545" s="4"/>
      <c r="L545" s="16"/>
      <c r="M545" s="4"/>
      <c r="N545" s="4"/>
      <c r="O545" s="4"/>
      <c r="P545" s="4"/>
      <c r="Q545" s="4"/>
      <c r="R545" s="4"/>
      <c r="S545" s="4">
        <v>0</v>
      </c>
      <c r="T545" s="4">
        <v>0</v>
      </c>
      <c r="U545" s="4">
        <v>0</v>
      </c>
      <c r="V545" s="4">
        <v>12</v>
      </c>
      <c r="W545" s="4">
        <v>12</v>
      </c>
      <c r="X545" s="4">
        <v>0</v>
      </c>
      <c r="Y545" s="4"/>
      <c r="Z545" s="4">
        <v>749.0200000000001</v>
      </c>
      <c r="AA545" s="4">
        <v>750</v>
      </c>
      <c r="AB545" s="18"/>
      <c r="AC545" s="18">
        <v>9</v>
      </c>
      <c r="AD545" s="28"/>
      <c r="AE545" s="26"/>
      <c r="AF545" s="28"/>
    </row>
    <row r="546" spans="1:32" ht="12.6" customHeight="1" x14ac:dyDescent="0.25">
      <c r="A546" s="14">
        <v>45715</v>
      </c>
      <c r="B546" s="14" t="s">
        <v>46</v>
      </c>
      <c r="C546" s="15">
        <v>4</v>
      </c>
      <c r="D546" s="16"/>
      <c r="E546" s="16"/>
      <c r="F546" s="17"/>
      <c r="G546" s="21"/>
      <c r="H546" s="21"/>
      <c r="I546" s="4">
        <v>0</v>
      </c>
      <c r="J546" s="4">
        <v>0</v>
      </c>
      <c r="K546" s="4"/>
      <c r="L546" s="16"/>
      <c r="M546" s="4"/>
      <c r="N546" s="4"/>
      <c r="O546" s="4"/>
      <c r="P546" s="4">
        <v>30</v>
      </c>
      <c r="Q546" s="4"/>
      <c r="R546" s="4"/>
      <c r="S546" s="4">
        <v>30</v>
      </c>
      <c r="T546" s="4">
        <v>0.5</v>
      </c>
      <c r="U546" s="4">
        <v>0.5</v>
      </c>
      <c r="V546" s="4">
        <v>11.5</v>
      </c>
      <c r="W546" s="4">
        <v>12</v>
      </c>
      <c r="X546" s="4">
        <v>0</v>
      </c>
      <c r="Y546" s="4"/>
      <c r="Z546" s="4">
        <v>663.79</v>
      </c>
      <c r="AA546" s="4">
        <v>700</v>
      </c>
      <c r="AB546" s="18"/>
      <c r="AC546" s="18">
        <v>9</v>
      </c>
      <c r="AD546" s="28"/>
      <c r="AE546" s="26"/>
      <c r="AF546" s="28"/>
    </row>
    <row r="547" spans="1:32" ht="12.6" customHeight="1" x14ac:dyDescent="0.25">
      <c r="A547" s="14">
        <v>45715</v>
      </c>
      <c r="B547" s="14" t="s">
        <v>45</v>
      </c>
      <c r="C547" s="15">
        <v>5</v>
      </c>
      <c r="D547" s="16"/>
      <c r="E547" s="16"/>
      <c r="F547" s="17"/>
      <c r="G547" s="21"/>
      <c r="H547" s="21"/>
      <c r="I547" s="4">
        <v>0</v>
      </c>
      <c r="J547" s="4">
        <v>0</v>
      </c>
      <c r="K547" s="4"/>
      <c r="L547" s="16"/>
      <c r="M547" s="4"/>
      <c r="N547" s="4"/>
      <c r="O547" s="4"/>
      <c r="P547" s="4"/>
      <c r="Q547" s="4"/>
      <c r="R547" s="4"/>
      <c r="S547" s="4">
        <v>0</v>
      </c>
      <c r="T547" s="4">
        <v>0</v>
      </c>
      <c r="U547" s="4">
        <v>0</v>
      </c>
      <c r="V547" s="4">
        <v>12</v>
      </c>
      <c r="W547" s="4">
        <v>12</v>
      </c>
      <c r="X547" s="4">
        <v>0</v>
      </c>
      <c r="Y547" s="4"/>
      <c r="Z547" s="4">
        <v>550.21999999999991</v>
      </c>
      <c r="AA547" s="4">
        <v>550</v>
      </c>
      <c r="AB547" s="18"/>
      <c r="AC547" s="18">
        <v>9</v>
      </c>
      <c r="AD547" s="28"/>
      <c r="AE547" s="26"/>
      <c r="AF547" s="28"/>
    </row>
    <row r="548" spans="1:32" ht="12.6" customHeight="1" x14ac:dyDescent="0.25">
      <c r="A548" s="14">
        <v>45715</v>
      </c>
      <c r="B548" s="14" t="s">
        <v>46</v>
      </c>
      <c r="C548" s="15">
        <v>5</v>
      </c>
      <c r="D548" s="16"/>
      <c r="E548" s="16"/>
      <c r="F548" s="17"/>
      <c r="G548" s="21"/>
      <c r="H548" s="21"/>
      <c r="I548" s="4">
        <v>0</v>
      </c>
      <c r="J548" s="4">
        <v>0</v>
      </c>
      <c r="K548" s="4"/>
      <c r="L548" s="16"/>
      <c r="M548" s="4"/>
      <c r="N548" s="4"/>
      <c r="O548" s="4"/>
      <c r="P548" s="4">
        <v>90</v>
      </c>
      <c r="Q548" s="4"/>
      <c r="R548" s="4"/>
      <c r="S548" s="4">
        <v>90</v>
      </c>
      <c r="T548" s="4">
        <v>1.5</v>
      </c>
      <c r="U548" s="4">
        <v>1.5</v>
      </c>
      <c r="V548" s="4">
        <v>10.5</v>
      </c>
      <c r="W548" s="4">
        <v>12</v>
      </c>
      <c r="X548" s="4">
        <v>0</v>
      </c>
      <c r="Y548" s="4"/>
      <c r="Z548" s="4">
        <v>527.12</v>
      </c>
      <c r="AA548" s="4">
        <v>550</v>
      </c>
      <c r="AB548" s="18"/>
      <c r="AC548" s="18">
        <v>9</v>
      </c>
      <c r="AD548" s="28"/>
      <c r="AE548" s="26"/>
      <c r="AF548" s="28"/>
    </row>
    <row r="549" spans="1:32" ht="12.6" customHeight="1" x14ac:dyDescent="0.25">
      <c r="A549" s="14">
        <v>45716</v>
      </c>
      <c r="B549" s="14" t="s">
        <v>45</v>
      </c>
      <c r="C549" s="15">
        <v>1</v>
      </c>
      <c r="D549" s="16"/>
      <c r="E549" s="16"/>
      <c r="F549" s="17"/>
      <c r="G549" s="21"/>
      <c r="H549" s="21"/>
      <c r="I549" s="4">
        <v>0</v>
      </c>
      <c r="J549" s="4">
        <v>0</v>
      </c>
      <c r="K549" s="4"/>
      <c r="L549" s="16"/>
      <c r="M549" s="4"/>
      <c r="N549" s="4"/>
      <c r="O549" s="4"/>
      <c r="P549" s="4"/>
      <c r="Q549" s="4"/>
      <c r="R549" s="4"/>
      <c r="S549" s="4">
        <v>0</v>
      </c>
      <c r="T549" s="4">
        <v>0</v>
      </c>
      <c r="U549" s="4">
        <v>0</v>
      </c>
      <c r="V549" s="4">
        <v>12</v>
      </c>
      <c r="W549" s="4">
        <v>12</v>
      </c>
      <c r="X549" s="4">
        <v>30</v>
      </c>
      <c r="Y549" s="4">
        <v>1931</v>
      </c>
      <c r="Z549" s="4">
        <v>130.13999999999999</v>
      </c>
      <c r="AA549" s="4">
        <v>150</v>
      </c>
      <c r="AB549" s="18">
        <v>398</v>
      </c>
      <c r="AC549" s="18">
        <v>9</v>
      </c>
      <c r="AD549" s="28"/>
      <c r="AE549" s="26"/>
      <c r="AF549" s="28"/>
    </row>
    <row r="550" spans="1:32" ht="12.6" customHeight="1" x14ac:dyDescent="0.25">
      <c r="A550" s="14">
        <v>45716</v>
      </c>
      <c r="B550" s="14" t="s">
        <v>46</v>
      </c>
      <c r="C550" s="15">
        <v>1</v>
      </c>
      <c r="D550" s="16"/>
      <c r="E550" s="16"/>
      <c r="F550" s="17"/>
      <c r="G550" s="21"/>
      <c r="H550" s="21"/>
      <c r="I550" s="4">
        <v>0</v>
      </c>
      <c r="J550" s="4">
        <v>0</v>
      </c>
      <c r="K550" s="4"/>
      <c r="L550" s="16"/>
      <c r="M550" s="4"/>
      <c r="N550" s="4"/>
      <c r="O550" s="4"/>
      <c r="P550" s="4"/>
      <c r="Q550" s="4"/>
      <c r="R550" s="4"/>
      <c r="S550" s="4">
        <v>0</v>
      </c>
      <c r="T550" s="4">
        <v>0</v>
      </c>
      <c r="U550" s="4">
        <v>0</v>
      </c>
      <c r="V550" s="4">
        <v>12</v>
      </c>
      <c r="W550" s="4">
        <v>12</v>
      </c>
      <c r="X550" s="4">
        <v>30</v>
      </c>
      <c r="Y550" s="4"/>
      <c r="Z550" s="4">
        <v>114.97</v>
      </c>
      <c r="AA550" s="4">
        <v>150</v>
      </c>
      <c r="AB550" s="18"/>
      <c r="AC550" s="18">
        <v>9</v>
      </c>
      <c r="AD550" s="28"/>
      <c r="AE550" s="26"/>
      <c r="AF550" s="28"/>
    </row>
    <row r="551" spans="1:32" ht="12.6" customHeight="1" x14ac:dyDescent="0.25">
      <c r="A551" s="14">
        <v>45716</v>
      </c>
      <c r="B551" s="14" t="s">
        <v>45</v>
      </c>
      <c r="C551" s="15">
        <v>2</v>
      </c>
      <c r="D551" s="16"/>
      <c r="E551" s="16"/>
      <c r="F551" s="17"/>
      <c r="G551" s="21"/>
      <c r="H551" s="21"/>
      <c r="I551" s="4">
        <v>0</v>
      </c>
      <c r="J551" s="4">
        <v>0</v>
      </c>
      <c r="K551" s="4"/>
      <c r="L551" s="16"/>
      <c r="M551" s="4"/>
      <c r="N551" s="4"/>
      <c r="O551" s="4"/>
      <c r="P551" s="4"/>
      <c r="Q551" s="4"/>
      <c r="R551" s="4"/>
      <c r="S551" s="4">
        <v>0</v>
      </c>
      <c r="T551" s="4">
        <v>0</v>
      </c>
      <c r="U551" s="4">
        <v>0</v>
      </c>
      <c r="V551" s="4">
        <v>12</v>
      </c>
      <c r="W551" s="4">
        <v>12</v>
      </c>
      <c r="X551" s="4">
        <v>0</v>
      </c>
      <c r="Y551" s="4"/>
      <c r="Z551" s="4">
        <v>163.03</v>
      </c>
      <c r="AA551" s="4">
        <v>150</v>
      </c>
      <c r="AB551" s="18"/>
      <c r="AC551" s="18">
        <v>9</v>
      </c>
      <c r="AD551" s="28"/>
      <c r="AE551" s="26"/>
      <c r="AF551" s="28"/>
    </row>
    <row r="552" spans="1:32" ht="12.6" customHeight="1" x14ac:dyDescent="0.25">
      <c r="A552" s="14">
        <v>45716</v>
      </c>
      <c r="B552" s="14" t="s">
        <v>46</v>
      </c>
      <c r="C552" s="15">
        <v>2</v>
      </c>
      <c r="D552" s="16"/>
      <c r="E552" s="16"/>
      <c r="F552" s="17"/>
      <c r="G552" s="21"/>
      <c r="H552" s="21"/>
      <c r="I552" s="4">
        <v>0</v>
      </c>
      <c r="J552" s="4">
        <v>0</v>
      </c>
      <c r="K552" s="4"/>
      <c r="L552" s="16"/>
      <c r="M552" s="4"/>
      <c r="N552" s="4"/>
      <c r="O552" s="4"/>
      <c r="P552" s="4"/>
      <c r="Q552" s="4"/>
      <c r="R552" s="4"/>
      <c r="S552" s="4">
        <v>0</v>
      </c>
      <c r="T552" s="4">
        <v>0</v>
      </c>
      <c r="U552" s="4">
        <v>0</v>
      </c>
      <c r="V552" s="4">
        <v>12</v>
      </c>
      <c r="W552" s="4">
        <v>12</v>
      </c>
      <c r="X552" s="4">
        <v>0</v>
      </c>
      <c r="Y552" s="4"/>
      <c r="Z552" s="4">
        <v>154.47000000000003</v>
      </c>
      <c r="AA552" s="4">
        <v>150</v>
      </c>
      <c r="AB552" s="18"/>
      <c r="AC552" s="18">
        <v>9</v>
      </c>
      <c r="AD552" s="28"/>
      <c r="AE552" s="26"/>
      <c r="AF552" s="28"/>
    </row>
    <row r="553" spans="1:32" ht="12.6" customHeight="1" x14ac:dyDescent="0.25">
      <c r="A553" s="14">
        <v>45716</v>
      </c>
      <c r="B553" s="14" t="s">
        <v>45</v>
      </c>
      <c r="C553" s="15">
        <v>3</v>
      </c>
      <c r="D553" s="16">
        <v>20</v>
      </c>
      <c r="E553" s="16"/>
      <c r="F553" s="17"/>
      <c r="G553" s="21"/>
      <c r="H553" s="21"/>
      <c r="I553" s="4">
        <v>20</v>
      </c>
      <c r="J553" s="4">
        <v>0.33333333333333331</v>
      </c>
      <c r="K553" s="4"/>
      <c r="L553" s="16"/>
      <c r="M553" s="4"/>
      <c r="N553" s="4"/>
      <c r="O553" s="4"/>
      <c r="P553" s="4"/>
      <c r="Q553" s="4"/>
      <c r="R553" s="4"/>
      <c r="S553" s="4">
        <v>0</v>
      </c>
      <c r="T553" s="4">
        <v>0</v>
      </c>
      <c r="U553" s="4">
        <v>0.33333333333333331</v>
      </c>
      <c r="V553" s="4">
        <v>11.666666666666666</v>
      </c>
      <c r="W553" s="4">
        <v>12</v>
      </c>
      <c r="X553" s="4">
        <v>0</v>
      </c>
      <c r="Y553" s="4"/>
      <c r="Z553" s="4">
        <v>295.87</v>
      </c>
      <c r="AA553" s="4">
        <v>300</v>
      </c>
      <c r="AB553" s="18"/>
      <c r="AC553" s="18">
        <v>9</v>
      </c>
      <c r="AD553" s="28"/>
      <c r="AE553" s="26"/>
      <c r="AF553" s="28"/>
    </row>
    <row r="554" spans="1:32" ht="12.6" customHeight="1" x14ac:dyDescent="0.25">
      <c r="A554" s="14">
        <v>45716</v>
      </c>
      <c r="B554" s="14" t="s">
        <v>46</v>
      </c>
      <c r="C554" s="15">
        <v>3</v>
      </c>
      <c r="D554" s="16">
        <v>20</v>
      </c>
      <c r="E554" s="16"/>
      <c r="F554" s="17"/>
      <c r="G554" s="21"/>
      <c r="H554" s="21"/>
      <c r="I554" s="4">
        <v>20</v>
      </c>
      <c r="J554" s="4">
        <v>0.33333333333333331</v>
      </c>
      <c r="K554" s="4"/>
      <c r="L554" s="16"/>
      <c r="M554" s="4"/>
      <c r="N554" s="4"/>
      <c r="O554" s="4"/>
      <c r="P554" s="4"/>
      <c r="Q554" s="4"/>
      <c r="R554" s="4"/>
      <c r="S554" s="4">
        <v>0</v>
      </c>
      <c r="T554" s="4">
        <v>0</v>
      </c>
      <c r="U554" s="4">
        <v>0.33333333333333331</v>
      </c>
      <c r="V554" s="4">
        <v>11.666666666666666</v>
      </c>
      <c r="W554" s="4">
        <v>12</v>
      </c>
      <c r="X554" s="4">
        <v>0</v>
      </c>
      <c r="Y554" s="4"/>
      <c r="Z554" s="4">
        <v>298.42</v>
      </c>
      <c r="AA554" s="4">
        <v>300</v>
      </c>
      <c r="AB554" s="18"/>
      <c r="AC554" s="18">
        <v>9</v>
      </c>
      <c r="AD554" s="28"/>
      <c r="AE554" s="26"/>
      <c r="AF554" s="28"/>
    </row>
    <row r="555" spans="1:32" ht="12.6" customHeight="1" x14ac:dyDescent="0.25">
      <c r="A555" s="14">
        <v>45716</v>
      </c>
      <c r="B555" s="14" t="s">
        <v>45</v>
      </c>
      <c r="C555" s="15">
        <v>4</v>
      </c>
      <c r="D555" s="16">
        <v>20</v>
      </c>
      <c r="E555" s="16"/>
      <c r="F555" s="17"/>
      <c r="G555" s="21"/>
      <c r="H555" s="21"/>
      <c r="I555" s="4">
        <v>20</v>
      </c>
      <c r="J555" s="4">
        <v>0.33333333333333331</v>
      </c>
      <c r="K555" s="4"/>
      <c r="L555" s="16"/>
      <c r="M555" s="4"/>
      <c r="N555" s="4"/>
      <c r="O555" s="4"/>
      <c r="P555" s="4"/>
      <c r="Q555" s="4"/>
      <c r="R555" s="4"/>
      <c r="S555" s="4">
        <v>0</v>
      </c>
      <c r="T555" s="4">
        <v>0</v>
      </c>
      <c r="U555" s="4">
        <v>0.33333333333333331</v>
      </c>
      <c r="V555" s="4">
        <v>11.666666666666666</v>
      </c>
      <c r="W555" s="4">
        <v>12</v>
      </c>
      <c r="X555" s="4">
        <v>0</v>
      </c>
      <c r="Y555" s="4"/>
      <c r="Z555" s="4">
        <v>742.15</v>
      </c>
      <c r="AA555" s="4">
        <v>750</v>
      </c>
      <c r="AB555" s="18"/>
      <c r="AC555" s="18">
        <v>9</v>
      </c>
      <c r="AD555" s="28"/>
      <c r="AE555" s="26"/>
      <c r="AF555" s="28"/>
    </row>
    <row r="556" spans="1:32" ht="12.6" customHeight="1" x14ac:dyDescent="0.25">
      <c r="A556" s="14">
        <v>45716</v>
      </c>
      <c r="B556" s="14" t="s">
        <v>46</v>
      </c>
      <c r="C556" s="15">
        <v>4</v>
      </c>
      <c r="D556" s="16">
        <v>130</v>
      </c>
      <c r="E556" s="16"/>
      <c r="F556" s="17"/>
      <c r="G556" s="21"/>
      <c r="H556" s="21"/>
      <c r="I556" s="4">
        <v>130</v>
      </c>
      <c r="J556" s="4">
        <v>2.1666666666666665</v>
      </c>
      <c r="K556" s="4"/>
      <c r="L556" s="16"/>
      <c r="M556" s="4"/>
      <c r="N556" s="4"/>
      <c r="O556" s="4"/>
      <c r="P556" s="4"/>
      <c r="Q556" s="4"/>
      <c r="R556" s="4"/>
      <c r="S556" s="4">
        <v>0</v>
      </c>
      <c r="T556" s="4">
        <v>0</v>
      </c>
      <c r="U556" s="4">
        <v>2.1666666666666665</v>
      </c>
      <c r="V556" s="4">
        <v>9.8333333333333339</v>
      </c>
      <c r="W556" s="4">
        <v>12</v>
      </c>
      <c r="X556" s="4">
        <v>0</v>
      </c>
      <c r="Y556" s="4"/>
      <c r="Z556" s="4">
        <v>694.47</v>
      </c>
      <c r="AA556" s="4">
        <v>700</v>
      </c>
      <c r="AB556" s="18"/>
      <c r="AC556" s="18">
        <v>9</v>
      </c>
      <c r="AD556" s="28"/>
      <c r="AE556" s="26"/>
      <c r="AF556" s="28"/>
    </row>
    <row r="557" spans="1:32" ht="12.6" customHeight="1" x14ac:dyDescent="0.25">
      <c r="A557" s="14">
        <v>45716</v>
      </c>
      <c r="B557" s="14" t="s">
        <v>45</v>
      </c>
      <c r="C557" s="15">
        <v>5</v>
      </c>
      <c r="D557" s="16">
        <v>20</v>
      </c>
      <c r="E557" s="16"/>
      <c r="F557" s="17"/>
      <c r="G557" s="21"/>
      <c r="H557" s="21"/>
      <c r="I557" s="4">
        <v>20</v>
      </c>
      <c r="J557" s="4">
        <v>0.33333333333333331</v>
      </c>
      <c r="K557" s="4"/>
      <c r="L557" s="16"/>
      <c r="M557" s="4"/>
      <c r="N557" s="4"/>
      <c r="O557" s="4"/>
      <c r="P557" s="4"/>
      <c r="Q557" s="4"/>
      <c r="R557" s="4"/>
      <c r="S557" s="4">
        <v>0</v>
      </c>
      <c r="T557" s="4">
        <v>0</v>
      </c>
      <c r="U557" s="4">
        <v>0.33333333333333331</v>
      </c>
      <c r="V557" s="4">
        <v>11.666666666666666</v>
      </c>
      <c r="W557" s="4">
        <v>12</v>
      </c>
      <c r="X557" s="4">
        <v>0</v>
      </c>
      <c r="Y557" s="4"/>
      <c r="Z557" s="4">
        <v>606.18999999999994</v>
      </c>
      <c r="AA557" s="4">
        <v>600</v>
      </c>
      <c r="AB557" s="18"/>
      <c r="AC557" s="18">
        <v>9</v>
      </c>
      <c r="AD557" s="28"/>
      <c r="AE557" s="26"/>
      <c r="AF557" s="28"/>
    </row>
    <row r="558" spans="1:32" ht="12.6" customHeight="1" x14ac:dyDescent="0.25">
      <c r="A558" s="14">
        <v>45716</v>
      </c>
      <c r="B558" s="14" t="s">
        <v>46</v>
      </c>
      <c r="C558" s="15">
        <v>5</v>
      </c>
      <c r="D558" s="16">
        <v>70</v>
      </c>
      <c r="E558" s="16"/>
      <c r="F558" s="17"/>
      <c r="G558" s="21"/>
      <c r="H558" s="21"/>
      <c r="I558" s="4">
        <v>70</v>
      </c>
      <c r="J558" s="4">
        <v>1.1666666666666667</v>
      </c>
      <c r="K558" s="4"/>
      <c r="L558" s="16"/>
      <c r="M558" s="4"/>
      <c r="N558" s="4"/>
      <c r="O558" s="4"/>
      <c r="P558" s="4"/>
      <c r="Q558" s="4"/>
      <c r="R558" s="4"/>
      <c r="S558" s="4">
        <v>0</v>
      </c>
      <c r="T558" s="4">
        <v>0</v>
      </c>
      <c r="U558" s="4">
        <v>1.1666666666666667</v>
      </c>
      <c r="V558" s="4">
        <v>10.833333333333334</v>
      </c>
      <c r="W558" s="4">
        <v>12</v>
      </c>
      <c r="X558" s="4">
        <v>0</v>
      </c>
      <c r="Y558" s="4"/>
      <c r="Z558" s="4">
        <v>529.1099999999999</v>
      </c>
      <c r="AA558" s="4">
        <v>550</v>
      </c>
      <c r="AB558" s="18"/>
      <c r="AC558" s="18">
        <v>9</v>
      </c>
      <c r="AD558" s="28"/>
      <c r="AE558" s="26"/>
      <c r="AF558" s="28"/>
    </row>
    <row r="559" spans="1:32" ht="12.6" customHeight="1" x14ac:dyDescent="0.25">
      <c r="A559" s="14">
        <v>45717</v>
      </c>
      <c r="B559" s="14" t="s">
        <v>45</v>
      </c>
      <c r="C559" s="15">
        <v>1</v>
      </c>
      <c r="D559" s="16"/>
      <c r="E559" s="16"/>
      <c r="F559" s="17"/>
      <c r="G559" s="21"/>
      <c r="H559" s="21"/>
      <c r="I559" s="4">
        <v>0</v>
      </c>
      <c r="J559" s="4">
        <v>0</v>
      </c>
      <c r="K559" s="4"/>
      <c r="L559" s="16"/>
      <c r="M559" s="4"/>
      <c r="N559" s="4"/>
      <c r="O559" s="4"/>
      <c r="P559" s="4"/>
      <c r="Q559" s="4"/>
      <c r="R559" s="4"/>
      <c r="S559" s="4">
        <v>0</v>
      </c>
      <c r="T559" s="4">
        <v>0</v>
      </c>
      <c r="U559" s="4">
        <v>0</v>
      </c>
      <c r="V559" s="4">
        <v>12</v>
      </c>
      <c r="W559" s="4">
        <v>12</v>
      </c>
      <c r="X559" s="4">
        <v>30</v>
      </c>
      <c r="Y559" s="4">
        <v>1856</v>
      </c>
      <c r="Z559" s="4">
        <v>125.95999999999998</v>
      </c>
      <c r="AA559" s="4">
        <v>150</v>
      </c>
      <c r="AB559" s="18">
        <v>398</v>
      </c>
      <c r="AC559" s="18">
        <v>9</v>
      </c>
      <c r="AD559" s="28"/>
      <c r="AE559" s="26"/>
      <c r="AF559" s="28"/>
    </row>
    <row r="560" spans="1:32" ht="12.6" customHeight="1" x14ac:dyDescent="0.25">
      <c r="A560" s="14">
        <v>45717</v>
      </c>
      <c r="B560" s="14" t="s">
        <v>46</v>
      </c>
      <c r="C560" s="15">
        <v>1</v>
      </c>
      <c r="D560" s="16">
        <v>60</v>
      </c>
      <c r="E560" s="16"/>
      <c r="F560" s="17"/>
      <c r="G560" s="21"/>
      <c r="H560" s="21"/>
      <c r="I560" s="4">
        <v>60</v>
      </c>
      <c r="J560" s="4">
        <v>1</v>
      </c>
      <c r="K560" s="4"/>
      <c r="L560" s="16"/>
      <c r="M560" s="4"/>
      <c r="N560" s="4"/>
      <c r="O560" s="4"/>
      <c r="P560" s="4">
        <v>120</v>
      </c>
      <c r="Q560" s="4">
        <v>120</v>
      </c>
      <c r="R560" s="4"/>
      <c r="S560" s="4">
        <v>240</v>
      </c>
      <c r="T560" s="4">
        <v>4</v>
      </c>
      <c r="U560" s="4">
        <v>5</v>
      </c>
      <c r="V560" s="4">
        <v>7</v>
      </c>
      <c r="W560" s="4">
        <v>12</v>
      </c>
      <c r="X560" s="4">
        <v>30</v>
      </c>
      <c r="Y560" s="4"/>
      <c r="Z560" s="4">
        <v>106.38000000000001</v>
      </c>
      <c r="AA560" s="4">
        <v>100</v>
      </c>
      <c r="AB560" s="18"/>
      <c r="AC560" s="18">
        <v>9</v>
      </c>
      <c r="AD560" s="28"/>
      <c r="AE560" s="26"/>
      <c r="AF560" s="28"/>
    </row>
    <row r="561" spans="1:32" ht="12.6" customHeight="1" x14ac:dyDescent="0.25">
      <c r="A561" s="14">
        <v>45717</v>
      </c>
      <c r="B561" s="14" t="s">
        <v>45</v>
      </c>
      <c r="C561" s="15">
        <v>2</v>
      </c>
      <c r="D561" s="16">
        <v>20</v>
      </c>
      <c r="E561" s="16"/>
      <c r="F561" s="17"/>
      <c r="G561" s="21"/>
      <c r="H561" s="21"/>
      <c r="I561" s="4">
        <v>20</v>
      </c>
      <c r="J561" s="4">
        <v>0.33333333333333331</v>
      </c>
      <c r="K561" s="4"/>
      <c r="L561" s="16"/>
      <c r="M561" s="4"/>
      <c r="N561" s="4"/>
      <c r="O561" s="4"/>
      <c r="P561" s="4"/>
      <c r="Q561" s="4"/>
      <c r="R561" s="4"/>
      <c r="S561" s="4">
        <v>0</v>
      </c>
      <c r="T561" s="4">
        <v>0</v>
      </c>
      <c r="U561" s="4">
        <v>0.33333333333333331</v>
      </c>
      <c r="V561" s="4">
        <v>11.666666666666666</v>
      </c>
      <c r="W561" s="4">
        <v>12</v>
      </c>
      <c r="X561" s="4">
        <v>0</v>
      </c>
      <c r="Y561" s="4"/>
      <c r="Z561" s="4">
        <v>132.97999999999999</v>
      </c>
      <c r="AA561" s="4">
        <v>150</v>
      </c>
      <c r="AB561" s="18"/>
      <c r="AC561" s="18">
        <v>9</v>
      </c>
      <c r="AD561" s="28"/>
      <c r="AE561" s="26"/>
      <c r="AF561" s="28"/>
    </row>
    <row r="562" spans="1:32" ht="12.6" customHeight="1" x14ac:dyDescent="0.25">
      <c r="A562" s="14">
        <v>45717</v>
      </c>
      <c r="B562" s="14" t="s">
        <v>46</v>
      </c>
      <c r="C562" s="15">
        <v>2</v>
      </c>
      <c r="D562" s="16"/>
      <c r="E562" s="16"/>
      <c r="F562" s="17"/>
      <c r="G562" s="21"/>
      <c r="H562" s="21"/>
      <c r="I562" s="4">
        <v>0</v>
      </c>
      <c r="J562" s="4">
        <v>0</v>
      </c>
      <c r="K562" s="4"/>
      <c r="L562" s="16"/>
      <c r="M562" s="4"/>
      <c r="N562" s="4"/>
      <c r="O562" s="4"/>
      <c r="P562" s="4">
        <v>120</v>
      </c>
      <c r="Q562" s="4">
        <v>120</v>
      </c>
      <c r="R562" s="4"/>
      <c r="S562" s="4">
        <v>240</v>
      </c>
      <c r="T562" s="4">
        <v>4</v>
      </c>
      <c r="U562" s="4">
        <v>4</v>
      </c>
      <c r="V562" s="4">
        <v>8</v>
      </c>
      <c r="W562" s="4">
        <v>12</v>
      </c>
      <c r="X562" s="4">
        <v>0</v>
      </c>
      <c r="Y562" s="4"/>
      <c r="Z562" s="4">
        <v>128.13000000000002</v>
      </c>
      <c r="AA562" s="4">
        <v>150</v>
      </c>
      <c r="AB562" s="18"/>
      <c r="AC562" s="18">
        <v>9</v>
      </c>
      <c r="AD562" s="28"/>
      <c r="AE562" s="26"/>
      <c r="AF562" s="28"/>
    </row>
    <row r="563" spans="1:32" ht="12.6" customHeight="1" x14ac:dyDescent="0.25">
      <c r="A563" s="14">
        <v>45717</v>
      </c>
      <c r="B563" s="14" t="s">
        <v>45</v>
      </c>
      <c r="C563" s="15">
        <v>3</v>
      </c>
      <c r="D563" s="16">
        <v>20</v>
      </c>
      <c r="E563" s="16"/>
      <c r="F563" s="17"/>
      <c r="G563" s="21"/>
      <c r="H563" s="21"/>
      <c r="I563" s="4">
        <v>20</v>
      </c>
      <c r="J563" s="4">
        <v>0.33333333333333331</v>
      </c>
      <c r="K563" s="4"/>
      <c r="L563" s="16"/>
      <c r="M563" s="4"/>
      <c r="N563" s="4"/>
      <c r="O563" s="4"/>
      <c r="P563" s="4"/>
      <c r="Q563" s="4"/>
      <c r="R563" s="4"/>
      <c r="S563" s="4">
        <v>0</v>
      </c>
      <c r="T563" s="4">
        <v>0</v>
      </c>
      <c r="U563" s="4">
        <v>0.33333333333333331</v>
      </c>
      <c r="V563" s="4">
        <v>11.666666666666666</v>
      </c>
      <c r="W563" s="4">
        <v>12</v>
      </c>
      <c r="X563" s="4">
        <v>0</v>
      </c>
      <c r="Y563" s="4"/>
      <c r="Z563" s="4">
        <v>305.17000000000007</v>
      </c>
      <c r="AA563" s="4">
        <v>300</v>
      </c>
      <c r="AB563" s="18"/>
      <c r="AC563" s="18">
        <v>9</v>
      </c>
      <c r="AD563" s="28"/>
      <c r="AE563" s="26"/>
      <c r="AF563" s="28"/>
    </row>
    <row r="564" spans="1:32" ht="12.6" customHeight="1" x14ac:dyDescent="0.25">
      <c r="A564" s="14">
        <v>45717</v>
      </c>
      <c r="B564" s="14" t="s">
        <v>46</v>
      </c>
      <c r="C564" s="15">
        <v>3</v>
      </c>
      <c r="D564" s="16"/>
      <c r="E564" s="16"/>
      <c r="F564" s="17"/>
      <c r="G564" s="21"/>
      <c r="H564" s="21"/>
      <c r="I564" s="4">
        <v>0</v>
      </c>
      <c r="J564" s="4">
        <v>0</v>
      </c>
      <c r="K564" s="4"/>
      <c r="L564" s="16"/>
      <c r="M564" s="4"/>
      <c r="N564" s="4"/>
      <c r="O564" s="4"/>
      <c r="P564" s="4"/>
      <c r="Q564" s="4"/>
      <c r="R564" s="4"/>
      <c r="S564" s="4">
        <v>0</v>
      </c>
      <c r="T564" s="4">
        <v>0</v>
      </c>
      <c r="U564" s="4">
        <v>0</v>
      </c>
      <c r="V564" s="4">
        <v>12</v>
      </c>
      <c r="W564" s="4">
        <v>12</v>
      </c>
      <c r="X564" s="4">
        <v>0</v>
      </c>
      <c r="Y564" s="4"/>
      <c r="Z564" s="4">
        <v>395.21</v>
      </c>
      <c r="AA564" s="4">
        <v>400</v>
      </c>
      <c r="AB564" s="18"/>
      <c r="AC564" s="18">
        <v>9</v>
      </c>
      <c r="AD564" s="28"/>
      <c r="AE564" s="26"/>
      <c r="AF564" s="28"/>
    </row>
    <row r="565" spans="1:32" ht="12.6" customHeight="1" x14ac:dyDescent="0.25">
      <c r="A565" s="14">
        <v>45717</v>
      </c>
      <c r="B565" s="14" t="s">
        <v>45</v>
      </c>
      <c r="C565" s="15">
        <v>4</v>
      </c>
      <c r="D565" s="16">
        <v>60</v>
      </c>
      <c r="E565" s="16"/>
      <c r="F565" s="17"/>
      <c r="G565" s="21"/>
      <c r="H565" s="21"/>
      <c r="I565" s="4">
        <v>60</v>
      </c>
      <c r="J565" s="4">
        <v>1</v>
      </c>
      <c r="K565" s="4"/>
      <c r="L565" s="16"/>
      <c r="M565" s="4"/>
      <c r="N565" s="4"/>
      <c r="O565" s="4"/>
      <c r="P565" s="4"/>
      <c r="Q565" s="4"/>
      <c r="R565" s="4"/>
      <c r="S565" s="4">
        <v>0</v>
      </c>
      <c r="T565" s="4">
        <v>0</v>
      </c>
      <c r="U565" s="4">
        <v>1</v>
      </c>
      <c r="V565" s="4">
        <v>11</v>
      </c>
      <c r="W565" s="4">
        <v>12</v>
      </c>
      <c r="X565" s="4">
        <v>0</v>
      </c>
      <c r="Y565" s="4"/>
      <c r="Z565" s="4">
        <v>712.85</v>
      </c>
      <c r="AA565" s="4">
        <v>700</v>
      </c>
      <c r="AB565" s="18"/>
      <c r="AC565" s="18">
        <v>9</v>
      </c>
      <c r="AD565" s="28"/>
      <c r="AE565" s="26"/>
      <c r="AF565" s="28"/>
    </row>
    <row r="566" spans="1:32" ht="12.6" customHeight="1" x14ac:dyDescent="0.25">
      <c r="A566" s="14">
        <v>45717</v>
      </c>
      <c r="B566" s="14" t="s">
        <v>46</v>
      </c>
      <c r="C566" s="15">
        <v>4</v>
      </c>
      <c r="D566" s="16"/>
      <c r="E566" s="16"/>
      <c r="F566" s="17"/>
      <c r="G566" s="21"/>
      <c r="H566" s="21"/>
      <c r="I566" s="4">
        <v>0</v>
      </c>
      <c r="J566" s="4">
        <v>0</v>
      </c>
      <c r="K566" s="4"/>
      <c r="L566" s="16"/>
      <c r="M566" s="4"/>
      <c r="N566" s="4"/>
      <c r="O566" s="4"/>
      <c r="P566" s="4"/>
      <c r="Q566" s="4"/>
      <c r="R566" s="4"/>
      <c r="S566" s="4">
        <v>0</v>
      </c>
      <c r="T566" s="4">
        <v>0</v>
      </c>
      <c r="U566" s="4">
        <v>0</v>
      </c>
      <c r="V566" s="4">
        <v>12</v>
      </c>
      <c r="W566" s="4">
        <v>12</v>
      </c>
      <c r="X566" s="4">
        <v>0</v>
      </c>
      <c r="Y566" s="4"/>
      <c r="Z566" s="4">
        <v>815.51</v>
      </c>
      <c r="AA566" s="4">
        <v>850</v>
      </c>
      <c r="AB566" s="18"/>
      <c r="AC566" s="18">
        <v>9</v>
      </c>
      <c r="AD566" s="28"/>
      <c r="AE566" s="26"/>
      <c r="AF566" s="28"/>
    </row>
    <row r="567" spans="1:32" ht="12.6" customHeight="1" x14ac:dyDescent="0.25">
      <c r="A567" s="14">
        <v>45717</v>
      </c>
      <c r="B567" s="14" t="s">
        <v>45</v>
      </c>
      <c r="C567" s="15">
        <v>5</v>
      </c>
      <c r="D567" s="16">
        <v>30</v>
      </c>
      <c r="E567" s="16"/>
      <c r="F567" s="17"/>
      <c r="G567" s="21"/>
      <c r="H567" s="21"/>
      <c r="I567" s="4">
        <v>30</v>
      </c>
      <c r="J567" s="4">
        <v>0.5</v>
      </c>
      <c r="K567" s="4"/>
      <c r="L567" s="16"/>
      <c r="M567" s="4"/>
      <c r="N567" s="4"/>
      <c r="O567" s="4"/>
      <c r="P567" s="4"/>
      <c r="Q567" s="4"/>
      <c r="R567" s="4"/>
      <c r="S567" s="4">
        <v>0</v>
      </c>
      <c r="T567" s="4">
        <v>0</v>
      </c>
      <c r="U567" s="4">
        <v>0.5</v>
      </c>
      <c r="V567" s="4">
        <v>11.5</v>
      </c>
      <c r="W567" s="4">
        <v>12</v>
      </c>
      <c r="X567" s="4">
        <v>0</v>
      </c>
      <c r="Y567" s="4"/>
      <c r="Z567" s="4">
        <v>498.91499999999996</v>
      </c>
      <c r="AA567" s="4">
        <v>500</v>
      </c>
      <c r="AB567" s="18"/>
      <c r="AC567" s="18">
        <v>9</v>
      </c>
      <c r="AD567" s="28"/>
      <c r="AE567" s="26"/>
      <c r="AF567" s="28"/>
    </row>
    <row r="568" spans="1:32" ht="12.6" customHeight="1" x14ac:dyDescent="0.25">
      <c r="A568" s="14">
        <v>45717</v>
      </c>
      <c r="B568" s="14" t="s">
        <v>46</v>
      </c>
      <c r="C568" s="15">
        <v>5</v>
      </c>
      <c r="D568" s="16"/>
      <c r="E568" s="16"/>
      <c r="F568" s="17"/>
      <c r="G568" s="21"/>
      <c r="H568" s="21"/>
      <c r="I568" s="4">
        <v>0</v>
      </c>
      <c r="J568" s="4">
        <v>0</v>
      </c>
      <c r="K568" s="4"/>
      <c r="L568" s="16"/>
      <c r="M568" s="4"/>
      <c r="N568" s="4"/>
      <c r="O568" s="4"/>
      <c r="P568" s="4"/>
      <c r="Q568" s="4"/>
      <c r="R568" s="4"/>
      <c r="S568" s="4">
        <v>0</v>
      </c>
      <c r="T568" s="4">
        <v>0</v>
      </c>
      <c r="U568" s="4">
        <v>0</v>
      </c>
      <c r="V568" s="4">
        <v>12</v>
      </c>
      <c r="W568" s="4">
        <v>12</v>
      </c>
      <c r="X568" s="4">
        <v>0</v>
      </c>
      <c r="Y568" s="4"/>
      <c r="Z568" s="4">
        <v>603.19000000000005</v>
      </c>
      <c r="AA568" s="4">
        <v>600</v>
      </c>
      <c r="AB568" s="18"/>
      <c r="AC568" s="18">
        <v>9</v>
      </c>
      <c r="AD568" s="28"/>
      <c r="AE568" s="26"/>
      <c r="AF568" s="28"/>
    </row>
    <row r="569" spans="1:32" ht="12.6" customHeight="1" x14ac:dyDescent="0.25">
      <c r="A569" s="14">
        <v>45718</v>
      </c>
      <c r="B569" s="14" t="s">
        <v>45</v>
      </c>
      <c r="C569" s="15">
        <v>1</v>
      </c>
      <c r="D569" s="16"/>
      <c r="E569" s="16"/>
      <c r="F569" s="17"/>
      <c r="G569" s="21"/>
      <c r="H569" s="21"/>
      <c r="I569" s="4">
        <v>0</v>
      </c>
      <c r="J569" s="4">
        <v>0</v>
      </c>
      <c r="K569" s="4"/>
      <c r="L569" s="16"/>
      <c r="M569" s="4"/>
      <c r="N569" s="4"/>
      <c r="O569" s="4"/>
      <c r="P569" s="4"/>
      <c r="Q569" s="4"/>
      <c r="R569" s="4"/>
      <c r="S569" s="4">
        <v>0</v>
      </c>
      <c r="T569" s="4">
        <v>0</v>
      </c>
      <c r="U569" s="4">
        <v>0</v>
      </c>
      <c r="V569" s="4">
        <v>12</v>
      </c>
      <c r="W569" s="4">
        <v>12</v>
      </c>
      <c r="X569" s="4">
        <v>40</v>
      </c>
      <c r="Y569" s="4">
        <v>1951</v>
      </c>
      <c r="Z569" s="4">
        <v>175.18</v>
      </c>
      <c r="AA569" s="4">
        <v>200</v>
      </c>
      <c r="AB569" s="18">
        <v>398</v>
      </c>
      <c r="AC569" s="18">
        <v>9</v>
      </c>
      <c r="AD569" s="28"/>
      <c r="AE569" s="26"/>
      <c r="AF569" s="28"/>
    </row>
    <row r="570" spans="1:32" ht="12.6" customHeight="1" x14ac:dyDescent="0.25">
      <c r="A570" s="14">
        <v>45718</v>
      </c>
      <c r="B570" s="14" t="s">
        <v>46</v>
      </c>
      <c r="C570" s="15">
        <v>1</v>
      </c>
      <c r="D570" s="16"/>
      <c r="E570" s="16"/>
      <c r="F570" s="17"/>
      <c r="G570" s="21"/>
      <c r="H570" s="21"/>
      <c r="I570" s="4">
        <v>0</v>
      </c>
      <c r="J570" s="4">
        <v>0</v>
      </c>
      <c r="K570" s="4"/>
      <c r="L570" s="16"/>
      <c r="M570" s="4"/>
      <c r="N570" s="4"/>
      <c r="O570" s="4"/>
      <c r="P570" s="4"/>
      <c r="Q570" s="4"/>
      <c r="R570" s="4"/>
      <c r="S570" s="4">
        <v>0</v>
      </c>
      <c r="T570" s="4">
        <v>0</v>
      </c>
      <c r="U570" s="4">
        <v>0</v>
      </c>
      <c r="V570" s="4">
        <v>12</v>
      </c>
      <c r="W570" s="4">
        <v>12</v>
      </c>
      <c r="X570" s="4">
        <v>45</v>
      </c>
      <c r="Y570" s="4"/>
      <c r="Z570" s="4">
        <v>175.85999999999999</v>
      </c>
      <c r="AA570" s="4">
        <v>200</v>
      </c>
      <c r="AB570" s="18"/>
      <c r="AC570" s="18">
        <v>9</v>
      </c>
      <c r="AD570" s="28"/>
      <c r="AE570" s="26"/>
      <c r="AF570" s="28"/>
    </row>
    <row r="571" spans="1:32" ht="12.6" customHeight="1" x14ac:dyDescent="0.25">
      <c r="A571" s="14">
        <v>45718</v>
      </c>
      <c r="B571" s="14" t="s">
        <v>45</v>
      </c>
      <c r="C571" s="15">
        <v>2</v>
      </c>
      <c r="D571" s="16"/>
      <c r="E571" s="16"/>
      <c r="F571" s="17"/>
      <c r="G571" s="21"/>
      <c r="H571" s="21"/>
      <c r="I571" s="4">
        <v>0</v>
      </c>
      <c r="J571" s="4">
        <v>0</v>
      </c>
      <c r="K571" s="4"/>
      <c r="L571" s="16"/>
      <c r="M571" s="4"/>
      <c r="N571" s="4"/>
      <c r="O571" s="4"/>
      <c r="P571" s="4"/>
      <c r="Q571" s="4"/>
      <c r="R571" s="4"/>
      <c r="S571" s="4">
        <v>0</v>
      </c>
      <c r="T571" s="4">
        <v>0</v>
      </c>
      <c r="U571" s="4">
        <v>0</v>
      </c>
      <c r="V571" s="4">
        <v>12</v>
      </c>
      <c r="W571" s="4">
        <v>12</v>
      </c>
      <c r="X571" s="4">
        <v>0</v>
      </c>
      <c r="Y571" s="4"/>
      <c r="Z571" s="4">
        <v>158.97999999999999</v>
      </c>
      <c r="AA571" s="4">
        <v>150</v>
      </c>
      <c r="AB571" s="18"/>
      <c r="AC571" s="18">
        <v>9</v>
      </c>
      <c r="AD571" s="28"/>
      <c r="AE571" s="26"/>
      <c r="AF571" s="28"/>
    </row>
    <row r="572" spans="1:32" ht="12.6" customHeight="1" x14ac:dyDescent="0.25">
      <c r="A572" s="14">
        <v>45718</v>
      </c>
      <c r="B572" s="14" t="s">
        <v>46</v>
      </c>
      <c r="C572" s="15">
        <v>2</v>
      </c>
      <c r="D572" s="16"/>
      <c r="E572" s="16"/>
      <c r="F572" s="17"/>
      <c r="G572" s="21"/>
      <c r="H572" s="21"/>
      <c r="I572" s="4">
        <v>0</v>
      </c>
      <c r="J572" s="4">
        <v>0</v>
      </c>
      <c r="K572" s="4"/>
      <c r="L572" s="16"/>
      <c r="M572" s="4"/>
      <c r="N572" s="4"/>
      <c r="O572" s="4"/>
      <c r="P572" s="4"/>
      <c r="Q572" s="4"/>
      <c r="R572" s="4"/>
      <c r="S572" s="4">
        <v>0</v>
      </c>
      <c r="T572" s="4">
        <v>0</v>
      </c>
      <c r="U572" s="4">
        <v>0</v>
      </c>
      <c r="V572" s="4">
        <v>12</v>
      </c>
      <c r="W572" s="4">
        <v>12</v>
      </c>
      <c r="X572" s="4">
        <v>0</v>
      </c>
      <c r="Y572" s="4"/>
      <c r="Z572" s="4">
        <v>125.79</v>
      </c>
      <c r="AA572" s="4">
        <v>150</v>
      </c>
      <c r="AB572" s="18"/>
      <c r="AC572" s="18">
        <v>9</v>
      </c>
      <c r="AD572" s="28"/>
      <c r="AE572" s="26"/>
      <c r="AF572" s="28"/>
    </row>
    <row r="573" spans="1:32" ht="12.6" customHeight="1" x14ac:dyDescent="0.25">
      <c r="A573" s="14">
        <v>45718</v>
      </c>
      <c r="B573" s="14" t="s">
        <v>45</v>
      </c>
      <c r="C573" s="15">
        <v>3</v>
      </c>
      <c r="D573" s="16"/>
      <c r="E573" s="16"/>
      <c r="F573" s="17"/>
      <c r="G573" s="21"/>
      <c r="H573" s="21"/>
      <c r="I573" s="4">
        <v>0</v>
      </c>
      <c r="J573" s="4">
        <v>0</v>
      </c>
      <c r="K573" s="4"/>
      <c r="L573" s="16"/>
      <c r="M573" s="4"/>
      <c r="N573" s="4"/>
      <c r="O573" s="4"/>
      <c r="P573" s="4"/>
      <c r="Q573" s="4"/>
      <c r="R573" s="4"/>
      <c r="S573" s="4">
        <v>0</v>
      </c>
      <c r="T573" s="4">
        <v>0</v>
      </c>
      <c r="U573" s="4">
        <v>0</v>
      </c>
      <c r="V573" s="4">
        <v>12</v>
      </c>
      <c r="W573" s="4">
        <v>12</v>
      </c>
      <c r="X573" s="4">
        <v>0</v>
      </c>
      <c r="Y573" s="4"/>
      <c r="Z573" s="4">
        <v>257.66000000000003</v>
      </c>
      <c r="AA573" s="4">
        <v>250</v>
      </c>
      <c r="AB573" s="18"/>
      <c r="AC573" s="18">
        <v>9</v>
      </c>
      <c r="AD573" s="28"/>
      <c r="AE573" s="26"/>
      <c r="AF573" s="28"/>
    </row>
    <row r="574" spans="1:32" ht="12.6" customHeight="1" x14ac:dyDescent="0.25">
      <c r="A574" s="14">
        <v>45718</v>
      </c>
      <c r="B574" s="14" t="s">
        <v>46</v>
      </c>
      <c r="C574" s="15">
        <v>3</v>
      </c>
      <c r="D574" s="16"/>
      <c r="E574" s="16"/>
      <c r="F574" s="17"/>
      <c r="G574" s="21"/>
      <c r="H574" s="21"/>
      <c r="I574" s="4">
        <v>0</v>
      </c>
      <c r="J574" s="4">
        <v>0</v>
      </c>
      <c r="K574" s="4"/>
      <c r="L574" s="16"/>
      <c r="M574" s="4"/>
      <c r="N574" s="4"/>
      <c r="O574" s="4"/>
      <c r="P574" s="4"/>
      <c r="Q574" s="4"/>
      <c r="R574" s="4"/>
      <c r="S574" s="4">
        <v>0</v>
      </c>
      <c r="T574" s="4">
        <v>0</v>
      </c>
      <c r="U574" s="4">
        <v>0</v>
      </c>
      <c r="V574" s="4">
        <v>12</v>
      </c>
      <c r="W574" s="4">
        <v>12</v>
      </c>
      <c r="X574" s="4">
        <v>0</v>
      </c>
      <c r="Y574" s="4"/>
      <c r="Z574" s="4">
        <v>273.59999999999997</v>
      </c>
      <c r="AA574" s="4">
        <v>300</v>
      </c>
      <c r="AB574" s="18"/>
      <c r="AC574" s="18">
        <v>9</v>
      </c>
      <c r="AD574" s="28"/>
      <c r="AE574" s="26"/>
      <c r="AF574" s="28"/>
    </row>
    <row r="575" spans="1:32" ht="12.6" customHeight="1" x14ac:dyDescent="0.25">
      <c r="A575" s="14">
        <v>45718</v>
      </c>
      <c r="B575" s="14" t="s">
        <v>45</v>
      </c>
      <c r="C575" s="15">
        <v>4</v>
      </c>
      <c r="D575" s="16">
        <v>180</v>
      </c>
      <c r="E575" s="16"/>
      <c r="F575" s="17"/>
      <c r="G575" s="21"/>
      <c r="H575" s="21"/>
      <c r="I575" s="4">
        <v>180</v>
      </c>
      <c r="J575" s="4">
        <v>3</v>
      </c>
      <c r="K575" s="4"/>
      <c r="L575" s="16"/>
      <c r="M575" s="4"/>
      <c r="N575" s="4"/>
      <c r="O575" s="4"/>
      <c r="P575" s="4"/>
      <c r="Q575" s="4"/>
      <c r="R575" s="4"/>
      <c r="S575" s="4">
        <v>0</v>
      </c>
      <c r="T575" s="4">
        <v>0</v>
      </c>
      <c r="U575" s="4">
        <v>3</v>
      </c>
      <c r="V575" s="4">
        <v>9</v>
      </c>
      <c r="W575" s="4">
        <v>12</v>
      </c>
      <c r="X575" s="4">
        <v>0</v>
      </c>
      <c r="Y575" s="4"/>
      <c r="Z575" s="4">
        <v>453.39000000000004</v>
      </c>
      <c r="AA575" s="4">
        <v>450</v>
      </c>
      <c r="AB575" s="18"/>
      <c r="AC575" s="18">
        <v>9</v>
      </c>
      <c r="AD575" s="28"/>
      <c r="AE575" s="26"/>
      <c r="AF575" s="28"/>
    </row>
    <row r="576" spans="1:32" ht="12.6" customHeight="1" x14ac:dyDescent="0.25">
      <c r="A576" s="14">
        <v>45718</v>
      </c>
      <c r="B576" s="14" t="s">
        <v>46</v>
      </c>
      <c r="C576" s="15">
        <v>4</v>
      </c>
      <c r="D576" s="16"/>
      <c r="E576" s="16"/>
      <c r="F576" s="17"/>
      <c r="G576" s="21"/>
      <c r="H576" s="21"/>
      <c r="I576" s="4">
        <v>0</v>
      </c>
      <c r="J576" s="4">
        <v>0</v>
      </c>
      <c r="K576" s="4"/>
      <c r="L576" s="16"/>
      <c r="M576" s="4"/>
      <c r="N576" s="4"/>
      <c r="O576" s="4"/>
      <c r="P576" s="4"/>
      <c r="Q576" s="4"/>
      <c r="R576" s="4"/>
      <c r="S576" s="4">
        <v>0</v>
      </c>
      <c r="T576" s="4">
        <v>0</v>
      </c>
      <c r="U576" s="4">
        <v>0</v>
      </c>
      <c r="V576" s="4">
        <v>12</v>
      </c>
      <c r="W576" s="4">
        <v>12</v>
      </c>
      <c r="X576" s="4">
        <v>0</v>
      </c>
      <c r="Y576" s="4"/>
      <c r="Z576" s="4">
        <v>745.78999999999985</v>
      </c>
      <c r="AA576" s="4">
        <v>750</v>
      </c>
      <c r="AB576" s="18"/>
      <c r="AC576" s="18">
        <v>9</v>
      </c>
      <c r="AD576" s="28"/>
      <c r="AE576" s="26"/>
      <c r="AF576" s="28"/>
    </row>
    <row r="577" spans="1:32" ht="12.6" customHeight="1" x14ac:dyDescent="0.25">
      <c r="A577" s="14">
        <v>45718</v>
      </c>
      <c r="B577" s="14" t="s">
        <v>45</v>
      </c>
      <c r="C577" s="15">
        <v>5</v>
      </c>
      <c r="D577" s="16"/>
      <c r="E577" s="16"/>
      <c r="F577" s="17"/>
      <c r="G577" s="21"/>
      <c r="H577" s="21"/>
      <c r="I577" s="4">
        <v>0</v>
      </c>
      <c r="J577" s="4">
        <v>0</v>
      </c>
      <c r="K577" s="4"/>
      <c r="L577" s="16"/>
      <c r="M577" s="4"/>
      <c r="N577" s="4"/>
      <c r="O577" s="4"/>
      <c r="P577" s="4"/>
      <c r="Q577" s="4"/>
      <c r="R577" s="4"/>
      <c r="S577" s="4">
        <v>0</v>
      </c>
      <c r="T577" s="4">
        <v>0</v>
      </c>
      <c r="U577" s="4">
        <v>0</v>
      </c>
      <c r="V577" s="4">
        <v>12</v>
      </c>
      <c r="W577" s="4">
        <v>12</v>
      </c>
      <c r="X577" s="4">
        <v>0</v>
      </c>
      <c r="Y577" s="4"/>
      <c r="Z577" s="4">
        <v>433.25</v>
      </c>
      <c r="AA577" s="4">
        <v>400</v>
      </c>
      <c r="AB577" s="18"/>
      <c r="AC577" s="18">
        <v>9</v>
      </c>
      <c r="AD577" s="28"/>
      <c r="AE577" s="26"/>
      <c r="AF577" s="28"/>
    </row>
    <row r="578" spans="1:32" ht="12.6" customHeight="1" x14ac:dyDescent="0.25">
      <c r="A578" s="14">
        <v>45718</v>
      </c>
      <c r="B578" s="14" t="s">
        <v>46</v>
      </c>
      <c r="C578" s="15">
        <v>5</v>
      </c>
      <c r="D578" s="16"/>
      <c r="E578" s="16"/>
      <c r="F578" s="17"/>
      <c r="G578" s="21"/>
      <c r="H578" s="21"/>
      <c r="I578" s="4">
        <v>0</v>
      </c>
      <c r="J578" s="4">
        <v>0</v>
      </c>
      <c r="K578" s="4"/>
      <c r="L578" s="16"/>
      <c r="M578" s="4"/>
      <c r="N578" s="4"/>
      <c r="O578" s="4"/>
      <c r="P578" s="4"/>
      <c r="Q578" s="4"/>
      <c r="R578" s="4"/>
      <c r="S578" s="4">
        <v>0</v>
      </c>
      <c r="T578" s="4">
        <v>0</v>
      </c>
      <c r="U578" s="4">
        <v>0</v>
      </c>
      <c r="V578" s="4">
        <v>12</v>
      </c>
      <c r="W578" s="4">
        <v>12</v>
      </c>
      <c r="X578" s="4">
        <v>0</v>
      </c>
      <c r="Y578" s="4"/>
      <c r="Z578" s="4">
        <v>452.95</v>
      </c>
      <c r="AA578" s="4">
        <v>450</v>
      </c>
      <c r="AB578" s="18"/>
      <c r="AC578" s="18">
        <v>9</v>
      </c>
      <c r="AD578" s="28"/>
      <c r="AE578" s="26"/>
      <c r="AF578" s="28"/>
    </row>
    <row r="579" spans="1:32" ht="12.6" customHeight="1" x14ac:dyDescent="0.25">
      <c r="A579" s="14">
        <v>45719</v>
      </c>
      <c r="B579" s="14" t="s">
        <v>45</v>
      </c>
      <c r="C579" s="15">
        <v>1</v>
      </c>
      <c r="D579" s="16"/>
      <c r="E579" s="16"/>
      <c r="F579" s="17"/>
      <c r="G579" s="21"/>
      <c r="H579" s="21"/>
      <c r="I579" s="4">
        <v>0</v>
      </c>
      <c r="J579" s="4">
        <v>0</v>
      </c>
      <c r="K579" s="4"/>
      <c r="L579" s="16"/>
      <c r="M579" s="4"/>
      <c r="N579" s="4"/>
      <c r="O579" s="4"/>
      <c r="P579" s="4"/>
      <c r="Q579" s="4"/>
      <c r="R579" s="4"/>
      <c r="S579" s="4">
        <v>0</v>
      </c>
      <c r="T579" s="4">
        <v>0</v>
      </c>
      <c r="U579" s="4">
        <v>0</v>
      </c>
      <c r="V579" s="4">
        <v>12</v>
      </c>
      <c r="W579" s="4">
        <v>12</v>
      </c>
      <c r="X579" s="4">
        <v>77</v>
      </c>
      <c r="Y579" s="4">
        <v>1944</v>
      </c>
      <c r="Z579" s="4">
        <v>205.97</v>
      </c>
      <c r="AA579" s="4">
        <v>200</v>
      </c>
      <c r="AB579" s="18">
        <v>398</v>
      </c>
      <c r="AC579" s="18">
        <v>10</v>
      </c>
      <c r="AD579" s="28"/>
      <c r="AE579" s="26"/>
      <c r="AF579" s="28"/>
    </row>
    <row r="580" spans="1:32" ht="12.6" customHeight="1" x14ac:dyDescent="0.25">
      <c r="A580" s="14">
        <v>45719</v>
      </c>
      <c r="B580" s="14" t="s">
        <v>46</v>
      </c>
      <c r="C580" s="15">
        <v>1</v>
      </c>
      <c r="D580" s="16"/>
      <c r="E580" s="16"/>
      <c r="F580" s="17"/>
      <c r="G580" s="21"/>
      <c r="H580" s="21"/>
      <c r="I580" s="4">
        <v>0</v>
      </c>
      <c r="J580" s="4">
        <v>0</v>
      </c>
      <c r="K580" s="4"/>
      <c r="L580" s="16"/>
      <c r="M580" s="4"/>
      <c r="N580" s="4"/>
      <c r="O580" s="4"/>
      <c r="P580" s="4"/>
      <c r="Q580" s="4"/>
      <c r="R580" s="4"/>
      <c r="S580" s="4">
        <v>0</v>
      </c>
      <c r="T580" s="4">
        <v>0</v>
      </c>
      <c r="U580" s="4">
        <v>0</v>
      </c>
      <c r="V580" s="4">
        <v>12</v>
      </c>
      <c r="W580" s="4">
        <v>12</v>
      </c>
      <c r="X580" s="4">
        <v>35</v>
      </c>
      <c r="Y580" s="4"/>
      <c r="Z580" s="4">
        <v>179.7</v>
      </c>
      <c r="AA580" s="4">
        <v>200</v>
      </c>
      <c r="AB580" s="18"/>
      <c r="AC580" s="18">
        <v>10</v>
      </c>
      <c r="AD580" s="28"/>
      <c r="AE580" s="26"/>
      <c r="AF580" s="28"/>
    </row>
    <row r="581" spans="1:32" ht="12.6" customHeight="1" x14ac:dyDescent="0.25">
      <c r="A581" s="14">
        <v>45719</v>
      </c>
      <c r="B581" s="14" t="s">
        <v>45</v>
      </c>
      <c r="C581" s="15">
        <v>2</v>
      </c>
      <c r="D581" s="16"/>
      <c r="E581" s="16"/>
      <c r="F581" s="17"/>
      <c r="G581" s="21"/>
      <c r="H581" s="21"/>
      <c r="I581" s="4">
        <v>0</v>
      </c>
      <c r="J581" s="4">
        <v>0</v>
      </c>
      <c r="K581" s="4"/>
      <c r="L581" s="16"/>
      <c r="M581" s="4"/>
      <c r="N581" s="4"/>
      <c r="O581" s="4"/>
      <c r="P581" s="4"/>
      <c r="Q581" s="4"/>
      <c r="R581" s="4"/>
      <c r="S581" s="4">
        <v>0</v>
      </c>
      <c r="T581" s="4">
        <v>0</v>
      </c>
      <c r="U581" s="4">
        <v>0</v>
      </c>
      <c r="V581" s="4">
        <v>12</v>
      </c>
      <c r="W581" s="4">
        <v>12</v>
      </c>
      <c r="X581" s="4">
        <v>0</v>
      </c>
      <c r="Y581" s="4"/>
      <c r="Z581" s="4">
        <v>124.30999999999999</v>
      </c>
      <c r="AA581" s="4">
        <v>150</v>
      </c>
      <c r="AB581" s="18"/>
      <c r="AC581" s="18">
        <v>10</v>
      </c>
      <c r="AD581" s="28"/>
      <c r="AE581" s="26"/>
      <c r="AF581" s="28"/>
    </row>
    <row r="582" spans="1:32" ht="12.6" customHeight="1" x14ac:dyDescent="0.25">
      <c r="A582" s="14">
        <v>45719</v>
      </c>
      <c r="B582" s="14" t="s">
        <v>46</v>
      </c>
      <c r="C582" s="15">
        <v>2</v>
      </c>
      <c r="D582" s="16"/>
      <c r="E582" s="16"/>
      <c r="F582" s="17"/>
      <c r="G582" s="21"/>
      <c r="H582" s="21"/>
      <c r="I582" s="4">
        <v>0</v>
      </c>
      <c r="J582" s="4">
        <v>0</v>
      </c>
      <c r="K582" s="4"/>
      <c r="L582" s="16"/>
      <c r="M582" s="4"/>
      <c r="N582" s="4"/>
      <c r="O582" s="4"/>
      <c r="P582" s="4"/>
      <c r="Q582" s="4"/>
      <c r="R582" s="4"/>
      <c r="S582" s="4">
        <v>0</v>
      </c>
      <c r="T582" s="4">
        <v>0</v>
      </c>
      <c r="U582" s="4">
        <v>0</v>
      </c>
      <c r="V582" s="4">
        <v>12</v>
      </c>
      <c r="W582" s="4">
        <v>12</v>
      </c>
      <c r="X582" s="4">
        <v>0</v>
      </c>
      <c r="Y582" s="4"/>
      <c r="Z582" s="4">
        <v>132.96</v>
      </c>
      <c r="AA582" s="4">
        <v>150</v>
      </c>
      <c r="AB582" s="18"/>
      <c r="AC582" s="18">
        <v>10</v>
      </c>
      <c r="AD582" s="28"/>
      <c r="AE582" s="26"/>
      <c r="AF582" s="28"/>
    </row>
    <row r="583" spans="1:32" ht="12.6" customHeight="1" x14ac:dyDescent="0.25">
      <c r="A583" s="14">
        <v>45719</v>
      </c>
      <c r="B583" s="14" t="s">
        <v>45</v>
      </c>
      <c r="C583" s="15">
        <v>3</v>
      </c>
      <c r="D583" s="16"/>
      <c r="E583" s="16"/>
      <c r="F583" s="17"/>
      <c r="G583" s="21"/>
      <c r="H583" s="21"/>
      <c r="I583" s="4">
        <v>0</v>
      </c>
      <c r="J583" s="4">
        <v>0</v>
      </c>
      <c r="K583" s="4"/>
      <c r="L583" s="16"/>
      <c r="M583" s="4"/>
      <c r="N583" s="4"/>
      <c r="O583" s="4"/>
      <c r="P583" s="4"/>
      <c r="Q583" s="4"/>
      <c r="R583" s="4"/>
      <c r="S583" s="4">
        <v>0</v>
      </c>
      <c r="T583" s="4">
        <v>0</v>
      </c>
      <c r="U583" s="4">
        <v>0</v>
      </c>
      <c r="V583" s="4">
        <v>12</v>
      </c>
      <c r="W583" s="4">
        <v>12</v>
      </c>
      <c r="X583" s="4">
        <v>0</v>
      </c>
      <c r="Y583" s="4"/>
      <c r="Z583" s="4">
        <v>361.8</v>
      </c>
      <c r="AA583" s="4">
        <v>350</v>
      </c>
      <c r="AB583" s="18"/>
      <c r="AC583" s="18">
        <v>10</v>
      </c>
      <c r="AD583" s="28"/>
      <c r="AE583" s="26"/>
      <c r="AF583" s="28"/>
    </row>
    <row r="584" spans="1:32" ht="12.6" customHeight="1" x14ac:dyDescent="0.25">
      <c r="A584" s="14">
        <v>45719</v>
      </c>
      <c r="B584" s="14" t="s">
        <v>46</v>
      </c>
      <c r="C584" s="15">
        <v>3</v>
      </c>
      <c r="D584" s="16"/>
      <c r="E584" s="16"/>
      <c r="F584" s="17"/>
      <c r="G584" s="21"/>
      <c r="H584" s="21"/>
      <c r="I584" s="4">
        <v>0</v>
      </c>
      <c r="J584" s="4">
        <v>0</v>
      </c>
      <c r="K584" s="4"/>
      <c r="L584" s="16"/>
      <c r="M584" s="4"/>
      <c r="N584" s="4"/>
      <c r="O584" s="4"/>
      <c r="P584" s="4"/>
      <c r="Q584" s="4"/>
      <c r="R584" s="4"/>
      <c r="S584" s="4">
        <v>0</v>
      </c>
      <c r="T584" s="4">
        <v>0</v>
      </c>
      <c r="U584" s="4">
        <v>0</v>
      </c>
      <c r="V584" s="4">
        <v>12</v>
      </c>
      <c r="W584" s="4">
        <v>12</v>
      </c>
      <c r="X584" s="4">
        <v>0</v>
      </c>
      <c r="Y584" s="4"/>
      <c r="Z584" s="4">
        <v>295.53000000000003</v>
      </c>
      <c r="AA584" s="4">
        <v>300</v>
      </c>
      <c r="AB584" s="18"/>
      <c r="AC584" s="18">
        <v>10</v>
      </c>
      <c r="AD584" s="28"/>
      <c r="AE584" s="26"/>
      <c r="AF584" s="28"/>
    </row>
    <row r="585" spans="1:32" ht="12.6" customHeight="1" x14ac:dyDescent="0.25">
      <c r="A585" s="14">
        <v>45719</v>
      </c>
      <c r="B585" s="14" t="s">
        <v>45</v>
      </c>
      <c r="C585" s="15">
        <v>4</v>
      </c>
      <c r="D585" s="16"/>
      <c r="E585" s="16"/>
      <c r="F585" s="17"/>
      <c r="G585" s="21"/>
      <c r="H585" s="21"/>
      <c r="I585" s="4">
        <v>0</v>
      </c>
      <c r="J585" s="4">
        <v>0</v>
      </c>
      <c r="K585" s="4"/>
      <c r="L585" s="16"/>
      <c r="M585" s="4"/>
      <c r="N585" s="4"/>
      <c r="O585" s="4"/>
      <c r="P585" s="4"/>
      <c r="Q585" s="4"/>
      <c r="R585" s="4"/>
      <c r="S585" s="4">
        <v>0</v>
      </c>
      <c r="T585" s="4">
        <v>0</v>
      </c>
      <c r="U585" s="4">
        <v>0</v>
      </c>
      <c r="V585" s="4">
        <v>12</v>
      </c>
      <c r="W585" s="4">
        <v>12</v>
      </c>
      <c r="X585" s="4">
        <v>0</v>
      </c>
      <c r="Y585" s="4"/>
      <c r="Z585" s="4">
        <v>613.14</v>
      </c>
      <c r="AA585" s="4">
        <v>600</v>
      </c>
      <c r="AB585" s="18"/>
      <c r="AC585" s="18">
        <v>10</v>
      </c>
      <c r="AD585" s="28"/>
      <c r="AE585" s="26"/>
      <c r="AF585" s="28"/>
    </row>
    <row r="586" spans="1:32" ht="12.6" customHeight="1" x14ac:dyDescent="0.25">
      <c r="A586" s="14">
        <v>45719</v>
      </c>
      <c r="B586" s="14" t="s">
        <v>46</v>
      </c>
      <c r="C586" s="15">
        <v>4</v>
      </c>
      <c r="D586" s="16"/>
      <c r="E586" s="16"/>
      <c r="F586" s="17"/>
      <c r="G586" s="21"/>
      <c r="H586" s="21"/>
      <c r="I586" s="4">
        <v>0</v>
      </c>
      <c r="J586" s="4">
        <v>0</v>
      </c>
      <c r="K586" s="4"/>
      <c r="L586" s="16"/>
      <c r="M586" s="4"/>
      <c r="N586" s="4"/>
      <c r="O586" s="4"/>
      <c r="P586" s="4"/>
      <c r="Q586" s="4"/>
      <c r="R586" s="4"/>
      <c r="S586" s="4">
        <v>0</v>
      </c>
      <c r="T586" s="4">
        <v>0</v>
      </c>
      <c r="U586" s="4">
        <v>0</v>
      </c>
      <c r="V586" s="4">
        <v>12</v>
      </c>
      <c r="W586" s="4">
        <v>12</v>
      </c>
      <c r="X586" s="4">
        <v>0</v>
      </c>
      <c r="Y586" s="4"/>
      <c r="Z586" s="4">
        <v>800.1400000000001</v>
      </c>
      <c r="AA586" s="4">
        <v>800</v>
      </c>
      <c r="AB586" s="18"/>
      <c r="AC586" s="18">
        <v>10</v>
      </c>
      <c r="AD586" s="28"/>
      <c r="AE586" s="26"/>
      <c r="AF586" s="28"/>
    </row>
    <row r="587" spans="1:32" ht="12.6" customHeight="1" x14ac:dyDescent="0.25">
      <c r="A587" s="14">
        <v>45719</v>
      </c>
      <c r="B587" s="14" t="s">
        <v>45</v>
      </c>
      <c r="C587" s="15">
        <v>5</v>
      </c>
      <c r="D587" s="16"/>
      <c r="E587" s="16"/>
      <c r="F587" s="17"/>
      <c r="G587" s="21"/>
      <c r="H587" s="21"/>
      <c r="I587" s="4">
        <v>0</v>
      </c>
      <c r="J587" s="4">
        <v>0</v>
      </c>
      <c r="K587" s="4"/>
      <c r="L587" s="16"/>
      <c r="M587" s="4"/>
      <c r="N587" s="4"/>
      <c r="O587" s="4"/>
      <c r="P587" s="4"/>
      <c r="Q587" s="4"/>
      <c r="R587" s="4"/>
      <c r="S587" s="4">
        <v>0</v>
      </c>
      <c r="T587" s="4">
        <v>0</v>
      </c>
      <c r="U587" s="4">
        <v>0</v>
      </c>
      <c r="V587" s="4">
        <v>12</v>
      </c>
      <c r="W587" s="4">
        <v>12</v>
      </c>
      <c r="X587" s="4">
        <v>0</v>
      </c>
      <c r="Y587" s="4"/>
      <c r="Z587" s="4">
        <v>525.44000000000005</v>
      </c>
      <c r="AA587" s="4">
        <v>500</v>
      </c>
      <c r="AB587" s="18"/>
      <c r="AC587" s="18">
        <v>10</v>
      </c>
      <c r="AD587" s="28"/>
      <c r="AE587" s="26"/>
      <c r="AF587" s="28"/>
    </row>
    <row r="588" spans="1:32" ht="12.6" customHeight="1" x14ac:dyDescent="0.25">
      <c r="A588" s="14">
        <v>45719</v>
      </c>
      <c r="B588" s="14" t="s">
        <v>46</v>
      </c>
      <c r="C588" s="15">
        <v>5</v>
      </c>
      <c r="D588" s="16"/>
      <c r="E588" s="16"/>
      <c r="F588" s="17"/>
      <c r="G588" s="21"/>
      <c r="H588" s="21"/>
      <c r="I588" s="4">
        <v>0</v>
      </c>
      <c r="J588" s="4">
        <v>0</v>
      </c>
      <c r="K588" s="4"/>
      <c r="L588" s="16"/>
      <c r="M588" s="4"/>
      <c r="N588" s="4"/>
      <c r="O588" s="4"/>
      <c r="P588" s="4"/>
      <c r="Q588" s="4"/>
      <c r="R588" s="4"/>
      <c r="S588" s="4">
        <v>0</v>
      </c>
      <c r="T588" s="4">
        <v>0</v>
      </c>
      <c r="U588" s="4">
        <v>0</v>
      </c>
      <c r="V588" s="4">
        <v>12</v>
      </c>
      <c r="W588" s="4">
        <v>12</v>
      </c>
      <c r="X588" s="4">
        <v>0</v>
      </c>
      <c r="Y588" s="4"/>
      <c r="Z588" s="4">
        <v>551.32999999999993</v>
      </c>
      <c r="AA588" s="4">
        <v>550</v>
      </c>
      <c r="AB588" s="18"/>
      <c r="AC588" s="18">
        <v>10</v>
      </c>
      <c r="AD588" s="28"/>
      <c r="AE588" s="26"/>
      <c r="AF588" s="28"/>
    </row>
    <row r="589" spans="1:32" ht="12.6" customHeight="1" x14ac:dyDescent="0.25">
      <c r="A589" s="14">
        <v>45720</v>
      </c>
      <c r="B589" s="14" t="s">
        <v>45</v>
      </c>
      <c r="C589" s="15">
        <v>1</v>
      </c>
      <c r="D589" s="16"/>
      <c r="E589" s="16"/>
      <c r="F589" s="17"/>
      <c r="G589" s="21"/>
      <c r="H589" s="21"/>
      <c r="I589" s="4">
        <v>0</v>
      </c>
      <c r="J589" s="4">
        <v>0</v>
      </c>
      <c r="K589" s="4"/>
      <c r="L589" s="16"/>
      <c r="M589" s="4"/>
      <c r="N589" s="4"/>
      <c r="O589" s="4"/>
      <c r="P589" s="4"/>
      <c r="Q589" s="4"/>
      <c r="R589" s="4"/>
      <c r="S589" s="4">
        <v>0</v>
      </c>
      <c r="T589" s="4">
        <v>0</v>
      </c>
      <c r="U589" s="4">
        <v>0</v>
      </c>
      <c r="V589" s="4">
        <v>12</v>
      </c>
      <c r="W589" s="4">
        <v>12</v>
      </c>
      <c r="X589" s="4">
        <v>29</v>
      </c>
      <c r="Y589" s="4">
        <v>1896</v>
      </c>
      <c r="Z589" s="4">
        <v>141.88</v>
      </c>
      <c r="AA589" s="4">
        <v>150</v>
      </c>
      <c r="AB589" s="18">
        <v>398</v>
      </c>
      <c r="AC589" s="18">
        <v>10</v>
      </c>
      <c r="AD589" s="28"/>
      <c r="AE589" s="26"/>
      <c r="AF589" s="28"/>
    </row>
    <row r="590" spans="1:32" ht="12.6" customHeight="1" x14ac:dyDescent="0.25">
      <c r="A590" s="14">
        <v>45720</v>
      </c>
      <c r="B590" s="14" t="s">
        <v>46</v>
      </c>
      <c r="C590" s="15">
        <v>1</v>
      </c>
      <c r="D590" s="16"/>
      <c r="E590" s="16"/>
      <c r="F590" s="17"/>
      <c r="G590" s="21"/>
      <c r="H590" s="21"/>
      <c r="I590" s="4">
        <v>0</v>
      </c>
      <c r="J590" s="4">
        <v>0</v>
      </c>
      <c r="K590" s="4"/>
      <c r="L590" s="16"/>
      <c r="M590" s="4"/>
      <c r="N590" s="4"/>
      <c r="O590" s="4"/>
      <c r="P590" s="4"/>
      <c r="Q590" s="4"/>
      <c r="R590" s="4"/>
      <c r="S590" s="4">
        <v>0</v>
      </c>
      <c r="T590" s="4">
        <v>0</v>
      </c>
      <c r="U590" s="4">
        <v>0</v>
      </c>
      <c r="V590" s="4">
        <v>12</v>
      </c>
      <c r="W590" s="4">
        <v>12</v>
      </c>
      <c r="X590" s="4">
        <v>35</v>
      </c>
      <c r="Y590" s="4"/>
      <c r="Z590" s="4">
        <v>136.24</v>
      </c>
      <c r="AA590" s="4">
        <v>150</v>
      </c>
      <c r="AB590" s="18"/>
      <c r="AC590" s="18">
        <v>10</v>
      </c>
      <c r="AD590" s="28"/>
      <c r="AE590" s="26"/>
      <c r="AF590" s="28"/>
    </row>
    <row r="591" spans="1:32" ht="12.6" customHeight="1" x14ac:dyDescent="0.25">
      <c r="A591" s="14">
        <v>45720</v>
      </c>
      <c r="B591" s="14" t="s">
        <v>45</v>
      </c>
      <c r="C591" s="15">
        <v>2</v>
      </c>
      <c r="D591" s="16">
        <v>20</v>
      </c>
      <c r="E591" s="16"/>
      <c r="F591" s="17"/>
      <c r="G591" s="21"/>
      <c r="H591" s="21"/>
      <c r="I591" s="4">
        <v>20</v>
      </c>
      <c r="J591" s="4">
        <v>0.33333333333333331</v>
      </c>
      <c r="K591" s="4"/>
      <c r="L591" s="16"/>
      <c r="M591" s="4"/>
      <c r="N591" s="4"/>
      <c r="O591" s="4"/>
      <c r="P591" s="4"/>
      <c r="Q591" s="4"/>
      <c r="R591" s="4"/>
      <c r="S591" s="4">
        <v>0</v>
      </c>
      <c r="T591" s="4">
        <v>0</v>
      </c>
      <c r="U591" s="4">
        <v>0.33333333333333331</v>
      </c>
      <c r="V591" s="4">
        <v>11.666666666666666</v>
      </c>
      <c r="W591" s="4">
        <v>12</v>
      </c>
      <c r="X591" s="4">
        <v>0</v>
      </c>
      <c r="Y591" s="4"/>
      <c r="Z591" s="4">
        <v>125.03</v>
      </c>
      <c r="AA591" s="4">
        <v>150</v>
      </c>
      <c r="AB591" s="18"/>
      <c r="AC591" s="18">
        <v>10</v>
      </c>
      <c r="AD591" s="28"/>
      <c r="AE591" s="26"/>
      <c r="AF591" s="28"/>
    </row>
    <row r="592" spans="1:32" ht="12.6" customHeight="1" x14ac:dyDescent="0.25">
      <c r="A592" s="14">
        <v>45720</v>
      </c>
      <c r="B592" s="14" t="s">
        <v>46</v>
      </c>
      <c r="C592" s="15">
        <v>2</v>
      </c>
      <c r="D592" s="16"/>
      <c r="E592" s="16"/>
      <c r="F592" s="17"/>
      <c r="G592" s="21"/>
      <c r="H592" s="21"/>
      <c r="I592" s="4">
        <v>0</v>
      </c>
      <c r="J592" s="4">
        <v>0</v>
      </c>
      <c r="K592" s="4"/>
      <c r="L592" s="16"/>
      <c r="M592" s="4"/>
      <c r="N592" s="4"/>
      <c r="O592" s="4"/>
      <c r="P592" s="4"/>
      <c r="Q592" s="4"/>
      <c r="R592" s="4"/>
      <c r="S592" s="4">
        <v>0</v>
      </c>
      <c r="T592" s="4">
        <v>0</v>
      </c>
      <c r="U592" s="4">
        <v>0</v>
      </c>
      <c r="V592" s="4">
        <v>12</v>
      </c>
      <c r="W592" s="4">
        <v>12</v>
      </c>
      <c r="X592" s="4">
        <v>0</v>
      </c>
      <c r="Y592" s="4"/>
      <c r="Z592" s="4">
        <v>162.21</v>
      </c>
      <c r="AA592" s="4">
        <v>200</v>
      </c>
      <c r="AB592" s="18"/>
      <c r="AC592" s="18">
        <v>10</v>
      </c>
      <c r="AD592" s="28"/>
      <c r="AE592" s="26"/>
      <c r="AF592" s="28"/>
    </row>
    <row r="593" spans="1:32" ht="12.6" customHeight="1" x14ac:dyDescent="0.25">
      <c r="A593" s="14">
        <v>45720</v>
      </c>
      <c r="B593" s="14" t="s">
        <v>45</v>
      </c>
      <c r="C593" s="15">
        <v>3</v>
      </c>
      <c r="D593" s="16"/>
      <c r="E593" s="16"/>
      <c r="F593" s="17"/>
      <c r="G593" s="21"/>
      <c r="H593" s="21"/>
      <c r="I593" s="4">
        <v>0</v>
      </c>
      <c r="J593" s="4">
        <v>0</v>
      </c>
      <c r="K593" s="4"/>
      <c r="L593" s="16"/>
      <c r="M593" s="4"/>
      <c r="N593" s="4"/>
      <c r="O593" s="4"/>
      <c r="P593" s="4"/>
      <c r="Q593" s="4"/>
      <c r="R593" s="4"/>
      <c r="S593" s="4">
        <v>0</v>
      </c>
      <c r="T593" s="4">
        <v>0</v>
      </c>
      <c r="U593" s="4">
        <v>0</v>
      </c>
      <c r="V593" s="4">
        <v>12</v>
      </c>
      <c r="W593" s="4">
        <v>12</v>
      </c>
      <c r="X593" s="4">
        <v>0</v>
      </c>
      <c r="Y593" s="4"/>
      <c r="Z593" s="4">
        <v>261.96000000000004</v>
      </c>
      <c r="AA593" s="4">
        <v>250</v>
      </c>
      <c r="AB593" s="18"/>
      <c r="AC593" s="18">
        <v>10</v>
      </c>
      <c r="AD593" s="28"/>
      <c r="AE593" s="26"/>
      <c r="AF593" s="28"/>
    </row>
    <row r="594" spans="1:32" ht="12.6" customHeight="1" x14ac:dyDescent="0.25">
      <c r="A594" s="14">
        <v>45720</v>
      </c>
      <c r="B594" s="14" t="s">
        <v>46</v>
      </c>
      <c r="C594" s="15">
        <v>3</v>
      </c>
      <c r="D594" s="16"/>
      <c r="E594" s="16"/>
      <c r="F594" s="17"/>
      <c r="G594" s="21"/>
      <c r="H594" s="21"/>
      <c r="I594" s="4">
        <v>0</v>
      </c>
      <c r="J594" s="4">
        <v>0</v>
      </c>
      <c r="K594" s="4"/>
      <c r="L594" s="16"/>
      <c r="M594" s="4"/>
      <c r="N594" s="4"/>
      <c r="O594" s="4"/>
      <c r="P594" s="4"/>
      <c r="Q594" s="4"/>
      <c r="R594" s="4"/>
      <c r="S594" s="4">
        <v>0</v>
      </c>
      <c r="T594" s="4">
        <v>0</v>
      </c>
      <c r="U594" s="4">
        <v>0</v>
      </c>
      <c r="V594" s="4">
        <v>12</v>
      </c>
      <c r="W594" s="4">
        <v>12</v>
      </c>
      <c r="X594" s="4">
        <v>0</v>
      </c>
      <c r="Y594" s="4"/>
      <c r="Z594" s="4">
        <v>296.67</v>
      </c>
      <c r="AA594" s="4">
        <v>300</v>
      </c>
      <c r="AB594" s="18"/>
      <c r="AC594" s="18">
        <v>10</v>
      </c>
      <c r="AD594" s="28"/>
      <c r="AE594" s="26"/>
      <c r="AF594" s="28"/>
    </row>
    <row r="595" spans="1:32" ht="12.6" customHeight="1" x14ac:dyDescent="0.25">
      <c r="A595" s="14">
        <v>45720</v>
      </c>
      <c r="B595" s="14" t="s">
        <v>45</v>
      </c>
      <c r="C595" s="15">
        <v>4</v>
      </c>
      <c r="D595" s="16"/>
      <c r="E595" s="16"/>
      <c r="F595" s="17"/>
      <c r="G595" s="21"/>
      <c r="H595" s="21"/>
      <c r="I595" s="4">
        <v>0</v>
      </c>
      <c r="J595" s="4">
        <v>0</v>
      </c>
      <c r="K595" s="4"/>
      <c r="L595" s="16"/>
      <c r="M595" s="4"/>
      <c r="N595" s="4"/>
      <c r="O595" s="4"/>
      <c r="P595" s="4"/>
      <c r="Q595" s="4"/>
      <c r="R595" s="4"/>
      <c r="S595" s="4">
        <v>0</v>
      </c>
      <c r="T595" s="4">
        <v>0</v>
      </c>
      <c r="U595" s="4">
        <v>0</v>
      </c>
      <c r="V595" s="4">
        <v>12</v>
      </c>
      <c r="W595" s="4">
        <v>12</v>
      </c>
      <c r="X595" s="4">
        <v>0</v>
      </c>
      <c r="Y595" s="4"/>
      <c r="Z595" s="4">
        <v>609.62</v>
      </c>
      <c r="AA595" s="4">
        <v>600</v>
      </c>
      <c r="AB595" s="18"/>
      <c r="AC595" s="18">
        <v>10</v>
      </c>
      <c r="AD595" s="28"/>
      <c r="AE595" s="26"/>
      <c r="AF595" s="28"/>
    </row>
    <row r="596" spans="1:32" ht="12.6" customHeight="1" x14ac:dyDescent="0.25">
      <c r="A596" s="14">
        <v>45720</v>
      </c>
      <c r="B596" s="14" t="s">
        <v>46</v>
      </c>
      <c r="C596" s="15">
        <v>4</v>
      </c>
      <c r="D596" s="16">
        <v>20</v>
      </c>
      <c r="E596" s="16"/>
      <c r="F596" s="17"/>
      <c r="G596" s="21"/>
      <c r="H596" s="21"/>
      <c r="I596" s="4">
        <v>20</v>
      </c>
      <c r="J596" s="4">
        <v>0.33333333333333331</v>
      </c>
      <c r="K596" s="4"/>
      <c r="L596" s="16"/>
      <c r="M596" s="4"/>
      <c r="N596" s="4"/>
      <c r="O596" s="4"/>
      <c r="P596" s="4"/>
      <c r="Q596" s="4"/>
      <c r="R596" s="4"/>
      <c r="S596" s="4">
        <v>0</v>
      </c>
      <c r="T596" s="4">
        <v>0</v>
      </c>
      <c r="U596" s="4">
        <v>0.33333333333333331</v>
      </c>
      <c r="V596" s="4">
        <v>11.666666666666666</v>
      </c>
      <c r="W596" s="4">
        <v>12</v>
      </c>
      <c r="X596" s="4">
        <v>0</v>
      </c>
      <c r="Y596" s="4"/>
      <c r="Z596" s="4">
        <v>746.21000000000015</v>
      </c>
      <c r="AA596" s="4">
        <v>750</v>
      </c>
      <c r="AB596" s="18"/>
      <c r="AC596" s="18">
        <v>10</v>
      </c>
      <c r="AD596" s="28"/>
      <c r="AE596" s="26"/>
      <c r="AF596" s="28"/>
    </row>
    <row r="597" spans="1:32" ht="12.6" customHeight="1" x14ac:dyDescent="0.25">
      <c r="A597" s="14">
        <v>45720</v>
      </c>
      <c r="B597" s="14" t="s">
        <v>45</v>
      </c>
      <c r="C597" s="15">
        <v>5</v>
      </c>
      <c r="D597" s="16"/>
      <c r="E597" s="16"/>
      <c r="F597" s="17"/>
      <c r="G597" s="21"/>
      <c r="H597" s="21"/>
      <c r="I597" s="4">
        <v>0</v>
      </c>
      <c r="J597" s="4">
        <v>0</v>
      </c>
      <c r="K597" s="4"/>
      <c r="L597" s="16"/>
      <c r="M597" s="4"/>
      <c r="N597" s="4"/>
      <c r="O597" s="4"/>
      <c r="P597" s="4"/>
      <c r="Q597" s="4"/>
      <c r="R597" s="4"/>
      <c r="S597" s="4">
        <v>0</v>
      </c>
      <c r="T597" s="4">
        <v>0</v>
      </c>
      <c r="U597" s="4">
        <v>0</v>
      </c>
      <c r="V597" s="4">
        <v>12</v>
      </c>
      <c r="W597" s="4">
        <v>12</v>
      </c>
      <c r="X597" s="4">
        <v>0</v>
      </c>
      <c r="Y597" s="4"/>
      <c r="Z597" s="4">
        <v>490.84000000000003</v>
      </c>
      <c r="AA597" s="4">
        <v>500</v>
      </c>
      <c r="AB597" s="18"/>
      <c r="AC597" s="18">
        <v>10</v>
      </c>
      <c r="AD597" s="28"/>
      <c r="AE597" s="26"/>
      <c r="AF597" s="28"/>
    </row>
    <row r="598" spans="1:32" ht="12.6" customHeight="1" x14ac:dyDescent="0.25">
      <c r="A598" s="14">
        <v>45720</v>
      </c>
      <c r="B598" s="14" t="s">
        <v>46</v>
      </c>
      <c r="C598" s="15">
        <v>5</v>
      </c>
      <c r="D598" s="16"/>
      <c r="E598" s="16"/>
      <c r="F598" s="17"/>
      <c r="G598" s="21"/>
      <c r="H598" s="21"/>
      <c r="I598" s="4">
        <v>0</v>
      </c>
      <c r="J598" s="4">
        <v>0</v>
      </c>
      <c r="K598" s="4"/>
      <c r="L598" s="16"/>
      <c r="M598" s="4"/>
      <c r="N598" s="4"/>
      <c r="O598" s="4"/>
      <c r="P598" s="4"/>
      <c r="Q598" s="4"/>
      <c r="R598" s="4"/>
      <c r="S598" s="4">
        <v>0</v>
      </c>
      <c r="T598" s="4">
        <v>0</v>
      </c>
      <c r="U598" s="4">
        <v>0</v>
      </c>
      <c r="V598" s="4">
        <v>12</v>
      </c>
      <c r="W598" s="4">
        <v>12</v>
      </c>
      <c r="X598" s="4">
        <v>0</v>
      </c>
      <c r="Y598" s="4"/>
      <c r="Z598" s="4">
        <v>546.59</v>
      </c>
      <c r="AA598" s="4">
        <v>550</v>
      </c>
      <c r="AB598" s="18"/>
      <c r="AC598" s="18">
        <v>10</v>
      </c>
      <c r="AD598" s="28"/>
      <c r="AE598" s="26"/>
      <c r="AF598" s="28"/>
    </row>
    <row r="599" spans="1:32" ht="12.6" customHeight="1" x14ac:dyDescent="0.25">
      <c r="A599" s="14">
        <v>45721</v>
      </c>
      <c r="B599" s="14" t="s">
        <v>45</v>
      </c>
      <c r="C599" s="15">
        <v>1</v>
      </c>
      <c r="D599" s="16"/>
      <c r="E599" s="16"/>
      <c r="F599" s="17"/>
      <c r="G599" s="21"/>
      <c r="H599" s="21"/>
      <c r="I599" s="4">
        <v>0</v>
      </c>
      <c r="J599" s="4">
        <v>0</v>
      </c>
      <c r="K599" s="4"/>
      <c r="L599" s="16"/>
      <c r="M599" s="4"/>
      <c r="N599" s="4"/>
      <c r="O599" s="4"/>
      <c r="P599" s="4"/>
      <c r="Q599" s="4"/>
      <c r="R599" s="4"/>
      <c r="S599" s="4">
        <v>0</v>
      </c>
      <c r="T599" s="4">
        <v>0</v>
      </c>
      <c r="U599" s="4">
        <v>0</v>
      </c>
      <c r="V599" s="4">
        <v>12</v>
      </c>
      <c r="W599" s="4">
        <v>12</v>
      </c>
      <c r="X599" s="4">
        <v>20</v>
      </c>
      <c r="Y599" s="4">
        <v>1908</v>
      </c>
      <c r="Z599" s="4">
        <v>132.69</v>
      </c>
      <c r="AA599" s="4">
        <v>150</v>
      </c>
      <c r="AB599" s="18">
        <v>398</v>
      </c>
      <c r="AC599" s="18">
        <v>10</v>
      </c>
      <c r="AD599" s="28"/>
      <c r="AE599" s="26"/>
      <c r="AF599" s="28"/>
    </row>
    <row r="600" spans="1:32" ht="12.6" customHeight="1" x14ac:dyDescent="0.25">
      <c r="A600" s="14">
        <v>45721</v>
      </c>
      <c r="B600" s="14" t="s">
        <v>46</v>
      </c>
      <c r="C600" s="15">
        <v>1</v>
      </c>
      <c r="D600" s="16"/>
      <c r="E600" s="16"/>
      <c r="F600" s="17"/>
      <c r="G600" s="21"/>
      <c r="H600" s="21"/>
      <c r="I600" s="4">
        <v>0</v>
      </c>
      <c r="J600" s="4">
        <v>0</v>
      </c>
      <c r="K600" s="4"/>
      <c r="L600" s="16"/>
      <c r="M600" s="4"/>
      <c r="N600" s="4"/>
      <c r="O600" s="4"/>
      <c r="P600" s="4"/>
      <c r="Q600" s="4"/>
      <c r="R600" s="4"/>
      <c r="S600" s="4">
        <v>0</v>
      </c>
      <c r="T600" s="4">
        <v>0</v>
      </c>
      <c r="U600" s="4">
        <v>0</v>
      </c>
      <c r="V600" s="4">
        <v>12</v>
      </c>
      <c r="W600" s="4">
        <v>12</v>
      </c>
      <c r="X600" s="4">
        <v>22</v>
      </c>
      <c r="Y600" s="4"/>
      <c r="Z600" s="4">
        <v>158.51</v>
      </c>
      <c r="AA600" s="4">
        <v>150</v>
      </c>
      <c r="AB600" s="18"/>
      <c r="AC600" s="18">
        <v>10</v>
      </c>
      <c r="AD600" s="28"/>
      <c r="AE600" s="26"/>
      <c r="AF600" s="28"/>
    </row>
    <row r="601" spans="1:32" ht="12.6" customHeight="1" x14ac:dyDescent="0.25">
      <c r="A601" s="14">
        <v>45721</v>
      </c>
      <c r="B601" s="14" t="s">
        <v>45</v>
      </c>
      <c r="C601" s="15">
        <v>2</v>
      </c>
      <c r="D601" s="16"/>
      <c r="E601" s="16"/>
      <c r="F601" s="17"/>
      <c r="G601" s="21"/>
      <c r="H601" s="21"/>
      <c r="I601" s="4">
        <v>0</v>
      </c>
      <c r="J601" s="4">
        <v>0</v>
      </c>
      <c r="K601" s="4"/>
      <c r="L601" s="16"/>
      <c r="M601" s="4"/>
      <c r="N601" s="4"/>
      <c r="O601" s="4"/>
      <c r="P601" s="4"/>
      <c r="Q601" s="4"/>
      <c r="R601" s="4"/>
      <c r="S601" s="4">
        <v>0</v>
      </c>
      <c r="T601" s="4">
        <v>0</v>
      </c>
      <c r="U601" s="4">
        <v>0</v>
      </c>
      <c r="V601" s="4">
        <v>12</v>
      </c>
      <c r="W601" s="4">
        <v>12</v>
      </c>
      <c r="X601" s="4">
        <v>0</v>
      </c>
      <c r="Y601" s="4"/>
      <c r="Z601" s="4">
        <v>168.04000000000002</v>
      </c>
      <c r="AA601" s="4">
        <v>150</v>
      </c>
      <c r="AB601" s="18"/>
      <c r="AC601" s="18">
        <v>10</v>
      </c>
      <c r="AD601" s="28"/>
      <c r="AE601" s="26"/>
      <c r="AF601" s="28"/>
    </row>
    <row r="602" spans="1:32" ht="12.6" customHeight="1" x14ac:dyDescent="0.25">
      <c r="A602" s="14">
        <v>45721</v>
      </c>
      <c r="B602" s="14" t="s">
        <v>46</v>
      </c>
      <c r="C602" s="15">
        <v>2</v>
      </c>
      <c r="D602" s="16"/>
      <c r="E602" s="16"/>
      <c r="F602" s="17"/>
      <c r="G602" s="21"/>
      <c r="H602" s="21"/>
      <c r="I602" s="4">
        <v>0</v>
      </c>
      <c r="J602" s="4">
        <v>0</v>
      </c>
      <c r="K602" s="4"/>
      <c r="L602" s="16"/>
      <c r="M602" s="4"/>
      <c r="N602" s="4"/>
      <c r="O602" s="4"/>
      <c r="P602" s="4"/>
      <c r="Q602" s="4"/>
      <c r="R602" s="4"/>
      <c r="S602" s="4">
        <v>0</v>
      </c>
      <c r="T602" s="4">
        <v>0</v>
      </c>
      <c r="U602" s="4">
        <v>0</v>
      </c>
      <c r="V602" s="4">
        <v>12</v>
      </c>
      <c r="W602" s="4">
        <v>12</v>
      </c>
      <c r="X602" s="4">
        <v>0</v>
      </c>
      <c r="Y602" s="4"/>
      <c r="Z602" s="4">
        <v>178.79</v>
      </c>
      <c r="AA602" s="4">
        <v>200</v>
      </c>
      <c r="AB602" s="18"/>
      <c r="AC602" s="18">
        <v>10</v>
      </c>
      <c r="AD602" s="28"/>
      <c r="AE602" s="26"/>
      <c r="AF602" s="28"/>
    </row>
    <row r="603" spans="1:32" ht="12.6" customHeight="1" x14ac:dyDescent="0.25">
      <c r="A603" s="14">
        <v>45721</v>
      </c>
      <c r="B603" s="14" t="s">
        <v>45</v>
      </c>
      <c r="C603" s="15">
        <v>3</v>
      </c>
      <c r="D603" s="16"/>
      <c r="E603" s="16"/>
      <c r="F603" s="17"/>
      <c r="G603" s="21"/>
      <c r="H603" s="21"/>
      <c r="I603" s="4">
        <v>0</v>
      </c>
      <c r="J603" s="4">
        <v>0</v>
      </c>
      <c r="K603" s="4"/>
      <c r="L603" s="16"/>
      <c r="M603" s="4"/>
      <c r="N603" s="4"/>
      <c r="O603" s="4"/>
      <c r="P603" s="4"/>
      <c r="Q603" s="4"/>
      <c r="R603" s="4"/>
      <c r="S603" s="4">
        <v>0</v>
      </c>
      <c r="T603" s="4">
        <v>0</v>
      </c>
      <c r="U603" s="4">
        <v>0</v>
      </c>
      <c r="V603" s="4">
        <v>12</v>
      </c>
      <c r="W603" s="4">
        <v>12</v>
      </c>
      <c r="X603" s="4">
        <v>0</v>
      </c>
      <c r="Y603" s="4"/>
      <c r="Z603" s="4">
        <v>293.99</v>
      </c>
      <c r="AA603" s="4">
        <v>300</v>
      </c>
      <c r="AB603" s="18"/>
      <c r="AC603" s="18">
        <v>10</v>
      </c>
      <c r="AD603" s="28"/>
      <c r="AE603" s="26"/>
      <c r="AF603" s="28"/>
    </row>
    <row r="604" spans="1:32" ht="12.6" customHeight="1" x14ac:dyDescent="0.25">
      <c r="A604" s="14">
        <v>45721</v>
      </c>
      <c r="B604" s="14" t="s">
        <v>46</v>
      </c>
      <c r="C604" s="15">
        <v>3</v>
      </c>
      <c r="D604" s="16"/>
      <c r="E604" s="16"/>
      <c r="F604" s="17"/>
      <c r="G604" s="21"/>
      <c r="H604" s="21"/>
      <c r="I604" s="4">
        <v>0</v>
      </c>
      <c r="J604" s="4">
        <v>0</v>
      </c>
      <c r="K604" s="4"/>
      <c r="L604" s="16"/>
      <c r="M604" s="4"/>
      <c r="N604" s="4"/>
      <c r="O604" s="4"/>
      <c r="P604" s="4"/>
      <c r="Q604" s="4"/>
      <c r="R604" s="4"/>
      <c r="S604" s="4">
        <v>0</v>
      </c>
      <c r="T604" s="4">
        <v>0</v>
      </c>
      <c r="U604" s="4">
        <v>0</v>
      </c>
      <c r="V604" s="4">
        <v>12</v>
      </c>
      <c r="W604" s="4">
        <v>12</v>
      </c>
      <c r="X604" s="4">
        <v>0</v>
      </c>
      <c r="Y604" s="4"/>
      <c r="Z604" s="4">
        <v>272.76</v>
      </c>
      <c r="AA604" s="4">
        <v>300</v>
      </c>
      <c r="AB604" s="18"/>
      <c r="AC604" s="18">
        <v>10</v>
      </c>
      <c r="AD604" s="28"/>
      <c r="AE604" s="26"/>
      <c r="AF604" s="28"/>
    </row>
    <row r="605" spans="1:32" ht="12.6" customHeight="1" x14ac:dyDescent="0.25">
      <c r="A605" s="14">
        <v>45721</v>
      </c>
      <c r="B605" s="14" t="s">
        <v>45</v>
      </c>
      <c r="C605" s="15">
        <v>4</v>
      </c>
      <c r="D605" s="16">
        <v>60</v>
      </c>
      <c r="E605" s="16"/>
      <c r="F605" s="17"/>
      <c r="G605" s="21"/>
      <c r="H605" s="21"/>
      <c r="I605" s="4">
        <v>60</v>
      </c>
      <c r="J605" s="4">
        <v>1</v>
      </c>
      <c r="K605" s="4"/>
      <c r="L605" s="16"/>
      <c r="M605" s="4"/>
      <c r="N605" s="4"/>
      <c r="O605" s="4"/>
      <c r="P605" s="4"/>
      <c r="Q605" s="4"/>
      <c r="R605" s="4"/>
      <c r="S605" s="4">
        <v>0</v>
      </c>
      <c r="T605" s="4">
        <v>0</v>
      </c>
      <c r="U605" s="4">
        <v>1</v>
      </c>
      <c r="V605" s="4">
        <v>11</v>
      </c>
      <c r="W605" s="4">
        <v>12</v>
      </c>
      <c r="X605" s="4">
        <v>0</v>
      </c>
      <c r="Y605" s="4"/>
      <c r="Z605" s="4">
        <v>718.78</v>
      </c>
      <c r="AA605" s="4">
        <v>700</v>
      </c>
      <c r="AB605" s="18"/>
      <c r="AC605" s="18">
        <v>10</v>
      </c>
      <c r="AD605" s="28"/>
      <c r="AE605" s="26"/>
      <c r="AF605" s="28"/>
    </row>
    <row r="606" spans="1:32" ht="12.6" customHeight="1" x14ac:dyDescent="0.25">
      <c r="A606" s="14">
        <v>45721</v>
      </c>
      <c r="B606" s="14" t="s">
        <v>46</v>
      </c>
      <c r="C606" s="15">
        <v>4</v>
      </c>
      <c r="D606" s="16"/>
      <c r="E606" s="16"/>
      <c r="F606" s="17"/>
      <c r="G606" s="21"/>
      <c r="H606" s="21"/>
      <c r="I606" s="4">
        <v>0</v>
      </c>
      <c r="J606" s="4">
        <v>0</v>
      </c>
      <c r="K606" s="4"/>
      <c r="L606" s="16"/>
      <c r="M606" s="4"/>
      <c r="N606" s="4"/>
      <c r="O606" s="4"/>
      <c r="P606" s="4"/>
      <c r="Q606" s="4"/>
      <c r="R606" s="4"/>
      <c r="S606" s="4">
        <v>0</v>
      </c>
      <c r="T606" s="4">
        <v>0</v>
      </c>
      <c r="U606" s="4">
        <v>0</v>
      </c>
      <c r="V606" s="4">
        <v>12</v>
      </c>
      <c r="W606" s="4">
        <v>12</v>
      </c>
      <c r="X606" s="4">
        <v>0</v>
      </c>
      <c r="Y606" s="4"/>
      <c r="Z606" s="4">
        <v>721.3</v>
      </c>
      <c r="AA606" s="4">
        <v>700</v>
      </c>
      <c r="AB606" s="18"/>
      <c r="AC606" s="18">
        <v>10</v>
      </c>
      <c r="AD606" s="28"/>
      <c r="AE606" s="26"/>
      <c r="AF606" s="28"/>
    </row>
    <row r="607" spans="1:32" ht="12.6" customHeight="1" x14ac:dyDescent="0.25">
      <c r="A607" s="14">
        <v>45721</v>
      </c>
      <c r="B607" s="14" t="s">
        <v>45</v>
      </c>
      <c r="C607" s="15">
        <v>5</v>
      </c>
      <c r="D607" s="16"/>
      <c r="E607" s="16"/>
      <c r="F607" s="17"/>
      <c r="G607" s="21"/>
      <c r="H607" s="21"/>
      <c r="I607" s="4">
        <v>0</v>
      </c>
      <c r="J607" s="4">
        <v>0</v>
      </c>
      <c r="K607" s="4"/>
      <c r="L607" s="16"/>
      <c r="M607" s="4"/>
      <c r="N607" s="4"/>
      <c r="O607" s="4"/>
      <c r="P607" s="4"/>
      <c r="Q607" s="4"/>
      <c r="R607" s="4"/>
      <c r="S607" s="4">
        <v>0</v>
      </c>
      <c r="T607" s="4">
        <v>0</v>
      </c>
      <c r="U607" s="4">
        <v>0</v>
      </c>
      <c r="V607" s="4">
        <v>12</v>
      </c>
      <c r="W607" s="4">
        <v>12</v>
      </c>
      <c r="X607" s="4">
        <v>0</v>
      </c>
      <c r="Y607" s="4"/>
      <c r="Z607" s="4">
        <v>517</v>
      </c>
      <c r="AA607" s="4">
        <v>500</v>
      </c>
      <c r="AB607" s="18"/>
      <c r="AC607" s="18">
        <v>10</v>
      </c>
      <c r="AD607" s="28"/>
      <c r="AE607" s="26"/>
      <c r="AF607" s="28"/>
    </row>
    <row r="608" spans="1:32" ht="12.6" customHeight="1" x14ac:dyDescent="0.25">
      <c r="A608" s="14">
        <v>45721</v>
      </c>
      <c r="B608" s="14" t="s">
        <v>46</v>
      </c>
      <c r="C608" s="15">
        <v>5</v>
      </c>
      <c r="D608" s="16"/>
      <c r="E608" s="16"/>
      <c r="F608" s="17"/>
      <c r="G608" s="21"/>
      <c r="H608" s="21"/>
      <c r="I608" s="4">
        <v>0</v>
      </c>
      <c r="J608" s="4">
        <v>0</v>
      </c>
      <c r="K608" s="4"/>
      <c r="L608" s="16"/>
      <c r="M608" s="4"/>
      <c r="N608" s="4"/>
      <c r="O608" s="4"/>
      <c r="P608" s="4"/>
      <c r="Q608" s="4"/>
      <c r="R608" s="4"/>
      <c r="S608" s="4">
        <v>0</v>
      </c>
      <c r="T608" s="4">
        <v>0</v>
      </c>
      <c r="U608" s="4">
        <v>0</v>
      </c>
      <c r="V608" s="4">
        <v>12</v>
      </c>
      <c r="W608" s="4">
        <v>12</v>
      </c>
      <c r="X608" s="4">
        <v>0</v>
      </c>
      <c r="Y608" s="4"/>
      <c r="Z608" s="4">
        <v>522.57000000000005</v>
      </c>
      <c r="AA608" s="4">
        <v>550</v>
      </c>
      <c r="AB608" s="18"/>
      <c r="AC608" s="18">
        <v>10</v>
      </c>
      <c r="AD608" s="28"/>
      <c r="AE608" s="26"/>
      <c r="AF608" s="28"/>
    </row>
    <row r="609" spans="1:32" ht="12.6" customHeight="1" x14ac:dyDescent="0.25">
      <c r="A609" s="14">
        <v>45722</v>
      </c>
      <c r="B609" s="14" t="s">
        <v>45</v>
      </c>
      <c r="C609" s="15">
        <v>1</v>
      </c>
      <c r="D609" s="16"/>
      <c r="E609" s="16"/>
      <c r="F609" s="17"/>
      <c r="G609" s="21"/>
      <c r="H609" s="21"/>
      <c r="I609" s="4">
        <v>0</v>
      </c>
      <c r="J609" s="4">
        <v>0</v>
      </c>
      <c r="K609" s="4"/>
      <c r="L609" s="16"/>
      <c r="M609" s="4"/>
      <c r="N609" s="4"/>
      <c r="O609" s="4"/>
      <c r="P609" s="4"/>
      <c r="Q609" s="4"/>
      <c r="R609" s="4"/>
      <c r="S609" s="4">
        <v>0</v>
      </c>
      <c r="T609" s="4">
        <v>0</v>
      </c>
      <c r="U609" s="4">
        <v>0</v>
      </c>
      <c r="V609" s="4">
        <v>12</v>
      </c>
      <c r="W609" s="4">
        <v>12</v>
      </c>
      <c r="X609" s="4">
        <v>35</v>
      </c>
      <c r="Y609" s="4">
        <v>1952</v>
      </c>
      <c r="Z609" s="4">
        <v>157.36999999999998</v>
      </c>
      <c r="AA609" s="4">
        <v>150</v>
      </c>
      <c r="AB609" s="18">
        <v>398</v>
      </c>
      <c r="AC609" s="18">
        <v>10</v>
      </c>
      <c r="AD609" s="28"/>
      <c r="AE609" s="26"/>
      <c r="AF609" s="28"/>
    </row>
    <row r="610" spans="1:32" ht="12.6" customHeight="1" x14ac:dyDescent="0.25">
      <c r="A610" s="14">
        <v>45722</v>
      </c>
      <c r="B610" s="14" t="s">
        <v>46</v>
      </c>
      <c r="C610" s="15">
        <v>1</v>
      </c>
      <c r="D610" s="16"/>
      <c r="E610" s="16"/>
      <c r="F610" s="17"/>
      <c r="G610" s="21"/>
      <c r="H610" s="21"/>
      <c r="I610" s="4">
        <v>0</v>
      </c>
      <c r="J610" s="4">
        <v>0</v>
      </c>
      <c r="K610" s="4"/>
      <c r="L610" s="16"/>
      <c r="M610" s="4"/>
      <c r="N610" s="4"/>
      <c r="O610" s="4"/>
      <c r="P610" s="4"/>
      <c r="Q610" s="4"/>
      <c r="R610" s="4"/>
      <c r="S610" s="4">
        <v>0</v>
      </c>
      <c r="T610" s="4">
        <v>0</v>
      </c>
      <c r="U610" s="4">
        <v>0</v>
      </c>
      <c r="V610" s="4">
        <v>12</v>
      </c>
      <c r="W610" s="4">
        <v>12</v>
      </c>
      <c r="X610" s="4">
        <v>45</v>
      </c>
      <c r="Y610" s="4"/>
      <c r="Z610" s="4">
        <v>157.85</v>
      </c>
      <c r="AA610" s="4">
        <v>150</v>
      </c>
      <c r="AB610" s="18"/>
      <c r="AC610" s="18">
        <v>10</v>
      </c>
      <c r="AD610" s="28"/>
      <c r="AE610" s="26"/>
      <c r="AF610" s="28"/>
    </row>
    <row r="611" spans="1:32" ht="12.6" customHeight="1" x14ac:dyDescent="0.25">
      <c r="A611" s="14">
        <v>45722</v>
      </c>
      <c r="B611" s="14" t="s">
        <v>45</v>
      </c>
      <c r="C611" s="15">
        <v>2</v>
      </c>
      <c r="D611" s="16"/>
      <c r="E611" s="16"/>
      <c r="F611" s="17"/>
      <c r="G611" s="21"/>
      <c r="H611" s="21"/>
      <c r="I611" s="4">
        <v>0</v>
      </c>
      <c r="J611" s="4">
        <v>0</v>
      </c>
      <c r="K611" s="4"/>
      <c r="L611" s="16">
        <v>45</v>
      </c>
      <c r="M611" s="4"/>
      <c r="N611" s="4"/>
      <c r="O611" s="4"/>
      <c r="P611" s="4"/>
      <c r="Q611" s="4">
        <v>60</v>
      </c>
      <c r="R611" s="4"/>
      <c r="S611" s="4">
        <v>105</v>
      </c>
      <c r="T611" s="4">
        <v>1.75</v>
      </c>
      <c r="U611" s="4">
        <v>1.75</v>
      </c>
      <c r="V611" s="4">
        <v>10.25</v>
      </c>
      <c r="W611" s="4">
        <v>12</v>
      </c>
      <c r="X611" s="4">
        <v>0</v>
      </c>
      <c r="Y611" s="4"/>
      <c r="Z611" s="4">
        <v>134.81000000000003</v>
      </c>
      <c r="AA611" s="4">
        <v>150</v>
      </c>
      <c r="AB611" s="18"/>
      <c r="AC611" s="18">
        <v>10</v>
      </c>
      <c r="AD611" s="28"/>
      <c r="AE611" s="26"/>
      <c r="AF611" s="28"/>
    </row>
    <row r="612" spans="1:32" ht="12.6" customHeight="1" x14ac:dyDescent="0.25">
      <c r="A612" s="14">
        <v>45722</v>
      </c>
      <c r="B612" s="14" t="s">
        <v>46</v>
      </c>
      <c r="C612" s="15">
        <v>2</v>
      </c>
      <c r="D612" s="16"/>
      <c r="E612" s="16"/>
      <c r="F612" s="17"/>
      <c r="G612" s="21"/>
      <c r="H612" s="21"/>
      <c r="I612" s="4">
        <v>0</v>
      </c>
      <c r="J612" s="4">
        <v>0</v>
      </c>
      <c r="K612" s="4"/>
      <c r="L612" s="16"/>
      <c r="M612" s="4"/>
      <c r="N612" s="4"/>
      <c r="O612" s="4"/>
      <c r="P612" s="4"/>
      <c r="Q612" s="4"/>
      <c r="R612" s="4"/>
      <c r="S612" s="4">
        <v>0</v>
      </c>
      <c r="T612" s="4">
        <v>0</v>
      </c>
      <c r="U612" s="4">
        <v>0</v>
      </c>
      <c r="V612" s="4">
        <v>12</v>
      </c>
      <c r="W612" s="4">
        <v>12</v>
      </c>
      <c r="X612" s="4">
        <v>0</v>
      </c>
      <c r="Y612" s="4"/>
      <c r="Z612" s="4">
        <v>172.38</v>
      </c>
      <c r="AA612" s="4">
        <v>200</v>
      </c>
      <c r="AB612" s="18"/>
      <c r="AC612" s="18">
        <v>10</v>
      </c>
      <c r="AD612" s="28"/>
      <c r="AE612" s="26"/>
      <c r="AF612" s="28"/>
    </row>
    <row r="613" spans="1:32" ht="12.6" customHeight="1" x14ac:dyDescent="0.25">
      <c r="A613" s="14">
        <v>45722</v>
      </c>
      <c r="B613" s="14" t="s">
        <v>45</v>
      </c>
      <c r="C613" s="15">
        <v>3</v>
      </c>
      <c r="D613" s="16"/>
      <c r="E613" s="16"/>
      <c r="F613" s="17"/>
      <c r="G613" s="21"/>
      <c r="H613" s="21"/>
      <c r="I613" s="4">
        <v>0</v>
      </c>
      <c r="J613" s="4">
        <v>0</v>
      </c>
      <c r="K613" s="4"/>
      <c r="L613" s="16"/>
      <c r="M613" s="4"/>
      <c r="N613" s="4"/>
      <c r="O613" s="4"/>
      <c r="P613" s="4"/>
      <c r="Q613" s="4"/>
      <c r="R613" s="4"/>
      <c r="S613" s="4">
        <v>0</v>
      </c>
      <c r="T613" s="4">
        <v>0</v>
      </c>
      <c r="U613" s="4">
        <v>0</v>
      </c>
      <c r="V613" s="4">
        <v>12</v>
      </c>
      <c r="W613" s="4">
        <v>12</v>
      </c>
      <c r="X613" s="4">
        <v>0</v>
      </c>
      <c r="Y613" s="4"/>
      <c r="Z613" s="4">
        <v>267.52</v>
      </c>
      <c r="AA613" s="4">
        <v>300</v>
      </c>
      <c r="AB613" s="18"/>
      <c r="AC613" s="18">
        <v>10</v>
      </c>
      <c r="AD613" s="28"/>
      <c r="AE613" s="26"/>
      <c r="AF613" s="28"/>
    </row>
    <row r="614" spans="1:32" ht="12.6" customHeight="1" x14ac:dyDescent="0.25">
      <c r="A614" s="14">
        <v>45722</v>
      </c>
      <c r="B614" s="14" t="s">
        <v>46</v>
      </c>
      <c r="C614" s="15">
        <v>3</v>
      </c>
      <c r="D614" s="16"/>
      <c r="E614" s="16"/>
      <c r="F614" s="17"/>
      <c r="G614" s="21"/>
      <c r="H614" s="21"/>
      <c r="I614" s="4">
        <v>0</v>
      </c>
      <c r="J614" s="4">
        <v>0</v>
      </c>
      <c r="K614" s="4"/>
      <c r="L614" s="16"/>
      <c r="M614" s="4"/>
      <c r="N614" s="4"/>
      <c r="O614" s="4"/>
      <c r="P614" s="4"/>
      <c r="Q614" s="4"/>
      <c r="R614" s="4"/>
      <c r="S614" s="4">
        <v>0</v>
      </c>
      <c r="T614" s="4">
        <v>0</v>
      </c>
      <c r="U614" s="4">
        <v>0</v>
      </c>
      <c r="V614" s="4">
        <v>12</v>
      </c>
      <c r="W614" s="4">
        <v>12</v>
      </c>
      <c r="X614" s="4">
        <v>0</v>
      </c>
      <c r="Y614" s="4"/>
      <c r="Z614" s="4">
        <v>269.26000000000005</v>
      </c>
      <c r="AA614" s="4">
        <v>300</v>
      </c>
      <c r="AB614" s="18"/>
      <c r="AC614" s="18">
        <v>10</v>
      </c>
      <c r="AD614" s="28"/>
      <c r="AE614" s="26"/>
      <c r="AF614" s="28"/>
    </row>
    <row r="615" spans="1:32" ht="12.6" customHeight="1" x14ac:dyDescent="0.25">
      <c r="A615" s="14">
        <v>45722</v>
      </c>
      <c r="B615" s="14" t="s">
        <v>45</v>
      </c>
      <c r="C615" s="15">
        <v>4</v>
      </c>
      <c r="D615" s="16"/>
      <c r="E615" s="16"/>
      <c r="F615" s="17"/>
      <c r="G615" s="21"/>
      <c r="H615" s="21"/>
      <c r="I615" s="4">
        <v>0</v>
      </c>
      <c r="J615" s="4">
        <v>0</v>
      </c>
      <c r="K615" s="4"/>
      <c r="L615" s="16"/>
      <c r="M615" s="4"/>
      <c r="N615" s="4"/>
      <c r="O615" s="4"/>
      <c r="P615" s="4"/>
      <c r="Q615" s="4"/>
      <c r="R615" s="4"/>
      <c r="S615" s="4">
        <v>0</v>
      </c>
      <c r="T615" s="4">
        <v>0</v>
      </c>
      <c r="U615" s="4">
        <v>0</v>
      </c>
      <c r="V615" s="4">
        <v>12</v>
      </c>
      <c r="W615" s="4">
        <v>12</v>
      </c>
      <c r="X615" s="4">
        <v>0</v>
      </c>
      <c r="Y615" s="4"/>
      <c r="Z615" s="4">
        <v>762.39</v>
      </c>
      <c r="AA615" s="4">
        <v>800</v>
      </c>
      <c r="AB615" s="18"/>
      <c r="AC615" s="18">
        <v>10</v>
      </c>
      <c r="AD615" s="28"/>
      <c r="AE615" s="26"/>
      <c r="AF615" s="28"/>
    </row>
    <row r="616" spans="1:32" ht="12.6" customHeight="1" x14ac:dyDescent="0.25">
      <c r="A616" s="14">
        <v>45722</v>
      </c>
      <c r="B616" s="14" t="s">
        <v>46</v>
      </c>
      <c r="C616" s="15">
        <v>4</v>
      </c>
      <c r="D616" s="16"/>
      <c r="E616" s="16"/>
      <c r="F616" s="17"/>
      <c r="G616" s="21"/>
      <c r="H616" s="21"/>
      <c r="I616" s="4">
        <v>0</v>
      </c>
      <c r="J616" s="4">
        <v>0</v>
      </c>
      <c r="K616" s="4"/>
      <c r="L616" s="16"/>
      <c r="M616" s="4"/>
      <c r="N616" s="4"/>
      <c r="O616" s="4"/>
      <c r="P616" s="4"/>
      <c r="Q616" s="4"/>
      <c r="R616" s="4"/>
      <c r="S616" s="4">
        <v>0</v>
      </c>
      <c r="T616" s="4">
        <v>0</v>
      </c>
      <c r="U616" s="4">
        <v>0</v>
      </c>
      <c r="V616" s="4">
        <v>12</v>
      </c>
      <c r="W616" s="4">
        <v>12</v>
      </c>
      <c r="X616" s="4">
        <v>0</v>
      </c>
      <c r="Y616" s="4"/>
      <c r="Z616" s="4">
        <v>834.14</v>
      </c>
      <c r="AA616" s="4">
        <v>850</v>
      </c>
      <c r="AB616" s="18"/>
      <c r="AC616" s="18">
        <v>10</v>
      </c>
      <c r="AD616" s="28"/>
      <c r="AE616" s="26"/>
      <c r="AF616" s="28"/>
    </row>
    <row r="617" spans="1:32" ht="12.6" customHeight="1" x14ac:dyDescent="0.25">
      <c r="A617" s="14">
        <v>45722</v>
      </c>
      <c r="B617" s="14" t="s">
        <v>45</v>
      </c>
      <c r="C617" s="15">
        <v>5</v>
      </c>
      <c r="D617" s="16"/>
      <c r="E617" s="16"/>
      <c r="F617" s="17"/>
      <c r="G617" s="21"/>
      <c r="H617" s="21"/>
      <c r="I617" s="4">
        <v>0</v>
      </c>
      <c r="J617" s="4">
        <v>0</v>
      </c>
      <c r="K617" s="4"/>
      <c r="L617" s="16"/>
      <c r="M617" s="4"/>
      <c r="N617" s="4"/>
      <c r="O617" s="4"/>
      <c r="P617" s="4"/>
      <c r="Q617" s="4"/>
      <c r="R617" s="4"/>
      <c r="S617" s="4">
        <v>0</v>
      </c>
      <c r="T617" s="4">
        <v>0</v>
      </c>
      <c r="U617" s="4">
        <v>0</v>
      </c>
      <c r="V617" s="4">
        <v>12</v>
      </c>
      <c r="W617" s="4">
        <v>12</v>
      </c>
      <c r="X617" s="4">
        <v>0</v>
      </c>
      <c r="Y617" s="4"/>
      <c r="Z617" s="4">
        <v>525.16999999999996</v>
      </c>
      <c r="AA617" s="4">
        <v>550</v>
      </c>
      <c r="AB617" s="18"/>
      <c r="AC617" s="18">
        <v>10</v>
      </c>
      <c r="AD617" s="28"/>
      <c r="AE617" s="26"/>
      <c r="AF617" s="28"/>
    </row>
    <row r="618" spans="1:32" ht="12.6" customHeight="1" x14ac:dyDescent="0.25">
      <c r="A618" s="14">
        <v>45722</v>
      </c>
      <c r="B618" s="14" t="s">
        <v>46</v>
      </c>
      <c r="C618" s="15">
        <v>5</v>
      </c>
      <c r="D618" s="16"/>
      <c r="E618" s="16"/>
      <c r="F618" s="17"/>
      <c r="G618" s="21"/>
      <c r="H618" s="21"/>
      <c r="I618" s="4">
        <v>0</v>
      </c>
      <c r="J618" s="4">
        <v>0</v>
      </c>
      <c r="K618" s="4"/>
      <c r="L618" s="16"/>
      <c r="M618" s="4"/>
      <c r="N618" s="4"/>
      <c r="O618" s="4"/>
      <c r="P618" s="4"/>
      <c r="Q618" s="4"/>
      <c r="R618" s="4"/>
      <c r="S618" s="4">
        <v>0</v>
      </c>
      <c r="T618" s="4">
        <v>0</v>
      </c>
      <c r="U618" s="4">
        <v>0</v>
      </c>
      <c r="V618" s="4">
        <v>12</v>
      </c>
      <c r="W618" s="4">
        <v>12</v>
      </c>
      <c r="X618" s="4">
        <v>0</v>
      </c>
      <c r="Y618" s="4"/>
      <c r="Z618" s="4">
        <v>551.74000000000012</v>
      </c>
      <c r="AA618" s="4">
        <v>550</v>
      </c>
      <c r="AB618" s="18"/>
      <c r="AC618" s="18">
        <v>10</v>
      </c>
      <c r="AD618" s="28"/>
      <c r="AE618" s="26"/>
      <c r="AF618" s="28"/>
    </row>
    <row r="619" spans="1:32" ht="12.6" customHeight="1" x14ac:dyDescent="0.25">
      <c r="A619" s="14">
        <v>45723</v>
      </c>
      <c r="B619" s="14" t="s">
        <v>45</v>
      </c>
      <c r="C619" s="15">
        <v>1</v>
      </c>
      <c r="D619" s="16"/>
      <c r="E619" s="16"/>
      <c r="F619" s="17"/>
      <c r="G619" s="21"/>
      <c r="H619" s="21"/>
      <c r="I619" s="4">
        <v>0</v>
      </c>
      <c r="J619" s="4">
        <v>0</v>
      </c>
      <c r="K619" s="4"/>
      <c r="L619" s="16"/>
      <c r="M619" s="4"/>
      <c r="N619" s="4"/>
      <c r="O619" s="4"/>
      <c r="P619" s="4"/>
      <c r="Q619" s="4"/>
      <c r="R619" s="4"/>
      <c r="S619" s="4">
        <v>0</v>
      </c>
      <c r="T619" s="4">
        <v>0</v>
      </c>
      <c r="U619" s="4">
        <v>0</v>
      </c>
      <c r="V619" s="4">
        <v>12</v>
      </c>
      <c r="W619" s="4">
        <v>12</v>
      </c>
      <c r="X619" s="4">
        <v>30</v>
      </c>
      <c r="Y619" s="4">
        <v>1928</v>
      </c>
      <c r="Z619" s="4">
        <v>146.26</v>
      </c>
      <c r="AA619" s="4">
        <v>150</v>
      </c>
      <c r="AB619" s="18">
        <v>398</v>
      </c>
      <c r="AC619" s="18">
        <v>10</v>
      </c>
      <c r="AD619" s="28"/>
      <c r="AE619" s="26"/>
      <c r="AF619" s="28"/>
    </row>
    <row r="620" spans="1:32" ht="12.6" customHeight="1" x14ac:dyDescent="0.25">
      <c r="A620" s="14">
        <v>45723</v>
      </c>
      <c r="B620" s="14" t="s">
        <v>46</v>
      </c>
      <c r="C620" s="15">
        <v>1</v>
      </c>
      <c r="D620" s="16"/>
      <c r="E620" s="16"/>
      <c r="F620" s="17"/>
      <c r="G620" s="21"/>
      <c r="H620" s="21"/>
      <c r="I620" s="4">
        <v>0</v>
      </c>
      <c r="J620" s="4">
        <v>0</v>
      </c>
      <c r="K620" s="4"/>
      <c r="L620" s="16"/>
      <c r="M620" s="4"/>
      <c r="N620" s="4"/>
      <c r="O620" s="4"/>
      <c r="P620" s="4"/>
      <c r="Q620" s="4"/>
      <c r="R620" s="4"/>
      <c r="S620" s="4">
        <v>0</v>
      </c>
      <c r="T620" s="4">
        <v>0</v>
      </c>
      <c r="U620" s="4">
        <v>0</v>
      </c>
      <c r="V620" s="4">
        <v>12</v>
      </c>
      <c r="W620" s="4">
        <v>12</v>
      </c>
      <c r="X620" s="4">
        <v>35</v>
      </c>
      <c r="Y620" s="4"/>
      <c r="Z620" s="4">
        <v>167.01</v>
      </c>
      <c r="AA620" s="4">
        <v>200</v>
      </c>
      <c r="AB620" s="18"/>
      <c r="AC620" s="18">
        <v>10</v>
      </c>
      <c r="AD620" s="28"/>
      <c r="AE620" s="26"/>
      <c r="AF620" s="28"/>
    </row>
    <row r="621" spans="1:32" ht="12.6" customHeight="1" x14ac:dyDescent="0.25">
      <c r="A621" s="14">
        <v>45723</v>
      </c>
      <c r="B621" s="14" t="s">
        <v>45</v>
      </c>
      <c r="C621" s="15">
        <v>2</v>
      </c>
      <c r="D621" s="16"/>
      <c r="E621" s="16"/>
      <c r="F621" s="17"/>
      <c r="G621" s="21"/>
      <c r="H621" s="21"/>
      <c r="I621" s="4">
        <v>0</v>
      </c>
      <c r="J621" s="4">
        <v>0</v>
      </c>
      <c r="K621" s="4"/>
      <c r="L621" s="16"/>
      <c r="M621" s="4"/>
      <c r="N621" s="4"/>
      <c r="O621" s="4"/>
      <c r="P621" s="4"/>
      <c r="Q621" s="4"/>
      <c r="R621" s="4"/>
      <c r="S621" s="4">
        <v>0</v>
      </c>
      <c r="T621" s="4">
        <v>0</v>
      </c>
      <c r="U621" s="4">
        <v>0</v>
      </c>
      <c r="V621" s="4">
        <v>12</v>
      </c>
      <c r="W621" s="4">
        <v>12</v>
      </c>
      <c r="X621" s="4">
        <v>0</v>
      </c>
      <c r="Y621" s="4"/>
      <c r="Z621" s="4">
        <v>178.25000000000003</v>
      </c>
      <c r="AA621" s="4">
        <v>200</v>
      </c>
      <c r="AB621" s="18"/>
      <c r="AC621" s="18">
        <v>10</v>
      </c>
      <c r="AD621" s="28"/>
      <c r="AE621" s="26"/>
      <c r="AF621" s="28"/>
    </row>
    <row r="622" spans="1:32" ht="12.6" customHeight="1" x14ac:dyDescent="0.25">
      <c r="A622" s="14">
        <v>45723</v>
      </c>
      <c r="B622" s="14" t="s">
        <v>46</v>
      </c>
      <c r="C622" s="15">
        <v>2</v>
      </c>
      <c r="D622" s="16"/>
      <c r="E622" s="16"/>
      <c r="F622" s="17"/>
      <c r="G622" s="21"/>
      <c r="H622" s="21"/>
      <c r="I622" s="4">
        <v>0</v>
      </c>
      <c r="J622" s="4">
        <v>0</v>
      </c>
      <c r="K622" s="4"/>
      <c r="L622" s="16"/>
      <c r="M622" s="4"/>
      <c r="N622" s="4"/>
      <c r="O622" s="4"/>
      <c r="P622" s="4"/>
      <c r="Q622" s="4"/>
      <c r="R622" s="4"/>
      <c r="S622" s="4">
        <v>0</v>
      </c>
      <c r="T622" s="4">
        <v>0</v>
      </c>
      <c r="U622" s="4">
        <v>0</v>
      </c>
      <c r="V622" s="4">
        <v>12</v>
      </c>
      <c r="W622" s="4">
        <v>12</v>
      </c>
      <c r="X622" s="4">
        <v>0</v>
      </c>
      <c r="Y622" s="4"/>
      <c r="Z622" s="4">
        <v>179.3</v>
      </c>
      <c r="AA622" s="4">
        <v>200</v>
      </c>
      <c r="AB622" s="18"/>
      <c r="AC622" s="18">
        <v>10</v>
      </c>
      <c r="AD622" s="28"/>
      <c r="AE622" s="26"/>
      <c r="AF622" s="28"/>
    </row>
    <row r="623" spans="1:32" ht="12.6" customHeight="1" x14ac:dyDescent="0.25">
      <c r="A623" s="14">
        <v>45723</v>
      </c>
      <c r="B623" s="14" t="s">
        <v>45</v>
      </c>
      <c r="C623" s="15">
        <v>3</v>
      </c>
      <c r="D623" s="16"/>
      <c r="E623" s="16"/>
      <c r="F623" s="17"/>
      <c r="G623" s="21"/>
      <c r="H623" s="21"/>
      <c r="I623" s="4">
        <v>0</v>
      </c>
      <c r="J623" s="4">
        <v>0</v>
      </c>
      <c r="K623" s="4"/>
      <c r="L623" s="16"/>
      <c r="M623" s="4"/>
      <c r="N623" s="4"/>
      <c r="O623" s="4"/>
      <c r="P623" s="4"/>
      <c r="Q623" s="4"/>
      <c r="R623" s="4"/>
      <c r="S623" s="4">
        <v>0</v>
      </c>
      <c r="T623" s="4">
        <v>0</v>
      </c>
      <c r="U623" s="4">
        <v>0</v>
      </c>
      <c r="V623" s="4">
        <v>12</v>
      </c>
      <c r="W623" s="4">
        <v>12</v>
      </c>
      <c r="X623" s="4">
        <v>0</v>
      </c>
      <c r="Y623" s="4"/>
      <c r="Z623" s="4">
        <v>269.56</v>
      </c>
      <c r="AA623" s="4">
        <v>250</v>
      </c>
      <c r="AB623" s="18"/>
      <c r="AC623" s="18">
        <v>10</v>
      </c>
      <c r="AD623" s="28"/>
      <c r="AE623" s="26"/>
      <c r="AF623" s="28"/>
    </row>
    <row r="624" spans="1:32" ht="12.6" customHeight="1" x14ac:dyDescent="0.25">
      <c r="A624" s="14">
        <v>45723</v>
      </c>
      <c r="B624" s="14" t="s">
        <v>46</v>
      </c>
      <c r="C624" s="15">
        <v>3</v>
      </c>
      <c r="D624" s="16"/>
      <c r="E624" s="16"/>
      <c r="F624" s="17"/>
      <c r="G624" s="21"/>
      <c r="H624" s="21"/>
      <c r="I624" s="4">
        <v>0</v>
      </c>
      <c r="J624" s="4">
        <v>0</v>
      </c>
      <c r="K624" s="4"/>
      <c r="L624" s="16"/>
      <c r="M624" s="4"/>
      <c r="N624" s="4"/>
      <c r="O624" s="4"/>
      <c r="P624" s="4"/>
      <c r="Q624" s="4"/>
      <c r="R624" s="4"/>
      <c r="S624" s="4">
        <v>0</v>
      </c>
      <c r="T624" s="4">
        <v>0</v>
      </c>
      <c r="U624" s="4">
        <v>0</v>
      </c>
      <c r="V624" s="4">
        <v>12</v>
      </c>
      <c r="W624" s="4">
        <v>12</v>
      </c>
      <c r="X624" s="4">
        <v>0</v>
      </c>
      <c r="Y624" s="4"/>
      <c r="Z624" s="4">
        <v>266.68</v>
      </c>
      <c r="AA624" s="4">
        <v>250</v>
      </c>
      <c r="AB624" s="18"/>
      <c r="AC624" s="18">
        <v>10</v>
      </c>
      <c r="AD624" s="28"/>
      <c r="AE624" s="26"/>
      <c r="AF624" s="28"/>
    </row>
    <row r="625" spans="1:32" ht="12.6" customHeight="1" x14ac:dyDescent="0.25">
      <c r="A625" s="14">
        <v>45723</v>
      </c>
      <c r="B625" s="14" t="s">
        <v>45</v>
      </c>
      <c r="C625" s="15">
        <v>4</v>
      </c>
      <c r="D625" s="16"/>
      <c r="E625" s="16"/>
      <c r="F625" s="17"/>
      <c r="G625" s="21"/>
      <c r="H625" s="21"/>
      <c r="I625" s="4">
        <v>0</v>
      </c>
      <c r="J625" s="4">
        <v>0</v>
      </c>
      <c r="K625" s="4"/>
      <c r="L625" s="16"/>
      <c r="M625" s="4"/>
      <c r="N625" s="4"/>
      <c r="O625" s="4"/>
      <c r="P625" s="4"/>
      <c r="Q625" s="4"/>
      <c r="R625" s="4"/>
      <c r="S625" s="4">
        <v>0</v>
      </c>
      <c r="T625" s="4">
        <v>0</v>
      </c>
      <c r="U625" s="4">
        <v>0</v>
      </c>
      <c r="V625" s="4">
        <v>12</v>
      </c>
      <c r="W625" s="4">
        <v>12</v>
      </c>
      <c r="X625" s="4">
        <v>0</v>
      </c>
      <c r="Y625" s="4"/>
      <c r="Z625" s="4">
        <v>518.81000000000006</v>
      </c>
      <c r="AA625" s="4">
        <v>500</v>
      </c>
      <c r="AB625" s="18"/>
      <c r="AC625" s="18">
        <v>10</v>
      </c>
      <c r="AD625" s="28"/>
      <c r="AE625" s="26"/>
      <c r="AF625" s="28"/>
    </row>
    <row r="626" spans="1:32" ht="12.6" customHeight="1" x14ac:dyDescent="0.25">
      <c r="A626" s="14">
        <v>45723</v>
      </c>
      <c r="B626" s="14" t="s">
        <v>46</v>
      </c>
      <c r="C626" s="15">
        <v>4</v>
      </c>
      <c r="D626" s="16"/>
      <c r="E626" s="16"/>
      <c r="F626" s="17"/>
      <c r="G626" s="21"/>
      <c r="H626" s="21"/>
      <c r="I626" s="4">
        <v>0</v>
      </c>
      <c r="J626" s="4">
        <v>0</v>
      </c>
      <c r="K626" s="4"/>
      <c r="L626" s="16"/>
      <c r="M626" s="4"/>
      <c r="N626" s="4"/>
      <c r="O626" s="4"/>
      <c r="P626" s="4"/>
      <c r="Q626" s="4"/>
      <c r="R626" s="4"/>
      <c r="S626" s="4">
        <v>0</v>
      </c>
      <c r="T626" s="4">
        <v>0</v>
      </c>
      <c r="U626" s="4">
        <v>0</v>
      </c>
      <c r="V626" s="4">
        <v>12</v>
      </c>
      <c r="W626" s="4">
        <v>12</v>
      </c>
      <c r="X626" s="4">
        <v>0</v>
      </c>
      <c r="Y626" s="4"/>
      <c r="Z626" s="4">
        <v>761.44000000000017</v>
      </c>
      <c r="AA626" s="4">
        <v>750</v>
      </c>
      <c r="AB626" s="18"/>
      <c r="AC626" s="18">
        <v>10</v>
      </c>
      <c r="AD626" s="28"/>
      <c r="AE626" s="26"/>
      <c r="AF626" s="28"/>
    </row>
    <row r="627" spans="1:32" ht="12.6" customHeight="1" x14ac:dyDescent="0.25">
      <c r="A627" s="14">
        <v>45723</v>
      </c>
      <c r="B627" s="14" t="s">
        <v>45</v>
      </c>
      <c r="C627" s="15">
        <v>5</v>
      </c>
      <c r="D627" s="16"/>
      <c r="E627" s="16"/>
      <c r="F627" s="17"/>
      <c r="G627" s="21"/>
      <c r="H627" s="21"/>
      <c r="I627" s="4">
        <v>0</v>
      </c>
      <c r="J627" s="4">
        <v>0</v>
      </c>
      <c r="K627" s="4"/>
      <c r="L627" s="16"/>
      <c r="M627" s="4"/>
      <c r="N627" s="4"/>
      <c r="O627" s="4"/>
      <c r="P627" s="4"/>
      <c r="Q627" s="4"/>
      <c r="R627" s="4"/>
      <c r="S627" s="4">
        <v>0</v>
      </c>
      <c r="T627" s="4">
        <v>0</v>
      </c>
      <c r="U627" s="4">
        <v>0</v>
      </c>
      <c r="V627" s="4">
        <v>12</v>
      </c>
      <c r="W627" s="4">
        <v>12</v>
      </c>
      <c r="X627" s="4">
        <v>0</v>
      </c>
      <c r="Y627" s="4"/>
      <c r="Z627" s="4">
        <v>542.08000000000015</v>
      </c>
      <c r="AA627" s="4">
        <v>550</v>
      </c>
      <c r="AB627" s="18"/>
      <c r="AC627" s="18">
        <v>10</v>
      </c>
      <c r="AD627" s="28"/>
      <c r="AE627" s="26"/>
      <c r="AF627" s="28"/>
    </row>
    <row r="628" spans="1:32" ht="12.6" customHeight="1" x14ac:dyDescent="0.25">
      <c r="A628" s="14">
        <v>45723</v>
      </c>
      <c r="B628" s="14" t="s">
        <v>46</v>
      </c>
      <c r="C628" s="15">
        <v>5</v>
      </c>
      <c r="D628" s="16"/>
      <c r="E628" s="16"/>
      <c r="F628" s="17"/>
      <c r="G628" s="21"/>
      <c r="H628" s="21"/>
      <c r="I628" s="4">
        <v>0</v>
      </c>
      <c r="J628" s="4">
        <v>0</v>
      </c>
      <c r="K628" s="4"/>
      <c r="L628" s="16"/>
      <c r="M628" s="4"/>
      <c r="N628" s="4"/>
      <c r="O628" s="4"/>
      <c r="P628" s="4"/>
      <c r="Q628" s="4"/>
      <c r="R628" s="4"/>
      <c r="S628" s="4">
        <v>0</v>
      </c>
      <c r="T628" s="4">
        <v>0</v>
      </c>
      <c r="U628" s="4">
        <v>0</v>
      </c>
      <c r="V628" s="4">
        <v>12</v>
      </c>
      <c r="W628" s="4">
        <v>12</v>
      </c>
      <c r="X628" s="4">
        <v>0</v>
      </c>
      <c r="Y628" s="4"/>
      <c r="Z628" s="4">
        <v>527.55999999999995</v>
      </c>
      <c r="AA628" s="4">
        <v>550</v>
      </c>
      <c r="AB628" s="18"/>
      <c r="AC628" s="18">
        <v>10</v>
      </c>
      <c r="AD628" s="28"/>
      <c r="AE628" s="26"/>
      <c r="AF628" s="28"/>
    </row>
    <row r="629" spans="1:32" ht="12.6" customHeight="1" x14ac:dyDescent="0.25">
      <c r="A629" s="14">
        <v>45724</v>
      </c>
      <c r="B629" s="14" t="s">
        <v>45</v>
      </c>
      <c r="C629" s="15">
        <v>1</v>
      </c>
      <c r="D629" s="16"/>
      <c r="E629" s="16"/>
      <c r="F629" s="17"/>
      <c r="G629" s="21"/>
      <c r="H629" s="21"/>
      <c r="I629" s="4">
        <v>0</v>
      </c>
      <c r="J629" s="4">
        <v>0</v>
      </c>
      <c r="K629" s="4"/>
      <c r="L629" s="16"/>
      <c r="M629" s="4"/>
      <c r="N629" s="4"/>
      <c r="O629" s="4"/>
      <c r="P629" s="4"/>
      <c r="Q629" s="4"/>
      <c r="R629" s="4"/>
      <c r="S629" s="4">
        <v>0</v>
      </c>
      <c r="T629" s="4">
        <v>0</v>
      </c>
      <c r="U629" s="4">
        <v>0</v>
      </c>
      <c r="V629" s="4">
        <v>12</v>
      </c>
      <c r="W629" s="4">
        <v>12</v>
      </c>
      <c r="X629" s="4">
        <v>21</v>
      </c>
      <c r="Y629" s="4">
        <v>1875</v>
      </c>
      <c r="Z629" s="4">
        <v>155.12999999999997</v>
      </c>
      <c r="AA629" s="4">
        <v>150</v>
      </c>
      <c r="AB629" s="18">
        <v>398</v>
      </c>
      <c r="AC629" s="18">
        <v>10</v>
      </c>
      <c r="AD629" s="28"/>
      <c r="AE629" s="26"/>
      <c r="AF629" s="28"/>
    </row>
    <row r="630" spans="1:32" ht="12.6" customHeight="1" x14ac:dyDescent="0.25">
      <c r="A630" s="14">
        <v>45724</v>
      </c>
      <c r="B630" s="14" t="s">
        <v>46</v>
      </c>
      <c r="C630" s="15">
        <v>1</v>
      </c>
      <c r="D630" s="16"/>
      <c r="E630" s="16"/>
      <c r="F630" s="17"/>
      <c r="G630" s="21"/>
      <c r="H630" s="21"/>
      <c r="I630" s="4">
        <v>0</v>
      </c>
      <c r="J630" s="4">
        <v>0</v>
      </c>
      <c r="K630" s="4"/>
      <c r="L630" s="16"/>
      <c r="M630" s="4"/>
      <c r="N630" s="4"/>
      <c r="O630" s="4"/>
      <c r="P630" s="4"/>
      <c r="Q630" s="4"/>
      <c r="R630" s="4"/>
      <c r="S630" s="4">
        <v>0</v>
      </c>
      <c r="T630" s="4">
        <v>0</v>
      </c>
      <c r="U630" s="4">
        <v>0</v>
      </c>
      <c r="V630" s="4">
        <v>12</v>
      </c>
      <c r="W630" s="4">
        <v>12</v>
      </c>
      <c r="X630" s="4">
        <v>30</v>
      </c>
      <c r="Y630" s="4"/>
      <c r="Z630" s="4">
        <v>152.1</v>
      </c>
      <c r="AA630" s="4">
        <v>150</v>
      </c>
      <c r="AB630" s="18"/>
      <c r="AC630" s="18">
        <v>10</v>
      </c>
      <c r="AD630" s="28"/>
      <c r="AE630" s="26"/>
      <c r="AF630" s="28"/>
    </row>
    <row r="631" spans="1:32" ht="12.6" customHeight="1" x14ac:dyDescent="0.25">
      <c r="A631" s="14">
        <v>45724</v>
      </c>
      <c r="B631" s="14" t="s">
        <v>45</v>
      </c>
      <c r="C631" s="15">
        <v>2</v>
      </c>
      <c r="D631" s="16">
        <v>30</v>
      </c>
      <c r="E631" s="16"/>
      <c r="F631" s="17"/>
      <c r="G631" s="21"/>
      <c r="H631" s="21"/>
      <c r="I631" s="4">
        <v>30</v>
      </c>
      <c r="J631" s="4">
        <v>0.5</v>
      </c>
      <c r="K631" s="4"/>
      <c r="L631" s="16"/>
      <c r="M631" s="4"/>
      <c r="N631" s="4"/>
      <c r="O631" s="4"/>
      <c r="P631" s="4"/>
      <c r="Q631" s="4"/>
      <c r="R631" s="4"/>
      <c r="S631" s="4">
        <v>0</v>
      </c>
      <c r="T631" s="4">
        <v>0</v>
      </c>
      <c r="U631" s="4">
        <v>0.5</v>
      </c>
      <c r="V631" s="4">
        <v>11.5</v>
      </c>
      <c r="W631" s="4">
        <v>12</v>
      </c>
      <c r="X631" s="4">
        <v>0</v>
      </c>
      <c r="Y631" s="4"/>
      <c r="Z631" s="4">
        <v>113.46000000000001</v>
      </c>
      <c r="AA631" s="4">
        <v>100</v>
      </c>
      <c r="AB631" s="18"/>
      <c r="AC631" s="18">
        <v>10</v>
      </c>
      <c r="AD631" s="28"/>
      <c r="AE631" s="26"/>
      <c r="AF631" s="28"/>
    </row>
    <row r="632" spans="1:32" ht="12.6" customHeight="1" x14ac:dyDescent="0.25">
      <c r="A632" s="14">
        <v>45724</v>
      </c>
      <c r="B632" s="14" t="s">
        <v>46</v>
      </c>
      <c r="C632" s="15">
        <v>2</v>
      </c>
      <c r="D632" s="16"/>
      <c r="E632" s="16"/>
      <c r="F632" s="17"/>
      <c r="G632" s="21"/>
      <c r="H632" s="21"/>
      <c r="I632" s="4">
        <v>0</v>
      </c>
      <c r="J632" s="4">
        <v>0</v>
      </c>
      <c r="K632" s="4"/>
      <c r="L632" s="16"/>
      <c r="M632" s="4"/>
      <c r="N632" s="4"/>
      <c r="O632" s="4"/>
      <c r="P632" s="4"/>
      <c r="Q632" s="4"/>
      <c r="R632" s="4"/>
      <c r="S632" s="4">
        <v>0</v>
      </c>
      <c r="T632" s="4">
        <v>0</v>
      </c>
      <c r="U632" s="4">
        <v>0</v>
      </c>
      <c r="V632" s="4">
        <v>12</v>
      </c>
      <c r="W632" s="4">
        <v>12</v>
      </c>
      <c r="X632" s="4">
        <v>0</v>
      </c>
      <c r="Y632" s="4"/>
      <c r="Z632" s="4">
        <v>114.36000000000001</v>
      </c>
      <c r="AA632" s="4">
        <v>100</v>
      </c>
      <c r="AB632" s="18"/>
      <c r="AC632" s="18">
        <v>10</v>
      </c>
      <c r="AD632" s="28"/>
      <c r="AE632" s="26"/>
      <c r="AF632" s="28"/>
    </row>
    <row r="633" spans="1:32" ht="12.6" customHeight="1" x14ac:dyDescent="0.25">
      <c r="A633" s="14">
        <v>45724</v>
      </c>
      <c r="B633" s="14" t="s">
        <v>45</v>
      </c>
      <c r="C633" s="15">
        <v>3</v>
      </c>
      <c r="D633" s="16"/>
      <c r="E633" s="16"/>
      <c r="F633" s="17"/>
      <c r="G633" s="21"/>
      <c r="H633" s="21"/>
      <c r="I633" s="4">
        <v>0</v>
      </c>
      <c r="J633" s="4">
        <v>0</v>
      </c>
      <c r="K633" s="4"/>
      <c r="L633" s="16"/>
      <c r="M633" s="4"/>
      <c r="N633" s="4"/>
      <c r="O633" s="4"/>
      <c r="P633" s="4"/>
      <c r="Q633" s="4"/>
      <c r="R633" s="4"/>
      <c r="S633" s="4">
        <v>0</v>
      </c>
      <c r="T633" s="4">
        <v>0</v>
      </c>
      <c r="U633" s="4">
        <v>0</v>
      </c>
      <c r="V633" s="4">
        <v>12</v>
      </c>
      <c r="W633" s="4">
        <v>12</v>
      </c>
      <c r="X633" s="4">
        <v>0</v>
      </c>
      <c r="Y633" s="4"/>
      <c r="Z633" s="4">
        <v>291.01</v>
      </c>
      <c r="AA633" s="4">
        <v>300</v>
      </c>
      <c r="AB633" s="18"/>
      <c r="AC633" s="18">
        <v>10</v>
      </c>
      <c r="AD633" s="28"/>
      <c r="AE633" s="26"/>
      <c r="AF633" s="28"/>
    </row>
    <row r="634" spans="1:32" ht="12.6" customHeight="1" x14ac:dyDescent="0.25">
      <c r="A634" s="14">
        <v>45724</v>
      </c>
      <c r="B634" s="14" t="s">
        <v>46</v>
      </c>
      <c r="C634" s="15">
        <v>3</v>
      </c>
      <c r="D634" s="16"/>
      <c r="E634" s="16"/>
      <c r="F634" s="17"/>
      <c r="G634" s="21"/>
      <c r="H634" s="21"/>
      <c r="I634" s="4">
        <v>0</v>
      </c>
      <c r="J634" s="4">
        <v>0</v>
      </c>
      <c r="K634" s="4"/>
      <c r="L634" s="16"/>
      <c r="M634" s="4"/>
      <c r="N634" s="4"/>
      <c r="O634" s="4"/>
      <c r="P634" s="4"/>
      <c r="Q634" s="4"/>
      <c r="R634" s="4"/>
      <c r="S634" s="4">
        <v>0</v>
      </c>
      <c r="T634" s="4">
        <v>0</v>
      </c>
      <c r="U634" s="4">
        <v>0</v>
      </c>
      <c r="V634" s="4">
        <v>12</v>
      </c>
      <c r="W634" s="4">
        <v>12</v>
      </c>
      <c r="X634" s="4">
        <v>0</v>
      </c>
      <c r="Y634" s="4"/>
      <c r="Z634" s="4">
        <v>252.12000000000003</v>
      </c>
      <c r="AA634" s="4">
        <v>250</v>
      </c>
      <c r="AB634" s="18"/>
      <c r="AC634" s="18">
        <v>10</v>
      </c>
      <c r="AD634" s="28"/>
      <c r="AE634" s="26"/>
      <c r="AF634" s="28"/>
    </row>
    <row r="635" spans="1:32" ht="12.6" customHeight="1" x14ac:dyDescent="0.25">
      <c r="A635" s="14">
        <v>45724</v>
      </c>
      <c r="B635" s="14" t="s">
        <v>45</v>
      </c>
      <c r="C635" s="15">
        <v>4</v>
      </c>
      <c r="D635" s="16"/>
      <c r="E635" s="16"/>
      <c r="F635" s="17"/>
      <c r="G635" s="21"/>
      <c r="H635" s="21"/>
      <c r="I635" s="4">
        <v>0</v>
      </c>
      <c r="J635" s="4">
        <v>0</v>
      </c>
      <c r="K635" s="4"/>
      <c r="L635" s="16"/>
      <c r="M635" s="4"/>
      <c r="N635" s="4"/>
      <c r="O635" s="4"/>
      <c r="P635" s="4"/>
      <c r="Q635" s="4"/>
      <c r="R635" s="4"/>
      <c r="S635" s="4">
        <v>0</v>
      </c>
      <c r="T635" s="4">
        <v>0</v>
      </c>
      <c r="U635" s="4">
        <v>0</v>
      </c>
      <c r="V635" s="4">
        <v>12</v>
      </c>
      <c r="W635" s="4">
        <v>12</v>
      </c>
      <c r="X635" s="4">
        <v>0</v>
      </c>
      <c r="Y635" s="4"/>
      <c r="Z635" s="4">
        <v>773.68000000000006</v>
      </c>
      <c r="AA635" s="4">
        <v>800</v>
      </c>
      <c r="AB635" s="18"/>
      <c r="AC635" s="18">
        <v>10</v>
      </c>
      <c r="AD635" s="28"/>
      <c r="AE635" s="26"/>
      <c r="AF635" s="28"/>
    </row>
    <row r="636" spans="1:32" ht="12.6" customHeight="1" x14ac:dyDescent="0.25">
      <c r="A636" s="14">
        <v>45724</v>
      </c>
      <c r="B636" s="14" t="s">
        <v>46</v>
      </c>
      <c r="C636" s="15">
        <v>4</v>
      </c>
      <c r="D636" s="16"/>
      <c r="E636" s="16"/>
      <c r="F636" s="17"/>
      <c r="G636" s="21"/>
      <c r="H636" s="21"/>
      <c r="I636" s="4">
        <v>0</v>
      </c>
      <c r="J636" s="4">
        <v>0</v>
      </c>
      <c r="K636" s="4"/>
      <c r="L636" s="16"/>
      <c r="M636" s="4"/>
      <c r="N636" s="4"/>
      <c r="O636" s="4"/>
      <c r="P636" s="4"/>
      <c r="Q636" s="4">
        <v>30</v>
      </c>
      <c r="R636" s="4"/>
      <c r="S636" s="4">
        <v>30</v>
      </c>
      <c r="T636" s="4">
        <v>0.5</v>
      </c>
      <c r="U636" s="4">
        <v>0.5</v>
      </c>
      <c r="V636" s="4">
        <v>11.5</v>
      </c>
      <c r="W636" s="4">
        <v>12</v>
      </c>
      <c r="X636" s="4">
        <v>0</v>
      </c>
      <c r="Y636" s="4"/>
      <c r="Z636" s="4">
        <v>767.22</v>
      </c>
      <c r="AA636" s="4">
        <v>750</v>
      </c>
      <c r="AB636" s="18"/>
      <c r="AC636" s="18">
        <v>10</v>
      </c>
      <c r="AD636" s="28"/>
      <c r="AE636" s="26"/>
      <c r="AF636" s="28"/>
    </row>
    <row r="637" spans="1:32" ht="12.6" customHeight="1" x14ac:dyDescent="0.25">
      <c r="A637" s="14">
        <v>45724</v>
      </c>
      <c r="B637" s="14" t="s">
        <v>45</v>
      </c>
      <c r="C637" s="15">
        <v>5</v>
      </c>
      <c r="D637" s="16"/>
      <c r="E637" s="16"/>
      <c r="F637" s="17"/>
      <c r="G637" s="21"/>
      <c r="H637" s="21"/>
      <c r="I637" s="4">
        <v>0</v>
      </c>
      <c r="J637" s="4">
        <v>0</v>
      </c>
      <c r="K637" s="4"/>
      <c r="L637" s="16"/>
      <c r="M637" s="4"/>
      <c r="N637" s="4"/>
      <c r="O637" s="4"/>
      <c r="P637" s="4"/>
      <c r="Q637" s="4"/>
      <c r="R637" s="4"/>
      <c r="S637" s="4">
        <v>0</v>
      </c>
      <c r="T637" s="4">
        <v>0</v>
      </c>
      <c r="U637" s="4">
        <v>0</v>
      </c>
      <c r="V637" s="4">
        <v>12</v>
      </c>
      <c r="W637" s="4">
        <v>12</v>
      </c>
      <c r="X637" s="4">
        <v>0</v>
      </c>
      <c r="Y637" s="4"/>
      <c r="Z637" s="4">
        <v>532.35</v>
      </c>
      <c r="AA637" s="4">
        <v>550</v>
      </c>
      <c r="AB637" s="18"/>
      <c r="AC637" s="18">
        <v>10</v>
      </c>
      <c r="AD637" s="28"/>
      <c r="AE637" s="26"/>
      <c r="AF637" s="28"/>
    </row>
    <row r="638" spans="1:32" ht="12.6" customHeight="1" x14ac:dyDescent="0.25">
      <c r="A638" s="14">
        <v>45724</v>
      </c>
      <c r="B638" s="14" t="s">
        <v>46</v>
      </c>
      <c r="C638" s="15">
        <v>5</v>
      </c>
      <c r="D638" s="16"/>
      <c r="E638" s="16"/>
      <c r="F638" s="17"/>
      <c r="G638" s="21"/>
      <c r="H638" s="21"/>
      <c r="I638" s="4">
        <v>0</v>
      </c>
      <c r="J638" s="4">
        <v>0</v>
      </c>
      <c r="K638" s="4"/>
      <c r="L638" s="16"/>
      <c r="M638" s="4"/>
      <c r="N638" s="4"/>
      <c r="O638" s="4"/>
      <c r="P638" s="4"/>
      <c r="Q638" s="4"/>
      <c r="R638" s="4"/>
      <c r="S638" s="4">
        <v>0</v>
      </c>
      <c r="T638" s="4">
        <v>0</v>
      </c>
      <c r="U638" s="4">
        <v>0</v>
      </c>
      <c r="V638" s="4">
        <v>12</v>
      </c>
      <c r="W638" s="4">
        <v>12</v>
      </c>
      <c r="X638" s="4">
        <v>0</v>
      </c>
      <c r="Y638" s="4"/>
      <c r="Z638" s="4">
        <v>544.53</v>
      </c>
      <c r="AA638" s="4">
        <v>550</v>
      </c>
      <c r="AB638" s="18"/>
      <c r="AC638" s="18">
        <v>10</v>
      </c>
      <c r="AD638" s="28"/>
      <c r="AE638" s="26"/>
      <c r="AF638" s="28"/>
    </row>
    <row r="639" spans="1:32" ht="12.6" customHeight="1" x14ac:dyDescent="0.25">
      <c r="A639" s="14">
        <v>45725</v>
      </c>
      <c r="B639" s="14" t="s">
        <v>45</v>
      </c>
      <c r="C639" s="15">
        <v>1</v>
      </c>
      <c r="D639" s="16"/>
      <c r="E639" s="16"/>
      <c r="F639" s="17"/>
      <c r="G639" s="21"/>
      <c r="H639" s="21"/>
      <c r="I639" s="4">
        <v>0</v>
      </c>
      <c r="J639" s="4">
        <v>0</v>
      </c>
      <c r="K639" s="4"/>
      <c r="L639" s="16"/>
      <c r="M639" s="4"/>
      <c r="N639" s="4"/>
      <c r="O639" s="4"/>
      <c r="P639" s="4"/>
      <c r="Q639" s="4"/>
      <c r="R639" s="4"/>
      <c r="S639" s="4">
        <v>0</v>
      </c>
      <c r="T639" s="4">
        <v>0</v>
      </c>
      <c r="U639" s="4">
        <v>0</v>
      </c>
      <c r="V639" s="4">
        <v>12</v>
      </c>
      <c r="W639" s="4">
        <v>12</v>
      </c>
      <c r="X639" s="4">
        <v>60</v>
      </c>
      <c r="Y639" s="4">
        <v>1868</v>
      </c>
      <c r="Z639" s="4">
        <v>156.05999999999997</v>
      </c>
      <c r="AA639" s="4">
        <v>150</v>
      </c>
      <c r="AB639" s="18">
        <v>398</v>
      </c>
      <c r="AC639" s="18">
        <v>10</v>
      </c>
      <c r="AD639" s="28"/>
      <c r="AE639" s="26"/>
      <c r="AF639" s="28"/>
    </row>
    <row r="640" spans="1:32" ht="12.6" customHeight="1" x14ac:dyDescent="0.25">
      <c r="A640" s="14">
        <v>45725</v>
      </c>
      <c r="B640" s="14" t="s">
        <v>46</v>
      </c>
      <c r="C640" s="15">
        <v>1</v>
      </c>
      <c r="D640" s="16"/>
      <c r="E640" s="16"/>
      <c r="F640" s="17"/>
      <c r="G640" s="21"/>
      <c r="H640" s="21"/>
      <c r="I640" s="4">
        <v>0</v>
      </c>
      <c r="J640" s="4">
        <v>0</v>
      </c>
      <c r="K640" s="4"/>
      <c r="L640" s="16"/>
      <c r="M640" s="4"/>
      <c r="N640" s="4"/>
      <c r="O640" s="4"/>
      <c r="P640" s="4"/>
      <c r="Q640" s="4"/>
      <c r="R640" s="4"/>
      <c r="S640" s="4">
        <v>0</v>
      </c>
      <c r="T640" s="4">
        <v>0</v>
      </c>
      <c r="U640" s="4">
        <v>0</v>
      </c>
      <c r="V640" s="4">
        <v>12</v>
      </c>
      <c r="W640" s="4">
        <v>12</v>
      </c>
      <c r="X640" s="4">
        <v>22</v>
      </c>
      <c r="Y640" s="4"/>
      <c r="Z640" s="4">
        <v>151.97999999999999</v>
      </c>
      <c r="AA640" s="4">
        <v>150</v>
      </c>
      <c r="AB640" s="18"/>
      <c r="AC640" s="18">
        <v>10</v>
      </c>
      <c r="AD640" s="28"/>
      <c r="AE640" s="26"/>
      <c r="AF640" s="28"/>
    </row>
    <row r="641" spans="1:32" ht="12.6" customHeight="1" x14ac:dyDescent="0.25">
      <c r="A641" s="14">
        <v>45725</v>
      </c>
      <c r="B641" s="14" t="s">
        <v>45</v>
      </c>
      <c r="C641" s="15">
        <v>2</v>
      </c>
      <c r="D641" s="16"/>
      <c r="E641" s="16"/>
      <c r="F641" s="17"/>
      <c r="G641" s="21"/>
      <c r="H641" s="21"/>
      <c r="I641" s="4">
        <v>0</v>
      </c>
      <c r="J641" s="4">
        <v>0</v>
      </c>
      <c r="K641" s="4"/>
      <c r="L641" s="16"/>
      <c r="M641" s="4"/>
      <c r="N641" s="4"/>
      <c r="O641" s="4"/>
      <c r="P641" s="4"/>
      <c r="Q641" s="4"/>
      <c r="R641" s="4"/>
      <c r="S641" s="4">
        <v>0</v>
      </c>
      <c r="T641" s="4">
        <v>0</v>
      </c>
      <c r="U641" s="4">
        <v>0</v>
      </c>
      <c r="V641" s="4">
        <v>12</v>
      </c>
      <c r="W641" s="4">
        <v>12</v>
      </c>
      <c r="X641" s="4">
        <v>0</v>
      </c>
      <c r="Y641" s="4"/>
      <c r="Z641" s="4">
        <v>121.6</v>
      </c>
      <c r="AA641" s="4">
        <v>150</v>
      </c>
      <c r="AB641" s="18"/>
      <c r="AC641" s="18">
        <v>10</v>
      </c>
      <c r="AD641" s="28"/>
      <c r="AE641" s="26"/>
      <c r="AF641" s="28"/>
    </row>
    <row r="642" spans="1:32" ht="12.6" customHeight="1" x14ac:dyDescent="0.25">
      <c r="A642" s="14">
        <v>45725</v>
      </c>
      <c r="B642" s="14" t="s">
        <v>46</v>
      </c>
      <c r="C642" s="15">
        <v>2</v>
      </c>
      <c r="D642" s="16"/>
      <c r="E642" s="16"/>
      <c r="F642" s="17"/>
      <c r="G642" s="21"/>
      <c r="H642" s="21"/>
      <c r="I642" s="4">
        <v>0</v>
      </c>
      <c r="J642" s="4">
        <v>0</v>
      </c>
      <c r="K642" s="4"/>
      <c r="L642" s="16"/>
      <c r="M642" s="4"/>
      <c r="N642" s="4"/>
      <c r="O642" s="4"/>
      <c r="P642" s="4"/>
      <c r="Q642" s="4"/>
      <c r="R642" s="4"/>
      <c r="S642" s="4">
        <v>0</v>
      </c>
      <c r="T642" s="4">
        <v>0</v>
      </c>
      <c r="U642" s="4">
        <v>0</v>
      </c>
      <c r="V642" s="4">
        <v>12</v>
      </c>
      <c r="W642" s="4">
        <v>12</v>
      </c>
      <c r="X642" s="4">
        <v>0</v>
      </c>
      <c r="Y642" s="4"/>
      <c r="Z642" s="4">
        <v>111.54999999999998</v>
      </c>
      <c r="AA642" s="4">
        <v>100</v>
      </c>
      <c r="AB642" s="18"/>
      <c r="AC642" s="18">
        <v>10</v>
      </c>
      <c r="AD642" s="28"/>
      <c r="AE642" s="26"/>
      <c r="AF642" s="28"/>
    </row>
    <row r="643" spans="1:32" ht="12.6" customHeight="1" x14ac:dyDescent="0.25">
      <c r="A643" s="14">
        <v>45725</v>
      </c>
      <c r="B643" s="14" t="s">
        <v>45</v>
      </c>
      <c r="C643" s="15">
        <v>3</v>
      </c>
      <c r="D643" s="16"/>
      <c r="E643" s="16"/>
      <c r="F643" s="17"/>
      <c r="G643" s="21"/>
      <c r="H643" s="21"/>
      <c r="I643" s="4">
        <v>0</v>
      </c>
      <c r="J643" s="4">
        <v>0</v>
      </c>
      <c r="K643" s="4"/>
      <c r="L643" s="16"/>
      <c r="M643" s="4"/>
      <c r="N643" s="4"/>
      <c r="O643" s="4"/>
      <c r="P643" s="4"/>
      <c r="Q643" s="4"/>
      <c r="R643" s="4"/>
      <c r="S643" s="4">
        <v>0</v>
      </c>
      <c r="T643" s="4">
        <v>0</v>
      </c>
      <c r="U643" s="4">
        <v>0</v>
      </c>
      <c r="V643" s="4">
        <v>12</v>
      </c>
      <c r="W643" s="4">
        <v>12</v>
      </c>
      <c r="X643" s="4">
        <v>0</v>
      </c>
      <c r="Y643" s="4"/>
      <c r="Z643" s="4">
        <v>275.99</v>
      </c>
      <c r="AA643" s="4">
        <v>300</v>
      </c>
      <c r="AB643" s="18"/>
      <c r="AC643" s="18">
        <v>10</v>
      </c>
      <c r="AD643" s="28"/>
      <c r="AE643" s="26"/>
      <c r="AF643" s="28"/>
    </row>
    <row r="644" spans="1:32" ht="12.6" customHeight="1" x14ac:dyDescent="0.25">
      <c r="A644" s="14">
        <v>45725</v>
      </c>
      <c r="B644" s="14" t="s">
        <v>46</v>
      </c>
      <c r="C644" s="15">
        <v>3</v>
      </c>
      <c r="D644" s="16"/>
      <c r="E644" s="16"/>
      <c r="F644" s="17"/>
      <c r="G644" s="21"/>
      <c r="H644" s="21"/>
      <c r="I644" s="4">
        <v>0</v>
      </c>
      <c r="J644" s="4">
        <v>0</v>
      </c>
      <c r="K644" s="4"/>
      <c r="L644" s="16"/>
      <c r="M644" s="4"/>
      <c r="N644" s="4"/>
      <c r="O644" s="4"/>
      <c r="P644" s="4"/>
      <c r="Q644" s="4"/>
      <c r="R644" s="4"/>
      <c r="S644" s="4">
        <v>0</v>
      </c>
      <c r="T644" s="4">
        <v>0</v>
      </c>
      <c r="U644" s="4">
        <v>0</v>
      </c>
      <c r="V644" s="4">
        <v>12</v>
      </c>
      <c r="W644" s="4">
        <v>12</v>
      </c>
      <c r="X644" s="4">
        <v>0</v>
      </c>
      <c r="Y644" s="4"/>
      <c r="Z644" s="4">
        <v>264.7</v>
      </c>
      <c r="AA644" s="4">
        <v>300</v>
      </c>
      <c r="AB644" s="18"/>
      <c r="AC644" s="18">
        <v>10</v>
      </c>
      <c r="AD644" s="28"/>
      <c r="AE644" s="26"/>
      <c r="AF644" s="28"/>
    </row>
    <row r="645" spans="1:32" ht="12.6" customHeight="1" x14ac:dyDescent="0.25">
      <c r="A645" s="14">
        <v>45725</v>
      </c>
      <c r="B645" s="14" t="s">
        <v>45</v>
      </c>
      <c r="C645" s="15">
        <v>4</v>
      </c>
      <c r="D645" s="16"/>
      <c r="E645" s="16"/>
      <c r="F645" s="17"/>
      <c r="G645" s="21"/>
      <c r="H645" s="21"/>
      <c r="I645" s="4">
        <v>0</v>
      </c>
      <c r="J645" s="4">
        <v>0</v>
      </c>
      <c r="K645" s="4"/>
      <c r="L645" s="16"/>
      <c r="M645" s="4"/>
      <c r="N645" s="4"/>
      <c r="O645" s="4"/>
      <c r="P645" s="4"/>
      <c r="Q645" s="4"/>
      <c r="R645" s="4"/>
      <c r="S645" s="4">
        <v>0</v>
      </c>
      <c r="T645" s="4">
        <v>0</v>
      </c>
      <c r="U645" s="4">
        <v>0</v>
      </c>
      <c r="V645" s="4">
        <v>12</v>
      </c>
      <c r="W645" s="4">
        <v>12</v>
      </c>
      <c r="X645" s="4">
        <v>0</v>
      </c>
      <c r="Y645" s="4"/>
      <c r="Z645" s="4">
        <v>850.59999999999991</v>
      </c>
      <c r="AA645" s="4">
        <v>850</v>
      </c>
      <c r="AB645" s="18"/>
      <c r="AC645" s="18">
        <v>10</v>
      </c>
      <c r="AD645" s="28"/>
      <c r="AE645" s="26"/>
      <c r="AF645" s="28"/>
    </row>
    <row r="646" spans="1:32" ht="12.6" customHeight="1" x14ac:dyDescent="0.25">
      <c r="A646" s="14">
        <v>45725</v>
      </c>
      <c r="B646" s="14" t="s">
        <v>46</v>
      </c>
      <c r="C646" s="15">
        <v>4</v>
      </c>
      <c r="D646" s="16"/>
      <c r="E646" s="16"/>
      <c r="F646" s="17"/>
      <c r="G646" s="21"/>
      <c r="H646" s="21"/>
      <c r="I646" s="4">
        <v>0</v>
      </c>
      <c r="J646" s="4">
        <v>0</v>
      </c>
      <c r="K646" s="4"/>
      <c r="L646" s="16"/>
      <c r="M646" s="4"/>
      <c r="N646" s="4"/>
      <c r="O646" s="4"/>
      <c r="P646" s="4"/>
      <c r="Q646" s="4"/>
      <c r="R646" s="4"/>
      <c r="S646" s="4">
        <v>0</v>
      </c>
      <c r="T646" s="4">
        <v>0</v>
      </c>
      <c r="U646" s="4">
        <v>0</v>
      </c>
      <c r="V646" s="4">
        <v>12</v>
      </c>
      <c r="W646" s="4">
        <v>12</v>
      </c>
      <c r="X646" s="4">
        <v>0</v>
      </c>
      <c r="Y646" s="4"/>
      <c r="Z646" s="4">
        <v>743.07999999999993</v>
      </c>
      <c r="AA646" s="4">
        <v>750</v>
      </c>
      <c r="AB646" s="18"/>
      <c r="AC646" s="18">
        <v>10</v>
      </c>
      <c r="AD646" s="28"/>
      <c r="AE646" s="26"/>
      <c r="AF646" s="28"/>
    </row>
    <row r="647" spans="1:32" ht="12.6" customHeight="1" x14ac:dyDescent="0.25">
      <c r="A647" s="14">
        <v>45725</v>
      </c>
      <c r="B647" s="14" t="s">
        <v>45</v>
      </c>
      <c r="C647" s="15">
        <v>5</v>
      </c>
      <c r="D647" s="16"/>
      <c r="E647" s="16"/>
      <c r="F647" s="17"/>
      <c r="G647" s="21"/>
      <c r="H647" s="21"/>
      <c r="I647" s="4">
        <v>0</v>
      </c>
      <c r="J647" s="4">
        <v>0</v>
      </c>
      <c r="K647" s="4"/>
      <c r="L647" s="16"/>
      <c r="M647" s="4"/>
      <c r="N647" s="4"/>
      <c r="O647" s="4"/>
      <c r="P647" s="4"/>
      <c r="Q647" s="4"/>
      <c r="R647" s="4"/>
      <c r="S647" s="4">
        <v>0</v>
      </c>
      <c r="T647" s="4">
        <v>0</v>
      </c>
      <c r="U647" s="4">
        <v>0</v>
      </c>
      <c r="V647" s="4">
        <v>12</v>
      </c>
      <c r="W647" s="4">
        <v>12</v>
      </c>
      <c r="X647" s="4">
        <v>0</v>
      </c>
      <c r="Y647" s="4"/>
      <c r="Z647" s="4">
        <v>512.63</v>
      </c>
      <c r="AA647" s="4">
        <v>500</v>
      </c>
      <c r="AB647" s="18"/>
      <c r="AC647" s="18">
        <v>10</v>
      </c>
      <c r="AD647" s="28"/>
      <c r="AE647" s="26"/>
      <c r="AF647" s="28"/>
    </row>
    <row r="648" spans="1:32" ht="12.6" customHeight="1" x14ac:dyDescent="0.25">
      <c r="A648" s="14">
        <v>45725</v>
      </c>
      <c r="B648" s="14" t="s">
        <v>46</v>
      </c>
      <c r="C648" s="15">
        <v>5</v>
      </c>
      <c r="D648" s="16"/>
      <c r="E648" s="16"/>
      <c r="F648" s="17"/>
      <c r="G648" s="21"/>
      <c r="H648" s="21"/>
      <c r="I648" s="4">
        <v>0</v>
      </c>
      <c r="J648" s="4">
        <v>0</v>
      </c>
      <c r="K648" s="4"/>
      <c r="L648" s="16"/>
      <c r="M648" s="4"/>
      <c r="N648" s="4"/>
      <c r="O648" s="4"/>
      <c r="P648" s="4"/>
      <c r="Q648" s="4"/>
      <c r="R648" s="4"/>
      <c r="S648" s="4">
        <v>0</v>
      </c>
      <c r="T648" s="4">
        <v>0</v>
      </c>
      <c r="U648" s="4">
        <v>0</v>
      </c>
      <c r="V648" s="4">
        <v>12</v>
      </c>
      <c r="W648" s="4">
        <v>12</v>
      </c>
      <c r="X648" s="4">
        <v>0</v>
      </c>
      <c r="Y648" s="4"/>
      <c r="Z648" s="4">
        <v>459.98999999999995</v>
      </c>
      <c r="AA648" s="4">
        <v>450</v>
      </c>
      <c r="AB648" s="18"/>
      <c r="AC648" s="18">
        <v>10</v>
      </c>
      <c r="AD648" s="28"/>
      <c r="AE648" s="26"/>
      <c r="AF648" s="28"/>
    </row>
    <row r="649" spans="1:32" ht="12.6" customHeight="1" x14ac:dyDescent="0.25">
      <c r="A649" s="14">
        <v>45726</v>
      </c>
      <c r="B649" s="14" t="s">
        <v>45</v>
      </c>
      <c r="C649" s="15">
        <v>1</v>
      </c>
      <c r="D649" s="16"/>
      <c r="E649" s="16"/>
      <c r="F649" s="17"/>
      <c r="G649" s="21"/>
      <c r="H649" s="21"/>
      <c r="I649" s="4">
        <v>0</v>
      </c>
      <c r="J649" s="4">
        <v>0</v>
      </c>
      <c r="K649" s="4"/>
      <c r="L649" s="16"/>
      <c r="M649" s="4"/>
      <c r="N649" s="4"/>
      <c r="O649" s="4"/>
      <c r="P649" s="4"/>
      <c r="Q649" s="4"/>
      <c r="R649" s="4"/>
      <c r="S649" s="4">
        <v>0</v>
      </c>
      <c r="T649" s="4">
        <v>0</v>
      </c>
      <c r="U649" s="4">
        <v>0</v>
      </c>
      <c r="V649" s="4">
        <v>12</v>
      </c>
      <c r="W649" s="4">
        <v>12</v>
      </c>
      <c r="X649" s="4">
        <v>31</v>
      </c>
      <c r="Y649" s="4">
        <v>1826</v>
      </c>
      <c r="Z649" s="4">
        <v>159.10999999999999</v>
      </c>
      <c r="AA649" s="4">
        <v>150</v>
      </c>
      <c r="AB649" s="18">
        <v>398</v>
      </c>
      <c r="AC649" s="18">
        <v>11</v>
      </c>
      <c r="AD649" s="28"/>
      <c r="AE649" s="26"/>
      <c r="AF649" s="28"/>
    </row>
    <row r="650" spans="1:32" ht="12.6" customHeight="1" x14ac:dyDescent="0.25">
      <c r="A650" s="14">
        <v>45726</v>
      </c>
      <c r="B650" s="14" t="s">
        <v>46</v>
      </c>
      <c r="C650" s="15">
        <v>1</v>
      </c>
      <c r="D650" s="16"/>
      <c r="E650" s="16"/>
      <c r="F650" s="17"/>
      <c r="G650" s="21"/>
      <c r="H650" s="21"/>
      <c r="I650" s="4">
        <v>0</v>
      </c>
      <c r="J650" s="4">
        <v>0</v>
      </c>
      <c r="K650" s="4"/>
      <c r="L650" s="16"/>
      <c r="M650" s="4"/>
      <c r="N650" s="4"/>
      <c r="O650" s="4"/>
      <c r="P650" s="4"/>
      <c r="Q650" s="4"/>
      <c r="R650" s="4"/>
      <c r="S650" s="4">
        <v>0</v>
      </c>
      <c r="T650" s="4">
        <v>0</v>
      </c>
      <c r="U650" s="4">
        <v>0</v>
      </c>
      <c r="V650" s="4">
        <v>12</v>
      </c>
      <c r="W650" s="4">
        <v>12</v>
      </c>
      <c r="X650" s="4">
        <v>72</v>
      </c>
      <c r="Y650" s="4"/>
      <c r="Z650" s="4">
        <v>157.15999999999997</v>
      </c>
      <c r="AA650" s="4">
        <v>150</v>
      </c>
      <c r="AB650" s="18"/>
      <c r="AC650" s="18">
        <v>11</v>
      </c>
      <c r="AD650" s="28"/>
      <c r="AE650" s="26"/>
      <c r="AF650" s="28"/>
    </row>
    <row r="651" spans="1:32" ht="12.6" customHeight="1" x14ac:dyDescent="0.25">
      <c r="A651" s="14">
        <v>45726</v>
      </c>
      <c r="B651" s="14" t="s">
        <v>45</v>
      </c>
      <c r="C651" s="15">
        <v>2</v>
      </c>
      <c r="D651" s="16"/>
      <c r="E651" s="16"/>
      <c r="F651" s="17"/>
      <c r="G651" s="21"/>
      <c r="H651" s="21"/>
      <c r="I651" s="4">
        <v>0</v>
      </c>
      <c r="J651" s="4">
        <v>0</v>
      </c>
      <c r="K651" s="4"/>
      <c r="L651" s="16"/>
      <c r="M651" s="4"/>
      <c r="N651" s="4"/>
      <c r="O651" s="4"/>
      <c r="P651" s="4"/>
      <c r="Q651" s="4"/>
      <c r="R651" s="4"/>
      <c r="S651" s="4">
        <v>0</v>
      </c>
      <c r="T651" s="4">
        <v>0</v>
      </c>
      <c r="U651" s="4">
        <v>0</v>
      </c>
      <c r="V651" s="4">
        <v>12</v>
      </c>
      <c r="W651" s="4">
        <v>12</v>
      </c>
      <c r="X651" s="4">
        <v>0</v>
      </c>
      <c r="Y651" s="4"/>
      <c r="Z651" s="4">
        <v>132.69</v>
      </c>
      <c r="AA651" s="4">
        <v>150</v>
      </c>
      <c r="AB651" s="18"/>
      <c r="AC651" s="18">
        <v>11</v>
      </c>
      <c r="AD651" s="28"/>
      <c r="AE651" s="26"/>
      <c r="AF651" s="28"/>
    </row>
    <row r="652" spans="1:32" ht="12.6" customHeight="1" x14ac:dyDescent="0.25">
      <c r="A652" s="14">
        <v>45726</v>
      </c>
      <c r="B652" s="14" t="s">
        <v>46</v>
      </c>
      <c r="C652" s="15">
        <v>2</v>
      </c>
      <c r="D652" s="16"/>
      <c r="E652" s="16"/>
      <c r="F652" s="17"/>
      <c r="G652" s="21"/>
      <c r="H652" s="21"/>
      <c r="I652" s="4">
        <v>0</v>
      </c>
      <c r="J652" s="4">
        <v>0</v>
      </c>
      <c r="K652" s="4"/>
      <c r="L652" s="16"/>
      <c r="M652" s="4"/>
      <c r="N652" s="4"/>
      <c r="O652" s="4"/>
      <c r="P652" s="4"/>
      <c r="Q652" s="4"/>
      <c r="R652" s="4"/>
      <c r="S652" s="4">
        <v>0</v>
      </c>
      <c r="T652" s="4">
        <v>0</v>
      </c>
      <c r="U652" s="4">
        <v>0</v>
      </c>
      <c r="V652" s="4">
        <v>12</v>
      </c>
      <c r="W652" s="4">
        <v>12</v>
      </c>
      <c r="X652" s="4">
        <v>0</v>
      </c>
      <c r="Y652" s="4"/>
      <c r="Z652" s="4">
        <v>126.28999999999999</v>
      </c>
      <c r="AA652" s="4">
        <v>150</v>
      </c>
      <c r="AB652" s="18"/>
      <c r="AC652" s="18">
        <v>11</v>
      </c>
      <c r="AD652" s="28"/>
      <c r="AE652" s="26"/>
      <c r="AF652" s="28"/>
    </row>
    <row r="653" spans="1:32" ht="12.6" customHeight="1" x14ac:dyDescent="0.25">
      <c r="A653" s="14">
        <v>45726</v>
      </c>
      <c r="B653" s="14" t="s">
        <v>45</v>
      </c>
      <c r="C653" s="15">
        <v>3</v>
      </c>
      <c r="D653" s="16"/>
      <c r="E653" s="16"/>
      <c r="F653" s="17"/>
      <c r="G653" s="21"/>
      <c r="H653" s="21"/>
      <c r="I653" s="4">
        <v>0</v>
      </c>
      <c r="J653" s="4">
        <v>0</v>
      </c>
      <c r="K653" s="4"/>
      <c r="L653" s="16"/>
      <c r="M653" s="4"/>
      <c r="N653" s="4"/>
      <c r="O653" s="4"/>
      <c r="P653" s="4"/>
      <c r="Q653" s="4"/>
      <c r="R653" s="4"/>
      <c r="S653" s="4">
        <v>0</v>
      </c>
      <c r="T653" s="4">
        <v>0</v>
      </c>
      <c r="U653" s="4">
        <v>0</v>
      </c>
      <c r="V653" s="4">
        <v>12</v>
      </c>
      <c r="W653" s="4">
        <v>12</v>
      </c>
      <c r="X653" s="4">
        <v>0</v>
      </c>
      <c r="Y653" s="4"/>
      <c r="Z653" s="4">
        <v>259.36</v>
      </c>
      <c r="AA653" s="4">
        <v>300</v>
      </c>
      <c r="AB653" s="18"/>
      <c r="AC653" s="18">
        <v>11</v>
      </c>
      <c r="AD653" s="28"/>
      <c r="AE653" s="26"/>
      <c r="AF653" s="28"/>
    </row>
    <row r="654" spans="1:32" ht="12.6" customHeight="1" x14ac:dyDescent="0.25">
      <c r="A654" s="14">
        <v>45726</v>
      </c>
      <c r="B654" s="14" t="s">
        <v>46</v>
      </c>
      <c r="C654" s="15">
        <v>3</v>
      </c>
      <c r="D654" s="16"/>
      <c r="E654" s="16"/>
      <c r="F654" s="17"/>
      <c r="G654" s="21"/>
      <c r="H654" s="21"/>
      <c r="I654" s="4">
        <v>0</v>
      </c>
      <c r="J654" s="4">
        <v>0</v>
      </c>
      <c r="K654" s="4"/>
      <c r="L654" s="16"/>
      <c r="M654" s="4"/>
      <c r="N654" s="4"/>
      <c r="O654" s="4"/>
      <c r="P654" s="4"/>
      <c r="Q654" s="4"/>
      <c r="R654" s="4"/>
      <c r="S654" s="4">
        <v>0</v>
      </c>
      <c r="T654" s="4">
        <v>0</v>
      </c>
      <c r="U654" s="4">
        <v>0</v>
      </c>
      <c r="V654" s="4">
        <v>12</v>
      </c>
      <c r="W654" s="4">
        <v>12</v>
      </c>
      <c r="X654" s="4">
        <v>0</v>
      </c>
      <c r="Y654" s="4"/>
      <c r="Z654" s="4">
        <v>305.67</v>
      </c>
      <c r="AA654" s="4">
        <v>300</v>
      </c>
      <c r="AB654" s="18"/>
      <c r="AC654" s="18">
        <v>11</v>
      </c>
      <c r="AD654" s="28"/>
      <c r="AE654" s="26"/>
      <c r="AF654" s="28"/>
    </row>
    <row r="655" spans="1:32" ht="12.6" customHeight="1" x14ac:dyDescent="0.25">
      <c r="A655" s="14">
        <v>45726</v>
      </c>
      <c r="B655" s="14" t="s">
        <v>45</v>
      </c>
      <c r="C655" s="15">
        <v>4</v>
      </c>
      <c r="D655" s="16"/>
      <c r="E655" s="16"/>
      <c r="F655" s="17"/>
      <c r="G655" s="21"/>
      <c r="H655" s="21"/>
      <c r="I655" s="4">
        <v>0</v>
      </c>
      <c r="J655" s="4">
        <v>0</v>
      </c>
      <c r="K655" s="4"/>
      <c r="L655" s="16"/>
      <c r="M655" s="4"/>
      <c r="N655" s="4"/>
      <c r="O655" s="4"/>
      <c r="P655" s="4"/>
      <c r="Q655" s="4"/>
      <c r="R655" s="4"/>
      <c r="S655" s="4">
        <v>0</v>
      </c>
      <c r="T655" s="4">
        <v>0</v>
      </c>
      <c r="U655" s="4">
        <v>0</v>
      </c>
      <c r="V655" s="4">
        <v>12</v>
      </c>
      <c r="W655" s="4">
        <v>12</v>
      </c>
      <c r="X655" s="4">
        <v>0</v>
      </c>
      <c r="Y655" s="4"/>
      <c r="Z655" s="4">
        <v>762.94999999999993</v>
      </c>
      <c r="AA655" s="4">
        <v>800</v>
      </c>
      <c r="AB655" s="18"/>
      <c r="AC655" s="18">
        <v>11</v>
      </c>
      <c r="AD655" s="28"/>
      <c r="AE655" s="26"/>
      <c r="AF655" s="28"/>
    </row>
    <row r="656" spans="1:32" ht="12.6" customHeight="1" x14ac:dyDescent="0.25">
      <c r="A656" s="14">
        <v>45726</v>
      </c>
      <c r="B656" s="14" t="s">
        <v>46</v>
      </c>
      <c r="C656" s="15">
        <v>4</v>
      </c>
      <c r="D656" s="16"/>
      <c r="E656" s="16"/>
      <c r="F656" s="17"/>
      <c r="G656" s="21"/>
      <c r="H656" s="21"/>
      <c r="I656" s="4">
        <v>0</v>
      </c>
      <c r="J656" s="4">
        <v>0</v>
      </c>
      <c r="K656" s="4"/>
      <c r="L656" s="16"/>
      <c r="M656" s="4"/>
      <c r="N656" s="4"/>
      <c r="O656" s="4"/>
      <c r="P656" s="4"/>
      <c r="Q656" s="4"/>
      <c r="R656" s="4"/>
      <c r="S656" s="4">
        <v>0</v>
      </c>
      <c r="T656" s="4">
        <v>0</v>
      </c>
      <c r="U656" s="4">
        <v>0</v>
      </c>
      <c r="V656" s="4">
        <v>12</v>
      </c>
      <c r="W656" s="4">
        <v>12</v>
      </c>
      <c r="X656" s="4">
        <v>0</v>
      </c>
      <c r="Y656" s="4"/>
      <c r="Z656" s="4">
        <v>725</v>
      </c>
      <c r="AA656" s="4">
        <v>750</v>
      </c>
      <c r="AB656" s="18"/>
      <c r="AC656" s="18">
        <v>11</v>
      </c>
      <c r="AD656" s="28"/>
      <c r="AE656" s="26"/>
      <c r="AF656" s="28"/>
    </row>
    <row r="657" spans="1:32" ht="12.6" customHeight="1" x14ac:dyDescent="0.25">
      <c r="A657" s="14">
        <v>45726</v>
      </c>
      <c r="B657" s="14" t="s">
        <v>45</v>
      </c>
      <c r="C657" s="15">
        <v>5</v>
      </c>
      <c r="D657" s="16"/>
      <c r="E657" s="16"/>
      <c r="F657" s="17"/>
      <c r="G657" s="21"/>
      <c r="H657" s="21"/>
      <c r="I657" s="4">
        <v>0</v>
      </c>
      <c r="J657" s="4">
        <v>0</v>
      </c>
      <c r="K657" s="4"/>
      <c r="L657" s="16"/>
      <c r="M657" s="4"/>
      <c r="N657" s="4"/>
      <c r="O657" s="4"/>
      <c r="P657" s="4"/>
      <c r="Q657" s="4"/>
      <c r="R657" s="4"/>
      <c r="S657" s="4">
        <v>0</v>
      </c>
      <c r="T657" s="4">
        <v>0</v>
      </c>
      <c r="U657" s="4">
        <v>0</v>
      </c>
      <c r="V657" s="4">
        <v>12</v>
      </c>
      <c r="W657" s="4">
        <v>12</v>
      </c>
      <c r="X657" s="4">
        <v>0</v>
      </c>
      <c r="Y657" s="4"/>
      <c r="Z657" s="4">
        <v>424.98</v>
      </c>
      <c r="AA657" s="4">
        <v>400</v>
      </c>
      <c r="AB657" s="18"/>
      <c r="AC657" s="18">
        <v>11</v>
      </c>
      <c r="AD657" s="28"/>
      <c r="AE657" s="26"/>
      <c r="AF657" s="28"/>
    </row>
    <row r="658" spans="1:32" ht="12.6" customHeight="1" x14ac:dyDescent="0.25">
      <c r="A658" s="14">
        <v>45726</v>
      </c>
      <c r="B658" s="14" t="s">
        <v>46</v>
      </c>
      <c r="C658" s="15">
        <v>5</v>
      </c>
      <c r="D658" s="16"/>
      <c r="E658" s="16"/>
      <c r="F658" s="17"/>
      <c r="G658" s="21"/>
      <c r="H658" s="21"/>
      <c r="I658" s="4">
        <v>0</v>
      </c>
      <c r="J658" s="4">
        <v>0</v>
      </c>
      <c r="K658" s="4"/>
      <c r="L658" s="16"/>
      <c r="M658" s="4"/>
      <c r="N658" s="4"/>
      <c r="O658" s="4"/>
      <c r="P658" s="4"/>
      <c r="Q658" s="4">
        <v>70</v>
      </c>
      <c r="R658" s="4"/>
      <c r="S658" s="4">
        <v>70</v>
      </c>
      <c r="T658" s="4">
        <v>1.1666666666666667</v>
      </c>
      <c r="U658" s="4">
        <v>1.1666666666666667</v>
      </c>
      <c r="V658" s="4">
        <v>10.833333333333334</v>
      </c>
      <c r="W658" s="4">
        <v>12</v>
      </c>
      <c r="X658" s="4">
        <v>0</v>
      </c>
      <c r="Y658" s="4"/>
      <c r="Z658" s="4">
        <v>419.18999999999994</v>
      </c>
      <c r="AA658" s="4">
        <v>400</v>
      </c>
      <c r="AB658" s="18"/>
      <c r="AC658" s="18">
        <v>11</v>
      </c>
      <c r="AD658" s="28"/>
      <c r="AE658" s="26"/>
      <c r="AF658" s="28"/>
    </row>
    <row r="659" spans="1:32" ht="12.6" customHeight="1" x14ac:dyDescent="0.25">
      <c r="A659" s="14">
        <v>45727</v>
      </c>
      <c r="B659" s="14" t="s">
        <v>45</v>
      </c>
      <c r="C659" s="15">
        <v>1</v>
      </c>
      <c r="D659" s="16"/>
      <c r="E659" s="16"/>
      <c r="F659" s="17"/>
      <c r="G659" s="21"/>
      <c r="H659" s="21"/>
      <c r="I659" s="4">
        <v>0</v>
      </c>
      <c r="J659" s="4">
        <v>0</v>
      </c>
      <c r="K659" s="4"/>
      <c r="L659" s="16"/>
      <c r="M659" s="4"/>
      <c r="N659" s="4"/>
      <c r="O659" s="4"/>
      <c r="P659" s="4"/>
      <c r="Q659" s="4"/>
      <c r="R659" s="4"/>
      <c r="S659" s="4">
        <v>0</v>
      </c>
      <c r="T659" s="4">
        <v>0</v>
      </c>
      <c r="U659" s="4">
        <v>0</v>
      </c>
      <c r="V659" s="4">
        <v>12</v>
      </c>
      <c r="W659" s="4">
        <v>12</v>
      </c>
      <c r="X659" s="4">
        <v>27</v>
      </c>
      <c r="Y659" s="4">
        <v>1758</v>
      </c>
      <c r="Z659" s="4">
        <v>77.47999999999999</v>
      </c>
      <c r="AA659" s="4">
        <v>100</v>
      </c>
      <c r="AB659" s="18">
        <v>398</v>
      </c>
      <c r="AC659" s="18">
        <v>11</v>
      </c>
      <c r="AD659" s="28"/>
      <c r="AE659" s="26"/>
      <c r="AF659" s="28"/>
    </row>
    <row r="660" spans="1:32" ht="12.6" customHeight="1" x14ac:dyDescent="0.25">
      <c r="A660" s="14">
        <v>45727</v>
      </c>
      <c r="B660" s="14" t="s">
        <v>46</v>
      </c>
      <c r="C660" s="15">
        <v>1</v>
      </c>
      <c r="D660" s="16"/>
      <c r="E660" s="16"/>
      <c r="F660" s="17"/>
      <c r="G660" s="21"/>
      <c r="H660" s="21"/>
      <c r="I660" s="4">
        <v>0</v>
      </c>
      <c r="J660" s="4">
        <v>0</v>
      </c>
      <c r="K660" s="4"/>
      <c r="L660" s="16"/>
      <c r="M660" s="4"/>
      <c r="N660" s="4"/>
      <c r="O660" s="4"/>
      <c r="P660" s="4"/>
      <c r="Q660" s="4"/>
      <c r="R660" s="4"/>
      <c r="S660" s="4">
        <v>0</v>
      </c>
      <c r="T660" s="4">
        <v>0</v>
      </c>
      <c r="U660" s="4">
        <v>0</v>
      </c>
      <c r="V660" s="4">
        <v>12</v>
      </c>
      <c r="W660" s="4">
        <v>12</v>
      </c>
      <c r="X660" s="4">
        <v>30</v>
      </c>
      <c r="Y660" s="4"/>
      <c r="Z660" s="4">
        <v>110.83</v>
      </c>
      <c r="AA660" s="4">
        <v>100</v>
      </c>
      <c r="AB660" s="18"/>
      <c r="AC660" s="18">
        <v>11</v>
      </c>
      <c r="AD660" s="28"/>
      <c r="AE660" s="26"/>
      <c r="AF660" s="28"/>
    </row>
    <row r="661" spans="1:32" ht="12.6" customHeight="1" x14ac:dyDescent="0.25">
      <c r="A661" s="14">
        <v>45727</v>
      </c>
      <c r="B661" s="14" t="s">
        <v>45</v>
      </c>
      <c r="C661" s="15">
        <v>2</v>
      </c>
      <c r="D661" s="16"/>
      <c r="E661" s="16"/>
      <c r="F661" s="17"/>
      <c r="G661" s="21"/>
      <c r="H661" s="21"/>
      <c r="I661" s="4">
        <v>0</v>
      </c>
      <c r="J661" s="4">
        <v>0</v>
      </c>
      <c r="K661" s="4"/>
      <c r="L661" s="16"/>
      <c r="M661" s="4"/>
      <c r="N661" s="4"/>
      <c r="O661" s="4"/>
      <c r="P661" s="4"/>
      <c r="Q661" s="4"/>
      <c r="R661" s="4"/>
      <c r="S661" s="4">
        <v>0</v>
      </c>
      <c r="T661" s="4">
        <v>0</v>
      </c>
      <c r="U661" s="4">
        <v>0</v>
      </c>
      <c r="V661" s="4">
        <v>12</v>
      </c>
      <c r="W661" s="4">
        <v>12</v>
      </c>
      <c r="X661" s="4">
        <v>0</v>
      </c>
      <c r="Y661" s="4"/>
      <c r="Z661" s="4">
        <v>105.47</v>
      </c>
      <c r="AA661" s="4">
        <v>100</v>
      </c>
      <c r="AB661" s="18"/>
      <c r="AC661" s="18">
        <v>11</v>
      </c>
      <c r="AD661" s="28"/>
      <c r="AE661" s="26"/>
      <c r="AF661" s="28"/>
    </row>
    <row r="662" spans="1:32" ht="12.6" customHeight="1" x14ac:dyDescent="0.25">
      <c r="A662" s="14">
        <v>45727</v>
      </c>
      <c r="B662" s="14" t="s">
        <v>46</v>
      </c>
      <c r="C662" s="15">
        <v>2</v>
      </c>
      <c r="D662" s="16"/>
      <c r="E662" s="16"/>
      <c r="F662" s="17"/>
      <c r="G662" s="21"/>
      <c r="H662" s="21"/>
      <c r="I662" s="4">
        <v>0</v>
      </c>
      <c r="J662" s="4">
        <v>0</v>
      </c>
      <c r="K662" s="4"/>
      <c r="L662" s="16"/>
      <c r="M662" s="4"/>
      <c r="N662" s="4"/>
      <c r="O662" s="4"/>
      <c r="P662" s="4"/>
      <c r="Q662" s="4"/>
      <c r="R662" s="4"/>
      <c r="S662" s="4">
        <v>0</v>
      </c>
      <c r="T662" s="4">
        <v>0</v>
      </c>
      <c r="U662" s="4">
        <v>0</v>
      </c>
      <c r="V662" s="4">
        <v>12</v>
      </c>
      <c r="W662" s="4">
        <v>12</v>
      </c>
      <c r="X662" s="4">
        <v>0</v>
      </c>
      <c r="Y662" s="4"/>
      <c r="Z662" s="4">
        <v>160.22999999999999</v>
      </c>
      <c r="AA662" s="4">
        <v>150</v>
      </c>
      <c r="AB662" s="18"/>
      <c r="AC662" s="18">
        <v>11</v>
      </c>
      <c r="AD662" s="28"/>
      <c r="AE662" s="26"/>
      <c r="AF662" s="28"/>
    </row>
    <row r="663" spans="1:32" ht="12.6" customHeight="1" x14ac:dyDescent="0.25">
      <c r="A663" s="14">
        <v>45727</v>
      </c>
      <c r="B663" s="14" t="s">
        <v>45</v>
      </c>
      <c r="C663" s="15">
        <v>3</v>
      </c>
      <c r="D663" s="16"/>
      <c r="E663" s="16"/>
      <c r="F663" s="17"/>
      <c r="G663" s="21"/>
      <c r="H663" s="21"/>
      <c r="I663" s="4">
        <v>0</v>
      </c>
      <c r="J663" s="4">
        <v>0</v>
      </c>
      <c r="K663" s="4"/>
      <c r="L663" s="16"/>
      <c r="M663" s="4"/>
      <c r="N663" s="4"/>
      <c r="O663" s="4"/>
      <c r="P663" s="4"/>
      <c r="Q663" s="4"/>
      <c r="R663" s="4"/>
      <c r="S663" s="4">
        <v>0</v>
      </c>
      <c r="T663" s="4">
        <v>0</v>
      </c>
      <c r="U663" s="4">
        <v>0</v>
      </c>
      <c r="V663" s="4">
        <v>12</v>
      </c>
      <c r="W663" s="4">
        <v>12</v>
      </c>
      <c r="X663" s="4">
        <v>0</v>
      </c>
      <c r="Y663" s="4"/>
      <c r="Z663" s="4">
        <v>288.49</v>
      </c>
      <c r="AA663" s="4">
        <v>300</v>
      </c>
      <c r="AB663" s="18"/>
      <c r="AC663" s="18">
        <v>11</v>
      </c>
      <c r="AD663" s="28"/>
      <c r="AE663" s="26"/>
      <c r="AF663" s="28"/>
    </row>
    <row r="664" spans="1:32" ht="12.6" customHeight="1" x14ac:dyDescent="0.25">
      <c r="A664" s="14">
        <v>45727</v>
      </c>
      <c r="B664" s="14" t="s">
        <v>46</v>
      </c>
      <c r="C664" s="15">
        <v>3</v>
      </c>
      <c r="D664" s="16"/>
      <c r="E664" s="16"/>
      <c r="F664" s="17"/>
      <c r="G664" s="21"/>
      <c r="H664" s="21"/>
      <c r="I664" s="4">
        <v>0</v>
      </c>
      <c r="J664" s="4">
        <v>0</v>
      </c>
      <c r="K664" s="4"/>
      <c r="L664" s="16"/>
      <c r="M664" s="4"/>
      <c r="N664" s="4"/>
      <c r="O664" s="4"/>
      <c r="P664" s="4"/>
      <c r="Q664" s="4"/>
      <c r="R664" s="4"/>
      <c r="S664" s="4">
        <v>0</v>
      </c>
      <c r="T664" s="4">
        <v>0</v>
      </c>
      <c r="U664" s="4">
        <v>0</v>
      </c>
      <c r="V664" s="4">
        <v>12</v>
      </c>
      <c r="W664" s="4">
        <v>12</v>
      </c>
      <c r="X664" s="4">
        <v>0</v>
      </c>
      <c r="Y664" s="4"/>
      <c r="Z664" s="4">
        <v>262.48</v>
      </c>
      <c r="AA664" s="4">
        <v>250</v>
      </c>
      <c r="AB664" s="18"/>
      <c r="AC664" s="18">
        <v>11</v>
      </c>
      <c r="AD664" s="28"/>
      <c r="AE664" s="26"/>
      <c r="AF664" s="28"/>
    </row>
    <row r="665" spans="1:32" ht="12.6" customHeight="1" x14ac:dyDescent="0.25">
      <c r="A665" s="14">
        <v>45727</v>
      </c>
      <c r="B665" s="14" t="s">
        <v>45</v>
      </c>
      <c r="C665" s="15">
        <v>4</v>
      </c>
      <c r="D665" s="16"/>
      <c r="E665" s="16"/>
      <c r="F665" s="17"/>
      <c r="G665" s="21"/>
      <c r="H665" s="21"/>
      <c r="I665" s="4">
        <v>0</v>
      </c>
      <c r="J665" s="4">
        <v>0</v>
      </c>
      <c r="K665" s="4"/>
      <c r="L665" s="16"/>
      <c r="M665" s="4"/>
      <c r="N665" s="4"/>
      <c r="O665" s="4"/>
      <c r="P665" s="4"/>
      <c r="Q665" s="4"/>
      <c r="R665" s="4"/>
      <c r="S665" s="4">
        <v>0</v>
      </c>
      <c r="T665" s="4">
        <v>0</v>
      </c>
      <c r="U665" s="4">
        <v>0</v>
      </c>
      <c r="V665" s="4">
        <v>12</v>
      </c>
      <c r="W665" s="4">
        <v>12</v>
      </c>
      <c r="X665" s="4">
        <v>0</v>
      </c>
      <c r="Y665" s="4"/>
      <c r="Z665" s="4">
        <v>859.01</v>
      </c>
      <c r="AA665" s="4">
        <v>850</v>
      </c>
      <c r="AB665" s="18"/>
      <c r="AC665" s="18">
        <v>11</v>
      </c>
      <c r="AD665" s="28"/>
      <c r="AE665" s="26"/>
      <c r="AF665" s="28"/>
    </row>
    <row r="666" spans="1:32" ht="12.6" customHeight="1" x14ac:dyDescent="0.25">
      <c r="A666" s="14">
        <v>45727</v>
      </c>
      <c r="B666" s="14" t="s">
        <v>46</v>
      </c>
      <c r="C666" s="15">
        <v>4</v>
      </c>
      <c r="D666" s="16"/>
      <c r="E666" s="16"/>
      <c r="F666" s="17"/>
      <c r="G666" s="21"/>
      <c r="H666" s="21"/>
      <c r="I666" s="4">
        <v>0</v>
      </c>
      <c r="J666" s="4">
        <v>0</v>
      </c>
      <c r="K666" s="4"/>
      <c r="L666" s="16"/>
      <c r="M666" s="4"/>
      <c r="N666" s="4"/>
      <c r="O666" s="4"/>
      <c r="P666" s="4"/>
      <c r="Q666" s="4"/>
      <c r="R666" s="4"/>
      <c r="S666" s="4">
        <v>0</v>
      </c>
      <c r="T666" s="4">
        <v>0</v>
      </c>
      <c r="U666" s="4">
        <v>0</v>
      </c>
      <c r="V666" s="4">
        <v>12</v>
      </c>
      <c r="W666" s="4">
        <v>12</v>
      </c>
      <c r="X666" s="4">
        <v>0</v>
      </c>
      <c r="Y666" s="4"/>
      <c r="Z666" s="4">
        <v>746.86000000000013</v>
      </c>
      <c r="AA666" s="4">
        <v>750</v>
      </c>
      <c r="AB666" s="18"/>
      <c r="AC666" s="18">
        <v>11</v>
      </c>
      <c r="AD666" s="28"/>
      <c r="AE666" s="26"/>
      <c r="AF666" s="28"/>
    </row>
    <row r="667" spans="1:32" ht="12.6" customHeight="1" x14ac:dyDescent="0.25">
      <c r="A667" s="14">
        <v>45727</v>
      </c>
      <c r="B667" s="14" t="s">
        <v>45</v>
      </c>
      <c r="C667" s="15">
        <v>5</v>
      </c>
      <c r="D667" s="16"/>
      <c r="E667" s="16"/>
      <c r="F667" s="17"/>
      <c r="G667" s="21"/>
      <c r="H667" s="21"/>
      <c r="I667" s="4">
        <v>0</v>
      </c>
      <c r="J667" s="4">
        <v>0</v>
      </c>
      <c r="K667" s="4"/>
      <c r="L667" s="16"/>
      <c r="M667" s="4"/>
      <c r="N667" s="4"/>
      <c r="O667" s="4"/>
      <c r="P667" s="4"/>
      <c r="Q667" s="4"/>
      <c r="R667" s="4"/>
      <c r="S667" s="4">
        <v>0</v>
      </c>
      <c r="T667" s="4">
        <v>0</v>
      </c>
      <c r="U667" s="4">
        <v>0</v>
      </c>
      <c r="V667" s="4">
        <v>12</v>
      </c>
      <c r="W667" s="4">
        <v>12</v>
      </c>
      <c r="X667" s="4">
        <v>0</v>
      </c>
      <c r="Y667" s="4"/>
      <c r="Z667" s="4">
        <v>424.71</v>
      </c>
      <c r="AA667" s="4">
        <v>450</v>
      </c>
      <c r="AB667" s="18"/>
      <c r="AC667" s="18">
        <v>11</v>
      </c>
      <c r="AD667" s="28"/>
      <c r="AE667" s="26"/>
      <c r="AF667" s="28"/>
    </row>
    <row r="668" spans="1:32" ht="12.6" customHeight="1" x14ac:dyDescent="0.25">
      <c r="A668" s="14">
        <v>45727</v>
      </c>
      <c r="B668" s="14" t="s">
        <v>46</v>
      </c>
      <c r="C668" s="15">
        <v>5</v>
      </c>
      <c r="D668" s="16"/>
      <c r="E668" s="16"/>
      <c r="F668" s="17"/>
      <c r="G668" s="21"/>
      <c r="H668" s="21"/>
      <c r="I668" s="4">
        <v>0</v>
      </c>
      <c r="J668" s="4">
        <v>0</v>
      </c>
      <c r="K668" s="4"/>
      <c r="L668" s="16"/>
      <c r="M668" s="4"/>
      <c r="N668" s="4"/>
      <c r="O668" s="4"/>
      <c r="P668" s="4"/>
      <c r="Q668" s="4"/>
      <c r="R668" s="4"/>
      <c r="S668" s="4">
        <v>0</v>
      </c>
      <c r="T668" s="4">
        <v>0</v>
      </c>
      <c r="U668" s="4">
        <v>0</v>
      </c>
      <c r="V668" s="4">
        <v>12</v>
      </c>
      <c r="W668" s="4">
        <v>12</v>
      </c>
      <c r="X668" s="4">
        <v>0</v>
      </c>
      <c r="Y668" s="4"/>
      <c r="Z668" s="4">
        <v>454.88000000000005</v>
      </c>
      <c r="AA668" s="4">
        <v>450</v>
      </c>
      <c r="AB668" s="18"/>
      <c r="AC668" s="18">
        <v>11</v>
      </c>
      <c r="AD668" s="28"/>
      <c r="AE668" s="26"/>
      <c r="AF668" s="28"/>
    </row>
    <row r="669" spans="1:32" ht="12.6" customHeight="1" x14ac:dyDescent="0.25">
      <c r="A669" s="14">
        <v>45728</v>
      </c>
      <c r="B669" s="14" t="s">
        <v>45</v>
      </c>
      <c r="C669" s="15">
        <v>1</v>
      </c>
      <c r="D669" s="16"/>
      <c r="E669" s="16"/>
      <c r="F669" s="17"/>
      <c r="G669" s="21"/>
      <c r="H669" s="21"/>
      <c r="I669" s="4">
        <v>0</v>
      </c>
      <c r="J669" s="4">
        <v>0</v>
      </c>
      <c r="K669" s="4">
        <v>45</v>
      </c>
      <c r="L669" s="16"/>
      <c r="M669" s="4"/>
      <c r="N669" s="4"/>
      <c r="O669" s="4"/>
      <c r="P669" s="4"/>
      <c r="Q669" s="4"/>
      <c r="R669" s="4"/>
      <c r="S669" s="4">
        <v>45</v>
      </c>
      <c r="T669" s="4">
        <v>0.75</v>
      </c>
      <c r="U669" s="4">
        <v>0.75</v>
      </c>
      <c r="V669" s="4">
        <v>11.25</v>
      </c>
      <c r="W669" s="4">
        <v>12</v>
      </c>
      <c r="X669" s="4">
        <v>44</v>
      </c>
      <c r="Y669" s="4">
        <v>1706</v>
      </c>
      <c r="Z669" s="4">
        <v>153.57</v>
      </c>
      <c r="AA669" s="4">
        <v>150</v>
      </c>
      <c r="AB669" s="18">
        <v>398</v>
      </c>
      <c r="AC669" s="18">
        <v>11</v>
      </c>
      <c r="AD669" s="28"/>
      <c r="AE669" s="26"/>
      <c r="AF669" s="28"/>
    </row>
    <row r="670" spans="1:32" ht="12.6" customHeight="1" x14ac:dyDescent="0.25">
      <c r="A670" s="14">
        <v>45728</v>
      </c>
      <c r="B670" s="14" t="s">
        <v>46</v>
      </c>
      <c r="C670" s="15">
        <v>1</v>
      </c>
      <c r="D670" s="16"/>
      <c r="E670" s="16"/>
      <c r="F670" s="17"/>
      <c r="G670" s="21"/>
      <c r="H670" s="21"/>
      <c r="I670" s="4">
        <v>0</v>
      </c>
      <c r="J670" s="4">
        <v>0</v>
      </c>
      <c r="K670" s="4"/>
      <c r="L670" s="16"/>
      <c r="M670" s="4"/>
      <c r="N670" s="4"/>
      <c r="O670" s="4"/>
      <c r="P670" s="4"/>
      <c r="Q670" s="4"/>
      <c r="R670" s="4"/>
      <c r="S670" s="4">
        <v>0</v>
      </c>
      <c r="T670" s="4">
        <v>0</v>
      </c>
      <c r="U670" s="4">
        <v>0</v>
      </c>
      <c r="V670" s="4">
        <v>12</v>
      </c>
      <c r="W670" s="4">
        <v>12</v>
      </c>
      <c r="X670" s="4">
        <v>94</v>
      </c>
      <c r="Y670" s="4"/>
      <c r="Z670" s="4">
        <v>127.1</v>
      </c>
      <c r="AA670" s="4">
        <v>150</v>
      </c>
      <c r="AB670" s="18"/>
      <c r="AC670" s="18">
        <v>11</v>
      </c>
      <c r="AD670" s="28"/>
      <c r="AE670" s="26"/>
      <c r="AF670" s="28"/>
    </row>
    <row r="671" spans="1:32" ht="12.6" customHeight="1" x14ac:dyDescent="0.25">
      <c r="A671" s="14">
        <v>45728</v>
      </c>
      <c r="B671" s="14" t="s">
        <v>45</v>
      </c>
      <c r="C671" s="15">
        <v>2</v>
      </c>
      <c r="D671" s="16"/>
      <c r="E671" s="16"/>
      <c r="F671" s="17"/>
      <c r="G671" s="21"/>
      <c r="H671" s="21"/>
      <c r="I671" s="4">
        <v>0</v>
      </c>
      <c r="J671" s="4">
        <v>0</v>
      </c>
      <c r="K671" s="4">
        <v>45</v>
      </c>
      <c r="L671" s="16"/>
      <c r="M671" s="4"/>
      <c r="N671" s="4"/>
      <c r="O671" s="4"/>
      <c r="P671" s="4"/>
      <c r="Q671" s="4"/>
      <c r="R671" s="4"/>
      <c r="S671" s="4">
        <v>45</v>
      </c>
      <c r="T671" s="4">
        <v>0.75</v>
      </c>
      <c r="U671" s="4">
        <v>0.75</v>
      </c>
      <c r="V671" s="4">
        <v>11.25</v>
      </c>
      <c r="W671" s="4">
        <v>12</v>
      </c>
      <c r="X671" s="4">
        <v>0</v>
      </c>
      <c r="Y671" s="4"/>
      <c r="Z671" s="4">
        <v>22.85</v>
      </c>
      <c r="AA671" s="4">
        <v>50</v>
      </c>
      <c r="AB671" s="18"/>
      <c r="AC671" s="18">
        <v>11</v>
      </c>
      <c r="AD671" s="28"/>
      <c r="AE671" s="26"/>
      <c r="AF671" s="28"/>
    </row>
    <row r="672" spans="1:32" ht="12.6" customHeight="1" x14ac:dyDescent="0.25">
      <c r="A672" s="14">
        <v>45728</v>
      </c>
      <c r="B672" s="14" t="s">
        <v>46</v>
      </c>
      <c r="C672" s="15">
        <v>2</v>
      </c>
      <c r="D672" s="16"/>
      <c r="E672" s="16"/>
      <c r="F672" s="17"/>
      <c r="G672" s="21"/>
      <c r="H672" s="21"/>
      <c r="I672" s="4">
        <v>0</v>
      </c>
      <c r="J672" s="4">
        <v>0</v>
      </c>
      <c r="K672" s="4"/>
      <c r="L672" s="16"/>
      <c r="M672" s="4"/>
      <c r="N672" s="4"/>
      <c r="O672" s="4"/>
      <c r="P672" s="4"/>
      <c r="Q672" s="4"/>
      <c r="R672" s="4"/>
      <c r="S672" s="4">
        <v>0</v>
      </c>
      <c r="T672" s="4">
        <v>0</v>
      </c>
      <c r="U672" s="4">
        <v>0</v>
      </c>
      <c r="V672" s="4">
        <v>12</v>
      </c>
      <c r="W672" s="4">
        <v>12</v>
      </c>
      <c r="X672" s="4">
        <v>0</v>
      </c>
      <c r="Y672" s="4"/>
      <c r="Z672" s="4">
        <v>155.32</v>
      </c>
      <c r="AA672" s="4">
        <v>150</v>
      </c>
      <c r="AB672" s="18"/>
      <c r="AC672" s="18">
        <v>11</v>
      </c>
      <c r="AD672" s="28"/>
      <c r="AE672" s="26"/>
      <c r="AF672" s="28"/>
    </row>
    <row r="673" spans="1:32" ht="12.6" customHeight="1" x14ac:dyDescent="0.25">
      <c r="A673" s="14">
        <v>45728</v>
      </c>
      <c r="B673" s="14" t="s">
        <v>45</v>
      </c>
      <c r="C673" s="15">
        <v>3</v>
      </c>
      <c r="D673" s="16"/>
      <c r="E673" s="16"/>
      <c r="F673" s="17"/>
      <c r="G673" s="21"/>
      <c r="H673" s="21"/>
      <c r="I673" s="4">
        <v>0</v>
      </c>
      <c r="J673" s="4">
        <v>0</v>
      </c>
      <c r="K673" s="4">
        <v>45</v>
      </c>
      <c r="L673" s="16"/>
      <c r="M673" s="4"/>
      <c r="N673" s="4"/>
      <c r="O673" s="4"/>
      <c r="P673" s="4"/>
      <c r="Q673" s="4">
        <v>5</v>
      </c>
      <c r="R673" s="4"/>
      <c r="S673" s="4">
        <v>50</v>
      </c>
      <c r="T673" s="4">
        <v>0.83333333333333337</v>
      </c>
      <c r="U673" s="4">
        <v>0.83333333333333337</v>
      </c>
      <c r="V673" s="4">
        <v>11.166666666666666</v>
      </c>
      <c r="W673" s="4">
        <v>12</v>
      </c>
      <c r="X673" s="4">
        <v>0</v>
      </c>
      <c r="Y673" s="4"/>
      <c r="Z673" s="4">
        <v>300.24</v>
      </c>
      <c r="AA673" s="4">
        <v>300</v>
      </c>
      <c r="AB673" s="18"/>
      <c r="AC673" s="18">
        <v>11</v>
      </c>
      <c r="AD673" s="28"/>
      <c r="AE673" s="26"/>
      <c r="AF673" s="28"/>
    </row>
    <row r="674" spans="1:32" ht="12.6" customHeight="1" x14ac:dyDescent="0.25">
      <c r="A674" s="14">
        <v>45728</v>
      </c>
      <c r="B674" s="14" t="s">
        <v>46</v>
      </c>
      <c r="C674" s="15">
        <v>3</v>
      </c>
      <c r="D674" s="16"/>
      <c r="E674" s="16"/>
      <c r="F674" s="17"/>
      <c r="G674" s="21"/>
      <c r="H674" s="21"/>
      <c r="I674" s="4">
        <v>0</v>
      </c>
      <c r="J674" s="4">
        <v>0</v>
      </c>
      <c r="K674" s="4"/>
      <c r="L674" s="16"/>
      <c r="M674" s="4"/>
      <c r="N674" s="4"/>
      <c r="O674" s="4"/>
      <c r="P674" s="4"/>
      <c r="Q674" s="4"/>
      <c r="R674" s="4"/>
      <c r="S674" s="4">
        <v>0</v>
      </c>
      <c r="T674" s="4">
        <v>0</v>
      </c>
      <c r="U674" s="4">
        <v>0</v>
      </c>
      <c r="V674" s="4">
        <v>12</v>
      </c>
      <c r="W674" s="4">
        <v>12</v>
      </c>
      <c r="X674" s="4">
        <v>0</v>
      </c>
      <c r="Y674" s="4"/>
      <c r="Z674" s="4">
        <v>267.40999999999997</v>
      </c>
      <c r="AA674" s="4">
        <v>300</v>
      </c>
      <c r="AB674" s="18"/>
      <c r="AC674" s="18">
        <v>11</v>
      </c>
      <c r="AD674" s="28"/>
      <c r="AE674" s="26"/>
      <c r="AF674" s="28"/>
    </row>
    <row r="675" spans="1:32" ht="12.6" customHeight="1" x14ac:dyDescent="0.25">
      <c r="A675" s="14">
        <v>45728</v>
      </c>
      <c r="B675" s="14" t="s">
        <v>45</v>
      </c>
      <c r="C675" s="15">
        <v>4</v>
      </c>
      <c r="D675" s="16">
        <v>15</v>
      </c>
      <c r="E675" s="16"/>
      <c r="F675" s="17"/>
      <c r="G675" s="21"/>
      <c r="H675" s="21"/>
      <c r="I675" s="4">
        <v>15</v>
      </c>
      <c r="J675" s="4">
        <v>0.25</v>
      </c>
      <c r="K675" s="4">
        <v>45</v>
      </c>
      <c r="L675" s="16"/>
      <c r="M675" s="4"/>
      <c r="N675" s="4"/>
      <c r="O675" s="4"/>
      <c r="P675" s="4"/>
      <c r="Q675" s="4"/>
      <c r="R675" s="4"/>
      <c r="S675" s="4">
        <v>45</v>
      </c>
      <c r="T675" s="4">
        <v>0.75</v>
      </c>
      <c r="U675" s="4">
        <v>1</v>
      </c>
      <c r="V675" s="4">
        <v>11</v>
      </c>
      <c r="W675" s="4">
        <v>12</v>
      </c>
      <c r="X675" s="4">
        <v>0</v>
      </c>
      <c r="Y675" s="4"/>
      <c r="Z675" s="4">
        <v>664.7</v>
      </c>
      <c r="AA675" s="4">
        <v>700</v>
      </c>
      <c r="AB675" s="18"/>
      <c r="AC675" s="18">
        <v>11</v>
      </c>
      <c r="AD675" s="28"/>
      <c r="AE675" s="26"/>
      <c r="AF675" s="28"/>
    </row>
    <row r="676" spans="1:32" ht="12.6" customHeight="1" x14ac:dyDescent="0.25">
      <c r="A676" s="14">
        <v>45728</v>
      </c>
      <c r="B676" s="14" t="s">
        <v>46</v>
      </c>
      <c r="C676" s="15">
        <v>4</v>
      </c>
      <c r="D676" s="16"/>
      <c r="E676" s="16"/>
      <c r="F676" s="17"/>
      <c r="G676" s="21"/>
      <c r="H676" s="21"/>
      <c r="I676" s="4">
        <v>0</v>
      </c>
      <c r="J676" s="4">
        <v>0</v>
      </c>
      <c r="K676" s="4"/>
      <c r="L676" s="16"/>
      <c r="M676" s="4"/>
      <c r="N676" s="4"/>
      <c r="O676" s="4"/>
      <c r="P676" s="4"/>
      <c r="Q676" s="4"/>
      <c r="R676" s="4"/>
      <c r="S676" s="4">
        <v>0</v>
      </c>
      <c r="T676" s="4">
        <v>0</v>
      </c>
      <c r="U676" s="4">
        <v>0</v>
      </c>
      <c r="V676" s="4">
        <v>12</v>
      </c>
      <c r="W676" s="4">
        <v>12</v>
      </c>
      <c r="X676" s="4">
        <v>0</v>
      </c>
      <c r="Y676" s="4"/>
      <c r="Z676" s="4">
        <v>590.95999999999992</v>
      </c>
      <c r="AA676" s="4">
        <v>600</v>
      </c>
      <c r="AB676" s="18"/>
      <c r="AC676" s="18">
        <v>11</v>
      </c>
      <c r="AD676" s="28"/>
      <c r="AE676" s="26"/>
      <c r="AF676" s="28"/>
    </row>
    <row r="677" spans="1:32" ht="12.6" customHeight="1" x14ac:dyDescent="0.25">
      <c r="A677" s="14">
        <v>45728</v>
      </c>
      <c r="B677" s="14" t="s">
        <v>45</v>
      </c>
      <c r="C677" s="15">
        <v>5</v>
      </c>
      <c r="D677" s="16">
        <v>15</v>
      </c>
      <c r="E677" s="16"/>
      <c r="F677" s="17"/>
      <c r="G677" s="21"/>
      <c r="H677" s="21"/>
      <c r="I677" s="4">
        <v>15</v>
      </c>
      <c r="J677" s="4">
        <v>0.25</v>
      </c>
      <c r="K677" s="4">
        <v>45</v>
      </c>
      <c r="L677" s="16"/>
      <c r="M677" s="4"/>
      <c r="N677" s="4"/>
      <c r="O677" s="4"/>
      <c r="P677" s="4"/>
      <c r="Q677" s="4"/>
      <c r="R677" s="4"/>
      <c r="S677" s="4">
        <v>45</v>
      </c>
      <c r="T677" s="4">
        <v>0.75</v>
      </c>
      <c r="U677" s="4">
        <v>1</v>
      </c>
      <c r="V677" s="4">
        <v>11</v>
      </c>
      <c r="W677" s="4">
        <v>12</v>
      </c>
      <c r="X677" s="4">
        <v>0</v>
      </c>
      <c r="Y677" s="4"/>
      <c r="Z677" s="4">
        <v>492.98</v>
      </c>
      <c r="AA677" s="4">
        <v>500</v>
      </c>
      <c r="AB677" s="18"/>
      <c r="AC677" s="18">
        <v>11</v>
      </c>
      <c r="AD677" s="28"/>
      <c r="AE677" s="26"/>
      <c r="AF677" s="28"/>
    </row>
    <row r="678" spans="1:32" ht="12.6" customHeight="1" x14ac:dyDescent="0.25">
      <c r="A678" s="14">
        <v>45728</v>
      </c>
      <c r="B678" s="14" t="s">
        <v>46</v>
      </c>
      <c r="C678" s="15">
        <v>5</v>
      </c>
      <c r="D678" s="16"/>
      <c r="E678" s="16"/>
      <c r="F678" s="17"/>
      <c r="G678" s="21"/>
      <c r="H678" s="21"/>
      <c r="I678" s="4">
        <v>0</v>
      </c>
      <c r="J678" s="4">
        <v>0</v>
      </c>
      <c r="K678" s="4"/>
      <c r="L678" s="16"/>
      <c r="M678" s="4"/>
      <c r="N678" s="4"/>
      <c r="O678" s="4"/>
      <c r="P678" s="4"/>
      <c r="Q678" s="4"/>
      <c r="R678" s="4"/>
      <c r="S678" s="4">
        <v>0</v>
      </c>
      <c r="T678" s="4">
        <v>0</v>
      </c>
      <c r="U678" s="4">
        <v>0</v>
      </c>
      <c r="V678" s="4">
        <v>12</v>
      </c>
      <c r="W678" s="4">
        <v>12</v>
      </c>
      <c r="X678" s="4">
        <v>0</v>
      </c>
      <c r="Y678" s="4"/>
      <c r="Z678" s="4">
        <v>570.57000000000005</v>
      </c>
      <c r="AA678" s="4">
        <v>600</v>
      </c>
      <c r="AB678" s="18"/>
      <c r="AC678" s="18">
        <v>11</v>
      </c>
      <c r="AD678" s="28"/>
      <c r="AE678" s="26"/>
      <c r="AF678" s="28"/>
    </row>
    <row r="679" spans="1:32" ht="12.6" customHeight="1" x14ac:dyDescent="0.25">
      <c r="A679" s="14">
        <v>45729</v>
      </c>
      <c r="B679" s="14" t="s">
        <v>45</v>
      </c>
      <c r="C679" s="15">
        <v>1</v>
      </c>
      <c r="D679" s="16"/>
      <c r="E679" s="16"/>
      <c r="F679" s="17"/>
      <c r="G679" s="21"/>
      <c r="H679" s="21"/>
      <c r="I679" s="4">
        <v>0</v>
      </c>
      <c r="J679" s="4">
        <v>0</v>
      </c>
      <c r="K679" s="4"/>
      <c r="L679" s="16"/>
      <c r="M679" s="4"/>
      <c r="N679" s="4"/>
      <c r="O679" s="4"/>
      <c r="P679" s="4"/>
      <c r="Q679" s="4"/>
      <c r="R679" s="4"/>
      <c r="S679" s="4">
        <v>0</v>
      </c>
      <c r="T679" s="4">
        <v>0</v>
      </c>
      <c r="U679" s="4">
        <v>0</v>
      </c>
      <c r="V679" s="4">
        <v>12</v>
      </c>
      <c r="W679" s="4">
        <v>12</v>
      </c>
      <c r="X679" s="4">
        <v>44</v>
      </c>
      <c r="Y679" s="4">
        <v>1851</v>
      </c>
      <c r="Z679" s="4">
        <v>141.84</v>
      </c>
      <c r="AA679" s="4">
        <v>150</v>
      </c>
      <c r="AB679" s="18">
        <v>398</v>
      </c>
      <c r="AC679" s="18">
        <v>11</v>
      </c>
      <c r="AD679" s="28"/>
      <c r="AE679" s="26"/>
      <c r="AF679" s="28"/>
    </row>
    <row r="680" spans="1:32" ht="12.6" customHeight="1" x14ac:dyDescent="0.25">
      <c r="A680" s="14">
        <v>45729</v>
      </c>
      <c r="B680" s="14" t="s">
        <v>46</v>
      </c>
      <c r="C680" s="15">
        <v>1</v>
      </c>
      <c r="D680" s="16"/>
      <c r="E680" s="16"/>
      <c r="F680" s="17"/>
      <c r="G680" s="21"/>
      <c r="H680" s="21"/>
      <c r="I680" s="4">
        <v>0</v>
      </c>
      <c r="J680" s="4">
        <v>0</v>
      </c>
      <c r="K680" s="4"/>
      <c r="L680" s="16"/>
      <c r="M680" s="4"/>
      <c r="N680" s="4"/>
      <c r="O680" s="4"/>
      <c r="P680" s="4"/>
      <c r="Q680" s="4"/>
      <c r="R680" s="4"/>
      <c r="S680" s="4">
        <v>0</v>
      </c>
      <c r="T680" s="4">
        <v>0</v>
      </c>
      <c r="U680" s="4">
        <v>0</v>
      </c>
      <c r="V680" s="4">
        <v>12</v>
      </c>
      <c r="W680" s="4">
        <v>12</v>
      </c>
      <c r="X680" s="4">
        <v>72</v>
      </c>
      <c r="Y680" s="4"/>
      <c r="Z680" s="4">
        <v>121.97</v>
      </c>
      <c r="AA680" s="4">
        <v>150</v>
      </c>
      <c r="AB680" s="18"/>
      <c r="AC680" s="18">
        <v>11</v>
      </c>
      <c r="AD680" s="28"/>
      <c r="AE680" s="26"/>
      <c r="AF680" s="28"/>
    </row>
    <row r="681" spans="1:32" ht="12.6" customHeight="1" x14ac:dyDescent="0.25">
      <c r="A681" s="14">
        <v>45729</v>
      </c>
      <c r="B681" s="14" t="s">
        <v>45</v>
      </c>
      <c r="C681" s="15">
        <v>2</v>
      </c>
      <c r="D681" s="16"/>
      <c r="E681" s="16"/>
      <c r="F681" s="17"/>
      <c r="G681" s="21"/>
      <c r="H681" s="21"/>
      <c r="I681" s="4">
        <v>0</v>
      </c>
      <c r="J681" s="4">
        <v>0</v>
      </c>
      <c r="K681" s="4"/>
      <c r="L681" s="16"/>
      <c r="M681" s="4"/>
      <c r="N681" s="4"/>
      <c r="O681" s="4"/>
      <c r="P681" s="4"/>
      <c r="Q681" s="4"/>
      <c r="R681" s="4"/>
      <c r="S681" s="4">
        <v>0</v>
      </c>
      <c r="T681" s="4">
        <v>0</v>
      </c>
      <c r="U681" s="4">
        <v>0</v>
      </c>
      <c r="V681" s="4">
        <v>12</v>
      </c>
      <c r="W681" s="4">
        <v>12</v>
      </c>
      <c r="X681" s="4">
        <v>0</v>
      </c>
      <c r="Y681" s="4"/>
      <c r="Z681" s="4">
        <v>203.76</v>
      </c>
      <c r="AA681" s="4">
        <v>200</v>
      </c>
      <c r="AB681" s="18"/>
      <c r="AC681" s="18">
        <v>11</v>
      </c>
      <c r="AD681" s="28"/>
      <c r="AE681" s="26"/>
      <c r="AF681" s="28"/>
    </row>
    <row r="682" spans="1:32" ht="12.6" customHeight="1" x14ac:dyDescent="0.25">
      <c r="A682" s="14">
        <v>45729</v>
      </c>
      <c r="B682" s="14" t="s">
        <v>46</v>
      </c>
      <c r="C682" s="15">
        <v>2</v>
      </c>
      <c r="D682" s="16"/>
      <c r="E682" s="16"/>
      <c r="F682" s="17"/>
      <c r="G682" s="21"/>
      <c r="H682" s="21"/>
      <c r="I682" s="4">
        <v>0</v>
      </c>
      <c r="J682" s="4">
        <v>0</v>
      </c>
      <c r="K682" s="4"/>
      <c r="L682" s="16"/>
      <c r="M682" s="4"/>
      <c r="N682" s="4"/>
      <c r="O682" s="4"/>
      <c r="P682" s="4"/>
      <c r="Q682" s="4"/>
      <c r="R682" s="4"/>
      <c r="S682" s="4">
        <v>0</v>
      </c>
      <c r="T682" s="4">
        <v>0</v>
      </c>
      <c r="U682" s="4">
        <v>0</v>
      </c>
      <c r="V682" s="4">
        <v>12</v>
      </c>
      <c r="W682" s="4">
        <v>12</v>
      </c>
      <c r="X682" s="4">
        <v>0</v>
      </c>
      <c r="Y682" s="4"/>
      <c r="Z682" s="4">
        <v>196.54999999999998</v>
      </c>
      <c r="AA682" s="4">
        <v>200</v>
      </c>
      <c r="AB682" s="18"/>
      <c r="AC682" s="18">
        <v>11</v>
      </c>
      <c r="AD682" s="28"/>
      <c r="AE682" s="26"/>
      <c r="AF682" s="28"/>
    </row>
    <row r="683" spans="1:32" ht="12.6" customHeight="1" x14ac:dyDescent="0.25">
      <c r="A683" s="14">
        <v>45729</v>
      </c>
      <c r="B683" s="14" t="s">
        <v>45</v>
      </c>
      <c r="C683" s="15">
        <v>3</v>
      </c>
      <c r="D683" s="16"/>
      <c r="E683" s="16"/>
      <c r="F683" s="17"/>
      <c r="G683" s="21"/>
      <c r="H683" s="21"/>
      <c r="I683" s="4">
        <v>0</v>
      </c>
      <c r="J683" s="4">
        <v>0</v>
      </c>
      <c r="K683" s="4"/>
      <c r="L683" s="16"/>
      <c r="M683" s="4"/>
      <c r="N683" s="4"/>
      <c r="O683" s="4"/>
      <c r="P683" s="4"/>
      <c r="Q683" s="4"/>
      <c r="R683" s="4"/>
      <c r="S683" s="4">
        <v>0</v>
      </c>
      <c r="T683" s="4">
        <v>0</v>
      </c>
      <c r="U683" s="4">
        <v>0</v>
      </c>
      <c r="V683" s="4">
        <v>12</v>
      </c>
      <c r="W683" s="4">
        <v>12</v>
      </c>
      <c r="X683" s="4">
        <v>0</v>
      </c>
      <c r="Y683" s="4"/>
      <c r="Z683" s="4">
        <v>340.28</v>
      </c>
      <c r="AA683" s="4">
        <v>350</v>
      </c>
      <c r="AB683" s="18"/>
      <c r="AC683" s="18">
        <v>11</v>
      </c>
      <c r="AD683" s="28"/>
      <c r="AE683" s="26"/>
      <c r="AF683" s="28"/>
    </row>
    <row r="684" spans="1:32" ht="12.6" customHeight="1" x14ac:dyDescent="0.25">
      <c r="A684" s="14">
        <v>45729</v>
      </c>
      <c r="B684" s="14" t="s">
        <v>46</v>
      </c>
      <c r="C684" s="15">
        <v>3</v>
      </c>
      <c r="D684" s="16"/>
      <c r="E684" s="16"/>
      <c r="F684" s="17"/>
      <c r="G684" s="21"/>
      <c r="H684" s="21"/>
      <c r="I684" s="4">
        <v>0</v>
      </c>
      <c r="J684" s="4">
        <v>0</v>
      </c>
      <c r="K684" s="4"/>
      <c r="L684" s="16"/>
      <c r="M684" s="4"/>
      <c r="N684" s="4"/>
      <c r="O684" s="4"/>
      <c r="P684" s="4"/>
      <c r="Q684" s="4"/>
      <c r="R684" s="4"/>
      <c r="S684" s="4">
        <v>0</v>
      </c>
      <c r="T684" s="4">
        <v>0</v>
      </c>
      <c r="U684" s="4">
        <v>0</v>
      </c>
      <c r="V684" s="4">
        <v>12</v>
      </c>
      <c r="W684" s="4">
        <v>12</v>
      </c>
      <c r="X684" s="4">
        <v>0</v>
      </c>
      <c r="Y684" s="4"/>
      <c r="Z684" s="4">
        <v>304.98</v>
      </c>
      <c r="AA684" s="4">
        <v>300</v>
      </c>
      <c r="AB684" s="18"/>
      <c r="AC684" s="18">
        <v>11</v>
      </c>
      <c r="AD684" s="28"/>
      <c r="AE684" s="26"/>
      <c r="AF684" s="28"/>
    </row>
    <row r="685" spans="1:32" ht="12.6" customHeight="1" x14ac:dyDescent="0.25">
      <c r="A685" s="14">
        <v>45729</v>
      </c>
      <c r="B685" s="14" t="s">
        <v>45</v>
      </c>
      <c r="C685" s="15">
        <v>4</v>
      </c>
      <c r="D685" s="16">
        <v>40</v>
      </c>
      <c r="E685" s="16"/>
      <c r="F685" s="17"/>
      <c r="G685" s="21"/>
      <c r="H685" s="21"/>
      <c r="I685" s="4">
        <v>40</v>
      </c>
      <c r="J685" s="4">
        <v>0.66666666666666663</v>
      </c>
      <c r="K685" s="4"/>
      <c r="L685" s="16"/>
      <c r="M685" s="4"/>
      <c r="N685" s="4"/>
      <c r="O685" s="4"/>
      <c r="P685" s="4"/>
      <c r="Q685" s="4"/>
      <c r="R685" s="4"/>
      <c r="S685" s="4">
        <v>0</v>
      </c>
      <c r="T685" s="4">
        <v>0</v>
      </c>
      <c r="U685" s="4">
        <v>0.66666666666666663</v>
      </c>
      <c r="V685" s="4">
        <v>11.333333333333334</v>
      </c>
      <c r="W685" s="4">
        <v>12</v>
      </c>
      <c r="X685" s="4">
        <v>0</v>
      </c>
      <c r="Y685" s="4"/>
      <c r="Z685" s="4">
        <v>854.81</v>
      </c>
      <c r="AA685" s="4">
        <v>850</v>
      </c>
      <c r="AB685" s="18"/>
      <c r="AC685" s="18">
        <v>11</v>
      </c>
      <c r="AD685" s="28"/>
      <c r="AE685" s="26"/>
      <c r="AF685" s="28"/>
    </row>
    <row r="686" spans="1:32" ht="12.6" customHeight="1" x14ac:dyDescent="0.25">
      <c r="A686" s="14">
        <v>45729</v>
      </c>
      <c r="B686" s="14" t="s">
        <v>46</v>
      </c>
      <c r="C686" s="15">
        <v>4</v>
      </c>
      <c r="D686" s="16"/>
      <c r="E686" s="16"/>
      <c r="F686" s="17"/>
      <c r="G686" s="21"/>
      <c r="H686" s="21"/>
      <c r="I686" s="4">
        <v>0</v>
      </c>
      <c r="J686" s="4">
        <v>0</v>
      </c>
      <c r="K686" s="4"/>
      <c r="L686" s="16"/>
      <c r="M686" s="4"/>
      <c r="N686" s="4"/>
      <c r="O686" s="4"/>
      <c r="P686" s="4"/>
      <c r="Q686" s="4"/>
      <c r="R686" s="4"/>
      <c r="S686" s="4">
        <v>0</v>
      </c>
      <c r="T686" s="4">
        <v>0</v>
      </c>
      <c r="U686" s="4">
        <v>0</v>
      </c>
      <c r="V686" s="4">
        <v>12</v>
      </c>
      <c r="W686" s="4">
        <v>12</v>
      </c>
      <c r="X686" s="4">
        <v>0</v>
      </c>
      <c r="Y686" s="4"/>
      <c r="Z686" s="4">
        <v>710.75</v>
      </c>
      <c r="AA686" s="4">
        <v>700</v>
      </c>
      <c r="AB686" s="18"/>
      <c r="AC686" s="18">
        <v>11</v>
      </c>
      <c r="AD686" s="28"/>
      <c r="AE686" s="26"/>
      <c r="AF686" s="28"/>
    </row>
    <row r="687" spans="1:32" ht="12.6" customHeight="1" x14ac:dyDescent="0.25">
      <c r="A687" s="14">
        <v>45729</v>
      </c>
      <c r="B687" s="14" t="s">
        <v>45</v>
      </c>
      <c r="C687" s="15">
        <v>5</v>
      </c>
      <c r="D687" s="16">
        <v>30</v>
      </c>
      <c r="E687" s="16"/>
      <c r="F687" s="17"/>
      <c r="G687" s="21"/>
      <c r="H687" s="21"/>
      <c r="I687" s="4">
        <v>30</v>
      </c>
      <c r="J687" s="4">
        <v>0.5</v>
      </c>
      <c r="K687" s="4"/>
      <c r="L687" s="16"/>
      <c r="M687" s="4"/>
      <c r="N687" s="4"/>
      <c r="O687" s="4"/>
      <c r="P687" s="4"/>
      <c r="Q687" s="4"/>
      <c r="R687" s="4"/>
      <c r="S687" s="4">
        <v>0</v>
      </c>
      <c r="T687" s="4">
        <v>0</v>
      </c>
      <c r="U687" s="4">
        <v>0.5</v>
      </c>
      <c r="V687" s="4">
        <v>11.5</v>
      </c>
      <c r="W687" s="4">
        <v>12</v>
      </c>
      <c r="X687" s="4">
        <v>0</v>
      </c>
      <c r="Y687" s="4"/>
      <c r="Z687" s="4">
        <v>521.47</v>
      </c>
      <c r="AA687" s="4">
        <v>550</v>
      </c>
      <c r="AB687" s="18"/>
      <c r="AC687" s="18">
        <v>11</v>
      </c>
      <c r="AD687" s="28"/>
      <c r="AE687" s="26"/>
      <c r="AF687" s="28"/>
    </row>
    <row r="688" spans="1:32" ht="12.6" customHeight="1" x14ac:dyDescent="0.25">
      <c r="A688" s="14">
        <v>45729</v>
      </c>
      <c r="B688" s="14" t="s">
        <v>46</v>
      </c>
      <c r="C688" s="15">
        <v>5</v>
      </c>
      <c r="D688" s="16">
        <v>60</v>
      </c>
      <c r="E688" s="16"/>
      <c r="F688" s="17"/>
      <c r="G688" s="21"/>
      <c r="H688" s="21"/>
      <c r="I688" s="4">
        <v>60</v>
      </c>
      <c r="J688" s="4">
        <v>1</v>
      </c>
      <c r="K688" s="4"/>
      <c r="L688" s="16"/>
      <c r="M688" s="4"/>
      <c r="N688" s="4"/>
      <c r="O688" s="4"/>
      <c r="P688" s="4"/>
      <c r="Q688" s="4"/>
      <c r="R688" s="4"/>
      <c r="S688" s="4">
        <v>0</v>
      </c>
      <c r="T688" s="4">
        <v>0</v>
      </c>
      <c r="U688" s="4">
        <v>1</v>
      </c>
      <c r="V688" s="4">
        <v>11</v>
      </c>
      <c r="W688" s="4">
        <v>12</v>
      </c>
      <c r="X688" s="4">
        <v>0</v>
      </c>
      <c r="Y688" s="4"/>
      <c r="Z688" s="4">
        <v>522.54</v>
      </c>
      <c r="AA688" s="4">
        <v>550</v>
      </c>
      <c r="AB688" s="18"/>
      <c r="AC688" s="18">
        <v>11</v>
      </c>
      <c r="AD688" s="28"/>
      <c r="AE688" s="26"/>
      <c r="AF688" s="28"/>
    </row>
    <row r="689" spans="1:32" ht="12.6" customHeight="1" x14ac:dyDescent="0.25">
      <c r="A689" s="14">
        <v>45730</v>
      </c>
      <c r="B689" s="14" t="s">
        <v>45</v>
      </c>
      <c r="C689" s="15">
        <v>1</v>
      </c>
      <c r="D689" s="16"/>
      <c r="E689" s="16"/>
      <c r="F689" s="17"/>
      <c r="G689" s="21"/>
      <c r="H689" s="21"/>
      <c r="I689" s="4">
        <v>0</v>
      </c>
      <c r="J689" s="4">
        <v>0</v>
      </c>
      <c r="K689" s="4"/>
      <c r="L689" s="16"/>
      <c r="M689" s="4"/>
      <c r="N689" s="4"/>
      <c r="O689" s="4"/>
      <c r="P689" s="4"/>
      <c r="Q689" s="4"/>
      <c r="R689" s="4"/>
      <c r="S689" s="4">
        <v>0</v>
      </c>
      <c r="T689" s="4">
        <v>0</v>
      </c>
      <c r="U689" s="4">
        <v>0</v>
      </c>
      <c r="V689" s="4">
        <v>12</v>
      </c>
      <c r="W689" s="4">
        <v>12</v>
      </c>
      <c r="X689" s="4">
        <v>15</v>
      </c>
      <c r="Y689" s="4">
        <v>1906</v>
      </c>
      <c r="Z689" s="4">
        <v>123.4</v>
      </c>
      <c r="AA689" s="4">
        <v>100</v>
      </c>
      <c r="AB689" s="18">
        <v>398</v>
      </c>
      <c r="AC689" s="18">
        <v>11</v>
      </c>
      <c r="AD689" s="28"/>
      <c r="AE689" s="26"/>
      <c r="AF689" s="28"/>
    </row>
    <row r="690" spans="1:32" ht="12.6" customHeight="1" x14ac:dyDescent="0.25">
      <c r="A690" s="14">
        <v>45730</v>
      </c>
      <c r="B690" s="14" t="s">
        <v>46</v>
      </c>
      <c r="C690" s="15">
        <v>1</v>
      </c>
      <c r="D690" s="16"/>
      <c r="E690" s="16"/>
      <c r="F690" s="17"/>
      <c r="G690" s="21"/>
      <c r="H690" s="21"/>
      <c r="I690" s="4">
        <v>0</v>
      </c>
      <c r="J690" s="4">
        <v>0</v>
      </c>
      <c r="K690" s="4"/>
      <c r="L690" s="16"/>
      <c r="M690" s="4"/>
      <c r="N690" s="4"/>
      <c r="O690" s="4"/>
      <c r="P690" s="4"/>
      <c r="Q690" s="4"/>
      <c r="R690" s="4"/>
      <c r="S690" s="4">
        <v>0</v>
      </c>
      <c r="T690" s="4">
        <v>0</v>
      </c>
      <c r="U690" s="4">
        <v>0</v>
      </c>
      <c r="V690" s="4">
        <v>12</v>
      </c>
      <c r="W690" s="4">
        <v>12</v>
      </c>
      <c r="X690" s="4">
        <v>20</v>
      </c>
      <c r="Y690" s="4"/>
      <c r="Z690" s="4">
        <v>126.61999999999998</v>
      </c>
      <c r="AA690" s="4">
        <v>100</v>
      </c>
      <c r="AB690" s="18"/>
      <c r="AC690" s="18">
        <v>11</v>
      </c>
      <c r="AD690" s="28"/>
      <c r="AE690" s="26"/>
      <c r="AF690" s="28"/>
    </row>
    <row r="691" spans="1:32" ht="12.6" customHeight="1" x14ac:dyDescent="0.25">
      <c r="A691" s="14">
        <v>45730</v>
      </c>
      <c r="B691" s="14" t="s">
        <v>45</v>
      </c>
      <c r="C691" s="15">
        <v>2</v>
      </c>
      <c r="D691" s="16"/>
      <c r="E691" s="16"/>
      <c r="F691" s="17"/>
      <c r="G691" s="21"/>
      <c r="H691" s="21"/>
      <c r="I691" s="4">
        <v>0</v>
      </c>
      <c r="J691" s="4">
        <v>0</v>
      </c>
      <c r="K691" s="4"/>
      <c r="L691" s="16"/>
      <c r="M691" s="4"/>
      <c r="N691" s="4"/>
      <c r="O691" s="4"/>
      <c r="P691" s="4"/>
      <c r="Q691" s="4"/>
      <c r="R691" s="4"/>
      <c r="S691" s="4">
        <v>0</v>
      </c>
      <c r="T691" s="4">
        <v>0</v>
      </c>
      <c r="U691" s="4">
        <v>0</v>
      </c>
      <c r="V691" s="4">
        <v>12</v>
      </c>
      <c r="W691" s="4">
        <v>12</v>
      </c>
      <c r="X691" s="4">
        <v>0</v>
      </c>
      <c r="Y691" s="4"/>
      <c r="Z691" s="4">
        <v>172.05</v>
      </c>
      <c r="AA691" s="4">
        <v>200</v>
      </c>
      <c r="AB691" s="18"/>
      <c r="AC691" s="18">
        <v>11</v>
      </c>
      <c r="AD691" s="28"/>
      <c r="AE691" s="26"/>
      <c r="AF691" s="28"/>
    </row>
    <row r="692" spans="1:32" ht="12.6" customHeight="1" x14ac:dyDescent="0.25">
      <c r="A692" s="14">
        <v>45730</v>
      </c>
      <c r="B692" s="14" t="s">
        <v>46</v>
      </c>
      <c r="C692" s="15">
        <v>2</v>
      </c>
      <c r="D692" s="16"/>
      <c r="E692" s="16"/>
      <c r="F692" s="17"/>
      <c r="G692" s="21"/>
      <c r="H692" s="21"/>
      <c r="I692" s="4">
        <v>0</v>
      </c>
      <c r="J692" s="4">
        <v>0</v>
      </c>
      <c r="K692" s="4"/>
      <c r="L692" s="16"/>
      <c r="M692" s="4"/>
      <c r="N692" s="4"/>
      <c r="O692" s="4"/>
      <c r="P692" s="4"/>
      <c r="Q692" s="4"/>
      <c r="R692" s="4"/>
      <c r="S692" s="4">
        <v>0</v>
      </c>
      <c r="T692" s="4">
        <v>0</v>
      </c>
      <c r="U692" s="4">
        <v>0</v>
      </c>
      <c r="V692" s="4">
        <v>12</v>
      </c>
      <c r="W692" s="4">
        <v>12</v>
      </c>
      <c r="X692" s="4">
        <v>0</v>
      </c>
      <c r="Y692" s="4"/>
      <c r="Z692" s="4">
        <v>208.5</v>
      </c>
      <c r="AA692" s="4">
        <v>200</v>
      </c>
      <c r="AB692" s="18"/>
      <c r="AC692" s="18">
        <v>11</v>
      </c>
      <c r="AD692" s="28"/>
      <c r="AE692" s="26"/>
      <c r="AF692" s="28"/>
    </row>
    <row r="693" spans="1:32" ht="12.6" customHeight="1" x14ac:dyDescent="0.25">
      <c r="A693" s="14">
        <v>45730</v>
      </c>
      <c r="B693" s="14" t="s">
        <v>45</v>
      </c>
      <c r="C693" s="15">
        <v>3</v>
      </c>
      <c r="D693" s="16"/>
      <c r="E693" s="16"/>
      <c r="F693" s="17"/>
      <c r="G693" s="21"/>
      <c r="H693" s="21"/>
      <c r="I693" s="4">
        <v>0</v>
      </c>
      <c r="J693" s="4">
        <v>0</v>
      </c>
      <c r="K693" s="4"/>
      <c r="L693" s="16"/>
      <c r="M693" s="4"/>
      <c r="N693" s="4"/>
      <c r="O693" s="4"/>
      <c r="P693" s="4"/>
      <c r="Q693" s="4"/>
      <c r="R693" s="4"/>
      <c r="S693" s="4">
        <v>0</v>
      </c>
      <c r="T693" s="4">
        <v>0</v>
      </c>
      <c r="U693" s="4">
        <v>0</v>
      </c>
      <c r="V693" s="4">
        <v>12</v>
      </c>
      <c r="W693" s="4">
        <v>12</v>
      </c>
      <c r="X693" s="4">
        <v>0</v>
      </c>
      <c r="Y693" s="4"/>
      <c r="Z693" s="4">
        <v>377.18</v>
      </c>
      <c r="AA693" s="4">
        <v>400</v>
      </c>
      <c r="AB693" s="18"/>
      <c r="AC693" s="18">
        <v>11</v>
      </c>
      <c r="AD693" s="28"/>
      <c r="AE693" s="26"/>
      <c r="AF693" s="28"/>
    </row>
    <row r="694" spans="1:32" ht="12.6" customHeight="1" x14ac:dyDescent="0.25">
      <c r="A694" s="14">
        <v>45730</v>
      </c>
      <c r="B694" s="14" t="s">
        <v>46</v>
      </c>
      <c r="C694" s="15">
        <v>3</v>
      </c>
      <c r="D694" s="16"/>
      <c r="E694" s="16"/>
      <c r="F694" s="17"/>
      <c r="G694" s="21"/>
      <c r="H694" s="21"/>
      <c r="I694" s="4">
        <v>0</v>
      </c>
      <c r="J694" s="4">
        <v>0</v>
      </c>
      <c r="K694" s="4"/>
      <c r="L694" s="16"/>
      <c r="M694" s="4"/>
      <c r="N694" s="4"/>
      <c r="O694" s="4"/>
      <c r="P694" s="4"/>
      <c r="Q694" s="4"/>
      <c r="R694" s="4"/>
      <c r="S694" s="4">
        <v>0</v>
      </c>
      <c r="T694" s="4">
        <v>0</v>
      </c>
      <c r="U694" s="4">
        <v>0</v>
      </c>
      <c r="V694" s="4">
        <v>12</v>
      </c>
      <c r="W694" s="4">
        <v>12</v>
      </c>
      <c r="X694" s="4">
        <v>0</v>
      </c>
      <c r="Y694" s="4"/>
      <c r="Z694" s="4">
        <v>305.25000000000006</v>
      </c>
      <c r="AA694" s="4">
        <v>300</v>
      </c>
      <c r="AB694" s="18"/>
      <c r="AC694" s="18">
        <v>11</v>
      </c>
      <c r="AD694" s="28"/>
      <c r="AE694" s="26"/>
      <c r="AF694" s="28"/>
    </row>
    <row r="695" spans="1:32" ht="12.6" customHeight="1" x14ac:dyDescent="0.25">
      <c r="A695" s="14">
        <v>45730</v>
      </c>
      <c r="B695" s="14" t="s">
        <v>45</v>
      </c>
      <c r="C695" s="15">
        <v>4</v>
      </c>
      <c r="D695" s="16">
        <v>20</v>
      </c>
      <c r="E695" s="16"/>
      <c r="F695" s="17"/>
      <c r="G695" s="21"/>
      <c r="H695" s="21"/>
      <c r="I695" s="4">
        <v>20</v>
      </c>
      <c r="J695" s="4">
        <v>0.33333333333333331</v>
      </c>
      <c r="K695" s="4"/>
      <c r="L695" s="16"/>
      <c r="M695" s="4"/>
      <c r="N695" s="4"/>
      <c r="O695" s="4"/>
      <c r="P695" s="4"/>
      <c r="Q695" s="4"/>
      <c r="R695" s="4"/>
      <c r="S695" s="4">
        <v>0</v>
      </c>
      <c r="T695" s="4">
        <v>0</v>
      </c>
      <c r="U695" s="4">
        <v>0.33333333333333331</v>
      </c>
      <c r="V695" s="4">
        <v>11.666666666666666</v>
      </c>
      <c r="W695" s="4">
        <v>12</v>
      </c>
      <c r="X695" s="4">
        <v>0</v>
      </c>
      <c r="Y695" s="4"/>
      <c r="Z695" s="4">
        <v>867.7700000000001</v>
      </c>
      <c r="AA695" s="4">
        <v>850</v>
      </c>
      <c r="AB695" s="18"/>
      <c r="AC695" s="18">
        <v>11</v>
      </c>
      <c r="AD695" s="28"/>
      <c r="AE695" s="26"/>
      <c r="AF695" s="28"/>
    </row>
    <row r="696" spans="1:32" ht="12.6" customHeight="1" x14ac:dyDescent="0.25">
      <c r="A696" s="14">
        <v>45730</v>
      </c>
      <c r="B696" s="14" t="s">
        <v>46</v>
      </c>
      <c r="C696" s="15">
        <v>4</v>
      </c>
      <c r="D696" s="16"/>
      <c r="E696" s="16"/>
      <c r="F696" s="17"/>
      <c r="G696" s="21"/>
      <c r="H696" s="21"/>
      <c r="I696" s="4">
        <v>0</v>
      </c>
      <c r="J696" s="4">
        <v>0</v>
      </c>
      <c r="K696" s="4"/>
      <c r="L696" s="16"/>
      <c r="M696" s="4"/>
      <c r="N696" s="4"/>
      <c r="O696" s="4"/>
      <c r="P696" s="4"/>
      <c r="Q696" s="4"/>
      <c r="R696" s="4"/>
      <c r="S696" s="4">
        <v>0</v>
      </c>
      <c r="T696" s="4">
        <v>0</v>
      </c>
      <c r="U696" s="4">
        <v>0</v>
      </c>
      <c r="V696" s="4">
        <v>12</v>
      </c>
      <c r="W696" s="4">
        <v>12</v>
      </c>
      <c r="X696" s="4">
        <v>0</v>
      </c>
      <c r="Y696" s="4"/>
      <c r="Z696" s="4">
        <v>749.6</v>
      </c>
      <c r="AA696" s="4">
        <v>750</v>
      </c>
      <c r="AB696" s="18"/>
      <c r="AC696" s="18">
        <v>11</v>
      </c>
      <c r="AD696" s="28"/>
      <c r="AE696" s="26"/>
      <c r="AF696" s="28"/>
    </row>
    <row r="697" spans="1:32" ht="12.6" customHeight="1" x14ac:dyDescent="0.25">
      <c r="A697" s="14">
        <v>45730</v>
      </c>
      <c r="B697" s="14" t="s">
        <v>45</v>
      </c>
      <c r="C697" s="15">
        <v>5</v>
      </c>
      <c r="D697" s="16"/>
      <c r="E697" s="16"/>
      <c r="F697" s="17"/>
      <c r="G697" s="21"/>
      <c r="H697" s="21"/>
      <c r="I697" s="4">
        <v>0</v>
      </c>
      <c r="J697" s="4">
        <v>0</v>
      </c>
      <c r="K697" s="4"/>
      <c r="L697" s="16"/>
      <c r="M697" s="4"/>
      <c r="N697" s="4"/>
      <c r="O697" s="4"/>
      <c r="P697" s="4"/>
      <c r="Q697" s="4"/>
      <c r="R697" s="4"/>
      <c r="S697" s="4">
        <v>0</v>
      </c>
      <c r="T697" s="4">
        <v>0</v>
      </c>
      <c r="U697" s="4">
        <v>0</v>
      </c>
      <c r="V697" s="4">
        <v>12</v>
      </c>
      <c r="W697" s="4">
        <v>12</v>
      </c>
      <c r="X697" s="4">
        <v>0</v>
      </c>
      <c r="Y697" s="4"/>
      <c r="Z697" s="4">
        <v>580.79</v>
      </c>
      <c r="AA697" s="4">
        <v>550</v>
      </c>
      <c r="AB697" s="18"/>
      <c r="AC697" s="18">
        <v>11</v>
      </c>
      <c r="AD697" s="28"/>
      <c r="AE697" s="26"/>
      <c r="AF697" s="28"/>
    </row>
    <row r="698" spans="1:32" ht="12.6" customHeight="1" x14ac:dyDescent="0.25">
      <c r="A698" s="14">
        <v>45730</v>
      </c>
      <c r="B698" s="14" t="s">
        <v>46</v>
      </c>
      <c r="C698" s="15">
        <v>5</v>
      </c>
      <c r="D698" s="16"/>
      <c r="E698" s="16"/>
      <c r="F698" s="17"/>
      <c r="G698" s="21"/>
      <c r="H698" s="21"/>
      <c r="I698" s="4">
        <v>0</v>
      </c>
      <c r="J698" s="4">
        <v>0</v>
      </c>
      <c r="K698" s="4"/>
      <c r="L698" s="16"/>
      <c r="M698" s="4"/>
      <c r="N698" s="4"/>
      <c r="O698" s="4"/>
      <c r="P698" s="4"/>
      <c r="Q698" s="4"/>
      <c r="R698" s="4"/>
      <c r="S698" s="4">
        <v>0</v>
      </c>
      <c r="T698" s="4">
        <v>0</v>
      </c>
      <c r="U698" s="4">
        <v>0</v>
      </c>
      <c r="V698" s="4">
        <v>12</v>
      </c>
      <c r="W698" s="4">
        <v>12</v>
      </c>
      <c r="X698" s="4">
        <v>0</v>
      </c>
      <c r="Y698" s="4"/>
      <c r="Z698" s="4">
        <v>533.45000000000016</v>
      </c>
      <c r="AA698" s="4">
        <v>550</v>
      </c>
      <c r="AB698" s="18"/>
      <c r="AC698" s="18">
        <v>11</v>
      </c>
      <c r="AD698" s="28"/>
      <c r="AE698" s="26"/>
      <c r="AF698" s="28"/>
    </row>
    <row r="699" spans="1:32" ht="12.6" customHeight="1" x14ac:dyDescent="0.25">
      <c r="A699" s="14">
        <v>45731</v>
      </c>
      <c r="B699" s="14" t="s">
        <v>45</v>
      </c>
      <c r="C699" s="15">
        <v>1</v>
      </c>
      <c r="D699" s="16"/>
      <c r="E699" s="16"/>
      <c r="F699" s="17"/>
      <c r="G699" s="21"/>
      <c r="H699" s="21"/>
      <c r="I699" s="4">
        <v>0</v>
      </c>
      <c r="J699" s="4">
        <v>0</v>
      </c>
      <c r="K699" s="4"/>
      <c r="L699" s="16"/>
      <c r="M699" s="4"/>
      <c r="N699" s="4"/>
      <c r="O699" s="4"/>
      <c r="P699" s="4"/>
      <c r="Q699" s="4"/>
      <c r="R699" s="4"/>
      <c r="S699" s="4">
        <v>0</v>
      </c>
      <c r="T699" s="4">
        <v>0</v>
      </c>
      <c r="U699" s="4">
        <v>0</v>
      </c>
      <c r="V699" s="4">
        <v>12</v>
      </c>
      <c r="W699" s="4">
        <v>12</v>
      </c>
      <c r="X699" s="4">
        <v>0</v>
      </c>
      <c r="Y699" s="4">
        <v>1909</v>
      </c>
      <c r="Z699" s="4">
        <v>114.52000000000001</v>
      </c>
      <c r="AA699" s="4">
        <v>100</v>
      </c>
      <c r="AB699" s="18">
        <v>398</v>
      </c>
      <c r="AC699" s="18">
        <v>11</v>
      </c>
      <c r="AD699" s="28"/>
      <c r="AE699" s="26"/>
      <c r="AF699" s="28"/>
    </row>
    <row r="700" spans="1:32" ht="12.6" customHeight="1" x14ac:dyDescent="0.25">
      <c r="A700" s="14">
        <v>45731</v>
      </c>
      <c r="B700" s="14" t="s">
        <v>46</v>
      </c>
      <c r="C700" s="15">
        <v>1</v>
      </c>
      <c r="D700" s="16"/>
      <c r="E700" s="16"/>
      <c r="F700" s="17"/>
      <c r="G700" s="21"/>
      <c r="H700" s="21"/>
      <c r="I700" s="4">
        <v>0</v>
      </c>
      <c r="J700" s="4">
        <v>0</v>
      </c>
      <c r="K700" s="4"/>
      <c r="L700" s="16"/>
      <c r="M700" s="4"/>
      <c r="N700" s="4"/>
      <c r="O700" s="4"/>
      <c r="P700" s="4"/>
      <c r="Q700" s="4"/>
      <c r="R700" s="4"/>
      <c r="S700" s="4">
        <v>0</v>
      </c>
      <c r="T700" s="4">
        <v>0</v>
      </c>
      <c r="U700" s="4">
        <v>0</v>
      </c>
      <c r="V700" s="4">
        <v>12</v>
      </c>
      <c r="W700" s="4">
        <v>12</v>
      </c>
      <c r="X700" s="4">
        <v>0</v>
      </c>
      <c r="Y700" s="4"/>
      <c r="Z700" s="4">
        <v>138.05999999999997</v>
      </c>
      <c r="AA700" s="4">
        <v>150</v>
      </c>
      <c r="AB700" s="18"/>
      <c r="AC700" s="18">
        <v>11</v>
      </c>
      <c r="AD700" s="28"/>
      <c r="AE700" s="26"/>
      <c r="AF700" s="28"/>
    </row>
    <row r="701" spans="1:32" ht="12.6" customHeight="1" x14ac:dyDescent="0.25">
      <c r="A701" s="14">
        <v>45731</v>
      </c>
      <c r="B701" s="14" t="s">
        <v>45</v>
      </c>
      <c r="C701" s="15">
        <v>2</v>
      </c>
      <c r="D701" s="16"/>
      <c r="E701" s="16"/>
      <c r="F701" s="17"/>
      <c r="G701" s="21"/>
      <c r="H701" s="21"/>
      <c r="I701" s="4">
        <v>0</v>
      </c>
      <c r="J701" s="4">
        <v>0</v>
      </c>
      <c r="K701" s="4"/>
      <c r="L701" s="16"/>
      <c r="M701" s="4"/>
      <c r="N701" s="4"/>
      <c r="O701" s="4"/>
      <c r="P701" s="4"/>
      <c r="Q701" s="4"/>
      <c r="R701" s="4"/>
      <c r="S701" s="4">
        <v>0</v>
      </c>
      <c r="T701" s="4">
        <v>0</v>
      </c>
      <c r="U701" s="4">
        <v>0</v>
      </c>
      <c r="V701" s="4">
        <v>12</v>
      </c>
      <c r="W701" s="4">
        <v>12</v>
      </c>
      <c r="X701" s="4">
        <v>0</v>
      </c>
      <c r="Y701" s="4"/>
      <c r="Z701" s="4">
        <v>173.93</v>
      </c>
      <c r="AA701" s="4">
        <v>200</v>
      </c>
      <c r="AB701" s="18"/>
      <c r="AC701" s="18">
        <v>11</v>
      </c>
      <c r="AD701" s="28"/>
      <c r="AE701" s="26"/>
      <c r="AF701" s="28"/>
    </row>
    <row r="702" spans="1:32" ht="12.6" customHeight="1" x14ac:dyDescent="0.25">
      <c r="A702" s="14">
        <v>45731</v>
      </c>
      <c r="B702" s="14" t="s">
        <v>46</v>
      </c>
      <c r="C702" s="15">
        <v>2</v>
      </c>
      <c r="D702" s="16"/>
      <c r="E702" s="16"/>
      <c r="F702" s="17"/>
      <c r="G702" s="21"/>
      <c r="H702" s="21"/>
      <c r="I702" s="4">
        <v>0</v>
      </c>
      <c r="J702" s="4">
        <v>0</v>
      </c>
      <c r="K702" s="4"/>
      <c r="L702" s="16"/>
      <c r="M702" s="4"/>
      <c r="N702" s="4"/>
      <c r="O702" s="4"/>
      <c r="P702" s="4"/>
      <c r="Q702" s="4"/>
      <c r="R702" s="4"/>
      <c r="S702" s="4">
        <v>0</v>
      </c>
      <c r="T702" s="4">
        <v>0</v>
      </c>
      <c r="U702" s="4">
        <v>0</v>
      </c>
      <c r="V702" s="4">
        <v>12</v>
      </c>
      <c r="W702" s="4">
        <v>12</v>
      </c>
      <c r="X702" s="4">
        <v>0</v>
      </c>
      <c r="Y702" s="4"/>
      <c r="Z702" s="4">
        <v>193.35</v>
      </c>
      <c r="AA702" s="4">
        <v>200</v>
      </c>
      <c r="AB702" s="18"/>
      <c r="AC702" s="18">
        <v>11</v>
      </c>
      <c r="AD702" s="28"/>
      <c r="AE702" s="26"/>
      <c r="AF702" s="28"/>
    </row>
    <row r="703" spans="1:32" ht="12.6" customHeight="1" x14ac:dyDescent="0.25">
      <c r="A703" s="14">
        <v>45731</v>
      </c>
      <c r="B703" s="14" t="s">
        <v>45</v>
      </c>
      <c r="C703" s="15">
        <v>3</v>
      </c>
      <c r="D703" s="16"/>
      <c r="E703" s="16"/>
      <c r="F703" s="17"/>
      <c r="G703" s="21"/>
      <c r="H703" s="21"/>
      <c r="I703" s="4">
        <v>0</v>
      </c>
      <c r="J703" s="4">
        <v>0</v>
      </c>
      <c r="K703" s="4"/>
      <c r="L703" s="16"/>
      <c r="M703" s="4"/>
      <c r="N703" s="4"/>
      <c r="O703" s="4"/>
      <c r="P703" s="4"/>
      <c r="Q703" s="4"/>
      <c r="R703" s="4"/>
      <c r="S703" s="4">
        <v>0</v>
      </c>
      <c r="T703" s="4">
        <v>0</v>
      </c>
      <c r="U703" s="4">
        <v>0</v>
      </c>
      <c r="V703" s="4">
        <v>12</v>
      </c>
      <c r="W703" s="4">
        <v>12</v>
      </c>
      <c r="X703" s="4">
        <v>0</v>
      </c>
      <c r="Y703" s="4"/>
      <c r="Z703" s="4">
        <v>290.13</v>
      </c>
      <c r="AA703" s="4">
        <v>300</v>
      </c>
      <c r="AB703" s="18"/>
      <c r="AC703" s="18">
        <v>11</v>
      </c>
      <c r="AD703" s="28"/>
      <c r="AE703" s="26"/>
      <c r="AF703" s="28"/>
    </row>
    <row r="704" spans="1:32" ht="12.6" customHeight="1" x14ac:dyDescent="0.25">
      <c r="A704" s="14">
        <v>45731</v>
      </c>
      <c r="B704" s="14" t="s">
        <v>46</v>
      </c>
      <c r="C704" s="15">
        <v>3</v>
      </c>
      <c r="D704" s="16"/>
      <c r="E704" s="16"/>
      <c r="F704" s="17"/>
      <c r="G704" s="21"/>
      <c r="H704" s="21"/>
      <c r="I704" s="4">
        <v>0</v>
      </c>
      <c r="J704" s="4">
        <v>0</v>
      </c>
      <c r="K704" s="4"/>
      <c r="L704" s="16"/>
      <c r="M704" s="4"/>
      <c r="N704" s="4"/>
      <c r="O704" s="4"/>
      <c r="P704" s="4"/>
      <c r="Q704" s="4"/>
      <c r="R704" s="4"/>
      <c r="S704" s="4">
        <v>0</v>
      </c>
      <c r="T704" s="4">
        <v>0</v>
      </c>
      <c r="U704" s="4">
        <v>0</v>
      </c>
      <c r="V704" s="4">
        <v>12</v>
      </c>
      <c r="W704" s="4">
        <v>12</v>
      </c>
      <c r="X704" s="4">
        <v>0</v>
      </c>
      <c r="Y704" s="4"/>
      <c r="Z704" s="4">
        <v>344.74</v>
      </c>
      <c r="AA704" s="4">
        <v>350</v>
      </c>
      <c r="AB704" s="18"/>
      <c r="AC704" s="18">
        <v>11</v>
      </c>
      <c r="AD704" s="28"/>
      <c r="AE704" s="26"/>
      <c r="AF704" s="28"/>
    </row>
    <row r="705" spans="1:32" ht="12.6" customHeight="1" x14ac:dyDescent="0.25">
      <c r="A705" s="14">
        <v>45731</v>
      </c>
      <c r="B705" s="14" t="s">
        <v>45</v>
      </c>
      <c r="C705" s="15">
        <v>4</v>
      </c>
      <c r="D705" s="16">
        <v>30</v>
      </c>
      <c r="E705" s="16"/>
      <c r="F705" s="17"/>
      <c r="G705" s="21"/>
      <c r="H705" s="21"/>
      <c r="I705" s="4">
        <v>30</v>
      </c>
      <c r="J705" s="4">
        <v>0.5</v>
      </c>
      <c r="K705" s="4"/>
      <c r="L705" s="16"/>
      <c r="M705" s="4"/>
      <c r="N705" s="4"/>
      <c r="O705" s="4"/>
      <c r="P705" s="4"/>
      <c r="Q705" s="4"/>
      <c r="R705" s="4"/>
      <c r="S705" s="4">
        <v>0</v>
      </c>
      <c r="T705" s="4">
        <v>0</v>
      </c>
      <c r="U705" s="4">
        <v>0.5</v>
      </c>
      <c r="V705" s="4">
        <v>11.5</v>
      </c>
      <c r="W705" s="4">
        <v>12</v>
      </c>
      <c r="X705" s="4">
        <v>0</v>
      </c>
      <c r="Y705" s="4"/>
      <c r="Z705" s="4">
        <v>746.56</v>
      </c>
      <c r="AA705" s="4">
        <v>750</v>
      </c>
      <c r="AB705" s="18"/>
      <c r="AC705" s="18">
        <v>11</v>
      </c>
      <c r="AD705" s="28"/>
      <c r="AE705" s="26"/>
      <c r="AF705" s="28"/>
    </row>
    <row r="706" spans="1:32" ht="12.6" customHeight="1" x14ac:dyDescent="0.25">
      <c r="A706" s="14">
        <v>45731</v>
      </c>
      <c r="B706" s="14" t="s">
        <v>46</v>
      </c>
      <c r="C706" s="15">
        <v>4</v>
      </c>
      <c r="D706" s="16"/>
      <c r="E706" s="16"/>
      <c r="F706" s="17"/>
      <c r="G706" s="21"/>
      <c r="H706" s="21"/>
      <c r="I706" s="4">
        <v>0</v>
      </c>
      <c r="J706" s="4">
        <v>0</v>
      </c>
      <c r="K706" s="4"/>
      <c r="L706" s="16"/>
      <c r="M706" s="4"/>
      <c r="N706" s="4"/>
      <c r="O706" s="4"/>
      <c r="P706" s="4">
        <v>30</v>
      </c>
      <c r="Q706" s="4"/>
      <c r="R706" s="4"/>
      <c r="S706" s="4">
        <v>30</v>
      </c>
      <c r="T706" s="4">
        <v>0.5</v>
      </c>
      <c r="U706" s="4">
        <v>0.5</v>
      </c>
      <c r="V706" s="4">
        <v>11.5</v>
      </c>
      <c r="W706" s="4">
        <v>12</v>
      </c>
      <c r="X706" s="4">
        <v>0</v>
      </c>
      <c r="Y706" s="4"/>
      <c r="Z706" s="4">
        <v>974.08999999999992</v>
      </c>
      <c r="AA706" s="4">
        <v>1000</v>
      </c>
      <c r="AB706" s="18"/>
      <c r="AC706" s="18">
        <v>11</v>
      </c>
      <c r="AD706" s="28"/>
      <c r="AE706" s="26"/>
      <c r="AF706" s="28"/>
    </row>
    <row r="707" spans="1:32" ht="12.6" customHeight="1" x14ac:dyDescent="0.25">
      <c r="A707" s="14">
        <v>45731</v>
      </c>
      <c r="B707" s="14" t="s">
        <v>45</v>
      </c>
      <c r="C707" s="15">
        <v>5</v>
      </c>
      <c r="D707" s="16"/>
      <c r="E707" s="16"/>
      <c r="F707" s="17"/>
      <c r="G707" s="21"/>
      <c r="H707" s="21"/>
      <c r="I707" s="4">
        <v>0</v>
      </c>
      <c r="J707" s="4">
        <v>0</v>
      </c>
      <c r="K707" s="4"/>
      <c r="L707" s="16"/>
      <c r="M707" s="4"/>
      <c r="N707" s="4"/>
      <c r="O707" s="4"/>
      <c r="P707" s="4"/>
      <c r="Q707" s="4"/>
      <c r="R707" s="4"/>
      <c r="S707" s="4">
        <v>0</v>
      </c>
      <c r="T707" s="4">
        <v>0</v>
      </c>
      <c r="U707" s="4">
        <v>0</v>
      </c>
      <c r="V707" s="4">
        <v>12</v>
      </c>
      <c r="W707" s="4">
        <v>12</v>
      </c>
      <c r="X707" s="4">
        <v>0</v>
      </c>
      <c r="Y707" s="4"/>
      <c r="Z707" s="4">
        <v>510.03</v>
      </c>
      <c r="AA707" s="4">
        <v>500</v>
      </c>
      <c r="AB707" s="18"/>
      <c r="AC707" s="18">
        <v>11</v>
      </c>
      <c r="AD707" s="28"/>
      <c r="AE707" s="26"/>
      <c r="AF707" s="28"/>
    </row>
    <row r="708" spans="1:32" ht="12.6" customHeight="1" x14ac:dyDescent="0.25">
      <c r="A708" s="14">
        <v>45731</v>
      </c>
      <c r="B708" s="14" t="s">
        <v>46</v>
      </c>
      <c r="C708" s="15">
        <v>5</v>
      </c>
      <c r="D708" s="16"/>
      <c r="E708" s="16"/>
      <c r="F708" s="17"/>
      <c r="G708" s="21"/>
      <c r="H708" s="21"/>
      <c r="I708" s="4">
        <v>0</v>
      </c>
      <c r="J708" s="4">
        <v>0</v>
      </c>
      <c r="K708" s="4"/>
      <c r="L708" s="16"/>
      <c r="M708" s="4"/>
      <c r="N708" s="4"/>
      <c r="O708" s="4"/>
      <c r="P708" s="4"/>
      <c r="Q708" s="4"/>
      <c r="R708" s="4"/>
      <c r="S708" s="4">
        <v>0</v>
      </c>
      <c r="T708" s="4">
        <v>0</v>
      </c>
      <c r="U708" s="4">
        <v>0</v>
      </c>
      <c r="V708" s="4">
        <v>12</v>
      </c>
      <c r="W708" s="4">
        <v>12</v>
      </c>
      <c r="X708" s="4">
        <v>0</v>
      </c>
      <c r="Y708" s="4"/>
      <c r="Z708" s="4">
        <v>482.88</v>
      </c>
      <c r="AA708" s="4">
        <v>450</v>
      </c>
      <c r="AB708" s="18"/>
      <c r="AC708" s="18">
        <v>11</v>
      </c>
      <c r="AD708" s="28"/>
      <c r="AE708" s="26"/>
      <c r="AF708" s="28"/>
    </row>
    <row r="709" spans="1:32" ht="12.6" customHeight="1" x14ac:dyDescent="0.25">
      <c r="A709" s="14">
        <v>45732</v>
      </c>
      <c r="B709" s="14" t="s">
        <v>45</v>
      </c>
      <c r="C709" s="15">
        <v>1</v>
      </c>
      <c r="D709" s="16"/>
      <c r="E709" s="16"/>
      <c r="F709" s="17"/>
      <c r="G709" s="21"/>
      <c r="H709" s="21"/>
      <c r="I709" s="4">
        <v>0</v>
      </c>
      <c r="J709" s="4">
        <v>0</v>
      </c>
      <c r="K709" s="4"/>
      <c r="L709" s="16"/>
      <c r="M709" s="4"/>
      <c r="N709" s="4"/>
      <c r="O709" s="4"/>
      <c r="P709" s="4"/>
      <c r="Q709" s="4">
        <v>20</v>
      </c>
      <c r="R709" s="4"/>
      <c r="S709" s="4">
        <v>20</v>
      </c>
      <c r="T709" s="4">
        <v>0.33333333333333331</v>
      </c>
      <c r="U709" s="4">
        <v>0.33333333333333331</v>
      </c>
      <c r="V709" s="4">
        <v>11.666666666666666</v>
      </c>
      <c r="W709" s="4">
        <v>12</v>
      </c>
      <c r="X709" s="4">
        <v>18</v>
      </c>
      <c r="Y709" s="4">
        <v>1934</v>
      </c>
      <c r="Z709" s="4">
        <v>111.38999999999999</v>
      </c>
      <c r="AA709" s="4">
        <v>100</v>
      </c>
      <c r="AB709" s="18">
        <v>398</v>
      </c>
      <c r="AC709" s="18">
        <v>11</v>
      </c>
      <c r="AD709" s="28"/>
      <c r="AE709" s="26"/>
      <c r="AF709" s="28"/>
    </row>
    <row r="710" spans="1:32" ht="12.6" customHeight="1" x14ac:dyDescent="0.25">
      <c r="A710" s="14">
        <v>45732</v>
      </c>
      <c r="B710" s="14" t="s">
        <v>46</v>
      </c>
      <c r="C710" s="15">
        <v>1</v>
      </c>
      <c r="D710" s="16"/>
      <c r="E710" s="16"/>
      <c r="F710" s="17"/>
      <c r="G710" s="21"/>
      <c r="H710" s="21"/>
      <c r="I710" s="4">
        <v>0</v>
      </c>
      <c r="J710" s="4">
        <v>0</v>
      </c>
      <c r="K710" s="4"/>
      <c r="L710" s="16"/>
      <c r="M710" s="4"/>
      <c r="N710" s="4"/>
      <c r="O710" s="4"/>
      <c r="P710" s="4"/>
      <c r="Q710" s="4"/>
      <c r="R710" s="4"/>
      <c r="S710" s="4">
        <v>0</v>
      </c>
      <c r="T710" s="4">
        <v>0</v>
      </c>
      <c r="U710" s="4">
        <v>0</v>
      </c>
      <c r="V710" s="4">
        <v>12</v>
      </c>
      <c r="W710" s="4">
        <v>12</v>
      </c>
      <c r="X710" s="4">
        <v>18</v>
      </c>
      <c r="Y710" s="4"/>
      <c r="Z710" s="4">
        <v>120.46000000000001</v>
      </c>
      <c r="AA710" s="4">
        <v>150</v>
      </c>
      <c r="AB710" s="18"/>
      <c r="AC710" s="18">
        <v>11</v>
      </c>
      <c r="AD710" s="28"/>
      <c r="AE710" s="26"/>
      <c r="AF710" s="28"/>
    </row>
    <row r="711" spans="1:32" ht="12.6" customHeight="1" x14ac:dyDescent="0.25">
      <c r="A711" s="14">
        <v>45732</v>
      </c>
      <c r="B711" s="14" t="s">
        <v>45</v>
      </c>
      <c r="C711" s="15">
        <v>2</v>
      </c>
      <c r="D711" s="16"/>
      <c r="E711" s="16"/>
      <c r="F711" s="17"/>
      <c r="G711" s="21"/>
      <c r="H711" s="21"/>
      <c r="I711" s="4">
        <v>0</v>
      </c>
      <c r="J711" s="4">
        <v>0</v>
      </c>
      <c r="K711" s="4"/>
      <c r="L711" s="16"/>
      <c r="M711" s="4"/>
      <c r="N711" s="4"/>
      <c r="O711" s="4"/>
      <c r="P711" s="4"/>
      <c r="Q711" s="4"/>
      <c r="R711" s="4"/>
      <c r="S711" s="4">
        <v>0</v>
      </c>
      <c r="T711" s="4">
        <v>0</v>
      </c>
      <c r="U711" s="4">
        <v>0</v>
      </c>
      <c r="V711" s="4">
        <v>12</v>
      </c>
      <c r="W711" s="4">
        <v>12</v>
      </c>
      <c r="X711" s="4">
        <v>0</v>
      </c>
      <c r="Y711" s="4"/>
      <c r="Z711" s="4">
        <v>186.64999999999995</v>
      </c>
      <c r="AA711" s="4">
        <v>200</v>
      </c>
      <c r="AB711" s="18"/>
      <c r="AC711" s="18">
        <v>11</v>
      </c>
      <c r="AD711" s="28"/>
      <c r="AE711" s="26"/>
      <c r="AF711" s="28"/>
    </row>
    <row r="712" spans="1:32" ht="12.6" customHeight="1" x14ac:dyDescent="0.25">
      <c r="A712" s="14">
        <v>45732</v>
      </c>
      <c r="B712" s="14" t="s">
        <v>46</v>
      </c>
      <c r="C712" s="15">
        <v>2</v>
      </c>
      <c r="D712" s="16"/>
      <c r="E712" s="16"/>
      <c r="F712" s="17"/>
      <c r="G712" s="21"/>
      <c r="H712" s="21"/>
      <c r="I712" s="4">
        <v>0</v>
      </c>
      <c r="J712" s="4">
        <v>0</v>
      </c>
      <c r="K712" s="4"/>
      <c r="L712" s="16"/>
      <c r="M712" s="4"/>
      <c r="N712" s="4"/>
      <c r="O712" s="4"/>
      <c r="P712" s="4"/>
      <c r="Q712" s="4"/>
      <c r="R712" s="4"/>
      <c r="S712" s="4">
        <v>0</v>
      </c>
      <c r="T712" s="4">
        <v>0</v>
      </c>
      <c r="U712" s="4">
        <v>0</v>
      </c>
      <c r="V712" s="4">
        <v>12</v>
      </c>
      <c r="W712" s="4">
        <v>12</v>
      </c>
      <c r="X712" s="4">
        <v>0</v>
      </c>
      <c r="Y712" s="4"/>
      <c r="Z712" s="4">
        <v>182.9</v>
      </c>
      <c r="AA712" s="4">
        <v>200</v>
      </c>
      <c r="AB712" s="18"/>
      <c r="AC712" s="18">
        <v>11</v>
      </c>
      <c r="AD712" s="28"/>
      <c r="AE712" s="26"/>
      <c r="AF712" s="28"/>
    </row>
    <row r="713" spans="1:32" ht="12.6" customHeight="1" x14ac:dyDescent="0.25">
      <c r="A713" s="14">
        <v>45732</v>
      </c>
      <c r="B713" s="14" t="s">
        <v>45</v>
      </c>
      <c r="C713" s="15">
        <v>3</v>
      </c>
      <c r="D713" s="16"/>
      <c r="E713" s="16"/>
      <c r="F713" s="17"/>
      <c r="G713" s="21"/>
      <c r="H713" s="21"/>
      <c r="I713" s="4">
        <v>0</v>
      </c>
      <c r="J713" s="4">
        <v>0</v>
      </c>
      <c r="K713" s="4"/>
      <c r="L713" s="16"/>
      <c r="M713" s="4"/>
      <c r="N713" s="4"/>
      <c r="O713" s="4"/>
      <c r="P713" s="4"/>
      <c r="Q713" s="4"/>
      <c r="R713" s="4"/>
      <c r="S713" s="4">
        <v>0</v>
      </c>
      <c r="T713" s="4">
        <v>0</v>
      </c>
      <c r="U713" s="4">
        <v>0</v>
      </c>
      <c r="V713" s="4">
        <v>12</v>
      </c>
      <c r="W713" s="4">
        <v>12</v>
      </c>
      <c r="X713" s="4">
        <v>0</v>
      </c>
      <c r="Y713" s="4"/>
      <c r="Z713" s="4">
        <v>287.44</v>
      </c>
      <c r="AA713" s="4">
        <v>300</v>
      </c>
      <c r="AB713" s="18"/>
      <c r="AC713" s="18">
        <v>11</v>
      </c>
      <c r="AD713" s="28"/>
      <c r="AE713" s="26"/>
      <c r="AF713" s="28"/>
    </row>
    <row r="714" spans="1:32" ht="12.6" customHeight="1" x14ac:dyDescent="0.25">
      <c r="A714" s="14">
        <v>45732</v>
      </c>
      <c r="B714" s="14" t="s">
        <v>46</v>
      </c>
      <c r="C714" s="15">
        <v>3</v>
      </c>
      <c r="D714" s="16"/>
      <c r="E714" s="16"/>
      <c r="F714" s="17"/>
      <c r="G714" s="21"/>
      <c r="H714" s="21"/>
      <c r="I714" s="4">
        <v>0</v>
      </c>
      <c r="J714" s="4">
        <v>0</v>
      </c>
      <c r="K714" s="4"/>
      <c r="L714" s="16"/>
      <c r="M714" s="4"/>
      <c r="N714" s="4"/>
      <c r="O714" s="4"/>
      <c r="P714" s="4"/>
      <c r="Q714" s="4"/>
      <c r="R714" s="4"/>
      <c r="S714" s="4">
        <v>0</v>
      </c>
      <c r="T714" s="4">
        <v>0</v>
      </c>
      <c r="U714" s="4">
        <v>0</v>
      </c>
      <c r="V714" s="4">
        <v>12</v>
      </c>
      <c r="W714" s="4">
        <v>12</v>
      </c>
      <c r="X714" s="4">
        <v>0</v>
      </c>
      <c r="Y714" s="4"/>
      <c r="Z714" s="4">
        <v>302.26</v>
      </c>
      <c r="AA714" s="4">
        <v>300</v>
      </c>
      <c r="AB714" s="18"/>
      <c r="AC714" s="18">
        <v>11</v>
      </c>
      <c r="AD714" s="28"/>
      <c r="AE714" s="26"/>
      <c r="AF714" s="28"/>
    </row>
    <row r="715" spans="1:32" ht="12.6" customHeight="1" x14ac:dyDescent="0.25">
      <c r="A715" s="14">
        <v>45732</v>
      </c>
      <c r="B715" s="14" t="s">
        <v>45</v>
      </c>
      <c r="C715" s="15">
        <v>4</v>
      </c>
      <c r="D715" s="16"/>
      <c r="E715" s="16"/>
      <c r="F715" s="17"/>
      <c r="G715" s="21"/>
      <c r="H715" s="21"/>
      <c r="I715" s="4">
        <v>0</v>
      </c>
      <c r="J715" s="4">
        <v>0</v>
      </c>
      <c r="K715" s="4"/>
      <c r="L715" s="16"/>
      <c r="M715" s="4"/>
      <c r="N715" s="4"/>
      <c r="O715" s="4"/>
      <c r="P715" s="4"/>
      <c r="Q715" s="4"/>
      <c r="R715" s="4"/>
      <c r="S715" s="4">
        <v>0</v>
      </c>
      <c r="T715" s="4">
        <v>0</v>
      </c>
      <c r="U715" s="4">
        <v>0</v>
      </c>
      <c r="V715" s="4">
        <v>12</v>
      </c>
      <c r="W715" s="4">
        <v>12</v>
      </c>
      <c r="X715" s="4">
        <v>0</v>
      </c>
      <c r="Y715" s="4"/>
      <c r="Z715" s="4">
        <v>751.67000000000007</v>
      </c>
      <c r="AA715" s="4">
        <v>750</v>
      </c>
      <c r="AB715" s="18"/>
      <c r="AC715" s="18">
        <v>11</v>
      </c>
      <c r="AD715" s="28"/>
      <c r="AE715" s="26"/>
      <c r="AF715" s="28"/>
    </row>
    <row r="716" spans="1:32" ht="12.6" customHeight="1" x14ac:dyDescent="0.25">
      <c r="A716" s="14">
        <v>45732</v>
      </c>
      <c r="B716" s="14" t="s">
        <v>46</v>
      </c>
      <c r="C716" s="15">
        <v>4</v>
      </c>
      <c r="D716" s="16"/>
      <c r="E716" s="16"/>
      <c r="F716" s="17"/>
      <c r="G716" s="21"/>
      <c r="H716" s="21"/>
      <c r="I716" s="4">
        <v>0</v>
      </c>
      <c r="J716" s="4">
        <v>0</v>
      </c>
      <c r="K716" s="4"/>
      <c r="L716" s="16"/>
      <c r="M716" s="4"/>
      <c r="N716" s="4"/>
      <c r="O716" s="4"/>
      <c r="P716" s="4"/>
      <c r="Q716" s="4"/>
      <c r="R716" s="4"/>
      <c r="S716" s="4">
        <v>0</v>
      </c>
      <c r="T716" s="4">
        <v>0</v>
      </c>
      <c r="U716" s="4">
        <v>0</v>
      </c>
      <c r="V716" s="4">
        <v>12</v>
      </c>
      <c r="W716" s="4">
        <v>12</v>
      </c>
      <c r="X716" s="4">
        <v>0</v>
      </c>
      <c r="Y716" s="4"/>
      <c r="Z716" s="4">
        <v>812.38999999999987</v>
      </c>
      <c r="AA716" s="4">
        <v>800</v>
      </c>
      <c r="AB716" s="18"/>
      <c r="AC716" s="18">
        <v>11</v>
      </c>
      <c r="AD716" s="28"/>
      <c r="AE716" s="26"/>
      <c r="AF716" s="28"/>
    </row>
    <row r="717" spans="1:32" ht="12.6" customHeight="1" x14ac:dyDescent="0.25">
      <c r="A717" s="14">
        <v>45732</v>
      </c>
      <c r="B717" s="14" t="s">
        <v>45</v>
      </c>
      <c r="C717" s="15">
        <v>5</v>
      </c>
      <c r="D717" s="16"/>
      <c r="E717" s="16"/>
      <c r="F717" s="17"/>
      <c r="G717" s="21"/>
      <c r="H717" s="21"/>
      <c r="I717" s="4">
        <v>0</v>
      </c>
      <c r="J717" s="4">
        <v>0</v>
      </c>
      <c r="K717" s="4"/>
      <c r="L717" s="16"/>
      <c r="M717" s="4"/>
      <c r="N717" s="4"/>
      <c r="O717" s="4"/>
      <c r="P717" s="4"/>
      <c r="Q717" s="4"/>
      <c r="R717" s="4"/>
      <c r="S717" s="4">
        <v>0</v>
      </c>
      <c r="T717" s="4">
        <v>0</v>
      </c>
      <c r="U717" s="4">
        <v>0</v>
      </c>
      <c r="V717" s="4">
        <v>12</v>
      </c>
      <c r="W717" s="4">
        <v>12</v>
      </c>
      <c r="X717" s="4">
        <v>0</v>
      </c>
      <c r="Y717" s="4"/>
      <c r="Z717" s="4">
        <v>527.48</v>
      </c>
      <c r="AA717" s="4">
        <v>550</v>
      </c>
      <c r="AB717" s="18"/>
      <c r="AC717" s="18">
        <v>11</v>
      </c>
      <c r="AD717" s="28"/>
      <c r="AE717" s="26"/>
      <c r="AF717" s="28"/>
    </row>
    <row r="718" spans="1:32" ht="12.6" customHeight="1" x14ac:dyDescent="0.25">
      <c r="A718" s="14">
        <v>45732</v>
      </c>
      <c r="B718" s="14" t="s">
        <v>46</v>
      </c>
      <c r="C718" s="15">
        <v>5</v>
      </c>
      <c r="D718" s="16"/>
      <c r="E718" s="16"/>
      <c r="F718" s="17"/>
      <c r="G718" s="21"/>
      <c r="H718" s="21"/>
      <c r="I718" s="4">
        <v>0</v>
      </c>
      <c r="J718" s="4">
        <v>0</v>
      </c>
      <c r="K718" s="4"/>
      <c r="L718" s="16"/>
      <c r="M718" s="4"/>
      <c r="N718" s="4"/>
      <c r="O718" s="4"/>
      <c r="P718" s="4"/>
      <c r="Q718" s="4"/>
      <c r="R718" s="4"/>
      <c r="S718" s="4">
        <v>0</v>
      </c>
      <c r="T718" s="4">
        <v>0</v>
      </c>
      <c r="U718" s="4">
        <v>0</v>
      </c>
      <c r="V718" s="4">
        <v>12</v>
      </c>
      <c r="W718" s="4">
        <v>12</v>
      </c>
      <c r="X718" s="4">
        <v>0</v>
      </c>
      <c r="Y718" s="4"/>
      <c r="Z718" s="4">
        <v>603.11</v>
      </c>
      <c r="AA718" s="4">
        <v>600</v>
      </c>
      <c r="AB718" s="18"/>
      <c r="AC718" s="18">
        <v>11</v>
      </c>
      <c r="AD718" s="28"/>
      <c r="AE718" s="26"/>
      <c r="AF718" s="28"/>
    </row>
    <row r="719" spans="1:32" ht="12.6" customHeight="1" x14ac:dyDescent="0.25">
      <c r="A719" s="14">
        <v>45733</v>
      </c>
      <c r="B719" s="14" t="s">
        <v>45</v>
      </c>
      <c r="C719" s="15">
        <v>1</v>
      </c>
      <c r="D719" s="16"/>
      <c r="E719" s="16"/>
      <c r="F719" s="17"/>
      <c r="G719" s="21"/>
      <c r="H719" s="21"/>
      <c r="I719" s="4">
        <v>0</v>
      </c>
      <c r="J719" s="4">
        <v>0</v>
      </c>
      <c r="K719" s="4"/>
      <c r="L719" s="16"/>
      <c r="M719" s="4"/>
      <c r="N719" s="4"/>
      <c r="O719" s="4"/>
      <c r="P719" s="4"/>
      <c r="Q719" s="4"/>
      <c r="R719" s="4"/>
      <c r="S719" s="4">
        <v>0</v>
      </c>
      <c r="T719" s="4">
        <v>0</v>
      </c>
      <c r="U719" s="4">
        <v>0</v>
      </c>
      <c r="V719" s="4">
        <v>12</v>
      </c>
      <c r="W719" s="4">
        <v>12</v>
      </c>
      <c r="X719" s="4">
        <v>38</v>
      </c>
      <c r="Y719" s="4">
        <v>1870</v>
      </c>
      <c r="Z719" s="4">
        <v>136.28</v>
      </c>
      <c r="AA719" s="4">
        <v>150</v>
      </c>
      <c r="AB719" s="18">
        <v>398</v>
      </c>
      <c r="AC719" s="18">
        <v>12</v>
      </c>
      <c r="AD719" s="28"/>
      <c r="AE719" s="26"/>
      <c r="AF719" s="28"/>
    </row>
    <row r="720" spans="1:32" ht="12.6" customHeight="1" x14ac:dyDescent="0.25">
      <c r="A720" s="14">
        <v>45733</v>
      </c>
      <c r="B720" s="14" t="s">
        <v>46</v>
      </c>
      <c r="C720" s="15">
        <v>1</v>
      </c>
      <c r="D720" s="16"/>
      <c r="E720" s="16"/>
      <c r="F720" s="17"/>
      <c r="G720" s="21"/>
      <c r="H720" s="21"/>
      <c r="I720" s="4">
        <v>0</v>
      </c>
      <c r="J720" s="4">
        <v>0</v>
      </c>
      <c r="K720" s="4"/>
      <c r="L720" s="16"/>
      <c r="M720" s="4"/>
      <c r="N720" s="4"/>
      <c r="O720" s="4"/>
      <c r="P720" s="4"/>
      <c r="Q720" s="4"/>
      <c r="R720" s="4"/>
      <c r="S720" s="4">
        <v>0</v>
      </c>
      <c r="T720" s="4">
        <v>0</v>
      </c>
      <c r="U720" s="4">
        <v>0</v>
      </c>
      <c r="V720" s="4">
        <v>12</v>
      </c>
      <c r="W720" s="4">
        <v>12</v>
      </c>
      <c r="X720" s="4">
        <v>15</v>
      </c>
      <c r="Y720" s="4"/>
      <c r="Z720" s="4">
        <v>121.12000000000002</v>
      </c>
      <c r="AA720" s="4">
        <v>150</v>
      </c>
      <c r="AB720" s="18"/>
      <c r="AC720" s="18">
        <v>12</v>
      </c>
      <c r="AD720" s="28"/>
      <c r="AE720" s="26"/>
      <c r="AF720" s="28"/>
    </row>
    <row r="721" spans="1:32" ht="12.6" customHeight="1" x14ac:dyDescent="0.25">
      <c r="A721" s="14">
        <v>45733</v>
      </c>
      <c r="B721" s="14" t="s">
        <v>45</v>
      </c>
      <c r="C721" s="15">
        <v>2</v>
      </c>
      <c r="D721" s="16">
        <v>20</v>
      </c>
      <c r="E721" s="16"/>
      <c r="F721" s="17"/>
      <c r="G721" s="21"/>
      <c r="H721" s="21"/>
      <c r="I721" s="4">
        <v>20</v>
      </c>
      <c r="J721" s="4">
        <v>0.33333333333333331</v>
      </c>
      <c r="K721" s="4"/>
      <c r="L721" s="16"/>
      <c r="M721" s="4"/>
      <c r="N721" s="4"/>
      <c r="O721" s="4"/>
      <c r="P721" s="4"/>
      <c r="Q721" s="4"/>
      <c r="R721" s="4"/>
      <c r="S721" s="4">
        <v>0</v>
      </c>
      <c r="T721" s="4">
        <v>0</v>
      </c>
      <c r="U721" s="4">
        <v>0.33333333333333331</v>
      </c>
      <c r="V721" s="4">
        <v>11.666666666666666</v>
      </c>
      <c r="W721" s="4">
        <v>12</v>
      </c>
      <c r="X721" s="4">
        <v>0</v>
      </c>
      <c r="Y721" s="4"/>
      <c r="Z721" s="4">
        <v>142.06</v>
      </c>
      <c r="AA721" s="4">
        <v>150</v>
      </c>
      <c r="AB721" s="18"/>
      <c r="AC721" s="18">
        <v>12</v>
      </c>
      <c r="AD721" s="28"/>
      <c r="AE721" s="26"/>
      <c r="AF721" s="28"/>
    </row>
    <row r="722" spans="1:32" ht="12.6" customHeight="1" x14ac:dyDescent="0.25">
      <c r="A722" s="14">
        <v>45733</v>
      </c>
      <c r="B722" s="14" t="s">
        <v>46</v>
      </c>
      <c r="C722" s="15">
        <v>2</v>
      </c>
      <c r="D722" s="16"/>
      <c r="E722" s="16"/>
      <c r="F722" s="17"/>
      <c r="G722" s="21"/>
      <c r="H722" s="21"/>
      <c r="I722" s="4">
        <v>0</v>
      </c>
      <c r="J722" s="4">
        <v>0</v>
      </c>
      <c r="K722" s="4"/>
      <c r="L722" s="16"/>
      <c r="M722" s="4"/>
      <c r="N722" s="4"/>
      <c r="O722" s="4"/>
      <c r="P722" s="4"/>
      <c r="Q722" s="4"/>
      <c r="R722" s="4"/>
      <c r="S722" s="4">
        <v>0</v>
      </c>
      <c r="T722" s="4">
        <v>0</v>
      </c>
      <c r="U722" s="4">
        <v>0</v>
      </c>
      <c r="V722" s="4">
        <v>12</v>
      </c>
      <c r="W722" s="4">
        <v>12</v>
      </c>
      <c r="X722" s="4">
        <v>0</v>
      </c>
      <c r="Y722" s="4"/>
      <c r="Z722" s="4">
        <v>112.82000000000001</v>
      </c>
      <c r="AA722" s="4">
        <v>150</v>
      </c>
      <c r="AB722" s="18"/>
      <c r="AC722" s="18">
        <v>12</v>
      </c>
      <c r="AD722" s="28"/>
      <c r="AE722" s="26"/>
      <c r="AF722" s="28"/>
    </row>
    <row r="723" spans="1:32" ht="12.6" customHeight="1" x14ac:dyDescent="0.25">
      <c r="A723" s="14">
        <v>45733</v>
      </c>
      <c r="B723" s="14" t="s">
        <v>45</v>
      </c>
      <c r="C723" s="15">
        <v>3</v>
      </c>
      <c r="D723" s="16">
        <v>45</v>
      </c>
      <c r="E723" s="16"/>
      <c r="F723" s="17"/>
      <c r="G723" s="21"/>
      <c r="H723" s="21"/>
      <c r="I723" s="4">
        <v>45</v>
      </c>
      <c r="J723" s="4">
        <v>0.75</v>
      </c>
      <c r="K723" s="4"/>
      <c r="L723" s="16"/>
      <c r="M723" s="4"/>
      <c r="N723" s="4"/>
      <c r="O723" s="4"/>
      <c r="P723" s="4">
        <v>80</v>
      </c>
      <c r="Q723" s="4"/>
      <c r="R723" s="4"/>
      <c r="S723" s="4">
        <v>80</v>
      </c>
      <c r="T723" s="4">
        <v>1.3333333333333333</v>
      </c>
      <c r="U723" s="4">
        <v>2.083333333333333</v>
      </c>
      <c r="V723" s="4">
        <v>9.9166666666666679</v>
      </c>
      <c r="W723" s="4">
        <v>12</v>
      </c>
      <c r="X723" s="4">
        <v>0</v>
      </c>
      <c r="Y723" s="4"/>
      <c r="Z723" s="4">
        <v>343.45</v>
      </c>
      <c r="AA723" s="4">
        <v>350</v>
      </c>
      <c r="AB723" s="18"/>
      <c r="AC723" s="18">
        <v>12</v>
      </c>
      <c r="AD723" s="28"/>
      <c r="AE723" s="26"/>
      <c r="AF723" s="28"/>
    </row>
    <row r="724" spans="1:32" ht="12.6" customHeight="1" x14ac:dyDescent="0.25">
      <c r="A724" s="14">
        <v>45733</v>
      </c>
      <c r="B724" s="14" t="s">
        <v>46</v>
      </c>
      <c r="C724" s="15">
        <v>3</v>
      </c>
      <c r="D724" s="16"/>
      <c r="E724" s="16"/>
      <c r="F724" s="17"/>
      <c r="G724" s="21"/>
      <c r="H724" s="21"/>
      <c r="I724" s="4">
        <v>0</v>
      </c>
      <c r="J724" s="4">
        <v>0</v>
      </c>
      <c r="K724" s="4"/>
      <c r="L724" s="16"/>
      <c r="M724" s="4"/>
      <c r="N724" s="4"/>
      <c r="O724" s="4"/>
      <c r="P724" s="4"/>
      <c r="Q724" s="4"/>
      <c r="R724" s="4"/>
      <c r="S724" s="4">
        <v>0</v>
      </c>
      <c r="T724" s="4">
        <v>0</v>
      </c>
      <c r="U724" s="4">
        <v>0</v>
      </c>
      <c r="V724" s="4">
        <v>12</v>
      </c>
      <c r="W724" s="4">
        <v>12</v>
      </c>
      <c r="X724" s="4">
        <v>0</v>
      </c>
      <c r="Y724" s="4"/>
      <c r="Z724" s="4">
        <v>355.78999999999996</v>
      </c>
      <c r="AA724" s="4">
        <v>350</v>
      </c>
      <c r="AB724" s="18"/>
      <c r="AC724" s="18">
        <v>12</v>
      </c>
      <c r="AD724" s="28"/>
      <c r="AE724" s="26"/>
      <c r="AF724" s="28"/>
    </row>
    <row r="725" spans="1:32" ht="12.6" customHeight="1" x14ac:dyDescent="0.25">
      <c r="A725" s="14">
        <v>45733</v>
      </c>
      <c r="B725" s="14" t="s">
        <v>45</v>
      </c>
      <c r="C725" s="15">
        <v>4</v>
      </c>
      <c r="D725" s="16">
        <v>40</v>
      </c>
      <c r="E725" s="16"/>
      <c r="F725" s="17"/>
      <c r="G725" s="21"/>
      <c r="H725" s="21"/>
      <c r="I725" s="4">
        <v>40</v>
      </c>
      <c r="J725" s="4">
        <v>0.66666666666666663</v>
      </c>
      <c r="K725" s="4"/>
      <c r="L725" s="16"/>
      <c r="M725" s="4"/>
      <c r="N725" s="4"/>
      <c r="O725" s="4"/>
      <c r="P725" s="4"/>
      <c r="Q725" s="4"/>
      <c r="R725" s="4"/>
      <c r="S725" s="4">
        <v>0</v>
      </c>
      <c r="T725" s="4">
        <v>0</v>
      </c>
      <c r="U725" s="4">
        <v>0.66666666666666663</v>
      </c>
      <c r="V725" s="4">
        <v>11.333333333333334</v>
      </c>
      <c r="W725" s="4">
        <v>12</v>
      </c>
      <c r="X725" s="4">
        <v>0</v>
      </c>
      <c r="Y725" s="4"/>
      <c r="Z725" s="4">
        <v>763.26</v>
      </c>
      <c r="AA725" s="4">
        <v>750</v>
      </c>
      <c r="AB725" s="18"/>
      <c r="AC725" s="18">
        <v>12</v>
      </c>
      <c r="AD725" s="28"/>
      <c r="AE725" s="26"/>
      <c r="AF725" s="28"/>
    </row>
    <row r="726" spans="1:32" ht="12.6" customHeight="1" x14ac:dyDescent="0.25">
      <c r="A726" s="14">
        <v>45733</v>
      </c>
      <c r="B726" s="14" t="s">
        <v>46</v>
      </c>
      <c r="C726" s="15">
        <v>4</v>
      </c>
      <c r="D726" s="16"/>
      <c r="E726" s="16"/>
      <c r="F726" s="17"/>
      <c r="G726" s="21"/>
      <c r="H726" s="21"/>
      <c r="I726" s="4">
        <v>0</v>
      </c>
      <c r="J726" s="4">
        <v>0</v>
      </c>
      <c r="K726" s="4"/>
      <c r="L726" s="16"/>
      <c r="M726" s="4"/>
      <c r="N726" s="4"/>
      <c r="O726" s="4"/>
      <c r="P726" s="4"/>
      <c r="Q726" s="4"/>
      <c r="R726" s="4"/>
      <c r="S726" s="4">
        <v>0</v>
      </c>
      <c r="T726" s="4">
        <v>0</v>
      </c>
      <c r="U726" s="4">
        <v>0</v>
      </c>
      <c r="V726" s="4">
        <v>12</v>
      </c>
      <c r="W726" s="4">
        <v>12</v>
      </c>
      <c r="X726" s="4">
        <v>0</v>
      </c>
      <c r="Y726" s="4"/>
      <c r="Z726" s="4">
        <v>758.6</v>
      </c>
      <c r="AA726" s="4">
        <v>750</v>
      </c>
      <c r="AB726" s="18"/>
      <c r="AC726" s="18">
        <v>12</v>
      </c>
      <c r="AD726" s="28"/>
      <c r="AE726" s="26"/>
      <c r="AF726" s="28"/>
    </row>
    <row r="727" spans="1:32" ht="12.6" customHeight="1" x14ac:dyDescent="0.25">
      <c r="A727" s="14">
        <v>45733</v>
      </c>
      <c r="B727" s="14" t="s">
        <v>45</v>
      </c>
      <c r="C727" s="15">
        <v>5</v>
      </c>
      <c r="D727" s="16">
        <v>45</v>
      </c>
      <c r="E727" s="16"/>
      <c r="F727" s="17"/>
      <c r="G727" s="21"/>
      <c r="H727" s="21"/>
      <c r="I727" s="4">
        <v>45</v>
      </c>
      <c r="J727" s="4">
        <v>0.75</v>
      </c>
      <c r="K727" s="4"/>
      <c r="L727" s="16"/>
      <c r="M727" s="4"/>
      <c r="N727" s="4"/>
      <c r="O727" s="4"/>
      <c r="P727" s="4">
        <v>60</v>
      </c>
      <c r="Q727" s="4"/>
      <c r="R727" s="4"/>
      <c r="S727" s="4">
        <v>60</v>
      </c>
      <c r="T727" s="4">
        <v>1</v>
      </c>
      <c r="U727" s="4">
        <v>1.75</v>
      </c>
      <c r="V727" s="4">
        <v>10.25</v>
      </c>
      <c r="W727" s="4">
        <v>12</v>
      </c>
      <c r="X727" s="4">
        <v>0</v>
      </c>
      <c r="Y727" s="4"/>
      <c r="Z727" s="4">
        <v>523.77</v>
      </c>
      <c r="AA727" s="4">
        <v>550</v>
      </c>
      <c r="AB727" s="18"/>
      <c r="AC727" s="18">
        <v>12</v>
      </c>
      <c r="AD727" s="28"/>
      <c r="AE727" s="26"/>
      <c r="AF727" s="28"/>
    </row>
    <row r="728" spans="1:32" ht="12.6" customHeight="1" x14ac:dyDescent="0.25">
      <c r="A728" s="14">
        <v>45733</v>
      </c>
      <c r="B728" s="14" t="s">
        <v>46</v>
      </c>
      <c r="C728" s="15">
        <v>5</v>
      </c>
      <c r="D728" s="16"/>
      <c r="E728" s="16"/>
      <c r="F728" s="17"/>
      <c r="G728" s="21"/>
      <c r="H728" s="21"/>
      <c r="I728" s="4">
        <v>0</v>
      </c>
      <c r="J728" s="4">
        <v>0</v>
      </c>
      <c r="K728" s="4"/>
      <c r="L728" s="16"/>
      <c r="M728" s="4"/>
      <c r="N728" s="4"/>
      <c r="O728" s="4"/>
      <c r="P728" s="4"/>
      <c r="Q728" s="4"/>
      <c r="R728" s="4"/>
      <c r="S728" s="4">
        <v>0</v>
      </c>
      <c r="T728" s="4">
        <v>0</v>
      </c>
      <c r="U728" s="4">
        <v>0</v>
      </c>
      <c r="V728" s="4">
        <v>12</v>
      </c>
      <c r="W728" s="4">
        <v>12</v>
      </c>
      <c r="X728" s="4">
        <v>0</v>
      </c>
      <c r="Y728" s="4"/>
      <c r="Z728" s="4">
        <v>559.3900000000001</v>
      </c>
      <c r="AA728" s="4">
        <v>550</v>
      </c>
      <c r="AB728" s="18"/>
      <c r="AC728" s="18">
        <v>12</v>
      </c>
      <c r="AD728" s="28"/>
      <c r="AE728" s="26"/>
      <c r="AF728" s="28"/>
    </row>
    <row r="729" spans="1:32" ht="12.6" customHeight="1" x14ac:dyDescent="0.25">
      <c r="A729" s="14">
        <v>45734</v>
      </c>
      <c r="B729" s="14" t="s">
        <v>45</v>
      </c>
      <c r="C729" s="15">
        <v>1</v>
      </c>
      <c r="D729" s="16"/>
      <c r="E729" s="16"/>
      <c r="F729" s="17"/>
      <c r="G729" s="21"/>
      <c r="H729" s="21"/>
      <c r="I729" s="4">
        <v>0</v>
      </c>
      <c r="J729" s="4">
        <v>0</v>
      </c>
      <c r="K729" s="4"/>
      <c r="L729" s="16"/>
      <c r="M729" s="4"/>
      <c r="N729" s="4"/>
      <c r="O729" s="4"/>
      <c r="P729" s="4"/>
      <c r="Q729" s="4"/>
      <c r="R729" s="4"/>
      <c r="S729" s="4">
        <v>0</v>
      </c>
      <c r="T729" s="4">
        <v>0</v>
      </c>
      <c r="U729" s="4">
        <v>0</v>
      </c>
      <c r="V729" s="4">
        <v>12</v>
      </c>
      <c r="W729" s="4">
        <v>12</v>
      </c>
      <c r="X729" s="4">
        <v>24</v>
      </c>
      <c r="Y729" s="4">
        <v>1836</v>
      </c>
      <c r="Z729" s="4">
        <v>128.74999999999997</v>
      </c>
      <c r="AA729" s="4">
        <v>150</v>
      </c>
      <c r="AB729" s="18">
        <v>398</v>
      </c>
      <c r="AC729" s="18">
        <v>12</v>
      </c>
      <c r="AD729" s="28"/>
      <c r="AE729" s="26"/>
      <c r="AF729" s="28"/>
    </row>
    <row r="730" spans="1:32" ht="12.6" customHeight="1" x14ac:dyDescent="0.25">
      <c r="A730" s="14">
        <v>45734</v>
      </c>
      <c r="B730" s="14" t="s">
        <v>46</v>
      </c>
      <c r="C730" s="15">
        <v>1</v>
      </c>
      <c r="D730" s="16"/>
      <c r="E730" s="16"/>
      <c r="F730" s="17"/>
      <c r="G730" s="21"/>
      <c r="H730" s="21"/>
      <c r="I730" s="4">
        <v>0</v>
      </c>
      <c r="J730" s="4">
        <v>0</v>
      </c>
      <c r="K730" s="4"/>
      <c r="L730" s="16"/>
      <c r="M730" s="4"/>
      <c r="N730" s="4"/>
      <c r="O730" s="4"/>
      <c r="P730" s="4"/>
      <c r="Q730" s="4"/>
      <c r="R730" s="4"/>
      <c r="S730" s="4">
        <v>0</v>
      </c>
      <c r="T730" s="4">
        <v>0</v>
      </c>
      <c r="U730" s="4">
        <v>0</v>
      </c>
      <c r="V730" s="4">
        <v>12</v>
      </c>
      <c r="W730" s="4">
        <v>12</v>
      </c>
      <c r="X730" s="4">
        <v>24</v>
      </c>
      <c r="Y730" s="4"/>
      <c r="Z730" s="4">
        <v>119.91999999999999</v>
      </c>
      <c r="AA730" s="4">
        <v>150</v>
      </c>
      <c r="AB730" s="18"/>
      <c r="AC730" s="18">
        <v>12</v>
      </c>
      <c r="AD730" s="28"/>
      <c r="AE730" s="26"/>
      <c r="AF730" s="28"/>
    </row>
    <row r="731" spans="1:32" ht="12.6" customHeight="1" x14ac:dyDescent="0.25">
      <c r="A731" s="14">
        <v>45734</v>
      </c>
      <c r="B731" s="14" t="s">
        <v>45</v>
      </c>
      <c r="C731" s="15">
        <v>2</v>
      </c>
      <c r="D731" s="16"/>
      <c r="E731" s="16"/>
      <c r="F731" s="17"/>
      <c r="G731" s="21"/>
      <c r="H731" s="21"/>
      <c r="I731" s="4">
        <v>0</v>
      </c>
      <c r="J731" s="4">
        <v>0</v>
      </c>
      <c r="K731" s="4"/>
      <c r="L731" s="16"/>
      <c r="M731" s="4"/>
      <c r="N731" s="4"/>
      <c r="O731" s="4"/>
      <c r="P731" s="4"/>
      <c r="Q731" s="4"/>
      <c r="R731" s="4"/>
      <c r="S731" s="4">
        <v>0</v>
      </c>
      <c r="T731" s="4">
        <v>0</v>
      </c>
      <c r="U731" s="4">
        <v>0</v>
      </c>
      <c r="V731" s="4">
        <v>12</v>
      </c>
      <c r="W731" s="4">
        <v>12</v>
      </c>
      <c r="X731" s="4">
        <v>0</v>
      </c>
      <c r="Y731" s="4"/>
      <c r="Z731" s="4">
        <v>100.09</v>
      </c>
      <c r="AA731" s="4">
        <v>100</v>
      </c>
      <c r="AB731" s="18"/>
      <c r="AC731" s="18">
        <v>12</v>
      </c>
      <c r="AD731" s="28"/>
      <c r="AE731" s="26"/>
      <c r="AF731" s="28"/>
    </row>
    <row r="732" spans="1:32" ht="12.6" customHeight="1" x14ac:dyDescent="0.25">
      <c r="A732" s="14">
        <v>45734</v>
      </c>
      <c r="B732" s="14" t="s">
        <v>46</v>
      </c>
      <c r="C732" s="15">
        <v>2</v>
      </c>
      <c r="D732" s="16"/>
      <c r="E732" s="16"/>
      <c r="F732" s="17"/>
      <c r="G732" s="21"/>
      <c r="H732" s="21"/>
      <c r="I732" s="4">
        <v>0</v>
      </c>
      <c r="J732" s="4">
        <v>0</v>
      </c>
      <c r="K732" s="4"/>
      <c r="L732" s="16"/>
      <c r="M732" s="4"/>
      <c r="N732" s="4"/>
      <c r="O732" s="4"/>
      <c r="P732" s="4"/>
      <c r="Q732" s="4"/>
      <c r="R732" s="4"/>
      <c r="S732" s="4">
        <v>0</v>
      </c>
      <c r="T732" s="4">
        <v>0</v>
      </c>
      <c r="U732" s="4">
        <v>0</v>
      </c>
      <c r="V732" s="4">
        <v>12</v>
      </c>
      <c r="W732" s="4">
        <v>12</v>
      </c>
      <c r="X732" s="4">
        <v>0</v>
      </c>
      <c r="Y732" s="4"/>
      <c r="Z732" s="4">
        <v>131.44</v>
      </c>
      <c r="AA732" s="4">
        <v>150</v>
      </c>
      <c r="AB732" s="18"/>
      <c r="AC732" s="18">
        <v>12</v>
      </c>
      <c r="AD732" s="28"/>
      <c r="AE732" s="26"/>
      <c r="AF732" s="28"/>
    </row>
    <row r="733" spans="1:32" ht="12.6" customHeight="1" x14ac:dyDescent="0.25">
      <c r="A733" s="14">
        <v>45734</v>
      </c>
      <c r="B733" s="14" t="s">
        <v>45</v>
      </c>
      <c r="C733" s="15">
        <v>3</v>
      </c>
      <c r="D733" s="16"/>
      <c r="E733" s="16"/>
      <c r="F733" s="17"/>
      <c r="G733" s="21"/>
      <c r="H733" s="21"/>
      <c r="I733" s="4">
        <v>0</v>
      </c>
      <c r="J733" s="4">
        <v>0</v>
      </c>
      <c r="K733" s="4"/>
      <c r="L733" s="16"/>
      <c r="M733" s="4"/>
      <c r="N733" s="4"/>
      <c r="O733" s="4"/>
      <c r="P733" s="4"/>
      <c r="Q733" s="4"/>
      <c r="R733" s="4"/>
      <c r="S733" s="4">
        <v>0</v>
      </c>
      <c r="T733" s="4">
        <v>0</v>
      </c>
      <c r="U733" s="4">
        <v>0</v>
      </c>
      <c r="V733" s="4">
        <v>12</v>
      </c>
      <c r="W733" s="4">
        <v>12</v>
      </c>
      <c r="X733" s="4">
        <v>0</v>
      </c>
      <c r="Y733" s="4"/>
      <c r="Z733" s="4">
        <v>275.49999999999994</v>
      </c>
      <c r="AA733" s="4">
        <v>300</v>
      </c>
      <c r="AB733" s="18"/>
      <c r="AC733" s="18">
        <v>12</v>
      </c>
      <c r="AD733" s="28"/>
      <c r="AE733" s="26"/>
      <c r="AF733" s="28"/>
    </row>
    <row r="734" spans="1:32" ht="12.6" customHeight="1" x14ac:dyDescent="0.25">
      <c r="A734" s="14">
        <v>45734</v>
      </c>
      <c r="B734" s="14" t="s">
        <v>46</v>
      </c>
      <c r="C734" s="15">
        <v>3</v>
      </c>
      <c r="D734" s="16"/>
      <c r="E734" s="16"/>
      <c r="F734" s="17"/>
      <c r="G734" s="21"/>
      <c r="H734" s="21"/>
      <c r="I734" s="4">
        <v>0</v>
      </c>
      <c r="J734" s="4">
        <v>0</v>
      </c>
      <c r="K734" s="4"/>
      <c r="L734" s="16"/>
      <c r="M734" s="4"/>
      <c r="N734" s="4"/>
      <c r="O734" s="4"/>
      <c r="P734" s="4">
        <v>30</v>
      </c>
      <c r="Q734" s="4"/>
      <c r="R734" s="4"/>
      <c r="S734" s="4">
        <v>30</v>
      </c>
      <c r="T734" s="4">
        <v>0.5</v>
      </c>
      <c r="U734" s="4">
        <v>0.5</v>
      </c>
      <c r="V734" s="4">
        <v>11.5</v>
      </c>
      <c r="W734" s="4">
        <v>12</v>
      </c>
      <c r="X734" s="4">
        <v>0</v>
      </c>
      <c r="Y734" s="4"/>
      <c r="Z734" s="4">
        <v>339.62</v>
      </c>
      <c r="AA734" s="4">
        <v>350</v>
      </c>
      <c r="AB734" s="18"/>
      <c r="AC734" s="18">
        <v>12</v>
      </c>
      <c r="AD734" s="28"/>
      <c r="AE734" s="26"/>
      <c r="AF734" s="28"/>
    </row>
    <row r="735" spans="1:32" ht="12.6" customHeight="1" x14ac:dyDescent="0.25">
      <c r="A735" s="14">
        <v>45734</v>
      </c>
      <c r="B735" s="14" t="s">
        <v>45</v>
      </c>
      <c r="C735" s="15">
        <v>4</v>
      </c>
      <c r="D735" s="16">
        <v>30</v>
      </c>
      <c r="E735" s="16"/>
      <c r="F735" s="17"/>
      <c r="G735" s="21"/>
      <c r="H735" s="21"/>
      <c r="I735" s="4">
        <v>30</v>
      </c>
      <c r="J735" s="4">
        <v>0.5</v>
      </c>
      <c r="K735" s="4"/>
      <c r="L735" s="16"/>
      <c r="M735" s="4"/>
      <c r="N735" s="4"/>
      <c r="O735" s="4"/>
      <c r="P735" s="4">
        <v>60</v>
      </c>
      <c r="Q735" s="4"/>
      <c r="R735" s="4"/>
      <c r="S735" s="4">
        <v>60</v>
      </c>
      <c r="T735" s="4">
        <v>1</v>
      </c>
      <c r="U735" s="4">
        <v>1.5</v>
      </c>
      <c r="V735" s="4">
        <v>10.5</v>
      </c>
      <c r="W735" s="4">
        <v>12</v>
      </c>
      <c r="X735" s="4">
        <v>0</v>
      </c>
      <c r="Y735" s="4"/>
      <c r="Z735" s="4">
        <v>702.71</v>
      </c>
      <c r="AA735" s="4">
        <v>700</v>
      </c>
      <c r="AB735" s="18"/>
      <c r="AC735" s="18">
        <v>12</v>
      </c>
      <c r="AD735" s="28"/>
      <c r="AE735" s="26"/>
      <c r="AF735" s="28"/>
    </row>
    <row r="736" spans="1:32" ht="12.6" customHeight="1" x14ac:dyDescent="0.25">
      <c r="A736" s="14">
        <v>45734</v>
      </c>
      <c r="B736" s="14" t="s">
        <v>46</v>
      </c>
      <c r="C736" s="15">
        <v>4</v>
      </c>
      <c r="D736" s="16">
        <v>10</v>
      </c>
      <c r="E736" s="16"/>
      <c r="F736" s="17"/>
      <c r="G736" s="21"/>
      <c r="H736" s="21"/>
      <c r="I736" s="4">
        <v>10</v>
      </c>
      <c r="J736" s="4">
        <v>0.16666666666666666</v>
      </c>
      <c r="K736" s="4"/>
      <c r="L736" s="16"/>
      <c r="M736" s="4"/>
      <c r="N736" s="4"/>
      <c r="O736" s="4"/>
      <c r="P736" s="4"/>
      <c r="Q736" s="4"/>
      <c r="R736" s="4"/>
      <c r="S736" s="4">
        <v>0</v>
      </c>
      <c r="T736" s="4">
        <v>0</v>
      </c>
      <c r="U736" s="4">
        <v>0.16666666666666666</v>
      </c>
      <c r="V736" s="4">
        <v>11.833333333333334</v>
      </c>
      <c r="W736" s="4">
        <v>12</v>
      </c>
      <c r="X736" s="4">
        <v>0</v>
      </c>
      <c r="Y736" s="4"/>
      <c r="Z736" s="4">
        <v>733.43000000000006</v>
      </c>
      <c r="AA736" s="4">
        <v>750</v>
      </c>
      <c r="AB736" s="18"/>
      <c r="AC736" s="18">
        <v>12</v>
      </c>
      <c r="AD736" s="28"/>
      <c r="AE736" s="26"/>
      <c r="AF736" s="28"/>
    </row>
    <row r="737" spans="1:32" ht="12.6" customHeight="1" x14ac:dyDescent="0.25">
      <c r="A737" s="14">
        <v>45734</v>
      </c>
      <c r="B737" s="14" t="s">
        <v>45</v>
      </c>
      <c r="C737" s="15">
        <v>5</v>
      </c>
      <c r="D737" s="16"/>
      <c r="E737" s="16"/>
      <c r="F737" s="17"/>
      <c r="G737" s="21"/>
      <c r="H737" s="21"/>
      <c r="I737" s="4">
        <v>0</v>
      </c>
      <c r="J737" s="4">
        <v>0</v>
      </c>
      <c r="K737" s="4"/>
      <c r="L737" s="16"/>
      <c r="M737" s="4"/>
      <c r="N737" s="4"/>
      <c r="O737" s="4"/>
      <c r="P737" s="4"/>
      <c r="Q737" s="4"/>
      <c r="R737" s="4"/>
      <c r="S737" s="4">
        <v>0</v>
      </c>
      <c r="T737" s="4">
        <v>0</v>
      </c>
      <c r="U737" s="4">
        <v>0</v>
      </c>
      <c r="V737" s="4">
        <v>12</v>
      </c>
      <c r="W737" s="4">
        <v>12</v>
      </c>
      <c r="X737" s="4">
        <v>0</v>
      </c>
      <c r="Y737" s="4"/>
      <c r="Z737" s="4">
        <v>485.29999999999995</v>
      </c>
      <c r="AA737" s="4">
        <v>500</v>
      </c>
      <c r="AB737" s="18"/>
      <c r="AC737" s="18">
        <v>12</v>
      </c>
      <c r="AD737" s="28"/>
      <c r="AE737" s="26"/>
      <c r="AF737" s="28"/>
    </row>
    <row r="738" spans="1:32" ht="12.6" customHeight="1" x14ac:dyDescent="0.25">
      <c r="A738" s="14">
        <v>45734</v>
      </c>
      <c r="B738" s="14" t="s">
        <v>46</v>
      </c>
      <c r="C738" s="15">
        <v>5</v>
      </c>
      <c r="D738" s="16"/>
      <c r="E738" s="16"/>
      <c r="F738" s="17"/>
      <c r="G738" s="21"/>
      <c r="H738" s="21"/>
      <c r="I738" s="4">
        <v>0</v>
      </c>
      <c r="J738" s="4">
        <v>0</v>
      </c>
      <c r="K738" s="4"/>
      <c r="L738" s="16"/>
      <c r="M738" s="4"/>
      <c r="N738" s="4"/>
      <c r="O738" s="4"/>
      <c r="P738" s="4"/>
      <c r="Q738" s="4"/>
      <c r="R738" s="4"/>
      <c r="S738" s="4">
        <v>0</v>
      </c>
      <c r="T738" s="4">
        <v>0</v>
      </c>
      <c r="U738" s="4">
        <v>0</v>
      </c>
      <c r="V738" s="4">
        <v>12</v>
      </c>
      <c r="W738" s="4">
        <v>12</v>
      </c>
      <c r="X738" s="4">
        <v>0</v>
      </c>
      <c r="Y738" s="4"/>
      <c r="Z738" s="4">
        <v>548.65</v>
      </c>
      <c r="AA738" s="4">
        <v>450</v>
      </c>
      <c r="AB738" s="18"/>
      <c r="AC738" s="18">
        <v>12</v>
      </c>
      <c r="AD738" s="28"/>
      <c r="AE738" s="26"/>
      <c r="AF738" s="28"/>
    </row>
    <row r="739" spans="1:32" ht="12.6" customHeight="1" x14ac:dyDescent="0.25">
      <c r="A739" s="14">
        <v>45735</v>
      </c>
      <c r="B739" s="14" t="s">
        <v>45</v>
      </c>
      <c r="C739" s="15">
        <v>1</v>
      </c>
      <c r="D739" s="16">
        <v>20</v>
      </c>
      <c r="E739" s="16"/>
      <c r="F739" s="17"/>
      <c r="G739" s="21"/>
      <c r="H739" s="21"/>
      <c r="I739" s="4">
        <v>20</v>
      </c>
      <c r="J739" s="4">
        <v>0.33333333333333331</v>
      </c>
      <c r="K739" s="4"/>
      <c r="L739" s="16"/>
      <c r="M739" s="4"/>
      <c r="N739" s="4"/>
      <c r="O739" s="4"/>
      <c r="P739" s="4"/>
      <c r="Q739" s="4"/>
      <c r="R739" s="4"/>
      <c r="S739" s="4">
        <v>0</v>
      </c>
      <c r="T739" s="4">
        <v>0</v>
      </c>
      <c r="U739" s="4">
        <v>0.33333333333333331</v>
      </c>
      <c r="V739" s="4">
        <v>11.666666666666666</v>
      </c>
      <c r="W739" s="4">
        <v>12</v>
      </c>
      <c r="X739" s="4">
        <v>43</v>
      </c>
      <c r="Y739" s="4">
        <v>1914</v>
      </c>
      <c r="Z739" s="4">
        <v>134.01999999999998</v>
      </c>
      <c r="AA739" s="4">
        <v>150</v>
      </c>
      <c r="AB739" s="18">
        <v>398</v>
      </c>
      <c r="AC739" s="18">
        <v>12</v>
      </c>
      <c r="AD739" s="28"/>
      <c r="AE739" s="26"/>
      <c r="AF739" s="28"/>
    </row>
    <row r="740" spans="1:32" ht="12.6" customHeight="1" x14ac:dyDescent="0.25">
      <c r="A740" s="14">
        <v>45735</v>
      </c>
      <c r="B740" s="14" t="s">
        <v>46</v>
      </c>
      <c r="C740" s="15">
        <v>1</v>
      </c>
      <c r="D740" s="16"/>
      <c r="E740" s="16"/>
      <c r="F740" s="17"/>
      <c r="G740" s="21"/>
      <c r="H740" s="21"/>
      <c r="I740" s="4">
        <v>0</v>
      </c>
      <c r="J740" s="4">
        <v>0</v>
      </c>
      <c r="K740" s="4"/>
      <c r="L740" s="16"/>
      <c r="M740" s="4"/>
      <c r="N740" s="4"/>
      <c r="O740" s="4"/>
      <c r="P740" s="4"/>
      <c r="Q740" s="4"/>
      <c r="R740" s="4"/>
      <c r="S740" s="4">
        <v>0</v>
      </c>
      <c r="T740" s="4">
        <v>0</v>
      </c>
      <c r="U740" s="4">
        <v>0</v>
      </c>
      <c r="V740" s="4">
        <v>12</v>
      </c>
      <c r="W740" s="4">
        <v>12</v>
      </c>
      <c r="X740" s="4">
        <v>25</v>
      </c>
      <c r="Y740" s="4"/>
      <c r="Z740" s="4">
        <v>149.01</v>
      </c>
      <c r="AA740" s="4">
        <v>150</v>
      </c>
      <c r="AB740" s="18"/>
      <c r="AC740" s="18">
        <v>12</v>
      </c>
      <c r="AD740" s="28"/>
      <c r="AE740" s="26"/>
      <c r="AF740" s="28"/>
    </row>
    <row r="741" spans="1:32" ht="12.6" customHeight="1" x14ac:dyDescent="0.25">
      <c r="A741" s="14">
        <v>45735</v>
      </c>
      <c r="B741" s="14" t="s">
        <v>45</v>
      </c>
      <c r="C741" s="15">
        <v>2</v>
      </c>
      <c r="D741" s="16"/>
      <c r="E741" s="16"/>
      <c r="F741" s="17"/>
      <c r="G741" s="21"/>
      <c r="H741" s="21"/>
      <c r="I741" s="4">
        <v>0</v>
      </c>
      <c r="J741" s="4">
        <v>0</v>
      </c>
      <c r="K741" s="4"/>
      <c r="L741" s="16"/>
      <c r="M741" s="4"/>
      <c r="N741" s="4"/>
      <c r="O741" s="4"/>
      <c r="P741" s="4"/>
      <c r="Q741" s="4"/>
      <c r="R741" s="4"/>
      <c r="S741" s="4">
        <v>0</v>
      </c>
      <c r="T741" s="4">
        <v>0</v>
      </c>
      <c r="U741" s="4">
        <v>0</v>
      </c>
      <c r="V741" s="4">
        <v>12</v>
      </c>
      <c r="W741" s="4">
        <v>12</v>
      </c>
      <c r="X741" s="4">
        <v>0</v>
      </c>
      <c r="Y741" s="4"/>
      <c r="Z741" s="4">
        <v>132.01</v>
      </c>
      <c r="AA741" s="4">
        <v>150</v>
      </c>
      <c r="AB741" s="18"/>
      <c r="AC741" s="18">
        <v>12</v>
      </c>
      <c r="AD741" s="28"/>
      <c r="AE741" s="26"/>
      <c r="AF741" s="28"/>
    </row>
    <row r="742" spans="1:32" ht="12.6" customHeight="1" x14ac:dyDescent="0.25">
      <c r="A742" s="14">
        <v>45735</v>
      </c>
      <c r="B742" s="14" t="s">
        <v>46</v>
      </c>
      <c r="C742" s="15">
        <v>2</v>
      </c>
      <c r="D742" s="16"/>
      <c r="E742" s="16"/>
      <c r="F742" s="17"/>
      <c r="G742" s="21"/>
      <c r="H742" s="21"/>
      <c r="I742" s="4">
        <v>0</v>
      </c>
      <c r="J742" s="4">
        <v>0</v>
      </c>
      <c r="K742" s="4"/>
      <c r="L742" s="16"/>
      <c r="M742" s="4"/>
      <c r="N742" s="4"/>
      <c r="O742" s="4"/>
      <c r="P742" s="4"/>
      <c r="Q742" s="4"/>
      <c r="R742" s="4"/>
      <c r="S742" s="4">
        <v>0</v>
      </c>
      <c r="T742" s="4">
        <v>0</v>
      </c>
      <c r="U742" s="4">
        <v>0</v>
      </c>
      <c r="V742" s="4">
        <v>12</v>
      </c>
      <c r="W742" s="4">
        <v>12</v>
      </c>
      <c r="X742" s="4">
        <v>0</v>
      </c>
      <c r="Y742" s="4"/>
      <c r="Z742" s="4">
        <v>113.67000000000002</v>
      </c>
      <c r="AA742" s="4">
        <v>100</v>
      </c>
      <c r="AB742" s="18"/>
      <c r="AC742" s="18">
        <v>12</v>
      </c>
      <c r="AD742" s="28"/>
      <c r="AE742" s="26"/>
      <c r="AF742" s="28"/>
    </row>
    <row r="743" spans="1:32" ht="12.6" customHeight="1" x14ac:dyDescent="0.25">
      <c r="A743" s="14">
        <v>45735</v>
      </c>
      <c r="B743" s="14" t="s">
        <v>45</v>
      </c>
      <c r="C743" s="15">
        <v>3</v>
      </c>
      <c r="D743" s="16"/>
      <c r="E743" s="16"/>
      <c r="F743" s="17"/>
      <c r="G743" s="21"/>
      <c r="H743" s="21"/>
      <c r="I743" s="4">
        <v>0</v>
      </c>
      <c r="J743" s="4">
        <v>0</v>
      </c>
      <c r="K743" s="4"/>
      <c r="L743" s="16"/>
      <c r="M743" s="4"/>
      <c r="N743" s="4"/>
      <c r="O743" s="4"/>
      <c r="P743" s="4"/>
      <c r="Q743" s="4"/>
      <c r="R743" s="4"/>
      <c r="S743" s="4">
        <v>0</v>
      </c>
      <c r="T743" s="4">
        <v>0</v>
      </c>
      <c r="U743" s="4">
        <v>0</v>
      </c>
      <c r="V743" s="4">
        <v>12</v>
      </c>
      <c r="W743" s="4">
        <v>12</v>
      </c>
      <c r="X743" s="4">
        <v>0</v>
      </c>
      <c r="Y743" s="4"/>
      <c r="Z743" s="4">
        <v>343.14</v>
      </c>
      <c r="AA743" s="4">
        <v>350</v>
      </c>
      <c r="AB743" s="18"/>
      <c r="AC743" s="18">
        <v>12</v>
      </c>
      <c r="AD743" s="28"/>
      <c r="AE743" s="26"/>
      <c r="AF743" s="28"/>
    </row>
    <row r="744" spans="1:32" ht="12.6" customHeight="1" x14ac:dyDescent="0.25">
      <c r="A744" s="14">
        <v>45735</v>
      </c>
      <c r="B744" s="14" t="s">
        <v>46</v>
      </c>
      <c r="C744" s="15">
        <v>3</v>
      </c>
      <c r="D744" s="16"/>
      <c r="E744" s="16"/>
      <c r="F744" s="17"/>
      <c r="G744" s="21"/>
      <c r="H744" s="21"/>
      <c r="I744" s="4">
        <v>0</v>
      </c>
      <c r="J744" s="4">
        <v>0</v>
      </c>
      <c r="K744" s="4"/>
      <c r="L744" s="16"/>
      <c r="M744" s="4"/>
      <c r="N744" s="4"/>
      <c r="O744" s="4"/>
      <c r="P744" s="4"/>
      <c r="Q744" s="4"/>
      <c r="R744" s="4"/>
      <c r="S744" s="4">
        <v>0</v>
      </c>
      <c r="T744" s="4">
        <v>0</v>
      </c>
      <c r="U744" s="4">
        <v>0</v>
      </c>
      <c r="V744" s="4">
        <v>12</v>
      </c>
      <c r="W744" s="4">
        <v>12</v>
      </c>
      <c r="X744" s="4">
        <v>0</v>
      </c>
      <c r="Y744" s="4"/>
      <c r="Z744" s="4">
        <v>302.19</v>
      </c>
      <c r="AA744" s="4">
        <v>300</v>
      </c>
      <c r="AB744" s="18"/>
      <c r="AC744" s="18">
        <v>12</v>
      </c>
      <c r="AD744" s="28"/>
      <c r="AE744" s="26"/>
      <c r="AF744" s="28"/>
    </row>
    <row r="745" spans="1:32" ht="12.6" customHeight="1" x14ac:dyDescent="0.25">
      <c r="A745" s="14">
        <v>45735</v>
      </c>
      <c r="B745" s="14" t="s">
        <v>45</v>
      </c>
      <c r="C745" s="15">
        <v>4</v>
      </c>
      <c r="D745" s="16">
        <v>60</v>
      </c>
      <c r="E745" s="16"/>
      <c r="F745" s="17"/>
      <c r="G745" s="21"/>
      <c r="H745" s="21"/>
      <c r="I745" s="4">
        <v>60</v>
      </c>
      <c r="J745" s="4">
        <v>1</v>
      </c>
      <c r="K745" s="4"/>
      <c r="L745" s="16"/>
      <c r="M745" s="4"/>
      <c r="N745" s="4"/>
      <c r="O745" s="4"/>
      <c r="P745" s="4"/>
      <c r="Q745" s="4"/>
      <c r="R745" s="4"/>
      <c r="S745" s="4">
        <v>0</v>
      </c>
      <c r="T745" s="4">
        <v>0</v>
      </c>
      <c r="U745" s="4">
        <v>1</v>
      </c>
      <c r="V745" s="4">
        <v>11</v>
      </c>
      <c r="W745" s="4">
        <v>12</v>
      </c>
      <c r="X745" s="4">
        <v>0</v>
      </c>
      <c r="Y745" s="4"/>
      <c r="Z745" s="4">
        <v>681.63</v>
      </c>
      <c r="AA745" s="4">
        <v>700</v>
      </c>
      <c r="AB745" s="18"/>
      <c r="AC745" s="18">
        <v>12</v>
      </c>
      <c r="AD745" s="28"/>
      <c r="AE745" s="26"/>
      <c r="AF745" s="28"/>
    </row>
    <row r="746" spans="1:32" ht="12.6" customHeight="1" x14ac:dyDescent="0.25">
      <c r="A746" s="14">
        <v>45735</v>
      </c>
      <c r="B746" s="14" t="s">
        <v>46</v>
      </c>
      <c r="C746" s="15">
        <v>4</v>
      </c>
      <c r="D746" s="16"/>
      <c r="E746" s="16"/>
      <c r="F746" s="17"/>
      <c r="G746" s="21"/>
      <c r="H746" s="21"/>
      <c r="I746" s="4">
        <v>0</v>
      </c>
      <c r="J746" s="4">
        <v>0</v>
      </c>
      <c r="K746" s="4"/>
      <c r="L746" s="16"/>
      <c r="M746" s="4"/>
      <c r="N746" s="4"/>
      <c r="O746" s="4"/>
      <c r="P746" s="4"/>
      <c r="Q746" s="4"/>
      <c r="R746" s="4"/>
      <c r="S746" s="4">
        <v>0</v>
      </c>
      <c r="T746" s="4">
        <v>0</v>
      </c>
      <c r="U746" s="4">
        <v>0</v>
      </c>
      <c r="V746" s="4">
        <v>12</v>
      </c>
      <c r="W746" s="4">
        <v>12</v>
      </c>
      <c r="X746" s="4">
        <v>0</v>
      </c>
      <c r="Y746" s="4"/>
      <c r="Z746" s="4">
        <v>767.85</v>
      </c>
      <c r="AA746" s="4">
        <v>750</v>
      </c>
      <c r="AB746" s="18"/>
      <c r="AC746" s="18">
        <v>12</v>
      </c>
      <c r="AD746" s="28"/>
      <c r="AE746" s="26"/>
      <c r="AF746" s="28"/>
    </row>
    <row r="747" spans="1:32" ht="12.6" customHeight="1" x14ac:dyDescent="0.25">
      <c r="A747" s="14">
        <v>45735</v>
      </c>
      <c r="B747" s="14" t="s">
        <v>45</v>
      </c>
      <c r="C747" s="15">
        <v>5</v>
      </c>
      <c r="D747" s="16">
        <v>20</v>
      </c>
      <c r="E747" s="16"/>
      <c r="F747" s="17"/>
      <c r="G747" s="21"/>
      <c r="H747" s="21"/>
      <c r="I747" s="4">
        <v>20</v>
      </c>
      <c r="J747" s="4">
        <v>0.33333333333333331</v>
      </c>
      <c r="K747" s="4"/>
      <c r="L747" s="16"/>
      <c r="M747" s="4"/>
      <c r="N747" s="4"/>
      <c r="O747" s="4"/>
      <c r="P747" s="4"/>
      <c r="Q747" s="4"/>
      <c r="R747" s="4"/>
      <c r="S747" s="4">
        <v>0</v>
      </c>
      <c r="T747" s="4">
        <v>0</v>
      </c>
      <c r="U747" s="4">
        <v>0.33333333333333331</v>
      </c>
      <c r="V747" s="4">
        <v>11.666666666666666</v>
      </c>
      <c r="W747" s="4">
        <v>12</v>
      </c>
      <c r="X747" s="4">
        <v>0</v>
      </c>
      <c r="Y747" s="4"/>
      <c r="Z747" s="4">
        <v>461.46000000000004</v>
      </c>
      <c r="AA747" s="4">
        <v>450</v>
      </c>
      <c r="AB747" s="18"/>
      <c r="AC747" s="18">
        <v>12</v>
      </c>
      <c r="AD747" s="28"/>
      <c r="AE747" s="26"/>
      <c r="AF747" s="28"/>
    </row>
    <row r="748" spans="1:32" ht="12.6" customHeight="1" x14ac:dyDescent="0.25">
      <c r="A748" s="14">
        <v>45735</v>
      </c>
      <c r="B748" s="14" t="s">
        <v>46</v>
      </c>
      <c r="C748" s="15">
        <v>5</v>
      </c>
      <c r="D748" s="16"/>
      <c r="E748" s="16"/>
      <c r="F748" s="17"/>
      <c r="G748" s="21"/>
      <c r="H748" s="21"/>
      <c r="I748" s="4">
        <v>0</v>
      </c>
      <c r="J748" s="4">
        <v>0</v>
      </c>
      <c r="K748" s="4"/>
      <c r="L748" s="16"/>
      <c r="M748" s="4"/>
      <c r="N748" s="4"/>
      <c r="O748" s="4"/>
      <c r="P748" s="4"/>
      <c r="Q748" s="4"/>
      <c r="R748" s="4"/>
      <c r="S748" s="4">
        <v>0</v>
      </c>
      <c r="T748" s="4">
        <v>0</v>
      </c>
      <c r="U748" s="4">
        <v>0</v>
      </c>
      <c r="V748" s="4">
        <v>12</v>
      </c>
      <c r="W748" s="4">
        <v>12</v>
      </c>
      <c r="X748" s="4">
        <v>0</v>
      </c>
      <c r="Y748" s="4"/>
      <c r="Z748" s="4">
        <v>506.83</v>
      </c>
      <c r="AA748" s="4">
        <v>500</v>
      </c>
      <c r="AB748" s="18"/>
      <c r="AC748" s="18">
        <v>12</v>
      </c>
      <c r="AD748" s="28"/>
      <c r="AE748" s="26"/>
      <c r="AF748" s="28"/>
    </row>
    <row r="749" spans="1:32" ht="12.6" customHeight="1" x14ac:dyDescent="0.25">
      <c r="A749" s="14">
        <v>45736</v>
      </c>
      <c r="B749" s="14" t="s">
        <v>45</v>
      </c>
      <c r="C749" s="15">
        <v>1</v>
      </c>
      <c r="D749" s="16"/>
      <c r="E749" s="16"/>
      <c r="F749" s="17"/>
      <c r="G749" s="21"/>
      <c r="H749" s="21"/>
      <c r="I749" s="4">
        <v>0</v>
      </c>
      <c r="J749" s="4">
        <v>0</v>
      </c>
      <c r="K749" s="4"/>
      <c r="L749" s="16"/>
      <c r="M749" s="4"/>
      <c r="N749" s="4"/>
      <c r="O749" s="4"/>
      <c r="P749" s="4"/>
      <c r="Q749" s="4"/>
      <c r="R749" s="4"/>
      <c r="S749" s="4">
        <v>0</v>
      </c>
      <c r="T749" s="4">
        <v>0</v>
      </c>
      <c r="U749" s="4">
        <v>0</v>
      </c>
      <c r="V749" s="4">
        <v>12</v>
      </c>
      <c r="W749" s="4">
        <v>12</v>
      </c>
      <c r="X749" s="4">
        <v>30</v>
      </c>
      <c r="Y749" s="4">
        <v>1896</v>
      </c>
      <c r="Z749" s="4">
        <v>160.57000000000002</v>
      </c>
      <c r="AA749" s="4">
        <v>150</v>
      </c>
      <c r="AB749" s="18">
        <v>398</v>
      </c>
      <c r="AC749" s="18">
        <v>12</v>
      </c>
      <c r="AD749" s="28"/>
      <c r="AE749" s="26"/>
      <c r="AF749" s="28"/>
    </row>
    <row r="750" spans="1:32" ht="12.6" customHeight="1" x14ac:dyDescent="0.25">
      <c r="A750" s="14">
        <v>45736</v>
      </c>
      <c r="B750" s="14" t="s">
        <v>46</v>
      </c>
      <c r="C750" s="15">
        <v>1</v>
      </c>
      <c r="D750" s="16"/>
      <c r="E750" s="16"/>
      <c r="F750" s="17"/>
      <c r="G750" s="21"/>
      <c r="H750" s="21"/>
      <c r="I750" s="4">
        <v>0</v>
      </c>
      <c r="J750" s="4">
        <v>0</v>
      </c>
      <c r="K750" s="4"/>
      <c r="L750" s="16"/>
      <c r="M750" s="4"/>
      <c r="N750" s="4"/>
      <c r="O750" s="4"/>
      <c r="P750" s="4"/>
      <c r="Q750" s="4"/>
      <c r="R750" s="4"/>
      <c r="S750" s="4">
        <v>0</v>
      </c>
      <c r="T750" s="4">
        <v>0</v>
      </c>
      <c r="U750" s="4">
        <v>0</v>
      </c>
      <c r="V750" s="4">
        <v>12</v>
      </c>
      <c r="W750" s="4">
        <v>12</v>
      </c>
      <c r="X750" s="4">
        <v>25</v>
      </c>
      <c r="Y750" s="4"/>
      <c r="Z750" s="4">
        <v>131.97</v>
      </c>
      <c r="AA750" s="4">
        <v>150</v>
      </c>
      <c r="AB750" s="18"/>
      <c r="AC750" s="18">
        <v>12</v>
      </c>
      <c r="AD750" s="28"/>
      <c r="AE750" s="26"/>
      <c r="AF750" s="28"/>
    </row>
    <row r="751" spans="1:32" ht="12.6" customHeight="1" x14ac:dyDescent="0.25">
      <c r="A751" s="14">
        <v>45736</v>
      </c>
      <c r="B751" s="14" t="s">
        <v>45</v>
      </c>
      <c r="C751" s="15">
        <v>2</v>
      </c>
      <c r="D751" s="16"/>
      <c r="E751" s="16"/>
      <c r="F751" s="17"/>
      <c r="G751" s="21"/>
      <c r="H751" s="21"/>
      <c r="I751" s="4">
        <v>0</v>
      </c>
      <c r="J751" s="4">
        <v>0</v>
      </c>
      <c r="K751" s="4"/>
      <c r="L751" s="16"/>
      <c r="M751" s="4"/>
      <c r="N751" s="4"/>
      <c r="O751" s="4"/>
      <c r="P751" s="4"/>
      <c r="Q751" s="4"/>
      <c r="R751" s="4"/>
      <c r="S751" s="4">
        <v>0</v>
      </c>
      <c r="T751" s="4">
        <v>0</v>
      </c>
      <c r="U751" s="4">
        <v>0</v>
      </c>
      <c r="V751" s="4">
        <v>12</v>
      </c>
      <c r="W751" s="4">
        <v>12</v>
      </c>
      <c r="X751" s="4">
        <v>0</v>
      </c>
      <c r="Y751" s="4"/>
      <c r="Z751" s="4">
        <v>116.7</v>
      </c>
      <c r="AA751" s="4">
        <v>100</v>
      </c>
      <c r="AB751" s="18"/>
      <c r="AC751" s="18">
        <v>12</v>
      </c>
      <c r="AD751" s="28"/>
      <c r="AE751" s="26"/>
      <c r="AF751" s="28"/>
    </row>
    <row r="752" spans="1:32" ht="12.6" customHeight="1" x14ac:dyDescent="0.25">
      <c r="A752" s="14">
        <v>45736</v>
      </c>
      <c r="B752" s="14" t="s">
        <v>46</v>
      </c>
      <c r="C752" s="15">
        <v>2</v>
      </c>
      <c r="D752" s="16"/>
      <c r="E752" s="16"/>
      <c r="F752" s="17"/>
      <c r="G752" s="21"/>
      <c r="H752" s="21"/>
      <c r="I752" s="4">
        <v>0</v>
      </c>
      <c r="J752" s="4">
        <v>0</v>
      </c>
      <c r="K752" s="4"/>
      <c r="L752" s="16"/>
      <c r="M752" s="4"/>
      <c r="N752" s="4"/>
      <c r="O752" s="4"/>
      <c r="P752" s="4"/>
      <c r="Q752" s="4"/>
      <c r="R752" s="4"/>
      <c r="S752" s="4">
        <v>0</v>
      </c>
      <c r="T752" s="4">
        <v>0</v>
      </c>
      <c r="U752" s="4">
        <v>0</v>
      </c>
      <c r="V752" s="4">
        <v>12</v>
      </c>
      <c r="W752" s="4">
        <v>12</v>
      </c>
      <c r="X752" s="4">
        <v>0</v>
      </c>
      <c r="Y752" s="4"/>
      <c r="Z752" s="4">
        <v>109.91999999999999</v>
      </c>
      <c r="AA752" s="4">
        <v>100</v>
      </c>
      <c r="AB752" s="18"/>
      <c r="AC752" s="18">
        <v>12</v>
      </c>
      <c r="AD752" s="28"/>
      <c r="AE752" s="26"/>
      <c r="AF752" s="28"/>
    </row>
    <row r="753" spans="1:32" ht="12.6" customHeight="1" x14ac:dyDescent="0.25">
      <c r="A753" s="14">
        <v>45736</v>
      </c>
      <c r="B753" s="14" t="s">
        <v>45</v>
      </c>
      <c r="C753" s="15">
        <v>3</v>
      </c>
      <c r="D753" s="16"/>
      <c r="E753" s="16"/>
      <c r="F753" s="17"/>
      <c r="G753" s="21"/>
      <c r="H753" s="21"/>
      <c r="I753" s="4">
        <v>0</v>
      </c>
      <c r="J753" s="4">
        <v>0</v>
      </c>
      <c r="K753" s="4"/>
      <c r="L753" s="16"/>
      <c r="M753" s="4"/>
      <c r="N753" s="4"/>
      <c r="O753" s="4"/>
      <c r="P753" s="4"/>
      <c r="Q753" s="4"/>
      <c r="R753" s="4"/>
      <c r="S753" s="4">
        <v>0</v>
      </c>
      <c r="T753" s="4">
        <v>0</v>
      </c>
      <c r="U753" s="4">
        <v>0</v>
      </c>
      <c r="V753" s="4">
        <v>12</v>
      </c>
      <c r="W753" s="4">
        <v>12</v>
      </c>
      <c r="X753" s="4">
        <v>0</v>
      </c>
      <c r="Y753" s="4"/>
      <c r="Z753" s="4">
        <v>308.49</v>
      </c>
      <c r="AA753" s="4">
        <v>300</v>
      </c>
      <c r="AB753" s="18"/>
      <c r="AC753" s="18">
        <v>12</v>
      </c>
      <c r="AD753" s="28"/>
      <c r="AE753" s="26"/>
      <c r="AF753" s="28"/>
    </row>
    <row r="754" spans="1:32" ht="12.6" customHeight="1" x14ac:dyDescent="0.25">
      <c r="A754" s="14">
        <v>45736</v>
      </c>
      <c r="B754" s="14" t="s">
        <v>46</v>
      </c>
      <c r="C754" s="15">
        <v>3</v>
      </c>
      <c r="D754" s="16"/>
      <c r="E754" s="16"/>
      <c r="F754" s="17"/>
      <c r="G754" s="21"/>
      <c r="H754" s="21"/>
      <c r="I754" s="4">
        <v>0</v>
      </c>
      <c r="J754" s="4">
        <v>0</v>
      </c>
      <c r="K754" s="4"/>
      <c r="L754" s="16"/>
      <c r="M754" s="4"/>
      <c r="N754" s="4"/>
      <c r="O754" s="4"/>
      <c r="P754" s="4"/>
      <c r="Q754" s="4"/>
      <c r="R754" s="4"/>
      <c r="S754" s="4">
        <v>0</v>
      </c>
      <c r="T754" s="4">
        <v>0</v>
      </c>
      <c r="U754" s="4">
        <v>0</v>
      </c>
      <c r="V754" s="4">
        <v>12</v>
      </c>
      <c r="W754" s="4">
        <v>12</v>
      </c>
      <c r="X754" s="4">
        <v>0</v>
      </c>
      <c r="Y754" s="4"/>
      <c r="Z754" s="4">
        <v>322.59999999999997</v>
      </c>
      <c r="AA754" s="4">
        <v>350</v>
      </c>
      <c r="AB754" s="18"/>
      <c r="AC754" s="18">
        <v>12</v>
      </c>
      <c r="AD754" s="28"/>
      <c r="AE754" s="26"/>
      <c r="AF754" s="28"/>
    </row>
    <row r="755" spans="1:32" ht="12.6" customHeight="1" x14ac:dyDescent="0.25">
      <c r="A755" s="14">
        <v>45736</v>
      </c>
      <c r="B755" s="14" t="s">
        <v>45</v>
      </c>
      <c r="C755" s="15">
        <v>4</v>
      </c>
      <c r="D755" s="16">
        <v>30</v>
      </c>
      <c r="E755" s="16"/>
      <c r="F755" s="17"/>
      <c r="G755" s="21"/>
      <c r="H755" s="21"/>
      <c r="I755" s="4">
        <v>30</v>
      </c>
      <c r="J755" s="4">
        <v>0.5</v>
      </c>
      <c r="K755" s="4"/>
      <c r="L755" s="16"/>
      <c r="M755" s="4"/>
      <c r="N755" s="4"/>
      <c r="O755" s="4"/>
      <c r="P755" s="4"/>
      <c r="Q755" s="4"/>
      <c r="R755" s="4"/>
      <c r="S755" s="4">
        <v>0</v>
      </c>
      <c r="T755" s="4">
        <v>0</v>
      </c>
      <c r="U755" s="4">
        <v>0.5</v>
      </c>
      <c r="V755" s="4">
        <v>11.5</v>
      </c>
      <c r="W755" s="4">
        <v>12</v>
      </c>
      <c r="X755" s="4">
        <v>0</v>
      </c>
      <c r="Y755" s="4"/>
      <c r="Z755" s="4">
        <v>667.18</v>
      </c>
      <c r="AA755" s="4">
        <v>650</v>
      </c>
      <c r="AB755" s="18"/>
      <c r="AC755" s="18">
        <v>12</v>
      </c>
      <c r="AD755" s="28"/>
      <c r="AE755" s="26"/>
      <c r="AF755" s="28"/>
    </row>
    <row r="756" spans="1:32" ht="12.6" customHeight="1" x14ac:dyDescent="0.25">
      <c r="A756" s="14">
        <v>45736</v>
      </c>
      <c r="B756" s="14" t="s">
        <v>46</v>
      </c>
      <c r="C756" s="15">
        <v>4</v>
      </c>
      <c r="D756" s="16"/>
      <c r="E756" s="16"/>
      <c r="F756" s="17"/>
      <c r="G756" s="21"/>
      <c r="H756" s="21"/>
      <c r="I756" s="4">
        <v>0</v>
      </c>
      <c r="J756" s="4">
        <v>0</v>
      </c>
      <c r="K756" s="4"/>
      <c r="L756" s="16"/>
      <c r="M756" s="4"/>
      <c r="N756" s="4"/>
      <c r="O756" s="4"/>
      <c r="P756" s="4"/>
      <c r="Q756" s="4"/>
      <c r="R756" s="4"/>
      <c r="S756" s="4">
        <v>0</v>
      </c>
      <c r="T756" s="4">
        <v>0</v>
      </c>
      <c r="U756" s="4">
        <v>0</v>
      </c>
      <c r="V756" s="4">
        <v>12</v>
      </c>
      <c r="W756" s="4">
        <v>12</v>
      </c>
      <c r="X756" s="4">
        <v>0</v>
      </c>
      <c r="Y756" s="4"/>
      <c r="Z756" s="4">
        <v>760.21</v>
      </c>
      <c r="AA756" s="4">
        <v>750</v>
      </c>
      <c r="AB756" s="18"/>
      <c r="AC756" s="18">
        <v>12</v>
      </c>
      <c r="AD756" s="28"/>
      <c r="AE756" s="26"/>
      <c r="AF756" s="28"/>
    </row>
    <row r="757" spans="1:32" ht="12.6" customHeight="1" x14ac:dyDescent="0.25">
      <c r="A757" s="14">
        <v>45736</v>
      </c>
      <c r="B757" s="14" t="s">
        <v>45</v>
      </c>
      <c r="C757" s="15">
        <v>5</v>
      </c>
      <c r="D757" s="16"/>
      <c r="E757" s="16"/>
      <c r="F757" s="17"/>
      <c r="G757" s="21"/>
      <c r="H757" s="21"/>
      <c r="I757" s="4">
        <v>0</v>
      </c>
      <c r="J757" s="4">
        <v>0</v>
      </c>
      <c r="K757" s="4"/>
      <c r="L757" s="16"/>
      <c r="M757" s="4"/>
      <c r="N757" s="4"/>
      <c r="O757" s="4"/>
      <c r="P757" s="4"/>
      <c r="Q757" s="4"/>
      <c r="R757" s="4"/>
      <c r="S757" s="4">
        <v>0</v>
      </c>
      <c r="T757" s="4">
        <v>0</v>
      </c>
      <c r="U757" s="4">
        <v>0</v>
      </c>
      <c r="V757" s="4">
        <v>12</v>
      </c>
      <c r="W757" s="4">
        <v>12</v>
      </c>
      <c r="X757" s="4">
        <v>0</v>
      </c>
      <c r="Y757" s="4"/>
      <c r="Z757" s="4">
        <v>485.15</v>
      </c>
      <c r="AA757" s="4">
        <v>450</v>
      </c>
      <c r="AB757" s="18"/>
      <c r="AC757" s="18">
        <v>12</v>
      </c>
      <c r="AD757" s="28"/>
      <c r="AE757" s="26"/>
      <c r="AF757" s="28"/>
    </row>
    <row r="758" spans="1:32" ht="12.6" customHeight="1" x14ac:dyDescent="0.25">
      <c r="A758" s="14">
        <v>45736</v>
      </c>
      <c r="B758" s="14" t="s">
        <v>46</v>
      </c>
      <c r="C758" s="15">
        <v>5</v>
      </c>
      <c r="D758" s="16"/>
      <c r="E758" s="16"/>
      <c r="F758" s="17"/>
      <c r="G758" s="21"/>
      <c r="H758" s="21"/>
      <c r="I758" s="4">
        <v>0</v>
      </c>
      <c r="J758" s="4">
        <v>0</v>
      </c>
      <c r="K758" s="4"/>
      <c r="L758" s="16"/>
      <c r="M758" s="4"/>
      <c r="N758" s="4"/>
      <c r="O758" s="4"/>
      <c r="P758" s="4"/>
      <c r="Q758" s="4"/>
      <c r="R758" s="4"/>
      <c r="S758" s="4">
        <v>0</v>
      </c>
      <c r="T758" s="4">
        <v>0</v>
      </c>
      <c r="U758" s="4">
        <v>0</v>
      </c>
      <c r="V758" s="4">
        <v>12</v>
      </c>
      <c r="W758" s="4">
        <v>12</v>
      </c>
      <c r="X758" s="4">
        <v>0</v>
      </c>
      <c r="Y758" s="4"/>
      <c r="Z758" s="4">
        <v>507.32000000000005</v>
      </c>
      <c r="AA758" s="4">
        <v>500</v>
      </c>
      <c r="AB758" s="18"/>
      <c r="AC758" s="18">
        <v>12</v>
      </c>
      <c r="AD758" s="28"/>
      <c r="AE758" s="26"/>
      <c r="AF758" s="28"/>
    </row>
    <row r="759" spans="1:32" ht="12.6" customHeight="1" x14ac:dyDescent="0.25">
      <c r="A759" s="14">
        <v>45737</v>
      </c>
      <c r="B759" s="14" t="s">
        <v>45</v>
      </c>
      <c r="C759" s="15">
        <v>1</v>
      </c>
      <c r="D759" s="16"/>
      <c r="E759" s="16"/>
      <c r="F759" s="17"/>
      <c r="G759" s="21"/>
      <c r="H759" s="21"/>
      <c r="I759" s="4">
        <v>0</v>
      </c>
      <c r="J759" s="4">
        <v>0</v>
      </c>
      <c r="K759" s="4"/>
      <c r="L759" s="16"/>
      <c r="M759" s="4"/>
      <c r="N759" s="4"/>
      <c r="O759" s="4"/>
      <c r="P759" s="4"/>
      <c r="Q759" s="4"/>
      <c r="R759" s="4"/>
      <c r="S759" s="4">
        <v>0</v>
      </c>
      <c r="T759" s="4">
        <v>0</v>
      </c>
      <c r="U759" s="4">
        <v>0</v>
      </c>
      <c r="V759" s="4">
        <v>12</v>
      </c>
      <c r="W759" s="4">
        <v>12</v>
      </c>
      <c r="X759" s="4">
        <v>44</v>
      </c>
      <c r="Y759" s="4">
        <v>1849</v>
      </c>
      <c r="Z759" s="4">
        <v>155.19999999999999</v>
      </c>
      <c r="AA759" s="4">
        <v>150</v>
      </c>
      <c r="AB759" s="18">
        <v>398</v>
      </c>
      <c r="AC759" s="18">
        <v>12</v>
      </c>
      <c r="AD759" s="28"/>
      <c r="AE759" s="26"/>
      <c r="AF759" s="28"/>
    </row>
    <row r="760" spans="1:32" ht="12.6" customHeight="1" x14ac:dyDescent="0.25">
      <c r="A760" s="14">
        <v>45737</v>
      </c>
      <c r="B760" s="14" t="s">
        <v>46</v>
      </c>
      <c r="C760" s="15">
        <v>1</v>
      </c>
      <c r="D760" s="16"/>
      <c r="E760" s="16"/>
      <c r="F760" s="17"/>
      <c r="G760" s="21"/>
      <c r="H760" s="21"/>
      <c r="I760" s="4">
        <v>0</v>
      </c>
      <c r="J760" s="4">
        <v>0</v>
      </c>
      <c r="K760" s="4"/>
      <c r="L760" s="16"/>
      <c r="M760" s="4"/>
      <c r="N760" s="4"/>
      <c r="O760" s="4"/>
      <c r="P760" s="4"/>
      <c r="Q760" s="4"/>
      <c r="R760" s="4"/>
      <c r="S760" s="4">
        <v>0</v>
      </c>
      <c r="T760" s="4">
        <v>0</v>
      </c>
      <c r="U760" s="4">
        <v>0</v>
      </c>
      <c r="V760" s="4">
        <v>12</v>
      </c>
      <c r="W760" s="4">
        <v>12</v>
      </c>
      <c r="X760" s="4">
        <v>55</v>
      </c>
      <c r="Y760" s="4"/>
      <c r="Z760" s="4">
        <v>148.45000000000002</v>
      </c>
      <c r="AA760" s="4">
        <v>150</v>
      </c>
      <c r="AB760" s="18"/>
      <c r="AC760" s="18">
        <v>12</v>
      </c>
      <c r="AD760" s="28"/>
      <c r="AE760" s="26"/>
      <c r="AF760" s="28"/>
    </row>
    <row r="761" spans="1:32" ht="12.6" customHeight="1" x14ac:dyDescent="0.25">
      <c r="A761" s="14">
        <v>45737</v>
      </c>
      <c r="B761" s="14" t="s">
        <v>45</v>
      </c>
      <c r="C761" s="15">
        <v>2</v>
      </c>
      <c r="D761" s="16">
        <v>20</v>
      </c>
      <c r="E761" s="16"/>
      <c r="F761" s="17"/>
      <c r="G761" s="21"/>
      <c r="H761" s="21"/>
      <c r="I761" s="4">
        <v>20</v>
      </c>
      <c r="J761" s="4">
        <v>0.33333333333333331</v>
      </c>
      <c r="K761" s="4"/>
      <c r="L761" s="16"/>
      <c r="M761" s="4"/>
      <c r="N761" s="4"/>
      <c r="O761" s="4"/>
      <c r="P761" s="4"/>
      <c r="Q761" s="4"/>
      <c r="R761" s="4"/>
      <c r="S761" s="4">
        <v>0</v>
      </c>
      <c r="T761" s="4">
        <v>0</v>
      </c>
      <c r="U761" s="4">
        <v>0.33333333333333331</v>
      </c>
      <c r="V761" s="4">
        <v>11.666666666666666</v>
      </c>
      <c r="W761" s="4">
        <v>12</v>
      </c>
      <c r="X761" s="4">
        <v>0</v>
      </c>
      <c r="Y761" s="4"/>
      <c r="Z761" s="4">
        <v>146.94</v>
      </c>
      <c r="AA761" s="4">
        <v>150</v>
      </c>
      <c r="AB761" s="18"/>
      <c r="AC761" s="18">
        <v>12</v>
      </c>
      <c r="AD761" s="28"/>
      <c r="AE761" s="26"/>
      <c r="AF761" s="28"/>
    </row>
    <row r="762" spans="1:32" ht="12.6" customHeight="1" x14ac:dyDescent="0.25">
      <c r="A762" s="14">
        <v>45737</v>
      </c>
      <c r="B762" s="14" t="s">
        <v>46</v>
      </c>
      <c r="C762" s="15">
        <v>2</v>
      </c>
      <c r="D762" s="16"/>
      <c r="E762" s="16"/>
      <c r="F762" s="17"/>
      <c r="G762" s="21"/>
      <c r="H762" s="21"/>
      <c r="I762" s="4">
        <v>0</v>
      </c>
      <c r="J762" s="4">
        <v>0</v>
      </c>
      <c r="K762" s="4"/>
      <c r="L762" s="16"/>
      <c r="M762" s="4"/>
      <c r="N762" s="4"/>
      <c r="O762" s="4"/>
      <c r="P762" s="4"/>
      <c r="Q762" s="4"/>
      <c r="R762" s="4"/>
      <c r="S762" s="4">
        <v>0</v>
      </c>
      <c r="T762" s="4">
        <v>0</v>
      </c>
      <c r="U762" s="4">
        <v>0</v>
      </c>
      <c r="V762" s="4">
        <v>12</v>
      </c>
      <c r="W762" s="4">
        <v>12</v>
      </c>
      <c r="X762" s="4">
        <v>0</v>
      </c>
      <c r="Y762" s="4"/>
      <c r="Z762" s="4">
        <v>140.59</v>
      </c>
      <c r="AA762" s="4">
        <v>150</v>
      </c>
      <c r="AB762" s="18"/>
      <c r="AC762" s="18">
        <v>12</v>
      </c>
      <c r="AD762" s="28"/>
      <c r="AE762" s="26"/>
      <c r="AF762" s="28"/>
    </row>
    <row r="763" spans="1:32" ht="12.6" customHeight="1" x14ac:dyDescent="0.25">
      <c r="A763" s="14">
        <v>45737</v>
      </c>
      <c r="B763" s="14" t="s">
        <v>45</v>
      </c>
      <c r="C763" s="15">
        <v>3</v>
      </c>
      <c r="D763" s="16">
        <v>40</v>
      </c>
      <c r="E763" s="16"/>
      <c r="F763" s="17"/>
      <c r="G763" s="21"/>
      <c r="H763" s="21"/>
      <c r="I763" s="4">
        <v>40</v>
      </c>
      <c r="J763" s="4">
        <v>0.66666666666666663</v>
      </c>
      <c r="K763" s="4"/>
      <c r="L763" s="16"/>
      <c r="M763" s="4"/>
      <c r="N763" s="4"/>
      <c r="O763" s="4"/>
      <c r="P763" s="4"/>
      <c r="Q763" s="4"/>
      <c r="R763" s="4"/>
      <c r="S763" s="4">
        <v>0</v>
      </c>
      <c r="T763" s="4">
        <v>0</v>
      </c>
      <c r="U763" s="4">
        <v>0.66666666666666663</v>
      </c>
      <c r="V763" s="4">
        <v>11.333333333333334</v>
      </c>
      <c r="W763" s="4">
        <v>12</v>
      </c>
      <c r="X763" s="4">
        <v>0</v>
      </c>
      <c r="Y763" s="4"/>
      <c r="Z763" s="4">
        <v>282.32</v>
      </c>
      <c r="AA763" s="4">
        <v>300</v>
      </c>
      <c r="AB763" s="18"/>
      <c r="AC763" s="18">
        <v>12</v>
      </c>
      <c r="AD763" s="28"/>
      <c r="AE763" s="26"/>
      <c r="AF763" s="28"/>
    </row>
    <row r="764" spans="1:32" ht="12.6" customHeight="1" x14ac:dyDescent="0.25">
      <c r="A764" s="14">
        <v>45737</v>
      </c>
      <c r="B764" s="14" t="s">
        <v>46</v>
      </c>
      <c r="C764" s="15">
        <v>3</v>
      </c>
      <c r="D764" s="16"/>
      <c r="E764" s="16"/>
      <c r="F764" s="17"/>
      <c r="G764" s="21"/>
      <c r="H764" s="21"/>
      <c r="I764" s="4">
        <v>0</v>
      </c>
      <c r="J764" s="4">
        <v>0</v>
      </c>
      <c r="K764" s="4"/>
      <c r="L764" s="16"/>
      <c r="M764" s="4"/>
      <c r="N764" s="4"/>
      <c r="O764" s="4"/>
      <c r="P764" s="4"/>
      <c r="Q764" s="4"/>
      <c r="R764" s="4"/>
      <c r="S764" s="4">
        <v>0</v>
      </c>
      <c r="T764" s="4">
        <v>0</v>
      </c>
      <c r="U764" s="4">
        <v>0</v>
      </c>
      <c r="V764" s="4">
        <v>12</v>
      </c>
      <c r="W764" s="4">
        <v>12</v>
      </c>
      <c r="X764" s="4">
        <v>0</v>
      </c>
      <c r="Y764" s="4"/>
      <c r="Z764" s="4">
        <v>273.17</v>
      </c>
      <c r="AA764" s="4">
        <v>300</v>
      </c>
      <c r="AB764" s="18"/>
      <c r="AC764" s="18">
        <v>12</v>
      </c>
      <c r="AD764" s="28"/>
      <c r="AE764" s="26"/>
      <c r="AF764" s="28"/>
    </row>
    <row r="765" spans="1:32" ht="12.6" customHeight="1" x14ac:dyDescent="0.25">
      <c r="A765" s="14">
        <v>45737</v>
      </c>
      <c r="B765" s="14" t="s">
        <v>45</v>
      </c>
      <c r="C765" s="15">
        <v>4</v>
      </c>
      <c r="D765" s="16">
        <v>30</v>
      </c>
      <c r="E765" s="16"/>
      <c r="F765" s="17"/>
      <c r="G765" s="21"/>
      <c r="H765" s="21"/>
      <c r="I765" s="4">
        <v>30</v>
      </c>
      <c r="J765" s="4">
        <v>0.5</v>
      </c>
      <c r="K765" s="4"/>
      <c r="L765" s="16"/>
      <c r="M765" s="4"/>
      <c r="N765" s="4"/>
      <c r="O765" s="4"/>
      <c r="P765" s="4"/>
      <c r="Q765" s="4"/>
      <c r="R765" s="4"/>
      <c r="S765" s="4">
        <v>0</v>
      </c>
      <c r="T765" s="4">
        <v>0</v>
      </c>
      <c r="U765" s="4">
        <v>0.5</v>
      </c>
      <c r="V765" s="4">
        <v>11.5</v>
      </c>
      <c r="W765" s="4">
        <v>12</v>
      </c>
      <c r="X765" s="4">
        <v>0</v>
      </c>
      <c r="Y765" s="4"/>
      <c r="Z765" s="4">
        <v>684.32999999999993</v>
      </c>
      <c r="AA765" s="4">
        <v>700</v>
      </c>
      <c r="AB765" s="18"/>
      <c r="AC765" s="18">
        <v>12</v>
      </c>
      <c r="AD765" s="28"/>
      <c r="AE765" s="26"/>
      <c r="AF765" s="28"/>
    </row>
    <row r="766" spans="1:32" ht="12.6" customHeight="1" x14ac:dyDescent="0.25">
      <c r="A766" s="14">
        <v>45737</v>
      </c>
      <c r="B766" s="14" t="s">
        <v>46</v>
      </c>
      <c r="C766" s="15">
        <v>4</v>
      </c>
      <c r="D766" s="16"/>
      <c r="E766" s="16"/>
      <c r="F766" s="17"/>
      <c r="G766" s="21"/>
      <c r="H766" s="21"/>
      <c r="I766" s="4">
        <v>0</v>
      </c>
      <c r="J766" s="4">
        <v>0</v>
      </c>
      <c r="K766" s="4"/>
      <c r="L766" s="16"/>
      <c r="M766" s="4"/>
      <c r="N766" s="4"/>
      <c r="O766" s="4"/>
      <c r="P766" s="4">
        <v>90</v>
      </c>
      <c r="Q766" s="4"/>
      <c r="R766" s="4"/>
      <c r="S766" s="4">
        <v>90</v>
      </c>
      <c r="T766" s="4">
        <v>1.5</v>
      </c>
      <c r="U766" s="4">
        <v>1.5</v>
      </c>
      <c r="V766" s="4">
        <v>10.5</v>
      </c>
      <c r="W766" s="4">
        <v>12</v>
      </c>
      <c r="X766" s="4">
        <v>0</v>
      </c>
      <c r="Y766" s="4"/>
      <c r="Z766" s="4">
        <v>627.91</v>
      </c>
      <c r="AA766" s="4">
        <v>650</v>
      </c>
      <c r="AB766" s="18"/>
      <c r="AC766" s="18">
        <v>12</v>
      </c>
      <c r="AD766" s="28"/>
      <c r="AE766" s="26"/>
      <c r="AF766" s="28"/>
    </row>
    <row r="767" spans="1:32" ht="12.6" customHeight="1" x14ac:dyDescent="0.25">
      <c r="A767" s="14">
        <v>45737</v>
      </c>
      <c r="B767" s="14" t="s">
        <v>45</v>
      </c>
      <c r="C767" s="15">
        <v>5</v>
      </c>
      <c r="D767" s="16">
        <v>70</v>
      </c>
      <c r="E767" s="16"/>
      <c r="F767" s="17"/>
      <c r="G767" s="21"/>
      <c r="H767" s="21"/>
      <c r="I767" s="4">
        <v>70</v>
      </c>
      <c r="J767" s="4">
        <v>1.1666666666666667</v>
      </c>
      <c r="K767" s="4"/>
      <c r="L767" s="16"/>
      <c r="M767" s="4"/>
      <c r="N767" s="4"/>
      <c r="O767" s="4"/>
      <c r="P767" s="4"/>
      <c r="Q767" s="4"/>
      <c r="R767" s="4"/>
      <c r="S767" s="4">
        <v>0</v>
      </c>
      <c r="T767" s="4">
        <v>0</v>
      </c>
      <c r="U767" s="4">
        <v>1.1666666666666667</v>
      </c>
      <c r="V767" s="4">
        <v>10.833333333333334</v>
      </c>
      <c r="W767" s="4">
        <v>12</v>
      </c>
      <c r="X767" s="4">
        <v>0</v>
      </c>
      <c r="Y767" s="4"/>
      <c r="Z767" s="4">
        <v>471.21</v>
      </c>
      <c r="AA767" s="4">
        <v>500</v>
      </c>
      <c r="AB767" s="18"/>
      <c r="AC767" s="18">
        <v>12</v>
      </c>
      <c r="AD767" s="28"/>
      <c r="AE767" s="26"/>
      <c r="AF767" s="28"/>
    </row>
    <row r="768" spans="1:32" ht="12.6" customHeight="1" x14ac:dyDescent="0.25">
      <c r="A768" s="14">
        <v>45737</v>
      </c>
      <c r="B768" s="14" t="s">
        <v>46</v>
      </c>
      <c r="C768" s="15">
        <v>5</v>
      </c>
      <c r="D768" s="16"/>
      <c r="E768" s="16"/>
      <c r="F768" s="17"/>
      <c r="G768" s="21"/>
      <c r="H768" s="21"/>
      <c r="I768" s="4">
        <v>0</v>
      </c>
      <c r="J768" s="4">
        <v>0</v>
      </c>
      <c r="K768" s="4"/>
      <c r="L768" s="16"/>
      <c r="M768" s="4"/>
      <c r="N768" s="4"/>
      <c r="O768" s="4"/>
      <c r="P768" s="4"/>
      <c r="Q768" s="4"/>
      <c r="R768" s="4"/>
      <c r="S768" s="4">
        <v>0</v>
      </c>
      <c r="T768" s="4">
        <v>0</v>
      </c>
      <c r="U768" s="4">
        <v>0</v>
      </c>
      <c r="V768" s="4">
        <v>12</v>
      </c>
      <c r="W768" s="4">
        <v>12</v>
      </c>
      <c r="X768" s="4">
        <v>0</v>
      </c>
      <c r="Y768" s="4"/>
      <c r="Z768" s="4">
        <v>439.27000000000004</v>
      </c>
      <c r="AA768" s="4">
        <v>450</v>
      </c>
      <c r="AB768" s="18"/>
      <c r="AC768" s="18">
        <v>12</v>
      </c>
      <c r="AD768" s="28"/>
      <c r="AE768" s="26"/>
      <c r="AF768" s="28"/>
    </row>
    <row r="769" spans="1:32" ht="12.6" customHeight="1" x14ac:dyDescent="0.25">
      <c r="A769" s="14">
        <v>45738</v>
      </c>
      <c r="B769" s="14" t="s">
        <v>45</v>
      </c>
      <c r="C769" s="15">
        <v>1</v>
      </c>
      <c r="D769" s="16">
        <v>20</v>
      </c>
      <c r="E769" s="16"/>
      <c r="F769" s="17"/>
      <c r="G769" s="21"/>
      <c r="H769" s="21"/>
      <c r="I769" s="4">
        <v>20</v>
      </c>
      <c r="J769" s="4">
        <v>0.33333333333333331</v>
      </c>
      <c r="K769" s="4"/>
      <c r="L769" s="16"/>
      <c r="M769" s="4"/>
      <c r="N769" s="4"/>
      <c r="O769" s="4"/>
      <c r="P769" s="4"/>
      <c r="Q769" s="4"/>
      <c r="R769" s="4"/>
      <c r="S769" s="4">
        <v>0</v>
      </c>
      <c r="T769" s="4">
        <v>0</v>
      </c>
      <c r="U769" s="4">
        <v>0.33333333333333331</v>
      </c>
      <c r="V769" s="4">
        <v>11.666666666666666</v>
      </c>
      <c r="W769" s="4">
        <v>12</v>
      </c>
      <c r="X769" s="4">
        <v>30</v>
      </c>
      <c r="Y769" s="4">
        <v>1918</v>
      </c>
      <c r="Z769" s="4">
        <v>147.28</v>
      </c>
      <c r="AA769" s="4">
        <v>100</v>
      </c>
      <c r="AB769" s="18">
        <v>398</v>
      </c>
      <c r="AC769" s="18">
        <v>12</v>
      </c>
      <c r="AD769" s="28"/>
      <c r="AE769" s="26"/>
      <c r="AF769" s="28"/>
    </row>
    <row r="770" spans="1:32" ht="12.6" customHeight="1" x14ac:dyDescent="0.25">
      <c r="A770" s="14">
        <v>45738</v>
      </c>
      <c r="B770" s="14" t="s">
        <v>46</v>
      </c>
      <c r="C770" s="15">
        <v>1</v>
      </c>
      <c r="D770" s="16"/>
      <c r="E770" s="16"/>
      <c r="F770" s="17"/>
      <c r="G770" s="21"/>
      <c r="H770" s="21"/>
      <c r="I770" s="4">
        <v>0</v>
      </c>
      <c r="J770" s="4">
        <v>0</v>
      </c>
      <c r="K770" s="4"/>
      <c r="L770" s="16"/>
      <c r="M770" s="4"/>
      <c r="N770" s="4"/>
      <c r="O770" s="4"/>
      <c r="P770" s="4"/>
      <c r="Q770" s="4"/>
      <c r="R770" s="4"/>
      <c r="S770" s="4">
        <v>0</v>
      </c>
      <c r="T770" s="4">
        <v>0</v>
      </c>
      <c r="U770" s="4">
        <v>0</v>
      </c>
      <c r="V770" s="4">
        <v>12</v>
      </c>
      <c r="W770" s="4">
        <v>12</v>
      </c>
      <c r="X770" s="4">
        <v>45</v>
      </c>
      <c r="Y770" s="4"/>
      <c r="Z770" s="4">
        <v>155.91999999999999</v>
      </c>
      <c r="AA770" s="4">
        <v>150</v>
      </c>
      <c r="AB770" s="18"/>
      <c r="AC770" s="18">
        <v>12</v>
      </c>
      <c r="AD770" s="28"/>
      <c r="AE770" s="26"/>
      <c r="AF770" s="28"/>
    </row>
    <row r="771" spans="1:32" ht="12.6" customHeight="1" x14ac:dyDescent="0.25">
      <c r="A771" s="14">
        <v>45738</v>
      </c>
      <c r="B771" s="14" t="s">
        <v>45</v>
      </c>
      <c r="C771" s="15">
        <v>2</v>
      </c>
      <c r="D771" s="16"/>
      <c r="E771" s="16"/>
      <c r="F771" s="17"/>
      <c r="G771" s="21"/>
      <c r="H771" s="21"/>
      <c r="I771" s="4">
        <v>0</v>
      </c>
      <c r="J771" s="4">
        <v>0</v>
      </c>
      <c r="K771" s="4"/>
      <c r="L771" s="16"/>
      <c r="M771" s="4"/>
      <c r="N771" s="4"/>
      <c r="O771" s="4"/>
      <c r="P771" s="4"/>
      <c r="Q771" s="4"/>
      <c r="R771" s="4"/>
      <c r="S771" s="4">
        <v>0</v>
      </c>
      <c r="T771" s="4">
        <v>0</v>
      </c>
      <c r="U771" s="4">
        <v>0</v>
      </c>
      <c r="V771" s="4">
        <v>12</v>
      </c>
      <c r="W771" s="4">
        <v>12</v>
      </c>
      <c r="X771" s="4">
        <v>0</v>
      </c>
      <c r="Y771" s="4"/>
      <c r="Z771" s="4">
        <v>114.99</v>
      </c>
      <c r="AA771" s="4">
        <v>100</v>
      </c>
      <c r="AB771" s="18"/>
      <c r="AC771" s="18">
        <v>12</v>
      </c>
      <c r="AD771" s="28"/>
      <c r="AE771" s="26"/>
      <c r="AF771" s="28"/>
    </row>
    <row r="772" spans="1:32" ht="12.6" customHeight="1" x14ac:dyDescent="0.25">
      <c r="A772" s="14">
        <v>45738</v>
      </c>
      <c r="B772" s="14" t="s">
        <v>46</v>
      </c>
      <c r="C772" s="15">
        <v>2</v>
      </c>
      <c r="D772" s="16"/>
      <c r="E772" s="16"/>
      <c r="F772" s="17"/>
      <c r="G772" s="21"/>
      <c r="H772" s="21"/>
      <c r="I772" s="4">
        <v>0</v>
      </c>
      <c r="J772" s="4">
        <v>0</v>
      </c>
      <c r="K772" s="4"/>
      <c r="L772" s="16"/>
      <c r="M772" s="4"/>
      <c r="N772" s="4"/>
      <c r="O772" s="4"/>
      <c r="P772" s="4"/>
      <c r="Q772" s="4"/>
      <c r="R772" s="4"/>
      <c r="S772" s="4">
        <v>0</v>
      </c>
      <c r="T772" s="4">
        <v>0</v>
      </c>
      <c r="U772" s="4">
        <v>0</v>
      </c>
      <c r="V772" s="4">
        <v>12</v>
      </c>
      <c r="W772" s="4">
        <v>12</v>
      </c>
      <c r="X772" s="4">
        <v>0</v>
      </c>
      <c r="Y772" s="4"/>
      <c r="Z772" s="4">
        <v>131.49</v>
      </c>
      <c r="AA772" s="4">
        <v>150</v>
      </c>
      <c r="AB772" s="18"/>
      <c r="AC772" s="18">
        <v>12</v>
      </c>
      <c r="AD772" s="28"/>
      <c r="AE772" s="26"/>
      <c r="AF772" s="28"/>
    </row>
    <row r="773" spans="1:32" ht="12.6" customHeight="1" x14ac:dyDescent="0.25">
      <c r="A773" s="14">
        <v>45738</v>
      </c>
      <c r="B773" s="14" t="s">
        <v>45</v>
      </c>
      <c r="C773" s="15">
        <v>3</v>
      </c>
      <c r="D773" s="16">
        <v>40</v>
      </c>
      <c r="E773" s="16"/>
      <c r="F773" s="17"/>
      <c r="G773" s="21"/>
      <c r="H773" s="21"/>
      <c r="I773" s="4">
        <v>40</v>
      </c>
      <c r="J773" s="4">
        <v>0.66666666666666663</v>
      </c>
      <c r="K773" s="4"/>
      <c r="L773" s="16"/>
      <c r="M773" s="4"/>
      <c r="N773" s="4"/>
      <c r="O773" s="4"/>
      <c r="P773" s="4"/>
      <c r="Q773" s="4"/>
      <c r="R773" s="4"/>
      <c r="S773" s="4">
        <v>0</v>
      </c>
      <c r="T773" s="4">
        <v>0</v>
      </c>
      <c r="U773" s="4">
        <v>0.66666666666666663</v>
      </c>
      <c r="V773" s="4">
        <v>11.333333333333334</v>
      </c>
      <c r="W773" s="4">
        <v>12</v>
      </c>
      <c r="X773" s="4">
        <v>0</v>
      </c>
      <c r="Y773" s="4"/>
      <c r="Z773" s="4">
        <v>287.5</v>
      </c>
      <c r="AA773" s="4">
        <v>300</v>
      </c>
      <c r="AB773" s="18"/>
      <c r="AC773" s="18">
        <v>12</v>
      </c>
      <c r="AD773" s="28"/>
      <c r="AE773" s="26"/>
      <c r="AF773" s="28"/>
    </row>
    <row r="774" spans="1:32" ht="12.6" customHeight="1" x14ac:dyDescent="0.25">
      <c r="A774" s="14">
        <v>45738</v>
      </c>
      <c r="B774" s="14" t="s">
        <v>46</v>
      </c>
      <c r="C774" s="15">
        <v>3</v>
      </c>
      <c r="D774" s="16"/>
      <c r="E774" s="16"/>
      <c r="F774" s="17"/>
      <c r="G774" s="21"/>
      <c r="H774" s="21"/>
      <c r="I774" s="4">
        <v>0</v>
      </c>
      <c r="J774" s="4">
        <v>0</v>
      </c>
      <c r="K774" s="4"/>
      <c r="L774" s="16"/>
      <c r="M774" s="4"/>
      <c r="N774" s="4"/>
      <c r="O774" s="4"/>
      <c r="P774" s="4"/>
      <c r="Q774" s="4"/>
      <c r="R774" s="4"/>
      <c r="S774" s="4">
        <v>0</v>
      </c>
      <c r="T774" s="4">
        <v>0</v>
      </c>
      <c r="U774" s="4">
        <v>0</v>
      </c>
      <c r="V774" s="4">
        <v>12</v>
      </c>
      <c r="W774" s="4">
        <v>12</v>
      </c>
      <c r="X774" s="4">
        <v>0</v>
      </c>
      <c r="Y774" s="4"/>
      <c r="Z774" s="4">
        <v>322.46999999999997</v>
      </c>
      <c r="AA774" s="4">
        <v>350</v>
      </c>
      <c r="AB774" s="18"/>
      <c r="AC774" s="18">
        <v>12</v>
      </c>
      <c r="AD774" s="28"/>
      <c r="AE774" s="26"/>
      <c r="AF774" s="28"/>
    </row>
    <row r="775" spans="1:32" ht="12.6" customHeight="1" x14ac:dyDescent="0.25">
      <c r="A775" s="14">
        <v>45738</v>
      </c>
      <c r="B775" s="14" t="s">
        <v>45</v>
      </c>
      <c r="C775" s="15">
        <v>4</v>
      </c>
      <c r="D775" s="16">
        <v>30</v>
      </c>
      <c r="E775" s="16"/>
      <c r="F775" s="17"/>
      <c r="G775" s="21"/>
      <c r="H775" s="21"/>
      <c r="I775" s="4">
        <v>30</v>
      </c>
      <c r="J775" s="4">
        <v>0.5</v>
      </c>
      <c r="K775" s="4"/>
      <c r="L775" s="16"/>
      <c r="M775" s="4"/>
      <c r="N775" s="4"/>
      <c r="O775" s="4"/>
      <c r="P775" s="4"/>
      <c r="Q775" s="4"/>
      <c r="R775" s="4"/>
      <c r="S775" s="4">
        <v>0</v>
      </c>
      <c r="T775" s="4">
        <v>0</v>
      </c>
      <c r="U775" s="4">
        <v>0.5</v>
      </c>
      <c r="V775" s="4">
        <v>11.5</v>
      </c>
      <c r="W775" s="4">
        <v>12</v>
      </c>
      <c r="X775" s="4">
        <v>0</v>
      </c>
      <c r="Y775" s="4"/>
      <c r="Z775" s="4">
        <v>750.58999999999992</v>
      </c>
      <c r="AA775" s="4">
        <v>750</v>
      </c>
      <c r="AB775" s="18"/>
      <c r="AC775" s="18">
        <v>12</v>
      </c>
      <c r="AD775" s="28"/>
      <c r="AE775" s="26"/>
      <c r="AF775" s="28"/>
    </row>
    <row r="776" spans="1:32" ht="12.6" customHeight="1" x14ac:dyDescent="0.25">
      <c r="A776" s="14">
        <v>45738</v>
      </c>
      <c r="B776" s="14" t="s">
        <v>46</v>
      </c>
      <c r="C776" s="15">
        <v>4</v>
      </c>
      <c r="D776" s="16"/>
      <c r="E776" s="16"/>
      <c r="F776" s="17"/>
      <c r="G776" s="21"/>
      <c r="H776" s="21"/>
      <c r="I776" s="4">
        <v>0</v>
      </c>
      <c r="J776" s="4">
        <v>0</v>
      </c>
      <c r="K776" s="4"/>
      <c r="L776" s="16"/>
      <c r="M776" s="4"/>
      <c r="N776" s="4"/>
      <c r="O776" s="4"/>
      <c r="P776" s="4"/>
      <c r="Q776" s="4"/>
      <c r="R776" s="4"/>
      <c r="S776" s="4">
        <v>0</v>
      </c>
      <c r="T776" s="4">
        <v>0</v>
      </c>
      <c r="U776" s="4">
        <v>0</v>
      </c>
      <c r="V776" s="4">
        <v>12</v>
      </c>
      <c r="W776" s="4">
        <v>12</v>
      </c>
      <c r="X776" s="4">
        <v>0</v>
      </c>
      <c r="Y776" s="4"/>
      <c r="Z776" s="4">
        <v>784.94</v>
      </c>
      <c r="AA776" s="4">
        <v>800</v>
      </c>
      <c r="AB776" s="18"/>
      <c r="AC776" s="18">
        <v>12</v>
      </c>
      <c r="AD776" s="28"/>
      <c r="AE776" s="26"/>
      <c r="AF776" s="28"/>
    </row>
    <row r="777" spans="1:32" ht="12.6" customHeight="1" x14ac:dyDescent="0.25">
      <c r="A777" s="14">
        <v>45738</v>
      </c>
      <c r="B777" s="14" t="s">
        <v>45</v>
      </c>
      <c r="C777" s="15">
        <v>5</v>
      </c>
      <c r="D777" s="16"/>
      <c r="E777" s="16"/>
      <c r="F777" s="17"/>
      <c r="G777" s="21"/>
      <c r="H777" s="21"/>
      <c r="I777" s="4">
        <v>0</v>
      </c>
      <c r="J777" s="4">
        <v>0</v>
      </c>
      <c r="K777" s="4"/>
      <c r="L777" s="16"/>
      <c r="M777" s="4"/>
      <c r="N777" s="4"/>
      <c r="O777" s="4"/>
      <c r="P777" s="4"/>
      <c r="Q777" s="4"/>
      <c r="R777" s="4"/>
      <c r="S777" s="4">
        <v>0</v>
      </c>
      <c r="T777" s="4">
        <v>0</v>
      </c>
      <c r="U777" s="4">
        <v>0</v>
      </c>
      <c r="V777" s="4">
        <v>12</v>
      </c>
      <c r="W777" s="4">
        <v>12</v>
      </c>
      <c r="X777" s="4">
        <v>0</v>
      </c>
      <c r="Y777" s="4"/>
      <c r="Z777" s="4">
        <v>463.10999999999996</v>
      </c>
      <c r="AA777" s="4">
        <v>500</v>
      </c>
      <c r="AB777" s="18"/>
      <c r="AC777" s="18">
        <v>12</v>
      </c>
      <c r="AD777" s="28"/>
      <c r="AE777" s="26"/>
      <c r="AF777" s="28"/>
    </row>
    <row r="778" spans="1:32" ht="12.6" customHeight="1" x14ac:dyDescent="0.25">
      <c r="A778" s="14">
        <v>45738</v>
      </c>
      <c r="B778" s="14" t="s">
        <v>46</v>
      </c>
      <c r="C778" s="15">
        <v>5</v>
      </c>
      <c r="D778" s="16"/>
      <c r="E778" s="16"/>
      <c r="F778" s="17"/>
      <c r="G778" s="21"/>
      <c r="H778" s="21"/>
      <c r="I778" s="4">
        <v>0</v>
      </c>
      <c r="J778" s="4">
        <v>0</v>
      </c>
      <c r="K778" s="4"/>
      <c r="L778" s="16"/>
      <c r="M778" s="4"/>
      <c r="N778" s="4"/>
      <c r="O778" s="4"/>
      <c r="P778" s="4"/>
      <c r="Q778" s="4"/>
      <c r="R778" s="4"/>
      <c r="S778" s="4">
        <v>0</v>
      </c>
      <c r="T778" s="4">
        <v>0</v>
      </c>
      <c r="U778" s="4">
        <v>0</v>
      </c>
      <c r="V778" s="4">
        <v>12</v>
      </c>
      <c r="W778" s="4">
        <v>12</v>
      </c>
      <c r="X778" s="4">
        <v>0</v>
      </c>
      <c r="Y778" s="4"/>
      <c r="Z778" s="4">
        <v>507.97</v>
      </c>
      <c r="AA778" s="4">
        <v>500</v>
      </c>
      <c r="AB778" s="18"/>
      <c r="AC778" s="18">
        <v>12</v>
      </c>
      <c r="AD778" s="28"/>
      <c r="AE778" s="26"/>
      <c r="AF778" s="28"/>
    </row>
    <row r="779" spans="1:32" ht="12.6" customHeight="1" x14ac:dyDescent="0.25">
      <c r="A779" s="14">
        <v>45739</v>
      </c>
      <c r="B779" s="14" t="s">
        <v>45</v>
      </c>
      <c r="C779" s="15">
        <v>1</v>
      </c>
      <c r="D779" s="16"/>
      <c r="E779" s="16"/>
      <c r="F779" s="17"/>
      <c r="G779" s="21"/>
      <c r="H779" s="21"/>
      <c r="I779" s="4">
        <v>0</v>
      </c>
      <c r="J779" s="4">
        <v>0</v>
      </c>
      <c r="K779" s="4"/>
      <c r="L779" s="16"/>
      <c r="M779" s="4"/>
      <c r="N779" s="4"/>
      <c r="O779" s="4"/>
      <c r="P779" s="4"/>
      <c r="Q779" s="4"/>
      <c r="R779" s="4"/>
      <c r="S779" s="4">
        <v>0</v>
      </c>
      <c r="T779" s="4">
        <v>0</v>
      </c>
      <c r="U779" s="4">
        <v>0</v>
      </c>
      <c r="V779" s="4">
        <v>12</v>
      </c>
      <c r="W779" s="4">
        <v>12</v>
      </c>
      <c r="X779" s="4">
        <v>25</v>
      </c>
      <c r="Y779" s="4">
        <v>1910</v>
      </c>
      <c r="Z779" s="4">
        <v>160.14000000000001</v>
      </c>
      <c r="AA779" s="4">
        <v>150</v>
      </c>
      <c r="AB779" s="18">
        <v>398</v>
      </c>
      <c r="AC779" s="18">
        <v>12</v>
      </c>
      <c r="AD779" s="28"/>
      <c r="AE779" s="26"/>
      <c r="AF779" s="28"/>
    </row>
    <row r="780" spans="1:32" ht="12.6" customHeight="1" x14ac:dyDescent="0.25">
      <c r="A780" s="14">
        <v>45739</v>
      </c>
      <c r="B780" s="14" t="s">
        <v>46</v>
      </c>
      <c r="C780" s="15">
        <v>1</v>
      </c>
      <c r="D780" s="16"/>
      <c r="E780" s="16"/>
      <c r="F780" s="17"/>
      <c r="G780" s="21"/>
      <c r="H780" s="21"/>
      <c r="I780" s="4">
        <v>0</v>
      </c>
      <c r="J780" s="4">
        <v>0</v>
      </c>
      <c r="K780" s="4"/>
      <c r="L780" s="16"/>
      <c r="M780" s="4"/>
      <c r="N780" s="4"/>
      <c r="O780" s="4"/>
      <c r="P780" s="4"/>
      <c r="Q780" s="4"/>
      <c r="R780" s="4"/>
      <c r="S780" s="4">
        <v>0</v>
      </c>
      <c r="T780" s="4">
        <v>0</v>
      </c>
      <c r="U780" s="4">
        <v>0</v>
      </c>
      <c r="V780" s="4">
        <v>12</v>
      </c>
      <c r="W780" s="4">
        <v>12</v>
      </c>
      <c r="X780" s="4">
        <v>12</v>
      </c>
      <c r="Y780" s="4"/>
      <c r="Z780" s="4">
        <v>187.68</v>
      </c>
      <c r="AA780" s="4">
        <v>200</v>
      </c>
      <c r="AB780" s="18"/>
      <c r="AC780" s="18">
        <v>12</v>
      </c>
      <c r="AD780" s="28"/>
      <c r="AE780" s="26"/>
      <c r="AF780" s="28"/>
    </row>
    <row r="781" spans="1:32" ht="12.6" customHeight="1" x14ac:dyDescent="0.25">
      <c r="A781" s="14">
        <v>45739</v>
      </c>
      <c r="B781" s="14" t="s">
        <v>45</v>
      </c>
      <c r="C781" s="15">
        <v>2</v>
      </c>
      <c r="D781" s="16"/>
      <c r="E781" s="16"/>
      <c r="F781" s="17"/>
      <c r="G781" s="21"/>
      <c r="H781" s="21"/>
      <c r="I781" s="4">
        <v>0</v>
      </c>
      <c r="J781" s="4">
        <v>0</v>
      </c>
      <c r="K781" s="4"/>
      <c r="L781" s="16"/>
      <c r="M781" s="4"/>
      <c r="N781" s="4"/>
      <c r="O781" s="4"/>
      <c r="P781" s="4"/>
      <c r="Q781" s="4"/>
      <c r="R781" s="4"/>
      <c r="S781" s="4">
        <v>0</v>
      </c>
      <c r="T781" s="4">
        <v>0</v>
      </c>
      <c r="U781" s="4">
        <v>0</v>
      </c>
      <c r="V781" s="4">
        <v>12</v>
      </c>
      <c r="W781" s="4">
        <v>12</v>
      </c>
      <c r="X781" s="4">
        <v>0</v>
      </c>
      <c r="Y781" s="4"/>
      <c r="Z781" s="4">
        <v>130.83999999999997</v>
      </c>
      <c r="AA781" s="4">
        <v>150</v>
      </c>
      <c r="AB781" s="18"/>
      <c r="AC781" s="18">
        <v>12</v>
      </c>
      <c r="AD781" s="28"/>
      <c r="AE781" s="26"/>
      <c r="AF781" s="28"/>
    </row>
    <row r="782" spans="1:32" ht="12.6" customHeight="1" x14ac:dyDescent="0.25">
      <c r="A782" s="14">
        <v>45739</v>
      </c>
      <c r="B782" s="14" t="s">
        <v>46</v>
      </c>
      <c r="C782" s="15">
        <v>2</v>
      </c>
      <c r="D782" s="16"/>
      <c r="E782" s="16"/>
      <c r="F782" s="17"/>
      <c r="G782" s="21"/>
      <c r="H782" s="21"/>
      <c r="I782" s="4">
        <v>0</v>
      </c>
      <c r="J782" s="4">
        <v>0</v>
      </c>
      <c r="K782" s="4"/>
      <c r="L782" s="16"/>
      <c r="M782" s="4"/>
      <c r="N782" s="4"/>
      <c r="O782" s="4"/>
      <c r="P782" s="4"/>
      <c r="Q782" s="4"/>
      <c r="R782" s="4"/>
      <c r="S782" s="4">
        <v>0</v>
      </c>
      <c r="T782" s="4">
        <v>0</v>
      </c>
      <c r="U782" s="4">
        <v>0</v>
      </c>
      <c r="V782" s="4">
        <v>12</v>
      </c>
      <c r="W782" s="4">
        <v>12</v>
      </c>
      <c r="X782" s="4">
        <v>0</v>
      </c>
      <c r="Y782" s="4"/>
      <c r="Z782" s="4">
        <v>128.07</v>
      </c>
      <c r="AA782" s="4">
        <v>150</v>
      </c>
      <c r="AB782" s="18"/>
      <c r="AC782" s="18">
        <v>12</v>
      </c>
      <c r="AD782" s="28"/>
      <c r="AE782" s="26"/>
      <c r="AF782" s="28"/>
    </row>
    <row r="783" spans="1:32" ht="12.6" customHeight="1" x14ac:dyDescent="0.25">
      <c r="A783" s="14">
        <v>45739</v>
      </c>
      <c r="B783" s="14" t="s">
        <v>45</v>
      </c>
      <c r="C783" s="15">
        <v>3</v>
      </c>
      <c r="D783" s="16">
        <v>15</v>
      </c>
      <c r="E783" s="16"/>
      <c r="F783" s="17"/>
      <c r="G783" s="21"/>
      <c r="H783" s="21"/>
      <c r="I783" s="4">
        <v>15</v>
      </c>
      <c r="J783" s="4">
        <v>0.25</v>
      </c>
      <c r="K783" s="4"/>
      <c r="L783" s="16"/>
      <c r="M783" s="4"/>
      <c r="N783" s="4"/>
      <c r="O783" s="4"/>
      <c r="P783" s="4"/>
      <c r="Q783" s="4"/>
      <c r="R783" s="4"/>
      <c r="S783" s="4">
        <v>0</v>
      </c>
      <c r="T783" s="4">
        <v>0</v>
      </c>
      <c r="U783" s="4">
        <v>0.25</v>
      </c>
      <c r="V783" s="4">
        <v>11.75</v>
      </c>
      <c r="W783" s="4">
        <v>12</v>
      </c>
      <c r="X783" s="4">
        <v>0</v>
      </c>
      <c r="Y783" s="4"/>
      <c r="Z783" s="4">
        <v>300.13</v>
      </c>
      <c r="AA783" s="4">
        <v>300</v>
      </c>
      <c r="AB783" s="18"/>
      <c r="AC783" s="18">
        <v>12</v>
      </c>
      <c r="AD783" s="28"/>
      <c r="AE783" s="26"/>
      <c r="AF783" s="28"/>
    </row>
    <row r="784" spans="1:32" ht="12.6" customHeight="1" x14ac:dyDescent="0.25">
      <c r="A784" s="14">
        <v>45739</v>
      </c>
      <c r="B784" s="14" t="s">
        <v>46</v>
      </c>
      <c r="C784" s="15">
        <v>3</v>
      </c>
      <c r="D784" s="16"/>
      <c r="E784" s="16"/>
      <c r="F784" s="17"/>
      <c r="G784" s="21"/>
      <c r="H784" s="21"/>
      <c r="I784" s="4">
        <v>0</v>
      </c>
      <c r="J784" s="4">
        <v>0</v>
      </c>
      <c r="K784" s="4"/>
      <c r="L784" s="16"/>
      <c r="M784" s="4"/>
      <c r="N784" s="4"/>
      <c r="O784" s="4"/>
      <c r="P784" s="4"/>
      <c r="Q784" s="4"/>
      <c r="R784" s="4"/>
      <c r="S784" s="4">
        <v>0</v>
      </c>
      <c r="T784" s="4">
        <v>0</v>
      </c>
      <c r="U784" s="4">
        <v>0</v>
      </c>
      <c r="V784" s="4">
        <v>12</v>
      </c>
      <c r="W784" s="4">
        <v>12</v>
      </c>
      <c r="X784" s="4">
        <v>0</v>
      </c>
      <c r="Y784" s="4"/>
      <c r="Z784" s="4">
        <v>244.83999999999997</v>
      </c>
      <c r="AA784" s="4">
        <v>250</v>
      </c>
      <c r="AB784" s="18"/>
      <c r="AC784" s="18">
        <v>12</v>
      </c>
      <c r="AD784" s="28"/>
      <c r="AE784" s="26"/>
      <c r="AF784" s="28"/>
    </row>
    <row r="785" spans="1:32" ht="12.6" customHeight="1" x14ac:dyDescent="0.25">
      <c r="A785" s="14">
        <v>45739</v>
      </c>
      <c r="B785" s="14" t="s">
        <v>45</v>
      </c>
      <c r="C785" s="15">
        <v>4</v>
      </c>
      <c r="D785" s="16"/>
      <c r="E785" s="16"/>
      <c r="F785" s="17"/>
      <c r="G785" s="21"/>
      <c r="H785" s="21"/>
      <c r="I785" s="4">
        <v>0</v>
      </c>
      <c r="J785" s="4">
        <v>0</v>
      </c>
      <c r="K785" s="4"/>
      <c r="L785" s="16"/>
      <c r="M785" s="4"/>
      <c r="N785" s="4"/>
      <c r="O785" s="4"/>
      <c r="P785" s="4"/>
      <c r="Q785" s="4"/>
      <c r="R785" s="4"/>
      <c r="S785" s="4">
        <v>0</v>
      </c>
      <c r="T785" s="4">
        <v>0</v>
      </c>
      <c r="U785" s="4">
        <v>0</v>
      </c>
      <c r="V785" s="4">
        <v>12</v>
      </c>
      <c r="W785" s="4">
        <v>12</v>
      </c>
      <c r="X785" s="4">
        <v>0</v>
      </c>
      <c r="Y785" s="4"/>
      <c r="Z785" s="4">
        <v>728.56000000000006</v>
      </c>
      <c r="AA785" s="4">
        <v>700</v>
      </c>
      <c r="AB785" s="18"/>
      <c r="AC785" s="18">
        <v>12</v>
      </c>
      <c r="AD785" s="28"/>
      <c r="AE785" s="26"/>
      <c r="AF785" s="28"/>
    </row>
    <row r="786" spans="1:32" ht="12.6" customHeight="1" x14ac:dyDescent="0.25">
      <c r="A786" s="14">
        <v>45739</v>
      </c>
      <c r="B786" s="14" t="s">
        <v>46</v>
      </c>
      <c r="C786" s="15">
        <v>4</v>
      </c>
      <c r="D786" s="16"/>
      <c r="E786" s="16"/>
      <c r="F786" s="17"/>
      <c r="G786" s="21"/>
      <c r="H786" s="21"/>
      <c r="I786" s="4">
        <v>0</v>
      </c>
      <c r="J786" s="4">
        <v>0</v>
      </c>
      <c r="K786" s="4"/>
      <c r="L786" s="16"/>
      <c r="M786" s="4"/>
      <c r="N786" s="4"/>
      <c r="O786" s="4"/>
      <c r="P786" s="4"/>
      <c r="Q786" s="4"/>
      <c r="R786" s="4"/>
      <c r="S786" s="4">
        <v>0</v>
      </c>
      <c r="T786" s="4">
        <v>0</v>
      </c>
      <c r="U786" s="4">
        <v>0</v>
      </c>
      <c r="V786" s="4">
        <v>12</v>
      </c>
      <c r="W786" s="4">
        <v>12</v>
      </c>
      <c r="X786" s="4">
        <v>0</v>
      </c>
      <c r="Y786" s="4"/>
      <c r="Z786" s="4">
        <v>815.73</v>
      </c>
      <c r="AA786" s="4">
        <v>800</v>
      </c>
      <c r="AB786" s="18"/>
      <c r="AC786" s="18">
        <v>12</v>
      </c>
      <c r="AD786" s="28"/>
      <c r="AE786" s="26"/>
      <c r="AF786" s="28"/>
    </row>
    <row r="787" spans="1:32" ht="12.6" customHeight="1" x14ac:dyDescent="0.25">
      <c r="A787" s="14">
        <v>45739</v>
      </c>
      <c r="B787" s="14" t="s">
        <v>45</v>
      </c>
      <c r="C787" s="15">
        <v>5</v>
      </c>
      <c r="D787" s="16"/>
      <c r="E787" s="16"/>
      <c r="F787" s="17"/>
      <c r="G787" s="21"/>
      <c r="H787" s="21"/>
      <c r="I787" s="4">
        <v>0</v>
      </c>
      <c r="J787" s="4">
        <v>0</v>
      </c>
      <c r="K787" s="4"/>
      <c r="L787" s="16"/>
      <c r="M787" s="4"/>
      <c r="N787" s="4"/>
      <c r="O787" s="4"/>
      <c r="P787" s="4"/>
      <c r="Q787" s="4"/>
      <c r="R787" s="4"/>
      <c r="S787" s="4">
        <v>0</v>
      </c>
      <c r="T787" s="4">
        <v>0</v>
      </c>
      <c r="U787" s="4">
        <v>0</v>
      </c>
      <c r="V787" s="4">
        <v>12</v>
      </c>
      <c r="W787" s="4">
        <v>12</v>
      </c>
      <c r="X787" s="4">
        <v>0</v>
      </c>
      <c r="Y787" s="4"/>
      <c r="Z787" s="4">
        <v>485.14000000000004</v>
      </c>
      <c r="AA787" s="4">
        <v>500</v>
      </c>
      <c r="AB787" s="18"/>
      <c r="AC787" s="18">
        <v>12</v>
      </c>
      <c r="AD787" s="28"/>
      <c r="AE787" s="26"/>
      <c r="AF787" s="28"/>
    </row>
    <row r="788" spans="1:32" ht="12.6" customHeight="1" x14ac:dyDescent="0.25">
      <c r="A788" s="14">
        <v>45739</v>
      </c>
      <c r="B788" s="14" t="s">
        <v>46</v>
      </c>
      <c r="C788" s="15">
        <v>5</v>
      </c>
      <c r="D788" s="16"/>
      <c r="E788" s="16"/>
      <c r="F788" s="17"/>
      <c r="G788" s="21"/>
      <c r="H788" s="21"/>
      <c r="I788" s="4">
        <v>0</v>
      </c>
      <c r="J788" s="4">
        <v>0</v>
      </c>
      <c r="K788" s="4"/>
      <c r="L788" s="16"/>
      <c r="M788" s="4"/>
      <c r="N788" s="4"/>
      <c r="O788" s="4"/>
      <c r="P788" s="4"/>
      <c r="Q788" s="4"/>
      <c r="R788" s="4"/>
      <c r="S788" s="4">
        <v>0</v>
      </c>
      <c r="T788" s="4">
        <v>0</v>
      </c>
      <c r="U788" s="4">
        <v>0</v>
      </c>
      <c r="V788" s="4">
        <v>12</v>
      </c>
      <c r="W788" s="4">
        <v>12</v>
      </c>
      <c r="X788" s="4">
        <v>0</v>
      </c>
      <c r="Y788" s="4"/>
      <c r="Z788" s="4">
        <v>483.11</v>
      </c>
      <c r="AA788" s="4">
        <v>500</v>
      </c>
      <c r="AB788" s="18"/>
      <c r="AC788" s="18">
        <v>12</v>
      </c>
      <c r="AD788" s="28"/>
      <c r="AE788" s="26"/>
      <c r="AF788" s="28"/>
    </row>
    <row r="789" spans="1:32" ht="12.6" customHeight="1" x14ac:dyDescent="0.25">
      <c r="A789" s="14">
        <v>45740</v>
      </c>
      <c r="B789" s="14" t="s">
        <v>45</v>
      </c>
      <c r="C789" s="15">
        <v>1</v>
      </c>
      <c r="D789" s="16">
        <v>20</v>
      </c>
      <c r="E789" s="16"/>
      <c r="F789" s="17"/>
      <c r="G789" s="21"/>
      <c r="H789" s="21"/>
      <c r="I789" s="4">
        <v>20</v>
      </c>
      <c r="J789" s="4">
        <v>0.33333333333333331</v>
      </c>
      <c r="K789" s="4"/>
      <c r="L789" s="16"/>
      <c r="M789" s="4"/>
      <c r="N789" s="4"/>
      <c r="O789" s="4"/>
      <c r="P789" s="4"/>
      <c r="Q789" s="4"/>
      <c r="R789" s="4"/>
      <c r="S789" s="4">
        <v>0</v>
      </c>
      <c r="T789" s="4">
        <v>0</v>
      </c>
      <c r="U789" s="4">
        <v>0.33333333333333331</v>
      </c>
      <c r="V789" s="4">
        <v>11.666666666666666</v>
      </c>
      <c r="W789" s="4">
        <v>12</v>
      </c>
      <c r="X789" s="4">
        <v>25</v>
      </c>
      <c r="Y789" s="4">
        <v>1808</v>
      </c>
      <c r="Z789" s="4">
        <v>149.63</v>
      </c>
      <c r="AA789" s="4">
        <v>150</v>
      </c>
      <c r="AB789" s="18">
        <v>398</v>
      </c>
      <c r="AC789" s="18">
        <v>13</v>
      </c>
      <c r="AD789" s="28"/>
      <c r="AE789" s="26"/>
      <c r="AF789" s="28"/>
    </row>
    <row r="790" spans="1:32" ht="12.6" customHeight="1" x14ac:dyDescent="0.25">
      <c r="A790" s="14">
        <v>45740</v>
      </c>
      <c r="B790" s="14" t="s">
        <v>46</v>
      </c>
      <c r="C790" s="15">
        <v>1</v>
      </c>
      <c r="D790" s="16"/>
      <c r="E790" s="16"/>
      <c r="F790" s="17"/>
      <c r="G790" s="21"/>
      <c r="H790" s="21"/>
      <c r="I790" s="4">
        <v>0</v>
      </c>
      <c r="J790" s="4">
        <v>0</v>
      </c>
      <c r="K790" s="4"/>
      <c r="L790" s="16"/>
      <c r="M790" s="4"/>
      <c r="N790" s="4"/>
      <c r="O790" s="4"/>
      <c r="P790" s="4"/>
      <c r="Q790" s="4"/>
      <c r="R790" s="4"/>
      <c r="S790" s="4">
        <v>0</v>
      </c>
      <c r="T790" s="4">
        <v>0</v>
      </c>
      <c r="U790" s="4">
        <v>0</v>
      </c>
      <c r="V790" s="4">
        <v>12</v>
      </c>
      <c r="W790" s="4">
        <v>12</v>
      </c>
      <c r="X790" s="4">
        <v>14</v>
      </c>
      <c r="Y790" s="4"/>
      <c r="Z790" s="4">
        <v>109.19</v>
      </c>
      <c r="AA790" s="4">
        <v>100</v>
      </c>
      <c r="AB790" s="18"/>
      <c r="AC790" s="18">
        <v>13</v>
      </c>
      <c r="AD790" s="28"/>
      <c r="AE790" s="26"/>
      <c r="AF790" s="28"/>
    </row>
    <row r="791" spans="1:32" ht="12.6" customHeight="1" x14ac:dyDescent="0.25">
      <c r="A791" s="14">
        <v>45740</v>
      </c>
      <c r="B791" s="14" t="s">
        <v>45</v>
      </c>
      <c r="C791" s="15">
        <v>2</v>
      </c>
      <c r="D791" s="16">
        <v>20</v>
      </c>
      <c r="E791" s="16"/>
      <c r="F791" s="17"/>
      <c r="G791" s="21"/>
      <c r="H791" s="21"/>
      <c r="I791" s="4">
        <v>20</v>
      </c>
      <c r="J791" s="4">
        <v>0.33333333333333331</v>
      </c>
      <c r="K791" s="4"/>
      <c r="L791" s="16"/>
      <c r="M791" s="4"/>
      <c r="N791" s="4"/>
      <c r="O791" s="4"/>
      <c r="P791" s="4"/>
      <c r="Q791" s="4"/>
      <c r="R791" s="4"/>
      <c r="S791" s="4">
        <v>0</v>
      </c>
      <c r="T791" s="4">
        <v>0</v>
      </c>
      <c r="U791" s="4">
        <v>0.33333333333333331</v>
      </c>
      <c r="V791" s="4">
        <v>11.666666666666666</v>
      </c>
      <c r="W791" s="4">
        <v>12</v>
      </c>
      <c r="X791" s="4">
        <v>0</v>
      </c>
      <c r="Y791" s="4"/>
      <c r="Z791" s="4">
        <v>122.59999999999998</v>
      </c>
      <c r="AA791" s="4">
        <v>150</v>
      </c>
      <c r="AB791" s="18"/>
      <c r="AC791" s="18">
        <v>13</v>
      </c>
      <c r="AD791" s="28"/>
      <c r="AE791" s="26"/>
      <c r="AF791" s="28"/>
    </row>
    <row r="792" spans="1:32" ht="12.6" customHeight="1" x14ac:dyDescent="0.25">
      <c r="A792" s="14">
        <v>45740</v>
      </c>
      <c r="B792" s="14" t="s">
        <v>46</v>
      </c>
      <c r="C792" s="15">
        <v>2</v>
      </c>
      <c r="D792" s="16"/>
      <c r="E792" s="16"/>
      <c r="F792" s="17"/>
      <c r="G792" s="21"/>
      <c r="H792" s="21"/>
      <c r="I792" s="4">
        <v>0</v>
      </c>
      <c r="J792" s="4">
        <v>0</v>
      </c>
      <c r="K792" s="4"/>
      <c r="L792" s="16"/>
      <c r="M792" s="4"/>
      <c r="N792" s="4"/>
      <c r="O792" s="4"/>
      <c r="P792" s="4"/>
      <c r="Q792" s="4"/>
      <c r="R792" s="4"/>
      <c r="S792" s="4">
        <v>0</v>
      </c>
      <c r="T792" s="4">
        <v>0</v>
      </c>
      <c r="U792" s="4">
        <v>0</v>
      </c>
      <c r="V792" s="4">
        <v>12</v>
      </c>
      <c r="W792" s="4">
        <v>12</v>
      </c>
      <c r="X792" s="4">
        <v>0</v>
      </c>
      <c r="Y792" s="4"/>
      <c r="Z792" s="4">
        <v>113.16999999999999</v>
      </c>
      <c r="AA792" s="4">
        <v>100</v>
      </c>
      <c r="AB792" s="18"/>
      <c r="AC792" s="18">
        <v>13</v>
      </c>
      <c r="AD792" s="28"/>
      <c r="AE792" s="26"/>
      <c r="AF792" s="28"/>
    </row>
    <row r="793" spans="1:32" ht="12.6" customHeight="1" x14ac:dyDescent="0.25">
      <c r="A793" s="14">
        <v>45740</v>
      </c>
      <c r="B793" s="14" t="s">
        <v>45</v>
      </c>
      <c r="C793" s="15">
        <v>3</v>
      </c>
      <c r="D793" s="16"/>
      <c r="E793" s="16"/>
      <c r="F793" s="17"/>
      <c r="G793" s="21"/>
      <c r="H793" s="21"/>
      <c r="I793" s="4">
        <v>0</v>
      </c>
      <c r="J793" s="4">
        <v>0</v>
      </c>
      <c r="K793" s="4"/>
      <c r="L793" s="16"/>
      <c r="M793" s="4"/>
      <c r="N793" s="4"/>
      <c r="O793" s="4"/>
      <c r="P793" s="4"/>
      <c r="Q793" s="4"/>
      <c r="R793" s="4"/>
      <c r="S793" s="4">
        <v>0</v>
      </c>
      <c r="T793" s="4">
        <v>0</v>
      </c>
      <c r="U793" s="4">
        <v>0</v>
      </c>
      <c r="V793" s="4">
        <v>12</v>
      </c>
      <c r="W793" s="4">
        <v>12</v>
      </c>
      <c r="X793" s="4">
        <v>0</v>
      </c>
      <c r="Y793" s="4"/>
      <c r="Z793" s="4">
        <v>235.77999999999997</v>
      </c>
      <c r="AA793" s="4">
        <v>250</v>
      </c>
      <c r="AB793" s="18"/>
      <c r="AC793" s="18">
        <v>13</v>
      </c>
      <c r="AD793" s="28"/>
      <c r="AE793" s="26"/>
      <c r="AF793" s="28"/>
    </row>
    <row r="794" spans="1:32" ht="12.6" customHeight="1" x14ac:dyDescent="0.25">
      <c r="A794" s="14">
        <v>45740</v>
      </c>
      <c r="B794" s="14" t="s">
        <v>46</v>
      </c>
      <c r="C794" s="15">
        <v>3</v>
      </c>
      <c r="D794" s="16"/>
      <c r="E794" s="16"/>
      <c r="F794" s="17"/>
      <c r="G794" s="21"/>
      <c r="H794" s="21"/>
      <c r="I794" s="4">
        <v>0</v>
      </c>
      <c r="J794" s="4">
        <v>0</v>
      </c>
      <c r="K794" s="4"/>
      <c r="L794" s="16"/>
      <c r="M794" s="4"/>
      <c r="N794" s="4"/>
      <c r="O794" s="4"/>
      <c r="P794" s="4"/>
      <c r="Q794" s="4"/>
      <c r="R794" s="4"/>
      <c r="S794" s="4">
        <v>0</v>
      </c>
      <c r="T794" s="4">
        <v>0</v>
      </c>
      <c r="U794" s="4">
        <v>0</v>
      </c>
      <c r="V794" s="4">
        <v>12</v>
      </c>
      <c r="W794" s="4">
        <v>12</v>
      </c>
      <c r="X794" s="4">
        <v>0</v>
      </c>
      <c r="Y794" s="4"/>
      <c r="Z794" s="4">
        <v>216.73999999999998</v>
      </c>
      <c r="AA794" s="4">
        <v>200</v>
      </c>
      <c r="AB794" s="18"/>
      <c r="AC794" s="18">
        <v>13</v>
      </c>
      <c r="AD794" s="28"/>
      <c r="AE794" s="26"/>
      <c r="AF794" s="28"/>
    </row>
    <row r="795" spans="1:32" ht="12.6" customHeight="1" x14ac:dyDescent="0.25">
      <c r="A795" s="14">
        <v>45740</v>
      </c>
      <c r="B795" s="14" t="s">
        <v>45</v>
      </c>
      <c r="C795" s="15">
        <v>4</v>
      </c>
      <c r="D795" s="16"/>
      <c r="E795" s="16"/>
      <c r="F795" s="17"/>
      <c r="G795" s="21"/>
      <c r="H795" s="21"/>
      <c r="I795" s="4">
        <v>0</v>
      </c>
      <c r="J795" s="4">
        <v>0</v>
      </c>
      <c r="K795" s="4"/>
      <c r="L795" s="16"/>
      <c r="M795" s="4"/>
      <c r="N795" s="4"/>
      <c r="O795" s="4"/>
      <c r="P795" s="4"/>
      <c r="Q795" s="4"/>
      <c r="R795" s="4"/>
      <c r="S795" s="4">
        <v>0</v>
      </c>
      <c r="T795" s="4">
        <v>0</v>
      </c>
      <c r="U795" s="4">
        <v>0</v>
      </c>
      <c r="V795" s="4">
        <v>12</v>
      </c>
      <c r="W795" s="4">
        <v>12</v>
      </c>
      <c r="X795" s="4">
        <v>0</v>
      </c>
      <c r="Y795" s="4"/>
      <c r="Z795" s="4">
        <v>716.57999999999993</v>
      </c>
      <c r="AA795" s="4">
        <v>700</v>
      </c>
      <c r="AB795" s="18"/>
      <c r="AC795" s="18">
        <v>13</v>
      </c>
      <c r="AD795" s="28"/>
      <c r="AE795" s="26"/>
      <c r="AF795" s="28"/>
    </row>
    <row r="796" spans="1:32" ht="12.6" customHeight="1" x14ac:dyDescent="0.25">
      <c r="A796" s="14">
        <v>45740</v>
      </c>
      <c r="B796" s="14" t="s">
        <v>46</v>
      </c>
      <c r="C796" s="15">
        <v>4</v>
      </c>
      <c r="D796" s="16">
        <v>20</v>
      </c>
      <c r="E796" s="16"/>
      <c r="F796" s="17"/>
      <c r="G796" s="21"/>
      <c r="H796" s="21"/>
      <c r="I796" s="4">
        <v>20</v>
      </c>
      <c r="J796" s="4">
        <v>0.33333333333333331</v>
      </c>
      <c r="K796" s="4"/>
      <c r="L796" s="16"/>
      <c r="M796" s="4"/>
      <c r="N796" s="4"/>
      <c r="O796" s="4"/>
      <c r="P796" s="4"/>
      <c r="Q796" s="4"/>
      <c r="R796" s="4"/>
      <c r="S796" s="4">
        <v>0</v>
      </c>
      <c r="T796" s="4">
        <v>0</v>
      </c>
      <c r="U796" s="4">
        <v>0.33333333333333331</v>
      </c>
      <c r="V796" s="4">
        <v>11.666666666666666</v>
      </c>
      <c r="W796" s="4">
        <v>12</v>
      </c>
      <c r="X796" s="4">
        <v>0</v>
      </c>
      <c r="Y796" s="4"/>
      <c r="Z796" s="4">
        <v>782.12</v>
      </c>
      <c r="AA796" s="4">
        <v>800</v>
      </c>
      <c r="AB796" s="18"/>
      <c r="AC796" s="18">
        <v>13</v>
      </c>
      <c r="AD796" s="28"/>
      <c r="AE796" s="26"/>
      <c r="AF796" s="28"/>
    </row>
    <row r="797" spans="1:32" ht="12.6" customHeight="1" x14ac:dyDescent="0.25">
      <c r="A797" s="14">
        <v>45740</v>
      </c>
      <c r="B797" s="14" t="s">
        <v>45</v>
      </c>
      <c r="C797" s="15">
        <v>5</v>
      </c>
      <c r="D797" s="16">
        <v>20</v>
      </c>
      <c r="E797" s="16"/>
      <c r="F797" s="17"/>
      <c r="G797" s="21"/>
      <c r="H797" s="21"/>
      <c r="I797" s="4">
        <v>20</v>
      </c>
      <c r="J797" s="4">
        <v>0.33333333333333331</v>
      </c>
      <c r="K797" s="4"/>
      <c r="L797" s="16"/>
      <c r="M797" s="4"/>
      <c r="N797" s="4"/>
      <c r="O797" s="4"/>
      <c r="P797" s="4"/>
      <c r="Q797" s="4"/>
      <c r="R797" s="4"/>
      <c r="S797" s="4">
        <v>0</v>
      </c>
      <c r="T797" s="4">
        <v>0</v>
      </c>
      <c r="U797" s="4">
        <v>0.33333333333333331</v>
      </c>
      <c r="V797" s="4">
        <v>11.666666666666666</v>
      </c>
      <c r="W797" s="4">
        <v>12</v>
      </c>
      <c r="X797" s="4">
        <v>0</v>
      </c>
      <c r="Y797" s="4"/>
      <c r="Z797" s="4">
        <v>475.75</v>
      </c>
      <c r="AA797" s="4">
        <v>500</v>
      </c>
      <c r="AB797" s="18"/>
      <c r="AC797" s="18">
        <v>13</v>
      </c>
      <c r="AD797" s="28"/>
      <c r="AE797" s="26"/>
      <c r="AF797" s="28"/>
    </row>
    <row r="798" spans="1:32" ht="12.6" customHeight="1" x14ac:dyDescent="0.25">
      <c r="A798" s="14">
        <v>45740</v>
      </c>
      <c r="B798" s="14" t="s">
        <v>46</v>
      </c>
      <c r="C798" s="15">
        <v>5</v>
      </c>
      <c r="D798" s="16"/>
      <c r="E798" s="16"/>
      <c r="F798" s="17"/>
      <c r="G798" s="21"/>
      <c r="H798" s="21"/>
      <c r="I798" s="4">
        <v>0</v>
      </c>
      <c r="J798" s="4">
        <v>0</v>
      </c>
      <c r="K798" s="4"/>
      <c r="L798" s="16"/>
      <c r="M798" s="4"/>
      <c r="N798" s="4"/>
      <c r="O798" s="4"/>
      <c r="P798" s="4"/>
      <c r="Q798" s="4"/>
      <c r="R798" s="4"/>
      <c r="S798" s="4">
        <v>0</v>
      </c>
      <c r="T798" s="4">
        <v>0</v>
      </c>
      <c r="U798" s="4">
        <v>0</v>
      </c>
      <c r="V798" s="4">
        <v>12</v>
      </c>
      <c r="W798" s="4">
        <v>12</v>
      </c>
      <c r="X798" s="4">
        <v>0</v>
      </c>
      <c r="Y798" s="4"/>
      <c r="Z798" s="4">
        <v>541.36</v>
      </c>
      <c r="AA798" s="4">
        <v>550</v>
      </c>
      <c r="AB798" s="18"/>
      <c r="AC798" s="18">
        <v>13</v>
      </c>
      <c r="AD798" s="28"/>
      <c r="AE798" s="26"/>
      <c r="AF798" s="28"/>
    </row>
    <row r="799" spans="1:32" ht="12.6" customHeight="1" x14ac:dyDescent="0.25">
      <c r="A799" s="14">
        <v>45741</v>
      </c>
      <c r="B799" s="14" t="s">
        <v>45</v>
      </c>
      <c r="C799" s="15">
        <v>1</v>
      </c>
      <c r="D799" s="16"/>
      <c r="E799" s="16"/>
      <c r="F799" s="17"/>
      <c r="G799" s="21"/>
      <c r="H799" s="21"/>
      <c r="I799" s="4">
        <v>0</v>
      </c>
      <c r="J799" s="4">
        <v>0</v>
      </c>
      <c r="K799" s="4"/>
      <c r="L799" s="16"/>
      <c r="M799" s="4"/>
      <c r="N799" s="4"/>
      <c r="O799" s="4"/>
      <c r="P799" s="4">
        <v>120</v>
      </c>
      <c r="Q799" s="4"/>
      <c r="R799" s="4"/>
      <c r="S799" s="4">
        <v>120</v>
      </c>
      <c r="T799" s="4">
        <v>2</v>
      </c>
      <c r="U799" s="4">
        <v>2</v>
      </c>
      <c r="V799" s="4">
        <v>10</v>
      </c>
      <c r="W799" s="4">
        <v>12</v>
      </c>
      <c r="X799" s="4">
        <v>21</v>
      </c>
      <c r="Y799" s="4">
        <v>1749</v>
      </c>
      <c r="Z799" s="4">
        <v>119.44999999999999</v>
      </c>
      <c r="AA799" s="4">
        <v>150</v>
      </c>
      <c r="AB799" s="18">
        <v>398</v>
      </c>
      <c r="AC799" s="18">
        <v>13</v>
      </c>
      <c r="AD799" s="28"/>
      <c r="AE799" s="26"/>
      <c r="AF799" s="28"/>
    </row>
    <row r="800" spans="1:32" ht="12.6" customHeight="1" x14ac:dyDescent="0.25">
      <c r="A800" s="14">
        <v>45741</v>
      </c>
      <c r="B800" s="14" t="s">
        <v>46</v>
      </c>
      <c r="C800" s="15">
        <v>1</v>
      </c>
      <c r="D800" s="16"/>
      <c r="E800" s="16"/>
      <c r="F800" s="17"/>
      <c r="G800" s="21"/>
      <c r="H800" s="21"/>
      <c r="I800" s="4">
        <v>0</v>
      </c>
      <c r="J800" s="4">
        <v>0</v>
      </c>
      <c r="K800" s="4"/>
      <c r="L800" s="16"/>
      <c r="M800" s="4"/>
      <c r="N800" s="4"/>
      <c r="O800" s="4"/>
      <c r="P800" s="4"/>
      <c r="Q800" s="4"/>
      <c r="R800" s="4"/>
      <c r="S800" s="4">
        <v>0</v>
      </c>
      <c r="T800" s="4">
        <v>0</v>
      </c>
      <c r="U800" s="4">
        <v>0</v>
      </c>
      <c r="V800" s="4">
        <v>12</v>
      </c>
      <c r="W800" s="4">
        <v>12</v>
      </c>
      <c r="X800" s="4">
        <v>17.2</v>
      </c>
      <c r="Y800" s="4"/>
      <c r="Z800" s="4">
        <v>119.87000000000002</v>
      </c>
      <c r="AA800" s="4">
        <v>150</v>
      </c>
      <c r="AB800" s="18"/>
      <c r="AC800" s="18">
        <v>13</v>
      </c>
      <c r="AD800" s="28"/>
      <c r="AE800" s="26"/>
      <c r="AF800" s="28"/>
    </row>
    <row r="801" spans="1:32" ht="12.6" customHeight="1" x14ac:dyDescent="0.25">
      <c r="A801" s="14">
        <v>45741</v>
      </c>
      <c r="B801" s="14" t="s">
        <v>45</v>
      </c>
      <c r="C801" s="15">
        <v>2</v>
      </c>
      <c r="D801" s="16"/>
      <c r="E801" s="16"/>
      <c r="F801" s="17"/>
      <c r="G801" s="21"/>
      <c r="H801" s="21"/>
      <c r="I801" s="4">
        <v>0</v>
      </c>
      <c r="J801" s="4">
        <v>0</v>
      </c>
      <c r="K801" s="4"/>
      <c r="L801" s="16"/>
      <c r="M801" s="4"/>
      <c r="N801" s="4"/>
      <c r="O801" s="4"/>
      <c r="P801" s="4">
        <v>120</v>
      </c>
      <c r="Q801" s="4"/>
      <c r="R801" s="4"/>
      <c r="S801" s="4">
        <v>120</v>
      </c>
      <c r="T801" s="4">
        <v>2</v>
      </c>
      <c r="U801" s="4">
        <v>2</v>
      </c>
      <c r="V801" s="4">
        <v>10</v>
      </c>
      <c r="W801" s="4">
        <v>12</v>
      </c>
      <c r="X801" s="4">
        <v>0</v>
      </c>
      <c r="Y801" s="4"/>
      <c r="Z801" s="4">
        <v>110.74</v>
      </c>
      <c r="AA801" s="4">
        <v>100</v>
      </c>
      <c r="AB801" s="18"/>
      <c r="AC801" s="18">
        <v>13</v>
      </c>
      <c r="AD801" s="28"/>
      <c r="AE801" s="26"/>
      <c r="AF801" s="28"/>
    </row>
    <row r="802" spans="1:32" ht="12.6" customHeight="1" x14ac:dyDescent="0.25">
      <c r="A802" s="14">
        <v>45741</v>
      </c>
      <c r="B802" s="14" t="s">
        <v>46</v>
      </c>
      <c r="C802" s="15">
        <v>2</v>
      </c>
      <c r="D802" s="16"/>
      <c r="E802" s="16"/>
      <c r="F802" s="17"/>
      <c r="G802" s="21"/>
      <c r="H802" s="21"/>
      <c r="I802" s="4">
        <v>0</v>
      </c>
      <c r="J802" s="4">
        <v>0</v>
      </c>
      <c r="K802" s="4"/>
      <c r="L802" s="16"/>
      <c r="M802" s="4"/>
      <c r="N802" s="4"/>
      <c r="O802" s="4"/>
      <c r="P802" s="4"/>
      <c r="Q802" s="4"/>
      <c r="R802" s="4"/>
      <c r="S802" s="4">
        <v>0</v>
      </c>
      <c r="T802" s="4">
        <v>0</v>
      </c>
      <c r="U802" s="4">
        <v>0</v>
      </c>
      <c r="V802" s="4">
        <v>12</v>
      </c>
      <c r="W802" s="4">
        <v>12</v>
      </c>
      <c r="X802" s="4">
        <v>0</v>
      </c>
      <c r="Y802" s="4"/>
      <c r="Z802" s="4">
        <v>126.48</v>
      </c>
      <c r="AA802" s="4">
        <v>150</v>
      </c>
      <c r="AB802" s="18"/>
      <c r="AC802" s="18">
        <v>13</v>
      </c>
      <c r="AD802" s="28"/>
      <c r="AE802" s="26"/>
      <c r="AF802" s="28"/>
    </row>
    <row r="803" spans="1:32" ht="12.6" customHeight="1" x14ac:dyDescent="0.25">
      <c r="A803" s="14">
        <v>45741</v>
      </c>
      <c r="B803" s="14" t="s">
        <v>45</v>
      </c>
      <c r="C803" s="15">
        <v>3</v>
      </c>
      <c r="D803" s="16"/>
      <c r="E803" s="16"/>
      <c r="F803" s="17"/>
      <c r="G803" s="21"/>
      <c r="H803" s="21"/>
      <c r="I803" s="4">
        <v>0</v>
      </c>
      <c r="J803" s="4">
        <v>0</v>
      </c>
      <c r="K803" s="4"/>
      <c r="L803" s="16"/>
      <c r="M803" s="4"/>
      <c r="N803" s="4"/>
      <c r="O803" s="4"/>
      <c r="P803" s="4">
        <v>180</v>
      </c>
      <c r="Q803" s="4"/>
      <c r="R803" s="4"/>
      <c r="S803" s="4">
        <v>180</v>
      </c>
      <c r="T803" s="4">
        <v>3</v>
      </c>
      <c r="U803" s="4">
        <v>3</v>
      </c>
      <c r="V803" s="4">
        <v>9</v>
      </c>
      <c r="W803" s="4">
        <v>12</v>
      </c>
      <c r="X803" s="4">
        <v>0</v>
      </c>
      <c r="Y803" s="4"/>
      <c r="Z803" s="4">
        <v>210.03</v>
      </c>
      <c r="AA803" s="4">
        <v>250</v>
      </c>
      <c r="AB803" s="18"/>
      <c r="AC803" s="18">
        <v>13</v>
      </c>
      <c r="AD803" s="28"/>
      <c r="AE803" s="26"/>
      <c r="AF803" s="28"/>
    </row>
    <row r="804" spans="1:32" ht="12.6" customHeight="1" x14ac:dyDescent="0.25">
      <c r="A804" s="14">
        <v>45741</v>
      </c>
      <c r="B804" s="14" t="s">
        <v>46</v>
      </c>
      <c r="C804" s="15">
        <v>3</v>
      </c>
      <c r="D804" s="16"/>
      <c r="E804" s="16"/>
      <c r="F804" s="17"/>
      <c r="G804" s="21"/>
      <c r="H804" s="21"/>
      <c r="I804" s="4">
        <v>0</v>
      </c>
      <c r="J804" s="4">
        <v>0</v>
      </c>
      <c r="K804" s="4"/>
      <c r="L804" s="16"/>
      <c r="M804" s="4"/>
      <c r="N804" s="4"/>
      <c r="O804" s="4"/>
      <c r="P804" s="4"/>
      <c r="Q804" s="4"/>
      <c r="R804" s="4"/>
      <c r="S804" s="4">
        <v>0</v>
      </c>
      <c r="T804" s="4">
        <v>0</v>
      </c>
      <c r="U804" s="4">
        <v>0</v>
      </c>
      <c r="V804" s="4">
        <v>12</v>
      </c>
      <c r="W804" s="4">
        <v>12</v>
      </c>
      <c r="X804" s="4">
        <v>0</v>
      </c>
      <c r="Y804" s="4"/>
      <c r="Z804" s="4">
        <v>239.3</v>
      </c>
      <c r="AA804" s="4">
        <v>250</v>
      </c>
      <c r="AB804" s="18"/>
      <c r="AC804" s="18">
        <v>13</v>
      </c>
      <c r="AD804" s="28"/>
      <c r="AE804" s="26"/>
      <c r="AF804" s="28"/>
    </row>
    <row r="805" spans="1:32" ht="12.6" customHeight="1" x14ac:dyDescent="0.25">
      <c r="A805" s="14">
        <v>45741</v>
      </c>
      <c r="B805" s="14" t="s">
        <v>45</v>
      </c>
      <c r="C805" s="15">
        <v>4</v>
      </c>
      <c r="D805" s="16"/>
      <c r="E805" s="16"/>
      <c r="F805" s="17"/>
      <c r="G805" s="21"/>
      <c r="H805" s="21"/>
      <c r="I805" s="4">
        <v>0</v>
      </c>
      <c r="J805" s="4">
        <v>0</v>
      </c>
      <c r="K805" s="4"/>
      <c r="L805" s="16"/>
      <c r="M805" s="4"/>
      <c r="N805" s="4"/>
      <c r="O805" s="4"/>
      <c r="P805" s="4">
        <v>240</v>
      </c>
      <c r="Q805" s="4"/>
      <c r="R805" s="4"/>
      <c r="S805" s="4">
        <v>240</v>
      </c>
      <c r="T805" s="4">
        <v>4</v>
      </c>
      <c r="U805" s="4">
        <v>4</v>
      </c>
      <c r="V805" s="4">
        <v>8</v>
      </c>
      <c r="W805" s="4">
        <v>12</v>
      </c>
      <c r="X805" s="4">
        <v>0</v>
      </c>
      <c r="Y805" s="4"/>
      <c r="Z805" s="4">
        <v>551.21</v>
      </c>
      <c r="AA805" s="4">
        <v>600</v>
      </c>
      <c r="AB805" s="18"/>
      <c r="AC805" s="18">
        <v>13</v>
      </c>
      <c r="AD805" s="28"/>
      <c r="AE805" s="26"/>
      <c r="AF805" s="28"/>
    </row>
    <row r="806" spans="1:32" ht="12.6" customHeight="1" x14ac:dyDescent="0.25">
      <c r="A806" s="14">
        <v>45741</v>
      </c>
      <c r="B806" s="14" t="s">
        <v>46</v>
      </c>
      <c r="C806" s="15">
        <v>4</v>
      </c>
      <c r="D806" s="16">
        <v>20</v>
      </c>
      <c r="E806" s="16"/>
      <c r="F806" s="17"/>
      <c r="G806" s="21"/>
      <c r="H806" s="21"/>
      <c r="I806" s="4">
        <v>20</v>
      </c>
      <c r="J806" s="4">
        <v>0.33333333333333331</v>
      </c>
      <c r="K806" s="4"/>
      <c r="L806" s="16"/>
      <c r="M806" s="4"/>
      <c r="N806" s="4"/>
      <c r="O806" s="4"/>
      <c r="P806" s="4"/>
      <c r="Q806" s="4"/>
      <c r="R806" s="4"/>
      <c r="S806" s="4">
        <v>0</v>
      </c>
      <c r="T806" s="4">
        <v>0</v>
      </c>
      <c r="U806" s="4">
        <v>0.33333333333333331</v>
      </c>
      <c r="V806" s="4">
        <v>11.666666666666666</v>
      </c>
      <c r="W806" s="4">
        <v>12</v>
      </c>
      <c r="X806" s="4">
        <v>0</v>
      </c>
      <c r="Y806" s="4"/>
      <c r="Z806" s="4">
        <v>678.53</v>
      </c>
      <c r="AA806" s="4">
        <v>700</v>
      </c>
      <c r="AB806" s="18"/>
      <c r="AC806" s="18">
        <v>13</v>
      </c>
      <c r="AD806" s="28"/>
      <c r="AE806" s="26"/>
      <c r="AF806" s="28"/>
    </row>
    <row r="807" spans="1:32" ht="12.6" customHeight="1" x14ac:dyDescent="0.25">
      <c r="A807" s="14">
        <v>45741</v>
      </c>
      <c r="B807" s="14" t="s">
        <v>45</v>
      </c>
      <c r="C807" s="15">
        <v>5</v>
      </c>
      <c r="D807" s="16"/>
      <c r="E807" s="16"/>
      <c r="F807" s="17"/>
      <c r="G807" s="21"/>
      <c r="H807" s="21"/>
      <c r="I807" s="4">
        <v>0</v>
      </c>
      <c r="J807" s="4">
        <v>0</v>
      </c>
      <c r="K807" s="4"/>
      <c r="L807" s="16"/>
      <c r="M807" s="4"/>
      <c r="N807" s="4"/>
      <c r="O807" s="4"/>
      <c r="P807" s="4">
        <v>300</v>
      </c>
      <c r="Q807" s="4"/>
      <c r="R807" s="4"/>
      <c r="S807" s="4">
        <v>300</v>
      </c>
      <c r="T807" s="4">
        <v>5</v>
      </c>
      <c r="U807" s="4">
        <v>5</v>
      </c>
      <c r="V807" s="4">
        <v>7</v>
      </c>
      <c r="W807" s="4">
        <v>12</v>
      </c>
      <c r="X807" s="4">
        <v>0</v>
      </c>
      <c r="Y807" s="4"/>
      <c r="Z807" s="4">
        <v>399.25</v>
      </c>
      <c r="AA807" s="4">
        <v>450</v>
      </c>
      <c r="AB807" s="18"/>
      <c r="AC807" s="18">
        <v>13</v>
      </c>
      <c r="AD807" s="28"/>
      <c r="AE807" s="26"/>
      <c r="AF807" s="28"/>
    </row>
    <row r="808" spans="1:32" ht="12.6" customHeight="1" x14ac:dyDescent="0.25">
      <c r="A808" s="14">
        <v>45741</v>
      </c>
      <c r="B808" s="14" t="s">
        <v>46</v>
      </c>
      <c r="C808" s="15">
        <v>5</v>
      </c>
      <c r="D808" s="16"/>
      <c r="E808" s="16"/>
      <c r="F808" s="17"/>
      <c r="G808" s="21"/>
      <c r="H808" s="21"/>
      <c r="I808" s="4">
        <v>0</v>
      </c>
      <c r="J808" s="4">
        <v>0</v>
      </c>
      <c r="K808" s="4"/>
      <c r="L808" s="16"/>
      <c r="M808" s="4"/>
      <c r="N808" s="4"/>
      <c r="O808" s="4"/>
      <c r="P808" s="4"/>
      <c r="Q808" s="4"/>
      <c r="R808" s="4"/>
      <c r="S808" s="4">
        <v>0</v>
      </c>
      <c r="T808" s="4">
        <v>0</v>
      </c>
      <c r="U808" s="4">
        <v>0</v>
      </c>
      <c r="V808" s="4">
        <v>12</v>
      </c>
      <c r="W808" s="4">
        <v>12</v>
      </c>
      <c r="X808" s="4">
        <v>0</v>
      </c>
      <c r="Y808" s="4"/>
      <c r="Z808" s="4">
        <v>495.3</v>
      </c>
      <c r="AA808" s="4">
        <v>550</v>
      </c>
      <c r="AB808" s="18"/>
      <c r="AC808" s="18">
        <v>13</v>
      </c>
      <c r="AD808" s="28"/>
      <c r="AE808" s="26"/>
      <c r="AF808" s="28"/>
    </row>
    <row r="809" spans="1:32" ht="12.6" customHeight="1" x14ac:dyDescent="0.25">
      <c r="A809" s="14">
        <v>45742</v>
      </c>
      <c r="B809" s="14" t="s">
        <v>45</v>
      </c>
      <c r="C809" s="15">
        <v>1</v>
      </c>
      <c r="D809" s="16"/>
      <c r="E809" s="16"/>
      <c r="F809" s="17"/>
      <c r="G809" s="21"/>
      <c r="H809" s="21"/>
      <c r="I809" s="4">
        <v>0</v>
      </c>
      <c r="J809" s="4">
        <v>0</v>
      </c>
      <c r="K809" s="4"/>
      <c r="L809" s="16"/>
      <c r="M809" s="4"/>
      <c r="N809" s="4"/>
      <c r="O809" s="4"/>
      <c r="P809" s="4"/>
      <c r="Q809" s="4"/>
      <c r="R809" s="4"/>
      <c r="S809" s="4">
        <v>0</v>
      </c>
      <c r="T809" s="4">
        <v>0</v>
      </c>
      <c r="U809" s="4">
        <v>0</v>
      </c>
      <c r="V809" s="4">
        <v>12</v>
      </c>
      <c r="W809" s="4">
        <v>12</v>
      </c>
      <c r="X809" s="4">
        <v>70</v>
      </c>
      <c r="Y809" s="4">
        <v>1753</v>
      </c>
      <c r="Z809" s="4">
        <v>122.17</v>
      </c>
      <c r="AA809" s="4">
        <v>150</v>
      </c>
      <c r="AB809" s="18">
        <v>398</v>
      </c>
      <c r="AC809" s="18">
        <v>13</v>
      </c>
      <c r="AD809" s="28"/>
      <c r="AE809" s="26"/>
      <c r="AF809" s="28"/>
    </row>
    <row r="810" spans="1:32" ht="12.6" customHeight="1" x14ac:dyDescent="0.25">
      <c r="A810" s="14">
        <v>45742</v>
      </c>
      <c r="B810" s="14" t="s">
        <v>46</v>
      </c>
      <c r="C810" s="15">
        <v>1</v>
      </c>
      <c r="D810" s="16"/>
      <c r="E810" s="16"/>
      <c r="F810" s="17"/>
      <c r="G810" s="21"/>
      <c r="H810" s="21"/>
      <c r="I810" s="4">
        <v>0</v>
      </c>
      <c r="J810" s="4">
        <v>0</v>
      </c>
      <c r="K810" s="4"/>
      <c r="L810" s="16"/>
      <c r="M810" s="4"/>
      <c r="N810" s="4"/>
      <c r="O810" s="4"/>
      <c r="P810" s="4"/>
      <c r="Q810" s="4"/>
      <c r="R810" s="4"/>
      <c r="S810" s="4">
        <v>0</v>
      </c>
      <c r="T810" s="4">
        <v>0</v>
      </c>
      <c r="U810" s="4">
        <v>0</v>
      </c>
      <c r="V810" s="4">
        <v>12</v>
      </c>
      <c r="W810" s="4">
        <v>12</v>
      </c>
      <c r="X810" s="4">
        <v>98.56</v>
      </c>
      <c r="Y810" s="4"/>
      <c r="Z810" s="4">
        <v>117.2</v>
      </c>
      <c r="AA810" s="4">
        <v>100</v>
      </c>
      <c r="AB810" s="18"/>
      <c r="AC810" s="18">
        <v>13</v>
      </c>
      <c r="AD810" s="28"/>
      <c r="AE810" s="26"/>
      <c r="AF810" s="28"/>
    </row>
    <row r="811" spans="1:32" ht="12.6" customHeight="1" x14ac:dyDescent="0.25">
      <c r="A811" s="14">
        <v>45742</v>
      </c>
      <c r="B811" s="14" t="s">
        <v>45</v>
      </c>
      <c r="C811" s="15">
        <v>2</v>
      </c>
      <c r="D811" s="16">
        <v>20</v>
      </c>
      <c r="E811" s="16"/>
      <c r="F811" s="17"/>
      <c r="G811" s="21"/>
      <c r="H811" s="21"/>
      <c r="I811" s="4">
        <v>20</v>
      </c>
      <c r="J811" s="4">
        <v>0.33333333333333331</v>
      </c>
      <c r="K811" s="4"/>
      <c r="L811" s="16"/>
      <c r="M811" s="4"/>
      <c r="N811" s="4"/>
      <c r="O811" s="4"/>
      <c r="P811" s="4"/>
      <c r="Q811" s="4"/>
      <c r="R811" s="4"/>
      <c r="S811" s="4">
        <v>0</v>
      </c>
      <c r="T811" s="4">
        <v>0</v>
      </c>
      <c r="U811" s="4">
        <v>0.33333333333333331</v>
      </c>
      <c r="V811" s="4">
        <v>11.666666666666666</v>
      </c>
      <c r="W811" s="4">
        <v>12</v>
      </c>
      <c r="X811" s="4">
        <v>0</v>
      </c>
      <c r="Y811" s="4"/>
      <c r="Z811" s="4">
        <v>120.59</v>
      </c>
      <c r="AA811" s="4">
        <v>150</v>
      </c>
      <c r="AB811" s="18"/>
      <c r="AC811" s="18">
        <v>13</v>
      </c>
      <c r="AD811" s="28"/>
      <c r="AE811" s="26"/>
      <c r="AF811" s="28"/>
    </row>
    <row r="812" spans="1:32" ht="12.6" customHeight="1" x14ac:dyDescent="0.25">
      <c r="A812" s="14">
        <v>45742</v>
      </c>
      <c r="B812" s="14" t="s">
        <v>46</v>
      </c>
      <c r="C812" s="15">
        <v>2</v>
      </c>
      <c r="D812" s="16"/>
      <c r="E812" s="16"/>
      <c r="F812" s="17"/>
      <c r="G812" s="21"/>
      <c r="H812" s="21"/>
      <c r="I812" s="4">
        <v>0</v>
      </c>
      <c r="J812" s="4">
        <v>0</v>
      </c>
      <c r="K812" s="4"/>
      <c r="L812" s="16"/>
      <c r="M812" s="4"/>
      <c r="N812" s="4"/>
      <c r="O812" s="4"/>
      <c r="P812" s="4"/>
      <c r="Q812" s="4"/>
      <c r="R812" s="4"/>
      <c r="S812" s="4">
        <v>0</v>
      </c>
      <c r="T812" s="4">
        <v>0</v>
      </c>
      <c r="U812" s="4">
        <v>0</v>
      </c>
      <c r="V812" s="4">
        <v>12</v>
      </c>
      <c r="W812" s="4">
        <v>12</v>
      </c>
      <c r="X812" s="4">
        <v>0</v>
      </c>
      <c r="Y812" s="4"/>
      <c r="Z812" s="4">
        <v>114.11</v>
      </c>
      <c r="AA812" s="4">
        <v>100</v>
      </c>
      <c r="AB812" s="18"/>
      <c r="AC812" s="18">
        <v>13</v>
      </c>
      <c r="AD812" s="28"/>
      <c r="AE812" s="26"/>
      <c r="AF812" s="28"/>
    </row>
    <row r="813" spans="1:32" ht="12.6" customHeight="1" x14ac:dyDescent="0.25">
      <c r="A813" s="14">
        <v>45742</v>
      </c>
      <c r="B813" s="14" t="s">
        <v>45</v>
      </c>
      <c r="C813" s="15">
        <v>3</v>
      </c>
      <c r="D813" s="16"/>
      <c r="E813" s="16"/>
      <c r="F813" s="17"/>
      <c r="G813" s="21"/>
      <c r="H813" s="21"/>
      <c r="I813" s="4">
        <v>0</v>
      </c>
      <c r="J813" s="4">
        <v>0</v>
      </c>
      <c r="K813" s="4"/>
      <c r="L813" s="16"/>
      <c r="M813" s="4"/>
      <c r="N813" s="4"/>
      <c r="O813" s="4"/>
      <c r="P813" s="4"/>
      <c r="Q813" s="4"/>
      <c r="R813" s="4"/>
      <c r="S813" s="4">
        <v>0</v>
      </c>
      <c r="T813" s="4">
        <v>0</v>
      </c>
      <c r="U813" s="4">
        <v>0</v>
      </c>
      <c r="V813" s="4">
        <v>12</v>
      </c>
      <c r="W813" s="4">
        <v>12</v>
      </c>
      <c r="X813" s="4">
        <v>0</v>
      </c>
      <c r="Y813" s="4"/>
      <c r="Z813" s="4">
        <v>215.10999999999996</v>
      </c>
      <c r="AA813" s="4">
        <v>250</v>
      </c>
      <c r="AB813" s="18"/>
      <c r="AC813" s="18">
        <v>13</v>
      </c>
      <c r="AD813" s="28"/>
      <c r="AE813" s="26"/>
      <c r="AF813" s="28"/>
    </row>
    <row r="814" spans="1:32" ht="12.6" customHeight="1" x14ac:dyDescent="0.25">
      <c r="A814" s="14">
        <v>45742</v>
      </c>
      <c r="B814" s="14" t="s">
        <v>46</v>
      </c>
      <c r="C814" s="15">
        <v>3</v>
      </c>
      <c r="D814" s="16"/>
      <c r="E814" s="16"/>
      <c r="F814" s="17"/>
      <c r="G814" s="21"/>
      <c r="H814" s="21"/>
      <c r="I814" s="4">
        <v>0</v>
      </c>
      <c r="J814" s="4">
        <v>0</v>
      </c>
      <c r="K814" s="4"/>
      <c r="L814" s="16"/>
      <c r="M814" s="4"/>
      <c r="N814" s="4"/>
      <c r="O814" s="4"/>
      <c r="P814" s="4"/>
      <c r="Q814" s="4"/>
      <c r="R814" s="4"/>
      <c r="S814" s="4">
        <v>0</v>
      </c>
      <c r="T814" s="4">
        <v>0</v>
      </c>
      <c r="U814" s="4">
        <v>0</v>
      </c>
      <c r="V814" s="4">
        <v>12</v>
      </c>
      <c r="W814" s="4">
        <v>12</v>
      </c>
      <c r="X814" s="4">
        <v>0</v>
      </c>
      <c r="Y814" s="4"/>
      <c r="Z814" s="4">
        <v>245.13999999999996</v>
      </c>
      <c r="AA814" s="4">
        <v>250</v>
      </c>
      <c r="AB814" s="18"/>
      <c r="AC814" s="18">
        <v>13</v>
      </c>
      <c r="AD814" s="28"/>
      <c r="AE814" s="26"/>
      <c r="AF814" s="28"/>
    </row>
    <row r="815" spans="1:32" ht="12.6" customHeight="1" x14ac:dyDescent="0.25">
      <c r="A815" s="14">
        <v>45742</v>
      </c>
      <c r="B815" s="14" t="s">
        <v>45</v>
      </c>
      <c r="C815" s="15">
        <v>4</v>
      </c>
      <c r="D815" s="16">
        <v>60</v>
      </c>
      <c r="E815" s="16"/>
      <c r="F815" s="17"/>
      <c r="G815" s="21"/>
      <c r="H815" s="21"/>
      <c r="I815" s="4">
        <v>60</v>
      </c>
      <c r="J815" s="4">
        <v>1</v>
      </c>
      <c r="K815" s="4"/>
      <c r="L815" s="16"/>
      <c r="M815" s="4"/>
      <c r="N815" s="4"/>
      <c r="O815" s="4"/>
      <c r="P815" s="4"/>
      <c r="Q815" s="4"/>
      <c r="R815" s="4"/>
      <c r="S815" s="4">
        <v>0</v>
      </c>
      <c r="T815" s="4">
        <v>0</v>
      </c>
      <c r="U815" s="4">
        <v>1</v>
      </c>
      <c r="V815" s="4">
        <v>11</v>
      </c>
      <c r="W815" s="4">
        <v>12</v>
      </c>
      <c r="X815" s="4">
        <v>0</v>
      </c>
      <c r="Y815" s="4"/>
      <c r="Z815" s="4">
        <v>766.66000000000008</v>
      </c>
      <c r="AA815" s="4">
        <v>800</v>
      </c>
      <c r="AB815" s="18"/>
      <c r="AC815" s="18">
        <v>13</v>
      </c>
      <c r="AD815" s="28"/>
      <c r="AE815" s="26"/>
      <c r="AF815" s="28"/>
    </row>
    <row r="816" spans="1:32" ht="12.6" customHeight="1" x14ac:dyDescent="0.25">
      <c r="A816" s="14">
        <v>45742</v>
      </c>
      <c r="B816" s="14" t="s">
        <v>46</v>
      </c>
      <c r="C816" s="15">
        <v>4</v>
      </c>
      <c r="D816" s="16">
        <v>20</v>
      </c>
      <c r="E816" s="16"/>
      <c r="F816" s="17"/>
      <c r="G816" s="21"/>
      <c r="H816" s="21"/>
      <c r="I816" s="4">
        <v>20</v>
      </c>
      <c r="J816" s="4">
        <v>0.33333333333333331</v>
      </c>
      <c r="K816" s="4"/>
      <c r="L816" s="16"/>
      <c r="M816" s="4"/>
      <c r="N816" s="4"/>
      <c r="O816" s="4"/>
      <c r="P816" s="4"/>
      <c r="Q816" s="4">
        <v>30</v>
      </c>
      <c r="R816" s="4"/>
      <c r="S816" s="4">
        <v>30</v>
      </c>
      <c r="T816" s="4">
        <v>0.5</v>
      </c>
      <c r="U816" s="4">
        <v>0.83333333333333326</v>
      </c>
      <c r="V816" s="4">
        <v>11.166666666666666</v>
      </c>
      <c r="W816" s="4">
        <v>12</v>
      </c>
      <c r="X816" s="4">
        <v>0</v>
      </c>
      <c r="Y816" s="4"/>
      <c r="Z816" s="4">
        <v>701.15</v>
      </c>
      <c r="AA816" s="4">
        <v>700</v>
      </c>
      <c r="AB816" s="18"/>
      <c r="AC816" s="18">
        <v>13</v>
      </c>
      <c r="AD816" s="28"/>
      <c r="AE816" s="26"/>
      <c r="AF816" s="28"/>
    </row>
    <row r="817" spans="1:32" ht="12.6" customHeight="1" x14ac:dyDescent="0.25">
      <c r="A817" s="14">
        <v>45742</v>
      </c>
      <c r="B817" s="14" t="s">
        <v>45</v>
      </c>
      <c r="C817" s="15">
        <v>5</v>
      </c>
      <c r="D817" s="16"/>
      <c r="E817" s="16"/>
      <c r="F817" s="17"/>
      <c r="G817" s="21"/>
      <c r="H817" s="21"/>
      <c r="I817" s="4">
        <v>0</v>
      </c>
      <c r="J817" s="4">
        <v>0</v>
      </c>
      <c r="K817" s="4"/>
      <c r="L817" s="16"/>
      <c r="M817" s="4"/>
      <c r="N817" s="4"/>
      <c r="O817" s="4"/>
      <c r="P817" s="4"/>
      <c r="Q817" s="4"/>
      <c r="R817" s="4"/>
      <c r="S817" s="4">
        <v>0</v>
      </c>
      <c r="T817" s="4">
        <v>0</v>
      </c>
      <c r="U817" s="4">
        <v>0</v>
      </c>
      <c r="V817" s="4">
        <v>12</v>
      </c>
      <c r="W817" s="4">
        <v>12</v>
      </c>
      <c r="X817" s="4">
        <v>0</v>
      </c>
      <c r="Y817" s="4"/>
      <c r="Z817" s="4">
        <v>508.24</v>
      </c>
      <c r="AA817" s="4">
        <v>500</v>
      </c>
      <c r="AB817" s="18"/>
      <c r="AC817" s="18">
        <v>13</v>
      </c>
      <c r="AD817" s="28"/>
      <c r="AE817" s="26"/>
      <c r="AF817" s="28"/>
    </row>
    <row r="818" spans="1:32" ht="12.6" customHeight="1" x14ac:dyDescent="0.25">
      <c r="A818" s="14">
        <v>45742</v>
      </c>
      <c r="B818" s="14" t="s">
        <v>46</v>
      </c>
      <c r="C818" s="15">
        <v>5</v>
      </c>
      <c r="D818" s="16"/>
      <c r="E818" s="16"/>
      <c r="F818" s="17"/>
      <c r="G818" s="21"/>
      <c r="H818" s="21"/>
      <c r="I818" s="4">
        <v>0</v>
      </c>
      <c r="J818" s="4">
        <v>0</v>
      </c>
      <c r="K818" s="4"/>
      <c r="L818" s="16"/>
      <c r="M818" s="4"/>
      <c r="N818" s="4"/>
      <c r="O818" s="4"/>
      <c r="P818" s="4"/>
      <c r="Q818" s="4"/>
      <c r="R818" s="4"/>
      <c r="S818" s="4">
        <v>0</v>
      </c>
      <c r="T818" s="4">
        <v>0</v>
      </c>
      <c r="U818" s="4">
        <v>0</v>
      </c>
      <c r="V818" s="4">
        <v>12</v>
      </c>
      <c r="W818" s="4">
        <v>12</v>
      </c>
      <c r="X818" s="4">
        <v>0</v>
      </c>
      <c r="Y818" s="4"/>
      <c r="Z818" s="4">
        <v>500.5100000000001</v>
      </c>
      <c r="AA818" s="4">
        <v>500</v>
      </c>
      <c r="AB818" s="18"/>
      <c r="AC818" s="18">
        <v>13</v>
      </c>
      <c r="AD818" s="28"/>
      <c r="AE818" s="26"/>
      <c r="AF818" s="28"/>
    </row>
    <row r="819" spans="1:32" ht="12.6" customHeight="1" x14ac:dyDescent="0.25">
      <c r="A819" s="14">
        <v>45743</v>
      </c>
      <c r="B819" s="14" t="s">
        <v>45</v>
      </c>
      <c r="C819" s="15">
        <v>1</v>
      </c>
      <c r="D819" s="16"/>
      <c r="E819" s="16"/>
      <c r="F819" s="17"/>
      <c r="G819" s="21"/>
      <c r="H819" s="21"/>
      <c r="I819" s="4">
        <v>0</v>
      </c>
      <c r="J819" s="4">
        <v>0</v>
      </c>
      <c r="K819" s="4"/>
      <c r="L819" s="16"/>
      <c r="M819" s="4"/>
      <c r="N819" s="4"/>
      <c r="O819" s="4"/>
      <c r="P819" s="4"/>
      <c r="Q819" s="4"/>
      <c r="R819" s="4"/>
      <c r="S819" s="4">
        <v>0</v>
      </c>
      <c r="T819" s="4">
        <v>0</v>
      </c>
      <c r="U819" s="4">
        <v>0</v>
      </c>
      <c r="V819" s="4">
        <v>12</v>
      </c>
      <c r="W819" s="4">
        <v>12</v>
      </c>
      <c r="X819" s="4">
        <v>40</v>
      </c>
      <c r="Y819" s="4">
        <v>1774</v>
      </c>
      <c r="Z819" s="4">
        <v>127.32000000000001</v>
      </c>
      <c r="AA819" s="4">
        <v>150</v>
      </c>
      <c r="AB819" s="18">
        <v>398</v>
      </c>
      <c r="AC819" s="18">
        <v>13</v>
      </c>
      <c r="AD819" s="28"/>
      <c r="AE819" s="26"/>
      <c r="AF819" s="28"/>
    </row>
    <row r="820" spans="1:32" ht="12.6" customHeight="1" x14ac:dyDescent="0.25">
      <c r="A820" s="14">
        <v>45743</v>
      </c>
      <c r="B820" s="14" t="s">
        <v>46</v>
      </c>
      <c r="C820" s="15">
        <v>1</v>
      </c>
      <c r="D820" s="16"/>
      <c r="E820" s="16"/>
      <c r="F820" s="17"/>
      <c r="G820" s="21"/>
      <c r="H820" s="21"/>
      <c r="I820" s="4">
        <v>0</v>
      </c>
      <c r="J820" s="4">
        <v>0</v>
      </c>
      <c r="K820" s="4"/>
      <c r="L820" s="16"/>
      <c r="M820" s="4"/>
      <c r="N820" s="4"/>
      <c r="O820" s="4"/>
      <c r="P820" s="4"/>
      <c r="Q820" s="4"/>
      <c r="R820" s="4"/>
      <c r="S820" s="4">
        <v>0</v>
      </c>
      <c r="T820" s="4">
        <v>0</v>
      </c>
      <c r="U820" s="4">
        <v>0</v>
      </c>
      <c r="V820" s="4">
        <v>12</v>
      </c>
      <c r="W820" s="4">
        <v>12</v>
      </c>
      <c r="X820" s="4">
        <v>13</v>
      </c>
      <c r="Y820" s="4"/>
      <c r="Z820" s="4">
        <v>119.43</v>
      </c>
      <c r="AA820" s="4">
        <v>100</v>
      </c>
      <c r="AB820" s="18"/>
      <c r="AC820" s="18">
        <v>13</v>
      </c>
      <c r="AD820" s="28"/>
      <c r="AE820" s="26"/>
      <c r="AF820" s="28"/>
    </row>
    <row r="821" spans="1:32" ht="12.6" customHeight="1" x14ac:dyDescent="0.25">
      <c r="A821" s="14">
        <v>45743</v>
      </c>
      <c r="B821" s="14" t="s">
        <v>45</v>
      </c>
      <c r="C821" s="15">
        <v>2</v>
      </c>
      <c r="D821" s="16"/>
      <c r="E821" s="16"/>
      <c r="F821" s="17"/>
      <c r="G821" s="21"/>
      <c r="H821" s="21"/>
      <c r="I821" s="4">
        <v>0</v>
      </c>
      <c r="J821" s="4">
        <v>0</v>
      </c>
      <c r="K821" s="4"/>
      <c r="L821" s="16"/>
      <c r="M821" s="4"/>
      <c r="N821" s="4"/>
      <c r="O821" s="4"/>
      <c r="P821" s="4"/>
      <c r="Q821" s="4"/>
      <c r="R821" s="4"/>
      <c r="S821" s="4">
        <v>0</v>
      </c>
      <c r="T821" s="4">
        <v>0</v>
      </c>
      <c r="U821" s="4">
        <v>0</v>
      </c>
      <c r="V821" s="4">
        <v>12</v>
      </c>
      <c r="W821" s="4">
        <v>12</v>
      </c>
      <c r="X821" s="4">
        <v>0</v>
      </c>
      <c r="Y821" s="4"/>
      <c r="Z821" s="4">
        <v>138.74</v>
      </c>
      <c r="AA821" s="4">
        <v>150</v>
      </c>
      <c r="AB821" s="18"/>
      <c r="AC821" s="18">
        <v>13</v>
      </c>
      <c r="AD821" s="28"/>
      <c r="AE821" s="26"/>
      <c r="AF821" s="28"/>
    </row>
    <row r="822" spans="1:32" ht="12.6" customHeight="1" x14ac:dyDescent="0.25">
      <c r="A822" s="14">
        <v>45743</v>
      </c>
      <c r="B822" s="14" t="s">
        <v>46</v>
      </c>
      <c r="C822" s="15">
        <v>2</v>
      </c>
      <c r="D822" s="16"/>
      <c r="E822" s="16"/>
      <c r="F822" s="17"/>
      <c r="G822" s="21"/>
      <c r="H822" s="21"/>
      <c r="I822" s="4">
        <v>0</v>
      </c>
      <c r="J822" s="4">
        <v>0</v>
      </c>
      <c r="K822" s="4"/>
      <c r="L822" s="16"/>
      <c r="M822" s="4"/>
      <c r="N822" s="4"/>
      <c r="O822" s="4"/>
      <c r="P822" s="4"/>
      <c r="Q822" s="4"/>
      <c r="R822" s="4"/>
      <c r="S822" s="4">
        <v>0</v>
      </c>
      <c r="T822" s="4">
        <v>0</v>
      </c>
      <c r="U822" s="4">
        <v>0</v>
      </c>
      <c r="V822" s="4">
        <v>12</v>
      </c>
      <c r="W822" s="4">
        <v>12</v>
      </c>
      <c r="X822" s="4">
        <v>0</v>
      </c>
      <c r="Y822" s="4"/>
      <c r="Z822" s="4">
        <v>186.07</v>
      </c>
      <c r="AA822" s="4">
        <v>200</v>
      </c>
      <c r="AB822" s="18"/>
      <c r="AC822" s="18">
        <v>13</v>
      </c>
      <c r="AD822" s="28"/>
      <c r="AE822" s="26"/>
      <c r="AF822" s="28"/>
    </row>
    <row r="823" spans="1:32" ht="12.6" customHeight="1" x14ac:dyDescent="0.25">
      <c r="A823" s="14">
        <v>45743</v>
      </c>
      <c r="B823" s="14" t="s">
        <v>45</v>
      </c>
      <c r="C823" s="15">
        <v>3</v>
      </c>
      <c r="D823" s="16"/>
      <c r="E823" s="16"/>
      <c r="F823" s="17"/>
      <c r="G823" s="21"/>
      <c r="H823" s="21"/>
      <c r="I823" s="4">
        <v>0</v>
      </c>
      <c r="J823" s="4">
        <v>0</v>
      </c>
      <c r="K823" s="4"/>
      <c r="L823" s="16"/>
      <c r="M823" s="4"/>
      <c r="N823" s="4"/>
      <c r="O823" s="4"/>
      <c r="P823" s="4"/>
      <c r="Q823" s="4"/>
      <c r="R823" s="4"/>
      <c r="S823" s="4">
        <v>0</v>
      </c>
      <c r="T823" s="4">
        <v>0</v>
      </c>
      <c r="U823" s="4">
        <v>0</v>
      </c>
      <c r="V823" s="4">
        <v>12</v>
      </c>
      <c r="W823" s="4">
        <v>12</v>
      </c>
      <c r="X823" s="4">
        <v>0</v>
      </c>
      <c r="Y823" s="4"/>
      <c r="Z823" s="4">
        <v>191.35000000000002</v>
      </c>
      <c r="AA823" s="4">
        <v>200</v>
      </c>
      <c r="AB823" s="18"/>
      <c r="AC823" s="18">
        <v>13</v>
      </c>
      <c r="AD823" s="28"/>
      <c r="AE823" s="26"/>
      <c r="AF823" s="28"/>
    </row>
    <row r="824" spans="1:32" ht="12.6" customHeight="1" x14ac:dyDescent="0.25">
      <c r="A824" s="14">
        <v>45743</v>
      </c>
      <c r="B824" s="14" t="s">
        <v>46</v>
      </c>
      <c r="C824" s="15">
        <v>3</v>
      </c>
      <c r="D824" s="16"/>
      <c r="E824" s="16"/>
      <c r="F824" s="17"/>
      <c r="G824" s="21"/>
      <c r="H824" s="21"/>
      <c r="I824" s="4">
        <v>0</v>
      </c>
      <c r="J824" s="4">
        <v>0</v>
      </c>
      <c r="K824" s="4"/>
      <c r="L824" s="16"/>
      <c r="M824" s="4"/>
      <c r="N824" s="4"/>
      <c r="O824" s="4"/>
      <c r="P824" s="4"/>
      <c r="Q824" s="4"/>
      <c r="R824" s="4"/>
      <c r="S824" s="4">
        <v>0</v>
      </c>
      <c r="T824" s="4">
        <v>0</v>
      </c>
      <c r="U824" s="4">
        <v>0</v>
      </c>
      <c r="V824" s="4">
        <v>12</v>
      </c>
      <c r="W824" s="4">
        <v>12</v>
      </c>
      <c r="X824" s="4">
        <v>0</v>
      </c>
      <c r="Y824" s="4"/>
      <c r="Z824" s="4">
        <v>224.1</v>
      </c>
      <c r="AA824" s="4">
        <v>250</v>
      </c>
      <c r="AB824" s="18"/>
      <c r="AC824" s="18">
        <v>13</v>
      </c>
      <c r="AD824" s="28"/>
      <c r="AE824" s="26"/>
      <c r="AF824" s="28"/>
    </row>
    <row r="825" spans="1:32" ht="12.6" customHeight="1" x14ac:dyDescent="0.25">
      <c r="A825" s="14">
        <v>45743</v>
      </c>
      <c r="B825" s="14" t="s">
        <v>45</v>
      </c>
      <c r="C825" s="15">
        <v>4</v>
      </c>
      <c r="D825" s="16"/>
      <c r="E825" s="16"/>
      <c r="F825" s="17"/>
      <c r="G825" s="21"/>
      <c r="H825" s="21"/>
      <c r="I825" s="4">
        <v>0</v>
      </c>
      <c r="J825" s="4">
        <v>0</v>
      </c>
      <c r="K825" s="4"/>
      <c r="L825" s="16"/>
      <c r="M825" s="4"/>
      <c r="N825" s="4"/>
      <c r="O825" s="4"/>
      <c r="P825" s="4">
        <v>120</v>
      </c>
      <c r="Q825" s="4"/>
      <c r="R825" s="4"/>
      <c r="S825" s="4">
        <v>120</v>
      </c>
      <c r="T825" s="4">
        <v>2</v>
      </c>
      <c r="U825" s="4">
        <v>2</v>
      </c>
      <c r="V825" s="4">
        <v>10</v>
      </c>
      <c r="W825" s="4">
        <v>12</v>
      </c>
      <c r="X825" s="4">
        <v>0</v>
      </c>
      <c r="Y825" s="4"/>
      <c r="Z825" s="4">
        <v>417.52</v>
      </c>
      <c r="AA825" s="4">
        <v>400</v>
      </c>
      <c r="AB825" s="18"/>
      <c r="AC825" s="18">
        <v>13</v>
      </c>
      <c r="AD825" s="28"/>
      <c r="AE825" s="26"/>
      <c r="AF825" s="28"/>
    </row>
    <row r="826" spans="1:32" ht="12.6" customHeight="1" x14ac:dyDescent="0.25">
      <c r="A826" s="14">
        <v>45743</v>
      </c>
      <c r="B826" s="14" t="s">
        <v>46</v>
      </c>
      <c r="C826" s="15">
        <v>4</v>
      </c>
      <c r="D826" s="16">
        <v>20</v>
      </c>
      <c r="E826" s="16"/>
      <c r="F826" s="17"/>
      <c r="G826" s="21"/>
      <c r="H826" s="21"/>
      <c r="I826" s="4">
        <v>20</v>
      </c>
      <c r="J826" s="4">
        <v>0.33333333333333331</v>
      </c>
      <c r="K826" s="4"/>
      <c r="L826" s="16"/>
      <c r="M826" s="4"/>
      <c r="N826" s="4"/>
      <c r="O826" s="4"/>
      <c r="P826" s="4"/>
      <c r="Q826" s="4"/>
      <c r="R826" s="4"/>
      <c r="S826" s="4">
        <v>0</v>
      </c>
      <c r="T826" s="4">
        <v>0</v>
      </c>
      <c r="U826" s="4">
        <v>0.33333333333333331</v>
      </c>
      <c r="V826" s="4">
        <v>11.666666666666666</v>
      </c>
      <c r="W826" s="4">
        <v>12</v>
      </c>
      <c r="X826" s="4">
        <v>0</v>
      </c>
      <c r="Y826" s="4"/>
      <c r="Z826" s="4">
        <v>697.59999999999991</v>
      </c>
      <c r="AA826" s="4">
        <v>700</v>
      </c>
      <c r="AB826" s="18"/>
      <c r="AC826" s="18">
        <v>13</v>
      </c>
      <c r="AD826" s="28"/>
      <c r="AE826" s="26"/>
      <c r="AF826" s="28"/>
    </row>
    <row r="827" spans="1:32" ht="12.6" customHeight="1" x14ac:dyDescent="0.25">
      <c r="A827" s="14">
        <v>45743</v>
      </c>
      <c r="B827" s="14" t="s">
        <v>45</v>
      </c>
      <c r="C827" s="15">
        <v>5</v>
      </c>
      <c r="D827" s="16"/>
      <c r="E827" s="16"/>
      <c r="F827" s="17"/>
      <c r="G827" s="21"/>
      <c r="H827" s="21"/>
      <c r="I827" s="4">
        <v>0</v>
      </c>
      <c r="J827" s="4">
        <v>0</v>
      </c>
      <c r="K827" s="4"/>
      <c r="L827" s="16"/>
      <c r="M827" s="4"/>
      <c r="N827" s="4"/>
      <c r="O827" s="4"/>
      <c r="P827" s="4"/>
      <c r="Q827" s="4"/>
      <c r="R827" s="4"/>
      <c r="S827" s="4">
        <v>0</v>
      </c>
      <c r="T827" s="4">
        <v>0</v>
      </c>
      <c r="U827" s="4">
        <v>0</v>
      </c>
      <c r="V827" s="4">
        <v>12</v>
      </c>
      <c r="W827" s="4">
        <v>12</v>
      </c>
      <c r="X827" s="4">
        <v>0</v>
      </c>
      <c r="Y827" s="4"/>
      <c r="Z827" s="4">
        <v>432.25000000000006</v>
      </c>
      <c r="AA827" s="4">
        <v>450</v>
      </c>
      <c r="AB827" s="18"/>
      <c r="AC827" s="18">
        <v>13</v>
      </c>
      <c r="AD827" s="28"/>
      <c r="AE827" s="26"/>
      <c r="AF827" s="28"/>
    </row>
    <row r="828" spans="1:32" ht="12.6" customHeight="1" x14ac:dyDescent="0.25">
      <c r="A828" s="14">
        <v>45743</v>
      </c>
      <c r="B828" s="14" t="s">
        <v>46</v>
      </c>
      <c r="C828" s="15">
        <v>5</v>
      </c>
      <c r="D828" s="16"/>
      <c r="E828" s="16"/>
      <c r="F828" s="17"/>
      <c r="G828" s="21"/>
      <c r="H828" s="21"/>
      <c r="I828" s="4">
        <v>0</v>
      </c>
      <c r="J828" s="4">
        <v>0</v>
      </c>
      <c r="K828" s="4"/>
      <c r="L828" s="16"/>
      <c r="M828" s="4"/>
      <c r="N828" s="4"/>
      <c r="O828" s="4"/>
      <c r="P828" s="4"/>
      <c r="Q828" s="4"/>
      <c r="R828" s="4"/>
      <c r="S828" s="4">
        <v>0</v>
      </c>
      <c r="T828" s="4">
        <v>0</v>
      </c>
      <c r="U828" s="4">
        <v>0</v>
      </c>
      <c r="V828" s="4">
        <v>12</v>
      </c>
      <c r="W828" s="4">
        <v>12</v>
      </c>
      <c r="X828" s="4">
        <v>0</v>
      </c>
      <c r="Y828" s="4"/>
      <c r="Z828" s="4">
        <v>472.01</v>
      </c>
      <c r="AA828" s="4">
        <v>500</v>
      </c>
      <c r="AB828" s="18"/>
      <c r="AC828" s="18">
        <v>13</v>
      </c>
      <c r="AD828" s="28"/>
      <c r="AE828" s="26"/>
      <c r="AF828" s="28"/>
    </row>
    <row r="829" spans="1:32" ht="12.6" customHeight="1" x14ac:dyDescent="0.25">
      <c r="A829" s="14">
        <v>45744</v>
      </c>
      <c r="B829" s="14" t="s">
        <v>45</v>
      </c>
      <c r="C829" s="15">
        <v>1</v>
      </c>
      <c r="D829" s="16"/>
      <c r="E829" s="16"/>
      <c r="F829" s="17"/>
      <c r="G829" s="21"/>
      <c r="H829" s="21"/>
      <c r="I829" s="4">
        <v>0</v>
      </c>
      <c r="J829" s="4">
        <v>0</v>
      </c>
      <c r="K829" s="4"/>
      <c r="L829" s="16"/>
      <c r="M829" s="4"/>
      <c r="N829" s="4"/>
      <c r="O829" s="4"/>
      <c r="P829" s="4"/>
      <c r="Q829" s="4"/>
      <c r="R829" s="4"/>
      <c r="S829" s="4">
        <v>0</v>
      </c>
      <c r="T829" s="4">
        <v>0</v>
      </c>
      <c r="U829" s="4">
        <v>0</v>
      </c>
      <c r="V829" s="4">
        <v>12</v>
      </c>
      <c r="W829" s="4">
        <v>12</v>
      </c>
      <c r="X829" s="4">
        <v>22</v>
      </c>
      <c r="Y829" s="4">
        <v>1863</v>
      </c>
      <c r="Z829" s="4">
        <v>115.64999999999999</v>
      </c>
      <c r="AA829" s="4">
        <v>100</v>
      </c>
      <c r="AB829" s="18">
        <v>398</v>
      </c>
      <c r="AC829" s="18">
        <v>13</v>
      </c>
      <c r="AD829" s="28"/>
      <c r="AE829" s="26"/>
      <c r="AF829" s="28"/>
    </row>
    <row r="830" spans="1:32" ht="12.6" customHeight="1" x14ac:dyDescent="0.25">
      <c r="A830" s="14">
        <v>45744</v>
      </c>
      <c r="B830" s="14" t="s">
        <v>46</v>
      </c>
      <c r="C830" s="15">
        <v>1</v>
      </c>
      <c r="D830" s="16"/>
      <c r="E830" s="16"/>
      <c r="F830" s="17"/>
      <c r="G830" s="21"/>
      <c r="H830" s="21"/>
      <c r="I830" s="4">
        <v>0</v>
      </c>
      <c r="J830" s="4">
        <v>0</v>
      </c>
      <c r="K830" s="4"/>
      <c r="L830" s="16"/>
      <c r="M830" s="4"/>
      <c r="N830" s="4"/>
      <c r="O830" s="4"/>
      <c r="P830" s="4"/>
      <c r="Q830" s="4"/>
      <c r="R830" s="4"/>
      <c r="S830" s="4">
        <v>0</v>
      </c>
      <c r="T830" s="4">
        <v>0</v>
      </c>
      <c r="U830" s="4">
        <v>0</v>
      </c>
      <c r="V830" s="4">
        <v>12</v>
      </c>
      <c r="W830" s="4">
        <v>12</v>
      </c>
      <c r="X830" s="4">
        <v>17</v>
      </c>
      <c r="Y830" s="4"/>
      <c r="Z830" s="4">
        <v>108.42999999999999</v>
      </c>
      <c r="AA830" s="4">
        <v>100</v>
      </c>
      <c r="AB830" s="18"/>
      <c r="AC830" s="18">
        <v>13</v>
      </c>
      <c r="AD830" s="28"/>
      <c r="AE830" s="26"/>
      <c r="AF830" s="28"/>
    </row>
    <row r="831" spans="1:32" ht="12.6" customHeight="1" x14ac:dyDescent="0.25">
      <c r="A831" s="14">
        <v>45744</v>
      </c>
      <c r="B831" s="14" t="s">
        <v>45</v>
      </c>
      <c r="C831" s="15">
        <v>2</v>
      </c>
      <c r="D831" s="16"/>
      <c r="E831" s="16"/>
      <c r="F831" s="17"/>
      <c r="G831" s="21"/>
      <c r="H831" s="21"/>
      <c r="I831" s="4">
        <v>0</v>
      </c>
      <c r="J831" s="4">
        <v>0</v>
      </c>
      <c r="K831" s="4"/>
      <c r="L831" s="16"/>
      <c r="M831" s="4"/>
      <c r="N831" s="4"/>
      <c r="O831" s="4"/>
      <c r="P831" s="4"/>
      <c r="Q831" s="4"/>
      <c r="R831" s="4"/>
      <c r="S831" s="4">
        <v>0</v>
      </c>
      <c r="T831" s="4">
        <v>0</v>
      </c>
      <c r="U831" s="4">
        <v>0</v>
      </c>
      <c r="V831" s="4">
        <v>12</v>
      </c>
      <c r="W831" s="4">
        <v>12</v>
      </c>
      <c r="X831" s="4">
        <v>0</v>
      </c>
      <c r="Y831" s="4"/>
      <c r="Z831" s="4">
        <v>159.02000000000001</v>
      </c>
      <c r="AA831" s="4">
        <v>150</v>
      </c>
      <c r="AB831" s="18"/>
      <c r="AC831" s="18">
        <v>13</v>
      </c>
      <c r="AD831" s="28"/>
      <c r="AE831" s="26"/>
      <c r="AF831" s="28"/>
    </row>
    <row r="832" spans="1:32" ht="12.6" customHeight="1" x14ac:dyDescent="0.25">
      <c r="A832" s="14">
        <v>45744</v>
      </c>
      <c r="B832" s="14" t="s">
        <v>46</v>
      </c>
      <c r="C832" s="15">
        <v>2</v>
      </c>
      <c r="D832" s="16"/>
      <c r="E832" s="16"/>
      <c r="F832" s="17"/>
      <c r="G832" s="21"/>
      <c r="H832" s="21"/>
      <c r="I832" s="4">
        <v>0</v>
      </c>
      <c r="J832" s="4">
        <v>0</v>
      </c>
      <c r="K832" s="4"/>
      <c r="L832" s="16"/>
      <c r="M832" s="4"/>
      <c r="N832" s="4"/>
      <c r="O832" s="4"/>
      <c r="P832" s="4"/>
      <c r="Q832" s="4"/>
      <c r="R832" s="4"/>
      <c r="S832" s="4">
        <v>0</v>
      </c>
      <c r="T832" s="4">
        <v>0</v>
      </c>
      <c r="U832" s="4">
        <v>0</v>
      </c>
      <c r="V832" s="4">
        <v>12</v>
      </c>
      <c r="W832" s="4">
        <v>12</v>
      </c>
      <c r="X832" s="4">
        <v>0</v>
      </c>
      <c r="Y832" s="4"/>
      <c r="Z832" s="4">
        <v>164.99</v>
      </c>
      <c r="AA832" s="4">
        <v>150</v>
      </c>
      <c r="AB832" s="18"/>
      <c r="AC832" s="18">
        <v>13</v>
      </c>
      <c r="AD832" s="28"/>
      <c r="AE832" s="26"/>
      <c r="AF832" s="28"/>
    </row>
    <row r="833" spans="1:32" ht="12.6" customHeight="1" x14ac:dyDescent="0.25">
      <c r="A833" s="14">
        <v>45744</v>
      </c>
      <c r="B833" s="14" t="s">
        <v>45</v>
      </c>
      <c r="C833" s="15">
        <v>3</v>
      </c>
      <c r="D833" s="16"/>
      <c r="E833" s="16"/>
      <c r="F833" s="17"/>
      <c r="G833" s="21"/>
      <c r="H833" s="21"/>
      <c r="I833" s="4">
        <v>0</v>
      </c>
      <c r="J833" s="4">
        <v>0</v>
      </c>
      <c r="K833" s="4"/>
      <c r="L833" s="16"/>
      <c r="M833" s="4"/>
      <c r="N833" s="4"/>
      <c r="O833" s="4"/>
      <c r="P833" s="4"/>
      <c r="Q833" s="4"/>
      <c r="R833" s="4"/>
      <c r="S833" s="4">
        <v>0</v>
      </c>
      <c r="T833" s="4">
        <v>0</v>
      </c>
      <c r="U833" s="4">
        <v>0</v>
      </c>
      <c r="V833" s="4">
        <v>12</v>
      </c>
      <c r="W833" s="4">
        <v>12</v>
      </c>
      <c r="X833" s="4">
        <v>0</v>
      </c>
      <c r="Y833" s="4"/>
      <c r="Z833" s="4">
        <v>221.61</v>
      </c>
      <c r="AA833" s="4">
        <v>250</v>
      </c>
      <c r="AB833" s="18"/>
      <c r="AC833" s="18">
        <v>13</v>
      </c>
      <c r="AD833" s="28"/>
      <c r="AE833" s="26"/>
      <c r="AF833" s="28"/>
    </row>
    <row r="834" spans="1:32" ht="12.6" customHeight="1" x14ac:dyDescent="0.25">
      <c r="A834" s="14">
        <v>45744</v>
      </c>
      <c r="B834" s="14" t="s">
        <v>46</v>
      </c>
      <c r="C834" s="15">
        <v>3</v>
      </c>
      <c r="D834" s="16"/>
      <c r="E834" s="16"/>
      <c r="F834" s="17"/>
      <c r="G834" s="21"/>
      <c r="H834" s="21"/>
      <c r="I834" s="4">
        <v>0</v>
      </c>
      <c r="J834" s="4">
        <v>0</v>
      </c>
      <c r="K834" s="4"/>
      <c r="L834" s="16"/>
      <c r="M834" s="4"/>
      <c r="N834" s="4"/>
      <c r="O834" s="4"/>
      <c r="P834" s="4"/>
      <c r="Q834" s="4"/>
      <c r="R834" s="4"/>
      <c r="S834" s="4">
        <v>0</v>
      </c>
      <c r="T834" s="4">
        <v>0</v>
      </c>
      <c r="U834" s="4">
        <v>0</v>
      </c>
      <c r="V834" s="4">
        <v>12</v>
      </c>
      <c r="W834" s="4">
        <v>12</v>
      </c>
      <c r="X834" s="4">
        <v>0</v>
      </c>
      <c r="Y834" s="4"/>
      <c r="Z834" s="4">
        <v>211.26000000000002</v>
      </c>
      <c r="AA834" s="4">
        <v>200</v>
      </c>
      <c r="AB834" s="18"/>
      <c r="AC834" s="18">
        <v>13</v>
      </c>
      <c r="AD834" s="28"/>
      <c r="AE834" s="26"/>
      <c r="AF834" s="28"/>
    </row>
    <row r="835" spans="1:32" ht="12.6" customHeight="1" x14ac:dyDescent="0.25">
      <c r="A835" s="14">
        <v>45744</v>
      </c>
      <c r="B835" s="14" t="s">
        <v>45</v>
      </c>
      <c r="C835" s="15">
        <v>4</v>
      </c>
      <c r="D835" s="16">
        <v>30</v>
      </c>
      <c r="E835" s="16"/>
      <c r="F835" s="17"/>
      <c r="G835" s="21"/>
      <c r="H835" s="21"/>
      <c r="I835" s="4">
        <v>30</v>
      </c>
      <c r="J835" s="4">
        <v>0.5</v>
      </c>
      <c r="K835" s="4"/>
      <c r="L835" s="16"/>
      <c r="M835" s="4"/>
      <c r="N835" s="4"/>
      <c r="O835" s="4"/>
      <c r="P835" s="4"/>
      <c r="Q835" s="4"/>
      <c r="R835" s="4"/>
      <c r="S835" s="4">
        <v>0</v>
      </c>
      <c r="T835" s="4">
        <v>0</v>
      </c>
      <c r="U835" s="4">
        <v>0.5</v>
      </c>
      <c r="V835" s="4">
        <v>11.5</v>
      </c>
      <c r="W835" s="4">
        <v>12</v>
      </c>
      <c r="X835" s="4">
        <v>0</v>
      </c>
      <c r="Y835" s="4"/>
      <c r="Z835" s="4">
        <v>684.62999999999988</v>
      </c>
      <c r="AA835" s="4">
        <v>700</v>
      </c>
      <c r="AB835" s="18"/>
      <c r="AC835" s="18">
        <v>13</v>
      </c>
      <c r="AD835" s="28"/>
      <c r="AE835" s="26"/>
      <c r="AF835" s="28"/>
    </row>
    <row r="836" spans="1:32" ht="12.6" customHeight="1" x14ac:dyDescent="0.25">
      <c r="A836" s="14">
        <v>45744</v>
      </c>
      <c r="B836" s="14" t="s">
        <v>46</v>
      </c>
      <c r="C836" s="15">
        <v>4</v>
      </c>
      <c r="D836" s="16"/>
      <c r="E836" s="16"/>
      <c r="F836" s="17"/>
      <c r="G836" s="21"/>
      <c r="H836" s="21"/>
      <c r="I836" s="4">
        <v>0</v>
      </c>
      <c r="J836" s="4">
        <v>0</v>
      </c>
      <c r="K836" s="4"/>
      <c r="L836" s="16"/>
      <c r="M836" s="4"/>
      <c r="N836" s="4"/>
      <c r="O836" s="4"/>
      <c r="P836" s="4"/>
      <c r="Q836" s="4"/>
      <c r="R836" s="4"/>
      <c r="S836" s="4">
        <v>0</v>
      </c>
      <c r="T836" s="4">
        <v>0</v>
      </c>
      <c r="U836" s="4">
        <v>0</v>
      </c>
      <c r="V836" s="4">
        <v>12</v>
      </c>
      <c r="W836" s="4">
        <v>12</v>
      </c>
      <c r="X836" s="4">
        <v>0</v>
      </c>
      <c r="Y836" s="4"/>
      <c r="Z836" s="4">
        <v>734.03999999999985</v>
      </c>
      <c r="AA836" s="4">
        <v>750</v>
      </c>
      <c r="AB836" s="18"/>
      <c r="AC836" s="18">
        <v>13</v>
      </c>
      <c r="AD836" s="28"/>
      <c r="AE836" s="26"/>
      <c r="AF836" s="28"/>
    </row>
    <row r="837" spans="1:32" ht="12.6" customHeight="1" x14ac:dyDescent="0.25">
      <c r="A837" s="14">
        <v>45744</v>
      </c>
      <c r="B837" s="14" t="s">
        <v>45</v>
      </c>
      <c r="C837" s="15">
        <v>5</v>
      </c>
      <c r="D837" s="16"/>
      <c r="E837" s="16"/>
      <c r="F837" s="17"/>
      <c r="G837" s="21"/>
      <c r="H837" s="21"/>
      <c r="I837" s="4">
        <v>0</v>
      </c>
      <c r="J837" s="4">
        <v>0</v>
      </c>
      <c r="K837" s="4"/>
      <c r="L837" s="16"/>
      <c r="M837" s="4"/>
      <c r="N837" s="4"/>
      <c r="O837" s="4"/>
      <c r="P837" s="4"/>
      <c r="Q837" s="4"/>
      <c r="R837" s="4"/>
      <c r="S837" s="4">
        <v>0</v>
      </c>
      <c r="T837" s="4">
        <v>0</v>
      </c>
      <c r="U837" s="4">
        <v>0</v>
      </c>
      <c r="V837" s="4">
        <v>12</v>
      </c>
      <c r="W837" s="4">
        <v>12</v>
      </c>
      <c r="X837" s="4">
        <v>0</v>
      </c>
      <c r="Y837" s="4"/>
      <c r="Z837" s="4">
        <v>492.96999999999997</v>
      </c>
      <c r="AA837" s="4">
        <v>500</v>
      </c>
      <c r="AB837" s="18"/>
      <c r="AC837" s="18">
        <v>13</v>
      </c>
      <c r="AD837" s="28"/>
      <c r="AE837" s="26"/>
      <c r="AF837" s="28"/>
    </row>
    <row r="838" spans="1:32" ht="12.6" customHeight="1" x14ac:dyDescent="0.25">
      <c r="A838" s="14">
        <v>45744</v>
      </c>
      <c r="B838" s="14" t="s">
        <v>46</v>
      </c>
      <c r="C838" s="15">
        <v>5</v>
      </c>
      <c r="D838" s="16"/>
      <c r="E838" s="16"/>
      <c r="F838" s="17"/>
      <c r="G838" s="21"/>
      <c r="H838" s="21"/>
      <c r="I838" s="4">
        <v>0</v>
      </c>
      <c r="J838" s="4">
        <v>0</v>
      </c>
      <c r="K838" s="4"/>
      <c r="L838" s="16"/>
      <c r="M838" s="4"/>
      <c r="N838" s="4"/>
      <c r="O838" s="4"/>
      <c r="P838" s="4"/>
      <c r="Q838" s="4"/>
      <c r="R838" s="4"/>
      <c r="S838" s="4">
        <v>0</v>
      </c>
      <c r="T838" s="4">
        <v>0</v>
      </c>
      <c r="U838" s="4">
        <v>0</v>
      </c>
      <c r="V838" s="4">
        <v>12</v>
      </c>
      <c r="W838" s="4">
        <v>12</v>
      </c>
      <c r="X838" s="4">
        <v>0</v>
      </c>
      <c r="Y838" s="4"/>
      <c r="Z838" s="4">
        <v>487.67999999999995</v>
      </c>
      <c r="AA838" s="4">
        <v>500</v>
      </c>
      <c r="AB838" s="18"/>
      <c r="AC838" s="18">
        <v>13</v>
      </c>
      <c r="AD838" s="28"/>
      <c r="AE838" s="26"/>
      <c r="AF838" s="28"/>
    </row>
    <row r="839" spans="1:32" ht="12.6" customHeight="1" x14ac:dyDescent="0.25">
      <c r="A839" s="14">
        <v>45745</v>
      </c>
      <c r="B839" s="14" t="s">
        <v>45</v>
      </c>
      <c r="C839" s="15">
        <v>1</v>
      </c>
      <c r="D839" s="16"/>
      <c r="E839" s="16"/>
      <c r="F839" s="17"/>
      <c r="G839" s="21"/>
      <c r="H839" s="21"/>
      <c r="I839" s="4">
        <v>0</v>
      </c>
      <c r="J839" s="4">
        <v>0</v>
      </c>
      <c r="K839" s="4"/>
      <c r="L839" s="16"/>
      <c r="M839" s="4"/>
      <c r="N839" s="4"/>
      <c r="O839" s="4"/>
      <c r="P839" s="4"/>
      <c r="Q839" s="4"/>
      <c r="R839" s="4"/>
      <c r="S839" s="4">
        <v>0</v>
      </c>
      <c r="T839" s="4">
        <v>0</v>
      </c>
      <c r="U839" s="4">
        <v>0</v>
      </c>
      <c r="V839" s="4">
        <v>12</v>
      </c>
      <c r="W839" s="4">
        <v>12</v>
      </c>
      <c r="X839" s="4">
        <v>0</v>
      </c>
      <c r="Y839" s="4">
        <v>1373</v>
      </c>
      <c r="Z839" s="4">
        <v>123.39</v>
      </c>
      <c r="AA839" s="4">
        <v>150</v>
      </c>
      <c r="AB839" s="18">
        <v>398</v>
      </c>
      <c r="AC839" s="18">
        <v>13</v>
      </c>
      <c r="AD839" s="28"/>
      <c r="AE839" s="26"/>
      <c r="AF839" s="28"/>
    </row>
    <row r="840" spans="1:32" ht="12.6" customHeight="1" x14ac:dyDescent="0.25">
      <c r="A840" s="14">
        <v>45745</v>
      </c>
      <c r="B840" s="14" t="s">
        <v>46</v>
      </c>
      <c r="C840" s="15">
        <v>1</v>
      </c>
      <c r="D840" s="16"/>
      <c r="E840" s="16"/>
      <c r="F840" s="17"/>
      <c r="G840" s="21"/>
      <c r="H840" s="21"/>
      <c r="I840" s="4">
        <v>0</v>
      </c>
      <c r="J840" s="4">
        <v>0</v>
      </c>
      <c r="K840" s="4"/>
      <c r="L840" s="16"/>
      <c r="M840" s="4"/>
      <c r="N840" s="4"/>
      <c r="O840" s="4"/>
      <c r="P840" s="4"/>
      <c r="Q840" s="4"/>
      <c r="R840" s="4"/>
      <c r="S840" s="4">
        <v>0</v>
      </c>
      <c r="T840" s="4">
        <v>0</v>
      </c>
      <c r="U840" s="4">
        <v>0</v>
      </c>
      <c r="V840" s="4">
        <v>12</v>
      </c>
      <c r="W840" s="4">
        <v>12</v>
      </c>
      <c r="X840" s="4">
        <v>0</v>
      </c>
      <c r="Y840" s="4"/>
      <c r="Z840" s="4">
        <v>82.17</v>
      </c>
      <c r="AA840" s="4">
        <v>100</v>
      </c>
      <c r="AB840" s="18"/>
      <c r="AC840" s="18">
        <v>13</v>
      </c>
      <c r="AD840" s="28"/>
      <c r="AE840" s="26"/>
      <c r="AF840" s="28"/>
    </row>
    <row r="841" spans="1:32" ht="12.6" customHeight="1" x14ac:dyDescent="0.25">
      <c r="A841" s="14">
        <v>45745</v>
      </c>
      <c r="B841" s="14" t="s">
        <v>45</v>
      </c>
      <c r="C841" s="15">
        <v>2</v>
      </c>
      <c r="D841" s="16"/>
      <c r="E841" s="16"/>
      <c r="F841" s="17"/>
      <c r="G841" s="21"/>
      <c r="H841" s="21"/>
      <c r="I841" s="4">
        <v>0</v>
      </c>
      <c r="J841" s="4">
        <v>0</v>
      </c>
      <c r="K841" s="4"/>
      <c r="L841" s="16"/>
      <c r="M841" s="4"/>
      <c r="N841" s="4"/>
      <c r="O841" s="4"/>
      <c r="P841" s="4"/>
      <c r="Q841" s="4"/>
      <c r="R841" s="4"/>
      <c r="S841" s="4">
        <v>0</v>
      </c>
      <c r="T841" s="4">
        <v>0</v>
      </c>
      <c r="U841" s="4">
        <v>0</v>
      </c>
      <c r="V841" s="4">
        <v>12</v>
      </c>
      <c r="W841" s="4">
        <v>12</v>
      </c>
      <c r="X841" s="4">
        <v>0</v>
      </c>
      <c r="Y841" s="4"/>
      <c r="Z841" s="4">
        <v>149.04999999999998</v>
      </c>
      <c r="AA841" s="4">
        <v>150</v>
      </c>
      <c r="AB841" s="18"/>
      <c r="AC841" s="18">
        <v>13</v>
      </c>
      <c r="AD841" s="28"/>
      <c r="AE841" s="26"/>
      <c r="AF841" s="28"/>
    </row>
    <row r="842" spans="1:32" ht="12.6" customHeight="1" x14ac:dyDescent="0.25">
      <c r="A842" s="14">
        <v>45745</v>
      </c>
      <c r="B842" s="14" t="s">
        <v>46</v>
      </c>
      <c r="C842" s="15">
        <v>2</v>
      </c>
      <c r="D842" s="16"/>
      <c r="E842" s="16"/>
      <c r="F842" s="17"/>
      <c r="G842" s="21"/>
      <c r="H842" s="21"/>
      <c r="I842" s="4">
        <v>0</v>
      </c>
      <c r="J842" s="4">
        <v>0</v>
      </c>
      <c r="K842" s="4"/>
      <c r="L842" s="16"/>
      <c r="M842" s="4"/>
      <c r="N842" s="4"/>
      <c r="O842" s="4"/>
      <c r="P842" s="4"/>
      <c r="Q842" s="4"/>
      <c r="R842" s="4"/>
      <c r="S842" s="4">
        <v>0</v>
      </c>
      <c r="T842" s="4">
        <v>0</v>
      </c>
      <c r="U842" s="4">
        <v>0</v>
      </c>
      <c r="V842" s="4">
        <v>12</v>
      </c>
      <c r="W842" s="4">
        <v>12</v>
      </c>
      <c r="X842" s="4">
        <v>0</v>
      </c>
      <c r="Y842" s="4"/>
      <c r="Z842" s="4">
        <v>100.65999999999998</v>
      </c>
      <c r="AA842" s="4">
        <v>100</v>
      </c>
      <c r="AB842" s="18"/>
      <c r="AC842" s="18">
        <v>13</v>
      </c>
      <c r="AD842" s="28"/>
      <c r="AE842" s="26"/>
      <c r="AF842" s="28"/>
    </row>
    <row r="843" spans="1:32" ht="12.6" customHeight="1" x14ac:dyDescent="0.25">
      <c r="A843" s="14">
        <v>45745</v>
      </c>
      <c r="B843" s="14" t="s">
        <v>45</v>
      </c>
      <c r="C843" s="15">
        <v>3</v>
      </c>
      <c r="D843" s="16"/>
      <c r="E843" s="16"/>
      <c r="F843" s="17"/>
      <c r="G843" s="21"/>
      <c r="H843" s="21"/>
      <c r="I843" s="4">
        <v>0</v>
      </c>
      <c r="J843" s="4">
        <v>0</v>
      </c>
      <c r="K843" s="4"/>
      <c r="L843" s="16"/>
      <c r="M843" s="4"/>
      <c r="N843" s="4"/>
      <c r="O843" s="4"/>
      <c r="P843" s="4"/>
      <c r="Q843" s="4"/>
      <c r="R843" s="4"/>
      <c r="S843" s="4">
        <v>0</v>
      </c>
      <c r="T843" s="4">
        <v>0</v>
      </c>
      <c r="U843" s="4">
        <v>0</v>
      </c>
      <c r="V843" s="4">
        <v>12</v>
      </c>
      <c r="W843" s="4">
        <v>12</v>
      </c>
      <c r="X843" s="4">
        <v>0</v>
      </c>
      <c r="Y843" s="4"/>
      <c r="Z843" s="4">
        <v>215.74</v>
      </c>
      <c r="AA843" s="4">
        <v>200</v>
      </c>
      <c r="AB843" s="18"/>
      <c r="AC843" s="18">
        <v>13</v>
      </c>
      <c r="AD843" s="28"/>
      <c r="AE843" s="26"/>
      <c r="AF843" s="28"/>
    </row>
    <row r="844" spans="1:32" ht="12.6" customHeight="1" x14ac:dyDescent="0.25">
      <c r="A844" s="14">
        <v>45745</v>
      </c>
      <c r="B844" s="14" t="s">
        <v>46</v>
      </c>
      <c r="C844" s="15">
        <v>3</v>
      </c>
      <c r="D844" s="16"/>
      <c r="E844" s="16"/>
      <c r="F844" s="17"/>
      <c r="G844" s="21"/>
      <c r="H844" s="21"/>
      <c r="I844" s="4">
        <v>0</v>
      </c>
      <c r="J844" s="4">
        <v>0</v>
      </c>
      <c r="K844" s="4"/>
      <c r="L844" s="16"/>
      <c r="M844" s="4"/>
      <c r="N844" s="4"/>
      <c r="O844" s="4"/>
      <c r="P844" s="4"/>
      <c r="Q844" s="4"/>
      <c r="R844" s="4"/>
      <c r="S844" s="4">
        <v>0</v>
      </c>
      <c r="T844" s="4">
        <v>0</v>
      </c>
      <c r="U844" s="4">
        <v>0</v>
      </c>
      <c r="V844" s="4">
        <v>12</v>
      </c>
      <c r="W844" s="4">
        <v>12</v>
      </c>
      <c r="X844" s="4">
        <v>0</v>
      </c>
      <c r="Y844" s="4"/>
      <c r="Z844" s="4">
        <v>116.35</v>
      </c>
      <c r="AA844" s="4">
        <v>100</v>
      </c>
      <c r="AB844" s="18"/>
      <c r="AC844" s="18">
        <v>13</v>
      </c>
      <c r="AD844" s="28"/>
      <c r="AE844" s="26"/>
      <c r="AF844" s="28"/>
    </row>
    <row r="845" spans="1:32" ht="12.6" customHeight="1" x14ac:dyDescent="0.25">
      <c r="A845" s="14">
        <v>45745</v>
      </c>
      <c r="B845" s="14" t="s">
        <v>45</v>
      </c>
      <c r="C845" s="15">
        <v>4</v>
      </c>
      <c r="D845" s="16"/>
      <c r="E845" s="16"/>
      <c r="F845" s="17"/>
      <c r="G845" s="21"/>
      <c r="H845" s="21"/>
      <c r="I845" s="4">
        <v>0</v>
      </c>
      <c r="J845" s="4">
        <v>0</v>
      </c>
      <c r="K845" s="4"/>
      <c r="L845" s="16"/>
      <c r="M845" s="4"/>
      <c r="N845" s="4"/>
      <c r="O845" s="4"/>
      <c r="P845" s="4"/>
      <c r="Q845" s="4"/>
      <c r="R845" s="4"/>
      <c r="S845" s="4">
        <v>0</v>
      </c>
      <c r="T845" s="4">
        <v>0</v>
      </c>
      <c r="U845" s="4">
        <v>0</v>
      </c>
      <c r="V845" s="4">
        <v>12</v>
      </c>
      <c r="W845" s="4">
        <v>12</v>
      </c>
      <c r="X845" s="4">
        <v>0</v>
      </c>
      <c r="Y845" s="4"/>
      <c r="Z845" s="4">
        <v>623.0200000000001</v>
      </c>
      <c r="AA845" s="4">
        <v>600</v>
      </c>
      <c r="AB845" s="18"/>
      <c r="AC845" s="18">
        <v>13</v>
      </c>
      <c r="AD845" s="28"/>
      <c r="AE845" s="26"/>
      <c r="AF845" s="28"/>
    </row>
    <row r="846" spans="1:32" ht="12.6" customHeight="1" x14ac:dyDescent="0.25">
      <c r="A846" s="14">
        <v>45745</v>
      </c>
      <c r="B846" s="14" t="s">
        <v>46</v>
      </c>
      <c r="C846" s="15">
        <v>4</v>
      </c>
      <c r="D846" s="16"/>
      <c r="E846" s="16"/>
      <c r="F846" s="17"/>
      <c r="G846" s="21"/>
      <c r="H846" s="21"/>
      <c r="I846" s="4">
        <v>0</v>
      </c>
      <c r="J846" s="4">
        <v>0</v>
      </c>
      <c r="K846" s="4"/>
      <c r="L846" s="16"/>
      <c r="M846" s="4"/>
      <c r="N846" s="4"/>
      <c r="O846" s="4"/>
      <c r="P846" s="4"/>
      <c r="Q846" s="4"/>
      <c r="R846" s="4"/>
      <c r="S846" s="4">
        <v>0</v>
      </c>
      <c r="T846" s="4">
        <v>0</v>
      </c>
      <c r="U846" s="4">
        <v>0</v>
      </c>
      <c r="V846" s="4">
        <v>12</v>
      </c>
      <c r="W846" s="4">
        <v>12</v>
      </c>
      <c r="X846" s="4">
        <v>0</v>
      </c>
      <c r="Y846" s="4"/>
      <c r="Z846" s="4">
        <v>412.66999999999996</v>
      </c>
      <c r="AA846" s="4">
        <v>400</v>
      </c>
      <c r="AB846" s="18"/>
      <c r="AC846" s="18">
        <v>13</v>
      </c>
      <c r="AD846" s="28"/>
      <c r="AE846" s="26"/>
      <c r="AF846" s="28"/>
    </row>
    <row r="847" spans="1:32" ht="12.6" customHeight="1" x14ac:dyDescent="0.25">
      <c r="A847" s="14">
        <v>45745</v>
      </c>
      <c r="B847" s="14" t="s">
        <v>45</v>
      </c>
      <c r="C847" s="15">
        <v>5</v>
      </c>
      <c r="D847" s="16"/>
      <c r="E847" s="16"/>
      <c r="F847" s="17"/>
      <c r="G847" s="21"/>
      <c r="H847" s="21"/>
      <c r="I847" s="4">
        <v>0</v>
      </c>
      <c r="J847" s="4">
        <v>0</v>
      </c>
      <c r="K847" s="4"/>
      <c r="L847" s="16"/>
      <c r="M847" s="4"/>
      <c r="N847" s="4"/>
      <c r="O847" s="4"/>
      <c r="P847" s="4"/>
      <c r="Q847" s="4"/>
      <c r="R847" s="4"/>
      <c r="S847" s="4">
        <v>0</v>
      </c>
      <c r="T847" s="4">
        <v>0</v>
      </c>
      <c r="U847" s="4">
        <v>0</v>
      </c>
      <c r="V847" s="4">
        <v>12</v>
      </c>
      <c r="W847" s="4">
        <v>12</v>
      </c>
      <c r="X847" s="4">
        <v>0</v>
      </c>
      <c r="Y847" s="4"/>
      <c r="Z847" s="4">
        <v>502.87</v>
      </c>
      <c r="AA847" s="4">
        <v>500</v>
      </c>
      <c r="AB847" s="18"/>
      <c r="AC847" s="18">
        <v>13</v>
      </c>
      <c r="AD847" s="28"/>
      <c r="AE847" s="26"/>
      <c r="AF847" s="28"/>
    </row>
    <row r="848" spans="1:32" ht="12.6" customHeight="1" x14ac:dyDescent="0.25">
      <c r="A848" s="14">
        <v>45745</v>
      </c>
      <c r="B848" s="14" t="s">
        <v>46</v>
      </c>
      <c r="C848" s="15">
        <v>5</v>
      </c>
      <c r="D848" s="16"/>
      <c r="E848" s="16"/>
      <c r="F848" s="17"/>
      <c r="G848" s="21"/>
      <c r="H848" s="21"/>
      <c r="I848" s="4">
        <v>0</v>
      </c>
      <c r="J848" s="4">
        <v>0</v>
      </c>
      <c r="K848" s="4"/>
      <c r="L848" s="16"/>
      <c r="M848" s="4"/>
      <c r="N848" s="4"/>
      <c r="O848" s="4"/>
      <c r="P848" s="4"/>
      <c r="Q848" s="4"/>
      <c r="R848" s="4"/>
      <c r="S848" s="4">
        <v>0</v>
      </c>
      <c r="T848" s="4">
        <v>0</v>
      </c>
      <c r="U848" s="4">
        <v>0</v>
      </c>
      <c r="V848" s="4">
        <v>12</v>
      </c>
      <c r="W848" s="4">
        <v>12</v>
      </c>
      <c r="X848" s="4">
        <v>0</v>
      </c>
      <c r="Y848" s="4"/>
      <c r="Z848" s="4">
        <v>282.56000000000006</v>
      </c>
      <c r="AA848" s="4">
        <v>300</v>
      </c>
      <c r="AB848" s="18"/>
      <c r="AC848" s="18">
        <v>13</v>
      </c>
      <c r="AD848" s="28"/>
      <c r="AE848" s="26"/>
      <c r="AF848" s="28"/>
    </row>
    <row r="849" spans="1:32" ht="12.6" customHeight="1" x14ac:dyDescent="0.25">
      <c r="A849" s="14">
        <v>45754</v>
      </c>
      <c r="B849" s="14" t="s">
        <v>45</v>
      </c>
      <c r="C849" s="15">
        <v>1</v>
      </c>
      <c r="D849" s="16"/>
      <c r="E849" s="16"/>
      <c r="F849" s="17"/>
      <c r="G849" s="21"/>
      <c r="H849" s="21"/>
      <c r="I849" s="4">
        <v>0</v>
      </c>
      <c r="J849" s="4">
        <v>0</v>
      </c>
      <c r="K849" s="4"/>
      <c r="L849" s="16"/>
      <c r="M849" s="4"/>
      <c r="N849" s="4"/>
      <c r="O849" s="4"/>
      <c r="P849" s="4"/>
      <c r="Q849" s="4"/>
      <c r="R849" s="4"/>
      <c r="S849" s="4">
        <v>0</v>
      </c>
      <c r="T849" s="4">
        <v>0</v>
      </c>
      <c r="U849" s="4">
        <v>0</v>
      </c>
      <c r="V849" s="4">
        <v>12</v>
      </c>
      <c r="W849" s="4">
        <v>12</v>
      </c>
      <c r="X849" s="4">
        <v>20</v>
      </c>
      <c r="Y849" s="4">
        <v>1205</v>
      </c>
      <c r="Z849" s="4">
        <v>74.009999999999991</v>
      </c>
      <c r="AA849" s="4">
        <v>100</v>
      </c>
      <c r="AB849" s="18">
        <v>398</v>
      </c>
      <c r="AC849" s="18">
        <v>14</v>
      </c>
      <c r="AD849" s="28"/>
      <c r="AE849" s="26"/>
      <c r="AF849" s="28"/>
    </row>
    <row r="850" spans="1:32" ht="12.6" customHeight="1" x14ac:dyDescent="0.25">
      <c r="A850" s="14">
        <v>45754</v>
      </c>
      <c r="B850" s="14" t="s">
        <v>46</v>
      </c>
      <c r="C850" s="15">
        <v>1</v>
      </c>
      <c r="D850" s="16"/>
      <c r="E850" s="16"/>
      <c r="F850" s="17"/>
      <c r="G850" s="21"/>
      <c r="H850" s="21"/>
      <c r="I850" s="4">
        <v>0</v>
      </c>
      <c r="J850" s="4">
        <v>0</v>
      </c>
      <c r="K850" s="4"/>
      <c r="L850" s="16"/>
      <c r="M850" s="4"/>
      <c r="N850" s="4"/>
      <c r="O850" s="4"/>
      <c r="P850" s="4"/>
      <c r="Q850" s="4"/>
      <c r="R850" s="4"/>
      <c r="S850" s="4">
        <v>0</v>
      </c>
      <c r="T850" s="4">
        <v>0</v>
      </c>
      <c r="U850" s="4">
        <v>0</v>
      </c>
      <c r="V850" s="4">
        <v>12</v>
      </c>
      <c r="W850" s="4">
        <v>12</v>
      </c>
      <c r="X850" s="4">
        <v>4.4000000000000004</v>
      </c>
      <c r="Y850" s="4"/>
      <c r="Z850" s="4">
        <v>101.29</v>
      </c>
      <c r="AA850" s="4">
        <v>100</v>
      </c>
      <c r="AB850" s="18"/>
      <c r="AC850" s="18">
        <v>14</v>
      </c>
      <c r="AD850" s="28"/>
      <c r="AE850" s="26"/>
      <c r="AF850" s="28"/>
    </row>
    <row r="851" spans="1:32" ht="12.6" customHeight="1" x14ac:dyDescent="0.25">
      <c r="A851" s="14">
        <v>45754</v>
      </c>
      <c r="B851" s="14" t="s">
        <v>45</v>
      </c>
      <c r="C851" s="15">
        <v>2</v>
      </c>
      <c r="D851" s="16"/>
      <c r="E851" s="16"/>
      <c r="F851" s="17"/>
      <c r="G851" s="21"/>
      <c r="H851" s="21"/>
      <c r="I851" s="4">
        <v>0</v>
      </c>
      <c r="J851" s="4">
        <v>0</v>
      </c>
      <c r="K851" s="4"/>
      <c r="L851" s="16"/>
      <c r="M851" s="4"/>
      <c r="N851" s="4"/>
      <c r="O851" s="4"/>
      <c r="P851" s="4"/>
      <c r="Q851" s="4"/>
      <c r="R851" s="4"/>
      <c r="S851" s="4">
        <v>0</v>
      </c>
      <c r="T851" s="4">
        <v>0</v>
      </c>
      <c r="U851" s="4">
        <v>0</v>
      </c>
      <c r="V851" s="4">
        <v>12</v>
      </c>
      <c r="W851" s="4">
        <v>12</v>
      </c>
      <c r="X851" s="4">
        <v>0</v>
      </c>
      <c r="Y851" s="4"/>
      <c r="Z851" s="4">
        <v>114.98999999999998</v>
      </c>
      <c r="AA851" s="4">
        <v>100</v>
      </c>
      <c r="AB851" s="18"/>
      <c r="AC851" s="18">
        <v>14</v>
      </c>
      <c r="AD851" s="28"/>
      <c r="AE851" s="26"/>
      <c r="AF851" s="28"/>
    </row>
    <row r="852" spans="1:32" ht="12.6" customHeight="1" x14ac:dyDescent="0.25">
      <c r="A852" s="14">
        <v>45754</v>
      </c>
      <c r="B852" s="14" t="s">
        <v>46</v>
      </c>
      <c r="C852" s="15">
        <v>2</v>
      </c>
      <c r="D852" s="16"/>
      <c r="E852" s="16"/>
      <c r="F852" s="17"/>
      <c r="G852" s="21"/>
      <c r="H852" s="21"/>
      <c r="I852" s="4">
        <v>0</v>
      </c>
      <c r="J852" s="4">
        <v>0</v>
      </c>
      <c r="K852" s="4"/>
      <c r="L852" s="16"/>
      <c r="M852" s="4"/>
      <c r="N852" s="4"/>
      <c r="O852" s="4"/>
      <c r="P852" s="4"/>
      <c r="Q852" s="4"/>
      <c r="R852" s="4"/>
      <c r="S852" s="4">
        <v>0</v>
      </c>
      <c r="T852" s="4">
        <v>0</v>
      </c>
      <c r="U852" s="4">
        <v>0</v>
      </c>
      <c r="V852" s="4">
        <v>12</v>
      </c>
      <c r="W852" s="4">
        <v>12</v>
      </c>
      <c r="X852" s="4">
        <v>0</v>
      </c>
      <c r="Y852" s="4"/>
      <c r="Z852" s="4">
        <v>123.07</v>
      </c>
      <c r="AA852" s="4">
        <v>150</v>
      </c>
      <c r="AB852" s="18"/>
      <c r="AC852" s="18">
        <v>14</v>
      </c>
      <c r="AD852" s="28"/>
      <c r="AE852" s="26"/>
      <c r="AF852" s="28"/>
    </row>
    <row r="853" spans="1:32" ht="12.6" customHeight="1" x14ac:dyDescent="0.25">
      <c r="A853" s="14">
        <v>45754</v>
      </c>
      <c r="B853" s="14" t="s">
        <v>45</v>
      </c>
      <c r="C853" s="15">
        <v>3</v>
      </c>
      <c r="D853" s="16"/>
      <c r="E853" s="16"/>
      <c r="F853" s="17"/>
      <c r="G853" s="21"/>
      <c r="H853" s="21"/>
      <c r="I853" s="4">
        <v>0</v>
      </c>
      <c r="J853" s="4">
        <v>0</v>
      </c>
      <c r="K853" s="4"/>
      <c r="L853" s="16"/>
      <c r="M853" s="4"/>
      <c r="N853" s="4"/>
      <c r="O853" s="4"/>
      <c r="P853" s="4"/>
      <c r="Q853" s="4"/>
      <c r="R853" s="4"/>
      <c r="S853" s="4">
        <v>0</v>
      </c>
      <c r="T853" s="4">
        <v>0</v>
      </c>
      <c r="U853" s="4">
        <v>0</v>
      </c>
      <c r="V853" s="4">
        <v>12</v>
      </c>
      <c r="W853" s="4">
        <v>12</v>
      </c>
      <c r="X853" s="4">
        <v>0</v>
      </c>
      <c r="Y853" s="4"/>
      <c r="Z853" s="4">
        <v>124.21000000000001</v>
      </c>
      <c r="AA853" s="4">
        <v>150</v>
      </c>
      <c r="AB853" s="18"/>
      <c r="AC853" s="18">
        <v>14</v>
      </c>
      <c r="AD853" s="28"/>
      <c r="AE853" s="26"/>
      <c r="AF853" s="28"/>
    </row>
    <row r="854" spans="1:32" ht="12.6" customHeight="1" x14ac:dyDescent="0.25">
      <c r="A854" s="14">
        <v>45754</v>
      </c>
      <c r="B854" s="14" t="s">
        <v>46</v>
      </c>
      <c r="C854" s="15">
        <v>3</v>
      </c>
      <c r="D854" s="16"/>
      <c r="E854" s="16"/>
      <c r="F854" s="17"/>
      <c r="G854" s="21"/>
      <c r="H854" s="21"/>
      <c r="I854" s="4">
        <v>0</v>
      </c>
      <c r="J854" s="4">
        <v>0</v>
      </c>
      <c r="K854" s="4"/>
      <c r="L854" s="16"/>
      <c r="M854" s="4"/>
      <c r="N854" s="4"/>
      <c r="O854" s="4"/>
      <c r="P854" s="4"/>
      <c r="Q854" s="4"/>
      <c r="R854" s="4"/>
      <c r="S854" s="4">
        <v>0</v>
      </c>
      <c r="T854" s="4">
        <v>0</v>
      </c>
      <c r="U854" s="4">
        <v>0</v>
      </c>
      <c r="V854" s="4">
        <v>12</v>
      </c>
      <c r="W854" s="4">
        <v>12</v>
      </c>
      <c r="X854" s="4">
        <v>0</v>
      </c>
      <c r="Y854" s="4"/>
      <c r="Z854" s="4">
        <v>206.26</v>
      </c>
      <c r="AA854" s="4">
        <v>200</v>
      </c>
      <c r="AB854" s="18"/>
      <c r="AC854" s="18">
        <v>14</v>
      </c>
      <c r="AD854" s="28"/>
      <c r="AE854" s="26"/>
      <c r="AF854" s="28"/>
    </row>
    <row r="855" spans="1:32" ht="12.6" customHeight="1" x14ac:dyDescent="0.25">
      <c r="A855" s="14">
        <v>45754</v>
      </c>
      <c r="B855" s="14" t="s">
        <v>45</v>
      </c>
      <c r="C855" s="15">
        <v>4</v>
      </c>
      <c r="D855" s="16"/>
      <c r="E855" s="16"/>
      <c r="F855" s="17"/>
      <c r="G855" s="21"/>
      <c r="H855" s="21"/>
      <c r="I855" s="4">
        <v>0</v>
      </c>
      <c r="J855" s="4">
        <v>0</v>
      </c>
      <c r="K855" s="4"/>
      <c r="L855" s="16"/>
      <c r="M855" s="4"/>
      <c r="N855" s="4"/>
      <c r="O855" s="4"/>
      <c r="P855" s="4"/>
      <c r="Q855" s="4"/>
      <c r="R855" s="4"/>
      <c r="S855" s="4">
        <v>0</v>
      </c>
      <c r="T855" s="4">
        <v>0</v>
      </c>
      <c r="U855" s="4">
        <v>0</v>
      </c>
      <c r="V855" s="4">
        <v>12</v>
      </c>
      <c r="W855" s="4">
        <v>12</v>
      </c>
      <c r="X855" s="4">
        <v>0</v>
      </c>
      <c r="Y855" s="4"/>
      <c r="Z855" s="4">
        <v>260.83000000000004</v>
      </c>
      <c r="AA855" s="4">
        <v>250</v>
      </c>
      <c r="AB855" s="18"/>
      <c r="AC855" s="18">
        <v>14</v>
      </c>
      <c r="AD855" s="28"/>
      <c r="AE855" s="26"/>
      <c r="AF855" s="28"/>
    </row>
    <row r="856" spans="1:32" ht="12.6" customHeight="1" x14ac:dyDescent="0.25">
      <c r="A856" s="14">
        <v>45754</v>
      </c>
      <c r="B856" s="14" t="s">
        <v>46</v>
      </c>
      <c r="C856" s="15">
        <v>4</v>
      </c>
      <c r="D856" s="16"/>
      <c r="E856" s="16"/>
      <c r="F856" s="17"/>
      <c r="G856" s="21"/>
      <c r="H856" s="21"/>
      <c r="I856" s="4">
        <v>0</v>
      </c>
      <c r="J856" s="4">
        <v>0</v>
      </c>
      <c r="K856" s="4"/>
      <c r="L856" s="16"/>
      <c r="M856" s="4"/>
      <c r="N856" s="4"/>
      <c r="O856" s="4"/>
      <c r="P856" s="4"/>
      <c r="Q856" s="4">
        <v>30</v>
      </c>
      <c r="R856" s="4"/>
      <c r="S856" s="4">
        <v>30</v>
      </c>
      <c r="T856" s="4">
        <v>0.5</v>
      </c>
      <c r="U856" s="4">
        <v>0.5</v>
      </c>
      <c r="V856" s="4">
        <v>11.5</v>
      </c>
      <c r="W856" s="4">
        <v>12</v>
      </c>
      <c r="X856" s="4">
        <v>0</v>
      </c>
      <c r="Y856" s="4"/>
      <c r="Z856" s="4">
        <v>640.05000000000007</v>
      </c>
      <c r="AA856" s="4">
        <v>650</v>
      </c>
      <c r="AB856" s="18"/>
      <c r="AC856" s="18">
        <v>14</v>
      </c>
      <c r="AD856" s="28"/>
      <c r="AE856" s="26"/>
      <c r="AF856" s="28"/>
    </row>
    <row r="857" spans="1:32" ht="12.6" customHeight="1" x14ac:dyDescent="0.25">
      <c r="A857" s="14">
        <v>45755</v>
      </c>
      <c r="B857" s="14" t="s">
        <v>45</v>
      </c>
      <c r="C857" s="15">
        <v>1</v>
      </c>
      <c r="D857" s="16"/>
      <c r="E857" s="16"/>
      <c r="F857" s="17"/>
      <c r="G857" s="21"/>
      <c r="H857" s="21"/>
      <c r="I857" s="4">
        <v>0</v>
      </c>
      <c r="J857" s="4">
        <v>0</v>
      </c>
      <c r="K857" s="4"/>
      <c r="L857" s="16"/>
      <c r="M857" s="4"/>
      <c r="N857" s="4"/>
      <c r="O857" s="4"/>
      <c r="P857" s="4"/>
      <c r="Q857" s="4"/>
      <c r="R857" s="4"/>
      <c r="S857" s="4">
        <v>0</v>
      </c>
      <c r="T857" s="4">
        <v>0</v>
      </c>
      <c r="U857" s="4">
        <v>0</v>
      </c>
      <c r="V857" s="4">
        <v>12</v>
      </c>
      <c r="W857" s="4">
        <v>12</v>
      </c>
      <c r="X857" s="4">
        <v>24.2</v>
      </c>
      <c r="Y857" s="4">
        <v>1374</v>
      </c>
      <c r="Z857" s="4">
        <v>107.69999999999999</v>
      </c>
      <c r="AA857" s="4">
        <v>100</v>
      </c>
      <c r="AB857" s="18">
        <v>398</v>
      </c>
      <c r="AC857" s="18">
        <v>14</v>
      </c>
      <c r="AD857" s="28"/>
      <c r="AE857" s="26"/>
      <c r="AF857" s="28"/>
    </row>
    <row r="858" spans="1:32" ht="12.6" customHeight="1" x14ac:dyDescent="0.25">
      <c r="A858" s="14">
        <v>45755</v>
      </c>
      <c r="B858" s="14" t="s">
        <v>46</v>
      </c>
      <c r="C858" s="15">
        <v>1</v>
      </c>
      <c r="D858" s="16"/>
      <c r="E858" s="16"/>
      <c r="F858" s="17"/>
      <c r="G858" s="21"/>
      <c r="H858" s="21"/>
      <c r="I858" s="4">
        <v>0</v>
      </c>
      <c r="J858" s="4">
        <v>0</v>
      </c>
      <c r="K858" s="4"/>
      <c r="L858" s="16"/>
      <c r="M858" s="4"/>
      <c r="N858" s="4"/>
      <c r="O858" s="4"/>
      <c r="P858" s="4"/>
      <c r="Q858" s="4"/>
      <c r="R858" s="4"/>
      <c r="S858" s="4">
        <v>0</v>
      </c>
      <c r="T858" s="4">
        <v>0</v>
      </c>
      <c r="U858" s="4">
        <v>0</v>
      </c>
      <c r="V858" s="4">
        <v>12</v>
      </c>
      <c r="W858" s="4">
        <v>12</v>
      </c>
      <c r="X858" s="4">
        <v>35.200000000000003</v>
      </c>
      <c r="Y858" s="4"/>
      <c r="Z858" s="4">
        <v>248.48000000000002</v>
      </c>
      <c r="AA858" s="4">
        <v>250</v>
      </c>
      <c r="AB858" s="18"/>
      <c r="AC858" s="18">
        <v>14</v>
      </c>
      <c r="AD858" s="28"/>
      <c r="AE858" s="26"/>
      <c r="AF858" s="28"/>
    </row>
    <row r="859" spans="1:32" ht="12.6" customHeight="1" x14ac:dyDescent="0.25">
      <c r="A859" s="14">
        <v>45755</v>
      </c>
      <c r="B859" s="14" t="s">
        <v>45</v>
      </c>
      <c r="C859" s="15">
        <v>2</v>
      </c>
      <c r="D859" s="16"/>
      <c r="E859" s="16"/>
      <c r="F859" s="17"/>
      <c r="G859" s="21"/>
      <c r="H859" s="21"/>
      <c r="I859" s="4">
        <v>0</v>
      </c>
      <c r="J859" s="4">
        <v>0</v>
      </c>
      <c r="K859" s="4"/>
      <c r="L859" s="16"/>
      <c r="M859" s="4"/>
      <c r="N859" s="4"/>
      <c r="O859" s="4"/>
      <c r="P859" s="4"/>
      <c r="Q859" s="4"/>
      <c r="R859" s="4"/>
      <c r="S859" s="4">
        <v>0</v>
      </c>
      <c r="T859" s="4">
        <v>0</v>
      </c>
      <c r="U859" s="4">
        <v>0</v>
      </c>
      <c r="V859" s="4">
        <v>12</v>
      </c>
      <c r="W859" s="4">
        <v>12</v>
      </c>
      <c r="X859" s="4">
        <v>0</v>
      </c>
      <c r="Y859" s="4"/>
      <c r="Z859" s="4">
        <v>171.07</v>
      </c>
      <c r="AA859" s="4">
        <v>200</v>
      </c>
      <c r="AB859" s="18"/>
      <c r="AC859" s="18">
        <v>14</v>
      </c>
      <c r="AD859" s="28"/>
      <c r="AE859" s="26"/>
      <c r="AF859" s="28"/>
    </row>
    <row r="860" spans="1:32" ht="12.6" customHeight="1" x14ac:dyDescent="0.25">
      <c r="A860" s="14">
        <v>45755</v>
      </c>
      <c r="B860" s="14" t="s">
        <v>46</v>
      </c>
      <c r="C860" s="15">
        <v>2</v>
      </c>
      <c r="D860" s="16"/>
      <c r="E860" s="16"/>
      <c r="F860" s="17"/>
      <c r="G860" s="21"/>
      <c r="H860" s="21"/>
      <c r="I860" s="4">
        <v>0</v>
      </c>
      <c r="J860" s="4">
        <v>0</v>
      </c>
      <c r="K860" s="4"/>
      <c r="L860" s="16"/>
      <c r="M860" s="4"/>
      <c r="N860" s="4"/>
      <c r="O860" s="4"/>
      <c r="P860" s="4"/>
      <c r="Q860" s="4"/>
      <c r="R860" s="4"/>
      <c r="S860" s="4">
        <v>0</v>
      </c>
      <c r="T860" s="4">
        <v>0</v>
      </c>
      <c r="U860" s="4">
        <v>0</v>
      </c>
      <c r="V860" s="4">
        <v>12</v>
      </c>
      <c r="W860" s="4">
        <v>12</v>
      </c>
      <c r="X860" s="4">
        <v>0</v>
      </c>
      <c r="Y860" s="4"/>
      <c r="Z860" s="4">
        <v>125.47</v>
      </c>
      <c r="AA860" s="4">
        <v>100</v>
      </c>
      <c r="AB860" s="18"/>
      <c r="AC860" s="18">
        <v>14</v>
      </c>
      <c r="AD860" s="28"/>
      <c r="AE860" s="26"/>
      <c r="AF860" s="28"/>
    </row>
    <row r="861" spans="1:32" ht="12.6" customHeight="1" x14ac:dyDescent="0.25">
      <c r="A861" s="14">
        <v>45755</v>
      </c>
      <c r="B861" s="14" t="s">
        <v>45</v>
      </c>
      <c r="C861" s="15">
        <v>3</v>
      </c>
      <c r="D861" s="16"/>
      <c r="E861" s="16"/>
      <c r="F861" s="17"/>
      <c r="G861" s="21"/>
      <c r="H861" s="21"/>
      <c r="I861" s="4">
        <v>0</v>
      </c>
      <c r="J861" s="4">
        <v>0</v>
      </c>
      <c r="K861" s="4"/>
      <c r="L861" s="16"/>
      <c r="M861" s="4"/>
      <c r="N861" s="4"/>
      <c r="O861" s="4"/>
      <c r="P861" s="4"/>
      <c r="Q861" s="4"/>
      <c r="R861" s="4"/>
      <c r="S861" s="4">
        <v>0</v>
      </c>
      <c r="T861" s="4">
        <v>0</v>
      </c>
      <c r="U861" s="4">
        <v>0</v>
      </c>
      <c r="V861" s="4">
        <v>12</v>
      </c>
      <c r="W861" s="4">
        <v>12</v>
      </c>
      <c r="X861" s="4">
        <v>0</v>
      </c>
      <c r="Y861" s="4"/>
      <c r="Z861" s="4">
        <v>196.33999999999997</v>
      </c>
      <c r="AA861" s="4">
        <v>200</v>
      </c>
      <c r="AB861" s="18"/>
      <c r="AC861" s="18">
        <v>14</v>
      </c>
      <c r="AD861" s="28"/>
      <c r="AE861" s="26"/>
      <c r="AF861" s="28"/>
    </row>
    <row r="862" spans="1:32" ht="12.6" customHeight="1" x14ac:dyDescent="0.25">
      <c r="A862" s="14">
        <v>45755</v>
      </c>
      <c r="B862" s="14" t="s">
        <v>46</v>
      </c>
      <c r="C862" s="15">
        <v>3</v>
      </c>
      <c r="D862" s="16"/>
      <c r="E862" s="16"/>
      <c r="F862" s="17"/>
      <c r="G862" s="21"/>
      <c r="H862" s="21"/>
      <c r="I862" s="4">
        <v>0</v>
      </c>
      <c r="J862" s="4">
        <v>0</v>
      </c>
      <c r="K862" s="4"/>
      <c r="L862" s="16"/>
      <c r="M862" s="4"/>
      <c r="N862" s="4"/>
      <c r="O862" s="4"/>
      <c r="P862" s="4"/>
      <c r="Q862" s="4"/>
      <c r="R862" s="4"/>
      <c r="S862" s="4">
        <v>0</v>
      </c>
      <c r="T862" s="4">
        <v>0</v>
      </c>
      <c r="U862" s="4">
        <v>0</v>
      </c>
      <c r="V862" s="4">
        <v>12</v>
      </c>
      <c r="W862" s="4">
        <v>12</v>
      </c>
      <c r="X862" s="4">
        <v>0</v>
      </c>
      <c r="Y862" s="4"/>
      <c r="Z862" s="4">
        <v>249.96999999999997</v>
      </c>
      <c r="AA862" s="4">
        <v>250</v>
      </c>
      <c r="AB862" s="18"/>
      <c r="AC862" s="18">
        <v>14</v>
      </c>
      <c r="AD862" s="28"/>
      <c r="AE862" s="26"/>
      <c r="AF862" s="28"/>
    </row>
    <row r="863" spans="1:32" ht="12.6" customHeight="1" x14ac:dyDescent="0.25">
      <c r="A863" s="14">
        <v>45755</v>
      </c>
      <c r="B863" s="14" t="s">
        <v>45</v>
      </c>
      <c r="C863" s="15">
        <v>4</v>
      </c>
      <c r="D863" s="16">
        <v>30</v>
      </c>
      <c r="E863" s="16"/>
      <c r="F863" s="17"/>
      <c r="G863" s="21"/>
      <c r="H863" s="21"/>
      <c r="I863" s="4">
        <v>30</v>
      </c>
      <c r="J863" s="4">
        <v>0.5</v>
      </c>
      <c r="K863" s="4"/>
      <c r="L863" s="16"/>
      <c r="M863" s="4"/>
      <c r="N863" s="4"/>
      <c r="O863" s="4"/>
      <c r="P863" s="4"/>
      <c r="Q863" s="4"/>
      <c r="R863" s="4"/>
      <c r="S863" s="4">
        <v>0</v>
      </c>
      <c r="T863" s="4">
        <v>0</v>
      </c>
      <c r="U863" s="4">
        <v>0.5</v>
      </c>
      <c r="V863" s="4">
        <v>11.5</v>
      </c>
      <c r="W863" s="4">
        <v>12</v>
      </c>
      <c r="X863" s="4">
        <v>0</v>
      </c>
      <c r="Y863" s="4"/>
      <c r="Z863" s="4">
        <v>616.66000000000008</v>
      </c>
      <c r="AA863" s="4">
        <v>600</v>
      </c>
      <c r="AB863" s="18"/>
      <c r="AC863" s="18">
        <v>14</v>
      </c>
      <c r="AD863" s="28"/>
      <c r="AE863" s="26"/>
      <c r="AF863" s="28"/>
    </row>
    <row r="864" spans="1:32" ht="12.6" customHeight="1" x14ac:dyDescent="0.25">
      <c r="A864" s="14">
        <v>45755</v>
      </c>
      <c r="B864" s="14" t="s">
        <v>46</v>
      </c>
      <c r="C864" s="15">
        <v>4</v>
      </c>
      <c r="D864" s="16"/>
      <c r="E864" s="16"/>
      <c r="F864" s="17"/>
      <c r="G864" s="21"/>
      <c r="H864" s="21"/>
      <c r="I864" s="4">
        <v>0</v>
      </c>
      <c r="J864" s="4">
        <v>0</v>
      </c>
      <c r="K864" s="4"/>
      <c r="L864" s="16"/>
      <c r="M864" s="4"/>
      <c r="N864" s="4"/>
      <c r="O864" s="4"/>
      <c r="P864" s="4"/>
      <c r="Q864" s="4"/>
      <c r="R864" s="4"/>
      <c r="S864" s="4">
        <v>0</v>
      </c>
      <c r="T864" s="4">
        <v>0</v>
      </c>
      <c r="U864" s="4">
        <v>0</v>
      </c>
      <c r="V864" s="4">
        <v>12</v>
      </c>
      <c r="W864" s="4">
        <v>12</v>
      </c>
      <c r="X864" s="4">
        <v>0</v>
      </c>
      <c r="Y864" s="4"/>
      <c r="Z864" s="4">
        <v>628.27</v>
      </c>
      <c r="AA864" s="4">
        <v>650</v>
      </c>
      <c r="AB864" s="18"/>
      <c r="AC864" s="18">
        <v>14</v>
      </c>
      <c r="AD864" s="28"/>
      <c r="AE864" s="26"/>
      <c r="AF864" s="28"/>
    </row>
    <row r="865" spans="1:32" ht="12.6" customHeight="1" x14ac:dyDescent="0.25">
      <c r="A865" s="14">
        <v>45756</v>
      </c>
      <c r="B865" s="14" t="s">
        <v>45</v>
      </c>
      <c r="C865" s="15">
        <v>1</v>
      </c>
      <c r="D865" s="16"/>
      <c r="E865" s="16"/>
      <c r="F865" s="17"/>
      <c r="G865" s="21"/>
      <c r="H865" s="21"/>
      <c r="I865" s="4">
        <v>0</v>
      </c>
      <c r="J865" s="4">
        <v>0</v>
      </c>
      <c r="K865" s="4"/>
      <c r="L865" s="16"/>
      <c r="M865" s="4"/>
      <c r="N865" s="4"/>
      <c r="O865" s="4"/>
      <c r="P865" s="4"/>
      <c r="Q865" s="4"/>
      <c r="R865" s="4"/>
      <c r="S865" s="4">
        <v>0</v>
      </c>
      <c r="T865" s="4">
        <v>0</v>
      </c>
      <c r="U865" s="4">
        <v>0</v>
      </c>
      <c r="V865" s="4">
        <v>12</v>
      </c>
      <c r="W865" s="4">
        <v>12</v>
      </c>
      <c r="X865" s="4">
        <v>38</v>
      </c>
      <c r="Y865" s="4">
        <v>1443</v>
      </c>
      <c r="Z865" s="4">
        <v>240.16000000000003</v>
      </c>
      <c r="AA865" s="4">
        <v>250</v>
      </c>
      <c r="AB865" s="18">
        <v>398</v>
      </c>
      <c r="AC865" s="18">
        <v>14</v>
      </c>
      <c r="AD865" s="28"/>
      <c r="AE865" s="26"/>
      <c r="AF865" s="28"/>
    </row>
    <row r="866" spans="1:32" ht="12.6" customHeight="1" x14ac:dyDescent="0.25">
      <c r="A866" s="14">
        <v>45756</v>
      </c>
      <c r="B866" s="14" t="s">
        <v>46</v>
      </c>
      <c r="C866" s="15">
        <v>1</v>
      </c>
      <c r="D866" s="16"/>
      <c r="E866" s="16"/>
      <c r="F866" s="17"/>
      <c r="G866" s="21"/>
      <c r="H866" s="21"/>
      <c r="I866" s="4">
        <v>0</v>
      </c>
      <c r="J866" s="4">
        <v>0</v>
      </c>
      <c r="K866" s="4"/>
      <c r="L866" s="16"/>
      <c r="M866" s="4"/>
      <c r="N866" s="4"/>
      <c r="O866" s="4"/>
      <c r="P866" s="4"/>
      <c r="Q866" s="4"/>
      <c r="R866" s="4"/>
      <c r="S866" s="4">
        <v>0</v>
      </c>
      <c r="T866" s="4">
        <v>0</v>
      </c>
      <c r="U866" s="4">
        <v>0</v>
      </c>
      <c r="V866" s="4">
        <v>12</v>
      </c>
      <c r="W866" s="4">
        <v>12</v>
      </c>
      <c r="X866" s="4">
        <v>40</v>
      </c>
      <c r="Y866" s="4"/>
      <c r="Z866" s="4">
        <v>217.39</v>
      </c>
      <c r="AA866" s="4">
        <v>200</v>
      </c>
      <c r="AB866" s="18"/>
      <c r="AC866" s="18">
        <v>14</v>
      </c>
      <c r="AD866" s="28"/>
      <c r="AE866" s="26"/>
      <c r="AF866" s="28"/>
    </row>
    <row r="867" spans="1:32" ht="12.6" customHeight="1" x14ac:dyDescent="0.25">
      <c r="A867" s="14">
        <v>45756</v>
      </c>
      <c r="B867" s="14" t="s">
        <v>45</v>
      </c>
      <c r="C867" s="15">
        <v>2</v>
      </c>
      <c r="D867" s="16"/>
      <c r="E867" s="16"/>
      <c r="F867" s="17"/>
      <c r="G867" s="21"/>
      <c r="H867" s="21"/>
      <c r="I867" s="4">
        <v>0</v>
      </c>
      <c r="J867" s="4">
        <v>0</v>
      </c>
      <c r="K867" s="4"/>
      <c r="L867" s="16"/>
      <c r="M867" s="4"/>
      <c r="N867" s="4"/>
      <c r="O867" s="4"/>
      <c r="P867" s="4">
        <v>300</v>
      </c>
      <c r="Q867" s="4"/>
      <c r="R867" s="4"/>
      <c r="S867" s="4">
        <v>300</v>
      </c>
      <c r="T867" s="4">
        <v>5</v>
      </c>
      <c r="U867" s="4">
        <v>5</v>
      </c>
      <c r="V867" s="4">
        <v>7</v>
      </c>
      <c r="W867" s="4">
        <v>12</v>
      </c>
      <c r="X867" s="4">
        <v>0</v>
      </c>
      <c r="Y867" s="4"/>
      <c r="Z867" s="4">
        <v>88.2</v>
      </c>
      <c r="AA867" s="4">
        <v>100</v>
      </c>
      <c r="AB867" s="18"/>
      <c r="AC867" s="18">
        <v>14</v>
      </c>
      <c r="AD867" s="28"/>
      <c r="AE867" s="26"/>
      <c r="AF867" s="28"/>
    </row>
    <row r="868" spans="1:32" ht="12.6" customHeight="1" x14ac:dyDescent="0.25">
      <c r="A868" s="14">
        <v>45756</v>
      </c>
      <c r="B868" s="14" t="s">
        <v>46</v>
      </c>
      <c r="C868" s="15">
        <v>2</v>
      </c>
      <c r="D868" s="16"/>
      <c r="E868" s="16"/>
      <c r="F868" s="17"/>
      <c r="G868" s="21"/>
      <c r="H868" s="21"/>
      <c r="I868" s="4">
        <v>0</v>
      </c>
      <c r="J868" s="4">
        <v>0</v>
      </c>
      <c r="K868" s="4"/>
      <c r="L868" s="16"/>
      <c r="M868" s="4"/>
      <c r="N868" s="4"/>
      <c r="O868" s="4"/>
      <c r="P868" s="4"/>
      <c r="Q868" s="4"/>
      <c r="R868" s="4"/>
      <c r="S868" s="4">
        <v>0</v>
      </c>
      <c r="T868" s="4">
        <v>0</v>
      </c>
      <c r="U868" s="4">
        <v>0</v>
      </c>
      <c r="V868" s="4">
        <v>12</v>
      </c>
      <c r="W868" s="4">
        <v>12</v>
      </c>
      <c r="X868" s="4">
        <v>0</v>
      </c>
      <c r="Y868" s="4"/>
      <c r="Z868" s="4">
        <v>89.740000000000009</v>
      </c>
      <c r="AA868" s="4">
        <v>100</v>
      </c>
      <c r="AB868" s="18"/>
      <c r="AC868" s="18">
        <v>14</v>
      </c>
      <c r="AD868" s="28"/>
      <c r="AE868" s="26"/>
      <c r="AF868" s="28"/>
    </row>
    <row r="869" spans="1:32" ht="12.6" customHeight="1" x14ac:dyDescent="0.25">
      <c r="A869" s="14">
        <v>45756</v>
      </c>
      <c r="B869" s="14" t="s">
        <v>45</v>
      </c>
      <c r="C869" s="15">
        <v>4</v>
      </c>
      <c r="D869" s="16">
        <v>30</v>
      </c>
      <c r="E869" s="16"/>
      <c r="F869" s="17"/>
      <c r="G869" s="21"/>
      <c r="H869" s="21"/>
      <c r="I869" s="4">
        <v>30</v>
      </c>
      <c r="J869" s="4">
        <v>0.5</v>
      </c>
      <c r="K869" s="4"/>
      <c r="L869" s="16"/>
      <c r="M869" s="4"/>
      <c r="N869" s="4"/>
      <c r="O869" s="4"/>
      <c r="P869" s="4"/>
      <c r="Q869" s="4"/>
      <c r="R869" s="4"/>
      <c r="S869" s="4">
        <v>0</v>
      </c>
      <c r="T869" s="4">
        <v>0</v>
      </c>
      <c r="U869" s="4">
        <v>0.5</v>
      </c>
      <c r="V869" s="4">
        <v>11.5</v>
      </c>
      <c r="W869" s="4">
        <v>12</v>
      </c>
      <c r="X869" s="4">
        <v>0</v>
      </c>
      <c r="Y869" s="4"/>
      <c r="Z869" s="4">
        <v>690.36</v>
      </c>
      <c r="AA869" s="4">
        <v>700</v>
      </c>
      <c r="AB869" s="18"/>
      <c r="AC869" s="18">
        <v>14</v>
      </c>
      <c r="AD869" s="28"/>
      <c r="AE869" s="26"/>
      <c r="AF869" s="28"/>
    </row>
    <row r="870" spans="1:32" ht="12.6" customHeight="1" x14ac:dyDescent="0.25">
      <c r="A870" s="14">
        <v>45756</v>
      </c>
      <c r="B870" s="14" t="s">
        <v>46</v>
      </c>
      <c r="C870" s="15">
        <v>4</v>
      </c>
      <c r="D870" s="16"/>
      <c r="E870" s="16"/>
      <c r="F870" s="17"/>
      <c r="G870" s="21"/>
      <c r="H870" s="21"/>
      <c r="I870" s="4">
        <v>0</v>
      </c>
      <c r="J870" s="4">
        <v>0</v>
      </c>
      <c r="K870" s="4"/>
      <c r="L870" s="16"/>
      <c r="M870" s="4"/>
      <c r="N870" s="4"/>
      <c r="O870" s="4"/>
      <c r="P870" s="4"/>
      <c r="Q870" s="4"/>
      <c r="R870" s="4"/>
      <c r="S870" s="4">
        <v>0</v>
      </c>
      <c r="T870" s="4">
        <v>0</v>
      </c>
      <c r="U870" s="4">
        <v>0</v>
      </c>
      <c r="V870" s="4">
        <v>12</v>
      </c>
      <c r="W870" s="4">
        <v>12</v>
      </c>
      <c r="X870" s="4">
        <v>0</v>
      </c>
      <c r="Y870" s="4"/>
      <c r="Z870" s="4">
        <v>623.15000000000009</v>
      </c>
      <c r="AA870" s="4">
        <v>650</v>
      </c>
      <c r="AB870" s="18"/>
      <c r="AC870" s="18">
        <v>14</v>
      </c>
      <c r="AD870" s="28"/>
      <c r="AE870" s="26"/>
      <c r="AF870" s="28"/>
    </row>
    <row r="871" spans="1:32" ht="12.6" customHeight="1" x14ac:dyDescent="0.25">
      <c r="A871" s="14">
        <v>45756</v>
      </c>
      <c r="B871" s="14" t="s">
        <v>45</v>
      </c>
      <c r="C871" s="15">
        <v>5</v>
      </c>
      <c r="D871" s="16">
        <v>30</v>
      </c>
      <c r="E871" s="16"/>
      <c r="F871" s="17"/>
      <c r="G871" s="21"/>
      <c r="H871" s="21"/>
      <c r="I871" s="4">
        <v>30</v>
      </c>
      <c r="J871" s="4">
        <v>0.5</v>
      </c>
      <c r="K871" s="4"/>
      <c r="L871" s="16"/>
      <c r="M871" s="4"/>
      <c r="N871" s="4"/>
      <c r="O871" s="4"/>
      <c r="P871" s="4"/>
      <c r="Q871" s="4"/>
      <c r="R871" s="4"/>
      <c r="S871" s="4">
        <v>0</v>
      </c>
      <c r="T871" s="4">
        <v>0</v>
      </c>
      <c r="U871" s="4">
        <v>0.5</v>
      </c>
      <c r="V871" s="4">
        <v>11.5</v>
      </c>
      <c r="W871" s="4">
        <v>12</v>
      </c>
      <c r="X871" s="4">
        <v>0</v>
      </c>
      <c r="Y871" s="4"/>
      <c r="Z871" s="4">
        <v>522.05999999999995</v>
      </c>
      <c r="AA871" s="4">
        <v>550</v>
      </c>
      <c r="AB871" s="18"/>
      <c r="AC871" s="18">
        <v>14</v>
      </c>
      <c r="AD871" s="28"/>
      <c r="AE871" s="26"/>
      <c r="AF871" s="28"/>
    </row>
    <row r="872" spans="1:32" ht="12.6" customHeight="1" x14ac:dyDescent="0.25">
      <c r="A872" s="14">
        <v>45756</v>
      </c>
      <c r="B872" s="14" t="s">
        <v>46</v>
      </c>
      <c r="C872" s="15">
        <v>5</v>
      </c>
      <c r="D872" s="16"/>
      <c r="E872" s="16"/>
      <c r="F872" s="17"/>
      <c r="G872" s="21"/>
      <c r="H872" s="21"/>
      <c r="I872" s="4">
        <v>0</v>
      </c>
      <c r="J872" s="4">
        <v>0</v>
      </c>
      <c r="K872" s="4"/>
      <c r="L872" s="16"/>
      <c r="M872" s="4"/>
      <c r="N872" s="4"/>
      <c r="O872" s="4"/>
      <c r="P872" s="4">
        <v>60</v>
      </c>
      <c r="Q872" s="4"/>
      <c r="R872" s="4"/>
      <c r="S872" s="4">
        <v>60</v>
      </c>
      <c r="T872" s="4">
        <v>1</v>
      </c>
      <c r="U872" s="4">
        <v>1</v>
      </c>
      <c r="V872" s="4">
        <v>11</v>
      </c>
      <c r="W872" s="4">
        <v>12</v>
      </c>
      <c r="X872" s="4">
        <v>0</v>
      </c>
      <c r="Y872" s="4"/>
      <c r="Z872" s="4">
        <v>376.81999999999994</v>
      </c>
      <c r="AA872" s="4">
        <v>400</v>
      </c>
      <c r="AB872" s="18"/>
      <c r="AC872" s="18">
        <v>14</v>
      </c>
      <c r="AD872" s="28"/>
      <c r="AE872" s="26"/>
      <c r="AF872" s="28"/>
    </row>
    <row r="873" spans="1:32" ht="12.6" customHeight="1" x14ac:dyDescent="0.25">
      <c r="A873" s="14">
        <v>45757</v>
      </c>
      <c r="B873" s="14" t="s">
        <v>45</v>
      </c>
      <c r="C873" s="15">
        <v>1</v>
      </c>
      <c r="D873" s="16"/>
      <c r="E873" s="16"/>
      <c r="F873" s="17"/>
      <c r="G873" s="21"/>
      <c r="H873" s="21"/>
      <c r="I873" s="4">
        <v>0</v>
      </c>
      <c r="J873" s="4">
        <v>0</v>
      </c>
      <c r="K873" s="4"/>
      <c r="L873" s="16"/>
      <c r="M873" s="4"/>
      <c r="N873" s="4"/>
      <c r="O873" s="4"/>
      <c r="P873" s="4"/>
      <c r="Q873" s="4"/>
      <c r="R873" s="4"/>
      <c r="S873" s="4">
        <v>0</v>
      </c>
      <c r="T873" s="4">
        <v>0</v>
      </c>
      <c r="U873" s="4">
        <v>0</v>
      </c>
      <c r="V873" s="4">
        <v>12</v>
      </c>
      <c r="W873" s="4">
        <v>12</v>
      </c>
      <c r="X873" s="4">
        <v>69</v>
      </c>
      <c r="Y873" s="4">
        <v>1443</v>
      </c>
      <c r="Z873" s="4">
        <v>138.98999999999998</v>
      </c>
      <c r="AA873" s="4">
        <v>150</v>
      </c>
      <c r="AB873" s="18">
        <v>398</v>
      </c>
      <c r="AC873" s="18">
        <v>14</v>
      </c>
      <c r="AD873" s="28"/>
      <c r="AE873" s="26"/>
      <c r="AF873" s="28"/>
    </row>
    <row r="874" spans="1:32" ht="12.6" customHeight="1" x14ac:dyDescent="0.25">
      <c r="A874" s="14">
        <v>45757</v>
      </c>
      <c r="B874" s="14" t="s">
        <v>46</v>
      </c>
      <c r="C874" s="15">
        <v>1</v>
      </c>
      <c r="D874" s="16"/>
      <c r="E874" s="16"/>
      <c r="F874" s="17"/>
      <c r="G874" s="21"/>
      <c r="H874" s="21"/>
      <c r="I874" s="4">
        <v>0</v>
      </c>
      <c r="J874" s="4">
        <v>0</v>
      </c>
      <c r="K874" s="4"/>
      <c r="L874" s="16"/>
      <c r="M874" s="4"/>
      <c r="N874" s="4"/>
      <c r="O874" s="4"/>
      <c r="P874" s="4"/>
      <c r="Q874" s="4"/>
      <c r="R874" s="4"/>
      <c r="S874" s="4">
        <v>0</v>
      </c>
      <c r="T874" s="4">
        <v>0</v>
      </c>
      <c r="U874" s="4">
        <v>0</v>
      </c>
      <c r="V874" s="4">
        <v>12</v>
      </c>
      <c r="W874" s="4">
        <v>12</v>
      </c>
      <c r="X874" s="4">
        <v>31.8</v>
      </c>
      <c r="Y874" s="4"/>
      <c r="Z874" s="4">
        <v>128.69</v>
      </c>
      <c r="AA874" s="4">
        <v>150</v>
      </c>
      <c r="AB874" s="18"/>
      <c r="AC874" s="18">
        <v>14</v>
      </c>
      <c r="AD874" s="28"/>
      <c r="AE874" s="26"/>
      <c r="AF874" s="28"/>
    </row>
    <row r="875" spans="1:32" ht="12.6" customHeight="1" x14ac:dyDescent="0.25">
      <c r="A875" s="14">
        <v>45757</v>
      </c>
      <c r="B875" s="14" t="s">
        <v>45</v>
      </c>
      <c r="C875" s="15">
        <v>2</v>
      </c>
      <c r="D875" s="16"/>
      <c r="E875" s="16"/>
      <c r="F875" s="17"/>
      <c r="G875" s="21"/>
      <c r="H875" s="21"/>
      <c r="I875" s="4">
        <v>0</v>
      </c>
      <c r="J875" s="4">
        <v>0</v>
      </c>
      <c r="K875" s="4"/>
      <c r="L875" s="16"/>
      <c r="M875" s="4"/>
      <c r="N875" s="4"/>
      <c r="O875" s="4"/>
      <c r="P875" s="4"/>
      <c r="Q875" s="4"/>
      <c r="R875" s="4"/>
      <c r="S875" s="4">
        <v>0</v>
      </c>
      <c r="T875" s="4">
        <v>0</v>
      </c>
      <c r="U875" s="4">
        <v>0</v>
      </c>
      <c r="V875" s="4">
        <v>12</v>
      </c>
      <c r="W875" s="4">
        <v>12</v>
      </c>
      <c r="X875" s="4">
        <v>0</v>
      </c>
      <c r="Y875" s="4"/>
      <c r="Z875" s="4">
        <v>102.8</v>
      </c>
      <c r="AA875" s="4">
        <v>100</v>
      </c>
      <c r="AB875" s="18"/>
      <c r="AC875" s="18">
        <v>14</v>
      </c>
      <c r="AD875" s="28"/>
      <c r="AE875" s="26"/>
      <c r="AF875" s="28"/>
    </row>
    <row r="876" spans="1:32" ht="12.6" customHeight="1" x14ac:dyDescent="0.25">
      <c r="A876" s="14">
        <v>45757</v>
      </c>
      <c r="B876" s="14" t="s">
        <v>46</v>
      </c>
      <c r="C876" s="15">
        <v>2</v>
      </c>
      <c r="D876" s="16"/>
      <c r="E876" s="16"/>
      <c r="F876" s="17"/>
      <c r="G876" s="21"/>
      <c r="H876" s="21"/>
      <c r="I876" s="4">
        <v>0</v>
      </c>
      <c r="J876" s="4">
        <v>0</v>
      </c>
      <c r="K876" s="4"/>
      <c r="L876" s="16"/>
      <c r="M876" s="4"/>
      <c r="N876" s="4"/>
      <c r="O876" s="4"/>
      <c r="P876" s="4"/>
      <c r="Q876" s="4"/>
      <c r="R876" s="4"/>
      <c r="S876" s="4">
        <v>0</v>
      </c>
      <c r="T876" s="4">
        <v>0</v>
      </c>
      <c r="U876" s="4">
        <v>0</v>
      </c>
      <c r="V876" s="4">
        <v>12</v>
      </c>
      <c r="W876" s="4">
        <v>12</v>
      </c>
      <c r="X876" s="4">
        <v>0</v>
      </c>
      <c r="Y876" s="4"/>
      <c r="Z876" s="4">
        <v>111.22</v>
      </c>
      <c r="AA876" s="4">
        <v>100</v>
      </c>
      <c r="AB876" s="18"/>
      <c r="AC876" s="18">
        <v>14</v>
      </c>
      <c r="AD876" s="28"/>
      <c r="AE876" s="26"/>
      <c r="AF876" s="28"/>
    </row>
    <row r="877" spans="1:32" ht="12.6" customHeight="1" x14ac:dyDescent="0.25">
      <c r="A877" s="14">
        <v>45757</v>
      </c>
      <c r="B877" s="14" t="s">
        <v>45</v>
      </c>
      <c r="C877" s="15">
        <v>4</v>
      </c>
      <c r="D877" s="16">
        <v>120</v>
      </c>
      <c r="E877" s="16"/>
      <c r="F877" s="17"/>
      <c r="G877" s="21"/>
      <c r="H877" s="21"/>
      <c r="I877" s="4">
        <v>120</v>
      </c>
      <c r="J877" s="4">
        <v>2</v>
      </c>
      <c r="K877" s="4"/>
      <c r="L877" s="16"/>
      <c r="M877" s="4"/>
      <c r="N877" s="4"/>
      <c r="O877" s="4"/>
      <c r="P877" s="4"/>
      <c r="Q877" s="4"/>
      <c r="R877" s="4"/>
      <c r="S877" s="4">
        <v>0</v>
      </c>
      <c r="T877" s="4">
        <v>0</v>
      </c>
      <c r="U877" s="4">
        <v>2</v>
      </c>
      <c r="V877" s="4">
        <v>10</v>
      </c>
      <c r="W877" s="4">
        <v>12</v>
      </c>
      <c r="X877" s="4">
        <v>0</v>
      </c>
      <c r="Y877" s="4"/>
      <c r="Z877" s="4">
        <v>636.63</v>
      </c>
      <c r="AA877" s="4">
        <v>650</v>
      </c>
      <c r="AB877" s="18"/>
      <c r="AC877" s="18">
        <v>14</v>
      </c>
      <c r="AD877" s="28"/>
      <c r="AE877" s="26"/>
      <c r="AF877" s="28"/>
    </row>
    <row r="878" spans="1:32" ht="12.6" customHeight="1" x14ac:dyDescent="0.25">
      <c r="A878" s="14">
        <v>45757</v>
      </c>
      <c r="B878" s="14" t="s">
        <v>46</v>
      </c>
      <c r="C878" s="15">
        <v>4</v>
      </c>
      <c r="D878" s="16">
        <v>20</v>
      </c>
      <c r="E878" s="16"/>
      <c r="F878" s="17"/>
      <c r="G878" s="21"/>
      <c r="H878" s="21"/>
      <c r="I878" s="4">
        <v>20</v>
      </c>
      <c r="J878" s="4">
        <v>0.33333333333333331</v>
      </c>
      <c r="K878" s="4"/>
      <c r="L878" s="16"/>
      <c r="M878" s="4"/>
      <c r="N878" s="4"/>
      <c r="O878" s="4"/>
      <c r="P878" s="4"/>
      <c r="Q878" s="4"/>
      <c r="R878" s="4"/>
      <c r="S878" s="4">
        <v>0</v>
      </c>
      <c r="T878" s="4">
        <v>0</v>
      </c>
      <c r="U878" s="4">
        <v>0.33333333333333331</v>
      </c>
      <c r="V878" s="4">
        <v>11.666666666666666</v>
      </c>
      <c r="W878" s="4">
        <v>12</v>
      </c>
      <c r="X878" s="4">
        <v>0</v>
      </c>
      <c r="Y878" s="4"/>
      <c r="Z878" s="4">
        <v>671.5</v>
      </c>
      <c r="AA878" s="4">
        <v>700</v>
      </c>
      <c r="AB878" s="18"/>
      <c r="AC878" s="18">
        <v>14</v>
      </c>
      <c r="AD878" s="28"/>
      <c r="AE878" s="26"/>
      <c r="AF878" s="28"/>
    </row>
    <row r="879" spans="1:32" ht="12.6" customHeight="1" x14ac:dyDescent="0.25">
      <c r="A879" s="14">
        <v>45757</v>
      </c>
      <c r="B879" s="14" t="s">
        <v>45</v>
      </c>
      <c r="C879" s="15">
        <v>5</v>
      </c>
      <c r="D879" s="16"/>
      <c r="E879" s="16"/>
      <c r="F879" s="17"/>
      <c r="G879" s="21"/>
      <c r="H879" s="21"/>
      <c r="I879" s="4">
        <v>0</v>
      </c>
      <c r="J879" s="4">
        <v>0</v>
      </c>
      <c r="K879" s="4"/>
      <c r="L879" s="16"/>
      <c r="M879" s="4"/>
      <c r="N879" s="4"/>
      <c r="O879" s="4"/>
      <c r="P879" s="4"/>
      <c r="Q879" s="4"/>
      <c r="R879" s="4"/>
      <c r="S879" s="4">
        <v>0</v>
      </c>
      <c r="T879" s="4">
        <v>0</v>
      </c>
      <c r="U879" s="4">
        <v>0</v>
      </c>
      <c r="V879" s="4">
        <v>12</v>
      </c>
      <c r="W879" s="4">
        <v>12</v>
      </c>
      <c r="X879" s="4">
        <v>0</v>
      </c>
      <c r="Y879" s="4"/>
      <c r="Z879" s="4">
        <v>538.24</v>
      </c>
      <c r="AA879" s="4">
        <v>550</v>
      </c>
      <c r="AB879" s="18"/>
      <c r="AC879" s="18">
        <v>14</v>
      </c>
      <c r="AD879" s="28"/>
      <c r="AE879" s="26"/>
      <c r="AF879" s="28"/>
    </row>
    <row r="880" spans="1:32" ht="12.6" customHeight="1" x14ac:dyDescent="0.25">
      <c r="A880" s="14">
        <v>45757</v>
      </c>
      <c r="B880" s="14" t="s">
        <v>46</v>
      </c>
      <c r="C880" s="15">
        <v>5</v>
      </c>
      <c r="D880" s="16"/>
      <c r="E880" s="16"/>
      <c r="F880" s="17"/>
      <c r="G880" s="21"/>
      <c r="H880" s="21"/>
      <c r="I880" s="4">
        <v>0</v>
      </c>
      <c r="J880" s="4">
        <v>0</v>
      </c>
      <c r="K880" s="4"/>
      <c r="L880" s="16"/>
      <c r="M880" s="4"/>
      <c r="N880" s="4"/>
      <c r="O880" s="4"/>
      <c r="P880" s="4"/>
      <c r="Q880" s="4"/>
      <c r="R880" s="4"/>
      <c r="S880" s="4">
        <v>0</v>
      </c>
      <c r="T880" s="4">
        <v>0</v>
      </c>
      <c r="U880" s="4">
        <v>0</v>
      </c>
      <c r="V880" s="4">
        <v>12</v>
      </c>
      <c r="W880" s="4">
        <v>12</v>
      </c>
      <c r="X880" s="4">
        <v>0</v>
      </c>
      <c r="Y880" s="4"/>
      <c r="Z880" s="4">
        <v>467.57000000000005</v>
      </c>
      <c r="AA880" s="4">
        <v>450</v>
      </c>
      <c r="AB880" s="18"/>
      <c r="AC880" s="18">
        <v>14</v>
      </c>
      <c r="AD880" s="28"/>
      <c r="AE880" s="26"/>
      <c r="AF880" s="28"/>
    </row>
    <row r="881" spans="1:32" ht="12.6" customHeight="1" x14ac:dyDescent="0.25">
      <c r="A881" s="14">
        <v>45758</v>
      </c>
      <c r="B881" s="14" t="s">
        <v>45</v>
      </c>
      <c r="C881" s="15">
        <v>1</v>
      </c>
      <c r="D881" s="16"/>
      <c r="E881" s="16"/>
      <c r="F881" s="17"/>
      <c r="G881" s="21"/>
      <c r="H881" s="21"/>
      <c r="I881" s="4">
        <v>0</v>
      </c>
      <c r="J881" s="4">
        <v>0</v>
      </c>
      <c r="K881" s="4"/>
      <c r="L881" s="16"/>
      <c r="M881" s="4"/>
      <c r="N881" s="4"/>
      <c r="O881" s="4"/>
      <c r="P881" s="4"/>
      <c r="Q881" s="4"/>
      <c r="R881" s="4"/>
      <c r="S881" s="4">
        <v>0</v>
      </c>
      <c r="T881" s="4">
        <v>0</v>
      </c>
      <c r="U881" s="4">
        <v>0</v>
      </c>
      <c r="V881" s="4">
        <v>12</v>
      </c>
      <c r="W881" s="4">
        <v>12</v>
      </c>
      <c r="X881" s="4">
        <v>19.399999999999999</v>
      </c>
      <c r="Y881" s="4">
        <v>1422</v>
      </c>
      <c r="Z881" s="4">
        <v>135.25</v>
      </c>
      <c r="AA881" s="4">
        <v>150</v>
      </c>
      <c r="AB881" s="18">
        <v>398</v>
      </c>
      <c r="AC881" s="18">
        <v>14</v>
      </c>
      <c r="AD881" s="28"/>
      <c r="AE881" s="26"/>
      <c r="AF881" s="28"/>
    </row>
    <row r="882" spans="1:32" ht="12.6" customHeight="1" x14ac:dyDescent="0.25">
      <c r="A882" s="14">
        <v>45758</v>
      </c>
      <c r="B882" s="14" t="s">
        <v>46</v>
      </c>
      <c r="C882" s="15">
        <v>1</v>
      </c>
      <c r="D882" s="16"/>
      <c r="E882" s="16"/>
      <c r="F882" s="17"/>
      <c r="G882" s="21"/>
      <c r="H882" s="21"/>
      <c r="I882" s="4">
        <v>0</v>
      </c>
      <c r="J882" s="4">
        <v>0</v>
      </c>
      <c r="K882" s="4"/>
      <c r="L882" s="16"/>
      <c r="M882" s="4"/>
      <c r="N882" s="4"/>
      <c r="O882" s="4"/>
      <c r="P882" s="4"/>
      <c r="Q882" s="4"/>
      <c r="R882" s="4"/>
      <c r="S882" s="4">
        <v>0</v>
      </c>
      <c r="T882" s="4">
        <v>0</v>
      </c>
      <c r="U882" s="4">
        <v>0</v>
      </c>
      <c r="V882" s="4">
        <v>12</v>
      </c>
      <c r="W882" s="4">
        <v>12</v>
      </c>
      <c r="X882" s="4">
        <v>25</v>
      </c>
      <c r="Y882" s="4"/>
      <c r="Z882" s="4">
        <v>147.13</v>
      </c>
      <c r="AA882" s="4">
        <v>150</v>
      </c>
      <c r="AB882" s="18"/>
      <c r="AC882" s="18">
        <v>14</v>
      </c>
      <c r="AD882" s="28"/>
      <c r="AE882" s="26"/>
      <c r="AF882" s="28"/>
    </row>
    <row r="883" spans="1:32" ht="12.6" customHeight="1" x14ac:dyDescent="0.25">
      <c r="A883" s="14">
        <v>45758</v>
      </c>
      <c r="B883" s="14" t="s">
        <v>45</v>
      </c>
      <c r="C883" s="15">
        <v>2</v>
      </c>
      <c r="D883" s="16"/>
      <c r="E883" s="16"/>
      <c r="F883" s="17"/>
      <c r="G883" s="21"/>
      <c r="H883" s="21"/>
      <c r="I883" s="4">
        <v>0</v>
      </c>
      <c r="J883" s="4">
        <v>0</v>
      </c>
      <c r="K883" s="4"/>
      <c r="L883" s="16"/>
      <c r="M883" s="4"/>
      <c r="N883" s="4"/>
      <c r="O883" s="4"/>
      <c r="P883" s="4"/>
      <c r="Q883" s="4"/>
      <c r="R883" s="4"/>
      <c r="S883" s="4">
        <v>0</v>
      </c>
      <c r="T883" s="4">
        <v>0</v>
      </c>
      <c r="U883" s="4">
        <v>0</v>
      </c>
      <c r="V883" s="4">
        <v>12</v>
      </c>
      <c r="W883" s="4">
        <v>12</v>
      </c>
      <c r="X883" s="4">
        <v>0</v>
      </c>
      <c r="Y883" s="4"/>
      <c r="Z883" s="4">
        <v>114.57000000000001</v>
      </c>
      <c r="AA883" s="4">
        <v>100</v>
      </c>
      <c r="AB883" s="18"/>
      <c r="AC883" s="18">
        <v>14</v>
      </c>
      <c r="AD883" s="28"/>
      <c r="AE883" s="26"/>
      <c r="AF883" s="28"/>
    </row>
    <row r="884" spans="1:32" ht="12.6" customHeight="1" x14ac:dyDescent="0.25">
      <c r="A884" s="14">
        <v>45758</v>
      </c>
      <c r="B884" s="14" t="s">
        <v>46</v>
      </c>
      <c r="C884" s="15">
        <v>2</v>
      </c>
      <c r="D884" s="16"/>
      <c r="E884" s="16"/>
      <c r="F884" s="17"/>
      <c r="G884" s="21"/>
      <c r="H884" s="21"/>
      <c r="I884" s="4">
        <v>0</v>
      </c>
      <c r="J884" s="4">
        <v>0</v>
      </c>
      <c r="K884" s="4"/>
      <c r="L884" s="16"/>
      <c r="M884" s="4"/>
      <c r="N884" s="4"/>
      <c r="O884" s="4"/>
      <c r="P884" s="4"/>
      <c r="Q884" s="4"/>
      <c r="R884" s="4"/>
      <c r="S884" s="4">
        <v>0</v>
      </c>
      <c r="T884" s="4">
        <v>0</v>
      </c>
      <c r="U884" s="4">
        <v>0</v>
      </c>
      <c r="V884" s="4">
        <v>12</v>
      </c>
      <c r="W884" s="4">
        <v>12</v>
      </c>
      <c r="X884" s="4">
        <v>0</v>
      </c>
      <c r="Y884" s="4"/>
      <c r="Z884" s="4">
        <v>133.04000000000002</v>
      </c>
      <c r="AA884" s="4">
        <v>150</v>
      </c>
      <c r="AB884" s="18"/>
      <c r="AC884" s="18">
        <v>14</v>
      </c>
      <c r="AD884" s="28"/>
      <c r="AE884" s="26"/>
      <c r="AF884" s="28"/>
    </row>
    <row r="885" spans="1:32" ht="12.6" customHeight="1" x14ac:dyDescent="0.25">
      <c r="A885" s="14">
        <v>45758</v>
      </c>
      <c r="B885" s="14" t="s">
        <v>45</v>
      </c>
      <c r="C885" s="15">
        <v>4</v>
      </c>
      <c r="D885" s="16">
        <v>20</v>
      </c>
      <c r="E885" s="16"/>
      <c r="F885" s="17"/>
      <c r="G885" s="21"/>
      <c r="H885" s="21"/>
      <c r="I885" s="4">
        <v>20</v>
      </c>
      <c r="J885" s="4">
        <v>0.33333333333333331</v>
      </c>
      <c r="K885" s="4"/>
      <c r="L885" s="16"/>
      <c r="M885" s="4"/>
      <c r="N885" s="4"/>
      <c r="O885" s="4"/>
      <c r="P885" s="4"/>
      <c r="Q885" s="4"/>
      <c r="R885" s="4"/>
      <c r="S885" s="4">
        <v>0</v>
      </c>
      <c r="T885" s="4">
        <v>0</v>
      </c>
      <c r="U885" s="4">
        <v>0.33333333333333331</v>
      </c>
      <c r="V885" s="4">
        <v>11.666666666666666</v>
      </c>
      <c r="W885" s="4">
        <v>12</v>
      </c>
      <c r="X885" s="4">
        <v>0</v>
      </c>
      <c r="Y885" s="4"/>
      <c r="Z885" s="4">
        <v>704.78</v>
      </c>
      <c r="AA885" s="4">
        <v>700</v>
      </c>
      <c r="AB885" s="18"/>
      <c r="AC885" s="18">
        <v>14</v>
      </c>
      <c r="AD885" s="28"/>
      <c r="AE885" s="26"/>
      <c r="AF885" s="28"/>
    </row>
    <row r="886" spans="1:32" ht="12.6" customHeight="1" x14ac:dyDescent="0.25">
      <c r="A886" s="14">
        <v>45758</v>
      </c>
      <c r="B886" s="14" t="s">
        <v>46</v>
      </c>
      <c r="C886" s="15">
        <v>4</v>
      </c>
      <c r="D886" s="16"/>
      <c r="E886" s="16"/>
      <c r="F886" s="17"/>
      <c r="G886" s="21"/>
      <c r="H886" s="21"/>
      <c r="I886" s="4">
        <v>0</v>
      </c>
      <c r="J886" s="4">
        <v>0</v>
      </c>
      <c r="K886" s="4"/>
      <c r="L886" s="16"/>
      <c r="M886" s="4"/>
      <c r="N886" s="4"/>
      <c r="O886" s="4"/>
      <c r="P886" s="4"/>
      <c r="Q886" s="4"/>
      <c r="R886" s="4"/>
      <c r="S886" s="4">
        <v>0</v>
      </c>
      <c r="T886" s="4">
        <v>0</v>
      </c>
      <c r="U886" s="4">
        <v>0</v>
      </c>
      <c r="V886" s="4">
        <v>12</v>
      </c>
      <c r="W886" s="4">
        <v>12</v>
      </c>
      <c r="X886" s="4">
        <v>0</v>
      </c>
      <c r="Y886" s="4"/>
      <c r="Z886" s="4">
        <v>661.7</v>
      </c>
      <c r="AA886" s="4">
        <v>700</v>
      </c>
      <c r="AB886" s="18"/>
      <c r="AC886" s="18">
        <v>14</v>
      </c>
      <c r="AD886" s="28"/>
      <c r="AE886" s="26"/>
      <c r="AF886" s="28"/>
    </row>
    <row r="887" spans="1:32" ht="12.6" customHeight="1" x14ac:dyDescent="0.25">
      <c r="A887" s="14">
        <v>45758</v>
      </c>
      <c r="B887" s="14" t="s">
        <v>45</v>
      </c>
      <c r="C887" s="15">
        <v>5</v>
      </c>
      <c r="D887" s="16">
        <v>60</v>
      </c>
      <c r="E887" s="16"/>
      <c r="F887" s="17"/>
      <c r="G887" s="21"/>
      <c r="H887" s="21"/>
      <c r="I887" s="4">
        <v>60</v>
      </c>
      <c r="J887" s="4">
        <v>1</v>
      </c>
      <c r="K887" s="4"/>
      <c r="L887" s="16"/>
      <c r="M887" s="4"/>
      <c r="N887" s="4"/>
      <c r="O887" s="4"/>
      <c r="P887" s="4"/>
      <c r="Q887" s="4"/>
      <c r="R887" s="4"/>
      <c r="S887" s="4">
        <v>0</v>
      </c>
      <c r="T887" s="4">
        <v>0</v>
      </c>
      <c r="U887" s="4">
        <v>1</v>
      </c>
      <c r="V887" s="4">
        <v>11</v>
      </c>
      <c r="W887" s="4">
        <v>12</v>
      </c>
      <c r="X887" s="4">
        <v>0</v>
      </c>
      <c r="Y887" s="4"/>
      <c r="Z887" s="4">
        <v>488.58000000000004</v>
      </c>
      <c r="AA887" s="4">
        <v>500</v>
      </c>
      <c r="AB887" s="18"/>
      <c r="AC887" s="18">
        <v>14</v>
      </c>
      <c r="AD887" s="28"/>
      <c r="AE887" s="26"/>
      <c r="AF887" s="28"/>
    </row>
    <row r="888" spans="1:32" ht="12.6" customHeight="1" x14ac:dyDescent="0.25">
      <c r="A888" s="14">
        <v>45758</v>
      </c>
      <c r="B888" s="14" t="s">
        <v>46</v>
      </c>
      <c r="C888" s="15">
        <v>5</v>
      </c>
      <c r="D888" s="16"/>
      <c r="E888" s="16"/>
      <c r="F888" s="17"/>
      <c r="G888" s="21"/>
      <c r="H888" s="21"/>
      <c r="I888" s="4">
        <v>0</v>
      </c>
      <c r="J888" s="4">
        <v>0</v>
      </c>
      <c r="K888" s="4"/>
      <c r="L888" s="16"/>
      <c r="M888" s="4"/>
      <c r="N888" s="4"/>
      <c r="O888" s="4"/>
      <c r="P888" s="4"/>
      <c r="Q888" s="4"/>
      <c r="R888" s="4"/>
      <c r="S888" s="4">
        <v>0</v>
      </c>
      <c r="T888" s="4">
        <v>0</v>
      </c>
      <c r="U888" s="4">
        <v>0</v>
      </c>
      <c r="V888" s="4">
        <v>12</v>
      </c>
      <c r="W888" s="4">
        <v>12</v>
      </c>
      <c r="X888" s="4">
        <v>0</v>
      </c>
      <c r="Y888" s="4"/>
      <c r="Z888" s="4">
        <v>369.98</v>
      </c>
      <c r="AA888" s="4">
        <v>350</v>
      </c>
      <c r="AB888" s="18"/>
      <c r="AC888" s="18">
        <v>14</v>
      </c>
      <c r="AD888" s="28"/>
      <c r="AE888" s="26"/>
      <c r="AF888" s="28"/>
    </row>
    <row r="889" spans="1:32" ht="12.6" customHeight="1" x14ac:dyDescent="0.25">
      <c r="A889" s="14">
        <v>45759</v>
      </c>
      <c r="B889" s="14" t="s">
        <v>45</v>
      </c>
      <c r="C889" s="15">
        <v>1</v>
      </c>
      <c r="D889" s="16"/>
      <c r="E889" s="16"/>
      <c r="F889" s="17"/>
      <c r="G889" s="21"/>
      <c r="H889" s="21"/>
      <c r="I889" s="4">
        <v>0</v>
      </c>
      <c r="J889" s="4">
        <v>0</v>
      </c>
      <c r="K889" s="4"/>
      <c r="L889" s="16"/>
      <c r="M889" s="4"/>
      <c r="N889" s="4"/>
      <c r="O889" s="4"/>
      <c r="P889" s="4"/>
      <c r="Q889" s="4"/>
      <c r="R889" s="4"/>
      <c r="S889" s="4">
        <v>0</v>
      </c>
      <c r="T889" s="4">
        <v>0</v>
      </c>
      <c r="U889" s="4">
        <v>0</v>
      </c>
      <c r="V889" s="4">
        <v>12</v>
      </c>
      <c r="W889" s="4">
        <v>12</v>
      </c>
      <c r="X889" s="4">
        <v>45</v>
      </c>
      <c r="Y889" s="4">
        <v>1232</v>
      </c>
      <c r="Z889" s="4">
        <v>157.44</v>
      </c>
      <c r="AA889" s="4">
        <v>150</v>
      </c>
      <c r="AB889" s="18">
        <v>398</v>
      </c>
      <c r="AC889" s="18">
        <v>14</v>
      </c>
      <c r="AD889" s="28"/>
      <c r="AE889" s="26"/>
      <c r="AF889" s="28"/>
    </row>
    <row r="890" spans="1:32" ht="12.6" customHeight="1" x14ac:dyDescent="0.25">
      <c r="A890" s="14">
        <v>45759</v>
      </c>
      <c r="B890" s="14" t="s">
        <v>46</v>
      </c>
      <c r="C890" s="15">
        <v>1</v>
      </c>
      <c r="D890" s="16"/>
      <c r="E890" s="16"/>
      <c r="F890" s="17"/>
      <c r="G890" s="21"/>
      <c r="H890" s="21"/>
      <c r="I890" s="4">
        <v>0</v>
      </c>
      <c r="J890" s="4">
        <v>0</v>
      </c>
      <c r="K890" s="4"/>
      <c r="L890" s="16"/>
      <c r="M890" s="4"/>
      <c r="N890" s="4"/>
      <c r="O890" s="4"/>
      <c r="P890" s="4"/>
      <c r="Q890" s="4"/>
      <c r="R890" s="4"/>
      <c r="S890" s="4">
        <v>0</v>
      </c>
      <c r="T890" s="4">
        <v>0</v>
      </c>
      <c r="U890" s="4">
        <v>0</v>
      </c>
      <c r="V890" s="4">
        <v>12</v>
      </c>
      <c r="W890" s="4">
        <v>12</v>
      </c>
      <c r="X890" s="4">
        <v>33</v>
      </c>
      <c r="Y890" s="4"/>
      <c r="Z890" s="4">
        <v>110.10000000000001</v>
      </c>
      <c r="AA890" s="4">
        <v>150</v>
      </c>
      <c r="AB890" s="18"/>
      <c r="AC890" s="18">
        <v>14</v>
      </c>
      <c r="AD890" s="28"/>
      <c r="AE890" s="26"/>
      <c r="AF890" s="28"/>
    </row>
    <row r="891" spans="1:32" ht="12.6" customHeight="1" x14ac:dyDescent="0.25">
      <c r="A891" s="14">
        <v>45759</v>
      </c>
      <c r="B891" s="14" t="s">
        <v>45</v>
      </c>
      <c r="C891" s="15">
        <v>2</v>
      </c>
      <c r="D891" s="16"/>
      <c r="E891" s="16"/>
      <c r="F891" s="17"/>
      <c r="G891" s="21"/>
      <c r="H891" s="21"/>
      <c r="I891" s="4">
        <v>0</v>
      </c>
      <c r="J891" s="4">
        <v>0</v>
      </c>
      <c r="K891" s="4"/>
      <c r="L891" s="16"/>
      <c r="M891" s="4"/>
      <c r="N891" s="4"/>
      <c r="O891" s="4"/>
      <c r="P891" s="4"/>
      <c r="Q891" s="4"/>
      <c r="R891" s="4"/>
      <c r="S891" s="4">
        <v>0</v>
      </c>
      <c r="T891" s="4">
        <v>0</v>
      </c>
      <c r="U891" s="4">
        <v>0</v>
      </c>
      <c r="V891" s="4">
        <v>12</v>
      </c>
      <c r="W891" s="4">
        <v>12</v>
      </c>
      <c r="X891" s="4">
        <v>0</v>
      </c>
      <c r="Y891" s="4"/>
      <c r="Z891" s="4">
        <v>120.92</v>
      </c>
      <c r="AA891" s="4">
        <v>100</v>
      </c>
      <c r="AB891" s="18"/>
      <c r="AC891" s="18">
        <v>14</v>
      </c>
      <c r="AD891" s="28"/>
      <c r="AE891" s="26"/>
      <c r="AF891" s="28"/>
    </row>
    <row r="892" spans="1:32" ht="12.6" customHeight="1" x14ac:dyDescent="0.25">
      <c r="A892" s="14">
        <v>45759</v>
      </c>
      <c r="B892" s="14" t="s">
        <v>46</v>
      </c>
      <c r="C892" s="15">
        <v>2</v>
      </c>
      <c r="D892" s="16"/>
      <c r="E892" s="16"/>
      <c r="F892" s="17"/>
      <c r="G892" s="21"/>
      <c r="H892" s="21"/>
      <c r="I892" s="4">
        <v>0</v>
      </c>
      <c r="J892" s="4">
        <v>0</v>
      </c>
      <c r="K892" s="4"/>
      <c r="L892" s="16"/>
      <c r="M892" s="4"/>
      <c r="N892" s="4"/>
      <c r="O892" s="4"/>
      <c r="P892" s="4"/>
      <c r="Q892" s="4"/>
      <c r="R892" s="4"/>
      <c r="S892" s="4">
        <v>0</v>
      </c>
      <c r="T892" s="4">
        <v>0</v>
      </c>
      <c r="U892" s="4">
        <v>0</v>
      </c>
      <c r="V892" s="4">
        <v>12</v>
      </c>
      <c r="W892" s="4">
        <v>12</v>
      </c>
      <c r="X892" s="4">
        <v>0</v>
      </c>
      <c r="Y892" s="4"/>
      <c r="Z892" s="4">
        <v>101.44</v>
      </c>
      <c r="AA892" s="4">
        <v>100</v>
      </c>
      <c r="AB892" s="18"/>
      <c r="AC892" s="18">
        <v>14</v>
      </c>
      <c r="AD892" s="28"/>
      <c r="AE892" s="26"/>
      <c r="AF892" s="28"/>
    </row>
    <row r="893" spans="1:32" ht="12.6" customHeight="1" x14ac:dyDescent="0.25">
      <c r="A893" s="14">
        <v>45759</v>
      </c>
      <c r="B893" s="14" t="s">
        <v>45</v>
      </c>
      <c r="C893" s="15">
        <v>4</v>
      </c>
      <c r="D893" s="16"/>
      <c r="E893" s="16"/>
      <c r="F893" s="17"/>
      <c r="G893" s="21"/>
      <c r="H893" s="21"/>
      <c r="I893" s="4">
        <v>0</v>
      </c>
      <c r="J893" s="4">
        <v>0</v>
      </c>
      <c r="K893" s="4"/>
      <c r="L893" s="16"/>
      <c r="M893" s="4"/>
      <c r="N893" s="4"/>
      <c r="O893" s="4"/>
      <c r="P893" s="4"/>
      <c r="Q893" s="4"/>
      <c r="R893" s="4"/>
      <c r="S893" s="4">
        <v>0</v>
      </c>
      <c r="T893" s="4">
        <v>0</v>
      </c>
      <c r="U893" s="4">
        <v>0</v>
      </c>
      <c r="V893" s="4">
        <v>12</v>
      </c>
      <c r="W893" s="4">
        <v>12</v>
      </c>
      <c r="X893" s="4">
        <v>0</v>
      </c>
      <c r="Y893" s="4"/>
      <c r="Z893" s="4">
        <v>711.73</v>
      </c>
      <c r="AA893" s="4">
        <v>700</v>
      </c>
      <c r="AB893" s="18"/>
      <c r="AC893" s="18">
        <v>14</v>
      </c>
      <c r="AD893" s="28"/>
      <c r="AE893" s="26"/>
      <c r="AF893" s="28"/>
    </row>
    <row r="894" spans="1:32" ht="12.6" customHeight="1" x14ac:dyDescent="0.25">
      <c r="A894" s="14">
        <v>45759</v>
      </c>
      <c r="B894" s="14" t="s">
        <v>46</v>
      </c>
      <c r="C894" s="15">
        <v>4</v>
      </c>
      <c r="D894" s="16"/>
      <c r="E894" s="16"/>
      <c r="F894" s="17"/>
      <c r="G894" s="21"/>
      <c r="H894" s="21"/>
      <c r="I894" s="4">
        <v>0</v>
      </c>
      <c r="J894" s="4">
        <v>0</v>
      </c>
      <c r="K894" s="4"/>
      <c r="L894" s="16"/>
      <c r="M894" s="4"/>
      <c r="N894" s="4"/>
      <c r="O894" s="4"/>
      <c r="P894" s="4"/>
      <c r="Q894" s="4"/>
      <c r="R894" s="4"/>
      <c r="S894" s="4">
        <v>0</v>
      </c>
      <c r="T894" s="4">
        <v>0</v>
      </c>
      <c r="U894" s="4">
        <v>0</v>
      </c>
      <c r="V894" s="4">
        <v>12</v>
      </c>
      <c r="W894" s="4">
        <v>12</v>
      </c>
      <c r="X894" s="4">
        <v>0</v>
      </c>
      <c r="Y894" s="4"/>
      <c r="Z894" s="4">
        <v>495.2</v>
      </c>
      <c r="AA894" s="4">
        <v>500</v>
      </c>
      <c r="AB894" s="18"/>
      <c r="AC894" s="18">
        <v>14</v>
      </c>
      <c r="AD894" s="28"/>
      <c r="AE894" s="26"/>
      <c r="AF894" s="28"/>
    </row>
    <row r="895" spans="1:32" ht="12.6" customHeight="1" x14ac:dyDescent="0.25">
      <c r="A895" s="14">
        <v>45761</v>
      </c>
      <c r="B895" s="14" t="s">
        <v>45</v>
      </c>
      <c r="C895" s="15">
        <v>1</v>
      </c>
      <c r="D895" s="16"/>
      <c r="E895" s="16"/>
      <c r="F895" s="17"/>
      <c r="G895" s="21"/>
      <c r="H895" s="21"/>
      <c r="I895" s="4">
        <v>0</v>
      </c>
      <c r="J895" s="4">
        <v>0</v>
      </c>
      <c r="K895" s="4"/>
      <c r="L895" s="16"/>
      <c r="M895" s="4"/>
      <c r="N895" s="4"/>
      <c r="O895" s="4"/>
      <c r="P895" s="4"/>
      <c r="Q895" s="4"/>
      <c r="R895" s="4"/>
      <c r="S895" s="4">
        <v>0</v>
      </c>
      <c r="T895" s="4">
        <v>0</v>
      </c>
      <c r="U895" s="4">
        <v>0</v>
      </c>
      <c r="V895" s="4">
        <v>12</v>
      </c>
      <c r="W895" s="4">
        <v>12</v>
      </c>
      <c r="X895" s="4">
        <v>74</v>
      </c>
      <c r="Y895" s="4">
        <v>1407</v>
      </c>
      <c r="Z895" s="4">
        <v>57.8</v>
      </c>
      <c r="AA895" s="4">
        <v>100</v>
      </c>
      <c r="AB895" s="18">
        <v>398</v>
      </c>
      <c r="AC895" s="18">
        <v>15</v>
      </c>
      <c r="AD895" s="28"/>
      <c r="AE895" s="26"/>
      <c r="AF895" s="28"/>
    </row>
    <row r="896" spans="1:32" ht="12.6" customHeight="1" x14ac:dyDescent="0.25">
      <c r="A896" s="14">
        <v>45761</v>
      </c>
      <c r="B896" s="14" t="s">
        <v>46</v>
      </c>
      <c r="C896" s="15">
        <v>1</v>
      </c>
      <c r="D896" s="16"/>
      <c r="E896" s="16"/>
      <c r="F896" s="17"/>
      <c r="G896" s="21"/>
      <c r="H896" s="21"/>
      <c r="I896" s="4">
        <v>0</v>
      </c>
      <c r="J896" s="4">
        <v>0</v>
      </c>
      <c r="K896" s="4"/>
      <c r="L896" s="16"/>
      <c r="M896" s="4"/>
      <c r="N896" s="4"/>
      <c r="O896" s="4"/>
      <c r="P896" s="4"/>
      <c r="Q896" s="4"/>
      <c r="R896" s="4"/>
      <c r="S896" s="4">
        <v>0</v>
      </c>
      <c r="T896" s="4">
        <v>0</v>
      </c>
      <c r="U896" s="4">
        <v>0</v>
      </c>
      <c r="V896" s="4">
        <v>12</v>
      </c>
      <c r="W896" s="4">
        <v>12</v>
      </c>
      <c r="X896" s="4">
        <v>32</v>
      </c>
      <c r="Y896" s="4"/>
      <c r="Z896" s="4">
        <v>154.91999999999999</v>
      </c>
      <c r="AA896" s="4">
        <v>150</v>
      </c>
      <c r="AB896" s="18"/>
      <c r="AC896" s="18">
        <v>15</v>
      </c>
      <c r="AD896" s="28"/>
      <c r="AE896" s="26"/>
      <c r="AF896" s="28"/>
    </row>
    <row r="897" spans="1:32" ht="12.6" customHeight="1" x14ac:dyDescent="0.25">
      <c r="A897" s="14">
        <v>45761</v>
      </c>
      <c r="B897" s="14" t="s">
        <v>45</v>
      </c>
      <c r="C897" s="15">
        <v>2</v>
      </c>
      <c r="D897" s="16"/>
      <c r="E897" s="16"/>
      <c r="F897" s="17"/>
      <c r="G897" s="21"/>
      <c r="H897" s="21"/>
      <c r="I897" s="4">
        <v>0</v>
      </c>
      <c r="J897" s="4">
        <v>0</v>
      </c>
      <c r="K897" s="4"/>
      <c r="L897" s="16"/>
      <c r="M897" s="4"/>
      <c r="N897" s="4"/>
      <c r="O897" s="4"/>
      <c r="P897" s="4"/>
      <c r="Q897" s="4"/>
      <c r="R897" s="4"/>
      <c r="S897" s="4">
        <v>0</v>
      </c>
      <c r="T897" s="4">
        <v>0</v>
      </c>
      <c r="U897" s="4">
        <v>0</v>
      </c>
      <c r="V897" s="4">
        <v>12</v>
      </c>
      <c r="W897" s="4">
        <v>12</v>
      </c>
      <c r="X897" s="4">
        <v>0</v>
      </c>
      <c r="Y897" s="4"/>
      <c r="Z897" s="4">
        <v>93.15</v>
      </c>
      <c r="AA897" s="4">
        <v>100</v>
      </c>
      <c r="AB897" s="18"/>
      <c r="AC897" s="18">
        <v>15</v>
      </c>
      <c r="AD897" s="28"/>
      <c r="AE897" s="26"/>
      <c r="AF897" s="28"/>
    </row>
    <row r="898" spans="1:32" ht="12.6" customHeight="1" x14ac:dyDescent="0.25">
      <c r="A898" s="14">
        <v>45761</v>
      </c>
      <c r="B898" s="14" t="s">
        <v>46</v>
      </c>
      <c r="C898" s="15">
        <v>2</v>
      </c>
      <c r="D898" s="16">
        <v>20</v>
      </c>
      <c r="E898" s="16"/>
      <c r="F898" s="17"/>
      <c r="G898" s="21"/>
      <c r="H898" s="21"/>
      <c r="I898" s="4">
        <v>20</v>
      </c>
      <c r="J898" s="4">
        <v>0.33333333333333331</v>
      </c>
      <c r="K898" s="4"/>
      <c r="L898" s="16"/>
      <c r="M898" s="4"/>
      <c r="N898" s="4"/>
      <c r="O898" s="4"/>
      <c r="P898" s="4"/>
      <c r="Q898" s="4"/>
      <c r="R898" s="4"/>
      <c r="S898" s="4">
        <v>0</v>
      </c>
      <c r="T898" s="4">
        <v>0</v>
      </c>
      <c r="U898" s="4">
        <v>0.33333333333333331</v>
      </c>
      <c r="V898" s="4">
        <v>11.666666666666666</v>
      </c>
      <c r="W898" s="4">
        <v>12</v>
      </c>
      <c r="X898" s="4">
        <v>0</v>
      </c>
      <c r="Y898" s="4"/>
      <c r="Z898" s="4">
        <v>119.05</v>
      </c>
      <c r="AA898" s="4">
        <v>150</v>
      </c>
      <c r="AB898" s="18"/>
      <c r="AC898" s="18">
        <v>15</v>
      </c>
      <c r="AD898" s="28"/>
      <c r="AE898" s="26"/>
      <c r="AF898" s="28"/>
    </row>
    <row r="899" spans="1:32" ht="12.6" customHeight="1" x14ac:dyDescent="0.25">
      <c r="A899" s="14">
        <v>45761</v>
      </c>
      <c r="B899" s="14" t="s">
        <v>45</v>
      </c>
      <c r="C899" s="15">
        <v>4</v>
      </c>
      <c r="D899" s="16"/>
      <c r="E899" s="16"/>
      <c r="F899" s="17"/>
      <c r="G899" s="21"/>
      <c r="H899" s="21"/>
      <c r="I899" s="4">
        <v>0</v>
      </c>
      <c r="J899" s="4">
        <v>0</v>
      </c>
      <c r="K899" s="4"/>
      <c r="L899" s="16"/>
      <c r="M899" s="4"/>
      <c r="N899" s="4"/>
      <c r="O899" s="4"/>
      <c r="P899" s="4"/>
      <c r="Q899" s="4"/>
      <c r="R899" s="4"/>
      <c r="S899" s="4">
        <v>0</v>
      </c>
      <c r="T899" s="4">
        <v>0</v>
      </c>
      <c r="U899" s="4">
        <v>0</v>
      </c>
      <c r="V899" s="4">
        <v>12</v>
      </c>
      <c r="W899" s="4">
        <v>12</v>
      </c>
      <c r="X899" s="4">
        <v>0</v>
      </c>
      <c r="Y899" s="4"/>
      <c r="Z899" s="4">
        <v>335.31</v>
      </c>
      <c r="AA899" s="4">
        <v>350</v>
      </c>
      <c r="AB899" s="18"/>
      <c r="AC899" s="18">
        <v>15</v>
      </c>
      <c r="AD899" s="28"/>
      <c r="AE899" s="26"/>
      <c r="AF899" s="28"/>
    </row>
    <row r="900" spans="1:32" ht="12.6" customHeight="1" x14ac:dyDescent="0.25">
      <c r="A900" s="14">
        <v>45761</v>
      </c>
      <c r="B900" s="14" t="s">
        <v>46</v>
      </c>
      <c r="C900" s="15">
        <v>4</v>
      </c>
      <c r="D900" s="16"/>
      <c r="E900" s="16"/>
      <c r="F900" s="17"/>
      <c r="G900" s="21"/>
      <c r="H900" s="21"/>
      <c r="I900" s="4">
        <v>0</v>
      </c>
      <c r="J900" s="4">
        <v>0</v>
      </c>
      <c r="K900" s="4"/>
      <c r="L900" s="16"/>
      <c r="M900" s="4"/>
      <c r="N900" s="4"/>
      <c r="O900" s="4"/>
      <c r="P900" s="4"/>
      <c r="Q900" s="4"/>
      <c r="R900" s="4"/>
      <c r="S900" s="4">
        <v>0</v>
      </c>
      <c r="T900" s="4">
        <v>0</v>
      </c>
      <c r="U900" s="4">
        <v>0</v>
      </c>
      <c r="V900" s="4">
        <v>12</v>
      </c>
      <c r="W900" s="4">
        <v>12</v>
      </c>
      <c r="X900" s="4">
        <v>0</v>
      </c>
      <c r="Y900" s="4"/>
      <c r="Z900" s="4">
        <v>668.97000000000014</v>
      </c>
      <c r="AA900" s="4">
        <v>700</v>
      </c>
      <c r="AB900" s="18"/>
      <c r="AC900" s="18">
        <v>15</v>
      </c>
      <c r="AD900" s="28"/>
      <c r="AE900" s="26"/>
      <c r="AF900" s="28"/>
    </row>
    <row r="901" spans="1:32" ht="12.6" customHeight="1" x14ac:dyDescent="0.25">
      <c r="A901" s="14">
        <v>45761</v>
      </c>
      <c r="B901" s="14" t="s">
        <v>45</v>
      </c>
      <c r="C901" s="15">
        <v>5</v>
      </c>
      <c r="D901" s="16">
        <v>30</v>
      </c>
      <c r="E901" s="16"/>
      <c r="F901" s="17"/>
      <c r="G901" s="21"/>
      <c r="H901" s="21"/>
      <c r="I901" s="4">
        <v>30</v>
      </c>
      <c r="J901" s="4">
        <v>0.5</v>
      </c>
      <c r="K901" s="4"/>
      <c r="L901" s="16"/>
      <c r="M901" s="4"/>
      <c r="N901" s="4"/>
      <c r="O901" s="4"/>
      <c r="P901" s="4"/>
      <c r="Q901" s="4"/>
      <c r="R901" s="4"/>
      <c r="S901" s="4">
        <v>0</v>
      </c>
      <c r="T901" s="4">
        <v>0</v>
      </c>
      <c r="U901" s="4">
        <v>0.5</v>
      </c>
      <c r="V901" s="4">
        <v>11.5</v>
      </c>
      <c r="W901" s="4">
        <v>12</v>
      </c>
      <c r="X901" s="4">
        <v>0</v>
      </c>
      <c r="Y901" s="4"/>
      <c r="Z901" s="4">
        <v>316.71000000000004</v>
      </c>
      <c r="AA901" s="4">
        <v>350</v>
      </c>
      <c r="AB901" s="18"/>
      <c r="AC901" s="18">
        <v>15</v>
      </c>
      <c r="AD901" s="28"/>
      <c r="AE901" s="26"/>
      <c r="AF901" s="28"/>
    </row>
    <row r="902" spans="1:32" ht="12.6" customHeight="1" x14ac:dyDescent="0.25">
      <c r="A902" s="14">
        <v>45761</v>
      </c>
      <c r="B902" s="14" t="s">
        <v>46</v>
      </c>
      <c r="C902" s="15">
        <v>5</v>
      </c>
      <c r="D902" s="16"/>
      <c r="E902" s="16"/>
      <c r="F902" s="17"/>
      <c r="G902" s="21"/>
      <c r="H902" s="21"/>
      <c r="I902" s="4">
        <v>0</v>
      </c>
      <c r="J902" s="4">
        <v>0</v>
      </c>
      <c r="K902" s="4"/>
      <c r="L902" s="16"/>
      <c r="M902" s="4"/>
      <c r="N902" s="4"/>
      <c r="O902" s="4"/>
      <c r="P902" s="4"/>
      <c r="Q902" s="4"/>
      <c r="R902" s="4"/>
      <c r="S902" s="4">
        <v>0</v>
      </c>
      <c r="T902" s="4">
        <v>0</v>
      </c>
      <c r="U902" s="4">
        <v>0</v>
      </c>
      <c r="V902" s="4">
        <v>12</v>
      </c>
      <c r="W902" s="4">
        <v>12</v>
      </c>
      <c r="X902" s="4">
        <v>0</v>
      </c>
      <c r="Y902" s="4"/>
      <c r="Z902" s="4">
        <v>403.02</v>
      </c>
      <c r="AA902" s="4">
        <v>450</v>
      </c>
      <c r="AB902" s="18"/>
      <c r="AC902" s="18">
        <v>15</v>
      </c>
      <c r="AD902" s="28"/>
      <c r="AE902" s="26"/>
      <c r="AF902" s="28"/>
    </row>
    <row r="903" spans="1:32" ht="12.6" customHeight="1" x14ac:dyDescent="0.25">
      <c r="A903" s="14">
        <v>45762</v>
      </c>
      <c r="B903" s="14" t="s">
        <v>45</v>
      </c>
      <c r="C903" s="15">
        <v>1</v>
      </c>
      <c r="D903" s="16">
        <v>20</v>
      </c>
      <c r="E903" s="16"/>
      <c r="F903" s="17"/>
      <c r="G903" s="21"/>
      <c r="H903" s="21"/>
      <c r="I903" s="4">
        <v>20</v>
      </c>
      <c r="J903" s="4">
        <v>0.33333333333333331</v>
      </c>
      <c r="K903" s="4"/>
      <c r="L903" s="16"/>
      <c r="M903" s="4"/>
      <c r="N903" s="4"/>
      <c r="O903" s="4"/>
      <c r="P903" s="4"/>
      <c r="Q903" s="4"/>
      <c r="R903" s="4"/>
      <c r="S903" s="4">
        <v>0</v>
      </c>
      <c r="T903" s="4">
        <v>0</v>
      </c>
      <c r="U903" s="4">
        <v>0.33333333333333331</v>
      </c>
      <c r="V903" s="4">
        <v>11.666666666666666</v>
      </c>
      <c r="W903" s="4">
        <v>12</v>
      </c>
      <c r="X903" s="4">
        <v>22.5</v>
      </c>
      <c r="Y903" s="4">
        <v>1412</v>
      </c>
      <c r="Z903" s="4">
        <v>141.01999999999998</v>
      </c>
      <c r="AA903" s="4">
        <v>150</v>
      </c>
      <c r="AB903" s="18">
        <v>398</v>
      </c>
      <c r="AC903" s="18">
        <v>15</v>
      </c>
      <c r="AD903" s="28"/>
      <c r="AE903" s="26"/>
      <c r="AF903" s="28"/>
    </row>
    <row r="904" spans="1:32" ht="12.6" customHeight="1" x14ac:dyDescent="0.25">
      <c r="A904" s="14">
        <v>45762</v>
      </c>
      <c r="B904" s="14" t="s">
        <v>46</v>
      </c>
      <c r="C904" s="15">
        <v>1</v>
      </c>
      <c r="D904" s="16"/>
      <c r="E904" s="16"/>
      <c r="F904" s="17"/>
      <c r="G904" s="21"/>
      <c r="H904" s="21"/>
      <c r="I904" s="4">
        <v>0</v>
      </c>
      <c r="J904" s="4">
        <v>0</v>
      </c>
      <c r="K904" s="4"/>
      <c r="L904" s="16"/>
      <c r="M904" s="4"/>
      <c r="N904" s="4"/>
      <c r="O904" s="4"/>
      <c r="P904" s="4"/>
      <c r="Q904" s="4"/>
      <c r="R904" s="4"/>
      <c r="S904" s="4">
        <v>0</v>
      </c>
      <c r="T904" s="4">
        <v>0</v>
      </c>
      <c r="U904" s="4">
        <v>0</v>
      </c>
      <c r="V904" s="4">
        <v>12</v>
      </c>
      <c r="W904" s="4">
        <v>12</v>
      </c>
      <c r="X904" s="4">
        <v>33</v>
      </c>
      <c r="Y904" s="4"/>
      <c r="Z904" s="4">
        <v>167.74</v>
      </c>
      <c r="AA904" s="4">
        <v>150</v>
      </c>
      <c r="AB904" s="18"/>
      <c r="AC904" s="18">
        <v>15</v>
      </c>
      <c r="AD904" s="28"/>
      <c r="AE904" s="26"/>
      <c r="AF904" s="28"/>
    </row>
    <row r="905" spans="1:32" ht="12.6" customHeight="1" x14ac:dyDescent="0.25">
      <c r="A905" s="14">
        <v>45762</v>
      </c>
      <c r="B905" s="14" t="s">
        <v>45</v>
      </c>
      <c r="C905" s="15">
        <v>2</v>
      </c>
      <c r="D905" s="16"/>
      <c r="E905" s="16"/>
      <c r="F905" s="17"/>
      <c r="G905" s="21"/>
      <c r="H905" s="21"/>
      <c r="I905" s="4">
        <v>0</v>
      </c>
      <c r="J905" s="4">
        <v>0</v>
      </c>
      <c r="K905" s="4"/>
      <c r="L905" s="16"/>
      <c r="M905" s="4"/>
      <c r="N905" s="4"/>
      <c r="O905" s="4"/>
      <c r="P905" s="4"/>
      <c r="Q905" s="4"/>
      <c r="R905" s="4"/>
      <c r="S905" s="4">
        <v>0</v>
      </c>
      <c r="T905" s="4">
        <v>0</v>
      </c>
      <c r="U905" s="4">
        <v>0</v>
      </c>
      <c r="V905" s="4">
        <v>12</v>
      </c>
      <c r="W905" s="4">
        <v>12</v>
      </c>
      <c r="X905" s="4">
        <v>0</v>
      </c>
      <c r="Y905" s="4"/>
      <c r="Z905" s="4">
        <v>121.39</v>
      </c>
      <c r="AA905" s="4">
        <v>100</v>
      </c>
      <c r="AB905" s="18"/>
      <c r="AC905" s="18">
        <v>15</v>
      </c>
      <c r="AD905" s="28"/>
      <c r="AE905" s="26"/>
      <c r="AF905" s="28"/>
    </row>
    <row r="906" spans="1:32" ht="12.6" customHeight="1" x14ac:dyDescent="0.25">
      <c r="A906" s="14">
        <v>45762</v>
      </c>
      <c r="B906" s="14" t="s">
        <v>45</v>
      </c>
      <c r="C906" s="15">
        <v>4</v>
      </c>
      <c r="D906" s="16">
        <v>30</v>
      </c>
      <c r="E906" s="16"/>
      <c r="F906" s="17"/>
      <c r="G906" s="21"/>
      <c r="H906" s="21"/>
      <c r="I906" s="4">
        <v>30</v>
      </c>
      <c r="J906" s="4">
        <v>0.5</v>
      </c>
      <c r="K906" s="4"/>
      <c r="L906" s="16"/>
      <c r="M906" s="4"/>
      <c r="N906" s="4"/>
      <c r="O906" s="4"/>
      <c r="P906" s="4"/>
      <c r="Q906" s="4"/>
      <c r="R906" s="4"/>
      <c r="S906" s="4">
        <v>0</v>
      </c>
      <c r="T906" s="4">
        <v>0</v>
      </c>
      <c r="U906" s="4">
        <v>0.5</v>
      </c>
      <c r="V906" s="4">
        <v>11.5</v>
      </c>
      <c r="W906" s="4">
        <v>12</v>
      </c>
      <c r="X906" s="4">
        <v>0</v>
      </c>
      <c r="Y906" s="4"/>
      <c r="Z906" s="4">
        <v>620.1400000000001</v>
      </c>
      <c r="AA906" s="4">
        <v>650</v>
      </c>
      <c r="AB906" s="18"/>
      <c r="AC906" s="18">
        <v>15</v>
      </c>
      <c r="AD906" s="28"/>
      <c r="AE906" s="26"/>
      <c r="AF906" s="28"/>
    </row>
    <row r="907" spans="1:32" ht="12.6" customHeight="1" x14ac:dyDescent="0.25">
      <c r="A907" s="14">
        <v>45762</v>
      </c>
      <c r="B907" s="14" t="s">
        <v>46</v>
      </c>
      <c r="C907" s="15">
        <v>4</v>
      </c>
      <c r="D907" s="16">
        <v>20</v>
      </c>
      <c r="E907" s="16"/>
      <c r="F907" s="17"/>
      <c r="G907" s="21"/>
      <c r="H907" s="21"/>
      <c r="I907" s="4">
        <v>20</v>
      </c>
      <c r="J907" s="4">
        <v>0.33333333333333331</v>
      </c>
      <c r="K907" s="4"/>
      <c r="L907" s="16"/>
      <c r="M907" s="4"/>
      <c r="N907" s="4"/>
      <c r="O907" s="4"/>
      <c r="P907" s="4"/>
      <c r="Q907" s="4"/>
      <c r="R907" s="4"/>
      <c r="S907" s="4">
        <v>0</v>
      </c>
      <c r="T907" s="4">
        <v>0</v>
      </c>
      <c r="U907" s="4">
        <v>0.33333333333333331</v>
      </c>
      <c r="V907" s="4">
        <v>11.666666666666666</v>
      </c>
      <c r="W907" s="4">
        <v>12</v>
      </c>
      <c r="X907" s="4">
        <v>0</v>
      </c>
      <c r="Y907" s="4"/>
      <c r="Z907" s="4">
        <v>664.53</v>
      </c>
      <c r="AA907" s="4">
        <v>650</v>
      </c>
      <c r="AB907" s="18"/>
      <c r="AC907" s="18">
        <v>15</v>
      </c>
      <c r="AD907" s="28"/>
      <c r="AE907" s="26"/>
      <c r="AF907" s="28"/>
    </row>
    <row r="908" spans="1:32" ht="12.6" customHeight="1" x14ac:dyDescent="0.25">
      <c r="A908" s="14">
        <v>45762</v>
      </c>
      <c r="B908" s="14" t="s">
        <v>45</v>
      </c>
      <c r="C908" s="15">
        <v>5</v>
      </c>
      <c r="D908" s="16">
        <v>30</v>
      </c>
      <c r="E908" s="16"/>
      <c r="F908" s="17"/>
      <c r="G908" s="21"/>
      <c r="H908" s="21"/>
      <c r="I908" s="4">
        <v>30</v>
      </c>
      <c r="J908" s="4">
        <v>0.5</v>
      </c>
      <c r="K908" s="4"/>
      <c r="L908" s="16"/>
      <c r="M908" s="4"/>
      <c r="N908" s="4"/>
      <c r="O908" s="4"/>
      <c r="P908" s="4"/>
      <c r="Q908" s="4"/>
      <c r="R908" s="4"/>
      <c r="S908" s="4">
        <v>0</v>
      </c>
      <c r="T908" s="4">
        <v>0</v>
      </c>
      <c r="U908" s="4">
        <v>0.5</v>
      </c>
      <c r="V908" s="4">
        <v>11.5</v>
      </c>
      <c r="W908" s="4">
        <v>12</v>
      </c>
      <c r="X908" s="4">
        <v>0</v>
      </c>
      <c r="Y908" s="4"/>
      <c r="Z908" s="4">
        <v>428.72999999999996</v>
      </c>
      <c r="AA908" s="4">
        <v>450</v>
      </c>
      <c r="AB908" s="18"/>
      <c r="AC908" s="18">
        <v>15</v>
      </c>
      <c r="AD908" s="28"/>
      <c r="AE908" s="26"/>
      <c r="AF908" s="28"/>
    </row>
    <row r="909" spans="1:32" ht="12.6" customHeight="1" x14ac:dyDescent="0.25">
      <c r="A909" s="14">
        <v>45762</v>
      </c>
      <c r="B909" s="14" t="s">
        <v>46</v>
      </c>
      <c r="C909" s="15">
        <v>5</v>
      </c>
      <c r="D909" s="16">
        <v>20</v>
      </c>
      <c r="E909" s="16"/>
      <c r="F909" s="17"/>
      <c r="G909" s="21"/>
      <c r="H909" s="21"/>
      <c r="I909" s="4">
        <v>20</v>
      </c>
      <c r="J909" s="4">
        <v>0.33333333333333331</v>
      </c>
      <c r="K909" s="4"/>
      <c r="L909" s="16"/>
      <c r="M909" s="4"/>
      <c r="N909" s="4"/>
      <c r="O909" s="4"/>
      <c r="P909" s="4"/>
      <c r="Q909" s="4"/>
      <c r="R909" s="4"/>
      <c r="S909" s="4">
        <v>0</v>
      </c>
      <c r="T909" s="4">
        <v>0</v>
      </c>
      <c r="U909" s="4">
        <v>0.33333333333333331</v>
      </c>
      <c r="V909" s="4">
        <v>11.666666666666666</v>
      </c>
      <c r="W909" s="4">
        <v>12</v>
      </c>
      <c r="X909" s="4">
        <v>0</v>
      </c>
      <c r="Y909" s="4"/>
      <c r="Z909" s="4">
        <v>353.28000000000003</v>
      </c>
      <c r="AA909" s="4">
        <v>350</v>
      </c>
      <c r="AB909" s="18"/>
      <c r="AC909" s="18">
        <v>15</v>
      </c>
      <c r="AD909" s="28"/>
      <c r="AE909" s="26"/>
      <c r="AF909" s="28"/>
    </row>
    <row r="910" spans="1:32" ht="12.6" customHeight="1" x14ac:dyDescent="0.25">
      <c r="A910" s="14">
        <v>45763</v>
      </c>
      <c r="B910" s="14" t="s">
        <v>45</v>
      </c>
      <c r="C910" s="15">
        <v>1</v>
      </c>
      <c r="D910" s="16"/>
      <c r="E910" s="16"/>
      <c r="F910" s="17"/>
      <c r="G910" s="21"/>
      <c r="H910" s="21"/>
      <c r="I910" s="4">
        <v>0</v>
      </c>
      <c r="J910" s="4">
        <v>0</v>
      </c>
      <c r="K910" s="4"/>
      <c r="L910" s="16"/>
      <c r="M910" s="4"/>
      <c r="N910" s="4"/>
      <c r="O910" s="4"/>
      <c r="P910" s="4"/>
      <c r="Q910" s="4"/>
      <c r="R910" s="4"/>
      <c r="S910" s="4">
        <v>0</v>
      </c>
      <c r="T910" s="4">
        <v>0</v>
      </c>
      <c r="U910" s="4">
        <v>0</v>
      </c>
      <c r="V910" s="4">
        <v>12</v>
      </c>
      <c r="W910" s="4">
        <v>12</v>
      </c>
      <c r="X910" s="4">
        <v>63</v>
      </c>
      <c r="Y910" s="4">
        <v>1423</v>
      </c>
      <c r="Z910" s="4">
        <v>143.40999999999997</v>
      </c>
      <c r="AA910" s="4">
        <v>150</v>
      </c>
      <c r="AB910" s="18">
        <v>398</v>
      </c>
      <c r="AC910" s="18">
        <v>15</v>
      </c>
      <c r="AD910" s="28"/>
      <c r="AE910" s="26"/>
      <c r="AF910" s="28"/>
    </row>
    <row r="911" spans="1:32" ht="12.6" customHeight="1" x14ac:dyDescent="0.25">
      <c r="A911" s="14">
        <v>45763</v>
      </c>
      <c r="B911" s="14" t="s">
        <v>46</v>
      </c>
      <c r="C911" s="15">
        <v>1</v>
      </c>
      <c r="D911" s="16"/>
      <c r="E911" s="16"/>
      <c r="F911" s="17"/>
      <c r="G911" s="21"/>
      <c r="H911" s="21"/>
      <c r="I911" s="4">
        <v>0</v>
      </c>
      <c r="J911" s="4">
        <v>0</v>
      </c>
      <c r="K911" s="4"/>
      <c r="L911" s="16"/>
      <c r="M911" s="4"/>
      <c r="N911" s="4"/>
      <c r="O911" s="4"/>
      <c r="P911" s="4"/>
      <c r="Q911" s="4"/>
      <c r="R911" s="4"/>
      <c r="S911" s="4">
        <v>0</v>
      </c>
      <c r="T911" s="4">
        <v>0</v>
      </c>
      <c r="U911" s="4">
        <v>0</v>
      </c>
      <c r="V911" s="4">
        <v>12</v>
      </c>
      <c r="W911" s="4">
        <v>12</v>
      </c>
      <c r="X911" s="4">
        <v>15</v>
      </c>
      <c r="Y911" s="4"/>
      <c r="Z911" s="4">
        <v>160.35999999999999</v>
      </c>
      <c r="AA911" s="4">
        <v>150</v>
      </c>
      <c r="AB911" s="18"/>
      <c r="AC911" s="18">
        <v>15</v>
      </c>
      <c r="AD911" s="28"/>
      <c r="AE911" s="26"/>
      <c r="AF911" s="28"/>
    </row>
    <row r="912" spans="1:32" ht="12.6" customHeight="1" x14ac:dyDescent="0.25">
      <c r="A912" s="14">
        <v>45763</v>
      </c>
      <c r="B912" s="14" t="s">
        <v>45</v>
      </c>
      <c r="C912" s="15">
        <v>2</v>
      </c>
      <c r="D912" s="16"/>
      <c r="E912" s="16"/>
      <c r="F912" s="17"/>
      <c r="G912" s="21"/>
      <c r="H912" s="21"/>
      <c r="I912" s="4">
        <v>0</v>
      </c>
      <c r="J912" s="4">
        <v>0</v>
      </c>
      <c r="K912" s="4"/>
      <c r="L912" s="16"/>
      <c r="M912" s="4"/>
      <c r="N912" s="4"/>
      <c r="O912" s="4"/>
      <c r="P912" s="4"/>
      <c r="Q912" s="4"/>
      <c r="R912" s="4"/>
      <c r="S912" s="4">
        <v>0</v>
      </c>
      <c r="T912" s="4">
        <v>0</v>
      </c>
      <c r="U912" s="4">
        <v>0</v>
      </c>
      <c r="V912" s="4">
        <v>12</v>
      </c>
      <c r="W912" s="4">
        <v>12</v>
      </c>
      <c r="X912" s="4">
        <v>0</v>
      </c>
      <c r="Y912" s="4"/>
      <c r="Z912" s="4">
        <v>164.64999999999998</v>
      </c>
      <c r="AA912" s="4">
        <v>150</v>
      </c>
      <c r="AB912" s="18"/>
      <c r="AC912" s="18">
        <v>15</v>
      </c>
      <c r="AD912" s="28"/>
      <c r="AE912" s="26"/>
      <c r="AF912" s="28"/>
    </row>
    <row r="913" spans="1:32" ht="12.6" customHeight="1" x14ac:dyDescent="0.25">
      <c r="A913" s="14">
        <v>45763</v>
      </c>
      <c r="B913" s="14" t="s">
        <v>46</v>
      </c>
      <c r="C913" s="15">
        <v>2</v>
      </c>
      <c r="D913" s="16"/>
      <c r="E913" s="16"/>
      <c r="F913" s="17"/>
      <c r="G913" s="21"/>
      <c r="H913" s="21"/>
      <c r="I913" s="4">
        <v>0</v>
      </c>
      <c r="J913" s="4">
        <v>0</v>
      </c>
      <c r="K913" s="4"/>
      <c r="L913" s="16"/>
      <c r="M913" s="4"/>
      <c r="N913" s="4"/>
      <c r="O913" s="4"/>
      <c r="P913" s="4"/>
      <c r="Q913" s="4"/>
      <c r="R913" s="4"/>
      <c r="S913" s="4">
        <v>0</v>
      </c>
      <c r="T913" s="4">
        <v>0</v>
      </c>
      <c r="U913" s="4">
        <v>0</v>
      </c>
      <c r="V913" s="4">
        <v>12</v>
      </c>
      <c r="W913" s="4">
        <v>12</v>
      </c>
      <c r="X913" s="4">
        <v>0</v>
      </c>
      <c r="Y913" s="4"/>
      <c r="Z913" s="4">
        <v>175.35</v>
      </c>
      <c r="AA913" s="4">
        <v>200</v>
      </c>
      <c r="AB913" s="18"/>
      <c r="AC913" s="18">
        <v>15</v>
      </c>
      <c r="AD913" s="28"/>
      <c r="AE913" s="26"/>
      <c r="AF913" s="28"/>
    </row>
    <row r="914" spans="1:32" ht="12.6" customHeight="1" x14ac:dyDescent="0.25">
      <c r="A914" s="14">
        <v>45763</v>
      </c>
      <c r="B914" s="14" t="s">
        <v>45</v>
      </c>
      <c r="C914" s="15">
        <v>4</v>
      </c>
      <c r="D914" s="16">
        <v>20</v>
      </c>
      <c r="E914" s="16"/>
      <c r="F914" s="17"/>
      <c r="G914" s="21"/>
      <c r="H914" s="21"/>
      <c r="I914" s="4">
        <v>20</v>
      </c>
      <c r="J914" s="4">
        <v>0.33333333333333331</v>
      </c>
      <c r="K914" s="4"/>
      <c r="L914" s="16"/>
      <c r="M914" s="4"/>
      <c r="N914" s="4"/>
      <c r="O914" s="4"/>
      <c r="P914" s="4">
        <v>120</v>
      </c>
      <c r="Q914" s="4"/>
      <c r="R914" s="4"/>
      <c r="S914" s="4">
        <v>120</v>
      </c>
      <c r="T914" s="4">
        <v>2</v>
      </c>
      <c r="U914" s="4">
        <v>2.3333333333333335</v>
      </c>
      <c r="V914" s="4">
        <v>9.6666666666666661</v>
      </c>
      <c r="W914" s="4">
        <v>12</v>
      </c>
      <c r="X914" s="4">
        <v>0</v>
      </c>
      <c r="Y914" s="4"/>
      <c r="Z914" s="4">
        <v>563.56999999999994</v>
      </c>
      <c r="AA914" s="4">
        <v>550</v>
      </c>
      <c r="AB914" s="18"/>
      <c r="AC914" s="18">
        <v>15</v>
      </c>
      <c r="AD914" s="28"/>
      <c r="AE914" s="26"/>
      <c r="AF914" s="28"/>
    </row>
    <row r="915" spans="1:32" ht="12.6" customHeight="1" x14ac:dyDescent="0.25">
      <c r="A915" s="14">
        <v>45763</v>
      </c>
      <c r="B915" s="14" t="s">
        <v>46</v>
      </c>
      <c r="C915" s="15">
        <v>4</v>
      </c>
      <c r="D915" s="16">
        <v>20</v>
      </c>
      <c r="E915" s="16"/>
      <c r="F915" s="17"/>
      <c r="G915" s="21"/>
      <c r="H915" s="21"/>
      <c r="I915" s="4">
        <v>20</v>
      </c>
      <c r="J915" s="4">
        <v>0.33333333333333331</v>
      </c>
      <c r="K915" s="4"/>
      <c r="L915" s="16"/>
      <c r="M915" s="4"/>
      <c r="N915" s="4"/>
      <c r="O915" s="4"/>
      <c r="P915" s="4"/>
      <c r="Q915" s="4"/>
      <c r="R915" s="4"/>
      <c r="S915" s="4">
        <v>0</v>
      </c>
      <c r="T915" s="4">
        <v>0</v>
      </c>
      <c r="U915" s="4">
        <v>0.33333333333333331</v>
      </c>
      <c r="V915" s="4">
        <v>11.666666666666666</v>
      </c>
      <c r="W915" s="4">
        <v>12</v>
      </c>
      <c r="X915" s="4">
        <v>0</v>
      </c>
      <c r="Y915" s="4"/>
      <c r="Z915" s="4">
        <v>725.81</v>
      </c>
      <c r="AA915" s="4">
        <v>750</v>
      </c>
      <c r="AB915" s="18"/>
      <c r="AC915" s="18">
        <v>15</v>
      </c>
      <c r="AD915" s="28"/>
      <c r="AE915" s="26"/>
      <c r="AF915" s="28"/>
    </row>
    <row r="916" spans="1:32" ht="12.6" customHeight="1" x14ac:dyDescent="0.25">
      <c r="A916" s="14">
        <v>45763</v>
      </c>
      <c r="B916" s="14" t="s">
        <v>45</v>
      </c>
      <c r="C916" s="15">
        <v>5</v>
      </c>
      <c r="D916" s="16"/>
      <c r="E916" s="16"/>
      <c r="F916" s="17"/>
      <c r="G916" s="21"/>
      <c r="H916" s="21"/>
      <c r="I916" s="4">
        <v>0</v>
      </c>
      <c r="J916" s="4">
        <v>0</v>
      </c>
      <c r="K916" s="4"/>
      <c r="L916" s="16"/>
      <c r="M916" s="4"/>
      <c r="N916" s="4"/>
      <c r="O916" s="4"/>
      <c r="P916" s="4"/>
      <c r="Q916" s="4"/>
      <c r="R916" s="4"/>
      <c r="S916" s="4">
        <v>0</v>
      </c>
      <c r="T916" s="4">
        <v>0</v>
      </c>
      <c r="U916" s="4">
        <v>0</v>
      </c>
      <c r="V916" s="4">
        <v>12</v>
      </c>
      <c r="W916" s="4">
        <v>12</v>
      </c>
      <c r="X916" s="4">
        <v>0</v>
      </c>
      <c r="Y916" s="4"/>
      <c r="Z916" s="4">
        <v>493.76</v>
      </c>
      <c r="AA916" s="4">
        <v>500</v>
      </c>
      <c r="AB916" s="18"/>
      <c r="AC916" s="18">
        <v>15</v>
      </c>
      <c r="AD916" s="28"/>
      <c r="AE916" s="26"/>
      <c r="AF916" s="28"/>
    </row>
    <row r="917" spans="1:32" ht="12.6" customHeight="1" x14ac:dyDescent="0.25">
      <c r="A917" s="14">
        <v>45763</v>
      </c>
      <c r="B917" s="14" t="s">
        <v>46</v>
      </c>
      <c r="C917" s="15">
        <v>5</v>
      </c>
      <c r="D917" s="16"/>
      <c r="E917" s="16"/>
      <c r="F917" s="17"/>
      <c r="G917" s="21"/>
      <c r="H917" s="21"/>
      <c r="I917" s="4">
        <v>0</v>
      </c>
      <c r="J917" s="4">
        <v>0</v>
      </c>
      <c r="K917" s="4"/>
      <c r="L917" s="16"/>
      <c r="M917" s="4"/>
      <c r="N917" s="4"/>
      <c r="O917" s="4"/>
      <c r="P917" s="4"/>
      <c r="Q917" s="4"/>
      <c r="R917" s="4"/>
      <c r="S917" s="4">
        <v>0</v>
      </c>
      <c r="T917" s="4">
        <v>0</v>
      </c>
      <c r="U917" s="4">
        <v>0</v>
      </c>
      <c r="V917" s="4">
        <v>12</v>
      </c>
      <c r="W917" s="4">
        <v>12</v>
      </c>
      <c r="X917" s="4">
        <v>0</v>
      </c>
      <c r="Y917" s="4"/>
      <c r="Z917" s="4">
        <v>526.52</v>
      </c>
      <c r="AA917" s="4">
        <v>550</v>
      </c>
      <c r="AB917" s="18"/>
      <c r="AC917" s="18">
        <v>15</v>
      </c>
      <c r="AD917" s="28"/>
      <c r="AE917" s="26"/>
      <c r="AF917" s="28"/>
    </row>
    <row r="918" spans="1:32" ht="12.6" customHeight="1" x14ac:dyDescent="0.25">
      <c r="A918" s="14">
        <v>45764</v>
      </c>
      <c r="B918" s="14" t="s">
        <v>45</v>
      </c>
      <c r="C918" s="15">
        <v>1</v>
      </c>
      <c r="D918" s="16">
        <v>20</v>
      </c>
      <c r="E918" s="16"/>
      <c r="F918" s="17"/>
      <c r="G918" s="21"/>
      <c r="H918" s="21"/>
      <c r="I918" s="4">
        <v>20</v>
      </c>
      <c r="J918" s="4">
        <v>0.33333333333333331</v>
      </c>
      <c r="K918" s="4"/>
      <c r="L918" s="16"/>
      <c r="M918" s="4"/>
      <c r="N918" s="4"/>
      <c r="O918" s="4"/>
      <c r="P918" s="4"/>
      <c r="Q918" s="4"/>
      <c r="R918" s="4"/>
      <c r="S918" s="4">
        <v>0</v>
      </c>
      <c r="T918" s="4">
        <v>0</v>
      </c>
      <c r="U918" s="4">
        <v>0.33333333333333331</v>
      </c>
      <c r="V918" s="4">
        <v>11.666666666666666</v>
      </c>
      <c r="W918" s="4">
        <v>12</v>
      </c>
      <c r="X918" s="4">
        <v>25.2</v>
      </c>
      <c r="Y918" s="4">
        <v>1430</v>
      </c>
      <c r="Z918" s="4">
        <v>162.05000000000001</v>
      </c>
      <c r="AA918" s="4">
        <v>150</v>
      </c>
      <c r="AB918" s="18">
        <v>398</v>
      </c>
      <c r="AC918" s="18">
        <v>15</v>
      </c>
      <c r="AD918" s="28"/>
      <c r="AE918" s="26"/>
      <c r="AF918" s="28"/>
    </row>
    <row r="919" spans="1:32" ht="12.6" customHeight="1" x14ac:dyDescent="0.25">
      <c r="A919" s="14">
        <v>45764</v>
      </c>
      <c r="B919" s="14" t="s">
        <v>46</v>
      </c>
      <c r="C919" s="15">
        <v>1</v>
      </c>
      <c r="D919" s="16"/>
      <c r="E919" s="16"/>
      <c r="F919" s="17"/>
      <c r="G919" s="21"/>
      <c r="H919" s="21"/>
      <c r="I919" s="4">
        <v>0</v>
      </c>
      <c r="J919" s="4">
        <v>0</v>
      </c>
      <c r="K919" s="4"/>
      <c r="L919" s="16"/>
      <c r="M919" s="4"/>
      <c r="N919" s="4"/>
      <c r="O919" s="4"/>
      <c r="P919" s="4"/>
      <c r="Q919" s="4"/>
      <c r="R919" s="4"/>
      <c r="S919" s="4">
        <v>0</v>
      </c>
      <c r="T919" s="4">
        <v>0</v>
      </c>
      <c r="U919" s="4">
        <v>0</v>
      </c>
      <c r="V919" s="4">
        <v>12</v>
      </c>
      <c r="W919" s="4">
        <v>12</v>
      </c>
      <c r="X919" s="4">
        <v>30</v>
      </c>
      <c r="Y919" s="4"/>
      <c r="Z919" s="4">
        <v>130.13</v>
      </c>
      <c r="AA919" s="4">
        <v>100</v>
      </c>
      <c r="AB919" s="18"/>
      <c r="AC919" s="18">
        <v>15</v>
      </c>
      <c r="AD919" s="28"/>
      <c r="AE919" s="26"/>
      <c r="AF919" s="28"/>
    </row>
    <row r="920" spans="1:32" ht="12.6" customHeight="1" x14ac:dyDescent="0.25">
      <c r="A920" s="14">
        <v>45764</v>
      </c>
      <c r="B920" s="14" t="s">
        <v>45</v>
      </c>
      <c r="C920" s="15">
        <v>2</v>
      </c>
      <c r="D920" s="16"/>
      <c r="E920" s="16"/>
      <c r="F920" s="17"/>
      <c r="G920" s="21"/>
      <c r="H920" s="21"/>
      <c r="I920" s="4">
        <v>0</v>
      </c>
      <c r="J920" s="4">
        <v>0</v>
      </c>
      <c r="K920" s="4"/>
      <c r="L920" s="16"/>
      <c r="M920" s="4"/>
      <c r="N920" s="4"/>
      <c r="O920" s="4"/>
      <c r="P920" s="4"/>
      <c r="Q920" s="4"/>
      <c r="R920" s="4"/>
      <c r="S920" s="4">
        <v>0</v>
      </c>
      <c r="T920" s="4">
        <v>0</v>
      </c>
      <c r="U920" s="4">
        <v>0</v>
      </c>
      <c r="V920" s="4">
        <v>12</v>
      </c>
      <c r="W920" s="4">
        <v>12</v>
      </c>
      <c r="X920" s="4">
        <v>0</v>
      </c>
      <c r="Y920" s="4"/>
      <c r="Z920" s="4">
        <v>126.89999999999999</v>
      </c>
      <c r="AA920" s="4">
        <v>100</v>
      </c>
      <c r="AB920" s="18"/>
      <c r="AC920" s="18">
        <v>15</v>
      </c>
      <c r="AD920" s="28"/>
      <c r="AE920" s="26"/>
      <c r="AF920" s="28"/>
    </row>
    <row r="921" spans="1:32" ht="12.6" customHeight="1" x14ac:dyDescent="0.25">
      <c r="A921" s="14">
        <v>45764</v>
      </c>
      <c r="B921" s="14" t="s">
        <v>46</v>
      </c>
      <c r="C921" s="15">
        <v>2</v>
      </c>
      <c r="D921" s="16"/>
      <c r="E921" s="16"/>
      <c r="F921" s="17"/>
      <c r="G921" s="21"/>
      <c r="H921" s="21"/>
      <c r="I921" s="4">
        <v>0</v>
      </c>
      <c r="J921" s="4">
        <v>0</v>
      </c>
      <c r="K921" s="4"/>
      <c r="L921" s="16"/>
      <c r="M921" s="4"/>
      <c r="N921" s="4"/>
      <c r="O921" s="4"/>
      <c r="P921" s="4"/>
      <c r="Q921" s="4"/>
      <c r="R921" s="4"/>
      <c r="S921" s="4">
        <v>0</v>
      </c>
      <c r="T921" s="4">
        <v>0</v>
      </c>
      <c r="U921" s="4">
        <v>0</v>
      </c>
      <c r="V921" s="4">
        <v>12</v>
      </c>
      <c r="W921" s="4">
        <v>12</v>
      </c>
      <c r="X921" s="4">
        <v>0</v>
      </c>
      <c r="Y921" s="4"/>
      <c r="Z921" s="4">
        <v>149.73000000000002</v>
      </c>
      <c r="AA921" s="4">
        <v>150</v>
      </c>
      <c r="AB921" s="18"/>
      <c r="AC921" s="18">
        <v>15</v>
      </c>
      <c r="AD921" s="28"/>
      <c r="AE921" s="26"/>
      <c r="AF921" s="28"/>
    </row>
    <row r="922" spans="1:32" ht="12.6" customHeight="1" x14ac:dyDescent="0.25">
      <c r="A922" s="14">
        <v>45764</v>
      </c>
      <c r="B922" s="14" t="s">
        <v>45</v>
      </c>
      <c r="C922" s="15">
        <v>4</v>
      </c>
      <c r="D922" s="16">
        <v>30</v>
      </c>
      <c r="E922" s="16"/>
      <c r="F922" s="17"/>
      <c r="G922" s="21"/>
      <c r="H922" s="21"/>
      <c r="I922" s="4">
        <v>30</v>
      </c>
      <c r="J922" s="4">
        <v>0.5</v>
      </c>
      <c r="K922" s="4"/>
      <c r="L922" s="16"/>
      <c r="M922" s="4"/>
      <c r="N922" s="4"/>
      <c r="O922" s="4"/>
      <c r="P922" s="4"/>
      <c r="Q922" s="4"/>
      <c r="R922" s="4"/>
      <c r="S922" s="4">
        <v>0</v>
      </c>
      <c r="T922" s="4">
        <v>0</v>
      </c>
      <c r="U922" s="4">
        <v>0.5</v>
      </c>
      <c r="V922" s="4">
        <v>11.5</v>
      </c>
      <c r="W922" s="4">
        <v>12</v>
      </c>
      <c r="X922" s="4">
        <v>0</v>
      </c>
      <c r="Y922" s="4"/>
      <c r="Z922" s="4">
        <v>786.36</v>
      </c>
      <c r="AA922" s="4">
        <v>800</v>
      </c>
      <c r="AB922" s="18"/>
      <c r="AC922" s="18">
        <v>15</v>
      </c>
      <c r="AD922" s="28"/>
      <c r="AE922" s="26"/>
      <c r="AF922" s="28"/>
    </row>
    <row r="923" spans="1:32" ht="12.6" customHeight="1" x14ac:dyDescent="0.25">
      <c r="A923" s="14">
        <v>45764</v>
      </c>
      <c r="B923" s="14" t="s">
        <v>46</v>
      </c>
      <c r="C923" s="15">
        <v>4</v>
      </c>
      <c r="D923" s="16">
        <v>20</v>
      </c>
      <c r="E923" s="16"/>
      <c r="F923" s="17"/>
      <c r="G923" s="21"/>
      <c r="H923" s="21"/>
      <c r="I923" s="4">
        <v>20</v>
      </c>
      <c r="J923" s="4">
        <v>0.33333333333333331</v>
      </c>
      <c r="K923" s="4"/>
      <c r="L923" s="16"/>
      <c r="M923" s="4"/>
      <c r="N923" s="4"/>
      <c r="O923" s="4"/>
      <c r="P923" s="4"/>
      <c r="Q923" s="4"/>
      <c r="R923" s="4"/>
      <c r="S923" s="4">
        <v>0</v>
      </c>
      <c r="T923" s="4">
        <v>0</v>
      </c>
      <c r="U923" s="4">
        <v>0.33333333333333331</v>
      </c>
      <c r="V923" s="4">
        <v>11.666666666666666</v>
      </c>
      <c r="W923" s="4">
        <v>12</v>
      </c>
      <c r="X923" s="4">
        <v>0</v>
      </c>
      <c r="Y923" s="4"/>
      <c r="Z923" s="4">
        <v>711.56</v>
      </c>
      <c r="AA923" s="4">
        <v>700</v>
      </c>
      <c r="AB923" s="18"/>
      <c r="AC923" s="18">
        <v>15</v>
      </c>
      <c r="AD923" s="28"/>
      <c r="AE923" s="26"/>
      <c r="AF923" s="28"/>
    </row>
    <row r="924" spans="1:32" ht="12.6" customHeight="1" x14ac:dyDescent="0.25">
      <c r="A924" s="14">
        <v>45764</v>
      </c>
      <c r="B924" s="14" t="s">
        <v>45</v>
      </c>
      <c r="C924" s="15">
        <v>5</v>
      </c>
      <c r="D924" s="16"/>
      <c r="E924" s="16"/>
      <c r="F924" s="17"/>
      <c r="G924" s="21"/>
      <c r="H924" s="21"/>
      <c r="I924" s="4">
        <v>0</v>
      </c>
      <c r="J924" s="4">
        <v>0</v>
      </c>
      <c r="K924" s="4"/>
      <c r="L924" s="16"/>
      <c r="M924" s="4"/>
      <c r="N924" s="4"/>
      <c r="O924" s="4"/>
      <c r="P924" s="4"/>
      <c r="Q924" s="4"/>
      <c r="R924" s="4"/>
      <c r="S924" s="4">
        <v>0</v>
      </c>
      <c r="T924" s="4">
        <v>0</v>
      </c>
      <c r="U924" s="4">
        <v>0</v>
      </c>
      <c r="V924" s="4">
        <v>12</v>
      </c>
      <c r="W924" s="4">
        <v>12</v>
      </c>
      <c r="X924" s="4">
        <v>0</v>
      </c>
      <c r="Y924" s="4"/>
      <c r="Z924" s="4">
        <v>540.87999999999988</v>
      </c>
      <c r="AA924" s="4">
        <v>550</v>
      </c>
      <c r="AB924" s="18"/>
      <c r="AC924" s="18">
        <v>15</v>
      </c>
      <c r="AD924" s="28"/>
      <c r="AE924" s="26"/>
      <c r="AF924" s="28"/>
    </row>
    <row r="925" spans="1:32" ht="12.6" customHeight="1" x14ac:dyDescent="0.25">
      <c r="A925" s="14">
        <v>45764</v>
      </c>
      <c r="B925" s="14" t="s">
        <v>46</v>
      </c>
      <c r="C925" s="15">
        <v>5</v>
      </c>
      <c r="D925" s="16">
        <v>40</v>
      </c>
      <c r="E925" s="16"/>
      <c r="F925" s="17"/>
      <c r="G925" s="21"/>
      <c r="H925" s="21"/>
      <c r="I925" s="4">
        <v>40</v>
      </c>
      <c r="J925" s="4">
        <v>0.66666666666666663</v>
      </c>
      <c r="K925" s="4"/>
      <c r="L925" s="16"/>
      <c r="M925" s="4"/>
      <c r="N925" s="4"/>
      <c r="O925" s="4"/>
      <c r="P925" s="4"/>
      <c r="Q925" s="4"/>
      <c r="R925" s="4"/>
      <c r="S925" s="4">
        <v>0</v>
      </c>
      <c r="T925" s="4">
        <v>0</v>
      </c>
      <c r="U925" s="4">
        <v>0.66666666666666663</v>
      </c>
      <c r="V925" s="4">
        <v>11.333333333333334</v>
      </c>
      <c r="W925" s="4">
        <v>12</v>
      </c>
      <c r="X925" s="4">
        <v>0</v>
      </c>
      <c r="Y925" s="4"/>
      <c r="Z925" s="4">
        <v>517.41999999999996</v>
      </c>
      <c r="AA925" s="4">
        <v>550</v>
      </c>
      <c r="AB925" s="18"/>
      <c r="AC925" s="18">
        <v>15</v>
      </c>
      <c r="AD925" s="28"/>
      <c r="AE925" s="26"/>
      <c r="AF925" s="28"/>
    </row>
    <row r="926" spans="1:32" ht="12.6" customHeight="1" x14ac:dyDescent="0.25">
      <c r="A926" s="14">
        <v>45765</v>
      </c>
      <c r="B926" s="14" t="s">
        <v>45</v>
      </c>
      <c r="C926" s="15">
        <v>1</v>
      </c>
      <c r="D926" s="16">
        <v>20</v>
      </c>
      <c r="E926" s="16"/>
      <c r="F926" s="17"/>
      <c r="G926" s="21"/>
      <c r="H926" s="21"/>
      <c r="I926" s="4">
        <v>20</v>
      </c>
      <c r="J926" s="4">
        <v>0.33333333333333331</v>
      </c>
      <c r="K926" s="4"/>
      <c r="L926" s="16"/>
      <c r="M926" s="4"/>
      <c r="N926" s="4"/>
      <c r="O926" s="4"/>
      <c r="P926" s="4"/>
      <c r="Q926" s="4"/>
      <c r="R926" s="4"/>
      <c r="S926" s="4">
        <v>0</v>
      </c>
      <c r="T926" s="4">
        <v>0</v>
      </c>
      <c r="U926" s="4">
        <v>0.33333333333333331</v>
      </c>
      <c r="V926" s="4">
        <v>11.666666666666666</v>
      </c>
      <c r="W926" s="4">
        <v>12</v>
      </c>
      <c r="X926" s="4">
        <v>40</v>
      </c>
      <c r="Y926" s="4">
        <v>1422</v>
      </c>
      <c r="Z926" s="4">
        <v>127.47</v>
      </c>
      <c r="AA926" s="4">
        <v>150</v>
      </c>
      <c r="AB926" s="18">
        <v>398</v>
      </c>
      <c r="AC926" s="18">
        <v>15</v>
      </c>
      <c r="AD926" s="28"/>
      <c r="AE926" s="26"/>
      <c r="AF926" s="28"/>
    </row>
    <row r="927" spans="1:32" ht="12.6" customHeight="1" x14ac:dyDescent="0.25">
      <c r="A927" s="14">
        <v>45765</v>
      </c>
      <c r="B927" s="14" t="s">
        <v>46</v>
      </c>
      <c r="C927" s="15">
        <v>1</v>
      </c>
      <c r="D927" s="16"/>
      <c r="E927" s="16"/>
      <c r="F927" s="17"/>
      <c r="G927" s="21"/>
      <c r="H927" s="21"/>
      <c r="I927" s="4">
        <v>0</v>
      </c>
      <c r="J927" s="4">
        <v>0</v>
      </c>
      <c r="K927" s="4"/>
      <c r="L927" s="16"/>
      <c r="M927" s="4"/>
      <c r="N927" s="4"/>
      <c r="O927" s="4"/>
      <c r="P927" s="4"/>
      <c r="Q927" s="4"/>
      <c r="R927" s="4"/>
      <c r="S927" s="4">
        <v>0</v>
      </c>
      <c r="T927" s="4">
        <v>0</v>
      </c>
      <c r="U927" s="4">
        <v>0</v>
      </c>
      <c r="V927" s="4">
        <v>12</v>
      </c>
      <c r="W927" s="4">
        <v>12</v>
      </c>
      <c r="X927" s="4">
        <v>20</v>
      </c>
      <c r="Y927" s="4"/>
      <c r="Z927" s="4">
        <v>153.85</v>
      </c>
      <c r="AA927" s="4">
        <v>150</v>
      </c>
      <c r="AB927" s="18"/>
      <c r="AC927" s="18">
        <v>15</v>
      </c>
      <c r="AD927" s="28"/>
      <c r="AE927" s="26"/>
      <c r="AF927" s="28"/>
    </row>
    <row r="928" spans="1:32" ht="12.6" customHeight="1" x14ac:dyDescent="0.25">
      <c r="A928" s="14">
        <v>45765</v>
      </c>
      <c r="B928" s="14" t="s">
        <v>45</v>
      </c>
      <c r="C928" s="15">
        <v>2</v>
      </c>
      <c r="D928" s="16"/>
      <c r="E928" s="16"/>
      <c r="F928" s="17"/>
      <c r="G928" s="21"/>
      <c r="H928" s="21"/>
      <c r="I928" s="4">
        <v>0</v>
      </c>
      <c r="J928" s="4">
        <v>0</v>
      </c>
      <c r="K928" s="4"/>
      <c r="L928" s="16"/>
      <c r="M928" s="4"/>
      <c r="N928" s="4"/>
      <c r="O928" s="4"/>
      <c r="P928" s="4"/>
      <c r="Q928" s="4"/>
      <c r="R928" s="4"/>
      <c r="S928" s="4">
        <v>0</v>
      </c>
      <c r="T928" s="4">
        <v>0</v>
      </c>
      <c r="U928" s="4">
        <v>0</v>
      </c>
      <c r="V928" s="4">
        <v>12</v>
      </c>
      <c r="W928" s="4">
        <v>12</v>
      </c>
      <c r="X928" s="4">
        <v>0</v>
      </c>
      <c r="Y928" s="4"/>
      <c r="Z928" s="4">
        <v>134.06</v>
      </c>
      <c r="AA928" s="4">
        <v>150</v>
      </c>
      <c r="AB928" s="18"/>
      <c r="AC928" s="18">
        <v>15</v>
      </c>
      <c r="AD928" s="28"/>
      <c r="AE928" s="26"/>
      <c r="AF928" s="28"/>
    </row>
    <row r="929" spans="1:32" ht="12.6" customHeight="1" x14ac:dyDescent="0.25">
      <c r="A929" s="14">
        <v>45765</v>
      </c>
      <c r="B929" s="14" t="s">
        <v>46</v>
      </c>
      <c r="C929" s="15">
        <v>2</v>
      </c>
      <c r="D929" s="16"/>
      <c r="E929" s="16"/>
      <c r="F929" s="17"/>
      <c r="G929" s="21"/>
      <c r="H929" s="21"/>
      <c r="I929" s="4">
        <v>0</v>
      </c>
      <c r="J929" s="4">
        <v>0</v>
      </c>
      <c r="K929" s="4"/>
      <c r="L929" s="16"/>
      <c r="M929" s="4"/>
      <c r="N929" s="4"/>
      <c r="O929" s="4"/>
      <c r="P929" s="4"/>
      <c r="Q929" s="4"/>
      <c r="R929" s="4"/>
      <c r="S929" s="4">
        <v>0</v>
      </c>
      <c r="T929" s="4">
        <v>0</v>
      </c>
      <c r="U929" s="4">
        <v>0</v>
      </c>
      <c r="V929" s="4">
        <v>12</v>
      </c>
      <c r="W929" s="4">
        <v>12</v>
      </c>
      <c r="X929" s="4">
        <v>0</v>
      </c>
      <c r="Y929" s="4"/>
      <c r="Z929" s="4">
        <v>144.39000000000001</v>
      </c>
      <c r="AA929" s="4">
        <v>150</v>
      </c>
      <c r="AB929" s="18"/>
      <c r="AC929" s="18">
        <v>15</v>
      </c>
      <c r="AD929" s="28"/>
      <c r="AE929" s="26"/>
      <c r="AF929" s="28"/>
    </row>
    <row r="930" spans="1:32" ht="12.6" customHeight="1" x14ac:dyDescent="0.25">
      <c r="A930" s="14">
        <v>45765</v>
      </c>
      <c r="B930" s="14" t="s">
        <v>45</v>
      </c>
      <c r="C930" s="15">
        <v>4</v>
      </c>
      <c r="D930" s="16">
        <v>20</v>
      </c>
      <c r="E930" s="16"/>
      <c r="F930" s="17"/>
      <c r="G930" s="21"/>
      <c r="H930" s="21"/>
      <c r="I930" s="4">
        <v>20</v>
      </c>
      <c r="J930" s="4">
        <v>0.33333333333333331</v>
      </c>
      <c r="K930" s="4"/>
      <c r="L930" s="16"/>
      <c r="M930" s="4"/>
      <c r="N930" s="4"/>
      <c r="O930" s="4"/>
      <c r="P930" s="4"/>
      <c r="Q930" s="4"/>
      <c r="R930" s="4"/>
      <c r="S930" s="4">
        <v>0</v>
      </c>
      <c r="T930" s="4">
        <v>0</v>
      </c>
      <c r="U930" s="4">
        <v>0.33333333333333331</v>
      </c>
      <c r="V930" s="4">
        <v>11.666666666666666</v>
      </c>
      <c r="W930" s="4">
        <v>12</v>
      </c>
      <c r="X930" s="4">
        <v>0</v>
      </c>
      <c r="Y930" s="4"/>
      <c r="Z930" s="4">
        <v>648.95999999999992</v>
      </c>
      <c r="AA930" s="4">
        <v>650</v>
      </c>
      <c r="AB930" s="18"/>
      <c r="AC930" s="18">
        <v>15</v>
      </c>
      <c r="AD930" s="28"/>
      <c r="AE930" s="26"/>
      <c r="AF930" s="28"/>
    </row>
    <row r="931" spans="1:32" ht="12.6" customHeight="1" x14ac:dyDescent="0.25">
      <c r="A931" s="14">
        <v>45765</v>
      </c>
      <c r="B931" s="14" t="s">
        <v>46</v>
      </c>
      <c r="C931" s="15">
        <v>4</v>
      </c>
      <c r="D931" s="16"/>
      <c r="E931" s="16"/>
      <c r="F931" s="17"/>
      <c r="G931" s="21"/>
      <c r="H931" s="21"/>
      <c r="I931" s="4">
        <v>0</v>
      </c>
      <c r="J931" s="4">
        <v>0</v>
      </c>
      <c r="K931" s="4"/>
      <c r="L931" s="16"/>
      <c r="M931" s="4"/>
      <c r="N931" s="4"/>
      <c r="O931" s="4"/>
      <c r="P931" s="4"/>
      <c r="Q931" s="4"/>
      <c r="R931" s="4"/>
      <c r="S931" s="4">
        <v>0</v>
      </c>
      <c r="T931" s="4">
        <v>0</v>
      </c>
      <c r="U931" s="4">
        <v>0</v>
      </c>
      <c r="V931" s="4">
        <v>12</v>
      </c>
      <c r="W931" s="4">
        <v>12</v>
      </c>
      <c r="X931" s="4">
        <v>0</v>
      </c>
      <c r="Y931" s="4"/>
      <c r="Z931" s="4">
        <v>728.82999999999993</v>
      </c>
      <c r="AA931" s="4">
        <v>750</v>
      </c>
      <c r="AB931" s="18"/>
      <c r="AC931" s="18">
        <v>15</v>
      </c>
      <c r="AD931" s="28"/>
      <c r="AE931" s="26"/>
      <c r="AF931" s="28"/>
    </row>
    <row r="932" spans="1:32" ht="12.6" customHeight="1" x14ac:dyDescent="0.25">
      <c r="A932" s="14">
        <v>45765</v>
      </c>
      <c r="B932" s="14" t="s">
        <v>45</v>
      </c>
      <c r="C932" s="15">
        <v>5</v>
      </c>
      <c r="D932" s="16">
        <v>90</v>
      </c>
      <c r="E932" s="16"/>
      <c r="F932" s="17"/>
      <c r="G932" s="21"/>
      <c r="H932" s="21"/>
      <c r="I932" s="4">
        <v>90</v>
      </c>
      <c r="J932" s="4">
        <v>1.5</v>
      </c>
      <c r="K932" s="4"/>
      <c r="L932" s="16"/>
      <c r="M932" s="4"/>
      <c r="N932" s="4"/>
      <c r="O932" s="4"/>
      <c r="P932" s="4"/>
      <c r="Q932" s="4"/>
      <c r="R932" s="4"/>
      <c r="S932" s="4">
        <v>0</v>
      </c>
      <c r="T932" s="4">
        <v>0</v>
      </c>
      <c r="U932" s="4">
        <v>1.5</v>
      </c>
      <c r="V932" s="4">
        <v>10.5</v>
      </c>
      <c r="W932" s="4">
        <v>12</v>
      </c>
      <c r="X932" s="4">
        <v>0</v>
      </c>
      <c r="Y932" s="4"/>
      <c r="Z932" s="4">
        <v>248.8</v>
      </c>
      <c r="AA932" s="4">
        <v>250</v>
      </c>
      <c r="AB932" s="18"/>
      <c r="AC932" s="18">
        <v>15</v>
      </c>
      <c r="AD932" s="28"/>
      <c r="AE932" s="26"/>
      <c r="AF932" s="28"/>
    </row>
    <row r="933" spans="1:32" ht="12.6" customHeight="1" x14ac:dyDescent="0.25">
      <c r="A933" s="14">
        <v>45765</v>
      </c>
      <c r="B933" s="14" t="s">
        <v>46</v>
      </c>
      <c r="C933" s="15">
        <v>5</v>
      </c>
      <c r="D933" s="16">
        <v>20</v>
      </c>
      <c r="E933" s="16"/>
      <c r="F933" s="17"/>
      <c r="G933" s="21"/>
      <c r="H933" s="21"/>
      <c r="I933" s="4">
        <v>20</v>
      </c>
      <c r="J933" s="4">
        <v>0.33333333333333331</v>
      </c>
      <c r="K933" s="4"/>
      <c r="L933" s="16"/>
      <c r="M933" s="4"/>
      <c r="N933" s="4"/>
      <c r="O933" s="4"/>
      <c r="P933" s="4"/>
      <c r="Q933" s="4"/>
      <c r="R933" s="4"/>
      <c r="S933" s="4">
        <v>0</v>
      </c>
      <c r="T933" s="4">
        <v>0</v>
      </c>
      <c r="U933" s="4">
        <v>0.33333333333333331</v>
      </c>
      <c r="V933" s="4">
        <v>11.666666666666666</v>
      </c>
      <c r="W933" s="4">
        <v>12</v>
      </c>
      <c r="X933" s="4">
        <v>0</v>
      </c>
      <c r="Y933" s="4"/>
      <c r="Z933" s="4">
        <v>331.40000000000003</v>
      </c>
      <c r="AA933" s="4">
        <v>350</v>
      </c>
      <c r="AB933" s="18"/>
      <c r="AC933" s="18">
        <v>15</v>
      </c>
      <c r="AD933" s="28"/>
      <c r="AE933" s="26"/>
      <c r="AF933" s="28"/>
    </row>
    <row r="934" spans="1:32" ht="12.6" customHeight="1" x14ac:dyDescent="0.25">
      <c r="A934" s="14">
        <v>45766</v>
      </c>
      <c r="B934" s="14" t="s">
        <v>45</v>
      </c>
      <c r="C934" s="15">
        <v>1</v>
      </c>
      <c r="D934" s="16"/>
      <c r="E934" s="16"/>
      <c r="F934" s="17"/>
      <c r="G934" s="21"/>
      <c r="H934" s="21"/>
      <c r="I934" s="4">
        <v>0</v>
      </c>
      <c r="J934" s="4">
        <v>0</v>
      </c>
      <c r="K934" s="4"/>
      <c r="L934" s="16"/>
      <c r="M934" s="4"/>
      <c r="N934" s="4"/>
      <c r="O934" s="4"/>
      <c r="P934" s="4"/>
      <c r="Q934" s="4"/>
      <c r="R934" s="4"/>
      <c r="S934" s="4">
        <v>0</v>
      </c>
      <c r="T934" s="4">
        <v>0</v>
      </c>
      <c r="U934" s="4">
        <v>0</v>
      </c>
      <c r="V934" s="4">
        <v>12</v>
      </c>
      <c r="W934" s="4">
        <v>12</v>
      </c>
      <c r="X934" s="4">
        <v>11.2</v>
      </c>
      <c r="Y934" s="4">
        <v>1252</v>
      </c>
      <c r="Z934" s="4">
        <v>106.89999999999999</v>
      </c>
      <c r="AA934" s="4">
        <v>100</v>
      </c>
      <c r="AB934" s="18">
        <v>398</v>
      </c>
      <c r="AC934" s="18">
        <v>15</v>
      </c>
      <c r="AD934" s="28"/>
      <c r="AE934" s="26"/>
      <c r="AF934" s="28"/>
    </row>
    <row r="935" spans="1:32" ht="12.6" customHeight="1" x14ac:dyDescent="0.25">
      <c r="A935" s="14">
        <v>45766</v>
      </c>
      <c r="B935" s="14" t="s">
        <v>46</v>
      </c>
      <c r="C935" s="15">
        <v>1</v>
      </c>
      <c r="D935" s="16"/>
      <c r="E935" s="16"/>
      <c r="F935" s="17"/>
      <c r="G935" s="21"/>
      <c r="H935" s="21"/>
      <c r="I935" s="4">
        <v>0</v>
      </c>
      <c r="J935" s="4">
        <v>0</v>
      </c>
      <c r="K935" s="4"/>
      <c r="L935" s="16"/>
      <c r="M935" s="4"/>
      <c r="N935" s="4"/>
      <c r="O935" s="4"/>
      <c r="P935" s="4"/>
      <c r="Q935" s="4"/>
      <c r="R935" s="4"/>
      <c r="S935" s="4">
        <v>0</v>
      </c>
      <c r="T935" s="4">
        <v>0</v>
      </c>
      <c r="U935" s="4">
        <v>0</v>
      </c>
      <c r="V935" s="4">
        <v>12</v>
      </c>
      <c r="W935" s="4">
        <v>12</v>
      </c>
      <c r="X935" s="4">
        <v>0</v>
      </c>
      <c r="Y935" s="4"/>
      <c r="Z935" s="4">
        <v>90.02000000000001</v>
      </c>
      <c r="AA935" s="4">
        <v>100</v>
      </c>
      <c r="AB935" s="18"/>
      <c r="AC935" s="18">
        <v>15</v>
      </c>
      <c r="AD935" s="28"/>
      <c r="AE935" s="26"/>
      <c r="AF935" s="28"/>
    </row>
    <row r="936" spans="1:32" ht="12.6" customHeight="1" x14ac:dyDescent="0.25">
      <c r="A936" s="14">
        <v>45766</v>
      </c>
      <c r="B936" s="14" t="s">
        <v>45</v>
      </c>
      <c r="C936" s="15">
        <v>2</v>
      </c>
      <c r="D936" s="16"/>
      <c r="E936" s="16"/>
      <c r="F936" s="17"/>
      <c r="G936" s="21"/>
      <c r="H936" s="21"/>
      <c r="I936" s="4">
        <v>0</v>
      </c>
      <c r="J936" s="4">
        <v>0</v>
      </c>
      <c r="K936" s="4"/>
      <c r="L936" s="16"/>
      <c r="M936" s="4"/>
      <c r="N936" s="4"/>
      <c r="O936" s="4"/>
      <c r="P936" s="4"/>
      <c r="Q936" s="4"/>
      <c r="R936" s="4"/>
      <c r="S936" s="4">
        <v>0</v>
      </c>
      <c r="T936" s="4">
        <v>0</v>
      </c>
      <c r="U936" s="4">
        <v>0</v>
      </c>
      <c r="V936" s="4">
        <v>12</v>
      </c>
      <c r="W936" s="4">
        <v>12</v>
      </c>
      <c r="X936" s="4">
        <v>0</v>
      </c>
      <c r="Y936" s="4"/>
      <c r="Z936" s="4">
        <v>145.72000000000003</v>
      </c>
      <c r="AA936" s="4">
        <v>150</v>
      </c>
      <c r="AB936" s="18"/>
      <c r="AC936" s="18">
        <v>15</v>
      </c>
      <c r="AD936" s="28"/>
      <c r="AE936" s="26"/>
      <c r="AF936" s="28"/>
    </row>
    <row r="937" spans="1:32" ht="12.6" customHeight="1" x14ac:dyDescent="0.25">
      <c r="A937" s="14">
        <v>45766</v>
      </c>
      <c r="B937" s="14" t="s">
        <v>46</v>
      </c>
      <c r="C937" s="15">
        <v>2</v>
      </c>
      <c r="D937" s="16"/>
      <c r="E937" s="16"/>
      <c r="F937" s="17"/>
      <c r="G937" s="21"/>
      <c r="H937" s="21"/>
      <c r="I937" s="4">
        <v>0</v>
      </c>
      <c r="J937" s="4">
        <v>0</v>
      </c>
      <c r="K937" s="4"/>
      <c r="L937" s="16"/>
      <c r="M937" s="4"/>
      <c r="N937" s="4"/>
      <c r="O937" s="4"/>
      <c r="P937" s="4"/>
      <c r="Q937" s="4"/>
      <c r="R937" s="4"/>
      <c r="S937" s="4">
        <v>0</v>
      </c>
      <c r="T937" s="4">
        <v>0</v>
      </c>
      <c r="U937" s="4">
        <v>0</v>
      </c>
      <c r="V937" s="4">
        <v>12</v>
      </c>
      <c r="W937" s="4">
        <v>12</v>
      </c>
      <c r="X937" s="4">
        <v>0</v>
      </c>
      <c r="Y937" s="4"/>
      <c r="Z937" s="4">
        <v>157.05000000000001</v>
      </c>
      <c r="AA937" s="4">
        <v>200</v>
      </c>
      <c r="AB937" s="18"/>
      <c r="AC937" s="18">
        <v>15</v>
      </c>
      <c r="AD937" s="28"/>
      <c r="AE937" s="26"/>
      <c r="AF937" s="28"/>
    </row>
    <row r="938" spans="1:32" ht="12.6" customHeight="1" x14ac:dyDescent="0.25">
      <c r="A938" s="14">
        <v>45766</v>
      </c>
      <c r="B938" s="14" t="s">
        <v>45</v>
      </c>
      <c r="C938" s="15">
        <v>4</v>
      </c>
      <c r="D938" s="16"/>
      <c r="E938" s="16"/>
      <c r="F938" s="17"/>
      <c r="G938" s="21"/>
      <c r="H938" s="21"/>
      <c r="I938" s="4">
        <v>0</v>
      </c>
      <c r="J938" s="4">
        <v>0</v>
      </c>
      <c r="K938" s="4"/>
      <c r="L938" s="16"/>
      <c r="M938" s="4"/>
      <c r="N938" s="4"/>
      <c r="O938" s="4"/>
      <c r="P938" s="4"/>
      <c r="Q938" s="4"/>
      <c r="R938" s="4"/>
      <c r="S938" s="4">
        <v>0</v>
      </c>
      <c r="T938" s="4">
        <v>0</v>
      </c>
      <c r="U938" s="4">
        <v>0</v>
      </c>
      <c r="V938" s="4">
        <v>12</v>
      </c>
      <c r="W938" s="4">
        <v>12</v>
      </c>
      <c r="X938" s="4">
        <v>0</v>
      </c>
      <c r="Y938" s="4"/>
      <c r="Z938" s="4">
        <v>700.25</v>
      </c>
      <c r="AA938" s="4">
        <v>750</v>
      </c>
      <c r="AB938" s="18"/>
      <c r="AC938" s="18">
        <v>15</v>
      </c>
      <c r="AD938" s="28"/>
      <c r="AE938" s="26"/>
      <c r="AF938" s="28"/>
    </row>
    <row r="939" spans="1:32" ht="12.6" customHeight="1" x14ac:dyDescent="0.25">
      <c r="A939" s="14">
        <v>45766</v>
      </c>
      <c r="B939" s="14" t="s">
        <v>46</v>
      </c>
      <c r="C939" s="15">
        <v>4</v>
      </c>
      <c r="D939" s="16"/>
      <c r="E939" s="16"/>
      <c r="F939" s="17"/>
      <c r="G939" s="21"/>
      <c r="H939" s="21"/>
      <c r="I939" s="4">
        <v>0</v>
      </c>
      <c r="J939" s="4">
        <v>0</v>
      </c>
      <c r="K939" s="4"/>
      <c r="L939" s="16"/>
      <c r="M939" s="4"/>
      <c r="N939" s="4"/>
      <c r="O939" s="4"/>
      <c r="P939" s="4"/>
      <c r="Q939" s="4"/>
      <c r="R939" s="4"/>
      <c r="S939" s="4">
        <v>0</v>
      </c>
      <c r="T939" s="4">
        <v>0</v>
      </c>
      <c r="U939" s="4">
        <v>0</v>
      </c>
      <c r="V939" s="4">
        <v>12</v>
      </c>
      <c r="W939" s="4">
        <v>12</v>
      </c>
      <c r="X939" s="4">
        <v>0</v>
      </c>
      <c r="Y939" s="4"/>
      <c r="Z939" s="4">
        <v>545.4799999999999</v>
      </c>
      <c r="AA939" s="4">
        <v>550</v>
      </c>
      <c r="AB939" s="18"/>
      <c r="AC939" s="18">
        <v>15</v>
      </c>
      <c r="AD939" s="28"/>
      <c r="AE939" s="26"/>
      <c r="AF939" s="28"/>
    </row>
    <row r="940" spans="1:32" ht="12.6" customHeight="1" x14ac:dyDescent="0.25">
      <c r="A940" s="14">
        <v>45766</v>
      </c>
      <c r="B940" s="14" t="s">
        <v>45</v>
      </c>
      <c r="C940" s="15">
        <v>5</v>
      </c>
      <c r="D940" s="16"/>
      <c r="E940" s="16"/>
      <c r="F940" s="17"/>
      <c r="G940" s="21"/>
      <c r="H940" s="21"/>
      <c r="I940" s="4">
        <v>0</v>
      </c>
      <c r="J940" s="4">
        <v>0</v>
      </c>
      <c r="K940" s="4"/>
      <c r="L940" s="16"/>
      <c r="M940" s="4"/>
      <c r="N940" s="4"/>
      <c r="O940" s="4"/>
      <c r="P940" s="4"/>
      <c r="Q940" s="4"/>
      <c r="R940" s="4"/>
      <c r="S940" s="4">
        <v>0</v>
      </c>
      <c r="T940" s="4">
        <v>0</v>
      </c>
      <c r="U940" s="4">
        <v>0</v>
      </c>
      <c r="V940" s="4">
        <v>12</v>
      </c>
      <c r="W940" s="4">
        <v>12</v>
      </c>
      <c r="X940" s="4">
        <v>0</v>
      </c>
      <c r="Y940" s="4"/>
      <c r="Z940" s="4">
        <v>353.64000000000004</v>
      </c>
      <c r="AA940" s="4">
        <v>350</v>
      </c>
      <c r="AB940" s="18"/>
      <c r="AC940" s="18">
        <v>15</v>
      </c>
      <c r="AD940" s="28"/>
      <c r="AE940" s="26"/>
      <c r="AF940" s="28"/>
    </row>
    <row r="941" spans="1:32" ht="12.6" customHeight="1" x14ac:dyDescent="0.25">
      <c r="A941" s="14">
        <v>45766</v>
      </c>
      <c r="B941" s="14" t="s">
        <v>46</v>
      </c>
      <c r="C941" s="15">
        <v>5</v>
      </c>
      <c r="D941" s="16"/>
      <c r="E941" s="16"/>
      <c r="F941" s="17"/>
      <c r="G941" s="21"/>
      <c r="H941" s="21"/>
      <c r="I941" s="4">
        <v>0</v>
      </c>
      <c r="J941" s="4">
        <v>0</v>
      </c>
      <c r="K941" s="4"/>
      <c r="L941" s="16"/>
      <c r="M941" s="4"/>
      <c r="N941" s="4"/>
      <c r="O941" s="4"/>
      <c r="P941" s="4"/>
      <c r="Q941" s="4"/>
      <c r="R941" s="4"/>
      <c r="S941" s="4">
        <v>0</v>
      </c>
      <c r="T941" s="4">
        <v>0</v>
      </c>
      <c r="U941" s="4">
        <v>0</v>
      </c>
      <c r="V941" s="4">
        <v>12</v>
      </c>
      <c r="W941" s="4">
        <v>12</v>
      </c>
      <c r="X941" s="4">
        <v>0</v>
      </c>
      <c r="Y941" s="4"/>
      <c r="Z941" s="4">
        <v>280.76</v>
      </c>
      <c r="AA941" s="4">
        <v>300</v>
      </c>
      <c r="AB941" s="18"/>
      <c r="AC941" s="18">
        <v>15</v>
      </c>
      <c r="AD941" s="28"/>
      <c r="AE941" s="26"/>
      <c r="AF941" s="28"/>
    </row>
    <row r="942" spans="1:32" ht="12.6" customHeight="1" x14ac:dyDescent="0.25">
      <c r="A942" s="14">
        <v>45768</v>
      </c>
      <c r="B942" s="14" t="s">
        <v>45</v>
      </c>
      <c r="C942" s="15">
        <v>1</v>
      </c>
      <c r="D942" s="16"/>
      <c r="E942" s="16"/>
      <c r="F942" s="17"/>
      <c r="G942" s="21"/>
      <c r="H942" s="21"/>
      <c r="I942" s="4">
        <v>0</v>
      </c>
      <c r="J942" s="4">
        <v>0</v>
      </c>
      <c r="K942" s="4"/>
      <c r="L942" s="16"/>
      <c r="M942" s="4"/>
      <c r="N942" s="4"/>
      <c r="O942" s="4"/>
      <c r="P942" s="4"/>
      <c r="Q942" s="4"/>
      <c r="R942" s="4"/>
      <c r="S942" s="4">
        <v>0</v>
      </c>
      <c r="T942" s="4">
        <v>0</v>
      </c>
      <c r="U942" s="4">
        <v>0</v>
      </c>
      <c r="V942" s="4">
        <v>12</v>
      </c>
      <c r="W942" s="4">
        <v>12</v>
      </c>
      <c r="X942" s="4">
        <v>12</v>
      </c>
      <c r="Y942" s="4">
        <v>1436</v>
      </c>
      <c r="Z942" s="4">
        <v>75.25</v>
      </c>
      <c r="AA942" s="4">
        <v>100</v>
      </c>
      <c r="AB942" s="18">
        <v>398</v>
      </c>
      <c r="AC942" s="18">
        <v>16</v>
      </c>
      <c r="AD942" s="28"/>
      <c r="AE942" s="26"/>
      <c r="AF942" s="28"/>
    </row>
    <row r="943" spans="1:32" ht="12.6" customHeight="1" x14ac:dyDescent="0.25">
      <c r="A943" s="14">
        <v>45768</v>
      </c>
      <c r="B943" s="14" t="s">
        <v>46</v>
      </c>
      <c r="C943" s="15">
        <v>1</v>
      </c>
      <c r="D943" s="16"/>
      <c r="E943" s="16"/>
      <c r="F943" s="17"/>
      <c r="G943" s="21"/>
      <c r="H943" s="21"/>
      <c r="I943" s="4">
        <v>0</v>
      </c>
      <c r="J943" s="4">
        <v>0</v>
      </c>
      <c r="K943" s="4"/>
      <c r="L943" s="16"/>
      <c r="M943" s="4"/>
      <c r="N943" s="4"/>
      <c r="O943" s="4"/>
      <c r="P943" s="4"/>
      <c r="Q943" s="4"/>
      <c r="R943" s="4"/>
      <c r="S943" s="4">
        <v>0</v>
      </c>
      <c r="T943" s="4">
        <v>0</v>
      </c>
      <c r="U943" s="4">
        <v>0</v>
      </c>
      <c r="V943" s="4">
        <v>12</v>
      </c>
      <c r="W943" s="4">
        <v>12</v>
      </c>
      <c r="X943" s="4">
        <v>44.8</v>
      </c>
      <c r="Y943" s="4"/>
      <c r="Z943" s="4">
        <v>139.59</v>
      </c>
      <c r="AA943" s="4">
        <v>150</v>
      </c>
      <c r="AB943" s="18"/>
      <c r="AC943" s="18">
        <v>16</v>
      </c>
      <c r="AD943" s="28"/>
      <c r="AE943" s="26"/>
      <c r="AF943" s="28"/>
    </row>
    <row r="944" spans="1:32" ht="12.6" customHeight="1" x14ac:dyDescent="0.25">
      <c r="A944" s="14">
        <v>45768</v>
      </c>
      <c r="B944" s="14" t="s">
        <v>45</v>
      </c>
      <c r="C944" s="15">
        <v>2</v>
      </c>
      <c r="D944" s="16"/>
      <c r="E944" s="16"/>
      <c r="F944" s="17"/>
      <c r="G944" s="21"/>
      <c r="H944" s="21"/>
      <c r="I944" s="4">
        <v>0</v>
      </c>
      <c r="J944" s="4">
        <v>0</v>
      </c>
      <c r="K944" s="4"/>
      <c r="L944" s="16"/>
      <c r="M944" s="4"/>
      <c r="N944" s="4"/>
      <c r="O944" s="4"/>
      <c r="P944" s="4"/>
      <c r="Q944" s="4"/>
      <c r="R944" s="4"/>
      <c r="S944" s="4">
        <v>0</v>
      </c>
      <c r="T944" s="4">
        <v>0</v>
      </c>
      <c r="U944" s="4">
        <v>0</v>
      </c>
      <c r="V944" s="4">
        <v>12</v>
      </c>
      <c r="W944" s="4">
        <v>12</v>
      </c>
      <c r="X944" s="4">
        <v>0</v>
      </c>
      <c r="Y944" s="4"/>
      <c r="Z944" s="4">
        <v>110.45</v>
      </c>
      <c r="AA944" s="4">
        <v>100</v>
      </c>
      <c r="AB944" s="18"/>
      <c r="AC944" s="18">
        <v>16</v>
      </c>
      <c r="AD944" s="28"/>
      <c r="AE944" s="26"/>
      <c r="AF944" s="28"/>
    </row>
    <row r="945" spans="1:32" ht="12.6" customHeight="1" x14ac:dyDescent="0.25">
      <c r="A945" s="14">
        <v>45768</v>
      </c>
      <c r="B945" s="14" t="s">
        <v>46</v>
      </c>
      <c r="C945" s="15">
        <v>2</v>
      </c>
      <c r="D945" s="16"/>
      <c r="E945" s="16"/>
      <c r="F945" s="17"/>
      <c r="G945" s="21"/>
      <c r="H945" s="21"/>
      <c r="I945" s="4">
        <v>0</v>
      </c>
      <c r="J945" s="4">
        <v>0</v>
      </c>
      <c r="K945" s="4"/>
      <c r="L945" s="16"/>
      <c r="M945" s="4"/>
      <c r="N945" s="4"/>
      <c r="O945" s="4"/>
      <c r="P945" s="4"/>
      <c r="Q945" s="4"/>
      <c r="R945" s="4"/>
      <c r="S945" s="4">
        <v>0</v>
      </c>
      <c r="T945" s="4">
        <v>0</v>
      </c>
      <c r="U945" s="4">
        <v>0</v>
      </c>
      <c r="V945" s="4">
        <v>12</v>
      </c>
      <c r="W945" s="4">
        <v>12</v>
      </c>
      <c r="X945" s="4">
        <v>0</v>
      </c>
      <c r="Y945" s="4"/>
      <c r="Z945" s="4">
        <v>179.98999999999998</v>
      </c>
      <c r="AA945" s="4">
        <v>200</v>
      </c>
      <c r="AB945" s="18"/>
      <c r="AC945" s="18">
        <v>16</v>
      </c>
      <c r="AD945" s="28"/>
      <c r="AE945" s="26"/>
      <c r="AF945" s="28"/>
    </row>
    <row r="946" spans="1:32" ht="12.6" customHeight="1" x14ac:dyDescent="0.25">
      <c r="A946" s="14">
        <v>45768</v>
      </c>
      <c r="B946" s="14" t="s">
        <v>45</v>
      </c>
      <c r="C946" s="15">
        <v>4</v>
      </c>
      <c r="D946" s="16"/>
      <c r="E946" s="16"/>
      <c r="F946" s="17"/>
      <c r="G946" s="21"/>
      <c r="H946" s="21"/>
      <c r="I946" s="4">
        <v>0</v>
      </c>
      <c r="J946" s="4">
        <v>0</v>
      </c>
      <c r="K946" s="4"/>
      <c r="L946" s="16"/>
      <c r="M946" s="4"/>
      <c r="N946" s="4"/>
      <c r="O946" s="4"/>
      <c r="P946" s="4"/>
      <c r="Q946" s="4"/>
      <c r="R946" s="4"/>
      <c r="S946" s="4">
        <v>0</v>
      </c>
      <c r="T946" s="4">
        <v>0</v>
      </c>
      <c r="U946" s="4">
        <v>0</v>
      </c>
      <c r="V946" s="4">
        <v>12</v>
      </c>
      <c r="W946" s="4">
        <v>12</v>
      </c>
      <c r="X946" s="4">
        <v>0</v>
      </c>
      <c r="Y946" s="4"/>
      <c r="Z946" s="4">
        <v>509.03000000000003</v>
      </c>
      <c r="AA946" s="4">
        <v>550</v>
      </c>
      <c r="AB946" s="18"/>
      <c r="AC946" s="18">
        <v>16</v>
      </c>
      <c r="AD946" s="28"/>
      <c r="AE946" s="26"/>
      <c r="AF946" s="28"/>
    </row>
    <row r="947" spans="1:32" ht="12.6" customHeight="1" x14ac:dyDescent="0.25">
      <c r="A947" s="14">
        <v>45768</v>
      </c>
      <c r="B947" s="14" t="s">
        <v>46</v>
      </c>
      <c r="C947" s="15">
        <v>4</v>
      </c>
      <c r="D947" s="16"/>
      <c r="E947" s="16"/>
      <c r="F947" s="17"/>
      <c r="G947" s="21"/>
      <c r="H947" s="21"/>
      <c r="I947" s="4">
        <v>0</v>
      </c>
      <c r="J947" s="4">
        <v>0</v>
      </c>
      <c r="K947" s="4"/>
      <c r="L947" s="16"/>
      <c r="M947" s="4"/>
      <c r="N947" s="4"/>
      <c r="O947" s="4"/>
      <c r="P947" s="4"/>
      <c r="Q947" s="4"/>
      <c r="R947" s="4"/>
      <c r="S947" s="4">
        <v>0</v>
      </c>
      <c r="T947" s="4">
        <v>0</v>
      </c>
      <c r="U947" s="4">
        <v>0</v>
      </c>
      <c r="V947" s="4">
        <v>12</v>
      </c>
      <c r="W947" s="4">
        <v>12</v>
      </c>
      <c r="X947" s="4">
        <v>0</v>
      </c>
      <c r="Y947" s="4"/>
      <c r="Z947" s="4">
        <v>635.37</v>
      </c>
      <c r="AA947" s="4">
        <v>650</v>
      </c>
      <c r="AB947" s="18"/>
      <c r="AC947" s="18">
        <v>16</v>
      </c>
      <c r="AD947" s="28"/>
      <c r="AE947" s="26"/>
      <c r="AF947" s="28"/>
    </row>
    <row r="948" spans="1:32" ht="12.6" customHeight="1" x14ac:dyDescent="0.25">
      <c r="A948" s="14">
        <v>45768</v>
      </c>
      <c r="B948" s="14" t="s">
        <v>45</v>
      </c>
      <c r="C948" s="15">
        <v>5</v>
      </c>
      <c r="D948" s="16">
        <v>20</v>
      </c>
      <c r="E948" s="16"/>
      <c r="F948" s="17"/>
      <c r="G948" s="21"/>
      <c r="H948" s="21"/>
      <c r="I948" s="4">
        <v>20</v>
      </c>
      <c r="J948" s="4">
        <v>0.33333333333333331</v>
      </c>
      <c r="K948" s="4"/>
      <c r="L948" s="16"/>
      <c r="M948" s="4"/>
      <c r="N948" s="4"/>
      <c r="O948" s="4"/>
      <c r="P948" s="4"/>
      <c r="Q948" s="4">
        <v>20</v>
      </c>
      <c r="R948" s="4"/>
      <c r="S948" s="4">
        <v>20</v>
      </c>
      <c r="T948" s="4">
        <v>0.33333333333333331</v>
      </c>
      <c r="U948" s="4">
        <v>0.66666666666666663</v>
      </c>
      <c r="V948" s="4">
        <v>11.333333333333334</v>
      </c>
      <c r="W948" s="4">
        <v>12</v>
      </c>
      <c r="X948" s="4">
        <v>0</v>
      </c>
      <c r="Y948" s="4"/>
      <c r="Z948" s="4">
        <v>431.53000000000009</v>
      </c>
      <c r="AA948" s="4">
        <v>500</v>
      </c>
      <c r="AB948" s="18"/>
      <c r="AC948" s="18">
        <v>16</v>
      </c>
      <c r="AD948" s="28"/>
      <c r="AE948" s="26"/>
      <c r="AF948" s="28"/>
    </row>
    <row r="949" spans="1:32" ht="12.6" customHeight="1" x14ac:dyDescent="0.25">
      <c r="A949" s="14">
        <v>45768</v>
      </c>
      <c r="B949" s="14" t="s">
        <v>46</v>
      </c>
      <c r="C949" s="15">
        <v>5</v>
      </c>
      <c r="D949" s="16">
        <v>20</v>
      </c>
      <c r="E949" s="16"/>
      <c r="F949" s="17"/>
      <c r="G949" s="21"/>
      <c r="H949" s="21"/>
      <c r="I949" s="4">
        <v>20</v>
      </c>
      <c r="J949" s="4">
        <v>0.33333333333333331</v>
      </c>
      <c r="K949" s="4"/>
      <c r="L949" s="16"/>
      <c r="M949" s="4"/>
      <c r="N949" s="4"/>
      <c r="O949" s="4"/>
      <c r="P949" s="4"/>
      <c r="Q949" s="4"/>
      <c r="R949" s="4"/>
      <c r="S949" s="4">
        <v>0</v>
      </c>
      <c r="T949" s="4">
        <v>0</v>
      </c>
      <c r="U949" s="4">
        <v>0.33333333333333331</v>
      </c>
      <c r="V949" s="4">
        <v>11.666666666666666</v>
      </c>
      <c r="W949" s="4">
        <v>12</v>
      </c>
      <c r="X949" s="4">
        <v>0</v>
      </c>
      <c r="Y949" s="4"/>
      <c r="Z949" s="4">
        <v>587.73</v>
      </c>
      <c r="AA949" s="4">
        <v>650</v>
      </c>
      <c r="AB949" s="18"/>
      <c r="AC949" s="18">
        <v>16</v>
      </c>
      <c r="AD949" s="28"/>
      <c r="AE949" s="26"/>
      <c r="AF949" s="28"/>
    </row>
    <row r="950" spans="1:32" ht="12.6" customHeight="1" x14ac:dyDescent="0.25">
      <c r="A950" s="14">
        <v>45769</v>
      </c>
      <c r="B950" s="14" t="s">
        <v>45</v>
      </c>
      <c r="C950" s="15">
        <v>1</v>
      </c>
      <c r="D950" s="16"/>
      <c r="E950" s="16"/>
      <c r="F950" s="17"/>
      <c r="G950" s="21"/>
      <c r="H950" s="21"/>
      <c r="I950" s="4">
        <v>0</v>
      </c>
      <c r="J950" s="4">
        <v>0</v>
      </c>
      <c r="K950" s="4"/>
      <c r="L950" s="16"/>
      <c r="M950" s="4"/>
      <c r="N950" s="4"/>
      <c r="O950" s="4"/>
      <c r="P950" s="4">
        <v>30</v>
      </c>
      <c r="Q950" s="4"/>
      <c r="R950" s="4"/>
      <c r="S950" s="4">
        <v>30</v>
      </c>
      <c r="T950" s="4">
        <v>0.5</v>
      </c>
      <c r="U950" s="4">
        <v>0.5</v>
      </c>
      <c r="V950" s="4">
        <v>11.5</v>
      </c>
      <c r="W950" s="4">
        <v>12</v>
      </c>
      <c r="X950" s="4">
        <v>23</v>
      </c>
      <c r="Y950" s="4">
        <v>1363</v>
      </c>
      <c r="Z950" s="4">
        <v>118.93</v>
      </c>
      <c r="AA950" s="4">
        <v>100</v>
      </c>
      <c r="AB950" s="18">
        <v>398</v>
      </c>
      <c r="AC950" s="18">
        <v>16</v>
      </c>
      <c r="AD950" s="28"/>
      <c r="AE950" s="26"/>
      <c r="AF950" s="28"/>
    </row>
    <row r="951" spans="1:32" ht="12.6" customHeight="1" x14ac:dyDescent="0.25">
      <c r="A951" s="14">
        <v>45769</v>
      </c>
      <c r="B951" s="14" t="s">
        <v>46</v>
      </c>
      <c r="C951" s="15">
        <v>1</v>
      </c>
      <c r="D951" s="16"/>
      <c r="E951" s="16"/>
      <c r="F951" s="17"/>
      <c r="G951" s="21"/>
      <c r="H951" s="21"/>
      <c r="I951" s="4">
        <v>0</v>
      </c>
      <c r="J951" s="4">
        <v>0</v>
      </c>
      <c r="K951" s="4"/>
      <c r="L951" s="16"/>
      <c r="M951" s="4"/>
      <c r="N951" s="4"/>
      <c r="O951" s="4"/>
      <c r="P951" s="4"/>
      <c r="Q951" s="4"/>
      <c r="R951" s="4"/>
      <c r="S951" s="4">
        <v>0</v>
      </c>
      <c r="T951" s="4">
        <v>0</v>
      </c>
      <c r="U951" s="4">
        <v>0</v>
      </c>
      <c r="V951" s="4">
        <v>12</v>
      </c>
      <c r="W951" s="4">
        <v>12</v>
      </c>
      <c r="X951" s="4">
        <v>122</v>
      </c>
      <c r="Y951" s="4"/>
      <c r="Z951" s="4">
        <v>136.32999999999998</v>
      </c>
      <c r="AA951" s="4">
        <v>100</v>
      </c>
      <c r="AB951" s="18"/>
      <c r="AC951" s="18">
        <v>16</v>
      </c>
      <c r="AD951" s="28"/>
      <c r="AE951" s="26"/>
      <c r="AF951" s="28"/>
    </row>
    <row r="952" spans="1:32" ht="12.6" customHeight="1" x14ac:dyDescent="0.25">
      <c r="A952" s="14">
        <v>45769</v>
      </c>
      <c r="B952" s="14" t="s">
        <v>45</v>
      </c>
      <c r="C952" s="15">
        <v>2</v>
      </c>
      <c r="D952" s="16">
        <v>20</v>
      </c>
      <c r="E952" s="16"/>
      <c r="F952" s="17"/>
      <c r="G952" s="21"/>
      <c r="H952" s="21"/>
      <c r="I952" s="4">
        <v>20</v>
      </c>
      <c r="J952" s="4">
        <v>0.33333333333333331</v>
      </c>
      <c r="K952" s="4"/>
      <c r="L952" s="16"/>
      <c r="M952" s="4"/>
      <c r="N952" s="4"/>
      <c r="O952" s="4"/>
      <c r="P952" s="4"/>
      <c r="Q952" s="4"/>
      <c r="R952" s="4"/>
      <c r="S952" s="4">
        <v>0</v>
      </c>
      <c r="T952" s="4">
        <v>0</v>
      </c>
      <c r="U952" s="4">
        <v>0.33333333333333331</v>
      </c>
      <c r="V952" s="4">
        <v>11.666666666666666</v>
      </c>
      <c r="W952" s="4">
        <v>12</v>
      </c>
      <c r="X952" s="4">
        <v>0</v>
      </c>
      <c r="Y952" s="4"/>
      <c r="Z952" s="4">
        <v>161.09</v>
      </c>
      <c r="AA952" s="4">
        <v>150</v>
      </c>
      <c r="AB952" s="18"/>
      <c r="AC952" s="18">
        <v>16</v>
      </c>
      <c r="AD952" s="28"/>
      <c r="AE952" s="26"/>
      <c r="AF952" s="28"/>
    </row>
    <row r="953" spans="1:32" ht="12.6" customHeight="1" x14ac:dyDescent="0.25">
      <c r="A953" s="14">
        <v>45769</v>
      </c>
      <c r="B953" s="14" t="s">
        <v>46</v>
      </c>
      <c r="C953" s="15">
        <v>2</v>
      </c>
      <c r="D953" s="16"/>
      <c r="E953" s="16"/>
      <c r="F953" s="17"/>
      <c r="G953" s="21"/>
      <c r="H953" s="21"/>
      <c r="I953" s="4">
        <v>0</v>
      </c>
      <c r="J953" s="4">
        <v>0</v>
      </c>
      <c r="K953" s="4"/>
      <c r="L953" s="16"/>
      <c r="M953" s="4"/>
      <c r="N953" s="4"/>
      <c r="O953" s="4"/>
      <c r="P953" s="4"/>
      <c r="Q953" s="4"/>
      <c r="R953" s="4"/>
      <c r="S953" s="4">
        <v>0</v>
      </c>
      <c r="T953" s="4">
        <v>0</v>
      </c>
      <c r="U953" s="4">
        <v>0</v>
      </c>
      <c r="V953" s="4">
        <v>12</v>
      </c>
      <c r="W953" s="4">
        <v>12</v>
      </c>
      <c r="X953" s="4">
        <v>0</v>
      </c>
      <c r="Y953" s="4"/>
      <c r="Z953" s="4">
        <v>80.59</v>
      </c>
      <c r="AA953" s="4">
        <v>100</v>
      </c>
      <c r="AB953" s="18"/>
      <c r="AC953" s="18">
        <v>16</v>
      </c>
      <c r="AD953" s="28"/>
      <c r="AE953" s="26"/>
      <c r="AF953" s="28"/>
    </row>
    <row r="954" spans="1:32" ht="12.6" customHeight="1" x14ac:dyDescent="0.25">
      <c r="A954" s="14">
        <v>45769</v>
      </c>
      <c r="B954" s="14" t="s">
        <v>45</v>
      </c>
      <c r="C954" s="15">
        <v>4</v>
      </c>
      <c r="D954" s="16">
        <v>40</v>
      </c>
      <c r="E954" s="16"/>
      <c r="F954" s="17"/>
      <c r="G954" s="21"/>
      <c r="H954" s="21"/>
      <c r="I954" s="4">
        <v>40</v>
      </c>
      <c r="J954" s="4">
        <v>0.66666666666666663</v>
      </c>
      <c r="K954" s="4"/>
      <c r="L954" s="16"/>
      <c r="M954" s="4"/>
      <c r="N954" s="4"/>
      <c r="O954" s="4"/>
      <c r="P954" s="4"/>
      <c r="Q954" s="4"/>
      <c r="R954" s="4"/>
      <c r="S954" s="4">
        <v>0</v>
      </c>
      <c r="T954" s="4">
        <v>0</v>
      </c>
      <c r="U954" s="4">
        <v>0.66666666666666663</v>
      </c>
      <c r="V954" s="4">
        <v>11.333333333333334</v>
      </c>
      <c r="W954" s="4">
        <v>12</v>
      </c>
      <c r="X954" s="4">
        <v>0</v>
      </c>
      <c r="Y954" s="4"/>
      <c r="Z954" s="4">
        <v>702.36</v>
      </c>
      <c r="AA954" s="4">
        <v>700</v>
      </c>
      <c r="AB954" s="18"/>
      <c r="AC954" s="18">
        <v>16</v>
      </c>
      <c r="AD954" s="28"/>
      <c r="AE954" s="26"/>
      <c r="AF954" s="28"/>
    </row>
    <row r="955" spans="1:32" ht="12.6" customHeight="1" x14ac:dyDescent="0.25">
      <c r="A955" s="14">
        <v>45769</v>
      </c>
      <c r="B955" s="14" t="s">
        <v>46</v>
      </c>
      <c r="C955" s="15">
        <v>4</v>
      </c>
      <c r="D955" s="16">
        <v>40</v>
      </c>
      <c r="E955" s="16"/>
      <c r="F955" s="17"/>
      <c r="G955" s="21"/>
      <c r="H955" s="21"/>
      <c r="I955" s="4">
        <v>40</v>
      </c>
      <c r="J955" s="4">
        <v>0.66666666666666663</v>
      </c>
      <c r="K955" s="4"/>
      <c r="L955" s="16"/>
      <c r="M955" s="4"/>
      <c r="N955" s="4"/>
      <c r="O955" s="4"/>
      <c r="P955" s="4"/>
      <c r="Q955" s="4"/>
      <c r="R955" s="4"/>
      <c r="S955" s="4">
        <v>0</v>
      </c>
      <c r="T955" s="4">
        <v>0</v>
      </c>
      <c r="U955" s="4">
        <v>0.66666666666666663</v>
      </c>
      <c r="V955" s="4">
        <v>11.333333333333334</v>
      </c>
      <c r="W955" s="4">
        <v>12</v>
      </c>
      <c r="X955" s="4">
        <v>0</v>
      </c>
      <c r="Y955" s="4"/>
      <c r="Z955" s="4">
        <v>587.47</v>
      </c>
      <c r="AA955" s="4">
        <v>600</v>
      </c>
      <c r="AB955" s="18"/>
      <c r="AC955" s="18">
        <v>16</v>
      </c>
      <c r="AD955" s="28"/>
      <c r="AE955" s="26"/>
      <c r="AF955" s="28"/>
    </row>
    <row r="956" spans="1:32" ht="12.6" customHeight="1" x14ac:dyDescent="0.25">
      <c r="A956" s="14">
        <v>45769</v>
      </c>
      <c r="B956" s="14" t="s">
        <v>45</v>
      </c>
      <c r="C956" s="15">
        <v>5</v>
      </c>
      <c r="D956" s="16">
        <v>20</v>
      </c>
      <c r="E956" s="16"/>
      <c r="F956" s="17"/>
      <c r="G956" s="21"/>
      <c r="H956" s="21"/>
      <c r="I956" s="4">
        <v>20</v>
      </c>
      <c r="J956" s="4">
        <v>0.33333333333333331</v>
      </c>
      <c r="K956" s="4"/>
      <c r="L956" s="16"/>
      <c r="M956" s="4"/>
      <c r="N956" s="4"/>
      <c r="O956" s="4"/>
      <c r="P956" s="4"/>
      <c r="Q956" s="4"/>
      <c r="R956" s="4"/>
      <c r="S956" s="4">
        <v>0</v>
      </c>
      <c r="T956" s="4">
        <v>0</v>
      </c>
      <c r="U956" s="4">
        <v>0.33333333333333331</v>
      </c>
      <c r="V956" s="4">
        <v>11.666666666666666</v>
      </c>
      <c r="W956" s="4">
        <v>12</v>
      </c>
      <c r="X956" s="4">
        <v>0</v>
      </c>
      <c r="Y956" s="4"/>
      <c r="Z956" s="4">
        <v>618.99</v>
      </c>
      <c r="AA956" s="4">
        <v>650</v>
      </c>
      <c r="AB956" s="18"/>
      <c r="AC956" s="18">
        <v>16</v>
      </c>
      <c r="AD956" s="28"/>
      <c r="AE956" s="26"/>
      <c r="AF956" s="28"/>
    </row>
    <row r="957" spans="1:32" ht="12.6" customHeight="1" x14ac:dyDescent="0.25">
      <c r="A957" s="14">
        <v>45769</v>
      </c>
      <c r="B957" s="14" t="s">
        <v>46</v>
      </c>
      <c r="C957" s="15">
        <v>5</v>
      </c>
      <c r="D957" s="16"/>
      <c r="E957" s="16"/>
      <c r="F957" s="17"/>
      <c r="G957" s="21"/>
      <c r="H957" s="21"/>
      <c r="I957" s="4">
        <v>0</v>
      </c>
      <c r="J957" s="4">
        <v>0</v>
      </c>
      <c r="K957" s="4"/>
      <c r="L957" s="16"/>
      <c r="M957" s="4"/>
      <c r="N957" s="4"/>
      <c r="O957" s="4"/>
      <c r="P957" s="4"/>
      <c r="Q957" s="4"/>
      <c r="R957" s="4"/>
      <c r="S957" s="4">
        <v>0</v>
      </c>
      <c r="T957" s="4">
        <v>0</v>
      </c>
      <c r="U957" s="4">
        <v>0</v>
      </c>
      <c r="V957" s="4">
        <v>12</v>
      </c>
      <c r="W957" s="4">
        <v>12</v>
      </c>
      <c r="X957" s="4">
        <v>0</v>
      </c>
      <c r="Y957" s="4"/>
      <c r="Z957" s="4">
        <v>566.72</v>
      </c>
      <c r="AA957" s="4">
        <v>600</v>
      </c>
      <c r="AB957" s="18"/>
      <c r="AC957" s="18">
        <v>16</v>
      </c>
      <c r="AD957" s="28"/>
      <c r="AE957" s="26"/>
      <c r="AF957" s="28"/>
    </row>
    <row r="958" spans="1:32" ht="12.6" customHeight="1" x14ac:dyDescent="0.25">
      <c r="A958" s="14">
        <v>45770</v>
      </c>
      <c r="B958" s="14" t="s">
        <v>45</v>
      </c>
      <c r="C958" s="15">
        <v>1</v>
      </c>
      <c r="D958" s="16"/>
      <c r="E958" s="16"/>
      <c r="F958" s="17"/>
      <c r="G958" s="21"/>
      <c r="H958" s="21"/>
      <c r="I958" s="4">
        <v>0</v>
      </c>
      <c r="J958" s="4">
        <v>0</v>
      </c>
      <c r="K958" s="4"/>
      <c r="L958" s="16"/>
      <c r="M958" s="4"/>
      <c r="N958" s="4"/>
      <c r="O958" s="4"/>
      <c r="P958" s="4"/>
      <c r="Q958" s="4"/>
      <c r="R958" s="4"/>
      <c r="S958" s="4">
        <v>0</v>
      </c>
      <c r="T958" s="4">
        <v>0</v>
      </c>
      <c r="U958" s="4">
        <v>0</v>
      </c>
      <c r="V958" s="4">
        <v>12</v>
      </c>
      <c r="W958" s="4">
        <v>12</v>
      </c>
      <c r="X958" s="4">
        <v>37</v>
      </c>
      <c r="Y958" s="4">
        <v>1460</v>
      </c>
      <c r="Z958" s="4">
        <v>175.38</v>
      </c>
      <c r="AA958" s="4">
        <v>200</v>
      </c>
      <c r="AB958" s="18">
        <v>398</v>
      </c>
      <c r="AC958" s="18">
        <v>16</v>
      </c>
      <c r="AD958" s="28"/>
      <c r="AE958" s="26"/>
      <c r="AF958" s="28"/>
    </row>
    <row r="959" spans="1:32" ht="12.6" customHeight="1" x14ac:dyDescent="0.25">
      <c r="A959" s="14">
        <v>45770</v>
      </c>
      <c r="B959" s="14" t="s">
        <v>46</v>
      </c>
      <c r="C959" s="15">
        <v>1</v>
      </c>
      <c r="D959" s="16"/>
      <c r="E959" s="16"/>
      <c r="F959" s="17"/>
      <c r="G959" s="21"/>
      <c r="H959" s="21"/>
      <c r="I959" s="4">
        <v>0</v>
      </c>
      <c r="J959" s="4">
        <v>0</v>
      </c>
      <c r="K959" s="4"/>
      <c r="L959" s="16"/>
      <c r="M959" s="4"/>
      <c r="N959" s="4"/>
      <c r="O959" s="4"/>
      <c r="P959" s="4"/>
      <c r="Q959" s="4"/>
      <c r="R959" s="4"/>
      <c r="S959" s="4">
        <v>0</v>
      </c>
      <c r="T959" s="4">
        <v>0</v>
      </c>
      <c r="U959" s="4">
        <v>0</v>
      </c>
      <c r="V959" s="4">
        <v>12</v>
      </c>
      <c r="W959" s="4">
        <v>12</v>
      </c>
      <c r="X959" s="4">
        <v>91</v>
      </c>
      <c r="Y959" s="4"/>
      <c r="Z959" s="4">
        <v>193.53</v>
      </c>
      <c r="AA959" s="4">
        <v>200</v>
      </c>
      <c r="AB959" s="18"/>
      <c r="AC959" s="18">
        <v>16</v>
      </c>
      <c r="AD959" s="28"/>
      <c r="AE959" s="26"/>
      <c r="AF959" s="28"/>
    </row>
    <row r="960" spans="1:32" ht="12.6" customHeight="1" x14ac:dyDescent="0.25">
      <c r="A960" s="14">
        <v>45770</v>
      </c>
      <c r="B960" s="14" t="s">
        <v>45</v>
      </c>
      <c r="C960" s="15">
        <v>2</v>
      </c>
      <c r="D960" s="16"/>
      <c r="E960" s="16"/>
      <c r="F960" s="17"/>
      <c r="G960" s="21"/>
      <c r="H960" s="21"/>
      <c r="I960" s="4">
        <v>0</v>
      </c>
      <c r="J960" s="4">
        <v>0</v>
      </c>
      <c r="K960" s="4"/>
      <c r="L960" s="16"/>
      <c r="M960" s="4"/>
      <c r="N960" s="4"/>
      <c r="O960" s="4"/>
      <c r="P960" s="4"/>
      <c r="Q960" s="4"/>
      <c r="R960" s="4"/>
      <c r="S960" s="4">
        <v>0</v>
      </c>
      <c r="T960" s="4">
        <v>0</v>
      </c>
      <c r="U960" s="4">
        <v>0</v>
      </c>
      <c r="V960" s="4">
        <v>12</v>
      </c>
      <c r="W960" s="4">
        <v>12</v>
      </c>
      <c r="X960" s="4">
        <v>0</v>
      </c>
      <c r="Y960" s="4"/>
      <c r="Z960" s="4">
        <v>82.140000000000015</v>
      </c>
      <c r="AA960" s="4">
        <v>100</v>
      </c>
      <c r="AB960" s="18"/>
      <c r="AC960" s="18">
        <v>16</v>
      </c>
      <c r="AD960" s="28"/>
      <c r="AE960" s="26"/>
      <c r="AF960" s="28"/>
    </row>
    <row r="961" spans="1:32" ht="12.6" customHeight="1" x14ac:dyDescent="0.25">
      <c r="A961" s="14">
        <v>45770</v>
      </c>
      <c r="B961" s="14" t="s">
        <v>46</v>
      </c>
      <c r="C961" s="15">
        <v>2</v>
      </c>
      <c r="D961" s="16"/>
      <c r="E961" s="16"/>
      <c r="F961" s="17"/>
      <c r="G961" s="21"/>
      <c r="H961" s="21"/>
      <c r="I961" s="4">
        <v>0</v>
      </c>
      <c r="J961" s="4">
        <v>0</v>
      </c>
      <c r="K961" s="4"/>
      <c r="L961" s="16"/>
      <c r="M961" s="4"/>
      <c r="N961" s="4"/>
      <c r="O961" s="4"/>
      <c r="P961" s="4"/>
      <c r="Q961" s="4"/>
      <c r="R961" s="4"/>
      <c r="S961" s="4">
        <v>0</v>
      </c>
      <c r="T961" s="4">
        <v>0</v>
      </c>
      <c r="U961" s="4">
        <v>0</v>
      </c>
      <c r="V961" s="4">
        <v>12</v>
      </c>
      <c r="W961" s="4">
        <v>12</v>
      </c>
      <c r="X961" s="4">
        <v>0</v>
      </c>
      <c r="Y961" s="4"/>
      <c r="Z961" s="4">
        <v>129.58000000000001</v>
      </c>
      <c r="AA961" s="4">
        <v>100</v>
      </c>
      <c r="AB961" s="18"/>
      <c r="AC961" s="18">
        <v>16</v>
      </c>
      <c r="AD961" s="28"/>
      <c r="AE961" s="26"/>
      <c r="AF961" s="28"/>
    </row>
    <row r="962" spans="1:32" ht="12.6" customHeight="1" x14ac:dyDescent="0.25">
      <c r="A962" s="14">
        <v>45770</v>
      </c>
      <c r="B962" s="14" t="s">
        <v>45</v>
      </c>
      <c r="C962" s="15">
        <v>4</v>
      </c>
      <c r="D962" s="16">
        <v>20</v>
      </c>
      <c r="E962" s="16"/>
      <c r="F962" s="17"/>
      <c r="G962" s="21"/>
      <c r="H962" s="21"/>
      <c r="I962" s="4">
        <v>20</v>
      </c>
      <c r="J962" s="4">
        <v>0.33333333333333331</v>
      </c>
      <c r="K962" s="4"/>
      <c r="L962" s="16"/>
      <c r="M962" s="4"/>
      <c r="N962" s="4"/>
      <c r="O962" s="4"/>
      <c r="P962" s="4"/>
      <c r="Q962" s="4"/>
      <c r="R962" s="4"/>
      <c r="S962" s="4">
        <v>0</v>
      </c>
      <c r="T962" s="4">
        <v>0</v>
      </c>
      <c r="U962" s="4">
        <v>0.33333333333333331</v>
      </c>
      <c r="V962" s="4">
        <v>11.666666666666666</v>
      </c>
      <c r="W962" s="4">
        <v>12</v>
      </c>
      <c r="X962" s="4">
        <v>0</v>
      </c>
      <c r="Y962" s="4"/>
      <c r="Z962" s="4">
        <v>765.9899999999999</v>
      </c>
      <c r="AA962" s="4">
        <v>800</v>
      </c>
      <c r="AB962" s="18"/>
      <c r="AC962" s="18">
        <v>16</v>
      </c>
      <c r="AD962" s="28"/>
      <c r="AE962" s="26"/>
      <c r="AF962" s="28"/>
    </row>
    <row r="963" spans="1:32" ht="12.6" customHeight="1" x14ac:dyDescent="0.25">
      <c r="A963" s="14">
        <v>45770</v>
      </c>
      <c r="B963" s="14" t="s">
        <v>46</v>
      </c>
      <c r="C963" s="15">
        <v>4</v>
      </c>
      <c r="D963" s="16">
        <v>60</v>
      </c>
      <c r="E963" s="16"/>
      <c r="F963" s="17"/>
      <c r="G963" s="21"/>
      <c r="H963" s="21"/>
      <c r="I963" s="4">
        <v>60</v>
      </c>
      <c r="J963" s="4">
        <v>1</v>
      </c>
      <c r="K963" s="4"/>
      <c r="L963" s="16"/>
      <c r="M963" s="4"/>
      <c r="N963" s="4"/>
      <c r="O963" s="4"/>
      <c r="P963" s="4"/>
      <c r="Q963" s="4"/>
      <c r="R963" s="4"/>
      <c r="S963" s="4">
        <v>0</v>
      </c>
      <c r="T963" s="4">
        <v>0</v>
      </c>
      <c r="U963" s="4">
        <v>1</v>
      </c>
      <c r="V963" s="4">
        <v>11</v>
      </c>
      <c r="W963" s="4">
        <v>12</v>
      </c>
      <c r="X963" s="4">
        <v>0</v>
      </c>
      <c r="Y963" s="4"/>
      <c r="Z963" s="4">
        <v>538.88</v>
      </c>
      <c r="AA963" s="4">
        <v>550</v>
      </c>
      <c r="AB963" s="18"/>
      <c r="AC963" s="18">
        <v>16</v>
      </c>
      <c r="AD963" s="28"/>
      <c r="AE963" s="26"/>
      <c r="AF963" s="28"/>
    </row>
    <row r="964" spans="1:32" ht="12.6" customHeight="1" x14ac:dyDescent="0.25">
      <c r="A964" s="14">
        <v>45770</v>
      </c>
      <c r="B964" s="14" t="s">
        <v>45</v>
      </c>
      <c r="C964" s="15">
        <v>5</v>
      </c>
      <c r="D964" s="16">
        <v>40</v>
      </c>
      <c r="E964" s="16"/>
      <c r="F964" s="17"/>
      <c r="G964" s="21"/>
      <c r="H964" s="21"/>
      <c r="I964" s="4">
        <v>40</v>
      </c>
      <c r="J964" s="4">
        <v>0.66666666666666663</v>
      </c>
      <c r="K964" s="4"/>
      <c r="L964" s="16"/>
      <c r="M964" s="4"/>
      <c r="N964" s="4"/>
      <c r="O964" s="4"/>
      <c r="P964" s="4">
        <v>180</v>
      </c>
      <c r="Q964" s="4"/>
      <c r="R964" s="4"/>
      <c r="S964" s="4">
        <v>180</v>
      </c>
      <c r="T964" s="4">
        <v>3</v>
      </c>
      <c r="U964" s="4">
        <v>3.6666666666666665</v>
      </c>
      <c r="V964" s="4">
        <v>8.3333333333333339</v>
      </c>
      <c r="W964" s="4">
        <v>12</v>
      </c>
      <c r="X964" s="4">
        <v>0</v>
      </c>
      <c r="Y964" s="4"/>
      <c r="Z964" s="4">
        <v>436.29999999999995</v>
      </c>
      <c r="AA964" s="4">
        <v>500</v>
      </c>
      <c r="AB964" s="18"/>
      <c r="AC964" s="18">
        <v>16</v>
      </c>
      <c r="AD964" s="28"/>
      <c r="AE964" s="26"/>
      <c r="AF964" s="28"/>
    </row>
    <row r="965" spans="1:32" ht="12.6" customHeight="1" x14ac:dyDescent="0.25">
      <c r="A965" s="14">
        <v>45770</v>
      </c>
      <c r="B965" s="14" t="s">
        <v>46</v>
      </c>
      <c r="C965" s="15">
        <v>5</v>
      </c>
      <c r="D965" s="16">
        <v>30</v>
      </c>
      <c r="E965" s="16"/>
      <c r="F965" s="17"/>
      <c r="G965" s="21"/>
      <c r="H965" s="21"/>
      <c r="I965" s="4">
        <v>30</v>
      </c>
      <c r="J965" s="4">
        <v>0.5</v>
      </c>
      <c r="K965" s="4"/>
      <c r="L965" s="16"/>
      <c r="M965" s="4"/>
      <c r="N965" s="4"/>
      <c r="O965" s="4"/>
      <c r="P965" s="4"/>
      <c r="Q965" s="4"/>
      <c r="R965" s="4"/>
      <c r="S965" s="4">
        <v>0</v>
      </c>
      <c r="T965" s="4">
        <v>0</v>
      </c>
      <c r="U965" s="4">
        <v>0.5</v>
      </c>
      <c r="V965" s="4">
        <v>11.5</v>
      </c>
      <c r="W965" s="4">
        <v>12</v>
      </c>
      <c r="X965" s="4">
        <v>0</v>
      </c>
      <c r="Y965" s="4"/>
      <c r="Z965" s="4">
        <v>574.38</v>
      </c>
      <c r="AA965" s="4">
        <v>600</v>
      </c>
      <c r="AB965" s="18"/>
      <c r="AC965" s="18">
        <v>16</v>
      </c>
      <c r="AD965" s="28"/>
      <c r="AE965" s="26"/>
      <c r="AF965" s="28"/>
    </row>
    <row r="966" spans="1:32" ht="12.6" customHeight="1" x14ac:dyDescent="0.25">
      <c r="A966" s="14">
        <v>45771</v>
      </c>
      <c r="B966" s="14" t="s">
        <v>45</v>
      </c>
      <c r="C966" s="15">
        <v>1</v>
      </c>
      <c r="D966" s="16"/>
      <c r="E966" s="16"/>
      <c r="F966" s="17"/>
      <c r="G966" s="21"/>
      <c r="H966" s="21"/>
      <c r="I966" s="4">
        <v>0</v>
      </c>
      <c r="J966" s="4">
        <v>0</v>
      </c>
      <c r="K966" s="4"/>
      <c r="L966" s="16"/>
      <c r="M966" s="4"/>
      <c r="N966" s="4"/>
      <c r="O966" s="4"/>
      <c r="P966" s="4"/>
      <c r="Q966" s="4"/>
      <c r="R966" s="4"/>
      <c r="S966" s="4">
        <v>0</v>
      </c>
      <c r="T966" s="4">
        <v>0</v>
      </c>
      <c r="U966" s="4">
        <v>0</v>
      </c>
      <c r="V966" s="4">
        <v>12</v>
      </c>
      <c r="W966" s="4">
        <v>12</v>
      </c>
      <c r="X966" s="4">
        <v>43</v>
      </c>
      <c r="Y966" s="4">
        <v>1463</v>
      </c>
      <c r="Z966" s="4">
        <v>179.07000000000002</v>
      </c>
      <c r="AA966" s="4">
        <v>200</v>
      </c>
      <c r="AB966" s="18">
        <v>398</v>
      </c>
      <c r="AC966" s="18">
        <v>16</v>
      </c>
      <c r="AD966" s="28"/>
      <c r="AE966" s="26"/>
      <c r="AF966" s="28"/>
    </row>
    <row r="967" spans="1:32" ht="12.6" customHeight="1" x14ac:dyDescent="0.25">
      <c r="A967" s="14">
        <v>45771</v>
      </c>
      <c r="B967" s="14" t="s">
        <v>46</v>
      </c>
      <c r="C967" s="15">
        <v>1</v>
      </c>
      <c r="D967" s="16"/>
      <c r="E967" s="16"/>
      <c r="F967" s="17"/>
      <c r="G967" s="21"/>
      <c r="H967" s="21"/>
      <c r="I967" s="4">
        <v>0</v>
      </c>
      <c r="J967" s="4">
        <v>0</v>
      </c>
      <c r="K967" s="4"/>
      <c r="L967" s="16"/>
      <c r="M967" s="4"/>
      <c r="N967" s="4"/>
      <c r="O967" s="4"/>
      <c r="P967" s="4"/>
      <c r="Q967" s="4"/>
      <c r="R967" s="4"/>
      <c r="S967" s="4">
        <v>0</v>
      </c>
      <c r="T967" s="4">
        <v>0</v>
      </c>
      <c r="U967" s="4">
        <v>0</v>
      </c>
      <c r="V967" s="4">
        <v>12</v>
      </c>
      <c r="W967" s="4">
        <v>12</v>
      </c>
      <c r="X967" s="4">
        <v>45</v>
      </c>
      <c r="Y967" s="4"/>
      <c r="Z967" s="4">
        <v>195.39999999999998</v>
      </c>
      <c r="AA967" s="4">
        <v>200</v>
      </c>
      <c r="AB967" s="18"/>
      <c r="AC967" s="18">
        <v>16</v>
      </c>
      <c r="AD967" s="28"/>
      <c r="AE967" s="26"/>
      <c r="AF967" s="28"/>
    </row>
    <row r="968" spans="1:32" ht="12.6" customHeight="1" x14ac:dyDescent="0.25">
      <c r="A968" s="14">
        <v>45771</v>
      </c>
      <c r="B968" s="14" t="s">
        <v>45</v>
      </c>
      <c r="C968" s="15">
        <v>2</v>
      </c>
      <c r="D968" s="16">
        <v>20</v>
      </c>
      <c r="E968" s="16"/>
      <c r="F968" s="17"/>
      <c r="G968" s="21"/>
      <c r="H968" s="21"/>
      <c r="I968" s="4">
        <v>20</v>
      </c>
      <c r="J968" s="4">
        <v>0.33333333333333331</v>
      </c>
      <c r="K968" s="4"/>
      <c r="L968" s="16"/>
      <c r="M968" s="4"/>
      <c r="N968" s="4"/>
      <c r="O968" s="4"/>
      <c r="P968" s="4"/>
      <c r="Q968" s="4"/>
      <c r="R968" s="4"/>
      <c r="S968" s="4">
        <v>0</v>
      </c>
      <c r="T968" s="4">
        <v>0</v>
      </c>
      <c r="U968" s="4">
        <v>0.33333333333333331</v>
      </c>
      <c r="V968" s="4">
        <v>11.666666666666666</v>
      </c>
      <c r="W968" s="4">
        <v>12</v>
      </c>
      <c r="X968" s="4">
        <v>0</v>
      </c>
      <c r="Y968" s="4"/>
      <c r="Z968" s="4">
        <v>130.04000000000002</v>
      </c>
      <c r="AA968" s="4">
        <v>150</v>
      </c>
      <c r="AB968" s="18"/>
      <c r="AC968" s="18">
        <v>16</v>
      </c>
      <c r="AD968" s="28"/>
      <c r="AE968" s="26"/>
      <c r="AF968" s="28"/>
    </row>
    <row r="969" spans="1:32" ht="12.6" customHeight="1" x14ac:dyDescent="0.25">
      <c r="A969" s="14">
        <v>45771</v>
      </c>
      <c r="B969" s="14" t="s">
        <v>46</v>
      </c>
      <c r="C969" s="15">
        <v>2</v>
      </c>
      <c r="D969" s="16"/>
      <c r="E969" s="16"/>
      <c r="F969" s="17"/>
      <c r="G969" s="21"/>
      <c r="H969" s="21"/>
      <c r="I969" s="4">
        <v>0</v>
      </c>
      <c r="J969" s="4">
        <v>0</v>
      </c>
      <c r="K969" s="4"/>
      <c r="L969" s="16"/>
      <c r="M969" s="4"/>
      <c r="N969" s="4"/>
      <c r="O969" s="4"/>
      <c r="P969" s="4"/>
      <c r="Q969" s="4"/>
      <c r="R969" s="4"/>
      <c r="S969" s="4">
        <v>0</v>
      </c>
      <c r="T969" s="4">
        <v>0</v>
      </c>
      <c r="U969" s="4">
        <v>0</v>
      </c>
      <c r="V969" s="4">
        <v>12</v>
      </c>
      <c r="W969" s="4">
        <v>12</v>
      </c>
      <c r="X969" s="4">
        <v>0</v>
      </c>
      <c r="Y969" s="4"/>
      <c r="Z969" s="4">
        <v>75.64</v>
      </c>
      <c r="AA969" s="4">
        <v>100</v>
      </c>
      <c r="AB969" s="18"/>
      <c r="AC969" s="18">
        <v>16</v>
      </c>
      <c r="AD969" s="28"/>
      <c r="AE969" s="26"/>
      <c r="AF969" s="28"/>
    </row>
    <row r="970" spans="1:32" ht="12.6" customHeight="1" x14ac:dyDescent="0.25">
      <c r="A970" s="14">
        <v>45771</v>
      </c>
      <c r="B970" s="14" t="s">
        <v>45</v>
      </c>
      <c r="C970" s="15">
        <v>4</v>
      </c>
      <c r="D970" s="16">
        <v>20</v>
      </c>
      <c r="E970" s="16"/>
      <c r="F970" s="17"/>
      <c r="G970" s="21"/>
      <c r="H970" s="21"/>
      <c r="I970" s="4">
        <v>20</v>
      </c>
      <c r="J970" s="4">
        <v>0.33333333333333331</v>
      </c>
      <c r="K970" s="4"/>
      <c r="L970" s="16"/>
      <c r="M970" s="4"/>
      <c r="N970" s="4"/>
      <c r="O970" s="4"/>
      <c r="P970" s="4"/>
      <c r="Q970" s="4"/>
      <c r="R970" s="4"/>
      <c r="S970" s="4">
        <v>0</v>
      </c>
      <c r="T970" s="4">
        <v>0</v>
      </c>
      <c r="U970" s="4">
        <v>0.33333333333333331</v>
      </c>
      <c r="V970" s="4">
        <v>11.666666666666666</v>
      </c>
      <c r="W970" s="4">
        <v>12</v>
      </c>
      <c r="X970" s="4">
        <v>0</v>
      </c>
      <c r="Y970" s="4"/>
      <c r="Z970" s="4">
        <v>695.7399999999999</v>
      </c>
      <c r="AA970" s="4">
        <v>700</v>
      </c>
      <c r="AB970" s="18"/>
      <c r="AC970" s="18">
        <v>16</v>
      </c>
      <c r="AD970" s="28"/>
      <c r="AE970" s="26"/>
      <c r="AF970" s="28"/>
    </row>
    <row r="971" spans="1:32" ht="12.6" customHeight="1" x14ac:dyDescent="0.25">
      <c r="A971" s="14">
        <v>45771</v>
      </c>
      <c r="B971" s="14" t="s">
        <v>46</v>
      </c>
      <c r="C971" s="15">
        <v>4</v>
      </c>
      <c r="D971" s="16"/>
      <c r="E971" s="16"/>
      <c r="F971" s="17"/>
      <c r="G971" s="21"/>
      <c r="H971" s="21"/>
      <c r="I971" s="4">
        <v>0</v>
      </c>
      <c r="J971" s="4">
        <v>0</v>
      </c>
      <c r="K971" s="4"/>
      <c r="L971" s="16"/>
      <c r="M971" s="4"/>
      <c r="N971" s="4"/>
      <c r="O971" s="4"/>
      <c r="P971" s="4"/>
      <c r="Q971" s="4"/>
      <c r="R971" s="4"/>
      <c r="S971" s="4">
        <v>0</v>
      </c>
      <c r="T971" s="4">
        <v>0</v>
      </c>
      <c r="U971" s="4">
        <v>0</v>
      </c>
      <c r="V971" s="4">
        <v>12</v>
      </c>
      <c r="W971" s="4">
        <v>12</v>
      </c>
      <c r="X971" s="4">
        <v>0</v>
      </c>
      <c r="Y971" s="4"/>
      <c r="Z971" s="4">
        <v>671.1</v>
      </c>
      <c r="AA971" s="4">
        <v>700</v>
      </c>
      <c r="AB971" s="18"/>
      <c r="AC971" s="18">
        <v>16</v>
      </c>
      <c r="AD971" s="28"/>
      <c r="AE971" s="26"/>
      <c r="AF971" s="28"/>
    </row>
    <row r="972" spans="1:32" ht="12.6" customHeight="1" x14ac:dyDescent="0.25">
      <c r="A972" s="14">
        <v>45771</v>
      </c>
      <c r="B972" s="14" t="s">
        <v>45</v>
      </c>
      <c r="C972" s="15">
        <v>5</v>
      </c>
      <c r="D972" s="16">
        <v>20</v>
      </c>
      <c r="E972" s="16"/>
      <c r="F972" s="17"/>
      <c r="G972" s="21"/>
      <c r="H972" s="21"/>
      <c r="I972" s="4">
        <v>20</v>
      </c>
      <c r="J972" s="4">
        <v>0.33333333333333331</v>
      </c>
      <c r="K972" s="4"/>
      <c r="L972" s="16"/>
      <c r="M972" s="4"/>
      <c r="N972" s="4"/>
      <c r="O972" s="4"/>
      <c r="P972" s="4"/>
      <c r="Q972" s="4"/>
      <c r="R972" s="4"/>
      <c r="S972" s="4">
        <v>0</v>
      </c>
      <c r="T972" s="4">
        <v>0</v>
      </c>
      <c r="U972" s="4">
        <v>0.33333333333333331</v>
      </c>
      <c r="V972" s="4">
        <v>11.666666666666666</v>
      </c>
      <c r="W972" s="4">
        <v>12</v>
      </c>
      <c r="X972" s="4">
        <v>0</v>
      </c>
      <c r="Y972" s="4"/>
      <c r="Z972" s="4">
        <v>506.15000000000003</v>
      </c>
      <c r="AA972" s="4">
        <v>500</v>
      </c>
      <c r="AB972" s="18"/>
      <c r="AC972" s="18">
        <v>16</v>
      </c>
      <c r="AD972" s="28"/>
      <c r="AE972" s="26"/>
      <c r="AF972" s="28"/>
    </row>
    <row r="973" spans="1:32" ht="12.6" customHeight="1" x14ac:dyDescent="0.25">
      <c r="A973" s="14">
        <v>45771</v>
      </c>
      <c r="B973" s="14" t="s">
        <v>46</v>
      </c>
      <c r="C973" s="15">
        <v>5</v>
      </c>
      <c r="D973" s="16">
        <v>30</v>
      </c>
      <c r="E973" s="16"/>
      <c r="F973" s="17"/>
      <c r="G973" s="21"/>
      <c r="H973" s="21"/>
      <c r="I973" s="4">
        <v>30</v>
      </c>
      <c r="J973" s="4">
        <v>0.5</v>
      </c>
      <c r="K973" s="4"/>
      <c r="L973" s="16"/>
      <c r="M973" s="4"/>
      <c r="N973" s="4"/>
      <c r="O973" s="4"/>
      <c r="P973" s="4"/>
      <c r="Q973" s="4"/>
      <c r="R973" s="4"/>
      <c r="S973" s="4">
        <v>0</v>
      </c>
      <c r="T973" s="4">
        <v>0</v>
      </c>
      <c r="U973" s="4">
        <v>0.5</v>
      </c>
      <c r="V973" s="4">
        <v>11.5</v>
      </c>
      <c r="W973" s="4">
        <v>12</v>
      </c>
      <c r="X973" s="4">
        <v>0</v>
      </c>
      <c r="Y973" s="4"/>
      <c r="Z973" s="4">
        <v>404.23</v>
      </c>
      <c r="AA973" s="4">
        <v>400</v>
      </c>
      <c r="AB973" s="18"/>
      <c r="AC973" s="18">
        <v>16</v>
      </c>
      <c r="AD973" s="28"/>
      <c r="AE973" s="26"/>
      <c r="AF973" s="28"/>
    </row>
    <row r="974" spans="1:32" ht="12.6" customHeight="1" x14ac:dyDescent="0.25">
      <c r="A974" s="14">
        <v>45772</v>
      </c>
      <c r="B974" s="14" t="s">
        <v>45</v>
      </c>
      <c r="C974" s="15">
        <v>1</v>
      </c>
      <c r="D974" s="16">
        <v>35</v>
      </c>
      <c r="E974" s="16"/>
      <c r="F974" s="17"/>
      <c r="G974" s="21"/>
      <c r="H974" s="21"/>
      <c r="I974" s="4">
        <v>35</v>
      </c>
      <c r="J974" s="4">
        <v>0.58333333333333337</v>
      </c>
      <c r="K974" s="4"/>
      <c r="L974" s="16"/>
      <c r="M974" s="4"/>
      <c r="N974" s="4"/>
      <c r="O974" s="4"/>
      <c r="P974" s="4"/>
      <c r="Q974" s="4"/>
      <c r="R974" s="4"/>
      <c r="S974" s="4">
        <v>0</v>
      </c>
      <c r="T974" s="4">
        <v>0</v>
      </c>
      <c r="U974" s="4">
        <v>0.58333333333333337</v>
      </c>
      <c r="V974" s="4">
        <v>11.416666666666666</v>
      </c>
      <c r="W974" s="4">
        <v>12</v>
      </c>
      <c r="X974" s="4">
        <v>34</v>
      </c>
      <c r="Y974" s="4">
        <v>1304</v>
      </c>
      <c r="Z974" s="4">
        <v>99.33</v>
      </c>
      <c r="AA974" s="4">
        <v>100</v>
      </c>
      <c r="AB974" s="18">
        <v>398</v>
      </c>
      <c r="AC974" s="18">
        <v>16</v>
      </c>
      <c r="AD974" s="28"/>
      <c r="AE974" s="26"/>
      <c r="AF974" s="28"/>
    </row>
    <row r="975" spans="1:32" ht="12.6" customHeight="1" x14ac:dyDescent="0.25">
      <c r="A975" s="14">
        <v>45772</v>
      </c>
      <c r="B975" s="14" t="s">
        <v>46</v>
      </c>
      <c r="C975" s="15">
        <v>1</v>
      </c>
      <c r="D975" s="16"/>
      <c r="E975" s="16"/>
      <c r="F975" s="17"/>
      <c r="G975" s="21"/>
      <c r="H975" s="21"/>
      <c r="I975" s="4">
        <v>0</v>
      </c>
      <c r="J975" s="4">
        <v>0</v>
      </c>
      <c r="K975" s="4"/>
      <c r="L975" s="16"/>
      <c r="M975" s="4"/>
      <c r="N975" s="4"/>
      <c r="O975" s="4"/>
      <c r="P975" s="4"/>
      <c r="Q975" s="4"/>
      <c r="R975" s="4"/>
      <c r="S975" s="4">
        <v>0</v>
      </c>
      <c r="T975" s="4">
        <v>0</v>
      </c>
      <c r="U975" s="4">
        <v>0</v>
      </c>
      <c r="V975" s="4">
        <v>12</v>
      </c>
      <c r="W975" s="4">
        <v>12</v>
      </c>
      <c r="X975" s="4">
        <v>22</v>
      </c>
      <c r="Y975" s="4"/>
      <c r="Z975" s="4">
        <v>173.1</v>
      </c>
      <c r="AA975" s="4">
        <v>200</v>
      </c>
      <c r="AB975" s="18"/>
      <c r="AC975" s="18">
        <v>16</v>
      </c>
      <c r="AD975" s="28"/>
      <c r="AE975" s="26"/>
      <c r="AF975" s="28"/>
    </row>
    <row r="976" spans="1:32" ht="12.6" customHeight="1" x14ac:dyDescent="0.25">
      <c r="A976" s="14">
        <v>45772</v>
      </c>
      <c r="B976" s="14" t="s">
        <v>45</v>
      </c>
      <c r="C976" s="15">
        <v>2</v>
      </c>
      <c r="D976" s="16"/>
      <c r="E976" s="16"/>
      <c r="F976" s="17"/>
      <c r="G976" s="21"/>
      <c r="H976" s="21"/>
      <c r="I976" s="4">
        <v>0</v>
      </c>
      <c r="J976" s="4">
        <v>0</v>
      </c>
      <c r="K976" s="4"/>
      <c r="L976" s="16"/>
      <c r="M976" s="4"/>
      <c r="N976" s="4"/>
      <c r="O976" s="4"/>
      <c r="P976" s="4"/>
      <c r="Q976" s="4"/>
      <c r="R976" s="4"/>
      <c r="S976" s="4">
        <v>0</v>
      </c>
      <c r="T976" s="4">
        <v>0</v>
      </c>
      <c r="U976" s="4">
        <v>0</v>
      </c>
      <c r="V976" s="4">
        <v>12</v>
      </c>
      <c r="W976" s="4">
        <v>12</v>
      </c>
      <c r="X976" s="4">
        <v>0</v>
      </c>
      <c r="Y976" s="4"/>
      <c r="Z976" s="4">
        <v>74.59</v>
      </c>
      <c r="AA976" s="4">
        <v>50</v>
      </c>
      <c r="AB976" s="18"/>
      <c r="AC976" s="18">
        <v>16</v>
      </c>
      <c r="AD976" s="28"/>
      <c r="AE976" s="26"/>
      <c r="AF976" s="28"/>
    </row>
    <row r="977" spans="1:32" ht="12.6" customHeight="1" x14ac:dyDescent="0.25">
      <c r="A977" s="14">
        <v>45772</v>
      </c>
      <c r="B977" s="14" t="s">
        <v>46</v>
      </c>
      <c r="C977" s="15">
        <v>2</v>
      </c>
      <c r="D977" s="16"/>
      <c r="E977" s="16"/>
      <c r="F977" s="17"/>
      <c r="G977" s="21"/>
      <c r="H977" s="21"/>
      <c r="I977" s="4">
        <v>0</v>
      </c>
      <c r="J977" s="4">
        <v>0</v>
      </c>
      <c r="K977" s="4"/>
      <c r="L977" s="16"/>
      <c r="M977" s="4"/>
      <c r="N977" s="4"/>
      <c r="O977" s="4"/>
      <c r="P977" s="4"/>
      <c r="Q977" s="4"/>
      <c r="R977" s="4"/>
      <c r="S977" s="4">
        <v>0</v>
      </c>
      <c r="T977" s="4">
        <v>0</v>
      </c>
      <c r="U977" s="4">
        <v>0</v>
      </c>
      <c r="V977" s="4">
        <v>12</v>
      </c>
      <c r="W977" s="4">
        <v>12</v>
      </c>
      <c r="X977" s="4">
        <v>0</v>
      </c>
      <c r="Y977" s="4"/>
      <c r="Z977" s="4">
        <v>69.69</v>
      </c>
      <c r="AA977" s="4">
        <v>50</v>
      </c>
      <c r="AB977" s="18"/>
      <c r="AC977" s="18">
        <v>16</v>
      </c>
      <c r="AD977" s="28"/>
      <c r="AE977" s="26"/>
      <c r="AF977" s="28"/>
    </row>
    <row r="978" spans="1:32" ht="12.6" customHeight="1" x14ac:dyDescent="0.25">
      <c r="A978" s="14">
        <v>45772</v>
      </c>
      <c r="B978" s="14" t="s">
        <v>45</v>
      </c>
      <c r="C978" s="15">
        <v>4</v>
      </c>
      <c r="D978" s="16">
        <v>20</v>
      </c>
      <c r="E978" s="16"/>
      <c r="F978" s="17"/>
      <c r="G978" s="21"/>
      <c r="H978" s="21"/>
      <c r="I978" s="4">
        <v>20</v>
      </c>
      <c r="J978" s="4">
        <v>0.33333333333333331</v>
      </c>
      <c r="K978" s="4"/>
      <c r="L978" s="16"/>
      <c r="M978" s="4"/>
      <c r="N978" s="4"/>
      <c r="O978" s="4"/>
      <c r="P978" s="4">
        <v>120</v>
      </c>
      <c r="Q978" s="4"/>
      <c r="R978" s="4"/>
      <c r="S978" s="4">
        <v>120</v>
      </c>
      <c r="T978" s="4">
        <v>2</v>
      </c>
      <c r="U978" s="4">
        <v>2.3333333333333335</v>
      </c>
      <c r="V978" s="4">
        <v>9.6666666666666661</v>
      </c>
      <c r="W978" s="4">
        <v>12</v>
      </c>
      <c r="X978" s="4">
        <v>0</v>
      </c>
      <c r="Y978" s="4"/>
      <c r="Z978" s="4">
        <v>597.96999999999991</v>
      </c>
      <c r="AA978" s="4">
        <v>650</v>
      </c>
      <c r="AB978" s="18"/>
      <c r="AC978" s="18">
        <v>16</v>
      </c>
      <c r="AD978" s="28"/>
      <c r="AE978" s="26"/>
      <c r="AF978" s="28"/>
    </row>
    <row r="979" spans="1:32" ht="12.6" customHeight="1" x14ac:dyDescent="0.25">
      <c r="A979" s="14">
        <v>45772</v>
      </c>
      <c r="B979" s="14" t="s">
        <v>46</v>
      </c>
      <c r="C979" s="15">
        <v>4</v>
      </c>
      <c r="D979" s="16"/>
      <c r="E979" s="16"/>
      <c r="F979" s="17"/>
      <c r="G979" s="21"/>
      <c r="H979" s="21"/>
      <c r="I979" s="4">
        <v>0</v>
      </c>
      <c r="J979" s="4">
        <v>0</v>
      </c>
      <c r="K979" s="4"/>
      <c r="L979" s="16"/>
      <c r="M979" s="4"/>
      <c r="N979" s="4"/>
      <c r="O979" s="4"/>
      <c r="P979" s="4"/>
      <c r="Q979" s="4"/>
      <c r="R979" s="4"/>
      <c r="S979" s="4">
        <v>0</v>
      </c>
      <c r="T979" s="4">
        <v>0</v>
      </c>
      <c r="U979" s="4">
        <v>0</v>
      </c>
      <c r="V979" s="4">
        <v>12</v>
      </c>
      <c r="W979" s="4">
        <v>12</v>
      </c>
      <c r="X979" s="4">
        <v>0</v>
      </c>
      <c r="Y979" s="4"/>
      <c r="Z979" s="4">
        <v>663.76</v>
      </c>
      <c r="AA979" s="4">
        <v>700</v>
      </c>
      <c r="AB979" s="18"/>
      <c r="AC979" s="18">
        <v>16</v>
      </c>
      <c r="AD979" s="28"/>
      <c r="AE979" s="26"/>
      <c r="AF979" s="28"/>
    </row>
    <row r="980" spans="1:32" ht="12.6" customHeight="1" x14ac:dyDescent="0.25">
      <c r="A980" s="14">
        <v>45772</v>
      </c>
      <c r="B980" s="14" t="s">
        <v>45</v>
      </c>
      <c r="C980" s="15">
        <v>5</v>
      </c>
      <c r="D980" s="16">
        <v>20</v>
      </c>
      <c r="E980" s="16"/>
      <c r="F980" s="17"/>
      <c r="G980" s="21"/>
      <c r="H980" s="21"/>
      <c r="I980" s="4">
        <v>20</v>
      </c>
      <c r="J980" s="4">
        <v>0.33333333333333331</v>
      </c>
      <c r="K980" s="4"/>
      <c r="L980" s="16"/>
      <c r="M980" s="4"/>
      <c r="N980" s="4"/>
      <c r="O980" s="4"/>
      <c r="P980" s="4"/>
      <c r="Q980" s="4"/>
      <c r="R980" s="4"/>
      <c r="S980" s="4">
        <v>0</v>
      </c>
      <c r="T980" s="4">
        <v>0</v>
      </c>
      <c r="U980" s="4">
        <v>0.33333333333333331</v>
      </c>
      <c r="V980" s="4">
        <v>11.666666666666666</v>
      </c>
      <c r="W980" s="4">
        <v>12</v>
      </c>
      <c r="X980" s="4">
        <v>0</v>
      </c>
      <c r="Y980" s="4"/>
      <c r="Z980" s="4">
        <v>479.37</v>
      </c>
      <c r="AA980" s="4">
        <v>500</v>
      </c>
      <c r="AB980" s="18"/>
      <c r="AC980" s="18">
        <v>16</v>
      </c>
      <c r="AD980" s="28"/>
      <c r="AE980" s="26"/>
      <c r="AF980" s="28"/>
    </row>
    <row r="981" spans="1:32" ht="12.6" customHeight="1" x14ac:dyDescent="0.25">
      <c r="A981" s="14">
        <v>45772</v>
      </c>
      <c r="B981" s="14" t="s">
        <v>46</v>
      </c>
      <c r="C981" s="15">
        <v>5</v>
      </c>
      <c r="D981" s="16"/>
      <c r="E981" s="16"/>
      <c r="F981" s="17"/>
      <c r="G981" s="21"/>
      <c r="H981" s="21"/>
      <c r="I981" s="4">
        <v>0</v>
      </c>
      <c r="J981" s="4">
        <v>0</v>
      </c>
      <c r="K981" s="4"/>
      <c r="L981" s="16"/>
      <c r="M981" s="4"/>
      <c r="N981" s="4"/>
      <c r="O981" s="4"/>
      <c r="P981" s="4"/>
      <c r="Q981" s="4"/>
      <c r="R981" s="4"/>
      <c r="S981" s="4">
        <v>0</v>
      </c>
      <c r="T981" s="4">
        <v>0</v>
      </c>
      <c r="U981" s="4">
        <v>0</v>
      </c>
      <c r="V981" s="4">
        <v>12</v>
      </c>
      <c r="W981" s="4">
        <v>12</v>
      </c>
      <c r="X981" s="4">
        <v>0</v>
      </c>
      <c r="Y981" s="4"/>
      <c r="Z981" s="4">
        <v>357.75</v>
      </c>
      <c r="AA981" s="4">
        <v>400</v>
      </c>
      <c r="AB981" s="18"/>
      <c r="AC981" s="18">
        <v>16</v>
      </c>
      <c r="AD981" s="28"/>
      <c r="AE981" s="26"/>
      <c r="AF981" s="28"/>
    </row>
    <row r="982" spans="1:32" ht="12.6" customHeight="1" x14ac:dyDescent="0.25">
      <c r="A982" s="14">
        <v>45773</v>
      </c>
      <c r="B982" s="14" t="s">
        <v>45</v>
      </c>
      <c r="C982" s="15">
        <v>1</v>
      </c>
      <c r="D982" s="16"/>
      <c r="E982" s="16"/>
      <c r="F982" s="17"/>
      <c r="G982" s="21"/>
      <c r="H982" s="21"/>
      <c r="I982" s="4">
        <v>0</v>
      </c>
      <c r="J982" s="4">
        <v>0</v>
      </c>
      <c r="K982" s="4"/>
      <c r="L982" s="16"/>
      <c r="M982" s="4"/>
      <c r="N982" s="4"/>
      <c r="O982" s="4"/>
      <c r="P982" s="4"/>
      <c r="Q982" s="4"/>
      <c r="R982" s="4"/>
      <c r="S982" s="4">
        <v>0</v>
      </c>
      <c r="T982" s="4">
        <v>0</v>
      </c>
      <c r="U982" s="4">
        <v>0</v>
      </c>
      <c r="V982" s="4">
        <v>12</v>
      </c>
      <c r="W982" s="4">
        <v>12</v>
      </c>
      <c r="X982" s="4">
        <v>11</v>
      </c>
      <c r="Y982" s="4">
        <v>1139</v>
      </c>
      <c r="Z982" s="4">
        <v>199.47</v>
      </c>
      <c r="AA982" s="4">
        <v>200</v>
      </c>
      <c r="AB982" s="18">
        <v>398</v>
      </c>
      <c r="AC982" s="18">
        <v>16</v>
      </c>
      <c r="AD982" s="28"/>
      <c r="AE982" s="26"/>
      <c r="AF982" s="28"/>
    </row>
    <row r="983" spans="1:32" ht="12.6" customHeight="1" x14ac:dyDescent="0.25">
      <c r="A983" s="14">
        <v>45773</v>
      </c>
      <c r="B983" s="14" t="s">
        <v>46</v>
      </c>
      <c r="C983" s="15">
        <v>1</v>
      </c>
      <c r="D983" s="16"/>
      <c r="E983" s="16"/>
      <c r="F983" s="17"/>
      <c r="G983" s="21"/>
      <c r="H983" s="21"/>
      <c r="I983" s="4">
        <v>0</v>
      </c>
      <c r="J983" s="4">
        <v>0</v>
      </c>
      <c r="K983" s="4"/>
      <c r="L983" s="16"/>
      <c r="M983" s="4"/>
      <c r="N983" s="4"/>
      <c r="O983" s="4"/>
      <c r="P983" s="4"/>
      <c r="Q983" s="4"/>
      <c r="R983" s="4"/>
      <c r="S983" s="4">
        <v>0</v>
      </c>
      <c r="T983" s="4">
        <v>0</v>
      </c>
      <c r="U983" s="4">
        <v>0</v>
      </c>
      <c r="V983" s="4">
        <v>12</v>
      </c>
      <c r="W983" s="4">
        <v>12</v>
      </c>
      <c r="X983" s="4">
        <v>26</v>
      </c>
      <c r="Y983" s="4"/>
      <c r="Z983" s="4">
        <v>134.19</v>
      </c>
      <c r="AA983" s="4">
        <v>100</v>
      </c>
      <c r="AB983" s="18"/>
      <c r="AC983" s="18">
        <v>16</v>
      </c>
      <c r="AD983" s="28"/>
      <c r="AE983" s="26"/>
      <c r="AF983" s="28"/>
    </row>
    <row r="984" spans="1:32" ht="12.6" customHeight="1" x14ac:dyDescent="0.25">
      <c r="A984" s="14">
        <v>45773</v>
      </c>
      <c r="B984" s="14" t="s">
        <v>45</v>
      </c>
      <c r="C984" s="15">
        <v>2</v>
      </c>
      <c r="D984" s="16">
        <v>20</v>
      </c>
      <c r="E984" s="16"/>
      <c r="F984" s="17"/>
      <c r="G984" s="21"/>
      <c r="H984" s="21"/>
      <c r="I984" s="4">
        <v>20</v>
      </c>
      <c r="J984" s="4">
        <v>0.33333333333333331</v>
      </c>
      <c r="K984" s="4"/>
      <c r="L984" s="16"/>
      <c r="M984" s="4"/>
      <c r="N984" s="4"/>
      <c r="O984" s="4"/>
      <c r="P984" s="4"/>
      <c r="Q984" s="4"/>
      <c r="R984" s="4"/>
      <c r="S984" s="4">
        <v>0</v>
      </c>
      <c r="T984" s="4">
        <v>0</v>
      </c>
      <c r="U984" s="4">
        <v>0.33333333333333331</v>
      </c>
      <c r="V984" s="4">
        <v>11.666666666666666</v>
      </c>
      <c r="W984" s="4">
        <v>12</v>
      </c>
      <c r="X984" s="4">
        <v>0</v>
      </c>
      <c r="Y984" s="4"/>
      <c r="Z984" s="4">
        <v>84.01</v>
      </c>
      <c r="AA984" s="4">
        <v>100</v>
      </c>
      <c r="AB984" s="18"/>
      <c r="AC984" s="18">
        <v>16</v>
      </c>
      <c r="AD984" s="28"/>
      <c r="AE984" s="26"/>
      <c r="AF984" s="28"/>
    </row>
    <row r="985" spans="1:32" ht="12.6" customHeight="1" x14ac:dyDescent="0.25">
      <c r="A985" s="14">
        <v>45773</v>
      </c>
      <c r="B985" s="14" t="s">
        <v>46</v>
      </c>
      <c r="C985" s="15">
        <v>2</v>
      </c>
      <c r="D985" s="16"/>
      <c r="E985" s="16"/>
      <c r="F985" s="17"/>
      <c r="G985" s="21"/>
      <c r="H985" s="21"/>
      <c r="I985" s="4">
        <v>0</v>
      </c>
      <c r="J985" s="4">
        <v>0</v>
      </c>
      <c r="K985" s="4"/>
      <c r="L985" s="16"/>
      <c r="M985" s="4"/>
      <c r="N985" s="4"/>
      <c r="O985" s="4"/>
      <c r="P985" s="4"/>
      <c r="Q985" s="4"/>
      <c r="R985" s="4"/>
      <c r="S985" s="4">
        <v>0</v>
      </c>
      <c r="T985" s="4">
        <v>0</v>
      </c>
      <c r="U985" s="4">
        <v>0</v>
      </c>
      <c r="V985" s="4">
        <v>12</v>
      </c>
      <c r="W985" s="4">
        <v>12</v>
      </c>
      <c r="X985" s="4">
        <v>0</v>
      </c>
      <c r="Y985" s="4"/>
      <c r="Z985" s="4">
        <v>82.83</v>
      </c>
      <c r="AA985" s="4">
        <v>100</v>
      </c>
      <c r="AB985" s="18"/>
      <c r="AC985" s="18">
        <v>16</v>
      </c>
      <c r="AD985" s="28"/>
      <c r="AE985" s="26"/>
      <c r="AF985" s="28"/>
    </row>
    <row r="986" spans="1:32" ht="12.6" customHeight="1" x14ac:dyDescent="0.25">
      <c r="A986" s="14">
        <v>45773</v>
      </c>
      <c r="B986" s="14" t="s">
        <v>45</v>
      </c>
      <c r="C986" s="15">
        <v>4</v>
      </c>
      <c r="D986" s="16">
        <v>20</v>
      </c>
      <c r="E986" s="16"/>
      <c r="F986" s="17"/>
      <c r="G986" s="21"/>
      <c r="H986" s="21"/>
      <c r="I986" s="4">
        <v>20</v>
      </c>
      <c r="J986" s="4">
        <v>0.33333333333333331</v>
      </c>
      <c r="K986" s="4"/>
      <c r="L986" s="16"/>
      <c r="M986" s="4"/>
      <c r="N986" s="4"/>
      <c r="O986" s="4"/>
      <c r="P986" s="4"/>
      <c r="Q986" s="4"/>
      <c r="R986" s="4"/>
      <c r="S986" s="4">
        <v>0</v>
      </c>
      <c r="T986" s="4">
        <v>0</v>
      </c>
      <c r="U986" s="4">
        <v>0.33333333333333331</v>
      </c>
      <c r="V986" s="4">
        <v>11.666666666666666</v>
      </c>
      <c r="W986" s="4">
        <v>12</v>
      </c>
      <c r="X986" s="4">
        <v>0</v>
      </c>
      <c r="Y986" s="4"/>
      <c r="Z986" s="4">
        <v>670.71</v>
      </c>
      <c r="AA986" s="4">
        <v>700</v>
      </c>
      <c r="AB986" s="18"/>
      <c r="AC986" s="18">
        <v>16</v>
      </c>
      <c r="AD986" s="28"/>
      <c r="AE986" s="26"/>
      <c r="AF986" s="28"/>
    </row>
    <row r="987" spans="1:32" ht="12.6" customHeight="1" x14ac:dyDescent="0.25">
      <c r="A987" s="14">
        <v>45773</v>
      </c>
      <c r="B987" s="14" t="s">
        <v>46</v>
      </c>
      <c r="C987" s="15">
        <v>4</v>
      </c>
      <c r="D987" s="16"/>
      <c r="E987" s="16"/>
      <c r="F987" s="17"/>
      <c r="G987" s="21"/>
      <c r="H987" s="21"/>
      <c r="I987" s="4">
        <v>0</v>
      </c>
      <c r="J987" s="4">
        <v>0</v>
      </c>
      <c r="K987" s="4"/>
      <c r="L987" s="16"/>
      <c r="M987" s="4"/>
      <c r="N987" s="4"/>
      <c r="O987" s="4"/>
      <c r="P987" s="4"/>
      <c r="Q987" s="4"/>
      <c r="R987" s="4"/>
      <c r="S987" s="4">
        <v>0</v>
      </c>
      <c r="T987" s="4">
        <v>0</v>
      </c>
      <c r="U987" s="4">
        <v>0</v>
      </c>
      <c r="V987" s="4">
        <v>12</v>
      </c>
      <c r="W987" s="4">
        <v>12</v>
      </c>
      <c r="X987" s="4">
        <v>0</v>
      </c>
      <c r="Y987" s="4"/>
      <c r="Z987" s="4">
        <v>476.40000000000003</v>
      </c>
      <c r="AA987" s="4">
        <v>450</v>
      </c>
      <c r="AB987" s="18"/>
      <c r="AC987" s="18">
        <v>16</v>
      </c>
      <c r="AD987" s="28"/>
      <c r="AE987" s="26"/>
      <c r="AF987" s="28"/>
    </row>
    <row r="988" spans="1:32" ht="12.6" customHeight="1" x14ac:dyDescent="0.25">
      <c r="A988" s="14">
        <v>45773</v>
      </c>
      <c r="B988" s="14" t="s">
        <v>45</v>
      </c>
      <c r="C988" s="15">
        <v>5</v>
      </c>
      <c r="D988" s="16">
        <v>20</v>
      </c>
      <c r="E988" s="16"/>
      <c r="F988" s="17"/>
      <c r="G988" s="21"/>
      <c r="H988" s="21"/>
      <c r="I988" s="4">
        <v>20</v>
      </c>
      <c r="J988" s="4">
        <v>0.33333333333333331</v>
      </c>
      <c r="K988" s="4"/>
      <c r="L988" s="16"/>
      <c r="M988" s="4"/>
      <c r="N988" s="4"/>
      <c r="O988" s="4"/>
      <c r="P988" s="4"/>
      <c r="Q988" s="4"/>
      <c r="R988" s="4"/>
      <c r="S988" s="4">
        <v>0</v>
      </c>
      <c r="T988" s="4">
        <v>0</v>
      </c>
      <c r="U988" s="4">
        <v>0.33333333333333331</v>
      </c>
      <c r="V988" s="4">
        <v>11.666666666666666</v>
      </c>
      <c r="W988" s="4">
        <v>12</v>
      </c>
      <c r="X988" s="4">
        <v>0</v>
      </c>
      <c r="Y988" s="4"/>
      <c r="Z988" s="4">
        <v>465.48999999999995</v>
      </c>
      <c r="AA988" s="4">
        <v>500</v>
      </c>
      <c r="AB988" s="18"/>
      <c r="AC988" s="18">
        <v>16</v>
      </c>
      <c r="AD988" s="28"/>
      <c r="AE988" s="26"/>
      <c r="AF988" s="28"/>
    </row>
    <row r="989" spans="1:32" ht="12.6" customHeight="1" x14ac:dyDescent="0.25">
      <c r="A989" s="14">
        <v>45773</v>
      </c>
      <c r="B989" s="14" t="s">
        <v>46</v>
      </c>
      <c r="C989" s="15">
        <v>5</v>
      </c>
      <c r="D989" s="16">
        <v>20</v>
      </c>
      <c r="E989" s="16"/>
      <c r="F989" s="17"/>
      <c r="G989" s="21"/>
      <c r="H989" s="21"/>
      <c r="I989" s="4">
        <v>20</v>
      </c>
      <c r="J989" s="4">
        <v>0.33333333333333331</v>
      </c>
      <c r="K989" s="4"/>
      <c r="L989" s="16"/>
      <c r="M989" s="4"/>
      <c r="N989" s="4"/>
      <c r="O989" s="4"/>
      <c r="P989" s="4"/>
      <c r="Q989" s="4"/>
      <c r="R989" s="4"/>
      <c r="S989" s="4">
        <v>0</v>
      </c>
      <c r="T989" s="4">
        <v>0</v>
      </c>
      <c r="U989" s="4">
        <v>0.33333333333333331</v>
      </c>
      <c r="V989" s="4">
        <v>11.666666666666666</v>
      </c>
      <c r="W989" s="4">
        <v>12</v>
      </c>
      <c r="X989" s="4">
        <v>0</v>
      </c>
      <c r="Y989" s="4"/>
      <c r="Z989" s="4">
        <v>286.91999999999996</v>
      </c>
      <c r="AA989" s="4">
        <v>300</v>
      </c>
      <c r="AB989" s="18"/>
      <c r="AC989" s="18">
        <v>16</v>
      </c>
      <c r="AD989" s="28"/>
      <c r="AE989" s="26"/>
      <c r="AF989" s="28"/>
    </row>
    <row r="990" spans="1:32" ht="12.6" customHeight="1" x14ac:dyDescent="0.25">
      <c r="A990" s="14">
        <v>45775</v>
      </c>
      <c r="B990" s="14" t="s">
        <v>45</v>
      </c>
      <c r="C990" s="15">
        <v>1</v>
      </c>
      <c r="D990" s="16"/>
      <c r="E990" s="16"/>
      <c r="F990" s="17"/>
      <c r="G990" s="21">
        <v>180</v>
      </c>
      <c r="H990" s="21"/>
      <c r="I990" s="4">
        <v>180</v>
      </c>
      <c r="J990" s="4">
        <v>3</v>
      </c>
      <c r="K990" s="4"/>
      <c r="L990" s="16"/>
      <c r="M990" s="4"/>
      <c r="N990" s="4"/>
      <c r="O990" s="4"/>
      <c r="P990" s="4"/>
      <c r="Q990" s="4">
        <v>20</v>
      </c>
      <c r="R990" s="4"/>
      <c r="S990" s="4">
        <v>20</v>
      </c>
      <c r="T990" s="4">
        <v>0.33333333333333331</v>
      </c>
      <c r="U990" s="4">
        <v>3.3333333333333335</v>
      </c>
      <c r="V990" s="4">
        <v>8.6666666666666661</v>
      </c>
      <c r="W990" s="4">
        <v>12</v>
      </c>
      <c r="X990" s="4">
        <v>42</v>
      </c>
      <c r="Y990" s="4">
        <v>1405</v>
      </c>
      <c r="Z990" s="4">
        <v>145.6</v>
      </c>
      <c r="AA990" s="4">
        <v>150</v>
      </c>
      <c r="AB990" s="18">
        <v>398</v>
      </c>
      <c r="AC990" s="18">
        <v>17</v>
      </c>
      <c r="AD990" s="28"/>
      <c r="AE990" s="26"/>
      <c r="AF990" s="28"/>
    </row>
    <row r="991" spans="1:32" ht="12.6" customHeight="1" x14ac:dyDescent="0.25">
      <c r="A991" s="14">
        <v>45775</v>
      </c>
      <c r="B991" s="14" t="s">
        <v>46</v>
      </c>
      <c r="C991" s="15">
        <v>1</v>
      </c>
      <c r="D991" s="16"/>
      <c r="E991" s="16"/>
      <c r="F991" s="17"/>
      <c r="G991" s="21"/>
      <c r="H991" s="21"/>
      <c r="I991" s="4">
        <v>0</v>
      </c>
      <c r="J991" s="4">
        <v>0</v>
      </c>
      <c r="K991" s="4"/>
      <c r="L991" s="16"/>
      <c r="M991" s="4"/>
      <c r="N991" s="4"/>
      <c r="O991" s="4"/>
      <c r="P991" s="4"/>
      <c r="Q991" s="4"/>
      <c r="R991" s="4"/>
      <c r="S991" s="4">
        <v>0</v>
      </c>
      <c r="T991" s="4">
        <v>0</v>
      </c>
      <c r="U991" s="4">
        <v>0</v>
      </c>
      <c r="V991" s="4">
        <v>12</v>
      </c>
      <c r="W991" s="4">
        <v>12</v>
      </c>
      <c r="X991" s="4">
        <v>40</v>
      </c>
      <c r="Y991" s="4"/>
      <c r="Z991" s="4">
        <v>178.79000000000002</v>
      </c>
      <c r="AA991" s="4">
        <v>200</v>
      </c>
      <c r="AB991" s="18"/>
      <c r="AC991" s="18">
        <v>17</v>
      </c>
      <c r="AD991" s="28"/>
      <c r="AE991" s="26"/>
      <c r="AF991" s="28"/>
    </row>
    <row r="992" spans="1:32" ht="12.6" customHeight="1" x14ac:dyDescent="0.25">
      <c r="A992" s="14">
        <v>45775</v>
      </c>
      <c r="B992" s="14" t="s">
        <v>45</v>
      </c>
      <c r="C992" s="15">
        <v>2</v>
      </c>
      <c r="D992" s="16"/>
      <c r="E992" s="16"/>
      <c r="F992" s="17"/>
      <c r="G992" s="21">
        <v>180</v>
      </c>
      <c r="H992" s="21"/>
      <c r="I992" s="4">
        <v>180</v>
      </c>
      <c r="J992" s="4">
        <v>3</v>
      </c>
      <c r="K992" s="4"/>
      <c r="L992" s="16"/>
      <c r="M992" s="4"/>
      <c r="N992" s="4"/>
      <c r="O992" s="4"/>
      <c r="P992" s="4"/>
      <c r="Q992" s="4">
        <v>20</v>
      </c>
      <c r="R992" s="4"/>
      <c r="S992" s="4">
        <v>20</v>
      </c>
      <c r="T992" s="4">
        <v>0.33333333333333331</v>
      </c>
      <c r="U992" s="4">
        <v>3.3333333333333335</v>
      </c>
      <c r="V992" s="4">
        <v>8.6666666666666661</v>
      </c>
      <c r="W992" s="4">
        <v>12</v>
      </c>
      <c r="X992" s="4">
        <v>0</v>
      </c>
      <c r="Y992" s="4"/>
      <c r="Z992" s="4">
        <v>93.539999999999992</v>
      </c>
      <c r="AA992" s="4">
        <v>100</v>
      </c>
      <c r="AB992" s="18"/>
      <c r="AC992" s="18">
        <v>17</v>
      </c>
      <c r="AD992" s="28"/>
      <c r="AE992" s="26"/>
      <c r="AF992" s="28"/>
    </row>
    <row r="993" spans="1:32" ht="12.6" customHeight="1" x14ac:dyDescent="0.25">
      <c r="A993" s="14">
        <v>45775</v>
      </c>
      <c r="B993" s="14" t="s">
        <v>46</v>
      </c>
      <c r="C993" s="15">
        <v>2</v>
      </c>
      <c r="D993" s="16"/>
      <c r="E993" s="16"/>
      <c r="F993" s="17"/>
      <c r="G993" s="21"/>
      <c r="H993" s="21"/>
      <c r="I993" s="4">
        <v>0</v>
      </c>
      <c r="J993" s="4">
        <v>0</v>
      </c>
      <c r="K993" s="4"/>
      <c r="L993" s="16"/>
      <c r="M993" s="4"/>
      <c r="N993" s="4"/>
      <c r="O993" s="4"/>
      <c r="P993" s="4"/>
      <c r="Q993" s="4"/>
      <c r="R993" s="4"/>
      <c r="S993" s="4">
        <v>0</v>
      </c>
      <c r="T993" s="4">
        <v>0</v>
      </c>
      <c r="U993" s="4">
        <v>0</v>
      </c>
      <c r="V993" s="4">
        <v>12</v>
      </c>
      <c r="W993" s="4">
        <v>12</v>
      </c>
      <c r="X993" s="4">
        <v>0</v>
      </c>
      <c r="Y993" s="4"/>
      <c r="Z993" s="4">
        <v>110.78999999999999</v>
      </c>
      <c r="AA993" s="4">
        <v>150</v>
      </c>
      <c r="AB993" s="18"/>
      <c r="AC993" s="18">
        <v>17</v>
      </c>
      <c r="AD993" s="28"/>
      <c r="AE993" s="26"/>
      <c r="AF993" s="28"/>
    </row>
    <row r="994" spans="1:32" ht="12.6" customHeight="1" x14ac:dyDescent="0.25">
      <c r="A994" s="14">
        <v>45775</v>
      </c>
      <c r="B994" s="14" t="s">
        <v>45</v>
      </c>
      <c r="C994" s="15">
        <v>4</v>
      </c>
      <c r="D994" s="16"/>
      <c r="E994" s="16"/>
      <c r="F994" s="17"/>
      <c r="G994" s="21">
        <v>180</v>
      </c>
      <c r="H994" s="21"/>
      <c r="I994" s="4">
        <v>180</v>
      </c>
      <c r="J994" s="4">
        <v>3</v>
      </c>
      <c r="K994" s="4"/>
      <c r="L994" s="16"/>
      <c r="M994" s="4"/>
      <c r="N994" s="4"/>
      <c r="O994" s="4"/>
      <c r="P994" s="4"/>
      <c r="Q994" s="4"/>
      <c r="R994" s="4"/>
      <c r="S994" s="4">
        <v>0</v>
      </c>
      <c r="T994" s="4">
        <v>0</v>
      </c>
      <c r="U994" s="4">
        <v>3</v>
      </c>
      <c r="V994" s="4">
        <v>9</v>
      </c>
      <c r="W994" s="4">
        <v>12</v>
      </c>
      <c r="X994" s="4">
        <v>0</v>
      </c>
      <c r="Y994" s="4"/>
      <c r="Z994" s="4">
        <v>346.2</v>
      </c>
      <c r="AA994" s="4">
        <v>350</v>
      </c>
      <c r="AB994" s="18"/>
      <c r="AC994" s="18">
        <v>17</v>
      </c>
      <c r="AD994" s="28"/>
      <c r="AE994" s="26"/>
      <c r="AF994" s="28"/>
    </row>
    <row r="995" spans="1:32" ht="12.6" customHeight="1" x14ac:dyDescent="0.25">
      <c r="A995" s="14">
        <v>45775</v>
      </c>
      <c r="B995" s="14" t="s">
        <v>46</v>
      </c>
      <c r="C995" s="15">
        <v>4</v>
      </c>
      <c r="D995" s="16"/>
      <c r="E995" s="16"/>
      <c r="F995" s="17"/>
      <c r="G995" s="21"/>
      <c r="H995" s="21"/>
      <c r="I995" s="4">
        <v>0</v>
      </c>
      <c r="J995" s="4">
        <v>0</v>
      </c>
      <c r="K995" s="4"/>
      <c r="L995" s="16"/>
      <c r="M995" s="4"/>
      <c r="N995" s="4"/>
      <c r="O995" s="4"/>
      <c r="P995" s="4"/>
      <c r="Q995" s="4"/>
      <c r="R995" s="4"/>
      <c r="S995" s="4">
        <v>0</v>
      </c>
      <c r="T995" s="4">
        <v>0</v>
      </c>
      <c r="U995" s="4">
        <v>0</v>
      </c>
      <c r="V995" s="4">
        <v>12</v>
      </c>
      <c r="W995" s="4">
        <v>12</v>
      </c>
      <c r="X995" s="4">
        <v>0</v>
      </c>
      <c r="Y995" s="4"/>
      <c r="Z995" s="4">
        <v>608.90999999999985</v>
      </c>
      <c r="AA995" s="4">
        <v>600</v>
      </c>
      <c r="AB995" s="18"/>
      <c r="AC995" s="18">
        <v>17</v>
      </c>
      <c r="AD995" s="28"/>
      <c r="AE995" s="26"/>
      <c r="AF995" s="28"/>
    </row>
    <row r="996" spans="1:32" ht="12.6" customHeight="1" x14ac:dyDescent="0.25">
      <c r="A996" s="14">
        <v>45775</v>
      </c>
      <c r="B996" s="14" t="s">
        <v>45</v>
      </c>
      <c r="C996" s="15">
        <v>5</v>
      </c>
      <c r="D996" s="16">
        <v>20</v>
      </c>
      <c r="E996" s="16"/>
      <c r="F996" s="17"/>
      <c r="G996" s="21">
        <v>180</v>
      </c>
      <c r="H996" s="21"/>
      <c r="I996" s="4">
        <v>200</v>
      </c>
      <c r="J996" s="4">
        <v>3.3333333333333335</v>
      </c>
      <c r="K996" s="4"/>
      <c r="L996" s="16"/>
      <c r="M996" s="4"/>
      <c r="N996" s="4"/>
      <c r="O996" s="4"/>
      <c r="P996" s="4"/>
      <c r="Q996" s="4"/>
      <c r="R996" s="4"/>
      <c r="S996" s="4">
        <v>0</v>
      </c>
      <c r="T996" s="4">
        <v>0</v>
      </c>
      <c r="U996" s="4">
        <v>3.3333333333333335</v>
      </c>
      <c r="V996" s="4">
        <v>8.6666666666666661</v>
      </c>
      <c r="W996" s="4">
        <v>12</v>
      </c>
      <c r="X996" s="4">
        <v>0</v>
      </c>
      <c r="Y996" s="4"/>
      <c r="Z996" s="4">
        <v>318.88000000000005</v>
      </c>
      <c r="AA996" s="4">
        <v>350</v>
      </c>
      <c r="AB996" s="18"/>
      <c r="AC996" s="18">
        <v>17</v>
      </c>
      <c r="AD996" s="28"/>
      <c r="AE996" s="26"/>
      <c r="AF996" s="28"/>
    </row>
    <row r="997" spans="1:32" ht="12.6" customHeight="1" x14ac:dyDescent="0.25">
      <c r="A997" s="14">
        <v>45775</v>
      </c>
      <c r="B997" s="14" t="s">
        <v>46</v>
      </c>
      <c r="C997" s="15">
        <v>5</v>
      </c>
      <c r="D997" s="16"/>
      <c r="E997" s="16"/>
      <c r="F997" s="17"/>
      <c r="G997" s="21"/>
      <c r="H997" s="21"/>
      <c r="I997" s="4">
        <v>0</v>
      </c>
      <c r="J997" s="4">
        <v>0</v>
      </c>
      <c r="K997" s="4"/>
      <c r="L997" s="16"/>
      <c r="M997" s="4"/>
      <c r="N997" s="4"/>
      <c r="O997" s="4"/>
      <c r="P997" s="4"/>
      <c r="Q997" s="4"/>
      <c r="R997" s="4"/>
      <c r="S997" s="4">
        <v>0</v>
      </c>
      <c r="T997" s="4">
        <v>0</v>
      </c>
      <c r="U997" s="4">
        <v>0</v>
      </c>
      <c r="V997" s="4">
        <v>12</v>
      </c>
      <c r="W997" s="4">
        <v>12</v>
      </c>
      <c r="X997" s="4">
        <v>0</v>
      </c>
      <c r="Y997" s="4"/>
      <c r="Z997" s="4">
        <v>347.34999999999997</v>
      </c>
      <c r="AA997" s="4">
        <v>350</v>
      </c>
      <c r="AB997" s="18"/>
      <c r="AC997" s="18">
        <v>17</v>
      </c>
      <c r="AD997" s="28"/>
      <c r="AE997" s="26"/>
      <c r="AF997" s="28"/>
    </row>
    <row r="998" spans="1:32" ht="12.6" customHeight="1" x14ac:dyDescent="0.25">
      <c r="A998" s="14">
        <v>45776</v>
      </c>
      <c r="B998" s="14" t="s">
        <v>45</v>
      </c>
      <c r="C998" s="15">
        <v>1</v>
      </c>
      <c r="D998" s="16"/>
      <c r="E998" s="16"/>
      <c r="F998" s="17"/>
      <c r="G998" s="21"/>
      <c r="H998" s="21"/>
      <c r="I998" s="4">
        <v>0</v>
      </c>
      <c r="J998" s="4">
        <v>0</v>
      </c>
      <c r="K998" s="4"/>
      <c r="L998" s="16"/>
      <c r="M998" s="4"/>
      <c r="N998" s="4"/>
      <c r="O998" s="4"/>
      <c r="P998" s="4"/>
      <c r="Q998" s="4"/>
      <c r="R998" s="4"/>
      <c r="S998" s="4">
        <v>0</v>
      </c>
      <c r="T998" s="4">
        <v>0</v>
      </c>
      <c r="U998" s="4">
        <v>0</v>
      </c>
      <c r="V998" s="4">
        <v>12</v>
      </c>
      <c r="W998" s="4">
        <v>12</v>
      </c>
      <c r="X998" s="4">
        <v>40</v>
      </c>
      <c r="Y998" s="4">
        <v>1413</v>
      </c>
      <c r="Z998" s="4">
        <v>209.49</v>
      </c>
      <c r="AA998" s="4">
        <v>200</v>
      </c>
      <c r="AB998" s="18">
        <v>398</v>
      </c>
      <c r="AC998" s="18">
        <v>17</v>
      </c>
      <c r="AD998" s="28"/>
      <c r="AE998" s="26"/>
      <c r="AF998" s="28"/>
    </row>
    <row r="999" spans="1:32" ht="12.6" customHeight="1" x14ac:dyDescent="0.25">
      <c r="A999" s="14">
        <v>45776</v>
      </c>
      <c r="B999" s="14" t="s">
        <v>46</v>
      </c>
      <c r="C999" s="15">
        <v>1</v>
      </c>
      <c r="D999" s="16"/>
      <c r="E999" s="16"/>
      <c r="F999" s="17"/>
      <c r="G999" s="21"/>
      <c r="H999" s="21"/>
      <c r="I999" s="4">
        <v>0</v>
      </c>
      <c r="J999" s="4">
        <v>0</v>
      </c>
      <c r="K999" s="4"/>
      <c r="L999" s="16"/>
      <c r="M999" s="4"/>
      <c r="N999" s="4"/>
      <c r="O999" s="4"/>
      <c r="P999" s="4"/>
      <c r="Q999" s="4"/>
      <c r="R999" s="4"/>
      <c r="S999" s="4">
        <v>0</v>
      </c>
      <c r="T999" s="4">
        <v>0</v>
      </c>
      <c r="U999" s="4">
        <v>0</v>
      </c>
      <c r="V999" s="4">
        <v>12</v>
      </c>
      <c r="W999" s="4">
        <v>12</v>
      </c>
      <c r="X999" s="4">
        <v>25</v>
      </c>
      <c r="Y999" s="4"/>
      <c r="Z999" s="4">
        <v>182.91000000000003</v>
      </c>
      <c r="AA999" s="4">
        <v>200</v>
      </c>
      <c r="AB999" s="18"/>
      <c r="AC999" s="18">
        <v>17</v>
      </c>
      <c r="AD999" s="28"/>
      <c r="AE999" s="26"/>
      <c r="AF999" s="28"/>
    </row>
    <row r="1000" spans="1:32" ht="12.6" customHeight="1" x14ac:dyDescent="0.25">
      <c r="A1000" s="14">
        <v>45776</v>
      </c>
      <c r="B1000" s="14" t="s">
        <v>45</v>
      </c>
      <c r="C1000" s="15">
        <v>2</v>
      </c>
      <c r="D1000" s="16"/>
      <c r="E1000" s="16"/>
      <c r="F1000" s="17"/>
      <c r="G1000" s="21"/>
      <c r="H1000" s="21"/>
      <c r="I1000" s="4">
        <v>0</v>
      </c>
      <c r="J1000" s="4">
        <v>0</v>
      </c>
      <c r="K1000" s="4"/>
      <c r="L1000" s="16"/>
      <c r="M1000" s="4"/>
      <c r="N1000" s="4"/>
      <c r="O1000" s="4"/>
      <c r="P1000" s="4"/>
      <c r="Q1000" s="4"/>
      <c r="R1000" s="4"/>
      <c r="S1000" s="4">
        <v>0</v>
      </c>
      <c r="T1000" s="4">
        <v>0</v>
      </c>
      <c r="U1000" s="4">
        <v>0</v>
      </c>
      <c r="V1000" s="4">
        <v>12</v>
      </c>
      <c r="W1000" s="4">
        <v>12</v>
      </c>
      <c r="X1000" s="4">
        <v>0</v>
      </c>
      <c r="Y1000" s="4"/>
      <c r="Z1000" s="4">
        <v>106.91</v>
      </c>
      <c r="AA1000" s="4">
        <v>100</v>
      </c>
      <c r="AB1000" s="18"/>
      <c r="AC1000" s="18">
        <v>17</v>
      </c>
      <c r="AD1000" s="28"/>
      <c r="AE1000" s="26"/>
      <c r="AF1000" s="28"/>
    </row>
    <row r="1001" spans="1:32" ht="12.6" customHeight="1" x14ac:dyDescent="0.25">
      <c r="A1001" s="14">
        <v>45776</v>
      </c>
      <c r="B1001" s="14" t="s">
        <v>46</v>
      </c>
      <c r="C1001" s="15">
        <v>2</v>
      </c>
      <c r="D1001" s="16"/>
      <c r="E1001" s="16"/>
      <c r="F1001" s="17"/>
      <c r="G1001" s="21"/>
      <c r="H1001" s="21"/>
      <c r="I1001" s="4">
        <v>0</v>
      </c>
      <c r="J1001" s="4">
        <v>0</v>
      </c>
      <c r="K1001" s="4"/>
      <c r="L1001" s="16"/>
      <c r="M1001" s="4"/>
      <c r="N1001" s="4"/>
      <c r="O1001" s="4"/>
      <c r="P1001" s="4"/>
      <c r="Q1001" s="4"/>
      <c r="R1001" s="4"/>
      <c r="S1001" s="4">
        <v>0</v>
      </c>
      <c r="T1001" s="4">
        <v>0</v>
      </c>
      <c r="U1001" s="4">
        <v>0</v>
      </c>
      <c r="V1001" s="4">
        <v>12</v>
      </c>
      <c r="W1001" s="4">
        <v>12</v>
      </c>
      <c r="X1001" s="4">
        <v>0</v>
      </c>
      <c r="Y1001" s="4"/>
      <c r="Z1001" s="4">
        <v>104.46</v>
      </c>
      <c r="AA1001" s="4">
        <v>100</v>
      </c>
      <c r="AB1001" s="18"/>
      <c r="AC1001" s="18">
        <v>17</v>
      </c>
      <c r="AD1001" s="28"/>
      <c r="AE1001" s="26"/>
      <c r="AF1001" s="28"/>
    </row>
    <row r="1002" spans="1:32" ht="12.6" customHeight="1" x14ac:dyDescent="0.25">
      <c r="A1002" s="14">
        <v>45776</v>
      </c>
      <c r="B1002" s="14" t="s">
        <v>45</v>
      </c>
      <c r="C1002" s="15">
        <v>4</v>
      </c>
      <c r="D1002" s="16">
        <v>30</v>
      </c>
      <c r="E1002" s="16"/>
      <c r="F1002" s="17"/>
      <c r="G1002" s="21"/>
      <c r="H1002" s="21"/>
      <c r="I1002" s="4">
        <v>30</v>
      </c>
      <c r="J1002" s="4">
        <v>0.5</v>
      </c>
      <c r="K1002" s="4"/>
      <c r="L1002" s="16"/>
      <c r="M1002" s="4"/>
      <c r="N1002" s="4"/>
      <c r="O1002" s="4"/>
      <c r="P1002" s="4"/>
      <c r="Q1002" s="4"/>
      <c r="R1002" s="4"/>
      <c r="S1002" s="4">
        <v>0</v>
      </c>
      <c r="T1002" s="4">
        <v>0</v>
      </c>
      <c r="U1002" s="4">
        <v>0.5</v>
      </c>
      <c r="V1002" s="4">
        <v>11.5</v>
      </c>
      <c r="W1002" s="4">
        <v>12</v>
      </c>
      <c r="X1002" s="4">
        <v>0</v>
      </c>
      <c r="Y1002" s="4"/>
      <c r="Z1002" s="4">
        <v>585.23</v>
      </c>
      <c r="AA1002" s="4">
        <v>600</v>
      </c>
      <c r="AB1002" s="18"/>
      <c r="AC1002" s="18">
        <v>17</v>
      </c>
      <c r="AD1002" s="28"/>
      <c r="AE1002" s="26"/>
      <c r="AF1002" s="28"/>
    </row>
    <row r="1003" spans="1:32" ht="12.6" customHeight="1" x14ac:dyDescent="0.25">
      <c r="A1003" s="14">
        <v>45776</v>
      </c>
      <c r="B1003" s="14" t="s">
        <v>46</v>
      </c>
      <c r="C1003" s="15">
        <v>4</v>
      </c>
      <c r="D1003" s="16"/>
      <c r="E1003" s="16"/>
      <c r="F1003" s="17"/>
      <c r="G1003" s="21"/>
      <c r="H1003" s="21"/>
      <c r="I1003" s="4">
        <v>0</v>
      </c>
      <c r="J1003" s="4">
        <v>0</v>
      </c>
      <c r="K1003" s="4"/>
      <c r="L1003" s="16"/>
      <c r="M1003" s="4"/>
      <c r="N1003" s="4"/>
      <c r="O1003" s="4"/>
      <c r="P1003" s="4"/>
      <c r="Q1003" s="4"/>
      <c r="R1003" s="4"/>
      <c r="S1003" s="4">
        <v>0</v>
      </c>
      <c r="T1003" s="4">
        <v>0</v>
      </c>
      <c r="U1003" s="4">
        <v>0</v>
      </c>
      <c r="V1003" s="4">
        <v>12</v>
      </c>
      <c r="W1003" s="4">
        <v>12</v>
      </c>
      <c r="X1003" s="4">
        <v>0</v>
      </c>
      <c r="Y1003" s="4"/>
      <c r="Z1003" s="4">
        <v>657.20999999999992</v>
      </c>
      <c r="AA1003" s="4">
        <v>650</v>
      </c>
      <c r="AB1003" s="18"/>
      <c r="AC1003" s="18">
        <v>17</v>
      </c>
      <c r="AD1003" s="28"/>
      <c r="AE1003" s="26"/>
      <c r="AF1003" s="28"/>
    </row>
    <row r="1004" spans="1:32" ht="12.6" customHeight="1" x14ac:dyDescent="0.25">
      <c r="A1004" s="14">
        <v>45776</v>
      </c>
      <c r="B1004" s="14" t="s">
        <v>45</v>
      </c>
      <c r="C1004" s="15">
        <v>5</v>
      </c>
      <c r="D1004" s="16">
        <v>20</v>
      </c>
      <c r="E1004" s="16"/>
      <c r="F1004" s="17"/>
      <c r="G1004" s="21"/>
      <c r="H1004" s="21"/>
      <c r="I1004" s="4">
        <v>20</v>
      </c>
      <c r="J1004" s="4">
        <v>0.33333333333333331</v>
      </c>
      <c r="K1004" s="4"/>
      <c r="L1004" s="16"/>
      <c r="M1004" s="4"/>
      <c r="N1004" s="4"/>
      <c r="O1004" s="4"/>
      <c r="P1004" s="4">
        <v>180</v>
      </c>
      <c r="Q1004" s="4"/>
      <c r="R1004" s="4"/>
      <c r="S1004" s="4">
        <v>180</v>
      </c>
      <c r="T1004" s="4">
        <v>3</v>
      </c>
      <c r="U1004" s="4">
        <v>3.3333333333333335</v>
      </c>
      <c r="V1004" s="4">
        <v>8.6666666666666661</v>
      </c>
      <c r="W1004" s="4">
        <v>12</v>
      </c>
      <c r="X1004" s="4">
        <v>0</v>
      </c>
      <c r="Y1004" s="4"/>
      <c r="Z1004" s="4">
        <v>387.02</v>
      </c>
      <c r="AA1004" s="4">
        <v>400</v>
      </c>
      <c r="AB1004" s="18"/>
      <c r="AC1004" s="18">
        <v>17</v>
      </c>
      <c r="AD1004" s="28"/>
      <c r="AE1004" s="26"/>
      <c r="AF1004" s="28"/>
    </row>
    <row r="1005" spans="1:32" ht="12.6" customHeight="1" x14ac:dyDescent="0.25">
      <c r="A1005" s="14">
        <v>45776</v>
      </c>
      <c r="B1005" s="14" t="s">
        <v>46</v>
      </c>
      <c r="C1005" s="15">
        <v>5</v>
      </c>
      <c r="D1005" s="16"/>
      <c r="E1005" s="16"/>
      <c r="F1005" s="17"/>
      <c r="G1005" s="21"/>
      <c r="H1005" s="21"/>
      <c r="I1005" s="4">
        <v>0</v>
      </c>
      <c r="J1005" s="4">
        <v>0</v>
      </c>
      <c r="K1005" s="4"/>
      <c r="L1005" s="16"/>
      <c r="M1005" s="4"/>
      <c r="N1005" s="4"/>
      <c r="O1005" s="4"/>
      <c r="P1005" s="4"/>
      <c r="Q1005" s="4"/>
      <c r="R1005" s="4"/>
      <c r="S1005" s="4">
        <v>0</v>
      </c>
      <c r="T1005" s="4">
        <v>0</v>
      </c>
      <c r="U1005" s="4">
        <v>0</v>
      </c>
      <c r="V1005" s="4">
        <v>12</v>
      </c>
      <c r="W1005" s="4">
        <v>12</v>
      </c>
      <c r="X1005" s="4">
        <v>0</v>
      </c>
      <c r="Y1005" s="4"/>
      <c r="Z1005" s="4">
        <v>427.44999999999993</v>
      </c>
      <c r="AA1005" s="4">
        <v>450</v>
      </c>
      <c r="AB1005" s="18"/>
      <c r="AC1005" s="18">
        <v>17</v>
      </c>
      <c r="AD1005" s="28"/>
      <c r="AE1005" s="26"/>
      <c r="AF1005" s="28"/>
    </row>
    <row r="1006" spans="1:32" ht="12.6" customHeight="1" x14ac:dyDescent="0.25">
      <c r="A1006" s="14">
        <v>45777</v>
      </c>
      <c r="B1006" s="14" t="s">
        <v>45</v>
      </c>
      <c r="C1006" s="15">
        <v>1</v>
      </c>
      <c r="D1006" s="16">
        <v>20</v>
      </c>
      <c r="E1006" s="16"/>
      <c r="F1006" s="17"/>
      <c r="G1006" s="21"/>
      <c r="H1006" s="21"/>
      <c r="I1006" s="4">
        <v>20</v>
      </c>
      <c r="J1006" s="4">
        <v>0.33333333333333331</v>
      </c>
      <c r="K1006" s="4"/>
      <c r="L1006" s="16"/>
      <c r="M1006" s="4"/>
      <c r="N1006" s="4"/>
      <c r="O1006" s="4"/>
      <c r="P1006" s="4"/>
      <c r="Q1006" s="4"/>
      <c r="R1006" s="4"/>
      <c r="S1006" s="4">
        <v>0</v>
      </c>
      <c r="T1006" s="4">
        <v>0</v>
      </c>
      <c r="U1006" s="4">
        <v>0.33333333333333331</v>
      </c>
      <c r="V1006" s="4">
        <v>11.666666666666666</v>
      </c>
      <c r="W1006" s="4">
        <v>12</v>
      </c>
      <c r="X1006" s="4">
        <v>35</v>
      </c>
      <c r="Y1006" s="4">
        <v>1460</v>
      </c>
      <c r="Z1006" s="4">
        <v>185.65</v>
      </c>
      <c r="AA1006" s="4">
        <v>200</v>
      </c>
      <c r="AB1006" s="18">
        <v>398</v>
      </c>
      <c r="AC1006" s="18">
        <v>17</v>
      </c>
      <c r="AD1006" s="28"/>
      <c r="AE1006" s="26"/>
      <c r="AF1006" s="28"/>
    </row>
    <row r="1007" spans="1:32" ht="12.6" customHeight="1" x14ac:dyDescent="0.25">
      <c r="A1007" s="14">
        <v>45777</v>
      </c>
      <c r="B1007" s="14" t="s">
        <v>46</v>
      </c>
      <c r="C1007" s="15">
        <v>1</v>
      </c>
      <c r="D1007" s="16">
        <v>20</v>
      </c>
      <c r="E1007" s="16"/>
      <c r="F1007" s="17"/>
      <c r="G1007" s="21"/>
      <c r="H1007" s="21"/>
      <c r="I1007" s="4">
        <v>20</v>
      </c>
      <c r="J1007" s="4">
        <v>0.33333333333333331</v>
      </c>
      <c r="K1007" s="4"/>
      <c r="L1007" s="16"/>
      <c r="M1007" s="4"/>
      <c r="N1007" s="4"/>
      <c r="O1007" s="4"/>
      <c r="P1007" s="4"/>
      <c r="Q1007" s="4"/>
      <c r="R1007" s="4"/>
      <c r="S1007" s="4">
        <v>0</v>
      </c>
      <c r="T1007" s="4">
        <v>0</v>
      </c>
      <c r="U1007" s="4">
        <v>0.33333333333333331</v>
      </c>
      <c r="V1007" s="4">
        <v>11.666666666666666</v>
      </c>
      <c r="W1007" s="4">
        <v>12</v>
      </c>
      <c r="X1007" s="4">
        <v>43.8</v>
      </c>
      <c r="Y1007" s="4"/>
      <c r="Z1007" s="4">
        <v>201.23000000000002</v>
      </c>
      <c r="AA1007" s="4">
        <v>200</v>
      </c>
      <c r="AB1007" s="18"/>
      <c r="AC1007" s="18">
        <v>17</v>
      </c>
      <c r="AD1007" s="28"/>
      <c r="AE1007" s="26"/>
      <c r="AF1007" s="28"/>
    </row>
    <row r="1008" spans="1:32" ht="12.6" customHeight="1" x14ac:dyDescent="0.25">
      <c r="A1008" s="14">
        <v>45777</v>
      </c>
      <c r="B1008" s="14" t="s">
        <v>45</v>
      </c>
      <c r="C1008" s="15">
        <v>2</v>
      </c>
      <c r="D1008" s="16">
        <v>20</v>
      </c>
      <c r="E1008" s="16"/>
      <c r="F1008" s="17"/>
      <c r="G1008" s="21"/>
      <c r="H1008" s="21"/>
      <c r="I1008" s="4">
        <v>20</v>
      </c>
      <c r="J1008" s="4">
        <v>0.33333333333333331</v>
      </c>
      <c r="K1008" s="4"/>
      <c r="L1008" s="16"/>
      <c r="M1008" s="4"/>
      <c r="N1008" s="4"/>
      <c r="O1008" s="4"/>
      <c r="P1008" s="4"/>
      <c r="Q1008" s="4"/>
      <c r="R1008" s="4"/>
      <c r="S1008" s="4">
        <v>0</v>
      </c>
      <c r="T1008" s="4">
        <v>0</v>
      </c>
      <c r="U1008" s="4">
        <v>0.33333333333333331</v>
      </c>
      <c r="V1008" s="4">
        <v>11.666666666666666</v>
      </c>
      <c r="W1008" s="4">
        <v>12</v>
      </c>
      <c r="X1008" s="4">
        <v>0</v>
      </c>
      <c r="Y1008" s="4"/>
      <c r="Z1008" s="4">
        <v>115.59</v>
      </c>
      <c r="AA1008" s="4">
        <v>100</v>
      </c>
      <c r="AB1008" s="18"/>
      <c r="AC1008" s="18">
        <v>17</v>
      </c>
      <c r="AD1008" s="28"/>
      <c r="AE1008" s="26"/>
      <c r="AF1008" s="28"/>
    </row>
    <row r="1009" spans="1:32" ht="12.6" customHeight="1" x14ac:dyDescent="0.25">
      <c r="A1009" s="14">
        <v>45777</v>
      </c>
      <c r="B1009" s="14" t="s">
        <v>46</v>
      </c>
      <c r="C1009" s="15">
        <v>2</v>
      </c>
      <c r="D1009" s="16"/>
      <c r="E1009" s="16"/>
      <c r="F1009" s="17"/>
      <c r="G1009" s="21"/>
      <c r="H1009" s="21"/>
      <c r="I1009" s="4">
        <v>0</v>
      </c>
      <c r="J1009" s="4">
        <v>0</v>
      </c>
      <c r="K1009" s="4"/>
      <c r="L1009" s="16"/>
      <c r="M1009" s="4"/>
      <c r="N1009" s="4"/>
      <c r="O1009" s="4"/>
      <c r="P1009" s="4"/>
      <c r="Q1009" s="4"/>
      <c r="R1009" s="4"/>
      <c r="S1009" s="4">
        <v>0</v>
      </c>
      <c r="T1009" s="4">
        <v>0</v>
      </c>
      <c r="U1009" s="4">
        <v>0</v>
      </c>
      <c r="V1009" s="4">
        <v>12</v>
      </c>
      <c r="W1009" s="4">
        <v>12</v>
      </c>
      <c r="X1009" s="4">
        <v>0</v>
      </c>
      <c r="Y1009" s="4"/>
      <c r="Z1009" s="4">
        <v>102.53999999999999</v>
      </c>
      <c r="AA1009" s="4">
        <v>100</v>
      </c>
      <c r="AB1009" s="18"/>
      <c r="AC1009" s="18">
        <v>17</v>
      </c>
      <c r="AD1009" s="28"/>
      <c r="AE1009" s="26"/>
      <c r="AF1009" s="28"/>
    </row>
    <row r="1010" spans="1:32" ht="12.6" customHeight="1" x14ac:dyDescent="0.25">
      <c r="A1010" s="14">
        <v>45777</v>
      </c>
      <c r="B1010" s="14" t="s">
        <v>45</v>
      </c>
      <c r="C1010" s="15">
        <v>4</v>
      </c>
      <c r="D1010" s="16"/>
      <c r="E1010" s="16"/>
      <c r="F1010" s="17"/>
      <c r="G1010" s="21"/>
      <c r="H1010" s="21"/>
      <c r="I1010" s="4">
        <v>0</v>
      </c>
      <c r="J1010" s="4">
        <v>0</v>
      </c>
      <c r="K1010" s="4"/>
      <c r="L1010" s="16"/>
      <c r="M1010" s="4"/>
      <c r="N1010" s="4"/>
      <c r="O1010" s="4"/>
      <c r="P1010" s="4"/>
      <c r="Q1010" s="4"/>
      <c r="R1010" s="4"/>
      <c r="S1010" s="4">
        <v>0</v>
      </c>
      <c r="T1010" s="4">
        <v>0</v>
      </c>
      <c r="U1010" s="4">
        <v>0</v>
      </c>
      <c r="V1010" s="4">
        <v>12</v>
      </c>
      <c r="W1010" s="4">
        <v>12</v>
      </c>
      <c r="X1010" s="4">
        <v>0</v>
      </c>
      <c r="Y1010" s="4"/>
      <c r="Z1010" s="4">
        <v>593.4</v>
      </c>
      <c r="AA1010" s="4">
        <v>650</v>
      </c>
      <c r="AB1010" s="18"/>
      <c r="AC1010" s="18">
        <v>17</v>
      </c>
      <c r="AD1010" s="28"/>
      <c r="AE1010" s="26"/>
      <c r="AF1010" s="28"/>
    </row>
    <row r="1011" spans="1:32" ht="12.6" customHeight="1" x14ac:dyDescent="0.25">
      <c r="A1011" s="14">
        <v>45777</v>
      </c>
      <c r="B1011" s="14" t="s">
        <v>46</v>
      </c>
      <c r="C1011" s="15">
        <v>4</v>
      </c>
      <c r="D1011" s="16">
        <v>40</v>
      </c>
      <c r="E1011" s="16"/>
      <c r="F1011" s="17"/>
      <c r="G1011" s="21"/>
      <c r="H1011" s="21"/>
      <c r="I1011" s="4">
        <v>40</v>
      </c>
      <c r="J1011" s="4">
        <v>0.66666666666666663</v>
      </c>
      <c r="K1011" s="4"/>
      <c r="L1011" s="16"/>
      <c r="M1011" s="4"/>
      <c r="N1011" s="4"/>
      <c r="O1011" s="4"/>
      <c r="P1011" s="4"/>
      <c r="Q1011" s="4"/>
      <c r="R1011" s="4"/>
      <c r="S1011" s="4">
        <v>0</v>
      </c>
      <c r="T1011" s="4">
        <v>0</v>
      </c>
      <c r="U1011" s="4">
        <v>0.66666666666666663</v>
      </c>
      <c r="V1011" s="4">
        <v>11.333333333333334</v>
      </c>
      <c r="W1011" s="4">
        <v>12</v>
      </c>
      <c r="X1011" s="4">
        <v>0</v>
      </c>
      <c r="Y1011" s="4"/>
      <c r="Z1011" s="4">
        <v>582.24</v>
      </c>
      <c r="AA1011" s="4">
        <v>600</v>
      </c>
      <c r="AB1011" s="18"/>
      <c r="AC1011" s="18">
        <v>17</v>
      </c>
      <c r="AD1011" s="28"/>
      <c r="AE1011" s="26"/>
      <c r="AF1011" s="28"/>
    </row>
    <row r="1012" spans="1:32" ht="12.6" customHeight="1" x14ac:dyDescent="0.25">
      <c r="A1012" s="14">
        <v>45777</v>
      </c>
      <c r="B1012" s="14" t="s">
        <v>45</v>
      </c>
      <c r="C1012" s="15">
        <v>5</v>
      </c>
      <c r="D1012" s="16"/>
      <c r="E1012" s="16"/>
      <c r="F1012" s="17"/>
      <c r="G1012" s="21"/>
      <c r="H1012" s="21"/>
      <c r="I1012" s="4">
        <v>0</v>
      </c>
      <c r="J1012" s="4">
        <v>0</v>
      </c>
      <c r="K1012" s="4"/>
      <c r="L1012" s="16"/>
      <c r="M1012" s="4"/>
      <c r="N1012" s="4"/>
      <c r="O1012" s="4"/>
      <c r="P1012" s="4"/>
      <c r="Q1012" s="4"/>
      <c r="R1012" s="4"/>
      <c r="S1012" s="4">
        <v>0</v>
      </c>
      <c r="T1012" s="4">
        <v>0</v>
      </c>
      <c r="U1012" s="4">
        <v>0</v>
      </c>
      <c r="V1012" s="4">
        <v>12</v>
      </c>
      <c r="W1012" s="4">
        <v>12</v>
      </c>
      <c r="X1012" s="4">
        <v>0</v>
      </c>
      <c r="Y1012" s="4"/>
      <c r="Z1012" s="4">
        <v>534.91000000000008</v>
      </c>
      <c r="AA1012" s="4">
        <v>550</v>
      </c>
      <c r="AB1012" s="18"/>
      <c r="AC1012" s="18">
        <v>17</v>
      </c>
      <c r="AD1012" s="28"/>
      <c r="AE1012" s="26"/>
      <c r="AF1012" s="28"/>
    </row>
    <row r="1013" spans="1:32" ht="12.6" customHeight="1" x14ac:dyDescent="0.25">
      <c r="A1013" s="14">
        <v>45777</v>
      </c>
      <c r="B1013" s="14" t="s">
        <v>46</v>
      </c>
      <c r="C1013" s="15">
        <v>5</v>
      </c>
      <c r="D1013" s="16"/>
      <c r="E1013" s="16"/>
      <c r="F1013" s="17"/>
      <c r="G1013" s="21"/>
      <c r="H1013" s="21"/>
      <c r="I1013" s="4">
        <v>0</v>
      </c>
      <c r="J1013" s="4">
        <v>0</v>
      </c>
      <c r="K1013" s="4"/>
      <c r="L1013" s="16"/>
      <c r="M1013" s="4"/>
      <c r="N1013" s="4"/>
      <c r="O1013" s="4"/>
      <c r="P1013" s="4"/>
      <c r="Q1013" s="4"/>
      <c r="R1013" s="4"/>
      <c r="S1013" s="4">
        <v>0</v>
      </c>
      <c r="T1013" s="4">
        <v>0</v>
      </c>
      <c r="U1013" s="4">
        <v>0</v>
      </c>
      <c r="V1013" s="4">
        <v>12</v>
      </c>
      <c r="W1013" s="4">
        <v>12</v>
      </c>
      <c r="X1013" s="4">
        <v>0</v>
      </c>
      <c r="Y1013" s="4"/>
      <c r="Z1013" s="4">
        <v>584.18000000000006</v>
      </c>
      <c r="AA1013" s="4">
        <v>600</v>
      </c>
      <c r="AB1013" s="18"/>
      <c r="AC1013" s="18">
        <v>17</v>
      </c>
      <c r="AD1013" s="28"/>
      <c r="AE1013" s="26"/>
      <c r="AF1013" s="28"/>
    </row>
    <row r="1014" spans="1:32" ht="12.6" customHeight="1" x14ac:dyDescent="0.25">
      <c r="A1014" s="14">
        <v>45778</v>
      </c>
      <c r="B1014" s="14" t="s">
        <v>45</v>
      </c>
      <c r="C1014" s="15">
        <v>1</v>
      </c>
      <c r="D1014" s="16">
        <v>20</v>
      </c>
      <c r="E1014" s="16"/>
      <c r="F1014" s="17"/>
      <c r="G1014" s="21"/>
      <c r="H1014" s="21"/>
      <c r="I1014" s="4">
        <v>20</v>
      </c>
      <c r="J1014" s="4">
        <v>0.33333333333333331</v>
      </c>
      <c r="K1014" s="4"/>
      <c r="L1014" s="16"/>
      <c r="M1014" s="4"/>
      <c r="N1014" s="4"/>
      <c r="O1014" s="4"/>
      <c r="P1014" s="4"/>
      <c r="Q1014" s="4"/>
      <c r="R1014" s="4"/>
      <c r="S1014" s="4">
        <v>0</v>
      </c>
      <c r="T1014" s="4">
        <v>0</v>
      </c>
      <c r="U1014" s="4">
        <v>0.33333333333333331</v>
      </c>
      <c r="V1014" s="4">
        <v>11.666666666666666</v>
      </c>
      <c r="W1014" s="4">
        <v>12</v>
      </c>
      <c r="X1014" s="4">
        <v>33</v>
      </c>
      <c r="Y1014" s="4">
        <v>1381</v>
      </c>
      <c r="Z1014" s="4">
        <v>168.83</v>
      </c>
      <c r="AA1014" s="4">
        <v>200</v>
      </c>
      <c r="AB1014" s="18">
        <v>398</v>
      </c>
      <c r="AC1014" s="18">
        <v>17</v>
      </c>
      <c r="AD1014" s="28"/>
      <c r="AE1014" s="26"/>
      <c r="AF1014" s="28"/>
    </row>
    <row r="1015" spans="1:32" ht="12.6" customHeight="1" x14ac:dyDescent="0.25">
      <c r="A1015" s="14">
        <v>45778</v>
      </c>
      <c r="B1015" s="14" t="s">
        <v>46</v>
      </c>
      <c r="C1015" s="15">
        <v>1</v>
      </c>
      <c r="D1015" s="16"/>
      <c r="E1015" s="16"/>
      <c r="F1015" s="17"/>
      <c r="G1015" s="21"/>
      <c r="H1015" s="21"/>
      <c r="I1015" s="4">
        <v>0</v>
      </c>
      <c r="J1015" s="4">
        <v>0</v>
      </c>
      <c r="K1015" s="4"/>
      <c r="L1015" s="16"/>
      <c r="M1015" s="4"/>
      <c r="N1015" s="4"/>
      <c r="O1015" s="4"/>
      <c r="P1015" s="4"/>
      <c r="Q1015" s="4"/>
      <c r="R1015" s="4"/>
      <c r="S1015" s="4">
        <v>0</v>
      </c>
      <c r="T1015" s="4">
        <v>0</v>
      </c>
      <c r="U1015" s="4">
        <v>0</v>
      </c>
      <c r="V1015" s="4">
        <v>12</v>
      </c>
      <c r="W1015" s="4">
        <v>12</v>
      </c>
      <c r="X1015" s="4">
        <v>0</v>
      </c>
      <c r="Y1015" s="4"/>
      <c r="Z1015" s="4">
        <v>95.97</v>
      </c>
      <c r="AA1015" s="4">
        <v>100</v>
      </c>
      <c r="AB1015" s="18"/>
      <c r="AC1015" s="18">
        <v>17</v>
      </c>
      <c r="AD1015" s="28"/>
      <c r="AE1015" s="26"/>
      <c r="AF1015" s="28"/>
    </row>
    <row r="1016" spans="1:32" ht="12.6" customHeight="1" x14ac:dyDescent="0.25">
      <c r="A1016" s="14">
        <v>45778</v>
      </c>
      <c r="B1016" s="14" t="s">
        <v>45</v>
      </c>
      <c r="C1016" s="15">
        <v>2</v>
      </c>
      <c r="D1016" s="16"/>
      <c r="E1016" s="16"/>
      <c r="F1016" s="17"/>
      <c r="G1016" s="21"/>
      <c r="H1016" s="21"/>
      <c r="I1016" s="4">
        <v>0</v>
      </c>
      <c r="J1016" s="4">
        <v>0</v>
      </c>
      <c r="K1016" s="4"/>
      <c r="L1016" s="16"/>
      <c r="M1016" s="4"/>
      <c r="N1016" s="4"/>
      <c r="O1016" s="4"/>
      <c r="P1016" s="4"/>
      <c r="Q1016" s="4"/>
      <c r="R1016" s="4"/>
      <c r="S1016" s="4">
        <v>0</v>
      </c>
      <c r="T1016" s="4">
        <v>0</v>
      </c>
      <c r="U1016" s="4">
        <v>0</v>
      </c>
      <c r="V1016" s="4">
        <v>12</v>
      </c>
      <c r="W1016" s="4">
        <v>12</v>
      </c>
      <c r="X1016" s="4">
        <v>0</v>
      </c>
      <c r="Y1016" s="4"/>
      <c r="Z1016" s="4">
        <v>111.13</v>
      </c>
      <c r="AA1016" s="4">
        <v>100</v>
      </c>
      <c r="AB1016" s="18"/>
      <c r="AC1016" s="18">
        <v>17</v>
      </c>
      <c r="AD1016" s="28"/>
      <c r="AE1016" s="26"/>
      <c r="AF1016" s="28"/>
    </row>
    <row r="1017" spans="1:32" ht="12.6" customHeight="1" x14ac:dyDescent="0.25">
      <c r="A1017" s="14">
        <v>45778</v>
      </c>
      <c r="B1017" s="14" t="s">
        <v>46</v>
      </c>
      <c r="C1017" s="15">
        <v>2</v>
      </c>
      <c r="D1017" s="16"/>
      <c r="E1017" s="16"/>
      <c r="F1017" s="17"/>
      <c r="G1017" s="21"/>
      <c r="H1017" s="21"/>
      <c r="I1017" s="4">
        <v>0</v>
      </c>
      <c r="J1017" s="4">
        <v>0</v>
      </c>
      <c r="K1017" s="4"/>
      <c r="L1017" s="16"/>
      <c r="M1017" s="4"/>
      <c r="N1017" s="4"/>
      <c r="O1017" s="4"/>
      <c r="P1017" s="4"/>
      <c r="Q1017" s="4"/>
      <c r="R1017" s="4"/>
      <c r="S1017" s="4">
        <v>0</v>
      </c>
      <c r="T1017" s="4">
        <v>0</v>
      </c>
      <c r="U1017" s="4">
        <v>0</v>
      </c>
      <c r="V1017" s="4">
        <v>12</v>
      </c>
      <c r="W1017" s="4">
        <v>12</v>
      </c>
      <c r="X1017" s="4">
        <v>0</v>
      </c>
      <c r="Y1017" s="4"/>
      <c r="Z1017" s="4">
        <v>106.74000000000001</v>
      </c>
      <c r="AA1017" s="4">
        <v>100</v>
      </c>
      <c r="AB1017" s="18"/>
      <c r="AC1017" s="18">
        <v>17</v>
      </c>
      <c r="AD1017" s="28"/>
      <c r="AE1017" s="26"/>
      <c r="AF1017" s="28"/>
    </row>
    <row r="1018" spans="1:32" ht="12.6" customHeight="1" x14ac:dyDescent="0.25">
      <c r="A1018" s="14">
        <v>45778</v>
      </c>
      <c r="B1018" s="14" t="s">
        <v>45</v>
      </c>
      <c r="C1018" s="15">
        <v>4</v>
      </c>
      <c r="D1018" s="16">
        <v>20</v>
      </c>
      <c r="E1018" s="16"/>
      <c r="F1018" s="17"/>
      <c r="G1018" s="21"/>
      <c r="H1018" s="21"/>
      <c r="I1018" s="4">
        <v>20</v>
      </c>
      <c r="J1018" s="4">
        <v>0.33333333333333331</v>
      </c>
      <c r="K1018" s="4"/>
      <c r="L1018" s="16"/>
      <c r="M1018" s="4"/>
      <c r="N1018" s="4"/>
      <c r="O1018" s="4"/>
      <c r="P1018" s="4"/>
      <c r="Q1018" s="4"/>
      <c r="R1018" s="4"/>
      <c r="S1018" s="4">
        <v>0</v>
      </c>
      <c r="T1018" s="4">
        <v>0</v>
      </c>
      <c r="U1018" s="4">
        <v>0.33333333333333331</v>
      </c>
      <c r="V1018" s="4">
        <v>11.666666666666666</v>
      </c>
      <c r="W1018" s="4">
        <v>12</v>
      </c>
      <c r="X1018" s="4">
        <v>0</v>
      </c>
      <c r="Y1018" s="4"/>
      <c r="Z1018" s="4">
        <v>584.42000000000007</v>
      </c>
      <c r="AA1018" s="4">
        <v>600</v>
      </c>
      <c r="AB1018" s="18"/>
      <c r="AC1018" s="18">
        <v>17</v>
      </c>
      <c r="AD1018" s="28"/>
      <c r="AE1018" s="26"/>
      <c r="AF1018" s="28"/>
    </row>
    <row r="1019" spans="1:32" ht="12.6" customHeight="1" x14ac:dyDescent="0.25">
      <c r="A1019" s="14">
        <v>45778</v>
      </c>
      <c r="B1019" s="14" t="s">
        <v>46</v>
      </c>
      <c r="C1019" s="15">
        <v>4</v>
      </c>
      <c r="D1019" s="16">
        <v>60</v>
      </c>
      <c r="E1019" s="16"/>
      <c r="F1019" s="17"/>
      <c r="G1019" s="21"/>
      <c r="H1019" s="21"/>
      <c r="I1019" s="4">
        <v>60</v>
      </c>
      <c r="J1019" s="4">
        <v>1</v>
      </c>
      <c r="K1019" s="4"/>
      <c r="L1019" s="16"/>
      <c r="M1019" s="4"/>
      <c r="N1019" s="4"/>
      <c r="O1019" s="4"/>
      <c r="P1019" s="4"/>
      <c r="Q1019" s="4"/>
      <c r="R1019" s="4"/>
      <c r="S1019" s="4">
        <v>0</v>
      </c>
      <c r="T1019" s="4">
        <v>0</v>
      </c>
      <c r="U1019" s="4">
        <v>1</v>
      </c>
      <c r="V1019" s="4">
        <v>11</v>
      </c>
      <c r="W1019" s="4">
        <v>12</v>
      </c>
      <c r="X1019" s="4">
        <v>0</v>
      </c>
      <c r="Y1019" s="4"/>
      <c r="Z1019" s="4">
        <v>623.36</v>
      </c>
      <c r="AA1019" s="4">
        <v>650</v>
      </c>
      <c r="AB1019" s="18"/>
      <c r="AC1019" s="18">
        <v>17</v>
      </c>
      <c r="AD1019" s="28"/>
      <c r="AE1019" s="26"/>
      <c r="AF1019" s="28"/>
    </row>
    <row r="1020" spans="1:32" ht="12.6" customHeight="1" x14ac:dyDescent="0.25">
      <c r="A1020" s="14">
        <v>45778</v>
      </c>
      <c r="B1020" s="14" t="s">
        <v>45</v>
      </c>
      <c r="C1020" s="15">
        <v>5</v>
      </c>
      <c r="D1020" s="16">
        <v>20</v>
      </c>
      <c r="E1020" s="16"/>
      <c r="F1020" s="17"/>
      <c r="G1020" s="21"/>
      <c r="H1020" s="21"/>
      <c r="I1020" s="4">
        <v>20</v>
      </c>
      <c r="J1020" s="4">
        <v>0.33333333333333331</v>
      </c>
      <c r="K1020" s="4"/>
      <c r="L1020" s="16"/>
      <c r="M1020" s="4"/>
      <c r="N1020" s="4"/>
      <c r="O1020" s="4"/>
      <c r="P1020" s="4"/>
      <c r="Q1020" s="4"/>
      <c r="R1020" s="4"/>
      <c r="S1020" s="4">
        <v>0</v>
      </c>
      <c r="T1020" s="4">
        <v>0</v>
      </c>
      <c r="U1020" s="4">
        <v>0.33333333333333331</v>
      </c>
      <c r="V1020" s="4">
        <v>11.666666666666666</v>
      </c>
      <c r="W1020" s="4">
        <v>12</v>
      </c>
      <c r="X1020" s="4">
        <v>0</v>
      </c>
      <c r="Y1020" s="4"/>
      <c r="Z1020" s="4">
        <v>534.78</v>
      </c>
      <c r="AA1020" s="4">
        <v>550</v>
      </c>
      <c r="AB1020" s="18"/>
      <c r="AC1020" s="18">
        <v>17</v>
      </c>
      <c r="AD1020" s="28"/>
      <c r="AE1020" s="26"/>
      <c r="AF1020" s="28"/>
    </row>
    <row r="1021" spans="1:32" ht="12.6" customHeight="1" x14ac:dyDescent="0.25">
      <c r="A1021" s="14">
        <v>45778</v>
      </c>
      <c r="B1021" s="14" t="s">
        <v>46</v>
      </c>
      <c r="C1021" s="15">
        <v>5</v>
      </c>
      <c r="D1021" s="16">
        <v>40</v>
      </c>
      <c r="E1021" s="16"/>
      <c r="F1021" s="17"/>
      <c r="G1021" s="21"/>
      <c r="H1021" s="21"/>
      <c r="I1021" s="4">
        <v>40</v>
      </c>
      <c r="J1021" s="4">
        <v>0.66666666666666663</v>
      </c>
      <c r="K1021" s="4"/>
      <c r="L1021" s="16"/>
      <c r="M1021" s="4"/>
      <c r="N1021" s="4"/>
      <c r="O1021" s="4"/>
      <c r="P1021" s="4"/>
      <c r="Q1021" s="4"/>
      <c r="R1021" s="4"/>
      <c r="S1021" s="4">
        <v>0</v>
      </c>
      <c r="T1021" s="4">
        <v>0</v>
      </c>
      <c r="U1021" s="4">
        <v>0.66666666666666663</v>
      </c>
      <c r="V1021" s="4">
        <v>11.333333333333334</v>
      </c>
      <c r="W1021" s="4">
        <v>12</v>
      </c>
      <c r="X1021" s="4">
        <v>0</v>
      </c>
      <c r="Y1021" s="4"/>
      <c r="Z1021" s="4">
        <v>392.51</v>
      </c>
      <c r="AA1021" s="4">
        <v>400</v>
      </c>
      <c r="AB1021" s="18"/>
      <c r="AC1021" s="18">
        <v>17</v>
      </c>
      <c r="AD1021" s="28"/>
      <c r="AE1021" s="26"/>
      <c r="AF1021" s="28"/>
    </row>
    <row r="1022" spans="1:32" ht="12.6" customHeight="1" x14ac:dyDescent="0.25">
      <c r="A1022" s="14">
        <v>45779</v>
      </c>
      <c r="B1022" s="14" t="s">
        <v>45</v>
      </c>
      <c r="C1022" s="15">
        <v>1</v>
      </c>
      <c r="D1022" s="16"/>
      <c r="E1022" s="16"/>
      <c r="F1022" s="17"/>
      <c r="G1022" s="21"/>
      <c r="H1022" s="21"/>
      <c r="I1022" s="4">
        <v>0</v>
      </c>
      <c r="J1022" s="4">
        <v>0</v>
      </c>
      <c r="K1022" s="4"/>
      <c r="L1022" s="16"/>
      <c r="M1022" s="4"/>
      <c r="N1022" s="4"/>
      <c r="O1022" s="4"/>
      <c r="P1022" s="4"/>
      <c r="Q1022" s="4"/>
      <c r="R1022" s="4"/>
      <c r="S1022" s="4">
        <v>0</v>
      </c>
      <c r="T1022" s="4">
        <v>0</v>
      </c>
      <c r="U1022" s="4">
        <v>0</v>
      </c>
      <c r="V1022" s="4">
        <v>12</v>
      </c>
      <c r="W1022" s="4">
        <v>12</v>
      </c>
      <c r="X1022" s="4">
        <v>11</v>
      </c>
      <c r="Y1022" s="4">
        <v>1360</v>
      </c>
      <c r="Z1022" s="4">
        <v>124.56</v>
      </c>
      <c r="AA1022" s="4">
        <v>100</v>
      </c>
      <c r="AB1022" s="18">
        <v>398</v>
      </c>
      <c r="AC1022" s="18">
        <v>17</v>
      </c>
      <c r="AD1022" s="28"/>
      <c r="AE1022" s="26"/>
      <c r="AF1022" s="28"/>
    </row>
    <row r="1023" spans="1:32" ht="12.6" customHeight="1" x14ac:dyDescent="0.25">
      <c r="A1023" s="14">
        <v>45779</v>
      </c>
      <c r="B1023" s="14" t="s">
        <v>46</v>
      </c>
      <c r="C1023" s="15">
        <v>1</v>
      </c>
      <c r="D1023" s="16"/>
      <c r="E1023" s="16"/>
      <c r="F1023" s="17"/>
      <c r="G1023" s="21"/>
      <c r="H1023" s="21"/>
      <c r="I1023" s="4">
        <v>0</v>
      </c>
      <c r="J1023" s="4">
        <v>0</v>
      </c>
      <c r="K1023" s="4"/>
      <c r="L1023" s="16"/>
      <c r="M1023" s="4"/>
      <c r="N1023" s="4"/>
      <c r="O1023" s="4"/>
      <c r="P1023" s="4"/>
      <c r="Q1023" s="4"/>
      <c r="R1023" s="4"/>
      <c r="S1023" s="4">
        <v>0</v>
      </c>
      <c r="T1023" s="4">
        <v>0</v>
      </c>
      <c r="U1023" s="4">
        <v>0</v>
      </c>
      <c r="V1023" s="4">
        <v>12</v>
      </c>
      <c r="W1023" s="4">
        <v>12</v>
      </c>
      <c r="X1023" s="4">
        <v>24</v>
      </c>
      <c r="Y1023" s="4"/>
      <c r="Z1023" s="4">
        <v>137.37</v>
      </c>
      <c r="AA1023" s="4">
        <v>150</v>
      </c>
      <c r="AB1023" s="18"/>
      <c r="AC1023" s="18">
        <v>17</v>
      </c>
      <c r="AD1023" s="28"/>
      <c r="AE1023" s="26"/>
      <c r="AF1023" s="28"/>
    </row>
    <row r="1024" spans="1:32" ht="12.6" customHeight="1" x14ac:dyDescent="0.25">
      <c r="A1024" s="14">
        <v>45779</v>
      </c>
      <c r="B1024" s="14" t="s">
        <v>45</v>
      </c>
      <c r="C1024" s="15">
        <v>2</v>
      </c>
      <c r="D1024" s="16"/>
      <c r="E1024" s="16"/>
      <c r="F1024" s="17"/>
      <c r="G1024" s="21"/>
      <c r="H1024" s="21"/>
      <c r="I1024" s="4">
        <v>0</v>
      </c>
      <c r="J1024" s="4">
        <v>0</v>
      </c>
      <c r="K1024" s="4"/>
      <c r="L1024" s="16"/>
      <c r="M1024" s="4"/>
      <c r="N1024" s="4"/>
      <c r="O1024" s="4"/>
      <c r="P1024" s="4"/>
      <c r="Q1024" s="4"/>
      <c r="R1024" s="4"/>
      <c r="S1024" s="4">
        <v>0</v>
      </c>
      <c r="T1024" s="4">
        <v>0</v>
      </c>
      <c r="U1024" s="4">
        <v>0</v>
      </c>
      <c r="V1024" s="4">
        <v>12</v>
      </c>
      <c r="W1024" s="4">
        <v>12</v>
      </c>
      <c r="X1024" s="4">
        <v>0</v>
      </c>
      <c r="Y1024" s="4"/>
      <c r="Z1024" s="4">
        <v>99.52</v>
      </c>
      <c r="AA1024" s="4">
        <v>100</v>
      </c>
      <c r="AB1024" s="18"/>
      <c r="AC1024" s="18">
        <v>17</v>
      </c>
      <c r="AD1024" s="28"/>
      <c r="AE1024" s="26"/>
      <c r="AF1024" s="28"/>
    </row>
    <row r="1025" spans="1:32" ht="12.6" customHeight="1" x14ac:dyDescent="0.25">
      <c r="A1025" s="14">
        <v>45779</v>
      </c>
      <c r="B1025" s="14" t="s">
        <v>46</v>
      </c>
      <c r="C1025" s="15">
        <v>2</v>
      </c>
      <c r="D1025" s="16"/>
      <c r="E1025" s="16"/>
      <c r="F1025" s="17"/>
      <c r="G1025" s="21"/>
      <c r="H1025" s="21"/>
      <c r="I1025" s="4">
        <v>0</v>
      </c>
      <c r="J1025" s="4">
        <v>0</v>
      </c>
      <c r="K1025" s="4"/>
      <c r="L1025" s="16"/>
      <c r="M1025" s="4"/>
      <c r="N1025" s="4"/>
      <c r="O1025" s="4"/>
      <c r="P1025" s="4"/>
      <c r="Q1025" s="4"/>
      <c r="R1025" s="4"/>
      <c r="S1025" s="4">
        <v>0</v>
      </c>
      <c r="T1025" s="4">
        <v>0</v>
      </c>
      <c r="U1025" s="4">
        <v>0</v>
      </c>
      <c r="V1025" s="4">
        <v>12</v>
      </c>
      <c r="W1025" s="4">
        <v>12</v>
      </c>
      <c r="X1025" s="4">
        <v>0</v>
      </c>
      <c r="Y1025" s="4"/>
      <c r="Z1025" s="4">
        <v>230.51999999999998</v>
      </c>
      <c r="AA1025" s="4">
        <v>250</v>
      </c>
      <c r="AB1025" s="18"/>
      <c r="AC1025" s="18">
        <v>17</v>
      </c>
      <c r="AD1025" s="28"/>
      <c r="AE1025" s="26"/>
      <c r="AF1025" s="28"/>
    </row>
    <row r="1026" spans="1:32" ht="12.6" customHeight="1" x14ac:dyDescent="0.25">
      <c r="A1026" s="14">
        <v>45779</v>
      </c>
      <c r="B1026" s="14" t="s">
        <v>45</v>
      </c>
      <c r="C1026" s="15">
        <v>4</v>
      </c>
      <c r="D1026" s="16"/>
      <c r="E1026" s="16"/>
      <c r="F1026" s="17"/>
      <c r="G1026" s="21"/>
      <c r="H1026" s="21"/>
      <c r="I1026" s="4">
        <v>0</v>
      </c>
      <c r="J1026" s="4">
        <v>0</v>
      </c>
      <c r="K1026" s="4"/>
      <c r="L1026" s="16"/>
      <c r="M1026" s="4"/>
      <c r="N1026" s="4"/>
      <c r="O1026" s="4"/>
      <c r="P1026" s="4"/>
      <c r="Q1026" s="4"/>
      <c r="R1026" s="4"/>
      <c r="S1026" s="4">
        <v>0</v>
      </c>
      <c r="T1026" s="4">
        <v>0</v>
      </c>
      <c r="U1026" s="4">
        <v>0</v>
      </c>
      <c r="V1026" s="4">
        <v>12</v>
      </c>
      <c r="W1026" s="4">
        <v>12</v>
      </c>
      <c r="X1026" s="4">
        <v>0</v>
      </c>
      <c r="Y1026" s="4"/>
      <c r="Z1026" s="4">
        <v>632.54</v>
      </c>
      <c r="AA1026" s="4">
        <v>650</v>
      </c>
      <c r="AB1026" s="18"/>
      <c r="AC1026" s="18">
        <v>17</v>
      </c>
      <c r="AD1026" s="28"/>
      <c r="AE1026" s="26"/>
      <c r="AF1026" s="28"/>
    </row>
    <row r="1027" spans="1:32" ht="12.6" customHeight="1" x14ac:dyDescent="0.25">
      <c r="A1027" s="14">
        <v>45779</v>
      </c>
      <c r="B1027" s="14" t="s">
        <v>46</v>
      </c>
      <c r="C1027" s="15">
        <v>4</v>
      </c>
      <c r="D1027" s="16"/>
      <c r="E1027" s="16"/>
      <c r="F1027" s="17"/>
      <c r="G1027" s="21"/>
      <c r="H1027" s="21"/>
      <c r="I1027" s="4">
        <v>0</v>
      </c>
      <c r="J1027" s="4">
        <v>0</v>
      </c>
      <c r="K1027" s="4"/>
      <c r="L1027" s="16"/>
      <c r="M1027" s="4"/>
      <c r="N1027" s="4"/>
      <c r="O1027" s="4"/>
      <c r="P1027" s="4"/>
      <c r="Q1027" s="4"/>
      <c r="R1027" s="4"/>
      <c r="S1027" s="4">
        <v>0</v>
      </c>
      <c r="T1027" s="4">
        <v>0</v>
      </c>
      <c r="U1027" s="4">
        <v>0</v>
      </c>
      <c r="V1027" s="4">
        <v>12</v>
      </c>
      <c r="W1027" s="4">
        <v>12</v>
      </c>
      <c r="X1027" s="4">
        <v>0</v>
      </c>
      <c r="Y1027" s="4"/>
      <c r="Z1027" s="4">
        <v>665.88</v>
      </c>
      <c r="AA1027" s="4">
        <v>650</v>
      </c>
      <c r="AB1027" s="18"/>
      <c r="AC1027" s="18">
        <v>17</v>
      </c>
      <c r="AD1027" s="28"/>
      <c r="AE1027" s="26"/>
      <c r="AF1027" s="28"/>
    </row>
    <row r="1028" spans="1:32" ht="12.6" customHeight="1" x14ac:dyDescent="0.25">
      <c r="A1028" s="14">
        <v>45779</v>
      </c>
      <c r="B1028" s="14" t="s">
        <v>45</v>
      </c>
      <c r="C1028" s="15">
        <v>5</v>
      </c>
      <c r="D1028" s="16">
        <v>20</v>
      </c>
      <c r="E1028" s="16"/>
      <c r="F1028" s="17"/>
      <c r="G1028" s="21"/>
      <c r="H1028" s="21"/>
      <c r="I1028" s="4">
        <v>20</v>
      </c>
      <c r="J1028" s="4">
        <v>0.33333333333333331</v>
      </c>
      <c r="K1028" s="4"/>
      <c r="L1028" s="16"/>
      <c r="M1028" s="4"/>
      <c r="N1028" s="4"/>
      <c r="O1028" s="4"/>
      <c r="P1028" s="4"/>
      <c r="Q1028" s="4"/>
      <c r="R1028" s="4"/>
      <c r="S1028" s="4">
        <v>0</v>
      </c>
      <c r="T1028" s="4">
        <v>0</v>
      </c>
      <c r="U1028" s="4">
        <v>0.33333333333333331</v>
      </c>
      <c r="V1028" s="4">
        <v>11.666666666666666</v>
      </c>
      <c r="W1028" s="4">
        <v>12</v>
      </c>
      <c r="X1028" s="4">
        <v>0</v>
      </c>
      <c r="Y1028" s="4"/>
      <c r="Z1028" s="4">
        <v>381.32</v>
      </c>
      <c r="AA1028" s="4">
        <v>400</v>
      </c>
      <c r="AB1028" s="18"/>
      <c r="AC1028" s="18">
        <v>17</v>
      </c>
      <c r="AD1028" s="28"/>
      <c r="AE1028" s="26"/>
      <c r="AF1028" s="28"/>
    </row>
    <row r="1029" spans="1:32" ht="12.6" customHeight="1" x14ac:dyDescent="0.25">
      <c r="A1029" s="14">
        <v>45779</v>
      </c>
      <c r="B1029" s="14" t="s">
        <v>46</v>
      </c>
      <c r="C1029" s="15">
        <v>5</v>
      </c>
      <c r="D1029" s="16"/>
      <c r="E1029" s="16"/>
      <c r="F1029" s="17"/>
      <c r="G1029" s="21"/>
      <c r="H1029" s="21"/>
      <c r="I1029" s="4">
        <v>0</v>
      </c>
      <c r="J1029" s="4">
        <v>0</v>
      </c>
      <c r="K1029" s="4"/>
      <c r="L1029" s="16"/>
      <c r="M1029" s="4"/>
      <c r="N1029" s="4"/>
      <c r="O1029" s="4"/>
      <c r="P1029" s="4"/>
      <c r="Q1029" s="4"/>
      <c r="R1029" s="4"/>
      <c r="S1029" s="4">
        <v>0</v>
      </c>
      <c r="T1029" s="4">
        <v>0</v>
      </c>
      <c r="U1029" s="4">
        <v>0</v>
      </c>
      <c r="V1029" s="4">
        <v>12</v>
      </c>
      <c r="W1029" s="4">
        <v>12</v>
      </c>
      <c r="X1029" s="4">
        <v>0</v>
      </c>
      <c r="Y1029" s="4"/>
      <c r="Z1029" s="4">
        <v>386.56</v>
      </c>
      <c r="AA1029" s="4">
        <v>400</v>
      </c>
      <c r="AB1029" s="18"/>
      <c r="AC1029" s="18">
        <v>17</v>
      </c>
      <c r="AD1029" s="28"/>
      <c r="AE1029" s="26"/>
      <c r="AF1029" s="28"/>
    </row>
    <row r="1030" spans="1:32" ht="12.6" customHeight="1" x14ac:dyDescent="0.25">
      <c r="A1030" s="14">
        <v>45780</v>
      </c>
      <c r="B1030" s="14" t="s">
        <v>45</v>
      </c>
      <c r="C1030" s="15">
        <v>1</v>
      </c>
      <c r="D1030" s="16">
        <v>20</v>
      </c>
      <c r="E1030" s="16"/>
      <c r="F1030" s="17"/>
      <c r="G1030" s="21"/>
      <c r="H1030" s="21"/>
      <c r="I1030" s="4">
        <v>20</v>
      </c>
      <c r="J1030" s="4">
        <v>0.33333333333333331</v>
      </c>
      <c r="K1030" s="4"/>
      <c r="L1030" s="16"/>
      <c r="M1030" s="4"/>
      <c r="N1030" s="4"/>
      <c r="O1030" s="4"/>
      <c r="P1030" s="4"/>
      <c r="Q1030" s="4"/>
      <c r="R1030" s="4"/>
      <c r="S1030" s="4">
        <v>0</v>
      </c>
      <c r="T1030" s="4">
        <v>0</v>
      </c>
      <c r="U1030" s="4">
        <v>0.33333333333333331</v>
      </c>
      <c r="V1030" s="4">
        <v>11.666666666666666</v>
      </c>
      <c r="W1030" s="4">
        <v>12</v>
      </c>
      <c r="X1030" s="4">
        <v>27.5</v>
      </c>
      <c r="Y1030" s="4">
        <v>1099</v>
      </c>
      <c r="Z1030" s="4">
        <v>147.08000000000001</v>
      </c>
      <c r="AA1030" s="4">
        <v>150</v>
      </c>
      <c r="AB1030" s="18">
        <v>398</v>
      </c>
      <c r="AC1030" s="18">
        <v>17</v>
      </c>
      <c r="AD1030" s="28"/>
      <c r="AE1030" s="26"/>
      <c r="AF1030" s="28"/>
    </row>
    <row r="1031" spans="1:32" ht="12.6" customHeight="1" x14ac:dyDescent="0.25">
      <c r="A1031" s="14">
        <v>45780</v>
      </c>
      <c r="B1031" s="14" t="s">
        <v>46</v>
      </c>
      <c r="C1031" s="15">
        <v>1</v>
      </c>
      <c r="D1031" s="16"/>
      <c r="E1031" s="16"/>
      <c r="F1031" s="17"/>
      <c r="G1031" s="21"/>
      <c r="H1031" s="21"/>
      <c r="I1031" s="4">
        <v>0</v>
      </c>
      <c r="J1031" s="4">
        <v>0</v>
      </c>
      <c r="K1031" s="4"/>
      <c r="L1031" s="16"/>
      <c r="M1031" s="4"/>
      <c r="N1031" s="4"/>
      <c r="O1031" s="4"/>
      <c r="P1031" s="4"/>
      <c r="Q1031" s="4"/>
      <c r="R1031" s="4"/>
      <c r="S1031" s="4">
        <v>0</v>
      </c>
      <c r="T1031" s="4">
        <v>0</v>
      </c>
      <c r="U1031" s="4">
        <v>0</v>
      </c>
      <c r="V1031" s="4">
        <v>12</v>
      </c>
      <c r="W1031" s="4">
        <v>12</v>
      </c>
      <c r="X1031" s="4">
        <v>0</v>
      </c>
      <c r="Y1031" s="4"/>
      <c r="Z1031" s="4">
        <v>128.58999999999997</v>
      </c>
      <c r="AA1031" s="4">
        <v>150</v>
      </c>
      <c r="AB1031" s="18"/>
      <c r="AC1031" s="18">
        <v>17</v>
      </c>
      <c r="AD1031" s="28"/>
      <c r="AE1031" s="26"/>
      <c r="AF1031" s="28"/>
    </row>
    <row r="1032" spans="1:32" ht="12.6" customHeight="1" x14ac:dyDescent="0.25">
      <c r="A1032" s="14">
        <v>45780</v>
      </c>
      <c r="B1032" s="14" t="s">
        <v>45</v>
      </c>
      <c r="C1032" s="15">
        <v>2</v>
      </c>
      <c r="D1032" s="16">
        <v>40</v>
      </c>
      <c r="E1032" s="16"/>
      <c r="F1032" s="17"/>
      <c r="G1032" s="21"/>
      <c r="H1032" s="21"/>
      <c r="I1032" s="4">
        <v>40</v>
      </c>
      <c r="J1032" s="4">
        <v>0.66666666666666663</v>
      </c>
      <c r="K1032" s="4"/>
      <c r="L1032" s="16"/>
      <c r="M1032" s="4"/>
      <c r="N1032" s="4"/>
      <c r="O1032" s="4"/>
      <c r="P1032" s="4"/>
      <c r="Q1032" s="4"/>
      <c r="R1032" s="4"/>
      <c r="S1032" s="4">
        <v>0</v>
      </c>
      <c r="T1032" s="4">
        <v>0</v>
      </c>
      <c r="U1032" s="4">
        <v>0.66666666666666663</v>
      </c>
      <c r="V1032" s="4">
        <v>11.333333333333334</v>
      </c>
      <c r="W1032" s="4">
        <v>12</v>
      </c>
      <c r="X1032" s="4">
        <v>0</v>
      </c>
      <c r="Y1032" s="4"/>
      <c r="Z1032" s="4">
        <v>105.45000000000002</v>
      </c>
      <c r="AA1032" s="4">
        <v>100</v>
      </c>
      <c r="AB1032" s="18"/>
      <c r="AC1032" s="18">
        <v>17</v>
      </c>
      <c r="AD1032" s="28"/>
      <c r="AE1032" s="26"/>
      <c r="AF1032" s="28"/>
    </row>
    <row r="1033" spans="1:32" ht="12.6" customHeight="1" x14ac:dyDescent="0.25">
      <c r="A1033" s="14">
        <v>45780</v>
      </c>
      <c r="B1033" s="14" t="s">
        <v>46</v>
      </c>
      <c r="C1033" s="15">
        <v>2</v>
      </c>
      <c r="D1033" s="16"/>
      <c r="E1033" s="16"/>
      <c r="F1033" s="17"/>
      <c r="G1033" s="21"/>
      <c r="H1033" s="21"/>
      <c r="I1033" s="4">
        <v>0</v>
      </c>
      <c r="J1033" s="4">
        <v>0</v>
      </c>
      <c r="K1033" s="4"/>
      <c r="L1033" s="16"/>
      <c r="M1033" s="4"/>
      <c r="N1033" s="4"/>
      <c r="O1033" s="4"/>
      <c r="P1033" s="4"/>
      <c r="Q1033" s="4"/>
      <c r="R1033" s="4"/>
      <c r="S1033" s="4">
        <v>0</v>
      </c>
      <c r="T1033" s="4">
        <v>0</v>
      </c>
      <c r="U1033" s="4">
        <v>0</v>
      </c>
      <c r="V1033" s="4">
        <v>12</v>
      </c>
      <c r="W1033" s="4">
        <v>12</v>
      </c>
      <c r="X1033" s="4">
        <v>0</v>
      </c>
      <c r="Y1033" s="4"/>
      <c r="Z1033" s="4">
        <v>85.19</v>
      </c>
      <c r="AA1033" s="4">
        <v>100</v>
      </c>
      <c r="AB1033" s="18"/>
      <c r="AC1033" s="18">
        <v>17</v>
      </c>
      <c r="AD1033" s="28"/>
      <c r="AE1033" s="26"/>
      <c r="AF1033" s="28"/>
    </row>
    <row r="1034" spans="1:32" ht="12.6" customHeight="1" x14ac:dyDescent="0.25">
      <c r="A1034" s="14">
        <v>45780</v>
      </c>
      <c r="B1034" s="14" t="s">
        <v>45</v>
      </c>
      <c r="C1034" s="15">
        <v>4</v>
      </c>
      <c r="D1034" s="16"/>
      <c r="E1034" s="16"/>
      <c r="F1034" s="17"/>
      <c r="G1034" s="21"/>
      <c r="H1034" s="21"/>
      <c r="I1034" s="4">
        <v>0</v>
      </c>
      <c r="J1034" s="4">
        <v>0</v>
      </c>
      <c r="K1034" s="4"/>
      <c r="L1034" s="16"/>
      <c r="M1034" s="4"/>
      <c r="N1034" s="4"/>
      <c r="O1034" s="4"/>
      <c r="P1034" s="4"/>
      <c r="Q1034" s="4"/>
      <c r="R1034" s="4"/>
      <c r="S1034" s="4">
        <v>0</v>
      </c>
      <c r="T1034" s="4">
        <v>0</v>
      </c>
      <c r="U1034" s="4">
        <v>0</v>
      </c>
      <c r="V1034" s="4">
        <v>12</v>
      </c>
      <c r="W1034" s="4">
        <v>12</v>
      </c>
      <c r="X1034" s="4">
        <v>0</v>
      </c>
      <c r="Y1034" s="4"/>
      <c r="Z1034" s="4">
        <v>403.98999999999995</v>
      </c>
      <c r="AA1034" s="4">
        <v>400</v>
      </c>
      <c r="AB1034" s="18"/>
      <c r="AC1034" s="18">
        <v>17</v>
      </c>
      <c r="AD1034" s="28"/>
      <c r="AE1034" s="26"/>
      <c r="AF1034" s="28"/>
    </row>
    <row r="1035" spans="1:32" ht="12.6" customHeight="1" x14ac:dyDescent="0.25">
      <c r="A1035" s="14">
        <v>45780</v>
      </c>
      <c r="B1035" s="14" t="s">
        <v>46</v>
      </c>
      <c r="C1035" s="15">
        <v>4</v>
      </c>
      <c r="D1035" s="16"/>
      <c r="E1035" s="16"/>
      <c r="F1035" s="17"/>
      <c r="G1035" s="21"/>
      <c r="H1035" s="21"/>
      <c r="I1035" s="4">
        <v>0</v>
      </c>
      <c r="J1035" s="4">
        <v>0</v>
      </c>
      <c r="K1035" s="4"/>
      <c r="L1035" s="16"/>
      <c r="M1035" s="4"/>
      <c r="N1035" s="4"/>
      <c r="O1035" s="4"/>
      <c r="P1035" s="4"/>
      <c r="Q1035" s="4"/>
      <c r="R1035" s="4"/>
      <c r="S1035" s="4">
        <v>0</v>
      </c>
      <c r="T1035" s="4">
        <v>0</v>
      </c>
      <c r="U1035" s="4">
        <v>0</v>
      </c>
      <c r="V1035" s="4">
        <v>12</v>
      </c>
      <c r="W1035" s="4">
        <v>12</v>
      </c>
      <c r="X1035" s="4">
        <v>0</v>
      </c>
      <c r="Y1035" s="4"/>
      <c r="Z1035" s="4">
        <v>453.99</v>
      </c>
      <c r="AA1035" s="4">
        <v>450</v>
      </c>
      <c r="AB1035" s="18"/>
      <c r="AC1035" s="18">
        <v>17</v>
      </c>
      <c r="AD1035" s="28"/>
      <c r="AE1035" s="26"/>
      <c r="AF1035" s="28"/>
    </row>
    <row r="1036" spans="1:32" ht="12.6" customHeight="1" x14ac:dyDescent="0.25">
      <c r="A1036" s="14">
        <v>45780</v>
      </c>
      <c r="B1036" s="14" t="s">
        <v>45</v>
      </c>
      <c r="C1036" s="15">
        <v>5</v>
      </c>
      <c r="D1036" s="16"/>
      <c r="E1036" s="16"/>
      <c r="F1036" s="17"/>
      <c r="G1036" s="21"/>
      <c r="H1036" s="21"/>
      <c r="I1036" s="4">
        <v>0</v>
      </c>
      <c r="J1036" s="4">
        <v>0</v>
      </c>
      <c r="K1036" s="4"/>
      <c r="L1036" s="16"/>
      <c r="M1036" s="4"/>
      <c r="N1036" s="4"/>
      <c r="O1036" s="4"/>
      <c r="P1036" s="4"/>
      <c r="Q1036" s="4"/>
      <c r="R1036" s="4"/>
      <c r="S1036" s="4">
        <v>0</v>
      </c>
      <c r="T1036" s="4">
        <v>0</v>
      </c>
      <c r="U1036" s="4">
        <v>0</v>
      </c>
      <c r="V1036" s="4">
        <v>12</v>
      </c>
      <c r="W1036" s="4">
        <v>12</v>
      </c>
      <c r="X1036" s="4">
        <v>0</v>
      </c>
      <c r="Y1036" s="4"/>
      <c r="Z1036" s="4">
        <v>300.51</v>
      </c>
      <c r="AA1036" s="4">
        <v>350</v>
      </c>
      <c r="AB1036" s="18"/>
      <c r="AC1036" s="18">
        <v>17</v>
      </c>
      <c r="AD1036" s="28"/>
      <c r="AE1036" s="26"/>
      <c r="AF1036" s="28"/>
    </row>
    <row r="1037" spans="1:32" ht="12.6" customHeight="1" x14ac:dyDescent="0.25">
      <c r="A1037" s="14">
        <v>45780</v>
      </c>
      <c r="B1037" s="14" t="s">
        <v>46</v>
      </c>
      <c r="C1037" s="15">
        <v>5</v>
      </c>
      <c r="D1037" s="16"/>
      <c r="E1037" s="16"/>
      <c r="F1037" s="17"/>
      <c r="G1037" s="21"/>
      <c r="H1037" s="21"/>
      <c r="I1037" s="4">
        <v>0</v>
      </c>
      <c r="J1037" s="4">
        <v>0</v>
      </c>
      <c r="K1037" s="4"/>
      <c r="L1037" s="16"/>
      <c r="M1037" s="4"/>
      <c r="N1037" s="4"/>
      <c r="O1037" s="4"/>
      <c r="P1037" s="4"/>
      <c r="Q1037" s="4"/>
      <c r="R1037" s="4"/>
      <c r="S1037" s="4">
        <v>0</v>
      </c>
      <c r="T1037" s="4">
        <v>0</v>
      </c>
      <c r="U1037" s="4">
        <v>0</v>
      </c>
      <c r="V1037" s="4">
        <v>12</v>
      </c>
      <c r="W1037" s="4">
        <v>12</v>
      </c>
      <c r="X1037" s="4">
        <v>0</v>
      </c>
      <c r="Y1037" s="4"/>
      <c r="Z1037" s="4">
        <v>286.11</v>
      </c>
      <c r="AA1037" s="4">
        <v>300</v>
      </c>
      <c r="AB1037" s="18"/>
      <c r="AC1037" s="18">
        <v>17</v>
      </c>
      <c r="AD1037" s="28"/>
      <c r="AE1037" s="26"/>
      <c r="AF1037" s="28"/>
    </row>
    <row r="1038" spans="1:32" ht="12.6" customHeight="1" x14ac:dyDescent="0.25">
      <c r="A1038" s="14">
        <v>45782</v>
      </c>
      <c r="B1038" s="14" t="s">
        <v>45</v>
      </c>
      <c r="C1038" s="15">
        <v>1</v>
      </c>
      <c r="D1038" s="16"/>
      <c r="E1038" s="16"/>
      <c r="F1038" s="17"/>
      <c r="G1038" s="21">
        <v>180</v>
      </c>
      <c r="H1038" s="21"/>
      <c r="I1038" s="4">
        <v>180</v>
      </c>
      <c r="J1038" s="4">
        <v>3</v>
      </c>
      <c r="K1038" s="4"/>
      <c r="L1038" s="16"/>
      <c r="M1038" s="4"/>
      <c r="N1038" s="4"/>
      <c r="O1038" s="4"/>
      <c r="P1038" s="4"/>
      <c r="Q1038" s="4"/>
      <c r="R1038" s="4"/>
      <c r="S1038" s="4">
        <v>0</v>
      </c>
      <c r="T1038" s="4">
        <v>0</v>
      </c>
      <c r="U1038" s="4">
        <v>3</v>
      </c>
      <c r="V1038" s="4">
        <v>9</v>
      </c>
      <c r="W1038" s="4">
        <v>12</v>
      </c>
      <c r="X1038" s="4">
        <v>30</v>
      </c>
      <c r="Y1038" s="4">
        <v>1286</v>
      </c>
      <c r="Z1038" s="4">
        <v>101.62</v>
      </c>
      <c r="AA1038" s="4">
        <v>100</v>
      </c>
      <c r="AB1038" s="18">
        <v>398</v>
      </c>
      <c r="AC1038" s="18">
        <v>19</v>
      </c>
      <c r="AD1038" s="28"/>
      <c r="AE1038" s="26"/>
      <c r="AF1038" s="28"/>
    </row>
    <row r="1039" spans="1:32" ht="12.6" customHeight="1" x14ac:dyDescent="0.25">
      <c r="A1039" s="14">
        <v>45782</v>
      </c>
      <c r="B1039" s="14" t="s">
        <v>46</v>
      </c>
      <c r="C1039" s="15">
        <v>1</v>
      </c>
      <c r="D1039" s="16"/>
      <c r="E1039" s="16"/>
      <c r="F1039" s="17"/>
      <c r="G1039" s="21"/>
      <c r="H1039" s="21"/>
      <c r="I1039" s="4">
        <v>0</v>
      </c>
      <c r="J1039" s="4">
        <v>0</v>
      </c>
      <c r="K1039" s="4">
        <v>65</v>
      </c>
      <c r="L1039" s="16"/>
      <c r="M1039" s="4"/>
      <c r="N1039" s="4"/>
      <c r="O1039" s="4"/>
      <c r="P1039" s="4"/>
      <c r="Q1039" s="4"/>
      <c r="R1039" s="4"/>
      <c r="S1039" s="4">
        <v>65</v>
      </c>
      <c r="T1039" s="4">
        <v>1.0833333333333333</v>
      </c>
      <c r="U1039" s="4">
        <v>1.0833333333333333</v>
      </c>
      <c r="V1039" s="4">
        <v>10.916666666666666</v>
      </c>
      <c r="W1039" s="4">
        <v>12</v>
      </c>
      <c r="X1039" s="4">
        <v>52.4</v>
      </c>
      <c r="Y1039" s="4"/>
      <c r="Z1039" s="4">
        <v>137.05000000000001</v>
      </c>
      <c r="AA1039" s="4">
        <v>150</v>
      </c>
      <c r="AB1039" s="18"/>
      <c r="AC1039" s="18">
        <v>19</v>
      </c>
      <c r="AD1039" s="28"/>
      <c r="AE1039" s="26"/>
      <c r="AF1039" s="28"/>
    </row>
    <row r="1040" spans="1:32" ht="12.6" customHeight="1" x14ac:dyDescent="0.25">
      <c r="A1040" s="14">
        <v>45782</v>
      </c>
      <c r="B1040" s="14" t="s">
        <v>45</v>
      </c>
      <c r="C1040" s="15">
        <v>2</v>
      </c>
      <c r="D1040" s="16"/>
      <c r="E1040" s="16"/>
      <c r="F1040" s="17"/>
      <c r="G1040" s="21">
        <v>180</v>
      </c>
      <c r="H1040" s="21"/>
      <c r="I1040" s="4">
        <v>180</v>
      </c>
      <c r="J1040" s="4">
        <v>3</v>
      </c>
      <c r="K1040" s="4"/>
      <c r="L1040" s="16"/>
      <c r="M1040" s="4"/>
      <c r="N1040" s="4"/>
      <c r="O1040" s="4"/>
      <c r="P1040" s="4"/>
      <c r="Q1040" s="4"/>
      <c r="R1040" s="4"/>
      <c r="S1040" s="4">
        <v>0</v>
      </c>
      <c r="T1040" s="4">
        <v>0</v>
      </c>
      <c r="U1040" s="4">
        <v>3</v>
      </c>
      <c r="V1040" s="4">
        <v>9</v>
      </c>
      <c r="W1040" s="4">
        <v>12</v>
      </c>
      <c r="X1040" s="4">
        <v>0</v>
      </c>
      <c r="Y1040" s="4"/>
      <c r="Z1040" s="4">
        <v>69.050000000000011</v>
      </c>
      <c r="AA1040" s="4">
        <v>100</v>
      </c>
      <c r="AB1040" s="18"/>
      <c r="AC1040" s="18">
        <v>19</v>
      </c>
      <c r="AD1040" s="28"/>
      <c r="AE1040" s="26"/>
      <c r="AF1040" s="28"/>
    </row>
    <row r="1041" spans="1:32" ht="12.6" customHeight="1" x14ac:dyDescent="0.25">
      <c r="A1041" s="14">
        <v>45782</v>
      </c>
      <c r="B1041" s="14" t="s">
        <v>46</v>
      </c>
      <c r="C1041" s="15">
        <v>2</v>
      </c>
      <c r="D1041" s="16"/>
      <c r="E1041" s="16"/>
      <c r="F1041" s="17"/>
      <c r="G1041" s="21"/>
      <c r="H1041" s="21"/>
      <c r="I1041" s="4">
        <v>0</v>
      </c>
      <c r="J1041" s="4">
        <v>0</v>
      </c>
      <c r="K1041" s="4">
        <v>65</v>
      </c>
      <c r="L1041" s="16"/>
      <c r="M1041" s="4"/>
      <c r="N1041" s="4"/>
      <c r="O1041" s="4"/>
      <c r="P1041" s="4"/>
      <c r="Q1041" s="4"/>
      <c r="R1041" s="4"/>
      <c r="S1041" s="4">
        <v>65</v>
      </c>
      <c r="T1041" s="4">
        <v>1.0833333333333333</v>
      </c>
      <c r="U1041" s="4">
        <v>1.0833333333333333</v>
      </c>
      <c r="V1041" s="4">
        <v>10.916666666666666</v>
      </c>
      <c r="W1041" s="4">
        <v>12</v>
      </c>
      <c r="X1041" s="4">
        <v>0</v>
      </c>
      <c r="Y1041" s="4"/>
      <c r="Z1041" s="4">
        <v>100.72999999999999</v>
      </c>
      <c r="AA1041" s="4">
        <v>100</v>
      </c>
      <c r="AB1041" s="18"/>
      <c r="AC1041" s="18">
        <v>19</v>
      </c>
      <c r="AD1041" s="28"/>
      <c r="AE1041" s="26"/>
      <c r="AF1041" s="28"/>
    </row>
    <row r="1042" spans="1:32" ht="12.6" customHeight="1" x14ac:dyDescent="0.25">
      <c r="A1042" s="14">
        <v>45782</v>
      </c>
      <c r="B1042" s="14" t="s">
        <v>45</v>
      </c>
      <c r="C1042" s="15">
        <v>4</v>
      </c>
      <c r="D1042" s="16"/>
      <c r="E1042" s="16"/>
      <c r="F1042" s="17"/>
      <c r="G1042" s="21">
        <v>180</v>
      </c>
      <c r="H1042" s="21"/>
      <c r="I1042" s="4">
        <v>180</v>
      </c>
      <c r="J1042" s="4">
        <v>3</v>
      </c>
      <c r="K1042" s="4"/>
      <c r="L1042" s="16"/>
      <c r="M1042" s="4"/>
      <c r="N1042" s="4"/>
      <c r="O1042" s="4"/>
      <c r="P1042" s="4"/>
      <c r="Q1042" s="4">
        <v>10</v>
      </c>
      <c r="R1042" s="4"/>
      <c r="S1042" s="4">
        <v>10</v>
      </c>
      <c r="T1042" s="4">
        <v>0.16666666666666666</v>
      </c>
      <c r="U1042" s="4">
        <v>3.1666666666666665</v>
      </c>
      <c r="V1042" s="4">
        <v>8.8333333333333339</v>
      </c>
      <c r="W1042" s="4">
        <v>12</v>
      </c>
      <c r="X1042" s="4">
        <v>0</v>
      </c>
      <c r="Y1042" s="4"/>
      <c r="Z1042" s="4">
        <v>439.86000000000007</v>
      </c>
      <c r="AA1042" s="4">
        <v>450</v>
      </c>
      <c r="AB1042" s="18"/>
      <c r="AC1042" s="18">
        <v>19</v>
      </c>
      <c r="AD1042" s="28"/>
      <c r="AE1042" s="26"/>
      <c r="AF1042" s="28"/>
    </row>
    <row r="1043" spans="1:32" ht="12.6" customHeight="1" x14ac:dyDescent="0.25">
      <c r="A1043" s="14">
        <v>45782</v>
      </c>
      <c r="B1043" s="14" t="s">
        <v>46</v>
      </c>
      <c r="C1043" s="15">
        <v>4</v>
      </c>
      <c r="D1043" s="16">
        <v>20</v>
      </c>
      <c r="E1043" s="16"/>
      <c r="F1043" s="17"/>
      <c r="G1043" s="21"/>
      <c r="H1043" s="21"/>
      <c r="I1043" s="4">
        <v>20</v>
      </c>
      <c r="J1043" s="4">
        <v>0.33333333333333331</v>
      </c>
      <c r="K1043" s="4">
        <v>65</v>
      </c>
      <c r="L1043" s="16"/>
      <c r="M1043" s="4"/>
      <c r="N1043" s="4"/>
      <c r="O1043" s="4"/>
      <c r="P1043" s="4"/>
      <c r="Q1043" s="4"/>
      <c r="R1043" s="4"/>
      <c r="S1043" s="4">
        <v>65</v>
      </c>
      <c r="T1043" s="4">
        <v>1.0833333333333333</v>
      </c>
      <c r="U1043" s="4">
        <v>1.4166666666666665</v>
      </c>
      <c r="V1043" s="4">
        <v>10.583333333333334</v>
      </c>
      <c r="W1043" s="4">
        <v>12</v>
      </c>
      <c r="X1043" s="4">
        <v>0</v>
      </c>
      <c r="Y1043" s="4"/>
      <c r="Z1043" s="4">
        <v>565.90000000000009</v>
      </c>
      <c r="AA1043" s="4">
        <v>600</v>
      </c>
      <c r="AB1043" s="18"/>
      <c r="AC1043" s="18">
        <v>19</v>
      </c>
      <c r="AD1043" s="28"/>
      <c r="AE1043" s="26"/>
      <c r="AF1043" s="28"/>
    </row>
    <row r="1044" spans="1:32" ht="12.6" customHeight="1" x14ac:dyDescent="0.25">
      <c r="A1044" s="14">
        <v>45782</v>
      </c>
      <c r="B1044" s="14" t="s">
        <v>45</v>
      </c>
      <c r="C1044" s="15">
        <v>5</v>
      </c>
      <c r="D1044" s="16"/>
      <c r="E1044" s="16"/>
      <c r="F1044" s="17"/>
      <c r="G1044" s="21">
        <v>180</v>
      </c>
      <c r="H1044" s="21"/>
      <c r="I1044" s="4">
        <v>180</v>
      </c>
      <c r="J1044" s="4">
        <v>3</v>
      </c>
      <c r="K1044" s="4"/>
      <c r="L1044" s="16"/>
      <c r="M1044" s="4"/>
      <c r="N1044" s="4"/>
      <c r="O1044" s="4"/>
      <c r="P1044" s="4"/>
      <c r="Q1044" s="4"/>
      <c r="R1044" s="4"/>
      <c r="S1044" s="4">
        <v>0</v>
      </c>
      <c r="T1044" s="4">
        <v>0</v>
      </c>
      <c r="U1044" s="4">
        <v>3</v>
      </c>
      <c r="V1044" s="4">
        <v>9</v>
      </c>
      <c r="W1044" s="4">
        <v>12</v>
      </c>
      <c r="X1044" s="4">
        <v>0</v>
      </c>
      <c r="Y1044" s="4"/>
      <c r="Z1044" s="4">
        <v>336.7</v>
      </c>
      <c r="AA1044" s="4">
        <v>350</v>
      </c>
      <c r="AB1044" s="18"/>
      <c r="AC1044" s="18">
        <v>19</v>
      </c>
      <c r="AD1044" s="28"/>
      <c r="AE1044" s="26"/>
      <c r="AF1044" s="28"/>
    </row>
    <row r="1045" spans="1:32" ht="12.6" customHeight="1" x14ac:dyDescent="0.25">
      <c r="A1045" s="14">
        <v>45782</v>
      </c>
      <c r="B1045" s="14" t="s">
        <v>46</v>
      </c>
      <c r="C1045" s="15">
        <v>5</v>
      </c>
      <c r="D1045" s="16"/>
      <c r="E1045" s="16"/>
      <c r="F1045" s="17"/>
      <c r="G1045" s="21"/>
      <c r="H1045" s="21"/>
      <c r="I1045" s="4">
        <v>0</v>
      </c>
      <c r="J1045" s="4">
        <v>0</v>
      </c>
      <c r="K1045" s="4">
        <v>65</v>
      </c>
      <c r="L1045" s="16"/>
      <c r="M1045" s="4"/>
      <c r="N1045" s="4"/>
      <c r="O1045" s="4"/>
      <c r="P1045" s="4"/>
      <c r="Q1045" s="4"/>
      <c r="R1045" s="4"/>
      <c r="S1045" s="4">
        <v>65</v>
      </c>
      <c r="T1045" s="4">
        <v>1.0833333333333333</v>
      </c>
      <c r="U1045" s="4">
        <v>1.0833333333333333</v>
      </c>
      <c r="V1045" s="4">
        <v>10.916666666666666</v>
      </c>
      <c r="W1045" s="4">
        <v>12</v>
      </c>
      <c r="X1045" s="4">
        <v>0</v>
      </c>
      <c r="Y1045" s="4"/>
      <c r="Z1045" s="4">
        <v>375.79</v>
      </c>
      <c r="AA1045" s="4">
        <v>450</v>
      </c>
      <c r="AB1045" s="18"/>
      <c r="AC1045" s="18">
        <v>19</v>
      </c>
      <c r="AD1045" s="28"/>
      <c r="AE1045" s="26"/>
      <c r="AF1045" s="28"/>
    </row>
    <row r="1046" spans="1:32" ht="12.6" customHeight="1" x14ac:dyDescent="0.25">
      <c r="A1046" s="14">
        <v>45783</v>
      </c>
      <c r="B1046" s="14" t="s">
        <v>45</v>
      </c>
      <c r="C1046" s="15">
        <v>1</v>
      </c>
      <c r="D1046" s="16"/>
      <c r="E1046" s="16"/>
      <c r="F1046" s="17"/>
      <c r="G1046" s="21"/>
      <c r="H1046" s="21"/>
      <c r="I1046" s="4">
        <v>0</v>
      </c>
      <c r="J1046" s="4">
        <v>0</v>
      </c>
      <c r="K1046" s="4"/>
      <c r="L1046" s="16"/>
      <c r="M1046" s="4"/>
      <c r="N1046" s="4"/>
      <c r="O1046" s="4"/>
      <c r="P1046" s="4"/>
      <c r="Q1046" s="4"/>
      <c r="R1046" s="4"/>
      <c r="S1046" s="4">
        <v>0</v>
      </c>
      <c r="T1046" s="4">
        <v>0</v>
      </c>
      <c r="U1046" s="4">
        <v>0</v>
      </c>
      <c r="V1046" s="4">
        <v>12</v>
      </c>
      <c r="W1046" s="4">
        <v>12</v>
      </c>
      <c r="X1046" s="4">
        <v>27</v>
      </c>
      <c r="Y1046" s="4">
        <v>1318</v>
      </c>
      <c r="Z1046" s="4">
        <v>124.91</v>
      </c>
      <c r="AA1046" s="4">
        <v>100</v>
      </c>
      <c r="AB1046" s="18">
        <v>398</v>
      </c>
      <c r="AC1046" s="18">
        <v>19</v>
      </c>
      <c r="AD1046" s="28"/>
      <c r="AE1046" s="26"/>
      <c r="AF1046" s="28"/>
    </row>
    <row r="1047" spans="1:32" ht="12.6" customHeight="1" x14ac:dyDescent="0.25">
      <c r="A1047" s="14">
        <v>45783</v>
      </c>
      <c r="B1047" s="14" t="s">
        <v>46</v>
      </c>
      <c r="C1047" s="15">
        <v>1</v>
      </c>
      <c r="D1047" s="16"/>
      <c r="E1047" s="16"/>
      <c r="F1047" s="17"/>
      <c r="G1047" s="21"/>
      <c r="H1047" s="21"/>
      <c r="I1047" s="4">
        <v>0</v>
      </c>
      <c r="J1047" s="4">
        <v>0</v>
      </c>
      <c r="K1047" s="4"/>
      <c r="L1047" s="16"/>
      <c r="M1047" s="4"/>
      <c r="N1047" s="4"/>
      <c r="O1047" s="4"/>
      <c r="P1047" s="4"/>
      <c r="Q1047" s="4"/>
      <c r="R1047" s="4"/>
      <c r="S1047" s="4">
        <v>0</v>
      </c>
      <c r="T1047" s="4">
        <v>0</v>
      </c>
      <c r="U1047" s="4">
        <v>0</v>
      </c>
      <c r="V1047" s="4">
        <v>12</v>
      </c>
      <c r="W1047" s="4">
        <v>12</v>
      </c>
      <c r="X1047" s="4">
        <v>23</v>
      </c>
      <c r="Y1047" s="4"/>
      <c r="Z1047" s="4">
        <v>144.14000000000001</v>
      </c>
      <c r="AA1047" s="4">
        <v>150</v>
      </c>
      <c r="AB1047" s="18"/>
      <c r="AC1047" s="18">
        <v>19</v>
      </c>
      <c r="AD1047" s="28"/>
      <c r="AE1047" s="26"/>
      <c r="AF1047" s="28"/>
    </row>
    <row r="1048" spans="1:32" ht="12.6" customHeight="1" x14ac:dyDescent="0.25">
      <c r="A1048" s="14">
        <v>45783</v>
      </c>
      <c r="B1048" s="14" t="s">
        <v>45</v>
      </c>
      <c r="C1048" s="15">
        <v>2</v>
      </c>
      <c r="D1048" s="16"/>
      <c r="E1048" s="16"/>
      <c r="F1048" s="17"/>
      <c r="G1048" s="21"/>
      <c r="H1048" s="21"/>
      <c r="I1048" s="4">
        <v>0</v>
      </c>
      <c r="J1048" s="4">
        <v>0</v>
      </c>
      <c r="K1048" s="4"/>
      <c r="L1048" s="16"/>
      <c r="M1048" s="4"/>
      <c r="N1048" s="4"/>
      <c r="O1048" s="4"/>
      <c r="P1048" s="4"/>
      <c r="Q1048" s="4"/>
      <c r="R1048" s="4"/>
      <c r="S1048" s="4">
        <v>0</v>
      </c>
      <c r="T1048" s="4">
        <v>0</v>
      </c>
      <c r="U1048" s="4">
        <v>0</v>
      </c>
      <c r="V1048" s="4">
        <v>12</v>
      </c>
      <c r="W1048" s="4">
        <v>12</v>
      </c>
      <c r="X1048" s="4">
        <v>0</v>
      </c>
      <c r="Y1048" s="4"/>
      <c r="Z1048" s="4">
        <v>99.15</v>
      </c>
      <c r="AA1048" s="4">
        <v>100</v>
      </c>
      <c r="AB1048" s="18"/>
      <c r="AC1048" s="18">
        <v>19</v>
      </c>
      <c r="AD1048" s="28"/>
      <c r="AE1048" s="26"/>
      <c r="AF1048" s="28"/>
    </row>
    <row r="1049" spans="1:32" ht="12.6" customHeight="1" x14ac:dyDescent="0.25">
      <c r="A1049" s="14">
        <v>45783</v>
      </c>
      <c r="B1049" s="14" t="s">
        <v>46</v>
      </c>
      <c r="C1049" s="15">
        <v>2</v>
      </c>
      <c r="D1049" s="16"/>
      <c r="E1049" s="16"/>
      <c r="F1049" s="17"/>
      <c r="G1049" s="21"/>
      <c r="H1049" s="21"/>
      <c r="I1049" s="4">
        <v>0</v>
      </c>
      <c r="J1049" s="4">
        <v>0</v>
      </c>
      <c r="K1049" s="4"/>
      <c r="L1049" s="16"/>
      <c r="M1049" s="4"/>
      <c r="N1049" s="4"/>
      <c r="O1049" s="4"/>
      <c r="P1049" s="4"/>
      <c r="Q1049" s="4"/>
      <c r="R1049" s="4"/>
      <c r="S1049" s="4">
        <v>0</v>
      </c>
      <c r="T1049" s="4">
        <v>0</v>
      </c>
      <c r="U1049" s="4">
        <v>0</v>
      </c>
      <c r="V1049" s="4">
        <v>12</v>
      </c>
      <c r="W1049" s="4">
        <v>12</v>
      </c>
      <c r="X1049" s="4">
        <v>0</v>
      </c>
      <c r="Y1049" s="4"/>
      <c r="Z1049" s="4">
        <v>108.44</v>
      </c>
      <c r="AA1049" s="4">
        <v>100</v>
      </c>
      <c r="AB1049" s="18"/>
      <c r="AC1049" s="18">
        <v>19</v>
      </c>
      <c r="AD1049" s="28"/>
      <c r="AE1049" s="26"/>
      <c r="AF1049" s="28"/>
    </row>
    <row r="1050" spans="1:32" ht="12.6" customHeight="1" x14ac:dyDescent="0.25">
      <c r="A1050" s="14">
        <v>45783</v>
      </c>
      <c r="B1050" s="14" t="s">
        <v>45</v>
      </c>
      <c r="C1050" s="15">
        <v>4</v>
      </c>
      <c r="D1050" s="16">
        <v>45</v>
      </c>
      <c r="E1050" s="16"/>
      <c r="F1050" s="17"/>
      <c r="G1050" s="21"/>
      <c r="H1050" s="21"/>
      <c r="I1050" s="4">
        <v>45</v>
      </c>
      <c r="J1050" s="4">
        <v>0.75</v>
      </c>
      <c r="K1050" s="4"/>
      <c r="L1050" s="16"/>
      <c r="M1050" s="4"/>
      <c r="N1050" s="4"/>
      <c r="O1050" s="4"/>
      <c r="P1050" s="4">
        <v>120</v>
      </c>
      <c r="Q1050" s="4"/>
      <c r="R1050" s="4"/>
      <c r="S1050" s="4">
        <v>120</v>
      </c>
      <c r="T1050" s="4">
        <v>2</v>
      </c>
      <c r="U1050" s="4">
        <v>2.75</v>
      </c>
      <c r="V1050" s="4">
        <v>9.25</v>
      </c>
      <c r="W1050" s="4">
        <v>12</v>
      </c>
      <c r="X1050" s="4">
        <v>0</v>
      </c>
      <c r="Y1050" s="4"/>
      <c r="Z1050" s="4">
        <v>673.78</v>
      </c>
      <c r="AA1050" s="4">
        <v>700</v>
      </c>
      <c r="AB1050" s="18"/>
      <c r="AC1050" s="18">
        <v>19</v>
      </c>
      <c r="AD1050" s="28"/>
      <c r="AE1050" s="26"/>
      <c r="AF1050" s="28"/>
    </row>
    <row r="1051" spans="1:32" ht="12.6" customHeight="1" x14ac:dyDescent="0.25">
      <c r="A1051" s="14">
        <v>45783</v>
      </c>
      <c r="B1051" s="14" t="s">
        <v>46</v>
      </c>
      <c r="C1051" s="15">
        <v>4</v>
      </c>
      <c r="D1051" s="16"/>
      <c r="E1051" s="16"/>
      <c r="F1051" s="17"/>
      <c r="G1051" s="21"/>
      <c r="H1051" s="21"/>
      <c r="I1051" s="4">
        <v>0</v>
      </c>
      <c r="J1051" s="4">
        <v>0</v>
      </c>
      <c r="K1051" s="4"/>
      <c r="L1051" s="16"/>
      <c r="M1051" s="4"/>
      <c r="N1051" s="4"/>
      <c r="O1051" s="4"/>
      <c r="P1051" s="4"/>
      <c r="Q1051" s="4"/>
      <c r="R1051" s="4"/>
      <c r="S1051" s="4">
        <v>0</v>
      </c>
      <c r="T1051" s="4">
        <v>0</v>
      </c>
      <c r="U1051" s="4">
        <v>0</v>
      </c>
      <c r="V1051" s="4">
        <v>12</v>
      </c>
      <c r="W1051" s="4">
        <v>12</v>
      </c>
      <c r="X1051" s="4">
        <v>0</v>
      </c>
      <c r="Y1051" s="4"/>
      <c r="Z1051" s="4">
        <v>633.27</v>
      </c>
      <c r="AA1051" s="4">
        <v>650</v>
      </c>
      <c r="AB1051" s="18"/>
      <c r="AC1051" s="18">
        <v>19</v>
      </c>
      <c r="AD1051" s="28"/>
      <c r="AE1051" s="26"/>
      <c r="AF1051" s="28"/>
    </row>
    <row r="1052" spans="1:32" ht="12.6" customHeight="1" x14ac:dyDescent="0.25">
      <c r="A1052" s="14">
        <v>45783</v>
      </c>
      <c r="B1052" s="14" t="s">
        <v>45</v>
      </c>
      <c r="C1052" s="15">
        <v>5</v>
      </c>
      <c r="D1052" s="16">
        <v>20</v>
      </c>
      <c r="E1052" s="16"/>
      <c r="F1052" s="17"/>
      <c r="G1052" s="21"/>
      <c r="H1052" s="21"/>
      <c r="I1052" s="4">
        <v>20</v>
      </c>
      <c r="J1052" s="4">
        <v>0.33333333333333331</v>
      </c>
      <c r="K1052" s="4"/>
      <c r="L1052" s="16"/>
      <c r="M1052" s="4"/>
      <c r="N1052" s="4"/>
      <c r="O1052" s="4"/>
      <c r="P1052" s="4"/>
      <c r="Q1052" s="4"/>
      <c r="R1052" s="4"/>
      <c r="S1052" s="4">
        <v>0</v>
      </c>
      <c r="T1052" s="4">
        <v>0</v>
      </c>
      <c r="U1052" s="4">
        <v>0.33333333333333331</v>
      </c>
      <c r="V1052" s="4">
        <v>11.666666666666666</v>
      </c>
      <c r="W1052" s="4">
        <v>12</v>
      </c>
      <c r="X1052" s="4">
        <v>0</v>
      </c>
      <c r="Y1052" s="4"/>
      <c r="Z1052" s="4">
        <v>439.85</v>
      </c>
      <c r="AA1052" s="4">
        <v>450</v>
      </c>
      <c r="AB1052" s="18"/>
      <c r="AC1052" s="18">
        <v>19</v>
      </c>
      <c r="AD1052" s="28"/>
      <c r="AE1052" s="26"/>
      <c r="AF1052" s="28"/>
    </row>
    <row r="1053" spans="1:32" ht="12.6" customHeight="1" x14ac:dyDescent="0.25">
      <c r="A1053" s="14">
        <v>45783</v>
      </c>
      <c r="B1053" s="14" t="s">
        <v>46</v>
      </c>
      <c r="C1053" s="15">
        <v>5</v>
      </c>
      <c r="D1053" s="16"/>
      <c r="E1053" s="16"/>
      <c r="F1053" s="17"/>
      <c r="G1053" s="21"/>
      <c r="H1053" s="21"/>
      <c r="I1053" s="4">
        <v>0</v>
      </c>
      <c r="J1053" s="4">
        <v>0</v>
      </c>
      <c r="K1053" s="4"/>
      <c r="L1053" s="16"/>
      <c r="M1053" s="4"/>
      <c r="N1053" s="4"/>
      <c r="O1053" s="4"/>
      <c r="P1053" s="4"/>
      <c r="Q1053" s="4"/>
      <c r="R1053" s="4"/>
      <c r="S1053" s="4">
        <v>0</v>
      </c>
      <c r="T1053" s="4">
        <v>0</v>
      </c>
      <c r="U1053" s="4">
        <v>0</v>
      </c>
      <c r="V1053" s="4">
        <v>12</v>
      </c>
      <c r="W1053" s="4">
        <v>12</v>
      </c>
      <c r="X1053" s="4">
        <v>0</v>
      </c>
      <c r="Y1053" s="4"/>
      <c r="Z1053" s="4">
        <v>416.62</v>
      </c>
      <c r="AA1053" s="4">
        <v>400</v>
      </c>
      <c r="AB1053" s="18"/>
      <c r="AC1053" s="18">
        <v>19</v>
      </c>
      <c r="AD1053" s="28"/>
      <c r="AE1053" s="26"/>
      <c r="AF1053" s="28"/>
    </row>
    <row r="1054" spans="1:32" ht="12.6" customHeight="1" x14ac:dyDescent="0.25">
      <c r="A1054" s="14">
        <v>45784</v>
      </c>
      <c r="B1054" s="14" t="s">
        <v>45</v>
      </c>
      <c r="C1054" s="15">
        <v>1</v>
      </c>
      <c r="D1054" s="16"/>
      <c r="E1054" s="16"/>
      <c r="F1054" s="17"/>
      <c r="G1054" s="21"/>
      <c r="H1054" s="21"/>
      <c r="I1054" s="4">
        <v>0</v>
      </c>
      <c r="J1054" s="4">
        <v>0</v>
      </c>
      <c r="K1054" s="4"/>
      <c r="L1054" s="16"/>
      <c r="M1054" s="4"/>
      <c r="N1054" s="4"/>
      <c r="O1054" s="4"/>
      <c r="P1054" s="4"/>
      <c r="Q1054" s="4"/>
      <c r="R1054" s="4"/>
      <c r="S1054" s="4">
        <v>0</v>
      </c>
      <c r="T1054" s="4">
        <v>0</v>
      </c>
      <c r="U1054" s="4">
        <v>0</v>
      </c>
      <c r="V1054" s="4">
        <v>12</v>
      </c>
      <c r="W1054" s="4">
        <v>12</v>
      </c>
      <c r="X1054" s="4">
        <v>13</v>
      </c>
      <c r="Y1054" s="4">
        <v>1451</v>
      </c>
      <c r="Z1054" s="4">
        <v>163.87999999999997</v>
      </c>
      <c r="AA1054" s="4">
        <v>200</v>
      </c>
      <c r="AB1054" s="18">
        <v>398</v>
      </c>
      <c r="AC1054" s="18">
        <v>19</v>
      </c>
      <c r="AD1054" s="28"/>
      <c r="AE1054" s="26"/>
      <c r="AF1054" s="28"/>
    </row>
    <row r="1055" spans="1:32" ht="12.6" customHeight="1" x14ac:dyDescent="0.25">
      <c r="A1055" s="14">
        <v>45784</v>
      </c>
      <c r="B1055" s="14" t="s">
        <v>46</v>
      </c>
      <c r="C1055" s="15">
        <v>1</v>
      </c>
      <c r="D1055" s="16"/>
      <c r="E1055" s="16"/>
      <c r="F1055" s="17"/>
      <c r="G1055" s="21"/>
      <c r="H1055" s="21"/>
      <c r="I1055" s="4">
        <v>0</v>
      </c>
      <c r="J1055" s="4">
        <v>0</v>
      </c>
      <c r="K1055" s="4"/>
      <c r="L1055" s="16"/>
      <c r="M1055" s="4"/>
      <c r="N1055" s="4"/>
      <c r="O1055" s="4"/>
      <c r="P1055" s="4"/>
      <c r="Q1055" s="4"/>
      <c r="R1055" s="4"/>
      <c r="S1055" s="4">
        <v>0</v>
      </c>
      <c r="T1055" s="4">
        <v>0</v>
      </c>
      <c r="U1055" s="4">
        <v>0</v>
      </c>
      <c r="V1055" s="4">
        <v>12</v>
      </c>
      <c r="W1055" s="4">
        <v>12</v>
      </c>
      <c r="X1055" s="4">
        <v>13</v>
      </c>
      <c r="Y1055" s="4"/>
      <c r="Z1055" s="4">
        <v>174.42000000000002</v>
      </c>
      <c r="AA1055" s="4">
        <v>200</v>
      </c>
      <c r="AB1055" s="18"/>
      <c r="AC1055" s="18">
        <v>19</v>
      </c>
      <c r="AD1055" s="28"/>
      <c r="AE1055" s="26"/>
      <c r="AF1055" s="28"/>
    </row>
    <row r="1056" spans="1:32" ht="12.6" customHeight="1" x14ac:dyDescent="0.25">
      <c r="A1056" s="14">
        <v>45784</v>
      </c>
      <c r="B1056" s="14" t="s">
        <v>45</v>
      </c>
      <c r="C1056" s="15">
        <v>2</v>
      </c>
      <c r="D1056" s="16"/>
      <c r="E1056" s="16"/>
      <c r="F1056" s="17"/>
      <c r="G1056" s="21"/>
      <c r="H1056" s="21"/>
      <c r="I1056" s="4">
        <v>0</v>
      </c>
      <c r="J1056" s="4">
        <v>0</v>
      </c>
      <c r="K1056" s="4"/>
      <c r="L1056" s="16"/>
      <c r="M1056" s="4"/>
      <c r="N1056" s="4"/>
      <c r="O1056" s="4"/>
      <c r="P1056" s="4"/>
      <c r="Q1056" s="4"/>
      <c r="R1056" s="4"/>
      <c r="S1056" s="4">
        <v>0</v>
      </c>
      <c r="T1056" s="4">
        <v>0</v>
      </c>
      <c r="U1056" s="4">
        <v>0</v>
      </c>
      <c r="V1056" s="4">
        <v>12</v>
      </c>
      <c r="W1056" s="4">
        <v>12</v>
      </c>
      <c r="X1056" s="4">
        <v>0</v>
      </c>
      <c r="Y1056" s="4"/>
      <c r="Z1056" s="4">
        <v>112.79</v>
      </c>
      <c r="AA1056" s="4">
        <v>100</v>
      </c>
      <c r="AB1056" s="18"/>
      <c r="AC1056" s="18">
        <v>19</v>
      </c>
      <c r="AD1056" s="28"/>
      <c r="AE1056" s="26"/>
      <c r="AF1056" s="28"/>
    </row>
    <row r="1057" spans="1:32" ht="12.6" customHeight="1" x14ac:dyDescent="0.25">
      <c r="A1057" s="14">
        <v>45784</v>
      </c>
      <c r="B1057" s="14" t="s">
        <v>46</v>
      </c>
      <c r="C1057" s="15">
        <v>2</v>
      </c>
      <c r="D1057" s="16"/>
      <c r="E1057" s="16"/>
      <c r="F1057" s="17"/>
      <c r="G1057" s="21"/>
      <c r="H1057" s="21"/>
      <c r="I1057" s="4">
        <v>0</v>
      </c>
      <c r="J1057" s="4">
        <v>0</v>
      </c>
      <c r="K1057" s="4"/>
      <c r="L1057" s="16"/>
      <c r="M1057" s="4"/>
      <c r="N1057" s="4"/>
      <c r="O1057" s="4"/>
      <c r="P1057" s="4"/>
      <c r="Q1057" s="4"/>
      <c r="R1057" s="4"/>
      <c r="S1057" s="4">
        <v>0</v>
      </c>
      <c r="T1057" s="4">
        <v>0</v>
      </c>
      <c r="U1057" s="4">
        <v>0</v>
      </c>
      <c r="V1057" s="4">
        <v>12</v>
      </c>
      <c r="W1057" s="4">
        <v>12</v>
      </c>
      <c r="X1057" s="4">
        <v>0</v>
      </c>
      <c r="Y1057" s="4"/>
      <c r="Z1057" s="4">
        <v>131.85999999999999</v>
      </c>
      <c r="AA1057" s="4">
        <v>150</v>
      </c>
      <c r="AB1057" s="18"/>
      <c r="AC1057" s="18">
        <v>19</v>
      </c>
      <c r="AD1057" s="28"/>
      <c r="AE1057" s="26"/>
      <c r="AF1057" s="28"/>
    </row>
    <row r="1058" spans="1:32" ht="12.6" customHeight="1" x14ac:dyDescent="0.25">
      <c r="A1058" s="14">
        <v>45784</v>
      </c>
      <c r="B1058" s="14" t="s">
        <v>45</v>
      </c>
      <c r="C1058" s="15">
        <v>4</v>
      </c>
      <c r="D1058" s="16"/>
      <c r="E1058" s="16"/>
      <c r="F1058" s="17"/>
      <c r="G1058" s="21"/>
      <c r="H1058" s="21"/>
      <c r="I1058" s="4">
        <v>0</v>
      </c>
      <c r="J1058" s="4">
        <v>0</v>
      </c>
      <c r="K1058" s="4"/>
      <c r="L1058" s="16"/>
      <c r="M1058" s="4"/>
      <c r="N1058" s="4"/>
      <c r="O1058" s="4"/>
      <c r="P1058" s="4"/>
      <c r="Q1058" s="4"/>
      <c r="R1058" s="4"/>
      <c r="S1058" s="4">
        <v>0</v>
      </c>
      <c r="T1058" s="4">
        <v>0</v>
      </c>
      <c r="U1058" s="4">
        <v>0</v>
      </c>
      <c r="V1058" s="4">
        <v>12</v>
      </c>
      <c r="W1058" s="4">
        <v>12</v>
      </c>
      <c r="X1058" s="4">
        <v>0</v>
      </c>
      <c r="Y1058" s="4"/>
      <c r="Z1058" s="4">
        <v>635.16</v>
      </c>
      <c r="AA1058" s="4">
        <v>350</v>
      </c>
      <c r="AB1058" s="18"/>
      <c r="AC1058" s="18">
        <v>19</v>
      </c>
      <c r="AD1058" s="28"/>
      <c r="AE1058" s="26"/>
      <c r="AF1058" s="28"/>
    </row>
    <row r="1059" spans="1:32" ht="12.6" customHeight="1" x14ac:dyDescent="0.25">
      <c r="A1059" s="14">
        <v>45784</v>
      </c>
      <c r="B1059" s="14" t="s">
        <v>46</v>
      </c>
      <c r="C1059" s="15">
        <v>4</v>
      </c>
      <c r="D1059" s="16"/>
      <c r="E1059" s="16"/>
      <c r="F1059" s="17"/>
      <c r="G1059" s="21"/>
      <c r="H1059" s="21"/>
      <c r="I1059" s="4">
        <v>0</v>
      </c>
      <c r="J1059" s="4">
        <v>0</v>
      </c>
      <c r="K1059" s="4"/>
      <c r="L1059" s="16"/>
      <c r="M1059" s="4"/>
      <c r="N1059" s="4"/>
      <c r="O1059" s="4"/>
      <c r="P1059" s="4"/>
      <c r="Q1059" s="4"/>
      <c r="R1059" s="4"/>
      <c r="S1059" s="4">
        <v>0</v>
      </c>
      <c r="T1059" s="4">
        <v>0</v>
      </c>
      <c r="U1059" s="4">
        <v>0</v>
      </c>
      <c r="V1059" s="4">
        <v>12</v>
      </c>
      <c r="W1059" s="4">
        <v>12</v>
      </c>
      <c r="X1059" s="4">
        <v>0</v>
      </c>
      <c r="Y1059" s="4"/>
      <c r="Z1059" s="4">
        <v>581.74</v>
      </c>
      <c r="AA1059" s="4">
        <v>600</v>
      </c>
      <c r="AB1059" s="18"/>
      <c r="AC1059" s="18">
        <v>19</v>
      </c>
      <c r="AD1059" s="28"/>
      <c r="AE1059" s="26"/>
      <c r="AF1059" s="28"/>
    </row>
    <row r="1060" spans="1:32" ht="12.6" customHeight="1" x14ac:dyDescent="0.25">
      <c r="A1060" s="14">
        <v>45784</v>
      </c>
      <c r="B1060" s="14" t="s">
        <v>45</v>
      </c>
      <c r="C1060" s="15">
        <v>5</v>
      </c>
      <c r="D1060" s="16"/>
      <c r="E1060" s="16"/>
      <c r="F1060" s="17"/>
      <c r="G1060" s="21"/>
      <c r="H1060" s="21"/>
      <c r="I1060" s="4">
        <v>0</v>
      </c>
      <c r="J1060" s="4">
        <v>0</v>
      </c>
      <c r="K1060" s="4"/>
      <c r="L1060" s="16"/>
      <c r="M1060" s="4"/>
      <c r="N1060" s="4"/>
      <c r="O1060" s="4"/>
      <c r="P1060" s="4"/>
      <c r="Q1060" s="4"/>
      <c r="R1060" s="4"/>
      <c r="S1060" s="4">
        <v>0</v>
      </c>
      <c r="T1060" s="4">
        <v>0</v>
      </c>
      <c r="U1060" s="4">
        <v>0</v>
      </c>
      <c r="V1060" s="4">
        <v>12</v>
      </c>
      <c r="W1060" s="4">
        <v>12</v>
      </c>
      <c r="X1060" s="4">
        <v>0</v>
      </c>
      <c r="Y1060" s="4"/>
      <c r="Z1060" s="4">
        <v>468.06</v>
      </c>
      <c r="AA1060" s="4">
        <v>500</v>
      </c>
      <c r="AB1060" s="18"/>
      <c r="AC1060" s="18">
        <v>19</v>
      </c>
      <c r="AD1060" s="28"/>
      <c r="AE1060" s="26"/>
      <c r="AF1060" s="28"/>
    </row>
    <row r="1061" spans="1:32" ht="12.6" customHeight="1" x14ac:dyDescent="0.25">
      <c r="A1061" s="14">
        <v>45784</v>
      </c>
      <c r="B1061" s="14" t="s">
        <v>46</v>
      </c>
      <c r="C1061" s="15">
        <v>5</v>
      </c>
      <c r="D1061" s="16"/>
      <c r="E1061" s="16"/>
      <c r="F1061" s="17"/>
      <c r="G1061" s="21"/>
      <c r="H1061" s="21"/>
      <c r="I1061" s="4">
        <v>0</v>
      </c>
      <c r="J1061" s="4">
        <v>0</v>
      </c>
      <c r="K1061" s="4"/>
      <c r="L1061" s="16"/>
      <c r="M1061" s="4"/>
      <c r="N1061" s="4"/>
      <c r="O1061" s="4"/>
      <c r="P1061" s="4"/>
      <c r="Q1061" s="4"/>
      <c r="R1061" s="4"/>
      <c r="S1061" s="4">
        <v>0</v>
      </c>
      <c r="T1061" s="4">
        <v>0</v>
      </c>
      <c r="U1061" s="4">
        <v>0</v>
      </c>
      <c r="V1061" s="4">
        <v>12</v>
      </c>
      <c r="W1061" s="4">
        <v>12</v>
      </c>
      <c r="X1061" s="4">
        <v>0</v>
      </c>
      <c r="Y1061" s="4"/>
      <c r="Z1061" s="4">
        <v>491.89</v>
      </c>
      <c r="AA1061" s="4">
        <v>500</v>
      </c>
      <c r="AB1061" s="18"/>
      <c r="AC1061" s="18">
        <v>19</v>
      </c>
      <c r="AD1061" s="28"/>
      <c r="AE1061" s="26"/>
      <c r="AF1061" s="28"/>
    </row>
    <row r="1062" spans="1:32" ht="12.6" customHeight="1" x14ac:dyDescent="0.25">
      <c r="A1062" s="14">
        <v>45785</v>
      </c>
      <c r="B1062" s="14" t="s">
        <v>45</v>
      </c>
      <c r="C1062" s="15">
        <v>1</v>
      </c>
      <c r="D1062" s="16"/>
      <c r="E1062" s="16"/>
      <c r="F1062" s="17"/>
      <c r="G1062" s="21"/>
      <c r="H1062" s="21"/>
      <c r="I1062" s="4">
        <v>0</v>
      </c>
      <c r="J1062" s="4">
        <v>0</v>
      </c>
      <c r="K1062" s="4"/>
      <c r="L1062" s="16"/>
      <c r="M1062" s="4"/>
      <c r="N1062" s="4"/>
      <c r="O1062" s="4"/>
      <c r="P1062" s="4"/>
      <c r="Q1062" s="4"/>
      <c r="R1062" s="4"/>
      <c r="S1062" s="4">
        <v>0</v>
      </c>
      <c r="T1062" s="4">
        <v>0</v>
      </c>
      <c r="U1062" s="4">
        <v>0</v>
      </c>
      <c r="V1062" s="4">
        <v>12</v>
      </c>
      <c r="W1062" s="4">
        <v>12</v>
      </c>
      <c r="X1062" s="4">
        <v>31</v>
      </c>
      <c r="Y1062" s="4">
        <v>1473</v>
      </c>
      <c r="Z1062" s="4">
        <v>193.46</v>
      </c>
      <c r="AA1062" s="4">
        <v>200</v>
      </c>
      <c r="AB1062" s="18">
        <v>398</v>
      </c>
      <c r="AC1062" s="18">
        <v>19</v>
      </c>
      <c r="AD1062" s="28"/>
      <c r="AE1062" s="26"/>
      <c r="AF1062" s="28"/>
    </row>
    <row r="1063" spans="1:32" ht="12.6" customHeight="1" x14ac:dyDescent="0.25">
      <c r="A1063" s="14">
        <v>45785</v>
      </c>
      <c r="B1063" s="14" t="s">
        <v>46</v>
      </c>
      <c r="C1063" s="15">
        <v>1</v>
      </c>
      <c r="D1063" s="16"/>
      <c r="E1063" s="16"/>
      <c r="F1063" s="17"/>
      <c r="G1063" s="21"/>
      <c r="H1063" s="21"/>
      <c r="I1063" s="4">
        <v>0</v>
      </c>
      <c r="J1063" s="4">
        <v>0</v>
      </c>
      <c r="K1063" s="4"/>
      <c r="L1063" s="16"/>
      <c r="M1063" s="4"/>
      <c r="N1063" s="4"/>
      <c r="O1063" s="4"/>
      <c r="P1063" s="4"/>
      <c r="Q1063" s="4"/>
      <c r="R1063" s="4"/>
      <c r="S1063" s="4">
        <v>0</v>
      </c>
      <c r="T1063" s="4">
        <v>0</v>
      </c>
      <c r="U1063" s="4">
        <v>0</v>
      </c>
      <c r="V1063" s="4">
        <v>12</v>
      </c>
      <c r="W1063" s="4">
        <v>12</v>
      </c>
      <c r="X1063" s="4">
        <v>50</v>
      </c>
      <c r="Y1063" s="4"/>
      <c r="Z1063" s="4">
        <v>180.05</v>
      </c>
      <c r="AA1063" s="4">
        <v>200</v>
      </c>
      <c r="AB1063" s="18"/>
      <c r="AC1063" s="18">
        <v>19</v>
      </c>
      <c r="AD1063" s="28"/>
      <c r="AE1063" s="26"/>
      <c r="AF1063" s="28"/>
    </row>
    <row r="1064" spans="1:32" ht="12.6" customHeight="1" x14ac:dyDescent="0.25">
      <c r="A1064" s="14">
        <v>45785</v>
      </c>
      <c r="B1064" s="14" t="s">
        <v>45</v>
      </c>
      <c r="C1064" s="15">
        <v>2</v>
      </c>
      <c r="D1064" s="16"/>
      <c r="E1064" s="16"/>
      <c r="F1064" s="17"/>
      <c r="G1064" s="21"/>
      <c r="H1064" s="21"/>
      <c r="I1064" s="4">
        <v>0</v>
      </c>
      <c r="J1064" s="4">
        <v>0</v>
      </c>
      <c r="K1064" s="4"/>
      <c r="L1064" s="16"/>
      <c r="M1064" s="4"/>
      <c r="N1064" s="4"/>
      <c r="O1064" s="4"/>
      <c r="P1064" s="4"/>
      <c r="Q1064" s="4"/>
      <c r="R1064" s="4"/>
      <c r="S1064" s="4">
        <v>0</v>
      </c>
      <c r="T1064" s="4">
        <v>0</v>
      </c>
      <c r="U1064" s="4">
        <v>0</v>
      </c>
      <c r="V1064" s="4">
        <v>12</v>
      </c>
      <c r="W1064" s="4">
        <v>12</v>
      </c>
      <c r="X1064" s="4">
        <v>0</v>
      </c>
      <c r="Y1064" s="4"/>
      <c r="Z1064" s="4">
        <v>108.41</v>
      </c>
      <c r="AA1064" s="4">
        <v>100</v>
      </c>
      <c r="AB1064" s="18"/>
      <c r="AC1064" s="18">
        <v>19</v>
      </c>
      <c r="AD1064" s="28"/>
      <c r="AE1064" s="26"/>
      <c r="AF1064" s="28"/>
    </row>
    <row r="1065" spans="1:32" ht="12.6" customHeight="1" x14ac:dyDescent="0.25">
      <c r="A1065" s="14">
        <v>45785</v>
      </c>
      <c r="B1065" s="14" t="s">
        <v>46</v>
      </c>
      <c r="C1065" s="15">
        <v>2</v>
      </c>
      <c r="D1065" s="16"/>
      <c r="E1065" s="16"/>
      <c r="F1065" s="17"/>
      <c r="G1065" s="21"/>
      <c r="H1065" s="21"/>
      <c r="I1065" s="4">
        <v>0</v>
      </c>
      <c r="J1065" s="4">
        <v>0</v>
      </c>
      <c r="K1065" s="4"/>
      <c r="L1065" s="16"/>
      <c r="M1065" s="4"/>
      <c r="N1065" s="4"/>
      <c r="O1065" s="4"/>
      <c r="P1065" s="4"/>
      <c r="Q1065" s="4"/>
      <c r="R1065" s="4"/>
      <c r="S1065" s="4">
        <v>0</v>
      </c>
      <c r="T1065" s="4">
        <v>0</v>
      </c>
      <c r="U1065" s="4">
        <v>0</v>
      </c>
      <c r="V1065" s="4">
        <v>12</v>
      </c>
      <c r="W1065" s="4">
        <v>12</v>
      </c>
      <c r="X1065" s="4">
        <v>0</v>
      </c>
      <c r="Y1065" s="4"/>
      <c r="Z1065" s="4">
        <v>117.74000000000001</v>
      </c>
      <c r="AA1065" s="4">
        <v>100</v>
      </c>
      <c r="AB1065" s="18"/>
      <c r="AC1065" s="18">
        <v>19</v>
      </c>
      <c r="AD1065" s="28"/>
      <c r="AE1065" s="26"/>
      <c r="AF1065" s="28"/>
    </row>
    <row r="1066" spans="1:32" ht="12.6" customHeight="1" x14ac:dyDescent="0.25">
      <c r="A1066" s="14">
        <v>45785</v>
      </c>
      <c r="B1066" s="14" t="s">
        <v>45</v>
      </c>
      <c r="C1066" s="15">
        <v>4</v>
      </c>
      <c r="D1066" s="16"/>
      <c r="E1066" s="16"/>
      <c r="F1066" s="17"/>
      <c r="G1066" s="21"/>
      <c r="H1066" s="21"/>
      <c r="I1066" s="4">
        <v>0</v>
      </c>
      <c r="J1066" s="4">
        <v>0</v>
      </c>
      <c r="K1066" s="4"/>
      <c r="L1066" s="16"/>
      <c r="M1066" s="4"/>
      <c r="N1066" s="4"/>
      <c r="O1066" s="4"/>
      <c r="P1066" s="4"/>
      <c r="Q1066" s="4"/>
      <c r="R1066" s="4"/>
      <c r="S1066" s="4">
        <v>0</v>
      </c>
      <c r="T1066" s="4">
        <v>0</v>
      </c>
      <c r="U1066" s="4">
        <v>0</v>
      </c>
      <c r="V1066" s="4">
        <v>12</v>
      </c>
      <c r="W1066" s="4">
        <v>12</v>
      </c>
      <c r="X1066" s="4">
        <v>0</v>
      </c>
      <c r="Y1066" s="4"/>
      <c r="Z1066" s="4">
        <v>679.16</v>
      </c>
      <c r="AA1066" s="4">
        <v>650</v>
      </c>
      <c r="AB1066" s="18"/>
      <c r="AC1066" s="18">
        <v>19</v>
      </c>
      <c r="AD1066" s="28"/>
      <c r="AE1066" s="26"/>
      <c r="AF1066" s="28"/>
    </row>
    <row r="1067" spans="1:32" ht="12.6" customHeight="1" x14ac:dyDescent="0.25">
      <c r="A1067" s="14">
        <v>45785</v>
      </c>
      <c r="B1067" s="14" t="s">
        <v>46</v>
      </c>
      <c r="C1067" s="15">
        <v>4</v>
      </c>
      <c r="D1067" s="16">
        <v>20</v>
      </c>
      <c r="E1067" s="16"/>
      <c r="F1067" s="17"/>
      <c r="G1067" s="21"/>
      <c r="H1067" s="21"/>
      <c r="I1067" s="4">
        <v>20</v>
      </c>
      <c r="J1067" s="4">
        <v>0.33333333333333331</v>
      </c>
      <c r="K1067" s="4"/>
      <c r="L1067" s="16"/>
      <c r="M1067" s="4"/>
      <c r="N1067" s="4"/>
      <c r="O1067" s="4"/>
      <c r="P1067" s="4"/>
      <c r="Q1067" s="4"/>
      <c r="R1067" s="4"/>
      <c r="S1067" s="4">
        <v>0</v>
      </c>
      <c r="T1067" s="4">
        <v>0</v>
      </c>
      <c r="U1067" s="4">
        <v>0.33333333333333331</v>
      </c>
      <c r="V1067" s="4">
        <v>11.666666666666666</v>
      </c>
      <c r="W1067" s="4">
        <v>12</v>
      </c>
      <c r="X1067" s="4">
        <v>0</v>
      </c>
      <c r="Y1067" s="4"/>
      <c r="Z1067" s="4">
        <v>725.78</v>
      </c>
      <c r="AA1067" s="4">
        <v>700</v>
      </c>
      <c r="AB1067" s="18"/>
      <c r="AC1067" s="18">
        <v>19</v>
      </c>
      <c r="AD1067" s="28"/>
      <c r="AE1067" s="26"/>
      <c r="AF1067" s="28"/>
    </row>
    <row r="1068" spans="1:32" ht="12.6" customHeight="1" x14ac:dyDescent="0.25">
      <c r="A1068" s="14">
        <v>45785</v>
      </c>
      <c r="B1068" s="14" t="s">
        <v>45</v>
      </c>
      <c r="C1068" s="15">
        <v>5</v>
      </c>
      <c r="D1068" s="16"/>
      <c r="E1068" s="16"/>
      <c r="F1068" s="17"/>
      <c r="G1068" s="21"/>
      <c r="H1068" s="21"/>
      <c r="I1068" s="4">
        <v>0</v>
      </c>
      <c r="J1068" s="4">
        <v>0</v>
      </c>
      <c r="K1068" s="4"/>
      <c r="L1068" s="16"/>
      <c r="M1068" s="4"/>
      <c r="N1068" s="4"/>
      <c r="O1068" s="4"/>
      <c r="P1068" s="4"/>
      <c r="Q1068" s="4"/>
      <c r="R1068" s="4"/>
      <c r="S1068" s="4">
        <v>0</v>
      </c>
      <c r="T1068" s="4">
        <v>0</v>
      </c>
      <c r="U1068" s="4">
        <v>0</v>
      </c>
      <c r="V1068" s="4">
        <v>12</v>
      </c>
      <c r="W1068" s="4">
        <v>12</v>
      </c>
      <c r="X1068" s="4">
        <v>0</v>
      </c>
      <c r="Y1068" s="4"/>
      <c r="Z1068" s="4">
        <v>600.59</v>
      </c>
      <c r="AA1068" s="4">
        <v>600</v>
      </c>
      <c r="AB1068" s="18"/>
      <c r="AC1068" s="18">
        <v>19</v>
      </c>
      <c r="AD1068" s="28"/>
      <c r="AE1068" s="26"/>
      <c r="AF1068" s="28"/>
    </row>
    <row r="1069" spans="1:32" ht="12.6" customHeight="1" x14ac:dyDescent="0.25">
      <c r="A1069" s="14">
        <v>45785</v>
      </c>
      <c r="B1069" s="14" t="s">
        <v>46</v>
      </c>
      <c r="C1069" s="15">
        <v>5</v>
      </c>
      <c r="D1069" s="16">
        <v>20</v>
      </c>
      <c r="E1069" s="16"/>
      <c r="F1069" s="17"/>
      <c r="G1069" s="21"/>
      <c r="H1069" s="21"/>
      <c r="I1069" s="4">
        <v>20</v>
      </c>
      <c r="J1069" s="4">
        <v>0.33333333333333331</v>
      </c>
      <c r="K1069" s="4"/>
      <c r="L1069" s="16"/>
      <c r="M1069" s="4"/>
      <c r="N1069" s="4"/>
      <c r="O1069" s="4"/>
      <c r="P1069" s="4"/>
      <c r="Q1069" s="4"/>
      <c r="R1069" s="4"/>
      <c r="S1069" s="4">
        <v>0</v>
      </c>
      <c r="T1069" s="4">
        <v>0</v>
      </c>
      <c r="U1069" s="4">
        <v>0.33333333333333331</v>
      </c>
      <c r="V1069" s="4">
        <v>11.666666666666666</v>
      </c>
      <c r="W1069" s="4">
        <v>12</v>
      </c>
      <c r="X1069" s="4">
        <v>0</v>
      </c>
      <c r="Y1069" s="4"/>
      <c r="Z1069" s="4">
        <v>639.26</v>
      </c>
      <c r="AA1069" s="4">
        <v>650</v>
      </c>
      <c r="AB1069" s="18"/>
      <c r="AC1069" s="18">
        <v>19</v>
      </c>
      <c r="AD1069" s="28"/>
      <c r="AE1069" s="26"/>
      <c r="AF1069" s="28"/>
    </row>
    <row r="1070" spans="1:32" ht="12.6" customHeight="1" x14ac:dyDescent="0.25">
      <c r="A1070" s="14">
        <v>45786</v>
      </c>
      <c r="B1070" s="14" t="s">
        <v>45</v>
      </c>
      <c r="C1070" s="15">
        <v>1</v>
      </c>
      <c r="D1070" s="16"/>
      <c r="E1070" s="16"/>
      <c r="F1070" s="17"/>
      <c r="G1070" s="21"/>
      <c r="H1070" s="21"/>
      <c r="I1070" s="4">
        <v>0</v>
      </c>
      <c r="J1070" s="4">
        <v>0</v>
      </c>
      <c r="K1070" s="4"/>
      <c r="L1070" s="16"/>
      <c r="M1070" s="4"/>
      <c r="N1070" s="4"/>
      <c r="O1070" s="4"/>
      <c r="P1070" s="4"/>
      <c r="Q1070" s="4"/>
      <c r="R1070" s="4"/>
      <c r="S1070" s="4">
        <v>0</v>
      </c>
      <c r="T1070" s="4">
        <v>0</v>
      </c>
      <c r="U1070" s="4">
        <v>0</v>
      </c>
      <c r="V1070" s="4">
        <v>12</v>
      </c>
      <c r="W1070" s="4">
        <v>12</v>
      </c>
      <c r="X1070" s="4">
        <v>40</v>
      </c>
      <c r="Y1070" s="4">
        <v>1502</v>
      </c>
      <c r="Z1070" s="4">
        <v>184.24</v>
      </c>
      <c r="AA1070" s="4">
        <v>200</v>
      </c>
      <c r="AB1070" s="18">
        <v>398</v>
      </c>
      <c r="AC1070" s="18">
        <v>19</v>
      </c>
      <c r="AD1070" s="28"/>
      <c r="AE1070" s="26"/>
      <c r="AF1070" s="28"/>
    </row>
    <row r="1071" spans="1:32" ht="12.6" customHeight="1" x14ac:dyDescent="0.25">
      <c r="A1071" s="14">
        <v>45786</v>
      </c>
      <c r="B1071" s="14" t="s">
        <v>46</v>
      </c>
      <c r="C1071" s="15">
        <v>1</v>
      </c>
      <c r="D1071" s="16"/>
      <c r="E1071" s="16"/>
      <c r="F1071" s="17"/>
      <c r="G1071" s="21"/>
      <c r="H1071" s="21"/>
      <c r="I1071" s="4">
        <v>0</v>
      </c>
      <c r="J1071" s="4">
        <v>0</v>
      </c>
      <c r="K1071" s="4"/>
      <c r="L1071" s="16"/>
      <c r="M1071" s="4"/>
      <c r="N1071" s="4"/>
      <c r="O1071" s="4"/>
      <c r="P1071" s="4"/>
      <c r="Q1071" s="4"/>
      <c r="R1071" s="4"/>
      <c r="S1071" s="4">
        <v>0</v>
      </c>
      <c r="T1071" s="4">
        <v>0</v>
      </c>
      <c r="U1071" s="4">
        <v>0</v>
      </c>
      <c r="V1071" s="4">
        <v>12</v>
      </c>
      <c r="W1071" s="4">
        <v>12</v>
      </c>
      <c r="X1071" s="4">
        <v>20</v>
      </c>
      <c r="Y1071" s="4"/>
      <c r="Z1071" s="4">
        <v>215.5</v>
      </c>
      <c r="AA1071" s="4">
        <v>200</v>
      </c>
      <c r="AB1071" s="18"/>
      <c r="AC1071" s="18">
        <v>19</v>
      </c>
      <c r="AD1071" s="28"/>
      <c r="AE1071" s="26"/>
      <c r="AF1071" s="28"/>
    </row>
    <row r="1072" spans="1:32" ht="12.6" customHeight="1" x14ac:dyDescent="0.25">
      <c r="A1072" s="14">
        <v>45786</v>
      </c>
      <c r="B1072" s="14" t="s">
        <v>45</v>
      </c>
      <c r="C1072" s="15">
        <v>2</v>
      </c>
      <c r="D1072" s="16"/>
      <c r="E1072" s="16"/>
      <c r="F1072" s="17"/>
      <c r="G1072" s="21"/>
      <c r="H1072" s="21"/>
      <c r="I1072" s="4">
        <v>0</v>
      </c>
      <c r="J1072" s="4">
        <v>0</v>
      </c>
      <c r="K1072" s="4"/>
      <c r="L1072" s="16"/>
      <c r="M1072" s="4"/>
      <c r="N1072" s="4"/>
      <c r="O1072" s="4"/>
      <c r="P1072" s="4"/>
      <c r="Q1072" s="4"/>
      <c r="R1072" s="4"/>
      <c r="S1072" s="4">
        <v>0</v>
      </c>
      <c r="T1072" s="4">
        <v>0</v>
      </c>
      <c r="U1072" s="4">
        <v>0</v>
      </c>
      <c r="V1072" s="4">
        <v>12</v>
      </c>
      <c r="W1072" s="4">
        <v>12</v>
      </c>
      <c r="X1072" s="4">
        <v>0</v>
      </c>
      <c r="Y1072" s="4"/>
      <c r="Z1072" s="4">
        <v>105.25999999999999</v>
      </c>
      <c r="AA1072" s="4">
        <v>100</v>
      </c>
      <c r="AB1072" s="18"/>
      <c r="AC1072" s="18">
        <v>19</v>
      </c>
      <c r="AD1072" s="28"/>
      <c r="AE1072" s="26"/>
      <c r="AF1072" s="28"/>
    </row>
    <row r="1073" spans="1:32" ht="12.6" customHeight="1" x14ac:dyDescent="0.25">
      <c r="A1073" s="14">
        <v>45786</v>
      </c>
      <c r="B1073" s="14" t="s">
        <v>46</v>
      </c>
      <c r="C1073" s="15">
        <v>2</v>
      </c>
      <c r="D1073" s="16"/>
      <c r="E1073" s="16"/>
      <c r="F1073" s="17"/>
      <c r="G1073" s="21"/>
      <c r="H1073" s="21"/>
      <c r="I1073" s="4">
        <v>0</v>
      </c>
      <c r="J1073" s="4">
        <v>0</v>
      </c>
      <c r="K1073" s="4"/>
      <c r="L1073" s="16"/>
      <c r="M1073" s="4"/>
      <c r="N1073" s="4"/>
      <c r="O1073" s="4"/>
      <c r="P1073" s="4"/>
      <c r="Q1073" s="4"/>
      <c r="R1073" s="4"/>
      <c r="S1073" s="4">
        <v>0</v>
      </c>
      <c r="T1073" s="4">
        <v>0</v>
      </c>
      <c r="U1073" s="4">
        <v>0</v>
      </c>
      <c r="V1073" s="4">
        <v>12</v>
      </c>
      <c r="W1073" s="4">
        <v>12</v>
      </c>
      <c r="X1073" s="4">
        <v>0</v>
      </c>
      <c r="Y1073" s="4"/>
      <c r="Z1073" s="4">
        <v>125.88</v>
      </c>
      <c r="AA1073" s="4">
        <v>100</v>
      </c>
      <c r="AB1073" s="18"/>
      <c r="AC1073" s="18">
        <v>19</v>
      </c>
      <c r="AD1073" s="28"/>
      <c r="AE1073" s="26"/>
      <c r="AF1073" s="28"/>
    </row>
    <row r="1074" spans="1:32" ht="12.6" customHeight="1" x14ac:dyDescent="0.25">
      <c r="A1074" s="14">
        <v>45786</v>
      </c>
      <c r="B1074" s="14" t="s">
        <v>45</v>
      </c>
      <c r="C1074" s="15">
        <v>4</v>
      </c>
      <c r="D1074" s="16">
        <v>20</v>
      </c>
      <c r="E1074" s="16"/>
      <c r="F1074" s="17"/>
      <c r="G1074" s="21"/>
      <c r="H1074" s="21"/>
      <c r="I1074" s="4">
        <v>20</v>
      </c>
      <c r="J1074" s="4">
        <v>0.33333333333333331</v>
      </c>
      <c r="K1074" s="4"/>
      <c r="L1074" s="16"/>
      <c r="M1074" s="4"/>
      <c r="N1074" s="4"/>
      <c r="O1074" s="4"/>
      <c r="P1074" s="4"/>
      <c r="Q1074" s="4"/>
      <c r="R1074" s="4"/>
      <c r="S1074" s="4">
        <v>0</v>
      </c>
      <c r="T1074" s="4">
        <v>0</v>
      </c>
      <c r="U1074" s="4">
        <v>0.33333333333333331</v>
      </c>
      <c r="V1074" s="4">
        <v>11.666666666666666</v>
      </c>
      <c r="W1074" s="4">
        <v>12</v>
      </c>
      <c r="X1074" s="4">
        <v>0</v>
      </c>
      <c r="Y1074" s="4"/>
      <c r="Z1074" s="4">
        <v>617.18000000000006</v>
      </c>
      <c r="AA1074" s="4">
        <v>600</v>
      </c>
      <c r="AB1074" s="18"/>
      <c r="AC1074" s="18">
        <v>19</v>
      </c>
      <c r="AD1074" s="28"/>
      <c r="AE1074" s="26"/>
      <c r="AF1074" s="28"/>
    </row>
    <row r="1075" spans="1:32" ht="12.6" customHeight="1" x14ac:dyDescent="0.25">
      <c r="A1075" s="14">
        <v>45786</v>
      </c>
      <c r="B1075" s="14" t="s">
        <v>46</v>
      </c>
      <c r="C1075" s="15">
        <v>4</v>
      </c>
      <c r="D1075" s="16"/>
      <c r="E1075" s="16"/>
      <c r="F1075" s="17"/>
      <c r="G1075" s="21"/>
      <c r="H1075" s="21"/>
      <c r="I1075" s="4">
        <v>0</v>
      </c>
      <c r="J1075" s="4">
        <v>0</v>
      </c>
      <c r="K1075" s="4"/>
      <c r="L1075" s="16"/>
      <c r="M1075" s="4"/>
      <c r="N1075" s="4"/>
      <c r="O1075" s="4"/>
      <c r="P1075" s="4"/>
      <c r="Q1075" s="4"/>
      <c r="R1075" s="4"/>
      <c r="S1075" s="4">
        <v>0</v>
      </c>
      <c r="T1075" s="4">
        <v>0</v>
      </c>
      <c r="U1075" s="4">
        <v>0</v>
      </c>
      <c r="V1075" s="4">
        <v>12</v>
      </c>
      <c r="W1075" s="4">
        <v>12</v>
      </c>
      <c r="X1075" s="4">
        <v>0</v>
      </c>
      <c r="Y1075" s="4"/>
      <c r="Z1075" s="4">
        <v>670.86</v>
      </c>
      <c r="AA1075" s="4">
        <v>700</v>
      </c>
      <c r="AB1075" s="18"/>
      <c r="AC1075" s="18">
        <v>19</v>
      </c>
      <c r="AD1075" s="28"/>
      <c r="AE1075" s="26"/>
      <c r="AF1075" s="28"/>
    </row>
    <row r="1076" spans="1:32" ht="12.6" customHeight="1" x14ac:dyDescent="0.25">
      <c r="A1076" s="14">
        <v>45786</v>
      </c>
      <c r="B1076" s="14" t="s">
        <v>45</v>
      </c>
      <c r="C1076" s="15">
        <v>5</v>
      </c>
      <c r="D1076" s="16"/>
      <c r="E1076" s="16"/>
      <c r="F1076" s="17"/>
      <c r="G1076" s="21"/>
      <c r="H1076" s="21"/>
      <c r="I1076" s="4">
        <v>0</v>
      </c>
      <c r="J1076" s="4">
        <v>0</v>
      </c>
      <c r="K1076" s="4"/>
      <c r="L1076" s="16"/>
      <c r="M1076" s="4"/>
      <c r="N1076" s="4"/>
      <c r="O1076" s="4"/>
      <c r="P1076" s="4"/>
      <c r="Q1076" s="4"/>
      <c r="R1076" s="4"/>
      <c r="S1076" s="4">
        <v>0</v>
      </c>
      <c r="T1076" s="4">
        <v>0</v>
      </c>
      <c r="U1076" s="4">
        <v>0</v>
      </c>
      <c r="V1076" s="4">
        <v>12</v>
      </c>
      <c r="W1076" s="4">
        <v>12</v>
      </c>
      <c r="X1076" s="4">
        <v>0</v>
      </c>
      <c r="Y1076" s="4"/>
      <c r="Z1076" s="4">
        <v>582.06000000000006</v>
      </c>
      <c r="AA1076" s="4">
        <v>600</v>
      </c>
      <c r="AB1076" s="18"/>
      <c r="AC1076" s="18">
        <v>19</v>
      </c>
      <c r="AD1076" s="28"/>
      <c r="AE1076" s="26"/>
      <c r="AF1076" s="28"/>
    </row>
    <row r="1077" spans="1:32" ht="12.6" customHeight="1" x14ac:dyDescent="0.25">
      <c r="A1077" s="14">
        <v>45786</v>
      </c>
      <c r="B1077" s="14" t="s">
        <v>46</v>
      </c>
      <c r="C1077" s="15">
        <v>5</v>
      </c>
      <c r="D1077" s="16"/>
      <c r="E1077" s="16"/>
      <c r="F1077" s="17"/>
      <c r="G1077" s="21"/>
      <c r="H1077" s="21"/>
      <c r="I1077" s="4">
        <v>0</v>
      </c>
      <c r="J1077" s="4">
        <v>0</v>
      </c>
      <c r="K1077" s="4"/>
      <c r="L1077" s="16"/>
      <c r="M1077" s="4"/>
      <c r="N1077" s="4"/>
      <c r="O1077" s="4"/>
      <c r="P1077" s="4"/>
      <c r="Q1077" s="4"/>
      <c r="R1077" s="4"/>
      <c r="S1077" s="4">
        <v>0</v>
      </c>
      <c r="T1077" s="4">
        <v>0</v>
      </c>
      <c r="U1077" s="4">
        <v>0</v>
      </c>
      <c r="V1077" s="4">
        <v>12</v>
      </c>
      <c r="W1077" s="4">
        <v>12</v>
      </c>
      <c r="X1077" s="4">
        <v>0</v>
      </c>
      <c r="Y1077" s="4"/>
      <c r="Z1077" s="4">
        <v>529.17000000000007</v>
      </c>
      <c r="AA1077" s="4">
        <v>500</v>
      </c>
      <c r="AB1077" s="18"/>
      <c r="AC1077" s="18">
        <v>19</v>
      </c>
      <c r="AD1077" s="28"/>
      <c r="AE1077" s="26"/>
      <c r="AF1077" s="28"/>
    </row>
    <row r="1078" spans="1:32" ht="12.6" customHeight="1" x14ac:dyDescent="0.25">
      <c r="A1078" s="14">
        <v>45787</v>
      </c>
      <c r="B1078" s="14" t="s">
        <v>45</v>
      </c>
      <c r="C1078" s="15">
        <v>1</v>
      </c>
      <c r="D1078" s="16">
        <v>20</v>
      </c>
      <c r="E1078" s="16"/>
      <c r="F1078" s="17"/>
      <c r="G1078" s="21"/>
      <c r="H1078" s="21"/>
      <c r="I1078" s="4">
        <v>20</v>
      </c>
      <c r="J1078" s="4">
        <v>0.33333333333333331</v>
      </c>
      <c r="K1078" s="4"/>
      <c r="L1078" s="16"/>
      <c r="M1078" s="4"/>
      <c r="N1078" s="4"/>
      <c r="O1078" s="4"/>
      <c r="P1078" s="4"/>
      <c r="Q1078" s="4"/>
      <c r="R1078" s="4"/>
      <c r="S1078" s="4">
        <v>0</v>
      </c>
      <c r="T1078" s="4">
        <v>0</v>
      </c>
      <c r="U1078" s="4">
        <v>0.33333333333333331</v>
      </c>
      <c r="V1078" s="4">
        <v>11.666666666666666</v>
      </c>
      <c r="W1078" s="4">
        <v>12</v>
      </c>
      <c r="X1078" s="4">
        <v>20</v>
      </c>
      <c r="Y1078" s="4">
        <v>1611</v>
      </c>
      <c r="Z1078" s="4">
        <v>191.05</v>
      </c>
      <c r="AA1078" s="4">
        <v>200</v>
      </c>
      <c r="AB1078" s="18">
        <v>398</v>
      </c>
      <c r="AC1078" s="18">
        <v>19</v>
      </c>
      <c r="AD1078" s="28"/>
      <c r="AE1078" s="26"/>
      <c r="AF1078" s="28"/>
    </row>
    <row r="1079" spans="1:32" ht="12.6" customHeight="1" x14ac:dyDescent="0.25">
      <c r="A1079" s="14">
        <v>45787</v>
      </c>
      <c r="B1079" s="14" t="s">
        <v>46</v>
      </c>
      <c r="C1079" s="15">
        <v>1</v>
      </c>
      <c r="D1079" s="16"/>
      <c r="E1079" s="16"/>
      <c r="F1079" s="17"/>
      <c r="G1079" s="21"/>
      <c r="H1079" s="21"/>
      <c r="I1079" s="4">
        <v>0</v>
      </c>
      <c r="J1079" s="4">
        <v>0</v>
      </c>
      <c r="K1079" s="4"/>
      <c r="L1079" s="16"/>
      <c r="M1079" s="4"/>
      <c r="N1079" s="4"/>
      <c r="O1079" s="4"/>
      <c r="P1079" s="4"/>
      <c r="Q1079" s="4"/>
      <c r="R1079" s="4"/>
      <c r="S1079" s="4">
        <v>0</v>
      </c>
      <c r="T1079" s="4">
        <v>0</v>
      </c>
      <c r="U1079" s="4">
        <v>0</v>
      </c>
      <c r="V1079" s="4">
        <v>12</v>
      </c>
      <c r="W1079" s="4">
        <v>12</v>
      </c>
      <c r="X1079" s="4">
        <v>10</v>
      </c>
      <c r="Y1079" s="4"/>
      <c r="Z1079" s="4">
        <v>182.76000000000002</v>
      </c>
      <c r="AA1079" s="4">
        <v>200</v>
      </c>
      <c r="AB1079" s="18"/>
      <c r="AC1079" s="18">
        <v>19</v>
      </c>
      <c r="AD1079" s="28"/>
      <c r="AE1079" s="26"/>
      <c r="AF1079" s="28"/>
    </row>
    <row r="1080" spans="1:32" ht="12.6" customHeight="1" x14ac:dyDescent="0.25">
      <c r="A1080" s="14">
        <v>45787</v>
      </c>
      <c r="B1080" s="14" t="s">
        <v>45</v>
      </c>
      <c r="C1080" s="15">
        <v>2</v>
      </c>
      <c r="D1080" s="16"/>
      <c r="E1080" s="16"/>
      <c r="F1080" s="17"/>
      <c r="G1080" s="21"/>
      <c r="H1080" s="21"/>
      <c r="I1080" s="4">
        <v>0</v>
      </c>
      <c r="J1080" s="4">
        <v>0</v>
      </c>
      <c r="K1080" s="4"/>
      <c r="L1080" s="16"/>
      <c r="M1080" s="4"/>
      <c r="N1080" s="4"/>
      <c r="O1080" s="4"/>
      <c r="P1080" s="4"/>
      <c r="Q1080" s="4"/>
      <c r="R1080" s="4"/>
      <c r="S1080" s="4">
        <v>0</v>
      </c>
      <c r="T1080" s="4">
        <v>0</v>
      </c>
      <c r="U1080" s="4">
        <v>0</v>
      </c>
      <c r="V1080" s="4">
        <v>12</v>
      </c>
      <c r="W1080" s="4">
        <v>12</v>
      </c>
      <c r="X1080" s="4">
        <v>0</v>
      </c>
      <c r="Y1080" s="4"/>
      <c r="Z1080" s="4">
        <v>109.15</v>
      </c>
      <c r="AA1080" s="4">
        <v>100</v>
      </c>
      <c r="AB1080" s="18"/>
      <c r="AC1080" s="18">
        <v>19</v>
      </c>
      <c r="AD1080" s="28"/>
      <c r="AE1080" s="26"/>
      <c r="AF1080" s="28"/>
    </row>
    <row r="1081" spans="1:32" ht="12.6" customHeight="1" x14ac:dyDescent="0.25">
      <c r="A1081" s="14">
        <v>45787</v>
      </c>
      <c r="B1081" s="14" t="s">
        <v>46</v>
      </c>
      <c r="C1081" s="15">
        <v>2</v>
      </c>
      <c r="D1081" s="16"/>
      <c r="E1081" s="16"/>
      <c r="F1081" s="17"/>
      <c r="G1081" s="21"/>
      <c r="H1081" s="21"/>
      <c r="I1081" s="4">
        <v>0</v>
      </c>
      <c r="J1081" s="4">
        <v>0</v>
      </c>
      <c r="K1081" s="4"/>
      <c r="L1081" s="16"/>
      <c r="M1081" s="4"/>
      <c r="N1081" s="4"/>
      <c r="O1081" s="4"/>
      <c r="P1081" s="4"/>
      <c r="Q1081" s="4"/>
      <c r="R1081" s="4"/>
      <c r="S1081" s="4">
        <v>0</v>
      </c>
      <c r="T1081" s="4">
        <v>0</v>
      </c>
      <c r="U1081" s="4">
        <v>0</v>
      </c>
      <c r="V1081" s="4">
        <v>12</v>
      </c>
      <c r="W1081" s="4">
        <v>12</v>
      </c>
      <c r="X1081" s="4">
        <v>0</v>
      </c>
      <c r="Y1081" s="4"/>
      <c r="Z1081" s="4">
        <v>116.76</v>
      </c>
      <c r="AA1081" s="4">
        <v>100</v>
      </c>
      <c r="AB1081" s="18"/>
      <c r="AC1081" s="18">
        <v>19</v>
      </c>
      <c r="AD1081" s="28"/>
      <c r="AE1081" s="26"/>
      <c r="AF1081" s="28"/>
    </row>
    <row r="1082" spans="1:32" ht="12.6" customHeight="1" x14ac:dyDescent="0.25">
      <c r="A1082" s="14">
        <v>45787</v>
      </c>
      <c r="B1082" s="14" t="s">
        <v>45</v>
      </c>
      <c r="C1082" s="15">
        <v>4</v>
      </c>
      <c r="D1082" s="16"/>
      <c r="E1082" s="16"/>
      <c r="F1082" s="17"/>
      <c r="G1082" s="21"/>
      <c r="H1082" s="21"/>
      <c r="I1082" s="4">
        <v>0</v>
      </c>
      <c r="J1082" s="4">
        <v>0</v>
      </c>
      <c r="K1082" s="4"/>
      <c r="L1082" s="16"/>
      <c r="M1082" s="4"/>
      <c r="N1082" s="4"/>
      <c r="O1082" s="4"/>
      <c r="P1082" s="4"/>
      <c r="Q1082" s="4"/>
      <c r="R1082" s="4"/>
      <c r="S1082" s="4">
        <v>0</v>
      </c>
      <c r="T1082" s="4">
        <v>0</v>
      </c>
      <c r="U1082" s="4">
        <v>0</v>
      </c>
      <c r="V1082" s="4">
        <v>12</v>
      </c>
      <c r="W1082" s="4">
        <v>12</v>
      </c>
      <c r="X1082" s="4">
        <v>0</v>
      </c>
      <c r="Y1082" s="4"/>
      <c r="Z1082" s="4">
        <v>1138.7600000000002</v>
      </c>
      <c r="AA1082" s="4">
        <v>1150</v>
      </c>
      <c r="AB1082" s="18"/>
      <c r="AC1082" s="18">
        <v>19</v>
      </c>
      <c r="AD1082" s="28"/>
      <c r="AE1082" s="26"/>
      <c r="AF1082" s="28"/>
    </row>
    <row r="1083" spans="1:32" ht="12.6" customHeight="1" x14ac:dyDescent="0.25">
      <c r="A1083" s="14">
        <v>45787</v>
      </c>
      <c r="B1083" s="14" t="s">
        <v>46</v>
      </c>
      <c r="C1083" s="15">
        <v>4</v>
      </c>
      <c r="D1083" s="16"/>
      <c r="E1083" s="16"/>
      <c r="F1083" s="17"/>
      <c r="G1083" s="21"/>
      <c r="H1083" s="21"/>
      <c r="I1083" s="4">
        <v>0</v>
      </c>
      <c r="J1083" s="4">
        <v>0</v>
      </c>
      <c r="K1083" s="4"/>
      <c r="L1083" s="16"/>
      <c r="M1083" s="4"/>
      <c r="N1083" s="4"/>
      <c r="O1083" s="4"/>
      <c r="P1083" s="4"/>
      <c r="Q1083" s="4"/>
      <c r="R1083" s="4"/>
      <c r="S1083" s="4">
        <v>0</v>
      </c>
      <c r="T1083" s="4">
        <v>0</v>
      </c>
      <c r="U1083" s="4">
        <v>0</v>
      </c>
      <c r="V1083" s="4">
        <v>12</v>
      </c>
      <c r="W1083" s="4">
        <v>12</v>
      </c>
      <c r="X1083" s="4">
        <v>0</v>
      </c>
      <c r="Y1083" s="4"/>
      <c r="Z1083" s="4">
        <v>149.28</v>
      </c>
      <c r="AA1083" s="4">
        <v>150</v>
      </c>
      <c r="AB1083" s="18"/>
      <c r="AC1083" s="18">
        <v>19</v>
      </c>
      <c r="AD1083" s="28"/>
      <c r="AE1083" s="26"/>
      <c r="AF1083" s="28"/>
    </row>
    <row r="1084" spans="1:32" ht="12.6" customHeight="1" x14ac:dyDescent="0.25">
      <c r="A1084" s="14">
        <v>45787</v>
      </c>
      <c r="B1084" s="14" t="s">
        <v>45</v>
      </c>
      <c r="C1084" s="15">
        <v>5</v>
      </c>
      <c r="D1084" s="16"/>
      <c r="E1084" s="16"/>
      <c r="F1084" s="17"/>
      <c r="G1084" s="21"/>
      <c r="H1084" s="21"/>
      <c r="I1084" s="4">
        <v>0</v>
      </c>
      <c r="J1084" s="4">
        <v>0</v>
      </c>
      <c r="K1084" s="4"/>
      <c r="L1084" s="16"/>
      <c r="M1084" s="4"/>
      <c r="N1084" s="4"/>
      <c r="O1084" s="4"/>
      <c r="P1084" s="4"/>
      <c r="Q1084" s="4"/>
      <c r="R1084" s="4"/>
      <c r="S1084" s="4">
        <v>0</v>
      </c>
      <c r="T1084" s="4">
        <v>0</v>
      </c>
      <c r="U1084" s="4">
        <v>0</v>
      </c>
      <c r="V1084" s="4">
        <v>12</v>
      </c>
      <c r="W1084" s="4">
        <v>12</v>
      </c>
      <c r="X1084" s="4">
        <v>0</v>
      </c>
      <c r="Y1084" s="4"/>
      <c r="Z1084" s="4">
        <v>453.58</v>
      </c>
      <c r="AA1084" s="4">
        <v>450</v>
      </c>
      <c r="AB1084" s="18"/>
      <c r="AC1084" s="18">
        <v>19</v>
      </c>
      <c r="AD1084" s="28"/>
      <c r="AE1084" s="26"/>
      <c r="AF1084" s="28"/>
    </row>
    <row r="1085" spans="1:32" ht="12.6" customHeight="1" x14ac:dyDescent="0.25">
      <c r="A1085" s="14">
        <v>45787</v>
      </c>
      <c r="B1085" s="14" t="s">
        <v>46</v>
      </c>
      <c r="C1085" s="15">
        <v>5</v>
      </c>
      <c r="D1085" s="16"/>
      <c r="E1085" s="16"/>
      <c r="F1085" s="17"/>
      <c r="G1085" s="21"/>
      <c r="H1085" s="21"/>
      <c r="I1085" s="4">
        <v>0</v>
      </c>
      <c r="J1085" s="4">
        <v>0</v>
      </c>
      <c r="K1085" s="4"/>
      <c r="L1085" s="16"/>
      <c r="M1085" s="4"/>
      <c r="N1085" s="4"/>
      <c r="O1085" s="4"/>
      <c r="P1085" s="4"/>
      <c r="Q1085" s="4"/>
      <c r="R1085" s="4"/>
      <c r="S1085" s="4">
        <v>0</v>
      </c>
      <c r="T1085" s="4">
        <v>0</v>
      </c>
      <c r="U1085" s="4">
        <v>0</v>
      </c>
      <c r="V1085" s="4">
        <v>12</v>
      </c>
      <c r="W1085" s="4">
        <v>12</v>
      </c>
      <c r="X1085" s="4">
        <v>0</v>
      </c>
      <c r="Y1085" s="4"/>
      <c r="Z1085" s="4">
        <v>412</v>
      </c>
      <c r="AA1085" s="4">
        <v>450</v>
      </c>
      <c r="AB1085" s="18"/>
      <c r="AC1085" s="18">
        <v>19</v>
      </c>
      <c r="AD1085" s="28"/>
      <c r="AE1085" s="26"/>
      <c r="AF1085" s="28"/>
    </row>
    <row r="1086" spans="1:32" ht="12.6" customHeight="1" x14ac:dyDescent="0.25">
      <c r="A1086" s="14">
        <v>45788</v>
      </c>
      <c r="B1086" s="14" t="s">
        <v>45</v>
      </c>
      <c r="C1086" s="15">
        <v>1</v>
      </c>
      <c r="D1086" s="16"/>
      <c r="E1086" s="16"/>
      <c r="F1086" s="17"/>
      <c r="G1086" s="21"/>
      <c r="H1086" s="21"/>
      <c r="I1086" s="4">
        <v>0</v>
      </c>
      <c r="J1086" s="4">
        <v>0</v>
      </c>
      <c r="K1086" s="4">
        <v>36</v>
      </c>
      <c r="L1086" s="16"/>
      <c r="M1086" s="4"/>
      <c r="N1086" s="4"/>
      <c r="O1086" s="4"/>
      <c r="P1086" s="4">
        <v>90</v>
      </c>
      <c r="Q1086" s="4"/>
      <c r="R1086" s="4"/>
      <c r="S1086" s="4">
        <v>126</v>
      </c>
      <c r="T1086" s="4">
        <v>2.1</v>
      </c>
      <c r="U1086" s="4">
        <v>2.1</v>
      </c>
      <c r="V1086" s="4">
        <v>9.9</v>
      </c>
      <c r="W1086" s="4">
        <v>12</v>
      </c>
      <c r="X1086" s="4">
        <v>24</v>
      </c>
      <c r="Y1086" s="4">
        <v>1190</v>
      </c>
      <c r="Z1086" s="4">
        <v>105.18</v>
      </c>
      <c r="AA1086" s="4">
        <v>100</v>
      </c>
      <c r="AB1086" s="18">
        <v>398</v>
      </c>
      <c r="AC1086" s="18">
        <v>19</v>
      </c>
      <c r="AD1086" s="28"/>
      <c r="AE1086" s="26"/>
      <c r="AF1086" s="28"/>
    </row>
    <row r="1087" spans="1:32" ht="12.6" customHeight="1" x14ac:dyDescent="0.25">
      <c r="A1087" s="14">
        <v>45788</v>
      </c>
      <c r="B1087" s="14" t="s">
        <v>46</v>
      </c>
      <c r="C1087" s="15">
        <v>1</v>
      </c>
      <c r="D1087" s="16"/>
      <c r="E1087" s="16"/>
      <c r="F1087" s="17"/>
      <c r="G1087" s="21"/>
      <c r="H1087" s="21"/>
      <c r="I1087" s="4">
        <v>0</v>
      </c>
      <c r="J1087" s="4">
        <v>0</v>
      </c>
      <c r="K1087" s="4"/>
      <c r="L1087" s="16"/>
      <c r="M1087" s="4"/>
      <c r="N1087" s="4"/>
      <c r="O1087" s="4"/>
      <c r="P1087" s="4"/>
      <c r="Q1087" s="4"/>
      <c r="R1087" s="4"/>
      <c r="S1087" s="4">
        <v>0</v>
      </c>
      <c r="T1087" s="4">
        <v>0</v>
      </c>
      <c r="U1087" s="4">
        <v>0</v>
      </c>
      <c r="V1087" s="4">
        <v>12</v>
      </c>
      <c r="W1087" s="4">
        <v>12</v>
      </c>
      <c r="X1087" s="4">
        <v>17</v>
      </c>
      <c r="Y1087" s="4"/>
      <c r="Z1087" s="4">
        <v>164.67000000000002</v>
      </c>
      <c r="AA1087" s="4">
        <v>150</v>
      </c>
      <c r="AB1087" s="18"/>
      <c r="AC1087" s="18">
        <v>19</v>
      </c>
      <c r="AD1087" s="28"/>
      <c r="AE1087" s="26"/>
      <c r="AF1087" s="28"/>
    </row>
    <row r="1088" spans="1:32" ht="12.6" customHeight="1" x14ac:dyDescent="0.25">
      <c r="A1088" s="14">
        <v>45788</v>
      </c>
      <c r="B1088" s="14" t="s">
        <v>45</v>
      </c>
      <c r="C1088" s="15">
        <v>2</v>
      </c>
      <c r="D1088" s="16"/>
      <c r="E1088" s="16"/>
      <c r="F1088" s="17"/>
      <c r="G1088" s="21"/>
      <c r="H1088" s="21"/>
      <c r="I1088" s="4">
        <v>0</v>
      </c>
      <c r="J1088" s="4">
        <v>0</v>
      </c>
      <c r="K1088" s="4">
        <v>36</v>
      </c>
      <c r="L1088" s="16"/>
      <c r="M1088" s="4"/>
      <c r="N1088" s="4"/>
      <c r="O1088" s="4"/>
      <c r="P1088" s="4">
        <v>60</v>
      </c>
      <c r="Q1088" s="4"/>
      <c r="R1088" s="4"/>
      <c r="S1088" s="4">
        <v>96</v>
      </c>
      <c r="T1088" s="4">
        <v>1.6</v>
      </c>
      <c r="U1088" s="4">
        <v>1.6</v>
      </c>
      <c r="V1088" s="4">
        <v>10.4</v>
      </c>
      <c r="W1088" s="4">
        <v>12</v>
      </c>
      <c r="X1088" s="4">
        <v>0</v>
      </c>
      <c r="Y1088" s="4"/>
      <c r="Z1088" s="4">
        <v>106.13</v>
      </c>
      <c r="AA1088" s="4">
        <v>100</v>
      </c>
      <c r="AB1088" s="18"/>
      <c r="AC1088" s="18">
        <v>19</v>
      </c>
      <c r="AD1088" s="28"/>
      <c r="AE1088" s="26"/>
      <c r="AF1088" s="28"/>
    </row>
    <row r="1089" spans="1:32" ht="12.6" customHeight="1" x14ac:dyDescent="0.25">
      <c r="A1089" s="14">
        <v>45788</v>
      </c>
      <c r="B1089" s="14" t="s">
        <v>46</v>
      </c>
      <c r="C1089" s="15">
        <v>2</v>
      </c>
      <c r="D1089" s="16"/>
      <c r="E1089" s="16"/>
      <c r="F1089" s="17"/>
      <c r="G1089" s="21"/>
      <c r="H1089" s="21"/>
      <c r="I1089" s="4">
        <v>0</v>
      </c>
      <c r="J1089" s="4">
        <v>0</v>
      </c>
      <c r="K1089" s="4"/>
      <c r="L1089" s="16"/>
      <c r="M1089" s="4"/>
      <c r="N1089" s="4"/>
      <c r="O1089" s="4"/>
      <c r="P1089" s="4"/>
      <c r="Q1089" s="4"/>
      <c r="R1089" s="4"/>
      <c r="S1089" s="4">
        <v>0</v>
      </c>
      <c r="T1089" s="4">
        <v>0</v>
      </c>
      <c r="U1089" s="4">
        <v>0</v>
      </c>
      <c r="V1089" s="4">
        <v>12</v>
      </c>
      <c r="W1089" s="4">
        <v>12</v>
      </c>
      <c r="X1089" s="4">
        <v>0</v>
      </c>
      <c r="Y1089" s="4"/>
      <c r="Z1089" s="4">
        <v>109.54</v>
      </c>
      <c r="AA1089" s="4">
        <v>100</v>
      </c>
      <c r="AB1089" s="18"/>
      <c r="AC1089" s="18">
        <v>19</v>
      </c>
      <c r="AD1089" s="28"/>
      <c r="AE1089" s="26"/>
      <c r="AF1089" s="28"/>
    </row>
    <row r="1090" spans="1:32" ht="12.6" customHeight="1" x14ac:dyDescent="0.25">
      <c r="A1090" s="14">
        <v>45788</v>
      </c>
      <c r="B1090" s="14" t="s">
        <v>45</v>
      </c>
      <c r="C1090" s="15">
        <v>3</v>
      </c>
      <c r="D1090" s="16"/>
      <c r="E1090" s="16"/>
      <c r="F1090" s="17"/>
      <c r="G1090" s="21"/>
      <c r="H1090" s="21"/>
      <c r="I1090" s="4">
        <v>0</v>
      </c>
      <c r="J1090" s="4">
        <v>0</v>
      </c>
      <c r="K1090" s="4">
        <v>36</v>
      </c>
      <c r="L1090" s="16"/>
      <c r="M1090" s="4"/>
      <c r="N1090" s="4"/>
      <c r="O1090" s="4"/>
      <c r="P1090" s="4"/>
      <c r="Q1090" s="4"/>
      <c r="R1090" s="4"/>
      <c r="S1090" s="4">
        <v>36</v>
      </c>
      <c r="T1090" s="4">
        <v>0.6</v>
      </c>
      <c r="U1090" s="4">
        <v>0.6</v>
      </c>
      <c r="V1090" s="4">
        <v>11.4</v>
      </c>
      <c r="W1090" s="4">
        <v>12</v>
      </c>
      <c r="X1090" s="4">
        <v>0</v>
      </c>
      <c r="Y1090" s="4"/>
      <c r="Z1090" s="4">
        <v>37.5</v>
      </c>
      <c r="AA1090" s="4">
        <v>50</v>
      </c>
      <c r="AB1090" s="18"/>
      <c r="AC1090" s="18">
        <v>19</v>
      </c>
      <c r="AD1090" s="28"/>
      <c r="AE1090" s="26"/>
      <c r="AF1090" s="28"/>
    </row>
    <row r="1091" spans="1:32" ht="12.6" customHeight="1" x14ac:dyDescent="0.25">
      <c r="A1091" s="14">
        <v>45788</v>
      </c>
      <c r="B1091" s="14" t="s">
        <v>46</v>
      </c>
      <c r="C1091" s="15">
        <v>3</v>
      </c>
      <c r="D1091" s="16"/>
      <c r="E1091" s="16"/>
      <c r="F1091" s="17"/>
      <c r="G1091" s="21"/>
      <c r="H1091" s="21"/>
      <c r="I1091" s="4">
        <v>0</v>
      </c>
      <c r="J1091" s="4">
        <v>0</v>
      </c>
      <c r="K1091" s="4">
        <v>60</v>
      </c>
      <c r="L1091" s="16"/>
      <c r="M1091" s="4"/>
      <c r="N1091" s="4"/>
      <c r="O1091" s="4"/>
      <c r="P1091" s="4"/>
      <c r="Q1091" s="4"/>
      <c r="R1091" s="4"/>
      <c r="S1091" s="4">
        <v>60</v>
      </c>
      <c r="T1091" s="4">
        <v>1</v>
      </c>
      <c r="U1091" s="4">
        <v>1</v>
      </c>
      <c r="V1091" s="4">
        <v>11</v>
      </c>
      <c r="W1091" s="4">
        <v>12</v>
      </c>
      <c r="X1091" s="4">
        <v>0</v>
      </c>
      <c r="Y1091" s="4"/>
      <c r="Z1091" s="4">
        <v>281.8</v>
      </c>
      <c r="AA1091" s="4">
        <v>300</v>
      </c>
      <c r="AB1091" s="18"/>
      <c r="AC1091" s="18">
        <v>19</v>
      </c>
      <c r="AD1091" s="28"/>
      <c r="AE1091" s="26"/>
      <c r="AF1091" s="28"/>
    </row>
    <row r="1092" spans="1:32" ht="12.6" customHeight="1" x14ac:dyDescent="0.25">
      <c r="A1092" s="14">
        <v>45788</v>
      </c>
      <c r="B1092" s="14" t="s">
        <v>45</v>
      </c>
      <c r="C1092" s="15">
        <v>4</v>
      </c>
      <c r="D1092" s="16"/>
      <c r="E1092" s="16"/>
      <c r="F1092" s="17"/>
      <c r="G1092" s="21"/>
      <c r="H1092" s="21"/>
      <c r="I1092" s="4">
        <v>0</v>
      </c>
      <c r="J1092" s="4">
        <v>0</v>
      </c>
      <c r="K1092" s="4">
        <v>36</v>
      </c>
      <c r="L1092" s="16"/>
      <c r="M1092" s="4"/>
      <c r="N1092" s="4"/>
      <c r="O1092" s="4"/>
      <c r="P1092" s="4"/>
      <c r="Q1092" s="4"/>
      <c r="R1092" s="4"/>
      <c r="S1092" s="4">
        <v>36</v>
      </c>
      <c r="T1092" s="4">
        <v>0.6</v>
      </c>
      <c r="U1092" s="4">
        <v>0.6</v>
      </c>
      <c r="V1092" s="4">
        <v>11.4</v>
      </c>
      <c r="W1092" s="4">
        <v>12</v>
      </c>
      <c r="X1092" s="4">
        <v>0</v>
      </c>
      <c r="Y1092" s="4"/>
      <c r="Z1092" s="4">
        <v>449.26</v>
      </c>
      <c r="AA1092" s="4">
        <v>450</v>
      </c>
      <c r="AB1092" s="18"/>
      <c r="AC1092" s="18">
        <v>19</v>
      </c>
      <c r="AD1092" s="28"/>
      <c r="AE1092" s="26"/>
      <c r="AF1092" s="28"/>
    </row>
    <row r="1093" spans="1:32" ht="12.6" customHeight="1" x14ac:dyDescent="0.25">
      <c r="A1093" s="14">
        <v>45788</v>
      </c>
      <c r="B1093" s="14" t="s">
        <v>45</v>
      </c>
      <c r="C1093" s="15">
        <v>5</v>
      </c>
      <c r="D1093" s="16"/>
      <c r="E1093" s="16"/>
      <c r="F1093" s="17"/>
      <c r="G1093" s="21"/>
      <c r="H1093" s="21"/>
      <c r="I1093" s="4">
        <v>0</v>
      </c>
      <c r="J1093" s="4">
        <v>0</v>
      </c>
      <c r="K1093" s="4">
        <v>36</v>
      </c>
      <c r="L1093" s="16"/>
      <c r="M1093" s="4"/>
      <c r="N1093" s="4"/>
      <c r="O1093" s="4"/>
      <c r="P1093" s="4"/>
      <c r="Q1093" s="4"/>
      <c r="R1093" s="4"/>
      <c r="S1093" s="4">
        <v>36</v>
      </c>
      <c r="T1093" s="4">
        <v>0.6</v>
      </c>
      <c r="U1093" s="4">
        <v>0.6</v>
      </c>
      <c r="V1093" s="4">
        <v>11.4</v>
      </c>
      <c r="W1093" s="4">
        <v>12</v>
      </c>
      <c r="X1093" s="4">
        <v>0</v>
      </c>
      <c r="Y1093" s="4"/>
      <c r="Z1093" s="4">
        <v>414.84999999999997</v>
      </c>
      <c r="AA1093" s="4">
        <v>450</v>
      </c>
      <c r="AB1093" s="18"/>
      <c r="AC1093" s="18">
        <v>19</v>
      </c>
      <c r="AD1093" s="28"/>
      <c r="AE1093" s="26"/>
      <c r="AF1093" s="28"/>
    </row>
    <row r="1094" spans="1:32" ht="12.6" customHeight="1" x14ac:dyDescent="0.25">
      <c r="A1094" s="14">
        <v>45788</v>
      </c>
      <c r="B1094" s="14" t="s">
        <v>46</v>
      </c>
      <c r="C1094" s="15">
        <v>5</v>
      </c>
      <c r="D1094" s="16"/>
      <c r="E1094" s="16"/>
      <c r="F1094" s="17"/>
      <c r="G1094" s="21"/>
      <c r="H1094" s="21"/>
      <c r="I1094" s="4">
        <v>0</v>
      </c>
      <c r="J1094" s="4">
        <v>0</v>
      </c>
      <c r="K1094" s="4"/>
      <c r="L1094" s="16"/>
      <c r="M1094" s="4"/>
      <c r="N1094" s="4"/>
      <c r="O1094" s="4"/>
      <c r="P1094" s="4"/>
      <c r="Q1094" s="4"/>
      <c r="R1094" s="4"/>
      <c r="S1094" s="4">
        <v>0</v>
      </c>
      <c r="T1094" s="4">
        <v>0</v>
      </c>
      <c r="U1094" s="4">
        <v>0</v>
      </c>
      <c r="V1094" s="4">
        <v>12</v>
      </c>
      <c r="W1094" s="4">
        <v>12</v>
      </c>
      <c r="X1094" s="4">
        <v>0</v>
      </c>
      <c r="Y1094" s="4"/>
      <c r="Z1094" s="4">
        <v>414.46999999999997</v>
      </c>
      <c r="AA1094" s="4">
        <v>450</v>
      </c>
      <c r="AB1094" s="18"/>
      <c r="AC1094" s="18">
        <v>19</v>
      </c>
      <c r="AD1094" s="28"/>
      <c r="AE1094" s="26"/>
      <c r="AF1094" s="28"/>
    </row>
    <row r="1095" spans="1:32" ht="12.6" customHeight="1" x14ac:dyDescent="0.25">
      <c r="A1095" s="14">
        <v>45789</v>
      </c>
      <c r="B1095" s="14" t="s">
        <v>45</v>
      </c>
      <c r="C1095" s="15">
        <v>1</v>
      </c>
      <c r="D1095" s="16"/>
      <c r="E1095" s="16"/>
      <c r="F1095" s="17"/>
      <c r="G1095" s="21"/>
      <c r="H1095" s="21"/>
      <c r="I1095" s="4">
        <v>0</v>
      </c>
      <c r="J1095" s="4">
        <v>0</v>
      </c>
      <c r="K1095" s="4"/>
      <c r="L1095" s="16"/>
      <c r="M1095" s="4"/>
      <c r="N1095" s="4"/>
      <c r="O1095" s="4"/>
      <c r="P1095" s="4"/>
      <c r="Q1095" s="4"/>
      <c r="R1095" s="4"/>
      <c r="S1095" s="4">
        <v>0</v>
      </c>
      <c r="T1095" s="4">
        <v>0</v>
      </c>
      <c r="U1095" s="4">
        <v>0</v>
      </c>
      <c r="V1095" s="4">
        <v>12</v>
      </c>
      <c r="W1095" s="4">
        <v>12</v>
      </c>
      <c r="X1095" s="4">
        <v>40</v>
      </c>
      <c r="Y1095" s="4">
        <v>1477</v>
      </c>
      <c r="Z1095" s="4">
        <v>147.72999999999999</v>
      </c>
      <c r="AA1095" s="4">
        <v>150</v>
      </c>
      <c r="AB1095" s="18">
        <v>398</v>
      </c>
      <c r="AC1095" s="18">
        <v>20</v>
      </c>
      <c r="AD1095" s="28"/>
      <c r="AE1095" s="26"/>
      <c r="AF1095" s="28"/>
    </row>
    <row r="1096" spans="1:32" ht="12.6" customHeight="1" x14ac:dyDescent="0.25">
      <c r="A1096" s="14">
        <v>45789</v>
      </c>
      <c r="B1096" s="14" t="s">
        <v>46</v>
      </c>
      <c r="C1096" s="15">
        <v>1</v>
      </c>
      <c r="D1096" s="16"/>
      <c r="E1096" s="16"/>
      <c r="F1096" s="17"/>
      <c r="G1096" s="21"/>
      <c r="H1096" s="21"/>
      <c r="I1096" s="4">
        <v>0</v>
      </c>
      <c r="J1096" s="4">
        <v>0</v>
      </c>
      <c r="K1096" s="4"/>
      <c r="L1096" s="16"/>
      <c r="M1096" s="4"/>
      <c r="N1096" s="4"/>
      <c r="O1096" s="4"/>
      <c r="P1096" s="4"/>
      <c r="Q1096" s="4"/>
      <c r="R1096" s="4"/>
      <c r="S1096" s="4">
        <v>0</v>
      </c>
      <c r="T1096" s="4">
        <v>0</v>
      </c>
      <c r="U1096" s="4">
        <v>0</v>
      </c>
      <c r="V1096" s="4">
        <v>12</v>
      </c>
      <c r="W1096" s="4">
        <v>12</v>
      </c>
      <c r="X1096" s="4">
        <v>36</v>
      </c>
      <c r="Y1096" s="4"/>
      <c r="Z1096" s="4">
        <v>152.25000000000003</v>
      </c>
      <c r="AA1096" s="4">
        <v>200</v>
      </c>
      <c r="AB1096" s="18"/>
      <c r="AC1096" s="18">
        <v>20</v>
      </c>
      <c r="AD1096" s="28"/>
      <c r="AE1096" s="26"/>
      <c r="AF1096" s="28"/>
    </row>
    <row r="1097" spans="1:32" ht="12.6" customHeight="1" x14ac:dyDescent="0.25">
      <c r="A1097" s="14">
        <v>45789</v>
      </c>
      <c r="B1097" s="14" t="s">
        <v>45</v>
      </c>
      <c r="C1097" s="15">
        <v>2</v>
      </c>
      <c r="D1097" s="16"/>
      <c r="E1097" s="16"/>
      <c r="F1097" s="17"/>
      <c r="G1097" s="21"/>
      <c r="H1097" s="21"/>
      <c r="I1097" s="4">
        <v>0</v>
      </c>
      <c r="J1097" s="4">
        <v>0</v>
      </c>
      <c r="K1097" s="4"/>
      <c r="L1097" s="16"/>
      <c r="M1097" s="4"/>
      <c r="N1097" s="4"/>
      <c r="O1097" s="4"/>
      <c r="P1097" s="4"/>
      <c r="Q1097" s="4"/>
      <c r="R1097" s="4"/>
      <c r="S1097" s="4">
        <v>0</v>
      </c>
      <c r="T1097" s="4">
        <v>0</v>
      </c>
      <c r="U1097" s="4">
        <v>0</v>
      </c>
      <c r="V1097" s="4">
        <v>12</v>
      </c>
      <c r="W1097" s="4">
        <v>12</v>
      </c>
      <c r="X1097" s="4">
        <v>0</v>
      </c>
      <c r="Y1097" s="4"/>
      <c r="Z1097" s="4">
        <v>116.19000000000001</v>
      </c>
      <c r="AA1097" s="4">
        <v>100</v>
      </c>
      <c r="AB1097" s="18"/>
      <c r="AC1097" s="18">
        <v>20</v>
      </c>
      <c r="AD1097" s="28"/>
      <c r="AE1097" s="26"/>
      <c r="AF1097" s="28"/>
    </row>
    <row r="1098" spans="1:32" ht="12.6" customHeight="1" x14ac:dyDescent="0.25">
      <c r="A1098" s="14">
        <v>45789</v>
      </c>
      <c r="B1098" s="14" t="s">
        <v>46</v>
      </c>
      <c r="C1098" s="15">
        <v>2</v>
      </c>
      <c r="D1098" s="16"/>
      <c r="E1098" s="16"/>
      <c r="F1098" s="17"/>
      <c r="G1098" s="21"/>
      <c r="H1098" s="21"/>
      <c r="I1098" s="4">
        <v>0</v>
      </c>
      <c r="J1098" s="4">
        <v>0</v>
      </c>
      <c r="K1098" s="4"/>
      <c r="L1098" s="16"/>
      <c r="M1098" s="4"/>
      <c r="N1098" s="4"/>
      <c r="O1098" s="4"/>
      <c r="P1098" s="4"/>
      <c r="Q1098" s="4"/>
      <c r="R1098" s="4"/>
      <c r="S1098" s="4">
        <v>0</v>
      </c>
      <c r="T1098" s="4">
        <v>0</v>
      </c>
      <c r="U1098" s="4">
        <v>0</v>
      </c>
      <c r="V1098" s="4">
        <v>12</v>
      </c>
      <c r="W1098" s="4">
        <v>12</v>
      </c>
      <c r="X1098" s="4">
        <v>0</v>
      </c>
      <c r="Y1098" s="4"/>
      <c r="Z1098" s="4">
        <v>114.81</v>
      </c>
      <c r="AA1098" s="4">
        <v>150</v>
      </c>
      <c r="AB1098" s="18"/>
      <c r="AC1098" s="18">
        <v>20</v>
      </c>
      <c r="AD1098" s="28"/>
      <c r="AE1098" s="26"/>
      <c r="AF1098" s="28"/>
    </row>
    <row r="1099" spans="1:32" ht="12.6" customHeight="1" x14ac:dyDescent="0.25">
      <c r="A1099" s="14">
        <v>45789</v>
      </c>
      <c r="B1099" s="14" t="s">
        <v>45</v>
      </c>
      <c r="C1099" s="15">
        <v>3</v>
      </c>
      <c r="D1099" s="16"/>
      <c r="E1099" s="16"/>
      <c r="F1099" s="17"/>
      <c r="G1099" s="21"/>
      <c r="H1099" s="21"/>
      <c r="I1099" s="4">
        <v>0</v>
      </c>
      <c r="J1099" s="4">
        <v>0</v>
      </c>
      <c r="K1099" s="4"/>
      <c r="L1099" s="16"/>
      <c r="M1099" s="4"/>
      <c r="N1099" s="4"/>
      <c r="O1099" s="4"/>
      <c r="P1099" s="4">
        <v>120</v>
      </c>
      <c r="Q1099" s="4">
        <v>30</v>
      </c>
      <c r="R1099" s="4"/>
      <c r="S1099" s="4">
        <v>150</v>
      </c>
      <c r="T1099" s="4">
        <v>2.5</v>
      </c>
      <c r="U1099" s="4">
        <v>2.5</v>
      </c>
      <c r="V1099" s="4">
        <v>9.5</v>
      </c>
      <c r="W1099" s="4">
        <v>12</v>
      </c>
      <c r="X1099" s="4">
        <v>0</v>
      </c>
      <c r="Y1099" s="4"/>
      <c r="Z1099" s="4">
        <v>248.13000000000002</v>
      </c>
      <c r="AA1099" s="4">
        <v>250</v>
      </c>
      <c r="AB1099" s="18"/>
      <c r="AC1099" s="18">
        <v>20</v>
      </c>
      <c r="AD1099" s="28"/>
      <c r="AE1099" s="26"/>
      <c r="AF1099" s="28"/>
    </row>
    <row r="1100" spans="1:32" ht="12.6" customHeight="1" x14ac:dyDescent="0.25">
      <c r="A1100" s="14">
        <v>45789</v>
      </c>
      <c r="B1100" s="14" t="s">
        <v>46</v>
      </c>
      <c r="C1100" s="15">
        <v>3</v>
      </c>
      <c r="D1100" s="16"/>
      <c r="E1100" s="16"/>
      <c r="F1100" s="17"/>
      <c r="G1100" s="21"/>
      <c r="H1100" s="21"/>
      <c r="I1100" s="4">
        <v>0</v>
      </c>
      <c r="J1100" s="4">
        <v>0</v>
      </c>
      <c r="K1100" s="4"/>
      <c r="L1100" s="16"/>
      <c r="M1100" s="4"/>
      <c r="N1100" s="4"/>
      <c r="O1100" s="4"/>
      <c r="P1100" s="4"/>
      <c r="Q1100" s="4"/>
      <c r="R1100" s="4"/>
      <c r="S1100" s="4">
        <v>0</v>
      </c>
      <c r="T1100" s="4">
        <v>0</v>
      </c>
      <c r="U1100" s="4">
        <v>0</v>
      </c>
      <c r="V1100" s="4">
        <v>12</v>
      </c>
      <c r="W1100" s="4">
        <v>12</v>
      </c>
      <c r="X1100" s="4">
        <v>0</v>
      </c>
      <c r="Y1100" s="4"/>
      <c r="Z1100" s="4">
        <v>276.73</v>
      </c>
      <c r="AA1100" s="4">
        <v>300</v>
      </c>
      <c r="AB1100" s="18"/>
      <c r="AC1100" s="18">
        <v>20</v>
      </c>
      <c r="AD1100" s="28"/>
      <c r="AE1100" s="26"/>
      <c r="AF1100" s="28"/>
    </row>
    <row r="1101" spans="1:32" ht="12.6" customHeight="1" x14ac:dyDescent="0.25">
      <c r="A1101" s="14">
        <v>45789</v>
      </c>
      <c r="B1101" s="14" t="s">
        <v>46</v>
      </c>
      <c r="C1101" s="15">
        <v>4</v>
      </c>
      <c r="D1101" s="16"/>
      <c r="E1101" s="16"/>
      <c r="F1101" s="17"/>
      <c r="G1101" s="21"/>
      <c r="H1101" s="21"/>
      <c r="I1101" s="4">
        <v>0</v>
      </c>
      <c r="J1101" s="4">
        <v>0</v>
      </c>
      <c r="K1101" s="4"/>
      <c r="L1101" s="16"/>
      <c r="M1101" s="4"/>
      <c r="N1101" s="4"/>
      <c r="O1101" s="4"/>
      <c r="P1101" s="4"/>
      <c r="Q1101" s="4"/>
      <c r="R1101" s="4"/>
      <c r="S1101" s="4">
        <v>0</v>
      </c>
      <c r="T1101" s="4">
        <v>0</v>
      </c>
      <c r="U1101" s="4">
        <v>0</v>
      </c>
      <c r="V1101" s="4">
        <v>12</v>
      </c>
      <c r="W1101" s="4">
        <v>12</v>
      </c>
      <c r="X1101" s="4">
        <v>0</v>
      </c>
      <c r="Y1101" s="4"/>
      <c r="Z1101" s="4">
        <v>575.64</v>
      </c>
      <c r="AA1101" s="4">
        <v>600</v>
      </c>
      <c r="AB1101" s="18"/>
      <c r="AC1101" s="18">
        <v>20</v>
      </c>
      <c r="AD1101" s="28"/>
      <c r="AE1101" s="26"/>
      <c r="AF1101" s="28"/>
    </row>
    <row r="1102" spans="1:32" ht="12.6" customHeight="1" x14ac:dyDescent="0.25">
      <c r="A1102" s="14">
        <v>45789</v>
      </c>
      <c r="B1102" s="14" t="s">
        <v>45</v>
      </c>
      <c r="C1102" s="15">
        <v>5</v>
      </c>
      <c r="D1102" s="16">
        <v>15</v>
      </c>
      <c r="E1102" s="16"/>
      <c r="F1102" s="17"/>
      <c r="G1102" s="21"/>
      <c r="H1102" s="21"/>
      <c r="I1102" s="4">
        <v>15</v>
      </c>
      <c r="J1102" s="4">
        <v>0.25</v>
      </c>
      <c r="K1102" s="4"/>
      <c r="L1102" s="16"/>
      <c r="M1102" s="4"/>
      <c r="N1102" s="4"/>
      <c r="O1102" s="4"/>
      <c r="P1102" s="4"/>
      <c r="Q1102" s="4">
        <v>30</v>
      </c>
      <c r="R1102" s="4"/>
      <c r="S1102" s="4">
        <v>30</v>
      </c>
      <c r="T1102" s="4">
        <v>0.5</v>
      </c>
      <c r="U1102" s="4">
        <v>0.75</v>
      </c>
      <c r="V1102" s="4">
        <v>11.25</v>
      </c>
      <c r="W1102" s="4">
        <v>12</v>
      </c>
      <c r="X1102" s="4">
        <v>0</v>
      </c>
      <c r="Y1102" s="4"/>
      <c r="Z1102" s="4">
        <v>392.53</v>
      </c>
      <c r="AA1102" s="4">
        <v>400</v>
      </c>
      <c r="AB1102" s="18"/>
      <c r="AC1102" s="18">
        <v>20</v>
      </c>
      <c r="AD1102" s="28"/>
      <c r="AE1102" s="26"/>
      <c r="AF1102" s="28"/>
    </row>
    <row r="1103" spans="1:32" ht="12.6" customHeight="1" x14ac:dyDescent="0.25">
      <c r="A1103" s="14">
        <v>45789</v>
      </c>
      <c r="B1103" s="14" t="s">
        <v>46</v>
      </c>
      <c r="C1103" s="15">
        <v>5</v>
      </c>
      <c r="D1103" s="16"/>
      <c r="E1103" s="16"/>
      <c r="F1103" s="17"/>
      <c r="G1103" s="21"/>
      <c r="H1103" s="21"/>
      <c r="I1103" s="4">
        <v>0</v>
      </c>
      <c r="J1103" s="4">
        <v>0</v>
      </c>
      <c r="K1103" s="4"/>
      <c r="L1103" s="16"/>
      <c r="M1103" s="4"/>
      <c r="N1103" s="4"/>
      <c r="O1103" s="4"/>
      <c r="P1103" s="4"/>
      <c r="Q1103" s="4"/>
      <c r="R1103" s="4"/>
      <c r="S1103" s="4">
        <v>0</v>
      </c>
      <c r="T1103" s="4">
        <v>0</v>
      </c>
      <c r="U1103" s="4">
        <v>0</v>
      </c>
      <c r="V1103" s="4">
        <v>12</v>
      </c>
      <c r="W1103" s="4">
        <v>12</v>
      </c>
      <c r="X1103" s="4">
        <v>0</v>
      </c>
      <c r="Y1103" s="4"/>
      <c r="Z1103" s="4">
        <v>443.10000000000008</v>
      </c>
      <c r="AA1103" s="4">
        <v>450</v>
      </c>
      <c r="AB1103" s="18"/>
      <c r="AC1103" s="18">
        <v>20</v>
      </c>
      <c r="AD1103" s="28"/>
      <c r="AE1103" s="26"/>
      <c r="AF1103" s="28"/>
    </row>
    <row r="1104" spans="1:32" ht="12.6" customHeight="1" x14ac:dyDescent="0.25">
      <c r="A1104" s="14">
        <v>45790</v>
      </c>
      <c r="B1104" s="14" t="s">
        <v>45</v>
      </c>
      <c r="C1104" s="15">
        <v>1</v>
      </c>
      <c r="D1104" s="16"/>
      <c r="E1104" s="16"/>
      <c r="F1104" s="17"/>
      <c r="G1104" s="21"/>
      <c r="H1104" s="21"/>
      <c r="I1104" s="4">
        <v>0</v>
      </c>
      <c r="J1104" s="4">
        <v>0</v>
      </c>
      <c r="K1104" s="4"/>
      <c r="L1104" s="16"/>
      <c r="M1104" s="4"/>
      <c r="N1104" s="4"/>
      <c r="O1104" s="4"/>
      <c r="P1104" s="4"/>
      <c r="Q1104" s="4"/>
      <c r="R1104" s="4"/>
      <c r="S1104" s="4">
        <v>0</v>
      </c>
      <c r="T1104" s="4">
        <v>0</v>
      </c>
      <c r="U1104" s="4">
        <v>0</v>
      </c>
      <c r="V1104" s="4">
        <v>12</v>
      </c>
      <c r="W1104" s="4">
        <v>12</v>
      </c>
      <c r="X1104" s="4">
        <v>21</v>
      </c>
      <c r="Y1104" s="4">
        <v>1414</v>
      </c>
      <c r="Z1104" s="4">
        <v>150.4</v>
      </c>
      <c r="AA1104" s="4">
        <v>150</v>
      </c>
      <c r="AB1104" s="18">
        <v>398</v>
      </c>
      <c r="AC1104" s="18">
        <v>20</v>
      </c>
      <c r="AD1104" s="28"/>
      <c r="AE1104" s="26"/>
      <c r="AF1104" s="28"/>
    </row>
    <row r="1105" spans="1:32" ht="12.6" customHeight="1" x14ac:dyDescent="0.25">
      <c r="A1105" s="14">
        <v>45790</v>
      </c>
      <c r="B1105" s="14" t="s">
        <v>46</v>
      </c>
      <c r="C1105" s="15">
        <v>1</v>
      </c>
      <c r="D1105" s="16"/>
      <c r="E1105" s="16"/>
      <c r="F1105" s="17"/>
      <c r="G1105" s="21"/>
      <c r="H1105" s="21"/>
      <c r="I1105" s="4">
        <v>0</v>
      </c>
      <c r="J1105" s="4">
        <v>0</v>
      </c>
      <c r="K1105" s="4"/>
      <c r="L1105" s="16"/>
      <c r="M1105" s="4"/>
      <c r="N1105" s="4"/>
      <c r="O1105" s="4"/>
      <c r="P1105" s="4"/>
      <c r="Q1105" s="4"/>
      <c r="R1105" s="4"/>
      <c r="S1105" s="4">
        <v>0</v>
      </c>
      <c r="T1105" s="4">
        <v>0</v>
      </c>
      <c r="U1105" s="4">
        <v>0</v>
      </c>
      <c r="V1105" s="4">
        <v>12</v>
      </c>
      <c r="W1105" s="4">
        <v>12</v>
      </c>
      <c r="X1105" s="4">
        <v>31</v>
      </c>
      <c r="Y1105" s="4"/>
      <c r="Z1105" s="4">
        <v>170.26</v>
      </c>
      <c r="AA1105" s="4">
        <v>200</v>
      </c>
      <c r="AB1105" s="18"/>
      <c r="AC1105" s="18">
        <v>20</v>
      </c>
      <c r="AD1105" s="28"/>
      <c r="AE1105" s="26"/>
      <c r="AF1105" s="28"/>
    </row>
    <row r="1106" spans="1:32" ht="12.6" customHeight="1" x14ac:dyDescent="0.25">
      <c r="A1106" s="14">
        <v>45790</v>
      </c>
      <c r="B1106" s="14" t="s">
        <v>45</v>
      </c>
      <c r="C1106" s="15">
        <v>2</v>
      </c>
      <c r="D1106" s="16"/>
      <c r="E1106" s="16"/>
      <c r="F1106" s="17"/>
      <c r="G1106" s="21"/>
      <c r="H1106" s="21"/>
      <c r="I1106" s="4">
        <v>0</v>
      </c>
      <c r="J1106" s="4">
        <v>0</v>
      </c>
      <c r="K1106" s="4"/>
      <c r="L1106" s="16"/>
      <c r="M1106" s="4"/>
      <c r="N1106" s="4"/>
      <c r="O1106" s="4"/>
      <c r="P1106" s="4"/>
      <c r="Q1106" s="4"/>
      <c r="R1106" s="4"/>
      <c r="S1106" s="4">
        <v>0</v>
      </c>
      <c r="T1106" s="4">
        <v>0</v>
      </c>
      <c r="U1106" s="4">
        <v>0</v>
      </c>
      <c r="V1106" s="4">
        <v>12</v>
      </c>
      <c r="W1106" s="4">
        <v>12</v>
      </c>
      <c r="X1106" s="4">
        <v>0</v>
      </c>
      <c r="Y1106" s="4"/>
      <c r="Z1106" s="4">
        <v>147.94999999999996</v>
      </c>
      <c r="AA1106" s="4">
        <v>150</v>
      </c>
      <c r="AB1106" s="18"/>
      <c r="AC1106" s="18">
        <v>20</v>
      </c>
      <c r="AD1106" s="28"/>
      <c r="AE1106" s="26"/>
      <c r="AF1106" s="28"/>
    </row>
    <row r="1107" spans="1:32" ht="12.6" customHeight="1" x14ac:dyDescent="0.25">
      <c r="A1107" s="14">
        <v>45790</v>
      </c>
      <c r="B1107" s="14" t="s">
        <v>46</v>
      </c>
      <c r="C1107" s="15">
        <v>2</v>
      </c>
      <c r="D1107" s="16"/>
      <c r="E1107" s="16"/>
      <c r="F1107" s="17"/>
      <c r="G1107" s="21"/>
      <c r="H1107" s="21"/>
      <c r="I1107" s="4">
        <v>0</v>
      </c>
      <c r="J1107" s="4">
        <v>0</v>
      </c>
      <c r="K1107" s="4"/>
      <c r="L1107" s="16"/>
      <c r="M1107" s="4"/>
      <c r="N1107" s="4"/>
      <c r="O1107" s="4"/>
      <c r="P1107" s="4"/>
      <c r="Q1107" s="4"/>
      <c r="R1107" s="4"/>
      <c r="S1107" s="4">
        <v>0</v>
      </c>
      <c r="T1107" s="4">
        <v>0</v>
      </c>
      <c r="U1107" s="4">
        <v>0</v>
      </c>
      <c r="V1107" s="4">
        <v>12</v>
      </c>
      <c r="W1107" s="4">
        <v>12</v>
      </c>
      <c r="X1107" s="4">
        <v>0</v>
      </c>
      <c r="Y1107" s="4"/>
      <c r="Z1107" s="4">
        <v>114.43</v>
      </c>
      <c r="AA1107" s="4">
        <v>100</v>
      </c>
      <c r="AB1107" s="18"/>
      <c r="AC1107" s="18">
        <v>20</v>
      </c>
      <c r="AD1107" s="28"/>
      <c r="AE1107" s="26"/>
      <c r="AF1107" s="28"/>
    </row>
    <row r="1108" spans="1:32" ht="12.6" customHeight="1" x14ac:dyDescent="0.25">
      <c r="A1108" s="14">
        <v>45790</v>
      </c>
      <c r="B1108" s="14" t="s">
        <v>45</v>
      </c>
      <c r="C1108" s="15">
        <v>3</v>
      </c>
      <c r="D1108" s="16"/>
      <c r="E1108" s="16"/>
      <c r="F1108" s="17"/>
      <c r="G1108" s="21"/>
      <c r="H1108" s="21"/>
      <c r="I1108" s="4">
        <v>0</v>
      </c>
      <c r="J1108" s="4">
        <v>0</v>
      </c>
      <c r="K1108" s="4"/>
      <c r="L1108" s="16"/>
      <c r="M1108" s="4"/>
      <c r="N1108" s="4"/>
      <c r="O1108" s="4"/>
      <c r="P1108" s="4"/>
      <c r="Q1108" s="4"/>
      <c r="R1108" s="4"/>
      <c r="S1108" s="4">
        <v>0</v>
      </c>
      <c r="T1108" s="4">
        <v>0</v>
      </c>
      <c r="U1108" s="4">
        <v>0</v>
      </c>
      <c r="V1108" s="4">
        <v>12</v>
      </c>
      <c r="W1108" s="4">
        <v>12</v>
      </c>
      <c r="X1108" s="4">
        <v>0</v>
      </c>
      <c r="Y1108" s="4"/>
      <c r="Z1108" s="4">
        <v>290.58</v>
      </c>
      <c r="AA1108" s="4">
        <v>300</v>
      </c>
      <c r="AB1108" s="18"/>
      <c r="AC1108" s="18">
        <v>20</v>
      </c>
      <c r="AD1108" s="28"/>
      <c r="AE1108" s="26"/>
      <c r="AF1108" s="28"/>
    </row>
    <row r="1109" spans="1:32" ht="12.6" customHeight="1" x14ac:dyDescent="0.25">
      <c r="A1109" s="14">
        <v>45790</v>
      </c>
      <c r="B1109" s="14" t="s">
        <v>46</v>
      </c>
      <c r="C1109" s="15">
        <v>3</v>
      </c>
      <c r="D1109" s="16"/>
      <c r="E1109" s="16"/>
      <c r="F1109" s="17"/>
      <c r="G1109" s="21"/>
      <c r="H1109" s="21"/>
      <c r="I1109" s="4">
        <v>0</v>
      </c>
      <c r="J1109" s="4">
        <v>0</v>
      </c>
      <c r="K1109" s="4"/>
      <c r="L1109" s="16"/>
      <c r="M1109" s="4"/>
      <c r="N1109" s="4"/>
      <c r="O1109" s="4"/>
      <c r="P1109" s="4"/>
      <c r="Q1109" s="4"/>
      <c r="R1109" s="4"/>
      <c r="S1109" s="4">
        <v>0</v>
      </c>
      <c r="T1109" s="4">
        <v>0</v>
      </c>
      <c r="U1109" s="4">
        <v>0</v>
      </c>
      <c r="V1109" s="4">
        <v>12</v>
      </c>
      <c r="W1109" s="4">
        <v>12</v>
      </c>
      <c r="X1109" s="4">
        <v>0</v>
      </c>
      <c r="Y1109" s="4"/>
      <c r="Z1109" s="4">
        <v>287.61999999999995</v>
      </c>
      <c r="AA1109" s="4">
        <v>300</v>
      </c>
      <c r="AB1109" s="18"/>
      <c r="AC1109" s="18">
        <v>20</v>
      </c>
      <c r="AD1109" s="28"/>
      <c r="AE1109" s="26"/>
      <c r="AF1109" s="28"/>
    </row>
    <row r="1110" spans="1:32" ht="12.6" customHeight="1" x14ac:dyDescent="0.25">
      <c r="A1110" s="14">
        <v>45790</v>
      </c>
      <c r="B1110" s="14" t="s">
        <v>45</v>
      </c>
      <c r="C1110" s="15">
        <v>4</v>
      </c>
      <c r="D1110" s="16">
        <v>30</v>
      </c>
      <c r="E1110" s="16"/>
      <c r="F1110" s="17"/>
      <c r="G1110" s="21"/>
      <c r="H1110" s="21"/>
      <c r="I1110" s="4">
        <v>30</v>
      </c>
      <c r="J1110" s="4">
        <v>0.5</v>
      </c>
      <c r="K1110" s="4"/>
      <c r="L1110" s="16"/>
      <c r="M1110" s="4"/>
      <c r="N1110" s="4"/>
      <c r="O1110" s="4"/>
      <c r="P1110" s="4"/>
      <c r="Q1110" s="4"/>
      <c r="R1110" s="4"/>
      <c r="S1110" s="4">
        <v>0</v>
      </c>
      <c r="T1110" s="4">
        <v>0</v>
      </c>
      <c r="U1110" s="4">
        <v>0.5</v>
      </c>
      <c r="V1110" s="4">
        <v>11.5</v>
      </c>
      <c r="W1110" s="4">
        <v>12</v>
      </c>
      <c r="X1110" s="4">
        <v>0</v>
      </c>
      <c r="Y1110" s="4"/>
      <c r="Z1110" s="4">
        <v>567.14</v>
      </c>
      <c r="AA1110" s="4">
        <v>600</v>
      </c>
      <c r="AB1110" s="18"/>
      <c r="AC1110" s="18">
        <v>20</v>
      </c>
      <c r="AD1110" s="28"/>
      <c r="AE1110" s="26"/>
      <c r="AF1110" s="28"/>
    </row>
    <row r="1111" spans="1:32" ht="12.6" customHeight="1" x14ac:dyDescent="0.25">
      <c r="A1111" s="14">
        <v>45790</v>
      </c>
      <c r="B1111" s="14" t="s">
        <v>46</v>
      </c>
      <c r="C1111" s="15">
        <v>4</v>
      </c>
      <c r="D1111" s="16"/>
      <c r="E1111" s="16"/>
      <c r="F1111" s="17"/>
      <c r="G1111" s="21"/>
      <c r="H1111" s="21"/>
      <c r="I1111" s="4">
        <v>0</v>
      </c>
      <c r="J1111" s="4">
        <v>0</v>
      </c>
      <c r="K1111" s="4"/>
      <c r="L1111" s="16"/>
      <c r="M1111" s="4"/>
      <c r="N1111" s="4"/>
      <c r="O1111" s="4"/>
      <c r="P1111" s="4">
        <v>720</v>
      </c>
      <c r="Q1111" s="4"/>
      <c r="R1111" s="4"/>
      <c r="S1111" s="4">
        <v>720</v>
      </c>
      <c r="T1111" s="4">
        <v>12</v>
      </c>
      <c r="U1111" s="4">
        <v>12</v>
      </c>
      <c r="V1111" s="4">
        <v>0</v>
      </c>
      <c r="W1111" s="4">
        <v>12</v>
      </c>
      <c r="X1111" s="4">
        <v>0</v>
      </c>
      <c r="Y1111" s="4"/>
      <c r="Z1111" s="4">
        <v>32.96</v>
      </c>
      <c r="AA1111" s="4">
        <v>300</v>
      </c>
      <c r="AB1111" s="18"/>
      <c r="AC1111" s="18">
        <v>20</v>
      </c>
      <c r="AD1111" s="28"/>
      <c r="AE1111" s="26"/>
      <c r="AF1111" s="28"/>
    </row>
    <row r="1112" spans="1:32" ht="12.6" customHeight="1" x14ac:dyDescent="0.25">
      <c r="A1112" s="14">
        <v>45790</v>
      </c>
      <c r="B1112" s="14" t="s">
        <v>45</v>
      </c>
      <c r="C1112" s="15">
        <v>5</v>
      </c>
      <c r="D1112" s="16">
        <v>40</v>
      </c>
      <c r="E1112" s="16"/>
      <c r="F1112" s="17"/>
      <c r="G1112" s="21"/>
      <c r="H1112" s="21"/>
      <c r="I1112" s="4">
        <v>40</v>
      </c>
      <c r="J1112" s="4">
        <v>0.66666666666666663</v>
      </c>
      <c r="K1112" s="4"/>
      <c r="L1112" s="16"/>
      <c r="M1112" s="4"/>
      <c r="N1112" s="4"/>
      <c r="O1112" s="4"/>
      <c r="P1112" s="4"/>
      <c r="Q1112" s="4"/>
      <c r="R1112" s="4"/>
      <c r="S1112" s="4">
        <v>0</v>
      </c>
      <c r="T1112" s="4">
        <v>0</v>
      </c>
      <c r="U1112" s="4">
        <v>0.66666666666666663</v>
      </c>
      <c r="V1112" s="4">
        <v>11.333333333333334</v>
      </c>
      <c r="W1112" s="4">
        <v>12</v>
      </c>
      <c r="X1112" s="4">
        <v>0</v>
      </c>
      <c r="Y1112" s="4"/>
      <c r="Z1112" s="4">
        <v>415.93</v>
      </c>
      <c r="AA1112" s="4">
        <v>450</v>
      </c>
      <c r="AB1112" s="18"/>
      <c r="AC1112" s="18">
        <v>20</v>
      </c>
      <c r="AD1112" s="28"/>
      <c r="AE1112" s="26"/>
      <c r="AF1112" s="28"/>
    </row>
    <row r="1113" spans="1:32" ht="12.6" customHeight="1" x14ac:dyDescent="0.25">
      <c r="A1113" s="14">
        <v>45790</v>
      </c>
      <c r="B1113" s="14" t="s">
        <v>46</v>
      </c>
      <c r="C1113" s="15">
        <v>5</v>
      </c>
      <c r="D1113" s="16">
        <v>20</v>
      </c>
      <c r="E1113" s="16"/>
      <c r="F1113" s="17"/>
      <c r="G1113" s="21"/>
      <c r="H1113" s="21"/>
      <c r="I1113" s="4">
        <v>20</v>
      </c>
      <c r="J1113" s="4">
        <v>0.33333333333333331</v>
      </c>
      <c r="K1113" s="4"/>
      <c r="L1113" s="16"/>
      <c r="M1113" s="4"/>
      <c r="N1113" s="4"/>
      <c r="O1113" s="4"/>
      <c r="P1113" s="4"/>
      <c r="Q1113" s="4"/>
      <c r="R1113" s="4"/>
      <c r="S1113" s="4">
        <v>0</v>
      </c>
      <c r="T1113" s="4">
        <v>0</v>
      </c>
      <c r="U1113" s="4">
        <v>0.33333333333333331</v>
      </c>
      <c r="V1113" s="4">
        <v>11.666666666666666</v>
      </c>
      <c r="W1113" s="4">
        <v>12</v>
      </c>
      <c r="X1113" s="4">
        <v>0</v>
      </c>
      <c r="Y1113" s="4"/>
      <c r="Z1113" s="4">
        <v>458.89000000000004</v>
      </c>
      <c r="AA1113" s="4">
        <v>450</v>
      </c>
      <c r="AB1113" s="18"/>
      <c r="AC1113" s="18">
        <v>20</v>
      </c>
      <c r="AD1113" s="28"/>
      <c r="AE1113" s="26"/>
      <c r="AF1113" s="28"/>
    </row>
    <row r="1114" spans="1:32" ht="12.6" customHeight="1" x14ac:dyDescent="0.25">
      <c r="A1114" s="14">
        <v>45791</v>
      </c>
      <c r="B1114" s="14" t="s">
        <v>45</v>
      </c>
      <c r="C1114" s="15">
        <v>1</v>
      </c>
      <c r="D1114" s="16">
        <v>20</v>
      </c>
      <c r="E1114" s="16"/>
      <c r="F1114" s="17"/>
      <c r="G1114" s="21"/>
      <c r="H1114" s="21"/>
      <c r="I1114" s="4">
        <v>20</v>
      </c>
      <c r="J1114" s="4">
        <v>0.33333333333333331</v>
      </c>
      <c r="K1114" s="4"/>
      <c r="L1114" s="16"/>
      <c r="M1114" s="4"/>
      <c r="N1114" s="4"/>
      <c r="O1114" s="4"/>
      <c r="P1114" s="4"/>
      <c r="Q1114" s="4"/>
      <c r="R1114" s="4"/>
      <c r="S1114" s="4">
        <v>0</v>
      </c>
      <c r="T1114" s="4">
        <v>0</v>
      </c>
      <c r="U1114" s="4">
        <v>0.33333333333333331</v>
      </c>
      <c r="V1114" s="4">
        <v>11.666666666666666</v>
      </c>
      <c r="W1114" s="4">
        <v>12</v>
      </c>
      <c r="X1114" s="4">
        <v>26</v>
      </c>
      <c r="Y1114" s="4">
        <v>1039</v>
      </c>
      <c r="Z1114" s="4">
        <v>152.40999999999997</v>
      </c>
      <c r="AA1114" s="4">
        <v>150</v>
      </c>
      <c r="AB1114" s="18">
        <v>398</v>
      </c>
      <c r="AC1114" s="18">
        <v>20</v>
      </c>
      <c r="AD1114" s="28"/>
      <c r="AE1114" s="26"/>
      <c r="AF1114" s="28"/>
    </row>
    <row r="1115" spans="1:32" ht="12.6" customHeight="1" x14ac:dyDescent="0.25">
      <c r="A1115" s="14">
        <v>45791</v>
      </c>
      <c r="B1115" s="14" t="s">
        <v>46</v>
      </c>
      <c r="C1115" s="15">
        <v>1</v>
      </c>
      <c r="D1115" s="16"/>
      <c r="E1115" s="16"/>
      <c r="F1115" s="17"/>
      <c r="G1115" s="21"/>
      <c r="H1115" s="21"/>
      <c r="I1115" s="4">
        <v>0</v>
      </c>
      <c r="J1115" s="4">
        <v>0</v>
      </c>
      <c r="K1115" s="4"/>
      <c r="L1115" s="16"/>
      <c r="M1115" s="4"/>
      <c r="N1115" s="4"/>
      <c r="O1115" s="4"/>
      <c r="P1115" s="4"/>
      <c r="Q1115" s="4"/>
      <c r="R1115" s="4"/>
      <c r="S1115" s="4">
        <v>0</v>
      </c>
      <c r="T1115" s="4">
        <v>0</v>
      </c>
      <c r="U1115" s="4">
        <v>0</v>
      </c>
      <c r="V1115" s="4">
        <v>12</v>
      </c>
      <c r="W1115" s="4">
        <v>12</v>
      </c>
      <c r="X1115" s="4">
        <v>24</v>
      </c>
      <c r="Y1115" s="4"/>
      <c r="Z1115" s="4">
        <v>188.61</v>
      </c>
      <c r="AA1115" s="4">
        <v>200</v>
      </c>
      <c r="AB1115" s="18"/>
      <c r="AC1115" s="18">
        <v>20</v>
      </c>
      <c r="AD1115" s="28"/>
      <c r="AE1115" s="26"/>
      <c r="AF1115" s="28"/>
    </row>
    <row r="1116" spans="1:32" ht="12.6" customHeight="1" x14ac:dyDescent="0.25">
      <c r="A1116" s="14">
        <v>45791</v>
      </c>
      <c r="B1116" s="14" t="s">
        <v>45</v>
      </c>
      <c r="C1116" s="15">
        <v>2</v>
      </c>
      <c r="D1116" s="16"/>
      <c r="E1116" s="16"/>
      <c r="F1116" s="17"/>
      <c r="G1116" s="21"/>
      <c r="H1116" s="21"/>
      <c r="I1116" s="4">
        <v>0</v>
      </c>
      <c r="J1116" s="4">
        <v>0</v>
      </c>
      <c r="K1116" s="4"/>
      <c r="L1116" s="16"/>
      <c r="M1116" s="4"/>
      <c r="N1116" s="4"/>
      <c r="O1116" s="4"/>
      <c r="P1116" s="4"/>
      <c r="Q1116" s="4"/>
      <c r="R1116" s="4"/>
      <c r="S1116" s="4">
        <v>0</v>
      </c>
      <c r="T1116" s="4">
        <v>0</v>
      </c>
      <c r="U1116" s="4">
        <v>0</v>
      </c>
      <c r="V1116" s="4">
        <v>12</v>
      </c>
      <c r="W1116" s="4">
        <v>12</v>
      </c>
      <c r="X1116" s="4">
        <v>0</v>
      </c>
      <c r="Y1116" s="4"/>
      <c r="Z1116" s="4">
        <v>101.81000000000002</v>
      </c>
      <c r="AA1116" s="4">
        <v>100</v>
      </c>
      <c r="AB1116" s="18"/>
      <c r="AC1116" s="18">
        <v>20</v>
      </c>
      <c r="AD1116" s="28"/>
      <c r="AE1116" s="26"/>
      <c r="AF1116" s="28"/>
    </row>
    <row r="1117" spans="1:32" ht="12.6" customHeight="1" x14ac:dyDescent="0.25">
      <c r="A1117" s="14">
        <v>45791</v>
      </c>
      <c r="B1117" s="14" t="s">
        <v>46</v>
      </c>
      <c r="C1117" s="15">
        <v>2</v>
      </c>
      <c r="D1117" s="16"/>
      <c r="E1117" s="16"/>
      <c r="F1117" s="17"/>
      <c r="G1117" s="21"/>
      <c r="H1117" s="21"/>
      <c r="I1117" s="4">
        <v>0</v>
      </c>
      <c r="J1117" s="4">
        <v>0</v>
      </c>
      <c r="K1117" s="4"/>
      <c r="L1117" s="16"/>
      <c r="M1117" s="4"/>
      <c r="N1117" s="4"/>
      <c r="O1117" s="4"/>
      <c r="P1117" s="4"/>
      <c r="Q1117" s="4"/>
      <c r="R1117" s="4"/>
      <c r="S1117" s="4">
        <v>0</v>
      </c>
      <c r="T1117" s="4">
        <v>0</v>
      </c>
      <c r="U1117" s="4">
        <v>0</v>
      </c>
      <c r="V1117" s="4">
        <v>12</v>
      </c>
      <c r="W1117" s="4">
        <v>12</v>
      </c>
      <c r="X1117" s="4">
        <v>0</v>
      </c>
      <c r="Y1117" s="4"/>
      <c r="Z1117" s="4">
        <v>112.39999999999999</v>
      </c>
      <c r="AA1117" s="4">
        <v>150</v>
      </c>
      <c r="AB1117" s="18"/>
      <c r="AC1117" s="18">
        <v>20</v>
      </c>
      <c r="AD1117" s="28"/>
      <c r="AE1117" s="26"/>
      <c r="AF1117" s="28"/>
    </row>
    <row r="1118" spans="1:32" ht="12.6" customHeight="1" x14ac:dyDescent="0.25">
      <c r="A1118" s="14">
        <v>45791</v>
      </c>
      <c r="B1118" s="14" t="s">
        <v>45</v>
      </c>
      <c r="C1118" s="15">
        <v>3</v>
      </c>
      <c r="D1118" s="16"/>
      <c r="E1118" s="16"/>
      <c r="F1118" s="17"/>
      <c r="G1118" s="21"/>
      <c r="H1118" s="21"/>
      <c r="I1118" s="4">
        <v>0</v>
      </c>
      <c r="J1118" s="4">
        <v>0</v>
      </c>
      <c r="K1118" s="4"/>
      <c r="L1118" s="16"/>
      <c r="M1118" s="4"/>
      <c r="N1118" s="4"/>
      <c r="O1118" s="4"/>
      <c r="P1118" s="4"/>
      <c r="Q1118" s="4"/>
      <c r="R1118" s="4"/>
      <c r="S1118" s="4">
        <v>0</v>
      </c>
      <c r="T1118" s="4">
        <v>0</v>
      </c>
      <c r="U1118" s="4">
        <v>0</v>
      </c>
      <c r="V1118" s="4">
        <v>12</v>
      </c>
      <c r="W1118" s="4">
        <v>12</v>
      </c>
      <c r="X1118" s="4">
        <v>0</v>
      </c>
      <c r="Y1118" s="4"/>
      <c r="Z1118" s="4">
        <v>259.14999999999998</v>
      </c>
      <c r="AA1118" s="4">
        <v>300</v>
      </c>
      <c r="AB1118" s="18"/>
      <c r="AC1118" s="18">
        <v>20</v>
      </c>
      <c r="AD1118" s="28"/>
      <c r="AE1118" s="26"/>
      <c r="AF1118" s="28"/>
    </row>
    <row r="1119" spans="1:32" ht="12.6" customHeight="1" x14ac:dyDescent="0.25">
      <c r="A1119" s="14">
        <v>45791</v>
      </c>
      <c r="B1119" s="14" t="s">
        <v>46</v>
      </c>
      <c r="C1119" s="15">
        <v>3</v>
      </c>
      <c r="D1119" s="16"/>
      <c r="E1119" s="16"/>
      <c r="F1119" s="17"/>
      <c r="G1119" s="21"/>
      <c r="H1119" s="21"/>
      <c r="I1119" s="4">
        <v>0</v>
      </c>
      <c r="J1119" s="4">
        <v>0</v>
      </c>
      <c r="K1119" s="4"/>
      <c r="L1119" s="16"/>
      <c r="M1119" s="4"/>
      <c r="N1119" s="4"/>
      <c r="O1119" s="4"/>
      <c r="P1119" s="4"/>
      <c r="Q1119" s="4"/>
      <c r="R1119" s="4"/>
      <c r="S1119" s="4">
        <v>0</v>
      </c>
      <c r="T1119" s="4">
        <v>0</v>
      </c>
      <c r="U1119" s="4">
        <v>0</v>
      </c>
      <c r="V1119" s="4">
        <v>12</v>
      </c>
      <c r="W1119" s="4">
        <v>12</v>
      </c>
      <c r="X1119" s="4">
        <v>0</v>
      </c>
      <c r="Y1119" s="4"/>
      <c r="Z1119" s="4">
        <v>285.64</v>
      </c>
      <c r="AA1119" s="4">
        <v>300</v>
      </c>
      <c r="AB1119" s="18"/>
      <c r="AC1119" s="18">
        <v>20</v>
      </c>
      <c r="AD1119" s="28"/>
      <c r="AE1119" s="26"/>
      <c r="AF1119" s="28"/>
    </row>
    <row r="1120" spans="1:32" ht="12.6" customHeight="1" x14ac:dyDescent="0.25">
      <c r="A1120" s="14">
        <v>45791</v>
      </c>
      <c r="B1120" s="14" t="s">
        <v>45</v>
      </c>
      <c r="C1120" s="15">
        <v>5</v>
      </c>
      <c r="D1120" s="16"/>
      <c r="E1120" s="16"/>
      <c r="F1120" s="17"/>
      <c r="G1120" s="21"/>
      <c r="H1120" s="21"/>
      <c r="I1120" s="4">
        <v>0</v>
      </c>
      <c r="J1120" s="4">
        <v>0</v>
      </c>
      <c r="K1120" s="4"/>
      <c r="L1120" s="16"/>
      <c r="M1120" s="4"/>
      <c r="N1120" s="4"/>
      <c r="O1120" s="4"/>
      <c r="P1120" s="4">
        <v>120</v>
      </c>
      <c r="Q1120" s="4"/>
      <c r="R1120" s="4"/>
      <c r="S1120" s="4">
        <v>120</v>
      </c>
      <c r="T1120" s="4">
        <v>2</v>
      </c>
      <c r="U1120" s="4">
        <v>2</v>
      </c>
      <c r="V1120" s="4">
        <v>10</v>
      </c>
      <c r="W1120" s="4">
        <v>12</v>
      </c>
      <c r="X1120" s="4">
        <v>0</v>
      </c>
      <c r="Y1120" s="4"/>
      <c r="Z1120" s="4">
        <v>267.98</v>
      </c>
      <c r="AA1120" s="4">
        <v>300</v>
      </c>
      <c r="AB1120" s="18"/>
      <c r="AC1120" s="18">
        <v>20</v>
      </c>
      <c r="AD1120" s="28"/>
      <c r="AE1120" s="26"/>
      <c r="AF1120" s="28"/>
    </row>
    <row r="1121" spans="1:32" ht="12.6" customHeight="1" x14ac:dyDescent="0.25">
      <c r="A1121" s="14">
        <v>45791</v>
      </c>
      <c r="B1121" s="14" t="s">
        <v>46</v>
      </c>
      <c r="C1121" s="15">
        <v>5</v>
      </c>
      <c r="D1121" s="16"/>
      <c r="E1121" s="16"/>
      <c r="F1121" s="17"/>
      <c r="G1121" s="21"/>
      <c r="H1121" s="21"/>
      <c r="I1121" s="4">
        <v>0</v>
      </c>
      <c r="J1121" s="4">
        <v>0</v>
      </c>
      <c r="K1121" s="4"/>
      <c r="L1121" s="16"/>
      <c r="M1121" s="4"/>
      <c r="N1121" s="4"/>
      <c r="O1121" s="4"/>
      <c r="P1121" s="4"/>
      <c r="Q1121" s="4"/>
      <c r="R1121" s="4"/>
      <c r="S1121" s="4">
        <v>0</v>
      </c>
      <c r="T1121" s="4">
        <v>0</v>
      </c>
      <c r="U1121" s="4">
        <v>0</v>
      </c>
      <c r="V1121" s="4">
        <v>12</v>
      </c>
      <c r="W1121" s="4">
        <v>12</v>
      </c>
      <c r="X1121" s="4">
        <v>0</v>
      </c>
      <c r="Y1121" s="4"/>
      <c r="Z1121" s="4">
        <v>310.29000000000002</v>
      </c>
      <c r="AA1121" s="4">
        <v>300</v>
      </c>
      <c r="AB1121" s="18"/>
      <c r="AC1121" s="18">
        <v>20</v>
      </c>
      <c r="AD1121" s="28"/>
      <c r="AE1121" s="26"/>
      <c r="AF1121" s="28"/>
    </row>
    <row r="1122" spans="1:32" ht="12.6" customHeight="1" x14ac:dyDescent="0.25">
      <c r="A1122" s="14">
        <v>45792</v>
      </c>
      <c r="B1122" s="14" t="s">
        <v>45</v>
      </c>
      <c r="C1122" s="15">
        <v>1</v>
      </c>
      <c r="D1122" s="16"/>
      <c r="E1122" s="16"/>
      <c r="F1122" s="17"/>
      <c r="G1122" s="21"/>
      <c r="H1122" s="21"/>
      <c r="I1122" s="4">
        <v>0</v>
      </c>
      <c r="J1122" s="4">
        <v>0</v>
      </c>
      <c r="K1122" s="4"/>
      <c r="L1122" s="16"/>
      <c r="M1122" s="4"/>
      <c r="N1122" s="4"/>
      <c r="O1122" s="4"/>
      <c r="P1122" s="4"/>
      <c r="Q1122" s="4"/>
      <c r="R1122" s="4"/>
      <c r="S1122" s="4">
        <v>0</v>
      </c>
      <c r="T1122" s="4">
        <v>0</v>
      </c>
      <c r="U1122" s="4">
        <v>0</v>
      </c>
      <c r="V1122" s="4">
        <v>12</v>
      </c>
      <c r="W1122" s="4">
        <v>12</v>
      </c>
      <c r="X1122" s="4">
        <v>51</v>
      </c>
      <c r="Y1122" s="4">
        <v>1596</v>
      </c>
      <c r="Z1122" s="4">
        <v>181.14999999999998</v>
      </c>
      <c r="AA1122" s="4">
        <v>200</v>
      </c>
      <c r="AB1122" s="18">
        <v>398</v>
      </c>
      <c r="AC1122" s="18">
        <v>20</v>
      </c>
      <c r="AD1122" s="28"/>
      <c r="AE1122" s="26"/>
      <c r="AF1122" s="28"/>
    </row>
    <row r="1123" spans="1:32" ht="12.6" customHeight="1" x14ac:dyDescent="0.25">
      <c r="A1123" s="14">
        <v>45792</v>
      </c>
      <c r="B1123" s="14" t="s">
        <v>46</v>
      </c>
      <c r="C1123" s="15">
        <v>1</v>
      </c>
      <c r="D1123" s="16"/>
      <c r="E1123" s="16"/>
      <c r="F1123" s="17"/>
      <c r="G1123" s="21"/>
      <c r="H1123" s="21"/>
      <c r="I1123" s="4">
        <v>0</v>
      </c>
      <c r="J1123" s="4">
        <v>0</v>
      </c>
      <c r="K1123" s="4"/>
      <c r="L1123" s="16"/>
      <c r="M1123" s="4"/>
      <c r="N1123" s="4"/>
      <c r="O1123" s="4"/>
      <c r="P1123" s="4"/>
      <c r="Q1123" s="4"/>
      <c r="R1123" s="4"/>
      <c r="S1123" s="4">
        <v>0</v>
      </c>
      <c r="T1123" s="4">
        <v>0</v>
      </c>
      <c r="U1123" s="4">
        <v>0</v>
      </c>
      <c r="V1123" s="4">
        <v>12</v>
      </c>
      <c r="W1123" s="4">
        <v>12</v>
      </c>
      <c r="X1123" s="4">
        <v>69</v>
      </c>
      <c r="Y1123" s="4"/>
      <c r="Z1123" s="4">
        <v>187.05</v>
      </c>
      <c r="AA1123" s="4">
        <v>200</v>
      </c>
      <c r="AB1123" s="18"/>
      <c r="AC1123" s="18">
        <v>20</v>
      </c>
      <c r="AD1123" s="28"/>
      <c r="AE1123" s="26"/>
      <c r="AF1123" s="28"/>
    </row>
    <row r="1124" spans="1:32" ht="12.6" customHeight="1" x14ac:dyDescent="0.25">
      <c r="A1124" s="14">
        <v>45792</v>
      </c>
      <c r="B1124" s="14" t="s">
        <v>45</v>
      </c>
      <c r="C1124" s="15">
        <v>2</v>
      </c>
      <c r="D1124" s="16"/>
      <c r="E1124" s="16"/>
      <c r="F1124" s="17"/>
      <c r="G1124" s="21"/>
      <c r="H1124" s="21"/>
      <c r="I1124" s="4">
        <v>0</v>
      </c>
      <c r="J1124" s="4">
        <v>0</v>
      </c>
      <c r="K1124" s="4"/>
      <c r="L1124" s="16"/>
      <c r="M1124" s="4"/>
      <c r="N1124" s="4"/>
      <c r="O1124" s="4"/>
      <c r="P1124" s="4"/>
      <c r="Q1124" s="4"/>
      <c r="R1124" s="4"/>
      <c r="S1124" s="4">
        <v>0</v>
      </c>
      <c r="T1124" s="4">
        <v>0</v>
      </c>
      <c r="U1124" s="4">
        <v>0</v>
      </c>
      <c r="V1124" s="4">
        <v>12</v>
      </c>
      <c r="W1124" s="4">
        <v>12</v>
      </c>
      <c r="X1124" s="4">
        <v>0</v>
      </c>
      <c r="Y1124" s="4"/>
      <c r="Z1124" s="4">
        <v>119.53999999999999</v>
      </c>
      <c r="AA1124" s="4">
        <v>100</v>
      </c>
      <c r="AB1124" s="18"/>
      <c r="AC1124" s="18">
        <v>20</v>
      </c>
      <c r="AD1124" s="28"/>
      <c r="AE1124" s="26"/>
      <c r="AF1124" s="28"/>
    </row>
    <row r="1125" spans="1:32" ht="12.6" customHeight="1" x14ac:dyDescent="0.25">
      <c r="A1125" s="14">
        <v>45792</v>
      </c>
      <c r="B1125" s="14" t="s">
        <v>46</v>
      </c>
      <c r="C1125" s="15">
        <v>2</v>
      </c>
      <c r="D1125" s="16"/>
      <c r="E1125" s="16"/>
      <c r="F1125" s="17"/>
      <c r="G1125" s="21"/>
      <c r="H1125" s="21"/>
      <c r="I1125" s="4">
        <v>0</v>
      </c>
      <c r="J1125" s="4">
        <v>0</v>
      </c>
      <c r="K1125" s="4"/>
      <c r="L1125" s="16"/>
      <c r="M1125" s="4"/>
      <c r="N1125" s="4"/>
      <c r="O1125" s="4"/>
      <c r="P1125" s="4"/>
      <c r="Q1125" s="4"/>
      <c r="R1125" s="4"/>
      <c r="S1125" s="4">
        <v>0</v>
      </c>
      <c r="T1125" s="4">
        <v>0</v>
      </c>
      <c r="U1125" s="4">
        <v>0</v>
      </c>
      <c r="V1125" s="4">
        <v>12</v>
      </c>
      <c r="W1125" s="4">
        <v>12</v>
      </c>
      <c r="X1125" s="4">
        <v>0</v>
      </c>
      <c r="Y1125" s="4"/>
      <c r="Z1125" s="4">
        <v>112.50000000000001</v>
      </c>
      <c r="AA1125" s="4">
        <v>100</v>
      </c>
      <c r="AB1125" s="18"/>
      <c r="AC1125" s="18">
        <v>20</v>
      </c>
      <c r="AD1125" s="28"/>
      <c r="AE1125" s="26"/>
      <c r="AF1125" s="28"/>
    </row>
    <row r="1126" spans="1:32" ht="12.6" customHeight="1" x14ac:dyDescent="0.25">
      <c r="A1126" s="14">
        <v>45792</v>
      </c>
      <c r="B1126" s="14" t="s">
        <v>45</v>
      </c>
      <c r="C1126" s="15">
        <v>3</v>
      </c>
      <c r="D1126" s="16"/>
      <c r="E1126" s="16"/>
      <c r="F1126" s="17"/>
      <c r="G1126" s="21"/>
      <c r="H1126" s="21"/>
      <c r="I1126" s="4">
        <v>0</v>
      </c>
      <c r="J1126" s="4">
        <v>0</v>
      </c>
      <c r="K1126" s="4"/>
      <c r="L1126" s="16"/>
      <c r="M1126" s="4"/>
      <c r="N1126" s="4"/>
      <c r="O1126" s="4"/>
      <c r="P1126" s="4"/>
      <c r="Q1126" s="4"/>
      <c r="R1126" s="4"/>
      <c r="S1126" s="4">
        <v>0</v>
      </c>
      <c r="T1126" s="4">
        <v>0</v>
      </c>
      <c r="U1126" s="4">
        <v>0</v>
      </c>
      <c r="V1126" s="4">
        <v>12</v>
      </c>
      <c r="W1126" s="4">
        <v>12</v>
      </c>
      <c r="X1126" s="4">
        <v>0</v>
      </c>
      <c r="Y1126" s="4"/>
      <c r="Z1126" s="4">
        <v>323.15999999999997</v>
      </c>
      <c r="AA1126" s="4">
        <v>350</v>
      </c>
      <c r="AB1126" s="18"/>
      <c r="AC1126" s="18">
        <v>20</v>
      </c>
      <c r="AD1126" s="28"/>
      <c r="AE1126" s="26"/>
      <c r="AF1126" s="28"/>
    </row>
    <row r="1127" spans="1:32" ht="12.6" customHeight="1" x14ac:dyDescent="0.25">
      <c r="A1127" s="14">
        <v>45792</v>
      </c>
      <c r="B1127" s="14" t="s">
        <v>46</v>
      </c>
      <c r="C1127" s="15">
        <v>3</v>
      </c>
      <c r="D1127" s="16"/>
      <c r="E1127" s="16"/>
      <c r="F1127" s="17"/>
      <c r="G1127" s="21"/>
      <c r="H1127" s="21"/>
      <c r="I1127" s="4">
        <v>0</v>
      </c>
      <c r="J1127" s="4">
        <v>0</v>
      </c>
      <c r="K1127" s="4"/>
      <c r="L1127" s="16"/>
      <c r="M1127" s="4"/>
      <c r="N1127" s="4"/>
      <c r="O1127" s="4"/>
      <c r="P1127" s="4"/>
      <c r="Q1127" s="4"/>
      <c r="R1127" s="4"/>
      <c r="S1127" s="4">
        <v>0</v>
      </c>
      <c r="T1127" s="4">
        <v>0</v>
      </c>
      <c r="U1127" s="4">
        <v>0</v>
      </c>
      <c r="V1127" s="4">
        <v>12</v>
      </c>
      <c r="W1127" s="4">
        <v>12</v>
      </c>
      <c r="X1127" s="4">
        <v>0</v>
      </c>
      <c r="Y1127" s="4"/>
      <c r="Z1127" s="4">
        <v>287.35000000000002</v>
      </c>
      <c r="AA1127" s="4">
        <v>300</v>
      </c>
      <c r="AB1127" s="18"/>
      <c r="AC1127" s="18">
        <v>20</v>
      </c>
      <c r="AD1127" s="28"/>
      <c r="AE1127" s="26"/>
      <c r="AF1127" s="28"/>
    </row>
    <row r="1128" spans="1:32" ht="12.6" customHeight="1" x14ac:dyDescent="0.25">
      <c r="A1128" s="14">
        <v>45792</v>
      </c>
      <c r="B1128" s="14" t="s">
        <v>45</v>
      </c>
      <c r="C1128" s="15">
        <v>4</v>
      </c>
      <c r="D1128" s="16">
        <v>20</v>
      </c>
      <c r="E1128" s="16"/>
      <c r="F1128" s="17"/>
      <c r="G1128" s="21"/>
      <c r="H1128" s="21"/>
      <c r="I1128" s="4">
        <v>20</v>
      </c>
      <c r="J1128" s="4">
        <v>0.33333333333333331</v>
      </c>
      <c r="K1128" s="4"/>
      <c r="L1128" s="16"/>
      <c r="M1128" s="4"/>
      <c r="N1128" s="4"/>
      <c r="O1128" s="4"/>
      <c r="P1128" s="4">
        <v>240</v>
      </c>
      <c r="Q1128" s="4"/>
      <c r="R1128" s="4"/>
      <c r="S1128" s="4">
        <v>240</v>
      </c>
      <c r="T1128" s="4">
        <v>4</v>
      </c>
      <c r="U1128" s="4">
        <v>4.333333333333333</v>
      </c>
      <c r="V1128" s="4">
        <v>7.666666666666667</v>
      </c>
      <c r="W1128" s="4">
        <v>12</v>
      </c>
      <c r="X1128" s="4">
        <v>0</v>
      </c>
      <c r="Y1128" s="4"/>
      <c r="Z1128" s="4">
        <v>425.15</v>
      </c>
      <c r="AA1128" s="4">
        <v>550</v>
      </c>
      <c r="AB1128" s="18"/>
      <c r="AC1128" s="18">
        <v>20</v>
      </c>
      <c r="AD1128" s="28"/>
      <c r="AE1128" s="26"/>
      <c r="AF1128" s="28"/>
    </row>
    <row r="1129" spans="1:32" ht="12.6" customHeight="1" x14ac:dyDescent="0.25">
      <c r="A1129" s="14">
        <v>45792</v>
      </c>
      <c r="B1129" s="14" t="s">
        <v>46</v>
      </c>
      <c r="C1129" s="15">
        <v>4</v>
      </c>
      <c r="D1129" s="16"/>
      <c r="E1129" s="16"/>
      <c r="F1129" s="17"/>
      <c r="G1129" s="21"/>
      <c r="H1129" s="21"/>
      <c r="I1129" s="4">
        <v>0</v>
      </c>
      <c r="J1129" s="4">
        <v>0</v>
      </c>
      <c r="K1129" s="4"/>
      <c r="L1129" s="16"/>
      <c r="M1129" s="4"/>
      <c r="N1129" s="4"/>
      <c r="O1129" s="4"/>
      <c r="P1129" s="4"/>
      <c r="Q1129" s="4"/>
      <c r="R1129" s="4"/>
      <c r="S1129" s="4">
        <v>0</v>
      </c>
      <c r="T1129" s="4">
        <v>0</v>
      </c>
      <c r="U1129" s="4">
        <v>0</v>
      </c>
      <c r="V1129" s="4">
        <v>12</v>
      </c>
      <c r="W1129" s="4">
        <v>12</v>
      </c>
      <c r="X1129" s="4">
        <v>0</v>
      </c>
      <c r="Y1129" s="4"/>
      <c r="Z1129" s="4">
        <v>561.69999999999993</v>
      </c>
      <c r="AA1129" s="4">
        <v>550</v>
      </c>
      <c r="AB1129" s="18"/>
      <c r="AC1129" s="18">
        <v>20</v>
      </c>
      <c r="AD1129" s="28"/>
      <c r="AE1129" s="26"/>
      <c r="AF1129" s="28"/>
    </row>
    <row r="1130" spans="1:32" ht="12.6" customHeight="1" x14ac:dyDescent="0.25">
      <c r="A1130" s="14">
        <v>45792</v>
      </c>
      <c r="B1130" s="14" t="s">
        <v>45</v>
      </c>
      <c r="C1130" s="15">
        <v>5</v>
      </c>
      <c r="D1130" s="16">
        <v>40</v>
      </c>
      <c r="E1130" s="16"/>
      <c r="F1130" s="17"/>
      <c r="G1130" s="21"/>
      <c r="H1130" s="21"/>
      <c r="I1130" s="4">
        <v>40</v>
      </c>
      <c r="J1130" s="4">
        <v>0.66666666666666663</v>
      </c>
      <c r="K1130" s="4"/>
      <c r="L1130" s="16"/>
      <c r="M1130" s="4"/>
      <c r="N1130" s="4"/>
      <c r="O1130" s="4"/>
      <c r="P1130" s="4"/>
      <c r="Q1130" s="4"/>
      <c r="R1130" s="4"/>
      <c r="S1130" s="4">
        <v>0</v>
      </c>
      <c r="T1130" s="4">
        <v>0</v>
      </c>
      <c r="U1130" s="4">
        <v>0.66666666666666663</v>
      </c>
      <c r="V1130" s="4">
        <v>11.333333333333334</v>
      </c>
      <c r="W1130" s="4">
        <v>12</v>
      </c>
      <c r="X1130" s="4">
        <v>0</v>
      </c>
      <c r="Y1130" s="4"/>
      <c r="Z1130" s="4">
        <v>369.76</v>
      </c>
      <c r="AA1130" s="4">
        <v>400</v>
      </c>
      <c r="AB1130" s="18"/>
      <c r="AC1130" s="18">
        <v>20</v>
      </c>
      <c r="AD1130" s="28"/>
      <c r="AE1130" s="26"/>
      <c r="AF1130" s="28"/>
    </row>
    <row r="1131" spans="1:32" ht="12.6" customHeight="1" x14ac:dyDescent="0.25">
      <c r="A1131" s="14">
        <v>45792</v>
      </c>
      <c r="B1131" s="14" t="s">
        <v>46</v>
      </c>
      <c r="C1131" s="15">
        <v>5</v>
      </c>
      <c r="D1131" s="16">
        <v>20</v>
      </c>
      <c r="E1131" s="16"/>
      <c r="F1131" s="17"/>
      <c r="G1131" s="21"/>
      <c r="H1131" s="21"/>
      <c r="I1131" s="4">
        <v>20</v>
      </c>
      <c r="J1131" s="4">
        <v>0.33333333333333331</v>
      </c>
      <c r="K1131" s="4"/>
      <c r="L1131" s="16"/>
      <c r="M1131" s="4"/>
      <c r="N1131" s="4"/>
      <c r="O1131" s="4"/>
      <c r="P1131" s="4"/>
      <c r="Q1131" s="4">
        <v>30</v>
      </c>
      <c r="R1131" s="4"/>
      <c r="S1131" s="4">
        <v>30</v>
      </c>
      <c r="T1131" s="4">
        <v>0.5</v>
      </c>
      <c r="U1131" s="4">
        <v>0.83333333333333326</v>
      </c>
      <c r="V1131" s="4">
        <v>11.166666666666666</v>
      </c>
      <c r="W1131" s="4">
        <v>12</v>
      </c>
      <c r="X1131" s="4">
        <v>0</v>
      </c>
      <c r="Y1131" s="4"/>
      <c r="Z1131" s="4">
        <v>455.92999999999995</v>
      </c>
      <c r="AA1131" s="4">
        <v>450</v>
      </c>
      <c r="AB1131" s="18"/>
      <c r="AC1131" s="18">
        <v>20</v>
      </c>
      <c r="AD1131" s="28"/>
      <c r="AE1131" s="26"/>
      <c r="AF1131" s="28"/>
    </row>
    <row r="1132" spans="1:32" ht="12.6" customHeight="1" x14ac:dyDescent="0.25">
      <c r="A1132" s="14">
        <v>45793</v>
      </c>
      <c r="B1132" s="14" t="s">
        <v>45</v>
      </c>
      <c r="C1132" s="15">
        <v>1</v>
      </c>
      <c r="D1132" s="16"/>
      <c r="E1132" s="16"/>
      <c r="F1132" s="17"/>
      <c r="G1132" s="21"/>
      <c r="H1132" s="21"/>
      <c r="I1132" s="4">
        <v>0</v>
      </c>
      <c r="J1132" s="4">
        <v>0</v>
      </c>
      <c r="K1132" s="4"/>
      <c r="L1132" s="16"/>
      <c r="M1132" s="4"/>
      <c r="N1132" s="4"/>
      <c r="O1132" s="4"/>
      <c r="P1132" s="4"/>
      <c r="Q1132" s="4"/>
      <c r="R1132" s="4"/>
      <c r="S1132" s="4">
        <v>0</v>
      </c>
      <c r="T1132" s="4">
        <v>0</v>
      </c>
      <c r="U1132" s="4">
        <v>0</v>
      </c>
      <c r="V1132" s="4">
        <v>12</v>
      </c>
      <c r="W1132" s="4">
        <v>12</v>
      </c>
      <c r="X1132" s="4">
        <v>42</v>
      </c>
      <c r="Y1132" s="4">
        <v>1686</v>
      </c>
      <c r="Z1132" s="4">
        <v>179.29999999999998</v>
      </c>
      <c r="AA1132" s="4">
        <v>220</v>
      </c>
      <c r="AB1132" s="18">
        <v>398</v>
      </c>
      <c r="AC1132" s="18">
        <v>20</v>
      </c>
      <c r="AD1132" s="28"/>
      <c r="AE1132" s="26"/>
      <c r="AF1132" s="28"/>
    </row>
    <row r="1133" spans="1:32" ht="12.6" customHeight="1" x14ac:dyDescent="0.25">
      <c r="A1133" s="14">
        <v>45793</v>
      </c>
      <c r="B1133" s="14" t="s">
        <v>46</v>
      </c>
      <c r="C1133" s="15">
        <v>1</v>
      </c>
      <c r="D1133" s="16"/>
      <c r="E1133" s="16"/>
      <c r="F1133" s="17"/>
      <c r="G1133" s="21"/>
      <c r="H1133" s="21"/>
      <c r="I1133" s="4">
        <v>0</v>
      </c>
      <c r="J1133" s="4">
        <v>0</v>
      </c>
      <c r="K1133" s="4"/>
      <c r="L1133" s="16"/>
      <c r="M1133" s="4"/>
      <c r="N1133" s="4"/>
      <c r="O1133" s="4"/>
      <c r="P1133" s="4"/>
      <c r="Q1133" s="4"/>
      <c r="R1133" s="4"/>
      <c r="S1133" s="4">
        <v>0</v>
      </c>
      <c r="T1133" s="4">
        <v>0</v>
      </c>
      <c r="U1133" s="4">
        <v>0</v>
      </c>
      <c r="V1133" s="4">
        <v>12</v>
      </c>
      <c r="W1133" s="4">
        <v>12</v>
      </c>
      <c r="X1133" s="4">
        <v>30</v>
      </c>
      <c r="Y1133" s="4"/>
      <c r="Z1133" s="4">
        <v>181.79999999999998</v>
      </c>
      <c r="AA1133" s="4">
        <v>230</v>
      </c>
      <c r="AB1133" s="18"/>
      <c r="AC1133" s="18">
        <v>20</v>
      </c>
      <c r="AD1133" s="28"/>
      <c r="AE1133" s="26"/>
      <c r="AF1133" s="28"/>
    </row>
    <row r="1134" spans="1:32" ht="12.6" customHeight="1" x14ac:dyDescent="0.25">
      <c r="A1134" s="14">
        <v>45793</v>
      </c>
      <c r="B1134" s="14" t="s">
        <v>45</v>
      </c>
      <c r="C1134" s="15">
        <v>2</v>
      </c>
      <c r="D1134" s="16"/>
      <c r="E1134" s="16"/>
      <c r="F1134" s="17"/>
      <c r="G1134" s="21"/>
      <c r="H1134" s="21"/>
      <c r="I1134" s="4">
        <v>0</v>
      </c>
      <c r="J1134" s="4">
        <v>0</v>
      </c>
      <c r="K1134" s="4"/>
      <c r="L1134" s="16"/>
      <c r="M1134" s="4"/>
      <c r="N1134" s="4"/>
      <c r="O1134" s="4"/>
      <c r="P1134" s="4"/>
      <c r="Q1134" s="4"/>
      <c r="R1134" s="4"/>
      <c r="S1134" s="4">
        <v>0</v>
      </c>
      <c r="T1134" s="4">
        <v>0</v>
      </c>
      <c r="U1134" s="4">
        <v>0</v>
      </c>
      <c r="V1134" s="4">
        <v>12</v>
      </c>
      <c r="W1134" s="4">
        <v>12</v>
      </c>
      <c r="X1134" s="4">
        <v>0</v>
      </c>
      <c r="Y1134" s="4"/>
      <c r="Z1134" s="4">
        <v>132.49</v>
      </c>
      <c r="AA1134" s="4">
        <v>150</v>
      </c>
      <c r="AB1134" s="18"/>
      <c r="AC1134" s="18">
        <v>20</v>
      </c>
      <c r="AD1134" s="28"/>
      <c r="AE1134" s="26"/>
      <c r="AF1134" s="28"/>
    </row>
    <row r="1135" spans="1:32" ht="12.6" customHeight="1" x14ac:dyDescent="0.25">
      <c r="A1135" s="14">
        <v>45793</v>
      </c>
      <c r="B1135" s="14" t="s">
        <v>46</v>
      </c>
      <c r="C1135" s="15">
        <v>2</v>
      </c>
      <c r="D1135" s="16"/>
      <c r="E1135" s="16"/>
      <c r="F1135" s="17"/>
      <c r="G1135" s="21"/>
      <c r="H1135" s="21"/>
      <c r="I1135" s="4">
        <v>0</v>
      </c>
      <c r="J1135" s="4">
        <v>0</v>
      </c>
      <c r="K1135" s="4"/>
      <c r="L1135" s="16"/>
      <c r="M1135" s="4"/>
      <c r="N1135" s="4"/>
      <c r="O1135" s="4"/>
      <c r="P1135" s="4"/>
      <c r="Q1135" s="4"/>
      <c r="R1135" s="4"/>
      <c r="S1135" s="4">
        <v>0</v>
      </c>
      <c r="T1135" s="4">
        <v>0</v>
      </c>
      <c r="U1135" s="4">
        <v>0</v>
      </c>
      <c r="V1135" s="4">
        <v>12</v>
      </c>
      <c r="W1135" s="4">
        <v>12</v>
      </c>
      <c r="X1135" s="4">
        <v>0</v>
      </c>
      <c r="Y1135" s="4"/>
      <c r="Z1135" s="4">
        <v>163.37</v>
      </c>
      <c r="AA1135" s="4">
        <v>200</v>
      </c>
      <c r="AB1135" s="18"/>
      <c r="AC1135" s="18">
        <v>20</v>
      </c>
      <c r="AD1135" s="28"/>
      <c r="AE1135" s="26"/>
      <c r="AF1135" s="28"/>
    </row>
    <row r="1136" spans="1:32" ht="12.6" customHeight="1" x14ac:dyDescent="0.25">
      <c r="A1136" s="14">
        <v>45793</v>
      </c>
      <c r="B1136" s="14" t="s">
        <v>45</v>
      </c>
      <c r="C1136" s="15">
        <v>3</v>
      </c>
      <c r="D1136" s="16"/>
      <c r="E1136" s="16"/>
      <c r="F1136" s="17"/>
      <c r="G1136" s="21"/>
      <c r="H1136" s="21"/>
      <c r="I1136" s="4">
        <v>0</v>
      </c>
      <c r="J1136" s="4">
        <v>0</v>
      </c>
      <c r="K1136" s="4"/>
      <c r="L1136" s="16"/>
      <c r="M1136" s="4"/>
      <c r="N1136" s="4"/>
      <c r="O1136" s="4"/>
      <c r="P1136" s="4"/>
      <c r="Q1136" s="4"/>
      <c r="R1136" s="4"/>
      <c r="S1136" s="4">
        <v>0</v>
      </c>
      <c r="T1136" s="4">
        <v>0</v>
      </c>
      <c r="U1136" s="4">
        <v>0</v>
      </c>
      <c r="V1136" s="4">
        <v>12</v>
      </c>
      <c r="W1136" s="4">
        <v>12</v>
      </c>
      <c r="X1136" s="4">
        <v>0</v>
      </c>
      <c r="Y1136" s="4"/>
      <c r="Z1136" s="4">
        <v>278.73999999999995</v>
      </c>
      <c r="AA1136" s="4">
        <v>300</v>
      </c>
      <c r="AB1136" s="18"/>
      <c r="AC1136" s="18">
        <v>20</v>
      </c>
      <c r="AD1136" s="28"/>
      <c r="AE1136" s="26"/>
      <c r="AF1136" s="28"/>
    </row>
    <row r="1137" spans="1:32" ht="12.6" customHeight="1" x14ac:dyDescent="0.25">
      <c r="A1137" s="14">
        <v>45793</v>
      </c>
      <c r="B1137" s="14" t="s">
        <v>46</v>
      </c>
      <c r="C1137" s="15">
        <v>3</v>
      </c>
      <c r="D1137" s="16">
        <v>20</v>
      </c>
      <c r="E1137" s="16"/>
      <c r="F1137" s="17"/>
      <c r="G1137" s="21"/>
      <c r="H1137" s="21"/>
      <c r="I1137" s="4">
        <v>20</v>
      </c>
      <c r="J1137" s="4">
        <v>0.33333333333333331</v>
      </c>
      <c r="K1137" s="4"/>
      <c r="L1137" s="16"/>
      <c r="M1137" s="4"/>
      <c r="N1137" s="4"/>
      <c r="O1137" s="4"/>
      <c r="P1137" s="4"/>
      <c r="Q1137" s="4"/>
      <c r="R1137" s="4"/>
      <c r="S1137" s="4">
        <v>0</v>
      </c>
      <c r="T1137" s="4">
        <v>0</v>
      </c>
      <c r="U1137" s="4">
        <v>0.33333333333333331</v>
      </c>
      <c r="V1137" s="4">
        <v>11.666666666666666</v>
      </c>
      <c r="W1137" s="4">
        <v>12</v>
      </c>
      <c r="X1137" s="4">
        <v>0</v>
      </c>
      <c r="Y1137" s="4"/>
      <c r="Z1137" s="4">
        <v>251.24</v>
      </c>
      <c r="AA1137" s="4">
        <v>250</v>
      </c>
      <c r="AB1137" s="18"/>
      <c r="AC1137" s="18">
        <v>20</v>
      </c>
      <c r="AD1137" s="28"/>
      <c r="AE1137" s="26"/>
      <c r="AF1137" s="28"/>
    </row>
    <row r="1138" spans="1:32" ht="12.6" customHeight="1" x14ac:dyDescent="0.25">
      <c r="A1138" s="14">
        <v>45793</v>
      </c>
      <c r="B1138" s="14" t="s">
        <v>45</v>
      </c>
      <c r="C1138" s="15">
        <v>4</v>
      </c>
      <c r="D1138" s="16"/>
      <c r="E1138" s="16"/>
      <c r="F1138" s="17"/>
      <c r="G1138" s="21"/>
      <c r="H1138" s="21"/>
      <c r="I1138" s="4">
        <v>0</v>
      </c>
      <c r="J1138" s="4">
        <v>0</v>
      </c>
      <c r="K1138" s="4"/>
      <c r="L1138" s="16"/>
      <c r="M1138" s="4"/>
      <c r="N1138" s="4"/>
      <c r="O1138" s="4"/>
      <c r="P1138" s="4"/>
      <c r="Q1138" s="4"/>
      <c r="R1138" s="4"/>
      <c r="S1138" s="4">
        <v>0</v>
      </c>
      <c r="T1138" s="4">
        <v>0</v>
      </c>
      <c r="U1138" s="4">
        <v>0</v>
      </c>
      <c r="V1138" s="4">
        <v>12</v>
      </c>
      <c r="W1138" s="4">
        <v>12</v>
      </c>
      <c r="X1138" s="4">
        <v>0</v>
      </c>
      <c r="Y1138" s="4"/>
      <c r="Z1138" s="4">
        <v>618.78</v>
      </c>
      <c r="AA1138" s="4">
        <v>600</v>
      </c>
      <c r="AB1138" s="18"/>
      <c r="AC1138" s="18">
        <v>20</v>
      </c>
      <c r="AD1138" s="28"/>
      <c r="AE1138" s="26"/>
      <c r="AF1138" s="28"/>
    </row>
    <row r="1139" spans="1:32" ht="12.6" customHeight="1" x14ac:dyDescent="0.25">
      <c r="A1139" s="14">
        <v>45793</v>
      </c>
      <c r="B1139" s="14" t="s">
        <v>46</v>
      </c>
      <c r="C1139" s="15">
        <v>4</v>
      </c>
      <c r="D1139" s="16"/>
      <c r="E1139" s="16"/>
      <c r="F1139" s="17"/>
      <c r="G1139" s="21"/>
      <c r="H1139" s="21"/>
      <c r="I1139" s="4">
        <v>0</v>
      </c>
      <c r="J1139" s="4">
        <v>0</v>
      </c>
      <c r="K1139" s="4"/>
      <c r="L1139" s="16"/>
      <c r="M1139" s="4"/>
      <c r="N1139" s="4"/>
      <c r="O1139" s="4"/>
      <c r="P1139" s="4"/>
      <c r="Q1139" s="4"/>
      <c r="R1139" s="4"/>
      <c r="S1139" s="4">
        <v>0</v>
      </c>
      <c r="T1139" s="4">
        <v>0</v>
      </c>
      <c r="U1139" s="4">
        <v>0</v>
      </c>
      <c r="V1139" s="4">
        <v>12</v>
      </c>
      <c r="W1139" s="4">
        <v>12</v>
      </c>
      <c r="X1139" s="4">
        <v>0</v>
      </c>
      <c r="Y1139" s="4"/>
      <c r="Z1139" s="4">
        <v>548.48</v>
      </c>
      <c r="AA1139" s="4">
        <v>550</v>
      </c>
      <c r="AB1139" s="18"/>
      <c r="AC1139" s="18">
        <v>20</v>
      </c>
      <c r="AD1139" s="28"/>
      <c r="AE1139" s="26"/>
      <c r="AF1139" s="28"/>
    </row>
    <row r="1140" spans="1:32" ht="12.6" customHeight="1" x14ac:dyDescent="0.25">
      <c r="A1140" s="14">
        <v>45793</v>
      </c>
      <c r="B1140" s="14" t="s">
        <v>45</v>
      </c>
      <c r="C1140" s="15">
        <v>5</v>
      </c>
      <c r="D1140" s="16"/>
      <c r="E1140" s="16"/>
      <c r="F1140" s="17"/>
      <c r="G1140" s="21"/>
      <c r="H1140" s="21"/>
      <c r="I1140" s="4">
        <v>0</v>
      </c>
      <c r="J1140" s="4">
        <v>0</v>
      </c>
      <c r="K1140" s="4"/>
      <c r="L1140" s="16"/>
      <c r="M1140" s="4"/>
      <c r="N1140" s="4"/>
      <c r="O1140" s="4"/>
      <c r="P1140" s="4">
        <v>120</v>
      </c>
      <c r="Q1140" s="4"/>
      <c r="R1140" s="4"/>
      <c r="S1140" s="4">
        <v>120</v>
      </c>
      <c r="T1140" s="4">
        <v>2</v>
      </c>
      <c r="U1140" s="4">
        <v>2</v>
      </c>
      <c r="V1140" s="4">
        <v>10</v>
      </c>
      <c r="W1140" s="4">
        <v>12</v>
      </c>
      <c r="X1140" s="4">
        <v>0</v>
      </c>
      <c r="Y1140" s="4"/>
      <c r="Z1140" s="4">
        <v>499.08000000000004</v>
      </c>
      <c r="AA1140" s="4">
        <v>600</v>
      </c>
      <c r="AB1140" s="18"/>
      <c r="AC1140" s="18">
        <v>20</v>
      </c>
      <c r="AD1140" s="28"/>
      <c r="AE1140" s="26"/>
      <c r="AF1140" s="28"/>
    </row>
    <row r="1141" spans="1:32" ht="12.6" customHeight="1" x14ac:dyDescent="0.25">
      <c r="A1141" s="14">
        <v>45793</v>
      </c>
      <c r="B1141" s="14" t="s">
        <v>46</v>
      </c>
      <c r="C1141" s="15">
        <v>5</v>
      </c>
      <c r="D1141" s="16"/>
      <c r="E1141" s="16"/>
      <c r="F1141" s="17"/>
      <c r="G1141" s="21"/>
      <c r="H1141" s="21"/>
      <c r="I1141" s="4">
        <v>0</v>
      </c>
      <c r="J1141" s="4">
        <v>0</v>
      </c>
      <c r="K1141" s="4"/>
      <c r="L1141" s="16"/>
      <c r="M1141" s="4"/>
      <c r="N1141" s="4"/>
      <c r="O1141" s="4"/>
      <c r="P1141" s="4"/>
      <c r="Q1141" s="4"/>
      <c r="R1141" s="4"/>
      <c r="S1141" s="4">
        <v>0</v>
      </c>
      <c r="T1141" s="4">
        <v>0</v>
      </c>
      <c r="U1141" s="4">
        <v>0</v>
      </c>
      <c r="V1141" s="4">
        <v>12</v>
      </c>
      <c r="W1141" s="4">
        <v>12</v>
      </c>
      <c r="X1141" s="4">
        <v>0</v>
      </c>
      <c r="Y1141" s="4"/>
      <c r="Z1141" s="4">
        <v>467.61000000000007</v>
      </c>
      <c r="AA1141" s="4">
        <v>500</v>
      </c>
      <c r="AB1141" s="18"/>
      <c r="AC1141" s="18">
        <v>20</v>
      </c>
      <c r="AD1141" s="28"/>
      <c r="AE1141" s="26"/>
      <c r="AF1141" s="28"/>
    </row>
    <row r="1142" spans="1:32" ht="12.6" customHeight="1" x14ac:dyDescent="0.25">
      <c r="A1142" s="14">
        <v>45794</v>
      </c>
      <c r="B1142" s="14" t="s">
        <v>45</v>
      </c>
      <c r="C1142" s="15">
        <v>1</v>
      </c>
      <c r="D1142" s="16"/>
      <c r="E1142" s="16"/>
      <c r="F1142" s="17"/>
      <c r="G1142" s="21"/>
      <c r="H1142" s="21"/>
      <c r="I1142" s="4">
        <v>0</v>
      </c>
      <c r="J1142" s="4">
        <v>0</v>
      </c>
      <c r="K1142" s="4">
        <v>75</v>
      </c>
      <c r="L1142" s="16"/>
      <c r="M1142" s="4"/>
      <c r="N1142" s="4"/>
      <c r="O1142" s="4"/>
      <c r="P1142" s="4"/>
      <c r="Q1142" s="4"/>
      <c r="R1142" s="4"/>
      <c r="S1142" s="4">
        <v>75</v>
      </c>
      <c r="T1142" s="4">
        <v>1.25</v>
      </c>
      <c r="U1142" s="4">
        <v>1.25</v>
      </c>
      <c r="V1142" s="4">
        <v>10.75</v>
      </c>
      <c r="W1142" s="4">
        <v>12</v>
      </c>
      <c r="X1142" s="4">
        <v>33</v>
      </c>
      <c r="Y1142" s="4">
        <v>1434</v>
      </c>
      <c r="Z1142" s="4">
        <v>174.27</v>
      </c>
      <c r="AA1142" s="4">
        <v>200</v>
      </c>
      <c r="AB1142" s="18">
        <v>398</v>
      </c>
      <c r="AC1142" s="18">
        <v>20</v>
      </c>
      <c r="AD1142" s="28"/>
      <c r="AE1142" s="26"/>
      <c r="AF1142" s="28"/>
    </row>
    <row r="1143" spans="1:32" ht="12.6" customHeight="1" x14ac:dyDescent="0.25">
      <c r="A1143" s="14">
        <v>45794</v>
      </c>
      <c r="B1143" s="14" t="s">
        <v>46</v>
      </c>
      <c r="C1143" s="15">
        <v>1</v>
      </c>
      <c r="D1143" s="16"/>
      <c r="E1143" s="16"/>
      <c r="F1143" s="17"/>
      <c r="G1143" s="21"/>
      <c r="H1143" s="21"/>
      <c r="I1143" s="4">
        <v>0</v>
      </c>
      <c r="J1143" s="4">
        <v>0</v>
      </c>
      <c r="K1143" s="4"/>
      <c r="L1143" s="16"/>
      <c r="M1143" s="4"/>
      <c r="N1143" s="4"/>
      <c r="O1143" s="4"/>
      <c r="P1143" s="4"/>
      <c r="Q1143" s="4"/>
      <c r="R1143" s="4"/>
      <c r="S1143" s="4">
        <v>0</v>
      </c>
      <c r="T1143" s="4">
        <v>0</v>
      </c>
      <c r="U1143" s="4">
        <v>0</v>
      </c>
      <c r="V1143" s="4">
        <v>12</v>
      </c>
      <c r="W1143" s="4">
        <v>12</v>
      </c>
      <c r="X1143" s="4">
        <v>20</v>
      </c>
      <c r="Y1143" s="4"/>
      <c r="Z1143" s="4">
        <v>139.94999999999999</v>
      </c>
      <c r="AA1143" s="4">
        <v>150</v>
      </c>
      <c r="AB1143" s="18"/>
      <c r="AC1143" s="18">
        <v>20</v>
      </c>
      <c r="AD1143" s="28"/>
      <c r="AE1143" s="26"/>
      <c r="AF1143" s="28"/>
    </row>
    <row r="1144" spans="1:32" ht="12.6" customHeight="1" x14ac:dyDescent="0.25">
      <c r="A1144" s="14">
        <v>45794</v>
      </c>
      <c r="B1144" s="14" t="s">
        <v>45</v>
      </c>
      <c r="C1144" s="15">
        <v>2</v>
      </c>
      <c r="D1144" s="16">
        <v>20</v>
      </c>
      <c r="E1144" s="16"/>
      <c r="F1144" s="17"/>
      <c r="G1144" s="21"/>
      <c r="H1144" s="21"/>
      <c r="I1144" s="4">
        <v>20</v>
      </c>
      <c r="J1144" s="4">
        <v>0.33333333333333331</v>
      </c>
      <c r="K1144" s="4">
        <v>70</v>
      </c>
      <c r="L1144" s="16"/>
      <c r="M1144" s="4"/>
      <c r="N1144" s="4"/>
      <c r="O1144" s="4"/>
      <c r="P1144" s="4"/>
      <c r="Q1144" s="4"/>
      <c r="R1144" s="4"/>
      <c r="S1144" s="4">
        <v>70</v>
      </c>
      <c r="T1144" s="4">
        <v>1.1666666666666667</v>
      </c>
      <c r="U1144" s="4">
        <v>1.5</v>
      </c>
      <c r="V1144" s="4">
        <v>10.5</v>
      </c>
      <c r="W1144" s="4">
        <v>12</v>
      </c>
      <c r="X1144" s="4">
        <v>0</v>
      </c>
      <c r="Y1144" s="4"/>
      <c r="Z1144" s="4">
        <v>116.65</v>
      </c>
      <c r="AA1144" s="4">
        <v>100</v>
      </c>
      <c r="AB1144" s="18"/>
      <c r="AC1144" s="18">
        <v>20</v>
      </c>
      <c r="AD1144" s="28"/>
      <c r="AE1144" s="26"/>
      <c r="AF1144" s="28"/>
    </row>
    <row r="1145" spans="1:32" ht="12.6" customHeight="1" x14ac:dyDescent="0.25">
      <c r="A1145" s="14">
        <v>45794</v>
      </c>
      <c r="B1145" s="14" t="s">
        <v>46</v>
      </c>
      <c r="C1145" s="15">
        <v>2</v>
      </c>
      <c r="D1145" s="16"/>
      <c r="E1145" s="16"/>
      <c r="F1145" s="17"/>
      <c r="G1145" s="21"/>
      <c r="H1145" s="21"/>
      <c r="I1145" s="4">
        <v>0</v>
      </c>
      <c r="J1145" s="4">
        <v>0</v>
      </c>
      <c r="K1145" s="4"/>
      <c r="L1145" s="16"/>
      <c r="M1145" s="4"/>
      <c r="N1145" s="4"/>
      <c r="O1145" s="4"/>
      <c r="P1145" s="4"/>
      <c r="Q1145" s="4"/>
      <c r="R1145" s="4"/>
      <c r="S1145" s="4">
        <v>0</v>
      </c>
      <c r="T1145" s="4">
        <v>0</v>
      </c>
      <c r="U1145" s="4">
        <v>0</v>
      </c>
      <c r="V1145" s="4">
        <v>12</v>
      </c>
      <c r="W1145" s="4">
        <v>12</v>
      </c>
      <c r="X1145" s="4">
        <v>0</v>
      </c>
      <c r="Y1145" s="4"/>
      <c r="Z1145" s="4">
        <v>113.05</v>
      </c>
      <c r="AA1145" s="4">
        <v>100</v>
      </c>
      <c r="AB1145" s="18"/>
      <c r="AC1145" s="18">
        <v>20</v>
      </c>
      <c r="AD1145" s="28"/>
      <c r="AE1145" s="26"/>
      <c r="AF1145" s="28"/>
    </row>
    <row r="1146" spans="1:32" ht="12.6" customHeight="1" x14ac:dyDescent="0.25">
      <c r="A1146" s="14">
        <v>45794</v>
      </c>
      <c r="B1146" s="14" t="s">
        <v>45</v>
      </c>
      <c r="C1146" s="15">
        <v>3</v>
      </c>
      <c r="D1146" s="16"/>
      <c r="E1146" s="16"/>
      <c r="F1146" s="17"/>
      <c r="G1146" s="21"/>
      <c r="H1146" s="21"/>
      <c r="I1146" s="4">
        <v>0</v>
      </c>
      <c r="J1146" s="4">
        <v>0</v>
      </c>
      <c r="K1146" s="4"/>
      <c r="L1146" s="16"/>
      <c r="M1146" s="4"/>
      <c r="N1146" s="4"/>
      <c r="O1146" s="4"/>
      <c r="P1146" s="4"/>
      <c r="Q1146" s="4"/>
      <c r="R1146" s="4"/>
      <c r="S1146" s="4">
        <v>0</v>
      </c>
      <c r="T1146" s="4">
        <v>0</v>
      </c>
      <c r="U1146" s="4">
        <v>0</v>
      </c>
      <c r="V1146" s="4">
        <v>12</v>
      </c>
      <c r="W1146" s="4">
        <v>12</v>
      </c>
      <c r="X1146" s="4">
        <v>0</v>
      </c>
      <c r="Y1146" s="4"/>
      <c r="Z1146" s="4">
        <v>266.35999999999996</v>
      </c>
      <c r="AA1146" s="4">
        <v>250</v>
      </c>
      <c r="AB1146" s="18"/>
      <c r="AC1146" s="18">
        <v>20</v>
      </c>
      <c r="AD1146" s="28"/>
      <c r="AE1146" s="26"/>
      <c r="AF1146" s="28"/>
    </row>
    <row r="1147" spans="1:32" ht="12.6" customHeight="1" x14ac:dyDescent="0.25">
      <c r="A1147" s="14">
        <v>45794</v>
      </c>
      <c r="B1147" s="14" t="s">
        <v>46</v>
      </c>
      <c r="C1147" s="15">
        <v>3</v>
      </c>
      <c r="D1147" s="16"/>
      <c r="E1147" s="16"/>
      <c r="F1147" s="17"/>
      <c r="G1147" s="21"/>
      <c r="H1147" s="21"/>
      <c r="I1147" s="4">
        <v>0</v>
      </c>
      <c r="J1147" s="4">
        <v>0</v>
      </c>
      <c r="K1147" s="4"/>
      <c r="L1147" s="16"/>
      <c r="M1147" s="4"/>
      <c r="N1147" s="4"/>
      <c r="O1147" s="4"/>
      <c r="P1147" s="4"/>
      <c r="Q1147" s="4"/>
      <c r="R1147" s="4"/>
      <c r="S1147" s="4">
        <v>0</v>
      </c>
      <c r="T1147" s="4">
        <v>0</v>
      </c>
      <c r="U1147" s="4">
        <v>0</v>
      </c>
      <c r="V1147" s="4">
        <v>12</v>
      </c>
      <c r="W1147" s="4">
        <v>12</v>
      </c>
      <c r="X1147" s="4">
        <v>0</v>
      </c>
      <c r="Y1147" s="4"/>
      <c r="Z1147" s="4">
        <v>216.53999999999996</v>
      </c>
      <c r="AA1147" s="4">
        <v>200</v>
      </c>
      <c r="AB1147" s="18"/>
      <c r="AC1147" s="18">
        <v>20</v>
      </c>
      <c r="AD1147" s="28"/>
      <c r="AE1147" s="26"/>
      <c r="AF1147" s="28"/>
    </row>
    <row r="1148" spans="1:32" ht="12.6" customHeight="1" x14ac:dyDescent="0.25">
      <c r="A1148" s="14">
        <v>45794</v>
      </c>
      <c r="B1148" s="14" t="s">
        <v>45</v>
      </c>
      <c r="C1148" s="15">
        <v>4</v>
      </c>
      <c r="D1148" s="16"/>
      <c r="E1148" s="16"/>
      <c r="F1148" s="17"/>
      <c r="G1148" s="21"/>
      <c r="H1148" s="21"/>
      <c r="I1148" s="4">
        <v>0</v>
      </c>
      <c r="J1148" s="4">
        <v>0</v>
      </c>
      <c r="K1148" s="4">
        <v>70</v>
      </c>
      <c r="L1148" s="16"/>
      <c r="M1148" s="4"/>
      <c r="N1148" s="4"/>
      <c r="O1148" s="4"/>
      <c r="P1148" s="4"/>
      <c r="Q1148" s="4"/>
      <c r="R1148" s="4"/>
      <c r="S1148" s="4">
        <v>70</v>
      </c>
      <c r="T1148" s="4">
        <v>1.1666666666666667</v>
      </c>
      <c r="U1148" s="4">
        <v>1.1666666666666667</v>
      </c>
      <c r="V1148" s="4">
        <v>10.833333333333334</v>
      </c>
      <c r="W1148" s="4">
        <v>12</v>
      </c>
      <c r="X1148" s="4">
        <v>0</v>
      </c>
      <c r="Y1148" s="4"/>
      <c r="Z1148" s="4">
        <v>539.6</v>
      </c>
      <c r="AA1148" s="4">
        <v>550</v>
      </c>
      <c r="AB1148" s="18"/>
      <c r="AC1148" s="18">
        <v>20</v>
      </c>
      <c r="AD1148" s="28"/>
      <c r="AE1148" s="26"/>
      <c r="AF1148" s="28"/>
    </row>
    <row r="1149" spans="1:32" ht="12.6" customHeight="1" x14ac:dyDescent="0.25">
      <c r="A1149" s="14">
        <v>45794</v>
      </c>
      <c r="B1149" s="14" t="s">
        <v>46</v>
      </c>
      <c r="C1149" s="15">
        <v>4</v>
      </c>
      <c r="D1149" s="16"/>
      <c r="E1149" s="16"/>
      <c r="F1149" s="17"/>
      <c r="G1149" s="21"/>
      <c r="H1149" s="21"/>
      <c r="I1149" s="4">
        <v>0</v>
      </c>
      <c r="J1149" s="4">
        <v>0</v>
      </c>
      <c r="K1149" s="4"/>
      <c r="L1149" s="16"/>
      <c r="M1149" s="4"/>
      <c r="N1149" s="4"/>
      <c r="O1149" s="4"/>
      <c r="P1149" s="4"/>
      <c r="Q1149" s="4"/>
      <c r="R1149" s="4"/>
      <c r="S1149" s="4">
        <v>0</v>
      </c>
      <c r="T1149" s="4">
        <v>0</v>
      </c>
      <c r="U1149" s="4">
        <v>0</v>
      </c>
      <c r="V1149" s="4">
        <v>12</v>
      </c>
      <c r="W1149" s="4">
        <v>12</v>
      </c>
      <c r="X1149" s="4">
        <v>0</v>
      </c>
      <c r="Y1149" s="4"/>
      <c r="Z1149" s="4">
        <v>487.17999999999995</v>
      </c>
      <c r="AA1149" s="4">
        <v>500</v>
      </c>
      <c r="AB1149" s="18"/>
      <c r="AC1149" s="18">
        <v>20</v>
      </c>
      <c r="AD1149" s="28"/>
      <c r="AE1149" s="26"/>
      <c r="AF1149" s="28"/>
    </row>
    <row r="1150" spans="1:32" ht="12.6" customHeight="1" x14ac:dyDescent="0.25">
      <c r="A1150" s="14">
        <v>45794</v>
      </c>
      <c r="B1150" s="14" t="s">
        <v>45</v>
      </c>
      <c r="C1150" s="15">
        <v>5</v>
      </c>
      <c r="D1150" s="16">
        <v>20</v>
      </c>
      <c r="E1150" s="16"/>
      <c r="F1150" s="17"/>
      <c r="G1150" s="21"/>
      <c r="H1150" s="21"/>
      <c r="I1150" s="4">
        <v>20</v>
      </c>
      <c r="J1150" s="4">
        <v>0.33333333333333331</v>
      </c>
      <c r="K1150" s="4">
        <v>60</v>
      </c>
      <c r="L1150" s="16"/>
      <c r="M1150" s="4"/>
      <c r="N1150" s="4"/>
      <c r="O1150" s="4"/>
      <c r="P1150" s="4"/>
      <c r="Q1150" s="4"/>
      <c r="R1150" s="4"/>
      <c r="S1150" s="4">
        <v>60</v>
      </c>
      <c r="T1150" s="4">
        <v>1</v>
      </c>
      <c r="U1150" s="4">
        <v>1.3333333333333333</v>
      </c>
      <c r="V1150" s="4">
        <v>10.666666666666666</v>
      </c>
      <c r="W1150" s="4">
        <v>12</v>
      </c>
      <c r="X1150" s="4">
        <v>0</v>
      </c>
      <c r="Y1150" s="4"/>
      <c r="Z1150" s="4">
        <v>492.44</v>
      </c>
      <c r="AA1150" s="4">
        <v>500</v>
      </c>
      <c r="AB1150" s="18"/>
      <c r="AC1150" s="18">
        <v>20</v>
      </c>
      <c r="AD1150" s="28"/>
      <c r="AE1150" s="26"/>
      <c r="AF1150" s="28"/>
    </row>
    <row r="1151" spans="1:32" ht="12.6" customHeight="1" x14ac:dyDescent="0.25">
      <c r="A1151" s="14">
        <v>45794</v>
      </c>
      <c r="B1151" s="14" t="s">
        <v>46</v>
      </c>
      <c r="C1151" s="15">
        <v>5</v>
      </c>
      <c r="D1151" s="16"/>
      <c r="E1151" s="16"/>
      <c r="F1151" s="17"/>
      <c r="G1151" s="21"/>
      <c r="H1151" s="21"/>
      <c r="I1151" s="4">
        <v>0</v>
      </c>
      <c r="J1151" s="4">
        <v>0</v>
      </c>
      <c r="K1151" s="4"/>
      <c r="L1151" s="16"/>
      <c r="M1151" s="4"/>
      <c r="N1151" s="4"/>
      <c r="O1151" s="4"/>
      <c r="P1151" s="4"/>
      <c r="Q1151" s="4"/>
      <c r="R1151" s="4"/>
      <c r="S1151" s="4">
        <v>0</v>
      </c>
      <c r="T1151" s="4">
        <v>0</v>
      </c>
      <c r="U1151" s="4">
        <v>0</v>
      </c>
      <c r="V1151" s="4">
        <v>12</v>
      </c>
      <c r="W1151" s="4">
        <v>12</v>
      </c>
      <c r="X1151" s="4">
        <v>0</v>
      </c>
      <c r="Y1151" s="4"/>
      <c r="Z1151" s="4">
        <v>422.79</v>
      </c>
      <c r="AA1151" s="4">
        <v>450</v>
      </c>
      <c r="AB1151" s="18"/>
      <c r="AC1151" s="18">
        <v>20</v>
      </c>
      <c r="AD1151" s="28"/>
      <c r="AE1151" s="26"/>
      <c r="AF1151" s="28"/>
    </row>
    <row r="1152" spans="1:32" ht="12.6" customHeight="1" x14ac:dyDescent="0.25">
      <c r="A1152" s="14">
        <v>45796</v>
      </c>
      <c r="B1152" s="14" t="s">
        <v>45</v>
      </c>
      <c r="C1152" s="15">
        <v>1</v>
      </c>
      <c r="D1152" s="16"/>
      <c r="E1152" s="16"/>
      <c r="F1152" s="17"/>
      <c r="G1152" s="21">
        <v>90</v>
      </c>
      <c r="H1152" s="21"/>
      <c r="I1152" s="4">
        <v>90</v>
      </c>
      <c r="J1152" s="4">
        <v>1.5</v>
      </c>
      <c r="K1152" s="4"/>
      <c r="L1152" s="16"/>
      <c r="M1152" s="4"/>
      <c r="N1152" s="4"/>
      <c r="O1152" s="4"/>
      <c r="P1152" s="4"/>
      <c r="Q1152" s="4"/>
      <c r="R1152" s="4"/>
      <c r="S1152" s="4">
        <v>0</v>
      </c>
      <c r="T1152" s="4">
        <v>0</v>
      </c>
      <c r="U1152" s="4">
        <v>1.5</v>
      </c>
      <c r="V1152" s="4">
        <v>10.5</v>
      </c>
      <c r="W1152" s="4">
        <v>12</v>
      </c>
      <c r="X1152" s="4">
        <v>20</v>
      </c>
      <c r="Y1152" s="4">
        <v>1349</v>
      </c>
      <c r="Z1152" s="4">
        <v>116.19</v>
      </c>
      <c r="AA1152" s="4">
        <v>200</v>
      </c>
      <c r="AB1152" s="18">
        <v>398</v>
      </c>
      <c r="AC1152" s="18">
        <v>21</v>
      </c>
      <c r="AD1152" s="28"/>
      <c r="AE1152" s="26"/>
      <c r="AF1152" s="28"/>
    </row>
    <row r="1153" spans="1:32" ht="12.6" customHeight="1" x14ac:dyDescent="0.25">
      <c r="A1153" s="14">
        <v>45796</v>
      </c>
      <c r="B1153" s="14" t="s">
        <v>46</v>
      </c>
      <c r="C1153" s="15">
        <v>1</v>
      </c>
      <c r="D1153" s="16"/>
      <c r="E1153" s="16"/>
      <c r="F1153" s="17"/>
      <c r="G1153" s="21"/>
      <c r="H1153" s="21"/>
      <c r="I1153" s="4">
        <v>0</v>
      </c>
      <c r="J1153" s="4">
        <v>0</v>
      </c>
      <c r="K1153" s="4"/>
      <c r="L1153" s="16"/>
      <c r="M1153" s="4"/>
      <c r="N1153" s="4"/>
      <c r="O1153" s="4"/>
      <c r="P1153" s="4"/>
      <c r="Q1153" s="4"/>
      <c r="R1153" s="4"/>
      <c r="S1153" s="4">
        <v>0</v>
      </c>
      <c r="T1153" s="4">
        <v>0</v>
      </c>
      <c r="U1153" s="4">
        <v>0</v>
      </c>
      <c r="V1153" s="4">
        <v>12</v>
      </c>
      <c r="W1153" s="4">
        <v>12</v>
      </c>
      <c r="X1153" s="4">
        <v>51</v>
      </c>
      <c r="Y1153" s="4"/>
      <c r="Z1153" s="4">
        <v>188.44999999999996</v>
      </c>
      <c r="AA1153" s="4">
        <v>250</v>
      </c>
      <c r="AB1153" s="18"/>
      <c r="AC1153" s="18">
        <v>21</v>
      </c>
      <c r="AD1153" s="28"/>
      <c r="AE1153" s="26"/>
      <c r="AF1153" s="28"/>
    </row>
    <row r="1154" spans="1:32" ht="12.6" customHeight="1" x14ac:dyDescent="0.25">
      <c r="A1154" s="14">
        <v>45796</v>
      </c>
      <c r="B1154" s="14" t="s">
        <v>45</v>
      </c>
      <c r="C1154" s="15">
        <v>2</v>
      </c>
      <c r="D1154" s="16"/>
      <c r="E1154" s="16"/>
      <c r="F1154" s="17"/>
      <c r="G1154" s="21">
        <v>60</v>
      </c>
      <c r="H1154" s="21"/>
      <c r="I1154" s="4">
        <v>60</v>
      </c>
      <c r="J1154" s="4">
        <v>1</v>
      </c>
      <c r="K1154" s="4"/>
      <c r="L1154" s="16"/>
      <c r="M1154" s="4"/>
      <c r="N1154" s="4"/>
      <c r="O1154" s="4"/>
      <c r="P1154" s="4"/>
      <c r="Q1154" s="4"/>
      <c r="R1154" s="4"/>
      <c r="S1154" s="4">
        <v>0</v>
      </c>
      <c r="T1154" s="4">
        <v>0</v>
      </c>
      <c r="U1154" s="4">
        <v>1</v>
      </c>
      <c r="V1154" s="4">
        <v>11</v>
      </c>
      <c r="W1154" s="4">
        <v>12</v>
      </c>
      <c r="X1154" s="4">
        <v>0</v>
      </c>
      <c r="Y1154" s="4"/>
      <c r="Z1154" s="4">
        <v>112.18</v>
      </c>
      <c r="AA1154" s="4">
        <v>200</v>
      </c>
      <c r="AB1154" s="18"/>
      <c r="AC1154" s="18">
        <v>21</v>
      </c>
      <c r="AD1154" s="28"/>
      <c r="AE1154" s="26"/>
      <c r="AF1154" s="28"/>
    </row>
    <row r="1155" spans="1:32" ht="12.6" customHeight="1" x14ac:dyDescent="0.25">
      <c r="A1155" s="14">
        <v>45796</v>
      </c>
      <c r="B1155" s="14" t="s">
        <v>46</v>
      </c>
      <c r="C1155" s="15">
        <v>2</v>
      </c>
      <c r="D1155" s="16"/>
      <c r="E1155" s="16"/>
      <c r="F1155" s="17"/>
      <c r="G1155" s="21"/>
      <c r="H1155" s="21"/>
      <c r="I1155" s="4">
        <v>0</v>
      </c>
      <c r="J1155" s="4">
        <v>0</v>
      </c>
      <c r="K1155" s="4"/>
      <c r="L1155" s="16"/>
      <c r="M1155" s="4"/>
      <c r="N1155" s="4"/>
      <c r="O1155" s="4"/>
      <c r="P1155" s="4"/>
      <c r="Q1155" s="4"/>
      <c r="R1155" s="4"/>
      <c r="S1155" s="4">
        <v>0</v>
      </c>
      <c r="T1155" s="4">
        <v>0</v>
      </c>
      <c r="U1155" s="4">
        <v>0</v>
      </c>
      <c r="V1155" s="4">
        <v>12</v>
      </c>
      <c r="W1155" s="4">
        <v>12</v>
      </c>
      <c r="X1155" s="4">
        <v>0</v>
      </c>
      <c r="Y1155" s="4"/>
      <c r="Z1155" s="4">
        <v>147.68</v>
      </c>
      <c r="AA1155" s="4">
        <v>150</v>
      </c>
      <c r="AB1155" s="18"/>
      <c r="AC1155" s="18">
        <v>21</v>
      </c>
      <c r="AD1155" s="28"/>
      <c r="AE1155" s="26"/>
      <c r="AF1155" s="28"/>
    </row>
    <row r="1156" spans="1:32" ht="12.6" customHeight="1" x14ac:dyDescent="0.25">
      <c r="A1156" s="14">
        <v>45796</v>
      </c>
      <c r="B1156" s="14" t="s">
        <v>45</v>
      </c>
      <c r="C1156" s="15">
        <v>4</v>
      </c>
      <c r="D1156" s="16"/>
      <c r="E1156" s="16"/>
      <c r="F1156" s="17"/>
      <c r="G1156" s="21">
        <v>240</v>
      </c>
      <c r="H1156" s="21"/>
      <c r="I1156" s="4">
        <v>240</v>
      </c>
      <c r="J1156" s="4">
        <v>4</v>
      </c>
      <c r="K1156" s="4"/>
      <c r="L1156" s="16"/>
      <c r="M1156" s="4"/>
      <c r="N1156" s="4"/>
      <c r="O1156" s="4"/>
      <c r="P1156" s="4"/>
      <c r="Q1156" s="4"/>
      <c r="R1156" s="4"/>
      <c r="S1156" s="4">
        <v>0</v>
      </c>
      <c r="T1156" s="4">
        <v>0</v>
      </c>
      <c r="U1156" s="4">
        <v>4</v>
      </c>
      <c r="V1156" s="4">
        <v>8</v>
      </c>
      <c r="W1156" s="4">
        <v>12</v>
      </c>
      <c r="X1156" s="4">
        <v>0</v>
      </c>
      <c r="Y1156" s="4"/>
      <c r="Z1156" s="4">
        <v>407.95000000000005</v>
      </c>
      <c r="AA1156" s="4">
        <v>500</v>
      </c>
      <c r="AB1156" s="18"/>
      <c r="AC1156" s="18">
        <v>21</v>
      </c>
      <c r="AD1156" s="28"/>
      <c r="AE1156" s="26"/>
      <c r="AF1156" s="28"/>
    </row>
    <row r="1157" spans="1:32" ht="12.6" customHeight="1" x14ac:dyDescent="0.25">
      <c r="A1157" s="14">
        <v>45796</v>
      </c>
      <c r="B1157" s="14" t="s">
        <v>46</v>
      </c>
      <c r="C1157" s="15">
        <v>4</v>
      </c>
      <c r="D1157" s="16">
        <v>40</v>
      </c>
      <c r="E1157" s="16"/>
      <c r="F1157" s="17"/>
      <c r="G1157" s="21"/>
      <c r="H1157" s="21"/>
      <c r="I1157" s="4">
        <v>40</v>
      </c>
      <c r="J1157" s="4">
        <v>0.66666666666666663</v>
      </c>
      <c r="K1157" s="4"/>
      <c r="L1157" s="16"/>
      <c r="M1157" s="4"/>
      <c r="N1157" s="4"/>
      <c r="O1157" s="4"/>
      <c r="P1157" s="4"/>
      <c r="Q1157" s="4"/>
      <c r="R1157" s="4"/>
      <c r="S1157" s="4">
        <v>0</v>
      </c>
      <c r="T1157" s="4">
        <v>0</v>
      </c>
      <c r="U1157" s="4">
        <v>0.66666666666666663</v>
      </c>
      <c r="V1157" s="4">
        <v>11.333333333333334</v>
      </c>
      <c r="W1157" s="4">
        <v>12</v>
      </c>
      <c r="X1157" s="4">
        <v>0</v>
      </c>
      <c r="Y1157" s="4"/>
      <c r="Z1157" s="4">
        <v>548.06999999999994</v>
      </c>
      <c r="AA1157" s="4">
        <v>550</v>
      </c>
      <c r="AB1157" s="18"/>
      <c r="AC1157" s="18">
        <v>21</v>
      </c>
      <c r="AD1157" s="28"/>
      <c r="AE1157" s="26"/>
      <c r="AF1157" s="28"/>
    </row>
    <row r="1158" spans="1:32" ht="12.6" customHeight="1" x14ac:dyDescent="0.25">
      <c r="A1158" s="14">
        <v>45796</v>
      </c>
      <c r="B1158" s="14" t="s">
        <v>45</v>
      </c>
      <c r="C1158" s="15">
        <v>5</v>
      </c>
      <c r="D1158" s="16"/>
      <c r="E1158" s="16"/>
      <c r="F1158" s="17"/>
      <c r="G1158" s="21">
        <v>210</v>
      </c>
      <c r="H1158" s="21"/>
      <c r="I1158" s="4">
        <v>210</v>
      </c>
      <c r="J1158" s="4">
        <v>3.5</v>
      </c>
      <c r="K1158" s="4"/>
      <c r="L1158" s="16">
        <v>30</v>
      </c>
      <c r="M1158" s="4"/>
      <c r="N1158" s="4"/>
      <c r="O1158" s="4"/>
      <c r="P1158" s="4"/>
      <c r="Q1158" s="4"/>
      <c r="R1158" s="4"/>
      <c r="S1158" s="4">
        <v>30</v>
      </c>
      <c r="T1158" s="4">
        <v>0.5</v>
      </c>
      <c r="U1158" s="4">
        <v>4</v>
      </c>
      <c r="V1158" s="4">
        <v>8</v>
      </c>
      <c r="W1158" s="4">
        <v>12</v>
      </c>
      <c r="X1158" s="4">
        <v>0</v>
      </c>
      <c r="Y1158" s="4"/>
      <c r="Z1158" s="4">
        <v>209.79</v>
      </c>
      <c r="AA1158" s="4">
        <v>300</v>
      </c>
      <c r="AB1158" s="18"/>
      <c r="AC1158" s="18">
        <v>21</v>
      </c>
      <c r="AD1158" s="28"/>
      <c r="AE1158" s="26"/>
      <c r="AF1158" s="28"/>
    </row>
    <row r="1159" spans="1:32" ht="12.6" customHeight="1" x14ac:dyDescent="0.25">
      <c r="A1159" s="14">
        <v>45796</v>
      </c>
      <c r="B1159" s="14" t="s">
        <v>46</v>
      </c>
      <c r="C1159" s="15">
        <v>5</v>
      </c>
      <c r="D1159" s="16">
        <v>20</v>
      </c>
      <c r="E1159" s="16"/>
      <c r="F1159" s="17"/>
      <c r="G1159" s="21"/>
      <c r="H1159" s="21"/>
      <c r="I1159" s="4">
        <v>20</v>
      </c>
      <c r="J1159" s="4">
        <v>0.33333333333333331</v>
      </c>
      <c r="K1159" s="4"/>
      <c r="L1159" s="16"/>
      <c r="M1159" s="4"/>
      <c r="N1159" s="4"/>
      <c r="O1159" s="4"/>
      <c r="P1159" s="4"/>
      <c r="Q1159" s="4"/>
      <c r="R1159" s="4"/>
      <c r="S1159" s="4">
        <v>0</v>
      </c>
      <c r="T1159" s="4">
        <v>0</v>
      </c>
      <c r="U1159" s="4">
        <v>0.33333333333333331</v>
      </c>
      <c r="V1159" s="4">
        <v>11.666666666666666</v>
      </c>
      <c r="W1159" s="4">
        <v>12</v>
      </c>
      <c r="X1159" s="4">
        <v>0</v>
      </c>
      <c r="Y1159" s="4"/>
      <c r="Z1159" s="4">
        <v>391.66999999999996</v>
      </c>
      <c r="AA1159" s="4">
        <v>450</v>
      </c>
      <c r="AB1159" s="18"/>
      <c r="AC1159" s="18">
        <v>21</v>
      </c>
      <c r="AD1159" s="28"/>
      <c r="AE1159" s="26"/>
      <c r="AF1159" s="28"/>
    </row>
    <row r="1160" spans="1:32" ht="12.6" customHeight="1" x14ac:dyDescent="0.25">
      <c r="A1160" s="14">
        <v>45797</v>
      </c>
      <c r="B1160" s="14" t="s">
        <v>45</v>
      </c>
      <c r="C1160" s="15">
        <v>1</v>
      </c>
      <c r="D1160" s="16">
        <v>20</v>
      </c>
      <c r="E1160" s="16"/>
      <c r="F1160" s="17"/>
      <c r="G1160" s="21"/>
      <c r="H1160" s="21"/>
      <c r="I1160" s="4">
        <v>20</v>
      </c>
      <c r="J1160" s="4">
        <v>0.33333333333333331</v>
      </c>
      <c r="K1160" s="4"/>
      <c r="L1160" s="16"/>
      <c r="M1160" s="4"/>
      <c r="N1160" s="4"/>
      <c r="O1160" s="4"/>
      <c r="P1160" s="4"/>
      <c r="Q1160" s="4"/>
      <c r="R1160" s="4"/>
      <c r="S1160" s="4">
        <v>0</v>
      </c>
      <c r="T1160" s="4">
        <v>0</v>
      </c>
      <c r="U1160" s="4">
        <v>0.33333333333333331</v>
      </c>
      <c r="V1160" s="4">
        <v>11.666666666666666</v>
      </c>
      <c r="W1160" s="4">
        <v>12</v>
      </c>
      <c r="X1160" s="4">
        <v>20</v>
      </c>
      <c r="Y1160" s="4">
        <v>1617</v>
      </c>
      <c r="Z1160" s="4">
        <v>150.41999999999996</v>
      </c>
      <c r="AA1160" s="4">
        <v>150</v>
      </c>
      <c r="AB1160" s="18">
        <v>398</v>
      </c>
      <c r="AC1160" s="18">
        <v>21</v>
      </c>
      <c r="AD1160" s="28"/>
      <c r="AE1160" s="26"/>
      <c r="AF1160" s="28"/>
    </row>
    <row r="1161" spans="1:32" ht="12.6" customHeight="1" x14ac:dyDescent="0.25">
      <c r="A1161" s="14">
        <v>45797</v>
      </c>
      <c r="B1161" s="14" t="s">
        <v>46</v>
      </c>
      <c r="C1161" s="15">
        <v>1</v>
      </c>
      <c r="D1161" s="16"/>
      <c r="E1161" s="16"/>
      <c r="F1161" s="17"/>
      <c r="G1161" s="21"/>
      <c r="H1161" s="21"/>
      <c r="I1161" s="4">
        <v>0</v>
      </c>
      <c r="J1161" s="4">
        <v>0</v>
      </c>
      <c r="K1161" s="4"/>
      <c r="L1161" s="16"/>
      <c r="M1161" s="4"/>
      <c r="N1161" s="4"/>
      <c r="O1161" s="4"/>
      <c r="P1161" s="4"/>
      <c r="Q1161" s="4"/>
      <c r="R1161" s="4"/>
      <c r="S1161" s="4">
        <v>0</v>
      </c>
      <c r="T1161" s="4">
        <v>0</v>
      </c>
      <c r="U1161" s="4">
        <v>0</v>
      </c>
      <c r="V1161" s="4">
        <v>12</v>
      </c>
      <c r="W1161" s="4">
        <v>12</v>
      </c>
      <c r="X1161" s="4">
        <v>33</v>
      </c>
      <c r="Y1161" s="4"/>
      <c r="Z1161" s="4">
        <v>166.08999999999997</v>
      </c>
      <c r="AA1161" s="4">
        <v>200</v>
      </c>
      <c r="AB1161" s="18"/>
      <c r="AC1161" s="18">
        <v>21</v>
      </c>
      <c r="AD1161" s="28"/>
      <c r="AE1161" s="26"/>
      <c r="AF1161" s="28"/>
    </row>
    <row r="1162" spans="1:32" ht="12.6" customHeight="1" x14ac:dyDescent="0.25">
      <c r="A1162" s="14">
        <v>45797</v>
      </c>
      <c r="B1162" s="14" t="s">
        <v>45</v>
      </c>
      <c r="C1162" s="15">
        <v>2</v>
      </c>
      <c r="D1162" s="16">
        <v>20</v>
      </c>
      <c r="E1162" s="16"/>
      <c r="F1162" s="17"/>
      <c r="G1162" s="21"/>
      <c r="H1162" s="21"/>
      <c r="I1162" s="4">
        <v>20</v>
      </c>
      <c r="J1162" s="4">
        <v>0.33333333333333331</v>
      </c>
      <c r="K1162" s="4"/>
      <c r="L1162" s="16"/>
      <c r="M1162" s="4"/>
      <c r="N1162" s="4"/>
      <c r="O1162" s="4"/>
      <c r="P1162" s="4"/>
      <c r="Q1162" s="4"/>
      <c r="R1162" s="4"/>
      <c r="S1162" s="4">
        <v>0</v>
      </c>
      <c r="T1162" s="4">
        <v>0</v>
      </c>
      <c r="U1162" s="4">
        <v>0.33333333333333331</v>
      </c>
      <c r="V1162" s="4">
        <v>11.666666666666666</v>
      </c>
      <c r="W1162" s="4">
        <v>12</v>
      </c>
      <c r="X1162" s="4">
        <v>0</v>
      </c>
      <c r="Y1162" s="4"/>
      <c r="Z1162" s="4">
        <v>182.03</v>
      </c>
      <c r="AA1162" s="4">
        <v>200</v>
      </c>
      <c r="AB1162" s="18"/>
      <c r="AC1162" s="18">
        <v>21</v>
      </c>
      <c r="AD1162" s="28"/>
      <c r="AE1162" s="26"/>
      <c r="AF1162" s="28"/>
    </row>
    <row r="1163" spans="1:32" ht="12.6" customHeight="1" x14ac:dyDescent="0.25">
      <c r="A1163" s="14">
        <v>45797</v>
      </c>
      <c r="B1163" s="14" t="s">
        <v>46</v>
      </c>
      <c r="C1163" s="15">
        <v>2</v>
      </c>
      <c r="D1163" s="16"/>
      <c r="E1163" s="16"/>
      <c r="F1163" s="17"/>
      <c r="G1163" s="21"/>
      <c r="H1163" s="21"/>
      <c r="I1163" s="4">
        <v>0</v>
      </c>
      <c r="J1163" s="4">
        <v>0</v>
      </c>
      <c r="K1163" s="4"/>
      <c r="L1163" s="16"/>
      <c r="M1163" s="4"/>
      <c r="N1163" s="4"/>
      <c r="O1163" s="4"/>
      <c r="P1163" s="4"/>
      <c r="Q1163" s="4"/>
      <c r="R1163" s="4"/>
      <c r="S1163" s="4">
        <v>0</v>
      </c>
      <c r="T1163" s="4">
        <v>0</v>
      </c>
      <c r="U1163" s="4">
        <v>0</v>
      </c>
      <c r="V1163" s="4">
        <v>12</v>
      </c>
      <c r="W1163" s="4">
        <v>12</v>
      </c>
      <c r="X1163" s="4">
        <v>0</v>
      </c>
      <c r="Y1163" s="4"/>
      <c r="Z1163" s="4">
        <v>171.35</v>
      </c>
      <c r="AA1163" s="4">
        <v>200</v>
      </c>
      <c r="AB1163" s="18"/>
      <c r="AC1163" s="18">
        <v>21</v>
      </c>
      <c r="AD1163" s="28"/>
      <c r="AE1163" s="26"/>
      <c r="AF1163" s="28"/>
    </row>
    <row r="1164" spans="1:32" ht="12.6" customHeight="1" x14ac:dyDescent="0.25">
      <c r="A1164" s="14">
        <v>45797</v>
      </c>
      <c r="B1164" s="14" t="s">
        <v>46</v>
      </c>
      <c r="C1164" s="15">
        <v>3</v>
      </c>
      <c r="D1164" s="16">
        <v>20</v>
      </c>
      <c r="E1164" s="16"/>
      <c r="F1164" s="17"/>
      <c r="G1164" s="21">
        <v>60</v>
      </c>
      <c r="H1164" s="21"/>
      <c r="I1164" s="4">
        <v>80</v>
      </c>
      <c r="J1164" s="4">
        <v>1.3333333333333333</v>
      </c>
      <c r="K1164" s="4"/>
      <c r="L1164" s="16"/>
      <c r="M1164" s="4"/>
      <c r="N1164" s="4"/>
      <c r="O1164" s="4"/>
      <c r="P1164" s="4"/>
      <c r="Q1164" s="4">
        <v>30</v>
      </c>
      <c r="R1164" s="4"/>
      <c r="S1164" s="4">
        <v>30</v>
      </c>
      <c r="T1164" s="4">
        <v>0.5</v>
      </c>
      <c r="U1164" s="4">
        <v>1.8333333333333333</v>
      </c>
      <c r="V1164" s="4">
        <v>10.166666666666666</v>
      </c>
      <c r="W1164" s="4">
        <v>12</v>
      </c>
      <c r="X1164" s="4">
        <v>0</v>
      </c>
      <c r="Y1164" s="4"/>
      <c r="Z1164" s="4">
        <v>269.18999999999994</v>
      </c>
      <c r="AA1164" s="4">
        <v>250</v>
      </c>
      <c r="AB1164" s="18"/>
      <c r="AC1164" s="18">
        <v>21</v>
      </c>
      <c r="AD1164" s="28"/>
      <c r="AE1164" s="26"/>
      <c r="AF1164" s="28"/>
    </row>
    <row r="1165" spans="1:32" ht="12.6" customHeight="1" x14ac:dyDescent="0.25">
      <c r="A1165" s="14">
        <v>45797</v>
      </c>
      <c r="B1165" s="14" t="s">
        <v>45</v>
      </c>
      <c r="C1165" s="15">
        <v>4</v>
      </c>
      <c r="D1165" s="16">
        <v>20</v>
      </c>
      <c r="E1165" s="16"/>
      <c r="F1165" s="17"/>
      <c r="G1165" s="21"/>
      <c r="H1165" s="21"/>
      <c r="I1165" s="4">
        <v>20</v>
      </c>
      <c r="J1165" s="4">
        <v>0.33333333333333331</v>
      </c>
      <c r="K1165" s="4"/>
      <c r="L1165" s="16"/>
      <c r="M1165" s="4"/>
      <c r="N1165" s="4"/>
      <c r="O1165" s="4"/>
      <c r="P1165" s="4"/>
      <c r="Q1165" s="4"/>
      <c r="R1165" s="4"/>
      <c r="S1165" s="4">
        <v>0</v>
      </c>
      <c r="T1165" s="4">
        <v>0</v>
      </c>
      <c r="U1165" s="4">
        <v>0.33333333333333331</v>
      </c>
      <c r="V1165" s="4">
        <v>11.666666666666666</v>
      </c>
      <c r="W1165" s="4">
        <v>12</v>
      </c>
      <c r="X1165" s="4">
        <v>0</v>
      </c>
      <c r="Y1165" s="4"/>
      <c r="Z1165" s="4">
        <v>664.02</v>
      </c>
      <c r="AA1165" s="4">
        <v>700</v>
      </c>
      <c r="AB1165" s="18"/>
      <c r="AC1165" s="18">
        <v>21</v>
      </c>
      <c r="AD1165" s="28"/>
      <c r="AE1165" s="26"/>
      <c r="AF1165" s="28"/>
    </row>
    <row r="1166" spans="1:32" ht="12.6" customHeight="1" x14ac:dyDescent="0.25">
      <c r="A1166" s="14">
        <v>45797</v>
      </c>
      <c r="B1166" s="14" t="s">
        <v>46</v>
      </c>
      <c r="C1166" s="15">
        <v>4</v>
      </c>
      <c r="D1166" s="16"/>
      <c r="E1166" s="16"/>
      <c r="F1166" s="17"/>
      <c r="G1166" s="21"/>
      <c r="H1166" s="21"/>
      <c r="I1166" s="4">
        <v>0</v>
      </c>
      <c r="J1166" s="4">
        <v>0</v>
      </c>
      <c r="K1166" s="4"/>
      <c r="L1166" s="16"/>
      <c r="M1166" s="4"/>
      <c r="N1166" s="4"/>
      <c r="O1166" s="4"/>
      <c r="P1166" s="4"/>
      <c r="Q1166" s="4"/>
      <c r="R1166" s="4"/>
      <c r="S1166" s="4">
        <v>0</v>
      </c>
      <c r="T1166" s="4">
        <v>0</v>
      </c>
      <c r="U1166" s="4">
        <v>0</v>
      </c>
      <c r="V1166" s="4">
        <v>12</v>
      </c>
      <c r="W1166" s="4">
        <v>12</v>
      </c>
      <c r="X1166" s="4">
        <v>0</v>
      </c>
      <c r="Y1166" s="4"/>
      <c r="Z1166" s="4">
        <v>591.58000000000004</v>
      </c>
      <c r="AA1166" s="4">
        <v>600</v>
      </c>
      <c r="AB1166" s="18"/>
      <c r="AC1166" s="18">
        <v>21</v>
      </c>
      <c r="AD1166" s="28"/>
      <c r="AE1166" s="26"/>
      <c r="AF1166" s="28"/>
    </row>
    <row r="1167" spans="1:32" ht="12.6" customHeight="1" x14ac:dyDescent="0.25">
      <c r="A1167" s="14">
        <v>45797</v>
      </c>
      <c r="B1167" s="14" t="s">
        <v>45</v>
      </c>
      <c r="C1167" s="15">
        <v>5</v>
      </c>
      <c r="D1167" s="16">
        <v>20</v>
      </c>
      <c r="E1167" s="16"/>
      <c r="F1167" s="17"/>
      <c r="G1167" s="21"/>
      <c r="H1167" s="21"/>
      <c r="I1167" s="4">
        <v>20</v>
      </c>
      <c r="J1167" s="4">
        <v>0.33333333333333331</v>
      </c>
      <c r="K1167" s="4"/>
      <c r="L1167" s="16"/>
      <c r="M1167" s="4"/>
      <c r="N1167" s="4"/>
      <c r="O1167" s="4"/>
      <c r="P1167" s="4"/>
      <c r="Q1167" s="4"/>
      <c r="R1167" s="4"/>
      <c r="S1167" s="4">
        <v>0</v>
      </c>
      <c r="T1167" s="4">
        <v>0</v>
      </c>
      <c r="U1167" s="4">
        <v>0.33333333333333331</v>
      </c>
      <c r="V1167" s="4">
        <v>11.666666666666666</v>
      </c>
      <c r="W1167" s="4">
        <v>12</v>
      </c>
      <c r="X1167" s="4">
        <v>0</v>
      </c>
      <c r="Y1167" s="4"/>
      <c r="Z1167" s="4">
        <v>354.87</v>
      </c>
      <c r="AA1167" s="4">
        <v>350</v>
      </c>
      <c r="AB1167" s="18"/>
      <c r="AC1167" s="18">
        <v>21</v>
      </c>
      <c r="AD1167" s="28"/>
      <c r="AE1167" s="26"/>
      <c r="AF1167" s="28"/>
    </row>
    <row r="1168" spans="1:32" ht="12.6" customHeight="1" x14ac:dyDescent="0.25">
      <c r="A1168" s="14">
        <v>45797</v>
      </c>
      <c r="B1168" s="14" t="s">
        <v>46</v>
      </c>
      <c r="C1168" s="15">
        <v>5</v>
      </c>
      <c r="D1168" s="16">
        <v>20</v>
      </c>
      <c r="E1168" s="16"/>
      <c r="F1168" s="17"/>
      <c r="G1168" s="21"/>
      <c r="H1168" s="21"/>
      <c r="I1168" s="4">
        <v>20</v>
      </c>
      <c r="J1168" s="4">
        <v>0.33333333333333331</v>
      </c>
      <c r="K1168" s="4"/>
      <c r="L1168" s="16"/>
      <c r="M1168" s="4"/>
      <c r="N1168" s="4"/>
      <c r="O1168" s="4"/>
      <c r="P1168" s="4"/>
      <c r="Q1168" s="4"/>
      <c r="R1168" s="4"/>
      <c r="S1168" s="4">
        <v>0</v>
      </c>
      <c r="T1168" s="4">
        <v>0</v>
      </c>
      <c r="U1168" s="4">
        <v>0.33333333333333331</v>
      </c>
      <c r="V1168" s="4">
        <v>11.666666666666666</v>
      </c>
      <c r="W1168" s="4">
        <v>12</v>
      </c>
      <c r="X1168" s="4">
        <v>0</v>
      </c>
      <c r="Y1168" s="4"/>
      <c r="Z1168" s="4">
        <v>457.87</v>
      </c>
      <c r="AA1168" s="4">
        <v>500</v>
      </c>
      <c r="AB1168" s="18"/>
      <c r="AC1168" s="18">
        <v>21</v>
      </c>
      <c r="AD1168" s="28"/>
      <c r="AE1168" s="26"/>
      <c r="AF1168" s="28"/>
    </row>
    <row r="1169" spans="1:32" ht="12.6" customHeight="1" x14ac:dyDescent="0.25">
      <c r="A1169" s="14">
        <v>45798</v>
      </c>
      <c r="B1169" s="14" t="s">
        <v>45</v>
      </c>
      <c r="C1169" s="15">
        <v>1</v>
      </c>
      <c r="D1169" s="16">
        <v>30</v>
      </c>
      <c r="E1169" s="16"/>
      <c r="F1169" s="17"/>
      <c r="G1169" s="21"/>
      <c r="H1169" s="21"/>
      <c r="I1169" s="4">
        <v>30</v>
      </c>
      <c r="J1169" s="4">
        <v>0.5</v>
      </c>
      <c r="K1169" s="4"/>
      <c r="L1169" s="16"/>
      <c r="M1169" s="4"/>
      <c r="N1169" s="4"/>
      <c r="O1169" s="4"/>
      <c r="P1169" s="4"/>
      <c r="Q1169" s="4"/>
      <c r="R1169" s="4"/>
      <c r="S1169" s="4">
        <v>0</v>
      </c>
      <c r="T1169" s="4">
        <v>0</v>
      </c>
      <c r="U1169" s="4">
        <v>0.5</v>
      </c>
      <c r="V1169" s="4">
        <v>11.5</v>
      </c>
      <c r="W1169" s="4">
        <v>12</v>
      </c>
      <c r="X1169" s="4">
        <v>26</v>
      </c>
      <c r="Y1169" s="4">
        <v>1702</v>
      </c>
      <c r="Z1169" s="4">
        <v>143.43</v>
      </c>
      <c r="AA1169" s="4">
        <v>150</v>
      </c>
      <c r="AB1169" s="18">
        <v>398</v>
      </c>
      <c r="AC1169" s="18">
        <v>21</v>
      </c>
      <c r="AD1169" s="28"/>
      <c r="AE1169" s="26"/>
      <c r="AF1169" s="28"/>
    </row>
    <row r="1170" spans="1:32" ht="12.6" customHeight="1" x14ac:dyDescent="0.25">
      <c r="A1170" s="14">
        <v>45798</v>
      </c>
      <c r="B1170" s="14" t="s">
        <v>46</v>
      </c>
      <c r="C1170" s="15">
        <v>1</v>
      </c>
      <c r="D1170" s="16"/>
      <c r="E1170" s="16"/>
      <c r="F1170" s="17"/>
      <c r="G1170" s="21"/>
      <c r="H1170" s="21"/>
      <c r="I1170" s="4">
        <v>0</v>
      </c>
      <c r="J1170" s="4">
        <v>0</v>
      </c>
      <c r="K1170" s="4"/>
      <c r="L1170" s="16"/>
      <c r="M1170" s="4"/>
      <c r="N1170" s="4"/>
      <c r="O1170" s="4"/>
      <c r="P1170" s="4"/>
      <c r="Q1170" s="4"/>
      <c r="R1170" s="4"/>
      <c r="S1170" s="4">
        <v>0</v>
      </c>
      <c r="T1170" s="4">
        <v>0</v>
      </c>
      <c r="U1170" s="4">
        <v>0</v>
      </c>
      <c r="V1170" s="4">
        <v>12</v>
      </c>
      <c r="W1170" s="4">
        <v>12</v>
      </c>
      <c r="X1170" s="4">
        <v>39</v>
      </c>
      <c r="Y1170" s="4"/>
      <c r="Z1170" s="4">
        <v>170.04999999999998</v>
      </c>
      <c r="AA1170" s="4">
        <v>200</v>
      </c>
      <c r="AB1170" s="18"/>
      <c r="AC1170" s="18">
        <v>21</v>
      </c>
      <c r="AD1170" s="28"/>
      <c r="AE1170" s="26"/>
      <c r="AF1170" s="28"/>
    </row>
    <row r="1171" spans="1:32" ht="12.6" customHeight="1" x14ac:dyDescent="0.25">
      <c r="A1171" s="14">
        <v>45798</v>
      </c>
      <c r="B1171" s="14" t="s">
        <v>45</v>
      </c>
      <c r="C1171" s="15">
        <v>2</v>
      </c>
      <c r="D1171" s="16"/>
      <c r="E1171" s="16"/>
      <c r="F1171" s="17"/>
      <c r="G1171" s="21"/>
      <c r="H1171" s="21"/>
      <c r="I1171" s="4">
        <v>0</v>
      </c>
      <c r="J1171" s="4">
        <v>0</v>
      </c>
      <c r="K1171" s="4"/>
      <c r="L1171" s="16"/>
      <c r="M1171" s="4"/>
      <c r="N1171" s="4"/>
      <c r="O1171" s="4"/>
      <c r="P1171" s="4"/>
      <c r="Q1171" s="4"/>
      <c r="R1171" s="4"/>
      <c r="S1171" s="4">
        <v>0</v>
      </c>
      <c r="T1171" s="4">
        <v>0</v>
      </c>
      <c r="U1171" s="4">
        <v>0</v>
      </c>
      <c r="V1171" s="4">
        <v>12</v>
      </c>
      <c r="W1171" s="4">
        <v>12</v>
      </c>
      <c r="X1171" s="4">
        <v>0</v>
      </c>
      <c r="Y1171" s="4"/>
      <c r="Z1171" s="4">
        <v>180.42000000000002</v>
      </c>
      <c r="AA1171" s="4">
        <v>200</v>
      </c>
      <c r="AB1171" s="18"/>
      <c r="AC1171" s="18">
        <v>21</v>
      </c>
      <c r="AD1171" s="28"/>
      <c r="AE1171" s="26"/>
      <c r="AF1171" s="28"/>
    </row>
    <row r="1172" spans="1:32" ht="12.6" customHeight="1" x14ac:dyDescent="0.25">
      <c r="A1172" s="14">
        <v>45798</v>
      </c>
      <c r="B1172" s="14" t="s">
        <v>46</v>
      </c>
      <c r="C1172" s="15">
        <v>2</v>
      </c>
      <c r="D1172" s="16"/>
      <c r="E1172" s="16"/>
      <c r="F1172" s="17"/>
      <c r="G1172" s="21"/>
      <c r="H1172" s="21"/>
      <c r="I1172" s="4">
        <v>0</v>
      </c>
      <c r="J1172" s="4">
        <v>0</v>
      </c>
      <c r="K1172" s="4"/>
      <c r="L1172" s="16"/>
      <c r="M1172" s="4"/>
      <c r="N1172" s="4"/>
      <c r="O1172" s="4"/>
      <c r="P1172" s="4"/>
      <c r="Q1172" s="4"/>
      <c r="R1172" s="4"/>
      <c r="S1172" s="4">
        <v>0</v>
      </c>
      <c r="T1172" s="4">
        <v>0</v>
      </c>
      <c r="U1172" s="4">
        <v>0</v>
      </c>
      <c r="V1172" s="4">
        <v>12</v>
      </c>
      <c r="W1172" s="4">
        <v>12</v>
      </c>
      <c r="X1172" s="4">
        <v>0</v>
      </c>
      <c r="Y1172" s="4"/>
      <c r="Z1172" s="4">
        <v>157.91</v>
      </c>
      <c r="AA1172" s="4">
        <v>150</v>
      </c>
      <c r="AB1172" s="18"/>
      <c r="AC1172" s="18">
        <v>21</v>
      </c>
      <c r="AD1172" s="28"/>
      <c r="AE1172" s="26"/>
      <c r="AF1172" s="28"/>
    </row>
    <row r="1173" spans="1:32" ht="12.6" customHeight="1" x14ac:dyDescent="0.25">
      <c r="A1173" s="14">
        <v>45798</v>
      </c>
      <c r="B1173" s="14" t="s">
        <v>45</v>
      </c>
      <c r="C1173" s="15">
        <v>3</v>
      </c>
      <c r="D1173" s="16">
        <v>20</v>
      </c>
      <c r="E1173" s="16"/>
      <c r="F1173" s="17"/>
      <c r="G1173" s="21"/>
      <c r="H1173" s="21"/>
      <c r="I1173" s="4">
        <v>20</v>
      </c>
      <c r="J1173" s="4">
        <v>0.33333333333333331</v>
      </c>
      <c r="K1173" s="4"/>
      <c r="L1173" s="16"/>
      <c r="M1173" s="4"/>
      <c r="N1173" s="4"/>
      <c r="O1173" s="4"/>
      <c r="P1173" s="4"/>
      <c r="Q1173" s="4"/>
      <c r="R1173" s="4"/>
      <c r="S1173" s="4">
        <v>0</v>
      </c>
      <c r="T1173" s="4">
        <v>0</v>
      </c>
      <c r="U1173" s="4">
        <v>0.33333333333333331</v>
      </c>
      <c r="V1173" s="4">
        <v>11.666666666666666</v>
      </c>
      <c r="W1173" s="4">
        <v>12</v>
      </c>
      <c r="X1173" s="4">
        <v>0</v>
      </c>
      <c r="Y1173" s="4"/>
      <c r="Z1173" s="4">
        <v>312.81</v>
      </c>
      <c r="AA1173" s="4">
        <v>350</v>
      </c>
      <c r="AB1173" s="18"/>
      <c r="AC1173" s="18">
        <v>21</v>
      </c>
      <c r="AD1173" s="28"/>
      <c r="AE1173" s="26"/>
      <c r="AF1173" s="28"/>
    </row>
    <row r="1174" spans="1:32" ht="12.6" customHeight="1" x14ac:dyDescent="0.25">
      <c r="A1174" s="14">
        <v>45798</v>
      </c>
      <c r="B1174" s="14" t="s">
        <v>46</v>
      </c>
      <c r="C1174" s="15">
        <v>3</v>
      </c>
      <c r="D1174" s="16"/>
      <c r="E1174" s="16"/>
      <c r="F1174" s="17"/>
      <c r="G1174" s="21"/>
      <c r="H1174" s="21"/>
      <c r="I1174" s="4">
        <v>0</v>
      </c>
      <c r="J1174" s="4">
        <v>0</v>
      </c>
      <c r="K1174" s="4"/>
      <c r="L1174" s="16"/>
      <c r="M1174" s="4"/>
      <c r="N1174" s="4"/>
      <c r="O1174" s="4"/>
      <c r="P1174" s="4">
        <v>60</v>
      </c>
      <c r="Q1174" s="4">
        <v>30</v>
      </c>
      <c r="R1174" s="4"/>
      <c r="S1174" s="4">
        <v>90</v>
      </c>
      <c r="T1174" s="4">
        <v>1.5</v>
      </c>
      <c r="U1174" s="4">
        <v>1.5</v>
      </c>
      <c r="V1174" s="4">
        <v>10.5</v>
      </c>
      <c r="W1174" s="4">
        <v>12</v>
      </c>
      <c r="X1174" s="4">
        <v>0</v>
      </c>
      <c r="Y1174" s="4"/>
      <c r="Z1174" s="4">
        <v>254.26999999999995</v>
      </c>
      <c r="AA1174" s="4">
        <v>250</v>
      </c>
      <c r="AB1174" s="18"/>
      <c r="AC1174" s="18">
        <v>21</v>
      </c>
      <c r="AD1174" s="28"/>
      <c r="AE1174" s="26"/>
      <c r="AF1174" s="28"/>
    </row>
    <row r="1175" spans="1:32" ht="12.6" customHeight="1" x14ac:dyDescent="0.25">
      <c r="A1175" s="14">
        <v>45798</v>
      </c>
      <c r="B1175" s="14" t="s">
        <v>45</v>
      </c>
      <c r="C1175" s="15">
        <v>4</v>
      </c>
      <c r="D1175" s="16">
        <v>20</v>
      </c>
      <c r="E1175" s="16"/>
      <c r="F1175" s="17"/>
      <c r="G1175" s="21"/>
      <c r="H1175" s="21"/>
      <c r="I1175" s="4">
        <v>20</v>
      </c>
      <c r="J1175" s="4">
        <v>0.33333333333333331</v>
      </c>
      <c r="K1175" s="4"/>
      <c r="L1175" s="16"/>
      <c r="M1175" s="4"/>
      <c r="N1175" s="4"/>
      <c r="O1175" s="4"/>
      <c r="P1175" s="4">
        <v>100</v>
      </c>
      <c r="Q1175" s="4"/>
      <c r="R1175" s="4"/>
      <c r="S1175" s="4">
        <v>100</v>
      </c>
      <c r="T1175" s="4">
        <v>1.6666666666666667</v>
      </c>
      <c r="U1175" s="4">
        <v>2</v>
      </c>
      <c r="V1175" s="4">
        <v>10</v>
      </c>
      <c r="W1175" s="4">
        <v>12</v>
      </c>
      <c r="X1175" s="4">
        <v>0</v>
      </c>
      <c r="Y1175" s="4"/>
      <c r="Z1175" s="4">
        <v>624.67000000000007</v>
      </c>
      <c r="AA1175" s="4">
        <v>700</v>
      </c>
      <c r="AB1175" s="18"/>
      <c r="AC1175" s="18">
        <v>21</v>
      </c>
      <c r="AD1175" s="28"/>
      <c r="AE1175" s="26"/>
      <c r="AF1175" s="28"/>
    </row>
    <row r="1176" spans="1:32" ht="12.6" customHeight="1" x14ac:dyDescent="0.25">
      <c r="A1176" s="14">
        <v>45798</v>
      </c>
      <c r="B1176" s="14" t="s">
        <v>46</v>
      </c>
      <c r="C1176" s="15">
        <v>4</v>
      </c>
      <c r="D1176" s="16">
        <v>20</v>
      </c>
      <c r="E1176" s="16"/>
      <c r="F1176" s="17"/>
      <c r="G1176" s="21"/>
      <c r="H1176" s="21"/>
      <c r="I1176" s="4">
        <v>20</v>
      </c>
      <c r="J1176" s="4">
        <v>0.33333333333333331</v>
      </c>
      <c r="K1176" s="4"/>
      <c r="L1176" s="16"/>
      <c r="M1176" s="4"/>
      <c r="N1176" s="4"/>
      <c r="O1176" s="4"/>
      <c r="P1176" s="4">
        <v>60</v>
      </c>
      <c r="Q1176" s="4">
        <v>30</v>
      </c>
      <c r="R1176" s="4"/>
      <c r="S1176" s="4">
        <v>90</v>
      </c>
      <c r="T1176" s="4">
        <v>1.5</v>
      </c>
      <c r="U1176" s="4">
        <v>1.8333333333333333</v>
      </c>
      <c r="V1176" s="4">
        <v>10.166666666666666</v>
      </c>
      <c r="W1176" s="4">
        <v>12</v>
      </c>
      <c r="X1176" s="4">
        <v>0</v>
      </c>
      <c r="Y1176" s="4"/>
      <c r="Z1176" s="4">
        <v>533.36</v>
      </c>
      <c r="AA1176" s="4">
        <v>550</v>
      </c>
      <c r="AB1176" s="18"/>
      <c r="AC1176" s="18">
        <v>21</v>
      </c>
      <c r="AD1176" s="28"/>
      <c r="AE1176" s="26"/>
      <c r="AF1176" s="28"/>
    </row>
    <row r="1177" spans="1:32" ht="12.6" customHeight="1" x14ac:dyDescent="0.25">
      <c r="A1177" s="14">
        <v>45798</v>
      </c>
      <c r="B1177" s="14" t="s">
        <v>45</v>
      </c>
      <c r="C1177" s="15">
        <v>5</v>
      </c>
      <c r="D1177" s="16"/>
      <c r="E1177" s="16"/>
      <c r="F1177" s="17"/>
      <c r="G1177" s="21"/>
      <c r="H1177" s="21"/>
      <c r="I1177" s="4">
        <v>0</v>
      </c>
      <c r="J1177" s="4">
        <v>0</v>
      </c>
      <c r="K1177" s="4"/>
      <c r="L1177" s="16"/>
      <c r="M1177" s="4"/>
      <c r="N1177" s="4"/>
      <c r="O1177" s="4"/>
      <c r="P1177" s="4"/>
      <c r="Q1177" s="4"/>
      <c r="R1177" s="4"/>
      <c r="S1177" s="4">
        <v>0</v>
      </c>
      <c r="T1177" s="4">
        <v>0</v>
      </c>
      <c r="U1177" s="4">
        <v>0</v>
      </c>
      <c r="V1177" s="4">
        <v>12</v>
      </c>
      <c r="W1177" s="4">
        <v>12</v>
      </c>
      <c r="X1177" s="4">
        <v>0</v>
      </c>
      <c r="Y1177" s="4"/>
      <c r="Z1177" s="4">
        <v>519.84</v>
      </c>
      <c r="AA1177" s="4">
        <v>500</v>
      </c>
      <c r="AB1177" s="18"/>
      <c r="AC1177" s="18">
        <v>21</v>
      </c>
      <c r="AD1177" s="28"/>
      <c r="AE1177" s="26"/>
      <c r="AF1177" s="28"/>
    </row>
    <row r="1178" spans="1:32" ht="12.6" customHeight="1" x14ac:dyDescent="0.25">
      <c r="A1178" s="14">
        <v>45798</v>
      </c>
      <c r="B1178" s="14" t="s">
        <v>46</v>
      </c>
      <c r="C1178" s="15">
        <v>5</v>
      </c>
      <c r="D1178" s="16">
        <v>40</v>
      </c>
      <c r="E1178" s="16"/>
      <c r="F1178" s="17"/>
      <c r="G1178" s="21"/>
      <c r="H1178" s="21"/>
      <c r="I1178" s="4">
        <v>40</v>
      </c>
      <c r="J1178" s="4">
        <v>0.66666666666666663</v>
      </c>
      <c r="K1178" s="4"/>
      <c r="L1178" s="16"/>
      <c r="M1178" s="4"/>
      <c r="N1178" s="4"/>
      <c r="O1178" s="4"/>
      <c r="P1178" s="4"/>
      <c r="Q1178" s="4"/>
      <c r="R1178" s="4"/>
      <c r="S1178" s="4">
        <v>0</v>
      </c>
      <c r="T1178" s="4">
        <v>0</v>
      </c>
      <c r="U1178" s="4">
        <v>0.66666666666666663</v>
      </c>
      <c r="V1178" s="4">
        <v>11.333333333333334</v>
      </c>
      <c r="W1178" s="4">
        <v>12</v>
      </c>
      <c r="X1178" s="4">
        <v>0</v>
      </c>
      <c r="Y1178" s="4"/>
      <c r="Z1178" s="4">
        <v>366.79</v>
      </c>
      <c r="AA1178" s="4">
        <v>350</v>
      </c>
      <c r="AB1178" s="18"/>
      <c r="AC1178" s="18">
        <v>21</v>
      </c>
      <c r="AD1178" s="28"/>
      <c r="AE1178" s="26"/>
      <c r="AF1178" s="28"/>
    </row>
    <row r="1179" spans="1:32" ht="12.6" customHeight="1" x14ac:dyDescent="0.25">
      <c r="A1179" s="14">
        <v>45799</v>
      </c>
      <c r="B1179" s="14" t="s">
        <v>45</v>
      </c>
      <c r="C1179" s="15">
        <v>1</v>
      </c>
      <c r="D1179" s="16"/>
      <c r="E1179" s="16"/>
      <c r="F1179" s="17"/>
      <c r="G1179" s="21"/>
      <c r="H1179" s="21"/>
      <c r="I1179" s="4">
        <v>0</v>
      </c>
      <c r="J1179" s="4">
        <v>0</v>
      </c>
      <c r="K1179" s="4"/>
      <c r="L1179" s="16"/>
      <c r="M1179" s="4"/>
      <c r="N1179" s="4"/>
      <c r="O1179" s="4"/>
      <c r="P1179" s="4"/>
      <c r="Q1179" s="4"/>
      <c r="R1179" s="4"/>
      <c r="S1179" s="4">
        <v>0</v>
      </c>
      <c r="T1179" s="4">
        <v>0</v>
      </c>
      <c r="U1179" s="4">
        <v>0</v>
      </c>
      <c r="V1179" s="4">
        <v>12</v>
      </c>
      <c r="W1179" s="4">
        <v>12</v>
      </c>
      <c r="X1179" s="4">
        <v>5</v>
      </c>
      <c r="Y1179" s="4">
        <v>1744</v>
      </c>
      <c r="Z1179" s="4">
        <v>145</v>
      </c>
      <c r="AA1179" s="4">
        <v>150</v>
      </c>
      <c r="AB1179" s="18">
        <v>398</v>
      </c>
      <c r="AC1179" s="18">
        <v>21</v>
      </c>
      <c r="AD1179" s="28"/>
      <c r="AE1179" s="26"/>
      <c r="AF1179" s="28"/>
    </row>
    <row r="1180" spans="1:32" ht="12.6" customHeight="1" x14ac:dyDescent="0.25">
      <c r="A1180" s="14">
        <v>45799</v>
      </c>
      <c r="B1180" s="14" t="s">
        <v>46</v>
      </c>
      <c r="C1180" s="15">
        <v>1</v>
      </c>
      <c r="D1180" s="16"/>
      <c r="E1180" s="16"/>
      <c r="F1180" s="17"/>
      <c r="G1180" s="21"/>
      <c r="H1180" s="21"/>
      <c r="I1180" s="4">
        <v>0</v>
      </c>
      <c r="J1180" s="4">
        <v>0</v>
      </c>
      <c r="K1180" s="4"/>
      <c r="L1180" s="16"/>
      <c r="M1180" s="4"/>
      <c r="N1180" s="4"/>
      <c r="O1180" s="4"/>
      <c r="P1180" s="4"/>
      <c r="Q1180" s="4"/>
      <c r="R1180" s="4"/>
      <c r="S1180" s="4">
        <v>0</v>
      </c>
      <c r="T1180" s="4">
        <v>0</v>
      </c>
      <c r="U1180" s="4">
        <v>0</v>
      </c>
      <c r="V1180" s="4">
        <v>12</v>
      </c>
      <c r="W1180" s="4">
        <v>12</v>
      </c>
      <c r="X1180" s="4">
        <v>15</v>
      </c>
      <c r="Y1180" s="4"/>
      <c r="Z1180" s="4">
        <v>138.25</v>
      </c>
      <c r="AA1180" s="4">
        <v>150</v>
      </c>
      <c r="AB1180" s="18"/>
      <c r="AC1180" s="18">
        <v>21</v>
      </c>
      <c r="AD1180" s="28"/>
      <c r="AE1180" s="26"/>
      <c r="AF1180" s="28"/>
    </row>
    <row r="1181" spans="1:32" ht="12.6" customHeight="1" x14ac:dyDescent="0.25">
      <c r="A1181" s="14">
        <v>45799</v>
      </c>
      <c r="B1181" s="14" t="s">
        <v>45</v>
      </c>
      <c r="C1181" s="15">
        <v>2</v>
      </c>
      <c r="D1181" s="16"/>
      <c r="E1181" s="16"/>
      <c r="F1181" s="17"/>
      <c r="G1181" s="21"/>
      <c r="H1181" s="21"/>
      <c r="I1181" s="4">
        <v>0</v>
      </c>
      <c r="J1181" s="4">
        <v>0</v>
      </c>
      <c r="K1181" s="4"/>
      <c r="L1181" s="16"/>
      <c r="M1181" s="4"/>
      <c r="N1181" s="4"/>
      <c r="O1181" s="4"/>
      <c r="P1181" s="4"/>
      <c r="Q1181" s="4"/>
      <c r="R1181" s="4"/>
      <c r="S1181" s="4">
        <v>0</v>
      </c>
      <c r="T1181" s="4">
        <v>0</v>
      </c>
      <c r="U1181" s="4">
        <v>0</v>
      </c>
      <c r="V1181" s="4">
        <v>12</v>
      </c>
      <c r="W1181" s="4">
        <v>12</v>
      </c>
      <c r="X1181" s="4">
        <v>0</v>
      </c>
      <c r="Y1181" s="4"/>
      <c r="Z1181" s="4">
        <v>181.99999999999997</v>
      </c>
      <c r="AA1181" s="4">
        <v>200</v>
      </c>
      <c r="AB1181" s="18"/>
      <c r="AC1181" s="18">
        <v>21</v>
      </c>
      <c r="AD1181" s="28"/>
      <c r="AE1181" s="26"/>
      <c r="AF1181" s="28"/>
    </row>
    <row r="1182" spans="1:32" ht="12.6" customHeight="1" x14ac:dyDescent="0.25">
      <c r="A1182" s="14">
        <v>45799</v>
      </c>
      <c r="B1182" s="14" t="s">
        <v>46</v>
      </c>
      <c r="C1182" s="15">
        <v>2</v>
      </c>
      <c r="D1182" s="16"/>
      <c r="E1182" s="16"/>
      <c r="F1182" s="17"/>
      <c r="G1182" s="21"/>
      <c r="H1182" s="21"/>
      <c r="I1182" s="4">
        <v>0</v>
      </c>
      <c r="J1182" s="4">
        <v>0</v>
      </c>
      <c r="K1182" s="4"/>
      <c r="L1182" s="16"/>
      <c r="M1182" s="4"/>
      <c r="N1182" s="4"/>
      <c r="O1182" s="4"/>
      <c r="P1182" s="4"/>
      <c r="Q1182" s="4"/>
      <c r="R1182" s="4"/>
      <c r="S1182" s="4">
        <v>0</v>
      </c>
      <c r="T1182" s="4">
        <v>0</v>
      </c>
      <c r="U1182" s="4">
        <v>0</v>
      </c>
      <c r="V1182" s="4">
        <v>12</v>
      </c>
      <c r="W1182" s="4">
        <v>12</v>
      </c>
      <c r="X1182" s="4">
        <v>0</v>
      </c>
      <c r="Y1182" s="4"/>
      <c r="Z1182" s="4">
        <v>169.02</v>
      </c>
      <c r="AA1182" s="4">
        <v>200</v>
      </c>
      <c r="AB1182" s="18"/>
      <c r="AC1182" s="18">
        <v>21</v>
      </c>
      <c r="AD1182" s="28"/>
      <c r="AE1182" s="26"/>
      <c r="AF1182" s="28"/>
    </row>
    <row r="1183" spans="1:32" ht="12.6" customHeight="1" x14ac:dyDescent="0.25">
      <c r="A1183" s="14">
        <v>45799</v>
      </c>
      <c r="B1183" s="14" t="s">
        <v>45</v>
      </c>
      <c r="C1183" s="15">
        <v>3</v>
      </c>
      <c r="D1183" s="16"/>
      <c r="E1183" s="16"/>
      <c r="F1183" s="17"/>
      <c r="G1183" s="21"/>
      <c r="H1183" s="21"/>
      <c r="I1183" s="4">
        <v>0</v>
      </c>
      <c r="J1183" s="4">
        <v>0</v>
      </c>
      <c r="K1183" s="4"/>
      <c r="L1183" s="16"/>
      <c r="M1183" s="4"/>
      <c r="N1183" s="4"/>
      <c r="O1183" s="4"/>
      <c r="P1183" s="4"/>
      <c r="Q1183" s="4"/>
      <c r="R1183" s="4"/>
      <c r="S1183" s="4">
        <v>0</v>
      </c>
      <c r="T1183" s="4">
        <v>0</v>
      </c>
      <c r="U1183" s="4">
        <v>0</v>
      </c>
      <c r="V1183" s="4">
        <v>12</v>
      </c>
      <c r="W1183" s="4">
        <v>12</v>
      </c>
      <c r="X1183" s="4">
        <v>0</v>
      </c>
      <c r="Y1183" s="4"/>
      <c r="Z1183" s="4">
        <v>334.45</v>
      </c>
      <c r="AA1183" s="4">
        <v>350</v>
      </c>
      <c r="AB1183" s="18"/>
      <c r="AC1183" s="18">
        <v>21</v>
      </c>
      <c r="AD1183" s="28"/>
      <c r="AE1183" s="26"/>
      <c r="AF1183" s="28"/>
    </row>
    <row r="1184" spans="1:32" ht="12.6" customHeight="1" x14ac:dyDescent="0.25">
      <c r="A1184" s="14">
        <v>45799</v>
      </c>
      <c r="B1184" s="14" t="s">
        <v>46</v>
      </c>
      <c r="C1184" s="15">
        <v>3</v>
      </c>
      <c r="D1184" s="16"/>
      <c r="E1184" s="16"/>
      <c r="F1184" s="17"/>
      <c r="G1184" s="21"/>
      <c r="H1184" s="21"/>
      <c r="I1184" s="4">
        <v>0</v>
      </c>
      <c r="J1184" s="4">
        <v>0</v>
      </c>
      <c r="K1184" s="4"/>
      <c r="L1184" s="16"/>
      <c r="M1184" s="4"/>
      <c r="N1184" s="4"/>
      <c r="O1184" s="4"/>
      <c r="P1184" s="4"/>
      <c r="Q1184" s="4"/>
      <c r="R1184" s="4"/>
      <c r="S1184" s="4">
        <v>0</v>
      </c>
      <c r="T1184" s="4">
        <v>0</v>
      </c>
      <c r="U1184" s="4">
        <v>0</v>
      </c>
      <c r="V1184" s="4">
        <v>12</v>
      </c>
      <c r="W1184" s="4">
        <v>12</v>
      </c>
      <c r="X1184" s="4">
        <v>0</v>
      </c>
      <c r="Y1184" s="4"/>
      <c r="Z1184" s="4">
        <v>290.16000000000003</v>
      </c>
      <c r="AA1184" s="4">
        <v>300</v>
      </c>
      <c r="AB1184" s="18"/>
      <c r="AC1184" s="18">
        <v>21</v>
      </c>
      <c r="AD1184" s="28"/>
      <c r="AE1184" s="26"/>
      <c r="AF1184" s="28"/>
    </row>
    <row r="1185" spans="1:32" ht="12.6" customHeight="1" x14ac:dyDescent="0.25">
      <c r="A1185" s="14">
        <v>45799</v>
      </c>
      <c r="B1185" s="14" t="s">
        <v>45</v>
      </c>
      <c r="C1185" s="15">
        <v>4</v>
      </c>
      <c r="D1185" s="16"/>
      <c r="E1185" s="16"/>
      <c r="F1185" s="17"/>
      <c r="G1185" s="21"/>
      <c r="H1185" s="21"/>
      <c r="I1185" s="4">
        <v>0</v>
      </c>
      <c r="J1185" s="4">
        <v>0</v>
      </c>
      <c r="K1185" s="4"/>
      <c r="L1185" s="16"/>
      <c r="M1185" s="4"/>
      <c r="N1185" s="4"/>
      <c r="O1185" s="4"/>
      <c r="P1185" s="4"/>
      <c r="Q1185" s="4"/>
      <c r="R1185" s="4"/>
      <c r="S1185" s="4">
        <v>0</v>
      </c>
      <c r="T1185" s="4">
        <v>0</v>
      </c>
      <c r="U1185" s="4">
        <v>0</v>
      </c>
      <c r="V1185" s="4">
        <v>12</v>
      </c>
      <c r="W1185" s="4">
        <v>12</v>
      </c>
      <c r="X1185" s="4">
        <v>0</v>
      </c>
      <c r="Y1185" s="4"/>
      <c r="Z1185" s="4">
        <v>704.4</v>
      </c>
      <c r="AA1185" s="4">
        <v>750</v>
      </c>
      <c r="AB1185" s="18"/>
      <c r="AC1185" s="18">
        <v>21</v>
      </c>
      <c r="AD1185" s="28"/>
      <c r="AE1185" s="26"/>
      <c r="AF1185" s="28"/>
    </row>
    <row r="1186" spans="1:32" ht="12.6" customHeight="1" x14ac:dyDescent="0.25">
      <c r="A1186" s="14">
        <v>45799</v>
      </c>
      <c r="B1186" s="14" t="s">
        <v>46</v>
      </c>
      <c r="C1186" s="15">
        <v>4</v>
      </c>
      <c r="D1186" s="16">
        <v>20</v>
      </c>
      <c r="E1186" s="16"/>
      <c r="F1186" s="17"/>
      <c r="G1186" s="21"/>
      <c r="H1186" s="21"/>
      <c r="I1186" s="4">
        <v>20</v>
      </c>
      <c r="J1186" s="4">
        <v>0.33333333333333331</v>
      </c>
      <c r="K1186" s="4"/>
      <c r="L1186" s="16"/>
      <c r="M1186" s="4"/>
      <c r="N1186" s="4"/>
      <c r="O1186" s="4"/>
      <c r="P1186" s="4"/>
      <c r="Q1186" s="4"/>
      <c r="R1186" s="4"/>
      <c r="S1186" s="4">
        <v>0</v>
      </c>
      <c r="T1186" s="4">
        <v>0</v>
      </c>
      <c r="U1186" s="4">
        <v>0.33333333333333331</v>
      </c>
      <c r="V1186" s="4">
        <v>11.666666666666666</v>
      </c>
      <c r="W1186" s="4">
        <v>12</v>
      </c>
      <c r="X1186" s="4">
        <v>0</v>
      </c>
      <c r="Y1186" s="4"/>
      <c r="Z1186" s="4">
        <v>649.75</v>
      </c>
      <c r="AA1186" s="4">
        <v>650</v>
      </c>
      <c r="AB1186" s="18"/>
      <c r="AC1186" s="18">
        <v>21</v>
      </c>
      <c r="AD1186" s="28"/>
      <c r="AE1186" s="26"/>
      <c r="AF1186" s="28"/>
    </row>
    <row r="1187" spans="1:32" ht="12.6" customHeight="1" x14ac:dyDescent="0.25">
      <c r="A1187" s="14">
        <v>45799</v>
      </c>
      <c r="B1187" s="14" t="s">
        <v>45</v>
      </c>
      <c r="C1187" s="15">
        <v>5</v>
      </c>
      <c r="D1187" s="16"/>
      <c r="E1187" s="16"/>
      <c r="F1187" s="17"/>
      <c r="G1187" s="21"/>
      <c r="H1187" s="21"/>
      <c r="I1187" s="4">
        <v>0</v>
      </c>
      <c r="J1187" s="4">
        <v>0</v>
      </c>
      <c r="K1187" s="4"/>
      <c r="L1187" s="16"/>
      <c r="M1187" s="4"/>
      <c r="N1187" s="4"/>
      <c r="O1187" s="4"/>
      <c r="P1187" s="4"/>
      <c r="Q1187" s="4"/>
      <c r="R1187" s="4"/>
      <c r="S1187" s="4">
        <v>0</v>
      </c>
      <c r="T1187" s="4">
        <v>0</v>
      </c>
      <c r="U1187" s="4">
        <v>0</v>
      </c>
      <c r="V1187" s="4">
        <v>12</v>
      </c>
      <c r="W1187" s="4">
        <v>12</v>
      </c>
      <c r="X1187" s="4">
        <v>0</v>
      </c>
      <c r="Y1187" s="4"/>
      <c r="Z1187" s="4">
        <v>502.18999999999994</v>
      </c>
      <c r="AA1187" s="4">
        <v>500</v>
      </c>
      <c r="AB1187" s="18"/>
      <c r="AC1187" s="18">
        <v>21</v>
      </c>
      <c r="AD1187" s="28"/>
      <c r="AE1187" s="26"/>
      <c r="AF1187" s="28"/>
    </row>
    <row r="1188" spans="1:32" ht="12.6" customHeight="1" x14ac:dyDescent="0.25">
      <c r="A1188" s="14">
        <v>45799</v>
      </c>
      <c r="B1188" s="14" t="s">
        <v>46</v>
      </c>
      <c r="C1188" s="15">
        <v>5</v>
      </c>
      <c r="D1188" s="16">
        <v>20</v>
      </c>
      <c r="E1188" s="16"/>
      <c r="F1188" s="17"/>
      <c r="G1188" s="21"/>
      <c r="H1188" s="21"/>
      <c r="I1188" s="4">
        <v>20</v>
      </c>
      <c r="J1188" s="4">
        <v>0.33333333333333331</v>
      </c>
      <c r="K1188" s="4"/>
      <c r="L1188" s="16"/>
      <c r="M1188" s="4"/>
      <c r="N1188" s="4"/>
      <c r="O1188" s="4"/>
      <c r="P1188" s="4"/>
      <c r="Q1188" s="4"/>
      <c r="R1188" s="4"/>
      <c r="S1188" s="4">
        <v>0</v>
      </c>
      <c r="T1188" s="4">
        <v>0</v>
      </c>
      <c r="U1188" s="4">
        <v>0.33333333333333331</v>
      </c>
      <c r="V1188" s="4">
        <v>11.666666666666666</v>
      </c>
      <c r="W1188" s="4">
        <v>12</v>
      </c>
      <c r="X1188" s="4">
        <v>0</v>
      </c>
      <c r="Y1188" s="4"/>
      <c r="Z1188" s="4">
        <v>451.87</v>
      </c>
      <c r="AA1188" s="4">
        <v>450</v>
      </c>
      <c r="AB1188" s="18"/>
      <c r="AC1188" s="18">
        <v>21</v>
      </c>
      <c r="AD1188" s="28"/>
      <c r="AE1188" s="26"/>
      <c r="AF1188" s="28"/>
    </row>
    <row r="1189" spans="1:32" ht="12.6" customHeight="1" x14ac:dyDescent="0.25">
      <c r="A1189" s="14">
        <v>45800</v>
      </c>
      <c r="B1189" s="14" t="s">
        <v>45</v>
      </c>
      <c r="C1189" s="15">
        <v>1</v>
      </c>
      <c r="D1189" s="16">
        <v>20</v>
      </c>
      <c r="E1189" s="16"/>
      <c r="F1189" s="17"/>
      <c r="G1189" s="21"/>
      <c r="H1189" s="21"/>
      <c r="I1189" s="4">
        <v>20</v>
      </c>
      <c r="J1189" s="4">
        <v>0.33333333333333331</v>
      </c>
      <c r="K1189" s="4"/>
      <c r="L1189" s="16"/>
      <c r="M1189" s="4"/>
      <c r="N1189" s="4"/>
      <c r="O1189" s="4"/>
      <c r="P1189" s="4"/>
      <c r="Q1189" s="4"/>
      <c r="R1189" s="4"/>
      <c r="S1189" s="4">
        <v>0</v>
      </c>
      <c r="T1189" s="4">
        <v>0</v>
      </c>
      <c r="U1189" s="4">
        <v>0.33333333333333331</v>
      </c>
      <c r="V1189" s="4">
        <v>11.666666666666666</v>
      </c>
      <c r="W1189" s="4">
        <v>12</v>
      </c>
      <c r="X1189" s="4">
        <v>28</v>
      </c>
      <c r="Y1189" s="4">
        <v>1737</v>
      </c>
      <c r="Z1189" s="4">
        <v>112.82</v>
      </c>
      <c r="AA1189" s="4">
        <v>100</v>
      </c>
      <c r="AB1189" s="18">
        <v>398</v>
      </c>
      <c r="AC1189" s="18">
        <v>21</v>
      </c>
      <c r="AD1189" s="28"/>
      <c r="AE1189" s="26"/>
      <c r="AF1189" s="28"/>
    </row>
    <row r="1190" spans="1:32" ht="12.6" customHeight="1" x14ac:dyDescent="0.25">
      <c r="A1190" s="14">
        <v>45800</v>
      </c>
      <c r="B1190" s="14" t="s">
        <v>46</v>
      </c>
      <c r="C1190" s="15">
        <v>1</v>
      </c>
      <c r="D1190" s="16"/>
      <c r="E1190" s="16"/>
      <c r="F1190" s="17"/>
      <c r="G1190" s="21"/>
      <c r="H1190" s="21"/>
      <c r="I1190" s="4">
        <v>0</v>
      </c>
      <c r="J1190" s="4">
        <v>0</v>
      </c>
      <c r="K1190" s="4"/>
      <c r="L1190" s="16"/>
      <c r="M1190" s="4"/>
      <c r="N1190" s="4"/>
      <c r="O1190" s="4"/>
      <c r="P1190" s="4"/>
      <c r="Q1190" s="4"/>
      <c r="R1190" s="4"/>
      <c r="S1190" s="4">
        <v>0</v>
      </c>
      <c r="T1190" s="4">
        <v>0</v>
      </c>
      <c r="U1190" s="4">
        <v>0</v>
      </c>
      <c r="V1190" s="4">
        <v>12</v>
      </c>
      <c r="W1190" s="4">
        <v>12</v>
      </c>
      <c r="X1190" s="4">
        <v>23</v>
      </c>
      <c r="Y1190" s="4"/>
      <c r="Z1190" s="4">
        <v>150.35999999999999</v>
      </c>
      <c r="AA1190" s="4">
        <v>150</v>
      </c>
      <c r="AB1190" s="18"/>
      <c r="AC1190" s="18">
        <v>21</v>
      </c>
      <c r="AD1190" s="28"/>
      <c r="AE1190" s="26"/>
      <c r="AF1190" s="28"/>
    </row>
    <row r="1191" spans="1:32" ht="12.6" customHeight="1" x14ac:dyDescent="0.25">
      <c r="A1191" s="14">
        <v>45800</v>
      </c>
      <c r="B1191" s="14" t="s">
        <v>45</v>
      </c>
      <c r="C1191" s="15">
        <v>2</v>
      </c>
      <c r="D1191" s="16">
        <v>20</v>
      </c>
      <c r="E1191" s="16"/>
      <c r="F1191" s="17"/>
      <c r="G1191" s="21"/>
      <c r="H1191" s="21"/>
      <c r="I1191" s="4">
        <v>20</v>
      </c>
      <c r="J1191" s="4">
        <v>0.33333333333333331</v>
      </c>
      <c r="K1191" s="4"/>
      <c r="L1191" s="16"/>
      <c r="M1191" s="4"/>
      <c r="N1191" s="4"/>
      <c r="O1191" s="4"/>
      <c r="P1191" s="4"/>
      <c r="Q1191" s="4"/>
      <c r="R1191" s="4"/>
      <c r="S1191" s="4">
        <v>0</v>
      </c>
      <c r="T1191" s="4">
        <v>0</v>
      </c>
      <c r="U1191" s="4">
        <v>0.33333333333333331</v>
      </c>
      <c r="V1191" s="4">
        <v>11.666666666666666</v>
      </c>
      <c r="W1191" s="4">
        <v>12</v>
      </c>
      <c r="X1191" s="4">
        <v>0</v>
      </c>
      <c r="Y1191" s="4"/>
      <c r="Z1191" s="4">
        <v>176.92000000000002</v>
      </c>
      <c r="AA1191" s="4">
        <v>200</v>
      </c>
      <c r="AB1191" s="18"/>
      <c r="AC1191" s="18">
        <v>21</v>
      </c>
      <c r="AD1191" s="28"/>
      <c r="AE1191" s="26"/>
      <c r="AF1191" s="28"/>
    </row>
    <row r="1192" spans="1:32" ht="12.6" customHeight="1" x14ac:dyDescent="0.25">
      <c r="A1192" s="14">
        <v>45800</v>
      </c>
      <c r="B1192" s="14" t="s">
        <v>46</v>
      </c>
      <c r="C1192" s="15">
        <v>2</v>
      </c>
      <c r="D1192" s="16"/>
      <c r="E1192" s="16"/>
      <c r="F1192" s="17"/>
      <c r="G1192" s="21"/>
      <c r="H1192" s="21"/>
      <c r="I1192" s="4">
        <v>0</v>
      </c>
      <c r="J1192" s="4">
        <v>0</v>
      </c>
      <c r="K1192" s="4"/>
      <c r="L1192" s="16"/>
      <c r="M1192" s="4"/>
      <c r="N1192" s="4"/>
      <c r="O1192" s="4"/>
      <c r="P1192" s="4"/>
      <c r="Q1192" s="4"/>
      <c r="R1192" s="4"/>
      <c r="S1192" s="4">
        <v>0</v>
      </c>
      <c r="T1192" s="4">
        <v>0</v>
      </c>
      <c r="U1192" s="4">
        <v>0</v>
      </c>
      <c r="V1192" s="4">
        <v>12</v>
      </c>
      <c r="W1192" s="4">
        <v>12</v>
      </c>
      <c r="X1192" s="4">
        <v>0</v>
      </c>
      <c r="Y1192" s="4"/>
      <c r="Z1192" s="4">
        <v>173.33</v>
      </c>
      <c r="AA1192" s="4">
        <v>200</v>
      </c>
      <c r="AB1192" s="18"/>
      <c r="AC1192" s="18">
        <v>21</v>
      </c>
      <c r="AD1192" s="28"/>
      <c r="AE1192" s="26"/>
      <c r="AF1192" s="28"/>
    </row>
    <row r="1193" spans="1:32" ht="12.6" customHeight="1" x14ac:dyDescent="0.25">
      <c r="A1193" s="14">
        <v>45800</v>
      </c>
      <c r="B1193" s="14" t="s">
        <v>45</v>
      </c>
      <c r="C1193" s="15">
        <v>3</v>
      </c>
      <c r="D1193" s="16">
        <v>20</v>
      </c>
      <c r="E1193" s="16"/>
      <c r="F1193" s="17"/>
      <c r="G1193" s="21"/>
      <c r="H1193" s="21"/>
      <c r="I1193" s="4">
        <v>20</v>
      </c>
      <c r="J1193" s="4">
        <v>0.33333333333333331</v>
      </c>
      <c r="K1193" s="4"/>
      <c r="L1193" s="16"/>
      <c r="M1193" s="4"/>
      <c r="N1193" s="4"/>
      <c r="O1193" s="4"/>
      <c r="P1193" s="4"/>
      <c r="Q1193" s="4">
        <v>30</v>
      </c>
      <c r="R1193" s="4"/>
      <c r="S1193" s="4">
        <v>30</v>
      </c>
      <c r="T1193" s="4">
        <v>0.5</v>
      </c>
      <c r="U1193" s="4">
        <v>0.83333333333333326</v>
      </c>
      <c r="V1193" s="4">
        <v>11.166666666666666</v>
      </c>
      <c r="W1193" s="4">
        <v>12</v>
      </c>
      <c r="X1193" s="4">
        <v>0</v>
      </c>
      <c r="Y1193" s="4"/>
      <c r="Z1193" s="4">
        <v>319.95999999999998</v>
      </c>
      <c r="AA1193" s="4">
        <v>300</v>
      </c>
      <c r="AB1193" s="18"/>
      <c r="AC1193" s="18">
        <v>21</v>
      </c>
      <c r="AD1193" s="28"/>
      <c r="AE1193" s="26"/>
      <c r="AF1193" s="28"/>
    </row>
    <row r="1194" spans="1:32" ht="12.6" customHeight="1" x14ac:dyDescent="0.25">
      <c r="A1194" s="14">
        <v>45800</v>
      </c>
      <c r="B1194" s="14" t="s">
        <v>46</v>
      </c>
      <c r="C1194" s="15">
        <v>3</v>
      </c>
      <c r="D1194" s="16"/>
      <c r="E1194" s="16"/>
      <c r="F1194" s="17"/>
      <c r="G1194" s="21"/>
      <c r="H1194" s="21"/>
      <c r="I1194" s="4">
        <v>0</v>
      </c>
      <c r="J1194" s="4">
        <v>0</v>
      </c>
      <c r="K1194" s="4"/>
      <c r="L1194" s="16"/>
      <c r="M1194" s="4"/>
      <c r="N1194" s="4"/>
      <c r="O1194" s="4"/>
      <c r="P1194" s="4"/>
      <c r="Q1194" s="4"/>
      <c r="R1194" s="4"/>
      <c r="S1194" s="4">
        <v>0</v>
      </c>
      <c r="T1194" s="4">
        <v>0</v>
      </c>
      <c r="U1194" s="4">
        <v>0</v>
      </c>
      <c r="V1194" s="4">
        <v>12</v>
      </c>
      <c r="W1194" s="4">
        <v>12</v>
      </c>
      <c r="X1194" s="4">
        <v>0</v>
      </c>
      <c r="Y1194" s="4"/>
      <c r="Z1194" s="4">
        <v>299.69000000000005</v>
      </c>
      <c r="AA1194" s="4">
        <v>300</v>
      </c>
      <c r="AB1194" s="18"/>
      <c r="AC1194" s="18">
        <v>21</v>
      </c>
      <c r="AD1194" s="28"/>
      <c r="AE1194" s="26"/>
      <c r="AF1194" s="28"/>
    </row>
    <row r="1195" spans="1:32" ht="12.6" customHeight="1" x14ac:dyDescent="0.25">
      <c r="A1195" s="14">
        <v>45800</v>
      </c>
      <c r="B1195" s="14" t="s">
        <v>45</v>
      </c>
      <c r="C1195" s="15">
        <v>4</v>
      </c>
      <c r="D1195" s="16"/>
      <c r="E1195" s="16"/>
      <c r="F1195" s="17"/>
      <c r="G1195" s="21"/>
      <c r="H1195" s="21"/>
      <c r="I1195" s="4">
        <v>0</v>
      </c>
      <c r="J1195" s="4">
        <v>0</v>
      </c>
      <c r="K1195" s="4"/>
      <c r="L1195" s="16"/>
      <c r="M1195" s="4"/>
      <c r="N1195" s="4"/>
      <c r="O1195" s="4"/>
      <c r="P1195" s="4"/>
      <c r="Q1195" s="4"/>
      <c r="R1195" s="4"/>
      <c r="S1195" s="4">
        <v>0</v>
      </c>
      <c r="T1195" s="4">
        <v>0</v>
      </c>
      <c r="U1195" s="4">
        <v>0</v>
      </c>
      <c r="V1195" s="4">
        <v>12</v>
      </c>
      <c r="W1195" s="4">
        <v>12</v>
      </c>
      <c r="X1195" s="4">
        <v>0</v>
      </c>
      <c r="Y1195" s="4"/>
      <c r="Z1195" s="4">
        <v>617.23</v>
      </c>
      <c r="AA1195" s="4">
        <v>600</v>
      </c>
      <c r="AB1195" s="18"/>
      <c r="AC1195" s="18">
        <v>21</v>
      </c>
      <c r="AD1195" s="28"/>
      <c r="AE1195" s="26"/>
      <c r="AF1195" s="28"/>
    </row>
    <row r="1196" spans="1:32" ht="12.6" customHeight="1" x14ac:dyDescent="0.25">
      <c r="A1196" s="14">
        <v>45800</v>
      </c>
      <c r="B1196" s="14" t="s">
        <v>46</v>
      </c>
      <c r="C1196" s="15">
        <v>4</v>
      </c>
      <c r="D1196" s="16">
        <v>20</v>
      </c>
      <c r="E1196" s="16"/>
      <c r="F1196" s="17"/>
      <c r="G1196" s="21"/>
      <c r="H1196" s="21"/>
      <c r="I1196" s="4">
        <v>20</v>
      </c>
      <c r="J1196" s="4">
        <v>0.33333333333333331</v>
      </c>
      <c r="K1196" s="4"/>
      <c r="L1196" s="16"/>
      <c r="M1196" s="4"/>
      <c r="N1196" s="4">
        <v>10</v>
      </c>
      <c r="O1196" s="4"/>
      <c r="P1196" s="4"/>
      <c r="Q1196" s="4"/>
      <c r="R1196" s="4"/>
      <c r="S1196" s="4">
        <v>10</v>
      </c>
      <c r="T1196" s="4">
        <v>0.16666666666666666</v>
      </c>
      <c r="U1196" s="4">
        <v>0.5</v>
      </c>
      <c r="V1196" s="4">
        <v>11.5</v>
      </c>
      <c r="W1196" s="4">
        <v>12</v>
      </c>
      <c r="X1196" s="4">
        <v>0</v>
      </c>
      <c r="Y1196" s="4"/>
      <c r="Z1196" s="4">
        <v>594.43000000000006</v>
      </c>
      <c r="AA1196" s="4">
        <v>600</v>
      </c>
      <c r="AB1196" s="18"/>
      <c r="AC1196" s="18">
        <v>21</v>
      </c>
      <c r="AD1196" s="28"/>
      <c r="AE1196" s="26"/>
      <c r="AF1196" s="28"/>
    </row>
    <row r="1197" spans="1:32" ht="12.6" customHeight="1" x14ac:dyDescent="0.25">
      <c r="A1197" s="14">
        <v>45800</v>
      </c>
      <c r="B1197" s="14" t="s">
        <v>45</v>
      </c>
      <c r="C1197" s="15">
        <v>5</v>
      </c>
      <c r="D1197" s="16"/>
      <c r="E1197" s="16"/>
      <c r="F1197" s="17"/>
      <c r="G1197" s="21"/>
      <c r="H1197" s="21"/>
      <c r="I1197" s="4">
        <v>0</v>
      </c>
      <c r="J1197" s="4">
        <v>0</v>
      </c>
      <c r="K1197" s="4"/>
      <c r="L1197" s="16"/>
      <c r="M1197" s="4"/>
      <c r="N1197" s="4"/>
      <c r="O1197" s="4"/>
      <c r="P1197" s="4"/>
      <c r="Q1197" s="4">
        <v>40</v>
      </c>
      <c r="R1197" s="4"/>
      <c r="S1197" s="4">
        <v>40</v>
      </c>
      <c r="T1197" s="4">
        <v>0.66666666666666663</v>
      </c>
      <c r="U1197" s="4">
        <v>0.66666666666666663</v>
      </c>
      <c r="V1197" s="4">
        <v>11.333333333333334</v>
      </c>
      <c r="W1197" s="4">
        <v>12</v>
      </c>
      <c r="X1197" s="4">
        <v>0</v>
      </c>
      <c r="Y1197" s="4"/>
      <c r="Z1197" s="4">
        <v>583.29999999999995</v>
      </c>
      <c r="AA1197" s="4">
        <v>600</v>
      </c>
      <c r="AB1197" s="18"/>
      <c r="AC1197" s="18">
        <v>21</v>
      </c>
      <c r="AD1197" s="28"/>
      <c r="AE1197" s="26"/>
      <c r="AF1197" s="28"/>
    </row>
    <row r="1198" spans="1:32" ht="12.6" customHeight="1" x14ac:dyDescent="0.25">
      <c r="A1198" s="14">
        <v>45800</v>
      </c>
      <c r="B1198" s="14" t="s">
        <v>46</v>
      </c>
      <c r="C1198" s="15">
        <v>5</v>
      </c>
      <c r="D1198" s="16">
        <v>20</v>
      </c>
      <c r="E1198" s="16"/>
      <c r="F1198" s="17"/>
      <c r="G1198" s="21"/>
      <c r="H1198" s="21"/>
      <c r="I1198" s="4">
        <v>20</v>
      </c>
      <c r="J1198" s="4">
        <v>0.33333333333333331</v>
      </c>
      <c r="K1198" s="4"/>
      <c r="L1198" s="16"/>
      <c r="M1198" s="4"/>
      <c r="N1198" s="4"/>
      <c r="O1198" s="4"/>
      <c r="P1198" s="4"/>
      <c r="Q1198" s="4"/>
      <c r="R1198" s="4"/>
      <c r="S1198" s="4">
        <v>0</v>
      </c>
      <c r="T1198" s="4">
        <v>0</v>
      </c>
      <c r="U1198" s="4">
        <v>0.33333333333333331</v>
      </c>
      <c r="V1198" s="4">
        <v>11.666666666666666</v>
      </c>
      <c r="W1198" s="4">
        <v>12</v>
      </c>
      <c r="X1198" s="4">
        <v>0</v>
      </c>
      <c r="Y1198" s="4"/>
      <c r="Z1198" s="4">
        <v>554.79999999999995</v>
      </c>
      <c r="AA1198" s="4">
        <v>550</v>
      </c>
      <c r="AB1198" s="18"/>
      <c r="AC1198" s="18">
        <v>21</v>
      </c>
      <c r="AD1198" s="28"/>
      <c r="AE1198" s="26"/>
      <c r="AF1198" s="28"/>
    </row>
    <row r="1199" spans="1:32" ht="12.6" customHeight="1" x14ac:dyDescent="0.25">
      <c r="A1199" s="14">
        <v>45801</v>
      </c>
      <c r="B1199" s="14" t="s">
        <v>45</v>
      </c>
      <c r="C1199" s="15">
        <v>1</v>
      </c>
      <c r="D1199" s="16"/>
      <c r="E1199" s="16"/>
      <c r="F1199" s="17"/>
      <c r="G1199" s="21"/>
      <c r="H1199" s="21"/>
      <c r="I1199" s="4">
        <v>0</v>
      </c>
      <c r="J1199" s="4">
        <v>0</v>
      </c>
      <c r="K1199" s="4"/>
      <c r="L1199" s="16"/>
      <c r="M1199" s="4"/>
      <c r="N1199" s="4"/>
      <c r="O1199" s="4"/>
      <c r="P1199" s="4"/>
      <c r="Q1199" s="4"/>
      <c r="R1199" s="4"/>
      <c r="S1199" s="4">
        <v>0</v>
      </c>
      <c r="T1199" s="4">
        <v>0</v>
      </c>
      <c r="U1199" s="4">
        <v>0</v>
      </c>
      <c r="V1199" s="4">
        <v>12</v>
      </c>
      <c r="W1199" s="4">
        <v>12</v>
      </c>
      <c r="X1199" s="4">
        <v>26.2</v>
      </c>
      <c r="Y1199" s="4">
        <v>857</v>
      </c>
      <c r="Z1199" s="4">
        <v>123.37</v>
      </c>
      <c r="AA1199" s="4">
        <v>150</v>
      </c>
      <c r="AB1199" s="18">
        <v>398</v>
      </c>
      <c r="AC1199" s="18">
        <v>21</v>
      </c>
      <c r="AD1199" s="28"/>
      <c r="AE1199" s="26"/>
      <c r="AF1199" s="28"/>
    </row>
    <row r="1200" spans="1:32" ht="12.6" customHeight="1" x14ac:dyDescent="0.25">
      <c r="A1200" s="14">
        <v>45801</v>
      </c>
      <c r="B1200" s="14" t="s">
        <v>46</v>
      </c>
      <c r="C1200" s="15">
        <v>1</v>
      </c>
      <c r="D1200" s="16"/>
      <c r="E1200" s="16"/>
      <c r="F1200" s="17"/>
      <c r="G1200" s="21"/>
      <c r="H1200" s="21"/>
      <c r="I1200" s="4">
        <v>0</v>
      </c>
      <c r="J1200" s="4">
        <v>0</v>
      </c>
      <c r="K1200" s="4"/>
      <c r="L1200" s="16"/>
      <c r="M1200" s="4"/>
      <c r="N1200" s="4"/>
      <c r="O1200" s="4"/>
      <c r="P1200" s="4"/>
      <c r="Q1200" s="4"/>
      <c r="R1200" s="4"/>
      <c r="S1200" s="4">
        <v>0</v>
      </c>
      <c r="T1200" s="4">
        <v>0</v>
      </c>
      <c r="U1200" s="4">
        <v>0</v>
      </c>
      <c r="V1200" s="4">
        <v>12</v>
      </c>
      <c r="W1200" s="4">
        <v>12</v>
      </c>
      <c r="X1200" s="4">
        <v>0</v>
      </c>
      <c r="Y1200" s="4"/>
      <c r="Z1200" s="4">
        <v>107.35000000000002</v>
      </c>
      <c r="AA1200" s="4">
        <v>100</v>
      </c>
      <c r="AB1200" s="18"/>
      <c r="AC1200" s="18">
        <v>21</v>
      </c>
      <c r="AD1200" s="28"/>
      <c r="AE1200" s="26"/>
      <c r="AF1200" s="28"/>
    </row>
    <row r="1201" spans="1:32" ht="12.6" customHeight="1" x14ac:dyDescent="0.25">
      <c r="A1201" s="14">
        <v>45801</v>
      </c>
      <c r="B1201" s="14" t="s">
        <v>45</v>
      </c>
      <c r="C1201" s="15">
        <v>2</v>
      </c>
      <c r="D1201" s="16"/>
      <c r="E1201" s="16"/>
      <c r="F1201" s="17"/>
      <c r="G1201" s="21"/>
      <c r="H1201" s="21"/>
      <c r="I1201" s="4">
        <v>0</v>
      </c>
      <c r="J1201" s="4">
        <v>0</v>
      </c>
      <c r="K1201" s="4"/>
      <c r="L1201" s="16"/>
      <c r="M1201" s="4"/>
      <c r="N1201" s="4"/>
      <c r="O1201" s="4"/>
      <c r="P1201" s="4"/>
      <c r="Q1201" s="4"/>
      <c r="R1201" s="4"/>
      <c r="S1201" s="4">
        <v>0</v>
      </c>
      <c r="T1201" s="4">
        <v>0</v>
      </c>
      <c r="U1201" s="4">
        <v>0</v>
      </c>
      <c r="V1201" s="4">
        <v>12</v>
      </c>
      <c r="W1201" s="4">
        <v>12</v>
      </c>
      <c r="X1201" s="4">
        <v>0</v>
      </c>
      <c r="Y1201" s="4"/>
      <c r="Z1201" s="4">
        <v>148.37000000000003</v>
      </c>
      <c r="AA1201" s="4">
        <v>150</v>
      </c>
      <c r="AB1201" s="18"/>
      <c r="AC1201" s="18">
        <v>21</v>
      </c>
      <c r="AD1201" s="28"/>
      <c r="AE1201" s="26"/>
      <c r="AF1201" s="28"/>
    </row>
    <row r="1202" spans="1:32" ht="12.6" customHeight="1" x14ac:dyDescent="0.25">
      <c r="A1202" s="14">
        <v>45801</v>
      </c>
      <c r="B1202" s="14" t="s">
        <v>46</v>
      </c>
      <c r="C1202" s="15">
        <v>2</v>
      </c>
      <c r="D1202" s="16"/>
      <c r="E1202" s="16"/>
      <c r="F1202" s="17"/>
      <c r="G1202" s="21"/>
      <c r="H1202" s="21"/>
      <c r="I1202" s="4">
        <v>0</v>
      </c>
      <c r="J1202" s="4">
        <v>0</v>
      </c>
      <c r="K1202" s="4"/>
      <c r="L1202" s="16"/>
      <c r="M1202" s="4"/>
      <c r="N1202" s="4"/>
      <c r="O1202" s="4"/>
      <c r="P1202" s="4"/>
      <c r="Q1202" s="4"/>
      <c r="R1202" s="4"/>
      <c r="S1202" s="4">
        <v>0</v>
      </c>
      <c r="T1202" s="4">
        <v>0</v>
      </c>
      <c r="U1202" s="4">
        <v>0</v>
      </c>
      <c r="V1202" s="4">
        <v>12</v>
      </c>
      <c r="W1202" s="4">
        <v>12</v>
      </c>
      <c r="X1202" s="4">
        <v>0</v>
      </c>
      <c r="Y1202" s="4"/>
      <c r="Z1202" s="4">
        <v>104.63000000000001</v>
      </c>
      <c r="AA1202" s="4">
        <v>100</v>
      </c>
      <c r="AB1202" s="18"/>
      <c r="AC1202" s="18">
        <v>21</v>
      </c>
      <c r="AD1202" s="28"/>
      <c r="AE1202" s="26"/>
      <c r="AF1202" s="28"/>
    </row>
    <row r="1203" spans="1:32" ht="12.6" customHeight="1" x14ac:dyDescent="0.25">
      <c r="A1203" s="14">
        <v>45801</v>
      </c>
      <c r="B1203" s="14" t="s">
        <v>45</v>
      </c>
      <c r="C1203" s="15">
        <v>3</v>
      </c>
      <c r="D1203" s="16"/>
      <c r="E1203" s="16"/>
      <c r="F1203" s="17"/>
      <c r="G1203" s="21"/>
      <c r="H1203" s="21"/>
      <c r="I1203" s="4">
        <v>0</v>
      </c>
      <c r="J1203" s="4">
        <v>0</v>
      </c>
      <c r="K1203" s="4"/>
      <c r="L1203" s="16"/>
      <c r="M1203" s="4"/>
      <c r="N1203" s="4"/>
      <c r="O1203" s="4"/>
      <c r="P1203" s="4"/>
      <c r="Q1203" s="4"/>
      <c r="R1203" s="4"/>
      <c r="S1203" s="4">
        <v>0</v>
      </c>
      <c r="T1203" s="4">
        <v>0</v>
      </c>
      <c r="U1203" s="4">
        <v>0</v>
      </c>
      <c r="V1203" s="4">
        <v>12</v>
      </c>
      <c r="W1203" s="4">
        <v>12</v>
      </c>
      <c r="X1203" s="4">
        <v>0</v>
      </c>
      <c r="Y1203" s="4"/>
      <c r="Z1203" s="4">
        <v>291.09999999999997</v>
      </c>
      <c r="AA1203" s="4">
        <v>300</v>
      </c>
      <c r="AB1203" s="18"/>
      <c r="AC1203" s="18">
        <v>21</v>
      </c>
      <c r="AD1203" s="28"/>
      <c r="AE1203" s="26"/>
      <c r="AF1203" s="28"/>
    </row>
    <row r="1204" spans="1:32" ht="12.6" customHeight="1" x14ac:dyDescent="0.25">
      <c r="A1204" s="14">
        <v>45801</v>
      </c>
      <c r="B1204" s="14" t="s">
        <v>45</v>
      </c>
      <c r="C1204" s="15">
        <v>4</v>
      </c>
      <c r="D1204" s="16"/>
      <c r="E1204" s="16"/>
      <c r="F1204" s="17"/>
      <c r="G1204" s="21"/>
      <c r="H1204" s="21"/>
      <c r="I1204" s="4">
        <v>0</v>
      </c>
      <c r="J1204" s="4">
        <v>0</v>
      </c>
      <c r="K1204" s="4"/>
      <c r="L1204" s="16"/>
      <c r="M1204" s="4"/>
      <c r="N1204" s="4"/>
      <c r="O1204" s="4"/>
      <c r="P1204" s="4"/>
      <c r="Q1204" s="4"/>
      <c r="R1204" s="4"/>
      <c r="S1204" s="4">
        <v>0</v>
      </c>
      <c r="T1204" s="4">
        <v>0</v>
      </c>
      <c r="U1204" s="4">
        <v>0</v>
      </c>
      <c r="V1204" s="4">
        <v>12</v>
      </c>
      <c r="W1204" s="4">
        <v>12</v>
      </c>
      <c r="X1204" s="4">
        <v>0</v>
      </c>
      <c r="Y1204" s="4"/>
      <c r="Z1204" s="4">
        <v>614.87</v>
      </c>
      <c r="AA1204" s="4">
        <v>600</v>
      </c>
      <c r="AB1204" s="18"/>
      <c r="AC1204" s="18">
        <v>21</v>
      </c>
      <c r="AD1204" s="28"/>
      <c r="AE1204" s="26"/>
      <c r="AF1204" s="28"/>
    </row>
    <row r="1205" spans="1:32" ht="12.6" customHeight="1" x14ac:dyDescent="0.25">
      <c r="A1205" s="14">
        <v>45801</v>
      </c>
      <c r="B1205" s="14" t="s">
        <v>45</v>
      </c>
      <c r="C1205" s="15">
        <v>5</v>
      </c>
      <c r="D1205" s="16"/>
      <c r="E1205" s="16"/>
      <c r="F1205" s="17"/>
      <c r="G1205" s="21"/>
      <c r="H1205" s="21"/>
      <c r="I1205" s="4">
        <v>0</v>
      </c>
      <c r="J1205" s="4">
        <v>0</v>
      </c>
      <c r="K1205" s="4"/>
      <c r="L1205" s="16"/>
      <c r="M1205" s="4"/>
      <c r="N1205" s="4"/>
      <c r="O1205" s="4"/>
      <c r="P1205" s="4"/>
      <c r="Q1205" s="4"/>
      <c r="R1205" s="4"/>
      <c r="S1205" s="4">
        <v>0</v>
      </c>
      <c r="T1205" s="4">
        <v>0</v>
      </c>
      <c r="U1205" s="4">
        <v>0</v>
      </c>
      <c r="V1205" s="4">
        <v>12</v>
      </c>
      <c r="W1205" s="4">
        <v>12</v>
      </c>
      <c r="X1205" s="4">
        <v>0</v>
      </c>
      <c r="Y1205" s="4"/>
      <c r="Z1205" s="4">
        <v>507.36</v>
      </c>
      <c r="AA1205" s="4">
        <v>500</v>
      </c>
      <c r="AB1205" s="18"/>
      <c r="AC1205" s="18">
        <v>21</v>
      </c>
      <c r="AD1205" s="28"/>
      <c r="AE1205" s="26"/>
      <c r="AF1205" s="28"/>
    </row>
    <row r="1206" spans="1:32" ht="12.6" customHeight="1" x14ac:dyDescent="0.25">
      <c r="A1206" s="14">
        <v>45803</v>
      </c>
      <c r="B1206" s="14" t="s">
        <v>45</v>
      </c>
      <c r="C1206" s="15">
        <v>1</v>
      </c>
      <c r="D1206" s="16"/>
      <c r="E1206" s="16"/>
      <c r="F1206" s="17"/>
      <c r="G1206" s="21">
        <v>180</v>
      </c>
      <c r="H1206" s="21"/>
      <c r="I1206" s="4">
        <v>180</v>
      </c>
      <c r="J1206" s="4">
        <v>3</v>
      </c>
      <c r="K1206" s="4"/>
      <c r="L1206" s="16"/>
      <c r="M1206" s="4"/>
      <c r="N1206" s="4"/>
      <c r="O1206" s="4"/>
      <c r="P1206" s="4"/>
      <c r="Q1206" s="4"/>
      <c r="R1206" s="4"/>
      <c r="S1206" s="4">
        <v>0</v>
      </c>
      <c r="T1206" s="4">
        <v>0</v>
      </c>
      <c r="U1206" s="4">
        <v>3</v>
      </c>
      <c r="V1206" s="4">
        <v>9</v>
      </c>
      <c r="W1206" s="4">
        <v>12</v>
      </c>
      <c r="X1206" s="4">
        <v>26</v>
      </c>
      <c r="Y1206" s="4">
        <v>1627</v>
      </c>
      <c r="Z1206" s="4">
        <v>131.51000000000002</v>
      </c>
      <c r="AA1206" s="4">
        <v>150</v>
      </c>
      <c r="AB1206" s="18">
        <v>398</v>
      </c>
      <c r="AC1206" s="18">
        <v>22</v>
      </c>
      <c r="AD1206" s="28"/>
      <c r="AE1206" s="26"/>
      <c r="AF1206" s="28"/>
    </row>
    <row r="1207" spans="1:32" ht="12.6" customHeight="1" x14ac:dyDescent="0.25">
      <c r="A1207" s="14">
        <v>45803</v>
      </c>
      <c r="B1207" s="14" t="s">
        <v>46</v>
      </c>
      <c r="C1207" s="15">
        <v>1</v>
      </c>
      <c r="D1207" s="16"/>
      <c r="E1207" s="16"/>
      <c r="F1207" s="17"/>
      <c r="G1207" s="21"/>
      <c r="H1207" s="21"/>
      <c r="I1207" s="4">
        <v>0</v>
      </c>
      <c r="J1207" s="4">
        <v>0</v>
      </c>
      <c r="K1207" s="4"/>
      <c r="L1207" s="16"/>
      <c r="M1207" s="4"/>
      <c r="N1207" s="4"/>
      <c r="O1207" s="4"/>
      <c r="P1207" s="4"/>
      <c r="Q1207" s="4"/>
      <c r="R1207" s="4"/>
      <c r="S1207" s="4">
        <v>0</v>
      </c>
      <c r="T1207" s="4">
        <v>0</v>
      </c>
      <c r="U1207" s="4">
        <v>0</v>
      </c>
      <c r="V1207" s="4">
        <v>12</v>
      </c>
      <c r="W1207" s="4">
        <v>12</v>
      </c>
      <c r="X1207" s="4">
        <v>8.6</v>
      </c>
      <c r="Y1207" s="4"/>
      <c r="Z1207" s="4">
        <v>140.60999999999999</v>
      </c>
      <c r="AA1207" s="4">
        <v>150</v>
      </c>
      <c r="AB1207" s="18"/>
      <c r="AC1207" s="18">
        <v>22</v>
      </c>
      <c r="AD1207" s="28"/>
      <c r="AE1207" s="26"/>
      <c r="AF1207" s="28"/>
    </row>
    <row r="1208" spans="1:32" ht="12.6" customHeight="1" x14ac:dyDescent="0.25">
      <c r="A1208" s="14">
        <v>45803</v>
      </c>
      <c r="B1208" s="14" t="s">
        <v>45</v>
      </c>
      <c r="C1208" s="15">
        <v>2</v>
      </c>
      <c r="D1208" s="16">
        <v>20</v>
      </c>
      <c r="E1208" s="16"/>
      <c r="F1208" s="17"/>
      <c r="G1208" s="21">
        <v>180</v>
      </c>
      <c r="H1208" s="21"/>
      <c r="I1208" s="4">
        <v>200</v>
      </c>
      <c r="J1208" s="4">
        <v>3.3333333333333335</v>
      </c>
      <c r="K1208" s="4"/>
      <c r="L1208" s="16"/>
      <c r="M1208" s="4"/>
      <c r="N1208" s="4"/>
      <c r="O1208" s="4"/>
      <c r="P1208" s="4"/>
      <c r="Q1208" s="4"/>
      <c r="R1208" s="4"/>
      <c r="S1208" s="4">
        <v>0</v>
      </c>
      <c r="T1208" s="4">
        <v>0</v>
      </c>
      <c r="U1208" s="4">
        <v>3.3333333333333335</v>
      </c>
      <c r="V1208" s="4">
        <v>8.6666666666666661</v>
      </c>
      <c r="W1208" s="4">
        <v>12</v>
      </c>
      <c r="X1208" s="4">
        <v>0</v>
      </c>
      <c r="Y1208" s="4"/>
      <c r="Z1208" s="4">
        <v>120.47000000000001</v>
      </c>
      <c r="AA1208" s="4">
        <v>150</v>
      </c>
      <c r="AB1208" s="18"/>
      <c r="AC1208" s="18">
        <v>22</v>
      </c>
      <c r="AD1208" s="28"/>
      <c r="AE1208" s="26"/>
      <c r="AF1208" s="28"/>
    </row>
    <row r="1209" spans="1:32" ht="12.6" customHeight="1" x14ac:dyDescent="0.25">
      <c r="A1209" s="14">
        <v>45803</v>
      </c>
      <c r="B1209" s="14" t="s">
        <v>46</v>
      </c>
      <c r="C1209" s="15">
        <v>2</v>
      </c>
      <c r="D1209" s="16"/>
      <c r="E1209" s="16"/>
      <c r="F1209" s="17"/>
      <c r="G1209" s="21"/>
      <c r="H1209" s="21"/>
      <c r="I1209" s="4">
        <v>0</v>
      </c>
      <c r="J1209" s="4">
        <v>0</v>
      </c>
      <c r="K1209" s="4"/>
      <c r="L1209" s="16"/>
      <c r="M1209" s="4"/>
      <c r="N1209" s="4"/>
      <c r="O1209" s="4"/>
      <c r="P1209" s="4"/>
      <c r="Q1209" s="4"/>
      <c r="R1209" s="4"/>
      <c r="S1209" s="4">
        <v>0</v>
      </c>
      <c r="T1209" s="4">
        <v>0</v>
      </c>
      <c r="U1209" s="4">
        <v>0</v>
      </c>
      <c r="V1209" s="4">
        <v>12</v>
      </c>
      <c r="W1209" s="4">
        <v>12</v>
      </c>
      <c r="X1209" s="4">
        <v>0</v>
      </c>
      <c r="Y1209" s="4"/>
      <c r="Z1209" s="4">
        <v>120.28999999999999</v>
      </c>
      <c r="AA1209" s="4">
        <v>150</v>
      </c>
      <c r="AB1209" s="18"/>
      <c r="AC1209" s="18">
        <v>22</v>
      </c>
      <c r="AD1209" s="28"/>
      <c r="AE1209" s="26"/>
      <c r="AF1209" s="28"/>
    </row>
    <row r="1210" spans="1:32" ht="12.6" customHeight="1" x14ac:dyDescent="0.25">
      <c r="A1210" s="14">
        <v>45803</v>
      </c>
      <c r="B1210" s="14" t="s">
        <v>45</v>
      </c>
      <c r="C1210" s="15">
        <v>3</v>
      </c>
      <c r="D1210" s="16"/>
      <c r="E1210" s="16"/>
      <c r="F1210" s="17"/>
      <c r="G1210" s="21">
        <v>180</v>
      </c>
      <c r="H1210" s="21"/>
      <c r="I1210" s="4">
        <v>180</v>
      </c>
      <c r="J1210" s="4">
        <v>3</v>
      </c>
      <c r="K1210" s="4"/>
      <c r="L1210" s="16"/>
      <c r="M1210" s="4"/>
      <c r="N1210" s="4"/>
      <c r="O1210" s="4"/>
      <c r="P1210" s="4"/>
      <c r="Q1210" s="4"/>
      <c r="R1210" s="4"/>
      <c r="S1210" s="4">
        <v>0</v>
      </c>
      <c r="T1210" s="4">
        <v>0</v>
      </c>
      <c r="U1210" s="4">
        <v>3</v>
      </c>
      <c r="V1210" s="4">
        <v>9</v>
      </c>
      <c r="W1210" s="4">
        <v>12</v>
      </c>
      <c r="X1210" s="4">
        <v>0</v>
      </c>
      <c r="Y1210" s="4"/>
      <c r="Z1210" s="4">
        <v>180.36</v>
      </c>
      <c r="AA1210" s="4">
        <v>200</v>
      </c>
      <c r="AB1210" s="18"/>
      <c r="AC1210" s="18">
        <v>22</v>
      </c>
      <c r="AD1210" s="28"/>
      <c r="AE1210" s="26"/>
      <c r="AF1210" s="28"/>
    </row>
    <row r="1211" spans="1:32" ht="12.6" customHeight="1" x14ac:dyDescent="0.25">
      <c r="A1211" s="14">
        <v>45803</v>
      </c>
      <c r="B1211" s="14" t="s">
        <v>46</v>
      </c>
      <c r="C1211" s="15">
        <v>3</v>
      </c>
      <c r="D1211" s="16"/>
      <c r="E1211" s="16"/>
      <c r="F1211" s="17"/>
      <c r="G1211" s="21"/>
      <c r="H1211" s="21"/>
      <c r="I1211" s="4">
        <v>0</v>
      </c>
      <c r="J1211" s="4">
        <v>0</v>
      </c>
      <c r="K1211" s="4"/>
      <c r="L1211" s="16"/>
      <c r="M1211" s="4"/>
      <c r="N1211" s="4"/>
      <c r="O1211" s="4"/>
      <c r="P1211" s="4"/>
      <c r="Q1211" s="4"/>
      <c r="R1211" s="4"/>
      <c r="S1211" s="4">
        <v>0</v>
      </c>
      <c r="T1211" s="4">
        <v>0</v>
      </c>
      <c r="U1211" s="4">
        <v>0</v>
      </c>
      <c r="V1211" s="4">
        <v>12</v>
      </c>
      <c r="W1211" s="4">
        <v>12</v>
      </c>
      <c r="X1211" s="4">
        <v>0</v>
      </c>
      <c r="Y1211" s="4"/>
      <c r="Z1211" s="4">
        <v>274.52999999999997</v>
      </c>
      <c r="AA1211" s="4">
        <v>300</v>
      </c>
      <c r="AB1211" s="18"/>
      <c r="AC1211" s="18">
        <v>22</v>
      </c>
      <c r="AD1211" s="28"/>
      <c r="AE1211" s="26"/>
      <c r="AF1211" s="28"/>
    </row>
    <row r="1212" spans="1:32" ht="12.6" customHeight="1" x14ac:dyDescent="0.25">
      <c r="A1212" s="14">
        <v>45803</v>
      </c>
      <c r="B1212" s="14" t="s">
        <v>45</v>
      </c>
      <c r="C1212" s="15">
        <v>4</v>
      </c>
      <c r="D1212" s="16"/>
      <c r="E1212" s="16"/>
      <c r="F1212" s="17"/>
      <c r="G1212" s="21">
        <v>180</v>
      </c>
      <c r="H1212" s="21"/>
      <c r="I1212" s="4">
        <v>180</v>
      </c>
      <c r="J1212" s="4">
        <v>3</v>
      </c>
      <c r="K1212" s="4"/>
      <c r="L1212" s="16"/>
      <c r="M1212" s="4"/>
      <c r="N1212" s="4"/>
      <c r="O1212" s="4"/>
      <c r="P1212" s="4"/>
      <c r="Q1212" s="4">
        <v>15</v>
      </c>
      <c r="R1212" s="4"/>
      <c r="S1212" s="4">
        <v>15</v>
      </c>
      <c r="T1212" s="4">
        <v>0.25</v>
      </c>
      <c r="U1212" s="4">
        <v>3.25</v>
      </c>
      <c r="V1212" s="4">
        <v>8.75</v>
      </c>
      <c r="W1212" s="4">
        <v>12</v>
      </c>
      <c r="X1212" s="4">
        <v>0</v>
      </c>
      <c r="Y1212" s="4"/>
      <c r="Z1212" s="4">
        <v>403.27</v>
      </c>
      <c r="AA1212" s="4">
        <v>400</v>
      </c>
      <c r="AB1212" s="18"/>
      <c r="AC1212" s="18">
        <v>22</v>
      </c>
      <c r="AD1212" s="28"/>
      <c r="AE1212" s="26"/>
      <c r="AF1212" s="28"/>
    </row>
    <row r="1213" spans="1:32" ht="12.6" customHeight="1" x14ac:dyDescent="0.25">
      <c r="A1213" s="14">
        <v>45803</v>
      </c>
      <c r="B1213" s="14" t="s">
        <v>46</v>
      </c>
      <c r="C1213" s="15">
        <v>4</v>
      </c>
      <c r="D1213" s="16"/>
      <c r="E1213" s="16"/>
      <c r="F1213" s="17"/>
      <c r="G1213" s="21"/>
      <c r="H1213" s="21"/>
      <c r="I1213" s="4">
        <v>0</v>
      </c>
      <c r="J1213" s="4">
        <v>0</v>
      </c>
      <c r="K1213" s="4"/>
      <c r="L1213" s="16"/>
      <c r="M1213" s="4"/>
      <c r="N1213" s="4"/>
      <c r="O1213" s="4"/>
      <c r="P1213" s="4"/>
      <c r="Q1213" s="4"/>
      <c r="R1213" s="4"/>
      <c r="S1213" s="4">
        <v>0</v>
      </c>
      <c r="T1213" s="4">
        <v>0</v>
      </c>
      <c r="U1213" s="4">
        <v>0</v>
      </c>
      <c r="V1213" s="4">
        <v>12</v>
      </c>
      <c r="W1213" s="4">
        <v>12</v>
      </c>
      <c r="X1213" s="4">
        <v>0</v>
      </c>
      <c r="Y1213" s="4"/>
      <c r="Z1213" s="4">
        <v>559.67000000000007</v>
      </c>
      <c r="AA1213" s="4">
        <v>600</v>
      </c>
      <c r="AB1213" s="18"/>
      <c r="AC1213" s="18">
        <v>22</v>
      </c>
      <c r="AD1213" s="28"/>
      <c r="AE1213" s="26"/>
      <c r="AF1213" s="28"/>
    </row>
    <row r="1214" spans="1:32" ht="12.6" customHeight="1" x14ac:dyDescent="0.25">
      <c r="A1214" s="14">
        <v>45803</v>
      </c>
      <c r="B1214" s="14" t="s">
        <v>45</v>
      </c>
      <c r="C1214" s="15">
        <v>5</v>
      </c>
      <c r="D1214" s="16"/>
      <c r="E1214" s="16"/>
      <c r="F1214" s="17"/>
      <c r="G1214" s="21">
        <v>180</v>
      </c>
      <c r="H1214" s="21"/>
      <c r="I1214" s="4">
        <v>180</v>
      </c>
      <c r="J1214" s="4">
        <v>3</v>
      </c>
      <c r="K1214" s="4"/>
      <c r="L1214" s="16"/>
      <c r="M1214" s="4"/>
      <c r="N1214" s="4"/>
      <c r="O1214" s="4"/>
      <c r="P1214" s="4"/>
      <c r="Q1214" s="4"/>
      <c r="R1214" s="4"/>
      <c r="S1214" s="4">
        <v>0</v>
      </c>
      <c r="T1214" s="4">
        <v>0</v>
      </c>
      <c r="U1214" s="4">
        <v>3</v>
      </c>
      <c r="V1214" s="4">
        <v>9</v>
      </c>
      <c r="W1214" s="4">
        <v>12</v>
      </c>
      <c r="X1214" s="4">
        <v>0</v>
      </c>
      <c r="Y1214" s="4"/>
      <c r="Z1214" s="4">
        <v>379.69</v>
      </c>
      <c r="AA1214" s="4">
        <v>400</v>
      </c>
      <c r="AB1214" s="18"/>
      <c r="AC1214" s="18">
        <v>22</v>
      </c>
      <c r="AD1214" s="28"/>
      <c r="AE1214" s="26"/>
      <c r="AF1214" s="28"/>
    </row>
    <row r="1215" spans="1:32" ht="12.6" customHeight="1" x14ac:dyDescent="0.25">
      <c r="A1215" s="14">
        <v>45803</v>
      </c>
      <c r="B1215" s="14" t="s">
        <v>46</v>
      </c>
      <c r="C1215" s="15">
        <v>5</v>
      </c>
      <c r="D1215" s="16">
        <v>20</v>
      </c>
      <c r="E1215" s="16"/>
      <c r="F1215" s="17"/>
      <c r="G1215" s="21"/>
      <c r="H1215" s="21"/>
      <c r="I1215" s="4">
        <v>20</v>
      </c>
      <c r="J1215" s="4">
        <v>0.33333333333333331</v>
      </c>
      <c r="K1215" s="4"/>
      <c r="L1215" s="16"/>
      <c r="M1215" s="4"/>
      <c r="N1215" s="4"/>
      <c r="O1215" s="4"/>
      <c r="P1215" s="4"/>
      <c r="Q1215" s="4"/>
      <c r="R1215" s="4"/>
      <c r="S1215" s="4">
        <v>0</v>
      </c>
      <c r="T1215" s="4">
        <v>0</v>
      </c>
      <c r="U1215" s="4">
        <v>0.33333333333333331</v>
      </c>
      <c r="V1215" s="4">
        <v>11.666666666666666</v>
      </c>
      <c r="W1215" s="4">
        <v>12</v>
      </c>
      <c r="X1215" s="4">
        <v>0</v>
      </c>
      <c r="Y1215" s="4"/>
      <c r="Z1215" s="4">
        <v>411.38</v>
      </c>
      <c r="AA1215" s="4">
        <v>450</v>
      </c>
      <c r="AB1215" s="18"/>
      <c r="AC1215" s="18">
        <v>22</v>
      </c>
      <c r="AD1215" s="28"/>
      <c r="AE1215" s="26"/>
      <c r="AF1215" s="28"/>
    </row>
    <row r="1216" spans="1:32" ht="12.6" customHeight="1" x14ac:dyDescent="0.25">
      <c r="A1216" s="14">
        <v>45804</v>
      </c>
      <c r="B1216" s="14" t="s">
        <v>45</v>
      </c>
      <c r="C1216" s="15">
        <v>1</v>
      </c>
      <c r="D1216" s="16">
        <v>20</v>
      </c>
      <c r="E1216" s="16"/>
      <c r="F1216" s="17"/>
      <c r="G1216" s="21"/>
      <c r="H1216" s="21"/>
      <c r="I1216" s="4">
        <v>20</v>
      </c>
      <c r="J1216" s="4">
        <v>0.33333333333333331</v>
      </c>
      <c r="K1216" s="4"/>
      <c r="L1216" s="16"/>
      <c r="M1216" s="4"/>
      <c r="N1216" s="4"/>
      <c r="O1216" s="4"/>
      <c r="P1216" s="4"/>
      <c r="Q1216" s="4">
        <v>120</v>
      </c>
      <c r="R1216" s="4"/>
      <c r="S1216" s="4">
        <v>120</v>
      </c>
      <c r="T1216" s="4">
        <v>2</v>
      </c>
      <c r="U1216" s="4">
        <v>2.3333333333333335</v>
      </c>
      <c r="V1216" s="4">
        <v>9.6666666666666661</v>
      </c>
      <c r="W1216" s="4">
        <v>12</v>
      </c>
      <c r="X1216" s="4">
        <v>39</v>
      </c>
      <c r="Y1216" s="4">
        <v>1774</v>
      </c>
      <c r="Z1216" s="4">
        <v>133.70999999999998</v>
      </c>
      <c r="AA1216" s="4">
        <v>100</v>
      </c>
      <c r="AB1216" s="18">
        <v>398</v>
      </c>
      <c r="AC1216" s="18">
        <v>22</v>
      </c>
      <c r="AD1216" s="28"/>
      <c r="AE1216" s="26"/>
      <c r="AF1216" s="28"/>
    </row>
    <row r="1217" spans="1:32" ht="12.6" customHeight="1" x14ac:dyDescent="0.25">
      <c r="A1217" s="14">
        <v>45804</v>
      </c>
      <c r="B1217" s="14" t="s">
        <v>46</v>
      </c>
      <c r="C1217" s="15">
        <v>1</v>
      </c>
      <c r="D1217" s="16"/>
      <c r="E1217" s="16"/>
      <c r="F1217" s="17"/>
      <c r="G1217" s="21"/>
      <c r="H1217" s="21"/>
      <c r="I1217" s="4">
        <v>0</v>
      </c>
      <c r="J1217" s="4">
        <v>0</v>
      </c>
      <c r="K1217" s="4"/>
      <c r="L1217" s="16"/>
      <c r="M1217" s="4"/>
      <c r="N1217" s="4"/>
      <c r="O1217" s="4"/>
      <c r="P1217" s="4"/>
      <c r="Q1217" s="4"/>
      <c r="R1217" s="4"/>
      <c r="S1217" s="4">
        <v>0</v>
      </c>
      <c r="T1217" s="4">
        <v>0</v>
      </c>
      <c r="U1217" s="4">
        <v>0</v>
      </c>
      <c r="V1217" s="4">
        <v>12</v>
      </c>
      <c r="W1217" s="4">
        <v>12</v>
      </c>
      <c r="X1217" s="4">
        <v>27.6</v>
      </c>
      <c r="Y1217" s="4"/>
      <c r="Z1217" s="4">
        <v>177.49</v>
      </c>
      <c r="AA1217" s="4">
        <v>200</v>
      </c>
      <c r="AB1217" s="18"/>
      <c r="AC1217" s="18">
        <v>22</v>
      </c>
      <c r="AD1217" s="28"/>
      <c r="AE1217" s="26"/>
      <c r="AF1217" s="28"/>
    </row>
    <row r="1218" spans="1:32" ht="12.6" customHeight="1" x14ac:dyDescent="0.25">
      <c r="A1218" s="14">
        <v>45804</v>
      </c>
      <c r="B1218" s="14" t="s">
        <v>45</v>
      </c>
      <c r="C1218" s="15">
        <v>2</v>
      </c>
      <c r="D1218" s="16"/>
      <c r="E1218" s="16"/>
      <c r="F1218" s="17"/>
      <c r="G1218" s="21"/>
      <c r="H1218" s="21"/>
      <c r="I1218" s="4">
        <v>0</v>
      </c>
      <c r="J1218" s="4">
        <v>0</v>
      </c>
      <c r="K1218" s="4"/>
      <c r="L1218" s="16"/>
      <c r="M1218" s="4"/>
      <c r="N1218" s="4"/>
      <c r="O1218" s="4"/>
      <c r="P1218" s="4"/>
      <c r="Q1218" s="4"/>
      <c r="R1218" s="4"/>
      <c r="S1218" s="4">
        <v>0</v>
      </c>
      <c r="T1218" s="4">
        <v>0</v>
      </c>
      <c r="U1218" s="4">
        <v>0</v>
      </c>
      <c r="V1218" s="4">
        <v>12</v>
      </c>
      <c r="W1218" s="4">
        <v>12</v>
      </c>
      <c r="X1218" s="4">
        <v>0</v>
      </c>
      <c r="Y1218" s="4"/>
      <c r="Z1218" s="4">
        <v>98.9</v>
      </c>
      <c r="AA1218" s="4">
        <v>100</v>
      </c>
      <c r="AB1218" s="18"/>
      <c r="AC1218" s="18">
        <v>22</v>
      </c>
      <c r="AD1218" s="28"/>
      <c r="AE1218" s="26"/>
      <c r="AF1218" s="28"/>
    </row>
    <row r="1219" spans="1:32" ht="12.6" customHeight="1" x14ac:dyDescent="0.25">
      <c r="A1219" s="14">
        <v>45804</v>
      </c>
      <c r="B1219" s="14" t="s">
        <v>46</v>
      </c>
      <c r="C1219" s="15">
        <v>2</v>
      </c>
      <c r="D1219" s="16"/>
      <c r="E1219" s="16"/>
      <c r="F1219" s="17"/>
      <c r="G1219" s="21"/>
      <c r="H1219" s="21"/>
      <c r="I1219" s="4">
        <v>0</v>
      </c>
      <c r="J1219" s="4">
        <v>0</v>
      </c>
      <c r="K1219" s="4"/>
      <c r="L1219" s="16"/>
      <c r="M1219" s="4"/>
      <c r="N1219" s="4"/>
      <c r="O1219" s="4"/>
      <c r="P1219" s="4"/>
      <c r="Q1219" s="4"/>
      <c r="R1219" s="4"/>
      <c r="S1219" s="4">
        <v>0</v>
      </c>
      <c r="T1219" s="4">
        <v>0</v>
      </c>
      <c r="U1219" s="4">
        <v>0</v>
      </c>
      <c r="V1219" s="4">
        <v>12</v>
      </c>
      <c r="W1219" s="4">
        <v>12</v>
      </c>
      <c r="X1219" s="4">
        <v>0</v>
      </c>
      <c r="Y1219" s="4"/>
      <c r="Z1219" s="4">
        <v>79.649999999999991</v>
      </c>
      <c r="AA1219" s="4">
        <v>100</v>
      </c>
      <c r="AB1219" s="18"/>
      <c r="AC1219" s="18">
        <v>22</v>
      </c>
      <c r="AD1219" s="28"/>
      <c r="AE1219" s="26"/>
      <c r="AF1219" s="28"/>
    </row>
    <row r="1220" spans="1:32" ht="12.6" customHeight="1" x14ac:dyDescent="0.25">
      <c r="A1220" s="14">
        <v>45804</v>
      </c>
      <c r="B1220" s="14" t="s">
        <v>45</v>
      </c>
      <c r="C1220" s="15">
        <v>3</v>
      </c>
      <c r="D1220" s="16">
        <v>20</v>
      </c>
      <c r="E1220" s="16"/>
      <c r="F1220" s="17"/>
      <c r="G1220" s="21"/>
      <c r="H1220" s="21"/>
      <c r="I1220" s="4">
        <v>20</v>
      </c>
      <c r="J1220" s="4">
        <v>0.33333333333333331</v>
      </c>
      <c r="K1220" s="4"/>
      <c r="L1220" s="16"/>
      <c r="M1220" s="4"/>
      <c r="N1220" s="4"/>
      <c r="O1220" s="4"/>
      <c r="P1220" s="4"/>
      <c r="Q1220" s="4"/>
      <c r="R1220" s="4"/>
      <c r="S1220" s="4">
        <v>0</v>
      </c>
      <c r="T1220" s="4">
        <v>0</v>
      </c>
      <c r="U1220" s="4">
        <v>0.33333333333333331</v>
      </c>
      <c r="V1220" s="4">
        <v>11.666666666666666</v>
      </c>
      <c r="W1220" s="4">
        <v>12</v>
      </c>
      <c r="X1220" s="4">
        <v>0</v>
      </c>
      <c r="Y1220" s="4"/>
      <c r="Z1220" s="4">
        <v>304.69</v>
      </c>
      <c r="AA1220" s="4">
        <v>300</v>
      </c>
      <c r="AB1220" s="18"/>
      <c r="AC1220" s="18">
        <v>22</v>
      </c>
      <c r="AD1220" s="28"/>
      <c r="AE1220" s="26"/>
      <c r="AF1220" s="28"/>
    </row>
    <row r="1221" spans="1:32" ht="12.6" customHeight="1" x14ac:dyDescent="0.25">
      <c r="A1221" s="14">
        <v>45804</v>
      </c>
      <c r="B1221" s="14" t="s">
        <v>46</v>
      </c>
      <c r="C1221" s="15">
        <v>3</v>
      </c>
      <c r="D1221" s="16"/>
      <c r="E1221" s="16"/>
      <c r="F1221" s="17"/>
      <c r="G1221" s="21"/>
      <c r="H1221" s="21"/>
      <c r="I1221" s="4">
        <v>0</v>
      </c>
      <c r="J1221" s="4">
        <v>0</v>
      </c>
      <c r="K1221" s="4"/>
      <c r="L1221" s="16"/>
      <c r="M1221" s="4"/>
      <c r="N1221" s="4"/>
      <c r="O1221" s="4"/>
      <c r="P1221" s="4"/>
      <c r="Q1221" s="4"/>
      <c r="R1221" s="4"/>
      <c r="S1221" s="4">
        <v>0</v>
      </c>
      <c r="T1221" s="4">
        <v>0</v>
      </c>
      <c r="U1221" s="4">
        <v>0</v>
      </c>
      <c r="V1221" s="4">
        <v>12</v>
      </c>
      <c r="W1221" s="4">
        <v>12</v>
      </c>
      <c r="X1221" s="4">
        <v>0</v>
      </c>
      <c r="Y1221" s="4"/>
      <c r="Z1221" s="4">
        <v>258.71999999999997</v>
      </c>
      <c r="AA1221" s="4">
        <v>250</v>
      </c>
      <c r="AB1221" s="18"/>
      <c r="AC1221" s="18">
        <v>22</v>
      </c>
      <c r="AD1221" s="28"/>
      <c r="AE1221" s="26"/>
      <c r="AF1221" s="28"/>
    </row>
    <row r="1222" spans="1:32" ht="12.6" customHeight="1" x14ac:dyDescent="0.25">
      <c r="A1222" s="14">
        <v>45804</v>
      </c>
      <c r="B1222" s="14" t="s">
        <v>45</v>
      </c>
      <c r="C1222" s="15">
        <v>4</v>
      </c>
      <c r="D1222" s="16">
        <v>20</v>
      </c>
      <c r="E1222" s="16"/>
      <c r="F1222" s="17"/>
      <c r="G1222" s="21"/>
      <c r="H1222" s="21"/>
      <c r="I1222" s="4">
        <v>20</v>
      </c>
      <c r="J1222" s="4">
        <v>0.33333333333333331</v>
      </c>
      <c r="K1222" s="4"/>
      <c r="L1222" s="16"/>
      <c r="M1222" s="4"/>
      <c r="N1222" s="4"/>
      <c r="O1222" s="4"/>
      <c r="P1222" s="4"/>
      <c r="Q1222" s="4"/>
      <c r="R1222" s="4"/>
      <c r="S1222" s="4">
        <v>0</v>
      </c>
      <c r="T1222" s="4">
        <v>0</v>
      </c>
      <c r="U1222" s="4">
        <v>0.33333333333333331</v>
      </c>
      <c r="V1222" s="4">
        <v>11.666666666666666</v>
      </c>
      <c r="W1222" s="4">
        <v>12</v>
      </c>
      <c r="X1222" s="4">
        <v>0</v>
      </c>
      <c r="Y1222" s="4"/>
      <c r="Z1222" s="4">
        <v>574.07999999999993</v>
      </c>
      <c r="AA1222" s="4">
        <v>550</v>
      </c>
      <c r="AB1222" s="18"/>
      <c r="AC1222" s="18">
        <v>22</v>
      </c>
      <c r="AD1222" s="28"/>
      <c r="AE1222" s="26"/>
      <c r="AF1222" s="28"/>
    </row>
    <row r="1223" spans="1:32" ht="12.6" customHeight="1" x14ac:dyDescent="0.25">
      <c r="A1223" s="14">
        <v>45804</v>
      </c>
      <c r="B1223" s="14" t="s">
        <v>46</v>
      </c>
      <c r="C1223" s="15">
        <v>4</v>
      </c>
      <c r="D1223" s="16"/>
      <c r="E1223" s="16"/>
      <c r="F1223" s="17"/>
      <c r="G1223" s="21"/>
      <c r="H1223" s="21"/>
      <c r="I1223" s="4">
        <v>0</v>
      </c>
      <c r="J1223" s="4">
        <v>0</v>
      </c>
      <c r="K1223" s="4"/>
      <c r="L1223" s="16"/>
      <c r="M1223" s="4"/>
      <c r="N1223" s="4"/>
      <c r="O1223" s="4"/>
      <c r="P1223" s="4"/>
      <c r="Q1223" s="4"/>
      <c r="R1223" s="4"/>
      <c r="S1223" s="4">
        <v>0</v>
      </c>
      <c r="T1223" s="4">
        <v>0</v>
      </c>
      <c r="U1223" s="4">
        <v>0</v>
      </c>
      <c r="V1223" s="4">
        <v>12</v>
      </c>
      <c r="W1223" s="4">
        <v>12</v>
      </c>
      <c r="X1223" s="4">
        <v>0</v>
      </c>
      <c r="Y1223" s="4"/>
      <c r="Z1223" s="4">
        <v>662.99</v>
      </c>
      <c r="AA1223" s="4">
        <v>650</v>
      </c>
      <c r="AB1223" s="18"/>
      <c r="AC1223" s="18">
        <v>22</v>
      </c>
      <c r="AD1223" s="28"/>
      <c r="AE1223" s="26"/>
      <c r="AF1223" s="28"/>
    </row>
    <row r="1224" spans="1:32" ht="12.6" customHeight="1" x14ac:dyDescent="0.25">
      <c r="A1224" s="14">
        <v>45804</v>
      </c>
      <c r="B1224" s="14" t="s">
        <v>45</v>
      </c>
      <c r="C1224" s="15">
        <v>5</v>
      </c>
      <c r="D1224" s="16">
        <v>20</v>
      </c>
      <c r="E1224" s="16"/>
      <c r="F1224" s="17"/>
      <c r="G1224" s="21"/>
      <c r="H1224" s="21"/>
      <c r="I1224" s="4">
        <v>20</v>
      </c>
      <c r="J1224" s="4">
        <v>0.33333333333333331</v>
      </c>
      <c r="K1224" s="4"/>
      <c r="L1224" s="16"/>
      <c r="M1224" s="4"/>
      <c r="N1224" s="4"/>
      <c r="O1224" s="4"/>
      <c r="P1224" s="4"/>
      <c r="Q1224" s="4">
        <v>120</v>
      </c>
      <c r="R1224" s="4"/>
      <c r="S1224" s="4">
        <v>120</v>
      </c>
      <c r="T1224" s="4">
        <v>2</v>
      </c>
      <c r="U1224" s="4">
        <v>2.3333333333333335</v>
      </c>
      <c r="V1224" s="4">
        <v>9.6666666666666661</v>
      </c>
      <c r="W1224" s="4">
        <v>12</v>
      </c>
      <c r="X1224" s="4">
        <v>0</v>
      </c>
      <c r="Y1224" s="4"/>
      <c r="Z1224" s="4">
        <v>457.08</v>
      </c>
      <c r="AA1224" s="4">
        <v>450</v>
      </c>
      <c r="AB1224" s="18"/>
      <c r="AC1224" s="18">
        <v>22</v>
      </c>
      <c r="AD1224" s="28"/>
      <c r="AE1224" s="26"/>
      <c r="AF1224" s="28"/>
    </row>
    <row r="1225" spans="1:32" ht="12.6" customHeight="1" x14ac:dyDescent="0.25">
      <c r="A1225" s="14">
        <v>45804</v>
      </c>
      <c r="B1225" s="14" t="s">
        <v>46</v>
      </c>
      <c r="C1225" s="15">
        <v>5</v>
      </c>
      <c r="D1225" s="16"/>
      <c r="E1225" s="16"/>
      <c r="F1225" s="17"/>
      <c r="G1225" s="21"/>
      <c r="H1225" s="21"/>
      <c r="I1225" s="4">
        <v>0</v>
      </c>
      <c r="J1225" s="4">
        <v>0</v>
      </c>
      <c r="K1225" s="4"/>
      <c r="L1225" s="16"/>
      <c r="M1225" s="4"/>
      <c r="N1225" s="4"/>
      <c r="O1225" s="4"/>
      <c r="P1225" s="4"/>
      <c r="Q1225" s="4"/>
      <c r="R1225" s="4"/>
      <c r="S1225" s="4">
        <v>0</v>
      </c>
      <c r="T1225" s="4">
        <v>0</v>
      </c>
      <c r="U1225" s="4">
        <v>0</v>
      </c>
      <c r="V1225" s="4">
        <v>12</v>
      </c>
      <c r="W1225" s="4">
        <v>12</v>
      </c>
      <c r="X1225" s="4">
        <v>0</v>
      </c>
      <c r="Y1225" s="4"/>
      <c r="Z1225" s="4">
        <v>502.78999999999996</v>
      </c>
      <c r="AA1225" s="4">
        <v>500</v>
      </c>
      <c r="AB1225" s="18"/>
      <c r="AC1225" s="18">
        <v>22</v>
      </c>
      <c r="AD1225" s="28"/>
      <c r="AE1225" s="26"/>
      <c r="AF1225" s="28"/>
    </row>
    <row r="1226" spans="1:32" ht="12.6" customHeight="1" x14ac:dyDescent="0.25">
      <c r="A1226" s="14">
        <v>45805</v>
      </c>
      <c r="B1226" s="14" t="s">
        <v>45</v>
      </c>
      <c r="C1226" s="15">
        <v>1</v>
      </c>
      <c r="D1226" s="16"/>
      <c r="E1226" s="16"/>
      <c r="F1226" s="17"/>
      <c r="G1226" s="21"/>
      <c r="H1226" s="21"/>
      <c r="I1226" s="4">
        <v>0</v>
      </c>
      <c r="J1226" s="4">
        <v>0</v>
      </c>
      <c r="K1226" s="4"/>
      <c r="L1226" s="16"/>
      <c r="M1226" s="4"/>
      <c r="N1226" s="4"/>
      <c r="O1226" s="4"/>
      <c r="P1226" s="4"/>
      <c r="Q1226" s="4"/>
      <c r="R1226" s="4"/>
      <c r="S1226" s="4">
        <v>0</v>
      </c>
      <c r="T1226" s="4">
        <v>0</v>
      </c>
      <c r="U1226" s="4">
        <v>0</v>
      </c>
      <c r="V1226" s="4">
        <v>12</v>
      </c>
      <c r="W1226" s="4">
        <v>12</v>
      </c>
      <c r="X1226" s="4">
        <v>18</v>
      </c>
      <c r="Y1226" s="4">
        <v>1782</v>
      </c>
      <c r="Z1226" s="4">
        <v>190.03</v>
      </c>
      <c r="AA1226" s="4">
        <v>200</v>
      </c>
      <c r="AB1226" s="18">
        <v>398</v>
      </c>
      <c r="AC1226" s="18">
        <v>22</v>
      </c>
      <c r="AD1226" s="28"/>
      <c r="AE1226" s="26"/>
      <c r="AF1226" s="28"/>
    </row>
    <row r="1227" spans="1:32" ht="12.6" customHeight="1" x14ac:dyDescent="0.25">
      <c r="A1227" s="14">
        <v>45805</v>
      </c>
      <c r="B1227" s="14" t="s">
        <v>46</v>
      </c>
      <c r="C1227" s="15">
        <v>1</v>
      </c>
      <c r="D1227" s="16"/>
      <c r="E1227" s="16"/>
      <c r="F1227" s="17"/>
      <c r="G1227" s="21"/>
      <c r="H1227" s="21"/>
      <c r="I1227" s="4">
        <v>0</v>
      </c>
      <c r="J1227" s="4">
        <v>0</v>
      </c>
      <c r="K1227" s="4"/>
      <c r="L1227" s="16"/>
      <c r="M1227" s="4"/>
      <c r="N1227" s="4"/>
      <c r="O1227" s="4"/>
      <c r="P1227" s="4"/>
      <c r="Q1227" s="4"/>
      <c r="R1227" s="4"/>
      <c r="S1227" s="4">
        <v>0</v>
      </c>
      <c r="T1227" s="4">
        <v>0</v>
      </c>
      <c r="U1227" s="4">
        <v>0</v>
      </c>
      <c r="V1227" s="4">
        <v>12</v>
      </c>
      <c r="W1227" s="4">
        <v>12</v>
      </c>
      <c r="X1227" s="4">
        <v>26</v>
      </c>
      <c r="Y1227" s="4"/>
      <c r="Z1227" s="4">
        <v>164.87</v>
      </c>
      <c r="AA1227" s="4">
        <v>150</v>
      </c>
      <c r="AB1227" s="18"/>
      <c r="AC1227" s="18">
        <v>22</v>
      </c>
      <c r="AD1227" s="28"/>
      <c r="AE1227" s="26"/>
      <c r="AF1227" s="28"/>
    </row>
    <row r="1228" spans="1:32" ht="12.6" customHeight="1" x14ac:dyDescent="0.25">
      <c r="A1228" s="14">
        <v>45805</v>
      </c>
      <c r="B1228" s="14" t="s">
        <v>45</v>
      </c>
      <c r="C1228" s="15">
        <v>2</v>
      </c>
      <c r="D1228" s="16">
        <v>20</v>
      </c>
      <c r="E1228" s="16"/>
      <c r="F1228" s="17"/>
      <c r="G1228" s="21"/>
      <c r="H1228" s="21"/>
      <c r="I1228" s="4">
        <v>20</v>
      </c>
      <c r="J1228" s="4">
        <v>0.33333333333333331</v>
      </c>
      <c r="K1228" s="4"/>
      <c r="L1228" s="16"/>
      <c r="M1228" s="4"/>
      <c r="N1228" s="4"/>
      <c r="O1228" s="4"/>
      <c r="P1228" s="4"/>
      <c r="Q1228" s="4">
        <v>30</v>
      </c>
      <c r="R1228" s="4"/>
      <c r="S1228" s="4">
        <v>30</v>
      </c>
      <c r="T1228" s="4">
        <v>0.5</v>
      </c>
      <c r="U1228" s="4">
        <v>0.83333333333333326</v>
      </c>
      <c r="V1228" s="4">
        <v>11.166666666666666</v>
      </c>
      <c r="W1228" s="4">
        <v>12</v>
      </c>
      <c r="X1228" s="4">
        <v>0</v>
      </c>
      <c r="Y1228" s="4"/>
      <c r="Z1228" s="4">
        <v>132.67000000000002</v>
      </c>
      <c r="AA1228" s="4">
        <v>150</v>
      </c>
      <c r="AB1228" s="18"/>
      <c r="AC1228" s="18">
        <v>22</v>
      </c>
      <c r="AD1228" s="28"/>
      <c r="AE1228" s="26"/>
      <c r="AF1228" s="28"/>
    </row>
    <row r="1229" spans="1:32" ht="12.6" customHeight="1" x14ac:dyDescent="0.25">
      <c r="A1229" s="14">
        <v>45805</v>
      </c>
      <c r="B1229" s="14" t="s">
        <v>46</v>
      </c>
      <c r="C1229" s="15">
        <v>2</v>
      </c>
      <c r="D1229" s="16"/>
      <c r="E1229" s="16"/>
      <c r="F1229" s="17"/>
      <c r="G1229" s="21"/>
      <c r="H1229" s="21"/>
      <c r="I1229" s="4">
        <v>0</v>
      </c>
      <c r="J1229" s="4">
        <v>0</v>
      </c>
      <c r="K1229" s="4"/>
      <c r="L1229" s="16"/>
      <c r="M1229" s="4"/>
      <c r="N1229" s="4"/>
      <c r="O1229" s="4"/>
      <c r="P1229" s="4"/>
      <c r="Q1229" s="4"/>
      <c r="R1229" s="4"/>
      <c r="S1229" s="4">
        <v>0</v>
      </c>
      <c r="T1229" s="4">
        <v>0</v>
      </c>
      <c r="U1229" s="4">
        <v>0</v>
      </c>
      <c r="V1229" s="4">
        <v>12</v>
      </c>
      <c r="W1229" s="4">
        <v>12</v>
      </c>
      <c r="X1229" s="4">
        <v>0</v>
      </c>
      <c r="Y1229" s="4"/>
      <c r="Z1229" s="4">
        <v>150.02999999999997</v>
      </c>
      <c r="AA1229" s="4">
        <v>150</v>
      </c>
      <c r="AB1229" s="18"/>
      <c r="AC1229" s="18">
        <v>22</v>
      </c>
      <c r="AD1229" s="28"/>
      <c r="AE1229" s="26"/>
      <c r="AF1229" s="28"/>
    </row>
    <row r="1230" spans="1:32" ht="12.6" customHeight="1" x14ac:dyDescent="0.25">
      <c r="A1230" s="14">
        <v>45805</v>
      </c>
      <c r="B1230" s="14" t="s">
        <v>45</v>
      </c>
      <c r="C1230" s="15">
        <v>3</v>
      </c>
      <c r="D1230" s="16">
        <v>20</v>
      </c>
      <c r="E1230" s="16"/>
      <c r="F1230" s="17"/>
      <c r="G1230" s="21"/>
      <c r="H1230" s="21"/>
      <c r="I1230" s="4">
        <v>20</v>
      </c>
      <c r="J1230" s="4">
        <v>0.33333333333333331</v>
      </c>
      <c r="K1230" s="4"/>
      <c r="L1230" s="16"/>
      <c r="M1230" s="4"/>
      <c r="N1230" s="4"/>
      <c r="O1230" s="4"/>
      <c r="P1230" s="4">
        <v>180</v>
      </c>
      <c r="Q1230" s="4"/>
      <c r="R1230" s="4"/>
      <c r="S1230" s="4">
        <v>180</v>
      </c>
      <c r="T1230" s="4">
        <v>3</v>
      </c>
      <c r="U1230" s="4">
        <v>3.3333333333333335</v>
      </c>
      <c r="V1230" s="4">
        <v>8.6666666666666661</v>
      </c>
      <c r="W1230" s="4">
        <v>12</v>
      </c>
      <c r="X1230" s="4">
        <v>0</v>
      </c>
      <c r="Y1230" s="4"/>
      <c r="Z1230" s="4">
        <v>306.56</v>
      </c>
      <c r="AA1230" s="4">
        <v>300</v>
      </c>
      <c r="AB1230" s="18"/>
      <c r="AC1230" s="18">
        <v>22</v>
      </c>
      <c r="AD1230" s="28"/>
      <c r="AE1230" s="26"/>
      <c r="AF1230" s="28"/>
    </row>
    <row r="1231" spans="1:32" ht="12.6" customHeight="1" x14ac:dyDescent="0.25">
      <c r="A1231" s="14">
        <v>45805</v>
      </c>
      <c r="B1231" s="14" t="s">
        <v>46</v>
      </c>
      <c r="C1231" s="15">
        <v>3</v>
      </c>
      <c r="D1231" s="16"/>
      <c r="E1231" s="16"/>
      <c r="F1231" s="17"/>
      <c r="G1231" s="21"/>
      <c r="H1231" s="21"/>
      <c r="I1231" s="4">
        <v>0</v>
      </c>
      <c r="J1231" s="4">
        <v>0</v>
      </c>
      <c r="K1231" s="4"/>
      <c r="L1231" s="16"/>
      <c r="M1231" s="4"/>
      <c r="N1231" s="4"/>
      <c r="O1231" s="4"/>
      <c r="P1231" s="4"/>
      <c r="Q1231" s="4"/>
      <c r="R1231" s="4"/>
      <c r="S1231" s="4">
        <v>0</v>
      </c>
      <c r="T1231" s="4">
        <v>0</v>
      </c>
      <c r="U1231" s="4">
        <v>0</v>
      </c>
      <c r="V1231" s="4">
        <v>12</v>
      </c>
      <c r="W1231" s="4">
        <v>12</v>
      </c>
      <c r="X1231" s="4">
        <v>0</v>
      </c>
      <c r="Y1231" s="4"/>
      <c r="Z1231" s="4">
        <v>235.33999999999997</v>
      </c>
      <c r="AA1231" s="4">
        <v>250</v>
      </c>
      <c r="AB1231" s="18"/>
      <c r="AC1231" s="18">
        <v>22</v>
      </c>
      <c r="AD1231" s="28"/>
      <c r="AE1231" s="26"/>
      <c r="AF1231" s="28"/>
    </row>
    <row r="1232" spans="1:32" ht="12.6" customHeight="1" x14ac:dyDescent="0.25">
      <c r="A1232" s="14">
        <v>45805</v>
      </c>
      <c r="B1232" s="14" t="s">
        <v>45</v>
      </c>
      <c r="C1232" s="15">
        <v>4</v>
      </c>
      <c r="D1232" s="16">
        <v>20</v>
      </c>
      <c r="E1232" s="16"/>
      <c r="F1232" s="17"/>
      <c r="G1232" s="21"/>
      <c r="H1232" s="21"/>
      <c r="I1232" s="4">
        <v>20</v>
      </c>
      <c r="J1232" s="4">
        <v>0.33333333333333331</v>
      </c>
      <c r="K1232" s="4"/>
      <c r="L1232" s="16"/>
      <c r="M1232" s="4"/>
      <c r="N1232" s="4"/>
      <c r="O1232" s="4"/>
      <c r="P1232" s="4"/>
      <c r="Q1232" s="4"/>
      <c r="R1232" s="4"/>
      <c r="S1232" s="4">
        <v>0</v>
      </c>
      <c r="T1232" s="4">
        <v>0</v>
      </c>
      <c r="U1232" s="4">
        <v>0.33333333333333331</v>
      </c>
      <c r="V1232" s="4">
        <v>11.666666666666666</v>
      </c>
      <c r="W1232" s="4">
        <v>12</v>
      </c>
      <c r="X1232" s="4">
        <v>0</v>
      </c>
      <c r="Y1232" s="4"/>
      <c r="Z1232" s="4">
        <v>639.1400000000001</v>
      </c>
      <c r="AA1232" s="4">
        <v>650</v>
      </c>
      <c r="AB1232" s="18"/>
      <c r="AC1232" s="18">
        <v>22</v>
      </c>
      <c r="AD1232" s="28"/>
      <c r="AE1232" s="26"/>
      <c r="AF1232" s="28"/>
    </row>
    <row r="1233" spans="1:32" ht="12.6" customHeight="1" x14ac:dyDescent="0.25">
      <c r="A1233" s="14">
        <v>45805</v>
      </c>
      <c r="B1233" s="14" t="s">
        <v>46</v>
      </c>
      <c r="C1233" s="15">
        <v>4</v>
      </c>
      <c r="D1233" s="16">
        <v>20</v>
      </c>
      <c r="E1233" s="16"/>
      <c r="F1233" s="17"/>
      <c r="G1233" s="21"/>
      <c r="H1233" s="21"/>
      <c r="I1233" s="4">
        <v>20</v>
      </c>
      <c r="J1233" s="4">
        <v>0.33333333333333331</v>
      </c>
      <c r="K1233" s="4"/>
      <c r="L1233" s="16"/>
      <c r="M1233" s="4"/>
      <c r="N1233" s="4"/>
      <c r="O1233" s="4"/>
      <c r="P1233" s="4"/>
      <c r="Q1233" s="4"/>
      <c r="R1233" s="4"/>
      <c r="S1233" s="4">
        <v>0</v>
      </c>
      <c r="T1233" s="4">
        <v>0</v>
      </c>
      <c r="U1233" s="4">
        <v>0.33333333333333331</v>
      </c>
      <c r="V1233" s="4">
        <v>11.666666666666666</v>
      </c>
      <c r="W1233" s="4">
        <v>12</v>
      </c>
      <c r="X1233" s="4">
        <v>0</v>
      </c>
      <c r="Y1233" s="4"/>
      <c r="Z1233" s="4">
        <v>649.05999999999995</v>
      </c>
      <c r="AA1233" s="4">
        <v>650</v>
      </c>
      <c r="AB1233" s="18"/>
      <c r="AC1233" s="18">
        <v>22</v>
      </c>
      <c r="AD1233" s="28"/>
      <c r="AE1233" s="26"/>
      <c r="AF1233" s="28"/>
    </row>
    <row r="1234" spans="1:32" ht="12.6" customHeight="1" x14ac:dyDescent="0.25">
      <c r="A1234" s="14">
        <v>45805</v>
      </c>
      <c r="B1234" s="14" t="s">
        <v>45</v>
      </c>
      <c r="C1234" s="15">
        <v>5</v>
      </c>
      <c r="D1234" s="16"/>
      <c r="E1234" s="16"/>
      <c r="F1234" s="17"/>
      <c r="G1234" s="21"/>
      <c r="H1234" s="21"/>
      <c r="I1234" s="4">
        <v>0</v>
      </c>
      <c r="J1234" s="4">
        <v>0</v>
      </c>
      <c r="K1234" s="4"/>
      <c r="L1234" s="16"/>
      <c r="M1234" s="4"/>
      <c r="N1234" s="4"/>
      <c r="O1234" s="4"/>
      <c r="P1234" s="4"/>
      <c r="Q1234" s="4"/>
      <c r="R1234" s="4"/>
      <c r="S1234" s="4">
        <v>0</v>
      </c>
      <c r="T1234" s="4">
        <v>0</v>
      </c>
      <c r="U1234" s="4">
        <v>0</v>
      </c>
      <c r="V1234" s="4">
        <v>12</v>
      </c>
      <c r="W1234" s="4">
        <v>12</v>
      </c>
      <c r="X1234" s="4">
        <v>0</v>
      </c>
      <c r="Y1234" s="4"/>
      <c r="Z1234" s="4">
        <v>456.68000000000006</v>
      </c>
      <c r="AA1234" s="4">
        <v>450</v>
      </c>
      <c r="AB1234" s="18"/>
      <c r="AC1234" s="18">
        <v>22</v>
      </c>
      <c r="AD1234" s="28"/>
      <c r="AE1234" s="26"/>
      <c r="AF1234" s="28"/>
    </row>
    <row r="1235" spans="1:32" ht="12.6" customHeight="1" x14ac:dyDescent="0.25">
      <c r="A1235" s="14">
        <v>45805</v>
      </c>
      <c r="B1235" s="14" t="s">
        <v>46</v>
      </c>
      <c r="C1235" s="15">
        <v>5</v>
      </c>
      <c r="D1235" s="16"/>
      <c r="E1235" s="16"/>
      <c r="F1235" s="17"/>
      <c r="G1235" s="21"/>
      <c r="H1235" s="21"/>
      <c r="I1235" s="4">
        <v>0</v>
      </c>
      <c r="J1235" s="4">
        <v>0</v>
      </c>
      <c r="K1235" s="4"/>
      <c r="L1235" s="16"/>
      <c r="M1235" s="4"/>
      <c r="N1235" s="4"/>
      <c r="O1235" s="4"/>
      <c r="P1235" s="4"/>
      <c r="Q1235" s="4"/>
      <c r="R1235" s="4"/>
      <c r="S1235" s="4">
        <v>0</v>
      </c>
      <c r="T1235" s="4">
        <v>0</v>
      </c>
      <c r="U1235" s="4">
        <v>0</v>
      </c>
      <c r="V1235" s="4">
        <v>12</v>
      </c>
      <c r="W1235" s="4">
        <v>12</v>
      </c>
      <c r="X1235" s="4">
        <v>0</v>
      </c>
      <c r="Y1235" s="4"/>
      <c r="Z1235" s="4">
        <v>453.52</v>
      </c>
      <c r="AA1235" s="4">
        <v>450</v>
      </c>
      <c r="AB1235" s="18"/>
      <c r="AC1235" s="18">
        <v>22</v>
      </c>
      <c r="AD1235" s="28"/>
      <c r="AE1235" s="26"/>
      <c r="AF1235" s="28"/>
    </row>
    <row r="1236" spans="1:32" ht="12.6" customHeight="1" x14ac:dyDescent="0.25">
      <c r="A1236" s="14">
        <v>45806</v>
      </c>
      <c r="B1236" s="14" t="s">
        <v>45</v>
      </c>
      <c r="C1236" s="15">
        <v>1</v>
      </c>
      <c r="D1236" s="16">
        <v>20</v>
      </c>
      <c r="E1236" s="16"/>
      <c r="F1236" s="17"/>
      <c r="G1236" s="21"/>
      <c r="H1236" s="21"/>
      <c r="I1236" s="4">
        <v>20</v>
      </c>
      <c r="J1236" s="4">
        <v>0.33333333333333331</v>
      </c>
      <c r="K1236" s="4"/>
      <c r="L1236" s="16"/>
      <c r="M1236" s="4"/>
      <c r="N1236" s="4"/>
      <c r="O1236" s="4"/>
      <c r="P1236" s="4"/>
      <c r="Q1236" s="4"/>
      <c r="R1236" s="4"/>
      <c r="S1236" s="4">
        <v>0</v>
      </c>
      <c r="T1236" s="4">
        <v>0</v>
      </c>
      <c r="U1236" s="4">
        <v>0.33333333333333331</v>
      </c>
      <c r="V1236" s="4">
        <v>11.666666666666666</v>
      </c>
      <c r="W1236" s="4">
        <v>12</v>
      </c>
      <c r="X1236" s="4">
        <v>29</v>
      </c>
      <c r="Y1236" s="4">
        <v>1729</v>
      </c>
      <c r="Z1236" s="4">
        <v>190.81</v>
      </c>
      <c r="AA1236" s="4">
        <v>200</v>
      </c>
      <c r="AB1236" s="18">
        <v>398</v>
      </c>
      <c r="AC1236" s="18">
        <v>22</v>
      </c>
      <c r="AD1236" s="28"/>
      <c r="AE1236" s="26"/>
      <c r="AF1236" s="28"/>
    </row>
    <row r="1237" spans="1:32" ht="12.6" customHeight="1" x14ac:dyDescent="0.25">
      <c r="A1237" s="14">
        <v>45806</v>
      </c>
      <c r="B1237" s="14" t="s">
        <v>46</v>
      </c>
      <c r="C1237" s="15">
        <v>1</v>
      </c>
      <c r="D1237" s="16"/>
      <c r="E1237" s="16"/>
      <c r="F1237" s="17"/>
      <c r="G1237" s="21"/>
      <c r="H1237" s="21"/>
      <c r="I1237" s="4">
        <v>0</v>
      </c>
      <c r="J1237" s="4">
        <v>0</v>
      </c>
      <c r="K1237" s="4"/>
      <c r="L1237" s="16"/>
      <c r="M1237" s="4"/>
      <c r="N1237" s="4"/>
      <c r="O1237" s="4"/>
      <c r="P1237" s="4"/>
      <c r="Q1237" s="4"/>
      <c r="R1237" s="4"/>
      <c r="S1237" s="4">
        <v>0</v>
      </c>
      <c r="T1237" s="4">
        <v>0</v>
      </c>
      <c r="U1237" s="4">
        <v>0</v>
      </c>
      <c r="V1237" s="4">
        <v>12</v>
      </c>
      <c r="W1237" s="4">
        <v>12</v>
      </c>
      <c r="X1237" s="4">
        <v>11</v>
      </c>
      <c r="Y1237" s="4"/>
      <c r="Z1237" s="4">
        <v>156.98000000000002</v>
      </c>
      <c r="AA1237" s="4">
        <v>150</v>
      </c>
      <c r="AB1237" s="18"/>
      <c r="AC1237" s="18">
        <v>22</v>
      </c>
      <c r="AD1237" s="28"/>
      <c r="AE1237" s="26"/>
      <c r="AF1237" s="28"/>
    </row>
    <row r="1238" spans="1:32" ht="12.6" customHeight="1" x14ac:dyDescent="0.25">
      <c r="A1238" s="14">
        <v>45806</v>
      </c>
      <c r="B1238" s="14" t="s">
        <v>45</v>
      </c>
      <c r="C1238" s="15">
        <v>2</v>
      </c>
      <c r="D1238" s="16"/>
      <c r="E1238" s="16"/>
      <c r="F1238" s="17"/>
      <c r="G1238" s="21"/>
      <c r="H1238" s="21"/>
      <c r="I1238" s="4">
        <v>0</v>
      </c>
      <c r="J1238" s="4">
        <v>0</v>
      </c>
      <c r="K1238" s="4"/>
      <c r="L1238" s="16"/>
      <c r="M1238" s="4"/>
      <c r="N1238" s="4"/>
      <c r="O1238" s="4"/>
      <c r="P1238" s="4"/>
      <c r="Q1238" s="4"/>
      <c r="R1238" s="4"/>
      <c r="S1238" s="4">
        <v>0</v>
      </c>
      <c r="T1238" s="4">
        <v>0</v>
      </c>
      <c r="U1238" s="4">
        <v>0</v>
      </c>
      <c r="V1238" s="4">
        <v>12</v>
      </c>
      <c r="W1238" s="4">
        <v>12</v>
      </c>
      <c r="X1238" s="4">
        <v>0</v>
      </c>
      <c r="Y1238" s="4"/>
      <c r="Z1238" s="4">
        <v>163.53999999999994</v>
      </c>
      <c r="AA1238" s="4">
        <v>150</v>
      </c>
      <c r="AB1238" s="18"/>
      <c r="AC1238" s="18">
        <v>22</v>
      </c>
      <c r="AD1238" s="28"/>
      <c r="AE1238" s="26"/>
      <c r="AF1238" s="28"/>
    </row>
    <row r="1239" spans="1:32" ht="12.6" customHeight="1" x14ac:dyDescent="0.25">
      <c r="A1239" s="14">
        <v>45806</v>
      </c>
      <c r="B1239" s="14" t="s">
        <v>46</v>
      </c>
      <c r="C1239" s="15">
        <v>2</v>
      </c>
      <c r="D1239" s="16"/>
      <c r="E1239" s="16"/>
      <c r="F1239" s="17"/>
      <c r="G1239" s="21"/>
      <c r="H1239" s="21"/>
      <c r="I1239" s="4">
        <v>0</v>
      </c>
      <c r="J1239" s="4">
        <v>0</v>
      </c>
      <c r="K1239" s="4"/>
      <c r="L1239" s="16"/>
      <c r="M1239" s="4"/>
      <c r="N1239" s="4"/>
      <c r="O1239" s="4"/>
      <c r="P1239" s="4"/>
      <c r="Q1239" s="4"/>
      <c r="R1239" s="4"/>
      <c r="S1239" s="4">
        <v>0</v>
      </c>
      <c r="T1239" s="4">
        <v>0</v>
      </c>
      <c r="U1239" s="4">
        <v>0</v>
      </c>
      <c r="V1239" s="4">
        <v>12</v>
      </c>
      <c r="W1239" s="4">
        <v>12</v>
      </c>
      <c r="X1239" s="4">
        <v>0</v>
      </c>
      <c r="Y1239" s="4"/>
      <c r="Z1239" s="4">
        <v>164.28000000000003</v>
      </c>
      <c r="AA1239" s="4">
        <v>150</v>
      </c>
      <c r="AB1239" s="18"/>
      <c r="AC1239" s="18">
        <v>22</v>
      </c>
      <c r="AD1239" s="28"/>
      <c r="AE1239" s="26"/>
      <c r="AF1239" s="28"/>
    </row>
    <row r="1240" spans="1:32" ht="12.6" customHeight="1" x14ac:dyDescent="0.25">
      <c r="A1240" s="14">
        <v>45806</v>
      </c>
      <c r="B1240" s="14" t="s">
        <v>45</v>
      </c>
      <c r="C1240" s="15">
        <v>3</v>
      </c>
      <c r="D1240" s="16">
        <v>20</v>
      </c>
      <c r="E1240" s="16"/>
      <c r="F1240" s="17"/>
      <c r="G1240" s="21"/>
      <c r="H1240" s="21"/>
      <c r="I1240" s="4">
        <v>20</v>
      </c>
      <c r="J1240" s="4">
        <v>0.33333333333333331</v>
      </c>
      <c r="K1240" s="4"/>
      <c r="L1240" s="16"/>
      <c r="M1240" s="4"/>
      <c r="N1240" s="4"/>
      <c r="O1240" s="4"/>
      <c r="P1240" s="4">
        <v>240</v>
      </c>
      <c r="Q1240" s="4"/>
      <c r="R1240" s="4"/>
      <c r="S1240" s="4">
        <v>240</v>
      </c>
      <c r="T1240" s="4">
        <v>4</v>
      </c>
      <c r="U1240" s="4">
        <v>4.333333333333333</v>
      </c>
      <c r="V1240" s="4">
        <v>7.666666666666667</v>
      </c>
      <c r="W1240" s="4">
        <v>12</v>
      </c>
      <c r="X1240" s="4">
        <v>0</v>
      </c>
      <c r="Y1240" s="4"/>
      <c r="Z1240" s="4">
        <v>223.57999999999998</v>
      </c>
      <c r="AA1240" s="4">
        <v>250</v>
      </c>
      <c r="AB1240" s="18"/>
      <c r="AC1240" s="18">
        <v>22</v>
      </c>
      <c r="AD1240" s="28"/>
      <c r="AE1240" s="26"/>
      <c r="AF1240" s="28"/>
    </row>
    <row r="1241" spans="1:32" ht="12.6" customHeight="1" x14ac:dyDescent="0.25">
      <c r="A1241" s="14">
        <v>45806</v>
      </c>
      <c r="B1241" s="14" t="s">
        <v>46</v>
      </c>
      <c r="C1241" s="15">
        <v>3</v>
      </c>
      <c r="D1241" s="16"/>
      <c r="E1241" s="16"/>
      <c r="F1241" s="17"/>
      <c r="G1241" s="21"/>
      <c r="H1241" s="21"/>
      <c r="I1241" s="4">
        <v>0</v>
      </c>
      <c r="J1241" s="4">
        <v>0</v>
      </c>
      <c r="K1241" s="4"/>
      <c r="L1241" s="16"/>
      <c r="M1241" s="4"/>
      <c r="N1241" s="4"/>
      <c r="O1241" s="4"/>
      <c r="P1241" s="4"/>
      <c r="Q1241" s="4"/>
      <c r="R1241" s="4"/>
      <c r="S1241" s="4">
        <v>0</v>
      </c>
      <c r="T1241" s="4">
        <v>0</v>
      </c>
      <c r="U1241" s="4">
        <v>0</v>
      </c>
      <c r="V1241" s="4">
        <v>12</v>
      </c>
      <c r="W1241" s="4">
        <v>12</v>
      </c>
      <c r="X1241" s="4">
        <v>0</v>
      </c>
      <c r="Y1241" s="4"/>
      <c r="Z1241" s="4">
        <v>322.72000000000003</v>
      </c>
      <c r="AA1241" s="4">
        <v>300</v>
      </c>
      <c r="AB1241" s="18"/>
      <c r="AC1241" s="18">
        <v>22</v>
      </c>
      <c r="AD1241" s="28"/>
      <c r="AE1241" s="26"/>
      <c r="AF1241" s="28"/>
    </row>
    <row r="1242" spans="1:32" ht="12.6" customHeight="1" x14ac:dyDescent="0.25">
      <c r="A1242" s="14">
        <v>45806</v>
      </c>
      <c r="B1242" s="14" t="s">
        <v>45</v>
      </c>
      <c r="C1242" s="15">
        <v>4</v>
      </c>
      <c r="D1242" s="16">
        <v>20</v>
      </c>
      <c r="E1242" s="16"/>
      <c r="F1242" s="17"/>
      <c r="G1242" s="21"/>
      <c r="H1242" s="21"/>
      <c r="I1242" s="4">
        <v>20</v>
      </c>
      <c r="J1242" s="4">
        <v>0.33333333333333331</v>
      </c>
      <c r="K1242" s="4"/>
      <c r="L1242" s="16"/>
      <c r="M1242" s="4"/>
      <c r="N1242" s="4"/>
      <c r="O1242" s="4"/>
      <c r="P1242" s="4"/>
      <c r="Q1242" s="4"/>
      <c r="R1242" s="4"/>
      <c r="S1242" s="4">
        <v>0</v>
      </c>
      <c r="T1242" s="4">
        <v>0</v>
      </c>
      <c r="U1242" s="4">
        <v>0.33333333333333331</v>
      </c>
      <c r="V1242" s="4">
        <v>11.666666666666666</v>
      </c>
      <c r="W1242" s="4">
        <v>12</v>
      </c>
      <c r="X1242" s="4">
        <v>0</v>
      </c>
      <c r="Y1242" s="4"/>
      <c r="Z1242" s="4">
        <v>672.11999999999989</v>
      </c>
      <c r="AA1242" s="4">
        <v>700</v>
      </c>
      <c r="AB1242" s="18"/>
      <c r="AC1242" s="18">
        <v>22</v>
      </c>
      <c r="AD1242" s="28"/>
      <c r="AE1242" s="26"/>
      <c r="AF1242" s="28"/>
    </row>
    <row r="1243" spans="1:32" ht="12.6" customHeight="1" x14ac:dyDescent="0.25">
      <c r="A1243" s="14">
        <v>45806</v>
      </c>
      <c r="B1243" s="14" t="s">
        <v>46</v>
      </c>
      <c r="C1243" s="15">
        <v>4</v>
      </c>
      <c r="D1243" s="16">
        <v>20</v>
      </c>
      <c r="E1243" s="16"/>
      <c r="F1243" s="17"/>
      <c r="G1243" s="21"/>
      <c r="H1243" s="21"/>
      <c r="I1243" s="4">
        <v>20</v>
      </c>
      <c r="J1243" s="4">
        <v>0.33333333333333331</v>
      </c>
      <c r="K1243" s="4"/>
      <c r="L1243" s="16"/>
      <c r="M1243" s="4"/>
      <c r="N1243" s="4"/>
      <c r="O1243" s="4"/>
      <c r="P1243" s="4"/>
      <c r="Q1243" s="4"/>
      <c r="R1243" s="4"/>
      <c r="S1243" s="4">
        <v>0</v>
      </c>
      <c r="T1243" s="4">
        <v>0</v>
      </c>
      <c r="U1243" s="4">
        <v>0.33333333333333331</v>
      </c>
      <c r="V1243" s="4">
        <v>11.666666666666666</v>
      </c>
      <c r="W1243" s="4">
        <v>12</v>
      </c>
      <c r="X1243" s="4">
        <v>0</v>
      </c>
      <c r="Y1243" s="4"/>
      <c r="Z1243" s="4">
        <v>636.65</v>
      </c>
      <c r="AA1243" s="4">
        <v>650</v>
      </c>
      <c r="AB1243" s="18"/>
      <c r="AC1243" s="18">
        <v>22</v>
      </c>
      <c r="AD1243" s="28"/>
      <c r="AE1243" s="26"/>
      <c r="AF1243" s="28"/>
    </row>
    <row r="1244" spans="1:32" ht="12.6" customHeight="1" x14ac:dyDescent="0.25">
      <c r="A1244" s="14">
        <v>45806</v>
      </c>
      <c r="B1244" s="14" t="s">
        <v>45</v>
      </c>
      <c r="C1244" s="15">
        <v>5</v>
      </c>
      <c r="D1244" s="16">
        <v>20</v>
      </c>
      <c r="E1244" s="16"/>
      <c r="F1244" s="17"/>
      <c r="G1244" s="21"/>
      <c r="H1244" s="21"/>
      <c r="I1244" s="4">
        <v>20</v>
      </c>
      <c r="J1244" s="4">
        <v>0.33333333333333331</v>
      </c>
      <c r="K1244" s="4"/>
      <c r="L1244" s="16"/>
      <c r="M1244" s="4"/>
      <c r="N1244" s="4"/>
      <c r="O1244" s="4"/>
      <c r="P1244" s="4"/>
      <c r="Q1244" s="4"/>
      <c r="R1244" s="4"/>
      <c r="S1244" s="4">
        <v>0</v>
      </c>
      <c r="T1244" s="4">
        <v>0</v>
      </c>
      <c r="U1244" s="4">
        <v>0.33333333333333331</v>
      </c>
      <c r="V1244" s="4">
        <v>11.666666666666666</v>
      </c>
      <c r="W1244" s="4">
        <v>12</v>
      </c>
      <c r="X1244" s="4">
        <v>0</v>
      </c>
      <c r="Y1244" s="4"/>
      <c r="Z1244" s="4">
        <v>557.79999999999995</v>
      </c>
      <c r="AA1244" s="4">
        <v>550</v>
      </c>
      <c r="AB1244" s="18"/>
      <c r="AC1244" s="18">
        <v>22</v>
      </c>
      <c r="AD1244" s="28"/>
      <c r="AE1244" s="26"/>
      <c r="AF1244" s="28"/>
    </row>
    <row r="1245" spans="1:32" ht="12.6" customHeight="1" x14ac:dyDescent="0.25">
      <c r="A1245" s="14">
        <v>45806</v>
      </c>
      <c r="B1245" s="14" t="s">
        <v>46</v>
      </c>
      <c r="C1245" s="15">
        <v>5</v>
      </c>
      <c r="D1245" s="16"/>
      <c r="E1245" s="16"/>
      <c r="F1245" s="17"/>
      <c r="G1245" s="21"/>
      <c r="H1245" s="21"/>
      <c r="I1245" s="4">
        <v>0</v>
      </c>
      <c r="J1245" s="4">
        <v>0</v>
      </c>
      <c r="K1245" s="4"/>
      <c r="L1245" s="16"/>
      <c r="M1245" s="4"/>
      <c r="N1245" s="4"/>
      <c r="O1245" s="4"/>
      <c r="P1245" s="4"/>
      <c r="Q1245" s="4"/>
      <c r="R1245" s="4"/>
      <c r="S1245" s="4">
        <v>0</v>
      </c>
      <c r="T1245" s="4">
        <v>0</v>
      </c>
      <c r="U1245" s="4">
        <v>0</v>
      </c>
      <c r="V1245" s="4">
        <v>12</v>
      </c>
      <c r="W1245" s="4">
        <v>12</v>
      </c>
      <c r="X1245" s="4">
        <v>0</v>
      </c>
      <c r="Y1245" s="4"/>
      <c r="Z1245" s="4">
        <v>394.05999999999995</v>
      </c>
      <c r="AA1245" s="4">
        <v>400</v>
      </c>
      <c r="AB1245" s="18"/>
      <c r="AC1245" s="18">
        <v>22</v>
      </c>
      <c r="AD1245" s="28"/>
      <c r="AE1245" s="26"/>
      <c r="AF1245" s="28"/>
    </row>
    <row r="1246" spans="1:32" ht="12.6" customHeight="1" x14ac:dyDescent="0.25">
      <c r="A1246" s="14">
        <v>45807</v>
      </c>
      <c r="B1246" s="14" t="s">
        <v>45</v>
      </c>
      <c r="C1246" s="15">
        <v>1</v>
      </c>
      <c r="D1246" s="16"/>
      <c r="E1246" s="16"/>
      <c r="F1246" s="17"/>
      <c r="G1246" s="21"/>
      <c r="H1246" s="21"/>
      <c r="I1246" s="4">
        <v>0</v>
      </c>
      <c r="J1246" s="4">
        <v>0</v>
      </c>
      <c r="K1246" s="4"/>
      <c r="L1246" s="16"/>
      <c r="M1246" s="4"/>
      <c r="N1246" s="4"/>
      <c r="O1246" s="4"/>
      <c r="P1246" s="4"/>
      <c r="Q1246" s="4"/>
      <c r="R1246" s="4"/>
      <c r="S1246" s="4">
        <v>0</v>
      </c>
      <c r="T1246" s="4">
        <v>0</v>
      </c>
      <c r="U1246" s="4">
        <v>0</v>
      </c>
      <c r="V1246" s="4">
        <v>12</v>
      </c>
      <c r="W1246" s="4">
        <v>12</v>
      </c>
      <c r="X1246" s="4">
        <v>12.4</v>
      </c>
      <c r="Y1246" s="4">
        <v>1726</v>
      </c>
      <c r="Z1246" s="4">
        <v>158.09</v>
      </c>
      <c r="AA1246" s="4">
        <v>150</v>
      </c>
      <c r="AB1246" s="18">
        <v>398</v>
      </c>
      <c r="AC1246" s="18">
        <v>22</v>
      </c>
      <c r="AD1246" s="28"/>
      <c r="AE1246" s="26"/>
      <c r="AF1246" s="28"/>
    </row>
    <row r="1247" spans="1:32" ht="12.6" customHeight="1" x14ac:dyDescent="0.25">
      <c r="A1247" s="14">
        <v>45807</v>
      </c>
      <c r="B1247" s="14" t="s">
        <v>46</v>
      </c>
      <c r="C1247" s="15">
        <v>1</v>
      </c>
      <c r="D1247" s="16"/>
      <c r="E1247" s="16"/>
      <c r="F1247" s="17"/>
      <c r="G1247" s="21"/>
      <c r="H1247" s="21"/>
      <c r="I1247" s="4">
        <v>0</v>
      </c>
      <c r="J1247" s="4">
        <v>0</v>
      </c>
      <c r="K1247" s="4"/>
      <c r="L1247" s="16"/>
      <c r="M1247" s="4"/>
      <c r="N1247" s="4"/>
      <c r="O1247" s="4"/>
      <c r="P1247" s="4"/>
      <c r="Q1247" s="4"/>
      <c r="R1247" s="4"/>
      <c r="S1247" s="4">
        <v>0</v>
      </c>
      <c r="T1247" s="4">
        <v>0</v>
      </c>
      <c r="U1247" s="4">
        <v>0</v>
      </c>
      <c r="V1247" s="4">
        <v>12</v>
      </c>
      <c r="W1247" s="4">
        <v>12</v>
      </c>
      <c r="X1247" s="4">
        <v>21</v>
      </c>
      <c r="Y1247" s="4"/>
      <c r="Z1247" s="4">
        <v>152.82000000000002</v>
      </c>
      <c r="AA1247" s="4">
        <v>150</v>
      </c>
      <c r="AB1247" s="18"/>
      <c r="AC1247" s="18">
        <v>22</v>
      </c>
      <c r="AD1247" s="28"/>
      <c r="AE1247" s="26"/>
      <c r="AF1247" s="28"/>
    </row>
    <row r="1248" spans="1:32" ht="12.6" customHeight="1" x14ac:dyDescent="0.25">
      <c r="A1248" s="14">
        <v>45807</v>
      </c>
      <c r="B1248" s="14" t="s">
        <v>45</v>
      </c>
      <c r="C1248" s="15">
        <v>2</v>
      </c>
      <c r="D1248" s="16"/>
      <c r="E1248" s="16"/>
      <c r="F1248" s="17"/>
      <c r="G1248" s="21"/>
      <c r="H1248" s="21"/>
      <c r="I1248" s="4">
        <v>0</v>
      </c>
      <c r="J1248" s="4">
        <v>0</v>
      </c>
      <c r="K1248" s="4"/>
      <c r="L1248" s="16"/>
      <c r="M1248" s="4"/>
      <c r="N1248" s="4"/>
      <c r="O1248" s="4"/>
      <c r="P1248" s="4"/>
      <c r="Q1248" s="4"/>
      <c r="R1248" s="4"/>
      <c r="S1248" s="4">
        <v>0</v>
      </c>
      <c r="T1248" s="4">
        <v>0</v>
      </c>
      <c r="U1248" s="4">
        <v>0</v>
      </c>
      <c r="V1248" s="4">
        <v>12</v>
      </c>
      <c r="W1248" s="4">
        <v>12</v>
      </c>
      <c r="X1248" s="4">
        <v>0</v>
      </c>
      <c r="Y1248" s="4"/>
      <c r="Z1248" s="4">
        <v>162.19</v>
      </c>
      <c r="AA1248" s="4">
        <v>150</v>
      </c>
      <c r="AB1248" s="18"/>
      <c r="AC1248" s="18">
        <v>22</v>
      </c>
      <c r="AD1248" s="28"/>
      <c r="AE1248" s="26"/>
      <c r="AF1248" s="28"/>
    </row>
    <row r="1249" spans="1:32" ht="12.6" customHeight="1" x14ac:dyDescent="0.25">
      <c r="A1249" s="14">
        <v>45807</v>
      </c>
      <c r="B1249" s="14" t="s">
        <v>46</v>
      </c>
      <c r="C1249" s="15">
        <v>2</v>
      </c>
      <c r="D1249" s="16"/>
      <c r="E1249" s="16"/>
      <c r="F1249" s="17"/>
      <c r="G1249" s="21"/>
      <c r="H1249" s="21"/>
      <c r="I1249" s="4">
        <v>0</v>
      </c>
      <c r="J1249" s="4">
        <v>0</v>
      </c>
      <c r="K1249" s="4"/>
      <c r="L1249" s="16"/>
      <c r="M1249" s="4"/>
      <c r="N1249" s="4"/>
      <c r="O1249" s="4"/>
      <c r="P1249" s="4"/>
      <c r="Q1249" s="4"/>
      <c r="R1249" s="4"/>
      <c r="S1249" s="4">
        <v>0</v>
      </c>
      <c r="T1249" s="4">
        <v>0</v>
      </c>
      <c r="U1249" s="4">
        <v>0</v>
      </c>
      <c r="V1249" s="4">
        <v>12</v>
      </c>
      <c r="W1249" s="4">
        <v>12</v>
      </c>
      <c r="X1249" s="4">
        <v>0</v>
      </c>
      <c r="Y1249" s="4"/>
      <c r="Z1249" s="4">
        <v>153.72999999999999</v>
      </c>
      <c r="AA1249" s="4">
        <v>150</v>
      </c>
      <c r="AB1249" s="18"/>
      <c r="AC1249" s="18">
        <v>22</v>
      </c>
      <c r="AD1249" s="28"/>
      <c r="AE1249" s="26"/>
      <c r="AF1249" s="28"/>
    </row>
    <row r="1250" spans="1:32" ht="12.6" customHeight="1" x14ac:dyDescent="0.25">
      <c r="A1250" s="14">
        <v>45807</v>
      </c>
      <c r="B1250" s="14" t="s">
        <v>45</v>
      </c>
      <c r="C1250" s="15">
        <v>3</v>
      </c>
      <c r="D1250" s="16"/>
      <c r="E1250" s="16"/>
      <c r="F1250" s="17"/>
      <c r="G1250" s="21"/>
      <c r="H1250" s="21"/>
      <c r="I1250" s="4">
        <v>0</v>
      </c>
      <c r="J1250" s="4">
        <v>0</v>
      </c>
      <c r="K1250" s="4"/>
      <c r="L1250" s="16"/>
      <c r="M1250" s="4"/>
      <c r="N1250" s="4"/>
      <c r="O1250" s="4"/>
      <c r="P1250" s="4"/>
      <c r="Q1250" s="4"/>
      <c r="R1250" s="4"/>
      <c r="S1250" s="4">
        <v>0</v>
      </c>
      <c r="T1250" s="4">
        <v>0</v>
      </c>
      <c r="U1250" s="4">
        <v>0</v>
      </c>
      <c r="V1250" s="4">
        <v>12</v>
      </c>
      <c r="W1250" s="4">
        <v>12</v>
      </c>
      <c r="X1250" s="4">
        <v>0</v>
      </c>
      <c r="Y1250" s="4"/>
      <c r="Z1250" s="4">
        <v>314.35000000000002</v>
      </c>
      <c r="AA1250" s="4">
        <v>300</v>
      </c>
      <c r="AB1250" s="18"/>
      <c r="AC1250" s="18">
        <v>22</v>
      </c>
      <c r="AD1250" s="28"/>
      <c r="AE1250" s="26"/>
      <c r="AF1250" s="28"/>
    </row>
    <row r="1251" spans="1:32" ht="12.6" customHeight="1" x14ac:dyDescent="0.25">
      <c r="A1251" s="14">
        <v>45807</v>
      </c>
      <c r="B1251" s="14" t="s">
        <v>46</v>
      </c>
      <c r="C1251" s="15">
        <v>3</v>
      </c>
      <c r="D1251" s="16"/>
      <c r="E1251" s="16"/>
      <c r="F1251" s="17"/>
      <c r="G1251" s="21"/>
      <c r="H1251" s="21"/>
      <c r="I1251" s="4">
        <v>0</v>
      </c>
      <c r="J1251" s="4">
        <v>0</v>
      </c>
      <c r="K1251" s="4"/>
      <c r="L1251" s="16"/>
      <c r="M1251" s="4"/>
      <c r="N1251" s="4"/>
      <c r="O1251" s="4"/>
      <c r="P1251" s="4"/>
      <c r="Q1251" s="4"/>
      <c r="R1251" s="4"/>
      <c r="S1251" s="4">
        <v>0</v>
      </c>
      <c r="T1251" s="4">
        <v>0</v>
      </c>
      <c r="U1251" s="4">
        <v>0</v>
      </c>
      <c r="V1251" s="4">
        <v>12</v>
      </c>
      <c r="W1251" s="4">
        <v>12</v>
      </c>
      <c r="X1251" s="4">
        <v>0</v>
      </c>
      <c r="Y1251" s="4"/>
      <c r="Z1251" s="4">
        <v>281.26</v>
      </c>
      <c r="AA1251" s="4">
        <v>300</v>
      </c>
      <c r="AB1251" s="18"/>
      <c r="AC1251" s="18">
        <v>22</v>
      </c>
      <c r="AD1251" s="28"/>
      <c r="AE1251" s="26"/>
      <c r="AF1251" s="28"/>
    </row>
    <row r="1252" spans="1:32" ht="12.6" customHeight="1" x14ac:dyDescent="0.25">
      <c r="A1252" s="14">
        <v>45807</v>
      </c>
      <c r="B1252" s="14" t="s">
        <v>45</v>
      </c>
      <c r="C1252" s="15">
        <v>4</v>
      </c>
      <c r="D1252" s="16">
        <v>40</v>
      </c>
      <c r="E1252" s="16"/>
      <c r="F1252" s="17"/>
      <c r="G1252" s="21"/>
      <c r="H1252" s="21"/>
      <c r="I1252" s="4">
        <v>40</v>
      </c>
      <c r="J1252" s="4">
        <v>0.66666666666666663</v>
      </c>
      <c r="K1252" s="4"/>
      <c r="L1252" s="16"/>
      <c r="M1252" s="4"/>
      <c r="N1252" s="4"/>
      <c r="O1252" s="4"/>
      <c r="P1252" s="4"/>
      <c r="Q1252" s="4"/>
      <c r="R1252" s="4"/>
      <c r="S1252" s="4">
        <v>0</v>
      </c>
      <c r="T1252" s="4">
        <v>0</v>
      </c>
      <c r="U1252" s="4">
        <v>0.66666666666666663</v>
      </c>
      <c r="V1252" s="4">
        <v>11.333333333333334</v>
      </c>
      <c r="W1252" s="4">
        <v>12</v>
      </c>
      <c r="X1252" s="4">
        <v>0</v>
      </c>
      <c r="Y1252" s="4"/>
      <c r="Z1252" s="4">
        <v>623.67999999999995</v>
      </c>
      <c r="AA1252" s="4">
        <v>700</v>
      </c>
      <c r="AB1252" s="18"/>
      <c r="AC1252" s="18">
        <v>22</v>
      </c>
      <c r="AD1252" s="28"/>
      <c r="AE1252" s="26"/>
      <c r="AF1252" s="28"/>
    </row>
    <row r="1253" spans="1:32" ht="12.6" customHeight="1" x14ac:dyDescent="0.25">
      <c r="A1253" s="14">
        <v>45807</v>
      </c>
      <c r="B1253" s="14" t="s">
        <v>46</v>
      </c>
      <c r="C1253" s="15">
        <v>4</v>
      </c>
      <c r="D1253" s="16"/>
      <c r="E1253" s="16"/>
      <c r="F1253" s="17"/>
      <c r="G1253" s="21"/>
      <c r="H1253" s="21"/>
      <c r="I1253" s="4">
        <v>0</v>
      </c>
      <c r="J1253" s="4">
        <v>0</v>
      </c>
      <c r="K1253" s="4"/>
      <c r="L1253" s="16"/>
      <c r="M1253" s="4"/>
      <c r="N1253" s="4"/>
      <c r="O1253" s="4"/>
      <c r="P1253" s="4"/>
      <c r="Q1253" s="4"/>
      <c r="R1253" s="4"/>
      <c r="S1253" s="4">
        <v>0</v>
      </c>
      <c r="T1253" s="4">
        <v>0</v>
      </c>
      <c r="U1253" s="4">
        <v>0</v>
      </c>
      <c r="V1253" s="4">
        <v>12</v>
      </c>
      <c r="W1253" s="4">
        <v>12</v>
      </c>
      <c r="X1253" s="4">
        <v>0</v>
      </c>
      <c r="Y1253" s="4"/>
      <c r="Z1253" s="4">
        <v>654.74999999999989</v>
      </c>
      <c r="AA1253" s="4">
        <v>650</v>
      </c>
      <c r="AB1253" s="18"/>
      <c r="AC1253" s="18">
        <v>22</v>
      </c>
      <c r="AD1253" s="28"/>
      <c r="AE1253" s="26"/>
      <c r="AF1253" s="28"/>
    </row>
    <row r="1254" spans="1:32" ht="12.6" customHeight="1" x14ac:dyDescent="0.25">
      <c r="A1254" s="14">
        <v>45807</v>
      </c>
      <c r="B1254" s="14" t="s">
        <v>45</v>
      </c>
      <c r="C1254" s="15">
        <v>5</v>
      </c>
      <c r="D1254" s="16">
        <v>20</v>
      </c>
      <c r="E1254" s="16"/>
      <c r="F1254" s="17"/>
      <c r="G1254" s="21"/>
      <c r="H1254" s="21"/>
      <c r="I1254" s="4">
        <v>20</v>
      </c>
      <c r="J1254" s="4">
        <v>0.33333333333333331</v>
      </c>
      <c r="K1254" s="4"/>
      <c r="L1254" s="16"/>
      <c r="M1254" s="4"/>
      <c r="N1254" s="4"/>
      <c r="O1254" s="4"/>
      <c r="P1254" s="4"/>
      <c r="Q1254" s="4"/>
      <c r="R1254" s="4"/>
      <c r="S1254" s="4">
        <v>0</v>
      </c>
      <c r="T1254" s="4">
        <v>0</v>
      </c>
      <c r="U1254" s="4">
        <v>0.33333333333333331</v>
      </c>
      <c r="V1254" s="4">
        <v>11.666666666666666</v>
      </c>
      <c r="W1254" s="4">
        <v>12</v>
      </c>
      <c r="X1254" s="4">
        <v>0</v>
      </c>
      <c r="Y1254" s="4"/>
      <c r="Z1254" s="4">
        <v>393.38000000000005</v>
      </c>
      <c r="AA1254" s="4">
        <v>400</v>
      </c>
      <c r="AB1254" s="18"/>
      <c r="AC1254" s="18">
        <v>22</v>
      </c>
      <c r="AD1254" s="28"/>
      <c r="AE1254" s="26"/>
      <c r="AF1254" s="28"/>
    </row>
    <row r="1255" spans="1:32" ht="12.6" customHeight="1" x14ac:dyDescent="0.25">
      <c r="A1255" s="14">
        <v>45807</v>
      </c>
      <c r="B1255" s="14" t="s">
        <v>46</v>
      </c>
      <c r="C1255" s="15">
        <v>5</v>
      </c>
      <c r="D1255" s="16"/>
      <c r="E1255" s="16"/>
      <c r="F1255" s="17"/>
      <c r="G1255" s="21"/>
      <c r="H1255" s="21"/>
      <c r="I1255" s="4">
        <v>0</v>
      </c>
      <c r="J1255" s="4">
        <v>0</v>
      </c>
      <c r="K1255" s="4"/>
      <c r="L1255" s="16"/>
      <c r="M1255" s="4"/>
      <c r="N1255" s="4"/>
      <c r="O1255" s="4"/>
      <c r="P1255" s="4"/>
      <c r="Q1255" s="4"/>
      <c r="R1255" s="4"/>
      <c r="S1255" s="4">
        <v>0</v>
      </c>
      <c r="T1255" s="4">
        <v>0</v>
      </c>
      <c r="U1255" s="4">
        <v>0</v>
      </c>
      <c r="V1255" s="4">
        <v>12</v>
      </c>
      <c r="W1255" s="4">
        <v>12</v>
      </c>
      <c r="X1255" s="4">
        <v>0</v>
      </c>
      <c r="Y1255" s="4"/>
      <c r="Z1255" s="4">
        <v>386.72</v>
      </c>
      <c r="AA1255" s="4">
        <v>400</v>
      </c>
      <c r="AB1255" s="18"/>
      <c r="AC1255" s="18">
        <v>22</v>
      </c>
      <c r="AD1255" s="28"/>
      <c r="AE1255" s="26"/>
      <c r="AF1255" s="28"/>
    </row>
    <row r="1256" spans="1:32" ht="12.6" customHeight="1" x14ac:dyDescent="0.25">
      <c r="A1256" s="14">
        <v>45808</v>
      </c>
      <c r="B1256" s="14" t="s">
        <v>45</v>
      </c>
      <c r="C1256" s="15">
        <v>1</v>
      </c>
      <c r="D1256" s="16">
        <v>20</v>
      </c>
      <c r="E1256" s="16"/>
      <c r="F1256" s="17"/>
      <c r="G1256" s="21"/>
      <c r="H1256" s="21"/>
      <c r="I1256" s="4">
        <v>20</v>
      </c>
      <c r="J1256" s="4">
        <v>0.33333333333333331</v>
      </c>
      <c r="K1256" s="4"/>
      <c r="L1256" s="16"/>
      <c r="M1256" s="4"/>
      <c r="N1256" s="4"/>
      <c r="O1256" s="4"/>
      <c r="P1256" s="4"/>
      <c r="Q1256" s="4"/>
      <c r="R1256" s="4"/>
      <c r="S1256" s="4">
        <v>0</v>
      </c>
      <c r="T1256" s="4">
        <v>0</v>
      </c>
      <c r="U1256" s="4">
        <v>0.33333333333333331</v>
      </c>
      <c r="V1256" s="4">
        <v>11.666666666666666</v>
      </c>
      <c r="W1256" s="4">
        <v>12</v>
      </c>
      <c r="X1256" s="4">
        <v>16</v>
      </c>
      <c r="Y1256" s="4">
        <v>1619</v>
      </c>
      <c r="Z1256" s="4">
        <v>141.60999999999999</v>
      </c>
      <c r="AA1256" s="4">
        <v>150</v>
      </c>
      <c r="AB1256" s="18">
        <v>398</v>
      </c>
      <c r="AC1256" s="18">
        <v>22</v>
      </c>
      <c r="AD1256" s="28"/>
      <c r="AE1256" s="26"/>
      <c r="AF1256" s="28"/>
    </row>
    <row r="1257" spans="1:32" ht="12.6" customHeight="1" x14ac:dyDescent="0.25">
      <c r="A1257" s="14">
        <v>45808</v>
      </c>
      <c r="B1257" s="14" t="s">
        <v>46</v>
      </c>
      <c r="C1257" s="15">
        <v>1</v>
      </c>
      <c r="D1257" s="16"/>
      <c r="E1257" s="16"/>
      <c r="F1257" s="17"/>
      <c r="G1257" s="21"/>
      <c r="H1257" s="21"/>
      <c r="I1257" s="4">
        <v>0</v>
      </c>
      <c r="J1257" s="4">
        <v>0</v>
      </c>
      <c r="K1257" s="4"/>
      <c r="L1257" s="16"/>
      <c r="M1257" s="4"/>
      <c r="N1257" s="4"/>
      <c r="O1257" s="4"/>
      <c r="P1257" s="4"/>
      <c r="Q1257" s="4"/>
      <c r="R1257" s="4"/>
      <c r="S1257" s="4">
        <v>0</v>
      </c>
      <c r="T1257" s="4">
        <v>0</v>
      </c>
      <c r="U1257" s="4">
        <v>0</v>
      </c>
      <c r="V1257" s="4">
        <v>12</v>
      </c>
      <c r="W1257" s="4">
        <v>12</v>
      </c>
      <c r="X1257" s="4">
        <v>20</v>
      </c>
      <c r="Y1257" s="4"/>
      <c r="Z1257" s="4">
        <v>154.42000000000004</v>
      </c>
      <c r="AA1257" s="4">
        <v>150</v>
      </c>
      <c r="AB1257" s="18"/>
      <c r="AC1257" s="18">
        <v>22</v>
      </c>
      <c r="AD1257" s="28"/>
      <c r="AE1257" s="26"/>
      <c r="AF1257" s="28"/>
    </row>
    <row r="1258" spans="1:32" ht="12.6" customHeight="1" x14ac:dyDescent="0.25">
      <c r="A1258" s="14">
        <v>45808</v>
      </c>
      <c r="B1258" s="14" t="s">
        <v>45</v>
      </c>
      <c r="C1258" s="15">
        <v>2</v>
      </c>
      <c r="D1258" s="16"/>
      <c r="E1258" s="16"/>
      <c r="F1258" s="17"/>
      <c r="G1258" s="21"/>
      <c r="H1258" s="21"/>
      <c r="I1258" s="4">
        <v>0</v>
      </c>
      <c r="J1258" s="4">
        <v>0</v>
      </c>
      <c r="K1258" s="4"/>
      <c r="L1258" s="16"/>
      <c r="M1258" s="4"/>
      <c r="N1258" s="4"/>
      <c r="O1258" s="4"/>
      <c r="P1258" s="4"/>
      <c r="Q1258" s="4"/>
      <c r="R1258" s="4"/>
      <c r="S1258" s="4">
        <v>0</v>
      </c>
      <c r="T1258" s="4">
        <v>0</v>
      </c>
      <c r="U1258" s="4">
        <v>0</v>
      </c>
      <c r="V1258" s="4">
        <v>12</v>
      </c>
      <c r="W1258" s="4">
        <v>12</v>
      </c>
      <c r="X1258" s="4">
        <v>0</v>
      </c>
      <c r="Y1258" s="4"/>
      <c r="Z1258" s="4">
        <v>139.22999999999999</v>
      </c>
      <c r="AA1258" s="4">
        <v>150</v>
      </c>
      <c r="AB1258" s="18"/>
      <c r="AC1258" s="18">
        <v>22</v>
      </c>
      <c r="AD1258" s="28"/>
      <c r="AE1258" s="26"/>
      <c r="AF1258" s="28"/>
    </row>
    <row r="1259" spans="1:32" ht="12.6" customHeight="1" x14ac:dyDescent="0.25">
      <c r="A1259" s="14">
        <v>45808</v>
      </c>
      <c r="B1259" s="14" t="s">
        <v>46</v>
      </c>
      <c r="C1259" s="15">
        <v>2</v>
      </c>
      <c r="D1259" s="16"/>
      <c r="E1259" s="16"/>
      <c r="F1259" s="17"/>
      <c r="G1259" s="21"/>
      <c r="H1259" s="21"/>
      <c r="I1259" s="4">
        <v>0</v>
      </c>
      <c r="J1259" s="4">
        <v>0</v>
      </c>
      <c r="K1259" s="4"/>
      <c r="L1259" s="16"/>
      <c r="M1259" s="4"/>
      <c r="N1259" s="4"/>
      <c r="O1259" s="4"/>
      <c r="P1259" s="4"/>
      <c r="Q1259" s="4"/>
      <c r="R1259" s="4"/>
      <c r="S1259" s="4">
        <v>0</v>
      </c>
      <c r="T1259" s="4">
        <v>0</v>
      </c>
      <c r="U1259" s="4">
        <v>0</v>
      </c>
      <c r="V1259" s="4">
        <v>12</v>
      </c>
      <c r="W1259" s="4">
        <v>12</v>
      </c>
      <c r="X1259" s="4">
        <v>0</v>
      </c>
      <c r="Y1259" s="4"/>
      <c r="Z1259" s="4">
        <v>159.82999999999998</v>
      </c>
      <c r="AA1259" s="4">
        <v>150</v>
      </c>
      <c r="AB1259" s="18"/>
      <c r="AC1259" s="18">
        <v>22</v>
      </c>
      <c r="AD1259" s="28"/>
      <c r="AE1259" s="26"/>
      <c r="AF1259" s="28"/>
    </row>
    <row r="1260" spans="1:32" ht="12.6" customHeight="1" x14ac:dyDescent="0.25">
      <c r="A1260" s="14">
        <v>45808</v>
      </c>
      <c r="B1260" s="14" t="s">
        <v>45</v>
      </c>
      <c r="C1260" s="15">
        <v>3</v>
      </c>
      <c r="D1260" s="16"/>
      <c r="E1260" s="16"/>
      <c r="F1260" s="17"/>
      <c r="G1260" s="21"/>
      <c r="H1260" s="21"/>
      <c r="I1260" s="4">
        <v>0</v>
      </c>
      <c r="J1260" s="4">
        <v>0</v>
      </c>
      <c r="K1260" s="4"/>
      <c r="L1260" s="16"/>
      <c r="M1260" s="4"/>
      <c r="N1260" s="4"/>
      <c r="O1260" s="4"/>
      <c r="P1260" s="4"/>
      <c r="Q1260" s="4"/>
      <c r="R1260" s="4"/>
      <c r="S1260" s="4">
        <v>0</v>
      </c>
      <c r="T1260" s="4">
        <v>0</v>
      </c>
      <c r="U1260" s="4">
        <v>0</v>
      </c>
      <c r="V1260" s="4">
        <v>12</v>
      </c>
      <c r="W1260" s="4">
        <v>12</v>
      </c>
      <c r="X1260" s="4">
        <v>0</v>
      </c>
      <c r="Y1260" s="4"/>
      <c r="Z1260" s="4">
        <v>274.49</v>
      </c>
      <c r="AA1260" s="4">
        <v>300</v>
      </c>
      <c r="AB1260" s="18"/>
      <c r="AC1260" s="18">
        <v>22</v>
      </c>
      <c r="AD1260" s="28"/>
      <c r="AE1260" s="26"/>
      <c r="AF1260" s="28"/>
    </row>
    <row r="1261" spans="1:32" ht="12.6" customHeight="1" x14ac:dyDescent="0.25">
      <c r="A1261" s="14">
        <v>45808</v>
      </c>
      <c r="B1261" s="14" t="s">
        <v>46</v>
      </c>
      <c r="C1261" s="15">
        <v>3</v>
      </c>
      <c r="D1261" s="16"/>
      <c r="E1261" s="16"/>
      <c r="F1261" s="17"/>
      <c r="G1261" s="21"/>
      <c r="H1261" s="21"/>
      <c r="I1261" s="4">
        <v>0</v>
      </c>
      <c r="J1261" s="4">
        <v>0</v>
      </c>
      <c r="K1261" s="4"/>
      <c r="L1261" s="16"/>
      <c r="M1261" s="4"/>
      <c r="N1261" s="4"/>
      <c r="O1261" s="4"/>
      <c r="P1261" s="4"/>
      <c r="Q1261" s="4"/>
      <c r="R1261" s="4"/>
      <c r="S1261" s="4">
        <v>0</v>
      </c>
      <c r="T1261" s="4">
        <v>0</v>
      </c>
      <c r="U1261" s="4">
        <v>0</v>
      </c>
      <c r="V1261" s="4">
        <v>12</v>
      </c>
      <c r="W1261" s="4">
        <v>12</v>
      </c>
      <c r="X1261" s="4">
        <v>0</v>
      </c>
      <c r="Y1261" s="4"/>
      <c r="Z1261" s="4">
        <v>293.83000000000004</v>
      </c>
      <c r="AA1261" s="4">
        <v>300</v>
      </c>
      <c r="AB1261" s="18"/>
      <c r="AC1261" s="18">
        <v>22</v>
      </c>
      <c r="AD1261" s="28"/>
      <c r="AE1261" s="26"/>
      <c r="AF1261" s="28"/>
    </row>
    <row r="1262" spans="1:32" ht="12.6" customHeight="1" x14ac:dyDescent="0.25">
      <c r="A1262" s="14">
        <v>45808</v>
      </c>
      <c r="B1262" s="14" t="s">
        <v>45</v>
      </c>
      <c r="C1262" s="15">
        <v>4</v>
      </c>
      <c r="D1262" s="16">
        <v>20</v>
      </c>
      <c r="E1262" s="16"/>
      <c r="F1262" s="17"/>
      <c r="G1262" s="21"/>
      <c r="H1262" s="21"/>
      <c r="I1262" s="4">
        <v>20</v>
      </c>
      <c r="J1262" s="4">
        <v>0.33333333333333331</v>
      </c>
      <c r="K1262" s="4"/>
      <c r="L1262" s="16"/>
      <c r="M1262" s="4"/>
      <c r="N1262" s="4"/>
      <c r="O1262" s="4"/>
      <c r="P1262" s="4"/>
      <c r="Q1262" s="4"/>
      <c r="R1262" s="4"/>
      <c r="S1262" s="4">
        <v>0</v>
      </c>
      <c r="T1262" s="4">
        <v>0</v>
      </c>
      <c r="U1262" s="4">
        <v>0.33333333333333331</v>
      </c>
      <c r="V1262" s="4">
        <v>11.666666666666666</v>
      </c>
      <c r="W1262" s="4">
        <v>12</v>
      </c>
      <c r="X1262" s="4">
        <v>0</v>
      </c>
      <c r="Y1262" s="4"/>
      <c r="Z1262" s="4">
        <v>579.72</v>
      </c>
      <c r="AA1262" s="4">
        <v>600</v>
      </c>
      <c r="AB1262" s="18"/>
      <c r="AC1262" s="18">
        <v>22</v>
      </c>
      <c r="AD1262" s="28"/>
      <c r="AE1262" s="26"/>
      <c r="AF1262" s="28"/>
    </row>
    <row r="1263" spans="1:32" ht="12.6" customHeight="1" x14ac:dyDescent="0.25">
      <c r="A1263" s="14">
        <v>45808</v>
      </c>
      <c r="B1263" s="14" t="s">
        <v>46</v>
      </c>
      <c r="C1263" s="15">
        <v>4</v>
      </c>
      <c r="D1263" s="16"/>
      <c r="E1263" s="16"/>
      <c r="F1263" s="17"/>
      <c r="G1263" s="21"/>
      <c r="H1263" s="21"/>
      <c r="I1263" s="4">
        <v>0</v>
      </c>
      <c r="J1263" s="4">
        <v>0</v>
      </c>
      <c r="K1263" s="4"/>
      <c r="L1263" s="16"/>
      <c r="M1263" s="4"/>
      <c r="N1263" s="4"/>
      <c r="O1263" s="4"/>
      <c r="P1263" s="4"/>
      <c r="Q1263" s="4"/>
      <c r="R1263" s="4"/>
      <c r="S1263" s="4">
        <v>0</v>
      </c>
      <c r="T1263" s="4">
        <v>0</v>
      </c>
      <c r="U1263" s="4">
        <v>0</v>
      </c>
      <c r="V1263" s="4">
        <v>12</v>
      </c>
      <c r="W1263" s="4">
        <v>12</v>
      </c>
      <c r="X1263" s="4">
        <v>0</v>
      </c>
      <c r="Y1263" s="4"/>
      <c r="Z1263" s="4">
        <v>574.24</v>
      </c>
      <c r="AA1263" s="4">
        <v>600</v>
      </c>
      <c r="AB1263" s="18"/>
      <c r="AC1263" s="18">
        <v>22</v>
      </c>
      <c r="AD1263" s="28"/>
      <c r="AE1263" s="26"/>
      <c r="AF1263" s="28"/>
    </row>
    <row r="1264" spans="1:32" ht="12.6" customHeight="1" x14ac:dyDescent="0.25">
      <c r="A1264" s="14">
        <v>45808</v>
      </c>
      <c r="B1264" s="14" t="s">
        <v>45</v>
      </c>
      <c r="C1264" s="15">
        <v>5</v>
      </c>
      <c r="D1264" s="16">
        <v>20</v>
      </c>
      <c r="E1264" s="16"/>
      <c r="F1264" s="17"/>
      <c r="G1264" s="21"/>
      <c r="H1264" s="21"/>
      <c r="I1264" s="4">
        <v>20</v>
      </c>
      <c r="J1264" s="4">
        <v>0.33333333333333331</v>
      </c>
      <c r="K1264" s="4"/>
      <c r="L1264" s="16"/>
      <c r="M1264" s="4"/>
      <c r="N1264" s="4"/>
      <c r="O1264" s="4"/>
      <c r="P1264" s="4"/>
      <c r="Q1264" s="4"/>
      <c r="R1264" s="4"/>
      <c r="S1264" s="4">
        <v>0</v>
      </c>
      <c r="T1264" s="4">
        <v>0</v>
      </c>
      <c r="U1264" s="4">
        <v>0.33333333333333331</v>
      </c>
      <c r="V1264" s="4">
        <v>11.666666666666666</v>
      </c>
      <c r="W1264" s="4">
        <v>12</v>
      </c>
      <c r="X1264" s="4">
        <v>0</v>
      </c>
      <c r="Y1264" s="4"/>
      <c r="Z1264" s="4">
        <v>496.73</v>
      </c>
      <c r="AA1264" s="4">
        <v>500</v>
      </c>
      <c r="AB1264" s="18"/>
      <c r="AC1264" s="18">
        <v>22</v>
      </c>
      <c r="AD1264" s="28"/>
      <c r="AE1264" s="26"/>
      <c r="AF1264" s="28"/>
    </row>
    <row r="1265" spans="1:32" ht="12.6" customHeight="1" x14ac:dyDescent="0.25">
      <c r="A1265" s="14">
        <v>45808</v>
      </c>
      <c r="B1265" s="14" t="s">
        <v>46</v>
      </c>
      <c r="C1265" s="15">
        <v>5</v>
      </c>
      <c r="D1265" s="16"/>
      <c r="E1265" s="16"/>
      <c r="F1265" s="17"/>
      <c r="G1265" s="21"/>
      <c r="H1265" s="21"/>
      <c r="I1265" s="4">
        <v>0</v>
      </c>
      <c r="J1265" s="4">
        <v>0</v>
      </c>
      <c r="K1265" s="4"/>
      <c r="L1265" s="16"/>
      <c r="M1265" s="4"/>
      <c r="N1265" s="4"/>
      <c r="O1265" s="4"/>
      <c r="P1265" s="4"/>
      <c r="Q1265" s="4"/>
      <c r="R1265" s="4"/>
      <c r="S1265" s="4">
        <v>0</v>
      </c>
      <c r="T1265" s="4">
        <v>0</v>
      </c>
      <c r="U1265" s="4">
        <v>0</v>
      </c>
      <c r="V1265" s="4">
        <v>12</v>
      </c>
      <c r="W1265" s="4">
        <v>12</v>
      </c>
      <c r="X1265" s="4">
        <v>0</v>
      </c>
      <c r="Y1265" s="4"/>
      <c r="Z1265" s="4">
        <v>104.00999999999999</v>
      </c>
      <c r="AA1265" s="4">
        <v>100</v>
      </c>
      <c r="AB1265" s="18"/>
      <c r="AC1265" s="18">
        <v>22</v>
      </c>
      <c r="AD1265" s="28"/>
      <c r="AE1265" s="26"/>
      <c r="AF1265" s="28"/>
    </row>
    <row r="1266" spans="1:32" ht="12.6" customHeight="1" x14ac:dyDescent="0.25">
      <c r="A1266" s="14">
        <v>45809</v>
      </c>
      <c r="B1266" s="14" t="s">
        <v>45</v>
      </c>
      <c r="C1266" s="15">
        <v>1</v>
      </c>
      <c r="D1266" s="16"/>
      <c r="E1266" s="16"/>
      <c r="F1266" s="17"/>
      <c r="G1266" s="21"/>
      <c r="H1266" s="21"/>
      <c r="I1266" s="4">
        <v>0</v>
      </c>
      <c r="J1266" s="4">
        <v>0</v>
      </c>
      <c r="K1266" s="4"/>
      <c r="L1266" s="16"/>
      <c r="M1266" s="4"/>
      <c r="N1266" s="4"/>
      <c r="O1266" s="4"/>
      <c r="P1266" s="4"/>
      <c r="Q1266" s="4"/>
      <c r="R1266" s="4"/>
      <c r="S1266" s="4">
        <v>0</v>
      </c>
      <c r="T1266" s="4">
        <v>0</v>
      </c>
      <c r="U1266" s="4">
        <v>0</v>
      </c>
      <c r="V1266" s="4">
        <v>12</v>
      </c>
      <c r="W1266" s="4">
        <v>12</v>
      </c>
      <c r="X1266" s="4">
        <v>21</v>
      </c>
      <c r="Y1266" s="4">
        <v>1770</v>
      </c>
      <c r="Z1266" s="4">
        <v>153.5</v>
      </c>
      <c r="AA1266" s="4">
        <v>150</v>
      </c>
      <c r="AB1266" s="18">
        <v>398</v>
      </c>
      <c r="AC1266" s="18">
        <v>22</v>
      </c>
      <c r="AD1266" s="28"/>
      <c r="AE1266" s="26"/>
      <c r="AF1266" s="28"/>
    </row>
    <row r="1267" spans="1:32" ht="12.6" customHeight="1" x14ac:dyDescent="0.25">
      <c r="A1267" s="14">
        <v>45809</v>
      </c>
      <c r="B1267" s="14" t="s">
        <v>46</v>
      </c>
      <c r="C1267" s="15">
        <v>1</v>
      </c>
      <c r="D1267" s="16"/>
      <c r="E1267" s="16"/>
      <c r="F1267" s="17"/>
      <c r="G1267" s="21"/>
      <c r="H1267" s="21"/>
      <c r="I1267" s="4">
        <v>0</v>
      </c>
      <c r="J1267" s="4">
        <v>0</v>
      </c>
      <c r="K1267" s="4"/>
      <c r="L1267" s="16"/>
      <c r="M1267" s="4"/>
      <c r="N1267" s="4"/>
      <c r="O1267" s="4"/>
      <c r="P1267" s="4"/>
      <c r="Q1267" s="4"/>
      <c r="R1267" s="4"/>
      <c r="S1267" s="4">
        <v>0</v>
      </c>
      <c r="T1267" s="4">
        <v>0</v>
      </c>
      <c r="U1267" s="4">
        <v>0</v>
      </c>
      <c r="V1267" s="4">
        <v>12</v>
      </c>
      <c r="W1267" s="4">
        <v>12</v>
      </c>
      <c r="X1267" s="4">
        <v>21</v>
      </c>
      <c r="Y1267" s="4"/>
      <c r="Z1267" s="4">
        <v>160.47</v>
      </c>
      <c r="AA1267" s="4">
        <v>150</v>
      </c>
      <c r="AB1267" s="18"/>
      <c r="AC1267" s="18">
        <v>22</v>
      </c>
      <c r="AD1267" s="28"/>
      <c r="AE1267" s="26"/>
      <c r="AF1267" s="28"/>
    </row>
    <row r="1268" spans="1:32" ht="12.6" customHeight="1" x14ac:dyDescent="0.25">
      <c r="A1268" s="14">
        <v>45809</v>
      </c>
      <c r="B1268" s="14" t="s">
        <v>45</v>
      </c>
      <c r="C1268" s="15">
        <v>2</v>
      </c>
      <c r="D1268" s="16"/>
      <c r="E1268" s="16"/>
      <c r="F1268" s="17"/>
      <c r="G1268" s="21"/>
      <c r="H1268" s="21"/>
      <c r="I1268" s="4">
        <v>0</v>
      </c>
      <c r="J1268" s="4">
        <v>0</v>
      </c>
      <c r="K1268" s="4"/>
      <c r="L1268" s="16"/>
      <c r="M1268" s="4"/>
      <c r="N1268" s="4"/>
      <c r="O1268" s="4"/>
      <c r="P1268" s="4"/>
      <c r="Q1268" s="4"/>
      <c r="R1268" s="4"/>
      <c r="S1268" s="4">
        <v>0</v>
      </c>
      <c r="T1268" s="4">
        <v>0</v>
      </c>
      <c r="U1268" s="4">
        <v>0</v>
      </c>
      <c r="V1268" s="4">
        <v>12</v>
      </c>
      <c r="W1268" s="4">
        <v>12</v>
      </c>
      <c r="X1268" s="4">
        <v>0</v>
      </c>
      <c r="Y1268" s="4"/>
      <c r="Z1268" s="4">
        <v>171.10000000000002</v>
      </c>
      <c r="AA1268" s="4">
        <v>200</v>
      </c>
      <c r="AB1268" s="18"/>
      <c r="AC1268" s="18">
        <v>22</v>
      </c>
      <c r="AD1268" s="28"/>
      <c r="AE1268" s="26"/>
      <c r="AF1268" s="28"/>
    </row>
    <row r="1269" spans="1:32" ht="12.6" customHeight="1" x14ac:dyDescent="0.25">
      <c r="A1269" s="14">
        <v>45809</v>
      </c>
      <c r="B1269" s="14" t="s">
        <v>46</v>
      </c>
      <c r="C1269" s="15">
        <v>2</v>
      </c>
      <c r="D1269" s="16"/>
      <c r="E1269" s="16"/>
      <c r="F1269" s="17"/>
      <c r="G1269" s="21"/>
      <c r="H1269" s="21"/>
      <c r="I1269" s="4">
        <v>0</v>
      </c>
      <c r="J1269" s="4">
        <v>0</v>
      </c>
      <c r="K1269" s="4"/>
      <c r="L1269" s="16"/>
      <c r="M1269" s="4"/>
      <c r="N1269" s="4"/>
      <c r="O1269" s="4"/>
      <c r="P1269" s="4"/>
      <c r="Q1269" s="4"/>
      <c r="R1269" s="4"/>
      <c r="S1269" s="4">
        <v>0</v>
      </c>
      <c r="T1269" s="4">
        <v>0</v>
      </c>
      <c r="U1269" s="4">
        <v>0</v>
      </c>
      <c r="V1269" s="4">
        <v>12</v>
      </c>
      <c r="W1269" s="4">
        <v>12</v>
      </c>
      <c r="X1269" s="4">
        <v>0</v>
      </c>
      <c r="Y1269" s="4"/>
      <c r="Z1269" s="4">
        <v>181.62</v>
      </c>
      <c r="AA1269" s="4">
        <v>200</v>
      </c>
      <c r="AB1269" s="18"/>
      <c r="AC1269" s="18">
        <v>22</v>
      </c>
      <c r="AD1269" s="28"/>
      <c r="AE1269" s="26"/>
      <c r="AF1269" s="28"/>
    </row>
    <row r="1270" spans="1:32" ht="12.6" customHeight="1" x14ac:dyDescent="0.25">
      <c r="A1270" s="14">
        <v>45809</v>
      </c>
      <c r="B1270" s="14" t="s">
        <v>45</v>
      </c>
      <c r="C1270" s="15">
        <v>3</v>
      </c>
      <c r="D1270" s="16"/>
      <c r="E1270" s="16"/>
      <c r="F1270" s="17"/>
      <c r="G1270" s="21"/>
      <c r="H1270" s="21"/>
      <c r="I1270" s="4">
        <v>0</v>
      </c>
      <c r="J1270" s="4">
        <v>0</v>
      </c>
      <c r="K1270" s="4"/>
      <c r="L1270" s="16"/>
      <c r="M1270" s="4"/>
      <c r="N1270" s="4"/>
      <c r="O1270" s="4"/>
      <c r="P1270" s="4"/>
      <c r="Q1270" s="4"/>
      <c r="R1270" s="4"/>
      <c r="S1270" s="4">
        <v>0</v>
      </c>
      <c r="T1270" s="4">
        <v>0</v>
      </c>
      <c r="U1270" s="4">
        <v>0</v>
      </c>
      <c r="V1270" s="4">
        <v>12</v>
      </c>
      <c r="W1270" s="4">
        <v>12</v>
      </c>
      <c r="X1270" s="4">
        <v>0</v>
      </c>
      <c r="Y1270" s="4"/>
      <c r="Z1270" s="4">
        <v>249.53000000000003</v>
      </c>
      <c r="AA1270" s="4">
        <v>250</v>
      </c>
      <c r="AB1270" s="18"/>
      <c r="AC1270" s="18">
        <v>22</v>
      </c>
      <c r="AD1270" s="28"/>
      <c r="AE1270" s="26"/>
      <c r="AF1270" s="28"/>
    </row>
    <row r="1271" spans="1:32" ht="12.6" customHeight="1" x14ac:dyDescent="0.25">
      <c r="A1271" s="14">
        <v>45809</v>
      </c>
      <c r="B1271" s="14" t="s">
        <v>46</v>
      </c>
      <c r="C1271" s="15">
        <v>3</v>
      </c>
      <c r="D1271" s="16"/>
      <c r="E1271" s="16"/>
      <c r="F1271" s="17"/>
      <c r="G1271" s="21"/>
      <c r="H1271" s="21"/>
      <c r="I1271" s="4">
        <v>0</v>
      </c>
      <c r="J1271" s="4">
        <v>0</v>
      </c>
      <c r="K1271" s="4"/>
      <c r="L1271" s="16"/>
      <c r="M1271" s="4"/>
      <c r="N1271" s="4"/>
      <c r="O1271" s="4"/>
      <c r="P1271" s="4"/>
      <c r="Q1271" s="4"/>
      <c r="R1271" s="4"/>
      <c r="S1271" s="4">
        <v>0</v>
      </c>
      <c r="T1271" s="4">
        <v>0</v>
      </c>
      <c r="U1271" s="4">
        <v>0</v>
      </c>
      <c r="V1271" s="4">
        <v>12</v>
      </c>
      <c r="W1271" s="4">
        <v>12</v>
      </c>
      <c r="X1271" s="4">
        <v>0</v>
      </c>
      <c r="Y1271" s="4"/>
      <c r="Z1271" s="4">
        <v>244.18999999999994</v>
      </c>
      <c r="AA1271" s="4">
        <v>250</v>
      </c>
      <c r="AB1271" s="18"/>
      <c r="AC1271" s="18">
        <v>22</v>
      </c>
      <c r="AD1271" s="28"/>
      <c r="AE1271" s="26"/>
      <c r="AF1271" s="28"/>
    </row>
    <row r="1272" spans="1:32" ht="12.6" customHeight="1" x14ac:dyDescent="0.25">
      <c r="A1272" s="14">
        <v>45809</v>
      </c>
      <c r="B1272" s="14" t="s">
        <v>45</v>
      </c>
      <c r="C1272" s="15">
        <v>4</v>
      </c>
      <c r="D1272" s="16">
        <v>20</v>
      </c>
      <c r="E1272" s="16"/>
      <c r="F1272" s="17"/>
      <c r="G1272" s="21"/>
      <c r="H1272" s="21"/>
      <c r="I1272" s="4">
        <v>20</v>
      </c>
      <c r="J1272" s="4">
        <v>0.33333333333333331</v>
      </c>
      <c r="K1272" s="4"/>
      <c r="L1272" s="16"/>
      <c r="M1272" s="4"/>
      <c r="N1272" s="4"/>
      <c r="O1272" s="4"/>
      <c r="P1272" s="4"/>
      <c r="Q1272" s="4"/>
      <c r="R1272" s="4"/>
      <c r="S1272" s="4">
        <v>0</v>
      </c>
      <c r="T1272" s="4">
        <v>0</v>
      </c>
      <c r="U1272" s="4">
        <v>0.33333333333333331</v>
      </c>
      <c r="V1272" s="4">
        <v>11.666666666666666</v>
      </c>
      <c r="W1272" s="4">
        <v>12</v>
      </c>
      <c r="X1272" s="4">
        <v>0</v>
      </c>
      <c r="Y1272" s="4"/>
      <c r="Z1272" s="4">
        <v>610.62</v>
      </c>
      <c r="AA1272" s="4">
        <v>600</v>
      </c>
      <c r="AB1272" s="18"/>
      <c r="AC1272" s="18">
        <v>22</v>
      </c>
      <c r="AD1272" s="28"/>
      <c r="AE1272" s="26"/>
      <c r="AF1272" s="28"/>
    </row>
    <row r="1273" spans="1:32" ht="12.6" customHeight="1" x14ac:dyDescent="0.25">
      <c r="A1273" s="14">
        <v>45809</v>
      </c>
      <c r="B1273" s="14" t="s">
        <v>46</v>
      </c>
      <c r="C1273" s="15">
        <v>4</v>
      </c>
      <c r="D1273" s="16"/>
      <c r="E1273" s="16"/>
      <c r="F1273" s="17"/>
      <c r="G1273" s="21"/>
      <c r="H1273" s="21"/>
      <c r="I1273" s="4">
        <v>0</v>
      </c>
      <c r="J1273" s="4">
        <v>0</v>
      </c>
      <c r="K1273" s="4"/>
      <c r="L1273" s="16"/>
      <c r="M1273" s="4"/>
      <c r="N1273" s="4"/>
      <c r="O1273" s="4"/>
      <c r="P1273" s="4"/>
      <c r="Q1273" s="4"/>
      <c r="R1273" s="4"/>
      <c r="S1273" s="4">
        <v>0</v>
      </c>
      <c r="T1273" s="4">
        <v>0</v>
      </c>
      <c r="U1273" s="4">
        <v>0</v>
      </c>
      <c r="V1273" s="4">
        <v>12</v>
      </c>
      <c r="W1273" s="4">
        <v>12</v>
      </c>
      <c r="X1273" s="4">
        <v>0</v>
      </c>
      <c r="Y1273" s="4"/>
      <c r="Z1273" s="4">
        <v>605.5</v>
      </c>
      <c r="AA1273" s="4">
        <v>600</v>
      </c>
      <c r="AB1273" s="18"/>
      <c r="AC1273" s="18">
        <v>22</v>
      </c>
      <c r="AD1273" s="28"/>
      <c r="AE1273" s="26"/>
      <c r="AF1273" s="28"/>
    </row>
    <row r="1274" spans="1:32" ht="12.6" customHeight="1" x14ac:dyDescent="0.25">
      <c r="A1274" s="14">
        <v>45809</v>
      </c>
      <c r="B1274" s="14" t="s">
        <v>45</v>
      </c>
      <c r="C1274" s="15">
        <v>5</v>
      </c>
      <c r="D1274" s="16">
        <v>20</v>
      </c>
      <c r="E1274" s="16"/>
      <c r="F1274" s="17"/>
      <c r="G1274" s="21"/>
      <c r="H1274" s="21"/>
      <c r="I1274" s="4">
        <v>20</v>
      </c>
      <c r="J1274" s="4">
        <v>0.33333333333333331</v>
      </c>
      <c r="K1274" s="4"/>
      <c r="L1274" s="16"/>
      <c r="M1274" s="4"/>
      <c r="N1274" s="4"/>
      <c r="O1274" s="4"/>
      <c r="P1274" s="4"/>
      <c r="Q1274" s="4"/>
      <c r="R1274" s="4"/>
      <c r="S1274" s="4">
        <v>0</v>
      </c>
      <c r="T1274" s="4">
        <v>0</v>
      </c>
      <c r="U1274" s="4">
        <v>0.33333333333333331</v>
      </c>
      <c r="V1274" s="4">
        <v>11.666666666666666</v>
      </c>
      <c r="W1274" s="4">
        <v>12</v>
      </c>
      <c r="X1274" s="4">
        <v>0</v>
      </c>
      <c r="Y1274" s="4"/>
      <c r="Z1274" s="4">
        <v>487.07999999999993</v>
      </c>
      <c r="AA1274" s="4">
        <v>500</v>
      </c>
      <c r="AB1274" s="18"/>
      <c r="AC1274" s="18">
        <v>22</v>
      </c>
      <c r="AD1274" s="28"/>
      <c r="AE1274" s="26"/>
      <c r="AF1274" s="28"/>
    </row>
    <row r="1275" spans="1:32" ht="12.6" customHeight="1" x14ac:dyDescent="0.25">
      <c r="A1275" s="14">
        <v>45809</v>
      </c>
      <c r="B1275" s="14" t="s">
        <v>46</v>
      </c>
      <c r="C1275" s="15">
        <v>5</v>
      </c>
      <c r="D1275" s="16"/>
      <c r="E1275" s="16"/>
      <c r="F1275" s="17"/>
      <c r="G1275" s="21"/>
      <c r="H1275" s="21"/>
      <c r="I1275" s="4">
        <v>0</v>
      </c>
      <c r="J1275" s="4">
        <v>0</v>
      </c>
      <c r="K1275" s="4"/>
      <c r="L1275" s="16"/>
      <c r="M1275" s="4"/>
      <c r="N1275" s="4"/>
      <c r="O1275" s="4"/>
      <c r="P1275" s="4"/>
      <c r="Q1275" s="4"/>
      <c r="R1275" s="4"/>
      <c r="S1275" s="4">
        <v>0</v>
      </c>
      <c r="T1275" s="4">
        <v>0</v>
      </c>
      <c r="U1275" s="4">
        <v>0</v>
      </c>
      <c r="V1275" s="4">
        <v>12</v>
      </c>
      <c r="W1275" s="4">
        <v>12</v>
      </c>
      <c r="X1275" s="4">
        <v>0</v>
      </c>
      <c r="Y1275" s="4"/>
      <c r="Z1275" s="4">
        <v>485.37</v>
      </c>
      <c r="AA1275" s="4">
        <v>500</v>
      </c>
      <c r="AB1275" s="18"/>
      <c r="AC1275" s="18">
        <v>22</v>
      </c>
      <c r="AD1275" s="28"/>
      <c r="AE1275" s="26"/>
      <c r="AF1275" s="28"/>
    </row>
    <row r="1276" spans="1:32" ht="12.6" customHeight="1" x14ac:dyDescent="0.25">
      <c r="A1276" s="14">
        <v>45810</v>
      </c>
      <c r="B1276" s="14" t="s">
        <v>45</v>
      </c>
      <c r="C1276" s="15">
        <v>1</v>
      </c>
      <c r="D1276" s="16">
        <v>20</v>
      </c>
      <c r="E1276" s="16"/>
      <c r="F1276" s="17"/>
      <c r="G1276" s="21"/>
      <c r="H1276" s="21"/>
      <c r="I1276" s="4">
        <v>20</v>
      </c>
      <c r="J1276" s="4">
        <v>0.33333333333333331</v>
      </c>
      <c r="K1276" s="4"/>
      <c r="L1276" s="16"/>
      <c r="M1276" s="4"/>
      <c r="N1276" s="4"/>
      <c r="O1276" s="4"/>
      <c r="P1276" s="4"/>
      <c r="Q1276" s="4"/>
      <c r="R1276" s="4"/>
      <c r="S1276" s="4">
        <v>0</v>
      </c>
      <c r="T1276" s="4">
        <v>0</v>
      </c>
      <c r="U1276" s="4">
        <v>0.33333333333333331</v>
      </c>
      <c r="V1276" s="4">
        <v>11.666666666666666</v>
      </c>
      <c r="W1276" s="4">
        <v>12</v>
      </c>
      <c r="X1276" s="4">
        <v>30</v>
      </c>
      <c r="Y1276" s="4">
        <v>1651</v>
      </c>
      <c r="Z1276" s="4">
        <v>127.63</v>
      </c>
      <c r="AA1276" s="4">
        <v>150</v>
      </c>
      <c r="AB1276" s="18">
        <v>398</v>
      </c>
      <c r="AC1276" s="18">
        <v>24</v>
      </c>
      <c r="AD1276" s="28"/>
      <c r="AE1276" s="26"/>
      <c r="AF1276" s="28"/>
    </row>
    <row r="1277" spans="1:32" ht="12.6" customHeight="1" x14ac:dyDescent="0.25">
      <c r="A1277" s="14">
        <v>45810</v>
      </c>
      <c r="B1277" s="14" t="s">
        <v>46</v>
      </c>
      <c r="C1277" s="15">
        <v>1</v>
      </c>
      <c r="D1277" s="16"/>
      <c r="E1277" s="16"/>
      <c r="F1277" s="17"/>
      <c r="G1277" s="21"/>
      <c r="H1277" s="21"/>
      <c r="I1277" s="4">
        <v>0</v>
      </c>
      <c r="J1277" s="4">
        <v>0</v>
      </c>
      <c r="K1277" s="4"/>
      <c r="L1277" s="16"/>
      <c r="M1277" s="4"/>
      <c r="N1277" s="4"/>
      <c r="O1277" s="4"/>
      <c r="P1277" s="4"/>
      <c r="Q1277" s="4"/>
      <c r="R1277" s="4"/>
      <c r="S1277" s="4">
        <v>0</v>
      </c>
      <c r="T1277" s="4">
        <v>0</v>
      </c>
      <c r="U1277" s="4">
        <v>0</v>
      </c>
      <c r="V1277" s="4">
        <v>12</v>
      </c>
      <c r="W1277" s="4">
        <v>12</v>
      </c>
      <c r="X1277" s="4">
        <v>25</v>
      </c>
      <c r="Y1277" s="4"/>
      <c r="Z1277" s="4">
        <v>100.56</v>
      </c>
      <c r="AA1277" s="4">
        <v>100</v>
      </c>
      <c r="AB1277" s="18"/>
      <c r="AC1277" s="18">
        <v>24</v>
      </c>
      <c r="AD1277" s="28"/>
      <c r="AE1277" s="26"/>
      <c r="AF1277" s="28"/>
    </row>
    <row r="1278" spans="1:32" ht="12.6" customHeight="1" x14ac:dyDescent="0.25">
      <c r="A1278" s="14">
        <v>45810</v>
      </c>
      <c r="B1278" s="14" t="s">
        <v>45</v>
      </c>
      <c r="C1278" s="15">
        <v>2</v>
      </c>
      <c r="D1278" s="16"/>
      <c r="E1278" s="16"/>
      <c r="F1278" s="17"/>
      <c r="G1278" s="21"/>
      <c r="H1278" s="21"/>
      <c r="I1278" s="4">
        <v>0</v>
      </c>
      <c r="J1278" s="4">
        <v>0</v>
      </c>
      <c r="K1278" s="4"/>
      <c r="L1278" s="16"/>
      <c r="M1278" s="4"/>
      <c r="N1278" s="4"/>
      <c r="O1278" s="4"/>
      <c r="P1278" s="4"/>
      <c r="Q1278" s="4">
        <v>240</v>
      </c>
      <c r="R1278" s="4"/>
      <c r="S1278" s="4">
        <v>240</v>
      </c>
      <c r="T1278" s="4">
        <v>4</v>
      </c>
      <c r="U1278" s="4">
        <v>4</v>
      </c>
      <c r="V1278" s="4">
        <v>8</v>
      </c>
      <c r="W1278" s="4">
        <v>12</v>
      </c>
      <c r="X1278" s="4">
        <v>0</v>
      </c>
      <c r="Y1278" s="4"/>
      <c r="Z1278" s="4">
        <v>112.02</v>
      </c>
      <c r="AA1278" s="4">
        <v>100</v>
      </c>
      <c r="AB1278" s="18"/>
      <c r="AC1278" s="18">
        <v>24</v>
      </c>
      <c r="AD1278" s="28"/>
      <c r="AE1278" s="26"/>
      <c r="AF1278" s="28"/>
    </row>
    <row r="1279" spans="1:32" ht="12.6" customHeight="1" x14ac:dyDescent="0.25">
      <c r="A1279" s="14">
        <v>45810</v>
      </c>
      <c r="B1279" s="14" t="s">
        <v>46</v>
      </c>
      <c r="C1279" s="15">
        <v>2</v>
      </c>
      <c r="D1279" s="16"/>
      <c r="E1279" s="16"/>
      <c r="F1279" s="17"/>
      <c r="G1279" s="21"/>
      <c r="H1279" s="21"/>
      <c r="I1279" s="4">
        <v>0</v>
      </c>
      <c r="J1279" s="4">
        <v>0</v>
      </c>
      <c r="K1279" s="4"/>
      <c r="L1279" s="16"/>
      <c r="M1279" s="4"/>
      <c r="N1279" s="4"/>
      <c r="O1279" s="4"/>
      <c r="P1279" s="4"/>
      <c r="Q1279" s="4">
        <v>540</v>
      </c>
      <c r="R1279" s="4"/>
      <c r="S1279" s="4">
        <v>540</v>
      </c>
      <c r="T1279" s="4">
        <v>9</v>
      </c>
      <c r="U1279" s="4">
        <v>9</v>
      </c>
      <c r="V1279" s="4">
        <v>3</v>
      </c>
      <c r="W1279" s="4">
        <v>12</v>
      </c>
      <c r="X1279" s="4">
        <v>0</v>
      </c>
      <c r="Y1279" s="4"/>
      <c r="Z1279" s="4">
        <v>64.739999999999995</v>
      </c>
      <c r="AA1279" s="4">
        <v>50</v>
      </c>
      <c r="AB1279" s="18"/>
      <c r="AC1279" s="18">
        <v>24</v>
      </c>
      <c r="AD1279" s="28"/>
      <c r="AE1279" s="26"/>
      <c r="AF1279" s="28"/>
    </row>
    <row r="1280" spans="1:32" ht="12.6" customHeight="1" x14ac:dyDescent="0.25">
      <c r="A1280" s="14">
        <v>45810</v>
      </c>
      <c r="B1280" s="14" t="s">
        <v>45</v>
      </c>
      <c r="C1280" s="15">
        <v>3</v>
      </c>
      <c r="D1280" s="16">
        <v>30</v>
      </c>
      <c r="E1280" s="16"/>
      <c r="F1280" s="17"/>
      <c r="G1280" s="21"/>
      <c r="H1280" s="21"/>
      <c r="I1280" s="4">
        <v>30</v>
      </c>
      <c r="J1280" s="4">
        <v>0.5</v>
      </c>
      <c r="K1280" s="4"/>
      <c r="L1280" s="16"/>
      <c r="M1280" s="4"/>
      <c r="N1280" s="4"/>
      <c r="O1280" s="4"/>
      <c r="P1280" s="4"/>
      <c r="Q1280" s="4"/>
      <c r="R1280" s="4"/>
      <c r="S1280" s="4">
        <v>0</v>
      </c>
      <c r="T1280" s="4">
        <v>0</v>
      </c>
      <c r="U1280" s="4">
        <v>0.5</v>
      </c>
      <c r="V1280" s="4">
        <v>11.5</v>
      </c>
      <c r="W1280" s="4">
        <v>12</v>
      </c>
      <c r="X1280" s="4">
        <v>0</v>
      </c>
      <c r="Y1280" s="4"/>
      <c r="Z1280" s="4">
        <v>298.17999999999995</v>
      </c>
      <c r="AA1280" s="4">
        <v>350</v>
      </c>
      <c r="AB1280" s="18"/>
      <c r="AC1280" s="18">
        <v>24</v>
      </c>
      <c r="AD1280" s="28"/>
      <c r="AE1280" s="26"/>
      <c r="AF1280" s="28"/>
    </row>
    <row r="1281" spans="1:32" ht="12.6" customHeight="1" x14ac:dyDescent="0.25">
      <c r="A1281" s="14">
        <v>45810</v>
      </c>
      <c r="B1281" s="14" t="s">
        <v>46</v>
      </c>
      <c r="C1281" s="15">
        <v>3</v>
      </c>
      <c r="D1281" s="16">
        <v>20</v>
      </c>
      <c r="E1281" s="16"/>
      <c r="F1281" s="17"/>
      <c r="G1281" s="21"/>
      <c r="H1281" s="21"/>
      <c r="I1281" s="4">
        <v>20</v>
      </c>
      <c r="J1281" s="4">
        <v>0.33333333333333331</v>
      </c>
      <c r="K1281" s="4"/>
      <c r="L1281" s="16"/>
      <c r="M1281" s="4"/>
      <c r="N1281" s="4"/>
      <c r="O1281" s="4"/>
      <c r="P1281" s="4"/>
      <c r="Q1281" s="4"/>
      <c r="R1281" s="4"/>
      <c r="S1281" s="4">
        <v>0</v>
      </c>
      <c r="T1281" s="4">
        <v>0</v>
      </c>
      <c r="U1281" s="4">
        <v>0.33333333333333331</v>
      </c>
      <c r="V1281" s="4">
        <v>11.666666666666666</v>
      </c>
      <c r="W1281" s="4">
        <v>12</v>
      </c>
      <c r="X1281" s="4">
        <v>0</v>
      </c>
      <c r="Y1281" s="4"/>
      <c r="Z1281" s="4">
        <v>322.06</v>
      </c>
      <c r="AA1281" s="4">
        <v>350</v>
      </c>
      <c r="AB1281" s="18"/>
      <c r="AC1281" s="18">
        <v>24</v>
      </c>
      <c r="AD1281" s="28"/>
      <c r="AE1281" s="26"/>
      <c r="AF1281" s="28"/>
    </row>
    <row r="1282" spans="1:32" ht="12.6" customHeight="1" x14ac:dyDescent="0.25">
      <c r="A1282" s="14">
        <v>45810</v>
      </c>
      <c r="B1282" s="14" t="s">
        <v>45</v>
      </c>
      <c r="C1282" s="15">
        <v>4</v>
      </c>
      <c r="D1282" s="16">
        <v>20</v>
      </c>
      <c r="E1282" s="16"/>
      <c r="F1282" s="17"/>
      <c r="G1282" s="21"/>
      <c r="H1282" s="21"/>
      <c r="I1282" s="4">
        <v>20</v>
      </c>
      <c r="J1282" s="4">
        <v>0.33333333333333331</v>
      </c>
      <c r="K1282" s="4"/>
      <c r="L1282" s="16"/>
      <c r="M1282" s="4"/>
      <c r="N1282" s="4"/>
      <c r="O1282" s="4"/>
      <c r="P1282" s="4"/>
      <c r="Q1282" s="4"/>
      <c r="R1282" s="4"/>
      <c r="S1282" s="4">
        <v>0</v>
      </c>
      <c r="T1282" s="4">
        <v>0</v>
      </c>
      <c r="U1282" s="4">
        <v>0.33333333333333331</v>
      </c>
      <c r="V1282" s="4">
        <v>11.666666666666666</v>
      </c>
      <c r="W1282" s="4">
        <v>12</v>
      </c>
      <c r="X1282" s="4">
        <v>0</v>
      </c>
      <c r="Y1282" s="4"/>
      <c r="Z1282" s="4">
        <v>593.72</v>
      </c>
      <c r="AA1282" s="4">
        <v>600</v>
      </c>
      <c r="AB1282" s="18"/>
      <c r="AC1282" s="18">
        <v>24</v>
      </c>
      <c r="AD1282" s="28"/>
      <c r="AE1282" s="26"/>
      <c r="AF1282" s="28"/>
    </row>
    <row r="1283" spans="1:32" ht="12.6" customHeight="1" x14ac:dyDescent="0.25">
      <c r="A1283" s="14">
        <v>45810</v>
      </c>
      <c r="B1283" s="14" t="s">
        <v>46</v>
      </c>
      <c r="C1283" s="15">
        <v>4</v>
      </c>
      <c r="D1283" s="16">
        <v>20</v>
      </c>
      <c r="E1283" s="16"/>
      <c r="F1283" s="17"/>
      <c r="G1283" s="21"/>
      <c r="H1283" s="21"/>
      <c r="I1283" s="4">
        <v>20</v>
      </c>
      <c r="J1283" s="4">
        <v>0.33333333333333331</v>
      </c>
      <c r="K1283" s="4"/>
      <c r="L1283" s="16"/>
      <c r="M1283" s="4"/>
      <c r="N1283" s="4"/>
      <c r="O1283" s="4"/>
      <c r="P1283" s="4"/>
      <c r="Q1283" s="4"/>
      <c r="R1283" s="4"/>
      <c r="S1283" s="4">
        <v>0</v>
      </c>
      <c r="T1283" s="4">
        <v>0</v>
      </c>
      <c r="U1283" s="4">
        <v>0.33333333333333331</v>
      </c>
      <c r="V1283" s="4">
        <v>11.666666666666666</v>
      </c>
      <c r="W1283" s="4">
        <v>12</v>
      </c>
      <c r="X1283" s="4">
        <v>0</v>
      </c>
      <c r="Y1283" s="4"/>
      <c r="Z1283" s="4">
        <v>525.80000000000007</v>
      </c>
      <c r="AA1283" s="4">
        <v>550</v>
      </c>
      <c r="AB1283" s="18"/>
      <c r="AC1283" s="18">
        <v>24</v>
      </c>
      <c r="AD1283" s="28"/>
      <c r="AE1283" s="26"/>
      <c r="AF1283" s="28"/>
    </row>
    <row r="1284" spans="1:32" ht="12.6" customHeight="1" x14ac:dyDescent="0.25">
      <c r="A1284" s="14">
        <v>45810</v>
      </c>
      <c r="B1284" s="14" t="s">
        <v>45</v>
      </c>
      <c r="C1284" s="15">
        <v>5</v>
      </c>
      <c r="D1284" s="16"/>
      <c r="E1284" s="16"/>
      <c r="F1284" s="17"/>
      <c r="G1284" s="21"/>
      <c r="H1284" s="21"/>
      <c r="I1284" s="4">
        <v>0</v>
      </c>
      <c r="J1284" s="4">
        <v>0</v>
      </c>
      <c r="K1284" s="4"/>
      <c r="L1284" s="16"/>
      <c r="M1284" s="4"/>
      <c r="N1284" s="4"/>
      <c r="O1284" s="4"/>
      <c r="P1284" s="4"/>
      <c r="Q1284" s="4">
        <v>60</v>
      </c>
      <c r="R1284" s="4"/>
      <c r="S1284" s="4">
        <v>60</v>
      </c>
      <c r="T1284" s="4">
        <v>1</v>
      </c>
      <c r="U1284" s="4">
        <v>1</v>
      </c>
      <c r="V1284" s="4">
        <v>11</v>
      </c>
      <c r="W1284" s="4">
        <v>12</v>
      </c>
      <c r="X1284" s="4">
        <v>0</v>
      </c>
      <c r="Y1284" s="4"/>
      <c r="Z1284" s="4">
        <v>430.9</v>
      </c>
      <c r="AA1284" s="4">
        <v>450</v>
      </c>
      <c r="AB1284" s="18"/>
      <c r="AC1284" s="18">
        <v>24</v>
      </c>
      <c r="AD1284" s="28"/>
      <c r="AE1284" s="26"/>
      <c r="AF1284" s="28"/>
    </row>
    <row r="1285" spans="1:32" ht="12.6" customHeight="1" x14ac:dyDescent="0.25">
      <c r="A1285" s="14">
        <v>45810</v>
      </c>
      <c r="B1285" s="14" t="s">
        <v>46</v>
      </c>
      <c r="C1285" s="15">
        <v>5</v>
      </c>
      <c r="D1285" s="16"/>
      <c r="E1285" s="16"/>
      <c r="F1285" s="17"/>
      <c r="G1285" s="21"/>
      <c r="H1285" s="21"/>
      <c r="I1285" s="4">
        <v>0</v>
      </c>
      <c r="J1285" s="4">
        <v>0</v>
      </c>
      <c r="K1285" s="4"/>
      <c r="L1285" s="16"/>
      <c r="M1285" s="4"/>
      <c r="N1285" s="4"/>
      <c r="O1285" s="4"/>
      <c r="P1285" s="4"/>
      <c r="Q1285" s="4"/>
      <c r="R1285" s="4"/>
      <c r="S1285" s="4">
        <v>0</v>
      </c>
      <c r="T1285" s="4">
        <v>0</v>
      </c>
      <c r="U1285" s="4">
        <v>0</v>
      </c>
      <c r="V1285" s="4">
        <v>12</v>
      </c>
      <c r="W1285" s="4">
        <v>12</v>
      </c>
      <c r="X1285" s="4">
        <v>0</v>
      </c>
      <c r="Y1285" s="4"/>
      <c r="Z1285" s="4">
        <v>502.60999999999996</v>
      </c>
      <c r="AA1285" s="4">
        <v>500</v>
      </c>
      <c r="AB1285" s="18"/>
      <c r="AC1285" s="18">
        <v>24</v>
      </c>
      <c r="AD1285" s="28"/>
      <c r="AE1285" s="26"/>
      <c r="AF1285" s="28"/>
    </row>
    <row r="1286" spans="1:32" ht="12.6" customHeight="1" x14ac:dyDescent="0.25">
      <c r="A1286" s="14">
        <v>45811</v>
      </c>
      <c r="B1286" s="14" t="s">
        <v>45</v>
      </c>
      <c r="C1286" s="15">
        <v>1</v>
      </c>
      <c r="D1286" s="16"/>
      <c r="E1286" s="16"/>
      <c r="F1286" s="17"/>
      <c r="G1286" s="21"/>
      <c r="H1286" s="21"/>
      <c r="I1286" s="4">
        <v>0</v>
      </c>
      <c r="J1286" s="4">
        <v>0</v>
      </c>
      <c r="K1286" s="4"/>
      <c r="L1286" s="16"/>
      <c r="M1286" s="4"/>
      <c r="N1286" s="4"/>
      <c r="O1286" s="4"/>
      <c r="P1286" s="4"/>
      <c r="Q1286" s="4"/>
      <c r="R1286" s="4"/>
      <c r="S1286" s="4">
        <v>0</v>
      </c>
      <c r="T1286" s="4">
        <v>0</v>
      </c>
      <c r="U1286" s="4">
        <v>0</v>
      </c>
      <c r="V1286" s="4">
        <v>12</v>
      </c>
      <c r="W1286" s="4">
        <v>12</v>
      </c>
      <c r="X1286" s="4">
        <v>35</v>
      </c>
      <c r="Y1286" s="4">
        <v>1770</v>
      </c>
      <c r="Z1286" s="4">
        <v>113</v>
      </c>
      <c r="AA1286" s="4">
        <v>150</v>
      </c>
      <c r="AB1286" s="18">
        <v>398</v>
      </c>
      <c r="AC1286" s="18">
        <v>24</v>
      </c>
      <c r="AD1286" s="28"/>
      <c r="AE1286" s="26"/>
      <c r="AF1286" s="28"/>
    </row>
    <row r="1287" spans="1:32" ht="12.6" customHeight="1" x14ac:dyDescent="0.25">
      <c r="A1287" s="14">
        <v>45811</v>
      </c>
      <c r="B1287" s="14" t="s">
        <v>46</v>
      </c>
      <c r="C1287" s="15">
        <v>1</v>
      </c>
      <c r="D1287" s="16"/>
      <c r="E1287" s="16"/>
      <c r="F1287" s="17"/>
      <c r="G1287" s="21"/>
      <c r="H1287" s="21"/>
      <c r="I1287" s="4">
        <v>0</v>
      </c>
      <c r="J1287" s="4">
        <v>0</v>
      </c>
      <c r="K1287" s="4"/>
      <c r="L1287" s="16"/>
      <c r="M1287" s="4"/>
      <c r="N1287" s="4"/>
      <c r="O1287" s="4"/>
      <c r="P1287" s="4"/>
      <c r="Q1287" s="4"/>
      <c r="R1287" s="4"/>
      <c r="S1287" s="4">
        <v>0</v>
      </c>
      <c r="T1287" s="4">
        <v>0</v>
      </c>
      <c r="U1287" s="4">
        <v>0</v>
      </c>
      <c r="V1287" s="4">
        <v>12</v>
      </c>
      <c r="W1287" s="4">
        <v>12</v>
      </c>
      <c r="X1287" s="4">
        <v>65</v>
      </c>
      <c r="Y1287" s="4"/>
      <c r="Z1287" s="4">
        <v>95.49</v>
      </c>
      <c r="AA1287" s="4">
        <v>100</v>
      </c>
      <c r="AB1287" s="18"/>
      <c r="AC1287" s="18">
        <v>24</v>
      </c>
      <c r="AD1287" s="28"/>
      <c r="AE1287" s="26"/>
      <c r="AF1287" s="28"/>
    </row>
    <row r="1288" spans="1:32" ht="12.6" customHeight="1" x14ac:dyDescent="0.25">
      <c r="A1288" s="14">
        <v>45811</v>
      </c>
      <c r="B1288" s="14" t="s">
        <v>45</v>
      </c>
      <c r="C1288" s="15">
        <v>2</v>
      </c>
      <c r="D1288" s="16"/>
      <c r="E1288" s="16"/>
      <c r="F1288" s="17"/>
      <c r="G1288" s="21"/>
      <c r="H1288" s="21"/>
      <c r="I1288" s="4">
        <v>0</v>
      </c>
      <c r="J1288" s="4">
        <v>0</v>
      </c>
      <c r="K1288" s="4"/>
      <c r="L1288" s="16"/>
      <c r="M1288" s="4"/>
      <c r="N1288" s="4"/>
      <c r="O1288" s="4"/>
      <c r="P1288" s="4"/>
      <c r="Q1288" s="4"/>
      <c r="R1288" s="4"/>
      <c r="S1288" s="4">
        <v>0</v>
      </c>
      <c r="T1288" s="4">
        <v>0</v>
      </c>
      <c r="U1288" s="4">
        <v>0</v>
      </c>
      <c r="V1288" s="4">
        <v>12</v>
      </c>
      <c r="W1288" s="4">
        <v>12</v>
      </c>
      <c r="X1288" s="4">
        <v>0</v>
      </c>
      <c r="Y1288" s="4"/>
      <c r="Z1288" s="4">
        <v>259.06</v>
      </c>
      <c r="AA1288" s="4">
        <v>250</v>
      </c>
      <c r="AB1288" s="18"/>
      <c r="AC1288" s="18">
        <v>24</v>
      </c>
      <c r="AD1288" s="28"/>
      <c r="AE1288" s="26"/>
      <c r="AF1288" s="28"/>
    </row>
    <row r="1289" spans="1:32" ht="12.6" customHeight="1" x14ac:dyDescent="0.25">
      <c r="A1289" s="14">
        <v>45811</v>
      </c>
      <c r="B1289" s="14" t="s">
        <v>46</v>
      </c>
      <c r="C1289" s="15">
        <v>2</v>
      </c>
      <c r="D1289" s="16"/>
      <c r="E1289" s="16"/>
      <c r="F1289" s="17"/>
      <c r="G1289" s="21"/>
      <c r="H1289" s="21"/>
      <c r="I1289" s="4">
        <v>0</v>
      </c>
      <c r="J1289" s="4">
        <v>0</v>
      </c>
      <c r="K1289" s="4"/>
      <c r="L1289" s="16"/>
      <c r="M1289" s="4"/>
      <c r="N1289" s="4"/>
      <c r="O1289" s="4"/>
      <c r="P1289" s="4"/>
      <c r="Q1289" s="4"/>
      <c r="R1289" s="4"/>
      <c r="S1289" s="4">
        <v>0</v>
      </c>
      <c r="T1289" s="4">
        <v>0</v>
      </c>
      <c r="U1289" s="4">
        <v>0</v>
      </c>
      <c r="V1289" s="4">
        <v>12</v>
      </c>
      <c r="W1289" s="4">
        <v>12</v>
      </c>
      <c r="X1289" s="4">
        <v>0</v>
      </c>
      <c r="Y1289" s="4"/>
      <c r="Z1289" s="4">
        <v>166.47</v>
      </c>
      <c r="AA1289" s="4">
        <v>150</v>
      </c>
      <c r="AB1289" s="18"/>
      <c r="AC1289" s="18">
        <v>24</v>
      </c>
      <c r="AD1289" s="28"/>
      <c r="AE1289" s="26"/>
      <c r="AF1289" s="28"/>
    </row>
    <row r="1290" spans="1:32" ht="12.6" customHeight="1" x14ac:dyDescent="0.25">
      <c r="A1290" s="14">
        <v>45811</v>
      </c>
      <c r="B1290" s="14" t="s">
        <v>45</v>
      </c>
      <c r="C1290" s="15">
        <v>3</v>
      </c>
      <c r="D1290" s="16"/>
      <c r="E1290" s="16"/>
      <c r="F1290" s="17"/>
      <c r="G1290" s="21"/>
      <c r="H1290" s="21"/>
      <c r="I1290" s="4">
        <v>0</v>
      </c>
      <c r="J1290" s="4">
        <v>0</v>
      </c>
      <c r="K1290" s="4"/>
      <c r="L1290" s="16"/>
      <c r="M1290" s="4"/>
      <c r="N1290" s="4"/>
      <c r="O1290" s="4"/>
      <c r="P1290" s="4"/>
      <c r="Q1290" s="4"/>
      <c r="R1290" s="4"/>
      <c r="S1290" s="4">
        <v>0</v>
      </c>
      <c r="T1290" s="4">
        <v>0</v>
      </c>
      <c r="U1290" s="4">
        <v>0</v>
      </c>
      <c r="V1290" s="4">
        <v>12</v>
      </c>
      <c r="W1290" s="4">
        <v>12</v>
      </c>
      <c r="X1290" s="4">
        <v>0</v>
      </c>
      <c r="Y1290" s="4"/>
      <c r="Z1290" s="4">
        <v>294.40999999999997</v>
      </c>
      <c r="AA1290" s="4">
        <v>300</v>
      </c>
      <c r="AB1290" s="18"/>
      <c r="AC1290" s="18">
        <v>24</v>
      </c>
      <c r="AD1290" s="28"/>
      <c r="AE1290" s="26"/>
      <c r="AF1290" s="28"/>
    </row>
    <row r="1291" spans="1:32" ht="12.6" customHeight="1" x14ac:dyDescent="0.25">
      <c r="A1291" s="14">
        <v>45811</v>
      </c>
      <c r="B1291" s="14" t="s">
        <v>46</v>
      </c>
      <c r="C1291" s="15">
        <v>3</v>
      </c>
      <c r="D1291" s="16"/>
      <c r="E1291" s="16"/>
      <c r="F1291" s="17"/>
      <c r="G1291" s="21"/>
      <c r="H1291" s="21"/>
      <c r="I1291" s="4">
        <v>0</v>
      </c>
      <c r="J1291" s="4">
        <v>0</v>
      </c>
      <c r="K1291" s="4"/>
      <c r="L1291" s="16"/>
      <c r="M1291" s="4"/>
      <c r="N1291" s="4"/>
      <c r="O1291" s="4"/>
      <c r="P1291" s="4"/>
      <c r="Q1291" s="4"/>
      <c r="R1291" s="4"/>
      <c r="S1291" s="4">
        <v>0</v>
      </c>
      <c r="T1291" s="4">
        <v>0</v>
      </c>
      <c r="U1291" s="4">
        <v>0</v>
      </c>
      <c r="V1291" s="4">
        <v>12</v>
      </c>
      <c r="W1291" s="4">
        <v>12</v>
      </c>
      <c r="X1291" s="4">
        <v>0</v>
      </c>
      <c r="Y1291" s="4"/>
      <c r="Z1291" s="4">
        <v>268.08</v>
      </c>
      <c r="AA1291" s="4">
        <v>250</v>
      </c>
      <c r="AB1291" s="18"/>
      <c r="AC1291" s="18">
        <v>24</v>
      </c>
      <c r="AD1291" s="28"/>
      <c r="AE1291" s="26"/>
      <c r="AF1291" s="28"/>
    </row>
    <row r="1292" spans="1:32" ht="12.6" customHeight="1" x14ac:dyDescent="0.25">
      <c r="A1292" s="14">
        <v>45811</v>
      </c>
      <c r="B1292" s="14" t="s">
        <v>45</v>
      </c>
      <c r="C1292" s="15">
        <v>4</v>
      </c>
      <c r="D1292" s="16">
        <v>20</v>
      </c>
      <c r="E1292" s="16"/>
      <c r="F1292" s="17"/>
      <c r="G1292" s="21"/>
      <c r="H1292" s="21"/>
      <c r="I1292" s="4">
        <v>20</v>
      </c>
      <c r="J1292" s="4">
        <v>0.33333333333333331</v>
      </c>
      <c r="K1292" s="4"/>
      <c r="L1292" s="16"/>
      <c r="M1292" s="4"/>
      <c r="N1292" s="4"/>
      <c r="O1292" s="4"/>
      <c r="P1292" s="4">
        <v>30</v>
      </c>
      <c r="Q1292" s="4"/>
      <c r="R1292" s="4"/>
      <c r="S1292" s="4">
        <v>30</v>
      </c>
      <c r="T1292" s="4">
        <v>0.5</v>
      </c>
      <c r="U1292" s="4">
        <v>0.83333333333333326</v>
      </c>
      <c r="V1292" s="4">
        <v>11.166666666666666</v>
      </c>
      <c r="W1292" s="4">
        <v>12</v>
      </c>
      <c r="X1292" s="4">
        <v>0</v>
      </c>
      <c r="Y1292" s="4"/>
      <c r="Z1292" s="4">
        <v>633.67999999999995</v>
      </c>
      <c r="AA1292" s="4">
        <v>650</v>
      </c>
      <c r="AB1292" s="18"/>
      <c r="AC1292" s="18">
        <v>24</v>
      </c>
      <c r="AD1292" s="28"/>
      <c r="AE1292" s="26"/>
      <c r="AF1292" s="28"/>
    </row>
    <row r="1293" spans="1:32" ht="12.6" customHeight="1" x14ac:dyDescent="0.25">
      <c r="A1293" s="14">
        <v>45811</v>
      </c>
      <c r="B1293" s="14" t="s">
        <v>46</v>
      </c>
      <c r="C1293" s="15">
        <v>4</v>
      </c>
      <c r="D1293" s="16"/>
      <c r="E1293" s="16"/>
      <c r="F1293" s="17"/>
      <c r="G1293" s="21"/>
      <c r="H1293" s="21"/>
      <c r="I1293" s="4">
        <v>0</v>
      </c>
      <c r="J1293" s="4">
        <v>0</v>
      </c>
      <c r="K1293" s="4"/>
      <c r="L1293" s="16"/>
      <c r="M1293" s="4"/>
      <c r="N1293" s="4"/>
      <c r="O1293" s="4"/>
      <c r="P1293" s="4"/>
      <c r="Q1293" s="4"/>
      <c r="R1293" s="4"/>
      <c r="S1293" s="4">
        <v>0</v>
      </c>
      <c r="T1293" s="4">
        <v>0</v>
      </c>
      <c r="U1293" s="4">
        <v>0</v>
      </c>
      <c r="V1293" s="4">
        <v>12</v>
      </c>
      <c r="W1293" s="4">
        <v>12</v>
      </c>
      <c r="X1293" s="4">
        <v>0</v>
      </c>
      <c r="Y1293" s="4"/>
      <c r="Z1293" s="4">
        <v>668.68000000000006</v>
      </c>
      <c r="AA1293" s="4">
        <v>650</v>
      </c>
      <c r="AB1293" s="18"/>
      <c r="AC1293" s="18">
        <v>24</v>
      </c>
      <c r="AD1293" s="28"/>
      <c r="AE1293" s="26"/>
      <c r="AF1293" s="28"/>
    </row>
    <row r="1294" spans="1:32" ht="12.6" customHeight="1" x14ac:dyDescent="0.25">
      <c r="A1294" s="14">
        <v>45811</v>
      </c>
      <c r="B1294" s="14" t="s">
        <v>45</v>
      </c>
      <c r="C1294" s="15">
        <v>5</v>
      </c>
      <c r="D1294" s="16">
        <v>40</v>
      </c>
      <c r="E1294" s="16"/>
      <c r="F1294" s="17"/>
      <c r="G1294" s="21"/>
      <c r="H1294" s="21"/>
      <c r="I1294" s="4">
        <v>40</v>
      </c>
      <c r="J1294" s="4">
        <v>0.66666666666666663</v>
      </c>
      <c r="K1294" s="4"/>
      <c r="L1294" s="16"/>
      <c r="M1294" s="4"/>
      <c r="N1294" s="4"/>
      <c r="O1294" s="4"/>
      <c r="P1294" s="4"/>
      <c r="Q1294" s="4"/>
      <c r="R1294" s="4"/>
      <c r="S1294" s="4">
        <v>0</v>
      </c>
      <c r="T1294" s="4">
        <v>0</v>
      </c>
      <c r="U1294" s="4">
        <v>0.66666666666666663</v>
      </c>
      <c r="V1294" s="4">
        <v>11.333333333333334</v>
      </c>
      <c r="W1294" s="4">
        <v>12</v>
      </c>
      <c r="X1294" s="4">
        <v>0</v>
      </c>
      <c r="Y1294" s="4"/>
      <c r="Z1294" s="4">
        <v>261.60000000000002</v>
      </c>
      <c r="AA1294" s="4">
        <v>250</v>
      </c>
      <c r="AB1294" s="18"/>
      <c r="AC1294" s="18">
        <v>24</v>
      </c>
      <c r="AD1294" s="28"/>
      <c r="AE1294" s="26"/>
      <c r="AF1294" s="28"/>
    </row>
    <row r="1295" spans="1:32" ht="12.6" customHeight="1" x14ac:dyDescent="0.25">
      <c r="A1295" s="14">
        <v>45811</v>
      </c>
      <c r="B1295" s="14" t="s">
        <v>46</v>
      </c>
      <c r="C1295" s="15">
        <v>5</v>
      </c>
      <c r="D1295" s="16"/>
      <c r="E1295" s="16"/>
      <c r="F1295" s="17"/>
      <c r="G1295" s="21"/>
      <c r="H1295" s="21"/>
      <c r="I1295" s="4">
        <v>0</v>
      </c>
      <c r="J1295" s="4">
        <v>0</v>
      </c>
      <c r="K1295" s="4"/>
      <c r="L1295" s="16"/>
      <c r="M1295" s="4"/>
      <c r="N1295" s="4"/>
      <c r="O1295" s="4"/>
      <c r="P1295" s="4"/>
      <c r="Q1295" s="4"/>
      <c r="R1295" s="4"/>
      <c r="S1295" s="4">
        <v>0</v>
      </c>
      <c r="T1295" s="4">
        <v>0</v>
      </c>
      <c r="U1295" s="4">
        <v>0</v>
      </c>
      <c r="V1295" s="4">
        <v>12</v>
      </c>
      <c r="W1295" s="4">
        <v>12</v>
      </c>
      <c r="X1295" s="4">
        <v>0</v>
      </c>
      <c r="Y1295" s="4"/>
      <c r="Z1295" s="4">
        <v>421.24</v>
      </c>
      <c r="AA1295" s="4">
        <v>450</v>
      </c>
      <c r="AB1295" s="18"/>
      <c r="AC1295" s="18">
        <v>24</v>
      </c>
      <c r="AD1295" s="28"/>
      <c r="AE1295" s="26"/>
      <c r="AF1295" s="28"/>
    </row>
    <row r="1296" spans="1:32" ht="12.6" customHeight="1" x14ac:dyDescent="0.25">
      <c r="A1296" s="14">
        <v>45812</v>
      </c>
      <c r="B1296" s="14" t="s">
        <v>45</v>
      </c>
      <c r="C1296" s="15">
        <v>1</v>
      </c>
      <c r="D1296" s="16"/>
      <c r="E1296" s="16"/>
      <c r="F1296" s="17"/>
      <c r="G1296" s="21"/>
      <c r="H1296" s="21"/>
      <c r="I1296" s="4">
        <v>0</v>
      </c>
      <c r="J1296" s="4">
        <v>0</v>
      </c>
      <c r="K1296" s="4"/>
      <c r="L1296" s="16"/>
      <c r="M1296" s="4"/>
      <c r="N1296" s="4"/>
      <c r="O1296" s="4"/>
      <c r="P1296" s="4"/>
      <c r="Q1296" s="4"/>
      <c r="R1296" s="4"/>
      <c r="S1296" s="4">
        <v>0</v>
      </c>
      <c r="T1296" s="4">
        <v>0</v>
      </c>
      <c r="U1296" s="4">
        <v>0</v>
      </c>
      <c r="V1296" s="4">
        <v>12</v>
      </c>
      <c r="W1296" s="4">
        <v>12</v>
      </c>
      <c r="X1296" s="4">
        <v>25</v>
      </c>
      <c r="Y1296" s="4">
        <v>1760</v>
      </c>
      <c r="Z1296" s="4">
        <v>119.44000000000001</v>
      </c>
      <c r="AA1296" s="4">
        <v>100</v>
      </c>
      <c r="AB1296" s="18">
        <v>398</v>
      </c>
      <c r="AC1296" s="18">
        <v>24</v>
      </c>
      <c r="AD1296" s="28"/>
      <c r="AE1296" s="26"/>
      <c r="AF1296" s="28"/>
    </row>
    <row r="1297" spans="1:32" ht="12.6" customHeight="1" x14ac:dyDescent="0.25">
      <c r="A1297" s="14">
        <v>45812</v>
      </c>
      <c r="B1297" s="14" t="s">
        <v>46</v>
      </c>
      <c r="C1297" s="15">
        <v>1</v>
      </c>
      <c r="D1297" s="16"/>
      <c r="E1297" s="16"/>
      <c r="F1297" s="17"/>
      <c r="G1297" s="21"/>
      <c r="H1297" s="21"/>
      <c r="I1297" s="4">
        <v>0</v>
      </c>
      <c r="J1297" s="4">
        <v>0</v>
      </c>
      <c r="K1297" s="4"/>
      <c r="L1297" s="16"/>
      <c r="M1297" s="4"/>
      <c r="N1297" s="4"/>
      <c r="O1297" s="4"/>
      <c r="P1297" s="4"/>
      <c r="Q1297" s="4"/>
      <c r="R1297" s="4"/>
      <c r="S1297" s="4">
        <v>0</v>
      </c>
      <c r="T1297" s="4">
        <v>0</v>
      </c>
      <c r="U1297" s="4">
        <v>0</v>
      </c>
      <c r="V1297" s="4">
        <v>12</v>
      </c>
      <c r="W1297" s="4">
        <v>12</v>
      </c>
      <c r="X1297" s="4">
        <v>34</v>
      </c>
      <c r="Y1297" s="4"/>
      <c r="Z1297" s="4">
        <v>159.94</v>
      </c>
      <c r="AA1297" s="4">
        <v>100</v>
      </c>
      <c r="AB1297" s="18"/>
      <c r="AC1297" s="18">
        <v>24</v>
      </c>
      <c r="AD1297" s="28"/>
      <c r="AE1297" s="26"/>
      <c r="AF1297" s="28"/>
    </row>
    <row r="1298" spans="1:32" ht="12.6" customHeight="1" x14ac:dyDescent="0.25">
      <c r="A1298" s="14">
        <v>45812</v>
      </c>
      <c r="B1298" s="14" t="s">
        <v>45</v>
      </c>
      <c r="C1298" s="15">
        <v>2</v>
      </c>
      <c r="D1298" s="16"/>
      <c r="E1298" s="16"/>
      <c r="F1298" s="17"/>
      <c r="G1298" s="21"/>
      <c r="H1298" s="21"/>
      <c r="I1298" s="4">
        <v>0</v>
      </c>
      <c r="J1298" s="4">
        <v>0</v>
      </c>
      <c r="K1298" s="4"/>
      <c r="L1298" s="16"/>
      <c r="M1298" s="4"/>
      <c r="N1298" s="4"/>
      <c r="O1298" s="4"/>
      <c r="P1298" s="4"/>
      <c r="Q1298" s="4"/>
      <c r="R1298" s="4"/>
      <c r="S1298" s="4">
        <v>0</v>
      </c>
      <c r="T1298" s="4">
        <v>0</v>
      </c>
      <c r="U1298" s="4">
        <v>0</v>
      </c>
      <c r="V1298" s="4">
        <v>12</v>
      </c>
      <c r="W1298" s="4">
        <v>12</v>
      </c>
      <c r="X1298" s="4">
        <v>0</v>
      </c>
      <c r="Y1298" s="4"/>
      <c r="Z1298" s="4">
        <v>139.43</v>
      </c>
      <c r="AA1298" s="4">
        <v>150</v>
      </c>
      <c r="AB1298" s="18"/>
      <c r="AC1298" s="18">
        <v>24</v>
      </c>
      <c r="AD1298" s="28"/>
      <c r="AE1298" s="26"/>
      <c r="AF1298" s="28"/>
    </row>
    <row r="1299" spans="1:32" ht="12.6" customHeight="1" x14ac:dyDescent="0.25">
      <c r="A1299" s="14">
        <v>45812</v>
      </c>
      <c r="B1299" s="14" t="s">
        <v>46</v>
      </c>
      <c r="C1299" s="15">
        <v>2</v>
      </c>
      <c r="D1299" s="16"/>
      <c r="E1299" s="16"/>
      <c r="F1299" s="17"/>
      <c r="G1299" s="21"/>
      <c r="H1299" s="21"/>
      <c r="I1299" s="4">
        <v>0</v>
      </c>
      <c r="J1299" s="4">
        <v>0</v>
      </c>
      <c r="K1299" s="4"/>
      <c r="L1299" s="16"/>
      <c r="M1299" s="4"/>
      <c r="N1299" s="4"/>
      <c r="O1299" s="4"/>
      <c r="P1299" s="4"/>
      <c r="Q1299" s="4"/>
      <c r="R1299" s="4"/>
      <c r="S1299" s="4">
        <v>0</v>
      </c>
      <c r="T1299" s="4">
        <v>0</v>
      </c>
      <c r="U1299" s="4">
        <v>0</v>
      </c>
      <c r="V1299" s="4">
        <v>12</v>
      </c>
      <c r="W1299" s="4">
        <v>12</v>
      </c>
      <c r="X1299" s="4">
        <v>0</v>
      </c>
      <c r="Y1299" s="4"/>
      <c r="Z1299" s="4">
        <v>171.1</v>
      </c>
      <c r="AA1299" s="4">
        <v>200</v>
      </c>
      <c r="AB1299" s="18"/>
      <c r="AC1299" s="18">
        <v>24</v>
      </c>
      <c r="AD1299" s="28"/>
      <c r="AE1299" s="26"/>
      <c r="AF1299" s="28"/>
    </row>
    <row r="1300" spans="1:32" ht="12.6" customHeight="1" x14ac:dyDescent="0.25">
      <c r="A1300" s="14">
        <v>45812</v>
      </c>
      <c r="B1300" s="14" t="s">
        <v>45</v>
      </c>
      <c r="C1300" s="15">
        <v>3</v>
      </c>
      <c r="D1300" s="16"/>
      <c r="E1300" s="16"/>
      <c r="F1300" s="17"/>
      <c r="G1300" s="21"/>
      <c r="H1300" s="21"/>
      <c r="I1300" s="4">
        <v>0</v>
      </c>
      <c r="J1300" s="4">
        <v>0</v>
      </c>
      <c r="K1300" s="4"/>
      <c r="L1300" s="16"/>
      <c r="M1300" s="4"/>
      <c r="N1300" s="4"/>
      <c r="O1300" s="4"/>
      <c r="P1300" s="4">
        <v>120</v>
      </c>
      <c r="Q1300" s="4"/>
      <c r="R1300" s="4"/>
      <c r="S1300" s="4">
        <v>120</v>
      </c>
      <c r="T1300" s="4">
        <v>2</v>
      </c>
      <c r="U1300" s="4">
        <v>2</v>
      </c>
      <c r="V1300" s="4">
        <v>10</v>
      </c>
      <c r="W1300" s="4">
        <v>12</v>
      </c>
      <c r="X1300" s="4">
        <v>0</v>
      </c>
      <c r="Y1300" s="4"/>
      <c r="Z1300" s="4">
        <v>239.86</v>
      </c>
      <c r="AA1300" s="4">
        <v>250</v>
      </c>
      <c r="AB1300" s="18"/>
      <c r="AC1300" s="18">
        <v>24</v>
      </c>
      <c r="AD1300" s="28"/>
      <c r="AE1300" s="26"/>
      <c r="AF1300" s="28"/>
    </row>
    <row r="1301" spans="1:32" ht="12.6" customHeight="1" x14ac:dyDescent="0.25">
      <c r="A1301" s="14">
        <v>45812</v>
      </c>
      <c r="B1301" s="14" t="s">
        <v>46</v>
      </c>
      <c r="C1301" s="15">
        <v>3</v>
      </c>
      <c r="D1301" s="16"/>
      <c r="E1301" s="16"/>
      <c r="F1301" s="17"/>
      <c r="G1301" s="21"/>
      <c r="H1301" s="21"/>
      <c r="I1301" s="4">
        <v>0</v>
      </c>
      <c r="J1301" s="4">
        <v>0</v>
      </c>
      <c r="K1301" s="4"/>
      <c r="L1301" s="16"/>
      <c r="M1301" s="4"/>
      <c r="N1301" s="4"/>
      <c r="O1301" s="4"/>
      <c r="P1301" s="4"/>
      <c r="Q1301" s="4"/>
      <c r="R1301" s="4"/>
      <c r="S1301" s="4">
        <v>0</v>
      </c>
      <c r="T1301" s="4">
        <v>0</v>
      </c>
      <c r="U1301" s="4">
        <v>0</v>
      </c>
      <c r="V1301" s="4">
        <v>12</v>
      </c>
      <c r="W1301" s="4">
        <v>12</v>
      </c>
      <c r="X1301" s="4">
        <v>0</v>
      </c>
      <c r="Y1301" s="4"/>
      <c r="Z1301" s="4">
        <v>236.54</v>
      </c>
      <c r="AA1301" s="4">
        <v>250</v>
      </c>
      <c r="AB1301" s="18"/>
      <c r="AC1301" s="18">
        <v>24</v>
      </c>
      <c r="AD1301" s="28"/>
      <c r="AE1301" s="26"/>
      <c r="AF1301" s="28"/>
    </row>
    <row r="1302" spans="1:32" ht="12.6" customHeight="1" x14ac:dyDescent="0.25">
      <c r="A1302" s="14">
        <v>45812</v>
      </c>
      <c r="B1302" s="14" t="s">
        <v>45</v>
      </c>
      <c r="C1302" s="15">
        <v>4</v>
      </c>
      <c r="D1302" s="16">
        <v>20</v>
      </c>
      <c r="E1302" s="16"/>
      <c r="F1302" s="17"/>
      <c r="G1302" s="21"/>
      <c r="H1302" s="21"/>
      <c r="I1302" s="4">
        <v>20</v>
      </c>
      <c r="J1302" s="4">
        <v>0.33333333333333331</v>
      </c>
      <c r="K1302" s="4"/>
      <c r="L1302" s="16"/>
      <c r="M1302" s="4"/>
      <c r="N1302" s="4"/>
      <c r="O1302" s="4"/>
      <c r="P1302" s="4">
        <v>60</v>
      </c>
      <c r="Q1302" s="4"/>
      <c r="R1302" s="4"/>
      <c r="S1302" s="4">
        <v>60</v>
      </c>
      <c r="T1302" s="4">
        <v>1</v>
      </c>
      <c r="U1302" s="4">
        <v>1.3333333333333333</v>
      </c>
      <c r="V1302" s="4">
        <v>10.666666666666666</v>
      </c>
      <c r="W1302" s="4">
        <v>12</v>
      </c>
      <c r="X1302" s="4">
        <v>0</v>
      </c>
      <c r="Y1302" s="4"/>
      <c r="Z1302" s="4">
        <v>592.56999999999994</v>
      </c>
      <c r="AA1302" s="4">
        <v>600</v>
      </c>
      <c r="AB1302" s="18"/>
      <c r="AC1302" s="18">
        <v>24</v>
      </c>
      <c r="AD1302" s="28"/>
      <c r="AE1302" s="26"/>
      <c r="AF1302" s="28"/>
    </row>
    <row r="1303" spans="1:32" ht="12.6" customHeight="1" x14ac:dyDescent="0.25">
      <c r="A1303" s="14">
        <v>45812</v>
      </c>
      <c r="B1303" s="14" t="s">
        <v>46</v>
      </c>
      <c r="C1303" s="15">
        <v>4</v>
      </c>
      <c r="D1303" s="16">
        <v>20</v>
      </c>
      <c r="E1303" s="16"/>
      <c r="F1303" s="17"/>
      <c r="G1303" s="21"/>
      <c r="H1303" s="21"/>
      <c r="I1303" s="4">
        <v>20</v>
      </c>
      <c r="J1303" s="4">
        <v>0.33333333333333331</v>
      </c>
      <c r="K1303" s="4"/>
      <c r="L1303" s="16"/>
      <c r="M1303" s="4"/>
      <c r="N1303" s="4"/>
      <c r="O1303" s="4"/>
      <c r="P1303" s="4"/>
      <c r="Q1303" s="4"/>
      <c r="R1303" s="4"/>
      <c r="S1303" s="4">
        <v>0</v>
      </c>
      <c r="T1303" s="4">
        <v>0</v>
      </c>
      <c r="U1303" s="4">
        <v>0.33333333333333331</v>
      </c>
      <c r="V1303" s="4">
        <v>11.666666666666666</v>
      </c>
      <c r="W1303" s="4">
        <v>12</v>
      </c>
      <c r="X1303" s="4">
        <v>0</v>
      </c>
      <c r="Y1303" s="4"/>
      <c r="Z1303" s="4">
        <v>569.11</v>
      </c>
      <c r="AA1303" s="4">
        <v>600</v>
      </c>
      <c r="AB1303" s="18"/>
      <c r="AC1303" s="18">
        <v>24</v>
      </c>
      <c r="AD1303" s="28"/>
      <c r="AE1303" s="26"/>
      <c r="AF1303" s="28"/>
    </row>
    <row r="1304" spans="1:32" ht="12.6" customHeight="1" x14ac:dyDescent="0.25">
      <c r="A1304" s="14">
        <v>45812</v>
      </c>
      <c r="B1304" s="14" t="s">
        <v>45</v>
      </c>
      <c r="C1304" s="15">
        <v>5</v>
      </c>
      <c r="D1304" s="16">
        <v>20</v>
      </c>
      <c r="E1304" s="16"/>
      <c r="F1304" s="17"/>
      <c r="G1304" s="21"/>
      <c r="H1304" s="21"/>
      <c r="I1304" s="4">
        <v>20</v>
      </c>
      <c r="J1304" s="4">
        <v>0.33333333333333331</v>
      </c>
      <c r="K1304" s="4"/>
      <c r="L1304" s="16"/>
      <c r="M1304" s="4"/>
      <c r="N1304" s="4"/>
      <c r="O1304" s="4"/>
      <c r="P1304" s="4"/>
      <c r="Q1304" s="4"/>
      <c r="R1304" s="4"/>
      <c r="S1304" s="4">
        <v>0</v>
      </c>
      <c r="T1304" s="4">
        <v>0</v>
      </c>
      <c r="U1304" s="4">
        <v>0.33333333333333331</v>
      </c>
      <c r="V1304" s="4">
        <v>11.666666666666666</v>
      </c>
      <c r="W1304" s="4">
        <v>12</v>
      </c>
      <c r="X1304" s="4">
        <v>0</v>
      </c>
      <c r="Y1304" s="4"/>
      <c r="Z1304" s="4">
        <v>461.36</v>
      </c>
      <c r="AA1304" s="4">
        <v>450</v>
      </c>
      <c r="AB1304" s="18"/>
      <c r="AC1304" s="18">
        <v>24</v>
      </c>
      <c r="AD1304" s="28"/>
      <c r="AE1304" s="26"/>
      <c r="AF1304" s="28"/>
    </row>
    <row r="1305" spans="1:32" ht="12.6" customHeight="1" x14ac:dyDescent="0.25">
      <c r="A1305" s="14">
        <v>45812</v>
      </c>
      <c r="B1305" s="14" t="s">
        <v>46</v>
      </c>
      <c r="C1305" s="15">
        <v>5</v>
      </c>
      <c r="D1305" s="16"/>
      <c r="E1305" s="16"/>
      <c r="F1305" s="17"/>
      <c r="G1305" s="21"/>
      <c r="H1305" s="21"/>
      <c r="I1305" s="4">
        <v>0</v>
      </c>
      <c r="J1305" s="4">
        <v>0</v>
      </c>
      <c r="K1305" s="4"/>
      <c r="L1305" s="16"/>
      <c r="M1305" s="4"/>
      <c r="N1305" s="4"/>
      <c r="O1305" s="4"/>
      <c r="P1305" s="4"/>
      <c r="Q1305" s="4"/>
      <c r="R1305" s="4"/>
      <c r="S1305" s="4">
        <v>0</v>
      </c>
      <c r="T1305" s="4">
        <v>0</v>
      </c>
      <c r="U1305" s="4">
        <v>0</v>
      </c>
      <c r="V1305" s="4">
        <v>12</v>
      </c>
      <c r="W1305" s="4">
        <v>12</v>
      </c>
      <c r="X1305" s="4">
        <v>0</v>
      </c>
      <c r="Y1305" s="4"/>
      <c r="Z1305" s="4">
        <v>496.81</v>
      </c>
      <c r="AA1305" s="4">
        <v>500</v>
      </c>
      <c r="AB1305" s="18"/>
      <c r="AC1305" s="18">
        <v>24</v>
      </c>
      <c r="AD1305" s="28"/>
      <c r="AE1305" s="26"/>
      <c r="AF1305" s="28"/>
    </row>
    <row r="1306" spans="1:32" ht="12.6" customHeight="1" x14ac:dyDescent="0.25">
      <c r="A1306" s="14">
        <v>45813</v>
      </c>
      <c r="B1306" s="14" t="s">
        <v>45</v>
      </c>
      <c r="C1306" s="15">
        <v>1</v>
      </c>
      <c r="D1306" s="16"/>
      <c r="E1306" s="16"/>
      <c r="F1306" s="17"/>
      <c r="G1306" s="21"/>
      <c r="H1306" s="21"/>
      <c r="I1306" s="4">
        <v>0</v>
      </c>
      <c r="J1306" s="4">
        <v>0</v>
      </c>
      <c r="K1306" s="4"/>
      <c r="L1306" s="16"/>
      <c r="M1306" s="4"/>
      <c r="N1306" s="4"/>
      <c r="O1306" s="4"/>
      <c r="P1306" s="4"/>
      <c r="Q1306" s="4"/>
      <c r="R1306" s="4"/>
      <c r="S1306" s="4">
        <v>0</v>
      </c>
      <c r="T1306" s="4">
        <v>0</v>
      </c>
      <c r="U1306" s="4">
        <v>0</v>
      </c>
      <c r="V1306" s="4">
        <v>12</v>
      </c>
      <c r="W1306" s="4">
        <v>12</v>
      </c>
      <c r="X1306" s="4">
        <v>13</v>
      </c>
      <c r="Y1306" s="4">
        <v>1385</v>
      </c>
      <c r="Z1306" s="4">
        <v>165.76999999999998</v>
      </c>
      <c r="AA1306" s="4">
        <v>150</v>
      </c>
      <c r="AB1306" s="18">
        <v>398</v>
      </c>
      <c r="AC1306" s="18">
        <v>24</v>
      </c>
      <c r="AD1306" s="28"/>
      <c r="AE1306" s="26"/>
      <c r="AF1306" s="28"/>
    </row>
    <row r="1307" spans="1:32" ht="12.6" customHeight="1" x14ac:dyDescent="0.25">
      <c r="A1307" s="14">
        <v>45813</v>
      </c>
      <c r="B1307" s="14" t="s">
        <v>46</v>
      </c>
      <c r="C1307" s="15">
        <v>1</v>
      </c>
      <c r="D1307" s="16"/>
      <c r="E1307" s="16"/>
      <c r="F1307" s="17"/>
      <c r="G1307" s="21"/>
      <c r="H1307" s="21"/>
      <c r="I1307" s="4">
        <v>0</v>
      </c>
      <c r="J1307" s="4">
        <v>0</v>
      </c>
      <c r="K1307" s="4"/>
      <c r="L1307" s="16"/>
      <c r="M1307" s="4"/>
      <c r="N1307" s="4"/>
      <c r="O1307" s="4"/>
      <c r="P1307" s="4"/>
      <c r="Q1307" s="4"/>
      <c r="R1307" s="4"/>
      <c r="S1307" s="4">
        <v>0</v>
      </c>
      <c r="T1307" s="4">
        <v>0</v>
      </c>
      <c r="U1307" s="4">
        <v>0</v>
      </c>
      <c r="V1307" s="4">
        <v>12</v>
      </c>
      <c r="W1307" s="4">
        <v>12</v>
      </c>
      <c r="X1307" s="4">
        <v>20</v>
      </c>
      <c r="Y1307" s="4"/>
      <c r="Z1307" s="4">
        <v>106.82000000000001</v>
      </c>
      <c r="AA1307" s="4">
        <v>100</v>
      </c>
      <c r="AB1307" s="18"/>
      <c r="AC1307" s="18">
        <v>24</v>
      </c>
      <c r="AD1307" s="28"/>
      <c r="AE1307" s="26"/>
      <c r="AF1307" s="28"/>
    </row>
    <row r="1308" spans="1:32" ht="12.6" customHeight="1" x14ac:dyDescent="0.25">
      <c r="A1308" s="14">
        <v>45813</v>
      </c>
      <c r="B1308" s="14" t="s">
        <v>45</v>
      </c>
      <c r="C1308" s="15">
        <v>2</v>
      </c>
      <c r="D1308" s="16"/>
      <c r="E1308" s="16"/>
      <c r="F1308" s="17"/>
      <c r="G1308" s="21"/>
      <c r="H1308" s="21"/>
      <c r="I1308" s="4">
        <v>0</v>
      </c>
      <c r="J1308" s="4">
        <v>0</v>
      </c>
      <c r="K1308" s="4"/>
      <c r="L1308" s="16"/>
      <c r="M1308" s="4"/>
      <c r="N1308" s="4"/>
      <c r="O1308" s="4"/>
      <c r="P1308" s="4"/>
      <c r="Q1308" s="4"/>
      <c r="R1308" s="4"/>
      <c r="S1308" s="4">
        <v>0</v>
      </c>
      <c r="T1308" s="4">
        <v>0</v>
      </c>
      <c r="U1308" s="4">
        <v>0</v>
      </c>
      <c r="V1308" s="4">
        <v>12</v>
      </c>
      <c r="W1308" s="4">
        <v>12</v>
      </c>
      <c r="X1308" s="4">
        <v>0</v>
      </c>
      <c r="Y1308" s="4"/>
      <c r="Z1308" s="4">
        <v>132.4</v>
      </c>
      <c r="AA1308" s="4">
        <v>150</v>
      </c>
      <c r="AB1308" s="18"/>
      <c r="AC1308" s="18">
        <v>24</v>
      </c>
      <c r="AD1308" s="28"/>
      <c r="AE1308" s="26"/>
      <c r="AF1308" s="28"/>
    </row>
    <row r="1309" spans="1:32" ht="12.6" customHeight="1" x14ac:dyDescent="0.25">
      <c r="A1309" s="14">
        <v>45813</v>
      </c>
      <c r="B1309" s="14" t="s">
        <v>46</v>
      </c>
      <c r="C1309" s="15">
        <v>2</v>
      </c>
      <c r="D1309" s="16"/>
      <c r="E1309" s="16"/>
      <c r="F1309" s="17"/>
      <c r="G1309" s="21"/>
      <c r="H1309" s="21"/>
      <c r="I1309" s="4">
        <v>0</v>
      </c>
      <c r="J1309" s="4">
        <v>0</v>
      </c>
      <c r="K1309" s="4"/>
      <c r="L1309" s="16"/>
      <c r="M1309" s="4"/>
      <c r="N1309" s="4"/>
      <c r="O1309" s="4"/>
      <c r="P1309" s="4"/>
      <c r="Q1309" s="4"/>
      <c r="R1309" s="4"/>
      <c r="S1309" s="4">
        <v>0</v>
      </c>
      <c r="T1309" s="4">
        <v>0</v>
      </c>
      <c r="U1309" s="4">
        <v>0</v>
      </c>
      <c r="V1309" s="4">
        <v>12</v>
      </c>
      <c r="W1309" s="4">
        <v>12</v>
      </c>
      <c r="X1309" s="4">
        <v>0</v>
      </c>
      <c r="Y1309" s="4"/>
      <c r="Z1309" s="4">
        <v>108.30000000000003</v>
      </c>
      <c r="AA1309" s="4">
        <v>100</v>
      </c>
      <c r="AB1309" s="18"/>
      <c r="AC1309" s="18">
        <v>24</v>
      </c>
      <c r="AD1309" s="28"/>
      <c r="AE1309" s="26"/>
      <c r="AF1309" s="28"/>
    </row>
    <row r="1310" spans="1:32" ht="12.6" customHeight="1" x14ac:dyDescent="0.25">
      <c r="A1310" s="14">
        <v>45813</v>
      </c>
      <c r="B1310" s="14" t="s">
        <v>45</v>
      </c>
      <c r="C1310" s="15">
        <v>3</v>
      </c>
      <c r="D1310" s="16">
        <v>20</v>
      </c>
      <c r="E1310" s="16"/>
      <c r="F1310" s="17"/>
      <c r="G1310" s="21"/>
      <c r="H1310" s="21"/>
      <c r="I1310" s="4">
        <v>20</v>
      </c>
      <c r="J1310" s="4">
        <v>0.33333333333333331</v>
      </c>
      <c r="K1310" s="4"/>
      <c r="L1310" s="16"/>
      <c r="M1310" s="4"/>
      <c r="N1310" s="4"/>
      <c r="O1310" s="4"/>
      <c r="P1310" s="4"/>
      <c r="Q1310" s="4"/>
      <c r="R1310" s="4"/>
      <c r="S1310" s="4">
        <v>0</v>
      </c>
      <c r="T1310" s="4">
        <v>0</v>
      </c>
      <c r="U1310" s="4">
        <v>0.33333333333333331</v>
      </c>
      <c r="V1310" s="4">
        <v>11.666666666666666</v>
      </c>
      <c r="W1310" s="4">
        <v>12</v>
      </c>
      <c r="X1310" s="4">
        <v>0</v>
      </c>
      <c r="Y1310" s="4"/>
      <c r="Z1310" s="4">
        <v>289.33999999999997</v>
      </c>
      <c r="AA1310" s="4">
        <v>300</v>
      </c>
      <c r="AB1310" s="18"/>
      <c r="AC1310" s="18">
        <v>24</v>
      </c>
      <c r="AD1310" s="28"/>
      <c r="AE1310" s="26"/>
      <c r="AF1310" s="28"/>
    </row>
    <row r="1311" spans="1:32" ht="12.6" customHeight="1" x14ac:dyDescent="0.25">
      <c r="A1311" s="14">
        <v>45813</v>
      </c>
      <c r="B1311" s="14" t="s">
        <v>46</v>
      </c>
      <c r="C1311" s="15">
        <v>3</v>
      </c>
      <c r="D1311" s="16"/>
      <c r="E1311" s="16"/>
      <c r="F1311" s="17"/>
      <c r="G1311" s="21"/>
      <c r="H1311" s="21"/>
      <c r="I1311" s="4">
        <v>0</v>
      </c>
      <c r="J1311" s="4">
        <v>0</v>
      </c>
      <c r="K1311" s="4"/>
      <c r="L1311" s="16"/>
      <c r="M1311" s="4"/>
      <c r="N1311" s="4"/>
      <c r="O1311" s="4"/>
      <c r="P1311" s="4"/>
      <c r="Q1311" s="4"/>
      <c r="R1311" s="4"/>
      <c r="S1311" s="4">
        <v>0</v>
      </c>
      <c r="T1311" s="4">
        <v>0</v>
      </c>
      <c r="U1311" s="4">
        <v>0</v>
      </c>
      <c r="V1311" s="4">
        <v>12</v>
      </c>
      <c r="W1311" s="4">
        <v>12</v>
      </c>
      <c r="X1311" s="4">
        <v>0</v>
      </c>
      <c r="Y1311" s="4"/>
      <c r="Z1311" s="4">
        <v>149.10999999999999</v>
      </c>
      <c r="AA1311" s="4">
        <v>150</v>
      </c>
      <c r="AB1311" s="18"/>
      <c r="AC1311" s="18">
        <v>24</v>
      </c>
      <c r="AD1311" s="28"/>
      <c r="AE1311" s="26"/>
      <c r="AF1311" s="28"/>
    </row>
    <row r="1312" spans="1:32" ht="12.6" customHeight="1" x14ac:dyDescent="0.25">
      <c r="A1312" s="14">
        <v>45813</v>
      </c>
      <c r="B1312" s="14" t="s">
        <v>45</v>
      </c>
      <c r="C1312" s="15">
        <v>4</v>
      </c>
      <c r="D1312" s="16"/>
      <c r="E1312" s="16"/>
      <c r="F1312" s="17"/>
      <c r="G1312" s="21"/>
      <c r="H1312" s="21"/>
      <c r="I1312" s="4">
        <v>0</v>
      </c>
      <c r="J1312" s="4">
        <v>0</v>
      </c>
      <c r="K1312" s="4"/>
      <c r="L1312" s="16"/>
      <c r="M1312" s="4"/>
      <c r="N1312" s="4"/>
      <c r="O1312" s="4"/>
      <c r="P1312" s="4"/>
      <c r="Q1312" s="4"/>
      <c r="R1312" s="4"/>
      <c r="S1312" s="4">
        <v>0</v>
      </c>
      <c r="T1312" s="4">
        <v>0</v>
      </c>
      <c r="U1312" s="4">
        <v>0</v>
      </c>
      <c r="V1312" s="4">
        <v>12</v>
      </c>
      <c r="W1312" s="4">
        <v>12</v>
      </c>
      <c r="X1312" s="4">
        <v>0</v>
      </c>
      <c r="Y1312" s="4"/>
      <c r="Z1312" s="4">
        <v>601.04</v>
      </c>
      <c r="AA1312" s="4">
        <v>600</v>
      </c>
      <c r="AB1312" s="18"/>
      <c r="AC1312" s="18">
        <v>24</v>
      </c>
      <c r="AD1312" s="28"/>
      <c r="AE1312" s="26"/>
      <c r="AF1312" s="28"/>
    </row>
    <row r="1313" spans="1:32" ht="12.6" customHeight="1" x14ac:dyDescent="0.25">
      <c r="A1313" s="14">
        <v>45813</v>
      </c>
      <c r="B1313" s="14" t="s">
        <v>46</v>
      </c>
      <c r="C1313" s="15">
        <v>4</v>
      </c>
      <c r="D1313" s="16"/>
      <c r="E1313" s="16"/>
      <c r="F1313" s="17"/>
      <c r="G1313" s="21"/>
      <c r="H1313" s="21"/>
      <c r="I1313" s="4">
        <v>0</v>
      </c>
      <c r="J1313" s="4">
        <v>0</v>
      </c>
      <c r="K1313" s="4"/>
      <c r="L1313" s="16"/>
      <c r="M1313" s="4"/>
      <c r="N1313" s="4"/>
      <c r="O1313" s="4"/>
      <c r="P1313" s="4"/>
      <c r="Q1313" s="4"/>
      <c r="R1313" s="4"/>
      <c r="S1313" s="4">
        <v>0</v>
      </c>
      <c r="T1313" s="4">
        <v>0</v>
      </c>
      <c r="U1313" s="4">
        <v>0</v>
      </c>
      <c r="V1313" s="4">
        <v>12</v>
      </c>
      <c r="W1313" s="4">
        <v>12</v>
      </c>
      <c r="X1313" s="4">
        <v>0</v>
      </c>
      <c r="Y1313" s="4"/>
      <c r="Z1313" s="4">
        <v>407.08</v>
      </c>
      <c r="AA1313" s="4">
        <v>400</v>
      </c>
      <c r="AB1313" s="18"/>
      <c r="AC1313" s="18">
        <v>24</v>
      </c>
      <c r="AD1313" s="28"/>
      <c r="AE1313" s="26"/>
      <c r="AF1313" s="28"/>
    </row>
    <row r="1314" spans="1:32" ht="12.6" customHeight="1" x14ac:dyDescent="0.25">
      <c r="A1314" s="14">
        <v>45813</v>
      </c>
      <c r="B1314" s="14" t="s">
        <v>45</v>
      </c>
      <c r="C1314" s="15">
        <v>5</v>
      </c>
      <c r="D1314" s="16">
        <v>20</v>
      </c>
      <c r="E1314" s="16"/>
      <c r="F1314" s="17"/>
      <c r="G1314" s="21"/>
      <c r="H1314" s="21"/>
      <c r="I1314" s="4">
        <v>20</v>
      </c>
      <c r="J1314" s="4">
        <v>0.33333333333333331</v>
      </c>
      <c r="K1314" s="4"/>
      <c r="L1314" s="16"/>
      <c r="M1314" s="4"/>
      <c r="N1314" s="4"/>
      <c r="O1314" s="4"/>
      <c r="P1314" s="4"/>
      <c r="Q1314" s="4"/>
      <c r="R1314" s="4"/>
      <c r="S1314" s="4">
        <v>0</v>
      </c>
      <c r="T1314" s="4">
        <v>0</v>
      </c>
      <c r="U1314" s="4">
        <v>0.33333333333333331</v>
      </c>
      <c r="V1314" s="4">
        <v>11.666666666666666</v>
      </c>
      <c r="W1314" s="4">
        <v>12</v>
      </c>
      <c r="X1314" s="4">
        <v>0</v>
      </c>
      <c r="Y1314" s="4"/>
      <c r="Z1314" s="4">
        <v>491.97</v>
      </c>
      <c r="AA1314" s="4">
        <v>500</v>
      </c>
      <c r="AB1314" s="18"/>
      <c r="AC1314" s="18">
        <v>24</v>
      </c>
      <c r="AD1314" s="28"/>
      <c r="AE1314" s="26"/>
      <c r="AF1314" s="28"/>
    </row>
    <row r="1315" spans="1:32" ht="12.6" customHeight="1" x14ac:dyDescent="0.25">
      <c r="A1315" s="14">
        <v>45813</v>
      </c>
      <c r="B1315" s="14" t="s">
        <v>46</v>
      </c>
      <c r="C1315" s="15">
        <v>5</v>
      </c>
      <c r="D1315" s="16"/>
      <c r="E1315" s="16"/>
      <c r="F1315" s="17"/>
      <c r="G1315" s="21"/>
      <c r="H1315" s="21"/>
      <c r="I1315" s="4">
        <v>0</v>
      </c>
      <c r="J1315" s="4">
        <v>0</v>
      </c>
      <c r="K1315" s="4"/>
      <c r="L1315" s="16"/>
      <c r="M1315" s="4"/>
      <c r="N1315" s="4"/>
      <c r="O1315" s="4"/>
      <c r="P1315" s="4"/>
      <c r="Q1315" s="4"/>
      <c r="R1315" s="4"/>
      <c r="S1315" s="4">
        <v>0</v>
      </c>
      <c r="T1315" s="4">
        <v>0</v>
      </c>
      <c r="U1315" s="4">
        <v>0</v>
      </c>
      <c r="V1315" s="4">
        <v>12</v>
      </c>
      <c r="W1315" s="4">
        <v>12</v>
      </c>
      <c r="X1315" s="4">
        <v>0</v>
      </c>
      <c r="Y1315" s="4"/>
      <c r="Z1315" s="4">
        <v>434.92999999999995</v>
      </c>
      <c r="AA1315" s="4">
        <v>450</v>
      </c>
      <c r="AB1315" s="18"/>
      <c r="AC1315" s="18">
        <v>24</v>
      </c>
      <c r="AD1315" s="28"/>
      <c r="AE1315" s="26"/>
      <c r="AF1315" s="28"/>
    </row>
    <row r="1316" spans="1:32" ht="12.6" customHeight="1" x14ac:dyDescent="0.25">
      <c r="A1316" s="14">
        <v>45820</v>
      </c>
      <c r="B1316" s="14" t="s">
        <v>45</v>
      </c>
      <c r="C1316" s="15">
        <v>1</v>
      </c>
      <c r="D1316" s="16"/>
      <c r="E1316" s="16"/>
      <c r="F1316" s="17"/>
      <c r="G1316" s="21">
        <v>360</v>
      </c>
      <c r="H1316" s="21"/>
      <c r="I1316" s="4">
        <v>360</v>
      </c>
      <c r="J1316" s="4">
        <v>6</v>
      </c>
      <c r="K1316" s="4"/>
      <c r="L1316" s="16"/>
      <c r="M1316" s="4"/>
      <c r="N1316" s="4"/>
      <c r="O1316" s="4"/>
      <c r="P1316" s="4"/>
      <c r="Q1316" s="4"/>
      <c r="R1316" s="4"/>
      <c r="S1316" s="4">
        <v>0</v>
      </c>
      <c r="T1316" s="4">
        <v>0</v>
      </c>
      <c r="U1316" s="4">
        <v>6</v>
      </c>
      <c r="V1316" s="4">
        <v>6</v>
      </c>
      <c r="W1316" s="4">
        <v>12</v>
      </c>
      <c r="X1316" s="4">
        <v>55</v>
      </c>
      <c r="Y1316" s="4">
        <v>1649</v>
      </c>
      <c r="Z1316" s="4">
        <v>113.72</v>
      </c>
      <c r="AA1316" s="4">
        <v>150</v>
      </c>
      <c r="AB1316" s="18">
        <v>398</v>
      </c>
      <c r="AC1316" s="18">
        <v>24</v>
      </c>
      <c r="AD1316" s="28"/>
      <c r="AE1316" s="26"/>
      <c r="AF1316" s="28"/>
    </row>
    <row r="1317" spans="1:32" ht="12.6" customHeight="1" x14ac:dyDescent="0.25">
      <c r="A1317" s="14">
        <v>45820</v>
      </c>
      <c r="B1317" s="14" t="s">
        <v>46</v>
      </c>
      <c r="C1317" s="15">
        <v>1</v>
      </c>
      <c r="D1317" s="16"/>
      <c r="E1317" s="16"/>
      <c r="F1317" s="17"/>
      <c r="G1317" s="21"/>
      <c r="H1317" s="21"/>
      <c r="I1317" s="4">
        <v>0</v>
      </c>
      <c r="J1317" s="4">
        <v>0</v>
      </c>
      <c r="K1317" s="4"/>
      <c r="L1317" s="16"/>
      <c r="M1317" s="4"/>
      <c r="N1317" s="4"/>
      <c r="O1317" s="4"/>
      <c r="P1317" s="4"/>
      <c r="Q1317" s="4"/>
      <c r="R1317" s="4"/>
      <c r="S1317" s="4">
        <v>0</v>
      </c>
      <c r="T1317" s="4">
        <v>0</v>
      </c>
      <c r="U1317" s="4">
        <v>0</v>
      </c>
      <c r="V1317" s="4">
        <v>12</v>
      </c>
      <c r="W1317" s="4">
        <v>12</v>
      </c>
      <c r="X1317" s="4">
        <v>35</v>
      </c>
      <c r="Y1317" s="4"/>
      <c r="Z1317" s="4">
        <v>185.82999999999998</v>
      </c>
      <c r="AA1317" s="4">
        <v>200</v>
      </c>
      <c r="AB1317" s="18"/>
      <c r="AC1317" s="18">
        <v>24</v>
      </c>
      <c r="AD1317" s="28"/>
      <c r="AE1317" s="26"/>
      <c r="AF1317" s="28"/>
    </row>
    <row r="1318" spans="1:32" ht="12.6" customHeight="1" x14ac:dyDescent="0.25">
      <c r="A1318" s="14">
        <v>45820</v>
      </c>
      <c r="B1318" s="14" t="s">
        <v>45</v>
      </c>
      <c r="C1318" s="15">
        <v>2</v>
      </c>
      <c r="D1318" s="16"/>
      <c r="E1318" s="16"/>
      <c r="F1318" s="17"/>
      <c r="G1318" s="21">
        <v>240</v>
      </c>
      <c r="H1318" s="21"/>
      <c r="I1318" s="4">
        <v>240</v>
      </c>
      <c r="J1318" s="4">
        <v>4</v>
      </c>
      <c r="K1318" s="4"/>
      <c r="L1318" s="16"/>
      <c r="M1318" s="4"/>
      <c r="N1318" s="4"/>
      <c r="O1318" s="4"/>
      <c r="P1318" s="4"/>
      <c r="Q1318" s="4"/>
      <c r="R1318" s="4"/>
      <c r="S1318" s="4">
        <v>0</v>
      </c>
      <c r="T1318" s="4">
        <v>0</v>
      </c>
      <c r="U1318" s="4">
        <v>4</v>
      </c>
      <c r="V1318" s="4">
        <v>8</v>
      </c>
      <c r="W1318" s="4">
        <v>12</v>
      </c>
      <c r="X1318" s="4">
        <v>0</v>
      </c>
      <c r="Y1318" s="4"/>
      <c r="Z1318" s="4">
        <v>112.33</v>
      </c>
      <c r="AA1318" s="4">
        <v>200</v>
      </c>
      <c r="AB1318" s="18"/>
      <c r="AC1318" s="18">
        <v>24</v>
      </c>
      <c r="AD1318" s="28"/>
      <c r="AE1318" s="26"/>
      <c r="AF1318" s="28"/>
    </row>
    <row r="1319" spans="1:32" ht="12.6" customHeight="1" x14ac:dyDescent="0.25">
      <c r="A1319" s="14">
        <v>45820</v>
      </c>
      <c r="B1319" s="14" t="s">
        <v>46</v>
      </c>
      <c r="C1319" s="15">
        <v>2</v>
      </c>
      <c r="D1319" s="16"/>
      <c r="E1319" s="16"/>
      <c r="F1319" s="17"/>
      <c r="G1319" s="21"/>
      <c r="H1319" s="21"/>
      <c r="I1319" s="4">
        <v>0</v>
      </c>
      <c r="J1319" s="4">
        <v>0</v>
      </c>
      <c r="K1319" s="4"/>
      <c r="L1319" s="16"/>
      <c r="M1319" s="4"/>
      <c r="N1319" s="4"/>
      <c r="O1319" s="4"/>
      <c r="P1319" s="4"/>
      <c r="Q1319" s="4"/>
      <c r="R1319" s="4"/>
      <c r="S1319" s="4">
        <v>0</v>
      </c>
      <c r="T1319" s="4">
        <v>0</v>
      </c>
      <c r="U1319" s="4">
        <v>0</v>
      </c>
      <c r="V1319" s="4">
        <v>12</v>
      </c>
      <c r="W1319" s="4">
        <v>12</v>
      </c>
      <c r="X1319" s="4">
        <v>0</v>
      </c>
      <c r="Y1319" s="4"/>
      <c r="Z1319" s="4">
        <v>124.01</v>
      </c>
      <c r="AA1319" s="4">
        <v>150</v>
      </c>
      <c r="AB1319" s="18"/>
      <c r="AC1319" s="18">
        <v>24</v>
      </c>
      <c r="AD1319" s="28"/>
      <c r="AE1319" s="26"/>
      <c r="AF1319" s="28"/>
    </row>
    <row r="1320" spans="1:32" ht="12.6" customHeight="1" x14ac:dyDescent="0.25">
      <c r="A1320" s="14">
        <v>45820</v>
      </c>
      <c r="B1320" s="14" t="s">
        <v>45</v>
      </c>
      <c r="C1320" s="15">
        <v>3</v>
      </c>
      <c r="D1320" s="16"/>
      <c r="E1320" s="16"/>
      <c r="F1320" s="17"/>
      <c r="G1320" s="21">
        <v>240</v>
      </c>
      <c r="H1320" s="21"/>
      <c r="I1320" s="4">
        <v>240</v>
      </c>
      <c r="J1320" s="4">
        <v>4</v>
      </c>
      <c r="K1320" s="4"/>
      <c r="L1320" s="16"/>
      <c r="M1320" s="4"/>
      <c r="N1320" s="4"/>
      <c r="O1320" s="4"/>
      <c r="P1320" s="4"/>
      <c r="Q1320" s="4"/>
      <c r="R1320" s="4"/>
      <c r="S1320" s="4">
        <v>0</v>
      </c>
      <c r="T1320" s="4">
        <v>0</v>
      </c>
      <c r="U1320" s="4">
        <v>4</v>
      </c>
      <c r="V1320" s="4">
        <v>8</v>
      </c>
      <c r="W1320" s="4">
        <v>12</v>
      </c>
      <c r="X1320" s="4">
        <v>0</v>
      </c>
      <c r="Y1320" s="4"/>
      <c r="Z1320" s="4">
        <v>174.17999999999998</v>
      </c>
      <c r="AA1320" s="4">
        <v>250</v>
      </c>
      <c r="AB1320" s="18"/>
      <c r="AC1320" s="18">
        <v>24</v>
      </c>
      <c r="AD1320" s="28"/>
      <c r="AE1320" s="26"/>
      <c r="AF1320" s="28"/>
    </row>
    <row r="1321" spans="1:32" ht="12.6" customHeight="1" x14ac:dyDescent="0.25">
      <c r="A1321" s="14">
        <v>45820</v>
      </c>
      <c r="B1321" s="14" t="s">
        <v>46</v>
      </c>
      <c r="C1321" s="15">
        <v>3</v>
      </c>
      <c r="D1321" s="16"/>
      <c r="E1321" s="16"/>
      <c r="F1321" s="17"/>
      <c r="G1321" s="21"/>
      <c r="H1321" s="21"/>
      <c r="I1321" s="4">
        <v>0</v>
      </c>
      <c r="J1321" s="4">
        <v>0</v>
      </c>
      <c r="K1321" s="4"/>
      <c r="L1321" s="16"/>
      <c r="M1321" s="4"/>
      <c r="N1321" s="4"/>
      <c r="O1321" s="4"/>
      <c r="P1321" s="4"/>
      <c r="Q1321" s="4"/>
      <c r="R1321" s="4"/>
      <c r="S1321" s="4">
        <v>0</v>
      </c>
      <c r="T1321" s="4">
        <v>0</v>
      </c>
      <c r="U1321" s="4">
        <v>0</v>
      </c>
      <c r="V1321" s="4">
        <v>12</v>
      </c>
      <c r="W1321" s="4">
        <v>12</v>
      </c>
      <c r="X1321" s="4">
        <v>0</v>
      </c>
      <c r="Y1321" s="4"/>
      <c r="Z1321" s="4">
        <v>285.97000000000003</v>
      </c>
      <c r="AA1321" s="4">
        <v>300</v>
      </c>
      <c r="AB1321" s="18"/>
      <c r="AC1321" s="18">
        <v>24</v>
      </c>
      <c r="AD1321" s="28"/>
      <c r="AE1321" s="26"/>
      <c r="AF1321" s="28"/>
    </row>
    <row r="1322" spans="1:32" ht="12.6" customHeight="1" x14ac:dyDescent="0.25">
      <c r="A1322" s="14">
        <v>45820</v>
      </c>
      <c r="B1322" s="14" t="s">
        <v>45</v>
      </c>
      <c r="C1322" s="15">
        <v>4</v>
      </c>
      <c r="D1322" s="16"/>
      <c r="E1322" s="16"/>
      <c r="F1322" s="17"/>
      <c r="G1322" s="21">
        <v>240</v>
      </c>
      <c r="H1322" s="21"/>
      <c r="I1322" s="4">
        <v>240</v>
      </c>
      <c r="J1322" s="4">
        <v>4</v>
      </c>
      <c r="K1322" s="4"/>
      <c r="L1322" s="16"/>
      <c r="M1322" s="4"/>
      <c r="N1322" s="4"/>
      <c r="O1322" s="4"/>
      <c r="P1322" s="4"/>
      <c r="Q1322" s="4"/>
      <c r="R1322" s="4"/>
      <c r="S1322" s="4">
        <v>0</v>
      </c>
      <c r="T1322" s="4">
        <v>0</v>
      </c>
      <c r="U1322" s="4">
        <v>4</v>
      </c>
      <c r="V1322" s="4">
        <v>8</v>
      </c>
      <c r="W1322" s="4">
        <v>12</v>
      </c>
      <c r="X1322" s="4">
        <v>0</v>
      </c>
      <c r="Y1322" s="4"/>
      <c r="Z1322" s="4">
        <v>415.52</v>
      </c>
      <c r="AA1322" s="4">
        <v>450</v>
      </c>
      <c r="AB1322" s="18"/>
      <c r="AC1322" s="18">
        <v>24</v>
      </c>
      <c r="AD1322" s="28"/>
      <c r="AE1322" s="26"/>
      <c r="AF1322" s="28"/>
    </row>
    <row r="1323" spans="1:32" ht="12.6" customHeight="1" x14ac:dyDescent="0.25">
      <c r="A1323" s="14">
        <v>45820</v>
      </c>
      <c r="B1323" s="14" t="s">
        <v>46</v>
      </c>
      <c r="C1323" s="15">
        <v>4</v>
      </c>
      <c r="D1323" s="16"/>
      <c r="E1323" s="16"/>
      <c r="F1323" s="17"/>
      <c r="G1323" s="21"/>
      <c r="H1323" s="21"/>
      <c r="I1323" s="4">
        <v>0</v>
      </c>
      <c r="J1323" s="4">
        <v>0</v>
      </c>
      <c r="K1323" s="4"/>
      <c r="L1323" s="16"/>
      <c r="M1323" s="4"/>
      <c r="N1323" s="4"/>
      <c r="O1323" s="4"/>
      <c r="P1323" s="4"/>
      <c r="Q1323" s="4"/>
      <c r="R1323" s="4"/>
      <c r="S1323" s="4">
        <v>0</v>
      </c>
      <c r="T1323" s="4">
        <v>0</v>
      </c>
      <c r="U1323" s="4">
        <v>0</v>
      </c>
      <c r="V1323" s="4">
        <v>12</v>
      </c>
      <c r="W1323" s="4">
        <v>12</v>
      </c>
      <c r="X1323" s="4">
        <v>0</v>
      </c>
      <c r="Y1323" s="4"/>
      <c r="Z1323" s="4">
        <v>601.88</v>
      </c>
      <c r="AA1323" s="4">
        <v>600</v>
      </c>
      <c r="AB1323" s="18"/>
      <c r="AC1323" s="18">
        <v>24</v>
      </c>
      <c r="AD1323" s="28"/>
      <c r="AE1323" s="26"/>
      <c r="AF1323" s="28"/>
    </row>
    <row r="1324" spans="1:32" ht="12.6" customHeight="1" x14ac:dyDescent="0.25">
      <c r="A1324" s="14">
        <v>45820</v>
      </c>
      <c r="B1324" s="14" t="s">
        <v>45</v>
      </c>
      <c r="C1324" s="15">
        <v>5</v>
      </c>
      <c r="D1324" s="16"/>
      <c r="E1324" s="16"/>
      <c r="F1324" s="17"/>
      <c r="G1324" s="21">
        <v>240</v>
      </c>
      <c r="H1324" s="21"/>
      <c r="I1324" s="4">
        <v>240</v>
      </c>
      <c r="J1324" s="4">
        <v>4</v>
      </c>
      <c r="K1324" s="4"/>
      <c r="L1324" s="16"/>
      <c r="M1324" s="4"/>
      <c r="N1324" s="4"/>
      <c r="O1324" s="4"/>
      <c r="P1324" s="4"/>
      <c r="Q1324" s="4"/>
      <c r="R1324" s="4"/>
      <c r="S1324" s="4">
        <v>0</v>
      </c>
      <c r="T1324" s="4">
        <v>0</v>
      </c>
      <c r="U1324" s="4">
        <v>4</v>
      </c>
      <c r="V1324" s="4">
        <v>8</v>
      </c>
      <c r="W1324" s="4">
        <v>12</v>
      </c>
      <c r="X1324" s="4">
        <v>0</v>
      </c>
      <c r="Y1324" s="4"/>
      <c r="Z1324" s="4">
        <v>340.27000000000004</v>
      </c>
      <c r="AA1324" s="4">
        <v>400</v>
      </c>
      <c r="AB1324" s="18"/>
      <c r="AC1324" s="18">
        <v>24</v>
      </c>
      <c r="AD1324" s="28"/>
      <c r="AE1324" s="26"/>
      <c r="AF1324" s="28"/>
    </row>
    <row r="1325" spans="1:32" ht="12.6" customHeight="1" x14ac:dyDescent="0.25">
      <c r="A1325" s="14">
        <v>45820</v>
      </c>
      <c r="B1325" s="14" t="s">
        <v>46</v>
      </c>
      <c r="C1325" s="15">
        <v>5</v>
      </c>
      <c r="D1325" s="16">
        <v>20</v>
      </c>
      <c r="E1325" s="16"/>
      <c r="F1325" s="17"/>
      <c r="G1325" s="21"/>
      <c r="H1325" s="21"/>
      <c r="I1325" s="4">
        <v>20</v>
      </c>
      <c r="J1325" s="4">
        <v>0.33333333333333331</v>
      </c>
      <c r="K1325" s="4"/>
      <c r="L1325" s="16"/>
      <c r="M1325" s="4"/>
      <c r="N1325" s="4"/>
      <c r="O1325" s="4"/>
      <c r="P1325" s="4"/>
      <c r="Q1325" s="4"/>
      <c r="R1325" s="4"/>
      <c r="S1325" s="4">
        <v>0</v>
      </c>
      <c r="T1325" s="4">
        <v>0</v>
      </c>
      <c r="U1325" s="4">
        <v>0.33333333333333331</v>
      </c>
      <c r="V1325" s="4">
        <v>11.666666666666666</v>
      </c>
      <c r="W1325" s="4">
        <v>12</v>
      </c>
      <c r="X1325" s="4">
        <v>0</v>
      </c>
      <c r="Y1325" s="4"/>
      <c r="Z1325" s="4">
        <v>488.28000000000003</v>
      </c>
      <c r="AA1325" s="4">
        <v>500</v>
      </c>
      <c r="AB1325" s="18"/>
      <c r="AC1325" s="18">
        <v>24</v>
      </c>
      <c r="AD1325" s="28"/>
      <c r="AE1325" s="26"/>
      <c r="AF1325" s="28"/>
    </row>
    <row r="1326" spans="1:32" ht="12.6" customHeight="1" x14ac:dyDescent="0.25">
      <c r="A1326" s="14">
        <v>45821</v>
      </c>
      <c r="B1326" s="14" t="s">
        <v>45</v>
      </c>
      <c r="C1326" s="15">
        <v>1</v>
      </c>
      <c r="D1326" s="16">
        <v>20</v>
      </c>
      <c r="E1326" s="16"/>
      <c r="F1326" s="17"/>
      <c r="G1326" s="21"/>
      <c r="H1326" s="21"/>
      <c r="I1326" s="4">
        <v>20</v>
      </c>
      <c r="J1326" s="4">
        <v>0.33333333333333331</v>
      </c>
      <c r="K1326" s="4"/>
      <c r="L1326" s="16"/>
      <c r="M1326" s="4"/>
      <c r="N1326" s="4"/>
      <c r="O1326" s="4"/>
      <c r="P1326" s="4"/>
      <c r="Q1326" s="4"/>
      <c r="R1326" s="4"/>
      <c r="S1326" s="4">
        <v>0</v>
      </c>
      <c r="T1326" s="4">
        <v>0</v>
      </c>
      <c r="U1326" s="4">
        <v>0.33333333333333331</v>
      </c>
      <c r="V1326" s="4">
        <v>11.666666666666666</v>
      </c>
      <c r="W1326" s="4">
        <v>12</v>
      </c>
      <c r="X1326" s="4">
        <v>30</v>
      </c>
      <c r="Y1326" s="4">
        <v>1644</v>
      </c>
      <c r="Z1326" s="4">
        <v>129.95999999999998</v>
      </c>
      <c r="AA1326" s="4">
        <v>150</v>
      </c>
      <c r="AB1326" s="18">
        <v>398</v>
      </c>
      <c r="AC1326" s="18">
        <v>24</v>
      </c>
      <c r="AD1326" s="28"/>
      <c r="AE1326" s="26"/>
      <c r="AF1326" s="28"/>
    </row>
    <row r="1327" spans="1:32" ht="12.6" customHeight="1" x14ac:dyDescent="0.25">
      <c r="A1327" s="14">
        <v>45821</v>
      </c>
      <c r="B1327" s="14" t="s">
        <v>46</v>
      </c>
      <c r="C1327" s="15">
        <v>1</v>
      </c>
      <c r="D1327" s="16"/>
      <c r="E1327" s="16"/>
      <c r="F1327" s="17"/>
      <c r="G1327" s="21"/>
      <c r="H1327" s="21"/>
      <c r="I1327" s="4">
        <v>0</v>
      </c>
      <c r="J1327" s="4">
        <v>0</v>
      </c>
      <c r="K1327" s="4"/>
      <c r="L1327" s="16"/>
      <c r="M1327" s="4"/>
      <c r="N1327" s="4"/>
      <c r="O1327" s="4"/>
      <c r="P1327" s="4"/>
      <c r="Q1327" s="4"/>
      <c r="R1327" s="4"/>
      <c r="S1327" s="4">
        <v>0</v>
      </c>
      <c r="T1327" s="4">
        <v>0</v>
      </c>
      <c r="U1327" s="4">
        <v>0</v>
      </c>
      <c r="V1327" s="4">
        <v>12</v>
      </c>
      <c r="W1327" s="4">
        <v>12</v>
      </c>
      <c r="X1327" s="4">
        <v>35</v>
      </c>
      <c r="Y1327" s="4"/>
      <c r="Z1327" s="4">
        <v>146.81</v>
      </c>
      <c r="AA1327" s="4">
        <v>150</v>
      </c>
      <c r="AB1327" s="18"/>
      <c r="AC1327" s="18">
        <v>24</v>
      </c>
      <c r="AD1327" s="28"/>
      <c r="AE1327" s="26"/>
      <c r="AF1327" s="28"/>
    </row>
    <row r="1328" spans="1:32" ht="12.6" customHeight="1" x14ac:dyDescent="0.25">
      <c r="A1328" s="14">
        <v>45821</v>
      </c>
      <c r="B1328" s="14" t="s">
        <v>45</v>
      </c>
      <c r="C1328" s="15">
        <v>2</v>
      </c>
      <c r="D1328" s="16"/>
      <c r="E1328" s="16"/>
      <c r="F1328" s="17"/>
      <c r="G1328" s="21"/>
      <c r="H1328" s="21"/>
      <c r="I1328" s="4">
        <v>0</v>
      </c>
      <c r="J1328" s="4">
        <v>0</v>
      </c>
      <c r="K1328" s="4"/>
      <c r="L1328" s="16"/>
      <c r="M1328" s="4"/>
      <c r="N1328" s="4"/>
      <c r="O1328" s="4"/>
      <c r="P1328" s="4"/>
      <c r="Q1328" s="4"/>
      <c r="R1328" s="4"/>
      <c r="S1328" s="4">
        <v>0</v>
      </c>
      <c r="T1328" s="4">
        <v>0</v>
      </c>
      <c r="U1328" s="4">
        <v>0</v>
      </c>
      <c r="V1328" s="4">
        <v>12</v>
      </c>
      <c r="W1328" s="4">
        <v>12</v>
      </c>
      <c r="X1328" s="4">
        <v>0</v>
      </c>
      <c r="Y1328" s="4"/>
      <c r="Z1328" s="4">
        <v>151.21</v>
      </c>
      <c r="AA1328" s="4">
        <v>150</v>
      </c>
      <c r="AB1328" s="18"/>
      <c r="AC1328" s="18">
        <v>24</v>
      </c>
      <c r="AD1328" s="28"/>
      <c r="AE1328" s="26"/>
      <c r="AF1328" s="28"/>
    </row>
    <row r="1329" spans="1:32" ht="12.6" customHeight="1" x14ac:dyDescent="0.25">
      <c r="A1329" s="14">
        <v>45821</v>
      </c>
      <c r="B1329" s="14" t="s">
        <v>46</v>
      </c>
      <c r="C1329" s="15">
        <v>2</v>
      </c>
      <c r="D1329" s="16"/>
      <c r="E1329" s="16"/>
      <c r="F1329" s="17"/>
      <c r="G1329" s="21"/>
      <c r="H1329" s="21"/>
      <c r="I1329" s="4">
        <v>0</v>
      </c>
      <c r="J1329" s="4">
        <v>0</v>
      </c>
      <c r="K1329" s="4"/>
      <c r="L1329" s="16"/>
      <c r="M1329" s="4"/>
      <c r="N1329" s="4"/>
      <c r="O1329" s="4"/>
      <c r="P1329" s="4"/>
      <c r="Q1329" s="4"/>
      <c r="R1329" s="4"/>
      <c r="S1329" s="4">
        <v>0</v>
      </c>
      <c r="T1329" s="4">
        <v>0</v>
      </c>
      <c r="U1329" s="4">
        <v>0</v>
      </c>
      <c r="V1329" s="4">
        <v>12</v>
      </c>
      <c r="W1329" s="4">
        <v>12</v>
      </c>
      <c r="X1329" s="4">
        <v>0</v>
      </c>
      <c r="Y1329" s="4"/>
      <c r="Z1329" s="4">
        <v>131.12</v>
      </c>
      <c r="AA1329" s="4">
        <v>150</v>
      </c>
      <c r="AB1329" s="18"/>
      <c r="AC1329" s="18">
        <v>24</v>
      </c>
      <c r="AD1329" s="28"/>
      <c r="AE1329" s="26"/>
      <c r="AF1329" s="28"/>
    </row>
    <row r="1330" spans="1:32" ht="12.6" customHeight="1" x14ac:dyDescent="0.25">
      <c r="A1330" s="14">
        <v>45821</v>
      </c>
      <c r="B1330" s="14" t="s">
        <v>45</v>
      </c>
      <c r="C1330" s="15">
        <v>3</v>
      </c>
      <c r="D1330" s="16"/>
      <c r="E1330" s="16"/>
      <c r="F1330" s="17"/>
      <c r="G1330" s="21"/>
      <c r="H1330" s="21"/>
      <c r="I1330" s="4">
        <v>0</v>
      </c>
      <c r="J1330" s="4">
        <v>0</v>
      </c>
      <c r="K1330" s="4"/>
      <c r="L1330" s="16"/>
      <c r="M1330" s="4"/>
      <c r="N1330" s="4"/>
      <c r="O1330" s="4"/>
      <c r="P1330" s="4"/>
      <c r="Q1330" s="4"/>
      <c r="R1330" s="4"/>
      <c r="S1330" s="4">
        <v>0</v>
      </c>
      <c r="T1330" s="4">
        <v>0</v>
      </c>
      <c r="U1330" s="4">
        <v>0</v>
      </c>
      <c r="V1330" s="4">
        <v>12</v>
      </c>
      <c r="W1330" s="4">
        <v>12</v>
      </c>
      <c r="X1330" s="4">
        <v>0</v>
      </c>
      <c r="Y1330" s="4"/>
      <c r="Z1330" s="4">
        <v>292.81</v>
      </c>
      <c r="AA1330" s="4">
        <v>300</v>
      </c>
      <c r="AB1330" s="18"/>
      <c r="AC1330" s="18">
        <v>24</v>
      </c>
      <c r="AD1330" s="28"/>
      <c r="AE1330" s="26"/>
      <c r="AF1330" s="28"/>
    </row>
    <row r="1331" spans="1:32" ht="12.6" customHeight="1" x14ac:dyDescent="0.25">
      <c r="A1331" s="14">
        <v>45821</v>
      </c>
      <c r="B1331" s="14" t="s">
        <v>46</v>
      </c>
      <c r="C1331" s="15">
        <v>3</v>
      </c>
      <c r="D1331" s="16"/>
      <c r="E1331" s="16"/>
      <c r="F1331" s="17"/>
      <c r="G1331" s="21"/>
      <c r="H1331" s="21"/>
      <c r="I1331" s="4">
        <v>0</v>
      </c>
      <c r="J1331" s="4">
        <v>0</v>
      </c>
      <c r="K1331" s="4"/>
      <c r="L1331" s="16"/>
      <c r="M1331" s="4"/>
      <c r="N1331" s="4"/>
      <c r="O1331" s="4"/>
      <c r="P1331" s="4"/>
      <c r="Q1331" s="4"/>
      <c r="R1331" s="4"/>
      <c r="S1331" s="4">
        <v>0</v>
      </c>
      <c r="T1331" s="4">
        <v>0</v>
      </c>
      <c r="U1331" s="4">
        <v>0</v>
      </c>
      <c r="V1331" s="4">
        <v>12</v>
      </c>
      <c r="W1331" s="4">
        <v>12</v>
      </c>
      <c r="X1331" s="4">
        <v>0</v>
      </c>
      <c r="Y1331" s="4"/>
      <c r="Z1331" s="4">
        <v>265.14</v>
      </c>
      <c r="AA1331" s="4">
        <v>250</v>
      </c>
      <c r="AB1331" s="18"/>
      <c r="AC1331" s="18">
        <v>24</v>
      </c>
      <c r="AD1331" s="28"/>
      <c r="AE1331" s="26"/>
      <c r="AF1331" s="28"/>
    </row>
    <row r="1332" spans="1:32" ht="12.6" customHeight="1" x14ac:dyDescent="0.25">
      <c r="A1332" s="14">
        <v>45821</v>
      </c>
      <c r="B1332" s="14" t="s">
        <v>45</v>
      </c>
      <c r="C1332" s="15">
        <v>4</v>
      </c>
      <c r="D1332" s="16">
        <v>20</v>
      </c>
      <c r="E1332" s="16"/>
      <c r="F1332" s="17"/>
      <c r="G1332" s="21"/>
      <c r="H1332" s="21"/>
      <c r="I1332" s="4">
        <v>20</v>
      </c>
      <c r="J1332" s="4">
        <v>0.33333333333333331</v>
      </c>
      <c r="K1332" s="4"/>
      <c r="L1332" s="16"/>
      <c r="M1332" s="4"/>
      <c r="N1332" s="4"/>
      <c r="O1332" s="4"/>
      <c r="P1332" s="4"/>
      <c r="Q1332" s="4"/>
      <c r="R1332" s="4"/>
      <c r="S1332" s="4">
        <v>0</v>
      </c>
      <c r="T1332" s="4">
        <v>0</v>
      </c>
      <c r="U1332" s="4">
        <v>0.33333333333333331</v>
      </c>
      <c r="V1332" s="4">
        <v>11.666666666666666</v>
      </c>
      <c r="W1332" s="4">
        <v>12</v>
      </c>
      <c r="X1332" s="4">
        <v>0</v>
      </c>
      <c r="Y1332" s="4"/>
      <c r="Z1332" s="4">
        <v>512.17999999999995</v>
      </c>
      <c r="AA1332" s="4">
        <v>500</v>
      </c>
      <c r="AB1332" s="18"/>
      <c r="AC1332" s="18">
        <v>24</v>
      </c>
      <c r="AD1332" s="28"/>
      <c r="AE1332" s="26"/>
      <c r="AF1332" s="28"/>
    </row>
    <row r="1333" spans="1:32" ht="12.6" customHeight="1" x14ac:dyDescent="0.25">
      <c r="A1333" s="14">
        <v>45821</v>
      </c>
      <c r="B1333" s="14" t="s">
        <v>46</v>
      </c>
      <c r="C1333" s="15">
        <v>4</v>
      </c>
      <c r="D1333" s="16"/>
      <c r="E1333" s="16"/>
      <c r="F1333" s="17"/>
      <c r="G1333" s="21"/>
      <c r="H1333" s="21"/>
      <c r="I1333" s="4">
        <v>0</v>
      </c>
      <c r="J1333" s="4">
        <v>0</v>
      </c>
      <c r="K1333" s="4"/>
      <c r="L1333" s="16"/>
      <c r="M1333" s="4"/>
      <c r="N1333" s="4"/>
      <c r="O1333" s="4"/>
      <c r="P1333" s="4"/>
      <c r="Q1333" s="4"/>
      <c r="R1333" s="4"/>
      <c r="S1333" s="4">
        <v>0</v>
      </c>
      <c r="T1333" s="4">
        <v>0</v>
      </c>
      <c r="U1333" s="4">
        <v>0</v>
      </c>
      <c r="V1333" s="4">
        <v>12</v>
      </c>
      <c r="W1333" s="4">
        <v>12</v>
      </c>
      <c r="X1333" s="4">
        <v>0</v>
      </c>
      <c r="Y1333" s="4"/>
      <c r="Z1333" s="4">
        <v>613.09999999999991</v>
      </c>
      <c r="AA1333" s="4">
        <v>600</v>
      </c>
      <c r="AB1333" s="18"/>
      <c r="AC1333" s="18">
        <v>24</v>
      </c>
      <c r="AD1333" s="28"/>
      <c r="AE1333" s="26"/>
      <c r="AF1333" s="28"/>
    </row>
    <row r="1334" spans="1:32" ht="12.6" customHeight="1" x14ac:dyDescent="0.25">
      <c r="A1334" s="14">
        <v>45821</v>
      </c>
      <c r="B1334" s="14" t="s">
        <v>45</v>
      </c>
      <c r="C1334" s="15">
        <v>5</v>
      </c>
      <c r="D1334" s="16">
        <v>20</v>
      </c>
      <c r="E1334" s="16"/>
      <c r="F1334" s="17"/>
      <c r="G1334" s="21"/>
      <c r="H1334" s="21"/>
      <c r="I1334" s="4">
        <v>20</v>
      </c>
      <c r="J1334" s="4">
        <v>0.33333333333333331</v>
      </c>
      <c r="K1334" s="4"/>
      <c r="L1334" s="16"/>
      <c r="M1334" s="4"/>
      <c r="N1334" s="4"/>
      <c r="O1334" s="4"/>
      <c r="P1334" s="4"/>
      <c r="Q1334" s="4"/>
      <c r="R1334" s="4"/>
      <c r="S1334" s="4">
        <v>0</v>
      </c>
      <c r="T1334" s="4">
        <v>0</v>
      </c>
      <c r="U1334" s="4">
        <v>0.33333333333333331</v>
      </c>
      <c r="V1334" s="4">
        <v>11.666666666666666</v>
      </c>
      <c r="W1334" s="4">
        <v>12</v>
      </c>
      <c r="X1334" s="4">
        <v>0</v>
      </c>
      <c r="Y1334" s="4"/>
      <c r="Z1334" s="4">
        <v>480.57999999999993</v>
      </c>
      <c r="AA1334" s="4">
        <v>500</v>
      </c>
      <c r="AB1334" s="18"/>
      <c r="AC1334" s="18">
        <v>24</v>
      </c>
      <c r="AD1334" s="28"/>
      <c r="AE1334" s="26"/>
      <c r="AF1334" s="28"/>
    </row>
    <row r="1335" spans="1:32" ht="12.6" customHeight="1" x14ac:dyDescent="0.25">
      <c r="A1335" s="14">
        <v>45821</v>
      </c>
      <c r="B1335" s="14" t="s">
        <v>46</v>
      </c>
      <c r="C1335" s="15">
        <v>5</v>
      </c>
      <c r="D1335" s="16"/>
      <c r="E1335" s="16"/>
      <c r="F1335" s="17"/>
      <c r="G1335" s="21"/>
      <c r="H1335" s="21"/>
      <c r="I1335" s="4">
        <v>0</v>
      </c>
      <c r="J1335" s="4">
        <v>0</v>
      </c>
      <c r="K1335" s="4"/>
      <c r="L1335" s="16"/>
      <c r="M1335" s="4"/>
      <c r="N1335" s="4"/>
      <c r="O1335" s="4"/>
      <c r="P1335" s="4"/>
      <c r="Q1335" s="4"/>
      <c r="R1335" s="4"/>
      <c r="S1335" s="4">
        <v>0</v>
      </c>
      <c r="T1335" s="4">
        <v>0</v>
      </c>
      <c r="U1335" s="4">
        <v>0</v>
      </c>
      <c r="V1335" s="4">
        <v>12</v>
      </c>
      <c r="W1335" s="4">
        <v>12</v>
      </c>
      <c r="X1335" s="4">
        <v>0</v>
      </c>
      <c r="Y1335" s="4"/>
      <c r="Z1335" s="4">
        <v>494.21999999999997</v>
      </c>
      <c r="AA1335" s="4">
        <v>500</v>
      </c>
      <c r="AB1335" s="18"/>
      <c r="AC1335" s="18">
        <v>24</v>
      </c>
      <c r="AD1335" s="28"/>
      <c r="AE1335" s="26"/>
      <c r="AF1335" s="28"/>
    </row>
    <row r="1336" spans="1:32" ht="12.6" customHeight="1" x14ac:dyDescent="0.25">
      <c r="A1336" s="14">
        <v>45822</v>
      </c>
      <c r="B1336" s="14" t="s">
        <v>45</v>
      </c>
      <c r="C1336" s="15">
        <v>1</v>
      </c>
      <c r="D1336" s="16"/>
      <c r="E1336" s="16"/>
      <c r="F1336" s="17"/>
      <c r="G1336" s="21"/>
      <c r="H1336" s="21"/>
      <c r="I1336" s="4">
        <v>0</v>
      </c>
      <c r="J1336" s="4">
        <v>0</v>
      </c>
      <c r="K1336" s="4"/>
      <c r="L1336" s="16"/>
      <c r="M1336" s="4"/>
      <c r="N1336" s="4"/>
      <c r="O1336" s="4"/>
      <c r="P1336" s="4"/>
      <c r="Q1336" s="4"/>
      <c r="R1336" s="4"/>
      <c r="S1336" s="4">
        <v>0</v>
      </c>
      <c r="T1336" s="4">
        <v>0</v>
      </c>
      <c r="U1336" s="4">
        <v>0</v>
      </c>
      <c r="V1336" s="4">
        <v>12</v>
      </c>
      <c r="W1336" s="4">
        <v>12</v>
      </c>
      <c r="X1336" s="4">
        <v>34</v>
      </c>
      <c r="Y1336" s="4">
        <v>1671</v>
      </c>
      <c r="Z1336" s="4">
        <v>138.92000000000002</v>
      </c>
      <c r="AA1336" s="4">
        <v>100</v>
      </c>
      <c r="AB1336" s="18">
        <v>398</v>
      </c>
      <c r="AC1336" s="18">
        <v>24</v>
      </c>
      <c r="AD1336" s="28"/>
      <c r="AE1336" s="26"/>
      <c r="AF1336" s="28"/>
    </row>
    <row r="1337" spans="1:32" ht="12.6" customHeight="1" x14ac:dyDescent="0.25">
      <c r="A1337" s="14">
        <v>45822</v>
      </c>
      <c r="B1337" s="14" t="s">
        <v>46</v>
      </c>
      <c r="C1337" s="15">
        <v>1</v>
      </c>
      <c r="D1337" s="16"/>
      <c r="E1337" s="16"/>
      <c r="F1337" s="17"/>
      <c r="G1337" s="21"/>
      <c r="H1337" s="21"/>
      <c r="I1337" s="4">
        <v>0</v>
      </c>
      <c r="J1337" s="4">
        <v>0</v>
      </c>
      <c r="K1337" s="4"/>
      <c r="L1337" s="16"/>
      <c r="M1337" s="4"/>
      <c r="N1337" s="4"/>
      <c r="O1337" s="4"/>
      <c r="P1337" s="4"/>
      <c r="Q1337" s="4"/>
      <c r="R1337" s="4"/>
      <c r="S1337" s="4">
        <v>0</v>
      </c>
      <c r="T1337" s="4">
        <v>0</v>
      </c>
      <c r="U1337" s="4">
        <v>0</v>
      </c>
      <c r="V1337" s="4">
        <v>12</v>
      </c>
      <c r="W1337" s="4">
        <v>12</v>
      </c>
      <c r="X1337" s="4">
        <v>23</v>
      </c>
      <c r="Y1337" s="4"/>
      <c r="Z1337" s="4">
        <v>148.38999999999999</v>
      </c>
      <c r="AA1337" s="4">
        <v>150</v>
      </c>
      <c r="AB1337" s="18"/>
      <c r="AC1337" s="18">
        <v>24</v>
      </c>
      <c r="AD1337" s="28"/>
      <c r="AE1337" s="26"/>
      <c r="AF1337" s="28"/>
    </row>
    <row r="1338" spans="1:32" ht="12.6" customHeight="1" x14ac:dyDescent="0.25">
      <c r="A1338" s="14">
        <v>45822</v>
      </c>
      <c r="B1338" s="14" t="s">
        <v>45</v>
      </c>
      <c r="C1338" s="15">
        <v>2</v>
      </c>
      <c r="D1338" s="16"/>
      <c r="E1338" s="16"/>
      <c r="F1338" s="17"/>
      <c r="G1338" s="21"/>
      <c r="H1338" s="21"/>
      <c r="I1338" s="4">
        <v>0</v>
      </c>
      <c r="J1338" s="4">
        <v>0</v>
      </c>
      <c r="K1338" s="4"/>
      <c r="L1338" s="16"/>
      <c r="M1338" s="4"/>
      <c r="N1338" s="4"/>
      <c r="O1338" s="4"/>
      <c r="P1338" s="4"/>
      <c r="Q1338" s="4"/>
      <c r="R1338" s="4"/>
      <c r="S1338" s="4">
        <v>0</v>
      </c>
      <c r="T1338" s="4">
        <v>0</v>
      </c>
      <c r="U1338" s="4">
        <v>0</v>
      </c>
      <c r="V1338" s="4">
        <v>12</v>
      </c>
      <c r="W1338" s="4">
        <v>12</v>
      </c>
      <c r="X1338" s="4">
        <v>0</v>
      </c>
      <c r="Y1338" s="4"/>
      <c r="Z1338" s="4">
        <v>125.71999999999998</v>
      </c>
      <c r="AA1338" s="4">
        <v>150</v>
      </c>
      <c r="AB1338" s="18"/>
      <c r="AC1338" s="18">
        <v>24</v>
      </c>
      <c r="AD1338" s="28"/>
      <c r="AE1338" s="26"/>
      <c r="AF1338" s="28"/>
    </row>
    <row r="1339" spans="1:32" ht="12.6" customHeight="1" x14ac:dyDescent="0.25">
      <c r="A1339" s="14">
        <v>45822</v>
      </c>
      <c r="B1339" s="14" t="s">
        <v>46</v>
      </c>
      <c r="C1339" s="15">
        <v>2</v>
      </c>
      <c r="D1339" s="16"/>
      <c r="E1339" s="16"/>
      <c r="F1339" s="17"/>
      <c r="G1339" s="21"/>
      <c r="H1339" s="21"/>
      <c r="I1339" s="4">
        <v>0</v>
      </c>
      <c r="J1339" s="4">
        <v>0</v>
      </c>
      <c r="K1339" s="4"/>
      <c r="L1339" s="16"/>
      <c r="M1339" s="4"/>
      <c r="N1339" s="4"/>
      <c r="O1339" s="4"/>
      <c r="P1339" s="4"/>
      <c r="Q1339" s="4"/>
      <c r="R1339" s="4"/>
      <c r="S1339" s="4">
        <v>0</v>
      </c>
      <c r="T1339" s="4">
        <v>0</v>
      </c>
      <c r="U1339" s="4">
        <v>0</v>
      </c>
      <c r="V1339" s="4">
        <v>12</v>
      </c>
      <c r="W1339" s="4">
        <v>12</v>
      </c>
      <c r="X1339" s="4">
        <v>0</v>
      </c>
      <c r="Y1339" s="4"/>
      <c r="Z1339" s="4">
        <v>142.64999999999998</v>
      </c>
      <c r="AA1339" s="4">
        <v>150</v>
      </c>
      <c r="AB1339" s="18"/>
      <c r="AC1339" s="18">
        <v>24</v>
      </c>
      <c r="AD1339" s="28"/>
      <c r="AE1339" s="26"/>
      <c r="AF1339" s="28"/>
    </row>
    <row r="1340" spans="1:32" ht="12.6" customHeight="1" x14ac:dyDescent="0.25">
      <c r="A1340" s="14">
        <v>45822</v>
      </c>
      <c r="B1340" s="14" t="s">
        <v>45</v>
      </c>
      <c r="C1340" s="15">
        <v>3</v>
      </c>
      <c r="D1340" s="16"/>
      <c r="E1340" s="16"/>
      <c r="F1340" s="17"/>
      <c r="G1340" s="21"/>
      <c r="H1340" s="21"/>
      <c r="I1340" s="4">
        <v>0</v>
      </c>
      <c r="J1340" s="4">
        <v>0</v>
      </c>
      <c r="K1340" s="4"/>
      <c r="L1340" s="16"/>
      <c r="M1340" s="4"/>
      <c r="N1340" s="4"/>
      <c r="O1340" s="4"/>
      <c r="P1340" s="4"/>
      <c r="Q1340" s="4"/>
      <c r="R1340" s="4"/>
      <c r="S1340" s="4">
        <v>0</v>
      </c>
      <c r="T1340" s="4">
        <v>0</v>
      </c>
      <c r="U1340" s="4">
        <v>0</v>
      </c>
      <c r="V1340" s="4">
        <v>12</v>
      </c>
      <c r="W1340" s="4">
        <v>12</v>
      </c>
      <c r="X1340" s="4">
        <v>0</v>
      </c>
      <c r="Y1340" s="4"/>
      <c r="Z1340" s="4">
        <v>241.20999999999998</v>
      </c>
      <c r="AA1340" s="4">
        <v>250</v>
      </c>
      <c r="AB1340" s="18"/>
      <c r="AC1340" s="18">
        <v>24</v>
      </c>
      <c r="AD1340" s="28"/>
      <c r="AE1340" s="26"/>
      <c r="AF1340" s="28"/>
    </row>
    <row r="1341" spans="1:32" ht="12.6" customHeight="1" x14ac:dyDescent="0.25">
      <c r="A1341" s="14">
        <v>45822</v>
      </c>
      <c r="B1341" s="14" t="s">
        <v>46</v>
      </c>
      <c r="C1341" s="15">
        <v>3</v>
      </c>
      <c r="D1341" s="16"/>
      <c r="E1341" s="16"/>
      <c r="F1341" s="17"/>
      <c r="G1341" s="21"/>
      <c r="H1341" s="21"/>
      <c r="I1341" s="4">
        <v>0</v>
      </c>
      <c r="J1341" s="4">
        <v>0</v>
      </c>
      <c r="K1341" s="4"/>
      <c r="L1341" s="16"/>
      <c r="M1341" s="4"/>
      <c r="N1341" s="4"/>
      <c r="O1341" s="4"/>
      <c r="P1341" s="4"/>
      <c r="Q1341" s="4"/>
      <c r="R1341" s="4"/>
      <c r="S1341" s="4">
        <v>0</v>
      </c>
      <c r="T1341" s="4">
        <v>0</v>
      </c>
      <c r="U1341" s="4">
        <v>0</v>
      </c>
      <c r="V1341" s="4">
        <v>12</v>
      </c>
      <c r="W1341" s="4">
        <v>12</v>
      </c>
      <c r="X1341" s="4">
        <v>0</v>
      </c>
      <c r="Y1341" s="4"/>
      <c r="Z1341" s="4">
        <v>272.83</v>
      </c>
      <c r="AA1341" s="4">
        <v>300</v>
      </c>
      <c r="AB1341" s="18"/>
      <c r="AC1341" s="18">
        <v>24</v>
      </c>
      <c r="AD1341" s="28"/>
      <c r="AE1341" s="26"/>
      <c r="AF1341" s="28"/>
    </row>
    <row r="1342" spans="1:32" ht="12.6" customHeight="1" x14ac:dyDescent="0.25">
      <c r="A1342" s="14">
        <v>45822</v>
      </c>
      <c r="B1342" s="14" t="s">
        <v>45</v>
      </c>
      <c r="C1342" s="15">
        <v>4</v>
      </c>
      <c r="D1342" s="16"/>
      <c r="E1342" s="16"/>
      <c r="F1342" s="17"/>
      <c r="G1342" s="21"/>
      <c r="H1342" s="21"/>
      <c r="I1342" s="4">
        <v>0</v>
      </c>
      <c r="J1342" s="4">
        <v>0</v>
      </c>
      <c r="K1342" s="4"/>
      <c r="L1342" s="16"/>
      <c r="M1342" s="4"/>
      <c r="N1342" s="4"/>
      <c r="O1342" s="4"/>
      <c r="P1342" s="4"/>
      <c r="Q1342" s="4"/>
      <c r="R1342" s="4"/>
      <c r="S1342" s="4">
        <v>0</v>
      </c>
      <c r="T1342" s="4">
        <v>0</v>
      </c>
      <c r="U1342" s="4">
        <v>0</v>
      </c>
      <c r="V1342" s="4">
        <v>12</v>
      </c>
      <c r="W1342" s="4">
        <v>12</v>
      </c>
      <c r="X1342" s="4">
        <v>0</v>
      </c>
      <c r="Y1342" s="4"/>
      <c r="Z1342" s="4">
        <v>570.17999999999995</v>
      </c>
      <c r="AA1342" s="4">
        <v>600</v>
      </c>
      <c r="AB1342" s="18"/>
      <c r="AC1342" s="18">
        <v>24</v>
      </c>
      <c r="AD1342" s="28"/>
      <c r="AE1342" s="26"/>
      <c r="AF1342" s="28"/>
    </row>
    <row r="1343" spans="1:32" ht="12.6" customHeight="1" x14ac:dyDescent="0.25">
      <c r="A1343" s="14">
        <v>45822</v>
      </c>
      <c r="B1343" s="14" t="s">
        <v>46</v>
      </c>
      <c r="C1343" s="15">
        <v>4</v>
      </c>
      <c r="D1343" s="16"/>
      <c r="E1343" s="16"/>
      <c r="F1343" s="17"/>
      <c r="G1343" s="21"/>
      <c r="H1343" s="21"/>
      <c r="I1343" s="4">
        <v>0</v>
      </c>
      <c r="J1343" s="4">
        <v>0</v>
      </c>
      <c r="K1343" s="4"/>
      <c r="L1343" s="16"/>
      <c r="M1343" s="4"/>
      <c r="N1343" s="4"/>
      <c r="O1343" s="4"/>
      <c r="P1343" s="4"/>
      <c r="Q1343" s="4"/>
      <c r="R1343" s="4"/>
      <c r="S1343" s="4">
        <v>0</v>
      </c>
      <c r="T1343" s="4">
        <v>0</v>
      </c>
      <c r="U1343" s="4">
        <v>0</v>
      </c>
      <c r="V1343" s="4">
        <v>12</v>
      </c>
      <c r="W1343" s="4">
        <v>12</v>
      </c>
      <c r="X1343" s="4">
        <v>0</v>
      </c>
      <c r="Y1343" s="4"/>
      <c r="Z1343" s="4">
        <v>759.56</v>
      </c>
      <c r="AA1343" s="4">
        <v>750</v>
      </c>
      <c r="AB1343" s="18"/>
      <c r="AC1343" s="18">
        <v>24</v>
      </c>
      <c r="AD1343" s="28"/>
      <c r="AE1343" s="26"/>
      <c r="AF1343" s="28"/>
    </row>
    <row r="1344" spans="1:32" ht="12.6" customHeight="1" x14ac:dyDescent="0.25">
      <c r="A1344" s="14">
        <v>45822</v>
      </c>
      <c r="B1344" s="14" t="s">
        <v>45</v>
      </c>
      <c r="C1344" s="15">
        <v>5</v>
      </c>
      <c r="D1344" s="16"/>
      <c r="E1344" s="16"/>
      <c r="F1344" s="17"/>
      <c r="G1344" s="21"/>
      <c r="H1344" s="21"/>
      <c r="I1344" s="4">
        <v>0</v>
      </c>
      <c r="J1344" s="4">
        <v>0</v>
      </c>
      <c r="K1344" s="4"/>
      <c r="L1344" s="16"/>
      <c r="M1344" s="4"/>
      <c r="N1344" s="4"/>
      <c r="O1344" s="4"/>
      <c r="P1344" s="4"/>
      <c r="Q1344" s="4"/>
      <c r="R1344" s="4"/>
      <c r="S1344" s="4">
        <v>0</v>
      </c>
      <c r="T1344" s="4">
        <v>0</v>
      </c>
      <c r="U1344" s="4">
        <v>0</v>
      </c>
      <c r="V1344" s="4">
        <v>12</v>
      </c>
      <c r="W1344" s="4">
        <v>12</v>
      </c>
      <c r="X1344" s="4">
        <v>0</v>
      </c>
      <c r="Y1344" s="4"/>
      <c r="Z1344" s="4">
        <v>389.33</v>
      </c>
      <c r="AA1344" s="4">
        <v>400</v>
      </c>
      <c r="AB1344" s="18"/>
      <c r="AC1344" s="18">
        <v>24</v>
      </c>
      <c r="AD1344" s="28"/>
      <c r="AE1344" s="26"/>
      <c r="AF1344" s="28"/>
    </row>
    <row r="1345" spans="1:32" ht="12.6" customHeight="1" x14ac:dyDescent="0.25">
      <c r="A1345" s="14">
        <v>45822</v>
      </c>
      <c r="B1345" s="14" t="s">
        <v>46</v>
      </c>
      <c r="C1345" s="15">
        <v>5</v>
      </c>
      <c r="D1345" s="16">
        <v>20</v>
      </c>
      <c r="E1345" s="16"/>
      <c r="F1345" s="17"/>
      <c r="G1345" s="21"/>
      <c r="H1345" s="21"/>
      <c r="I1345" s="4">
        <v>20</v>
      </c>
      <c r="J1345" s="4">
        <v>0.33333333333333331</v>
      </c>
      <c r="K1345" s="4"/>
      <c r="L1345" s="16"/>
      <c r="M1345" s="4"/>
      <c r="N1345" s="4"/>
      <c r="O1345" s="4"/>
      <c r="P1345" s="4"/>
      <c r="Q1345" s="4"/>
      <c r="R1345" s="4"/>
      <c r="S1345" s="4">
        <v>0</v>
      </c>
      <c r="T1345" s="4">
        <v>0</v>
      </c>
      <c r="U1345" s="4">
        <v>0.33333333333333331</v>
      </c>
      <c r="V1345" s="4">
        <v>11.666666666666666</v>
      </c>
      <c r="W1345" s="4">
        <v>12</v>
      </c>
      <c r="X1345" s="4">
        <v>0</v>
      </c>
      <c r="Y1345" s="4"/>
      <c r="Z1345" s="4">
        <v>439.98</v>
      </c>
      <c r="AA1345" s="4">
        <v>450</v>
      </c>
      <c r="AB1345" s="18"/>
      <c r="AC1345" s="18">
        <v>24</v>
      </c>
      <c r="AD1345" s="28"/>
      <c r="AE1345" s="26"/>
      <c r="AF1345" s="28"/>
    </row>
    <row r="1346" spans="1:32" ht="12.6" customHeight="1" x14ac:dyDescent="0.25">
      <c r="A1346" s="14">
        <v>45823</v>
      </c>
      <c r="B1346" s="14" t="s">
        <v>45</v>
      </c>
      <c r="C1346" s="15">
        <v>1</v>
      </c>
      <c r="D1346" s="16"/>
      <c r="E1346" s="16"/>
      <c r="F1346" s="17"/>
      <c r="G1346" s="21"/>
      <c r="H1346" s="21"/>
      <c r="I1346" s="4">
        <v>0</v>
      </c>
      <c r="J1346" s="4">
        <v>0</v>
      </c>
      <c r="K1346" s="4"/>
      <c r="L1346" s="16"/>
      <c r="M1346" s="4"/>
      <c r="N1346" s="4"/>
      <c r="O1346" s="4"/>
      <c r="P1346" s="4"/>
      <c r="Q1346" s="4"/>
      <c r="R1346" s="4"/>
      <c r="S1346" s="4">
        <v>0</v>
      </c>
      <c r="T1346" s="4">
        <v>0</v>
      </c>
      <c r="U1346" s="4">
        <v>0</v>
      </c>
      <c r="V1346" s="4">
        <v>12</v>
      </c>
      <c r="W1346" s="4">
        <v>12</v>
      </c>
      <c r="X1346" s="4">
        <v>25</v>
      </c>
      <c r="Y1346" s="4">
        <v>1716</v>
      </c>
      <c r="Z1346" s="4">
        <v>153.61000000000001</v>
      </c>
      <c r="AA1346" s="4">
        <v>150</v>
      </c>
      <c r="AB1346" s="18">
        <v>398</v>
      </c>
      <c r="AC1346" s="18">
        <v>24</v>
      </c>
      <c r="AD1346" s="28"/>
      <c r="AE1346" s="26"/>
      <c r="AF1346" s="28"/>
    </row>
    <row r="1347" spans="1:32" ht="12.6" customHeight="1" x14ac:dyDescent="0.25">
      <c r="A1347" s="14">
        <v>45823</v>
      </c>
      <c r="B1347" s="14" t="s">
        <v>46</v>
      </c>
      <c r="C1347" s="15">
        <v>1</v>
      </c>
      <c r="D1347" s="16"/>
      <c r="E1347" s="16"/>
      <c r="F1347" s="17"/>
      <c r="G1347" s="21"/>
      <c r="H1347" s="21"/>
      <c r="I1347" s="4">
        <v>0</v>
      </c>
      <c r="J1347" s="4">
        <v>0</v>
      </c>
      <c r="K1347" s="4"/>
      <c r="L1347" s="16"/>
      <c r="M1347" s="4"/>
      <c r="N1347" s="4"/>
      <c r="O1347" s="4"/>
      <c r="P1347" s="4"/>
      <c r="Q1347" s="4"/>
      <c r="R1347" s="4"/>
      <c r="S1347" s="4">
        <v>0</v>
      </c>
      <c r="T1347" s="4">
        <v>0</v>
      </c>
      <c r="U1347" s="4">
        <v>0</v>
      </c>
      <c r="V1347" s="4">
        <v>12</v>
      </c>
      <c r="W1347" s="4">
        <v>12</v>
      </c>
      <c r="X1347" s="4">
        <v>20</v>
      </c>
      <c r="Y1347" s="4"/>
      <c r="Z1347" s="4">
        <v>144.13999999999999</v>
      </c>
      <c r="AA1347" s="4">
        <v>150</v>
      </c>
      <c r="AB1347" s="18"/>
      <c r="AC1347" s="18">
        <v>24</v>
      </c>
      <c r="AD1347" s="28"/>
      <c r="AE1347" s="26"/>
      <c r="AF1347" s="28"/>
    </row>
    <row r="1348" spans="1:32" ht="12.6" customHeight="1" x14ac:dyDescent="0.25">
      <c r="A1348" s="14">
        <v>45823</v>
      </c>
      <c r="B1348" s="14" t="s">
        <v>45</v>
      </c>
      <c r="C1348" s="15">
        <v>2</v>
      </c>
      <c r="D1348" s="16"/>
      <c r="E1348" s="16"/>
      <c r="F1348" s="17"/>
      <c r="G1348" s="21"/>
      <c r="H1348" s="21"/>
      <c r="I1348" s="4">
        <v>0</v>
      </c>
      <c r="J1348" s="4">
        <v>0</v>
      </c>
      <c r="K1348" s="4"/>
      <c r="L1348" s="16"/>
      <c r="M1348" s="4"/>
      <c r="N1348" s="4"/>
      <c r="O1348" s="4"/>
      <c r="P1348" s="4"/>
      <c r="Q1348" s="4"/>
      <c r="R1348" s="4"/>
      <c r="S1348" s="4">
        <v>0</v>
      </c>
      <c r="T1348" s="4">
        <v>0</v>
      </c>
      <c r="U1348" s="4">
        <v>0</v>
      </c>
      <c r="V1348" s="4">
        <v>12</v>
      </c>
      <c r="W1348" s="4">
        <v>12</v>
      </c>
      <c r="X1348" s="4">
        <v>0</v>
      </c>
      <c r="Y1348" s="4"/>
      <c r="Z1348" s="4">
        <v>153.23999999999998</v>
      </c>
      <c r="AA1348" s="4">
        <v>150</v>
      </c>
      <c r="AB1348" s="18"/>
      <c r="AC1348" s="18">
        <v>24</v>
      </c>
      <c r="AD1348" s="28"/>
      <c r="AE1348" s="26"/>
      <c r="AF1348" s="28"/>
    </row>
    <row r="1349" spans="1:32" ht="12.6" customHeight="1" x14ac:dyDescent="0.25">
      <c r="A1349" s="14">
        <v>45823</v>
      </c>
      <c r="B1349" s="14" t="s">
        <v>46</v>
      </c>
      <c r="C1349" s="15">
        <v>2</v>
      </c>
      <c r="D1349" s="16"/>
      <c r="E1349" s="16"/>
      <c r="F1349" s="17"/>
      <c r="G1349" s="21"/>
      <c r="H1349" s="21"/>
      <c r="I1349" s="4">
        <v>0</v>
      </c>
      <c r="J1349" s="4">
        <v>0</v>
      </c>
      <c r="K1349" s="4"/>
      <c r="L1349" s="16"/>
      <c r="M1349" s="4"/>
      <c r="N1349" s="4"/>
      <c r="O1349" s="4"/>
      <c r="P1349" s="4"/>
      <c r="Q1349" s="4"/>
      <c r="R1349" s="4"/>
      <c r="S1349" s="4">
        <v>0</v>
      </c>
      <c r="T1349" s="4">
        <v>0</v>
      </c>
      <c r="U1349" s="4">
        <v>0</v>
      </c>
      <c r="V1349" s="4">
        <v>12</v>
      </c>
      <c r="W1349" s="4">
        <v>12</v>
      </c>
      <c r="X1349" s="4">
        <v>0</v>
      </c>
      <c r="Y1349" s="4"/>
      <c r="Z1349" s="4">
        <v>149.13</v>
      </c>
      <c r="AA1349" s="4">
        <v>150</v>
      </c>
      <c r="AB1349" s="18"/>
      <c r="AC1349" s="18">
        <v>24</v>
      </c>
      <c r="AD1349" s="28"/>
      <c r="AE1349" s="26"/>
      <c r="AF1349" s="28"/>
    </row>
    <row r="1350" spans="1:32" ht="12.6" customHeight="1" x14ac:dyDescent="0.25">
      <c r="A1350" s="14">
        <v>45823</v>
      </c>
      <c r="B1350" s="14" t="s">
        <v>45</v>
      </c>
      <c r="C1350" s="15">
        <v>3</v>
      </c>
      <c r="D1350" s="16"/>
      <c r="E1350" s="16"/>
      <c r="F1350" s="17"/>
      <c r="G1350" s="21"/>
      <c r="H1350" s="21"/>
      <c r="I1350" s="4">
        <v>0</v>
      </c>
      <c r="J1350" s="4">
        <v>0</v>
      </c>
      <c r="K1350" s="4"/>
      <c r="L1350" s="16"/>
      <c r="M1350" s="4"/>
      <c r="N1350" s="4"/>
      <c r="O1350" s="4"/>
      <c r="P1350" s="4"/>
      <c r="Q1350" s="4"/>
      <c r="R1350" s="4"/>
      <c r="S1350" s="4">
        <v>0</v>
      </c>
      <c r="T1350" s="4">
        <v>0</v>
      </c>
      <c r="U1350" s="4">
        <v>0</v>
      </c>
      <c r="V1350" s="4">
        <v>12</v>
      </c>
      <c r="W1350" s="4">
        <v>12</v>
      </c>
      <c r="X1350" s="4">
        <v>0</v>
      </c>
      <c r="Y1350" s="4"/>
      <c r="Z1350" s="4">
        <v>277.42</v>
      </c>
      <c r="AA1350" s="4">
        <v>300</v>
      </c>
      <c r="AB1350" s="18"/>
      <c r="AC1350" s="18">
        <v>24</v>
      </c>
      <c r="AD1350" s="28"/>
      <c r="AE1350" s="26"/>
      <c r="AF1350" s="28"/>
    </row>
    <row r="1351" spans="1:32" ht="12.6" customHeight="1" x14ac:dyDescent="0.25">
      <c r="A1351" s="14">
        <v>45823</v>
      </c>
      <c r="B1351" s="14" t="s">
        <v>46</v>
      </c>
      <c r="C1351" s="15">
        <v>3</v>
      </c>
      <c r="D1351" s="16"/>
      <c r="E1351" s="16"/>
      <c r="F1351" s="17"/>
      <c r="G1351" s="21"/>
      <c r="H1351" s="21"/>
      <c r="I1351" s="4">
        <v>0</v>
      </c>
      <c r="J1351" s="4">
        <v>0</v>
      </c>
      <c r="K1351" s="4"/>
      <c r="L1351" s="16"/>
      <c r="M1351" s="4"/>
      <c r="N1351" s="4"/>
      <c r="O1351" s="4"/>
      <c r="P1351" s="4"/>
      <c r="Q1351" s="4"/>
      <c r="R1351" s="4"/>
      <c r="S1351" s="4">
        <v>0</v>
      </c>
      <c r="T1351" s="4">
        <v>0</v>
      </c>
      <c r="U1351" s="4">
        <v>0</v>
      </c>
      <c r="V1351" s="4">
        <v>12</v>
      </c>
      <c r="W1351" s="4">
        <v>12</v>
      </c>
      <c r="X1351" s="4">
        <v>0</v>
      </c>
      <c r="Y1351" s="4"/>
      <c r="Z1351" s="4">
        <v>233.72</v>
      </c>
      <c r="AA1351" s="4">
        <v>250</v>
      </c>
      <c r="AB1351" s="18"/>
      <c r="AC1351" s="18">
        <v>24</v>
      </c>
      <c r="AD1351" s="28"/>
      <c r="AE1351" s="26"/>
      <c r="AF1351" s="28"/>
    </row>
    <row r="1352" spans="1:32" ht="12.6" customHeight="1" x14ac:dyDescent="0.25">
      <c r="A1352" s="14">
        <v>45823</v>
      </c>
      <c r="B1352" s="14" t="s">
        <v>45</v>
      </c>
      <c r="C1352" s="15">
        <v>4</v>
      </c>
      <c r="D1352" s="16"/>
      <c r="E1352" s="16"/>
      <c r="F1352" s="17"/>
      <c r="G1352" s="21"/>
      <c r="H1352" s="21"/>
      <c r="I1352" s="4">
        <v>0</v>
      </c>
      <c r="J1352" s="4">
        <v>0</v>
      </c>
      <c r="K1352" s="4"/>
      <c r="L1352" s="16"/>
      <c r="M1352" s="4"/>
      <c r="N1352" s="4"/>
      <c r="O1352" s="4"/>
      <c r="P1352" s="4"/>
      <c r="Q1352" s="4"/>
      <c r="R1352" s="4"/>
      <c r="S1352" s="4">
        <v>0</v>
      </c>
      <c r="T1352" s="4">
        <v>0</v>
      </c>
      <c r="U1352" s="4">
        <v>0</v>
      </c>
      <c r="V1352" s="4">
        <v>12</v>
      </c>
      <c r="W1352" s="4">
        <v>12</v>
      </c>
      <c r="X1352" s="4">
        <v>0</v>
      </c>
      <c r="Y1352" s="4"/>
      <c r="Z1352" s="4">
        <v>652.45000000000005</v>
      </c>
      <c r="AA1352" s="4">
        <v>650</v>
      </c>
      <c r="AB1352" s="18"/>
      <c r="AC1352" s="18">
        <v>24</v>
      </c>
      <c r="AD1352" s="28"/>
      <c r="AE1352" s="26"/>
      <c r="AF1352" s="28"/>
    </row>
    <row r="1353" spans="1:32" ht="12.6" customHeight="1" x14ac:dyDescent="0.25">
      <c r="A1353" s="14">
        <v>45823</v>
      </c>
      <c r="B1353" s="14" t="s">
        <v>46</v>
      </c>
      <c r="C1353" s="15">
        <v>4</v>
      </c>
      <c r="D1353" s="16"/>
      <c r="E1353" s="16"/>
      <c r="F1353" s="17"/>
      <c r="G1353" s="21"/>
      <c r="H1353" s="21"/>
      <c r="I1353" s="4">
        <v>0</v>
      </c>
      <c r="J1353" s="4">
        <v>0</v>
      </c>
      <c r="K1353" s="4"/>
      <c r="L1353" s="16"/>
      <c r="M1353" s="4"/>
      <c r="N1353" s="4">
        <v>20</v>
      </c>
      <c r="O1353" s="4"/>
      <c r="P1353" s="4"/>
      <c r="Q1353" s="4"/>
      <c r="R1353" s="4"/>
      <c r="S1353" s="4">
        <v>20</v>
      </c>
      <c r="T1353" s="4">
        <v>0.33333333333333331</v>
      </c>
      <c r="U1353" s="4">
        <v>0.33333333333333331</v>
      </c>
      <c r="V1353" s="4">
        <v>11.666666666666666</v>
      </c>
      <c r="W1353" s="4">
        <v>12</v>
      </c>
      <c r="X1353" s="4">
        <v>0</v>
      </c>
      <c r="Y1353" s="4"/>
      <c r="Z1353" s="4">
        <v>624.93999999999994</v>
      </c>
      <c r="AA1353" s="4">
        <v>650</v>
      </c>
      <c r="AB1353" s="18"/>
      <c r="AC1353" s="18">
        <v>24</v>
      </c>
      <c r="AD1353" s="28"/>
      <c r="AE1353" s="26"/>
      <c r="AF1353" s="28"/>
    </row>
    <row r="1354" spans="1:32" ht="12.6" customHeight="1" x14ac:dyDescent="0.25">
      <c r="A1354" s="14">
        <v>45823</v>
      </c>
      <c r="B1354" s="14" t="s">
        <v>45</v>
      </c>
      <c r="C1354" s="15">
        <v>5</v>
      </c>
      <c r="D1354" s="16"/>
      <c r="E1354" s="16"/>
      <c r="F1354" s="17"/>
      <c r="G1354" s="21"/>
      <c r="H1354" s="21"/>
      <c r="I1354" s="4">
        <v>0</v>
      </c>
      <c r="J1354" s="4">
        <v>0</v>
      </c>
      <c r="K1354" s="4"/>
      <c r="L1354" s="16"/>
      <c r="M1354" s="4"/>
      <c r="N1354" s="4"/>
      <c r="O1354" s="4"/>
      <c r="P1354" s="4"/>
      <c r="Q1354" s="4"/>
      <c r="R1354" s="4"/>
      <c r="S1354" s="4">
        <v>0</v>
      </c>
      <c r="T1354" s="4">
        <v>0</v>
      </c>
      <c r="U1354" s="4">
        <v>0</v>
      </c>
      <c r="V1354" s="4">
        <v>12</v>
      </c>
      <c r="W1354" s="4">
        <v>12</v>
      </c>
      <c r="X1354" s="4">
        <v>0</v>
      </c>
      <c r="Y1354" s="4"/>
      <c r="Z1354" s="4">
        <v>446.67999999999995</v>
      </c>
      <c r="AA1354" s="4">
        <v>450</v>
      </c>
      <c r="AB1354" s="18"/>
      <c r="AC1354" s="18">
        <v>24</v>
      </c>
      <c r="AD1354" s="28"/>
      <c r="AE1354" s="26"/>
      <c r="AF1354" s="28"/>
    </row>
    <row r="1355" spans="1:32" ht="12.6" customHeight="1" x14ac:dyDescent="0.25">
      <c r="A1355" s="14">
        <v>45823</v>
      </c>
      <c r="B1355" s="14" t="s">
        <v>46</v>
      </c>
      <c r="C1355" s="15">
        <v>5</v>
      </c>
      <c r="D1355" s="16">
        <v>20</v>
      </c>
      <c r="E1355" s="16"/>
      <c r="F1355" s="17"/>
      <c r="G1355" s="21"/>
      <c r="H1355" s="21"/>
      <c r="I1355" s="4">
        <v>20</v>
      </c>
      <c r="J1355" s="4">
        <v>0.33333333333333331</v>
      </c>
      <c r="K1355" s="4"/>
      <c r="L1355" s="16"/>
      <c r="M1355" s="4"/>
      <c r="N1355" s="4">
        <v>10</v>
      </c>
      <c r="O1355" s="4"/>
      <c r="P1355" s="4"/>
      <c r="Q1355" s="4"/>
      <c r="R1355" s="4"/>
      <c r="S1355" s="4">
        <v>10</v>
      </c>
      <c r="T1355" s="4">
        <v>0.16666666666666666</v>
      </c>
      <c r="U1355" s="4">
        <v>0.5</v>
      </c>
      <c r="V1355" s="4">
        <v>11.5</v>
      </c>
      <c r="W1355" s="4">
        <v>12</v>
      </c>
      <c r="X1355" s="4">
        <v>0</v>
      </c>
      <c r="Y1355" s="4"/>
      <c r="Z1355" s="4">
        <v>493.31</v>
      </c>
      <c r="AA1355" s="4">
        <v>500</v>
      </c>
      <c r="AB1355" s="18"/>
      <c r="AC1355" s="18">
        <v>24</v>
      </c>
      <c r="AD1355" s="28"/>
      <c r="AE1355" s="26"/>
      <c r="AF1355" s="28"/>
    </row>
    <row r="1356" spans="1:32" ht="12.4" customHeight="1" x14ac:dyDescent="0.25">
      <c r="A1356" s="14">
        <v>45824</v>
      </c>
      <c r="B1356" s="14" t="s">
        <v>45</v>
      </c>
      <c r="C1356" s="15">
        <v>1</v>
      </c>
      <c r="D1356" s="16"/>
      <c r="E1356" s="16"/>
      <c r="F1356" s="17"/>
      <c r="G1356" s="21"/>
      <c r="H1356" s="21"/>
      <c r="I1356" s="4">
        <v>0</v>
      </c>
      <c r="J1356" s="4">
        <v>0</v>
      </c>
      <c r="K1356" s="4"/>
      <c r="L1356" s="16"/>
      <c r="M1356" s="4"/>
      <c r="N1356" s="4"/>
      <c r="O1356" s="4"/>
      <c r="P1356" s="4"/>
      <c r="Q1356" s="4"/>
      <c r="R1356" s="4"/>
      <c r="S1356" s="4">
        <v>0</v>
      </c>
      <c r="T1356" s="4">
        <v>0</v>
      </c>
      <c r="U1356" s="4">
        <v>0</v>
      </c>
      <c r="V1356" s="4">
        <v>12</v>
      </c>
      <c r="W1356" s="4">
        <v>12</v>
      </c>
      <c r="X1356" s="4">
        <v>18</v>
      </c>
      <c r="Y1356" s="4">
        <v>1686</v>
      </c>
      <c r="Z1356" s="4">
        <v>115.82</v>
      </c>
      <c r="AA1356" s="4">
        <v>100</v>
      </c>
      <c r="AB1356" s="18">
        <v>398</v>
      </c>
      <c r="AC1356" s="18">
        <v>25</v>
      </c>
      <c r="AD1356" s="28"/>
      <c r="AE1356" s="26"/>
      <c r="AF1356" s="28"/>
    </row>
    <row r="1357" spans="1:32" ht="12.4" customHeight="1" x14ac:dyDescent="0.25">
      <c r="A1357" s="14">
        <v>45824</v>
      </c>
      <c r="B1357" s="14" t="s">
        <v>46</v>
      </c>
      <c r="C1357" s="15">
        <v>1</v>
      </c>
      <c r="D1357" s="16"/>
      <c r="E1357" s="16"/>
      <c r="F1357" s="17"/>
      <c r="G1357" s="21"/>
      <c r="H1357" s="21"/>
      <c r="I1357" s="4">
        <v>0</v>
      </c>
      <c r="J1357" s="4">
        <v>0</v>
      </c>
      <c r="K1357" s="4"/>
      <c r="L1357" s="16"/>
      <c r="M1357" s="4"/>
      <c r="N1357" s="4"/>
      <c r="O1357" s="4"/>
      <c r="P1357" s="4"/>
      <c r="Q1357" s="4"/>
      <c r="R1357" s="4"/>
      <c r="S1357" s="4">
        <v>0</v>
      </c>
      <c r="T1357" s="4">
        <v>0</v>
      </c>
      <c r="U1357" s="4">
        <v>0</v>
      </c>
      <c r="V1357" s="4">
        <v>12</v>
      </c>
      <c r="W1357" s="4">
        <v>12</v>
      </c>
      <c r="X1357" s="4">
        <v>17</v>
      </c>
      <c r="Y1357" s="4"/>
      <c r="Z1357" s="4">
        <v>122.69</v>
      </c>
      <c r="AA1357" s="4">
        <v>100</v>
      </c>
      <c r="AB1357" s="18"/>
      <c r="AC1357" s="18">
        <v>25</v>
      </c>
      <c r="AD1357" s="28"/>
      <c r="AE1357" s="26"/>
      <c r="AF1357" s="28"/>
    </row>
    <row r="1358" spans="1:32" ht="12.4" customHeight="1" x14ac:dyDescent="0.25">
      <c r="A1358" s="14">
        <v>45824</v>
      </c>
      <c r="B1358" s="14" t="s">
        <v>45</v>
      </c>
      <c r="C1358" s="15">
        <v>2</v>
      </c>
      <c r="D1358" s="16"/>
      <c r="E1358" s="16"/>
      <c r="F1358" s="17"/>
      <c r="G1358" s="21"/>
      <c r="H1358" s="21"/>
      <c r="I1358" s="4">
        <v>0</v>
      </c>
      <c r="J1358" s="4">
        <v>0</v>
      </c>
      <c r="K1358" s="4"/>
      <c r="L1358" s="16"/>
      <c r="M1358" s="4"/>
      <c r="N1358" s="4"/>
      <c r="O1358" s="4"/>
      <c r="P1358" s="4"/>
      <c r="Q1358" s="4"/>
      <c r="R1358" s="4"/>
      <c r="S1358" s="4">
        <v>0</v>
      </c>
      <c r="T1358" s="4">
        <v>0</v>
      </c>
      <c r="U1358" s="4">
        <v>0</v>
      </c>
      <c r="V1358" s="4">
        <v>12</v>
      </c>
      <c r="W1358" s="4">
        <v>12</v>
      </c>
      <c r="X1358" s="4">
        <v>0</v>
      </c>
      <c r="Y1358" s="4"/>
      <c r="Z1358" s="4">
        <v>129.48999999999998</v>
      </c>
      <c r="AA1358" s="4">
        <v>150</v>
      </c>
      <c r="AB1358" s="18"/>
      <c r="AC1358" s="18">
        <v>25</v>
      </c>
      <c r="AD1358" s="28"/>
      <c r="AE1358" s="26"/>
      <c r="AF1358" s="28"/>
    </row>
    <row r="1359" spans="1:32" ht="12.4" customHeight="1" x14ac:dyDescent="0.25">
      <c r="A1359" s="14">
        <v>45824</v>
      </c>
      <c r="B1359" s="14" t="s">
        <v>46</v>
      </c>
      <c r="C1359" s="15">
        <v>2</v>
      </c>
      <c r="D1359" s="16"/>
      <c r="E1359" s="16"/>
      <c r="F1359" s="17"/>
      <c r="G1359" s="21"/>
      <c r="H1359" s="21"/>
      <c r="I1359" s="4">
        <v>0</v>
      </c>
      <c r="J1359" s="4">
        <v>0</v>
      </c>
      <c r="K1359" s="4"/>
      <c r="L1359" s="16"/>
      <c r="M1359" s="4"/>
      <c r="N1359" s="4"/>
      <c r="O1359" s="4"/>
      <c r="P1359" s="4"/>
      <c r="Q1359" s="4"/>
      <c r="R1359" s="4"/>
      <c r="S1359" s="4">
        <v>0</v>
      </c>
      <c r="T1359" s="4">
        <v>0</v>
      </c>
      <c r="U1359" s="4">
        <v>0</v>
      </c>
      <c r="V1359" s="4">
        <v>12</v>
      </c>
      <c r="W1359" s="4">
        <v>12</v>
      </c>
      <c r="X1359" s="4">
        <v>0</v>
      </c>
      <c r="Y1359" s="4"/>
      <c r="Z1359" s="4">
        <v>129.47000000000003</v>
      </c>
      <c r="AA1359" s="4">
        <v>150</v>
      </c>
      <c r="AB1359" s="18"/>
      <c r="AC1359" s="18">
        <v>25</v>
      </c>
      <c r="AD1359" s="28"/>
      <c r="AE1359" s="26"/>
      <c r="AF1359" s="28"/>
    </row>
    <row r="1360" spans="1:32" ht="12.4" customHeight="1" x14ac:dyDescent="0.25">
      <c r="A1360" s="14">
        <v>45824</v>
      </c>
      <c r="B1360" s="14" t="s">
        <v>45</v>
      </c>
      <c r="C1360" s="15">
        <v>3</v>
      </c>
      <c r="D1360" s="16">
        <v>20</v>
      </c>
      <c r="E1360" s="16"/>
      <c r="F1360" s="17"/>
      <c r="G1360" s="21"/>
      <c r="H1360" s="21"/>
      <c r="I1360" s="4">
        <v>20</v>
      </c>
      <c r="J1360" s="4">
        <v>0.33333333333333331</v>
      </c>
      <c r="K1360" s="4"/>
      <c r="L1360" s="16"/>
      <c r="M1360" s="4"/>
      <c r="N1360" s="4"/>
      <c r="O1360" s="4"/>
      <c r="P1360" s="4"/>
      <c r="Q1360" s="4"/>
      <c r="R1360" s="4"/>
      <c r="S1360" s="4">
        <v>0</v>
      </c>
      <c r="T1360" s="4">
        <v>0</v>
      </c>
      <c r="U1360" s="4">
        <v>0.33333333333333331</v>
      </c>
      <c r="V1360" s="4">
        <v>11.666666666666666</v>
      </c>
      <c r="W1360" s="4">
        <v>12</v>
      </c>
      <c r="X1360" s="4">
        <v>0</v>
      </c>
      <c r="Y1360" s="4"/>
      <c r="Z1360" s="4">
        <v>286.87</v>
      </c>
      <c r="AA1360" s="4">
        <v>300</v>
      </c>
      <c r="AB1360" s="18"/>
      <c r="AC1360" s="18">
        <v>25</v>
      </c>
      <c r="AD1360" s="28"/>
      <c r="AE1360" s="26"/>
      <c r="AF1360" s="28"/>
    </row>
    <row r="1361" spans="1:32" ht="12.4" customHeight="1" x14ac:dyDescent="0.25">
      <c r="A1361" s="14">
        <v>45824</v>
      </c>
      <c r="B1361" s="14" t="s">
        <v>46</v>
      </c>
      <c r="C1361" s="15">
        <v>3</v>
      </c>
      <c r="D1361" s="16"/>
      <c r="E1361" s="16"/>
      <c r="F1361" s="17"/>
      <c r="G1361" s="21"/>
      <c r="H1361" s="21"/>
      <c r="I1361" s="4">
        <v>0</v>
      </c>
      <c r="J1361" s="4">
        <v>0</v>
      </c>
      <c r="K1361" s="4"/>
      <c r="L1361" s="16"/>
      <c r="M1361" s="4"/>
      <c r="N1361" s="4"/>
      <c r="O1361" s="4"/>
      <c r="P1361" s="4"/>
      <c r="Q1361" s="4"/>
      <c r="R1361" s="4"/>
      <c r="S1361" s="4">
        <v>0</v>
      </c>
      <c r="T1361" s="4">
        <v>0</v>
      </c>
      <c r="U1361" s="4">
        <v>0</v>
      </c>
      <c r="V1361" s="4">
        <v>12</v>
      </c>
      <c r="W1361" s="4">
        <v>12</v>
      </c>
      <c r="X1361" s="4">
        <v>0</v>
      </c>
      <c r="Y1361" s="4"/>
      <c r="Z1361" s="4">
        <v>261.3</v>
      </c>
      <c r="AA1361" s="4">
        <v>250</v>
      </c>
      <c r="AB1361" s="18"/>
      <c r="AC1361" s="18">
        <v>25</v>
      </c>
      <c r="AD1361" s="28"/>
      <c r="AE1361" s="26"/>
      <c r="AF1361" s="28"/>
    </row>
    <row r="1362" spans="1:32" ht="12.4" customHeight="1" x14ac:dyDescent="0.25">
      <c r="A1362" s="14">
        <v>45824</v>
      </c>
      <c r="B1362" s="14" t="s">
        <v>45</v>
      </c>
      <c r="C1362" s="15">
        <v>4</v>
      </c>
      <c r="D1362" s="16">
        <v>20</v>
      </c>
      <c r="E1362" s="16"/>
      <c r="F1362" s="17"/>
      <c r="G1362" s="21"/>
      <c r="H1362" s="21"/>
      <c r="I1362" s="4">
        <v>20</v>
      </c>
      <c r="J1362" s="4">
        <v>0.33333333333333331</v>
      </c>
      <c r="K1362" s="4"/>
      <c r="L1362" s="16"/>
      <c r="M1362" s="4"/>
      <c r="N1362" s="4"/>
      <c r="O1362" s="4"/>
      <c r="P1362" s="4"/>
      <c r="Q1362" s="4"/>
      <c r="R1362" s="4"/>
      <c r="S1362" s="4">
        <v>0</v>
      </c>
      <c r="T1362" s="4">
        <v>0</v>
      </c>
      <c r="U1362" s="4">
        <v>0.33333333333333331</v>
      </c>
      <c r="V1362" s="4">
        <v>11.666666666666666</v>
      </c>
      <c r="W1362" s="4">
        <v>12</v>
      </c>
      <c r="X1362" s="4">
        <v>0</v>
      </c>
      <c r="Y1362" s="4"/>
      <c r="Z1362" s="4">
        <v>632.28000000000009</v>
      </c>
      <c r="AA1362" s="4">
        <v>650</v>
      </c>
      <c r="AB1362" s="18"/>
      <c r="AC1362" s="18">
        <v>25</v>
      </c>
      <c r="AD1362" s="28"/>
      <c r="AE1362" s="26"/>
      <c r="AF1362" s="28"/>
    </row>
    <row r="1363" spans="1:32" ht="12.4" customHeight="1" x14ac:dyDescent="0.25">
      <c r="A1363" s="14">
        <v>45824</v>
      </c>
      <c r="B1363" s="14" t="s">
        <v>46</v>
      </c>
      <c r="C1363" s="15">
        <v>4</v>
      </c>
      <c r="D1363" s="16"/>
      <c r="E1363" s="16"/>
      <c r="F1363" s="17"/>
      <c r="G1363" s="21"/>
      <c r="H1363" s="21"/>
      <c r="I1363" s="4">
        <v>0</v>
      </c>
      <c r="J1363" s="4">
        <v>0</v>
      </c>
      <c r="K1363" s="4"/>
      <c r="L1363" s="16"/>
      <c r="M1363" s="4"/>
      <c r="N1363" s="4"/>
      <c r="O1363" s="4"/>
      <c r="P1363" s="4"/>
      <c r="Q1363" s="4"/>
      <c r="R1363" s="4"/>
      <c r="S1363" s="4">
        <v>0</v>
      </c>
      <c r="T1363" s="4">
        <v>0</v>
      </c>
      <c r="U1363" s="4">
        <v>0</v>
      </c>
      <c r="V1363" s="4">
        <v>12</v>
      </c>
      <c r="W1363" s="4">
        <v>12</v>
      </c>
      <c r="X1363" s="4">
        <v>0</v>
      </c>
      <c r="Y1363" s="4"/>
      <c r="Z1363" s="4">
        <v>611.15</v>
      </c>
      <c r="AA1363" s="4">
        <v>600</v>
      </c>
      <c r="AB1363" s="18"/>
      <c r="AC1363" s="18">
        <v>25</v>
      </c>
      <c r="AD1363" s="28"/>
      <c r="AE1363" s="26"/>
      <c r="AF1363" s="28"/>
    </row>
    <row r="1364" spans="1:32" ht="12.4" customHeight="1" x14ac:dyDescent="0.25">
      <c r="A1364" s="14">
        <v>45824</v>
      </c>
      <c r="B1364" s="14" t="s">
        <v>45</v>
      </c>
      <c r="C1364" s="15">
        <v>5</v>
      </c>
      <c r="D1364" s="16"/>
      <c r="E1364" s="16"/>
      <c r="F1364" s="17"/>
      <c r="G1364" s="21"/>
      <c r="H1364" s="21"/>
      <c r="I1364" s="4">
        <v>0</v>
      </c>
      <c r="J1364" s="4">
        <v>0</v>
      </c>
      <c r="K1364" s="4"/>
      <c r="L1364" s="16"/>
      <c r="M1364" s="4"/>
      <c r="N1364" s="4"/>
      <c r="O1364" s="4"/>
      <c r="P1364" s="4"/>
      <c r="Q1364" s="4"/>
      <c r="R1364" s="4"/>
      <c r="S1364" s="4">
        <v>0</v>
      </c>
      <c r="T1364" s="4">
        <v>0</v>
      </c>
      <c r="U1364" s="4">
        <v>0</v>
      </c>
      <c r="V1364" s="4">
        <v>12</v>
      </c>
      <c r="W1364" s="4">
        <v>12</v>
      </c>
      <c r="X1364" s="4">
        <v>0</v>
      </c>
      <c r="Y1364" s="4"/>
      <c r="Z1364" s="4">
        <v>339.34</v>
      </c>
      <c r="AA1364" s="4">
        <v>350</v>
      </c>
      <c r="AB1364" s="18"/>
      <c r="AC1364" s="18">
        <v>25</v>
      </c>
      <c r="AD1364" s="28"/>
      <c r="AE1364" s="26"/>
      <c r="AF1364" s="28"/>
    </row>
    <row r="1365" spans="1:32" ht="12.4" customHeight="1" x14ac:dyDescent="0.25">
      <c r="A1365" s="14">
        <v>45824</v>
      </c>
      <c r="B1365" s="14" t="s">
        <v>46</v>
      </c>
      <c r="C1365" s="15">
        <v>5</v>
      </c>
      <c r="D1365" s="16"/>
      <c r="E1365" s="16"/>
      <c r="F1365" s="17"/>
      <c r="G1365" s="21"/>
      <c r="H1365" s="21"/>
      <c r="I1365" s="4">
        <v>0</v>
      </c>
      <c r="J1365" s="4">
        <v>0</v>
      </c>
      <c r="K1365" s="4"/>
      <c r="L1365" s="16"/>
      <c r="M1365" s="4"/>
      <c r="N1365" s="4"/>
      <c r="O1365" s="4"/>
      <c r="P1365" s="4"/>
      <c r="Q1365" s="4"/>
      <c r="R1365" s="4"/>
      <c r="S1365" s="4">
        <v>0</v>
      </c>
      <c r="T1365" s="4">
        <v>0</v>
      </c>
      <c r="U1365" s="4">
        <v>0</v>
      </c>
      <c r="V1365" s="4">
        <v>12</v>
      </c>
      <c r="W1365" s="4">
        <v>12</v>
      </c>
      <c r="X1365" s="4">
        <v>0</v>
      </c>
      <c r="Y1365" s="4"/>
      <c r="Z1365" s="4">
        <v>352.26000000000005</v>
      </c>
      <c r="AA1365" s="4">
        <v>350</v>
      </c>
      <c r="AB1365" s="18"/>
      <c r="AC1365" s="18">
        <v>25</v>
      </c>
      <c r="AD1365" s="28"/>
      <c r="AE1365" s="26"/>
      <c r="AF1365" s="28"/>
    </row>
    <row r="1366" spans="1:32" ht="12.4" customHeight="1" x14ac:dyDescent="0.25">
      <c r="A1366" s="14">
        <v>45825</v>
      </c>
      <c r="B1366" s="14" t="s">
        <v>45</v>
      </c>
      <c r="C1366" s="15">
        <v>1</v>
      </c>
      <c r="D1366" s="16"/>
      <c r="E1366" s="16"/>
      <c r="F1366" s="17"/>
      <c r="G1366" s="21"/>
      <c r="H1366" s="21"/>
      <c r="I1366" s="4">
        <v>0</v>
      </c>
      <c r="J1366" s="4">
        <v>0</v>
      </c>
      <c r="K1366" s="4"/>
      <c r="L1366" s="16"/>
      <c r="M1366" s="4"/>
      <c r="N1366" s="4"/>
      <c r="O1366" s="4"/>
      <c r="P1366" s="4"/>
      <c r="Q1366" s="4"/>
      <c r="R1366" s="4"/>
      <c r="S1366" s="4">
        <v>0</v>
      </c>
      <c r="T1366" s="4">
        <v>0</v>
      </c>
      <c r="U1366" s="4">
        <v>0</v>
      </c>
      <c r="V1366" s="4">
        <v>12</v>
      </c>
      <c r="W1366" s="4">
        <v>12</v>
      </c>
      <c r="X1366" s="4">
        <v>31</v>
      </c>
      <c r="Y1366" s="4">
        <v>1406</v>
      </c>
      <c r="Z1366" s="4">
        <v>107.47</v>
      </c>
      <c r="AA1366" s="4">
        <v>100</v>
      </c>
      <c r="AB1366" s="18">
        <v>398</v>
      </c>
      <c r="AC1366" s="18">
        <v>25</v>
      </c>
      <c r="AD1366" s="28"/>
      <c r="AE1366" s="26"/>
      <c r="AF1366" s="28"/>
    </row>
    <row r="1367" spans="1:32" ht="12.4" customHeight="1" x14ac:dyDescent="0.25">
      <c r="A1367" s="14">
        <v>45825</v>
      </c>
      <c r="B1367" s="14" t="s">
        <v>46</v>
      </c>
      <c r="C1367" s="15">
        <v>1</v>
      </c>
      <c r="D1367" s="16"/>
      <c r="E1367" s="16"/>
      <c r="F1367" s="17"/>
      <c r="G1367" s="21"/>
      <c r="H1367" s="21"/>
      <c r="I1367" s="4">
        <v>0</v>
      </c>
      <c r="J1367" s="4">
        <v>0</v>
      </c>
      <c r="K1367" s="4"/>
      <c r="L1367" s="16"/>
      <c r="M1367" s="4"/>
      <c r="N1367" s="4">
        <v>720</v>
      </c>
      <c r="O1367" s="4"/>
      <c r="P1367" s="4"/>
      <c r="Q1367" s="4"/>
      <c r="R1367" s="4"/>
      <c r="S1367" s="4">
        <v>720</v>
      </c>
      <c r="T1367" s="4">
        <v>12</v>
      </c>
      <c r="U1367" s="4">
        <v>12</v>
      </c>
      <c r="V1367" s="4">
        <v>0</v>
      </c>
      <c r="W1367" s="4">
        <v>12</v>
      </c>
      <c r="X1367" s="4">
        <v>0</v>
      </c>
      <c r="Y1367" s="4"/>
      <c r="Z1367" s="4">
        <v>0</v>
      </c>
      <c r="AA1367" s="4">
        <v>0</v>
      </c>
      <c r="AB1367" s="18"/>
      <c r="AC1367" s="18">
        <v>25</v>
      </c>
      <c r="AD1367" s="28"/>
      <c r="AE1367" s="26"/>
      <c r="AF1367" s="28"/>
    </row>
    <row r="1368" spans="1:32" ht="12.4" customHeight="1" x14ac:dyDescent="0.25">
      <c r="A1368" s="14">
        <v>45825</v>
      </c>
      <c r="B1368" s="14" t="s">
        <v>45</v>
      </c>
      <c r="C1368" s="15">
        <v>2</v>
      </c>
      <c r="D1368" s="16"/>
      <c r="E1368" s="16"/>
      <c r="F1368" s="17"/>
      <c r="G1368" s="21"/>
      <c r="H1368" s="21"/>
      <c r="I1368" s="4">
        <v>0</v>
      </c>
      <c r="J1368" s="4">
        <v>0</v>
      </c>
      <c r="K1368" s="4"/>
      <c r="L1368" s="16"/>
      <c r="M1368" s="4"/>
      <c r="N1368" s="4"/>
      <c r="O1368" s="4"/>
      <c r="P1368" s="4"/>
      <c r="Q1368" s="4"/>
      <c r="R1368" s="4"/>
      <c r="S1368" s="4">
        <v>0</v>
      </c>
      <c r="T1368" s="4">
        <v>0</v>
      </c>
      <c r="U1368" s="4">
        <v>0</v>
      </c>
      <c r="V1368" s="4">
        <v>12</v>
      </c>
      <c r="W1368" s="4">
        <v>12</v>
      </c>
      <c r="X1368" s="4">
        <v>0</v>
      </c>
      <c r="Y1368" s="4"/>
      <c r="Z1368" s="4">
        <v>126.92999999999998</v>
      </c>
      <c r="AA1368" s="4">
        <v>150</v>
      </c>
      <c r="AB1368" s="18"/>
      <c r="AC1368" s="18">
        <v>25</v>
      </c>
      <c r="AD1368" s="28"/>
      <c r="AE1368" s="26"/>
      <c r="AF1368" s="28"/>
    </row>
    <row r="1369" spans="1:32" ht="12.4" customHeight="1" x14ac:dyDescent="0.25">
      <c r="A1369" s="14">
        <v>45825</v>
      </c>
      <c r="B1369" s="14" t="s">
        <v>46</v>
      </c>
      <c r="C1369" s="15">
        <v>2</v>
      </c>
      <c r="D1369" s="16"/>
      <c r="E1369" s="16"/>
      <c r="F1369" s="17"/>
      <c r="G1369" s="21"/>
      <c r="H1369" s="21"/>
      <c r="I1369" s="4">
        <v>0</v>
      </c>
      <c r="J1369" s="4">
        <v>0</v>
      </c>
      <c r="K1369" s="4"/>
      <c r="L1369" s="16"/>
      <c r="M1369" s="4"/>
      <c r="N1369" s="4">
        <v>720</v>
      </c>
      <c r="O1369" s="4"/>
      <c r="P1369" s="4"/>
      <c r="Q1369" s="4"/>
      <c r="R1369" s="4"/>
      <c r="S1369" s="4">
        <v>720</v>
      </c>
      <c r="T1369" s="4">
        <v>12</v>
      </c>
      <c r="U1369" s="4">
        <v>12</v>
      </c>
      <c r="V1369" s="4">
        <v>0</v>
      </c>
      <c r="W1369" s="4">
        <v>12</v>
      </c>
      <c r="X1369" s="4">
        <v>0</v>
      </c>
      <c r="Y1369" s="4"/>
      <c r="Z1369" s="4">
        <v>0</v>
      </c>
      <c r="AA1369" s="4">
        <v>0</v>
      </c>
      <c r="AB1369" s="18"/>
      <c r="AC1369" s="18">
        <v>25</v>
      </c>
      <c r="AD1369" s="28"/>
      <c r="AE1369" s="26"/>
      <c r="AF1369" s="28"/>
    </row>
    <row r="1370" spans="1:32" ht="12.4" customHeight="1" x14ac:dyDescent="0.25">
      <c r="A1370" s="14">
        <v>45825</v>
      </c>
      <c r="B1370" s="14" t="s">
        <v>45</v>
      </c>
      <c r="C1370" s="15">
        <v>3</v>
      </c>
      <c r="D1370" s="16">
        <v>20</v>
      </c>
      <c r="E1370" s="16"/>
      <c r="F1370" s="17"/>
      <c r="G1370" s="21"/>
      <c r="H1370" s="21"/>
      <c r="I1370" s="4">
        <v>20</v>
      </c>
      <c r="J1370" s="4">
        <v>0.33333333333333331</v>
      </c>
      <c r="K1370" s="4"/>
      <c r="L1370" s="16"/>
      <c r="M1370" s="4"/>
      <c r="N1370" s="4"/>
      <c r="O1370" s="4"/>
      <c r="P1370" s="4"/>
      <c r="Q1370" s="4"/>
      <c r="R1370" s="4"/>
      <c r="S1370" s="4">
        <v>0</v>
      </c>
      <c r="T1370" s="4">
        <v>0</v>
      </c>
      <c r="U1370" s="4">
        <v>0.33333333333333331</v>
      </c>
      <c r="V1370" s="4">
        <v>11.666666666666666</v>
      </c>
      <c r="W1370" s="4">
        <v>12</v>
      </c>
      <c r="X1370" s="4">
        <v>0</v>
      </c>
      <c r="Y1370" s="4"/>
      <c r="Z1370" s="4">
        <v>184.4</v>
      </c>
      <c r="AA1370" s="4">
        <v>200</v>
      </c>
      <c r="AB1370" s="18"/>
      <c r="AC1370" s="18">
        <v>25</v>
      </c>
      <c r="AD1370" s="28"/>
      <c r="AE1370" s="26"/>
      <c r="AF1370" s="28"/>
    </row>
    <row r="1371" spans="1:32" ht="12.4" customHeight="1" x14ac:dyDescent="0.25">
      <c r="A1371" s="14">
        <v>45825</v>
      </c>
      <c r="B1371" s="14" t="s">
        <v>46</v>
      </c>
      <c r="C1371" s="15">
        <v>3</v>
      </c>
      <c r="D1371" s="16"/>
      <c r="E1371" s="16"/>
      <c r="F1371" s="17"/>
      <c r="G1371" s="21"/>
      <c r="H1371" s="21"/>
      <c r="I1371" s="4">
        <v>0</v>
      </c>
      <c r="J1371" s="4">
        <v>0</v>
      </c>
      <c r="K1371" s="4"/>
      <c r="L1371" s="16"/>
      <c r="M1371" s="4"/>
      <c r="N1371" s="4"/>
      <c r="O1371" s="4"/>
      <c r="P1371" s="4"/>
      <c r="Q1371" s="4"/>
      <c r="R1371" s="4"/>
      <c r="S1371" s="4">
        <v>0</v>
      </c>
      <c r="T1371" s="4">
        <v>0</v>
      </c>
      <c r="U1371" s="4">
        <v>0</v>
      </c>
      <c r="V1371" s="4">
        <v>12</v>
      </c>
      <c r="W1371" s="4">
        <v>12</v>
      </c>
      <c r="X1371" s="4">
        <v>0</v>
      </c>
      <c r="Y1371" s="4"/>
      <c r="Z1371" s="4">
        <v>223.84000000000003</v>
      </c>
      <c r="AA1371" s="4">
        <v>250</v>
      </c>
      <c r="AB1371" s="18"/>
      <c r="AC1371" s="18">
        <v>25</v>
      </c>
      <c r="AD1371" s="28"/>
      <c r="AE1371" s="26"/>
      <c r="AF1371" s="28"/>
    </row>
    <row r="1372" spans="1:32" ht="12.4" customHeight="1" x14ac:dyDescent="0.25">
      <c r="A1372" s="14">
        <v>45825</v>
      </c>
      <c r="B1372" s="14" t="s">
        <v>45</v>
      </c>
      <c r="C1372" s="15">
        <v>4</v>
      </c>
      <c r="D1372" s="16">
        <v>20</v>
      </c>
      <c r="E1372" s="16"/>
      <c r="F1372" s="17"/>
      <c r="G1372" s="21"/>
      <c r="H1372" s="21"/>
      <c r="I1372" s="4">
        <v>20</v>
      </c>
      <c r="J1372" s="4">
        <v>0.33333333333333331</v>
      </c>
      <c r="K1372" s="4"/>
      <c r="L1372" s="16"/>
      <c r="M1372" s="4"/>
      <c r="N1372" s="4"/>
      <c r="O1372" s="4"/>
      <c r="P1372" s="4"/>
      <c r="Q1372" s="4"/>
      <c r="R1372" s="4"/>
      <c r="S1372" s="4">
        <v>0</v>
      </c>
      <c r="T1372" s="4">
        <v>0</v>
      </c>
      <c r="U1372" s="4">
        <v>0.33333333333333331</v>
      </c>
      <c r="V1372" s="4">
        <v>11.666666666666666</v>
      </c>
      <c r="W1372" s="4">
        <v>12</v>
      </c>
      <c r="X1372" s="4">
        <v>0</v>
      </c>
      <c r="Y1372" s="4"/>
      <c r="Z1372" s="4">
        <v>654.05999999999995</v>
      </c>
      <c r="AA1372" s="4">
        <v>700</v>
      </c>
      <c r="AB1372" s="18"/>
      <c r="AC1372" s="18">
        <v>25</v>
      </c>
      <c r="AD1372" s="28"/>
      <c r="AE1372" s="26"/>
      <c r="AF1372" s="28"/>
    </row>
    <row r="1373" spans="1:32" ht="12.4" customHeight="1" x14ac:dyDescent="0.25">
      <c r="A1373" s="14">
        <v>45825</v>
      </c>
      <c r="B1373" s="14" t="s">
        <v>46</v>
      </c>
      <c r="C1373" s="15">
        <v>4</v>
      </c>
      <c r="D1373" s="16"/>
      <c r="E1373" s="16"/>
      <c r="F1373" s="17"/>
      <c r="G1373" s="21"/>
      <c r="H1373" s="21"/>
      <c r="I1373" s="4">
        <v>0</v>
      </c>
      <c r="J1373" s="4">
        <v>0</v>
      </c>
      <c r="K1373" s="4"/>
      <c r="L1373" s="16"/>
      <c r="M1373" s="4"/>
      <c r="N1373" s="4"/>
      <c r="O1373" s="4"/>
      <c r="P1373" s="4"/>
      <c r="Q1373" s="4"/>
      <c r="R1373" s="4"/>
      <c r="S1373" s="4">
        <v>0</v>
      </c>
      <c r="T1373" s="4">
        <v>0</v>
      </c>
      <c r="U1373" s="4">
        <v>0</v>
      </c>
      <c r="V1373" s="4">
        <v>12</v>
      </c>
      <c r="W1373" s="4">
        <v>12</v>
      </c>
      <c r="X1373" s="4">
        <v>0</v>
      </c>
      <c r="Y1373" s="4"/>
      <c r="Z1373" s="4">
        <v>578.91000000000008</v>
      </c>
      <c r="AA1373" s="4">
        <v>600</v>
      </c>
      <c r="AB1373" s="18"/>
      <c r="AC1373" s="18">
        <v>25</v>
      </c>
      <c r="AD1373" s="28"/>
      <c r="AE1373" s="26"/>
      <c r="AF1373" s="28"/>
    </row>
    <row r="1374" spans="1:32" ht="12.4" customHeight="1" x14ac:dyDescent="0.25">
      <c r="A1374" s="14">
        <v>45825</v>
      </c>
      <c r="B1374" s="14" t="s">
        <v>45</v>
      </c>
      <c r="C1374" s="15">
        <v>5</v>
      </c>
      <c r="D1374" s="16">
        <v>20</v>
      </c>
      <c r="E1374" s="16"/>
      <c r="F1374" s="17"/>
      <c r="G1374" s="21"/>
      <c r="H1374" s="21"/>
      <c r="I1374" s="4">
        <v>20</v>
      </c>
      <c r="J1374" s="4">
        <v>0.33333333333333331</v>
      </c>
      <c r="K1374" s="4"/>
      <c r="L1374" s="16"/>
      <c r="M1374" s="4"/>
      <c r="N1374" s="4"/>
      <c r="O1374" s="4"/>
      <c r="P1374" s="4"/>
      <c r="Q1374" s="4"/>
      <c r="R1374" s="4"/>
      <c r="S1374" s="4">
        <v>0</v>
      </c>
      <c r="T1374" s="4">
        <v>0</v>
      </c>
      <c r="U1374" s="4">
        <v>0.33333333333333331</v>
      </c>
      <c r="V1374" s="4">
        <v>11.666666666666666</v>
      </c>
      <c r="W1374" s="4">
        <v>12</v>
      </c>
      <c r="X1374" s="4">
        <v>0</v>
      </c>
      <c r="Y1374" s="4"/>
      <c r="Z1374" s="4">
        <v>341.90000000000003</v>
      </c>
      <c r="AA1374" s="4">
        <v>350</v>
      </c>
      <c r="AB1374" s="18"/>
      <c r="AC1374" s="18">
        <v>25</v>
      </c>
      <c r="AD1374" s="28"/>
      <c r="AE1374" s="26"/>
      <c r="AF1374" s="28"/>
    </row>
    <row r="1375" spans="1:32" ht="12.4" customHeight="1" x14ac:dyDescent="0.25">
      <c r="A1375" s="14">
        <v>45825</v>
      </c>
      <c r="B1375" s="14" t="s">
        <v>46</v>
      </c>
      <c r="C1375" s="15">
        <v>5</v>
      </c>
      <c r="D1375" s="16"/>
      <c r="E1375" s="16"/>
      <c r="F1375" s="17"/>
      <c r="G1375" s="21"/>
      <c r="H1375" s="21"/>
      <c r="I1375" s="4">
        <v>0</v>
      </c>
      <c r="J1375" s="4">
        <v>0</v>
      </c>
      <c r="K1375" s="4"/>
      <c r="L1375" s="16"/>
      <c r="M1375" s="4"/>
      <c r="N1375" s="4"/>
      <c r="O1375" s="4"/>
      <c r="P1375" s="4"/>
      <c r="Q1375" s="4"/>
      <c r="R1375" s="4"/>
      <c r="S1375" s="4">
        <v>0</v>
      </c>
      <c r="T1375" s="4">
        <v>0</v>
      </c>
      <c r="U1375" s="4">
        <v>0</v>
      </c>
      <c r="V1375" s="4">
        <v>12</v>
      </c>
      <c r="W1375" s="4">
        <v>12</v>
      </c>
      <c r="X1375" s="4">
        <v>0</v>
      </c>
      <c r="Y1375" s="4"/>
      <c r="Z1375" s="4">
        <v>304.21999999999997</v>
      </c>
      <c r="AA1375" s="4">
        <v>350</v>
      </c>
      <c r="AB1375" s="18"/>
      <c r="AC1375" s="18">
        <v>25</v>
      </c>
      <c r="AD1375" s="28"/>
      <c r="AE1375" s="26"/>
      <c r="AF1375" s="28"/>
    </row>
    <row r="1376" spans="1:32" ht="12.4" customHeight="1" x14ac:dyDescent="0.25">
      <c r="A1376" s="14">
        <v>45826</v>
      </c>
      <c r="B1376" s="14" t="s">
        <v>45</v>
      </c>
      <c r="C1376" s="15">
        <v>1</v>
      </c>
      <c r="D1376" s="16">
        <v>20</v>
      </c>
      <c r="E1376" s="16"/>
      <c r="F1376" s="17"/>
      <c r="G1376" s="21"/>
      <c r="H1376" s="21"/>
      <c r="I1376" s="4">
        <v>20</v>
      </c>
      <c r="J1376" s="4">
        <v>0.33333333333333331</v>
      </c>
      <c r="K1376" s="4"/>
      <c r="L1376" s="16"/>
      <c r="M1376" s="4"/>
      <c r="N1376" s="4"/>
      <c r="O1376" s="4"/>
      <c r="P1376" s="4">
        <v>60</v>
      </c>
      <c r="Q1376" s="4"/>
      <c r="R1376" s="4"/>
      <c r="S1376" s="4">
        <v>60</v>
      </c>
      <c r="T1376" s="4">
        <v>1</v>
      </c>
      <c r="U1376" s="4">
        <v>1.3333333333333333</v>
      </c>
      <c r="V1376" s="4">
        <v>10.666666666666666</v>
      </c>
      <c r="W1376" s="4">
        <v>12</v>
      </c>
      <c r="X1376" s="4">
        <v>50</v>
      </c>
      <c r="Y1376" s="4">
        <v>1441</v>
      </c>
      <c r="Z1376" s="4">
        <v>123.70000000000002</v>
      </c>
      <c r="AA1376" s="4">
        <v>150</v>
      </c>
      <c r="AB1376" s="18">
        <v>398</v>
      </c>
      <c r="AC1376" s="18">
        <v>25</v>
      </c>
      <c r="AD1376" s="28"/>
      <c r="AE1376" s="26"/>
      <c r="AF1376" s="28"/>
    </row>
    <row r="1377" spans="1:32" ht="12.4" customHeight="1" x14ac:dyDescent="0.25">
      <c r="A1377" s="14">
        <v>45826</v>
      </c>
      <c r="B1377" s="14" t="s">
        <v>46</v>
      </c>
      <c r="C1377" s="15">
        <v>1</v>
      </c>
      <c r="D1377" s="16"/>
      <c r="E1377" s="16"/>
      <c r="F1377" s="17"/>
      <c r="G1377" s="21"/>
      <c r="H1377" s="21"/>
      <c r="I1377" s="4">
        <v>0</v>
      </c>
      <c r="J1377" s="4">
        <v>0</v>
      </c>
      <c r="K1377" s="4"/>
      <c r="L1377" s="16"/>
      <c r="M1377" s="4"/>
      <c r="N1377" s="4"/>
      <c r="O1377" s="4"/>
      <c r="P1377" s="4"/>
      <c r="Q1377" s="4"/>
      <c r="R1377" s="4"/>
      <c r="S1377" s="4">
        <v>0</v>
      </c>
      <c r="T1377" s="4">
        <v>0</v>
      </c>
      <c r="U1377" s="4">
        <v>0</v>
      </c>
      <c r="V1377" s="4">
        <v>12</v>
      </c>
      <c r="W1377" s="4">
        <v>12</v>
      </c>
      <c r="X1377" s="4">
        <v>27</v>
      </c>
      <c r="Y1377" s="4"/>
      <c r="Z1377" s="4">
        <v>114.30999999999999</v>
      </c>
      <c r="AA1377" s="4">
        <v>100</v>
      </c>
      <c r="AB1377" s="18"/>
      <c r="AC1377" s="18">
        <v>25</v>
      </c>
      <c r="AD1377" s="28"/>
      <c r="AE1377" s="26"/>
      <c r="AF1377" s="28"/>
    </row>
    <row r="1378" spans="1:32" ht="12.4" customHeight="1" x14ac:dyDescent="0.25">
      <c r="A1378" s="14">
        <v>45826</v>
      </c>
      <c r="B1378" s="14" t="s">
        <v>45</v>
      </c>
      <c r="C1378" s="15">
        <v>2</v>
      </c>
      <c r="D1378" s="16">
        <v>20</v>
      </c>
      <c r="E1378" s="16"/>
      <c r="F1378" s="17"/>
      <c r="G1378" s="21"/>
      <c r="H1378" s="21"/>
      <c r="I1378" s="4">
        <v>20</v>
      </c>
      <c r="J1378" s="4">
        <v>0.33333333333333331</v>
      </c>
      <c r="K1378" s="4"/>
      <c r="L1378" s="16"/>
      <c r="M1378" s="4"/>
      <c r="N1378" s="4"/>
      <c r="O1378" s="4"/>
      <c r="P1378" s="4">
        <v>60</v>
      </c>
      <c r="Q1378" s="4"/>
      <c r="R1378" s="4"/>
      <c r="S1378" s="4">
        <v>60</v>
      </c>
      <c r="T1378" s="4">
        <v>1</v>
      </c>
      <c r="U1378" s="4">
        <v>1.3333333333333333</v>
      </c>
      <c r="V1378" s="4">
        <v>10.666666666666666</v>
      </c>
      <c r="W1378" s="4">
        <v>12</v>
      </c>
      <c r="X1378" s="4">
        <v>0</v>
      </c>
      <c r="Y1378" s="4"/>
      <c r="Z1378" s="4">
        <v>86.36999999999999</v>
      </c>
      <c r="AA1378" s="4">
        <v>100</v>
      </c>
      <c r="AB1378" s="18"/>
      <c r="AC1378" s="18">
        <v>25</v>
      </c>
      <c r="AD1378" s="28"/>
      <c r="AE1378" s="26"/>
      <c r="AF1378" s="28"/>
    </row>
    <row r="1379" spans="1:32" ht="12.4" customHeight="1" x14ac:dyDescent="0.25">
      <c r="A1379" s="14">
        <v>45826</v>
      </c>
      <c r="B1379" s="14" t="s">
        <v>46</v>
      </c>
      <c r="C1379" s="15">
        <v>2</v>
      </c>
      <c r="D1379" s="16">
        <v>20</v>
      </c>
      <c r="E1379" s="16"/>
      <c r="F1379" s="17"/>
      <c r="G1379" s="21"/>
      <c r="H1379" s="21"/>
      <c r="I1379" s="4">
        <v>20</v>
      </c>
      <c r="J1379" s="4">
        <v>0.33333333333333331</v>
      </c>
      <c r="K1379" s="4"/>
      <c r="L1379" s="16"/>
      <c r="M1379" s="4"/>
      <c r="N1379" s="4"/>
      <c r="O1379" s="4"/>
      <c r="P1379" s="4"/>
      <c r="Q1379" s="4"/>
      <c r="R1379" s="4"/>
      <c r="S1379" s="4">
        <v>0</v>
      </c>
      <c r="T1379" s="4">
        <v>0</v>
      </c>
      <c r="U1379" s="4">
        <v>0.33333333333333331</v>
      </c>
      <c r="V1379" s="4">
        <v>11.666666666666666</v>
      </c>
      <c r="W1379" s="4">
        <v>12</v>
      </c>
      <c r="X1379" s="4">
        <v>0</v>
      </c>
      <c r="Y1379" s="4"/>
      <c r="Z1379" s="4">
        <v>143.47000000000003</v>
      </c>
      <c r="AA1379" s="4">
        <v>150</v>
      </c>
      <c r="AB1379" s="18"/>
      <c r="AC1379" s="18">
        <v>25</v>
      </c>
      <c r="AD1379" s="28"/>
      <c r="AE1379" s="26"/>
      <c r="AF1379" s="28"/>
    </row>
    <row r="1380" spans="1:32" ht="12.4" customHeight="1" x14ac:dyDescent="0.25">
      <c r="A1380" s="14">
        <v>45826</v>
      </c>
      <c r="B1380" s="14" t="s">
        <v>45</v>
      </c>
      <c r="C1380" s="15">
        <v>3</v>
      </c>
      <c r="D1380" s="16">
        <v>20</v>
      </c>
      <c r="E1380" s="16"/>
      <c r="F1380" s="17"/>
      <c r="G1380" s="21"/>
      <c r="H1380" s="21"/>
      <c r="I1380" s="4">
        <v>20</v>
      </c>
      <c r="J1380" s="4">
        <v>0.33333333333333331</v>
      </c>
      <c r="K1380" s="4"/>
      <c r="L1380" s="16"/>
      <c r="M1380" s="4"/>
      <c r="N1380" s="4"/>
      <c r="O1380" s="4"/>
      <c r="P1380" s="4"/>
      <c r="Q1380" s="4"/>
      <c r="R1380" s="4"/>
      <c r="S1380" s="4">
        <v>0</v>
      </c>
      <c r="T1380" s="4">
        <v>0</v>
      </c>
      <c r="U1380" s="4">
        <v>0.33333333333333331</v>
      </c>
      <c r="V1380" s="4">
        <v>11.666666666666666</v>
      </c>
      <c r="W1380" s="4">
        <v>12</v>
      </c>
      <c r="X1380" s="4">
        <v>0</v>
      </c>
      <c r="Y1380" s="4"/>
      <c r="Z1380" s="4">
        <v>238.75000000000003</v>
      </c>
      <c r="AA1380" s="4">
        <v>250</v>
      </c>
      <c r="AB1380" s="18"/>
      <c r="AC1380" s="18">
        <v>25</v>
      </c>
      <c r="AD1380" s="28"/>
      <c r="AE1380" s="26"/>
      <c r="AF1380" s="28"/>
    </row>
    <row r="1381" spans="1:32" ht="12.4" customHeight="1" x14ac:dyDescent="0.25">
      <c r="A1381" s="14">
        <v>45826</v>
      </c>
      <c r="B1381" s="14" t="s">
        <v>46</v>
      </c>
      <c r="C1381" s="15">
        <v>3</v>
      </c>
      <c r="D1381" s="16"/>
      <c r="E1381" s="16"/>
      <c r="F1381" s="17"/>
      <c r="G1381" s="21"/>
      <c r="H1381" s="21"/>
      <c r="I1381" s="4">
        <v>0</v>
      </c>
      <c r="J1381" s="4">
        <v>0</v>
      </c>
      <c r="K1381" s="4"/>
      <c r="L1381" s="16"/>
      <c r="M1381" s="4"/>
      <c r="N1381" s="4"/>
      <c r="O1381" s="4"/>
      <c r="P1381" s="4"/>
      <c r="Q1381" s="4"/>
      <c r="R1381" s="4"/>
      <c r="S1381" s="4">
        <v>0</v>
      </c>
      <c r="T1381" s="4">
        <v>0</v>
      </c>
      <c r="U1381" s="4">
        <v>0</v>
      </c>
      <c r="V1381" s="4">
        <v>12</v>
      </c>
      <c r="W1381" s="4">
        <v>12</v>
      </c>
      <c r="X1381" s="4">
        <v>0</v>
      </c>
      <c r="Y1381" s="4"/>
      <c r="Z1381" s="4">
        <v>0</v>
      </c>
      <c r="AA1381" s="4">
        <v>0</v>
      </c>
      <c r="AB1381" s="18"/>
      <c r="AC1381" s="18">
        <v>25</v>
      </c>
      <c r="AD1381" s="28"/>
      <c r="AE1381" s="26"/>
      <c r="AF1381" s="28"/>
    </row>
    <row r="1382" spans="1:32" ht="12.4" customHeight="1" x14ac:dyDescent="0.25">
      <c r="A1382" s="14">
        <v>45826</v>
      </c>
      <c r="B1382" s="14" t="s">
        <v>45</v>
      </c>
      <c r="C1382" s="15">
        <v>4</v>
      </c>
      <c r="D1382" s="16">
        <v>20</v>
      </c>
      <c r="E1382" s="16"/>
      <c r="F1382" s="17"/>
      <c r="G1382" s="21"/>
      <c r="H1382" s="21"/>
      <c r="I1382" s="4">
        <v>20</v>
      </c>
      <c r="J1382" s="4">
        <v>0.33333333333333331</v>
      </c>
      <c r="K1382" s="4"/>
      <c r="L1382" s="16"/>
      <c r="M1382" s="4"/>
      <c r="N1382" s="4"/>
      <c r="O1382" s="4"/>
      <c r="P1382" s="4">
        <v>60</v>
      </c>
      <c r="Q1382" s="4"/>
      <c r="R1382" s="4"/>
      <c r="S1382" s="4">
        <v>60</v>
      </c>
      <c r="T1382" s="4">
        <v>1</v>
      </c>
      <c r="U1382" s="4">
        <v>1.3333333333333333</v>
      </c>
      <c r="V1382" s="4">
        <v>10.666666666666666</v>
      </c>
      <c r="W1382" s="4">
        <v>12</v>
      </c>
      <c r="X1382" s="4">
        <v>0</v>
      </c>
      <c r="Y1382" s="4"/>
      <c r="Z1382" s="4">
        <v>591.76</v>
      </c>
      <c r="AA1382" s="4">
        <v>600</v>
      </c>
      <c r="AB1382" s="18"/>
      <c r="AC1382" s="18">
        <v>25</v>
      </c>
      <c r="AD1382" s="28"/>
      <c r="AE1382" s="26"/>
      <c r="AF1382" s="28"/>
    </row>
    <row r="1383" spans="1:32" ht="12.4" customHeight="1" x14ac:dyDescent="0.25">
      <c r="A1383" s="14">
        <v>45826</v>
      </c>
      <c r="B1383" s="14" t="s">
        <v>46</v>
      </c>
      <c r="C1383" s="15">
        <v>4</v>
      </c>
      <c r="D1383" s="16"/>
      <c r="E1383" s="16"/>
      <c r="F1383" s="17"/>
      <c r="G1383" s="21"/>
      <c r="H1383" s="21"/>
      <c r="I1383" s="4">
        <v>0</v>
      </c>
      <c r="J1383" s="4">
        <v>0</v>
      </c>
      <c r="K1383" s="4"/>
      <c r="L1383" s="16"/>
      <c r="M1383" s="4"/>
      <c r="N1383" s="4"/>
      <c r="O1383" s="4"/>
      <c r="P1383" s="4"/>
      <c r="Q1383" s="4"/>
      <c r="R1383" s="4"/>
      <c r="S1383" s="4">
        <v>0</v>
      </c>
      <c r="T1383" s="4">
        <v>0</v>
      </c>
      <c r="U1383" s="4">
        <v>0</v>
      </c>
      <c r="V1383" s="4">
        <v>12</v>
      </c>
      <c r="W1383" s="4">
        <v>12</v>
      </c>
      <c r="X1383" s="4">
        <v>0</v>
      </c>
      <c r="Y1383" s="4"/>
      <c r="Z1383" s="4">
        <v>550.84999999999991</v>
      </c>
      <c r="AA1383" s="4">
        <v>550</v>
      </c>
      <c r="AB1383" s="18"/>
      <c r="AC1383" s="18">
        <v>25</v>
      </c>
      <c r="AD1383" s="28"/>
      <c r="AE1383" s="26"/>
      <c r="AF1383" s="28"/>
    </row>
    <row r="1384" spans="1:32" ht="12.4" customHeight="1" x14ac:dyDescent="0.25">
      <c r="A1384" s="14">
        <v>45826</v>
      </c>
      <c r="B1384" s="14" t="s">
        <v>45</v>
      </c>
      <c r="C1384" s="15">
        <v>5</v>
      </c>
      <c r="D1384" s="16">
        <v>20</v>
      </c>
      <c r="E1384" s="16"/>
      <c r="F1384" s="17"/>
      <c r="G1384" s="21"/>
      <c r="H1384" s="21"/>
      <c r="I1384" s="4">
        <v>20</v>
      </c>
      <c r="J1384" s="4">
        <v>0.33333333333333331</v>
      </c>
      <c r="K1384" s="4"/>
      <c r="L1384" s="16"/>
      <c r="M1384" s="4"/>
      <c r="N1384" s="4"/>
      <c r="O1384" s="4"/>
      <c r="P1384" s="4"/>
      <c r="Q1384" s="4"/>
      <c r="R1384" s="4"/>
      <c r="S1384" s="4">
        <v>0</v>
      </c>
      <c r="T1384" s="4">
        <v>0</v>
      </c>
      <c r="U1384" s="4">
        <v>0.33333333333333331</v>
      </c>
      <c r="V1384" s="4">
        <v>11.666666666666666</v>
      </c>
      <c r="W1384" s="4">
        <v>12</v>
      </c>
      <c r="X1384" s="4">
        <v>0</v>
      </c>
      <c r="Y1384" s="4"/>
      <c r="Z1384" s="4">
        <v>272.12</v>
      </c>
      <c r="AA1384" s="4">
        <v>300</v>
      </c>
      <c r="AB1384" s="18"/>
      <c r="AC1384" s="18">
        <v>25</v>
      </c>
      <c r="AD1384" s="28"/>
      <c r="AE1384" s="26"/>
      <c r="AF1384" s="28"/>
    </row>
    <row r="1385" spans="1:32" ht="12.4" customHeight="1" x14ac:dyDescent="0.25">
      <c r="A1385" s="14">
        <v>45826</v>
      </c>
      <c r="B1385" s="14" t="s">
        <v>46</v>
      </c>
      <c r="C1385" s="15">
        <v>5</v>
      </c>
      <c r="D1385" s="16"/>
      <c r="E1385" s="16"/>
      <c r="F1385" s="17"/>
      <c r="G1385" s="21"/>
      <c r="H1385" s="21"/>
      <c r="I1385" s="4">
        <v>0</v>
      </c>
      <c r="J1385" s="4">
        <v>0</v>
      </c>
      <c r="K1385" s="4"/>
      <c r="L1385" s="16"/>
      <c r="M1385" s="4"/>
      <c r="N1385" s="4"/>
      <c r="O1385" s="4"/>
      <c r="P1385" s="4"/>
      <c r="Q1385" s="4"/>
      <c r="R1385" s="4"/>
      <c r="S1385" s="4">
        <v>0</v>
      </c>
      <c r="T1385" s="4">
        <v>0</v>
      </c>
      <c r="U1385" s="4">
        <v>0</v>
      </c>
      <c r="V1385" s="4">
        <v>12</v>
      </c>
      <c r="W1385" s="4">
        <v>12</v>
      </c>
      <c r="X1385" s="4">
        <v>0</v>
      </c>
      <c r="Y1385" s="4"/>
      <c r="Z1385" s="4">
        <v>401.75</v>
      </c>
      <c r="AA1385" s="4">
        <v>400</v>
      </c>
      <c r="AB1385" s="18"/>
      <c r="AC1385" s="18">
        <v>25</v>
      </c>
      <c r="AD1385" s="28"/>
      <c r="AE1385" s="26"/>
      <c r="AF1385" s="28"/>
    </row>
    <row r="1386" spans="1:32" ht="12.4" customHeight="1" x14ac:dyDescent="0.25">
      <c r="A1386" s="14">
        <v>45827</v>
      </c>
      <c r="B1386" s="14" t="s">
        <v>45</v>
      </c>
      <c r="C1386" s="15">
        <v>1</v>
      </c>
      <c r="D1386" s="16"/>
      <c r="E1386" s="16"/>
      <c r="F1386" s="17"/>
      <c r="G1386" s="21"/>
      <c r="H1386" s="21"/>
      <c r="I1386" s="4">
        <v>0</v>
      </c>
      <c r="J1386" s="4">
        <v>0</v>
      </c>
      <c r="K1386" s="4"/>
      <c r="L1386" s="16"/>
      <c r="M1386" s="4"/>
      <c r="N1386" s="4"/>
      <c r="O1386" s="4"/>
      <c r="P1386" s="4"/>
      <c r="Q1386" s="4"/>
      <c r="R1386" s="4"/>
      <c r="S1386" s="4">
        <v>0</v>
      </c>
      <c r="T1386" s="4">
        <v>0</v>
      </c>
      <c r="U1386" s="4">
        <v>0</v>
      </c>
      <c r="V1386" s="4">
        <v>12</v>
      </c>
      <c r="W1386" s="4">
        <v>12</v>
      </c>
      <c r="X1386" s="4">
        <v>23</v>
      </c>
      <c r="Y1386" s="4">
        <v>1132</v>
      </c>
      <c r="Z1386" s="4">
        <v>143.69</v>
      </c>
      <c r="AA1386" s="4">
        <v>150</v>
      </c>
      <c r="AB1386" s="18">
        <v>398</v>
      </c>
      <c r="AC1386" s="18">
        <v>25</v>
      </c>
      <c r="AD1386" s="28"/>
      <c r="AE1386" s="26"/>
      <c r="AF1386" s="28"/>
    </row>
    <row r="1387" spans="1:32" ht="12.4" customHeight="1" x14ac:dyDescent="0.25">
      <c r="A1387" s="14">
        <v>45827</v>
      </c>
      <c r="B1387" s="14" t="s">
        <v>46</v>
      </c>
      <c r="C1387" s="15">
        <v>1</v>
      </c>
      <c r="D1387" s="16">
        <v>20</v>
      </c>
      <c r="E1387" s="16"/>
      <c r="F1387" s="17"/>
      <c r="G1387" s="21"/>
      <c r="H1387" s="21"/>
      <c r="I1387" s="4">
        <v>20</v>
      </c>
      <c r="J1387" s="4">
        <v>0.33333333333333331</v>
      </c>
      <c r="K1387" s="4"/>
      <c r="L1387" s="16"/>
      <c r="M1387" s="4"/>
      <c r="N1387" s="4"/>
      <c r="O1387" s="4"/>
      <c r="P1387" s="4"/>
      <c r="Q1387" s="4"/>
      <c r="R1387" s="4"/>
      <c r="S1387" s="4">
        <v>0</v>
      </c>
      <c r="T1387" s="4">
        <v>0</v>
      </c>
      <c r="U1387" s="4">
        <v>0.33333333333333331</v>
      </c>
      <c r="V1387" s="4">
        <v>11.666666666666666</v>
      </c>
      <c r="W1387" s="4">
        <v>12</v>
      </c>
      <c r="X1387" s="4">
        <v>25</v>
      </c>
      <c r="Y1387" s="4"/>
      <c r="Z1387" s="4">
        <v>142.96</v>
      </c>
      <c r="AA1387" s="4">
        <v>150</v>
      </c>
      <c r="AB1387" s="18"/>
      <c r="AC1387" s="18">
        <v>25</v>
      </c>
      <c r="AD1387" s="28"/>
      <c r="AE1387" s="26"/>
      <c r="AF1387" s="28"/>
    </row>
    <row r="1388" spans="1:32" ht="12.4" customHeight="1" x14ac:dyDescent="0.25">
      <c r="A1388" s="14">
        <v>45827</v>
      </c>
      <c r="B1388" s="14" t="s">
        <v>45</v>
      </c>
      <c r="C1388" s="15">
        <v>2</v>
      </c>
      <c r="D1388" s="16">
        <v>20</v>
      </c>
      <c r="E1388" s="16"/>
      <c r="F1388" s="17"/>
      <c r="G1388" s="21"/>
      <c r="H1388" s="21"/>
      <c r="I1388" s="4">
        <v>20</v>
      </c>
      <c r="J1388" s="4">
        <v>0.33333333333333331</v>
      </c>
      <c r="K1388" s="4"/>
      <c r="L1388" s="16"/>
      <c r="M1388" s="4"/>
      <c r="N1388" s="4"/>
      <c r="O1388" s="4"/>
      <c r="P1388" s="4"/>
      <c r="Q1388" s="4"/>
      <c r="R1388" s="4"/>
      <c r="S1388" s="4">
        <v>0</v>
      </c>
      <c r="T1388" s="4">
        <v>0</v>
      </c>
      <c r="U1388" s="4">
        <v>0.33333333333333331</v>
      </c>
      <c r="V1388" s="4">
        <v>11.666666666666666</v>
      </c>
      <c r="W1388" s="4">
        <v>12</v>
      </c>
      <c r="X1388" s="4">
        <v>0</v>
      </c>
      <c r="Y1388" s="4"/>
      <c r="Z1388" s="4">
        <v>110.9</v>
      </c>
      <c r="AA1388" s="4">
        <v>100</v>
      </c>
      <c r="AB1388" s="18"/>
      <c r="AC1388" s="18">
        <v>25</v>
      </c>
      <c r="AD1388" s="28"/>
      <c r="AE1388" s="26"/>
      <c r="AF1388" s="28"/>
    </row>
    <row r="1389" spans="1:32" ht="12.4" customHeight="1" x14ac:dyDescent="0.25">
      <c r="A1389" s="14">
        <v>45827</v>
      </c>
      <c r="B1389" s="14" t="s">
        <v>46</v>
      </c>
      <c r="C1389" s="15">
        <v>2</v>
      </c>
      <c r="D1389" s="16"/>
      <c r="E1389" s="16"/>
      <c r="F1389" s="17"/>
      <c r="G1389" s="21"/>
      <c r="H1389" s="21"/>
      <c r="I1389" s="4">
        <v>0</v>
      </c>
      <c r="J1389" s="4">
        <v>0</v>
      </c>
      <c r="K1389" s="4"/>
      <c r="L1389" s="16"/>
      <c r="M1389" s="4"/>
      <c r="N1389" s="4"/>
      <c r="O1389" s="4"/>
      <c r="P1389" s="4"/>
      <c r="Q1389" s="4"/>
      <c r="R1389" s="4"/>
      <c r="S1389" s="4">
        <v>0</v>
      </c>
      <c r="T1389" s="4">
        <v>0</v>
      </c>
      <c r="U1389" s="4">
        <v>0</v>
      </c>
      <c r="V1389" s="4">
        <v>12</v>
      </c>
      <c r="W1389" s="4">
        <v>12</v>
      </c>
      <c r="X1389" s="4">
        <v>0</v>
      </c>
      <c r="Y1389" s="4"/>
      <c r="Z1389" s="4">
        <v>125.74</v>
      </c>
      <c r="AA1389" s="4">
        <v>150</v>
      </c>
      <c r="AB1389" s="18"/>
      <c r="AC1389" s="18">
        <v>25</v>
      </c>
      <c r="AD1389" s="28"/>
      <c r="AE1389" s="26"/>
      <c r="AF1389" s="28"/>
    </row>
    <row r="1390" spans="1:32" ht="12.4" customHeight="1" x14ac:dyDescent="0.25">
      <c r="A1390" s="14">
        <v>45827</v>
      </c>
      <c r="B1390" s="14" t="s">
        <v>45</v>
      </c>
      <c r="C1390" s="15">
        <v>4</v>
      </c>
      <c r="D1390" s="16">
        <v>20</v>
      </c>
      <c r="E1390" s="16"/>
      <c r="F1390" s="17"/>
      <c r="G1390" s="21"/>
      <c r="H1390" s="21"/>
      <c r="I1390" s="4">
        <v>20</v>
      </c>
      <c r="J1390" s="4">
        <v>0.33333333333333331</v>
      </c>
      <c r="K1390" s="4"/>
      <c r="L1390" s="16"/>
      <c r="M1390" s="4"/>
      <c r="N1390" s="4"/>
      <c r="O1390" s="4"/>
      <c r="P1390" s="4"/>
      <c r="Q1390" s="4"/>
      <c r="R1390" s="4"/>
      <c r="S1390" s="4">
        <v>0</v>
      </c>
      <c r="T1390" s="4">
        <v>0</v>
      </c>
      <c r="U1390" s="4">
        <v>0.33333333333333331</v>
      </c>
      <c r="V1390" s="4">
        <v>11.666666666666666</v>
      </c>
      <c r="W1390" s="4">
        <v>12</v>
      </c>
      <c r="X1390" s="4">
        <v>0</v>
      </c>
      <c r="Y1390" s="4"/>
      <c r="Z1390" s="4">
        <v>597.45000000000005</v>
      </c>
      <c r="AA1390" s="4">
        <v>600</v>
      </c>
      <c r="AB1390" s="18"/>
      <c r="AC1390" s="18">
        <v>25</v>
      </c>
      <c r="AD1390" s="28"/>
      <c r="AE1390" s="26"/>
      <c r="AF1390" s="28"/>
    </row>
    <row r="1391" spans="1:32" ht="12.4" customHeight="1" x14ac:dyDescent="0.25">
      <c r="A1391" s="14">
        <v>45827</v>
      </c>
      <c r="B1391" s="14" t="s">
        <v>46</v>
      </c>
      <c r="C1391" s="15">
        <v>4</v>
      </c>
      <c r="D1391" s="16"/>
      <c r="E1391" s="16"/>
      <c r="F1391" s="17"/>
      <c r="G1391" s="21"/>
      <c r="H1391" s="21"/>
      <c r="I1391" s="4">
        <v>0</v>
      </c>
      <c r="J1391" s="4">
        <v>0</v>
      </c>
      <c r="K1391" s="4"/>
      <c r="L1391" s="16"/>
      <c r="M1391" s="4"/>
      <c r="N1391" s="4"/>
      <c r="O1391" s="4"/>
      <c r="P1391" s="4"/>
      <c r="Q1391" s="4"/>
      <c r="R1391" s="4"/>
      <c r="S1391" s="4">
        <v>0</v>
      </c>
      <c r="T1391" s="4">
        <v>0</v>
      </c>
      <c r="U1391" s="4">
        <v>0</v>
      </c>
      <c r="V1391" s="4">
        <v>12</v>
      </c>
      <c r="W1391" s="4">
        <v>12</v>
      </c>
      <c r="X1391" s="4">
        <v>0</v>
      </c>
      <c r="Y1391" s="4"/>
      <c r="Z1391" s="4">
        <v>616.89</v>
      </c>
      <c r="AA1391" s="4">
        <v>650</v>
      </c>
      <c r="AB1391" s="18"/>
      <c r="AC1391" s="18">
        <v>25</v>
      </c>
      <c r="AD1391" s="28"/>
      <c r="AE1391" s="26"/>
      <c r="AF1391" s="28"/>
    </row>
    <row r="1392" spans="1:32" ht="12.4" customHeight="1" x14ac:dyDescent="0.25">
      <c r="A1392" s="14">
        <v>45827</v>
      </c>
      <c r="B1392" s="14" t="s">
        <v>45</v>
      </c>
      <c r="C1392" s="15">
        <v>5</v>
      </c>
      <c r="D1392" s="16">
        <v>20</v>
      </c>
      <c r="E1392" s="16"/>
      <c r="F1392" s="17"/>
      <c r="G1392" s="21">
        <v>240</v>
      </c>
      <c r="H1392" s="21"/>
      <c r="I1392" s="4">
        <v>260</v>
      </c>
      <c r="J1392" s="4">
        <v>4.333333333333333</v>
      </c>
      <c r="K1392" s="4"/>
      <c r="L1392" s="16"/>
      <c r="M1392" s="4"/>
      <c r="N1392" s="4"/>
      <c r="O1392" s="4"/>
      <c r="P1392" s="4">
        <v>720</v>
      </c>
      <c r="Q1392" s="4"/>
      <c r="R1392" s="4"/>
      <c r="S1392" s="4">
        <v>720</v>
      </c>
      <c r="T1392" s="4">
        <v>12</v>
      </c>
      <c r="U1392" s="4">
        <v>16.333333333333332</v>
      </c>
      <c r="V1392" s="4">
        <v>-4.3333333333333321</v>
      </c>
      <c r="W1392" s="4">
        <v>12</v>
      </c>
      <c r="X1392" s="4">
        <v>0</v>
      </c>
      <c r="Y1392" s="4"/>
      <c r="Z1392" s="4">
        <v>170.68</v>
      </c>
      <c r="AA1392" s="4">
        <v>200</v>
      </c>
      <c r="AB1392" s="18"/>
      <c r="AC1392" s="18">
        <v>25</v>
      </c>
      <c r="AD1392" s="28"/>
      <c r="AE1392" s="26"/>
      <c r="AF1392" s="28"/>
    </row>
    <row r="1393" spans="1:32" ht="12.4" customHeight="1" x14ac:dyDescent="0.25">
      <c r="A1393" s="14">
        <v>45827</v>
      </c>
      <c r="B1393" s="14" t="s">
        <v>46</v>
      </c>
      <c r="C1393" s="15">
        <v>5</v>
      </c>
      <c r="D1393" s="16"/>
      <c r="E1393" s="16"/>
      <c r="F1393" s="17"/>
      <c r="G1393" s="21"/>
      <c r="H1393" s="21"/>
      <c r="I1393" s="4">
        <v>0</v>
      </c>
      <c r="J1393" s="4">
        <v>0</v>
      </c>
      <c r="K1393" s="4"/>
      <c r="L1393" s="16"/>
      <c r="M1393" s="4"/>
      <c r="N1393" s="4"/>
      <c r="O1393" s="4"/>
      <c r="P1393" s="4"/>
      <c r="Q1393" s="4"/>
      <c r="R1393" s="4"/>
      <c r="S1393" s="4">
        <v>0</v>
      </c>
      <c r="T1393" s="4">
        <v>0</v>
      </c>
      <c r="U1393" s="4">
        <v>0</v>
      </c>
      <c r="V1393" s="4">
        <v>12</v>
      </c>
      <c r="W1393" s="4">
        <v>12</v>
      </c>
      <c r="X1393" s="4">
        <v>0</v>
      </c>
      <c r="Y1393" s="4"/>
      <c r="Z1393" s="4">
        <v>0</v>
      </c>
      <c r="AA1393" s="4">
        <v>0</v>
      </c>
      <c r="AB1393" s="18"/>
      <c r="AC1393" s="18">
        <v>25</v>
      </c>
      <c r="AD1393" s="28"/>
      <c r="AE1393" s="26"/>
      <c r="AF1393" s="28"/>
    </row>
    <row r="1394" spans="1:32" ht="12.4" customHeight="1" x14ac:dyDescent="0.25">
      <c r="A1394" s="14">
        <v>45828</v>
      </c>
      <c r="B1394" s="14" t="s">
        <v>45</v>
      </c>
      <c r="C1394" s="15">
        <v>1</v>
      </c>
      <c r="D1394" s="16"/>
      <c r="E1394" s="16"/>
      <c r="F1394" s="17"/>
      <c r="G1394" s="21"/>
      <c r="H1394" s="21"/>
      <c r="I1394" s="4">
        <v>0</v>
      </c>
      <c r="J1394" s="4">
        <v>0</v>
      </c>
      <c r="K1394" s="4"/>
      <c r="L1394" s="16"/>
      <c r="M1394" s="4"/>
      <c r="N1394" s="4"/>
      <c r="O1394" s="4"/>
      <c r="P1394" s="4"/>
      <c r="Q1394" s="4"/>
      <c r="R1394" s="4"/>
      <c r="S1394" s="4">
        <v>0</v>
      </c>
      <c r="T1394" s="4">
        <v>0</v>
      </c>
      <c r="U1394" s="4">
        <v>0</v>
      </c>
      <c r="V1394" s="4">
        <v>12</v>
      </c>
      <c r="W1394" s="4">
        <v>12</v>
      </c>
      <c r="X1394" s="4">
        <v>18</v>
      </c>
      <c r="Y1394" s="4">
        <v>1259</v>
      </c>
      <c r="Z1394" s="4">
        <v>140.18000000000004</v>
      </c>
      <c r="AA1394" s="4">
        <v>150</v>
      </c>
      <c r="AB1394" s="18">
        <v>398</v>
      </c>
      <c r="AC1394" s="18">
        <v>25</v>
      </c>
      <c r="AD1394" s="28"/>
      <c r="AE1394" s="26"/>
      <c r="AF1394" s="28"/>
    </row>
    <row r="1395" spans="1:32" ht="12.4" customHeight="1" x14ac:dyDescent="0.25">
      <c r="A1395" s="14">
        <v>45828</v>
      </c>
      <c r="B1395" s="14" t="s">
        <v>46</v>
      </c>
      <c r="C1395" s="15">
        <v>1</v>
      </c>
      <c r="D1395" s="16"/>
      <c r="E1395" s="16"/>
      <c r="F1395" s="17"/>
      <c r="G1395" s="21"/>
      <c r="H1395" s="21"/>
      <c r="I1395" s="4">
        <v>0</v>
      </c>
      <c r="J1395" s="4">
        <v>0</v>
      </c>
      <c r="K1395" s="4"/>
      <c r="L1395" s="16"/>
      <c r="M1395" s="4"/>
      <c r="N1395" s="4"/>
      <c r="O1395" s="4"/>
      <c r="P1395" s="4"/>
      <c r="Q1395" s="4"/>
      <c r="R1395" s="4"/>
      <c r="S1395" s="4">
        <v>0</v>
      </c>
      <c r="T1395" s="4">
        <v>0</v>
      </c>
      <c r="U1395" s="4">
        <v>0</v>
      </c>
      <c r="V1395" s="4">
        <v>12</v>
      </c>
      <c r="W1395" s="4">
        <v>12</v>
      </c>
      <c r="X1395" s="4">
        <v>21</v>
      </c>
      <c r="Y1395" s="4"/>
      <c r="Z1395" s="4">
        <v>123.03999999999999</v>
      </c>
      <c r="AA1395" s="4">
        <v>150</v>
      </c>
      <c r="AB1395" s="18"/>
      <c r="AC1395" s="18">
        <v>25</v>
      </c>
      <c r="AD1395" s="28"/>
      <c r="AE1395" s="26"/>
      <c r="AF1395" s="28"/>
    </row>
    <row r="1396" spans="1:32" ht="12.4" customHeight="1" x14ac:dyDescent="0.25">
      <c r="A1396" s="14">
        <v>45828</v>
      </c>
      <c r="B1396" s="14" t="s">
        <v>45</v>
      </c>
      <c r="C1396" s="15">
        <v>2</v>
      </c>
      <c r="D1396" s="16"/>
      <c r="E1396" s="16"/>
      <c r="F1396" s="17"/>
      <c r="G1396" s="21"/>
      <c r="H1396" s="21"/>
      <c r="I1396" s="4">
        <v>0</v>
      </c>
      <c r="J1396" s="4">
        <v>0</v>
      </c>
      <c r="K1396" s="4"/>
      <c r="L1396" s="16"/>
      <c r="M1396" s="4"/>
      <c r="N1396" s="4"/>
      <c r="O1396" s="4"/>
      <c r="P1396" s="4"/>
      <c r="Q1396" s="4"/>
      <c r="R1396" s="4"/>
      <c r="S1396" s="4">
        <v>0</v>
      </c>
      <c r="T1396" s="4">
        <v>0</v>
      </c>
      <c r="U1396" s="4">
        <v>0</v>
      </c>
      <c r="V1396" s="4">
        <v>12</v>
      </c>
      <c r="W1396" s="4">
        <v>12</v>
      </c>
      <c r="X1396" s="4">
        <v>0</v>
      </c>
      <c r="Y1396" s="4"/>
      <c r="Z1396" s="4">
        <v>151.47999999999999</v>
      </c>
      <c r="AA1396" s="4">
        <v>150</v>
      </c>
      <c r="AB1396" s="18"/>
      <c r="AC1396" s="18">
        <v>25</v>
      </c>
      <c r="AD1396" s="28"/>
      <c r="AE1396" s="26"/>
      <c r="AF1396" s="28"/>
    </row>
    <row r="1397" spans="1:32" ht="12.4" customHeight="1" x14ac:dyDescent="0.25">
      <c r="A1397" s="14">
        <v>45828</v>
      </c>
      <c r="B1397" s="14" t="s">
        <v>46</v>
      </c>
      <c r="C1397" s="15">
        <v>2</v>
      </c>
      <c r="D1397" s="16"/>
      <c r="E1397" s="16"/>
      <c r="F1397" s="17"/>
      <c r="G1397" s="21"/>
      <c r="H1397" s="21"/>
      <c r="I1397" s="4">
        <v>0</v>
      </c>
      <c r="J1397" s="4">
        <v>0</v>
      </c>
      <c r="K1397" s="4"/>
      <c r="L1397" s="16"/>
      <c r="M1397" s="4"/>
      <c r="N1397" s="4"/>
      <c r="O1397" s="4"/>
      <c r="P1397" s="4"/>
      <c r="Q1397" s="4"/>
      <c r="R1397" s="4"/>
      <c r="S1397" s="4">
        <v>0</v>
      </c>
      <c r="T1397" s="4">
        <v>0</v>
      </c>
      <c r="U1397" s="4">
        <v>0</v>
      </c>
      <c r="V1397" s="4">
        <v>12</v>
      </c>
      <c r="W1397" s="4">
        <v>12</v>
      </c>
      <c r="X1397" s="4">
        <v>0</v>
      </c>
      <c r="Y1397" s="4"/>
      <c r="Z1397" s="4">
        <v>164.78000000000003</v>
      </c>
      <c r="AA1397" s="4">
        <v>200</v>
      </c>
      <c r="AB1397" s="18"/>
      <c r="AC1397" s="18">
        <v>25</v>
      </c>
      <c r="AD1397" s="28"/>
      <c r="AE1397" s="26"/>
      <c r="AF1397" s="28"/>
    </row>
    <row r="1398" spans="1:32" ht="12.4" customHeight="1" x14ac:dyDescent="0.25">
      <c r="A1398" s="14">
        <v>45828</v>
      </c>
      <c r="B1398" s="14" t="s">
        <v>45</v>
      </c>
      <c r="C1398" s="15">
        <v>4</v>
      </c>
      <c r="D1398" s="16"/>
      <c r="E1398" s="16"/>
      <c r="F1398" s="17"/>
      <c r="G1398" s="21"/>
      <c r="H1398" s="21"/>
      <c r="I1398" s="4">
        <v>0</v>
      </c>
      <c r="J1398" s="4">
        <v>0</v>
      </c>
      <c r="K1398" s="4"/>
      <c r="L1398" s="16"/>
      <c r="M1398" s="4"/>
      <c r="N1398" s="4"/>
      <c r="O1398" s="4"/>
      <c r="P1398" s="4">
        <v>60</v>
      </c>
      <c r="Q1398" s="4"/>
      <c r="R1398" s="4"/>
      <c r="S1398" s="4">
        <v>60</v>
      </c>
      <c r="T1398" s="4">
        <v>1</v>
      </c>
      <c r="U1398" s="4">
        <v>1</v>
      </c>
      <c r="V1398" s="4">
        <v>11</v>
      </c>
      <c r="W1398" s="4">
        <v>12</v>
      </c>
      <c r="X1398" s="4">
        <v>0</v>
      </c>
      <c r="Y1398" s="4"/>
      <c r="Z1398" s="4">
        <v>623.31000000000006</v>
      </c>
      <c r="AA1398" s="4">
        <v>700</v>
      </c>
      <c r="AB1398" s="18"/>
      <c r="AC1398" s="18">
        <v>25</v>
      </c>
      <c r="AD1398" s="28"/>
      <c r="AE1398" s="26"/>
      <c r="AF1398" s="28"/>
    </row>
    <row r="1399" spans="1:32" ht="12.4" customHeight="1" x14ac:dyDescent="0.25">
      <c r="A1399" s="14">
        <v>45828</v>
      </c>
      <c r="B1399" s="14" t="s">
        <v>46</v>
      </c>
      <c r="C1399" s="15">
        <v>4</v>
      </c>
      <c r="D1399" s="16">
        <v>60</v>
      </c>
      <c r="E1399" s="16"/>
      <c r="F1399" s="17"/>
      <c r="G1399" s="21"/>
      <c r="H1399" s="21"/>
      <c r="I1399" s="4">
        <v>60</v>
      </c>
      <c r="J1399" s="4">
        <v>1</v>
      </c>
      <c r="K1399" s="4"/>
      <c r="L1399" s="16"/>
      <c r="M1399" s="4"/>
      <c r="N1399" s="4"/>
      <c r="O1399" s="4"/>
      <c r="P1399" s="4"/>
      <c r="Q1399" s="4"/>
      <c r="R1399" s="4"/>
      <c r="S1399" s="4">
        <v>0</v>
      </c>
      <c r="T1399" s="4">
        <v>0</v>
      </c>
      <c r="U1399" s="4">
        <v>1</v>
      </c>
      <c r="V1399" s="4">
        <v>11</v>
      </c>
      <c r="W1399" s="4">
        <v>12</v>
      </c>
      <c r="X1399" s="4">
        <v>0</v>
      </c>
      <c r="Y1399" s="4"/>
      <c r="Z1399" s="4">
        <v>534.21</v>
      </c>
      <c r="AA1399" s="4">
        <v>550</v>
      </c>
      <c r="AB1399" s="18"/>
      <c r="AC1399" s="18">
        <v>25</v>
      </c>
      <c r="AD1399" s="28"/>
      <c r="AE1399" s="26"/>
      <c r="AF1399" s="28"/>
    </row>
    <row r="1400" spans="1:32" ht="12.4" customHeight="1" x14ac:dyDescent="0.25">
      <c r="A1400" s="14">
        <v>45828</v>
      </c>
      <c r="B1400" s="14" t="s">
        <v>45</v>
      </c>
      <c r="C1400" s="15">
        <v>5</v>
      </c>
      <c r="D1400" s="16"/>
      <c r="E1400" s="16"/>
      <c r="F1400" s="17"/>
      <c r="G1400" s="21"/>
      <c r="H1400" s="21"/>
      <c r="I1400" s="4">
        <v>0</v>
      </c>
      <c r="J1400" s="4">
        <v>0</v>
      </c>
      <c r="K1400" s="4"/>
      <c r="L1400" s="16"/>
      <c r="M1400" s="4"/>
      <c r="N1400" s="4"/>
      <c r="O1400" s="4"/>
      <c r="P1400" s="16">
        <v>480</v>
      </c>
      <c r="Q1400" s="4"/>
      <c r="R1400" s="4"/>
      <c r="S1400" s="4">
        <v>480</v>
      </c>
      <c r="T1400" s="4">
        <v>8</v>
      </c>
      <c r="U1400" s="4">
        <v>8</v>
      </c>
      <c r="V1400" s="4">
        <v>4</v>
      </c>
      <c r="W1400" s="4">
        <v>12</v>
      </c>
      <c r="X1400" s="4">
        <v>0</v>
      </c>
      <c r="Y1400" s="4"/>
      <c r="Z1400" s="4">
        <v>83.62</v>
      </c>
      <c r="AA1400" s="4">
        <v>250</v>
      </c>
      <c r="AB1400" s="18"/>
      <c r="AC1400" s="18">
        <v>25</v>
      </c>
      <c r="AD1400" s="28"/>
      <c r="AE1400" s="26"/>
      <c r="AF1400" s="28"/>
    </row>
    <row r="1401" spans="1:32" ht="12.4" customHeight="1" x14ac:dyDescent="0.25">
      <c r="A1401" s="14">
        <v>45828</v>
      </c>
      <c r="B1401" s="14" t="s">
        <v>46</v>
      </c>
      <c r="C1401" s="15">
        <v>5</v>
      </c>
      <c r="D1401" s="16">
        <v>40</v>
      </c>
      <c r="E1401" s="16"/>
      <c r="F1401" s="17"/>
      <c r="G1401" s="21"/>
      <c r="H1401" s="21"/>
      <c r="I1401" s="4">
        <v>40</v>
      </c>
      <c r="J1401" s="4">
        <v>0.66666666666666663</v>
      </c>
      <c r="K1401" s="4"/>
      <c r="L1401" s="16"/>
      <c r="M1401" s="4"/>
      <c r="N1401" s="4"/>
      <c r="O1401" s="4"/>
      <c r="P1401" s="4"/>
      <c r="Q1401" s="4"/>
      <c r="R1401" s="4"/>
      <c r="S1401" s="4">
        <v>0</v>
      </c>
      <c r="T1401" s="4">
        <v>0</v>
      </c>
      <c r="U1401" s="4">
        <v>0.66666666666666663</v>
      </c>
      <c r="V1401" s="4">
        <v>11.333333333333334</v>
      </c>
      <c r="W1401" s="4">
        <v>12</v>
      </c>
      <c r="X1401" s="4">
        <v>0</v>
      </c>
      <c r="Y1401" s="4"/>
      <c r="Z1401" s="4">
        <v>432.17</v>
      </c>
      <c r="AA1401" s="4">
        <v>450</v>
      </c>
      <c r="AB1401" s="18"/>
      <c r="AC1401" s="18">
        <v>25</v>
      </c>
      <c r="AD1401" s="28"/>
      <c r="AE1401" s="26"/>
      <c r="AF1401" s="28"/>
    </row>
    <row r="1402" spans="1:32" ht="12.4" customHeight="1" x14ac:dyDescent="0.25">
      <c r="A1402" s="14">
        <v>45829</v>
      </c>
      <c r="B1402" s="14" t="s">
        <v>45</v>
      </c>
      <c r="C1402" s="15">
        <v>1</v>
      </c>
      <c r="D1402" s="16"/>
      <c r="E1402" s="16"/>
      <c r="F1402" s="17"/>
      <c r="G1402" s="21"/>
      <c r="H1402" s="21"/>
      <c r="I1402" s="4">
        <v>0</v>
      </c>
      <c r="J1402" s="4">
        <v>0</v>
      </c>
      <c r="K1402" s="4"/>
      <c r="L1402" s="16"/>
      <c r="M1402" s="4"/>
      <c r="N1402" s="4"/>
      <c r="O1402" s="4"/>
      <c r="P1402" s="4"/>
      <c r="Q1402" s="4"/>
      <c r="R1402" s="4"/>
      <c r="S1402" s="4">
        <v>0</v>
      </c>
      <c r="T1402" s="4">
        <v>0</v>
      </c>
      <c r="U1402" s="4">
        <v>0</v>
      </c>
      <c r="V1402" s="4">
        <v>12</v>
      </c>
      <c r="W1402" s="4">
        <v>12</v>
      </c>
      <c r="X1402" s="4">
        <v>7</v>
      </c>
      <c r="Y1402" s="4">
        <v>1069</v>
      </c>
      <c r="Z1402" s="4">
        <v>135.46</v>
      </c>
      <c r="AA1402" s="4">
        <v>100</v>
      </c>
      <c r="AB1402" s="18">
        <v>398</v>
      </c>
      <c r="AC1402" s="18">
        <v>25</v>
      </c>
      <c r="AD1402" s="28"/>
      <c r="AE1402" s="26"/>
      <c r="AF1402" s="28"/>
    </row>
    <row r="1403" spans="1:32" ht="12.4" customHeight="1" x14ac:dyDescent="0.25">
      <c r="A1403" s="14">
        <v>45829</v>
      </c>
      <c r="B1403" s="14" t="s">
        <v>46</v>
      </c>
      <c r="C1403" s="15">
        <v>1</v>
      </c>
      <c r="D1403" s="16"/>
      <c r="E1403" s="16"/>
      <c r="F1403" s="17"/>
      <c r="G1403" s="21"/>
      <c r="H1403" s="21"/>
      <c r="I1403" s="4">
        <v>0</v>
      </c>
      <c r="J1403" s="4">
        <v>0</v>
      </c>
      <c r="K1403" s="4"/>
      <c r="L1403" s="16"/>
      <c r="M1403" s="4"/>
      <c r="N1403" s="4"/>
      <c r="O1403" s="4"/>
      <c r="P1403" s="4">
        <v>180</v>
      </c>
      <c r="Q1403" s="4"/>
      <c r="R1403" s="4"/>
      <c r="S1403" s="4">
        <v>180</v>
      </c>
      <c r="T1403" s="4">
        <v>3</v>
      </c>
      <c r="U1403" s="4">
        <v>3</v>
      </c>
      <c r="V1403" s="4">
        <v>9</v>
      </c>
      <c r="W1403" s="4">
        <v>12</v>
      </c>
      <c r="X1403" s="4">
        <v>3</v>
      </c>
      <c r="Y1403" s="4"/>
      <c r="Z1403" s="4">
        <v>123.53999999999999</v>
      </c>
      <c r="AA1403" s="4">
        <v>150</v>
      </c>
      <c r="AB1403" s="18"/>
      <c r="AC1403" s="18">
        <v>25</v>
      </c>
      <c r="AD1403" s="28"/>
      <c r="AE1403" s="26"/>
      <c r="AF1403" s="28"/>
    </row>
    <row r="1404" spans="1:32" ht="12.4" customHeight="1" x14ac:dyDescent="0.25">
      <c r="A1404" s="14">
        <v>45829</v>
      </c>
      <c r="B1404" s="14" t="s">
        <v>45</v>
      </c>
      <c r="C1404" s="15">
        <v>2</v>
      </c>
      <c r="D1404" s="16"/>
      <c r="E1404" s="16"/>
      <c r="F1404" s="17"/>
      <c r="G1404" s="21"/>
      <c r="H1404" s="21"/>
      <c r="I1404" s="4">
        <v>0</v>
      </c>
      <c r="J1404" s="4">
        <v>0</v>
      </c>
      <c r="K1404" s="4"/>
      <c r="L1404" s="16"/>
      <c r="M1404" s="4"/>
      <c r="N1404" s="4"/>
      <c r="O1404" s="4"/>
      <c r="P1404" s="4"/>
      <c r="Q1404" s="4"/>
      <c r="R1404" s="4"/>
      <c r="S1404" s="4">
        <v>0</v>
      </c>
      <c r="T1404" s="4">
        <v>0</v>
      </c>
      <c r="U1404" s="4">
        <v>0</v>
      </c>
      <c r="V1404" s="4">
        <v>12</v>
      </c>
      <c r="W1404" s="4">
        <v>12</v>
      </c>
      <c r="X1404" s="4">
        <v>0</v>
      </c>
      <c r="Y1404" s="4"/>
      <c r="Z1404" s="4">
        <v>151.52000000000001</v>
      </c>
      <c r="AA1404" s="4">
        <v>150</v>
      </c>
      <c r="AB1404" s="18"/>
      <c r="AC1404" s="18">
        <v>25</v>
      </c>
      <c r="AD1404" s="28"/>
      <c r="AE1404" s="26"/>
      <c r="AF1404" s="28"/>
    </row>
    <row r="1405" spans="1:32" ht="12.4" customHeight="1" x14ac:dyDescent="0.25">
      <c r="A1405" s="14">
        <v>45829</v>
      </c>
      <c r="B1405" s="14" t="s">
        <v>46</v>
      </c>
      <c r="C1405" s="15">
        <v>2</v>
      </c>
      <c r="D1405" s="16"/>
      <c r="E1405" s="16"/>
      <c r="F1405" s="17"/>
      <c r="G1405" s="21"/>
      <c r="H1405" s="21"/>
      <c r="I1405" s="4">
        <v>0</v>
      </c>
      <c r="J1405" s="4">
        <v>0</v>
      </c>
      <c r="K1405" s="4"/>
      <c r="L1405" s="16"/>
      <c r="M1405" s="4"/>
      <c r="N1405" s="4"/>
      <c r="O1405" s="4"/>
      <c r="P1405" s="4">
        <v>180</v>
      </c>
      <c r="Q1405" s="4"/>
      <c r="R1405" s="4"/>
      <c r="S1405" s="4">
        <v>180</v>
      </c>
      <c r="T1405" s="4">
        <v>3</v>
      </c>
      <c r="U1405" s="4">
        <v>3</v>
      </c>
      <c r="V1405" s="4">
        <v>9</v>
      </c>
      <c r="W1405" s="4">
        <v>12</v>
      </c>
      <c r="X1405" s="4">
        <v>0</v>
      </c>
      <c r="Y1405" s="4"/>
      <c r="Z1405" s="4">
        <v>111.22</v>
      </c>
      <c r="AA1405" s="4">
        <v>100</v>
      </c>
      <c r="AB1405" s="18"/>
      <c r="AC1405" s="18">
        <v>25</v>
      </c>
      <c r="AD1405" s="28"/>
      <c r="AE1405" s="26"/>
      <c r="AF1405" s="28"/>
    </row>
    <row r="1406" spans="1:32" ht="12.4" customHeight="1" x14ac:dyDescent="0.25">
      <c r="A1406" s="14">
        <v>45829</v>
      </c>
      <c r="B1406" s="14" t="s">
        <v>45</v>
      </c>
      <c r="C1406" s="15">
        <v>4</v>
      </c>
      <c r="D1406" s="16">
        <v>20</v>
      </c>
      <c r="E1406" s="16"/>
      <c r="F1406" s="17"/>
      <c r="G1406" s="21"/>
      <c r="H1406" s="21"/>
      <c r="I1406" s="4">
        <v>20</v>
      </c>
      <c r="J1406" s="4">
        <v>0.33333333333333331</v>
      </c>
      <c r="K1406" s="4"/>
      <c r="L1406" s="16"/>
      <c r="M1406" s="4"/>
      <c r="N1406" s="4"/>
      <c r="O1406" s="4"/>
      <c r="P1406" s="4"/>
      <c r="Q1406" s="4"/>
      <c r="R1406" s="4"/>
      <c r="S1406" s="4">
        <v>0</v>
      </c>
      <c r="T1406" s="4">
        <v>0</v>
      </c>
      <c r="U1406" s="4">
        <v>0.33333333333333331</v>
      </c>
      <c r="V1406" s="4">
        <v>11.666666666666666</v>
      </c>
      <c r="W1406" s="4">
        <v>12</v>
      </c>
      <c r="X1406" s="4">
        <v>0</v>
      </c>
      <c r="Y1406" s="4"/>
      <c r="Z1406" s="4">
        <v>622.12999999999988</v>
      </c>
      <c r="AA1406" s="4">
        <v>650</v>
      </c>
      <c r="AB1406" s="18"/>
      <c r="AC1406" s="18">
        <v>25</v>
      </c>
      <c r="AD1406" s="28"/>
      <c r="AE1406" s="26"/>
      <c r="AF1406" s="28"/>
    </row>
    <row r="1407" spans="1:32" ht="12.4" customHeight="1" x14ac:dyDescent="0.25">
      <c r="A1407" s="14">
        <v>45829</v>
      </c>
      <c r="B1407" s="14" t="s">
        <v>46</v>
      </c>
      <c r="C1407" s="15">
        <v>4</v>
      </c>
      <c r="D1407" s="16"/>
      <c r="E1407" s="16"/>
      <c r="F1407" s="17"/>
      <c r="G1407" s="21"/>
      <c r="H1407" s="21"/>
      <c r="I1407" s="4">
        <v>0</v>
      </c>
      <c r="J1407" s="4">
        <v>0</v>
      </c>
      <c r="K1407" s="4"/>
      <c r="L1407" s="16"/>
      <c r="M1407" s="4"/>
      <c r="N1407" s="4"/>
      <c r="O1407" s="4"/>
      <c r="P1407" s="4">
        <v>180</v>
      </c>
      <c r="Q1407" s="4"/>
      <c r="R1407" s="4"/>
      <c r="S1407" s="4">
        <v>180</v>
      </c>
      <c r="T1407" s="4">
        <v>3</v>
      </c>
      <c r="U1407" s="4">
        <v>3</v>
      </c>
      <c r="V1407" s="4">
        <v>9</v>
      </c>
      <c r="W1407" s="4">
        <v>12</v>
      </c>
      <c r="X1407" s="4">
        <v>0</v>
      </c>
      <c r="Y1407" s="4"/>
      <c r="Z1407" s="4">
        <v>479.81</v>
      </c>
      <c r="AA1407" s="4">
        <v>500</v>
      </c>
      <c r="AB1407" s="18"/>
      <c r="AC1407" s="18">
        <v>25</v>
      </c>
      <c r="AD1407" s="28"/>
      <c r="AE1407" s="26"/>
      <c r="AF1407" s="28"/>
    </row>
    <row r="1408" spans="1:32" ht="12.4" customHeight="1" x14ac:dyDescent="0.25">
      <c r="A1408" s="14">
        <v>45829</v>
      </c>
      <c r="B1408" s="14" t="s">
        <v>45</v>
      </c>
      <c r="C1408" s="15">
        <v>5</v>
      </c>
      <c r="D1408" s="16">
        <v>20</v>
      </c>
      <c r="E1408" s="16"/>
      <c r="F1408" s="17"/>
      <c r="G1408" s="21"/>
      <c r="H1408" s="21"/>
      <c r="I1408" s="4">
        <v>20</v>
      </c>
      <c r="J1408" s="4">
        <v>0.33333333333333331</v>
      </c>
      <c r="K1408" s="4"/>
      <c r="L1408" s="16"/>
      <c r="M1408" s="4"/>
      <c r="N1408" s="4"/>
      <c r="O1408" s="4"/>
      <c r="P1408" s="4"/>
      <c r="Q1408" s="4"/>
      <c r="R1408" s="4"/>
      <c r="S1408" s="4">
        <v>0</v>
      </c>
      <c r="T1408" s="4">
        <v>0</v>
      </c>
      <c r="U1408" s="4">
        <v>0.33333333333333331</v>
      </c>
      <c r="V1408" s="4">
        <v>11.666666666666666</v>
      </c>
      <c r="W1408" s="4">
        <v>12</v>
      </c>
      <c r="X1408" s="4">
        <v>0</v>
      </c>
      <c r="Y1408" s="4"/>
      <c r="Z1408" s="4">
        <v>342.3</v>
      </c>
      <c r="AA1408" s="4">
        <v>350</v>
      </c>
      <c r="AB1408" s="18"/>
      <c r="AC1408" s="18">
        <v>25</v>
      </c>
      <c r="AD1408" s="28"/>
      <c r="AE1408" s="26"/>
      <c r="AF1408" s="28"/>
    </row>
    <row r="1409" spans="1:32" ht="12.4" customHeight="1" x14ac:dyDescent="0.25">
      <c r="A1409" s="14">
        <v>45829</v>
      </c>
      <c r="B1409" s="14" t="s">
        <v>46</v>
      </c>
      <c r="C1409" s="15">
        <v>5</v>
      </c>
      <c r="D1409" s="16"/>
      <c r="E1409" s="16"/>
      <c r="F1409" s="17"/>
      <c r="G1409" s="21"/>
      <c r="H1409" s="21"/>
      <c r="I1409" s="4">
        <v>0</v>
      </c>
      <c r="J1409" s="4">
        <v>0</v>
      </c>
      <c r="K1409" s="4"/>
      <c r="L1409" s="16"/>
      <c r="M1409" s="4"/>
      <c r="N1409" s="4"/>
      <c r="O1409" s="4"/>
      <c r="P1409" s="4">
        <v>180</v>
      </c>
      <c r="Q1409" s="4"/>
      <c r="R1409" s="4"/>
      <c r="S1409" s="4">
        <v>180</v>
      </c>
      <c r="T1409" s="4">
        <v>3</v>
      </c>
      <c r="U1409" s="4">
        <v>3</v>
      </c>
      <c r="V1409" s="4">
        <v>9</v>
      </c>
      <c r="W1409" s="4">
        <v>12</v>
      </c>
      <c r="X1409" s="4">
        <v>0</v>
      </c>
      <c r="Y1409" s="4"/>
      <c r="Z1409" s="4">
        <v>282.07</v>
      </c>
      <c r="AA1409" s="4">
        <v>300</v>
      </c>
      <c r="AB1409" s="18"/>
      <c r="AC1409" s="18">
        <v>25</v>
      </c>
      <c r="AD1409" s="28"/>
      <c r="AE1409" s="26"/>
      <c r="AF1409" s="28"/>
    </row>
    <row r="1410" spans="1:32" ht="12.4" customHeight="1" x14ac:dyDescent="0.25">
      <c r="A1410" s="14">
        <v>45831</v>
      </c>
      <c r="B1410" s="14" t="s">
        <v>45</v>
      </c>
      <c r="C1410" s="15">
        <v>1</v>
      </c>
      <c r="D1410" s="16"/>
      <c r="E1410" s="16"/>
      <c r="F1410" s="17"/>
      <c r="G1410" s="21">
        <v>150</v>
      </c>
      <c r="H1410" s="21"/>
      <c r="I1410" s="4">
        <v>150</v>
      </c>
      <c r="J1410" s="4">
        <v>2.5</v>
      </c>
      <c r="K1410" s="4"/>
      <c r="L1410" s="16"/>
      <c r="M1410" s="4"/>
      <c r="N1410" s="4"/>
      <c r="O1410" s="4"/>
      <c r="P1410" s="4"/>
      <c r="Q1410" s="4"/>
      <c r="R1410" s="4"/>
      <c r="S1410" s="4">
        <v>0</v>
      </c>
      <c r="T1410" s="4">
        <v>0</v>
      </c>
      <c r="U1410" s="4">
        <v>2.5</v>
      </c>
      <c r="V1410" s="4">
        <v>9.5</v>
      </c>
      <c r="W1410" s="4">
        <v>12</v>
      </c>
      <c r="X1410" s="4">
        <v>49</v>
      </c>
      <c r="Y1410" s="4">
        <v>1394</v>
      </c>
      <c r="Z1410" s="4">
        <v>106.44999999999999</v>
      </c>
      <c r="AA1410" s="4">
        <v>150</v>
      </c>
      <c r="AB1410" s="18">
        <v>398</v>
      </c>
      <c r="AC1410" s="18">
        <v>26</v>
      </c>
      <c r="AD1410" s="28"/>
      <c r="AE1410" s="26"/>
      <c r="AF1410" s="28"/>
    </row>
    <row r="1411" spans="1:32" ht="12.4" customHeight="1" x14ac:dyDescent="0.25">
      <c r="A1411" s="14">
        <v>45831</v>
      </c>
      <c r="B1411" s="14" t="s">
        <v>46</v>
      </c>
      <c r="C1411" s="15">
        <v>1</v>
      </c>
      <c r="D1411" s="16"/>
      <c r="E1411" s="16"/>
      <c r="F1411" s="17"/>
      <c r="G1411" s="21"/>
      <c r="H1411" s="21"/>
      <c r="I1411" s="4">
        <v>0</v>
      </c>
      <c r="J1411" s="4">
        <v>0</v>
      </c>
      <c r="K1411" s="4"/>
      <c r="L1411" s="16"/>
      <c r="M1411" s="4"/>
      <c r="N1411" s="4"/>
      <c r="O1411" s="4"/>
      <c r="P1411" s="4"/>
      <c r="Q1411" s="4"/>
      <c r="R1411" s="4"/>
      <c r="S1411" s="4">
        <v>0</v>
      </c>
      <c r="T1411" s="4">
        <v>0</v>
      </c>
      <c r="U1411" s="4">
        <v>0</v>
      </c>
      <c r="V1411" s="4">
        <v>12</v>
      </c>
      <c r="W1411" s="4">
        <v>12</v>
      </c>
      <c r="X1411" s="4">
        <v>0</v>
      </c>
      <c r="Y1411" s="4"/>
      <c r="Z1411" s="4">
        <v>98.390000000000015</v>
      </c>
      <c r="AA1411" s="4">
        <v>100</v>
      </c>
      <c r="AB1411" s="18"/>
      <c r="AC1411" s="18">
        <v>26</v>
      </c>
      <c r="AD1411" s="28"/>
      <c r="AE1411" s="26"/>
      <c r="AF1411" s="28"/>
    </row>
    <row r="1412" spans="1:32" ht="12.4" customHeight="1" x14ac:dyDescent="0.25">
      <c r="A1412" s="14">
        <v>45831</v>
      </c>
      <c r="B1412" s="14" t="s">
        <v>45</v>
      </c>
      <c r="C1412" s="15">
        <v>2</v>
      </c>
      <c r="D1412" s="16"/>
      <c r="E1412" s="16"/>
      <c r="F1412" s="17"/>
      <c r="G1412" s="21">
        <v>150</v>
      </c>
      <c r="H1412" s="21"/>
      <c r="I1412" s="4">
        <v>150</v>
      </c>
      <c r="J1412" s="4">
        <v>2.5</v>
      </c>
      <c r="K1412" s="4"/>
      <c r="L1412" s="16"/>
      <c r="M1412" s="4"/>
      <c r="N1412" s="4"/>
      <c r="O1412" s="4"/>
      <c r="P1412" s="4"/>
      <c r="Q1412" s="4"/>
      <c r="R1412" s="4"/>
      <c r="S1412" s="4">
        <v>0</v>
      </c>
      <c r="T1412" s="4">
        <v>0</v>
      </c>
      <c r="U1412" s="4">
        <v>2.5</v>
      </c>
      <c r="V1412" s="4">
        <v>9.5</v>
      </c>
      <c r="W1412" s="4">
        <v>12</v>
      </c>
      <c r="X1412" s="4">
        <v>0</v>
      </c>
      <c r="Y1412" s="4"/>
      <c r="Z1412" s="4">
        <v>109.38000000000001</v>
      </c>
      <c r="AA1412" s="4">
        <v>150</v>
      </c>
      <c r="AB1412" s="18"/>
      <c r="AC1412" s="18">
        <v>26</v>
      </c>
      <c r="AD1412" s="28"/>
      <c r="AE1412" s="26"/>
      <c r="AF1412" s="28"/>
    </row>
    <row r="1413" spans="1:32" ht="12.4" customHeight="1" x14ac:dyDescent="0.25">
      <c r="A1413" s="14">
        <v>45831</v>
      </c>
      <c r="B1413" s="14" t="s">
        <v>46</v>
      </c>
      <c r="C1413" s="15">
        <v>2</v>
      </c>
      <c r="D1413" s="16"/>
      <c r="E1413" s="16"/>
      <c r="F1413" s="17"/>
      <c r="G1413" s="21"/>
      <c r="H1413" s="21"/>
      <c r="I1413" s="4">
        <v>0</v>
      </c>
      <c r="J1413" s="4">
        <v>0</v>
      </c>
      <c r="K1413" s="4"/>
      <c r="L1413" s="16"/>
      <c r="M1413" s="4"/>
      <c r="N1413" s="4"/>
      <c r="O1413" s="4"/>
      <c r="P1413" s="4"/>
      <c r="Q1413" s="4"/>
      <c r="R1413" s="4"/>
      <c r="S1413" s="4">
        <v>0</v>
      </c>
      <c r="T1413" s="4">
        <v>0</v>
      </c>
      <c r="U1413" s="4">
        <v>0</v>
      </c>
      <c r="V1413" s="4">
        <v>12</v>
      </c>
      <c r="W1413" s="4">
        <v>12</v>
      </c>
      <c r="X1413" s="4">
        <v>0</v>
      </c>
      <c r="Y1413" s="4"/>
      <c r="Z1413" s="4">
        <v>144.96</v>
      </c>
      <c r="AA1413" s="4">
        <v>150</v>
      </c>
      <c r="AB1413" s="18"/>
      <c r="AC1413" s="18">
        <v>26</v>
      </c>
      <c r="AD1413" s="28"/>
      <c r="AE1413" s="26"/>
      <c r="AF1413" s="28"/>
    </row>
    <row r="1414" spans="1:32" ht="12.4" customHeight="1" x14ac:dyDescent="0.25">
      <c r="A1414" s="14">
        <v>45831</v>
      </c>
      <c r="B1414" s="14" t="s">
        <v>45</v>
      </c>
      <c r="C1414" s="15">
        <v>4</v>
      </c>
      <c r="D1414" s="16"/>
      <c r="E1414" s="16"/>
      <c r="F1414" s="17"/>
      <c r="G1414" s="21">
        <v>300</v>
      </c>
      <c r="H1414" s="21"/>
      <c r="I1414" s="4">
        <v>300</v>
      </c>
      <c r="J1414" s="4">
        <v>5</v>
      </c>
      <c r="K1414" s="4"/>
      <c r="L1414" s="16"/>
      <c r="M1414" s="4"/>
      <c r="N1414" s="4"/>
      <c r="O1414" s="4"/>
      <c r="P1414" s="4"/>
      <c r="Q1414" s="4"/>
      <c r="R1414" s="4"/>
      <c r="S1414" s="4">
        <v>0</v>
      </c>
      <c r="T1414" s="4">
        <v>0</v>
      </c>
      <c r="U1414" s="4">
        <v>5</v>
      </c>
      <c r="V1414" s="4">
        <v>7</v>
      </c>
      <c r="W1414" s="4">
        <v>12</v>
      </c>
      <c r="X1414" s="4">
        <v>0</v>
      </c>
      <c r="Y1414" s="4"/>
      <c r="Z1414" s="4">
        <v>325.64999999999998</v>
      </c>
      <c r="AA1414" s="4">
        <v>400</v>
      </c>
      <c r="AB1414" s="18"/>
      <c r="AC1414" s="18">
        <v>26</v>
      </c>
      <c r="AD1414" s="28"/>
      <c r="AE1414" s="26"/>
      <c r="AF1414" s="28"/>
    </row>
    <row r="1415" spans="1:32" ht="12.4" customHeight="1" x14ac:dyDescent="0.25">
      <c r="A1415" s="14">
        <v>45831</v>
      </c>
      <c r="B1415" s="14" t="s">
        <v>46</v>
      </c>
      <c r="C1415" s="15">
        <v>4</v>
      </c>
      <c r="D1415" s="16">
        <v>20</v>
      </c>
      <c r="E1415" s="16"/>
      <c r="F1415" s="17"/>
      <c r="G1415" s="21"/>
      <c r="H1415" s="21"/>
      <c r="I1415" s="4">
        <v>20</v>
      </c>
      <c r="J1415" s="4">
        <v>0.33333333333333331</v>
      </c>
      <c r="K1415" s="4"/>
      <c r="L1415" s="16"/>
      <c r="M1415" s="4"/>
      <c r="N1415" s="4"/>
      <c r="O1415" s="4"/>
      <c r="P1415" s="4"/>
      <c r="Q1415" s="4"/>
      <c r="R1415" s="4"/>
      <c r="S1415" s="4">
        <v>0</v>
      </c>
      <c r="T1415" s="4">
        <v>0</v>
      </c>
      <c r="U1415" s="4">
        <v>0.33333333333333331</v>
      </c>
      <c r="V1415" s="4">
        <v>11.666666666666666</v>
      </c>
      <c r="W1415" s="4">
        <v>12</v>
      </c>
      <c r="X1415" s="4">
        <v>0</v>
      </c>
      <c r="Y1415" s="4"/>
      <c r="Z1415" s="4">
        <v>603.47</v>
      </c>
      <c r="AA1415" s="4">
        <v>650</v>
      </c>
      <c r="AB1415" s="18"/>
      <c r="AC1415" s="18">
        <v>26</v>
      </c>
      <c r="AD1415" s="28"/>
      <c r="AE1415" s="26"/>
      <c r="AF1415" s="28"/>
    </row>
    <row r="1416" spans="1:32" ht="12.4" customHeight="1" x14ac:dyDescent="0.25">
      <c r="A1416" s="14">
        <v>45831</v>
      </c>
      <c r="B1416" s="14" t="s">
        <v>45</v>
      </c>
      <c r="C1416" s="15">
        <v>5</v>
      </c>
      <c r="D1416" s="16"/>
      <c r="E1416" s="16"/>
      <c r="F1416" s="17"/>
      <c r="G1416" s="21">
        <v>180</v>
      </c>
      <c r="H1416" s="21"/>
      <c r="I1416" s="4">
        <v>180</v>
      </c>
      <c r="J1416" s="4">
        <v>3</v>
      </c>
      <c r="K1416" s="4"/>
      <c r="L1416" s="16"/>
      <c r="M1416" s="4"/>
      <c r="N1416" s="4"/>
      <c r="O1416" s="4"/>
      <c r="P1416" s="4"/>
      <c r="Q1416" s="4"/>
      <c r="R1416" s="4"/>
      <c r="S1416" s="4">
        <v>0</v>
      </c>
      <c r="T1416" s="4">
        <v>0</v>
      </c>
      <c r="U1416" s="4">
        <v>3</v>
      </c>
      <c r="V1416" s="4">
        <v>9</v>
      </c>
      <c r="W1416" s="4">
        <v>12</v>
      </c>
      <c r="X1416" s="4">
        <v>0</v>
      </c>
      <c r="Y1416" s="4"/>
      <c r="Z1416" s="4">
        <v>233.56</v>
      </c>
      <c r="AA1416" s="4">
        <v>300</v>
      </c>
      <c r="AB1416" s="18"/>
      <c r="AC1416" s="18">
        <v>26</v>
      </c>
      <c r="AD1416" s="28"/>
      <c r="AE1416" s="26"/>
      <c r="AF1416" s="28"/>
    </row>
    <row r="1417" spans="1:32" ht="12.4" customHeight="1" x14ac:dyDescent="0.25">
      <c r="A1417" s="14">
        <v>45831</v>
      </c>
      <c r="B1417" s="14" t="s">
        <v>46</v>
      </c>
      <c r="C1417" s="15">
        <v>5</v>
      </c>
      <c r="D1417" s="16">
        <v>20</v>
      </c>
      <c r="E1417" s="16"/>
      <c r="F1417" s="17"/>
      <c r="G1417" s="21"/>
      <c r="H1417" s="21"/>
      <c r="I1417" s="4">
        <v>20</v>
      </c>
      <c r="J1417" s="4">
        <v>0.33333333333333331</v>
      </c>
      <c r="K1417" s="4"/>
      <c r="L1417" s="16"/>
      <c r="M1417" s="4"/>
      <c r="N1417" s="4"/>
      <c r="O1417" s="4"/>
      <c r="P1417" s="4"/>
      <c r="Q1417" s="4"/>
      <c r="R1417" s="4"/>
      <c r="S1417" s="4">
        <v>0</v>
      </c>
      <c r="T1417" s="4">
        <v>0</v>
      </c>
      <c r="U1417" s="4">
        <v>0.33333333333333331</v>
      </c>
      <c r="V1417" s="4">
        <v>11.666666666666666</v>
      </c>
      <c r="W1417" s="4">
        <v>12</v>
      </c>
      <c r="X1417" s="4">
        <v>0</v>
      </c>
      <c r="Y1417" s="4"/>
      <c r="Z1417" s="4">
        <v>276.72000000000003</v>
      </c>
      <c r="AA1417" s="4">
        <v>300</v>
      </c>
      <c r="AB1417" s="18"/>
      <c r="AC1417" s="18">
        <v>26</v>
      </c>
      <c r="AD1417" s="28"/>
      <c r="AE1417" s="26"/>
      <c r="AF1417" s="28"/>
    </row>
    <row r="1418" spans="1:32" ht="12.4" customHeight="1" x14ac:dyDescent="0.25">
      <c r="A1418" s="14">
        <v>45832</v>
      </c>
      <c r="B1418" s="14" t="s">
        <v>45</v>
      </c>
      <c r="C1418" s="15">
        <v>1</v>
      </c>
      <c r="D1418" s="16"/>
      <c r="E1418" s="16"/>
      <c r="F1418" s="17"/>
      <c r="G1418" s="21"/>
      <c r="H1418" s="21"/>
      <c r="I1418" s="4">
        <v>0</v>
      </c>
      <c r="J1418" s="4">
        <v>0</v>
      </c>
      <c r="K1418" s="4"/>
      <c r="L1418" s="16"/>
      <c r="M1418" s="4"/>
      <c r="N1418" s="4"/>
      <c r="O1418" s="4"/>
      <c r="P1418" s="4"/>
      <c r="Q1418" s="4"/>
      <c r="R1418" s="4"/>
      <c r="S1418" s="4">
        <v>0</v>
      </c>
      <c r="T1418" s="4">
        <v>0</v>
      </c>
      <c r="U1418" s="4">
        <v>0</v>
      </c>
      <c r="V1418" s="4">
        <v>12</v>
      </c>
      <c r="W1418" s="4">
        <v>12</v>
      </c>
      <c r="X1418" s="4">
        <v>30</v>
      </c>
      <c r="Y1418" s="4">
        <v>1494</v>
      </c>
      <c r="Z1418" s="4">
        <v>108.3</v>
      </c>
      <c r="AA1418" s="4">
        <v>100</v>
      </c>
      <c r="AB1418" s="18">
        <v>398</v>
      </c>
      <c r="AC1418" s="18">
        <v>26</v>
      </c>
      <c r="AD1418" s="28"/>
      <c r="AE1418" s="26"/>
      <c r="AF1418" s="28"/>
    </row>
    <row r="1419" spans="1:32" ht="12.4" customHeight="1" x14ac:dyDescent="0.25">
      <c r="A1419" s="14">
        <v>45832</v>
      </c>
      <c r="B1419" s="14" t="s">
        <v>46</v>
      </c>
      <c r="C1419" s="15">
        <v>1</v>
      </c>
      <c r="D1419" s="16">
        <v>20</v>
      </c>
      <c r="E1419" s="16"/>
      <c r="F1419" s="17"/>
      <c r="G1419" s="21"/>
      <c r="H1419" s="21"/>
      <c r="I1419" s="4">
        <v>20</v>
      </c>
      <c r="J1419" s="4">
        <v>0.33333333333333331</v>
      </c>
      <c r="K1419" s="4"/>
      <c r="L1419" s="16"/>
      <c r="M1419" s="4"/>
      <c r="N1419" s="4"/>
      <c r="O1419" s="4"/>
      <c r="P1419" s="4"/>
      <c r="Q1419" s="4"/>
      <c r="R1419" s="4"/>
      <c r="S1419" s="4">
        <v>0</v>
      </c>
      <c r="T1419" s="4">
        <v>0</v>
      </c>
      <c r="U1419" s="4">
        <v>0.33333333333333331</v>
      </c>
      <c r="V1419" s="4">
        <v>11.666666666666666</v>
      </c>
      <c r="W1419" s="4">
        <v>12</v>
      </c>
      <c r="X1419" s="4">
        <v>0</v>
      </c>
      <c r="Y1419" s="4"/>
      <c r="Z1419" s="4">
        <v>148.82</v>
      </c>
      <c r="AA1419" s="4">
        <v>150</v>
      </c>
      <c r="AB1419" s="18"/>
      <c r="AC1419" s="18">
        <v>26</v>
      </c>
      <c r="AD1419" s="28"/>
      <c r="AE1419" s="26"/>
      <c r="AF1419" s="28"/>
    </row>
    <row r="1420" spans="1:32" ht="12.4" customHeight="1" x14ac:dyDescent="0.25">
      <c r="A1420" s="14">
        <v>45832</v>
      </c>
      <c r="B1420" s="14" t="s">
        <v>45</v>
      </c>
      <c r="C1420" s="15">
        <v>2</v>
      </c>
      <c r="D1420" s="16">
        <v>20</v>
      </c>
      <c r="E1420" s="16"/>
      <c r="F1420" s="17"/>
      <c r="G1420" s="21"/>
      <c r="H1420" s="21"/>
      <c r="I1420" s="4">
        <v>20</v>
      </c>
      <c r="J1420" s="4">
        <v>0.33333333333333331</v>
      </c>
      <c r="K1420" s="4"/>
      <c r="L1420" s="16"/>
      <c r="M1420" s="4"/>
      <c r="N1420" s="4"/>
      <c r="O1420" s="4"/>
      <c r="P1420" s="4"/>
      <c r="Q1420" s="4"/>
      <c r="R1420" s="4"/>
      <c r="S1420" s="4">
        <v>0</v>
      </c>
      <c r="T1420" s="4">
        <v>0</v>
      </c>
      <c r="U1420" s="4">
        <v>0.33333333333333331</v>
      </c>
      <c r="V1420" s="4">
        <v>11.666666666666666</v>
      </c>
      <c r="W1420" s="4">
        <v>12</v>
      </c>
      <c r="X1420" s="4">
        <v>0</v>
      </c>
      <c r="Y1420" s="4"/>
      <c r="Z1420" s="4">
        <v>157.29</v>
      </c>
      <c r="AA1420" s="4">
        <v>150</v>
      </c>
      <c r="AB1420" s="18"/>
      <c r="AC1420" s="18">
        <v>26</v>
      </c>
      <c r="AD1420" s="28"/>
      <c r="AE1420" s="26"/>
      <c r="AF1420" s="28"/>
    </row>
    <row r="1421" spans="1:32" ht="12.4" customHeight="1" x14ac:dyDescent="0.25">
      <c r="A1421" s="14">
        <v>45832</v>
      </c>
      <c r="B1421" s="14" t="s">
        <v>46</v>
      </c>
      <c r="C1421" s="15">
        <v>2</v>
      </c>
      <c r="D1421" s="16"/>
      <c r="E1421" s="16"/>
      <c r="F1421" s="17"/>
      <c r="G1421" s="21"/>
      <c r="H1421" s="21"/>
      <c r="I1421" s="4">
        <v>0</v>
      </c>
      <c r="J1421" s="4">
        <v>0</v>
      </c>
      <c r="K1421" s="4"/>
      <c r="L1421" s="16"/>
      <c r="M1421" s="4"/>
      <c r="N1421" s="4"/>
      <c r="O1421" s="4"/>
      <c r="P1421" s="4"/>
      <c r="Q1421" s="4"/>
      <c r="R1421" s="4"/>
      <c r="S1421" s="4">
        <v>0</v>
      </c>
      <c r="T1421" s="4">
        <v>0</v>
      </c>
      <c r="U1421" s="4">
        <v>0</v>
      </c>
      <c r="V1421" s="4">
        <v>12</v>
      </c>
      <c r="W1421" s="4">
        <v>12</v>
      </c>
      <c r="X1421" s="4">
        <v>0</v>
      </c>
      <c r="Y1421" s="4"/>
      <c r="Z1421" s="4">
        <v>115.12</v>
      </c>
      <c r="AA1421" s="4">
        <v>100</v>
      </c>
      <c r="AB1421" s="18"/>
      <c r="AC1421" s="18">
        <v>26</v>
      </c>
      <c r="AD1421" s="28"/>
      <c r="AE1421" s="26"/>
      <c r="AF1421" s="28"/>
    </row>
    <row r="1422" spans="1:32" ht="12.4" customHeight="1" x14ac:dyDescent="0.25">
      <c r="A1422" s="14">
        <v>45832</v>
      </c>
      <c r="B1422" s="14" t="s">
        <v>45</v>
      </c>
      <c r="C1422" s="15">
        <v>4</v>
      </c>
      <c r="D1422" s="16">
        <v>20</v>
      </c>
      <c r="E1422" s="16"/>
      <c r="F1422" s="17"/>
      <c r="G1422" s="21"/>
      <c r="H1422" s="21"/>
      <c r="I1422" s="4">
        <v>20</v>
      </c>
      <c r="J1422" s="4">
        <v>0.33333333333333331</v>
      </c>
      <c r="K1422" s="4"/>
      <c r="L1422" s="16"/>
      <c r="M1422" s="4"/>
      <c r="N1422" s="4"/>
      <c r="O1422" s="4"/>
      <c r="P1422" s="4"/>
      <c r="Q1422" s="4"/>
      <c r="R1422" s="4"/>
      <c r="S1422" s="4">
        <v>0</v>
      </c>
      <c r="T1422" s="4">
        <v>0</v>
      </c>
      <c r="U1422" s="4">
        <v>0.33333333333333331</v>
      </c>
      <c r="V1422" s="4">
        <v>11.666666666666666</v>
      </c>
      <c r="W1422" s="4">
        <v>12</v>
      </c>
      <c r="X1422" s="4">
        <v>0</v>
      </c>
      <c r="Y1422" s="4"/>
      <c r="Z1422" s="4">
        <v>590.84</v>
      </c>
      <c r="AA1422" s="4">
        <v>600</v>
      </c>
      <c r="AB1422" s="18"/>
      <c r="AC1422" s="18">
        <v>26</v>
      </c>
      <c r="AD1422" s="28"/>
      <c r="AE1422" s="26"/>
      <c r="AF1422" s="28"/>
    </row>
    <row r="1423" spans="1:32" ht="12.4" customHeight="1" x14ac:dyDescent="0.25">
      <c r="A1423" s="14">
        <v>45832</v>
      </c>
      <c r="B1423" s="14" t="s">
        <v>46</v>
      </c>
      <c r="C1423" s="15">
        <v>4</v>
      </c>
      <c r="D1423" s="16"/>
      <c r="E1423" s="16"/>
      <c r="F1423" s="17"/>
      <c r="G1423" s="21"/>
      <c r="H1423" s="21"/>
      <c r="I1423" s="4">
        <v>0</v>
      </c>
      <c r="J1423" s="4">
        <v>0</v>
      </c>
      <c r="K1423" s="4"/>
      <c r="L1423" s="16"/>
      <c r="M1423" s="4"/>
      <c r="N1423" s="4"/>
      <c r="O1423" s="4"/>
      <c r="P1423" s="4"/>
      <c r="Q1423" s="4"/>
      <c r="R1423" s="4"/>
      <c r="S1423" s="4">
        <v>0</v>
      </c>
      <c r="T1423" s="4">
        <v>0</v>
      </c>
      <c r="U1423" s="4">
        <v>0</v>
      </c>
      <c r="V1423" s="4">
        <v>12</v>
      </c>
      <c r="W1423" s="4">
        <v>12</v>
      </c>
      <c r="X1423" s="4">
        <v>0</v>
      </c>
      <c r="Y1423" s="4"/>
      <c r="Z1423" s="4">
        <v>621.93000000000006</v>
      </c>
      <c r="AA1423" s="4">
        <v>650</v>
      </c>
      <c r="AB1423" s="18"/>
      <c r="AC1423" s="18">
        <v>26</v>
      </c>
      <c r="AD1423" s="28"/>
      <c r="AE1423" s="26"/>
      <c r="AF1423" s="28"/>
    </row>
    <row r="1424" spans="1:32" ht="12.4" customHeight="1" x14ac:dyDescent="0.25">
      <c r="A1424" s="14">
        <v>45832</v>
      </c>
      <c r="B1424" s="14" t="s">
        <v>45</v>
      </c>
      <c r="C1424" s="15">
        <v>5</v>
      </c>
      <c r="D1424" s="16"/>
      <c r="E1424" s="16"/>
      <c r="F1424" s="17"/>
      <c r="G1424" s="21"/>
      <c r="H1424" s="21"/>
      <c r="I1424" s="4">
        <v>0</v>
      </c>
      <c r="J1424" s="4">
        <v>0</v>
      </c>
      <c r="K1424" s="4"/>
      <c r="L1424" s="16"/>
      <c r="M1424" s="4"/>
      <c r="N1424" s="4"/>
      <c r="O1424" s="4"/>
      <c r="P1424" s="4"/>
      <c r="Q1424" s="4"/>
      <c r="R1424" s="4"/>
      <c r="S1424" s="4">
        <v>0</v>
      </c>
      <c r="T1424" s="4">
        <v>0</v>
      </c>
      <c r="U1424" s="4">
        <v>0</v>
      </c>
      <c r="V1424" s="4">
        <v>12</v>
      </c>
      <c r="W1424" s="4">
        <v>12</v>
      </c>
      <c r="X1424" s="4">
        <v>0</v>
      </c>
      <c r="Y1424" s="4"/>
      <c r="Z1424" s="4">
        <v>452.87999999999994</v>
      </c>
      <c r="AA1424" s="4">
        <v>450</v>
      </c>
      <c r="AB1424" s="18"/>
      <c r="AC1424" s="18">
        <v>26</v>
      </c>
      <c r="AD1424" s="28"/>
      <c r="AE1424" s="26"/>
      <c r="AF1424" s="28"/>
    </row>
    <row r="1425" spans="1:32" ht="12.4" customHeight="1" x14ac:dyDescent="0.25">
      <c r="A1425" s="14">
        <v>45832</v>
      </c>
      <c r="B1425" s="14" t="s">
        <v>46</v>
      </c>
      <c r="C1425" s="15">
        <v>5</v>
      </c>
      <c r="D1425" s="16">
        <v>20</v>
      </c>
      <c r="E1425" s="16"/>
      <c r="F1425" s="17"/>
      <c r="G1425" s="21"/>
      <c r="H1425" s="21"/>
      <c r="I1425" s="4">
        <v>20</v>
      </c>
      <c r="J1425" s="4">
        <v>0.33333333333333331</v>
      </c>
      <c r="K1425" s="4"/>
      <c r="L1425" s="16"/>
      <c r="M1425" s="4"/>
      <c r="N1425" s="4"/>
      <c r="O1425" s="4"/>
      <c r="P1425" s="4"/>
      <c r="Q1425" s="4"/>
      <c r="R1425" s="4"/>
      <c r="S1425" s="4">
        <v>0</v>
      </c>
      <c r="T1425" s="4">
        <v>0</v>
      </c>
      <c r="U1425" s="4">
        <v>0.33333333333333331</v>
      </c>
      <c r="V1425" s="4">
        <v>11.666666666666666</v>
      </c>
      <c r="W1425" s="4">
        <v>12</v>
      </c>
      <c r="X1425" s="4">
        <v>0</v>
      </c>
      <c r="Y1425" s="4"/>
      <c r="Z1425" s="4">
        <v>385.54999999999995</v>
      </c>
      <c r="AA1425" s="4">
        <v>400</v>
      </c>
      <c r="AB1425" s="18"/>
      <c r="AC1425" s="18">
        <v>26</v>
      </c>
      <c r="AD1425" s="28"/>
      <c r="AE1425" s="26"/>
      <c r="AF1425" s="28"/>
    </row>
    <row r="1426" spans="1:32" ht="12.4" customHeight="1" x14ac:dyDescent="0.25">
      <c r="A1426" s="14">
        <v>45833</v>
      </c>
      <c r="B1426" s="14" t="s">
        <v>45</v>
      </c>
      <c r="C1426" s="15">
        <v>1</v>
      </c>
      <c r="D1426" s="16"/>
      <c r="E1426" s="16"/>
      <c r="F1426" s="17"/>
      <c r="G1426" s="21"/>
      <c r="H1426" s="21"/>
      <c r="I1426" s="4">
        <v>0</v>
      </c>
      <c r="J1426" s="4">
        <v>0</v>
      </c>
      <c r="K1426" s="4"/>
      <c r="L1426" s="16"/>
      <c r="M1426" s="4"/>
      <c r="N1426" s="4"/>
      <c r="O1426" s="4"/>
      <c r="P1426" s="4"/>
      <c r="Q1426" s="4">
        <v>30</v>
      </c>
      <c r="R1426" s="4"/>
      <c r="S1426" s="4">
        <v>30</v>
      </c>
      <c r="T1426" s="4">
        <v>0.5</v>
      </c>
      <c r="U1426" s="4">
        <v>0.5</v>
      </c>
      <c r="V1426" s="4">
        <v>11.5</v>
      </c>
      <c r="W1426" s="4">
        <v>12</v>
      </c>
      <c r="X1426" s="4">
        <v>64</v>
      </c>
      <c r="Y1426" s="4">
        <v>1563</v>
      </c>
      <c r="Z1426" s="4">
        <v>161.70000000000002</v>
      </c>
      <c r="AA1426" s="4">
        <v>150</v>
      </c>
      <c r="AB1426" s="18">
        <v>398</v>
      </c>
      <c r="AC1426" s="18">
        <v>26</v>
      </c>
      <c r="AD1426" s="28"/>
      <c r="AE1426" s="26"/>
      <c r="AF1426" s="28"/>
    </row>
    <row r="1427" spans="1:32" ht="12.4" customHeight="1" x14ac:dyDescent="0.25">
      <c r="A1427" s="14">
        <v>45833</v>
      </c>
      <c r="B1427" s="14" t="s">
        <v>46</v>
      </c>
      <c r="C1427" s="15">
        <v>1</v>
      </c>
      <c r="D1427" s="16"/>
      <c r="E1427" s="16"/>
      <c r="F1427" s="17"/>
      <c r="G1427" s="21"/>
      <c r="H1427" s="21"/>
      <c r="I1427" s="4">
        <v>0</v>
      </c>
      <c r="J1427" s="4">
        <v>0</v>
      </c>
      <c r="K1427" s="4"/>
      <c r="L1427" s="16"/>
      <c r="M1427" s="4"/>
      <c r="N1427" s="4"/>
      <c r="O1427" s="4"/>
      <c r="P1427" s="4"/>
      <c r="Q1427" s="4"/>
      <c r="R1427" s="4"/>
      <c r="S1427" s="4">
        <v>0</v>
      </c>
      <c r="T1427" s="4">
        <v>0</v>
      </c>
      <c r="U1427" s="4">
        <v>0</v>
      </c>
      <c r="V1427" s="4">
        <v>12</v>
      </c>
      <c r="W1427" s="4">
        <v>12</v>
      </c>
      <c r="X1427" s="4">
        <v>0</v>
      </c>
      <c r="Y1427" s="4"/>
      <c r="Z1427" s="4">
        <v>154.81</v>
      </c>
      <c r="AA1427" s="4">
        <v>150</v>
      </c>
      <c r="AB1427" s="18"/>
      <c r="AC1427" s="18">
        <v>26</v>
      </c>
      <c r="AD1427" s="28"/>
      <c r="AE1427" s="26"/>
      <c r="AF1427" s="28"/>
    </row>
    <row r="1428" spans="1:32" ht="12.4" customHeight="1" x14ac:dyDescent="0.25">
      <c r="A1428" s="14">
        <v>45833</v>
      </c>
      <c r="B1428" s="14" t="s">
        <v>45</v>
      </c>
      <c r="C1428" s="15">
        <v>2</v>
      </c>
      <c r="D1428" s="16">
        <v>20</v>
      </c>
      <c r="E1428" s="16"/>
      <c r="F1428" s="17"/>
      <c r="G1428" s="21"/>
      <c r="H1428" s="21"/>
      <c r="I1428" s="4">
        <v>20</v>
      </c>
      <c r="J1428" s="4">
        <v>0.33333333333333331</v>
      </c>
      <c r="K1428" s="4"/>
      <c r="L1428" s="16"/>
      <c r="M1428" s="4"/>
      <c r="N1428" s="4"/>
      <c r="O1428" s="4"/>
      <c r="P1428" s="4"/>
      <c r="Q1428" s="4"/>
      <c r="R1428" s="4"/>
      <c r="S1428" s="4">
        <v>0</v>
      </c>
      <c r="T1428" s="4">
        <v>0</v>
      </c>
      <c r="U1428" s="4">
        <v>0.33333333333333331</v>
      </c>
      <c r="V1428" s="4">
        <v>11.666666666666666</v>
      </c>
      <c r="W1428" s="4">
        <v>12</v>
      </c>
      <c r="X1428" s="4">
        <v>0</v>
      </c>
      <c r="Y1428" s="4"/>
      <c r="Z1428" s="4">
        <v>130.6</v>
      </c>
      <c r="AA1428" s="4">
        <v>150</v>
      </c>
      <c r="AB1428" s="18"/>
      <c r="AC1428" s="18">
        <v>26</v>
      </c>
      <c r="AD1428" s="28"/>
      <c r="AE1428" s="26"/>
      <c r="AF1428" s="28"/>
    </row>
    <row r="1429" spans="1:32" ht="12.4" customHeight="1" x14ac:dyDescent="0.25">
      <c r="A1429" s="14">
        <v>45833</v>
      </c>
      <c r="B1429" s="14" t="s">
        <v>46</v>
      </c>
      <c r="C1429" s="15">
        <v>2</v>
      </c>
      <c r="D1429" s="16"/>
      <c r="E1429" s="16"/>
      <c r="F1429" s="17"/>
      <c r="G1429" s="21"/>
      <c r="H1429" s="21"/>
      <c r="I1429" s="4">
        <v>0</v>
      </c>
      <c r="J1429" s="4">
        <v>0</v>
      </c>
      <c r="K1429" s="4"/>
      <c r="L1429" s="16"/>
      <c r="M1429" s="4"/>
      <c r="N1429" s="4"/>
      <c r="O1429" s="4"/>
      <c r="P1429" s="4"/>
      <c r="Q1429" s="4"/>
      <c r="R1429" s="4"/>
      <c r="S1429" s="4">
        <v>0</v>
      </c>
      <c r="T1429" s="4">
        <v>0</v>
      </c>
      <c r="U1429" s="4">
        <v>0</v>
      </c>
      <c r="V1429" s="4">
        <v>12</v>
      </c>
      <c r="W1429" s="4">
        <v>12</v>
      </c>
      <c r="X1429" s="4">
        <v>0</v>
      </c>
      <c r="Y1429" s="4"/>
      <c r="Z1429" s="4">
        <v>145.18</v>
      </c>
      <c r="AA1429" s="4">
        <v>150</v>
      </c>
      <c r="AB1429" s="18"/>
      <c r="AC1429" s="18">
        <v>26</v>
      </c>
      <c r="AD1429" s="28"/>
      <c r="AE1429" s="26"/>
      <c r="AF1429" s="28"/>
    </row>
    <row r="1430" spans="1:32" ht="12.4" customHeight="1" x14ac:dyDescent="0.25">
      <c r="A1430" s="14">
        <v>45833</v>
      </c>
      <c r="B1430" s="14" t="s">
        <v>45</v>
      </c>
      <c r="C1430" s="15">
        <v>4</v>
      </c>
      <c r="D1430" s="16"/>
      <c r="E1430" s="16"/>
      <c r="F1430" s="17"/>
      <c r="G1430" s="21"/>
      <c r="H1430" s="21"/>
      <c r="I1430" s="4">
        <v>0</v>
      </c>
      <c r="J1430" s="4">
        <v>0</v>
      </c>
      <c r="K1430" s="4"/>
      <c r="L1430" s="16"/>
      <c r="M1430" s="4"/>
      <c r="N1430" s="4"/>
      <c r="O1430" s="4"/>
      <c r="P1430" s="4"/>
      <c r="Q1430" s="4"/>
      <c r="R1430" s="4"/>
      <c r="S1430" s="4">
        <v>0</v>
      </c>
      <c r="T1430" s="4">
        <v>0</v>
      </c>
      <c r="U1430" s="4">
        <v>0</v>
      </c>
      <c r="V1430" s="4">
        <v>12</v>
      </c>
      <c r="W1430" s="4">
        <v>12</v>
      </c>
      <c r="X1430" s="4">
        <v>0</v>
      </c>
      <c r="Y1430" s="4"/>
      <c r="Z1430" s="4">
        <v>602.79999999999984</v>
      </c>
      <c r="AA1430" s="4">
        <v>600</v>
      </c>
      <c r="AB1430" s="18"/>
      <c r="AC1430" s="18">
        <v>26</v>
      </c>
      <c r="AD1430" s="28"/>
      <c r="AE1430" s="26"/>
      <c r="AF1430" s="28"/>
    </row>
    <row r="1431" spans="1:32" ht="12.4" customHeight="1" x14ac:dyDescent="0.25">
      <c r="A1431" s="14">
        <v>45833</v>
      </c>
      <c r="B1431" s="14" t="s">
        <v>46</v>
      </c>
      <c r="C1431" s="15">
        <v>4</v>
      </c>
      <c r="D1431" s="16">
        <v>20</v>
      </c>
      <c r="E1431" s="16"/>
      <c r="F1431" s="17"/>
      <c r="G1431" s="21"/>
      <c r="H1431" s="21"/>
      <c r="I1431" s="4">
        <v>20</v>
      </c>
      <c r="J1431" s="4">
        <v>0.33333333333333331</v>
      </c>
      <c r="K1431" s="4"/>
      <c r="L1431" s="16"/>
      <c r="M1431" s="4"/>
      <c r="N1431" s="4"/>
      <c r="O1431" s="4"/>
      <c r="P1431" s="4"/>
      <c r="Q1431" s="4"/>
      <c r="R1431" s="4"/>
      <c r="S1431" s="4">
        <v>0</v>
      </c>
      <c r="T1431" s="4">
        <v>0</v>
      </c>
      <c r="U1431" s="4">
        <v>0.33333333333333331</v>
      </c>
      <c r="V1431" s="4">
        <v>11.666666666666666</v>
      </c>
      <c r="W1431" s="4">
        <v>12</v>
      </c>
      <c r="X1431" s="4">
        <v>0</v>
      </c>
      <c r="Y1431" s="4"/>
      <c r="Z1431" s="4">
        <v>558.69000000000005</v>
      </c>
      <c r="AA1431" s="4">
        <v>550</v>
      </c>
      <c r="AB1431" s="18"/>
      <c r="AC1431" s="18">
        <v>26</v>
      </c>
      <c r="AD1431" s="28"/>
      <c r="AE1431" s="26"/>
      <c r="AF1431" s="28"/>
    </row>
    <row r="1432" spans="1:32" ht="12.4" customHeight="1" x14ac:dyDescent="0.25">
      <c r="A1432" s="14">
        <v>45833</v>
      </c>
      <c r="B1432" s="14" t="s">
        <v>45</v>
      </c>
      <c r="C1432" s="15">
        <v>5</v>
      </c>
      <c r="D1432" s="16">
        <v>40</v>
      </c>
      <c r="E1432" s="16"/>
      <c r="F1432" s="17"/>
      <c r="G1432" s="21"/>
      <c r="H1432" s="21"/>
      <c r="I1432" s="4">
        <v>40</v>
      </c>
      <c r="J1432" s="4">
        <v>0.66666666666666663</v>
      </c>
      <c r="K1432" s="4"/>
      <c r="L1432" s="16"/>
      <c r="M1432" s="4"/>
      <c r="N1432" s="4"/>
      <c r="O1432" s="4"/>
      <c r="P1432" s="4"/>
      <c r="Q1432" s="4"/>
      <c r="R1432" s="4"/>
      <c r="S1432" s="4">
        <v>0</v>
      </c>
      <c r="T1432" s="4">
        <v>0</v>
      </c>
      <c r="U1432" s="4">
        <v>0.66666666666666663</v>
      </c>
      <c r="V1432" s="4">
        <v>11.333333333333334</v>
      </c>
      <c r="W1432" s="4">
        <v>12</v>
      </c>
      <c r="X1432" s="4">
        <v>0</v>
      </c>
      <c r="Y1432" s="4"/>
      <c r="Z1432" s="4">
        <v>434.8</v>
      </c>
      <c r="AA1432" s="4">
        <v>450</v>
      </c>
      <c r="AB1432" s="18"/>
      <c r="AC1432" s="18">
        <v>26</v>
      </c>
      <c r="AD1432" s="28"/>
      <c r="AE1432" s="26"/>
      <c r="AF1432" s="28"/>
    </row>
    <row r="1433" spans="1:32" ht="12.4" customHeight="1" x14ac:dyDescent="0.25">
      <c r="A1433" s="14">
        <v>45833</v>
      </c>
      <c r="B1433" s="14" t="s">
        <v>46</v>
      </c>
      <c r="C1433" s="15">
        <v>5</v>
      </c>
      <c r="D1433" s="16">
        <v>20</v>
      </c>
      <c r="E1433" s="16"/>
      <c r="F1433" s="17"/>
      <c r="G1433" s="21"/>
      <c r="H1433" s="21"/>
      <c r="I1433" s="4">
        <v>20</v>
      </c>
      <c r="J1433" s="4">
        <v>0.33333333333333331</v>
      </c>
      <c r="K1433" s="4"/>
      <c r="L1433" s="16"/>
      <c r="M1433" s="4"/>
      <c r="N1433" s="4"/>
      <c r="O1433" s="4"/>
      <c r="P1433" s="4"/>
      <c r="Q1433" s="4"/>
      <c r="R1433" s="4"/>
      <c r="S1433" s="4">
        <v>0</v>
      </c>
      <c r="T1433" s="4">
        <v>0</v>
      </c>
      <c r="U1433" s="4">
        <v>0.33333333333333331</v>
      </c>
      <c r="V1433" s="4">
        <v>11.666666666666666</v>
      </c>
      <c r="W1433" s="4">
        <v>12</v>
      </c>
      <c r="X1433" s="4">
        <v>0</v>
      </c>
      <c r="Y1433" s="4"/>
      <c r="Z1433" s="4">
        <v>466.68999999999994</v>
      </c>
      <c r="AA1433" s="4">
        <v>500</v>
      </c>
      <c r="AB1433" s="18"/>
      <c r="AC1433" s="18">
        <v>26</v>
      </c>
      <c r="AD1433" s="28"/>
      <c r="AE1433" s="26"/>
      <c r="AF1433" s="28"/>
    </row>
    <row r="1434" spans="1:32" ht="12.4" customHeight="1" x14ac:dyDescent="0.25">
      <c r="A1434" s="14">
        <v>45834</v>
      </c>
      <c r="B1434" s="14" t="s">
        <v>45</v>
      </c>
      <c r="C1434" s="15">
        <v>1</v>
      </c>
      <c r="D1434" s="16"/>
      <c r="E1434" s="16"/>
      <c r="F1434" s="17"/>
      <c r="G1434" s="21"/>
      <c r="H1434" s="21"/>
      <c r="I1434" s="4">
        <v>0</v>
      </c>
      <c r="J1434" s="4">
        <v>0</v>
      </c>
      <c r="K1434" s="4"/>
      <c r="L1434" s="16"/>
      <c r="M1434" s="4"/>
      <c r="N1434" s="4"/>
      <c r="O1434" s="4"/>
      <c r="P1434" s="4">
        <v>60</v>
      </c>
      <c r="Q1434" s="4"/>
      <c r="R1434" s="4"/>
      <c r="S1434" s="4">
        <v>60</v>
      </c>
      <c r="T1434" s="4">
        <v>1</v>
      </c>
      <c r="U1434" s="4">
        <v>1</v>
      </c>
      <c r="V1434" s="4">
        <v>11</v>
      </c>
      <c r="W1434" s="4">
        <v>12</v>
      </c>
      <c r="X1434" s="4">
        <v>30</v>
      </c>
      <c r="Y1434" s="4">
        <v>1577</v>
      </c>
      <c r="Z1434" s="4">
        <v>137.45000000000002</v>
      </c>
      <c r="AA1434" s="4">
        <v>150</v>
      </c>
      <c r="AB1434" s="18">
        <v>398</v>
      </c>
      <c r="AC1434" s="18">
        <v>26</v>
      </c>
      <c r="AD1434" s="28"/>
      <c r="AE1434" s="26"/>
      <c r="AF1434" s="28"/>
    </row>
    <row r="1435" spans="1:32" ht="12.4" customHeight="1" x14ac:dyDescent="0.25">
      <c r="A1435" s="14">
        <v>45834</v>
      </c>
      <c r="B1435" s="14" t="s">
        <v>46</v>
      </c>
      <c r="C1435" s="15">
        <v>1</v>
      </c>
      <c r="D1435" s="16"/>
      <c r="E1435" s="16"/>
      <c r="F1435" s="17"/>
      <c r="G1435" s="21"/>
      <c r="H1435" s="21"/>
      <c r="I1435" s="4">
        <v>0</v>
      </c>
      <c r="J1435" s="4">
        <v>0</v>
      </c>
      <c r="K1435" s="4"/>
      <c r="L1435" s="16"/>
      <c r="M1435" s="4"/>
      <c r="N1435" s="4"/>
      <c r="O1435" s="4"/>
      <c r="P1435" s="4"/>
      <c r="Q1435" s="4"/>
      <c r="R1435" s="4"/>
      <c r="S1435" s="4">
        <v>0</v>
      </c>
      <c r="T1435" s="4">
        <v>0</v>
      </c>
      <c r="U1435" s="4">
        <v>0</v>
      </c>
      <c r="V1435" s="4">
        <v>12</v>
      </c>
      <c r="W1435" s="4">
        <v>12</v>
      </c>
      <c r="X1435" s="4">
        <v>29</v>
      </c>
      <c r="Y1435" s="4"/>
      <c r="Z1435" s="4">
        <v>177.2</v>
      </c>
      <c r="AA1435" s="4">
        <v>200</v>
      </c>
      <c r="AB1435" s="18"/>
      <c r="AC1435" s="18">
        <v>26</v>
      </c>
      <c r="AD1435" s="28"/>
      <c r="AE1435" s="26"/>
      <c r="AF1435" s="28"/>
    </row>
    <row r="1436" spans="1:32" ht="12.4" customHeight="1" x14ac:dyDescent="0.25">
      <c r="A1436" s="14">
        <v>45834</v>
      </c>
      <c r="B1436" s="14" t="s">
        <v>45</v>
      </c>
      <c r="C1436" s="15">
        <v>2</v>
      </c>
      <c r="D1436" s="16"/>
      <c r="E1436" s="16"/>
      <c r="F1436" s="17"/>
      <c r="G1436" s="21"/>
      <c r="H1436" s="21"/>
      <c r="I1436" s="4">
        <v>0</v>
      </c>
      <c r="J1436" s="4">
        <v>0</v>
      </c>
      <c r="K1436" s="4"/>
      <c r="L1436" s="16"/>
      <c r="M1436" s="4"/>
      <c r="N1436" s="4"/>
      <c r="O1436" s="4"/>
      <c r="P1436" s="4"/>
      <c r="Q1436" s="4"/>
      <c r="R1436" s="4"/>
      <c r="S1436" s="4">
        <v>0</v>
      </c>
      <c r="T1436" s="4">
        <v>0</v>
      </c>
      <c r="U1436" s="4">
        <v>0</v>
      </c>
      <c r="V1436" s="4">
        <v>12</v>
      </c>
      <c r="W1436" s="4">
        <v>12</v>
      </c>
      <c r="X1436" s="4">
        <v>0</v>
      </c>
      <c r="Y1436" s="4"/>
      <c r="Z1436" s="4">
        <v>116.20000000000002</v>
      </c>
      <c r="AA1436" s="4">
        <v>100</v>
      </c>
      <c r="AB1436" s="18"/>
      <c r="AC1436" s="18">
        <v>26</v>
      </c>
      <c r="AD1436" s="28"/>
      <c r="AE1436" s="26"/>
      <c r="AF1436" s="28"/>
    </row>
    <row r="1437" spans="1:32" ht="12.4" customHeight="1" x14ac:dyDescent="0.25">
      <c r="A1437" s="14">
        <v>45834</v>
      </c>
      <c r="B1437" s="14" t="s">
        <v>46</v>
      </c>
      <c r="C1437" s="15">
        <v>2</v>
      </c>
      <c r="D1437" s="16"/>
      <c r="E1437" s="16"/>
      <c r="F1437" s="17"/>
      <c r="G1437" s="21"/>
      <c r="H1437" s="21"/>
      <c r="I1437" s="4">
        <v>0</v>
      </c>
      <c r="J1437" s="4">
        <v>0</v>
      </c>
      <c r="K1437" s="4"/>
      <c r="L1437" s="16"/>
      <c r="M1437" s="4"/>
      <c r="N1437" s="4"/>
      <c r="O1437" s="4"/>
      <c r="P1437" s="4"/>
      <c r="Q1437" s="4"/>
      <c r="R1437" s="4"/>
      <c r="S1437" s="4">
        <v>0</v>
      </c>
      <c r="T1437" s="4">
        <v>0</v>
      </c>
      <c r="U1437" s="4">
        <v>0</v>
      </c>
      <c r="V1437" s="4">
        <v>12</v>
      </c>
      <c r="W1437" s="4">
        <v>12</v>
      </c>
      <c r="X1437" s="4">
        <v>0</v>
      </c>
      <c r="Y1437" s="4"/>
      <c r="Z1437" s="4">
        <v>151.81</v>
      </c>
      <c r="AA1437" s="4">
        <v>150</v>
      </c>
      <c r="AB1437" s="18"/>
      <c r="AC1437" s="18">
        <v>26</v>
      </c>
      <c r="AD1437" s="28"/>
      <c r="AE1437" s="26"/>
      <c r="AF1437" s="28"/>
    </row>
    <row r="1438" spans="1:32" ht="12.4" customHeight="1" x14ac:dyDescent="0.25">
      <c r="A1438" s="14">
        <v>45834</v>
      </c>
      <c r="B1438" s="14" t="s">
        <v>45</v>
      </c>
      <c r="C1438" s="15">
        <v>4</v>
      </c>
      <c r="D1438" s="16">
        <v>20</v>
      </c>
      <c r="E1438" s="16"/>
      <c r="F1438" s="17"/>
      <c r="G1438" s="21"/>
      <c r="H1438" s="21"/>
      <c r="I1438" s="4">
        <v>20</v>
      </c>
      <c r="J1438" s="4">
        <v>0.33333333333333331</v>
      </c>
      <c r="K1438" s="4"/>
      <c r="L1438" s="16"/>
      <c r="M1438" s="4"/>
      <c r="N1438" s="4"/>
      <c r="O1438" s="4"/>
      <c r="P1438" s="4"/>
      <c r="Q1438" s="4"/>
      <c r="R1438" s="4"/>
      <c r="S1438" s="4">
        <v>0</v>
      </c>
      <c r="T1438" s="4">
        <v>0</v>
      </c>
      <c r="U1438" s="4">
        <v>0.33333333333333331</v>
      </c>
      <c r="V1438" s="4">
        <v>11.666666666666666</v>
      </c>
      <c r="W1438" s="4">
        <v>12</v>
      </c>
      <c r="X1438" s="4">
        <v>0</v>
      </c>
      <c r="Y1438" s="4"/>
      <c r="Z1438" s="4">
        <v>534.17999999999995</v>
      </c>
      <c r="AA1438" s="4">
        <v>550</v>
      </c>
      <c r="AB1438" s="18"/>
      <c r="AC1438" s="18">
        <v>26</v>
      </c>
      <c r="AD1438" s="28"/>
      <c r="AE1438" s="26"/>
      <c r="AF1438" s="28"/>
    </row>
    <row r="1439" spans="1:32" ht="12.4" customHeight="1" x14ac:dyDescent="0.25">
      <c r="A1439" s="14">
        <v>45834</v>
      </c>
      <c r="B1439" s="14" t="s">
        <v>46</v>
      </c>
      <c r="C1439" s="15">
        <v>4</v>
      </c>
      <c r="D1439" s="16"/>
      <c r="E1439" s="16"/>
      <c r="F1439" s="17"/>
      <c r="G1439" s="21"/>
      <c r="H1439" s="21"/>
      <c r="I1439" s="4">
        <v>0</v>
      </c>
      <c r="J1439" s="4">
        <v>0</v>
      </c>
      <c r="K1439" s="4"/>
      <c r="L1439" s="16"/>
      <c r="M1439" s="4"/>
      <c r="N1439" s="4"/>
      <c r="O1439" s="4"/>
      <c r="P1439" s="4"/>
      <c r="Q1439" s="4"/>
      <c r="R1439" s="4"/>
      <c r="S1439" s="4">
        <v>0</v>
      </c>
      <c r="T1439" s="4">
        <v>0</v>
      </c>
      <c r="U1439" s="4">
        <v>0</v>
      </c>
      <c r="V1439" s="4">
        <v>12</v>
      </c>
      <c r="W1439" s="4">
        <v>12</v>
      </c>
      <c r="X1439" s="4">
        <v>0</v>
      </c>
      <c r="Y1439" s="4"/>
      <c r="Z1439" s="4">
        <v>587.56000000000006</v>
      </c>
      <c r="AA1439" s="4">
        <v>600</v>
      </c>
      <c r="AB1439" s="18"/>
      <c r="AC1439" s="18">
        <v>26</v>
      </c>
      <c r="AD1439" s="28"/>
      <c r="AE1439" s="26"/>
      <c r="AF1439" s="28"/>
    </row>
    <row r="1440" spans="1:32" ht="12.4" customHeight="1" x14ac:dyDescent="0.25">
      <c r="A1440" s="14">
        <v>45834</v>
      </c>
      <c r="B1440" s="14" t="s">
        <v>45</v>
      </c>
      <c r="C1440" s="15">
        <v>5</v>
      </c>
      <c r="D1440" s="16"/>
      <c r="E1440" s="16"/>
      <c r="F1440" s="17"/>
      <c r="G1440" s="21"/>
      <c r="H1440" s="21"/>
      <c r="I1440" s="4">
        <v>0</v>
      </c>
      <c r="J1440" s="4">
        <v>0</v>
      </c>
      <c r="K1440" s="4"/>
      <c r="L1440" s="16"/>
      <c r="M1440" s="4"/>
      <c r="N1440" s="4"/>
      <c r="O1440" s="4"/>
      <c r="P1440" s="4"/>
      <c r="Q1440" s="4">
        <v>60</v>
      </c>
      <c r="R1440" s="4"/>
      <c r="S1440" s="4">
        <v>60</v>
      </c>
      <c r="T1440" s="4">
        <v>1</v>
      </c>
      <c r="U1440" s="4">
        <v>1</v>
      </c>
      <c r="V1440" s="4">
        <v>11</v>
      </c>
      <c r="W1440" s="4">
        <v>12</v>
      </c>
      <c r="X1440" s="4">
        <v>0</v>
      </c>
      <c r="Y1440" s="4"/>
      <c r="Z1440" s="4">
        <v>720.08</v>
      </c>
      <c r="AA1440" s="4">
        <v>750</v>
      </c>
      <c r="AB1440" s="18"/>
      <c r="AC1440" s="18">
        <v>26</v>
      </c>
      <c r="AD1440" s="28"/>
      <c r="AE1440" s="26"/>
      <c r="AF1440" s="28"/>
    </row>
    <row r="1441" spans="1:32" ht="12.4" customHeight="1" x14ac:dyDescent="0.25">
      <c r="A1441" s="14">
        <v>45834</v>
      </c>
      <c r="B1441" s="14" t="s">
        <v>46</v>
      </c>
      <c r="C1441" s="15">
        <v>5</v>
      </c>
      <c r="D1441" s="16"/>
      <c r="E1441" s="16"/>
      <c r="F1441" s="17"/>
      <c r="G1441" s="21"/>
      <c r="H1441" s="21"/>
      <c r="I1441" s="4">
        <v>0</v>
      </c>
      <c r="J1441" s="4">
        <v>0</v>
      </c>
      <c r="K1441" s="4"/>
      <c r="L1441" s="16"/>
      <c r="M1441" s="4"/>
      <c r="N1441" s="4"/>
      <c r="O1441" s="4"/>
      <c r="P1441" s="4"/>
      <c r="Q1441" s="4"/>
      <c r="R1441" s="4"/>
      <c r="S1441" s="4">
        <v>0</v>
      </c>
      <c r="T1441" s="4">
        <v>0</v>
      </c>
      <c r="U1441" s="4">
        <v>0</v>
      </c>
      <c r="V1441" s="4">
        <v>12</v>
      </c>
      <c r="W1441" s="4">
        <v>12</v>
      </c>
      <c r="X1441" s="4">
        <v>0</v>
      </c>
      <c r="Y1441" s="4"/>
      <c r="Z1441" s="4">
        <v>388.33</v>
      </c>
      <c r="AA1441" s="4">
        <v>400</v>
      </c>
      <c r="AB1441" s="18"/>
      <c r="AC1441" s="18">
        <v>26</v>
      </c>
      <c r="AD1441" s="28"/>
      <c r="AE1441" s="26"/>
      <c r="AF1441" s="28"/>
    </row>
    <row r="1442" spans="1:32" ht="12.4" customHeight="1" x14ac:dyDescent="0.25">
      <c r="A1442" s="14">
        <v>45835</v>
      </c>
      <c r="B1442" s="14" t="s">
        <v>45</v>
      </c>
      <c r="C1442" s="15">
        <v>1</v>
      </c>
      <c r="D1442" s="16">
        <v>20</v>
      </c>
      <c r="E1442" s="16"/>
      <c r="F1442" s="17"/>
      <c r="G1442" s="21"/>
      <c r="H1442" s="21"/>
      <c r="I1442" s="4">
        <v>20</v>
      </c>
      <c r="J1442" s="4">
        <v>0.33333333333333331</v>
      </c>
      <c r="K1442" s="4"/>
      <c r="L1442" s="16"/>
      <c r="M1442" s="4"/>
      <c r="N1442" s="4"/>
      <c r="O1442" s="4"/>
      <c r="P1442" s="4"/>
      <c r="Q1442" s="4">
        <v>60</v>
      </c>
      <c r="R1442" s="4"/>
      <c r="S1442" s="4">
        <v>60</v>
      </c>
      <c r="T1442" s="4">
        <v>1</v>
      </c>
      <c r="U1442" s="4">
        <v>1.3333333333333333</v>
      </c>
      <c r="V1442" s="4">
        <v>10.666666666666666</v>
      </c>
      <c r="W1442" s="4">
        <v>12</v>
      </c>
      <c r="X1442" s="4">
        <v>65</v>
      </c>
      <c r="Y1442" s="4">
        <v>1470</v>
      </c>
      <c r="Z1442" s="4">
        <v>99</v>
      </c>
      <c r="AA1442" s="4">
        <v>100</v>
      </c>
      <c r="AB1442" s="18">
        <v>398</v>
      </c>
      <c r="AC1442" s="18">
        <v>26</v>
      </c>
      <c r="AD1442" s="28"/>
      <c r="AE1442" s="26"/>
      <c r="AF1442" s="28"/>
    </row>
    <row r="1443" spans="1:32" ht="12.4" customHeight="1" x14ac:dyDescent="0.25">
      <c r="A1443" s="14">
        <v>45835</v>
      </c>
      <c r="B1443" s="14" t="s">
        <v>46</v>
      </c>
      <c r="C1443" s="15">
        <v>1</v>
      </c>
      <c r="D1443" s="16"/>
      <c r="E1443" s="16"/>
      <c r="F1443" s="17"/>
      <c r="G1443" s="21"/>
      <c r="H1443" s="21"/>
      <c r="I1443" s="4">
        <v>0</v>
      </c>
      <c r="J1443" s="4">
        <v>0</v>
      </c>
      <c r="K1443" s="4"/>
      <c r="L1443" s="16"/>
      <c r="M1443" s="4"/>
      <c r="N1443" s="4"/>
      <c r="O1443" s="4"/>
      <c r="P1443" s="4"/>
      <c r="Q1443" s="4"/>
      <c r="R1443" s="4"/>
      <c r="S1443" s="4">
        <v>0</v>
      </c>
      <c r="T1443" s="4">
        <v>0</v>
      </c>
      <c r="U1443" s="4">
        <v>0</v>
      </c>
      <c r="V1443" s="4">
        <v>12</v>
      </c>
      <c r="W1443" s="4">
        <v>12</v>
      </c>
      <c r="X1443" s="4">
        <v>0</v>
      </c>
      <c r="Y1443" s="4"/>
      <c r="Z1443" s="4">
        <v>153.88000000000002</v>
      </c>
      <c r="AA1443" s="4">
        <v>150</v>
      </c>
      <c r="AB1443" s="18"/>
      <c r="AC1443" s="18">
        <v>26</v>
      </c>
      <c r="AD1443" s="28"/>
      <c r="AE1443" s="26"/>
      <c r="AF1443" s="28"/>
    </row>
    <row r="1444" spans="1:32" ht="12.4" customHeight="1" x14ac:dyDescent="0.25">
      <c r="A1444" s="14">
        <v>45835</v>
      </c>
      <c r="B1444" s="14" t="s">
        <v>45</v>
      </c>
      <c r="C1444" s="15">
        <v>2</v>
      </c>
      <c r="D1444" s="16">
        <v>20</v>
      </c>
      <c r="E1444" s="16"/>
      <c r="F1444" s="17"/>
      <c r="G1444" s="21"/>
      <c r="H1444" s="21"/>
      <c r="I1444" s="4">
        <v>20</v>
      </c>
      <c r="J1444" s="4">
        <v>0.33333333333333331</v>
      </c>
      <c r="K1444" s="4"/>
      <c r="L1444" s="16"/>
      <c r="M1444" s="4"/>
      <c r="N1444" s="4"/>
      <c r="O1444" s="4"/>
      <c r="P1444" s="4"/>
      <c r="Q1444" s="4">
        <v>60</v>
      </c>
      <c r="R1444" s="4"/>
      <c r="S1444" s="4">
        <v>60</v>
      </c>
      <c r="T1444" s="4">
        <v>1</v>
      </c>
      <c r="U1444" s="4">
        <v>1.3333333333333333</v>
      </c>
      <c r="V1444" s="4">
        <v>10.666666666666666</v>
      </c>
      <c r="W1444" s="4">
        <v>12</v>
      </c>
      <c r="X1444" s="4">
        <v>0</v>
      </c>
      <c r="Y1444" s="4"/>
      <c r="Z1444" s="4">
        <v>124.13</v>
      </c>
      <c r="AA1444" s="4">
        <v>200</v>
      </c>
      <c r="AB1444" s="18"/>
      <c r="AC1444" s="18">
        <v>26</v>
      </c>
      <c r="AD1444" s="28"/>
      <c r="AE1444" s="26"/>
      <c r="AF1444" s="28"/>
    </row>
    <row r="1445" spans="1:32" ht="12.4" customHeight="1" x14ac:dyDescent="0.25">
      <c r="A1445" s="14">
        <v>45835</v>
      </c>
      <c r="B1445" s="14" t="s">
        <v>46</v>
      </c>
      <c r="C1445" s="15">
        <v>2</v>
      </c>
      <c r="D1445" s="16"/>
      <c r="E1445" s="16"/>
      <c r="F1445" s="17"/>
      <c r="G1445" s="21"/>
      <c r="H1445" s="21"/>
      <c r="I1445" s="4">
        <v>0</v>
      </c>
      <c r="J1445" s="4">
        <v>0</v>
      </c>
      <c r="K1445" s="4"/>
      <c r="L1445" s="16"/>
      <c r="M1445" s="4"/>
      <c r="N1445" s="4"/>
      <c r="O1445" s="4"/>
      <c r="P1445" s="4"/>
      <c r="Q1445" s="4"/>
      <c r="R1445" s="4"/>
      <c r="S1445" s="4">
        <v>0</v>
      </c>
      <c r="T1445" s="4">
        <v>0</v>
      </c>
      <c r="U1445" s="4">
        <v>0</v>
      </c>
      <c r="V1445" s="4">
        <v>12</v>
      </c>
      <c r="W1445" s="4">
        <v>12</v>
      </c>
      <c r="X1445" s="4">
        <v>0</v>
      </c>
      <c r="Y1445" s="4"/>
      <c r="Z1445" s="4">
        <v>114.43999999999998</v>
      </c>
      <c r="AA1445" s="4">
        <v>100</v>
      </c>
      <c r="AB1445" s="18"/>
      <c r="AC1445" s="18">
        <v>26</v>
      </c>
      <c r="AD1445" s="28"/>
      <c r="AE1445" s="26"/>
      <c r="AF1445" s="28"/>
    </row>
    <row r="1446" spans="1:32" ht="12.4" customHeight="1" x14ac:dyDescent="0.25">
      <c r="A1446" s="14">
        <v>45835</v>
      </c>
      <c r="B1446" s="14" t="s">
        <v>45</v>
      </c>
      <c r="C1446" s="15">
        <v>4</v>
      </c>
      <c r="D1446" s="16">
        <v>30</v>
      </c>
      <c r="E1446" s="16"/>
      <c r="F1446" s="17"/>
      <c r="G1446" s="21"/>
      <c r="H1446" s="21"/>
      <c r="I1446" s="4">
        <v>30</v>
      </c>
      <c r="J1446" s="4">
        <v>0.5</v>
      </c>
      <c r="K1446" s="4"/>
      <c r="L1446" s="16"/>
      <c r="M1446" s="4"/>
      <c r="N1446" s="4"/>
      <c r="O1446" s="4"/>
      <c r="P1446" s="4"/>
      <c r="Q1446" s="4"/>
      <c r="R1446" s="4"/>
      <c r="S1446" s="4">
        <v>0</v>
      </c>
      <c r="T1446" s="4">
        <v>0</v>
      </c>
      <c r="U1446" s="4">
        <v>0.5</v>
      </c>
      <c r="V1446" s="4">
        <v>11.5</v>
      </c>
      <c r="W1446" s="4">
        <v>12</v>
      </c>
      <c r="X1446" s="4">
        <v>0</v>
      </c>
      <c r="Y1446" s="4"/>
      <c r="Z1446" s="4">
        <v>624.33000000000004</v>
      </c>
      <c r="AA1446" s="4">
        <v>650</v>
      </c>
      <c r="AB1446" s="18"/>
      <c r="AC1446" s="18">
        <v>26</v>
      </c>
      <c r="AD1446" s="28"/>
      <c r="AE1446" s="26"/>
      <c r="AF1446" s="28"/>
    </row>
    <row r="1447" spans="1:32" ht="12.4" customHeight="1" x14ac:dyDescent="0.25">
      <c r="A1447" s="14">
        <v>45835</v>
      </c>
      <c r="B1447" s="14" t="s">
        <v>46</v>
      </c>
      <c r="C1447" s="15">
        <v>4</v>
      </c>
      <c r="D1447" s="16"/>
      <c r="E1447" s="16"/>
      <c r="F1447" s="17"/>
      <c r="G1447" s="21"/>
      <c r="H1447" s="21"/>
      <c r="I1447" s="4">
        <v>0</v>
      </c>
      <c r="J1447" s="4">
        <v>0</v>
      </c>
      <c r="K1447" s="4"/>
      <c r="L1447" s="16"/>
      <c r="M1447" s="4"/>
      <c r="N1447" s="4"/>
      <c r="O1447" s="4"/>
      <c r="P1447" s="4"/>
      <c r="Q1447" s="4">
        <v>60</v>
      </c>
      <c r="R1447" s="4"/>
      <c r="S1447" s="4">
        <v>60</v>
      </c>
      <c r="T1447" s="4">
        <v>1</v>
      </c>
      <c r="U1447" s="4">
        <v>1</v>
      </c>
      <c r="V1447" s="4">
        <v>11</v>
      </c>
      <c r="W1447" s="4">
        <v>12</v>
      </c>
      <c r="X1447" s="4">
        <v>0</v>
      </c>
      <c r="Y1447" s="4"/>
      <c r="Z1447" s="4">
        <v>584.80000000000007</v>
      </c>
      <c r="AA1447" s="4">
        <v>650</v>
      </c>
      <c r="AB1447" s="18"/>
      <c r="AC1447" s="18">
        <v>26</v>
      </c>
      <c r="AD1447" s="28"/>
      <c r="AE1447" s="26"/>
      <c r="AF1447" s="28"/>
    </row>
    <row r="1448" spans="1:32" ht="12.4" customHeight="1" x14ac:dyDescent="0.25">
      <c r="A1448" s="14">
        <v>45835</v>
      </c>
      <c r="B1448" s="14" t="s">
        <v>45</v>
      </c>
      <c r="C1448" s="15">
        <v>5</v>
      </c>
      <c r="D1448" s="16"/>
      <c r="E1448" s="16"/>
      <c r="F1448" s="17"/>
      <c r="G1448" s="21"/>
      <c r="H1448" s="21"/>
      <c r="I1448" s="4">
        <v>0</v>
      </c>
      <c r="J1448" s="4">
        <v>0</v>
      </c>
      <c r="K1448" s="4"/>
      <c r="L1448" s="16"/>
      <c r="M1448" s="4"/>
      <c r="N1448" s="4"/>
      <c r="O1448" s="4"/>
      <c r="P1448" s="4"/>
      <c r="Q1448" s="4"/>
      <c r="R1448" s="4"/>
      <c r="S1448" s="4">
        <v>0</v>
      </c>
      <c r="T1448" s="4">
        <v>0</v>
      </c>
      <c r="U1448" s="4">
        <v>0</v>
      </c>
      <c r="V1448" s="4">
        <v>12</v>
      </c>
      <c r="W1448" s="4">
        <v>12</v>
      </c>
      <c r="X1448" s="4">
        <v>0</v>
      </c>
      <c r="Y1448" s="4"/>
      <c r="Z1448" s="4">
        <v>393.92999999999995</v>
      </c>
      <c r="AA1448" s="4">
        <v>400</v>
      </c>
      <c r="AB1448" s="18"/>
      <c r="AC1448" s="18">
        <v>26</v>
      </c>
      <c r="AD1448" s="28"/>
      <c r="AE1448" s="26"/>
      <c r="AF1448" s="28"/>
    </row>
    <row r="1449" spans="1:32" ht="12.4" customHeight="1" x14ac:dyDescent="0.25">
      <c r="A1449" s="14">
        <v>45835</v>
      </c>
      <c r="B1449" s="14" t="s">
        <v>46</v>
      </c>
      <c r="C1449" s="15">
        <v>5</v>
      </c>
      <c r="D1449" s="16">
        <v>60</v>
      </c>
      <c r="E1449" s="16"/>
      <c r="F1449" s="17"/>
      <c r="G1449" s="21"/>
      <c r="H1449" s="21"/>
      <c r="I1449" s="4">
        <v>60</v>
      </c>
      <c r="J1449" s="4">
        <v>1</v>
      </c>
      <c r="K1449" s="4"/>
      <c r="L1449" s="16"/>
      <c r="M1449" s="4"/>
      <c r="N1449" s="4"/>
      <c r="O1449" s="4"/>
      <c r="P1449" s="4"/>
      <c r="Q1449" s="4"/>
      <c r="R1449" s="4"/>
      <c r="S1449" s="4">
        <v>0</v>
      </c>
      <c r="T1449" s="4">
        <v>0</v>
      </c>
      <c r="U1449" s="4">
        <v>1</v>
      </c>
      <c r="V1449" s="4">
        <v>11</v>
      </c>
      <c r="W1449" s="4">
        <v>12</v>
      </c>
      <c r="X1449" s="4">
        <v>0</v>
      </c>
      <c r="Y1449" s="4"/>
      <c r="Z1449" s="4">
        <v>344.49000000000007</v>
      </c>
      <c r="AA1449" s="4">
        <v>350</v>
      </c>
      <c r="AB1449" s="18"/>
      <c r="AC1449" s="18">
        <v>26</v>
      </c>
      <c r="AD1449" s="28"/>
      <c r="AE1449" s="26"/>
      <c r="AF1449" s="28"/>
    </row>
    <row r="1450" spans="1:32" ht="12.4" customHeight="1" x14ac:dyDescent="0.25">
      <c r="A1450" s="14">
        <v>45836</v>
      </c>
      <c r="B1450" s="14" t="s">
        <v>45</v>
      </c>
      <c r="C1450" s="15">
        <v>1</v>
      </c>
      <c r="D1450" s="16"/>
      <c r="E1450" s="16"/>
      <c r="F1450" s="17"/>
      <c r="G1450" s="21"/>
      <c r="H1450" s="21"/>
      <c r="I1450" s="4">
        <v>0</v>
      </c>
      <c r="J1450" s="4">
        <v>0</v>
      </c>
      <c r="K1450" s="4"/>
      <c r="L1450" s="16"/>
      <c r="M1450" s="4"/>
      <c r="N1450" s="4"/>
      <c r="O1450" s="4"/>
      <c r="P1450" s="4"/>
      <c r="Q1450" s="4">
        <v>20</v>
      </c>
      <c r="R1450" s="4"/>
      <c r="S1450" s="4">
        <v>20</v>
      </c>
      <c r="T1450" s="4">
        <v>0.33333333333333331</v>
      </c>
      <c r="U1450" s="4">
        <v>0.33333333333333331</v>
      </c>
      <c r="V1450" s="4">
        <v>11.666666666666666</v>
      </c>
      <c r="W1450" s="4">
        <v>12</v>
      </c>
      <c r="X1450" s="4">
        <v>28</v>
      </c>
      <c r="Y1450" s="4">
        <v>1258</v>
      </c>
      <c r="Z1450" s="4">
        <v>117.7</v>
      </c>
      <c r="AA1450" s="4">
        <v>100</v>
      </c>
      <c r="AB1450" s="18">
        <v>398</v>
      </c>
      <c r="AC1450" s="18">
        <v>26</v>
      </c>
      <c r="AD1450" s="28"/>
      <c r="AE1450" s="26"/>
      <c r="AF1450" s="28"/>
    </row>
    <row r="1451" spans="1:32" ht="12.4" customHeight="1" x14ac:dyDescent="0.25">
      <c r="A1451" s="14">
        <v>45836</v>
      </c>
      <c r="B1451" s="14" t="s">
        <v>46</v>
      </c>
      <c r="C1451" s="15">
        <v>1</v>
      </c>
      <c r="D1451" s="16"/>
      <c r="E1451" s="16"/>
      <c r="F1451" s="17"/>
      <c r="G1451" s="21"/>
      <c r="H1451" s="21"/>
      <c r="I1451" s="4">
        <v>0</v>
      </c>
      <c r="J1451" s="4">
        <v>0</v>
      </c>
      <c r="K1451" s="4"/>
      <c r="L1451" s="16"/>
      <c r="M1451" s="4"/>
      <c r="N1451" s="4"/>
      <c r="O1451" s="4"/>
      <c r="P1451" s="4"/>
      <c r="Q1451" s="4"/>
      <c r="R1451" s="4"/>
      <c r="S1451" s="4">
        <v>0</v>
      </c>
      <c r="T1451" s="4">
        <v>0</v>
      </c>
      <c r="U1451" s="4">
        <v>0</v>
      </c>
      <c r="V1451" s="4">
        <v>12</v>
      </c>
      <c r="W1451" s="4">
        <v>12</v>
      </c>
      <c r="X1451" s="4">
        <v>15</v>
      </c>
      <c r="Y1451" s="4"/>
      <c r="Z1451" s="4">
        <v>124.89999999999999</v>
      </c>
      <c r="AA1451" s="4">
        <v>150</v>
      </c>
      <c r="AB1451" s="18"/>
      <c r="AC1451" s="18">
        <v>26</v>
      </c>
      <c r="AD1451" s="28"/>
      <c r="AE1451" s="26"/>
      <c r="AF1451" s="28"/>
    </row>
    <row r="1452" spans="1:32" ht="12.4" customHeight="1" x14ac:dyDescent="0.25">
      <c r="A1452" s="14">
        <v>45836</v>
      </c>
      <c r="B1452" s="14" t="s">
        <v>45</v>
      </c>
      <c r="C1452" s="15">
        <v>2</v>
      </c>
      <c r="D1452" s="16"/>
      <c r="E1452" s="16"/>
      <c r="F1452" s="17"/>
      <c r="G1452" s="21"/>
      <c r="H1452" s="21"/>
      <c r="I1452" s="4">
        <v>0</v>
      </c>
      <c r="J1452" s="4">
        <v>0</v>
      </c>
      <c r="K1452" s="4"/>
      <c r="L1452" s="16"/>
      <c r="M1452" s="4"/>
      <c r="N1452" s="4"/>
      <c r="O1452" s="4"/>
      <c r="P1452" s="4"/>
      <c r="Q1452" s="4"/>
      <c r="R1452" s="4"/>
      <c r="S1452" s="4">
        <v>0</v>
      </c>
      <c r="T1452" s="4">
        <v>0</v>
      </c>
      <c r="U1452" s="4">
        <v>0</v>
      </c>
      <c r="V1452" s="4">
        <v>12</v>
      </c>
      <c r="W1452" s="4">
        <v>12</v>
      </c>
      <c r="X1452" s="4">
        <v>0</v>
      </c>
      <c r="Y1452" s="4"/>
      <c r="Z1452" s="4">
        <v>95.4</v>
      </c>
      <c r="AA1452" s="4">
        <v>100</v>
      </c>
      <c r="AB1452" s="18"/>
      <c r="AC1452" s="18">
        <v>26</v>
      </c>
      <c r="AD1452" s="28"/>
      <c r="AE1452" s="26"/>
      <c r="AF1452" s="28"/>
    </row>
    <row r="1453" spans="1:32" ht="12.4" customHeight="1" x14ac:dyDescent="0.25">
      <c r="A1453" s="14">
        <v>45836</v>
      </c>
      <c r="B1453" s="14" t="s">
        <v>46</v>
      </c>
      <c r="C1453" s="15">
        <v>2</v>
      </c>
      <c r="D1453" s="16"/>
      <c r="E1453" s="16"/>
      <c r="F1453" s="17"/>
      <c r="G1453" s="21"/>
      <c r="H1453" s="21"/>
      <c r="I1453" s="4">
        <v>0</v>
      </c>
      <c r="J1453" s="4">
        <v>0</v>
      </c>
      <c r="K1453" s="4"/>
      <c r="L1453" s="16"/>
      <c r="M1453" s="4"/>
      <c r="N1453" s="4"/>
      <c r="O1453" s="4"/>
      <c r="P1453" s="4"/>
      <c r="Q1453" s="4"/>
      <c r="R1453" s="4"/>
      <c r="S1453" s="4">
        <v>0</v>
      </c>
      <c r="T1453" s="4">
        <v>0</v>
      </c>
      <c r="U1453" s="4">
        <v>0</v>
      </c>
      <c r="V1453" s="4">
        <v>12</v>
      </c>
      <c r="W1453" s="4">
        <v>12</v>
      </c>
      <c r="X1453" s="4">
        <v>0</v>
      </c>
      <c r="Y1453" s="4"/>
      <c r="Z1453" s="4">
        <v>72.090000000000018</v>
      </c>
      <c r="AA1453" s="4">
        <v>100</v>
      </c>
      <c r="AB1453" s="18"/>
      <c r="AC1453" s="18">
        <v>26</v>
      </c>
      <c r="AD1453" s="28"/>
      <c r="AE1453" s="26"/>
      <c r="AF1453" s="28"/>
    </row>
    <row r="1454" spans="1:32" ht="12.4" customHeight="1" x14ac:dyDescent="0.25">
      <c r="A1454" s="14">
        <v>45836</v>
      </c>
      <c r="B1454" s="14" t="s">
        <v>45</v>
      </c>
      <c r="C1454" s="15">
        <v>4</v>
      </c>
      <c r="D1454" s="16"/>
      <c r="E1454" s="16"/>
      <c r="F1454" s="17"/>
      <c r="G1454" s="21"/>
      <c r="H1454" s="21"/>
      <c r="I1454" s="4">
        <v>0</v>
      </c>
      <c r="J1454" s="4">
        <v>0</v>
      </c>
      <c r="K1454" s="4"/>
      <c r="L1454" s="16"/>
      <c r="M1454" s="4"/>
      <c r="N1454" s="4"/>
      <c r="O1454" s="4"/>
      <c r="P1454" s="4"/>
      <c r="Q1454" s="4"/>
      <c r="R1454" s="4"/>
      <c r="S1454" s="4">
        <v>0</v>
      </c>
      <c r="T1454" s="4">
        <v>0</v>
      </c>
      <c r="U1454" s="4">
        <v>0</v>
      </c>
      <c r="V1454" s="4">
        <v>12</v>
      </c>
      <c r="W1454" s="4">
        <v>12</v>
      </c>
      <c r="X1454" s="4">
        <v>0</v>
      </c>
      <c r="Y1454" s="4"/>
      <c r="Z1454" s="4">
        <v>499.14999999999992</v>
      </c>
      <c r="AA1454" s="4">
        <v>500</v>
      </c>
      <c r="AB1454" s="18"/>
      <c r="AC1454" s="18">
        <v>26</v>
      </c>
      <c r="AD1454" s="28"/>
      <c r="AE1454" s="26"/>
      <c r="AF1454" s="28"/>
    </row>
    <row r="1455" spans="1:32" ht="12.4" customHeight="1" x14ac:dyDescent="0.25">
      <c r="A1455" s="14">
        <v>45836</v>
      </c>
      <c r="B1455" s="14" t="s">
        <v>46</v>
      </c>
      <c r="C1455" s="15">
        <v>4</v>
      </c>
      <c r="D1455" s="16"/>
      <c r="E1455" s="16"/>
      <c r="F1455" s="17"/>
      <c r="G1455" s="21"/>
      <c r="H1455" s="21"/>
      <c r="I1455" s="4">
        <v>0</v>
      </c>
      <c r="J1455" s="4">
        <v>0</v>
      </c>
      <c r="K1455" s="4"/>
      <c r="L1455" s="16"/>
      <c r="M1455" s="4"/>
      <c r="N1455" s="4"/>
      <c r="O1455" s="4"/>
      <c r="P1455" s="4"/>
      <c r="Q1455" s="4"/>
      <c r="R1455" s="4"/>
      <c r="S1455" s="4">
        <v>0</v>
      </c>
      <c r="T1455" s="4">
        <v>0</v>
      </c>
      <c r="U1455" s="4">
        <v>0</v>
      </c>
      <c r="V1455" s="4">
        <v>12</v>
      </c>
      <c r="W1455" s="4">
        <v>12</v>
      </c>
      <c r="X1455" s="4">
        <v>0</v>
      </c>
      <c r="Y1455" s="4"/>
      <c r="Z1455" s="4">
        <v>474.44999999999993</v>
      </c>
      <c r="AA1455" s="4">
        <v>500</v>
      </c>
      <c r="AB1455" s="18"/>
      <c r="AC1455" s="18">
        <v>26</v>
      </c>
      <c r="AD1455" s="28"/>
      <c r="AE1455" s="26"/>
      <c r="AF1455" s="28"/>
    </row>
    <row r="1456" spans="1:32" ht="12.4" customHeight="1" x14ac:dyDescent="0.25">
      <c r="A1456" s="14">
        <v>45836</v>
      </c>
      <c r="B1456" s="14" t="s">
        <v>45</v>
      </c>
      <c r="C1456" s="15">
        <v>5</v>
      </c>
      <c r="D1456" s="16">
        <v>20</v>
      </c>
      <c r="E1456" s="16"/>
      <c r="F1456" s="17"/>
      <c r="G1456" s="21"/>
      <c r="H1456" s="21"/>
      <c r="I1456" s="4">
        <v>20</v>
      </c>
      <c r="J1456" s="4">
        <v>0.33333333333333331</v>
      </c>
      <c r="K1456" s="4"/>
      <c r="L1456" s="16"/>
      <c r="M1456" s="4"/>
      <c r="N1456" s="4">
        <v>10</v>
      </c>
      <c r="O1456" s="4"/>
      <c r="P1456" s="4"/>
      <c r="Q1456" s="4"/>
      <c r="R1456" s="4"/>
      <c r="S1456" s="4">
        <v>10</v>
      </c>
      <c r="T1456" s="4">
        <v>0.16666666666666666</v>
      </c>
      <c r="U1456" s="4">
        <v>0.5</v>
      </c>
      <c r="V1456" s="4">
        <v>11.5</v>
      </c>
      <c r="W1456" s="4">
        <v>12</v>
      </c>
      <c r="X1456" s="4">
        <v>0</v>
      </c>
      <c r="Y1456" s="4"/>
      <c r="Z1456" s="4">
        <v>330.28000000000003</v>
      </c>
      <c r="AA1456" s="4">
        <v>350</v>
      </c>
      <c r="AB1456" s="18"/>
      <c r="AC1456" s="18">
        <v>26</v>
      </c>
      <c r="AD1456" s="28"/>
      <c r="AE1456" s="26"/>
      <c r="AF1456" s="28"/>
    </row>
    <row r="1457" spans="1:32" ht="12.4" customHeight="1" x14ac:dyDescent="0.25">
      <c r="A1457" s="14">
        <v>45836</v>
      </c>
      <c r="B1457" s="14" t="s">
        <v>46</v>
      </c>
      <c r="C1457" s="15">
        <v>5</v>
      </c>
      <c r="D1457" s="16"/>
      <c r="E1457" s="16"/>
      <c r="F1457" s="17"/>
      <c r="G1457" s="21"/>
      <c r="H1457" s="21"/>
      <c r="I1457" s="4">
        <v>0</v>
      </c>
      <c r="J1457" s="4">
        <v>0</v>
      </c>
      <c r="K1457" s="4"/>
      <c r="L1457" s="16"/>
      <c r="M1457" s="4"/>
      <c r="N1457" s="4"/>
      <c r="O1457" s="4"/>
      <c r="P1457" s="4"/>
      <c r="Q1457" s="4"/>
      <c r="R1457" s="4"/>
      <c r="S1457" s="4">
        <v>0</v>
      </c>
      <c r="T1457" s="4">
        <v>0</v>
      </c>
      <c r="U1457" s="4">
        <v>0</v>
      </c>
      <c r="V1457" s="4">
        <v>12</v>
      </c>
      <c r="W1457" s="4">
        <v>12</v>
      </c>
      <c r="X1457" s="4">
        <v>0</v>
      </c>
      <c r="Y1457" s="4"/>
      <c r="Z1457" s="4">
        <v>297.50000000000006</v>
      </c>
      <c r="AA1457" s="4">
        <v>300</v>
      </c>
      <c r="AB1457" s="18"/>
      <c r="AC1457" s="18">
        <v>26</v>
      </c>
      <c r="AD1457" s="28"/>
      <c r="AE1457" s="26"/>
      <c r="AF1457" s="28"/>
    </row>
    <row r="1458" spans="1:32" ht="12.4" customHeight="1" x14ac:dyDescent="0.25">
      <c r="A1458" s="14">
        <v>45838</v>
      </c>
      <c r="B1458" s="14" t="s">
        <v>45</v>
      </c>
      <c r="C1458" s="15">
        <v>1</v>
      </c>
      <c r="D1458" s="16"/>
      <c r="E1458" s="16"/>
      <c r="F1458" s="17"/>
      <c r="G1458" s="21">
        <v>180</v>
      </c>
      <c r="H1458" s="21"/>
      <c r="I1458" s="4">
        <v>180</v>
      </c>
      <c r="J1458" s="4">
        <v>3</v>
      </c>
      <c r="K1458" s="4"/>
      <c r="L1458" s="16"/>
      <c r="M1458" s="4"/>
      <c r="N1458" s="4"/>
      <c r="O1458" s="4"/>
      <c r="P1458" s="4"/>
      <c r="Q1458" s="4"/>
      <c r="R1458" s="4"/>
      <c r="S1458" s="4">
        <v>0</v>
      </c>
      <c r="T1458" s="4">
        <v>0</v>
      </c>
      <c r="U1458" s="4">
        <v>3</v>
      </c>
      <c r="V1458" s="4">
        <v>9</v>
      </c>
      <c r="W1458" s="4">
        <v>12</v>
      </c>
      <c r="X1458" s="4">
        <v>33</v>
      </c>
      <c r="Y1458" s="4">
        <v>1404.5</v>
      </c>
      <c r="Z1458" s="4">
        <v>84.91</v>
      </c>
      <c r="AA1458" s="4">
        <v>100</v>
      </c>
      <c r="AB1458" s="18">
        <v>398</v>
      </c>
      <c r="AC1458" s="18">
        <v>27</v>
      </c>
      <c r="AD1458" s="28"/>
      <c r="AE1458" s="26"/>
      <c r="AF1458" s="28"/>
    </row>
    <row r="1459" spans="1:32" ht="12.4" customHeight="1" x14ac:dyDescent="0.25">
      <c r="A1459" s="14">
        <v>45838</v>
      </c>
      <c r="B1459" s="14" t="s">
        <v>46</v>
      </c>
      <c r="C1459" s="15">
        <v>1</v>
      </c>
      <c r="D1459" s="16"/>
      <c r="E1459" s="16"/>
      <c r="F1459" s="17"/>
      <c r="G1459" s="21"/>
      <c r="H1459" s="21"/>
      <c r="I1459" s="4">
        <v>0</v>
      </c>
      <c r="J1459" s="4">
        <v>0</v>
      </c>
      <c r="K1459" s="4"/>
      <c r="L1459" s="16"/>
      <c r="M1459" s="4"/>
      <c r="N1459" s="4"/>
      <c r="O1459" s="4"/>
      <c r="P1459" s="4"/>
      <c r="Q1459" s="4"/>
      <c r="R1459" s="4"/>
      <c r="S1459" s="4">
        <v>0</v>
      </c>
      <c r="T1459" s="4">
        <v>0</v>
      </c>
      <c r="U1459" s="4">
        <v>0</v>
      </c>
      <c r="V1459" s="4">
        <v>12</v>
      </c>
      <c r="W1459" s="4">
        <v>12</v>
      </c>
      <c r="X1459" s="4">
        <v>46</v>
      </c>
      <c r="Y1459" s="4"/>
      <c r="Z1459" s="4">
        <v>142.5</v>
      </c>
      <c r="AA1459" s="4">
        <v>150</v>
      </c>
      <c r="AB1459" s="18"/>
      <c r="AC1459" s="18">
        <v>27</v>
      </c>
      <c r="AD1459" s="28"/>
      <c r="AE1459" s="26"/>
      <c r="AF1459" s="28"/>
    </row>
    <row r="1460" spans="1:32" ht="12.4" customHeight="1" x14ac:dyDescent="0.25">
      <c r="A1460" s="14">
        <v>45838</v>
      </c>
      <c r="B1460" s="14" t="s">
        <v>45</v>
      </c>
      <c r="C1460" s="15">
        <v>2</v>
      </c>
      <c r="D1460" s="16"/>
      <c r="E1460" s="16"/>
      <c r="F1460" s="17"/>
      <c r="G1460" s="21">
        <v>180</v>
      </c>
      <c r="H1460" s="21"/>
      <c r="I1460" s="4">
        <v>180</v>
      </c>
      <c r="J1460" s="4">
        <v>3</v>
      </c>
      <c r="K1460" s="4"/>
      <c r="L1460" s="16"/>
      <c r="M1460" s="4"/>
      <c r="N1460" s="4"/>
      <c r="O1460" s="4"/>
      <c r="P1460" s="4">
        <v>90</v>
      </c>
      <c r="Q1460" s="4"/>
      <c r="R1460" s="4"/>
      <c r="S1460" s="4">
        <v>90</v>
      </c>
      <c r="T1460" s="4">
        <v>1.5</v>
      </c>
      <c r="U1460" s="4">
        <v>4.5</v>
      </c>
      <c r="V1460" s="4">
        <v>7.5</v>
      </c>
      <c r="W1460" s="4">
        <v>12</v>
      </c>
      <c r="X1460" s="4">
        <v>0</v>
      </c>
      <c r="Y1460" s="4"/>
      <c r="Z1460" s="4">
        <v>94.82</v>
      </c>
      <c r="AA1460" s="4">
        <v>100</v>
      </c>
      <c r="AB1460" s="18"/>
      <c r="AC1460" s="18">
        <v>27</v>
      </c>
      <c r="AD1460" s="28"/>
      <c r="AE1460" s="26"/>
      <c r="AF1460" s="28"/>
    </row>
    <row r="1461" spans="1:32" ht="12.4" customHeight="1" x14ac:dyDescent="0.25">
      <c r="A1461" s="14">
        <v>45838</v>
      </c>
      <c r="B1461" s="14" t="s">
        <v>46</v>
      </c>
      <c r="C1461" s="15">
        <v>2</v>
      </c>
      <c r="D1461" s="16"/>
      <c r="E1461" s="16"/>
      <c r="F1461" s="17"/>
      <c r="G1461" s="21"/>
      <c r="H1461" s="21"/>
      <c r="I1461" s="4">
        <v>0</v>
      </c>
      <c r="J1461" s="4">
        <v>0</v>
      </c>
      <c r="K1461" s="4"/>
      <c r="L1461" s="16"/>
      <c r="M1461" s="4"/>
      <c r="N1461" s="4"/>
      <c r="O1461" s="4"/>
      <c r="P1461" s="4"/>
      <c r="Q1461" s="4"/>
      <c r="R1461" s="4"/>
      <c r="S1461" s="4">
        <v>0</v>
      </c>
      <c r="T1461" s="4">
        <v>0</v>
      </c>
      <c r="U1461" s="4">
        <v>0</v>
      </c>
      <c r="V1461" s="4">
        <v>12</v>
      </c>
      <c r="W1461" s="4">
        <v>12</v>
      </c>
      <c r="X1461" s="4">
        <v>0</v>
      </c>
      <c r="Y1461" s="4"/>
      <c r="Z1461" s="4">
        <v>120.12</v>
      </c>
      <c r="AA1461" s="4">
        <v>100</v>
      </c>
      <c r="AB1461" s="18"/>
      <c r="AC1461" s="18">
        <v>27</v>
      </c>
      <c r="AD1461" s="28"/>
      <c r="AE1461" s="26"/>
      <c r="AF1461" s="28"/>
    </row>
    <row r="1462" spans="1:32" ht="12.4" customHeight="1" x14ac:dyDescent="0.25">
      <c r="A1462" s="14">
        <v>45838</v>
      </c>
      <c r="B1462" s="14" t="s">
        <v>45</v>
      </c>
      <c r="C1462" s="15">
        <v>4</v>
      </c>
      <c r="D1462" s="16"/>
      <c r="E1462" s="16"/>
      <c r="F1462" s="17"/>
      <c r="G1462" s="21">
        <v>180</v>
      </c>
      <c r="H1462" s="21"/>
      <c r="I1462" s="4">
        <v>180</v>
      </c>
      <c r="J1462" s="4">
        <v>3</v>
      </c>
      <c r="K1462" s="4"/>
      <c r="L1462" s="16"/>
      <c r="M1462" s="4"/>
      <c r="N1462" s="4"/>
      <c r="O1462" s="4"/>
      <c r="P1462" s="4"/>
      <c r="Q1462" s="4"/>
      <c r="R1462" s="4"/>
      <c r="S1462" s="4">
        <v>0</v>
      </c>
      <c r="T1462" s="4">
        <v>0</v>
      </c>
      <c r="U1462" s="4">
        <v>3</v>
      </c>
      <c r="V1462" s="4">
        <v>9</v>
      </c>
      <c r="W1462" s="4">
        <v>12</v>
      </c>
      <c r="X1462" s="4">
        <v>0</v>
      </c>
      <c r="Y1462" s="4"/>
      <c r="Z1462" s="4">
        <v>493.38</v>
      </c>
      <c r="AA1462" s="4">
        <v>500</v>
      </c>
      <c r="AB1462" s="18"/>
      <c r="AC1462" s="18">
        <v>27</v>
      </c>
      <c r="AD1462" s="28"/>
      <c r="AE1462" s="26"/>
      <c r="AF1462" s="28"/>
    </row>
    <row r="1463" spans="1:32" ht="12.4" customHeight="1" x14ac:dyDescent="0.25">
      <c r="A1463" s="14">
        <v>45838</v>
      </c>
      <c r="B1463" s="14" t="s">
        <v>46</v>
      </c>
      <c r="C1463" s="15">
        <v>4</v>
      </c>
      <c r="D1463" s="16">
        <v>20</v>
      </c>
      <c r="E1463" s="16"/>
      <c r="F1463" s="17"/>
      <c r="G1463" s="21"/>
      <c r="H1463" s="21"/>
      <c r="I1463" s="4">
        <v>20</v>
      </c>
      <c r="J1463" s="4">
        <v>0.33333333333333331</v>
      </c>
      <c r="K1463" s="4"/>
      <c r="L1463" s="16"/>
      <c r="M1463" s="4"/>
      <c r="N1463" s="4"/>
      <c r="O1463" s="4"/>
      <c r="P1463" s="4"/>
      <c r="Q1463" s="4"/>
      <c r="R1463" s="4"/>
      <c r="S1463" s="4">
        <v>0</v>
      </c>
      <c r="T1463" s="4">
        <v>0</v>
      </c>
      <c r="U1463" s="4">
        <v>0.33333333333333331</v>
      </c>
      <c r="V1463" s="4">
        <v>11.666666666666666</v>
      </c>
      <c r="W1463" s="4">
        <v>12</v>
      </c>
      <c r="X1463" s="4">
        <v>0</v>
      </c>
      <c r="Y1463" s="4"/>
      <c r="Z1463" s="4">
        <v>518.69999999999993</v>
      </c>
      <c r="AA1463" s="4">
        <v>500</v>
      </c>
      <c r="AB1463" s="18"/>
      <c r="AC1463" s="18">
        <v>27</v>
      </c>
      <c r="AD1463" s="28"/>
      <c r="AE1463" s="26"/>
      <c r="AF1463" s="28"/>
    </row>
    <row r="1464" spans="1:32" ht="12.4" customHeight="1" x14ac:dyDescent="0.25">
      <c r="A1464" s="14">
        <v>45838</v>
      </c>
      <c r="B1464" s="14" t="s">
        <v>45</v>
      </c>
      <c r="C1464" s="15">
        <v>5</v>
      </c>
      <c r="D1464" s="16"/>
      <c r="E1464" s="16"/>
      <c r="F1464" s="17"/>
      <c r="G1464" s="21">
        <v>180</v>
      </c>
      <c r="H1464" s="21"/>
      <c r="I1464" s="4">
        <v>180</v>
      </c>
      <c r="J1464" s="4">
        <v>3</v>
      </c>
      <c r="K1464" s="4"/>
      <c r="L1464" s="16"/>
      <c r="M1464" s="4"/>
      <c r="N1464" s="4"/>
      <c r="O1464" s="4"/>
      <c r="P1464" s="4"/>
      <c r="Q1464" s="4"/>
      <c r="R1464" s="4"/>
      <c r="S1464" s="4">
        <v>0</v>
      </c>
      <c r="T1464" s="4">
        <v>0</v>
      </c>
      <c r="U1464" s="4">
        <v>3</v>
      </c>
      <c r="V1464" s="4">
        <v>9</v>
      </c>
      <c r="W1464" s="4">
        <v>12</v>
      </c>
      <c r="X1464" s="4">
        <v>0</v>
      </c>
      <c r="Y1464" s="4"/>
      <c r="Z1464" s="4">
        <v>214.8</v>
      </c>
      <c r="AA1464" s="4">
        <v>250</v>
      </c>
      <c r="AB1464" s="18"/>
      <c r="AC1464" s="18">
        <v>27</v>
      </c>
      <c r="AD1464" s="28"/>
      <c r="AE1464" s="26"/>
      <c r="AF1464" s="28"/>
    </row>
    <row r="1465" spans="1:32" ht="12.4" customHeight="1" x14ac:dyDescent="0.25">
      <c r="A1465" s="14">
        <v>45838</v>
      </c>
      <c r="B1465" s="14" t="s">
        <v>46</v>
      </c>
      <c r="C1465" s="15">
        <v>5</v>
      </c>
      <c r="D1465" s="16"/>
      <c r="E1465" s="16"/>
      <c r="F1465" s="17"/>
      <c r="G1465" s="21"/>
      <c r="H1465" s="21"/>
      <c r="I1465" s="4">
        <v>0</v>
      </c>
      <c r="J1465" s="4">
        <v>0</v>
      </c>
      <c r="K1465" s="4"/>
      <c r="L1465" s="16"/>
      <c r="M1465" s="4"/>
      <c r="N1465" s="4"/>
      <c r="O1465" s="4"/>
      <c r="P1465" s="4">
        <v>150</v>
      </c>
      <c r="Q1465" s="4"/>
      <c r="R1465" s="4"/>
      <c r="S1465" s="4">
        <v>150</v>
      </c>
      <c r="T1465" s="4">
        <v>2.5</v>
      </c>
      <c r="U1465" s="4">
        <v>2.5</v>
      </c>
      <c r="V1465" s="4">
        <v>9.5</v>
      </c>
      <c r="W1465" s="4">
        <v>12</v>
      </c>
      <c r="X1465" s="4">
        <v>0</v>
      </c>
      <c r="Y1465" s="4"/>
      <c r="Z1465" s="4">
        <v>195.05000000000004</v>
      </c>
      <c r="AA1465" s="4">
        <v>200</v>
      </c>
      <c r="AB1465" s="18"/>
      <c r="AC1465" s="18">
        <v>27</v>
      </c>
      <c r="AD1465" s="28"/>
      <c r="AE1465" s="26"/>
      <c r="AF1465" s="28"/>
    </row>
    <row r="1466" spans="1:32" ht="12.4" customHeight="1" x14ac:dyDescent="0.25">
      <c r="A1466" s="14">
        <v>45839</v>
      </c>
      <c r="B1466" s="14" t="s">
        <v>45</v>
      </c>
      <c r="C1466" s="15">
        <v>1</v>
      </c>
      <c r="D1466" s="16"/>
      <c r="E1466" s="16"/>
      <c r="F1466" s="17"/>
      <c r="G1466" s="21"/>
      <c r="H1466" s="21"/>
      <c r="I1466" s="4">
        <v>0</v>
      </c>
      <c r="J1466" s="4">
        <v>0</v>
      </c>
      <c r="K1466" s="4"/>
      <c r="L1466" s="16"/>
      <c r="M1466" s="4"/>
      <c r="N1466" s="4"/>
      <c r="O1466" s="4"/>
      <c r="P1466" s="4"/>
      <c r="Q1466" s="4"/>
      <c r="R1466" s="4"/>
      <c r="S1466" s="4">
        <v>0</v>
      </c>
      <c r="T1466" s="4">
        <v>0</v>
      </c>
      <c r="U1466" s="4">
        <v>0</v>
      </c>
      <c r="V1466" s="4">
        <v>12</v>
      </c>
      <c r="W1466" s="4">
        <v>12</v>
      </c>
      <c r="X1466" s="4">
        <v>26</v>
      </c>
      <c r="Y1466" s="4">
        <v>1474</v>
      </c>
      <c r="Z1466" s="4">
        <v>159.88999999999999</v>
      </c>
      <c r="AA1466" s="4">
        <v>150</v>
      </c>
      <c r="AB1466" s="18">
        <v>398</v>
      </c>
      <c r="AC1466" s="18">
        <v>27</v>
      </c>
      <c r="AD1466" s="28"/>
      <c r="AE1466" s="26"/>
      <c r="AF1466" s="28"/>
    </row>
    <row r="1467" spans="1:32" ht="12.4" customHeight="1" x14ac:dyDescent="0.25">
      <c r="A1467" s="14">
        <v>45839</v>
      </c>
      <c r="B1467" s="14" t="s">
        <v>46</v>
      </c>
      <c r="C1467" s="15">
        <v>1</v>
      </c>
      <c r="D1467" s="16"/>
      <c r="E1467" s="16"/>
      <c r="F1467" s="17"/>
      <c r="G1467" s="21"/>
      <c r="H1467" s="21"/>
      <c r="I1467" s="4">
        <v>0</v>
      </c>
      <c r="J1467" s="4">
        <v>0</v>
      </c>
      <c r="K1467" s="4"/>
      <c r="L1467" s="16"/>
      <c r="M1467" s="4"/>
      <c r="N1467" s="4"/>
      <c r="O1467" s="4"/>
      <c r="P1467" s="4"/>
      <c r="Q1467" s="4"/>
      <c r="R1467" s="4"/>
      <c r="S1467" s="4">
        <v>0</v>
      </c>
      <c r="T1467" s="4">
        <v>0</v>
      </c>
      <c r="U1467" s="4">
        <v>0</v>
      </c>
      <c r="V1467" s="4">
        <v>12</v>
      </c>
      <c r="W1467" s="4">
        <v>12</v>
      </c>
      <c r="X1467" s="4">
        <v>41</v>
      </c>
      <c r="Y1467" s="4"/>
      <c r="Z1467" s="4">
        <v>167.8</v>
      </c>
      <c r="AA1467" s="4">
        <v>150</v>
      </c>
      <c r="AB1467" s="18"/>
      <c r="AC1467" s="18">
        <v>27</v>
      </c>
      <c r="AD1467" s="28"/>
      <c r="AE1467" s="26"/>
      <c r="AF1467" s="28"/>
    </row>
    <row r="1468" spans="1:32" ht="12.4" customHeight="1" x14ac:dyDescent="0.25">
      <c r="A1468" s="14">
        <v>45839</v>
      </c>
      <c r="B1468" s="14" t="s">
        <v>45</v>
      </c>
      <c r="C1468" s="15">
        <v>2</v>
      </c>
      <c r="D1468" s="16">
        <v>20</v>
      </c>
      <c r="E1468" s="16"/>
      <c r="F1468" s="17"/>
      <c r="G1468" s="21"/>
      <c r="H1468" s="21"/>
      <c r="I1468" s="4">
        <v>20</v>
      </c>
      <c r="J1468" s="4">
        <v>0.33333333333333331</v>
      </c>
      <c r="K1468" s="4"/>
      <c r="L1468" s="16"/>
      <c r="M1468" s="4"/>
      <c r="N1468" s="4"/>
      <c r="O1468" s="4"/>
      <c r="P1468" s="4"/>
      <c r="Q1468" s="4"/>
      <c r="R1468" s="4"/>
      <c r="S1468" s="4">
        <v>0</v>
      </c>
      <c r="T1468" s="4">
        <v>0</v>
      </c>
      <c r="U1468" s="4">
        <v>0.33333333333333331</v>
      </c>
      <c r="V1468" s="4">
        <v>11.666666666666666</v>
      </c>
      <c r="W1468" s="4">
        <v>12</v>
      </c>
      <c r="X1468" s="4">
        <v>0</v>
      </c>
      <c r="Y1468" s="4"/>
      <c r="Z1468" s="4">
        <v>101.22999999999999</v>
      </c>
      <c r="AA1468" s="4">
        <v>100</v>
      </c>
      <c r="AB1468" s="18"/>
      <c r="AC1468" s="18">
        <v>27</v>
      </c>
      <c r="AD1468" s="28"/>
      <c r="AE1468" s="26"/>
      <c r="AF1468" s="28"/>
    </row>
    <row r="1469" spans="1:32" ht="12.4" customHeight="1" x14ac:dyDescent="0.25">
      <c r="A1469" s="14">
        <v>45839</v>
      </c>
      <c r="B1469" s="14" t="s">
        <v>46</v>
      </c>
      <c r="C1469" s="15">
        <v>2</v>
      </c>
      <c r="D1469" s="16"/>
      <c r="E1469" s="16"/>
      <c r="F1469" s="17"/>
      <c r="G1469" s="21"/>
      <c r="H1469" s="21"/>
      <c r="I1469" s="4">
        <v>0</v>
      </c>
      <c r="J1469" s="4">
        <v>0</v>
      </c>
      <c r="K1469" s="4"/>
      <c r="L1469" s="16"/>
      <c r="M1469" s="4"/>
      <c r="N1469" s="4"/>
      <c r="O1469" s="4"/>
      <c r="P1469" s="4"/>
      <c r="Q1469" s="4"/>
      <c r="R1469" s="4"/>
      <c r="S1469" s="4">
        <v>0</v>
      </c>
      <c r="T1469" s="4">
        <v>0</v>
      </c>
      <c r="U1469" s="4">
        <v>0</v>
      </c>
      <c r="V1469" s="4">
        <v>12</v>
      </c>
      <c r="W1469" s="4">
        <v>12</v>
      </c>
      <c r="X1469" s="4">
        <v>0</v>
      </c>
      <c r="Y1469" s="4"/>
      <c r="Z1469" s="4">
        <v>104.75</v>
      </c>
      <c r="AA1469" s="4">
        <v>100</v>
      </c>
      <c r="AB1469" s="18"/>
      <c r="AC1469" s="18">
        <v>27</v>
      </c>
      <c r="AD1469" s="28"/>
      <c r="AE1469" s="26"/>
      <c r="AF1469" s="28"/>
    </row>
    <row r="1470" spans="1:32" ht="12.4" customHeight="1" x14ac:dyDescent="0.25">
      <c r="A1470" s="14">
        <v>45839</v>
      </c>
      <c r="B1470" s="14" t="s">
        <v>45</v>
      </c>
      <c r="C1470" s="15">
        <v>4</v>
      </c>
      <c r="D1470" s="16">
        <v>40</v>
      </c>
      <c r="E1470" s="16"/>
      <c r="F1470" s="17"/>
      <c r="G1470" s="21"/>
      <c r="H1470" s="21"/>
      <c r="I1470" s="4">
        <v>40</v>
      </c>
      <c r="J1470" s="4">
        <v>0.66666666666666663</v>
      </c>
      <c r="K1470" s="4"/>
      <c r="L1470" s="16"/>
      <c r="M1470" s="4"/>
      <c r="N1470" s="4"/>
      <c r="O1470" s="4"/>
      <c r="P1470" s="4"/>
      <c r="Q1470" s="4"/>
      <c r="R1470" s="4"/>
      <c r="S1470" s="4">
        <v>0</v>
      </c>
      <c r="T1470" s="4">
        <v>0</v>
      </c>
      <c r="U1470" s="4">
        <v>0.66666666666666663</v>
      </c>
      <c r="V1470" s="4">
        <v>11.333333333333334</v>
      </c>
      <c r="W1470" s="4">
        <v>12</v>
      </c>
      <c r="X1470" s="4">
        <v>0</v>
      </c>
      <c r="Y1470" s="4"/>
      <c r="Z1470" s="4">
        <v>579.46</v>
      </c>
      <c r="AA1470" s="4">
        <v>600</v>
      </c>
      <c r="AB1470" s="18"/>
      <c r="AC1470" s="18">
        <v>27</v>
      </c>
      <c r="AD1470" s="28"/>
      <c r="AE1470" s="26"/>
      <c r="AF1470" s="28"/>
    </row>
    <row r="1471" spans="1:32" ht="12.4" customHeight="1" x14ac:dyDescent="0.25">
      <c r="A1471" s="14">
        <v>45839</v>
      </c>
      <c r="B1471" s="14" t="s">
        <v>46</v>
      </c>
      <c r="C1471" s="15">
        <v>4</v>
      </c>
      <c r="D1471" s="16">
        <v>40</v>
      </c>
      <c r="E1471" s="16"/>
      <c r="F1471" s="17"/>
      <c r="G1471" s="21"/>
      <c r="H1471" s="21"/>
      <c r="I1471" s="4">
        <v>40</v>
      </c>
      <c r="J1471" s="4">
        <v>0.66666666666666663</v>
      </c>
      <c r="K1471" s="4"/>
      <c r="L1471" s="16"/>
      <c r="M1471" s="4"/>
      <c r="N1471" s="4"/>
      <c r="O1471" s="4"/>
      <c r="P1471" s="4"/>
      <c r="Q1471" s="4"/>
      <c r="R1471" s="4"/>
      <c r="S1471" s="4">
        <v>0</v>
      </c>
      <c r="T1471" s="4">
        <v>0</v>
      </c>
      <c r="U1471" s="4">
        <v>0.66666666666666663</v>
      </c>
      <c r="V1471" s="4">
        <v>11.333333333333334</v>
      </c>
      <c r="W1471" s="4">
        <v>12</v>
      </c>
      <c r="X1471" s="4">
        <v>0</v>
      </c>
      <c r="Y1471" s="4"/>
      <c r="Z1471" s="4">
        <v>415.61999999999995</v>
      </c>
      <c r="AA1471" s="4">
        <v>450</v>
      </c>
      <c r="AB1471" s="18"/>
      <c r="AC1471" s="18">
        <v>27</v>
      </c>
      <c r="AD1471" s="28"/>
      <c r="AE1471" s="26"/>
      <c r="AF1471" s="28"/>
    </row>
    <row r="1472" spans="1:32" ht="12.4" customHeight="1" x14ac:dyDescent="0.25">
      <c r="A1472" s="14">
        <v>45839</v>
      </c>
      <c r="B1472" s="14" t="s">
        <v>45</v>
      </c>
      <c r="C1472" s="15">
        <v>5</v>
      </c>
      <c r="D1472" s="16"/>
      <c r="E1472" s="16"/>
      <c r="F1472" s="17"/>
      <c r="G1472" s="21"/>
      <c r="H1472" s="21"/>
      <c r="I1472" s="4">
        <v>0</v>
      </c>
      <c r="J1472" s="4">
        <v>0</v>
      </c>
      <c r="K1472" s="4"/>
      <c r="L1472" s="16"/>
      <c r="M1472" s="4"/>
      <c r="N1472" s="4"/>
      <c r="O1472" s="4"/>
      <c r="P1472" s="4"/>
      <c r="Q1472" s="4"/>
      <c r="R1472" s="4"/>
      <c r="S1472" s="4">
        <v>0</v>
      </c>
      <c r="T1472" s="4">
        <v>0</v>
      </c>
      <c r="U1472" s="4">
        <v>0</v>
      </c>
      <c r="V1472" s="4">
        <v>12</v>
      </c>
      <c r="W1472" s="4">
        <v>12</v>
      </c>
      <c r="X1472" s="4">
        <v>0</v>
      </c>
      <c r="Y1472" s="4"/>
      <c r="Z1472" s="4">
        <v>475.31999999999994</v>
      </c>
      <c r="AA1472" s="4">
        <v>500</v>
      </c>
      <c r="AB1472" s="18"/>
      <c r="AC1472" s="18">
        <v>27</v>
      </c>
      <c r="AD1472" s="28"/>
      <c r="AE1472" s="26"/>
      <c r="AF1472" s="28"/>
    </row>
    <row r="1473" spans="1:32" ht="12.4" customHeight="1" x14ac:dyDescent="0.25">
      <c r="A1473" s="14">
        <v>45839</v>
      </c>
      <c r="B1473" s="14" t="s">
        <v>46</v>
      </c>
      <c r="C1473" s="15">
        <v>5</v>
      </c>
      <c r="D1473" s="16">
        <v>20</v>
      </c>
      <c r="E1473" s="16"/>
      <c r="F1473" s="17"/>
      <c r="G1473" s="21"/>
      <c r="H1473" s="21"/>
      <c r="I1473" s="4">
        <v>20</v>
      </c>
      <c r="J1473" s="4">
        <v>0.33333333333333331</v>
      </c>
      <c r="K1473" s="4"/>
      <c r="L1473" s="16"/>
      <c r="M1473" s="4"/>
      <c r="N1473" s="4"/>
      <c r="O1473" s="4"/>
      <c r="P1473" s="4"/>
      <c r="Q1473" s="4"/>
      <c r="R1473" s="4"/>
      <c r="S1473" s="4">
        <v>0</v>
      </c>
      <c r="T1473" s="4">
        <v>0</v>
      </c>
      <c r="U1473" s="4">
        <v>0.33333333333333331</v>
      </c>
      <c r="V1473" s="4">
        <v>11.666666666666666</v>
      </c>
      <c r="W1473" s="4">
        <v>12</v>
      </c>
      <c r="X1473" s="4">
        <v>0</v>
      </c>
      <c r="Y1473" s="4"/>
      <c r="Z1473" s="4">
        <v>362.44000000000005</v>
      </c>
      <c r="AA1473" s="4">
        <v>350</v>
      </c>
      <c r="AB1473" s="18"/>
      <c r="AC1473" s="18">
        <v>27</v>
      </c>
      <c r="AD1473" s="28"/>
      <c r="AE1473" s="26"/>
      <c r="AF1473" s="28"/>
    </row>
    <row r="1474" spans="1:32" ht="12.4" customHeight="1" x14ac:dyDescent="0.25">
      <c r="A1474" s="14">
        <v>45840</v>
      </c>
      <c r="B1474" s="14" t="s">
        <v>45</v>
      </c>
      <c r="C1474" s="15">
        <v>1</v>
      </c>
      <c r="D1474" s="16"/>
      <c r="E1474" s="16"/>
      <c r="F1474" s="17"/>
      <c r="G1474" s="21"/>
      <c r="H1474" s="21"/>
      <c r="I1474" s="4">
        <v>0</v>
      </c>
      <c r="J1474" s="4">
        <v>0</v>
      </c>
      <c r="K1474" s="4"/>
      <c r="L1474" s="16"/>
      <c r="M1474" s="4"/>
      <c r="N1474" s="4"/>
      <c r="O1474" s="4"/>
      <c r="P1474" s="4"/>
      <c r="Q1474" s="4"/>
      <c r="R1474" s="4"/>
      <c r="S1474" s="4">
        <v>0</v>
      </c>
      <c r="T1474" s="4">
        <v>0</v>
      </c>
      <c r="U1474" s="4">
        <v>0</v>
      </c>
      <c r="V1474" s="4">
        <v>12</v>
      </c>
      <c r="W1474" s="4">
        <v>12</v>
      </c>
      <c r="X1474" s="4">
        <v>25</v>
      </c>
      <c r="Y1474" s="4">
        <v>1463</v>
      </c>
      <c r="Z1474" s="4">
        <v>167.60000000000002</v>
      </c>
      <c r="AA1474" s="4">
        <v>150</v>
      </c>
      <c r="AB1474" s="18">
        <v>398</v>
      </c>
      <c r="AC1474" s="18">
        <v>27</v>
      </c>
      <c r="AD1474" s="28"/>
      <c r="AE1474" s="26"/>
      <c r="AF1474" s="28"/>
    </row>
    <row r="1475" spans="1:32" ht="12.4" customHeight="1" x14ac:dyDescent="0.25">
      <c r="A1475" s="14">
        <v>45840</v>
      </c>
      <c r="B1475" s="14" t="s">
        <v>46</v>
      </c>
      <c r="C1475" s="15">
        <v>1</v>
      </c>
      <c r="D1475" s="16"/>
      <c r="E1475" s="16"/>
      <c r="F1475" s="17"/>
      <c r="G1475" s="21"/>
      <c r="H1475" s="21"/>
      <c r="I1475" s="4">
        <v>0</v>
      </c>
      <c r="J1475" s="4">
        <v>0</v>
      </c>
      <c r="K1475" s="4"/>
      <c r="L1475" s="16"/>
      <c r="M1475" s="4"/>
      <c r="N1475" s="4"/>
      <c r="O1475" s="4"/>
      <c r="P1475" s="4"/>
      <c r="Q1475" s="4"/>
      <c r="R1475" s="4"/>
      <c r="S1475" s="4">
        <v>0</v>
      </c>
      <c r="T1475" s="4">
        <v>0</v>
      </c>
      <c r="U1475" s="4">
        <v>0</v>
      </c>
      <c r="V1475" s="4">
        <v>12</v>
      </c>
      <c r="W1475" s="4">
        <v>12</v>
      </c>
      <c r="X1475" s="4">
        <v>22</v>
      </c>
      <c r="Y1475" s="4"/>
      <c r="Z1475" s="4">
        <v>181.16000000000003</v>
      </c>
      <c r="AA1475" s="4">
        <v>200</v>
      </c>
      <c r="AB1475" s="18"/>
      <c r="AC1475" s="18">
        <v>27</v>
      </c>
      <c r="AD1475" s="28"/>
      <c r="AE1475" s="26"/>
      <c r="AF1475" s="28"/>
    </row>
    <row r="1476" spans="1:32" ht="12.4" customHeight="1" x14ac:dyDescent="0.25">
      <c r="A1476" s="14">
        <v>45840</v>
      </c>
      <c r="B1476" s="14" t="s">
        <v>45</v>
      </c>
      <c r="C1476" s="15">
        <v>2</v>
      </c>
      <c r="D1476" s="16"/>
      <c r="E1476" s="16"/>
      <c r="F1476" s="17"/>
      <c r="G1476" s="21"/>
      <c r="H1476" s="21"/>
      <c r="I1476" s="4">
        <v>0</v>
      </c>
      <c r="J1476" s="4">
        <v>0</v>
      </c>
      <c r="K1476" s="4"/>
      <c r="L1476" s="16"/>
      <c r="M1476" s="4"/>
      <c r="N1476" s="4"/>
      <c r="O1476" s="4"/>
      <c r="P1476" s="4"/>
      <c r="Q1476" s="4"/>
      <c r="R1476" s="4"/>
      <c r="S1476" s="4">
        <v>0</v>
      </c>
      <c r="T1476" s="4">
        <v>0</v>
      </c>
      <c r="U1476" s="4">
        <v>0</v>
      </c>
      <c r="V1476" s="4">
        <v>12</v>
      </c>
      <c r="W1476" s="4">
        <v>12</v>
      </c>
      <c r="X1476" s="4">
        <v>0</v>
      </c>
      <c r="Y1476" s="4"/>
      <c r="Z1476" s="4">
        <v>109.99999999999999</v>
      </c>
      <c r="AA1476" s="4">
        <v>150</v>
      </c>
      <c r="AB1476" s="18"/>
      <c r="AC1476" s="18">
        <v>27</v>
      </c>
      <c r="AD1476" s="28"/>
      <c r="AE1476" s="26"/>
      <c r="AF1476" s="28"/>
    </row>
    <row r="1477" spans="1:32" ht="12.4" customHeight="1" x14ac:dyDescent="0.25">
      <c r="A1477" s="14">
        <v>45840</v>
      </c>
      <c r="B1477" s="14" t="s">
        <v>46</v>
      </c>
      <c r="C1477" s="15">
        <v>2</v>
      </c>
      <c r="D1477" s="16"/>
      <c r="E1477" s="16"/>
      <c r="F1477" s="17"/>
      <c r="G1477" s="21"/>
      <c r="H1477" s="21"/>
      <c r="I1477" s="4">
        <v>0</v>
      </c>
      <c r="J1477" s="4">
        <v>0</v>
      </c>
      <c r="K1477" s="4"/>
      <c r="L1477" s="16"/>
      <c r="M1477" s="4"/>
      <c r="N1477" s="4"/>
      <c r="O1477" s="4"/>
      <c r="P1477" s="4"/>
      <c r="Q1477" s="4"/>
      <c r="R1477" s="4"/>
      <c r="S1477" s="4">
        <v>0</v>
      </c>
      <c r="T1477" s="4">
        <v>0</v>
      </c>
      <c r="U1477" s="4">
        <v>0</v>
      </c>
      <c r="V1477" s="4">
        <v>12</v>
      </c>
      <c r="W1477" s="4">
        <v>12</v>
      </c>
      <c r="X1477" s="4">
        <v>0</v>
      </c>
      <c r="Y1477" s="4"/>
      <c r="Z1477" s="4">
        <v>111.63999999999999</v>
      </c>
      <c r="AA1477" s="4">
        <v>100</v>
      </c>
      <c r="AB1477" s="18"/>
      <c r="AC1477" s="18">
        <v>27</v>
      </c>
      <c r="AD1477" s="28"/>
      <c r="AE1477" s="26"/>
      <c r="AF1477" s="28"/>
    </row>
    <row r="1478" spans="1:32" ht="12.4" customHeight="1" x14ac:dyDescent="0.25">
      <c r="A1478" s="14">
        <v>45840</v>
      </c>
      <c r="B1478" s="14" t="s">
        <v>45</v>
      </c>
      <c r="C1478" s="15">
        <v>4</v>
      </c>
      <c r="D1478" s="16">
        <v>20</v>
      </c>
      <c r="E1478" s="16"/>
      <c r="F1478" s="17"/>
      <c r="G1478" s="21"/>
      <c r="H1478" s="21"/>
      <c r="I1478" s="4">
        <v>20</v>
      </c>
      <c r="J1478" s="4">
        <v>0.33333333333333331</v>
      </c>
      <c r="K1478" s="4"/>
      <c r="L1478" s="16"/>
      <c r="M1478" s="4"/>
      <c r="N1478" s="4"/>
      <c r="O1478" s="4"/>
      <c r="P1478" s="4"/>
      <c r="Q1478" s="4"/>
      <c r="R1478" s="4"/>
      <c r="S1478" s="4">
        <v>0</v>
      </c>
      <c r="T1478" s="4">
        <v>0</v>
      </c>
      <c r="U1478" s="4">
        <v>0.33333333333333331</v>
      </c>
      <c r="V1478" s="4">
        <v>11.666666666666666</v>
      </c>
      <c r="W1478" s="4">
        <v>12</v>
      </c>
      <c r="X1478" s="4">
        <v>0</v>
      </c>
      <c r="Y1478" s="4"/>
      <c r="Z1478" s="4">
        <v>551.20000000000005</v>
      </c>
      <c r="AA1478" s="4">
        <v>550</v>
      </c>
      <c r="AB1478" s="18"/>
      <c r="AC1478" s="18">
        <v>27</v>
      </c>
      <c r="AD1478" s="28"/>
      <c r="AE1478" s="26"/>
      <c r="AF1478" s="28"/>
    </row>
    <row r="1479" spans="1:32" ht="12.4" customHeight="1" x14ac:dyDescent="0.25">
      <c r="A1479" s="14">
        <v>45840</v>
      </c>
      <c r="B1479" s="14" t="s">
        <v>46</v>
      </c>
      <c r="C1479" s="15">
        <v>4</v>
      </c>
      <c r="D1479" s="16"/>
      <c r="E1479" s="16"/>
      <c r="F1479" s="17"/>
      <c r="G1479" s="21"/>
      <c r="H1479" s="21"/>
      <c r="I1479" s="4">
        <v>0</v>
      </c>
      <c r="J1479" s="4">
        <v>0</v>
      </c>
      <c r="K1479" s="4"/>
      <c r="L1479" s="16"/>
      <c r="M1479" s="4"/>
      <c r="N1479" s="4"/>
      <c r="O1479" s="4"/>
      <c r="P1479" s="4"/>
      <c r="Q1479" s="4"/>
      <c r="R1479" s="4"/>
      <c r="S1479" s="4">
        <v>0</v>
      </c>
      <c r="T1479" s="4">
        <v>0</v>
      </c>
      <c r="U1479" s="4">
        <v>0</v>
      </c>
      <c r="V1479" s="4">
        <v>12</v>
      </c>
      <c r="W1479" s="4">
        <v>12</v>
      </c>
      <c r="X1479" s="4">
        <v>0</v>
      </c>
      <c r="Y1479" s="4"/>
      <c r="Z1479" s="4">
        <v>604.80000000000007</v>
      </c>
      <c r="AA1479" s="4">
        <v>650</v>
      </c>
      <c r="AB1479" s="18"/>
      <c r="AC1479" s="18">
        <v>27</v>
      </c>
      <c r="AD1479" s="28"/>
      <c r="AE1479" s="26"/>
      <c r="AF1479" s="28"/>
    </row>
    <row r="1480" spans="1:32" ht="12.4" customHeight="1" x14ac:dyDescent="0.25">
      <c r="A1480" s="14">
        <v>45840</v>
      </c>
      <c r="B1480" s="14" t="s">
        <v>45</v>
      </c>
      <c r="C1480" s="15">
        <v>5</v>
      </c>
      <c r="D1480" s="16">
        <v>20</v>
      </c>
      <c r="E1480" s="16"/>
      <c r="F1480" s="17"/>
      <c r="G1480" s="21"/>
      <c r="H1480" s="21"/>
      <c r="I1480" s="4">
        <v>20</v>
      </c>
      <c r="J1480" s="4">
        <v>0.33333333333333331</v>
      </c>
      <c r="K1480" s="4"/>
      <c r="L1480" s="16"/>
      <c r="M1480" s="4"/>
      <c r="N1480" s="4"/>
      <c r="O1480" s="4"/>
      <c r="P1480" s="4"/>
      <c r="Q1480" s="4"/>
      <c r="R1480" s="4"/>
      <c r="S1480" s="4">
        <v>0</v>
      </c>
      <c r="T1480" s="4">
        <v>0</v>
      </c>
      <c r="U1480" s="4">
        <v>0.33333333333333331</v>
      </c>
      <c r="V1480" s="4">
        <v>11.666666666666666</v>
      </c>
      <c r="W1480" s="4">
        <v>12</v>
      </c>
      <c r="X1480" s="4">
        <v>0</v>
      </c>
      <c r="Y1480" s="4"/>
      <c r="Z1480" s="4">
        <v>255.5</v>
      </c>
      <c r="AA1480" s="4">
        <v>250</v>
      </c>
      <c r="AB1480" s="18"/>
      <c r="AC1480" s="18">
        <v>27</v>
      </c>
      <c r="AD1480" s="28"/>
      <c r="AE1480" s="26"/>
      <c r="AF1480" s="28"/>
    </row>
    <row r="1481" spans="1:32" ht="12.4" customHeight="1" x14ac:dyDescent="0.25">
      <c r="A1481" s="14">
        <v>45840</v>
      </c>
      <c r="B1481" s="14" t="s">
        <v>46</v>
      </c>
      <c r="C1481" s="15">
        <v>5</v>
      </c>
      <c r="D1481" s="16"/>
      <c r="E1481" s="16"/>
      <c r="F1481" s="17"/>
      <c r="G1481" s="21"/>
      <c r="H1481" s="21"/>
      <c r="I1481" s="4">
        <v>0</v>
      </c>
      <c r="J1481" s="4">
        <v>0</v>
      </c>
      <c r="K1481" s="4"/>
      <c r="L1481" s="16"/>
      <c r="M1481" s="4"/>
      <c r="N1481" s="4"/>
      <c r="O1481" s="4"/>
      <c r="P1481" s="4"/>
      <c r="Q1481" s="4"/>
      <c r="R1481" s="4"/>
      <c r="S1481" s="4">
        <v>0</v>
      </c>
      <c r="T1481" s="4">
        <v>0</v>
      </c>
      <c r="U1481" s="4">
        <v>0</v>
      </c>
      <c r="V1481" s="4">
        <v>12</v>
      </c>
      <c r="W1481" s="4">
        <v>12</v>
      </c>
      <c r="X1481" s="4">
        <v>0</v>
      </c>
      <c r="Y1481" s="4"/>
      <c r="Z1481" s="4">
        <v>361.32</v>
      </c>
      <c r="AA1481" s="4">
        <v>350</v>
      </c>
      <c r="AB1481" s="18"/>
      <c r="AC1481" s="18">
        <v>27</v>
      </c>
      <c r="AD1481" s="28"/>
      <c r="AE1481" s="26"/>
      <c r="AF1481" s="28"/>
    </row>
    <row r="1482" spans="1:32" ht="12.4" customHeight="1" x14ac:dyDescent="0.25">
      <c r="A1482" s="14">
        <v>45841</v>
      </c>
      <c r="B1482" s="14" t="s">
        <v>45</v>
      </c>
      <c r="C1482" s="15">
        <v>1</v>
      </c>
      <c r="D1482" s="16">
        <v>20</v>
      </c>
      <c r="E1482" s="16"/>
      <c r="F1482" s="17"/>
      <c r="G1482" s="21"/>
      <c r="H1482" s="21"/>
      <c r="I1482" s="4">
        <v>20</v>
      </c>
      <c r="J1482" s="4">
        <v>0.33333333333333331</v>
      </c>
      <c r="K1482" s="4"/>
      <c r="L1482" s="16"/>
      <c r="M1482" s="4"/>
      <c r="N1482" s="4"/>
      <c r="O1482" s="4"/>
      <c r="P1482" s="4"/>
      <c r="Q1482" s="4"/>
      <c r="R1482" s="4"/>
      <c r="S1482" s="4">
        <v>0</v>
      </c>
      <c r="T1482" s="4">
        <v>0</v>
      </c>
      <c r="U1482" s="4">
        <v>0.33333333333333331</v>
      </c>
      <c r="V1482" s="4">
        <v>11.666666666666666</v>
      </c>
      <c r="W1482" s="4">
        <v>12</v>
      </c>
      <c r="X1482" s="4">
        <v>22</v>
      </c>
      <c r="Y1482" s="4">
        <v>1554.5</v>
      </c>
      <c r="Z1482" s="4">
        <v>155.95000000000002</v>
      </c>
      <c r="AA1482" s="4">
        <v>150</v>
      </c>
      <c r="AB1482" s="18">
        <v>398</v>
      </c>
      <c r="AC1482" s="18">
        <v>27</v>
      </c>
      <c r="AD1482" s="28"/>
      <c r="AE1482" s="26"/>
      <c r="AF1482" s="28"/>
    </row>
    <row r="1483" spans="1:32" ht="12.4" customHeight="1" x14ac:dyDescent="0.25">
      <c r="A1483" s="14">
        <v>45841</v>
      </c>
      <c r="B1483" s="14" t="s">
        <v>46</v>
      </c>
      <c r="C1483" s="15">
        <v>1</v>
      </c>
      <c r="D1483" s="16"/>
      <c r="E1483" s="16"/>
      <c r="F1483" s="17"/>
      <c r="G1483" s="21"/>
      <c r="H1483" s="21"/>
      <c r="I1483" s="4">
        <v>0</v>
      </c>
      <c r="J1483" s="4">
        <v>0</v>
      </c>
      <c r="K1483" s="4"/>
      <c r="L1483" s="16"/>
      <c r="M1483" s="4"/>
      <c r="N1483" s="4"/>
      <c r="O1483" s="4"/>
      <c r="P1483" s="4"/>
      <c r="Q1483" s="4"/>
      <c r="R1483" s="4"/>
      <c r="S1483" s="4">
        <v>0</v>
      </c>
      <c r="T1483" s="4">
        <v>0</v>
      </c>
      <c r="U1483" s="4">
        <v>0</v>
      </c>
      <c r="V1483" s="4">
        <v>12</v>
      </c>
      <c r="W1483" s="4">
        <v>12</v>
      </c>
      <c r="X1483" s="4">
        <v>46</v>
      </c>
      <c r="Y1483" s="4"/>
      <c r="Z1483" s="4">
        <v>191.94</v>
      </c>
      <c r="AA1483" s="4">
        <v>200</v>
      </c>
      <c r="AB1483" s="18"/>
      <c r="AC1483" s="18">
        <v>27</v>
      </c>
      <c r="AD1483" s="28"/>
      <c r="AE1483" s="26"/>
      <c r="AF1483" s="28"/>
    </row>
    <row r="1484" spans="1:32" ht="12.4" customHeight="1" x14ac:dyDescent="0.25">
      <c r="A1484" s="14">
        <v>45841</v>
      </c>
      <c r="B1484" s="14" t="s">
        <v>45</v>
      </c>
      <c r="C1484" s="15">
        <v>2</v>
      </c>
      <c r="D1484" s="16"/>
      <c r="E1484" s="16"/>
      <c r="F1484" s="17"/>
      <c r="G1484" s="21"/>
      <c r="H1484" s="21"/>
      <c r="I1484" s="4">
        <v>0</v>
      </c>
      <c r="J1484" s="4">
        <v>0</v>
      </c>
      <c r="K1484" s="4"/>
      <c r="L1484" s="16"/>
      <c r="M1484" s="4"/>
      <c r="N1484" s="4"/>
      <c r="O1484" s="4"/>
      <c r="P1484" s="4">
        <v>90</v>
      </c>
      <c r="Q1484" s="4"/>
      <c r="R1484" s="4"/>
      <c r="S1484" s="4">
        <v>90</v>
      </c>
      <c r="T1484" s="4">
        <v>1.5</v>
      </c>
      <c r="U1484" s="4">
        <v>1.5</v>
      </c>
      <c r="V1484" s="4">
        <v>10.5</v>
      </c>
      <c r="W1484" s="4">
        <v>12</v>
      </c>
      <c r="X1484" s="4">
        <v>0</v>
      </c>
      <c r="Y1484" s="4"/>
      <c r="Z1484" s="4">
        <v>97.09</v>
      </c>
      <c r="AA1484" s="4">
        <v>150</v>
      </c>
      <c r="AB1484" s="18"/>
      <c r="AC1484" s="18">
        <v>27</v>
      </c>
      <c r="AD1484" s="28"/>
      <c r="AE1484" s="26"/>
      <c r="AF1484" s="28"/>
    </row>
    <row r="1485" spans="1:32" ht="12.4" customHeight="1" x14ac:dyDescent="0.25">
      <c r="A1485" s="14">
        <v>45841</v>
      </c>
      <c r="B1485" s="14" t="s">
        <v>46</v>
      </c>
      <c r="C1485" s="15">
        <v>2</v>
      </c>
      <c r="D1485" s="16"/>
      <c r="E1485" s="16"/>
      <c r="F1485" s="17"/>
      <c r="G1485" s="21"/>
      <c r="H1485" s="21"/>
      <c r="I1485" s="4">
        <v>0</v>
      </c>
      <c r="J1485" s="4">
        <v>0</v>
      </c>
      <c r="K1485" s="4"/>
      <c r="L1485" s="16"/>
      <c r="M1485" s="4"/>
      <c r="N1485" s="4"/>
      <c r="O1485" s="4"/>
      <c r="P1485" s="4"/>
      <c r="Q1485" s="4"/>
      <c r="R1485" s="4"/>
      <c r="S1485" s="4">
        <v>0</v>
      </c>
      <c r="T1485" s="4">
        <v>0</v>
      </c>
      <c r="U1485" s="4">
        <v>0</v>
      </c>
      <c r="V1485" s="4">
        <v>12</v>
      </c>
      <c r="W1485" s="4">
        <v>12</v>
      </c>
      <c r="X1485" s="4">
        <v>0</v>
      </c>
      <c r="Y1485" s="4"/>
      <c r="Z1485" s="4">
        <v>114.02999999999999</v>
      </c>
      <c r="AA1485" s="4">
        <v>100</v>
      </c>
      <c r="AB1485" s="18"/>
      <c r="AC1485" s="18">
        <v>27</v>
      </c>
      <c r="AD1485" s="28"/>
      <c r="AE1485" s="26"/>
      <c r="AF1485" s="28"/>
    </row>
    <row r="1486" spans="1:32" ht="12.4" customHeight="1" x14ac:dyDescent="0.25">
      <c r="A1486" s="14">
        <v>45841</v>
      </c>
      <c r="B1486" s="14" t="s">
        <v>45</v>
      </c>
      <c r="C1486" s="15">
        <v>4</v>
      </c>
      <c r="D1486" s="16"/>
      <c r="E1486" s="16"/>
      <c r="F1486" s="17"/>
      <c r="G1486" s="21"/>
      <c r="H1486" s="21"/>
      <c r="I1486" s="4">
        <v>0</v>
      </c>
      <c r="J1486" s="4">
        <v>0</v>
      </c>
      <c r="K1486" s="4"/>
      <c r="L1486" s="16"/>
      <c r="M1486" s="4"/>
      <c r="N1486" s="4"/>
      <c r="O1486" s="4"/>
      <c r="P1486" s="4"/>
      <c r="Q1486" s="4"/>
      <c r="R1486" s="4"/>
      <c r="S1486" s="4">
        <v>0</v>
      </c>
      <c r="T1486" s="4">
        <v>0</v>
      </c>
      <c r="U1486" s="4">
        <v>0</v>
      </c>
      <c r="V1486" s="4">
        <v>12</v>
      </c>
      <c r="W1486" s="4">
        <v>12</v>
      </c>
      <c r="X1486" s="4">
        <v>0</v>
      </c>
      <c r="Y1486" s="4"/>
      <c r="Z1486" s="4">
        <v>600.24</v>
      </c>
      <c r="AA1486" s="4">
        <v>600</v>
      </c>
      <c r="AB1486" s="18"/>
      <c r="AC1486" s="18">
        <v>27</v>
      </c>
      <c r="AD1486" s="28"/>
      <c r="AE1486" s="26"/>
      <c r="AF1486" s="28"/>
    </row>
    <row r="1487" spans="1:32" ht="12.4" customHeight="1" x14ac:dyDescent="0.25">
      <c r="A1487" s="14">
        <v>45841</v>
      </c>
      <c r="B1487" s="14" t="s">
        <v>46</v>
      </c>
      <c r="C1487" s="15">
        <v>4</v>
      </c>
      <c r="D1487" s="16"/>
      <c r="E1487" s="16"/>
      <c r="F1487" s="17"/>
      <c r="G1487" s="21"/>
      <c r="H1487" s="21"/>
      <c r="I1487" s="4">
        <v>0</v>
      </c>
      <c r="J1487" s="4">
        <v>0</v>
      </c>
      <c r="K1487" s="4"/>
      <c r="L1487" s="16"/>
      <c r="M1487" s="4"/>
      <c r="N1487" s="4"/>
      <c r="O1487" s="4"/>
      <c r="P1487" s="4"/>
      <c r="Q1487" s="4"/>
      <c r="R1487" s="4"/>
      <c r="S1487" s="4">
        <v>0</v>
      </c>
      <c r="T1487" s="4">
        <v>0</v>
      </c>
      <c r="U1487" s="4">
        <v>0</v>
      </c>
      <c r="V1487" s="4">
        <v>12</v>
      </c>
      <c r="W1487" s="4">
        <v>12</v>
      </c>
      <c r="X1487" s="4">
        <v>0</v>
      </c>
      <c r="Y1487" s="4"/>
      <c r="Z1487" s="4">
        <v>614.79000000000008</v>
      </c>
      <c r="AA1487" s="4">
        <v>650</v>
      </c>
      <c r="AB1487" s="18"/>
      <c r="AC1487" s="18">
        <v>27</v>
      </c>
      <c r="AD1487" s="28"/>
      <c r="AE1487" s="26"/>
      <c r="AF1487" s="28"/>
    </row>
    <row r="1488" spans="1:32" ht="12.4" customHeight="1" x14ac:dyDescent="0.25">
      <c r="A1488" s="14">
        <v>45841</v>
      </c>
      <c r="B1488" s="14" t="s">
        <v>45</v>
      </c>
      <c r="C1488" s="15">
        <v>5</v>
      </c>
      <c r="D1488" s="16"/>
      <c r="E1488" s="16"/>
      <c r="F1488" s="17"/>
      <c r="G1488" s="21"/>
      <c r="H1488" s="21"/>
      <c r="I1488" s="4">
        <v>0</v>
      </c>
      <c r="J1488" s="4">
        <v>0</v>
      </c>
      <c r="K1488" s="4"/>
      <c r="L1488" s="16"/>
      <c r="M1488" s="4"/>
      <c r="N1488" s="4"/>
      <c r="O1488" s="4"/>
      <c r="P1488" s="4"/>
      <c r="Q1488" s="4"/>
      <c r="R1488" s="4"/>
      <c r="S1488" s="4">
        <v>0</v>
      </c>
      <c r="T1488" s="4">
        <v>0</v>
      </c>
      <c r="U1488" s="4">
        <v>0</v>
      </c>
      <c r="V1488" s="4">
        <v>12</v>
      </c>
      <c r="W1488" s="4">
        <v>12</v>
      </c>
      <c r="X1488" s="4">
        <v>0</v>
      </c>
      <c r="Y1488" s="4"/>
      <c r="Z1488" s="4">
        <v>464.07</v>
      </c>
      <c r="AA1488" s="4">
        <v>450</v>
      </c>
      <c r="AB1488" s="18"/>
      <c r="AC1488" s="18">
        <v>27</v>
      </c>
      <c r="AD1488" s="28"/>
      <c r="AE1488" s="26"/>
      <c r="AF1488" s="28"/>
    </row>
    <row r="1489" spans="1:32" ht="12.4" customHeight="1" x14ac:dyDescent="0.25">
      <c r="A1489" s="14">
        <v>45841</v>
      </c>
      <c r="B1489" s="14" t="s">
        <v>46</v>
      </c>
      <c r="C1489" s="15">
        <v>5</v>
      </c>
      <c r="D1489" s="16">
        <v>20</v>
      </c>
      <c r="E1489" s="16"/>
      <c r="F1489" s="17"/>
      <c r="G1489" s="21"/>
      <c r="H1489" s="21"/>
      <c r="I1489" s="4">
        <v>20</v>
      </c>
      <c r="J1489" s="4">
        <v>0.33333333333333331</v>
      </c>
      <c r="K1489" s="4"/>
      <c r="L1489" s="16"/>
      <c r="M1489" s="4"/>
      <c r="N1489" s="4"/>
      <c r="O1489" s="4"/>
      <c r="P1489" s="4"/>
      <c r="Q1489" s="4"/>
      <c r="R1489" s="4"/>
      <c r="S1489" s="4">
        <v>0</v>
      </c>
      <c r="T1489" s="4">
        <v>0</v>
      </c>
      <c r="U1489" s="4">
        <v>0.33333333333333331</v>
      </c>
      <c r="V1489" s="4">
        <v>11.666666666666666</v>
      </c>
      <c r="W1489" s="4">
        <v>12</v>
      </c>
      <c r="X1489" s="4">
        <v>0</v>
      </c>
      <c r="Y1489" s="4"/>
      <c r="Z1489" s="4">
        <v>417.1</v>
      </c>
      <c r="AA1489" s="4">
        <v>400</v>
      </c>
      <c r="AB1489" s="18"/>
      <c r="AC1489" s="18">
        <v>27</v>
      </c>
      <c r="AD1489" s="28"/>
      <c r="AE1489" s="26"/>
      <c r="AF1489" s="28"/>
    </row>
    <row r="1490" spans="1:32" ht="12.4" customHeight="1" x14ac:dyDescent="0.25">
      <c r="A1490" s="14">
        <v>45842</v>
      </c>
      <c r="B1490" s="14" t="s">
        <v>45</v>
      </c>
      <c r="C1490" s="15">
        <v>1</v>
      </c>
      <c r="D1490" s="16"/>
      <c r="E1490" s="16"/>
      <c r="F1490" s="17"/>
      <c r="G1490" s="21"/>
      <c r="H1490" s="21"/>
      <c r="I1490" s="4">
        <v>0</v>
      </c>
      <c r="J1490" s="4">
        <v>0</v>
      </c>
      <c r="K1490" s="4"/>
      <c r="L1490" s="16"/>
      <c r="M1490" s="4"/>
      <c r="N1490" s="4"/>
      <c r="O1490" s="4"/>
      <c r="P1490" s="4"/>
      <c r="Q1490" s="4"/>
      <c r="R1490" s="4"/>
      <c r="S1490" s="4">
        <v>0</v>
      </c>
      <c r="T1490" s="4">
        <v>0</v>
      </c>
      <c r="U1490" s="4">
        <v>0</v>
      </c>
      <c r="V1490" s="4">
        <v>12</v>
      </c>
      <c r="W1490" s="4">
        <v>12</v>
      </c>
      <c r="X1490" s="4">
        <v>37</v>
      </c>
      <c r="Y1490" s="4">
        <v>1159</v>
      </c>
      <c r="Z1490" s="4">
        <v>174.1</v>
      </c>
      <c r="AA1490" s="4">
        <v>150</v>
      </c>
      <c r="AB1490" s="18">
        <v>398</v>
      </c>
      <c r="AC1490" s="18">
        <v>27</v>
      </c>
      <c r="AD1490" s="28"/>
      <c r="AE1490" s="26"/>
      <c r="AF1490" s="28"/>
    </row>
    <row r="1491" spans="1:32" ht="12.4" customHeight="1" x14ac:dyDescent="0.25">
      <c r="A1491" s="14">
        <v>45842</v>
      </c>
      <c r="B1491" s="14" t="s">
        <v>46</v>
      </c>
      <c r="C1491" s="15">
        <v>1</v>
      </c>
      <c r="D1491" s="16"/>
      <c r="E1491" s="16"/>
      <c r="F1491" s="17"/>
      <c r="G1491" s="21"/>
      <c r="H1491" s="21"/>
      <c r="I1491" s="4">
        <v>0</v>
      </c>
      <c r="J1491" s="4">
        <v>0</v>
      </c>
      <c r="K1491" s="4"/>
      <c r="L1491" s="16"/>
      <c r="M1491" s="4"/>
      <c r="N1491" s="4"/>
      <c r="O1491" s="4"/>
      <c r="P1491" s="4"/>
      <c r="Q1491" s="4"/>
      <c r="R1491" s="4"/>
      <c r="S1491" s="4">
        <v>0</v>
      </c>
      <c r="T1491" s="4">
        <v>0</v>
      </c>
      <c r="U1491" s="4">
        <v>0</v>
      </c>
      <c r="V1491" s="4">
        <v>12</v>
      </c>
      <c r="W1491" s="4">
        <v>12</v>
      </c>
      <c r="X1491" s="4">
        <v>21</v>
      </c>
      <c r="Y1491" s="4"/>
      <c r="Z1491" s="4">
        <v>109.8</v>
      </c>
      <c r="AA1491" s="4">
        <v>100</v>
      </c>
      <c r="AB1491" s="18"/>
      <c r="AC1491" s="18">
        <v>27</v>
      </c>
      <c r="AD1491" s="28"/>
      <c r="AE1491" s="26"/>
      <c r="AF1491" s="28"/>
    </row>
    <row r="1492" spans="1:32" ht="12.4" customHeight="1" x14ac:dyDescent="0.25">
      <c r="A1492" s="14">
        <v>45842</v>
      </c>
      <c r="B1492" s="14" t="s">
        <v>45</v>
      </c>
      <c r="C1492" s="15">
        <v>2</v>
      </c>
      <c r="D1492" s="16"/>
      <c r="E1492" s="16"/>
      <c r="F1492" s="17"/>
      <c r="G1492" s="21"/>
      <c r="H1492" s="21"/>
      <c r="I1492" s="4">
        <v>0</v>
      </c>
      <c r="J1492" s="4">
        <v>0</v>
      </c>
      <c r="K1492" s="4"/>
      <c r="L1492" s="16"/>
      <c r="M1492" s="4"/>
      <c r="N1492" s="4"/>
      <c r="O1492" s="4"/>
      <c r="P1492" s="4"/>
      <c r="Q1492" s="4"/>
      <c r="R1492" s="4"/>
      <c r="S1492" s="4">
        <v>0</v>
      </c>
      <c r="T1492" s="4">
        <v>0</v>
      </c>
      <c r="U1492" s="4">
        <v>0</v>
      </c>
      <c r="V1492" s="4">
        <v>12</v>
      </c>
      <c r="W1492" s="4">
        <v>12</v>
      </c>
      <c r="X1492" s="4">
        <v>0</v>
      </c>
      <c r="Y1492" s="4"/>
      <c r="Z1492" s="4">
        <v>107.82999999999998</v>
      </c>
      <c r="AA1492" s="4">
        <v>100</v>
      </c>
      <c r="AB1492" s="18"/>
      <c r="AC1492" s="18">
        <v>27</v>
      </c>
      <c r="AD1492" s="28"/>
      <c r="AE1492" s="26"/>
      <c r="AF1492" s="28"/>
    </row>
    <row r="1493" spans="1:32" ht="12.4" customHeight="1" x14ac:dyDescent="0.25">
      <c r="A1493" s="14">
        <v>45842</v>
      </c>
      <c r="B1493" s="14" t="s">
        <v>46</v>
      </c>
      <c r="C1493" s="15">
        <v>2</v>
      </c>
      <c r="D1493" s="16"/>
      <c r="E1493" s="16"/>
      <c r="F1493" s="17"/>
      <c r="G1493" s="21"/>
      <c r="H1493" s="21"/>
      <c r="I1493" s="4">
        <v>0</v>
      </c>
      <c r="J1493" s="4">
        <v>0</v>
      </c>
      <c r="K1493" s="4"/>
      <c r="L1493" s="16"/>
      <c r="M1493" s="4"/>
      <c r="N1493" s="4"/>
      <c r="O1493" s="4"/>
      <c r="P1493" s="4"/>
      <c r="Q1493" s="4"/>
      <c r="R1493" s="4"/>
      <c r="S1493" s="4">
        <v>0</v>
      </c>
      <c r="T1493" s="4">
        <v>0</v>
      </c>
      <c r="U1493" s="4">
        <v>0</v>
      </c>
      <c r="V1493" s="4">
        <v>12</v>
      </c>
      <c r="W1493" s="4">
        <v>12</v>
      </c>
      <c r="X1493" s="4">
        <v>0</v>
      </c>
      <c r="Y1493" s="4"/>
      <c r="Z1493" s="4">
        <v>70.3</v>
      </c>
      <c r="AA1493" s="4">
        <v>100</v>
      </c>
      <c r="AB1493" s="18"/>
      <c r="AC1493" s="18">
        <v>27</v>
      </c>
      <c r="AD1493" s="28"/>
      <c r="AE1493" s="26"/>
      <c r="AF1493" s="28"/>
    </row>
    <row r="1494" spans="1:32" ht="12.4" customHeight="1" x14ac:dyDescent="0.25">
      <c r="A1494" s="14">
        <v>45842</v>
      </c>
      <c r="B1494" s="14" t="s">
        <v>45</v>
      </c>
      <c r="C1494" s="15">
        <v>4</v>
      </c>
      <c r="D1494" s="16">
        <v>20</v>
      </c>
      <c r="E1494" s="16"/>
      <c r="F1494" s="17"/>
      <c r="G1494" s="21"/>
      <c r="H1494" s="21"/>
      <c r="I1494" s="4">
        <v>20</v>
      </c>
      <c r="J1494" s="4">
        <v>0.33333333333333331</v>
      </c>
      <c r="K1494" s="4"/>
      <c r="L1494" s="16"/>
      <c r="M1494" s="4"/>
      <c r="N1494" s="4"/>
      <c r="O1494" s="4"/>
      <c r="P1494" s="4"/>
      <c r="Q1494" s="4"/>
      <c r="R1494" s="4"/>
      <c r="S1494" s="4">
        <v>0</v>
      </c>
      <c r="T1494" s="4">
        <v>0</v>
      </c>
      <c r="U1494" s="4">
        <v>0.33333333333333331</v>
      </c>
      <c r="V1494" s="4">
        <v>11.666666666666666</v>
      </c>
      <c r="W1494" s="4">
        <v>12</v>
      </c>
      <c r="X1494" s="4">
        <v>0</v>
      </c>
      <c r="Y1494" s="4"/>
      <c r="Z1494" s="4">
        <v>580.1</v>
      </c>
      <c r="AA1494" s="4">
        <v>600</v>
      </c>
      <c r="AB1494" s="18"/>
      <c r="AC1494" s="18">
        <v>27</v>
      </c>
      <c r="AD1494" s="28"/>
      <c r="AE1494" s="26"/>
      <c r="AF1494" s="28"/>
    </row>
    <row r="1495" spans="1:32" ht="12.4" customHeight="1" x14ac:dyDescent="0.25">
      <c r="A1495" s="14">
        <v>45842</v>
      </c>
      <c r="B1495" s="14" t="s">
        <v>46</v>
      </c>
      <c r="C1495" s="15">
        <v>4</v>
      </c>
      <c r="D1495" s="16"/>
      <c r="E1495" s="16"/>
      <c r="F1495" s="17"/>
      <c r="G1495" s="21"/>
      <c r="H1495" s="21"/>
      <c r="I1495" s="4">
        <v>0</v>
      </c>
      <c r="J1495" s="4">
        <v>0</v>
      </c>
      <c r="K1495" s="4"/>
      <c r="L1495" s="16"/>
      <c r="M1495" s="4"/>
      <c r="N1495" s="4"/>
      <c r="O1495" s="4"/>
      <c r="P1495" s="4"/>
      <c r="Q1495" s="4"/>
      <c r="R1495" s="4"/>
      <c r="S1495" s="4">
        <v>0</v>
      </c>
      <c r="T1495" s="4">
        <v>0</v>
      </c>
      <c r="U1495" s="4">
        <v>0</v>
      </c>
      <c r="V1495" s="4">
        <v>12</v>
      </c>
      <c r="W1495" s="4">
        <v>12</v>
      </c>
      <c r="X1495" s="4">
        <v>0</v>
      </c>
      <c r="Y1495" s="4"/>
      <c r="Z1495" s="4">
        <v>449.74</v>
      </c>
      <c r="AA1495" s="4">
        <v>450</v>
      </c>
      <c r="AB1495" s="18"/>
      <c r="AC1495" s="18">
        <v>27</v>
      </c>
      <c r="AD1495" s="28"/>
      <c r="AE1495" s="26"/>
      <c r="AF1495" s="28"/>
    </row>
    <row r="1496" spans="1:32" ht="12.4" customHeight="1" x14ac:dyDescent="0.25">
      <c r="A1496" s="14">
        <v>45842</v>
      </c>
      <c r="B1496" s="14" t="s">
        <v>45</v>
      </c>
      <c r="C1496" s="15">
        <v>5</v>
      </c>
      <c r="D1496" s="16">
        <v>20</v>
      </c>
      <c r="E1496" s="16"/>
      <c r="F1496" s="17"/>
      <c r="G1496" s="21"/>
      <c r="H1496" s="21"/>
      <c r="I1496" s="4">
        <v>20</v>
      </c>
      <c r="J1496" s="4">
        <v>0.33333333333333331</v>
      </c>
      <c r="K1496" s="4"/>
      <c r="L1496" s="16"/>
      <c r="M1496" s="4"/>
      <c r="N1496" s="4"/>
      <c r="O1496" s="4"/>
      <c r="P1496" s="4"/>
      <c r="Q1496" s="4"/>
      <c r="R1496" s="4"/>
      <c r="S1496" s="4">
        <v>0</v>
      </c>
      <c r="T1496" s="4">
        <v>0</v>
      </c>
      <c r="U1496" s="4">
        <v>0.33333333333333331</v>
      </c>
      <c r="V1496" s="4">
        <v>11.666666666666666</v>
      </c>
      <c r="W1496" s="4">
        <v>12</v>
      </c>
      <c r="X1496" s="4">
        <v>0</v>
      </c>
      <c r="Y1496" s="4"/>
      <c r="Z1496" s="4">
        <v>342.2</v>
      </c>
      <c r="AA1496" s="4">
        <v>350</v>
      </c>
      <c r="AB1496" s="18"/>
      <c r="AC1496" s="18">
        <v>27</v>
      </c>
      <c r="AD1496" s="28"/>
      <c r="AE1496" s="26"/>
      <c r="AF1496" s="28"/>
    </row>
    <row r="1497" spans="1:32" ht="12.4" customHeight="1" x14ac:dyDescent="0.25">
      <c r="A1497" s="14">
        <v>45842</v>
      </c>
      <c r="B1497" s="14" t="s">
        <v>46</v>
      </c>
      <c r="C1497" s="15">
        <v>5</v>
      </c>
      <c r="D1497" s="16"/>
      <c r="E1497" s="16"/>
      <c r="F1497" s="17"/>
      <c r="G1497" s="21"/>
      <c r="H1497" s="21"/>
      <c r="I1497" s="4">
        <v>0</v>
      </c>
      <c r="J1497" s="4">
        <v>0</v>
      </c>
      <c r="K1497" s="4"/>
      <c r="L1497" s="16"/>
      <c r="M1497" s="4"/>
      <c r="N1497" s="4"/>
      <c r="O1497" s="4"/>
      <c r="P1497" s="4"/>
      <c r="Q1497" s="4"/>
      <c r="R1497" s="4"/>
      <c r="S1497" s="4">
        <v>0</v>
      </c>
      <c r="T1497" s="4">
        <v>0</v>
      </c>
      <c r="U1497" s="4">
        <v>0</v>
      </c>
      <c r="V1497" s="4">
        <v>12</v>
      </c>
      <c r="W1497" s="4">
        <v>12</v>
      </c>
      <c r="X1497" s="4">
        <v>0</v>
      </c>
      <c r="Y1497" s="4"/>
      <c r="Z1497" s="4">
        <v>341.3</v>
      </c>
      <c r="AA1497" s="4">
        <v>350</v>
      </c>
      <c r="AB1497" s="18"/>
      <c r="AC1497" s="18">
        <v>27</v>
      </c>
      <c r="AD1497" s="28"/>
      <c r="AE1497" s="26"/>
      <c r="AF1497" s="28"/>
    </row>
    <row r="1498" spans="1:32" ht="12.4" customHeight="1" x14ac:dyDescent="0.25">
      <c r="A1498" s="14">
        <v>45845</v>
      </c>
      <c r="B1498" s="14" t="s">
        <v>45</v>
      </c>
      <c r="C1498" s="15">
        <v>1</v>
      </c>
      <c r="D1498" s="16"/>
      <c r="E1498" s="16"/>
      <c r="F1498" s="17"/>
      <c r="G1498" s="21">
        <v>180</v>
      </c>
      <c r="H1498" s="21"/>
      <c r="I1498" s="4">
        <v>180</v>
      </c>
      <c r="J1498" s="4">
        <v>3</v>
      </c>
      <c r="K1498" s="4"/>
      <c r="L1498" s="16"/>
      <c r="M1498" s="4"/>
      <c r="N1498" s="4"/>
      <c r="O1498" s="4"/>
      <c r="P1498" s="4"/>
      <c r="Q1498" s="4"/>
      <c r="R1498" s="4"/>
      <c r="S1498" s="4">
        <v>0</v>
      </c>
      <c r="T1498" s="4">
        <v>0</v>
      </c>
      <c r="U1498" s="4">
        <v>3</v>
      </c>
      <c r="V1498" s="4">
        <v>9</v>
      </c>
      <c r="W1498" s="4">
        <v>12</v>
      </c>
      <c r="X1498" s="4">
        <v>29</v>
      </c>
      <c r="Y1498" s="4">
        <v>1416</v>
      </c>
      <c r="Z1498" s="4">
        <v>113.5</v>
      </c>
      <c r="AA1498" s="4">
        <v>150</v>
      </c>
      <c r="AB1498" s="18">
        <v>398</v>
      </c>
      <c r="AC1498" s="18">
        <v>28</v>
      </c>
      <c r="AD1498" s="28"/>
      <c r="AE1498" s="26"/>
      <c r="AF1498" s="28"/>
    </row>
    <row r="1499" spans="1:32" ht="12.4" customHeight="1" x14ac:dyDescent="0.25">
      <c r="A1499" s="14">
        <v>45845</v>
      </c>
      <c r="B1499" s="14" t="s">
        <v>46</v>
      </c>
      <c r="C1499" s="15">
        <v>1</v>
      </c>
      <c r="D1499" s="16"/>
      <c r="E1499" s="16"/>
      <c r="F1499" s="17"/>
      <c r="G1499" s="21"/>
      <c r="H1499" s="21"/>
      <c r="I1499" s="4">
        <v>0</v>
      </c>
      <c r="J1499" s="4">
        <v>0</v>
      </c>
      <c r="K1499" s="4"/>
      <c r="L1499" s="16"/>
      <c r="M1499" s="4"/>
      <c r="N1499" s="4"/>
      <c r="O1499" s="4"/>
      <c r="P1499" s="4"/>
      <c r="Q1499" s="4"/>
      <c r="R1499" s="4"/>
      <c r="S1499" s="4">
        <v>0</v>
      </c>
      <c r="T1499" s="4">
        <v>0</v>
      </c>
      <c r="U1499" s="4">
        <v>0</v>
      </c>
      <c r="V1499" s="4">
        <v>12</v>
      </c>
      <c r="W1499" s="4">
        <v>12</v>
      </c>
      <c r="X1499" s="4">
        <v>22</v>
      </c>
      <c r="Y1499" s="4"/>
      <c r="Z1499" s="4">
        <v>159.51999999999998</v>
      </c>
      <c r="AA1499" s="4">
        <v>150</v>
      </c>
      <c r="AB1499" s="18"/>
      <c r="AC1499" s="18">
        <v>28</v>
      </c>
      <c r="AD1499" s="28"/>
      <c r="AE1499" s="26"/>
      <c r="AF1499" s="28"/>
    </row>
    <row r="1500" spans="1:32" ht="12.4" customHeight="1" x14ac:dyDescent="0.25">
      <c r="A1500" s="14">
        <v>45845</v>
      </c>
      <c r="B1500" s="14" t="s">
        <v>45</v>
      </c>
      <c r="C1500" s="15">
        <v>2</v>
      </c>
      <c r="D1500" s="16"/>
      <c r="E1500" s="16"/>
      <c r="F1500" s="17"/>
      <c r="G1500" s="21">
        <v>300</v>
      </c>
      <c r="H1500" s="21"/>
      <c r="I1500" s="4">
        <v>300</v>
      </c>
      <c r="J1500" s="4">
        <v>5</v>
      </c>
      <c r="K1500" s="4"/>
      <c r="L1500" s="16"/>
      <c r="M1500" s="4"/>
      <c r="N1500" s="4"/>
      <c r="O1500" s="4"/>
      <c r="P1500" s="4"/>
      <c r="Q1500" s="4"/>
      <c r="R1500" s="4"/>
      <c r="S1500" s="4">
        <v>0</v>
      </c>
      <c r="T1500" s="4">
        <v>0</v>
      </c>
      <c r="U1500" s="4">
        <v>5</v>
      </c>
      <c r="V1500" s="4">
        <v>7</v>
      </c>
      <c r="W1500" s="4">
        <v>12</v>
      </c>
      <c r="X1500" s="4">
        <v>0</v>
      </c>
      <c r="Y1500" s="4"/>
      <c r="Z1500" s="4">
        <v>79.300000000000011</v>
      </c>
      <c r="AA1500" s="4">
        <v>150</v>
      </c>
      <c r="AB1500" s="18"/>
      <c r="AC1500" s="18">
        <v>28</v>
      </c>
      <c r="AD1500" s="28"/>
      <c r="AE1500" s="26"/>
      <c r="AF1500" s="28"/>
    </row>
    <row r="1501" spans="1:32" ht="12.4" customHeight="1" x14ac:dyDescent="0.25">
      <c r="A1501" s="14">
        <v>45845</v>
      </c>
      <c r="B1501" s="14" t="s">
        <v>46</v>
      </c>
      <c r="C1501" s="15">
        <v>2</v>
      </c>
      <c r="D1501" s="16"/>
      <c r="E1501" s="16"/>
      <c r="F1501" s="17"/>
      <c r="G1501" s="21"/>
      <c r="H1501" s="21"/>
      <c r="I1501" s="4">
        <v>0</v>
      </c>
      <c r="J1501" s="4">
        <v>0</v>
      </c>
      <c r="K1501" s="4"/>
      <c r="L1501" s="16"/>
      <c r="M1501" s="4"/>
      <c r="N1501" s="4"/>
      <c r="O1501" s="4"/>
      <c r="P1501" s="4"/>
      <c r="Q1501" s="4"/>
      <c r="R1501" s="4"/>
      <c r="S1501" s="4">
        <v>0</v>
      </c>
      <c r="T1501" s="4">
        <v>0</v>
      </c>
      <c r="U1501" s="4">
        <v>0</v>
      </c>
      <c r="V1501" s="4">
        <v>12</v>
      </c>
      <c r="W1501" s="4">
        <v>12</v>
      </c>
      <c r="X1501" s="4">
        <v>0</v>
      </c>
      <c r="Y1501" s="4"/>
      <c r="Z1501" s="4">
        <v>105.71000000000001</v>
      </c>
      <c r="AA1501" s="4">
        <v>100</v>
      </c>
      <c r="AB1501" s="18"/>
      <c r="AC1501" s="18">
        <v>28</v>
      </c>
      <c r="AD1501" s="28"/>
      <c r="AE1501" s="26"/>
      <c r="AF1501" s="28"/>
    </row>
    <row r="1502" spans="1:32" ht="12.4" customHeight="1" x14ac:dyDescent="0.25">
      <c r="A1502" s="14">
        <v>45845</v>
      </c>
      <c r="B1502" s="14" t="s">
        <v>45</v>
      </c>
      <c r="C1502" s="15">
        <v>4</v>
      </c>
      <c r="D1502" s="16"/>
      <c r="E1502" s="16"/>
      <c r="F1502" s="17"/>
      <c r="G1502" s="21">
        <v>330</v>
      </c>
      <c r="H1502" s="21"/>
      <c r="I1502" s="4">
        <v>330</v>
      </c>
      <c r="J1502" s="4">
        <v>5.5</v>
      </c>
      <c r="K1502" s="4"/>
      <c r="L1502" s="16"/>
      <c r="M1502" s="4"/>
      <c r="N1502" s="4"/>
      <c r="O1502" s="4"/>
      <c r="P1502" s="4"/>
      <c r="Q1502" s="4"/>
      <c r="R1502" s="4"/>
      <c r="S1502" s="4">
        <v>0</v>
      </c>
      <c r="T1502" s="4">
        <v>0</v>
      </c>
      <c r="U1502" s="4">
        <v>5.5</v>
      </c>
      <c r="V1502" s="4">
        <v>6.5</v>
      </c>
      <c r="W1502" s="4">
        <v>12</v>
      </c>
      <c r="X1502" s="4">
        <v>0</v>
      </c>
      <c r="Y1502" s="4"/>
      <c r="Z1502" s="4">
        <v>372.30000000000007</v>
      </c>
      <c r="AA1502" s="4">
        <v>450</v>
      </c>
      <c r="AB1502" s="18"/>
      <c r="AC1502" s="18">
        <v>28</v>
      </c>
      <c r="AD1502" s="28"/>
      <c r="AE1502" s="26"/>
      <c r="AF1502" s="28"/>
    </row>
    <row r="1503" spans="1:32" ht="12.4" customHeight="1" x14ac:dyDescent="0.25">
      <c r="A1503" s="14">
        <v>45845</v>
      </c>
      <c r="B1503" s="14" t="s">
        <v>46</v>
      </c>
      <c r="C1503" s="15">
        <v>4</v>
      </c>
      <c r="D1503" s="16"/>
      <c r="E1503" s="16"/>
      <c r="F1503" s="17"/>
      <c r="G1503" s="21"/>
      <c r="H1503" s="21"/>
      <c r="I1503" s="4">
        <v>0</v>
      </c>
      <c r="J1503" s="4">
        <v>0</v>
      </c>
      <c r="K1503" s="4"/>
      <c r="L1503" s="16"/>
      <c r="M1503" s="4"/>
      <c r="N1503" s="4"/>
      <c r="O1503" s="4"/>
      <c r="P1503" s="4"/>
      <c r="Q1503" s="4"/>
      <c r="R1503" s="4"/>
      <c r="S1503" s="4">
        <v>0</v>
      </c>
      <c r="T1503" s="4">
        <v>0</v>
      </c>
      <c r="U1503" s="4">
        <v>0</v>
      </c>
      <c r="V1503" s="4">
        <v>12</v>
      </c>
      <c r="W1503" s="4">
        <v>12</v>
      </c>
      <c r="X1503" s="4">
        <v>0</v>
      </c>
      <c r="Y1503" s="4"/>
      <c r="Z1503" s="4">
        <v>523.94000000000005</v>
      </c>
      <c r="AA1503" s="4">
        <v>550</v>
      </c>
      <c r="AB1503" s="18"/>
      <c r="AC1503" s="18">
        <v>28</v>
      </c>
      <c r="AD1503" s="28"/>
      <c r="AE1503" s="26"/>
      <c r="AF1503" s="28"/>
    </row>
    <row r="1504" spans="1:32" ht="12.4" customHeight="1" x14ac:dyDescent="0.25">
      <c r="A1504" s="14">
        <v>45845</v>
      </c>
      <c r="B1504" s="14" t="s">
        <v>45</v>
      </c>
      <c r="C1504" s="15">
        <v>5</v>
      </c>
      <c r="D1504" s="16"/>
      <c r="E1504" s="16"/>
      <c r="F1504" s="17"/>
      <c r="G1504" s="21">
        <v>240</v>
      </c>
      <c r="H1504" s="21"/>
      <c r="I1504" s="4">
        <v>240</v>
      </c>
      <c r="J1504" s="4">
        <v>4</v>
      </c>
      <c r="K1504" s="4"/>
      <c r="L1504" s="16"/>
      <c r="M1504" s="4"/>
      <c r="N1504" s="4"/>
      <c r="O1504" s="4"/>
      <c r="P1504" s="4"/>
      <c r="Q1504" s="4"/>
      <c r="R1504" s="4"/>
      <c r="S1504" s="4">
        <v>0</v>
      </c>
      <c r="T1504" s="4">
        <v>0</v>
      </c>
      <c r="U1504" s="4">
        <v>4</v>
      </c>
      <c r="V1504" s="4">
        <v>8</v>
      </c>
      <c r="W1504" s="4">
        <v>12</v>
      </c>
      <c r="X1504" s="4">
        <v>0</v>
      </c>
      <c r="Y1504" s="4"/>
      <c r="Z1504" s="4">
        <v>305.10000000000008</v>
      </c>
      <c r="AA1504" s="4">
        <v>350</v>
      </c>
      <c r="AB1504" s="18"/>
      <c r="AC1504" s="18">
        <v>28</v>
      </c>
      <c r="AD1504" s="28"/>
      <c r="AE1504" s="26"/>
      <c r="AF1504" s="28"/>
    </row>
    <row r="1505" spans="1:32" ht="12.4" customHeight="1" x14ac:dyDescent="0.25">
      <c r="A1505" s="14">
        <v>45845</v>
      </c>
      <c r="B1505" s="14" t="s">
        <v>46</v>
      </c>
      <c r="C1505" s="15">
        <v>5</v>
      </c>
      <c r="D1505" s="16">
        <v>20</v>
      </c>
      <c r="E1505" s="16"/>
      <c r="F1505" s="17"/>
      <c r="G1505" s="21"/>
      <c r="H1505" s="21"/>
      <c r="I1505" s="4">
        <v>20</v>
      </c>
      <c r="J1505" s="4">
        <v>0.33333333333333331</v>
      </c>
      <c r="K1505" s="4"/>
      <c r="L1505" s="16"/>
      <c r="M1505" s="4"/>
      <c r="N1505" s="4"/>
      <c r="O1505" s="4"/>
      <c r="P1505" s="4"/>
      <c r="Q1505" s="4"/>
      <c r="R1505" s="4"/>
      <c r="S1505" s="4">
        <v>0</v>
      </c>
      <c r="T1505" s="4">
        <v>0</v>
      </c>
      <c r="U1505" s="4">
        <v>0.33333333333333331</v>
      </c>
      <c r="V1505" s="4">
        <v>11.666666666666666</v>
      </c>
      <c r="W1505" s="4">
        <v>12</v>
      </c>
      <c r="X1505" s="4">
        <v>0</v>
      </c>
      <c r="Y1505" s="4"/>
      <c r="Z1505" s="4">
        <v>393.23000000000008</v>
      </c>
      <c r="AA1505" s="4">
        <v>400</v>
      </c>
      <c r="AB1505" s="18"/>
      <c r="AC1505" s="18">
        <v>28</v>
      </c>
      <c r="AD1505" s="28"/>
      <c r="AE1505" s="26"/>
      <c r="AF1505" s="28"/>
    </row>
    <row r="1506" spans="1:32" ht="12.4" customHeight="1" x14ac:dyDescent="0.25">
      <c r="A1506" s="14">
        <v>45846</v>
      </c>
      <c r="B1506" s="14" t="s">
        <v>45</v>
      </c>
      <c r="C1506" s="15">
        <v>1</v>
      </c>
      <c r="D1506" s="16">
        <v>20</v>
      </c>
      <c r="E1506" s="16"/>
      <c r="F1506" s="17"/>
      <c r="G1506" s="21"/>
      <c r="H1506" s="21"/>
      <c r="I1506" s="4">
        <v>20</v>
      </c>
      <c r="J1506" s="4">
        <v>0.33333333333333331</v>
      </c>
      <c r="K1506" s="4"/>
      <c r="L1506" s="16"/>
      <c r="M1506" s="4"/>
      <c r="N1506" s="4"/>
      <c r="O1506" s="4"/>
      <c r="P1506" s="4"/>
      <c r="Q1506" s="4"/>
      <c r="R1506" s="4"/>
      <c r="S1506" s="4">
        <v>0</v>
      </c>
      <c r="T1506" s="4">
        <v>0</v>
      </c>
      <c r="U1506" s="4">
        <v>0.33333333333333331</v>
      </c>
      <c r="V1506" s="4">
        <v>11.666666666666666</v>
      </c>
      <c r="W1506" s="4">
        <v>12</v>
      </c>
      <c r="X1506" s="4">
        <v>31.6</v>
      </c>
      <c r="Y1506" s="4">
        <v>1594.5</v>
      </c>
      <c r="Z1506" s="4">
        <v>200.25</v>
      </c>
      <c r="AA1506" s="4">
        <v>200</v>
      </c>
      <c r="AB1506" s="18">
        <v>398</v>
      </c>
      <c r="AC1506" s="18">
        <v>28</v>
      </c>
      <c r="AD1506" s="28"/>
      <c r="AE1506" s="26"/>
      <c r="AF1506" s="28"/>
    </row>
    <row r="1507" spans="1:32" ht="12.4" customHeight="1" x14ac:dyDescent="0.25">
      <c r="A1507" s="14">
        <v>45846</v>
      </c>
      <c r="B1507" s="14" t="s">
        <v>46</v>
      </c>
      <c r="C1507" s="15">
        <v>1</v>
      </c>
      <c r="D1507" s="16"/>
      <c r="E1507" s="16"/>
      <c r="F1507" s="17"/>
      <c r="G1507" s="21"/>
      <c r="H1507" s="21"/>
      <c r="I1507" s="4">
        <v>0</v>
      </c>
      <c r="J1507" s="4">
        <v>0</v>
      </c>
      <c r="K1507" s="4"/>
      <c r="L1507" s="16"/>
      <c r="M1507" s="4"/>
      <c r="N1507" s="4"/>
      <c r="O1507" s="4"/>
      <c r="P1507" s="4"/>
      <c r="Q1507" s="4"/>
      <c r="R1507" s="4"/>
      <c r="S1507" s="4">
        <v>0</v>
      </c>
      <c r="T1507" s="4">
        <v>0</v>
      </c>
      <c r="U1507" s="4">
        <v>0</v>
      </c>
      <c r="V1507" s="4">
        <v>12</v>
      </c>
      <c r="W1507" s="4">
        <v>12</v>
      </c>
      <c r="X1507" s="4">
        <v>0</v>
      </c>
      <c r="Y1507" s="4"/>
      <c r="Z1507" s="4">
        <v>159.69</v>
      </c>
      <c r="AA1507" s="4">
        <v>150</v>
      </c>
      <c r="AB1507" s="18"/>
      <c r="AC1507" s="18">
        <v>28</v>
      </c>
      <c r="AD1507" s="28"/>
      <c r="AE1507" s="26"/>
      <c r="AF1507" s="28"/>
    </row>
    <row r="1508" spans="1:32" ht="12.4" customHeight="1" x14ac:dyDescent="0.25">
      <c r="A1508" s="14">
        <v>45846</v>
      </c>
      <c r="B1508" s="14" t="s">
        <v>45</v>
      </c>
      <c r="C1508" s="15">
        <v>2</v>
      </c>
      <c r="D1508" s="16">
        <v>20</v>
      </c>
      <c r="E1508" s="16"/>
      <c r="F1508" s="17"/>
      <c r="G1508" s="21"/>
      <c r="H1508" s="21"/>
      <c r="I1508" s="4">
        <v>20</v>
      </c>
      <c r="J1508" s="4">
        <v>0.33333333333333331</v>
      </c>
      <c r="K1508" s="4"/>
      <c r="L1508" s="16"/>
      <c r="M1508" s="4"/>
      <c r="N1508" s="4"/>
      <c r="O1508" s="4"/>
      <c r="P1508" s="4"/>
      <c r="Q1508" s="4"/>
      <c r="R1508" s="4"/>
      <c r="S1508" s="4">
        <v>0</v>
      </c>
      <c r="T1508" s="4">
        <v>0</v>
      </c>
      <c r="U1508" s="4">
        <v>0.33333333333333331</v>
      </c>
      <c r="V1508" s="4">
        <v>11.666666666666666</v>
      </c>
      <c r="W1508" s="4">
        <v>12</v>
      </c>
      <c r="X1508" s="4">
        <v>0</v>
      </c>
      <c r="Y1508" s="4"/>
      <c r="Z1508" s="4">
        <v>126.4</v>
      </c>
      <c r="AA1508" s="4">
        <v>100</v>
      </c>
      <c r="AB1508" s="18"/>
      <c r="AC1508" s="18">
        <v>28</v>
      </c>
      <c r="AD1508" s="28"/>
      <c r="AE1508" s="26"/>
      <c r="AF1508" s="28"/>
    </row>
    <row r="1509" spans="1:32" ht="12.4" customHeight="1" x14ac:dyDescent="0.25">
      <c r="A1509" s="14">
        <v>45846</v>
      </c>
      <c r="B1509" s="14" t="s">
        <v>46</v>
      </c>
      <c r="C1509" s="15">
        <v>2</v>
      </c>
      <c r="D1509" s="16"/>
      <c r="E1509" s="16"/>
      <c r="F1509" s="17"/>
      <c r="G1509" s="21"/>
      <c r="H1509" s="21"/>
      <c r="I1509" s="4">
        <v>0</v>
      </c>
      <c r="J1509" s="4">
        <v>0</v>
      </c>
      <c r="K1509" s="4"/>
      <c r="L1509" s="16"/>
      <c r="M1509" s="4"/>
      <c r="N1509" s="4"/>
      <c r="O1509" s="4"/>
      <c r="P1509" s="4"/>
      <c r="Q1509" s="4"/>
      <c r="R1509" s="4"/>
      <c r="S1509" s="4">
        <v>0</v>
      </c>
      <c r="T1509" s="4">
        <v>0</v>
      </c>
      <c r="U1509" s="4">
        <v>0</v>
      </c>
      <c r="V1509" s="4">
        <v>12</v>
      </c>
      <c r="W1509" s="4">
        <v>12</v>
      </c>
      <c r="X1509" s="4">
        <v>0</v>
      </c>
      <c r="Y1509" s="4"/>
      <c r="Z1509" s="4">
        <v>160.06</v>
      </c>
      <c r="AA1509" s="4">
        <v>150</v>
      </c>
      <c r="AB1509" s="18"/>
      <c r="AC1509" s="18">
        <v>28</v>
      </c>
      <c r="AD1509" s="28"/>
      <c r="AE1509" s="26"/>
      <c r="AF1509" s="28"/>
    </row>
    <row r="1510" spans="1:32" ht="12.4" customHeight="1" x14ac:dyDescent="0.25">
      <c r="A1510" s="14">
        <v>45846</v>
      </c>
      <c r="B1510" s="14" t="s">
        <v>45</v>
      </c>
      <c r="C1510" s="15">
        <v>4</v>
      </c>
      <c r="D1510" s="16"/>
      <c r="E1510" s="16"/>
      <c r="F1510" s="17"/>
      <c r="G1510" s="21"/>
      <c r="H1510" s="21"/>
      <c r="I1510" s="4">
        <v>0</v>
      </c>
      <c r="J1510" s="4">
        <v>0</v>
      </c>
      <c r="K1510" s="4"/>
      <c r="L1510" s="16"/>
      <c r="M1510" s="4"/>
      <c r="N1510" s="4"/>
      <c r="O1510" s="4"/>
      <c r="P1510" s="4"/>
      <c r="Q1510" s="4"/>
      <c r="R1510" s="4"/>
      <c r="S1510" s="4">
        <v>0</v>
      </c>
      <c r="T1510" s="4">
        <v>0</v>
      </c>
      <c r="U1510" s="4">
        <v>0</v>
      </c>
      <c r="V1510" s="4">
        <v>12</v>
      </c>
      <c r="W1510" s="4">
        <v>12</v>
      </c>
      <c r="X1510" s="4">
        <v>0</v>
      </c>
      <c r="Y1510" s="4"/>
      <c r="Z1510" s="4">
        <v>722.06000000000017</v>
      </c>
      <c r="AA1510" s="4">
        <v>750</v>
      </c>
      <c r="AB1510" s="18"/>
      <c r="AC1510" s="18">
        <v>28</v>
      </c>
      <c r="AD1510" s="28"/>
      <c r="AE1510" s="26"/>
      <c r="AF1510" s="28"/>
    </row>
    <row r="1511" spans="1:32" ht="12.4" customHeight="1" x14ac:dyDescent="0.25">
      <c r="A1511" s="14">
        <v>45846</v>
      </c>
      <c r="B1511" s="14" t="s">
        <v>46</v>
      </c>
      <c r="C1511" s="15">
        <v>4</v>
      </c>
      <c r="D1511" s="16">
        <v>20</v>
      </c>
      <c r="E1511" s="16"/>
      <c r="F1511" s="17"/>
      <c r="G1511" s="21"/>
      <c r="H1511" s="21"/>
      <c r="I1511" s="4">
        <v>20</v>
      </c>
      <c r="J1511" s="4">
        <v>0.33333333333333331</v>
      </c>
      <c r="K1511" s="4"/>
      <c r="L1511" s="16"/>
      <c r="M1511" s="4"/>
      <c r="N1511" s="4"/>
      <c r="O1511" s="4"/>
      <c r="P1511" s="4"/>
      <c r="Q1511" s="4"/>
      <c r="R1511" s="4"/>
      <c r="S1511" s="4">
        <v>0</v>
      </c>
      <c r="T1511" s="4">
        <v>0</v>
      </c>
      <c r="U1511" s="4">
        <v>0.33333333333333331</v>
      </c>
      <c r="V1511" s="4">
        <v>11.666666666666666</v>
      </c>
      <c r="W1511" s="4">
        <v>12</v>
      </c>
      <c r="X1511" s="4">
        <v>0</v>
      </c>
      <c r="Y1511" s="4"/>
      <c r="Z1511" s="4">
        <v>367</v>
      </c>
      <c r="AA1511" s="4">
        <v>400</v>
      </c>
      <c r="AB1511" s="18"/>
      <c r="AC1511" s="18">
        <v>28</v>
      </c>
      <c r="AD1511" s="28"/>
      <c r="AE1511" s="26"/>
      <c r="AF1511" s="28"/>
    </row>
    <row r="1512" spans="1:32" ht="12.4" customHeight="1" x14ac:dyDescent="0.25">
      <c r="A1512" s="14">
        <v>45846</v>
      </c>
      <c r="B1512" s="14" t="s">
        <v>45</v>
      </c>
      <c r="C1512" s="15">
        <v>5</v>
      </c>
      <c r="D1512" s="16">
        <v>20</v>
      </c>
      <c r="E1512" s="16"/>
      <c r="F1512" s="17"/>
      <c r="G1512" s="21"/>
      <c r="H1512" s="21"/>
      <c r="I1512" s="4">
        <v>20</v>
      </c>
      <c r="J1512" s="4">
        <v>0.33333333333333331</v>
      </c>
      <c r="K1512" s="4"/>
      <c r="L1512" s="16"/>
      <c r="M1512" s="4"/>
      <c r="N1512" s="4"/>
      <c r="O1512" s="4"/>
      <c r="P1512" s="4"/>
      <c r="Q1512" s="4"/>
      <c r="R1512" s="4"/>
      <c r="S1512" s="4">
        <v>0</v>
      </c>
      <c r="T1512" s="4">
        <v>0</v>
      </c>
      <c r="U1512" s="4">
        <v>0.33333333333333331</v>
      </c>
      <c r="V1512" s="4">
        <v>11.666666666666666</v>
      </c>
      <c r="W1512" s="4">
        <v>12</v>
      </c>
      <c r="X1512" s="4">
        <v>0</v>
      </c>
      <c r="Y1512" s="4"/>
      <c r="Z1512" s="4">
        <v>433.95000000000005</v>
      </c>
      <c r="AA1512" s="4">
        <v>450</v>
      </c>
      <c r="AB1512" s="18"/>
      <c r="AC1512" s="18">
        <v>28</v>
      </c>
      <c r="AD1512" s="28"/>
      <c r="AE1512" s="26"/>
      <c r="AF1512" s="28"/>
    </row>
    <row r="1513" spans="1:32" ht="12.4" customHeight="1" x14ac:dyDescent="0.25">
      <c r="A1513" s="14">
        <v>45846</v>
      </c>
      <c r="B1513" s="14" t="s">
        <v>46</v>
      </c>
      <c r="C1513" s="15">
        <v>5</v>
      </c>
      <c r="D1513" s="16">
        <v>20</v>
      </c>
      <c r="E1513" s="16"/>
      <c r="F1513" s="17"/>
      <c r="G1513" s="21"/>
      <c r="H1513" s="21"/>
      <c r="I1513" s="4">
        <v>20</v>
      </c>
      <c r="J1513" s="4">
        <v>0.33333333333333331</v>
      </c>
      <c r="K1513" s="4"/>
      <c r="L1513" s="16"/>
      <c r="M1513" s="4"/>
      <c r="N1513" s="4"/>
      <c r="O1513" s="4"/>
      <c r="P1513" s="4"/>
      <c r="Q1513" s="4"/>
      <c r="R1513" s="4"/>
      <c r="S1513" s="4">
        <v>0</v>
      </c>
      <c r="T1513" s="4">
        <v>0</v>
      </c>
      <c r="U1513" s="4">
        <v>0.33333333333333331</v>
      </c>
      <c r="V1513" s="4">
        <v>11.666666666666666</v>
      </c>
      <c r="W1513" s="4">
        <v>12</v>
      </c>
      <c r="X1513" s="4">
        <v>0</v>
      </c>
      <c r="Y1513" s="4"/>
      <c r="Z1513" s="4">
        <v>398.61999999999995</v>
      </c>
      <c r="AA1513" s="4">
        <v>400</v>
      </c>
      <c r="AB1513" s="18"/>
      <c r="AC1513" s="18">
        <v>28</v>
      </c>
      <c r="AD1513" s="28"/>
      <c r="AE1513" s="26"/>
      <c r="AF1513" s="28"/>
    </row>
    <row r="1514" spans="1:32" ht="12.4" customHeight="1" x14ac:dyDescent="0.25">
      <c r="A1514" s="14">
        <v>45847</v>
      </c>
      <c r="B1514" s="14" t="s">
        <v>45</v>
      </c>
      <c r="C1514" s="15">
        <v>1</v>
      </c>
      <c r="D1514" s="16"/>
      <c r="E1514" s="16"/>
      <c r="F1514" s="17"/>
      <c r="G1514" s="21"/>
      <c r="H1514" s="21"/>
      <c r="I1514" s="4">
        <v>0</v>
      </c>
      <c r="J1514" s="4">
        <v>0</v>
      </c>
      <c r="K1514" s="4"/>
      <c r="L1514" s="16"/>
      <c r="M1514" s="4"/>
      <c r="N1514" s="4"/>
      <c r="O1514" s="4"/>
      <c r="P1514" s="4"/>
      <c r="Q1514" s="4"/>
      <c r="R1514" s="4"/>
      <c r="S1514" s="4">
        <v>0</v>
      </c>
      <c r="T1514" s="4">
        <v>0</v>
      </c>
      <c r="U1514" s="4">
        <v>0</v>
      </c>
      <c r="V1514" s="4">
        <v>12</v>
      </c>
      <c r="W1514" s="4">
        <v>12</v>
      </c>
      <c r="X1514" s="4">
        <v>21</v>
      </c>
      <c r="Y1514" s="4">
        <v>1528</v>
      </c>
      <c r="Z1514" s="4">
        <v>159.19999999999999</v>
      </c>
      <c r="AA1514" s="4">
        <v>150</v>
      </c>
      <c r="AB1514" s="18">
        <v>398</v>
      </c>
      <c r="AC1514" s="18">
        <v>28</v>
      </c>
      <c r="AD1514" s="28"/>
      <c r="AE1514" s="26"/>
      <c r="AF1514" s="28"/>
    </row>
    <row r="1515" spans="1:32" ht="12.4" customHeight="1" x14ac:dyDescent="0.25">
      <c r="A1515" s="14">
        <v>45847</v>
      </c>
      <c r="B1515" s="14" t="s">
        <v>46</v>
      </c>
      <c r="C1515" s="15">
        <v>1</v>
      </c>
      <c r="D1515" s="16"/>
      <c r="E1515" s="16"/>
      <c r="F1515" s="17"/>
      <c r="G1515" s="21"/>
      <c r="H1515" s="21"/>
      <c r="I1515" s="4">
        <v>0</v>
      </c>
      <c r="J1515" s="4">
        <v>0</v>
      </c>
      <c r="K1515" s="4"/>
      <c r="L1515" s="16"/>
      <c r="M1515" s="4"/>
      <c r="N1515" s="4"/>
      <c r="O1515" s="4"/>
      <c r="P1515" s="4"/>
      <c r="Q1515" s="4"/>
      <c r="R1515" s="4"/>
      <c r="S1515" s="4">
        <v>0</v>
      </c>
      <c r="T1515" s="4">
        <v>0</v>
      </c>
      <c r="U1515" s="4">
        <v>0</v>
      </c>
      <c r="V1515" s="4">
        <v>12</v>
      </c>
      <c r="W1515" s="4">
        <v>12</v>
      </c>
      <c r="X1515" s="4">
        <v>25</v>
      </c>
      <c r="Y1515" s="4"/>
      <c r="Z1515" s="4">
        <v>158.77000000000001</v>
      </c>
      <c r="AA1515" s="4">
        <v>150</v>
      </c>
      <c r="AB1515" s="18"/>
      <c r="AC1515" s="18">
        <v>28</v>
      </c>
      <c r="AD1515" s="28"/>
      <c r="AE1515" s="26"/>
      <c r="AF1515" s="28"/>
    </row>
    <row r="1516" spans="1:32" ht="12.4" customHeight="1" x14ac:dyDescent="0.25">
      <c r="A1516" s="14">
        <v>45847</v>
      </c>
      <c r="B1516" s="14" t="s">
        <v>45</v>
      </c>
      <c r="C1516" s="15">
        <v>2</v>
      </c>
      <c r="D1516" s="16">
        <v>20</v>
      </c>
      <c r="E1516" s="16"/>
      <c r="F1516" s="17"/>
      <c r="G1516" s="21"/>
      <c r="H1516" s="21"/>
      <c r="I1516" s="4">
        <v>20</v>
      </c>
      <c r="J1516" s="4">
        <v>0.33333333333333331</v>
      </c>
      <c r="K1516" s="4"/>
      <c r="L1516" s="16"/>
      <c r="M1516" s="4"/>
      <c r="N1516" s="4"/>
      <c r="O1516" s="4"/>
      <c r="P1516" s="4"/>
      <c r="Q1516" s="4"/>
      <c r="R1516" s="4"/>
      <c r="S1516" s="4">
        <v>0</v>
      </c>
      <c r="T1516" s="4">
        <v>0</v>
      </c>
      <c r="U1516" s="4">
        <v>0.33333333333333331</v>
      </c>
      <c r="V1516" s="4">
        <v>11.666666666666666</v>
      </c>
      <c r="W1516" s="4">
        <v>12</v>
      </c>
      <c r="X1516" s="4">
        <v>0</v>
      </c>
      <c r="Y1516" s="4"/>
      <c r="Z1516" s="4">
        <v>112.2</v>
      </c>
      <c r="AA1516" s="4">
        <v>100</v>
      </c>
      <c r="AB1516" s="18"/>
      <c r="AC1516" s="18">
        <v>28</v>
      </c>
      <c r="AD1516" s="28"/>
      <c r="AE1516" s="26"/>
      <c r="AF1516" s="28"/>
    </row>
    <row r="1517" spans="1:32" ht="12.4" customHeight="1" x14ac:dyDescent="0.25">
      <c r="A1517" s="14">
        <v>45847</v>
      </c>
      <c r="B1517" s="14" t="s">
        <v>46</v>
      </c>
      <c r="C1517" s="15">
        <v>2</v>
      </c>
      <c r="D1517" s="16"/>
      <c r="E1517" s="16"/>
      <c r="F1517" s="17"/>
      <c r="G1517" s="21"/>
      <c r="H1517" s="21"/>
      <c r="I1517" s="4">
        <v>0</v>
      </c>
      <c r="J1517" s="4">
        <v>0</v>
      </c>
      <c r="K1517" s="4"/>
      <c r="L1517" s="16"/>
      <c r="M1517" s="4"/>
      <c r="N1517" s="4"/>
      <c r="O1517" s="4"/>
      <c r="P1517" s="4"/>
      <c r="Q1517" s="4"/>
      <c r="R1517" s="4"/>
      <c r="S1517" s="4">
        <v>0</v>
      </c>
      <c r="T1517" s="4">
        <v>0</v>
      </c>
      <c r="U1517" s="4">
        <v>0</v>
      </c>
      <c r="V1517" s="4">
        <v>12</v>
      </c>
      <c r="W1517" s="4">
        <v>12</v>
      </c>
      <c r="X1517" s="4">
        <v>0</v>
      </c>
      <c r="Y1517" s="4"/>
      <c r="Z1517" s="4">
        <v>67</v>
      </c>
      <c r="AA1517" s="4">
        <v>100</v>
      </c>
      <c r="AB1517" s="18"/>
      <c r="AC1517" s="18">
        <v>28</v>
      </c>
      <c r="AD1517" s="28"/>
      <c r="AE1517" s="26"/>
      <c r="AF1517" s="28"/>
    </row>
    <row r="1518" spans="1:32" ht="12.4" customHeight="1" x14ac:dyDescent="0.25">
      <c r="A1518" s="14">
        <v>45847</v>
      </c>
      <c r="B1518" s="14" t="s">
        <v>45</v>
      </c>
      <c r="C1518" s="15">
        <v>4</v>
      </c>
      <c r="D1518" s="16"/>
      <c r="E1518" s="16"/>
      <c r="F1518" s="17"/>
      <c r="G1518" s="21"/>
      <c r="H1518" s="21"/>
      <c r="I1518" s="4">
        <v>0</v>
      </c>
      <c r="J1518" s="4">
        <v>0</v>
      </c>
      <c r="K1518" s="4"/>
      <c r="L1518" s="16"/>
      <c r="M1518" s="4"/>
      <c r="N1518" s="4"/>
      <c r="O1518" s="4"/>
      <c r="P1518" s="4"/>
      <c r="Q1518" s="4"/>
      <c r="R1518" s="4"/>
      <c r="S1518" s="4">
        <v>0</v>
      </c>
      <c r="T1518" s="4">
        <v>0</v>
      </c>
      <c r="U1518" s="4">
        <v>0</v>
      </c>
      <c r="V1518" s="4">
        <v>12</v>
      </c>
      <c r="W1518" s="4">
        <v>12</v>
      </c>
      <c r="X1518" s="4">
        <v>0</v>
      </c>
      <c r="Y1518" s="4"/>
      <c r="Z1518" s="4">
        <v>446.20000000000005</v>
      </c>
      <c r="AA1518" s="4">
        <v>450</v>
      </c>
      <c r="AB1518" s="18"/>
      <c r="AC1518" s="18">
        <v>28</v>
      </c>
      <c r="AD1518" s="28"/>
      <c r="AE1518" s="26"/>
      <c r="AF1518" s="28"/>
    </row>
    <row r="1519" spans="1:32" ht="12.4" customHeight="1" x14ac:dyDescent="0.25">
      <c r="A1519" s="14">
        <v>45847</v>
      </c>
      <c r="B1519" s="14" t="s">
        <v>46</v>
      </c>
      <c r="C1519" s="15">
        <v>4</v>
      </c>
      <c r="D1519" s="16">
        <v>20</v>
      </c>
      <c r="E1519" s="16"/>
      <c r="F1519" s="17"/>
      <c r="G1519" s="21"/>
      <c r="H1519" s="21"/>
      <c r="I1519" s="4">
        <v>20</v>
      </c>
      <c r="J1519" s="4">
        <v>0.33333333333333331</v>
      </c>
      <c r="K1519" s="4"/>
      <c r="L1519" s="16"/>
      <c r="M1519" s="4"/>
      <c r="N1519" s="4"/>
      <c r="O1519" s="4"/>
      <c r="P1519" s="4"/>
      <c r="Q1519" s="4"/>
      <c r="R1519" s="4"/>
      <c r="S1519" s="4">
        <v>0</v>
      </c>
      <c r="T1519" s="4">
        <v>0</v>
      </c>
      <c r="U1519" s="4">
        <v>0.33333333333333331</v>
      </c>
      <c r="V1519" s="4">
        <v>11.666666666666666</v>
      </c>
      <c r="W1519" s="4">
        <v>12</v>
      </c>
      <c r="X1519" s="4">
        <v>0</v>
      </c>
      <c r="Y1519" s="4"/>
      <c r="Z1519" s="4">
        <v>394.78</v>
      </c>
      <c r="AA1519" s="4">
        <v>450</v>
      </c>
      <c r="AB1519" s="18"/>
      <c r="AC1519" s="18">
        <v>28</v>
      </c>
      <c r="AD1519" s="28"/>
      <c r="AE1519" s="26"/>
      <c r="AF1519" s="28"/>
    </row>
    <row r="1520" spans="1:32" ht="12.4" customHeight="1" x14ac:dyDescent="0.25">
      <c r="A1520" s="14">
        <v>45847</v>
      </c>
      <c r="B1520" s="14" t="s">
        <v>45</v>
      </c>
      <c r="C1520" s="15">
        <v>5</v>
      </c>
      <c r="D1520" s="16">
        <v>20</v>
      </c>
      <c r="E1520" s="16"/>
      <c r="F1520" s="17"/>
      <c r="G1520" s="21"/>
      <c r="H1520" s="21"/>
      <c r="I1520" s="4">
        <v>20</v>
      </c>
      <c r="J1520" s="4">
        <v>0.33333333333333331</v>
      </c>
      <c r="K1520" s="4"/>
      <c r="L1520" s="16"/>
      <c r="M1520" s="4"/>
      <c r="N1520" s="4"/>
      <c r="O1520" s="4"/>
      <c r="P1520" s="4"/>
      <c r="Q1520" s="4"/>
      <c r="R1520" s="4"/>
      <c r="S1520" s="4">
        <v>0</v>
      </c>
      <c r="T1520" s="4">
        <v>0</v>
      </c>
      <c r="U1520" s="4">
        <v>0.33333333333333331</v>
      </c>
      <c r="V1520" s="4">
        <v>11.666666666666666</v>
      </c>
      <c r="W1520" s="4">
        <v>12</v>
      </c>
      <c r="X1520" s="4">
        <v>0</v>
      </c>
      <c r="Y1520" s="4"/>
      <c r="Z1520" s="4">
        <v>546.62</v>
      </c>
      <c r="AA1520" s="4">
        <v>550</v>
      </c>
      <c r="AB1520" s="18"/>
      <c r="AC1520" s="18">
        <v>28</v>
      </c>
      <c r="AD1520" s="28"/>
      <c r="AE1520" s="26"/>
      <c r="AF1520" s="28"/>
    </row>
    <row r="1521" spans="1:32" ht="12.4" customHeight="1" x14ac:dyDescent="0.25">
      <c r="A1521" s="14">
        <v>45847</v>
      </c>
      <c r="B1521" s="14" t="s">
        <v>46</v>
      </c>
      <c r="C1521" s="15">
        <v>5</v>
      </c>
      <c r="D1521" s="16">
        <v>20</v>
      </c>
      <c r="E1521" s="16"/>
      <c r="F1521" s="17"/>
      <c r="G1521" s="21"/>
      <c r="H1521" s="21"/>
      <c r="I1521" s="4">
        <v>20</v>
      </c>
      <c r="J1521" s="4">
        <v>0.33333333333333331</v>
      </c>
      <c r="K1521" s="4"/>
      <c r="L1521" s="16"/>
      <c r="M1521" s="4"/>
      <c r="N1521" s="4"/>
      <c r="O1521" s="4"/>
      <c r="P1521" s="4"/>
      <c r="Q1521" s="4"/>
      <c r="R1521" s="4"/>
      <c r="S1521" s="4">
        <v>0</v>
      </c>
      <c r="T1521" s="4">
        <v>0</v>
      </c>
      <c r="U1521" s="4">
        <v>0.33333333333333331</v>
      </c>
      <c r="V1521" s="4">
        <v>11.666666666666666</v>
      </c>
      <c r="W1521" s="4">
        <v>12</v>
      </c>
      <c r="X1521" s="4">
        <v>0</v>
      </c>
      <c r="Y1521" s="4"/>
      <c r="Z1521" s="4">
        <v>618.41000000000008</v>
      </c>
      <c r="AA1521" s="4">
        <v>650</v>
      </c>
      <c r="AB1521" s="18"/>
      <c r="AC1521" s="18">
        <v>28</v>
      </c>
      <c r="AD1521" s="28"/>
      <c r="AE1521" s="26"/>
      <c r="AF1521" s="28"/>
    </row>
    <row r="1522" spans="1:32" ht="12.4" customHeight="1" x14ac:dyDescent="0.25">
      <c r="A1522" s="14">
        <v>45848</v>
      </c>
      <c r="B1522" s="14" t="s">
        <v>45</v>
      </c>
      <c r="C1522" s="15">
        <v>1</v>
      </c>
      <c r="D1522" s="16"/>
      <c r="E1522" s="16"/>
      <c r="F1522" s="17"/>
      <c r="G1522" s="21"/>
      <c r="H1522" s="21"/>
      <c r="I1522" s="4">
        <v>0</v>
      </c>
      <c r="J1522" s="4">
        <v>0</v>
      </c>
      <c r="K1522" s="4"/>
      <c r="L1522" s="16"/>
      <c r="M1522" s="4"/>
      <c r="N1522" s="4"/>
      <c r="O1522" s="4"/>
      <c r="P1522" s="4"/>
      <c r="Q1522" s="4"/>
      <c r="R1522" s="4"/>
      <c r="S1522" s="4">
        <v>0</v>
      </c>
      <c r="T1522" s="4">
        <v>0</v>
      </c>
      <c r="U1522" s="4">
        <v>0</v>
      </c>
      <c r="V1522" s="4">
        <v>12</v>
      </c>
      <c r="W1522" s="4">
        <v>12</v>
      </c>
      <c r="X1522" s="4">
        <v>21</v>
      </c>
      <c r="Y1522" s="4">
        <v>1472.5</v>
      </c>
      <c r="Z1522" s="4">
        <v>168.10000000000002</v>
      </c>
      <c r="AA1522" s="4">
        <v>150</v>
      </c>
      <c r="AB1522" s="18">
        <v>398</v>
      </c>
      <c r="AC1522" s="18">
        <v>28</v>
      </c>
      <c r="AD1522" s="28"/>
      <c r="AE1522" s="26"/>
      <c r="AF1522" s="28"/>
    </row>
    <row r="1523" spans="1:32" ht="12.4" customHeight="1" x14ac:dyDescent="0.25">
      <c r="A1523" s="14">
        <v>45848</v>
      </c>
      <c r="B1523" s="14" t="s">
        <v>46</v>
      </c>
      <c r="C1523" s="15">
        <v>1</v>
      </c>
      <c r="D1523" s="16">
        <v>20</v>
      </c>
      <c r="E1523" s="16"/>
      <c r="F1523" s="17"/>
      <c r="G1523" s="21"/>
      <c r="H1523" s="21"/>
      <c r="I1523" s="4">
        <v>20</v>
      </c>
      <c r="J1523" s="4">
        <v>0.33333333333333331</v>
      </c>
      <c r="K1523" s="4"/>
      <c r="L1523" s="16"/>
      <c r="M1523" s="4"/>
      <c r="N1523" s="4"/>
      <c r="O1523" s="4"/>
      <c r="P1523" s="4"/>
      <c r="Q1523" s="4"/>
      <c r="R1523" s="4"/>
      <c r="S1523" s="4">
        <v>0</v>
      </c>
      <c r="T1523" s="4">
        <v>0</v>
      </c>
      <c r="U1523" s="4">
        <v>0.33333333333333331</v>
      </c>
      <c r="V1523" s="4">
        <v>11.666666666666666</v>
      </c>
      <c r="W1523" s="4">
        <v>12</v>
      </c>
      <c r="X1523" s="4">
        <v>51</v>
      </c>
      <c r="Y1523" s="4"/>
      <c r="Z1523" s="4">
        <v>146.84</v>
      </c>
      <c r="AA1523" s="4">
        <v>150</v>
      </c>
      <c r="AB1523" s="18"/>
      <c r="AC1523" s="18">
        <v>28</v>
      </c>
      <c r="AD1523" s="28"/>
      <c r="AE1523" s="26"/>
      <c r="AF1523" s="28"/>
    </row>
    <row r="1524" spans="1:32" ht="12.4" customHeight="1" x14ac:dyDescent="0.25">
      <c r="A1524" s="14">
        <v>45848</v>
      </c>
      <c r="B1524" s="14" t="s">
        <v>45</v>
      </c>
      <c r="C1524" s="15">
        <v>2</v>
      </c>
      <c r="D1524" s="16"/>
      <c r="E1524" s="16"/>
      <c r="F1524" s="17"/>
      <c r="G1524" s="21"/>
      <c r="H1524" s="21"/>
      <c r="I1524" s="4">
        <v>0</v>
      </c>
      <c r="J1524" s="4">
        <v>0</v>
      </c>
      <c r="K1524" s="4"/>
      <c r="L1524" s="16"/>
      <c r="M1524" s="4"/>
      <c r="N1524" s="4"/>
      <c r="O1524" s="4"/>
      <c r="P1524" s="4"/>
      <c r="Q1524" s="4"/>
      <c r="R1524" s="4"/>
      <c r="S1524" s="4">
        <v>0</v>
      </c>
      <c r="T1524" s="4">
        <v>0</v>
      </c>
      <c r="U1524" s="4">
        <v>0</v>
      </c>
      <c r="V1524" s="4">
        <v>12</v>
      </c>
      <c r="W1524" s="4">
        <v>12</v>
      </c>
      <c r="X1524" s="4">
        <v>0</v>
      </c>
      <c r="Y1524" s="4"/>
      <c r="Z1524" s="4">
        <v>76.800000000000011</v>
      </c>
      <c r="AA1524" s="4">
        <v>100</v>
      </c>
      <c r="AB1524" s="18"/>
      <c r="AC1524" s="18">
        <v>28</v>
      </c>
      <c r="AD1524" s="28"/>
      <c r="AE1524" s="26"/>
      <c r="AF1524" s="28"/>
    </row>
    <row r="1525" spans="1:32" ht="12.4" customHeight="1" x14ac:dyDescent="0.25">
      <c r="A1525" s="14">
        <v>45848</v>
      </c>
      <c r="B1525" s="14" t="s">
        <v>46</v>
      </c>
      <c r="C1525" s="15">
        <v>2</v>
      </c>
      <c r="D1525" s="16"/>
      <c r="E1525" s="16"/>
      <c r="F1525" s="17"/>
      <c r="G1525" s="21"/>
      <c r="H1525" s="21"/>
      <c r="I1525" s="4">
        <v>0</v>
      </c>
      <c r="J1525" s="4">
        <v>0</v>
      </c>
      <c r="K1525" s="4"/>
      <c r="L1525" s="16"/>
      <c r="M1525" s="4"/>
      <c r="N1525" s="4"/>
      <c r="O1525" s="4"/>
      <c r="P1525" s="4"/>
      <c r="Q1525" s="4"/>
      <c r="R1525" s="4"/>
      <c r="S1525" s="4">
        <v>0</v>
      </c>
      <c r="T1525" s="4">
        <v>0</v>
      </c>
      <c r="U1525" s="4">
        <v>0</v>
      </c>
      <c r="V1525" s="4">
        <v>12</v>
      </c>
      <c r="W1525" s="4">
        <v>12</v>
      </c>
      <c r="X1525" s="4">
        <v>0</v>
      </c>
      <c r="Y1525" s="4"/>
      <c r="Z1525" s="4">
        <v>70</v>
      </c>
      <c r="AA1525" s="4">
        <v>100</v>
      </c>
      <c r="AB1525" s="18"/>
      <c r="AC1525" s="18">
        <v>28</v>
      </c>
      <c r="AD1525" s="28"/>
      <c r="AE1525" s="26"/>
      <c r="AF1525" s="28"/>
    </row>
    <row r="1526" spans="1:32" ht="12.4" customHeight="1" x14ac:dyDescent="0.25">
      <c r="A1526" s="14">
        <v>45848</v>
      </c>
      <c r="B1526" s="14" t="s">
        <v>45</v>
      </c>
      <c r="C1526" s="15">
        <v>4</v>
      </c>
      <c r="D1526" s="16"/>
      <c r="E1526" s="16"/>
      <c r="F1526" s="17"/>
      <c r="G1526" s="21"/>
      <c r="H1526" s="21"/>
      <c r="I1526" s="4">
        <v>0</v>
      </c>
      <c r="J1526" s="4">
        <v>0</v>
      </c>
      <c r="K1526" s="4"/>
      <c r="L1526" s="16"/>
      <c r="M1526" s="4"/>
      <c r="N1526" s="4"/>
      <c r="O1526" s="4"/>
      <c r="P1526" s="4"/>
      <c r="Q1526" s="4"/>
      <c r="R1526" s="4"/>
      <c r="S1526" s="4">
        <v>0</v>
      </c>
      <c r="T1526" s="4">
        <v>0</v>
      </c>
      <c r="U1526" s="4">
        <v>0</v>
      </c>
      <c r="V1526" s="4">
        <v>12</v>
      </c>
      <c r="W1526" s="4">
        <v>12</v>
      </c>
      <c r="X1526" s="4">
        <v>0</v>
      </c>
      <c r="Y1526" s="4"/>
      <c r="Z1526" s="4">
        <v>463.19999999999993</v>
      </c>
      <c r="AA1526" s="4">
        <v>500</v>
      </c>
      <c r="AB1526" s="18"/>
      <c r="AC1526" s="18">
        <v>28</v>
      </c>
      <c r="AD1526" s="28"/>
      <c r="AE1526" s="26"/>
      <c r="AF1526" s="28"/>
    </row>
    <row r="1527" spans="1:32" ht="12.4" customHeight="1" x14ac:dyDescent="0.25">
      <c r="A1527" s="14">
        <v>45848</v>
      </c>
      <c r="B1527" s="14" t="s">
        <v>46</v>
      </c>
      <c r="C1527" s="15">
        <v>4</v>
      </c>
      <c r="D1527" s="16">
        <v>20</v>
      </c>
      <c r="E1527" s="16"/>
      <c r="F1527" s="17"/>
      <c r="G1527" s="21"/>
      <c r="H1527" s="21"/>
      <c r="I1527" s="4">
        <v>20</v>
      </c>
      <c r="J1527" s="4">
        <v>0.33333333333333331</v>
      </c>
      <c r="K1527" s="4"/>
      <c r="L1527" s="16"/>
      <c r="M1527" s="4"/>
      <c r="N1527" s="4"/>
      <c r="O1527" s="4"/>
      <c r="P1527" s="4"/>
      <c r="Q1527" s="4"/>
      <c r="R1527" s="4"/>
      <c r="S1527" s="4">
        <v>0</v>
      </c>
      <c r="T1527" s="4">
        <v>0</v>
      </c>
      <c r="U1527" s="4">
        <v>0.33333333333333331</v>
      </c>
      <c r="V1527" s="4">
        <v>11.666666666666666</v>
      </c>
      <c r="W1527" s="4">
        <v>12</v>
      </c>
      <c r="X1527" s="4">
        <v>0</v>
      </c>
      <c r="Y1527" s="4"/>
      <c r="Z1527" s="4">
        <v>583.27</v>
      </c>
      <c r="AA1527" s="4">
        <v>600</v>
      </c>
      <c r="AB1527" s="18"/>
      <c r="AC1527" s="18">
        <v>28</v>
      </c>
      <c r="AD1527" s="28"/>
      <c r="AE1527" s="26"/>
      <c r="AF1527" s="28"/>
    </row>
    <row r="1528" spans="1:32" ht="12.4" customHeight="1" x14ac:dyDescent="0.25">
      <c r="A1528" s="14">
        <v>45848</v>
      </c>
      <c r="B1528" s="14" t="s">
        <v>45</v>
      </c>
      <c r="C1528" s="15">
        <v>5</v>
      </c>
      <c r="D1528" s="16"/>
      <c r="E1528" s="16"/>
      <c r="F1528" s="17"/>
      <c r="G1528" s="21"/>
      <c r="H1528" s="21"/>
      <c r="I1528" s="4">
        <v>0</v>
      </c>
      <c r="J1528" s="4">
        <v>0</v>
      </c>
      <c r="K1528" s="4"/>
      <c r="L1528" s="16"/>
      <c r="M1528" s="4"/>
      <c r="N1528" s="4"/>
      <c r="O1528" s="4"/>
      <c r="P1528" s="4"/>
      <c r="Q1528" s="4"/>
      <c r="R1528" s="4"/>
      <c r="S1528" s="4">
        <v>0</v>
      </c>
      <c r="T1528" s="4">
        <v>0</v>
      </c>
      <c r="U1528" s="4">
        <v>0</v>
      </c>
      <c r="V1528" s="4">
        <v>12</v>
      </c>
      <c r="W1528" s="4">
        <v>12</v>
      </c>
      <c r="X1528" s="4">
        <v>0</v>
      </c>
      <c r="Y1528" s="4"/>
      <c r="Z1528" s="4">
        <v>233.76999999999998</v>
      </c>
      <c r="AA1528" s="4">
        <v>250</v>
      </c>
      <c r="AB1528" s="18"/>
      <c r="AC1528" s="18">
        <v>28</v>
      </c>
      <c r="AD1528" s="28"/>
      <c r="AE1528" s="26"/>
      <c r="AF1528" s="28"/>
    </row>
    <row r="1529" spans="1:32" ht="12.4" customHeight="1" x14ac:dyDescent="0.25">
      <c r="A1529" s="14">
        <v>45848</v>
      </c>
      <c r="B1529" s="14" t="s">
        <v>46</v>
      </c>
      <c r="C1529" s="15">
        <v>5</v>
      </c>
      <c r="D1529" s="16">
        <v>20</v>
      </c>
      <c r="E1529" s="16"/>
      <c r="F1529" s="17"/>
      <c r="G1529" s="21"/>
      <c r="H1529" s="21"/>
      <c r="I1529" s="4">
        <v>20</v>
      </c>
      <c r="J1529" s="4">
        <v>0.33333333333333331</v>
      </c>
      <c r="K1529" s="4"/>
      <c r="L1529" s="16"/>
      <c r="M1529" s="4"/>
      <c r="N1529" s="4"/>
      <c r="O1529" s="4"/>
      <c r="P1529" s="4"/>
      <c r="Q1529" s="4"/>
      <c r="R1529" s="4"/>
      <c r="S1529" s="4">
        <v>0</v>
      </c>
      <c r="T1529" s="4">
        <v>0</v>
      </c>
      <c r="U1529" s="4">
        <v>0.33333333333333331</v>
      </c>
      <c r="V1529" s="4">
        <v>11.666666666666666</v>
      </c>
      <c r="W1529" s="4">
        <v>12</v>
      </c>
      <c r="X1529" s="4">
        <v>0</v>
      </c>
      <c r="Y1529" s="4"/>
      <c r="Z1529" s="4">
        <v>298</v>
      </c>
      <c r="AA1529" s="4">
        <v>350</v>
      </c>
      <c r="AB1529" s="18"/>
      <c r="AC1529" s="18">
        <v>28</v>
      </c>
      <c r="AD1529" s="28"/>
      <c r="AE1529" s="26"/>
      <c r="AF1529" s="28"/>
    </row>
    <row r="1530" spans="1:32" ht="12.4" customHeight="1" x14ac:dyDescent="0.25">
      <c r="A1530" s="14">
        <v>45849</v>
      </c>
      <c r="B1530" s="14" t="s">
        <v>45</v>
      </c>
      <c r="C1530" s="15">
        <v>1</v>
      </c>
      <c r="D1530" s="16">
        <v>20</v>
      </c>
      <c r="E1530" s="16"/>
      <c r="F1530" s="17"/>
      <c r="G1530" s="21"/>
      <c r="H1530" s="21"/>
      <c r="I1530" s="4">
        <v>20</v>
      </c>
      <c r="J1530" s="4">
        <v>0.33333333333333331</v>
      </c>
      <c r="K1530" s="4"/>
      <c r="L1530" s="16"/>
      <c r="M1530" s="4"/>
      <c r="N1530" s="4"/>
      <c r="O1530" s="4"/>
      <c r="P1530" s="4"/>
      <c r="Q1530" s="4"/>
      <c r="R1530" s="4"/>
      <c r="S1530" s="4">
        <v>0</v>
      </c>
      <c r="T1530" s="4">
        <v>0</v>
      </c>
      <c r="U1530" s="4">
        <v>0.33333333333333331</v>
      </c>
      <c r="V1530" s="4">
        <v>11.666666666666666</v>
      </c>
      <c r="W1530" s="4">
        <v>12</v>
      </c>
      <c r="X1530" s="4">
        <v>38</v>
      </c>
      <c r="Y1530" s="4">
        <v>1486.5</v>
      </c>
      <c r="Z1530" s="4">
        <v>166.85999999999999</v>
      </c>
      <c r="AA1530" s="4">
        <v>150</v>
      </c>
      <c r="AB1530" s="18">
        <v>398</v>
      </c>
      <c r="AC1530" s="18">
        <v>28</v>
      </c>
      <c r="AD1530" s="28"/>
      <c r="AE1530" s="26"/>
      <c r="AF1530" s="28"/>
    </row>
    <row r="1531" spans="1:32" ht="12.4" customHeight="1" x14ac:dyDescent="0.25">
      <c r="A1531" s="14">
        <v>45849</v>
      </c>
      <c r="B1531" s="14" t="s">
        <v>46</v>
      </c>
      <c r="C1531" s="15">
        <v>1</v>
      </c>
      <c r="D1531" s="16"/>
      <c r="E1531" s="16"/>
      <c r="F1531" s="17"/>
      <c r="G1531" s="21"/>
      <c r="H1531" s="21"/>
      <c r="I1531" s="4">
        <v>0</v>
      </c>
      <c r="J1531" s="4">
        <v>0</v>
      </c>
      <c r="K1531" s="4"/>
      <c r="L1531" s="16"/>
      <c r="M1531" s="4"/>
      <c r="N1531" s="4"/>
      <c r="O1531" s="4"/>
      <c r="P1531" s="4"/>
      <c r="Q1531" s="4"/>
      <c r="R1531" s="4"/>
      <c r="S1531" s="4">
        <v>0</v>
      </c>
      <c r="T1531" s="4">
        <v>0</v>
      </c>
      <c r="U1531" s="4">
        <v>0</v>
      </c>
      <c r="V1531" s="4">
        <v>12</v>
      </c>
      <c r="W1531" s="4">
        <v>12</v>
      </c>
      <c r="X1531" s="4">
        <v>32</v>
      </c>
      <c r="Y1531" s="4"/>
      <c r="Z1531" s="4">
        <v>176.7</v>
      </c>
      <c r="AA1531" s="4">
        <v>200</v>
      </c>
      <c r="AB1531" s="18"/>
      <c r="AC1531" s="18">
        <v>28</v>
      </c>
      <c r="AD1531" s="28"/>
      <c r="AE1531" s="26"/>
      <c r="AF1531" s="28"/>
    </row>
    <row r="1532" spans="1:32" ht="12.4" customHeight="1" x14ac:dyDescent="0.25">
      <c r="A1532" s="14">
        <v>45849</v>
      </c>
      <c r="B1532" s="14" t="s">
        <v>45</v>
      </c>
      <c r="C1532" s="15">
        <v>2</v>
      </c>
      <c r="D1532" s="16"/>
      <c r="E1532" s="16"/>
      <c r="F1532" s="17"/>
      <c r="G1532" s="21"/>
      <c r="H1532" s="21"/>
      <c r="I1532" s="4">
        <v>0</v>
      </c>
      <c r="J1532" s="4">
        <v>0</v>
      </c>
      <c r="K1532" s="4"/>
      <c r="L1532" s="16"/>
      <c r="M1532" s="4"/>
      <c r="N1532" s="4"/>
      <c r="O1532" s="4"/>
      <c r="P1532" s="4"/>
      <c r="Q1532" s="4"/>
      <c r="R1532" s="4"/>
      <c r="S1532" s="4">
        <v>0</v>
      </c>
      <c r="T1532" s="4">
        <v>0</v>
      </c>
      <c r="U1532" s="4">
        <v>0</v>
      </c>
      <c r="V1532" s="4">
        <v>12</v>
      </c>
      <c r="W1532" s="4">
        <v>12</v>
      </c>
      <c r="X1532" s="4">
        <v>0</v>
      </c>
      <c r="Y1532" s="4"/>
      <c r="Z1532" s="4">
        <v>76.3</v>
      </c>
      <c r="AA1532" s="4">
        <v>100</v>
      </c>
      <c r="AB1532" s="18"/>
      <c r="AC1532" s="18">
        <v>28</v>
      </c>
      <c r="AD1532" s="28"/>
      <c r="AE1532" s="26"/>
      <c r="AF1532" s="28"/>
    </row>
    <row r="1533" spans="1:32" ht="12.4" customHeight="1" x14ac:dyDescent="0.25">
      <c r="A1533" s="14">
        <v>45849</v>
      </c>
      <c r="B1533" s="14" t="s">
        <v>46</v>
      </c>
      <c r="C1533" s="15">
        <v>2</v>
      </c>
      <c r="D1533" s="16">
        <v>20</v>
      </c>
      <c r="E1533" s="16"/>
      <c r="F1533" s="17"/>
      <c r="G1533" s="21"/>
      <c r="H1533" s="21"/>
      <c r="I1533" s="4">
        <v>20</v>
      </c>
      <c r="J1533" s="4">
        <v>0.33333333333333331</v>
      </c>
      <c r="K1533" s="4"/>
      <c r="L1533" s="16"/>
      <c r="M1533" s="4"/>
      <c r="N1533" s="4"/>
      <c r="O1533" s="4"/>
      <c r="P1533" s="4"/>
      <c r="Q1533" s="4"/>
      <c r="R1533" s="4"/>
      <c r="S1533" s="4">
        <v>0</v>
      </c>
      <c r="T1533" s="4">
        <v>0</v>
      </c>
      <c r="U1533" s="4">
        <v>0.33333333333333331</v>
      </c>
      <c r="V1533" s="4">
        <v>11.666666666666666</v>
      </c>
      <c r="W1533" s="4">
        <v>12</v>
      </c>
      <c r="X1533" s="4">
        <v>0</v>
      </c>
      <c r="Y1533" s="4"/>
      <c r="Z1533" s="4">
        <v>61.8</v>
      </c>
      <c r="AA1533" s="4">
        <v>100</v>
      </c>
      <c r="AB1533" s="18"/>
      <c r="AC1533" s="18">
        <v>28</v>
      </c>
      <c r="AD1533" s="28"/>
      <c r="AE1533" s="26"/>
      <c r="AF1533" s="28"/>
    </row>
    <row r="1534" spans="1:32" ht="12.4" customHeight="1" x14ac:dyDescent="0.25">
      <c r="A1534" s="14">
        <v>45849</v>
      </c>
      <c r="B1534" s="14" t="s">
        <v>45</v>
      </c>
      <c r="C1534" s="15">
        <v>4</v>
      </c>
      <c r="D1534" s="16">
        <v>30</v>
      </c>
      <c r="E1534" s="16"/>
      <c r="F1534" s="17"/>
      <c r="G1534" s="21"/>
      <c r="H1534" s="21"/>
      <c r="I1534" s="4">
        <v>30</v>
      </c>
      <c r="J1534" s="4">
        <v>0.5</v>
      </c>
      <c r="K1534" s="4"/>
      <c r="L1534" s="16"/>
      <c r="M1534" s="4"/>
      <c r="N1534" s="4"/>
      <c r="O1534" s="4"/>
      <c r="P1534" s="4"/>
      <c r="Q1534" s="4"/>
      <c r="R1534" s="4"/>
      <c r="S1534" s="4">
        <v>0</v>
      </c>
      <c r="T1534" s="4">
        <v>0</v>
      </c>
      <c r="U1534" s="4">
        <v>0.5</v>
      </c>
      <c r="V1534" s="4">
        <v>11.5</v>
      </c>
      <c r="W1534" s="4">
        <v>12</v>
      </c>
      <c r="X1534" s="4">
        <v>0</v>
      </c>
      <c r="Y1534" s="4"/>
      <c r="Z1534" s="4">
        <v>619.87</v>
      </c>
      <c r="AA1534" s="4">
        <v>600</v>
      </c>
      <c r="AB1534" s="18"/>
      <c r="AC1534" s="18">
        <v>28</v>
      </c>
      <c r="AD1534" s="28"/>
      <c r="AE1534" s="26"/>
      <c r="AF1534" s="28"/>
    </row>
    <row r="1535" spans="1:32" ht="12.4" customHeight="1" x14ac:dyDescent="0.25">
      <c r="A1535" s="14">
        <v>45849</v>
      </c>
      <c r="B1535" s="14" t="s">
        <v>46</v>
      </c>
      <c r="C1535" s="15">
        <v>4</v>
      </c>
      <c r="D1535" s="16">
        <v>20</v>
      </c>
      <c r="E1535" s="16"/>
      <c r="F1535" s="17"/>
      <c r="G1535" s="21"/>
      <c r="H1535" s="21"/>
      <c r="I1535" s="4">
        <v>20</v>
      </c>
      <c r="J1535" s="4">
        <v>0.33333333333333331</v>
      </c>
      <c r="K1535" s="4"/>
      <c r="L1535" s="16"/>
      <c r="M1535" s="4"/>
      <c r="N1535" s="4"/>
      <c r="O1535" s="4"/>
      <c r="P1535" s="4"/>
      <c r="Q1535" s="4"/>
      <c r="R1535" s="4"/>
      <c r="S1535" s="4">
        <v>0</v>
      </c>
      <c r="T1535" s="4">
        <v>0</v>
      </c>
      <c r="U1535" s="4">
        <v>0.33333333333333331</v>
      </c>
      <c r="V1535" s="4">
        <v>11.666666666666666</v>
      </c>
      <c r="W1535" s="4">
        <v>12</v>
      </c>
      <c r="X1535" s="4">
        <v>0</v>
      </c>
      <c r="Y1535" s="4"/>
      <c r="Z1535" s="4">
        <v>470.1</v>
      </c>
      <c r="AA1535" s="4">
        <v>500</v>
      </c>
      <c r="AB1535" s="18"/>
      <c r="AC1535" s="18">
        <v>28</v>
      </c>
      <c r="AD1535" s="28"/>
      <c r="AE1535" s="26"/>
      <c r="AF1535" s="28"/>
    </row>
    <row r="1536" spans="1:32" ht="12.4" customHeight="1" x14ac:dyDescent="0.25">
      <c r="A1536" s="14">
        <v>45849</v>
      </c>
      <c r="B1536" s="14" t="s">
        <v>45</v>
      </c>
      <c r="C1536" s="15">
        <v>5</v>
      </c>
      <c r="D1536" s="16">
        <v>20</v>
      </c>
      <c r="E1536" s="16"/>
      <c r="F1536" s="17"/>
      <c r="G1536" s="21"/>
      <c r="H1536" s="21"/>
      <c r="I1536" s="4">
        <v>20</v>
      </c>
      <c r="J1536" s="4">
        <v>0.33333333333333331</v>
      </c>
      <c r="K1536" s="4"/>
      <c r="L1536" s="16"/>
      <c r="M1536" s="4"/>
      <c r="N1536" s="4"/>
      <c r="O1536" s="4"/>
      <c r="P1536" s="4"/>
      <c r="Q1536" s="4"/>
      <c r="R1536" s="4"/>
      <c r="S1536" s="4">
        <v>0</v>
      </c>
      <c r="T1536" s="4">
        <v>0</v>
      </c>
      <c r="U1536" s="4">
        <v>0.33333333333333331</v>
      </c>
      <c r="V1536" s="4">
        <v>11.666666666666666</v>
      </c>
      <c r="W1536" s="4">
        <v>12</v>
      </c>
      <c r="X1536" s="4">
        <v>0</v>
      </c>
      <c r="Y1536" s="4"/>
      <c r="Z1536" s="4">
        <v>367.81999999999994</v>
      </c>
      <c r="AA1536" s="4">
        <v>400</v>
      </c>
      <c r="AB1536" s="18"/>
      <c r="AC1536" s="18">
        <v>28</v>
      </c>
      <c r="AD1536" s="28"/>
      <c r="AE1536" s="26"/>
      <c r="AF1536" s="28"/>
    </row>
    <row r="1537" spans="1:32" ht="12.4" customHeight="1" x14ac:dyDescent="0.25">
      <c r="A1537" s="14">
        <v>45849</v>
      </c>
      <c r="B1537" s="14" t="s">
        <v>46</v>
      </c>
      <c r="C1537" s="15">
        <v>5</v>
      </c>
      <c r="D1537" s="16">
        <v>20</v>
      </c>
      <c r="E1537" s="16"/>
      <c r="F1537" s="17"/>
      <c r="G1537" s="21"/>
      <c r="H1537" s="21"/>
      <c r="I1537" s="4">
        <v>20</v>
      </c>
      <c r="J1537" s="4">
        <v>0.33333333333333331</v>
      </c>
      <c r="K1537" s="4"/>
      <c r="L1537" s="16"/>
      <c r="M1537" s="4"/>
      <c r="N1537" s="4"/>
      <c r="O1537" s="4"/>
      <c r="P1537" s="4"/>
      <c r="Q1537" s="4"/>
      <c r="R1537" s="4"/>
      <c r="S1537" s="4">
        <v>0</v>
      </c>
      <c r="T1537" s="4">
        <v>0</v>
      </c>
      <c r="U1537" s="4">
        <v>0.33333333333333331</v>
      </c>
      <c r="V1537" s="4">
        <v>11.666666666666666</v>
      </c>
      <c r="W1537" s="4">
        <v>12</v>
      </c>
      <c r="X1537" s="4">
        <v>0</v>
      </c>
      <c r="Y1537" s="4"/>
      <c r="Z1537" s="4">
        <v>431.77000000000004</v>
      </c>
      <c r="AA1537" s="4">
        <v>450</v>
      </c>
      <c r="AB1537" s="18"/>
      <c r="AC1537" s="18">
        <v>28</v>
      </c>
      <c r="AD1537" s="28"/>
      <c r="AE1537" s="26"/>
      <c r="AF1537" s="28"/>
    </row>
    <row r="1538" spans="1:32" ht="12.4" customHeight="1" x14ac:dyDescent="0.25">
      <c r="A1538" s="14">
        <v>45850</v>
      </c>
      <c r="B1538" s="14" t="s">
        <v>45</v>
      </c>
      <c r="C1538" s="15">
        <v>1</v>
      </c>
      <c r="D1538" s="16"/>
      <c r="E1538" s="16"/>
      <c r="F1538" s="17"/>
      <c r="G1538" s="21"/>
      <c r="H1538" s="21"/>
      <c r="I1538" s="4">
        <v>0</v>
      </c>
      <c r="J1538" s="4">
        <v>0</v>
      </c>
      <c r="K1538" s="4"/>
      <c r="L1538" s="16"/>
      <c r="M1538" s="4"/>
      <c r="N1538" s="4"/>
      <c r="O1538" s="4"/>
      <c r="P1538" s="4"/>
      <c r="Q1538" s="4"/>
      <c r="R1538" s="4"/>
      <c r="S1538" s="4">
        <v>0</v>
      </c>
      <c r="T1538" s="4">
        <v>0</v>
      </c>
      <c r="U1538" s="4">
        <v>0</v>
      </c>
      <c r="V1538" s="4">
        <v>12</v>
      </c>
      <c r="W1538" s="4">
        <v>12</v>
      </c>
      <c r="X1538" s="4">
        <v>31</v>
      </c>
      <c r="Y1538" s="4">
        <v>1210</v>
      </c>
      <c r="Z1538" s="4">
        <v>56.080000000000005</v>
      </c>
      <c r="AA1538" s="4">
        <v>100</v>
      </c>
      <c r="AB1538" s="18">
        <v>398</v>
      </c>
      <c r="AC1538" s="18">
        <v>28</v>
      </c>
      <c r="AD1538" s="28"/>
      <c r="AE1538" s="26"/>
      <c r="AF1538" s="28"/>
    </row>
    <row r="1539" spans="1:32" ht="12.4" customHeight="1" x14ac:dyDescent="0.25">
      <c r="A1539" s="14">
        <v>45850</v>
      </c>
      <c r="B1539" s="14" t="s">
        <v>46</v>
      </c>
      <c r="C1539" s="15">
        <v>1</v>
      </c>
      <c r="D1539" s="16"/>
      <c r="E1539" s="16"/>
      <c r="F1539" s="17"/>
      <c r="G1539" s="21"/>
      <c r="H1539" s="21"/>
      <c r="I1539" s="4">
        <v>0</v>
      </c>
      <c r="J1539" s="4">
        <v>0</v>
      </c>
      <c r="K1539" s="4"/>
      <c r="L1539" s="16"/>
      <c r="M1539" s="4"/>
      <c r="N1539" s="4"/>
      <c r="O1539" s="4"/>
      <c r="P1539" s="4"/>
      <c r="Q1539" s="4"/>
      <c r="R1539" s="4">
        <v>120</v>
      </c>
      <c r="S1539" s="4">
        <v>120</v>
      </c>
      <c r="T1539" s="4">
        <v>2</v>
      </c>
      <c r="U1539" s="4">
        <v>2</v>
      </c>
      <c r="V1539" s="4">
        <v>10</v>
      </c>
      <c r="W1539" s="4">
        <v>12</v>
      </c>
      <c r="X1539" s="4">
        <v>30</v>
      </c>
      <c r="Y1539" s="4"/>
      <c r="Z1539" s="4">
        <v>75.09</v>
      </c>
      <c r="AA1539" s="4">
        <v>100</v>
      </c>
      <c r="AB1539" s="18"/>
      <c r="AC1539" s="18">
        <v>28</v>
      </c>
      <c r="AD1539" s="28"/>
      <c r="AE1539" s="26"/>
      <c r="AF1539" s="28"/>
    </row>
    <row r="1540" spans="1:32" ht="12.4" customHeight="1" x14ac:dyDescent="0.25">
      <c r="A1540" s="14">
        <v>45850</v>
      </c>
      <c r="B1540" s="14" t="s">
        <v>45</v>
      </c>
      <c r="C1540" s="15">
        <v>2</v>
      </c>
      <c r="D1540" s="16"/>
      <c r="E1540" s="16"/>
      <c r="F1540" s="17"/>
      <c r="G1540" s="21"/>
      <c r="H1540" s="21"/>
      <c r="I1540" s="4">
        <v>0</v>
      </c>
      <c r="J1540" s="4">
        <v>0</v>
      </c>
      <c r="K1540" s="4"/>
      <c r="L1540" s="16"/>
      <c r="M1540" s="4"/>
      <c r="N1540" s="4"/>
      <c r="O1540" s="4"/>
      <c r="P1540" s="4"/>
      <c r="Q1540" s="4"/>
      <c r="R1540" s="4"/>
      <c r="S1540" s="4">
        <v>0</v>
      </c>
      <c r="T1540" s="4">
        <v>0</v>
      </c>
      <c r="U1540" s="4">
        <v>0</v>
      </c>
      <c r="V1540" s="4">
        <v>12</v>
      </c>
      <c r="W1540" s="4">
        <v>12</v>
      </c>
      <c r="X1540" s="4">
        <v>0</v>
      </c>
      <c r="Y1540" s="4"/>
      <c r="Z1540" s="4">
        <v>69.28</v>
      </c>
      <c r="AA1540" s="4">
        <v>100</v>
      </c>
      <c r="AB1540" s="18"/>
      <c r="AC1540" s="18">
        <v>28</v>
      </c>
      <c r="AD1540" s="28"/>
      <c r="AE1540" s="26"/>
      <c r="AF1540" s="28"/>
    </row>
    <row r="1541" spans="1:32" ht="12.4" customHeight="1" x14ac:dyDescent="0.25">
      <c r="A1541" s="14">
        <v>45850</v>
      </c>
      <c r="B1541" s="14" t="s">
        <v>46</v>
      </c>
      <c r="C1541" s="15">
        <v>2</v>
      </c>
      <c r="D1541" s="16"/>
      <c r="E1541" s="16"/>
      <c r="F1541" s="17"/>
      <c r="G1541" s="21"/>
      <c r="H1541" s="21"/>
      <c r="I1541" s="4">
        <v>0</v>
      </c>
      <c r="J1541" s="4">
        <v>0</v>
      </c>
      <c r="K1541" s="4"/>
      <c r="L1541" s="16"/>
      <c r="M1541" s="4"/>
      <c r="N1541" s="4"/>
      <c r="O1541" s="4"/>
      <c r="P1541" s="4"/>
      <c r="Q1541" s="4"/>
      <c r="R1541" s="4">
        <v>120</v>
      </c>
      <c r="S1541" s="4">
        <v>120</v>
      </c>
      <c r="T1541" s="4">
        <v>2</v>
      </c>
      <c r="U1541" s="4">
        <v>2</v>
      </c>
      <c r="V1541" s="4">
        <v>10</v>
      </c>
      <c r="W1541" s="4">
        <v>12</v>
      </c>
      <c r="X1541" s="4">
        <v>0</v>
      </c>
      <c r="Y1541" s="4"/>
      <c r="Z1541" s="4">
        <v>66.349999999999994</v>
      </c>
      <c r="AA1541" s="4">
        <v>100</v>
      </c>
      <c r="AB1541" s="18"/>
      <c r="AC1541" s="18">
        <v>28</v>
      </c>
      <c r="AD1541" s="28"/>
      <c r="AE1541" s="26"/>
      <c r="AF1541" s="28"/>
    </row>
    <row r="1542" spans="1:32" ht="12.4" customHeight="1" x14ac:dyDescent="0.25">
      <c r="A1542" s="14">
        <v>45850</v>
      </c>
      <c r="B1542" s="14" t="s">
        <v>45</v>
      </c>
      <c r="C1542" s="15">
        <v>4</v>
      </c>
      <c r="D1542" s="16"/>
      <c r="E1542" s="16"/>
      <c r="F1542" s="17"/>
      <c r="G1542" s="21"/>
      <c r="H1542" s="21"/>
      <c r="I1542" s="4">
        <v>0</v>
      </c>
      <c r="J1542" s="4">
        <v>0</v>
      </c>
      <c r="K1542" s="4"/>
      <c r="L1542" s="16"/>
      <c r="M1542" s="4"/>
      <c r="N1542" s="4"/>
      <c r="O1542" s="4"/>
      <c r="P1542" s="4"/>
      <c r="Q1542" s="4"/>
      <c r="R1542" s="4"/>
      <c r="S1542" s="4">
        <v>0</v>
      </c>
      <c r="T1542" s="4">
        <v>0</v>
      </c>
      <c r="U1542" s="4">
        <v>0</v>
      </c>
      <c r="V1542" s="4">
        <v>12</v>
      </c>
      <c r="W1542" s="4">
        <v>12</v>
      </c>
      <c r="X1542" s="4">
        <v>0</v>
      </c>
      <c r="Y1542" s="4"/>
      <c r="Z1542" s="4">
        <v>353.61999999999995</v>
      </c>
      <c r="AA1542" s="4">
        <v>350</v>
      </c>
      <c r="AB1542" s="18"/>
      <c r="AC1542" s="18">
        <v>28</v>
      </c>
      <c r="AD1542" s="28"/>
      <c r="AE1542" s="26"/>
      <c r="AF1542" s="28"/>
    </row>
    <row r="1543" spans="1:32" ht="12.4" customHeight="1" x14ac:dyDescent="0.25">
      <c r="A1543" s="14">
        <v>45850</v>
      </c>
      <c r="B1543" s="14" t="s">
        <v>46</v>
      </c>
      <c r="C1543" s="15">
        <v>4</v>
      </c>
      <c r="D1543" s="16"/>
      <c r="E1543" s="16"/>
      <c r="F1543" s="17"/>
      <c r="G1543" s="21"/>
      <c r="H1543" s="21"/>
      <c r="I1543" s="4">
        <v>0</v>
      </c>
      <c r="J1543" s="4">
        <v>0</v>
      </c>
      <c r="K1543" s="4"/>
      <c r="L1543" s="16"/>
      <c r="M1543" s="4"/>
      <c r="N1543" s="4"/>
      <c r="O1543" s="4"/>
      <c r="P1543" s="4"/>
      <c r="Q1543" s="4"/>
      <c r="R1543" s="4">
        <v>120</v>
      </c>
      <c r="S1543" s="4">
        <v>120</v>
      </c>
      <c r="T1543" s="4">
        <v>2</v>
      </c>
      <c r="U1543" s="4">
        <v>2</v>
      </c>
      <c r="V1543" s="4">
        <v>10</v>
      </c>
      <c r="W1543" s="4">
        <v>12</v>
      </c>
      <c r="X1543" s="4">
        <v>0</v>
      </c>
      <c r="Y1543" s="4"/>
      <c r="Z1543" s="4">
        <v>510.18</v>
      </c>
      <c r="AA1543" s="4">
        <v>500</v>
      </c>
      <c r="AB1543" s="18"/>
      <c r="AC1543" s="18">
        <v>28</v>
      </c>
      <c r="AD1543" s="28"/>
      <c r="AE1543" s="26"/>
      <c r="AF1543" s="28"/>
    </row>
    <row r="1544" spans="1:32" ht="12.4" customHeight="1" x14ac:dyDescent="0.25">
      <c r="A1544" s="14">
        <v>45850</v>
      </c>
      <c r="B1544" s="14" t="s">
        <v>45</v>
      </c>
      <c r="C1544" s="15">
        <v>5</v>
      </c>
      <c r="D1544" s="16"/>
      <c r="E1544" s="16"/>
      <c r="F1544" s="17"/>
      <c r="G1544" s="21"/>
      <c r="H1544" s="21"/>
      <c r="I1544" s="4">
        <v>0</v>
      </c>
      <c r="J1544" s="4">
        <v>0</v>
      </c>
      <c r="K1544" s="4"/>
      <c r="L1544" s="16"/>
      <c r="M1544" s="4"/>
      <c r="N1544" s="4"/>
      <c r="O1544" s="4"/>
      <c r="P1544" s="4"/>
      <c r="Q1544" s="4"/>
      <c r="R1544" s="4"/>
      <c r="S1544" s="4">
        <v>0</v>
      </c>
      <c r="T1544" s="4">
        <v>0</v>
      </c>
      <c r="U1544" s="4">
        <v>0</v>
      </c>
      <c r="V1544" s="4">
        <v>12</v>
      </c>
      <c r="W1544" s="4">
        <v>12</v>
      </c>
      <c r="X1544" s="4">
        <v>0</v>
      </c>
      <c r="Y1544" s="4"/>
      <c r="Z1544" s="4">
        <v>261.93999999999994</v>
      </c>
      <c r="AA1544" s="4">
        <v>250</v>
      </c>
      <c r="AB1544" s="18"/>
      <c r="AC1544" s="18">
        <v>28</v>
      </c>
      <c r="AD1544" s="28"/>
      <c r="AE1544" s="26"/>
      <c r="AF1544" s="28"/>
    </row>
    <row r="1545" spans="1:32" ht="12.4" customHeight="1" x14ac:dyDescent="0.25">
      <c r="A1545" s="14">
        <v>45850</v>
      </c>
      <c r="B1545" s="14" t="s">
        <v>46</v>
      </c>
      <c r="C1545" s="15">
        <v>5</v>
      </c>
      <c r="D1545" s="16"/>
      <c r="E1545" s="16"/>
      <c r="F1545" s="17"/>
      <c r="G1545" s="21"/>
      <c r="H1545" s="21"/>
      <c r="I1545" s="4">
        <v>0</v>
      </c>
      <c r="J1545" s="4">
        <v>0</v>
      </c>
      <c r="K1545" s="4"/>
      <c r="L1545" s="16"/>
      <c r="M1545" s="4"/>
      <c r="N1545" s="4"/>
      <c r="O1545" s="4"/>
      <c r="P1545" s="4"/>
      <c r="Q1545" s="4"/>
      <c r="R1545" s="4">
        <v>120</v>
      </c>
      <c r="S1545" s="4">
        <v>120</v>
      </c>
      <c r="T1545" s="4">
        <v>2</v>
      </c>
      <c r="U1545" s="4">
        <v>2</v>
      </c>
      <c r="V1545" s="4">
        <v>10</v>
      </c>
      <c r="W1545" s="4">
        <v>12</v>
      </c>
      <c r="X1545" s="4">
        <v>0</v>
      </c>
      <c r="Y1545" s="4"/>
      <c r="Z1545" s="4">
        <v>187.09999999999997</v>
      </c>
      <c r="AA1545" s="4">
        <v>200</v>
      </c>
      <c r="AB1545" s="18"/>
      <c r="AC1545" s="18">
        <v>28</v>
      </c>
      <c r="AD1545" s="28"/>
      <c r="AE1545" s="26"/>
      <c r="AF1545" s="28"/>
    </row>
    <row r="1546" spans="1:32" ht="12.4" customHeight="1" x14ac:dyDescent="0.25">
      <c r="A1546" s="14">
        <v>45852</v>
      </c>
      <c r="B1546" s="14" t="s">
        <v>45</v>
      </c>
      <c r="C1546" s="15">
        <v>1</v>
      </c>
      <c r="D1546" s="16"/>
      <c r="E1546" s="16"/>
      <c r="F1546" s="17"/>
      <c r="G1546" s="21">
        <v>180</v>
      </c>
      <c r="H1546" s="21"/>
      <c r="I1546" s="4">
        <v>180</v>
      </c>
      <c r="J1546" s="4">
        <v>3</v>
      </c>
      <c r="K1546" s="4"/>
      <c r="L1546" s="16"/>
      <c r="M1546" s="4"/>
      <c r="N1546" s="4"/>
      <c r="O1546" s="4"/>
      <c r="P1546" s="4"/>
      <c r="Q1546" s="4"/>
      <c r="R1546" s="4"/>
      <c r="S1546" s="4">
        <v>0</v>
      </c>
      <c r="T1546" s="4">
        <v>0</v>
      </c>
      <c r="U1546" s="4">
        <v>3</v>
      </c>
      <c r="V1546" s="4">
        <v>9</v>
      </c>
      <c r="W1546" s="4">
        <v>12</v>
      </c>
      <c r="X1546" s="4">
        <v>32</v>
      </c>
      <c r="Y1546" s="4">
        <v>1137</v>
      </c>
      <c r="Z1546" s="4">
        <v>85.16</v>
      </c>
      <c r="AA1546" s="4">
        <v>200</v>
      </c>
      <c r="AB1546" s="18">
        <v>398</v>
      </c>
      <c r="AC1546" s="18">
        <v>29</v>
      </c>
      <c r="AD1546" s="28"/>
      <c r="AE1546" s="26"/>
      <c r="AF1546" s="28"/>
    </row>
    <row r="1547" spans="1:32" ht="12.4" customHeight="1" x14ac:dyDescent="0.25">
      <c r="A1547" s="14">
        <v>45852</v>
      </c>
      <c r="B1547" s="14" t="s">
        <v>46</v>
      </c>
      <c r="C1547" s="15">
        <v>1</v>
      </c>
      <c r="D1547" s="16"/>
      <c r="E1547" s="16"/>
      <c r="F1547" s="17"/>
      <c r="G1547" s="21"/>
      <c r="H1547" s="21"/>
      <c r="I1547" s="4">
        <v>0</v>
      </c>
      <c r="J1547" s="4">
        <v>0</v>
      </c>
      <c r="K1547" s="4"/>
      <c r="L1547" s="16"/>
      <c r="M1547" s="4"/>
      <c r="N1547" s="4"/>
      <c r="O1547" s="4"/>
      <c r="P1547" s="4"/>
      <c r="Q1547" s="4"/>
      <c r="R1547" s="4"/>
      <c r="S1547" s="4">
        <v>0</v>
      </c>
      <c r="T1547" s="4">
        <v>0</v>
      </c>
      <c r="U1547" s="4">
        <v>0</v>
      </c>
      <c r="V1547" s="4">
        <v>12</v>
      </c>
      <c r="W1547" s="4">
        <v>12</v>
      </c>
      <c r="X1547" s="4">
        <v>27.5</v>
      </c>
      <c r="Y1547" s="4"/>
      <c r="Z1547" s="4">
        <v>141.53</v>
      </c>
      <c r="AA1547" s="4">
        <v>150</v>
      </c>
      <c r="AB1547" s="18"/>
      <c r="AC1547" s="18">
        <v>29</v>
      </c>
      <c r="AD1547" s="28"/>
      <c r="AE1547" s="26"/>
      <c r="AF1547" s="28"/>
    </row>
    <row r="1548" spans="1:32" ht="12.4" customHeight="1" x14ac:dyDescent="0.25">
      <c r="A1548" s="14">
        <v>45852</v>
      </c>
      <c r="B1548" s="14" t="s">
        <v>45</v>
      </c>
      <c r="C1548" s="15">
        <v>2</v>
      </c>
      <c r="D1548" s="16"/>
      <c r="E1548" s="16"/>
      <c r="F1548" s="17"/>
      <c r="G1548" s="21">
        <v>180</v>
      </c>
      <c r="H1548" s="21"/>
      <c r="I1548" s="4">
        <v>180</v>
      </c>
      <c r="J1548" s="4">
        <v>3</v>
      </c>
      <c r="K1548" s="4"/>
      <c r="L1548" s="16"/>
      <c r="M1548" s="4"/>
      <c r="N1548" s="4"/>
      <c r="O1548" s="4"/>
      <c r="P1548" s="4"/>
      <c r="Q1548" s="4"/>
      <c r="R1548" s="4"/>
      <c r="S1548" s="4">
        <v>0</v>
      </c>
      <c r="T1548" s="4">
        <v>0</v>
      </c>
      <c r="U1548" s="4">
        <v>3</v>
      </c>
      <c r="V1548" s="4">
        <v>9</v>
      </c>
      <c r="W1548" s="4">
        <v>12</v>
      </c>
      <c r="X1548" s="4">
        <v>0</v>
      </c>
      <c r="Y1548" s="4"/>
      <c r="Z1548" s="4">
        <v>82.064999999999998</v>
      </c>
      <c r="AA1548" s="4">
        <v>200</v>
      </c>
      <c r="AB1548" s="18"/>
      <c r="AC1548" s="18">
        <v>29</v>
      </c>
      <c r="AD1548" s="28"/>
      <c r="AE1548" s="26"/>
      <c r="AF1548" s="28"/>
    </row>
    <row r="1549" spans="1:32" ht="12.4" customHeight="1" x14ac:dyDescent="0.25">
      <c r="A1549" s="14">
        <v>45852</v>
      </c>
      <c r="B1549" s="14" t="s">
        <v>46</v>
      </c>
      <c r="C1549" s="15">
        <v>2</v>
      </c>
      <c r="D1549" s="16"/>
      <c r="E1549" s="16"/>
      <c r="F1549" s="17"/>
      <c r="G1549" s="21"/>
      <c r="H1549" s="21"/>
      <c r="I1549" s="4">
        <v>0</v>
      </c>
      <c r="J1549" s="4">
        <v>0</v>
      </c>
      <c r="K1549" s="4"/>
      <c r="L1549" s="16"/>
      <c r="M1549" s="4"/>
      <c r="N1549" s="4"/>
      <c r="O1549" s="4"/>
      <c r="P1549" s="4"/>
      <c r="Q1549" s="4"/>
      <c r="R1549" s="4"/>
      <c r="S1549" s="4">
        <v>0</v>
      </c>
      <c r="T1549" s="4">
        <v>0</v>
      </c>
      <c r="U1549" s="4">
        <v>0</v>
      </c>
      <c r="V1549" s="4">
        <v>12</v>
      </c>
      <c r="W1549" s="4">
        <v>12</v>
      </c>
      <c r="X1549" s="4">
        <v>0</v>
      </c>
      <c r="Y1549" s="4"/>
      <c r="Z1549" s="4">
        <v>86.72999999999999</v>
      </c>
      <c r="AA1549" s="4">
        <v>100</v>
      </c>
      <c r="AB1549" s="18"/>
      <c r="AC1549" s="18">
        <v>29</v>
      </c>
      <c r="AD1549" s="28"/>
      <c r="AE1549" s="26"/>
      <c r="AF1549" s="28"/>
    </row>
    <row r="1550" spans="1:32" ht="12.4" customHeight="1" x14ac:dyDescent="0.25">
      <c r="A1550" s="14">
        <v>45852</v>
      </c>
      <c r="B1550" s="14" t="s">
        <v>45</v>
      </c>
      <c r="C1550" s="15">
        <v>3</v>
      </c>
      <c r="D1550" s="16"/>
      <c r="E1550" s="16"/>
      <c r="F1550" s="17"/>
      <c r="G1550" s="21">
        <v>180</v>
      </c>
      <c r="H1550" s="21"/>
      <c r="I1550" s="4">
        <v>180</v>
      </c>
      <c r="J1550" s="4">
        <v>3</v>
      </c>
      <c r="K1550" s="4"/>
      <c r="L1550" s="16"/>
      <c r="M1550" s="4"/>
      <c r="N1550" s="4"/>
      <c r="O1550" s="4"/>
      <c r="P1550" s="4">
        <v>240</v>
      </c>
      <c r="Q1550" s="4"/>
      <c r="R1550" s="4"/>
      <c r="S1550" s="4">
        <v>240</v>
      </c>
      <c r="T1550" s="4">
        <v>4</v>
      </c>
      <c r="U1550" s="4">
        <v>7</v>
      </c>
      <c r="V1550" s="4">
        <v>5</v>
      </c>
      <c r="W1550" s="4">
        <v>12</v>
      </c>
      <c r="X1550" s="4">
        <v>0</v>
      </c>
      <c r="Y1550" s="4"/>
      <c r="Z1550" s="4">
        <v>99.399999999999991</v>
      </c>
      <c r="AA1550" s="4">
        <v>250</v>
      </c>
      <c r="AB1550" s="18"/>
      <c r="AC1550" s="18">
        <v>29</v>
      </c>
      <c r="AD1550" s="28"/>
      <c r="AE1550" s="26"/>
      <c r="AF1550" s="28"/>
    </row>
    <row r="1551" spans="1:32" ht="12.4" customHeight="1" x14ac:dyDescent="0.25">
      <c r="A1551" s="14">
        <v>45852</v>
      </c>
      <c r="B1551" s="14" t="s">
        <v>46</v>
      </c>
      <c r="C1551" s="15">
        <v>3</v>
      </c>
      <c r="D1551" s="16"/>
      <c r="E1551" s="16"/>
      <c r="F1551" s="17"/>
      <c r="G1551" s="21"/>
      <c r="H1551" s="21"/>
      <c r="I1551" s="4">
        <v>0</v>
      </c>
      <c r="J1551" s="4">
        <v>0</v>
      </c>
      <c r="K1551" s="4"/>
      <c r="L1551" s="16"/>
      <c r="M1551" s="4"/>
      <c r="N1551" s="4"/>
      <c r="O1551" s="4"/>
      <c r="P1551" s="4"/>
      <c r="Q1551" s="4"/>
      <c r="R1551" s="4"/>
      <c r="S1551" s="4">
        <v>0</v>
      </c>
      <c r="T1551" s="4">
        <v>0</v>
      </c>
      <c r="U1551" s="4">
        <v>0</v>
      </c>
      <c r="V1551" s="4">
        <v>12</v>
      </c>
      <c r="W1551" s="4">
        <v>12</v>
      </c>
      <c r="X1551" s="4">
        <v>0</v>
      </c>
      <c r="Y1551" s="4"/>
      <c r="Z1551" s="4">
        <v>253.70000000000002</v>
      </c>
      <c r="AA1551" s="4">
        <v>250</v>
      </c>
      <c r="AB1551" s="18"/>
      <c r="AC1551" s="18">
        <v>29</v>
      </c>
      <c r="AD1551" s="28"/>
      <c r="AE1551" s="26"/>
      <c r="AF1551" s="28"/>
    </row>
    <row r="1552" spans="1:32" ht="12.4" customHeight="1" x14ac:dyDescent="0.25">
      <c r="A1552" s="14">
        <v>45852</v>
      </c>
      <c r="B1552" s="14" t="s">
        <v>45</v>
      </c>
      <c r="C1552" s="15">
        <v>5</v>
      </c>
      <c r="D1552" s="16"/>
      <c r="E1552" s="16"/>
      <c r="F1552" s="17"/>
      <c r="G1552" s="21">
        <v>180</v>
      </c>
      <c r="H1552" s="21"/>
      <c r="I1552" s="4">
        <v>180</v>
      </c>
      <c r="J1552" s="4">
        <v>3</v>
      </c>
      <c r="K1552" s="4"/>
      <c r="L1552" s="16"/>
      <c r="M1552" s="4"/>
      <c r="N1552" s="4"/>
      <c r="O1552" s="4"/>
      <c r="P1552" s="4">
        <v>240</v>
      </c>
      <c r="Q1552" s="4"/>
      <c r="R1552" s="4"/>
      <c r="S1552" s="4">
        <v>240</v>
      </c>
      <c r="T1552" s="4">
        <v>4</v>
      </c>
      <c r="U1552" s="4">
        <v>7</v>
      </c>
      <c r="V1552" s="4">
        <v>5</v>
      </c>
      <c r="W1552" s="4">
        <v>12</v>
      </c>
      <c r="X1552" s="4">
        <v>0</v>
      </c>
      <c r="Y1552" s="4"/>
      <c r="Z1552" s="4">
        <v>201.9</v>
      </c>
      <c r="AA1552" s="4">
        <v>350</v>
      </c>
      <c r="AB1552" s="18"/>
      <c r="AC1552" s="18">
        <v>29</v>
      </c>
      <c r="AD1552" s="28"/>
      <c r="AE1552" s="26"/>
      <c r="AF1552" s="28"/>
    </row>
    <row r="1553" spans="1:32" ht="12.4" customHeight="1" x14ac:dyDescent="0.25">
      <c r="A1553" s="14">
        <v>45852</v>
      </c>
      <c r="B1553" s="14" t="s">
        <v>46</v>
      </c>
      <c r="C1553" s="15">
        <v>5</v>
      </c>
      <c r="D1553" s="16"/>
      <c r="E1553" s="16"/>
      <c r="F1553" s="17"/>
      <c r="G1553" s="21"/>
      <c r="H1553" s="21"/>
      <c r="I1553" s="4">
        <v>0</v>
      </c>
      <c r="J1553" s="4">
        <v>0</v>
      </c>
      <c r="K1553" s="4"/>
      <c r="L1553" s="16"/>
      <c r="M1553" s="4"/>
      <c r="N1553" s="4"/>
      <c r="O1553" s="4"/>
      <c r="P1553" s="4"/>
      <c r="Q1553" s="4"/>
      <c r="R1553" s="4"/>
      <c r="S1553" s="4">
        <v>0</v>
      </c>
      <c r="T1553" s="4">
        <v>0</v>
      </c>
      <c r="U1553" s="4">
        <v>0</v>
      </c>
      <c r="V1553" s="4">
        <v>12</v>
      </c>
      <c r="W1553" s="4">
        <v>12</v>
      </c>
      <c r="X1553" s="4">
        <v>0</v>
      </c>
      <c r="Y1553" s="4"/>
      <c r="Z1553" s="4">
        <v>409.50000000000006</v>
      </c>
      <c r="AA1553" s="4">
        <v>400</v>
      </c>
      <c r="AB1553" s="18"/>
      <c r="AC1553" s="18">
        <v>29</v>
      </c>
      <c r="AD1553" s="28"/>
      <c r="AE1553" s="26"/>
      <c r="AF1553" s="28"/>
    </row>
    <row r="1554" spans="1:32" ht="12.4" customHeight="1" x14ac:dyDescent="0.25">
      <c r="A1554" s="14">
        <v>45853</v>
      </c>
      <c r="B1554" s="14" t="s">
        <v>45</v>
      </c>
      <c r="C1554" s="15">
        <v>1</v>
      </c>
      <c r="D1554" s="16"/>
      <c r="E1554" s="16"/>
      <c r="F1554" s="17"/>
      <c r="G1554" s="21"/>
      <c r="H1554" s="21"/>
      <c r="I1554" s="4">
        <v>0</v>
      </c>
      <c r="J1554" s="4">
        <v>0</v>
      </c>
      <c r="K1554" s="4"/>
      <c r="L1554" s="16"/>
      <c r="M1554" s="4"/>
      <c r="N1554" s="4"/>
      <c r="O1554" s="4"/>
      <c r="P1554" s="4"/>
      <c r="Q1554" s="4"/>
      <c r="R1554" s="4"/>
      <c r="S1554" s="4">
        <v>0</v>
      </c>
      <c r="T1554" s="4">
        <v>0</v>
      </c>
      <c r="U1554" s="4">
        <v>0</v>
      </c>
      <c r="V1554" s="4">
        <v>12</v>
      </c>
      <c r="W1554" s="4">
        <v>12</v>
      </c>
      <c r="X1554" s="4">
        <v>17.3</v>
      </c>
      <c r="Y1554" s="4">
        <v>1244.5</v>
      </c>
      <c r="Z1554" s="4">
        <v>161</v>
      </c>
      <c r="AA1554" s="4">
        <v>150</v>
      </c>
      <c r="AB1554" s="18">
        <v>398</v>
      </c>
      <c r="AC1554" s="18">
        <v>29</v>
      </c>
      <c r="AD1554" s="28"/>
      <c r="AE1554" s="26"/>
      <c r="AF1554" s="28"/>
    </row>
    <row r="1555" spans="1:32" ht="12.4" customHeight="1" x14ac:dyDescent="0.25">
      <c r="A1555" s="14">
        <v>45853</v>
      </c>
      <c r="B1555" s="14" t="s">
        <v>46</v>
      </c>
      <c r="C1555" s="15">
        <v>1</v>
      </c>
      <c r="D1555" s="16"/>
      <c r="E1555" s="16"/>
      <c r="F1555" s="17"/>
      <c r="G1555" s="21"/>
      <c r="H1555" s="21"/>
      <c r="I1555" s="4">
        <v>0</v>
      </c>
      <c r="J1555" s="4">
        <v>0</v>
      </c>
      <c r="K1555" s="4"/>
      <c r="L1555" s="16"/>
      <c r="M1555" s="4"/>
      <c r="N1555" s="4"/>
      <c r="O1555" s="4"/>
      <c r="P1555" s="4"/>
      <c r="Q1555" s="4"/>
      <c r="R1555" s="4"/>
      <c r="S1555" s="4">
        <v>0</v>
      </c>
      <c r="T1555" s="4">
        <v>0</v>
      </c>
      <c r="U1555" s="4">
        <v>0</v>
      </c>
      <c r="V1555" s="4">
        <v>12</v>
      </c>
      <c r="W1555" s="4">
        <v>12</v>
      </c>
      <c r="X1555" s="4">
        <v>30.5</v>
      </c>
      <c r="Y1555" s="4"/>
      <c r="Z1555" s="4">
        <v>179.60000000000002</v>
      </c>
      <c r="AA1555" s="4">
        <v>200</v>
      </c>
      <c r="AB1555" s="18"/>
      <c r="AC1555" s="18">
        <v>29</v>
      </c>
      <c r="AD1555" s="28"/>
      <c r="AE1555" s="26"/>
      <c r="AF1555" s="28"/>
    </row>
    <row r="1556" spans="1:32" ht="12.4" customHeight="1" x14ac:dyDescent="0.25">
      <c r="A1556" s="14">
        <v>45853</v>
      </c>
      <c r="B1556" s="14" t="s">
        <v>45</v>
      </c>
      <c r="C1556" s="15">
        <v>2</v>
      </c>
      <c r="D1556" s="16"/>
      <c r="E1556" s="16"/>
      <c r="F1556" s="17"/>
      <c r="G1556" s="21"/>
      <c r="H1556" s="21"/>
      <c r="I1556" s="4">
        <v>0</v>
      </c>
      <c r="J1556" s="4">
        <v>0</v>
      </c>
      <c r="K1556" s="4"/>
      <c r="L1556" s="16"/>
      <c r="M1556" s="4"/>
      <c r="N1556" s="4"/>
      <c r="O1556" s="4"/>
      <c r="P1556" s="4"/>
      <c r="Q1556" s="4"/>
      <c r="R1556" s="4"/>
      <c r="S1556" s="4">
        <v>0</v>
      </c>
      <c r="T1556" s="4">
        <v>0</v>
      </c>
      <c r="U1556" s="4">
        <v>0</v>
      </c>
      <c r="V1556" s="4">
        <v>12</v>
      </c>
      <c r="W1556" s="4">
        <v>12</v>
      </c>
      <c r="X1556" s="4">
        <v>0</v>
      </c>
      <c r="Y1556" s="4"/>
      <c r="Z1556" s="4">
        <v>82.9</v>
      </c>
      <c r="AA1556" s="4">
        <v>100</v>
      </c>
      <c r="AB1556" s="18"/>
      <c r="AC1556" s="18">
        <v>29</v>
      </c>
      <c r="AD1556" s="28"/>
      <c r="AE1556" s="26"/>
      <c r="AF1556" s="28"/>
    </row>
    <row r="1557" spans="1:32" ht="12.4" customHeight="1" x14ac:dyDescent="0.25">
      <c r="A1557" s="14">
        <v>45853</v>
      </c>
      <c r="B1557" s="14" t="s">
        <v>46</v>
      </c>
      <c r="C1557" s="15">
        <v>2</v>
      </c>
      <c r="D1557" s="16"/>
      <c r="E1557" s="16"/>
      <c r="F1557" s="17"/>
      <c r="G1557" s="21"/>
      <c r="H1557" s="21"/>
      <c r="I1557" s="4">
        <v>0</v>
      </c>
      <c r="J1557" s="4">
        <v>0</v>
      </c>
      <c r="K1557" s="4"/>
      <c r="L1557" s="16"/>
      <c r="M1557" s="4"/>
      <c r="N1557" s="4"/>
      <c r="O1557" s="4"/>
      <c r="P1557" s="4"/>
      <c r="Q1557" s="4"/>
      <c r="R1557" s="4"/>
      <c r="S1557" s="4">
        <v>0</v>
      </c>
      <c r="T1557" s="4">
        <v>0</v>
      </c>
      <c r="U1557" s="4">
        <v>0</v>
      </c>
      <c r="V1557" s="4">
        <v>12</v>
      </c>
      <c r="W1557" s="4">
        <v>12</v>
      </c>
      <c r="X1557" s="4">
        <v>0</v>
      </c>
      <c r="Y1557" s="4"/>
      <c r="Z1557" s="4">
        <v>108.3</v>
      </c>
      <c r="AA1557" s="4">
        <v>100</v>
      </c>
      <c r="AB1557" s="18"/>
      <c r="AC1557" s="18">
        <v>29</v>
      </c>
      <c r="AD1557" s="28"/>
      <c r="AE1557" s="26"/>
      <c r="AF1557" s="28"/>
    </row>
    <row r="1558" spans="1:32" ht="12.4" customHeight="1" x14ac:dyDescent="0.25">
      <c r="A1558" s="14">
        <v>45853</v>
      </c>
      <c r="B1558" s="14" t="s">
        <v>45</v>
      </c>
      <c r="C1558" s="15">
        <v>3</v>
      </c>
      <c r="D1558" s="16">
        <v>20</v>
      </c>
      <c r="E1558" s="16"/>
      <c r="F1558" s="17"/>
      <c r="G1558" s="21"/>
      <c r="H1558" s="21"/>
      <c r="I1558" s="4">
        <v>20</v>
      </c>
      <c r="J1558" s="4">
        <v>0.33333333333333331</v>
      </c>
      <c r="K1558" s="4"/>
      <c r="L1558" s="16"/>
      <c r="M1558" s="4"/>
      <c r="N1558" s="4"/>
      <c r="O1558" s="4"/>
      <c r="P1558" s="4"/>
      <c r="Q1558" s="4"/>
      <c r="R1558" s="4"/>
      <c r="S1558" s="4">
        <v>0</v>
      </c>
      <c r="T1558" s="4">
        <v>0</v>
      </c>
      <c r="U1558" s="4">
        <v>0.33333333333333331</v>
      </c>
      <c r="V1558" s="4">
        <v>11.666666666666666</v>
      </c>
      <c r="W1558" s="4">
        <v>12</v>
      </c>
      <c r="X1558" s="4">
        <v>0</v>
      </c>
      <c r="Y1558" s="4"/>
      <c r="Z1558" s="4">
        <v>288.20000000000005</v>
      </c>
      <c r="AA1558" s="4">
        <v>300</v>
      </c>
      <c r="AB1558" s="18"/>
      <c r="AC1558" s="18">
        <v>29</v>
      </c>
      <c r="AD1558" s="28"/>
      <c r="AE1558" s="26"/>
      <c r="AF1558" s="28"/>
    </row>
    <row r="1559" spans="1:32" ht="12.4" customHeight="1" x14ac:dyDescent="0.25">
      <c r="A1559" s="14">
        <v>45853</v>
      </c>
      <c r="B1559" s="14" t="s">
        <v>46</v>
      </c>
      <c r="C1559" s="15">
        <v>3</v>
      </c>
      <c r="D1559" s="16"/>
      <c r="E1559" s="16"/>
      <c r="F1559" s="17"/>
      <c r="G1559" s="21"/>
      <c r="H1559" s="21"/>
      <c r="I1559" s="4">
        <v>0</v>
      </c>
      <c r="J1559" s="4">
        <v>0</v>
      </c>
      <c r="K1559" s="4"/>
      <c r="L1559" s="16"/>
      <c r="M1559" s="4"/>
      <c r="N1559" s="4"/>
      <c r="O1559" s="4"/>
      <c r="P1559" s="4"/>
      <c r="Q1559" s="4"/>
      <c r="R1559" s="4"/>
      <c r="S1559" s="4">
        <v>0</v>
      </c>
      <c r="T1559" s="4">
        <v>0</v>
      </c>
      <c r="U1559" s="4">
        <v>0</v>
      </c>
      <c r="V1559" s="4">
        <v>12</v>
      </c>
      <c r="W1559" s="4">
        <v>12</v>
      </c>
      <c r="X1559" s="4">
        <v>0</v>
      </c>
      <c r="Y1559" s="4"/>
      <c r="Z1559" s="4">
        <v>308.30000000000007</v>
      </c>
      <c r="AA1559" s="4">
        <v>300</v>
      </c>
      <c r="AB1559" s="18"/>
      <c r="AC1559" s="18">
        <v>29</v>
      </c>
      <c r="AD1559" s="28"/>
      <c r="AE1559" s="26"/>
      <c r="AF1559" s="28"/>
    </row>
    <row r="1560" spans="1:32" ht="12.4" customHeight="1" x14ac:dyDescent="0.25">
      <c r="A1560" s="14">
        <v>45853</v>
      </c>
      <c r="B1560" s="14" t="s">
        <v>45</v>
      </c>
      <c r="C1560" s="15">
        <v>5</v>
      </c>
      <c r="D1560" s="16"/>
      <c r="E1560" s="16"/>
      <c r="F1560" s="17"/>
      <c r="G1560" s="21"/>
      <c r="H1560" s="21"/>
      <c r="I1560" s="4">
        <v>0</v>
      </c>
      <c r="J1560" s="4">
        <v>0</v>
      </c>
      <c r="K1560" s="4"/>
      <c r="L1560" s="16"/>
      <c r="M1560" s="4"/>
      <c r="N1560" s="4"/>
      <c r="O1560" s="4"/>
      <c r="P1560" s="4"/>
      <c r="Q1560" s="4"/>
      <c r="R1560" s="4"/>
      <c r="S1560" s="4">
        <v>0</v>
      </c>
      <c r="T1560" s="4">
        <v>0</v>
      </c>
      <c r="U1560" s="4">
        <v>0</v>
      </c>
      <c r="V1560" s="4">
        <v>12</v>
      </c>
      <c r="W1560" s="4">
        <v>12</v>
      </c>
      <c r="X1560" s="4">
        <v>0</v>
      </c>
      <c r="Y1560" s="4"/>
      <c r="Z1560" s="4">
        <v>450.35</v>
      </c>
      <c r="AA1560" s="4">
        <v>450</v>
      </c>
      <c r="AB1560" s="18"/>
      <c r="AC1560" s="18">
        <v>29</v>
      </c>
      <c r="AD1560" s="28"/>
      <c r="AE1560" s="26"/>
      <c r="AF1560" s="28"/>
    </row>
    <row r="1561" spans="1:32" ht="12.4" customHeight="1" x14ac:dyDescent="0.25">
      <c r="A1561" s="14">
        <v>45853</v>
      </c>
      <c r="B1561" s="14" t="s">
        <v>46</v>
      </c>
      <c r="C1561" s="15">
        <v>5</v>
      </c>
      <c r="D1561" s="16">
        <v>40</v>
      </c>
      <c r="E1561" s="16"/>
      <c r="F1561" s="17"/>
      <c r="G1561" s="21"/>
      <c r="H1561" s="21"/>
      <c r="I1561" s="4">
        <v>40</v>
      </c>
      <c r="J1561" s="4">
        <v>0.66666666666666663</v>
      </c>
      <c r="K1561" s="4"/>
      <c r="L1561" s="16"/>
      <c r="M1561" s="4"/>
      <c r="N1561" s="4"/>
      <c r="O1561" s="4"/>
      <c r="P1561" s="4"/>
      <c r="Q1561" s="4"/>
      <c r="R1561" s="4"/>
      <c r="S1561" s="4">
        <v>0</v>
      </c>
      <c r="T1561" s="4">
        <v>0</v>
      </c>
      <c r="U1561" s="4">
        <v>0.66666666666666663</v>
      </c>
      <c r="V1561" s="4">
        <v>11.333333333333334</v>
      </c>
      <c r="W1561" s="4">
        <v>12</v>
      </c>
      <c r="X1561" s="4">
        <v>0</v>
      </c>
      <c r="Y1561" s="4"/>
      <c r="Z1561" s="4">
        <v>415.57999999999993</v>
      </c>
      <c r="AA1561" s="4">
        <v>400</v>
      </c>
      <c r="AB1561" s="18"/>
      <c r="AC1561" s="18">
        <v>29</v>
      </c>
      <c r="AD1561" s="28"/>
      <c r="AE1561" s="26"/>
      <c r="AF1561" s="28"/>
    </row>
    <row r="1562" spans="1:32" ht="12.4" customHeight="1" x14ac:dyDescent="0.25">
      <c r="A1562" s="14">
        <v>45854</v>
      </c>
      <c r="B1562" s="14" t="s">
        <v>45</v>
      </c>
      <c r="C1562" s="15">
        <v>1</v>
      </c>
      <c r="D1562" s="16"/>
      <c r="E1562" s="16"/>
      <c r="F1562" s="17"/>
      <c r="G1562" s="21"/>
      <c r="H1562" s="21"/>
      <c r="I1562" s="4">
        <v>0</v>
      </c>
      <c r="J1562" s="4">
        <v>0</v>
      </c>
      <c r="K1562" s="4"/>
      <c r="L1562" s="16"/>
      <c r="M1562" s="4"/>
      <c r="N1562" s="4"/>
      <c r="O1562" s="4"/>
      <c r="P1562" s="4"/>
      <c r="Q1562" s="4"/>
      <c r="R1562" s="4"/>
      <c r="S1562" s="4">
        <v>0</v>
      </c>
      <c r="T1562" s="4">
        <v>0</v>
      </c>
      <c r="U1562" s="4">
        <v>0</v>
      </c>
      <c r="V1562" s="4">
        <v>12</v>
      </c>
      <c r="W1562" s="4">
        <v>12</v>
      </c>
      <c r="X1562" s="4">
        <v>48</v>
      </c>
      <c r="Y1562" s="4">
        <v>1887.5</v>
      </c>
      <c r="Z1562" s="4">
        <v>180.1</v>
      </c>
      <c r="AA1562" s="4">
        <v>200</v>
      </c>
      <c r="AB1562" s="18">
        <v>398</v>
      </c>
      <c r="AC1562" s="18">
        <v>29</v>
      </c>
      <c r="AD1562" s="28"/>
      <c r="AE1562" s="26"/>
      <c r="AF1562" s="28"/>
    </row>
    <row r="1563" spans="1:32" ht="12.4" customHeight="1" x14ac:dyDescent="0.25">
      <c r="A1563" s="14">
        <v>45854</v>
      </c>
      <c r="B1563" s="14" t="s">
        <v>46</v>
      </c>
      <c r="C1563" s="15">
        <v>1</v>
      </c>
      <c r="D1563" s="16"/>
      <c r="E1563" s="16"/>
      <c r="F1563" s="17"/>
      <c r="G1563" s="21"/>
      <c r="H1563" s="21"/>
      <c r="I1563" s="4">
        <v>0</v>
      </c>
      <c r="J1563" s="4">
        <v>0</v>
      </c>
      <c r="K1563" s="4"/>
      <c r="L1563" s="16"/>
      <c r="M1563" s="4"/>
      <c r="N1563" s="4"/>
      <c r="O1563" s="4"/>
      <c r="P1563" s="4"/>
      <c r="Q1563" s="4"/>
      <c r="R1563" s="4"/>
      <c r="S1563" s="4">
        <v>0</v>
      </c>
      <c r="T1563" s="4">
        <v>0</v>
      </c>
      <c r="U1563" s="4">
        <v>0</v>
      </c>
      <c r="V1563" s="4">
        <v>12</v>
      </c>
      <c r="W1563" s="4">
        <v>12</v>
      </c>
      <c r="X1563" s="4">
        <v>36</v>
      </c>
      <c r="Y1563" s="4"/>
      <c r="Z1563" s="4">
        <v>181.28</v>
      </c>
      <c r="AA1563" s="4">
        <v>200</v>
      </c>
      <c r="AB1563" s="18"/>
      <c r="AC1563" s="18">
        <v>29</v>
      </c>
      <c r="AD1563" s="28"/>
      <c r="AE1563" s="26"/>
      <c r="AF1563" s="28"/>
    </row>
    <row r="1564" spans="1:32" ht="12.4" customHeight="1" x14ac:dyDescent="0.25">
      <c r="A1564" s="14">
        <v>45854</v>
      </c>
      <c r="B1564" s="14" t="s">
        <v>45</v>
      </c>
      <c r="C1564" s="15">
        <v>2</v>
      </c>
      <c r="D1564" s="16">
        <v>20</v>
      </c>
      <c r="E1564" s="16"/>
      <c r="F1564" s="17"/>
      <c r="G1564" s="21"/>
      <c r="H1564" s="21"/>
      <c r="I1564" s="4">
        <v>20</v>
      </c>
      <c r="J1564" s="4">
        <v>0.33333333333333331</v>
      </c>
      <c r="K1564" s="4"/>
      <c r="L1564" s="16"/>
      <c r="M1564" s="4"/>
      <c r="N1564" s="4"/>
      <c r="O1564" s="4"/>
      <c r="P1564" s="4"/>
      <c r="Q1564" s="4"/>
      <c r="R1564" s="4"/>
      <c r="S1564" s="4">
        <v>0</v>
      </c>
      <c r="T1564" s="4">
        <v>0</v>
      </c>
      <c r="U1564" s="4">
        <v>0.33333333333333331</v>
      </c>
      <c r="V1564" s="4">
        <v>11.666666666666666</v>
      </c>
      <c r="W1564" s="4">
        <v>12</v>
      </c>
      <c r="X1564" s="4">
        <v>0</v>
      </c>
      <c r="Y1564" s="4"/>
      <c r="Z1564" s="4">
        <v>55.70000000000001</v>
      </c>
      <c r="AA1564" s="4">
        <v>50</v>
      </c>
      <c r="AB1564" s="18"/>
      <c r="AC1564" s="18">
        <v>29</v>
      </c>
      <c r="AD1564" s="28"/>
      <c r="AE1564" s="26"/>
      <c r="AF1564" s="28"/>
    </row>
    <row r="1565" spans="1:32" ht="12.4" customHeight="1" x14ac:dyDescent="0.25">
      <c r="A1565" s="14">
        <v>45854</v>
      </c>
      <c r="B1565" s="14" t="s">
        <v>46</v>
      </c>
      <c r="C1565" s="15">
        <v>2</v>
      </c>
      <c r="D1565" s="16"/>
      <c r="E1565" s="16"/>
      <c r="F1565" s="17"/>
      <c r="G1565" s="21"/>
      <c r="H1565" s="21"/>
      <c r="I1565" s="4">
        <v>0</v>
      </c>
      <c r="J1565" s="4">
        <v>0</v>
      </c>
      <c r="K1565" s="4"/>
      <c r="L1565" s="16"/>
      <c r="M1565" s="4"/>
      <c r="N1565" s="4"/>
      <c r="O1565" s="4"/>
      <c r="P1565" s="4"/>
      <c r="Q1565" s="4"/>
      <c r="R1565" s="4"/>
      <c r="S1565" s="4">
        <v>0</v>
      </c>
      <c r="T1565" s="4">
        <v>0</v>
      </c>
      <c r="U1565" s="4">
        <v>0</v>
      </c>
      <c r="V1565" s="4">
        <v>12</v>
      </c>
      <c r="W1565" s="4">
        <v>12</v>
      </c>
      <c r="X1565" s="4">
        <v>0</v>
      </c>
      <c r="Y1565" s="4"/>
      <c r="Z1565" s="4">
        <v>75.78</v>
      </c>
      <c r="AA1565" s="4">
        <v>100</v>
      </c>
      <c r="AB1565" s="18"/>
      <c r="AC1565" s="18">
        <v>29</v>
      </c>
      <c r="AD1565" s="28"/>
      <c r="AE1565" s="26"/>
      <c r="AF1565" s="28"/>
    </row>
    <row r="1566" spans="1:32" ht="12.4" customHeight="1" x14ac:dyDescent="0.25">
      <c r="A1566" s="14">
        <v>45854</v>
      </c>
      <c r="B1566" s="14" t="s">
        <v>45</v>
      </c>
      <c r="C1566" s="15">
        <v>3</v>
      </c>
      <c r="D1566" s="16">
        <v>20</v>
      </c>
      <c r="E1566" s="16"/>
      <c r="F1566" s="17"/>
      <c r="G1566" s="21"/>
      <c r="H1566" s="21"/>
      <c r="I1566" s="4">
        <v>20</v>
      </c>
      <c r="J1566" s="4">
        <v>0.33333333333333331</v>
      </c>
      <c r="K1566" s="4"/>
      <c r="L1566" s="16"/>
      <c r="M1566" s="4"/>
      <c r="N1566" s="4"/>
      <c r="O1566" s="4"/>
      <c r="P1566" s="4"/>
      <c r="Q1566" s="4"/>
      <c r="R1566" s="4"/>
      <c r="S1566" s="4">
        <v>0</v>
      </c>
      <c r="T1566" s="4">
        <v>0</v>
      </c>
      <c r="U1566" s="4">
        <v>0.33333333333333331</v>
      </c>
      <c r="V1566" s="4">
        <v>11.666666666666666</v>
      </c>
      <c r="W1566" s="4">
        <v>12</v>
      </c>
      <c r="X1566" s="4">
        <v>0</v>
      </c>
      <c r="Y1566" s="4"/>
      <c r="Z1566" s="4">
        <v>249.12</v>
      </c>
      <c r="AA1566" s="4">
        <v>250</v>
      </c>
      <c r="AB1566" s="18"/>
      <c r="AC1566" s="18">
        <v>29</v>
      </c>
      <c r="AD1566" s="28"/>
      <c r="AE1566" s="26"/>
      <c r="AF1566" s="28"/>
    </row>
    <row r="1567" spans="1:32" ht="12.4" customHeight="1" x14ac:dyDescent="0.25">
      <c r="A1567" s="14">
        <v>45854</v>
      </c>
      <c r="B1567" s="14" t="s">
        <v>46</v>
      </c>
      <c r="C1567" s="15">
        <v>3</v>
      </c>
      <c r="D1567" s="16"/>
      <c r="E1567" s="16"/>
      <c r="F1567" s="17"/>
      <c r="G1567" s="21"/>
      <c r="H1567" s="21"/>
      <c r="I1567" s="4">
        <v>0</v>
      </c>
      <c r="J1567" s="4">
        <v>0</v>
      </c>
      <c r="K1567" s="4"/>
      <c r="L1567" s="16"/>
      <c r="M1567" s="4"/>
      <c r="N1567" s="4"/>
      <c r="O1567" s="4"/>
      <c r="P1567" s="4"/>
      <c r="Q1567" s="4"/>
      <c r="R1567" s="4"/>
      <c r="S1567" s="4">
        <v>0</v>
      </c>
      <c r="T1567" s="4">
        <v>0</v>
      </c>
      <c r="U1567" s="4">
        <v>0</v>
      </c>
      <c r="V1567" s="4">
        <v>12</v>
      </c>
      <c r="W1567" s="4">
        <v>12</v>
      </c>
      <c r="X1567" s="4">
        <v>0</v>
      </c>
      <c r="Y1567" s="4"/>
      <c r="Z1567" s="4">
        <v>268.59999999999997</v>
      </c>
      <c r="AA1567" s="4">
        <v>250</v>
      </c>
      <c r="AB1567" s="18"/>
      <c r="AC1567" s="18">
        <v>29</v>
      </c>
      <c r="AD1567" s="28"/>
      <c r="AE1567" s="26"/>
      <c r="AF1567" s="28"/>
    </row>
    <row r="1568" spans="1:32" ht="12.4" customHeight="1" x14ac:dyDescent="0.25">
      <c r="A1568" s="14">
        <v>45854</v>
      </c>
      <c r="B1568" s="14" t="s">
        <v>45</v>
      </c>
      <c r="C1568" s="15">
        <v>4</v>
      </c>
      <c r="D1568" s="16">
        <v>20</v>
      </c>
      <c r="E1568" s="16"/>
      <c r="F1568" s="17"/>
      <c r="G1568" s="21"/>
      <c r="H1568" s="21"/>
      <c r="I1568" s="4">
        <v>20</v>
      </c>
      <c r="J1568" s="4">
        <v>0.33333333333333331</v>
      </c>
      <c r="K1568" s="4"/>
      <c r="L1568" s="16"/>
      <c r="M1568" s="4"/>
      <c r="N1568" s="4"/>
      <c r="O1568" s="4"/>
      <c r="P1568" s="4"/>
      <c r="Q1568" s="4">
        <v>255</v>
      </c>
      <c r="R1568" s="4"/>
      <c r="S1568" s="4">
        <v>255</v>
      </c>
      <c r="T1568" s="4">
        <v>4.25</v>
      </c>
      <c r="U1568" s="4">
        <v>4.583333333333333</v>
      </c>
      <c r="V1568" s="4">
        <v>7.416666666666667</v>
      </c>
      <c r="W1568" s="4">
        <v>12</v>
      </c>
      <c r="X1568" s="4">
        <v>0</v>
      </c>
      <c r="Y1568" s="4"/>
      <c r="Z1568" s="4">
        <v>336.6</v>
      </c>
      <c r="AA1568" s="4">
        <v>300</v>
      </c>
      <c r="AB1568" s="18"/>
      <c r="AC1568" s="18">
        <v>29</v>
      </c>
      <c r="AD1568" s="28"/>
      <c r="AE1568" s="26"/>
      <c r="AF1568" s="28"/>
    </row>
    <row r="1569" spans="1:32" ht="12.4" customHeight="1" x14ac:dyDescent="0.25">
      <c r="A1569" s="14">
        <v>45854</v>
      </c>
      <c r="B1569" s="14" t="s">
        <v>46</v>
      </c>
      <c r="C1569" s="15">
        <v>4</v>
      </c>
      <c r="D1569" s="16"/>
      <c r="E1569" s="16"/>
      <c r="F1569" s="17"/>
      <c r="G1569" s="21"/>
      <c r="H1569" s="21"/>
      <c r="I1569" s="4">
        <v>0</v>
      </c>
      <c r="J1569" s="4">
        <v>0</v>
      </c>
      <c r="K1569" s="4"/>
      <c r="L1569" s="16"/>
      <c r="M1569" s="4"/>
      <c r="N1569" s="4"/>
      <c r="O1569" s="4"/>
      <c r="P1569" s="4"/>
      <c r="Q1569" s="4"/>
      <c r="R1569" s="4"/>
      <c r="S1569" s="4">
        <v>0</v>
      </c>
      <c r="T1569" s="4">
        <v>0</v>
      </c>
      <c r="U1569" s="4">
        <v>0</v>
      </c>
      <c r="V1569" s="4">
        <v>12</v>
      </c>
      <c r="W1569" s="4">
        <v>12</v>
      </c>
      <c r="X1569" s="4">
        <v>0</v>
      </c>
      <c r="Y1569" s="4"/>
      <c r="Z1569" s="4">
        <v>537.84</v>
      </c>
      <c r="AA1569" s="4">
        <v>500</v>
      </c>
      <c r="AB1569" s="18"/>
      <c r="AC1569" s="18">
        <v>29</v>
      </c>
      <c r="AD1569" s="28"/>
      <c r="AE1569" s="26"/>
      <c r="AF1569" s="28"/>
    </row>
    <row r="1570" spans="1:32" ht="12.4" customHeight="1" x14ac:dyDescent="0.25">
      <c r="A1570" s="14">
        <v>45854</v>
      </c>
      <c r="B1570" s="14" t="s">
        <v>45</v>
      </c>
      <c r="C1570" s="15">
        <v>5</v>
      </c>
      <c r="D1570" s="16">
        <v>20</v>
      </c>
      <c r="E1570" s="16"/>
      <c r="F1570" s="17"/>
      <c r="G1570" s="21"/>
      <c r="H1570" s="21"/>
      <c r="I1570" s="4">
        <v>20</v>
      </c>
      <c r="J1570" s="4">
        <v>0.33333333333333331</v>
      </c>
      <c r="K1570" s="4"/>
      <c r="L1570" s="16"/>
      <c r="M1570" s="4"/>
      <c r="N1570" s="4"/>
      <c r="O1570" s="4"/>
      <c r="P1570" s="4"/>
      <c r="Q1570" s="4"/>
      <c r="R1570" s="4"/>
      <c r="S1570" s="4">
        <v>0</v>
      </c>
      <c r="T1570" s="4">
        <v>0</v>
      </c>
      <c r="U1570" s="4">
        <v>0.33333333333333331</v>
      </c>
      <c r="V1570" s="4">
        <v>11.666666666666666</v>
      </c>
      <c r="W1570" s="4">
        <v>12</v>
      </c>
      <c r="X1570" s="4">
        <v>0</v>
      </c>
      <c r="Y1570" s="4"/>
      <c r="Z1570" s="4">
        <v>447.77</v>
      </c>
      <c r="AA1570" s="4">
        <v>450</v>
      </c>
      <c r="AB1570" s="18"/>
      <c r="AC1570" s="18">
        <v>29</v>
      </c>
      <c r="AD1570" s="28"/>
      <c r="AE1570" s="26"/>
      <c r="AF1570" s="28"/>
    </row>
    <row r="1571" spans="1:32" ht="12.4" customHeight="1" x14ac:dyDescent="0.25">
      <c r="A1571" s="14">
        <v>45854</v>
      </c>
      <c r="B1571" s="14" t="s">
        <v>46</v>
      </c>
      <c r="C1571" s="15">
        <v>5</v>
      </c>
      <c r="D1571" s="16"/>
      <c r="E1571" s="16"/>
      <c r="F1571" s="17"/>
      <c r="G1571" s="21"/>
      <c r="H1571" s="21"/>
      <c r="I1571" s="4">
        <v>0</v>
      </c>
      <c r="J1571" s="4">
        <v>0</v>
      </c>
      <c r="K1571" s="4"/>
      <c r="L1571" s="16"/>
      <c r="M1571" s="4"/>
      <c r="N1571" s="4"/>
      <c r="O1571" s="4"/>
      <c r="P1571" s="4">
        <v>30</v>
      </c>
      <c r="Q1571" s="4"/>
      <c r="R1571" s="4"/>
      <c r="S1571" s="4">
        <v>30</v>
      </c>
      <c r="T1571" s="4">
        <v>0.5</v>
      </c>
      <c r="U1571" s="4">
        <v>0.5</v>
      </c>
      <c r="V1571" s="4">
        <v>11.5</v>
      </c>
      <c r="W1571" s="4">
        <v>12</v>
      </c>
      <c r="X1571" s="4">
        <v>0</v>
      </c>
      <c r="Y1571" s="4"/>
      <c r="Z1571" s="4">
        <v>408</v>
      </c>
      <c r="AA1571" s="4">
        <v>400</v>
      </c>
      <c r="AB1571" s="18"/>
      <c r="AC1571" s="18">
        <v>29</v>
      </c>
      <c r="AD1571" s="28"/>
      <c r="AE1571" s="26"/>
      <c r="AF1571" s="28"/>
    </row>
    <row r="1572" spans="1:32" ht="12.4" customHeight="1" x14ac:dyDescent="0.25">
      <c r="A1572" s="14">
        <v>45855</v>
      </c>
      <c r="B1572" s="14" t="s">
        <v>45</v>
      </c>
      <c r="C1572" s="15">
        <v>1</v>
      </c>
      <c r="D1572" s="16"/>
      <c r="E1572" s="16"/>
      <c r="F1572" s="17"/>
      <c r="G1572" s="21"/>
      <c r="H1572" s="21"/>
      <c r="I1572" s="4">
        <v>0</v>
      </c>
      <c r="J1572" s="4">
        <v>0</v>
      </c>
      <c r="K1572" s="4"/>
      <c r="L1572" s="16"/>
      <c r="M1572" s="4"/>
      <c r="N1572" s="4"/>
      <c r="O1572" s="4"/>
      <c r="P1572" s="4"/>
      <c r="Q1572" s="4"/>
      <c r="R1572" s="4"/>
      <c r="S1572" s="4">
        <v>0</v>
      </c>
      <c r="T1572" s="4">
        <v>0</v>
      </c>
      <c r="U1572" s="4">
        <v>0</v>
      </c>
      <c r="V1572" s="4">
        <v>12</v>
      </c>
      <c r="W1572" s="4">
        <v>12</v>
      </c>
      <c r="X1572" s="4">
        <v>23</v>
      </c>
      <c r="Y1572" s="4">
        <v>1863.5</v>
      </c>
      <c r="Z1572" s="4">
        <v>166.4</v>
      </c>
      <c r="AA1572" s="4">
        <v>150</v>
      </c>
      <c r="AB1572" s="18">
        <v>398</v>
      </c>
      <c r="AC1572" s="18">
        <v>29</v>
      </c>
      <c r="AD1572" s="28"/>
      <c r="AE1572" s="26"/>
      <c r="AF1572" s="28"/>
    </row>
    <row r="1573" spans="1:32" ht="12.4" customHeight="1" x14ac:dyDescent="0.25">
      <c r="A1573" s="14">
        <v>45855</v>
      </c>
      <c r="B1573" s="14" t="s">
        <v>46</v>
      </c>
      <c r="C1573" s="15">
        <v>1</v>
      </c>
      <c r="D1573" s="16"/>
      <c r="E1573" s="16"/>
      <c r="F1573" s="17"/>
      <c r="G1573" s="21"/>
      <c r="H1573" s="21"/>
      <c r="I1573" s="4">
        <v>0</v>
      </c>
      <c r="J1573" s="4">
        <v>0</v>
      </c>
      <c r="K1573" s="4"/>
      <c r="L1573" s="16"/>
      <c r="M1573" s="4"/>
      <c r="N1573" s="4"/>
      <c r="O1573" s="4"/>
      <c r="P1573" s="4"/>
      <c r="Q1573" s="4"/>
      <c r="R1573" s="4"/>
      <c r="S1573" s="4">
        <v>0</v>
      </c>
      <c r="T1573" s="4">
        <v>0</v>
      </c>
      <c r="U1573" s="4">
        <v>0</v>
      </c>
      <c r="V1573" s="4">
        <v>12</v>
      </c>
      <c r="W1573" s="4">
        <v>12</v>
      </c>
      <c r="X1573" s="4">
        <v>51</v>
      </c>
      <c r="Y1573" s="4"/>
      <c r="Z1573" s="4">
        <v>133.80000000000001</v>
      </c>
      <c r="AA1573" s="4">
        <v>150</v>
      </c>
      <c r="AB1573" s="18"/>
      <c r="AC1573" s="18">
        <v>29</v>
      </c>
      <c r="AD1573" s="28"/>
      <c r="AE1573" s="26"/>
      <c r="AF1573" s="28"/>
    </row>
    <row r="1574" spans="1:32" ht="12.4" customHeight="1" x14ac:dyDescent="0.25">
      <c r="A1574" s="14">
        <v>45855</v>
      </c>
      <c r="B1574" s="14" t="s">
        <v>45</v>
      </c>
      <c r="C1574" s="15">
        <v>2</v>
      </c>
      <c r="D1574" s="16"/>
      <c r="E1574" s="16"/>
      <c r="F1574" s="17"/>
      <c r="G1574" s="21"/>
      <c r="H1574" s="21"/>
      <c r="I1574" s="4">
        <v>0</v>
      </c>
      <c r="J1574" s="4">
        <v>0</v>
      </c>
      <c r="K1574" s="4"/>
      <c r="L1574" s="16"/>
      <c r="M1574" s="4"/>
      <c r="N1574" s="4"/>
      <c r="O1574" s="4"/>
      <c r="P1574" s="4"/>
      <c r="Q1574" s="4"/>
      <c r="R1574" s="4"/>
      <c r="S1574" s="4">
        <v>0</v>
      </c>
      <c r="T1574" s="4">
        <v>0</v>
      </c>
      <c r="U1574" s="4">
        <v>0</v>
      </c>
      <c r="V1574" s="4">
        <v>12</v>
      </c>
      <c r="W1574" s="4">
        <v>12</v>
      </c>
      <c r="X1574" s="4">
        <v>0</v>
      </c>
      <c r="Y1574" s="4"/>
      <c r="Z1574" s="4">
        <v>80.08</v>
      </c>
      <c r="AA1574" s="4">
        <v>100</v>
      </c>
      <c r="AB1574" s="18"/>
      <c r="AC1574" s="18">
        <v>29</v>
      </c>
      <c r="AD1574" s="28"/>
      <c r="AE1574" s="26"/>
      <c r="AF1574" s="28"/>
    </row>
    <row r="1575" spans="1:32" ht="12.4" customHeight="1" x14ac:dyDescent="0.25">
      <c r="A1575" s="14">
        <v>45855</v>
      </c>
      <c r="B1575" s="14" t="s">
        <v>46</v>
      </c>
      <c r="C1575" s="15">
        <v>2</v>
      </c>
      <c r="D1575" s="16"/>
      <c r="E1575" s="16"/>
      <c r="F1575" s="17"/>
      <c r="G1575" s="21"/>
      <c r="H1575" s="21"/>
      <c r="I1575" s="4">
        <v>0</v>
      </c>
      <c r="J1575" s="4">
        <v>0</v>
      </c>
      <c r="K1575" s="4"/>
      <c r="L1575" s="16"/>
      <c r="M1575" s="4"/>
      <c r="N1575" s="4"/>
      <c r="O1575" s="4"/>
      <c r="P1575" s="4"/>
      <c r="Q1575" s="4"/>
      <c r="R1575" s="4"/>
      <c r="S1575" s="4">
        <v>0</v>
      </c>
      <c r="T1575" s="4">
        <v>0</v>
      </c>
      <c r="U1575" s="4">
        <v>0</v>
      </c>
      <c r="V1575" s="4">
        <v>12</v>
      </c>
      <c r="W1575" s="4">
        <v>12</v>
      </c>
      <c r="X1575" s="4">
        <v>0</v>
      </c>
      <c r="Y1575" s="4"/>
      <c r="Z1575" s="4">
        <v>77.67</v>
      </c>
      <c r="AA1575" s="4">
        <v>100</v>
      </c>
      <c r="AB1575" s="18"/>
      <c r="AC1575" s="18">
        <v>29</v>
      </c>
      <c r="AD1575" s="28"/>
      <c r="AE1575" s="26"/>
      <c r="AF1575" s="28"/>
    </row>
    <row r="1576" spans="1:32" ht="12.4" customHeight="1" x14ac:dyDescent="0.25">
      <c r="A1576" s="14">
        <v>45855</v>
      </c>
      <c r="B1576" s="14" t="s">
        <v>45</v>
      </c>
      <c r="C1576" s="15">
        <v>3</v>
      </c>
      <c r="D1576" s="16"/>
      <c r="E1576" s="16"/>
      <c r="F1576" s="17"/>
      <c r="G1576" s="21"/>
      <c r="H1576" s="21"/>
      <c r="I1576" s="4">
        <v>0</v>
      </c>
      <c r="J1576" s="4">
        <v>0</v>
      </c>
      <c r="K1576" s="4"/>
      <c r="L1576" s="16"/>
      <c r="M1576" s="4"/>
      <c r="N1576" s="4"/>
      <c r="O1576" s="4"/>
      <c r="P1576" s="4"/>
      <c r="Q1576" s="4"/>
      <c r="R1576" s="4"/>
      <c r="S1576" s="4">
        <v>0</v>
      </c>
      <c r="T1576" s="4">
        <v>0</v>
      </c>
      <c r="U1576" s="4">
        <v>0</v>
      </c>
      <c r="V1576" s="4">
        <v>12</v>
      </c>
      <c r="W1576" s="4">
        <v>12</v>
      </c>
      <c r="X1576" s="4">
        <v>0</v>
      </c>
      <c r="Y1576" s="4"/>
      <c r="Z1576" s="4">
        <v>280.87000000000006</v>
      </c>
      <c r="AA1576" s="4">
        <v>350</v>
      </c>
      <c r="AB1576" s="18"/>
      <c r="AC1576" s="18">
        <v>29</v>
      </c>
      <c r="AD1576" s="28"/>
      <c r="AE1576" s="26"/>
      <c r="AF1576" s="28"/>
    </row>
    <row r="1577" spans="1:32" ht="12.4" customHeight="1" x14ac:dyDescent="0.25">
      <c r="A1577" s="14">
        <v>45855</v>
      </c>
      <c r="B1577" s="14" t="s">
        <v>46</v>
      </c>
      <c r="C1577" s="15">
        <v>3</v>
      </c>
      <c r="D1577" s="16"/>
      <c r="E1577" s="16"/>
      <c r="F1577" s="17"/>
      <c r="G1577" s="21"/>
      <c r="H1577" s="21"/>
      <c r="I1577" s="4">
        <v>0</v>
      </c>
      <c r="J1577" s="4">
        <v>0</v>
      </c>
      <c r="K1577" s="4"/>
      <c r="L1577" s="16"/>
      <c r="M1577" s="4"/>
      <c r="N1577" s="4"/>
      <c r="O1577" s="4"/>
      <c r="P1577" s="4"/>
      <c r="Q1577" s="4"/>
      <c r="R1577" s="4"/>
      <c r="S1577" s="4">
        <v>0</v>
      </c>
      <c r="T1577" s="4">
        <v>0</v>
      </c>
      <c r="U1577" s="4">
        <v>0</v>
      </c>
      <c r="V1577" s="4">
        <v>12</v>
      </c>
      <c r="W1577" s="4">
        <v>12</v>
      </c>
      <c r="X1577" s="4">
        <v>0</v>
      </c>
      <c r="Y1577" s="4"/>
      <c r="Z1577" s="4">
        <v>279.89999999999998</v>
      </c>
      <c r="AA1577" s="4">
        <v>300</v>
      </c>
      <c r="AB1577" s="18"/>
      <c r="AC1577" s="18">
        <v>29</v>
      </c>
      <c r="AD1577" s="28"/>
      <c r="AE1577" s="26"/>
      <c r="AF1577" s="28"/>
    </row>
    <row r="1578" spans="1:32" ht="12.4" customHeight="1" x14ac:dyDescent="0.25">
      <c r="A1578" s="14">
        <v>45855</v>
      </c>
      <c r="B1578" s="14" t="s">
        <v>45</v>
      </c>
      <c r="C1578" s="15">
        <v>4</v>
      </c>
      <c r="D1578" s="16"/>
      <c r="E1578" s="16"/>
      <c r="F1578" s="17"/>
      <c r="G1578" s="21"/>
      <c r="H1578" s="21"/>
      <c r="I1578" s="4">
        <v>0</v>
      </c>
      <c r="J1578" s="4">
        <v>0</v>
      </c>
      <c r="K1578" s="4"/>
      <c r="L1578" s="16"/>
      <c r="M1578" s="4"/>
      <c r="N1578" s="4"/>
      <c r="O1578" s="4"/>
      <c r="P1578" s="4"/>
      <c r="Q1578" s="4"/>
      <c r="R1578" s="4"/>
      <c r="S1578" s="4">
        <v>0</v>
      </c>
      <c r="T1578" s="4">
        <v>0</v>
      </c>
      <c r="U1578" s="4">
        <v>0</v>
      </c>
      <c r="V1578" s="4">
        <v>12</v>
      </c>
      <c r="W1578" s="4">
        <v>12</v>
      </c>
      <c r="X1578" s="4">
        <v>0</v>
      </c>
      <c r="Y1578" s="4"/>
      <c r="Z1578" s="4">
        <v>700.30000000000007</v>
      </c>
      <c r="AA1578" s="4">
        <v>750</v>
      </c>
      <c r="AB1578" s="18"/>
      <c r="AC1578" s="18">
        <v>29</v>
      </c>
      <c r="AD1578" s="28"/>
      <c r="AE1578" s="26"/>
      <c r="AF1578" s="28"/>
    </row>
    <row r="1579" spans="1:32" ht="12.4" customHeight="1" x14ac:dyDescent="0.25">
      <c r="A1579" s="14">
        <v>45855</v>
      </c>
      <c r="B1579" s="14" t="s">
        <v>46</v>
      </c>
      <c r="C1579" s="15">
        <v>4</v>
      </c>
      <c r="D1579" s="16"/>
      <c r="E1579" s="16"/>
      <c r="F1579" s="17"/>
      <c r="G1579" s="21"/>
      <c r="H1579" s="21"/>
      <c r="I1579" s="4">
        <v>0</v>
      </c>
      <c r="J1579" s="4">
        <v>0</v>
      </c>
      <c r="K1579" s="4"/>
      <c r="L1579" s="16"/>
      <c r="M1579" s="4"/>
      <c r="N1579" s="4"/>
      <c r="O1579" s="4"/>
      <c r="P1579" s="4"/>
      <c r="Q1579" s="4"/>
      <c r="R1579" s="4"/>
      <c r="S1579" s="4">
        <v>0</v>
      </c>
      <c r="T1579" s="4">
        <v>0</v>
      </c>
      <c r="U1579" s="4">
        <v>0</v>
      </c>
      <c r="V1579" s="4">
        <v>12</v>
      </c>
      <c r="W1579" s="4">
        <v>12</v>
      </c>
      <c r="X1579" s="4">
        <v>0</v>
      </c>
      <c r="Y1579" s="4"/>
      <c r="Z1579" s="4">
        <v>575</v>
      </c>
      <c r="AA1579" s="4">
        <v>600</v>
      </c>
      <c r="AB1579" s="18"/>
      <c r="AC1579" s="18">
        <v>29</v>
      </c>
      <c r="AD1579" s="28"/>
      <c r="AE1579" s="26"/>
      <c r="AF1579" s="28"/>
    </row>
    <row r="1580" spans="1:32" ht="12.4" customHeight="1" x14ac:dyDescent="0.25">
      <c r="A1580" s="14">
        <v>45855</v>
      </c>
      <c r="B1580" s="14" t="s">
        <v>45</v>
      </c>
      <c r="C1580" s="15">
        <v>5</v>
      </c>
      <c r="D1580" s="16">
        <v>40</v>
      </c>
      <c r="E1580" s="16"/>
      <c r="F1580" s="17"/>
      <c r="G1580" s="21"/>
      <c r="H1580" s="21"/>
      <c r="I1580" s="4">
        <v>40</v>
      </c>
      <c r="J1580" s="4">
        <v>0.66666666666666663</v>
      </c>
      <c r="K1580" s="4"/>
      <c r="L1580" s="16"/>
      <c r="M1580" s="4"/>
      <c r="N1580" s="4"/>
      <c r="O1580" s="4"/>
      <c r="P1580" s="4"/>
      <c r="Q1580" s="4"/>
      <c r="R1580" s="4"/>
      <c r="S1580" s="4">
        <v>0</v>
      </c>
      <c r="T1580" s="4">
        <v>0</v>
      </c>
      <c r="U1580" s="4">
        <v>0.66666666666666663</v>
      </c>
      <c r="V1580" s="4">
        <v>11.333333333333334</v>
      </c>
      <c r="W1580" s="4">
        <v>12</v>
      </c>
      <c r="X1580" s="4">
        <v>0</v>
      </c>
      <c r="Y1580" s="4"/>
      <c r="Z1580" s="4">
        <v>398.4</v>
      </c>
      <c r="AA1580" s="4">
        <v>400</v>
      </c>
      <c r="AB1580" s="18"/>
      <c r="AC1580" s="18">
        <v>29</v>
      </c>
      <c r="AD1580" s="28"/>
      <c r="AE1580" s="26"/>
      <c r="AF1580" s="28"/>
    </row>
    <row r="1581" spans="1:32" ht="12.4" customHeight="1" x14ac:dyDescent="0.25">
      <c r="A1581" s="14">
        <v>45855</v>
      </c>
      <c r="B1581" s="14" t="s">
        <v>46</v>
      </c>
      <c r="C1581" s="15">
        <v>5</v>
      </c>
      <c r="D1581" s="16"/>
      <c r="E1581" s="16"/>
      <c r="F1581" s="17"/>
      <c r="G1581" s="21"/>
      <c r="H1581" s="21"/>
      <c r="I1581" s="4">
        <v>0</v>
      </c>
      <c r="J1581" s="4">
        <v>0</v>
      </c>
      <c r="K1581" s="4"/>
      <c r="L1581" s="16"/>
      <c r="M1581" s="4"/>
      <c r="N1581" s="4"/>
      <c r="O1581" s="4"/>
      <c r="P1581" s="4"/>
      <c r="Q1581" s="4"/>
      <c r="R1581" s="4"/>
      <c r="S1581" s="4">
        <v>0</v>
      </c>
      <c r="T1581" s="4">
        <v>0</v>
      </c>
      <c r="U1581" s="4">
        <v>0</v>
      </c>
      <c r="V1581" s="4">
        <v>12</v>
      </c>
      <c r="W1581" s="4">
        <v>12</v>
      </c>
      <c r="X1581" s="4">
        <v>0</v>
      </c>
      <c r="Y1581" s="4"/>
      <c r="Z1581" s="4">
        <v>282.89999999999998</v>
      </c>
      <c r="AA1581" s="4">
        <v>300</v>
      </c>
      <c r="AB1581" s="18"/>
      <c r="AC1581" s="18">
        <v>29</v>
      </c>
      <c r="AD1581" s="28"/>
      <c r="AE1581" s="26"/>
      <c r="AF1581" s="28"/>
    </row>
    <row r="1582" spans="1:32" ht="12.4" customHeight="1" x14ac:dyDescent="0.25">
      <c r="A1582" s="14">
        <v>45856</v>
      </c>
      <c r="B1582" s="14" t="s">
        <v>45</v>
      </c>
      <c r="C1582" s="15">
        <v>1</v>
      </c>
      <c r="D1582" s="16"/>
      <c r="E1582" s="16"/>
      <c r="F1582" s="17"/>
      <c r="G1582" s="21"/>
      <c r="H1582" s="21"/>
      <c r="I1582" s="4">
        <v>0</v>
      </c>
      <c r="J1582" s="4">
        <v>0</v>
      </c>
      <c r="K1582" s="4"/>
      <c r="L1582" s="16"/>
      <c r="M1582" s="4"/>
      <c r="N1582" s="4"/>
      <c r="O1582" s="4"/>
      <c r="P1582" s="4"/>
      <c r="Q1582" s="4"/>
      <c r="R1582" s="4"/>
      <c r="S1582" s="4">
        <v>0</v>
      </c>
      <c r="T1582" s="4">
        <v>0</v>
      </c>
      <c r="U1582" s="4">
        <v>0</v>
      </c>
      <c r="V1582" s="4">
        <v>12</v>
      </c>
      <c r="W1582" s="4">
        <v>12</v>
      </c>
      <c r="X1582" s="4">
        <v>23.5</v>
      </c>
      <c r="Y1582" s="4">
        <v>1956</v>
      </c>
      <c r="Z1582" s="4">
        <v>162.20000000000002</v>
      </c>
      <c r="AA1582" s="4">
        <v>150</v>
      </c>
      <c r="AB1582" s="18">
        <v>398</v>
      </c>
      <c r="AC1582" s="18">
        <v>29</v>
      </c>
      <c r="AD1582" s="28"/>
      <c r="AE1582" s="26"/>
      <c r="AF1582" s="28"/>
    </row>
    <row r="1583" spans="1:32" ht="12.4" customHeight="1" x14ac:dyDescent="0.25">
      <c r="A1583" s="14">
        <v>45856</v>
      </c>
      <c r="B1583" s="14" t="s">
        <v>46</v>
      </c>
      <c r="C1583" s="15">
        <v>1</v>
      </c>
      <c r="D1583" s="16"/>
      <c r="E1583" s="16"/>
      <c r="F1583" s="17"/>
      <c r="G1583" s="21"/>
      <c r="H1583" s="21"/>
      <c r="I1583" s="4">
        <v>0</v>
      </c>
      <c r="J1583" s="4">
        <v>0</v>
      </c>
      <c r="K1583" s="4"/>
      <c r="L1583" s="16"/>
      <c r="M1583" s="4"/>
      <c r="N1583" s="4"/>
      <c r="O1583" s="4"/>
      <c r="P1583" s="4"/>
      <c r="Q1583" s="4"/>
      <c r="R1583" s="4"/>
      <c r="S1583" s="4">
        <v>0</v>
      </c>
      <c r="T1583" s="4">
        <v>0</v>
      </c>
      <c r="U1583" s="4">
        <v>0</v>
      </c>
      <c r="V1583" s="4">
        <v>12</v>
      </c>
      <c r="W1583" s="4">
        <v>12</v>
      </c>
      <c r="X1583" s="4">
        <v>48.5</v>
      </c>
      <c r="Y1583" s="4"/>
      <c r="Z1583" s="4">
        <v>201.84</v>
      </c>
      <c r="AA1583" s="4">
        <v>200</v>
      </c>
      <c r="AB1583" s="18"/>
      <c r="AC1583" s="18">
        <v>29</v>
      </c>
      <c r="AD1583" s="28"/>
      <c r="AE1583" s="26"/>
      <c r="AF1583" s="28"/>
    </row>
    <row r="1584" spans="1:32" ht="12.4" customHeight="1" x14ac:dyDescent="0.25">
      <c r="A1584" s="14">
        <v>45856</v>
      </c>
      <c r="B1584" s="14" t="s">
        <v>45</v>
      </c>
      <c r="C1584" s="15">
        <v>2</v>
      </c>
      <c r="D1584" s="16"/>
      <c r="E1584" s="16"/>
      <c r="F1584" s="17"/>
      <c r="G1584" s="21"/>
      <c r="H1584" s="21"/>
      <c r="I1584" s="4">
        <v>0</v>
      </c>
      <c r="J1584" s="4">
        <v>0</v>
      </c>
      <c r="K1584" s="4"/>
      <c r="L1584" s="16"/>
      <c r="M1584" s="4"/>
      <c r="N1584" s="4"/>
      <c r="O1584" s="4"/>
      <c r="P1584" s="4"/>
      <c r="Q1584" s="4"/>
      <c r="R1584" s="4"/>
      <c r="S1584" s="4">
        <v>0</v>
      </c>
      <c r="T1584" s="4">
        <v>0</v>
      </c>
      <c r="U1584" s="4">
        <v>0</v>
      </c>
      <c r="V1584" s="4">
        <v>12</v>
      </c>
      <c r="W1584" s="4">
        <v>12</v>
      </c>
      <c r="X1584" s="4">
        <v>0</v>
      </c>
      <c r="Y1584" s="4"/>
      <c r="Z1584" s="4">
        <v>80.000000000000014</v>
      </c>
      <c r="AA1584" s="4">
        <v>100</v>
      </c>
      <c r="AB1584" s="18"/>
      <c r="AC1584" s="18">
        <v>29</v>
      </c>
      <c r="AD1584" s="28"/>
      <c r="AE1584" s="26"/>
      <c r="AF1584" s="28"/>
    </row>
    <row r="1585" spans="1:32" ht="12.4" customHeight="1" x14ac:dyDescent="0.25">
      <c r="A1585" s="14">
        <v>45856</v>
      </c>
      <c r="B1585" s="14" t="s">
        <v>46</v>
      </c>
      <c r="C1585" s="15">
        <v>2</v>
      </c>
      <c r="D1585" s="16"/>
      <c r="E1585" s="16"/>
      <c r="F1585" s="17"/>
      <c r="G1585" s="21"/>
      <c r="H1585" s="21"/>
      <c r="I1585" s="4">
        <v>0</v>
      </c>
      <c r="J1585" s="4">
        <v>0</v>
      </c>
      <c r="K1585" s="4"/>
      <c r="L1585" s="16"/>
      <c r="M1585" s="4"/>
      <c r="N1585" s="4"/>
      <c r="O1585" s="4"/>
      <c r="P1585" s="4"/>
      <c r="Q1585" s="4"/>
      <c r="R1585" s="4"/>
      <c r="S1585" s="4">
        <v>0</v>
      </c>
      <c r="T1585" s="4">
        <v>0</v>
      </c>
      <c r="U1585" s="4">
        <v>0</v>
      </c>
      <c r="V1585" s="4">
        <v>12</v>
      </c>
      <c r="W1585" s="4">
        <v>12</v>
      </c>
      <c r="X1585" s="4">
        <v>0</v>
      </c>
      <c r="Y1585" s="4"/>
      <c r="Z1585" s="4">
        <v>87.4</v>
      </c>
      <c r="AA1585" s="4">
        <v>100</v>
      </c>
      <c r="AB1585" s="18"/>
      <c r="AC1585" s="18">
        <v>29</v>
      </c>
      <c r="AD1585" s="28"/>
      <c r="AE1585" s="26"/>
      <c r="AF1585" s="28"/>
    </row>
    <row r="1586" spans="1:32" ht="12.4" customHeight="1" x14ac:dyDescent="0.25">
      <c r="A1586" s="14">
        <v>45856</v>
      </c>
      <c r="B1586" s="14" t="s">
        <v>45</v>
      </c>
      <c r="C1586" s="15">
        <v>3</v>
      </c>
      <c r="D1586" s="16"/>
      <c r="E1586" s="16"/>
      <c r="F1586" s="17"/>
      <c r="G1586" s="21"/>
      <c r="H1586" s="21"/>
      <c r="I1586" s="4">
        <v>0</v>
      </c>
      <c r="J1586" s="4">
        <v>0</v>
      </c>
      <c r="K1586" s="4"/>
      <c r="L1586" s="16"/>
      <c r="M1586" s="4"/>
      <c r="N1586" s="4"/>
      <c r="O1586" s="4"/>
      <c r="P1586" s="4">
        <v>90</v>
      </c>
      <c r="Q1586" s="4"/>
      <c r="R1586" s="4"/>
      <c r="S1586" s="4">
        <v>90</v>
      </c>
      <c r="T1586" s="4">
        <v>1.5</v>
      </c>
      <c r="U1586" s="4">
        <v>1.5</v>
      </c>
      <c r="V1586" s="4">
        <v>10.5</v>
      </c>
      <c r="W1586" s="4">
        <v>12</v>
      </c>
      <c r="X1586" s="4">
        <v>0</v>
      </c>
      <c r="Y1586" s="4"/>
      <c r="Z1586" s="4">
        <v>257.32000000000005</v>
      </c>
      <c r="AA1586" s="4">
        <v>300</v>
      </c>
      <c r="AB1586" s="18"/>
      <c r="AC1586" s="18">
        <v>29</v>
      </c>
      <c r="AD1586" s="28"/>
      <c r="AE1586" s="26"/>
      <c r="AF1586" s="28"/>
    </row>
    <row r="1587" spans="1:32" ht="12.4" customHeight="1" x14ac:dyDescent="0.25">
      <c r="A1587" s="14">
        <v>45856</v>
      </c>
      <c r="B1587" s="14" t="s">
        <v>46</v>
      </c>
      <c r="C1587" s="15">
        <v>3</v>
      </c>
      <c r="D1587" s="16"/>
      <c r="E1587" s="16"/>
      <c r="F1587" s="17"/>
      <c r="G1587" s="21"/>
      <c r="H1587" s="21"/>
      <c r="I1587" s="4">
        <v>0</v>
      </c>
      <c r="J1587" s="4">
        <v>0</v>
      </c>
      <c r="K1587" s="4"/>
      <c r="L1587" s="16"/>
      <c r="M1587" s="4"/>
      <c r="N1587" s="4"/>
      <c r="O1587" s="4"/>
      <c r="P1587" s="4"/>
      <c r="Q1587" s="4"/>
      <c r="R1587" s="4"/>
      <c r="S1587" s="4">
        <v>0</v>
      </c>
      <c r="T1587" s="4">
        <v>0</v>
      </c>
      <c r="U1587" s="4">
        <v>0</v>
      </c>
      <c r="V1587" s="4">
        <v>12</v>
      </c>
      <c r="W1587" s="4">
        <v>12</v>
      </c>
      <c r="X1587" s="4">
        <v>0</v>
      </c>
      <c r="Y1587" s="4"/>
      <c r="Z1587" s="4">
        <v>226.2</v>
      </c>
      <c r="AA1587" s="4">
        <v>250</v>
      </c>
      <c r="AB1587" s="18"/>
      <c r="AC1587" s="18">
        <v>29</v>
      </c>
      <c r="AD1587" s="28"/>
      <c r="AE1587" s="26"/>
      <c r="AF1587" s="28"/>
    </row>
    <row r="1588" spans="1:32" ht="12.4" customHeight="1" x14ac:dyDescent="0.25">
      <c r="A1588" s="14">
        <v>45856</v>
      </c>
      <c r="B1588" s="14" t="s">
        <v>45</v>
      </c>
      <c r="C1588" s="15">
        <v>4</v>
      </c>
      <c r="D1588" s="16">
        <v>20</v>
      </c>
      <c r="E1588" s="16"/>
      <c r="F1588" s="17"/>
      <c r="G1588" s="21"/>
      <c r="H1588" s="21"/>
      <c r="I1588" s="4">
        <v>20</v>
      </c>
      <c r="J1588" s="4">
        <v>0.33333333333333331</v>
      </c>
      <c r="K1588" s="4"/>
      <c r="L1588" s="16"/>
      <c r="M1588" s="4"/>
      <c r="N1588" s="4"/>
      <c r="O1588" s="4"/>
      <c r="P1588" s="4"/>
      <c r="Q1588" s="4"/>
      <c r="R1588" s="4"/>
      <c r="S1588" s="4">
        <v>0</v>
      </c>
      <c r="T1588" s="4">
        <v>0</v>
      </c>
      <c r="U1588" s="4">
        <v>0.33333333333333331</v>
      </c>
      <c r="V1588" s="4">
        <v>11.666666666666666</v>
      </c>
      <c r="W1588" s="4">
        <v>12</v>
      </c>
      <c r="X1588" s="4">
        <v>0</v>
      </c>
      <c r="Y1588" s="4"/>
      <c r="Z1588" s="4">
        <v>658.73</v>
      </c>
      <c r="AA1588" s="4">
        <v>700</v>
      </c>
      <c r="AB1588" s="18"/>
      <c r="AC1588" s="18">
        <v>29</v>
      </c>
      <c r="AD1588" s="28"/>
      <c r="AE1588" s="26"/>
      <c r="AF1588" s="28"/>
    </row>
    <row r="1589" spans="1:32" ht="12.4" customHeight="1" x14ac:dyDescent="0.25">
      <c r="A1589" s="14">
        <v>45856</v>
      </c>
      <c r="B1589" s="14" t="s">
        <v>46</v>
      </c>
      <c r="C1589" s="15">
        <v>4</v>
      </c>
      <c r="D1589" s="16"/>
      <c r="E1589" s="16"/>
      <c r="F1589" s="17"/>
      <c r="G1589" s="21"/>
      <c r="H1589" s="21"/>
      <c r="I1589" s="4">
        <v>0</v>
      </c>
      <c r="J1589" s="4">
        <v>0</v>
      </c>
      <c r="K1589" s="4"/>
      <c r="L1589" s="16"/>
      <c r="M1589" s="4"/>
      <c r="N1589" s="4"/>
      <c r="O1589" s="4"/>
      <c r="P1589" s="4"/>
      <c r="Q1589" s="4"/>
      <c r="R1589" s="4"/>
      <c r="S1589" s="4">
        <v>0</v>
      </c>
      <c r="T1589" s="4">
        <v>0</v>
      </c>
      <c r="U1589" s="4">
        <v>0</v>
      </c>
      <c r="V1589" s="4">
        <v>12</v>
      </c>
      <c r="W1589" s="4">
        <v>12</v>
      </c>
      <c r="X1589" s="4">
        <v>0</v>
      </c>
      <c r="Y1589" s="4"/>
      <c r="Z1589" s="4">
        <v>658.9</v>
      </c>
      <c r="AA1589" s="4">
        <v>650</v>
      </c>
      <c r="AB1589" s="18"/>
      <c r="AC1589" s="18">
        <v>29</v>
      </c>
      <c r="AD1589" s="28"/>
      <c r="AE1589" s="26"/>
      <c r="AF1589" s="28"/>
    </row>
    <row r="1590" spans="1:32" ht="12.4" customHeight="1" x14ac:dyDescent="0.25">
      <c r="A1590" s="14">
        <v>45856</v>
      </c>
      <c r="B1590" s="14" t="s">
        <v>45</v>
      </c>
      <c r="C1590" s="15">
        <v>5</v>
      </c>
      <c r="D1590" s="16"/>
      <c r="E1590" s="16"/>
      <c r="F1590" s="17"/>
      <c r="G1590" s="21"/>
      <c r="H1590" s="21"/>
      <c r="I1590" s="4">
        <v>0</v>
      </c>
      <c r="J1590" s="4">
        <v>0</v>
      </c>
      <c r="K1590" s="4"/>
      <c r="L1590" s="16"/>
      <c r="M1590" s="4"/>
      <c r="N1590" s="4"/>
      <c r="O1590" s="4"/>
      <c r="P1590" s="4"/>
      <c r="Q1590" s="4"/>
      <c r="R1590" s="4"/>
      <c r="S1590" s="4">
        <v>0</v>
      </c>
      <c r="T1590" s="4">
        <v>0</v>
      </c>
      <c r="U1590" s="4">
        <v>0</v>
      </c>
      <c r="V1590" s="4">
        <v>12</v>
      </c>
      <c r="W1590" s="4">
        <v>12</v>
      </c>
      <c r="X1590" s="4">
        <v>0</v>
      </c>
      <c r="Y1590" s="4"/>
      <c r="Z1590" s="4">
        <v>420.99</v>
      </c>
      <c r="AA1590" s="4">
        <v>400</v>
      </c>
      <c r="AB1590" s="18"/>
      <c r="AC1590" s="18">
        <v>29</v>
      </c>
      <c r="AD1590" s="28"/>
      <c r="AE1590" s="26"/>
      <c r="AF1590" s="28"/>
    </row>
    <row r="1591" spans="1:32" ht="12.4" customHeight="1" x14ac:dyDescent="0.25">
      <c r="A1591" s="14">
        <v>45856</v>
      </c>
      <c r="B1591" s="14" t="s">
        <v>46</v>
      </c>
      <c r="C1591" s="15">
        <v>5</v>
      </c>
      <c r="D1591" s="16"/>
      <c r="E1591" s="16"/>
      <c r="F1591" s="17"/>
      <c r="G1591" s="21"/>
      <c r="H1591" s="21"/>
      <c r="I1591" s="4">
        <v>0</v>
      </c>
      <c r="J1591" s="4">
        <v>0</v>
      </c>
      <c r="K1591" s="4"/>
      <c r="L1591" s="16"/>
      <c r="M1591" s="4"/>
      <c r="N1591" s="4"/>
      <c r="O1591" s="4"/>
      <c r="P1591" s="4"/>
      <c r="Q1591" s="4"/>
      <c r="R1591" s="4"/>
      <c r="S1591" s="4">
        <v>0</v>
      </c>
      <c r="T1591" s="4">
        <v>0</v>
      </c>
      <c r="U1591" s="4">
        <v>0</v>
      </c>
      <c r="V1591" s="4">
        <v>12</v>
      </c>
      <c r="W1591" s="4">
        <v>12</v>
      </c>
      <c r="X1591" s="4">
        <v>0</v>
      </c>
      <c r="Y1591" s="4"/>
      <c r="Z1591" s="4">
        <v>450.29999999999995</v>
      </c>
      <c r="AA1591" s="4">
        <v>450</v>
      </c>
      <c r="AB1591" s="18"/>
      <c r="AC1591" s="18">
        <v>29</v>
      </c>
      <c r="AD1591" s="28"/>
      <c r="AE1591" s="26"/>
      <c r="AF1591" s="28"/>
    </row>
    <row r="1592" spans="1:32" ht="12.4" customHeight="1" x14ac:dyDescent="0.25">
      <c r="A1592" s="14">
        <v>45857</v>
      </c>
      <c r="B1592" s="14" t="s">
        <v>45</v>
      </c>
      <c r="C1592" s="15">
        <v>1</v>
      </c>
      <c r="D1592" s="16"/>
      <c r="E1592" s="16"/>
      <c r="F1592" s="17"/>
      <c r="G1592" s="21"/>
      <c r="H1592" s="21"/>
      <c r="I1592" s="4">
        <v>0</v>
      </c>
      <c r="J1592" s="4">
        <v>0</v>
      </c>
      <c r="K1592" s="4"/>
      <c r="L1592" s="16"/>
      <c r="M1592" s="4"/>
      <c r="N1592" s="4"/>
      <c r="O1592" s="4"/>
      <c r="P1592" s="4">
        <v>150</v>
      </c>
      <c r="Q1592" s="4"/>
      <c r="R1592" s="4"/>
      <c r="S1592" s="4">
        <v>150</v>
      </c>
      <c r="T1592" s="4">
        <v>2.5</v>
      </c>
      <c r="U1592" s="4">
        <v>2.5</v>
      </c>
      <c r="V1592" s="4">
        <v>9.5</v>
      </c>
      <c r="W1592" s="4">
        <v>12</v>
      </c>
      <c r="X1592" s="4">
        <v>30</v>
      </c>
      <c r="Y1592" s="4">
        <v>1715</v>
      </c>
      <c r="Z1592" s="4">
        <v>183.39999999999998</v>
      </c>
      <c r="AA1592" s="4">
        <v>150</v>
      </c>
      <c r="AB1592" s="18">
        <v>398</v>
      </c>
      <c r="AC1592" s="18">
        <v>29</v>
      </c>
      <c r="AD1592" s="28"/>
      <c r="AE1592" s="26"/>
      <c r="AF1592" s="28"/>
    </row>
    <row r="1593" spans="1:32" ht="12.4" customHeight="1" x14ac:dyDescent="0.25">
      <c r="A1593" s="14">
        <v>45857</v>
      </c>
      <c r="B1593" s="14" t="s">
        <v>46</v>
      </c>
      <c r="C1593" s="15">
        <v>1</v>
      </c>
      <c r="D1593" s="16"/>
      <c r="E1593" s="16"/>
      <c r="F1593" s="17"/>
      <c r="G1593" s="21"/>
      <c r="H1593" s="21"/>
      <c r="I1593" s="4">
        <v>0</v>
      </c>
      <c r="J1593" s="4">
        <v>0</v>
      </c>
      <c r="K1593" s="4"/>
      <c r="L1593" s="16"/>
      <c r="M1593" s="4"/>
      <c r="N1593" s="4"/>
      <c r="O1593" s="4"/>
      <c r="P1593" s="4"/>
      <c r="Q1593" s="4"/>
      <c r="R1593" s="4">
        <v>120</v>
      </c>
      <c r="S1593" s="4">
        <v>120</v>
      </c>
      <c r="T1593" s="4">
        <v>2</v>
      </c>
      <c r="U1593" s="4">
        <v>2</v>
      </c>
      <c r="V1593" s="4">
        <v>10</v>
      </c>
      <c r="W1593" s="4">
        <v>12</v>
      </c>
      <c r="X1593" s="4">
        <v>23</v>
      </c>
      <c r="Y1593" s="4"/>
      <c r="Z1593" s="4">
        <v>149.79</v>
      </c>
      <c r="AA1593" s="4">
        <v>200</v>
      </c>
      <c r="AB1593" s="18"/>
      <c r="AC1593" s="18">
        <v>29</v>
      </c>
      <c r="AD1593" s="28"/>
      <c r="AE1593" s="26"/>
      <c r="AF1593" s="28"/>
    </row>
    <row r="1594" spans="1:32" ht="12.4" customHeight="1" x14ac:dyDescent="0.25">
      <c r="A1594" s="14">
        <v>45857</v>
      </c>
      <c r="B1594" s="14" t="s">
        <v>45</v>
      </c>
      <c r="C1594" s="15">
        <v>2</v>
      </c>
      <c r="D1594" s="16">
        <v>20</v>
      </c>
      <c r="E1594" s="16"/>
      <c r="F1594" s="17"/>
      <c r="G1594" s="21"/>
      <c r="H1594" s="21"/>
      <c r="I1594" s="4">
        <v>20</v>
      </c>
      <c r="J1594" s="4">
        <v>0.33333333333333331</v>
      </c>
      <c r="K1594" s="4"/>
      <c r="L1594" s="16"/>
      <c r="M1594" s="4"/>
      <c r="N1594" s="4"/>
      <c r="O1594" s="4"/>
      <c r="P1594" s="4"/>
      <c r="Q1594" s="4"/>
      <c r="R1594" s="4"/>
      <c r="S1594" s="4">
        <v>0</v>
      </c>
      <c r="T1594" s="4">
        <v>0</v>
      </c>
      <c r="U1594" s="4">
        <v>0.33333333333333331</v>
      </c>
      <c r="V1594" s="4">
        <v>11.666666666666666</v>
      </c>
      <c r="W1594" s="4">
        <v>12</v>
      </c>
      <c r="X1594" s="4">
        <v>0</v>
      </c>
      <c r="Y1594" s="4"/>
      <c r="Z1594" s="4">
        <v>91.23</v>
      </c>
      <c r="AA1594" s="4">
        <v>100</v>
      </c>
      <c r="AB1594" s="18"/>
      <c r="AC1594" s="18">
        <v>29</v>
      </c>
      <c r="AD1594" s="28"/>
      <c r="AE1594" s="26"/>
      <c r="AF1594" s="28"/>
    </row>
    <row r="1595" spans="1:32" ht="12.4" customHeight="1" x14ac:dyDescent="0.25">
      <c r="A1595" s="14">
        <v>45857</v>
      </c>
      <c r="B1595" s="14" t="s">
        <v>46</v>
      </c>
      <c r="C1595" s="15">
        <v>2</v>
      </c>
      <c r="D1595" s="16"/>
      <c r="E1595" s="16"/>
      <c r="F1595" s="17"/>
      <c r="G1595" s="21"/>
      <c r="H1595" s="21"/>
      <c r="I1595" s="4">
        <v>0</v>
      </c>
      <c r="J1595" s="4">
        <v>0</v>
      </c>
      <c r="K1595" s="4"/>
      <c r="L1595" s="16"/>
      <c r="M1595" s="4"/>
      <c r="N1595" s="4"/>
      <c r="O1595" s="4"/>
      <c r="P1595" s="4"/>
      <c r="Q1595" s="4"/>
      <c r="R1595" s="4">
        <v>120</v>
      </c>
      <c r="S1595" s="4">
        <v>120</v>
      </c>
      <c r="T1595" s="4">
        <v>2</v>
      </c>
      <c r="U1595" s="4">
        <v>2</v>
      </c>
      <c r="V1595" s="4">
        <v>10</v>
      </c>
      <c r="W1595" s="4">
        <v>12</v>
      </c>
      <c r="X1595" s="4">
        <v>0</v>
      </c>
      <c r="Y1595" s="4"/>
      <c r="Z1595" s="4">
        <v>82.320000000000007</v>
      </c>
      <c r="AA1595" s="4">
        <v>150</v>
      </c>
      <c r="AB1595" s="18"/>
      <c r="AC1595" s="18">
        <v>29</v>
      </c>
      <c r="AD1595" s="28"/>
      <c r="AE1595" s="26"/>
      <c r="AF1595" s="28"/>
    </row>
    <row r="1596" spans="1:32" ht="12.4" customHeight="1" x14ac:dyDescent="0.25">
      <c r="A1596" s="14">
        <v>45857</v>
      </c>
      <c r="B1596" s="14" t="s">
        <v>45</v>
      </c>
      <c r="C1596" s="15">
        <v>3</v>
      </c>
      <c r="D1596" s="16">
        <v>20</v>
      </c>
      <c r="E1596" s="16"/>
      <c r="F1596" s="17"/>
      <c r="G1596" s="21"/>
      <c r="H1596" s="21"/>
      <c r="I1596" s="4">
        <v>20</v>
      </c>
      <c r="J1596" s="4">
        <v>0.33333333333333331</v>
      </c>
      <c r="K1596" s="4"/>
      <c r="L1596" s="16"/>
      <c r="M1596" s="4">
        <v>60</v>
      </c>
      <c r="N1596" s="4"/>
      <c r="O1596" s="4"/>
      <c r="P1596" s="4"/>
      <c r="Q1596" s="4"/>
      <c r="R1596" s="4"/>
      <c r="S1596" s="4">
        <v>60</v>
      </c>
      <c r="T1596" s="4">
        <v>1</v>
      </c>
      <c r="U1596" s="4">
        <v>1.3333333333333333</v>
      </c>
      <c r="V1596" s="4">
        <v>10.666666666666666</v>
      </c>
      <c r="W1596" s="4">
        <v>12</v>
      </c>
      <c r="X1596" s="4">
        <v>0</v>
      </c>
      <c r="Y1596" s="4"/>
      <c r="Z1596" s="4">
        <v>295.83</v>
      </c>
      <c r="AA1596" s="4">
        <v>300</v>
      </c>
      <c r="AB1596" s="18"/>
      <c r="AC1596" s="18">
        <v>29</v>
      </c>
      <c r="AD1596" s="28"/>
      <c r="AE1596" s="26"/>
      <c r="AF1596" s="28"/>
    </row>
    <row r="1597" spans="1:32" ht="12.4" customHeight="1" x14ac:dyDescent="0.25">
      <c r="A1597" s="14">
        <v>45857</v>
      </c>
      <c r="B1597" s="14" t="s">
        <v>46</v>
      </c>
      <c r="C1597" s="15">
        <v>3</v>
      </c>
      <c r="D1597" s="16"/>
      <c r="E1597" s="16"/>
      <c r="F1597" s="17"/>
      <c r="G1597" s="21"/>
      <c r="H1597" s="21"/>
      <c r="I1597" s="4">
        <v>0</v>
      </c>
      <c r="J1597" s="4">
        <v>0</v>
      </c>
      <c r="K1597" s="4"/>
      <c r="L1597" s="16"/>
      <c r="M1597" s="4"/>
      <c r="N1597" s="4"/>
      <c r="O1597" s="4"/>
      <c r="P1597" s="4"/>
      <c r="Q1597" s="4"/>
      <c r="R1597" s="4">
        <v>120</v>
      </c>
      <c r="S1597" s="4">
        <v>120</v>
      </c>
      <c r="T1597" s="4">
        <v>2</v>
      </c>
      <c r="U1597" s="4">
        <v>2</v>
      </c>
      <c r="V1597" s="4">
        <v>10</v>
      </c>
      <c r="W1597" s="4">
        <v>12</v>
      </c>
      <c r="X1597" s="4">
        <v>0</v>
      </c>
      <c r="Y1597" s="4"/>
      <c r="Z1597" s="4">
        <v>249.6</v>
      </c>
      <c r="AA1597" s="4">
        <v>300</v>
      </c>
      <c r="AB1597" s="18"/>
      <c r="AC1597" s="18">
        <v>29</v>
      </c>
      <c r="AD1597" s="28"/>
      <c r="AE1597" s="26"/>
      <c r="AF1597" s="28"/>
    </row>
    <row r="1598" spans="1:32" ht="12.4" customHeight="1" x14ac:dyDescent="0.25">
      <c r="A1598" s="14">
        <v>45857</v>
      </c>
      <c r="B1598" s="14" t="s">
        <v>45</v>
      </c>
      <c r="C1598" s="15">
        <v>4</v>
      </c>
      <c r="D1598" s="16"/>
      <c r="E1598" s="16"/>
      <c r="F1598" s="17"/>
      <c r="G1598" s="21"/>
      <c r="H1598" s="21"/>
      <c r="I1598" s="4">
        <v>0</v>
      </c>
      <c r="J1598" s="4">
        <v>0</v>
      </c>
      <c r="K1598" s="4"/>
      <c r="L1598" s="16"/>
      <c r="M1598" s="4">
        <v>80</v>
      </c>
      <c r="N1598" s="4"/>
      <c r="O1598" s="4"/>
      <c r="P1598" s="4"/>
      <c r="Q1598" s="4"/>
      <c r="R1598" s="4"/>
      <c r="S1598" s="4">
        <v>80</v>
      </c>
      <c r="T1598" s="4">
        <v>1.3333333333333333</v>
      </c>
      <c r="U1598" s="4">
        <v>1.3333333333333333</v>
      </c>
      <c r="V1598" s="4">
        <v>10.666666666666666</v>
      </c>
      <c r="W1598" s="4">
        <v>12</v>
      </c>
      <c r="X1598" s="4">
        <v>0</v>
      </c>
      <c r="Y1598" s="4"/>
      <c r="Z1598" s="4">
        <v>633.54999999999995</v>
      </c>
      <c r="AA1598" s="4">
        <v>650</v>
      </c>
      <c r="AB1598" s="18"/>
      <c r="AC1598" s="18">
        <v>29</v>
      </c>
      <c r="AD1598" s="28"/>
      <c r="AE1598" s="26"/>
      <c r="AF1598" s="28"/>
    </row>
    <row r="1599" spans="1:32" ht="12.4" customHeight="1" x14ac:dyDescent="0.25">
      <c r="A1599" s="14">
        <v>45857</v>
      </c>
      <c r="B1599" s="14" t="s">
        <v>46</v>
      </c>
      <c r="C1599" s="15">
        <v>4</v>
      </c>
      <c r="D1599" s="16"/>
      <c r="E1599" s="16"/>
      <c r="F1599" s="17"/>
      <c r="G1599" s="21"/>
      <c r="H1599" s="21"/>
      <c r="I1599" s="4">
        <v>0</v>
      </c>
      <c r="J1599" s="4">
        <v>0</v>
      </c>
      <c r="K1599" s="4"/>
      <c r="L1599" s="16"/>
      <c r="M1599" s="4"/>
      <c r="N1599" s="4"/>
      <c r="O1599" s="4"/>
      <c r="P1599" s="4"/>
      <c r="Q1599" s="4"/>
      <c r="R1599" s="4">
        <v>60</v>
      </c>
      <c r="S1599" s="4">
        <v>60</v>
      </c>
      <c r="T1599" s="4">
        <v>1</v>
      </c>
      <c r="U1599" s="4">
        <v>1</v>
      </c>
      <c r="V1599" s="4">
        <v>11</v>
      </c>
      <c r="W1599" s="4">
        <v>12</v>
      </c>
      <c r="X1599" s="4">
        <v>0</v>
      </c>
      <c r="Y1599" s="4"/>
      <c r="Z1599" s="4">
        <v>613.80000000000007</v>
      </c>
      <c r="AA1599" s="4">
        <v>650</v>
      </c>
      <c r="AB1599" s="18"/>
      <c r="AC1599" s="18">
        <v>29</v>
      </c>
      <c r="AD1599" s="28"/>
      <c r="AE1599" s="26"/>
      <c r="AF1599" s="28"/>
    </row>
    <row r="1600" spans="1:32" ht="12.4" customHeight="1" x14ac:dyDescent="0.25">
      <c r="A1600" s="14">
        <v>45857</v>
      </c>
      <c r="B1600" s="14" t="s">
        <v>45</v>
      </c>
      <c r="C1600" s="15">
        <v>5</v>
      </c>
      <c r="D1600" s="16">
        <v>20</v>
      </c>
      <c r="E1600" s="16"/>
      <c r="F1600" s="17"/>
      <c r="G1600" s="21"/>
      <c r="H1600" s="21"/>
      <c r="I1600" s="4">
        <v>20</v>
      </c>
      <c r="J1600" s="4">
        <v>0.33333333333333331</v>
      </c>
      <c r="K1600" s="4"/>
      <c r="L1600" s="16"/>
      <c r="M1600" s="4"/>
      <c r="N1600" s="4"/>
      <c r="O1600" s="4"/>
      <c r="P1600" s="4"/>
      <c r="Q1600" s="4"/>
      <c r="R1600" s="4"/>
      <c r="S1600" s="4">
        <v>0</v>
      </c>
      <c r="T1600" s="4">
        <v>0</v>
      </c>
      <c r="U1600" s="4">
        <v>0.33333333333333331</v>
      </c>
      <c r="V1600" s="4">
        <v>11.666666666666666</v>
      </c>
      <c r="W1600" s="4">
        <v>12</v>
      </c>
      <c r="X1600" s="4">
        <v>0</v>
      </c>
      <c r="Y1600" s="4"/>
      <c r="Z1600" s="4">
        <v>531.92999999999995</v>
      </c>
      <c r="AA1600" s="4">
        <v>550</v>
      </c>
      <c r="AB1600" s="18"/>
      <c r="AC1600" s="18">
        <v>29</v>
      </c>
      <c r="AD1600" s="28"/>
      <c r="AE1600" s="26"/>
      <c r="AF1600" s="28"/>
    </row>
    <row r="1601" spans="1:32" ht="12.4" customHeight="1" x14ac:dyDescent="0.25">
      <c r="A1601" s="14">
        <v>45857</v>
      </c>
      <c r="B1601" s="14" t="s">
        <v>46</v>
      </c>
      <c r="C1601" s="15">
        <v>5</v>
      </c>
      <c r="D1601" s="16"/>
      <c r="E1601" s="16"/>
      <c r="F1601" s="17"/>
      <c r="G1601" s="21"/>
      <c r="H1601" s="21"/>
      <c r="I1601" s="4">
        <v>0</v>
      </c>
      <c r="J1601" s="4">
        <v>0</v>
      </c>
      <c r="K1601" s="4"/>
      <c r="L1601" s="16"/>
      <c r="M1601" s="4"/>
      <c r="N1601" s="4"/>
      <c r="O1601" s="4"/>
      <c r="P1601" s="4"/>
      <c r="Q1601" s="4"/>
      <c r="R1601" s="4">
        <v>90</v>
      </c>
      <c r="S1601" s="4">
        <v>90</v>
      </c>
      <c r="T1601" s="4">
        <v>1.5</v>
      </c>
      <c r="U1601" s="4">
        <v>1.5</v>
      </c>
      <c r="V1601" s="4">
        <v>10.5</v>
      </c>
      <c r="W1601" s="4">
        <v>12</v>
      </c>
      <c r="X1601" s="4">
        <v>0</v>
      </c>
      <c r="Y1601" s="4"/>
      <c r="Z1601" s="4">
        <v>455.42999999999995</v>
      </c>
      <c r="AA1601" s="4">
        <v>500</v>
      </c>
      <c r="AB1601" s="18"/>
      <c r="AC1601" s="18">
        <v>29</v>
      </c>
      <c r="AD1601" s="28"/>
      <c r="AE1601" s="26"/>
      <c r="AF1601" s="28"/>
    </row>
    <row r="1602" spans="1:32" ht="12.4" customHeight="1" x14ac:dyDescent="0.25">
      <c r="A1602" s="14">
        <v>45859</v>
      </c>
      <c r="B1602" s="14" t="s">
        <v>45</v>
      </c>
      <c r="C1602" s="15">
        <v>1</v>
      </c>
      <c r="D1602" s="16"/>
      <c r="E1602" s="16"/>
      <c r="F1602" s="17"/>
      <c r="G1602" s="21">
        <v>510</v>
      </c>
      <c r="H1602" s="21"/>
      <c r="I1602" s="4">
        <v>510</v>
      </c>
      <c r="J1602" s="4">
        <v>8.5</v>
      </c>
      <c r="K1602" s="4"/>
      <c r="L1602" s="16"/>
      <c r="M1602" s="4"/>
      <c r="N1602" s="4"/>
      <c r="O1602" s="4"/>
      <c r="P1602" s="4"/>
      <c r="Q1602" s="4"/>
      <c r="R1602" s="4"/>
      <c r="S1602" s="4">
        <v>0</v>
      </c>
      <c r="T1602" s="4">
        <v>0</v>
      </c>
      <c r="U1602" s="4">
        <v>8.5</v>
      </c>
      <c r="V1602" s="4">
        <v>3.5</v>
      </c>
      <c r="W1602" s="4">
        <v>12</v>
      </c>
      <c r="X1602" s="4" t="e">
        <v>#VALUE!</v>
      </c>
      <c r="Y1602" s="4">
        <v>1887.5</v>
      </c>
      <c r="Z1602" s="4" t="e">
        <v>#VALUE!</v>
      </c>
      <c r="AA1602" s="4">
        <v>150</v>
      </c>
      <c r="AB1602" s="18">
        <v>398</v>
      </c>
      <c r="AC1602" s="18">
        <v>30</v>
      </c>
      <c r="AD1602" s="28"/>
      <c r="AE1602" s="26"/>
      <c r="AF1602" s="28"/>
    </row>
    <row r="1603" spans="1:32" ht="12.4" customHeight="1" x14ac:dyDescent="0.25">
      <c r="A1603" s="14">
        <v>45859</v>
      </c>
      <c r="B1603" s="14" t="s">
        <v>46</v>
      </c>
      <c r="C1603" s="15">
        <v>1</v>
      </c>
      <c r="D1603" s="16"/>
      <c r="E1603" s="16"/>
      <c r="F1603" s="17"/>
      <c r="G1603" s="21"/>
      <c r="H1603" s="21"/>
      <c r="I1603" s="4">
        <v>0</v>
      </c>
      <c r="J1603" s="4">
        <v>0</v>
      </c>
      <c r="K1603" s="4"/>
      <c r="L1603" s="16"/>
      <c r="M1603" s="4"/>
      <c r="N1603" s="4"/>
      <c r="O1603" s="4"/>
      <c r="P1603" s="4"/>
      <c r="Q1603" s="4"/>
      <c r="R1603" s="4"/>
      <c r="S1603" s="4">
        <v>0</v>
      </c>
      <c r="T1603" s="4">
        <v>0</v>
      </c>
      <c r="U1603" s="4">
        <v>0</v>
      </c>
      <c r="V1603" s="4">
        <v>12</v>
      </c>
      <c r="W1603" s="4">
        <v>12</v>
      </c>
      <c r="X1603" s="4">
        <v>34</v>
      </c>
      <c r="Y1603" s="4"/>
      <c r="Z1603" s="4">
        <v>149.67000000000002</v>
      </c>
      <c r="AA1603" s="4">
        <v>150</v>
      </c>
      <c r="AB1603" s="18"/>
      <c r="AC1603" s="18">
        <v>30</v>
      </c>
      <c r="AD1603" s="28"/>
      <c r="AE1603" s="26"/>
      <c r="AF1603" s="28"/>
    </row>
    <row r="1604" spans="1:32" ht="12.4" customHeight="1" x14ac:dyDescent="0.25">
      <c r="A1604" s="14">
        <v>45859</v>
      </c>
      <c r="B1604" s="14" t="s">
        <v>45</v>
      </c>
      <c r="C1604" s="15">
        <v>2</v>
      </c>
      <c r="D1604" s="16"/>
      <c r="E1604" s="16"/>
      <c r="F1604" s="17"/>
      <c r="G1604" s="21">
        <v>120</v>
      </c>
      <c r="H1604" s="21"/>
      <c r="I1604" s="4">
        <v>120</v>
      </c>
      <c r="J1604" s="4">
        <v>2</v>
      </c>
      <c r="K1604" s="4"/>
      <c r="L1604" s="16"/>
      <c r="M1604" s="4"/>
      <c r="N1604" s="4"/>
      <c r="O1604" s="4"/>
      <c r="P1604" s="4"/>
      <c r="Q1604" s="4"/>
      <c r="R1604" s="4"/>
      <c r="S1604" s="4">
        <v>0</v>
      </c>
      <c r="T1604" s="4">
        <v>0</v>
      </c>
      <c r="U1604" s="4">
        <v>2</v>
      </c>
      <c r="V1604" s="4">
        <v>10</v>
      </c>
      <c r="W1604" s="4">
        <v>12</v>
      </c>
      <c r="X1604" s="4">
        <v>0</v>
      </c>
      <c r="Y1604" s="4"/>
      <c r="Z1604" s="4">
        <v>82.550000000000011</v>
      </c>
      <c r="AA1604" s="4">
        <v>100</v>
      </c>
      <c r="AB1604" s="18"/>
      <c r="AC1604" s="18">
        <v>30</v>
      </c>
      <c r="AD1604" s="28"/>
      <c r="AE1604" s="26"/>
      <c r="AF1604" s="28"/>
    </row>
    <row r="1605" spans="1:32" ht="12.4" customHeight="1" x14ac:dyDescent="0.25">
      <c r="A1605" s="14">
        <v>45859</v>
      </c>
      <c r="B1605" s="14" t="s">
        <v>46</v>
      </c>
      <c r="C1605" s="15">
        <v>2</v>
      </c>
      <c r="D1605" s="16"/>
      <c r="E1605" s="16"/>
      <c r="F1605" s="17"/>
      <c r="G1605" s="21"/>
      <c r="H1605" s="21"/>
      <c r="I1605" s="4">
        <v>0</v>
      </c>
      <c r="J1605" s="4">
        <v>0</v>
      </c>
      <c r="K1605" s="4"/>
      <c r="L1605" s="16"/>
      <c r="M1605" s="4"/>
      <c r="N1605" s="4"/>
      <c r="O1605" s="4"/>
      <c r="P1605" s="4"/>
      <c r="Q1605" s="4"/>
      <c r="R1605" s="4"/>
      <c r="S1605" s="4">
        <v>0</v>
      </c>
      <c r="T1605" s="4">
        <v>0</v>
      </c>
      <c r="U1605" s="4">
        <v>0</v>
      </c>
      <c r="V1605" s="4">
        <v>12</v>
      </c>
      <c r="W1605" s="4">
        <v>12</v>
      </c>
      <c r="X1605" s="4">
        <v>0</v>
      </c>
      <c r="Y1605" s="4"/>
      <c r="Z1605" s="4">
        <v>110.13999999999999</v>
      </c>
      <c r="AA1605" s="4">
        <v>100</v>
      </c>
      <c r="AB1605" s="18"/>
      <c r="AC1605" s="18">
        <v>30</v>
      </c>
      <c r="AD1605" s="28"/>
      <c r="AE1605" s="26"/>
      <c r="AF1605" s="28"/>
    </row>
    <row r="1606" spans="1:32" ht="12.4" customHeight="1" x14ac:dyDescent="0.25">
      <c r="A1606" s="14">
        <v>45859</v>
      </c>
      <c r="B1606" s="14" t="s">
        <v>45</v>
      </c>
      <c r="C1606" s="15">
        <v>3</v>
      </c>
      <c r="D1606" s="16"/>
      <c r="E1606" s="16"/>
      <c r="F1606" s="17"/>
      <c r="G1606" s="21">
        <v>120</v>
      </c>
      <c r="H1606" s="21"/>
      <c r="I1606" s="4">
        <v>120</v>
      </c>
      <c r="J1606" s="4">
        <v>2</v>
      </c>
      <c r="K1606" s="4"/>
      <c r="L1606" s="16"/>
      <c r="M1606" s="4"/>
      <c r="N1606" s="4"/>
      <c r="O1606" s="4"/>
      <c r="P1606" s="4"/>
      <c r="Q1606" s="4"/>
      <c r="R1606" s="4"/>
      <c r="S1606" s="4">
        <v>0</v>
      </c>
      <c r="T1606" s="4">
        <v>0</v>
      </c>
      <c r="U1606" s="4">
        <v>2</v>
      </c>
      <c r="V1606" s="4">
        <v>10</v>
      </c>
      <c r="W1606" s="4">
        <v>12</v>
      </c>
      <c r="X1606" s="4">
        <v>0</v>
      </c>
      <c r="Y1606" s="4"/>
      <c r="Z1606" s="4">
        <v>236.19000000000003</v>
      </c>
      <c r="AA1606" s="4">
        <v>250</v>
      </c>
      <c r="AB1606" s="18"/>
      <c r="AC1606" s="18">
        <v>30</v>
      </c>
      <c r="AD1606" s="28"/>
      <c r="AE1606" s="26"/>
      <c r="AF1606" s="28"/>
    </row>
    <row r="1607" spans="1:32" ht="12.4" customHeight="1" x14ac:dyDescent="0.25">
      <c r="A1607" s="14">
        <v>45859</v>
      </c>
      <c r="B1607" s="14" t="s">
        <v>46</v>
      </c>
      <c r="C1607" s="15">
        <v>3</v>
      </c>
      <c r="D1607" s="16"/>
      <c r="E1607" s="16"/>
      <c r="F1607" s="17"/>
      <c r="G1607" s="21"/>
      <c r="H1607" s="21"/>
      <c r="I1607" s="4">
        <v>0</v>
      </c>
      <c r="J1607" s="4">
        <v>0</v>
      </c>
      <c r="K1607" s="4"/>
      <c r="L1607" s="16"/>
      <c r="M1607" s="4"/>
      <c r="N1607" s="4"/>
      <c r="O1607" s="4"/>
      <c r="P1607" s="4"/>
      <c r="Q1607" s="4"/>
      <c r="R1607" s="4"/>
      <c r="S1607" s="4">
        <v>0</v>
      </c>
      <c r="T1607" s="4">
        <v>0</v>
      </c>
      <c r="U1607" s="4">
        <v>0</v>
      </c>
      <c r="V1607" s="4">
        <v>12</v>
      </c>
      <c r="W1607" s="4">
        <v>12</v>
      </c>
      <c r="X1607" s="4">
        <v>0</v>
      </c>
      <c r="Y1607" s="4"/>
      <c r="Z1607" s="4">
        <v>332.91999999999996</v>
      </c>
      <c r="AA1607" s="4">
        <v>350</v>
      </c>
      <c r="AB1607" s="18"/>
      <c r="AC1607" s="18">
        <v>30</v>
      </c>
      <c r="AD1607" s="28"/>
      <c r="AE1607" s="26"/>
      <c r="AF1607" s="28"/>
    </row>
    <row r="1608" spans="1:32" ht="12.4" customHeight="1" x14ac:dyDescent="0.25">
      <c r="A1608" s="14">
        <v>45859</v>
      </c>
      <c r="B1608" s="14" t="s">
        <v>45</v>
      </c>
      <c r="C1608" s="15">
        <v>4</v>
      </c>
      <c r="D1608" s="16"/>
      <c r="E1608" s="16"/>
      <c r="F1608" s="17"/>
      <c r="G1608" s="21">
        <v>240</v>
      </c>
      <c r="H1608" s="21"/>
      <c r="I1608" s="4">
        <v>240</v>
      </c>
      <c r="J1608" s="4">
        <v>4</v>
      </c>
      <c r="K1608" s="4"/>
      <c r="L1608" s="16"/>
      <c r="M1608" s="4"/>
      <c r="N1608" s="4"/>
      <c r="O1608" s="4"/>
      <c r="P1608" s="4"/>
      <c r="Q1608" s="4"/>
      <c r="R1608" s="4"/>
      <c r="S1608" s="4">
        <v>0</v>
      </c>
      <c r="T1608" s="4">
        <v>0</v>
      </c>
      <c r="U1608" s="4">
        <v>4</v>
      </c>
      <c r="V1608" s="4">
        <v>8</v>
      </c>
      <c r="W1608" s="4">
        <v>12</v>
      </c>
      <c r="X1608" s="4">
        <v>0</v>
      </c>
      <c r="Y1608" s="4"/>
      <c r="Z1608" s="4">
        <v>464.38</v>
      </c>
      <c r="AA1608" s="4">
        <v>500</v>
      </c>
      <c r="AB1608" s="18"/>
      <c r="AC1608" s="18">
        <v>30</v>
      </c>
      <c r="AD1608" s="28"/>
      <c r="AE1608" s="26"/>
      <c r="AF1608" s="28"/>
    </row>
    <row r="1609" spans="1:32" ht="12.4" customHeight="1" x14ac:dyDescent="0.25">
      <c r="A1609" s="14">
        <v>45859</v>
      </c>
      <c r="B1609" s="14" t="s">
        <v>46</v>
      </c>
      <c r="C1609" s="15">
        <v>4</v>
      </c>
      <c r="D1609" s="16"/>
      <c r="E1609" s="16"/>
      <c r="F1609" s="17"/>
      <c r="G1609" s="21"/>
      <c r="H1609" s="21"/>
      <c r="I1609" s="4">
        <v>0</v>
      </c>
      <c r="J1609" s="4">
        <v>0</v>
      </c>
      <c r="K1609" s="4"/>
      <c r="L1609" s="16"/>
      <c r="M1609" s="4"/>
      <c r="N1609" s="4"/>
      <c r="O1609" s="4"/>
      <c r="P1609" s="4"/>
      <c r="Q1609" s="4"/>
      <c r="R1609" s="4"/>
      <c r="S1609" s="4">
        <v>0</v>
      </c>
      <c r="T1609" s="4">
        <v>0</v>
      </c>
      <c r="U1609" s="4">
        <v>0</v>
      </c>
      <c r="V1609" s="4">
        <v>12</v>
      </c>
      <c r="W1609" s="4">
        <v>12</v>
      </c>
      <c r="X1609" s="4">
        <v>0</v>
      </c>
      <c r="Y1609" s="4"/>
      <c r="Z1609" s="4">
        <v>733.39</v>
      </c>
      <c r="AA1609" s="4">
        <v>800</v>
      </c>
      <c r="AB1609" s="18"/>
      <c r="AC1609" s="18">
        <v>30</v>
      </c>
      <c r="AD1609" s="28"/>
      <c r="AE1609" s="26"/>
      <c r="AF1609" s="28"/>
    </row>
    <row r="1610" spans="1:32" ht="12.4" customHeight="1" x14ac:dyDescent="0.25">
      <c r="A1610" s="14">
        <v>45859</v>
      </c>
      <c r="B1610" s="14" t="s">
        <v>45</v>
      </c>
      <c r="C1610" s="15">
        <v>5</v>
      </c>
      <c r="D1610" s="16"/>
      <c r="E1610" s="16"/>
      <c r="F1610" s="17"/>
      <c r="G1610" s="21">
        <v>150</v>
      </c>
      <c r="H1610" s="21"/>
      <c r="I1610" s="4">
        <v>150</v>
      </c>
      <c r="J1610" s="4">
        <v>2.5</v>
      </c>
      <c r="K1610" s="4"/>
      <c r="L1610" s="16"/>
      <c r="M1610" s="4"/>
      <c r="N1610" s="4"/>
      <c r="O1610" s="4"/>
      <c r="P1610" s="4"/>
      <c r="Q1610" s="4"/>
      <c r="R1610" s="4"/>
      <c r="S1610" s="4">
        <v>0</v>
      </c>
      <c r="T1610" s="4">
        <v>0</v>
      </c>
      <c r="U1610" s="4">
        <v>2.5</v>
      </c>
      <c r="V1610" s="4">
        <v>9.5</v>
      </c>
      <c r="W1610" s="4">
        <v>12</v>
      </c>
      <c r="X1610" s="4">
        <v>0</v>
      </c>
      <c r="Y1610" s="4"/>
      <c r="Z1610" s="4">
        <v>421.1</v>
      </c>
      <c r="AA1610" s="4">
        <v>500</v>
      </c>
      <c r="AB1610" s="18"/>
      <c r="AC1610" s="18">
        <v>30</v>
      </c>
      <c r="AD1610" s="28"/>
      <c r="AE1610" s="26"/>
      <c r="AF1610" s="28"/>
    </row>
    <row r="1611" spans="1:32" ht="12.4" customHeight="1" x14ac:dyDescent="0.25">
      <c r="A1611" s="14">
        <v>45859</v>
      </c>
      <c r="B1611" s="14" t="s">
        <v>46</v>
      </c>
      <c r="C1611" s="15">
        <v>5</v>
      </c>
      <c r="D1611" s="16"/>
      <c r="E1611" s="16"/>
      <c r="F1611" s="17"/>
      <c r="G1611" s="21"/>
      <c r="H1611" s="21"/>
      <c r="I1611" s="4">
        <v>0</v>
      </c>
      <c r="J1611" s="4">
        <v>0</v>
      </c>
      <c r="K1611" s="4"/>
      <c r="L1611" s="16"/>
      <c r="M1611" s="4"/>
      <c r="N1611" s="4"/>
      <c r="O1611" s="4"/>
      <c r="P1611" s="4"/>
      <c r="Q1611" s="4"/>
      <c r="R1611" s="4"/>
      <c r="S1611" s="4">
        <v>0</v>
      </c>
      <c r="T1611" s="4">
        <v>0</v>
      </c>
      <c r="U1611" s="4">
        <v>0</v>
      </c>
      <c r="V1611" s="4">
        <v>12</v>
      </c>
      <c r="W1611" s="4">
        <v>12</v>
      </c>
      <c r="X1611" s="4">
        <v>0</v>
      </c>
      <c r="Y1611" s="4"/>
      <c r="Z1611" s="4">
        <v>497.9</v>
      </c>
      <c r="AA1611" s="4">
        <v>500</v>
      </c>
      <c r="AB1611" s="18"/>
      <c r="AC1611" s="18">
        <v>30</v>
      </c>
      <c r="AD1611" s="28"/>
      <c r="AE1611" s="26"/>
      <c r="AF1611" s="28"/>
    </row>
    <row r="1612" spans="1:32" ht="12.4" customHeight="1" x14ac:dyDescent="0.25">
      <c r="A1612" s="14">
        <v>45860</v>
      </c>
      <c r="B1612" s="14" t="s">
        <v>45</v>
      </c>
      <c r="C1612" s="15">
        <v>1</v>
      </c>
      <c r="D1612" s="16">
        <v>20</v>
      </c>
      <c r="E1612" s="16"/>
      <c r="F1612" s="17"/>
      <c r="G1612" s="21"/>
      <c r="H1612" s="21"/>
      <c r="I1612" s="4">
        <v>20</v>
      </c>
      <c r="J1612" s="4">
        <v>0.33333333333333331</v>
      </c>
      <c r="K1612" s="4"/>
      <c r="L1612" s="16"/>
      <c r="M1612" s="4"/>
      <c r="N1612" s="4"/>
      <c r="O1612" s="4"/>
      <c r="P1612" s="4"/>
      <c r="Q1612" s="4"/>
      <c r="R1612" s="4"/>
      <c r="S1612" s="4">
        <v>0</v>
      </c>
      <c r="T1612" s="4">
        <v>0</v>
      </c>
      <c r="U1612" s="4">
        <v>0.33333333333333331</v>
      </c>
      <c r="V1612" s="4">
        <v>11.666666666666666</v>
      </c>
      <c r="W1612" s="4">
        <v>12</v>
      </c>
      <c r="X1612" s="4">
        <v>17</v>
      </c>
      <c r="Y1612" s="4">
        <v>1999</v>
      </c>
      <c r="Z1612" s="4">
        <v>191.47</v>
      </c>
      <c r="AA1612" s="4">
        <v>200</v>
      </c>
      <c r="AB1612" s="18">
        <v>398</v>
      </c>
      <c r="AC1612" s="18">
        <v>30</v>
      </c>
      <c r="AD1612" s="28"/>
      <c r="AE1612" s="26"/>
      <c r="AF1612" s="28"/>
    </row>
    <row r="1613" spans="1:32" ht="12.4" customHeight="1" x14ac:dyDescent="0.25">
      <c r="A1613" s="14">
        <v>45860</v>
      </c>
      <c r="B1613" s="14" t="s">
        <v>46</v>
      </c>
      <c r="C1613" s="15">
        <v>1</v>
      </c>
      <c r="D1613" s="16"/>
      <c r="E1613" s="16"/>
      <c r="F1613" s="17"/>
      <c r="G1613" s="21"/>
      <c r="H1613" s="21"/>
      <c r="I1613" s="4">
        <v>0</v>
      </c>
      <c r="J1613" s="4">
        <v>0</v>
      </c>
      <c r="K1613" s="4"/>
      <c r="L1613" s="16"/>
      <c r="M1613" s="4">
        <v>70</v>
      </c>
      <c r="N1613" s="4"/>
      <c r="O1613" s="4"/>
      <c r="P1613" s="4"/>
      <c r="Q1613" s="4"/>
      <c r="R1613" s="4"/>
      <c r="S1613" s="4">
        <v>70</v>
      </c>
      <c r="T1613" s="4">
        <v>1.1666666666666667</v>
      </c>
      <c r="U1613" s="4">
        <v>1.1666666666666667</v>
      </c>
      <c r="V1613" s="4">
        <v>10.833333333333334</v>
      </c>
      <c r="W1613" s="4">
        <v>12</v>
      </c>
      <c r="X1613" s="4">
        <v>31</v>
      </c>
      <c r="Y1613" s="4"/>
      <c r="Z1613" s="4">
        <v>148.21</v>
      </c>
      <c r="AA1613" s="4">
        <v>150</v>
      </c>
      <c r="AB1613" s="18"/>
      <c r="AC1613" s="18">
        <v>30</v>
      </c>
      <c r="AD1613" s="28"/>
      <c r="AE1613" s="26"/>
      <c r="AF1613" s="28"/>
    </row>
    <row r="1614" spans="1:32" ht="12.4" customHeight="1" x14ac:dyDescent="0.25">
      <c r="A1614" s="14">
        <v>45860</v>
      </c>
      <c r="B1614" s="14" t="s">
        <v>45</v>
      </c>
      <c r="C1614" s="15">
        <v>2</v>
      </c>
      <c r="D1614" s="16">
        <v>20</v>
      </c>
      <c r="E1614" s="16"/>
      <c r="F1614" s="17"/>
      <c r="G1614" s="21"/>
      <c r="H1614" s="21"/>
      <c r="I1614" s="4">
        <v>20</v>
      </c>
      <c r="J1614" s="4">
        <v>0.33333333333333331</v>
      </c>
      <c r="K1614" s="4"/>
      <c r="L1614" s="16"/>
      <c r="M1614" s="4"/>
      <c r="N1614" s="4"/>
      <c r="O1614" s="4"/>
      <c r="P1614" s="4"/>
      <c r="Q1614" s="4"/>
      <c r="R1614" s="4"/>
      <c r="S1614" s="4">
        <v>0</v>
      </c>
      <c r="T1614" s="4">
        <v>0</v>
      </c>
      <c r="U1614" s="4">
        <v>0.33333333333333331</v>
      </c>
      <c r="V1614" s="4">
        <v>11.666666666666666</v>
      </c>
      <c r="W1614" s="4">
        <v>12</v>
      </c>
      <c r="X1614" s="4">
        <v>0</v>
      </c>
      <c r="Y1614" s="4"/>
      <c r="Z1614" s="4">
        <v>103.05</v>
      </c>
      <c r="AA1614" s="4">
        <v>100</v>
      </c>
      <c r="AB1614" s="18"/>
      <c r="AC1614" s="18">
        <v>30</v>
      </c>
      <c r="AD1614" s="28"/>
      <c r="AE1614" s="26"/>
      <c r="AF1614" s="28"/>
    </row>
    <row r="1615" spans="1:32" ht="12.4" customHeight="1" x14ac:dyDescent="0.25">
      <c r="A1615" s="14">
        <v>45860</v>
      </c>
      <c r="B1615" s="14" t="s">
        <v>46</v>
      </c>
      <c r="C1615" s="15">
        <v>2</v>
      </c>
      <c r="D1615" s="16"/>
      <c r="E1615" s="16"/>
      <c r="F1615" s="17"/>
      <c r="G1615" s="21"/>
      <c r="H1615" s="21"/>
      <c r="I1615" s="4">
        <v>0</v>
      </c>
      <c r="J1615" s="4">
        <v>0</v>
      </c>
      <c r="K1615" s="4"/>
      <c r="L1615" s="16"/>
      <c r="M1615" s="4"/>
      <c r="N1615" s="4"/>
      <c r="O1615" s="4"/>
      <c r="P1615" s="4"/>
      <c r="Q1615" s="4"/>
      <c r="R1615" s="4"/>
      <c r="S1615" s="4">
        <v>0</v>
      </c>
      <c r="T1615" s="4">
        <v>0</v>
      </c>
      <c r="U1615" s="4">
        <v>0</v>
      </c>
      <c r="V1615" s="4">
        <v>12</v>
      </c>
      <c r="W1615" s="4">
        <v>12</v>
      </c>
      <c r="X1615" s="4">
        <v>0</v>
      </c>
      <c r="Y1615" s="4"/>
      <c r="Z1615" s="4">
        <v>129.54000000000002</v>
      </c>
      <c r="AA1615" s="4">
        <v>150</v>
      </c>
      <c r="AB1615" s="18"/>
      <c r="AC1615" s="18">
        <v>30</v>
      </c>
      <c r="AD1615" s="28"/>
      <c r="AE1615" s="26"/>
      <c r="AF1615" s="28"/>
    </row>
    <row r="1616" spans="1:32" ht="12.4" customHeight="1" x14ac:dyDescent="0.25">
      <c r="A1616" s="14">
        <v>45860</v>
      </c>
      <c r="B1616" s="14" t="s">
        <v>45</v>
      </c>
      <c r="C1616" s="15">
        <v>3</v>
      </c>
      <c r="D1616" s="16"/>
      <c r="E1616" s="16"/>
      <c r="F1616" s="17"/>
      <c r="G1616" s="21"/>
      <c r="H1616" s="21"/>
      <c r="I1616" s="4">
        <v>0</v>
      </c>
      <c r="J1616" s="4">
        <v>0</v>
      </c>
      <c r="K1616" s="4"/>
      <c r="L1616" s="16"/>
      <c r="M1616" s="4"/>
      <c r="N1616" s="4"/>
      <c r="O1616" s="4"/>
      <c r="P1616" s="4"/>
      <c r="Q1616" s="4"/>
      <c r="R1616" s="4"/>
      <c r="S1616" s="4">
        <v>0</v>
      </c>
      <c r="T1616" s="4">
        <v>0</v>
      </c>
      <c r="U1616" s="4">
        <v>0</v>
      </c>
      <c r="V1616" s="4">
        <v>12</v>
      </c>
      <c r="W1616" s="4">
        <v>12</v>
      </c>
      <c r="X1616" s="4">
        <v>0</v>
      </c>
      <c r="Y1616" s="4"/>
      <c r="Z1616" s="4">
        <v>289.41999999999996</v>
      </c>
      <c r="AA1616" s="4">
        <v>300</v>
      </c>
      <c r="AB1616" s="18"/>
      <c r="AC1616" s="18">
        <v>30</v>
      </c>
      <c r="AD1616" s="28"/>
      <c r="AE1616" s="26"/>
      <c r="AF1616" s="28"/>
    </row>
    <row r="1617" spans="1:32" ht="12.4" customHeight="1" x14ac:dyDescent="0.25">
      <c r="A1617" s="14">
        <v>45860</v>
      </c>
      <c r="B1617" s="14" t="s">
        <v>46</v>
      </c>
      <c r="C1617" s="15">
        <v>3</v>
      </c>
      <c r="D1617" s="16"/>
      <c r="E1617" s="16"/>
      <c r="F1617" s="17"/>
      <c r="G1617" s="21"/>
      <c r="H1617" s="21"/>
      <c r="I1617" s="4">
        <v>0</v>
      </c>
      <c r="J1617" s="4">
        <v>0</v>
      </c>
      <c r="K1617" s="4"/>
      <c r="L1617" s="16"/>
      <c r="M1617" s="4"/>
      <c r="N1617" s="4"/>
      <c r="O1617" s="4"/>
      <c r="P1617" s="4"/>
      <c r="Q1617" s="4"/>
      <c r="R1617" s="4"/>
      <c r="S1617" s="4">
        <v>0</v>
      </c>
      <c r="T1617" s="4">
        <v>0</v>
      </c>
      <c r="U1617" s="4">
        <v>0</v>
      </c>
      <c r="V1617" s="4">
        <v>12</v>
      </c>
      <c r="W1617" s="4">
        <v>12</v>
      </c>
      <c r="X1617" s="4">
        <v>0</v>
      </c>
      <c r="Y1617" s="4"/>
      <c r="Z1617" s="4">
        <v>282.3</v>
      </c>
      <c r="AA1617" s="4">
        <v>300</v>
      </c>
      <c r="AB1617" s="18"/>
      <c r="AC1617" s="18">
        <v>30</v>
      </c>
      <c r="AD1617" s="28"/>
      <c r="AE1617" s="26"/>
      <c r="AF1617" s="28"/>
    </row>
    <row r="1618" spans="1:32" ht="12.4" customHeight="1" x14ac:dyDescent="0.25">
      <c r="A1618" s="14">
        <v>45860</v>
      </c>
      <c r="B1618" s="14" t="s">
        <v>45</v>
      </c>
      <c r="C1618" s="15">
        <v>4</v>
      </c>
      <c r="D1618" s="16">
        <v>20</v>
      </c>
      <c r="E1618" s="16"/>
      <c r="F1618" s="17"/>
      <c r="G1618" s="21"/>
      <c r="H1618" s="21"/>
      <c r="I1618" s="4">
        <v>20</v>
      </c>
      <c r="J1618" s="4">
        <v>0.33333333333333331</v>
      </c>
      <c r="K1618" s="4"/>
      <c r="L1618" s="16"/>
      <c r="M1618" s="4"/>
      <c r="N1618" s="4"/>
      <c r="O1618" s="4"/>
      <c r="P1618" s="4"/>
      <c r="Q1618" s="4"/>
      <c r="R1618" s="4"/>
      <c r="S1618" s="4">
        <v>0</v>
      </c>
      <c r="T1618" s="4">
        <v>0</v>
      </c>
      <c r="U1618" s="4">
        <v>0.33333333333333331</v>
      </c>
      <c r="V1618" s="4">
        <v>11.666666666666666</v>
      </c>
      <c r="W1618" s="4">
        <v>12</v>
      </c>
      <c r="X1618" s="4">
        <v>0</v>
      </c>
      <c r="Y1618" s="4"/>
      <c r="Z1618" s="4">
        <v>709.15999999999985</v>
      </c>
      <c r="AA1618" s="4">
        <v>700</v>
      </c>
      <c r="AB1618" s="18"/>
      <c r="AC1618" s="18">
        <v>30</v>
      </c>
      <c r="AD1618" s="28"/>
      <c r="AE1618" s="26"/>
      <c r="AF1618" s="28"/>
    </row>
    <row r="1619" spans="1:32" ht="12.4" customHeight="1" x14ac:dyDescent="0.25">
      <c r="A1619" s="14">
        <v>45860</v>
      </c>
      <c r="B1619" s="14" t="s">
        <v>46</v>
      </c>
      <c r="C1619" s="15">
        <v>4</v>
      </c>
      <c r="D1619" s="16">
        <v>20</v>
      </c>
      <c r="E1619" s="16"/>
      <c r="F1619" s="17"/>
      <c r="G1619" s="21"/>
      <c r="H1619" s="21"/>
      <c r="I1619" s="4">
        <v>20</v>
      </c>
      <c r="J1619" s="4">
        <v>0.33333333333333331</v>
      </c>
      <c r="K1619" s="4"/>
      <c r="L1619" s="16"/>
      <c r="M1619" s="4"/>
      <c r="N1619" s="4"/>
      <c r="O1619" s="4"/>
      <c r="P1619" s="4"/>
      <c r="Q1619" s="4"/>
      <c r="R1619" s="4"/>
      <c r="S1619" s="4">
        <v>0</v>
      </c>
      <c r="T1619" s="4">
        <v>0</v>
      </c>
      <c r="U1619" s="4">
        <v>0.33333333333333331</v>
      </c>
      <c r="V1619" s="4">
        <v>11.666666666666666</v>
      </c>
      <c r="W1619" s="4">
        <v>12</v>
      </c>
      <c r="X1619" s="4">
        <v>0</v>
      </c>
      <c r="Y1619" s="4"/>
      <c r="Z1619" s="4">
        <v>715.76</v>
      </c>
      <c r="AA1619" s="4">
        <v>600</v>
      </c>
      <c r="AB1619" s="18"/>
      <c r="AC1619" s="18">
        <v>30</v>
      </c>
      <c r="AD1619" s="28"/>
      <c r="AE1619" s="26"/>
      <c r="AF1619" s="28"/>
    </row>
    <row r="1620" spans="1:32" ht="12.4" customHeight="1" x14ac:dyDescent="0.25">
      <c r="A1620" s="14">
        <v>45860</v>
      </c>
      <c r="B1620" s="14" t="s">
        <v>45</v>
      </c>
      <c r="C1620" s="15">
        <v>5</v>
      </c>
      <c r="D1620" s="16"/>
      <c r="E1620" s="16"/>
      <c r="F1620" s="17"/>
      <c r="G1620" s="21"/>
      <c r="H1620" s="21"/>
      <c r="I1620" s="4">
        <v>0</v>
      </c>
      <c r="J1620" s="4">
        <v>0</v>
      </c>
      <c r="K1620" s="4"/>
      <c r="L1620" s="16"/>
      <c r="M1620" s="4"/>
      <c r="N1620" s="4"/>
      <c r="O1620" s="4"/>
      <c r="P1620" s="4"/>
      <c r="Q1620" s="4"/>
      <c r="R1620" s="4"/>
      <c r="S1620" s="4">
        <v>0</v>
      </c>
      <c r="T1620" s="4">
        <v>0</v>
      </c>
      <c r="U1620" s="4">
        <v>0</v>
      </c>
      <c r="V1620" s="4">
        <v>12</v>
      </c>
      <c r="W1620" s="4">
        <v>12</v>
      </c>
      <c r="X1620" s="4">
        <v>0</v>
      </c>
      <c r="Y1620" s="4"/>
      <c r="Z1620" s="4">
        <v>496.46999999999991</v>
      </c>
      <c r="AA1620" s="4">
        <v>500</v>
      </c>
      <c r="AB1620" s="18"/>
      <c r="AC1620" s="18">
        <v>30</v>
      </c>
      <c r="AD1620" s="28"/>
      <c r="AE1620" s="26"/>
      <c r="AF1620" s="28"/>
    </row>
    <row r="1621" spans="1:32" ht="12.4" customHeight="1" x14ac:dyDescent="0.25">
      <c r="A1621" s="14">
        <v>45860</v>
      </c>
      <c r="B1621" s="14" t="s">
        <v>46</v>
      </c>
      <c r="C1621" s="15">
        <v>5</v>
      </c>
      <c r="D1621" s="16"/>
      <c r="E1621" s="16"/>
      <c r="F1621" s="17"/>
      <c r="G1621" s="21"/>
      <c r="H1621" s="21"/>
      <c r="I1621" s="4">
        <v>0</v>
      </c>
      <c r="J1621" s="4">
        <v>0</v>
      </c>
      <c r="K1621" s="4"/>
      <c r="L1621" s="16"/>
      <c r="M1621" s="4"/>
      <c r="N1621" s="4"/>
      <c r="O1621" s="4"/>
      <c r="P1621" s="4"/>
      <c r="Q1621" s="4"/>
      <c r="R1621" s="4"/>
      <c r="S1621" s="4">
        <v>0</v>
      </c>
      <c r="T1621" s="4">
        <v>0</v>
      </c>
      <c r="U1621" s="4">
        <v>0</v>
      </c>
      <c r="V1621" s="4">
        <v>12</v>
      </c>
      <c r="W1621" s="4">
        <v>12</v>
      </c>
      <c r="X1621" s="4">
        <v>0</v>
      </c>
      <c r="Y1621" s="4"/>
      <c r="Z1621" s="4">
        <v>454.43999999999994</v>
      </c>
      <c r="AA1621" s="4">
        <v>500</v>
      </c>
      <c r="AB1621" s="18"/>
      <c r="AC1621" s="18">
        <v>30</v>
      </c>
      <c r="AD1621" s="28"/>
      <c r="AE1621" s="26"/>
      <c r="AF1621" s="28"/>
    </row>
    <row r="1622" spans="1:32" ht="12.4" customHeight="1" x14ac:dyDescent="0.25">
      <c r="A1622" s="14">
        <v>45861</v>
      </c>
      <c r="B1622" s="14" t="s">
        <v>45</v>
      </c>
      <c r="C1622" s="15">
        <v>1</v>
      </c>
      <c r="D1622" s="16"/>
      <c r="E1622" s="16"/>
      <c r="F1622" s="17"/>
      <c r="G1622" s="21"/>
      <c r="H1622" s="21"/>
      <c r="I1622" s="4">
        <v>0</v>
      </c>
      <c r="J1622" s="4">
        <v>0</v>
      </c>
      <c r="K1622" s="4"/>
      <c r="L1622" s="16"/>
      <c r="M1622" s="4"/>
      <c r="N1622" s="4"/>
      <c r="O1622" s="4"/>
      <c r="P1622" s="4"/>
      <c r="Q1622" s="4"/>
      <c r="R1622" s="4"/>
      <c r="S1622" s="4">
        <v>0</v>
      </c>
      <c r="T1622" s="4">
        <v>0</v>
      </c>
      <c r="U1622" s="4">
        <v>0</v>
      </c>
      <c r="V1622" s="4">
        <v>12</v>
      </c>
      <c r="W1622" s="4">
        <v>12</v>
      </c>
      <c r="X1622" s="4">
        <v>26</v>
      </c>
      <c r="Y1622" s="4">
        <v>2041</v>
      </c>
      <c r="Z1622" s="4">
        <v>172.86</v>
      </c>
      <c r="AA1622" s="4">
        <v>200</v>
      </c>
      <c r="AB1622" s="18">
        <v>398</v>
      </c>
      <c r="AC1622" s="18">
        <v>30</v>
      </c>
      <c r="AD1622" s="28"/>
      <c r="AE1622" s="26"/>
      <c r="AF1622" s="28"/>
    </row>
    <row r="1623" spans="1:32" ht="12.4" customHeight="1" x14ac:dyDescent="0.25">
      <c r="A1623" s="14">
        <v>45861</v>
      </c>
      <c r="B1623" s="14" t="s">
        <v>46</v>
      </c>
      <c r="C1623" s="15">
        <v>1</v>
      </c>
      <c r="D1623" s="16"/>
      <c r="E1623" s="16"/>
      <c r="F1623" s="17"/>
      <c r="G1623" s="21"/>
      <c r="H1623" s="21"/>
      <c r="I1623" s="4">
        <v>0</v>
      </c>
      <c r="J1623" s="4">
        <v>0</v>
      </c>
      <c r="K1623" s="4"/>
      <c r="L1623" s="16"/>
      <c r="M1623" s="4"/>
      <c r="N1623" s="4"/>
      <c r="O1623" s="4"/>
      <c r="P1623" s="4"/>
      <c r="Q1623" s="4"/>
      <c r="R1623" s="4"/>
      <c r="S1623" s="4">
        <v>0</v>
      </c>
      <c r="T1623" s="4">
        <v>0</v>
      </c>
      <c r="U1623" s="4">
        <v>0</v>
      </c>
      <c r="V1623" s="4">
        <v>12</v>
      </c>
      <c r="W1623" s="4">
        <v>12</v>
      </c>
      <c r="X1623" s="4">
        <v>43</v>
      </c>
      <c r="Y1623" s="4"/>
      <c r="Z1623" s="4">
        <v>168.98</v>
      </c>
      <c r="AA1623" s="4">
        <v>150</v>
      </c>
      <c r="AB1623" s="18"/>
      <c r="AC1623" s="18">
        <v>30</v>
      </c>
      <c r="AD1623" s="28"/>
      <c r="AE1623" s="26"/>
      <c r="AF1623" s="28"/>
    </row>
    <row r="1624" spans="1:32" ht="12.4" customHeight="1" x14ac:dyDescent="0.25">
      <c r="A1624" s="14">
        <v>45861</v>
      </c>
      <c r="B1624" s="14" t="s">
        <v>45</v>
      </c>
      <c r="C1624" s="15">
        <v>2</v>
      </c>
      <c r="D1624" s="16"/>
      <c r="E1624" s="16"/>
      <c r="F1624" s="17"/>
      <c r="G1624" s="21"/>
      <c r="H1624" s="21"/>
      <c r="I1624" s="4">
        <v>0</v>
      </c>
      <c r="J1624" s="4">
        <v>0</v>
      </c>
      <c r="K1624" s="4"/>
      <c r="L1624" s="16"/>
      <c r="M1624" s="4"/>
      <c r="N1624" s="4"/>
      <c r="O1624" s="4"/>
      <c r="P1624" s="4"/>
      <c r="Q1624" s="4"/>
      <c r="R1624" s="4"/>
      <c r="S1624" s="4">
        <v>0</v>
      </c>
      <c r="T1624" s="4">
        <v>0</v>
      </c>
      <c r="U1624" s="4">
        <v>0</v>
      </c>
      <c r="V1624" s="4">
        <v>12</v>
      </c>
      <c r="W1624" s="4">
        <v>12</v>
      </c>
      <c r="X1624" s="4">
        <v>0</v>
      </c>
      <c r="Y1624" s="4"/>
      <c r="Z1624" s="4">
        <v>102.45</v>
      </c>
      <c r="AA1624" s="4">
        <v>100</v>
      </c>
      <c r="AB1624" s="18"/>
      <c r="AC1624" s="18">
        <v>30</v>
      </c>
      <c r="AD1624" s="28"/>
      <c r="AE1624" s="26"/>
      <c r="AF1624" s="28"/>
    </row>
    <row r="1625" spans="1:32" ht="12.4" customHeight="1" x14ac:dyDescent="0.25">
      <c r="A1625" s="14">
        <v>45861</v>
      </c>
      <c r="B1625" s="14" t="s">
        <v>46</v>
      </c>
      <c r="C1625" s="15">
        <v>2</v>
      </c>
      <c r="D1625" s="16"/>
      <c r="E1625" s="16"/>
      <c r="F1625" s="17"/>
      <c r="G1625" s="21"/>
      <c r="H1625" s="21"/>
      <c r="I1625" s="4">
        <v>0</v>
      </c>
      <c r="J1625" s="4">
        <v>0</v>
      </c>
      <c r="K1625" s="4"/>
      <c r="L1625" s="16"/>
      <c r="M1625" s="4"/>
      <c r="N1625" s="4"/>
      <c r="O1625" s="4"/>
      <c r="P1625" s="4"/>
      <c r="Q1625" s="4"/>
      <c r="R1625" s="4"/>
      <c r="S1625" s="4">
        <v>0</v>
      </c>
      <c r="T1625" s="4">
        <v>0</v>
      </c>
      <c r="U1625" s="4">
        <v>0</v>
      </c>
      <c r="V1625" s="4">
        <v>12</v>
      </c>
      <c r="W1625" s="4">
        <v>12</v>
      </c>
      <c r="X1625" s="4">
        <v>0</v>
      </c>
      <c r="Y1625" s="4"/>
      <c r="Z1625" s="4">
        <v>121.34999999999998</v>
      </c>
      <c r="AA1625" s="4">
        <v>100</v>
      </c>
      <c r="AB1625" s="18"/>
      <c r="AC1625" s="18">
        <v>30</v>
      </c>
      <c r="AD1625" s="28"/>
      <c r="AE1625" s="26"/>
      <c r="AF1625" s="28"/>
    </row>
    <row r="1626" spans="1:32" ht="12.4" customHeight="1" x14ac:dyDescent="0.25">
      <c r="A1626" s="14">
        <v>45861</v>
      </c>
      <c r="B1626" s="14" t="s">
        <v>45</v>
      </c>
      <c r="C1626" s="15">
        <v>3</v>
      </c>
      <c r="D1626" s="16"/>
      <c r="E1626" s="16"/>
      <c r="F1626" s="17"/>
      <c r="G1626" s="21"/>
      <c r="H1626" s="21"/>
      <c r="I1626" s="4">
        <v>0</v>
      </c>
      <c r="J1626" s="4">
        <v>0</v>
      </c>
      <c r="K1626" s="4"/>
      <c r="L1626" s="16"/>
      <c r="M1626" s="4"/>
      <c r="N1626" s="4"/>
      <c r="O1626" s="4"/>
      <c r="P1626" s="4"/>
      <c r="Q1626" s="4"/>
      <c r="R1626" s="4"/>
      <c r="S1626" s="4">
        <v>0</v>
      </c>
      <c r="T1626" s="4">
        <v>0</v>
      </c>
      <c r="U1626" s="4">
        <v>0</v>
      </c>
      <c r="V1626" s="4">
        <v>12</v>
      </c>
      <c r="W1626" s="4">
        <v>12</v>
      </c>
      <c r="X1626" s="4">
        <v>0</v>
      </c>
      <c r="Y1626" s="4"/>
      <c r="Z1626" s="4">
        <v>399</v>
      </c>
      <c r="AA1626" s="4">
        <v>400</v>
      </c>
      <c r="AB1626" s="18"/>
      <c r="AC1626" s="18">
        <v>30</v>
      </c>
      <c r="AD1626" s="28"/>
      <c r="AE1626" s="26"/>
      <c r="AF1626" s="28"/>
    </row>
    <row r="1627" spans="1:32" ht="12.4" customHeight="1" x14ac:dyDescent="0.25">
      <c r="A1627" s="14">
        <v>45861</v>
      </c>
      <c r="B1627" s="14" t="s">
        <v>46</v>
      </c>
      <c r="C1627" s="15">
        <v>3</v>
      </c>
      <c r="D1627" s="16">
        <v>30</v>
      </c>
      <c r="E1627" s="16"/>
      <c r="F1627" s="17"/>
      <c r="G1627" s="21"/>
      <c r="H1627" s="21"/>
      <c r="I1627" s="4">
        <v>30</v>
      </c>
      <c r="J1627" s="4">
        <v>0.5</v>
      </c>
      <c r="K1627" s="4"/>
      <c r="L1627" s="16"/>
      <c r="M1627" s="4"/>
      <c r="N1627" s="4"/>
      <c r="O1627" s="4"/>
      <c r="P1627" s="4"/>
      <c r="Q1627" s="4"/>
      <c r="R1627" s="4"/>
      <c r="S1627" s="4">
        <v>0</v>
      </c>
      <c r="T1627" s="4">
        <v>0</v>
      </c>
      <c r="U1627" s="4">
        <v>0.5</v>
      </c>
      <c r="V1627" s="4">
        <v>11.5</v>
      </c>
      <c r="W1627" s="4">
        <v>12</v>
      </c>
      <c r="X1627" s="4">
        <v>0</v>
      </c>
      <c r="Y1627" s="4"/>
      <c r="Z1627" s="4">
        <v>312.70000000000005</v>
      </c>
      <c r="AA1627" s="4">
        <v>300</v>
      </c>
      <c r="AB1627" s="18"/>
      <c r="AC1627" s="18">
        <v>30</v>
      </c>
      <c r="AD1627" s="28"/>
      <c r="AE1627" s="26"/>
      <c r="AF1627" s="28"/>
    </row>
    <row r="1628" spans="1:32" ht="12.4" customHeight="1" x14ac:dyDescent="0.25">
      <c r="A1628" s="14">
        <v>45861</v>
      </c>
      <c r="B1628" s="14" t="s">
        <v>45</v>
      </c>
      <c r="C1628" s="15">
        <v>4</v>
      </c>
      <c r="D1628" s="16"/>
      <c r="E1628" s="16"/>
      <c r="F1628" s="17"/>
      <c r="G1628" s="21"/>
      <c r="H1628" s="21"/>
      <c r="I1628" s="4">
        <v>0</v>
      </c>
      <c r="J1628" s="4">
        <v>0</v>
      </c>
      <c r="K1628" s="4"/>
      <c r="L1628" s="16"/>
      <c r="M1628" s="4"/>
      <c r="N1628" s="4"/>
      <c r="O1628" s="4"/>
      <c r="P1628" s="4"/>
      <c r="Q1628" s="4"/>
      <c r="R1628" s="4"/>
      <c r="S1628" s="4">
        <v>0</v>
      </c>
      <c r="T1628" s="4">
        <v>0</v>
      </c>
      <c r="U1628" s="4">
        <v>0</v>
      </c>
      <c r="V1628" s="4">
        <v>12</v>
      </c>
      <c r="W1628" s="4">
        <v>12</v>
      </c>
      <c r="X1628" s="4">
        <v>0</v>
      </c>
      <c r="Y1628" s="4"/>
      <c r="Z1628" s="4">
        <v>657.4000000000002</v>
      </c>
      <c r="AA1628" s="4">
        <v>650</v>
      </c>
      <c r="AB1628" s="18"/>
      <c r="AC1628" s="18">
        <v>30</v>
      </c>
      <c r="AD1628" s="28"/>
      <c r="AE1628" s="26"/>
      <c r="AF1628" s="28"/>
    </row>
    <row r="1629" spans="1:32" ht="12.4" customHeight="1" x14ac:dyDescent="0.25">
      <c r="A1629" s="14">
        <v>45861</v>
      </c>
      <c r="B1629" s="14" t="s">
        <v>46</v>
      </c>
      <c r="C1629" s="15">
        <v>4</v>
      </c>
      <c r="D1629" s="16"/>
      <c r="E1629" s="16"/>
      <c r="F1629" s="17"/>
      <c r="G1629" s="21"/>
      <c r="H1629" s="21"/>
      <c r="I1629" s="4">
        <v>0</v>
      </c>
      <c r="J1629" s="4">
        <v>0</v>
      </c>
      <c r="K1629" s="4"/>
      <c r="L1629" s="16"/>
      <c r="M1629" s="4"/>
      <c r="N1629" s="4"/>
      <c r="O1629" s="4"/>
      <c r="P1629" s="4"/>
      <c r="Q1629" s="4"/>
      <c r="R1629" s="4"/>
      <c r="S1629" s="4">
        <v>0</v>
      </c>
      <c r="T1629" s="4">
        <v>0</v>
      </c>
      <c r="U1629" s="4">
        <v>0</v>
      </c>
      <c r="V1629" s="4">
        <v>12</v>
      </c>
      <c r="W1629" s="4">
        <v>12</v>
      </c>
      <c r="X1629" s="4">
        <v>0</v>
      </c>
      <c r="Y1629" s="4"/>
      <c r="Z1629" s="4">
        <v>668.05000000000007</v>
      </c>
      <c r="AA1629" s="4">
        <v>650</v>
      </c>
      <c r="AB1629" s="18"/>
      <c r="AC1629" s="18">
        <v>30</v>
      </c>
      <c r="AD1629" s="28"/>
      <c r="AE1629" s="26"/>
      <c r="AF1629" s="28"/>
    </row>
    <row r="1630" spans="1:32" ht="12.4" customHeight="1" x14ac:dyDescent="0.25">
      <c r="A1630" s="14">
        <v>45861</v>
      </c>
      <c r="B1630" s="14" t="s">
        <v>45</v>
      </c>
      <c r="C1630" s="15">
        <v>5</v>
      </c>
      <c r="D1630" s="16"/>
      <c r="E1630" s="16"/>
      <c r="F1630" s="17"/>
      <c r="G1630" s="21"/>
      <c r="H1630" s="21"/>
      <c r="I1630" s="4">
        <v>0</v>
      </c>
      <c r="J1630" s="4">
        <v>0</v>
      </c>
      <c r="K1630" s="4"/>
      <c r="L1630" s="16"/>
      <c r="M1630" s="4"/>
      <c r="N1630" s="4"/>
      <c r="O1630" s="4"/>
      <c r="P1630" s="4"/>
      <c r="Q1630" s="4"/>
      <c r="R1630" s="4"/>
      <c r="S1630" s="4">
        <v>0</v>
      </c>
      <c r="T1630" s="4">
        <v>0</v>
      </c>
      <c r="U1630" s="4">
        <v>0</v>
      </c>
      <c r="V1630" s="4">
        <v>12</v>
      </c>
      <c r="W1630" s="4">
        <v>12</v>
      </c>
      <c r="X1630" s="4">
        <v>0</v>
      </c>
      <c r="Y1630" s="4"/>
      <c r="Z1630" s="4">
        <v>545.64</v>
      </c>
      <c r="AA1630" s="4">
        <v>500</v>
      </c>
      <c r="AB1630" s="18"/>
      <c r="AC1630" s="18">
        <v>30</v>
      </c>
      <c r="AD1630" s="28"/>
      <c r="AE1630" s="26"/>
      <c r="AF1630" s="28"/>
    </row>
    <row r="1631" spans="1:32" ht="12.4" customHeight="1" x14ac:dyDescent="0.25">
      <c r="A1631" s="14">
        <v>45861</v>
      </c>
      <c r="B1631" s="14" t="s">
        <v>46</v>
      </c>
      <c r="C1631" s="15">
        <v>5</v>
      </c>
      <c r="D1631" s="16"/>
      <c r="E1631" s="16"/>
      <c r="F1631" s="17"/>
      <c r="G1631" s="21"/>
      <c r="H1631" s="21"/>
      <c r="I1631" s="4">
        <v>0</v>
      </c>
      <c r="J1631" s="4">
        <v>0</v>
      </c>
      <c r="K1631" s="4"/>
      <c r="L1631" s="16"/>
      <c r="M1631" s="4"/>
      <c r="N1631" s="4"/>
      <c r="O1631" s="4"/>
      <c r="P1631" s="4"/>
      <c r="Q1631" s="4"/>
      <c r="R1631" s="4"/>
      <c r="S1631" s="4">
        <v>0</v>
      </c>
      <c r="T1631" s="4">
        <v>0</v>
      </c>
      <c r="U1631" s="4">
        <v>0</v>
      </c>
      <c r="V1631" s="4">
        <v>12</v>
      </c>
      <c r="W1631" s="4">
        <v>12</v>
      </c>
      <c r="X1631" s="4">
        <v>0</v>
      </c>
      <c r="Y1631" s="4"/>
      <c r="Z1631" s="4">
        <v>509.00000000000006</v>
      </c>
      <c r="AA1631" s="4">
        <v>450</v>
      </c>
      <c r="AB1631" s="18"/>
      <c r="AC1631" s="18">
        <v>30</v>
      </c>
      <c r="AD1631" s="28"/>
      <c r="AE1631" s="26"/>
      <c r="AF1631" s="28"/>
    </row>
    <row r="1632" spans="1:32" ht="12.4" customHeight="1" x14ac:dyDescent="0.25">
      <c r="A1632" s="14">
        <v>45862</v>
      </c>
      <c r="B1632" s="14" t="s">
        <v>45</v>
      </c>
      <c r="C1632" s="15">
        <v>1</v>
      </c>
      <c r="D1632" s="16"/>
      <c r="E1632" s="16"/>
      <c r="F1632" s="17"/>
      <c r="G1632" s="21"/>
      <c r="H1632" s="21"/>
      <c r="I1632" s="4">
        <v>0</v>
      </c>
      <c r="J1632" s="4">
        <v>0</v>
      </c>
      <c r="K1632" s="4"/>
      <c r="L1632" s="16"/>
      <c r="M1632" s="4"/>
      <c r="N1632" s="4"/>
      <c r="O1632" s="4"/>
      <c r="P1632" s="4"/>
      <c r="Q1632" s="4"/>
      <c r="R1632" s="4"/>
      <c r="S1632" s="4">
        <v>0</v>
      </c>
      <c r="T1632" s="4">
        <v>0</v>
      </c>
      <c r="U1632" s="4">
        <v>0</v>
      </c>
      <c r="V1632" s="4">
        <v>12</v>
      </c>
      <c r="W1632" s="4">
        <v>12</v>
      </c>
      <c r="X1632" s="4">
        <v>45</v>
      </c>
      <c r="Y1632" s="4">
        <v>2180</v>
      </c>
      <c r="Z1632" s="4">
        <v>139.45999999999998</v>
      </c>
      <c r="AA1632" s="4">
        <v>200</v>
      </c>
      <c r="AB1632" s="18">
        <v>398</v>
      </c>
      <c r="AC1632" s="18">
        <v>30</v>
      </c>
      <c r="AD1632" s="28"/>
      <c r="AE1632" s="26"/>
      <c r="AF1632" s="28"/>
    </row>
    <row r="1633" spans="1:32" ht="12.4" customHeight="1" x14ac:dyDescent="0.25">
      <c r="A1633" s="14">
        <v>45862</v>
      </c>
      <c r="B1633" s="14" t="s">
        <v>46</v>
      </c>
      <c r="C1633" s="15">
        <v>1</v>
      </c>
      <c r="D1633" s="16"/>
      <c r="E1633" s="16"/>
      <c r="F1633" s="17"/>
      <c r="G1633" s="21"/>
      <c r="H1633" s="21"/>
      <c r="I1633" s="4">
        <v>0</v>
      </c>
      <c r="J1633" s="4">
        <v>0</v>
      </c>
      <c r="K1633" s="4"/>
      <c r="L1633" s="16"/>
      <c r="M1633" s="4"/>
      <c r="N1633" s="4"/>
      <c r="O1633" s="4"/>
      <c r="P1633" s="4"/>
      <c r="Q1633" s="4"/>
      <c r="R1633" s="4"/>
      <c r="S1633" s="4">
        <v>0</v>
      </c>
      <c r="T1633" s="4">
        <v>0</v>
      </c>
      <c r="U1633" s="4">
        <v>0</v>
      </c>
      <c r="V1633" s="4">
        <v>12</v>
      </c>
      <c r="W1633" s="4">
        <v>12</v>
      </c>
      <c r="X1633" s="4">
        <v>12</v>
      </c>
      <c r="Y1633" s="4"/>
      <c r="Z1633" s="4">
        <v>173.96000000000004</v>
      </c>
      <c r="AA1633" s="4">
        <v>200</v>
      </c>
      <c r="AB1633" s="18"/>
      <c r="AC1633" s="18">
        <v>30</v>
      </c>
      <c r="AD1633" s="28"/>
      <c r="AE1633" s="26"/>
      <c r="AF1633" s="28"/>
    </row>
    <row r="1634" spans="1:32" ht="12.4" customHeight="1" x14ac:dyDescent="0.25">
      <c r="A1634" s="14">
        <v>45862</v>
      </c>
      <c r="B1634" s="14" t="s">
        <v>45</v>
      </c>
      <c r="C1634" s="15">
        <v>2</v>
      </c>
      <c r="D1634" s="16"/>
      <c r="E1634" s="16"/>
      <c r="F1634" s="17"/>
      <c r="G1634" s="21"/>
      <c r="H1634" s="21"/>
      <c r="I1634" s="4">
        <v>0</v>
      </c>
      <c r="J1634" s="4">
        <v>0</v>
      </c>
      <c r="K1634" s="4"/>
      <c r="L1634" s="16"/>
      <c r="M1634" s="4"/>
      <c r="N1634" s="4"/>
      <c r="O1634" s="4"/>
      <c r="P1634" s="4"/>
      <c r="Q1634" s="4"/>
      <c r="R1634" s="4"/>
      <c r="S1634" s="4">
        <v>0</v>
      </c>
      <c r="T1634" s="4">
        <v>0</v>
      </c>
      <c r="U1634" s="4">
        <v>0</v>
      </c>
      <c r="V1634" s="4">
        <v>12</v>
      </c>
      <c r="W1634" s="4">
        <v>12</v>
      </c>
      <c r="X1634" s="4">
        <v>0</v>
      </c>
      <c r="Y1634" s="4"/>
      <c r="Z1634" s="4">
        <v>137.5</v>
      </c>
      <c r="AA1634" s="4">
        <v>150</v>
      </c>
      <c r="AB1634" s="18"/>
      <c r="AC1634" s="18">
        <v>30</v>
      </c>
      <c r="AD1634" s="28"/>
      <c r="AE1634" s="26"/>
      <c r="AF1634" s="28"/>
    </row>
    <row r="1635" spans="1:32" ht="12.4" customHeight="1" x14ac:dyDescent="0.25">
      <c r="A1635" s="14">
        <v>45862</v>
      </c>
      <c r="B1635" s="14" t="s">
        <v>46</v>
      </c>
      <c r="C1635" s="15">
        <v>2</v>
      </c>
      <c r="D1635" s="16"/>
      <c r="E1635" s="16"/>
      <c r="F1635" s="17"/>
      <c r="G1635" s="21"/>
      <c r="H1635" s="21"/>
      <c r="I1635" s="4">
        <v>0</v>
      </c>
      <c r="J1635" s="4">
        <v>0</v>
      </c>
      <c r="K1635" s="4"/>
      <c r="L1635" s="16"/>
      <c r="M1635" s="4"/>
      <c r="N1635" s="4"/>
      <c r="O1635" s="4"/>
      <c r="P1635" s="4"/>
      <c r="Q1635" s="4"/>
      <c r="R1635" s="4"/>
      <c r="S1635" s="4">
        <v>0</v>
      </c>
      <c r="T1635" s="4">
        <v>0</v>
      </c>
      <c r="U1635" s="4">
        <v>0</v>
      </c>
      <c r="V1635" s="4">
        <v>12</v>
      </c>
      <c r="W1635" s="4">
        <v>12</v>
      </c>
      <c r="X1635" s="4">
        <v>0</v>
      </c>
      <c r="Y1635" s="4"/>
      <c r="Z1635" s="4">
        <v>124.85</v>
      </c>
      <c r="AA1635" s="4">
        <v>150</v>
      </c>
      <c r="AB1635" s="18"/>
      <c r="AC1635" s="18">
        <v>30</v>
      </c>
      <c r="AD1635" s="28"/>
      <c r="AE1635" s="26"/>
      <c r="AF1635" s="28"/>
    </row>
    <row r="1636" spans="1:32" ht="12.4" customHeight="1" x14ac:dyDescent="0.25">
      <c r="A1636" s="14">
        <v>45862</v>
      </c>
      <c r="B1636" s="14" t="s">
        <v>45</v>
      </c>
      <c r="C1636" s="15">
        <v>3</v>
      </c>
      <c r="D1636" s="16"/>
      <c r="E1636" s="16"/>
      <c r="F1636" s="17"/>
      <c r="G1636" s="21"/>
      <c r="H1636" s="21"/>
      <c r="I1636" s="4">
        <v>0</v>
      </c>
      <c r="J1636" s="4">
        <v>0</v>
      </c>
      <c r="K1636" s="4"/>
      <c r="L1636" s="16"/>
      <c r="M1636" s="4"/>
      <c r="N1636" s="4"/>
      <c r="O1636" s="4"/>
      <c r="P1636" s="4"/>
      <c r="Q1636" s="4"/>
      <c r="R1636" s="4"/>
      <c r="S1636" s="4">
        <v>0</v>
      </c>
      <c r="T1636" s="4">
        <v>0</v>
      </c>
      <c r="U1636" s="4">
        <v>0</v>
      </c>
      <c r="V1636" s="4">
        <v>12</v>
      </c>
      <c r="W1636" s="4">
        <v>12</v>
      </c>
      <c r="X1636" s="4">
        <v>0</v>
      </c>
      <c r="Y1636" s="4"/>
      <c r="Z1636" s="4">
        <v>293.73</v>
      </c>
      <c r="AA1636" s="4">
        <v>300</v>
      </c>
      <c r="AB1636" s="18"/>
      <c r="AC1636" s="18">
        <v>30</v>
      </c>
      <c r="AD1636" s="28"/>
      <c r="AE1636" s="26"/>
      <c r="AF1636" s="28"/>
    </row>
    <row r="1637" spans="1:32" ht="12.4" customHeight="1" x14ac:dyDescent="0.25">
      <c r="A1637" s="14">
        <v>45862</v>
      </c>
      <c r="B1637" s="14" t="s">
        <v>46</v>
      </c>
      <c r="C1637" s="15">
        <v>3</v>
      </c>
      <c r="D1637" s="16"/>
      <c r="E1637" s="16"/>
      <c r="F1637" s="17"/>
      <c r="G1637" s="21"/>
      <c r="H1637" s="21"/>
      <c r="I1637" s="4">
        <v>0</v>
      </c>
      <c r="J1637" s="4">
        <v>0</v>
      </c>
      <c r="K1637" s="4"/>
      <c r="L1637" s="16"/>
      <c r="M1637" s="4"/>
      <c r="N1637" s="4"/>
      <c r="O1637" s="4"/>
      <c r="P1637" s="4"/>
      <c r="Q1637" s="4"/>
      <c r="R1637" s="4"/>
      <c r="S1637" s="4">
        <v>0</v>
      </c>
      <c r="T1637" s="4">
        <v>0</v>
      </c>
      <c r="U1637" s="4">
        <v>0</v>
      </c>
      <c r="V1637" s="4">
        <v>12</v>
      </c>
      <c r="W1637" s="4">
        <v>12</v>
      </c>
      <c r="X1637" s="4">
        <v>0</v>
      </c>
      <c r="Y1637" s="4"/>
      <c r="Z1637" s="4">
        <v>343.6</v>
      </c>
      <c r="AA1637" s="4">
        <v>350</v>
      </c>
      <c r="AB1637" s="18"/>
      <c r="AC1637" s="18">
        <v>30</v>
      </c>
      <c r="AD1637" s="28"/>
      <c r="AE1637" s="26"/>
      <c r="AF1637" s="28"/>
    </row>
    <row r="1638" spans="1:32" ht="12.4" customHeight="1" x14ac:dyDescent="0.25">
      <c r="A1638" s="14">
        <v>45862</v>
      </c>
      <c r="B1638" s="14" t="s">
        <v>45</v>
      </c>
      <c r="C1638" s="15">
        <v>4</v>
      </c>
      <c r="D1638" s="16"/>
      <c r="E1638" s="16"/>
      <c r="F1638" s="17"/>
      <c r="G1638" s="21"/>
      <c r="H1638" s="21"/>
      <c r="I1638" s="4">
        <v>0</v>
      </c>
      <c r="J1638" s="4">
        <v>0</v>
      </c>
      <c r="K1638" s="4"/>
      <c r="L1638" s="16"/>
      <c r="M1638" s="4"/>
      <c r="N1638" s="4"/>
      <c r="O1638" s="4"/>
      <c r="P1638" s="4">
        <v>20</v>
      </c>
      <c r="Q1638" s="4"/>
      <c r="R1638" s="4"/>
      <c r="S1638" s="4">
        <v>20</v>
      </c>
      <c r="T1638" s="4">
        <v>0.33333333333333331</v>
      </c>
      <c r="U1638" s="4">
        <v>0.33333333333333331</v>
      </c>
      <c r="V1638" s="4">
        <v>11.666666666666666</v>
      </c>
      <c r="W1638" s="4">
        <v>12</v>
      </c>
      <c r="X1638" s="4">
        <v>0</v>
      </c>
      <c r="Y1638" s="4"/>
      <c r="Z1638" s="4">
        <v>708.88</v>
      </c>
      <c r="AA1638" s="4">
        <v>700</v>
      </c>
      <c r="AB1638" s="18"/>
      <c r="AC1638" s="18">
        <v>30</v>
      </c>
      <c r="AD1638" s="28"/>
      <c r="AE1638" s="26"/>
      <c r="AF1638" s="28"/>
    </row>
    <row r="1639" spans="1:32" ht="12.4" customHeight="1" x14ac:dyDescent="0.25">
      <c r="A1639" s="14">
        <v>45862</v>
      </c>
      <c r="B1639" s="14" t="s">
        <v>46</v>
      </c>
      <c r="C1639" s="15">
        <v>4</v>
      </c>
      <c r="D1639" s="16"/>
      <c r="E1639" s="16"/>
      <c r="F1639" s="17"/>
      <c r="G1639" s="21"/>
      <c r="H1639" s="21"/>
      <c r="I1639" s="4">
        <v>0</v>
      </c>
      <c r="J1639" s="4">
        <v>0</v>
      </c>
      <c r="K1639" s="4"/>
      <c r="L1639" s="16"/>
      <c r="M1639" s="4"/>
      <c r="N1639" s="4"/>
      <c r="O1639" s="4"/>
      <c r="P1639" s="4"/>
      <c r="Q1639" s="4"/>
      <c r="R1639" s="4"/>
      <c r="S1639" s="4">
        <v>0</v>
      </c>
      <c r="T1639" s="4">
        <v>0</v>
      </c>
      <c r="U1639" s="4">
        <v>0</v>
      </c>
      <c r="V1639" s="4">
        <v>12</v>
      </c>
      <c r="W1639" s="4">
        <v>12</v>
      </c>
      <c r="X1639" s="4">
        <v>0</v>
      </c>
      <c r="Y1639" s="4"/>
      <c r="Z1639" s="4">
        <v>812.45</v>
      </c>
      <c r="AA1639" s="4">
        <v>800</v>
      </c>
      <c r="AB1639" s="18"/>
      <c r="AC1639" s="18">
        <v>30</v>
      </c>
      <c r="AD1639" s="28"/>
      <c r="AE1639" s="26"/>
      <c r="AF1639" s="28"/>
    </row>
    <row r="1640" spans="1:32" ht="12.4" customHeight="1" x14ac:dyDescent="0.25">
      <c r="A1640" s="14">
        <v>45862</v>
      </c>
      <c r="B1640" s="14" t="s">
        <v>45</v>
      </c>
      <c r="C1640" s="15">
        <v>5</v>
      </c>
      <c r="D1640" s="16">
        <v>20</v>
      </c>
      <c r="E1640" s="16"/>
      <c r="F1640" s="17"/>
      <c r="G1640" s="21"/>
      <c r="H1640" s="21"/>
      <c r="I1640" s="4">
        <v>20</v>
      </c>
      <c r="J1640" s="4">
        <v>0.33333333333333331</v>
      </c>
      <c r="K1640" s="4"/>
      <c r="L1640" s="16"/>
      <c r="M1640" s="4"/>
      <c r="N1640" s="4"/>
      <c r="O1640" s="4"/>
      <c r="P1640" s="4"/>
      <c r="Q1640" s="4"/>
      <c r="R1640" s="4"/>
      <c r="S1640" s="4">
        <v>0</v>
      </c>
      <c r="T1640" s="4">
        <v>0</v>
      </c>
      <c r="U1640" s="4">
        <v>0.33333333333333331</v>
      </c>
      <c r="V1640" s="4">
        <v>11.666666666666666</v>
      </c>
      <c r="W1640" s="4">
        <v>12</v>
      </c>
      <c r="X1640" s="4">
        <v>0</v>
      </c>
      <c r="Y1640" s="4"/>
      <c r="Z1640" s="4">
        <v>536.49999999999989</v>
      </c>
      <c r="AA1640" s="4">
        <v>550</v>
      </c>
      <c r="AB1640" s="18"/>
      <c r="AC1640" s="18">
        <v>30</v>
      </c>
      <c r="AD1640" s="28"/>
      <c r="AE1640" s="26"/>
      <c r="AF1640" s="28"/>
    </row>
    <row r="1641" spans="1:32" ht="12.4" customHeight="1" x14ac:dyDescent="0.25">
      <c r="A1641" s="14">
        <v>45862</v>
      </c>
      <c r="B1641" s="14" t="s">
        <v>46</v>
      </c>
      <c r="C1641" s="15">
        <v>5</v>
      </c>
      <c r="D1641" s="16"/>
      <c r="E1641" s="16"/>
      <c r="F1641" s="17"/>
      <c r="G1641" s="21"/>
      <c r="H1641" s="21"/>
      <c r="I1641" s="4">
        <v>0</v>
      </c>
      <c r="J1641" s="4">
        <v>0</v>
      </c>
      <c r="K1641" s="4"/>
      <c r="L1641" s="16"/>
      <c r="M1641" s="4"/>
      <c r="N1641" s="4"/>
      <c r="O1641" s="4"/>
      <c r="P1641" s="4"/>
      <c r="Q1641" s="4"/>
      <c r="R1641" s="4"/>
      <c r="S1641" s="4">
        <v>0</v>
      </c>
      <c r="T1641" s="4">
        <v>0</v>
      </c>
      <c r="U1641" s="4">
        <v>0</v>
      </c>
      <c r="V1641" s="4">
        <v>12</v>
      </c>
      <c r="W1641" s="4">
        <v>12</v>
      </c>
      <c r="X1641" s="4">
        <v>0</v>
      </c>
      <c r="Y1641" s="4"/>
      <c r="Z1641" s="4">
        <v>557.04999999999995</v>
      </c>
      <c r="AA1641" s="4">
        <v>600</v>
      </c>
      <c r="AB1641" s="18"/>
      <c r="AC1641" s="18">
        <v>30</v>
      </c>
      <c r="AD1641" s="28"/>
      <c r="AE1641" s="26"/>
      <c r="AF1641" s="28"/>
    </row>
    <row r="1642" spans="1:32" ht="12.4" customHeight="1" x14ac:dyDescent="0.25">
      <c r="A1642" s="14">
        <v>45863</v>
      </c>
      <c r="B1642" s="14" t="s">
        <v>45</v>
      </c>
      <c r="C1642" s="15">
        <v>1</v>
      </c>
      <c r="D1642" s="16"/>
      <c r="E1642" s="16"/>
      <c r="F1642" s="17"/>
      <c r="G1642" s="21"/>
      <c r="H1642" s="21"/>
      <c r="I1642" s="4">
        <v>0</v>
      </c>
      <c r="J1642" s="4">
        <v>0</v>
      </c>
      <c r="K1642" s="4"/>
      <c r="L1642" s="16"/>
      <c r="M1642" s="4"/>
      <c r="N1642" s="4"/>
      <c r="O1642" s="4"/>
      <c r="P1642" s="4"/>
      <c r="Q1642" s="4"/>
      <c r="R1642" s="4"/>
      <c r="S1642" s="4">
        <v>0</v>
      </c>
      <c r="T1642" s="4">
        <v>0</v>
      </c>
      <c r="U1642" s="4">
        <v>0</v>
      </c>
      <c r="V1642" s="4">
        <v>12</v>
      </c>
      <c r="W1642" s="4">
        <v>12</v>
      </c>
      <c r="X1642" s="4">
        <v>26</v>
      </c>
      <c r="Y1642" s="4">
        <v>2012</v>
      </c>
      <c r="Z1642" s="4">
        <v>176.3</v>
      </c>
      <c r="AA1642" s="4">
        <v>100</v>
      </c>
      <c r="AB1642" s="18">
        <v>398</v>
      </c>
      <c r="AC1642" s="18">
        <v>30</v>
      </c>
      <c r="AD1642" s="28"/>
      <c r="AE1642" s="26"/>
      <c r="AF1642" s="28"/>
    </row>
    <row r="1643" spans="1:32" ht="12.4" customHeight="1" x14ac:dyDescent="0.25">
      <c r="A1643" s="14">
        <v>45863</v>
      </c>
      <c r="B1643" s="14" t="s">
        <v>46</v>
      </c>
      <c r="C1643" s="15">
        <v>1</v>
      </c>
      <c r="D1643" s="16"/>
      <c r="E1643" s="16"/>
      <c r="F1643" s="17"/>
      <c r="G1643" s="21"/>
      <c r="H1643" s="21"/>
      <c r="I1643" s="4">
        <v>0</v>
      </c>
      <c r="J1643" s="4">
        <v>0</v>
      </c>
      <c r="K1643" s="4"/>
      <c r="L1643" s="16"/>
      <c r="M1643" s="4"/>
      <c r="N1643" s="4"/>
      <c r="O1643" s="4"/>
      <c r="P1643" s="4"/>
      <c r="Q1643" s="4"/>
      <c r="R1643" s="4"/>
      <c r="S1643" s="4">
        <v>0</v>
      </c>
      <c r="T1643" s="4">
        <v>0</v>
      </c>
      <c r="U1643" s="4">
        <v>0</v>
      </c>
      <c r="V1643" s="4">
        <v>12</v>
      </c>
      <c r="W1643" s="4">
        <v>12</v>
      </c>
      <c r="X1643" s="4">
        <v>34</v>
      </c>
      <c r="Y1643" s="4"/>
      <c r="Z1643" s="4">
        <v>162.99000000000004</v>
      </c>
      <c r="AA1643" s="4">
        <v>150</v>
      </c>
      <c r="AB1643" s="18"/>
      <c r="AC1643" s="18">
        <v>30</v>
      </c>
      <c r="AD1643" s="28"/>
      <c r="AE1643" s="26"/>
      <c r="AF1643" s="28"/>
    </row>
    <row r="1644" spans="1:32" ht="12.4" customHeight="1" x14ac:dyDescent="0.25">
      <c r="A1644" s="14">
        <v>45863</v>
      </c>
      <c r="B1644" s="14" t="s">
        <v>45</v>
      </c>
      <c r="C1644" s="15">
        <v>2</v>
      </c>
      <c r="D1644" s="16"/>
      <c r="E1644" s="16"/>
      <c r="F1644" s="17"/>
      <c r="G1644" s="21"/>
      <c r="H1644" s="21"/>
      <c r="I1644" s="4">
        <v>0</v>
      </c>
      <c r="J1644" s="4">
        <v>0</v>
      </c>
      <c r="K1644" s="4"/>
      <c r="L1644" s="16"/>
      <c r="M1644" s="4"/>
      <c r="N1644" s="4"/>
      <c r="O1644" s="4"/>
      <c r="P1644" s="4"/>
      <c r="Q1644" s="4"/>
      <c r="R1644" s="4"/>
      <c r="S1644" s="4">
        <v>0</v>
      </c>
      <c r="T1644" s="4">
        <v>0</v>
      </c>
      <c r="U1644" s="4">
        <v>0</v>
      </c>
      <c r="V1644" s="4">
        <v>12</v>
      </c>
      <c r="W1644" s="4">
        <v>12</v>
      </c>
      <c r="X1644" s="4">
        <v>0</v>
      </c>
      <c r="Y1644" s="4"/>
      <c r="Z1644" s="4">
        <v>116.02</v>
      </c>
      <c r="AA1644" s="4">
        <v>100</v>
      </c>
      <c r="AB1644" s="18"/>
      <c r="AC1644" s="18">
        <v>30</v>
      </c>
      <c r="AD1644" s="28"/>
      <c r="AE1644" s="26"/>
      <c r="AF1644" s="28"/>
    </row>
    <row r="1645" spans="1:32" ht="12.4" customHeight="1" x14ac:dyDescent="0.25">
      <c r="A1645" s="14">
        <v>45863</v>
      </c>
      <c r="B1645" s="14" t="s">
        <v>46</v>
      </c>
      <c r="C1645" s="15">
        <v>2</v>
      </c>
      <c r="D1645" s="16"/>
      <c r="E1645" s="16"/>
      <c r="F1645" s="17"/>
      <c r="G1645" s="21"/>
      <c r="H1645" s="21"/>
      <c r="I1645" s="4">
        <v>0</v>
      </c>
      <c r="J1645" s="4">
        <v>0</v>
      </c>
      <c r="K1645" s="4"/>
      <c r="L1645" s="16"/>
      <c r="M1645" s="4"/>
      <c r="N1645" s="4"/>
      <c r="O1645" s="4"/>
      <c r="P1645" s="4"/>
      <c r="Q1645" s="4"/>
      <c r="R1645" s="4"/>
      <c r="S1645" s="4">
        <v>0</v>
      </c>
      <c r="T1645" s="4">
        <v>0</v>
      </c>
      <c r="U1645" s="4">
        <v>0</v>
      </c>
      <c r="V1645" s="4">
        <v>12</v>
      </c>
      <c r="W1645" s="4">
        <v>12</v>
      </c>
      <c r="X1645" s="4">
        <v>0</v>
      </c>
      <c r="Y1645" s="4"/>
      <c r="Z1645" s="4">
        <v>148.14000000000001</v>
      </c>
      <c r="AA1645" s="4">
        <v>150</v>
      </c>
      <c r="AB1645" s="18"/>
      <c r="AC1645" s="18">
        <v>30</v>
      </c>
      <c r="AD1645" s="28"/>
      <c r="AE1645" s="26"/>
      <c r="AF1645" s="28"/>
    </row>
    <row r="1646" spans="1:32" ht="12.4" customHeight="1" x14ac:dyDescent="0.25">
      <c r="A1646" s="14">
        <v>45863</v>
      </c>
      <c r="B1646" s="14" t="s">
        <v>45</v>
      </c>
      <c r="C1646" s="15">
        <v>3</v>
      </c>
      <c r="D1646" s="16"/>
      <c r="E1646" s="16"/>
      <c r="F1646" s="17"/>
      <c r="G1646" s="21"/>
      <c r="H1646" s="21"/>
      <c r="I1646" s="4">
        <v>0</v>
      </c>
      <c r="J1646" s="4">
        <v>0</v>
      </c>
      <c r="K1646" s="4"/>
      <c r="L1646" s="16"/>
      <c r="M1646" s="4"/>
      <c r="N1646" s="4"/>
      <c r="O1646" s="4"/>
      <c r="P1646" s="4"/>
      <c r="Q1646" s="4"/>
      <c r="R1646" s="4"/>
      <c r="S1646" s="4">
        <v>0</v>
      </c>
      <c r="T1646" s="4">
        <v>0</v>
      </c>
      <c r="U1646" s="4">
        <v>0</v>
      </c>
      <c r="V1646" s="4">
        <v>12</v>
      </c>
      <c r="W1646" s="4">
        <v>12</v>
      </c>
      <c r="X1646" s="4">
        <v>0</v>
      </c>
      <c r="Y1646" s="4"/>
      <c r="Z1646" s="4">
        <v>272.04999999999995</v>
      </c>
      <c r="AA1646" s="4">
        <v>300</v>
      </c>
      <c r="AB1646" s="18"/>
      <c r="AC1646" s="18">
        <v>30</v>
      </c>
      <c r="AD1646" s="28"/>
      <c r="AE1646" s="26"/>
      <c r="AF1646" s="28"/>
    </row>
    <row r="1647" spans="1:32" ht="12.4" customHeight="1" x14ac:dyDescent="0.25">
      <c r="A1647" s="14">
        <v>45863</v>
      </c>
      <c r="B1647" s="14" t="s">
        <v>46</v>
      </c>
      <c r="C1647" s="15">
        <v>3</v>
      </c>
      <c r="D1647" s="16"/>
      <c r="E1647" s="16"/>
      <c r="F1647" s="17"/>
      <c r="G1647" s="21"/>
      <c r="H1647" s="21"/>
      <c r="I1647" s="4">
        <v>0</v>
      </c>
      <c r="J1647" s="4">
        <v>0</v>
      </c>
      <c r="K1647" s="4"/>
      <c r="L1647" s="16"/>
      <c r="M1647" s="4"/>
      <c r="N1647" s="4"/>
      <c r="O1647" s="4"/>
      <c r="P1647" s="4"/>
      <c r="Q1647" s="4"/>
      <c r="R1647" s="4"/>
      <c r="S1647" s="4">
        <v>0</v>
      </c>
      <c r="T1647" s="4">
        <v>0</v>
      </c>
      <c r="U1647" s="4">
        <v>0</v>
      </c>
      <c r="V1647" s="4">
        <v>12</v>
      </c>
      <c r="W1647" s="4">
        <v>12</v>
      </c>
      <c r="X1647" s="4">
        <v>0</v>
      </c>
      <c r="Y1647" s="4"/>
      <c r="Z1647" s="4">
        <v>291.79999999999995</v>
      </c>
      <c r="AA1647" s="4">
        <v>300</v>
      </c>
      <c r="AB1647" s="18"/>
      <c r="AC1647" s="18">
        <v>30</v>
      </c>
      <c r="AD1647" s="28"/>
      <c r="AE1647" s="26"/>
      <c r="AF1647" s="28"/>
    </row>
    <row r="1648" spans="1:32" ht="12.4" customHeight="1" x14ac:dyDescent="0.25">
      <c r="A1648" s="14">
        <v>45863</v>
      </c>
      <c r="B1648" s="14" t="s">
        <v>45</v>
      </c>
      <c r="C1648" s="15">
        <v>4</v>
      </c>
      <c r="D1648" s="16">
        <v>40</v>
      </c>
      <c r="E1648" s="16"/>
      <c r="F1648" s="17"/>
      <c r="G1648" s="21"/>
      <c r="H1648" s="21"/>
      <c r="I1648" s="4">
        <v>40</v>
      </c>
      <c r="J1648" s="4">
        <v>0.66666666666666663</v>
      </c>
      <c r="K1648" s="4"/>
      <c r="L1648" s="16"/>
      <c r="M1648" s="4"/>
      <c r="N1648" s="4"/>
      <c r="O1648" s="4"/>
      <c r="P1648" s="4"/>
      <c r="Q1648" s="4"/>
      <c r="R1648" s="4"/>
      <c r="S1648" s="4">
        <v>0</v>
      </c>
      <c r="T1648" s="4">
        <v>0</v>
      </c>
      <c r="U1648" s="4">
        <v>0.66666666666666663</v>
      </c>
      <c r="V1648" s="4">
        <v>11.333333333333334</v>
      </c>
      <c r="W1648" s="4">
        <v>12</v>
      </c>
      <c r="X1648" s="4">
        <v>0</v>
      </c>
      <c r="Y1648" s="4"/>
      <c r="Z1648" s="4">
        <v>793.7</v>
      </c>
      <c r="AA1648" s="4">
        <v>750</v>
      </c>
      <c r="AB1648" s="18"/>
      <c r="AC1648" s="18">
        <v>30</v>
      </c>
      <c r="AD1648" s="28"/>
      <c r="AE1648" s="26"/>
      <c r="AF1648" s="28"/>
    </row>
    <row r="1649" spans="1:32" ht="12.4" customHeight="1" x14ac:dyDescent="0.25">
      <c r="A1649" s="14">
        <v>45863</v>
      </c>
      <c r="B1649" s="14" t="s">
        <v>46</v>
      </c>
      <c r="C1649" s="15">
        <v>4</v>
      </c>
      <c r="D1649" s="16">
        <v>20</v>
      </c>
      <c r="E1649" s="16"/>
      <c r="F1649" s="17"/>
      <c r="G1649" s="21"/>
      <c r="H1649" s="21"/>
      <c r="I1649" s="4">
        <v>20</v>
      </c>
      <c r="J1649" s="4">
        <v>0.33333333333333331</v>
      </c>
      <c r="K1649" s="4"/>
      <c r="L1649" s="16"/>
      <c r="M1649" s="4"/>
      <c r="N1649" s="4"/>
      <c r="O1649" s="4"/>
      <c r="P1649" s="4"/>
      <c r="Q1649" s="4"/>
      <c r="R1649" s="4"/>
      <c r="S1649" s="4">
        <v>0</v>
      </c>
      <c r="T1649" s="4">
        <v>0</v>
      </c>
      <c r="U1649" s="4">
        <v>0.33333333333333331</v>
      </c>
      <c r="V1649" s="4">
        <v>11.666666666666666</v>
      </c>
      <c r="W1649" s="4">
        <v>12</v>
      </c>
      <c r="X1649" s="4">
        <v>0</v>
      </c>
      <c r="Y1649" s="4"/>
      <c r="Z1649" s="4">
        <v>802.36</v>
      </c>
      <c r="AA1649" s="4">
        <v>800</v>
      </c>
      <c r="AB1649" s="18"/>
      <c r="AC1649" s="18">
        <v>30</v>
      </c>
      <c r="AD1649" s="28"/>
      <c r="AE1649" s="26"/>
      <c r="AF1649" s="28"/>
    </row>
    <row r="1650" spans="1:32" ht="12.4" customHeight="1" x14ac:dyDescent="0.25">
      <c r="A1650" s="14">
        <v>45863</v>
      </c>
      <c r="B1650" s="14" t="s">
        <v>45</v>
      </c>
      <c r="C1650" s="15">
        <v>5</v>
      </c>
      <c r="D1650" s="16"/>
      <c r="E1650" s="16"/>
      <c r="F1650" s="17"/>
      <c r="G1650" s="21"/>
      <c r="H1650" s="21"/>
      <c r="I1650" s="4">
        <v>0</v>
      </c>
      <c r="J1650" s="4">
        <v>0</v>
      </c>
      <c r="K1650" s="4"/>
      <c r="L1650" s="16"/>
      <c r="M1650" s="4"/>
      <c r="N1650" s="4"/>
      <c r="O1650" s="4"/>
      <c r="P1650" s="4"/>
      <c r="Q1650" s="4">
        <v>40</v>
      </c>
      <c r="R1650" s="4"/>
      <c r="S1650" s="4">
        <v>40</v>
      </c>
      <c r="T1650" s="4">
        <v>0.66666666666666663</v>
      </c>
      <c r="U1650" s="4">
        <v>0.66666666666666663</v>
      </c>
      <c r="V1650" s="4">
        <v>11.333333333333334</v>
      </c>
      <c r="W1650" s="4">
        <v>12</v>
      </c>
      <c r="X1650" s="4">
        <v>0</v>
      </c>
      <c r="Y1650" s="4"/>
      <c r="Z1650" s="4">
        <v>508.25999999999993</v>
      </c>
      <c r="AA1650" s="4">
        <v>500</v>
      </c>
      <c r="AB1650" s="18"/>
      <c r="AC1650" s="18">
        <v>30</v>
      </c>
      <c r="AD1650" s="28"/>
      <c r="AE1650" s="26"/>
      <c r="AF1650" s="28"/>
    </row>
    <row r="1651" spans="1:32" ht="12.4" customHeight="1" x14ac:dyDescent="0.25">
      <c r="A1651" s="14">
        <v>45863</v>
      </c>
      <c r="B1651" s="14" t="s">
        <v>46</v>
      </c>
      <c r="C1651" s="15">
        <v>5</v>
      </c>
      <c r="D1651" s="16"/>
      <c r="E1651" s="16"/>
      <c r="F1651" s="17"/>
      <c r="G1651" s="21"/>
      <c r="H1651" s="21"/>
      <c r="I1651" s="4">
        <v>0</v>
      </c>
      <c r="J1651" s="4">
        <v>0</v>
      </c>
      <c r="K1651" s="4"/>
      <c r="L1651" s="16"/>
      <c r="M1651" s="4"/>
      <c r="N1651" s="4"/>
      <c r="O1651" s="4"/>
      <c r="P1651" s="4"/>
      <c r="Q1651" s="4"/>
      <c r="R1651" s="4"/>
      <c r="S1651" s="4">
        <v>0</v>
      </c>
      <c r="T1651" s="4">
        <v>0</v>
      </c>
      <c r="U1651" s="4">
        <v>0</v>
      </c>
      <c r="V1651" s="4">
        <v>12</v>
      </c>
      <c r="W1651" s="4">
        <v>12</v>
      </c>
      <c r="X1651" s="4">
        <v>0</v>
      </c>
      <c r="Y1651" s="4"/>
      <c r="Z1651" s="4">
        <v>554.35</v>
      </c>
      <c r="AA1651" s="4">
        <v>500</v>
      </c>
      <c r="AB1651" s="18"/>
      <c r="AC1651" s="18">
        <v>30</v>
      </c>
      <c r="AD1651" s="28"/>
      <c r="AE1651" s="26"/>
      <c r="AF1651" s="28"/>
    </row>
    <row r="1652" spans="1:32" ht="12.4" customHeight="1" x14ac:dyDescent="0.25">
      <c r="A1652" s="14">
        <v>45864</v>
      </c>
      <c r="B1652" s="14" t="s">
        <v>45</v>
      </c>
      <c r="C1652" s="15">
        <v>1</v>
      </c>
      <c r="D1652" s="16"/>
      <c r="E1652" s="16"/>
      <c r="F1652" s="17"/>
      <c r="G1652" s="21"/>
      <c r="H1652" s="21"/>
      <c r="I1652" s="4">
        <v>0</v>
      </c>
      <c r="J1652" s="4">
        <v>0</v>
      </c>
      <c r="K1652" s="4"/>
      <c r="L1652" s="16"/>
      <c r="M1652" s="4"/>
      <c r="N1652" s="4"/>
      <c r="O1652" s="4"/>
      <c r="P1652" s="4"/>
      <c r="Q1652" s="4"/>
      <c r="R1652" s="4"/>
      <c r="S1652" s="4">
        <v>0</v>
      </c>
      <c r="T1652" s="4">
        <v>0</v>
      </c>
      <c r="U1652" s="4">
        <v>0</v>
      </c>
      <c r="V1652" s="4">
        <v>12</v>
      </c>
      <c r="W1652" s="4">
        <v>12</v>
      </c>
      <c r="X1652" s="4">
        <v>32</v>
      </c>
      <c r="Y1652" s="4">
        <v>1683.5</v>
      </c>
      <c r="Z1652" s="4">
        <v>159.75</v>
      </c>
      <c r="AA1652" s="4">
        <v>100</v>
      </c>
      <c r="AB1652" s="18">
        <v>398</v>
      </c>
      <c r="AC1652" s="18">
        <v>30</v>
      </c>
      <c r="AD1652" s="28"/>
      <c r="AE1652" s="26"/>
      <c r="AF1652" s="28"/>
    </row>
    <row r="1653" spans="1:32" ht="12.4" customHeight="1" x14ac:dyDescent="0.25">
      <c r="A1653" s="14">
        <v>45864</v>
      </c>
      <c r="B1653" s="14" t="s">
        <v>46</v>
      </c>
      <c r="C1653" s="15">
        <v>1</v>
      </c>
      <c r="D1653" s="16"/>
      <c r="E1653" s="16"/>
      <c r="F1653" s="17"/>
      <c r="G1653" s="21"/>
      <c r="H1653" s="21"/>
      <c r="I1653" s="4">
        <v>0</v>
      </c>
      <c r="J1653" s="4">
        <v>0</v>
      </c>
      <c r="K1653" s="4"/>
      <c r="L1653" s="16"/>
      <c r="M1653" s="4"/>
      <c r="N1653" s="4"/>
      <c r="O1653" s="4"/>
      <c r="P1653" s="4"/>
      <c r="Q1653" s="4"/>
      <c r="R1653" s="21">
        <v>180</v>
      </c>
      <c r="S1653" s="4">
        <v>180</v>
      </c>
      <c r="T1653" s="4">
        <v>3</v>
      </c>
      <c r="U1653" s="4">
        <v>3</v>
      </c>
      <c r="V1653" s="4">
        <v>9</v>
      </c>
      <c r="W1653" s="4">
        <v>12</v>
      </c>
      <c r="X1653" s="4">
        <v>27</v>
      </c>
      <c r="Y1653" s="4"/>
      <c r="Z1653" s="4">
        <v>120.75</v>
      </c>
      <c r="AA1653" s="4">
        <v>150</v>
      </c>
      <c r="AB1653" s="18"/>
      <c r="AC1653" s="18">
        <v>30</v>
      </c>
      <c r="AD1653" s="28"/>
      <c r="AE1653" s="26"/>
      <c r="AF1653" s="28"/>
    </row>
    <row r="1654" spans="1:32" ht="12.4" customHeight="1" x14ac:dyDescent="0.25">
      <c r="A1654" s="14">
        <v>45864</v>
      </c>
      <c r="B1654" s="14" t="s">
        <v>45</v>
      </c>
      <c r="C1654" s="15">
        <v>2</v>
      </c>
      <c r="D1654" s="16"/>
      <c r="E1654" s="16"/>
      <c r="F1654" s="17"/>
      <c r="G1654" s="21"/>
      <c r="H1654" s="21"/>
      <c r="I1654" s="4">
        <v>0</v>
      </c>
      <c r="J1654" s="4">
        <v>0</v>
      </c>
      <c r="K1654" s="4"/>
      <c r="L1654" s="16"/>
      <c r="M1654" s="4"/>
      <c r="N1654" s="4"/>
      <c r="O1654" s="4"/>
      <c r="P1654" s="4"/>
      <c r="Q1654" s="4"/>
      <c r="R1654" s="21"/>
      <c r="S1654" s="4">
        <v>0</v>
      </c>
      <c r="T1654" s="4">
        <v>0</v>
      </c>
      <c r="U1654" s="4">
        <v>0</v>
      </c>
      <c r="V1654" s="4">
        <v>12</v>
      </c>
      <c r="W1654" s="4">
        <v>12</v>
      </c>
      <c r="X1654" s="4">
        <v>0</v>
      </c>
      <c r="Y1654" s="4"/>
      <c r="Z1654" s="4">
        <v>158.88</v>
      </c>
      <c r="AA1654" s="4">
        <v>150</v>
      </c>
      <c r="AB1654" s="18"/>
      <c r="AC1654" s="18">
        <v>30</v>
      </c>
      <c r="AD1654" s="28"/>
      <c r="AE1654" s="26"/>
      <c r="AF1654" s="28"/>
    </row>
    <row r="1655" spans="1:32" ht="12.4" customHeight="1" x14ac:dyDescent="0.25">
      <c r="A1655" s="14">
        <v>45864</v>
      </c>
      <c r="B1655" s="14" t="s">
        <v>46</v>
      </c>
      <c r="C1655" s="15">
        <v>2</v>
      </c>
      <c r="D1655" s="16"/>
      <c r="E1655" s="16"/>
      <c r="F1655" s="17"/>
      <c r="G1655" s="21"/>
      <c r="H1655" s="21"/>
      <c r="I1655" s="4">
        <v>0</v>
      </c>
      <c r="J1655" s="4">
        <v>0</v>
      </c>
      <c r="K1655" s="4"/>
      <c r="L1655" s="16"/>
      <c r="M1655" s="4"/>
      <c r="N1655" s="4"/>
      <c r="O1655" s="4"/>
      <c r="P1655" s="4"/>
      <c r="Q1655" s="4"/>
      <c r="R1655" s="21">
        <v>150</v>
      </c>
      <c r="S1655" s="4">
        <v>150</v>
      </c>
      <c r="T1655" s="4">
        <v>2.5</v>
      </c>
      <c r="U1655" s="4">
        <v>2.5</v>
      </c>
      <c r="V1655" s="4">
        <v>9.5</v>
      </c>
      <c r="W1655" s="4">
        <v>12</v>
      </c>
      <c r="X1655" s="4">
        <v>0</v>
      </c>
      <c r="Y1655" s="4"/>
      <c r="Z1655" s="4">
        <v>117.85</v>
      </c>
      <c r="AA1655" s="4">
        <v>150</v>
      </c>
      <c r="AB1655" s="18"/>
      <c r="AC1655" s="18">
        <v>30</v>
      </c>
      <c r="AD1655" s="28"/>
      <c r="AE1655" s="26"/>
      <c r="AF1655" s="28"/>
    </row>
    <row r="1656" spans="1:32" ht="12.4" customHeight="1" x14ac:dyDescent="0.25">
      <c r="A1656" s="14">
        <v>45864</v>
      </c>
      <c r="B1656" s="14" t="s">
        <v>45</v>
      </c>
      <c r="C1656" s="15">
        <v>3</v>
      </c>
      <c r="D1656" s="16"/>
      <c r="E1656" s="16"/>
      <c r="F1656" s="17"/>
      <c r="G1656" s="21"/>
      <c r="H1656" s="21"/>
      <c r="I1656" s="4">
        <v>0</v>
      </c>
      <c r="J1656" s="4">
        <v>0</v>
      </c>
      <c r="K1656" s="4"/>
      <c r="L1656" s="16"/>
      <c r="M1656" s="4"/>
      <c r="N1656" s="4"/>
      <c r="O1656" s="4"/>
      <c r="P1656" s="4"/>
      <c r="Q1656" s="4"/>
      <c r="R1656" s="21"/>
      <c r="S1656" s="4">
        <v>0</v>
      </c>
      <c r="T1656" s="4">
        <v>0</v>
      </c>
      <c r="U1656" s="4">
        <v>0</v>
      </c>
      <c r="V1656" s="4">
        <v>12</v>
      </c>
      <c r="W1656" s="4">
        <v>12</v>
      </c>
      <c r="X1656" s="4">
        <v>0</v>
      </c>
      <c r="Y1656" s="4"/>
      <c r="Z1656" s="4">
        <v>295.54000000000002</v>
      </c>
      <c r="AA1656" s="4">
        <v>300</v>
      </c>
      <c r="AB1656" s="18"/>
      <c r="AC1656" s="18">
        <v>30</v>
      </c>
      <c r="AD1656" s="28"/>
      <c r="AE1656" s="26"/>
      <c r="AF1656" s="28"/>
    </row>
    <row r="1657" spans="1:32" ht="12.4" customHeight="1" x14ac:dyDescent="0.25">
      <c r="A1657" s="14">
        <v>45864</v>
      </c>
      <c r="B1657" s="14" t="s">
        <v>46</v>
      </c>
      <c r="C1657" s="15">
        <v>3</v>
      </c>
      <c r="D1657" s="16" t="s">
        <v>34</v>
      </c>
      <c r="E1657" s="16"/>
      <c r="F1657" s="17"/>
      <c r="G1657" s="21"/>
      <c r="H1657" s="21"/>
      <c r="I1657" s="4">
        <v>0</v>
      </c>
      <c r="J1657" s="4">
        <v>0</v>
      </c>
      <c r="K1657" s="4"/>
      <c r="L1657" s="16"/>
      <c r="M1657" s="4"/>
      <c r="N1657" s="4"/>
      <c r="O1657" s="4"/>
      <c r="P1657" s="4"/>
      <c r="Q1657" s="4"/>
      <c r="R1657" s="21">
        <v>150</v>
      </c>
      <c r="S1657" s="4">
        <v>150</v>
      </c>
      <c r="T1657" s="4">
        <v>2.5</v>
      </c>
      <c r="U1657" s="4">
        <v>2.5</v>
      </c>
      <c r="V1657" s="4">
        <v>9.5</v>
      </c>
      <c r="W1657" s="4">
        <v>12</v>
      </c>
      <c r="X1657" s="4">
        <v>0</v>
      </c>
      <c r="Y1657" s="4"/>
      <c r="Z1657" s="4">
        <v>118.89999999999999</v>
      </c>
      <c r="AA1657" s="4">
        <v>200</v>
      </c>
      <c r="AB1657" s="18"/>
      <c r="AC1657" s="18">
        <v>30</v>
      </c>
      <c r="AD1657" s="28"/>
      <c r="AE1657" s="26"/>
      <c r="AF1657" s="28"/>
    </row>
    <row r="1658" spans="1:32" ht="12.4" customHeight="1" x14ac:dyDescent="0.25">
      <c r="A1658" s="14">
        <v>45864</v>
      </c>
      <c r="B1658" s="14" t="s">
        <v>45</v>
      </c>
      <c r="C1658" s="15">
        <v>4</v>
      </c>
      <c r="D1658" s="16">
        <v>20</v>
      </c>
      <c r="E1658" s="16"/>
      <c r="F1658" s="17"/>
      <c r="G1658" s="21"/>
      <c r="H1658" s="21"/>
      <c r="I1658" s="4">
        <v>20</v>
      </c>
      <c r="J1658" s="4">
        <v>0.33333333333333331</v>
      </c>
      <c r="K1658" s="4"/>
      <c r="L1658" s="16"/>
      <c r="M1658" s="4"/>
      <c r="N1658" s="4"/>
      <c r="O1658" s="4"/>
      <c r="P1658" s="4"/>
      <c r="Q1658" s="4"/>
      <c r="R1658" s="21"/>
      <c r="S1658" s="4">
        <v>0</v>
      </c>
      <c r="T1658" s="4">
        <v>0</v>
      </c>
      <c r="U1658" s="4">
        <v>0.33333333333333331</v>
      </c>
      <c r="V1658" s="4">
        <v>11.666666666666666</v>
      </c>
      <c r="W1658" s="4">
        <v>12</v>
      </c>
      <c r="X1658" s="4">
        <v>0</v>
      </c>
      <c r="Y1658" s="4"/>
      <c r="Z1658" s="4">
        <v>679.05</v>
      </c>
      <c r="AA1658" s="4">
        <v>700</v>
      </c>
      <c r="AB1658" s="18"/>
      <c r="AC1658" s="18">
        <v>30</v>
      </c>
      <c r="AD1658" s="28"/>
      <c r="AE1658" s="26"/>
      <c r="AF1658" s="28"/>
    </row>
    <row r="1659" spans="1:32" ht="12.4" customHeight="1" x14ac:dyDescent="0.25">
      <c r="A1659" s="14">
        <v>45864</v>
      </c>
      <c r="B1659" s="14" t="s">
        <v>46</v>
      </c>
      <c r="C1659" s="15">
        <v>4</v>
      </c>
      <c r="D1659" s="16">
        <v>60</v>
      </c>
      <c r="E1659" s="16"/>
      <c r="F1659" s="17"/>
      <c r="G1659" s="21"/>
      <c r="H1659" s="21"/>
      <c r="I1659" s="4">
        <v>60</v>
      </c>
      <c r="J1659" s="4">
        <v>1</v>
      </c>
      <c r="K1659" s="4"/>
      <c r="L1659" s="16"/>
      <c r="M1659" s="4"/>
      <c r="N1659" s="4"/>
      <c r="O1659" s="4"/>
      <c r="P1659" s="4"/>
      <c r="Q1659" s="4"/>
      <c r="R1659" s="21">
        <v>180</v>
      </c>
      <c r="S1659" s="4">
        <v>180</v>
      </c>
      <c r="T1659" s="4">
        <v>3</v>
      </c>
      <c r="U1659" s="4">
        <v>4</v>
      </c>
      <c r="V1659" s="4">
        <v>8</v>
      </c>
      <c r="W1659" s="4">
        <v>12</v>
      </c>
      <c r="X1659" s="4">
        <v>0</v>
      </c>
      <c r="Y1659" s="4"/>
      <c r="Z1659" s="4">
        <v>502.79999999999995</v>
      </c>
      <c r="AA1659" s="4">
        <v>550</v>
      </c>
      <c r="AB1659" s="18"/>
      <c r="AC1659" s="18">
        <v>30</v>
      </c>
      <c r="AD1659" s="28"/>
      <c r="AE1659" s="26"/>
      <c r="AF1659" s="28"/>
    </row>
    <row r="1660" spans="1:32" ht="12.4" customHeight="1" x14ac:dyDescent="0.25">
      <c r="A1660" s="14">
        <v>45864</v>
      </c>
      <c r="B1660" s="14" t="s">
        <v>45</v>
      </c>
      <c r="C1660" s="15">
        <v>5</v>
      </c>
      <c r="D1660" s="16"/>
      <c r="E1660" s="16"/>
      <c r="F1660" s="17"/>
      <c r="G1660" s="21"/>
      <c r="H1660" s="21"/>
      <c r="I1660" s="4">
        <v>0</v>
      </c>
      <c r="J1660" s="4">
        <v>0</v>
      </c>
      <c r="K1660" s="4"/>
      <c r="L1660" s="16"/>
      <c r="M1660" s="4">
        <v>135</v>
      </c>
      <c r="N1660" s="4"/>
      <c r="O1660" s="4"/>
      <c r="P1660" s="4"/>
      <c r="Q1660" s="4"/>
      <c r="R1660" s="21"/>
      <c r="S1660" s="4">
        <v>135</v>
      </c>
      <c r="T1660" s="4">
        <v>2.25</v>
      </c>
      <c r="U1660" s="4">
        <v>2.25</v>
      </c>
      <c r="V1660" s="4">
        <v>9.75</v>
      </c>
      <c r="W1660" s="4">
        <v>12</v>
      </c>
      <c r="X1660" s="4">
        <v>0</v>
      </c>
      <c r="Y1660" s="4"/>
      <c r="Z1660" s="4">
        <v>506.29999999999995</v>
      </c>
      <c r="AA1660" s="4">
        <v>500</v>
      </c>
      <c r="AB1660" s="18"/>
      <c r="AC1660" s="18">
        <v>30</v>
      </c>
      <c r="AD1660" s="28"/>
      <c r="AE1660" s="26"/>
      <c r="AF1660" s="28"/>
    </row>
    <row r="1661" spans="1:32" ht="12.4" customHeight="1" x14ac:dyDescent="0.25">
      <c r="A1661" s="14">
        <v>45864</v>
      </c>
      <c r="B1661" s="14" t="s">
        <v>46</v>
      </c>
      <c r="C1661" s="15">
        <v>5</v>
      </c>
      <c r="D1661" s="16"/>
      <c r="E1661" s="16"/>
      <c r="F1661" s="17"/>
      <c r="G1661" s="21"/>
      <c r="H1661" s="21"/>
      <c r="I1661" s="4">
        <v>0</v>
      </c>
      <c r="J1661" s="4">
        <v>0</v>
      </c>
      <c r="K1661" s="4"/>
      <c r="L1661" s="16"/>
      <c r="M1661" s="4"/>
      <c r="N1661" s="4"/>
      <c r="O1661" s="4"/>
      <c r="P1661" s="4"/>
      <c r="Q1661" s="4"/>
      <c r="R1661" s="21">
        <v>170</v>
      </c>
      <c r="S1661" s="4">
        <v>170</v>
      </c>
      <c r="T1661" s="4">
        <v>2.8333333333333335</v>
      </c>
      <c r="U1661" s="4">
        <v>2.8333333333333335</v>
      </c>
      <c r="V1661" s="4">
        <v>9.1666666666666661</v>
      </c>
      <c r="W1661" s="4">
        <v>12</v>
      </c>
      <c r="X1661" s="4">
        <v>0</v>
      </c>
      <c r="Y1661" s="4"/>
      <c r="Z1661" s="4">
        <v>440.51</v>
      </c>
      <c r="AA1661" s="4">
        <v>500</v>
      </c>
      <c r="AB1661" s="18"/>
      <c r="AC1661" s="18">
        <v>30</v>
      </c>
      <c r="AD1661" s="28"/>
      <c r="AE1661" s="26"/>
      <c r="AF1661" s="28"/>
    </row>
    <row r="1662" spans="1:32" ht="12.4" customHeight="1" x14ac:dyDescent="0.25">
      <c r="A1662" s="14">
        <v>45866</v>
      </c>
      <c r="B1662" s="14" t="s">
        <v>45</v>
      </c>
      <c r="C1662" s="15">
        <v>1</v>
      </c>
      <c r="D1662" s="16"/>
      <c r="E1662" s="16"/>
      <c r="F1662" s="17"/>
      <c r="G1662" s="16">
        <v>120</v>
      </c>
      <c r="H1662" s="21"/>
      <c r="I1662" s="4">
        <v>120</v>
      </c>
      <c r="J1662" s="4">
        <v>2</v>
      </c>
      <c r="K1662" s="4"/>
      <c r="L1662" s="16"/>
      <c r="M1662" s="4"/>
      <c r="N1662" s="4"/>
      <c r="O1662" s="4"/>
      <c r="P1662" s="4"/>
      <c r="Q1662" s="4"/>
      <c r="R1662" s="4"/>
      <c r="S1662" s="4">
        <v>0</v>
      </c>
      <c r="T1662" s="4">
        <v>0</v>
      </c>
      <c r="U1662" s="4">
        <v>2</v>
      </c>
      <c r="V1662" s="4">
        <v>10</v>
      </c>
      <c r="W1662" s="4">
        <v>12</v>
      </c>
      <c r="X1662" s="4">
        <v>16.5</v>
      </c>
      <c r="Y1662" s="4">
        <v>1289</v>
      </c>
      <c r="Z1662" s="4">
        <v>94.5</v>
      </c>
      <c r="AA1662" s="4">
        <v>100</v>
      </c>
      <c r="AB1662" s="18">
        <v>398</v>
      </c>
      <c r="AC1662" s="18">
        <v>31</v>
      </c>
      <c r="AD1662" s="28"/>
      <c r="AE1662" s="26"/>
      <c r="AF1662" s="28"/>
    </row>
    <row r="1663" spans="1:32" ht="12.4" customHeight="1" x14ac:dyDescent="0.25">
      <c r="A1663" s="14">
        <v>45866</v>
      </c>
      <c r="B1663" s="14" t="s">
        <v>46</v>
      </c>
      <c r="C1663" s="15">
        <v>1</v>
      </c>
      <c r="D1663" s="16"/>
      <c r="E1663" s="16"/>
      <c r="F1663" s="17"/>
      <c r="G1663" s="16"/>
      <c r="H1663" s="21"/>
      <c r="I1663" s="4">
        <v>0</v>
      </c>
      <c r="J1663" s="4">
        <v>0</v>
      </c>
      <c r="K1663" s="4"/>
      <c r="L1663" s="16"/>
      <c r="M1663" s="4"/>
      <c r="N1663" s="4"/>
      <c r="O1663" s="4"/>
      <c r="P1663" s="4"/>
      <c r="Q1663" s="4"/>
      <c r="R1663" s="4"/>
      <c r="S1663" s="4">
        <v>0</v>
      </c>
      <c r="T1663" s="4">
        <v>0</v>
      </c>
      <c r="U1663" s="4">
        <v>0</v>
      </c>
      <c r="V1663" s="4">
        <v>12</v>
      </c>
      <c r="W1663" s="4">
        <v>12</v>
      </c>
      <c r="X1663" s="4">
        <v>27.5</v>
      </c>
      <c r="Y1663" s="4"/>
      <c r="Z1663" s="4">
        <v>127.63999999999999</v>
      </c>
      <c r="AA1663" s="4">
        <v>150</v>
      </c>
      <c r="AB1663" s="18"/>
      <c r="AC1663" s="18">
        <v>31</v>
      </c>
      <c r="AD1663" s="28"/>
      <c r="AE1663" s="26"/>
      <c r="AF1663" s="28"/>
    </row>
    <row r="1664" spans="1:32" ht="12.4" customHeight="1" x14ac:dyDescent="0.25">
      <c r="A1664" s="14">
        <v>45866</v>
      </c>
      <c r="B1664" s="14" t="s">
        <v>45</v>
      </c>
      <c r="C1664" s="15">
        <v>2</v>
      </c>
      <c r="D1664" s="16"/>
      <c r="E1664" s="16"/>
      <c r="F1664" s="17"/>
      <c r="G1664" s="16">
        <v>140</v>
      </c>
      <c r="H1664" s="21"/>
      <c r="I1664" s="4">
        <v>140</v>
      </c>
      <c r="J1664" s="4">
        <v>2.3333333333333335</v>
      </c>
      <c r="K1664" s="4"/>
      <c r="L1664" s="16"/>
      <c r="M1664" s="4"/>
      <c r="N1664" s="4"/>
      <c r="O1664" s="4"/>
      <c r="P1664" s="4"/>
      <c r="Q1664" s="4"/>
      <c r="R1664" s="4"/>
      <c r="S1664" s="4">
        <v>0</v>
      </c>
      <c r="T1664" s="4">
        <v>0</v>
      </c>
      <c r="U1664" s="4">
        <v>2.3333333333333335</v>
      </c>
      <c r="V1664" s="4">
        <v>9.6666666666666661</v>
      </c>
      <c r="W1664" s="4">
        <v>12</v>
      </c>
      <c r="X1664" s="4">
        <v>0</v>
      </c>
      <c r="Y1664" s="4"/>
      <c r="Z1664" s="4">
        <v>108.77000000000001</v>
      </c>
      <c r="AA1664" s="4">
        <v>150</v>
      </c>
      <c r="AB1664" s="18"/>
      <c r="AC1664" s="18">
        <v>31</v>
      </c>
      <c r="AD1664" s="28"/>
      <c r="AE1664" s="26"/>
      <c r="AF1664" s="28"/>
    </row>
    <row r="1665" spans="1:32" ht="12.4" customHeight="1" x14ac:dyDescent="0.25">
      <c r="A1665" s="14">
        <v>45866</v>
      </c>
      <c r="B1665" s="14" t="s">
        <v>46</v>
      </c>
      <c r="C1665" s="15">
        <v>2</v>
      </c>
      <c r="D1665" s="16"/>
      <c r="E1665" s="16"/>
      <c r="F1665" s="17"/>
      <c r="G1665" s="16"/>
      <c r="H1665" s="21"/>
      <c r="I1665" s="4">
        <v>0</v>
      </c>
      <c r="J1665" s="4">
        <v>0</v>
      </c>
      <c r="K1665" s="4"/>
      <c r="L1665" s="16"/>
      <c r="M1665" s="4"/>
      <c r="N1665" s="4"/>
      <c r="O1665" s="4"/>
      <c r="P1665" s="4"/>
      <c r="Q1665" s="4"/>
      <c r="R1665" s="4"/>
      <c r="S1665" s="4">
        <v>0</v>
      </c>
      <c r="T1665" s="4">
        <v>0</v>
      </c>
      <c r="U1665" s="4">
        <v>0</v>
      </c>
      <c r="V1665" s="4">
        <v>12</v>
      </c>
      <c r="W1665" s="4">
        <v>12</v>
      </c>
      <c r="X1665" s="4">
        <v>0</v>
      </c>
      <c r="Y1665" s="4"/>
      <c r="Z1665" s="4">
        <v>140.35000000000002</v>
      </c>
      <c r="AA1665" s="4">
        <v>150</v>
      </c>
      <c r="AB1665" s="18"/>
      <c r="AC1665" s="18">
        <v>31</v>
      </c>
      <c r="AD1665" s="28"/>
      <c r="AE1665" s="26"/>
      <c r="AF1665" s="28"/>
    </row>
    <row r="1666" spans="1:32" ht="12.4" customHeight="1" x14ac:dyDescent="0.25">
      <c r="A1666" s="14">
        <v>45866</v>
      </c>
      <c r="B1666" s="14" t="s">
        <v>45</v>
      </c>
      <c r="C1666" s="15">
        <v>3</v>
      </c>
      <c r="D1666" s="16"/>
      <c r="E1666" s="16"/>
      <c r="F1666" s="17"/>
      <c r="G1666" s="16">
        <v>180</v>
      </c>
      <c r="H1666" s="21"/>
      <c r="I1666" s="4">
        <v>180</v>
      </c>
      <c r="J1666" s="4">
        <v>3</v>
      </c>
      <c r="K1666" s="4"/>
      <c r="L1666" s="16"/>
      <c r="M1666" s="4"/>
      <c r="N1666" s="4"/>
      <c r="O1666" s="4"/>
      <c r="P1666" s="4"/>
      <c r="Q1666" s="4">
        <v>40</v>
      </c>
      <c r="R1666" s="4"/>
      <c r="S1666" s="4">
        <v>40</v>
      </c>
      <c r="T1666" s="4">
        <v>0.66666666666666663</v>
      </c>
      <c r="U1666" s="4">
        <v>3.6666666666666665</v>
      </c>
      <c r="V1666" s="4">
        <v>8.3333333333333339</v>
      </c>
      <c r="W1666" s="4">
        <v>12</v>
      </c>
      <c r="X1666" s="4">
        <v>0</v>
      </c>
      <c r="Y1666" s="4"/>
      <c r="Z1666" s="4">
        <v>445.58000000000004</v>
      </c>
      <c r="AA1666" s="4">
        <v>450</v>
      </c>
      <c r="AB1666" s="18"/>
      <c r="AC1666" s="18">
        <v>31</v>
      </c>
      <c r="AD1666" s="28"/>
      <c r="AE1666" s="26"/>
      <c r="AF1666" s="28"/>
    </row>
    <row r="1667" spans="1:32" ht="12.4" customHeight="1" x14ac:dyDescent="0.25">
      <c r="A1667" s="14">
        <v>45866</v>
      </c>
      <c r="B1667" s="14" t="s">
        <v>46</v>
      </c>
      <c r="C1667" s="15">
        <v>3</v>
      </c>
      <c r="D1667" s="16"/>
      <c r="E1667" s="16"/>
      <c r="F1667" s="17"/>
      <c r="G1667" s="16"/>
      <c r="H1667" s="21"/>
      <c r="I1667" s="4">
        <v>0</v>
      </c>
      <c r="J1667" s="4">
        <v>0</v>
      </c>
      <c r="K1667" s="4"/>
      <c r="L1667" s="16"/>
      <c r="M1667" s="4"/>
      <c r="N1667" s="4"/>
      <c r="O1667" s="4"/>
      <c r="P1667" s="4"/>
      <c r="Q1667" s="4"/>
      <c r="R1667" s="4"/>
      <c r="S1667" s="4">
        <v>0</v>
      </c>
      <c r="T1667" s="4">
        <v>0</v>
      </c>
      <c r="U1667" s="4">
        <v>0</v>
      </c>
      <c r="V1667" s="4">
        <v>12</v>
      </c>
      <c r="W1667" s="4">
        <v>12</v>
      </c>
      <c r="X1667" s="4">
        <v>0</v>
      </c>
      <c r="Y1667" s="4"/>
      <c r="Z1667" s="4">
        <v>78.3</v>
      </c>
      <c r="AA1667" s="4">
        <v>100</v>
      </c>
      <c r="AB1667" s="18"/>
      <c r="AC1667" s="18">
        <v>31</v>
      </c>
      <c r="AD1667" s="28"/>
      <c r="AE1667" s="26"/>
      <c r="AF1667" s="28"/>
    </row>
    <row r="1668" spans="1:32" ht="12.4" customHeight="1" x14ac:dyDescent="0.25">
      <c r="A1668" s="14">
        <v>45866</v>
      </c>
      <c r="B1668" s="14" t="s">
        <v>45</v>
      </c>
      <c r="C1668" s="15">
        <v>5</v>
      </c>
      <c r="D1668" s="16"/>
      <c r="E1668" s="16"/>
      <c r="F1668" s="17"/>
      <c r="G1668" s="16">
        <v>200</v>
      </c>
      <c r="H1668" s="21"/>
      <c r="I1668" s="4">
        <v>200</v>
      </c>
      <c r="J1668" s="4">
        <v>3.3333333333333335</v>
      </c>
      <c r="K1668" s="4"/>
      <c r="L1668" s="16"/>
      <c r="M1668" s="4"/>
      <c r="N1668" s="4"/>
      <c r="O1668" s="4"/>
      <c r="P1668" s="4"/>
      <c r="Q1668" s="4"/>
      <c r="R1668" s="4"/>
      <c r="S1668" s="4">
        <v>0</v>
      </c>
      <c r="T1668" s="4">
        <v>0</v>
      </c>
      <c r="U1668" s="4">
        <v>3.3333333333333335</v>
      </c>
      <c r="V1668" s="4">
        <v>8.6666666666666661</v>
      </c>
      <c r="W1668" s="4">
        <v>12</v>
      </c>
      <c r="X1668" s="4">
        <v>0</v>
      </c>
      <c r="Y1668" s="4"/>
      <c r="Z1668" s="4">
        <v>415.2</v>
      </c>
      <c r="AA1668" s="4">
        <v>450</v>
      </c>
      <c r="AB1668" s="18"/>
      <c r="AC1668" s="18">
        <v>31</v>
      </c>
      <c r="AD1668" s="28"/>
      <c r="AE1668" s="26"/>
      <c r="AF1668" s="28"/>
    </row>
    <row r="1669" spans="1:32" ht="12.4" customHeight="1" x14ac:dyDescent="0.25">
      <c r="A1669" s="14">
        <v>45866</v>
      </c>
      <c r="B1669" s="14" t="s">
        <v>46</v>
      </c>
      <c r="C1669" s="15">
        <v>5</v>
      </c>
      <c r="D1669" s="16"/>
      <c r="E1669" s="16"/>
      <c r="F1669" s="17"/>
      <c r="G1669" s="16"/>
      <c r="H1669" s="21"/>
      <c r="I1669" s="4">
        <v>0</v>
      </c>
      <c r="J1669" s="4">
        <v>0</v>
      </c>
      <c r="K1669" s="4"/>
      <c r="L1669" s="16"/>
      <c r="M1669" s="4"/>
      <c r="N1669" s="4"/>
      <c r="O1669" s="4"/>
      <c r="P1669" s="4"/>
      <c r="Q1669" s="4"/>
      <c r="R1669" s="4"/>
      <c r="S1669" s="4">
        <v>0</v>
      </c>
      <c r="T1669" s="4">
        <v>0</v>
      </c>
      <c r="U1669" s="4">
        <v>0</v>
      </c>
      <c r="V1669" s="4">
        <v>12</v>
      </c>
      <c r="W1669" s="4">
        <v>12</v>
      </c>
      <c r="X1669" s="4">
        <v>0</v>
      </c>
      <c r="Y1669" s="4"/>
      <c r="Z1669" s="4">
        <v>580.93000000000006</v>
      </c>
      <c r="AA1669" s="4">
        <v>600</v>
      </c>
      <c r="AB1669" s="18"/>
      <c r="AC1669" s="18">
        <v>31</v>
      </c>
      <c r="AD1669" s="28"/>
      <c r="AE1669" s="26"/>
      <c r="AF1669" s="28"/>
    </row>
    <row r="1670" spans="1:32" ht="12.4" customHeight="1" x14ac:dyDescent="0.25">
      <c r="A1670" s="14">
        <v>45867</v>
      </c>
      <c r="B1670" s="14" t="s">
        <v>45</v>
      </c>
      <c r="C1670" s="15">
        <v>1</v>
      </c>
      <c r="D1670" s="16"/>
      <c r="E1670" s="16"/>
      <c r="F1670" s="17"/>
      <c r="G1670" s="21"/>
      <c r="H1670" s="21"/>
      <c r="I1670" s="4">
        <v>0</v>
      </c>
      <c r="J1670" s="4">
        <v>0</v>
      </c>
      <c r="K1670" s="4"/>
      <c r="L1670" s="16"/>
      <c r="M1670" s="4"/>
      <c r="N1670" s="4"/>
      <c r="O1670" s="4"/>
      <c r="P1670" s="4"/>
      <c r="Q1670" s="4"/>
      <c r="R1670" s="4"/>
      <c r="S1670" s="4">
        <v>0</v>
      </c>
      <c r="T1670" s="4">
        <v>0</v>
      </c>
      <c r="U1670" s="4">
        <v>0</v>
      </c>
      <c r="V1670" s="4">
        <v>12</v>
      </c>
      <c r="W1670" s="4">
        <v>12</v>
      </c>
      <c r="X1670" s="4">
        <v>12</v>
      </c>
      <c r="Y1670" s="4">
        <v>1395</v>
      </c>
      <c r="Z1670" s="4">
        <v>128.08000000000001</v>
      </c>
      <c r="AA1670" s="4">
        <v>150</v>
      </c>
      <c r="AB1670" s="18">
        <v>398</v>
      </c>
      <c r="AC1670" s="18">
        <v>31</v>
      </c>
      <c r="AD1670" s="28"/>
      <c r="AE1670" s="26"/>
      <c r="AF1670" s="28"/>
    </row>
    <row r="1671" spans="1:32" ht="12.4" customHeight="1" x14ac:dyDescent="0.25">
      <c r="A1671" s="14">
        <v>45867</v>
      </c>
      <c r="B1671" s="14" t="s">
        <v>46</v>
      </c>
      <c r="C1671" s="15">
        <v>1</v>
      </c>
      <c r="D1671" s="16"/>
      <c r="E1671" s="16"/>
      <c r="F1671" s="17"/>
      <c r="G1671" s="21"/>
      <c r="H1671" s="21"/>
      <c r="I1671" s="4">
        <v>0</v>
      </c>
      <c r="J1671" s="4">
        <v>0</v>
      </c>
      <c r="K1671" s="4"/>
      <c r="L1671" s="16"/>
      <c r="M1671" s="4"/>
      <c r="N1671" s="4"/>
      <c r="O1671" s="4"/>
      <c r="P1671" s="4"/>
      <c r="Q1671" s="4"/>
      <c r="R1671" s="4"/>
      <c r="S1671" s="4">
        <v>0</v>
      </c>
      <c r="T1671" s="4">
        <v>0</v>
      </c>
      <c r="U1671" s="4">
        <v>0</v>
      </c>
      <c r="V1671" s="4">
        <v>12</v>
      </c>
      <c r="W1671" s="4">
        <v>12</v>
      </c>
      <c r="X1671" s="4">
        <v>28</v>
      </c>
      <c r="Y1671" s="4"/>
      <c r="Z1671" s="4">
        <v>118.5</v>
      </c>
      <c r="AA1671" s="4">
        <v>150</v>
      </c>
      <c r="AB1671" s="18"/>
      <c r="AC1671" s="18">
        <v>31</v>
      </c>
      <c r="AD1671" s="28"/>
      <c r="AE1671" s="26"/>
      <c r="AF1671" s="28"/>
    </row>
    <row r="1672" spans="1:32" ht="12.4" customHeight="1" x14ac:dyDescent="0.25">
      <c r="A1672" s="14">
        <v>45867</v>
      </c>
      <c r="B1672" s="14" t="s">
        <v>45</v>
      </c>
      <c r="C1672" s="15">
        <v>2</v>
      </c>
      <c r="D1672" s="16">
        <v>20</v>
      </c>
      <c r="E1672" s="16"/>
      <c r="F1672" s="17"/>
      <c r="G1672" s="21"/>
      <c r="H1672" s="21"/>
      <c r="I1672" s="4">
        <v>20</v>
      </c>
      <c r="J1672" s="4">
        <v>0.33333333333333331</v>
      </c>
      <c r="K1672" s="4"/>
      <c r="L1672" s="16"/>
      <c r="M1672" s="4"/>
      <c r="N1672" s="4"/>
      <c r="O1672" s="4"/>
      <c r="P1672" s="4"/>
      <c r="Q1672" s="4"/>
      <c r="R1672" s="4"/>
      <c r="S1672" s="4">
        <v>0</v>
      </c>
      <c r="T1672" s="4">
        <v>0</v>
      </c>
      <c r="U1672" s="4">
        <v>0.33333333333333331</v>
      </c>
      <c r="V1672" s="4">
        <v>11.666666666666666</v>
      </c>
      <c r="W1672" s="4">
        <v>12</v>
      </c>
      <c r="X1672" s="4">
        <v>0</v>
      </c>
      <c r="Y1672" s="4"/>
      <c r="Z1672" s="4">
        <v>155.75</v>
      </c>
      <c r="AA1672" s="4">
        <v>150</v>
      </c>
      <c r="AB1672" s="18"/>
      <c r="AC1672" s="18">
        <v>31</v>
      </c>
      <c r="AD1672" s="28"/>
      <c r="AE1672" s="26"/>
      <c r="AF1672" s="28"/>
    </row>
    <row r="1673" spans="1:32" ht="12.4" customHeight="1" x14ac:dyDescent="0.25">
      <c r="A1673" s="14">
        <v>45867</v>
      </c>
      <c r="B1673" s="14" t="s">
        <v>46</v>
      </c>
      <c r="C1673" s="15">
        <v>2</v>
      </c>
      <c r="D1673" s="16">
        <v>20</v>
      </c>
      <c r="E1673" s="16"/>
      <c r="F1673" s="17"/>
      <c r="G1673" s="21"/>
      <c r="H1673" s="21"/>
      <c r="I1673" s="4">
        <v>20</v>
      </c>
      <c r="J1673" s="4">
        <v>0.33333333333333331</v>
      </c>
      <c r="K1673" s="4"/>
      <c r="L1673" s="16"/>
      <c r="M1673" s="4"/>
      <c r="N1673" s="4"/>
      <c r="O1673" s="4"/>
      <c r="P1673" s="4"/>
      <c r="Q1673" s="4"/>
      <c r="R1673" s="4"/>
      <c r="S1673" s="4">
        <v>0</v>
      </c>
      <c r="T1673" s="4">
        <v>0</v>
      </c>
      <c r="U1673" s="4">
        <v>0.33333333333333331</v>
      </c>
      <c r="V1673" s="4">
        <v>11.666666666666666</v>
      </c>
      <c r="W1673" s="4">
        <v>12</v>
      </c>
      <c r="X1673" s="4">
        <v>0</v>
      </c>
      <c r="Y1673" s="4"/>
      <c r="Z1673" s="4">
        <v>94.800000000000011</v>
      </c>
      <c r="AA1673" s="4">
        <v>100</v>
      </c>
      <c r="AB1673" s="18"/>
      <c r="AC1673" s="18">
        <v>31</v>
      </c>
      <c r="AD1673" s="28"/>
      <c r="AE1673" s="26"/>
      <c r="AF1673" s="28"/>
    </row>
    <row r="1674" spans="1:32" ht="12.4" customHeight="1" x14ac:dyDescent="0.25">
      <c r="A1674" s="14">
        <v>45867</v>
      </c>
      <c r="B1674" s="14" t="s">
        <v>45</v>
      </c>
      <c r="C1674" s="15">
        <v>3</v>
      </c>
      <c r="D1674" s="16"/>
      <c r="E1674" s="16"/>
      <c r="F1674" s="17"/>
      <c r="G1674" s="21"/>
      <c r="H1674" s="21"/>
      <c r="I1674" s="4">
        <v>0</v>
      </c>
      <c r="J1674" s="4">
        <v>0</v>
      </c>
      <c r="K1674" s="4"/>
      <c r="L1674" s="16"/>
      <c r="M1674" s="4"/>
      <c r="N1674" s="4"/>
      <c r="O1674" s="4"/>
      <c r="P1674" s="4"/>
      <c r="Q1674" s="4"/>
      <c r="R1674" s="4"/>
      <c r="S1674" s="4">
        <v>0</v>
      </c>
      <c r="T1674" s="4">
        <v>0</v>
      </c>
      <c r="U1674" s="4">
        <v>0</v>
      </c>
      <c r="V1674" s="4">
        <v>12</v>
      </c>
      <c r="W1674" s="4">
        <v>12</v>
      </c>
      <c r="X1674" s="4">
        <v>0</v>
      </c>
      <c r="Y1674" s="4"/>
      <c r="Z1674" s="4">
        <v>353.89</v>
      </c>
      <c r="AA1674" s="4">
        <v>350</v>
      </c>
      <c r="AB1674" s="18"/>
      <c r="AC1674" s="18">
        <v>31</v>
      </c>
      <c r="AD1674" s="28"/>
      <c r="AE1674" s="26"/>
      <c r="AF1674" s="28"/>
    </row>
    <row r="1675" spans="1:32" ht="12.4" customHeight="1" x14ac:dyDescent="0.25">
      <c r="A1675" s="14">
        <v>45867</v>
      </c>
      <c r="B1675" s="14" t="s">
        <v>46</v>
      </c>
      <c r="C1675" s="15">
        <v>3</v>
      </c>
      <c r="D1675" s="16"/>
      <c r="E1675" s="16"/>
      <c r="F1675" s="17"/>
      <c r="G1675" s="21"/>
      <c r="H1675" s="21"/>
      <c r="I1675" s="4">
        <v>0</v>
      </c>
      <c r="J1675" s="4">
        <v>0</v>
      </c>
      <c r="K1675" s="4"/>
      <c r="L1675" s="16"/>
      <c r="M1675" s="4"/>
      <c r="N1675" s="4"/>
      <c r="O1675" s="4"/>
      <c r="P1675" s="4"/>
      <c r="Q1675" s="4"/>
      <c r="R1675" s="4"/>
      <c r="S1675" s="4">
        <v>0</v>
      </c>
      <c r="T1675" s="4">
        <v>0</v>
      </c>
      <c r="U1675" s="4">
        <v>0</v>
      </c>
      <c r="V1675" s="4">
        <v>12</v>
      </c>
      <c r="W1675" s="4">
        <v>12</v>
      </c>
      <c r="X1675" s="4">
        <v>0</v>
      </c>
      <c r="Y1675" s="4"/>
      <c r="Z1675" s="4">
        <v>321.60000000000002</v>
      </c>
      <c r="AA1675" s="4">
        <v>350</v>
      </c>
      <c r="AB1675" s="18"/>
      <c r="AC1675" s="18">
        <v>31</v>
      </c>
      <c r="AD1675" s="28"/>
      <c r="AE1675" s="26"/>
      <c r="AF1675" s="28"/>
    </row>
    <row r="1676" spans="1:32" ht="12.4" customHeight="1" x14ac:dyDescent="0.25">
      <c r="A1676" s="14">
        <v>45867</v>
      </c>
      <c r="B1676" s="14" t="s">
        <v>45</v>
      </c>
      <c r="C1676" s="15">
        <v>5</v>
      </c>
      <c r="D1676" s="16"/>
      <c r="E1676" s="16"/>
      <c r="F1676" s="17"/>
      <c r="G1676" s="21"/>
      <c r="H1676" s="21"/>
      <c r="I1676" s="4">
        <v>0</v>
      </c>
      <c r="J1676" s="4">
        <v>0</v>
      </c>
      <c r="K1676" s="4"/>
      <c r="L1676" s="16"/>
      <c r="M1676" s="4"/>
      <c r="N1676" s="4"/>
      <c r="O1676" s="4"/>
      <c r="P1676" s="4"/>
      <c r="Q1676" s="4"/>
      <c r="R1676" s="4"/>
      <c r="S1676" s="4">
        <v>0</v>
      </c>
      <c r="T1676" s="4">
        <v>0</v>
      </c>
      <c r="U1676" s="4">
        <v>0</v>
      </c>
      <c r="V1676" s="4">
        <v>12</v>
      </c>
      <c r="W1676" s="4">
        <v>12</v>
      </c>
      <c r="X1676" s="4">
        <v>0</v>
      </c>
      <c r="Y1676" s="4"/>
      <c r="Z1676" s="4">
        <v>601.58999999999992</v>
      </c>
      <c r="AA1676" s="4">
        <v>600</v>
      </c>
      <c r="AB1676" s="18"/>
      <c r="AC1676" s="18">
        <v>31</v>
      </c>
      <c r="AD1676" s="28"/>
      <c r="AE1676" s="26"/>
      <c r="AF1676" s="28"/>
    </row>
    <row r="1677" spans="1:32" ht="12.4" customHeight="1" x14ac:dyDescent="0.25">
      <c r="A1677" s="14">
        <v>45867</v>
      </c>
      <c r="B1677" s="14" t="s">
        <v>46</v>
      </c>
      <c r="C1677" s="15">
        <v>5</v>
      </c>
      <c r="D1677" s="16">
        <v>20</v>
      </c>
      <c r="E1677" s="16"/>
      <c r="F1677" s="17"/>
      <c r="G1677" s="21"/>
      <c r="H1677" s="21"/>
      <c r="I1677" s="4">
        <v>20</v>
      </c>
      <c r="J1677" s="4">
        <v>0.33333333333333331</v>
      </c>
      <c r="K1677" s="4"/>
      <c r="L1677" s="16"/>
      <c r="M1677" s="4"/>
      <c r="N1677" s="4"/>
      <c r="O1677" s="4"/>
      <c r="P1677" s="4"/>
      <c r="Q1677" s="4"/>
      <c r="R1677" s="4"/>
      <c r="S1677" s="4">
        <v>0</v>
      </c>
      <c r="T1677" s="4">
        <v>0</v>
      </c>
      <c r="U1677" s="4">
        <v>0.33333333333333331</v>
      </c>
      <c r="V1677" s="4">
        <v>11.666666666666666</v>
      </c>
      <c r="W1677" s="4">
        <v>12</v>
      </c>
      <c r="X1677" s="4">
        <v>0</v>
      </c>
      <c r="Y1677" s="4"/>
      <c r="Z1677" s="4">
        <v>580.46</v>
      </c>
      <c r="AA1677" s="4">
        <v>600</v>
      </c>
      <c r="AB1677" s="18"/>
      <c r="AC1677" s="18">
        <v>31</v>
      </c>
      <c r="AD1677" s="28"/>
      <c r="AE1677" s="26"/>
      <c r="AF1677" s="28"/>
    </row>
    <row r="1678" spans="1:32" ht="12.4" customHeight="1" x14ac:dyDescent="0.25">
      <c r="A1678" s="14">
        <v>45868</v>
      </c>
      <c r="B1678" s="14" t="s">
        <v>45</v>
      </c>
      <c r="C1678" s="15">
        <v>1</v>
      </c>
      <c r="D1678" s="16">
        <v>20</v>
      </c>
      <c r="E1678" s="16"/>
      <c r="F1678" s="17"/>
      <c r="G1678" s="21"/>
      <c r="H1678" s="21"/>
      <c r="I1678" s="4">
        <v>20</v>
      </c>
      <c r="J1678" s="4">
        <v>0.33333333333333331</v>
      </c>
      <c r="K1678" s="4"/>
      <c r="L1678" s="16"/>
      <c r="M1678" s="4"/>
      <c r="N1678" s="4"/>
      <c r="O1678" s="4"/>
      <c r="P1678" s="4"/>
      <c r="Q1678" s="4"/>
      <c r="R1678" s="4"/>
      <c r="S1678" s="4">
        <v>0</v>
      </c>
      <c r="T1678" s="4">
        <v>0</v>
      </c>
      <c r="U1678" s="4">
        <v>0.33333333333333331</v>
      </c>
      <c r="V1678" s="4">
        <v>11.666666666666666</v>
      </c>
      <c r="W1678" s="4">
        <v>12</v>
      </c>
      <c r="X1678" s="4">
        <v>23</v>
      </c>
      <c r="Y1678" s="4">
        <v>2071.5</v>
      </c>
      <c r="Z1678" s="4">
        <v>122.92999999999999</v>
      </c>
      <c r="AA1678" s="4">
        <v>150</v>
      </c>
      <c r="AB1678" s="18">
        <v>398</v>
      </c>
      <c r="AC1678" s="18">
        <v>31</v>
      </c>
      <c r="AD1678" s="28"/>
      <c r="AE1678" s="26"/>
      <c r="AF1678" s="28"/>
    </row>
    <row r="1679" spans="1:32" ht="12.4" customHeight="1" x14ac:dyDescent="0.25">
      <c r="A1679" s="14">
        <v>45868</v>
      </c>
      <c r="B1679" s="14" t="s">
        <v>46</v>
      </c>
      <c r="C1679" s="15">
        <v>1</v>
      </c>
      <c r="D1679" s="16"/>
      <c r="E1679" s="16"/>
      <c r="F1679" s="17"/>
      <c r="G1679" s="21"/>
      <c r="H1679" s="21"/>
      <c r="I1679" s="4">
        <v>0</v>
      </c>
      <c r="J1679" s="4">
        <v>0</v>
      </c>
      <c r="K1679" s="4"/>
      <c r="L1679" s="16"/>
      <c r="M1679" s="4"/>
      <c r="N1679" s="4"/>
      <c r="O1679" s="4"/>
      <c r="P1679" s="4"/>
      <c r="Q1679" s="4"/>
      <c r="R1679" s="4"/>
      <c r="S1679" s="4">
        <v>0</v>
      </c>
      <c r="T1679" s="4">
        <v>0</v>
      </c>
      <c r="U1679" s="4">
        <v>0</v>
      </c>
      <c r="V1679" s="4">
        <v>12</v>
      </c>
      <c r="W1679" s="4">
        <v>12</v>
      </c>
      <c r="X1679" s="4">
        <v>36</v>
      </c>
      <c r="Y1679" s="4"/>
      <c r="Z1679" s="4">
        <v>148.51000000000002</v>
      </c>
      <c r="AA1679" s="4">
        <v>150</v>
      </c>
      <c r="AB1679" s="18"/>
      <c r="AC1679" s="18">
        <v>31</v>
      </c>
      <c r="AD1679" s="28"/>
      <c r="AE1679" s="26"/>
      <c r="AF1679" s="28"/>
    </row>
    <row r="1680" spans="1:32" ht="12.4" customHeight="1" x14ac:dyDescent="0.25">
      <c r="A1680" s="14">
        <v>45868</v>
      </c>
      <c r="B1680" s="14" t="s">
        <v>45</v>
      </c>
      <c r="C1680" s="15">
        <v>2</v>
      </c>
      <c r="D1680" s="16"/>
      <c r="E1680" s="16"/>
      <c r="F1680" s="17"/>
      <c r="G1680" s="21"/>
      <c r="H1680" s="21"/>
      <c r="I1680" s="4">
        <v>0</v>
      </c>
      <c r="J1680" s="4">
        <v>0</v>
      </c>
      <c r="K1680" s="4"/>
      <c r="L1680" s="16"/>
      <c r="M1680" s="4"/>
      <c r="N1680" s="4"/>
      <c r="O1680" s="4"/>
      <c r="P1680" s="4"/>
      <c r="Q1680" s="4"/>
      <c r="R1680" s="4"/>
      <c r="S1680" s="4">
        <v>0</v>
      </c>
      <c r="T1680" s="4">
        <v>0</v>
      </c>
      <c r="U1680" s="4">
        <v>0</v>
      </c>
      <c r="V1680" s="4">
        <v>12</v>
      </c>
      <c r="W1680" s="4">
        <v>12</v>
      </c>
      <c r="X1680" s="4">
        <v>0</v>
      </c>
      <c r="Y1680" s="4"/>
      <c r="Z1680" s="4">
        <v>99.7</v>
      </c>
      <c r="AA1680" s="4">
        <v>100</v>
      </c>
      <c r="AB1680" s="18"/>
      <c r="AC1680" s="18">
        <v>31</v>
      </c>
      <c r="AD1680" s="28"/>
      <c r="AE1680" s="26"/>
      <c r="AF1680" s="28"/>
    </row>
    <row r="1681" spans="1:32" ht="12.4" customHeight="1" x14ac:dyDescent="0.25">
      <c r="A1681" s="14">
        <v>45868</v>
      </c>
      <c r="B1681" s="14" t="s">
        <v>46</v>
      </c>
      <c r="C1681" s="15">
        <v>2</v>
      </c>
      <c r="D1681" s="16"/>
      <c r="E1681" s="16"/>
      <c r="F1681" s="17"/>
      <c r="G1681" s="21"/>
      <c r="H1681" s="21"/>
      <c r="I1681" s="4">
        <v>0</v>
      </c>
      <c r="J1681" s="4">
        <v>0</v>
      </c>
      <c r="K1681" s="4"/>
      <c r="L1681" s="16"/>
      <c r="M1681" s="4"/>
      <c r="N1681" s="4"/>
      <c r="O1681" s="4"/>
      <c r="P1681" s="4"/>
      <c r="Q1681" s="4"/>
      <c r="R1681" s="4"/>
      <c r="S1681" s="4">
        <v>0</v>
      </c>
      <c r="T1681" s="4">
        <v>0</v>
      </c>
      <c r="U1681" s="4">
        <v>0</v>
      </c>
      <c r="V1681" s="4">
        <v>12</v>
      </c>
      <c r="W1681" s="4">
        <v>12</v>
      </c>
      <c r="X1681" s="4">
        <v>0</v>
      </c>
      <c r="Y1681" s="4"/>
      <c r="Z1681" s="4">
        <v>107.80000000000001</v>
      </c>
      <c r="AA1681" s="4">
        <v>150</v>
      </c>
      <c r="AB1681" s="18"/>
      <c r="AC1681" s="18">
        <v>31</v>
      </c>
      <c r="AD1681" s="28"/>
      <c r="AE1681" s="26"/>
      <c r="AF1681" s="28"/>
    </row>
    <row r="1682" spans="1:32" ht="12.4" customHeight="1" x14ac:dyDescent="0.25">
      <c r="A1682" s="14">
        <v>45868</v>
      </c>
      <c r="B1682" s="14" t="s">
        <v>45</v>
      </c>
      <c r="C1682" s="15">
        <v>3</v>
      </c>
      <c r="D1682" s="16"/>
      <c r="E1682" s="16"/>
      <c r="F1682" s="17"/>
      <c r="G1682" s="21"/>
      <c r="H1682" s="21"/>
      <c r="I1682" s="4">
        <v>0</v>
      </c>
      <c r="J1682" s="4">
        <v>0</v>
      </c>
      <c r="K1682" s="4"/>
      <c r="L1682" s="16"/>
      <c r="M1682" s="4"/>
      <c r="N1682" s="4"/>
      <c r="O1682" s="4"/>
      <c r="P1682" s="4"/>
      <c r="Q1682" s="4"/>
      <c r="R1682" s="4"/>
      <c r="S1682" s="4">
        <v>0</v>
      </c>
      <c r="T1682" s="4">
        <v>0</v>
      </c>
      <c r="U1682" s="4">
        <v>0</v>
      </c>
      <c r="V1682" s="4">
        <v>12</v>
      </c>
      <c r="W1682" s="4">
        <v>12</v>
      </c>
      <c r="X1682" s="4">
        <v>0</v>
      </c>
      <c r="Y1682" s="4"/>
      <c r="Z1682" s="4">
        <v>339</v>
      </c>
      <c r="AA1682" s="4">
        <v>350</v>
      </c>
      <c r="AB1682" s="18"/>
      <c r="AC1682" s="18">
        <v>31</v>
      </c>
      <c r="AD1682" s="28"/>
      <c r="AE1682" s="26"/>
      <c r="AF1682" s="28"/>
    </row>
    <row r="1683" spans="1:32" ht="12.4" customHeight="1" x14ac:dyDescent="0.25">
      <c r="A1683" s="14">
        <v>45868</v>
      </c>
      <c r="B1683" s="14" t="s">
        <v>46</v>
      </c>
      <c r="C1683" s="15">
        <v>3</v>
      </c>
      <c r="D1683" s="16"/>
      <c r="E1683" s="16"/>
      <c r="F1683" s="17"/>
      <c r="G1683" s="21"/>
      <c r="H1683" s="21"/>
      <c r="I1683" s="4">
        <v>0</v>
      </c>
      <c r="J1683" s="4">
        <v>0</v>
      </c>
      <c r="K1683" s="4"/>
      <c r="L1683" s="16"/>
      <c r="M1683" s="4"/>
      <c r="N1683" s="4"/>
      <c r="O1683" s="4"/>
      <c r="P1683" s="4"/>
      <c r="Q1683" s="4">
        <v>25</v>
      </c>
      <c r="R1683" s="4"/>
      <c r="S1683" s="4">
        <v>25</v>
      </c>
      <c r="T1683" s="4">
        <v>0.41666666666666669</v>
      </c>
      <c r="U1683" s="4">
        <v>0.41666666666666669</v>
      </c>
      <c r="V1683" s="4">
        <v>11.583333333333334</v>
      </c>
      <c r="W1683" s="4">
        <v>12</v>
      </c>
      <c r="X1683" s="4">
        <v>0</v>
      </c>
      <c r="Y1683" s="4"/>
      <c r="Z1683" s="4">
        <v>327.05</v>
      </c>
      <c r="AA1683" s="4">
        <v>350</v>
      </c>
      <c r="AB1683" s="18"/>
      <c r="AC1683" s="18">
        <v>31</v>
      </c>
      <c r="AD1683" s="28"/>
      <c r="AE1683" s="26"/>
      <c r="AF1683" s="28"/>
    </row>
    <row r="1684" spans="1:32" ht="12.4" customHeight="1" x14ac:dyDescent="0.25">
      <c r="A1684" s="14">
        <v>45868</v>
      </c>
      <c r="B1684" s="14" t="s">
        <v>45</v>
      </c>
      <c r="C1684" s="15">
        <v>4</v>
      </c>
      <c r="D1684" s="16"/>
      <c r="E1684" s="16"/>
      <c r="F1684" s="17"/>
      <c r="G1684" s="21"/>
      <c r="H1684" s="21"/>
      <c r="I1684" s="4">
        <v>0</v>
      </c>
      <c r="J1684" s="4">
        <v>0</v>
      </c>
      <c r="K1684" s="4"/>
      <c r="L1684" s="16"/>
      <c r="M1684" s="4"/>
      <c r="N1684" s="4"/>
      <c r="O1684" s="4"/>
      <c r="P1684" s="4">
        <v>180</v>
      </c>
      <c r="Q1684" s="4"/>
      <c r="R1684" s="4"/>
      <c r="S1684" s="4">
        <v>180</v>
      </c>
      <c r="T1684" s="4">
        <v>3</v>
      </c>
      <c r="U1684" s="4">
        <v>3</v>
      </c>
      <c r="V1684" s="4">
        <v>9</v>
      </c>
      <c r="W1684" s="4">
        <v>12</v>
      </c>
      <c r="X1684" s="4">
        <v>0</v>
      </c>
      <c r="Y1684" s="4"/>
      <c r="Z1684" s="4">
        <v>543.56999999999994</v>
      </c>
      <c r="AA1684" s="4">
        <v>550</v>
      </c>
      <c r="AB1684" s="18"/>
      <c r="AC1684" s="18">
        <v>31</v>
      </c>
      <c r="AD1684" s="28"/>
      <c r="AE1684" s="26"/>
      <c r="AF1684" s="28"/>
    </row>
    <row r="1685" spans="1:32" ht="12.4" customHeight="1" x14ac:dyDescent="0.25">
      <c r="A1685" s="14">
        <v>45868</v>
      </c>
      <c r="B1685" s="14" t="s">
        <v>46</v>
      </c>
      <c r="C1685" s="15">
        <v>4</v>
      </c>
      <c r="D1685" s="16">
        <v>20</v>
      </c>
      <c r="E1685" s="16"/>
      <c r="F1685" s="17"/>
      <c r="G1685" s="21"/>
      <c r="H1685" s="21"/>
      <c r="I1685" s="4">
        <v>20</v>
      </c>
      <c r="J1685" s="4">
        <v>0.33333333333333331</v>
      </c>
      <c r="K1685" s="4"/>
      <c r="L1685" s="16"/>
      <c r="M1685" s="4"/>
      <c r="N1685" s="4"/>
      <c r="O1685" s="4"/>
      <c r="P1685" s="4"/>
      <c r="Q1685" s="4"/>
      <c r="R1685" s="4"/>
      <c r="S1685" s="4">
        <v>0</v>
      </c>
      <c r="T1685" s="4">
        <v>0</v>
      </c>
      <c r="U1685" s="4">
        <v>0.33333333333333331</v>
      </c>
      <c r="V1685" s="4">
        <v>11.666666666666666</v>
      </c>
      <c r="W1685" s="4">
        <v>12</v>
      </c>
      <c r="X1685" s="4">
        <v>0</v>
      </c>
      <c r="Y1685" s="4"/>
      <c r="Z1685" s="4">
        <v>735.42</v>
      </c>
      <c r="AA1685" s="4">
        <v>750</v>
      </c>
      <c r="AB1685" s="18"/>
      <c r="AC1685" s="18">
        <v>31</v>
      </c>
      <c r="AD1685" s="28"/>
      <c r="AE1685" s="26"/>
      <c r="AF1685" s="28"/>
    </row>
    <row r="1686" spans="1:32" ht="12.4" customHeight="1" x14ac:dyDescent="0.25">
      <c r="A1686" s="14">
        <v>45868</v>
      </c>
      <c r="B1686" s="14" t="s">
        <v>45</v>
      </c>
      <c r="C1686" s="15">
        <v>5</v>
      </c>
      <c r="D1686" s="16"/>
      <c r="E1686" s="16"/>
      <c r="F1686" s="17"/>
      <c r="G1686" s="21"/>
      <c r="H1686" s="21"/>
      <c r="I1686" s="4">
        <v>0</v>
      </c>
      <c r="J1686" s="4">
        <v>0</v>
      </c>
      <c r="K1686" s="4"/>
      <c r="L1686" s="16"/>
      <c r="M1686" s="4"/>
      <c r="N1686" s="4"/>
      <c r="O1686" s="4"/>
      <c r="P1686" s="4"/>
      <c r="Q1686" s="4"/>
      <c r="R1686" s="4"/>
      <c r="S1686" s="4">
        <v>0</v>
      </c>
      <c r="T1686" s="4">
        <v>0</v>
      </c>
      <c r="U1686" s="4">
        <v>0</v>
      </c>
      <c r="V1686" s="4">
        <v>12</v>
      </c>
      <c r="W1686" s="4">
        <v>12</v>
      </c>
      <c r="X1686" s="4">
        <v>0</v>
      </c>
      <c r="Y1686" s="4"/>
      <c r="Z1686" s="4">
        <v>574.61</v>
      </c>
      <c r="AA1686" s="4">
        <v>600</v>
      </c>
      <c r="AB1686" s="18"/>
      <c r="AC1686" s="18">
        <v>31</v>
      </c>
      <c r="AD1686" s="28"/>
      <c r="AE1686" s="26"/>
      <c r="AF1686" s="28"/>
    </row>
    <row r="1687" spans="1:32" ht="12.4" customHeight="1" x14ac:dyDescent="0.25">
      <c r="A1687" s="14">
        <v>45868</v>
      </c>
      <c r="B1687" s="14" t="s">
        <v>46</v>
      </c>
      <c r="C1687" s="15">
        <v>5</v>
      </c>
      <c r="D1687" s="16"/>
      <c r="E1687" s="16"/>
      <c r="F1687" s="17"/>
      <c r="G1687" s="21"/>
      <c r="H1687" s="21"/>
      <c r="I1687" s="4">
        <v>0</v>
      </c>
      <c r="J1687" s="4">
        <v>0</v>
      </c>
      <c r="K1687" s="4"/>
      <c r="L1687" s="16"/>
      <c r="M1687" s="4"/>
      <c r="N1687" s="4"/>
      <c r="O1687" s="4"/>
      <c r="P1687" s="4"/>
      <c r="Q1687" s="4"/>
      <c r="R1687" s="4"/>
      <c r="S1687" s="4">
        <v>0</v>
      </c>
      <c r="T1687" s="4">
        <v>0</v>
      </c>
      <c r="U1687" s="4">
        <v>0</v>
      </c>
      <c r="V1687" s="4">
        <v>12</v>
      </c>
      <c r="W1687" s="4">
        <v>12</v>
      </c>
      <c r="X1687" s="4">
        <v>0</v>
      </c>
      <c r="Y1687" s="4"/>
      <c r="Z1687" s="4">
        <v>555.5100000000001</v>
      </c>
      <c r="AA1687" s="4">
        <v>550</v>
      </c>
      <c r="AB1687" s="18"/>
      <c r="AC1687" s="18">
        <v>31</v>
      </c>
      <c r="AD1687" s="28"/>
      <c r="AE1687" s="26"/>
      <c r="AF1687" s="28"/>
    </row>
    <row r="1688" spans="1:32" ht="12.4" customHeight="1" x14ac:dyDescent="0.25">
      <c r="A1688" s="14">
        <v>45869</v>
      </c>
      <c r="B1688" s="14" t="s">
        <v>45</v>
      </c>
      <c r="C1688" s="15">
        <v>1</v>
      </c>
      <c r="D1688" s="16">
        <v>30</v>
      </c>
      <c r="E1688" s="16"/>
      <c r="F1688" s="16"/>
      <c r="G1688" s="16"/>
      <c r="H1688" s="16"/>
      <c r="I1688" s="4">
        <v>30</v>
      </c>
      <c r="J1688" s="4">
        <v>0.5</v>
      </c>
      <c r="K1688" s="4"/>
      <c r="L1688" s="16"/>
      <c r="M1688" s="4"/>
      <c r="N1688" s="4"/>
      <c r="O1688" s="4"/>
      <c r="P1688" s="4"/>
      <c r="Q1688" s="4"/>
      <c r="R1688" s="4"/>
      <c r="S1688" s="4">
        <v>0</v>
      </c>
      <c r="T1688" s="4">
        <v>0</v>
      </c>
      <c r="U1688" s="4">
        <v>0.5</v>
      </c>
      <c r="V1688" s="4">
        <v>11.5</v>
      </c>
      <c r="W1688" s="4">
        <v>12</v>
      </c>
      <c r="X1688" s="4">
        <v>0</v>
      </c>
      <c r="Y1688" s="4">
        <v>2111</v>
      </c>
      <c r="Z1688" s="4">
        <v>313.88</v>
      </c>
      <c r="AA1688" s="4">
        <v>350</v>
      </c>
      <c r="AB1688" s="18">
        <v>398</v>
      </c>
      <c r="AC1688" s="18">
        <v>31</v>
      </c>
      <c r="AD1688" s="28"/>
      <c r="AE1688" s="26"/>
      <c r="AF1688" s="28"/>
    </row>
    <row r="1689" spans="1:32" ht="12.4" customHeight="1" x14ac:dyDescent="0.25">
      <c r="A1689" s="14">
        <v>45869</v>
      </c>
      <c r="B1689" s="14" t="s">
        <v>46</v>
      </c>
      <c r="C1689" s="15">
        <v>1</v>
      </c>
      <c r="D1689" s="16"/>
      <c r="E1689" s="16"/>
      <c r="F1689" s="16"/>
      <c r="G1689" s="16"/>
      <c r="H1689" s="16"/>
      <c r="I1689" s="4">
        <v>0</v>
      </c>
      <c r="J1689" s="4">
        <v>0</v>
      </c>
      <c r="K1689" s="4"/>
      <c r="L1689" s="16"/>
      <c r="M1689" s="4"/>
      <c r="N1689" s="4"/>
      <c r="O1689" s="4"/>
      <c r="P1689" s="4"/>
      <c r="Q1689" s="4"/>
      <c r="R1689" s="4"/>
      <c r="S1689" s="4">
        <v>0</v>
      </c>
      <c r="T1689" s="4">
        <v>0</v>
      </c>
      <c r="U1689" s="4">
        <v>0</v>
      </c>
      <c r="V1689" s="4">
        <v>12</v>
      </c>
      <c r="W1689" s="4">
        <v>12</v>
      </c>
      <c r="X1689" s="4">
        <v>0</v>
      </c>
      <c r="Y1689" s="4"/>
      <c r="Z1689" s="4">
        <v>159.34</v>
      </c>
      <c r="AA1689" s="4">
        <v>150</v>
      </c>
      <c r="AB1689" s="18"/>
      <c r="AC1689" s="18">
        <v>31</v>
      </c>
      <c r="AD1689" s="28"/>
      <c r="AE1689" s="26"/>
      <c r="AF1689" s="28"/>
    </row>
    <row r="1690" spans="1:32" ht="12.4" customHeight="1" x14ac:dyDescent="0.25">
      <c r="A1690" s="14">
        <v>45869</v>
      </c>
      <c r="B1690" s="14" t="s">
        <v>45</v>
      </c>
      <c r="C1690" s="15">
        <v>2</v>
      </c>
      <c r="D1690" s="16"/>
      <c r="E1690" s="16"/>
      <c r="F1690" s="16"/>
      <c r="G1690" s="16"/>
      <c r="H1690" s="16"/>
      <c r="I1690" s="4">
        <v>0</v>
      </c>
      <c r="J1690" s="4">
        <v>0</v>
      </c>
      <c r="K1690" s="4"/>
      <c r="L1690" s="16"/>
      <c r="M1690" s="4"/>
      <c r="N1690" s="4"/>
      <c r="O1690" s="4"/>
      <c r="P1690" s="4"/>
      <c r="Q1690" s="4"/>
      <c r="R1690" s="4"/>
      <c r="S1690" s="4">
        <v>0</v>
      </c>
      <c r="T1690" s="4">
        <v>0</v>
      </c>
      <c r="U1690" s="4">
        <v>0</v>
      </c>
      <c r="V1690" s="4">
        <v>12</v>
      </c>
      <c r="W1690" s="4">
        <v>12</v>
      </c>
      <c r="X1690" s="4">
        <v>0</v>
      </c>
      <c r="Y1690" s="4"/>
      <c r="Z1690" s="4">
        <v>103.87</v>
      </c>
      <c r="AA1690" s="4">
        <v>100</v>
      </c>
      <c r="AB1690" s="18"/>
      <c r="AC1690" s="18">
        <v>31</v>
      </c>
      <c r="AD1690" s="28"/>
      <c r="AE1690" s="26"/>
      <c r="AF1690" s="28"/>
    </row>
    <row r="1691" spans="1:32" ht="12.4" customHeight="1" x14ac:dyDescent="0.25">
      <c r="A1691" s="14">
        <v>45869</v>
      </c>
      <c r="B1691" s="14" t="s">
        <v>46</v>
      </c>
      <c r="C1691" s="15">
        <v>2</v>
      </c>
      <c r="D1691" s="16"/>
      <c r="E1691" s="16"/>
      <c r="F1691" s="16"/>
      <c r="G1691" s="16"/>
      <c r="H1691" s="16"/>
      <c r="I1691" s="4">
        <v>0</v>
      </c>
      <c r="J1691" s="4">
        <v>0</v>
      </c>
      <c r="K1691" s="4"/>
      <c r="L1691" s="16"/>
      <c r="M1691" s="4"/>
      <c r="N1691" s="4"/>
      <c r="O1691" s="4"/>
      <c r="P1691" s="4"/>
      <c r="Q1691" s="4"/>
      <c r="R1691" s="4"/>
      <c r="S1691" s="4">
        <v>0</v>
      </c>
      <c r="T1691" s="4">
        <v>0</v>
      </c>
      <c r="U1691" s="4">
        <v>0</v>
      </c>
      <c r="V1691" s="4">
        <v>12</v>
      </c>
      <c r="W1691" s="4">
        <v>12</v>
      </c>
      <c r="X1691" s="4">
        <v>0</v>
      </c>
      <c r="Y1691" s="4"/>
      <c r="Z1691" s="4">
        <v>104.03</v>
      </c>
      <c r="AA1691" s="4">
        <v>150</v>
      </c>
      <c r="AB1691" s="18"/>
      <c r="AC1691" s="18">
        <v>31</v>
      </c>
      <c r="AD1691" s="28"/>
      <c r="AE1691" s="26"/>
      <c r="AF1691" s="28"/>
    </row>
    <row r="1692" spans="1:32" ht="12.4" customHeight="1" x14ac:dyDescent="0.25">
      <c r="A1692" s="14">
        <v>45869</v>
      </c>
      <c r="B1692" s="14" t="s">
        <v>45</v>
      </c>
      <c r="C1692" s="15">
        <v>3</v>
      </c>
      <c r="D1692" s="16"/>
      <c r="E1692" s="16"/>
      <c r="F1692" s="16"/>
      <c r="G1692" s="16"/>
      <c r="H1692" s="16"/>
      <c r="I1692" s="4">
        <v>0</v>
      </c>
      <c r="J1692" s="4">
        <v>0</v>
      </c>
      <c r="K1692" s="4"/>
      <c r="L1692" s="16"/>
      <c r="M1692" s="4"/>
      <c r="N1692" s="4"/>
      <c r="O1692" s="4"/>
      <c r="P1692" s="4"/>
      <c r="Q1692" s="4"/>
      <c r="R1692" s="4"/>
      <c r="S1692" s="4">
        <v>0</v>
      </c>
      <c r="T1692" s="4">
        <v>0</v>
      </c>
      <c r="U1692" s="4">
        <v>0</v>
      </c>
      <c r="V1692" s="4">
        <v>12</v>
      </c>
      <c r="W1692" s="4">
        <v>12</v>
      </c>
      <c r="X1692" s="4">
        <v>0</v>
      </c>
      <c r="Y1692" s="4"/>
      <c r="Z1692" s="4">
        <v>373.69</v>
      </c>
      <c r="AA1692" s="4">
        <v>400</v>
      </c>
      <c r="AB1692" s="18"/>
      <c r="AC1692" s="18">
        <v>31</v>
      </c>
      <c r="AD1692" s="28"/>
      <c r="AE1692" s="26"/>
      <c r="AF1692" s="28"/>
    </row>
    <row r="1693" spans="1:32" ht="12.4" customHeight="1" x14ac:dyDescent="0.25">
      <c r="A1693" s="14">
        <v>45869</v>
      </c>
      <c r="B1693" s="14" t="s">
        <v>46</v>
      </c>
      <c r="C1693" s="15">
        <v>3</v>
      </c>
      <c r="D1693" s="16">
        <v>20</v>
      </c>
      <c r="E1693" s="16"/>
      <c r="F1693" s="16"/>
      <c r="G1693" s="16"/>
      <c r="H1693" s="16"/>
      <c r="I1693" s="4">
        <v>20</v>
      </c>
      <c r="J1693" s="4">
        <v>0.33333333333333331</v>
      </c>
      <c r="K1693" s="4"/>
      <c r="L1693" s="16"/>
      <c r="M1693" s="4"/>
      <c r="N1693" s="4"/>
      <c r="O1693" s="4"/>
      <c r="P1693" s="4"/>
      <c r="Q1693" s="4"/>
      <c r="R1693" s="4"/>
      <c r="S1693" s="4">
        <v>0</v>
      </c>
      <c r="T1693" s="4">
        <v>0</v>
      </c>
      <c r="U1693" s="4">
        <v>0.33333333333333331</v>
      </c>
      <c r="V1693" s="4">
        <v>11.666666666666666</v>
      </c>
      <c r="W1693" s="4">
        <v>12</v>
      </c>
      <c r="X1693" s="4">
        <v>0</v>
      </c>
      <c r="Y1693" s="4"/>
      <c r="Z1693" s="4">
        <v>394.94</v>
      </c>
      <c r="AA1693" s="4">
        <v>400</v>
      </c>
      <c r="AB1693" s="18"/>
      <c r="AC1693" s="18">
        <v>31</v>
      </c>
      <c r="AD1693" s="28"/>
      <c r="AE1693" s="26"/>
      <c r="AF1693" s="28"/>
    </row>
    <row r="1694" spans="1:32" ht="12.4" customHeight="1" x14ac:dyDescent="0.25">
      <c r="A1694" s="14">
        <v>45869</v>
      </c>
      <c r="B1694" s="14" t="s">
        <v>45</v>
      </c>
      <c r="C1694" s="15">
        <v>4</v>
      </c>
      <c r="D1694" s="16">
        <v>15</v>
      </c>
      <c r="E1694" s="16"/>
      <c r="F1694" s="16"/>
      <c r="G1694" s="16"/>
      <c r="H1694" s="16"/>
      <c r="I1694" s="4">
        <v>15</v>
      </c>
      <c r="J1694" s="4">
        <v>0.25</v>
      </c>
      <c r="K1694" s="4"/>
      <c r="L1694" s="16"/>
      <c r="M1694" s="4"/>
      <c r="N1694" s="4"/>
      <c r="O1694" s="4"/>
      <c r="P1694" s="4"/>
      <c r="Q1694" s="4"/>
      <c r="R1694" s="4"/>
      <c r="S1694" s="4">
        <v>0</v>
      </c>
      <c r="T1694" s="4">
        <v>0</v>
      </c>
      <c r="U1694" s="4">
        <v>0.25</v>
      </c>
      <c r="V1694" s="4">
        <v>11.75</v>
      </c>
      <c r="W1694" s="4">
        <v>12</v>
      </c>
      <c r="X1694" s="4">
        <v>0</v>
      </c>
      <c r="Y1694" s="4"/>
      <c r="Z1694" s="4">
        <v>770.42</v>
      </c>
      <c r="AA1694" s="4">
        <v>750</v>
      </c>
      <c r="AB1694" s="18"/>
      <c r="AC1694" s="18">
        <v>31</v>
      </c>
      <c r="AD1694" s="28"/>
      <c r="AE1694" s="26"/>
      <c r="AF1694" s="28"/>
    </row>
    <row r="1695" spans="1:32" ht="12.4" customHeight="1" x14ac:dyDescent="0.25">
      <c r="A1695" s="14">
        <v>45869</v>
      </c>
      <c r="B1695" s="14" t="s">
        <v>46</v>
      </c>
      <c r="C1695" s="15">
        <v>4</v>
      </c>
      <c r="D1695" s="16"/>
      <c r="E1695" s="16"/>
      <c r="F1695" s="16"/>
      <c r="G1695" s="16"/>
      <c r="H1695" s="16"/>
      <c r="I1695" s="4">
        <v>0</v>
      </c>
      <c r="J1695" s="4">
        <v>0</v>
      </c>
      <c r="K1695" s="4"/>
      <c r="L1695" s="16"/>
      <c r="M1695" s="4"/>
      <c r="N1695" s="4"/>
      <c r="O1695" s="4"/>
      <c r="P1695" s="4"/>
      <c r="Q1695" s="4"/>
      <c r="R1695" s="4"/>
      <c r="S1695" s="4">
        <v>0</v>
      </c>
      <c r="T1695" s="4">
        <v>0</v>
      </c>
      <c r="U1695" s="4">
        <v>0</v>
      </c>
      <c r="V1695" s="4">
        <v>12</v>
      </c>
      <c r="W1695" s="4">
        <v>12</v>
      </c>
      <c r="X1695" s="4">
        <v>0</v>
      </c>
      <c r="Y1695" s="4"/>
      <c r="Z1695" s="4">
        <v>771.1</v>
      </c>
      <c r="AA1695" s="4">
        <v>750</v>
      </c>
      <c r="AB1695" s="18"/>
      <c r="AC1695" s="18">
        <v>31</v>
      </c>
      <c r="AD1695" s="28"/>
      <c r="AE1695" s="26"/>
      <c r="AF1695" s="28"/>
    </row>
    <row r="1696" spans="1:32" ht="12.4" customHeight="1" x14ac:dyDescent="0.25">
      <c r="A1696" s="14">
        <v>45869</v>
      </c>
      <c r="B1696" s="14" t="s">
        <v>45</v>
      </c>
      <c r="C1696" s="15">
        <v>5</v>
      </c>
      <c r="D1696" s="16"/>
      <c r="E1696" s="16"/>
      <c r="F1696" s="16"/>
      <c r="G1696" s="16"/>
      <c r="H1696" s="16"/>
      <c r="I1696" s="4">
        <v>0</v>
      </c>
      <c r="J1696" s="4">
        <v>0</v>
      </c>
      <c r="K1696" s="4"/>
      <c r="L1696" s="16"/>
      <c r="M1696" s="4"/>
      <c r="N1696" s="4"/>
      <c r="O1696" s="4"/>
      <c r="P1696" s="4"/>
      <c r="Q1696" s="4"/>
      <c r="R1696" s="4"/>
      <c r="S1696" s="4">
        <v>0</v>
      </c>
      <c r="T1696" s="4">
        <v>0</v>
      </c>
      <c r="U1696" s="4">
        <v>0</v>
      </c>
      <c r="V1696" s="4">
        <v>12</v>
      </c>
      <c r="W1696" s="4">
        <v>12</v>
      </c>
      <c r="X1696" s="4">
        <v>0</v>
      </c>
      <c r="Y1696" s="4"/>
      <c r="Z1696" s="4">
        <v>575.99999999999989</v>
      </c>
      <c r="AA1696" s="4">
        <v>600</v>
      </c>
      <c r="AB1696" s="18"/>
      <c r="AC1696" s="18">
        <v>31</v>
      </c>
      <c r="AD1696" s="28"/>
      <c r="AE1696" s="26"/>
      <c r="AF1696" s="28"/>
    </row>
    <row r="1697" spans="1:32" ht="12.4" customHeight="1" x14ac:dyDescent="0.25">
      <c r="A1697" s="14">
        <v>45869</v>
      </c>
      <c r="B1697" s="14" t="s">
        <v>46</v>
      </c>
      <c r="C1697" s="15">
        <v>5</v>
      </c>
      <c r="D1697" s="16"/>
      <c r="E1697" s="16"/>
      <c r="F1697" s="16"/>
      <c r="G1697" s="16"/>
      <c r="H1697" s="16"/>
      <c r="I1697" s="4">
        <v>0</v>
      </c>
      <c r="J1697" s="4">
        <v>0</v>
      </c>
      <c r="K1697" s="4"/>
      <c r="L1697" s="16"/>
      <c r="M1697" s="4"/>
      <c r="N1697" s="4"/>
      <c r="O1697" s="4"/>
      <c r="P1697" s="4"/>
      <c r="Q1697" s="4"/>
      <c r="R1697" s="4"/>
      <c r="S1697" s="4">
        <v>0</v>
      </c>
      <c r="T1697" s="4">
        <v>0</v>
      </c>
      <c r="U1697" s="4">
        <v>0</v>
      </c>
      <c r="V1697" s="4">
        <v>12</v>
      </c>
      <c r="W1697" s="4">
        <v>12</v>
      </c>
      <c r="X1697" s="4">
        <v>0</v>
      </c>
      <c r="Y1697" s="4"/>
      <c r="Z1697" s="4">
        <v>564.81000000000006</v>
      </c>
      <c r="AA1697" s="4">
        <v>550</v>
      </c>
      <c r="AB1697" s="18"/>
      <c r="AC1697" s="18">
        <v>31</v>
      </c>
      <c r="AD1697" s="28"/>
      <c r="AE1697" s="26"/>
      <c r="AF1697" s="28"/>
    </row>
    <row r="1698" spans="1:32" ht="12.4" customHeight="1" x14ac:dyDescent="0.25">
      <c r="A1698" s="14">
        <v>45870</v>
      </c>
      <c r="B1698" s="14" t="s">
        <v>45</v>
      </c>
      <c r="C1698" s="15">
        <v>1</v>
      </c>
      <c r="D1698" s="16"/>
      <c r="E1698" s="16"/>
      <c r="F1698" s="16"/>
      <c r="G1698" s="16"/>
      <c r="H1698" s="16"/>
      <c r="I1698" s="4">
        <v>0</v>
      </c>
      <c r="J1698" s="4">
        <v>0</v>
      </c>
      <c r="K1698" s="4"/>
      <c r="L1698" s="16"/>
      <c r="M1698" s="4"/>
      <c r="N1698" s="4"/>
      <c r="O1698" s="4"/>
      <c r="P1698" s="4"/>
      <c r="Q1698" s="4"/>
      <c r="R1698" s="4"/>
      <c r="S1698" s="4">
        <v>0</v>
      </c>
      <c r="T1698" s="4">
        <v>0</v>
      </c>
      <c r="U1698" s="4">
        <v>0</v>
      </c>
      <c r="V1698" s="4">
        <v>12</v>
      </c>
      <c r="W1698" s="4">
        <v>12</v>
      </c>
      <c r="X1698" s="4">
        <v>21.5</v>
      </c>
      <c r="Y1698" s="4">
        <v>2180.5</v>
      </c>
      <c r="Z1698" s="4">
        <v>146.92999999999998</v>
      </c>
      <c r="AA1698" s="4">
        <v>100</v>
      </c>
      <c r="AB1698" s="18">
        <v>398</v>
      </c>
      <c r="AC1698" s="18">
        <v>31</v>
      </c>
      <c r="AD1698" s="28"/>
      <c r="AE1698" s="26"/>
      <c r="AF1698" s="28"/>
    </row>
    <row r="1699" spans="1:32" ht="12.4" customHeight="1" x14ac:dyDescent="0.25">
      <c r="A1699" s="14">
        <v>45870</v>
      </c>
      <c r="B1699" s="14" t="s">
        <v>46</v>
      </c>
      <c r="C1699" s="15">
        <v>1</v>
      </c>
      <c r="D1699" s="16"/>
      <c r="E1699" s="16"/>
      <c r="F1699" s="16"/>
      <c r="G1699" s="16"/>
      <c r="H1699" s="16"/>
      <c r="I1699" s="4">
        <v>0</v>
      </c>
      <c r="J1699" s="4">
        <v>0</v>
      </c>
      <c r="K1699" s="4"/>
      <c r="L1699" s="16"/>
      <c r="M1699" s="4"/>
      <c r="N1699" s="4"/>
      <c r="O1699" s="4"/>
      <c r="P1699" s="4"/>
      <c r="Q1699" s="4"/>
      <c r="R1699" s="4"/>
      <c r="S1699" s="4">
        <v>0</v>
      </c>
      <c r="T1699" s="4">
        <v>0</v>
      </c>
      <c r="U1699" s="4">
        <v>0</v>
      </c>
      <c r="V1699" s="4">
        <v>12</v>
      </c>
      <c r="W1699" s="4">
        <v>12</v>
      </c>
      <c r="X1699" s="4">
        <v>31.5</v>
      </c>
      <c r="Y1699" s="4"/>
      <c r="Z1699" s="4">
        <v>152.49</v>
      </c>
      <c r="AA1699" s="4">
        <v>150</v>
      </c>
      <c r="AB1699" s="18"/>
      <c r="AC1699" s="18">
        <v>31</v>
      </c>
      <c r="AD1699" s="28"/>
      <c r="AE1699" s="26"/>
      <c r="AF1699" s="28"/>
    </row>
    <row r="1700" spans="1:32" ht="12.4" customHeight="1" x14ac:dyDescent="0.25">
      <c r="A1700" s="14">
        <v>45870</v>
      </c>
      <c r="B1700" s="14" t="s">
        <v>45</v>
      </c>
      <c r="C1700" s="15">
        <v>2</v>
      </c>
      <c r="D1700" s="16">
        <v>15</v>
      </c>
      <c r="E1700" s="16"/>
      <c r="F1700" s="16"/>
      <c r="G1700" s="16"/>
      <c r="H1700" s="16"/>
      <c r="I1700" s="4">
        <v>15</v>
      </c>
      <c r="J1700" s="4">
        <v>0.25</v>
      </c>
      <c r="K1700" s="4"/>
      <c r="L1700" s="16"/>
      <c r="M1700" s="4"/>
      <c r="N1700" s="4"/>
      <c r="O1700" s="4"/>
      <c r="P1700" s="4"/>
      <c r="Q1700" s="4"/>
      <c r="R1700" s="4"/>
      <c r="S1700" s="4">
        <v>0</v>
      </c>
      <c r="T1700" s="4">
        <v>0</v>
      </c>
      <c r="U1700" s="4">
        <v>0.25</v>
      </c>
      <c r="V1700" s="4">
        <v>11.75</v>
      </c>
      <c r="W1700" s="4">
        <v>12</v>
      </c>
      <c r="X1700" s="4">
        <v>0</v>
      </c>
      <c r="Y1700" s="4"/>
      <c r="Z1700" s="4">
        <v>118.79999999999998</v>
      </c>
      <c r="AA1700" s="4">
        <v>100</v>
      </c>
      <c r="AB1700" s="18"/>
      <c r="AC1700" s="18">
        <v>31</v>
      </c>
      <c r="AD1700" s="28"/>
      <c r="AE1700" s="26"/>
      <c r="AF1700" s="28"/>
    </row>
    <row r="1701" spans="1:32" ht="12.4" customHeight="1" x14ac:dyDescent="0.25">
      <c r="A1701" s="14">
        <v>45870</v>
      </c>
      <c r="B1701" s="14" t="s">
        <v>46</v>
      </c>
      <c r="C1701" s="15">
        <v>2</v>
      </c>
      <c r="D1701" s="16">
        <v>20</v>
      </c>
      <c r="E1701" s="16"/>
      <c r="F1701" s="16"/>
      <c r="G1701" s="16"/>
      <c r="H1701" s="16"/>
      <c r="I1701" s="4">
        <v>20</v>
      </c>
      <c r="J1701" s="4">
        <v>0.33333333333333331</v>
      </c>
      <c r="K1701" s="4"/>
      <c r="L1701" s="16"/>
      <c r="M1701" s="4"/>
      <c r="N1701" s="4"/>
      <c r="O1701" s="4"/>
      <c r="P1701" s="4"/>
      <c r="Q1701" s="4"/>
      <c r="R1701" s="4"/>
      <c r="S1701" s="4">
        <v>0</v>
      </c>
      <c r="T1701" s="4">
        <v>0</v>
      </c>
      <c r="U1701" s="4">
        <v>0.33333333333333331</v>
      </c>
      <c r="V1701" s="4">
        <v>11.666666666666666</v>
      </c>
      <c r="W1701" s="4">
        <v>12</v>
      </c>
      <c r="X1701" s="4">
        <v>0</v>
      </c>
      <c r="Y1701" s="4"/>
      <c r="Z1701" s="4">
        <v>131.77999999999997</v>
      </c>
      <c r="AA1701" s="4">
        <v>150</v>
      </c>
      <c r="AB1701" s="18"/>
      <c r="AC1701" s="18">
        <v>31</v>
      </c>
      <c r="AD1701" s="28"/>
      <c r="AE1701" s="26"/>
      <c r="AF1701" s="28"/>
    </row>
    <row r="1702" spans="1:32" ht="12.4" customHeight="1" x14ac:dyDescent="0.25">
      <c r="A1702" s="14">
        <v>45870</v>
      </c>
      <c r="B1702" s="14" t="s">
        <v>45</v>
      </c>
      <c r="C1702" s="15">
        <v>3</v>
      </c>
      <c r="D1702" s="16"/>
      <c r="E1702" s="16"/>
      <c r="F1702" s="16"/>
      <c r="G1702" s="16"/>
      <c r="H1702" s="16"/>
      <c r="I1702" s="4">
        <v>0</v>
      </c>
      <c r="J1702" s="4">
        <v>0</v>
      </c>
      <c r="K1702" s="4"/>
      <c r="L1702" s="16"/>
      <c r="M1702" s="4"/>
      <c r="N1702" s="4"/>
      <c r="O1702" s="4"/>
      <c r="P1702" s="4"/>
      <c r="Q1702" s="4"/>
      <c r="R1702" s="4"/>
      <c r="S1702" s="4">
        <v>0</v>
      </c>
      <c r="T1702" s="4">
        <v>0</v>
      </c>
      <c r="U1702" s="4">
        <v>0</v>
      </c>
      <c r="V1702" s="4">
        <v>12</v>
      </c>
      <c r="W1702" s="4">
        <v>12</v>
      </c>
      <c r="X1702" s="4">
        <v>0</v>
      </c>
      <c r="Y1702" s="4"/>
      <c r="Z1702" s="4">
        <v>340.33000000000004</v>
      </c>
      <c r="AA1702" s="4">
        <v>350</v>
      </c>
      <c r="AB1702" s="18"/>
      <c r="AC1702" s="18">
        <v>31</v>
      </c>
      <c r="AD1702" s="28"/>
      <c r="AE1702" s="26"/>
      <c r="AF1702" s="28"/>
    </row>
    <row r="1703" spans="1:32" ht="12.4" customHeight="1" x14ac:dyDescent="0.25">
      <c r="A1703" s="14">
        <v>45870</v>
      </c>
      <c r="B1703" s="14" t="s">
        <v>46</v>
      </c>
      <c r="C1703" s="15">
        <v>3</v>
      </c>
      <c r="D1703" s="16">
        <v>20</v>
      </c>
      <c r="E1703" s="16"/>
      <c r="F1703" s="16"/>
      <c r="G1703" s="16"/>
      <c r="H1703" s="16"/>
      <c r="I1703" s="4">
        <v>20</v>
      </c>
      <c r="J1703" s="4">
        <v>0.33333333333333331</v>
      </c>
      <c r="K1703" s="4"/>
      <c r="L1703" s="16"/>
      <c r="M1703" s="4"/>
      <c r="N1703" s="4"/>
      <c r="O1703" s="4"/>
      <c r="P1703" s="4"/>
      <c r="Q1703" s="4"/>
      <c r="R1703" s="4"/>
      <c r="S1703" s="4">
        <v>0</v>
      </c>
      <c r="T1703" s="4">
        <v>0</v>
      </c>
      <c r="U1703" s="4">
        <v>0.33333333333333331</v>
      </c>
      <c r="V1703" s="4">
        <v>11.666666666666666</v>
      </c>
      <c r="W1703" s="4">
        <v>12</v>
      </c>
      <c r="X1703" s="4">
        <v>0</v>
      </c>
      <c r="Y1703" s="4"/>
      <c r="Z1703" s="4">
        <v>380.06999999999994</v>
      </c>
      <c r="AA1703" s="4">
        <v>400</v>
      </c>
      <c r="AB1703" s="18"/>
      <c r="AC1703" s="18">
        <v>31</v>
      </c>
      <c r="AD1703" s="28"/>
      <c r="AE1703" s="26"/>
      <c r="AF1703" s="28"/>
    </row>
    <row r="1704" spans="1:32" ht="12.4" customHeight="1" x14ac:dyDescent="0.25">
      <c r="A1704" s="14">
        <v>45870</v>
      </c>
      <c r="B1704" s="14" t="s">
        <v>45</v>
      </c>
      <c r="C1704" s="15">
        <v>4</v>
      </c>
      <c r="D1704" s="16">
        <v>20</v>
      </c>
      <c r="E1704" s="16"/>
      <c r="F1704" s="16"/>
      <c r="G1704" s="16"/>
      <c r="H1704" s="16"/>
      <c r="I1704" s="4">
        <v>20</v>
      </c>
      <c r="J1704" s="4">
        <v>0.33333333333333331</v>
      </c>
      <c r="K1704" s="4"/>
      <c r="L1704" s="16"/>
      <c r="M1704" s="4"/>
      <c r="N1704" s="4"/>
      <c r="O1704" s="4"/>
      <c r="P1704" s="4"/>
      <c r="Q1704" s="4"/>
      <c r="R1704" s="4"/>
      <c r="S1704" s="4">
        <v>0</v>
      </c>
      <c r="T1704" s="4">
        <v>0</v>
      </c>
      <c r="U1704" s="4">
        <v>0.33333333333333331</v>
      </c>
      <c r="V1704" s="4">
        <v>11.666666666666666</v>
      </c>
      <c r="W1704" s="4">
        <v>12</v>
      </c>
      <c r="X1704" s="4">
        <v>0</v>
      </c>
      <c r="Y1704" s="4"/>
      <c r="Z1704" s="4">
        <v>733.95</v>
      </c>
      <c r="AA1704" s="4">
        <v>750</v>
      </c>
      <c r="AB1704" s="18"/>
      <c r="AC1704" s="18">
        <v>31</v>
      </c>
      <c r="AD1704" s="28"/>
      <c r="AE1704" s="26"/>
      <c r="AF1704" s="28"/>
    </row>
    <row r="1705" spans="1:32" ht="12.4" customHeight="1" x14ac:dyDescent="0.25">
      <c r="A1705" s="14">
        <v>45870</v>
      </c>
      <c r="B1705" s="14" t="s">
        <v>46</v>
      </c>
      <c r="C1705" s="15">
        <v>4</v>
      </c>
      <c r="D1705" s="16">
        <v>20</v>
      </c>
      <c r="E1705" s="16"/>
      <c r="F1705" s="16"/>
      <c r="G1705" s="16"/>
      <c r="H1705" s="16"/>
      <c r="I1705" s="4">
        <v>20</v>
      </c>
      <c r="J1705" s="4">
        <v>0.33333333333333331</v>
      </c>
      <c r="K1705" s="4"/>
      <c r="L1705" s="16"/>
      <c r="M1705" s="4"/>
      <c r="N1705" s="4"/>
      <c r="O1705" s="4"/>
      <c r="P1705" s="4"/>
      <c r="Q1705" s="4"/>
      <c r="R1705" s="4"/>
      <c r="S1705" s="4">
        <v>0</v>
      </c>
      <c r="T1705" s="4">
        <v>0</v>
      </c>
      <c r="U1705" s="4">
        <v>0.33333333333333331</v>
      </c>
      <c r="V1705" s="4">
        <v>11.666666666666666</v>
      </c>
      <c r="W1705" s="4">
        <v>12</v>
      </c>
      <c r="X1705" s="4">
        <v>0</v>
      </c>
      <c r="Y1705" s="4"/>
      <c r="Z1705" s="4">
        <v>722.81999999999994</v>
      </c>
      <c r="AA1705" s="4">
        <v>750</v>
      </c>
      <c r="AB1705" s="18"/>
      <c r="AC1705" s="18">
        <v>31</v>
      </c>
      <c r="AD1705" s="28"/>
      <c r="AE1705" s="26"/>
      <c r="AF1705" s="28"/>
    </row>
    <row r="1706" spans="1:32" ht="12.4" customHeight="1" x14ac:dyDescent="0.25">
      <c r="A1706" s="14">
        <v>45870</v>
      </c>
      <c r="B1706" s="14" t="s">
        <v>45</v>
      </c>
      <c r="C1706" s="15">
        <v>5</v>
      </c>
      <c r="D1706" s="16"/>
      <c r="E1706" s="16"/>
      <c r="F1706" s="16"/>
      <c r="G1706" s="16"/>
      <c r="H1706" s="16"/>
      <c r="I1706" s="4">
        <v>0</v>
      </c>
      <c r="J1706" s="4">
        <v>0</v>
      </c>
      <c r="K1706" s="4"/>
      <c r="L1706" s="16"/>
      <c r="M1706" s="4"/>
      <c r="N1706" s="4"/>
      <c r="O1706" s="4"/>
      <c r="P1706" s="4"/>
      <c r="Q1706" s="4"/>
      <c r="R1706" s="4"/>
      <c r="S1706" s="4">
        <v>0</v>
      </c>
      <c r="T1706" s="4">
        <v>0</v>
      </c>
      <c r="U1706" s="4">
        <v>0</v>
      </c>
      <c r="V1706" s="4">
        <v>12</v>
      </c>
      <c r="W1706" s="4">
        <v>12</v>
      </c>
      <c r="X1706" s="4">
        <v>0</v>
      </c>
      <c r="Y1706" s="4"/>
      <c r="Z1706" s="4">
        <v>609.79</v>
      </c>
      <c r="AA1706" s="4">
        <v>650</v>
      </c>
      <c r="AB1706" s="18"/>
      <c r="AC1706" s="18">
        <v>31</v>
      </c>
      <c r="AD1706" s="28"/>
      <c r="AE1706" s="26"/>
      <c r="AF1706" s="28"/>
    </row>
    <row r="1707" spans="1:32" ht="12.4" customHeight="1" x14ac:dyDescent="0.25">
      <c r="A1707" s="14">
        <v>45870</v>
      </c>
      <c r="B1707" s="14" t="s">
        <v>46</v>
      </c>
      <c r="C1707" s="15">
        <v>5</v>
      </c>
      <c r="D1707" s="16"/>
      <c r="E1707" s="16"/>
      <c r="F1707" s="16"/>
      <c r="G1707" s="16"/>
      <c r="H1707" s="16"/>
      <c r="I1707" s="4">
        <v>0</v>
      </c>
      <c r="J1707" s="4">
        <v>0</v>
      </c>
      <c r="K1707" s="4"/>
      <c r="L1707" s="16"/>
      <c r="M1707" s="4"/>
      <c r="N1707" s="4"/>
      <c r="O1707" s="4"/>
      <c r="P1707" s="4"/>
      <c r="Q1707" s="4"/>
      <c r="R1707" s="4"/>
      <c r="S1707" s="4">
        <v>0</v>
      </c>
      <c r="T1707" s="4">
        <v>0</v>
      </c>
      <c r="U1707" s="4">
        <v>0</v>
      </c>
      <c r="V1707" s="4">
        <v>12</v>
      </c>
      <c r="W1707" s="4">
        <v>12</v>
      </c>
      <c r="X1707" s="4">
        <v>0</v>
      </c>
      <c r="Y1707" s="4"/>
      <c r="Z1707" s="4">
        <v>596.07000000000005</v>
      </c>
      <c r="AA1707" s="4">
        <v>600</v>
      </c>
      <c r="AB1707" s="18"/>
      <c r="AC1707" s="18">
        <v>31</v>
      </c>
      <c r="AD1707" s="28"/>
      <c r="AE1707" s="26"/>
      <c r="AF1707" s="28"/>
    </row>
    <row r="1708" spans="1:32" ht="12.4" customHeight="1" x14ac:dyDescent="0.25">
      <c r="A1708" s="14">
        <v>45871</v>
      </c>
      <c r="B1708" s="14" t="s">
        <v>45</v>
      </c>
      <c r="C1708" s="15">
        <v>1</v>
      </c>
      <c r="D1708" s="16"/>
      <c r="E1708" s="16"/>
      <c r="F1708" s="16"/>
      <c r="G1708" s="16"/>
      <c r="H1708" s="16"/>
      <c r="I1708" s="4">
        <v>0</v>
      </c>
      <c r="J1708" s="4">
        <v>0</v>
      </c>
      <c r="K1708" s="4"/>
      <c r="L1708" s="16"/>
      <c r="M1708" s="4"/>
      <c r="N1708" s="4"/>
      <c r="O1708" s="4"/>
      <c r="P1708" s="4"/>
      <c r="Q1708" s="4"/>
      <c r="R1708" s="4"/>
      <c r="S1708" s="4">
        <v>0</v>
      </c>
      <c r="T1708" s="4">
        <v>0</v>
      </c>
      <c r="U1708" s="4">
        <v>0</v>
      </c>
      <c r="V1708" s="4">
        <v>12</v>
      </c>
      <c r="W1708" s="4">
        <v>12</v>
      </c>
      <c r="X1708" s="4">
        <v>14</v>
      </c>
      <c r="Y1708" s="4">
        <v>1712.5</v>
      </c>
      <c r="Z1708" s="4">
        <v>141.49</v>
      </c>
      <c r="AA1708" s="4">
        <v>150</v>
      </c>
      <c r="AB1708" s="18">
        <v>398</v>
      </c>
      <c r="AC1708" s="18">
        <v>31</v>
      </c>
      <c r="AD1708" s="28"/>
      <c r="AE1708" s="26"/>
      <c r="AF1708" s="28"/>
    </row>
    <row r="1709" spans="1:32" ht="12.4" customHeight="1" x14ac:dyDescent="0.25">
      <c r="A1709" s="14">
        <v>45871</v>
      </c>
      <c r="B1709" s="14" t="s">
        <v>46</v>
      </c>
      <c r="C1709" s="15">
        <v>1</v>
      </c>
      <c r="D1709" s="16"/>
      <c r="E1709" s="16"/>
      <c r="F1709" s="16"/>
      <c r="G1709" s="16"/>
      <c r="H1709" s="16"/>
      <c r="I1709" s="4">
        <v>0</v>
      </c>
      <c r="J1709" s="4">
        <v>0</v>
      </c>
      <c r="K1709" s="4"/>
      <c r="L1709" s="16"/>
      <c r="M1709" s="4"/>
      <c r="N1709" s="4"/>
      <c r="O1709" s="4"/>
      <c r="P1709" s="4"/>
      <c r="Q1709" s="4"/>
      <c r="R1709" s="4">
        <v>120</v>
      </c>
      <c r="S1709" s="4">
        <v>120</v>
      </c>
      <c r="T1709" s="4">
        <v>2</v>
      </c>
      <c r="U1709" s="4">
        <v>2</v>
      </c>
      <c r="V1709" s="4">
        <v>10</v>
      </c>
      <c r="W1709" s="4">
        <v>12</v>
      </c>
      <c r="X1709" s="4">
        <v>28</v>
      </c>
      <c r="Y1709" s="4"/>
      <c r="Z1709" s="4">
        <v>115.30000000000001</v>
      </c>
      <c r="AA1709" s="4">
        <v>150</v>
      </c>
      <c r="AB1709" s="18"/>
      <c r="AC1709" s="18">
        <v>31</v>
      </c>
      <c r="AD1709" s="28"/>
      <c r="AE1709" s="26"/>
      <c r="AF1709" s="28"/>
    </row>
    <row r="1710" spans="1:32" ht="12.4" customHeight="1" x14ac:dyDescent="0.25">
      <c r="A1710" s="14">
        <v>45871</v>
      </c>
      <c r="B1710" s="14" t="s">
        <v>45</v>
      </c>
      <c r="C1710" s="15">
        <v>2</v>
      </c>
      <c r="D1710" s="16"/>
      <c r="E1710" s="16"/>
      <c r="F1710" s="16"/>
      <c r="G1710" s="16"/>
      <c r="H1710" s="16"/>
      <c r="I1710" s="4">
        <v>0</v>
      </c>
      <c r="J1710" s="4">
        <v>0</v>
      </c>
      <c r="K1710" s="4"/>
      <c r="L1710" s="16"/>
      <c r="M1710" s="4"/>
      <c r="N1710" s="4"/>
      <c r="O1710" s="4"/>
      <c r="P1710" s="4"/>
      <c r="Q1710" s="4"/>
      <c r="R1710" s="4"/>
      <c r="S1710" s="4">
        <v>0</v>
      </c>
      <c r="T1710" s="4">
        <v>0</v>
      </c>
      <c r="U1710" s="4">
        <v>0</v>
      </c>
      <c r="V1710" s="4">
        <v>12</v>
      </c>
      <c r="W1710" s="4">
        <v>12</v>
      </c>
      <c r="X1710" s="4">
        <v>0</v>
      </c>
      <c r="Y1710" s="4"/>
      <c r="Z1710" s="4">
        <v>67.34</v>
      </c>
      <c r="AA1710" s="4">
        <v>50</v>
      </c>
      <c r="AB1710" s="18"/>
      <c r="AC1710" s="18">
        <v>31</v>
      </c>
      <c r="AD1710" s="28"/>
      <c r="AE1710" s="26"/>
      <c r="AF1710" s="28"/>
    </row>
    <row r="1711" spans="1:32" ht="12.4" customHeight="1" x14ac:dyDescent="0.25">
      <c r="A1711" s="14">
        <v>45871</v>
      </c>
      <c r="B1711" s="14" t="s">
        <v>46</v>
      </c>
      <c r="C1711" s="15">
        <v>2</v>
      </c>
      <c r="D1711" s="16"/>
      <c r="E1711" s="16"/>
      <c r="F1711" s="16"/>
      <c r="G1711" s="16"/>
      <c r="H1711" s="16"/>
      <c r="I1711" s="4">
        <v>0</v>
      </c>
      <c r="J1711" s="4">
        <v>0</v>
      </c>
      <c r="K1711" s="4"/>
      <c r="L1711" s="16"/>
      <c r="M1711" s="4"/>
      <c r="N1711" s="4"/>
      <c r="O1711" s="4"/>
      <c r="P1711" s="4"/>
      <c r="Q1711" s="4"/>
      <c r="R1711" s="4">
        <v>120</v>
      </c>
      <c r="S1711" s="4">
        <v>120</v>
      </c>
      <c r="T1711" s="4">
        <v>2</v>
      </c>
      <c r="U1711" s="4">
        <v>2</v>
      </c>
      <c r="V1711" s="4">
        <v>10</v>
      </c>
      <c r="W1711" s="4">
        <v>12</v>
      </c>
      <c r="X1711" s="4">
        <v>0</v>
      </c>
      <c r="Y1711" s="4"/>
      <c r="Z1711" s="4">
        <v>142.30000000000001</v>
      </c>
      <c r="AA1711" s="4">
        <v>150</v>
      </c>
      <c r="AB1711" s="18"/>
      <c r="AC1711" s="18">
        <v>31</v>
      </c>
      <c r="AD1711" s="28"/>
      <c r="AE1711" s="26"/>
      <c r="AF1711" s="28"/>
    </row>
    <row r="1712" spans="1:32" ht="12.4" customHeight="1" x14ac:dyDescent="0.25">
      <c r="A1712" s="14">
        <v>45871</v>
      </c>
      <c r="B1712" s="14" t="s">
        <v>45</v>
      </c>
      <c r="C1712" s="15">
        <v>3</v>
      </c>
      <c r="D1712" s="16"/>
      <c r="E1712" s="16"/>
      <c r="F1712" s="16"/>
      <c r="G1712" s="16"/>
      <c r="H1712" s="16"/>
      <c r="I1712" s="4">
        <v>0</v>
      </c>
      <c r="J1712" s="4">
        <v>0</v>
      </c>
      <c r="K1712" s="4"/>
      <c r="L1712" s="16"/>
      <c r="M1712" s="4"/>
      <c r="N1712" s="4"/>
      <c r="O1712" s="4"/>
      <c r="P1712" s="4"/>
      <c r="Q1712" s="4"/>
      <c r="R1712" s="4"/>
      <c r="S1712" s="4">
        <v>0</v>
      </c>
      <c r="T1712" s="4">
        <v>0</v>
      </c>
      <c r="U1712" s="4">
        <v>0</v>
      </c>
      <c r="V1712" s="4">
        <v>12</v>
      </c>
      <c r="W1712" s="4">
        <v>12</v>
      </c>
      <c r="X1712" s="4">
        <v>0</v>
      </c>
      <c r="Y1712" s="4"/>
      <c r="Z1712" s="4">
        <v>310.98999999999995</v>
      </c>
      <c r="AA1712" s="4">
        <v>300</v>
      </c>
      <c r="AB1712" s="18"/>
      <c r="AC1712" s="18">
        <v>31</v>
      </c>
      <c r="AD1712" s="28"/>
      <c r="AE1712" s="26"/>
      <c r="AF1712" s="28"/>
    </row>
    <row r="1713" spans="1:32" ht="12.4" customHeight="1" x14ac:dyDescent="0.25">
      <c r="A1713" s="14">
        <v>45871</v>
      </c>
      <c r="B1713" s="14" t="s">
        <v>46</v>
      </c>
      <c r="C1713" s="15">
        <v>3</v>
      </c>
      <c r="D1713" s="16"/>
      <c r="E1713" s="16"/>
      <c r="F1713" s="16"/>
      <c r="G1713" s="16"/>
      <c r="H1713" s="16"/>
      <c r="I1713" s="4">
        <v>0</v>
      </c>
      <c r="J1713" s="4">
        <v>0</v>
      </c>
      <c r="K1713" s="4"/>
      <c r="L1713" s="16"/>
      <c r="M1713" s="4"/>
      <c r="N1713" s="4"/>
      <c r="O1713" s="4"/>
      <c r="P1713" s="4"/>
      <c r="Q1713" s="4"/>
      <c r="R1713" s="4">
        <v>120</v>
      </c>
      <c r="S1713" s="4">
        <v>120</v>
      </c>
      <c r="T1713" s="4">
        <v>2</v>
      </c>
      <c r="U1713" s="4">
        <v>2</v>
      </c>
      <c r="V1713" s="4">
        <v>10</v>
      </c>
      <c r="W1713" s="4">
        <v>12</v>
      </c>
      <c r="X1713" s="4">
        <v>0</v>
      </c>
      <c r="Y1713" s="4"/>
      <c r="Z1713" s="4">
        <v>43.21</v>
      </c>
      <c r="AA1713" s="4">
        <v>50</v>
      </c>
      <c r="AB1713" s="18"/>
      <c r="AC1713" s="18">
        <v>31</v>
      </c>
      <c r="AD1713" s="28"/>
      <c r="AE1713" s="26"/>
      <c r="AF1713" s="28"/>
    </row>
    <row r="1714" spans="1:32" ht="12.4" customHeight="1" x14ac:dyDescent="0.25">
      <c r="A1714" s="14">
        <v>45871</v>
      </c>
      <c r="B1714" s="14" t="s">
        <v>45</v>
      </c>
      <c r="C1714" s="15">
        <v>4</v>
      </c>
      <c r="D1714" s="16"/>
      <c r="E1714" s="16"/>
      <c r="F1714" s="16"/>
      <c r="G1714" s="16"/>
      <c r="H1714" s="16"/>
      <c r="I1714" s="4">
        <v>0</v>
      </c>
      <c r="J1714" s="4">
        <v>0</v>
      </c>
      <c r="K1714" s="4"/>
      <c r="L1714" s="16"/>
      <c r="M1714" s="4"/>
      <c r="N1714" s="4"/>
      <c r="O1714" s="4"/>
      <c r="P1714" s="4"/>
      <c r="Q1714" s="4"/>
      <c r="R1714" s="4"/>
      <c r="S1714" s="4">
        <v>0</v>
      </c>
      <c r="T1714" s="4">
        <v>0</v>
      </c>
      <c r="U1714" s="4">
        <v>0</v>
      </c>
      <c r="V1714" s="4">
        <v>12</v>
      </c>
      <c r="W1714" s="4">
        <v>12</v>
      </c>
      <c r="X1714" s="4">
        <v>0</v>
      </c>
      <c r="Y1714" s="4"/>
      <c r="Z1714" s="4">
        <v>769.53000000000009</v>
      </c>
      <c r="AA1714" s="4">
        <v>750</v>
      </c>
      <c r="AB1714" s="18"/>
      <c r="AC1714" s="18">
        <v>31</v>
      </c>
      <c r="AD1714" s="28"/>
      <c r="AE1714" s="26"/>
      <c r="AF1714" s="28"/>
    </row>
    <row r="1715" spans="1:32" ht="12.4" customHeight="1" x14ac:dyDescent="0.25">
      <c r="A1715" s="14">
        <v>45871</v>
      </c>
      <c r="B1715" s="14" t="s">
        <v>46</v>
      </c>
      <c r="C1715" s="15">
        <v>4</v>
      </c>
      <c r="D1715" s="16"/>
      <c r="E1715" s="16"/>
      <c r="F1715" s="16"/>
      <c r="G1715" s="16"/>
      <c r="H1715" s="16"/>
      <c r="I1715" s="4">
        <v>0</v>
      </c>
      <c r="J1715" s="4">
        <v>0</v>
      </c>
      <c r="K1715" s="4"/>
      <c r="L1715" s="16"/>
      <c r="M1715" s="4"/>
      <c r="N1715" s="4"/>
      <c r="O1715" s="4"/>
      <c r="P1715" s="4"/>
      <c r="Q1715" s="4"/>
      <c r="R1715" s="4">
        <v>120</v>
      </c>
      <c r="S1715" s="4">
        <v>120</v>
      </c>
      <c r="T1715" s="4">
        <v>2</v>
      </c>
      <c r="U1715" s="4">
        <v>2</v>
      </c>
      <c r="V1715" s="4">
        <v>10</v>
      </c>
      <c r="W1715" s="4">
        <v>12</v>
      </c>
      <c r="X1715" s="4">
        <v>0</v>
      </c>
      <c r="Y1715" s="4"/>
      <c r="Z1715" s="4">
        <v>660.59</v>
      </c>
      <c r="AA1715" s="4">
        <v>650</v>
      </c>
      <c r="AB1715" s="18"/>
      <c r="AC1715" s="18">
        <v>31</v>
      </c>
      <c r="AD1715" s="28"/>
      <c r="AE1715" s="26"/>
      <c r="AF1715" s="28"/>
    </row>
    <row r="1716" spans="1:32" ht="12.4" customHeight="1" x14ac:dyDescent="0.25">
      <c r="A1716" s="14">
        <v>45871</v>
      </c>
      <c r="B1716" s="14" t="s">
        <v>45</v>
      </c>
      <c r="C1716" s="15">
        <v>5</v>
      </c>
      <c r="D1716" s="16"/>
      <c r="E1716" s="16"/>
      <c r="F1716" s="16"/>
      <c r="G1716" s="16"/>
      <c r="H1716" s="16"/>
      <c r="I1716" s="4">
        <v>0</v>
      </c>
      <c r="J1716" s="4">
        <v>0</v>
      </c>
      <c r="K1716" s="4"/>
      <c r="L1716" s="16"/>
      <c r="M1716" s="4"/>
      <c r="N1716" s="4"/>
      <c r="O1716" s="4"/>
      <c r="P1716" s="4"/>
      <c r="Q1716" s="4"/>
      <c r="R1716" s="4"/>
      <c r="S1716" s="4">
        <v>0</v>
      </c>
      <c r="T1716" s="4">
        <v>0</v>
      </c>
      <c r="U1716" s="4">
        <v>0</v>
      </c>
      <c r="V1716" s="4">
        <v>12</v>
      </c>
      <c r="W1716" s="4">
        <v>12</v>
      </c>
      <c r="X1716" s="4">
        <v>0</v>
      </c>
      <c r="Y1716" s="4"/>
      <c r="Z1716" s="4">
        <v>514.01</v>
      </c>
      <c r="AA1716" s="4">
        <v>550</v>
      </c>
      <c r="AB1716" s="18"/>
      <c r="AC1716" s="18">
        <v>31</v>
      </c>
      <c r="AD1716" s="28"/>
      <c r="AE1716" s="26"/>
      <c r="AF1716" s="28"/>
    </row>
    <row r="1717" spans="1:32" ht="12.4" customHeight="1" x14ac:dyDescent="0.25">
      <c r="A1717" s="14">
        <v>45871</v>
      </c>
      <c r="B1717" s="14" t="s">
        <v>46</v>
      </c>
      <c r="C1717" s="15">
        <v>5</v>
      </c>
      <c r="D1717" s="16">
        <v>20</v>
      </c>
      <c r="E1717" s="16"/>
      <c r="F1717" s="16"/>
      <c r="G1717" s="16"/>
      <c r="H1717" s="16"/>
      <c r="I1717" s="4">
        <v>20</v>
      </c>
      <c r="J1717" s="4">
        <v>0.33333333333333331</v>
      </c>
      <c r="K1717" s="4"/>
      <c r="L1717" s="16"/>
      <c r="M1717" s="4"/>
      <c r="N1717" s="4"/>
      <c r="O1717" s="4"/>
      <c r="P1717" s="4"/>
      <c r="Q1717" s="4"/>
      <c r="R1717" s="4">
        <v>120</v>
      </c>
      <c r="S1717" s="4">
        <v>120</v>
      </c>
      <c r="T1717" s="4">
        <v>2</v>
      </c>
      <c r="U1717" s="4">
        <v>2.3333333333333335</v>
      </c>
      <c r="V1717" s="4">
        <v>9.6666666666666661</v>
      </c>
      <c r="W1717" s="4">
        <v>12</v>
      </c>
      <c r="X1717" s="4">
        <v>0</v>
      </c>
      <c r="Y1717" s="4"/>
      <c r="Z1717" s="4">
        <v>441.57000000000005</v>
      </c>
      <c r="AA1717" s="4">
        <v>450</v>
      </c>
      <c r="AB1717" s="18"/>
      <c r="AC1717" s="18">
        <v>31</v>
      </c>
      <c r="AD1717" s="28"/>
      <c r="AE1717" s="26"/>
      <c r="AF1717" s="28"/>
    </row>
    <row r="1718" spans="1:32" ht="12.4" customHeight="1" x14ac:dyDescent="0.25">
      <c r="A1718" s="14">
        <v>45873</v>
      </c>
      <c r="B1718" s="14" t="s">
        <v>45</v>
      </c>
      <c r="C1718" s="16">
        <v>1</v>
      </c>
      <c r="D1718" s="16"/>
      <c r="E1718" s="16"/>
      <c r="F1718" s="16"/>
      <c r="G1718" s="16"/>
      <c r="H1718" s="16"/>
      <c r="I1718" s="4">
        <v>0</v>
      </c>
      <c r="J1718" s="4">
        <v>0</v>
      </c>
      <c r="K1718" s="4"/>
      <c r="L1718" s="16"/>
      <c r="M1718" s="4"/>
      <c r="N1718" s="4"/>
      <c r="O1718" s="4"/>
      <c r="P1718" s="4"/>
      <c r="Q1718" s="4"/>
      <c r="R1718" s="4"/>
      <c r="S1718" s="4">
        <v>0</v>
      </c>
      <c r="T1718" s="4">
        <v>0</v>
      </c>
      <c r="U1718" s="4">
        <v>0</v>
      </c>
      <c r="V1718" s="4">
        <v>12</v>
      </c>
      <c r="W1718" s="4">
        <v>12</v>
      </c>
      <c r="X1718" s="4">
        <v>51</v>
      </c>
      <c r="Y1718" s="4">
        <v>1349</v>
      </c>
      <c r="Z1718" s="4">
        <v>108.61</v>
      </c>
      <c r="AA1718" s="4">
        <v>150</v>
      </c>
      <c r="AB1718" s="18">
        <v>398</v>
      </c>
      <c r="AC1718" s="18">
        <v>32</v>
      </c>
      <c r="AD1718" s="28"/>
      <c r="AE1718" s="26"/>
      <c r="AF1718" s="28"/>
    </row>
    <row r="1719" spans="1:32" ht="12.4" customHeight="1" x14ac:dyDescent="0.25">
      <c r="A1719" s="14">
        <v>45873</v>
      </c>
      <c r="B1719" s="14" t="s">
        <v>46</v>
      </c>
      <c r="C1719" s="16">
        <v>1</v>
      </c>
      <c r="D1719" s="16">
        <v>10</v>
      </c>
      <c r="E1719" s="16"/>
      <c r="F1719" s="16"/>
      <c r="G1719" s="16"/>
      <c r="H1719" s="16"/>
      <c r="I1719" s="4">
        <v>10</v>
      </c>
      <c r="J1719" s="4">
        <v>0.16666666666666666</v>
      </c>
      <c r="K1719" s="4"/>
      <c r="L1719" s="16"/>
      <c r="M1719" s="4"/>
      <c r="N1719" s="4"/>
      <c r="O1719" s="4"/>
      <c r="P1719" s="4"/>
      <c r="Q1719" s="4"/>
      <c r="R1719" s="4"/>
      <c r="S1719" s="4">
        <v>0</v>
      </c>
      <c r="T1719" s="4">
        <v>0</v>
      </c>
      <c r="U1719" s="4">
        <v>0.16666666666666666</v>
      </c>
      <c r="V1719" s="4">
        <v>11.833333333333334</v>
      </c>
      <c r="W1719" s="4">
        <v>12</v>
      </c>
      <c r="X1719" s="4">
        <v>16</v>
      </c>
      <c r="Y1719" s="4"/>
      <c r="Z1719" s="4">
        <v>158.92000000000002</v>
      </c>
      <c r="AA1719" s="4">
        <v>200</v>
      </c>
      <c r="AB1719" s="18"/>
      <c r="AC1719" s="18">
        <v>32</v>
      </c>
      <c r="AD1719" s="28"/>
      <c r="AE1719" s="26"/>
      <c r="AF1719" s="28"/>
    </row>
    <row r="1720" spans="1:32" ht="12.4" customHeight="1" x14ac:dyDescent="0.25">
      <c r="A1720" s="14">
        <v>45873</v>
      </c>
      <c r="B1720" s="14" t="s">
        <v>45</v>
      </c>
      <c r="C1720" s="16">
        <v>2</v>
      </c>
      <c r="D1720" s="16"/>
      <c r="E1720" s="16"/>
      <c r="F1720" s="16"/>
      <c r="G1720" s="16"/>
      <c r="H1720" s="16"/>
      <c r="I1720" s="4">
        <v>0</v>
      </c>
      <c r="J1720" s="4">
        <v>0</v>
      </c>
      <c r="K1720" s="4"/>
      <c r="L1720" s="16"/>
      <c r="M1720" s="4"/>
      <c r="N1720" s="4"/>
      <c r="O1720" s="4"/>
      <c r="P1720" s="4"/>
      <c r="Q1720" s="4"/>
      <c r="R1720" s="4"/>
      <c r="S1720" s="4">
        <v>0</v>
      </c>
      <c r="T1720" s="4">
        <v>0</v>
      </c>
      <c r="U1720" s="4">
        <v>0</v>
      </c>
      <c r="V1720" s="4">
        <v>12</v>
      </c>
      <c r="W1720" s="4">
        <v>12</v>
      </c>
      <c r="X1720" s="4">
        <v>0</v>
      </c>
      <c r="Y1720" s="4"/>
      <c r="Z1720" s="4">
        <v>128.85</v>
      </c>
      <c r="AA1720" s="4">
        <v>200</v>
      </c>
      <c r="AB1720" s="18"/>
      <c r="AC1720" s="18">
        <v>32</v>
      </c>
      <c r="AD1720" s="28"/>
      <c r="AE1720" s="26"/>
      <c r="AF1720" s="28"/>
    </row>
    <row r="1721" spans="1:32" ht="12.4" customHeight="1" x14ac:dyDescent="0.25">
      <c r="A1721" s="14">
        <v>45873</v>
      </c>
      <c r="B1721" s="14" t="s">
        <v>46</v>
      </c>
      <c r="C1721" s="16">
        <v>2</v>
      </c>
      <c r="D1721" s="16"/>
      <c r="E1721" s="16"/>
      <c r="F1721" s="16"/>
      <c r="G1721" s="16"/>
      <c r="H1721" s="16"/>
      <c r="I1721" s="4">
        <v>0</v>
      </c>
      <c r="J1721" s="4">
        <v>0</v>
      </c>
      <c r="K1721" s="4"/>
      <c r="L1721" s="16"/>
      <c r="M1721" s="4"/>
      <c r="N1721" s="4"/>
      <c r="O1721" s="4"/>
      <c r="P1721" s="4"/>
      <c r="Q1721" s="4"/>
      <c r="R1721" s="4"/>
      <c r="S1721" s="4">
        <v>0</v>
      </c>
      <c r="T1721" s="4">
        <v>0</v>
      </c>
      <c r="U1721" s="4">
        <v>0</v>
      </c>
      <c r="V1721" s="4">
        <v>12</v>
      </c>
      <c r="W1721" s="4">
        <v>12</v>
      </c>
      <c r="X1721" s="4">
        <v>0</v>
      </c>
      <c r="Y1721" s="4"/>
      <c r="Z1721" s="4">
        <v>189.08999999999997</v>
      </c>
      <c r="AA1721" s="4">
        <v>250</v>
      </c>
      <c r="AB1721" s="18"/>
      <c r="AC1721" s="18">
        <v>32</v>
      </c>
      <c r="AD1721" s="28"/>
      <c r="AE1721" s="26"/>
      <c r="AF1721" s="28"/>
    </row>
    <row r="1722" spans="1:32" ht="12.4" customHeight="1" x14ac:dyDescent="0.25">
      <c r="A1722" s="14">
        <v>45873</v>
      </c>
      <c r="B1722" s="14" t="s">
        <v>45</v>
      </c>
      <c r="C1722" s="16">
        <v>3</v>
      </c>
      <c r="D1722" s="16"/>
      <c r="E1722" s="16"/>
      <c r="F1722" s="16"/>
      <c r="G1722" s="16"/>
      <c r="H1722" s="16"/>
      <c r="I1722" s="4">
        <v>0</v>
      </c>
      <c r="J1722" s="4">
        <v>0</v>
      </c>
      <c r="K1722" s="4"/>
      <c r="L1722" s="16"/>
      <c r="M1722" s="4">
        <v>240</v>
      </c>
      <c r="N1722" s="4"/>
      <c r="O1722" s="4"/>
      <c r="P1722" s="4"/>
      <c r="Q1722" s="4"/>
      <c r="R1722" s="4"/>
      <c r="S1722" s="4">
        <v>240</v>
      </c>
      <c r="T1722" s="4">
        <v>4</v>
      </c>
      <c r="U1722" s="4">
        <v>4</v>
      </c>
      <c r="V1722" s="4">
        <v>8</v>
      </c>
      <c r="W1722" s="4">
        <v>12</v>
      </c>
      <c r="X1722" s="4">
        <v>0</v>
      </c>
      <c r="Y1722" s="4"/>
      <c r="Z1722" s="4">
        <v>0</v>
      </c>
      <c r="AA1722" s="4">
        <v>0</v>
      </c>
      <c r="AB1722" s="18"/>
      <c r="AC1722" s="18">
        <v>32</v>
      </c>
      <c r="AD1722" s="28"/>
      <c r="AE1722" s="26"/>
      <c r="AF1722" s="28"/>
    </row>
    <row r="1723" spans="1:32" ht="12.4" customHeight="1" x14ac:dyDescent="0.25">
      <c r="A1723" s="14">
        <v>45873</v>
      </c>
      <c r="B1723" s="14" t="s">
        <v>46</v>
      </c>
      <c r="C1723" s="16">
        <v>3</v>
      </c>
      <c r="D1723" s="16"/>
      <c r="E1723" s="16"/>
      <c r="F1723" s="16"/>
      <c r="G1723" s="16"/>
      <c r="H1723" s="16"/>
      <c r="I1723" s="4">
        <v>0</v>
      </c>
      <c r="J1723" s="4">
        <v>0</v>
      </c>
      <c r="K1723" s="4"/>
      <c r="L1723" s="16"/>
      <c r="M1723" s="4"/>
      <c r="N1723" s="4"/>
      <c r="O1723" s="4"/>
      <c r="P1723" s="4"/>
      <c r="Q1723" s="4"/>
      <c r="R1723" s="4"/>
      <c r="S1723" s="4">
        <v>0</v>
      </c>
      <c r="T1723" s="4">
        <v>0</v>
      </c>
      <c r="U1723" s="4">
        <v>0</v>
      </c>
      <c r="V1723" s="4">
        <v>12</v>
      </c>
      <c r="W1723" s="4">
        <v>12</v>
      </c>
      <c r="X1723" s="4">
        <v>0</v>
      </c>
      <c r="Y1723" s="4"/>
      <c r="Z1723" s="4">
        <v>0</v>
      </c>
      <c r="AA1723" s="4">
        <v>0</v>
      </c>
      <c r="AB1723" s="18"/>
      <c r="AC1723" s="18">
        <v>32</v>
      </c>
      <c r="AD1723" s="28"/>
      <c r="AE1723" s="26"/>
      <c r="AF1723" s="28"/>
    </row>
    <row r="1724" spans="1:32" ht="12.4" customHeight="1" x14ac:dyDescent="0.25">
      <c r="A1724" s="14">
        <v>45873</v>
      </c>
      <c r="B1724" s="14" t="s">
        <v>45</v>
      </c>
      <c r="C1724" s="16">
        <v>4</v>
      </c>
      <c r="D1724" s="16"/>
      <c r="E1724" s="16"/>
      <c r="F1724" s="16"/>
      <c r="G1724" s="16">
        <v>180</v>
      </c>
      <c r="H1724" s="16"/>
      <c r="I1724" s="4">
        <v>180</v>
      </c>
      <c r="J1724" s="4">
        <v>3</v>
      </c>
      <c r="K1724" s="4"/>
      <c r="L1724" s="16"/>
      <c r="M1724" s="4"/>
      <c r="N1724" s="4"/>
      <c r="O1724" s="4"/>
      <c r="P1724" s="4"/>
      <c r="Q1724" s="4"/>
      <c r="R1724" s="4"/>
      <c r="S1724" s="4">
        <v>0</v>
      </c>
      <c r="T1724" s="4">
        <v>0</v>
      </c>
      <c r="U1724" s="4">
        <v>3</v>
      </c>
      <c r="V1724" s="4">
        <v>9</v>
      </c>
      <c r="W1724" s="4">
        <v>12</v>
      </c>
      <c r="X1724" s="4">
        <v>0</v>
      </c>
      <c r="Y1724" s="4"/>
      <c r="Z1724" s="4">
        <v>118.15</v>
      </c>
      <c r="AA1724" s="4">
        <v>200</v>
      </c>
      <c r="AB1724" s="18"/>
      <c r="AC1724" s="18">
        <v>32</v>
      </c>
      <c r="AD1724" s="28"/>
      <c r="AE1724" s="26"/>
      <c r="AF1724" s="28"/>
    </row>
    <row r="1725" spans="1:32" ht="12.4" customHeight="1" x14ac:dyDescent="0.25">
      <c r="A1725" s="14">
        <v>45873</v>
      </c>
      <c r="B1725" s="14" t="s">
        <v>46</v>
      </c>
      <c r="C1725" s="16">
        <v>4</v>
      </c>
      <c r="D1725" s="16">
        <v>10</v>
      </c>
      <c r="E1725" s="16"/>
      <c r="F1725" s="16"/>
      <c r="G1725" s="16"/>
      <c r="H1725" s="16"/>
      <c r="I1725" s="4">
        <v>10</v>
      </c>
      <c r="J1725" s="4">
        <v>0.16666666666666666</v>
      </c>
      <c r="K1725" s="4"/>
      <c r="L1725" s="16"/>
      <c r="M1725" s="4"/>
      <c r="N1725" s="4"/>
      <c r="O1725" s="4"/>
      <c r="P1725" s="4"/>
      <c r="Q1725" s="4"/>
      <c r="R1725" s="4"/>
      <c r="S1725" s="4">
        <v>0</v>
      </c>
      <c r="T1725" s="4">
        <v>0</v>
      </c>
      <c r="U1725" s="4">
        <v>0.16666666666666666</v>
      </c>
      <c r="V1725" s="4">
        <v>11.833333333333334</v>
      </c>
      <c r="W1725" s="4">
        <v>12</v>
      </c>
      <c r="X1725" s="4">
        <v>0</v>
      </c>
      <c r="Y1725" s="4"/>
      <c r="Z1725" s="4">
        <v>275.95</v>
      </c>
      <c r="AA1725" s="4">
        <v>350</v>
      </c>
      <c r="AB1725" s="18"/>
      <c r="AC1725" s="18">
        <v>32</v>
      </c>
      <c r="AD1725" s="28"/>
      <c r="AE1725" s="26"/>
      <c r="AF1725" s="28"/>
    </row>
    <row r="1726" spans="1:32" ht="12.4" customHeight="1" x14ac:dyDescent="0.25">
      <c r="A1726" s="14">
        <v>45874</v>
      </c>
      <c r="B1726" s="14" t="s">
        <v>45</v>
      </c>
      <c r="C1726" s="16">
        <v>1</v>
      </c>
      <c r="D1726" s="16">
        <v>20</v>
      </c>
      <c r="E1726" s="16"/>
      <c r="F1726" s="16"/>
      <c r="G1726" s="16"/>
      <c r="H1726" s="16"/>
      <c r="I1726" s="4">
        <v>20</v>
      </c>
      <c r="J1726" s="4">
        <v>0.33333333333333331</v>
      </c>
      <c r="K1726" s="4"/>
      <c r="L1726" s="16"/>
      <c r="M1726" s="4"/>
      <c r="N1726" s="4"/>
      <c r="O1726" s="4"/>
      <c r="P1726" s="4"/>
      <c r="Q1726" s="4"/>
      <c r="R1726" s="4"/>
      <c r="S1726" s="4">
        <v>0</v>
      </c>
      <c r="T1726" s="4">
        <v>0</v>
      </c>
      <c r="U1726" s="4">
        <v>0.33333333333333331</v>
      </c>
      <c r="V1726" s="4">
        <v>11.666666666666666</v>
      </c>
      <c r="W1726" s="4">
        <v>12</v>
      </c>
      <c r="X1726" s="4">
        <v>3</v>
      </c>
      <c r="Y1726" s="4">
        <v>1689</v>
      </c>
      <c r="Z1726" s="4">
        <v>138.26</v>
      </c>
      <c r="AA1726" s="4">
        <v>150</v>
      </c>
      <c r="AB1726" s="18">
        <v>398</v>
      </c>
      <c r="AC1726" s="18">
        <v>32</v>
      </c>
      <c r="AD1726" s="28"/>
      <c r="AE1726" s="26"/>
      <c r="AF1726" s="28"/>
    </row>
    <row r="1727" spans="1:32" ht="12.4" customHeight="1" x14ac:dyDescent="0.25">
      <c r="A1727" s="14">
        <v>45874</v>
      </c>
      <c r="B1727" s="14" t="s">
        <v>46</v>
      </c>
      <c r="C1727" s="16">
        <v>1</v>
      </c>
      <c r="D1727" s="16"/>
      <c r="E1727" s="16"/>
      <c r="F1727" s="16"/>
      <c r="G1727" s="16"/>
      <c r="H1727" s="16"/>
      <c r="I1727" s="4">
        <v>0</v>
      </c>
      <c r="J1727" s="4">
        <v>0</v>
      </c>
      <c r="K1727" s="4"/>
      <c r="L1727" s="16"/>
      <c r="M1727" s="4"/>
      <c r="N1727" s="4"/>
      <c r="O1727" s="4"/>
      <c r="P1727" s="4"/>
      <c r="Q1727" s="4"/>
      <c r="R1727" s="4"/>
      <c r="S1727" s="4">
        <v>0</v>
      </c>
      <c r="T1727" s="4">
        <v>0</v>
      </c>
      <c r="U1727" s="4">
        <v>0</v>
      </c>
      <c r="V1727" s="4">
        <v>12</v>
      </c>
      <c r="W1727" s="4">
        <v>12</v>
      </c>
      <c r="X1727" s="4">
        <v>0</v>
      </c>
      <c r="Y1727" s="4"/>
      <c r="Z1727" s="4">
        <v>139.96</v>
      </c>
      <c r="AA1727" s="4">
        <v>150</v>
      </c>
      <c r="AB1727" s="18"/>
      <c r="AC1727" s="18">
        <v>32</v>
      </c>
      <c r="AD1727" s="28"/>
      <c r="AE1727" s="26"/>
      <c r="AF1727" s="28"/>
    </row>
    <row r="1728" spans="1:32" ht="12.4" customHeight="1" x14ac:dyDescent="0.25">
      <c r="A1728" s="14">
        <v>45874</v>
      </c>
      <c r="B1728" s="14" t="s">
        <v>45</v>
      </c>
      <c r="C1728" s="16">
        <v>2</v>
      </c>
      <c r="D1728" s="16"/>
      <c r="E1728" s="16"/>
      <c r="F1728" s="16"/>
      <c r="G1728" s="16"/>
      <c r="H1728" s="16"/>
      <c r="I1728" s="4">
        <v>0</v>
      </c>
      <c r="J1728" s="4">
        <v>0</v>
      </c>
      <c r="K1728" s="4"/>
      <c r="L1728" s="16"/>
      <c r="M1728" s="4"/>
      <c r="N1728" s="4"/>
      <c r="O1728" s="4"/>
      <c r="P1728" s="4"/>
      <c r="Q1728" s="4"/>
      <c r="R1728" s="4"/>
      <c r="S1728" s="4">
        <v>0</v>
      </c>
      <c r="T1728" s="4">
        <v>0</v>
      </c>
      <c r="U1728" s="4">
        <v>0</v>
      </c>
      <c r="V1728" s="4">
        <v>12</v>
      </c>
      <c r="W1728" s="4">
        <v>12</v>
      </c>
      <c r="X1728" s="4">
        <v>0</v>
      </c>
      <c r="Y1728" s="4"/>
      <c r="Z1728" s="4">
        <v>199.99999999999997</v>
      </c>
      <c r="AA1728" s="4">
        <v>200</v>
      </c>
      <c r="AB1728" s="18"/>
      <c r="AC1728" s="18">
        <v>32</v>
      </c>
      <c r="AD1728" s="28"/>
      <c r="AE1728" s="26"/>
      <c r="AF1728" s="28"/>
    </row>
    <row r="1729" spans="1:32" ht="12.4" customHeight="1" x14ac:dyDescent="0.25">
      <c r="A1729" s="14">
        <v>45874</v>
      </c>
      <c r="B1729" s="14" t="s">
        <v>46</v>
      </c>
      <c r="C1729" s="16">
        <v>2</v>
      </c>
      <c r="D1729" s="16"/>
      <c r="E1729" s="16"/>
      <c r="F1729" s="16"/>
      <c r="G1729" s="16"/>
      <c r="H1729" s="16"/>
      <c r="I1729" s="4">
        <v>0</v>
      </c>
      <c r="J1729" s="4">
        <v>0</v>
      </c>
      <c r="K1729" s="4"/>
      <c r="L1729" s="16"/>
      <c r="M1729" s="4"/>
      <c r="N1729" s="4"/>
      <c r="O1729" s="4"/>
      <c r="P1729" s="4"/>
      <c r="Q1729" s="4"/>
      <c r="R1729" s="4"/>
      <c r="S1729" s="4">
        <v>0</v>
      </c>
      <c r="T1729" s="4">
        <v>0</v>
      </c>
      <c r="U1729" s="4">
        <v>0</v>
      </c>
      <c r="V1729" s="4">
        <v>12</v>
      </c>
      <c r="W1729" s="4">
        <v>12</v>
      </c>
      <c r="X1729" s="4">
        <v>0</v>
      </c>
      <c r="Y1729" s="4"/>
      <c r="Z1729" s="4">
        <v>189.99</v>
      </c>
      <c r="AA1729" s="4">
        <v>200</v>
      </c>
      <c r="AB1729" s="18"/>
      <c r="AC1729" s="18">
        <v>32</v>
      </c>
      <c r="AD1729" s="28"/>
      <c r="AE1729" s="26"/>
      <c r="AF1729" s="28"/>
    </row>
    <row r="1730" spans="1:32" ht="12.4" customHeight="1" x14ac:dyDescent="0.25">
      <c r="A1730" s="14">
        <v>45874</v>
      </c>
      <c r="B1730" s="14" t="s">
        <v>45</v>
      </c>
      <c r="C1730" s="16">
        <v>3</v>
      </c>
      <c r="D1730" s="16">
        <v>20</v>
      </c>
      <c r="E1730" s="16"/>
      <c r="F1730" s="16"/>
      <c r="G1730" s="16"/>
      <c r="H1730" s="16"/>
      <c r="I1730" s="4">
        <v>20</v>
      </c>
      <c r="J1730" s="4">
        <v>0.33333333333333331</v>
      </c>
      <c r="K1730" s="4"/>
      <c r="L1730" s="16"/>
      <c r="M1730" s="4"/>
      <c r="N1730" s="4"/>
      <c r="O1730" s="4"/>
      <c r="P1730" s="4">
        <v>20</v>
      </c>
      <c r="Q1730" s="4"/>
      <c r="R1730" s="4"/>
      <c r="S1730" s="4">
        <v>20</v>
      </c>
      <c r="T1730" s="4">
        <v>0.33333333333333331</v>
      </c>
      <c r="U1730" s="4">
        <v>0.66666666666666663</v>
      </c>
      <c r="V1730" s="4">
        <v>11.333333333333334</v>
      </c>
      <c r="W1730" s="4">
        <v>12</v>
      </c>
      <c r="X1730" s="4">
        <v>9</v>
      </c>
      <c r="Y1730" s="4"/>
      <c r="Z1730" s="4">
        <v>326.51</v>
      </c>
      <c r="AA1730" s="4">
        <v>350</v>
      </c>
      <c r="AB1730" s="18"/>
      <c r="AC1730" s="18">
        <v>32</v>
      </c>
      <c r="AD1730" s="28"/>
      <c r="AE1730" s="26"/>
      <c r="AF1730" s="28"/>
    </row>
    <row r="1731" spans="1:32" ht="12.4" customHeight="1" x14ac:dyDescent="0.25">
      <c r="A1731" s="14">
        <v>45874</v>
      </c>
      <c r="B1731" s="14" t="s">
        <v>46</v>
      </c>
      <c r="C1731" s="16">
        <v>3</v>
      </c>
      <c r="D1731" s="16"/>
      <c r="E1731" s="16"/>
      <c r="F1731" s="16"/>
      <c r="G1731" s="16"/>
      <c r="H1731" s="16"/>
      <c r="I1731" s="4">
        <v>0</v>
      </c>
      <c r="J1731" s="4">
        <v>0</v>
      </c>
      <c r="K1731" s="4"/>
      <c r="L1731" s="16"/>
      <c r="M1731" s="4"/>
      <c r="N1731" s="4"/>
      <c r="O1731" s="4"/>
      <c r="P1731" s="4">
        <v>20</v>
      </c>
      <c r="Q1731" s="4"/>
      <c r="R1731" s="4"/>
      <c r="S1731" s="4">
        <v>20</v>
      </c>
      <c r="T1731" s="4">
        <v>0.33333333333333331</v>
      </c>
      <c r="U1731" s="4">
        <v>0.33333333333333331</v>
      </c>
      <c r="V1731" s="4">
        <v>11.666666666666666</v>
      </c>
      <c r="W1731" s="4">
        <v>12</v>
      </c>
      <c r="X1731" s="4">
        <v>7</v>
      </c>
      <c r="Y1731" s="4"/>
      <c r="Z1731" s="4">
        <v>334.76000000000005</v>
      </c>
      <c r="AA1731" s="4">
        <v>350</v>
      </c>
      <c r="AB1731" s="18"/>
      <c r="AC1731" s="18">
        <v>32</v>
      </c>
      <c r="AD1731" s="28"/>
      <c r="AE1731" s="26"/>
      <c r="AF1731" s="28"/>
    </row>
    <row r="1732" spans="1:32" ht="12.4" customHeight="1" x14ac:dyDescent="0.25">
      <c r="A1732" s="14">
        <v>45874</v>
      </c>
      <c r="B1732" s="14" t="s">
        <v>45</v>
      </c>
      <c r="C1732" s="16">
        <v>4</v>
      </c>
      <c r="D1732" s="16"/>
      <c r="E1732" s="16"/>
      <c r="F1732" s="16"/>
      <c r="G1732" s="16"/>
      <c r="H1732" s="16"/>
      <c r="I1732" s="4">
        <v>0</v>
      </c>
      <c r="J1732" s="4">
        <v>0</v>
      </c>
      <c r="K1732" s="4"/>
      <c r="L1732" s="16"/>
      <c r="M1732" s="4"/>
      <c r="N1732" s="4"/>
      <c r="O1732" s="4"/>
      <c r="P1732" s="4"/>
      <c r="Q1732" s="4">
        <v>60</v>
      </c>
      <c r="R1732" s="4"/>
      <c r="S1732" s="4">
        <v>60</v>
      </c>
      <c r="T1732" s="4">
        <v>1</v>
      </c>
      <c r="U1732" s="4">
        <v>1</v>
      </c>
      <c r="V1732" s="4">
        <v>11</v>
      </c>
      <c r="W1732" s="4">
        <v>12</v>
      </c>
      <c r="X1732" s="4">
        <v>0</v>
      </c>
      <c r="Y1732" s="4"/>
      <c r="Z1732" s="4">
        <v>0</v>
      </c>
      <c r="AA1732" s="4">
        <v>0</v>
      </c>
      <c r="AB1732" s="18"/>
      <c r="AC1732" s="18">
        <v>32</v>
      </c>
      <c r="AD1732" s="28"/>
      <c r="AE1732" s="26"/>
      <c r="AF1732" s="28"/>
    </row>
    <row r="1733" spans="1:32" ht="12.4" customHeight="1" x14ac:dyDescent="0.25">
      <c r="A1733" s="14">
        <v>45874</v>
      </c>
      <c r="B1733" s="14" t="s">
        <v>46</v>
      </c>
      <c r="C1733" s="16">
        <v>4</v>
      </c>
      <c r="D1733" s="16"/>
      <c r="E1733" s="16"/>
      <c r="F1733" s="16"/>
      <c r="G1733" s="16"/>
      <c r="H1733" s="16"/>
      <c r="I1733" s="4">
        <v>0</v>
      </c>
      <c r="J1733" s="4">
        <v>0</v>
      </c>
      <c r="K1733" s="4"/>
      <c r="L1733" s="16"/>
      <c r="M1733" s="4"/>
      <c r="N1733" s="4"/>
      <c r="O1733" s="4"/>
      <c r="P1733" s="4"/>
      <c r="Q1733" s="4"/>
      <c r="R1733" s="4"/>
      <c r="S1733" s="4">
        <v>0</v>
      </c>
      <c r="T1733" s="4">
        <v>0</v>
      </c>
      <c r="U1733" s="4">
        <v>0</v>
      </c>
      <c r="V1733" s="4">
        <v>12</v>
      </c>
      <c r="W1733" s="4">
        <v>12</v>
      </c>
      <c r="X1733" s="4">
        <v>12</v>
      </c>
      <c r="Y1733" s="4"/>
      <c r="Z1733" s="4">
        <v>294.76</v>
      </c>
      <c r="AA1733" s="4">
        <v>300</v>
      </c>
      <c r="AB1733" s="18"/>
      <c r="AC1733" s="18">
        <v>32</v>
      </c>
      <c r="AD1733" s="28"/>
      <c r="AE1733" s="26"/>
      <c r="AF1733" s="28"/>
    </row>
    <row r="1734" spans="1:32" ht="12.4" customHeight="1" x14ac:dyDescent="0.25">
      <c r="A1734" s="14">
        <v>45874</v>
      </c>
      <c r="B1734" s="14" t="s">
        <v>45</v>
      </c>
      <c r="C1734" s="16">
        <v>5</v>
      </c>
      <c r="D1734" s="16"/>
      <c r="E1734" s="16"/>
      <c r="F1734" s="16"/>
      <c r="G1734" s="16"/>
      <c r="H1734" s="16"/>
      <c r="I1734" s="4">
        <v>0</v>
      </c>
      <c r="J1734" s="4">
        <v>0</v>
      </c>
      <c r="K1734" s="4"/>
      <c r="L1734" s="16"/>
      <c r="M1734" s="4"/>
      <c r="N1734" s="4"/>
      <c r="O1734" s="4"/>
      <c r="P1734" s="4"/>
      <c r="Q1734" s="4"/>
      <c r="R1734" s="4"/>
      <c r="S1734" s="4">
        <v>0</v>
      </c>
      <c r="T1734" s="4">
        <v>0</v>
      </c>
      <c r="U1734" s="4">
        <v>0</v>
      </c>
      <c r="V1734" s="4">
        <v>12</v>
      </c>
      <c r="W1734" s="4">
        <v>12</v>
      </c>
      <c r="X1734" s="4">
        <v>8</v>
      </c>
      <c r="Y1734" s="4"/>
      <c r="Z1734" s="4">
        <v>594.26</v>
      </c>
      <c r="AA1734" s="4">
        <v>600</v>
      </c>
      <c r="AB1734" s="18"/>
      <c r="AC1734" s="18">
        <v>32</v>
      </c>
      <c r="AD1734" s="28"/>
      <c r="AE1734" s="26"/>
      <c r="AF1734" s="28"/>
    </row>
    <row r="1735" spans="1:32" ht="12.4" customHeight="1" x14ac:dyDescent="0.25">
      <c r="A1735" s="14">
        <v>45874</v>
      </c>
      <c r="B1735" s="14" t="s">
        <v>46</v>
      </c>
      <c r="C1735" s="16">
        <v>5</v>
      </c>
      <c r="D1735" s="16">
        <v>20</v>
      </c>
      <c r="E1735" s="16"/>
      <c r="F1735" s="16"/>
      <c r="G1735" s="16"/>
      <c r="H1735" s="16"/>
      <c r="I1735" s="4">
        <v>20</v>
      </c>
      <c r="J1735" s="4">
        <v>0.33333333333333331</v>
      </c>
      <c r="K1735" s="4"/>
      <c r="L1735" s="16"/>
      <c r="M1735" s="4"/>
      <c r="N1735" s="4"/>
      <c r="O1735" s="4"/>
      <c r="P1735" s="4"/>
      <c r="Q1735" s="4"/>
      <c r="R1735" s="4"/>
      <c r="S1735" s="4">
        <v>0</v>
      </c>
      <c r="T1735" s="4">
        <v>0</v>
      </c>
      <c r="U1735" s="4">
        <v>0.33333333333333331</v>
      </c>
      <c r="V1735" s="4">
        <v>11.666666666666666</v>
      </c>
      <c r="W1735" s="4">
        <v>12</v>
      </c>
      <c r="X1735" s="4">
        <v>5</v>
      </c>
      <c r="Y1735" s="4"/>
      <c r="Z1735" s="4">
        <v>547.39</v>
      </c>
      <c r="AA1735" s="4">
        <v>550</v>
      </c>
      <c r="AB1735" s="18"/>
      <c r="AC1735" s="18">
        <v>32</v>
      </c>
      <c r="AD1735" s="28"/>
      <c r="AE1735" s="26"/>
      <c r="AF1735" s="28"/>
    </row>
    <row r="1736" spans="1:32" ht="12.4" customHeight="1" x14ac:dyDescent="0.25">
      <c r="A1736" s="14">
        <v>45875</v>
      </c>
      <c r="B1736" s="14" t="s">
        <v>45</v>
      </c>
      <c r="C1736" s="16">
        <v>1</v>
      </c>
      <c r="D1736" s="16"/>
      <c r="E1736" s="16"/>
      <c r="F1736" s="16"/>
      <c r="G1736" s="16"/>
      <c r="H1736" s="16"/>
      <c r="I1736" s="4">
        <v>0</v>
      </c>
      <c r="J1736" s="4">
        <v>0</v>
      </c>
      <c r="K1736" s="4"/>
      <c r="L1736" s="16"/>
      <c r="M1736" s="4"/>
      <c r="N1736" s="4">
        <v>10</v>
      </c>
      <c r="O1736" s="4"/>
      <c r="P1736" s="4"/>
      <c r="Q1736" s="4"/>
      <c r="R1736" s="4"/>
      <c r="S1736" s="4">
        <v>10</v>
      </c>
      <c r="T1736" s="4">
        <v>0.16666666666666666</v>
      </c>
      <c r="U1736" s="4">
        <v>0.16666666666666666</v>
      </c>
      <c r="V1736" s="4">
        <v>11.833333333333334</v>
      </c>
      <c r="W1736" s="4">
        <v>12</v>
      </c>
      <c r="X1736" s="4">
        <v>15</v>
      </c>
      <c r="Y1736" s="4">
        <v>2086</v>
      </c>
      <c r="Z1736" s="4">
        <v>126.30000000000001</v>
      </c>
      <c r="AA1736" s="4">
        <v>100</v>
      </c>
      <c r="AB1736" s="18">
        <v>398</v>
      </c>
      <c r="AC1736" s="18">
        <v>32</v>
      </c>
      <c r="AD1736" s="28"/>
      <c r="AE1736" s="26"/>
      <c r="AF1736" s="28"/>
    </row>
    <row r="1737" spans="1:32" ht="12.4" customHeight="1" x14ac:dyDescent="0.25">
      <c r="A1737" s="14">
        <v>45875</v>
      </c>
      <c r="B1737" s="14" t="s">
        <v>46</v>
      </c>
      <c r="C1737" s="16">
        <v>1</v>
      </c>
      <c r="D1737" s="16"/>
      <c r="E1737" s="16"/>
      <c r="F1737" s="16"/>
      <c r="G1737" s="16"/>
      <c r="H1737" s="16"/>
      <c r="I1737" s="4">
        <v>0</v>
      </c>
      <c r="J1737" s="4">
        <v>0</v>
      </c>
      <c r="K1737" s="4"/>
      <c r="L1737" s="16"/>
      <c r="M1737" s="4"/>
      <c r="N1737" s="4"/>
      <c r="O1737" s="4"/>
      <c r="P1737" s="4"/>
      <c r="Q1737" s="4"/>
      <c r="R1737" s="4"/>
      <c r="S1737" s="4">
        <v>0</v>
      </c>
      <c r="T1737" s="4">
        <v>0</v>
      </c>
      <c r="U1737" s="4">
        <v>0</v>
      </c>
      <c r="V1737" s="4">
        <v>12</v>
      </c>
      <c r="W1737" s="4">
        <v>12</v>
      </c>
      <c r="X1737" s="4">
        <v>20</v>
      </c>
      <c r="Y1737" s="4"/>
      <c r="Z1737" s="4">
        <v>135.37999999999997</v>
      </c>
      <c r="AA1737" s="4">
        <v>100</v>
      </c>
      <c r="AB1737" s="18"/>
      <c r="AC1737" s="18">
        <v>32</v>
      </c>
      <c r="AD1737" s="28"/>
      <c r="AE1737" s="26"/>
      <c r="AF1737" s="28"/>
    </row>
    <row r="1738" spans="1:32" ht="12.4" customHeight="1" x14ac:dyDescent="0.25">
      <c r="A1738" s="14">
        <v>45875</v>
      </c>
      <c r="B1738" s="14" t="s">
        <v>45</v>
      </c>
      <c r="C1738" s="16">
        <v>2</v>
      </c>
      <c r="D1738" s="16">
        <v>20</v>
      </c>
      <c r="E1738" s="16"/>
      <c r="F1738" s="16"/>
      <c r="G1738" s="16"/>
      <c r="H1738" s="16"/>
      <c r="I1738" s="4">
        <v>20</v>
      </c>
      <c r="J1738" s="4">
        <v>0.33333333333333331</v>
      </c>
      <c r="K1738" s="4"/>
      <c r="L1738" s="16"/>
      <c r="M1738" s="4"/>
      <c r="N1738" s="4"/>
      <c r="O1738" s="4"/>
      <c r="P1738" s="4"/>
      <c r="Q1738" s="4"/>
      <c r="R1738" s="4"/>
      <c r="S1738" s="4">
        <v>0</v>
      </c>
      <c r="T1738" s="4">
        <v>0</v>
      </c>
      <c r="U1738" s="4">
        <v>0.33333333333333331</v>
      </c>
      <c r="V1738" s="4">
        <v>11.666666666666666</v>
      </c>
      <c r="W1738" s="4">
        <v>12</v>
      </c>
      <c r="X1738" s="4">
        <v>0</v>
      </c>
      <c r="Y1738" s="4"/>
      <c r="Z1738" s="4">
        <v>146.16999999999999</v>
      </c>
      <c r="AA1738" s="4">
        <v>150</v>
      </c>
      <c r="AB1738" s="18"/>
      <c r="AC1738" s="18">
        <v>32</v>
      </c>
      <c r="AD1738" s="28"/>
      <c r="AE1738" s="26"/>
      <c r="AF1738" s="28"/>
    </row>
    <row r="1739" spans="1:32" ht="12.4" customHeight="1" x14ac:dyDescent="0.25">
      <c r="A1739" s="14">
        <v>45875</v>
      </c>
      <c r="B1739" s="14" t="s">
        <v>46</v>
      </c>
      <c r="C1739" s="16">
        <v>2</v>
      </c>
      <c r="D1739" s="16"/>
      <c r="E1739" s="16"/>
      <c r="F1739" s="16"/>
      <c r="G1739" s="16"/>
      <c r="H1739" s="16"/>
      <c r="I1739" s="4">
        <v>0</v>
      </c>
      <c r="J1739" s="4">
        <v>0</v>
      </c>
      <c r="K1739" s="4"/>
      <c r="L1739" s="16"/>
      <c r="M1739" s="4"/>
      <c r="N1739" s="4"/>
      <c r="O1739" s="4"/>
      <c r="P1739" s="4"/>
      <c r="Q1739" s="4"/>
      <c r="R1739" s="4"/>
      <c r="S1739" s="4">
        <v>0</v>
      </c>
      <c r="T1739" s="4">
        <v>0</v>
      </c>
      <c r="U1739" s="4">
        <v>0</v>
      </c>
      <c r="V1739" s="4">
        <v>12</v>
      </c>
      <c r="W1739" s="4">
        <v>12</v>
      </c>
      <c r="X1739" s="4">
        <v>0</v>
      </c>
      <c r="Y1739" s="4"/>
      <c r="Z1739" s="4">
        <v>97.87</v>
      </c>
      <c r="AA1739" s="4">
        <v>100</v>
      </c>
      <c r="AB1739" s="18"/>
      <c r="AC1739" s="18">
        <v>32</v>
      </c>
      <c r="AD1739" s="28"/>
      <c r="AE1739" s="26"/>
      <c r="AF1739" s="28"/>
    </row>
    <row r="1740" spans="1:32" ht="12.4" customHeight="1" x14ac:dyDescent="0.25">
      <c r="A1740" s="14">
        <v>45875</v>
      </c>
      <c r="B1740" s="14" t="s">
        <v>45</v>
      </c>
      <c r="C1740" s="16">
        <v>3</v>
      </c>
      <c r="D1740" s="16">
        <v>20</v>
      </c>
      <c r="E1740" s="16"/>
      <c r="F1740" s="16"/>
      <c r="G1740" s="16"/>
      <c r="H1740" s="16"/>
      <c r="I1740" s="4">
        <v>20</v>
      </c>
      <c r="J1740" s="4">
        <v>0.33333333333333331</v>
      </c>
      <c r="K1740" s="4"/>
      <c r="L1740" s="16"/>
      <c r="M1740" s="4"/>
      <c r="N1740" s="4"/>
      <c r="O1740" s="4"/>
      <c r="P1740" s="4"/>
      <c r="Q1740" s="4"/>
      <c r="R1740" s="4"/>
      <c r="S1740" s="4">
        <v>0</v>
      </c>
      <c r="T1740" s="4">
        <v>0</v>
      </c>
      <c r="U1740" s="4">
        <v>0.33333333333333331</v>
      </c>
      <c r="V1740" s="4">
        <v>11.666666666666666</v>
      </c>
      <c r="W1740" s="4">
        <v>12</v>
      </c>
      <c r="X1740" s="4">
        <v>0</v>
      </c>
      <c r="Y1740" s="4"/>
      <c r="Z1740" s="4">
        <v>243.73000000000002</v>
      </c>
      <c r="AA1740" s="4">
        <v>250</v>
      </c>
      <c r="AB1740" s="18"/>
      <c r="AC1740" s="18">
        <v>32</v>
      </c>
      <c r="AD1740" s="28"/>
      <c r="AE1740" s="26"/>
      <c r="AF1740" s="28"/>
    </row>
    <row r="1741" spans="1:32" ht="12.4" customHeight="1" x14ac:dyDescent="0.25">
      <c r="A1741" s="14">
        <v>45875</v>
      </c>
      <c r="B1741" s="14" t="s">
        <v>46</v>
      </c>
      <c r="C1741" s="16">
        <v>3</v>
      </c>
      <c r="D1741" s="16"/>
      <c r="E1741" s="16"/>
      <c r="F1741" s="16"/>
      <c r="G1741" s="16"/>
      <c r="H1741" s="16"/>
      <c r="I1741" s="4">
        <v>0</v>
      </c>
      <c r="J1741" s="4">
        <v>0</v>
      </c>
      <c r="K1741" s="4"/>
      <c r="L1741" s="16"/>
      <c r="M1741" s="4"/>
      <c r="N1741" s="4"/>
      <c r="O1741" s="4"/>
      <c r="P1741" s="4"/>
      <c r="Q1741" s="4"/>
      <c r="R1741" s="4"/>
      <c r="S1741" s="4">
        <v>0</v>
      </c>
      <c r="T1741" s="4">
        <v>0</v>
      </c>
      <c r="U1741" s="4">
        <v>0</v>
      </c>
      <c r="V1741" s="4">
        <v>12</v>
      </c>
      <c r="W1741" s="4">
        <v>12</v>
      </c>
      <c r="X1741" s="4">
        <v>0</v>
      </c>
      <c r="Y1741" s="4"/>
      <c r="Z1741" s="4">
        <v>282.27000000000004</v>
      </c>
      <c r="AA1741" s="4">
        <v>300</v>
      </c>
      <c r="AB1741" s="18"/>
      <c r="AC1741" s="18">
        <v>32</v>
      </c>
      <c r="AD1741" s="28"/>
      <c r="AE1741" s="26"/>
      <c r="AF1741" s="28"/>
    </row>
    <row r="1742" spans="1:32" ht="12.4" customHeight="1" x14ac:dyDescent="0.25">
      <c r="A1742" s="14">
        <v>45875</v>
      </c>
      <c r="B1742" s="14" t="s">
        <v>45</v>
      </c>
      <c r="C1742" s="16">
        <v>4</v>
      </c>
      <c r="D1742" s="16"/>
      <c r="E1742" s="16"/>
      <c r="F1742" s="16"/>
      <c r="G1742" s="16"/>
      <c r="H1742" s="16"/>
      <c r="I1742" s="4">
        <v>0</v>
      </c>
      <c r="J1742" s="4">
        <v>0</v>
      </c>
      <c r="K1742" s="4"/>
      <c r="L1742" s="16"/>
      <c r="M1742" s="4"/>
      <c r="N1742" s="4">
        <v>5</v>
      </c>
      <c r="O1742" s="4"/>
      <c r="P1742" s="4"/>
      <c r="Q1742" s="4"/>
      <c r="R1742" s="4"/>
      <c r="S1742" s="4">
        <v>5</v>
      </c>
      <c r="T1742" s="4">
        <v>8.3333333333333329E-2</v>
      </c>
      <c r="U1742" s="4">
        <v>8.3333333333333329E-2</v>
      </c>
      <c r="V1742" s="4">
        <v>11.916666666666666</v>
      </c>
      <c r="W1742" s="4">
        <v>12</v>
      </c>
      <c r="X1742" s="4">
        <v>0</v>
      </c>
      <c r="Y1742" s="4"/>
      <c r="Z1742" s="4">
        <v>718.3</v>
      </c>
      <c r="AA1742" s="4">
        <v>750</v>
      </c>
      <c r="AB1742" s="18"/>
      <c r="AC1742" s="18">
        <v>32</v>
      </c>
      <c r="AD1742" s="28"/>
      <c r="AE1742" s="26"/>
      <c r="AF1742" s="28"/>
    </row>
    <row r="1743" spans="1:32" ht="12.4" customHeight="1" x14ac:dyDescent="0.25">
      <c r="A1743" s="14">
        <v>45875</v>
      </c>
      <c r="B1743" s="14" t="s">
        <v>46</v>
      </c>
      <c r="C1743" s="16">
        <v>4</v>
      </c>
      <c r="D1743" s="16"/>
      <c r="E1743" s="16"/>
      <c r="F1743" s="16"/>
      <c r="G1743" s="16"/>
      <c r="H1743" s="16"/>
      <c r="I1743" s="4">
        <v>0</v>
      </c>
      <c r="J1743" s="4">
        <v>0</v>
      </c>
      <c r="K1743" s="4"/>
      <c r="L1743" s="16"/>
      <c r="M1743" s="4"/>
      <c r="N1743" s="4"/>
      <c r="O1743" s="4"/>
      <c r="P1743" s="4"/>
      <c r="Q1743" s="4"/>
      <c r="R1743" s="4"/>
      <c r="S1743" s="4">
        <v>0</v>
      </c>
      <c r="T1743" s="4">
        <v>0</v>
      </c>
      <c r="U1743" s="4">
        <v>0</v>
      </c>
      <c r="V1743" s="4">
        <v>12</v>
      </c>
      <c r="W1743" s="4">
        <v>12</v>
      </c>
      <c r="X1743" s="4">
        <v>0</v>
      </c>
      <c r="Y1743" s="4"/>
      <c r="Z1743" s="4">
        <v>738.3</v>
      </c>
      <c r="AA1743" s="4">
        <v>750</v>
      </c>
      <c r="AB1743" s="18"/>
      <c r="AC1743" s="18">
        <v>32</v>
      </c>
      <c r="AD1743" s="28"/>
      <c r="AE1743" s="26"/>
      <c r="AF1743" s="28"/>
    </row>
    <row r="1744" spans="1:32" ht="12.4" customHeight="1" x14ac:dyDescent="0.25">
      <c r="A1744" s="14">
        <v>45875</v>
      </c>
      <c r="B1744" s="14" t="s">
        <v>45</v>
      </c>
      <c r="C1744" s="16">
        <v>5</v>
      </c>
      <c r="D1744" s="16">
        <v>20</v>
      </c>
      <c r="E1744" s="16"/>
      <c r="F1744" s="16"/>
      <c r="G1744" s="16"/>
      <c r="H1744" s="16"/>
      <c r="I1744" s="4">
        <v>20</v>
      </c>
      <c r="J1744" s="4">
        <v>0.33333333333333331</v>
      </c>
      <c r="K1744" s="4"/>
      <c r="L1744" s="16"/>
      <c r="M1744" s="4"/>
      <c r="N1744" s="4"/>
      <c r="O1744" s="4"/>
      <c r="P1744" s="4"/>
      <c r="Q1744" s="4"/>
      <c r="R1744" s="4"/>
      <c r="S1744" s="4">
        <v>0</v>
      </c>
      <c r="T1744" s="4">
        <v>0</v>
      </c>
      <c r="U1744" s="4">
        <v>0.33333333333333331</v>
      </c>
      <c r="V1744" s="4">
        <v>11.666666666666666</v>
      </c>
      <c r="W1744" s="4">
        <v>12</v>
      </c>
      <c r="X1744" s="4">
        <v>0</v>
      </c>
      <c r="Y1744" s="4"/>
      <c r="Z1744" s="4">
        <v>479.38999999999993</v>
      </c>
      <c r="AA1744" s="4">
        <v>500</v>
      </c>
      <c r="AB1744" s="18"/>
      <c r="AC1744" s="18">
        <v>32</v>
      </c>
      <c r="AD1744" s="28"/>
      <c r="AE1744" s="26"/>
      <c r="AF1744" s="28"/>
    </row>
    <row r="1745" spans="1:32" ht="12.4" customHeight="1" x14ac:dyDescent="0.25">
      <c r="A1745" s="14">
        <v>45875</v>
      </c>
      <c r="B1745" s="14" t="s">
        <v>46</v>
      </c>
      <c r="C1745" s="16">
        <v>5</v>
      </c>
      <c r="D1745" s="16"/>
      <c r="E1745" s="16"/>
      <c r="F1745" s="16"/>
      <c r="G1745" s="16"/>
      <c r="H1745" s="16"/>
      <c r="I1745" s="4">
        <v>0</v>
      </c>
      <c r="J1745" s="4">
        <v>0</v>
      </c>
      <c r="K1745" s="4"/>
      <c r="L1745" s="16"/>
      <c r="M1745" s="4"/>
      <c r="N1745" s="4"/>
      <c r="O1745" s="4"/>
      <c r="P1745" s="4"/>
      <c r="Q1745" s="4"/>
      <c r="R1745" s="4"/>
      <c r="S1745" s="4">
        <v>0</v>
      </c>
      <c r="T1745" s="4">
        <v>0</v>
      </c>
      <c r="U1745" s="4">
        <v>0</v>
      </c>
      <c r="V1745" s="4">
        <v>12</v>
      </c>
      <c r="W1745" s="4">
        <v>12</v>
      </c>
      <c r="X1745" s="4">
        <v>0</v>
      </c>
      <c r="Y1745" s="4"/>
      <c r="Z1745" s="4">
        <v>509.30999999999995</v>
      </c>
      <c r="AA1745" s="4">
        <v>500</v>
      </c>
      <c r="AB1745" s="18"/>
      <c r="AC1745" s="18">
        <v>32</v>
      </c>
      <c r="AD1745" s="28"/>
      <c r="AE1745" s="26"/>
      <c r="AF1745" s="28"/>
    </row>
    <row r="1746" spans="1:32" ht="12.4" customHeight="1" x14ac:dyDescent="0.25">
      <c r="A1746" s="14">
        <v>45876</v>
      </c>
      <c r="B1746" s="14" t="s">
        <v>45</v>
      </c>
      <c r="C1746" s="16">
        <v>1</v>
      </c>
      <c r="D1746" s="16"/>
      <c r="E1746" s="16"/>
      <c r="F1746" s="16"/>
      <c r="G1746" s="16"/>
      <c r="H1746" s="16"/>
      <c r="I1746" s="4">
        <v>0</v>
      </c>
      <c r="J1746" s="4">
        <v>0</v>
      </c>
      <c r="K1746" s="4"/>
      <c r="L1746" s="16"/>
      <c r="M1746" s="4"/>
      <c r="N1746" s="4"/>
      <c r="O1746" s="4"/>
      <c r="P1746" s="4"/>
      <c r="Q1746" s="4"/>
      <c r="R1746" s="4"/>
      <c r="S1746" s="4">
        <v>0</v>
      </c>
      <c r="T1746" s="4">
        <v>0</v>
      </c>
      <c r="U1746" s="4">
        <v>0</v>
      </c>
      <c r="V1746" s="4">
        <v>12</v>
      </c>
      <c r="W1746" s="4">
        <v>12</v>
      </c>
      <c r="X1746" s="4">
        <v>18</v>
      </c>
      <c r="Y1746" s="4">
        <v>2026.5</v>
      </c>
      <c r="Z1746" s="4">
        <v>119.66000000000003</v>
      </c>
      <c r="AA1746" s="4">
        <v>100</v>
      </c>
      <c r="AB1746" s="18">
        <v>398</v>
      </c>
      <c r="AC1746" s="18">
        <v>32</v>
      </c>
      <c r="AD1746" s="28"/>
      <c r="AE1746" s="26"/>
      <c r="AF1746" s="28"/>
    </row>
    <row r="1747" spans="1:32" ht="12.4" customHeight="1" x14ac:dyDescent="0.25">
      <c r="A1747" s="14">
        <v>45876</v>
      </c>
      <c r="B1747" s="14" t="s">
        <v>46</v>
      </c>
      <c r="C1747" s="16">
        <v>1</v>
      </c>
      <c r="D1747" s="16"/>
      <c r="E1747" s="16"/>
      <c r="F1747" s="16"/>
      <c r="G1747" s="16"/>
      <c r="H1747" s="16"/>
      <c r="I1747" s="4">
        <v>0</v>
      </c>
      <c r="J1747" s="4">
        <v>0</v>
      </c>
      <c r="K1747" s="4"/>
      <c r="L1747" s="16"/>
      <c r="M1747" s="4"/>
      <c r="N1747" s="4"/>
      <c r="O1747" s="4"/>
      <c r="P1747" s="4"/>
      <c r="Q1747" s="4"/>
      <c r="R1747" s="4"/>
      <c r="S1747" s="4">
        <v>0</v>
      </c>
      <c r="T1747" s="4">
        <v>0</v>
      </c>
      <c r="U1747" s="4">
        <v>0</v>
      </c>
      <c r="V1747" s="4">
        <v>12</v>
      </c>
      <c r="W1747" s="4">
        <v>12</v>
      </c>
      <c r="X1747" s="4">
        <v>24</v>
      </c>
      <c r="Y1747" s="4"/>
      <c r="Z1747" s="4">
        <v>126.84000000000002</v>
      </c>
      <c r="AA1747" s="4">
        <v>150</v>
      </c>
      <c r="AB1747" s="18"/>
      <c r="AC1747" s="18">
        <v>32</v>
      </c>
      <c r="AD1747" s="28"/>
      <c r="AE1747" s="26"/>
      <c r="AF1747" s="28"/>
    </row>
    <row r="1748" spans="1:32" ht="12.4" customHeight="1" x14ac:dyDescent="0.25">
      <c r="A1748" s="14">
        <v>45876</v>
      </c>
      <c r="B1748" s="14" t="s">
        <v>45</v>
      </c>
      <c r="C1748" s="16">
        <v>2</v>
      </c>
      <c r="D1748" s="16"/>
      <c r="E1748" s="16"/>
      <c r="F1748" s="16"/>
      <c r="G1748" s="16"/>
      <c r="H1748" s="16"/>
      <c r="I1748" s="4">
        <v>0</v>
      </c>
      <c r="J1748" s="4">
        <v>0</v>
      </c>
      <c r="K1748" s="4"/>
      <c r="L1748" s="16"/>
      <c r="M1748" s="4"/>
      <c r="N1748" s="4"/>
      <c r="O1748" s="4"/>
      <c r="P1748" s="4"/>
      <c r="Q1748" s="4"/>
      <c r="R1748" s="4"/>
      <c r="S1748" s="4">
        <v>0</v>
      </c>
      <c r="T1748" s="4">
        <v>0</v>
      </c>
      <c r="U1748" s="4">
        <v>0</v>
      </c>
      <c r="V1748" s="4">
        <v>12</v>
      </c>
      <c r="W1748" s="4">
        <v>12</v>
      </c>
      <c r="X1748" s="4">
        <v>0</v>
      </c>
      <c r="Y1748" s="4"/>
      <c r="Z1748" s="4">
        <v>84.59</v>
      </c>
      <c r="AA1748" s="4">
        <v>100</v>
      </c>
      <c r="AB1748" s="18"/>
      <c r="AC1748" s="18">
        <v>32</v>
      </c>
      <c r="AD1748" s="28"/>
      <c r="AE1748" s="26"/>
      <c r="AF1748" s="28"/>
    </row>
    <row r="1749" spans="1:32" ht="12.4" customHeight="1" x14ac:dyDescent="0.25">
      <c r="A1749" s="14">
        <v>45876</v>
      </c>
      <c r="B1749" s="14" t="s">
        <v>46</v>
      </c>
      <c r="C1749" s="16">
        <v>2</v>
      </c>
      <c r="D1749" s="16"/>
      <c r="E1749" s="16"/>
      <c r="F1749" s="16"/>
      <c r="G1749" s="16"/>
      <c r="H1749" s="16"/>
      <c r="I1749" s="4">
        <v>0</v>
      </c>
      <c r="J1749" s="4">
        <v>0</v>
      </c>
      <c r="K1749" s="4"/>
      <c r="L1749" s="16"/>
      <c r="M1749" s="4"/>
      <c r="N1749" s="4"/>
      <c r="O1749" s="4"/>
      <c r="P1749" s="4"/>
      <c r="Q1749" s="4"/>
      <c r="R1749" s="4"/>
      <c r="S1749" s="4">
        <v>0</v>
      </c>
      <c r="T1749" s="4">
        <v>0</v>
      </c>
      <c r="U1749" s="4">
        <v>0</v>
      </c>
      <c r="V1749" s="4">
        <v>12</v>
      </c>
      <c r="W1749" s="4">
        <v>12</v>
      </c>
      <c r="X1749" s="4">
        <v>0</v>
      </c>
      <c r="Y1749" s="4"/>
      <c r="Z1749" s="4">
        <v>90.86</v>
      </c>
      <c r="AA1749" s="4">
        <v>100</v>
      </c>
      <c r="AB1749" s="18"/>
      <c r="AC1749" s="18">
        <v>32</v>
      </c>
      <c r="AD1749" s="28"/>
      <c r="AE1749" s="26"/>
      <c r="AF1749" s="28"/>
    </row>
    <row r="1750" spans="1:32" ht="12.4" customHeight="1" x14ac:dyDescent="0.25">
      <c r="A1750" s="14">
        <v>45876</v>
      </c>
      <c r="B1750" s="14" t="s">
        <v>45</v>
      </c>
      <c r="C1750" s="16">
        <v>3</v>
      </c>
      <c r="D1750" s="16"/>
      <c r="E1750" s="16"/>
      <c r="F1750" s="16"/>
      <c r="G1750" s="16"/>
      <c r="H1750" s="16"/>
      <c r="I1750" s="4">
        <v>0</v>
      </c>
      <c r="J1750" s="4">
        <v>0</v>
      </c>
      <c r="K1750" s="4"/>
      <c r="L1750" s="16"/>
      <c r="M1750" s="4"/>
      <c r="N1750" s="4"/>
      <c r="O1750" s="4"/>
      <c r="P1750" s="4"/>
      <c r="Q1750" s="4"/>
      <c r="R1750" s="4"/>
      <c r="S1750" s="4">
        <v>0</v>
      </c>
      <c r="T1750" s="4">
        <v>0</v>
      </c>
      <c r="U1750" s="4">
        <v>0</v>
      </c>
      <c r="V1750" s="4">
        <v>12</v>
      </c>
      <c r="W1750" s="4">
        <v>12</v>
      </c>
      <c r="X1750" s="4">
        <v>0</v>
      </c>
      <c r="Y1750" s="4"/>
      <c r="Z1750" s="4">
        <v>255.89</v>
      </c>
      <c r="AA1750" s="4">
        <v>250</v>
      </c>
      <c r="AB1750" s="18"/>
      <c r="AC1750" s="18">
        <v>32</v>
      </c>
      <c r="AD1750" s="28"/>
      <c r="AE1750" s="26"/>
      <c r="AF1750" s="28"/>
    </row>
    <row r="1751" spans="1:32" ht="12.4" customHeight="1" x14ac:dyDescent="0.25">
      <c r="A1751" s="14">
        <v>45876</v>
      </c>
      <c r="B1751" s="14" t="s">
        <v>46</v>
      </c>
      <c r="C1751" s="16">
        <v>3</v>
      </c>
      <c r="D1751" s="16">
        <v>20</v>
      </c>
      <c r="E1751" s="16"/>
      <c r="F1751" s="16"/>
      <c r="G1751" s="16"/>
      <c r="H1751" s="16"/>
      <c r="I1751" s="4">
        <v>20</v>
      </c>
      <c r="J1751" s="4">
        <v>0.33333333333333331</v>
      </c>
      <c r="K1751" s="4"/>
      <c r="L1751" s="16"/>
      <c r="M1751" s="4"/>
      <c r="N1751" s="4"/>
      <c r="O1751" s="4"/>
      <c r="P1751" s="4"/>
      <c r="Q1751" s="4"/>
      <c r="R1751" s="4"/>
      <c r="S1751" s="4">
        <v>0</v>
      </c>
      <c r="T1751" s="4">
        <v>0</v>
      </c>
      <c r="U1751" s="4">
        <v>0.33333333333333331</v>
      </c>
      <c r="V1751" s="4">
        <v>11.666666666666666</v>
      </c>
      <c r="W1751" s="4">
        <v>12</v>
      </c>
      <c r="X1751" s="4">
        <v>0</v>
      </c>
      <c r="Y1751" s="4"/>
      <c r="Z1751" s="4">
        <v>250.76</v>
      </c>
      <c r="AA1751" s="4">
        <v>250</v>
      </c>
      <c r="AB1751" s="18"/>
      <c r="AC1751" s="18">
        <v>32</v>
      </c>
      <c r="AD1751" s="28"/>
      <c r="AE1751" s="26"/>
      <c r="AF1751" s="28"/>
    </row>
    <row r="1752" spans="1:32" ht="12.4" customHeight="1" x14ac:dyDescent="0.25">
      <c r="A1752" s="14">
        <v>45876</v>
      </c>
      <c r="B1752" s="14" t="s">
        <v>45</v>
      </c>
      <c r="C1752" s="16">
        <v>4</v>
      </c>
      <c r="D1752" s="16">
        <v>20</v>
      </c>
      <c r="E1752" s="16"/>
      <c r="F1752" s="16"/>
      <c r="G1752" s="16"/>
      <c r="H1752" s="16"/>
      <c r="I1752" s="4">
        <v>20</v>
      </c>
      <c r="J1752" s="4">
        <v>0.33333333333333331</v>
      </c>
      <c r="K1752" s="4"/>
      <c r="L1752" s="16"/>
      <c r="M1752" s="4"/>
      <c r="N1752" s="4"/>
      <c r="O1752" s="4"/>
      <c r="P1752" s="4"/>
      <c r="Q1752" s="4"/>
      <c r="R1752" s="4"/>
      <c r="S1752" s="4">
        <v>0</v>
      </c>
      <c r="T1752" s="4">
        <v>0</v>
      </c>
      <c r="U1752" s="4">
        <v>0.33333333333333331</v>
      </c>
      <c r="V1752" s="4">
        <v>11.666666666666666</v>
      </c>
      <c r="W1752" s="4">
        <v>12</v>
      </c>
      <c r="X1752" s="4">
        <v>0</v>
      </c>
      <c r="Y1752" s="4"/>
      <c r="Z1752" s="4">
        <v>691.63</v>
      </c>
      <c r="AA1752" s="4">
        <v>700</v>
      </c>
      <c r="AB1752" s="18"/>
      <c r="AC1752" s="18">
        <v>32</v>
      </c>
      <c r="AD1752" s="28"/>
      <c r="AE1752" s="26"/>
      <c r="AF1752" s="28"/>
    </row>
    <row r="1753" spans="1:32" ht="12.4" customHeight="1" x14ac:dyDescent="0.25">
      <c r="A1753" s="14">
        <v>45876</v>
      </c>
      <c r="B1753" s="14" t="s">
        <v>46</v>
      </c>
      <c r="C1753" s="16">
        <v>4</v>
      </c>
      <c r="D1753" s="16">
        <v>20</v>
      </c>
      <c r="E1753" s="16"/>
      <c r="F1753" s="16"/>
      <c r="G1753" s="16"/>
      <c r="H1753" s="16"/>
      <c r="I1753" s="4">
        <v>20</v>
      </c>
      <c r="J1753" s="4">
        <v>0.33333333333333331</v>
      </c>
      <c r="K1753" s="4"/>
      <c r="L1753" s="16"/>
      <c r="M1753" s="4"/>
      <c r="N1753" s="4"/>
      <c r="O1753" s="4"/>
      <c r="P1753" s="4"/>
      <c r="Q1753" s="4"/>
      <c r="R1753" s="4"/>
      <c r="S1753" s="4">
        <v>0</v>
      </c>
      <c r="T1753" s="4">
        <v>0</v>
      </c>
      <c r="U1753" s="4">
        <v>0.33333333333333331</v>
      </c>
      <c r="V1753" s="4">
        <v>11.666666666666666</v>
      </c>
      <c r="W1753" s="4">
        <v>12</v>
      </c>
      <c r="X1753" s="4">
        <v>0</v>
      </c>
      <c r="Y1753" s="4"/>
      <c r="Z1753" s="4">
        <v>732.14</v>
      </c>
      <c r="AA1753" s="4">
        <v>750</v>
      </c>
      <c r="AB1753" s="18"/>
      <c r="AC1753" s="18">
        <v>32</v>
      </c>
      <c r="AD1753" s="28"/>
      <c r="AE1753" s="26"/>
      <c r="AF1753" s="28"/>
    </row>
    <row r="1754" spans="1:32" ht="12.4" customHeight="1" x14ac:dyDescent="0.25">
      <c r="A1754" s="14">
        <v>45876</v>
      </c>
      <c r="B1754" s="14" t="s">
        <v>45</v>
      </c>
      <c r="C1754" s="16">
        <v>5</v>
      </c>
      <c r="D1754" s="16"/>
      <c r="E1754" s="16"/>
      <c r="F1754" s="16"/>
      <c r="G1754" s="16"/>
      <c r="H1754" s="16"/>
      <c r="I1754" s="4">
        <v>0</v>
      </c>
      <c r="J1754" s="4">
        <v>0</v>
      </c>
      <c r="K1754" s="4"/>
      <c r="L1754" s="16"/>
      <c r="M1754" s="4"/>
      <c r="N1754" s="4"/>
      <c r="O1754" s="4"/>
      <c r="P1754" s="4"/>
      <c r="Q1754" s="4"/>
      <c r="R1754" s="4"/>
      <c r="S1754" s="4">
        <v>0</v>
      </c>
      <c r="T1754" s="4">
        <v>0</v>
      </c>
      <c r="U1754" s="4">
        <v>0</v>
      </c>
      <c r="V1754" s="4">
        <v>12</v>
      </c>
      <c r="W1754" s="4">
        <v>12</v>
      </c>
      <c r="X1754" s="4">
        <v>0</v>
      </c>
      <c r="Y1754" s="4"/>
      <c r="Z1754" s="4">
        <v>555.55999999999995</v>
      </c>
      <c r="AA1754" s="4">
        <v>550</v>
      </c>
      <c r="AB1754" s="18"/>
      <c r="AC1754" s="18">
        <v>32</v>
      </c>
      <c r="AD1754" s="28"/>
      <c r="AE1754" s="26"/>
      <c r="AF1754" s="28"/>
    </row>
    <row r="1755" spans="1:32" ht="12.4" customHeight="1" x14ac:dyDescent="0.25">
      <c r="A1755" s="14">
        <v>45876</v>
      </c>
      <c r="B1755" s="14" t="s">
        <v>46</v>
      </c>
      <c r="C1755" s="16">
        <v>5</v>
      </c>
      <c r="D1755" s="16">
        <v>20</v>
      </c>
      <c r="E1755" s="16"/>
      <c r="F1755" s="16"/>
      <c r="G1755" s="16"/>
      <c r="H1755" s="16"/>
      <c r="I1755" s="4">
        <v>20</v>
      </c>
      <c r="J1755" s="4">
        <v>0.33333333333333331</v>
      </c>
      <c r="K1755" s="4"/>
      <c r="L1755" s="16"/>
      <c r="M1755" s="4"/>
      <c r="N1755" s="4"/>
      <c r="O1755" s="4"/>
      <c r="P1755" s="4"/>
      <c r="Q1755" s="4"/>
      <c r="R1755" s="4"/>
      <c r="S1755" s="4">
        <v>0</v>
      </c>
      <c r="T1755" s="4">
        <v>0</v>
      </c>
      <c r="U1755" s="4">
        <v>0.33333333333333331</v>
      </c>
      <c r="V1755" s="4">
        <v>11.666666666666666</v>
      </c>
      <c r="W1755" s="4">
        <v>12</v>
      </c>
      <c r="X1755" s="4">
        <v>0</v>
      </c>
      <c r="Y1755" s="4"/>
      <c r="Z1755" s="4">
        <v>615.41000000000008</v>
      </c>
      <c r="AA1755" s="4">
        <v>650</v>
      </c>
      <c r="AB1755" s="18"/>
      <c r="AC1755" s="18">
        <v>32</v>
      </c>
      <c r="AD1755" s="28"/>
      <c r="AE1755" s="26"/>
      <c r="AF1755" s="28"/>
    </row>
    <row r="1756" spans="1:32" ht="12.4" customHeight="1" x14ac:dyDescent="0.25">
      <c r="A1756" s="14">
        <v>45877</v>
      </c>
      <c r="B1756" s="14" t="s">
        <v>45</v>
      </c>
      <c r="C1756" s="16">
        <v>1</v>
      </c>
      <c r="D1756" s="16"/>
      <c r="E1756" s="16"/>
      <c r="F1756" s="16"/>
      <c r="G1756" s="16"/>
      <c r="H1756" s="16"/>
      <c r="I1756" s="4">
        <v>0</v>
      </c>
      <c r="J1756" s="4">
        <v>0</v>
      </c>
      <c r="K1756" s="4"/>
      <c r="L1756" s="16"/>
      <c r="M1756" s="4"/>
      <c r="N1756" s="4"/>
      <c r="O1756" s="4"/>
      <c r="P1756" s="4"/>
      <c r="Q1756" s="4"/>
      <c r="R1756" s="4"/>
      <c r="S1756" s="4">
        <v>0</v>
      </c>
      <c r="T1756" s="4">
        <v>0</v>
      </c>
      <c r="U1756" s="4">
        <v>0</v>
      </c>
      <c r="V1756" s="4">
        <v>12</v>
      </c>
      <c r="W1756" s="4">
        <v>12</v>
      </c>
      <c r="X1756" s="4">
        <v>23</v>
      </c>
      <c r="Y1756" s="4">
        <v>2012</v>
      </c>
      <c r="Z1756" s="4">
        <v>127.21000000000001</v>
      </c>
      <c r="AA1756" s="4">
        <v>150</v>
      </c>
      <c r="AB1756" s="18">
        <v>398</v>
      </c>
      <c r="AC1756" s="18">
        <v>32</v>
      </c>
      <c r="AD1756" s="28"/>
      <c r="AE1756" s="26"/>
      <c r="AF1756" s="28"/>
    </row>
    <row r="1757" spans="1:32" ht="12.4" customHeight="1" x14ac:dyDescent="0.25">
      <c r="A1757" s="14">
        <v>45877</v>
      </c>
      <c r="B1757" s="14" t="s">
        <v>46</v>
      </c>
      <c r="C1757" s="16">
        <v>1</v>
      </c>
      <c r="D1757" s="16"/>
      <c r="E1757" s="16"/>
      <c r="F1757" s="16"/>
      <c r="G1757" s="16"/>
      <c r="H1757" s="16"/>
      <c r="I1757" s="4">
        <v>0</v>
      </c>
      <c r="J1757" s="4">
        <v>0</v>
      </c>
      <c r="K1757" s="4"/>
      <c r="L1757" s="16"/>
      <c r="M1757" s="4"/>
      <c r="N1757" s="4"/>
      <c r="O1757" s="4"/>
      <c r="P1757" s="4"/>
      <c r="Q1757" s="4"/>
      <c r="R1757" s="4"/>
      <c r="S1757" s="4">
        <v>0</v>
      </c>
      <c r="T1757" s="4">
        <v>0</v>
      </c>
      <c r="U1757" s="4">
        <v>0</v>
      </c>
      <c r="V1757" s="4">
        <v>12</v>
      </c>
      <c r="W1757" s="4">
        <v>12</v>
      </c>
      <c r="X1757" s="4">
        <v>22</v>
      </c>
      <c r="Y1757" s="4"/>
      <c r="Z1757" s="4">
        <v>122.95</v>
      </c>
      <c r="AA1757" s="4">
        <v>100</v>
      </c>
      <c r="AB1757" s="18"/>
      <c r="AC1757" s="18">
        <v>32</v>
      </c>
      <c r="AD1757" s="28"/>
      <c r="AE1757" s="26"/>
      <c r="AF1757" s="28"/>
    </row>
    <row r="1758" spans="1:32" ht="12.4" customHeight="1" x14ac:dyDescent="0.25">
      <c r="A1758" s="14">
        <v>45877</v>
      </c>
      <c r="B1758" s="14" t="s">
        <v>45</v>
      </c>
      <c r="C1758" s="16">
        <v>2</v>
      </c>
      <c r="D1758" s="16"/>
      <c r="E1758" s="16"/>
      <c r="F1758" s="16"/>
      <c r="G1758" s="16"/>
      <c r="H1758" s="16"/>
      <c r="I1758" s="4">
        <v>0</v>
      </c>
      <c r="J1758" s="4">
        <v>0</v>
      </c>
      <c r="K1758" s="4"/>
      <c r="L1758" s="16"/>
      <c r="M1758" s="4"/>
      <c r="N1758" s="4"/>
      <c r="O1758" s="4"/>
      <c r="P1758" s="4"/>
      <c r="Q1758" s="4"/>
      <c r="R1758" s="4"/>
      <c r="S1758" s="4">
        <v>0</v>
      </c>
      <c r="T1758" s="4">
        <v>0</v>
      </c>
      <c r="U1758" s="4">
        <v>0</v>
      </c>
      <c r="V1758" s="4">
        <v>12</v>
      </c>
      <c r="W1758" s="4">
        <v>12</v>
      </c>
      <c r="X1758" s="4">
        <v>0</v>
      </c>
      <c r="Y1758" s="4"/>
      <c r="Z1758" s="4">
        <v>101.85000000000001</v>
      </c>
      <c r="AA1758" s="4">
        <v>100</v>
      </c>
      <c r="AB1758" s="18"/>
      <c r="AC1758" s="18">
        <v>32</v>
      </c>
      <c r="AD1758" s="28"/>
      <c r="AE1758" s="26"/>
      <c r="AF1758" s="28"/>
    </row>
    <row r="1759" spans="1:32" ht="12.4" customHeight="1" x14ac:dyDescent="0.25">
      <c r="A1759" s="14">
        <v>45877</v>
      </c>
      <c r="B1759" s="14" t="s">
        <v>46</v>
      </c>
      <c r="C1759" s="16">
        <v>2</v>
      </c>
      <c r="D1759" s="16"/>
      <c r="E1759" s="16"/>
      <c r="F1759" s="16"/>
      <c r="G1759" s="16"/>
      <c r="H1759" s="16"/>
      <c r="I1759" s="4">
        <v>0</v>
      </c>
      <c r="J1759" s="4">
        <v>0</v>
      </c>
      <c r="K1759" s="4"/>
      <c r="L1759" s="16"/>
      <c r="M1759" s="4"/>
      <c r="N1759" s="4"/>
      <c r="O1759" s="4"/>
      <c r="P1759" s="4"/>
      <c r="Q1759" s="4"/>
      <c r="R1759" s="4"/>
      <c r="S1759" s="4">
        <v>0</v>
      </c>
      <c r="T1759" s="4">
        <v>0</v>
      </c>
      <c r="U1759" s="4">
        <v>0</v>
      </c>
      <c r="V1759" s="4">
        <v>12</v>
      </c>
      <c r="W1759" s="4">
        <v>12</v>
      </c>
      <c r="X1759" s="4">
        <v>0</v>
      </c>
      <c r="Y1759" s="4"/>
      <c r="Z1759" s="4">
        <v>95.73</v>
      </c>
      <c r="AA1759" s="4">
        <v>100</v>
      </c>
      <c r="AB1759" s="18"/>
      <c r="AC1759" s="18">
        <v>32</v>
      </c>
      <c r="AD1759" s="28"/>
      <c r="AE1759" s="26"/>
      <c r="AF1759" s="28"/>
    </row>
    <row r="1760" spans="1:32" ht="12.4" customHeight="1" x14ac:dyDescent="0.25">
      <c r="A1760" s="14">
        <v>45877</v>
      </c>
      <c r="B1760" s="14" t="s">
        <v>45</v>
      </c>
      <c r="C1760" s="16">
        <v>3</v>
      </c>
      <c r="D1760" s="16"/>
      <c r="E1760" s="16"/>
      <c r="F1760" s="16"/>
      <c r="G1760" s="16"/>
      <c r="H1760" s="16"/>
      <c r="I1760" s="4">
        <v>0</v>
      </c>
      <c r="J1760" s="4">
        <v>0</v>
      </c>
      <c r="K1760" s="4"/>
      <c r="L1760" s="16"/>
      <c r="M1760" s="4"/>
      <c r="N1760" s="4"/>
      <c r="O1760" s="4"/>
      <c r="P1760" s="4"/>
      <c r="Q1760" s="4"/>
      <c r="R1760" s="4"/>
      <c r="S1760" s="4">
        <v>0</v>
      </c>
      <c r="T1760" s="4">
        <v>0</v>
      </c>
      <c r="U1760" s="4">
        <v>0</v>
      </c>
      <c r="V1760" s="4">
        <v>12</v>
      </c>
      <c r="W1760" s="4">
        <v>12</v>
      </c>
      <c r="X1760" s="4">
        <v>0</v>
      </c>
      <c r="Y1760" s="4"/>
      <c r="Z1760" s="4">
        <v>247.41</v>
      </c>
      <c r="AA1760" s="4">
        <v>250</v>
      </c>
      <c r="AB1760" s="18"/>
      <c r="AC1760" s="18">
        <v>32</v>
      </c>
      <c r="AD1760" s="28"/>
      <c r="AE1760" s="26"/>
      <c r="AF1760" s="28"/>
    </row>
    <row r="1761" spans="1:32" ht="12.4" customHeight="1" x14ac:dyDescent="0.25">
      <c r="A1761" s="14">
        <v>45877</v>
      </c>
      <c r="B1761" s="14" t="s">
        <v>46</v>
      </c>
      <c r="C1761" s="16">
        <v>3</v>
      </c>
      <c r="D1761" s="16"/>
      <c r="E1761" s="16"/>
      <c r="F1761" s="16"/>
      <c r="G1761" s="16"/>
      <c r="H1761" s="16"/>
      <c r="I1761" s="4">
        <v>0</v>
      </c>
      <c r="J1761" s="4">
        <v>0</v>
      </c>
      <c r="K1761" s="4"/>
      <c r="L1761" s="16"/>
      <c r="M1761" s="4"/>
      <c r="N1761" s="4"/>
      <c r="O1761" s="4"/>
      <c r="P1761" s="4"/>
      <c r="Q1761" s="4"/>
      <c r="R1761" s="4"/>
      <c r="S1761" s="4">
        <v>0</v>
      </c>
      <c r="T1761" s="4">
        <v>0</v>
      </c>
      <c r="U1761" s="4">
        <v>0</v>
      </c>
      <c r="V1761" s="4">
        <v>12</v>
      </c>
      <c r="W1761" s="4">
        <v>12</v>
      </c>
      <c r="X1761" s="4">
        <v>0</v>
      </c>
      <c r="Y1761" s="4"/>
      <c r="Z1761" s="4">
        <v>227.05999999999997</v>
      </c>
      <c r="AA1761" s="4">
        <v>200</v>
      </c>
      <c r="AB1761" s="18"/>
      <c r="AC1761" s="18">
        <v>32</v>
      </c>
      <c r="AD1761" s="28"/>
      <c r="AE1761" s="26"/>
      <c r="AF1761" s="28"/>
    </row>
    <row r="1762" spans="1:32" ht="12.4" customHeight="1" x14ac:dyDescent="0.25">
      <c r="A1762" s="14">
        <v>45877</v>
      </c>
      <c r="B1762" s="14" t="s">
        <v>45</v>
      </c>
      <c r="C1762" s="16">
        <v>4</v>
      </c>
      <c r="D1762" s="16"/>
      <c r="E1762" s="16"/>
      <c r="F1762" s="16"/>
      <c r="G1762" s="16"/>
      <c r="H1762" s="16"/>
      <c r="I1762" s="4">
        <v>0</v>
      </c>
      <c r="J1762" s="4">
        <v>0</v>
      </c>
      <c r="K1762" s="4"/>
      <c r="L1762" s="16"/>
      <c r="M1762" s="4"/>
      <c r="N1762" s="4">
        <v>10</v>
      </c>
      <c r="O1762" s="4"/>
      <c r="P1762" s="4"/>
      <c r="Q1762" s="4"/>
      <c r="R1762" s="4"/>
      <c r="S1762" s="4">
        <v>10</v>
      </c>
      <c r="T1762" s="4">
        <v>0.16666666666666666</v>
      </c>
      <c r="U1762" s="4">
        <v>0.16666666666666666</v>
      </c>
      <c r="V1762" s="4">
        <v>11.833333333333334</v>
      </c>
      <c r="W1762" s="4">
        <v>12</v>
      </c>
      <c r="X1762" s="4">
        <v>0</v>
      </c>
      <c r="Y1762" s="4"/>
      <c r="Z1762" s="4">
        <v>632.74</v>
      </c>
      <c r="AA1762" s="4">
        <v>650</v>
      </c>
      <c r="AB1762" s="18"/>
      <c r="AC1762" s="18">
        <v>32</v>
      </c>
      <c r="AD1762" s="28"/>
      <c r="AE1762" s="26"/>
      <c r="AF1762" s="28"/>
    </row>
    <row r="1763" spans="1:32" ht="12.4" customHeight="1" x14ac:dyDescent="0.25">
      <c r="A1763" s="14">
        <v>45877</v>
      </c>
      <c r="B1763" s="14" t="s">
        <v>46</v>
      </c>
      <c r="C1763" s="16">
        <v>4</v>
      </c>
      <c r="D1763" s="16">
        <v>20</v>
      </c>
      <c r="E1763" s="16"/>
      <c r="F1763" s="16"/>
      <c r="G1763" s="16"/>
      <c r="H1763" s="16"/>
      <c r="I1763" s="4">
        <v>20</v>
      </c>
      <c r="J1763" s="4">
        <v>0.33333333333333331</v>
      </c>
      <c r="K1763" s="4"/>
      <c r="L1763" s="16"/>
      <c r="M1763" s="4"/>
      <c r="N1763" s="4"/>
      <c r="O1763" s="4"/>
      <c r="P1763" s="4"/>
      <c r="Q1763" s="4"/>
      <c r="R1763" s="4"/>
      <c r="S1763" s="4">
        <v>0</v>
      </c>
      <c r="T1763" s="4">
        <v>0</v>
      </c>
      <c r="U1763" s="4">
        <v>0.33333333333333331</v>
      </c>
      <c r="V1763" s="4">
        <v>11.666666666666666</v>
      </c>
      <c r="W1763" s="4">
        <v>12</v>
      </c>
      <c r="X1763" s="4">
        <v>0</v>
      </c>
      <c r="Y1763" s="4"/>
      <c r="Z1763" s="4">
        <v>647.55999999999995</v>
      </c>
      <c r="AA1763" s="4">
        <v>650</v>
      </c>
      <c r="AB1763" s="18"/>
      <c r="AC1763" s="18">
        <v>32</v>
      </c>
      <c r="AD1763" s="28"/>
      <c r="AE1763" s="26"/>
      <c r="AF1763" s="28"/>
    </row>
    <row r="1764" spans="1:32" ht="12.4" customHeight="1" x14ac:dyDescent="0.25">
      <c r="A1764" s="14">
        <v>45877</v>
      </c>
      <c r="B1764" s="14" t="s">
        <v>45</v>
      </c>
      <c r="C1764" s="16">
        <v>5</v>
      </c>
      <c r="D1764" s="16"/>
      <c r="E1764" s="16"/>
      <c r="F1764" s="16"/>
      <c r="G1764" s="16"/>
      <c r="H1764" s="16"/>
      <c r="I1764" s="4">
        <v>0</v>
      </c>
      <c r="J1764" s="4">
        <v>0</v>
      </c>
      <c r="K1764" s="4"/>
      <c r="L1764" s="16"/>
      <c r="M1764" s="4"/>
      <c r="N1764" s="4"/>
      <c r="O1764" s="4"/>
      <c r="P1764" s="4"/>
      <c r="Q1764" s="4"/>
      <c r="R1764" s="4"/>
      <c r="S1764" s="4">
        <v>0</v>
      </c>
      <c r="T1764" s="4">
        <v>0</v>
      </c>
      <c r="U1764" s="4">
        <v>0</v>
      </c>
      <c r="V1764" s="4">
        <v>12</v>
      </c>
      <c r="W1764" s="4">
        <v>12</v>
      </c>
      <c r="X1764" s="4">
        <v>0</v>
      </c>
      <c r="Y1764" s="4"/>
      <c r="Z1764" s="4">
        <v>574.49</v>
      </c>
      <c r="AA1764" s="4">
        <v>600</v>
      </c>
      <c r="AB1764" s="18"/>
      <c r="AC1764" s="18">
        <v>32</v>
      </c>
      <c r="AD1764" s="28"/>
      <c r="AE1764" s="26"/>
      <c r="AF1764" s="28"/>
    </row>
    <row r="1765" spans="1:32" ht="12.4" customHeight="1" x14ac:dyDescent="0.25">
      <c r="A1765" s="14">
        <v>45877</v>
      </c>
      <c r="B1765" s="14" t="s">
        <v>46</v>
      </c>
      <c r="C1765" s="16">
        <v>5</v>
      </c>
      <c r="D1765" s="16">
        <v>20</v>
      </c>
      <c r="E1765" s="16"/>
      <c r="F1765" s="16"/>
      <c r="G1765" s="16"/>
      <c r="H1765" s="16"/>
      <c r="I1765" s="4">
        <v>20</v>
      </c>
      <c r="J1765" s="4">
        <v>0.33333333333333331</v>
      </c>
      <c r="K1765" s="4"/>
      <c r="L1765" s="16"/>
      <c r="M1765" s="4"/>
      <c r="N1765" s="4"/>
      <c r="O1765" s="4"/>
      <c r="P1765" s="4"/>
      <c r="Q1765" s="4"/>
      <c r="R1765" s="4"/>
      <c r="S1765" s="4">
        <v>0</v>
      </c>
      <c r="T1765" s="4">
        <v>0</v>
      </c>
      <c r="U1765" s="4">
        <v>0.33333333333333331</v>
      </c>
      <c r="V1765" s="4">
        <v>11.666666666666666</v>
      </c>
      <c r="W1765" s="4">
        <v>12</v>
      </c>
      <c r="X1765" s="4">
        <v>0</v>
      </c>
      <c r="Y1765" s="4"/>
      <c r="Z1765" s="4">
        <v>498.88</v>
      </c>
      <c r="AA1765" s="4">
        <v>500</v>
      </c>
      <c r="AB1765" s="18"/>
      <c r="AC1765" s="18">
        <v>32</v>
      </c>
      <c r="AD1765" s="28"/>
      <c r="AE1765" s="26"/>
      <c r="AF1765" s="28"/>
    </row>
    <row r="1766" spans="1:32" ht="12.4" customHeight="1" x14ac:dyDescent="0.25">
      <c r="A1766" s="14">
        <v>45878</v>
      </c>
      <c r="B1766" s="14" t="s">
        <v>45</v>
      </c>
      <c r="C1766" s="16">
        <v>1</v>
      </c>
      <c r="D1766" s="16"/>
      <c r="E1766" s="16"/>
      <c r="F1766" s="16"/>
      <c r="G1766" s="16"/>
      <c r="H1766" s="16"/>
      <c r="I1766" s="4">
        <v>0</v>
      </c>
      <c r="J1766" s="4">
        <v>0</v>
      </c>
      <c r="K1766" s="4"/>
      <c r="L1766" s="16"/>
      <c r="M1766" s="4"/>
      <c r="N1766" s="4"/>
      <c r="O1766" s="4"/>
      <c r="P1766" s="4"/>
      <c r="Q1766" s="4"/>
      <c r="R1766" s="4"/>
      <c r="S1766" s="4">
        <v>0</v>
      </c>
      <c r="T1766" s="4">
        <v>0</v>
      </c>
      <c r="U1766" s="4">
        <v>0</v>
      </c>
      <c r="V1766" s="4">
        <v>12</v>
      </c>
      <c r="W1766" s="4">
        <v>12</v>
      </c>
      <c r="X1766" s="4">
        <v>12.5</v>
      </c>
      <c r="Y1766" s="4">
        <v>1959</v>
      </c>
      <c r="Z1766" s="4">
        <v>133.72999999999999</v>
      </c>
      <c r="AA1766" s="4">
        <v>150</v>
      </c>
      <c r="AB1766" s="18">
        <v>398</v>
      </c>
      <c r="AC1766" s="18">
        <v>32</v>
      </c>
      <c r="AD1766" s="28"/>
      <c r="AE1766" s="26"/>
      <c r="AF1766" s="28"/>
    </row>
    <row r="1767" spans="1:32" ht="12.4" customHeight="1" x14ac:dyDescent="0.25">
      <c r="A1767" s="14">
        <v>45878</v>
      </c>
      <c r="B1767" s="14" t="s">
        <v>46</v>
      </c>
      <c r="C1767" s="16">
        <v>1</v>
      </c>
      <c r="D1767" s="16">
        <v>15</v>
      </c>
      <c r="E1767" s="16"/>
      <c r="F1767" s="16"/>
      <c r="G1767" s="16"/>
      <c r="H1767" s="16"/>
      <c r="I1767" s="4">
        <v>15</v>
      </c>
      <c r="J1767" s="4">
        <v>0.25</v>
      </c>
      <c r="K1767" s="4"/>
      <c r="L1767" s="16"/>
      <c r="M1767" s="4"/>
      <c r="N1767" s="4"/>
      <c r="O1767" s="4"/>
      <c r="P1767" s="4"/>
      <c r="Q1767" s="4"/>
      <c r="R1767" s="4"/>
      <c r="S1767" s="4">
        <v>0</v>
      </c>
      <c r="T1767" s="4">
        <v>0</v>
      </c>
      <c r="U1767" s="4">
        <v>0.25</v>
      </c>
      <c r="V1767" s="4">
        <v>11.75</v>
      </c>
      <c r="W1767" s="4">
        <v>12</v>
      </c>
      <c r="X1767" s="4">
        <v>30</v>
      </c>
      <c r="Y1767" s="4"/>
      <c r="Z1767" s="4">
        <v>124.07999999999998</v>
      </c>
      <c r="AA1767" s="4">
        <v>150</v>
      </c>
      <c r="AB1767" s="18"/>
      <c r="AC1767" s="18">
        <v>32</v>
      </c>
      <c r="AD1767" s="28"/>
      <c r="AE1767" s="26"/>
      <c r="AF1767" s="28"/>
    </row>
    <row r="1768" spans="1:32" ht="12.4" customHeight="1" x14ac:dyDescent="0.25">
      <c r="A1768" s="14">
        <v>45878</v>
      </c>
      <c r="B1768" s="14" t="s">
        <v>45</v>
      </c>
      <c r="C1768" s="16">
        <v>2</v>
      </c>
      <c r="D1768" s="16"/>
      <c r="E1768" s="16"/>
      <c r="F1768" s="16"/>
      <c r="G1768" s="16"/>
      <c r="H1768" s="16"/>
      <c r="I1768" s="4">
        <v>0</v>
      </c>
      <c r="J1768" s="4">
        <v>0</v>
      </c>
      <c r="K1768" s="4"/>
      <c r="L1768" s="16"/>
      <c r="M1768" s="4"/>
      <c r="N1768" s="4"/>
      <c r="O1768" s="4"/>
      <c r="P1768" s="4"/>
      <c r="Q1768" s="4"/>
      <c r="R1768" s="4"/>
      <c r="S1768" s="4">
        <v>0</v>
      </c>
      <c r="T1768" s="4">
        <v>0</v>
      </c>
      <c r="U1768" s="4">
        <v>0</v>
      </c>
      <c r="V1768" s="4">
        <v>12</v>
      </c>
      <c r="W1768" s="4">
        <v>12</v>
      </c>
      <c r="X1768" s="4">
        <v>0</v>
      </c>
      <c r="Y1768" s="4"/>
      <c r="Z1768" s="4">
        <v>98.029999999999987</v>
      </c>
      <c r="AA1768" s="4">
        <v>100</v>
      </c>
      <c r="AB1768" s="18"/>
      <c r="AC1768" s="18">
        <v>32</v>
      </c>
      <c r="AD1768" s="28"/>
      <c r="AE1768" s="26"/>
      <c r="AF1768" s="28"/>
    </row>
    <row r="1769" spans="1:32" ht="12.4" customHeight="1" x14ac:dyDescent="0.25">
      <c r="A1769" s="14">
        <v>45878</v>
      </c>
      <c r="B1769" s="14" t="s">
        <v>46</v>
      </c>
      <c r="C1769" s="16">
        <v>2</v>
      </c>
      <c r="D1769" s="16"/>
      <c r="E1769" s="16"/>
      <c r="F1769" s="16"/>
      <c r="G1769" s="16"/>
      <c r="H1769" s="16"/>
      <c r="I1769" s="4">
        <v>0</v>
      </c>
      <c r="J1769" s="4">
        <v>0</v>
      </c>
      <c r="K1769" s="4"/>
      <c r="L1769" s="16"/>
      <c r="M1769" s="4"/>
      <c r="N1769" s="4"/>
      <c r="O1769" s="4"/>
      <c r="P1769" s="4"/>
      <c r="Q1769" s="4"/>
      <c r="R1769" s="4"/>
      <c r="S1769" s="4">
        <v>0</v>
      </c>
      <c r="T1769" s="4">
        <v>0</v>
      </c>
      <c r="U1769" s="4">
        <v>0</v>
      </c>
      <c r="V1769" s="4">
        <v>12</v>
      </c>
      <c r="W1769" s="4">
        <v>12</v>
      </c>
      <c r="X1769" s="4">
        <v>0</v>
      </c>
      <c r="Y1769" s="4"/>
      <c r="Z1769" s="4">
        <v>97.20999999999998</v>
      </c>
      <c r="AA1769" s="4">
        <v>100</v>
      </c>
      <c r="AB1769" s="18"/>
      <c r="AC1769" s="18">
        <v>32</v>
      </c>
      <c r="AD1769" s="28"/>
      <c r="AE1769" s="26"/>
      <c r="AF1769" s="28"/>
    </row>
    <row r="1770" spans="1:32" ht="12.4" customHeight="1" x14ac:dyDescent="0.25">
      <c r="A1770" s="14">
        <v>45878</v>
      </c>
      <c r="B1770" s="14" t="s">
        <v>45</v>
      </c>
      <c r="C1770" s="16">
        <v>3</v>
      </c>
      <c r="D1770" s="16"/>
      <c r="E1770" s="16"/>
      <c r="F1770" s="16"/>
      <c r="G1770" s="16"/>
      <c r="H1770" s="16"/>
      <c r="I1770" s="4">
        <v>0</v>
      </c>
      <c r="J1770" s="4">
        <v>0</v>
      </c>
      <c r="K1770" s="4"/>
      <c r="L1770" s="16"/>
      <c r="M1770" s="4"/>
      <c r="N1770" s="4"/>
      <c r="O1770" s="4"/>
      <c r="P1770" s="4"/>
      <c r="Q1770" s="4"/>
      <c r="R1770" s="4"/>
      <c r="S1770" s="4">
        <v>0</v>
      </c>
      <c r="T1770" s="4">
        <v>0</v>
      </c>
      <c r="U1770" s="4">
        <v>0</v>
      </c>
      <c r="V1770" s="4">
        <v>12</v>
      </c>
      <c r="W1770" s="4">
        <v>12</v>
      </c>
      <c r="X1770" s="4">
        <v>0</v>
      </c>
      <c r="Y1770" s="4"/>
      <c r="Z1770" s="4">
        <v>256.53999999999996</v>
      </c>
      <c r="AA1770" s="4">
        <v>250</v>
      </c>
      <c r="AB1770" s="18"/>
      <c r="AC1770" s="18">
        <v>32</v>
      </c>
      <c r="AD1770" s="28"/>
      <c r="AE1770" s="26"/>
      <c r="AF1770" s="28"/>
    </row>
    <row r="1771" spans="1:32" ht="12.4" customHeight="1" x14ac:dyDescent="0.25">
      <c r="A1771" s="14">
        <v>45878</v>
      </c>
      <c r="B1771" s="14" t="s">
        <v>46</v>
      </c>
      <c r="C1771" s="16">
        <v>3</v>
      </c>
      <c r="D1771" s="16"/>
      <c r="E1771" s="16"/>
      <c r="F1771" s="16"/>
      <c r="G1771" s="16"/>
      <c r="H1771" s="16"/>
      <c r="I1771" s="4">
        <v>0</v>
      </c>
      <c r="J1771" s="4">
        <v>0</v>
      </c>
      <c r="K1771" s="4"/>
      <c r="L1771" s="16"/>
      <c r="M1771" s="4"/>
      <c r="N1771" s="4"/>
      <c r="O1771" s="4"/>
      <c r="P1771" s="4"/>
      <c r="Q1771" s="4"/>
      <c r="R1771" s="4"/>
      <c r="S1771" s="4">
        <v>0</v>
      </c>
      <c r="T1771" s="4">
        <v>0</v>
      </c>
      <c r="U1771" s="4">
        <v>0</v>
      </c>
      <c r="V1771" s="4">
        <v>12</v>
      </c>
      <c r="W1771" s="4">
        <v>12</v>
      </c>
      <c r="X1771" s="4">
        <v>0</v>
      </c>
      <c r="Y1771" s="4"/>
      <c r="Z1771" s="4">
        <v>260.78000000000003</v>
      </c>
      <c r="AA1771" s="4">
        <v>250</v>
      </c>
      <c r="AB1771" s="18"/>
      <c r="AC1771" s="18">
        <v>32</v>
      </c>
      <c r="AD1771" s="28"/>
      <c r="AE1771" s="26"/>
      <c r="AF1771" s="28"/>
    </row>
    <row r="1772" spans="1:32" ht="12.4" customHeight="1" x14ac:dyDescent="0.25">
      <c r="A1772" s="14">
        <v>45878</v>
      </c>
      <c r="B1772" s="14" t="s">
        <v>45</v>
      </c>
      <c r="C1772" s="16">
        <v>4</v>
      </c>
      <c r="D1772" s="16"/>
      <c r="E1772" s="16"/>
      <c r="F1772" s="16"/>
      <c r="G1772" s="16"/>
      <c r="H1772" s="16"/>
      <c r="I1772" s="4">
        <v>0</v>
      </c>
      <c r="J1772" s="4">
        <v>0</v>
      </c>
      <c r="K1772" s="4"/>
      <c r="L1772" s="16"/>
      <c r="M1772" s="4"/>
      <c r="N1772" s="4"/>
      <c r="O1772" s="4"/>
      <c r="P1772" s="4"/>
      <c r="Q1772" s="4"/>
      <c r="R1772" s="4"/>
      <c r="S1772" s="4">
        <v>0</v>
      </c>
      <c r="T1772" s="4">
        <v>0</v>
      </c>
      <c r="U1772" s="4">
        <v>0</v>
      </c>
      <c r="V1772" s="4">
        <v>12</v>
      </c>
      <c r="W1772" s="4">
        <v>12</v>
      </c>
      <c r="X1772" s="4">
        <v>0</v>
      </c>
      <c r="Y1772" s="4"/>
      <c r="Z1772" s="4">
        <v>746.33999999999992</v>
      </c>
      <c r="AA1772" s="4">
        <v>750</v>
      </c>
      <c r="AB1772" s="18"/>
      <c r="AC1772" s="18">
        <v>32</v>
      </c>
      <c r="AD1772" s="28"/>
      <c r="AE1772" s="26"/>
      <c r="AF1772" s="28"/>
    </row>
    <row r="1773" spans="1:32" ht="12.4" customHeight="1" x14ac:dyDescent="0.25">
      <c r="A1773" s="14">
        <v>45878</v>
      </c>
      <c r="B1773" s="14" t="s">
        <v>46</v>
      </c>
      <c r="C1773" s="16">
        <v>4</v>
      </c>
      <c r="D1773" s="16"/>
      <c r="E1773" s="16"/>
      <c r="F1773" s="16"/>
      <c r="G1773" s="16"/>
      <c r="H1773" s="16"/>
      <c r="I1773" s="4">
        <v>0</v>
      </c>
      <c r="J1773" s="4">
        <v>0</v>
      </c>
      <c r="K1773" s="4"/>
      <c r="L1773" s="16"/>
      <c r="M1773" s="4"/>
      <c r="N1773" s="4"/>
      <c r="O1773" s="4"/>
      <c r="P1773" s="4"/>
      <c r="Q1773" s="4"/>
      <c r="R1773" s="4"/>
      <c r="S1773" s="4">
        <v>0</v>
      </c>
      <c r="T1773" s="4">
        <v>0</v>
      </c>
      <c r="U1773" s="4">
        <v>0</v>
      </c>
      <c r="V1773" s="4">
        <v>12</v>
      </c>
      <c r="W1773" s="4">
        <v>12</v>
      </c>
      <c r="X1773" s="4">
        <v>0</v>
      </c>
      <c r="Y1773" s="4"/>
      <c r="Z1773" s="4">
        <v>812.99</v>
      </c>
      <c r="AA1773" s="4">
        <v>850</v>
      </c>
      <c r="AB1773" s="18"/>
      <c r="AC1773" s="18">
        <v>32</v>
      </c>
      <c r="AD1773" s="28"/>
      <c r="AE1773" s="26"/>
      <c r="AF1773" s="28"/>
    </row>
    <row r="1774" spans="1:32" ht="12.4" customHeight="1" x14ac:dyDescent="0.25">
      <c r="A1774" s="14">
        <v>45878</v>
      </c>
      <c r="B1774" s="14" t="s">
        <v>45</v>
      </c>
      <c r="C1774" s="16">
        <v>5</v>
      </c>
      <c r="D1774" s="16"/>
      <c r="E1774" s="16"/>
      <c r="F1774" s="16"/>
      <c r="G1774" s="16"/>
      <c r="H1774" s="16"/>
      <c r="I1774" s="4">
        <v>0</v>
      </c>
      <c r="J1774" s="4">
        <v>0</v>
      </c>
      <c r="K1774" s="4"/>
      <c r="L1774" s="16"/>
      <c r="M1774" s="4"/>
      <c r="N1774" s="4"/>
      <c r="O1774" s="4"/>
      <c r="P1774" s="4"/>
      <c r="Q1774" s="4"/>
      <c r="R1774" s="4"/>
      <c r="S1774" s="4">
        <v>0</v>
      </c>
      <c r="T1774" s="4">
        <v>0</v>
      </c>
      <c r="U1774" s="4">
        <v>0</v>
      </c>
      <c r="V1774" s="4">
        <v>12</v>
      </c>
      <c r="W1774" s="4">
        <v>12</v>
      </c>
      <c r="X1774" s="4">
        <v>0</v>
      </c>
      <c r="Y1774" s="4"/>
      <c r="Z1774" s="4">
        <v>402.35</v>
      </c>
      <c r="AA1774" s="4">
        <v>450</v>
      </c>
      <c r="AB1774" s="18"/>
      <c r="AC1774" s="18">
        <v>32</v>
      </c>
      <c r="AD1774" s="28"/>
      <c r="AE1774" s="26"/>
      <c r="AF1774" s="28"/>
    </row>
    <row r="1775" spans="1:32" ht="12.4" customHeight="1" x14ac:dyDescent="0.25">
      <c r="A1775" s="14">
        <v>45878</v>
      </c>
      <c r="B1775" s="14" t="s">
        <v>46</v>
      </c>
      <c r="C1775" s="16">
        <v>5</v>
      </c>
      <c r="D1775" s="16"/>
      <c r="E1775" s="16"/>
      <c r="F1775" s="16"/>
      <c r="G1775" s="16"/>
      <c r="H1775" s="16"/>
      <c r="I1775" s="4">
        <v>0</v>
      </c>
      <c r="J1775" s="4">
        <v>0</v>
      </c>
      <c r="K1775" s="4"/>
      <c r="L1775" s="16"/>
      <c r="M1775" s="4"/>
      <c r="N1775" s="4"/>
      <c r="O1775" s="4"/>
      <c r="P1775" s="4"/>
      <c r="Q1775" s="4"/>
      <c r="R1775" s="4"/>
      <c r="S1775" s="4">
        <v>0</v>
      </c>
      <c r="T1775" s="4">
        <v>0</v>
      </c>
      <c r="U1775" s="4">
        <v>0</v>
      </c>
      <c r="V1775" s="4">
        <v>12</v>
      </c>
      <c r="W1775" s="4">
        <v>12</v>
      </c>
      <c r="X1775" s="4">
        <v>0</v>
      </c>
      <c r="Y1775" s="4"/>
      <c r="Z1775" s="4">
        <v>399.10999999999996</v>
      </c>
      <c r="AA1775" s="4">
        <v>400</v>
      </c>
      <c r="AB1775" s="18"/>
      <c r="AC1775" s="18">
        <v>32</v>
      </c>
      <c r="AD1775" s="28"/>
      <c r="AE1775" s="26"/>
      <c r="AF1775" s="28"/>
    </row>
    <row r="1776" spans="1:32" ht="12.4" customHeight="1" x14ac:dyDescent="0.25">
      <c r="A1776" s="14">
        <v>45879</v>
      </c>
      <c r="B1776" s="14" t="s">
        <v>45</v>
      </c>
      <c r="C1776" s="16">
        <v>1</v>
      </c>
      <c r="D1776" s="16"/>
      <c r="E1776" s="16"/>
      <c r="F1776" s="16"/>
      <c r="G1776" s="16"/>
      <c r="H1776" s="16"/>
      <c r="I1776" s="4">
        <v>0</v>
      </c>
      <c r="J1776" s="4">
        <v>0</v>
      </c>
      <c r="K1776" s="4"/>
      <c r="L1776" s="16"/>
      <c r="M1776" s="4"/>
      <c r="N1776" s="4"/>
      <c r="O1776" s="4"/>
      <c r="P1776" s="4"/>
      <c r="Q1776" s="4"/>
      <c r="R1776" s="4"/>
      <c r="S1776" s="4">
        <v>0</v>
      </c>
      <c r="T1776" s="4">
        <v>0</v>
      </c>
      <c r="U1776" s="4">
        <v>0</v>
      </c>
      <c r="V1776" s="4">
        <v>12</v>
      </c>
      <c r="W1776" s="4">
        <v>12</v>
      </c>
      <c r="X1776" s="4">
        <v>25</v>
      </c>
      <c r="Y1776" s="4">
        <v>1950</v>
      </c>
      <c r="Z1776" s="4">
        <v>122.03</v>
      </c>
      <c r="AA1776" s="4">
        <v>100</v>
      </c>
      <c r="AB1776" s="18">
        <v>398</v>
      </c>
      <c r="AC1776" s="18">
        <v>32</v>
      </c>
      <c r="AD1776" s="28"/>
      <c r="AE1776" s="26"/>
      <c r="AF1776" s="28"/>
    </row>
    <row r="1777" spans="1:32" ht="12.4" customHeight="1" x14ac:dyDescent="0.25">
      <c r="A1777" s="14">
        <v>45879</v>
      </c>
      <c r="B1777" s="14" t="s">
        <v>46</v>
      </c>
      <c r="C1777" s="16">
        <v>1</v>
      </c>
      <c r="D1777" s="16"/>
      <c r="E1777" s="16"/>
      <c r="F1777" s="16"/>
      <c r="G1777" s="16"/>
      <c r="H1777" s="16"/>
      <c r="I1777" s="4">
        <v>0</v>
      </c>
      <c r="J1777" s="4">
        <v>0</v>
      </c>
      <c r="K1777" s="4"/>
      <c r="L1777" s="16"/>
      <c r="M1777" s="4"/>
      <c r="N1777" s="4"/>
      <c r="O1777" s="4"/>
      <c r="P1777" s="4"/>
      <c r="Q1777" s="4"/>
      <c r="R1777" s="4"/>
      <c r="S1777" s="4">
        <v>0</v>
      </c>
      <c r="T1777" s="4">
        <v>0</v>
      </c>
      <c r="U1777" s="4">
        <v>0</v>
      </c>
      <c r="V1777" s="4">
        <v>12</v>
      </c>
      <c r="W1777" s="4">
        <v>12</v>
      </c>
      <c r="X1777" s="4">
        <v>12</v>
      </c>
      <c r="Y1777" s="4"/>
      <c r="Z1777" s="4">
        <v>130.19</v>
      </c>
      <c r="AA1777" s="4">
        <v>150</v>
      </c>
      <c r="AB1777" s="18"/>
      <c r="AC1777" s="18">
        <v>32</v>
      </c>
      <c r="AD1777" s="28"/>
      <c r="AE1777" s="26"/>
      <c r="AF1777" s="28"/>
    </row>
    <row r="1778" spans="1:32" ht="12.4" customHeight="1" x14ac:dyDescent="0.25">
      <c r="A1778" s="14">
        <v>45879</v>
      </c>
      <c r="B1778" s="14" t="s">
        <v>45</v>
      </c>
      <c r="C1778" s="16">
        <v>2</v>
      </c>
      <c r="D1778" s="16"/>
      <c r="E1778" s="16"/>
      <c r="F1778" s="16"/>
      <c r="G1778" s="16"/>
      <c r="H1778" s="16"/>
      <c r="I1778" s="4">
        <v>0</v>
      </c>
      <c r="J1778" s="4">
        <v>0</v>
      </c>
      <c r="K1778" s="4"/>
      <c r="L1778" s="16"/>
      <c r="M1778" s="4"/>
      <c r="N1778" s="4"/>
      <c r="O1778" s="4"/>
      <c r="P1778" s="4"/>
      <c r="Q1778" s="4"/>
      <c r="R1778" s="4"/>
      <c r="S1778" s="4">
        <v>0</v>
      </c>
      <c r="T1778" s="4">
        <v>0</v>
      </c>
      <c r="U1778" s="4">
        <v>0</v>
      </c>
      <c r="V1778" s="4">
        <v>12</v>
      </c>
      <c r="W1778" s="4">
        <v>12</v>
      </c>
      <c r="X1778" s="4">
        <v>0</v>
      </c>
      <c r="Y1778" s="4"/>
      <c r="Z1778" s="4">
        <v>90.61999999999999</v>
      </c>
      <c r="AA1778" s="4">
        <v>100</v>
      </c>
      <c r="AB1778" s="18"/>
      <c r="AC1778" s="18">
        <v>32</v>
      </c>
      <c r="AD1778" s="28"/>
      <c r="AE1778" s="26"/>
      <c r="AF1778" s="28"/>
    </row>
    <row r="1779" spans="1:32" ht="12.4" customHeight="1" x14ac:dyDescent="0.25">
      <c r="A1779" s="14">
        <v>45879</v>
      </c>
      <c r="B1779" s="14" t="s">
        <v>46</v>
      </c>
      <c r="C1779" s="16">
        <v>2</v>
      </c>
      <c r="D1779" s="16"/>
      <c r="E1779" s="16"/>
      <c r="F1779" s="16"/>
      <c r="G1779" s="16"/>
      <c r="H1779" s="16"/>
      <c r="I1779" s="4">
        <v>0</v>
      </c>
      <c r="J1779" s="4">
        <v>0</v>
      </c>
      <c r="K1779" s="4"/>
      <c r="L1779" s="16"/>
      <c r="M1779" s="4"/>
      <c r="N1779" s="4"/>
      <c r="O1779" s="4"/>
      <c r="P1779" s="4"/>
      <c r="Q1779" s="4"/>
      <c r="R1779" s="4"/>
      <c r="S1779" s="4">
        <v>0</v>
      </c>
      <c r="T1779" s="4">
        <v>0</v>
      </c>
      <c r="U1779" s="4">
        <v>0</v>
      </c>
      <c r="V1779" s="4">
        <v>12</v>
      </c>
      <c r="W1779" s="4">
        <v>12</v>
      </c>
      <c r="X1779" s="4">
        <v>0</v>
      </c>
      <c r="Y1779" s="4"/>
      <c r="Z1779" s="4">
        <v>113.64999999999999</v>
      </c>
      <c r="AA1779" s="4">
        <v>100</v>
      </c>
      <c r="AB1779" s="18"/>
      <c r="AC1779" s="18">
        <v>32</v>
      </c>
      <c r="AD1779" s="28"/>
      <c r="AE1779" s="26"/>
      <c r="AF1779" s="28"/>
    </row>
    <row r="1780" spans="1:32" ht="12.4" customHeight="1" x14ac:dyDescent="0.25">
      <c r="A1780" s="14">
        <v>45879</v>
      </c>
      <c r="B1780" s="14" t="s">
        <v>45</v>
      </c>
      <c r="C1780" s="16">
        <v>3</v>
      </c>
      <c r="D1780" s="16"/>
      <c r="E1780" s="16"/>
      <c r="F1780" s="16"/>
      <c r="G1780" s="16"/>
      <c r="H1780" s="16"/>
      <c r="I1780" s="4">
        <v>0</v>
      </c>
      <c r="J1780" s="4">
        <v>0</v>
      </c>
      <c r="K1780" s="4"/>
      <c r="L1780" s="16"/>
      <c r="M1780" s="4"/>
      <c r="N1780" s="4"/>
      <c r="O1780" s="4"/>
      <c r="P1780" s="4"/>
      <c r="Q1780" s="4"/>
      <c r="R1780" s="4"/>
      <c r="S1780" s="4">
        <v>0</v>
      </c>
      <c r="T1780" s="4">
        <v>0</v>
      </c>
      <c r="U1780" s="4">
        <v>0</v>
      </c>
      <c r="V1780" s="4">
        <v>12</v>
      </c>
      <c r="W1780" s="4">
        <v>12</v>
      </c>
      <c r="X1780" s="4">
        <v>0</v>
      </c>
      <c r="Y1780" s="4"/>
      <c r="Z1780" s="4">
        <v>339.97999999999996</v>
      </c>
      <c r="AA1780" s="4">
        <v>350</v>
      </c>
      <c r="AB1780" s="18"/>
      <c r="AC1780" s="18">
        <v>32</v>
      </c>
      <c r="AD1780" s="28"/>
      <c r="AE1780" s="26"/>
      <c r="AF1780" s="28"/>
    </row>
    <row r="1781" spans="1:32" ht="12.4" customHeight="1" x14ac:dyDescent="0.25">
      <c r="A1781" s="14">
        <v>45879</v>
      </c>
      <c r="B1781" s="14" t="s">
        <v>46</v>
      </c>
      <c r="C1781" s="16">
        <v>3</v>
      </c>
      <c r="D1781" s="16"/>
      <c r="E1781" s="16"/>
      <c r="F1781" s="16"/>
      <c r="G1781" s="16"/>
      <c r="H1781" s="16"/>
      <c r="I1781" s="4">
        <v>0</v>
      </c>
      <c r="J1781" s="4">
        <v>0</v>
      </c>
      <c r="K1781" s="4"/>
      <c r="L1781" s="16"/>
      <c r="M1781" s="4"/>
      <c r="N1781" s="4"/>
      <c r="O1781" s="4"/>
      <c r="P1781" s="4"/>
      <c r="Q1781" s="4"/>
      <c r="R1781" s="4"/>
      <c r="S1781" s="4">
        <v>0</v>
      </c>
      <c r="T1781" s="4">
        <v>0</v>
      </c>
      <c r="U1781" s="4">
        <v>0</v>
      </c>
      <c r="V1781" s="4">
        <v>12</v>
      </c>
      <c r="W1781" s="4">
        <v>12</v>
      </c>
      <c r="X1781" s="4">
        <v>0</v>
      </c>
      <c r="Y1781" s="4"/>
      <c r="Z1781" s="4">
        <v>317.52</v>
      </c>
      <c r="AA1781" s="4">
        <v>350</v>
      </c>
      <c r="AB1781" s="18"/>
      <c r="AC1781" s="18">
        <v>32</v>
      </c>
      <c r="AD1781" s="28"/>
      <c r="AE1781" s="26"/>
      <c r="AF1781" s="28"/>
    </row>
    <row r="1782" spans="1:32" ht="12.4" customHeight="1" x14ac:dyDescent="0.25">
      <c r="A1782" s="14">
        <v>45879</v>
      </c>
      <c r="B1782" s="14" t="s">
        <v>45</v>
      </c>
      <c r="C1782" s="16">
        <v>4</v>
      </c>
      <c r="D1782" s="16"/>
      <c r="E1782" s="16"/>
      <c r="F1782" s="16"/>
      <c r="G1782" s="16"/>
      <c r="H1782" s="16"/>
      <c r="I1782" s="4">
        <v>0</v>
      </c>
      <c r="J1782" s="4">
        <v>0</v>
      </c>
      <c r="K1782" s="4"/>
      <c r="L1782" s="16"/>
      <c r="M1782" s="4"/>
      <c r="N1782" s="4"/>
      <c r="O1782" s="4"/>
      <c r="P1782" s="4"/>
      <c r="Q1782" s="4"/>
      <c r="R1782" s="4"/>
      <c r="S1782" s="4">
        <v>0</v>
      </c>
      <c r="T1782" s="4">
        <v>0</v>
      </c>
      <c r="U1782" s="4">
        <v>0</v>
      </c>
      <c r="V1782" s="4">
        <v>12</v>
      </c>
      <c r="W1782" s="4">
        <v>12</v>
      </c>
      <c r="X1782" s="4">
        <v>0</v>
      </c>
      <c r="Y1782" s="4"/>
      <c r="Z1782" s="4">
        <v>723.9</v>
      </c>
      <c r="AA1782" s="4">
        <v>750</v>
      </c>
      <c r="AB1782" s="18"/>
      <c r="AC1782" s="18">
        <v>32</v>
      </c>
      <c r="AD1782" s="28"/>
      <c r="AE1782" s="26"/>
      <c r="AF1782" s="28"/>
    </row>
    <row r="1783" spans="1:32" ht="12.4" customHeight="1" x14ac:dyDescent="0.25">
      <c r="A1783" s="14">
        <v>45879</v>
      </c>
      <c r="B1783" s="14" t="s">
        <v>46</v>
      </c>
      <c r="C1783" s="16">
        <v>4</v>
      </c>
      <c r="D1783" s="16"/>
      <c r="E1783" s="16"/>
      <c r="F1783" s="16"/>
      <c r="G1783" s="16"/>
      <c r="H1783" s="16"/>
      <c r="I1783" s="4">
        <v>0</v>
      </c>
      <c r="J1783" s="4">
        <v>0</v>
      </c>
      <c r="K1783" s="4"/>
      <c r="L1783" s="16"/>
      <c r="M1783" s="4"/>
      <c r="N1783" s="4"/>
      <c r="O1783" s="4"/>
      <c r="P1783" s="4"/>
      <c r="Q1783" s="4"/>
      <c r="R1783" s="4"/>
      <c r="S1783" s="4">
        <v>0</v>
      </c>
      <c r="T1783" s="4">
        <v>0</v>
      </c>
      <c r="U1783" s="4">
        <v>0</v>
      </c>
      <c r="V1783" s="4">
        <v>12</v>
      </c>
      <c r="W1783" s="4">
        <v>12</v>
      </c>
      <c r="X1783" s="4">
        <v>0</v>
      </c>
      <c r="Y1783" s="4"/>
      <c r="Z1783" s="4">
        <v>688.38</v>
      </c>
      <c r="AA1783" s="4">
        <v>700</v>
      </c>
      <c r="AB1783" s="18"/>
      <c r="AC1783" s="18">
        <v>32</v>
      </c>
      <c r="AD1783" s="28"/>
      <c r="AE1783" s="26"/>
      <c r="AF1783" s="28"/>
    </row>
    <row r="1784" spans="1:32" ht="12.4" customHeight="1" x14ac:dyDescent="0.25">
      <c r="A1784" s="14">
        <v>45879</v>
      </c>
      <c r="B1784" s="14" t="s">
        <v>45</v>
      </c>
      <c r="C1784" s="16">
        <v>5</v>
      </c>
      <c r="D1784" s="16">
        <v>20</v>
      </c>
      <c r="E1784" s="16"/>
      <c r="F1784" s="16"/>
      <c r="G1784" s="16"/>
      <c r="H1784" s="16"/>
      <c r="I1784" s="4">
        <v>20</v>
      </c>
      <c r="J1784" s="4">
        <v>0.33333333333333331</v>
      </c>
      <c r="K1784" s="4"/>
      <c r="L1784" s="16"/>
      <c r="M1784" s="4"/>
      <c r="N1784" s="4"/>
      <c r="O1784" s="4"/>
      <c r="P1784" s="4"/>
      <c r="Q1784" s="4"/>
      <c r="R1784" s="4"/>
      <c r="S1784" s="4">
        <v>0</v>
      </c>
      <c r="T1784" s="4">
        <v>0</v>
      </c>
      <c r="U1784" s="4">
        <v>0.33333333333333331</v>
      </c>
      <c r="V1784" s="4">
        <v>11.666666666666666</v>
      </c>
      <c r="W1784" s="4">
        <v>12</v>
      </c>
      <c r="X1784" s="4">
        <v>0</v>
      </c>
      <c r="Y1784" s="4"/>
      <c r="Z1784" s="4">
        <v>517.42999999999995</v>
      </c>
      <c r="AA1784" s="4">
        <v>500</v>
      </c>
      <c r="AB1784" s="18"/>
      <c r="AC1784" s="18">
        <v>32</v>
      </c>
      <c r="AD1784" s="28"/>
      <c r="AE1784" s="26"/>
      <c r="AF1784" s="28"/>
    </row>
    <row r="1785" spans="1:32" ht="12.4" customHeight="1" x14ac:dyDescent="0.25">
      <c r="A1785" s="14">
        <v>45879</v>
      </c>
      <c r="B1785" s="14" t="s">
        <v>46</v>
      </c>
      <c r="C1785" s="16">
        <v>5</v>
      </c>
      <c r="D1785" s="16"/>
      <c r="E1785" s="16"/>
      <c r="F1785" s="16"/>
      <c r="G1785" s="16"/>
      <c r="H1785" s="16"/>
      <c r="I1785" s="4">
        <v>0</v>
      </c>
      <c r="J1785" s="4">
        <v>0</v>
      </c>
      <c r="K1785" s="4"/>
      <c r="L1785" s="16"/>
      <c r="M1785" s="4"/>
      <c r="N1785" s="4"/>
      <c r="O1785" s="4"/>
      <c r="P1785" s="4"/>
      <c r="Q1785" s="4">
        <v>30</v>
      </c>
      <c r="R1785" s="4"/>
      <c r="S1785" s="4">
        <v>30</v>
      </c>
      <c r="T1785" s="4">
        <v>0.5</v>
      </c>
      <c r="U1785" s="4">
        <v>0.5</v>
      </c>
      <c r="V1785" s="4">
        <v>11.5</v>
      </c>
      <c r="W1785" s="4">
        <v>12</v>
      </c>
      <c r="X1785" s="4">
        <v>0</v>
      </c>
      <c r="Y1785" s="4"/>
      <c r="Z1785" s="4">
        <v>500.85999999999996</v>
      </c>
      <c r="AA1785" s="4">
        <v>500</v>
      </c>
      <c r="AB1785" s="18"/>
      <c r="AC1785" s="18">
        <v>32</v>
      </c>
      <c r="AD1785" s="28"/>
      <c r="AE1785" s="26"/>
      <c r="AF1785" s="28"/>
    </row>
    <row r="1786" spans="1:32" ht="12.4" customHeight="1" x14ac:dyDescent="0.25">
      <c r="A1786" s="14">
        <v>45880</v>
      </c>
      <c r="B1786" s="14" t="s">
        <v>45</v>
      </c>
      <c r="C1786" s="16">
        <v>1</v>
      </c>
      <c r="D1786" s="16">
        <v>20</v>
      </c>
      <c r="E1786" s="16"/>
      <c r="F1786" s="16"/>
      <c r="G1786" s="16"/>
      <c r="H1786" s="16"/>
      <c r="I1786" s="4">
        <v>20</v>
      </c>
      <c r="J1786" s="4">
        <v>0.33333333333333331</v>
      </c>
      <c r="K1786" s="4"/>
      <c r="L1786" s="16"/>
      <c r="M1786" s="4"/>
      <c r="N1786" s="4"/>
      <c r="O1786" s="4"/>
      <c r="P1786" s="4"/>
      <c r="Q1786" s="4">
        <v>160</v>
      </c>
      <c r="R1786" s="4"/>
      <c r="S1786" s="4">
        <v>160</v>
      </c>
      <c r="T1786" s="4">
        <v>2.6666666666666665</v>
      </c>
      <c r="U1786" s="4">
        <v>3</v>
      </c>
      <c r="V1786" s="4">
        <v>9</v>
      </c>
      <c r="W1786" s="4">
        <v>12</v>
      </c>
      <c r="X1786" s="4">
        <v>55</v>
      </c>
      <c r="Y1786" s="4">
        <v>1952</v>
      </c>
      <c r="Z1786" s="4">
        <v>82.26</v>
      </c>
      <c r="AA1786" s="4">
        <v>80</v>
      </c>
      <c r="AB1786" s="18">
        <v>398</v>
      </c>
      <c r="AC1786" s="18">
        <v>33</v>
      </c>
      <c r="AD1786" s="28"/>
      <c r="AE1786" s="26"/>
      <c r="AF1786" s="28"/>
    </row>
    <row r="1787" spans="1:32" ht="12.4" customHeight="1" x14ac:dyDescent="0.25">
      <c r="A1787" s="14">
        <v>45880</v>
      </c>
      <c r="B1787" s="14" t="s">
        <v>46</v>
      </c>
      <c r="C1787" s="16">
        <v>1</v>
      </c>
      <c r="D1787" s="16"/>
      <c r="E1787" s="16"/>
      <c r="F1787" s="16"/>
      <c r="G1787" s="16"/>
      <c r="H1787" s="16"/>
      <c r="I1787" s="4">
        <v>0</v>
      </c>
      <c r="J1787" s="4">
        <v>0</v>
      </c>
      <c r="K1787" s="4"/>
      <c r="L1787" s="16"/>
      <c r="M1787" s="4"/>
      <c r="N1787" s="4"/>
      <c r="O1787" s="4"/>
      <c r="P1787" s="4"/>
      <c r="Q1787" s="4"/>
      <c r="R1787" s="4"/>
      <c r="S1787" s="4">
        <v>0</v>
      </c>
      <c r="T1787" s="4">
        <v>0</v>
      </c>
      <c r="U1787" s="4">
        <v>0</v>
      </c>
      <c r="V1787" s="4">
        <v>12</v>
      </c>
      <c r="W1787" s="4">
        <v>12</v>
      </c>
      <c r="X1787" s="4">
        <v>0</v>
      </c>
      <c r="Y1787" s="4"/>
      <c r="Z1787" s="4">
        <v>122.2</v>
      </c>
      <c r="AA1787" s="4">
        <v>125</v>
      </c>
      <c r="AB1787" s="18"/>
      <c r="AC1787" s="18">
        <v>33</v>
      </c>
      <c r="AD1787" s="28"/>
      <c r="AE1787" s="26"/>
      <c r="AF1787" s="28"/>
    </row>
    <row r="1788" spans="1:32" ht="12.4" customHeight="1" x14ac:dyDescent="0.25">
      <c r="A1788" s="14">
        <v>45880</v>
      </c>
      <c r="B1788" s="14" t="s">
        <v>45</v>
      </c>
      <c r="C1788" s="16">
        <v>2</v>
      </c>
      <c r="D1788" s="16"/>
      <c r="E1788" s="16"/>
      <c r="F1788" s="16"/>
      <c r="G1788" s="16"/>
      <c r="H1788" s="16"/>
      <c r="I1788" s="4">
        <v>0</v>
      </c>
      <c r="J1788" s="4">
        <v>0</v>
      </c>
      <c r="K1788" s="4"/>
      <c r="L1788" s="16"/>
      <c r="M1788" s="4"/>
      <c r="N1788" s="4"/>
      <c r="O1788" s="4"/>
      <c r="P1788" s="4"/>
      <c r="Q1788" s="4"/>
      <c r="R1788" s="4"/>
      <c r="S1788" s="4">
        <v>0</v>
      </c>
      <c r="T1788" s="4">
        <v>0</v>
      </c>
      <c r="U1788" s="4">
        <v>0</v>
      </c>
      <c r="V1788" s="4">
        <v>12</v>
      </c>
      <c r="W1788" s="4">
        <v>12</v>
      </c>
      <c r="X1788" s="4">
        <v>0</v>
      </c>
      <c r="Y1788" s="4"/>
      <c r="Z1788" s="4">
        <v>90.21</v>
      </c>
      <c r="AA1788" s="4">
        <v>100</v>
      </c>
      <c r="AB1788" s="18"/>
      <c r="AC1788" s="18">
        <v>33</v>
      </c>
      <c r="AD1788" s="28"/>
      <c r="AE1788" s="26"/>
      <c r="AF1788" s="28"/>
    </row>
    <row r="1789" spans="1:32" ht="12.4" customHeight="1" x14ac:dyDescent="0.25">
      <c r="A1789" s="14">
        <v>45880</v>
      </c>
      <c r="B1789" s="14" t="s">
        <v>46</v>
      </c>
      <c r="C1789" s="16">
        <v>2</v>
      </c>
      <c r="D1789" s="16"/>
      <c r="E1789" s="16"/>
      <c r="F1789" s="16"/>
      <c r="G1789" s="16"/>
      <c r="H1789" s="16"/>
      <c r="I1789" s="4">
        <v>0</v>
      </c>
      <c r="J1789" s="4">
        <v>0</v>
      </c>
      <c r="K1789" s="4"/>
      <c r="L1789" s="16"/>
      <c r="M1789" s="4"/>
      <c r="N1789" s="4"/>
      <c r="O1789" s="4"/>
      <c r="P1789" s="4"/>
      <c r="Q1789" s="4"/>
      <c r="R1789" s="4"/>
      <c r="S1789" s="4">
        <v>0</v>
      </c>
      <c r="T1789" s="4">
        <v>0</v>
      </c>
      <c r="U1789" s="4">
        <v>0</v>
      </c>
      <c r="V1789" s="4">
        <v>12</v>
      </c>
      <c r="W1789" s="4">
        <v>12</v>
      </c>
      <c r="X1789" s="4">
        <v>0</v>
      </c>
      <c r="Y1789" s="4"/>
      <c r="Z1789" s="4">
        <v>81.399999999999991</v>
      </c>
      <c r="AA1789" s="4">
        <v>100</v>
      </c>
      <c r="AB1789" s="18"/>
      <c r="AC1789" s="18">
        <v>33</v>
      </c>
      <c r="AD1789" s="28"/>
      <c r="AE1789" s="26"/>
      <c r="AF1789" s="28"/>
    </row>
    <row r="1790" spans="1:32" ht="12.4" customHeight="1" x14ac:dyDescent="0.25">
      <c r="A1790" s="14">
        <v>45880</v>
      </c>
      <c r="B1790" s="14" t="s">
        <v>45</v>
      </c>
      <c r="C1790" s="16">
        <v>3</v>
      </c>
      <c r="D1790" s="16"/>
      <c r="E1790" s="16"/>
      <c r="F1790" s="16"/>
      <c r="G1790" s="16"/>
      <c r="H1790" s="16"/>
      <c r="I1790" s="4">
        <v>0</v>
      </c>
      <c r="J1790" s="4">
        <v>0</v>
      </c>
      <c r="K1790" s="4"/>
      <c r="L1790" s="16"/>
      <c r="M1790" s="4"/>
      <c r="N1790" s="4"/>
      <c r="O1790" s="4"/>
      <c r="P1790" s="4"/>
      <c r="Q1790" s="4"/>
      <c r="R1790" s="4"/>
      <c r="S1790" s="4">
        <v>0</v>
      </c>
      <c r="T1790" s="4">
        <v>0</v>
      </c>
      <c r="U1790" s="4">
        <v>0</v>
      </c>
      <c r="V1790" s="4">
        <v>12</v>
      </c>
      <c r="W1790" s="4">
        <v>12</v>
      </c>
      <c r="X1790" s="4">
        <v>0</v>
      </c>
      <c r="Y1790" s="4"/>
      <c r="Z1790" s="4">
        <v>273.77999999999997</v>
      </c>
      <c r="AA1790" s="4">
        <v>275</v>
      </c>
      <c r="AB1790" s="18"/>
      <c r="AC1790" s="18">
        <v>33</v>
      </c>
      <c r="AD1790" s="28"/>
      <c r="AE1790" s="26"/>
      <c r="AF1790" s="28"/>
    </row>
    <row r="1791" spans="1:32" ht="12.4" customHeight="1" x14ac:dyDescent="0.25">
      <c r="A1791" s="14">
        <v>45880</v>
      </c>
      <c r="B1791" s="14" t="s">
        <v>46</v>
      </c>
      <c r="C1791" s="16">
        <v>3</v>
      </c>
      <c r="D1791" s="16">
        <v>20</v>
      </c>
      <c r="E1791" s="16"/>
      <c r="F1791" s="16"/>
      <c r="G1791" s="16"/>
      <c r="H1791" s="16"/>
      <c r="I1791" s="4">
        <v>20</v>
      </c>
      <c r="J1791" s="4">
        <v>0.33333333333333331</v>
      </c>
      <c r="K1791" s="4"/>
      <c r="L1791" s="16"/>
      <c r="M1791" s="4"/>
      <c r="N1791" s="4"/>
      <c r="O1791" s="4"/>
      <c r="P1791" s="4"/>
      <c r="Q1791" s="4"/>
      <c r="R1791" s="4"/>
      <c r="S1791" s="4">
        <v>0</v>
      </c>
      <c r="T1791" s="4">
        <v>0</v>
      </c>
      <c r="U1791" s="4">
        <v>0.33333333333333331</v>
      </c>
      <c r="V1791" s="4">
        <v>11.666666666666666</v>
      </c>
      <c r="W1791" s="4">
        <v>12</v>
      </c>
      <c r="X1791" s="4">
        <v>0</v>
      </c>
      <c r="Y1791" s="4"/>
      <c r="Z1791" s="4">
        <v>235.4</v>
      </c>
      <c r="AA1791" s="4">
        <v>240</v>
      </c>
      <c r="AB1791" s="18"/>
      <c r="AC1791" s="18">
        <v>33</v>
      </c>
      <c r="AD1791" s="28"/>
      <c r="AE1791" s="26"/>
      <c r="AF1791" s="28"/>
    </row>
    <row r="1792" spans="1:32" ht="12.4" customHeight="1" x14ac:dyDescent="0.25">
      <c r="A1792" s="14">
        <v>45880</v>
      </c>
      <c r="B1792" s="14" t="s">
        <v>45</v>
      </c>
      <c r="C1792" s="16">
        <v>4</v>
      </c>
      <c r="D1792" s="16">
        <v>20</v>
      </c>
      <c r="E1792" s="16"/>
      <c r="F1792" s="16"/>
      <c r="G1792" s="16"/>
      <c r="H1792" s="16"/>
      <c r="I1792" s="4">
        <v>20</v>
      </c>
      <c r="J1792" s="4">
        <v>0.33333333333333331</v>
      </c>
      <c r="K1792" s="4"/>
      <c r="L1792" s="16"/>
      <c r="M1792" s="4"/>
      <c r="N1792" s="4"/>
      <c r="O1792" s="4"/>
      <c r="P1792" s="4"/>
      <c r="Q1792" s="4"/>
      <c r="R1792" s="4"/>
      <c r="S1792" s="4">
        <v>0</v>
      </c>
      <c r="T1792" s="4">
        <v>0</v>
      </c>
      <c r="U1792" s="4">
        <v>0.33333333333333331</v>
      </c>
      <c r="V1792" s="4">
        <v>11.666666666666666</v>
      </c>
      <c r="W1792" s="4">
        <v>12</v>
      </c>
      <c r="X1792" s="4">
        <v>0</v>
      </c>
      <c r="Y1792" s="4"/>
      <c r="Z1792" s="4">
        <v>768.72</v>
      </c>
      <c r="AA1792" s="4">
        <v>770</v>
      </c>
      <c r="AB1792" s="18"/>
      <c r="AC1792" s="18">
        <v>33</v>
      </c>
      <c r="AD1792" s="28"/>
      <c r="AE1792" s="26"/>
      <c r="AF1792" s="28"/>
    </row>
    <row r="1793" spans="1:32" ht="12.4" customHeight="1" x14ac:dyDescent="0.25">
      <c r="A1793" s="14">
        <v>45880</v>
      </c>
      <c r="B1793" s="14" t="s">
        <v>46</v>
      </c>
      <c r="C1793" s="16">
        <v>4</v>
      </c>
      <c r="D1793" s="16"/>
      <c r="E1793" s="16"/>
      <c r="F1793" s="16"/>
      <c r="G1793" s="16"/>
      <c r="H1793" s="16"/>
      <c r="I1793" s="4">
        <v>0</v>
      </c>
      <c r="J1793" s="4">
        <v>0</v>
      </c>
      <c r="K1793" s="4"/>
      <c r="L1793" s="16"/>
      <c r="M1793" s="4"/>
      <c r="N1793" s="4"/>
      <c r="O1793" s="4"/>
      <c r="P1793" s="4"/>
      <c r="Q1793" s="4"/>
      <c r="R1793" s="4"/>
      <c r="S1793" s="4">
        <v>0</v>
      </c>
      <c r="T1793" s="4">
        <v>0</v>
      </c>
      <c r="U1793" s="4">
        <v>0</v>
      </c>
      <c r="V1793" s="4">
        <v>12</v>
      </c>
      <c r="W1793" s="4">
        <v>12</v>
      </c>
      <c r="X1793" s="4">
        <v>0</v>
      </c>
      <c r="Y1793" s="4"/>
      <c r="Z1793" s="4">
        <v>599.00999999999988</v>
      </c>
      <c r="AA1793" s="4">
        <v>600</v>
      </c>
      <c r="AB1793" s="18"/>
      <c r="AC1793" s="18">
        <v>33</v>
      </c>
      <c r="AD1793" s="28"/>
      <c r="AE1793" s="26"/>
      <c r="AF1793" s="28"/>
    </row>
    <row r="1794" spans="1:32" ht="12.4" customHeight="1" x14ac:dyDescent="0.25">
      <c r="A1794" s="14">
        <v>45880</v>
      </c>
      <c r="B1794" s="14" t="s">
        <v>45</v>
      </c>
      <c r="C1794" s="16">
        <v>5</v>
      </c>
      <c r="D1794" s="16"/>
      <c r="E1794" s="16"/>
      <c r="F1794" s="16"/>
      <c r="G1794" s="16"/>
      <c r="H1794" s="16"/>
      <c r="I1794" s="4">
        <v>0</v>
      </c>
      <c r="J1794" s="4">
        <v>0</v>
      </c>
      <c r="K1794" s="4"/>
      <c r="L1794" s="16"/>
      <c r="M1794" s="4"/>
      <c r="N1794" s="4"/>
      <c r="O1794" s="4"/>
      <c r="P1794" s="4"/>
      <c r="Q1794" s="4"/>
      <c r="R1794" s="4"/>
      <c r="S1794" s="4">
        <v>0</v>
      </c>
      <c r="T1794" s="4">
        <v>0</v>
      </c>
      <c r="U1794" s="4">
        <v>0</v>
      </c>
      <c r="V1794" s="4">
        <v>12</v>
      </c>
      <c r="W1794" s="4">
        <v>12</v>
      </c>
      <c r="X1794" s="4">
        <v>0</v>
      </c>
      <c r="Y1794" s="4"/>
      <c r="Z1794" s="4">
        <v>543.01</v>
      </c>
      <c r="AA1794" s="4">
        <v>550</v>
      </c>
      <c r="AB1794" s="18"/>
      <c r="AC1794" s="18">
        <v>33</v>
      </c>
      <c r="AD1794" s="28"/>
      <c r="AE1794" s="26"/>
      <c r="AF1794" s="28"/>
    </row>
    <row r="1795" spans="1:32" ht="12.4" customHeight="1" x14ac:dyDescent="0.25">
      <c r="A1795" s="14">
        <v>45880</v>
      </c>
      <c r="B1795" s="14" t="s">
        <v>46</v>
      </c>
      <c r="C1795" s="16">
        <v>5</v>
      </c>
      <c r="D1795" s="16"/>
      <c r="E1795" s="16"/>
      <c r="F1795" s="16"/>
      <c r="G1795" s="16"/>
      <c r="H1795" s="16"/>
      <c r="I1795" s="4">
        <v>0</v>
      </c>
      <c r="J1795" s="4">
        <v>0</v>
      </c>
      <c r="K1795" s="4"/>
      <c r="L1795" s="16"/>
      <c r="M1795" s="4"/>
      <c r="N1795" s="4"/>
      <c r="O1795" s="4"/>
      <c r="P1795" s="4">
        <v>60</v>
      </c>
      <c r="Q1795" s="4"/>
      <c r="R1795" s="4"/>
      <c r="S1795" s="4">
        <v>60</v>
      </c>
      <c r="T1795" s="4">
        <v>1</v>
      </c>
      <c r="U1795" s="4">
        <v>1</v>
      </c>
      <c r="V1795" s="4">
        <v>11</v>
      </c>
      <c r="W1795" s="4">
        <v>12</v>
      </c>
      <c r="X1795" s="4">
        <v>0</v>
      </c>
      <c r="Y1795" s="4"/>
      <c r="Z1795" s="4">
        <v>354.11</v>
      </c>
      <c r="AA1795" s="4">
        <v>360</v>
      </c>
      <c r="AB1795" s="18"/>
      <c r="AC1795" s="18">
        <v>33</v>
      </c>
      <c r="AD1795" s="28"/>
      <c r="AE1795" s="26"/>
      <c r="AF1795" s="28"/>
    </row>
    <row r="1796" spans="1:32" ht="12.4" customHeight="1" x14ac:dyDescent="0.25">
      <c r="A1796" s="14">
        <v>45881</v>
      </c>
      <c r="B1796" s="14" t="s">
        <v>45</v>
      </c>
      <c r="C1796" s="16">
        <v>1</v>
      </c>
      <c r="D1796" s="16">
        <v>20</v>
      </c>
      <c r="E1796" s="16"/>
      <c r="F1796" s="16"/>
      <c r="G1796" s="16"/>
      <c r="H1796" s="16"/>
      <c r="I1796" s="4">
        <v>20</v>
      </c>
      <c r="J1796" s="4">
        <v>0.33333333333333331</v>
      </c>
      <c r="K1796" s="4"/>
      <c r="L1796" s="16"/>
      <c r="M1796" s="4"/>
      <c r="N1796" s="4"/>
      <c r="O1796" s="4"/>
      <c r="P1796" s="4"/>
      <c r="Q1796" s="4"/>
      <c r="R1796" s="4"/>
      <c r="S1796" s="4">
        <v>0</v>
      </c>
      <c r="T1796" s="4">
        <v>0</v>
      </c>
      <c r="U1796" s="4">
        <v>0.33333333333333331</v>
      </c>
      <c r="V1796" s="4">
        <v>11.666666666666666</v>
      </c>
      <c r="W1796" s="4">
        <v>12</v>
      </c>
      <c r="X1796" s="4">
        <v>61</v>
      </c>
      <c r="Y1796" s="4">
        <v>1806</v>
      </c>
      <c r="Z1796" s="4">
        <v>112.67999999999998</v>
      </c>
      <c r="AA1796" s="4">
        <v>120</v>
      </c>
      <c r="AB1796" s="18">
        <v>398</v>
      </c>
      <c r="AC1796" s="18">
        <v>33</v>
      </c>
      <c r="AD1796" s="28"/>
      <c r="AE1796" s="26"/>
      <c r="AF1796" s="28"/>
    </row>
    <row r="1797" spans="1:32" ht="12.4" customHeight="1" x14ac:dyDescent="0.25">
      <c r="A1797" s="14">
        <v>45881</v>
      </c>
      <c r="B1797" s="14" t="s">
        <v>46</v>
      </c>
      <c r="C1797" s="16">
        <v>1</v>
      </c>
      <c r="D1797" s="16"/>
      <c r="E1797" s="16"/>
      <c r="F1797" s="16"/>
      <c r="G1797" s="16"/>
      <c r="H1797" s="16"/>
      <c r="I1797" s="4">
        <v>0</v>
      </c>
      <c r="J1797" s="4">
        <v>0</v>
      </c>
      <c r="K1797" s="4"/>
      <c r="L1797" s="16"/>
      <c r="M1797" s="4"/>
      <c r="N1797" s="4"/>
      <c r="O1797" s="4"/>
      <c r="P1797" s="4"/>
      <c r="Q1797" s="4"/>
      <c r="R1797" s="4"/>
      <c r="S1797" s="4">
        <v>0</v>
      </c>
      <c r="T1797" s="4">
        <v>0</v>
      </c>
      <c r="U1797" s="4">
        <v>0</v>
      </c>
      <c r="V1797" s="4">
        <v>12</v>
      </c>
      <c r="W1797" s="4">
        <v>12</v>
      </c>
      <c r="X1797" s="4">
        <v>0</v>
      </c>
      <c r="Y1797" s="4"/>
      <c r="Z1797" s="4">
        <v>0</v>
      </c>
      <c r="AA1797" s="4">
        <v>0</v>
      </c>
      <c r="AB1797" s="18"/>
      <c r="AC1797" s="18">
        <v>33</v>
      </c>
      <c r="AD1797" s="28"/>
      <c r="AE1797" s="26"/>
      <c r="AF1797" s="28"/>
    </row>
    <row r="1798" spans="1:32" ht="12.4" customHeight="1" x14ac:dyDescent="0.25">
      <c r="A1798" s="14">
        <v>45881</v>
      </c>
      <c r="B1798" s="14" t="s">
        <v>45</v>
      </c>
      <c r="C1798" s="16">
        <v>2</v>
      </c>
      <c r="D1798" s="16"/>
      <c r="E1798" s="16"/>
      <c r="F1798" s="16"/>
      <c r="G1798" s="16"/>
      <c r="H1798" s="16"/>
      <c r="I1798" s="4">
        <v>0</v>
      </c>
      <c r="J1798" s="4">
        <v>0</v>
      </c>
      <c r="K1798" s="4"/>
      <c r="L1798" s="16"/>
      <c r="M1798" s="4"/>
      <c r="N1798" s="4"/>
      <c r="O1798" s="4"/>
      <c r="P1798" s="4"/>
      <c r="Q1798" s="4">
        <v>30</v>
      </c>
      <c r="R1798" s="4"/>
      <c r="S1798" s="4">
        <v>30</v>
      </c>
      <c r="T1798" s="4">
        <v>0.5</v>
      </c>
      <c r="U1798" s="4">
        <v>0.5</v>
      </c>
      <c r="V1798" s="4">
        <v>11.5</v>
      </c>
      <c r="W1798" s="4">
        <v>12</v>
      </c>
      <c r="X1798" s="4">
        <v>0</v>
      </c>
      <c r="Y1798" s="4"/>
      <c r="Z1798" s="4">
        <v>112.36999999999998</v>
      </c>
      <c r="AA1798" s="4">
        <v>120</v>
      </c>
      <c r="AB1798" s="18"/>
      <c r="AC1798" s="18">
        <v>33</v>
      </c>
      <c r="AD1798" s="28"/>
      <c r="AE1798" s="26"/>
      <c r="AF1798" s="28"/>
    </row>
    <row r="1799" spans="1:32" ht="12.4" customHeight="1" x14ac:dyDescent="0.25">
      <c r="A1799" s="14">
        <v>45881</v>
      </c>
      <c r="B1799" s="14" t="s">
        <v>46</v>
      </c>
      <c r="C1799" s="16">
        <v>2</v>
      </c>
      <c r="D1799" s="16"/>
      <c r="E1799" s="16"/>
      <c r="F1799" s="16"/>
      <c r="G1799" s="16"/>
      <c r="H1799" s="16"/>
      <c r="I1799" s="4">
        <v>0</v>
      </c>
      <c r="J1799" s="4">
        <v>0</v>
      </c>
      <c r="K1799" s="4"/>
      <c r="L1799" s="16"/>
      <c r="M1799" s="4"/>
      <c r="N1799" s="4"/>
      <c r="O1799" s="4"/>
      <c r="P1799" s="4"/>
      <c r="Q1799" s="4"/>
      <c r="R1799" s="4"/>
      <c r="S1799" s="4">
        <v>0</v>
      </c>
      <c r="T1799" s="4">
        <v>0</v>
      </c>
      <c r="U1799" s="4">
        <v>0</v>
      </c>
      <c r="V1799" s="4">
        <v>12</v>
      </c>
      <c r="W1799" s="4">
        <v>12</v>
      </c>
      <c r="X1799" s="4">
        <v>0</v>
      </c>
      <c r="Y1799" s="4"/>
      <c r="Z1799" s="4">
        <v>0</v>
      </c>
      <c r="AA1799" s="4">
        <v>0</v>
      </c>
      <c r="AB1799" s="18"/>
      <c r="AC1799" s="18">
        <v>33</v>
      </c>
      <c r="AD1799" s="28"/>
      <c r="AE1799" s="26"/>
      <c r="AF1799" s="28"/>
    </row>
    <row r="1800" spans="1:32" ht="12.4" customHeight="1" x14ac:dyDescent="0.25">
      <c r="A1800" s="14">
        <v>45881</v>
      </c>
      <c r="B1800" s="14" t="s">
        <v>45</v>
      </c>
      <c r="C1800" s="16">
        <v>3</v>
      </c>
      <c r="D1800" s="16"/>
      <c r="E1800" s="16"/>
      <c r="F1800" s="16"/>
      <c r="G1800" s="16"/>
      <c r="H1800" s="16"/>
      <c r="I1800" s="4">
        <v>0</v>
      </c>
      <c r="J1800" s="4">
        <v>0</v>
      </c>
      <c r="K1800" s="4"/>
      <c r="L1800" s="16"/>
      <c r="M1800" s="4"/>
      <c r="N1800" s="4"/>
      <c r="O1800" s="4"/>
      <c r="P1800" s="4"/>
      <c r="Q1800" s="4"/>
      <c r="R1800" s="4"/>
      <c r="S1800" s="4">
        <v>0</v>
      </c>
      <c r="T1800" s="4">
        <v>0</v>
      </c>
      <c r="U1800" s="4">
        <v>0</v>
      </c>
      <c r="V1800" s="4">
        <v>12</v>
      </c>
      <c r="W1800" s="4">
        <v>12</v>
      </c>
      <c r="X1800" s="4">
        <v>0</v>
      </c>
      <c r="Y1800" s="4"/>
      <c r="Z1800" s="4">
        <v>276.43999999999994</v>
      </c>
      <c r="AA1800" s="4">
        <v>290</v>
      </c>
      <c r="AB1800" s="18"/>
      <c r="AC1800" s="18">
        <v>33</v>
      </c>
      <c r="AD1800" s="28"/>
      <c r="AE1800" s="26"/>
      <c r="AF1800" s="28"/>
    </row>
    <row r="1801" spans="1:32" ht="12.4" customHeight="1" x14ac:dyDescent="0.25">
      <c r="A1801" s="14">
        <v>45881</v>
      </c>
      <c r="B1801" s="14" t="s">
        <v>46</v>
      </c>
      <c r="C1801" s="16">
        <v>3</v>
      </c>
      <c r="D1801" s="16"/>
      <c r="E1801" s="16"/>
      <c r="F1801" s="16"/>
      <c r="G1801" s="16"/>
      <c r="H1801" s="16"/>
      <c r="I1801" s="4">
        <v>0</v>
      </c>
      <c r="J1801" s="4">
        <v>0</v>
      </c>
      <c r="K1801" s="4"/>
      <c r="L1801" s="16"/>
      <c r="M1801" s="4"/>
      <c r="N1801" s="4"/>
      <c r="O1801" s="4"/>
      <c r="P1801" s="4"/>
      <c r="Q1801" s="4"/>
      <c r="R1801" s="4"/>
      <c r="S1801" s="4">
        <v>0</v>
      </c>
      <c r="T1801" s="4">
        <v>0</v>
      </c>
      <c r="U1801" s="4">
        <v>0</v>
      </c>
      <c r="V1801" s="4">
        <v>12</v>
      </c>
      <c r="W1801" s="4">
        <v>12</v>
      </c>
      <c r="X1801" s="4">
        <v>0</v>
      </c>
      <c r="Y1801" s="4"/>
      <c r="Z1801" s="4">
        <v>239.57000000000002</v>
      </c>
      <c r="AA1801" s="4">
        <v>250</v>
      </c>
      <c r="AB1801" s="18"/>
      <c r="AC1801" s="18">
        <v>33</v>
      </c>
      <c r="AD1801" s="28"/>
      <c r="AE1801" s="26"/>
      <c r="AF1801" s="28"/>
    </row>
    <row r="1802" spans="1:32" ht="12.4" customHeight="1" x14ac:dyDescent="0.25">
      <c r="A1802" s="14">
        <v>45881</v>
      </c>
      <c r="B1802" s="14" t="s">
        <v>45</v>
      </c>
      <c r="C1802" s="16">
        <v>4</v>
      </c>
      <c r="D1802" s="16">
        <v>15</v>
      </c>
      <c r="E1802" s="16"/>
      <c r="F1802" s="16"/>
      <c r="G1802" s="16"/>
      <c r="H1802" s="16"/>
      <c r="I1802" s="4">
        <v>15</v>
      </c>
      <c r="J1802" s="4">
        <v>0.25</v>
      </c>
      <c r="K1802" s="4"/>
      <c r="L1802" s="16"/>
      <c r="M1802" s="4"/>
      <c r="N1802" s="4"/>
      <c r="O1802" s="4"/>
      <c r="P1802" s="4"/>
      <c r="Q1802" s="4"/>
      <c r="R1802" s="4"/>
      <c r="S1802" s="4">
        <v>0</v>
      </c>
      <c r="T1802" s="4">
        <v>0</v>
      </c>
      <c r="U1802" s="4">
        <v>0.25</v>
      </c>
      <c r="V1802" s="4">
        <v>11.75</v>
      </c>
      <c r="W1802" s="4">
        <v>12</v>
      </c>
      <c r="X1802" s="4">
        <v>0</v>
      </c>
      <c r="Y1802" s="4"/>
      <c r="Z1802" s="4">
        <v>739.98</v>
      </c>
      <c r="AA1802" s="4">
        <v>750</v>
      </c>
      <c r="AB1802" s="18"/>
      <c r="AC1802" s="18">
        <v>33</v>
      </c>
      <c r="AD1802" s="28"/>
      <c r="AE1802" s="26"/>
      <c r="AF1802" s="28"/>
    </row>
    <row r="1803" spans="1:32" ht="12.4" customHeight="1" x14ac:dyDescent="0.25">
      <c r="A1803" s="14">
        <v>45881</v>
      </c>
      <c r="B1803" s="14" t="s">
        <v>46</v>
      </c>
      <c r="C1803" s="16">
        <v>4</v>
      </c>
      <c r="D1803" s="16"/>
      <c r="E1803" s="16"/>
      <c r="F1803" s="16"/>
      <c r="G1803" s="16"/>
      <c r="H1803" s="16"/>
      <c r="I1803" s="4">
        <v>0</v>
      </c>
      <c r="J1803" s="4">
        <v>0</v>
      </c>
      <c r="K1803" s="4"/>
      <c r="L1803" s="16"/>
      <c r="M1803" s="4"/>
      <c r="N1803" s="4"/>
      <c r="O1803" s="4"/>
      <c r="P1803" s="4"/>
      <c r="Q1803" s="4"/>
      <c r="R1803" s="4"/>
      <c r="S1803" s="4">
        <v>0</v>
      </c>
      <c r="T1803" s="4">
        <v>0</v>
      </c>
      <c r="U1803" s="4">
        <v>0</v>
      </c>
      <c r="V1803" s="4">
        <v>12</v>
      </c>
      <c r="W1803" s="4">
        <v>12</v>
      </c>
      <c r="X1803" s="4">
        <v>0</v>
      </c>
      <c r="Y1803" s="4"/>
      <c r="Z1803" s="4">
        <v>678.70999999999992</v>
      </c>
      <c r="AA1803" s="4">
        <v>680</v>
      </c>
      <c r="AB1803" s="18"/>
      <c r="AC1803" s="18">
        <v>33</v>
      </c>
      <c r="AD1803" s="28"/>
      <c r="AE1803" s="26"/>
      <c r="AF1803" s="28"/>
    </row>
    <row r="1804" spans="1:32" ht="12.4" customHeight="1" x14ac:dyDescent="0.25">
      <c r="A1804" s="14">
        <v>45881</v>
      </c>
      <c r="B1804" s="14" t="s">
        <v>45</v>
      </c>
      <c r="C1804" s="16">
        <v>5</v>
      </c>
      <c r="D1804" s="16"/>
      <c r="E1804" s="16"/>
      <c r="F1804" s="16"/>
      <c r="G1804" s="16"/>
      <c r="H1804" s="16"/>
      <c r="I1804" s="4">
        <v>0</v>
      </c>
      <c r="J1804" s="4">
        <v>0</v>
      </c>
      <c r="K1804" s="4"/>
      <c r="L1804" s="16"/>
      <c r="M1804" s="4">
        <v>180</v>
      </c>
      <c r="N1804" s="4"/>
      <c r="O1804" s="4"/>
      <c r="P1804" s="4"/>
      <c r="Q1804" s="4"/>
      <c r="R1804" s="4"/>
      <c r="S1804" s="4">
        <v>180</v>
      </c>
      <c r="T1804" s="4">
        <v>3</v>
      </c>
      <c r="U1804" s="4">
        <v>3</v>
      </c>
      <c r="V1804" s="4">
        <v>9</v>
      </c>
      <c r="W1804" s="4">
        <v>12</v>
      </c>
      <c r="X1804" s="4">
        <v>0</v>
      </c>
      <c r="Y1804" s="4"/>
      <c r="Z1804" s="4">
        <v>378.27999999999992</v>
      </c>
      <c r="AA1804" s="4">
        <v>380</v>
      </c>
      <c r="AB1804" s="18"/>
      <c r="AC1804" s="18">
        <v>33</v>
      </c>
      <c r="AD1804" s="28"/>
      <c r="AE1804" s="26"/>
      <c r="AF1804" s="28"/>
    </row>
    <row r="1805" spans="1:32" ht="12.4" customHeight="1" x14ac:dyDescent="0.25">
      <c r="A1805" s="14">
        <v>45881</v>
      </c>
      <c r="B1805" s="14" t="s">
        <v>46</v>
      </c>
      <c r="C1805" s="16">
        <v>5</v>
      </c>
      <c r="D1805" s="16"/>
      <c r="E1805" s="16"/>
      <c r="F1805" s="16"/>
      <c r="G1805" s="16"/>
      <c r="H1805" s="16"/>
      <c r="I1805" s="4">
        <v>0</v>
      </c>
      <c r="J1805" s="4">
        <v>0</v>
      </c>
      <c r="K1805" s="4"/>
      <c r="L1805" s="16"/>
      <c r="M1805" s="4"/>
      <c r="N1805" s="4"/>
      <c r="O1805" s="4"/>
      <c r="P1805" s="4"/>
      <c r="Q1805" s="4"/>
      <c r="R1805" s="4"/>
      <c r="S1805" s="4">
        <v>0</v>
      </c>
      <c r="T1805" s="4">
        <v>0</v>
      </c>
      <c r="U1805" s="4">
        <v>0</v>
      </c>
      <c r="V1805" s="4">
        <v>12</v>
      </c>
      <c r="W1805" s="4">
        <v>12</v>
      </c>
      <c r="X1805" s="4">
        <v>0</v>
      </c>
      <c r="Y1805" s="4"/>
      <c r="Z1805" s="4">
        <v>405.03000000000003</v>
      </c>
      <c r="AA1805" s="4">
        <v>410</v>
      </c>
      <c r="AB1805" s="18"/>
      <c r="AC1805" s="18">
        <v>33</v>
      </c>
      <c r="AD1805" s="28"/>
      <c r="AE1805" s="26"/>
      <c r="AF1805" s="28"/>
    </row>
    <row r="1806" spans="1:32" ht="12.4" customHeight="1" x14ac:dyDescent="0.25">
      <c r="A1806" s="14">
        <v>45882</v>
      </c>
      <c r="B1806" s="14" t="s">
        <v>45</v>
      </c>
      <c r="C1806" s="16">
        <v>1</v>
      </c>
      <c r="D1806" s="16">
        <v>10</v>
      </c>
      <c r="E1806" s="16"/>
      <c r="F1806" s="16"/>
      <c r="G1806" s="16"/>
      <c r="H1806" s="16"/>
      <c r="I1806" s="4">
        <v>10</v>
      </c>
      <c r="J1806" s="4">
        <v>0.16666666666666666</v>
      </c>
      <c r="K1806" s="4"/>
      <c r="L1806" s="16"/>
      <c r="M1806" s="4"/>
      <c r="N1806" s="4"/>
      <c r="O1806" s="4"/>
      <c r="P1806" s="4"/>
      <c r="Q1806" s="4"/>
      <c r="R1806" s="4"/>
      <c r="S1806" s="4">
        <v>0</v>
      </c>
      <c r="T1806" s="4">
        <v>0</v>
      </c>
      <c r="U1806" s="4">
        <v>0.16666666666666666</v>
      </c>
      <c r="V1806" s="4">
        <v>11.833333333333334</v>
      </c>
      <c r="W1806" s="4">
        <v>12</v>
      </c>
      <c r="X1806" s="4">
        <v>29</v>
      </c>
      <c r="Y1806" s="4">
        <v>1954</v>
      </c>
      <c r="Z1806" s="4">
        <v>96.65</v>
      </c>
      <c r="AA1806" s="4">
        <v>100</v>
      </c>
      <c r="AB1806" s="18">
        <v>398</v>
      </c>
      <c r="AC1806" s="18">
        <v>33</v>
      </c>
      <c r="AD1806" s="28"/>
      <c r="AE1806" s="26"/>
      <c r="AF1806" s="28"/>
    </row>
    <row r="1807" spans="1:32" ht="12.4" customHeight="1" x14ac:dyDescent="0.25">
      <c r="A1807" s="14">
        <v>45882</v>
      </c>
      <c r="B1807" s="14" t="s">
        <v>46</v>
      </c>
      <c r="C1807" s="16">
        <v>1</v>
      </c>
      <c r="D1807" s="16"/>
      <c r="E1807" s="16"/>
      <c r="F1807" s="16"/>
      <c r="G1807" s="16"/>
      <c r="H1807" s="16"/>
      <c r="I1807" s="4">
        <v>0</v>
      </c>
      <c r="J1807" s="4">
        <v>0</v>
      </c>
      <c r="K1807" s="4"/>
      <c r="L1807" s="16"/>
      <c r="M1807" s="4"/>
      <c r="N1807" s="4"/>
      <c r="O1807" s="4"/>
      <c r="P1807" s="4"/>
      <c r="Q1807" s="4"/>
      <c r="R1807" s="4"/>
      <c r="S1807" s="4">
        <v>0</v>
      </c>
      <c r="T1807" s="4">
        <v>0</v>
      </c>
      <c r="U1807" s="4">
        <v>0</v>
      </c>
      <c r="V1807" s="4">
        <v>12</v>
      </c>
      <c r="W1807" s="4">
        <v>12</v>
      </c>
      <c r="X1807" s="4">
        <v>18</v>
      </c>
      <c r="Y1807" s="4"/>
      <c r="Z1807" s="4">
        <v>110.51</v>
      </c>
      <c r="AA1807" s="4">
        <v>120</v>
      </c>
      <c r="AB1807" s="18"/>
      <c r="AC1807" s="18">
        <v>33</v>
      </c>
      <c r="AD1807" s="28"/>
      <c r="AE1807" s="26"/>
      <c r="AF1807" s="28"/>
    </row>
    <row r="1808" spans="1:32" ht="12.4" customHeight="1" x14ac:dyDescent="0.25">
      <c r="A1808" s="14">
        <v>45882</v>
      </c>
      <c r="B1808" s="14" t="s">
        <v>45</v>
      </c>
      <c r="C1808" s="16">
        <v>2</v>
      </c>
      <c r="D1808" s="16">
        <v>10</v>
      </c>
      <c r="E1808" s="16"/>
      <c r="F1808" s="16"/>
      <c r="G1808" s="16"/>
      <c r="H1808" s="16"/>
      <c r="I1808" s="4">
        <v>10</v>
      </c>
      <c r="J1808" s="4">
        <v>0.16666666666666666</v>
      </c>
      <c r="K1808" s="4"/>
      <c r="L1808" s="16"/>
      <c r="M1808" s="4"/>
      <c r="N1808" s="4"/>
      <c r="O1808" s="4"/>
      <c r="P1808" s="4"/>
      <c r="Q1808" s="4"/>
      <c r="R1808" s="4"/>
      <c r="S1808" s="4">
        <v>0</v>
      </c>
      <c r="T1808" s="4">
        <v>0</v>
      </c>
      <c r="U1808" s="4">
        <v>0.16666666666666666</v>
      </c>
      <c r="V1808" s="4">
        <v>11.833333333333334</v>
      </c>
      <c r="W1808" s="4">
        <v>12</v>
      </c>
      <c r="X1808" s="4">
        <v>0</v>
      </c>
      <c r="Y1808" s="4"/>
      <c r="Z1808" s="4">
        <v>113.10999999999999</v>
      </c>
      <c r="AA1808" s="4">
        <v>120</v>
      </c>
      <c r="AB1808" s="18"/>
      <c r="AC1808" s="18">
        <v>33</v>
      </c>
      <c r="AD1808" s="28"/>
      <c r="AE1808" s="26"/>
      <c r="AF1808" s="28"/>
    </row>
    <row r="1809" spans="1:32" ht="12.4" customHeight="1" x14ac:dyDescent="0.25">
      <c r="A1809" s="14">
        <v>45882</v>
      </c>
      <c r="B1809" s="14" t="s">
        <v>46</v>
      </c>
      <c r="C1809" s="16">
        <v>2</v>
      </c>
      <c r="D1809" s="16"/>
      <c r="E1809" s="16"/>
      <c r="F1809" s="16"/>
      <c r="G1809" s="16"/>
      <c r="H1809" s="16"/>
      <c r="I1809" s="4">
        <v>0</v>
      </c>
      <c r="J1809" s="4">
        <v>0</v>
      </c>
      <c r="K1809" s="4"/>
      <c r="L1809" s="16"/>
      <c r="M1809" s="4"/>
      <c r="N1809" s="4"/>
      <c r="O1809" s="4"/>
      <c r="P1809" s="4"/>
      <c r="Q1809" s="4"/>
      <c r="R1809" s="4"/>
      <c r="S1809" s="4">
        <v>0</v>
      </c>
      <c r="T1809" s="4">
        <v>0</v>
      </c>
      <c r="U1809" s="4">
        <v>0</v>
      </c>
      <c r="V1809" s="4">
        <v>12</v>
      </c>
      <c r="W1809" s="4">
        <v>12</v>
      </c>
      <c r="X1809" s="4">
        <v>0</v>
      </c>
      <c r="Y1809" s="4"/>
      <c r="Z1809" s="4">
        <v>147.86000000000001</v>
      </c>
      <c r="AA1809" s="4">
        <v>150</v>
      </c>
      <c r="AB1809" s="18"/>
      <c r="AC1809" s="18">
        <v>33</v>
      </c>
      <c r="AD1809" s="28"/>
      <c r="AE1809" s="26"/>
      <c r="AF1809" s="28"/>
    </row>
    <row r="1810" spans="1:32" ht="12.4" customHeight="1" x14ac:dyDescent="0.25">
      <c r="A1810" s="14">
        <v>45882</v>
      </c>
      <c r="B1810" s="14" t="s">
        <v>45</v>
      </c>
      <c r="C1810" s="16">
        <v>3</v>
      </c>
      <c r="D1810" s="16"/>
      <c r="E1810" s="16"/>
      <c r="F1810" s="16"/>
      <c r="G1810" s="16"/>
      <c r="H1810" s="16"/>
      <c r="I1810" s="4">
        <v>0</v>
      </c>
      <c r="J1810" s="4">
        <v>0</v>
      </c>
      <c r="K1810" s="4"/>
      <c r="L1810" s="16"/>
      <c r="M1810" s="4"/>
      <c r="N1810" s="4"/>
      <c r="O1810" s="4"/>
      <c r="P1810" s="4"/>
      <c r="Q1810" s="4"/>
      <c r="R1810" s="4"/>
      <c r="S1810" s="4">
        <v>0</v>
      </c>
      <c r="T1810" s="4">
        <v>0</v>
      </c>
      <c r="U1810" s="4">
        <v>0</v>
      </c>
      <c r="V1810" s="4">
        <v>12</v>
      </c>
      <c r="W1810" s="4">
        <v>12</v>
      </c>
      <c r="X1810" s="4">
        <v>0</v>
      </c>
      <c r="Y1810" s="4"/>
      <c r="Z1810" s="4">
        <v>247.89</v>
      </c>
      <c r="AA1810" s="4">
        <v>250</v>
      </c>
      <c r="AB1810" s="18"/>
      <c r="AC1810" s="18">
        <v>33</v>
      </c>
      <c r="AD1810" s="28"/>
      <c r="AE1810" s="26"/>
      <c r="AF1810" s="28"/>
    </row>
    <row r="1811" spans="1:32" ht="12.4" customHeight="1" x14ac:dyDescent="0.25">
      <c r="A1811" s="14">
        <v>45882</v>
      </c>
      <c r="B1811" s="14" t="s">
        <v>46</v>
      </c>
      <c r="C1811" s="16">
        <v>3</v>
      </c>
      <c r="D1811" s="16"/>
      <c r="E1811" s="16"/>
      <c r="F1811" s="16"/>
      <c r="G1811" s="16"/>
      <c r="H1811" s="16"/>
      <c r="I1811" s="4">
        <v>0</v>
      </c>
      <c r="J1811" s="4">
        <v>0</v>
      </c>
      <c r="K1811" s="4"/>
      <c r="L1811" s="16"/>
      <c r="M1811" s="4"/>
      <c r="N1811" s="4"/>
      <c r="O1811" s="4"/>
      <c r="P1811" s="4"/>
      <c r="Q1811" s="4"/>
      <c r="R1811" s="4"/>
      <c r="S1811" s="4">
        <v>0</v>
      </c>
      <c r="T1811" s="4">
        <v>0</v>
      </c>
      <c r="U1811" s="4">
        <v>0</v>
      </c>
      <c r="V1811" s="4">
        <v>12</v>
      </c>
      <c r="W1811" s="4">
        <v>12</v>
      </c>
      <c r="X1811" s="4">
        <v>0</v>
      </c>
      <c r="Y1811" s="4"/>
      <c r="Z1811" s="4">
        <v>244.76000000000002</v>
      </c>
      <c r="AA1811" s="4">
        <v>260</v>
      </c>
      <c r="AB1811" s="18"/>
      <c r="AC1811" s="18">
        <v>33</v>
      </c>
      <c r="AD1811" s="28"/>
      <c r="AE1811" s="26"/>
      <c r="AF1811" s="28"/>
    </row>
    <row r="1812" spans="1:32" ht="12.4" customHeight="1" x14ac:dyDescent="0.25">
      <c r="A1812" s="14">
        <v>45882</v>
      </c>
      <c r="B1812" s="14" t="s">
        <v>45</v>
      </c>
      <c r="C1812" s="16">
        <v>4</v>
      </c>
      <c r="D1812" s="16">
        <v>40</v>
      </c>
      <c r="E1812" s="16"/>
      <c r="F1812" s="16"/>
      <c r="G1812" s="16"/>
      <c r="H1812" s="16"/>
      <c r="I1812" s="4">
        <v>40</v>
      </c>
      <c r="J1812" s="4">
        <v>0.66666666666666663</v>
      </c>
      <c r="K1812" s="4"/>
      <c r="L1812" s="16"/>
      <c r="M1812" s="4"/>
      <c r="N1812" s="4"/>
      <c r="O1812" s="4"/>
      <c r="P1812" s="4"/>
      <c r="Q1812" s="4"/>
      <c r="R1812" s="4"/>
      <c r="S1812" s="4">
        <v>0</v>
      </c>
      <c r="T1812" s="4">
        <v>0</v>
      </c>
      <c r="U1812" s="4">
        <v>0.66666666666666663</v>
      </c>
      <c r="V1812" s="4">
        <v>11.333333333333334</v>
      </c>
      <c r="W1812" s="4">
        <v>12</v>
      </c>
      <c r="X1812" s="4">
        <v>0</v>
      </c>
      <c r="Y1812" s="4"/>
      <c r="Z1812" s="4">
        <v>725.85</v>
      </c>
      <c r="AA1812" s="4">
        <v>730</v>
      </c>
      <c r="AB1812" s="18"/>
      <c r="AC1812" s="18">
        <v>33</v>
      </c>
      <c r="AD1812" s="28"/>
      <c r="AE1812" s="26"/>
      <c r="AF1812" s="28"/>
    </row>
    <row r="1813" spans="1:32" ht="12.4" customHeight="1" x14ac:dyDescent="0.25">
      <c r="A1813" s="14">
        <v>45882</v>
      </c>
      <c r="B1813" s="14" t="s">
        <v>46</v>
      </c>
      <c r="C1813" s="16">
        <v>4</v>
      </c>
      <c r="D1813" s="16"/>
      <c r="E1813" s="16"/>
      <c r="F1813" s="16"/>
      <c r="G1813" s="16"/>
      <c r="H1813" s="16"/>
      <c r="I1813" s="4">
        <v>0</v>
      </c>
      <c r="J1813" s="4">
        <v>0</v>
      </c>
      <c r="K1813" s="4"/>
      <c r="L1813" s="16"/>
      <c r="M1813" s="4"/>
      <c r="N1813" s="4"/>
      <c r="O1813" s="4"/>
      <c r="P1813" s="4"/>
      <c r="Q1813" s="4"/>
      <c r="R1813" s="4"/>
      <c r="S1813" s="4">
        <v>0</v>
      </c>
      <c r="T1813" s="4">
        <v>0</v>
      </c>
      <c r="U1813" s="4">
        <v>0</v>
      </c>
      <c r="V1813" s="4">
        <v>12</v>
      </c>
      <c r="W1813" s="4">
        <v>12</v>
      </c>
      <c r="X1813" s="4">
        <v>0</v>
      </c>
      <c r="Y1813" s="4"/>
      <c r="Z1813" s="4">
        <v>666.00000000000011</v>
      </c>
      <c r="AA1813" s="4">
        <v>670</v>
      </c>
      <c r="AB1813" s="18"/>
      <c r="AC1813" s="18">
        <v>33</v>
      </c>
      <c r="AD1813" s="28"/>
      <c r="AE1813" s="26"/>
      <c r="AF1813" s="28"/>
    </row>
    <row r="1814" spans="1:32" ht="12.4" customHeight="1" x14ac:dyDescent="0.25">
      <c r="A1814" s="14">
        <v>45882</v>
      </c>
      <c r="B1814" s="14" t="s">
        <v>45</v>
      </c>
      <c r="C1814" s="16">
        <v>5</v>
      </c>
      <c r="D1814" s="16">
        <v>20</v>
      </c>
      <c r="E1814" s="16"/>
      <c r="F1814" s="16"/>
      <c r="G1814" s="16"/>
      <c r="H1814" s="16"/>
      <c r="I1814" s="4">
        <v>20</v>
      </c>
      <c r="J1814" s="4">
        <v>0.33333333333333331</v>
      </c>
      <c r="K1814" s="4"/>
      <c r="L1814" s="16"/>
      <c r="M1814" s="4"/>
      <c r="N1814" s="4"/>
      <c r="O1814" s="4"/>
      <c r="P1814" s="4"/>
      <c r="Q1814" s="4"/>
      <c r="R1814" s="4"/>
      <c r="S1814" s="4">
        <v>0</v>
      </c>
      <c r="T1814" s="4">
        <v>0</v>
      </c>
      <c r="U1814" s="4">
        <v>0.33333333333333331</v>
      </c>
      <c r="V1814" s="4">
        <v>11.666666666666666</v>
      </c>
      <c r="W1814" s="4">
        <v>12</v>
      </c>
      <c r="X1814" s="4">
        <v>0</v>
      </c>
      <c r="Y1814" s="4"/>
      <c r="Z1814" s="4">
        <v>510.38</v>
      </c>
      <c r="AA1814" s="4">
        <v>510</v>
      </c>
      <c r="AB1814" s="18"/>
      <c r="AC1814" s="18">
        <v>33</v>
      </c>
      <c r="AD1814" s="28"/>
      <c r="AE1814" s="26"/>
      <c r="AF1814" s="28"/>
    </row>
    <row r="1815" spans="1:32" ht="12.4" customHeight="1" x14ac:dyDescent="0.25">
      <c r="A1815" s="14">
        <v>45882</v>
      </c>
      <c r="B1815" s="14" t="s">
        <v>46</v>
      </c>
      <c r="C1815" s="16">
        <v>5</v>
      </c>
      <c r="D1815" s="16"/>
      <c r="E1815" s="16"/>
      <c r="F1815" s="16"/>
      <c r="G1815" s="16"/>
      <c r="H1815" s="16"/>
      <c r="I1815" s="4">
        <v>0</v>
      </c>
      <c r="J1815" s="4">
        <v>0</v>
      </c>
      <c r="K1815" s="4"/>
      <c r="L1815" s="16"/>
      <c r="M1815" s="4"/>
      <c r="N1815" s="4"/>
      <c r="O1815" s="4"/>
      <c r="P1815" s="4"/>
      <c r="Q1815" s="4"/>
      <c r="R1815" s="4"/>
      <c r="S1815" s="4">
        <v>0</v>
      </c>
      <c r="T1815" s="4">
        <v>0</v>
      </c>
      <c r="U1815" s="4">
        <v>0</v>
      </c>
      <c r="V1815" s="4">
        <v>12</v>
      </c>
      <c r="W1815" s="4">
        <v>12</v>
      </c>
      <c r="X1815" s="4">
        <v>0</v>
      </c>
      <c r="Y1815" s="4"/>
      <c r="Z1815" s="4">
        <v>481.54999999999995</v>
      </c>
      <c r="AA1815" s="4">
        <v>490</v>
      </c>
      <c r="AB1815" s="18"/>
      <c r="AC1815" s="18">
        <v>33</v>
      </c>
      <c r="AD1815" s="28"/>
      <c r="AE1815" s="26"/>
      <c r="AF1815" s="28"/>
    </row>
    <row r="1816" spans="1:32" ht="12.4" customHeight="1" x14ac:dyDescent="0.25">
      <c r="A1816" s="14">
        <v>45883</v>
      </c>
      <c r="B1816" s="14" t="s">
        <v>45</v>
      </c>
      <c r="C1816" s="16">
        <v>1</v>
      </c>
      <c r="D1816" s="16"/>
      <c r="E1816" s="16"/>
      <c r="F1816" s="16"/>
      <c r="G1816" s="16"/>
      <c r="H1816" s="16"/>
      <c r="I1816" s="4">
        <v>0</v>
      </c>
      <c r="J1816" s="4">
        <v>0</v>
      </c>
      <c r="K1816" s="4"/>
      <c r="L1816" s="16"/>
      <c r="M1816" s="4"/>
      <c r="N1816" s="4"/>
      <c r="O1816" s="4"/>
      <c r="P1816" s="4"/>
      <c r="Q1816" s="4"/>
      <c r="R1816" s="4"/>
      <c r="S1816" s="4">
        <v>0</v>
      </c>
      <c r="T1816" s="4">
        <v>0</v>
      </c>
      <c r="U1816" s="4">
        <v>0</v>
      </c>
      <c r="V1816" s="4">
        <v>12</v>
      </c>
      <c r="W1816" s="4">
        <v>12</v>
      </c>
      <c r="X1816" s="4">
        <v>22</v>
      </c>
      <c r="Y1816" s="4">
        <v>2007</v>
      </c>
      <c r="Z1816" s="4">
        <v>125.59</v>
      </c>
      <c r="AA1816" s="4">
        <v>125</v>
      </c>
      <c r="AB1816" s="18">
        <v>398</v>
      </c>
      <c r="AC1816" s="18">
        <v>33</v>
      </c>
      <c r="AD1816" s="28"/>
      <c r="AE1816" s="26"/>
      <c r="AF1816" s="28"/>
    </row>
    <row r="1817" spans="1:32" ht="12.4" customHeight="1" x14ac:dyDescent="0.25">
      <c r="A1817" s="14">
        <v>45883</v>
      </c>
      <c r="B1817" s="14" t="s">
        <v>46</v>
      </c>
      <c r="C1817" s="16">
        <v>1</v>
      </c>
      <c r="D1817" s="16"/>
      <c r="E1817" s="16"/>
      <c r="F1817" s="16"/>
      <c r="G1817" s="16"/>
      <c r="H1817" s="16"/>
      <c r="I1817" s="4">
        <v>0</v>
      </c>
      <c r="J1817" s="4">
        <v>0</v>
      </c>
      <c r="K1817" s="4"/>
      <c r="L1817" s="16"/>
      <c r="M1817" s="4"/>
      <c r="N1817" s="4"/>
      <c r="O1817" s="4"/>
      <c r="P1817" s="4"/>
      <c r="Q1817" s="4"/>
      <c r="R1817" s="4"/>
      <c r="S1817" s="4">
        <v>0</v>
      </c>
      <c r="T1817" s="4">
        <v>0</v>
      </c>
      <c r="U1817" s="4">
        <v>0</v>
      </c>
      <c r="V1817" s="4">
        <v>12</v>
      </c>
      <c r="W1817" s="4">
        <v>12</v>
      </c>
      <c r="X1817" s="4">
        <v>20</v>
      </c>
      <c r="Y1817" s="4"/>
      <c r="Z1817" s="4">
        <v>128.87</v>
      </c>
      <c r="AA1817" s="4">
        <v>128</v>
      </c>
      <c r="AB1817" s="18"/>
      <c r="AC1817" s="18">
        <v>33</v>
      </c>
      <c r="AD1817" s="28"/>
      <c r="AE1817" s="26"/>
      <c r="AF1817" s="28"/>
    </row>
    <row r="1818" spans="1:32" ht="12.4" customHeight="1" x14ac:dyDescent="0.25">
      <c r="A1818" s="14">
        <v>45883</v>
      </c>
      <c r="B1818" s="14" t="s">
        <v>45</v>
      </c>
      <c r="C1818" s="16">
        <v>2</v>
      </c>
      <c r="D1818" s="16"/>
      <c r="E1818" s="16"/>
      <c r="F1818" s="16"/>
      <c r="G1818" s="16"/>
      <c r="H1818" s="16"/>
      <c r="I1818" s="4">
        <v>0</v>
      </c>
      <c r="J1818" s="4">
        <v>0</v>
      </c>
      <c r="K1818" s="4"/>
      <c r="L1818" s="16"/>
      <c r="M1818" s="4"/>
      <c r="N1818" s="4"/>
      <c r="O1818" s="4"/>
      <c r="P1818" s="4"/>
      <c r="Q1818" s="4"/>
      <c r="R1818" s="4"/>
      <c r="S1818" s="4">
        <v>0</v>
      </c>
      <c r="T1818" s="4">
        <v>0</v>
      </c>
      <c r="U1818" s="4">
        <v>0</v>
      </c>
      <c r="V1818" s="4">
        <v>12</v>
      </c>
      <c r="W1818" s="4">
        <v>12</v>
      </c>
      <c r="X1818" s="4">
        <v>0</v>
      </c>
      <c r="Y1818" s="4"/>
      <c r="Z1818" s="4">
        <v>150.78999999999996</v>
      </c>
      <c r="AA1818" s="4">
        <v>152</v>
      </c>
      <c r="AB1818" s="18"/>
      <c r="AC1818" s="18">
        <v>33</v>
      </c>
      <c r="AD1818" s="28"/>
      <c r="AE1818" s="26"/>
      <c r="AF1818" s="28"/>
    </row>
    <row r="1819" spans="1:32" ht="12.4" customHeight="1" x14ac:dyDescent="0.25">
      <c r="A1819" s="14">
        <v>45883</v>
      </c>
      <c r="B1819" s="14" t="s">
        <v>46</v>
      </c>
      <c r="C1819" s="16">
        <v>2</v>
      </c>
      <c r="D1819" s="16"/>
      <c r="E1819" s="16"/>
      <c r="F1819" s="16"/>
      <c r="G1819" s="16"/>
      <c r="H1819" s="16"/>
      <c r="I1819" s="4">
        <v>0</v>
      </c>
      <c r="J1819" s="4">
        <v>0</v>
      </c>
      <c r="K1819" s="4"/>
      <c r="L1819" s="16"/>
      <c r="M1819" s="4"/>
      <c r="N1819" s="4"/>
      <c r="O1819" s="4"/>
      <c r="P1819" s="4"/>
      <c r="Q1819" s="4"/>
      <c r="R1819" s="4"/>
      <c r="S1819" s="4">
        <v>0</v>
      </c>
      <c r="T1819" s="4">
        <v>0</v>
      </c>
      <c r="U1819" s="4">
        <v>0</v>
      </c>
      <c r="V1819" s="4">
        <v>12</v>
      </c>
      <c r="W1819" s="4">
        <v>12</v>
      </c>
      <c r="X1819" s="4">
        <v>0</v>
      </c>
      <c r="Y1819" s="4"/>
      <c r="Z1819" s="4">
        <v>145.04000000000002</v>
      </c>
      <c r="AA1819" s="4">
        <v>147</v>
      </c>
      <c r="AB1819" s="18"/>
      <c r="AC1819" s="18">
        <v>33</v>
      </c>
      <c r="AD1819" s="28"/>
      <c r="AE1819" s="26"/>
      <c r="AF1819" s="28"/>
    </row>
    <row r="1820" spans="1:32" ht="12.4" customHeight="1" x14ac:dyDescent="0.25">
      <c r="A1820" s="14">
        <v>45883</v>
      </c>
      <c r="B1820" s="14" t="s">
        <v>45</v>
      </c>
      <c r="C1820" s="16">
        <v>3</v>
      </c>
      <c r="D1820" s="16"/>
      <c r="E1820" s="16"/>
      <c r="F1820" s="16"/>
      <c r="G1820" s="16"/>
      <c r="H1820" s="16"/>
      <c r="I1820" s="4">
        <v>0</v>
      </c>
      <c r="J1820" s="4">
        <v>0</v>
      </c>
      <c r="K1820" s="4"/>
      <c r="L1820" s="16"/>
      <c r="M1820" s="4"/>
      <c r="N1820" s="4"/>
      <c r="O1820" s="4"/>
      <c r="P1820" s="4"/>
      <c r="Q1820" s="4"/>
      <c r="R1820" s="4"/>
      <c r="S1820" s="4">
        <v>0</v>
      </c>
      <c r="T1820" s="4">
        <v>0</v>
      </c>
      <c r="U1820" s="4">
        <v>0</v>
      </c>
      <c r="V1820" s="4">
        <v>12</v>
      </c>
      <c r="W1820" s="4">
        <v>12</v>
      </c>
      <c r="X1820" s="4">
        <v>0</v>
      </c>
      <c r="Y1820" s="4"/>
      <c r="Z1820" s="4">
        <v>242.57</v>
      </c>
      <c r="AA1820" s="4">
        <v>245</v>
      </c>
      <c r="AB1820" s="18"/>
      <c r="AC1820" s="18">
        <v>33</v>
      </c>
      <c r="AD1820" s="28"/>
      <c r="AE1820" s="26"/>
      <c r="AF1820" s="28"/>
    </row>
    <row r="1821" spans="1:32" ht="12.4" customHeight="1" x14ac:dyDescent="0.25">
      <c r="A1821" s="14">
        <v>45883</v>
      </c>
      <c r="B1821" s="14" t="s">
        <v>46</v>
      </c>
      <c r="C1821" s="16">
        <v>3</v>
      </c>
      <c r="D1821" s="16"/>
      <c r="E1821" s="16"/>
      <c r="F1821" s="16"/>
      <c r="G1821" s="16"/>
      <c r="H1821" s="16"/>
      <c r="I1821" s="4">
        <v>0</v>
      </c>
      <c r="J1821" s="4">
        <v>0</v>
      </c>
      <c r="K1821" s="4"/>
      <c r="L1821" s="16"/>
      <c r="M1821" s="4"/>
      <c r="N1821" s="4"/>
      <c r="O1821" s="4"/>
      <c r="P1821" s="4"/>
      <c r="Q1821" s="4"/>
      <c r="R1821" s="4"/>
      <c r="S1821" s="4">
        <v>0</v>
      </c>
      <c r="T1821" s="4">
        <v>0</v>
      </c>
      <c r="U1821" s="4">
        <v>0</v>
      </c>
      <c r="V1821" s="4">
        <v>12</v>
      </c>
      <c r="W1821" s="4">
        <v>12</v>
      </c>
      <c r="X1821" s="4">
        <v>0</v>
      </c>
      <c r="Y1821" s="4"/>
      <c r="Z1821" s="4">
        <v>220.14</v>
      </c>
      <c r="AA1821" s="4">
        <v>222</v>
      </c>
      <c r="AB1821" s="18"/>
      <c r="AC1821" s="18">
        <v>33</v>
      </c>
      <c r="AD1821" s="28"/>
      <c r="AE1821" s="26"/>
      <c r="AF1821" s="28"/>
    </row>
    <row r="1822" spans="1:32" ht="12.4" customHeight="1" x14ac:dyDescent="0.25">
      <c r="A1822" s="14">
        <v>45883</v>
      </c>
      <c r="B1822" s="14" t="s">
        <v>45</v>
      </c>
      <c r="C1822" s="16">
        <v>4</v>
      </c>
      <c r="D1822" s="16">
        <v>25</v>
      </c>
      <c r="E1822" s="16"/>
      <c r="F1822" s="16"/>
      <c r="G1822" s="16"/>
      <c r="H1822" s="16"/>
      <c r="I1822" s="4">
        <v>25</v>
      </c>
      <c r="J1822" s="4">
        <v>0.41666666666666669</v>
      </c>
      <c r="K1822" s="4"/>
      <c r="L1822" s="16"/>
      <c r="M1822" s="4"/>
      <c r="N1822" s="4"/>
      <c r="O1822" s="4"/>
      <c r="P1822" s="4"/>
      <c r="Q1822" s="4"/>
      <c r="R1822" s="4"/>
      <c r="S1822" s="4">
        <v>0</v>
      </c>
      <c r="T1822" s="4">
        <v>0</v>
      </c>
      <c r="U1822" s="4">
        <v>0.41666666666666669</v>
      </c>
      <c r="V1822" s="4">
        <v>11.583333333333334</v>
      </c>
      <c r="W1822" s="4">
        <v>12</v>
      </c>
      <c r="X1822" s="4">
        <v>0</v>
      </c>
      <c r="Y1822" s="4"/>
      <c r="Z1822" s="4">
        <v>714.71</v>
      </c>
      <c r="AA1822" s="4">
        <v>715</v>
      </c>
      <c r="AB1822" s="18"/>
      <c r="AC1822" s="18">
        <v>33</v>
      </c>
      <c r="AD1822" s="28"/>
      <c r="AE1822" s="26"/>
      <c r="AF1822" s="28"/>
    </row>
    <row r="1823" spans="1:32" ht="12.4" customHeight="1" x14ac:dyDescent="0.25">
      <c r="A1823" s="14">
        <v>45883</v>
      </c>
      <c r="B1823" s="14" t="s">
        <v>46</v>
      </c>
      <c r="C1823" s="16">
        <v>4</v>
      </c>
      <c r="D1823" s="16"/>
      <c r="E1823" s="16"/>
      <c r="F1823" s="16"/>
      <c r="G1823" s="16"/>
      <c r="H1823" s="16"/>
      <c r="I1823" s="4">
        <v>0</v>
      </c>
      <c r="J1823" s="4">
        <v>0</v>
      </c>
      <c r="K1823" s="4"/>
      <c r="L1823" s="16"/>
      <c r="M1823" s="4"/>
      <c r="N1823" s="4"/>
      <c r="O1823" s="4"/>
      <c r="P1823" s="4"/>
      <c r="Q1823" s="4"/>
      <c r="R1823" s="4"/>
      <c r="S1823" s="4">
        <v>0</v>
      </c>
      <c r="T1823" s="4">
        <v>0</v>
      </c>
      <c r="U1823" s="4">
        <v>0</v>
      </c>
      <c r="V1823" s="4">
        <v>12</v>
      </c>
      <c r="W1823" s="4">
        <v>12</v>
      </c>
      <c r="X1823" s="4">
        <v>0</v>
      </c>
      <c r="Y1823" s="4"/>
      <c r="Z1823" s="4">
        <v>720.39999999999986</v>
      </c>
      <c r="AA1823" s="4">
        <v>723</v>
      </c>
      <c r="AB1823" s="18"/>
      <c r="AC1823" s="18">
        <v>33</v>
      </c>
      <c r="AD1823" s="28"/>
      <c r="AE1823" s="26"/>
      <c r="AF1823" s="28"/>
    </row>
    <row r="1824" spans="1:32" ht="12.4" customHeight="1" x14ac:dyDescent="0.25">
      <c r="A1824" s="14">
        <v>45883</v>
      </c>
      <c r="B1824" s="14" t="s">
        <v>45</v>
      </c>
      <c r="C1824" s="16">
        <v>5</v>
      </c>
      <c r="D1824" s="16">
        <v>20</v>
      </c>
      <c r="E1824" s="16"/>
      <c r="F1824" s="16"/>
      <c r="G1824" s="16"/>
      <c r="H1824" s="16"/>
      <c r="I1824" s="4">
        <v>20</v>
      </c>
      <c r="J1824" s="4">
        <v>0.33333333333333331</v>
      </c>
      <c r="K1824" s="4"/>
      <c r="L1824" s="16"/>
      <c r="M1824" s="4"/>
      <c r="N1824" s="4"/>
      <c r="O1824" s="4"/>
      <c r="P1824" s="4"/>
      <c r="Q1824" s="4"/>
      <c r="R1824" s="4"/>
      <c r="S1824" s="4">
        <v>0</v>
      </c>
      <c r="T1824" s="4">
        <v>0</v>
      </c>
      <c r="U1824" s="4">
        <v>0.33333333333333331</v>
      </c>
      <c r="V1824" s="4">
        <v>11.666666666666666</v>
      </c>
      <c r="W1824" s="4">
        <v>12</v>
      </c>
      <c r="X1824" s="4">
        <v>0</v>
      </c>
      <c r="Y1824" s="4"/>
      <c r="Z1824" s="4">
        <v>432.35</v>
      </c>
      <c r="AA1824" s="4">
        <v>433</v>
      </c>
      <c r="AB1824" s="18"/>
      <c r="AC1824" s="18">
        <v>33</v>
      </c>
      <c r="AD1824" s="28"/>
      <c r="AE1824" s="26"/>
      <c r="AF1824" s="28"/>
    </row>
    <row r="1825" spans="1:32" ht="12.4" customHeight="1" x14ac:dyDescent="0.25">
      <c r="A1825" s="14">
        <v>45883</v>
      </c>
      <c r="B1825" s="14" t="s">
        <v>46</v>
      </c>
      <c r="C1825" s="16">
        <v>5</v>
      </c>
      <c r="D1825" s="16"/>
      <c r="E1825" s="16"/>
      <c r="F1825" s="16"/>
      <c r="G1825" s="16"/>
      <c r="H1825" s="16"/>
      <c r="I1825" s="4">
        <v>0</v>
      </c>
      <c r="J1825" s="4">
        <v>0</v>
      </c>
      <c r="K1825" s="4"/>
      <c r="L1825" s="16"/>
      <c r="M1825" s="4"/>
      <c r="N1825" s="4"/>
      <c r="O1825" s="4"/>
      <c r="P1825" s="4"/>
      <c r="Q1825" s="4"/>
      <c r="R1825" s="4"/>
      <c r="S1825" s="4">
        <v>0</v>
      </c>
      <c r="T1825" s="4">
        <v>0</v>
      </c>
      <c r="U1825" s="4">
        <v>0</v>
      </c>
      <c r="V1825" s="4">
        <v>12</v>
      </c>
      <c r="W1825" s="4">
        <v>12</v>
      </c>
      <c r="X1825" s="4">
        <v>0</v>
      </c>
      <c r="Y1825" s="4"/>
      <c r="Z1825" s="4">
        <v>409.42</v>
      </c>
      <c r="AA1825" s="4">
        <v>410</v>
      </c>
      <c r="AB1825" s="18"/>
      <c r="AC1825" s="18">
        <v>33</v>
      </c>
      <c r="AD1825" s="28"/>
      <c r="AE1825" s="26"/>
      <c r="AF1825" s="28"/>
    </row>
    <row r="1826" spans="1:32" ht="12.4" customHeight="1" x14ac:dyDescent="0.25">
      <c r="A1826" s="14">
        <v>45884</v>
      </c>
      <c r="B1826" s="14" t="s">
        <v>45</v>
      </c>
      <c r="C1826" s="16">
        <v>1</v>
      </c>
      <c r="D1826" s="16">
        <v>30</v>
      </c>
      <c r="E1826" s="16"/>
      <c r="F1826" s="16"/>
      <c r="G1826" s="16"/>
      <c r="H1826" s="16"/>
      <c r="I1826" s="4">
        <v>30</v>
      </c>
      <c r="J1826" s="4">
        <v>0.5</v>
      </c>
      <c r="K1826" s="4"/>
      <c r="L1826" s="16"/>
      <c r="M1826" s="4"/>
      <c r="N1826" s="4"/>
      <c r="O1826" s="4"/>
      <c r="P1826" s="4"/>
      <c r="Q1826" s="4"/>
      <c r="R1826" s="4"/>
      <c r="S1826" s="4">
        <v>0</v>
      </c>
      <c r="T1826" s="4">
        <v>0</v>
      </c>
      <c r="U1826" s="4">
        <v>0.5</v>
      </c>
      <c r="V1826" s="4">
        <v>11.5</v>
      </c>
      <c r="W1826" s="4">
        <v>12</v>
      </c>
      <c r="X1826" s="4">
        <v>18</v>
      </c>
      <c r="Y1826" s="4">
        <v>2008</v>
      </c>
      <c r="Z1826" s="4">
        <v>126.85000000000001</v>
      </c>
      <c r="AA1826" s="4">
        <v>120</v>
      </c>
      <c r="AB1826" s="18">
        <v>398</v>
      </c>
      <c r="AC1826" s="18">
        <v>33</v>
      </c>
      <c r="AD1826" s="28"/>
      <c r="AE1826" s="26"/>
      <c r="AF1826" s="28"/>
    </row>
    <row r="1827" spans="1:32" ht="12.4" customHeight="1" x14ac:dyDescent="0.25">
      <c r="A1827" s="14">
        <v>45884</v>
      </c>
      <c r="B1827" s="14" t="s">
        <v>46</v>
      </c>
      <c r="C1827" s="16">
        <v>1</v>
      </c>
      <c r="D1827" s="16"/>
      <c r="E1827" s="16"/>
      <c r="F1827" s="16"/>
      <c r="G1827" s="16"/>
      <c r="H1827" s="16"/>
      <c r="I1827" s="4">
        <v>0</v>
      </c>
      <c r="J1827" s="4">
        <v>0</v>
      </c>
      <c r="K1827" s="4"/>
      <c r="L1827" s="16"/>
      <c r="M1827" s="4"/>
      <c r="N1827" s="4"/>
      <c r="O1827" s="4"/>
      <c r="P1827" s="4"/>
      <c r="Q1827" s="4"/>
      <c r="R1827" s="4"/>
      <c r="S1827" s="4">
        <v>0</v>
      </c>
      <c r="T1827" s="4">
        <v>0</v>
      </c>
      <c r="U1827" s="4">
        <v>0</v>
      </c>
      <c r="V1827" s="4">
        <v>12</v>
      </c>
      <c r="W1827" s="4">
        <v>12</v>
      </c>
      <c r="X1827" s="4">
        <v>28</v>
      </c>
      <c r="Y1827" s="4"/>
      <c r="Z1827" s="4">
        <v>139.89000000000001</v>
      </c>
      <c r="AA1827" s="4">
        <v>130</v>
      </c>
      <c r="AB1827" s="18"/>
      <c r="AC1827" s="18">
        <v>33</v>
      </c>
      <c r="AD1827" s="28"/>
      <c r="AE1827" s="26"/>
      <c r="AF1827" s="28"/>
    </row>
    <row r="1828" spans="1:32" ht="12.4" customHeight="1" x14ac:dyDescent="0.25">
      <c r="A1828" s="14">
        <v>45884</v>
      </c>
      <c r="B1828" s="14" t="s">
        <v>45</v>
      </c>
      <c r="C1828" s="16">
        <v>2</v>
      </c>
      <c r="D1828" s="16"/>
      <c r="E1828" s="16"/>
      <c r="F1828" s="16"/>
      <c r="G1828" s="16"/>
      <c r="H1828" s="16"/>
      <c r="I1828" s="4">
        <v>0</v>
      </c>
      <c r="J1828" s="4">
        <v>0</v>
      </c>
      <c r="K1828" s="4"/>
      <c r="L1828" s="16"/>
      <c r="M1828" s="4"/>
      <c r="N1828" s="4"/>
      <c r="O1828" s="4"/>
      <c r="P1828" s="4"/>
      <c r="Q1828" s="4"/>
      <c r="R1828" s="4"/>
      <c r="S1828" s="4">
        <v>0</v>
      </c>
      <c r="T1828" s="4">
        <v>0</v>
      </c>
      <c r="U1828" s="4">
        <v>0</v>
      </c>
      <c r="V1828" s="4">
        <v>12</v>
      </c>
      <c r="W1828" s="4">
        <v>12</v>
      </c>
      <c r="X1828" s="4">
        <v>0</v>
      </c>
      <c r="Y1828" s="4"/>
      <c r="Z1828" s="4">
        <v>144.97999999999999</v>
      </c>
      <c r="AA1828" s="4">
        <v>140</v>
      </c>
      <c r="AB1828" s="18"/>
      <c r="AC1828" s="18">
        <v>33</v>
      </c>
      <c r="AD1828" s="28"/>
      <c r="AE1828" s="26"/>
      <c r="AF1828" s="28"/>
    </row>
    <row r="1829" spans="1:32" ht="12.4" customHeight="1" x14ac:dyDescent="0.25">
      <c r="A1829" s="14">
        <v>45884</v>
      </c>
      <c r="B1829" s="14" t="s">
        <v>46</v>
      </c>
      <c r="C1829" s="16">
        <v>2</v>
      </c>
      <c r="D1829" s="16"/>
      <c r="E1829" s="16"/>
      <c r="F1829" s="16"/>
      <c r="G1829" s="16"/>
      <c r="H1829" s="16"/>
      <c r="I1829" s="4">
        <v>0</v>
      </c>
      <c r="J1829" s="4">
        <v>0</v>
      </c>
      <c r="K1829" s="4"/>
      <c r="L1829" s="16"/>
      <c r="M1829" s="4"/>
      <c r="N1829" s="4"/>
      <c r="O1829" s="4"/>
      <c r="P1829" s="4"/>
      <c r="Q1829" s="4"/>
      <c r="R1829" s="4"/>
      <c r="S1829" s="4">
        <v>0</v>
      </c>
      <c r="T1829" s="4">
        <v>0</v>
      </c>
      <c r="U1829" s="4">
        <v>0</v>
      </c>
      <c r="V1829" s="4">
        <v>12</v>
      </c>
      <c r="W1829" s="4">
        <v>12</v>
      </c>
      <c r="X1829" s="4">
        <v>0</v>
      </c>
      <c r="Y1829" s="4"/>
      <c r="Z1829" s="4">
        <v>134.81</v>
      </c>
      <c r="AA1829" s="4">
        <v>130</v>
      </c>
      <c r="AB1829" s="18"/>
      <c r="AC1829" s="18">
        <v>33</v>
      </c>
      <c r="AD1829" s="28"/>
      <c r="AE1829" s="26"/>
      <c r="AF1829" s="28"/>
    </row>
    <row r="1830" spans="1:32" ht="12.4" customHeight="1" x14ac:dyDescent="0.25">
      <c r="A1830" s="14">
        <v>45884</v>
      </c>
      <c r="B1830" s="14" t="s">
        <v>45</v>
      </c>
      <c r="C1830" s="16">
        <v>3</v>
      </c>
      <c r="D1830" s="16"/>
      <c r="E1830" s="16"/>
      <c r="F1830" s="16"/>
      <c r="G1830" s="16"/>
      <c r="H1830" s="16"/>
      <c r="I1830" s="4">
        <v>0</v>
      </c>
      <c r="J1830" s="4">
        <v>0</v>
      </c>
      <c r="K1830" s="4"/>
      <c r="L1830" s="16"/>
      <c r="M1830" s="4"/>
      <c r="N1830" s="4"/>
      <c r="O1830" s="4"/>
      <c r="P1830" s="4"/>
      <c r="Q1830" s="4"/>
      <c r="R1830" s="4"/>
      <c r="S1830" s="4">
        <v>0</v>
      </c>
      <c r="T1830" s="4">
        <v>0</v>
      </c>
      <c r="U1830" s="4">
        <v>0</v>
      </c>
      <c r="V1830" s="4">
        <v>12</v>
      </c>
      <c r="W1830" s="4">
        <v>12</v>
      </c>
      <c r="X1830" s="4">
        <v>0</v>
      </c>
      <c r="Y1830" s="4"/>
      <c r="Z1830" s="4">
        <v>241.50000000000003</v>
      </c>
      <c r="AA1830" s="4">
        <v>240</v>
      </c>
      <c r="AB1830" s="18"/>
      <c r="AC1830" s="18">
        <v>33</v>
      </c>
      <c r="AD1830" s="28"/>
      <c r="AE1830" s="26"/>
      <c r="AF1830" s="28"/>
    </row>
    <row r="1831" spans="1:32" ht="12.4" customHeight="1" x14ac:dyDescent="0.25">
      <c r="A1831" s="14">
        <v>45884</v>
      </c>
      <c r="B1831" s="14" t="s">
        <v>46</v>
      </c>
      <c r="C1831" s="16">
        <v>3</v>
      </c>
      <c r="D1831" s="16"/>
      <c r="E1831" s="16"/>
      <c r="F1831" s="16"/>
      <c r="G1831" s="16"/>
      <c r="H1831" s="16"/>
      <c r="I1831" s="4">
        <v>0</v>
      </c>
      <c r="J1831" s="4">
        <v>0</v>
      </c>
      <c r="K1831" s="4"/>
      <c r="L1831" s="16"/>
      <c r="M1831" s="4"/>
      <c r="N1831" s="4"/>
      <c r="O1831" s="4"/>
      <c r="P1831" s="4"/>
      <c r="Q1831" s="4"/>
      <c r="R1831" s="4"/>
      <c r="S1831" s="4">
        <v>0</v>
      </c>
      <c r="T1831" s="4">
        <v>0</v>
      </c>
      <c r="U1831" s="4">
        <v>0</v>
      </c>
      <c r="V1831" s="4">
        <v>12</v>
      </c>
      <c r="W1831" s="4">
        <v>12</v>
      </c>
      <c r="X1831" s="4">
        <v>0</v>
      </c>
      <c r="Y1831" s="4"/>
      <c r="Z1831" s="4">
        <v>235.98</v>
      </c>
      <c r="AA1831" s="4">
        <v>235.98</v>
      </c>
      <c r="AB1831" s="18"/>
      <c r="AC1831" s="18">
        <v>33</v>
      </c>
      <c r="AD1831" s="28"/>
      <c r="AE1831" s="26"/>
      <c r="AF1831" s="28"/>
    </row>
    <row r="1832" spans="1:32" ht="12.4" customHeight="1" x14ac:dyDescent="0.25">
      <c r="A1832" s="14">
        <v>45884</v>
      </c>
      <c r="B1832" s="14" t="s">
        <v>45</v>
      </c>
      <c r="C1832" s="16">
        <v>4</v>
      </c>
      <c r="D1832" s="16"/>
      <c r="E1832" s="16"/>
      <c r="F1832" s="16"/>
      <c r="G1832" s="16"/>
      <c r="H1832" s="16"/>
      <c r="I1832" s="4">
        <v>0</v>
      </c>
      <c r="J1832" s="4">
        <v>0</v>
      </c>
      <c r="K1832" s="4"/>
      <c r="L1832" s="16"/>
      <c r="M1832" s="4"/>
      <c r="N1832" s="4"/>
      <c r="O1832" s="4"/>
      <c r="P1832" s="4"/>
      <c r="Q1832" s="4"/>
      <c r="R1832" s="4"/>
      <c r="S1832" s="4">
        <v>0</v>
      </c>
      <c r="T1832" s="4">
        <v>0</v>
      </c>
      <c r="U1832" s="4">
        <v>0</v>
      </c>
      <c r="V1832" s="4">
        <v>12</v>
      </c>
      <c r="W1832" s="4">
        <v>12</v>
      </c>
      <c r="X1832" s="4">
        <v>0</v>
      </c>
      <c r="Y1832" s="4"/>
      <c r="Z1832" s="4">
        <v>692.96</v>
      </c>
      <c r="AA1832" s="4">
        <v>692.96</v>
      </c>
      <c r="AB1832" s="18"/>
      <c r="AC1832" s="18">
        <v>33</v>
      </c>
      <c r="AD1832" s="28"/>
      <c r="AE1832" s="26"/>
      <c r="AF1832" s="28"/>
    </row>
    <row r="1833" spans="1:32" ht="12.4" customHeight="1" x14ac:dyDescent="0.25">
      <c r="A1833" s="14">
        <v>45884</v>
      </c>
      <c r="B1833" s="14" t="s">
        <v>46</v>
      </c>
      <c r="C1833" s="16">
        <v>4</v>
      </c>
      <c r="D1833" s="16"/>
      <c r="E1833" s="16"/>
      <c r="F1833" s="16"/>
      <c r="G1833" s="16"/>
      <c r="H1833" s="16"/>
      <c r="I1833" s="4">
        <v>0</v>
      </c>
      <c r="J1833" s="4">
        <v>0</v>
      </c>
      <c r="K1833" s="4"/>
      <c r="L1833" s="16"/>
      <c r="M1833" s="4"/>
      <c r="N1833" s="4"/>
      <c r="O1833" s="4"/>
      <c r="P1833" s="4"/>
      <c r="Q1833" s="4"/>
      <c r="R1833" s="4"/>
      <c r="S1833" s="4">
        <v>0</v>
      </c>
      <c r="T1833" s="4">
        <v>0</v>
      </c>
      <c r="U1833" s="4">
        <v>0</v>
      </c>
      <c r="V1833" s="4">
        <v>12</v>
      </c>
      <c r="W1833" s="4">
        <v>12</v>
      </c>
      <c r="X1833" s="4">
        <v>0</v>
      </c>
      <c r="Y1833" s="4"/>
      <c r="Z1833" s="4">
        <v>686.07999999999993</v>
      </c>
      <c r="AA1833" s="4">
        <v>686.07999999999993</v>
      </c>
      <c r="AB1833" s="18"/>
      <c r="AC1833" s="18">
        <v>33</v>
      </c>
      <c r="AD1833" s="28"/>
      <c r="AE1833" s="26"/>
      <c r="AF1833" s="28"/>
    </row>
    <row r="1834" spans="1:32" ht="12.4" customHeight="1" x14ac:dyDescent="0.25">
      <c r="A1834" s="14">
        <v>45884</v>
      </c>
      <c r="B1834" s="14" t="s">
        <v>45</v>
      </c>
      <c r="C1834" s="16">
        <v>5</v>
      </c>
      <c r="D1834" s="16"/>
      <c r="E1834" s="16"/>
      <c r="F1834" s="16"/>
      <c r="G1834" s="16"/>
      <c r="H1834" s="16"/>
      <c r="I1834" s="4">
        <v>0</v>
      </c>
      <c r="J1834" s="4">
        <v>0</v>
      </c>
      <c r="K1834" s="4"/>
      <c r="L1834" s="16"/>
      <c r="M1834" s="4"/>
      <c r="N1834" s="4"/>
      <c r="O1834" s="4"/>
      <c r="P1834" s="4"/>
      <c r="Q1834" s="4"/>
      <c r="R1834" s="4"/>
      <c r="S1834" s="4">
        <v>0</v>
      </c>
      <c r="T1834" s="4">
        <v>0</v>
      </c>
      <c r="U1834" s="4">
        <v>0</v>
      </c>
      <c r="V1834" s="4">
        <v>12</v>
      </c>
      <c r="W1834" s="4">
        <v>12</v>
      </c>
      <c r="X1834" s="4">
        <v>0</v>
      </c>
      <c r="Y1834" s="4"/>
      <c r="Z1834" s="4">
        <v>422.96000000000009</v>
      </c>
      <c r="AA1834" s="4">
        <v>422.96000000000009</v>
      </c>
      <c r="AB1834" s="18"/>
      <c r="AC1834" s="18">
        <v>33</v>
      </c>
      <c r="AD1834" s="28"/>
      <c r="AE1834" s="26"/>
      <c r="AF1834" s="28"/>
    </row>
    <row r="1835" spans="1:32" ht="12.4" customHeight="1" x14ac:dyDescent="0.25">
      <c r="A1835" s="14">
        <v>45884</v>
      </c>
      <c r="B1835" s="14" t="s">
        <v>46</v>
      </c>
      <c r="C1835" s="16">
        <v>5</v>
      </c>
      <c r="D1835" s="16"/>
      <c r="E1835" s="16"/>
      <c r="F1835" s="16"/>
      <c r="G1835" s="16"/>
      <c r="H1835" s="16"/>
      <c r="I1835" s="4">
        <v>0</v>
      </c>
      <c r="J1835" s="4">
        <v>0</v>
      </c>
      <c r="K1835" s="4"/>
      <c r="L1835" s="16"/>
      <c r="M1835" s="4"/>
      <c r="N1835" s="4"/>
      <c r="O1835" s="4"/>
      <c r="P1835" s="4"/>
      <c r="Q1835" s="4"/>
      <c r="R1835" s="4"/>
      <c r="S1835" s="4">
        <v>0</v>
      </c>
      <c r="T1835" s="4">
        <v>0</v>
      </c>
      <c r="U1835" s="4">
        <v>0</v>
      </c>
      <c r="V1835" s="4">
        <v>12</v>
      </c>
      <c r="W1835" s="4">
        <v>12</v>
      </c>
      <c r="X1835" s="4">
        <v>0</v>
      </c>
      <c r="Y1835" s="4"/>
      <c r="Z1835" s="4">
        <v>406.63999999999993</v>
      </c>
      <c r="AA1835" s="4">
        <v>403</v>
      </c>
      <c r="AB1835" s="18"/>
      <c r="AC1835" s="18">
        <v>33</v>
      </c>
      <c r="AD1835" s="28"/>
      <c r="AE1835" s="26"/>
      <c r="AF1835" s="28"/>
    </row>
    <row r="1836" spans="1:32" ht="12.4" customHeight="1" x14ac:dyDescent="0.25">
      <c r="A1836" s="34">
        <v>45885</v>
      </c>
      <c r="B1836" s="34" t="s">
        <v>45</v>
      </c>
      <c r="C1836" s="35">
        <v>1</v>
      </c>
      <c r="D1836" s="35">
        <v>30</v>
      </c>
      <c r="E1836" s="35"/>
      <c r="F1836" s="35"/>
      <c r="G1836" s="35"/>
      <c r="H1836" s="35"/>
      <c r="I1836" s="36">
        <v>30</v>
      </c>
      <c r="J1836" s="4">
        <v>0.5</v>
      </c>
      <c r="K1836" s="4"/>
      <c r="L1836" s="16"/>
      <c r="M1836" s="4"/>
      <c r="N1836" s="4"/>
      <c r="O1836" s="4"/>
      <c r="P1836" s="4"/>
      <c r="Q1836" s="4"/>
      <c r="R1836" s="4"/>
      <c r="S1836" s="4">
        <v>0</v>
      </c>
      <c r="T1836" s="4">
        <v>0</v>
      </c>
      <c r="U1836" s="4">
        <v>0.5</v>
      </c>
      <c r="V1836" s="4">
        <v>11.5</v>
      </c>
      <c r="W1836" s="4">
        <v>12</v>
      </c>
      <c r="X1836" s="4">
        <v>37</v>
      </c>
      <c r="Y1836" s="4">
        <v>1954.5</v>
      </c>
      <c r="Z1836" s="4">
        <v>123.41000000000001</v>
      </c>
      <c r="AA1836" s="4">
        <v>150</v>
      </c>
      <c r="AB1836" s="18">
        <v>398</v>
      </c>
      <c r="AC1836" s="18">
        <v>33</v>
      </c>
      <c r="AD1836" s="28"/>
      <c r="AE1836" s="26"/>
      <c r="AF1836" s="28"/>
    </row>
    <row r="1837" spans="1:32" ht="12.4" customHeight="1" x14ac:dyDescent="0.25">
      <c r="A1837" s="34">
        <v>45885</v>
      </c>
      <c r="B1837" s="34" t="s">
        <v>46</v>
      </c>
      <c r="C1837" s="35">
        <v>1</v>
      </c>
      <c r="D1837" s="35"/>
      <c r="E1837" s="35"/>
      <c r="F1837" s="35"/>
      <c r="G1837" s="35"/>
      <c r="H1837" s="35"/>
      <c r="I1837" s="36">
        <v>0</v>
      </c>
      <c r="J1837" s="4">
        <v>0</v>
      </c>
      <c r="K1837" s="4"/>
      <c r="L1837" s="16"/>
      <c r="M1837" s="4"/>
      <c r="N1837" s="4"/>
      <c r="O1837" s="4"/>
      <c r="P1837" s="4"/>
      <c r="Q1837" s="4"/>
      <c r="R1837" s="4"/>
      <c r="S1837" s="4">
        <v>0</v>
      </c>
      <c r="T1837" s="4">
        <v>0</v>
      </c>
      <c r="U1837" s="4">
        <v>0</v>
      </c>
      <c r="V1837" s="4">
        <v>12</v>
      </c>
      <c r="W1837" s="4">
        <v>12</v>
      </c>
      <c r="X1837" s="4">
        <v>30</v>
      </c>
      <c r="Y1837" s="4"/>
      <c r="Z1837" s="4">
        <v>147.15</v>
      </c>
      <c r="AA1837" s="4">
        <v>150</v>
      </c>
      <c r="AB1837" s="18"/>
      <c r="AC1837" s="18">
        <v>33</v>
      </c>
      <c r="AD1837" s="28"/>
      <c r="AE1837" s="26"/>
      <c r="AF1837" s="28"/>
    </row>
    <row r="1838" spans="1:32" ht="12.4" customHeight="1" x14ac:dyDescent="0.25">
      <c r="A1838" s="34">
        <v>45885</v>
      </c>
      <c r="B1838" s="34" t="s">
        <v>45</v>
      </c>
      <c r="C1838" s="35">
        <v>2</v>
      </c>
      <c r="D1838" s="35"/>
      <c r="E1838" s="35"/>
      <c r="F1838" s="35"/>
      <c r="G1838" s="35"/>
      <c r="H1838" s="35"/>
      <c r="I1838" s="36">
        <v>0</v>
      </c>
      <c r="J1838" s="4">
        <v>0</v>
      </c>
      <c r="K1838" s="4"/>
      <c r="L1838" s="16"/>
      <c r="M1838" s="4"/>
      <c r="N1838" s="4"/>
      <c r="O1838" s="4"/>
      <c r="P1838" s="4"/>
      <c r="Q1838" s="4"/>
      <c r="R1838" s="4"/>
      <c r="S1838" s="4">
        <v>0</v>
      </c>
      <c r="T1838" s="4">
        <v>0</v>
      </c>
      <c r="U1838" s="4">
        <v>0</v>
      </c>
      <c r="V1838" s="4">
        <v>12</v>
      </c>
      <c r="W1838" s="4">
        <v>12</v>
      </c>
      <c r="X1838" s="4">
        <v>0</v>
      </c>
      <c r="Y1838" s="4"/>
      <c r="Z1838" s="4">
        <v>145.38000000000002</v>
      </c>
      <c r="AA1838" s="4">
        <v>150</v>
      </c>
      <c r="AB1838" s="18"/>
      <c r="AC1838" s="18">
        <v>33</v>
      </c>
      <c r="AD1838" s="28"/>
      <c r="AE1838" s="26"/>
      <c r="AF1838" s="28"/>
    </row>
    <row r="1839" spans="1:32" ht="12.4" customHeight="1" x14ac:dyDescent="0.25">
      <c r="A1839" s="34">
        <v>45885</v>
      </c>
      <c r="B1839" s="34" t="s">
        <v>46</v>
      </c>
      <c r="C1839" s="35">
        <v>2</v>
      </c>
      <c r="D1839" s="35"/>
      <c r="E1839" s="35"/>
      <c r="F1839" s="35"/>
      <c r="G1839" s="35"/>
      <c r="H1839" s="35"/>
      <c r="I1839" s="36">
        <v>0</v>
      </c>
      <c r="J1839" s="4">
        <v>0</v>
      </c>
      <c r="K1839" s="4"/>
      <c r="L1839" s="16"/>
      <c r="M1839" s="4"/>
      <c r="N1839" s="4"/>
      <c r="O1839" s="4"/>
      <c r="P1839" s="4"/>
      <c r="Q1839" s="4"/>
      <c r="R1839" s="4"/>
      <c r="S1839" s="4">
        <v>0</v>
      </c>
      <c r="T1839" s="4">
        <v>0</v>
      </c>
      <c r="U1839" s="4">
        <v>0</v>
      </c>
      <c r="V1839" s="4">
        <v>12</v>
      </c>
      <c r="W1839" s="4">
        <v>12</v>
      </c>
      <c r="X1839" s="4">
        <v>0</v>
      </c>
      <c r="Y1839" s="4"/>
      <c r="Z1839" s="4">
        <v>148.99</v>
      </c>
      <c r="AA1839" s="4">
        <v>150</v>
      </c>
      <c r="AB1839" s="18"/>
      <c r="AC1839" s="18">
        <v>33</v>
      </c>
      <c r="AD1839" s="28"/>
      <c r="AE1839" s="26"/>
      <c r="AF1839" s="28"/>
    </row>
    <row r="1840" spans="1:32" ht="12.4" customHeight="1" x14ac:dyDescent="0.25">
      <c r="A1840" s="34">
        <v>45885</v>
      </c>
      <c r="B1840" s="34" t="s">
        <v>45</v>
      </c>
      <c r="C1840" s="35">
        <v>3</v>
      </c>
      <c r="D1840" s="35"/>
      <c r="E1840" s="35"/>
      <c r="F1840" s="35"/>
      <c r="G1840" s="35"/>
      <c r="H1840" s="35"/>
      <c r="I1840" s="36">
        <v>0</v>
      </c>
      <c r="J1840" s="4">
        <v>0</v>
      </c>
      <c r="K1840" s="4"/>
      <c r="L1840" s="16"/>
      <c r="M1840" s="4">
        <v>100</v>
      </c>
      <c r="N1840" s="4"/>
      <c r="O1840" s="4"/>
      <c r="P1840" s="4"/>
      <c r="Q1840" s="4"/>
      <c r="R1840" s="4"/>
      <c r="S1840" s="4">
        <v>100</v>
      </c>
      <c r="T1840" s="4">
        <v>1.6666666666666667</v>
      </c>
      <c r="U1840" s="4">
        <v>1.6666666666666667</v>
      </c>
      <c r="V1840" s="4">
        <v>10.333333333333334</v>
      </c>
      <c r="W1840" s="4">
        <v>12</v>
      </c>
      <c r="X1840" s="4">
        <v>0</v>
      </c>
      <c r="Y1840" s="4"/>
      <c r="Z1840" s="4">
        <v>234.69000000000003</v>
      </c>
      <c r="AA1840" s="4">
        <v>240</v>
      </c>
      <c r="AB1840" s="18"/>
      <c r="AC1840" s="18">
        <v>33</v>
      </c>
      <c r="AD1840" s="28"/>
      <c r="AE1840" s="26"/>
      <c r="AF1840" s="28"/>
    </row>
    <row r="1841" spans="1:32" ht="12.4" customHeight="1" x14ac:dyDescent="0.25">
      <c r="A1841" s="34">
        <v>45885</v>
      </c>
      <c r="B1841" s="34" t="s">
        <v>46</v>
      </c>
      <c r="C1841" s="35">
        <v>3</v>
      </c>
      <c r="D1841" s="35"/>
      <c r="E1841" s="35"/>
      <c r="F1841" s="35"/>
      <c r="G1841" s="35"/>
      <c r="H1841" s="35"/>
      <c r="I1841" s="36">
        <v>0</v>
      </c>
      <c r="J1841" s="4">
        <v>0</v>
      </c>
      <c r="K1841" s="4"/>
      <c r="L1841" s="16"/>
      <c r="M1841" s="4"/>
      <c r="N1841" s="4"/>
      <c r="O1841" s="4"/>
      <c r="P1841" s="4"/>
      <c r="Q1841" s="4"/>
      <c r="R1841" s="4"/>
      <c r="S1841" s="4">
        <v>0</v>
      </c>
      <c r="T1841" s="4">
        <v>0</v>
      </c>
      <c r="U1841" s="4">
        <v>0</v>
      </c>
      <c r="V1841" s="4">
        <v>12</v>
      </c>
      <c r="W1841" s="4">
        <v>12</v>
      </c>
      <c r="X1841" s="4">
        <v>0</v>
      </c>
      <c r="Y1841" s="4"/>
      <c r="Z1841" s="4">
        <v>248.69</v>
      </c>
      <c r="AA1841" s="4">
        <v>255</v>
      </c>
      <c r="AB1841" s="18"/>
      <c r="AC1841" s="18">
        <v>33</v>
      </c>
      <c r="AD1841" s="28"/>
      <c r="AE1841" s="26"/>
      <c r="AF1841" s="28"/>
    </row>
    <row r="1842" spans="1:32" ht="12.4" customHeight="1" x14ac:dyDescent="0.25">
      <c r="A1842" s="34">
        <v>45885</v>
      </c>
      <c r="B1842" s="34" t="s">
        <v>45</v>
      </c>
      <c r="C1842" s="35">
        <v>4</v>
      </c>
      <c r="D1842" s="35"/>
      <c r="E1842" s="35"/>
      <c r="F1842" s="35"/>
      <c r="G1842" s="35"/>
      <c r="H1842" s="35"/>
      <c r="I1842" s="36">
        <v>0</v>
      </c>
      <c r="J1842" s="4">
        <v>0</v>
      </c>
      <c r="K1842" s="4"/>
      <c r="L1842" s="16"/>
      <c r="M1842" s="4"/>
      <c r="N1842" s="4"/>
      <c r="O1842" s="4"/>
      <c r="P1842" s="4"/>
      <c r="Q1842" s="4"/>
      <c r="R1842" s="4"/>
      <c r="S1842" s="4">
        <v>0</v>
      </c>
      <c r="T1842" s="4">
        <v>0</v>
      </c>
      <c r="U1842" s="4">
        <v>0</v>
      </c>
      <c r="V1842" s="4">
        <v>12</v>
      </c>
      <c r="W1842" s="4">
        <v>12</v>
      </c>
      <c r="X1842" s="4">
        <v>0</v>
      </c>
      <c r="Y1842" s="4"/>
      <c r="Z1842" s="4">
        <v>750.89</v>
      </c>
      <c r="AA1842" s="4">
        <v>755</v>
      </c>
      <c r="AB1842" s="18"/>
      <c r="AC1842" s="18">
        <v>33</v>
      </c>
      <c r="AD1842" s="28"/>
      <c r="AE1842" s="26"/>
      <c r="AF1842" s="28"/>
    </row>
    <row r="1843" spans="1:32" ht="12.4" customHeight="1" x14ac:dyDescent="0.25">
      <c r="A1843" s="34">
        <v>45885</v>
      </c>
      <c r="B1843" s="34" t="s">
        <v>46</v>
      </c>
      <c r="C1843" s="35">
        <v>4</v>
      </c>
      <c r="D1843" s="35"/>
      <c r="E1843" s="35"/>
      <c r="F1843" s="35"/>
      <c r="G1843" s="35"/>
      <c r="H1843" s="35"/>
      <c r="I1843" s="36">
        <v>0</v>
      </c>
      <c r="J1843" s="4">
        <v>0</v>
      </c>
      <c r="K1843" s="4"/>
      <c r="L1843" s="16"/>
      <c r="M1843" s="4"/>
      <c r="N1843" s="4"/>
      <c r="O1843" s="4"/>
      <c r="P1843" s="4"/>
      <c r="Q1843" s="4"/>
      <c r="R1843" s="4"/>
      <c r="S1843" s="4">
        <v>0</v>
      </c>
      <c r="T1843" s="4">
        <v>0</v>
      </c>
      <c r="U1843" s="4">
        <v>0</v>
      </c>
      <c r="V1843" s="4">
        <v>12</v>
      </c>
      <c r="W1843" s="4">
        <v>12</v>
      </c>
      <c r="X1843" s="4">
        <v>0</v>
      </c>
      <c r="Y1843" s="4"/>
      <c r="Z1843" s="4">
        <v>726.05</v>
      </c>
      <c r="AA1843" s="4">
        <v>730</v>
      </c>
      <c r="AB1843" s="18"/>
      <c r="AC1843" s="18">
        <v>33</v>
      </c>
      <c r="AD1843" s="28"/>
      <c r="AE1843" s="26"/>
      <c r="AF1843" s="28"/>
    </row>
    <row r="1844" spans="1:32" ht="12.4" customHeight="1" x14ac:dyDescent="0.25">
      <c r="A1844" s="34">
        <v>45885</v>
      </c>
      <c r="B1844" s="34" t="s">
        <v>45</v>
      </c>
      <c r="C1844" s="35">
        <v>5</v>
      </c>
      <c r="D1844" s="35"/>
      <c r="E1844" s="35"/>
      <c r="F1844" s="35"/>
      <c r="G1844" s="35"/>
      <c r="H1844" s="35"/>
      <c r="I1844" s="36">
        <v>0</v>
      </c>
      <c r="J1844" s="4">
        <v>0</v>
      </c>
      <c r="K1844" s="4"/>
      <c r="L1844" s="16"/>
      <c r="M1844" s="4"/>
      <c r="N1844" s="4"/>
      <c r="O1844" s="4"/>
      <c r="P1844" s="4"/>
      <c r="Q1844" s="4"/>
      <c r="R1844" s="4"/>
      <c r="S1844" s="4">
        <v>0</v>
      </c>
      <c r="T1844" s="4">
        <v>0</v>
      </c>
      <c r="U1844" s="4">
        <v>0</v>
      </c>
      <c r="V1844" s="4">
        <v>12</v>
      </c>
      <c r="W1844" s="4">
        <v>12</v>
      </c>
      <c r="X1844" s="4">
        <v>0</v>
      </c>
      <c r="Y1844" s="4"/>
      <c r="Z1844" s="4">
        <v>417.21999999999997</v>
      </c>
      <c r="AA1844" s="4">
        <v>420</v>
      </c>
      <c r="AB1844" s="18"/>
      <c r="AC1844" s="18">
        <v>33</v>
      </c>
      <c r="AD1844" s="28"/>
      <c r="AE1844" s="26"/>
      <c r="AF1844" s="28"/>
    </row>
    <row r="1845" spans="1:32" ht="12.4" customHeight="1" x14ac:dyDescent="0.25">
      <c r="A1845" s="34">
        <v>45885</v>
      </c>
      <c r="B1845" s="34" t="s">
        <v>46</v>
      </c>
      <c r="C1845" s="35">
        <v>5</v>
      </c>
      <c r="D1845" s="35"/>
      <c r="E1845" s="35"/>
      <c r="F1845" s="35"/>
      <c r="G1845" s="35"/>
      <c r="H1845" s="35"/>
      <c r="I1845" s="36">
        <v>0</v>
      </c>
      <c r="J1845" s="4">
        <v>0</v>
      </c>
      <c r="K1845" s="4"/>
      <c r="L1845" s="16"/>
      <c r="M1845" s="4"/>
      <c r="N1845" s="4"/>
      <c r="O1845" s="4"/>
      <c r="P1845" s="4"/>
      <c r="Q1845" s="4"/>
      <c r="R1845" s="4"/>
      <c r="S1845" s="4">
        <v>0</v>
      </c>
      <c r="T1845" s="4">
        <v>0</v>
      </c>
      <c r="U1845" s="4">
        <v>0</v>
      </c>
      <c r="V1845" s="4">
        <v>12</v>
      </c>
      <c r="W1845" s="4">
        <v>12</v>
      </c>
      <c r="X1845" s="4">
        <v>0</v>
      </c>
      <c r="Y1845" s="4"/>
      <c r="Z1845" s="4">
        <v>473.76</v>
      </c>
      <c r="AA1845" s="4">
        <v>500</v>
      </c>
      <c r="AB1845" s="18"/>
      <c r="AC1845" s="18">
        <v>33</v>
      </c>
      <c r="AD1845" s="28"/>
      <c r="AE1845" s="26"/>
      <c r="AF1845" s="28"/>
    </row>
    <row r="1846" spans="1:32" ht="12.4" customHeight="1" x14ac:dyDescent="0.25">
      <c r="A1846" s="34">
        <v>45886</v>
      </c>
      <c r="B1846" s="34" t="s">
        <v>45</v>
      </c>
      <c r="C1846" s="35">
        <v>1</v>
      </c>
      <c r="D1846" s="35"/>
      <c r="E1846" s="35"/>
      <c r="F1846" s="35"/>
      <c r="G1846" s="35"/>
      <c r="H1846" s="35"/>
      <c r="I1846" s="36">
        <v>0</v>
      </c>
      <c r="J1846" s="4">
        <v>0</v>
      </c>
      <c r="K1846" s="4"/>
      <c r="L1846" s="16"/>
      <c r="M1846" s="4"/>
      <c r="N1846" s="4"/>
      <c r="O1846" s="4"/>
      <c r="P1846" s="4"/>
      <c r="Q1846" s="4"/>
      <c r="R1846" s="4"/>
      <c r="S1846" s="4">
        <v>0</v>
      </c>
      <c r="T1846" s="4">
        <v>0</v>
      </c>
      <c r="U1846" s="4">
        <v>0</v>
      </c>
      <c r="V1846" s="4">
        <v>12</v>
      </c>
      <c r="W1846" s="4">
        <v>12</v>
      </c>
      <c r="X1846" s="4">
        <v>23</v>
      </c>
      <c r="Y1846" s="4">
        <v>1999</v>
      </c>
      <c r="Z1846" s="4">
        <v>129.97</v>
      </c>
      <c r="AA1846" s="4">
        <v>132</v>
      </c>
      <c r="AB1846" s="18">
        <v>398</v>
      </c>
      <c r="AC1846" s="18">
        <v>33</v>
      </c>
      <c r="AD1846" s="28"/>
      <c r="AE1846" s="26"/>
      <c r="AF1846" s="28"/>
    </row>
    <row r="1847" spans="1:32" ht="12.4" customHeight="1" x14ac:dyDescent="0.25">
      <c r="A1847" s="34">
        <v>45886</v>
      </c>
      <c r="B1847" s="34" t="s">
        <v>46</v>
      </c>
      <c r="C1847" s="35">
        <v>1</v>
      </c>
      <c r="D1847" s="35"/>
      <c r="E1847" s="35"/>
      <c r="F1847" s="35"/>
      <c r="G1847" s="35"/>
      <c r="H1847" s="35"/>
      <c r="I1847" s="36">
        <v>0</v>
      </c>
      <c r="J1847" s="4">
        <v>0</v>
      </c>
      <c r="K1847" s="4"/>
      <c r="L1847" s="16"/>
      <c r="M1847" s="4"/>
      <c r="N1847" s="4"/>
      <c r="O1847" s="4"/>
      <c r="P1847" s="4"/>
      <c r="Q1847" s="4"/>
      <c r="R1847" s="4"/>
      <c r="S1847" s="4">
        <v>0</v>
      </c>
      <c r="T1847" s="4">
        <v>0</v>
      </c>
      <c r="U1847" s="4">
        <v>0</v>
      </c>
      <c r="V1847" s="4">
        <v>12</v>
      </c>
      <c r="W1847" s="4">
        <v>12</v>
      </c>
      <c r="X1847" s="4">
        <v>24</v>
      </c>
      <c r="Y1847" s="4"/>
      <c r="Z1847" s="4">
        <v>132.20999999999998</v>
      </c>
      <c r="AA1847" s="4">
        <v>135</v>
      </c>
      <c r="AB1847" s="18"/>
      <c r="AC1847" s="18">
        <v>33</v>
      </c>
      <c r="AD1847" s="28"/>
      <c r="AE1847" s="26"/>
      <c r="AF1847" s="28"/>
    </row>
    <row r="1848" spans="1:32" ht="12.4" customHeight="1" x14ac:dyDescent="0.25">
      <c r="A1848" s="34">
        <v>45886</v>
      </c>
      <c r="B1848" s="34" t="s">
        <v>45</v>
      </c>
      <c r="C1848" s="35">
        <v>2</v>
      </c>
      <c r="D1848" s="35"/>
      <c r="E1848" s="35"/>
      <c r="F1848" s="35"/>
      <c r="G1848" s="35"/>
      <c r="H1848" s="35"/>
      <c r="I1848" s="36">
        <v>0</v>
      </c>
      <c r="J1848" s="4">
        <v>0</v>
      </c>
      <c r="K1848" s="4"/>
      <c r="L1848" s="16"/>
      <c r="M1848" s="4"/>
      <c r="N1848" s="4"/>
      <c r="O1848" s="4"/>
      <c r="P1848" s="4"/>
      <c r="Q1848" s="4"/>
      <c r="R1848" s="4"/>
      <c r="S1848" s="4">
        <v>0</v>
      </c>
      <c r="T1848" s="4">
        <v>0</v>
      </c>
      <c r="U1848" s="4">
        <v>0</v>
      </c>
      <c r="V1848" s="4">
        <v>12</v>
      </c>
      <c r="W1848" s="4">
        <v>12</v>
      </c>
      <c r="X1848" s="4">
        <v>0</v>
      </c>
      <c r="Y1848" s="4"/>
      <c r="Z1848" s="4">
        <v>138.82999999999998</v>
      </c>
      <c r="AA1848" s="4">
        <v>140</v>
      </c>
      <c r="AB1848" s="18"/>
      <c r="AC1848" s="18">
        <v>33</v>
      </c>
      <c r="AD1848" s="28"/>
      <c r="AE1848" s="26"/>
      <c r="AF1848" s="28"/>
    </row>
    <row r="1849" spans="1:32" ht="12.4" customHeight="1" x14ac:dyDescent="0.25">
      <c r="A1849" s="34">
        <v>45886</v>
      </c>
      <c r="B1849" s="34" t="s">
        <v>46</v>
      </c>
      <c r="C1849" s="35">
        <v>2</v>
      </c>
      <c r="D1849" s="35"/>
      <c r="E1849" s="35"/>
      <c r="F1849" s="35"/>
      <c r="G1849" s="35"/>
      <c r="H1849" s="35"/>
      <c r="I1849" s="36">
        <v>0</v>
      </c>
      <c r="J1849" s="4">
        <v>0</v>
      </c>
      <c r="K1849" s="4"/>
      <c r="L1849" s="16"/>
      <c r="M1849" s="4"/>
      <c r="N1849" s="4"/>
      <c r="O1849" s="4"/>
      <c r="P1849" s="4"/>
      <c r="Q1849" s="4"/>
      <c r="R1849" s="4"/>
      <c r="S1849" s="4">
        <v>0</v>
      </c>
      <c r="T1849" s="4">
        <v>0</v>
      </c>
      <c r="U1849" s="4">
        <v>0</v>
      </c>
      <c r="V1849" s="4">
        <v>12</v>
      </c>
      <c r="W1849" s="4">
        <v>12</v>
      </c>
      <c r="X1849" s="4">
        <v>0</v>
      </c>
      <c r="Y1849" s="4"/>
      <c r="Z1849" s="4">
        <v>127.88999999999999</v>
      </c>
      <c r="AA1849" s="4">
        <v>130</v>
      </c>
      <c r="AB1849" s="18"/>
      <c r="AC1849" s="18">
        <v>33</v>
      </c>
      <c r="AD1849" s="28"/>
      <c r="AE1849" s="26"/>
      <c r="AF1849" s="28"/>
    </row>
    <row r="1850" spans="1:32" ht="12.4" customHeight="1" x14ac:dyDescent="0.25">
      <c r="A1850" s="34">
        <v>45886</v>
      </c>
      <c r="B1850" s="34" t="s">
        <v>45</v>
      </c>
      <c r="C1850" s="35">
        <v>3</v>
      </c>
      <c r="D1850" s="35"/>
      <c r="E1850" s="35"/>
      <c r="F1850" s="35"/>
      <c r="G1850" s="35"/>
      <c r="H1850" s="35"/>
      <c r="I1850" s="36">
        <v>0</v>
      </c>
      <c r="J1850" s="4">
        <v>0</v>
      </c>
      <c r="K1850" s="4"/>
      <c r="L1850" s="16"/>
      <c r="M1850" s="4"/>
      <c r="N1850" s="4"/>
      <c r="O1850" s="4"/>
      <c r="P1850" s="4"/>
      <c r="Q1850" s="4"/>
      <c r="R1850" s="4"/>
      <c r="S1850" s="4">
        <v>0</v>
      </c>
      <c r="T1850" s="4">
        <v>0</v>
      </c>
      <c r="U1850" s="4">
        <v>0</v>
      </c>
      <c r="V1850" s="4">
        <v>12</v>
      </c>
      <c r="W1850" s="4">
        <v>12</v>
      </c>
      <c r="X1850" s="4">
        <v>0</v>
      </c>
      <c r="Y1850" s="4"/>
      <c r="Z1850" s="4">
        <v>296.63000000000005</v>
      </c>
      <c r="AA1850" s="4">
        <v>300</v>
      </c>
      <c r="AB1850" s="18"/>
      <c r="AC1850" s="18">
        <v>33</v>
      </c>
      <c r="AD1850" s="28"/>
      <c r="AE1850" s="26"/>
      <c r="AF1850" s="28"/>
    </row>
    <row r="1851" spans="1:32" ht="12.4" customHeight="1" x14ac:dyDescent="0.25">
      <c r="A1851" s="34">
        <v>45886</v>
      </c>
      <c r="B1851" s="34" t="s">
        <v>46</v>
      </c>
      <c r="C1851" s="35">
        <v>3</v>
      </c>
      <c r="D1851" s="35"/>
      <c r="E1851" s="35"/>
      <c r="F1851" s="35"/>
      <c r="G1851" s="35"/>
      <c r="H1851" s="35"/>
      <c r="I1851" s="36">
        <v>0</v>
      </c>
      <c r="J1851" s="4">
        <v>0</v>
      </c>
      <c r="K1851" s="4"/>
      <c r="L1851" s="16"/>
      <c r="M1851" s="4"/>
      <c r="N1851" s="4"/>
      <c r="O1851" s="4"/>
      <c r="P1851" s="4"/>
      <c r="Q1851" s="4"/>
      <c r="R1851" s="4"/>
      <c r="S1851" s="4">
        <v>0</v>
      </c>
      <c r="T1851" s="4">
        <v>0</v>
      </c>
      <c r="U1851" s="4">
        <v>0</v>
      </c>
      <c r="V1851" s="4">
        <v>12</v>
      </c>
      <c r="W1851" s="4">
        <v>12</v>
      </c>
      <c r="X1851" s="4">
        <v>0</v>
      </c>
      <c r="Y1851" s="4"/>
      <c r="Z1851" s="4">
        <v>360.3</v>
      </c>
      <c r="AA1851" s="4">
        <v>365</v>
      </c>
      <c r="AB1851" s="18"/>
      <c r="AC1851" s="18">
        <v>33</v>
      </c>
      <c r="AD1851" s="28"/>
      <c r="AE1851" s="26"/>
      <c r="AF1851" s="28"/>
    </row>
    <row r="1852" spans="1:32" ht="12.4" customHeight="1" x14ac:dyDescent="0.25">
      <c r="A1852" s="34">
        <v>45886</v>
      </c>
      <c r="B1852" s="34" t="s">
        <v>45</v>
      </c>
      <c r="C1852" s="35">
        <v>4</v>
      </c>
      <c r="D1852" s="35">
        <v>20</v>
      </c>
      <c r="E1852" s="35"/>
      <c r="F1852" s="35"/>
      <c r="G1852" s="35"/>
      <c r="H1852" s="35"/>
      <c r="I1852" s="36">
        <v>20</v>
      </c>
      <c r="J1852" s="4">
        <v>0.33333333333333331</v>
      </c>
      <c r="K1852" s="4"/>
      <c r="L1852" s="16"/>
      <c r="M1852" s="4"/>
      <c r="N1852" s="4"/>
      <c r="O1852" s="4"/>
      <c r="P1852" s="4"/>
      <c r="Q1852" s="4"/>
      <c r="R1852" s="4"/>
      <c r="S1852" s="4">
        <v>0</v>
      </c>
      <c r="T1852" s="4">
        <v>0</v>
      </c>
      <c r="U1852" s="4">
        <v>0.33333333333333331</v>
      </c>
      <c r="V1852" s="4">
        <v>11.666666666666666</v>
      </c>
      <c r="W1852" s="4">
        <v>12</v>
      </c>
      <c r="X1852" s="4">
        <v>0</v>
      </c>
      <c r="Y1852" s="4"/>
      <c r="Z1852" s="4">
        <v>515.99</v>
      </c>
      <c r="AA1852" s="4">
        <v>520</v>
      </c>
      <c r="AB1852" s="18"/>
      <c r="AC1852" s="18">
        <v>33</v>
      </c>
      <c r="AD1852" s="28"/>
      <c r="AE1852" s="26"/>
      <c r="AF1852" s="28"/>
    </row>
    <row r="1853" spans="1:32" ht="12.4" customHeight="1" x14ac:dyDescent="0.25">
      <c r="A1853" s="34">
        <v>45886</v>
      </c>
      <c r="B1853" s="34" t="s">
        <v>46</v>
      </c>
      <c r="C1853" s="35">
        <v>4</v>
      </c>
      <c r="D1853" s="35"/>
      <c r="E1853" s="35"/>
      <c r="F1853" s="35"/>
      <c r="G1853" s="35"/>
      <c r="H1853" s="35"/>
      <c r="I1853" s="36">
        <v>0</v>
      </c>
      <c r="J1853" s="4">
        <v>0</v>
      </c>
      <c r="K1853" s="4"/>
      <c r="L1853" s="16"/>
      <c r="M1853" s="4"/>
      <c r="N1853" s="4"/>
      <c r="O1853" s="4"/>
      <c r="P1853" s="4"/>
      <c r="Q1853" s="4"/>
      <c r="R1853" s="4"/>
      <c r="S1853" s="4">
        <v>0</v>
      </c>
      <c r="T1853" s="4">
        <v>0</v>
      </c>
      <c r="U1853" s="4">
        <v>0</v>
      </c>
      <c r="V1853" s="4">
        <v>12</v>
      </c>
      <c r="W1853" s="4">
        <v>12</v>
      </c>
      <c r="X1853" s="4">
        <v>0</v>
      </c>
      <c r="Y1853" s="4"/>
      <c r="Z1853" s="4">
        <v>769.8599999999999</v>
      </c>
      <c r="AA1853" s="4">
        <v>770</v>
      </c>
      <c r="AB1853" s="18"/>
      <c r="AC1853" s="18">
        <v>33</v>
      </c>
      <c r="AD1853" s="28"/>
      <c r="AE1853" s="26"/>
      <c r="AF1853" s="28"/>
    </row>
    <row r="1854" spans="1:32" ht="12.4" customHeight="1" x14ac:dyDescent="0.25">
      <c r="A1854" s="34">
        <v>45886</v>
      </c>
      <c r="B1854" s="34" t="s">
        <v>45</v>
      </c>
      <c r="C1854" s="35">
        <v>5</v>
      </c>
      <c r="D1854" s="35"/>
      <c r="E1854" s="35"/>
      <c r="F1854" s="35"/>
      <c r="G1854" s="35"/>
      <c r="H1854" s="35"/>
      <c r="I1854" s="36">
        <v>0</v>
      </c>
      <c r="J1854" s="4">
        <v>0</v>
      </c>
      <c r="K1854" s="4"/>
      <c r="L1854" s="16"/>
      <c r="M1854" s="4">
        <v>30</v>
      </c>
      <c r="N1854" s="4"/>
      <c r="O1854" s="4"/>
      <c r="P1854" s="4"/>
      <c r="Q1854" s="4"/>
      <c r="R1854" s="4"/>
      <c r="S1854" s="4">
        <v>30</v>
      </c>
      <c r="T1854" s="4">
        <v>0.5</v>
      </c>
      <c r="U1854" s="4">
        <v>0.5</v>
      </c>
      <c r="V1854" s="4">
        <v>11.5</v>
      </c>
      <c r="W1854" s="4">
        <v>12</v>
      </c>
      <c r="X1854" s="4">
        <v>0</v>
      </c>
      <c r="Y1854" s="4"/>
      <c r="Z1854" s="4">
        <v>223.59</v>
      </c>
      <c r="AA1854" s="4">
        <v>224</v>
      </c>
      <c r="AB1854" s="18"/>
      <c r="AC1854" s="18">
        <v>33</v>
      </c>
      <c r="AD1854" s="28"/>
      <c r="AE1854" s="26"/>
      <c r="AF1854" s="28"/>
    </row>
    <row r="1855" spans="1:32" ht="12.4" customHeight="1" x14ac:dyDescent="0.25">
      <c r="A1855" s="34">
        <v>45886</v>
      </c>
      <c r="B1855" s="34" t="s">
        <v>46</v>
      </c>
      <c r="C1855" s="35">
        <v>5</v>
      </c>
      <c r="D1855" s="35"/>
      <c r="E1855" s="35"/>
      <c r="F1855" s="35"/>
      <c r="G1855" s="35"/>
      <c r="H1855" s="35"/>
      <c r="I1855" s="36">
        <v>0</v>
      </c>
      <c r="J1855" s="4">
        <v>0</v>
      </c>
      <c r="K1855" s="4"/>
      <c r="L1855" s="16"/>
      <c r="M1855" s="4"/>
      <c r="N1855" s="4"/>
      <c r="O1855" s="4"/>
      <c r="P1855" s="4"/>
      <c r="Q1855" s="4"/>
      <c r="R1855" s="4"/>
      <c r="S1855" s="4">
        <v>0</v>
      </c>
      <c r="T1855" s="4">
        <v>0</v>
      </c>
      <c r="U1855" s="4">
        <v>0</v>
      </c>
      <c r="V1855" s="4">
        <v>12</v>
      </c>
      <c r="W1855" s="4">
        <v>12</v>
      </c>
      <c r="X1855" s="4">
        <v>0</v>
      </c>
      <c r="Y1855" s="4"/>
      <c r="Z1855" s="4">
        <v>683.27</v>
      </c>
      <c r="AA1855" s="4">
        <v>684</v>
      </c>
      <c r="AB1855" s="18"/>
      <c r="AC1855" s="18">
        <v>33</v>
      </c>
      <c r="AD1855" s="28"/>
      <c r="AE1855" s="26"/>
      <c r="AF1855" s="28"/>
    </row>
    <row r="1856" spans="1:32" ht="12.4" customHeight="1" x14ac:dyDescent="0.25">
      <c r="A1856" s="34">
        <v>45887</v>
      </c>
      <c r="B1856" s="34" t="s">
        <v>45</v>
      </c>
      <c r="C1856" s="35">
        <v>1</v>
      </c>
      <c r="D1856" s="35">
        <v>15</v>
      </c>
      <c r="E1856" s="35"/>
      <c r="F1856" s="35"/>
      <c r="G1856" s="35"/>
      <c r="H1856" s="35"/>
      <c r="I1856" s="36">
        <v>15</v>
      </c>
      <c r="J1856" s="4">
        <v>0.25</v>
      </c>
      <c r="K1856" s="4"/>
      <c r="L1856" s="16"/>
      <c r="M1856" s="4"/>
      <c r="N1856" s="4"/>
      <c r="O1856" s="4"/>
      <c r="P1856" s="4"/>
      <c r="Q1856" s="4"/>
      <c r="R1856" s="4"/>
      <c r="S1856" s="4">
        <v>0</v>
      </c>
      <c r="T1856" s="4">
        <v>0</v>
      </c>
      <c r="U1856" s="4">
        <v>0.25</v>
      </c>
      <c r="V1856" s="4">
        <v>11.75</v>
      </c>
      <c r="W1856" s="4">
        <v>12</v>
      </c>
      <c r="X1856" s="4">
        <v>37</v>
      </c>
      <c r="Y1856" s="4">
        <v>1999</v>
      </c>
      <c r="Z1856" s="4">
        <v>113.6</v>
      </c>
      <c r="AA1856" s="4">
        <v>120</v>
      </c>
      <c r="AB1856" s="18">
        <v>398</v>
      </c>
      <c r="AC1856" s="18">
        <v>34</v>
      </c>
      <c r="AD1856" s="28"/>
      <c r="AE1856" s="26"/>
      <c r="AF1856" s="28"/>
    </row>
    <row r="1857" spans="1:32" ht="12.4" customHeight="1" x14ac:dyDescent="0.25">
      <c r="A1857" s="34">
        <v>45887</v>
      </c>
      <c r="B1857" s="34" t="s">
        <v>46</v>
      </c>
      <c r="C1857" s="35">
        <v>1</v>
      </c>
      <c r="D1857" s="35"/>
      <c r="E1857" s="35"/>
      <c r="F1857" s="35"/>
      <c r="G1857" s="35"/>
      <c r="H1857" s="35"/>
      <c r="I1857" s="36">
        <v>0</v>
      </c>
      <c r="J1857" s="4">
        <v>0</v>
      </c>
      <c r="K1857" s="4"/>
      <c r="L1857" s="16"/>
      <c r="M1857" s="4"/>
      <c r="N1857" s="4"/>
      <c r="O1857" s="4"/>
      <c r="P1857" s="4"/>
      <c r="Q1857" s="4"/>
      <c r="R1857" s="4"/>
      <c r="S1857" s="4">
        <v>0</v>
      </c>
      <c r="T1857" s="4">
        <v>0</v>
      </c>
      <c r="U1857" s="4">
        <v>0</v>
      </c>
      <c r="V1857" s="4">
        <v>12</v>
      </c>
      <c r="W1857" s="4">
        <v>12</v>
      </c>
      <c r="X1857" s="4">
        <v>27</v>
      </c>
      <c r="Y1857" s="4"/>
      <c r="Z1857" s="4">
        <v>114.24999999999999</v>
      </c>
      <c r="AA1857" s="4">
        <v>120</v>
      </c>
      <c r="AB1857" s="18"/>
      <c r="AC1857" s="18">
        <v>34</v>
      </c>
      <c r="AD1857" s="28"/>
      <c r="AE1857" s="26"/>
      <c r="AF1857" s="28"/>
    </row>
    <row r="1858" spans="1:32" ht="12.4" customHeight="1" x14ac:dyDescent="0.25">
      <c r="A1858" s="34">
        <v>45887</v>
      </c>
      <c r="B1858" s="34" t="s">
        <v>45</v>
      </c>
      <c r="C1858" s="35">
        <v>2</v>
      </c>
      <c r="D1858" s="35"/>
      <c r="E1858" s="35"/>
      <c r="F1858" s="35"/>
      <c r="G1858" s="35"/>
      <c r="H1858" s="35"/>
      <c r="I1858" s="36">
        <v>0</v>
      </c>
      <c r="J1858" s="4">
        <v>0</v>
      </c>
      <c r="K1858" s="4"/>
      <c r="L1858" s="16"/>
      <c r="M1858" s="4"/>
      <c r="N1858" s="4"/>
      <c r="O1858" s="4"/>
      <c r="P1858" s="4"/>
      <c r="Q1858" s="4"/>
      <c r="R1858" s="4"/>
      <c r="S1858" s="4">
        <v>0</v>
      </c>
      <c r="T1858" s="4">
        <v>0</v>
      </c>
      <c r="U1858" s="4">
        <v>0</v>
      </c>
      <c r="V1858" s="4">
        <v>12</v>
      </c>
      <c r="W1858" s="4">
        <v>12</v>
      </c>
      <c r="X1858" s="4">
        <v>0</v>
      </c>
      <c r="Y1858" s="4"/>
      <c r="Z1858" s="4">
        <v>117.93</v>
      </c>
      <c r="AA1858" s="4">
        <v>120</v>
      </c>
      <c r="AB1858" s="18"/>
      <c r="AC1858" s="18">
        <v>34</v>
      </c>
      <c r="AD1858" s="28"/>
      <c r="AE1858" s="26"/>
      <c r="AF1858" s="28"/>
    </row>
    <row r="1859" spans="1:32" ht="12.4" customHeight="1" x14ac:dyDescent="0.25">
      <c r="A1859" s="34">
        <v>45887</v>
      </c>
      <c r="B1859" s="34" t="s">
        <v>46</v>
      </c>
      <c r="C1859" s="35">
        <v>2</v>
      </c>
      <c r="D1859" s="35"/>
      <c r="E1859" s="35"/>
      <c r="F1859" s="35"/>
      <c r="G1859" s="35"/>
      <c r="H1859" s="35"/>
      <c r="I1859" s="36">
        <v>0</v>
      </c>
      <c r="J1859" s="4">
        <v>0</v>
      </c>
      <c r="K1859" s="4"/>
      <c r="L1859" s="16"/>
      <c r="M1859" s="4"/>
      <c r="N1859" s="4"/>
      <c r="O1859" s="4"/>
      <c r="P1859" s="4"/>
      <c r="Q1859" s="4"/>
      <c r="R1859" s="4"/>
      <c r="S1859" s="4">
        <v>0</v>
      </c>
      <c r="T1859" s="4">
        <v>0</v>
      </c>
      <c r="U1859" s="4">
        <v>0</v>
      </c>
      <c r="V1859" s="4">
        <v>12</v>
      </c>
      <c r="W1859" s="4">
        <v>12</v>
      </c>
      <c r="X1859" s="4">
        <v>0</v>
      </c>
      <c r="Y1859" s="4"/>
      <c r="Z1859" s="4">
        <v>129.70999999999998</v>
      </c>
      <c r="AA1859" s="4">
        <v>130</v>
      </c>
      <c r="AB1859" s="18"/>
      <c r="AC1859" s="18">
        <v>34</v>
      </c>
      <c r="AD1859" s="28"/>
      <c r="AE1859" s="26"/>
      <c r="AF1859" s="28"/>
    </row>
    <row r="1860" spans="1:32" ht="12.4" customHeight="1" x14ac:dyDescent="0.25">
      <c r="A1860" s="34">
        <v>45887</v>
      </c>
      <c r="B1860" s="34" t="s">
        <v>45</v>
      </c>
      <c r="C1860" s="35">
        <v>3</v>
      </c>
      <c r="D1860" s="35"/>
      <c r="E1860" s="35"/>
      <c r="F1860" s="35"/>
      <c r="G1860" s="35"/>
      <c r="H1860" s="35"/>
      <c r="I1860" s="36">
        <v>0</v>
      </c>
      <c r="J1860" s="4">
        <v>0</v>
      </c>
      <c r="K1860" s="4"/>
      <c r="L1860" s="16"/>
      <c r="M1860" s="4"/>
      <c r="N1860" s="4"/>
      <c r="O1860" s="4"/>
      <c r="P1860" s="4"/>
      <c r="Q1860" s="4"/>
      <c r="R1860" s="4"/>
      <c r="S1860" s="4">
        <v>0</v>
      </c>
      <c r="T1860" s="4">
        <v>0</v>
      </c>
      <c r="U1860" s="4">
        <v>0</v>
      </c>
      <c r="V1860" s="4">
        <v>12</v>
      </c>
      <c r="W1860" s="4">
        <v>12</v>
      </c>
      <c r="X1860" s="4">
        <v>0</v>
      </c>
      <c r="Y1860" s="4"/>
      <c r="Z1860" s="4">
        <v>129.36000000000001</v>
      </c>
      <c r="AA1860" s="4">
        <v>130</v>
      </c>
      <c r="AB1860" s="18"/>
      <c r="AC1860" s="18">
        <v>34</v>
      </c>
      <c r="AD1860" s="28"/>
      <c r="AE1860" s="26"/>
      <c r="AF1860" s="28"/>
    </row>
    <row r="1861" spans="1:32" ht="12.4" customHeight="1" x14ac:dyDescent="0.25">
      <c r="A1861" s="34">
        <v>45887</v>
      </c>
      <c r="B1861" s="34" t="s">
        <v>46</v>
      </c>
      <c r="C1861" s="35">
        <v>3</v>
      </c>
      <c r="D1861" s="35"/>
      <c r="E1861" s="35"/>
      <c r="F1861" s="35"/>
      <c r="G1861" s="35"/>
      <c r="H1861" s="35"/>
      <c r="I1861" s="36">
        <v>0</v>
      </c>
      <c r="J1861" s="4">
        <v>0</v>
      </c>
      <c r="K1861" s="4"/>
      <c r="L1861" s="16"/>
      <c r="M1861" s="4"/>
      <c r="N1861" s="4"/>
      <c r="O1861" s="4"/>
      <c r="P1861" s="4"/>
      <c r="Q1861" s="4"/>
      <c r="R1861" s="4"/>
      <c r="S1861" s="4">
        <v>0</v>
      </c>
      <c r="T1861" s="4">
        <v>0</v>
      </c>
      <c r="U1861" s="4">
        <v>0</v>
      </c>
      <c r="V1861" s="4">
        <v>12</v>
      </c>
      <c r="W1861" s="4">
        <v>12</v>
      </c>
      <c r="X1861" s="4">
        <v>0</v>
      </c>
      <c r="Y1861" s="4"/>
      <c r="Z1861" s="4">
        <v>219.04999999999998</v>
      </c>
      <c r="AA1861" s="4">
        <v>220</v>
      </c>
      <c r="AB1861" s="18"/>
      <c r="AC1861" s="18">
        <v>34</v>
      </c>
      <c r="AD1861" s="28"/>
      <c r="AE1861" s="26"/>
      <c r="AF1861" s="28"/>
    </row>
    <row r="1862" spans="1:32" ht="12.4" customHeight="1" x14ac:dyDescent="0.25">
      <c r="A1862" s="34">
        <v>45887</v>
      </c>
      <c r="B1862" s="34" t="s">
        <v>45</v>
      </c>
      <c r="C1862" s="35">
        <v>4</v>
      </c>
      <c r="D1862" s="35"/>
      <c r="E1862" s="35"/>
      <c r="F1862" s="35"/>
      <c r="G1862" s="35"/>
      <c r="H1862" s="35"/>
      <c r="I1862" s="36">
        <v>0</v>
      </c>
      <c r="J1862" s="4">
        <v>0</v>
      </c>
      <c r="K1862" s="4"/>
      <c r="L1862" s="16"/>
      <c r="M1862" s="4"/>
      <c r="N1862" s="4"/>
      <c r="O1862" s="4"/>
      <c r="P1862" s="4"/>
      <c r="Q1862" s="4"/>
      <c r="R1862" s="4"/>
      <c r="S1862" s="4">
        <v>0</v>
      </c>
      <c r="T1862" s="4">
        <v>0</v>
      </c>
      <c r="U1862" s="4">
        <v>0</v>
      </c>
      <c r="V1862" s="4">
        <v>12</v>
      </c>
      <c r="W1862" s="4">
        <v>12</v>
      </c>
      <c r="X1862" s="4">
        <v>0</v>
      </c>
      <c r="Y1862" s="4"/>
      <c r="Z1862" s="4">
        <v>690.42</v>
      </c>
      <c r="AA1862" s="4">
        <v>690</v>
      </c>
      <c r="AB1862" s="18"/>
      <c r="AC1862" s="18">
        <v>34</v>
      </c>
      <c r="AD1862" s="28"/>
      <c r="AE1862" s="26"/>
      <c r="AF1862" s="28"/>
    </row>
    <row r="1863" spans="1:32" ht="12.4" customHeight="1" x14ac:dyDescent="0.25">
      <c r="A1863" s="34">
        <v>45887</v>
      </c>
      <c r="B1863" s="34" t="s">
        <v>46</v>
      </c>
      <c r="C1863" s="35">
        <v>4</v>
      </c>
      <c r="D1863" s="35">
        <v>20</v>
      </c>
      <c r="E1863" s="35"/>
      <c r="F1863" s="35"/>
      <c r="G1863" s="35"/>
      <c r="H1863" s="35"/>
      <c r="I1863" s="36">
        <v>20</v>
      </c>
      <c r="J1863" s="4">
        <v>0.33333333333333331</v>
      </c>
      <c r="K1863" s="4">
        <v>40</v>
      </c>
      <c r="L1863" s="16"/>
      <c r="M1863" s="4"/>
      <c r="N1863" s="4"/>
      <c r="O1863" s="4"/>
      <c r="P1863" s="4"/>
      <c r="Q1863" s="4"/>
      <c r="R1863" s="4"/>
      <c r="S1863" s="4">
        <v>40</v>
      </c>
      <c r="T1863" s="4">
        <v>0.66666666666666663</v>
      </c>
      <c r="U1863" s="4">
        <v>1</v>
      </c>
      <c r="V1863" s="4">
        <v>11</v>
      </c>
      <c r="W1863" s="4">
        <v>12</v>
      </c>
      <c r="X1863" s="4">
        <v>0</v>
      </c>
      <c r="Y1863" s="4"/>
      <c r="Z1863" s="4">
        <v>648.86</v>
      </c>
      <c r="AA1863" s="4">
        <v>650</v>
      </c>
      <c r="AB1863" s="18"/>
      <c r="AC1863" s="18">
        <v>34</v>
      </c>
      <c r="AD1863" s="28"/>
      <c r="AE1863" s="26"/>
      <c r="AF1863" s="28"/>
    </row>
    <row r="1864" spans="1:32" ht="12.4" customHeight="1" x14ac:dyDescent="0.25">
      <c r="A1864" s="34">
        <v>45887</v>
      </c>
      <c r="B1864" s="34" t="s">
        <v>45</v>
      </c>
      <c r="C1864" s="35">
        <v>5</v>
      </c>
      <c r="D1864" s="35"/>
      <c r="E1864" s="35"/>
      <c r="F1864" s="35"/>
      <c r="G1864" s="35"/>
      <c r="H1864" s="35"/>
      <c r="I1864" s="36">
        <v>0</v>
      </c>
      <c r="J1864" s="4">
        <v>0</v>
      </c>
      <c r="K1864" s="4"/>
      <c r="L1864" s="16"/>
      <c r="M1864" s="4"/>
      <c r="N1864" s="4"/>
      <c r="O1864" s="4"/>
      <c r="P1864" s="4"/>
      <c r="Q1864" s="4"/>
      <c r="R1864" s="4"/>
      <c r="S1864" s="4">
        <v>0</v>
      </c>
      <c r="T1864" s="4">
        <v>0</v>
      </c>
      <c r="U1864" s="4">
        <v>0</v>
      </c>
      <c r="V1864" s="4">
        <v>12</v>
      </c>
      <c r="W1864" s="4">
        <v>12</v>
      </c>
      <c r="X1864" s="4">
        <v>0</v>
      </c>
      <c r="Y1864" s="4"/>
      <c r="Z1864" s="4">
        <v>452.85</v>
      </c>
      <c r="AA1864" s="4">
        <v>460</v>
      </c>
      <c r="AB1864" s="18"/>
      <c r="AC1864" s="18">
        <v>34</v>
      </c>
      <c r="AD1864" s="28"/>
      <c r="AE1864" s="26"/>
      <c r="AF1864" s="28"/>
    </row>
    <row r="1865" spans="1:32" ht="12.4" customHeight="1" x14ac:dyDescent="0.25">
      <c r="A1865" s="34">
        <v>45887</v>
      </c>
      <c r="B1865" s="34" t="s">
        <v>46</v>
      </c>
      <c r="C1865" s="35">
        <v>5</v>
      </c>
      <c r="D1865" s="35">
        <v>20</v>
      </c>
      <c r="E1865" s="35"/>
      <c r="F1865" s="35"/>
      <c r="G1865" s="35"/>
      <c r="H1865" s="35"/>
      <c r="I1865" s="36">
        <v>20</v>
      </c>
      <c r="J1865" s="4">
        <v>0.33333333333333331</v>
      </c>
      <c r="K1865" s="4"/>
      <c r="L1865" s="16"/>
      <c r="M1865" s="4"/>
      <c r="N1865" s="4"/>
      <c r="O1865" s="4"/>
      <c r="P1865" s="4"/>
      <c r="Q1865" s="4"/>
      <c r="R1865" s="4"/>
      <c r="S1865" s="4">
        <v>0</v>
      </c>
      <c r="T1865" s="4">
        <v>0</v>
      </c>
      <c r="U1865" s="4">
        <v>0.33333333333333331</v>
      </c>
      <c r="V1865" s="4">
        <v>11.666666666666666</v>
      </c>
      <c r="W1865" s="4">
        <v>12</v>
      </c>
      <c r="X1865" s="4">
        <v>0</v>
      </c>
      <c r="Y1865" s="4"/>
      <c r="Z1865" s="4">
        <v>560.16000000000008</v>
      </c>
      <c r="AA1865" s="4">
        <v>560</v>
      </c>
      <c r="AB1865" s="18"/>
      <c r="AC1865" s="18">
        <v>34</v>
      </c>
      <c r="AD1865" s="28"/>
      <c r="AE1865" s="26"/>
      <c r="AF1865" s="28"/>
    </row>
    <row r="1866" spans="1:32" ht="12.4" customHeight="1" x14ac:dyDescent="0.25">
      <c r="A1866" s="34">
        <v>45888</v>
      </c>
      <c r="B1866" s="34" t="s">
        <v>45</v>
      </c>
      <c r="C1866" s="35">
        <v>1</v>
      </c>
      <c r="D1866" s="35"/>
      <c r="E1866" s="35"/>
      <c r="F1866" s="35"/>
      <c r="G1866" s="35"/>
      <c r="H1866" s="35"/>
      <c r="I1866" s="36">
        <v>0</v>
      </c>
      <c r="J1866" s="4">
        <v>0</v>
      </c>
      <c r="K1866" s="4"/>
      <c r="L1866" s="16"/>
      <c r="M1866" s="4"/>
      <c r="N1866" s="4"/>
      <c r="O1866" s="4"/>
      <c r="P1866" s="4"/>
      <c r="Q1866" s="4"/>
      <c r="R1866" s="4"/>
      <c r="S1866" s="4">
        <v>0</v>
      </c>
      <c r="T1866" s="4">
        <v>0</v>
      </c>
      <c r="U1866" s="4">
        <v>0</v>
      </c>
      <c r="V1866" s="4">
        <v>12</v>
      </c>
      <c r="W1866" s="4">
        <v>12</v>
      </c>
      <c r="X1866" s="4">
        <v>31</v>
      </c>
      <c r="Y1866" s="4">
        <v>2036.5</v>
      </c>
      <c r="Z1866" s="4">
        <v>111.41</v>
      </c>
      <c r="AA1866" s="4">
        <v>115</v>
      </c>
      <c r="AB1866" s="18">
        <v>398</v>
      </c>
      <c r="AC1866" s="18">
        <v>34</v>
      </c>
      <c r="AD1866" s="28"/>
      <c r="AE1866" s="26"/>
      <c r="AF1866" s="28"/>
    </row>
    <row r="1867" spans="1:32" ht="12.4" customHeight="1" x14ac:dyDescent="0.25">
      <c r="A1867" s="34">
        <v>45888</v>
      </c>
      <c r="B1867" s="34" t="s">
        <v>46</v>
      </c>
      <c r="C1867" s="35">
        <v>1</v>
      </c>
      <c r="D1867" s="35"/>
      <c r="E1867" s="35"/>
      <c r="F1867" s="35"/>
      <c r="G1867" s="35"/>
      <c r="H1867" s="35"/>
      <c r="I1867" s="36">
        <v>0</v>
      </c>
      <c r="J1867" s="4">
        <v>0</v>
      </c>
      <c r="K1867" s="4"/>
      <c r="L1867" s="16"/>
      <c r="M1867" s="4"/>
      <c r="N1867" s="4"/>
      <c r="O1867" s="4"/>
      <c r="P1867" s="4"/>
      <c r="Q1867" s="4"/>
      <c r="R1867" s="4"/>
      <c r="S1867" s="4">
        <v>0</v>
      </c>
      <c r="T1867" s="4">
        <v>0</v>
      </c>
      <c r="U1867" s="4">
        <v>0</v>
      </c>
      <c r="V1867" s="4">
        <v>12</v>
      </c>
      <c r="W1867" s="4">
        <v>12</v>
      </c>
      <c r="X1867" s="4">
        <v>16</v>
      </c>
      <c r="Y1867" s="4"/>
      <c r="Z1867" s="4">
        <v>116.44999999999997</v>
      </c>
      <c r="AA1867" s="4">
        <v>120</v>
      </c>
      <c r="AB1867" s="18"/>
      <c r="AC1867" s="18">
        <v>34</v>
      </c>
      <c r="AD1867" s="28"/>
      <c r="AE1867" s="26"/>
      <c r="AF1867" s="28"/>
    </row>
    <row r="1868" spans="1:32" ht="12.4" customHeight="1" x14ac:dyDescent="0.25">
      <c r="A1868" s="34">
        <v>45888</v>
      </c>
      <c r="B1868" s="34" t="s">
        <v>45</v>
      </c>
      <c r="C1868" s="35">
        <v>2</v>
      </c>
      <c r="D1868" s="35"/>
      <c r="E1868" s="35"/>
      <c r="F1868" s="35"/>
      <c r="G1868" s="35"/>
      <c r="H1868" s="35"/>
      <c r="I1868" s="36">
        <v>0</v>
      </c>
      <c r="J1868" s="4">
        <v>0</v>
      </c>
      <c r="K1868" s="4"/>
      <c r="L1868" s="16"/>
      <c r="M1868" s="4"/>
      <c r="N1868" s="4"/>
      <c r="O1868" s="4"/>
      <c r="P1868" s="4"/>
      <c r="Q1868" s="4"/>
      <c r="R1868" s="4"/>
      <c r="S1868" s="4">
        <v>0</v>
      </c>
      <c r="T1868" s="4">
        <v>0</v>
      </c>
      <c r="U1868" s="4">
        <v>0</v>
      </c>
      <c r="V1868" s="4">
        <v>12</v>
      </c>
      <c r="W1868" s="4">
        <v>12</v>
      </c>
      <c r="X1868" s="4">
        <v>0</v>
      </c>
      <c r="Y1868" s="4"/>
      <c r="Z1868" s="4">
        <v>126.56</v>
      </c>
      <c r="AA1868" s="4">
        <v>130</v>
      </c>
      <c r="AB1868" s="18"/>
      <c r="AC1868" s="18">
        <v>34</v>
      </c>
      <c r="AD1868" s="28"/>
      <c r="AE1868" s="26"/>
      <c r="AF1868" s="28"/>
    </row>
    <row r="1869" spans="1:32" ht="12.4" customHeight="1" x14ac:dyDescent="0.25">
      <c r="A1869" s="34">
        <v>45888</v>
      </c>
      <c r="B1869" s="34" t="s">
        <v>46</v>
      </c>
      <c r="C1869" s="35">
        <v>2</v>
      </c>
      <c r="D1869" s="35"/>
      <c r="E1869" s="35"/>
      <c r="F1869" s="35"/>
      <c r="G1869" s="35"/>
      <c r="H1869" s="35"/>
      <c r="I1869" s="36">
        <v>0</v>
      </c>
      <c r="J1869" s="4">
        <v>0</v>
      </c>
      <c r="K1869" s="4"/>
      <c r="L1869" s="16">
        <v>15</v>
      </c>
      <c r="M1869" s="4"/>
      <c r="N1869" s="4"/>
      <c r="O1869" s="4"/>
      <c r="P1869" s="4"/>
      <c r="Q1869" s="4"/>
      <c r="R1869" s="4"/>
      <c r="S1869" s="4">
        <v>15</v>
      </c>
      <c r="T1869" s="4">
        <v>0.25</v>
      </c>
      <c r="U1869" s="4">
        <v>0.25</v>
      </c>
      <c r="V1869" s="4">
        <v>11.75</v>
      </c>
      <c r="W1869" s="4">
        <v>12</v>
      </c>
      <c r="X1869" s="4">
        <v>0</v>
      </c>
      <c r="Y1869" s="4"/>
      <c r="Z1869" s="4">
        <v>127.49</v>
      </c>
      <c r="AA1869" s="4">
        <v>130</v>
      </c>
      <c r="AB1869" s="18"/>
      <c r="AC1869" s="18">
        <v>34</v>
      </c>
      <c r="AD1869" s="28"/>
      <c r="AE1869" s="26"/>
      <c r="AF1869" s="28"/>
    </row>
    <row r="1870" spans="1:32" ht="12.4" customHeight="1" x14ac:dyDescent="0.25">
      <c r="A1870" s="34">
        <v>45888</v>
      </c>
      <c r="B1870" s="34" t="s">
        <v>45</v>
      </c>
      <c r="C1870" s="35">
        <v>3</v>
      </c>
      <c r="D1870" s="35"/>
      <c r="E1870" s="35"/>
      <c r="F1870" s="35"/>
      <c r="G1870" s="35"/>
      <c r="H1870" s="35"/>
      <c r="I1870" s="36">
        <v>0</v>
      </c>
      <c r="J1870" s="4">
        <v>0</v>
      </c>
      <c r="K1870" s="4"/>
      <c r="L1870" s="16"/>
      <c r="M1870" s="4"/>
      <c r="N1870" s="4"/>
      <c r="O1870" s="4"/>
      <c r="P1870" s="4"/>
      <c r="Q1870" s="4"/>
      <c r="R1870" s="4"/>
      <c r="S1870" s="4">
        <v>0</v>
      </c>
      <c r="T1870" s="4">
        <v>0</v>
      </c>
      <c r="U1870" s="4">
        <v>0</v>
      </c>
      <c r="V1870" s="4">
        <v>12</v>
      </c>
      <c r="W1870" s="4">
        <v>12</v>
      </c>
      <c r="X1870" s="4">
        <v>0</v>
      </c>
      <c r="Y1870" s="4"/>
      <c r="Z1870" s="4">
        <v>259.17</v>
      </c>
      <c r="AA1870" s="4">
        <v>260</v>
      </c>
      <c r="AB1870" s="18"/>
      <c r="AC1870" s="18">
        <v>34</v>
      </c>
      <c r="AD1870" s="28"/>
      <c r="AE1870" s="26"/>
      <c r="AF1870" s="28"/>
    </row>
    <row r="1871" spans="1:32" ht="12.4" customHeight="1" x14ac:dyDescent="0.25">
      <c r="A1871" s="34">
        <v>45888</v>
      </c>
      <c r="B1871" s="34" t="s">
        <v>46</v>
      </c>
      <c r="C1871" s="35">
        <v>3</v>
      </c>
      <c r="D1871" s="35">
        <v>5</v>
      </c>
      <c r="E1871" s="35"/>
      <c r="F1871" s="35"/>
      <c r="G1871" s="35"/>
      <c r="H1871" s="35"/>
      <c r="I1871" s="36">
        <v>5</v>
      </c>
      <c r="J1871" s="4">
        <v>8.3333333333333329E-2</v>
      </c>
      <c r="K1871" s="4">
        <v>15</v>
      </c>
      <c r="L1871" s="16"/>
      <c r="M1871" s="4"/>
      <c r="N1871" s="4"/>
      <c r="O1871" s="4"/>
      <c r="P1871" s="4"/>
      <c r="Q1871" s="4"/>
      <c r="R1871" s="4"/>
      <c r="S1871" s="4">
        <v>15</v>
      </c>
      <c r="T1871" s="4">
        <v>0.25</v>
      </c>
      <c r="U1871" s="4">
        <v>0.33333333333333331</v>
      </c>
      <c r="V1871" s="4">
        <v>11.666666666666666</v>
      </c>
      <c r="W1871" s="4">
        <v>12</v>
      </c>
      <c r="X1871" s="4">
        <v>0</v>
      </c>
      <c r="Y1871" s="4"/>
      <c r="Z1871" s="4">
        <v>239.37</v>
      </c>
      <c r="AA1871" s="4">
        <v>240</v>
      </c>
      <c r="AB1871" s="18"/>
      <c r="AC1871" s="18">
        <v>34</v>
      </c>
      <c r="AD1871" s="28"/>
      <c r="AE1871" s="26"/>
      <c r="AF1871" s="28"/>
    </row>
    <row r="1872" spans="1:32" ht="12.4" customHeight="1" x14ac:dyDescent="0.25">
      <c r="A1872" s="34">
        <v>45888</v>
      </c>
      <c r="B1872" s="34" t="s">
        <v>45</v>
      </c>
      <c r="C1872" s="35">
        <v>4</v>
      </c>
      <c r="D1872" s="35"/>
      <c r="E1872" s="35"/>
      <c r="F1872" s="35"/>
      <c r="G1872" s="35"/>
      <c r="H1872" s="35"/>
      <c r="I1872" s="36">
        <v>0</v>
      </c>
      <c r="J1872" s="4">
        <v>0</v>
      </c>
      <c r="K1872" s="4"/>
      <c r="L1872" s="16"/>
      <c r="M1872" s="4">
        <v>10</v>
      </c>
      <c r="N1872" s="4"/>
      <c r="O1872" s="4"/>
      <c r="P1872" s="4"/>
      <c r="Q1872" s="4"/>
      <c r="R1872" s="4"/>
      <c r="S1872" s="4">
        <v>10</v>
      </c>
      <c r="T1872" s="4">
        <v>0.16666666666666666</v>
      </c>
      <c r="U1872" s="4">
        <v>0.16666666666666666</v>
      </c>
      <c r="V1872" s="4">
        <v>11.833333333333334</v>
      </c>
      <c r="W1872" s="4">
        <v>12</v>
      </c>
      <c r="X1872" s="4">
        <v>0</v>
      </c>
      <c r="Y1872" s="4"/>
      <c r="Z1872" s="4">
        <v>681.56</v>
      </c>
      <c r="AA1872" s="4">
        <v>685</v>
      </c>
      <c r="AB1872" s="18"/>
      <c r="AC1872" s="18">
        <v>34</v>
      </c>
      <c r="AD1872" s="28"/>
      <c r="AE1872" s="26"/>
      <c r="AF1872" s="28"/>
    </row>
    <row r="1873" spans="1:32" ht="12.4" customHeight="1" x14ac:dyDescent="0.25">
      <c r="A1873" s="34">
        <v>45888</v>
      </c>
      <c r="B1873" s="34" t="s">
        <v>46</v>
      </c>
      <c r="C1873" s="35">
        <v>4</v>
      </c>
      <c r="D1873" s="35"/>
      <c r="E1873" s="35"/>
      <c r="F1873" s="35"/>
      <c r="G1873" s="35"/>
      <c r="H1873" s="35"/>
      <c r="I1873" s="36">
        <v>0</v>
      </c>
      <c r="J1873" s="4">
        <v>0</v>
      </c>
      <c r="K1873" s="4"/>
      <c r="L1873" s="16"/>
      <c r="M1873" s="4"/>
      <c r="N1873" s="4"/>
      <c r="O1873" s="4"/>
      <c r="P1873" s="4"/>
      <c r="Q1873" s="4"/>
      <c r="R1873" s="4"/>
      <c r="S1873" s="4">
        <v>0</v>
      </c>
      <c r="T1873" s="4">
        <v>0</v>
      </c>
      <c r="U1873" s="4">
        <v>0</v>
      </c>
      <c r="V1873" s="4">
        <v>12</v>
      </c>
      <c r="W1873" s="4">
        <v>12</v>
      </c>
      <c r="X1873" s="4">
        <v>0</v>
      </c>
      <c r="Y1873" s="4"/>
      <c r="Z1873" s="4">
        <v>687.96999999999991</v>
      </c>
      <c r="AA1873" s="4">
        <v>690</v>
      </c>
      <c r="AB1873" s="18"/>
      <c r="AC1873" s="18">
        <v>34</v>
      </c>
      <c r="AD1873" s="28"/>
      <c r="AE1873" s="26"/>
      <c r="AF1873" s="28"/>
    </row>
    <row r="1874" spans="1:32" ht="12.4" customHeight="1" x14ac:dyDescent="0.25">
      <c r="A1874" s="34">
        <v>45888</v>
      </c>
      <c r="B1874" s="34" t="s">
        <v>45</v>
      </c>
      <c r="C1874" s="35">
        <v>5</v>
      </c>
      <c r="D1874" s="35"/>
      <c r="E1874" s="35"/>
      <c r="F1874" s="35"/>
      <c r="G1874" s="35"/>
      <c r="H1874" s="35"/>
      <c r="I1874" s="36">
        <v>0</v>
      </c>
      <c r="J1874" s="4">
        <v>0</v>
      </c>
      <c r="K1874" s="4"/>
      <c r="L1874" s="16"/>
      <c r="M1874" s="4"/>
      <c r="N1874" s="4"/>
      <c r="O1874" s="4"/>
      <c r="P1874" s="4"/>
      <c r="Q1874" s="4"/>
      <c r="R1874" s="4"/>
      <c r="S1874" s="4">
        <v>0</v>
      </c>
      <c r="T1874" s="4">
        <v>0</v>
      </c>
      <c r="U1874" s="4">
        <v>0</v>
      </c>
      <c r="V1874" s="4">
        <v>12</v>
      </c>
      <c r="W1874" s="4">
        <v>12</v>
      </c>
      <c r="X1874" s="4">
        <v>0</v>
      </c>
      <c r="Y1874" s="4"/>
      <c r="Z1874" s="4">
        <v>534.1</v>
      </c>
      <c r="AA1874" s="4">
        <v>534</v>
      </c>
      <c r="AB1874" s="18"/>
      <c r="AC1874" s="18">
        <v>34</v>
      </c>
      <c r="AD1874" s="28"/>
      <c r="AE1874" s="26"/>
      <c r="AF1874" s="28"/>
    </row>
    <row r="1875" spans="1:32" ht="12.4" customHeight="1" x14ac:dyDescent="0.25">
      <c r="A1875" s="34">
        <v>45888</v>
      </c>
      <c r="B1875" s="34" t="s">
        <v>46</v>
      </c>
      <c r="C1875" s="35">
        <v>5</v>
      </c>
      <c r="D1875" s="35"/>
      <c r="E1875" s="35"/>
      <c r="F1875" s="35"/>
      <c r="G1875" s="35"/>
      <c r="H1875" s="35"/>
      <c r="I1875" s="36">
        <v>0</v>
      </c>
      <c r="J1875" s="4">
        <v>0</v>
      </c>
      <c r="K1875" s="4"/>
      <c r="L1875" s="16"/>
      <c r="M1875" s="4"/>
      <c r="N1875" s="4"/>
      <c r="O1875" s="4"/>
      <c r="P1875" s="4"/>
      <c r="Q1875" s="4"/>
      <c r="R1875" s="4"/>
      <c r="S1875" s="4">
        <v>0</v>
      </c>
      <c r="T1875" s="4">
        <v>0</v>
      </c>
      <c r="U1875" s="4">
        <v>0</v>
      </c>
      <c r="V1875" s="4">
        <v>12</v>
      </c>
      <c r="W1875" s="4">
        <v>12</v>
      </c>
      <c r="X1875" s="4">
        <v>0</v>
      </c>
      <c r="Y1875" s="4"/>
      <c r="Z1875" s="4">
        <v>556.33000000000004</v>
      </c>
      <c r="AA1875" s="4">
        <v>556</v>
      </c>
      <c r="AB1875" s="18"/>
      <c r="AC1875" s="18">
        <v>34</v>
      </c>
      <c r="AD1875" s="28"/>
      <c r="AE1875" s="26"/>
      <c r="AF1875" s="28"/>
    </row>
    <row r="1876" spans="1:32" ht="12.4" customHeight="1" x14ac:dyDescent="0.25">
      <c r="A1876" s="34">
        <v>45889</v>
      </c>
      <c r="B1876" s="34" t="s">
        <v>45</v>
      </c>
      <c r="C1876" s="35">
        <v>1</v>
      </c>
      <c r="D1876" s="35">
        <v>5</v>
      </c>
      <c r="E1876" s="35"/>
      <c r="F1876" s="35"/>
      <c r="G1876" s="35"/>
      <c r="H1876" s="35"/>
      <c r="I1876" s="36">
        <v>5</v>
      </c>
      <c r="J1876" s="4">
        <v>8.3333333333333329E-2</v>
      </c>
      <c r="K1876" s="4"/>
      <c r="L1876" s="16"/>
      <c r="M1876" s="4"/>
      <c r="N1876" s="4"/>
      <c r="O1876" s="4"/>
      <c r="P1876" s="4"/>
      <c r="Q1876" s="4"/>
      <c r="R1876" s="4"/>
      <c r="S1876" s="4">
        <v>0</v>
      </c>
      <c r="T1876" s="4">
        <v>0</v>
      </c>
      <c r="U1876" s="4">
        <v>8.3333333333333329E-2</v>
      </c>
      <c r="V1876" s="4">
        <v>11.916666666666666</v>
      </c>
      <c r="W1876" s="4">
        <v>12</v>
      </c>
      <c r="X1876" s="4">
        <v>38</v>
      </c>
      <c r="Y1876" s="4">
        <v>1870.5</v>
      </c>
      <c r="Z1876" s="4">
        <v>134.57</v>
      </c>
      <c r="AA1876" s="4">
        <v>150</v>
      </c>
      <c r="AB1876" s="18">
        <v>398</v>
      </c>
      <c r="AC1876" s="18">
        <v>34</v>
      </c>
      <c r="AD1876" s="28"/>
      <c r="AE1876" s="26"/>
      <c r="AF1876" s="28"/>
    </row>
    <row r="1877" spans="1:32" ht="12.4" customHeight="1" x14ac:dyDescent="0.25">
      <c r="A1877" s="34">
        <v>45889</v>
      </c>
      <c r="B1877" s="34" t="s">
        <v>46</v>
      </c>
      <c r="C1877" s="35">
        <v>1</v>
      </c>
      <c r="D1877" s="35"/>
      <c r="E1877" s="35"/>
      <c r="F1877" s="35"/>
      <c r="G1877" s="35"/>
      <c r="H1877" s="35"/>
      <c r="I1877" s="36">
        <v>0</v>
      </c>
      <c r="J1877" s="4">
        <v>0</v>
      </c>
      <c r="K1877" s="4"/>
      <c r="L1877" s="16"/>
      <c r="M1877" s="4"/>
      <c r="N1877" s="4"/>
      <c r="O1877" s="4"/>
      <c r="P1877" s="4"/>
      <c r="Q1877" s="4"/>
      <c r="R1877" s="4"/>
      <c r="S1877" s="4">
        <v>0</v>
      </c>
      <c r="T1877" s="4">
        <v>0</v>
      </c>
      <c r="U1877" s="4">
        <v>0</v>
      </c>
      <c r="V1877" s="4">
        <v>12</v>
      </c>
      <c r="W1877" s="4">
        <v>12</v>
      </c>
      <c r="X1877" s="4">
        <v>17</v>
      </c>
      <c r="Y1877" s="4"/>
      <c r="Z1877" s="4">
        <v>121.14</v>
      </c>
      <c r="AA1877" s="4">
        <v>130</v>
      </c>
      <c r="AB1877" s="18"/>
      <c r="AC1877" s="18">
        <v>34</v>
      </c>
      <c r="AD1877" s="28"/>
      <c r="AE1877" s="26"/>
      <c r="AF1877" s="28"/>
    </row>
    <row r="1878" spans="1:32" ht="12.4" customHeight="1" x14ac:dyDescent="0.25">
      <c r="A1878" s="34">
        <v>45889</v>
      </c>
      <c r="B1878" s="34" t="s">
        <v>45</v>
      </c>
      <c r="C1878" s="35">
        <v>2</v>
      </c>
      <c r="D1878" s="35"/>
      <c r="E1878" s="35"/>
      <c r="F1878" s="35"/>
      <c r="G1878" s="35"/>
      <c r="H1878" s="35"/>
      <c r="I1878" s="36">
        <v>0</v>
      </c>
      <c r="J1878" s="4">
        <v>0</v>
      </c>
      <c r="K1878" s="4"/>
      <c r="L1878" s="16"/>
      <c r="M1878" s="4"/>
      <c r="N1878" s="4"/>
      <c r="O1878" s="4"/>
      <c r="P1878" s="4"/>
      <c r="Q1878" s="4"/>
      <c r="R1878" s="4"/>
      <c r="S1878" s="4">
        <v>0</v>
      </c>
      <c r="T1878" s="4">
        <v>0</v>
      </c>
      <c r="U1878" s="4">
        <v>0</v>
      </c>
      <c r="V1878" s="4">
        <v>12</v>
      </c>
      <c r="W1878" s="4">
        <v>12</v>
      </c>
      <c r="X1878" s="4">
        <v>0</v>
      </c>
      <c r="Y1878" s="4"/>
      <c r="Z1878" s="4">
        <v>127.94000000000001</v>
      </c>
      <c r="AA1878" s="4">
        <v>130</v>
      </c>
      <c r="AB1878" s="18"/>
      <c r="AC1878" s="18">
        <v>34</v>
      </c>
      <c r="AD1878" s="28"/>
      <c r="AE1878" s="26"/>
      <c r="AF1878" s="28"/>
    </row>
    <row r="1879" spans="1:32" ht="12.4" customHeight="1" x14ac:dyDescent="0.25">
      <c r="A1879" s="34">
        <v>45889</v>
      </c>
      <c r="B1879" s="34" t="s">
        <v>46</v>
      </c>
      <c r="C1879" s="35">
        <v>2</v>
      </c>
      <c r="D1879" s="35">
        <v>2</v>
      </c>
      <c r="E1879" s="35"/>
      <c r="F1879" s="35"/>
      <c r="G1879" s="35"/>
      <c r="H1879" s="35"/>
      <c r="I1879" s="36">
        <v>2</v>
      </c>
      <c r="J1879" s="4">
        <v>3.3333333333333333E-2</v>
      </c>
      <c r="K1879" s="4"/>
      <c r="L1879" s="16"/>
      <c r="M1879" s="4"/>
      <c r="N1879" s="4"/>
      <c r="O1879" s="4"/>
      <c r="P1879" s="4"/>
      <c r="Q1879" s="4"/>
      <c r="R1879" s="4"/>
      <c r="S1879" s="4">
        <v>0</v>
      </c>
      <c r="T1879" s="4">
        <v>0</v>
      </c>
      <c r="U1879" s="4">
        <v>3.3333333333333333E-2</v>
      </c>
      <c r="V1879" s="4">
        <v>11.966666666666667</v>
      </c>
      <c r="W1879" s="4">
        <v>12</v>
      </c>
      <c r="X1879" s="4">
        <v>0</v>
      </c>
      <c r="Y1879" s="4"/>
      <c r="Z1879" s="4">
        <v>143.35999999999999</v>
      </c>
      <c r="AA1879" s="4">
        <v>150</v>
      </c>
      <c r="AB1879" s="18"/>
      <c r="AC1879" s="18">
        <v>34</v>
      </c>
      <c r="AD1879" s="28"/>
      <c r="AE1879" s="26"/>
      <c r="AF1879" s="28"/>
    </row>
    <row r="1880" spans="1:32" ht="12.4" customHeight="1" x14ac:dyDescent="0.25">
      <c r="A1880" s="34">
        <v>45889</v>
      </c>
      <c r="B1880" s="34" t="s">
        <v>45</v>
      </c>
      <c r="C1880" s="35">
        <v>3</v>
      </c>
      <c r="D1880" s="35"/>
      <c r="E1880" s="35"/>
      <c r="F1880" s="35"/>
      <c r="G1880" s="35"/>
      <c r="H1880" s="35"/>
      <c r="I1880" s="36">
        <v>0</v>
      </c>
      <c r="J1880" s="4">
        <v>0</v>
      </c>
      <c r="K1880" s="4"/>
      <c r="L1880" s="16"/>
      <c r="M1880" s="4">
        <v>480</v>
      </c>
      <c r="N1880" s="4"/>
      <c r="O1880" s="4"/>
      <c r="P1880" s="4"/>
      <c r="Q1880" s="4"/>
      <c r="R1880" s="4"/>
      <c r="S1880" s="4">
        <v>480</v>
      </c>
      <c r="T1880" s="4">
        <v>8</v>
      </c>
      <c r="U1880" s="4">
        <v>8</v>
      </c>
      <c r="V1880" s="4">
        <v>4</v>
      </c>
      <c r="W1880" s="4">
        <v>12</v>
      </c>
      <c r="X1880" s="4">
        <v>0</v>
      </c>
      <c r="Y1880" s="4"/>
      <c r="Z1880" s="4">
        <v>97.089999999999989</v>
      </c>
      <c r="AA1880" s="4">
        <v>105</v>
      </c>
      <c r="AB1880" s="18"/>
      <c r="AC1880" s="18">
        <v>34</v>
      </c>
      <c r="AD1880" s="28"/>
      <c r="AE1880" s="26"/>
      <c r="AF1880" s="28"/>
    </row>
    <row r="1881" spans="1:32" ht="12.4" customHeight="1" x14ac:dyDescent="0.25">
      <c r="A1881" s="34">
        <v>45889</v>
      </c>
      <c r="B1881" s="34" t="s">
        <v>46</v>
      </c>
      <c r="C1881" s="35">
        <v>3</v>
      </c>
      <c r="D1881" s="35"/>
      <c r="E1881" s="35"/>
      <c r="F1881" s="35"/>
      <c r="G1881" s="35"/>
      <c r="H1881" s="35"/>
      <c r="I1881" s="36">
        <v>0</v>
      </c>
      <c r="J1881" s="4">
        <v>0</v>
      </c>
      <c r="K1881" s="4"/>
      <c r="L1881" s="16"/>
      <c r="M1881" s="4">
        <v>60</v>
      </c>
      <c r="N1881" s="4"/>
      <c r="O1881" s="4"/>
      <c r="P1881" s="4"/>
      <c r="Q1881" s="4"/>
      <c r="R1881" s="4"/>
      <c r="S1881" s="4">
        <v>60</v>
      </c>
      <c r="T1881" s="4">
        <v>1</v>
      </c>
      <c r="U1881" s="4">
        <v>1</v>
      </c>
      <c r="V1881" s="4">
        <v>11</v>
      </c>
      <c r="W1881" s="4">
        <v>12</v>
      </c>
      <c r="X1881" s="4">
        <v>0</v>
      </c>
      <c r="Y1881" s="4"/>
      <c r="Z1881" s="4">
        <v>205.99</v>
      </c>
      <c r="AA1881" s="4">
        <v>210</v>
      </c>
      <c r="AB1881" s="18"/>
      <c r="AC1881" s="18">
        <v>34</v>
      </c>
      <c r="AD1881" s="28"/>
      <c r="AE1881" s="26"/>
      <c r="AF1881" s="28"/>
    </row>
    <row r="1882" spans="1:32" ht="12.4" customHeight="1" x14ac:dyDescent="0.25">
      <c r="A1882" s="34">
        <v>45889</v>
      </c>
      <c r="B1882" s="34" t="s">
        <v>45</v>
      </c>
      <c r="C1882" s="35">
        <v>4</v>
      </c>
      <c r="D1882" s="35">
        <v>10</v>
      </c>
      <c r="E1882" s="35"/>
      <c r="F1882" s="35"/>
      <c r="G1882" s="35"/>
      <c r="H1882" s="35"/>
      <c r="I1882" s="36">
        <v>10</v>
      </c>
      <c r="J1882" s="4">
        <v>0.16666666666666666</v>
      </c>
      <c r="K1882" s="4"/>
      <c r="L1882" s="16"/>
      <c r="M1882" s="4"/>
      <c r="N1882" s="4"/>
      <c r="O1882" s="4"/>
      <c r="P1882" s="4"/>
      <c r="Q1882" s="4"/>
      <c r="R1882" s="4"/>
      <c r="S1882" s="4">
        <v>0</v>
      </c>
      <c r="T1882" s="4">
        <v>0</v>
      </c>
      <c r="U1882" s="4">
        <v>0.16666666666666666</v>
      </c>
      <c r="V1882" s="4">
        <v>11.833333333333334</v>
      </c>
      <c r="W1882" s="4">
        <v>12</v>
      </c>
      <c r="X1882" s="4">
        <v>0</v>
      </c>
      <c r="Y1882" s="4"/>
      <c r="Z1882" s="4">
        <v>671.38</v>
      </c>
      <c r="AA1882" s="4">
        <v>675</v>
      </c>
      <c r="AB1882" s="18"/>
      <c r="AC1882" s="18">
        <v>34</v>
      </c>
      <c r="AD1882" s="28"/>
      <c r="AE1882" s="26"/>
      <c r="AF1882" s="28"/>
    </row>
    <row r="1883" spans="1:32" ht="12.4" customHeight="1" x14ac:dyDescent="0.25">
      <c r="A1883" s="34">
        <v>45889</v>
      </c>
      <c r="B1883" s="34" t="s">
        <v>46</v>
      </c>
      <c r="C1883" s="35">
        <v>4</v>
      </c>
      <c r="D1883" s="35"/>
      <c r="E1883" s="35"/>
      <c r="F1883" s="35"/>
      <c r="G1883" s="35"/>
      <c r="H1883" s="35"/>
      <c r="I1883" s="36">
        <v>0</v>
      </c>
      <c r="J1883" s="4">
        <v>0</v>
      </c>
      <c r="K1883" s="4"/>
      <c r="L1883" s="16"/>
      <c r="M1883" s="4"/>
      <c r="N1883" s="4"/>
      <c r="O1883" s="4"/>
      <c r="P1883" s="4"/>
      <c r="Q1883" s="4"/>
      <c r="R1883" s="4"/>
      <c r="S1883" s="4">
        <v>0</v>
      </c>
      <c r="T1883" s="4">
        <v>0</v>
      </c>
      <c r="U1883" s="4">
        <v>0</v>
      </c>
      <c r="V1883" s="4">
        <v>12</v>
      </c>
      <c r="W1883" s="4">
        <v>12</v>
      </c>
      <c r="X1883" s="4">
        <v>0</v>
      </c>
      <c r="Y1883" s="4"/>
      <c r="Z1883" s="4">
        <v>670.78</v>
      </c>
      <c r="AA1883" s="4">
        <v>675</v>
      </c>
      <c r="AB1883" s="18"/>
      <c r="AC1883" s="18">
        <v>34</v>
      </c>
      <c r="AD1883" s="28"/>
      <c r="AE1883" s="26"/>
      <c r="AF1883" s="28"/>
    </row>
    <row r="1884" spans="1:32" ht="12.4" customHeight="1" x14ac:dyDescent="0.25">
      <c r="A1884" s="34">
        <v>45889</v>
      </c>
      <c r="B1884" s="34" t="s">
        <v>45</v>
      </c>
      <c r="C1884" s="35">
        <v>5</v>
      </c>
      <c r="D1884" s="35">
        <v>20</v>
      </c>
      <c r="E1884" s="35"/>
      <c r="F1884" s="35"/>
      <c r="G1884" s="35"/>
      <c r="H1884" s="35"/>
      <c r="I1884" s="36">
        <v>20</v>
      </c>
      <c r="J1884" s="4">
        <v>0.33333333333333331</v>
      </c>
      <c r="K1884" s="4"/>
      <c r="L1884" s="16"/>
      <c r="M1884" s="4">
        <v>30</v>
      </c>
      <c r="N1884" s="4"/>
      <c r="O1884" s="4"/>
      <c r="P1884" s="4"/>
      <c r="Q1884" s="4"/>
      <c r="R1884" s="4"/>
      <c r="S1884" s="4">
        <v>30</v>
      </c>
      <c r="T1884" s="4">
        <v>0.5</v>
      </c>
      <c r="U1884" s="4">
        <v>0.83333333333333326</v>
      </c>
      <c r="V1884" s="4">
        <v>11.166666666666666</v>
      </c>
      <c r="W1884" s="4">
        <v>12</v>
      </c>
      <c r="X1884" s="4">
        <v>0</v>
      </c>
      <c r="Y1884" s="4"/>
      <c r="Z1884" s="4">
        <v>534.47</v>
      </c>
      <c r="AA1884" s="4">
        <v>535</v>
      </c>
      <c r="AB1884" s="18"/>
      <c r="AC1884" s="18">
        <v>34</v>
      </c>
      <c r="AD1884" s="28"/>
      <c r="AE1884" s="26"/>
      <c r="AF1884" s="28"/>
    </row>
    <row r="1885" spans="1:32" ht="12.4" customHeight="1" x14ac:dyDescent="0.25">
      <c r="A1885" s="34">
        <v>45889</v>
      </c>
      <c r="B1885" s="34" t="s">
        <v>46</v>
      </c>
      <c r="C1885" s="35">
        <v>5</v>
      </c>
      <c r="D1885" s="35"/>
      <c r="E1885" s="35"/>
      <c r="F1885" s="35"/>
      <c r="G1885" s="35"/>
      <c r="H1885" s="35"/>
      <c r="I1885" s="36">
        <v>0</v>
      </c>
      <c r="J1885" s="4">
        <v>0</v>
      </c>
      <c r="K1885" s="4"/>
      <c r="L1885" s="16"/>
      <c r="M1885" s="4"/>
      <c r="N1885" s="4"/>
      <c r="O1885" s="4"/>
      <c r="P1885" s="4"/>
      <c r="Q1885" s="4"/>
      <c r="R1885" s="4"/>
      <c r="S1885" s="4">
        <v>0</v>
      </c>
      <c r="T1885" s="4">
        <v>0</v>
      </c>
      <c r="U1885" s="4">
        <v>0</v>
      </c>
      <c r="V1885" s="4">
        <v>12</v>
      </c>
      <c r="W1885" s="4">
        <v>12</v>
      </c>
      <c r="X1885" s="4">
        <v>0</v>
      </c>
      <c r="Y1885" s="4"/>
      <c r="Z1885" s="4">
        <v>486.84000000000003</v>
      </c>
      <c r="AA1885" s="4">
        <v>500</v>
      </c>
      <c r="AB1885" s="18"/>
      <c r="AC1885" s="18">
        <v>34</v>
      </c>
      <c r="AD1885" s="28"/>
      <c r="AE1885" s="26"/>
      <c r="AF1885" s="28"/>
    </row>
    <row r="1886" spans="1:32" ht="12.4" customHeight="1" x14ac:dyDescent="0.25">
      <c r="A1886" s="34">
        <v>45890</v>
      </c>
      <c r="B1886" s="34" t="s">
        <v>45</v>
      </c>
      <c r="C1886" s="35">
        <v>1</v>
      </c>
      <c r="D1886" s="35"/>
      <c r="E1886" s="35"/>
      <c r="F1886" s="35"/>
      <c r="G1886" s="35"/>
      <c r="H1886" s="35"/>
      <c r="I1886" s="36">
        <v>0</v>
      </c>
      <c r="J1886" s="4">
        <v>0</v>
      </c>
      <c r="K1886" s="4"/>
      <c r="L1886" s="16"/>
      <c r="M1886" s="4"/>
      <c r="N1886" s="4"/>
      <c r="O1886" s="4"/>
      <c r="P1886" s="4"/>
      <c r="Q1886" s="4"/>
      <c r="R1886" s="4"/>
      <c r="S1886" s="4">
        <v>0</v>
      </c>
      <c r="T1886" s="4">
        <v>0</v>
      </c>
      <c r="U1886" s="4">
        <v>0</v>
      </c>
      <c r="V1886" s="4">
        <v>12</v>
      </c>
      <c r="W1886" s="4">
        <v>12</v>
      </c>
      <c r="X1886" s="4">
        <v>15</v>
      </c>
      <c r="Y1886" s="4">
        <v>1930</v>
      </c>
      <c r="Z1886" s="4">
        <v>119.94000000000001</v>
      </c>
      <c r="AA1886" s="4">
        <v>130</v>
      </c>
      <c r="AB1886" s="18">
        <v>398</v>
      </c>
      <c r="AC1886" s="18">
        <v>34</v>
      </c>
      <c r="AD1886" s="28"/>
      <c r="AE1886" s="26"/>
      <c r="AF1886" s="28"/>
    </row>
    <row r="1887" spans="1:32" ht="12.4" customHeight="1" x14ac:dyDescent="0.25">
      <c r="A1887" s="34">
        <v>45890</v>
      </c>
      <c r="B1887" s="34" t="s">
        <v>46</v>
      </c>
      <c r="C1887" s="35">
        <v>1</v>
      </c>
      <c r="D1887" s="35"/>
      <c r="E1887" s="35"/>
      <c r="F1887" s="35"/>
      <c r="G1887" s="35"/>
      <c r="H1887" s="35"/>
      <c r="I1887" s="36">
        <v>0</v>
      </c>
      <c r="J1887" s="4">
        <v>0</v>
      </c>
      <c r="K1887" s="4"/>
      <c r="L1887" s="16"/>
      <c r="M1887" s="4"/>
      <c r="N1887" s="4"/>
      <c r="O1887" s="4"/>
      <c r="P1887" s="4"/>
      <c r="Q1887" s="4"/>
      <c r="R1887" s="4"/>
      <c r="S1887" s="4">
        <v>0</v>
      </c>
      <c r="T1887" s="4">
        <v>0</v>
      </c>
      <c r="U1887" s="4">
        <v>0</v>
      </c>
      <c r="V1887" s="4">
        <v>12</v>
      </c>
      <c r="W1887" s="4">
        <v>12</v>
      </c>
      <c r="X1887" s="4">
        <v>40</v>
      </c>
      <c r="Y1887" s="4"/>
      <c r="Z1887" s="4">
        <v>117.26</v>
      </c>
      <c r="AA1887" s="4">
        <v>125</v>
      </c>
      <c r="AB1887" s="18"/>
      <c r="AC1887" s="18">
        <v>34</v>
      </c>
      <c r="AD1887" s="28"/>
      <c r="AE1887" s="26"/>
      <c r="AF1887" s="28"/>
    </row>
    <row r="1888" spans="1:32" ht="12.4" customHeight="1" x14ac:dyDescent="0.25">
      <c r="A1888" s="34">
        <v>45890</v>
      </c>
      <c r="B1888" s="34" t="s">
        <v>45</v>
      </c>
      <c r="C1888" s="35">
        <v>2</v>
      </c>
      <c r="D1888" s="35"/>
      <c r="E1888" s="35"/>
      <c r="F1888" s="35"/>
      <c r="G1888" s="35"/>
      <c r="H1888" s="35"/>
      <c r="I1888" s="36">
        <v>0</v>
      </c>
      <c r="J1888" s="4">
        <v>0</v>
      </c>
      <c r="K1888" s="4"/>
      <c r="L1888" s="16"/>
      <c r="M1888" s="4"/>
      <c r="N1888" s="4"/>
      <c r="O1888" s="4"/>
      <c r="P1888" s="4"/>
      <c r="Q1888" s="4"/>
      <c r="R1888" s="4"/>
      <c r="S1888" s="4">
        <v>0</v>
      </c>
      <c r="T1888" s="4">
        <v>0</v>
      </c>
      <c r="U1888" s="4">
        <v>0</v>
      </c>
      <c r="V1888" s="4">
        <v>12</v>
      </c>
      <c r="W1888" s="4">
        <v>12</v>
      </c>
      <c r="X1888" s="4">
        <v>0</v>
      </c>
      <c r="Y1888" s="4"/>
      <c r="Z1888" s="4">
        <v>151.92000000000002</v>
      </c>
      <c r="AA1888" s="4">
        <v>160</v>
      </c>
      <c r="AB1888" s="18"/>
      <c r="AC1888" s="18">
        <v>34</v>
      </c>
      <c r="AD1888" s="28"/>
      <c r="AE1888" s="26"/>
      <c r="AF1888" s="28"/>
    </row>
    <row r="1889" spans="1:32" ht="12.4" customHeight="1" x14ac:dyDescent="0.25">
      <c r="A1889" s="34">
        <v>45890</v>
      </c>
      <c r="B1889" s="34" t="s">
        <v>46</v>
      </c>
      <c r="C1889" s="35">
        <v>2</v>
      </c>
      <c r="D1889" s="35">
        <v>30</v>
      </c>
      <c r="E1889" s="35"/>
      <c r="F1889" s="35"/>
      <c r="G1889" s="35"/>
      <c r="H1889" s="35"/>
      <c r="I1889" s="36">
        <v>30</v>
      </c>
      <c r="J1889" s="4">
        <v>0.5</v>
      </c>
      <c r="K1889" s="4"/>
      <c r="L1889" s="16"/>
      <c r="M1889" s="4"/>
      <c r="N1889" s="4"/>
      <c r="O1889" s="4"/>
      <c r="P1889" s="4"/>
      <c r="Q1889" s="4"/>
      <c r="R1889" s="4"/>
      <c r="S1889" s="4">
        <v>0</v>
      </c>
      <c r="T1889" s="4">
        <v>0</v>
      </c>
      <c r="U1889" s="4">
        <v>0.5</v>
      </c>
      <c r="V1889" s="4">
        <v>11.5</v>
      </c>
      <c r="W1889" s="4">
        <v>12</v>
      </c>
      <c r="X1889" s="4">
        <v>0</v>
      </c>
      <c r="Y1889" s="4"/>
      <c r="Z1889" s="4">
        <v>100.49000000000001</v>
      </c>
      <c r="AA1889" s="4">
        <v>110</v>
      </c>
      <c r="AB1889" s="18"/>
      <c r="AC1889" s="18">
        <v>34</v>
      </c>
      <c r="AD1889" s="28"/>
      <c r="AE1889" s="26"/>
      <c r="AF1889" s="28"/>
    </row>
    <row r="1890" spans="1:32" ht="12.4" customHeight="1" x14ac:dyDescent="0.25">
      <c r="A1890" s="34">
        <v>45890</v>
      </c>
      <c r="B1890" s="34" t="s">
        <v>45</v>
      </c>
      <c r="C1890" s="35">
        <v>3</v>
      </c>
      <c r="D1890" s="35"/>
      <c r="E1890" s="35"/>
      <c r="F1890" s="35"/>
      <c r="G1890" s="35"/>
      <c r="H1890" s="35"/>
      <c r="I1890" s="36">
        <v>0</v>
      </c>
      <c r="J1890" s="4">
        <v>0</v>
      </c>
      <c r="K1890" s="4"/>
      <c r="L1890" s="16"/>
      <c r="M1890" s="4"/>
      <c r="N1890" s="4"/>
      <c r="O1890" s="4"/>
      <c r="P1890" s="4"/>
      <c r="Q1890" s="4"/>
      <c r="R1890" s="4"/>
      <c r="S1890" s="4">
        <v>0</v>
      </c>
      <c r="T1890" s="4">
        <v>0</v>
      </c>
      <c r="U1890" s="4">
        <v>0</v>
      </c>
      <c r="V1890" s="4">
        <v>12</v>
      </c>
      <c r="W1890" s="4">
        <v>12</v>
      </c>
      <c r="X1890" s="4">
        <v>0</v>
      </c>
      <c r="Y1890" s="4"/>
      <c r="Z1890" s="4">
        <v>354.09999999999997</v>
      </c>
      <c r="AA1890" s="4">
        <v>410</v>
      </c>
      <c r="AB1890" s="18"/>
      <c r="AC1890" s="18">
        <v>34</v>
      </c>
      <c r="AD1890" s="28"/>
      <c r="AE1890" s="26"/>
      <c r="AF1890" s="28"/>
    </row>
    <row r="1891" spans="1:32" ht="12.4" customHeight="1" x14ac:dyDescent="0.25">
      <c r="A1891" s="34">
        <v>45890</v>
      </c>
      <c r="B1891" s="34" t="s">
        <v>46</v>
      </c>
      <c r="C1891" s="35">
        <v>3</v>
      </c>
      <c r="D1891" s="35"/>
      <c r="E1891" s="35"/>
      <c r="F1891" s="35"/>
      <c r="G1891" s="35"/>
      <c r="H1891" s="35"/>
      <c r="I1891" s="36">
        <v>0</v>
      </c>
      <c r="J1891" s="4">
        <v>0</v>
      </c>
      <c r="K1891" s="4"/>
      <c r="L1891" s="16"/>
      <c r="M1891" s="4"/>
      <c r="N1891" s="4"/>
      <c r="O1891" s="4"/>
      <c r="P1891" s="4"/>
      <c r="Q1891" s="4"/>
      <c r="R1891" s="4"/>
      <c r="S1891" s="4">
        <v>0</v>
      </c>
      <c r="T1891" s="4">
        <v>0</v>
      </c>
      <c r="U1891" s="4">
        <v>0</v>
      </c>
      <c r="V1891" s="4">
        <v>12</v>
      </c>
      <c r="W1891" s="4">
        <v>12</v>
      </c>
      <c r="X1891" s="4">
        <v>0</v>
      </c>
      <c r="Y1891" s="4"/>
      <c r="Z1891" s="4">
        <v>375.24</v>
      </c>
      <c r="AA1891" s="4">
        <v>380</v>
      </c>
      <c r="AB1891" s="18"/>
      <c r="AC1891" s="18">
        <v>34</v>
      </c>
      <c r="AD1891" s="28"/>
      <c r="AE1891" s="26"/>
      <c r="AF1891" s="28"/>
    </row>
    <row r="1892" spans="1:32" ht="12.4" customHeight="1" x14ac:dyDescent="0.25">
      <c r="A1892" s="34">
        <v>45890</v>
      </c>
      <c r="B1892" s="34" t="s">
        <v>45</v>
      </c>
      <c r="C1892" s="35">
        <v>4</v>
      </c>
      <c r="D1892" s="35"/>
      <c r="E1892" s="35">
        <v>60</v>
      </c>
      <c r="F1892" s="35"/>
      <c r="G1892" s="35"/>
      <c r="H1892" s="35"/>
      <c r="I1892" s="36">
        <v>60</v>
      </c>
      <c r="J1892" s="4">
        <v>1</v>
      </c>
      <c r="K1892" s="4"/>
      <c r="L1892" s="16"/>
      <c r="M1892" s="4">
        <v>30</v>
      </c>
      <c r="N1892" s="4"/>
      <c r="O1892" s="4"/>
      <c r="P1892" s="4"/>
      <c r="Q1892" s="4"/>
      <c r="R1892" s="4"/>
      <c r="S1892" s="4">
        <v>30</v>
      </c>
      <c r="T1892" s="4">
        <v>0.5</v>
      </c>
      <c r="U1892" s="4">
        <v>1.5</v>
      </c>
      <c r="V1892" s="4">
        <v>10.5</v>
      </c>
      <c r="W1892" s="4">
        <v>12</v>
      </c>
      <c r="X1892" s="4">
        <v>0</v>
      </c>
      <c r="Y1892" s="4"/>
      <c r="Z1892" s="4">
        <v>568.2700000000001</v>
      </c>
      <c r="AA1892" s="4">
        <v>575</v>
      </c>
      <c r="AB1892" s="18"/>
      <c r="AC1892" s="18">
        <v>34</v>
      </c>
      <c r="AD1892" s="28"/>
      <c r="AE1892" s="26"/>
      <c r="AF1892" s="28"/>
    </row>
    <row r="1893" spans="1:32" ht="12.4" customHeight="1" x14ac:dyDescent="0.25">
      <c r="A1893" s="34">
        <v>45890</v>
      </c>
      <c r="B1893" s="34" t="s">
        <v>46</v>
      </c>
      <c r="C1893" s="35">
        <v>4</v>
      </c>
      <c r="D1893" s="35">
        <v>20</v>
      </c>
      <c r="E1893" s="35"/>
      <c r="F1893" s="35">
        <v>195</v>
      </c>
      <c r="G1893" s="35"/>
      <c r="H1893" s="35"/>
      <c r="I1893" s="36">
        <v>215</v>
      </c>
      <c r="J1893" s="4">
        <v>3.5833333333333335</v>
      </c>
      <c r="K1893" s="4"/>
      <c r="L1893" s="16"/>
      <c r="M1893" s="4"/>
      <c r="N1893" s="4"/>
      <c r="O1893" s="4"/>
      <c r="P1893" s="4"/>
      <c r="Q1893" s="4">
        <v>45</v>
      </c>
      <c r="R1893" s="4"/>
      <c r="S1893" s="4">
        <v>45</v>
      </c>
      <c r="T1893" s="4">
        <v>0.75</v>
      </c>
      <c r="U1893" s="4">
        <v>4.3333333333333339</v>
      </c>
      <c r="V1893" s="4">
        <v>7.6666666666666661</v>
      </c>
      <c r="W1893" s="4">
        <v>12</v>
      </c>
      <c r="X1893" s="4">
        <v>0</v>
      </c>
      <c r="Y1893" s="4"/>
      <c r="Z1893" s="4">
        <v>407.38</v>
      </c>
      <c r="AA1893" s="4">
        <v>420</v>
      </c>
      <c r="AB1893" s="18"/>
      <c r="AC1893" s="18">
        <v>34</v>
      </c>
      <c r="AD1893" s="28"/>
      <c r="AE1893" s="26"/>
      <c r="AF1893" s="28"/>
    </row>
    <row r="1894" spans="1:32" ht="12.4" customHeight="1" x14ac:dyDescent="0.25">
      <c r="A1894" s="34">
        <v>45890</v>
      </c>
      <c r="B1894" s="34" t="s">
        <v>45</v>
      </c>
      <c r="C1894" s="35">
        <v>5</v>
      </c>
      <c r="D1894" s="35"/>
      <c r="E1894" s="35"/>
      <c r="F1894" s="35"/>
      <c r="G1894" s="35"/>
      <c r="H1894" s="35"/>
      <c r="I1894" s="36">
        <v>0</v>
      </c>
      <c r="J1894" s="4">
        <v>0</v>
      </c>
      <c r="K1894" s="4"/>
      <c r="L1894" s="16"/>
      <c r="M1894" s="4"/>
      <c r="N1894" s="4"/>
      <c r="O1894" s="4"/>
      <c r="P1894" s="4"/>
      <c r="Q1894" s="4"/>
      <c r="R1894" s="4"/>
      <c r="S1894" s="4">
        <v>0</v>
      </c>
      <c r="T1894" s="4">
        <v>0</v>
      </c>
      <c r="U1894" s="4">
        <v>0</v>
      </c>
      <c r="V1894" s="4">
        <v>12</v>
      </c>
      <c r="W1894" s="4">
        <v>12</v>
      </c>
      <c r="X1894" s="4">
        <v>0</v>
      </c>
      <c r="Y1894" s="4"/>
      <c r="Z1894" s="4">
        <v>541.94000000000005</v>
      </c>
      <c r="AA1894" s="4">
        <v>550</v>
      </c>
      <c r="AB1894" s="18"/>
      <c r="AC1894" s="18">
        <v>34</v>
      </c>
      <c r="AD1894" s="28"/>
      <c r="AE1894" s="26"/>
      <c r="AF1894" s="28"/>
    </row>
    <row r="1895" spans="1:32" ht="12.4" customHeight="1" x14ac:dyDescent="0.25">
      <c r="A1895" s="34">
        <v>45890</v>
      </c>
      <c r="B1895" s="34" t="s">
        <v>46</v>
      </c>
      <c r="C1895" s="35">
        <v>5</v>
      </c>
      <c r="D1895" s="35"/>
      <c r="E1895" s="35"/>
      <c r="F1895" s="35"/>
      <c r="G1895" s="35"/>
      <c r="H1895" s="35"/>
      <c r="I1895" s="36">
        <v>0</v>
      </c>
      <c r="J1895" s="4">
        <v>0</v>
      </c>
      <c r="K1895" s="4"/>
      <c r="L1895" s="16"/>
      <c r="M1895" s="4"/>
      <c r="N1895" s="4"/>
      <c r="O1895" s="4"/>
      <c r="P1895" s="4"/>
      <c r="Q1895" s="4"/>
      <c r="R1895" s="4"/>
      <c r="S1895" s="4">
        <v>0</v>
      </c>
      <c r="T1895" s="4">
        <v>0</v>
      </c>
      <c r="U1895" s="4">
        <v>0</v>
      </c>
      <c r="V1895" s="4">
        <v>12</v>
      </c>
      <c r="W1895" s="4">
        <v>12</v>
      </c>
      <c r="X1895" s="4">
        <v>0</v>
      </c>
      <c r="Y1895" s="4"/>
      <c r="Z1895" s="4">
        <v>536.08000000000004</v>
      </c>
      <c r="AA1895" s="4">
        <v>540</v>
      </c>
      <c r="AB1895" s="18"/>
      <c r="AC1895" s="18">
        <v>34</v>
      </c>
      <c r="AD1895" s="28"/>
      <c r="AE1895" s="26"/>
      <c r="AF1895" s="28"/>
    </row>
    <row r="1896" spans="1:32" ht="12.4" customHeight="1" x14ac:dyDescent="0.25">
      <c r="A1896" s="34">
        <v>45891</v>
      </c>
      <c r="B1896" s="34" t="s">
        <v>45</v>
      </c>
      <c r="C1896" s="35">
        <v>1</v>
      </c>
      <c r="D1896" s="35"/>
      <c r="E1896" s="35"/>
      <c r="F1896" s="35"/>
      <c r="G1896" s="35"/>
      <c r="H1896" s="35"/>
      <c r="I1896" s="36">
        <v>0</v>
      </c>
      <c r="J1896" s="4">
        <v>0</v>
      </c>
      <c r="K1896" s="4"/>
      <c r="L1896" s="16"/>
      <c r="M1896" s="4"/>
      <c r="N1896" s="4"/>
      <c r="O1896" s="4"/>
      <c r="P1896" s="4"/>
      <c r="Q1896" s="4"/>
      <c r="R1896" s="4"/>
      <c r="S1896" s="4">
        <v>0</v>
      </c>
      <c r="T1896" s="4">
        <v>0</v>
      </c>
      <c r="U1896" s="4">
        <v>0</v>
      </c>
      <c r="V1896" s="4">
        <v>12</v>
      </c>
      <c r="W1896" s="4">
        <v>12</v>
      </c>
      <c r="X1896" s="4">
        <v>23</v>
      </c>
      <c r="Y1896" s="4">
        <v>1980.5</v>
      </c>
      <c r="Z1896" s="4">
        <v>114.02</v>
      </c>
      <c r="AA1896" s="4">
        <v>130</v>
      </c>
      <c r="AB1896" s="18">
        <v>398</v>
      </c>
      <c r="AC1896" s="18">
        <v>34</v>
      </c>
      <c r="AD1896" s="28"/>
      <c r="AE1896" s="26"/>
      <c r="AF1896" s="28"/>
    </row>
    <row r="1897" spans="1:32" ht="12.4" customHeight="1" x14ac:dyDescent="0.25">
      <c r="A1897" s="34">
        <v>45891</v>
      </c>
      <c r="B1897" s="34" t="s">
        <v>46</v>
      </c>
      <c r="C1897" s="35">
        <v>1</v>
      </c>
      <c r="D1897" s="35"/>
      <c r="E1897" s="35"/>
      <c r="F1897" s="35"/>
      <c r="G1897" s="35"/>
      <c r="H1897" s="35"/>
      <c r="I1897" s="36">
        <v>0</v>
      </c>
      <c r="J1897" s="4">
        <v>0</v>
      </c>
      <c r="K1897" s="4"/>
      <c r="L1897" s="16"/>
      <c r="M1897" s="4"/>
      <c r="N1897" s="4"/>
      <c r="O1897" s="4"/>
      <c r="P1897" s="4"/>
      <c r="Q1897" s="4"/>
      <c r="R1897" s="4"/>
      <c r="S1897" s="4">
        <v>0</v>
      </c>
      <c r="T1897" s="4">
        <v>0</v>
      </c>
      <c r="U1897" s="4">
        <v>0</v>
      </c>
      <c r="V1897" s="4">
        <v>12</v>
      </c>
      <c r="W1897" s="4">
        <v>12</v>
      </c>
      <c r="X1897" s="4">
        <v>25</v>
      </c>
      <c r="Y1897" s="4"/>
      <c r="Z1897" s="4">
        <v>114.09</v>
      </c>
      <c r="AA1897" s="4">
        <v>130</v>
      </c>
      <c r="AB1897" s="18"/>
      <c r="AC1897" s="18">
        <v>34</v>
      </c>
      <c r="AD1897" s="28"/>
      <c r="AE1897" s="26"/>
      <c r="AF1897" s="28"/>
    </row>
    <row r="1898" spans="1:32" ht="12.4" customHeight="1" x14ac:dyDescent="0.25">
      <c r="A1898" s="34">
        <v>45891</v>
      </c>
      <c r="B1898" s="34" t="s">
        <v>45</v>
      </c>
      <c r="C1898" s="35">
        <v>2</v>
      </c>
      <c r="D1898" s="35"/>
      <c r="E1898" s="35"/>
      <c r="F1898" s="35"/>
      <c r="G1898" s="35"/>
      <c r="H1898" s="35"/>
      <c r="I1898" s="36">
        <v>0</v>
      </c>
      <c r="J1898" s="4">
        <v>0</v>
      </c>
      <c r="K1898" s="4"/>
      <c r="L1898" s="16"/>
      <c r="M1898" s="4"/>
      <c r="N1898" s="4"/>
      <c r="O1898" s="4"/>
      <c r="P1898" s="4"/>
      <c r="Q1898" s="4"/>
      <c r="R1898" s="4"/>
      <c r="S1898" s="4">
        <v>0</v>
      </c>
      <c r="T1898" s="4">
        <v>0</v>
      </c>
      <c r="U1898" s="4">
        <v>0</v>
      </c>
      <c r="V1898" s="4">
        <v>12</v>
      </c>
      <c r="W1898" s="4">
        <v>12</v>
      </c>
      <c r="X1898" s="4">
        <v>0</v>
      </c>
      <c r="Y1898" s="4"/>
      <c r="Z1898" s="4">
        <v>92.8</v>
      </c>
      <c r="AA1898" s="4">
        <v>100</v>
      </c>
      <c r="AB1898" s="18"/>
      <c r="AC1898" s="18">
        <v>34</v>
      </c>
      <c r="AD1898" s="28"/>
      <c r="AE1898" s="26"/>
      <c r="AF1898" s="28"/>
    </row>
    <row r="1899" spans="1:32" ht="12.4" customHeight="1" x14ac:dyDescent="0.25">
      <c r="A1899" s="34">
        <v>45891</v>
      </c>
      <c r="B1899" s="34" t="s">
        <v>46</v>
      </c>
      <c r="C1899" s="35">
        <v>2</v>
      </c>
      <c r="D1899" s="35"/>
      <c r="E1899" s="35"/>
      <c r="F1899" s="35"/>
      <c r="G1899" s="35"/>
      <c r="H1899" s="35"/>
      <c r="I1899" s="36">
        <v>0</v>
      </c>
      <c r="J1899" s="4">
        <v>0</v>
      </c>
      <c r="K1899" s="4"/>
      <c r="L1899" s="16"/>
      <c r="M1899" s="4"/>
      <c r="N1899" s="4"/>
      <c r="O1899" s="4"/>
      <c r="P1899" s="4"/>
      <c r="Q1899" s="4"/>
      <c r="R1899" s="4"/>
      <c r="S1899" s="4">
        <v>0</v>
      </c>
      <c r="T1899" s="4">
        <v>0</v>
      </c>
      <c r="U1899" s="4">
        <v>0</v>
      </c>
      <c r="V1899" s="4">
        <v>12</v>
      </c>
      <c r="W1899" s="4">
        <v>12</v>
      </c>
      <c r="X1899" s="4">
        <v>0</v>
      </c>
      <c r="Y1899" s="4"/>
      <c r="Z1899" s="4">
        <v>94.009999999999977</v>
      </c>
      <c r="AA1899" s="4">
        <v>100</v>
      </c>
      <c r="AB1899" s="18"/>
      <c r="AC1899" s="18">
        <v>34</v>
      </c>
      <c r="AD1899" s="28"/>
      <c r="AE1899" s="26"/>
      <c r="AF1899" s="28"/>
    </row>
    <row r="1900" spans="1:32" ht="12.4" customHeight="1" x14ac:dyDescent="0.25">
      <c r="A1900" s="34">
        <v>45891</v>
      </c>
      <c r="B1900" s="34" t="s">
        <v>45</v>
      </c>
      <c r="C1900" s="35">
        <v>3</v>
      </c>
      <c r="D1900" s="35"/>
      <c r="E1900" s="35"/>
      <c r="F1900" s="35"/>
      <c r="G1900" s="35"/>
      <c r="H1900" s="35"/>
      <c r="I1900" s="36">
        <v>0</v>
      </c>
      <c r="J1900" s="4">
        <v>0</v>
      </c>
      <c r="K1900" s="4"/>
      <c r="L1900" s="16"/>
      <c r="M1900" s="4"/>
      <c r="N1900" s="4"/>
      <c r="O1900" s="4"/>
      <c r="P1900" s="4"/>
      <c r="Q1900" s="4"/>
      <c r="R1900" s="4"/>
      <c r="S1900" s="4">
        <v>0</v>
      </c>
      <c r="T1900" s="4">
        <v>0</v>
      </c>
      <c r="U1900" s="4">
        <v>0</v>
      </c>
      <c r="V1900" s="4">
        <v>12</v>
      </c>
      <c r="W1900" s="4">
        <v>12</v>
      </c>
      <c r="X1900" s="4">
        <v>0</v>
      </c>
      <c r="Y1900" s="4"/>
      <c r="Z1900" s="4">
        <v>268.3</v>
      </c>
      <c r="AA1900" s="4">
        <v>275</v>
      </c>
      <c r="AB1900" s="18"/>
      <c r="AC1900" s="18">
        <v>34</v>
      </c>
      <c r="AD1900" s="28"/>
      <c r="AE1900" s="26"/>
      <c r="AF1900" s="28"/>
    </row>
    <row r="1901" spans="1:32" ht="12.4" customHeight="1" x14ac:dyDescent="0.25">
      <c r="A1901" s="34">
        <v>45891</v>
      </c>
      <c r="B1901" s="34" t="s">
        <v>46</v>
      </c>
      <c r="C1901" s="35">
        <v>3</v>
      </c>
      <c r="D1901" s="35"/>
      <c r="E1901" s="35"/>
      <c r="F1901" s="35"/>
      <c r="G1901" s="35"/>
      <c r="H1901" s="35"/>
      <c r="I1901" s="36">
        <v>0</v>
      </c>
      <c r="J1901" s="4">
        <v>0</v>
      </c>
      <c r="K1901" s="4"/>
      <c r="L1901" s="16"/>
      <c r="M1901" s="4"/>
      <c r="N1901" s="4"/>
      <c r="O1901" s="4"/>
      <c r="P1901" s="4"/>
      <c r="Q1901" s="4"/>
      <c r="R1901" s="4"/>
      <c r="S1901" s="4">
        <v>0</v>
      </c>
      <c r="T1901" s="4">
        <v>0</v>
      </c>
      <c r="U1901" s="4">
        <v>0</v>
      </c>
      <c r="V1901" s="4">
        <v>12</v>
      </c>
      <c r="W1901" s="4">
        <v>12</v>
      </c>
      <c r="X1901" s="4">
        <v>0</v>
      </c>
      <c r="Y1901" s="4"/>
      <c r="Z1901" s="4">
        <v>298.05000000000007</v>
      </c>
      <c r="AA1901" s="4">
        <v>305</v>
      </c>
      <c r="AB1901" s="18"/>
      <c r="AC1901" s="18">
        <v>34</v>
      </c>
      <c r="AD1901" s="28"/>
      <c r="AE1901" s="26"/>
      <c r="AF1901" s="28"/>
    </row>
    <row r="1902" spans="1:32" ht="12.4" customHeight="1" x14ac:dyDescent="0.25">
      <c r="A1902" s="34">
        <v>45891</v>
      </c>
      <c r="B1902" s="34" t="s">
        <v>45</v>
      </c>
      <c r="C1902" s="35">
        <v>4</v>
      </c>
      <c r="D1902" s="35">
        <v>20</v>
      </c>
      <c r="E1902" s="35"/>
      <c r="F1902" s="35"/>
      <c r="G1902" s="35"/>
      <c r="H1902" s="35"/>
      <c r="I1902" s="36">
        <v>20</v>
      </c>
      <c r="J1902" s="4">
        <v>0.33333333333333331</v>
      </c>
      <c r="K1902" s="4"/>
      <c r="L1902" s="16"/>
      <c r="M1902" s="4"/>
      <c r="N1902" s="4"/>
      <c r="O1902" s="4"/>
      <c r="P1902" s="4"/>
      <c r="Q1902" s="4"/>
      <c r="R1902" s="4"/>
      <c r="S1902" s="4">
        <v>0</v>
      </c>
      <c r="T1902" s="4">
        <v>0</v>
      </c>
      <c r="U1902" s="4">
        <v>0.33333333333333331</v>
      </c>
      <c r="V1902" s="4">
        <v>11.666666666666666</v>
      </c>
      <c r="W1902" s="4">
        <v>12</v>
      </c>
      <c r="X1902" s="4">
        <v>0</v>
      </c>
      <c r="Y1902" s="4"/>
      <c r="Z1902" s="4">
        <v>667.88000000000011</v>
      </c>
      <c r="AA1902" s="4">
        <v>675</v>
      </c>
      <c r="AB1902" s="18"/>
      <c r="AC1902" s="18">
        <v>34</v>
      </c>
      <c r="AD1902" s="28"/>
      <c r="AE1902" s="26"/>
      <c r="AF1902" s="28"/>
    </row>
    <row r="1903" spans="1:32" ht="12.4" customHeight="1" x14ac:dyDescent="0.25">
      <c r="A1903" s="34">
        <v>45891</v>
      </c>
      <c r="B1903" s="34" t="s">
        <v>46</v>
      </c>
      <c r="C1903" s="35">
        <v>4</v>
      </c>
      <c r="D1903" s="35"/>
      <c r="E1903" s="35"/>
      <c r="F1903" s="35"/>
      <c r="G1903" s="35"/>
      <c r="H1903" s="35"/>
      <c r="I1903" s="36">
        <v>0</v>
      </c>
      <c r="J1903" s="4">
        <v>0</v>
      </c>
      <c r="K1903" s="4"/>
      <c r="L1903" s="16"/>
      <c r="M1903" s="4"/>
      <c r="N1903" s="4"/>
      <c r="O1903" s="4"/>
      <c r="P1903" s="4"/>
      <c r="Q1903" s="4"/>
      <c r="R1903" s="4"/>
      <c r="S1903" s="4">
        <v>0</v>
      </c>
      <c r="T1903" s="4">
        <v>0</v>
      </c>
      <c r="U1903" s="4">
        <v>0</v>
      </c>
      <c r="V1903" s="4">
        <v>12</v>
      </c>
      <c r="W1903" s="4">
        <v>12</v>
      </c>
      <c r="X1903" s="4">
        <v>0</v>
      </c>
      <c r="Y1903" s="4"/>
      <c r="Z1903" s="4">
        <v>685.61000000000013</v>
      </c>
      <c r="AA1903" s="4">
        <v>690</v>
      </c>
      <c r="AB1903" s="18"/>
      <c r="AC1903" s="18">
        <v>34</v>
      </c>
      <c r="AD1903" s="28"/>
      <c r="AE1903" s="26"/>
      <c r="AF1903" s="28"/>
    </row>
    <row r="1904" spans="1:32" ht="12.4" customHeight="1" x14ac:dyDescent="0.25">
      <c r="A1904" s="34">
        <v>45891</v>
      </c>
      <c r="B1904" s="34" t="s">
        <v>45</v>
      </c>
      <c r="C1904" s="35">
        <v>5</v>
      </c>
      <c r="D1904" s="35"/>
      <c r="E1904" s="35"/>
      <c r="F1904" s="35"/>
      <c r="G1904" s="35"/>
      <c r="H1904" s="35"/>
      <c r="I1904" s="36">
        <v>0</v>
      </c>
      <c r="J1904" s="4">
        <v>0</v>
      </c>
      <c r="K1904" s="4"/>
      <c r="L1904" s="16"/>
      <c r="M1904" s="4"/>
      <c r="N1904" s="4"/>
      <c r="O1904" s="4"/>
      <c r="P1904" s="4"/>
      <c r="Q1904" s="4"/>
      <c r="R1904" s="4"/>
      <c r="S1904" s="4">
        <v>0</v>
      </c>
      <c r="T1904" s="4">
        <v>0</v>
      </c>
      <c r="U1904" s="4">
        <v>0</v>
      </c>
      <c r="V1904" s="4">
        <v>12</v>
      </c>
      <c r="W1904" s="4">
        <v>12</v>
      </c>
      <c r="X1904" s="4">
        <v>0</v>
      </c>
      <c r="Y1904" s="4"/>
      <c r="Z1904" s="4">
        <v>570.48</v>
      </c>
      <c r="AA1904" s="4">
        <v>575</v>
      </c>
      <c r="AB1904" s="18"/>
      <c r="AC1904" s="18">
        <v>34</v>
      </c>
      <c r="AD1904" s="28"/>
      <c r="AE1904" s="26"/>
      <c r="AF1904" s="28"/>
    </row>
    <row r="1905" spans="1:32" ht="12.4" customHeight="1" x14ac:dyDescent="0.25">
      <c r="A1905" s="34">
        <v>45891</v>
      </c>
      <c r="B1905" s="34" t="s">
        <v>46</v>
      </c>
      <c r="C1905" s="35">
        <v>5</v>
      </c>
      <c r="D1905" s="35"/>
      <c r="E1905" s="35"/>
      <c r="F1905" s="35"/>
      <c r="G1905" s="35"/>
      <c r="H1905" s="35"/>
      <c r="I1905" s="36">
        <v>0</v>
      </c>
      <c r="J1905" s="4">
        <v>0</v>
      </c>
      <c r="K1905" s="4"/>
      <c r="L1905" s="16"/>
      <c r="M1905" s="4"/>
      <c r="N1905" s="4"/>
      <c r="O1905" s="4"/>
      <c r="P1905" s="4"/>
      <c r="Q1905" s="4"/>
      <c r="R1905" s="4"/>
      <c r="S1905" s="4">
        <v>0</v>
      </c>
      <c r="T1905" s="4">
        <v>0</v>
      </c>
      <c r="U1905" s="4">
        <v>0</v>
      </c>
      <c r="V1905" s="4">
        <v>12</v>
      </c>
      <c r="W1905" s="4">
        <v>12</v>
      </c>
      <c r="X1905" s="4">
        <v>0</v>
      </c>
      <c r="Y1905" s="4"/>
      <c r="Z1905" s="4">
        <v>517.97</v>
      </c>
      <c r="AA1905" s="4">
        <v>520</v>
      </c>
      <c r="AB1905" s="18"/>
      <c r="AC1905" s="18">
        <v>34</v>
      </c>
      <c r="AD1905" s="28"/>
      <c r="AE1905" s="26"/>
      <c r="AF1905" s="28"/>
    </row>
    <row r="1906" spans="1:32" ht="12.4" customHeight="1" x14ac:dyDescent="0.25">
      <c r="A1906" s="34">
        <v>45892</v>
      </c>
      <c r="B1906" s="34" t="s">
        <v>45</v>
      </c>
      <c r="C1906" s="35">
        <v>2</v>
      </c>
      <c r="D1906" s="35"/>
      <c r="E1906" s="35"/>
      <c r="F1906" s="35"/>
      <c r="G1906" s="35"/>
      <c r="H1906" s="35"/>
      <c r="I1906" s="36">
        <v>0</v>
      </c>
      <c r="J1906" s="4">
        <v>0</v>
      </c>
      <c r="K1906" s="4"/>
      <c r="L1906" s="16"/>
      <c r="M1906" s="4"/>
      <c r="N1906" s="4"/>
      <c r="O1906" s="4"/>
      <c r="P1906" s="4"/>
      <c r="Q1906" s="4"/>
      <c r="R1906" s="4"/>
      <c r="S1906" s="4">
        <v>0</v>
      </c>
      <c r="T1906" s="4">
        <v>0</v>
      </c>
      <c r="U1906" s="4">
        <v>0</v>
      </c>
      <c r="V1906" s="4">
        <v>12</v>
      </c>
      <c r="W1906" s="4">
        <v>12</v>
      </c>
      <c r="X1906" s="4">
        <v>0</v>
      </c>
      <c r="Y1906" s="4">
        <v>1975</v>
      </c>
      <c r="Z1906" s="4">
        <v>127.38999999999999</v>
      </c>
      <c r="AA1906" s="4">
        <v>127</v>
      </c>
      <c r="AB1906" s="18">
        <v>398</v>
      </c>
      <c r="AC1906" s="18">
        <v>34</v>
      </c>
      <c r="AD1906" s="28"/>
      <c r="AE1906" s="26"/>
      <c r="AF1906" s="28"/>
    </row>
    <row r="1907" spans="1:32" ht="12.4" customHeight="1" x14ac:dyDescent="0.25">
      <c r="A1907" s="34">
        <v>45892</v>
      </c>
      <c r="B1907" s="34" t="s">
        <v>46</v>
      </c>
      <c r="C1907" s="35">
        <v>2</v>
      </c>
      <c r="D1907" s="35">
        <v>20</v>
      </c>
      <c r="E1907" s="35"/>
      <c r="F1907" s="35"/>
      <c r="G1907" s="35"/>
      <c r="H1907" s="35"/>
      <c r="I1907" s="36">
        <v>20</v>
      </c>
      <c r="J1907" s="4">
        <v>0.33333333333333331</v>
      </c>
      <c r="K1907" s="4"/>
      <c r="L1907" s="16"/>
      <c r="M1907" s="4"/>
      <c r="N1907" s="4"/>
      <c r="O1907" s="4"/>
      <c r="P1907" s="4"/>
      <c r="Q1907" s="4"/>
      <c r="R1907" s="4"/>
      <c r="S1907" s="4">
        <v>0</v>
      </c>
      <c r="T1907" s="4">
        <v>0</v>
      </c>
      <c r="U1907" s="4">
        <v>0.33333333333333331</v>
      </c>
      <c r="V1907" s="4">
        <v>11.666666666666666</v>
      </c>
      <c r="W1907" s="4">
        <v>12</v>
      </c>
      <c r="X1907" s="4">
        <v>0</v>
      </c>
      <c r="Y1907" s="4"/>
      <c r="Z1907" s="4">
        <v>137.07</v>
      </c>
      <c r="AA1907" s="4">
        <v>137</v>
      </c>
      <c r="AB1907" s="18"/>
      <c r="AC1907" s="18">
        <v>34</v>
      </c>
      <c r="AD1907" s="28"/>
      <c r="AE1907" s="26"/>
      <c r="AF1907" s="28"/>
    </row>
    <row r="1908" spans="1:32" ht="12.4" customHeight="1" x14ac:dyDescent="0.25">
      <c r="A1908" s="34">
        <v>45892</v>
      </c>
      <c r="B1908" s="34" t="s">
        <v>45</v>
      </c>
      <c r="C1908" s="35">
        <v>1</v>
      </c>
      <c r="D1908" s="35"/>
      <c r="E1908" s="35"/>
      <c r="F1908" s="35"/>
      <c r="G1908" s="35"/>
      <c r="H1908" s="35"/>
      <c r="I1908" s="36">
        <v>0</v>
      </c>
      <c r="J1908" s="4">
        <v>0</v>
      </c>
      <c r="K1908" s="4"/>
      <c r="L1908" s="16"/>
      <c r="M1908" s="4">
        <v>180</v>
      </c>
      <c r="N1908" s="4"/>
      <c r="O1908" s="4"/>
      <c r="P1908" s="4"/>
      <c r="Q1908" s="4"/>
      <c r="R1908" s="4"/>
      <c r="S1908" s="4">
        <v>180</v>
      </c>
      <c r="T1908" s="4">
        <v>3</v>
      </c>
      <c r="U1908" s="4">
        <v>3</v>
      </c>
      <c r="V1908" s="4">
        <v>9</v>
      </c>
      <c r="W1908" s="4">
        <v>12</v>
      </c>
      <c r="X1908" s="4">
        <v>21</v>
      </c>
      <c r="Y1908" s="4"/>
      <c r="Z1908" s="4">
        <v>81.040000000000006</v>
      </c>
      <c r="AA1908" s="4">
        <v>81</v>
      </c>
      <c r="AB1908" s="18"/>
      <c r="AC1908" s="18">
        <v>34</v>
      </c>
      <c r="AD1908" s="28"/>
      <c r="AE1908" s="26"/>
      <c r="AF1908" s="28"/>
    </row>
    <row r="1909" spans="1:32" ht="12.4" customHeight="1" x14ac:dyDescent="0.25">
      <c r="A1909" s="34">
        <v>45892</v>
      </c>
      <c r="B1909" s="34" t="s">
        <v>46</v>
      </c>
      <c r="C1909" s="35">
        <v>1</v>
      </c>
      <c r="D1909" s="35">
        <v>60</v>
      </c>
      <c r="E1909" s="35"/>
      <c r="F1909" s="35"/>
      <c r="G1909" s="35"/>
      <c r="H1909" s="35"/>
      <c r="I1909" s="36">
        <v>60</v>
      </c>
      <c r="J1909" s="4">
        <v>1</v>
      </c>
      <c r="K1909" s="4"/>
      <c r="L1909" s="16"/>
      <c r="M1909" s="4"/>
      <c r="N1909" s="4"/>
      <c r="O1909" s="4"/>
      <c r="P1909" s="4"/>
      <c r="Q1909" s="4"/>
      <c r="R1909" s="4"/>
      <c r="S1909" s="4">
        <v>0</v>
      </c>
      <c r="T1909" s="4">
        <v>0</v>
      </c>
      <c r="U1909" s="4">
        <v>1</v>
      </c>
      <c r="V1909" s="4">
        <v>11</v>
      </c>
      <c r="W1909" s="4">
        <v>12</v>
      </c>
      <c r="X1909" s="4">
        <v>58</v>
      </c>
      <c r="Y1909" s="4"/>
      <c r="Z1909" s="4">
        <v>127.55999999999999</v>
      </c>
      <c r="AA1909" s="4">
        <v>130</v>
      </c>
      <c r="AB1909" s="18"/>
      <c r="AC1909" s="18">
        <v>34</v>
      </c>
      <c r="AD1909" s="28"/>
      <c r="AE1909" s="26"/>
      <c r="AF1909" s="28"/>
    </row>
    <row r="1910" spans="1:32" ht="12.4" customHeight="1" x14ac:dyDescent="0.25">
      <c r="A1910" s="34">
        <v>45892</v>
      </c>
      <c r="B1910" s="34" t="s">
        <v>45</v>
      </c>
      <c r="C1910" s="35">
        <v>3</v>
      </c>
      <c r="D1910" s="35"/>
      <c r="E1910" s="35"/>
      <c r="F1910" s="35"/>
      <c r="G1910" s="35"/>
      <c r="H1910" s="35"/>
      <c r="I1910" s="36">
        <v>0</v>
      </c>
      <c r="J1910" s="4">
        <v>0</v>
      </c>
      <c r="K1910" s="4"/>
      <c r="L1910" s="16"/>
      <c r="M1910" s="4"/>
      <c r="N1910" s="4"/>
      <c r="O1910" s="4"/>
      <c r="P1910" s="4"/>
      <c r="Q1910" s="4"/>
      <c r="R1910" s="4"/>
      <c r="S1910" s="4">
        <v>0</v>
      </c>
      <c r="T1910" s="4">
        <v>0</v>
      </c>
      <c r="U1910" s="4">
        <v>0</v>
      </c>
      <c r="V1910" s="4">
        <v>12</v>
      </c>
      <c r="W1910" s="4">
        <v>12</v>
      </c>
      <c r="X1910" s="4">
        <v>0</v>
      </c>
      <c r="Y1910" s="4"/>
      <c r="Z1910" s="4">
        <v>303.81999999999994</v>
      </c>
      <c r="AA1910" s="4">
        <v>305</v>
      </c>
      <c r="AB1910" s="18"/>
      <c r="AC1910" s="18">
        <v>34</v>
      </c>
      <c r="AD1910" s="28"/>
      <c r="AE1910" s="26"/>
      <c r="AF1910" s="28"/>
    </row>
    <row r="1911" spans="1:32" ht="12.4" customHeight="1" x14ac:dyDescent="0.25">
      <c r="A1911" s="34">
        <v>45892</v>
      </c>
      <c r="B1911" s="34" t="s">
        <v>46</v>
      </c>
      <c r="C1911" s="35">
        <v>3</v>
      </c>
      <c r="D1911" s="35">
        <v>20</v>
      </c>
      <c r="E1911" s="35"/>
      <c r="F1911" s="35"/>
      <c r="G1911" s="35"/>
      <c r="H1911" s="35"/>
      <c r="I1911" s="36">
        <v>20</v>
      </c>
      <c r="J1911" s="4">
        <v>0.33333333333333331</v>
      </c>
      <c r="K1911" s="4"/>
      <c r="L1911" s="16"/>
      <c r="M1911" s="4"/>
      <c r="N1911" s="4"/>
      <c r="O1911" s="4"/>
      <c r="P1911" s="4"/>
      <c r="Q1911" s="4"/>
      <c r="R1911" s="4"/>
      <c r="S1911" s="4">
        <v>0</v>
      </c>
      <c r="T1911" s="4">
        <v>0</v>
      </c>
      <c r="U1911" s="4">
        <v>0.33333333333333331</v>
      </c>
      <c r="V1911" s="4">
        <v>11.666666666666666</v>
      </c>
      <c r="W1911" s="4">
        <v>12</v>
      </c>
      <c r="X1911" s="4">
        <v>0</v>
      </c>
      <c r="Y1911" s="4"/>
      <c r="Z1911" s="4">
        <v>255.01</v>
      </c>
      <c r="AA1911" s="4">
        <v>300</v>
      </c>
      <c r="AB1911" s="18"/>
      <c r="AC1911" s="18">
        <v>34</v>
      </c>
      <c r="AD1911" s="28"/>
      <c r="AE1911" s="26"/>
      <c r="AF1911" s="28"/>
    </row>
    <row r="1912" spans="1:32" ht="12.4" customHeight="1" x14ac:dyDescent="0.25">
      <c r="A1912" s="34">
        <v>45892</v>
      </c>
      <c r="B1912" s="34" t="s">
        <v>45</v>
      </c>
      <c r="C1912" s="35">
        <v>4</v>
      </c>
      <c r="D1912" s="35"/>
      <c r="E1912" s="35"/>
      <c r="F1912" s="35"/>
      <c r="G1912" s="35"/>
      <c r="H1912" s="35"/>
      <c r="I1912" s="36">
        <v>0</v>
      </c>
      <c r="J1912" s="4">
        <v>0</v>
      </c>
      <c r="K1912" s="4"/>
      <c r="L1912" s="16"/>
      <c r="M1912" s="4"/>
      <c r="N1912" s="4"/>
      <c r="O1912" s="4"/>
      <c r="P1912" s="4"/>
      <c r="Q1912" s="4"/>
      <c r="R1912" s="4"/>
      <c r="S1912" s="4">
        <v>0</v>
      </c>
      <c r="T1912" s="4">
        <v>0</v>
      </c>
      <c r="U1912" s="4">
        <v>0</v>
      </c>
      <c r="V1912" s="4">
        <v>12</v>
      </c>
      <c r="W1912" s="4">
        <v>12</v>
      </c>
      <c r="X1912" s="4">
        <v>0</v>
      </c>
      <c r="Y1912" s="4"/>
      <c r="Z1912" s="4">
        <v>674.09000000000015</v>
      </c>
      <c r="AA1912" s="4">
        <v>675</v>
      </c>
      <c r="AB1912" s="18"/>
      <c r="AC1912" s="18">
        <v>34</v>
      </c>
      <c r="AD1912" s="28"/>
      <c r="AE1912" s="26"/>
      <c r="AF1912" s="28"/>
    </row>
    <row r="1913" spans="1:32" ht="12.4" customHeight="1" x14ac:dyDescent="0.25">
      <c r="A1913" s="34">
        <v>45892</v>
      </c>
      <c r="B1913" s="34" t="s">
        <v>46</v>
      </c>
      <c r="C1913" s="35">
        <v>4</v>
      </c>
      <c r="D1913" s="35">
        <v>20</v>
      </c>
      <c r="E1913" s="35"/>
      <c r="F1913" s="35"/>
      <c r="G1913" s="35"/>
      <c r="H1913" s="35"/>
      <c r="I1913" s="36">
        <v>20</v>
      </c>
      <c r="J1913" s="4">
        <v>0.33333333333333331</v>
      </c>
      <c r="K1913" s="4"/>
      <c r="L1913" s="16"/>
      <c r="M1913" s="4"/>
      <c r="N1913" s="4"/>
      <c r="O1913" s="4"/>
      <c r="P1913" s="4"/>
      <c r="Q1913" s="4"/>
      <c r="R1913" s="4"/>
      <c r="S1913" s="4">
        <v>0</v>
      </c>
      <c r="T1913" s="4">
        <v>0</v>
      </c>
      <c r="U1913" s="4">
        <v>0.33333333333333331</v>
      </c>
      <c r="V1913" s="4">
        <v>11.666666666666666</v>
      </c>
      <c r="W1913" s="4">
        <v>12</v>
      </c>
      <c r="X1913" s="4"/>
      <c r="Y1913" s="4"/>
      <c r="Z1913" s="4"/>
      <c r="AA1913" s="4">
        <v>670</v>
      </c>
      <c r="AB1913" s="18"/>
      <c r="AC1913" s="18">
        <v>34</v>
      </c>
      <c r="AD1913" s="28"/>
      <c r="AE1913" s="26"/>
      <c r="AF1913" s="28"/>
    </row>
    <row r="1914" spans="1:32" ht="12.4" customHeight="1" x14ac:dyDescent="0.25">
      <c r="A1914" s="34">
        <v>45892</v>
      </c>
      <c r="B1914" s="34" t="s">
        <v>45</v>
      </c>
      <c r="C1914" s="35">
        <v>5</v>
      </c>
      <c r="D1914" s="35"/>
      <c r="E1914" s="35"/>
      <c r="F1914" s="35"/>
      <c r="G1914" s="35"/>
      <c r="H1914" s="35"/>
      <c r="I1914" s="36">
        <v>0</v>
      </c>
      <c r="J1914" s="4">
        <v>0</v>
      </c>
      <c r="K1914" s="4"/>
      <c r="L1914" s="16"/>
      <c r="M1914" s="4"/>
      <c r="N1914" s="4"/>
      <c r="O1914" s="4"/>
      <c r="P1914" s="4"/>
      <c r="Q1914" s="4"/>
      <c r="R1914" s="4"/>
      <c r="S1914" s="4">
        <v>0</v>
      </c>
      <c r="T1914" s="4">
        <v>0</v>
      </c>
      <c r="U1914" s="4">
        <v>0</v>
      </c>
      <c r="V1914" s="4">
        <v>12</v>
      </c>
      <c r="W1914" s="4">
        <v>12</v>
      </c>
      <c r="X1914" s="4"/>
      <c r="Y1914" s="4"/>
      <c r="Z1914" s="4"/>
      <c r="AA1914" s="4">
        <v>540</v>
      </c>
      <c r="AB1914" s="18"/>
      <c r="AC1914" s="18">
        <v>34</v>
      </c>
      <c r="AD1914" s="28"/>
      <c r="AE1914" s="26"/>
      <c r="AF1914" s="28"/>
    </row>
    <row r="1915" spans="1:32" ht="12.4" customHeight="1" x14ac:dyDescent="0.25">
      <c r="A1915" s="34">
        <v>45892</v>
      </c>
      <c r="B1915" s="34" t="s">
        <v>46</v>
      </c>
      <c r="C1915" s="35">
        <v>5</v>
      </c>
      <c r="D1915" s="35"/>
      <c r="E1915" s="35"/>
      <c r="F1915" s="35"/>
      <c r="G1915" s="35"/>
      <c r="H1915" s="35"/>
      <c r="I1915" s="36">
        <v>0</v>
      </c>
      <c r="J1915" s="4">
        <v>0</v>
      </c>
      <c r="K1915" s="4"/>
      <c r="L1915" s="16"/>
      <c r="M1915" s="4"/>
      <c r="N1915" s="4"/>
      <c r="O1915" s="4"/>
      <c r="P1915" s="4"/>
      <c r="Q1915" s="4"/>
      <c r="R1915" s="4"/>
      <c r="S1915" s="4">
        <v>0</v>
      </c>
      <c r="T1915" s="4">
        <v>0</v>
      </c>
      <c r="U1915" s="4">
        <v>0</v>
      </c>
      <c r="V1915" s="4">
        <v>12</v>
      </c>
      <c r="W1915" s="4">
        <v>12</v>
      </c>
      <c r="X1915" s="4"/>
      <c r="Y1915" s="4"/>
      <c r="Z1915" s="4"/>
      <c r="AA1915" s="4">
        <v>535</v>
      </c>
      <c r="AB1915" s="18"/>
      <c r="AC1915" s="18">
        <v>34</v>
      </c>
      <c r="AD1915" s="28"/>
      <c r="AE1915" s="26"/>
      <c r="AF1915" s="28"/>
    </row>
    <row r="1916" spans="1:32" ht="12.4" customHeight="1" x14ac:dyDescent="0.25">
      <c r="A1916" s="34">
        <v>45893</v>
      </c>
      <c r="B1916" s="34" t="s">
        <v>45</v>
      </c>
      <c r="C1916" s="35">
        <v>1</v>
      </c>
      <c r="D1916" s="35"/>
      <c r="E1916" s="35"/>
      <c r="F1916" s="35"/>
      <c r="G1916" s="35"/>
      <c r="H1916" s="35"/>
      <c r="I1916" s="36">
        <v>0</v>
      </c>
      <c r="J1916" s="4">
        <v>0</v>
      </c>
      <c r="K1916" s="4"/>
      <c r="L1916" s="16"/>
      <c r="M1916" s="4"/>
      <c r="N1916" s="4"/>
      <c r="O1916" s="4"/>
      <c r="P1916" s="4"/>
      <c r="Q1916" s="4"/>
      <c r="R1916" s="4"/>
      <c r="S1916" s="4">
        <v>0</v>
      </c>
      <c r="T1916" s="4">
        <v>0</v>
      </c>
      <c r="U1916" s="4">
        <v>0</v>
      </c>
      <c r="V1916" s="4">
        <v>12</v>
      </c>
      <c r="W1916" s="4">
        <v>12</v>
      </c>
      <c r="X1916" s="4"/>
      <c r="Y1916" s="4">
        <v>2012</v>
      </c>
      <c r="Z1916" s="4"/>
      <c r="AA1916" s="4">
        <v>130</v>
      </c>
      <c r="AB1916" s="18">
        <v>398</v>
      </c>
      <c r="AC1916" s="18">
        <v>34</v>
      </c>
      <c r="AD1916" s="28"/>
      <c r="AE1916" s="26"/>
      <c r="AF1916" s="28"/>
    </row>
    <row r="1917" spans="1:32" ht="12.4" customHeight="1" x14ac:dyDescent="0.25">
      <c r="A1917" s="34">
        <v>45893</v>
      </c>
      <c r="B1917" s="34" t="s">
        <v>46</v>
      </c>
      <c r="C1917" s="35">
        <v>1</v>
      </c>
      <c r="D1917" s="35"/>
      <c r="E1917" s="35"/>
      <c r="F1917" s="35"/>
      <c r="G1917" s="35"/>
      <c r="H1917" s="35"/>
      <c r="I1917" s="36">
        <v>0</v>
      </c>
      <c r="J1917" s="4">
        <v>0</v>
      </c>
      <c r="K1917" s="4"/>
      <c r="L1917" s="16"/>
      <c r="M1917" s="4"/>
      <c r="N1917" s="4"/>
      <c r="O1917" s="4"/>
      <c r="P1917" s="4"/>
      <c r="Q1917" s="4"/>
      <c r="R1917" s="4"/>
      <c r="S1917" s="4">
        <v>0</v>
      </c>
      <c r="T1917" s="4">
        <v>0</v>
      </c>
      <c r="U1917" s="4">
        <v>0</v>
      </c>
      <c r="V1917" s="4">
        <v>12</v>
      </c>
      <c r="W1917" s="4">
        <v>12</v>
      </c>
      <c r="X1917" s="4"/>
      <c r="Y1917" s="4"/>
      <c r="Z1917" s="4"/>
      <c r="AA1917" s="4">
        <v>125</v>
      </c>
      <c r="AB1917" s="18"/>
      <c r="AC1917" s="18">
        <v>34</v>
      </c>
      <c r="AD1917" s="28"/>
      <c r="AE1917" s="26"/>
      <c r="AF1917" s="28"/>
    </row>
    <row r="1918" spans="1:32" ht="12.4" customHeight="1" x14ac:dyDescent="0.25">
      <c r="A1918" s="34">
        <v>45893</v>
      </c>
      <c r="B1918" s="34" t="s">
        <v>45</v>
      </c>
      <c r="C1918" s="35">
        <v>2</v>
      </c>
      <c r="D1918" s="35"/>
      <c r="E1918" s="35"/>
      <c r="F1918" s="35"/>
      <c r="G1918" s="35"/>
      <c r="H1918" s="35"/>
      <c r="I1918" s="36">
        <v>0</v>
      </c>
      <c r="J1918" s="4">
        <v>0</v>
      </c>
      <c r="K1918" s="4"/>
      <c r="L1918" s="16"/>
      <c r="M1918" s="4"/>
      <c r="N1918" s="4"/>
      <c r="O1918" s="4"/>
      <c r="P1918" s="4"/>
      <c r="Q1918" s="4"/>
      <c r="R1918" s="4"/>
      <c r="S1918" s="4">
        <v>0</v>
      </c>
      <c r="T1918" s="4">
        <v>0</v>
      </c>
      <c r="U1918" s="4">
        <v>0</v>
      </c>
      <c r="V1918" s="4">
        <v>12</v>
      </c>
      <c r="W1918" s="4">
        <v>12</v>
      </c>
      <c r="X1918" s="4"/>
      <c r="Y1918" s="4"/>
      <c r="Z1918" s="4"/>
      <c r="AA1918" s="4">
        <v>170</v>
      </c>
      <c r="AB1918" s="18"/>
      <c r="AC1918" s="18">
        <v>34</v>
      </c>
      <c r="AD1918" s="28"/>
      <c r="AE1918" s="26"/>
      <c r="AF1918" s="28"/>
    </row>
    <row r="1919" spans="1:32" ht="12.4" customHeight="1" x14ac:dyDescent="0.25">
      <c r="A1919" s="34">
        <v>45893</v>
      </c>
      <c r="B1919" s="34" t="s">
        <v>46</v>
      </c>
      <c r="C1919" s="35">
        <v>2</v>
      </c>
      <c r="D1919" s="35"/>
      <c r="E1919" s="35"/>
      <c r="F1919" s="35"/>
      <c r="G1919" s="35"/>
      <c r="H1919" s="35"/>
      <c r="I1919" s="36">
        <v>0</v>
      </c>
      <c r="J1919" s="4">
        <v>0</v>
      </c>
      <c r="K1919" s="4"/>
      <c r="L1919" s="16"/>
      <c r="M1919" s="4"/>
      <c r="N1919" s="4"/>
      <c r="O1919" s="4"/>
      <c r="P1919" s="4"/>
      <c r="Q1919" s="4"/>
      <c r="R1919" s="4"/>
      <c r="S1919" s="4">
        <v>0</v>
      </c>
      <c r="T1919" s="4">
        <v>0</v>
      </c>
      <c r="U1919" s="4">
        <v>0</v>
      </c>
      <c r="V1919" s="4">
        <v>12</v>
      </c>
      <c r="W1919" s="4">
        <v>12</v>
      </c>
      <c r="X1919" s="4"/>
      <c r="Y1919" s="4"/>
      <c r="Z1919" s="4"/>
      <c r="AA1919" s="4">
        <v>180</v>
      </c>
      <c r="AB1919" s="18"/>
      <c r="AC1919" s="18">
        <v>34</v>
      </c>
      <c r="AD1919" s="28"/>
      <c r="AE1919" s="26"/>
      <c r="AF1919" s="28"/>
    </row>
    <row r="1920" spans="1:32" ht="12.4" customHeight="1" x14ac:dyDescent="0.25">
      <c r="A1920" s="34">
        <v>45893</v>
      </c>
      <c r="B1920" s="34" t="s">
        <v>45</v>
      </c>
      <c r="C1920" s="35">
        <v>3</v>
      </c>
      <c r="D1920" s="35"/>
      <c r="E1920" s="35"/>
      <c r="F1920" s="35"/>
      <c r="G1920" s="35"/>
      <c r="H1920" s="35"/>
      <c r="I1920" s="36">
        <v>0</v>
      </c>
      <c r="J1920" s="4">
        <v>0</v>
      </c>
      <c r="K1920" s="4"/>
      <c r="L1920" s="16"/>
      <c r="M1920" s="4"/>
      <c r="N1920" s="4"/>
      <c r="O1920" s="4"/>
      <c r="P1920" s="4"/>
      <c r="Q1920" s="4"/>
      <c r="R1920" s="4"/>
      <c r="S1920" s="4">
        <v>0</v>
      </c>
      <c r="T1920" s="4">
        <v>0</v>
      </c>
      <c r="U1920" s="4">
        <v>0</v>
      </c>
      <c r="V1920" s="4">
        <v>12</v>
      </c>
      <c r="W1920" s="4">
        <v>12</v>
      </c>
      <c r="X1920" s="4"/>
      <c r="Y1920" s="4"/>
      <c r="Z1920" s="4"/>
      <c r="AA1920" s="4">
        <v>305</v>
      </c>
      <c r="AB1920" s="18"/>
      <c r="AC1920" s="18">
        <v>34</v>
      </c>
      <c r="AD1920" s="28"/>
      <c r="AE1920" s="26"/>
      <c r="AF1920" s="28"/>
    </row>
    <row r="1921" spans="1:32" ht="12.4" customHeight="1" x14ac:dyDescent="0.25">
      <c r="A1921" s="34">
        <v>45893</v>
      </c>
      <c r="B1921" s="34" t="s">
        <v>46</v>
      </c>
      <c r="C1921" s="35">
        <v>3</v>
      </c>
      <c r="D1921" s="35"/>
      <c r="E1921" s="35"/>
      <c r="F1921" s="35"/>
      <c r="G1921" s="35"/>
      <c r="H1921" s="35"/>
      <c r="I1921" s="36">
        <v>0</v>
      </c>
      <c r="J1921" s="4">
        <v>0</v>
      </c>
      <c r="K1921" s="4"/>
      <c r="L1921" s="16"/>
      <c r="M1921" s="4"/>
      <c r="N1921" s="4"/>
      <c r="O1921" s="4"/>
      <c r="P1921" s="4"/>
      <c r="Q1921" s="4"/>
      <c r="R1921" s="4"/>
      <c r="S1921" s="4">
        <v>0</v>
      </c>
      <c r="T1921" s="4">
        <v>0</v>
      </c>
      <c r="U1921" s="4">
        <v>0</v>
      </c>
      <c r="V1921" s="4">
        <v>12</v>
      </c>
      <c r="W1921" s="4">
        <v>12</v>
      </c>
      <c r="X1921" s="4"/>
      <c r="Y1921" s="4"/>
      <c r="Z1921" s="4"/>
      <c r="AA1921" s="4">
        <v>300</v>
      </c>
      <c r="AB1921" s="18"/>
      <c r="AC1921" s="18">
        <v>34</v>
      </c>
      <c r="AD1921" s="28"/>
      <c r="AE1921" s="26"/>
      <c r="AF1921" s="28"/>
    </row>
    <row r="1922" spans="1:32" ht="12.4" customHeight="1" x14ac:dyDescent="0.25">
      <c r="A1922" s="34">
        <v>45893</v>
      </c>
      <c r="B1922" s="34" t="s">
        <v>45</v>
      </c>
      <c r="C1922" s="35">
        <v>4</v>
      </c>
      <c r="D1922" s="35">
        <v>15</v>
      </c>
      <c r="E1922" s="35"/>
      <c r="F1922" s="35"/>
      <c r="G1922" s="35"/>
      <c r="H1922" s="35"/>
      <c r="I1922" s="36">
        <v>15</v>
      </c>
      <c r="J1922" s="4">
        <v>0.25</v>
      </c>
      <c r="K1922" s="4"/>
      <c r="L1922" s="16">
        <v>15</v>
      </c>
      <c r="M1922" s="4"/>
      <c r="N1922" s="4"/>
      <c r="O1922" s="4"/>
      <c r="P1922" s="4"/>
      <c r="Q1922" s="4"/>
      <c r="R1922" s="4"/>
      <c r="S1922" s="4">
        <v>15</v>
      </c>
      <c r="T1922" s="4">
        <v>0.25</v>
      </c>
      <c r="U1922" s="4">
        <v>0.5</v>
      </c>
      <c r="V1922" s="4">
        <v>11.5</v>
      </c>
      <c r="W1922" s="4">
        <v>12</v>
      </c>
      <c r="X1922" s="4"/>
      <c r="Y1922" s="4"/>
      <c r="Z1922" s="4"/>
      <c r="AA1922" s="4">
        <v>650</v>
      </c>
      <c r="AB1922" s="18"/>
      <c r="AC1922" s="18">
        <v>34</v>
      </c>
      <c r="AD1922" s="28"/>
      <c r="AE1922" s="26"/>
      <c r="AF1922" s="28"/>
    </row>
    <row r="1923" spans="1:32" ht="12.4" customHeight="1" x14ac:dyDescent="0.25">
      <c r="A1923" s="34">
        <v>45893</v>
      </c>
      <c r="B1923" s="34" t="s">
        <v>46</v>
      </c>
      <c r="C1923" s="35">
        <v>4</v>
      </c>
      <c r="D1923" s="35">
        <v>20</v>
      </c>
      <c r="E1923" s="35"/>
      <c r="F1923" s="35"/>
      <c r="G1923" s="35"/>
      <c r="H1923" s="35"/>
      <c r="I1923" s="36">
        <v>20</v>
      </c>
      <c r="J1923" s="4">
        <v>0.33333333333333331</v>
      </c>
      <c r="K1923" s="4"/>
      <c r="L1923" s="16">
        <v>30</v>
      </c>
      <c r="M1923" s="4"/>
      <c r="N1923" s="4"/>
      <c r="O1923" s="4"/>
      <c r="P1923" s="4"/>
      <c r="Q1923" s="4"/>
      <c r="R1923" s="4"/>
      <c r="S1923" s="4">
        <v>30</v>
      </c>
      <c r="T1923" s="4">
        <v>0.5</v>
      </c>
      <c r="U1923" s="4">
        <v>0.83333333333333326</v>
      </c>
      <c r="V1923" s="4">
        <v>11.166666666666666</v>
      </c>
      <c r="W1923" s="4">
        <v>12</v>
      </c>
      <c r="X1923" s="4"/>
      <c r="Y1923" s="4"/>
      <c r="Z1923" s="4"/>
      <c r="AA1923" s="4">
        <v>620</v>
      </c>
      <c r="AB1923" s="18"/>
      <c r="AC1923" s="18">
        <v>34</v>
      </c>
      <c r="AD1923" s="28"/>
      <c r="AE1923" s="26"/>
      <c r="AF1923" s="28"/>
    </row>
    <row r="1924" spans="1:32" ht="12.4" customHeight="1" x14ac:dyDescent="0.25">
      <c r="A1924" s="34">
        <v>45893</v>
      </c>
      <c r="B1924" s="34" t="s">
        <v>45</v>
      </c>
      <c r="C1924" s="35">
        <v>5</v>
      </c>
      <c r="D1924" s="35"/>
      <c r="E1924" s="35"/>
      <c r="F1924" s="35"/>
      <c r="G1924" s="35"/>
      <c r="H1924" s="35"/>
      <c r="I1924" s="36">
        <v>0</v>
      </c>
      <c r="J1924" s="4">
        <v>0</v>
      </c>
      <c r="K1924" s="4"/>
      <c r="L1924" s="16"/>
      <c r="M1924" s="4"/>
      <c r="N1924" s="4"/>
      <c r="O1924" s="4"/>
      <c r="P1924" s="4"/>
      <c r="Q1924" s="4"/>
      <c r="R1924" s="4"/>
      <c r="S1924" s="4">
        <v>0</v>
      </c>
      <c r="T1924" s="4">
        <v>0</v>
      </c>
      <c r="U1924" s="4">
        <v>0</v>
      </c>
      <c r="V1924" s="4">
        <v>12</v>
      </c>
      <c r="W1924" s="4">
        <v>12</v>
      </c>
      <c r="X1924" s="4"/>
      <c r="Y1924" s="4"/>
      <c r="Z1924" s="4"/>
      <c r="AA1924" s="4">
        <v>520</v>
      </c>
      <c r="AB1924" s="18"/>
      <c r="AC1924" s="18">
        <v>34</v>
      </c>
      <c r="AD1924" s="28"/>
      <c r="AE1924" s="26"/>
      <c r="AF1924" s="28"/>
    </row>
    <row r="1925" spans="1:32" ht="12.4" customHeight="1" x14ac:dyDescent="0.25">
      <c r="A1925" s="34">
        <v>45893</v>
      </c>
      <c r="B1925" s="34" t="s">
        <v>46</v>
      </c>
      <c r="C1925" s="35">
        <v>5</v>
      </c>
      <c r="D1925" s="35"/>
      <c r="E1925" s="35"/>
      <c r="F1925" s="35"/>
      <c r="G1925" s="35"/>
      <c r="H1925" s="35"/>
      <c r="I1925" s="36">
        <v>0</v>
      </c>
      <c r="J1925" s="4">
        <v>0</v>
      </c>
      <c r="K1925" s="4"/>
      <c r="L1925" s="16"/>
      <c r="M1925" s="4"/>
      <c r="N1925" s="4"/>
      <c r="O1925" s="4"/>
      <c r="P1925" s="4"/>
      <c r="Q1925" s="4">
        <v>40</v>
      </c>
      <c r="R1925" s="4"/>
      <c r="S1925" s="4">
        <v>40</v>
      </c>
      <c r="T1925" s="4">
        <v>0.66666666666666663</v>
      </c>
      <c r="U1925" s="4">
        <v>0.66666666666666663</v>
      </c>
      <c r="V1925" s="4">
        <v>11.333333333333334</v>
      </c>
      <c r="W1925" s="4">
        <v>12</v>
      </c>
      <c r="X1925" s="4"/>
      <c r="Y1925" s="4"/>
      <c r="Z1925" s="4"/>
      <c r="AA1925" s="4">
        <v>500</v>
      </c>
      <c r="AB1925" s="18"/>
      <c r="AC1925" s="18">
        <v>34</v>
      </c>
      <c r="AD1925" s="28"/>
      <c r="AE1925" s="26"/>
      <c r="AF1925" s="28"/>
    </row>
    <row r="1926" spans="1:32" ht="12.4" customHeight="1" x14ac:dyDescent="0.25">
      <c r="A1926" s="34">
        <v>45894</v>
      </c>
      <c r="B1926" s="34" t="s">
        <v>45</v>
      </c>
      <c r="C1926" s="35">
        <v>1</v>
      </c>
      <c r="D1926" s="35">
        <v>10</v>
      </c>
      <c r="E1926" s="35"/>
      <c r="F1926" s="35"/>
      <c r="G1926" s="35"/>
      <c r="H1926" s="35"/>
      <c r="I1926" s="4">
        <v>10</v>
      </c>
      <c r="J1926" s="4">
        <v>0.16666666666666666</v>
      </c>
      <c r="K1926" s="4"/>
      <c r="L1926" s="16"/>
      <c r="M1926" s="4"/>
      <c r="N1926" s="4"/>
      <c r="O1926" s="4"/>
      <c r="P1926" s="4"/>
      <c r="Q1926" s="4">
        <v>20</v>
      </c>
      <c r="R1926" s="4"/>
      <c r="S1926" s="4">
        <v>20</v>
      </c>
      <c r="T1926" s="4">
        <v>0.33333333333333331</v>
      </c>
      <c r="U1926" s="4">
        <v>0.5</v>
      </c>
      <c r="V1926" s="4">
        <v>11.5</v>
      </c>
      <c r="W1926" s="4">
        <v>12</v>
      </c>
      <c r="X1926" s="4"/>
      <c r="Y1926" s="4">
        <v>2148</v>
      </c>
      <c r="Z1926" s="4"/>
      <c r="AA1926" s="4">
        <v>155</v>
      </c>
      <c r="AB1926" s="18">
        <v>398</v>
      </c>
      <c r="AC1926" s="18">
        <v>35</v>
      </c>
      <c r="AD1926" s="28"/>
      <c r="AE1926" s="26"/>
      <c r="AF1926" s="28"/>
    </row>
    <row r="1927" spans="1:32" ht="12.4" customHeight="1" x14ac:dyDescent="0.25">
      <c r="A1927" s="34">
        <v>45894</v>
      </c>
      <c r="B1927" s="34" t="s">
        <v>46</v>
      </c>
      <c r="C1927" s="35">
        <v>1</v>
      </c>
      <c r="D1927" s="35"/>
      <c r="E1927" s="35"/>
      <c r="F1927" s="35"/>
      <c r="G1927" s="35"/>
      <c r="H1927" s="35"/>
      <c r="I1927" s="4">
        <v>0</v>
      </c>
      <c r="J1927" s="4">
        <v>0</v>
      </c>
      <c r="K1927" s="4"/>
      <c r="L1927" s="16"/>
      <c r="M1927" s="4"/>
      <c r="N1927" s="4"/>
      <c r="O1927" s="4"/>
      <c r="P1927" s="4"/>
      <c r="Q1927" s="4"/>
      <c r="R1927" s="4"/>
      <c r="S1927" s="4">
        <v>0</v>
      </c>
      <c r="T1927" s="4">
        <v>0</v>
      </c>
      <c r="U1927" s="4">
        <v>0</v>
      </c>
      <c r="V1927" s="4">
        <v>12</v>
      </c>
      <c r="W1927" s="4">
        <v>12</v>
      </c>
      <c r="X1927" s="4"/>
      <c r="Y1927" s="4"/>
      <c r="Z1927" s="4"/>
      <c r="AA1927" s="4">
        <v>170</v>
      </c>
      <c r="AB1927" s="18"/>
      <c r="AC1927" s="18">
        <v>35</v>
      </c>
      <c r="AD1927" s="28"/>
      <c r="AE1927" s="26"/>
      <c r="AF1927" s="28"/>
    </row>
    <row r="1928" spans="1:32" ht="12.4" customHeight="1" x14ac:dyDescent="0.25">
      <c r="A1928" s="34">
        <v>45894</v>
      </c>
      <c r="B1928" s="34" t="s">
        <v>45</v>
      </c>
      <c r="C1928" s="35">
        <v>2</v>
      </c>
      <c r="D1928" s="35">
        <v>20</v>
      </c>
      <c r="E1928" s="35"/>
      <c r="F1928" s="35"/>
      <c r="G1928" s="35"/>
      <c r="H1928" s="35"/>
      <c r="I1928" s="4">
        <v>20</v>
      </c>
      <c r="J1928" s="4">
        <v>0.33333333333333331</v>
      </c>
      <c r="K1928" s="4"/>
      <c r="L1928" s="16"/>
      <c r="M1928" s="4"/>
      <c r="N1928" s="4"/>
      <c r="O1928" s="4"/>
      <c r="P1928" s="4"/>
      <c r="Q1928" s="4"/>
      <c r="R1928" s="4"/>
      <c r="S1928" s="4">
        <v>0</v>
      </c>
      <c r="T1928" s="4">
        <v>0</v>
      </c>
      <c r="U1928" s="4">
        <v>0.33333333333333331</v>
      </c>
      <c r="V1928" s="4">
        <v>11.666666666666666</v>
      </c>
      <c r="W1928" s="4">
        <v>12</v>
      </c>
      <c r="X1928" s="4"/>
      <c r="Y1928" s="4"/>
      <c r="Z1928" s="4"/>
      <c r="AA1928" s="4">
        <v>162</v>
      </c>
      <c r="AB1928" s="18"/>
      <c r="AC1928" s="18">
        <v>35</v>
      </c>
      <c r="AD1928" s="28"/>
      <c r="AE1928" s="26"/>
      <c r="AF1928" s="28"/>
    </row>
    <row r="1929" spans="1:32" ht="12.4" customHeight="1" x14ac:dyDescent="0.25">
      <c r="A1929" s="34">
        <v>45894</v>
      </c>
      <c r="B1929" s="34" t="s">
        <v>46</v>
      </c>
      <c r="C1929" s="35">
        <v>2</v>
      </c>
      <c r="D1929" s="35"/>
      <c r="E1929" s="35"/>
      <c r="F1929" s="35"/>
      <c r="G1929" s="35"/>
      <c r="H1929" s="35"/>
      <c r="I1929" s="4">
        <v>0</v>
      </c>
      <c r="J1929" s="4">
        <v>0</v>
      </c>
      <c r="K1929" s="4"/>
      <c r="L1929" s="16"/>
      <c r="M1929" s="4"/>
      <c r="N1929" s="4"/>
      <c r="O1929" s="4"/>
      <c r="P1929" s="4"/>
      <c r="Q1929" s="4"/>
      <c r="R1929" s="4"/>
      <c r="S1929" s="4">
        <v>0</v>
      </c>
      <c r="T1929" s="4">
        <v>0</v>
      </c>
      <c r="U1929" s="4">
        <v>0</v>
      </c>
      <c r="V1929" s="4">
        <v>12</v>
      </c>
      <c r="W1929" s="4">
        <v>12</v>
      </c>
      <c r="X1929" s="4"/>
      <c r="Y1929" s="4"/>
      <c r="Z1929" s="4"/>
      <c r="AA1929" s="4">
        <v>145</v>
      </c>
      <c r="AB1929" s="18"/>
      <c r="AC1929" s="18">
        <v>35</v>
      </c>
      <c r="AD1929" s="28"/>
      <c r="AE1929" s="26"/>
      <c r="AF1929" s="28"/>
    </row>
    <row r="1930" spans="1:32" ht="12.4" customHeight="1" x14ac:dyDescent="0.25">
      <c r="A1930" s="34">
        <v>45894</v>
      </c>
      <c r="B1930" s="34" t="s">
        <v>45</v>
      </c>
      <c r="C1930" s="35">
        <v>3</v>
      </c>
      <c r="D1930" s="35"/>
      <c r="E1930" s="35"/>
      <c r="F1930" s="35"/>
      <c r="G1930" s="35"/>
      <c r="H1930" s="35"/>
      <c r="I1930" s="4">
        <v>0</v>
      </c>
      <c r="J1930" s="4">
        <v>0</v>
      </c>
      <c r="K1930" s="4"/>
      <c r="L1930" s="16"/>
      <c r="M1930" s="4"/>
      <c r="N1930" s="4"/>
      <c r="O1930" s="4"/>
      <c r="P1930" s="4"/>
      <c r="Q1930" s="4"/>
      <c r="R1930" s="4"/>
      <c r="S1930" s="4">
        <v>0</v>
      </c>
      <c r="T1930" s="4">
        <v>0</v>
      </c>
      <c r="U1930" s="4">
        <v>0</v>
      </c>
      <c r="V1930" s="4">
        <v>12</v>
      </c>
      <c r="W1930" s="4">
        <v>12</v>
      </c>
      <c r="X1930" s="4"/>
      <c r="Y1930" s="4"/>
      <c r="Z1930" s="4"/>
      <c r="AA1930" s="4">
        <v>241</v>
      </c>
      <c r="AB1930" s="18"/>
      <c r="AC1930" s="18">
        <v>35</v>
      </c>
      <c r="AD1930" s="28"/>
      <c r="AE1930" s="26"/>
      <c r="AF1930" s="28"/>
    </row>
    <row r="1931" spans="1:32" ht="12.4" customHeight="1" x14ac:dyDescent="0.25">
      <c r="A1931" s="34">
        <v>45894</v>
      </c>
      <c r="B1931" s="34" t="s">
        <v>46</v>
      </c>
      <c r="C1931" s="35">
        <v>3</v>
      </c>
      <c r="D1931" s="35">
        <v>20</v>
      </c>
      <c r="E1931" s="35"/>
      <c r="F1931" s="35"/>
      <c r="G1931" s="35"/>
      <c r="H1931" s="35"/>
      <c r="I1931" s="4">
        <v>20</v>
      </c>
      <c r="J1931" s="4">
        <v>0.33333333333333331</v>
      </c>
      <c r="K1931" s="4"/>
      <c r="L1931" s="16"/>
      <c r="M1931" s="4"/>
      <c r="N1931" s="4"/>
      <c r="O1931" s="4"/>
      <c r="P1931" s="4"/>
      <c r="Q1931" s="4"/>
      <c r="R1931" s="4"/>
      <c r="S1931" s="4">
        <v>0</v>
      </c>
      <c r="T1931" s="4">
        <v>0</v>
      </c>
      <c r="U1931" s="4">
        <v>0.33333333333333331</v>
      </c>
      <c r="V1931" s="4">
        <v>11.666666666666666</v>
      </c>
      <c r="W1931" s="4">
        <v>12</v>
      </c>
      <c r="X1931" s="4"/>
      <c r="Y1931" s="4"/>
      <c r="Z1931" s="4"/>
      <c r="AA1931" s="4">
        <v>273</v>
      </c>
      <c r="AB1931" s="18"/>
      <c r="AC1931" s="18">
        <v>35</v>
      </c>
      <c r="AD1931" s="28"/>
      <c r="AE1931" s="26"/>
      <c r="AF1931" s="28"/>
    </row>
    <row r="1932" spans="1:32" ht="12.4" customHeight="1" x14ac:dyDescent="0.25">
      <c r="A1932" s="34">
        <v>45894</v>
      </c>
      <c r="B1932" s="34" t="s">
        <v>45</v>
      </c>
      <c r="C1932" s="35">
        <v>4</v>
      </c>
      <c r="D1932" s="35">
        <v>20</v>
      </c>
      <c r="E1932" s="35"/>
      <c r="F1932" s="35"/>
      <c r="G1932" s="35"/>
      <c r="H1932" s="35"/>
      <c r="I1932" s="4">
        <v>20</v>
      </c>
      <c r="J1932" s="4">
        <v>0.33333333333333331</v>
      </c>
      <c r="K1932" s="4"/>
      <c r="L1932" s="16"/>
      <c r="M1932" s="4"/>
      <c r="N1932" s="4"/>
      <c r="O1932" s="4"/>
      <c r="P1932" s="4"/>
      <c r="Q1932" s="4"/>
      <c r="R1932" s="4"/>
      <c r="S1932" s="4">
        <v>0</v>
      </c>
      <c r="T1932" s="4">
        <v>0</v>
      </c>
      <c r="U1932" s="4">
        <v>0.33333333333333331</v>
      </c>
      <c r="V1932" s="4">
        <v>11.666666666666666</v>
      </c>
      <c r="W1932" s="4">
        <v>12</v>
      </c>
      <c r="X1932" s="4"/>
      <c r="Y1932" s="4"/>
      <c r="Z1932" s="4"/>
      <c r="AA1932" s="4">
        <v>671</v>
      </c>
      <c r="AB1932" s="18"/>
      <c r="AC1932" s="18">
        <v>35</v>
      </c>
      <c r="AD1932" s="28"/>
      <c r="AE1932" s="26"/>
      <c r="AF1932" s="28"/>
    </row>
    <row r="1933" spans="1:32" ht="12.4" customHeight="1" x14ac:dyDescent="0.25">
      <c r="A1933" s="34">
        <v>45894</v>
      </c>
      <c r="B1933" s="34" t="s">
        <v>46</v>
      </c>
      <c r="C1933" s="35">
        <v>4</v>
      </c>
      <c r="D1933" s="35"/>
      <c r="E1933" s="35"/>
      <c r="F1933" s="35"/>
      <c r="G1933" s="35"/>
      <c r="H1933" s="35"/>
      <c r="I1933" s="4">
        <v>0</v>
      </c>
      <c r="J1933" s="4">
        <v>0</v>
      </c>
      <c r="K1933" s="4"/>
      <c r="L1933" s="16"/>
      <c r="M1933" s="4"/>
      <c r="N1933" s="4"/>
      <c r="O1933" s="4"/>
      <c r="P1933" s="4"/>
      <c r="Q1933" s="4"/>
      <c r="R1933" s="4"/>
      <c r="S1933" s="4">
        <v>0</v>
      </c>
      <c r="T1933" s="4">
        <v>0</v>
      </c>
      <c r="U1933" s="4">
        <v>0</v>
      </c>
      <c r="V1933" s="4">
        <v>12</v>
      </c>
      <c r="W1933" s="4">
        <v>12</v>
      </c>
      <c r="X1933" s="4"/>
      <c r="Y1933" s="4"/>
      <c r="Z1933" s="4"/>
      <c r="AA1933" s="4">
        <v>660</v>
      </c>
      <c r="AB1933" s="18"/>
      <c r="AC1933" s="18">
        <v>35</v>
      </c>
      <c r="AD1933" s="28"/>
      <c r="AE1933" s="26"/>
      <c r="AF1933" s="28"/>
    </row>
    <row r="1934" spans="1:32" ht="12.4" customHeight="1" x14ac:dyDescent="0.25">
      <c r="A1934" s="34">
        <v>45894</v>
      </c>
      <c r="B1934" s="34" t="s">
        <v>45</v>
      </c>
      <c r="C1934" s="35">
        <v>5</v>
      </c>
      <c r="D1934" s="35"/>
      <c r="E1934" s="35"/>
      <c r="F1934" s="35"/>
      <c r="G1934" s="35"/>
      <c r="H1934" s="35"/>
      <c r="I1934" s="4">
        <v>0</v>
      </c>
      <c r="J1934" s="4">
        <v>0</v>
      </c>
      <c r="K1934" s="4"/>
      <c r="L1934" s="16"/>
      <c r="M1934" s="4"/>
      <c r="N1934" s="4"/>
      <c r="O1934" s="4"/>
      <c r="P1934" s="4"/>
      <c r="Q1934" s="4"/>
      <c r="R1934" s="4"/>
      <c r="S1934" s="4">
        <v>0</v>
      </c>
      <c r="T1934" s="4">
        <v>0</v>
      </c>
      <c r="U1934" s="4">
        <v>0</v>
      </c>
      <c r="V1934" s="4">
        <v>12</v>
      </c>
      <c r="W1934" s="4">
        <v>12</v>
      </c>
      <c r="X1934" s="4"/>
      <c r="Y1934" s="4"/>
      <c r="Z1934" s="4"/>
      <c r="AA1934" s="4">
        <v>531</v>
      </c>
      <c r="AB1934" s="18"/>
      <c r="AC1934" s="18">
        <v>35</v>
      </c>
      <c r="AD1934" s="28"/>
      <c r="AE1934" s="26"/>
      <c r="AF1934" s="28"/>
    </row>
    <row r="1935" spans="1:32" ht="12.4" customHeight="1" x14ac:dyDescent="0.25">
      <c r="A1935" s="34">
        <v>45894</v>
      </c>
      <c r="B1935" s="34" t="s">
        <v>46</v>
      </c>
      <c r="C1935" s="35">
        <v>5</v>
      </c>
      <c r="D1935" s="35">
        <v>20</v>
      </c>
      <c r="E1935" s="35"/>
      <c r="F1935" s="35"/>
      <c r="G1935" s="35"/>
      <c r="H1935" s="35"/>
      <c r="I1935" s="4">
        <v>20</v>
      </c>
      <c r="J1935" s="4">
        <v>0.33333333333333331</v>
      </c>
      <c r="K1935" s="4"/>
      <c r="L1935" s="16"/>
      <c r="M1935" s="4"/>
      <c r="N1935" s="4"/>
      <c r="O1935" s="4"/>
      <c r="P1935" s="4"/>
      <c r="Q1935" s="4"/>
      <c r="R1935" s="4"/>
      <c r="S1935" s="4">
        <v>0</v>
      </c>
      <c r="T1935" s="4">
        <v>0</v>
      </c>
      <c r="U1935" s="4">
        <v>0.33333333333333331</v>
      </c>
      <c r="V1935" s="4">
        <v>11.666666666666666</v>
      </c>
      <c r="W1935" s="4">
        <v>12</v>
      </c>
      <c r="X1935" s="4"/>
      <c r="Y1935" s="4"/>
      <c r="Z1935" s="4"/>
      <c r="AA1935" s="4">
        <v>525</v>
      </c>
      <c r="AB1935" s="18"/>
      <c r="AC1935" s="18">
        <v>35</v>
      </c>
      <c r="AD1935" s="28"/>
      <c r="AE1935" s="26"/>
      <c r="AF1935" s="28"/>
    </row>
    <row r="1936" spans="1:32" ht="12.4" customHeight="1" x14ac:dyDescent="0.25">
      <c r="A1936" s="34">
        <v>45895</v>
      </c>
      <c r="B1936" s="34" t="s">
        <v>45</v>
      </c>
      <c r="C1936" s="35">
        <v>1</v>
      </c>
      <c r="D1936" s="35"/>
      <c r="E1936" s="35"/>
      <c r="F1936" s="35"/>
      <c r="G1936" s="35"/>
      <c r="H1936" s="35"/>
      <c r="I1936" s="4">
        <v>0</v>
      </c>
      <c r="J1936" s="4">
        <v>0</v>
      </c>
      <c r="K1936" s="4"/>
      <c r="L1936" s="16"/>
      <c r="M1936" s="4"/>
      <c r="N1936" s="4"/>
      <c r="O1936" s="4"/>
      <c r="P1936" s="4"/>
      <c r="Q1936" s="4"/>
      <c r="R1936" s="4"/>
      <c r="S1936" s="4">
        <v>0</v>
      </c>
      <c r="T1936" s="4">
        <v>0</v>
      </c>
      <c r="U1936" s="4">
        <v>0</v>
      </c>
      <c r="V1936" s="4">
        <v>12</v>
      </c>
      <c r="W1936" s="4">
        <v>12</v>
      </c>
      <c r="X1936" s="4"/>
      <c r="Y1936" s="4">
        <v>2092</v>
      </c>
      <c r="Z1936" s="4"/>
      <c r="AA1936" s="4">
        <v>170</v>
      </c>
      <c r="AB1936" s="18">
        <v>398</v>
      </c>
      <c r="AC1936" s="18">
        <v>35</v>
      </c>
      <c r="AD1936" s="28"/>
      <c r="AE1936" s="26"/>
      <c r="AF1936" s="28"/>
    </row>
    <row r="1937" spans="1:32" ht="12.4" customHeight="1" x14ac:dyDescent="0.25">
      <c r="A1937" s="34">
        <v>45895</v>
      </c>
      <c r="B1937" s="34" t="s">
        <v>46</v>
      </c>
      <c r="C1937" s="35">
        <v>1</v>
      </c>
      <c r="D1937" s="35"/>
      <c r="E1937" s="35"/>
      <c r="F1937" s="35"/>
      <c r="G1937" s="35"/>
      <c r="H1937" s="35"/>
      <c r="I1937" s="4">
        <v>0</v>
      </c>
      <c r="J1937" s="4">
        <v>0</v>
      </c>
      <c r="K1937" s="4"/>
      <c r="L1937" s="16"/>
      <c r="M1937" s="4"/>
      <c r="N1937" s="4"/>
      <c r="O1937" s="4"/>
      <c r="P1937" s="4"/>
      <c r="Q1937" s="4"/>
      <c r="R1937" s="4"/>
      <c r="S1937" s="4">
        <v>0</v>
      </c>
      <c r="T1937" s="4">
        <v>0</v>
      </c>
      <c r="U1937" s="4">
        <v>0</v>
      </c>
      <c r="V1937" s="4">
        <v>12</v>
      </c>
      <c r="W1937" s="4">
        <v>12</v>
      </c>
      <c r="X1937" s="4"/>
      <c r="Y1937" s="4"/>
      <c r="Z1937" s="4"/>
      <c r="AA1937" s="4">
        <v>145</v>
      </c>
      <c r="AB1937" s="18"/>
      <c r="AC1937" s="18">
        <v>35</v>
      </c>
      <c r="AD1937" s="28"/>
      <c r="AE1937" s="26"/>
      <c r="AF1937" s="28"/>
    </row>
    <row r="1938" spans="1:32" ht="12.4" customHeight="1" x14ac:dyDescent="0.25">
      <c r="A1938" s="34">
        <v>45895</v>
      </c>
      <c r="B1938" s="34" t="s">
        <v>45</v>
      </c>
      <c r="C1938" s="35">
        <v>2</v>
      </c>
      <c r="D1938" s="35"/>
      <c r="E1938" s="35"/>
      <c r="F1938" s="35"/>
      <c r="G1938" s="35"/>
      <c r="H1938" s="35"/>
      <c r="I1938" s="4">
        <v>0</v>
      </c>
      <c r="J1938" s="4">
        <v>0</v>
      </c>
      <c r="K1938" s="4"/>
      <c r="L1938" s="16"/>
      <c r="M1938" s="4"/>
      <c r="N1938" s="4"/>
      <c r="O1938" s="4"/>
      <c r="P1938" s="4"/>
      <c r="Q1938" s="4"/>
      <c r="R1938" s="4"/>
      <c r="S1938" s="4">
        <v>0</v>
      </c>
      <c r="T1938" s="4">
        <v>0</v>
      </c>
      <c r="U1938" s="4">
        <v>0</v>
      </c>
      <c r="V1938" s="4">
        <v>12</v>
      </c>
      <c r="W1938" s="4">
        <v>12</v>
      </c>
      <c r="X1938" s="4"/>
      <c r="Y1938" s="4"/>
      <c r="Z1938" s="4"/>
      <c r="AA1938" s="4">
        <v>150</v>
      </c>
      <c r="AB1938" s="18"/>
      <c r="AC1938" s="18">
        <v>35</v>
      </c>
      <c r="AD1938" s="28"/>
      <c r="AE1938" s="26"/>
      <c r="AF1938" s="28"/>
    </row>
    <row r="1939" spans="1:32" ht="12.4" customHeight="1" x14ac:dyDescent="0.25">
      <c r="A1939" s="34">
        <v>45895</v>
      </c>
      <c r="B1939" s="34" t="s">
        <v>46</v>
      </c>
      <c r="C1939" s="35">
        <v>2</v>
      </c>
      <c r="D1939" s="35"/>
      <c r="E1939" s="35"/>
      <c r="F1939" s="35"/>
      <c r="G1939" s="35"/>
      <c r="H1939" s="35"/>
      <c r="I1939" s="4">
        <v>0</v>
      </c>
      <c r="J1939" s="4">
        <v>0</v>
      </c>
      <c r="K1939" s="4"/>
      <c r="L1939" s="16"/>
      <c r="M1939" s="4"/>
      <c r="N1939" s="4"/>
      <c r="O1939" s="4"/>
      <c r="P1939" s="4"/>
      <c r="Q1939" s="4"/>
      <c r="R1939" s="4"/>
      <c r="S1939" s="4">
        <v>0</v>
      </c>
      <c r="T1939" s="4">
        <v>0</v>
      </c>
      <c r="U1939" s="4">
        <v>0</v>
      </c>
      <c r="V1939" s="4">
        <v>12</v>
      </c>
      <c r="W1939" s="4">
        <v>12</v>
      </c>
      <c r="X1939" s="4"/>
      <c r="Y1939" s="4"/>
      <c r="Z1939" s="4"/>
      <c r="AA1939" s="4">
        <v>145</v>
      </c>
      <c r="AB1939" s="18"/>
      <c r="AC1939" s="18">
        <v>35</v>
      </c>
      <c r="AD1939" s="28"/>
      <c r="AE1939" s="26"/>
      <c r="AF1939" s="28"/>
    </row>
    <row r="1940" spans="1:32" ht="12.4" customHeight="1" x14ac:dyDescent="0.25">
      <c r="A1940" s="34">
        <v>45895</v>
      </c>
      <c r="B1940" s="34" t="s">
        <v>45</v>
      </c>
      <c r="C1940" s="35">
        <v>4</v>
      </c>
      <c r="D1940" s="35">
        <v>30</v>
      </c>
      <c r="E1940" s="35"/>
      <c r="F1940" s="35"/>
      <c r="G1940" s="35"/>
      <c r="H1940" s="35"/>
      <c r="I1940" s="4">
        <v>30</v>
      </c>
      <c r="J1940" s="4">
        <v>0.5</v>
      </c>
      <c r="K1940" s="4"/>
      <c r="L1940" s="16"/>
      <c r="M1940" s="4"/>
      <c r="N1940" s="4"/>
      <c r="O1940" s="4"/>
      <c r="P1940" s="4"/>
      <c r="Q1940" s="4"/>
      <c r="R1940" s="4"/>
      <c r="S1940" s="4">
        <v>0</v>
      </c>
      <c r="T1940" s="4">
        <v>0</v>
      </c>
      <c r="U1940" s="4">
        <v>0.5</v>
      </c>
      <c r="V1940" s="4">
        <v>11.5</v>
      </c>
      <c r="W1940" s="4">
        <v>12</v>
      </c>
      <c r="X1940" s="4"/>
      <c r="Y1940" s="4"/>
      <c r="Z1940" s="4"/>
      <c r="AA1940" s="4">
        <v>810</v>
      </c>
      <c r="AB1940" s="18"/>
      <c r="AC1940" s="18">
        <v>35</v>
      </c>
      <c r="AD1940" s="28"/>
      <c r="AE1940" s="26"/>
      <c r="AF1940" s="28"/>
    </row>
    <row r="1941" spans="1:32" ht="12.4" customHeight="1" x14ac:dyDescent="0.25">
      <c r="A1941" s="34">
        <v>45895</v>
      </c>
      <c r="B1941" s="34" t="s">
        <v>46</v>
      </c>
      <c r="C1941" s="35">
        <v>4</v>
      </c>
      <c r="D1941" s="35"/>
      <c r="E1941" s="35"/>
      <c r="F1941" s="35"/>
      <c r="G1941" s="35"/>
      <c r="H1941" s="35"/>
      <c r="I1941" s="4">
        <v>0</v>
      </c>
      <c r="J1941" s="4">
        <v>0</v>
      </c>
      <c r="K1941" s="4"/>
      <c r="L1941" s="16"/>
      <c r="M1941" s="4"/>
      <c r="N1941" s="4"/>
      <c r="O1941" s="4"/>
      <c r="P1941" s="4"/>
      <c r="Q1941" s="4"/>
      <c r="R1941" s="4"/>
      <c r="S1941" s="4">
        <v>0</v>
      </c>
      <c r="T1941" s="4">
        <v>0</v>
      </c>
      <c r="U1941" s="4">
        <v>0</v>
      </c>
      <c r="V1941" s="4">
        <v>12</v>
      </c>
      <c r="W1941" s="4">
        <v>12</v>
      </c>
      <c r="X1941" s="4"/>
      <c r="Y1941" s="4"/>
      <c r="Z1941" s="4"/>
      <c r="AA1941" s="4">
        <v>740</v>
      </c>
      <c r="AB1941" s="18"/>
      <c r="AC1941" s="18">
        <v>35</v>
      </c>
      <c r="AD1941" s="28"/>
      <c r="AE1941" s="26"/>
      <c r="AF1941" s="28"/>
    </row>
    <row r="1942" spans="1:32" ht="12.4" customHeight="1" x14ac:dyDescent="0.25">
      <c r="A1942" s="34">
        <v>45895</v>
      </c>
      <c r="B1942" s="34" t="s">
        <v>45</v>
      </c>
      <c r="C1942" s="35">
        <v>3</v>
      </c>
      <c r="D1942" s="35"/>
      <c r="E1942" s="35"/>
      <c r="F1942" s="35"/>
      <c r="G1942" s="35"/>
      <c r="H1942" s="35"/>
      <c r="I1942" s="4">
        <v>0</v>
      </c>
      <c r="J1942" s="4">
        <v>0</v>
      </c>
      <c r="K1942" s="4"/>
      <c r="L1942" s="16"/>
      <c r="M1942" s="4"/>
      <c r="N1942" s="4"/>
      <c r="O1942" s="4"/>
      <c r="P1942" s="4"/>
      <c r="Q1942" s="4"/>
      <c r="R1942" s="4"/>
      <c r="S1942" s="4">
        <v>0</v>
      </c>
      <c r="T1942" s="4">
        <v>0</v>
      </c>
      <c r="U1942" s="4">
        <v>0</v>
      </c>
      <c r="V1942" s="4">
        <v>12</v>
      </c>
      <c r="W1942" s="4">
        <v>12</v>
      </c>
      <c r="X1942" s="4"/>
      <c r="Y1942" s="4"/>
      <c r="Z1942" s="4"/>
      <c r="AA1942" s="4">
        <v>255</v>
      </c>
      <c r="AB1942" s="18"/>
      <c r="AC1942" s="18">
        <v>35</v>
      </c>
      <c r="AD1942" s="28"/>
      <c r="AE1942" s="26"/>
      <c r="AF1942" s="28"/>
    </row>
    <row r="1943" spans="1:32" ht="12.4" customHeight="1" x14ac:dyDescent="0.25">
      <c r="A1943" s="34">
        <v>45895</v>
      </c>
      <c r="B1943" s="34" t="s">
        <v>46</v>
      </c>
      <c r="C1943" s="35">
        <v>3</v>
      </c>
      <c r="D1943" s="35">
        <v>20</v>
      </c>
      <c r="E1943" s="35"/>
      <c r="F1943" s="35"/>
      <c r="G1943" s="35"/>
      <c r="H1943" s="35"/>
      <c r="I1943" s="4">
        <v>20</v>
      </c>
      <c r="J1943" s="4">
        <v>0.33333333333333331</v>
      </c>
      <c r="K1943" s="4"/>
      <c r="L1943" s="16"/>
      <c r="M1943" s="4"/>
      <c r="N1943" s="4"/>
      <c r="O1943" s="4"/>
      <c r="P1943" s="4"/>
      <c r="Q1943" s="4"/>
      <c r="R1943" s="4"/>
      <c r="S1943" s="4">
        <v>0</v>
      </c>
      <c r="T1943" s="4">
        <v>0</v>
      </c>
      <c r="U1943" s="4">
        <v>0.33333333333333331</v>
      </c>
      <c r="V1943" s="4">
        <v>11.666666666666666</v>
      </c>
      <c r="W1943" s="4">
        <v>12</v>
      </c>
      <c r="X1943" s="4"/>
      <c r="Y1943" s="4"/>
      <c r="Z1943" s="4"/>
      <c r="AA1943" s="4">
        <v>240</v>
      </c>
      <c r="AB1943" s="18"/>
      <c r="AC1943" s="18">
        <v>35</v>
      </c>
      <c r="AD1943" s="28"/>
      <c r="AE1943" s="26"/>
      <c r="AF1943" s="28"/>
    </row>
    <row r="1944" spans="1:32" ht="12.4" customHeight="1" x14ac:dyDescent="0.25">
      <c r="A1944" s="34">
        <v>45895</v>
      </c>
      <c r="B1944" s="34" t="s">
        <v>45</v>
      </c>
      <c r="C1944" s="35">
        <v>5</v>
      </c>
      <c r="D1944" s="35"/>
      <c r="E1944" s="35"/>
      <c r="F1944" s="35"/>
      <c r="G1944" s="35"/>
      <c r="H1944" s="35"/>
      <c r="I1944" s="4">
        <v>0</v>
      </c>
      <c r="J1944" s="4">
        <v>0</v>
      </c>
      <c r="K1944" s="4"/>
      <c r="L1944" s="16"/>
      <c r="M1944" s="4"/>
      <c r="N1944" s="4"/>
      <c r="O1944" s="4"/>
      <c r="P1944" s="4"/>
      <c r="Q1944" s="4"/>
      <c r="R1944" s="4"/>
      <c r="S1944" s="4">
        <v>0</v>
      </c>
      <c r="T1944" s="4">
        <v>0</v>
      </c>
      <c r="U1944" s="4">
        <v>0</v>
      </c>
      <c r="V1944" s="4">
        <v>12</v>
      </c>
      <c r="W1944" s="4">
        <v>12</v>
      </c>
      <c r="X1944" s="4"/>
      <c r="Y1944" s="4"/>
      <c r="Z1944" s="4"/>
      <c r="AA1944" s="4">
        <v>505</v>
      </c>
      <c r="AB1944" s="18"/>
      <c r="AC1944" s="18">
        <v>35</v>
      </c>
      <c r="AD1944" s="28"/>
      <c r="AE1944" s="26"/>
      <c r="AF1944" s="28"/>
    </row>
    <row r="1945" spans="1:32" ht="12.4" customHeight="1" x14ac:dyDescent="0.25">
      <c r="A1945" s="34">
        <v>45895</v>
      </c>
      <c r="B1945" s="34" t="s">
        <v>46</v>
      </c>
      <c r="C1945" s="35">
        <v>5</v>
      </c>
      <c r="D1945" s="35"/>
      <c r="E1945" s="35"/>
      <c r="F1945" s="35"/>
      <c r="G1945" s="35"/>
      <c r="H1945" s="35"/>
      <c r="I1945" s="4">
        <v>0</v>
      </c>
      <c r="J1945" s="4">
        <v>0</v>
      </c>
      <c r="K1945" s="4"/>
      <c r="L1945" s="16"/>
      <c r="M1945" s="4"/>
      <c r="N1945" s="4"/>
      <c r="O1945" s="4"/>
      <c r="P1945" s="4"/>
      <c r="Q1945" s="4"/>
      <c r="R1945" s="4"/>
      <c r="S1945" s="4">
        <v>0</v>
      </c>
      <c r="T1945" s="4">
        <v>0</v>
      </c>
      <c r="U1945" s="4">
        <v>0</v>
      </c>
      <c r="V1945" s="4">
        <v>12</v>
      </c>
      <c r="W1945" s="4">
        <v>12</v>
      </c>
      <c r="X1945" s="4"/>
      <c r="Y1945" s="4"/>
      <c r="Z1945" s="4"/>
      <c r="AA1945" s="4">
        <v>540</v>
      </c>
      <c r="AB1945" s="18">
        <v>398</v>
      </c>
      <c r="AC1945" s="18">
        <v>35</v>
      </c>
      <c r="AD1945" s="28"/>
      <c r="AE1945" s="26"/>
      <c r="AF1945" s="28"/>
    </row>
    <row r="1946" spans="1:32" ht="12.4" customHeight="1" x14ac:dyDescent="0.25">
      <c r="A1946" s="34">
        <v>45896</v>
      </c>
      <c r="B1946" s="34" t="s">
        <v>45</v>
      </c>
      <c r="C1946" s="35">
        <v>1</v>
      </c>
      <c r="D1946" s="35"/>
      <c r="E1946" s="35"/>
      <c r="F1946" s="35"/>
      <c r="G1946" s="35"/>
      <c r="H1946" s="35"/>
      <c r="I1946" s="4">
        <v>0</v>
      </c>
      <c r="J1946" s="4">
        <v>0</v>
      </c>
      <c r="K1946" s="4"/>
      <c r="L1946" s="16"/>
      <c r="M1946" s="4"/>
      <c r="N1946" s="4"/>
      <c r="O1946" s="4"/>
      <c r="P1946" s="4"/>
      <c r="Q1946" s="4"/>
      <c r="R1946" s="4"/>
      <c r="S1946" s="4">
        <v>0</v>
      </c>
      <c r="T1946" s="4">
        <v>0</v>
      </c>
      <c r="U1946" s="4">
        <v>0</v>
      </c>
      <c r="V1946" s="4">
        <v>12</v>
      </c>
      <c r="W1946" s="4">
        <v>12</v>
      </c>
      <c r="X1946" s="4"/>
      <c r="Y1946" s="4">
        <v>2079.5</v>
      </c>
      <c r="Z1946" s="4"/>
      <c r="AA1946" s="4">
        <v>140</v>
      </c>
      <c r="AB1946" s="18"/>
      <c r="AC1946" s="18">
        <v>35</v>
      </c>
      <c r="AD1946" s="28"/>
      <c r="AE1946" s="26"/>
      <c r="AF1946" s="28"/>
    </row>
    <row r="1947" spans="1:32" ht="12.4" customHeight="1" x14ac:dyDescent="0.25">
      <c r="A1947" s="34">
        <v>45896</v>
      </c>
      <c r="B1947" s="34" t="s">
        <v>46</v>
      </c>
      <c r="C1947" s="35">
        <v>1</v>
      </c>
      <c r="D1947" s="35"/>
      <c r="E1947" s="35"/>
      <c r="F1947" s="35"/>
      <c r="G1947" s="35"/>
      <c r="H1947" s="35"/>
      <c r="I1947" s="4">
        <v>0</v>
      </c>
      <c r="J1947" s="4">
        <v>0</v>
      </c>
      <c r="K1947" s="4"/>
      <c r="L1947" s="16"/>
      <c r="M1947" s="4"/>
      <c r="N1947" s="4"/>
      <c r="O1947" s="4"/>
      <c r="P1947" s="4"/>
      <c r="Q1947" s="4"/>
      <c r="R1947" s="4"/>
      <c r="S1947" s="4">
        <v>0</v>
      </c>
      <c r="T1947" s="4">
        <v>0</v>
      </c>
      <c r="U1947" s="4">
        <v>0</v>
      </c>
      <c r="V1947" s="4">
        <v>12</v>
      </c>
      <c r="W1947" s="4">
        <v>12</v>
      </c>
      <c r="X1947" s="4"/>
      <c r="Y1947" s="4"/>
      <c r="Z1947" s="4"/>
      <c r="AA1947" s="4">
        <v>140</v>
      </c>
      <c r="AB1947" s="18"/>
      <c r="AC1947" s="18">
        <v>35</v>
      </c>
      <c r="AD1947" s="28"/>
      <c r="AE1947" s="26"/>
      <c r="AF1947" s="28"/>
    </row>
    <row r="1948" spans="1:32" ht="12.4" customHeight="1" x14ac:dyDescent="0.25">
      <c r="A1948" s="34">
        <v>45896</v>
      </c>
      <c r="B1948" s="34" t="s">
        <v>45</v>
      </c>
      <c r="C1948" s="35">
        <v>2</v>
      </c>
      <c r="D1948" s="35"/>
      <c r="E1948" s="35"/>
      <c r="F1948" s="35"/>
      <c r="G1948" s="35"/>
      <c r="H1948" s="35"/>
      <c r="I1948" s="4">
        <v>0</v>
      </c>
      <c r="J1948" s="4">
        <v>0</v>
      </c>
      <c r="K1948" s="4"/>
      <c r="L1948" s="16"/>
      <c r="M1948" s="4">
        <v>435</v>
      </c>
      <c r="N1948" s="4"/>
      <c r="O1948" s="4"/>
      <c r="P1948" s="4"/>
      <c r="Q1948" s="4"/>
      <c r="R1948" s="4"/>
      <c r="S1948" s="4">
        <v>435</v>
      </c>
      <c r="T1948" s="4">
        <v>7.25</v>
      </c>
      <c r="U1948" s="4">
        <v>7.25</v>
      </c>
      <c r="V1948" s="4">
        <v>4.75</v>
      </c>
      <c r="W1948" s="4">
        <v>12</v>
      </c>
      <c r="X1948" s="4"/>
      <c r="Y1948" s="4"/>
      <c r="Z1948" s="4"/>
      <c r="AA1948" s="4">
        <v>65</v>
      </c>
      <c r="AB1948" s="18"/>
      <c r="AC1948" s="18">
        <v>35</v>
      </c>
      <c r="AD1948" s="28"/>
      <c r="AE1948" s="26"/>
      <c r="AF1948" s="28"/>
    </row>
    <row r="1949" spans="1:32" ht="12.4" customHeight="1" x14ac:dyDescent="0.25">
      <c r="A1949" s="34">
        <v>45896</v>
      </c>
      <c r="B1949" s="34" t="s">
        <v>46</v>
      </c>
      <c r="C1949" s="35">
        <v>2</v>
      </c>
      <c r="D1949" s="35"/>
      <c r="E1949" s="35"/>
      <c r="F1949" s="35"/>
      <c r="G1949" s="35"/>
      <c r="H1949" s="35"/>
      <c r="I1949" s="4">
        <v>0</v>
      </c>
      <c r="J1949" s="4">
        <v>0</v>
      </c>
      <c r="K1949" s="4"/>
      <c r="L1949" s="16"/>
      <c r="M1949" s="4"/>
      <c r="N1949" s="4"/>
      <c r="O1949" s="4"/>
      <c r="P1949" s="4"/>
      <c r="Q1949" s="4"/>
      <c r="R1949" s="4"/>
      <c r="S1949" s="4">
        <v>0</v>
      </c>
      <c r="T1949" s="4">
        <v>0</v>
      </c>
      <c r="U1949" s="4">
        <v>0</v>
      </c>
      <c r="V1949" s="4">
        <v>12</v>
      </c>
      <c r="W1949" s="4">
        <v>12</v>
      </c>
      <c r="X1949" s="4"/>
      <c r="Y1949" s="4"/>
      <c r="Z1949" s="4"/>
      <c r="AA1949" s="4">
        <v>150</v>
      </c>
      <c r="AB1949" s="18"/>
      <c r="AC1949" s="18">
        <v>35</v>
      </c>
      <c r="AD1949" s="28"/>
      <c r="AE1949" s="26"/>
      <c r="AF1949" s="28"/>
    </row>
    <row r="1950" spans="1:32" ht="12.4" customHeight="1" x14ac:dyDescent="0.25">
      <c r="A1950" s="34">
        <v>45896</v>
      </c>
      <c r="B1950" s="34" t="s">
        <v>45</v>
      </c>
      <c r="C1950" s="35">
        <v>3</v>
      </c>
      <c r="D1950" s="35"/>
      <c r="E1950" s="35"/>
      <c r="F1950" s="35"/>
      <c r="G1950" s="35"/>
      <c r="H1950" s="35"/>
      <c r="I1950" s="4">
        <v>0</v>
      </c>
      <c r="J1950" s="4">
        <v>0</v>
      </c>
      <c r="K1950" s="4"/>
      <c r="L1950" s="16"/>
      <c r="M1950" s="4"/>
      <c r="N1950" s="4"/>
      <c r="O1950" s="4"/>
      <c r="P1950" s="4"/>
      <c r="Q1950" s="4"/>
      <c r="R1950" s="4"/>
      <c r="S1950" s="4">
        <v>0</v>
      </c>
      <c r="T1950" s="4">
        <v>0</v>
      </c>
      <c r="U1950" s="4">
        <v>0</v>
      </c>
      <c r="V1950" s="4">
        <v>12</v>
      </c>
      <c r="W1950" s="4">
        <v>12</v>
      </c>
      <c r="X1950" s="4"/>
      <c r="Y1950" s="4"/>
      <c r="Z1950" s="4"/>
      <c r="AA1950" s="4">
        <v>225</v>
      </c>
      <c r="AB1950" s="18"/>
      <c r="AC1950" s="18">
        <v>35</v>
      </c>
      <c r="AD1950" s="28"/>
      <c r="AE1950" s="26"/>
      <c r="AF1950" s="28"/>
    </row>
    <row r="1951" spans="1:32" ht="12.4" customHeight="1" x14ac:dyDescent="0.25">
      <c r="A1951" s="34">
        <v>45896</v>
      </c>
      <c r="B1951" s="34" t="s">
        <v>46</v>
      </c>
      <c r="C1951" s="35">
        <v>3</v>
      </c>
      <c r="D1951" s="35"/>
      <c r="E1951" s="35"/>
      <c r="F1951" s="35"/>
      <c r="G1951" s="35"/>
      <c r="H1951" s="35"/>
      <c r="I1951" s="4">
        <v>0</v>
      </c>
      <c r="J1951" s="4">
        <v>0</v>
      </c>
      <c r="K1951" s="4"/>
      <c r="L1951" s="16"/>
      <c r="M1951" s="4"/>
      <c r="N1951" s="4"/>
      <c r="O1951" s="4"/>
      <c r="P1951" s="4"/>
      <c r="Q1951" s="4"/>
      <c r="R1951" s="4"/>
      <c r="S1951" s="4">
        <v>0</v>
      </c>
      <c r="T1951" s="4">
        <v>0</v>
      </c>
      <c r="U1951" s="4">
        <v>0</v>
      </c>
      <c r="V1951" s="4">
        <v>12</v>
      </c>
      <c r="W1951" s="4">
        <v>12</v>
      </c>
      <c r="X1951" s="4"/>
      <c r="Y1951" s="4"/>
      <c r="Z1951" s="4"/>
      <c r="AA1951" s="4">
        <v>200</v>
      </c>
      <c r="AB1951" s="18"/>
      <c r="AC1951" s="18">
        <v>35</v>
      </c>
      <c r="AD1951" s="28"/>
      <c r="AE1951" s="26"/>
      <c r="AF1951" s="28"/>
    </row>
    <row r="1952" spans="1:32" ht="12.4" customHeight="1" x14ac:dyDescent="0.25">
      <c r="A1952" s="34">
        <v>45896</v>
      </c>
      <c r="B1952" s="34" t="s">
        <v>45</v>
      </c>
      <c r="C1952" s="35">
        <v>4</v>
      </c>
      <c r="D1952" s="35"/>
      <c r="E1952" s="35"/>
      <c r="F1952" s="35"/>
      <c r="G1952" s="35"/>
      <c r="H1952" s="35"/>
      <c r="I1952" s="4">
        <v>0</v>
      </c>
      <c r="J1952" s="4">
        <v>0</v>
      </c>
      <c r="K1952" s="4"/>
      <c r="L1952" s="16"/>
      <c r="M1952" s="4"/>
      <c r="N1952" s="4"/>
      <c r="O1952" s="4"/>
      <c r="P1952" s="4"/>
      <c r="Q1952" s="4"/>
      <c r="R1952" s="4"/>
      <c r="S1952" s="4">
        <v>0</v>
      </c>
      <c r="T1952" s="4">
        <v>0</v>
      </c>
      <c r="U1952" s="4">
        <v>0</v>
      </c>
      <c r="V1952" s="4">
        <v>12</v>
      </c>
      <c r="W1952" s="4">
        <v>12</v>
      </c>
      <c r="X1952" s="4"/>
      <c r="Y1952" s="4"/>
      <c r="Z1952" s="4"/>
      <c r="AA1952" s="4">
        <v>840</v>
      </c>
      <c r="AB1952" s="18"/>
      <c r="AC1952" s="18">
        <v>35</v>
      </c>
      <c r="AD1952" s="28"/>
      <c r="AE1952" s="26"/>
      <c r="AF1952" s="28"/>
    </row>
    <row r="1953" spans="1:32" ht="12.4" customHeight="1" x14ac:dyDescent="0.25">
      <c r="A1953" s="34">
        <v>45896</v>
      </c>
      <c r="B1953" s="34" t="s">
        <v>46</v>
      </c>
      <c r="C1953" s="35">
        <v>4</v>
      </c>
      <c r="D1953" s="35"/>
      <c r="E1953" s="35"/>
      <c r="F1953" s="35"/>
      <c r="G1953" s="35"/>
      <c r="H1953" s="35"/>
      <c r="I1953" s="4">
        <v>0</v>
      </c>
      <c r="J1953" s="4">
        <v>0</v>
      </c>
      <c r="K1953" s="4"/>
      <c r="L1953" s="16"/>
      <c r="M1953" s="4"/>
      <c r="N1953" s="4"/>
      <c r="O1953" s="4"/>
      <c r="P1953" s="4"/>
      <c r="Q1953" s="4"/>
      <c r="R1953" s="4"/>
      <c r="S1953" s="4">
        <v>0</v>
      </c>
      <c r="T1953" s="4">
        <v>0</v>
      </c>
      <c r="U1953" s="4">
        <v>0</v>
      </c>
      <c r="V1953" s="4">
        <v>12</v>
      </c>
      <c r="W1953" s="4">
        <v>12</v>
      </c>
      <c r="X1953" s="4"/>
      <c r="Y1953" s="4"/>
      <c r="Z1953" s="4"/>
      <c r="AA1953" s="4">
        <v>785</v>
      </c>
      <c r="AB1953" s="18"/>
      <c r="AC1953" s="18">
        <v>35</v>
      </c>
      <c r="AD1953" s="28"/>
      <c r="AE1953" s="26"/>
      <c r="AF1953" s="28"/>
    </row>
    <row r="1954" spans="1:32" ht="12.4" customHeight="1" x14ac:dyDescent="0.25">
      <c r="A1954" s="34">
        <v>45896</v>
      </c>
      <c r="B1954" s="34" t="s">
        <v>45</v>
      </c>
      <c r="C1954" s="35">
        <v>5</v>
      </c>
      <c r="D1954" s="35"/>
      <c r="E1954" s="35"/>
      <c r="F1954" s="35"/>
      <c r="G1954" s="35"/>
      <c r="H1954" s="35"/>
      <c r="I1954" s="4">
        <v>0</v>
      </c>
      <c r="J1954" s="4">
        <v>0</v>
      </c>
      <c r="K1954" s="4"/>
      <c r="L1954" s="16"/>
      <c r="M1954" s="4"/>
      <c r="N1954" s="4"/>
      <c r="O1954" s="4"/>
      <c r="P1954" s="4"/>
      <c r="Q1954" s="4"/>
      <c r="R1954" s="4"/>
      <c r="S1954" s="4">
        <v>0</v>
      </c>
      <c r="T1954" s="4">
        <v>0</v>
      </c>
      <c r="U1954" s="4">
        <v>0</v>
      </c>
      <c r="V1954" s="4">
        <v>12</v>
      </c>
      <c r="W1954" s="4">
        <v>12</v>
      </c>
      <c r="X1954" s="4"/>
      <c r="Y1954" s="4"/>
      <c r="Z1954" s="4"/>
      <c r="AA1954" s="4">
        <v>540</v>
      </c>
      <c r="AB1954" s="18"/>
      <c r="AC1954" s="18">
        <v>35</v>
      </c>
      <c r="AD1954" s="28"/>
      <c r="AE1954" s="26"/>
      <c r="AF1954" s="28"/>
    </row>
    <row r="1955" spans="1:32" ht="12.4" customHeight="1" x14ac:dyDescent="0.25">
      <c r="A1955" s="34">
        <v>45896</v>
      </c>
      <c r="B1955" s="34" t="s">
        <v>46</v>
      </c>
      <c r="C1955" s="35">
        <v>5</v>
      </c>
      <c r="D1955" s="35"/>
      <c r="E1955" s="35"/>
      <c r="F1955" s="35"/>
      <c r="G1955" s="35"/>
      <c r="H1955" s="35"/>
      <c r="I1955" s="4">
        <v>0</v>
      </c>
      <c r="J1955" s="4">
        <v>0</v>
      </c>
      <c r="K1955" s="4"/>
      <c r="L1955" s="16"/>
      <c r="M1955" s="4"/>
      <c r="N1955" s="4"/>
      <c r="O1955" s="4"/>
      <c r="P1955" s="4"/>
      <c r="Q1955" s="4"/>
      <c r="R1955" s="4"/>
      <c r="S1955" s="4">
        <v>0</v>
      </c>
      <c r="T1955" s="4">
        <v>0</v>
      </c>
      <c r="U1955" s="4">
        <v>0</v>
      </c>
      <c r="V1955" s="4">
        <v>12</v>
      </c>
      <c r="W1955" s="4">
        <v>12</v>
      </c>
      <c r="X1955" s="4"/>
      <c r="Y1955" s="4"/>
      <c r="Z1955" s="4"/>
      <c r="AA1955" s="4">
        <v>555</v>
      </c>
      <c r="AB1955" s="18"/>
      <c r="AC1955" s="18">
        <v>35</v>
      </c>
      <c r="AD1955" s="28"/>
      <c r="AE1955" s="26"/>
      <c r="AF1955" s="28"/>
    </row>
    <row r="1956" spans="1:32" ht="12.4" customHeight="1" x14ac:dyDescent="0.25">
      <c r="A1956" s="34">
        <v>45897</v>
      </c>
      <c r="B1956" s="34" t="s">
        <v>45</v>
      </c>
      <c r="C1956" s="35">
        <v>1</v>
      </c>
      <c r="D1956" s="35">
        <v>15</v>
      </c>
      <c r="E1956" s="35"/>
      <c r="F1956" s="35"/>
      <c r="G1956" s="35"/>
      <c r="H1956" s="35"/>
      <c r="I1956" s="4">
        <v>15</v>
      </c>
      <c r="J1956" s="4">
        <v>0.25</v>
      </c>
      <c r="K1956" s="4"/>
      <c r="L1956" s="16"/>
      <c r="M1956" s="4"/>
      <c r="N1956" s="4"/>
      <c r="O1956" s="4"/>
      <c r="P1956" s="4"/>
      <c r="Q1956" s="4"/>
      <c r="R1956" s="4"/>
      <c r="S1956" s="4">
        <v>0</v>
      </c>
      <c r="T1956" s="4">
        <v>0</v>
      </c>
      <c r="U1956" s="4">
        <v>0.25</v>
      </c>
      <c r="V1956" s="4">
        <v>11.75</v>
      </c>
      <c r="W1956" s="4">
        <v>12</v>
      </c>
      <c r="X1956" s="4"/>
      <c r="Y1956" s="4">
        <v>2039</v>
      </c>
      <c r="Z1956" s="4"/>
      <c r="AA1956" s="4">
        <v>140</v>
      </c>
      <c r="AB1956" s="18">
        <v>398</v>
      </c>
      <c r="AC1956" s="18">
        <v>35</v>
      </c>
      <c r="AD1956" s="28"/>
      <c r="AE1956" s="26"/>
      <c r="AF1956" s="28"/>
    </row>
    <row r="1957" spans="1:32" ht="12.4" customHeight="1" x14ac:dyDescent="0.25">
      <c r="A1957" s="34">
        <v>45897</v>
      </c>
      <c r="B1957" s="34" t="s">
        <v>46</v>
      </c>
      <c r="C1957" s="35">
        <v>1</v>
      </c>
      <c r="D1957" s="35"/>
      <c r="E1957" s="35"/>
      <c r="F1957" s="35"/>
      <c r="G1957" s="35"/>
      <c r="H1957" s="35"/>
      <c r="I1957" s="4">
        <v>0</v>
      </c>
      <c r="J1957" s="4">
        <v>0</v>
      </c>
      <c r="K1957" s="4"/>
      <c r="L1957" s="16"/>
      <c r="M1957" s="4"/>
      <c r="N1957" s="4"/>
      <c r="O1957" s="4"/>
      <c r="P1957" s="4"/>
      <c r="Q1957" s="4"/>
      <c r="R1957" s="4"/>
      <c r="S1957" s="4">
        <v>0</v>
      </c>
      <c r="T1957" s="4">
        <v>0</v>
      </c>
      <c r="U1957" s="4">
        <v>0</v>
      </c>
      <c r="V1957" s="4">
        <v>12</v>
      </c>
      <c r="W1957" s="4">
        <v>12</v>
      </c>
      <c r="X1957" s="4"/>
      <c r="Y1957" s="4"/>
      <c r="Z1957" s="4"/>
      <c r="AA1957" s="4">
        <v>185</v>
      </c>
      <c r="AB1957" s="18"/>
      <c r="AC1957" s="18">
        <v>35</v>
      </c>
      <c r="AD1957" s="28"/>
      <c r="AE1957" s="26"/>
      <c r="AF1957" s="28"/>
    </row>
    <row r="1958" spans="1:32" ht="12.4" customHeight="1" x14ac:dyDescent="0.25">
      <c r="A1958" s="34">
        <v>45897</v>
      </c>
      <c r="B1958" s="34" t="s">
        <v>45</v>
      </c>
      <c r="C1958" s="35">
        <v>2</v>
      </c>
      <c r="D1958" s="35"/>
      <c r="E1958" s="35"/>
      <c r="F1958" s="35"/>
      <c r="G1958" s="35"/>
      <c r="H1958" s="35"/>
      <c r="I1958" s="4">
        <v>0</v>
      </c>
      <c r="J1958" s="4">
        <v>0</v>
      </c>
      <c r="K1958" s="4"/>
      <c r="L1958" s="16"/>
      <c r="M1958" s="4"/>
      <c r="N1958" s="4"/>
      <c r="O1958" s="4"/>
      <c r="P1958" s="4"/>
      <c r="Q1958" s="4"/>
      <c r="R1958" s="4"/>
      <c r="S1958" s="4">
        <v>0</v>
      </c>
      <c r="T1958" s="4">
        <v>0</v>
      </c>
      <c r="U1958" s="4">
        <v>0</v>
      </c>
      <c r="V1958" s="4">
        <v>12</v>
      </c>
      <c r="W1958" s="4">
        <v>12</v>
      </c>
      <c r="X1958" s="4"/>
      <c r="Y1958" s="4"/>
      <c r="Z1958" s="4"/>
      <c r="AA1958" s="4">
        <v>170</v>
      </c>
      <c r="AB1958" s="18"/>
      <c r="AC1958" s="18">
        <v>35</v>
      </c>
      <c r="AD1958" s="28"/>
      <c r="AE1958" s="26"/>
      <c r="AF1958" s="28"/>
    </row>
    <row r="1959" spans="1:32" ht="12.4" customHeight="1" x14ac:dyDescent="0.25">
      <c r="A1959" s="34">
        <v>45897</v>
      </c>
      <c r="B1959" s="34" t="s">
        <v>46</v>
      </c>
      <c r="C1959" s="35">
        <v>2</v>
      </c>
      <c r="D1959" s="35"/>
      <c r="E1959" s="35"/>
      <c r="F1959" s="35"/>
      <c r="G1959" s="35"/>
      <c r="H1959" s="35"/>
      <c r="I1959" s="4">
        <v>0</v>
      </c>
      <c r="J1959" s="4">
        <v>0</v>
      </c>
      <c r="K1959" s="4"/>
      <c r="L1959" s="16"/>
      <c r="M1959" s="4"/>
      <c r="N1959" s="4"/>
      <c r="O1959" s="4"/>
      <c r="P1959" s="4"/>
      <c r="Q1959" s="4"/>
      <c r="R1959" s="4"/>
      <c r="S1959" s="4">
        <v>0</v>
      </c>
      <c r="T1959" s="4">
        <v>0</v>
      </c>
      <c r="U1959" s="4">
        <v>0</v>
      </c>
      <c r="V1959" s="4">
        <v>12</v>
      </c>
      <c r="W1959" s="4">
        <v>12</v>
      </c>
      <c r="X1959" s="4"/>
      <c r="Y1959" s="4"/>
      <c r="Z1959" s="4"/>
      <c r="AA1959" s="4">
        <v>150</v>
      </c>
      <c r="AB1959" s="18"/>
      <c r="AC1959" s="18">
        <v>35</v>
      </c>
      <c r="AD1959" s="28"/>
      <c r="AE1959" s="26"/>
      <c r="AF1959" s="28"/>
    </row>
    <row r="1960" spans="1:32" ht="12.4" customHeight="1" x14ac:dyDescent="0.25">
      <c r="A1960" s="34">
        <v>45897</v>
      </c>
      <c r="B1960" s="34" t="s">
        <v>45</v>
      </c>
      <c r="C1960" s="35">
        <v>3</v>
      </c>
      <c r="D1960" s="35"/>
      <c r="E1960" s="35"/>
      <c r="F1960" s="35"/>
      <c r="G1960" s="35"/>
      <c r="H1960" s="35"/>
      <c r="I1960" s="4">
        <v>0</v>
      </c>
      <c r="J1960" s="4">
        <v>0</v>
      </c>
      <c r="K1960" s="4"/>
      <c r="L1960" s="16"/>
      <c r="M1960" s="4"/>
      <c r="N1960" s="4"/>
      <c r="O1960" s="4"/>
      <c r="P1960" s="4"/>
      <c r="Q1960" s="4"/>
      <c r="R1960" s="4"/>
      <c r="S1960" s="4">
        <v>0</v>
      </c>
      <c r="T1960" s="4">
        <v>0</v>
      </c>
      <c r="U1960" s="4">
        <v>0</v>
      </c>
      <c r="V1960" s="4">
        <v>12</v>
      </c>
      <c r="W1960" s="4">
        <v>12</v>
      </c>
      <c r="X1960" s="4"/>
      <c r="Y1960" s="4"/>
      <c r="Z1960" s="4"/>
      <c r="AA1960" s="4">
        <v>280</v>
      </c>
      <c r="AB1960" s="18"/>
      <c r="AC1960" s="18">
        <v>35</v>
      </c>
      <c r="AD1960" s="28"/>
      <c r="AE1960" s="26"/>
      <c r="AF1960" s="28"/>
    </row>
    <row r="1961" spans="1:32" ht="12.4" customHeight="1" x14ac:dyDescent="0.25">
      <c r="A1961" s="34">
        <v>45897</v>
      </c>
      <c r="B1961" s="34" t="s">
        <v>46</v>
      </c>
      <c r="C1961" s="35">
        <v>3</v>
      </c>
      <c r="D1961" s="35"/>
      <c r="E1961" s="35"/>
      <c r="F1961" s="35"/>
      <c r="G1961" s="35"/>
      <c r="H1961" s="35"/>
      <c r="I1961" s="4">
        <v>0</v>
      </c>
      <c r="J1961" s="4">
        <v>0</v>
      </c>
      <c r="K1961" s="4"/>
      <c r="L1961" s="16"/>
      <c r="M1961" s="4"/>
      <c r="N1961" s="4"/>
      <c r="O1961" s="4"/>
      <c r="P1961" s="4"/>
      <c r="Q1961" s="4"/>
      <c r="R1961" s="4"/>
      <c r="S1961" s="4">
        <v>0</v>
      </c>
      <c r="T1961" s="4">
        <v>0</v>
      </c>
      <c r="U1961" s="4">
        <v>0</v>
      </c>
      <c r="V1961" s="4">
        <v>12</v>
      </c>
      <c r="W1961" s="4">
        <v>12</v>
      </c>
      <c r="X1961" s="4"/>
      <c r="Y1961" s="4"/>
      <c r="Z1961" s="4"/>
      <c r="AA1961" s="4">
        <v>190</v>
      </c>
      <c r="AB1961" s="18"/>
      <c r="AC1961" s="18">
        <v>35</v>
      </c>
      <c r="AD1961" s="28"/>
      <c r="AE1961" s="26"/>
      <c r="AF1961" s="28"/>
    </row>
    <row r="1962" spans="1:32" ht="12.4" customHeight="1" x14ac:dyDescent="0.25">
      <c r="A1962" s="34">
        <v>45897</v>
      </c>
      <c r="B1962" s="34" t="s">
        <v>45</v>
      </c>
      <c r="C1962" s="35">
        <v>4</v>
      </c>
      <c r="D1962" s="35">
        <v>20</v>
      </c>
      <c r="E1962" s="35"/>
      <c r="F1962" s="35"/>
      <c r="G1962" s="35"/>
      <c r="H1962" s="35"/>
      <c r="I1962" s="4">
        <v>20</v>
      </c>
      <c r="J1962" s="4">
        <v>0.33333333333333331</v>
      </c>
      <c r="K1962" s="4"/>
      <c r="L1962" s="16"/>
      <c r="M1962" s="4"/>
      <c r="N1962" s="4"/>
      <c r="O1962" s="4"/>
      <c r="P1962" s="4"/>
      <c r="Q1962" s="4">
        <v>30</v>
      </c>
      <c r="R1962" s="4"/>
      <c r="S1962" s="4">
        <v>30</v>
      </c>
      <c r="T1962" s="4">
        <v>0.5</v>
      </c>
      <c r="U1962" s="4">
        <v>0.83333333333333326</v>
      </c>
      <c r="V1962" s="4">
        <v>11.166666666666666</v>
      </c>
      <c r="W1962" s="4">
        <v>12</v>
      </c>
      <c r="X1962" s="4"/>
      <c r="Y1962" s="4"/>
      <c r="Z1962" s="4"/>
      <c r="AA1962" s="4">
        <v>795</v>
      </c>
      <c r="AB1962" s="18"/>
      <c r="AC1962" s="18">
        <v>35</v>
      </c>
      <c r="AD1962" s="28"/>
      <c r="AE1962" s="26"/>
      <c r="AF1962" s="28"/>
    </row>
    <row r="1963" spans="1:32" ht="12.4" customHeight="1" x14ac:dyDescent="0.25">
      <c r="A1963" s="34">
        <v>45897</v>
      </c>
      <c r="B1963" s="34" t="s">
        <v>46</v>
      </c>
      <c r="C1963" s="35">
        <v>4</v>
      </c>
      <c r="D1963" s="35">
        <v>20</v>
      </c>
      <c r="E1963" s="35"/>
      <c r="F1963" s="35"/>
      <c r="G1963" s="35"/>
      <c r="H1963" s="35"/>
      <c r="I1963" s="4">
        <v>20</v>
      </c>
      <c r="J1963" s="4">
        <v>0.33333333333333331</v>
      </c>
      <c r="K1963" s="4"/>
      <c r="L1963" s="16"/>
      <c r="M1963" s="4">
        <v>10</v>
      </c>
      <c r="N1963" s="4"/>
      <c r="O1963" s="4"/>
      <c r="P1963" s="4"/>
      <c r="Q1963" s="4"/>
      <c r="R1963" s="4"/>
      <c r="S1963" s="4">
        <v>10</v>
      </c>
      <c r="T1963" s="4">
        <v>0.16666666666666666</v>
      </c>
      <c r="U1963" s="4">
        <v>0.5</v>
      </c>
      <c r="V1963" s="4">
        <v>11.5</v>
      </c>
      <c r="W1963" s="4">
        <v>12</v>
      </c>
      <c r="X1963" s="4"/>
      <c r="Y1963" s="4"/>
      <c r="Z1963" s="4"/>
      <c r="AA1963" s="4">
        <v>610</v>
      </c>
      <c r="AB1963" s="18"/>
      <c r="AC1963" s="18">
        <v>35</v>
      </c>
      <c r="AD1963" s="28"/>
      <c r="AE1963" s="26"/>
      <c r="AF1963" s="28"/>
    </row>
    <row r="1964" spans="1:32" ht="12.4" customHeight="1" x14ac:dyDescent="0.25">
      <c r="A1964" s="34">
        <v>45897</v>
      </c>
      <c r="B1964" s="34" t="s">
        <v>45</v>
      </c>
      <c r="C1964" s="35">
        <v>5</v>
      </c>
      <c r="D1964" s="35"/>
      <c r="E1964" s="35"/>
      <c r="F1964" s="35"/>
      <c r="G1964" s="35"/>
      <c r="H1964" s="35"/>
      <c r="I1964" s="4">
        <v>0</v>
      </c>
      <c r="J1964" s="4">
        <v>0</v>
      </c>
      <c r="K1964" s="4"/>
      <c r="L1964" s="16"/>
      <c r="M1964" s="4"/>
      <c r="N1964" s="4"/>
      <c r="O1964" s="4"/>
      <c r="P1964" s="4"/>
      <c r="Q1964" s="4"/>
      <c r="R1964" s="4"/>
      <c r="S1964" s="4">
        <v>0</v>
      </c>
      <c r="T1964" s="4">
        <v>0</v>
      </c>
      <c r="U1964" s="4">
        <v>0</v>
      </c>
      <c r="V1964" s="4">
        <v>12</v>
      </c>
      <c r="W1964" s="4">
        <v>12</v>
      </c>
      <c r="X1964" s="4"/>
      <c r="Y1964" s="4"/>
      <c r="Z1964" s="4"/>
      <c r="AA1964" s="4">
        <v>580</v>
      </c>
      <c r="AB1964" s="18"/>
      <c r="AC1964" s="18">
        <v>35</v>
      </c>
      <c r="AD1964" s="28"/>
      <c r="AE1964" s="26"/>
      <c r="AF1964" s="28"/>
    </row>
    <row r="1965" spans="1:32" ht="12.4" customHeight="1" x14ac:dyDescent="0.25">
      <c r="A1965" s="34">
        <v>45897</v>
      </c>
      <c r="B1965" s="34" t="s">
        <v>46</v>
      </c>
      <c r="C1965" s="35">
        <v>5</v>
      </c>
      <c r="D1965" s="35"/>
      <c r="E1965" s="35"/>
      <c r="F1965" s="35"/>
      <c r="G1965" s="35"/>
      <c r="H1965" s="35"/>
      <c r="I1965" s="4">
        <v>0</v>
      </c>
      <c r="J1965" s="4">
        <v>0</v>
      </c>
      <c r="K1965" s="4"/>
      <c r="L1965" s="16"/>
      <c r="M1965" s="4"/>
      <c r="N1965" s="4"/>
      <c r="O1965" s="4"/>
      <c r="P1965" s="4"/>
      <c r="Q1965" s="4"/>
      <c r="R1965" s="4"/>
      <c r="S1965" s="4">
        <v>0</v>
      </c>
      <c r="T1965" s="4">
        <v>0</v>
      </c>
      <c r="U1965" s="4">
        <v>0</v>
      </c>
      <c r="V1965" s="4">
        <v>12</v>
      </c>
      <c r="W1965" s="4">
        <v>12</v>
      </c>
      <c r="X1965" s="4"/>
      <c r="Y1965" s="4"/>
      <c r="Z1965" s="4"/>
      <c r="AA1965" s="4">
        <v>500</v>
      </c>
      <c r="AB1965" s="18"/>
      <c r="AC1965" s="18">
        <v>35</v>
      </c>
      <c r="AD1965" s="28"/>
      <c r="AE1965" s="26"/>
      <c r="AF1965" s="28"/>
    </row>
    <row r="1966" spans="1:32" ht="12.4" customHeight="1" x14ac:dyDescent="0.25">
      <c r="A1966" s="34">
        <v>45898</v>
      </c>
      <c r="B1966" s="34" t="s">
        <v>45</v>
      </c>
      <c r="C1966" s="35">
        <v>1</v>
      </c>
      <c r="D1966" s="35"/>
      <c r="E1966" s="35"/>
      <c r="F1966" s="35"/>
      <c r="G1966" s="35"/>
      <c r="H1966" s="35"/>
      <c r="I1966" s="4">
        <v>0</v>
      </c>
      <c r="J1966" s="4">
        <v>0</v>
      </c>
      <c r="K1966" s="4"/>
      <c r="L1966" s="16"/>
      <c r="M1966" s="4"/>
      <c r="N1966" s="4"/>
      <c r="O1966" s="4"/>
      <c r="P1966" s="4"/>
      <c r="Q1966" s="4"/>
      <c r="R1966" s="4"/>
      <c r="S1966" s="4">
        <v>0</v>
      </c>
      <c r="T1966" s="4">
        <v>0</v>
      </c>
      <c r="U1966" s="4">
        <v>0</v>
      </c>
      <c r="V1966" s="4">
        <v>12</v>
      </c>
      <c r="W1966" s="4">
        <v>12</v>
      </c>
      <c r="X1966" s="4"/>
      <c r="Y1966" s="4">
        <v>2091</v>
      </c>
      <c r="Z1966" s="4"/>
      <c r="AA1966" s="4">
        <v>180</v>
      </c>
      <c r="AB1966" s="18">
        <v>398</v>
      </c>
      <c r="AC1966" s="18">
        <v>35</v>
      </c>
      <c r="AD1966" s="28"/>
      <c r="AE1966" s="26"/>
      <c r="AF1966" s="28"/>
    </row>
    <row r="1967" spans="1:32" ht="12.4" customHeight="1" x14ac:dyDescent="0.25">
      <c r="A1967" s="34">
        <v>45898</v>
      </c>
      <c r="B1967" s="34" t="s">
        <v>46</v>
      </c>
      <c r="C1967" s="35">
        <v>1</v>
      </c>
      <c r="D1967" s="35"/>
      <c r="E1967" s="35"/>
      <c r="F1967" s="35"/>
      <c r="G1967" s="35"/>
      <c r="H1967" s="35"/>
      <c r="I1967" s="4">
        <v>0</v>
      </c>
      <c r="J1967" s="4">
        <v>0</v>
      </c>
      <c r="K1967" s="4"/>
      <c r="L1967" s="16"/>
      <c r="M1967" s="4"/>
      <c r="N1967" s="4"/>
      <c r="O1967" s="4"/>
      <c r="P1967" s="4"/>
      <c r="Q1967" s="4"/>
      <c r="R1967" s="4"/>
      <c r="S1967" s="4">
        <v>0</v>
      </c>
      <c r="T1967" s="4">
        <v>0</v>
      </c>
      <c r="U1967" s="4">
        <v>0</v>
      </c>
      <c r="V1967" s="4">
        <v>12</v>
      </c>
      <c r="W1967" s="4">
        <v>12</v>
      </c>
      <c r="X1967" s="4"/>
      <c r="Y1967" s="4"/>
      <c r="Z1967" s="4"/>
      <c r="AA1967" s="4">
        <v>160</v>
      </c>
      <c r="AB1967" s="18"/>
      <c r="AC1967" s="18">
        <v>35</v>
      </c>
      <c r="AD1967" s="28"/>
      <c r="AE1967" s="26"/>
      <c r="AF1967" s="28"/>
    </row>
    <row r="1968" spans="1:32" ht="12.4" customHeight="1" x14ac:dyDescent="0.25">
      <c r="A1968" s="34">
        <v>45898</v>
      </c>
      <c r="B1968" s="34" t="s">
        <v>45</v>
      </c>
      <c r="C1968" s="35">
        <v>2</v>
      </c>
      <c r="D1968" s="35"/>
      <c r="E1968" s="35"/>
      <c r="F1968" s="35"/>
      <c r="G1968" s="35"/>
      <c r="H1968" s="35"/>
      <c r="I1968" s="4">
        <v>0</v>
      </c>
      <c r="J1968" s="4">
        <v>0</v>
      </c>
      <c r="K1968" s="4"/>
      <c r="L1968" s="16"/>
      <c r="M1968" s="4"/>
      <c r="N1968" s="4"/>
      <c r="O1968" s="4"/>
      <c r="P1968" s="4"/>
      <c r="Q1968" s="4"/>
      <c r="R1968" s="4"/>
      <c r="S1968" s="4">
        <v>0</v>
      </c>
      <c r="T1968" s="4">
        <v>0</v>
      </c>
      <c r="U1968" s="4">
        <v>0</v>
      </c>
      <c r="V1968" s="4">
        <v>12</v>
      </c>
      <c r="W1968" s="4">
        <v>12</v>
      </c>
      <c r="X1968" s="4"/>
      <c r="Y1968" s="4"/>
      <c r="Z1968" s="4"/>
      <c r="AA1968" s="4">
        <v>160</v>
      </c>
      <c r="AB1968" s="18"/>
      <c r="AC1968" s="18">
        <v>35</v>
      </c>
      <c r="AD1968" s="28"/>
      <c r="AE1968" s="26"/>
      <c r="AF1968" s="28"/>
    </row>
    <row r="1969" spans="1:32" ht="12.4" customHeight="1" x14ac:dyDescent="0.25">
      <c r="A1969" s="34">
        <v>45898</v>
      </c>
      <c r="B1969" s="34" t="s">
        <v>46</v>
      </c>
      <c r="C1969" s="35">
        <v>2</v>
      </c>
      <c r="D1969" s="35"/>
      <c r="E1969" s="35"/>
      <c r="F1969" s="35"/>
      <c r="G1969" s="35"/>
      <c r="H1969" s="35"/>
      <c r="I1969" s="4">
        <v>0</v>
      </c>
      <c r="J1969" s="4">
        <v>0</v>
      </c>
      <c r="K1969" s="4"/>
      <c r="L1969" s="16"/>
      <c r="M1969" s="4"/>
      <c r="N1969" s="4"/>
      <c r="O1969" s="4"/>
      <c r="P1969" s="4"/>
      <c r="Q1969" s="4"/>
      <c r="R1969" s="4"/>
      <c r="S1969" s="4">
        <v>0</v>
      </c>
      <c r="T1969" s="4">
        <v>0</v>
      </c>
      <c r="U1969" s="4">
        <v>0</v>
      </c>
      <c r="V1969" s="4">
        <v>12</v>
      </c>
      <c r="W1969" s="4">
        <v>12</v>
      </c>
      <c r="X1969" s="4"/>
      <c r="Y1969" s="4"/>
      <c r="Z1969" s="4"/>
      <c r="AA1969" s="4">
        <v>145</v>
      </c>
      <c r="AB1969" s="18"/>
      <c r="AC1969" s="18">
        <v>35</v>
      </c>
      <c r="AD1969" s="28"/>
      <c r="AE1969" s="26"/>
      <c r="AF1969" s="28"/>
    </row>
    <row r="1970" spans="1:32" ht="12.4" customHeight="1" x14ac:dyDescent="0.25">
      <c r="A1970" s="34">
        <v>45898</v>
      </c>
      <c r="B1970" s="34" t="s">
        <v>45</v>
      </c>
      <c r="C1970" s="35">
        <v>3</v>
      </c>
      <c r="D1970" s="35">
        <v>15</v>
      </c>
      <c r="E1970" s="35"/>
      <c r="F1970" s="35"/>
      <c r="G1970" s="35"/>
      <c r="H1970" s="35"/>
      <c r="I1970" s="4">
        <v>15</v>
      </c>
      <c r="J1970" s="4">
        <v>0.25</v>
      </c>
      <c r="K1970" s="4"/>
      <c r="L1970" s="16"/>
      <c r="M1970" s="4"/>
      <c r="N1970" s="4"/>
      <c r="O1970" s="4"/>
      <c r="P1970" s="4"/>
      <c r="Q1970" s="4"/>
      <c r="R1970" s="4"/>
      <c r="S1970" s="4">
        <v>0</v>
      </c>
      <c r="T1970" s="4">
        <v>0</v>
      </c>
      <c r="U1970" s="4">
        <v>0.25</v>
      </c>
      <c r="V1970" s="4">
        <v>11.75</v>
      </c>
      <c r="W1970" s="4">
        <v>12</v>
      </c>
      <c r="X1970" s="4"/>
      <c r="Y1970" s="4"/>
      <c r="Z1970" s="4"/>
      <c r="AA1970" s="4">
        <v>235</v>
      </c>
      <c r="AB1970" s="18"/>
      <c r="AC1970" s="18">
        <v>35</v>
      </c>
      <c r="AD1970" s="28"/>
      <c r="AE1970" s="26"/>
      <c r="AF1970" s="28"/>
    </row>
    <row r="1971" spans="1:32" ht="12.4" customHeight="1" x14ac:dyDescent="0.25">
      <c r="A1971" s="34">
        <v>45898</v>
      </c>
      <c r="B1971" s="34" t="s">
        <v>46</v>
      </c>
      <c r="C1971" s="35">
        <v>3</v>
      </c>
      <c r="D1971" s="35"/>
      <c r="E1971" s="35"/>
      <c r="F1971" s="35"/>
      <c r="G1971" s="35"/>
      <c r="H1971" s="35"/>
      <c r="I1971" s="4">
        <v>0</v>
      </c>
      <c r="J1971" s="4">
        <v>0</v>
      </c>
      <c r="K1971" s="4"/>
      <c r="L1971" s="16"/>
      <c r="M1971" s="4"/>
      <c r="N1971" s="4"/>
      <c r="O1971" s="4"/>
      <c r="P1971" s="4"/>
      <c r="Q1971" s="4"/>
      <c r="R1971" s="4"/>
      <c r="S1971" s="4">
        <v>0</v>
      </c>
      <c r="T1971" s="4">
        <v>0</v>
      </c>
      <c r="U1971" s="4">
        <v>0</v>
      </c>
      <c r="V1971" s="4">
        <v>12</v>
      </c>
      <c r="W1971" s="4">
        <v>12</v>
      </c>
      <c r="X1971" s="4"/>
      <c r="Y1971" s="4"/>
      <c r="Z1971" s="4"/>
      <c r="AA1971" s="4">
        <v>270</v>
      </c>
      <c r="AB1971" s="18"/>
      <c r="AC1971" s="18">
        <v>35</v>
      </c>
      <c r="AD1971" s="28"/>
      <c r="AE1971" s="26"/>
      <c r="AF1971" s="28"/>
    </row>
    <row r="1972" spans="1:32" ht="12.4" customHeight="1" x14ac:dyDescent="0.25">
      <c r="A1972" s="34">
        <v>45898</v>
      </c>
      <c r="B1972" s="34" t="s">
        <v>45</v>
      </c>
      <c r="C1972" s="35">
        <v>4</v>
      </c>
      <c r="D1972" s="35">
        <v>30</v>
      </c>
      <c r="E1972" s="35"/>
      <c r="F1972" s="35"/>
      <c r="G1972" s="35"/>
      <c r="H1972" s="35"/>
      <c r="I1972" s="4">
        <v>30</v>
      </c>
      <c r="J1972" s="4">
        <v>0.5</v>
      </c>
      <c r="K1972" s="4"/>
      <c r="L1972" s="16"/>
      <c r="M1972" s="4"/>
      <c r="N1972" s="4"/>
      <c r="O1972" s="4"/>
      <c r="P1972" s="4"/>
      <c r="Q1972" s="4"/>
      <c r="R1972" s="4"/>
      <c r="S1972" s="4">
        <v>0</v>
      </c>
      <c r="T1972" s="4">
        <v>0</v>
      </c>
      <c r="U1972" s="4">
        <v>0.5</v>
      </c>
      <c r="V1972" s="4">
        <v>11.5</v>
      </c>
      <c r="W1972" s="4">
        <v>12</v>
      </c>
      <c r="X1972" s="4"/>
      <c r="Y1972" s="4"/>
      <c r="Z1972" s="4"/>
      <c r="AA1972" s="4">
        <v>840</v>
      </c>
      <c r="AB1972" s="18"/>
      <c r="AC1972" s="18">
        <v>35</v>
      </c>
      <c r="AD1972" s="28"/>
      <c r="AE1972" s="26"/>
      <c r="AF1972" s="28"/>
    </row>
    <row r="1973" spans="1:32" ht="12.4" customHeight="1" x14ac:dyDescent="0.25">
      <c r="A1973" s="34">
        <v>45898</v>
      </c>
      <c r="B1973" s="34" t="s">
        <v>46</v>
      </c>
      <c r="C1973" s="35">
        <v>4</v>
      </c>
      <c r="D1973" s="35"/>
      <c r="E1973" s="35"/>
      <c r="F1973" s="35"/>
      <c r="G1973" s="35"/>
      <c r="H1973" s="35"/>
      <c r="I1973" s="4">
        <v>0</v>
      </c>
      <c r="J1973" s="4">
        <v>0</v>
      </c>
      <c r="K1973" s="4"/>
      <c r="L1973" s="16"/>
      <c r="M1973" s="4"/>
      <c r="N1973" s="4"/>
      <c r="O1973" s="4"/>
      <c r="P1973" s="4"/>
      <c r="Q1973" s="4"/>
      <c r="R1973" s="4"/>
      <c r="S1973" s="4">
        <v>0</v>
      </c>
      <c r="T1973" s="4">
        <v>0</v>
      </c>
      <c r="U1973" s="4">
        <v>0</v>
      </c>
      <c r="V1973" s="4">
        <v>12</v>
      </c>
      <c r="W1973" s="4">
        <v>12</v>
      </c>
      <c r="X1973" s="4"/>
      <c r="Y1973" s="4"/>
      <c r="Z1973" s="4"/>
      <c r="AA1973" s="4">
        <v>700</v>
      </c>
      <c r="AB1973" s="18"/>
      <c r="AC1973" s="18">
        <v>35</v>
      </c>
      <c r="AD1973" s="28"/>
      <c r="AE1973" s="26"/>
      <c r="AF1973" s="28"/>
    </row>
    <row r="1974" spans="1:32" ht="12.4" customHeight="1" x14ac:dyDescent="0.25">
      <c r="A1974" s="34">
        <v>45898</v>
      </c>
      <c r="B1974" s="34" t="s">
        <v>45</v>
      </c>
      <c r="C1974" s="35">
        <v>5</v>
      </c>
      <c r="D1974" s="35">
        <v>2</v>
      </c>
      <c r="E1974" s="35"/>
      <c r="F1974" s="35"/>
      <c r="G1974" s="35"/>
      <c r="H1974" s="35"/>
      <c r="I1974" s="4">
        <v>2</v>
      </c>
      <c r="J1974" s="4">
        <v>3.3333333333333333E-2</v>
      </c>
      <c r="K1974" s="4"/>
      <c r="L1974" s="16"/>
      <c r="M1974" s="4"/>
      <c r="N1974" s="4"/>
      <c r="O1974" s="4"/>
      <c r="P1974" s="4"/>
      <c r="Q1974" s="4"/>
      <c r="R1974" s="4"/>
      <c r="S1974" s="4">
        <v>0</v>
      </c>
      <c r="T1974" s="4">
        <v>0</v>
      </c>
      <c r="U1974" s="4">
        <v>3.3333333333333333E-2</v>
      </c>
      <c r="V1974" s="4">
        <v>11.966666666666667</v>
      </c>
      <c r="W1974" s="4">
        <v>12</v>
      </c>
      <c r="X1974" s="4"/>
      <c r="Y1974" s="4"/>
      <c r="Z1974" s="4"/>
      <c r="AA1974" s="4">
        <v>540</v>
      </c>
      <c r="AB1974" s="18"/>
      <c r="AC1974" s="18">
        <v>35</v>
      </c>
      <c r="AD1974" s="28"/>
      <c r="AE1974" s="26"/>
      <c r="AF1974" s="28"/>
    </row>
    <row r="1975" spans="1:32" ht="12.4" customHeight="1" x14ac:dyDescent="0.25">
      <c r="A1975" s="34">
        <v>45898</v>
      </c>
      <c r="B1975" s="34" t="s">
        <v>46</v>
      </c>
      <c r="C1975" s="35">
        <v>5</v>
      </c>
      <c r="D1975" s="35"/>
      <c r="E1975" s="35"/>
      <c r="F1975" s="35"/>
      <c r="G1975" s="35"/>
      <c r="H1975" s="35"/>
      <c r="I1975" s="4">
        <v>0</v>
      </c>
      <c r="J1975" s="4">
        <v>0</v>
      </c>
      <c r="K1975" s="4"/>
      <c r="L1975" s="16"/>
      <c r="M1975" s="4">
        <v>30</v>
      </c>
      <c r="N1975" s="4"/>
      <c r="O1975" s="4"/>
      <c r="P1975" s="4"/>
      <c r="Q1975" s="4">
        <v>30</v>
      </c>
      <c r="R1975" s="4"/>
      <c r="S1975" s="4">
        <v>60</v>
      </c>
      <c r="T1975" s="4">
        <v>1</v>
      </c>
      <c r="U1975" s="4">
        <v>1</v>
      </c>
      <c r="V1975" s="4">
        <v>11</v>
      </c>
      <c r="W1975" s="4">
        <v>12</v>
      </c>
      <c r="X1975" s="4"/>
      <c r="Y1975" s="4"/>
      <c r="Z1975" s="4"/>
      <c r="AA1975" s="4">
        <v>470</v>
      </c>
      <c r="AB1975" s="18"/>
      <c r="AC1975" s="18">
        <v>35</v>
      </c>
      <c r="AD1975" s="28"/>
      <c r="AE1975" s="26"/>
      <c r="AF1975" s="28"/>
    </row>
    <row r="1976" spans="1:32" ht="12.4" customHeight="1" x14ac:dyDescent="0.25">
      <c r="A1976" s="34">
        <v>45899</v>
      </c>
      <c r="B1976" s="34" t="s">
        <v>45</v>
      </c>
      <c r="C1976" s="35">
        <v>1</v>
      </c>
      <c r="D1976" s="35">
        <v>15</v>
      </c>
      <c r="E1976" s="35"/>
      <c r="F1976" s="35"/>
      <c r="G1976" s="35"/>
      <c r="H1976" s="35"/>
      <c r="I1976" s="4">
        <v>15</v>
      </c>
      <c r="J1976" s="4">
        <v>0.25</v>
      </c>
      <c r="K1976" s="4"/>
      <c r="L1976" s="16"/>
      <c r="M1976" s="4"/>
      <c r="N1976" s="4"/>
      <c r="O1976" s="4"/>
      <c r="P1976" s="4"/>
      <c r="Q1976" s="4"/>
      <c r="R1976" s="4"/>
      <c r="S1976" s="4">
        <v>0</v>
      </c>
      <c r="T1976" s="4">
        <v>0</v>
      </c>
      <c r="U1976" s="4">
        <v>0.25</v>
      </c>
      <c r="V1976" s="4">
        <v>11.75</v>
      </c>
      <c r="W1976" s="4">
        <v>12</v>
      </c>
      <c r="X1976" s="4"/>
      <c r="Y1976" s="4">
        <v>2177</v>
      </c>
      <c r="Z1976" s="4"/>
      <c r="AA1976" s="4">
        <v>190</v>
      </c>
      <c r="AB1976" s="18">
        <v>398</v>
      </c>
      <c r="AC1976" s="18">
        <v>35</v>
      </c>
      <c r="AD1976" s="28"/>
      <c r="AE1976" s="26"/>
      <c r="AF1976" s="28"/>
    </row>
    <row r="1977" spans="1:32" ht="12.4" customHeight="1" x14ac:dyDescent="0.25">
      <c r="A1977" s="34">
        <v>45899</v>
      </c>
      <c r="B1977" s="34" t="s">
        <v>46</v>
      </c>
      <c r="C1977" s="35">
        <v>1</v>
      </c>
      <c r="D1977" s="35">
        <v>40</v>
      </c>
      <c r="E1977" s="35"/>
      <c r="F1977" s="35"/>
      <c r="G1977" s="35"/>
      <c r="H1977" s="35"/>
      <c r="I1977" s="4">
        <v>40</v>
      </c>
      <c r="J1977" s="4">
        <v>0.66666666666666663</v>
      </c>
      <c r="K1977" s="4"/>
      <c r="L1977" s="16"/>
      <c r="M1977" s="4"/>
      <c r="N1977" s="4"/>
      <c r="O1977" s="4"/>
      <c r="P1977" s="4"/>
      <c r="Q1977" s="4"/>
      <c r="R1977" s="4"/>
      <c r="S1977" s="4">
        <v>0</v>
      </c>
      <c r="T1977" s="4">
        <v>0</v>
      </c>
      <c r="U1977" s="4">
        <v>0.66666666666666663</v>
      </c>
      <c r="V1977" s="4">
        <v>11.333333333333334</v>
      </c>
      <c r="W1977" s="4">
        <v>12</v>
      </c>
      <c r="X1977" s="4"/>
      <c r="Y1977" s="4"/>
      <c r="Z1977" s="4"/>
      <c r="AA1977" s="4">
        <v>140</v>
      </c>
      <c r="AB1977" s="18"/>
      <c r="AC1977" s="18">
        <v>35</v>
      </c>
      <c r="AD1977" s="28"/>
      <c r="AE1977" s="26"/>
      <c r="AF1977" s="28"/>
    </row>
    <row r="1978" spans="1:32" ht="12.4" customHeight="1" x14ac:dyDescent="0.25">
      <c r="A1978" s="34">
        <v>45899</v>
      </c>
      <c r="B1978" s="34" t="s">
        <v>45</v>
      </c>
      <c r="C1978" s="35">
        <v>2</v>
      </c>
      <c r="D1978" s="35"/>
      <c r="E1978" s="35"/>
      <c r="F1978" s="35"/>
      <c r="G1978" s="35"/>
      <c r="H1978" s="35"/>
      <c r="I1978" s="4">
        <v>0</v>
      </c>
      <c r="J1978" s="4">
        <v>0</v>
      </c>
      <c r="K1978" s="4"/>
      <c r="L1978" s="16"/>
      <c r="M1978" s="4"/>
      <c r="N1978" s="4"/>
      <c r="O1978" s="4"/>
      <c r="P1978" s="4"/>
      <c r="Q1978" s="4"/>
      <c r="R1978" s="4"/>
      <c r="S1978" s="4">
        <v>0</v>
      </c>
      <c r="T1978" s="4">
        <v>0</v>
      </c>
      <c r="U1978" s="4">
        <v>0</v>
      </c>
      <c r="V1978" s="4">
        <v>12</v>
      </c>
      <c r="W1978" s="4">
        <v>12</v>
      </c>
      <c r="X1978" s="4"/>
      <c r="Y1978" s="4"/>
      <c r="Z1978" s="4"/>
      <c r="AA1978" s="4">
        <v>160</v>
      </c>
      <c r="AB1978" s="18"/>
      <c r="AC1978" s="18">
        <v>35</v>
      </c>
      <c r="AD1978" s="28"/>
      <c r="AE1978" s="26"/>
      <c r="AF1978" s="28"/>
    </row>
    <row r="1979" spans="1:32" ht="12.4" customHeight="1" x14ac:dyDescent="0.25">
      <c r="A1979" s="34">
        <v>45899</v>
      </c>
      <c r="B1979" s="34" t="s">
        <v>46</v>
      </c>
      <c r="C1979" s="35">
        <v>2</v>
      </c>
      <c r="D1979" s="35"/>
      <c r="E1979" s="35"/>
      <c r="F1979" s="35"/>
      <c r="G1979" s="35"/>
      <c r="H1979" s="35"/>
      <c r="I1979" s="4">
        <v>0</v>
      </c>
      <c r="J1979" s="4">
        <v>0</v>
      </c>
      <c r="K1979" s="4"/>
      <c r="L1979" s="16"/>
      <c r="M1979" s="4"/>
      <c r="N1979" s="4"/>
      <c r="O1979" s="4"/>
      <c r="P1979" s="4"/>
      <c r="Q1979" s="4"/>
      <c r="R1979" s="4"/>
      <c r="S1979" s="4">
        <v>0</v>
      </c>
      <c r="T1979" s="4">
        <v>0</v>
      </c>
      <c r="U1979" s="4">
        <v>0</v>
      </c>
      <c r="V1979" s="4">
        <v>12</v>
      </c>
      <c r="W1979" s="4">
        <v>12</v>
      </c>
      <c r="X1979" s="4"/>
      <c r="Y1979" s="4"/>
      <c r="Z1979" s="4"/>
      <c r="AA1979" s="4">
        <v>165</v>
      </c>
      <c r="AB1979" s="18"/>
      <c r="AC1979" s="18">
        <v>35</v>
      </c>
      <c r="AD1979" s="28"/>
      <c r="AE1979" s="26"/>
      <c r="AF1979" s="28"/>
    </row>
    <row r="1980" spans="1:32" ht="12.4" customHeight="1" x14ac:dyDescent="0.25">
      <c r="A1980" s="34">
        <v>45899</v>
      </c>
      <c r="B1980" s="34" t="s">
        <v>45</v>
      </c>
      <c r="C1980" s="35">
        <v>3</v>
      </c>
      <c r="D1980" s="35"/>
      <c r="E1980" s="35"/>
      <c r="F1980" s="35"/>
      <c r="G1980" s="35"/>
      <c r="H1980" s="35"/>
      <c r="I1980" s="4">
        <v>0</v>
      </c>
      <c r="J1980" s="4">
        <v>0</v>
      </c>
      <c r="K1980" s="4"/>
      <c r="L1980" s="16"/>
      <c r="M1980" s="4"/>
      <c r="N1980" s="4"/>
      <c r="O1980" s="4"/>
      <c r="P1980" s="4"/>
      <c r="Q1980" s="4"/>
      <c r="R1980" s="4"/>
      <c r="S1980" s="4">
        <v>0</v>
      </c>
      <c r="T1980" s="4">
        <v>0</v>
      </c>
      <c r="U1980" s="4">
        <v>0</v>
      </c>
      <c r="V1980" s="4">
        <v>12</v>
      </c>
      <c r="W1980" s="4">
        <v>12</v>
      </c>
      <c r="X1980" s="4"/>
      <c r="Y1980" s="4"/>
      <c r="Z1980" s="4"/>
      <c r="AA1980" s="4">
        <v>330</v>
      </c>
      <c r="AB1980" s="18"/>
      <c r="AC1980" s="18">
        <v>35</v>
      </c>
      <c r="AD1980" s="28"/>
      <c r="AE1980" s="26"/>
      <c r="AF1980" s="28"/>
    </row>
    <row r="1981" spans="1:32" ht="12.4" customHeight="1" x14ac:dyDescent="0.25">
      <c r="A1981" s="34">
        <v>45899</v>
      </c>
      <c r="B1981" s="34" t="s">
        <v>46</v>
      </c>
      <c r="C1981" s="35">
        <v>3</v>
      </c>
      <c r="D1981" s="35"/>
      <c r="E1981" s="35"/>
      <c r="F1981" s="35"/>
      <c r="G1981" s="35"/>
      <c r="H1981" s="35"/>
      <c r="I1981" s="4">
        <v>0</v>
      </c>
      <c r="J1981" s="4">
        <v>0</v>
      </c>
      <c r="K1981" s="4"/>
      <c r="L1981" s="16"/>
      <c r="M1981" s="4"/>
      <c r="N1981" s="4"/>
      <c r="O1981" s="4"/>
      <c r="P1981" s="4"/>
      <c r="Q1981" s="4"/>
      <c r="R1981" s="4"/>
      <c r="S1981" s="4">
        <v>0</v>
      </c>
      <c r="T1981" s="4">
        <v>0</v>
      </c>
      <c r="U1981" s="4">
        <v>0</v>
      </c>
      <c r="V1981" s="4">
        <v>12</v>
      </c>
      <c r="W1981" s="4">
        <v>12</v>
      </c>
      <c r="X1981" s="4"/>
      <c r="Y1981" s="4"/>
      <c r="Z1981" s="4"/>
      <c r="AA1981" s="4">
        <v>320</v>
      </c>
      <c r="AB1981" s="18"/>
      <c r="AC1981" s="18">
        <v>35</v>
      </c>
      <c r="AD1981" s="28"/>
      <c r="AE1981" s="26"/>
      <c r="AF1981" s="28"/>
    </row>
    <row r="1982" spans="1:32" ht="12.4" customHeight="1" x14ac:dyDescent="0.25">
      <c r="A1982" s="34">
        <v>45899</v>
      </c>
      <c r="B1982" s="34" t="s">
        <v>45</v>
      </c>
      <c r="C1982" s="35">
        <v>4</v>
      </c>
      <c r="D1982" s="35">
        <v>20</v>
      </c>
      <c r="E1982" s="35"/>
      <c r="F1982" s="35"/>
      <c r="G1982" s="35"/>
      <c r="H1982" s="35"/>
      <c r="I1982" s="4">
        <v>20</v>
      </c>
      <c r="J1982" s="4">
        <v>0.33333333333333331</v>
      </c>
      <c r="K1982" s="4"/>
      <c r="L1982" s="16"/>
      <c r="M1982" s="4"/>
      <c r="N1982" s="4"/>
      <c r="O1982" s="4"/>
      <c r="P1982" s="4"/>
      <c r="Q1982" s="4"/>
      <c r="R1982" s="4"/>
      <c r="S1982" s="4">
        <v>0</v>
      </c>
      <c r="T1982" s="4">
        <v>0</v>
      </c>
      <c r="U1982" s="4">
        <v>0.33333333333333331</v>
      </c>
      <c r="V1982" s="4">
        <v>11.666666666666666</v>
      </c>
      <c r="W1982" s="4">
        <v>12</v>
      </c>
      <c r="X1982" s="4"/>
      <c r="Y1982" s="4"/>
      <c r="Z1982" s="4"/>
      <c r="AA1982" s="4">
        <v>780</v>
      </c>
      <c r="AB1982" s="18"/>
      <c r="AC1982" s="18">
        <v>35</v>
      </c>
      <c r="AD1982" s="28"/>
      <c r="AE1982" s="26"/>
      <c r="AF1982" s="28"/>
    </row>
    <row r="1983" spans="1:32" ht="12.4" customHeight="1" x14ac:dyDescent="0.25">
      <c r="A1983" s="34">
        <v>45899</v>
      </c>
      <c r="B1983" s="34" t="s">
        <v>46</v>
      </c>
      <c r="C1983" s="35">
        <v>4</v>
      </c>
      <c r="D1983" s="35"/>
      <c r="E1983" s="35"/>
      <c r="F1983" s="35"/>
      <c r="G1983" s="35"/>
      <c r="H1983" s="35"/>
      <c r="I1983" s="4">
        <v>0</v>
      </c>
      <c r="J1983" s="4">
        <v>0</v>
      </c>
      <c r="K1983" s="4"/>
      <c r="L1983" s="16"/>
      <c r="M1983" s="4"/>
      <c r="N1983" s="4"/>
      <c r="O1983" s="4"/>
      <c r="P1983" s="4"/>
      <c r="Q1983" s="4"/>
      <c r="R1983" s="4"/>
      <c r="S1983" s="4">
        <v>0</v>
      </c>
      <c r="T1983" s="4">
        <v>0</v>
      </c>
      <c r="U1983" s="4">
        <v>0</v>
      </c>
      <c r="V1983" s="4">
        <v>12</v>
      </c>
      <c r="W1983" s="4">
        <v>12</v>
      </c>
      <c r="X1983" s="4"/>
      <c r="Y1983" s="4"/>
      <c r="Z1983" s="4"/>
      <c r="AA1983" s="4">
        <v>790</v>
      </c>
      <c r="AB1983" s="18"/>
      <c r="AC1983" s="18">
        <v>35</v>
      </c>
      <c r="AD1983" s="28"/>
      <c r="AE1983" s="26"/>
      <c r="AF1983" s="28"/>
    </row>
    <row r="1984" spans="1:32" ht="12.4" customHeight="1" x14ac:dyDescent="0.25">
      <c r="A1984" s="34">
        <v>45899</v>
      </c>
      <c r="B1984" s="34" t="s">
        <v>45</v>
      </c>
      <c r="C1984" s="35">
        <v>5</v>
      </c>
      <c r="D1984" s="35"/>
      <c r="E1984" s="35"/>
      <c r="F1984" s="35"/>
      <c r="G1984" s="35"/>
      <c r="H1984" s="35"/>
      <c r="I1984" s="4">
        <v>0</v>
      </c>
      <c r="J1984" s="4">
        <v>0</v>
      </c>
      <c r="K1984" s="4"/>
      <c r="L1984" s="16"/>
      <c r="M1984" s="4"/>
      <c r="N1984" s="4"/>
      <c r="O1984" s="4"/>
      <c r="P1984" s="4"/>
      <c r="Q1984" s="4"/>
      <c r="R1984" s="4"/>
      <c r="S1984" s="4">
        <v>0</v>
      </c>
      <c r="T1984" s="4">
        <v>0</v>
      </c>
      <c r="U1984" s="4">
        <v>0</v>
      </c>
      <c r="V1984" s="4">
        <v>12</v>
      </c>
      <c r="W1984" s="4">
        <v>12</v>
      </c>
      <c r="X1984" s="4"/>
      <c r="Y1984" s="4"/>
      <c r="Z1984" s="4"/>
      <c r="AA1984" s="4">
        <v>500</v>
      </c>
      <c r="AB1984" s="18"/>
      <c r="AC1984" s="18">
        <v>35</v>
      </c>
      <c r="AD1984" s="28"/>
      <c r="AE1984" s="26"/>
      <c r="AF1984" s="28"/>
    </row>
    <row r="1985" spans="1:32" ht="12.4" customHeight="1" x14ac:dyDescent="0.25">
      <c r="A1985" s="34">
        <v>45899</v>
      </c>
      <c r="B1985" s="34" t="s">
        <v>46</v>
      </c>
      <c r="C1985" s="35">
        <v>5</v>
      </c>
      <c r="D1985" s="35"/>
      <c r="E1985" s="35"/>
      <c r="F1985" s="35"/>
      <c r="G1985" s="35"/>
      <c r="H1985" s="35"/>
      <c r="I1985" s="4">
        <v>0</v>
      </c>
      <c r="J1985" s="4">
        <v>0</v>
      </c>
      <c r="K1985" s="4"/>
      <c r="L1985" s="16"/>
      <c r="M1985" s="4"/>
      <c r="N1985" s="4"/>
      <c r="O1985" s="4"/>
      <c r="P1985" s="4"/>
      <c r="Q1985" s="4"/>
      <c r="R1985" s="4"/>
      <c r="S1985" s="4">
        <v>0</v>
      </c>
      <c r="T1985" s="4">
        <v>0</v>
      </c>
      <c r="U1985" s="4">
        <v>0</v>
      </c>
      <c r="V1985" s="4">
        <v>12</v>
      </c>
      <c r="W1985" s="4">
        <v>12</v>
      </c>
      <c r="X1985" s="4"/>
      <c r="Y1985" s="4"/>
      <c r="Z1985" s="4"/>
      <c r="AA1985" s="4">
        <v>525</v>
      </c>
      <c r="AB1985" s="18"/>
      <c r="AC1985" s="18">
        <v>35</v>
      </c>
      <c r="AD1985" s="28"/>
      <c r="AE1985" s="26"/>
      <c r="AF1985" s="28"/>
    </row>
    <row r="1986" spans="1:32" ht="12.4" customHeight="1" x14ac:dyDescent="0.25">
      <c r="A1986" s="34">
        <v>45900</v>
      </c>
      <c r="B1986" s="34" t="s">
        <v>45</v>
      </c>
      <c r="C1986" s="35">
        <v>1</v>
      </c>
      <c r="D1986" s="35"/>
      <c r="E1986" s="35"/>
      <c r="F1986" s="35"/>
      <c r="G1986" s="35"/>
      <c r="H1986" s="35"/>
      <c r="I1986" s="4">
        <v>0</v>
      </c>
      <c r="J1986" s="4">
        <v>0</v>
      </c>
      <c r="K1986" s="4"/>
      <c r="L1986" s="16"/>
      <c r="M1986" s="4"/>
      <c r="N1986" s="4"/>
      <c r="O1986" s="4"/>
      <c r="P1986" s="4"/>
      <c r="Q1986" s="4"/>
      <c r="R1986" s="4"/>
      <c r="S1986" s="4">
        <v>0</v>
      </c>
      <c r="T1986" s="4">
        <v>0</v>
      </c>
      <c r="U1986" s="4">
        <v>0</v>
      </c>
      <c r="V1986" s="4">
        <v>12</v>
      </c>
      <c r="W1986" s="4">
        <v>12</v>
      </c>
      <c r="X1986" s="4"/>
      <c r="Y1986" s="4">
        <v>2085</v>
      </c>
      <c r="Z1986" s="4"/>
      <c r="AA1986" s="4">
        <v>90</v>
      </c>
      <c r="AB1986" s="18">
        <v>398</v>
      </c>
      <c r="AC1986" s="18">
        <v>35</v>
      </c>
      <c r="AD1986" s="28"/>
      <c r="AE1986" s="26"/>
      <c r="AF1986" s="28"/>
    </row>
    <row r="1987" spans="1:32" ht="12.4" customHeight="1" x14ac:dyDescent="0.25">
      <c r="A1987" s="34">
        <v>45900</v>
      </c>
      <c r="B1987" s="34" t="s">
        <v>46</v>
      </c>
      <c r="C1987" s="35">
        <v>1</v>
      </c>
      <c r="D1987" s="35"/>
      <c r="E1987" s="35"/>
      <c r="F1987" s="35"/>
      <c r="G1987" s="35"/>
      <c r="H1987" s="35"/>
      <c r="I1987" s="4">
        <v>0</v>
      </c>
      <c r="J1987" s="4">
        <v>0</v>
      </c>
      <c r="K1987" s="4"/>
      <c r="L1987" s="16"/>
      <c r="M1987" s="4"/>
      <c r="N1987" s="4"/>
      <c r="O1987" s="4"/>
      <c r="P1987" s="4"/>
      <c r="Q1987" s="4"/>
      <c r="R1987" s="4"/>
      <c r="S1987" s="4">
        <v>0</v>
      </c>
      <c r="T1987" s="4">
        <v>0</v>
      </c>
      <c r="U1987" s="4">
        <v>0</v>
      </c>
      <c r="V1987" s="4">
        <v>12</v>
      </c>
      <c r="W1987" s="4">
        <v>12</v>
      </c>
      <c r="X1987" s="4"/>
      <c r="Y1987" s="4"/>
      <c r="Z1987" s="4"/>
      <c r="AA1987" s="4">
        <v>110</v>
      </c>
      <c r="AB1987" s="18"/>
      <c r="AC1987" s="18">
        <v>35</v>
      </c>
      <c r="AD1987" s="28"/>
      <c r="AE1987" s="26"/>
      <c r="AF1987" s="28"/>
    </row>
    <row r="1988" spans="1:32" ht="12.4" customHeight="1" x14ac:dyDescent="0.25">
      <c r="A1988" s="34">
        <v>45900</v>
      </c>
      <c r="B1988" s="34" t="s">
        <v>45</v>
      </c>
      <c r="C1988" s="35">
        <v>2</v>
      </c>
      <c r="D1988" s="35"/>
      <c r="E1988" s="35"/>
      <c r="F1988" s="35"/>
      <c r="G1988" s="35"/>
      <c r="H1988" s="35"/>
      <c r="I1988" s="4">
        <v>0</v>
      </c>
      <c r="J1988" s="4">
        <v>0</v>
      </c>
      <c r="K1988" s="4"/>
      <c r="L1988" s="16"/>
      <c r="M1988" s="4"/>
      <c r="N1988" s="4"/>
      <c r="O1988" s="4"/>
      <c r="P1988" s="4"/>
      <c r="Q1988" s="4"/>
      <c r="R1988" s="4"/>
      <c r="S1988" s="4">
        <v>0</v>
      </c>
      <c r="T1988" s="4">
        <v>0</v>
      </c>
      <c r="U1988" s="4">
        <v>0</v>
      </c>
      <c r="V1988" s="4">
        <v>12</v>
      </c>
      <c r="W1988" s="4">
        <v>12</v>
      </c>
      <c r="X1988" s="4"/>
      <c r="Y1988" s="4"/>
      <c r="Z1988" s="4"/>
      <c r="AA1988" s="4">
        <v>130</v>
      </c>
      <c r="AB1988" s="18"/>
      <c r="AC1988" s="18">
        <v>35</v>
      </c>
      <c r="AD1988" s="28"/>
      <c r="AE1988" s="26"/>
      <c r="AF1988" s="28"/>
    </row>
    <row r="1989" spans="1:32" ht="12.4" customHeight="1" x14ac:dyDescent="0.25">
      <c r="A1989" s="34">
        <v>45900</v>
      </c>
      <c r="B1989" s="34" t="s">
        <v>46</v>
      </c>
      <c r="C1989" s="35">
        <v>2</v>
      </c>
      <c r="D1989" s="35">
        <v>20</v>
      </c>
      <c r="E1989" s="35"/>
      <c r="F1989" s="35"/>
      <c r="G1989" s="35"/>
      <c r="H1989" s="35"/>
      <c r="I1989" s="4">
        <v>20</v>
      </c>
      <c r="J1989" s="4">
        <v>0.33333333333333331</v>
      </c>
      <c r="K1989" s="4"/>
      <c r="L1989" s="16"/>
      <c r="M1989" s="4"/>
      <c r="N1989" s="4"/>
      <c r="O1989" s="4"/>
      <c r="P1989" s="4"/>
      <c r="Q1989" s="4"/>
      <c r="R1989" s="4"/>
      <c r="S1989" s="4">
        <v>0</v>
      </c>
      <c r="T1989" s="4">
        <v>0</v>
      </c>
      <c r="U1989" s="4">
        <v>0.33333333333333331</v>
      </c>
      <c r="V1989" s="4">
        <v>11.666666666666666</v>
      </c>
      <c r="W1989" s="4">
        <v>12</v>
      </c>
      <c r="X1989" s="4"/>
      <c r="Y1989" s="4"/>
      <c r="Z1989" s="4"/>
      <c r="AA1989" s="4">
        <v>160</v>
      </c>
      <c r="AB1989" s="18"/>
      <c r="AC1989" s="18">
        <v>35</v>
      </c>
      <c r="AD1989" s="28"/>
      <c r="AE1989" s="26"/>
      <c r="AF1989" s="28"/>
    </row>
    <row r="1990" spans="1:32" ht="12.4" customHeight="1" x14ac:dyDescent="0.25">
      <c r="A1990" s="34">
        <v>45900</v>
      </c>
      <c r="B1990" s="34" t="s">
        <v>45</v>
      </c>
      <c r="C1990" s="35">
        <v>3</v>
      </c>
      <c r="D1990" s="35">
        <v>20</v>
      </c>
      <c r="E1990" s="35"/>
      <c r="F1990" s="35"/>
      <c r="G1990" s="35"/>
      <c r="H1990" s="35"/>
      <c r="I1990" s="4">
        <v>20</v>
      </c>
      <c r="J1990" s="4">
        <v>0.33333333333333331</v>
      </c>
      <c r="K1990" s="4"/>
      <c r="L1990" s="16"/>
      <c r="M1990" s="4"/>
      <c r="N1990" s="4"/>
      <c r="O1990" s="4"/>
      <c r="P1990" s="4"/>
      <c r="Q1990" s="4"/>
      <c r="R1990" s="4"/>
      <c r="S1990" s="4">
        <v>0</v>
      </c>
      <c r="T1990" s="4">
        <v>0</v>
      </c>
      <c r="U1990" s="4">
        <v>0.33333333333333331</v>
      </c>
      <c r="V1990" s="4">
        <v>11.666666666666666</v>
      </c>
      <c r="W1990" s="4">
        <v>12</v>
      </c>
      <c r="X1990" s="4"/>
      <c r="Y1990" s="4"/>
      <c r="Z1990" s="4"/>
      <c r="AA1990" s="4">
        <v>250</v>
      </c>
      <c r="AB1990" s="18"/>
      <c r="AC1990" s="18">
        <v>35</v>
      </c>
      <c r="AD1990" s="28"/>
      <c r="AE1990" s="26"/>
      <c r="AF1990" s="28"/>
    </row>
    <row r="1991" spans="1:32" ht="12.4" customHeight="1" x14ac:dyDescent="0.25">
      <c r="A1991" s="34">
        <v>45900</v>
      </c>
      <c r="B1991" s="34" t="s">
        <v>46</v>
      </c>
      <c r="C1991" s="35">
        <v>3</v>
      </c>
      <c r="D1991" s="35"/>
      <c r="E1991" s="35"/>
      <c r="F1991" s="35"/>
      <c r="G1991" s="35"/>
      <c r="H1991" s="35"/>
      <c r="I1991" s="4">
        <v>0</v>
      </c>
      <c r="J1991" s="4">
        <v>0</v>
      </c>
      <c r="K1991" s="4"/>
      <c r="L1991" s="16"/>
      <c r="M1991" s="4"/>
      <c r="N1991" s="4"/>
      <c r="O1991" s="4"/>
      <c r="P1991" s="4"/>
      <c r="Q1991" s="4"/>
      <c r="R1991" s="4"/>
      <c r="S1991" s="4">
        <v>0</v>
      </c>
      <c r="T1991" s="4">
        <v>0</v>
      </c>
      <c r="U1991" s="4">
        <v>0</v>
      </c>
      <c r="V1991" s="4">
        <v>12</v>
      </c>
      <c r="W1991" s="4">
        <v>12</v>
      </c>
      <c r="X1991" s="4"/>
      <c r="Y1991" s="4"/>
      <c r="Z1991" s="4"/>
      <c r="AA1991" s="4">
        <v>330</v>
      </c>
      <c r="AB1991" s="18"/>
      <c r="AC1991" s="18">
        <v>35</v>
      </c>
      <c r="AD1991" s="28"/>
      <c r="AE1991" s="26"/>
      <c r="AF1991" s="28"/>
    </row>
    <row r="1992" spans="1:32" ht="12.4" customHeight="1" x14ac:dyDescent="0.25">
      <c r="A1992" s="34">
        <v>45900</v>
      </c>
      <c r="B1992" s="34" t="s">
        <v>45</v>
      </c>
      <c r="C1992" s="35">
        <v>4</v>
      </c>
      <c r="D1992" s="35"/>
      <c r="E1992" s="35"/>
      <c r="F1992" s="35"/>
      <c r="G1992" s="35"/>
      <c r="H1992" s="35"/>
      <c r="I1992" s="4">
        <v>0</v>
      </c>
      <c r="J1992" s="4">
        <v>0</v>
      </c>
      <c r="K1992" s="4"/>
      <c r="L1992" s="16"/>
      <c r="M1992" s="4"/>
      <c r="N1992" s="4"/>
      <c r="O1992" s="4"/>
      <c r="P1992" s="4"/>
      <c r="Q1992" s="4"/>
      <c r="R1992" s="4"/>
      <c r="S1992" s="4">
        <v>0</v>
      </c>
      <c r="T1992" s="4">
        <v>0</v>
      </c>
      <c r="U1992" s="4">
        <v>0</v>
      </c>
      <c r="V1992" s="4">
        <v>12</v>
      </c>
      <c r="W1992" s="4">
        <v>12</v>
      </c>
      <c r="X1992" s="4"/>
      <c r="Y1992" s="4"/>
      <c r="Z1992" s="4"/>
      <c r="AA1992" s="4">
        <v>780</v>
      </c>
      <c r="AB1992" s="18"/>
      <c r="AC1992" s="18">
        <v>35</v>
      </c>
      <c r="AD1992" s="28"/>
      <c r="AE1992" s="26"/>
      <c r="AF1992" s="28"/>
    </row>
    <row r="1993" spans="1:32" ht="12.4" customHeight="1" x14ac:dyDescent="0.25">
      <c r="A1993" s="34">
        <v>45900</v>
      </c>
      <c r="B1993" s="34" t="s">
        <v>46</v>
      </c>
      <c r="C1993" s="35">
        <v>4</v>
      </c>
      <c r="D1993" s="35"/>
      <c r="E1993" s="35"/>
      <c r="F1993" s="35"/>
      <c r="G1993" s="35"/>
      <c r="H1993" s="35"/>
      <c r="I1993" s="4">
        <v>0</v>
      </c>
      <c r="J1993" s="4">
        <v>0</v>
      </c>
      <c r="K1993" s="4"/>
      <c r="L1993" s="16"/>
      <c r="M1993" s="4"/>
      <c r="N1993" s="4"/>
      <c r="O1993" s="4"/>
      <c r="P1993" s="4"/>
      <c r="Q1993" s="4"/>
      <c r="R1993" s="4"/>
      <c r="S1993" s="4">
        <v>0</v>
      </c>
      <c r="T1993" s="4">
        <v>0</v>
      </c>
      <c r="U1993" s="4">
        <v>0</v>
      </c>
      <c r="V1993" s="4">
        <v>12</v>
      </c>
      <c r="W1993" s="4">
        <v>12</v>
      </c>
      <c r="X1993" s="4"/>
      <c r="Y1993" s="4"/>
      <c r="Z1993" s="4"/>
      <c r="AA1993" s="4">
        <v>710</v>
      </c>
      <c r="AB1993" s="18"/>
      <c r="AC1993" s="18">
        <v>35</v>
      </c>
      <c r="AD1993" s="28"/>
      <c r="AE1993" s="26"/>
      <c r="AF1993" s="28"/>
    </row>
    <row r="1994" spans="1:32" ht="12.4" customHeight="1" x14ac:dyDescent="0.25">
      <c r="A1994" s="34">
        <v>45900</v>
      </c>
      <c r="B1994" s="34" t="s">
        <v>45</v>
      </c>
      <c r="C1994" s="35">
        <v>5</v>
      </c>
      <c r="D1994" s="35"/>
      <c r="E1994" s="35"/>
      <c r="F1994" s="35"/>
      <c r="G1994" s="35"/>
      <c r="H1994" s="35"/>
      <c r="I1994" s="4">
        <v>0</v>
      </c>
      <c r="J1994" s="4">
        <v>0</v>
      </c>
      <c r="K1994" s="4"/>
      <c r="L1994" s="16"/>
      <c r="M1994" s="4"/>
      <c r="N1994" s="4"/>
      <c r="O1994" s="4"/>
      <c r="P1994" s="4"/>
      <c r="Q1994" s="4"/>
      <c r="R1994" s="4"/>
      <c r="S1994" s="4">
        <v>0</v>
      </c>
      <c r="T1994" s="4">
        <v>0</v>
      </c>
      <c r="U1994" s="4">
        <v>0</v>
      </c>
      <c r="V1994" s="4">
        <v>12</v>
      </c>
      <c r="W1994" s="4">
        <v>12</v>
      </c>
      <c r="X1994" s="4"/>
      <c r="Y1994" s="4"/>
      <c r="Z1994" s="4"/>
      <c r="AA1994" s="4">
        <v>520</v>
      </c>
      <c r="AB1994" s="18"/>
      <c r="AC1994" s="18">
        <v>35</v>
      </c>
      <c r="AD1994" s="28"/>
      <c r="AE1994" s="26"/>
      <c r="AF1994" s="28"/>
    </row>
    <row r="1995" spans="1:32" ht="17.25" customHeight="1" x14ac:dyDescent="0.25">
      <c r="A1995" s="34">
        <v>45900</v>
      </c>
      <c r="B1995" s="34" t="s">
        <v>46</v>
      </c>
      <c r="C1995" s="35">
        <v>5</v>
      </c>
      <c r="D1995" s="35">
        <v>20</v>
      </c>
      <c r="E1995" s="35"/>
      <c r="F1995" s="35"/>
      <c r="G1995" s="35"/>
      <c r="H1995" s="35"/>
      <c r="I1995" s="4">
        <v>20</v>
      </c>
      <c r="J1995" s="4">
        <v>0.33333333333333331</v>
      </c>
      <c r="K1995" s="4"/>
      <c r="L1995" s="16"/>
      <c r="M1995" s="4"/>
      <c r="N1995" s="4"/>
      <c r="O1995" s="4"/>
      <c r="P1995" s="4"/>
      <c r="Q1995" s="4"/>
      <c r="R1995" s="4"/>
      <c r="S1995" s="4">
        <v>0</v>
      </c>
      <c r="T1995" s="4">
        <v>0</v>
      </c>
      <c r="U1995" s="4">
        <v>0.33333333333333331</v>
      </c>
      <c r="V1995" s="4">
        <v>11.666666666666666</v>
      </c>
      <c r="W1995" s="4">
        <v>12</v>
      </c>
      <c r="X1995" s="4"/>
      <c r="Y1995" s="4"/>
      <c r="Z1995" s="4"/>
      <c r="AA1995" s="4">
        <v>520</v>
      </c>
      <c r="AB1995" s="18"/>
      <c r="AC1995" s="18">
        <v>35</v>
      </c>
      <c r="AD1995" s="28"/>
      <c r="AE1995" s="26"/>
      <c r="AF1995" s="28"/>
    </row>
    <row r="1996" spans="1:32" ht="24" x14ac:dyDescent="0.6">
      <c r="A1996" s="41">
        <v>114</v>
      </c>
      <c r="G1996" s="39"/>
      <c r="H1996" s="39"/>
      <c r="J1996" s="40"/>
      <c r="X1996" s="37"/>
      <c r="AD1996" s="23"/>
      <c r="AE1996" s="27"/>
      <c r="AF1996" s="23"/>
    </row>
    <row r="1997" spans="1:32" ht="24" x14ac:dyDescent="0.6">
      <c r="D1997" s="39"/>
      <c r="AD1997" s="23"/>
      <c r="AE1997" s="27"/>
      <c r="AF1997" s="23"/>
    </row>
    <row r="1998" spans="1:32" ht="24" x14ac:dyDescent="0.6">
      <c r="K1998" s="31"/>
      <c r="V1998" s="31"/>
      <c r="AD1998" s="23"/>
      <c r="AE1998" s="27"/>
      <c r="AF1998" s="23"/>
    </row>
  </sheetData>
  <autoFilter ref="A2:AF1995" xr:uid="{4F046A18-6A93-4714-93D8-4CC33CC9ADAF}"/>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D5214-B6B6-48D6-A206-74A8F38B04F0}">
  <dimension ref="A1:AT3950"/>
  <sheetViews>
    <sheetView topLeftCell="A2960" workbookViewId="0">
      <selection activeCell="A2963" sqref="A2963"/>
    </sheetView>
  </sheetViews>
  <sheetFormatPr defaultRowHeight="15" x14ac:dyDescent="0.25"/>
  <cols>
    <col min="1" max="1" width="8.140625" bestFit="1" customWidth="1"/>
    <col min="2" max="2" width="8.5703125" bestFit="1" customWidth="1"/>
    <col min="3" max="3" width="9" bestFit="1" customWidth="1"/>
    <col min="4" max="4" width="8.42578125" bestFit="1" customWidth="1"/>
    <col min="5" max="5" width="51.28515625" bestFit="1" customWidth="1"/>
    <col min="6" max="6" width="12.28515625" bestFit="1" customWidth="1"/>
    <col min="7" max="7" width="10.5703125" bestFit="1" customWidth="1"/>
    <col min="8" max="8" width="10.85546875" bestFit="1" customWidth="1"/>
    <col min="9" max="9" width="11" bestFit="1" customWidth="1"/>
    <col min="10" max="10" width="17.140625" bestFit="1" customWidth="1"/>
    <col min="11" max="11" width="10.85546875" bestFit="1" customWidth="1"/>
    <col min="12" max="12" width="14.7109375" bestFit="1" customWidth="1"/>
    <col min="13" max="13" width="13" bestFit="1" customWidth="1"/>
    <col min="14" max="14" width="15.85546875" bestFit="1" customWidth="1"/>
    <col min="15" max="15" width="13.5703125" bestFit="1" customWidth="1"/>
    <col min="16" max="16" width="17.28515625" bestFit="1" customWidth="1"/>
    <col min="17" max="17" width="14.42578125" bestFit="1" customWidth="1"/>
    <col min="18" max="18" width="18.85546875" bestFit="1" customWidth="1"/>
    <col min="19" max="19" width="13.5703125" bestFit="1" customWidth="1"/>
    <col min="20" max="20" width="6.140625" bestFit="1" customWidth="1"/>
    <col min="21" max="21" width="15.140625" bestFit="1" customWidth="1"/>
    <col min="22" max="22" width="13.140625" bestFit="1" customWidth="1"/>
    <col min="23" max="23" width="13.5703125" bestFit="1" customWidth="1"/>
    <col min="24" max="24" width="7.5703125" bestFit="1" customWidth="1"/>
    <col min="25" max="25" width="8.7109375" bestFit="1" customWidth="1"/>
    <col min="26" max="27" width="7" bestFit="1" customWidth="1"/>
    <col min="28" max="28" width="11.140625" bestFit="1" customWidth="1"/>
    <col min="30" max="30" width="9.42578125" bestFit="1" customWidth="1"/>
    <col min="31" max="31" width="8.42578125" bestFit="1" customWidth="1"/>
    <col min="32" max="32" width="15.140625" bestFit="1" customWidth="1"/>
    <col min="33" max="33" width="14.7109375" bestFit="1" customWidth="1"/>
    <col min="34" max="34" width="12.5703125" bestFit="1" customWidth="1"/>
    <col min="35" max="35" width="12.140625" bestFit="1" customWidth="1"/>
    <col min="36" max="36" width="15.7109375" bestFit="1" customWidth="1"/>
    <col min="37" max="37" width="16.7109375" bestFit="1" customWidth="1"/>
    <col min="38" max="38" width="11.140625" bestFit="1" customWidth="1"/>
    <col min="39" max="39" width="21.5703125" bestFit="1" customWidth="1"/>
    <col min="40" max="40" width="10.140625" bestFit="1" customWidth="1"/>
    <col min="41" max="41" width="9.28515625" bestFit="1" customWidth="1"/>
    <col min="42" max="42" width="12.28515625" bestFit="1" customWidth="1"/>
    <col min="43" max="43" width="11.85546875" bestFit="1" customWidth="1"/>
    <col min="44" max="44" width="10.140625" bestFit="1" customWidth="1"/>
    <col min="45" max="45" width="15.42578125" bestFit="1" customWidth="1"/>
    <col min="46" max="46" width="13.85546875" bestFit="1" customWidth="1"/>
  </cols>
  <sheetData>
    <row r="1" spans="1:46" x14ac:dyDescent="0.25">
      <c r="A1" t="s">
        <v>39</v>
      </c>
      <c r="B1" t="s">
        <v>56</v>
      </c>
      <c r="C1" t="s">
        <v>57</v>
      </c>
      <c r="D1" t="s">
        <v>1</v>
      </c>
      <c r="E1" t="s">
        <v>58</v>
      </c>
      <c r="F1" t="s">
        <v>59</v>
      </c>
      <c r="G1" t="s">
        <v>60</v>
      </c>
      <c r="H1" t="s">
        <v>61</v>
      </c>
      <c r="I1" t="s">
        <v>62</v>
      </c>
      <c r="J1" t="s">
        <v>63</v>
      </c>
      <c r="K1" t="s">
        <v>64</v>
      </c>
      <c r="L1" t="s">
        <v>65</v>
      </c>
      <c r="M1" t="s">
        <v>66</v>
      </c>
      <c r="N1" t="s">
        <v>67</v>
      </c>
      <c r="O1" t="s">
        <v>68</v>
      </c>
      <c r="P1" t="s">
        <v>69</v>
      </c>
      <c r="Q1" t="s">
        <v>70</v>
      </c>
      <c r="R1" t="s">
        <v>71</v>
      </c>
      <c r="S1" t="s">
        <v>44</v>
      </c>
      <c r="T1" t="s">
        <v>35</v>
      </c>
      <c r="U1" t="s">
        <v>72</v>
      </c>
      <c r="V1" t="s">
        <v>3</v>
      </c>
      <c r="W1" t="s">
        <v>4</v>
      </c>
      <c r="X1" t="s">
        <v>5</v>
      </c>
      <c r="Y1" t="s">
        <v>41</v>
      </c>
      <c r="Z1" t="s">
        <v>6</v>
      </c>
      <c r="AA1" t="s">
        <v>36</v>
      </c>
      <c r="AB1" t="s">
        <v>40</v>
      </c>
      <c r="AC1" t="s">
        <v>73</v>
      </c>
      <c r="AD1" t="s">
        <v>42</v>
      </c>
      <c r="AE1" t="s">
        <v>74</v>
      </c>
      <c r="AF1" t="s">
        <v>75</v>
      </c>
      <c r="AG1" t="s">
        <v>7</v>
      </c>
      <c r="AH1" t="s">
        <v>8</v>
      </c>
      <c r="AI1" t="s">
        <v>9</v>
      </c>
      <c r="AJ1" t="s">
        <v>10</v>
      </c>
      <c r="AK1" t="s">
        <v>19</v>
      </c>
      <c r="AL1" t="s">
        <v>11</v>
      </c>
      <c r="AM1" t="s">
        <v>13</v>
      </c>
      <c r="AN1" t="s">
        <v>14</v>
      </c>
      <c r="AO1" t="s">
        <v>15</v>
      </c>
      <c r="AP1" t="s">
        <v>33</v>
      </c>
      <c r="AQ1" t="s">
        <v>16</v>
      </c>
      <c r="AR1" t="s">
        <v>17</v>
      </c>
      <c r="AS1" t="s">
        <v>18</v>
      </c>
      <c r="AT1" t="s">
        <v>76</v>
      </c>
    </row>
    <row r="2" spans="1:46" x14ac:dyDescent="0.25">
      <c r="A2" t="s">
        <v>45</v>
      </c>
      <c r="B2">
        <v>1</v>
      </c>
      <c r="C2" t="s">
        <v>77</v>
      </c>
      <c r="D2" s="39">
        <v>45809</v>
      </c>
      <c r="E2" t="s">
        <v>78</v>
      </c>
      <c r="F2" t="s">
        <v>79</v>
      </c>
      <c r="G2">
        <v>3</v>
      </c>
      <c r="H2" t="s">
        <v>92</v>
      </c>
      <c r="I2">
        <v>0</v>
      </c>
      <c r="J2" t="s">
        <v>81</v>
      </c>
      <c r="K2" t="s">
        <v>79</v>
      </c>
      <c r="L2">
        <v>14</v>
      </c>
      <c r="M2">
        <v>157.69999999999999</v>
      </c>
      <c r="N2">
        <v>4.2</v>
      </c>
      <c r="O2">
        <v>21</v>
      </c>
      <c r="Q2">
        <v>153.5</v>
      </c>
    </row>
    <row r="3" spans="1:46" x14ac:dyDescent="0.25">
      <c r="A3" t="s">
        <v>46</v>
      </c>
      <c r="B3">
        <v>1</v>
      </c>
      <c r="C3" t="s">
        <v>77</v>
      </c>
      <c r="D3" s="39">
        <v>45809</v>
      </c>
      <c r="E3" t="s">
        <v>78</v>
      </c>
      <c r="F3" t="s">
        <v>79</v>
      </c>
      <c r="G3">
        <v>3</v>
      </c>
      <c r="H3" t="s">
        <v>92</v>
      </c>
      <c r="I3">
        <v>0</v>
      </c>
      <c r="J3" t="s">
        <v>81</v>
      </c>
      <c r="K3" t="s">
        <v>79</v>
      </c>
      <c r="L3">
        <v>15</v>
      </c>
      <c r="M3">
        <v>164.97</v>
      </c>
      <c r="N3">
        <v>4.5</v>
      </c>
      <c r="O3">
        <v>21</v>
      </c>
      <c r="Q3">
        <v>160.47</v>
      </c>
    </row>
    <row r="4" spans="1:46" x14ac:dyDescent="0.25">
      <c r="A4" t="s">
        <v>45</v>
      </c>
      <c r="B4">
        <v>2</v>
      </c>
      <c r="C4" t="s">
        <v>107</v>
      </c>
      <c r="D4" s="39">
        <v>45809</v>
      </c>
      <c r="E4" t="s">
        <v>78</v>
      </c>
      <c r="F4" t="s">
        <v>79</v>
      </c>
      <c r="G4">
        <v>5</v>
      </c>
      <c r="H4" t="s">
        <v>92</v>
      </c>
      <c r="I4">
        <v>0</v>
      </c>
      <c r="J4" t="s">
        <v>81</v>
      </c>
      <c r="K4" t="s">
        <v>79</v>
      </c>
      <c r="L4">
        <v>14</v>
      </c>
      <c r="M4">
        <v>176.70000000000002</v>
      </c>
      <c r="N4">
        <v>5.6000000000000005</v>
      </c>
      <c r="Q4">
        <v>171.10000000000002</v>
      </c>
    </row>
    <row r="5" spans="1:46" x14ac:dyDescent="0.25">
      <c r="A5" t="s">
        <v>46</v>
      </c>
      <c r="B5">
        <v>2</v>
      </c>
      <c r="C5" t="s">
        <v>107</v>
      </c>
      <c r="D5" s="39">
        <v>45809</v>
      </c>
      <c r="E5" t="s">
        <v>78</v>
      </c>
      <c r="F5" t="s">
        <v>79</v>
      </c>
      <c r="G5">
        <v>5</v>
      </c>
      <c r="H5" t="s">
        <v>92</v>
      </c>
      <c r="I5">
        <v>0</v>
      </c>
      <c r="J5" t="s">
        <v>81</v>
      </c>
      <c r="K5" t="s">
        <v>79</v>
      </c>
      <c r="L5">
        <v>15</v>
      </c>
      <c r="M5">
        <v>187.62</v>
      </c>
      <c r="N5">
        <v>6</v>
      </c>
      <c r="Q5">
        <v>181.62</v>
      </c>
    </row>
    <row r="6" spans="1:46" x14ac:dyDescent="0.25">
      <c r="A6" t="s">
        <v>45</v>
      </c>
      <c r="B6">
        <v>3</v>
      </c>
      <c r="C6" t="s">
        <v>83</v>
      </c>
      <c r="D6" s="39">
        <v>45809</v>
      </c>
      <c r="E6" t="s">
        <v>78</v>
      </c>
      <c r="F6" t="s">
        <v>79</v>
      </c>
      <c r="G6">
        <v>7</v>
      </c>
      <c r="H6">
        <v>5</v>
      </c>
      <c r="I6">
        <v>0</v>
      </c>
      <c r="J6" t="s">
        <v>81</v>
      </c>
      <c r="K6" t="s">
        <v>79</v>
      </c>
      <c r="L6">
        <v>7</v>
      </c>
      <c r="M6">
        <v>255.13000000000002</v>
      </c>
      <c r="N6">
        <v>5.6000000000000005</v>
      </c>
      <c r="Q6">
        <v>249.53000000000003</v>
      </c>
    </row>
    <row r="7" spans="1:46" x14ac:dyDescent="0.25">
      <c r="A7" t="s">
        <v>46</v>
      </c>
      <c r="B7">
        <v>3</v>
      </c>
      <c r="C7" t="s">
        <v>83</v>
      </c>
      <c r="D7" s="39">
        <v>45809</v>
      </c>
      <c r="E7" t="s">
        <v>78</v>
      </c>
      <c r="F7" t="s">
        <v>79</v>
      </c>
      <c r="G7">
        <v>7</v>
      </c>
      <c r="H7">
        <v>5</v>
      </c>
      <c r="I7">
        <v>0</v>
      </c>
      <c r="J7" t="s">
        <v>81</v>
      </c>
      <c r="K7" t="s">
        <v>79</v>
      </c>
      <c r="L7">
        <v>7</v>
      </c>
      <c r="M7">
        <v>250.48999999999995</v>
      </c>
      <c r="N7">
        <v>6.3</v>
      </c>
      <c r="Q7">
        <v>244.18999999999994</v>
      </c>
    </row>
    <row r="8" spans="1:46" x14ac:dyDescent="0.25">
      <c r="A8" t="s">
        <v>45</v>
      </c>
      <c r="B8">
        <v>4</v>
      </c>
      <c r="C8" t="s">
        <v>152</v>
      </c>
      <c r="D8" s="39">
        <v>45809</v>
      </c>
      <c r="E8" t="s">
        <v>80</v>
      </c>
      <c r="F8" t="s">
        <v>79</v>
      </c>
      <c r="G8">
        <v>17</v>
      </c>
      <c r="H8">
        <v>6.5</v>
      </c>
      <c r="I8">
        <v>0</v>
      </c>
      <c r="J8">
        <v>400</v>
      </c>
      <c r="K8" t="s">
        <v>79</v>
      </c>
      <c r="L8">
        <v>6</v>
      </c>
      <c r="M8">
        <v>184.7</v>
      </c>
      <c r="N8">
        <v>12.600000000000001</v>
      </c>
      <c r="Q8">
        <v>172.1</v>
      </c>
    </row>
    <row r="9" spans="1:46" x14ac:dyDescent="0.25">
      <c r="A9" t="s">
        <v>45</v>
      </c>
      <c r="B9">
        <v>4</v>
      </c>
      <c r="C9" t="s">
        <v>153</v>
      </c>
      <c r="D9" s="39">
        <v>45809</v>
      </c>
      <c r="E9" t="s">
        <v>80</v>
      </c>
      <c r="F9" t="s">
        <v>79</v>
      </c>
      <c r="G9">
        <v>15</v>
      </c>
      <c r="H9">
        <v>5</v>
      </c>
      <c r="I9">
        <v>0</v>
      </c>
      <c r="J9">
        <v>200</v>
      </c>
      <c r="K9" t="s">
        <v>79</v>
      </c>
      <c r="L9">
        <v>7</v>
      </c>
      <c r="M9">
        <v>216.99</v>
      </c>
      <c r="N9">
        <v>11.9</v>
      </c>
      <c r="Q9">
        <v>205.09</v>
      </c>
    </row>
    <row r="10" spans="1:46" x14ac:dyDescent="0.25">
      <c r="A10" t="s">
        <v>45</v>
      </c>
      <c r="B10">
        <v>4</v>
      </c>
      <c r="C10" t="s">
        <v>154</v>
      </c>
      <c r="D10" s="39">
        <v>45809</v>
      </c>
      <c r="E10" t="s">
        <v>80</v>
      </c>
      <c r="F10" t="s">
        <v>79</v>
      </c>
      <c r="G10">
        <v>15</v>
      </c>
      <c r="H10">
        <v>6.5</v>
      </c>
      <c r="I10">
        <v>0</v>
      </c>
      <c r="J10">
        <v>900</v>
      </c>
      <c r="K10" t="s">
        <v>79</v>
      </c>
      <c r="L10">
        <v>8</v>
      </c>
      <c r="M10">
        <v>247.82999999999998</v>
      </c>
      <c r="N10">
        <v>14.4</v>
      </c>
      <c r="Q10">
        <v>233.42999999999998</v>
      </c>
    </row>
    <row r="11" spans="1:46" x14ac:dyDescent="0.25">
      <c r="A11" t="s">
        <v>46</v>
      </c>
      <c r="B11">
        <v>4</v>
      </c>
      <c r="C11" t="s">
        <v>154</v>
      </c>
      <c r="D11" s="39">
        <v>45809</v>
      </c>
      <c r="E11" t="s">
        <v>80</v>
      </c>
      <c r="F11" t="s">
        <v>79</v>
      </c>
      <c r="G11">
        <v>15</v>
      </c>
      <c r="H11">
        <v>6.5</v>
      </c>
      <c r="I11">
        <v>0</v>
      </c>
      <c r="J11">
        <v>900</v>
      </c>
      <c r="K11" t="s">
        <v>79</v>
      </c>
      <c r="L11">
        <v>15</v>
      </c>
      <c r="M11">
        <v>480.05999999999995</v>
      </c>
      <c r="N11">
        <v>25.5</v>
      </c>
      <c r="Q11">
        <v>454.55999999999995</v>
      </c>
    </row>
    <row r="12" spans="1:46" x14ac:dyDescent="0.25">
      <c r="A12" t="s">
        <v>46</v>
      </c>
      <c r="B12">
        <v>4</v>
      </c>
      <c r="C12" t="s">
        <v>155</v>
      </c>
      <c r="D12" s="39">
        <v>45809</v>
      </c>
      <c r="E12" t="s">
        <v>148</v>
      </c>
      <c r="F12" t="s">
        <v>79</v>
      </c>
      <c r="G12">
        <v>15</v>
      </c>
      <c r="H12" t="s">
        <v>124</v>
      </c>
      <c r="I12" t="s">
        <v>99</v>
      </c>
      <c r="J12">
        <v>50</v>
      </c>
      <c r="K12" t="s">
        <v>79</v>
      </c>
      <c r="L12">
        <v>4</v>
      </c>
      <c r="M12">
        <v>156.94</v>
      </c>
      <c r="N12">
        <v>6</v>
      </c>
      <c r="Q12">
        <v>150.94</v>
      </c>
    </row>
    <row r="13" spans="1:46" x14ac:dyDescent="0.25">
      <c r="A13" t="s">
        <v>45</v>
      </c>
      <c r="B13">
        <v>5</v>
      </c>
      <c r="C13" t="s">
        <v>132</v>
      </c>
      <c r="D13" s="39">
        <v>45809</v>
      </c>
      <c r="E13" t="s">
        <v>78</v>
      </c>
      <c r="F13" t="s">
        <v>79</v>
      </c>
      <c r="G13">
        <v>13</v>
      </c>
      <c r="H13">
        <v>5</v>
      </c>
      <c r="I13">
        <v>0</v>
      </c>
      <c r="J13" t="s">
        <v>81</v>
      </c>
      <c r="K13" t="s">
        <v>79</v>
      </c>
      <c r="L13">
        <v>16</v>
      </c>
      <c r="M13">
        <v>512.67999999999995</v>
      </c>
      <c r="N13">
        <v>25.6</v>
      </c>
      <c r="Q13">
        <v>487.07999999999993</v>
      </c>
    </row>
    <row r="14" spans="1:46" x14ac:dyDescent="0.25">
      <c r="A14" t="s">
        <v>46</v>
      </c>
      <c r="B14">
        <v>5</v>
      </c>
      <c r="C14" t="s">
        <v>132</v>
      </c>
      <c r="D14" s="39">
        <v>45809</v>
      </c>
      <c r="E14" t="s">
        <v>78</v>
      </c>
      <c r="F14" t="s">
        <v>79</v>
      </c>
      <c r="G14">
        <v>13</v>
      </c>
      <c r="H14">
        <v>5</v>
      </c>
      <c r="I14">
        <v>0</v>
      </c>
      <c r="J14" t="s">
        <v>81</v>
      </c>
      <c r="K14" t="s">
        <v>79</v>
      </c>
      <c r="L14">
        <v>4</v>
      </c>
      <c r="M14">
        <v>124.17</v>
      </c>
      <c r="N14">
        <v>6.4</v>
      </c>
      <c r="Q14">
        <v>117.77</v>
      </c>
    </row>
    <row r="15" spans="1:46" x14ac:dyDescent="0.25">
      <c r="A15" t="s">
        <v>46</v>
      </c>
      <c r="B15">
        <v>5</v>
      </c>
      <c r="C15" t="s">
        <v>85</v>
      </c>
      <c r="D15" s="39">
        <v>45809</v>
      </c>
      <c r="E15" t="s">
        <v>78</v>
      </c>
      <c r="F15" t="s">
        <v>79</v>
      </c>
      <c r="G15">
        <v>12</v>
      </c>
      <c r="H15">
        <v>5</v>
      </c>
      <c r="I15">
        <v>0</v>
      </c>
      <c r="J15" t="s">
        <v>81</v>
      </c>
      <c r="K15" t="s">
        <v>79</v>
      </c>
      <c r="L15">
        <v>12</v>
      </c>
      <c r="M15">
        <v>385.6</v>
      </c>
      <c r="N15">
        <v>18</v>
      </c>
      <c r="Q15">
        <v>367.6</v>
      </c>
    </row>
    <row r="16" spans="1:46" x14ac:dyDescent="0.25">
      <c r="A16" t="s">
        <v>45</v>
      </c>
      <c r="B16">
        <v>1</v>
      </c>
      <c r="C16" t="s">
        <v>77</v>
      </c>
      <c r="D16" s="39">
        <v>45810</v>
      </c>
      <c r="E16" t="s">
        <v>78</v>
      </c>
      <c r="F16" t="s">
        <v>79</v>
      </c>
      <c r="G16">
        <v>3</v>
      </c>
      <c r="H16" t="s">
        <v>92</v>
      </c>
      <c r="I16">
        <v>0</v>
      </c>
      <c r="J16" t="s">
        <v>81</v>
      </c>
      <c r="K16" t="s">
        <v>79</v>
      </c>
      <c r="L16">
        <v>2</v>
      </c>
      <c r="M16">
        <v>35.980000000000004</v>
      </c>
      <c r="N16">
        <v>0.6</v>
      </c>
      <c r="O16">
        <v>30</v>
      </c>
      <c r="Q16">
        <v>35.380000000000003</v>
      </c>
    </row>
    <row r="17" spans="1:17" x14ac:dyDescent="0.25">
      <c r="A17" t="s">
        <v>45</v>
      </c>
      <c r="B17">
        <v>1</v>
      </c>
      <c r="C17" t="s">
        <v>82</v>
      </c>
      <c r="D17" s="39">
        <v>45810</v>
      </c>
      <c r="E17" t="s">
        <v>78</v>
      </c>
      <c r="F17" t="s">
        <v>79</v>
      </c>
      <c r="G17">
        <v>2</v>
      </c>
      <c r="H17" t="s">
        <v>92</v>
      </c>
      <c r="I17">
        <v>0</v>
      </c>
      <c r="J17" t="s">
        <v>81</v>
      </c>
      <c r="K17" t="s">
        <v>79</v>
      </c>
      <c r="L17">
        <v>10</v>
      </c>
      <c r="M17">
        <v>94.25</v>
      </c>
      <c r="N17">
        <v>2</v>
      </c>
      <c r="Q17">
        <v>92.25</v>
      </c>
    </row>
    <row r="18" spans="1:17" x14ac:dyDescent="0.25">
      <c r="A18" t="s">
        <v>46</v>
      </c>
      <c r="B18">
        <v>1</v>
      </c>
      <c r="C18" t="s">
        <v>82</v>
      </c>
      <c r="D18" s="39">
        <v>45810</v>
      </c>
      <c r="E18" t="s">
        <v>78</v>
      </c>
      <c r="F18" t="s">
        <v>79</v>
      </c>
      <c r="G18">
        <v>2</v>
      </c>
      <c r="H18" t="s">
        <v>92</v>
      </c>
      <c r="I18">
        <v>0</v>
      </c>
      <c r="J18" t="s">
        <v>81</v>
      </c>
      <c r="K18" t="s">
        <v>79</v>
      </c>
      <c r="L18">
        <v>12</v>
      </c>
      <c r="M18">
        <v>102.96000000000001</v>
      </c>
      <c r="N18">
        <v>2.4000000000000004</v>
      </c>
      <c r="O18">
        <v>25</v>
      </c>
      <c r="Q18">
        <v>100.56</v>
      </c>
    </row>
    <row r="19" spans="1:17" x14ac:dyDescent="0.25">
      <c r="A19" t="s">
        <v>45</v>
      </c>
      <c r="B19">
        <v>2</v>
      </c>
      <c r="C19" t="s">
        <v>91</v>
      </c>
      <c r="D19" s="39">
        <v>45810</v>
      </c>
      <c r="E19" t="s">
        <v>78</v>
      </c>
      <c r="F19" t="s">
        <v>79</v>
      </c>
      <c r="G19">
        <v>4</v>
      </c>
      <c r="H19" t="s">
        <v>92</v>
      </c>
      <c r="I19">
        <v>0</v>
      </c>
      <c r="J19" t="s">
        <v>81</v>
      </c>
      <c r="K19" t="s">
        <v>79</v>
      </c>
      <c r="L19">
        <v>10</v>
      </c>
      <c r="M19">
        <v>116.02</v>
      </c>
      <c r="N19">
        <v>4</v>
      </c>
      <c r="Q19">
        <v>112.02</v>
      </c>
    </row>
    <row r="20" spans="1:17" x14ac:dyDescent="0.25">
      <c r="A20" t="s">
        <v>46</v>
      </c>
      <c r="B20">
        <v>2</v>
      </c>
      <c r="C20" t="s">
        <v>91</v>
      </c>
      <c r="D20" s="39">
        <v>45810</v>
      </c>
      <c r="E20" t="s">
        <v>78</v>
      </c>
      <c r="F20" t="s">
        <v>79</v>
      </c>
      <c r="G20">
        <v>4</v>
      </c>
      <c r="H20" t="s">
        <v>92</v>
      </c>
      <c r="I20">
        <v>0</v>
      </c>
      <c r="J20" t="s">
        <v>81</v>
      </c>
      <c r="K20" t="s">
        <v>79</v>
      </c>
      <c r="L20">
        <v>5</v>
      </c>
      <c r="M20">
        <v>66.739999999999995</v>
      </c>
      <c r="N20">
        <v>2</v>
      </c>
      <c r="Q20">
        <v>64.739999999999995</v>
      </c>
    </row>
    <row r="21" spans="1:17" x14ac:dyDescent="0.25">
      <c r="A21" t="s">
        <v>45</v>
      </c>
      <c r="B21">
        <v>3</v>
      </c>
      <c r="C21" t="s">
        <v>83</v>
      </c>
      <c r="D21" s="39">
        <v>45810</v>
      </c>
      <c r="E21" t="s">
        <v>78</v>
      </c>
      <c r="F21" t="s">
        <v>79</v>
      </c>
      <c r="G21">
        <v>7</v>
      </c>
      <c r="H21">
        <v>5</v>
      </c>
      <c r="I21">
        <v>0</v>
      </c>
      <c r="J21" t="s">
        <v>81</v>
      </c>
      <c r="K21" t="s">
        <v>79</v>
      </c>
      <c r="L21">
        <v>2</v>
      </c>
      <c r="M21">
        <v>48.059999999999995</v>
      </c>
      <c r="N21">
        <v>1.4</v>
      </c>
      <c r="Q21">
        <v>46.66</v>
      </c>
    </row>
    <row r="22" spans="1:17" x14ac:dyDescent="0.25">
      <c r="A22" t="s">
        <v>45</v>
      </c>
      <c r="B22">
        <v>3</v>
      </c>
      <c r="C22" t="s">
        <v>156</v>
      </c>
      <c r="D22" s="39">
        <v>45810</v>
      </c>
      <c r="E22" t="s">
        <v>84</v>
      </c>
      <c r="F22" t="s">
        <v>79</v>
      </c>
      <c r="G22">
        <v>7</v>
      </c>
      <c r="H22">
        <v>15</v>
      </c>
      <c r="I22">
        <v>0</v>
      </c>
      <c r="J22">
        <v>250</v>
      </c>
      <c r="K22" t="s">
        <v>79</v>
      </c>
      <c r="L22">
        <v>9</v>
      </c>
      <c r="M22">
        <v>257.82</v>
      </c>
      <c r="N22">
        <v>6.3</v>
      </c>
      <c r="Q22">
        <v>251.51999999999998</v>
      </c>
    </row>
    <row r="23" spans="1:17" x14ac:dyDescent="0.25">
      <c r="A23" t="s">
        <v>46</v>
      </c>
      <c r="B23">
        <v>3</v>
      </c>
      <c r="C23" t="s">
        <v>156</v>
      </c>
      <c r="D23" s="39">
        <v>45810</v>
      </c>
      <c r="E23" t="s">
        <v>84</v>
      </c>
      <c r="F23" t="s">
        <v>79</v>
      </c>
      <c r="G23">
        <v>7</v>
      </c>
      <c r="H23">
        <v>15</v>
      </c>
      <c r="I23">
        <v>0</v>
      </c>
      <c r="J23">
        <v>250</v>
      </c>
      <c r="K23" t="s">
        <v>79</v>
      </c>
      <c r="L23">
        <v>10</v>
      </c>
      <c r="M23">
        <v>329.06</v>
      </c>
      <c r="N23">
        <v>7</v>
      </c>
      <c r="Q23">
        <v>322.06</v>
      </c>
    </row>
    <row r="24" spans="1:17" x14ac:dyDescent="0.25">
      <c r="A24" t="s">
        <v>45</v>
      </c>
      <c r="B24">
        <v>4</v>
      </c>
      <c r="C24" t="s">
        <v>154</v>
      </c>
      <c r="D24" s="39">
        <v>45810</v>
      </c>
      <c r="E24" t="s">
        <v>80</v>
      </c>
      <c r="F24" t="s">
        <v>79</v>
      </c>
      <c r="G24">
        <v>15</v>
      </c>
      <c r="H24">
        <v>6.5</v>
      </c>
      <c r="I24">
        <v>0</v>
      </c>
      <c r="J24">
        <v>900</v>
      </c>
      <c r="K24" t="s">
        <v>79</v>
      </c>
      <c r="L24">
        <v>8</v>
      </c>
      <c r="M24">
        <v>243.14000000000001</v>
      </c>
      <c r="N24">
        <v>14.4</v>
      </c>
      <c r="Q24">
        <v>228.74</v>
      </c>
    </row>
    <row r="25" spans="1:17" x14ac:dyDescent="0.25">
      <c r="A25" t="s">
        <v>45</v>
      </c>
      <c r="B25">
        <v>4</v>
      </c>
      <c r="C25" t="s">
        <v>150</v>
      </c>
      <c r="D25" s="39">
        <v>45810</v>
      </c>
      <c r="E25" t="s">
        <v>84</v>
      </c>
      <c r="F25" t="s">
        <v>79</v>
      </c>
      <c r="G25">
        <v>14</v>
      </c>
      <c r="H25">
        <v>5</v>
      </c>
      <c r="I25">
        <v>0</v>
      </c>
      <c r="J25">
        <v>150</v>
      </c>
      <c r="K25" t="s">
        <v>79</v>
      </c>
      <c r="L25">
        <v>8</v>
      </c>
      <c r="M25">
        <v>321.89</v>
      </c>
      <c r="N25">
        <v>13.6</v>
      </c>
      <c r="Q25">
        <v>308.28999999999996</v>
      </c>
    </row>
    <row r="26" spans="1:17" x14ac:dyDescent="0.25">
      <c r="A26" t="s">
        <v>45</v>
      </c>
      <c r="B26">
        <v>4</v>
      </c>
      <c r="C26" t="s">
        <v>157</v>
      </c>
      <c r="D26" s="39">
        <v>45810</v>
      </c>
      <c r="E26" t="s">
        <v>80</v>
      </c>
      <c r="F26" t="s">
        <v>79</v>
      </c>
      <c r="G26">
        <v>14</v>
      </c>
      <c r="H26">
        <v>6.5</v>
      </c>
      <c r="I26">
        <v>0</v>
      </c>
      <c r="J26">
        <v>300</v>
      </c>
      <c r="K26" t="s">
        <v>79</v>
      </c>
      <c r="L26">
        <v>2</v>
      </c>
      <c r="M26">
        <v>60.19</v>
      </c>
      <c r="N26">
        <v>3.5</v>
      </c>
      <c r="Q26">
        <v>56.69</v>
      </c>
    </row>
    <row r="27" spans="1:17" x14ac:dyDescent="0.25">
      <c r="A27" t="s">
        <v>46</v>
      </c>
      <c r="B27">
        <v>4</v>
      </c>
      <c r="C27" t="s">
        <v>157</v>
      </c>
      <c r="D27" s="39">
        <v>45810</v>
      </c>
      <c r="E27" t="s">
        <v>80</v>
      </c>
      <c r="F27" t="s">
        <v>79</v>
      </c>
      <c r="G27">
        <v>14</v>
      </c>
      <c r="H27">
        <v>6.5</v>
      </c>
      <c r="I27">
        <v>0</v>
      </c>
      <c r="J27">
        <v>300</v>
      </c>
      <c r="K27" t="s">
        <v>79</v>
      </c>
      <c r="L27">
        <v>14</v>
      </c>
      <c r="M27">
        <v>549.6</v>
      </c>
      <c r="N27">
        <v>23.8</v>
      </c>
      <c r="Q27">
        <v>525.80000000000007</v>
      </c>
    </row>
    <row r="28" spans="1:17" x14ac:dyDescent="0.25">
      <c r="A28" t="s">
        <v>45</v>
      </c>
      <c r="B28">
        <v>5</v>
      </c>
      <c r="C28" t="s">
        <v>85</v>
      </c>
      <c r="D28" s="39">
        <v>45810</v>
      </c>
      <c r="E28" t="s">
        <v>78</v>
      </c>
      <c r="F28" t="s">
        <v>79</v>
      </c>
      <c r="G28">
        <v>12</v>
      </c>
      <c r="H28">
        <v>5</v>
      </c>
      <c r="I28">
        <v>0</v>
      </c>
      <c r="J28" t="s">
        <v>81</v>
      </c>
      <c r="K28" t="s">
        <v>79</v>
      </c>
      <c r="L28">
        <v>10</v>
      </c>
      <c r="M28">
        <v>444.9</v>
      </c>
      <c r="N28">
        <v>14</v>
      </c>
      <c r="Q28">
        <v>430.9</v>
      </c>
    </row>
    <row r="29" spans="1:17" x14ac:dyDescent="0.25">
      <c r="A29" t="s">
        <v>46</v>
      </c>
      <c r="B29">
        <v>5</v>
      </c>
      <c r="C29" t="s">
        <v>85</v>
      </c>
      <c r="D29" s="39">
        <v>45810</v>
      </c>
      <c r="E29" t="s">
        <v>78</v>
      </c>
      <c r="F29" t="s">
        <v>79</v>
      </c>
      <c r="G29">
        <v>12</v>
      </c>
      <c r="H29">
        <v>5</v>
      </c>
      <c r="I29">
        <v>0</v>
      </c>
      <c r="J29" t="s">
        <v>81</v>
      </c>
      <c r="K29" t="s">
        <v>79</v>
      </c>
      <c r="L29">
        <v>12</v>
      </c>
      <c r="M29">
        <v>519.41</v>
      </c>
      <c r="N29">
        <v>16.799999999999997</v>
      </c>
      <c r="Q29">
        <v>502.60999999999996</v>
      </c>
    </row>
    <row r="30" spans="1:17" x14ac:dyDescent="0.25">
      <c r="A30" t="s">
        <v>45</v>
      </c>
      <c r="B30">
        <v>1</v>
      </c>
      <c r="C30" t="s">
        <v>82</v>
      </c>
      <c r="D30" s="39">
        <v>45811</v>
      </c>
      <c r="E30" t="s">
        <v>78</v>
      </c>
      <c r="F30" t="s">
        <v>79</v>
      </c>
      <c r="G30">
        <v>2</v>
      </c>
      <c r="H30" t="s">
        <v>92</v>
      </c>
      <c r="I30">
        <v>0</v>
      </c>
      <c r="J30" t="s">
        <v>81</v>
      </c>
      <c r="K30" t="s">
        <v>79</v>
      </c>
      <c r="L30">
        <v>10</v>
      </c>
      <c r="M30">
        <v>115</v>
      </c>
      <c r="N30">
        <v>2</v>
      </c>
      <c r="O30">
        <v>35</v>
      </c>
      <c r="Q30">
        <v>113</v>
      </c>
    </row>
    <row r="31" spans="1:17" x14ac:dyDescent="0.25">
      <c r="A31" t="s">
        <v>46</v>
      </c>
      <c r="B31">
        <v>1</v>
      </c>
      <c r="C31" t="s">
        <v>82</v>
      </c>
      <c r="D31" s="39">
        <v>45811</v>
      </c>
      <c r="E31" t="s">
        <v>78</v>
      </c>
      <c r="F31" t="s">
        <v>79</v>
      </c>
      <c r="G31">
        <v>2</v>
      </c>
      <c r="H31" t="s">
        <v>92</v>
      </c>
      <c r="I31">
        <v>0</v>
      </c>
      <c r="J31" t="s">
        <v>81</v>
      </c>
      <c r="K31" t="s">
        <v>79</v>
      </c>
      <c r="L31">
        <v>10</v>
      </c>
      <c r="M31">
        <v>97.49</v>
      </c>
      <c r="N31">
        <v>2</v>
      </c>
      <c r="O31">
        <v>65</v>
      </c>
      <c r="Q31">
        <v>95.49</v>
      </c>
    </row>
    <row r="32" spans="1:17" x14ac:dyDescent="0.25">
      <c r="A32" t="s">
        <v>45</v>
      </c>
      <c r="B32">
        <v>2</v>
      </c>
      <c r="C32" t="s">
        <v>91</v>
      </c>
      <c r="D32" s="39">
        <v>45811</v>
      </c>
      <c r="E32" t="s">
        <v>78</v>
      </c>
      <c r="F32" t="s">
        <v>79</v>
      </c>
      <c r="G32">
        <v>4</v>
      </c>
      <c r="H32" t="s">
        <v>92</v>
      </c>
      <c r="I32">
        <v>0</v>
      </c>
      <c r="J32" t="s">
        <v>81</v>
      </c>
      <c r="K32" t="s">
        <v>79</v>
      </c>
      <c r="L32">
        <v>9</v>
      </c>
      <c r="M32">
        <v>262.66000000000003</v>
      </c>
      <c r="N32">
        <v>3.6</v>
      </c>
      <c r="Q32">
        <v>259.06</v>
      </c>
    </row>
    <row r="33" spans="1:17" x14ac:dyDescent="0.25">
      <c r="A33" t="s">
        <v>46</v>
      </c>
      <c r="B33">
        <v>2</v>
      </c>
      <c r="C33" t="s">
        <v>91</v>
      </c>
      <c r="D33" s="39">
        <v>45811</v>
      </c>
      <c r="E33" t="s">
        <v>78</v>
      </c>
      <c r="F33" t="s">
        <v>79</v>
      </c>
      <c r="G33">
        <v>4</v>
      </c>
      <c r="H33" t="s">
        <v>92</v>
      </c>
      <c r="I33">
        <v>0</v>
      </c>
      <c r="J33" t="s">
        <v>81</v>
      </c>
      <c r="K33" t="s">
        <v>79</v>
      </c>
      <c r="L33">
        <v>12</v>
      </c>
      <c r="M33">
        <v>171.27</v>
      </c>
      <c r="N33">
        <v>4.8000000000000007</v>
      </c>
      <c r="Q33">
        <v>166.47</v>
      </c>
    </row>
    <row r="34" spans="1:17" x14ac:dyDescent="0.25">
      <c r="A34" t="s">
        <v>45</v>
      </c>
      <c r="B34">
        <v>3</v>
      </c>
      <c r="C34" t="s">
        <v>83</v>
      </c>
      <c r="D34" s="39">
        <v>45811</v>
      </c>
      <c r="E34" t="s">
        <v>78</v>
      </c>
      <c r="F34" t="s">
        <v>79</v>
      </c>
      <c r="G34">
        <v>7</v>
      </c>
      <c r="H34">
        <v>5</v>
      </c>
      <c r="I34">
        <v>0</v>
      </c>
      <c r="J34" t="s">
        <v>81</v>
      </c>
      <c r="K34" t="s">
        <v>79</v>
      </c>
      <c r="L34">
        <v>8</v>
      </c>
      <c r="M34">
        <v>300.01</v>
      </c>
      <c r="N34">
        <v>5.6</v>
      </c>
      <c r="Q34">
        <v>294.40999999999997</v>
      </c>
    </row>
    <row r="35" spans="1:17" x14ac:dyDescent="0.25">
      <c r="A35" t="s">
        <v>46</v>
      </c>
      <c r="B35">
        <v>3</v>
      </c>
      <c r="C35" t="s">
        <v>83</v>
      </c>
      <c r="D35" s="39">
        <v>45811</v>
      </c>
      <c r="E35" t="s">
        <v>78</v>
      </c>
      <c r="F35" t="s">
        <v>79</v>
      </c>
      <c r="G35">
        <v>7</v>
      </c>
      <c r="H35">
        <v>5</v>
      </c>
      <c r="I35">
        <v>0</v>
      </c>
      <c r="J35" t="s">
        <v>81</v>
      </c>
      <c r="K35" t="s">
        <v>79</v>
      </c>
      <c r="L35">
        <v>4</v>
      </c>
      <c r="M35">
        <v>270.88</v>
      </c>
      <c r="N35">
        <v>2.8</v>
      </c>
      <c r="Q35">
        <v>268.08</v>
      </c>
    </row>
    <row r="36" spans="1:17" x14ac:dyDescent="0.25">
      <c r="A36" t="s">
        <v>45</v>
      </c>
      <c r="B36">
        <v>4</v>
      </c>
      <c r="C36" t="s">
        <v>158</v>
      </c>
      <c r="D36" s="39">
        <v>45811</v>
      </c>
      <c r="E36" t="s">
        <v>133</v>
      </c>
      <c r="F36" t="s">
        <v>79</v>
      </c>
      <c r="G36">
        <v>20</v>
      </c>
      <c r="H36" t="s">
        <v>113</v>
      </c>
      <c r="I36" t="s">
        <v>99</v>
      </c>
      <c r="J36">
        <v>1000</v>
      </c>
      <c r="K36" t="s">
        <v>79</v>
      </c>
      <c r="L36">
        <v>13</v>
      </c>
      <c r="M36">
        <v>666.18</v>
      </c>
      <c r="N36">
        <v>32.5</v>
      </c>
      <c r="Q36">
        <v>633.67999999999995</v>
      </c>
    </row>
    <row r="37" spans="1:17" x14ac:dyDescent="0.25">
      <c r="A37" t="s">
        <v>46</v>
      </c>
      <c r="B37">
        <v>4</v>
      </c>
      <c r="C37" t="s">
        <v>159</v>
      </c>
      <c r="D37" s="39">
        <v>45811</v>
      </c>
      <c r="E37" t="s">
        <v>142</v>
      </c>
      <c r="F37" t="s">
        <v>79</v>
      </c>
      <c r="G37" t="s">
        <v>141</v>
      </c>
      <c r="H37" t="s">
        <v>122</v>
      </c>
      <c r="I37" t="s">
        <v>99</v>
      </c>
      <c r="J37">
        <v>50</v>
      </c>
      <c r="K37" t="s">
        <v>79</v>
      </c>
      <c r="L37">
        <v>15</v>
      </c>
      <c r="M37">
        <v>647.09</v>
      </c>
      <c r="N37">
        <v>27</v>
      </c>
      <c r="Q37">
        <v>620.09</v>
      </c>
    </row>
    <row r="38" spans="1:17" x14ac:dyDescent="0.25">
      <c r="A38" t="s">
        <v>46</v>
      </c>
      <c r="B38">
        <v>4</v>
      </c>
      <c r="C38" t="s">
        <v>160</v>
      </c>
      <c r="D38" s="39">
        <v>45811</v>
      </c>
      <c r="E38" t="s">
        <v>126</v>
      </c>
      <c r="F38" t="s">
        <v>79</v>
      </c>
      <c r="G38" t="s">
        <v>125</v>
      </c>
      <c r="H38" t="s">
        <v>122</v>
      </c>
      <c r="I38" t="s">
        <v>99</v>
      </c>
      <c r="J38">
        <v>100</v>
      </c>
      <c r="K38" t="s">
        <v>79</v>
      </c>
      <c r="L38">
        <v>1</v>
      </c>
      <c r="M38">
        <v>50.79</v>
      </c>
      <c r="N38">
        <v>2.2000000000000002</v>
      </c>
      <c r="Q38">
        <v>48.589999999999996</v>
      </c>
    </row>
    <row r="39" spans="1:17" x14ac:dyDescent="0.25">
      <c r="A39" t="s">
        <v>45</v>
      </c>
      <c r="B39">
        <v>5</v>
      </c>
      <c r="C39" t="s">
        <v>85</v>
      </c>
      <c r="D39" s="39">
        <v>45811</v>
      </c>
      <c r="E39" t="s">
        <v>78</v>
      </c>
      <c r="F39" t="s">
        <v>79</v>
      </c>
      <c r="G39">
        <v>12</v>
      </c>
      <c r="H39">
        <v>5</v>
      </c>
      <c r="I39">
        <v>0</v>
      </c>
      <c r="J39" t="s">
        <v>81</v>
      </c>
      <c r="K39" t="s">
        <v>79</v>
      </c>
      <c r="L39">
        <v>2</v>
      </c>
      <c r="M39">
        <v>106.38</v>
      </c>
      <c r="N39">
        <v>3</v>
      </c>
      <c r="Q39">
        <v>103.38</v>
      </c>
    </row>
    <row r="40" spans="1:17" x14ac:dyDescent="0.25">
      <c r="A40" t="s">
        <v>45</v>
      </c>
      <c r="B40">
        <v>5</v>
      </c>
      <c r="C40" t="s">
        <v>161</v>
      </c>
      <c r="D40" s="39">
        <v>45811</v>
      </c>
      <c r="E40" t="s">
        <v>84</v>
      </c>
      <c r="F40" t="s">
        <v>79</v>
      </c>
      <c r="G40">
        <v>9</v>
      </c>
      <c r="H40">
        <v>4.5</v>
      </c>
      <c r="I40">
        <v>0</v>
      </c>
      <c r="J40">
        <v>150</v>
      </c>
      <c r="K40" t="s">
        <v>79</v>
      </c>
      <c r="L40">
        <v>6</v>
      </c>
      <c r="M40">
        <v>165.42</v>
      </c>
      <c r="N40">
        <v>7.1999999999999993</v>
      </c>
      <c r="Q40">
        <v>158.22</v>
      </c>
    </row>
    <row r="41" spans="1:17" x14ac:dyDescent="0.25">
      <c r="A41" t="s">
        <v>46</v>
      </c>
      <c r="B41">
        <v>5</v>
      </c>
      <c r="C41" t="s">
        <v>162</v>
      </c>
      <c r="D41" s="39">
        <v>45811</v>
      </c>
      <c r="E41" t="s">
        <v>84</v>
      </c>
      <c r="F41" t="s">
        <v>79</v>
      </c>
      <c r="G41">
        <v>11</v>
      </c>
      <c r="H41">
        <v>4.5</v>
      </c>
      <c r="I41">
        <v>0</v>
      </c>
      <c r="J41">
        <v>150</v>
      </c>
      <c r="K41" t="s">
        <v>79</v>
      </c>
      <c r="L41">
        <v>11</v>
      </c>
      <c r="M41">
        <v>365.63000000000005</v>
      </c>
      <c r="N41">
        <v>12.100000000000001</v>
      </c>
      <c r="Q41">
        <v>353.53000000000003</v>
      </c>
    </row>
    <row r="42" spans="1:17" x14ac:dyDescent="0.25">
      <c r="A42" t="s">
        <v>46</v>
      </c>
      <c r="B42">
        <v>5</v>
      </c>
      <c r="C42" t="s">
        <v>162</v>
      </c>
      <c r="D42" s="39">
        <v>45811</v>
      </c>
      <c r="E42" t="s">
        <v>84</v>
      </c>
      <c r="F42" t="s">
        <v>79</v>
      </c>
      <c r="G42">
        <v>11</v>
      </c>
      <c r="H42">
        <v>4.5</v>
      </c>
      <c r="I42">
        <v>0</v>
      </c>
      <c r="J42">
        <v>150</v>
      </c>
      <c r="K42" t="s">
        <v>79</v>
      </c>
      <c r="L42">
        <v>2</v>
      </c>
      <c r="M42">
        <v>69.91</v>
      </c>
      <c r="N42">
        <v>2.2000000000000002</v>
      </c>
      <c r="Q42">
        <v>67.709999999999994</v>
      </c>
    </row>
    <row r="43" spans="1:17" x14ac:dyDescent="0.25">
      <c r="A43" t="s">
        <v>45</v>
      </c>
      <c r="B43">
        <v>1</v>
      </c>
      <c r="C43" t="s">
        <v>82</v>
      </c>
      <c r="D43" s="39">
        <v>45812</v>
      </c>
      <c r="E43" t="s">
        <v>78</v>
      </c>
      <c r="F43" t="s">
        <v>79</v>
      </c>
      <c r="G43">
        <v>2</v>
      </c>
      <c r="H43" t="s">
        <v>92</v>
      </c>
      <c r="I43">
        <v>0</v>
      </c>
      <c r="J43" t="s">
        <v>81</v>
      </c>
      <c r="K43" t="s">
        <v>79</v>
      </c>
      <c r="L43">
        <v>11</v>
      </c>
      <c r="M43">
        <v>121.64000000000001</v>
      </c>
      <c r="N43">
        <v>2.2000000000000002</v>
      </c>
      <c r="O43">
        <v>25</v>
      </c>
      <c r="Q43">
        <v>119.44000000000001</v>
      </c>
    </row>
    <row r="44" spans="1:17" x14ac:dyDescent="0.25">
      <c r="A44" t="s">
        <v>46</v>
      </c>
      <c r="B44">
        <v>1</v>
      </c>
      <c r="C44" t="s">
        <v>82</v>
      </c>
      <c r="D44" s="39">
        <v>45812</v>
      </c>
      <c r="E44" t="s">
        <v>78</v>
      </c>
      <c r="F44" t="s">
        <v>79</v>
      </c>
      <c r="G44">
        <v>2</v>
      </c>
      <c r="H44" t="s">
        <v>92</v>
      </c>
      <c r="I44">
        <v>0</v>
      </c>
      <c r="J44" t="s">
        <v>81</v>
      </c>
      <c r="K44" t="s">
        <v>79</v>
      </c>
      <c r="L44">
        <v>3</v>
      </c>
      <c r="M44">
        <v>32.299999999999997</v>
      </c>
      <c r="N44">
        <v>0.60000000000000009</v>
      </c>
      <c r="O44">
        <v>34</v>
      </c>
      <c r="Q44">
        <v>31.699999999999996</v>
      </c>
    </row>
    <row r="45" spans="1:17" x14ac:dyDescent="0.25">
      <c r="A45" t="s">
        <v>46</v>
      </c>
      <c r="B45">
        <v>1</v>
      </c>
      <c r="C45" t="s">
        <v>107</v>
      </c>
      <c r="D45" s="39">
        <v>45812</v>
      </c>
      <c r="E45" t="s">
        <v>78</v>
      </c>
      <c r="F45" t="s">
        <v>79</v>
      </c>
      <c r="G45">
        <v>5</v>
      </c>
      <c r="H45" t="s">
        <v>92</v>
      </c>
      <c r="I45">
        <v>0</v>
      </c>
      <c r="J45" t="s">
        <v>81</v>
      </c>
      <c r="K45" t="s">
        <v>79</v>
      </c>
      <c r="L45">
        <v>7</v>
      </c>
      <c r="M45">
        <v>131.74</v>
      </c>
      <c r="N45">
        <v>3.5</v>
      </c>
      <c r="Q45">
        <v>128.24</v>
      </c>
    </row>
    <row r="46" spans="1:17" x14ac:dyDescent="0.25">
      <c r="A46" t="s">
        <v>45</v>
      </c>
      <c r="B46">
        <v>2</v>
      </c>
      <c r="C46" t="s">
        <v>91</v>
      </c>
      <c r="D46" s="39">
        <v>45812</v>
      </c>
      <c r="E46" t="s">
        <v>78</v>
      </c>
      <c r="F46" t="s">
        <v>79</v>
      </c>
      <c r="G46">
        <v>4</v>
      </c>
      <c r="H46" t="s">
        <v>92</v>
      </c>
      <c r="I46">
        <v>0</v>
      </c>
      <c r="J46" t="s">
        <v>81</v>
      </c>
      <c r="K46" t="s">
        <v>79</v>
      </c>
      <c r="L46">
        <v>9</v>
      </c>
      <c r="M46">
        <v>143.03</v>
      </c>
      <c r="N46">
        <v>3.6</v>
      </c>
      <c r="Q46">
        <v>139.43</v>
      </c>
    </row>
    <row r="47" spans="1:17" x14ac:dyDescent="0.25">
      <c r="A47" t="s">
        <v>46</v>
      </c>
      <c r="B47">
        <v>2</v>
      </c>
      <c r="C47" t="s">
        <v>91</v>
      </c>
      <c r="D47" s="39">
        <v>45812</v>
      </c>
      <c r="E47" t="s">
        <v>78</v>
      </c>
      <c r="F47" t="s">
        <v>79</v>
      </c>
      <c r="G47">
        <v>4</v>
      </c>
      <c r="H47" t="s">
        <v>92</v>
      </c>
      <c r="I47">
        <v>0</v>
      </c>
      <c r="J47" t="s">
        <v>81</v>
      </c>
      <c r="K47" t="s">
        <v>79</v>
      </c>
      <c r="L47">
        <v>11</v>
      </c>
      <c r="M47">
        <v>175.5</v>
      </c>
      <c r="N47">
        <v>4.4000000000000004</v>
      </c>
      <c r="Q47">
        <v>171.1</v>
      </c>
    </row>
    <row r="48" spans="1:17" x14ac:dyDescent="0.25">
      <c r="A48" t="s">
        <v>45</v>
      </c>
      <c r="B48">
        <v>3</v>
      </c>
      <c r="C48" t="s">
        <v>83</v>
      </c>
      <c r="D48" s="39">
        <v>45812</v>
      </c>
      <c r="E48" t="s">
        <v>78</v>
      </c>
      <c r="F48" t="s">
        <v>79</v>
      </c>
      <c r="G48">
        <v>7</v>
      </c>
      <c r="H48">
        <v>5</v>
      </c>
      <c r="I48">
        <v>0</v>
      </c>
      <c r="J48" t="s">
        <v>81</v>
      </c>
      <c r="K48" t="s">
        <v>79</v>
      </c>
      <c r="L48">
        <v>7</v>
      </c>
      <c r="M48">
        <v>244.76000000000002</v>
      </c>
      <c r="N48">
        <v>4.8999999999999995</v>
      </c>
      <c r="Q48">
        <v>239.86</v>
      </c>
    </row>
    <row r="49" spans="1:17" x14ac:dyDescent="0.25">
      <c r="A49" t="s">
        <v>46</v>
      </c>
      <c r="B49">
        <v>3</v>
      </c>
      <c r="C49" t="s">
        <v>83</v>
      </c>
      <c r="D49" s="39">
        <v>45812</v>
      </c>
      <c r="E49" t="s">
        <v>78</v>
      </c>
      <c r="F49" t="s">
        <v>79</v>
      </c>
      <c r="G49">
        <v>7</v>
      </c>
      <c r="H49">
        <v>5</v>
      </c>
      <c r="I49">
        <v>0</v>
      </c>
      <c r="J49" t="s">
        <v>81</v>
      </c>
      <c r="K49" t="s">
        <v>79</v>
      </c>
      <c r="L49">
        <v>7</v>
      </c>
      <c r="M49">
        <v>241.44</v>
      </c>
      <c r="N49">
        <v>4.8999999999999995</v>
      </c>
      <c r="Q49">
        <v>236.54</v>
      </c>
    </row>
    <row r="50" spans="1:17" x14ac:dyDescent="0.25">
      <c r="A50" t="s">
        <v>45</v>
      </c>
      <c r="B50">
        <v>4</v>
      </c>
      <c r="C50" t="s">
        <v>163</v>
      </c>
      <c r="D50" s="39">
        <v>45812</v>
      </c>
      <c r="E50" t="s">
        <v>133</v>
      </c>
      <c r="F50" t="s">
        <v>79</v>
      </c>
      <c r="G50">
        <v>22</v>
      </c>
      <c r="H50" t="s">
        <v>113</v>
      </c>
      <c r="I50" t="s">
        <v>99</v>
      </c>
      <c r="J50">
        <v>500</v>
      </c>
      <c r="K50" t="s">
        <v>79</v>
      </c>
      <c r="L50">
        <v>10</v>
      </c>
      <c r="M50">
        <v>567.29</v>
      </c>
      <c r="N50">
        <v>27</v>
      </c>
      <c r="Q50">
        <v>540.29</v>
      </c>
    </row>
    <row r="51" spans="1:17" x14ac:dyDescent="0.25">
      <c r="A51" t="s">
        <v>45</v>
      </c>
      <c r="B51">
        <v>4</v>
      </c>
      <c r="C51" t="s">
        <v>164</v>
      </c>
      <c r="D51" s="39">
        <v>45812</v>
      </c>
      <c r="E51" t="s">
        <v>78</v>
      </c>
      <c r="F51" t="s">
        <v>79</v>
      </c>
      <c r="G51">
        <v>22</v>
      </c>
      <c r="H51" t="s">
        <v>123</v>
      </c>
      <c r="I51" t="s">
        <v>103</v>
      </c>
      <c r="J51">
        <v>50</v>
      </c>
      <c r="K51" t="s">
        <v>79</v>
      </c>
      <c r="L51">
        <v>1</v>
      </c>
      <c r="M51">
        <v>55.08</v>
      </c>
      <c r="N51">
        <v>2.8</v>
      </c>
      <c r="Q51">
        <v>52.28</v>
      </c>
    </row>
    <row r="52" spans="1:17" x14ac:dyDescent="0.25">
      <c r="A52" t="s">
        <v>46</v>
      </c>
      <c r="B52">
        <v>4</v>
      </c>
      <c r="C52" t="s">
        <v>165</v>
      </c>
      <c r="D52" s="39">
        <v>45812</v>
      </c>
      <c r="E52" t="s">
        <v>84</v>
      </c>
      <c r="F52" t="s">
        <v>79</v>
      </c>
      <c r="G52">
        <v>27</v>
      </c>
      <c r="H52">
        <v>6</v>
      </c>
      <c r="I52">
        <v>0</v>
      </c>
      <c r="J52">
        <v>100</v>
      </c>
      <c r="K52" t="s">
        <v>79</v>
      </c>
      <c r="L52">
        <v>4</v>
      </c>
      <c r="M52">
        <v>231.69</v>
      </c>
      <c r="N52">
        <v>13.6</v>
      </c>
      <c r="Q52">
        <v>218.09</v>
      </c>
    </row>
    <row r="53" spans="1:17" x14ac:dyDescent="0.25">
      <c r="A53" t="s">
        <v>46</v>
      </c>
      <c r="B53">
        <v>4</v>
      </c>
      <c r="C53" t="s">
        <v>166</v>
      </c>
      <c r="D53" s="39">
        <v>45812</v>
      </c>
      <c r="E53" t="s">
        <v>128</v>
      </c>
      <c r="F53" t="s">
        <v>79</v>
      </c>
      <c r="G53" t="s">
        <v>129</v>
      </c>
      <c r="H53" t="s">
        <v>122</v>
      </c>
      <c r="I53" t="s">
        <v>114</v>
      </c>
      <c r="J53">
        <v>100</v>
      </c>
      <c r="K53" t="s">
        <v>79</v>
      </c>
      <c r="L53">
        <v>2</v>
      </c>
      <c r="M53">
        <v>95.63</v>
      </c>
      <c r="N53">
        <v>6.8</v>
      </c>
      <c r="Q53">
        <v>88.83</v>
      </c>
    </row>
    <row r="54" spans="1:17" x14ac:dyDescent="0.25">
      <c r="A54" t="s">
        <v>46</v>
      </c>
      <c r="B54">
        <v>4</v>
      </c>
      <c r="C54" t="s">
        <v>167</v>
      </c>
      <c r="D54" s="39">
        <v>45812</v>
      </c>
      <c r="E54" t="s">
        <v>133</v>
      </c>
      <c r="F54" t="s">
        <v>79</v>
      </c>
      <c r="G54">
        <v>28</v>
      </c>
      <c r="H54" t="s">
        <v>113</v>
      </c>
      <c r="I54" t="s">
        <v>99</v>
      </c>
      <c r="J54">
        <v>1000</v>
      </c>
      <c r="K54" t="s">
        <v>79</v>
      </c>
      <c r="L54">
        <v>3</v>
      </c>
      <c r="M54">
        <v>185.89000000000001</v>
      </c>
      <c r="N54">
        <v>10.199999999999999</v>
      </c>
      <c r="Q54">
        <v>175.69000000000003</v>
      </c>
    </row>
    <row r="55" spans="1:17" x14ac:dyDescent="0.25">
      <c r="A55" t="s">
        <v>46</v>
      </c>
      <c r="B55">
        <v>4</v>
      </c>
      <c r="C55" t="s">
        <v>168</v>
      </c>
      <c r="D55" s="39">
        <v>45812</v>
      </c>
      <c r="E55" t="s">
        <v>128</v>
      </c>
      <c r="F55" t="s">
        <v>79</v>
      </c>
      <c r="G55" t="s">
        <v>129</v>
      </c>
      <c r="H55" t="s">
        <v>122</v>
      </c>
      <c r="I55" t="s">
        <v>114</v>
      </c>
      <c r="J55">
        <v>200</v>
      </c>
      <c r="K55" t="s">
        <v>79</v>
      </c>
      <c r="L55">
        <v>2</v>
      </c>
      <c r="M55">
        <v>93.300000000000011</v>
      </c>
      <c r="N55">
        <v>6.8</v>
      </c>
      <c r="Q55">
        <v>86.500000000000014</v>
      </c>
    </row>
    <row r="56" spans="1:17" x14ac:dyDescent="0.25">
      <c r="A56" t="s">
        <v>45</v>
      </c>
      <c r="B56">
        <v>5</v>
      </c>
      <c r="C56" t="s">
        <v>131</v>
      </c>
      <c r="D56" s="39">
        <v>45812</v>
      </c>
      <c r="E56" t="s">
        <v>78</v>
      </c>
      <c r="F56" t="s">
        <v>79</v>
      </c>
      <c r="G56">
        <v>11</v>
      </c>
      <c r="H56">
        <v>5</v>
      </c>
      <c r="I56">
        <v>0</v>
      </c>
      <c r="J56" t="s">
        <v>81</v>
      </c>
      <c r="K56" t="s">
        <v>79</v>
      </c>
      <c r="L56">
        <v>8</v>
      </c>
      <c r="M56">
        <v>251.69000000000003</v>
      </c>
      <c r="N56">
        <v>10.4</v>
      </c>
      <c r="Q56">
        <v>241.29000000000002</v>
      </c>
    </row>
    <row r="57" spans="1:17" x14ac:dyDescent="0.25">
      <c r="A57" t="s">
        <v>45</v>
      </c>
      <c r="B57">
        <v>5</v>
      </c>
      <c r="C57" t="s">
        <v>132</v>
      </c>
      <c r="D57" s="39">
        <v>45812</v>
      </c>
      <c r="E57" t="s">
        <v>78</v>
      </c>
      <c r="F57" t="s">
        <v>79</v>
      </c>
      <c r="G57">
        <v>13</v>
      </c>
      <c r="H57">
        <v>5</v>
      </c>
      <c r="I57">
        <v>0</v>
      </c>
      <c r="J57" t="s">
        <v>81</v>
      </c>
      <c r="K57" t="s">
        <v>79</v>
      </c>
      <c r="L57">
        <v>4</v>
      </c>
      <c r="M57">
        <v>132.02000000000001</v>
      </c>
      <c r="N57">
        <v>5.6999999999999993</v>
      </c>
      <c r="Q57">
        <v>126.32000000000001</v>
      </c>
    </row>
    <row r="58" spans="1:17" x14ac:dyDescent="0.25">
      <c r="A58" t="s">
        <v>45</v>
      </c>
      <c r="B58">
        <v>5</v>
      </c>
      <c r="C58" t="s">
        <v>169</v>
      </c>
      <c r="D58" s="39">
        <v>45812</v>
      </c>
      <c r="E58" t="s">
        <v>78</v>
      </c>
      <c r="F58" t="s">
        <v>79</v>
      </c>
      <c r="G58">
        <v>13</v>
      </c>
      <c r="H58" t="s">
        <v>123</v>
      </c>
      <c r="I58" t="s">
        <v>81</v>
      </c>
      <c r="J58">
        <v>100</v>
      </c>
      <c r="K58" t="s">
        <v>79</v>
      </c>
      <c r="L58">
        <v>2</v>
      </c>
      <c r="M58">
        <v>96.75</v>
      </c>
      <c r="N58">
        <v>3</v>
      </c>
      <c r="Q58">
        <v>93.75</v>
      </c>
    </row>
    <row r="59" spans="1:17" x14ac:dyDescent="0.25">
      <c r="A59" t="s">
        <v>46</v>
      </c>
      <c r="B59">
        <v>5</v>
      </c>
      <c r="C59" t="s">
        <v>169</v>
      </c>
      <c r="D59" s="39">
        <v>45812</v>
      </c>
      <c r="E59" t="s">
        <v>78</v>
      </c>
      <c r="F59" t="s">
        <v>79</v>
      </c>
      <c r="G59">
        <v>13</v>
      </c>
      <c r="H59" t="s">
        <v>123</v>
      </c>
      <c r="I59" t="s">
        <v>81</v>
      </c>
      <c r="J59">
        <v>100</v>
      </c>
      <c r="K59" t="s">
        <v>79</v>
      </c>
      <c r="L59">
        <v>14</v>
      </c>
      <c r="M59">
        <v>515.01</v>
      </c>
      <c r="N59">
        <v>18.2</v>
      </c>
      <c r="Q59">
        <v>496.81</v>
      </c>
    </row>
    <row r="60" spans="1:17" x14ac:dyDescent="0.25">
      <c r="A60" t="s">
        <v>45</v>
      </c>
      <c r="B60">
        <v>1</v>
      </c>
      <c r="C60" t="s">
        <v>107</v>
      </c>
      <c r="D60" s="39">
        <v>45813</v>
      </c>
      <c r="E60" t="s">
        <v>78</v>
      </c>
      <c r="F60" t="s">
        <v>79</v>
      </c>
      <c r="G60">
        <v>5</v>
      </c>
      <c r="H60" t="s">
        <v>92</v>
      </c>
      <c r="I60">
        <v>0</v>
      </c>
      <c r="J60" t="s">
        <v>81</v>
      </c>
      <c r="K60" t="s">
        <v>79</v>
      </c>
      <c r="L60">
        <v>8</v>
      </c>
      <c r="M60">
        <v>169.76999999999998</v>
      </c>
      <c r="N60">
        <v>4</v>
      </c>
      <c r="O60">
        <v>13</v>
      </c>
      <c r="Q60">
        <v>165.76999999999998</v>
      </c>
    </row>
    <row r="61" spans="1:17" x14ac:dyDescent="0.25">
      <c r="A61" t="s">
        <v>46</v>
      </c>
      <c r="B61">
        <v>1</v>
      </c>
      <c r="C61" t="s">
        <v>107</v>
      </c>
      <c r="D61" s="39">
        <v>45813</v>
      </c>
      <c r="E61" t="s">
        <v>78</v>
      </c>
      <c r="F61" t="s">
        <v>79</v>
      </c>
      <c r="G61">
        <v>5</v>
      </c>
      <c r="H61" t="s">
        <v>92</v>
      </c>
      <c r="I61">
        <v>0</v>
      </c>
      <c r="J61" t="s">
        <v>81</v>
      </c>
      <c r="K61" t="s">
        <v>79</v>
      </c>
      <c r="L61">
        <v>6</v>
      </c>
      <c r="M61">
        <v>109.82000000000001</v>
      </c>
      <c r="N61">
        <v>3</v>
      </c>
      <c r="O61">
        <v>20</v>
      </c>
      <c r="Q61">
        <v>106.82000000000001</v>
      </c>
    </row>
    <row r="62" spans="1:17" x14ac:dyDescent="0.25">
      <c r="A62" t="s">
        <v>45</v>
      </c>
      <c r="B62">
        <v>2</v>
      </c>
      <c r="C62" t="s">
        <v>91</v>
      </c>
      <c r="D62" s="39">
        <v>45813</v>
      </c>
      <c r="E62" t="s">
        <v>78</v>
      </c>
      <c r="F62" t="s">
        <v>79</v>
      </c>
      <c r="G62">
        <v>4</v>
      </c>
      <c r="H62" t="s">
        <v>92</v>
      </c>
      <c r="I62">
        <v>0</v>
      </c>
      <c r="J62" t="s">
        <v>81</v>
      </c>
      <c r="K62" t="s">
        <v>79</v>
      </c>
      <c r="L62">
        <v>9</v>
      </c>
      <c r="M62">
        <v>136</v>
      </c>
      <c r="N62">
        <v>3.6</v>
      </c>
      <c r="Q62">
        <v>132.4</v>
      </c>
    </row>
    <row r="63" spans="1:17" x14ac:dyDescent="0.25">
      <c r="A63" t="s">
        <v>46</v>
      </c>
      <c r="B63">
        <v>2</v>
      </c>
      <c r="C63" t="s">
        <v>91</v>
      </c>
      <c r="D63" s="39">
        <v>45813</v>
      </c>
      <c r="E63" t="s">
        <v>78</v>
      </c>
      <c r="F63" t="s">
        <v>79</v>
      </c>
      <c r="G63">
        <v>4</v>
      </c>
      <c r="H63" t="s">
        <v>92</v>
      </c>
      <c r="I63">
        <v>0</v>
      </c>
      <c r="J63" t="s">
        <v>81</v>
      </c>
      <c r="K63" t="s">
        <v>79</v>
      </c>
      <c r="L63">
        <v>7</v>
      </c>
      <c r="M63">
        <v>111.10000000000002</v>
      </c>
      <c r="N63">
        <v>2.8000000000000003</v>
      </c>
      <c r="Q63">
        <v>108.30000000000003</v>
      </c>
    </row>
    <row r="64" spans="1:17" x14ac:dyDescent="0.25">
      <c r="A64" t="s">
        <v>45</v>
      </c>
      <c r="B64">
        <v>3</v>
      </c>
      <c r="C64" t="s">
        <v>83</v>
      </c>
      <c r="D64" s="39">
        <v>45813</v>
      </c>
      <c r="E64" t="s">
        <v>78</v>
      </c>
      <c r="F64" t="s">
        <v>79</v>
      </c>
      <c r="G64">
        <v>7</v>
      </c>
      <c r="H64">
        <v>5</v>
      </c>
      <c r="I64">
        <v>0</v>
      </c>
      <c r="J64" t="s">
        <v>81</v>
      </c>
      <c r="K64" t="s">
        <v>79</v>
      </c>
      <c r="L64">
        <v>4</v>
      </c>
      <c r="M64">
        <v>146.85</v>
      </c>
      <c r="N64">
        <v>2.8</v>
      </c>
      <c r="Q64">
        <v>144.04999999999998</v>
      </c>
    </row>
    <row r="65" spans="1:17" x14ac:dyDescent="0.25">
      <c r="A65" t="s">
        <v>45</v>
      </c>
      <c r="B65">
        <v>3</v>
      </c>
      <c r="C65" t="s">
        <v>85</v>
      </c>
      <c r="D65" s="39">
        <v>45813</v>
      </c>
      <c r="E65" t="s">
        <v>78</v>
      </c>
      <c r="F65" t="s">
        <v>79</v>
      </c>
      <c r="G65">
        <v>12</v>
      </c>
      <c r="H65">
        <v>5</v>
      </c>
      <c r="I65">
        <v>0</v>
      </c>
      <c r="J65" t="s">
        <v>81</v>
      </c>
      <c r="K65" t="s">
        <v>79</v>
      </c>
      <c r="L65">
        <v>4</v>
      </c>
      <c r="M65">
        <v>150.59</v>
      </c>
      <c r="N65">
        <v>5.3</v>
      </c>
      <c r="Q65">
        <v>145.29</v>
      </c>
    </row>
    <row r="66" spans="1:17" x14ac:dyDescent="0.25">
      <c r="A66" t="s">
        <v>46</v>
      </c>
      <c r="B66">
        <v>3</v>
      </c>
      <c r="C66" t="s">
        <v>85</v>
      </c>
      <c r="D66" s="39">
        <v>45813</v>
      </c>
      <c r="E66" t="s">
        <v>78</v>
      </c>
      <c r="F66" t="s">
        <v>79</v>
      </c>
      <c r="G66">
        <v>12</v>
      </c>
      <c r="H66">
        <v>5</v>
      </c>
      <c r="I66">
        <v>0</v>
      </c>
      <c r="J66" t="s">
        <v>81</v>
      </c>
      <c r="K66" t="s">
        <v>79</v>
      </c>
      <c r="L66">
        <v>4</v>
      </c>
      <c r="M66">
        <v>154.70999999999998</v>
      </c>
      <c r="N66">
        <v>5.6</v>
      </c>
      <c r="Q66">
        <v>149.10999999999999</v>
      </c>
    </row>
    <row r="67" spans="1:17" x14ac:dyDescent="0.25">
      <c r="A67" t="s">
        <v>45</v>
      </c>
      <c r="B67">
        <v>4</v>
      </c>
      <c r="C67" t="s">
        <v>166</v>
      </c>
      <c r="D67" s="39">
        <v>45813</v>
      </c>
      <c r="E67" t="s">
        <v>128</v>
      </c>
      <c r="F67" t="s">
        <v>79</v>
      </c>
      <c r="G67" t="s">
        <v>129</v>
      </c>
      <c r="H67" t="s">
        <v>122</v>
      </c>
      <c r="I67" t="s">
        <v>114</v>
      </c>
      <c r="J67">
        <v>100</v>
      </c>
      <c r="K67" t="s">
        <v>79</v>
      </c>
      <c r="L67">
        <v>2</v>
      </c>
      <c r="M67">
        <v>115.15</v>
      </c>
      <c r="N67">
        <v>6.6999999999999993</v>
      </c>
      <c r="Q67">
        <v>108.45</v>
      </c>
    </row>
    <row r="68" spans="1:17" x14ac:dyDescent="0.25">
      <c r="A68" t="s">
        <v>45</v>
      </c>
      <c r="B68">
        <v>4</v>
      </c>
      <c r="C68" t="s">
        <v>167</v>
      </c>
      <c r="D68" s="39">
        <v>45813</v>
      </c>
      <c r="E68" t="s">
        <v>133</v>
      </c>
      <c r="F68" t="s">
        <v>79</v>
      </c>
      <c r="G68">
        <v>28</v>
      </c>
      <c r="H68" t="s">
        <v>113</v>
      </c>
      <c r="I68" t="s">
        <v>99</v>
      </c>
      <c r="J68">
        <v>1000</v>
      </c>
      <c r="K68" t="s">
        <v>79</v>
      </c>
      <c r="L68">
        <v>9</v>
      </c>
      <c r="M68">
        <v>522.29</v>
      </c>
      <c r="N68">
        <v>29.7</v>
      </c>
      <c r="Q68">
        <v>492.59</v>
      </c>
    </row>
    <row r="69" spans="1:17" x14ac:dyDescent="0.25">
      <c r="A69" t="s">
        <v>46</v>
      </c>
      <c r="B69">
        <v>4</v>
      </c>
      <c r="C69" t="s">
        <v>167</v>
      </c>
      <c r="D69" s="39">
        <v>45813</v>
      </c>
      <c r="E69" t="s">
        <v>133</v>
      </c>
      <c r="F69" t="s">
        <v>79</v>
      </c>
      <c r="G69">
        <v>28</v>
      </c>
      <c r="H69" t="s">
        <v>113</v>
      </c>
      <c r="I69" t="s">
        <v>99</v>
      </c>
      <c r="J69">
        <v>1000</v>
      </c>
      <c r="K69" t="s">
        <v>79</v>
      </c>
      <c r="L69">
        <v>7</v>
      </c>
      <c r="M69">
        <v>431.58</v>
      </c>
      <c r="N69">
        <v>24.5</v>
      </c>
      <c r="Q69">
        <v>407.08</v>
      </c>
    </row>
    <row r="70" spans="1:17" x14ac:dyDescent="0.25">
      <c r="A70" t="s">
        <v>45</v>
      </c>
      <c r="B70">
        <v>5</v>
      </c>
      <c r="C70" t="s">
        <v>132</v>
      </c>
      <c r="D70" s="39">
        <v>45813</v>
      </c>
      <c r="E70" t="s">
        <v>78</v>
      </c>
      <c r="F70" t="s">
        <v>79</v>
      </c>
      <c r="G70">
        <v>13</v>
      </c>
      <c r="H70">
        <v>5</v>
      </c>
      <c r="I70">
        <v>0</v>
      </c>
      <c r="J70" t="s">
        <v>81</v>
      </c>
      <c r="K70" t="s">
        <v>79</v>
      </c>
      <c r="L70">
        <v>9</v>
      </c>
      <c r="M70">
        <v>327.17</v>
      </c>
      <c r="N70">
        <v>13.5</v>
      </c>
      <c r="Q70">
        <v>313.67</v>
      </c>
    </row>
    <row r="71" spans="1:17" x14ac:dyDescent="0.25">
      <c r="A71" t="s">
        <v>45</v>
      </c>
      <c r="B71">
        <v>5</v>
      </c>
      <c r="C71" t="s">
        <v>170</v>
      </c>
      <c r="D71" s="39">
        <v>45813</v>
      </c>
      <c r="E71" t="s">
        <v>133</v>
      </c>
      <c r="F71" t="s">
        <v>79</v>
      </c>
      <c r="G71">
        <v>18</v>
      </c>
      <c r="H71" t="s">
        <v>113</v>
      </c>
      <c r="I71" t="s">
        <v>99</v>
      </c>
      <c r="J71">
        <v>1000</v>
      </c>
      <c r="K71" t="s">
        <v>79</v>
      </c>
      <c r="L71">
        <v>4</v>
      </c>
      <c r="M71">
        <v>186.39999999999998</v>
      </c>
      <c r="N71">
        <v>8.1</v>
      </c>
      <c r="Q71">
        <v>178.29999999999998</v>
      </c>
    </row>
    <row r="72" spans="1:17" x14ac:dyDescent="0.25">
      <c r="A72" t="s">
        <v>46</v>
      </c>
      <c r="B72">
        <v>5</v>
      </c>
      <c r="C72" t="s">
        <v>170</v>
      </c>
      <c r="D72" s="39">
        <v>45813</v>
      </c>
      <c r="E72" t="s">
        <v>133</v>
      </c>
      <c r="F72" t="s">
        <v>79</v>
      </c>
      <c r="G72">
        <v>18</v>
      </c>
      <c r="H72" t="s">
        <v>113</v>
      </c>
      <c r="I72" t="s">
        <v>99</v>
      </c>
      <c r="J72">
        <v>1000</v>
      </c>
      <c r="K72" t="s">
        <v>79</v>
      </c>
      <c r="L72">
        <v>8</v>
      </c>
      <c r="M72">
        <v>452.53</v>
      </c>
      <c r="N72">
        <v>17.600000000000001</v>
      </c>
      <c r="Q72">
        <v>434.92999999999995</v>
      </c>
    </row>
    <row r="73" spans="1:17" x14ac:dyDescent="0.25">
      <c r="A73" t="s">
        <v>45</v>
      </c>
      <c r="B73">
        <v>1</v>
      </c>
      <c r="C73" t="s">
        <v>107</v>
      </c>
      <c r="D73" s="39">
        <v>45820</v>
      </c>
      <c r="E73" t="s">
        <v>78</v>
      </c>
      <c r="F73" t="s">
        <v>79</v>
      </c>
      <c r="G73">
        <v>5</v>
      </c>
      <c r="H73" t="s">
        <v>92</v>
      </c>
      <c r="I73">
        <v>0</v>
      </c>
      <c r="J73" t="s">
        <v>81</v>
      </c>
      <c r="K73" t="s">
        <v>79</v>
      </c>
      <c r="L73">
        <v>8</v>
      </c>
      <c r="M73">
        <v>117.72</v>
      </c>
      <c r="N73">
        <v>4</v>
      </c>
      <c r="O73">
        <v>55</v>
      </c>
      <c r="Q73">
        <v>113.72</v>
      </c>
    </row>
    <row r="74" spans="1:17" x14ac:dyDescent="0.25">
      <c r="A74" t="s">
        <v>46</v>
      </c>
      <c r="B74">
        <v>1</v>
      </c>
      <c r="C74" t="s">
        <v>107</v>
      </c>
      <c r="D74" s="39">
        <v>45820</v>
      </c>
      <c r="E74" t="s">
        <v>78</v>
      </c>
      <c r="F74" t="s">
        <v>79</v>
      </c>
      <c r="G74">
        <v>5</v>
      </c>
      <c r="H74" t="s">
        <v>92</v>
      </c>
      <c r="I74">
        <v>0</v>
      </c>
      <c r="J74" t="s">
        <v>81</v>
      </c>
      <c r="K74" t="s">
        <v>79</v>
      </c>
      <c r="L74">
        <v>9</v>
      </c>
      <c r="M74">
        <v>190.32999999999998</v>
      </c>
      <c r="N74">
        <v>4.5</v>
      </c>
      <c r="O74">
        <v>35</v>
      </c>
      <c r="Q74">
        <v>185.82999999999998</v>
      </c>
    </row>
    <row r="75" spans="1:17" x14ac:dyDescent="0.25">
      <c r="A75" t="s">
        <v>45</v>
      </c>
      <c r="B75">
        <v>2</v>
      </c>
      <c r="C75" t="s">
        <v>91</v>
      </c>
      <c r="D75" s="39">
        <v>45820</v>
      </c>
      <c r="E75" t="s">
        <v>78</v>
      </c>
      <c r="F75" t="s">
        <v>79</v>
      </c>
      <c r="G75">
        <v>4</v>
      </c>
      <c r="H75" t="s">
        <v>92</v>
      </c>
      <c r="I75">
        <v>0</v>
      </c>
      <c r="J75" t="s">
        <v>81</v>
      </c>
      <c r="K75" t="s">
        <v>79</v>
      </c>
      <c r="L75">
        <v>7</v>
      </c>
      <c r="M75">
        <v>115.13</v>
      </c>
      <c r="N75">
        <v>2.8000000000000003</v>
      </c>
      <c r="Q75">
        <v>112.33</v>
      </c>
    </row>
    <row r="76" spans="1:17" x14ac:dyDescent="0.25">
      <c r="A76" t="s">
        <v>46</v>
      </c>
      <c r="B76">
        <v>2</v>
      </c>
      <c r="C76" t="s">
        <v>91</v>
      </c>
      <c r="D76" s="39">
        <v>45820</v>
      </c>
      <c r="E76" t="s">
        <v>78</v>
      </c>
      <c r="F76" t="s">
        <v>79</v>
      </c>
      <c r="G76">
        <v>4</v>
      </c>
      <c r="H76" t="s">
        <v>92</v>
      </c>
      <c r="I76">
        <v>0</v>
      </c>
      <c r="J76" t="s">
        <v>81</v>
      </c>
      <c r="K76" t="s">
        <v>79</v>
      </c>
      <c r="L76">
        <v>7</v>
      </c>
      <c r="M76">
        <v>126.81</v>
      </c>
      <c r="N76">
        <v>2.8000000000000003</v>
      </c>
      <c r="Q76">
        <v>124.01</v>
      </c>
    </row>
    <row r="77" spans="1:17" x14ac:dyDescent="0.25">
      <c r="A77" t="s">
        <v>45</v>
      </c>
      <c r="B77">
        <v>3</v>
      </c>
      <c r="C77" t="s">
        <v>83</v>
      </c>
      <c r="D77" s="39">
        <v>45820</v>
      </c>
      <c r="E77" t="s">
        <v>78</v>
      </c>
      <c r="F77" t="s">
        <v>79</v>
      </c>
      <c r="G77">
        <v>7</v>
      </c>
      <c r="H77">
        <v>5</v>
      </c>
      <c r="I77">
        <v>0</v>
      </c>
      <c r="J77" t="s">
        <v>81</v>
      </c>
      <c r="K77" t="s">
        <v>79</v>
      </c>
      <c r="L77">
        <v>7</v>
      </c>
      <c r="M77">
        <v>179.07999999999998</v>
      </c>
      <c r="N77">
        <v>4.8999999999999995</v>
      </c>
      <c r="Q77">
        <v>174.17999999999998</v>
      </c>
    </row>
    <row r="78" spans="1:17" x14ac:dyDescent="0.25">
      <c r="A78" t="s">
        <v>46</v>
      </c>
      <c r="B78">
        <v>3</v>
      </c>
      <c r="C78" t="s">
        <v>83</v>
      </c>
      <c r="D78" s="39">
        <v>45820</v>
      </c>
      <c r="E78" t="s">
        <v>78</v>
      </c>
      <c r="F78" t="s">
        <v>79</v>
      </c>
      <c r="G78">
        <v>7</v>
      </c>
      <c r="H78">
        <v>5</v>
      </c>
      <c r="I78">
        <v>0</v>
      </c>
      <c r="J78" t="s">
        <v>81</v>
      </c>
      <c r="K78" t="s">
        <v>79</v>
      </c>
      <c r="L78">
        <v>8</v>
      </c>
      <c r="M78">
        <v>291.57000000000005</v>
      </c>
      <c r="N78">
        <v>5.6</v>
      </c>
      <c r="Q78">
        <v>285.97000000000003</v>
      </c>
    </row>
    <row r="79" spans="1:17" x14ac:dyDescent="0.25">
      <c r="A79" t="s">
        <v>45</v>
      </c>
      <c r="B79">
        <v>4</v>
      </c>
      <c r="C79" t="s">
        <v>171</v>
      </c>
      <c r="D79" s="39">
        <v>45820</v>
      </c>
      <c r="E79" t="s">
        <v>172</v>
      </c>
      <c r="F79" t="s">
        <v>79</v>
      </c>
      <c r="G79">
        <v>16</v>
      </c>
      <c r="H79" t="s">
        <v>113</v>
      </c>
      <c r="I79" t="s">
        <v>81</v>
      </c>
      <c r="J79">
        <v>200</v>
      </c>
      <c r="K79" t="s">
        <v>79</v>
      </c>
      <c r="L79">
        <v>8</v>
      </c>
      <c r="M79">
        <v>430.71999999999997</v>
      </c>
      <c r="N79">
        <v>15.2</v>
      </c>
      <c r="Q79">
        <v>415.52</v>
      </c>
    </row>
    <row r="80" spans="1:17" x14ac:dyDescent="0.25">
      <c r="A80" t="s">
        <v>46</v>
      </c>
      <c r="B80">
        <v>4</v>
      </c>
      <c r="C80" t="s">
        <v>171</v>
      </c>
      <c r="D80" s="39">
        <v>45820</v>
      </c>
      <c r="E80" t="s">
        <v>172</v>
      </c>
      <c r="F80" t="s">
        <v>79</v>
      </c>
      <c r="G80">
        <v>16</v>
      </c>
      <c r="H80" t="s">
        <v>113</v>
      </c>
      <c r="I80" t="s">
        <v>81</v>
      </c>
      <c r="J80">
        <v>200</v>
      </c>
      <c r="K80" t="s">
        <v>79</v>
      </c>
      <c r="L80">
        <v>11</v>
      </c>
      <c r="M80">
        <v>622.78</v>
      </c>
      <c r="N80">
        <v>20.9</v>
      </c>
      <c r="Q80">
        <v>601.88</v>
      </c>
    </row>
    <row r="81" spans="1:17" x14ac:dyDescent="0.25">
      <c r="A81" t="s">
        <v>45</v>
      </c>
      <c r="B81">
        <v>5</v>
      </c>
      <c r="C81" t="s">
        <v>85</v>
      </c>
      <c r="D81" s="39">
        <v>45820</v>
      </c>
      <c r="E81" t="s">
        <v>78</v>
      </c>
      <c r="F81" t="s">
        <v>79</v>
      </c>
      <c r="G81">
        <v>12</v>
      </c>
      <c r="H81">
        <v>5</v>
      </c>
      <c r="I81">
        <v>0</v>
      </c>
      <c r="J81" t="s">
        <v>81</v>
      </c>
      <c r="K81" t="s">
        <v>79</v>
      </c>
      <c r="L81">
        <v>7</v>
      </c>
      <c r="M81">
        <v>348.67</v>
      </c>
      <c r="N81">
        <v>8.4</v>
      </c>
      <c r="Q81">
        <v>340.27000000000004</v>
      </c>
    </row>
    <row r="82" spans="1:17" x14ac:dyDescent="0.25">
      <c r="A82" t="s">
        <v>46</v>
      </c>
      <c r="B82">
        <v>5</v>
      </c>
      <c r="C82" t="s">
        <v>85</v>
      </c>
      <c r="D82" s="39">
        <v>45820</v>
      </c>
      <c r="E82" t="s">
        <v>78</v>
      </c>
      <c r="F82" t="s">
        <v>79</v>
      </c>
      <c r="G82">
        <v>12</v>
      </c>
      <c r="H82">
        <v>5</v>
      </c>
      <c r="I82">
        <v>0</v>
      </c>
      <c r="J82" t="s">
        <v>81</v>
      </c>
      <c r="K82" t="s">
        <v>79</v>
      </c>
      <c r="L82">
        <v>10</v>
      </c>
      <c r="M82">
        <v>503.28000000000003</v>
      </c>
      <c r="N82">
        <v>15</v>
      </c>
      <c r="Q82">
        <v>488.28000000000003</v>
      </c>
    </row>
    <row r="83" spans="1:17" x14ac:dyDescent="0.25">
      <c r="A83" t="s">
        <v>45</v>
      </c>
      <c r="B83">
        <v>1</v>
      </c>
      <c r="C83" t="s">
        <v>107</v>
      </c>
      <c r="D83" s="39">
        <v>45821</v>
      </c>
      <c r="E83" t="s">
        <v>78</v>
      </c>
      <c r="F83" t="s">
        <v>79</v>
      </c>
      <c r="G83">
        <v>5</v>
      </c>
      <c r="H83" t="s">
        <v>92</v>
      </c>
      <c r="I83">
        <v>0</v>
      </c>
      <c r="J83" t="s">
        <v>81</v>
      </c>
      <c r="K83" t="s">
        <v>79</v>
      </c>
      <c r="L83">
        <v>3</v>
      </c>
      <c r="M83">
        <v>52.3</v>
      </c>
      <c r="N83">
        <v>1.5</v>
      </c>
      <c r="O83">
        <v>30</v>
      </c>
      <c r="Q83">
        <v>50.8</v>
      </c>
    </row>
    <row r="84" spans="1:17" x14ac:dyDescent="0.25">
      <c r="A84" t="s">
        <v>45</v>
      </c>
      <c r="B84">
        <v>1</v>
      </c>
      <c r="C84" t="s">
        <v>77</v>
      </c>
      <c r="D84" s="39">
        <v>45821</v>
      </c>
      <c r="E84" t="s">
        <v>78</v>
      </c>
      <c r="F84" t="s">
        <v>79</v>
      </c>
      <c r="G84">
        <v>3</v>
      </c>
      <c r="H84" t="s">
        <v>92</v>
      </c>
      <c r="I84">
        <v>0</v>
      </c>
      <c r="J84" t="s">
        <v>81</v>
      </c>
      <c r="K84" t="s">
        <v>79</v>
      </c>
      <c r="L84">
        <v>6</v>
      </c>
      <c r="M84">
        <v>80.959999999999994</v>
      </c>
      <c r="N84">
        <v>1.7999999999999998</v>
      </c>
      <c r="Q84">
        <v>79.16</v>
      </c>
    </row>
    <row r="85" spans="1:17" x14ac:dyDescent="0.25">
      <c r="A85" t="s">
        <v>46</v>
      </c>
      <c r="B85">
        <v>1</v>
      </c>
      <c r="C85" t="s">
        <v>77</v>
      </c>
      <c r="D85" s="39">
        <v>45821</v>
      </c>
      <c r="E85" t="s">
        <v>78</v>
      </c>
      <c r="F85" t="s">
        <v>79</v>
      </c>
      <c r="G85">
        <v>3</v>
      </c>
      <c r="H85" t="s">
        <v>92</v>
      </c>
      <c r="I85">
        <v>0</v>
      </c>
      <c r="J85" t="s">
        <v>81</v>
      </c>
      <c r="K85" t="s">
        <v>79</v>
      </c>
      <c r="L85">
        <v>10</v>
      </c>
      <c r="M85">
        <v>149.81</v>
      </c>
      <c r="N85">
        <v>3</v>
      </c>
      <c r="O85">
        <v>35</v>
      </c>
      <c r="Q85">
        <v>146.81</v>
      </c>
    </row>
    <row r="86" spans="1:17" x14ac:dyDescent="0.25">
      <c r="A86" t="s">
        <v>45</v>
      </c>
      <c r="B86">
        <v>2</v>
      </c>
      <c r="C86" t="s">
        <v>91</v>
      </c>
      <c r="D86" s="39">
        <v>45821</v>
      </c>
      <c r="E86" t="s">
        <v>78</v>
      </c>
      <c r="F86" t="s">
        <v>79</v>
      </c>
      <c r="G86">
        <v>4</v>
      </c>
      <c r="H86" t="s">
        <v>92</v>
      </c>
      <c r="I86">
        <v>0</v>
      </c>
      <c r="J86" t="s">
        <v>81</v>
      </c>
      <c r="K86" t="s">
        <v>79</v>
      </c>
      <c r="L86">
        <v>10</v>
      </c>
      <c r="M86">
        <v>155.21</v>
      </c>
      <c r="N86">
        <v>4</v>
      </c>
      <c r="Q86">
        <v>151.21</v>
      </c>
    </row>
    <row r="87" spans="1:17" x14ac:dyDescent="0.25">
      <c r="A87" t="s">
        <v>46</v>
      </c>
      <c r="B87">
        <v>2</v>
      </c>
      <c r="C87" t="s">
        <v>91</v>
      </c>
      <c r="D87" s="39">
        <v>45821</v>
      </c>
      <c r="E87" t="s">
        <v>78</v>
      </c>
      <c r="F87" t="s">
        <v>79</v>
      </c>
      <c r="G87">
        <v>4</v>
      </c>
      <c r="H87" t="s">
        <v>92</v>
      </c>
      <c r="I87">
        <v>0</v>
      </c>
      <c r="J87" t="s">
        <v>81</v>
      </c>
      <c r="K87" t="s">
        <v>79</v>
      </c>
      <c r="L87">
        <v>8</v>
      </c>
      <c r="M87">
        <v>134.32</v>
      </c>
      <c r="N87">
        <v>3.2</v>
      </c>
      <c r="Q87">
        <v>131.12</v>
      </c>
    </row>
    <row r="88" spans="1:17" x14ac:dyDescent="0.25">
      <c r="A88" t="s">
        <v>45</v>
      </c>
      <c r="B88">
        <v>3</v>
      </c>
      <c r="C88" t="s">
        <v>83</v>
      </c>
      <c r="D88" s="39">
        <v>45821</v>
      </c>
      <c r="E88" t="s">
        <v>78</v>
      </c>
      <c r="F88" t="s">
        <v>79</v>
      </c>
      <c r="G88">
        <v>7</v>
      </c>
      <c r="H88">
        <v>5</v>
      </c>
      <c r="I88">
        <v>0</v>
      </c>
      <c r="J88" t="s">
        <v>81</v>
      </c>
      <c r="K88" t="s">
        <v>79</v>
      </c>
      <c r="L88">
        <v>9</v>
      </c>
      <c r="M88">
        <v>299.11</v>
      </c>
      <c r="N88">
        <v>6.3</v>
      </c>
      <c r="Q88">
        <v>292.81</v>
      </c>
    </row>
    <row r="89" spans="1:17" x14ac:dyDescent="0.25">
      <c r="A89" t="s">
        <v>46</v>
      </c>
      <c r="B89">
        <v>3</v>
      </c>
      <c r="C89" t="s">
        <v>83</v>
      </c>
      <c r="D89" s="39">
        <v>45821</v>
      </c>
      <c r="E89" t="s">
        <v>78</v>
      </c>
      <c r="F89" t="s">
        <v>79</v>
      </c>
      <c r="G89">
        <v>7</v>
      </c>
      <c r="H89">
        <v>5</v>
      </c>
      <c r="I89">
        <v>0</v>
      </c>
      <c r="J89" t="s">
        <v>81</v>
      </c>
      <c r="K89" t="s">
        <v>79</v>
      </c>
      <c r="L89">
        <v>8</v>
      </c>
      <c r="M89">
        <v>272.33999999999997</v>
      </c>
      <c r="N89">
        <v>7.2</v>
      </c>
      <c r="Q89">
        <v>265.14</v>
      </c>
    </row>
    <row r="90" spans="1:17" x14ac:dyDescent="0.25">
      <c r="A90" t="s">
        <v>45</v>
      </c>
      <c r="B90">
        <v>4</v>
      </c>
      <c r="C90" t="s">
        <v>171</v>
      </c>
      <c r="D90" s="39">
        <v>45821</v>
      </c>
      <c r="E90" t="s">
        <v>172</v>
      </c>
      <c r="F90" t="s">
        <v>79</v>
      </c>
      <c r="G90">
        <v>16</v>
      </c>
      <c r="H90" t="s">
        <v>113</v>
      </c>
      <c r="I90" t="s">
        <v>81</v>
      </c>
      <c r="J90">
        <v>200</v>
      </c>
      <c r="K90" t="s">
        <v>79</v>
      </c>
      <c r="L90">
        <v>6</v>
      </c>
      <c r="M90">
        <v>290.7</v>
      </c>
      <c r="N90">
        <v>9.6000000000000014</v>
      </c>
      <c r="Q90">
        <v>281.09999999999997</v>
      </c>
    </row>
    <row r="91" spans="1:17" x14ac:dyDescent="0.25">
      <c r="A91" t="s">
        <v>45</v>
      </c>
      <c r="B91">
        <v>4</v>
      </c>
      <c r="C91" t="s">
        <v>173</v>
      </c>
      <c r="D91" s="39">
        <v>45821</v>
      </c>
      <c r="E91" t="s">
        <v>80</v>
      </c>
      <c r="F91" t="s">
        <v>79</v>
      </c>
      <c r="G91">
        <v>19</v>
      </c>
      <c r="H91">
        <v>7</v>
      </c>
      <c r="I91">
        <v>0</v>
      </c>
      <c r="J91">
        <v>300</v>
      </c>
      <c r="K91" t="s">
        <v>79</v>
      </c>
      <c r="L91">
        <v>7</v>
      </c>
      <c r="M91">
        <v>244.38000000000002</v>
      </c>
      <c r="N91">
        <v>13.299999999999999</v>
      </c>
      <c r="Q91">
        <v>231.08</v>
      </c>
    </row>
    <row r="92" spans="1:17" x14ac:dyDescent="0.25">
      <c r="A92" t="s">
        <v>46</v>
      </c>
      <c r="B92">
        <v>4</v>
      </c>
      <c r="C92" t="s">
        <v>173</v>
      </c>
      <c r="D92" s="39">
        <v>45821</v>
      </c>
      <c r="E92" t="s">
        <v>80</v>
      </c>
      <c r="F92" t="s">
        <v>79</v>
      </c>
      <c r="G92">
        <v>19</v>
      </c>
      <c r="H92">
        <v>7</v>
      </c>
      <c r="I92">
        <v>0</v>
      </c>
      <c r="J92">
        <v>300</v>
      </c>
      <c r="K92" t="s">
        <v>79</v>
      </c>
      <c r="L92">
        <v>4</v>
      </c>
      <c r="M92">
        <v>153.18</v>
      </c>
      <c r="N92">
        <v>9.6</v>
      </c>
      <c r="Q92">
        <v>143.58000000000001</v>
      </c>
    </row>
    <row r="93" spans="1:17" x14ac:dyDescent="0.25">
      <c r="A93" t="s">
        <v>46</v>
      </c>
      <c r="B93">
        <v>4</v>
      </c>
      <c r="C93" t="s">
        <v>165</v>
      </c>
      <c r="D93" s="39">
        <v>45821</v>
      </c>
      <c r="E93" t="s">
        <v>84</v>
      </c>
      <c r="F93" t="s">
        <v>79</v>
      </c>
      <c r="G93">
        <v>27</v>
      </c>
      <c r="H93">
        <v>6</v>
      </c>
      <c r="I93">
        <v>0</v>
      </c>
      <c r="J93">
        <v>100</v>
      </c>
      <c r="K93" t="s">
        <v>79</v>
      </c>
      <c r="L93">
        <v>2</v>
      </c>
      <c r="M93">
        <v>117.75999999999999</v>
      </c>
      <c r="N93">
        <v>7.4</v>
      </c>
      <c r="Q93">
        <v>110.35999999999999</v>
      </c>
    </row>
    <row r="94" spans="1:17" x14ac:dyDescent="0.25">
      <c r="A94" t="s">
        <v>46</v>
      </c>
      <c r="B94">
        <v>4</v>
      </c>
      <c r="C94" t="s">
        <v>101</v>
      </c>
      <c r="D94" s="39">
        <v>45821</v>
      </c>
      <c r="E94" t="s">
        <v>78</v>
      </c>
      <c r="F94" t="s">
        <v>79</v>
      </c>
      <c r="G94">
        <v>18</v>
      </c>
      <c r="H94">
        <v>5</v>
      </c>
      <c r="I94">
        <v>0</v>
      </c>
      <c r="J94" t="s">
        <v>81</v>
      </c>
      <c r="K94" t="s">
        <v>79</v>
      </c>
      <c r="L94">
        <v>7</v>
      </c>
      <c r="M94">
        <v>373.96</v>
      </c>
      <c r="N94">
        <v>14.799999999999997</v>
      </c>
      <c r="Q94">
        <v>359.15999999999997</v>
      </c>
    </row>
    <row r="95" spans="1:17" x14ac:dyDescent="0.25">
      <c r="A95" t="s">
        <v>45</v>
      </c>
      <c r="B95">
        <v>5</v>
      </c>
      <c r="C95" t="s">
        <v>85</v>
      </c>
      <c r="D95" s="39">
        <v>45821</v>
      </c>
      <c r="E95" t="s">
        <v>78</v>
      </c>
      <c r="F95" t="s">
        <v>79</v>
      </c>
      <c r="G95">
        <v>12</v>
      </c>
      <c r="H95">
        <v>5</v>
      </c>
      <c r="I95">
        <v>0</v>
      </c>
      <c r="J95" t="s">
        <v>81</v>
      </c>
      <c r="K95" t="s">
        <v>79</v>
      </c>
      <c r="L95">
        <v>9</v>
      </c>
      <c r="M95">
        <v>448.37999999999994</v>
      </c>
      <c r="N95">
        <v>10.799999999999999</v>
      </c>
      <c r="Q95">
        <v>437.57999999999993</v>
      </c>
    </row>
    <row r="96" spans="1:17" x14ac:dyDescent="0.25">
      <c r="A96" t="s">
        <v>45</v>
      </c>
      <c r="B96">
        <v>5</v>
      </c>
      <c r="C96" t="s">
        <v>88</v>
      </c>
      <c r="D96" s="39">
        <v>45821</v>
      </c>
      <c r="E96" t="s">
        <v>78</v>
      </c>
      <c r="F96" t="s">
        <v>79</v>
      </c>
      <c r="G96">
        <v>10</v>
      </c>
      <c r="H96">
        <v>5</v>
      </c>
      <c r="I96">
        <v>0</v>
      </c>
      <c r="J96" t="s">
        <v>81</v>
      </c>
      <c r="K96" t="s">
        <v>79</v>
      </c>
      <c r="L96">
        <v>1</v>
      </c>
      <c r="M96">
        <v>44.2</v>
      </c>
      <c r="N96">
        <v>1.2</v>
      </c>
      <c r="Q96">
        <v>43</v>
      </c>
    </row>
    <row r="97" spans="1:17" x14ac:dyDescent="0.25">
      <c r="A97" t="s">
        <v>46</v>
      </c>
      <c r="B97">
        <v>5</v>
      </c>
      <c r="C97" t="s">
        <v>88</v>
      </c>
      <c r="D97" s="39">
        <v>45821</v>
      </c>
      <c r="E97" t="s">
        <v>78</v>
      </c>
      <c r="F97" t="s">
        <v>79</v>
      </c>
      <c r="G97">
        <v>10</v>
      </c>
      <c r="H97">
        <v>5</v>
      </c>
      <c r="I97">
        <v>0</v>
      </c>
      <c r="J97" t="s">
        <v>81</v>
      </c>
      <c r="K97" t="s">
        <v>79</v>
      </c>
      <c r="L97">
        <v>11</v>
      </c>
      <c r="M97">
        <v>507.41999999999996</v>
      </c>
      <c r="N97">
        <v>13.2</v>
      </c>
      <c r="Q97">
        <v>494.21999999999997</v>
      </c>
    </row>
    <row r="98" spans="1:17" x14ac:dyDescent="0.25">
      <c r="A98" t="s">
        <v>45</v>
      </c>
      <c r="B98">
        <v>1</v>
      </c>
      <c r="C98" t="s">
        <v>77</v>
      </c>
      <c r="D98" s="39">
        <v>45822</v>
      </c>
      <c r="E98" t="s">
        <v>78</v>
      </c>
      <c r="F98" t="s">
        <v>79</v>
      </c>
      <c r="G98">
        <v>3</v>
      </c>
      <c r="H98" t="s">
        <v>92</v>
      </c>
      <c r="I98">
        <v>0</v>
      </c>
      <c r="J98" t="s">
        <v>81</v>
      </c>
      <c r="K98" t="s">
        <v>79</v>
      </c>
      <c r="L98">
        <v>9</v>
      </c>
      <c r="M98">
        <v>141.62</v>
      </c>
      <c r="N98">
        <v>2.6999999999999997</v>
      </c>
      <c r="O98">
        <v>34</v>
      </c>
      <c r="Q98">
        <v>138.92000000000002</v>
      </c>
    </row>
    <row r="99" spans="1:17" x14ac:dyDescent="0.25">
      <c r="A99" t="s">
        <v>46</v>
      </c>
      <c r="B99">
        <v>1</v>
      </c>
      <c r="C99" t="s">
        <v>77</v>
      </c>
      <c r="D99" s="39">
        <v>45822</v>
      </c>
      <c r="E99" t="s">
        <v>78</v>
      </c>
      <c r="F99" t="s">
        <v>79</v>
      </c>
      <c r="G99">
        <v>3</v>
      </c>
      <c r="H99" t="s">
        <v>92</v>
      </c>
      <c r="I99">
        <v>0</v>
      </c>
      <c r="J99" t="s">
        <v>81</v>
      </c>
      <c r="K99" t="s">
        <v>79</v>
      </c>
      <c r="L99">
        <v>9</v>
      </c>
      <c r="M99">
        <v>151.08999999999997</v>
      </c>
      <c r="N99">
        <v>2.6999999999999997</v>
      </c>
      <c r="O99">
        <v>23</v>
      </c>
      <c r="Q99">
        <v>148.38999999999999</v>
      </c>
    </row>
    <row r="100" spans="1:17" x14ac:dyDescent="0.25">
      <c r="A100" t="s">
        <v>45</v>
      </c>
      <c r="B100">
        <v>2</v>
      </c>
      <c r="C100" t="s">
        <v>91</v>
      </c>
      <c r="D100" s="39">
        <v>45822</v>
      </c>
      <c r="E100" t="s">
        <v>78</v>
      </c>
      <c r="F100" t="s">
        <v>79</v>
      </c>
      <c r="G100">
        <v>4</v>
      </c>
      <c r="H100" t="s">
        <v>92</v>
      </c>
      <c r="I100">
        <v>0</v>
      </c>
      <c r="J100" t="s">
        <v>81</v>
      </c>
      <c r="K100" t="s">
        <v>79</v>
      </c>
      <c r="L100">
        <v>8</v>
      </c>
      <c r="M100">
        <v>128.91999999999999</v>
      </c>
      <c r="N100">
        <v>3.2</v>
      </c>
      <c r="Q100">
        <v>125.71999999999998</v>
      </c>
    </row>
    <row r="101" spans="1:17" x14ac:dyDescent="0.25">
      <c r="A101" t="s">
        <v>46</v>
      </c>
      <c r="B101">
        <v>2</v>
      </c>
      <c r="C101" t="s">
        <v>91</v>
      </c>
      <c r="D101" s="39">
        <v>45822</v>
      </c>
      <c r="E101" t="s">
        <v>78</v>
      </c>
      <c r="F101" t="s">
        <v>79</v>
      </c>
      <c r="G101">
        <v>4</v>
      </c>
      <c r="H101" t="s">
        <v>92</v>
      </c>
      <c r="I101">
        <v>0</v>
      </c>
      <c r="J101" t="s">
        <v>81</v>
      </c>
      <c r="K101" t="s">
        <v>79</v>
      </c>
      <c r="L101">
        <v>7</v>
      </c>
      <c r="M101">
        <v>145.44999999999999</v>
      </c>
      <c r="N101">
        <v>2.8000000000000003</v>
      </c>
      <c r="Q101">
        <v>142.64999999999998</v>
      </c>
    </row>
    <row r="102" spans="1:17" x14ac:dyDescent="0.25">
      <c r="A102" t="s">
        <v>45</v>
      </c>
      <c r="B102">
        <v>3</v>
      </c>
      <c r="C102" t="s">
        <v>83</v>
      </c>
      <c r="D102" s="39">
        <v>45822</v>
      </c>
      <c r="E102" t="s">
        <v>78</v>
      </c>
      <c r="F102" t="s">
        <v>79</v>
      </c>
      <c r="G102">
        <v>7</v>
      </c>
      <c r="H102">
        <v>5</v>
      </c>
      <c r="I102">
        <v>0</v>
      </c>
      <c r="J102" t="s">
        <v>81</v>
      </c>
      <c r="K102" t="s">
        <v>79</v>
      </c>
      <c r="L102">
        <v>3</v>
      </c>
      <c r="M102">
        <v>101.8</v>
      </c>
      <c r="N102">
        <v>2.0999999999999996</v>
      </c>
      <c r="Q102">
        <v>99.7</v>
      </c>
    </row>
    <row r="103" spans="1:17" x14ac:dyDescent="0.25">
      <c r="A103" t="s">
        <v>45</v>
      </c>
      <c r="B103">
        <v>3</v>
      </c>
      <c r="C103" t="s">
        <v>94</v>
      </c>
      <c r="D103" s="39">
        <v>45822</v>
      </c>
      <c r="E103" t="s">
        <v>78</v>
      </c>
      <c r="F103" t="s">
        <v>79</v>
      </c>
      <c r="G103">
        <v>8</v>
      </c>
      <c r="H103">
        <v>5</v>
      </c>
      <c r="I103">
        <v>0</v>
      </c>
      <c r="J103" t="s">
        <v>81</v>
      </c>
      <c r="K103" t="s">
        <v>79</v>
      </c>
      <c r="L103">
        <v>4</v>
      </c>
      <c r="M103">
        <v>144.70999999999998</v>
      </c>
      <c r="N103">
        <v>3.2</v>
      </c>
      <c r="Q103">
        <v>141.51</v>
      </c>
    </row>
    <row r="104" spans="1:17" x14ac:dyDescent="0.25">
      <c r="A104" t="s">
        <v>46</v>
      </c>
      <c r="B104">
        <v>3</v>
      </c>
      <c r="C104" t="s">
        <v>94</v>
      </c>
      <c r="D104" s="39">
        <v>45822</v>
      </c>
      <c r="E104" t="s">
        <v>78</v>
      </c>
      <c r="F104" t="s">
        <v>79</v>
      </c>
      <c r="G104">
        <v>8</v>
      </c>
      <c r="H104">
        <v>5</v>
      </c>
      <c r="I104">
        <v>0</v>
      </c>
      <c r="J104" t="s">
        <v>81</v>
      </c>
      <c r="K104" t="s">
        <v>79</v>
      </c>
      <c r="L104">
        <v>7</v>
      </c>
      <c r="M104">
        <v>278.43</v>
      </c>
      <c r="N104">
        <v>5.6000000000000005</v>
      </c>
      <c r="Q104">
        <v>272.83</v>
      </c>
    </row>
    <row r="105" spans="1:17" x14ac:dyDescent="0.25">
      <c r="A105" t="s">
        <v>45</v>
      </c>
      <c r="B105">
        <v>4</v>
      </c>
      <c r="C105" t="s">
        <v>170</v>
      </c>
      <c r="D105" s="39">
        <v>45822</v>
      </c>
      <c r="E105" t="s">
        <v>133</v>
      </c>
      <c r="F105" t="s">
        <v>79</v>
      </c>
      <c r="G105">
        <v>18</v>
      </c>
      <c r="H105" t="s">
        <v>113</v>
      </c>
      <c r="I105" t="s">
        <v>99</v>
      </c>
      <c r="J105">
        <v>1000</v>
      </c>
      <c r="K105" t="s">
        <v>79</v>
      </c>
      <c r="L105">
        <v>11</v>
      </c>
      <c r="M105">
        <v>589.9799999999999</v>
      </c>
      <c r="N105">
        <v>19.8</v>
      </c>
      <c r="Q105">
        <v>570.17999999999995</v>
      </c>
    </row>
    <row r="106" spans="1:17" x14ac:dyDescent="0.25">
      <c r="A106" t="s">
        <v>46</v>
      </c>
      <c r="B106">
        <v>4</v>
      </c>
      <c r="C106" t="s">
        <v>170</v>
      </c>
      <c r="D106" s="39">
        <v>45822</v>
      </c>
      <c r="E106" t="s">
        <v>133</v>
      </c>
      <c r="F106" t="s">
        <v>79</v>
      </c>
      <c r="G106">
        <v>18</v>
      </c>
      <c r="H106" t="s">
        <v>113</v>
      </c>
      <c r="I106" t="s">
        <v>99</v>
      </c>
      <c r="J106">
        <v>1000</v>
      </c>
      <c r="K106" t="s">
        <v>79</v>
      </c>
      <c r="L106">
        <v>6</v>
      </c>
      <c r="M106">
        <v>312.94</v>
      </c>
      <c r="N106">
        <v>11.8</v>
      </c>
      <c r="Q106">
        <v>301.14</v>
      </c>
    </row>
    <row r="107" spans="1:17" x14ac:dyDescent="0.25">
      <c r="A107" t="s">
        <v>46</v>
      </c>
      <c r="B107">
        <v>4</v>
      </c>
      <c r="C107" t="s">
        <v>101</v>
      </c>
      <c r="D107" s="39">
        <v>45822</v>
      </c>
      <c r="E107" t="s">
        <v>78</v>
      </c>
      <c r="F107" t="s">
        <v>79</v>
      </c>
      <c r="G107">
        <v>18</v>
      </c>
      <c r="H107">
        <v>5</v>
      </c>
      <c r="I107">
        <v>0</v>
      </c>
      <c r="J107" t="s">
        <v>81</v>
      </c>
      <c r="K107" t="s">
        <v>79</v>
      </c>
      <c r="L107">
        <v>11</v>
      </c>
      <c r="M107">
        <v>482.61999999999995</v>
      </c>
      <c r="N107">
        <v>24.200000000000003</v>
      </c>
      <c r="Q107">
        <v>458.41999999999996</v>
      </c>
    </row>
    <row r="108" spans="1:17" x14ac:dyDescent="0.25">
      <c r="A108" t="s">
        <v>45</v>
      </c>
      <c r="B108">
        <v>5</v>
      </c>
      <c r="C108" t="s">
        <v>88</v>
      </c>
      <c r="D108" s="39">
        <v>45822</v>
      </c>
      <c r="E108" t="s">
        <v>78</v>
      </c>
      <c r="F108" t="s">
        <v>79</v>
      </c>
      <c r="G108">
        <v>10</v>
      </c>
      <c r="H108">
        <v>5</v>
      </c>
      <c r="I108">
        <v>0</v>
      </c>
      <c r="J108" t="s">
        <v>81</v>
      </c>
      <c r="K108" t="s">
        <v>79</v>
      </c>
      <c r="L108">
        <v>9</v>
      </c>
      <c r="M108">
        <v>400.13</v>
      </c>
      <c r="N108">
        <v>10.799999999999999</v>
      </c>
      <c r="Q108">
        <v>389.33</v>
      </c>
    </row>
    <row r="109" spans="1:17" x14ac:dyDescent="0.25">
      <c r="A109" t="s">
        <v>46</v>
      </c>
      <c r="B109">
        <v>5</v>
      </c>
      <c r="C109" t="s">
        <v>88</v>
      </c>
      <c r="D109" s="39">
        <v>45822</v>
      </c>
      <c r="E109" t="s">
        <v>78</v>
      </c>
      <c r="F109" t="s">
        <v>79</v>
      </c>
      <c r="G109">
        <v>10</v>
      </c>
      <c r="H109">
        <v>5</v>
      </c>
      <c r="I109">
        <v>0</v>
      </c>
      <c r="J109" t="s">
        <v>81</v>
      </c>
      <c r="K109" t="s">
        <v>79</v>
      </c>
      <c r="L109">
        <v>4</v>
      </c>
      <c r="M109">
        <v>184.26999999999998</v>
      </c>
      <c r="N109">
        <v>4.8</v>
      </c>
      <c r="Q109">
        <v>179.46999999999997</v>
      </c>
    </row>
    <row r="110" spans="1:17" x14ac:dyDescent="0.25">
      <c r="A110" t="s">
        <v>46</v>
      </c>
      <c r="B110">
        <v>5</v>
      </c>
      <c r="C110" t="s">
        <v>95</v>
      </c>
      <c r="D110" s="39">
        <v>45822</v>
      </c>
      <c r="E110" t="s">
        <v>78</v>
      </c>
      <c r="F110" t="s">
        <v>79</v>
      </c>
      <c r="G110">
        <v>14</v>
      </c>
      <c r="H110">
        <v>5</v>
      </c>
      <c r="I110">
        <v>0</v>
      </c>
      <c r="J110" t="s">
        <v>81</v>
      </c>
      <c r="K110" t="s">
        <v>79</v>
      </c>
      <c r="L110">
        <v>5</v>
      </c>
      <c r="M110">
        <v>269.01000000000005</v>
      </c>
      <c r="N110">
        <v>8.5</v>
      </c>
      <c r="Q110">
        <v>260.51000000000005</v>
      </c>
    </row>
    <row r="111" spans="1:17" x14ac:dyDescent="0.25">
      <c r="A111" t="s">
        <v>45</v>
      </c>
      <c r="B111">
        <v>1</v>
      </c>
      <c r="C111" t="s">
        <v>77</v>
      </c>
      <c r="D111" s="39">
        <v>45823</v>
      </c>
      <c r="E111" t="s">
        <v>78</v>
      </c>
      <c r="F111" t="s">
        <v>79</v>
      </c>
      <c r="G111">
        <v>3</v>
      </c>
      <c r="H111" t="s">
        <v>92</v>
      </c>
      <c r="I111">
        <v>0</v>
      </c>
      <c r="J111" t="s">
        <v>81</v>
      </c>
      <c r="K111" t="s">
        <v>79</v>
      </c>
      <c r="L111">
        <v>7</v>
      </c>
      <c r="M111">
        <v>103.75</v>
      </c>
      <c r="N111">
        <v>2.1</v>
      </c>
      <c r="O111">
        <v>25</v>
      </c>
      <c r="Q111">
        <v>101.65</v>
      </c>
    </row>
    <row r="112" spans="1:17" x14ac:dyDescent="0.25">
      <c r="A112" t="s">
        <v>45</v>
      </c>
      <c r="B112">
        <v>1</v>
      </c>
      <c r="C112" t="s">
        <v>82</v>
      </c>
      <c r="D112" s="39">
        <v>45823</v>
      </c>
      <c r="E112" t="s">
        <v>78</v>
      </c>
      <c r="F112" t="s">
        <v>79</v>
      </c>
      <c r="G112">
        <v>2</v>
      </c>
      <c r="H112" t="s">
        <v>92</v>
      </c>
      <c r="I112">
        <v>0</v>
      </c>
      <c r="J112" t="s">
        <v>81</v>
      </c>
      <c r="K112" t="s">
        <v>79</v>
      </c>
      <c r="L112">
        <v>2</v>
      </c>
      <c r="M112">
        <v>52.36</v>
      </c>
      <c r="N112">
        <v>0.4</v>
      </c>
      <c r="Q112">
        <v>51.96</v>
      </c>
    </row>
    <row r="113" spans="1:17" x14ac:dyDescent="0.25">
      <c r="A113" t="s">
        <v>46</v>
      </c>
      <c r="B113">
        <v>1</v>
      </c>
      <c r="C113" t="s">
        <v>82</v>
      </c>
      <c r="D113" s="39">
        <v>45823</v>
      </c>
      <c r="E113" t="s">
        <v>78</v>
      </c>
      <c r="F113" t="s">
        <v>79</v>
      </c>
      <c r="G113">
        <v>2</v>
      </c>
      <c r="H113" t="s">
        <v>92</v>
      </c>
      <c r="I113">
        <v>0</v>
      </c>
      <c r="J113" t="s">
        <v>81</v>
      </c>
      <c r="K113" t="s">
        <v>79</v>
      </c>
      <c r="L113">
        <v>7</v>
      </c>
      <c r="M113">
        <v>145.54</v>
      </c>
      <c r="N113">
        <v>1.4000000000000001</v>
      </c>
      <c r="O113">
        <v>20</v>
      </c>
      <c r="Q113">
        <v>144.13999999999999</v>
      </c>
    </row>
    <row r="114" spans="1:17" x14ac:dyDescent="0.25">
      <c r="A114" t="s">
        <v>45</v>
      </c>
      <c r="B114">
        <v>2</v>
      </c>
      <c r="C114" t="s">
        <v>91</v>
      </c>
      <c r="D114" s="39">
        <v>45823</v>
      </c>
      <c r="E114" t="s">
        <v>78</v>
      </c>
      <c r="F114" t="s">
        <v>79</v>
      </c>
      <c r="G114">
        <v>4</v>
      </c>
      <c r="H114" t="s">
        <v>92</v>
      </c>
      <c r="I114">
        <v>0</v>
      </c>
      <c r="J114" t="s">
        <v>81</v>
      </c>
      <c r="K114" t="s">
        <v>79</v>
      </c>
      <c r="L114">
        <v>10</v>
      </c>
      <c r="M114">
        <v>157.23999999999998</v>
      </c>
      <c r="N114">
        <v>4</v>
      </c>
      <c r="Q114">
        <v>153.23999999999998</v>
      </c>
    </row>
    <row r="115" spans="1:17" x14ac:dyDescent="0.25">
      <c r="A115" t="s">
        <v>46</v>
      </c>
      <c r="B115">
        <v>2</v>
      </c>
      <c r="C115" t="s">
        <v>91</v>
      </c>
      <c r="D115" s="39">
        <v>45823</v>
      </c>
      <c r="E115" t="s">
        <v>78</v>
      </c>
      <c r="F115" t="s">
        <v>79</v>
      </c>
      <c r="G115">
        <v>4</v>
      </c>
      <c r="H115" t="s">
        <v>92</v>
      </c>
      <c r="I115">
        <v>0</v>
      </c>
      <c r="J115" t="s">
        <v>81</v>
      </c>
      <c r="K115" t="s">
        <v>79</v>
      </c>
      <c r="L115">
        <v>10</v>
      </c>
      <c r="M115">
        <v>153.13</v>
      </c>
      <c r="N115">
        <v>4</v>
      </c>
      <c r="Q115">
        <v>149.13</v>
      </c>
    </row>
    <row r="116" spans="1:17" x14ac:dyDescent="0.25">
      <c r="A116" t="s">
        <v>45</v>
      </c>
      <c r="B116">
        <v>3</v>
      </c>
      <c r="C116" t="s">
        <v>94</v>
      </c>
      <c r="D116" s="39">
        <v>45823</v>
      </c>
      <c r="E116" t="s">
        <v>78</v>
      </c>
      <c r="F116" t="s">
        <v>79</v>
      </c>
      <c r="G116">
        <v>8</v>
      </c>
      <c r="H116">
        <v>5</v>
      </c>
      <c r="I116">
        <v>0</v>
      </c>
      <c r="J116" t="s">
        <v>81</v>
      </c>
      <c r="K116" t="s">
        <v>79</v>
      </c>
      <c r="L116">
        <v>4</v>
      </c>
      <c r="M116">
        <v>157.34</v>
      </c>
      <c r="N116">
        <v>4</v>
      </c>
      <c r="Q116">
        <v>153.34</v>
      </c>
    </row>
    <row r="117" spans="1:17" x14ac:dyDescent="0.25">
      <c r="A117" t="s">
        <v>45</v>
      </c>
      <c r="B117">
        <v>3</v>
      </c>
      <c r="C117" t="s">
        <v>90</v>
      </c>
      <c r="D117" s="39">
        <v>45823</v>
      </c>
      <c r="E117" t="s">
        <v>78</v>
      </c>
      <c r="F117" t="s">
        <v>79</v>
      </c>
      <c r="G117">
        <v>9</v>
      </c>
      <c r="H117">
        <v>5</v>
      </c>
      <c r="I117">
        <v>0</v>
      </c>
      <c r="J117" t="s">
        <v>81</v>
      </c>
      <c r="K117" t="s">
        <v>79</v>
      </c>
      <c r="L117">
        <v>3</v>
      </c>
      <c r="M117">
        <v>127.38</v>
      </c>
      <c r="N117">
        <v>3.3000000000000003</v>
      </c>
      <c r="Q117">
        <v>124.08</v>
      </c>
    </row>
    <row r="118" spans="1:17" x14ac:dyDescent="0.25">
      <c r="A118" t="s">
        <v>46</v>
      </c>
      <c r="B118">
        <v>3</v>
      </c>
      <c r="C118" t="s">
        <v>90</v>
      </c>
      <c r="D118" s="39">
        <v>45823</v>
      </c>
      <c r="E118" t="s">
        <v>78</v>
      </c>
      <c r="F118" t="s">
        <v>79</v>
      </c>
      <c r="G118">
        <v>9</v>
      </c>
      <c r="H118">
        <v>5</v>
      </c>
      <c r="I118">
        <v>0</v>
      </c>
      <c r="J118" t="s">
        <v>81</v>
      </c>
      <c r="K118" t="s">
        <v>79</v>
      </c>
      <c r="L118">
        <v>6</v>
      </c>
      <c r="M118">
        <v>239.12</v>
      </c>
      <c r="N118">
        <v>5.4</v>
      </c>
      <c r="Q118">
        <v>233.72</v>
      </c>
    </row>
    <row r="119" spans="1:17" x14ac:dyDescent="0.25">
      <c r="A119" t="s">
        <v>45</v>
      </c>
      <c r="B119">
        <v>4</v>
      </c>
      <c r="C119" t="s">
        <v>174</v>
      </c>
      <c r="D119" s="39">
        <v>45823</v>
      </c>
      <c r="E119" t="s">
        <v>84</v>
      </c>
      <c r="F119" t="s">
        <v>79</v>
      </c>
      <c r="G119">
        <v>18</v>
      </c>
      <c r="H119" t="s">
        <v>98</v>
      </c>
      <c r="I119">
        <v>0</v>
      </c>
      <c r="J119">
        <v>250</v>
      </c>
      <c r="K119" t="s">
        <v>79</v>
      </c>
      <c r="L119">
        <v>3</v>
      </c>
      <c r="M119">
        <v>163.44</v>
      </c>
      <c r="N119">
        <v>6.4</v>
      </c>
      <c r="Q119">
        <v>157.04</v>
      </c>
    </row>
    <row r="120" spans="1:17" x14ac:dyDescent="0.25">
      <c r="A120" t="s">
        <v>45</v>
      </c>
      <c r="B120">
        <v>4</v>
      </c>
      <c r="C120" t="s">
        <v>175</v>
      </c>
      <c r="D120" s="39">
        <v>45823</v>
      </c>
      <c r="E120" t="s">
        <v>84</v>
      </c>
      <c r="F120" t="s">
        <v>79</v>
      </c>
      <c r="G120">
        <v>20</v>
      </c>
      <c r="H120">
        <v>4.5</v>
      </c>
      <c r="I120">
        <v>0</v>
      </c>
      <c r="J120">
        <v>100</v>
      </c>
      <c r="K120" t="s">
        <v>79</v>
      </c>
      <c r="L120">
        <v>3</v>
      </c>
      <c r="M120">
        <v>167.84</v>
      </c>
      <c r="N120">
        <v>6.8999999999999995</v>
      </c>
      <c r="Q120">
        <v>160.94</v>
      </c>
    </row>
    <row r="121" spans="1:17" x14ac:dyDescent="0.25">
      <c r="A121" t="s">
        <v>45</v>
      </c>
      <c r="B121">
        <v>4</v>
      </c>
      <c r="C121" t="s">
        <v>158</v>
      </c>
      <c r="D121" s="39">
        <v>45823</v>
      </c>
      <c r="E121" t="s">
        <v>133</v>
      </c>
      <c r="F121" t="s">
        <v>79</v>
      </c>
      <c r="G121">
        <v>20</v>
      </c>
      <c r="H121" t="s">
        <v>113</v>
      </c>
      <c r="I121" t="s">
        <v>99</v>
      </c>
      <c r="J121">
        <v>1000</v>
      </c>
      <c r="K121" t="s">
        <v>79</v>
      </c>
      <c r="L121">
        <v>6</v>
      </c>
      <c r="M121">
        <v>350.07</v>
      </c>
      <c r="N121">
        <v>15.600000000000001</v>
      </c>
      <c r="Q121">
        <v>334.46999999999997</v>
      </c>
    </row>
    <row r="122" spans="1:17" x14ac:dyDescent="0.25">
      <c r="A122" t="s">
        <v>46</v>
      </c>
      <c r="B122">
        <v>4</v>
      </c>
      <c r="C122" t="s">
        <v>158</v>
      </c>
      <c r="D122" s="39">
        <v>45823</v>
      </c>
      <c r="E122" t="s">
        <v>133</v>
      </c>
      <c r="F122" t="s">
        <v>79</v>
      </c>
      <c r="G122">
        <v>20</v>
      </c>
      <c r="H122" t="s">
        <v>113</v>
      </c>
      <c r="I122" t="s">
        <v>99</v>
      </c>
      <c r="J122">
        <v>1000</v>
      </c>
      <c r="K122" t="s">
        <v>79</v>
      </c>
      <c r="L122">
        <v>12</v>
      </c>
      <c r="M122">
        <v>656.14</v>
      </c>
      <c r="N122">
        <v>31.200000000000003</v>
      </c>
      <c r="Q122">
        <v>624.93999999999994</v>
      </c>
    </row>
    <row r="123" spans="1:17" x14ac:dyDescent="0.25">
      <c r="A123" t="s">
        <v>45</v>
      </c>
      <c r="B123">
        <v>5</v>
      </c>
      <c r="C123" t="s">
        <v>95</v>
      </c>
      <c r="D123" s="39">
        <v>45823</v>
      </c>
      <c r="E123" t="s">
        <v>78</v>
      </c>
      <c r="F123" t="s">
        <v>79</v>
      </c>
      <c r="G123">
        <v>14</v>
      </c>
      <c r="H123">
        <v>5</v>
      </c>
      <c r="I123">
        <v>0</v>
      </c>
      <c r="J123" t="s">
        <v>81</v>
      </c>
      <c r="K123" t="s">
        <v>79</v>
      </c>
      <c r="L123">
        <v>8</v>
      </c>
      <c r="M123">
        <v>460.28</v>
      </c>
      <c r="N123">
        <v>13.6</v>
      </c>
      <c r="Q123">
        <v>446.67999999999995</v>
      </c>
    </row>
    <row r="124" spans="1:17" x14ac:dyDescent="0.25">
      <c r="A124" t="s">
        <v>46</v>
      </c>
      <c r="B124">
        <v>5</v>
      </c>
      <c r="C124" t="s">
        <v>95</v>
      </c>
      <c r="D124" s="39">
        <v>45823</v>
      </c>
      <c r="E124" t="s">
        <v>78</v>
      </c>
      <c r="F124" t="s">
        <v>79</v>
      </c>
      <c r="G124">
        <v>14</v>
      </c>
      <c r="H124">
        <v>5</v>
      </c>
      <c r="I124">
        <v>0</v>
      </c>
      <c r="J124" t="s">
        <v>81</v>
      </c>
      <c r="K124" t="s">
        <v>79</v>
      </c>
      <c r="L124">
        <v>9</v>
      </c>
      <c r="M124">
        <v>476.85</v>
      </c>
      <c r="N124">
        <v>15.299999999999999</v>
      </c>
      <c r="Q124">
        <v>461.55</v>
      </c>
    </row>
    <row r="125" spans="1:17" x14ac:dyDescent="0.25">
      <c r="A125" t="s">
        <v>46</v>
      </c>
      <c r="B125">
        <v>5</v>
      </c>
      <c r="C125" t="s">
        <v>85</v>
      </c>
      <c r="D125" s="39">
        <v>45823</v>
      </c>
      <c r="E125" t="s">
        <v>78</v>
      </c>
      <c r="F125" t="s">
        <v>79</v>
      </c>
      <c r="G125">
        <v>12</v>
      </c>
      <c r="H125">
        <v>5</v>
      </c>
      <c r="I125">
        <v>0</v>
      </c>
      <c r="J125" t="s">
        <v>81</v>
      </c>
      <c r="K125" t="s">
        <v>79</v>
      </c>
      <c r="L125">
        <v>1</v>
      </c>
      <c r="M125">
        <v>32.96</v>
      </c>
      <c r="N125">
        <v>1.2</v>
      </c>
      <c r="Q125">
        <v>31.76</v>
      </c>
    </row>
    <row r="126" spans="1:17" x14ac:dyDescent="0.25">
      <c r="A126" t="s">
        <v>45</v>
      </c>
      <c r="B126">
        <v>1</v>
      </c>
      <c r="C126" t="s">
        <v>82</v>
      </c>
      <c r="D126" s="39">
        <v>45824</v>
      </c>
      <c r="E126" t="s">
        <v>78</v>
      </c>
      <c r="F126" t="s">
        <v>79</v>
      </c>
      <c r="G126">
        <v>2</v>
      </c>
      <c r="H126" t="s">
        <v>92</v>
      </c>
      <c r="I126">
        <v>0</v>
      </c>
      <c r="J126" t="s">
        <v>81</v>
      </c>
      <c r="K126" t="s">
        <v>79</v>
      </c>
      <c r="L126">
        <v>6</v>
      </c>
      <c r="M126">
        <v>117.02</v>
      </c>
      <c r="N126">
        <v>1.2000000000000002</v>
      </c>
      <c r="O126">
        <v>18</v>
      </c>
      <c r="Q126">
        <v>115.82</v>
      </c>
    </row>
    <row r="127" spans="1:17" x14ac:dyDescent="0.25">
      <c r="A127" t="s">
        <v>46</v>
      </c>
      <c r="B127">
        <v>1</v>
      </c>
      <c r="C127" t="s">
        <v>82</v>
      </c>
      <c r="D127" s="39">
        <v>45824</v>
      </c>
      <c r="E127" t="s">
        <v>78</v>
      </c>
      <c r="F127" t="s">
        <v>79</v>
      </c>
      <c r="G127">
        <v>2</v>
      </c>
      <c r="H127" t="s">
        <v>92</v>
      </c>
      <c r="I127">
        <v>0</v>
      </c>
      <c r="J127" t="s">
        <v>81</v>
      </c>
      <c r="K127" t="s">
        <v>79</v>
      </c>
      <c r="L127">
        <v>10</v>
      </c>
      <c r="M127">
        <v>124.69</v>
      </c>
      <c r="N127">
        <v>2</v>
      </c>
      <c r="O127">
        <v>17</v>
      </c>
      <c r="Q127">
        <v>122.69</v>
      </c>
    </row>
    <row r="128" spans="1:17" x14ac:dyDescent="0.25">
      <c r="A128" t="s">
        <v>45</v>
      </c>
      <c r="B128">
        <v>2</v>
      </c>
      <c r="C128" t="s">
        <v>91</v>
      </c>
      <c r="D128" s="39">
        <v>45824</v>
      </c>
      <c r="E128" t="s">
        <v>78</v>
      </c>
      <c r="F128" t="s">
        <v>79</v>
      </c>
      <c r="G128">
        <v>4</v>
      </c>
      <c r="H128" t="s">
        <v>92</v>
      </c>
      <c r="I128">
        <v>0</v>
      </c>
      <c r="J128" t="s">
        <v>81</v>
      </c>
      <c r="K128" t="s">
        <v>79</v>
      </c>
      <c r="L128">
        <v>7</v>
      </c>
      <c r="M128">
        <v>132.29</v>
      </c>
      <c r="N128">
        <v>2.8000000000000003</v>
      </c>
      <c r="Q128">
        <v>129.48999999999998</v>
      </c>
    </row>
    <row r="129" spans="1:17" x14ac:dyDescent="0.25">
      <c r="A129" t="s">
        <v>46</v>
      </c>
      <c r="B129">
        <v>2</v>
      </c>
      <c r="C129" t="s">
        <v>91</v>
      </c>
      <c r="D129" s="39">
        <v>45824</v>
      </c>
      <c r="E129" t="s">
        <v>78</v>
      </c>
      <c r="F129" t="s">
        <v>79</v>
      </c>
      <c r="G129">
        <v>4</v>
      </c>
      <c r="H129" t="s">
        <v>92</v>
      </c>
      <c r="I129">
        <v>0</v>
      </c>
      <c r="J129" t="s">
        <v>81</v>
      </c>
      <c r="K129" t="s">
        <v>79</v>
      </c>
      <c r="L129">
        <v>10</v>
      </c>
      <c r="M129">
        <v>133.47000000000003</v>
      </c>
      <c r="N129">
        <v>4</v>
      </c>
      <c r="Q129">
        <v>129.47000000000003</v>
      </c>
    </row>
    <row r="130" spans="1:17" x14ac:dyDescent="0.25">
      <c r="A130" t="s">
        <v>45</v>
      </c>
      <c r="B130">
        <v>3</v>
      </c>
      <c r="C130" t="s">
        <v>176</v>
      </c>
      <c r="D130" s="39">
        <v>45824</v>
      </c>
      <c r="E130" t="s">
        <v>84</v>
      </c>
      <c r="F130" t="s">
        <v>79</v>
      </c>
      <c r="G130">
        <v>9</v>
      </c>
      <c r="H130">
        <v>4.5</v>
      </c>
      <c r="I130">
        <v>0</v>
      </c>
      <c r="J130">
        <v>150</v>
      </c>
      <c r="K130" t="s">
        <v>79</v>
      </c>
      <c r="L130">
        <v>4</v>
      </c>
      <c r="M130">
        <v>158.47999999999999</v>
      </c>
      <c r="N130">
        <v>4.4000000000000004</v>
      </c>
      <c r="Q130">
        <v>154.07999999999998</v>
      </c>
    </row>
    <row r="131" spans="1:17" x14ac:dyDescent="0.25">
      <c r="A131" t="s">
        <v>45</v>
      </c>
      <c r="B131">
        <v>3</v>
      </c>
      <c r="C131" t="s">
        <v>177</v>
      </c>
      <c r="D131" s="39">
        <v>45824</v>
      </c>
      <c r="E131" t="s">
        <v>84</v>
      </c>
      <c r="F131" t="s">
        <v>79</v>
      </c>
      <c r="G131">
        <v>7</v>
      </c>
      <c r="H131">
        <v>15</v>
      </c>
      <c r="I131">
        <v>0</v>
      </c>
      <c r="J131">
        <v>250</v>
      </c>
      <c r="K131" t="s">
        <v>79</v>
      </c>
      <c r="L131">
        <v>5</v>
      </c>
      <c r="M131">
        <v>137.29000000000002</v>
      </c>
      <c r="N131">
        <v>4.5</v>
      </c>
      <c r="Q131">
        <v>132.79000000000002</v>
      </c>
    </row>
    <row r="132" spans="1:17" x14ac:dyDescent="0.25">
      <c r="A132" t="s">
        <v>46</v>
      </c>
      <c r="B132">
        <v>3</v>
      </c>
      <c r="C132" t="s">
        <v>177</v>
      </c>
      <c r="D132" s="39">
        <v>45824</v>
      </c>
      <c r="E132" t="s">
        <v>84</v>
      </c>
      <c r="F132" t="s">
        <v>79</v>
      </c>
      <c r="G132">
        <v>7</v>
      </c>
      <c r="H132">
        <v>15</v>
      </c>
      <c r="I132">
        <v>0</v>
      </c>
      <c r="J132">
        <v>250</v>
      </c>
      <c r="K132" t="s">
        <v>79</v>
      </c>
      <c r="L132">
        <v>8</v>
      </c>
      <c r="M132">
        <v>193.2</v>
      </c>
      <c r="N132">
        <v>5.6</v>
      </c>
      <c r="Q132">
        <v>187.6</v>
      </c>
    </row>
    <row r="133" spans="1:17" x14ac:dyDescent="0.25">
      <c r="A133" t="s">
        <v>46</v>
      </c>
      <c r="B133">
        <v>3</v>
      </c>
      <c r="C133" t="s">
        <v>178</v>
      </c>
      <c r="D133" s="39">
        <v>45824</v>
      </c>
      <c r="E133" t="s">
        <v>179</v>
      </c>
      <c r="F133" t="s">
        <v>79</v>
      </c>
      <c r="G133">
        <v>7</v>
      </c>
      <c r="H133" t="s">
        <v>93</v>
      </c>
      <c r="I133" t="s">
        <v>81</v>
      </c>
      <c r="J133">
        <v>100</v>
      </c>
      <c r="K133" t="s">
        <v>79</v>
      </c>
      <c r="L133">
        <v>3</v>
      </c>
      <c r="M133">
        <v>75.8</v>
      </c>
      <c r="N133">
        <v>2.0999999999999996</v>
      </c>
      <c r="Q133">
        <v>73.7</v>
      </c>
    </row>
    <row r="134" spans="1:17" x14ac:dyDescent="0.25">
      <c r="A134" t="s">
        <v>45</v>
      </c>
      <c r="B134">
        <v>4</v>
      </c>
      <c r="C134" t="s">
        <v>158</v>
      </c>
      <c r="D134" s="39">
        <v>45824</v>
      </c>
      <c r="E134" t="s">
        <v>133</v>
      </c>
      <c r="F134" t="s">
        <v>79</v>
      </c>
      <c r="G134">
        <v>20</v>
      </c>
      <c r="H134" t="s">
        <v>113</v>
      </c>
      <c r="I134" t="s">
        <v>99</v>
      </c>
      <c r="J134">
        <v>1000</v>
      </c>
      <c r="K134" t="s">
        <v>79</v>
      </c>
      <c r="L134">
        <v>7</v>
      </c>
      <c r="M134">
        <v>452.06000000000006</v>
      </c>
      <c r="N134">
        <v>17.5</v>
      </c>
      <c r="Q134">
        <v>434.56000000000006</v>
      </c>
    </row>
    <row r="135" spans="1:17" x14ac:dyDescent="0.25">
      <c r="A135" t="s">
        <v>45</v>
      </c>
      <c r="B135">
        <v>4</v>
      </c>
      <c r="C135" t="s">
        <v>180</v>
      </c>
      <c r="D135" s="39">
        <v>45824</v>
      </c>
      <c r="E135" t="s">
        <v>133</v>
      </c>
      <c r="F135" t="s">
        <v>79</v>
      </c>
      <c r="G135">
        <v>24</v>
      </c>
      <c r="H135" t="s">
        <v>113</v>
      </c>
      <c r="I135" t="s">
        <v>99</v>
      </c>
      <c r="J135">
        <v>500</v>
      </c>
      <c r="K135" t="s">
        <v>79</v>
      </c>
      <c r="L135">
        <v>3</v>
      </c>
      <c r="M135">
        <v>206.22</v>
      </c>
      <c r="N135">
        <v>8.5</v>
      </c>
      <c r="Q135">
        <v>197.72</v>
      </c>
    </row>
    <row r="136" spans="1:17" x14ac:dyDescent="0.25">
      <c r="A136" t="s">
        <v>46</v>
      </c>
      <c r="B136">
        <v>4</v>
      </c>
      <c r="C136" t="s">
        <v>180</v>
      </c>
      <c r="D136" s="39">
        <v>45824</v>
      </c>
      <c r="E136" t="s">
        <v>133</v>
      </c>
      <c r="F136" t="s">
        <v>79</v>
      </c>
      <c r="G136">
        <v>24</v>
      </c>
      <c r="H136" t="s">
        <v>113</v>
      </c>
      <c r="I136" t="s">
        <v>99</v>
      </c>
      <c r="J136">
        <v>500</v>
      </c>
      <c r="K136" t="s">
        <v>79</v>
      </c>
      <c r="L136">
        <v>10</v>
      </c>
      <c r="M136">
        <v>640.15</v>
      </c>
      <c r="N136">
        <v>29</v>
      </c>
      <c r="Q136">
        <v>611.15</v>
      </c>
    </row>
    <row r="137" spans="1:17" x14ac:dyDescent="0.25">
      <c r="A137" t="s">
        <v>45</v>
      </c>
      <c r="B137">
        <v>5</v>
      </c>
      <c r="C137" t="s">
        <v>181</v>
      </c>
      <c r="D137" s="39">
        <v>45824</v>
      </c>
      <c r="E137" t="s">
        <v>84</v>
      </c>
      <c r="F137" t="s">
        <v>79</v>
      </c>
      <c r="G137">
        <v>12</v>
      </c>
      <c r="H137">
        <v>4.5</v>
      </c>
      <c r="I137">
        <v>0</v>
      </c>
      <c r="J137">
        <v>200</v>
      </c>
      <c r="K137" t="s">
        <v>79</v>
      </c>
      <c r="L137">
        <v>3</v>
      </c>
      <c r="M137">
        <v>175.6</v>
      </c>
      <c r="N137">
        <v>4.5</v>
      </c>
      <c r="Q137">
        <v>171.1</v>
      </c>
    </row>
    <row r="138" spans="1:17" x14ac:dyDescent="0.25">
      <c r="A138" t="s">
        <v>45</v>
      </c>
      <c r="B138">
        <v>5</v>
      </c>
      <c r="C138" t="s">
        <v>182</v>
      </c>
      <c r="D138" s="39">
        <v>45824</v>
      </c>
      <c r="E138" t="s">
        <v>84</v>
      </c>
      <c r="F138" t="s">
        <v>79</v>
      </c>
      <c r="G138">
        <v>12</v>
      </c>
      <c r="H138">
        <v>4</v>
      </c>
      <c r="I138">
        <v>0</v>
      </c>
      <c r="J138">
        <v>100</v>
      </c>
      <c r="K138" t="s">
        <v>79</v>
      </c>
      <c r="L138">
        <v>3</v>
      </c>
      <c r="M138">
        <v>172.73999999999998</v>
      </c>
      <c r="N138">
        <v>4.5</v>
      </c>
      <c r="Q138">
        <v>168.23999999999998</v>
      </c>
    </row>
    <row r="139" spans="1:17" x14ac:dyDescent="0.25">
      <c r="A139" t="s">
        <v>46</v>
      </c>
      <c r="B139">
        <v>5</v>
      </c>
      <c r="C139" t="s">
        <v>182</v>
      </c>
      <c r="D139" s="39">
        <v>45824</v>
      </c>
      <c r="E139" t="s">
        <v>84</v>
      </c>
      <c r="F139" t="s">
        <v>79</v>
      </c>
      <c r="G139">
        <v>12</v>
      </c>
      <c r="H139">
        <v>4</v>
      </c>
      <c r="I139">
        <v>0</v>
      </c>
      <c r="J139">
        <v>100</v>
      </c>
      <c r="K139" t="s">
        <v>79</v>
      </c>
      <c r="L139">
        <v>8</v>
      </c>
      <c r="M139">
        <v>364.26000000000005</v>
      </c>
      <c r="N139">
        <v>12</v>
      </c>
      <c r="Q139">
        <v>352.26000000000005</v>
      </c>
    </row>
    <row r="140" spans="1:17" x14ac:dyDescent="0.25">
      <c r="A140" t="s">
        <v>45</v>
      </c>
      <c r="B140">
        <v>1</v>
      </c>
      <c r="C140" t="s">
        <v>82</v>
      </c>
      <c r="D140" s="39">
        <v>45825</v>
      </c>
      <c r="E140" t="s">
        <v>78</v>
      </c>
      <c r="F140" t="s">
        <v>79</v>
      </c>
      <c r="G140">
        <v>2</v>
      </c>
      <c r="H140" t="s">
        <v>92</v>
      </c>
      <c r="I140">
        <v>0</v>
      </c>
      <c r="J140" t="s">
        <v>81</v>
      </c>
      <c r="K140" t="s">
        <v>79</v>
      </c>
      <c r="L140">
        <v>8</v>
      </c>
      <c r="M140">
        <v>93.22</v>
      </c>
      <c r="N140">
        <v>1.6</v>
      </c>
      <c r="O140">
        <v>16</v>
      </c>
      <c r="Q140">
        <v>91.62</v>
      </c>
    </row>
    <row r="141" spans="1:17" x14ac:dyDescent="0.25">
      <c r="A141" t="s">
        <v>45</v>
      </c>
      <c r="B141">
        <v>1</v>
      </c>
      <c r="C141" t="s">
        <v>77</v>
      </c>
      <c r="D141" s="39">
        <v>45825</v>
      </c>
      <c r="E141" t="s">
        <v>78</v>
      </c>
      <c r="F141" t="s">
        <v>79</v>
      </c>
      <c r="G141">
        <v>3</v>
      </c>
      <c r="H141" t="s">
        <v>92</v>
      </c>
      <c r="I141">
        <v>0</v>
      </c>
      <c r="J141" t="s">
        <v>81</v>
      </c>
      <c r="K141" t="s">
        <v>79</v>
      </c>
      <c r="L141">
        <v>1</v>
      </c>
      <c r="M141">
        <v>16.149999999999999</v>
      </c>
      <c r="N141">
        <v>0.3</v>
      </c>
      <c r="O141">
        <v>15</v>
      </c>
      <c r="Q141">
        <v>15.849999999999998</v>
      </c>
    </row>
    <row r="142" spans="1:17" x14ac:dyDescent="0.25">
      <c r="A142" t="s">
        <v>45</v>
      </c>
      <c r="B142">
        <v>2</v>
      </c>
      <c r="C142" t="s">
        <v>91</v>
      </c>
      <c r="D142" s="39">
        <v>45825</v>
      </c>
      <c r="E142" t="s">
        <v>78</v>
      </c>
      <c r="F142" t="s">
        <v>79</v>
      </c>
      <c r="G142">
        <v>4</v>
      </c>
      <c r="H142" t="s">
        <v>92</v>
      </c>
      <c r="I142">
        <v>0</v>
      </c>
      <c r="J142" t="s">
        <v>81</v>
      </c>
      <c r="K142" t="s">
        <v>79</v>
      </c>
      <c r="L142">
        <v>6</v>
      </c>
      <c r="M142">
        <v>97.219999999999985</v>
      </c>
      <c r="N142">
        <v>2.4000000000000004</v>
      </c>
      <c r="Q142">
        <v>94.819999999999979</v>
      </c>
    </row>
    <row r="143" spans="1:17" x14ac:dyDescent="0.25">
      <c r="A143" t="s">
        <v>45</v>
      </c>
      <c r="B143">
        <v>2</v>
      </c>
      <c r="C143" t="s">
        <v>139</v>
      </c>
      <c r="D143" s="39">
        <v>45825</v>
      </c>
      <c r="E143" t="s">
        <v>78</v>
      </c>
      <c r="F143" t="s">
        <v>79</v>
      </c>
      <c r="G143">
        <v>4.5</v>
      </c>
      <c r="H143" t="s">
        <v>92</v>
      </c>
      <c r="I143">
        <v>0</v>
      </c>
      <c r="J143" t="s">
        <v>81</v>
      </c>
      <c r="K143" t="s">
        <v>79</v>
      </c>
      <c r="L143">
        <v>2</v>
      </c>
      <c r="M143">
        <v>33.010000000000005</v>
      </c>
      <c r="N143">
        <v>0.9</v>
      </c>
      <c r="Q143">
        <v>32.110000000000007</v>
      </c>
    </row>
    <row r="144" spans="1:17" x14ac:dyDescent="0.25">
      <c r="A144" t="s">
        <v>45</v>
      </c>
      <c r="B144">
        <v>3</v>
      </c>
      <c r="C144" t="s">
        <v>178</v>
      </c>
      <c r="D144" s="39">
        <v>45825</v>
      </c>
      <c r="E144" t="s">
        <v>179</v>
      </c>
      <c r="F144" t="s">
        <v>79</v>
      </c>
      <c r="G144">
        <v>7</v>
      </c>
      <c r="H144" t="s">
        <v>93</v>
      </c>
      <c r="I144" t="s">
        <v>81</v>
      </c>
      <c r="J144">
        <v>100</v>
      </c>
      <c r="K144" t="s">
        <v>79</v>
      </c>
      <c r="L144">
        <v>1</v>
      </c>
      <c r="M144">
        <v>31.75</v>
      </c>
      <c r="N144">
        <v>0.9</v>
      </c>
      <c r="Q144">
        <v>30.85</v>
      </c>
    </row>
    <row r="145" spans="1:17" x14ac:dyDescent="0.25">
      <c r="A145" t="s">
        <v>45</v>
      </c>
      <c r="B145">
        <v>3</v>
      </c>
      <c r="C145" t="s">
        <v>112</v>
      </c>
      <c r="D145" s="39">
        <v>45825</v>
      </c>
      <c r="E145" t="s">
        <v>78</v>
      </c>
      <c r="F145" t="s">
        <v>79</v>
      </c>
      <c r="G145">
        <v>6</v>
      </c>
      <c r="H145">
        <v>5</v>
      </c>
      <c r="I145">
        <v>0</v>
      </c>
      <c r="J145" t="s">
        <v>81</v>
      </c>
      <c r="K145" t="s">
        <v>79</v>
      </c>
      <c r="L145">
        <v>5</v>
      </c>
      <c r="M145">
        <v>157.55000000000001</v>
      </c>
      <c r="N145">
        <v>4</v>
      </c>
      <c r="Q145">
        <v>153.55000000000001</v>
      </c>
    </row>
    <row r="146" spans="1:17" x14ac:dyDescent="0.25">
      <c r="A146" t="s">
        <v>46</v>
      </c>
      <c r="B146">
        <v>3</v>
      </c>
      <c r="C146" t="s">
        <v>112</v>
      </c>
      <c r="D146" s="39">
        <v>45825</v>
      </c>
      <c r="E146" t="s">
        <v>78</v>
      </c>
      <c r="F146" t="s">
        <v>79</v>
      </c>
      <c r="G146">
        <v>6</v>
      </c>
      <c r="H146">
        <v>5</v>
      </c>
      <c r="I146">
        <v>0</v>
      </c>
      <c r="J146" t="s">
        <v>81</v>
      </c>
      <c r="K146" t="s">
        <v>79</v>
      </c>
      <c r="L146">
        <v>9</v>
      </c>
      <c r="M146">
        <v>231.04000000000002</v>
      </c>
      <c r="N146">
        <v>7.2</v>
      </c>
      <c r="Q146">
        <v>223.84000000000003</v>
      </c>
    </row>
    <row r="147" spans="1:17" x14ac:dyDescent="0.25">
      <c r="A147" t="s">
        <v>45</v>
      </c>
      <c r="B147">
        <v>4</v>
      </c>
      <c r="C147" t="s">
        <v>180</v>
      </c>
      <c r="D147" s="39">
        <v>45825</v>
      </c>
      <c r="E147" t="s">
        <v>133</v>
      </c>
      <c r="F147" t="s">
        <v>79</v>
      </c>
      <c r="G147">
        <v>24</v>
      </c>
      <c r="H147" t="s">
        <v>113</v>
      </c>
      <c r="I147" t="s">
        <v>99</v>
      </c>
      <c r="J147">
        <v>500</v>
      </c>
      <c r="K147" t="s">
        <v>79</v>
      </c>
      <c r="L147">
        <v>7</v>
      </c>
      <c r="M147">
        <v>470.64</v>
      </c>
      <c r="N147">
        <v>20.3</v>
      </c>
      <c r="Q147">
        <v>450.34</v>
      </c>
    </row>
    <row r="148" spans="1:17" x14ac:dyDescent="0.25">
      <c r="A148" t="s">
        <v>45</v>
      </c>
      <c r="B148">
        <v>4</v>
      </c>
      <c r="C148" t="s">
        <v>101</v>
      </c>
      <c r="D148" s="39">
        <v>45825</v>
      </c>
      <c r="E148" t="s">
        <v>78</v>
      </c>
      <c r="F148" t="s">
        <v>79</v>
      </c>
      <c r="G148">
        <v>18</v>
      </c>
      <c r="H148">
        <v>5</v>
      </c>
      <c r="I148">
        <v>0</v>
      </c>
      <c r="J148" t="s">
        <v>81</v>
      </c>
      <c r="K148" t="s">
        <v>79</v>
      </c>
      <c r="L148">
        <v>4</v>
      </c>
      <c r="M148">
        <v>212.12</v>
      </c>
      <c r="N148">
        <v>8.4</v>
      </c>
      <c r="Q148">
        <v>203.72</v>
      </c>
    </row>
    <row r="149" spans="1:17" x14ac:dyDescent="0.25">
      <c r="A149" t="s">
        <v>46</v>
      </c>
      <c r="B149">
        <v>4</v>
      </c>
      <c r="C149" t="s">
        <v>101</v>
      </c>
      <c r="D149" s="39">
        <v>45825</v>
      </c>
      <c r="E149" t="s">
        <v>78</v>
      </c>
      <c r="F149" t="s">
        <v>79</v>
      </c>
      <c r="G149">
        <v>18</v>
      </c>
      <c r="H149">
        <v>5</v>
      </c>
      <c r="I149">
        <v>0</v>
      </c>
      <c r="J149" t="s">
        <v>81</v>
      </c>
      <c r="K149" t="s">
        <v>79</v>
      </c>
      <c r="L149">
        <v>13</v>
      </c>
      <c r="M149">
        <v>606.21</v>
      </c>
      <c r="N149">
        <v>27.3</v>
      </c>
      <c r="Q149">
        <v>578.91000000000008</v>
      </c>
    </row>
    <row r="150" spans="1:17" x14ac:dyDescent="0.25">
      <c r="A150" t="s">
        <v>45</v>
      </c>
      <c r="B150">
        <v>5</v>
      </c>
      <c r="C150" t="s">
        <v>85</v>
      </c>
      <c r="D150" s="39">
        <v>45825</v>
      </c>
      <c r="E150" t="s">
        <v>78</v>
      </c>
      <c r="F150" t="s">
        <v>79</v>
      </c>
      <c r="G150">
        <v>12</v>
      </c>
      <c r="H150">
        <v>5</v>
      </c>
      <c r="I150">
        <v>0</v>
      </c>
      <c r="J150" t="s">
        <v>81</v>
      </c>
      <c r="K150" t="s">
        <v>79</v>
      </c>
      <c r="L150">
        <v>2</v>
      </c>
      <c r="M150">
        <v>111.68</v>
      </c>
      <c r="N150">
        <v>3</v>
      </c>
      <c r="Q150">
        <v>108.68</v>
      </c>
    </row>
    <row r="151" spans="1:17" x14ac:dyDescent="0.25">
      <c r="A151" t="s">
        <v>45</v>
      </c>
      <c r="B151">
        <v>5</v>
      </c>
      <c r="C151" t="s">
        <v>90</v>
      </c>
      <c r="D151" s="39">
        <v>45825</v>
      </c>
      <c r="E151" t="s">
        <v>78</v>
      </c>
      <c r="F151" t="s">
        <v>79</v>
      </c>
      <c r="G151">
        <v>9</v>
      </c>
      <c r="H151">
        <v>5</v>
      </c>
      <c r="I151">
        <v>0</v>
      </c>
      <c r="J151" t="s">
        <v>81</v>
      </c>
      <c r="K151" t="s">
        <v>79</v>
      </c>
      <c r="L151">
        <v>6</v>
      </c>
      <c r="M151">
        <v>240.12000000000003</v>
      </c>
      <c r="N151">
        <v>6.8999999999999995</v>
      </c>
      <c r="Q151">
        <v>233.22000000000003</v>
      </c>
    </row>
    <row r="152" spans="1:17" x14ac:dyDescent="0.25">
      <c r="A152" t="s">
        <v>46</v>
      </c>
      <c r="B152">
        <v>5</v>
      </c>
      <c r="C152" t="s">
        <v>90</v>
      </c>
      <c r="D152" s="39">
        <v>45825</v>
      </c>
      <c r="E152" t="s">
        <v>78</v>
      </c>
      <c r="F152" t="s">
        <v>79</v>
      </c>
      <c r="G152">
        <v>9</v>
      </c>
      <c r="H152">
        <v>5</v>
      </c>
      <c r="I152">
        <v>0</v>
      </c>
      <c r="J152" t="s">
        <v>81</v>
      </c>
      <c r="K152" t="s">
        <v>79</v>
      </c>
      <c r="L152">
        <v>9</v>
      </c>
      <c r="M152">
        <v>314.57</v>
      </c>
      <c r="N152">
        <v>10.35</v>
      </c>
      <c r="Q152">
        <v>304.21999999999997</v>
      </c>
    </row>
    <row r="153" spans="1:17" x14ac:dyDescent="0.25">
      <c r="A153" t="s">
        <v>45</v>
      </c>
      <c r="B153">
        <v>1</v>
      </c>
      <c r="C153" t="s">
        <v>77</v>
      </c>
      <c r="D153" s="39">
        <v>45826</v>
      </c>
      <c r="E153" t="s">
        <v>78</v>
      </c>
      <c r="F153" t="s">
        <v>79</v>
      </c>
      <c r="G153">
        <v>3</v>
      </c>
      <c r="H153" t="s">
        <v>92</v>
      </c>
      <c r="I153">
        <v>0</v>
      </c>
      <c r="J153" t="s">
        <v>81</v>
      </c>
      <c r="K153" t="s">
        <v>79</v>
      </c>
      <c r="L153">
        <v>7</v>
      </c>
      <c r="M153">
        <v>125.80000000000001</v>
      </c>
      <c r="N153">
        <v>2.1</v>
      </c>
      <c r="O153">
        <v>50</v>
      </c>
      <c r="Q153">
        <v>123.70000000000002</v>
      </c>
    </row>
    <row r="154" spans="1:17" x14ac:dyDescent="0.25">
      <c r="A154" t="s">
        <v>46</v>
      </c>
      <c r="B154">
        <v>1</v>
      </c>
      <c r="C154" t="s">
        <v>77</v>
      </c>
      <c r="D154" s="39">
        <v>45826</v>
      </c>
      <c r="E154" t="s">
        <v>78</v>
      </c>
      <c r="F154" t="s">
        <v>79</v>
      </c>
      <c r="G154">
        <v>3</v>
      </c>
      <c r="H154" t="s">
        <v>92</v>
      </c>
      <c r="I154">
        <v>0</v>
      </c>
      <c r="J154" t="s">
        <v>81</v>
      </c>
      <c r="K154" t="s">
        <v>79</v>
      </c>
      <c r="L154">
        <v>8</v>
      </c>
      <c r="M154">
        <v>116.71</v>
      </c>
      <c r="N154">
        <v>2.4</v>
      </c>
      <c r="O154">
        <v>27</v>
      </c>
      <c r="Q154">
        <v>114.30999999999999</v>
      </c>
    </row>
    <row r="155" spans="1:17" x14ac:dyDescent="0.25">
      <c r="A155" t="s">
        <v>45</v>
      </c>
      <c r="B155">
        <v>2</v>
      </c>
      <c r="C155" t="s">
        <v>139</v>
      </c>
      <c r="D155" s="39">
        <v>45826</v>
      </c>
      <c r="E155" t="s">
        <v>78</v>
      </c>
      <c r="F155" t="s">
        <v>79</v>
      </c>
      <c r="G155">
        <v>4.5</v>
      </c>
      <c r="H155" t="s">
        <v>92</v>
      </c>
      <c r="I155">
        <v>0</v>
      </c>
      <c r="J155" t="s">
        <v>81</v>
      </c>
      <c r="K155" t="s">
        <v>79</v>
      </c>
      <c r="L155">
        <v>7</v>
      </c>
      <c r="M155">
        <v>89.52</v>
      </c>
      <c r="N155">
        <v>3.15</v>
      </c>
      <c r="Q155">
        <v>86.36999999999999</v>
      </c>
    </row>
    <row r="156" spans="1:17" x14ac:dyDescent="0.25">
      <c r="A156" t="s">
        <v>46</v>
      </c>
      <c r="B156">
        <v>2</v>
      </c>
      <c r="C156" t="s">
        <v>91</v>
      </c>
      <c r="D156" s="39">
        <v>45826</v>
      </c>
      <c r="E156" t="s">
        <v>78</v>
      </c>
      <c r="F156" t="s">
        <v>79</v>
      </c>
      <c r="G156">
        <v>4</v>
      </c>
      <c r="H156" t="s">
        <v>92</v>
      </c>
      <c r="I156">
        <v>0</v>
      </c>
      <c r="J156" t="s">
        <v>81</v>
      </c>
      <c r="K156" t="s">
        <v>79</v>
      </c>
      <c r="L156">
        <v>8</v>
      </c>
      <c r="M156">
        <v>132.37</v>
      </c>
      <c r="N156">
        <v>3.2</v>
      </c>
      <c r="Q156">
        <v>129.17000000000002</v>
      </c>
    </row>
    <row r="157" spans="1:17" x14ac:dyDescent="0.25">
      <c r="A157" t="s">
        <v>46</v>
      </c>
      <c r="B157">
        <v>2</v>
      </c>
      <c r="C157" t="s">
        <v>110</v>
      </c>
      <c r="D157" s="39">
        <v>45826</v>
      </c>
      <c r="E157" t="s">
        <v>78</v>
      </c>
      <c r="F157" t="s">
        <v>79</v>
      </c>
      <c r="G157">
        <v>3.5</v>
      </c>
      <c r="H157" t="s">
        <v>92</v>
      </c>
      <c r="I157">
        <v>0</v>
      </c>
      <c r="J157" t="s">
        <v>81</v>
      </c>
      <c r="K157" t="s">
        <v>79</v>
      </c>
      <c r="L157">
        <v>1</v>
      </c>
      <c r="M157">
        <v>14.65</v>
      </c>
      <c r="N157">
        <v>0.35</v>
      </c>
      <c r="Q157">
        <v>14.3</v>
      </c>
    </row>
    <row r="158" spans="1:17" x14ac:dyDescent="0.25">
      <c r="A158" t="s">
        <v>45</v>
      </c>
      <c r="B158">
        <v>3</v>
      </c>
      <c r="C158" t="s">
        <v>112</v>
      </c>
      <c r="D158" s="39">
        <v>45826</v>
      </c>
      <c r="E158" t="s">
        <v>78</v>
      </c>
      <c r="F158" t="s">
        <v>79</v>
      </c>
      <c r="G158">
        <v>6</v>
      </c>
      <c r="H158">
        <v>5</v>
      </c>
      <c r="I158">
        <v>0</v>
      </c>
      <c r="J158" t="s">
        <v>81</v>
      </c>
      <c r="K158" t="s">
        <v>79</v>
      </c>
      <c r="L158">
        <v>6</v>
      </c>
      <c r="M158">
        <v>188.75000000000003</v>
      </c>
      <c r="N158">
        <v>4.8000000000000007</v>
      </c>
      <c r="Q158">
        <v>183.95000000000002</v>
      </c>
    </row>
    <row r="159" spans="1:17" x14ac:dyDescent="0.25">
      <c r="A159" t="s">
        <v>45</v>
      </c>
      <c r="B159">
        <v>3</v>
      </c>
      <c r="C159" t="s">
        <v>83</v>
      </c>
      <c r="D159" s="39">
        <v>45826</v>
      </c>
      <c r="E159" t="s">
        <v>78</v>
      </c>
      <c r="F159" t="s">
        <v>79</v>
      </c>
      <c r="G159">
        <v>7</v>
      </c>
      <c r="H159">
        <v>5</v>
      </c>
      <c r="I159">
        <v>0</v>
      </c>
      <c r="J159" t="s">
        <v>81</v>
      </c>
      <c r="K159" t="s">
        <v>79</v>
      </c>
      <c r="L159">
        <v>2</v>
      </c>
      <c r="M159">
        <v>56.6</v>
      </c>
      <c r="N159">
        <v>1.8</v>
      </c>
      <c r="Q159">
        <v>54.800000000000004</v>
      </c>
    </row>
    <row r="160" spans="1:17" x14ac:dyDescent="0.25">
      <c r="A160" t="s">
        <v>45</v>
      </c>
      <c r="B160">
        <v>4</v>
      </c>
      <c r="C160" t="s">
        <v>97</v>
      </c>
      <c r="D160" s="39">
        <v>45826</v>
      </c>
      <c r="E160" t="s">
        <v>78</v>
      </c>
      <c r="F160" t="s">
        <v>79</v>
      </c>
      <c r="G160">
        <v>22</v>
      </c>
      <c r="H160">
        <v>5</v>
      </c>
      <c r="I160">
        <v>0</v>
      </c>
      <c r="J160" t="s">
        <v>81</v>
      </c>
      <c r="K160" t="s">
        <v>79</v>
      </c>
      <c r="L160">
        <v>6</v>
      </c>
      <c r="M160">
        <v>332.88</v>
      </c>
      <c r="N160">
        <v>15.600000000000001</v>
      </c>
      <c r="Q160">
        <v>317.27999999999997</v>
      </c>
    </row>
    <row r="161" spans="1:17" x14ac:dyDescent="0.25">
      <c r="A161" t="s">
        <v>45</v>
      </c>
      <c r="B161">
        <v>4</v>
      </c>
      <c r="C161" t="s">
        <v>89</v>
      </c>
      <c r="D161" s="39">
        <v>45826</v>
      </c>
      <c r="E161" t="s">
        <v>78</v>
      </c>
      <c r="F161" t="s">
        <v>79</v>
      </c>
      <c r="G161">
        <v>16</v>
      </c>
      <c r="H161">
        <v>5</v>
      </c>
      <c r="I161">
        <v>0</v>
      </c>
      <c r="J161" t="s">
        <v>81</v>
      </c>
      <c r="K161" t="s">
        <v>79</v>
      </c>
      <c r="L161">
        <v>6</v>
      </c>
      <c r="M161">
        <v>286.18</v>
      </c>
      <c r="N161">
        <v>11.700000000000001</v>
      </c>
      <c r="Q161">
        <v>274.48</v>
      </c>
    </row>
    <row r="162" spans="1:17" x14ac:dyDescent="0.25">
      <c r="A162" t="s">
        <v>46</v>
      </c>
      <c r="B162">
        <v>4</v>
      </c>
      <c r="C162" t="s">
        <v>89</v>
      </c>
      <c r="D162" s="39">
        <v>45826</v>
      </c>
      <c r="E162" t="s">
        <v>78</v>
      </c>
      <c r="F162" t="s">
        <v>79</v>
      </c>
      <c r="G162">
        <v>16</v>
      </c>
      <c r="H162">
        <v>5</v>
      </c>
      <c r="I162">
        <v>0</v>
      </c>
      <c r="J162" t="s">
        <v>81</v>
      </c>
      <c r="K162" t="s">
        <v>79</v>
      </c>
      <c r="L162">
        <v>10</v>
      </c>
      <c r="M162">
        <v>510.84999999999997</v>
      </c>
      <c r="N162">
        <v>19</v>
      </c>
      <c r="Q162">
        <v>491.84999999999997</v>
      </c>
    </row>
    <row r="163" spans="1:17" x14ac:dyDescent="0.25">
      <c r="A163" t="s">
        <v>46</v>
      </c>
      <c r="B163">
        <v>4</v>
      </c>
      <c r="C163" t="s">
        <v>138</v>
      </c>
      <c r="D163" s="39">
        <v>45826</v>
      </c>
      <c r="E163" t="s">
        <v>78</v>
      </c>
      <c r="F163" t="s">
        <v>79</v>
      </c>
      <c r="G163">
        <v>17</v>
      </c>
      <c r="H163">
        <v>5</v>
      </c>
      <c r="I163">
        <v>0</v>
      </c>
      <c r="J163" t="s">
        <v>81</v>
      </c>
      <c r="K163" t="s">
        <v>79</v>
      </c>
      <c r="L163">
        <v>1</v>
      </c>
      <c r="M163">
        <v>60.7</v>
      </c>
      <c r="N163">
        <v>1.7</v>
      </c>
      <c r="Q163">
        <v>59</v>
      </c>
    </row>
    <row r="164" spans="1:17" x14ac:dyDescent="0.25">
      <c r="A164" t="s">
        <v>45</v>
      </c>
      <c r="B164">
        <v>5</v>
      </c>
      <c r="C164" t="s">
        <v>90</v>
      </c>
      <c r="D164" s="39">
        <v>45826</v>
      </c>
      <c r="E164" t="s">
        <v>78</v>
      </c>
      <c r="F164" t="s">
        <v>79</v>
      </c>
      <c r="G164">
        <v>9</v>
      </c>
      <c r="H164">
        <v>5</v>
      </c>
      <c r="I164">
        <v>0</v>
      </c>
      <c r="J164" t="s">
        <v>81</v>
      </c>
      <c r="K164" t="s">
        <v>79</v>
      </c>
      <c r="L164">
        <v>6</v>
      </c>
      <c r="M164">
        <v>229.73999999999998</v>
      </c>
      <c r="N164">
        <v>6.8999999999999995</v>
      </c>
      <c r="Q164">
        <v>222.83999999999997</v>
      </c>
    </row>
    <row r="165" spans="1:17" x14ac:dyDescent="0.25">
      <c r="A165" t="s">
        <v>45</v>
      </c>
      <c r="B165">
        <v>5</v>
      </c>
      <c r="C165" t="s">
        <v>131</v>
      </c>
      <c r="D165" s="39">
        <v>45826</v>
      </c>
      <c r="E165" t="s">
        <v>78</v>
      </c>
      <c r="F165" t="s">
        <v>79</v>
      </c>
      <c r="G165">
        <v>11</v>
      </c>
      <c r="H165">
        <v>5</v>
      </c>
      <c r="I165">
        <v>0</v>
      </c>
      <c r="J165" t="s">
        <v>81</v>
      </c>
      <c r="K165" t="s">
        <v>79</v>
      </c>
      <c r="L165">
        <v>2</v>
      </c>
      <c r="M165">
        <v>51.980000000000004</v>
      </c>
      <c r="N165">
        <v>2.7</v>
      </c>
      <c r="Q165">
        <v>49.28</v>
      </c>
    </row>
    <row r="166" spans="1:17" x14ac:dyDescent="0.25">
      <c r="A166" t="s">
        <v>46</v>
      </c>
      <c r="B166">
        <v>5</v>
      </c>
      <c r="C166" t="s">
        <v>131</v>
      </c>
      <c r="D166" s="39">
        <v>45826</v>
      </c>
      <c r="E166" t="s">
        <v>78</v>
      </c>
      <c r="F166" t="s">
        <v>79</v>
      </c>
      <c r="G166">
        <v>11</v>
      </c>
      <c r="H166">
        <v>5</v>
      </c>
      <c r="I166">
        <v>0</v>
      </c>
      <c r="J166" t="s">
        <v>81</v>
      </c>
      <c r="K166" t="s">
        <v>79</v>
      </c>
      <c r="L166">
        <v>10</v>
      </c>
      <c r="M166">
        <v>412.75</v>
      </c>
      <c r="N166">
        <v>11</v>
      </c>
      <c r="Q166">
        <v>401.75</v>
      </c>
    </row>
    <row r="167" spans="1:17" x14ac:dyDescent="0.25">
      <c r="A167" t="s">
        <v>45</v>
      </c>
      <c r="B167">
        <v>1</v>
      </c>
      <c r="C167" t="s">
        <v>77</v>
      </c>
      <c r="D167" s="39">
        <v>45827</v>
      </c>
      <c r="E167" t="s">
        <v>78</v>
      </c>
      <c r="F167" t="s">
        <v>79</v>
      </c>
      <c r="G167">
        <v>3</v>
      </c>
      <c r="H167" t="s">
        <v>92</v>
      </c>
      <c r="I167">
        <v>0</v>
      </c>
      <c r="J167" t="s">
        <v>81</v>
      </c>
      <c r="K167" t="s">
        <v>79</v>
      </c>
      <c r="L167">
        <v>9</v>
      </c>
      <c r="M167">
        <v>146.38999999999999</v>
      </c>
      <c r="N167">
        <v>2.6999999999999997</v>
      </c>
      <c r="O167">
        <v>23</v>
      </c>
      <c r="Q167">
        <v>143.69</v>
      </c>
    </row>
    <row r="168" spans="1:17" x14ac:dyDescent="0.25">
      <c r="A168" t="s">
        <v>46</v>
      </c>
      <c r="B168">
        <v>1</v>
      </c>
      <c r="C168" t="s">
        <v>77</v>
      </c>
      <c r="D168" s="39">
        <v>45827</v>
      </c>
      <c r="E168" t="s">
        <v>78</v>
      </c>
      <c r="F168" t="s">
        <v>79</v>
      </c>
      <c r="G168">
        <v>3</v>
      </c>
      <c r="H168" t="s">
        <v>92</v>
      </c>
      <c r="I168">
        <v>0</v>
      </c>
      <c r="J168" t="s">
        <v>81</v>
      </c>
      <c r="K168" t="s">
        <v>79</v>
      </c>
      <c r="L168">
        <v>9</v>
      </c>
      <c r="M168">
        <v>134.1</v>
      </c>
      <c r="N168">
        <v>2.6999999999999997</v>
      </c>
      <c r="O168">
        <v>25</v>
      </c>
      <c r="Q168">
        <v>131.4</v>
      </c>
    </row>
    <row r="169" spans="1:17" x14ac:dyDescent="0.25">
      <c r="A169" t="s">
        <v>46</v>
      </c>
      <c r="B169">
        <v>1</v>
      </c>
      <c r="C169" t="s">
        <v>100</v>
      </c>
      <c r="D169" s="39">
        <v>45827</v>
      </c>
      <c r="E169" t="s">
        <v>78</v>
      </c>
      <c r="F169" t="s">
        <v>79</v>
      </c>
      <c r="G169">
        <v>2.5</v>
      </c>
      <c r="H169" t="s">
        <v>92</v>
      </c>
      <c r="I169">
        <v>0</v>
      </c>
      <c r="J169" t="s">
        <v>81</v>
      </c>
      <c r="K169" t="s">
        <v>79</v>
      </c>
      <c r="L169">
        <v>1</v>
      </c>
      <c r="M169">
        <v>11.81</v>
      </c>
      <c r="N169">
        <v>0.25</v>
      </c>
      <c r="Q169">
        <v>11.56</v>
      </c>
    </row>
    <row r="170" spans="1:17" x14ac:dyDescent="0.25">
      <c r="A170" t="s">
        <v>45</v>
      </c>
      <c r="B170">
        <v>2</v>
      </c>
      <c r="C170" t="s">
        <v>110</v>
      </c>
      <c r="D170" s="39">
        <v>45827</v>
      </c>
      <c r="E170" t="s">
        <v>78</v>
      </c>
      <c r="F170" t="s">
        <v>79</v>
      </c>
      <c r="G170">
        <v>3.5</v>
      </c>
      <c r="H170" t="s">
        <v>92</v>
      </c>
      <c r="I170">
        <v>0</v>
      </c>
      <c r="J170" t="s">
        <v>81</v>
      </c>
      <c r="K170" t="s">
        <v>79</v>
      </c>
      <c r="L170">
        <v>8</v>
      </c>
      <c r="M170">
        <v>113.7</v>
      </c>
      <c r="N170">
        <v>2.8</v>
      </c>
      <c r="Q170">
        <v>110.9</v>
      </c>
    </row>
    <row r="171" spans="1:17" x14ac:dyDescent="0.25">
      <c r="A171" t="s">
        <v>46</v>
      </c>
      <c r="B171">
        <v>2</v>
      </c>
      <c r="C171" t="s">
        <v>91</v>
      </c>
      <c r="D171" s="39">
        <v>45827</v>
      </c>
      <c r="E171" t="s">
        <v>78</v>
      </c>
      <c r="F171" t="s">
        <v>79</v>
      </c>
      <c r="G171">
        <v>4</v>
      </c>
      <c r="H171" t="s">
        <v>92</v>
      </c>
      <c r="I171">
        <v>0</v>
      </c>
      <c r="J171" t="s">
        <v>81</v>
      </c>
      <c r="K171" t="s">
        <v>79</v>
      </c>
      <c r="L171">
        <v>8</v>
      </c>
      <c r="M171">
        <v>128.94</v>
      </c>
      <c r="N171">
        <v>3.2</v>
      </c>
      <c r="Q171">
        <v>125.74</v>
      </c>
    </row>
    <row r="172" spans="1:17" x14ac:dyDescent="0.25">
      <c r="A172" t="s">
        <v>45</v>
      </c>
      <c r="B172">
        <v>4</v>
      </c>
      <c r="C172" t="s">
        <v>138</v>
      </c>
      <c r="D172" s="39">
        <v>45827</v>
      </c>
      <c r="E172" t="s">
        <v>78</v>
      </c>
      <c r="F172" t="s">
        <v>79</v>
      </c>
      <c r="G172">
        <v>17</v>
      </c>
      <c r="H172">
        <v>5</v>
      </c>
      <c r="I172">
        <v>0</v>
      </c>
      <c r="J172" t="s">
        <v>81</v>
      </c>
      <c r="K172" t="s">
        <v>79</v>
      </c>
      <c r="L172">
        <v>4</v>
      </c>
      <c r="M172">
        <v>212.26</v>
      </c>
      <c r="N172">
        <v>7.8000000000000007</v>
      </c>
      <c r="Q172">
        <v>204.45999999999998</v>
      </c>
    </row>
    <row r="173" spans="1:17" x14ac:dyDescent="0.25">
      <c r="A173" t="s">
        <v>45</v>
      </c>
      <c r="B173">
        <v>4</v>
      </c>
      <c r="C173" t="s">
        <v>115</v>
      </c>
      <c r="D173" s="39">
        <v>45827</v>
      </c>
      <c r="E173" t="s">
        <v>78</v>
      </c>
      <c r="F173" t="s">
        <v>79</v>
      </c>
      <c r="G173">
        <v>20</v>
      </c>
      <c r="H173">
        <v>5</v>
      </c>
      <c r="I173">
        <v>0</v>
      </c>
      <c r="J173" t="s">
        <v>81</v>
      </c>
      <c r="K173" t="s">
        <v>79</v>
      </c>
      <c r="L173">
        <v>8</v>
      </c>
      <c r="M173">
        <v>412.99</v>
      </c>
      <c r="N173">
        <v>20</v>
      </c>
      <c r="Q173">
        <v>392.99</v>
      </c>
    </row>
    <row r="174" spans="1:17" x14ac:dyDescent="0.25">
      <c r="A174" t="s">
        <v>46</v>
      </c>
      <c r="B174">
        <v>4</v>
      </c>
      <c r="C174" t="s">
        <v>115</v>
      </c>
      <c r="D174" s="39">
        <v>45827</v>
      </c>
      <c r="E174" t="s">
        <v>78</v>
      </c>
      <c r="F174" t="s">
        <v>79</v>
      </c>
      <c r="G174">
        <v>20</v>
      </c>
      <c r="H174">
        <v>5</v>
      </c>
      <c r="I174">
        <v>0</v>
      </c>
      <c r="J174" t="s">
        <v>81</v>
      </c>
      <c r="K174" t="s">
        <v>79</v>
      </c>
      <c r="L174">
        <v>10</v>
      </c>
      <c r="M174">
        <v>641.89</v>
      </c>
      <c r="N174">
        <v>25</v>
      </c>
      <c r="Q174">
        <v>616.89</v>
      </c>
    </row>
    <row r="175" spans="1:17" x14ac:dyDescent="0.25">
      <c r="A175" t="s">
        <v>45</v>
      </c>
      <c r="B175">
        <v>5</v>
      </c>
      <c r="C175" t="s">
        <v>183</v>
      </c>
      <c r="D175" s="39">
        <v>45827</v>
      </c>
      <c r="E175" t="s">
        <v>184</v>
      </c>
      <c r="F175" t="s">
        <v>79</v>
      </c>
      <c r="G175">
        <v>11</v>
      </c>
      <c r="H175" t="s">
        <v>117</v>
      </c>
      <c r="I175" t="s">
        <v>114</v>
      </c>
      <c r="J175">
        <v>100</v>
      </c>
      <c r="K175" t="s">
        <v>79</v>
      </c>
      <c r="L175">
        <v>2</v>
      </c>
      <c r="M175">
        <v>75.47</v>
      </c>
      <c r="N175">
        <v>2.7</v>
      </c>
      <c r="Q175">
        <v>72.77</v>
      </c>
    </row>
    <row r="176" spans="1:17" x14ac:dyDescent="0.25">
      <c r="A176" t="s">
        <v>45</v>
      </c>
      <c r="B176">
        <v>5</v>
      </c>
      <c r="C176" t="s">
        <v>131</v>
      </c>
      <c r="D176" s="39">
        <v>45827</v>
      </c>
      <c r="E176" t="s">
        <v>78</v>
      </c>
      <c r="F176" t="s">
        <v>79</v>
      </c>
      <c r="G176">
        <v>11</v>
      </c>
      <c r="H176">
        <v>5</v>
      </c>
      <c r="I176">
        <v>0</v>
      </c>
      <c r="J176" t="s">
        <v>81</v>
      </c>
      <c r="K176" t="s">
        <v>79</v>
      </c>
      <c r="L176">
        <v>2</v>
      </c>
      <c r="M176">
        <v>100.41</v>
      </c>
      <c r="N176">
        <v>2.5</v>
      </c>
      <c r="Q176">
        <v>97.91</v>
      </c>
    </row>
    <row r="177" spans="1:17" x14ac:dyDescent="0.25">
      <c r="A177" t="s">
        <v>45</v>
      </c>
      <c r="B177">
        <v>1</v>
      </c>
      <c r="C177" t="s">
        <v>100</v>
      </c>
      <c r="D177" s="39">
        <v>45828</v>
      </c>
      <c r="E177" t="s">
        <v>78</v>
      </c>
      <c r="F177" t="s">
        <v>79</v>
      </c>
      <c r="G177">
        <v>2.5</v>
      </c>
      <c r="H177" t="s">
        <v>92</v>
      </c>
      <c r="I177">
        <v>0</v>
      </c>
      <c r="J177" t="s">
        <v>81</v>
      </c>
      <c r="K177" t="s">
        <v>79</v>
      </c>
      <c r="L177">
        <v>11</v>
      </c>
      <c r="M177">
        <v>142.93000000000004</v>
      </c>
      <c r="N177">
        <v>2.75</v>
      </c>
      <c r="O177">
        <v>18</v>
      </c>
      <c r="Q177">
        <v>140.18000000000004</v>
      </c>
    </row>
    <row r="178" spans="1:17" x14ac:dyDescent="0.25">
      <c r="A178" t="s">
        <v>46</v>
      </c>
      <c r="B178">
        <v>1</v>
      </c>
      <c r="C178" t="s">
        <v>100</v>
      </c>
      <c r="D178" s="39">
        <v>45828</v>
      </c>
      <c r="E178" t="s">
        <v>78</v>
      </c>
      <c r="F178" t="s">
        <v>79</v>
      </c>
      <c r="G178">
        <v>2.5</v>
      </c>
      <c r="H178" t="s">
        <v>92</v>
      </c>
      <c r="I178">
        <v>0</v>
      </c>
      <c r="J178" t="s">
        <v>81</v>
      </c>
      <c r="K178" t="s">
        <v>79</v>
      </c>
      <c r="L178">
        <v>9</v>
      </c>
      <c r="M178">
        <v>125.28999999999999</v>
      </c>
      <c r="N178">
        <v>2.25</v>
      </c>
      <c r="O178">
        <v>21</v>
      </c>
      <c r="Q178">
        <v>123.03999999999999</v>
      </c>
    </row>
    <row r="179" spans="1:17" x14ac:dyDescent="0.25">
      <c r="A179" t="s">
        <v>45</v>
      </c>
      <c r="B179">
        <v>2</v>
      </c>
      <c r="C179" t="s">
        <v>91</v>
      </c>
      <c r="D179" s="39">
        <v>45828</v>
      </c>
      <c r="E179" t="s">
        <v>78</v>
      </c>
      <c r="F179" t="s">
        <v>79</v>
      </c>
      <c r="G179">
        <v>4</v>
      </c>
      <c r="H179" t="s">
        <v>92</v>
      </c>
      <c r="I179">
        <v>0</v>
      </c>
      <c r="J179" t="s">
        <v>81</v>
      </c>
      <c r="K179" t="s">
        <v>79</v>
      </c>
      <c r="L179">
        <v>9</v>
      </c>
      <c r="M179">
        <v>155.07999999999998</v>
      </c>
      <c r="N179">
        <v>3.6</v>
      </c>
      <c r="Q179">
        <v>151.47999999999999</v>
      </c>
    </row>
    <row r="180" spans="1:17" x14ac:dyDescent="0.25">
      <c r="A180" t="s">
        <v>46</v>
      </c>
      <c r="B180">
        <v>2</v>
      </c>
      <c r="C180" t="s">
        <v>91</v>
      </c>
      <c r="D180" s="39">
        <v>45828</v>
      </c>
      <c r="E180" t="s">
        <v>78</v>
      </c>
      <c r="F180" t="s">
        <v>79</v>
      </c>
      <c r="G180">
        <v>4</v>
      </c>
      <c r="H180" t="s">
        <v>92</v>
      </c>
      <c r="I180">
        <v>0</v>
      </c>
      <c r="J180" t="s">
        <v>81</v>
      </c>
      <c r="K180" t="s">
        <v>79</v>
      </c>
      <c r="L180">
        <v>10</v>
      </c>
      <c r="M180">
        <v>168.78000000000003</v>
      </c>
      <c r="N180">
        <v>4</v>
      </c>
      <c r="Q180">
        <v>164.78000000000003</v>
      </c>
    </row>
    <row r="181" spans="1:17" x14ac:dyDescent="0.25">
      <c r="A181" t="s">
        <v>45</v>
      </c>
      <c r="B181">
        <v>4</v>
      </c>
      <c r="C181" t="s">
        <v>158</v>
      </c>
      <c r="D181" s="39">
        <v>45828</v>
      </c>
      <c r="E181" t="s">
        <v>133</v>
      </c>
      <c r="F181" t="s">
        <v>79</v>
      </c>
      <c r="G181">
        <v>20</v>
      </c>
      <c r="H181" t="s">
        <v>113</v>
      </c>
      <c r="I181" t="s">
        <v>99</v>
      </c>
      <c r="J181">
        <v>1000</v>
      </c>
      <c r="K181" t="s">
        <v>79</v>
      </c>
      <c r="L181">
        <v>4</v>
      </c>
      <c r="M181">
        <v>226.08999999999997</v>
      </c>
      <c r="N181">
        <v>10</v>
      </c>
      <c r="Q181">
        <v>216.08999999999997</v>
      </c>
    </row>
    <row r="182" spans="1:17" x14ac:dyDescent="0.25">
      <c r="A182" t="s">
        <v>45</v>
      </c>
      <c r="B182">
        <v>4</v>
      </c>
      <c r="C182" t="s">
        <v>115</v>
      </c>
      <c r="D182" s="39">
        <v>45828</v>
      </c>
      <c r="E182" t="s">
        <v>78</v>
      </c>
      <c r="F182" t="s">
        <v>79</v>
      </c>
      <c r="G182">
        <v>20</v>
      </c>
      <c r="H182">
        <v>5</v>
      </c>
      <c r="I182">
        <v>0</v>
      </c>
      <c r="J182" t="s">
        <v>81</v>
      </c>
      <c r="K182" t="s">
        <v>79</v>
      </c>
      <c r="L182">
        <v>6</v>
      </c>
      <c r="M182">
        <v>332.71000000000004</v>
      </c>
      <c r="N182">
        <v>15.399999999999999</v>
      </c>
      <c r="Q182">
        <v>317.31000000000006</v>
      </c>
    </row>
    <row r="183" spans="1:17" x14ac:dyDescent="0.25">
      <c r="A183" t="s">
        <v>45</v>
      </c>
      <c r="B183">
        <v>4</v>
      </c>
      <c r="C183" t="s">
        <v>97</v>
      </c>
      <c r="D183" s="39">
        <v>45828</v>
      </c>
      <c r="E183" t="s">
        <v>78</v>
      </c>
      <c r="F183" t="s">
        <v>79</v>
      </c>
      <c r="G183">
        <v>22</v>
      </c>
      <c r="H183">
        <v>5</v>
      </c>
      <c r="I183">
        <v>0</v>
      </c>
      <c r="J183" t="s">
        <v>81</v>
      </c>
      <c r="K183" t="s">
        <v>79</v>
      </c>
      <c r="L183">
        <v>2</v>
      </c>
      <c r="M183">
        <v>95.31</v>
      </c>
      <c r="N183">
        <v>5.4</v>
      </c>
      <c r="Q183">
        <v>89.91</v>
      </c>
    </row>
    <row r="184" spans="1:17" x14ac:dyDescent="0.25">
      <c r="A184" t="s">
        <v>46</v>
      </c>
      <c r="B184">
        <v>4</v>
      </c>
      <c r="C184" t="s">
        <v>97</v>
      </c>
      <c r="D184" s="39">
        <v>45828</v>
      </c>
      <c r="E184" t="s">
        <v>78</v>
      </c>
      <c r="F184" t="s">
        <v>79</v>
      </c>
      <c r="G184">
        <v>22</v>
      </c>
      <c r="H184">
        <v>5</v>
      </c>
      <c r="I184">
        <v>0</v>
      </c>
      <c r="J184" t="s">
        <v>81</v>
      </c>
      <c r="K184" t="s">
        <v>79</v>
      </c>
      <c r="L184">
        <v>3</v>
      </c>
      <c r="M184">
        <v>163.44</v>
      </c>
      <c r="N184">
        <v>6.6000000000000005</v>
      </c>
      <c r="Q184">
        <v>156.84</v>
      </c>
    </row>
    <row r="185" spans="1:17" x14ac:dyDescent="0.25">
      <c r="A185" t="s">
        <v>46</v>
      </c>
      <c r="B185">
        <v>4</v>
      </c>
      <c r="C185" t="s">
        <v>109</v>
      </c>
      <c r="D185" s="39">
        <v>45828</v>
      </c>
      <c r="E185" t="s">
        <v>78</v>
      </c>
      <c r="F185" t="s">
        <v>79</v>
      </c>
      <c r="G185">
        <v>26</v>
      </c>
      <c r="H185">
        <v>5</v>
      </c>
      <c r="I185">
        <v>0</v>
      </c>
      <c r="J185" t="s">
        <v>81</v>
      </c>
      <c r="K185" t="s">
        <v>79</v>
      </c>
      <c r="L185">
        <v>3</v>
      </c>
      <c r="M185">
        <v>114.29999999999998</v>
      </c>
      <c r="N185">
        <v>7.8000000000000007</v>
      </c>
      <c r="Q185">
        <v>106.49999999999999</v>
      </c>
    </row>
    <row r="186" spans="1:17" x14ac:dyDescent="0.25">
      <c r="A186" t="s">
        <v>46</v>
      </c>
      <c r="B186">
        <v>4</v>
      </c>
      <c r="C186" t="s">
        <v>101</v>
      </c>
      <c r="D186" s="39">
        <v>45828</v>
      </c>
      <c r="E186" t="s">
        <v>78</v>
      </c>
      <c r="F186" t="s">
        <v>79</v>
      </c>
      <c r="G186">
        <v>18</v>
      </c>
      <c r="H186">
        <v>5</v>
      </c>
      <c r="I186">
        <v>0</v>
      </c>
      <c r="J186" t="s">
        <v>81</v>
      </c>
      <c r="K186" t="s">
        <v>79</v>
      </c>
      <c r="L186">
        <v>3</v>
      </c>
      <c r="M186">
        <v>108.10000000000001</v>
      </c>
      <c r="N186">
        <v>5.4</v>
      </c>
      <c r="Q186">
        <v>102.7</v>
      </c>
    </row>
    <row r="187" spans="1:17" x14ac:dyDescent="0.25">
      <c r="A187" t="s">
        <v>46</v>
      </c>
      <c r="B187">
        <v>4</v>
      </c>
      <c r="C187" t="s">
        <v>85</v>
      </c>
      <c r="D187" s="39">
        <v>45828</v>
      </c>
      <c r="E187" t="s">
        <v>78</v>
      </c>
      <c r="F187" t="s">
        <v>79</v>
      </c>
      <c r="G187">
        <v>12</v>
      </c>
      <c r="H187">
        <v>5</v>
      </c>
      <c r="I187">
        <v>0</v>
      </c>
      <c r="J187" t="s">
        <v>81</v>
      </c>
      <c r="K187" t="s">
        <v>79</v>
      </c>
      <c r="L187">
        <v>6</v>
      </c>
      <c r="M187">
        <v>175.37</v>
      </c>
      <c r="N187">
        <v>7.1999999999999993</v>
      </c>
      <c r="Q187">
        <v>168.17000000000002</v>
      </c>
    </row>
    <row r="188" spans="1:17" x14ac:dyDescent="0.25">
      <c r="A188" t="s">
        <v>45</v>
      </c>
      <c r="B188">
        <v>5</v>
      </c>
      <c r="C188" t="s">
        <v>95</v>
      </c>
      <c r="D188" s="39">
        <v>45828</v>
      </c>
      <c r="E188" t="s">
        <v>78</v>
      </c>
      <c r="F188" t="s">
        <v>79</v>
      </c>
      <c r="G188">
        <v>14</v>
      </c>
      <c r="H188">
        <v>5</v>
      </c>
      <c r="I188">
        <v>0</v>
      </c>
      <c r="J188" t="s">
        <v>81</v>
      </c>
      <c r="K188" t="s">
        <v>79</v>
      </c>
      <c r="L188">
        <v>2</v>
      </c>
      <c r="M188">
        <v>86.92</v>
      </c>
      <c r="N188">
        <v>3.3</v>
      </c>
      <c r="Q188">
        <v>83.62</v>
      </c>
    </row>
    <row r="189" spans="1:17" x14ac:dyDescent="0.25">
      <c r="A189" t="s">
        <v>46</v>
      </c>
      <c r="B189">
        <v>5</v>
      </c>
      <c r="C189" t="s">
        <v>95</v>
      </c>
      <c r="D189" s="39">
        <v>45828</v>
      </c>
      <c r="E189" t="s">
        <v>78</v>
      </c>
      <c r="F189" t="s">
        <v>79</v>
      </c>
      <c r="G189">
        <v>14</v>
      </c>
      <c r="H189">
        <v>5</v>
      </c>
      <c r="I189">
        <v>0</v>
      </c>
      <c r="J189" t="s">
        <v>81</v>
      </c>
      <c r="K189" t="s">
        <v>79</v>
      </c>
      <c r="L189">
        <v>8</v>
      </c>
      <c r="M189">
        <v>382.14</v>
      </c>
      <c r="N189">
        <v>11.2</v>
      </c>
      <c r="Q189">
        <v>370.94</v>
      </c>
    </row>
    <row r="190" spans="1:17" x14ac:dyDescent="0.25">
      <c r="A190" t="s">
        <v>46</v>
      </c>
      <c r="B190">
        <v>5</v>
      </c>
      <c r="C190" t="s">
        <v>85</v>
      </c>
      <c r="D190" s="39">
        <v>45828</v>
      </c>
      <c r="E190" t="s">
        <v>78</v>
      </c>
      <c r="F190" t="s">
        <v>79</v>
      </c>
      <c r="G190">
        <v>12</v>
      </c>
      <c r="H190">
        <v>5</v>
      </c>
      <c r="I190">
        <v>0</v>
      </c>
      <c r="J190" t="s">
        <v>81</v>
      </c>
      <c r="K190" t="s">
        <v>79</v>
      </c>
      <c r="L190">
        <v>1</v>
      </c>
      <c r="M190">
        <v>62.43</v>
      </c>
      <c r="N190">
        <v>1.2</v>
      </c>
      <c r="Q190">
        <v>61.23</v>
      </c>
    </row>
    <row r="191" spans="1:17" x14ac:dyDescent="0.25">
      <c r="A191" t="s">
        <v>45</v>
      </c>
      <c r="B191">
        <v>1</v>
      </c>
      <c r="C191" t="s">
        <v>100</v>
      </c>
      <c r="D191" s="39">
        <v>45829</v>
      </c>
      <c r="E191" t="s">
        <v>78</v>
      </c>
      <c r="F191" t="s">
        <v>79</v>
      </c>
      <c r="G191">
        <v>2.5</v>
      </c>
      <c r="H191" t="s">
        <v>92</v>
      </c>
      <c r="I191">
        <v>0</v>
      </c>
      <c r="J191" t="s">
        <v>81</v>
      </c>
      <c r="K191" t="s">
        <v>79</v>
      </c>
      <c r="L191">
        <v>10</v>
      </c>
      <c r="M191">
        <v>137.96</v>
      </c>
      <c r="N191">
        <v>2.5</v>
      </c>
      <c r="O191">
        <v>7</v>
      </c>
      <c r="Q191">
        <v>135.46</v>
      </c>
    </row>
    <row r="192" spans="1:17" x14ac:dyDescent="0.25">
      <c r="A192" t="s">
        <v>46</v>
      </c>
      <c r="B192">
        <v>1</v>
      </c>
      <c r="C192" t="s">
        <v>100</v>
      </c>
      <c r="D192" s="39">
        <v>45829</v>
      </c>
      <c r="E192" t="s">
        <v>78</v>
      </c>
      <c r="F192" t="s">
        <v>79</v>
      </c>
      <c r="G192">
        <v>2.5</v>
      </c>
      <c r="H192" t="s">
        <v>92</v>
      </c>
      <c r="I192">
        <v>0</v>
      </c>
      <c r="J192" t="s">
        <v>81</v>
      </c>
      <c r="K192" t="s">
        <v>79</v>
      </c>
      <c r="L192">
        <v>9</v>
      </c>
      <c r="M192">
        <v>125.78999999999999</v>
      </c>
      <c r="N192">
        <v>2.25</v>
      </c>
      <c r="O192">
        <v>3</v>
      </c>
      <c r="Q192">
        <v>123.53999999999999</v>
      </c>
    </row>
    <row r="193" spans="1:17" x14ac:dyDescent="0.25">
      <c r="A193" t="s">
        <v>45</v>
      </c>
      <c r="B193">
        <v>2</v>
      </c>
      <c r="C193" t="s">
        <v>91</v>
      </c>
      <c r="D193" s="39">
        <v>45829</v>
      </c>
      <c r="E193" t="s">
        <v>78</v>
      </c>
      <c r="F193" t="s">
        <v>79</v>
      </c>
      <c r="G193">
        <v>4</v>
      </c>
      <c r="H193" t="s">
        <v>92</v>
      </c>
      <c r="I193">
        <v>0</v>
      </c>
      <c r="J193" t="s">
        <v>81</v>
      </c>
      <c r="K193" t="s">
        <v>79</v>
      </c>
      <c r="L193">
        <v>9</v>
      </c>
      <c r="M193">
        <v>155.12</v>
      </c>
      <c r="N193">
        <v>3.6</v>
      </c>
      <c r="Q193">
        <v>151.52000000000001</v>
      </c>
    </row>
    <row r="194" spans="1:17" x14ac:dyDescent="0.25">
      <c r="A194" t="s">
        <v>46</v>
      </c>
      <c r="B194">
        <v>2</v>
      </c>
      <c r="C194" t="s">
        <v>91</v>
      </c>
      <c r="D194" s="39">
        <v>45829</v>
      </c>
      <c r="E194" t="s">
        <v>78</v>
      </c>
      <c r="F194" t="s">
        <v>79</v>
      </c>
      <c r="G194">
        <v>4</v>
      </c>
      <c r="H194" t="s">
        <v>92</v>
      </c>
      <c r="I194">
        <v>0</v>
      </c>
      <c r="J194" t="s">
        <v>81</v>
      </c>
      <c r="K194" t="s">
        <v>79</v>
      </c>
      <c r="L194">
        <v>7</v>
      </c>
      <c r="M194">
        <v>114.02</v>
      </c>
      <c r="N194">
        <v>2.8000000000000003</v>
      </c>
      <c r="Q194">
        <v>111.22</v>
      </c>
    </row>
    <row r="195" spans="1:17" x14ac:dyDescent="0.25">
      <c r="A195" t="s">
        <v>45</v>
      </c>
      <c r="B195">
        <v>4</v>
      </c>
      <c r="C195" t="s">
        <v>85</v>
      </c>
      <c r="D195" s="39">
        <v>45829</v>
      </c>
      <c r="E195" t="s">
        <v>78</v>
      </c>
      <c r="F195" t="s">
        <v>79</v>
      </c>
      <c r="G195">
        <v>12</v>
      </c>
      <c r="H195">
        <v>5</v>
      </c>
      <c r="I195">
        <v>0</v>
      </c>
      <c r="J195" t="s">
        <v>81</v>
      </c>
      <c r="K195" t="s">
        <v>79</v>
      </c>
      <c r="L195">
        <v>2</v>
      </c>
      <c r="M195">
        <v>86.56</v>
      </c>
      <c r="N195">
        <v>2.8</v>
      </c>
      <c r="Q195">
        <v>83.76</v>
      </c>
    </row>
    <row r="196" spans="1:17" x14ac:dyDescent="0.25">
      <c r="A196" t="s">
        <v>45</v>
      </c>
      <c r="B196">
        <v>4</v>
      </c>
      <c r="C196" t="s">
        <v>89</v>
      </c>
      <c r="D196" s="39">
        <v>45829</v>
      </c>
      <c r="E196" t="s">
        <v>78</v>
      </c>
      <c r="F196" t="s">
        <v>79</v>
      </c>
      <c r="G196">
        <v>16</v>
      </c>
      <c r="H196">
        <v>5</v>
      </c>
      <c r="I196">
        <v>0</v>
      </c>
      <c r="J196" t="s">
        <v>81</v>
      </c>
      <c r="K196" t="s">
        <v>79</v>
      </c>
      <c r="L196">
        <v>3</v>
      </c>
      <c r="M196">
        <v>128.41</v>
      </c>
      <c r="N196">
        <v>5.9</v>
      </c>
      <c r="Q196">
        <v>122.50999999999999</v>
      </c>
    </row>
    <row r="197" spans="1:17" x14ac:dyDescent="0.25">
      <c r="A197" t="s">
        <v>45</v>
      </c>
      <c r="B197">
        <v>4</v>
      </c>
      <c r="C197" t="s">
        <v>185</v>
      </c>
      <c r="D197" s="39">
        <v>45829</v>
      </c>
      <c r="E197" t="s">
        <v>86</v>
      </c>
      <c r="F197" t="s">
        <v>79</v>
      </c>
      <c r="G197">
        <v>16.2</v>
      </c>
      <c r="H197" t="s">
        <v>81</v>
      </c>
      <c r="I197" t="s">
        <v>103</v>
      </c>
      <c r="J197">
        <v>1000</v>
      </c>
      <c r="K197" t="s">
        <v>79</v>
      </c>
      <c r="L197">
        <v>9</v>
      </c>
      <c r="M197">
        <v>432.95999999999992</v>
      </c>
      <c r="N197">
        <v>17.099999999999998</v>
      </c>
      <c r="Q197">
        <v>415.8599999999999</v>
      </c>
    </row>
    <row r="198" spans="1:17" x14ac:dyDescent="0.25">
      <c r="A198" t="s">
        <v>46</v>
      </c>
      <c r="B198">
        <v>4</v>
      </c>
      <c r="C198" t="s">
        <v>185</v>
      </c>
      <c r="D198" s="39">
        <v>45829</v>
      </c>
      <c r="E198" t="s">
        <v>86</v>
      </c>
      <c r="F198" t="s">
        <v>79</v>
      </c>
      <c r="G198">
        <v>16.2</v>
      </c>
      <c r="H198" t="s">
        <v>81</v>
      </c>
      <c r="I198" t="s">
        <v>103</v>
      </c>
      <c r="J198">
        <v>1000</v>
      </c>
      <c r="K198" t="s">
        <v>79</v>
      </c>
      <c r="L198">
        <v>10</v>
      </c>
      <c r="M198">
        <v>498.81</v>
      </c>
      <c r="N198">
        <v>19</v>
      </c>
      <c r="Q198">
        <v>479.81</v>
      </c>
    </row>
    <row r="199" spans="1:17" x14ac:dyDescent="0.25">
      <c r="A199" t="s">
        <v>45</v>
      </c>
      <c r="B199">
        <v>5</v>
      </c>
      <c r="C199" t="s">
        <v>95</v>
      </c>
      <c r="D199" s="39">
        <v>45829</v>
      </c>
      <c r="E199" t="s">
        <v>78</v>
      </c>
      <c r="F199" t="s">
        <v>79</v>
      </c>
      <c r="G199">
        <v>14</v>
      </c>
      <c r="H199">
        <v>5</v>
      </c>
      <c r="I199">
        <v>0</v>
      </c>
      <c r="J199" t="s">
        <v>81</v>
      </c>
      <c r="K199" t="s">
        <v>79</v>
      </c>
      <c r="L199">
        <v>4</v>
      </c>
      <c r="M199">
        <v>206.42000000000002</v>
      </c>
      <c r="N199">
        <v>6.6</v>
      </c>
      <c r="Q199">
        <v>199.82000000000002</v>
      </c>
    </row>
    <row r="200" spans="1:17" x14ac:dyDescent="0.25">
      <c r="A200" t="s">
        <v>45</v>
      </c>
      <c r="B200">
        <v>5</v>
      </c>
      <c r="C200" t="s">
        <v>88</v>
      </c>
      <c r="D200" s="39">
        <v>45829</v>
      </c>
      <c r="E200" t="s">
        <v>78</v>
      </c>
      <c r="F200" t="s">
        <v>79</v>
      </c>
      <c r="G200">
        <v>10</v>
      </c>
      <c r="H200">
        <v>5</v>
      </c>
      <c r="I200">
        <v>0</v>
      </c>
      <c r="J200" t="s">
        <v>81</v>
      </c>
      <c r="K200" t="s">
        <v>79</v>
      </c>
      <c r="L200">
        <v>4</v>
      </c>
      <c r="M200">
        <v>147.38</v>
      </c>
      <c r="N200">
        <v>4.9000000000000004</v>
      </c>
      <c r="Q200">
        <v>142.47999999999999</v>
      </c>
    </row>
    <row r="201" spans="1:17" x14ac:dyDescent="0.25">
      <c r="A201" t="s">
        <v>46</v>
      </c>
      <c r="B201">
        <v>5</v>
      </c>
      <c r="C201" t="s">
        <v>94</v>
      </c>
      <c r="D201" s="39">
        <v>45829</v>
      </c>
      <c r="E201" t="s">
        <v>78</v>
      </c>
      <c r="F201" t="s">
        <v>79</v>
      </c>
      <c r="G201">
        <v>8</v>
      </c>
      <c r="H201">
        <v>5</v>
      </c>
      <c r="I201">
        <v>0</v>
      </c>
      <c r="J201" t="s">
        <v>81</v>
      </c>
      <c r="K201" t="s">
        <v>79</v>
      </c>
      <c r="L201">
        <v>9</v>
      </c>
      <c r="M201">
        <v>289.27</v>
      </c>
      <c r="N201">
        <v>7.2</v>
      </c>
      <c r="Q201">
        <v>282.07</v>
      </c>
    </row>
    <row r="202" spans="1:17" x14ac:dyDescent="0.25">
      <c r="A202" t="s">
        <v>45</v>
      </c>
      <c r="B202">
        <v>1</v>
      </c>
      <c r="C202" t="s">
        <v>82</v>
      </c>
      <c r="D202" s="39">
        <v>45831</v>
      </c>
      <c r="E202" t="s">
        <v>78</v>
      </c>
      <c r="F202" t="s">
        <v>79</v>
      </c>
      <c r="G202">
        <v>2</v>
      </c>
      <c r="H202" t="s">
        <v>92</v>
      </c>
      <c r="I202">
        <v>0</v>
      </c>
      <c r="J202" t="s">
        <v>81</v>
      </c>
      <c r="K202" t="s">
        <v>79</v>
      </c>
      <c r="L202">
        <v>7</v>
      </c>
      <c r="M202">
        <v>107.85</v>
      </c>
      <c r="N202">
        <v>1.4000000000000001</v>
      </c>
      <c r="O202">
        <v>3</v>
      </c>
      <c r="Q202">
        <v>106.44999999999999</v>
      </c>
    </row>
    <row r="203" spans="1:17" x14ac:dyDescent="0.25">
      <c r="A203" t="s">
        <v>46</v>
      </c>
      <c r="B203">
        <v>1</v>
      </c>
      <c r="C203" t="s">
        <v>82</v>
      </c>
      <c r="D203" s="39">
        <v>45831</v>
      </c>
      <c r="E203" t="s">
        <v>78</v>
      </c>
      <c r="F203" t="s">
        <v>79</v>
      </c>
      <c r="G203">
        <v>2</v>
      </c>
      <c r="H203" t="s">
        <v>92</v>
      </c>
      <c r="I203">
        <v>0</v>
      </c>
      <c r="J203" t="s">
        <v>81</v>
      </c>
      <c r="K203" t="s">
        <v>79</v>
      </c>
      <c r="L203">
        <v>7</v>
      </c>
      <c r="M203">
        <v>57.31</v>
      </c>
      <c r="N203">
        <v>1.4000000000000001</v>
      </c>
      <c r="O203">
        <v>2</v>
      </c>
      <c r="Q203">
        <v>55.910000000000004</v>
      </c>
    </row>
    <row r="204" spans="1:17" x14ac:dyDescent="0.25">
      <c r="A204" t="s">
        <v>46</v>
      </c>
      <c r="B204">
        <v>1</v>
      </c>
      <c r="C204" t="s">
        <v>108</v>
      </c>
      <c r="D204" s="39">
        <v>45831</v>
      </c>
      <c r="E204" t="s">
        <v>78</v>
      </c>
      <c r="F204" t="s">
        <v>79</v>
      </c>
      <c r="G204">
        <v>1.5</v>
      </c>
      <c r="H204" t="s">
        <v>92</v>
      </c>
      <c r="I204">
        <v>0</v>
      </c>
      <c r="J204" t="s">
        <v>81</v>
      </c>
      <c r="K204" t="s">
        <v>79</v>
      </c>
      <c r="L204">
        <v>2</v>
      </c>
      <c r="M204">
        <v>42.78</v>
      </c>
      <c r="N204">
        <v>0.3</v>
      </c>
      <c r="Q204">
        <v>42.480000000000004</v>
      </c>
    </row>
    <row r="205" spans="1:17" x14ac:dyDescent="0.25">
      <c r="A205" t="s">
        <v>45</v>
      </c>
      <c r="B205">
        <v>2</v>
      </c>
      <c r="C205" t="s">
        <v>91</v>
      </c>
      <c r="D205" s="39">
        <v>45831</v>
      </c>
      <c r="E205" t="s">
        <v>78</v>
      </c>
      <c r="F205" t="s">
        <v>79</v>
      </c>
      <c r="G205">
        <v>4</v>
      </c>
      <c r="H205" t="s">
        <v>92</v>
      </c>
      <c r="I205">
        <v>0</v>
      </c>
      <c r="J205" t="s">
        <v>81</v>
      </c>
      <c r="K205" t="s">
        <v>79</v>
      </c>
      <c r="L205">
        <v>7</v>
      </c>
      <c r="M205">
        <v>112.18</v>
      </c>
      <c r="N205">
        <v>2.8000000000000003</v>
      </c>
      <c r="O205">
        <v>4</v>
      </c>
      <c r="Q205">
        <v>109.38000000000001</v>
      </c>
    </row>
    <row r="206" spans="1:17" x14ac:dyDescent="0.25">
      <c r="A206" t="s">
        <v>46</v>
      </c>
      <c r="B206">
        <v>2</v>
      </c>
      <c r="C206" t="s">
        <v>91</v>
      </c>
      <c r="D206" s="39">
        <v>45831</v>
      </c>
      <c r="E206" t="s">
        <v>78</v>
      </c>
      <c r="F206" t="s">
        <v>79</v>
      </c>
      <c r="G206">
        <v>4</v>
      </c>
      <c r="H206" t="s">
        <v>92</v>
      </c>
      <c r="I206">
        <v>0</v>
      </c>
      <c r="J206" t="s">
        <v>81</v>
      </c>
      <c r="K206" t="s">
        <v>79</v>
      </c>
      <c r="L206">
        <v>9</v>
      </c>
      <c r="M206">
        <v>148.56</v>
      </c>
      <c r="N206">
        <v>3.6</v>
      </c>
      <c r="O206">
        <v>2</v>
      </c>
      <c r="Q206">
        <v>144.96</v>
      </c>
    </row>
    <row r="207" spans="1:17" x14ac:dyDescent="0.25">
      <c r="A207" t="s">
        <v>45</v>
      </c>
      <c r="B207">
        <v>4</v>
      </c>
      <c r="C207" t="s">
        <v>186</v>
      </c>
      <c r="D207" s="39">
        <v>45831</v>
      </c>
      <c r="E207" t="s">
        <v>172</v>
      </c>
      <c r="F207" t="s">
        <v>79</v>
      </c>
      <c r="G207">
        <v>20</v>
      </c>
      <c r="H207" t="s">
        <v>113</v>
      </c>
      <c r="I207" t="s">
        <v>187</v>
      </c>
      <c r="J207">
        <v>500</v>
      </c>
      <c r="K207" t="s">
        <v>79</v>
      </c>
      <c r="L207">
        <v>6</v>
      </c>
      <c r="M207">
        <v>340.65</v>
      </c>
      <c r="N207">
        <v>15</v>
      </c>
      <c r="O207">
        <v>16</v>
      </c>
      <c r="Q207">
        <v>325.64999999999998</v>
      </c>
    </row>
    <row r="208" spans="1:17" x14ac:dyDescent="0.25">
      <c r="A208" t="s">
        <v>46</v>
      </c>
      <c r="B208">
        <v>4</v>
      </c>
      <c r="C208" t="s">
        <v>186</v>
      </c>
      <c r="D208" s="39">
        <v>45831</v>
      </c>
      <c r="E208" t="s">
        <v>172</v>
      </c>
      <c r="F208" t="s">
        <v>79</v>
      </c>
      <c r="G208">
        <v>20</v>
      </c>
      <c r="H208" t="s">
        <v>113</v>
      </c>
      <c r="I208" t="s">
        <v>187</v>
      </c>
      <c r="J208">
        <v>500</v>
      </c>
      <c r="K208" t="s">
        <v>79</v>
      </c>
      <c r="L208">
        <v>7</v>
      </c>
      <c r="M208">
        <v>388.79999999999995</v>
      </c>
      <c r="N208">
        <v>17.5</v>
      </c>
      <c r="O208">
        <v>9</v>
      </c>
      <c r="Q208">
        <v>371.29999999999995</v>
      </c>
    </row>
    <row r="209" spans="1:17" x14ac:dyDescent="0.25">
      <c r="A209" t="s">
        <v>46</v>
      </c>
      <c r="B209">
        <v>4</v>
      </c>
      <c r="C209" t="s">
        <v>143</v>
      </c>
      <c r="D209" s="39">
        <v>45831</v>
      </c>
      <c r="E209" t="s">
        <v>120</v>
      </c>
      <c r="F209" t="s">
        <v>79</v>
      </c>
      <c r="G209">
        <v>26</v>
      </c>
      <c r="H209" t="s">
        <v>113</v>
      </c>
      <c r="I209" t="s">
        <v>81</v>
      </c>
      <c r="J209">
        <v>500</v>
      </c>
      <c r="K209" t="s">
        <v>79</v>
      </c>
      <c r="L209">
        <v>4</v>
      </c>
      <c r="M209">
        <v>244.87</v>
      </c>
      <c r="N209">
        <v>12.700000000000001</v>
      </c>
      <c r="Q209">
        <v>232.17000000000002</v>
      </c>
    </row>
    <row r="210" spans="1:17" x14ac:dyDescent="0.25">
      <c r="A210" t="s">
        <v>45</v>
      </c>
      <c r="B210">
        <v>5</v>
      </c>
      <c r="C210" t="s">
        <v>83</v>
      </c>
      <c r="D210" s="39">
        <v>45831</v>
      </c>
      <c r="E210" t="s">
        <v>78</v>
      </c>
      <c r="F210" t="s">
        <v>79</v>
      </c>
      <c r="G210">
        <v>7</v>
      </c>
      <c r="H210">
        <v>5</v>
      </c>
      <c r="I210">
        <v>0</v>
      </c>
      <c r="J210" t="s">
        <v>81</v>
      </c>
      <c r="K210" t="s">
        <v>79</v>
      </c>
      <c r="L210">
        <v>8</v>
      </c>
      <c r="M210">
        <v>239.16</v>
      </c>
      <c r="N210">
        <v>5.6</v>
      </c>
      <c r="O210">
        <v>8</v>
      </c>
      <c r="Q210">
        <v>233.56</v>
      </c>
    </row>
    <row r="211" spans="1:17" x14ac:dyDescent="0.25">
      <c r="A211" t="s">
        <v>46</v>
      </c>
      <c r="B211">
        <v>5</v>
      </c>
      <c r="C211" t="s">
        <v>83</v>
      </c>
      <c r="D211" s="39">
        <v>45831</v>
      </c>
      <c r="E211" t="s">
        <v>78</v>
      </c>
      <c r="F211" t="s">
        <v>79</v>
      </c>
      <c r="G211">
        <v>7</v>
      </c>
      <c r="H211">
        <v>5</v>
      </c>
      <c r="I211">
        <v>0</v>
      </c>
      <c r="J211" t="s">
        <v>81</v>
      </c>
      <c r="K211" t="s">
        <v>79</v>
      </c>
      <c r="L211">
        <v>2</v>
      </c>
      <c r="M211">
        <v>38.840000000000003</v>
      </c>
      <c r="N211">
        <v>1.6</v>
      </c>
      <c r="O211">
        <v>5</v>
      </c>
      <c r="Q211">
        <v>37.24</v>
      </c>
    </row>
    <row r="212" spans="1:17" x14ac:dyDescent="0.25">
      <c r="A212" t="s">
        <v>46</v>
      </c>
      <c r="B212">
        <v>5</v>
      </c>
      <c r="C212" t="s">
        <v>90</v>
      </c>
      <c r="D212" s="39">
        <v>45831</v>
      </c>
      <c r="E212" t="s">
        <v>78</v>
      </c>
      <c r="F212" t="s">
        <v>79</v>
      </c>
      <c r="G212">
        <v>9</v>
      </c>
      <c r="H212">
        <v>5</v>
      </c>
      <c r="I212">
        <v>0</v>
      </c>
      <c r="J212" t="s">
        <v>81</v>
      </c>
      <c r="K212" t="s">
        <v>79</v>
      </c>
      <c r="L212">
        <v>6</v>
      </c>
      <c r="M212">
        <v>246.68000000000004</v>
      </c>
      <c r="N212">
        <v>7.1999999999999993</v>
      </c>
      <c r="Q212">
        <v>239.48000000000005</v>
      </c>
    </row>
    <row r="213" spans="1:17" x14ac:dyDescent="0.25">
      <c r="A213" t="s">
        <v>45</v>
      </c>
      <c r="B213">
        <v>1</v>
      </c>
      <c r="C213" t="s">
        <v>108</v>
      </c>
      <c r="D213" s="39">
        <v>45832</v>
      </c>
      <c r="E213" t="s">
        <v>78</v>
      </c>
      <c r="F213" t="s">
        <v>79</v>
      </c>
      <c r="G213">
        <v>1.5</v>
      </c>
      <c r="H213" t="s">
        <v>92</v>
      </c>
      <c r="I213">
        <v>0</v>
      </c>
      <c r="J213" t="s">
        <v>81</v>
      </c>
      <c r="K213" t="s">
        <v>79</v>
      </c>
      <c r="L213">
        <v>6</v>
      </c>
      <c r="M213">
        <v>49.15</v>
      </c>
      <c r="N213">
        <v>0.89999999999999991</v>
      </c>
      <c r="O213">
        <v>3</v>
      </c>
      <c r="Q213">
        <v>48.25</v>
      </c>
    </row>
    <row r="214" spans="1:17" x14ac:dyDescent="0.25">
      <c r="A214" t="s">
        <v>45</v>
      </c>
      <c r="B214">
        <v>1</v>
      </c>
      <c r="C214" t="s">
        <v>107</v>
      </c>
      <c r="D214" s="39">
        <v>45832</v>
      </c>
      <c r="E214" t="s">
        <v>78</v>
      </c>
      <c r="F214" t="s">
        <v>79</v>
      </c>
      <c r="G214">
        <v>5</v>
      </c>
      <c r="H214" t="s">
        <v>92</v>
      </c>
      <c r="I214">
        <v>0</v>
      </c>
      <c r="J214" t="s">
        <v>81</v>
      </c>
      <c r="K214" t="s">
        <v>79</v>
      </c>
      <c r="L214">
        <v>3</v>
      </c>
      <c r="M214">
        <v>61.55</v>
      </c>
      <c r="N214">
        <v>1.5</v>
      </c>
      <c r="Q214">
        <v>60.05</v>
      </c>
    </row>
    <row r="215" spans="1:17" x14ac:dyDescent="0.25">
      <c r="A215" t="s">
        <v>46</v>
      </c>
      <c r="B215">
        <v>1</v>
      </c>
      <c r="C215" t="s">
        <v>107</v>
      </c>
      <c r="D215" s="39">
        <v>45832</v>
      </c>
      <c r="E215" t="s">
        <v>78</v>
      </c>
      <c r="F215" t="s">
        <v>79</v>
      </c>
      <c r="G215">
        <v>5</v>
      </c>
      <c r="H215" t="s">
        <v>92</v>
      </c>
      <c r="I215">
        <v>0</v>
      </c>
      <c r="J215" t="s">
        <v>81</v>
      </c>
      <c r="K215" t="s">
        <v>79</v>
      </c>
      <c r="L215">
        <v>7</v>
      </c>
      <c r="M215">
        <v>152.32</v>
      </c>
      <c r="N215">
        <v>3.5</v>
      </c>
      <c r="O215">
        <v>5</v>
      </c>
      <c r="Q215">
        <v>148.82</v>
      </c>
    </row>
    <row r="216" spans="1:17" x14ac:dyDescent="0.25">
      <c r="A216" t="s">
        <v>45</v>
      </c>
      <c r="B216">
        <v>2</v>
      </c>
      <c r="C216" t="s">
        <v>91</v>
      </c>
      <c r="D216" s="39">
        <v>45832</v>
      </c>
      <c r="E216" t="s">
        <v>78</v>
      </c>
      <c r="F216" t="s">
        <v>79</v>
      </c>
      <c r="G216">
        <v>4</v>
      </c>
      <c r="H216" t="s">
        <v>92</v>
      </c>
      <c r="I216">
        <v>0</v>
      </c>
      <c r="J216" t="s">
        <v>81</v>
      </c>
      <c r="K216" t="s">
        <v>79</v>
      </c>
      <c r="L216">
        <v>5</v>
      </c>
      <c r="M216">
        <v>68.72</v>
      </c>
      <c r="N216">
        <v>2</v>
      </c>
      <c r="O216">
        <v>3</v>
      </c>
      <c r="Q216">
        <v>66.72</v>
      </c>
    </row>
    <row r="217" spans="1:17" x14ac:dyDescent="0.25">
      <c r="A217" t="s">
        <v>45</v>
      </c>
      <c r="B217">
        <v>2</v>
      </c>
      <c r="C217" t="s">
        <v>77</v>
      </c>
      <c r="D217" s="39">
        <v>45832</v>
      </c>
      <c r="E217" t="s">
        <v>78</v>
      </c>
      <c r="F217" t="s">
        <v>79</v>
      </c>
      <c r="G217">
        <v>3</v>
      </c>
      <c r="H217" t="s">
        <v>92</v>
      </c>
      <c r="I217">
        <v>0</v>
      </c>
      <c r="J217" t="s">
        <v>81</v>
      </c>
      <c r="K217" t="s">
        <v>79</v>
      </c>
      <c r="L217">
        <v>7</v>
      </c>
      <c r="M217">
        <v>92.669999999999987</v>
      </c>
      <c r="N217">
        <v>2.1</v>
      </c>
      <c r="Q217">
        <v>90.57</v>
      </c>
    </row>
    <row r="218" spans="1:17" x14ac:dyDescent="0.25">
      <c r="A218" t="s">
        <v>46</v>
      </c>
      <c r="B218">
        <v>2</v>
      </c>
      <c r="C218" t="s">
        <v>77</v>
      </c>
      <c r="D218" s="39">
        <v>45832</v>
      </c>
      <c r="E218" t="s">
        <v>78</v>
      </c>
      <c r="F218" t="s">
        <v>79</v>
      </c>
      <c r="G218">
        <v>3</v>
      </c>
      <c r="H218" t="s">
        <v>92</v>
      </c>
      <c r="I218">
        <v>0</v>
      </c>
      <c r="J218" t="s">
        <v>81</v>
      </c>
      <c r="K218" t="s">
        <v>79</v>
      </c>
      <c r="L218">
        <v>9</v>
      </c>
      <c r="M218">
        <v>117.82000000000001</v>
      </c>
      <c r="N218">
        <v>2.6999999999999997</v>
      </c>
      <c r="O218">
        <v>2</v>
      </c>
      <c r="Q218">
        <v>115.12</v>
      </c>
    </row>
    <row r="219" spans="1:17" x14ac:dyDescent="0.25">
      <c r="A219" t="s">
        <v>45</v>
      </c>
      <c r="B219">
        <v>4</v>
      </c>
      <c r="C219" t="s">
        <v>143</v>
      </c>
      <c r="D219" s="39">
        <v>45832</v>
      </c>
      <c r="E219" t="s">
        <v>120</v>
      </c>
      <c r="F219" t="s">
        <v>79</v>
      </c>
      <c r="G219">
        <v>26</v>
      </c>
      <c r="H219" t="s">
        <v>113</v>
      </c>
      <c r="I219" t="s">
        <v>81</v>
      </c>
      <c r="J219">
        <v>500</v>
      </c>
      <c r="K219" t="s">
        <v>79</v>
      </c>
      <c r="L219">
        <v>6</v>
      </c>
      <c r="M219">
        <v>391.38</v>
      </c>
      <c r="N219">
        <v>19.200000000000003</v>
      </c>
      <c r="O219">
        <v>7</v>
      </c>
      <c r="Q219">
        <v>372.18</v>
      </c>
    </row>
    <row r="220" spans="1:17" x14ac:dyDescent="0.25">
      <c r="A220" t="s">
        <v>45</v>
      </c>
      <c r="B220">
        <v>4</v>
      </c>
      <c r="C220" t="s">
        <v>188</v>
      </c>
      <c r="D220" s="39">
        <v>45832</v>
      </c>
      <c r="E220" t="s">
        <v>151</v>
      </c>
      <c r="F220" t="s">
        <v>79</v>
      </c>
      <c r="G220">
        <v>18</v>
      </c>
      <c r="H220" t="s">
        <v>102</v>
      </c>
      <c r="I220" t="s">
        <v>103</v>
      </c>
      <c r="J220">
        <v>665</v>
      </c>
      <c r="K220" t="s">
        <v>79</v>
      </c>
      <c r="L220">
        <v>5</v>
      </c>
      <c r="M220">
        <v>229.81</v>
      </c>
      <c r="N220">
        <v>11.15</v>
      </c>
      <c r="Q220">
        <v>218.66</v>
      </c>
    </row>
    <row r="221" spans="1:17" x14ac:dyDescent="0.25">
      <c r="A221" t="s">
        <v>46</v>
      </c>
      <c r="B221">
        <v>4</v>
      </c>
      <c r="C221" t="s">
        <v>188</v>
      </c>
      <c r="D221" s="39">
        <v>45832</v>
      </c>
      <c r="E221" t="s">
        <v>151</v>
      </c>
      <c r="F221" t="s">
        <v>79</v>
      </c>
      <c r="G221">
        <v>18</v>
      </c>
      <c r="H221" t="s">
        <v>102</v>
      </c>
      <c r="I221" t="s">
        <v>103</v>
      </c>
      <c r="J221">
        <v>665</v>
      </c>
      <c r="K221" t="s">
        <v>79</v>
      </c>
      <c r="L221">
        <v>9</v>
      </c>
      <c r="M221">
        <v>444.23</v>
      </c>
      <c r="N221">
        <v>19.8</v>
      </c>
      <c r="Q221">
        <v>424.43</v>
      </c>
    </row>
    <row r="222" spans="1:17" x14ac:dyDescent="0.25">
      <c r="A222" t="s">
        <v>46</v>
      </c>
      <c r="B222">
        <v>4</v>
      </c>
      <c r="C222" t="s">
        <v>189</v>
      </c>
      <c r="D222" s="39">
        <v>45832</v>
      </c>
      <c r="E222" t="s">
        <v>133</v>
      </c>
      <c r="F222" t="s">
        <v>79</v>
      </c>
      <c r="G222">
        <v>18</v>
      </c>
      <c r="H222" t="s">
        <v>113</v>
      </c>
      <c r="I222" t="s">
        <v>99</v>
      </c>
      <c r="J222">
        <v>1000</v>
      </c>
      <c r="K222" t="s">
        <v>79</v>
      </c>
      <c r="L222">
        <v>4</v>
      </c>
      <c r="M222">
        <v>206.3</v>
      </c>
      <c r="N222">
        <v>8.8000000000000007</v>
      </c>
      <c r="Q222">
        <v>197.5</v>
      </c>
    </row>
    <row r="223" spans="1:17" x14ac:dyDescent="0.25">
      <c r="A223" t="s">
        <v>45</v>
      </c>
      <c r="B223">
        <v>5</v>
      </c>
      <c r="C223" t="s">
        <v>90</v>
      </c>
      <c r="D223" s="39">
        <v>45832</v>
      </c>
      <c r="E223" t="s">
        <v>78</v>
      </c>
      <c r="F223" t="s">
        <v>79</v>
      </c>
      <c r="G223">
        <v>9</v>
      </c>
      <c r="H223">
        <v>5</v>
      </c>
      <c r="I223">
        <v>0</v>
      </c>
      <c r="J223" t="s">
        <v>81</v>
      </c>
      <c r="K223" t="s">
        <v>79</v>
      </c>
      <c r="L223">
        <v>11</v>
      </c>
      <c r="M223">
        <v>464.97999999999996</v>
      </c>
      <c r="N223">
        <v>12.100000000000001</v>
      </c>
      <c r="O223">
        <v>4</v>
      </c>
      <c r="Q223">
        <v>452.87999999999994</v>
      </c>
    </row>
    <row r="224" spans="1:17" x14ac:dyDescent="0.25">
      <c r="A224" t="s">
        <v>46</v>
      </c>
      <c r="B224">
        <v>5</v>
      </c>
      <c r="C224" t="s">
        <v>90</v>
      </c>
      <c r="D224" s="39">
        <v>45832</v>
      </c>
      <c r="E224" t="s">
        <v>78</v>
      </c>
      <c r="F224" t="s">
        <v>79</v>
      </c>
      <c r="G224">
        <v>9</v>
      </c>
      <c r="H224">
        <v>5</v>
      </c>
      <c r="I224">
        <v>0</v>
      </c>
      <c r="J224" t="s">
        <v>81</v>
      </c>
      <c r="K224" t="s">
        <v>79</v>
      </c>
      <c r="L224">
        <v>1</v>
      </c>
      <c r="M224">
        <v>33.22</v>
      </c>
      <c r="N224">
        <v>1.1000000000000001</v>
      </c>
      <c r="O224">
        <v>6</v>
      </c>
      <c r="Q224">
        <v>32.119999999999997</v>
      </c>
    </row>
    <row r="225" spans="1:17" x14ac:dyDescent="0.25">
      <c r="A225" t="s">
        <v>46</v>
      </c>
      <c r="B225">
        <v>5</v>
      </c>
      <c r="C225" t="s">
        <v>85</v>
      </c>
      <c r="D225" s="39">
        <v>45832</v>
      </c>
      <c r="E225" t="s">
        <v>78</v>
      </c>
      <c r="F225" t="s">
        <v>79</v>
      </c>
      <c r="G225">
        <v>12</v>
      </c>
      <c r="H225">
        <v>5</v>
      </c>
      <c r="I225">
        <v>0</v>
      </c>
      <c r="J225" t="s">
        <v>81</v>
      </c>
      <c r="K225" t="s">
        <v>79</v>
      </c>
      <c r="L225">
        <v>8</v>
      </c>
      <c r="M225">
        <v>365.42999999999995</v>
      </c>
      <c r="N225">
        <v>12</v>
      </c>
      <c r="Q225">
        <v>353.42999999999995</v>
      </c>
    </row>
    <row r="226" spans="1:17" x14ac:dyDescent="0.25">
      <c r="A226" t="s">
        <v>45</v>
      </c>
      <c r="B226">
        <v>1</v>
      </c>
      <c r="C226" t="s">
        <v>107</v>
      </c>
      <c r="D226" s="39">
        <v>45833</v>
      </c>
      <c r="E226" t="s">
        <v>78</v>
      </c>
      <c r="F226" t="s">
        <v>79</v>
      </c>
      <c r="G226">
        <v>5</v>
      </c>
      <c r="H226" t="s">
        <v>92</v>
      </c>
      <c r="I226">
        <v>0</v>
      </c>
      <c r="J226" t="s">
        <v>81</v>
      </c>
      <c r="K226" t="s">
        <v>79</v>
      </c>
      <c r="L226">
        <v>10</v>
      </c>
      <c r="M226">
        <v>166.70000000000002</v>
      </c>
      <c r="N226">
        <v>5</v>
      </c>
      <c r="O226">
        <v>4</v>
      </c>
      <c r="Q226">
        <v>161.70000000000002</v>
      </c>
    </row>
    <row r="227" spans="1:17" x14ac:dyDescent="0.25">
      <c r="A227" t="s">
        <v>46</v>
      </c>
      <c r="B227">
        <v>1</v>
      </c>
      <c r="C227" t="s">
        <v>107</v>
      </c>
      <c r="D227" s="39">
        <v>45833</v>
      </c>
      <c r="E227" t="s">
        <v>78</v>
      </c>
      <c r="F227" t="s">
        <v>79</v>
      </c>
      <c r="G227">
        <v>5</v>
      </c>
      <c r="H227" t="s">
        <v>92</v>
      </c>
      <c r="I227">
        <v>0</v>
      </c>
      <c r="J227" t="s">
        <v>81</v>
      </c>
      <c r="K227" t="s">
        <v>79</v>
      </c>
      <c r="L227">
        <v>8</v>
      </c>
      <c r="M227">
        <v>158.81</v>
      </c>
      <c r="N227">
        <v>4</v>
      </c>
      <c r="O227">
        <v>3</v>
      </c>
      <c r="Q227">
        <v>154.81</v>
      </c>
    </row>
    <row r="228" spans="1:17" x14ac:dyDescent="0.25">
      <c r="A228" t="s">
        <v>45</v>
      </c>
      <c r="B228">
        <v>2</v>
      </c>
      <c r="C228" t="s">
        <v>77</v>
      </c>
      <c r="D228" s="39">
        <v>45833</v>
      </c>
      <c r="E228" t="s">
        <v>78</v>
      </c>
      <c r="F228" t="s">
        <v>79</v>
      </c>
      <c r="G228">
        <v>3</v>
      </c>
      <c r="H228" t="s">
        <v>92</v>
      </c>
      <c r="I228">
        <v>0</v>
      </c>
      <c r="J228" t="s">
        <v>81</v>
      </c>
      <c r="K228" t="s">
        <v>79</v>
      </c>
      <c r="L228">
        <v>10</v>
      </c>
      <c r="M228">
        <v>133.6</v>
      </c>
      <c r="N228">
        <v>3</v>
      </c>
      <c r="O228">
        <v>4</v>
      </c>
      <c r="Q228">
        <v>130.6</v>
      </c>
    </row>
    <row r="229" spans="1:17" x14ac:dyDescent="0.25">
      <c r="A229" t="s">
        <v>46</v>
      </c>
      <c r="B229">
        <v>2</v>
      </c>
      <c r="C229" t="s">
        <v>91</v>
      </c>
      <c r="D229" s="39">
        <v>45833</v>
      </c>
      <c r="E229" t="s">
        <v>78</v>
      </c>
      <c r="F229" t="s">
        <v>79</v>
      </c>
      <c r="G229">
        <v>4</v>
      </c>
      <c r="H229" t="s">
        <v>92</v>
      </c>
      <c r="I229">
        <v>0</v>
      </c>
      <c r="J229" t="s">
        <v>81</v>
      </c>
      <c r="K229" t="s">
        <v>79</v>
      </c>
      <c r="L229">
        <v>10</v>
      </c>
      <c r="M229">
        <v>149.18</v>
      </c>
      <c r="N229">
        <v>4</v>
      </c>
      <c r="O229">
        <v>3</v>
      </c>
      <c r="Q229">
        <v>145.18</v>
      </c>
    </row>
    <row r="230" spans="1:17" x14ac:dyDescent="0.25">
      <c r="A230" t="s">
        <v>45</v>
      </c>
      <c r="B230">
        <v>4</v>
      </c>
      <c r="C230" t="s">
        <v>189</v>
      </c>
      <c r="D230" s="39">
        <v>45833</v>
      </c>
      <c r="E230" t="s">
        <v>133</v>
      </c>
      <c r="F230" t="s">
        <v>79</v>
      </c>
      <c r="G230">
        <v>18</v>
      </c>
      <c r="H230" t="s">
        <v>113</v>
      </c>
      <c r="I230" t="s">
        <v>99</v>
      </c>
      <c r="J230">
        <v>1000</v>
      </c>
      <c r="K230" t="s">
        <v>79</v>
      </c>
      <c r="L230">
        <v>12</v>
      </c>
      <c r="M230">
        <v>627.99999999999989</v>
      </c>
      <c r="N230">
        <v>25.200000000000003</v>
      </c>
      <c r="O230">
        <v>10</v>
      </c>
      <c r="Q230">
        <v>602.79999999999984</v>
      </c>
    </row>
    <row r="231" spans="1:17" x14ac:dyDescent="0.25">
      <c r="A231" t="s">
        <v>46</v>
      </c>
      <c r="B231">
        <v>4</v>
      </c>
      <c r="C231" t="s">
        <v>189</v>
      </c>
      <c r="D231" s="39">
        <v>45833</v>
      </c>
      <c r="E231" t="s">
        <v>133</v>
      </c>
      <c r="F231" t="s">
        <v>79</v>
      </c>
      <c r="G231">
        <v>18</v>
      </c>
      <c r="H231" t="s">
        <v>113</v>
      </c>
      <c r="I231" t="s">
        <v>99</v>
      </c>
      <c r="J231">
        <v>1000</v>
      </c>
      <c r="K231" t="s">
        <v>79</v>
      </c>
      <c r="L231">
        <v>5</v>
      </c>
      <c r="M231">
        <v>267.7</v>
      </c>
      <c r="N231">
        <v>10.5</v>
      </c>
      <c r="O231">
        <v>17</v>
      </c>
      <c r="Q231">
        <v>257.2</v>
      </c>
    </row>
    <row r="232" spans="1:17" x14ac:dyDescent="0.25">
      <c r="A232" t="s">
        <v>46</v>
      </c>
      <c r="B232">
        <v>4</v>
      </c>
      <c r="C232" t="s">
        <v>89</v>
      </c>
      <c r="D232" s="39">
        <v>45833</v>
      </c>
      <c r="E232" t="s">
        <v>78</v>
      </c>
      <c r="F232" t="s">
        <v>79</v>
      </c>
      <c r="G232">
        <v>16</v>
      </c>
      <c r="H232">
        <v>5</v>
      </c>
      <c r="I232">
        <v>0</v>
      </c>
      <c r="J232" t="s">
        <v>81</v>
      </c>
      <c r="K232" t="s">
        <v>79</v>
      </c>
      <c r="L232">
        <v>4</v>
      </c>
      <c r="M232">
        <v>157.17000000000002</v>
      </c>
      <c r="N232">
        <v>7.8</v>
      </c>
      <c r="Q232">
        <v>149.37</v>
      </c>
    </row>
    <row r="233" spans="1:17" x14ac:dyDescent="0.25">
      <c r="A233" t="s">
        <v>46</v>
      </c>
      <c r="B233">
        <v>4</v>
      </c>
      <c r="C233" t="s">
        <v>185</v>
      </c>
      <c r="D233" s="39">
        <v>45833</v>
      </c>
      <c r="E233" t="s">
        <v>86</v>
      </c>
      <c r="F233" t="s">
        <v>79</v>
      </c>
      <c r="G233">
        <v>16.2</v>
      </c>
      <c r="H233" t="s">
        <v>81</v>
      </c>
      <c r="I233" t="s">
        <v>103</v>
      </c>
      <c r="J233">
        <v>1000</v>
      </c>
      <c r="K233" t="s">
        <v>79</v>
      </c>
      <c r="L233">
        <v>4</v>
      </c>
      <c r="M233">
        <v>159.70000000000002</v>
      </c>
      <c r="N233">
        <v>7.58</v>
      </c>
      <c r="Q233">
        <v>152.12</v>
      </c>
    </row>
    <row r="234" spans="1:17" x14ac:dyDescent="0.25">
      <c r="A234" t="s">
        <v>45</v>
      </c>
      <c r="B234">
        <v>5</v>
      </c>
      <c r="C234" t="s">
        <v>85</v>
      </c>
      <c r="D234" s="39">
        <v>45833</v>
      </c>
      <c r="E234" t="s">
        <v>78</v>
      </c>
      <c r="F234" t="s">
        <v>79</v>
      </c>
      <c r="G234">
        <v>12</v>
      </c>
      <c r="H234">
        <v>5</v>
      </c>
      <c r="I234">
        <v>0</v>
      </c>
      <c r="J234" t="s">
        <v>81</v>
      </c>
      <c r="K234" t="s">
        <v>79</v>
      </c>
      <c r="L234">
        <v>4</v>
      </c>
      <c r="M234">
        <v>170.6</v>
      </c>
      <c r="N234">
        <v>5.6</v>
      </c>
      <c r="O234">
        <v>16</v>
      </c>
      <c r="Q234">
        <v>165</v>
      </c>
    </row>
    <row r="235" spans="1:17" x14ac:dyDescent="0.25">
      <c r="A235" t="s">
        <v>45</v>
      </c>
      <c r="B235">
        <v>5</v>
      </c>
      <c r="C235" t="s">
        <v>94</v>
      </c>
      <c r="D235" s="39">
        <v>45833</v>
      </c>
      <c r="E235" t="s">
        <v>78</v>
      </c>
      <c r="F235" t="s">
        <v>79</v>
      </c>
      <c r="G235">
        <v>8</v>
      </c>
      <c r="H235">
        <v>5</v>
      </c>
      <c r="I235">
        <v>0</v>
      </c>
      <c r="J235" t="s">
        <v>81</v>
      </c>
      <c r="K235" t="s">
        <v>79</v>
      </c>
      <c r="L235">
        <v>4</v>
      </c>
      <c r="M235">
        <v>101.96</v>
      </c>
      <c r="N235">
        <v>3.6</v>
      </c>
      <c r="Q235">
        <v>98.36</v>
      </c>
    </row>
    <row r="236" spans="1:17" x14ac:dyDescent="0.25">
      <c r="A236" t="s">
        <v>45</v>
      </c>
      <c r="B236">
        <v>5</v>
      </c>
      <c r="C236" t="s">
        <v>131</v>
      </c>
      <c r="D236" s="39">
        <v>45833</v>
      </c>
      <c r="E236" t="s">
        <v>78</v>
      </c>
      <c r="F236" t="s">
        <v>79</v>
      </c>
      <c r="G236">
        <v>11</v>
      </c>
      <c r="H236">
        <v>5</v>
      </c>
      <c r="I236">
        <v>0</v>
      </c>
      <c r="J236" t="s">
        <v>81</v>
      </c>
      <c r="K236" t="s">
        <v>79</v>
      </c>
      <c r="L236">
        <v>4</v>
      </c>
      <c r="M236">
        <v>176.64</v>
      </c>
      <c r="N236">
        <v>5.2</v>
      </c>
      <c r="Q236">
        <v>171.44</v>
      </c>
    </row>
    <row r="237" spans="1:17" x14ac:dyDescent="0.25">
      <c r="A237" t="s">
        <v>46</v>
      </c>
      <c r="B237">
        <v>5</v>
      </c>
      <c r="C237" t="s">
        <v>131</v>
      </c>
      <c r="D237" s="39">
        <v>45833</v>
      </c>
      <c r="E237" t="s">
        <v>78</v>
      </c>
      <c r="F237" t="s">
        <v>79</v>
      </c>
      <c r="G237">
        <v>11</v>
      </c>
      <c r="H237">
        <v>5</v>
      </c>
      <c r="I237">
        <v>0</v>
      </c>
      <c r="J237" t="s">
        <v>81</v>
      </c>
      <c r="K237" t="s">
        <v>79</v>
      </c>
      <c r="L237">
        <v>8</v>
      </c>
      <c r="M237">
        <v>421.5499999999999</v>
      </c>
      <c r="N237">
        <v>10.4</v>
      </c>
      <c r="O237">
        <v>7</v>
      </c>
      <c r="Q237">
        <v>411.14999999999992</v>
      </c>
    </row>
    <row r="238" spans="1:17" x14ac:dyDescent="0.25">
      <c r="A238" t="s">
        <v>46</v>
      </c>
      <c r="B238">
        <v>5</v>
      </c>
      <c r="C238" t="s">
        <v>90</v>
      </c>
      <c r="D238" s="39">
        <v>45833</v>
      </c>
      <c r="E238" t="s">
        <v>78</v>
      </c>
      <c r="F238" t="s">
        <v>79</v>
      </c>
      <c r="G238">
        <v>9</v>
      </c>
      <c r="H238">
        <v>5</v>
      </c>
      <c r="I238">
        <v>0</v>
      </c>
      <c r="J238" t="s">
        <v>81</v>
      </c>
      <c r="K238" t="s">
        <v>79</v>
      </c>
      <c r="L238">
        <v>2</v>
      </c>
      <c r="M238">
        <v>57.540000000000006</v>
      </c>
      <c r="N238">
        <v>2</v>
      </c>
      <c r="Q238">
        <v>55.540000000000006</v>
      </c>
    </row>
    <row r="239" spans="1:17" x14ac:dyDescent="0.25">
      <c r="A239" t="s">
        <v>45</v>
      </c>
      <c r="B239">
        <v>1</v>
      </c>
      <c r="C239" t="s">
        <v>107</v>
      </c>
      <c r="D239" s="39">
        <v>45834</v>
      </c>
      <c r="E239" t="s">
        <v>78</v>
      </c>
      <c r="F239" t="s">
        <v>79</v>
      </c>
      <c r="G239">
        <v>5</v>
      </c>
      <c r="H239" t="s">
        <v>92</v>
      </c>
      <c r="I239">
        <v>0</v>
      </c>
      <c r="J239" t="s">
        <v>81</v>
      </c>
      <c r="K239" t="s">
        <v>79</v>
      </c>
      <c r="L239">
        <v>10</v>
      </c>
      <c r="M239">
        <v>142.45000000000002</v>
      </c>
      <c r="N239">
        <v>5</v>
      </c>
      <c r="O239">
        <v>30</v>
      </c>
      <c r="Q239">
        <v>137.45000000000002</v>
      </c>
    </row>
    <row r="240" spans="1:17" x14ac:dyDescent="0.25">
      <c r="A240" t="s">
        <v>46</v>
      </c>
      <c r="B240">
        <v>1</v>
      </c>
      <c r="C240" t="s">
        <v>107</v>
      </c>
      <c r="D240" s="39">
        <v>45834</v>
      </c>
      <c r="E240" t="s">
        <v>78</v>
      </c>
      <c r="F240" t="s">
        <v>79</v>
      </c>
      <c r="G240">
        <v>5</v>
      </c>
      <c r="H240" t="s">
        <v>92</v>
      </c>
      <c r="I240">
        <v>0</v>
      </c>
      <c r="J240" t="s">
        <v>81</v>
      </c>
      <c r="K240" t="s">
        <v>79</v>
      </c>
      <c r="L240">
        <v>8</v>
      </c>
      <c r="M240">
        <v>181.2</v>
      </c>
      <c r="N240">
        <v>4</v>
      </c>
      <c r="O240">
        <v>29</v>
      </c>
      <c r="Q240">
        <v>177.2</v>
      </c>
    </row>
    <row r="241" spans="1:17" x14ac:dyDescent="0.25">
      <c r="A241" t="s">
        <v>45</v>
      </c>
      <c r="B241">
        <v>2</v>
      </c>
      <c r="C241" t="s">
        <v>91</v>
      </c>
      <c r="D241" s="39">
        <v>45834</v>
      </c>
      <c r="E241" t="s">
        <v>78</v>
      </c>
      <c r="F241" t="s">
        <v>79</v>
      </c>
      <c r="G241">
        <v>4</v>
      </c>
      <c r="H241" t="s">
        <v>92</v>
      </c>
      <c r="I241">
        <v>0</v>
      </c>
      <c r="J241" t="s">
        <v>81</v>
      </c>
      <c r="K241" t="s">
        <v>79</v>
      </c>
      <c r="L241">
        <v>10</v>
      </c>
      <c r="M241">
        <v>120.20000000000002</v>
      </c>
      <c r="N241">
        <v>4</v>
      </c>
      <c r="Q241">
        <v>116.20000000000002</v>
      </c>
    </row>
    <row r="242" spans="1:17" x14ac:dyDescent="0.25">
      <c r="A242" t="s">
        <v>46</v>
      </c>
      <c r="B242">
        <v>2</v>
      </c>
      <c r="C242" t="s">
        <v>91</v>
      </c>
      <c r="D242" s="39">
        <v>45834</v>
      </c>
      <c r="E242" t="s">
        <v>78</v>
      </c>
      <c r="F242" t="s">
        <v>79</v>
      </c>
      <c r="G242">
        <v>4</v>
      </c>
      <c r="H242" t="s">
        <v>92</v>
      </c>
      <c r="I242">
        <v>0</v>
      </c>
      <c r="J242" t="s">
        <v>81</v>
      </c>
      <c r="K242" t="s">
        <v>79</v>
      </c>
      <c r="L242">
        <v>10</v>
      </c>
      <c r="M242">
        <v>155.81</v>
      </c>
      <c r="N242">
        <v>4</v>
      </c>
      <c r="Q242">
        <v>151.81</v>
      </c>
    </row>
    <row r="243" spans="1:17" x14ac:dyDescent="0.25">
      <c r="A243" t="s">
        <v>45</v>
      </c>
      <c r="B243">
        <v>4</v>
      </c>
      <c r="C243" t="s">
        <v>190</v>
      </c>
      <c r="D243" s="39">
        <v>45834</v>
      </c>
      <c r="E243" t="s">
        <v>84</v>
      </c>
      <c r="F243" t="s">
        <v>79</v>
      </c>
      <c r="G243">
        <v>18</v>
      </c>
      <c r="H243">
        <v>6</v>
      </c>
      <c r="I243">
        <v>0</v>
      </c>
      <c r="J243">
        <v>600</v>
      </c>
      <c r="K243" t="s">
        <v>79</v>
      </c>
      <c r="L243">
        <v>13</v>
      </c>
      <c r="M243">
        <v>562.78</v>
      </c>
      <c r="N243">
        <v>28.6</v>
      </c>
      <c r="Q243">
        <v>534.17999999999995</v>
      </c>
    </row>
    <row r="244" spans="1:17" x14ac:dyDescent="0.25">
      <c r="A244" t="s">
        <v>46</v>
      </c>
      <c r="B244">
        <v>4</v>
      </c>
      <c r="C244" t="s">
        <v>190</v>
      </c>
      <c r="D244" s="39">
        <v>45834</v>
      </c>
      <c r="E244" t="s">
        <v>84</v>
      </c>
      <c r="F244" t="s">
        <v>79</v>
      </c>
      <c r="G244">
        <v>18</v>
      </c>
      <c r="H244">
        <v>6</v>
      </c>
      <c r="I244">
        <v>0</v>
      </c>
      <c r="J244">
        <v>600</v>
      </c>
      <c r="K244" t="s">
        <v>79</v>
      </c>
      <c r="L244">
        <v>12</v>
      </c>
      <c r="M244">
        <v>613.96</v>
      </c>
      <c r="N244">
        <v>26.400000000000002</v>
      </c>
      <c r="Q244">
        <v>587.56000000000006</v>
      </c>
    </row>
    <row r="245" spans="1:17" x14ac:dyDescent="0.25">
      <c r="A245" t="s">
        <v>45</v>
      </c>
      <c r="B245">
        <v>5</v>
      </c>
      <c r="C245" t="s">
        <v>90</v>
      </c>
      <c r="D245" s="39">
        <v>45834</v>
      </c>
      <c r="E245" t="s">
        <v>78</v>
      </c>
      <c r="F245" t="s">
        <v>79</v>
      </c>
      <c r="G245">
        <v>9</v>
      </c>
      <c r="H245">
        <v>5</v>
      </c>
      <c r="I245">
        <v>0</v>
      </c>
      <c r="J245" t="s">
        <v>81</v>
      </c>
      <c r="K245" t="s">
        <v>79</v>
      </c>
      <c r="L245">
        <v>2</v>
      </c>
      <c r="M245">
        <v>364.95000000000005</v>
      </c>
      <c r="N245">
        <v>1.8</v>
      </c>
      <c r="Q245">
        <v>363.15000000000003</v>
      </c>
    </row>
    <row r="246" spans="1:17" x14ac:dyDescent="0.25">
      <c r="A246" t="s">
        <v>45</v>
      </c>
      <c r="B246">
        <v>5</v>
      </c>
      <c r="C246" t="s">
        <v>90</v>
      </c>
      <c r="D246" s="39">
        <v>45834</v>
      </c>
      <c r="E246" t="s">
        <v>78</v>
      </c>
      <c r="F246" t="s">
        <v>79</v>
      </c>
      <c r="G246">
        <v>9</v>
      </c>
      <c r="H246">
        <v>5</v>
      </c>
      <c r="I246">
        <v>0</v>
      </c>
      <c r="J246" t="s">
        <v>81</v>
      </c>
      <c r="K246" t="s">
        <v>79</v>
      </c>
      <c r="L246">
        <v>9</v>
      </c>
      <c r="M246">
        <v>365.03000000000003</v>
      </c>
      <c r="N246">
        <v>8.1</v>
      </c>
      <c r="Q246">
        <v>356.93</v>
      </c>
    </row>
    <row r="247" spans="1:17" x14ac:dyDescent="0.25">
      <c r="A247" t="s">
        <v>46</v>
      </c>
      <c r="B247">
        <v>5</v>
      </c>
      <c r="C247" t="s">
        <v>90</v>
      </c>
      <c r="D247" s="39">
        <v>45834</v>
      </c>
      <c r="E247" t="s">
        <v>78</v>
      </c>
      <c r="F247" t="s">
        <v>79</v>
      </c>
      <c r="G247">
        <v>9</v>
      </c>
      <c r="H247">
        <v>5</v>
      </c>
      <c r="I247">
        <v>0</v>
      </c>
      <c r="J247" t="s">
        <v>81</v>
      </c>
      <c r="K247" t="s">
        <v>79</v>
      </c>
      <c r="L247">
        <v>9</v>
      </c>
      <c r="M247">
        <v>396.43</v>
      </c>
      <c r="N247">
        <v>8.1</v>
      </c>
      <c r="Q247">
        <v>388.33</v>
      </c>
    </row>
    <row r="248" spans="1:17" x14ac:dyDescent="0.25">
      <c r="A248" t="s">
        <v>45</v>
      </c>
      <c r="B248">
        <v>1</v>
      </c>
      <c r="C248" t="s">
        <v>107</v>
      </c>
      <c r="D248" s="39">
        <v>45835</v>
      </c>
      <c r="E248" t="s">
        <v>78</v>
      </c>
      <c r="F248" t="s">
        <v>79</v>
      </c>
      <c r="G248">
        <v>5</v>
      </c>
      <c r="H248" t="s">
        <v>92</v>
      </c>
      <c r="I248">
        <v>0</v>
      </c>
      <c r="J248" t="s">
        <v>81</v>
      </c>
      <c r="K248" t="s">
        <v>79</v>
      </c>
      <c r="L248">
        <v>3</v>
      </c>
      <c r="M248">
        <v>52.8</v>
      </c>
      <c r="N248">
        <v>1.5</v>
      </c>
      <c r="O248">
        <v>9</v>
      </c>
      <c r="Q248">
        <v>51.3</v>
      </c>
    </row>
    <row r="249" spans="1:17" x14ac:dyDescent="0.25">
      <c r="A249" t="s">
        <v>45</v>
      </c>
      <c r="B249">
        <v>1</v>
      </c>
      <c r="C249" t="s">
        <v>91</v>
      </c>
      <c r="D249" s="39">
        <v>45835</v>
      </c>
      <c r="E249" t="s">
        <v>78</v>
      </c>
      <c r="F249" t="s">
        <v>79</v>
      </c>
      <c r="G249">
        <v>4</v>
      </c>
      <c r="H249" t="s">
        <v>92</v>
      </c>
      <c r="I249">
        <v>0</v>
      </c>
      <c r="J249" t="s">
        <v>81</v>
      </c>
      <c r="K249" t="s">
        <v>79</v>
      </c>
      <c r="L249">
        <v>3</v>
      </c>
      <c r="M249">
        <v>48</v>
      </c>
      <c r="N249">
        <v>0.30000000000000004</v>
      </c>
      <c r="Q249">
        <v>47.7</v>
      </c>
    </row>
    <row r="250" spans="1:17" x14ac:dyDescent="0.25">
      <c r="A250" t="s">
        <v>46</v>
      </c>
      <c r="B250">
        <v>1</v>
      </c>
      <c r="C250" t="s">
        <v>91</v>
      </c>
      <c r="D250" s="39">
        <v>45835</v>
      </c>
      <c r="E250" t="s">
        <v>78</v>
      </c>
      <c r="F250" t="s">
        <v>79</v>
      </c>
      <c r="G250">
        <v>4</v>
      </c>
      <c r="H250" t="s">
        <v>92</v>
      </c>
      <c r="I250">
        <v>0</v>
      </c>
      <c r="J250" t="s">
        <v>81</v>
      </c>
      <c r="K250" t="s">
        <v>79</v>
      </c>
      <c r="L250">
        <v>8</v>
      </c>
      <c r="M250">
        <v>157.08000000000001</v>
      </c>
      <c r="N250">
        <v>3.2</v>
      </c>
      <c r="O250">
        <v>3</v>
      </c>
      <c r="Q250">
        <v>153.88000000000002</v>
      </c>
    </row>
    <row r="251" spans="1:17" x14ac:dyDescent="0.25">
      <c r="A251" t="s">
        <v>45</v>
      </c>
      <c r="B251">
        <v>2</v>
      </c>
      <c r="C251" t="s">
        <v>91</v>
      </c>
      <c r="D251" s="39">
        <v>45835</v>
      </c>
      <c r="E251" t="s">
        <v>78</v>
      </c>
      <c r="F251" t="s">
        <v>79</v>
      </c>
      <c r="G251">
        <v>4</v>
      </c>
      <c r="H251" t="s">
        <v>92</v>
      </c>
      <c r="I251">
        <v>0</v>
      </c>
      <c r="J251" t="s">
        <v>81</v>
      </c>
      <c r="K251" t="s">
        <v>79</v>
      </c>
      <c r="L251">
        <v>4</v>
      </c>
      <c r="M251">
        <v>78.8</v>
      </c>
      <c r="N251">
        <v>2</v>
      </c>
      <c r="O251">
        <v>12</v>
      </c>
      <c r="Q251">
        <v>76.8</v>
      </c>
    </row>
    <row r="252" spans="1:17" x14ac:dyDescent="0.25">
      <c r="A252" t="s">
        <v>45</v>
      </c>
      <c r="B252">
        <v>2</v>
      </c>
      <c r="C252" t="s">
        <v>77</v>
      </c>
      <c r="D252" s="39">
        <v>45835</v>
      </c>
      <c r="E252" t="s">
        <v>78</v>
      </c>
      <c r="F252" t="s">
        <v>79</v>
      </c>
      <c r="G252">
        <v>3</v>
      </c>
      <c r="H252" t="s">
        <v>92</v>
      </c>
      <c r="I252">
        <v>0</v>
      </c>
      <c r="J252" t="s">
        <v>81</v>
      </c>
      <c r="K252" t="s">
        <v>79</v>
      </c>
      <c r="L252">
        <v>4</v>
      </c>
      <c r="M252">
        <v>47.73</v>
      </c>
      <c r="N252">
        <v>0.4</v>
      </c>
      <c r="Q252">
        <v>47.33</v>
      </c>
    </row>
    <row r="253" spans="1:17" x14ac:dyDescent="0.25">
      <c r="A253" t="s">
        <v>46</v>
      </c>
      <c r="B253">
        <v>2</v>
      </c>
      <c r="C253" t="s">
        <v>77</v>
      </c>
      <c r="D253" s="39">
        <v>45835</v>
      </c>
      <c r="E253" t="s">
        <v>78</v>
      </c>
      <c r="F253" t="s">
        <v>79</v>
      </c>
      <c r="G253">
        <v>3</v>
      </c>
      <c r="H253" t="s">
        <v>92</v>
      </c>
      <c r="I253">
        <v>0</v>
      </c>
      <c r="J253" t="s">
        <v>81</v>
      </c>
      <c r="K253" t="s">
        <v>79</v>
      </c>
      <c r="L253">
        <v>9</v>
      </c>
      <c r="M253">
        <v>117.13999999999999</v>
      </c>
      <c r="N253">
        <v>2.6999999999999997</v>
      </c>
      <c r="O253">
        <v>6</v>
      </c>
      <c r="Q253">
        <v>114.43999999999998</v>
      </c>
    </row>
    <row r="254" spans="1:17" x14ac:dyDescent="0.25">
      <c r="A254" t="s">
        <v>45</v>
      </c>
      <c r="B254">
        <v>4</v>
      </c>
      <c r="C254" t="s">
        <v>190</v>
      </c>
      <c r="D254" s="39">
        <v>45835</v>
      </c>
      <c r="E254" t="s">
        <v>84</v>
      </c>
      <c r="F254" t="s">
        <v>79</v>
      </c>
      <c r="G254">
        <v>18</v>
      </c>
      <c r="H254">
        <v>6</v>
      </c>
      <c r="I254">
        <v>0</v>
      </c>
      <c r="J254">
        <v>600</v>
      </c>
      <c r="K254" t="s">
        <v>79</v>
      </c>
      <c r="L254">
        <v>2</v>
      </c>
      <c r="M254">
        <v>99.9</v>
      </c>
      <c r="N254">
        <v>4.4000000000000004</v>
      </c>
      <c r="O254">
        <v>12</v>
      </c>
      <c r="Q254">
        <v>95.5</v>
      </c>
    </row>
    <row r="255" spans="1:17" x14ac:dyDescent="0.25">
      <c r="A255" t="s">
        <v>45</v>
      </c>
      <c r="B255">
        <v>4</v>
      </c>
      <c r="C255" t="s">
        <v>101</v>
      </c>
      <c r="D255" s="39">
        <v>45835</v>
      </c>
      <c r="E255" t="s">
        <v>78</v>
      </c>
      <c r="F255" t="s">
        <v>79</v>
      </c>
      <c r="G255">
        <v>18</v>
      </c>
      <c r="H255">
        <v>5</v>
      </c>
      <c r="I255">
        <v>0</v>
      </c>
      <c r="J255" t="s">
        <v>81</v>
      </c>
      <c r="K255" t="s">
        <v>79</v>
      </c>
      <c r="L255">
        <v>3</v>
      </c>
      <c r="M255">
        <v>158.45999999999998</v>
      </c>
      <c r="N255">
        <v>6.6000000000000005</v>
      </c>
      <c r="Q255">
        <v>151.85999999999999</v>
      </c>
    </row>
    <row r="256" spans="1:17" x14ac:dyDescent="0.25">
      <c r="A256" t="s">
        <v>45</v>
      </c>
      <c r="B256">
        <v>4</v>
      </c>
      <c r="C256" t="s">
        <v>104</v>
      </c>
      <c r="D256" s="39">
        <v>45835</v>
      </c>
      <c r="E256" t="s">
        <v>78</v>
      </c>
      <c r="F256" t="s">
        <v>79</v>
      </c>
      <c r="G256">
        <v>24</v>
      </c>
      <c r="H256">
        <v>5</v>
      </c>
      <c r="I256">
        <v>0</v>
      </c>
      <c r="J256" t="s">
        <v>81</v>
      </c>
      <c r="K256" t="s">
        <v>79</v>
      </c>
      <c r="L256">
        <v>7</v>
      </c>
      <c r="M256">
        <v>397.97</v>
      </c>
      <c r="N256">
        <v>21</v>
      </c>
      <c r="Q256">
        <v>376.97</v>
      </c>
    </row>
    <row r="257" spans="1:17" x14ac:dyDescent="0.25">
      <c r="A257" t="s">
        <v>46</v>
      </c>
      <c r="B257">
        <v>4</v>
      </c>
      <c r="C257" t="s">
        <v>104</v>
      </c>
      <c r="D257" s="39">
        <v>45835</v>
      </c>
      <c r="E257" t="s">
        <v>78</v>
      </c>
      <c r="F257" t="s">
        <v>79</v>
      </c>
      <c r="G257">
        <v>24</v>
      </c>
      <c r="H257">
        <v>5</v>
      </c>
      <c r="I257">
        <v>0</v>
      </c>
      <c r="J257" t="s">
        <v>81</v>
      </c>
      <c r="K257" t="s">
        <v>79</v>
      </c>
      <c r="L257">
        <v>11</v>
      </c>
      <c r="M257">
        <v>617.80000000000007</v>
      </c>
      <c r="N257">
        <v>33</v>
      </c>
      <c r="O257">
        <v>6</v>
      </c>
      <c r="Q257">
        <v>584.80000000000007</v>
      </c>
    </row>
    <row r="258" spans="1:17" x14ac:dyDescent="0.25">
      <c r="A258" t="s">
        <v>45</v>
      </c>
      <c r="B258">
        <v>5</v>
      </c>
      <c r="C258" t="s">
        <v>90</v>
      </c>
      <c r="D258" s="39">
        <v>45835</v>
      </c>
      <c r="E258" t="s">
        <v>78</v>
      </c>
      <c r="F258" t="s">
        <v>79</v>
      </c>
      <c r="G258">
        <v>9</v>
      </c>
      <c r="H258">
        <v>5</v>
      </c>
      <c r="I258">
        <v>0</v>
      </c>
      <c r="J258" t="s">
        <v>81</v>
      </c>
      <c r="K258" t="s">
        <v>79</v>
      </c>
      <c r="L258">
        <v>10</v>
      </c>
      <c r="M258">
        <v>404.92999999999995</v>
      </c>
      <c r="N258">
        <v>11</v>
      </c>
      <c r="O258">
        <v>10</v>
      </c>
      <c r="Q258">
        <v>393.92999999999995</v>
      </c>
    </row>
    <row r="259" spans="1:17" x14ac:dyDescent="0.25">
      <c r="A259" t="s">
        <v>46</v>
      </c>
      <c r="B259">
        <v>5</v>
      </c>
      <c r="C259" t="s">
        <v>90</v>
      </c>
      <c r="D259" s="39">
        <v>45835</v>
      </c>
      <c r="E259" t="s">
        <v>78</v>
      </c>
      <c r="F259" t="s">
        <v>79</v>
      </c>
      <c r="G259">
        <v>9</v>
      </c>
      <c r="H259">
        <v>5</v>
      </c>
      <c r="I259">
        <v>0</v>
      </c>
      <c r="J259" t="s">
        <v>81</v>
      </c>
      <c r="K259" t="s">
        <v>79</v>
      </c>
      <c r="L259">
        <v>3</v>
      </c>
      <c r="M259">
        <v>132.37</v>
      </c>
      <c r="N259">
        <v>3.5999999999999996</v>
      </c>
      <c r="O259">
        <v>7</v>
      </c>
      <c r="Q259">
        <v>128.77000000000001</v>
      </c>
    </row>
    <row r="260" spans="1:17" x14ac:dyDescent="0.25">
      <c r="A260" t="s">
        <v>46</v>
      </c>
      <c r="B260">
        <v>5</v>
      </c>
      <c r="C260" t="s">
        <v>94</v>
      </c>
      <c r="D260" s="39">
        <v>45835</v>
      </c>
      <c r="E260" t="s">
        <v>78</v>
      </c>
      <c r="F260" t="s">
        <v>79</v>
      </c>
      <c r="G260">
        <v>8</v>
      </c>
      <c r="H260">
        <v>5</v>
      </c>
      <c r="I260">
        <v>0</v>
      </c>
      <c r="J260" t="s">
        <v>81</v>
      </c>
      <c r="K260" t="s">
        <v>79</v>
      </c>
      <c r="L260">
        <v>6</v>
      </c>
      <c r="M260">
        <v>158.39000000000001</v>
      </c>
      <c r="N260">
        <v>6.6000000000000005</v>
      </c>
      <c r="Q260">
        <v>151.79000000000002</v>
      </c>
    </row>
    <row r="261" spans="1:17" x14ac:dyDescent="0.25">
      <c r="A261" t="s">
        <v>46</v>
      </c>
      <c r="B261">
        <v>5</v>
      </c>
      <c r="C261" t="s">
        <v>83</v>
      </c>
      <c r="D261" s="39">
        <v>45835</v>
      </c>
      <c r="E261" t="s">
        <v>78</v>
      </c>
      <c r="F261" t="s">
        <v>79</v>
      </c>
      <c r="G261">
        <v>7</v>
      </c>
      <c r="H261">
        <v>5</v>
      </c>
      <c r="I261">
        <v>0</v>
      </c>
      <c r="J261" t="s">
        <v>81</v>
      </c>
      <c r="K261" t="s">
        <v>79</v>
      </c>
      <c r="L261">
        <v>2</v>
      </c>
      <c r="M261">
        <v>65.73</v>
      </c>
      <c r="N261">
        <v>1.8</v>
      </c>
      <c r="Q261">
        <v>63.930000000000007</v>
      </c>
    </row>
    <row r="262" spans="1:17" x14ac:dyDescent="0.25">
      <c r="A262" t="s">
        <v>45</v>
      </c>
      <c r="B262">
        <v>1</v>
      </c>
      <c r="C262" t="s">
        <v>91</v>
      </c>
      <c r="D262" s="39">
        <v>45836</v>
      </c>
      <c r="E262" t="s">
        <v>78</v>
      </c>
      <c r="F262" t="s">
        <v>79</v>
      </c>
      <c r="G262">
        <v>4</v>
      </c>
      <c r="H262" t="s">
        <v>92</v>
      </c>
      <c r="I262">
        <v>0</v>
      </c>
      <c r="J262" t="s">
        <v>81</v>
      </c>
      <c r="K262" t="s">
        <v>79</v>
      </c>
      <c r="L262">
        <v>9</v>
      </c>
      <c r="M262">
        <v>121.3</v>
      </c>
      <c r="N262">
        <v>3.6</v>
      </c>
      <c r="O262">
        <v>28</v>
      </c>
      <c r="Q262">
        <v>117.7</v>
      </c>
    </row>
    <row r="263" spans="1:17" x14ac:dyDescent="0.25">
      <c r="A263" t="s">
        <v>46</v>
      </c>
      <c r="B263">
        <v>1</v>
      </c>
      <c r="C263" t="s">
        <v>91</v>
      </c>
      <c r="D263" s="39">
        <v>45836</v>
      </c>
      <c r="E263" t="s">
        <v>78</v>
      </c>
      <c r="F263" t="s">
        <v>79</v>
      </c>
      <c r="G263">
        <v>4</v>
      </c>
      <c r="H263" t="s">
        <v>92</v>
      </c>
      <c r="I263">
        <v>0</v>
      </c>
      <c r="J263" t="s">
        <v>81</v>
      </c>
      <c r="K263" t="s">
        <v>79</v>
      </c>
      <c r="L263">
        <v>6</v>
      </c>
      <c r="M263">
        <v>127.3</v>
      </c>
      <c r="N263">
        <v>2.4000000000000004</v>
      </c>
      <c r="O263">
        <v>15</v>
      </c>
      <c r="Q263">
        <v>124.89999999999999</v>
      </c>
    </row>
    <row r="264" spans="1:17" x14ac:dyDescent="0.25">
      <c r="A264" t="s">
        <v>45</v>
      </c>
      <c r="B264">
        <v>2</v>
      </c>
      <c r="C264" t="s">
        <v>77</v>
      </c>
      <c r="D264" s="39">
        <v>45836</v>
      </c>
      <c r="E264" t="s">
        <v>78</v>
      </c>
      <c r="F264" t="s">
        <v>79</v>
      </c>
      <c r="G264">
        <v>3</v>
      </c>
      <c r="H264" t="s">
        <v>92</v>
      </c>
      <c r="I264">
        <v>0</v>
      </c>
      <c r="J264" t="s">
        <v>81</v>
      </c>
      <c r="K264" t="s">
        <v>79</v>
      </c>
      <c r="L264">
        <v>9</v>
      </c>
      <c r="M264">
        <v>98.100000000000009</v>
      </c>
      <c r="N264">
        <v>2.6999999999999997</v>
      </c>
      <c r="Q264">
        <v>95.4</v>
      </c>
    </row>
    <row r="265" spans="1:17" x14ac:dyDescent="0.25">
      <c r="A265" t="s">
        <v>46</v>
      </c>
      <c r="B265">
        <v>2</v>
      </c>
      <c r="C265" t="s">
        <v>77</v>
      </c>
      <c r="D265" s="39">
        <v>45836</v>
      </c>
      <c r="E265" t="s">
        <v>78</v>
      </c>
      <c r="F265" t="s">
        <v>79</v>
      </c>
      <c r="G265">
        <v>3</v>
      </c>
      <c r="H265" t="s">
        <v>92</v>
      </c>
      <c r="I265">
        <v>0</v>
      </c>
      <c r="J265" t="s">
        <v>81</v>
      </c>
      <c r="K265" t="s">
        <v>79</v>
      </c>
      <c r="L265">
        <v>6</v>
      </c>
      <c r="M265">
        <v>73.890000000000015</v>
      </c>
      <c r="N265">
        <v>1.7999999999999998</v>
      </c>
      <c r="Q265">
        <v>72.090000000000018</v>
      </c>
    </row>
    <row r="266" spans="1:17" x14ac:dyDescent="0.25">
      <c r="A266" t="s">
        <v>45</v>
      </c>
      <c r="B266">
        <v>4</v>
      </c>
      <c r="C266" t="s">
        <v>95</v>
      </c>
      <c r="D266" s="39">
        <v>45836</v>
      </c>
      <c r="E266" t="s">
        <v>78</v>
      </c>
      <c r="F266" t="s">
        <v>79</v>
      </c>
      <c r="G266">
        <v>14</v>
      </c>
      <c r="H266">
        <v>5</v>
      </c>
      <c r="I266">
        <v>0</v>
      </c>
      <c r="J266" t="s">
        <v>81</v>
      </c>
      <c r="K266" t="s">
        <v>79</v>
      </c>
      <c r="L266">
        <v>14</v>
      </c>
      <c r="M266">
        <v>518.32999999999993</v>
      </c>
      <c r="N266">
        <v>19.18</v>
      </c>
      <c r="Q266">
        <v>499.14999999999992</v>
      </c>
    </row>
    <row r="267" spans="1:17" x14ac:dyDescent="0.25">
      <c r="A267" t="s">
        <v>46</v>
      </c>
      <c r="B267">
        <v>4</v>
      </c>
      <c r="C267" t="s">
        <v>95</v>
      </c>
      <c r="D267" s="39">
        <v>45836</v>
      </c>
      <c r="E267" t="s">
        <v>78</v>
      </c>
      <c r="F267" t="s">
        <v>79</v>
      </c>
      <c r="G267">
        <v>14</v>
      </c>
      <c r="H267">
        <v>5</v>
      </c>
      <c r="I267">
        <v>0</v>
      </c>
      <c r="J267" t="s">
        <v>81</v>
      </c>
      <c r="K267" t="s">
        <v>79</v>
      </c>
      <c r="L267">
        <v>2</v>
      </c>
      <c r="M267">
        <v>66.5</v>
      </c>
      <c r="N267">
        <v>3.6</v>
      </c>
      <c r="Q267">
        <v>62.9</v>
      </c>
    </row>
    <row r="268" spans="1:17" x14ac:dyDescent="0.25">
      <c r="A268" t="s">
        <v>46</v>
      </c>
      <c r="B268">
        <v>4</v>
      </c>
      <c r="C268" t="s">
        <v>191</v>
      </c>
      <c r="D268" s="39">
        <v>45836</v>
      </c>
      <c r="E268" t="s">
        <v>136</v>
      </c>
      <c r="F268" t="s">
        <v>79</v>
      </c>
      <c r="G268">
        <v>22</v>
      </c>
      <c r="H268" t="s">
        <v>98</v>
      </c>
      <c r="I268" t="s">
        <v>99</v>
      </c>
      <c r="J268">
        <v>100</v>
      </c>
      <c r="K268" t="s">
        <v>79</v>
      </c>
      <c r="L268">
        <v>3</v>
      </c>
      <c r="M268">
        <v>115.22999999999999</v>
      </c>
      <c r="N268">
        <v>8.1000000000000014</v>
      </c>
      <c r="Q268">
        <v>107.13</v>
      </c>
    </row>
    <row r="269" spans="1:17" x14ac:dyDescent="0.25">
      <c r="A269" t="s">
        <v>46</v>
      </c>
      <c r="B269">
        <v>4</v>
      </c>
      <c r="C269" t="s">
        <v>163</v>
      </c>
      <c r="D269" s="39">
        <v>45836</v>
      </c>
      <c r="E269" t="s">
        <v>133</v>
      </c>
      <c r="F269" t="s">
        <v>79</v>
      </c>
      <c r="G269">
        <v>22</v>
      </c>
      <c r="H269" t="s">
        <v>113</v>
      </c>
      <c r="I269" t="s">
        <v>99</v>
      </c>
      <c r="J269">
        <v>500</v>
      </c>
      <c r="K269" t="s">
        <v>79</v>
      </c>
      <c r="L269">
        <v>6</v>
      </c>
      <c r="M269">
        <v>321.21999999999997</v>
      </c>
      <c r="N269">
        <v>16.799999999999997</v>
      </c>
      <c r="Q269">
        <v>304.41999999999996</v>
      </c>
    </row>
    <row r="270" spans="1:17" x14ac:dyDescent="0.25">
      <c r="A270" t="s">
        <v>45</v>
      </c>
      <c r="B270">
        <v>5</v>
      </c>
      <c r="C270" t="s">
        <v>192</v>
      </c>
      <c r="D270" s="39">
        <v>45836</v>
      </c>
      <c r="E270" t="s">
        <v>84</v>
      </c>
      <c r="F270" t="s">
        <v>79</v>
      </c>
      <c r="G270">
        <v>7</v>
      </c>
      <c r="H270">
        <v>15</v>
      </c>
      <c r="I270">
        <v>0</v>
      </c>
      <c r="J270">
        <v>450</v>
      </c>
      <c r="K270" t="s">
        <v>79</v>
      </c>
      <c r="L270">
        <v>15</v>
      </c>
      <c r="M270">
        <v>343.78000000000003</v>
      </c>
      <c r="N270">
        <v>13.5</v>
      </c>
      <c r="Q270">
        <v>330.28000000000003</v>
      </c>
    </row>
    <row r="271" spans="1:17" x14ac:dyDescent="0.25">
      <c r="A271" t="s">
        <v>46</v>
      </c>
      <c r="B271">
        <v>5</v>
      </c>
      <c r="C271" t="s">
        <v>90</v>
      </c>
      <c r="D271" s="39">
        <v>45836</v>
      </c>
      <c r="E271" t="s">
        <v>78</v>
      </c>
      <c r="F271" t="s">
        <v>79</v>
      </c>
      <c r="G271">
        <v>9</v>
      </c>
      <c r="H271">
        <v>5</v>
      </c>
      <c r="I271">
        <v>0</v>
      </c>
      <c r="J271" t="s">
        <v>81</v>
      </c>
      <c r="K271" t="s">
        <v>79</v>
      </c>
      <c r="L271">
        <v>7</v>
      </c>
      <c r="M271">
        <v>305.90000000000003</v>
      </c>
      <c r="N271">
        <v>8.4</v>
      </c>
      <c r="Q271">
        <v>297.50000000000006</v>
      </c>
    </row>
    <row r="272" spans="1:17" x14ac:dyDescent="0.25">
      <c r="A272" t="s">
        <v>45</v>
      </c>
      <c r="B272">
        <v>1</v>
      </c>
      <c r="C272" t="s">
        <v>91</v>
      </c>
      <c r="D272" s="39">
        <v>45838</v>
      </c>
      <c r="E272" t="s">
        <v>78</v>
      </c>
      <c r="F272" t="s">
        <v>79</v>
      </c>
      <c r="G272">
        <v>4</v>
      </c>
      <c r="H272" t="s">
        <v>92</v>
      </c>
      <c r="I272">
        <v>0</v>
      </c>
      <c r="J272" t="s">
        <v>81</v>
      </c>
      <c r="K272" t="s">
        <v>79</v>
      </c>
      <c r="L272">
        <v>4</v>
      </c>
      <c r="M272">
        <v>86.509999999999991</v>
      </c>
      <c r="N272">
        <v>1.6</v>
      </c>
      <c r="O272">
        <v>33</v>
      </c>
      <c r="Q272">
        <v>84.91</v>
      </c>
    </row>
    <row r="273" spans="1:17" x14ac:dyDescent="0.25">
      <c r="A273" t="s">
        <v>46</v>
      </c>
      <c r="B273">
        <v>1</v>
      </c>
      <c r="C273" t="s">
        <v>91</v>
      </c>
      <c r="D273" s="39">
        <v>45838</v>
      </c>
      <c r="E273" t="s">
        <v>78</v>
      </c>
      <c r="F273" t="s">
        <v>79</v>
      </c>
      <c r="G273">
        <v>4</v>
      </c>
      <c r="H273" t="s">
        <v>92</v>
      </c>
      <c r="I273">
        <v>0</v>
      </c>
      <c r="J273" t="s">
        <v>81</v>
      </c>
      <c r="K273" t="s">
        <v>79</v>
      </c>
      <c r="L273">
        <v>3</v>
      </c>
      <c r="M273">
        <v>68</v>
      </c>
      <c r="N273">
        <v>1.2000000000000002</v>
      </c>
      <c r="O273">
        <v>46</v>
      </c>
      <c r="Q273">
        <v>66.8</v>
      </c>
    </row>
    <row r="274" spans="1:17" x14ac:dyDescent="0.25">
      <c r="A274" t="s">
        <v>46</v>
      </c>
      <c r="B274">
        <v>1</v>
      </c>
      <c r="C274" t="s">
        <v>91</v>
      </c>
      <c r="D274" s="39">
        <v>45838</v>
      </c>
      <c r="E274" t="s">
        <v>78</v>
      </c>
      <c r="F274" t="s">
        <v>79</v>
      </c>
      <c r="G274">
        <v>4</v>
      </c>
      <c r="H274" t="s">
        <v>92</v>
      </c>
      <c r="I274">
        <v>0</v>
      </c>
      <c r="J274" t="s">
        <v>81</v>
      </c>
      <c r="K274" t="s">
        <v>79</v>
      </c>
      <c r="L274">
        <v>5</v>
      </c>
      <c r="M274">
        <v>77.7</v>
      </c>
      <c r="N274">
        <v>2</v>
      </c>
      <c r="Q274">
        <v>75.7</v>
      </c>
    </row>
    <row r="275" spans="1:17" x14ac:dyDescent="0.25">
      <c r="A275" t="s">
        <v>45</v>
      </c>
      <c r="B275">
        <v>2</v>
      </c>
      <c r="C275" t="s">
        <v>77</v>
      </c>
      <c r="D275" s="39">
        <v>45838</v>
      </c>
      <c r="E275" t="s">
        <v>78</v>
      </c>
      <c r="F275" t="s">
        <v>79</v>
      </c>
      <c r="G275">
        <v>3</v>
      </c>
      <c r="H275" t="s">
        <v>92</v>
      </c>
      <c r="I275">
        <v>0</v>
      </c>
      <c r="J275" t="s">
        <v>81</v>
      </c>
      <c r="K275" t="s">
        <v>79</v>
      </c>
      <c r="L275">
        <v>8</v>
      </c>
      <c r="M275">
        <v>97.22</v>
      </c>
      <c r="N275">
        <v>2.4</v>
      </c>
      <c r="Q275">
        <v>94.82</v>
      </c>
    </row>
    <row r="276" spans="1:17" x14ac:dyDescent="0.25">
      <c r="A276" t="s">
        <v>46</v>
      </c>
      <c r="B276">
        <v>2</v>
      </c>
      <c r="C276" t="s">
        <v>77</v>
      </c>
      <c r="D276" s="39">
        <v>45838</v>
      </c>
      <c r="E276" t="s">
        <v>78</v>
      </c>
      <c r="F276" t="s">
        <v>79</v>
      </c>
      <c r="G276">
        <v>3</v>
      </c>
      <c r="H276" t="s">
        <v>92</v>
      </c>
      <c r="I276">
        <v>0</v>
      </c>
      <c r="J276" t="s">
        <v>81</v>
      </c>
      <c r="K276" t="s">
        <v>79</v>
      </c>
      <c r="L276">
        <v>10</v>
      </c>
      <c r="M276">
        <v>123.12</v>
      </c>
      <c r="N276">
        <v>3</v>
      </c>
      <c r="Q276">
        <v>120.12</v>
      </c>
    </row>
    <row r="277" spans="1:17" x14ac:dyDescent="0.25">
      <c r="A277" t="s">
        <v>45</v>
      </c>
      <c r="B277">
        <v>4</v>
      </c>
      <c r="C277" t="s">
        <v>193</v>
      </c>
      <c r="D277" s="39">
        <v>45838</v>
      </c>
      <c r="E277" t="s">
        <v>86</v>
      </c>
      <c r="F277" t="s">
        <v>79</v>
      </c>
      <c r="G277">
        <v>16.2</v>
      </c>
      <c r="H277" t="s">
        <v>81</v>
      </c>
      <c r="I277" t="s">
        <v>103</v>
      </c>
      <c r="J277">
        <v>2000</v>
      </c>
      <c r="K277" t="s">
        <v>79</v>
      </c>
      <c r="L277">
        <v>7</v>
      </c>
      <c r="M277">
        <v>300.52999999999997</v>
      </c>
      <c r="N277">
        <v>11.700000000000001</v>
      </c>
      <c r="Q277">
        <v>288.83</v>
      </c>
    </row>
    <row r="278" spans="1:17" x14ac:dyDescent="0.25">
      <c r="A278" t="s">
        <v>45</v>
      </c>
      <c r="B278">
        <v>4</v>
      </c>
      <c r="C278" t="s">
        <v>89</v>
      </c>
      <c r="D278" s="39">
        <v>45838</v>
      </c>
      <c r="E278" t="s">
        <v>78</v>
      </c>
      <c r="F278" t="s">
        <v>79</v>
      </c>
      <c r="G278">
        <v>16</v>
      </c>
      <c r="H278">
        <v>5</v>
      </c>
      <c r="I278">
        <v>0</v>
      </c>
      <c r="J278" t="s">
        <v>81</v>
      </c>
      <c r="K278" t="s">
        <v>79</v>
      </c>
      <c r="L278">
        <v>5</v>
      </c>
      <c r="M278">
        <v>213.95</v>
      </c>
      <c r="N278">
        <v>9.4</v>
      </c>
      <c r="Q278">
        <v>204.54999999999998</v>
      </c>
    </row>
    <row r="279" spans="1:17" x14ac:dyDescent="0.25">
      <c r="A279" t="s">
        <v>46</v>
      </c>
      <c r="B279">
        <v>4</v>
      </c>
      <c r="C279" t="s">
        <v>193</v>
      </c>
      <c r="D279" s="39">
        <v>45838</v>
      </c>
      <c r="E279" t="s">
        <v>86</v>
      </c>
      <c r="F279" t="s">
        <v>79</v>
      </c>
      <c r="G279">
        <v>16.2</v>
      </c>
      <c r="H279" t="s">
        <v>81</v>
      </c>
      <c r="I279" t="s">
        <v>103</v>
      </c>
      <c r="J279">
        <v>2000</v>
      </c>
      <c r="K279" t="s">
        <v>79</v>
      </c>
      <c r="L279">
        <v>6</v>
      </c>
      <c r="M279">
        <v>244.59999999999997</v>
      </c>
      <c r="N279">
        <v>11.399999999999999</v>
      </c>
      <c r="Q279">
        <v>233.19999999999996</v>
      </c>
    </row>
    <row r="280" spans="1:17" x14ac:dyDescent="0.25">
      <c r="A280" t="s">
        <v>46</v>
      </c>
      <c r="B280">
        <v>4</v>
      </c>
      <c r="C280" t="s">
        <v>104</v>
      </c>
      <c r="D280" s="39">
        <v>45838</v>
      </c>
      <c r="E280" t="s">
        <v>78</v>
      </c>
      <c r="F280" t="s">
        <v>79</v>
      </c>
      <c r="G280">
        <v>24</v>
      </c>
      <c r="H280">
        <v>5</v>
      </c>
      <c r="I280">
        <v>0</v>
      </c>
      <c r="J280" t="s">
        <v>81</v>
      </c>
      <c r="K280" t="s">
        <v>79</v>
      </c>
      <c r="L280">
        <v>5</v>
      </c>
      <c r="M280">
        <v>299.5</v>
      </c>
      <c r="N280">
        <v>14</v>
      </c>
      <c r="Q280">
        <v>285.5</v>
      </c>
    </row>
    <row r="281" spans="1:17" x14ac:dyDescent="0.25">
      <c r="A281" t="s">
        <v>45</v>
      </c>
      <c r="B281">
        <v>5</v>
      </c>
      <c r="C281" t="s">
        <v>90</v>
      </c>
      <c r="D281" s="39">
        <v>45838</v>
      </c>
      <c r="E281" t="s">
        <v>78</v>
      </c>
      <c r="F281" t="s">
        <v>79</v>
      </c>
      <c r="G281">
        <v>9</v>
      </c>
      <c r="H281">
        <v>5</v>
      </c>
      <c r="I281">
        <v>0</v>
      </c>
      <c r="J281" t="s">
        <v>81</v>
      </c>
      <c r="K281" t="s">
        <v>79</v>
      </c>
      <c r="L281">
        <v>5</v>
      </c>
      <c r="M281">
        <v>220.9</v>
      </c>
      <c r="N281">
        <v>6.1</v>
      </c>
      <c r="Q281">
        <v>214.8</v>
      </c>
    </row>
    <row r="282" spans="1:17" x14ac:dyDescent="0.25">
      <c r="A282" t="s">
        <v>46</v>
      </c>
      <c r="B282">
        <v>5</v>
      </c>
      <c r="C282" t="s">
        <v>90</v>
      </c>
      <c r="D282" s="39">
        <v>45838</v>
      </c>
      <c r="E282" t="s">
        <v>78</v>
      </c>
      <c r="F282" t="s">
        <v>79</v>
      </c>
      <c r="G282">
        <v>9</v>
      </c>
      <c r="H282">
        <v>5</v>
      </c>
      <c r="I282">
        <v>0</v>
      </c>
      <c r="J282" t="s">
        <v>81</v>
      </c>
      <c r="K282" t="s">
        <v>79</v>
      </c>
      <c r="L282">
        <v>5</v>
      </c>
      <c r="M282">
        <v>201.15000000000003</v>
      </c>
      <c r="N282">
        <v>6.1000000000000005</v>
      </c>
      <c r="Q282">
        <v>195.05000000000004</v>
      </c>
    </row>
    <row r="283" spans="1:17" x14ac:dyDescent="0.25">
      <c r="A283" t="s">
        <v>45</v>
      </c>
      <c r="B283">
        <v>1</v>
      </c>
      <c r="C283" t="s">
        <v>91</v>
      </c>
      <c r="D283" s="39">
        <v>45839</v>
      </c>
      <c r="E283" t="s">
        <v>194</v>
      </c>
      <c r="F283" t="s">
        <v>79</v>
      </c>
      <c r="G283">
        <v>4</v>
      </c>
      <c r="H283" t="s">
        <v>92</v>
      </c>
      <c r="I283">
        <v>0</v>
      </c>
      <c r="J283" t="s">
        <v>81</v>
      </c>
      <c r="K283" t="s">
        <v>79</v>
      </c>
      <c r="L283">
        <v>9</v>
      </c>
      <c r="M283">
        <v>163.48999999999998</v>
      </c>
      <c r="N283">
        <v>3.6</v>
      </c>
      <c r="O283">
        <v>26</v>
      </c>
      <c r="Q283">
        <v>159.88999999999999</v>
      </c>
    </row>
    <row r="284" spans="1:17" x14ac:dyDescent="0.25">
      <c r="A284" t="s">
        <v>46</v>
      </c>
      <c r="B284">
        <v>1</v>
      </c>
      <c r="C284" t="s">
        <v>91</v>
      </c>
      <c r="D284" s="39">
        <v>45839</v>
      </c>
      <c r="E284" t="s">
        <v>194</v>
      </c>
      <c r="F284" t="s">
        <v>79</v>
      </c>
      <c r="G284">
        <v>4</v>
      </c>
      <c r="H284" t="s">
        <v>92</v>
      </c>
      <c r="I284">
        <v>0</v>
      </c>
      <c r="J284" t="s">
        <v>81</v>
      </c>
      <c r="K284" t="s">
        <v>79</v>
      </c>
      <c r="L284">
        <v>11</v>
      </c>
      <c r="M284">
        <v>172.20000000000002</v>
      </c>
      <c r="N284">
        <v>4.4000000000000004</v>
      </c>
      <c r="O284">
        <v>41</v>
      </c>
      <c r="Q284">
        <v>167.8</v>
      </c>
    </row>
    <row r="285" spans="1:17" x14ac:dyDescent="0.25">
      <c r="A285" t="s">
        <v>45</v>
      </c>
      <c r="B285">
        <v>2</v>
      </c>
      <c r="C285" t="s">
        <v>77</v>
      </c>
      <c r="D285" s="39">
        <v>45839</v>
      </c>
      <c r="E285" t="s">
        <v>194</v>
      </c>
      <c r="F285" t="s">
        <v>79</v>
      </c>
      <c r="G285">
        <v>3</v>
      </c>
      <c r="H285" t="s">
        <v>92</v>
      </c>
      <c r="I285">
        <v>0</v>
      </c>
      <c r="J285" t="s">
        <v>81</v>
      </c>
      <c r="K285" t="s">
        <v>79</v>
      </c>
      <c r="L285">
        <v>3</v>
      </c>
      <c r="M285">
        <v>39.450000000000003</v>
      </c>
      <c r="N285">
        <v>0.89999999999999991</v>
      </c>
      <c r="Q285">
        <v>38.550000000000004</v>
      </c>
    </row>
    <row r="286" spans="1:17" x14ac:dyDescent="0.25">
      <c r="A286" t="s">
        <v>45</v>
      </c>
      <c r="B286">
        <v>2</v>
      </c>
      <c r="C286" t="s">
        <v>100</v>
      </c>
      <c r="D286" s="39">
        <v>45839</v>
      </c>
      <c r="E286" t="s">
        <v>194</v>
      </c>
      <c r="F286" t="s">
        <v>79</v>
      </c>
      <c r="G286">
        <v>2.5</v>
      </c>
      <c r="H286" t="s">
        <v>92</v>
      </c>
      <c r="I286">
        <v>0</v>
      </c>
      <c r="J286" t="s">
        <v>81</v>
      </c>
      <c r="K286" t="s">
        <v>79</v>
      </c>
      <c r="L286">
        <v>6</v>
      </c>
      <c r="M286">
        <v>64.179999999999993</v>
      </c>
      <c r="N286">
        <v>1.5</v>
      </c>
      <c r="Q286">
        <v>62.679999999999993</v>
      </c>
    </row>
    <row r="287" spans="1:17" x14ac:dyDescent="0.25">
      <c r="A287" t="s">
        <v>46</v>
      </c>
      <c r="B287">
        <v>2</v>
      </c>
      <c r="C287" t="s">
        <v>100</v>
      </c>
      <c r="D287" s="39">
        <v>45839</v>
      </c>
      <c r="E287" t="s">
        <v>194</v>
      </c>
      <c r="F287" t="s">
        <v>79</v>
      </c>
      <c r="G287">
        <v>2.5</v>
      </c>
      <c r="H287" t="s">
        <v>92</v>
      </c>
      <c r="I287">
        <v>0</v>
      </c>
      <c r="J287" t="s">
        <v>81</v>
      </c>
      <c r="K287" t="s">
        <v>79</v>
      </c>
      <c r="L287">
        <v>12</v>
      </c>
      <c r="M287">
        <v>107.75</v>
      </c>
      <c r="N287">
        <v>3</v>
      </c>
      <c r="Q287">
        <v>104.75</v>
      </c>
    </row>
    <row r="288" spans="1:17" x14ac:dyDescent="0.25">
      <c r="A288" t="s">
        <v>45</v>
      </c>
      <c r="B288">
        <v>4</v>
      </c>
      <c r="C288" t="s">
        <v>195</v>
      </c>
      <c r="D288" s="39">
        <v>45839</v>
      </c>
      <c r="E288" t="s">
        <v>196</v>
      </c>
      <c r="F288" t="s">
        <v>79</v>
      </c>
      <c r="G288" t="s">
        <v>125</v>
      </c>
      <c r="H288" t="s">
        <v>122</v>
      </c>
      <c r="I288" t="s">
        <v>99</v>
      </c>
      <c r="J288">
        <v>200</v>
      </c>
      <c r="K288" t="s">
        <v>79</v>
      </c>
      <c r="L288">
        <v>3</v>
      </c>
      <c r="M288">
        <v>157.11000000000001</v>
      </c>
      <c r="N288">
        <v>8.3000000000000007</v>
      </c>
      <c r="Q288">
        <v>148.81</v>
      </c>
    </row>
    <row r="289" spans="1:17" x14ac:dyDescent="0.25">
      <c r="A289" t="s">
        <v>45</v>
      </c>
      <c r="B289">
        <v>4</v>
      </c>
      <c r="C289" t="s">
        <v>197</v>
      </c>
      <c r="D289" s="39">
        <v>45839</v>
      </c>
      <c r="E289" t="s">
        <v>196</v>
      </c>
      <c r="F289" t="s">
        <v>79</v>
      </c>
      <c r="G289" t="s">
        <v>141</v>
      </c>
      <c r="H289" t="s">
        <v>122</v>
      </c>
      <c r="I289" t="s">
        <v>99</v>
      </c>
      <c r="J289">
        <v>200</v>
      </c>
      <c r="K289" t="s">
        <v>79</v>
      </c>
      <c r="L289">
        <v>6</v>
      </c>
      <c r="M289">
        <v>190.53</v>
      </c>
      <c r="N289">
        <v>10.8</v>
      </c>
      <c r="Q289">
        <v>179.73</v>
      </c>
    </row>
    <row r="290" spans="1:17" x14ac:dyDescent="0.25">
      <c r="A290" t="s">
        <v>45</v>
      </c>
      <c r="B290">
        <v>4</v>
      </c>
      <c r="C290" t="s">
        <v>198</v>
      </c>
      <c r="D290" s="39">
        <v>45839</v>
      </c>
      <c r="E290" t="s">
        <v>196</v>
      </c>
      <c r="F290" t="s">
        <v>79</v>
      </c>
      <c r="G290" t="s">
        <v>121</v>
      </c>
      <c r="H290" t="s">
        <v>122</v>
      </c>
      <c r="I290" t="s">
        <v>99</v>
      </c>
      <c r="J290">
        <v>100</v>
      </c>
      <c r="K290" t="s">
        <v>79</v>
      </c>
      <c r="L290">
        <v>5</v>
      </c>
      <c r="M290">
        <v>221.48</v>
      </c>
      <c r="N290">
        <v>18</v>
      </c>
      <c r="Q290">
        <v>203.48</v>
      </c>
    </row>
    <row r="291" spans="1:17" x14ac:dyDescent="0.25">
      <c r="A291" t="s">
        <v>45</v>
      </c>
      <c r="B291">
        <v>4</v>
      </c>
      <c r="C291" t="s">
        <v>199</v>
      </c>
      <c r="D291" s="39">
        <v>45839</v>
      </c>
      <c r="E291" t="s">
        <v>200</v>
      </c>
      <c r="F291" t="s">
        <v>79</v>
      </c>
      <c r="G291">
        <v>18</v>
      </c>
      <c r="H291">
        <v>6</v>
      </c>
      <c r="I291">
        <v>0</v>
      </c>
      <c r="J291">
        <v>150</v>
      </c>
      <c r="K291" t="s">
        <v>79</v>
      </c>
      <c r="L291">
        <v>1</v>
      </c>
      <c r="M291">
        <v>49.64</v>
      </c>
      <c r="N291">
        <v>2.2000000000000002</v>
      </c>
      <c r="Q291">
        <v>47.44</v>
      </c>
    </row>
    <row r="292" spans="1:17" x14ac:dyDescent="0.25">
      <c r="A292" t="s">
        <v>46</v>
      </c>
      <c r="B292">
        <v>4</v>
      </c>
      <c r="C292" t="s">
        <v>199</v>
      </c>
      <c r="D292" s="39">
        <v>45839</v>
      </c>
      <c r="E292" t="s">
        <v>200</v>
      </c>
      <c r="F292" t="s">
        <v>79</v>
      </c>
      <c r="G292">
        <v>18</v>
      </c>
      <c r="H292">
        <v>6</v>
      </c>
      <c r="I292">
        <v>0</v>
      </c>
      <c r="J292">
        <v>150</v>
      </c>
      <c r="K292" t="s">
        <v>79</v>
      </c>
      <c r="L292">
        <v>4</v>
      </c>
      <c r="M292">
        <v>126.66</v>
      </c>
      <c r="N292">
        <v>8.8000000000000007</v>
      </c>
      <c r="Q292">
        <v>117.86</v>
      </c>
    </row>
    <row r="293" spans="1:17" x14ac:dyDescent="0.25">
      <c r="A293" t="s">
        <v>46</v>
      </c>
      <c r="B293">
        <v>4</v>
      </c>
      <c r="C293" t="s">
        <v>201</v>
      </c>
      <c r="D293" s="39">
        <v>45839</v>
      </c>
      <c r="E293" t="s">
        <v>200</v>
      </c>
      <c r="F293" t="s">
        <v>79</v>
      </c>
      <c r="G293">
        <v>14</v>
      </c>
      <c r="H293">
        <v>6</v>
      </c>
      <c r="I293">
        <v>0</v>
      </c>
      <c r="J293">
        <v>150</v>
      </c>
      <c r="K293" t="s">
        <v>79</v>
      </c>
      <c r="L293">
        <v>6</v>
      </c>
      <c r="M293">
        <v>160.19999999999999</v>
      </c>
      <c r="N293">
        <v>11.399999999999999</v>
      </c>
      <c r="Q293">
        <v>148.79999999999998</v>
      </c>
    </row>
    <row r="294" spans="1:17" x14ac:dyDescent="0.25">
      <c r="A294" t="s">
        <v>46</v>
      </c>
      <c r="B294">
        <v>4</v>
      </c>
      <c r="C294" t="s">
        <v>202</v>
      </c>
      <c r="D294" s="39">
        <v>45839</v>
      </c>
      <c r="E294" t="s">
        <v>203</v>
      </c>
      <c r="F294" t="s">
        <v>79</v>
      </c>
      <c r="G294">
        <v>14</v>
      </c>
      <c r="H294" t="s">
        <v>127</v>
      </c>
      <c r="I294">
        <v>0</v>
      </c>
      <c r="J294">
        <v>100</v>
      </c>
      <c r="K294" t="s">
        <v>79</v>
      </c>
      <c r="L294">
        <v>4</v>
      </c>
      <c r="M294">
        <v>103.25999999999999</v>
      </c>
      <c r="N294">
        <v>7.6</v>
      </c>
      <c r="Q294">
        <v>95.66</v>
      </c>
    </row>
    <row r="295" spans="1:17" x14ac:dyDescent="0.25">
      <c r="A295" t="s">
        <v>46</v>
      </c>
      <c r="B295">
        <v>4</v>
      </c>
      <c r="C295" t="s">
        <v>195</v>
      </c>
      <c r="D295" s="39">
        <v>45839</v>
      </c>
      <c r="E295" t="s">
        <v>196</v>
      </c>
      <c r="F295" t="s">
        <v>79</v>
      </c>
      <c r="G295" t="s">
        <v>125</v>
      </c>
      <c r="H295" t="s">
        <v>122</v>
      </c>
      <c r="I295" t="s">
        <v>99</v>
      </c>
      <c r="J295">
        <v>200</v>
      </c>
      <c r="K295" t="s">
        <v>79</v>
      </c>
      <c r="L295">
        <v>2</v>
      </c>
      <c r="M295">
        <v>58.5</v>
      </c>
      <c r="N295">
        <v>5.2</v>
      </c>
      <c r="Q295">
        <v>53.3</v>
      </c>
    </row>
    <row r="296" spans="1:17" x14ac:dyDescent="0.25">
      <c r="A296" t="s">
        <v>45</v>
      </c>
      <c r="B296">
        <v>5</v>
      </c>
      <c r="C296" t="s">
        <v>90</v>
      </c>
      <c r="D296" s="39">
        <v>45839</v>
      </c>
      <c r="E296" t="s">
        <v>194</v>
      </c>
      <c r="F296" t="s">
        <v>79</v>
      </c>
      <c r="G296">
        <v>9</v>
      </c>
      <c r="H296">
        <v>5</v>
      </c>
      <c r="I296">
        <v>0</v>
      </c>
      <c r="J296" t="s">
        <v>81</v>
      </c>
      <c r="K296" t="s">
        <v>79</v>
      </c>
      <c r="L296">
        <v>8</v>
      </c>
      <c r="M296">
        <v>348.52</v>
      </c>
      <c r="N296">
        <v>9.6</v>
      </c>
      <c r="Q296">
        <v>338.91999999999996</v>
      </c>
    </row>
    <row r="297" spans="1:17" x14ac:dyDescent="0.25">
      <c r="A297" t="s">
        <v>45</v>
      </c>
      <c r="B297">
        <v>5</v>
      </c>
      <c r="C297" t="s">
        <v>204</v>
      </c>
      <c r="D297" s="39">
        <v>45839</v>
      </c>
      <c r="E297" t="s">
        <v>203</v>
      </c>
      <c r="F297" t="s">
        <v>79</v>
      </c>
      <c r="G297">
        <v>9</v>
      </c>
      <c r="H297" t="s">
        <v>127</v>
      </c>
      <c r="I297">
        <v>0</v>
      </c>
      <c r="J297">
        <v>100</v>
      </c>
      <c r="K297" t="s">
        <v>79</v>
      </c>
      <c r="L297">
        <v>3</v>
      </c>
      <c r="M297">
        <v>140.1</v>
      </c>
      <c r="N297">
        <v>3.7</v>
      </c>
      <c r="Q297">
        <v>136.4</v>
      </c>
    </row>
    <row r="298" spans="1:17" x14ac:dyDescent="0.25">
      <c r="A298" t="s">
        <v>46</v>
      </c>
      <c r="B298">
        <v>5</v>
      </c>
      <c r="C298" t="s">
        <v>204</v>
      </c>
      <c r="D298" s="39">
        <v>45839</v>
      </c>
      <c r="E298" t="s">
        <v>203</v>
      </c>
      <c r="F298" t="s">
        <v>79</v>
      </c>
      <c r="G298">
        <v>9</v>
      </c>
      <c r="H298" t="s">
        <v>127</v>
      </c>
      <c r="I298">
        <v>0</v>
      </c>
      <c r="J298">
        <v>100</v>
      </c>
      <c r="K298" t="s">
        <v>79</v>
      </c>
      <c r="L298">
        <v>7</v>
      </c>
      <c r="M298">
        <v>285.62</v>
      </c>
      <c r="N298">
        <v>8.4</v>
      </c>
      <c r="Q298">
        <v>277.22000000000003</v>
      </c>
    </row>
    <row r="299" spans="1:17" x14ac:dyDescent="0.25">
      <c r="A299" t="s">
        <v>46</v>
      </c>
      <c r="B299">
        <v>5</v>
      </c>
      <c r="C299" t="s">
        <v>112</v>
      </c>
      <c r="D299" s="39">
        <v>45839</v>
      </c>
      <c r="E299" t="s">
        <v>194</v>
      </c>
      <c r="F299" t="s">
        <v>79</v>
      </c>
      <c r="G299">
        <v>6</v>
      </c>
      <c r="H299">
        <v>5</v>
      </c>
      <c r="I299">
        <v>0</v>
      </c>
      <c r="J299" t="s">
        <v>81</v>
      </c>
      <c r="K299" t="s">
        <v>79</v>
      </c>
      <c r="L299">
        <v>4</v>
      </c>
      <c r="M299">
        <v>88.42</v>
      </c>
      <c r="N299">
        <v>3.2</v>
      </c>
      <c r="Q299">
        <v>85.22</v>
      </c>
    </row>
    <row r="300" spans="1:17" x14ac:dyDescent="0.25">
      <c r="A300" t="s">
        <v>45</v>
      </c>
      <c r="B300">
        <v>1</v>
      </c>
      <c r="C300" t="s">
        <v>91</v>
      </c>
      <c r="D300" s="39">
        <v>45840</v>
      </c>
      <c r="E300" t="s">
        <v>194</v>
      </c>
      <c r="F300" t="s">
        <v>79</v>
      </c>
      <c r="G300">
        <v>4</v>
      </c>
      <c r="H300" t="s">
        <v>92</v>
      </c>
      <c r="I300">
        <v>0</v>
      </c>
      <c r="J300" t="s">
        <v>81</v>
      </c>
      <c r="K300" t="s">
        <v>79</v>
      </c>
      <c r="L300">
        <v>8</v>
      </c>
      <c r="M300">
        <v>170.8</v>
      </c>
      <c r="N300">
        <v>3.2</v>
      </c>
      <c r="O300">
        <v>25</v>
      </c>
      <c r="Q300">
        <v>167.60000000000002</v>
      </c>
    </row>
    <row r="301" spans="1:17" x14ac:dyDescent="0.25">
      <c r="A301" t="s">
        <v>46</v>
      </c>
      <c r="B301">
        <v>1</v>
      </c>
      <c r="C301" t="s">
        <v>91</v>
      </c>
      <c r="D301" s="39">
        <v>45840</v>
      </c>
      <c r="E301" t="s">
        <v>194</v>
      </c>
      <c r="F301" t="s">
        <v>79</v>
      </c>
      <c r="G301">
        <v>4</v>
      </c>
      <c r="H301" t="s">
        <v>92</v>
      </c>
      <c r="I301">
        <v>0</v>
      </c>
      <c r="J301" t="s">
        <v>81</v>
      </c>
      <c r="K301" t="s">
        <v>79</v>
      </c>
      <c r="L301">
        <v>10</v>
      </c>
      <c r="M301">
        <v>185.16000000000003</v>
      </c>
      <c r="N301">
        <v>4</v>
      </c>
      <c r="O301">
        <v>22</v>
      </c>
      <c r="Q301">
        <v>181.16000000000003</v>
      </c>
    </row>
    <row r="302" spans="1:17" x14ac:dyDescent="0.25">
      <c r="A302" t="s">
        <v>45</v>
      </c>
      <c r="B302">
        <v>2</v>
      </c>
      <c r="C302" t="s">
        <v>100</v>
      </c>
      <c r="D302" s="39">
        <v>45840</v>
      </c>
      <c r="E302" t="s">
        <v>194</v>
      </c>
      <c r="F302" t="s">
        <v>79</v>
      </c>
      <c r="G302">
        <v>2.5</v>
      </c>
      <c r="H302" t="s">
        <v>92</v>
      </c>
      <c r="I302">
        <v>0</v>
      </c>
      <c r="J302" t="s">
        <v>81</v>
      </c>
      <c r="K302" t="s">
        <v>79</v>
      </c>
      <c r="L302">
        <v>10</v>
      </c>
      <c r="M302">
        <v>112.49999999999999</v>
      </c>
      <c r="N302">
        <v>2.5</v>
      </c>
      <c r="Q302">
        <v>109.99999999999999</v>
      </c>
    </row>
    <row r="303" spans="1:17" x14ac:dyDescent="0.25">
      <c r="A303" t="s">
        <v>46</v>
      </c>
      <c r="B303">
        <v>2</v>
      </c>
      <c r="C303" t="s">
        <v>100</v>
      </c>
      <c r="D303" s="39">
        <v>45840</v>
      </c>
      <c r="E303" t="s">
        <v>194</v>
      </c>
      <c r="F303" t="s">
        <v>79</v>
      </c>
      <c r="G303">
        <v>2.5</v>
      </c>
      <c r="H303" t="s">
        <v>92</v>
      </c>
      <c r="I303">
        <v>0</v>
      </c>
      <c r="J303" t="s">
        <v>81</v>
      </c>
      <c r="K303" t="s">
        <v>79</v>
      </c>
      <c r="L303">
        <v>13</v>
      </c>
      <c r="M303">
        <v>114.88999999999999</v>
      </c>
      <c r="N303">
        <v>3.25</v>
      </c>
      <c r="Q303">
        <v>111.63999999999999</v>
      </c>
    </row>
    <row r="304" spans="1:17" x14ac:dyDescent="0.25">
      <c r="A304" t="s">
        <v>45</v>
      </c>
      <c r="B304">
        <v>4</v>
      </c>
      <c r="C304" t="s">
        <v>195</v>
      </c>
      <c r="D304" s="39">
        <v>45840</v>
      </c>
      <c r="E304" t="s">
        <v>196</v>
      </c>
      <c r="F304" t="s">
        <v>79</v>
      </c>
      <c r="G304" t="s">
        <v>125</v>
      </c>
      <c r="H304" t="s">
        <v>122</v>
      </c>
      <c r="I304" t="s">
        <v>99</v>
      </c>
      <c r="J304">
        <v>200</v>
      </c>
      <c r="K304" t="s">
        <v>79</v>
      </c>
      <c r="L304">
        <v>5</v>
      </c>
      <c r="M304">
        <v>217.9</v>
      </c>
      <c r="N304">
        <v>13.2</v>
      </c>
      <c r="Q304">
        <v>204.70000000000002</v>
      </c>
    </row>
    <row r="305" spans="1:17" x14ac:dyDescent="0.25">
      <c r="A305" t="s">
        <v>45</v>
      </c>
      <c r="B305">
        <v>4</v>
      </c>
      <c r="C305" t="s">
        <v>89</v>
      </c>
      <c r="D305" s="39">
        <v>45840</v>
      </c>
      <c r="E305" t="s">
        <v>194</v>
      </c>
      <c r="F305" t="s">
        <v>79</v>
      </c>
      <c r="G305">
        <v>16</v>
      </c>
      <c r="H305">
        <v>5</v>
      </c>
      <c r="I305">
        <v>0</v>
      </c>
      <c r="J305" t="s">
        <v>81</v>
      </c>
      <c r="K305" t="s">
        <v>79</v>
      </c>
      <c r="L305">
        <v>1</v>
      </c>
      <c r="M305">
        <v>39</v>
      </c>
      <c r="N305">
        <v>2.2000000000000002</v>
      </c>
      <c r="Q305">
        <v>36.799999999999997</v>
      </c>
    </row>
    <row r="306" spans="1:17" x14ac:dyDescent="0.25">
      <c r="A306" t="s">
        <v>45</v>
      </c>
      <c r="B306">
        <v>4</v>
      </c>
      <c r="C306" t="s">
        <v>193</v>
      </c>
      <c r="D306" s="39">
        <v>45840</v>
      </c>
      <c r="E306" t="s">
        <v>205</v>
      </c>
      <c r="F306" t="s">
        <v>79</v>
      </c>
      <c r="G306">
        <v>16.2</v>
      </c>
      <c r="H306" t="s">
        <v>81</v>
      </c>
      <c r="I306" t="s">
        <v>103</v>
      </c>
      <c r="J306">
        <v>2000</v>
      </c>
      <c r="K306" t="s">
        <v>79</v>
      </c>
      <c r="L306">
        <v>7</v>
      </c>
      <c r="M306">
        <v>323.10000000000002</v>
      </c>
      <c r="N306">
        <v>13.4</v>
      </c>
      <c r="Q306">
        <v>309.70000000000005</v>
      </c>
    </row>
    <row r="307" spans="1:17" x14ac:dyDescent="0.25">
      <c r="A307" t="s">
        <v>46</v>
      </c>
      <c r="B307">
        <v>4</v>
      </c>
      <c r="C307" t="s">
        <v>193</v>
      </c>
      <c r="D307" s="39">
        <v>45840</v>
      </c>
      <c r="E307" t="s">
        <v>205</v>
      </c>
      <c r="F307" t="s">
        <v>79</v>
      </c>
      <c r="G307">
        <v>16.2</v>
      </c>
      <c r="H307" t="s">
        <v>81</v>
      </c>
      <c r="I307" t="s">
        <v>103</v>
      </c>
      <c r="J307">
        <v>2000</v>
      </c>
      <c r="K307" t="s">
        <v>79</v>
      </c>
      <c r="L307">
        <v>15</v>
      </c>
      <c r="M307">
        <v>607.20000000000005</v>
      </c>
      <c r="N307">
        <v>2.4</v>
      </c>
      <c r="Q307">
        <v>604.80000000000007</v>
      </c>
    </row>
    <row r="308" spans="1:17" x14ac:dyDescent="0.25">
      <c r="A308" t="s">
        <v>45</v>
      </c>
      <c r="B308">
        <v>5</v>
      </c>
      <c r="C308" t="s">
        <v>112</v>
      </c>
      <c r="D308" s="39">
        <v>45840</v>
      </c>
      <c r="E308" t="s">
        <v>194</v>
      </c>
      <c r="F308" t="s">
        <v>79</v>
      </c>
      <c r="G308">
        <v>6</v>
      </c>
      <c r="H308">
        <v>5</v>
      </c>
      <c r="I308">
        <v>0</v>
      </c>
      <c r="J308" t="s">
        <v>81</v>
      </c>
      <c r="K308" t="s">
        <v>79</v>
      </c>
      <c r="L308">
        <v>8</v>
      </c>
      <c r="M308">
        <v>261.7</v>
      </c>
      <c r="N308">
        <v>6.2</v>
      </c>
      <c r="Q308">
        <v>255.5</v>
      </c>
    </row>
    <row r="309" spans="1:17" x14ac:dyDescent="0.25">
      <c r="A309" t="s">
        <v>46</v>
      </c>
      <c r="B309">
        <v>5</v>
      </c>
      <c r="C309" t="s">
        <v>112</v>
      </c>
      <c r="D309" s="39">
        <v>45840</v>
      </c>
      <c r="E309" t="s">
        <v>194</v>
      </c>
      <c r="F309" t="s">
        <v>79</v>
      </c>
      <c r="G309">
        <v>6</v>
      </c>
      <c r="H309">
        <v>5</v>
      </c>
      <c r="I309">
        <v>0</v>
      </c>
      <c r="J309" t="s">
        <v>81</v>
      </c>
      <c r="K309" t="s">
        <v>79</v>
      </c>
      <c r="L309">
        <v>8</v>
      </c>
      <c r="M309">
        <v>202.4</v>
      </c>
      <c r="N309">
        <v>4.8</v>
      </c>
      <c r="Q309">
        <v>197.6</v>
      </c>
    </row>
    <row r="310" spans="1:17" x14ac:dyDescent="0.25">
      <c r="A310" t="s">
        <v>46</v>
      </c>
      <c r="B310">
        <v>5</v>
      </c>
      <c r="C310" t="s">
        <v>85</v>
      </c>
      <c r="D310" s="39">
        <v>45840</v>
      </c>
      <c r="E310" t="s">
        <v>194</v>
      </c>
      <c r="F310" t="s">
        <v>79</v>
      </c>
      <c r="G310">
        <v>12</v>
      </c>
      <c r="H310">
        <v>5</v>
      </c>
      <c r="I310">
        <v>0</v>
      </c>
      <c r="J310" t="s">
        <v>81</v>
      </c>
      <c r="K310" t="s">
        <v>79</v>
      </c>
      <c r="L310">
        <v>4</v>
      </c>
      <c r="M310">
        <v>164.2</v>
      </c>
      <c r="N310">
        <v>0.48</v>
      </c>
      <c r="Q310">
        <v>163.72</v>
      </c>
    </row>
    <row r="311" spans="1:17" x14ac:dyDescent="0.25">
      <c r="A311" t="s">
        <v>45</v>
      </c>
      <c r="B311">
        <v>1</v>
      </c>
      <c r="C311" t="s">
        <v>91</v>
      </c>
      <c r="D311" s="39">
        <v>45841</v>
      </c>
      <c r="E311" t="s">
        <v>194</v>
      </c>
      <c r="F311" t="s">
        <v>79</v>
      </c>
      <c r="G311">
        <v>4</v>
      </c>
      <c r="H311" t="s">
        <v>92</v>
      </c>
      <c r="I311">
        <v>0</v>
      </c>
      <c r="J311" t="s">
        <v>81</v>
      </c>
      <c r="K311" t="s">
        <v>79</v>
      </c>
      <c r="L311">
        <v>8</v>
      </c>
      <c r="M311">
        <v>159.15</v>
      </c>
      <c r="N311">
        <v>3.2</v>
      </c>
      <c r="O311">
        <v>22</v>
      </c>
      <c r="Q311">
        <v>155.95000000000002</v>
      </c>
    </row>
    <row r="312" spans="1:17" x14ac:dyDescent="0.25">
      <c r="A312" t="s">
        <v>46</v>
      </c>
      <c r="B312">
        <v>1</v>
      </c>
      <c r="C312" t="s">
        <v>107</v>
      </c>
      <c r="D312" s="39">
        <v>45841</v>
      </c>
      <c r="E312" t="s">
        <v>194</v>
      </c>
      <c r="F312" t="s">
        <v>79</v>
      </c>
      <c r="G312">
        <v>5</v>
      </c>
      <c r="H312" t="s">
        <v>92</v>
      </c>
      <c r="I312">
        <v>0</v>
      </c>
      <c r="J312" t="s">
        <v>81</v>
      </c>
      <c r="K312" t="s">
        <v>79</v>
      </c>
      <c r="L312">
        <v>8</v>
      </c>
      <c r="M312">
        <v>195.94</v>
      </c>
      <c r="N312">
        <v>4</v>
      </c>
      <c r="O312">
        <v>46</v>
      </c>
      <c r="Q312">
        <v>191.94</v>
      </c>
    </row>
    <row r="313" spans="1:17" x14ac:dyDescent="0.25">
      <c r="A313" t="s">
        <v>45</v>
      </c>
      <c r="B313">
        <v>2</v>
      </c>
      <c r="C313" t="s">
        <v>206</v>
      </c>
      <c r="D313" s="39">
        <v>45841</v>
      </c>
      <c r="E313" t="s">
        <v>207</v>
      </c>
      <c r="F313" t="s">
        <v>79</v>
      </c>
      <c r="G313">
        <v>2.5</v>
      </c>
      <c r="H313">
        <v>5</v>
      </c>
      <c r="I313">
        <v>0</v>
      </c>
      <c r="J313">
        <v>250</v>
      </c>
      <c r="K313" t="s">
        <v>79</v>
      </c>
      <c r="L313">
        <v>9</v>
      </c>
      <c r="M313">
        <v>99.34</v>
      </c>
      <c r="N313">
        <v>2.25</v>
      </c>
      <c r="Q313">
        <v>97.09</v>
      </c>
    </row>
    <row r="314" spans="1:17" x14ac:dyDescent="0.25">
      <c r="A314" t="s">
        <v>46</v>
      </c>
      <c r="B314">
        <v>2</v>
      </c>
      <c r="C314" t="s">
        <v>206</v>
      </c>
      <c r="D314" s="39">
        <v>45841</v>
      </c>
      <c r="E314" t="s">
        <v>207</v>
      </c>
      <c r="F314" t="s">
        <v>79</v>
      </c>
      <c r="G314">
        <v>2.5</v>
      </c>
      <c r="H314">
        <v>5</v>
      </c>
      <c r="I314">
        <v>0</v>
      </c>
      <c r="J314">
        <v>250</v>
      </c>
      <c r="K314" t="s">
        <v>79</v>
      </c>
      <c r="L314">
        <v>12</v>
      </c>
      <c r="M314">
        <v>117.02999999999999</v>
      </c>
      <c r="N314">
        <v>3</v>
      </c>
      <c r="Q314">
        <v>114.02999999999999</v>
      </c>
    </row>
    <row r="315" spans="1:17" x14ac:dyDescent="0.25">
      <c r="A315" t="s">
        <v>45</v>
      </c>
      <c r="B315">
        <v>4</v>
      </c>
      <c r="C315" t="s">
        <v>193</v>
      </c>
      <c r="D315" s="39">
        <v>45841</v>
      </c>
      <c r="E315" t="s">
        <v>205</v>
      </c>
      <c r="F315" t="s">
        <v>79</v>
      </c>
      <c r="G315">
        <v>16.2</v>
      </c>
      <c r="H315" t="s">
        <v>81</v>
      </c>
      <c r="I315" t="s">
        <v>103</v>
      </c>
      <c r="J315">
        <v>2000</v>
      </c>
      <c r="K315" t="s">
        <v>79</v>
      </c>
      <c r="L315">
        <v>10</v>
      </c>
      <c r="M315">
        <v>466.80000000000007</v>
      </c>
      <c r="N315">
        <v>19</v>
      </c>
      <c r="Q315">
        <v>447.80000000000007</v>
      </c>
    </row>
    <row r="316" spans="1:17" x14ac:dyDescent="0.25">
      <c r="A316" t="s">
        <v>45</v>
      </c>
      <c r="B316">
        <v>4</v>
      </c>
      <c r="C316" t="s">
        <v>208</v>
      </c>
      <c r="D316" s="39">
        <v>45841</v>
      </c>
      <c r="E316" t="s">
        <v>200</v>
      </c>
      <c r="F316" t="s">
        <v>79</v>
      </c>
      <c r="G316">
        <v>16</v>
      </c>
      <c r="H316">
        <v>6</v>
      </c>
      <c r="I316">
        <v>0</v>
      </c>
      <c r="J316">
        <v>500</v>
      </c>
      <c r="K316" t="s">
        <v>79</v>
      </c>
      <c r="L316">
        <v>3</v>
      </c>
      <c r="M316">
        <v>158.34</v>
      </c>
      <c r="N316">
        <v>5.9</v>
      </c>
      <c r="Q316">
        <v>152.44</v>
      </c>
    </row>
    <row r="317" spans="1:17" x14ac:dyDescent="0.25">
      <c r="A317" t="s">
        <v>46</v>
      </c>
      <c r="B317">
        <v>4</v>
      </c>
      <c r="C317" t="s">
        <v>208</v>
      </c>
      <c r="D317" s="39">
        <v>45841</v>
      </c>
      <c r="E317" t="s">
        <v>200</v>
      </c>
      <c r="F317" t="s">
        <v>79</v>
      </c>
      <c r="G317">
        <v>16</v>
      </c>
      <c r="H317">
        <v>6</v>
      </c>
      <c r="I317">
        <v>0</v>
      </c>
      <c r="J317">
        <v>500</v>
      </c>
      <c r="K317" t="s">
        <v>79</v>
      </c>
      <c r="L317">
        <v>14</v>
      </c>
      <c r="M317">
        <v>642.79000000000008</v>
      </c>
      <c r="N317">
        <v>28</v>
      </c>
      <c r="Q317">
        <v>614.79000000000008</v>
      </c>
    </row>
    <row r="318" spans="1:17" x14ac:dyDescent="0.25">
      <c r="A318" t="s">
        <v>45</v>
      </c>
      <c r="B318">
        <v>5</v>
      </c>
      <c r="C318" t="s">
        <v>85</v>
      </c>
      <c r="D318" s="39">
        <v>45841</v>
      </c>
      <c r="E318" t="s">
        <v>194</v>
      </c>
      <c r="F318" t="s">
        <v>79</v>
      </c>
      <c r="G318">
        <v>12</v>
      </c>
      <c r="H318">
        <v>5</v>
      </c>
      <c r="I318">
        <v>0</v>
      </c>
      <c r="J318" t="s">
        <v>81</v>
      </c>
      <c r="K318" t="s">
        <v>79</v>
      </c>
      <c r="L318">
        <v>7</v>
      </c>
      <c r="M318">
        <v>377.73</v>
      </c>
      <c r="N318">
        <v>9.7999999999999989</v>
      </c>
      <c r="Q318">
        <v>367.93</v>
      </c>
    </row>
    <row r="319" spans="1:17" x14ac:dyDescent="0.25">
      <c r="A319" t="s">
        <v>45</v>
      </c>
      <c r="B319">
        <v>5</v>
      </c>
      <c r="C319" t="s">
        <v>209</v>
      </c>
      <c r="D319" s="39">
        <v>45841</v>
      </c>
      <c r="E319" t="s">
        <v>203</v>
      </c>
      <c r="F319" t="s">
        <v>79</v>
      </c>
      <c r="G319">
        <v>12</v>
      </c>
      <c r="H319" t="s">
        <v>127</v>
      </c>
      <c r="I319">
        <v>0</v>
      </c>
      <c r="J319">
        <v>100</v>
      </c>
      <c r="K319" t="s">
        <v>79</v>
      </c>
      <c r="L319">
        <v>2</v>
      </c>
      <c r="M319">
        <v>98.94</v>
      </c>
      <c r="N319">
        <v>2.8</v>
      </c>
      <c r="Q319">
        <v>96.14</v>
      </c>
    </row>
    <row r="320" spans="1:17" x14ac:dyDescent="0.25">
      <c r="A320" t="s">
        <v>46</v>
      </c>
      <c r="B320">
        <v>5</v>
      </c>
      <c r="C320" t="s">
        <v>209</v>
      </c>
      <c r="D320" s="39">
        <v>45841</v>
      </c>
      <c r="E320" t="s">
        <v>203</v>
      </c>
      <c r="F320" t="s">
        <v>79</v>
      </c>
      <c r="G320">
        <v>12</v>
      </c>
      <c r="H320" t="s">
        <v>127</v>
      </c>
      <c r="I320">
        <v>0</v>
      </c>
      <c r="J320">
        <v>100</v>
      </c>
      <c r="K320" t="s">
        <v>79</v>
      </c>
      <c r="L320">
        <v>9</v>
      </c>
      <c r="M320">
        <v>404.06000000000006</v>
      </c>
      <c r="N320">
        <v>12.6</v>
      </c>
      <c r="Q320">
        <v>391.46000000000004</v>
      </c>
    </row>
    <row r="321" spans="1:17" x14ac:dyDescent="0.25">
      <c r="A321" t="s">
        <v>46</v>
      </c>
      <c r="B321">
        <v>5</v>
      </c>
      <c r="C321" t="s">
        <v>94</v>
      </c>
      <c r="D321" s="39">
        <v>45841</v>
      </c>
      <c r="E321" t="s">
        <v>194</v>
      </c>
      <c r="F321" t="s">
        <v>79</v>
      </c>
      <c r="G321">
        <v>8</v>
      </c>
      <c r="H321">
        <v>5</v>
      </c>
      <c r="I321">
        <v>0</v>
      </c>
      <c r="J321" t="s">
        <v>81</v>
      </c>
      <c r="K321" t="s">
        <v>79</v>
      </c>
      <c r="L321">
        <v>1</v>
      </c>
      <c r="M321">
        <v>26.74</v>
      </c>
      <c r="N321">
        <v>1.1000000000000001</v>
      </c>
      <c r="Q321">
        <v>25.639999999999997</v>
      </c>
    </row>
    <row r="322" spans="1:17" x14ac:dyDescent="0.25">
      <c r="A322" t="s">
        <v>45</v>
      </c>
      <c r="B322">
        <v>1</v>
      </c>
      <c r="C322" t="s">
        <v>107</v>
      </c>
      <c r="D322" s="39">
        <v>45842</v>
      </c>
      <c r="E322" t="s">
        <v>194</v>
      </c>
      <c r="F322" t="s">
        <v>79</v>
      </c>
      <c r="G322">
        <v>5</v>
      </c>
      <c r="H322" t="s">
        <v>92</v>
      </c>
      <c r="I322">
        <v>0</v>
      </c>
      <c r="J322" t="s">
        <v>81</v>
      </c>
      <c r="K322" t="s">
        <v>79</v>
      </c>
      <c r="L322">
        <v>2</v>
      </c>
      <c r="M322">
        <v>36</v>
      </c>
      <c r="N322">
        <v>1</v>
      </c>
      <c r="O322">
        <v>37</v>
      </c>
      <c r="Q322">
        <v>35</v>
      </c>
    </row>
    <row r="323" spans="1:17" x14ac:dyDescent="0.25">
      <c r="A323" t="s">
        <v>45</v>
      </c>
      <c r="B323">
        <v>1</v>
      </c>
      <c r="C323" t="s">
        <v>107</v>
      </c>
      <c r="D323" s="39">
        <v>45842</v>
      </c>
      <c r="E323" t="s">
        <v>194</v>
      </c>
      <c r="F323" t="s">
        <v>79</v>
      </c>
      <c r="G323">
        <v>5</v>
      </c>
      <c r="H323" t="s">
        <v>92</v>
      </c>
      <c r="I323">
        <v>0</v>
      </c>
      <c r="J323" t="s">
        <v>81</v>
      </c>
      <c r="K323" t="s">
        <v>79</v>
      </c>
      <c r="L323">
        <v>6</v>
      </c>
      <c r="M323">
        <v>142.1</v>
      </c>
      <c r="N323">
        <v>3</v>
      </c>
      <c r="Q323">
        <v>139.1</v>
      </c>
    </row>
    <row r="324" spans="1:17" x14ac:dyDescent="0.25">
      <c r="A324" t="s">
        <v>46</v>
      </c>
      <c r="B324">
        <v>1</v>
      </c>
      <c r="C324" t="s">
        <v>107</v>
      </c>
      <c r="D324" s="39">
        <v>45842</v>
      </c>
      <c r="E324" t="s">
        <v>194</v>
      </c>
      <c r="F324" t="s">
        <v>79</v>
      </c>
      <c r="G324">
        <v>5</v>
      </c>
      <c r="H324" t="s">
        <v>92</v>
      </c>
      <c r="I324">
        <v>0</v>
      </c>
      <c r="J324" t="s">
        <v>81</v>
      </c>
      <c r="K324" t="s">
        <v>79</v>
      </c>
      <c r="L324">
        <v>6</v>
      </c>
      <c r="M324">
        <v>112.8</v>
      </c>
      <c r="N324">
        <v>3</v>
      </c>
      <c r="O324">
        <v>21</v>
      </c>
      <c r="Q324">
        <v>109.8</v>
      </c>
    </row>
    <row r="325" spans="1:17" x14ac:dyDescent="0.25">
      <c r="A325" t="s">
        <v>45</v>
      </c>
      <c r="B325">
        <v>2</v>
      </c>
      <c r="C325" t="s">
        <v>206</v>
      </c>
      <c r="D325" s="39">
        <v>45842</v>
      </c>
      <c r="E325" t="s">
        <v>207</v>
      </c>
      <c r="F325" t="s">
        <v>79</v>
      </c>
      <c r="G325">
        <v>2.5</v>
      </c>
      <c r="H325">
        <v>5</v>
      </c>
      <c r="I325">
        <v>0</v>
      </c>
      <c r="J325">
        <v>250</v>
      </c>
      <c r="K325" t="s">
        <v>79</v>
      </c>
      <c r="L325">
        <v>10</v>
      </c>
      <c r="M325">
        <v>109.82999999999998</v>
      </c>
      <c r="N325">
        <v>2</v>
      </c>
      <c r="Q325">
        <v>107.82999999999998</v>
      </c>
    </row>
    <row r="326" spans="1:17" x14ac:dyDescent="0.25">
      <c r="A326" t="s">
        <v>46</v>
      </c>
      <c r="B326">
        <v>2</v>
      </c>
      <c r="C326" t="s">
        <v>206</v>
      </c>
      <c r="D326" s="39">
        <v>45842</v>
      </c>
      <c r="E326" t="s">
        <v>207</v>
      </c>
      <c r="F326" t="s">
        <v>79</v>
      </c>
      <c r="G326">
        <v>2.5</v>
      </c>
      <c r="H326">
        <v>5</v>
      </c>
      <c r="I326">
        <v>0</v>
      </c>
      <c r="J326">
        <v>250</v>
      </c>
      <c r="K326" t="s">
        <v>79</v>
      </c>
      <c r="L326">
        <v>7</v>
      </c>
      <c r="M326">
        <v>71.7</v>
      </c>
      <c r="N326">
        <v>1.4000000000000001</v>
      </c>
      <c r="Q326">
        <v>70.3</v>
      </c>
    </row>
    <row r="327" spans="1:17" x14ac:dyDescent="0.25">
      <c r="A327" t="s">
        <v>45</v>
      </c>
      <c r="B327">
        <v>4</v>
      </c>
      <c r="C327" t="s">
        <v>208</v>
      </c>
      <c r="D327" s="39">
        <v>45842</v>
      </c>
      <c r="E327" t="s">
        <v>200</v>
      </c>
      <c r="F327" t="s">
        <v>79</v>
      </c>
      <c r="G327">
        <v>16</v>
      </c>
      <c r="H327">
        <v>6</v>
      </c>
      <c r="I327">
        <v>0</v>
      </c>
      <c r="J327">
        <v>500</v>
      </c>
      <c r="K327" t="s">
        <v>79</v>
      </c>
      <c r="L327">
        <v>2</v>
      </c>
      <c r="M327">
        <v>62.1</v>
      </c>
      <c r="N327">
        <v>3.9</v>
      </c>
      <c r="Q327">
        <v>58.2</v>
      </c>
    </row>
    <row r="328" spans="1:17" x14ac:dyDescent="0.25">
      <c r="A328" t="s">
        <v>45</v>
      </c>
      <c r="B328">
        <v>4</v>
      </c>
      <c r="C328" t="s">
        <v>210</v>
      </c>
      <c r="D328" s="39">
        <v>45842</v>
      </c>
      <c r="E328" t="s">
        <v>205</v>
      </c>
      <c r="F328" t="s">
        <v>79</v>
      </c>
      <c r="G328">
        <v>18</v>
      </c>
      <c r="H328" t="s">
        <v>102</v>
      </c>
      <c r="I328" t="s">
        <v>103</v>
      </c>
      <c r="J328">
        <v>435</v>
      </c>
      <c r="K328" t="s">
        <v>79</v>
      </c>
      <c r="L328">
        <v>11</v>
      </c>
      <c r="M328">
        <v>447</v>
      </c>
      <c r="N328">
        <v>21.83</v>
      </c>
      <c r="Q328">
        <v>425.17</v>
      </c>
    </row>
    <row r="329" spans="1:17" x14ac:dyDescent="0.25">
      <c r="A329" t="s">
        <v>45</v>
      </c>
      <c r="B329">
        <v>4</v>
      </c>
      <c r="C329" t="s">
        <v>211</v>
      </c>
      <c r="D329" s="39">
        <v>45842</v>
      </c>
      <c r="E329" t="s">
        <v>205</v>
      </c>
      <c r="F329" t="s">
        <v>79</v>
      </c>
      <c r="G329">
        <v>18</v>
      </c>
      <c r="H329" t="s">
        <v>102</v>
      </c>
      <c r="I329" t="s">
        <v>103</v>
      </c>
      <c r="J329">
        <v>140</v>
      </c>
      <c r="K329" t="s">
        <v>79</v>
      </c>
      <c r="L329">
        <v>2</v>
      </c>
      <c r="M329">
        <v>101.21000000000001</v>
      </c>
      <c r="N329">
        <v>4.4800000000000004</v>
      </c>
      <c r="Q329">
        <v>96.73</v>
      </c>
    </row>
    <row r="330" spans="1:17" x14ac:dyDescent="0.25">
      <c r="A330" t="s">
        <v>46</v>
      </c>
      <c r="B330">
        <v>4</v>
      </c>
      <c r="C330" t="s">
        <v>211</v>
      </c>
      <c r="D330" s="39">
        <v>45842</v>
      </c>
      <c r="E330" t="s">
        <v>205</v>
      </c>
      <c r="F330" t="s">
        <v>79</v>
      </c>
      <c r="G330">
        <v>18</v>
      </c>
      <c r="H330" t="s">
        <v>102</v>
      </c>
      <c r="I330" t="s">
        <v>103</v>
      </c>
      <c r="J330">
        <v>140</v>
      </c>
      <c r="K330" t="s">
        <v>79</v>
      </c>
      <c r="L330">
        <v>4</v>
      </c>
      <c r="M330">
        <v>148.04000000000002</v>
      </c>
      <c r="N330">
        <v>8.4</v>
      </c>
      <c r="Q330">
        <v>139.64000000000001</v>
      </c>
    </row>
    <row r="331" spans="1:17" x14ac:dyDescent="0.25">
      <c r="A331" t="s">
        <v>46</v>
      </c>
      <c r="B331">
        <v>4</v>
      </c>
      <c r="C331" t="s">
        <v>101</v>
      </c>
      <c r="D331" s="39">
        <v>45842</v>
      </c>
      <c r="E331" t="s">
        <v>194</v>
      </c>
      <c r="F331" t="s">
        <v>79</v>
      </c>
      <c r="G331">
        <v>18</v>
      </c>
      <c r="H331">
        <v>5</v>
      </c>
      <c r="I331">
        <v>0</v>
      </c>
      <c r="J331" t="s">
        <v>81</v>
      </c>
      <c r="K331" t="s">
        <v>79</v>
      </c>
      <c r="L331">
        <v>8</v>
      </c>
      <c r="M331">
        <v>326.89999999999998</v>
      </c>
      <c r="N331">
        <v>16.8</v>
      </c>
      <c r="Q331">
        <v>310.09999999999997</v>
      </c>
    </row>
    <row r="332" spans="1:17" x14ac:dyDescent="0.25">
      <c r="A332" t="s">
        <v>45</v>
      </c>
      <c r="B332">
        <v>5</v>
      </c>
      <c r="C332" t="s">
        <v>147</v>
      </c>
      <c r="D332" s="39">
        <v>45842</v>
      </c>
      <c r="E332" t="s">
        <v>212</v>
      </c>
      <c r="F332" t="s">
        <v>79</v>
      </c>
      <c r="G332">
        <v>8</v>
      </c>
      <c r="H332">
        <v>6</v>
      </c>
      <c r="I332">
        <v>0</v>
      </c>
      <c r="J332">
        <v>50</v>
      </c>
      <c r="K332" t="s">
        <v>79</v>
      </c>
      <c r="L332">
        <v>1</v>
      </c>
      <c r="M332">
        <v>33.200000000000003</v>
      </c>
      <c r="N332">
        <v>1.2</v>
      </c>
      <c r="Q332">
        <v>32</v>
      </c>
    </row>
    <row r="333" spans="1:17" x14ac:dyDescent="0.25">
      <c r="A333" t="s">
        <v>45</v>
      </c>
      <c r="B333">
        <v>5</v>
      </c>
      <c r="C333" t="s">
        <v>213</v>
      </c>
      <c r="D333" s="39">
        <v>45842</v>
      </c>
      <c r="E333" t="s">
        <v>203</v>
      </c>
      <c r="F333" t="s">
        <v>79</v>
      </c>
      <c r="G333">
        <v>10</v>
      </c>
      <c r="H333" t="s">
        <v>127</v>
      </c>
      <c r="I333">
        <v>0</v>
      </c>
      <c r="J333">
        <v>100</v>
      </c>
      <c r="K333" t="s">
        <v>79</v>
      </c>
      <c r="L333">
        <v>4</v>
      </c>
      <c r="M333">
        <v>112.49999999999999</v>
      </c>
      <c r="N333">
        <v>4.8500000000000005</v>
      </c>
      <c r="Q333">
        <v>107.64999999999999</v>
      </c>
    </row>
    <row r="334" spans="1:17" x14ac:dyDescent="0.25">
      <c r="A334" t="s">
        <v>45</v>
      </c>
      <c r="B334">
        <v>5</v>
      </c>
      <c r="C334" t="s">
        <v>88</v>
      </c>
      <c r="D334" s="39">
        <v>45842</v>
      </c>
      <c r="E334" t="s">
        <v>194</v>
      </c>
      <c r="F334" t="s">
        <v>79</v>
      </c>
      <c r="G334">
        <v>10</v>
      </c>
      <c r="H334">
        <v>5</v>
      </c>
      <c r="I334">
        <v>0</v>
      </c>
      <c r="J334" t="s">
        <v>81</v>
      </c>
      <c r="K334" t="s">
        <v>79</v>
      </c>
      <c r="L334">
        <v>2</v>
      </c>
      <c r="M334">
        <v>97.4</v>
      </c>
      <c r="N334">
        <v>2.6</v>
      </c>
      <c r="Q334">
        <v>94.800000000000011</v>
      </c>
    </row>
    <row r="335" spans="1:17" x14ac:dyDescent="0.25">
      <c r="A335" t="s">
        <v>45</v>
      </c>
      <c r="B335">
        <v>5</v>
      </c>
      <c r="C335" t="s">
        <v>214</v>
      </c>
      <c r="D335" s="39">
        <v>45842</v>
      </c>
      <c r="E335" t="s">
        <v>203</v>
      </c>
      <c r="F335" t="s">
        <v>79</v>
      </c>
      <c r="G335">
        <v>8</v>
      </c>
      <c r="H335" t="s">
        <v>127</v>
      </c>
      <c r="I335">
        <v>0</v>
      </c>
      <c r="J335">
        <v>100</v>
      </c>
      <c r="K335" t="s">
        <v>79</v>
      </c>
      <c r="L335">
        <v>5</v>
      </c>
      <c r="M335">
        <v>113.4</v>
      </c>
      <c r="N335">
        <v>5.6499999999999995</v>
      </c>
      <c r="Q335">
        <v>107.75</v>
      </c>
    </row>
    <row r="336" spans="1:17" x14ac:dyDescent="0.25">
      <c r="A336" t="s">
        <v>46</v>
      </c>
      <c r="B336">
        <v>5</v>
      </c>
      <c r="C336" t="s">
        <v>88</v>
      </c>
      <c r="D336" s="39">
        <v>45842</v>
      </c>
      <c r="E336" t="s">
        <v>194</v>
      </c>
      <c r="F336" t="s">
        <v>79</v>
      </c>
      <c r="G336">
        <v>10</v>
      </c>
      <c r="H336">
        <v>5</v>
      </c>
      <c r="I336">
        <v>0</v>
      </c>
      <c r="J336" t="s">
        <v>81</v>
      </c>
      <c r="K336" t="s">
        <v>79</v>
      </c>
      <c r="L336">
        <v>8</v>
      </c>
      <c r="M336">
        <v>351.7</v>
      </c>
      <c r="N336">
        <v>10.4</v>
      </c>
      <c r="Q336">
        <v>341.3</v>
      </c>
    </row>
    <row r="337" spans="1:17" x14ac:dyDescent="0.25">
      <c r="A337" t="s">
        <v>45</v>
      </c>
      <c r="B337">
        <v>1</v>
      </c>
      <c r="C337" t="s">
        <v>107</v>
      </c>
      <c r="D337" s="39">
        <v>45845</v>
      </c>
      <c r="E337" t="s">
        <v>194</v>
      </c>
      <c r="F337" t="s">
        <v>79</v>
      </c>
      <c r="G337">
        <v>5</v>
      </c>
      <c r="H337" t="s">
        <v>92</v>
      </c>
      <c r="I337">
        <v>0</v>
      </c>
      <c r="J337" t="s">
        <v>81</v>
      </c>
      <c r="K337" t="s">
        <v>79</v>
      </c>
      <c r="L337">
        <v>7</v>
      </c>
      <c r="M337">
        <v>117</v>
      </c>
      <c r="N337">
        <v>3.5</v>
      </c>
      <c r="O337">
        <v>29</v>
      </c>
      <c r="Q337">
        <v>113.5</v>
      </c>
    </row>
    <row r="338" spans="1:17" x14ac:dyDescent="0.25">
      <c r="A338" t="s">
        <v>46</v>
      </c>
      <c r="B338">
        <v>1</v>
      </c>
      <c r="C338" t="s">
        <v>107</v>
      </c>
      <c r="D338" s="39">
        <v>45845</v>
      </c>
      <c r="E338" t="s">
        <v>194</v>
      </c>
      <c r="F338" t="s">
        <v>79</v>
      </c>
      <c r="G338">
        <v>5</v>
      </c>
      <c r="H338" t="s">
        <v>92</v>
      </c>
      <c r="I338">
        <v>0</v>
      </c>
      <c r="J338" t="s">
        <v>81</v>
      </c>
      <c r="K338" t="s">
        <v>79</v>
      </c>
      <c r="L338">
        <v>8</v>
      </c>
      <c r="M338">
        <v>163.51999999999998</v>
      </c>
      <c r="N338">
        <v>4</v>
      </c>
      <c r="O338">
        <v>22</v>
      </c>
      <c r="Q338">
        <v>159.51999999999998</v>
      </c>
    </row>
    <row r="339" spans="1:17" x14ac:dyDescent="0.25">
      <c r="A339" t="s">
        <v>45</v>
      </c>
      <c r="B339">
        <v>2</v>
      </c>
      <c r="C339" t="s">
        <v>206</v>
      </c>
      <c r="D339" s="39">
        <v>45845</v>
      </c>
      <c r="E339" t="s">
        <v>207</v>
      </c>
      <c r="F339" t="s">
        <v>79</v>
      </c>
      <c r="G339">
        <v>2.5</v>
      </c>
      <c r="H339">
        <v>5</v>
      </c>
      <c r="I339">
        <v>0</v>
      </c>
      <c r="J339">
        <v>250</v>
      </c>
      <c r="K339" t="s">
        <v>79</v>
      </c>
      <c r="L339">
        <v>8</v>
      </c>
      <c r="M339">
        <v>81.300000000000011</v>
      </c>
      <c r="N339">
        <v>2</v>
      </c>
      <c r="Q339">
        <v>79.300000000000011</v>
      </c>
    </row>
    <row r="340" spans="1:17" x14ac:dyDescent="0.25">
      <c r="A340" t="s">
        <v>46</v>
      </c>
      <c r="B340">
        <v>2</v>
      </c>
      <c r="C340" t="s">
        <v>206</v>
      </c>
      <c r="D340" s="39">
        <v>45845</v>
      </c>
      <c r="E340" t="s">
        <v>207</v>
      </c>
      <c r="F340" t="s">
        <v>79</v>
      </c>
      <c r="G340">
        <v>2.5</v>
      </c>
      <c r="H340">
        <v>5</v>
      </c>
      <c r="I340">
        <v>0</v>
      </c>
      <c r="J340">
        <v>250</v>
      </c>
      <c r="K340" t="s">
        <v>79</v>
      </c>
      <c r="L340">
        <v>10</v>
      </c>
      <c r="M340">
        <v>108.21000000000001</v>
      </c>
      <c r="N340">
        <v>2.5</v>
      </c>
      <c r="Q340">
        <v>105.71000000000001</v>
      </c>
    </row>
    <row r="341" spans="1:17" x14ac:dyDescent="0.25">
      <c r="A341" t="s">
        <v>45</v>
      </c>
      <c r="B341">
        <v>4</v>
      </c>
      <c r="C341" t="s">
        <v>215</v>
      </c>
      <c r="D341" s="39">
        <v>45845</v>
      </c>
      <c r="E341" t="s">
        <v>200</v>
      </c>
      <c r="F341" t="s">
        <v>79</v>
      </c>
      <c r="G341">
        <v>14</v>
      </c>
      <c r="H341">
        <v>6</v>
      </c>
      <c r="I341">
        <v>0</v>
      </c>
      <c r="J341">
        <v>500</v>
      </c>
      <c r="K341" t="s">
        <v>79</v>
      </c>
      <c r="L341">
        <v>6</v>
      </c>
      <c r="M341">
        <v>251.3</v>
      </c>
      <c r="N341">
        <v>10.199999999999999</v>
      </c>
      <c r="Q341">
        <v>241.10000000000002</v>
      </c>
    </row>
    <row r="342" spans="1:17" x14ac:dyDescent="0.25">
      <c r="A342" t="s">
        <v>45</v>
      </c>
      <c r="B342">
        <v>4</v>
      </c>
      <c r="C342" t="s">
        <v>95</v>
      </c>
      <c r="D342" s="39">
        <v>45845</v>
      </c>
      <c r="E342" t="s">
        <v>194</v>
      </c>
      <c r="F342" t="s">
        <v>79</v>
      </c>
      <c r="G342">
        <v>14</v>
      </c>
      <c r="H342">
        <v>5</v>
      </c>
      <c r="I342">
        <v>0</v>
      </c>
      <c r="J342" t="s">
        <v>81</v>
      </c>
      <c r="K342" t="s">
        <v>79</v>
      </c>
      <c r="L342">
        <v>3</v>
      </c>
      <c r="M342">
        <v>136.30000000000001</v>
      </c>
      <c r="N342">
        <v>5.0999999999999996</v>
      </c>
      <c r="Q342">
        <v>131.20000000000002</v>
      </c>
    </row>
    <row r="343" spans="1:17" x14ac:dyDescent="0.25">
      <c r="A343" t="s">
        <v>46</v>
      </c>
      <c r="B343">
        <v>4</v>
      </c>
      <c r="C343" t="s">
        <v>215</v>
      </c>
      <c r="D343" s="39">
        <v>45845</v>
      </c>
      <c r="E343" t="s">
        <v>200</v>
      </c>
      <c r="F343" t="s">
        <v>79</v>
      </c>
      <c r="G343">
        <v>14</v>
      </c>
      <c r="H343">
        <v>6</v>
      </c>
      <c r="I343">
        <v>0</v>
      </c>
      <c r="J343">
        <v>500</v>
      </c>
      <c r="K343" t="s">
        <v>79</v>
      </c>
      <c r="L343">
        <v>3</v>
      </c>
      <c r="M343">
        <v>125.75999999999999</v>
      </c>
      <c r="N343">
        <v>5</v>
      </c>
      <c r="Q343">
        <v>120.75999999999999</v>
      </c>
    </row>
    <row r="344" spans="1:17" x14ac:dyDescent="0.25">
      <c r="A344" t="s">
        <v>46</v>
      </c>
      <c r="B344">
        <v>4</v>
      </c>
      <c r="C344" t="s">
        <v>95</v>
      </c>
      <c r="D344" s="39">
        <v>45845</v>
      </c>
      <c r="E344" t="s">
        <v>194</v>
      </c>
      <c r="F344" t="s">
        <v>79</v>
      </c>
      <c r="G344">
        <v>14</v>
      </c>
      <c r="H344">
        <v>5</v>
      </c>
      <c r="I344">
        <v>0</v>
      </c>
      <c r="J344" t="s">
        <v>81</v>
      </c>
      <c r="K344" t="s">
        <v>79</v>
      </c>
      <c r="L344">
        <v>9</v>
      </c>
      <c r="M344">
        <v>418.68</v>
      </c>
      <c r="N344">
        <v>15.499999999999998</v>
      </c>
      <c r="Q344">
        <v>403.18</v>
      </c>
    </row>
    <row r="345" spans="1:17" x14ac:dyDescent="0.25">
      <c r="A345" t="s">
        <v>45</v>
      </c>
      <c r="B345">
        <v>5</v>
      </c>
      <c r="C345" t="s">
        <v>88</v>
      </c>
      <c r="D345" s="39">
        <v>45845</v>
      </c>
      <c r="E345" t="s">
        <v>194</v>
      </c>
      <c r="F345" t="s">
        <v>79</v>
      </c>
      <c r="G345">
        <v>10</v>
      </c>
      <c r="H345">
        <v>5</v>
      </c>
      <c r="I345">
        <v>0</v>
      </c>
      <c r="J345" t="s">
        <v>81</v>
      </c>
      <c r="K345" t="s">
        <v>79</v>
      </c>
      <c r="L345">
        <v>8</v>
      </c>
      <c r="M345">
        <v>315.50000000000006</v>
      </c>
      <c r="N345">
        <v>10.4</v>
      </c>
      <c r="Q345">
        <v>305.10000000000008</v>
      </c>
    </row>
    <row r="346" spans="1:17" x14ac:dyDescent="0.25">
      <c r="A346" t="s">
        <v>46</v>
      </c>
      <c r="B346">
        <v>5</v>
      </c>
      <c r="C346" t="s">
        <v>88</v>
      </c>
      <c r="D346" s="39">
        <v>45845</v>
      </c>
      <c r="E346" t="s">
        <v>194</v>
      </c>
      <c r="F346" t="s">
        <v>79</v>
      </c>
      <c r="G346">
        <v>10</v>
      </c>
      <c r="H346">
        <v>5</v>
      </c>
      <c r="I346">
        <v>0</v>
      </c>
      <c r="J346" t="s">
        <v>81</v>
      </c>
      <c r="K346" t="s">
        <v>79</v>
      </c>
      <c r="L346">
        <v>9</v>
      </c>
      <c r="M346">
        <v>394.13000000000005</v>
      </c>
      <c r="N346">
        <v>0.9</v>
      </c>
      <c r="Q346">
        <v>393.23000000000008</v>
      </c>
    </row>
    <row r="347" spans="1:17" x14ac:dyDescent="0.25">
      <c r="A347" t="s">
        <v>45</v>
      </c>
      <c r="B347">
        <v>1</v>
      </c>
      <c r="C347" t="s">
        <v>107</v>
      </c>
      <c r="D347" s="39">
        <v>45846</v>
      </c>
      <c r="E347" t="s">
        <v>194</v>
      </c>
      <c r="F347" t="s">
        <v>79</v>
      </c>
      <c r="G347">
        <v>5</v>
      </c>
      <c r="H347" t="s">
        <v>92</v>
      </c>
      <c r="I347">
        <v>0</v>
      </c>
      <c r="J347" t="s">
        <v>81</v>
      </c>
      <c r="K347" t="s">
        <v>79</v>
      </c>
      <c r="L347">
        <v>3</v>
      </c>
      <c r="M347">
        <v>50.7</v>
      </c>
      <c r="N347">
        <v>1.5</v>
      </c>
      <c r="O347">
        <v>15.6</v>
      </c>
      <c r="Q347">
        <v>49.2</v>
      </c>
    </row>
    <row r="348" spans="1:17" x14ac:dyDescent="0.25">
      <c r="A348" t="s">
        <v>45</v>
      </c>
      <c r="B348">
        <v>1</v>
      </c>
      <c r="C348" t="s">
        <v>77</v>
      </c>
      <c r="D348" s="39">
        <v>45846</v>
      </c>
      <c r="E348" t="s">
        <v>194</v>
      </c>
      <c r="F348" t="s">
        <v>79</v>
      </c>
      <c r="G348">
        <v>3</v>
      </c>
      <c r="H348" t="s">
        <v>92</v>
      </c>
      <c r="I348">
        <v>0</v>
      </c>
      <c r="J348" t="s">
        <v>81</v>
      </c>
      <c r="K348" t="s">
        <v>79</v>
      </c>
      <c r="L348">
        <v>10</v>
      </c>
      <c r="M348">
        <v>154.04999999999998</v>
      </c>
      <c r="N348">
        <v>3</v>
      </c>
      <c r="O348">
        <v>16</v>
      </c>
      <c r="Q348">
        <v>151.04999999999998</v>
      </c>
    </row>
    <row r="349" spans="1:17" x14ac:dyDescent="0.25">
      <c r="A349" t="s">
        <v>46</v>
      </c>
      <c r="B349">
        <v>1</v>
      </c>
      <c r="C349" t="s">
        <v>77</v>
      </c>
      <c r="D349" s="39">
        <v>45846</v>
      </c>
      <c r="E349" t="s">
        <v>194</v>
      </c>
      <c r="F349" t="s">
        <v>79</v>
      </c>
      <c r="G349">
        <v>3</v>
      </c>
      <c r="H349" t="s">
        <v>92</v>
      </c>
      <c r="I349">
        <v>0</v>
      </c>
      <c r="J349" t="s">
        <v>81</v>
      </c>
      <c r="K349" t="s">
        <v>79</v>
      </c>
      <c r="L349">
        <v>10</v>
      </c>
      <c r="M349">
        <v>162.69</v>
      </c>
      <c r="N349">
        <v>3</v>
      </c>
      <c r="Q349">
        <v>159.69</v>
      </c>
    </row>
    <row r="350" spans="1:17" x14ac:dyDescent="0.25">
      <c r="A350" t="s">
        <v>45</v>
      </c>
      <c r="B350">
        <v>2</v>
      </c>
      <c r="C350" t="s">
        <v>100</v>
      </c>
      <c r="D350" s="39">
        <v>45846</v>
      </c>
      <c r="E350" t="s">
        <v>194</v>
      </c>
      <c r="F350" t="s">
        <v>79</v>
      </c>
      <c r="G350">
        <v>2.5</v>
      </c>
      <c r="H350" t="s">
        <v>92</v>
      </c>
      <c r="I350">
        <v>0</v>
      </c>
      <c r="J350" t="s">
        <v>81</v>
      </c>
      <c r="K350" t="s">
        <v>79</v>
      </c>
      <c r="L350">
        <v>6</v>
      </c>
      <c r="M350">
        <v>58.5</v>
      </c>
      <c r="N350">
        <v>1.5</v>
      </c>
      <c r="Q350">
        <v>57</v>
      </c>
    </row>
    <row r="351" spans="1:17" x14ac:dyDescent="0.25">
      <c r="A351" t="s">
        <v>45</v>
      </c>
      <c r="B351">
        <v>2</v>
      </c>
      <c r="C351" t="s">
        <v>216</v>
      </c>
      <c r="D351" s="39">
        <v>45846</v>
      </c>
      <c r="E351" t="s">
        <v>217</v>
      </c>
      <c r="F351" t="s">
        <v>79</v>
      </c>
      <c r="G351">
        <v>3.5</v>
      </c>
      <c r="H351">
        <v>5.5</v>
      </c>
      <c r="I351">
        <v>0</v>
      </c>
      <c r="J351">
        <v>150</v>
      </c>
      <c r="K351" t="s">
        <v>79</v>
      </c>
      <c r="L351">
        <v>4</v>
      </c>
      <c r="M351">
        <v>70.800000000000011</v>
      </c>
      <c r="N351">
        <v>1.4</v>
      </c>
      <c r="Q351">
        <v>69.400000000000006</v>
      </c>
    </row>
    <row r="352" spans="1:17" x14ac:dyDescent="0.25">
      <c r="A352" t="s">
        <v>46</v>
      </c>
      <c r="B352">
        <v>2</v>
      </c>
      <c r="C352" t="s">
        <v>216</v>
      </c>
      <c r="D352" s="39">
        <v>45846</v>
      </c>
      <c r="E352" t="s">
        <v>217</v>
      </c>
      <c r="F352" t="s">
        <v>79</v>
      </c>
      <c r="G352">
        <v>3.5</v>
      </c>
      <c r="H352">
        <v>5.5</v>
      </c>
      <c r="I352">
        <v>0</v>
      </c>
      <c r="J352">
        <v>150</v>
      </c>
      <c r="K352" t="s">
        <v>79</v>
      </c>
      <c r="L352">
        <v>7</v>
      </c>
      <c r="M352">
        <v>162.51</v>
      </c>
      <c r="N352">
        <v>2.4499999999999997</v>
      </c>
      <c r="Q352">
        <v>160.06</v>
      </c>
    </row>
    <row r="353" spans="1:17" x14ac:dyDescent="0.25">
      <c r="A353" t="s">
        <v>45</v>
      </c>
      <c r="B353">
        <v>4</v>
      </c>
      <c r="C353" t="s">
        <v>95</v>
      </c>
      <c r="D353" s="39">
        <v>45846</v>
      </c>
      <c r="E353" t="s">
        <v>194</v>
      </c>
      <c r="F353" t="s">
        <v>79</v>
      </c>
      <c r="G353">
        <v>14</v>
      </c>
      <c r="H353">
        <v>5</v>
      </c>
      <c r="I353">
        <v>0</v>
      </c>
      <c r="J353" t="s">
        <v>81</v>
      </c>
      <c r="K353" t="s">
        <v>79</v>
      </c>
      <c r="L353">
        <v>14</v>
      </c>
      <c r="M353">
        <v>561.00000000000011</v>
      </c>
      <c r="N353">
        <v>23.8</v>
      </c>
      <c r="Q353">
        <v>537.20000000000016</v>
      </c>
    </row>
    <row r="354" spans="1:17" x14ac:dyDescent="0.25">
      <c r="A354" t="s">
        <v>45</v>
      </c>
      <c r="B354">
        <v>4</v>
      </c>
      <c r="C354" t="s">
        <v>95</v>
      </c>
      <c r="D354" s="39">
        <v>45846</v>
      </c>
      <c r="E354" t="s">
        <v>194</v>
      </c>
      <c r="F354" t="s">
        <v>79</v>
      </c>
      <c r="G354">
        <v>14</v>
      </c>
      <c r="H354">
        <v>5</v>
      </c>
      <c r="I354">
        <v>0</v>
      </c>
      <c r="J354" t="s">
        <v>81</v>
      </c>
      <c r="K354" t="s">
        <v>79</v>
      </c>
      <c r="L354">
        <v>4</v>
      </c>
      <c r="M354">
        <v>191.66</v>
      </c>
      <c r="N354">
        <v>6.8</v>
      </c>
      <c r="Q354">
        <v>184.85999999999999</v>
      </c>
    </row>
    <row r="355" spans="1:17" x14ac:dyDescent="0.25">
      <c r="A355" t="s">
        <v>46</v>
      </c>
      <c r="B355">
        <v>4</v>
      </c>
      <c r="C355" t="s">
        <v>218</v>
      </c>
      <c r="D355" s="39">
        <v>45846</v>
      </c>
      <c r="E355" t="s">
        <v>219</v>
      </c>
      <c r="F355" t="s">
        <v>79</v>
      </c>
      <c r="G355">
        <v>23</v>
      </c>
      <c r="H355">
        <v>5</v>
      </c>
      <c r="I355">
        <v>0</v>
      </c>
      <c r="J355">
        <v>500</v>
      </c>
      <c r="K355" t="s">
        <v>79</v>
      </c>
      <c r="L355">
        <v>7</v>
      </c>
      <c r="M355">
        <v>386.6</v>
      </c>
      <c r="N355">
        <v>19.599999999999998</v>
      </c>
      <c r="Q355">
        <v>367</v>
      </c>
    </row>
    <row r="356" spans="1:17" x14ac:dyDescent="0.25">
      <c r="A356" t="s">
        <v>45</v>
      </c>
      <c r="B356">
        <v>5</v>
      </c>
      <c r="C356" t="s">
        <v>220</v>
      </c>
      <c r="D356" s="39">
        <v>45846</v>
      </c>
      <c r="E356" t="s">
        <v>203</v>
      </c>
      <c r="F356" t="s">
        <v>79</v>
      </c>
      <c r="G356">
        <v>9</v>
      </c>
      <c r="H356" t="s">
        <v>127</v>
      </c>
      <c r="I356">
        <v>0</v>
      </c>
      <c r="J356">
        <v>100</v>
      </c>
      <c r="K356" t="s">
        <v>79</v>
      </c>
      <c r="L356">
        <v>4</v>
      </c>
      <c r="M356">
        <v>105.64999999999999</v>
      </c>
      <c r="N356">
        <v>6.4</v>
      </c>
      <c r="Q356">
        <v>99.249999999999986</v>
      </c>
    </row>
    <row r="357" spans="1:17" x14ac:dyDescent="0.25">
      <c r="A357" t="s">
        <v>45</v>
      </c>
      <c r="B357">
        <v>5</v>
      </c>
      <c r="C357" t="s">
        <v>221</v>
      </c>
      <c r="D357" s="39">
        <v>45846</v>
      </c>
      <c r="E357" t="s">
        <v>203</v>
      </c>
      <c r="F357" t="s">
        <v>79</v>
      </c>
      <c r="G357">
        <v>11</v>
      </c>
      <c r="H357" t="s">
        <v>127</v>
      </c>
      <c r="I357">
        <v>0</v>
      </c>
      <c r="J357">
        <v>100</v>
      </c>
      <c r="K357" t="s">
        <v>79</v>
      </c>
      <c r="L357">
        <v>9</v>
      </c>
      <c r="M357">
        <v>321.8</v>
      </c>
      <c r="N357">
        <v>14.4</v>
      </c>
      <c r="Q357">
        <v>307.40000000000003</v>
      </c>
    </row>
    <row r="358" spans="1:17" x14ac:dyDescent="0.25">
      <c r="A358" t="s">
        <v>45</v>
      </c>
      <c r="B358">
        <v>5</v>
      </c>
      <c r="C358" t="s">
        <v>131</v>
      </c>
      <c r="D358" s="39">
        <v>45846</v>
      </c>
      <c r="E358" t="s">
        <v>194</v>
      </c>
      <c r="F358" t="s">
        <v>79</v>
      </c>
      <c r="G358">
        <v>11</v>
      </c>
      <c r="H358">
        <v>5</v>
      </c>
      <c r="I358">
        <v>0</v>
      </c>
      <c r="J358" t="s">
        <v>81</v>
      </c>
      <c r="K358" t="s">
        <v>79</v>
      </c>
      <c r="L358">
        <v>1</v>
      </c>
      <c r="M358">
        <v>28.9</v>
      </c>
      <c r="N358">
        <v>1.6</v>
      </c>
      <c r="Q358">
        <v>27.299999999999997</v>
      </c>
    </row>
    <row r="359" spans="1:17" x14ac:dyDescent="0.25">
      <c r="A359" t="s">
        <v>46</v>
      </c>
      <c r="B359">
        <v>5</v>
      </c>
      <c r="C359" t="s">
        <v>222</v>
      </c>
      <c r="D359" s="39">
        <v>45846</v>
      </c>
      <c r="E359" t="s">
        <v>223</v>
      </c>
      <c r="F359" t="s">
        <v>79</v>
      </c>
      <c r="G359">
        <v>13</v>
      </c>
      <c r="H359">
        <v>4.5</v>
      </c>
      <c r="I359">
        <v>0</v>
      </c>
      <c r="J359">
        <v>100</v>
      </c>
      <c r="K359" t="s">
        <v>79</v>
      </c>
      <c r="L359">
        <v>3</v>
      </c>
      <c r="M359">
        <v>82.1</v>
      </c>
      <c r="N359">
        <v>4.9499999999999993</v>
      </c>
      <c r="Q359">
        <v>77.149999999999991</v>
      </c>
    </row>
    <row r="360" spans="1:17" x14ac:dyDescent="0.25">
      <c r="A360" t="s">
        <v>46</v>
      </c>
      <c r="B360">
        <v>5</v>
      </c>
      <c r="C360" t="s">
        <v>85</v>
      </c>
      <c r="D360" s="39">
        <v>45846</v>
      </c>
      <c r="E360" t="s">
        <v>194</v>
      </c>
      <c r="F360" t="s">
        <v>79</v>
      </c>
      <c r="G360">
        <v>12</v>
      </c>
      <c r="H360">
        <v>5</v>
      </c>
      <c r="I360">
        <v>0</v>
      </c>
      <c r="J360" t="s">
        <v>81</v>
      </c>
      <c r="K360" t="s">
        <v>79</v>
      </c>
      <c r="L360">
        <v>7</v>
      </c>
      <c r="M360">
        <v>331.82</v>
      </c>
      <c r="N360">
        <v>10.35</v>
      </c>
      <c r="Q360">
        <v>321.46999999999997</v>
      </c>
    </row>
    <row r="361" spans="1:17" x14ac:dyDescent="0.25">
      <c r="A361" t="s">
        <v>45</v>
      </c>
      <c r="B361">
        <v>1</v>
      </c>
      <c r="C361" t="s">
        <v>224</v>
      </c>
      <c r="D361" s="39">
        <v>45847</v>
      </c>
      <c r="E361" t="s">
        <v>217</v>
      </c>
      <c r="F361" t="s">
        <v>79</v>
      </c>
      <c r="G361">
        <v>3</v>
      </c>
      <c r="H361">
        <v>5.5</v>
      </c>
      <c r="I361">
        <v>0</v>
      </c>
      <c r="J361">
        <v>150</v>
      </c>
      <c r="K361" t="s">
        <v>79</v>
      </c>
      <c r="L361">
        <v>9</v>
      </c>
      <c r="M361">
        <v>140.69999999999999</v>
      </c>
      <c r="N361">
        <v>2.6999999999999997</v>
      </c>
      <c r="O361">
        <v>21</v>
      </c>
      <c r="Q361">
        <v>138</v>
      </c>
    </row>
    <row r="362" spans="1:17" x14ac:dyDescent="0.25">
      <c r="A362" t="s">
        <v>45</v>
      </c>
      <c r="B362">
        <v>1</v>
      </c>
      <c r="C362" t="s">
        <v>224</v>
      </c>
      <c r="D362" s="39">
        <v>45847</v>
      </c>
      <c r="E362" t="s">
        <v>217</v>
      </c>
      <c r="F362" t="s">
        <v>79</v>
      </c>
      <c r="G362">
        <v>3</v>
      </c>
      <c r="H362">
        <v>5.5</v>
      </c>
      <c r="I362">
        <v>0</v>
      </c>
      <c r="J362">
        <v>150</v>
      </c>
      <c r="K362" t="s">
        <v>79</v>
      </c>
      <c r="L362">
        <v>1</v>
      </c>
      <c r="M362">
        <v>21.5</v>
      </c>
      <c r="N362">
        <v>0.3</v>
      </c>
      <c r="Q362">
        <v>21.2</v>
      </c>
    </row>
    <row r="363" spans="1:17" x14ac:dyDescent="0.25">
      <c r="A363" t="s">
        <v>46</v>
      </c>
      <c r="B363">
        <v>1</v>
      </c>
      <c r="C363" t="s">
        <v>224</v>
      </c>
      <c r="D363" s="39">
        <v>45847</v>
      </c>
      <c r="E363" t="s">
        <v>217</v>
      </c>
      <c r="F363" t="s">
        <v>79</v>
      </c>
      <c r="G363">
        <v>3</v>
      </c>
      <c r="H363">
        <v>5.5</v>
      </c>
      <c r="I363">
        <v>0</v>
      </c>
      <c r="J363">
        <v>150</v>
      </c>
      <c r="K363" t="s">
        <v>79</v>
      </c>
      <c r="L363">
        <v>7</v>
      </c>
      <c r="M363">
        <v>160.87</v>
      </c>
      <c r="N363">
        <v>2.1</v>
      </c>
      <c r="O363">
        <v>25</v>
      </c>
      <c r="Q363">
        <v>158.77000000000001</v>
      </c>
    </row>
    <row r="364" spans="1:17" x14ac:dyDescent="0.25">
      <c r="A364" t="s">
        <v>45</v>
      </c>
      <c r="B364">
        <v>2</v>
      </c>
      <c r="C364" t="s">
        <v>216</v>
      </c>
      <c r="D364" s="39">
        <v>45847</v>
      </c>
      <c r="E364" t="s">
        <v>217</v>
      </c>
      <c r="F364" t="s">
        <v>79</v>
      </c>
      <c r="G364">
        <v>3.5</v>
      </c>
      <c r="H364">
        <v>5.5</v>
      </c>
      <c r="I364">
        <v>0</v>
      </c>
      <c r="J364">
        <v>150</v>
      </c>
      <c r="K364" t="s">
        <v>79</v>
      </c>
      <c r="L364">
        <v>3</v>
      </c>
      <c r="M364">
        <v>60</v>
      </c>
      <c r="N364">
        <v>1.0499999999999998</v>
      </c>
      <c r="Q364">
        <v>58.95</v>
      </c>
    </row>
    <row r="365" spans="1:17" x14ac:dyDescent="0.25">
      <c r="A365" t="s">
        <v>45</v>
      </c>
      <c r="B365">
        <v>2</v>
      </c>
      <c r="C365" t="s">
        <v>206</v>
      </c>
      <c r="D365" s="39">
        <v>45847</v>
      </c>
      <c r="E365" t="s">
        <v>207</v>
      </c>
      <c r="F365" t="s">
        <v>79</v>
      </c>
      <c r="G365">
        <v>2.5</v>
      </c>
      <c r="H365">
        <v>5</v>
      </c>
      <c r="I365">
        <v>0</v>
      </c>
      <c r="J365">
        <v>250</v>
      </c>
      <c r="K365" t="s">
        <v>79</v>
      </c>
      <c r="L365">
        <v>3</v>
      </c>
      <c r="M365">
        <v>54</v>
      </c>
      <c r="N365">
        <v>0.75</v>
      </c>
      <c r="Q365">
        <v>53.25</v>
      </c>
    </row>
    <row r="366" spans="1:17" x14ac:dyDescent="0.25">
      <c r="A366" t="s">
        <v>46</v>
      </c>
      <c r="B366">
        <v>2</v>
      </c>
      <c r="C366" t="s">
        <v>100</v>
      </c>
      <c r="D366" s="39">
        <v>45847</v>
      </c>
      <c r="E366" t="s">
        <v>194</v>
      </c>
      <c r="F366" t="s">
        <v>79</v>
      </c>
      <c r="G366">
        <v>2.5</v>
      </c>
      <c r="H366" t="s">
        <v>92</v>
      </c>
      <c r="I366">
        <v>0</v>
      </c>
      <c r="J366" t="s">
        <v>81</v>
      </c>
      <c r="K366" t="s">
        <v>79</v>
      </c>
      <c r="L366">
        <v>4</v>
      </c>
      <c r="M366">
        <v>67.8</v>
      </c>
      <c r="N366">
        <v>0.8</v>
      </c>
      <c r="Q366">
        <v>67</v>
      </c>
    </row>
    <row r="367" spans="1:17" x14ac:dyDescent="0.25">
      <c r="A367" t="s">
        <v>45</v>
      </c>
      <c r="B367">
        <v>4</v>
      </c>
      <c r="C367" t="s">
        <v>85</v>
      </c>
      <c r="D367" s="39">
        <v>45847</v>
      </c>
      <c r="E367" t="s">
        <v>194</v>
      </c>
      <c r="F367" t="s">
        <v>79</v>
      </c>
      <c r="G367">
        <v>12</v>
      </c>
      <c r="H367">
        <v>5</v>
      </c>
      <c r="I367">
        <v>0</v>
      </c>
      <c r="J367" t="s">
        <v>81</v>
      </c>
      <c r="K367" t="s">
        <v>79</v>
      </c>
      <c r="L367">
        <v>10</v>
      </c>
      <c r="M367">
        <v>447.40000000000003</v>
      </c>
      <c r="N367">
        <v>1.2</v>
      </c>
      <c r="Q367">
        <v>446.20000000000005</v>
      </c>
    </row>
    <row r="368" spans="1:17" x14ac:dyDescent="0.25">
      <c r="A368" t="s">
        <v>46</v>
      </c>
      <c r="B368">
        <v>4</v>
      </c>
      <c r="C368" t="s">
        <v>85</v>
      </c>
      <c r="D368" s="39">
        <v>45847</v>
      </c>
      <c r="E368" t="s">
        <v>194</v>
      </c>
      <c r="F368" t="s">
        <v>79</v>
      </c>
      <c r="G368">
        <v>12</v>
      </c>
      <c r="H368">
        <v>5</v>
      </c>
      <c r="I368">
        <v>0</v>
      </c>
      <c r="J368" t="s">
        <v>81</v>
      </c>
      <c r="K368" t="s">
        <v>79</v>
      </c>
      <c r="L368">
        <v>6</v>
      </c>
      <c r="M368">
        <v>294.64</v>
      </c>
      <c r="N368">
        <v>8.66</v>
      </c>
      <c r="Q368">
        <v>285.97999999999996</v>
      </c>
    </row>
    <row r="369" spans="1:17" x14ac:dyDescent="0.25">
      <c r="A369" t="s">
        <v>46</v>
      </c>
      <c r="B369">
        <v>4</v>
      </c>
      <c r="C369" t="s">
        <v>112</v>
      </c>
      <c r="D369" s="39">
        <v>45847</v>
      </c>
      <c r="E369" t="s">
        <v>194</v>
      </c>
      <c r="F369" t="s">
        <v>79</v>
      </c>
      <c r="G369">
        <v>6</v>
      </c>
      <c r="H369">
        <v>5</v>
      </c>
      <c r="I369">
        <v>0</v>
      </c>
      <c r="J369" t="s">
        <v>81</v>
      </c>
      <c r="K369" t="s">
        <v>79</v>
      </c>
      <c r="L369">
        <v>4</v>
      </c>
      <c r="M369">
        <v>111.79999999999998</v>
      </c>
      <c r="N369">
        <v>3</v>
      </c>
      <c r="Q369">
        <v>108.79999999999998</v>
      </c>
    </row>
    <row r="370" spans="1:17" x14ac:dyDescent="0.25">
      <c r="A370" t="s">
        <v>45</v>
      </c>
      <c r="B370">
        <v>5</v>
      </c>
      <c r="C370" t="s">
        <v>218</v>
      </c>
      <c r="D370" s="39">
        <v>45847</v>
      </c>
      <c r="E370" t="s">
        <v>219</v>
      </c>
      <c r="F370" t="s">
        <v>79</v>
      </c>
      <c r="G370">
        <v>23</v>
      </c>
      <c r="H370">
        <v>5</v>
      </c>
      <c r="I370">
        <v>0</v>
      </c>
      <c r="J370">
        <v>500</v>
      </c>
      <c r="K370" t="s">
        <v>79</v>
      </c>
      <c r="L370">
        <v>2</v>
      </c>
      <c r="M370">
        <v>124.6</v>
      </c>
      <c r="N370">
        <v>5.4</v>
      </c>
      <c r="Q370">
        <v>119.19999999999999</v>
      </c>
    </row>
    <row r="371" spans="1:17" x14ac:dyDescent="0.25">
      <c r="A371" t="s">
        <v>45</v>
      </c>
      <c r="B371">
        <v>5</v>
      </c>
      <c r="C371" t="s">
        <v>225</v>
      </c>
      <c r="D371" s="39">
        <v>45847</v>
      </c>
      <c r="E371" t="s">
        <v>205</v>
      </c>
      <c r="F371" t="s">
        <v>79</v>
      </c>
      <c r="G371">
        <v>19</v>
      </c>
      <c r="H371" t="s">
        <v>102</v>
      </c>
      <c r="I371" t="s">
        <v>103</v>
      </c>
      <c r="J371">
        <v>85</v>
      </c>
      <c r="K371" t="s">
        <v>79</v>
      </c>
      <c r="L371">
        <v>2</v>
      </c>
      <c r="M371">
        <v>83.6</v>
      </c>
      <c r="N371">
        <v>3.8</v>
      </c>
      <c r="Q371">
        <v>79.8</v>
      </c>
    </row>
    <row r="372" spans="1:17" x14ac:dyDescent="0.25">
      <c r="A372" t="s">
        <v>45</v>
      </c>
      <c r="B372">
        <v>5</v>
      </c>
      <c r="C372" t="s">
        <v>226</v>
      </c>
      <c r="D372" s="39">
        <v>45847</v>
      </c>
      <c r="E372" t="s">
        <v>200</v>
      </c>
      <c r="F372" t="s">
        <v>79</v>
      </c>
      <c r="G372">
        <v>16</v>
      </c>
      <c r="H372">
        <v>6</v>
      </c>
      <c r="I372">
        <v>0</v>
      </c>
      <c r="J372">
        <v>500</v>
      </c>
      <c r="K372" t="s">
        <v>79</v>
      </c>
      <c r="L372">
        <v>8</v>
      </c>
      <c r="M372">
        <v>348.9</v>
      </c>
      <c r="N372">
        <v>1.28</v>
      </c>
      <c r="Q372">
        <v>347.62</v>
      </c>
    </row>
    <row r="373" spans="1:17" x14ac:dyDescent="0.25">
      <c r="A373" t="s">
        <v>46</v>
      </c>
      <c r="B373">
        <v>5</v>
      </c>
      <c r="C373" t="s">
        <v>226</v>
      </c>
      <c r="D373" s="39">
        <v>45847</v>
      </c>
      <c r="E373" t="s">
        <v>200</v>
      </c>
      <c r="F373" t="s">
        <v>79</v>
      </c>
      <c r="G373">
        <v>16</v>
      </c>
      <c r="H373">
        <v>6</v>
      </c>
      <c r="I373">
        <v>0</v>
      </c>
      <c r="J373">
        <v>500</v>
      </c>
      <c r="K373" t="s">
        <v>79</v>
      </c>
      <c r="L373">
        <v>7</v>
      </c>
      <c r="M373">
        <v>293.39999999999998</v>
      </c>
      <c r="N373">
        <v>13.699999999999998</v>
      </c>
      <c r="Q373">
        <v>279.7</v>
      </c>
    </row>
    <row r="374" spans="1:17" x14ac:dyDescent="0.25">
      <c r="A374" t="s">
        <v>46</v>
      </c>
      <c r="B374">
        <v>5</v>
      </c>
      <c r="C374" t="s">
        <v>101</v>
      </c>
      <c r="D374" s="39">
        <v>45847</v>
      </c>
      <c r="E374" t="s">
        <v>194</v>
      </c>
      <c r="F374" t="s">
        <v>79</v>
      </c>
      <c r="G374">
        <v>18</v>
      </c>
      <c r="H374">
        <v>5</v>
      </c>
      <c r="I374">
        <v>0</v>
      </c>
      <c r="J374" t="s">
        <v>81</v>
      </c>
      <c r="K374" t="s">
        <v>79</v>
      </c>
      <c r="L374">
        <v>7</v>
      </c>
      <c r="M374">
        <v>353.91</v>
      </c>
      <c r="N374">
        <v>15.2</v>
      </c>
      <c r="Q374">
        <v>338.71000000000004</v>
      </c>
    </row>
    <row r="375" spans="1:17" x14ac:dyDescent="0.25">
      <c r="A375" t="s">
        <v>45</v>
      </c>
      <c r="B375">
        <v>1</v>
      </c>
      <c r="C375" t="s">
        <v>224</v>
      </c>
      <c r="D375" s="39">
        <v>45848</v>
      </c>
      <c r="E375" t="s">
        <v>217</v>
      </c>
      <c r="F375" t="s">
        <v>79</v>
      </c>
      <c r="G375">
        <v>3</v>
      </c>
      <c r="H375">
        <v>5.5</v>
      </c>
      <c r="I375">
        <v>0</v>
      </c>
      <c r="J375">
        <v>150</v>
      </c>
      <c r="K375" t="s">
        <v>79</v>
      </c>
      <c r="L375">
        <v>8</v>
      </c>
      <c r="M375">
        <v>170.50000000000003</v>
      </c>
      <c r="N375">
        <v>2.4</v>
      </c>
      <c r="O375">
        <v>21</v>
      </c>
      <c r="Q375">
        <v>168.10000000000002</v>
      </c>
    </row>
    <row r="376" spans="1:17" x14ac:dyDescent="0.25">
      <c r="A376" t="s">
        <v>46</v>
      </c>
      <c r="B376">
        <v>1</v>
      </c>
      <c r="C376" t="s">
        <v>224</v>
      </c>
      <c r="D376" s="39">
        <v>45848</v>
      </c>
      <c r="E376" t="s">
        <v>217</v>
      </c>
      <c r="F376" t="s">
        <v>79</v>
      </c>
      <c r="G376">
        <v>3</v>
      </c>
      <c r="H376">
        <v>5.5</v>
      </c>
      <c r="I376">
        <v>0</v>
      </c>
      <c r="J376">
        <v>150</v>
      </c>
      <c r="K376" t="s">
        <v>79</v>
      </c>
      <c r="L376">
        <v>6</v>
      </c>
      <c r="M376">
        <v>123.84</v>
      </c>
      <c r="N376">
        <v>1.7999999999999998</v>
      </c>
      <c r="Q376">
        <v>122.04</v>
      </c>
    </row>
    <row r="377" spans="1:17" x14ac:dyDescent="0.25">
      <c r="A377" t="s">
        <v>46</v>
      </c>
      <c r="B377">
        <v>1</v>
      </c>
      <c r="C377" t="s">
        <v>224</v>
      </c>
      <c r="D377" s="39">
        <v>45848</v>
      </c>
      <c r="E377" t="s">
        <v>217</v>
      </c>
      <c r="F377" t="s">
        <v>79</v>
      </c>
      <c r="G377">
        <v>3</v>
      </c>
      <c r="H377">
        <v>5.5</v>
      </c>
      <c r="I377">
        <v>0</v>
      </c>
      <c r="J377">
        <v>150</v>
      </c>
      <c r="K377" t="s">
        <v>79</v>
      </c>
      <c r="L377">
        <v>1</v>
      </c>
      <c r="M377">
        <v>25.3</v>
      </c>
      <c r="N377">
        <v>0.5</v>
      </c>
      <c r="O377">
        <v>51</v>
      </c>
      <c r="Q377">
        <v>24.8</v>
      </c>
    </row>
    <row r="378" spans="1:17" x14ac:dyDescent="0.25">
      <c r="A378" t="s">
        <v>45</v>
      </c>
      <c r="B378">
        <v>2</v>
      </c>
      <c r="C378" t="s">
        <v>227</v>
      </c>
      <c r="D378" s="39">
        <v>45848</v>
      </c>
      <c r="E378" t="s">
        <v>200</v>
      </c>
      <c r="F378" t="s">
        <v>79</v>
      </c>
      <c r="G378">
        <v>2</v>
      </c>
      <c r="H378">
        <v>5</v>
      </c>
      <c r="I378">
        <v>0</v>
      </c>
      <c r="J378">
        <v>500</v>
      </c>
      <c r="K378" t="s">
        <v>79</v>
      </c>
      <c r="L378">
        <v>4</v>
      </c>
      <c r="M378">
        <v>77.600000000000009</v>
      </c>
      <c r="N378">
        <v>0.8</v>
      </c>
      <c r="Q378">
        <v>76.800000000000011</v>
      </c>
    </row>
    <row r="379" spans="1:17" x14ac:dyDescent="0.25">
      <c r="A379" t="s">
        <v>46</v>
      </c>
      <c r="B379">
        <v>2</v>
      </c>
      <c r="C379" t="s">
        <v>227</v>
      </c>
      <c r="D379" s="39">
        <v>45848</v>
      </c>
      <c r="E379" t="s">
        <v>200</v>
      </c>
      <c r="F379" t="s">
        <v>79</v>
      </c>
      <c r="G379">
        <v>2</v>
      </c>
      <c r="H379">
        <v>5</v>
      </c>
      <c r="I379">
        <v>0</v>
      </c>
      <c r="J379">
        <v>500</v>
      </c>
      <c r="K379" t="s">
        <v>79</v>
      </c>
      <c r="L379">
        <v>4</v>
      </c>
      <c r="M379">
        <v>70.8</v>
      </c>
      <c r="N379">
        <v>0.8</v>
      </c>
      <c r="Q379">
        <v>70</v>
      </c>
    </row>
    <row r="380" spans="1:17" x14ac:dyDescent="0.25">
      <c r="A380" t="s">
        <v>45</v>
      </c>
      <c r="B380">
        <v>4</v>
      </c>
      <c r="C380" t="s">
        <v>101</v>
      </c>
      <c r="D380" s="39">
        <v>45848</v>
      </c>
      <c r="E380" t="s">
        <v>194</v>
      </c>
      <c r="F380" t="s">
        <v>79</v>
      </c>
      <c r="G380">
        <v>18</v>
      </c>
      <c r="H380">
        <v>5</v>
      </c>
      <c r="I380">
        <v>0</v>
      </c>
      <c r="J380" t="s">
        <v>81</v>
      </c>
      <c r="K380" t="s">
        <v>79</v>
      </c>
      <c r="L380">
        <v>11</v>
      </c>
      <c r="M380">
        <v>325.29999999999995</v>
      </c>
      <c r="N380">
        <v>23.1</v>
      </c>
      <c r="Q380">
        <v>302.19999999999993</v>
      </c>
    </row>
    <row r="381" spans="1:17" x14ac:dyDescent="0.25">
      <c r="A381" t="s">
        <v>45</v>
      </c>
      <c r="B381">
        <v>4</v>
      </c>
      <c r="C381" t="s">
        <v>228</v>
      </c>
      <c r="D381" s="39">
        <v>45848</v>
      </c>
      <c r="E381" t="s">
        <v>229</v>
      </c>
      <c r="F381" t="s">
        <v>79</v>
      </c>
      <c r="G381">
        <v>24</v>
      </c>
      <c r="H381">
        <v>6</v>
      </c>
      <c r="I381">
        <v>0</v>
      </c>
      <c r="J381">
        <v>360</v>
      </c>
      <c r="K381" t="s">
        <v>79</v>
      </c>
      <c r="L381">
        <v>4</v>
      </c>
      <c r="M381">
        <v>169.39999999999998</v>
      </c>
      <c r="N381">
        <v>8.4</v>
      </c>
      <c r="Q381">
        <v>160.99999999999997</v>
      </c>
    </row>
    <row r="382" spans="1:17" x14ac:dyDescent="0.25">
      <c r="A382" t="s">
        <v>46</v>
      </c>
      <c r="B382">
        <v>4</v>
      </c>
      <c r="C382" t="s">
        <v>228</v>
      </c>
      <c r="D382" s="39">
        <v>45848</v>
      </c>
      <c r="E382" t="s">
        <v>229</v>
      </c>
      <c r="F382" t="s">
        <v>79</v>
      </c>
      <c r="G382">
        <v>24</v>
      </c>
      <c r="H382">
        <v>6</v>
      </c>
      <c r="I382">
        <v>0</v>
      </c>
      <c r="J382">
        <v>360</v>
      </c>
      <c r="K382" t="s">
        <v>79</v>
      </c>
      <c r="L382">
        <v>5</v>
      </c>
      <c r="M382">
        <v>273.58999999999997</v>
      </c>
      <c r="N382">
        <v>11</v>
      </c>
      <c r="Q382">
        <v>262.58999999999997</v>
      </c>
    </row>
    <row r="383" spans="1:17" x14ac:dyDescent="0.25">
      <c r="A383" t="s">
        <v>46</v>
      </c>
      <c r="B383">
        <v>4</v>
      </c>
      <c r="C383" t="s">
        <v>230</v>
      </c>
      <c r="D383" s="39">
        <v>45848</v>
      </c>
      <c r="E383" t="s">
        <v>231</v>
      </c>
      <c r="F383" t="s">
        <v>79</v>
      </c>
      <c r="G383">
        <v>15</v>
      </c>
      <c r="H383">
        <v>5</v>
      </c>
      <c r="I383">
        <v>0</v>
      </c>
      <c r="J383">
        <v>200</v>
      </c>
      <c r="K383" t="s">
        <v>79</v>
      </c>
      <c r="L383">
        <v>5</v>
      </c>
      <c r="M383">
        <v>175.38</v>
      </c>
      <c r="N383">
        <v>9.3000000000000007</v>
      </c>
      <c r="Q383">
        <v>166.07999999999998</v>
      </c>
    </row>
    <row r="384" spans="1:17" x14ac:dyDescent="0.25">
      <c r="A384" t="s">
        <v>46</v>
      </c>
      <c r="B384">
        <v>4</v>
      </c>
      <c r="C384" t="s">
        <v>232</v>
      </c>
      <c r="D384" s="39">
        <v>45848</v>
      </c>
      <c r="E384" t="s">
        <v>231</v>
      </c>
      <c r="F384" t="s">
        <v>79</v>
      </c>
      <c r="G384">
        <v>15</v>
      </c>
      <c r="H384">
        <v>6.5</v>
      </c>
      <c r="I384">
        <v>0</v>
      </c>
      <c r="J384">
        <v>400</v>
      </c>
      <c r="K384" t="s">
        <v>79</v>
      </c>
      <c r="L384">
        <v>5</v>
      </c>
      <c r="M384">
        <v>179.49999999999997</v>
      </c>
      <c r="N384">
        <v>24.899999999999995</v>
      </c>
      <c r="Q384">
        <v>154.59999999999997</v>
      </c>
    </row>
    <row r="385" spans="1:17" x14ac:dyDescent="0.25">
      <c r="A385" t="s">
        <v>45</v>
      </c>
      <c r="B385">
        <v>5</v>
      </c>
      <c r="C385" t="s">
        <v>112</v>
      </c>
      <c r="D385" s="39">
        <v>45848</v>
      </c>
      <c r="E385" t="s">
        <v>194</v>
      </c>
      <c r="F385" t="s">
        <v>79</v>
      </c>
      <c r="G385">
        <v>6</v>
      </c>
      <c r="H385">
        <v>5</v>
      </c>
      <c r="I385">
        <v>0</v>
      </c>
      <c r="J385" t="s">
        <v>81</v>
      </c>
      <c r="K385" t="s">
        <v>79</v>
      </c>
      <c r="L385">
        <v>12</v>
      </c>
      <c r="M385">
        <v>264.57</v>
      </c>
      <c r="N385">
        <v>30.800000000000011</v>
      </c>
      <c r="Q385">
        <v>233.76999999999998</v>
      </c>
    </row>
    <row r="386" spans="1:17" x14ac:dyDescent="0.25">
      <c r="A386" t="s">
        <v>46</v>
      </c>
      <c r="B386">
        <v>5</v>
      </c>
      <c r="C386" t="s">
        <v>112</v>
      </c>
      <c r="D386" s="39">
        <v>45848</v>
      </c>
      <c r="E386" t="s">
        <v>194</v>
      </c>
      <c r="F386" t="s">
        <v>79</v>
      </c>
      <c r="G386">
        <v>6</v>
      </c>
      <c r="H386">
        <v>5</v>
      </c>
      <c r="I386">
        <v>0</v>
      </c>
      <c r="J386" t="s">
        <v>81</v>
      </c>
      <c r="K386" t="s">
        <v>79</v>
      </c>
      <c r="L386">
        <v>8</v>
      </c>
      <c r="M386">
        <v>205.20000000000002</v>
      </c>
      <c r="N386">
        <v>6.4</v>
      </c>
      <c r="Q386">
        <v>198.8</v>
      </c>
    </row>
    <row r="387" spans="1:17" x14ac:dyDescent="0.25">
      <c r="A387" t="s">
        <v>46</v>
      </c>
      <c r="B387">
        <v>5</v>
      </c>
      <c r="C387" t="s">
        <v>233</v>
      </c>
      <c r="D387" s="39">
        <v>45848</v>
      </c>
      <c r="E387" t="s">
        <v>234</v>
      </c>
      <c r="F387" t="s">
        <v>79</v>
      </c>
      <c r="G387">
        <v>6</v>
      </c>
      <c r="H387">
        <v>10</v>
      </c>
      <c r="I387">
        <v>0</v>
      </c>
      <c r="J387">
        <v>50</v>
      </c>
      <c r="K387" t="s">
        <v>79</v>
      </c>
      <c r="L387">
        <v>2</v>
      </c>
      <c r="M387">
        <v>50.099999999999994</v>
      </c>
      <c r="N387">
        <v>3.5</v>
      </c>
      <c r="Q387">
        <v>46.599999999999994</v>
      </c>
    </row>
    <row r="388" spans="1:17" x14ac:dyDescent="0.25">
      <c r="A388" t="s">
        <v>46</v>
      </c>
      <c r="B388">
        <v>5</v>
      </c>
      <c r="C388" t="s">
        <v>235</v>
      </c>
      <c r="D388" s="39">
        <v>45848</v>
      </c>
      <c r="E388" t="s">
        <v>231</v>
      </c>
      <c r="F388" t="s">
        <v>79</v>
      </c>
      <c r="G388">
        <v>13</v>
      </c>
      <c r="H388">
        <v>6.5</v>
      </c>
      <c r="I388">
        <v>0</v>
      </c>
      <c r="J388">
        <v>400</v>
      </c>
      <c r="K388" t="s">
        <v>79</v>
      </c>
      <c r="L388">
        <v>2</v>
      </c>
      <c r="M388">
        <v>55.8</v>
      </c>
      <c r="N388">
        <v>3.2</v>
      </c>
      <c r="Q388">
        <v>52.599999999999994</v>
      </c>
    </row>
    <row r="389" spans="1:17" x14ac:dyDescent="0.25">
      <c r="A389" t="s">
        <v>45</v>
      </c>
      <c r="B389">
        <v>1</v>
      </c>
      <c r="C389" t="s">
        <v>236</v>
      </c>
      <c r="D389" s="39">
        <v>45849</v>
      </c>
      <c r="E389" t="s">
        <v>200</v>
      </c>
      <c r="F389" t="s">
        <v>79</v>
      </c>
      <c r="G389">
        <v>5</v>
      </c>
      <c r="H389">
        <v>5</v>
      </c>
      <c r="I389">
        <v>0</v>
      </c>
      <c r="J389">
        <v>100</v>
      </c>
      <c r="K389" t="s">
        <v>79</v>
      </c>
      <c r="L389">
        <v>4</v>
      </c>
      <c r="M389">
        <v>100.32</v>
      </c>
      <c r="N389">
        <v>2</v>
      </c>
      <c r="O389">
        <v>38</v>
      </c>
      <c r="Q389">
        <v>98.32</v>
      </c>
    </row>
    <row r="390" spans="1:17" x14ac:dyDescent="0.25">
      <c r="A390" t="s">
        <v>45</v>
      </c>
      <c r="B390">
        <v>1</v>
      </c>
      <c r="C390" t="s">
        <v>237</v>
      </c>
      <c r="D390" s="39">
        <v>45849</v>
      </c>
      <c r="E390" t="s">
        <v>238</v>
      </c>
      <c r="F390" t="s">
        <v>79</v>
      </c>
      <c r="G390">
        <v>4</v>
      </c>
      <c r="H390">
        <v>5</v>
      </c>
      <c r="I390">
        <v>0</v>
      </c>
      <c r="J390">
        <v>125</v>
      </c>
      <c r="K390" t="s">
        <v>79</v>
      </c>
      <c r="L390">
        <v>4</v>
      </c>
      <c r="M390">
        <v>80.539999999999992</v>
      </c>
      <c r="N390">
        <v>12</v>
      </c>
      <c r="Q390">
        <v>68.539999999999992</v>
      </c>
    </row>
    <row r="391" spans="1:17" x14ac:dyDescent="0.25">
      <c r="A391" t="s">
        <v>46</v>
      </c>
      <c r="B391">
        <v>1</v>
      </c>
      <c r="C391" t="s">
        <v>237</v>
      </c>
      <c r="D391" s="39">
        <v>45849</v>
      </c>
      <c r="E391" t="s">
        <v>238</v>
      </c>
      <c r="F391" t="s">
        <v>79</v>
      </c>
      <c r="G391">
        <v>4</v>
      </c>
      <c r="H391">
        <v>5</v>
      </c>
      <c r="I391">
        <v>0</v>
      </c>
      <c r="J391">
        <v>125</v>
      </c>
      <c r="K391" t="s">
        <v>79</v>
      </c>
      <c r="L391">
        <v>8</v>
      </c>
      <c r="M391">
        <v>179.89999999999998</v>
      </c>
      <c r="N391">
        <v>3.2</v>
      </c>
      <c r="O391">
        <v>32</v>
      </c>
      <c r="Q391">
        <v>176.7</v>
      </c>
    </row>
    <row r="392" spans="1:17" x14ac:dyDescent="0.25">
      <c r="A392" t="s">
        <v>45</v>
      </c>
      <c r="B392">
        <v>2</v>
      </c>
      <c r="C392" t="s">
        <v>227</v>
      </c>
      <c r="D392" s="39">
        <v>45849</v>
      </c>
      <c r="E392" t="s">
        <v>200</v>
      </c>
      <c r="F392" t="s">
        <v>79</v>
      </c>
      <c r="G392">
        <v>2</v>
      </c>
      <c r="H392">
        <v>5</v>
      </c>
      <c r="I392">
        <v>0</v>
      </c>
      <c r="J392">
        <v>500</v>
      </c>
      <c r="K392" t="s">
        <v>79</v>
      </c>
      <c r="L392">
        <v>4</v>
      </c>
      <c r="M392">
        <v>77.099999999999994</v>
      </c>
      <c r="N392">
        <v>0.8</v>
      </c>
      <c r="Q392">
        <v>76.3</v>
      </c>
    </row>
    <row r="393" spans="1:17" x14ac:dyDescent="0.25">
      <c r="A393" t="s">
        <v>46</v>
      </c>
      <c r="B393">
        <v>2</v>
      </c>
      <c r="C393" t="s">
        <v>227</v>
      </c>
      <c r="D393" s="39">
        <v>45849</v>
      </c>
      <c r="E393" t="s">
        <v>200</v>
      </c>
      <c r="F393" t="s">
        <v>79</v>
      </c>
      <c r="G393">
        <v>2</v>
      </c>
      <c r="H393">
        <v>5</v>
      </c>
      <c r="I393">
        <v>0</v>
      </c>
      <c r="J393">
        <v>500</v>
      </c>
      <c r="K393" t="s">
        <v>79</v>
      </c>
      <c r="L393">
        <v>3</v>
      </c>
      <c r="M393">
        <v>62.4</v>
      </c>
      <c r="N393">
        <v>0.60000000000000009</v>
      </c>
      <c r="Q393">
        <v>61.8</v>
      </c>
    </row>
    <row r="394" spans="1:17" x14ac:dyDescent="0.25">
      <c r="A394" t="s">
        <v>45</v>
      </c>
      <c r="B394">
        <v>4</v>
      </c>
      <c r="C394" t="s">
        <v>232</v>
      </c>
      <c r="D394" s="39">
        <v>45849</v>
      </c>
      <c r="E394" t="s">
        <v>231</v>
      </c>
      <c r="F394" t="s">
        <v>79</v>
      </c>
      <c r="G394">
        <v>15</v>
      </c>
      <c r="H394">
        <v>6.5</v>
      </c>
      <c r="I394">
        <v>0</v>
      </c>
      <c r="J394">
        <v>400</v>
      </c>
      <c r="K394" t="s">
        <v>79</v>
      </c>
      <c r="L394">
        <v>9</v>
      </c>
      <c r="M394">
        <v>271.78000000000003</v>
      </c>
      <c r="N394">
        <v>17.099999999999998</v>
      </c>
      <c r="Q394">
        <v>254.68000000000004</v>
      </c>
    </row>
    <row r="395" spans="1:17" x14ac:dyDescent="0.25">
      <c r="A395" t="s">
        <v>45</v>
      </c>
      <c r="B395">
        <v>4</v>
      </c>
      <c r="C395" t="s">
        <v>239</v>
      </c>
      <c r="D395" s="39">
        <v>45849</v>
      </c>
      <c r="E395" t="s">
        <v>231</v>
      </c>
      <c r="F395" t="s">
        <v>79</v>
      </c>
      <c r="G395">
        <v>17</v>
      </c>
      <c r="H395">
        <v>5</v>
      </c>
      <c r="I395">
        <v>0</v>
      </c>
      <c r="J395">
        <v>100</v>
      </c>
      <c r="K395" t="s">
        <v>79</v>
      </c>
      <c r="L395">
        <v>4</v>
      </c>
      <c r="M395">
        <v>111.19999999999999</v>
      </c>
      <c r="N395">
        <v>8.8000000000000007</v>
      </c>
      <c r="Q395">
        <v>102.39999999999999</v>
      </c>
    </row>
    <row r="396" spans="1:17" x14ac:dyDescent="0.25">
      <c r="A396" t="s">
        <v>45</v>
      </c>
      <c r="B396">
        <v>4</v>
      </c>
      <c r="C396" t="s">
        <v>240</v>
      </c>
      <c r="D396" s="39">
        <v>45849</v>
      </c>
      <c r="E396" t="s">
        <v>241</v>
      </c>
      <c r="F396" t="s">
        <v>79</v>
      </c>
      <c r="G396">
        <v>18</v>
      </c>
      <c r="H396">
        <v>5</v>
      </c>
      <c r="I396">
        <v>0</v>
      </c>
      <c r="J396">
        <v>200</v>
      </c>
      <c r="K396" t="s">
        <v>79</v>
      </c>
      <c r="L396">
        <v>3</v>
      </c>
      <c r="M396">
        <v>118</v>
      </c>
      <c r="N396">
        <v>6.6000000000000005</v>
      </c>
      <c r="Q396">
        <v>111.4</v>
      </c>
    </row>
    <row r="397" spans="1:17" x14ac:dyDescent="0.25">
      <c r="A397" t="s">
        <v>45</v>
      </c>
      <c r="B397">
        <v>4</v>
      </c>
      <c r="C397" t="s">
        <v>242</v>
      </c>
      <c r="D397" s="39">
        <v>45849</v>
      </c>
      <c r="E397" t="s">
        <v>243</v>
      </c>
      <c r="F397" t="s">
        <v>79</v>
      </c>
      <c r="G397">
        <v>17</v>
      </c>
      <c r="H397" t="s">
        <v>123</v>
      </c>
      <c r="I397" t="s">
        <v>103</v>
      </c>
      <c r="J397">
        <v>80</v>
      </c>
      <c r="K397" t="s">
        <v>79</v>
      </c>
      <c r="L397">
        <v>2</v>
      </c>
      <c r="M397">
        <v>89</v>
      </c>
      <c r="N397">
        <v>4.4000000000000004</v>
      </c>
      <c r="Q397">
        <v>84.6</v>
      </c>
    </row>
    <row r="398" spans="1:17" x14ac:dyDescent="0.25">
      <c r="A398" t="s">
        <v>46</v>
      </c>
      <c r="B398">
        <v>4</v>
      </c>
      <c r="C398" t="s">
        <v>244</v>
      </c>
      <c r="D398" s="39">
        <v>45849</v>
      </c>
      <c r="E398" t="s">
        <v>203</v>
      </c>
      <c r="F398" t="s">
        <v>79</v>
      </c>
      <c r="G398">
        <v>18</v>
      </c>
      <c r="H398">
        <v>4.5</v>
      </c>
      <c r="I398">
        <v>0</v>
      </c>
      <c r="J398">
        <v>100</v>
      </c>
      <c r="K398" t="s">
        <v>79</v>
      </c>
      <c r="L398">
        <v>2</v>
      </c>
      <c r="M398">
        <v>82</v>
      </c>
      <c r="N398">
        <v>4.4000000000000004</v>
      </c>
      <c r="Q398">
        <v>77.599999999999994</v>
      </c>
    </row>
    <row r="399" spans="1:17" x14ac:dyDescent="0.25">
      <c r="A399" t="s">
        <v>46</v>
      </c>
      <c r="B399">
        <v>4</v>
      </c>
      <c r="C399" t="s">
        <v>245</v>
      </c>
      <c r="D399" s="39">
        <v>45849</v>
      </c>
      <c r="E399" t="s">
        <v>203</v>
      </c>
      <c r="F399" t="s">
        <v>79</v>
      </c>
      <c r="G399">
        <v>14</v>
      </c>
      <c r="H399">
        <v>4.5</v>
      </c>
      <c r="I399">
        <v>0</v>
      </c>
      <c r="J399">
        <v>100</v>
      </c>
      <c r="K399" t="s">
        <v>79</v>
      </c>
      <c r="L399">
        <v>3</v>
      </c>
      <c r="M399">
        <v>127.38</v>
      </c>
      <c r="N399">
        <v>5.0999999999999996</v>
      </c>
      <c r="Q399">
        <v>122.28</v>
      </c>
    </row>
    <row r="400" spans="1:17" x14ac:dyDescent="0.25">
      <c r="A400" t="s">
        <v>46</v>
      </c>
      <c r="B400">
        <v>4</v>
      </c>
      <c r="C400" t="s">
        <v>246</v>
      </c>
      <c r="D400" s="39">
        <v>45849</v>
      </c>
      <c r="E400" t="s">
        <v>247</v>
      </c>
      <c r="F400" t="s">
        <v>79</v>
      </c>
      <c r="G400">
        <v>22</v>
      </c>
      <c r="H400" t="s">
        <v>117</v>
      </c>
      <c r="I400" t="s">
        <v>99</v>
      </c>
      <c r="J400">
        <v>165</v>
      </c>
      <c r="K400" t="s">
        <v>79</v>
      </c>
      <c r="L400">
        <v>3</v>
      </c>
      <c r="M400">
        <v>181.60000000000002</v>
      </c>
      <c r="N400">
        <v>8.3999999999999986</v>
      </c>
      <c r="Q400">
        <v>173.20000000000002</v>
      </c>
    </row>
    <row r="401" spans="1:17" x14ac:dyDescent="0.25">
      <c r="A401" t="s">
        <v>46</v>
      </c>
      <c r="B401">
        <v>4</v>
      </c>
      <c r="C401" t="s">
        <v>244</v>
      </c>
      <c r="D401" s="39">
        <v>45849</v>
      </c>
      <c r="E401" t="s">
        <v>203</v>
      </c>
      <c r="F401" t="s">
        <v>79</v>
      </c>
      <c r="G401">
        <v>18</v>
      </c>
      <c r="H401">
        <v>4.5</v>
      </c>
      <c r="I401">
        <v>0</v>
      </c>
      <c r="J401">
        <v>100</v>
      </c>
      <c r="K401" t="s">
        <v>79</v>
      </c>
      <c r="L401">
        <v>2</v>
      </c>
      <c r="M401">
        <v>64.099999999999994</v>
      </c>
      <c r="N401">
        <v>4.2</v>
      </c>
      <c r="Q401">
        <v>59.899999999999991</v>
      </c>
    </row>
    <row r="402" spans="1:17" x14ac:dyDescent="0.25">
      <c r="A402" t="s">
        <v>46</v>
      </c>
      <c r="B402">
        <v>4</v>
      </c>
      <c r="C402" t="s">
        <v>245</v>
      </c>
      <c r="D402" s="39">
        <v>45849</v>
      </c>
      <c r="E402" t="s">
        <v>203</v>
      </c>
      <c r="F402" t="s">
        <v>79</v>
      </c>
      <c r="G402">
        <v>14</v>
      </c>
      <c r="H402">
        <v>4.5</v>
      </c>
      <c r="I402">
        <v>0</v>
      </c>
      <c r="J402">
        <v>100</v>
      </c>
      <c r="K402" t="s">
        <v>79</v>
      </c>
      <c r="L402">
        <v>1</v>
      </c>
      <c r="M402">
        <v>38.869999999999997</v>
      </c>
      <c r="N402">
        <v>1.75</v>
      </c>
      <c r="Q402">
        <v>37.119999999999997</v>
      </c>
    </row>
    <row r="403" spans="1:17" x14ac:dyDescent="0.25">
      <c r="A403" t="s">
        <v>45</v>
      </c>
      <c r="B403">
        <v>4</v>
      </c>
      <c r="C403" t="s">
        <v>248</v>
      </c>
      <c r="D403" s="39">
        <v>45849</v>
      </c>
      <c r="E403" t="s">
        <v>247</v>
      </c>
      <c r="F403" t="s">
        <v>79</v>
      </c>
      <c r="G403">
        <v>22</v>
      </c>
      <c r="H403" t="s">
        <v>117</v>
      </c>
      <c r="I403" t="s">
        <v>99</v>
      </c>
      <c r="J403">
        <v>400</v>
      </c>
      <c r="K403" t="s">
        <v>79</v>
      </c>
      <c r="L403">
        <v>1</v>
      </c>
      <c r="M403">
        <v>67.010000000000005</v>
      </c>
      <c r="N403">
        <v>0.22</v>
      </c>
      <c r="Q403">
        <v>66.790000000000006</v>
      </c>
    </row>
    <row r="404" spans="1:17" x14ac:dyDescent="0.25">
      <c r="A404" t="s">
        <v>45</v>
      </c>
      <c r="B404">
        <v>5</v>
      </c>
      <c r="C404" t="s">
        <v>235</v>
      </c>
      <c r="D404" s="39">
        <v>45849</v>
      </c>
      <c r="E404" t="s">
        <v>231</v>
      </c>
      <c r="F404" t="s">
        <v>79</v>
      </c>
      <c r="G404">
        <v>13</v>
      </c>
      <c r="H404">
        <v>6.5</v>
      </c>
      <c r="I404">
        <v>0</v>
      </c>
      <c r="J404">
        <v>400</v>
      </c>
      <c r="K404" t="s">
        <v>79</v>
      </c>
      <c r="L404">
        <v>13</v>
      </c>
      <c r="M404">
        <v>389.26999999999992</v>
      </c>
      <c r="N404">
        <v>21.45</v>
      </c>
      <c r="Q404">
        <v>367.81999999999994</v>
      </c>
    </row>
    <row r="405" spans="1:17" x14ac:dyDescent="0.25">
      <c r="A405" t="s">
        <v>46</v>
      </c>
      <c r="B405">
        <v>5</v>
      </c>
      <c r="C405" t="s">
        <v>249</v>
      </c>
      <c r="D405" s="39">
        <v>45849</v>
      </c>
      <c r="E405" t="s">
        <v>203</v>
      </c>
      <c r="F405" t="s">
        <v>79</v>
      </c>
      <c r="G405">
        <v>9</v>
      </c>
      <c r="H405">
        <v>4.5</v>
      </c>
      <c r="I405">
        <v>0</v>
      </c>
      <c r="J405">
        <v>100</v>
      </c>
      <c r="K405" t="s">
        <v>79</v>
      </c>
      <c r="L405">
        <v>3</v>
      </c>
      <c r="M405">
        <v>68.400000000000006</v>
      </c>
      <c r="N405">
        <v>2.7</v>
      </c>
      <c r="Q405">
        <v>65.7</v>
      </c>
    </row>
    <row r="406" spans="1:17" x14ac:dyDescent="0.25">
      <c r="A406" t="s">
        <v>46</v>
      </c>
      <c r="B406">
        <v>5</v>
      </c>
      <c r="C406" t="s">
        <v>249</v>
      </c>
      <c r="D406" s="39">
        <v>45849</v>
      </c>
      <c r="E406" t="s">
        <v>203</v>
      </c>
      <c r="F406" t="s">
        <v>79</v>
      </c>
      <c r="G406">
        <v>9</v>
      </c>
      <c r="H406">
        <v>4.5</v>
      </c>
      <c r="I406">
        <v>0</v>
      </c>
      <c r="J406">
        <v>100</v>
      </c>
      <c r="K406" t="s">
        <v>79</v>
      </c>
      <c r="L406">
        <v>1</v>
      </c>
      <c r="M406">
        <v>17.600000000000001</v>
      </c>
      <c r="N406">
        <v>1.1499999999999999</v>
      </c>
      <c r="Q406">
        <v>16.450000000000003</v>
      </c>
    </row>
    <row r="407" spans="1:17" x14ac:dyDescent="0.25">
      <c r="A407" t="s">
        <v>46</v>
      </c>
      <c r="B407">
        <v>5</v>
      </c>
      <c r="C407" t="s">
        <v>249</v>
      </c>
      <c r="D407" s="39">
        <v>45849</v>
      </c>
      <c r="E407" t="s">
        <v>203</v>
      </c>
      <c r="F407" t="s">
        <v>79</v>
      </c>
      <c r="G407">
        <v>9</v>
      </c>
      <c r="H407">
        <v>4.5</v>
      </c>
      <c r="I407">
        <v>0</v>
      </c>
      <c r="J407">
        <v>100</v>
      </c>
      <c r="K407" t="s">
        <v>79</v>
      </c>
      <c r="L407">
        <v>2</v>
      </c>
      <c r="M407">
        <v>61.7</v>
      </c>
      <c r="N407">
        <v>2.3499999999999996</v>
      </c>
      <c r="Q407">
        <v>59.35</v>
      </c>
    </row>
    <row r="408" spans="1:17" x14ac:dyDescent="0.25">
      <c r="A408" t="s">
        <v>46</v>
      </c>
      <c r="B408">
        <v>5</v>
      </c>
      <c r="C408" t="s">
        <v>250</v>
      </c>
      <c r="D408" s="39">
        <v>45849</v>
      </c>
      <c r="E408" t="s">
        <v>212</v>
      </c>
      <c r="F408" t="s">
        <v>79</v>
      </c>
      <c r="G408">
        <v>9</v>
      </c>
      <c r="H408">
        <v>6</v>
      </c>
      <c r="I408">
        <v>0</v>
      </c>
      <c r="J408">
        <v>50</v>
      </c>
      <c r="K408" t="s">
        <v>79</v>
      </c>
      <c r="L408">
        <v>2</v>
      </c>
      <c r="M408">
        <v>54.370000000000005</v>
      </c>
      <c r="N408">
        <v>2.5</v>
      </c>
      <c r="Q408">
        <v>51.870000000000005</v>
      </c>
    </row>
    <row r="409" spans="1:17" x14ac:dyDescent="0.25">
      <c r="A409" t="s">
        <v>46</v>
      </c>
      <c r="B409">
        <v>5</v>
      </c>
      <c r="C409" t="s">
        <v>251</v>
      </c>
      <c r="D409" s="39">
        <v>45849</v>
      </c>
      <c r="E409" t="s">
        <v>203</v>
      </c>
      <c r="F409" t="s">
        <v>79</v>
      </c>
      <c r="G409">
        <v>12</v>
      </c>
      <c r="H409">
        <v>4.5</v>
      </c>
      <c r="I409">
        <v>0</v>
      </c>
      <c r="J409">
        <v>300</v>
      </c>
      <c r="K409" t="s">
        <v>79</v>
      </c>
      <c r="L409">
        <v>6</v>
      </c>
      <c r="M409">
        <v>247.40000000000003</v>
      </c>
      <c r="N409">
        <v>9</v>
      </c>
      <c r="Q409">
        <v>238.40000000000003</v>
      </c>
    </row>
    <row r="410" spans="1:17" x14ac:dyDescent="0.25">
      <c r="A410" t="s">
        <v>45</v>
      </c>
      <c r="B410">
        <v>1</v>
      </c>
      <c r="C410" t="s">
        <v>100</v>
      </c>
      <c r="D410" s="39">
        <v>45850</v>
      </c>
      <c r="E410" t="s">
        <v>194</v>
      </c>
      <c r="F410" t="s">
        <v>79</v>
      </c>
      <c r="G410">
        <v>2.5</v>
      </c>
      <c r="H410" t="s">
        <v>92</v>
      </c>
      <c r="I410">
        <v>0</v>
      </c>
      <c r="J410" t="s">
        <v>81</v>
      </c>
      <c r="K410" t="s">
        <v>79</v>
      </c>
      <c r="L410">
        <v>4</v>
      </c>
      <c r="M410">
        <v>43.78</v>
      </c>
      <c r="N410">
        <v>0.4</v>
      </c>
      <c r="O410">
        <v>31</v>
      </c>
      <c r="Q410">
        <v>43.38</v>
      </c>
    </row>
    <row r="411" spans="1:17" x14ac:dyDescent="0.25">
      <c r="A411" t="s">
        <v>45</v>
      </c>
      <c r="B411">
        <v>1</v>
      </c>
      <c r="C411" t="s">
        <v>110</v>
      </c>
      <c r="D411" s="39">
        <v>45850</v>
      </c>
      <c r="E411" t="s">
        <v>194</v>
      </c>
      <c r="F411" t="s">
        <v>79</v>
      </c>
      <c r="G411">
        <v>3.5</v>
      </c>
      <c r="H411" t="s">
        <v>92</v>
      </c>
      <c r="I411">
        <v>0</v>
      </c>
      <c r="J411" t="s">
        <v>81</v>
      </c>
      <c r="K411" t="s">
        <v>79</v>
      </c>
      <c r="L411">
        <v>1</v>
      </c>
      <c r="M411">
        <v>13.05</v>
      </c>
      <c r="N411">
        <v>0.35</v>
      </c>
      <c r="Q411">
        <v>12.700000000000001</v>
      </c>
    </row>
    <row r="412" spans="1:17" x14ac:dyDescent="0.25">
      <c r="A412" t="s">
        <v>46</v>
      </c>
      <c r="B412">
        <v>1</v>
      </c>
      <c r="C412" t="s">
        <v>110</v>
      </c>
      <c r="D412" s="39">
        <v>45850</v>
      </c>
      <c r="E412" t="s">
        <v>194</v>
      </c>
      <c r="F412" t="s">
        <v>79</v>
      </c>
      <c r="G412">
        <v>3.5</v>
      </c>
      <c r="H412" t="s">
        <v>92</v>
      </c>
      <c r="I412">
        <v>0</v>
      </c>
      <c r="J412" t="s">
        <v>81</v>
      </c>
      <c r="K412" t="s">
        <v>79</v>
      </c>
      <c r="L412">
        <v>3</v>
      </c>
      <c r="M412">
        <v>76.14</v>
      </c>
      <c r="N412">
        <v>1.0499999999999998</v>
      </c>
      <c r="O412">
        <v>30</v>
      </c>
      <c r="Q412">
        <v>75.09</v>
      </c>
    </row>
    <row r="413" spans="1:17" x14ac:dyDescent="0.25">
      <c r="A413" t="s">
        <v>45</v>
      </c>
      <c r="B413">
        <v>2</v>
      </c>
      <c r="C413" t="s">
        <v>224</v>
      </c>
      <c r="D413" s="39">
        <v>45850</v>
      </c>
      <c r="E413" t="s">
        <v>217</v>
      </c>
      <c r="F413" t="s">
        <v>79</v>
      </c>
      <c r="G413">
        <v>3</v>
      </c>
      <c r="H413">
        <v>5.5</v>
      </c>
      <c r="I413">
        <v>0</v>
      </c>
      <c r="J413">
        <v>150</v>
      </c>
      <c r="K413" t="s">
        <v>79</v>
      </c>
      <c r="L413">
        <v>6</v>
      </c>
      <c r="M413">
        <v>73.2</v>
      </c>
      <c r="N413">
        <v>3.92</v>
      </c>
      <c r="Q413">
        <v>69.28</v>
      </c>
    </row>
    <row r="414" spans="1:17" x14ac:dyDescent="0.25">
      <c r="A414" t="s">
        <v>46</v>
      </c>
      <c r="B414">
        <v>2</v>
      </c>
      <c r="C414" t="s">
        <v>224</v>
      </c>
      <c r="D414" s="39">
        <v>45850</v>
      </c>
      <c r="E414" t="s">
        <v>217</v>
      </c>
      <c r="F414" t="s">
        <v>79</v>
      </c>
      <c r="G414">
        <v>3</v>
      </c>
      <c r="H414">
        <v>5.5</v>
      </c>
      <c r="I414">
        <v>0</v>
      </c>
      <c r="J414">
        <v>150</v>
      </c>
      <c r="K414" t="s">
        <v>79</v>
      </c>
      <c r="L414">
        <v>5</v>
      </c>
      <c r="M414">
        <v>68.099999999999994</v>
      </c>
      <c r="N414">
        <v>1.75</v>
      </c>
      <c r="Q414">
        <v>66.349999999999994</v>
      </c>
    </row>
    <row r="415" spans="1:17" x14ac:dyDescent="0.25">
      <c r="A415" t="s">
        <v>45</v>
      </c>
      <c r="B415">
        <v>4</v>
      </c>
      <c r="C415" t="s">
        <v>248</v>
      </c>
      <c r="D415" s="39">
        <v>45850</v>
      </c>
      <c r="E415" t="s">
        <v>247</v>
      </c>
      <c r="F415" t="s">
        <v>79</v>
      </c>
      <c r="G415">
        <v>22</v>
      </c>
      <c r="H415" t="s">
        <v>117</v>
      </c>
      <c r="I415" t="s">
        <v>99</v>
      </c>
      <c r="J415">
        <v>400</v>
      </c>
      <c r="K415" t="s">
        <v>79</v>
      </c>
      <c r="L415">
        <v>3</v>
      </c>
      <c r="M415">
        <v>125.8</v>
      </c>
      <c r="N415">
        <v>8.3999999999999986</v>
      </c>
      <c r="Q415">
        <v>117.4</v>
      </c>
    </row>
    <row r="416" spans="1:17" x14ac:dyDescent="0.25">
      <c r="A416" t="s">
        <v>45</v>
      </c>
      <c r="B416">
        <v>4</v>
      </c>
      <c r="C416" t="s">
        <v>252</v>
      </c>
      <c r="D416" s="39">
        <v>45850</v>
      </c>
      <c r="E416" t="s">
        <v>253</v>
      </c>
      <c r="F416" t="s">
        <v>79</v>
      </c>
      <c r="G416">
        <v>14</v>
      </c>
      <c r="H416" t="s">
        <v>116</v>
      </c>
      <c r="I416" t="s">
        <v>99</v>
      </c>
      <c r="J416">
        <v>1000</v>
      </c>
      <c r="K416" t="s">
        <v>79</v>
      </c>
      <c r="L416">
        <v>5</v>
      </c>
      <c r="M416">
        <v>181.89999999999998</v>
      </c>
      <c r="N416">
        <v>8.5</v>
      </c>
      <c r="Q416">
        <v>173.39999999999998</v>
      </c>
    </row>
    <row r="417" spans="1:17" x14ac:dyDescent="0.25">
      <c r="A417" t="s">
        <v>45</v>
      </c>
      <c r="B417">
        <v>4</v>
      </c>
      <c r="C417" t="s">
        <v>95</v>
      </c>
      <c r="D417" s="39">
        <v>45850</v>
      </c>
      <c r="E417" t="s">
        <v>194</v>
      </c>
      <c r="F417" t="s">
        <v>79</v>
      </c>
      <c r="G417">
        <v>14</v>
      </c>
      <c r="H417">
        <v>5</v>
      </c>
      <c r="I417">
        <v>0</v>
      </c>
      <c r="J417" t="s">
        <v>81</v>
      </c>
      <c r="K417" t="s">
        <v>79</v>
      </c>
      <c r="L417">
        <v>2</v>
      </c>
      <c r="M417">
        <v>63.1</v>
      </c>
      <c r="N417">
        <v>0.28000000000000003</v>
      </c>
      <c r="Q417">
        <v>62.82</v>
      </c>
    </row>
    <row r="418" spans="1:17" x14ac:dyDescent="0.25">
      <c r="A418" t="s">
        <v>46</v>
      </c>
      <c r="B418">
        <v>4</v>
      </c>
      <c r="C418" t="s">
        <v>252</v>
      </c>
      <c r="D418" s="39">
        <v>45850</v>
      </c>
      <c r="E418" t="s">
        <v>253</v>
      </c>
      <c r="F418" t="s">
        <v>79</v>
      </c>
      <c r="G418">
        <v>14</v>
      </c>
      <c r="H418" t="s">
        <v>116</v>
      </c>
      <c r="I418" t="s">
        <v>99</v>
      </c>
      <c r="J418">
        <v>1000</v>
      </c>
      <c r="K418" t="s">
        <v>79</v>
      </c>
      <c r="L418">
        <v>11</v>
      </c>
      <c r="M418">
        <v>527.38</v>
      </c>
      <c r="N418">
        <v>17.199999999999996</v>
      </c>
      <c r="Q418">
        <v>510.18</v>
      </c>
    </row>
    <row r="419" spans="1:17" x14ac:dyDescent="0.25">
      <c r="A419" t="s">
        <v>45</v>
      </c>
      <c r="B419">
        <v>5</v>
      </c>
      <c r="C419" t="s">
        <v>251</v>
      </c>
      <c r="D419" s="39">
        <v>45850</v>
      </c>
      <c r="E419" t="s">
        <v>203</v>
      </c>
      <c r="F419" t="s">
        <v>79</v>
      </c>
      <c r="G419">
        <v>12</v>
      </c>
      <c r="H419">
        <v>4.5</v>
      </c>
      <c r="I419">
        <v>0</v>
      </c>
      <c r="J419">
        <v>300</v>
      </c>
      <c r="K419" t="s">
        <v>79</v>
      </c>
      <c r="L419">
        <v>3</v>
      </c>
      <c r="M419">
        <v>94.899999999999991</v>
      </c>
      <c r="N419">
        <v>0.36</v>
      </c>
      <c r="Q419">
        <v>94.539999999999992</v>
      </c>
    </row>
    <row r="420" spans="1:17" x14ac:dyDescent="0.25">
      <c r="A420" t="s">
        <v>45</v>
      </c>
      <c r="B420">
        <v>5</v>
      </c>
      <c r="C420" t="s">
        <v>254</v>
      </c>
      <c r="D420" s="39">
        <v>45850</v>
      </c>
      <c r="E420" t="s">
        <v>255</v>
      </c>
      <c r="F420" t="s">
        <v>79</v>
      </c>
      <c r="G420">
        <v>18</v>
      </c>
      <c r="H420">
        <v>5</v>
      </c>
      <c r="I420">
        <v>0</v>
      </c>
      <c r="J420">
        <v>50</v>
      </c>
      <c r="K420" t="s">
        <v>79</v>
      </c>
      <c r="L420">
        <v>6</v>
      </c>
      <c r="M420">
        <v>167.39999999999998</v>
      </c>
      <c r="Q420">
        <v>167.39999999999998</v>
      </c>
    </row>
    <row r="421" spans="1:17" x14ac:dyDescent="0.25">
      <c r="A421" t="s">
        <v>46</v>
      </c>
      <c r="B421">
        <v>5</v>
      </c>
      <c r="C421" t="s">
        <v>256</v>
      </c>
      <c r="D421" s="39">
        <v>45850</v>
      </c>
      <c r="E421" t="s">
        <v>231</v>
      </c>
      <c r="F421" t="s">
        <v>79</v>
      </c>
      <c r="G421">
        <v>7</v>
      </c>
      <c r="H421">
        <v>5</v>
      </c>
      <c r="I421">
        <v>0</v>
      </c>
      <c r="J421">
        <v>100</v>
      </c>
      <c r="K421" t="s">
        <v>79</v>
      </c>
      <c r="L421">
        <v>3</v>
      </c>
      <c r="M421">
        <v>63.399999999999991</v>
      </c>
      <c r="N421">
        <v>2.4000000000000004</v>
      </c>
      <c r="Q421">
        <v>60.999999999999993</v>
      </c>
    </row>
    <row r="422" spans="1:17" x14ac:dyDescent="0.25">
      <c r="A422" t="s">
        <v>46</v>
      </c>
      <c r="B422">
        <v>5</v>
      </c>
      <c r="C422" t="s">
        <v>256</v>
      </c>
      <c r="D422" s="39">
        <v>45850</v>
      </c>
      <c r="E422" t="s">
        <v>231</v>
      </c>
      <c r="F422" t="s">
        <v>79</v>
      </c>
      <c r="G422">
        <v>7</v>
      </c>
      <c r="H422">
        <v>5</v>
      </c>
      <c r="I422">
        <v>0</v>
      </c>
      <c r="J422">
        <v>100</v>
      </c>
      <c r="K422" t="s">
        <v>79</v>
      </c>
      <c r="L422">
        <v>4</v>
      </c>
      <c r="M422">
        <v>105.19999999999999</v>
      </c>
      <c r="N422">
        <v>3.2</v>
      </c>
      <c r="Q422">
        <v>101.99999999999999</v>
      </c>
    </row>
    <row r="423" spans="1:17" x14ac:dyDescent="0.25">
      <c r="A423" t="s">
        <v>46</v>
      </c>
      <c r="B423">
        <v>5</v>
      </c>
      <c r="C423" t="s">
        <v>257</v>
      </c>
      <c r="D423" s="39">
        <v>45850</v>
      </c>
      <c r="E423" t="s">
        <v>203</v>
      </c>
      <c r="F423" t="s">
        <v>79</v>
      </c>
      <c r="G423">
        <v>7</v>
      </c>
      <c r="H423">
        <v>4.5</v>
      </c>
      <c r="I423">
        <v>0</v>
      </c>
      <c r="J423">
        <v>50</v>
      </c>
      <c r="K423" t="s">
        <v>79</v>
      </c>
      <c r="L423">
        <v>1</v>
      </c>
      <c r="M423">
        <v>24.9</v>
      </c>
      <c r="N423">
        <v>0.8</v>
      </c>
      <c r="Q423">
        <v>24.099999999999998</v>
      </c>
    </row>
    <row r="424" spans="1:17" x14ac:dyDescent="0.25">
      <c r="A424" t="s">
        <v>45</v>
      </c>
      <c r="B424">
        <v>1</v>
      </c>
      <c r="C424" t="s">
        <v>110</v>
      </c>
      <c r="D424" s="39">
        <v>45852</v>
      </c>
      <c r="E424" t="s">
        <v>194</v>
      </c>
      <c r="F424" t="s">
        <v>79</v>
      </c>
      <c r="G424">
        <v>3.5</v>
      </c>
      <c r="H424" t="s">
        <v>92</v>
      </c>
      <c r="I424">
        <v>0</v>
      </c>
      <c r="J424" t="s">
        <v>81</v>
      </c>
      <c r="K424" t="s">
        <v>79</v>
      </c>
      <c r="L424">
        <v>4</v>
      </c>
      <c r="M424">
        <v>86.36</v>
      </c>
      <c r="N424">
        <v>1.2</v>
      </c>
      <c r="O424">
        <v>32</v>
      </c>
      <c r="Q424">
        <v>85.16</v>
      </c>
    </row>
    <row r="425" spans="1:17" x14ac:dyDescent="0.25">
      <c r="A425" t="s">
        <v>46</v>
      </c>
      <c r="B425">
        <v>1</v>
      </c>
      <c r="C425" t="s">
        <v>110</v>
      </c>
      <c r="D425" s="39">
        <v>45852</v>
      </c>
      <c r="E425" t="s">
        <v>194</v>
      </c>
      <c r="F425" t="s">
        <v>79</v>
      </c>
      <c r="G425">
        <v>3.5</v>
      </c>
      <c r="H425" t="s">
        <v>92</v>
      </c>
      <c r="I425">
        <v>0</v>
      </c>
      <c r="J425" t="s">
        <v>81</v>
      </c>
      <c r="K425" t="s">
        <v>79</v>
      </c>
      <c r="L425">
        <v>7</v>
      </c>
      <c r="M425">
        <v>116.22999999999999</v>
      </c>
      <c r="N425">
        <v>2.1</v>
      </c>
      <c r="O425">
        <v>27.5</v>
      </c>
      <c r="Q425">
        <v>114.13</v>
      </c>
    </row>
    <row r="426" spans="1:17" x14ac:dyDescent="0.25">
      <c r="A426" t="s">
        <v>46</v>
      </c>
      <c r="B426">
        <v>1</v>
      </c>
      <c r="C426" t="s">
        <v>258</v>
      </c>
      <c r="D426" s="39">
        <v>45852</v>
      </c>
      <c r="E426" t="s">
        <v>259</v>
      </c>
      <c r="F426" t="s">
        <v>79</v>
      </c>
      <c r="G426">
        <v>4</v>
      </c>
      <c r="H426">
        <v>5</v>
      </c>
      <c r="I426">
        <v>0</v>
      </c>
      <c r="J426">
        <v>2000</v>
      </c>
      <c r="K426" t="s">
        <v>79</v>
      </c>
      <c r="L426">
        <v>2</v>
      </c>
      <c r="M426">
        <v>28.200000000000003</v>
      </c>
      <c r="N426">
        <v>0.8</v>
      </c>
      <c r="Q426">
        <v>27.400000000000002</v>
      </c>
    </row>
    <row r="427" spans="1:17" x14ac:dyDescent="0.25">
      <c r="A427" t="s">
        <v>45</v>
      </c>
      <c r="B427">
        <v>2</v>
      </c>
      <c r="C427" t="s">
        <v>110</v>
      </c>
      <c r="D427" s="39">
        <v>45852</v>
      </c>
      <c r="E427" t="s">
        <v>194</v>
      </c>
      <c r="F427" t="s">
        <v>79</v>
      </c>
      <c r="G427">
        <v>3.5</v>
      </c>
      <c r="H427" t="s">
        <v>92</v>
      </c>
      <c r="I427">
        <v>0</v>
      </c>
      <c r="J427" t="s">
        <v>81</v>
      </c>
      <c r="K427" t="s">
        <v>79</v>
      </c>
      <c r="L427">
        <v>6</v>
      </c>
      <c r="M427">
        <v>83.864999999999995</v>
      </c>
      <c r="N427">
        <v>1.7999999999999998</v>
      </c>
      <c r="Q427">
        <v>82.064999999999998</v>
      </c>
    </row>
    <row r="428" spans="1:17" x14ac:dyDescent="0.25">
      <c r="A428" t="s">
        <v>46</v>
      </c>
      <c r="B428">
        <v>2</v>
      </c>
      <c r="C428" t="s">
        <v>110</v>
      </c>
      <c r="D428" s="39">
        <v>45852</v>
      </c>
      <c r="E428" t="s">
        <v>194</v>
      </c>
      <c r="F428" t="s">
        <v>79</v>
      </c>
      <c r="G428">
        <v>3.5</v>
      </c>
      <c r="H428" t="s">
        <v>92</v>
      </c>
      <c r="I428">
        <v>0</v>
      </c>
      <c r="J428" t="s">
        <v>81</v>
      </c>
      <c r="K428" t="s">
        <v>79</v>
      </c>
      <c r="L428">
        <v>2</v>
      </c>
      <c r="M428">
        <v>20.630000000000003</v>
      </c>
      <c r="N428">
        <v>0.6</v>
      </c>
      <c r="Q428">
        <v>20.03</v>
      </c>
    </row>
    <row r="429" spans="1:17" x14ac:dyDescent="0.25">
      <c r="A429" t="s">
        <v>46</v>
      </c>
      <c r="B429">
        <v>2</v>
      </c>
      <c r="C429" t="s">
        <v>82</v>
      </c>
      <c r="D429" s="39">
        <v>45852</v>
      </c>
      <c r="E429" t="s">
        <v>194</v>
      </c>
      <c r="F429" t="s">
        <v>79</v>
      </c>
      <c r="G429">
        <v>2</v>
      </c>
      <c r="H429" t="s">
        <v>92</v>
      </c>
      <c r="I429">
        <v>0</v>
      </c>
      <c r="J429" t="s">
        <v>81</v>
      </c>
      <c r="K429" t="s">
        <v>79</v>
      </c>
      <c r="L429">
        <v>5</v>
      </c>
      <c r="M429">
        <v>67.699999999999989</v>
      </c>
      <c r="N429">
        <v>1</v>
      </c>
      <c r="Q429">
        <v>66.699999999999989</v>
      </c>
    </row>
    <row r="430" spans="1:17" x14ac:dyDescent="0.25">
      <c r="A430" t="s">
        <v>45</v>
      </c>
      <c r="B430">
        <v>3</v>
      </c>
      <c r="C430" t="s">
        <v>260</v>
      </c>
      <c r="D430" s="39">
        <v>45852</v>
      </c>
      <c r="E430" t="s">
        <v>259</v>
      </c>
      <c r="F430" t="s">
        <v>79</v>
      </c>
      <c r="G430">
        <v>7</v>
      </c>
      <c r="H430">
        <v>5</v>
      </c>
      <c r="I430">
        <v>0</v>
      </c>
      <c r="J430">
        <v>6000</v>
      </c>
      <c r="K430" t="s">
        <v>79</v>
      </c>
      <c r="L430">
        <v>3</v>
      </c>
      <c r="M430">
        <v>101.89999999999999</v>
      </c>
      <c r="N430">
        <v>2.5</v>
      </c>
      <c r="Q430">
        <v>99.399999999999991</v>
      </c>
    </row>
    <row r="431" spans="1:17" x14ac:dyDescent="0.25">
      <c r="A431" t="s">
        <v>46</v>
      </c>
      <c r="B431">
        <v>3</v>
      </c>
      <c r="C431" t="s">
        <v>260</v>
      </c>
      <c r="D431" s="39">
        <v>45852</v>
      </c>
      <c r="E431" t="s">
        <v>259</v>
      </c>
      <c r="F431" t="s">
        <v>79</v>
      </c>
      <c r="G431">
        <v>7</v>
      </c>
      <c r="H431">
        <v>5</v>
      </c>
      <c r="I431">
        <v>0</v>
      </c>
      <c r="J431">
        <v>6000</v>
      </c>
      <c r="K431" t="s">
        <v>79</v>
      </c>
      <c r="L431">
        <v>7</v>
      </c>
      <c r="M431">
        <v>225.20000000000002</v>
      </c>
      <c r="N431">
        <v>14</v>
      </c>
      <c r="Q431">
        <v>211.20000000000002</v>
      </c>
    </row>
    <row r="432" spans="1:17" x14ac:dyDescent="0.25">
      <c r="A432" t="s">
        <v>46</v>
      </c>
      <c r="B432">
        <v>3</v>
      </c>
      <c r="C432" t="s">
        <v>88</v>
      </c>
      <c r="D432" s="39">
        <v>45852</v>
      </c>
      <c r="E432" t="s">
        <v>194</v>
      </c>
      <c r="F432" t="s">
        <v>79</v>
      </c>
      <c r="G432">
        <v>10</v>
      </c>
      <c r="H432">
        <v>5</v>
      </c>
      <c r="I432">
        <v>0</v>
      </c>
      <c r="J432" t="s">
        <v>81</v>
      </c>
      <c r="K432" t="s">
        <v>79</v>
      </c>
      <c r="L432">
        <v>2</v>
      </c>
      <c r="M432">
        <v>48.099999999999994</v>
      </c>
      <c r="N432">
        <v>5.6</v>
      </c>
      <c r="Q432">
        <v>42.499999999999993</v>
      </c>
    </row>
    <row r="433" spans="1:17" x14ac:dyDescent="0.25">
      <c r="A433" t="s">
        <v>45</v>
      </c>
      <c r="B433">
        <v>5</v>
      </c>
      <c r="C433" t="s">
        <v>85</v>
      </c>
      <c r="D433" s="39">
        <v>45852</v>
      </c>
      <c r="E433" t="s">
        <v>194</v>
      </c>
      <c r="F433" t="s">
        <v>79</v>
      </c>
      <c r="G433">
        <v>12</v>
      </c>
      <c r="H433">
        <v>5</v>
      </c>
      <c r="I433">
        <v>0</v>
      </c>
      <c r="J433" t="s">
        <v>81</v>
      </c>
      <c r="K433" t="s">
        <v>79</v>
      </c>
      <c r="L433">
        <v>5</v>
      </c>
      <c r="M433">
        <v>209.4</v>
      </c>
      <c r="N433">
        <v>7.5</v>
      </c>
      <c r="Q433">
        <v>201.9</v>
      </c>
    </row>
    <row r="434" spans="1:17" x14ac:dyDescent="0.25">
      <c r="A434" t="s">
        <v>46</v>
      </c>
      <c r="B434">
        <v>5</v>
      </c>
      <c r="C434" t="s">
        <v>85</v>
      </c>
      <c r="D434" s="39">
        <v>45852</v>
      </c>
      <c r="E434" t="s">
        <v>194</v>
      </c>
      <c r="F434" t="s">
        <v>79</v>
      </c>
      <c r="G434">
        <v>12</v>
      </c>
      <c r="H434">
        <v>5</v>
      </c>
      <c r="I434">
        <v>0</v>
      </c>
      <c r="J434" t="s">
        <v>81</v>
      </c>
      <c r="K434" t="s">
        <v>79</v>
      </c>
      <c r="L434">
        <v>10</v>
      </c>
      <c r="M434">
        <v>424.50000000000006</v>
      </c>
      <c r="N434">
        <v>15</v>
      </c>
      <c r="Q434">
        <v>409.50000000000006</v>
      </c>
    </row>
    <row r="435" spans="1:17" x14ac:dyDescent="0.25">
      <c r="A435" t="s">
        <v>45</v>
      </c>
      <c r="B435">
        <v>1</v>
      </c>
      <c r="C435" t="s">
        <v>258</v>
      </c>
      <c r="D435" s="39">
        <v>45853</v>
      </c>
      <c r="E435" t="s">
        <v>259</v>
      </c>
      <c r="F435" t="s">
        <v>79</v>
      </c>
      <c r="G435">
        <v>4</v>
      </c>
      <c r="H435">
        <v>5</v>
      </c>
      <c r="I435">
        <v>0</v>
      </c>
      <c r="J435">
        <v>2000</v>
      </c>
      <c r="K435" t="s">
        <v>79</v>
      </c>
      <c r="L435">
        <v>9</v>
      </c>
      <c r="M435">
        <v>164.6</v>
      </c>
      <c r="N435">
        <v>3.6</v>
      </c>
      <c r="O435">
        <v>17.3</v>
      </c>
      <c r="Q435">
        <v>161</v>
      </c>
    </row>
    <row r="436" spans="1:17" x14ac:dyDescent="0.25">
      <c r="A436" t="s">
        <v>46</v>
      </c>
      <c r="B436">
        <v>1</v>
      </c>
      <c r="C436" t="s">
        <v>258</v>
      </c>
      <c r="D436" s="39">
        <v>45853</v>
      </c>
      <c r="E436" t="s">
        <v>259</v>
      </c>
      <c r="F436" t="s">
        <v>79</v>
      </c>
      <c r="G436">
        <v>4</v>
      </c>
      <c r="H436">
        <v>5</v>
      </c>
      <c r="I436">
        <v>0</v>
      </c>
      <c r="J436">
        <v>2000</v>
      </c>
      <c r="K436" t="s">
        <v>79</v>
      </c>
      <c r="L436">
        <v>10</v>
      </c>
      <c r="M436">
        <v>183.60000000000002</v>
      </c>
      <c r="N436">
        <v>4</v>
      </c>
      <c r="O436">
        <v>30.5</v>
      </c>
      <c r="Q436">
        <v>179.60000000000002</v>
      </c>
    </row>
    <row r="437" spans="1:17" x14ac:dyDescent="0.25">
      <c r="A437" t="s">
        <v>45</v>
      </c>
      <c r="B437">
        <v>2</v>
      </c>
      <c r="C437" t="s">
        <v>82</v>
      </c>
      <c r="D437" s="39">
        <v>45853</v>
      </c>
      <c r="E437" t="s">
        <v>194</v>
      </c>
      <c r="F437" t="s">
        <v>79</v>
      </c>
      <c r="G437">
        <v>2</v>
      </c>
      <c r="H437" t="s">
        <v>92</v>
      </c>
      <c r="I437">
        <v>0</v>
      </c>
      <c r="J437" t="s">
        <v>81</v>
      </c>
      <c r="K437" t="s">
        <v>79</v>
      </c>
      <c r="L437">
        <v>4</v>
      </c>
      <c r="M437">
        <v>83.7</v>
      </c>
      <c r="N437">
        <v>0.8</v>
      </c>
      <c r="Q437">
        <v>82.9</v>
      </c>
    </row>
    <row r="438" spans="1:17" x14ac:dyDescent="0.25">
      <c r="A438" t="s">
        <v>46</v>
      </c>
      <c r="B438">
        <v>2</v>
      </c>
      <c r="C438" t="s">
        <v>82</v>
      </c>
      <c r="D438" s="39">
        <v>45853</v>
      </c>
      <c r="E438" t="s">
        <v>194</v>
      </c>
      <c r="F438" t="s">
        <v>79</v>
      </c>
      <c r="G438">
        <v>2</v>
      </c>
      <c r="H438" t="s">
        <v>92</v>
      </c>
      <c r="I438">
        <v>0</v>
      </c>
      <c r="J438" t="s">
        <v>81</v>
      </c>
      <c r="K438" t="s">
        <v>79</v>
      </c>
      <c r="L438">
        <v>6</v>
      </c>
      <c r="M438">
        <v>109.5</v>
      </c>
      <c r="N438">
        <v>1.2000000000000002</v>
      </c>
      <c r="Q438">
        <v>108.3</v>
      </c>
    </row>
    <row r="439" spans="1:17" x14ac:dyDescent="0.25">
      <c r="A439" t="s">
        <v>45</v>
      </c>
      <c r="B439">
        <v>3</v>
      </c>
      <c r="C439" t="s">
        <v>88</v>
      </c>
      <c r="D439" s="39">
        <v>45853</v>
      </c>
      <c r="E439" t="s">
        <v>194</v>
      </c>
      <c r="F439" t="s">
        <v>79</v>
      </c>
      <c r="G439">
        <v>10</v>
      </c>
      <c r="H439">
        <v>5</v>
      </c>
      <c r="I439">
        <v>0</v>
      </c>
      <c r="J439" t="s">
        <v>81</v>
      </c>
      <c r="K439" t="s">
        <v>79</v>
      </c>
      <c r="L439">
        <v>2</v>
      </c>
      <c r="M439">
        <v>41.900000000000006</v>
      </c>
      <c r="N439">
        <v>2.4</v>
      </c>
      <c r="Q439">
        <v>39.500000000000007</v>
      </c>
    </row>
    <row r="440" spans="1:17" x14ac:dyDescent="0.25">
      <c r="A440" t="s">
        <v>45</v>
      </c>
      <c r="B440">
        <v>3</v>
      </c>
      <c r="C440" t="s">
        <v>261</v>
      </c>
      <c r="D440" s="39">
        <v>45853</v>
      </c>
      <c r="E440" t="s">
        <v>262</v>
      </c>
      <c r="F440" t="s">
        <v>79</v>
      </c>
      <c r="G440">
        <v>10</v>
      </c>
      <c r="H440">
        <v>8</v>
      </c>
      <c r="I440">
        <v>0</v>
      </c>
      <c r="J440">
        <v>50</v>
      </c>
      <c r="K440" t="s">
        <v>79</v>
      </c>
      <c r="L440">
        <v>2</v>
      </c>
      <c r="M440">
        <v>54.7</v>
      </c>
      <c r="N440">
        <v>2.5</v>
      </c>
      <c r="Q440">
        <v>52.2</v>
      </c>
    </row>
    <row r="441" spans="1:17" x14ac:dyDescent="0.25">
      <c r="A441" t="s">
        <v>45</v>
      </c>
      <c r="B441">
        <v>3</v>
      </c>
      <c r="C441" t="s">
        <v>263</v>
      </c>
      <c r="D441" s="39">
        <v>45853</v>
      </c>
      <c r="E441" t="s">
        <v>203</v>
      </c>
      <c r="F441" t="s">
        <v>79</v>
      </c>
      <c r="G441">
        <v>10</v>
      </c>
      <c r="H441">
        <v>4.5</v>
      </c>
      <c r="I441">
        <v>0</v>
      </c>
      <c r="J441">
        <v>100</v>
      </c>
      <c r="K441" t="s">
        <v>79</v>
      </c>
      <c r="L441">
        <v>3</v>
      </c>
      <c r="M441">
        <v>123.19999999999999</v>
      </c>
      <c r="N441">
        <v>3.8</v>
      </c>
      <c r="Q441">
        <v>119.39999999999999</v>
      </c>
    </row>
    <row r="442" spans="1:17" x14ac:dyDescent="0.25">
      <c r="A442" t="s">
        <v>45</v>
      </c>
      <c r="B442">
        <v>3</v>
      </c>
      <c r="C442" t="s">
        <v>264</v>
      </c>
      <c r="D442" s="39">
        <v>45853</v>
      </c>
      <c r="E442" t="s">
        <v>203</v>
      </c>
      <c r="F442" t="s">
        <v>79</v>
      </c>
      <c r="G442">
        <v>10</v>
      </c>
      <c r="H442">
        <v>4.5</v>
      </c>
      <c r="I442">
        <v>0</v>
      </c>
      <c r="J442">
        <v>50</v>
      </c>
      <c r="K442" t="s">
        <v>79</v>
      </c>
      <c r="L442">
        <v>1</v>
      </c>
      <c r="M442">
        <v>32.799999999999997</v>
      </c>
      <c r="N442">
        <v>1.2</v>
      </c>
      <c r="Q442">
        <v>31.599999999999998</v>
      </c>
    </row>
    <row r="443" spans="1:17" x14ac:dyDescent="0.25">
      <c r="A443" t="s">
        <v>45</v>
      </c>
      <c r="B443">
        <v>3</v>
      </c>
      <c r="C443" t="s">
        <v>257</v>
      </c>
      <c r="D443" s="39">
        <v>45853</v>
      </c>
      <c r="E443" t="s">
        <v>203</v>
      </c>
      <c r="F443" t="s">
        <v>79</v>
      </c>
      <c r="G443">
        <v>7</v>
      </c>
      <c r="H443">
        <v>4.5</v>
      </c>
      <c r="I443">
        <v>0</v>
      </c>
      <c r="J443">
        <v>50</v>
      </c>
      <c r="K443" t="s">
        <v>79</v>
      </c>
      <c r="L443">
        <v>2</v>
      </c>
      <c r="M443">
        <v>47</v>
      </c>
      <c r="N443">
        <v>1.5</v>
      </c>
      <c r="Q443">
        <v>45.5</v>
      </c>
    </row>
    <row r="444" spans="1:17" x14ac:dyDescent="0.25">
      <c r="A444" t="s">
        <v>46</v>
      </c>
      <c r="B444">
        <v>3</v>
      </c>
      <c r="C444" t="s">
        <v>257</v>
      </c>
      <c r="D444" s="39">
        <v>45853</v>
      </c>
      <c r="E444" t="s">
        <v>203</v>
      </c>
      <c r="F444" t="s">
        <v>79</v>
      </c>
      <c r="G444">
        <v>7</v>
      </c>
      <c r="H444">
        <v>4.5</v>
      </c>
      <c r="I444">
        <v>0</v>
      </c>
      <c r="J444">
        <v>50</v>
      </c>
      <c r="K444" t="s">
        <v>79</v>
      </c>
      <c r="L444">
        <v>4</v>
      </c>
      <c r="M444">
        <v>66.599999999999994</v>
      </c>
      <c r="N444">
        <v>2.8</v>
      </c>
      <c r="Q444">
        <v>63.8</v>
      </c>
    </row>
    <row r="445" spans="1:17" x14ac:dyDescent="0.25">
      <c r="A445" t="s">
        <v>46</v>
      </c>
      <c r="B445">
        <v>3</v>
      </c>
      <c r="C445" t="s">
        <v>260</v>
      </c>
      <c r="D445" s="39">
        <v>45853</v>
      </c>
      <c r="E445" t="s">
        <v>259</v>
      </c>
      <c r="F445" t="s">
        <v>79</v>
      </c>
      <c r="G445">
        <v>7</v>
      </c>
      <c r="H445">
        <v>5</v>
      </c>
      <c r="I445">
        <v>0</v>
      </c>
      <c r="J445">
        <v>6000</v>
      </c>
      <c r="K445" t="s">
        <v>79</v>
      </c>
      <c r="L445">
        <v>6</v>
      </c>
      <c r="M445">
        <v>174.60000000000002</v>
      </c>
      <c r="N445">
        <v>4.1999999999999993</v>
      </c>
      <c r="Q445">
        <v>170.40000000000003</v>
      </c>
    </row>
    <row r="446" spans="1:17" x14ac:dyDescent="0.25">
      <c r="A446" t="s">
        <v>46</v>
      </c>
      <c r="B446">
        <v>3</v>
      </c>
      <c r="C446" t="s">
        <v>119</v>
      </c>
      <c r="D446" s="39">
        <v>45853</v>
      </c>
      <c r="E446" t="s">
        <v>203</v>
      </c>
      <c r="F446" t="s">
        <v>79</v>
      </c>
      <c r="G446">
        <v>8</v>
      </c>
      <c r="H446">
        <v>4.5</v>
      </c>
      <c r="I446">
        <v>0</v>
      </c>
      <c r="J446">
        <v>100</v>
      </c>
      <c r="K446" t="s">
        <v>79</v>
      </c>
      <c r="L446">
        <v>3</v>
      </c>
      <c r="M446">
        <v>76.5</v>
      </c>
      <c r="N446">
        <v>2.4000000000000004</v>
      </c>
      <c r="Q446">
        <v>74.099999999999994</v>
      </c>
    </row>
    <row r="447" spans="1:17" x14ac:dyDescent="0.25">
      <c r="A447" t="s">
        <v>45</v>
      </c>
      <c r="B447">
        <v>5</v>
      </c>
      <c r="C447" t="s">
        <v>85</v>
      </c>
      <c r="D447" s="39">
        <v>45853</v>
      </c>
      <c r="E447" t="s">
        <v>194</v>
      </c>
      <c r="F447" t="s">
        <v>79</v>
      </c>
      <c r="G447">
        <v>12</v>
      </c>
      <c r="H447">
        <v>5</v>
      </c>
      <c r="I447">
        <v>0</v>
      </c>
      <c r="J447" t="s">
        <v>81</v>
      </c>
      <c r="K447" t="s">
        <v>79</v>
      </c>
      <c r="L447">
        <v>9</v>
      </c>
      <c r="M447">
        <v>387.85</v>
      </c>
      <c r="N447">
        <v>11.7</v>
      </c>
      <c r="Q447">
        <v>376.15000000000003</v>
      </c>
    </row>
    <row r="448" spans="1:17" x14ac:dyDescent="0.25">
      <c r="A448" t="s">
        <v>45</v>
      </c>
      <c r="B448">
        <v>5</v>
      </c>
      <c r="C448" t="s">
        <v>251</v>
      </c>
      <c r="D448" s="39">
        <v>45853</v>
      </c>
      <c r="E448" t="s">
        <v>203</v>
      </c>
      <c r="F448" t="s">
        <v>79</v>
      </c>
      <c r="G448">
        <v>12</v>
      </c>
      <c r="H448">
        <v>4.5</v>
      </c>
      <c r="I448">
        <v>0</v>
      </c>
      <c r="J448">
        <v>300</v>
      </c>
      <c r="K448" t="s">
        <v>79</v>
      </c>
      <c r="L448">
        <v>3</v>
      </c>
      <c r="M448">
        <v>79</v>
      </c>
      <c r="N448">
        <v>4.8</v>
      </c>
      <c r="Q448">
        <v>74.2</v>
      </c>
    </row>
    <row r="449" spans="1:17" x14ac:dyDescent="0.25">
      <c r="A449" t="s">
        <v>46</v>
      </c>
      <c r="B449">
        <v>5</v>
      </c>
      <c r="C449" t="s">
        <v>146</v>
      </c>
      <c r="D449" s="39">
        <v>45853</v>
      </c>
      <c r="E449" t="s">
        <v>200</v>
      </c>
      <c r="F449" t="s">
        <v>79</v>
      </c>
      <c r="G449">
        <v>12</v>
      </c>
      <c r="H449">
        <v>6</v>
      </c>
      <c r="I449">
        <v>0</v>
      </c>
      <c r="J449">
        <v>200</v>
      </c>
      <c r="K449" t="s">
        <v>79</v>
      </c>
      <c r="L449">
        <v>12</v>
      </c>
      <c r="M449">
        <v>297.59999999999997</v>
      </c>
      <c r="N449">
        <v>18</v>
      </c>
      <c r="Q449">
        <v>279.59999999999997</v>
      </c>
    </row>
    <row r="450" spans="1:17" x14ac:dyDescent="0.25">
      <c r="A450" t="s">
        <v>46</v>
      </c>
      <c r="B450">
        <v>5</v>
      </c>
      <c r="C450" t="s">
        <v>251</v>
      </c>
      <c r="D450" s="39">
        <v>45853</v>
      </c>
      <c r="E450" t="s">
        <v>203</v>
      </c>
      <c r="F450" t="s">
        <v>79</v>
      </c>
      <c r="G450">
        <v>12</v>
      </c>
      <c r="H450">
        <v>4.5</v>
      </c>
      <c r="I450">
        <v>0</v>
      </c>
      <c r="J450">
        <v>300</v>
      </c>
      <c r="K450" t="s">
        <v>79</v>
      </c>
      <c r="L450">
        <v>1</v>
      </c>
      <c r="M450">
        <v>25.4</v>
      </c>
      <c r="N450">
        <v>0.12</v>
      </c>
      <c r="Q450">
        <v>25.279999999999998</v>
      </c>
    </row>
    <row r="451" spans="1:17" x14ac:dyDescent="0.25">
      <c r="A451" t="s">
        <v>46</v>
      </c>
      <c r="B451">
        <v>5</v>
      </c>
      <c r="C451" t="s">
        <v>265</v>
      </c>
      <c r="D451" s="39">
        <v>45853</v>
      </c>
      <c r="E451" t="s">
        <v>203</v>
      </c>
      <c r="F451" t="s">
        <v>79</v>
      </c>
      <c r="G451">
        <v>11</v>
      </c>
      <c r="H451">
        <v>4.5</v>
      </c>
      <c r="I451">
        <v>0</v>
      </c>
      <c r="J451">
        <v>50</v>
      </c>
      <c r="K451" t="s">
        <v>79</v>
      </c>
      <c r="L451">
        <v>5</v>
      </c>
      <c r="M451">
        <v>117.7</v>
      </c>
      <c r="N451">
        <v>7</v>
      </c>
      <c r="Q451">
        <v>110.7</v>
      </c>
    </row>
    <row r="452" spans="1:17" x14ac:dyDescent="0.25">
      <c r="A452" t="s">
        <v>45</v>
      </c>
      <c r="B452">
        <v>1</v>
      </c>
      <c r="C452" t="s">
        <v>258</v>
      </c>
      <c r="D452" s="39">
        <v>45854</v>
      </c>
      <c r="E452" t="s">
        <v>259</v>
      </c>
      <c r="F452" t="s">
        <v>79</v>
      </c>
      <c r="G452">
        <v>4</v>
      </c>
      <c r="H452">
        <v>5</v>
      </c>
      <c r="I452">
        <v>0</v>
      </c>
      <c r="J452">
        <v>2000</v>
      </c>
      <c r="K452" t="s">
        <v>79</v>
      </c>
      <c r="L452">
        <v>9</v>
      </c>
      <c r="M452">
        <v>183.7</v>
      </c>
      <c r="N452">
        <v>3.6</v>
      </c>
      <c r="O452">
        <v>48</v>
      </c>
      <c r="Q452">
        <v>180.1</v>
      </c>
    </row>
    <row r="453" spans="1:17" x14ac:dyDescent="0.25">
      <c r="A453" t="s">
        <v>46</v>
      </c>
      <c r="B453">
        <v>1</v>
      </c>
      <c r="C453" t="s">
        <v>258</v>
      </c>
      <c r="D453" s="39">
        <v>45854</v>
      </c>
      <c r="E453" t="s">
        <v>259</v>
      </c>
      <c r="F453" t="s">
        <v>79</v>
      </c>
      <c r="G453">
        <v>4</v>
      </c>
      <c r="H453">
        <v>5</v>
      </c>
      <c r="I453">
        <v>0</v>
      </c>
      <c r="J453">
        <v>2000</v>
      </c>
      <c r="K453" t="s">
        <v>79</v>
      </c>
      <c r="L453">
        <v>10</v>
      </c>
      <c r="M453">
        <v>185.28</v>
      </c>
      <c r="N453">
        <v>4</v>
      </c>
      <c r="O453">
        <v>36</v>
      </c>
      <c r="Q453">
        <v>181.28</v>
      </c>
    </row>
    <row r="454" spans="1:17" x14ac:dyDescent="0.25">
      <c r="A454" t="s">
        <v>45</v>
      </c>
      <c r="B454">
        <v>2</v>
      </c>
      <c r="C454" t="s">
        <v>82</v>
      </c>
      <c r="D454" s="39">
        <v>45854</v>
      </c>
      <c r="E454" t="s">
        <v>194</v>
      </c>
      <c r="F454" t="s">
        <v>79</v>
      </c>
      <c r="G454">
        <v>2</v>
      </c>
      <c r="H454" t="s">
        <v>92</v>
      </c>
      <c r="I454">
        <v>0</v>
      </c>
      <c r="J454" t="s">
        <v>81</v>
      </c>
      <c r="K454" t="s">
        <v>79</v>
      </c>
      <c r="L454">
        <v>4</v>
      </c>
      <c r="M454">
        <v>56.500000000000007</v>
      </c>
      <c r="N454">
        <v>0.8</v>
      </c>
      <c r="Q454">
        <v>55.70000000000001</v>
      </c>
    </row>
    <row r="455" spans="1:17" x14ac:dyDescent="0.25">
      <c r="A455" t="s">
        <v>46</v>
      </c>
      <c r="B455">
        <v>2</v>
      </c>
      <c r="C455" t="s">
        <v>82</v>
      </c>
      <c r="D455" s="39">
        <v>45854</v>
      </c>
      <c r="E455" t="s">
        <v>194</v>
      </c>
      <c r="F455" t="s">
        <v>79</v>
      </c>
      <c r="G455">
        <v>2</v>
      </c>
      <c r="H455" t="s">
        <v>92</v>
      </c>
      <c r="I455">
        <v>0</v>
      </c>
      <c r="J455" t="s">
        <v>81</v>
      </c>
      <c r="K455" t="s">
        <v>79</v>
      </c>
      <c r="L455">
        <v>9</v>
      </c>
      <c r="M455">
        <v>77.58</v>
      </c>
      <c r="N455">
        <v>1.8</v>
      </c>
      <c r="Q455">
        <v>75.78</v>
      </c>
    </row>
    <row r="456" spans="1:17" x14ac:dyDescent="0.25">
      <c r="A456" t="s">
        <v>45</v>
      </c>
      <c r="B456">
        <v>3</v>
      </c>
      <c r="C456" t="s">
        <v>266</v>
      </c>
      <c r="D456" s="39">
        <v>45854</v>
      </c>
      <c r="E456" t="s">
        <v>203</v>
      </c>
      <c r="F456" t="s">
        <v>79</v>
      </c>
      <c r="G456">
        <v>8</v>
      </c>
      <c r="H456">
        <v>4.5</v>
      </c>
      <c r="I456">
        <v>0</v>
      </c>
      <c r="J456">
        <v>100</v>
      </c>
      <c r="K456" t="s">
        <v>79</v>
      </c>
      <c r="L456">
        <v>1</v>
      </c>
      <c r="M456">
        <v>23.1</v>
      </c>
      <c r="N456">
        <v>1</v>
      </c>
      <c r="Q456">
        <v>22.1</v>
      </c>
    </row>
    <row r="457" spans="1:17" x14ac:dyDescent="0.25">
      <c r="A457" t="s">
        <v>45</v>
      </c>
      <c r="B457">
        <v>3</v>
      </c>
      <c r="C457" t="s">
        <v>267</v>
      </c>
      <c r="D457" s="39">
        <v>45854</v>
      </c>
      <c r="E457" t="s">
        <v>203</v>
      </c>
      <c r="F457" t="s">
        <v>79</v>
      </c>
      <c r="G457">
        <v>8</v>
      </c>
      <c r="H457">
        <v>4.5</v>
      </c>
      <c r="I457">
        <v>0</v>
      </c>
      <c r="J457">
        <v>50</v>
      </c>
      <c r="K457" t="s">
        <v>79</v>
      </c>
      <c r="L457">
        <v>2</v>
      </c>
      <c r="M457">
        <v>56.9</v>
      </c>
      <c r="N457">
        <v>1.8</v>
      </c>
      <c r="Q457">
        <v>55.1</v>
      </c>
    </row>
    <row r="458" spans="1:17" x14ac:dyDescent="0.25">
      <c r="A458" t="s">
        <v>45</v>
      </c>
      <c r="B458">
        <v>3</v>
      </c>
      <c r="C458" t="s">
        <v>266</v>
      </c>
      <c r="D458" s="39">
        <v>45854</v>
      </c>
      <c r="E458" t="s">
        <v>203</v>
      </c>
      <c r="F458" t="s">
        <v>79</v>
      </c>
      <c r="G458">
        <v>8</v>
      </c>
      <c r="H458">
        <v>4.5</v>
      </c>
      <c r="I458">
        <v>0</v>
      </c>
      <c r="J458">
        <v>100</v>
      </c>
      <c r="K458" t="s">
        <v>79</v>
      </c>
      <c r="L458">
        <v>2</v>
      </c>
      <c r="M458">
        <v>50.2</v>
      </c>
      <c r="N458">
        <v>1.8</v>
      </c>
      <c r="Q458">
        <v>48.400000000000006</v>
      </c>
    </row>
    <row r="459" spans="1:17" x14ac:dyDescent="0.25">
      <c r="A459" t="s">
        <v>45</v>
      </c>
      <c r="B459">
        <v>3</v>
      </c>
      <c r="C459" t="s">
        <v>268</v>
      </c>
      <c r="D459" s="39">
        <v>45854</v>
      </c>
      <c r="E459" t="s">
        <v>259</v>
      </c>
      <c r="F459" t="s">
        <v>79</v>
      </c>
      <c r="G459">
        <v>6</v>
      </c>
      <c r="H459">
        <v>5</v>
      </c>
      <c r="I459">
        <v>0</v>
      </c>
      <c r="J459">
        <v>4000</v>
      </c>
      <c r="K459" t="s">
        <v>79</v>
      </c>
      <c r="L459">
        <v>4</v>
      </c>
      <c r="M459">
        <v>126.32</v>
      </c>
      <c r="N459">
        <v>2.8</v>
      </c>
      <c r="Q459">
        <v>123.52</v>
      </c>
    </row>
    <row r="460" spans="1:17" x14ac:dyDescent="0.25">
      <c r="A460" t="s">
        <v>46</v>
      </c>
      <c r="B460">
        <v>3</v>
      </c>
      <c r="C460" t="s">
        <v>268</v>
      </c>
      <c r="D460" s="39">
        <v>45854</v>
      </c>
      <c r="E460" t="s">
        <v>259</v>
      </c>
      <c r="F460" t="s">
        <v>79</v>
      </c>
      <c r="G460">
        <v>6</v>
      </c>
      <c r="H460">
        <v>5</v>
      </c>
      <c r="I460">
        <v>0</v>
      </c>
      <c r="J460">
        <v>4000</v>
      </c>
      <c r="K460" t="s">
        <v>79</v>
      </c>
      <c r="L460">
        <v>9</v>
      </c>
      <c r="M460">
        <v>273.99999999999994</v>
      </c>
      <c r="N460">
        <v>5.3999999999999995</v>
      </c>
      <c r="Q460">
        <v>268.59999999999997</v>
      </c>
    </row>
    <row r="461" spans="1:17" x14ac:dyDescent="0.25">
      <c r="A461" t="s">
        <v>45</v>
      </c>
      <c r="B461">
        <v>4</v>
      </c>
      <c r="C461" t="s">
        <v>252</v>
      </c>
      <c r="D461" s="39">
        <v>45854</v>
      </c>
      <c r="E461" t="s">
        <v>253</v>
      </c>
      <c r="F461" t="s">
        <v>79</v>
      </c>
      <c r="G461">
        <v>14</v>
      </c>
      <c r="H461" t="s">
        <v>116</v>
      </c>
      <c r="I461" t="s">
        <v>99</v>
      </c>
      <c r="J461">
        <v>1000</v>
      </c>
      <c r="K461" t="s">
        <v>79</v>
      </c>
      <c r="L461">
        <v>5</v>
      </c>
      <c r="M461">
        <v>157.6</v>
      </c>
      <c r="N461">
        <v>8.6</v>
      </c>
      <c r="Q461">
        <v>149</v>
      </c>
    </row>
    <row r="462" spans="1:17" x14ac:dyDescent="0.25">
      <c r="A462" t="s">
        <v>45</v>
      </c>
      <c r="B462">
        <v>4</v>
      </c>
      <c r="C462" t="s">
        <v>269</v>
      </c>
      <c r="D462" s="39">
        <v>45854</v>
      </c>
      <c r="E462" t="s">
        <v>270</v>
      </c>
      <c r="F462" t="s">
        <v>79</v>
      </c>
      <c r="G462">
        <v>14</v>
      </c>
      <c r="H462" t="s">
        <v>98</v>
      </c>
      <c r="I462" t="s">
        <v>114</v>
      </c>
      <c r="J462">
        <v>100</v>
      </c>
      <c r="K462" t="s">
        <v>79</v>
      </c>
      <c r="L462">
        <v>2</v>
      </c>
      <c r="M462">
        <v>88</v>
      </c>
      <c r="N462">
        <v>3.6</v>
      </c>
      <c r="Q462">
        <v>84.4</v>
      </c>
    </row>
    <row r="463" spans="1:17" x14ac:dyDescent="0.25">
      <c r="A463" t="s">
        <v>45</v>
      </c>
      <c r="B463">
        <v>4</v>
      </c>
      <c r="C463" t="s">
        <v>271</v>
      </c>
      <c r="D463" s="39">
        <v>45854</v>
      </c>
      <c r="E463" t="s">
        <v>272</v>
      </c>
      <c r="F463" t="s">
        <v>79</v>
      </c>
      <c r="G463">
        <v>19</v>
      </c>
      <c r="H463" t="s">
        <v>98</v>
      </c>
      <c r="I463" t="s">
        <v>99</v>
      </c>
      <c r="J463">
        <v>100</v>
      </c>
      <c r="K463" t="s">
        <v>79</v>
      </c>
      <c r="L463">
        <v>2</v>
      </c>
      <c r="M463">
        <v>108</v>
      </c>
      <c r="N463">
        <v>4.8</v>
      </c>
      <c r="Q463">
        <v>103.2</v>
      </c>
    </row>
    <row r="464" spans="1:17" x14ac:dyDescent="0.25">
      <c r="A464" t="s">
        <v>46</v>
      </c>
      <c r="B464">
        <v>4</v>
      </c>
      <c r="C464" t="s">
        <v>273</v>
      </c>
      <c r="D464" s="39">
        <v>45854</v>
      </c>
      <c r="E464" t="s">
        <v>274</v>
      </c>
      <c r="F464" t="s">
        <v>79</v>
      </c>
      <c r="G464">
        <v>28</v>
      </c>
      <c r="H464">
        <v>5</v>
      </c>
      <c r="I464">
        <v>0</v>
      </c>
      <c r="J464">
        <v>100</v>
      </c>
      <c r="K464" t="s">
        <v>79</v>
      </c>
      <c r="L464">
        <v>3</v>
      </c>
      <c r="M464">
        <v>151.19999999999999</v>
      </c>
      <c r="N464">
        <v>0.60000000000000009</v>
      </c>
      <c r="Q464">
        <v>150.6</v>
      </c>
    </row>
    <row r="465" spans="1:17" x14ac:dyDescent="0.25">
      <c r="A465" t="s">
        <v>46</v>
      </c>
      <c r="B465">
        <v>4</v>
      </c>
      <c r="C465" t="s">
        <v>275</v>
      </c>
      <c r="D465" s="39">
        <v>45854</v>
      </c>
      <c r="E465" t="s">
        <v>276</v>
      </c>
      <c r="F465" t="s">
        <v>79</v>
      </c>
      <c r="G465">
        <v>28</v>
      </c>
      <c r="H465" t="s">
        <v>113</v>
      </c>
      <c r="I465" t="s">
        <v>99</v>
      </c>
      <c r="J465">
        <v>1000</v>
      </c>
      <c r="K465" t="s">
        <v>79</v>
      </c>
      <c r="L465">
        <v>7</v>
      </c>
      <c r="M465">
        <v>388.64</v>
      </c>
      <c r="N465">
        <v>1.4000000000000001</v>
      </c>
      <c r="Q465">
        <v>387.24</v>
      </c>
    </row>
    <row r="466" spans="1:17" x14ac:dyDescent="0.25">
      <c r="A466" t="s">
        <v>45</v>
      </c>
      <c r="B466">
        <v>5</v>
      </c>
      <c r="C466" t="s">
        <v>277</v>
      </c>
      <c r="D466" s="39">
        <v>45854</v>
      </c>
      <c r="E466" t="s">
        <v>270</v>
      </c>
      <c r="F466" t="s">
        <v>79</v>
      </c>
      <c r="G466">
        <v>15</v>
      </c>
      <c r="H466" t="s">
        <v>98</v>
      </c>
      <c r="I466" t="s">
        <v>114</v>
      </c>
      <c r="J466">
        <v>100</v>
      </c>
      <c r="K466" t="s">
        <v>79</v>
      </c>
      <c r="L466">
        <v>2</v>
      </c>
      <c r="M466">
        <v>90.93</v>
      </c>
      <c r="N466">
        <v>3.5</v>
      </c>
      <c r="Q466">
        <v>87.43</v>
      </c>
    </row>
    <row r="467" spans="1:17" x14ac:dyDescent="0.25">
      <c r="A467" t="s">
        <v>45</v>
      </c>
      <c r="B467">
        <v>5</v>
      </c>
      <c r="C467" t="s">
        <v>278</v>
      </c>
      <c r="D467" s="39">
        <v>45854</v>
      </c>
      <c r="E467" t="s">
        <v>238</v>
      </c>
      <c r="F467" t="s">
        <v>79</v>
      </c>
      <c r="G467">
        <v>13</v>
      </c>
      <c r="H467" t="s">
        <v>279</v>
      </c>
      <c r="I467">
        <v>0</v>
      </c>
      <c r="J467">
        <v>625</v>
      </c>
      <c r="K467" t="s">
        <v>79</v>
      </c>
      <c r="L467">
        <v>8</v>
      </c>
      <c r="M467">
        <v>373.14</v>
      </c>
      <c r="N467">
        <v>12.8</v>
      </c>
      <c r="Q467">
        <v>360.34</v>
      </c>
    </row>
    <row r="468" spans="1:17" x14ac:dyDescent="0.25">
      <c r="A468" t="s">
        <v>46</v>
      </c>
      <c r="B468">
        <v>5</v>
      </c>
      <c r="C468" t="s">
        <v>278</v>
      </c>
      <c r="D468" s="39">
        <v>45854</v>
      </c>
      <c r="E468" t="s">
        <v>238</v>
      </c>
      <c r="F468" t="s">
        <v>79</v>
      </c>
      <c r="G468">
        <v>13</v>
      </c>
      <c r="H468" t="s">
        <v>279</v>
      </c>
      <c r="I468">
        <v>0</v>
      </c>
      <c r="J468">
        <v>625</v>
      </c>
      <c r="K468" t="s">
        <v>79</v>
      </c>
      <c r="L468">
        <v>8</v>
      </c>
      <c r="M468">
        <v>298.97000000000003</v>
      </c>
      <c r="N468">
        <v>12.8</v>
      </c>
      <c r="Q468">
        <v>286.17</v>
      </c>
    </row>
    <row r="469" spans="1:17" x14ac:dyDescent="0.25">
      <c r="A469" t="s">
        <v>46</v>
      </c>
      <c r="B469">
        <v>5</v>
      </c>
      <c r="C469" t="s">
        <v>132</v>
      </c>
      <c r="D469" s="39">
        <v>45854</v>
      </c>
      <c r="E469" t="s">
        <v>194</v>
      </c>
      <c r="F469" t="s">
        <v>79</v>
      </c>
      <c r="G469">
        <v>13</v>
      </c>
      <c r="H469">
        <v>5</v>
      </c>
      <c r="I469">
        <v>0</v>
      </c>
      <c r="J469" t="s">
        <v>81</v>
      </c>
      <c r="K469" t="s">
        <v>79</v>
      </c>
      <c r="L469">
        <v>5</v>
      </c>
      <c r="M469">
        <v>129.83000000000001</v>
      </c>
      <c r="N469">
        <v>8</v>
      </c>
      <c r="Q469">
        <v>121.83000000000001</v>
      </c>
    </row>
    <row r="470" spans="1:17" x14ac:dyDescent="0.25">
      <c r="A470" t="s">
        <v>45</v>
      </c>
      <c r="B470">
        <v>1</v>
      </c>
      <c r="C470" t="s">
        <v>258</v>
      </c>
      <c r="D470" s="39">
        <v>45855</v>
      </c>
      <c r="E470" t="s">
        <v>259</v>
      </c>
      <c r="F470" t="s">
        <v>79</v>
      </c>
      <c r="G470">
        <v>4</v>
      </c>
      <c r="H470">
        <v>5</v>
      </c>
      <c r="I470">
        <v>0</v>
      </c>
      <c r="J470">
        <v>2000</v>
      </c>
      <c r="K470" t="s">
        <v>79</v>
      </c>
      <c r="L470">
        <v>9</v>
      </c>
      <c r="M470">
        <v>170</v>
      </c>
      <c r="N470">
        <v>3.6</v>
      </c>
      <c r="O470">
        <v>23</v>
      </c>
      <c r="Q470">
        <v>166.4</v>
      </c>
    </row>
    <row r="471" spans="1:17" x14ac:dyDescent="0.25">
      <c r="A471" t="s">
        <v>46</v>
      </c>
      <c r="B471">
        <v>1</v>
      </c>
      <c r="C471" t="s">
        <v>258</v>
      </c>
      <c r="D471" s="39">
        <v>45855</v>
      </c>
      <c r="E471" t="s">
        <v>259</v>
      </c>
      <c r="F471" t="s">
        <v>79</v>
      </c>
      <c r="G471">
        <v>4</v>
      </c>
      <c r="H471">
        <v>5</v>
      </c>
      <c r="I471">
        <v>0</v>
      </c>
      <c r="J471">
        <v>2000</v>
      </c>
      <c r="K471" t="s">
        <v>79</v>
      </c>
      <c r="L471">
        <v>8</v>
      </c>
      <c r="M471">
        <v>137</v>
      </c>
      <c r="N471">
        <v>3.2</v>
      </c>
      <c r="O471">
        <v>51</v>
      </c>
      <c r="Q471">
        <v>133.80000000000001</v>
      </c>
    </row>
    <row r="472" spans="1:17" x14ac:dyDescent="0.25">
      <c r="A472" t="s">
        <v>45</v>
      </c>
      <c r="B472">
        <v>2</v>
      </c>
      <c r="C472" t="s">
        <v>280</v>
      </c>
      <c r="D472" s="39">
        <v>45855</v>
      </c>
      <c r="E472" t="s">
        <v>259</v>
      </c>
      <c r="F472" t="s">
        <v>79</v>
      </c>
      <c r="G472">
        <v>2</v>
      </c>
      <c r="H472">
        <v>5</v>
      </c>
      <c r="I472">
        <v>0</v>
      </c>
      <c r="J472">
        <v>500</v>
      </c>
      <c r="K472" t="s">
        <v>79</v>
      </c>
      <c r="L472">
        <v>9</v>
      </c>
      <c r="M472">
        <v>81.88</v>
      </c>
      <c r="N472">
        <v>1.8</v>
      </c>
      <c r="Q472">
        <v>80.08</v>
      </c>
    </row>
    <row r="473" spans="1:17" x14ac:dyDescent="0.25">
      <c r="A473" t="s">
        <v>46</v>
      </c>
      <c r="B473">
        <v>2</v>
      </c>
      <c r="C473" t="s">
        <v>280</v>
      </c>
      <c r="D473" s="39">
        <v>45855</v>
      </c>
      <c r="E473" t="s">
        <v>259</v>
      </c>
      <c r="F473" t="s">
        <v>79</v>
      </c>
      <c r="G473">
        <v>2</v>
      </c>
      <c r="H473">
        <v>5</v>
      </c>
      <c r="I473">
        <v>0</v>
      </c>
      <c r="J473">
        <v>500</v>
      </c>
      <c r="K473" t="s">
        <v>79</v>
      </c>
      <c r="L473">
        <v>9</v>
      </c>
      <c r="M473">
        <v>79.47</v>
      </c>
      <c r="N473">
        <v>1.8</v>
      </c>
      <c r="Q473">
        <v>77.67</v>
      </c>
    </row>
    <row r="474" spans="1:17" x14ac:dyDescent="0.25">
      <c r="A474" t="s">
        <v>45</v>
      </c>
      <c r="B474">
        <v>3</v>
      </c>
      <c r="C474" t="s">
        <v>268</v>
      </c>
      <c r="D474" s="39">
        <v>45855</v>
      </c>
      <c r="E474" t="s">
        <v>259</v>
      </c>
      <c r="F474" t="s">
        <v>79</v>
      </c>
      <c r="G474">
        <v>6</v>
      </c>
      <c r="H474">
        <v>5</v>
      </c>
      <c r="I474">
        <v>0</v>
      </c>
      <c r="J474">
        <v>4000</v>
      </c>
      <c r="K474" t="s">
        <v>79</v>
      </c>
      <c r="L474">
        <v>9</v>
      </c>
      <c r="M474">
        <v>286.27000000000004</v>
      </c>
      <c r="N474">
        <v>5.3999999999999995</v>
      </c>
      <c r="Q474">
        <v>280.87000000000006</v>
      </c>
    </row>
    <row r="475" spans="1:17" x14ac:dyDescent="0.25">
      <c r="A475" t="s">
        <v>46</v>
      </c>
      <c r="B475">
        <v>3</v>
      </c>
      <c r="C475" t="s">
        <v>268</v>
      </c>
      <c r="D475" s="39">
        <v>45855</v>
      </c>
      <c r="E475" t="s">
        <v>259</v>
      </c>
      <c r="F475" t="s">
        <v>79</v>
      </c>
      <c r="G475">
        <v>6</v>
      </c>
      <c r="H475">
        <v>5</v>
      </c>
      <c r="I475">
        <v>0</v>
      </c>
      <c r="J475">
        <v>4000</v>
      </c>
      <c r="K475" t="s">
        <v>79</v>
      </c>
      <c r="L475">
        <v>10</v>
      </c>
      <c r="M475">
        <v>285.89999999999998</v>
      </c>
      <c r="N475">
        <v>6</v>
      </c>
      <c r="Q475">
        <v>279.89999999999998</v>
      </c>
    </row>
    <row r="476" spans="1:17" x14ac:dyDescent="0.25">
      <c r="A476" t="s">
        <v>45</v>
      </c>
      <c r="B476">
        <v>4</v>
      </c>
      <c r="C476" t="s">
        <v>275</v>
      </c>
      <c r="D476" s="39">
        <v>45855</v>
      </c>
      <c r="E476" t="s">
        <v>276</v>
      </c>
      <c r="F476" t="s">
        <v>79</v>
      </c>
      <c r="G476">
        <v>28</v>
      </c>
      <c r="H476" t="s">
        <v>113</v>
      </c>
      <c r="I476" t="s">
        <v>99</v>
      </c>
      <c r="J476">
        <v>1000</v>
      </c>
      <c r="K476" t="s">
        <v>79</v>
      </c>
      <c r="L476">
        <v>7</v>
      </c>
      <c r="M476">
        <v>467.6</v>
      </c>
      <c r="N476">
        <v>24.399999999999995</v>
      </c>
      <c r="Q476">
        <v>443.20000000000005</v>
      </c>
    </row>
    <row r="477" spans="1:17" x14ac:dyDescent="0.25">
      <c r="A477" t="s">
        <v>45</v>
      </c>
      <c r="B477">
        <v>4</v>
      </c>
      <c r="C477" t="s">
        <v>281</v>
      </c>
      <c r="D477" s="39">
        <v>45855</v>
      </c>
      <c r="E477" t="s">
        <v>274</v>
      </c>
      <c r="F477" t="s">
        <v>79</v>
      </c>
      <c r="G477">
        <v>28</v>
      </c>
      <c r="H477">
        <v>5</v>
      </c>
      <c r="I477">
        <v>0</v>
      </c>
      <c r="J477">
        <v>200</v>
      </c>
      <c r="K477" t="s">
        <v>79</v>
      </c>
      <c r="L477">
        <v>4</v>
      </c>
      <c r="M477">
        <v>270.8</v>
      </c>
      <c r="N477">
        <v>13.700000000000001</v>
      </c>
      <c r="Q477">
        <v>257.10000000000002</v>
      </c>
    </row>
    <row r="478" spans="1:17" x14ac:dyDescent="0.25">
      <c r="A478" t="s">
        <v>46</v>
      </c>
      <c r="B478">
        <v>4</v>
      </c>
      <c r="C478" t="s">
        <v>275</v>
      </c>
      <c r="D478" s="39">
        <v>45855</v>
      </c>
      <c r="E478" t="s">
        <v>276</v>
      </c>
      <c r="F478" t="s">
        <v>79</v>
      </c>
      <c r="G478">
        <v>28</v>
      </c>
      <c r="H478" t="s">
        <v>113</v>
      </c>
      <c r="I478" t="s">
        <v>99</v>
      </c>
      <c r="J478">
        <v>1000</v>
      </c>
      <c r="K478" t="s">
        <v>79</v>
      </c>
      <c r="L478">
        <v>2</v>
      </c>
      <c r="M478">
        <v>130.80000000000001</v>
      </c>
      <c r="N478">
        <v>4.5999999999999996</v>
      </c>
      <c r="Q478">
        <v>126.20000000000002</v>
      </c>
    </row>
    <row r="479" spans="1:17" x14ac:dyDescent="0.25">
      <c r="A479" t="s">
        <v>46</v>
      </c>
      <c r="B479">
        <v>4</v>
      </c>
      <c r="C479" t="s">
        <v>96</v>
      </c>
      <c r="D479" s="39">
        <v>45855</v>
      </c>
      <c r="E479" t="s">
        <v>194</v>
      </c>
      <c r="F479" t="s">
        <v>79</v>
      </c>
      <c r="G479">
        <v>28</v>
      </c>
      <c r="H479">
        <v>5</v>
      </c>
      <c r="I479">
        <v>0</v>
      </c>
      <c r="J479" t="s">
        <v>81</v>
      </c>
      <c r="K479" t="s">
        <v>79</v>
      </c>
      <c r="L479">
        <v>6</v>
      </c>
      <c r="M479">
        <v>287.2</v>
      </c>
      <c r="N479">
        <v>13.799999999999999</v>
      </c>
      <c r="Q479">
        <v>273.39999999999998</v>
      </c>
    </row>
    <row r="480" spans="1:17" x14ac:dyDescent="0.25">
      <c r="A480" t="s">
        <v>46</v>
      </c>
      <c r="B480">
        <v>4</v>
      </c>
      <c r="C480" t="s">
        <v>149</v>
      </c>
      <c r="D480" s="39">
        <v>45855</v>
      </c>
      <c r="E480" t="s">
        <v>205</v>
      </c>
      <c r="F480" t="s">
        <v>79</v>
      </c>
      <c r="G480">
        <v>23</v>
      </c>
      <c r="H480" t="s">
        <v>102</v>
      </c>
      <c r="I480" t="s">
        <v>103</v>
      </c>
      <c r="J480">
        <v>110</v>
      </c>
      <c r="K480" t="s">
        <v>79</v>
      </c>
      <c r="L480">
        <v>4</v>
      </c>
      <c r="M480">
        <v>183</v>
      </c>
      <c r="N480">
        <v>7.6</v>
      </c>
      <c r="Q480">
        <v>175.4</v>
      </c>
    </row>
    <row r="481" spans="1:17" x14ac:dyDescent="0.25">
      <c r="A481" t="s">
        <v>45</v>
      </c>
      <c r="B481">
        <v>5</v>
      </c>
      <c r="C481" t="s">
        <v>235</v>
      </c>
      <c r="D481" s="39">
        <v>45855</v>
      </c>
      <c r="E481" t="s">
        <v>231</v>
      </c>
      <c r="F481" t="s">
        <v>79</v>
      </c>
      <c r="G481">
        <v>13</v>
      </c>
      <c r="H481">
        <v>6.5</v>
      </c>
      <c r="I481">
        <v>0</v>
      </c>
      <c r="J481">
        <v>400</v>
      </c>
      <c r="K481" t="s">
        <v>79</v>
      </c>
      <c r="L481">
        <v>4</v>
      </c>
      <c r="M481">
        <v>158.1</v>
      </c>
      <c r="N481">
        <v>6.4</v>
      </c>
      <c r="Q481">
        <v>151.69999999999999</v>
      </c>
    </row>
    <row r="482" spans="1:17" x14ac:dyDescent="0.25">
      <c r="A482" t="s">
        <v>45</v>
      </c>
      <c r="B482">
        <v>5</v>
      </c>
      <c r="C482" t="s">
        <v>95</v>
      </c>
      <c r="D482" s="39">
        <v>45855</v>
      </c>
      <c r="E482" t="s">
        <v>194</v>
      </c>
      <c r="F482" t="s">
        <v>79</v>
      </c>
      <c r="G482">
        <v>14</v>
      </c>
      <c r="H482">
        <v>5</v>
      </c>
      <c r="I482">
        <v>0</v>
      </c>
      <c r="J482" t="s">
        <v>81</v>
      </c>
      <c r="K482" t="s">
        <v>79</v>
      </c>
      <c r="L482">
        <v>6</v>
      </c>
      <c r="M482">
        <v>256.89999999999998</v>
      </c>
      <c r="N482">
        <v>10.199999999999999</v>
      </c>
      <c r="Q482">
        <v>246.7</v>
      </c>
    </row>
    <row r="483" spans="1:17" x14ac:dyDescent="0.25">
      <c r="A483" t="s">
        <v>46</v>
      </c>
      <c r="B483">
        <v>5</v>
      </c>
      <c r="C483" t="s">
        <v>269</v>
      </c>
      <c r="D483" s="39">
        <v>45855</v>
      </c>
      <c r="E483" t="s">
        <v>270</v>
      </c>
      <c r="F483" t="s">
        <v>79</v>
      </c>
      <c r="G483">
        <v>14</v>
      </c>
      <c r="H483" t="s">
        <v>98</v>
      </c>
      <c r="I483" t="s">
        <v>114</v>
      </c>
      <c r="J483">
        <v>100</v>
      </c>
      <c r="K483" t="s">
        <v>79</v>
      </c>
      <c r="L483">
        <v>1</v>
      </c>
      <c r="M483">
        <v>36.4</v>
      </c>
      <c r="N483">
        <v>1.7</v>
      </c>
      <c r="Q483">
        <v>34.699999999999996</v>
      </c>
    </row>
    <row r="484" spans="1:17" x14ac:dyDescent="0.25">
      <c r="A484" t="s">
        <v>46</v>
      </c>
      <c r="B484">
        <v>5</v>
      </c>
      <c r="C484" t="s">
        <v>252</v>
      </c>
      <c r="D484" s="39">
        <v>45855</v>
      </c>
      <c r="E484" t="s">
        <v>253</v>
      </c>
      <c r="F484" t="s">
        <v>79</v>
      </c>
      <c r="G484">
        <v>14</v>
      </c>
      <c r="H484" t="s">
        <v>116</v>
      </c>
      <c r="I484" t="s">
        <v>99</v>
      </c>
      <c r="J484">
        <v>1000</v>
      </c>
      <c r="K484" t="s">
        <v>79</v>
      </c>
      <c r="L484">
        <v>2</v>
      </c>
      <c r="M484">
        <v>73.650000000000006</v>
      </c>
      <c r="N484">
        <v>3.4</v>
      </c>
      <c r="Q484">
        <v>70.25</v>
      </c>
    </row>
    <row r="485" spans="1:17" x14ac:dyDescent="0.25">
      <c r="A485" t="s">
        <v>46</v>
      </c>
      <c r="B485">
        <v>5</v>
      </c>
      <c r="C485" t="s">
        <v>152</v>
      </c>
      <c r="D485" s="39">
        <v>45855</v>
      </c>
      <c r="E485" t="s">
        <v>282</v>
      </c>
      <c r="F485" t="s">
        <v>79</v>
      </c>
      <c r="G485">
        <v>17</v>
      </c>
      <c r="H485">
        <v>6.5</v>
      </c>
      <c r="I485">
        <v>0</v>
      </c>
      <c r="J485">
        <v>400</v>
      </c>
      <c r="K485" t="s">
        <v>79</v>
      </c>
      <c r="L485">
        <v>5</v>
      </c>
      <c r="M485">
        <v>178.8</v>
      </c>
      <c r="N485">
        <v>0.85000000000000009</v>
      </c>
      <c r="Q485">
        <v>177.95000000000002</v>
      </c>
    </row>
    <row r="486" spans="1:17" x14ac:dyDescent="0.25">
      <c r="A486" t="s">
        <v>45</v>
      </c>
      <c r="B486">
        <v>1</v>
      </c>
      <c r="C486" t="s">
        <v>91</v>
      </c>
      <c r="D486" s="39">
        <v>45856</v>
      </c>
      <c r="E486" t="s">
        <v>194</v>
      </c>
      <c r="F486" t="s">
        <v>79</v>
      </c>
      <c r="G486">
        <v>4</v>
      </c>
      <c r="H486" t="s">
        <v>92</v>
      </c>
      <c r="I486">
        <v>0</v>
      </c>
      <c r="J486" t="s">
        <v>81</v>
      </c>
      <c r="K486" t="s">
        <v>79</v>
      </c>
      <c r="L486">
        <v>8</v>
      </c>
      <c r="M486">
        <v>165.4</v>
      </c>
      <c r="N486">
        <v>3.2</v>
      </c>
      <c r="O486">
        <v>23.5</v>
      </c>
      <c r="Q486">
        <v>162.20000000000002</v>
      </c>
    </row>
    <row r="487" spans="1:17" x14ac:dyDescent="0.25">
      <c r="A487" t="s">
        <v>46</v>
      </c>
      <c r="B487">
        <v>1</v>
      </c>
      <c r="C487" t="s">
        <v>91</v>
      </c>
      <c r="D487" s="39">
        <v>45856</v>
      </c>
      <c r="E487" t="s">
        <v>194</v>
      </c>
      <c r="F487" t="s">
        <v>79</v>
      </c>
      <c r="G487">
        <v>4</v>
      </c>
      <c r="H487" t="s">
        <v>92</v>
      </c>
      <c r="I487">
        <v>0</v>
      </c>
      <c r="J487" t="s">
        <v>81</v>
      </c>
      <c r="K487" t="s">
        <v>79</v>
      </c>
      <c r="L487">
        <v>11</v>
      </c>
      <c r="M487">
        <v>206.24</v>
      </c>
      <c r="N487">
        <v>4.4000000000000004</v>
      </c>
      <c r="O487">
        <v>48.5</v>
      </c>
      <c r="Q487">
        <v>201.84</v>
      </c>
    </row>
    <row r="488" spans="1:17" x14ac:dyDescent="0.25">
      <c r="A488" t="s">
        <v>45</v>
      </c>
      <c r="B488">
        <v>2</v>
      </c>
      <c r="C488" t="s">
        <v>82</v>
      </c>
      <c r="D488" s="39">
        <v>45856</v>
      </c>
      <c r="E488" t="s">
        <v>194</v>
      </c>
      <c r="F488" t="s">
        <v>79</v>
      </c>
      <c r="G488">
        <v>2</v>
      </c>
      <c r="H488" t="s">
        <v>92</v>
      </c>
      <c r="I488">
        <v>0</v>
      </c>
      <c r="J488" t="s">
        <v>81</v>
      </c>
      <c r="K488" t="s">
        <v>79</v>
      </c>
      <c r="L488">
        <v>9</v>
      </c>
      <c r="M488">
        <v>81.800000000000011</v>
      </c>
      <c r="N488">
        <v>1.8</v>
      </c>
      <c r="Q488">
        <v>80.000000000000014</v>
      </c>
    </row>
    <row r="489" spans="1:17" x14ac:dyDescent="0.25">
      <c r="A489" t="s">
        <v>46</v>
      </c>
      <c r="B489">
        <v>2</v>
      </c>
      <c r="C489" t="s">
        <v>82</v>
      </c>
      <c r="D489" s="39">
        <v>45856</v>
      </c>
      <c r="E489" t="s">
        <v>194</v>
      </c>
      <c r="F489" t="s">
        <v>79</v>
      </c>
      <c r="G489">
        <v>2</v>
      </c>
      <c r="H489" t="s">
        <v>92</v>
      </c>
      <c r="I489">
        <v>0</v>
      </c>
      <c r="J489" t="s">
        <v>81</v>
      </c>
      <c r="K489" t="s">
        <v>79</v>
      </c>
      <c r="L489">
        <v>10</v>
      </c>
      <c r="M489">
        <v>89.4</v>
      </c>
      <c r="N489">
        <v>2</v>
      </c>
      <c r="Q489">
        <v>87.4</v>
      </c>
    </row>
    <row r="490" spans="1:17" x14ac:dyDescent="0.25">
      <c r="A490" t="s">
        <v>45</v>
      </c>
      <c r="B490">
        <v>3</v>
      </c>
      <c r="C490" t="s">
        <v>268</v>
      </c>
      <c r="D490" s="39">
        <v>45856</v>
      </c>
      <c r="E490" t="s">
        <v>259</v>
      </c>
      <c r="F490" t="s">
        <v>79</v>
      </c>
      <c r="G490">
        <v>6</v>
      </c>
      <c r="H490">
        <v>5</v>
      </c>
      <c r="I490">
        <v>0</v>
      </c>
      <c r="J490">
        <v>4000</v>
      </c>
      <c r="K490" t="s">
        <v>79</v>
      </c>
      <c r="L490">
        <v>8</v>
      </c>
      <c r="M490">
        <v>264.52000000000004</v>
      </c>
      <c r="N490">
        <v>7.2</v>
      </c>
      <c r="Q490">
        <v>257.32000000000005</v>
      </c>
    </row>
    <row r="491" spans="1:17" x14ac:dyDescent="0.25">
      <c r="A491" t="s">
        <v>46</v>
      </c>
      <c r="B491">
        <v>3</v>
      </c>
      <c r="C491" t="s">
        <v>268</v>
      </c>
      <c r="D491" s="39">
        <v>45856</v>
      </c>
      <c r="E491" t="s">
        <v>259</v>
      </c>
      <c r="F491" t="s">
        <v>79</v>
      </c>
      <c r="G491">
        <v>6</v>
      </c>
      <c r="H491">
        <v>5</v>
      </c>
      <c r="I491">
        <v>0</v>
      </c>
      <c r="J491">
        <v>4000</v>
      </c>
      <c r="K491" t="s">
        <v>79</v>
      </c>
      <c r="L491">
        <v>8</v>
      </c>
      <c r="M491">
        <v>233.39999999999998</v>
      </c>
      <c r="N491">
        <v>7.2</v>
      </c>
      <c r="Q491">
        <v>226.2</v>
      </c>
    </row>
    <row r="492" spans="1:17" x14ac:dyDescent="0.25">
      <c r="A492" t="s">
        <v>45</v>
      </c>
      <c r="B492">
        <v>4</v>
      </c>
      <c r="C492" t="s">
        <v>149</v>
      </c>
      <c r="D492" s="39">
        <v>45856</v>
      </c>
      <c r="E492" t="s">
        <v>205</v>
      </c>
      <c r="F492" t="s">
        <v>79</v>
      </c>
      <c r="G492">
        <v>23</v>
      </c>
      <c r="H492" t="s">
        <v>102</v>
      </c>
      <c r="I492" t="s">
        <v>103</v>
      </c>
      <c r="J492">
        <v>110</v>
      </c>
      <c r="K492" t="s">
        <v>79</v>
      </c>
      <c r="L492">
        <v>4</v>
      </c>
      <c r="M492">
        <v>232.14999999999998</v>
      </c>
      <c r="N492">
        <v>10.4</v>
      </c>
      <c r="Q492">
        <v>221.74999999999997</v>
      </c>
    </row>
    <row r="493" spans="1:17" x14ac:dyDescent="0.25">
      <c r="A493" t="s">
        <v>45</v>
      </c>
      <c r="B493">
        <v>4</v>
      </c>
      <c r="C493" t="s">
        <v>283</v>
      </c>
      <c r="D493" s="39">
        <v>45856</v>
      </c>
      <c r="E493" t="s">
        <v>284</v>
      </c>
      <c r="F493" t="s">
        <v>79</v>
      </c>
      <c r="G493">
        <v>20</v>
      </c>
      <c r="H493" t="s">
        <v>98</v>
      </c>
      <c r="I493" t="s">
        <v>114</v>
      </c>
      <c r="J493">
        <v>400</v>
      </c>
      <c r="K493" t="s">
        <v>79</v>
      </c>
      <c r="L493">
        <v>9</v>
      </c>
      <c r="M493">
        <v>459.48</v>
      </c>
      <c r="N493">
        <v>22.5</v>
      </c>
      <c r="Q493">
        <v>436.98</v>
      </c>
    </row>
    <row r="494" spans="1:17" x14ac:dyDescent="0.25">
      <c r="A494" t="s">
        <v>46</v>
      </c>
      <c r="B494">
        <v>4</v>
      </c>
      <c r="C494" t="s">
        <v>285</v>
      </c>
      <c r="D494" s="39">
        <v>45856</v>
      </c>
      <c r="E494" t="s">
        <v>284</v>
      </c>
      <c r="F494" t="s">
        <v>79</v>
      </c>
      <c r="G494">
        <v>20</v>
      </c>
      <c r="H494" t="s">
        <v>98</v>
      </c>
      <c r="I494" t="s">
        <v>114</v>
      </c>
      <c r="J494">
        <v>300</v>
      </c>
      <c r="K494" t="s">
        <v>79</v>
      </c>
      <c r="L494">
        <v>5</v>
      </c>
      <c r="M494">
        <v>249.79999999999998</v>
      </c>
      <c r="N494">
        <v>12.5</v>
      </c>
      <c r="Q494">
        <v>237.29999999999998</v>
      </c>
    </row>
    <row r="495" spans="1:17" x14ac:dyDescent="0.25">
      <c r="A495" t="s">
        <v>46</v>
      </c>
      <c r="B495">
        <v>4</v>
      </c>
      <c r="C495" t="s">
        <v>286</v>
      </c>
      <c r="D495" s="39">
        <v>45856</v>
      </c>
      <c r="E495" t="s">
        <v>276</v>
      </c>
      <c r="F495" t="s">
        <v>79</v>
      </c>
      <c r="G495">
        <v>20</v>
      </c>
      <c r="H495" t="s">
        <v>113</v>
      </c>
      <c r="I495" t="s">
        <v>99</v>
      </c>
      <c r="J495">
        <v>500</v>
      </c>
      <c r="K495" t="s">
        <v>79</v>
      </c>
      <c r="L495">
        <v>8</v>
      </c>
      <c r="M495">
        <v>441.59999999999997</v>
      </c>
      <c r="N495">
        <v>20</v>
      </c>
      <c r="Q495">
        <v>421.59999999999997</v>
      </c>
    </row>
    <row r="496" spans="1:17" x14ac:dyDescent="0.25">
      <c r="A496" t="s">
        <v>45</v>
      </c>
      <c r="B496">
        <v>5</v>
      </c>
      <c r="C496" t="s">
        <v>131</v>
      </c>
      <c r="D496" s="39">
        <v>45856</v>
      </c>
      <c r="E496" t="s">
        <v>194</v>
      </c>
      <c r="F496" t="s">
        <v>79</v>
      </c>
      <c r="G496">
        <v>11</v>
      </c>
      <c r="H496">
        <v>5</v>
      </c>
      <c r="I496">
        <v>0</v>
      </c>
      <c r="J496" t="s">
        <v>81</v>
      </c>
      <c r="K496" t="s">
        <v>79</v>
      </c>
      <c r="L496">
        <v>9</v>
      </c>
      <c r="M496">
        <v>432.69</v>
      </c>
      <c r="N496">
        <v>11.700000000000001</v>
      </c>
      <c r="Q496">
        <v>420.99</v>
      </c>
    </row>
    <row r="497" spans="1:17" x14ac:dyDescent="0.25">
      <c r="A497" t="s">
        <v>46</v>
      </c>
      <c r="B497">
        <v>5</v>
      </c>
      <c r="C497" t="s">
        <v>131</v>
      </c>
      <c r="D497" s="39">
        <v>45856</v>
      </c>
      <c r="E497" t="s">
        <v>194</v>
      </c>
      <c r="F497" t="s">
        <v>79</v>
      </c>
      <c r="G497">
        <v>11</v>
      </c>
      <c r="H497">
        <v>5</v>
      </c>
      <c r="I497">
        <v>0</v>
      </c>
      <c r="J497" t="s">
        <v>81</v>
      </c>
      <c r="K497" t="s">
        <v>79</v>
      </c>
      <c r="L497">
        <v>11</v>
      </c>
      <c r="M497">
        <v>451.4</v>
      </c>
      <c r="N497">
        <v>1.1000000000000001</v>
      </c>
      <c r="Q497">
        <v>450.29999999999995</v>
      </c>
    </row>
    <row r="498" spans="1:17" x14ac:dyDescent="0.25">
      <c r="A498" t="s">
        <v>45</v>
      </c>
      <c r="B498">
        <v>1</v>
      </c>
      <c r="C498" t="s">
        <v>258</v>
      </c>
      <c r="D498" s="39">
        <v>45857</v>
      </c>
      <c r="E498" t="s">
        <v>259</v>
      </c>
      <c r="F498" t="s">
        <v>79</v>
      </c>
      <c r="G498">
        <v>4</v>
      </c>
      <c r="H498">
        <v>5</v>
      </c>
      <c r="I498">
        <v>0</v>
      </c>
      <c r="J498">
        <v>2000</v>
      </c>
      <c r="K498" t="s">
        <v>79</v>
      </c>
      <c r="L498">
        <v>10</v>
      </c>
      <c r="M498">
        <v>187.39999999999998</v>
      </c>
      <c r="N498">
        <v>4</v>
      </c>
      <c r="O498">
        <v>30</v>
      </c>
      <c r="Q498">
        <v>183.39999999999998</v>
      </c>
    </row>
    <row r="499" spans="1:17" x14ac:dyDescent="0.25">
      <c r="A499" t="s">
        <v>46</v>
      </c>
      <c r="B499">
        <v>1</v>
      </c>
      <c r="C499" t="s">
        <v>258</v>
      </c>
      <c r="D499" s="39">
        <v>45857</v>
      </c>
      <c r="E499" t="s">
        <v>259</v>
      </c>
      <c r="F499" t="s">
        <v>79</v>
      </c>
      <c r="G499">
        <v>4</v>
      </c>
      <c r="H499">
        <v>5</v>
      </c>
      <c r="I499">
        <v>0</v>
      </c>
      <c r="J499">
        <v>2000</v>
      </c>
      <c r="K499" t="s">
        <v>79</v>
      </c>
      <c r="L499">
        <v>7</v>
      </c>
      <c r="M499">
        <v>152.59</v>
      </c>
      <c r="N499">
        <v>2.8000000000000003</v>
      </c>
      <c r="O499">
        <v>23</v>
      </c>
      <c r="Q499">
        <v>149.79</v>
      </c>
    </row>
    <row r="500" spans="1:17" x14ac:dyDescent="0.25">
      <c r="A500" t="s">
        <v>45</v>
      </c>
      <c r="B500">
        <v>2</v>
      </c>
      <c r="C500" t="s">
        <v>287</v>
      </c>
      <c r="D500" s="39">
        <v>45857</v>
      </c>
      <c r="E500" t="s">
        <v>238</v>
      </c>
      <c r="F500" t="s">
        <v>79</v>
      </c>
      <c r="G500">
        <v>2.5</v>
      </c>
      <c r="H500">
        <v>5</v>
      </c>
      <c r="I500">
        <v>0</v>
      </c>
      <c r="J500">
        <v>250</v>
      </c>
      <c r="K500" t="s">
        <v>79</v>
      </c>
      <c r="L500">
        <v>7</v>
      </c>
      <c r="M500">
        <v>74.48</v>
      </c>
      <c r="N500">
        <v>1.75</v>
      </c>
      <c r="Q500">
        <v>72.73</v>
      </c>
    </row>
    <row r="501" spans="1:17" x14ac:dyDescent="0.25">
      <c r="A501" t="s">
        <v>45</v>
      </c>
      <c r="B501">
        <v>2</v>
      </c>
      <c r="C501" t="s">
        <v>287</v>
      </c>
      <c r="D501" s="39">
        <v>45857</v>
      </c>
      <c r="E501" t="s">
        <v>238</v>
      </c>
      <c r="F501" t="s">
        <v>79</v>
      </c>
      <c r="G501">
        <v>2.5</v>
      </c>
      <c r="H501">
        <v>5</v>
      </c>
      <c r="I501">
        <v>0</v>
      </c>
      <c r="J501">
        <v>250</v>
      </c>
      <c r="K501" t="s">
        <v>79</v>
      </c>
      <c r="L501">
        <v>2</v>
      </c>
      <c r="M501">
        <v>19</v>
      </c>
      <c r="N501">
        <v>0.5</v>
      </c>
      <c r="Q501">
        <v>18.5</v>
      </c>
    </row>
    <row r="502" spans="1:17" x14ac:dyDescent="0.25">
      <c r="A502" t="s">
        <v>46</v>
      </c>
      <c r="B502">
        <v>2</v>
      </c>
      <c r="C502" t="s">
        <v>287</v>
      </c>
      <c r="D502" s="39">
        <v>45857</v>
      </c>
      <c r="E502" t="s">
        <v>238</v>
      </c>
      <c r="F502" t="s">
        <v>79</v>
      </c>
      <c r="G502">
        <v>2.5</v>
      </c>
      <c r="H502">
        <v>5</v>
      </c>
      <c r="I502">
        <v>0</v>
      </c>
      <c r="J502">
        <v>250</v>
      </c>
      <c r="K502" t="s">
        <v>79</v>
      </c>
      <c r="L502">
        <v>8</v>
      </c>
      <c r="M502">
        <v>84.320000000000007</v>
      </c>
      <c r="N502">
        <v>2</v>
      </c>
      <c r="Q502">
        <v>82.320000000000007</v>
      </c>
    </row>
    <row r="503" spans="1:17" x14ac:dyDescent="0.25">
      <c r="A503" t="s">
        <v>45</v>
      </c>
      <c r="B503">
        <v>3</v>
      </c>
      <c r="C503" t="s">
        <v>268</v>
      </c>
      <c r="D503" s="39">
        <v>45857</v>
      </c>
      <c r="E503" t="s">
        <v>259</v>
      </c>
      <c r="F503" t="s">
        <v>79</v>
      </c>
      <c r="G503">
        <v>6</v>
      </c>
      <c r="H503">
        <v>5</v>
      </c>
      <c r="I503">
        <v>0</v>
      </c>
      <c r="J503">
        <v>4000</v>
      </c>
      <c r="K503" t="s">
        <v>79</v>
      </c>
      <c r="L503">
        <v>4</v>
      </c>
      <c r="M503">
        <v>137.63</v>
      </c>
      <c r="N503">
        <v>2.8</v>
      </c>
      <c r="Q503">
        <v>134.82999999999998</v>
      </c>
    </row>
    <row r="504" spans="1:17" x14ac:dyDescent="0.25">
      <c r="A504" t="s">
        <v>45</v>
      </c>
      <c r="B504">
        <v>3</v>
      </c>
      <c r="C504" t="s">
        <v>288</v>
      </c>
      <c r="D504" s="39">
        <v>45857</v>
      </c>
      <c r="E504" t="s">
        <v>200</v>
      </c>
      <c r="F504" t="s">
        <v>79</v>
      </c>
      <c r="G504">
        <v>8</v>
      </c>
      <c r="H504">
        <v>10</v>
      </c>
      <c r="I504">
        <v>0</v>
      </c>
      <c r="J504">
        <v>150</v>
      </c>
      <c r="K504" t="s">
        <v>79</v>
      </c>
      <c r="L504">
        <v>4</v>
      </c>
      <c r="M504">
        <v>130.69999999999999</v>
      </c>
      <c r="N504">
        <v>3.2</v>
      </c>
      <c r="Q504">
        <v>127.49999999999999</v>
      </c>
    </row>
    <row r="505" spans="1:17" x14ac:dyDescent="0.25">
      <c r="A505" t="s">
        <v>45</v>
      </c>
      <c r="B505">
        <v>3</v>
      </c>
      <c r="C505" t="s">
        <v>288</v>
      </c>
      <c r="D505" s="39">
        <v>45857</v>
      </c>
      <c r="E505" t="s">
        <v>200</v>
      </c>
      <c r="F505" t="s">
        <v>79</v>
      </c>
      <c r="G505">
        <v>8</v>
      </c>
      <c r="H505">
        <v>10</v>
      </c>
      <c r="I505">
        <v>0</v>
      </c>
      <c r="J505">
        <v>150</v>
      </c>
      <c r="K505" t="s">
        <v>79</v>
      </c>
      <c r="L505">
        <v>1</v>
      </c>
      <c r="M505">
        <v>34.299999999999997</v>
      </c>
      <c r="N505">
        <v>0.8</v>
      </c>
      <c r="Q505">
        <v>33.5</v>
      </c>
    </row>
    <row r="506" spans="1:17" x14ac:dyDescent="0.25">
      <c r="A506" t="s">
        <v>46</v>
      </c>
      <c r="B506">
        <v>3</v>
      </c>
      <c r="C506" t="s">
        <v>94</v>
      </c>
      <c r="D506" s="39">
        <v>45857</v>
      </c>
      <c r="E506" t="s">
        <v>194</v>
      </c>
      <c r="F506" t="s">
        <v>79</v>
      </c>
      <c r="G506">
        <v>8</v>
      </c>
      <c r="H506">
        <v>5</v>
      </c>
      <c r="I506">
        <v>0</v>
      </c>
      <c r="J506" t="s">
        <v>81</v>
      </c>
      <c r="K506" t="s">
        <v>79</v>
      </c>
      <c r="L506">
        <v>8</v>
      </c>
      <c r="M506">
        <v>256</v>
      </c>
      <c r="N506">
        <v>6.4</v>
      </c>
      <c r="Q506">
        <v>249.6</v>
      </c>
    </row>
    <row r="507" spans="1:17" x14ac:dyDescent="0.25">
      <c r="A507" t="s">
        <v>45</v>
      </c>
      <c r="B507">
        <v>4</v>
      </c>
      <c r="C507" t="s">
        <v>286</v>
      </c>
      <c r="D507" s="39">
        <v>45857</v>
      </c>
      <c r="E507" t="s">
        <v>276</v>
      </c>
      <c r="F507" t="s">
        <v>79</v>
      </c>
      <c r="G507">
        <v>20</v>
      </c>
      <c r="H507" t="s">
        <v>113</v>
      </c>
      <c r="I507" t="s">
        <v>99</v>
      </c>
      <c r="J507">
        <v>500</v>
      </c>
      <c r="K507" t="s">
        <v>79</v>
      </c>
      <c r="L507">
        <v>3</v>
      </c>
      <c r="M507">
        <v>159.1</v>
      </c>
      <c r="N507">
        <v>7.3000000000000007</v>
      </c>
      <c r="Q507">
        <v>151.79999999999998</v>
      </c>
    </row>
    <row r="508" spans="1:17" x14ac:dyDescent="0.25">
      <c r="A508" t="s">
        <v>45</v>
      </c>
      <c r="B508">
        <v>4</v>
      </c>
      <c r="C508" t="s">
        <v>286</v>
      </c>
      <c r="D508" s="39">
        <v>45857</v>
      </c>
      <c r="E508" t="s">
        <v>276</v>
      </c>
      <c r="F508" t="s">
        <v>79</v>
      </c>
      <c r="G508">
        <v>20</v>
      </c>
      <c r="H508" t="s">
        <v>113</v>
      </c>
      <c r="I508" t="s">
        <v>99</v>
      </c>
      <c r="J508">
        <v>500</v>
      </c>
      <c r="K508" t="s">
        <v>79</v>
      </c>
      <c r="L508">
        <v>2</v>
      </c>
      <c r="M508">
        <v>77.7</v>
      </c>
      <c r="N508">
        <v>4.8</v>
      </c>
      <c r="Q508">
        <v>72.900000000000006</v>
      </c>
    </row>
    <row r="509" spans="1:17" x14ac:dyDescent="0.25">
      <c r="A509" t="s">
        <v>45</v>
      </c>
      <c r="B509">
        <v>4</v>
      </c>
      <c r="C509" t="s">
        <v>289</v>
      </c>
      <c r="D509" s="39">
        <v>45857</v>
      </c>
      <c r="E509" t="s">
        <v>276</v>
      </c>
      <c r="F509" t="s">
        <v>79</v>
      </c>
      <c r="G509">
        <v>22</v>
      </c>
      <c r="H509" t="s">
        <v>113</v>
      </c>
      <c r="I509" t="s">
        <v>99</v>
      </c>
      <c r="J509">
        <v>1000</v>
      </c>
      <c r="K509" t="s">
        <v>79</v>
      </c>
      <c r="L509">
        <v>7</v>
      </c>
      <c r="M509">
        <v>427.45000000000005</v>
      </c>
      <c r="N509">
        <v>18.599999999999998</v>
      </c>
      <c r="Q509">
        <v>408.85</v>
      </c>
    </row>
    <row r="510" spans="1:17" x14ac:dyDescent="0.25">
      <c r="A510" t="s">
        <v>46</v>
      </c>
      <c r="B510">
        <v>4</v>
      </c>
      <c r="C510" t="s">
        <v>289</v>
      </c>
      <c r="D510" s="39">
        <v>45857</v>
      </c>
      <c r="E510" t="s">
        <v>276</v>
      </c>
      <c r="F510" t="s">
        <v>79</v>
      </c>
      <c r="G510">
        <v>22</v>
      </c>
      <c r="H510" t="s">
        <v>113</v>
      </c>
      <c r="I510" t="s">
        <v>99</v>
      </c>
      <c r="J510">
        <v>1000</v>
      </c>
      <c r="K510" t="s">
        <v>79</v>
      </c>
      <c r="L510">
        <v>11</v>
      </c>
      <c r="M510">
        <v>644.6</v>
      </c>
      <c r="N510">
        <v>30.799999999999997</v>
      </c>
      <c r="Q510">
        <v>613.80000000000007</v>
      </c>
    </row>
    <row r="511" spans="1:17" x14ac:dyDescent="0.25">
      <c r="A511" t="s">
        <v>45</v>
      </c>
      <c r="B511">
        <v>5</v>
      </c>
      <c r="C511" t="s">
        <v>131</v>
      </c>
      <c r="D511" s="39">
        <v>45857</v>
      </c>
      <c r="E511" t="s">
        <v>194</v>
      </c>
      <c r="F511" t="s">
        <v>79</v>
      </c>
      <c r="G511">
        <v>11</v>
      </c>
      <c r="H511">
        <v>5</v>
      </c>
      <c r="I511">
        <v>0</v>
      </c>
      <c r="J511" t="s">
        <v>81</v>
      </c>
      <c r="K511" t="s">
        <v>79</v>
      </c>
      <c r="L511">
        <v>3</v>
      </c>
      <c r="M511">
        <v>113.9</v>
      </c>
      <c r="N511">
        <v>0.30000000000000004</v>
      </c>
      <c r="Q511">
        <v>113.60000000000001</v>
      </c>
    </row>
    <row r="512" spans="1:17" x14ac:dyDescent="0.25">
      <c r="A512" t="s">
        <v>45</v>
      </c>
      <c r="B512">
        <v>5</v>
      </c>
      <c r="C512" t="s">
        <v>85</v>
      </c>
      <c r="D512" s="39">
        <v>45857</v>
      </c>
      <c r="E512" t="s">
        <v>194</v>
      </c>
      <c r="F512" t="s">
        <v>79</v>
      </c>
      <c r="G512">
        <v>12</v>
      </c>
      <c r="H512">
        <v>5</v>
      </c>
      <c r="I512">
        <v>0</v>
      </c>
      <c r="J512" t="s">
        <v>81</v>
      </c>
      <c r="K512" t="s">
        <v>79</v>
      </c>
      <c r="L512">
        <v>9</v>
      </c>
      <c r="M512">
        <v>419.40999999999997</v>
      </c>
      <c r="N512">
        <v>1.08</v>
      </c>
      <c r="Q512">
        <v>418.33</v>
      </c>
    </row>
    <row r="513" spans="1:17" x14ac:dyDescent="0.25">
      <c r="A513" t="s">
        <v>46</v>
      </c>
      <c r="B513">
        <v>5</v>
      </c>
      <c r="C513" t="s">
        <v>85</v>
      </c>
      <c r="D513" s="39">
        <v>45857</v>
      </c>
      <c r="E513" t="s">
        <v>194</v>
      </c>
      <c r="F513" t="s">
        <v>79</v>
      </c>
      <c r="G513">
        <v>12</v>
      </c>
      <c r="H513">
        <v>5</v>
      </c>
      <c r="I513">
        <v>0</v>
      </c>
      <c r="J513" t="s">
        <v>81</v>
      </c>
      <c r="K513" t="s">
        <v>79</v>
      </c>
      <c r="L513">
        <v>11</v>
      </c>
      <c r="M513">
        <v>471.92999999999995</v>
      </c>
      <c r="N513">
        <v>16.5</v>
      </c>
      <c r="Q513">
        <v>455.42999999999995</v>
      </c>
    </row>
    <row r="514" spans="1:17" x14ac:dyDescent="0.25">
      <c r="A514" t="s">
        <v>45</v>
      </c>
      <c r="B514">
        <v>1</v>
      </c>
      <c r="C514" t="s">
        <v>290</v>
      </c>
      <c r="D514" s="39">
        <v>45859</v>
      </c>
      <c r="E514" t="s">
        <v>291</v>
      </c>
      <c r="F514" t="s">
        <v>79</v>
      </c>
      <c r="G514">
        <v>5</v>
      </c>
      <c r="H514">
        <v>5</v>
      </c>
      <c r="I514">
        <v>0</v>
      </c>
      <c r="J514">
        <v>200</v>
      </c>
      <c r="K514" t="s">
        <v>79</v>
      </c>
      <c r="L514">
        <v>3</v>
      </c>
      <c r="M514">
        <v>46.8</v>
      </c>
      <c r="N514">
        <v>1.35</v>
      </c>
      <c r="O514">
        <v>47</v>
      </c>
      <c r="Q514">
        <v>45.449999999999996</v>
      </c>
    </row>
    <row r="515" spans="1:17" x14ac:dyDescent="0.25">
      <c r="A515" t="s">
        <v>46</v>
      </c>
      <c r="B515">
        <v>1</v>
      </c>
      <c r="C515" t="s">
        <v>290</v>
      </c>
      <c r="D515" s="39">
        <v>45859</v>
      </c>
      <c r="E515" t="s">
        <v>291</v>
      </c>
      <c r="F515" t="s">
        <v>79</v>
      </c>
      <c r="G515">
        <v>5</v>
      </c>
      <c r="H515">
        <v>5</v>
      </c>
      <c r="I515">
        <v>0</v>
      </c>
      <c r="J515">
        <v>200</v>
      </c>
      <c r="K515" t="s">
        <v>79</v>
      </c>
      <c r="L515">
        <v>8</v>
      </c>
      <c r="M515">
        <v>153.27000000000001</v>
      </c>
      <c r="N515">
        <v>3.6</v>
      </c>
      <c r="O515">
        <v>34</v>
      </c>
      <c r="Q515">
        <v>149.67000000000002</v>
      </c>
    </row>
    <row r="516" spans="1:17" x14ac:dyDescent="0.25">
      <c r="A516" t="s">
        <v>45</v>
      </c>
      <c r="B516">
        <v>2</v>
      </c>
      <c r="C516" t="s">
        <v>287</v>
      </c>
      <c r="D516" s="39">
        <v>45859</v>
      </c>
      <c r="E516" t="s">
        <v>238</v>
      </c>
      <c r="F516" t="s">
        <v>79</v>
      </c>
      <c r="G516">
        <v>2.5</v>
      </c>
      <c r="H516">
        <v>5</v>
      </c>
      <c r="I516">
        <v>0</v>
      </c>
      <c r="J516">
        <v>250</v>
      </c>
      <c r="K516" t="s">
        <v>79</v>
      </c>
      <c r="L516">
        <v>9</v>
      </c>
      <c r="M516">
        <v>84.800000000000011</v>
      </c>
      <c r="N516">
        <v>2.25</v>
      </c>
      <c r="Q516">
        <v>82.550000000000011</v>
      </c>
    </row>
    <row r="517" spans="1:17" x14ac:dyDescent="0.25">
      <c r="A517" t="s">
        <v>46</v>
      </c>
      <c r="B517">
        <v>2</v>
      </c>
      <c r="C517" t="s">
        <v>287</v>
      </c>
      <c r="D517" s="39">
        <v>45859</v>
      </c>
      <c r="E517" t="s">
        <v>238</v>
      </c>
      <c r="F517" t="s">
        <v>79</v>
      </c>
      <c r="G517">
        <v>2.5</v>
      </c>
      <c r="H517">
        <v>5</v>
      </c>
      <c r="I517">
        <v>0</v>
      </c>
      <c r="J517">
        <v>250</v>
      </c>
      <c r="K517" t="s">
        <v>79</v>
      </c>
      <c r="L517">
        <v>10</v>
      </c>
      <c r="M517">
        <v>112.63999999999999</v>
      </c>
      <c r="N517">
        <v>2.5</v>
      </c>
      <c r="Q517">
        <v>110.13999999999999</v>
      </c>
    </row>
    <row r="518" spans="1:17" x14ac:dyDescent="0.25">
      <c r="A518" t="s">
        <v>45</v>
      </c>
      <c r="B518">
        <v>3</v>
      </c>
      <c r="C518" t="s">
        <v>94</v>
      </c>
      <c r="D518" s="39">
        <v>45859</v>
      </c>
      <c r="E518" t="s">
        <v>194</v>
      </c>
      <c r="F518" t="s">
        <v>79</v>
      </c>
      <c r="G518">
        <v>8</v>
      </c>
      <c r="H518">
        <v>5</v>
      </c>
      <c r="I518">
        <v>0</v>
      </c>
      <c r="J518" t="s">
        <v>81</v>
      </c>
      <c r="K518" t="s">
        <v>79</v>
      </c>
      <c r="L518">
        <v>7</v>
      </c>
      <c r="M518">
        <v>242.49000000000004</v>
      </c>
      <c r="N518">
        <v>6.3</v>
      </c>
      <c r="Q518">
        <v>236.19000000000003</v>
      </c>
    </row>
    <row r="519" spans="1:17" x14ac:dyDescent="0.25">
      <c r="A519" t="s">
        <v>46</v>
      </c>
      <c r="B519">
        <v>3</v>
      </c>
      <c r="C519" t="s">
        <v>94</v>
      </c>
      <c r="D519" s="39">
        <v>45859</v>
      </c>
      <c r="E519" t="s">
        <v>194</v>
      </c>
      <c r="F519" t="s">
        <v>79</v>
      </c>
      <c r="G519">
        <v>8</v>
      </c>
      <c r="H519">
        <v>5</v>
      </c>
      <c r="I519">
        <v>0</v>
      </c>
      <c r="J519" t="s">
        <v>81</v>
      </c>
      <c r="K519" t="s">
        <v>79</v>
      </c>
      <c r="L519">
        <v>3</v>
      </c>
      <c r="M519">
        <v>139.1</v>
      </c>
      <c r="N519">
        <v>3.1500000000000004</v>
      </c>
      <c r="Q519">
        <v>135.94999999999999</v>
      </c>
    </row>
    <row r="520" spans="1:17" x14ac:dyDescent="0.25">
      <c r="A520" t="s">
        <v>46</v>
      </c>
      <c r="B520">
        <v>3</v>
      </c>
      <c r="C520" t="s">
        <v>292</v>
      </c>
      <c r="D520" s="39">
        <v>45859</v>
      </c>
      <c r="E520" t="s">
        <v>293</v>
      </c>
      <c r="F520" t="s">
        <v>79</v>
      </c>
      <c r="G520">
        <v>7</v>
      </c>
      <c r="H520">
        <v>10</v>
      </c>
      <c r="I520">
        <v>0</v>
      </c>
      <c r="J520">
        <v>100</v>
      </c>
      <c r="K520" t="s">
        <v>79</v>
      </c>
      <c r="L520">
        <v>4</v>
      </c>
      <c r="M520">
        <v>107.79999999999998</v>
      </c>
      <c r="N520">
        <v>3.6</v>
      </c>
      <c r="Q520">
        <v>104.19999999999999</v>
      </c>
    </row>
    <row r="521" spans="1:17" x14ac:dyDescent="0.25">
      <c r="A521" t="s">
        <v>46</v>
      </c>
      <c r="B521">
        <v>3</v>
      </c>
      <c r="C521" t="s">
        <v>257</v>
      </c>
      <c r="D521" s="39">
        <v>45859</v>
      </c>
      <c r="E521" t="s">
        <v>203</v>
      </c>
      <c r="F521" t="s">
        <v>79</v>
      </c>
      <c r="G521">
        <v>7</v>
      </c>
      <c r="H521">
        <v>4.5</v>
      </c>
      <c r="I521">
        <v>0</v>
      </c>
      <c r="J521">
        <v>50</v>
      </c>
      <c r="K521" t="s">
        <v>79</v>
      </c>
      <c r="L521">
        <v>3</v>
      </c>
      <c r="M521">
        <v>95.47</v>
      </c>
      <c r="N521">
        <v>2.7</v>
      </c>
      <c r="Q521">
        <v>92.77</v>
      </c>
    </row>
    <row r="522" spans="1:17" x14ac:dyDescent="0.25">
      <c r="A522" t="s">
        <v>45</v>
      </c>
      <c r="B522">
        <v>4</v>
      </c>
      <c r="C522" t="s">
        <v>294</v>
      </c>
      <c r="D522" s="39">
        <v>45859</v>
      </c>
      <c r="E522" t="s">
        <v>276</v>
      </c>
      <c r="F522" t="s">
        <v>79</v>
      </c>
      <c r="G522">
        <v>18</v>
      </c>
      <c r="H522" t="s">
        <v>113</v>
      </c>
      <c r="I522" t="s">
        <v>99</v>
      </c>
      <c r="J522">
        <v>1000</v>
      </c>
      <c r="K522" t="s">
        <v>79</v>
      </c>
      <c r="L522">
        <v>9</v>
      </c>
      <c r="M522">
        <v>466</v>
      </c>
      <c r="N522">
        <v>1.6199999999999999</v>
      </c>
      <c r="Q522">
        <v>464.38</v>
      </c>
    </row>
    <row r="523" spans="1:17" x14ac:dyDescent="0.25">
      <c r="A523" t="s">
        <v>46</v>
      </c>
      <c r="B523">
        <v>4</v>
      </c>
      <c r="C523" t="s">
        <v>294</v>
      </c>
      <c r="D523" s="39">
        <v>45859</v>
      </c>
      <c r="E523" t="s">
        <v>276</v>
      </c>
      <c r="F523" t="s">
        <v>79</v>
      </c>
      <c r="G523">
        <v>18</v>
      </c>
      <c r="H523" t="s">
        <v>113</v>
      </c>
      <c r="I523" t="s">
        <v>99</v>
      </c>
      <c r="J523">
        <v>1000</v>
      </c>
      <c r="K523" t="s">
        <v>79</v>
      </c>
      <c r="L523">
        <v>12</v>
      </c>
      <c r="M523">
        <v>655.83999999999992</v>
      </c>
      <c r="N523">
        <v>25.15</v>
      </c>
      <c r="Q523">
        <v>630.68999999999994</v>
      </c>
    </row>
    <row r="524" spans="1:17" x14ac:dyDescent="0.25">
      <c r="A524" t="s">
        <v>46</v>
      </c>
      <c r="B524">
        <v>4</v>
      </c>
      <c r="C524" t="s">
        <v>101</v>
      </c>
      <c r="D524" s="39">
        <v>45859</v>
      </c>
      <c r="E524" t="s">
        <v>194</v>
      </c>
      <c r="F524" t="s">
        <v>79</v>
      </c>
      <c r="G524">
        <v>18</v>
      </c>
      <c r="H524">
        <v>5</v>
      </c>
      <c r="I524">
        <v>0</v>
      </c>
      <c r="J524" t="s">
        <v>81</v>
      </c>
      <c r="K524" t="s">
        <v>79</v>
      </c>
      <c r="L524">
        <v>2</v>
      </c>
      <c r="M524">
        <v>111.5</v>
      </c>
      <c r="N524">
        <v>8.8000000000000007</v>
      </c>
      <c r="Q524">
        <v>102.7</v>
      </c>
    </row>
    <row r="525" spans="1:17" x14ac:dyDescent="0.25">
      <c r="A525" t="s">
        <v>45</v>
      </c>
      <c r="B525">
        <v>5</v>
      </c>
      <c r="C525" t="s">
        <v>95</v>
      </c>
      <c r="D525" s="39">
        <v>45859</v>
      </c>
      <c r="E525" t="s">
        <v>194</v>
      </c>
      <c r="F525" t="s">
        <v>79</v>
      </c>
      <c r="G525">
        <v>14</v>
      </c>
      <c r="H525">
        <v>5</v>
      </c>
      <c r="I525">
        <v>0</v>
      </c>
      <c r="J525" t="s">
        <v>81</v>
      </c>
      <c r="K525" t="s">
        <v>79</v>
      </c>
      <c r="L525">
        <v>11</v>
      </c>
      <c r="M525">
        <v>385.2</v>
      </c>
      <c r="N525">
        <v>19.25</v>
      </c>
      <c r="Q525">
        <v>365.95</v>
      </c>
    </row>
    <row r="526" spans="1:17" x14ac:dyDescent="0.25">
      <c r="A526" t="s">
        <v>45</v>
      </c>
      <c r="B526">
        <v>5</v>
      </c>
      <c r="C526" t="s">
        <v>295</v>
      </c>
      <c r="D526" s="39">
        <v>45859</v>
      </c>
      <c r="E526" t="s">
        <v>293</v>
      </c>
      <c r="F526" t="s">
        <v>79</v>
      </c>
      <c r="G526">
        <v>14</v>
      </c>
      <c r="H526">
        <v>10</v>
      </c>
      <c r="I526">
        <v>0</v>
      </c>
      <c r="J526">
        <v>100</v>
      </c>
      <c r="K526" t="s">
        <v>79</v>
      </c>
      <c r="L526">
        <v>2</v>
      </c>
      <c r="M526">
        <v>46.1</v>
      </c>
      <c r="N526">
        <v>3.5</v>
      </c>
      <c r="Q526">
        <v>42.6</v>
      </c>
    </row>
    <row r="527" spans="1:17" x14ac:dyDescent="0.25">
      <c r="A527" t="s">
        <v>45</v>
      </c>
      <c r="B527">
        <v>5</v>
      </c>
      <c r="C527" t="s">
        <v>269</v>
      </c>
      <c r="D527" s="39">
        <v>45859</v>
      </c>
      <c r="E527" t="s">
        <v>270</v>
      </c>
      <c r="F527" t="s">
        <v>79</v>
      </c>
      <c r="G527">
        <v>14</v>
      </c>
      <c r="H527" t="s">
        <v>98</v>
      </c>
      <c r="I527" t="s">
        <v>114</v>
      </c>
      <c r="J527">
        <v>100</v>
      </c>
      <c r="K527" t="s">
        <v>79</v>
      </c>
      <c r="L527">
        <v>1</v>
      </c>
      <c r="M527">
        <v>14.3</v>
      </c>
      <c r="N527">
        <v>1.75</v>
      </c>
      <c r="Q527">
        <v>12.55</v>
      </c>
    </row>
    <row r="528" spans="1:17" x14ac:dyDescent="0.25">
      <c r="A528" t="s">
        <v>46</v>
      </c>
      <c r="B528">
        <v>5</v>
      </c>
      <c r="C528" t="s">
        <v>295</v>
      </c>
      <c r="D528" s="39">
        <v>45859</v>
      </c>
      <c r="E528" t="s">
        <v>293</v>
      </c>
      <c r="F528" t="s">
        <v>79</v>
      </c>
      <c r="G528">
        <v>14</v>
      </c>
      <c r="H528">
        <v>10</v>
      </c>
      <c r="I528">
        <v>0</v>
      </c>
      <c r="J528">
        <v>100</v>
      </c>
      <c r="K528" t="s">
        <v>79</v>
      </c>
      <c r="L528">
        <v>2</v>
      </c>
      <c r="M528">
        <v>60.8</v>
      </c>
      <c r="N528">
        <v>3.4</v>
      </c>
      <c r="Q528">
        <v>57.4</v>
      </c>
    </row>
    <row r="529" spans="1:17" x14ac:dyDescent="0.25">
      <c r="A529" t="s">
        <v>46</v>
      </c>
      <c r="B529">
        <v>5</v>
      </c>
      <c r="C529" t="s">
        <v>95</v>
      </c>
      <c r="D529" s="39">
        <v>45859</v>
      </c>
      <c r="E529" t="s">
        <v>194</v>
      </c>
      <c r="F529" t="s">
        <v>79</v>
      </c>
      <c r="G529">
        <v>14</v>
      </c>
      <c r="H529">
        <v>5</v>
      </c>
      <c r="I529">
        <v>0</v>
      </c>
      <c r="J529" t="s">
        <v>81</v>
      </c>
      <c r="K529" t="s">
        <v>79</v>
      </c>
      <c r="L529">
        <v>5</v>
      </c>
      <c r="M529">
        <v>284.59999999999997</v>
      </c>
      <c r="N529">
        <v>8.5</v>
      </c>
      <c r="Q529">
        <v>276.09999999999997</v>
      </c>
    </row>
    <row r="530" spans="1:17" x14ac:dyDescent="0.25">
      <c r="A530" t="s">
        <v>46</v>
      </c>
      <c r="B530">
        <v>5</v>
      </c>
      <c r="C530" t="s">
        <v>88</v>
      </c>
      <c r="D530" s="39">
        <v>45859</v>
      </c>
      <c r="E530" t="s">
        <v>194</v>
      </c>
      <c r="F530" t="s">
        <v>79</v>
      </c>
      <c r="G530">
        <v>10</v>
      </c>
      <c r="H530">
        <v>5</v>
      </c>
      <c r="I530">
        <v>0</v>
      </c>
      <c r="J530" t="s">
        <v>81</v>
      </c>
      <c r="K530" t="s">
        <v>79</v>
      </c>
      <c r="L530">
        <v>4</v>
      </c>
      <c r="M530">
        <v>168.8</v>
      </c>
      <c r="N530">
        <v>4.4000000000000004</v>
      </c>
      <c r="Q530">
        <v>164.4</v>
      </c>
    </row>
    <row r="531" spans="1:17" x14ac:dyDescent="0.25">
      <c r="A531" t="s">
        <v>45</v>
      </c>
      <c r="B531">
        <v>1</v>
      </c>
      <c r="C531" t="s">
        <v>296</v>
      </c>
      <c r="D531" s="39">
        <v>45860</v>
      </c>
      <c r="E531" t="s">
        <v>291</v>
      </c>
      <c r="F531" t="s">
        <v>79</v>
      </c>
      <c r="G531">
        <v>5</v>
      </c>
      <c r="H531">
        <v>5</v>
      </c>
      <c r="I531">
        <v>0</v>
      </c>
      <c r="J531">
        <v>200</v>
      </c>
      <c r="K531" t="s">
        <v>79</v>
      </c>
      <c r="L531">
        <v>1</v>
      </c>
      <c r="M531">
        <v>18.7</v>
      </c>
      <c r="N531">
        <v>0.45</v>
      </c>
      <c r="O531">
        <v>17</v>
      </c>
      <c r="Q531">
        <v>18.25</v>
      </c>
    </row>
    <row r="532" spans="1:17" x14ac:dyDescent="0.25">
      <c r="A532" t="s">
        <v>45</v>
      </c>
      <c r="B532">
        <v>1</v>
      </c>
      <c r="C532" t="s">
        <v>297</v>
      </c>
      <c r="D532" s="39">
        <v>45860</v>
      </c>
      <c r="E532" t="s">
        <v>298</v>
      </c>
      <c r="F532" t="s">
        <v>79</v>
      </c>
      <c r="G532">
        <v>4.5</v>
      </c>
      <c r="H532">
        <v>5</v>
      </c>
      <c r="I532">
        <v>0</v>
      </c>
      <c r="J532">
        <v>150</v>
      </c>
      <c r="K532" t="s">
        <v>79</v>
      </c>
      <c r="L532">
        <v>10</v>
      </c>
      <c r="M532">
        <v>177.72</v>
      </c>
      <c r="N532">
        <v>4.5</v>
      </c>
      <c r="Q532">
        <v>173.22</v>
      </c>
    </row>
    <row r="533" spans="1:17" x14ac:dyDescent="0.25">
      <c r="A533" t="s">
        <v>46</v>
      </c>
      <c r="B533">
        <v>1</v>
      </c>
      <c r="C533" t="s">
        <v>297</v>
      </c>
      <c r="D533" s="39">
        <v>45860</v>
      </c>
      <c r="E533" t="s">
        <v>298</v>
      </c>
      <c r="F533" t="s">
        <v>79</v>
      </c>
      <c r="G533">
        <v>4.5</v>
      </c>
      <c r="H533">
        <v>5</v>
      </c>
      <c r="I533">
        <v>0</v>
      </c>
      <c r="J533">
        <v>150</v>
      </c>
      <c r="K533" t="s">
        <v>79</v>
      </c>
      <c r="L533">
        <v>3</v>
      </c>
      <c r="M533">
        <v>60.64</v>
      </c>
      <c r="N533">
        <v>1.35</v>
      </c>
      <c r="O533">
        <v>31</v>
      </c>
      <c r="Q533">
        <v>59.29</v>
      </c>
    </row>
    <row r="534" spans="1:17" x14ac:dyDescent="0.25">
      <c r="A534" t="s">
        <v>46</v>
      </c>
      <c r="B534">
        <v>1</v>
      </c>
      <c r="C534" t="s">
        <v>299</v>
      </c>
      <c r="D534" s="39">
        <v>45860</v>
      </c>
      <c r="E534" t="s">
        <v>300</v>
      </c>
      <c r="F534" t="s">
        <v>79</v>
      </c>
      <c r="G534">
        <v>4</v>
      </c>
      <c r="H534">
        <v>8</v>
      </c>
      <c r="I534">
        <v>0</v>
      </c>
      <c r="J534">
        <v>100</v>
      </c>
      <c r="K534" t="s">
        <v>79</v>
      </c>
      <c r="L534">
        <v>5</v>
      </c>
      <c r="M534">
        <v>90.92</v>
      </c>
      <c r="N534">
        <v>2</v>
      </c>
      <c r="Q534">
        <v>88.92</v>
      </c>
    </row>
    <row r="535" spans="1:17" x14ac:dyDescent="0.25">
      <c r="A535" t="s">
        <v>45</v>
      </c>
      <c r="B535">
        <v>2</v>
      </c>
      <c r="C535" t="s">
        <v>287</v>
      </c>
      <c r="D535" s="39">
        <v>45860</v>
      </c>
      <c r="E535" t="s">
        <v>238</v>
      </c>
      <c r="F535" t="s">
        <v>79</v>
      </c>
      <c r="G535">
        <v>2.5</v>
      </c>
      <c r="H535">
        <v>5</v>
      </c>
      <c r="I535">
        <v>0</v>
      </c>
      <c r="J535">
        <v>250</v>
      </c>
      <c r="K535" t="s">
        <v>79</v>
      </c>
      <c r="L535">
        <v>11</v>
      </c>
      <c r="M535">
        <v>105.8</v>
      </c>
      <c r="N535">
        <v>2.75</v>
      </c>
      <c r="Q535">
        <v>103.05</v>
      </c>
    </row>
    <row r="536" spans="1:17" x14ac:dyDescent="0.25">
      <c r="A536" t="s">
        <v>46</v>
      </c>
      <c r="B536">
        <v>2</v>
      </c>
      <c r="C536" t="s">
        <v>287</v>
      </c>
      <c r="D536" s="39">
        <v>45860</v>
      </c>
      <c r="E536" t="s">
        <v>238</v>
      </c>
      <c r="F536" t="s">
        <v>79</v>
      </c>
      <c r="G536">
        <v>2.5</v>
      </c>
      <c r="H536">
        <v>5</v>
      </c>
      <c r="I536">
        <v>0</v>
      </c>
      <c r="J536">
        <v>250</v>
      </c>
      <c r="K536" t="s">
        <v>79</v>
      </c>
      <c r="L536">
        <v>4</v>
      </c>
      <c r="M536">
        <v>44.800000000000004</v>
      </c>
      <c r="N536">
        <v>1</v>
      </c>
      <c r="Q536">
        <v>43.800000000000004</v>
      </c>
    </row>
    <row r="537" spans="1:17" x14ac:dyDescent="0.25">
      <c r="A537" t="s">
        <v>46</v>
      </c>
      <c r="B537">
        <v>2</v>
      </c>
      <c r="C537" t="s">
        <v>301</v>
      </c>
      <c r="D537" s="39">
        <v>45860</v>
      </c>
      <c r="E537" t="s">
        <v>302</v>
      </c>
      <c r="F537" t="s">
        <v>79</v>
      </c>
      <c r="G537">
        <v>3.5</v>
      </c>
      <c r="H537">
        <v>5</v>
      </c>
      <c r="I537">
        <v>0</v>
      </c>
      <c r="J537">
        <v>100</v>
      </c>
      <c r="K537" t="s">
        <v>79</v>
      </c>
      <c r="L537">
        <v>6</v>
      </c>
      <c r="M537">
        <v>87.84</v>
      </c>
      <c r="N537">
        <v>2.0999999999999996</v>
      </c>
      <c r="Q537">
        <v>85.740000000000009</v>
      </c>
    </row>
    <row r="538" spans="1:17" x14ac:dyDescent="0.25">
      <c r="A538" t="s">
        <v>45</v>
      </c>
      <c r="B538">
        <v>3</v>
      </c>
      <c r="C538" t="s">
        <v>257</v>
      </c>
      <c r="D538" s="39">
        <v>45860</v>
      </c>
      <c r="E538" t="s">
        <v>203</v>
      </c>
      <c r="F538" t="s">
        <v>79</v>
      </c>
      <c r="G538">
        <v>7</v>
      </c>
      <c r="H538">
        <v>4.5</v>
      </c>
      <c r="I538">
        <v>0</v>
      </c>
      <c r="J538">
        <v>50</v>
      </c>
      <c r="K538" t="s">
        <v>79</v>
      </c>
      <c r="L538">
        <v>3</v>
      </c>
      <c r="M538">
        <v>93.300000000000011</v>
      </c>
      <c r="N538">
        <v>2.4000000000000004</v>
      </c>
      <c r="Q538">
        <v>90.9</v>
      </c>
    </row>
    <row r="539" spans="1:17" x14ac:dyDescent="0.25">
      <c r="A539" t="s">
        <v>45</v>
      </c>
      <c r="B539">
        <v>3</v>
      </c>
      <c r="C539" t="s">
        <v>260</v>
      </c>
      <c r="D539" s="39">
        <v>45860</v>
      </c>
      <c r="E539" t="s">
        <v>259</v>
      </c>
      <c r="F539" t="s">
        <v>79</v>
      </c>
      <c r="G539">
        <v>7</v>
      </c>
      <c r="H539">
        <v>5</v>
      </c>
      <c r="I539">
        <v>0</v>
      </c>
      <c r="J539">
        <v>6000</v>
      </c>
      <c r="K539" t="s">
        <v>79</v>
      </c>
      <c r="L539">
        <v>6</v>
      </c>
      <c r="M539">
        <v>203.32</v>
      </c>
      <c r="N539">
        <v>4.8000000000000007</v>
      </c>
      <c r="Q539">
        <v>198.51999999999998</v>
      </c>
    </row>
    <row r="540" spans="1:17" x14ac:dyDescent="0.25">
      <c r="A540" t="s">
        <v>46</v>
      </c>
      <c r="B540">
        <v>3</v>
      </c>
      <c r="C540" t="s">
        <v>260</v>
      </c>
      <c r="D540" s="39">
        <v>45860</v>
      </c>
      <c r="E540" t="s">
        <v>259</v>
      </c>
      <c r="F540" t="s">
        <v>79</v>
      </c>
      <c r="G540">
        <v>7</v>
      </c>
      <c r="H540">
        <v>5</v>
      </c>
      <c r="I540">
        <v>0</v>
      </c>
      <c r="J540">
        <v>6000</v>
      </c>
      <c r="K540" t="s">
        <v>79</v>
      </c>
      <c r="L540">
        <v>9</v>
      </c>
      <c r="M540">
        <v>289.5</v>
      </c>
      <c r="N540">
        <v>7.2</v>
      </c>
      <c r="Q540">
        <v>282.3</v>
      </c>
    </row>
    <row r="541" spans="1:17" x14ac:dyDescent="0.25">
      <c r="A541" t="s">
        <v>45</v>
      </c>
      <c r="B541">
        <v>4</v>
      </c>
      <c r="C541" t="s">
        <v>101</v>
      </c>
      <c r="D541" s="39">
        <v>45860</v>
      </c>
      <c r="E541" t="s">
        <v>194</v>
      </c>
      <c r="F541" t="s">
        <v>79</v>
      </c>
      <c r="G541">
        <v>18</v>
      </c>
      <c r="H541">
        <v>5</v>
      </c>
      <c r="I541">
        <v>0</v>
      </c>
      <c r="J541" t="s">
        <v>81</v>
      </c>
      <c r="K541" t="s">
        <v>79</v>
      </c>
      <c r="L541">
        <v>11</v>
      </c>
      <c r="M541">
        <v>587.99999999999989</v>
      </c>
      <c r="N541">
        <v>24.200000000000003</v>
      </c>
      <c r="Q541">
        <v>563.79999999999984</v>
      </c>
    </row>
    <row r="542" spans="1:17" x14ac:dyDescent="0.25">
      <c r="A542" t="s">
        <v>45</v>
      </c>
      <c r="B542">
        <v>4</v>
      </c>
      <c r="C542" t="s">
        <v>303</v>
      </c>
      <c r="D542" s="39">
        <v>45860</v>
      </c>
      <c r="E542" t="s">
        <v>304</v>
      </c>
      <c r="F542" t="s">
        <v>79</v>
      </c>
      <c r="G542">
        <v>18</v>
      </c>
      <c r="H542" t="s">
        <v>135</v>
      </c>
      <c r="I542">
        <v>0</v>
      </c>
      <c r="J542">
        <v>100</v>
      </c>
      <c r="K542" t="s">
        <v>79</v>
      </c>
      <c r="L542">
        <v>2</v>
      </c>
      <c r="M542">
        <v>100.19</v>
      </c>
      <c r="N542">
        <v>0.36</v>
      </c>
      <c r="Q542">
        <v>99.83</v>
      </c>
    </row>
    <row r="543" spans="1:17" x14ac:dyDescent="0.25">
      <c r="A543" t="s">
        <v>45</v>
      </c>
      <c r="B543">
        <v>4</v>
      </c>
      <c r="C543" t="s">
        <v>305</v>
      </c>
      <c r="D543" s="39">
        <v>45860</v>
      </c>
      <c r="E543" t="s">
        <v>306</v>
      </c>
      <c r="F543" t="s">
        <v>79</v>
      </c>
      <c r="G543">
        <v>17</v>
      </c>
      <c r="H543" t="s">
        <v>113</v>
      </c>
      <c r="I543" t="s">
        <v>99</v>
      </c>
      <c r="J543">
        <v>100</v>
      </c>
      <c r="K543" t="s">
        <v>79</v>
      </c>
      <c r="L543">
        <v>1</v>
      </c>
      <c r="M543">
        <v>45.7</v>
      </c>
      <c r="N543">
        <v>0.17</v>
      </c>
      <c r="Q543">
        <v>45.53</v>
      </c>
    </row>
    <row r="544" spans="1:17" x14ac:dyDescent="0.25">
      <c r="A544" t="s">
        <v>46</v>
      </c>
      <c r="B544">
        <v>4</v>
      </c>
      <c r="C544" t="s">
        <v>305</v>
      </c>
      <c r="D544" s="39">
        <v>45860</v>
      </c>
      <c r="E544" t="s">
        <v>306</v>
      </c>
      <c r="F544" t="s">
        <v>79</v>
      </c>
      <c r="G544">
        <v>17</v>
      </c>
      <c r="H544" t="s">
        <v>113</v>
      </c>
      <c r="I544" t="s">
        <v>99</v>
      </c>
      <c r="J544">
        <v>100</v>
      </c>
      <c r="K544" t="s">
        <v>79</v>
      </c>
      <c r="L544">
        <v>2</v>
      </c>
      <c r="M544">
        <v>116.5</v>
      </c>
      <c r="N544">
        <v>3.8</v>
      </c>
      <c r="Q544">
        <v>112.7</v>
      </c>
    </row>
    <row r="545" spans="1:17" x14ac:dyDescent="0.25">
      <c r="A545" t="s">
        <v>46</v>
      </c>
      <c r="B545">
        <v>4</v>
      </c>
      <c r="C545" t="s">
        <v>307</v>
      </c>
      <c r="D545" s="39">
        <v>45860</v>
      </c>
      <c r="E545" t="s">
        <v>308</v>
      </c>
      <c r="F545" t="s">
        <v>79</v>
      </c>
      <c r="G545">
        <v>16</v>
      </c>
      <c r="H545" t="s">
        <v>144</v>
      </c>
      <c r="I545" t="s">
        <v>114</v>
      </c>
      <c r="J545">
        <v>100</v>
      </c>
      <c r="K545" t="s">
        <v>79</v>
      </c>
      <c r="L545">
        <v>2</v>
      </c>
      <c r="M545">
        <v>110.2</v>
      </c>
      <c r="N545">
        <v>3.9</v>
      </c>
      <c r="Q545">
        <v>106.3</v>
      </c>
    </row>
    <row r="546" spans="1:17" x14ac:dyDescent="0.25">
      <c r="A546" t="s">
        <v>46</v>
      </c>
      <c r="B546">
        <v>4</v>
      </c>
      <c r="C546" t="s">
        <v>309</v>
      </c>
      <c r="D546" s="39">
        <v>45860</v>
      </c>
      <c r="E546" t="s">
        <v>276</v>
      </c>
      <c r="F546" t="s">
        <v>79</v>
      </c>
      <c r="G546">
        <v>16</v>
      </c>
      <c r="H546" t="s">
        <v>113</v>
      </c>
      <c r="I546" t="s">
        <v>99</v>
      </c>
      <c r="J546">
        <v>1000</v>
      </c>
      <c r="K546" t="s">
        <v>79</v>
      </c>
      <c r="L546">
        <v>6</v>
      </c>
      <c r="M546">
        <v>300.76</v>
      </c>
      <c r="N546">
        <v>11.5</v>
      </c>
      <c r="Q546">
        <v>289.26</v>
      </c>
    </row>
    <row r="547" spans="1:17" x14ac:dyDescent="0.25">
      <c r="A547" t="s">
        <v>46</v>
      </c>
      <c r="B547">
        <v>4</v>
      </c>
      <c r="C547" t="s">
        <v>310</v>
      </c>
      <c r="D547" s="39">
        <v>45860</v>
      </c>
      <c r="E547" t="s">
        <v>306</v>
      </c>
      <c r="F547" t="s">
        <v>79</v>
      </c>
      <c r="G547">
        <v>17</v>
      </c>
      <c r="H547" t="s">
        <v>113</v>
      </c>
      <c r="I547" t="s">
        <v>99</v>
      </c>
      <c r="J547">
        <v>200</v>
      </c>
      <c r="K547" t="s">
        <v>79</v>
      </c>
      <c r="L547">
        <v>4</v>
      </c>
      <c r="M547">
        <v>215.10000000000002</v>
      </c>
      <c r="N547">
        <v>7.6</v>
      </c>
      <c r="Q547">
        <v>207.50000000000003</v>
      </c>
    </row>
    <row r="548" spans="1:17" x14ac:dyDescent="0.25">
      <c r="A548" t="s">
        <v>45</v>
      </c>
      <c r="B548">
        <v>5</v>
      </c>
      <c r="C548" t="s">
        <v>311</v>
      </c>
      <c r="D548" s="39">
        <v>45860</v>
      </c>
      <c r="E548" t="s">
        <v>262</v>
      </c>
      <c r="F548" t="s">
        <v>79</v>
      </c>
      <c r="G548">
        <v>10</v>
      </c>
      <c r="H548">
        <v>8</v>
      </c>
      <c r="I548">
        <v>0</v>
      </c>
      <c r="J548">
        <v>50</v>
      </c>
      <c r="K548" t="s">
        <v>79</v>
      </c>
      <c r="L548">
        <v>2</v>
      </c>
      <c r="M548">
        <v>60.5</v>
      </c>
      <c r="N548">
        <v>2.4</v>
      </c>
      <c r="Q548">
        <v>58.1</v>
      </c>
    </row>
    <row r="549" spans="1:17" x14ac:dyDescent="0.25">
      <c r="A549" t="s">
        <v>45</v>
      </c>
      <c r="B549">
        <v>5</v>
      </c>
      <c r="C549" t="s">
        <v>88</v>
      </c>
      <c r="D549" s="39">
        <v>45860</v>
      </c>
      <c r="E549" t="s">
        <v>194</v>
      </c>
      <c r="F549" t="s">
        <v>79</v>
      </c>
      <c r="G549">
        <v>10</v>
      </c>
      <c r="H549">
        <v>5</v>
      </c>
      <c r="I549">
        <v>0</v>
      </c>
      <c r="J549" t="s">
        <v>81</v>
      </c>
      <c r="K549" t="s">
        <v>79</v>
      </c>
      <c r="L549">
        <v>11</v>
      </c>
      <c r="M549">
        <v>451.56999999999988</v>
      </c>
      <c r="N549">
        <v>13.2</v>
      </c>
      <c r="Q549">
        <v>438.36999999999989</v>
      </c>
    </row>
    <row r="550" spans="1:17" x14ac:dyDescent="0.25">
      <c r="A550" t="s">
        <v>46</v>
      </c>
      <c r="B550">
        <v>5</v>
      </c>
      <c r="C550" t="s">
        <v>88</v>
      </c>
      <c r="D550" s="39">
        <v>45860</v>
      </c>
      <c r="E550" t="s">
        <v>194</v>
      </c>
      <c r="F550" t="s">
        <v>79</v>
      </c>
      <c r="G550">
        <v>10</v>
      </c>
      <c r="H550">
        <v>5</v>
      </c>
      <c r="I550">
        <v>0</v>
      </c>
      <c r="J550" t="s">
        <v>81</v>
      </c>
      <c r="K550" t="s">
        <v>79</v>
      </c>
      <c r="L550">
        <v>4</v>
      </c>
      <c r="M550">
        <v>140.9</v>
      </c>
      <c r="N550">
        <v>0.4</v>
      </c>
      <c r="Q550">
        <v>140.5</v>
      </c>
    </row>
    <row r="551" spans="1:17" x14ac:dyDescent="0.25">
      <c r="A551" t="s">
        <v>46</v>
      </c>
      <c r="B551">
        <v>5</v>
      </c>
      <c r="C551" t="s">
        <v>88</v>
      </c>
      <c r="D551" s="39">
        <v>45860</v>
      </c>
      <c r="E551" t="s">
        <v>194</v>
      </c>
      <c r="F551" t="s">
        <v>79</v>
      </c>
      <c r="G551">
        <v>10</v>
      </c>
      <c r="H551">
        <v>5</v>
      </c>
      <c r="I551">
        <v>0</v>
      </c>
      <c r="J551" t="s">
        <v>81</v>
      </c>
      <c r="K551" t="s">
        <v>79</v>
      </c>
      <c r="L551">
        <v>4</v>
      </c>
      <c r="M551">
        <v>206.39</v>
      </c>
      <c r="N551">
        <v>5.05</v>
      </c>
      <c r="Q551">
        <v>201.33999999999997</v>
      </c>
    </row>
    <row r="552" spans="1:17" x14ac:dyDescent="0.25">
      <c r="A552" t="s">
        <v>46</v>
      </c>
      <c r="B552">
        <v>5</v>
      </c>
      <c r="C552" t="s">
        <v>312</v>
      </c>
      <c r="D552" s="39">
        <v>45860</v>
      </c>
      <c r="E552" t="s">
        <v>304</v>
      </c>
      <c r="F552" t="s">
        <v>79</v>
      </c>
      <c r="G552">
        <v>10</v>
      </c>
      <c r="H552" t="s">
        <v>135</v>
      </c>
      <c r="I552">
        <v>0</v>
      </c>
      <c r="J552">
        <v>100</v>
      </c>
      <c r="K552" t="s">
        <v>79</v>
      </c>
      <c r="L552">
        <v>4</v>
      </c>
      <c r="M552">
        <v>113</v>
      </c>
      <c r="N552">
        <v>0.4</v>
      </c>
      <c r="Q552">
        <v>112.6</v>
      </c>
    </row>
    <row r="553" spans="1:17" x14ac:dyDescent="0.25">
      <c r="A553" t="s">
        <v>45</v>
      </c>
      <c r="B553">
        <v>1</v>
      </c>
      <c r="C553" t="s">
        <v>91</v>
      </c>
      <c r="D553" s="39">
        <v>45861</v>
      </c>
      <c r="E553" t="s">
        <v>194</v>
      </c>
      <c r="F553" t="s">
        <v>79</v>
      </c>
      <c r="G553">
        <v>4</v>
      </c>
      <c r="H553" t="s">
        <v>92</v>
      </c>
      <c r="I553">
        <v>0</v>
      </c>
      <c r="J553" t="s">
        <v>81</v>
      </c>
      <c r="K553" t="s">
        <v>79</v>
      </c>
      <c r="L553">
        <v>9</v>
      </c>
      <c r="M553">
        <v>148.56</v>
      </c>
      <c r="N553">
        <v>3.6</v>
      </c>
      <c r="O553">
        <v>26</v>
      </c>
      <c r="Q553">
        <v>144.96</v>
      </c>
    </row>
    <row r="554" spans="1:17" x14ac:dyDescent="0.25">
      <c r="A554" t="s">
        <v>45</v>
      </c>
      <c r="B554">
        <v>1</v>
      </c>
      <c r="C554" t="s">
        <v>313</v>
      </c>
      <c r="D554" s="39">
        <v>45861</v>
      </c>
      <c r="E554" t="s">
        <v>314</v>
      </c>
      <c r="F554" t="s">
        <v>79</v>
      </c>
      <c r="G554">
        <v>4</v>
      </c>
      <c r="H554" t="s">
        <v>98</v>
      </c>
      <c r="I554" t="s">
        <v>114</v>
      </c>
      <c r="J554">
        <v>315</v>
      </c>
      <c r="K554" t="s">
        <v>79</v>
      </c>
      <c r="L554">
        <v>2</v>
      </c>
      <c r="M554">
        <v>28.7</v>
      </c>
      <c r="N554">
        <v>0.8</v>
      </c>
      <c r="Q554">
        <v>27.9</v>
      </c>
    </row>
    <row r="555" spans="1:17" x14ac:dyDescent="0.25">
      <c r="A555" t="s">
        <v>46</v>
      </c>
      <c r="B555">
        <v>1</v>
      </c>
      <c r="C555" t="s">
        <v>313</v>
      </c>
      <c r="D555" s="39">
        <v>45861</v>
      </c>
      <c r="E555" t="s">
        <v>314</v>
      </c>
      <c r="F555" t="s">
        <v>79</v>
      </c>
      <c r="G555">
        <v>4</v>
      </c>
      <c r="H555" t="s">
        <v>98</v>
      </c>
      <c r="I555" t="s">
        <v>114</v>
      </c>
      <c r="J555">
        <v>315</v>
      </c>
      <c r="K555" t="s">
        <v>79</v>
      </c>
      <c r="L555">
        <v>10</v>
      </c>
      <c r="M555">
        <v>172.98</v>
      </c>
      <c r="N555">
        <v>4</v>
      </c>
      <c r="O555">
        <v>43</v>
      </c>
      <c r="Q555">
        <v>168.98</v>
      </c>
    </row>
    <row r="556" spans="1:17" x14ac:dyDescent="0.25">
      <c r="A556" t="s">
        <v>45</v>
      </c>
      <c r="B556">
        <v>2</v>
      </c>
      <c r="C556" t="s">
        <v>301</v>
      </c>
      <c r="D556" s="39">
        <v>45861</v>
      </c>
      <c r="E556" t="s">
        <v>302</v>
      </c>
      <c r="F556" t="s">
        <v>79</v>
      </c>
      <c r="G556">
        <v>3.5</v>
      </c>
      <c r="H556">
        <v>5</v>
      </c>
      <c r="I556">
        <v>0</v>
      </c>
      <c r="J556">
        <v>100</v>
      </c>
      <c r="K556" t="s">
        <v>79</v>
      </c>
      <c r="L556">
        <v>9</v>
      </c>
      <c r="M556">
        <v>105.60000000000001</v>
      </c>
      <c r="N556">
        <v>3.15</v>
      </c>
      <c r="Q556">
        <v>102.45</v>
      </c>
    </row>
    <row r="557" spans="1:17" x14ac:dyDescent="0.25">
      <c r="A557" t="s">
        <v>46</v>
      </c>
      <c r="B557">
        <v>2</v>
      </c>
      <c r="C557" t="s">
        <v>301</v>
      </c>
      <c r="D557" s="39">
        <v>45861</v>
      </c>
      <c r="E557" t="s">
        <v>302</v>
      </c>
      <c r="F557" t="s">
        <v>79</v>
      </c>
      <c r="G557">
        <v>3.5</v>
      </c>
      <c r="H557">
        <v>5</v>
      </c>
      <c r="I557">
        <v>0</v>
      </c>
      <c r="J557">
        <v>100</v>
      </c>
      <c r="K557" t="s">
        <v>79</v>
      </c>
      <c r="L557">
        <v>9</v>
      </c>
      <c r="M557">
        <v>124.49999999999999</v>
      </c>
      <c r="N557">
        <v>3.15</v>
      </c>
      <c r="Q557">
        <v>121.34999999999998</v>
      </c>
    </row>
    <row r="558" spans="1:17" x14ac:dyDescent="0.25">
      <c r="A558" t="s">
        <v>45</v>
      </c>
      <c r="B558">
        <v>3</v>
      </c>
      <c r="C558" t="s">
        <v>260</v>
      </c>
      <c r="D558" s="39">
        <v>45861</v>
      </c>
      <c r="E558" t="s">
        <v>259</v>
      </c>
      <c r="F558" t="s">
        <v>79</v>
      </c>
      <c r="G558">
        <v>7</v>
      </c>
      <c r="H558">
        <v>5</v>
      </c>
      <c r="I558">
        <v>0</v>
      </c>
      <c r="J558">
        <v>6000</v>
      </c>
      <c r="K558" t="s">
        <v>79</v>
      </c>
      <c r="L558">
        <v>10</v>
      </c>
      <c r="M558">
        <v>406</v>
      </c>
      <c r="N558">
        <v>7</v>
      </c>
      <c r="Q558">
        <v>399</v>
      </c>
    </row>
    <row r="559" spans="1:17" x14ac:dyDescent="0.25">
      <c r="A559" t="s">
        <v>46</v>
      </c>
      <c r="B559">
        <v>3</v>
      </c>
      <c r="C559" t="s">
        <v>315</v>
      </c>
      <c r="D559" s="39">
        <v>45861</v>
      </c>
      <c r="E559" t="s">
        <v>293</v>
      </c>
      <c r="F559" t="s">
        <v>79</v>
      </c>
      <c r="G559">
        <v>7</v>
      </c>
      <c r="H559">
        <v>10</v>
      </c>
      <c r="I559">
        <v>0</v>
      </c>
      <c r="J559">
        <v>125</v>
      </c>
      <c r="K559" t="s">
        <v>79</v>
      </c>
      <c r="L559">
        <v>4</v>
      </c>
      <c r="M559">
        <v>135.60000000000002</v>
      </c>
      <c r="N559">
        <v>3.6</v>
      </c>
      <c r="Q559">
        <v>132.00000000000003</v>
      </c>
    </row>
    <row r="560" spans="1:17" x14ac:dyDescent="0.25">
      <c r="A560" t="s">
        <v>46</v>
      </c>
      <c r="B560">
        <v>3</v>
      </c>
      <c r="C560" t="s">
        <v>316</v>
      </c>
      <c r="D560" s="39">
        <v>45861</v>
      </c>
      <c r="E560" t="s">
        <v>317</v>
      </c>
      <c r="F560" t="s">
        <v>79</v>
      </c>
      <c r="G560">
        <v>8</v>
      </c>
      <c r="H560" t="s">
        <v>98</v>
      </c>
      <c r="I560" t="s">
        <v>81</v>
      </c>
      <c r="J560">
        <v>1000</v>
      </c>
      <c r="K560" t="s">
        <v>79</v>
      </c>
      <c r="L560">
        <v>4</v>
      </c>
      <c r="M560">
        <v>152.4</v>
      </c>
      <c r="N560">
        <v>4.2</v>
      </c>
      <c r="Q560">
        <v>148.20000000000002</v>
      </c>
    </row>
    <row r="561" spans="1:17" x14ac:dyDescent="0.25">
      <c r="A561" t="s">
        <v>46</v>
      </c>
      <c r="B561">
        <v>3</v>
      </c>
      <c r="C561" t="s">
        <v>260</v>
      </c>
      <c r="D561" s="39">
        <v>45861</v>
      </c>
      <c r="E561" t="s">
        <v>259</v>
      </c>
      <c r="F561" t="s">
        <v>79</v>
      </c>
      <c r="G561">
        <v>7</v>
      </c>
      <c r="H561">
        <v>5</v>
      </c>
      <c r="I561">
        <v>0</v>
      </c>
      <c r="J561">
        <v>6000</v>
      </c>
      <c r="K561" t="s">
        <v>79</v>
      </c>
      <c r="L561">
        <v>1</v>
      </c>
      <c r="M561">
        <v>33.200000000000003</v>
      </c>
      <c r="N561">
        <v>0.7</v>
      </c>
      <c r="Q561">
        <v>32.5</v>
      </c>
    </row>
    <row r="562" spans="1:17" x14ac:dyDescent="0.25">
      <c r="A562" t="s">
        <v>45</v>
      </c>
      <c r="B562">
        <v>4</v>
      </c>
      <c r="C562" t="s">
        <v>309</v>
      </c>
      <c r="D562" s="39">
        <v>45861</v>
      </c>
      <c r="E562" t="s">
        <v>276</v>
      </c>
      <c r="F562" t="s">
        <v>79</v>
      </c>
      <c r="G562">
        <v>16</v>
      </c>
      <c r="H562" t="s">
        <v>113</v>
      </c>
      <c r="I562" t="s">
        <v>99</v>
      </c>
      <c r="J562">
        <v>1000</v>
      </c>
      <c r="K562" t="s">
        <v>79</v>
      </c>
      <c r="L562">
        <v>13</v>
      </c>
      <c r="M562">
        <v>680.80000000000018</v>
      </c>
      <c r="N562">
        <v>23.400000000000002</v>
      </c>
      <c r="Q562">
        <v>657.4000000000002</v>
      </c>
    </row>
    <row r="563" spans="1:17" x14ac:dyDescent="0.25">
      <c r="A563" t="s">
        <v>46</v>
      </c>
      <c r="B563">
        <v>4</v>
      </c>
      <c r="C563" t="s">
        <v>309</v>
      </c>
      <c r="D563" s="39">
        <v>45861</v>
      </c>
      <c r="E563" t="s">
        <v>276</v>
      </c>
      <c r="F563" t="s">
        <v>79</v>
      </c>
      <c r="G563">
        <v>16</v>
      </c>
      <c r="H563" t="s">
        <v>113</v>
      </c>
      <c r="I563" t="s">
        <v>99</v>
      </c>
      <c r="J563">
        <v>1000</v>
      </c>
      <c r="K563" t="s">
        <v>79</v>
      </c>
      <c r="L563">
        <v>2</v>
      </c>
      <c r="M563">
        <v>105.16</v>
      </c>
      <c r="N563">
        <v>3.8</v>
      </c>
      <c r="Q563">
        <v>101.36</v>
      </c>
    </row>
    <row r="564" spans="1:17" x14ac:dyDescent="0.25">
      <c r="A564" t="s">
        <v>46</v>
      </c>
      <c r="B564">
        <v>4</v>
      </c>
      <c r="C564" t="s">
        <v>318</v>
      </c>
      <c r="D564" s="39">
        <v>45861</v>
      </c>
      <c r="E564" t="s">
        <v>243</v>
      </c>
      <c r="F564" t="s">
        <v>79</v>
      </c>
      <c r="G564">
        <v>16.2</v>
      </c>
      <c r="H564" t="s">
        <v>81</v>
      </c>
      <c r="I564" t="s">
        <v>103</v>
      </c>
      <c r="J564">
        <v>2000</v>
      </c>
      <c r="K564" t="s">
        <v>79</v>
      </c>
      <c r="L564">
        <v>11</v>
      </c>
      <c r="M564">
        <v>587.59</v>
      </c>
      <c r="N564">
        <v>20.9</v>
      </c>
      <c r="Q564">
        <v>566.69000000000005</v>
      </c>
    </row>
    <row r="565" spans="1:17" x14ac:dyDescent="0.25">
      <c r="A565" t="s">
        <v>45</v>
      </c>
      <c r="B565">
        <v>5</v>
      </c>
      <c r="C565" t="s">
        <v>88</v>
      </c>
      <c r="D565" s="39">
        <v>45861</v>
      </c>
      <c r="E565" t="s">
        <v>194</v>
      </c>
      <c r="F565" t="s">
        <v>79</v>
      </c>
      <c r="G565">
        <v>10</v>
      </c>
      <c r="H565">
        <v>5</v>
      </c>
      <c r="I565">
        <v>0</v>
      </c>
      <c r="J565" t="s">
        <v>81</v>
      </c>
      <c r="K565" t="s">
        <v>79</v>
      </c>
      <c r="L565">
        <v>5</v>
      </c>
      <c r="M565">
        <v>219.8</v>
      </c>
      <c r="N565">
        <v>5.5</v>
      </c>
      <c r="Q565">
        <v>214.3</v>
      </c>
    </row>
    <row r="566" spans="1:17" x14ac:dyDescent="0.25">
      <c r="A566" t="s">
        <v>45</v>
      </c>
      <c r="B566">
        <v>5</v>
      </c>
      <c r="C566" t="s">
        <v>85</v>
      </c>
      <c r="D566" s="39">
        <v>45861</v>
      </c>
      <c r="E566" t="s">
        <v>194</v>
      </c>
      <c r="F566" t="s">
        <v>79</v>
      </c>
      <c r="G566">
        <v>12</v>
      </c>
      <c r="H566">
        <v>5</v>
      </c>
      <c r="I566">
        <v>0</v>
      </c>
      <c r="J566" t="s">
        <v>81</v>
      </c>
      <c r="K566" t="s">
        <v>79</v>
      </c>
      <c r="L566">
        <v>7</v>
      </c>
      <c r="M566">
        <v>310.74</v>
      </c>
      <c r="N566">
        <v>9.7999999999999989</v>
      </c>
      <c r="Q566">
        <v>300.94</v>
      </c>
    </row>
    <row r="567" spans="1:17" x14ac:dyDescent="0.25">
      <c r="A567" t="s">
        <v>45</v>
      </c>
      <c r="B567">
        <v>5</v>
      </c>
      <c r="C567" t="s">
        <v>146</v>
      </c>
      <c r="D567" s="39">
        <v>45861</v>
      </c>
      <c r="E567" t="s">
        <v>200</v>
      </c>
      <c r="F567" t="s">
        <v>79</v>
      </c>
      <c r="G567">
        <v>12</v>
      </c>
      <c r="H567">
        <v>6</v>
      </c>
      <c r="I567">
        <v>0</v>
      </c>
      <c r="J567">
        <v>200</v>
      </c>
      <c r="K567" t="s">
        <v>79</v>
      </c>
      <c r="L567">
        <v>1</v>
      </c>
      <c r="M567">
        <v>30.5</v>
      </c>
      <c r="N567">
        <v>0.1</v>
      </c>
      <c r="Q567">
        <v>30.4</v>
      </c>
    </row>
    <row r="568" spans="1:17" x14ac:dyDescent="0.25">
      <c r="A568" t="s">
        <v>46</v>
      </c>
      <c r="B568">
        <v>5</v>
      </c>
      <c r="C568" t="s">
        <v>146</v>
      </c>
      <c r="D568" s="39">
        <v>45861</v>
      </c>
      <c r="E568" t="s">
        <v>200</v>
      </c>
      <c r="F568" t="s">
        <v>79</v>
      </c>
      <c r="G568">
        <v>12</v>
      </c>
      <c r="H568">
        <v>6</v>
      </c>
      <c r="I568">
        <v>0</v>
      </c>
      <c r="J568">
        <v>200</v>
      </c>
      <c r="K568" t="s">
        <v>79</v>
      </c>
      <c r="L568">
        <v>1</v>
      </c>
      <c r="M568">
        <v>47.6</v>
      </c>
      <c r="N568">
        <v>1.5</v>
      </c>
      <c r="Q568">
        <v>46.1</v>
      </c>
    </row>
    <row r="569" spans="1:17" x14ac:dyDescent="0.25">
      <c r="A569" t="s">
        <v>46</v>
      </c>
      <c r="B569">
        <v>5</v>
      </c>
      <c r="C569" t="s">
        <v>319</v>
      </c>
      <c r="D569" s="39">
        <v>45861</v>
      </c>
      <c r="E569" t="s">
        <v>81</v>
      </c>
      <c r="F569" t="s">
        <v>81</v>
      </c>
      <c r="G569" t="s">
        <v>81</v>
      </c>
      <c r="H569" t="s">
        <v>81</v>
      </c>
      <c r="I569" t="s">
        <v>81</v>
      </c>
      <c r="J569" t="s">
        <v>81</v>
      </c>
      <c r="K569" t="s">
        <v>79</v>
      </c>
      <c r="L569">
        <v>10</v>
      </c>
      <c r="M569">
        <v>477.90000000000003</v>
      </c>
      <c r="N569">
        <v>15</v>
      </c>
      <c r="Q569">
        <v>462.90000000000003</v>
      </c>
    </row>
    <row r="570" spans="1:17" x14ac:dyDescent="0.25">
      <c r="A570" t="s">
        <v>45</v>
      </c>
      <c r="B570">
        <v>1</v>
      </c>
      <c r="C570" t="s">
        <v>313</v>
      </c>
      <c r="D570" s="39">
        <v>45862</v>
      </c>
      <c r="E570" t="s">
        <v>314</v>
      </c>
      <c r="F570" t="s">
        <v>79</v>
      </c>
      <c r="G570">
        <v>4</v>
      </c>
      <c r="H570" t="s">
        <v>98</v>
      </c>
      <c r="I570" t="s">
        <v>114</v>
      </c>
      <c r="J570">
        <v>315</v>
      </c>
      <c r="K570" t="s">
        <v>79</v>
      </c>
      <c r="L570">
        <v>6</v>
      </c>
      <c r="M570">
        <v>91.86</v>
      </c>
      <c r="N570">
        <v>2.4000000000000004</v>
      </c>
      <c r="O570">
        <v>45</v>
      </c>
      <c r="Q570">
        <v>89.46</v>
      </c>
    </row>
    <row r="571" spans="1:17" x14ac:dyDescent="0.25">
      <c r="A571" t="s">
        <v>45</v>
      </c>
      <c r="B571">
        <v>1</v>
      </c>
      <c r="C571" t="s">
        <v>91</v>
      </c>
      <c r="D571" s="39">
        <v>45862</v>
      </c>
      <c r="E571" t="s">
        <v>194</v>
      </c>
      <c r="F571" t="s">
        <v>79</v>
      </c>
      <c r="G571">
        <v>4</v>
      </c>
      <c r="H571" t="s">
        <v>92</v>
      </c>
      <c r="I571">
        <v>0</v>
      </c>
      <c r="J571" t="s">
        <v>81</v>
      </c>
      <c r="K571" t="s">
        <v>79</v>
      </c>
      <c r="L571">
        <v>3</v>
      </c>
      <c r="M571">
        <v>51.2</v>
      </c>
      <c r="N571">
        <v>1.2000000000000002</v>
      </c>
      <c r="Q571">
        <v>50</v>
      </c>
    </row>
    <row r="572" spans="1:17" x14ac:dyDescent="0.25">
      <c r="A572" t="s">
        <v>46</v>
      </c>
      <c r="B572">
        <v>1</v>
      </c>
      <c r="C572" t="s">
        <v>313</v>
      </c>
      <c r="D572" s="39">
        <v>45862</v>
      </c>
      <c r="E572" t="s">
        <v>314</v>
      </c>
      <c r="F572" t="s">
        <v>79</v>
      </c>
      <c r="G572">
        <v>4</v>
      </c>
      <c r="H572" t="s">
        <v>98</v>
      </c>
      <c r="I572" t="s">
        <v>114</v>
      </c>
      <c r="J572">
        <v>315</v>
      </c>
      <c r="K572" t="s">
        <v>79</v>
      </c>
      <c r="L572">
        <v>2</v>
      </c>
      <c r="M572">
        <v>33.549999999999997</v>
      </c>
      <c r="N572">
        <v>0.8</v>
      </c>
      <c r="O572">
        <v>12</v>
      </c>
      <c r="Q572">
        <v>32.75</v>
      </c>
    </row>
    <row r="573" spans="1:17" x14ac:dyDescent="0.25">
      <c r="A573" t="s">
        <v>46</v>
      </c>
      <c r="B573">
        <v>1</v>
      </c>
      <c r="C573" t="s">
        <v>91</v>
      </c>
      <c r="D573" s="39">
        <v>45862</v>
      </c>
      <c r="E573" t="s">
        <v>194</v>
      </c>
      <c r="F573" t="s">
        <v>79</v>
      </c>
      <c r="G573">
        <v>4</v>
      </c>
      <c r="H573" t="s">
        <v>92</v>
      </c>
      <c r="I573">
        <v>0</v>
      </c>
      <c r="J573" t="s">
        <v>81</v>
      </c>
      <c r="K573" t="s">
        <v>79</v>
      </c>
      <c r="L573">
        <v>8</v>
      </c>
      <c r="M573">
        <v>144.41000000000003</v>
      </c>
      <c r="N573">
        <v>3.2</v>
      </c>
      <c r="Q573">
        <v>141.21000000000004</v>
      </c>
    </row>
    <row r="574" spans="1:17" x14ac:dyDescent="0.25">
      <c r="A574" t="s">
        <v>45</v>
      </c>
      <c r="B574">
        <v>2</v>
      </c>
      <c r="C574" t="s">
        <v>301</v>
      </c>
      <c r="D574" s="39">
        <v>45862</v>
      </c>
      <c r="E574" t="s">
        <v>302</v>
      </c>
      <c r="F574" t="s">
        <v>79</v>
      </c>
      <c r="G574">
        <v>3.5</v>
      </c>
      <c r="H574">
        <v>5</v>
      </c>
      <c r="I574">
        <v>0</v>
      </c>
      <c r="J574">
        <v>100</v>
      </c>
      <c r="K574" t="s">
        <v>79</v>
      </c>
      <c r="L574">
        <v>10</v>
      </c>
      <c r="M574">
        <v>141</v>
      </c>
      <c r="N574">
        <v>3.5</v>
      </c>
      <c r="Q574">
        <v>137.5</v>
      </c>
    </row>
    <row r="575" spans="1:17" x14ac:dyDescent="0.25">
      <c r="A575" t="s">
        <v>46</v>
      </c>
      <c r="B575">
        <v>2</v>
      </c>
      <c r="C575" t="s">
        <v>301</v>
      </c>
      <c r="D575" s="39">
        <v>45862</v>
      </c>
      <c r="E575" t="s">
        <v>302</v>
      </c>
      <c r="F575" t="s">
        <v>79</v>
      </c>
      <c r="G575">
        <v>3.5</v>
      </c>
      <c r="H575">
        <v>5</v>
      </c>
      <c r="I575">
        <v>0</v>
      </c>
      <c r="J575">
        <v>100</v>
      </c>
      <c r="K575" t="s">
        <v>79</v>
      </c>
      <c r="L575">
        <v>5</v>
      </c>
      <c r="M575">
        <v>71.7</v>
      </c>
      <c r="N575">
        <v>1.75</v>
      </c>
      <c r="Q575">
        <v>69.95</v>
      </c>
    </row>
    <row r="576" spans="1:17" x14ac:dyDescent="0.25">
      <c r="A576" t="s">
        <v>46</v>
      </c>
      <c r="B576">
        <v>2</v>
      </c>
      <c r="C576" t="s">
        <v>320</v>
      </c>
      <c r="D576" s="39">
        <v>45862</v>
      </c>
      <c r="E576" t="s">
        <v>300</v>
      </c>
      <c r="F576" t="s">
        <v>79</v>
      </c>
      <c r="G576">
        <v>3.5</v>
      </c>
      <c r="H576">
        <v>8</v>
      </c>
      <c r="I576">
        <v>0</v>
      </c>
      <c r="J576">
        <v>1000</v>
      </c>
      <c r="K576" t="s">
        <v>79</v>
      </c>
      <c r="L576">
        <v>4</v>
      </c>
      <c r="M576">
        <v>56.3</v>
      </c>
      <c r="N576">
        <v>1.4</v>
      </c>
      <c r="Q576">
        <v>54.9</v>
      </c>
    </row>
    <row r="577" spans="1:17" x14ac:dyDescent="0.25">
      <c r="A577" t="s">
        <v>45</v>
      </c>
      <c r="B577">
        <v>3</v>
      </c>
      <c r="C577" t="s">
        <v>316</v>
      </c>
      <c r="D577" s="39">
        <v>45862</v>
      </c>
      <c r="E577" t="s">
        <v>317</v>
      </c>
      <c r="F577" t="s">
        <v>79</v>
      </c>
      <c r="G577">
        <v>8</v>
      </c>
      <c r="H577" t="s">
        <v>98</v>
      </c>
      <c r="I577" t="s">
        <v>81</v>
      </c>
      <c r="J577">
        <v>1000</v>
      </c>
      <c r="K577" t="s">
        <v>79</v>
      </c>
      <c r="L577">
        <v>5</v>
      </c>
      <c r="M577">
        <v>185</v>
      </c>
      <c r="N577">
        <v>4</v>
      </c>
      <c r="Q577">
        <v>181</v>
      </c>
    </row>
    <row r="578" spans="1:17" x14ac:dyDescent="0.25">
      <c r="A578" t="s">
        <v>45</v>
      </c>
      <c r="B578">
        <v>3</v>
      </c>
      <c r="C578" t="s">
        <v>94</v>
      </c>
      <c r="D578" s="39">
        <v>45862</v>
      </c>
      <c r="E578" t="s">
        <v>194</v>
      </c>
      <c r="F578" t="s">
        <v>79</v>
      </c>
      <c r="G578">
        <v>8</v>
      </c>
      <c r="H578">
        <v>5</v>
      </c>
      <c r="I578">
        <v>0</v>
      </c>
      <c r="J578" t="s">
        <v>81</v>
      </c>
      <c r="K578" t="s">
        <v>79</v>
      </c>
      <c r="L578">
        <v>3</v>
      </c>
      <c r="M578">
        <v>115.13</v>
      </c>
      <c r="N578">
        <v>2.4000000000000004</v>
      </c>
      <c r="Q578">
        <v>112.72999999999999</v>
      </c>
    </row>
    <row r="579" spans="1:17" x14ac:dyDescent="0.25">
      <c r="A579" t="s">
        <v>46</v>
      </c>
      <c r="B579">
        <v>3</v>
      </c>
      <c r="C579" t="s">
        <v>94</v>
      </c>
      <c r="D579" s="39">
        <v>45862</v>
      </c>
      <c r="E579" t="s">
        <v>194</v>
      </c>
      <c r="F579" t="s">
        <v>79</v>
      </c>
      <c r="G579">
        <v>8</v>
      </c>
      <c r="H579">
        <v>5</v>
      </c>
      <c r="I579">
        <v>0</v>
      </c>
      <c r="J579" t="s">
        <v>81</v>
      </c>
      <c r="K579" t="s">
        <v>79</v>
      </c>
      <c r="L579">
        <v>8</v>
      </c>
      <c r="M579">
        <v>350</v>
      </c>
      <c r="N579">
        <v>6.4</v>
      </c>
      <c r="Q579">
        <v>343.6</v>
      </c>
    </row>
    <row r="580" spans="1:17" x14ac:dyDescent="0.25">
      <c r="A580" t="s">
        <v>45</v>
      </c>
      <c r="B580">
        <v>4</v>
      </c>
      <c r="C580" t="s">
        <v>318</v>
      </c>
      <c r="D580" s="39">
        <v>45862</v>
      </c>
      <c r="E580" t="s">
        <v>243</v>
      </c>
      <c r="F580" t="s">
        <v>79</v>
      </c>
      <c r="G580">
        <v>16.2</v>
      </c>
      <c r="H580" t="s">
        <v>81</v>
      </c>
      <c r="I580" t="s">
        <v>103</v>
      </c>
      <c r="J580">
        <v>2000</v>
      </c>
      <c r="K580" t="s">
        <v>79</v>
      </c>
      <c r="L580">
        <v>17</v>
      </c>
      <c r="M580">
        <v>711.6</v>
      </c>
      <c r="N580">
        <v>2.72</v>
      </c>
      <c r="Q580">
        <v>708.88</v>
      </c>
    </row>
    <row r="581" spans="1:17" x14ac:dyDescent="0.25">
      <c r="A581" t="s">
        <v>46</v>
      </c>
      <c r="B581">
        <v>4</v>
      </c>
      <c r="C581" t="s">
        <v>318</v>
      </c>
      <c r="D581" s="39">
        <v>45862</v>
      </c>
      <c r="E581" t="s">
        <v>243</v>
      </c>
      <c r="F581" t="s">
        <v>79</v>
      </c>
      <c r="G581">
        <v>16.2</v>
      </c>
      <c r="H581" t="s">
        <v>81</v>
      </c>
      <c r="I581" t="s">
        <v>103</v>
      </c>
      <c r="J581">
        <v>2000</v>
      </c>
      <c r="K581" t="s">
        <v>79</v>
      </c>
      <c r="L581">
        <v>16</v>
      </c>
      <c r="M581">
        <v>842.25</v>
      </c>
      <c r="N581">
        <v>29.8</v>
      </c>
      <c r="Q581">
        <v>812.45</v>
      </c>
    </row>
    <row r="582" spans="1:17" x14ac:dyDescent="0.25">
      <c r="A582" t="s">
        <v>45</v>
      </c>
      <c r="B582">
        <v>5</v>
      </c>
      <c r="C582" t="s">
        <v>85</v>
      </c>
      <c r="D582" s="39">
        <v>45862</v>
      </c>
      <c r="E582" t="s">
        <v>194</v>
      </c>
      <c r="F582" t="s">
        <v>79</v>
      </c>
      <c r="G582">
        <v>12</v>
      </c>
      <c r="H582">
        <v>5</v>
      </c>
      <c r="I582">
        <v>0</v>
      </c>
      <c r="J582" t="s">
        <v>81</v>
      </c>
      <c r="K582" t="s">
        <v>79</v>
      </c>
      <c r="L582">
        <v>9</v>
      </c>
      <c r="M582">
        <v>378.71999999999997</v>
      </c>
      <c r="N582">
        <v>12.6</v>
      </c>
      <c r="Q582">
        <v>366.11999999999995</v>
      </c>
    </row>
    <row r="583" spans="1:17" x14ac:dyDescent="0.25">
      <c r="A583" t="s">
        <v>45</v>
      </c>
      <c r="B583">
        <v>5</v>
      </c>
      <c r="C583" t="s">
        <v>321</v>
      </c>
      <c r="D583" s="39">
        <v>45862</v>
      </c>
      <c r="E583" t="s">
        <v>322</v>
      </c>
      <c r="F583" t="s">
        <v>79</v>
      </c>
      <c r="G583">
        <v>14</v>
      </c>
      <c r="H583" t="s">
        <v>323</v>
      </c>
      <c r="I583">
        <v>0</v>
      </c>
      <c r="J583">
        <v>50</v>
      </c>
      <c r="K583" t="s">
        <v>79</v>
      </c>
      <c r="L583">
        <v>2</v>
      </c>
      <c r="M583">
        <v>66.180000000000007</v>
      </c>
      <c r="N583">
        <v>3.6</v>
      </c>
      <c r="Q583">
        <v>62.580000000000005</v>
      </c>
    </row>
    <row r="584" spans="1:17" x14ac:dyDescent="0.25">
      <c r="A584" t="s">
        <v>45</v>
      </c>
      <c r="B584">
        <v>5</v>
      </c>
      <c r="C584" t="s">
        <v>324</v>
      </c>
      <c r="D584" s="39">
        <v>45862</v>
      </c>
      <c r="E584" t="s">
        <v>200</v>
      </c>
      <c r="F584" t="s">
        <v>79</v>
      </c>
      <c r="G584">
        <v>15</v>
      </c>
      <c r="H584">
        <v>10</v>
      </c>
      <c r="I584">
        <v>0</v>
      </c>
      <c r="J584">
        <v>200</v>
      </c>
      <c r="K584" t="s">
        <v>79</v>
      </c>
      <c r="L584">
        <v>3</v>
      </c>
      <c r="M584">
        <v>113.2</v>
      </c>
      <c r="N584">
        <v>5.4</v>
      </c>
      <c r="Q584">
        <v>107.8</v>
      </c>
    </row>
    <row r="585" spans="1:17" x14ac:dyDescent="0.25">
      <c r="A585" t="s">
        <v>46</v>
      </c>
      <c r="B585">
        <v>5</v>
      </c>
      <c r="C585" t="s">
        <v>324</v>
      </c>
      <c r="D585" s="39">
        <v>45862</v>
      </c>
      <c r="E585" t="s">
        <v>200</v>
      </c>
      <c r="F585" t="s">
        <v>79</v>
      </c>
      <c r="G585">
        <v>15</v>
      </c>
      <c r="H585">
        <v>10</v>
      </c>
      <c r="I585">
        <v>0</v>
      </c>
      <c r="J585">
        <v>200</v>
      </c>
      <c r="K585" t="s">
        <v>79</v>
      </c>
      <c r="L585">
        <v>2</v>
      </c>
      <c r="M585">
        <v>93.1</v>
      </c>
      <c r="N585">
        <v>0.3</v>
      </c>
      <c r="Q585">
        <v>92.8</v>
      </c>
    </row>
    <row r="586" spans="1:17" x14ac:dyDescent="0.25">
      <c r="A586" t="s">
        <v>46</v>
      </c>
      <c r="B586">
        <v>5</v>
      </c>
      <c r="C586" t="s">
        <v>145</v>
      </c>
      <c r="D586" s="39">
        <v>45862</v>
      </c>
      <c r="E586" t="s">
        <v>282</v>
      </c>
      <c r="F586" t="s">
        <v>79</v>
      </c>
      <c r="G586">
        <v>15</v>
      </c>
      <c r="H586">
        <v>6.5</v>
      </c>
      <c r="I586">
        <v>0</v>
      </c>
      <c r="J586">
        <v>800</v>
      </c>
      <c r="K586" t="s">
        <v>79</v>
      </c>
      <c r="L586">
        <v>8</v>
      </c>
      <c r="M586">
        <v>329.29999999999995</v>
      </c>
      <c r="N586">
        <v>1.2</v>
      </c>
      <c r="Q586">
        <v>328.09999999999997</v>
      </c>
    </row>
    <row r="587" spans="1:17" x14ac:dyDescent="0.25">
      <c r="A587" t="s">
        <v>46</v>
      </c>
      <c r="B587">
        <v>5</v>
      </c>
      <c r="C587" t="s">
        <v>145</v>
      </c>
      <c r="D587" s="39">
        <v>45862</v>
      </c>
      <c r="E587" t="s">
        <v>282</v>
      </c>
      <c r="F587" t="s">
        <v>79</v>
      </c>
      <c r="G587">
        <v>15</v>
      </c>
      <c r="H587">
        <v>6.5</v>
      </c>
      <c r="I587">
        <v>0</v>
      </c>
      <c r="J587">
        <v>800</v>
      </c>
      <c r="K587" t="s">
        <v>79</v>
      </c>
      <c r="L587">
        <v>3</v>
      </c>
      <c r="M587">
        <v>136.6</v>
      </c>
      <c r="N587">
        <v>0.44999999999999996</v>
      </c>
      <c r="Q587">
        <v>136.15</v>
      </c>
    </row>
    <row r="588" spans="1:17" x14ac:dyDescent="0.25">
      <c r="A588" t="s">
        <v>45</v>
      </c>
      <c r="B588">
        <v>1</v>
      </c>
      <c r="C588" t="s">
        <v>91</v>
      </c>
      <c r="D588" s="39">
        <v>45863</v>
      </c>
      <c r="E588" t="s">
        <v>194</v>
      </c>
      <c r="F588" t="s">
        <v>79</v>
      </c>
      <c r="G588">
        <v>4</v>
      </c>
      <c r="H588" t="s">
        <v>92</v>
      </c>
      <c r="I588">
        <v>0</v>
      </c>
      <c r="J588" t="s">
        <v>81</v>
      </c>
      <c r="K588" t="s">
        <v>79</v>
      </c>
      <c r="L588">
        <v>12</v>
      </c>
      <c r="M588">
        <v>181.10000000000002</v>
      </c>
      <c r="N588">
        <v>4.8000000000000007</v>
      </c>
      <c r="O588">
        <v>26</v>
      </c>
      <c r="Q588">
        <v>176.3</v>
      </c>
    </row>
    <row r="589" spans="1:17" x14ac:dyDescent="0.25">
      <c r="A589" t="s">
        <v>46</v>
      </c>
      <c r="B589">
        <v>1</v>
      </c>
      <c r="C589" t="s">
        <v>91</v>
      </c>
      <c r="D589" s="39">
        <v>45863</v>
      </c>
      <c r="E589" t="s">
        <v>194</v>
      </c>
      <c r="F589" t="s">
        <v>79</v>
      </c>
      <c r="G589">
        <v>4</v>
      </c>
      <c r="H589" t="s">
        <v>92</v>
      </c>
      <c r="I589">
        <v>0</v>
      </c>
      <c r="J589" t="s">
        <v>81</v>
      </c>
      <c r="K589" t="s">
        <v>79</v>
      </c>
      <c r="L589">
        <v>10</v>
      </c>
      <c r="M589">
        <v>166.99000000000004</v>
      </c>
      <c r="N589">
        <v>4</v>
      </c>
      <c r="O589">
        <v>34</v>
      </c>
      <c r="Q589">
        <v>162.99000000000004</v>
      </c>
    </row>
    <row r="590" spans="1:17" x14ac:dyDescent="0.25">
      <c r="A590" t="s">
        <v>45</v>
      </c>
      <c r="B590">
        <v>2</v>
      </c>
      <c r="C590" t="s">
        <v>320</v>
      </c>
      <c r="D590" s="39">
        <v>45863</v>
      </c>
      <c r="E590" t="s">
        <v>300</v>
      </c>
      <c r="F590" t="s">
        <v>79</v>
      </c>
      <c r="G590">
        <v>3.5</v>
      </c>
      <c r="H590">
        <v>8</v>
      </c>
      <c r="I590">
        <v>0</v>
      </c>
      <c r="J590">
        <v>1000</v>
      </c>
      <c r="K590" t="s">
        <v>79</v>
      </c>
      <c r="L590">
        <v>9</v>
      </c>
      <c r="M590">
        <v>119.17</v>
      </c>
      <c r="N590">
        <v>3.15</v>
      </c>
      <c r="Q590">
        <v>116.02</v>
      </c>
    </row>
    <row r="591" spans="1:17" x14ac:dyDescent="0.25">
      <c r="A591" t="s">
        <v>46</v>
      </c>
      <c r="B591">
        <v>2</v>
      </c>
      <c r="C591" t="s">
        <v>320</v>
      </c>
      <c r="D591" s="39">
        <v>45863</v>
      </c>
      <c r="E591" t="s">
        <v>300</v>
      </c>
      <c r="F591" t="s">
        <v>79</v>
      </c>
      <c r="G591">
        <v>3.5</v>
      </c>
      <c r="H591">
        <v>8</v>
      </c>
      <c r="I591">
        <v>0</v>
      </c>
      <c r="J591">
        <v>1000</v>
      </c>
      <c r="K591" t="s">
        <v>79</v>
      </c>
      <c r="L591">
        <v>10</v>
      </c>
      <c r="M591">
        <v>151.64000000000001</v>
      </c>
      <c r="N591">
        <v>3.5</v>
      </c>
      <c r="Q591">
        <v>148.14000000000001</v>
      </c>
    </row>
    <row r="592" spans="1:17" x14ac:dyDescent="0.25">
      <c r="A592" t="s">
        <v>45</v>
      </c>
      <c r="B592">
        <v>3</v>
      </c>
      <c r="C592" t="s">
        <v>94</v>
      </c>
      <c r="D592" s="39">
        <v>45863</v>
      </c>
      <c r="E592" t="s">
        <v>194</v>
      </c>
      <c r="F592" t="s">
        <v>79</v>
      </c>
      <c r="G592">
        <v>8</v>
      </c>
      <c r="H592">
        <v>5</v>
      </c>
      <c r="I592">
        <v>0</v>
      </c>
      <c r="J592" t="s">
        <v>81</v>
      </c>
      <c r="K592" t="s">
        <v>79</v>
      </c>
      <c r="L592">
        <v>7</v>
      </c>
      <c r="M592">
        <v>279.39999999999998</v>
      </c>
      <c r="N592">
        <v>7.3500000000000005</v>
      </c>
      <c r="Q592">
        <v>272.04999999999995</v>
      </c>
    </row>
    <row r="593" spans="1:17" x14ac:dyDescent="0.25">
      <c r="A593" t="s">
        <v>46</v>
      </c>
      <c r="B593">
        <v>3</v>
      </c>
      <c r="C593" t="s">
        <v>94</v>
      </c>
      <c r="D593" s="39">
        <v>45863</v>
      </c>
      <c r="E593" t="s">
        <v>194</v>
      </c>
      <c r="F593" t="s">
        <v>79</v>
      </c>
      <c r="G593">
        <v>8</v>
      </c>
      <c r="H593">
        <v>5</v>
      </c>
      <c r="I593">
        <v>0</v>
      </c>
      <c r="J593" t="s">
        <v>81</v>
      </c>
      <c r="K593" t="s">
        <v>79</v>
      </c>
      <c r="L593">
        <v>7</v>
      </c>
      <c r="M593">
        <v>297.39999999999998</v>
      </c>
      <c r="N593">
        <v>5.6000000000000005</v>
      </c>
      <c r="Q593">
        <v>291.79999999999995</v>
      </c>
    </row>
    <row r="594" spans="1:17" x14ac:dyDescent="0.25">
      <c r="A594" t="s">
        <v>45</v>
      </c>
      <c r="B594">
        <v>4</v>
      </c>
      <c r="C594" t="s">
        <v>318</v>
      </c>
      <c r="D594" s="39">
        <v>45863</v>
      </c>
      <c r="E594" t="s">
        <v>243</v>
      </c>
      <c r="F594" t="s">
        <v>79</v>
      </c>
      <c r="G594">
        <v>16.2</v>
      </c>
      <c r="H594" t="s">
        <v>81</v>
      </c>
      <c r="I594" t="s">
        <v>103</v>
      </c>
      <c r="J594">
        <v>2000</v>
      </c>
      <c r="K594" t="s">
        <v>79</v>
      </c>
      <c r="L594">
        <v>2</v>
      </c>
      <c r="M594">
        <v>100.4</v>
      </c>
      <c r="N594">
        <v>3.8</v>
      </c>
      <c r="Q594">
        <v>96.600000000000009</v>
      </c>
    </row>
    <row r="595" spans="1:17" x14ac:dyDescent="0.25">
      <c r="A595" t="s">
        <v>45</v>
      </c>
      <c r="B595">
        <v>4</v>
      </c>
      <c r="C595" t="s">
        <v>325</v>
      </c>
      <c r="D595" s="39">
        <v>45863</v>
      </c>
      <c r="E595" t="s">
        <v>326</v>
      </c>
      <c r="F595" t="s">
        <v>79</v>
      </c>
      <c r="G595">
        <v>18</v>
      </c>
      <c r="H595" t="s">
        <v>98</v>
      </c>
      <c r="I595" t="s">
        <v>99</v>
      </c>
      <c r="J595">
        <v>200</v>
      </c>
      <c r="K595" t="s">
        <v>79</v>
      </c>
      <c r="L595">
        <v>4</v>
      </c>
      <c r="M595">
        <v>210.6</v>
      </c>
      <c r="N595">
        <v>8.8000000000000007</v>
      </c>
      <c r="Q595">
        <v>201.79999999999998</v>
      </c>
    </row>
    <row r="596" spans="1:17" x14ac:dyDescent="0.25">
      <c r="A596" t="s">
        <v>45</v>
      </c>
      <c r="B596">
        <v>4</v>
      </c>
      <c r="C596" t="s">
        <v>327</v>
      </c>
      <c r="D596" s="39">
        <v>45863</v>
      </c>
      <c r="E596" t="s">
        <v>276</v>
      </c>
      <c r="F596" t="s">
        <v>79</v>
      </c>
      <c r="G596">
        <v>24</v>
      </c>
      <c r="H596" t="s">
        <v>113</v>
      </c>
      <c r="I596" t="s">
        <v>99</v>
      </c>
      <c r="J596">
        <v>500</v>
      </c>
      <c r="K596" t="s">
        <v>79</v>
      </c>
      <c r="L596">
        <v>9</v>
      </c>
      <c r="M596">
        <v>521.40000000000009</v>
      </c>
      <c r="N596">
        <v>26.099999999999998</v>
      </c>
      <c r="Q596">
        <v>495.30000000000007</v>
      </c>
    </row>
    <row r="597" spans="1:17" x14ac:dyDescent="0.25">
      <c r="A597" t="s">
        <v>46</v>
      </c>
      <c r="B597">
        <v>4</v>
      </c>
      <c r="C597" t="s">
        <v>327</v>
      </c>
      <c r="D597" s="39">
        <v>45863</v>
      </c>
      <c r="E597" t="s">
        <v>276</v>
      </c>
      <c r="F597" t="s">
        <v>79</v>
      </c>
      <c r="G597">
        <v>24</v>
      </c>
      <c r="H597" t="s">
        <v>113</v>
      </c>
      <c r="I597" t="s">
        <v>99</v>
      </c>
      <c r="J597">
        <v>500</v>
      </c>
      <c r="K597" t="s">
        <v>79</v>
      </c>
      <c r="L597">
        <v>5</v>
      </c>
      <c r="M597">
        <v>284.21000000000004</v>
      </c>
      <c r="N597">
        <v>14</v>
      </c>
      <c r="Q597">
        <v>270.21000000000004</v>
      </c>
    </row>
    <row r="598" spans="1:17" x14ac:dyDescent="0.25">
      <c r="A598" t="s">
        <v>46</v>
      </c>
      <c r="B598">
        <v>4</v>
      </c>
      <c r="C598" t="s">
        <v>101</v>
      </c>
      <c r="D598" s="39">
        <v>45863</v>
      </c>
      <c r="E598" t="s">
        <v>194</v>
      </c>
      <c r="F598" t="s">
        <v>79</v>
      </c>
      <c r="G598">
        <v>18</v>
      </c>
      <c r="H598">
        <v>5</v>
      </c>
      <c r="I598">
        <v>0</v>
      </c>
      <c r="J598" t="s">
        <v>81</v>
      </c>
      <c r="K598" t="s">
        <v>79</v>
      </c>
      <c r="L598">
        <v>10</v>
      </c>
      <c r="M598">
        <v>553.54999999999995</v>
      </c>
      <c r="N598">
        <v>21.400000000000002</v>
      </c>
      <c r="Q598">
        <v>532.15</v>
      </c>
    </row>
    <row r="599" spans="1:17" x14ac:dyDescent="0.25">
      <c r="A599" t="s">
        <v>45</v>
      </c>
      <c r="B599">
        <v>5</v>
      </c>
      <c r="C599" t="s">
        <v>232</v>
      </c>
      <c r="D599" s="39">
        <v>45863</v>
      </c>
      <c r="E599" t="s">
        <v>231</v>
      </c>
      <c r="F599" t="s">
        <v>79</v>
      </c>
      <c r="G599">
        <v>15</v>
      </c>
      <c r="H599">
        <v>6.5</v>
      </c>
      <c r="I599">
        <v>0</v>
      </c>
      <c r="J599">
        <v>400</v>
      </c>
      <c r="K599" t="s">
        <v>79</v>
      </c>
      <c r="L599">
        <v>13</v>
      </c>
      <c r="M599">
        <v>532.95999999999992</v>
      </c>
      <c r="N599">
        <v>24.7</v>
      </c>
      <c r="Q599">
        <v>508.25999999999993</v>
      </c>
    </row>
    <row r="600" spans="1:17" x14ac:dyDescent="0.25">
      <c r="A600" t="s">
        <v>46</v>
      </c>
      <c r="B600">
        <v>5</v>
      </c>
      <c r="C600" t="s">
        <v>232</v>
      </c>
      <c r="D600" s="39">
        <v>45863</v>
      </c>
      <c r="E600" t="s">
        <v>231</v>
      </c>
      <c r="F600" t="s">
        <v>79</v>
      </c>
      <c r="G600">
        <v>15</v>
      </c>
      <c r="H600">
        <v>6.5</v>
      </c>
      <c r="I600">
        <v>0</v>
      </c>
      <c r="J600">
        <v>400</v>
      </c>
      <c r="K600" t="s">
        <v>79</v>
      </c>
      <c r="L600">
        <v>5</v>
      </c>
      <c r="M600">
        <v>210.8</v>
      </c>
      <c r="N600">
        <v>0.75</v>
      </c>
      <c r="Q600">
        <v>210.05</v>
      </c>
    </row>
    <row r="601" spans="1:17" x14ac:dyDescent="0.25">
      <c r="A601" t="s">
        <v>46</v>
      </c>
      <c r="B601">
        <v>5</v>
      </c>
      <c r="C601" t="s">
        <v>328</v>
      </c>
      <c r="D601" s="39">
        <v>45863</v>
      </c>
      <c r="E601" t="s">
        <v>231</v>
      </c>
      <c r="F601" t="s">
        <v>79</v>
      </c>
      <c r="G601">
        <v>11</v>
      </c>
      <c r="H601">
        <v>6.5</v>
      </c>
      <c r="I601">
        <v>0</v>
      </c>
      <c r="J601">
        <v>200</v>
      </c>
      <c r="K601" t="s">
        <v>79</v>
      </c>
      <c r="L601">
        <v>8</v>
      </c>
      <c r="M601">
        <v>248.1</v>
      </c>
      <c r="N601">
        <v>0.8</v>
      </c>
      <c r="Q601">
        <v>247.29999999999998</v>
      </c>
    </row>
    <row r="602" spans="1:17" x14ac:dyDescent="0.25">
      <c r="A602" t="s">
        <v>46</v>
      </c>
      <c r="B602">
        <v>5</v>
      </c>
      <c r="C602" t="s">
        <v>329</v>
      </c>
      <c r="D602" s="39">
        <v>45863</v>
      </c>
      <c r="E602" t="s">
        <v>81</v>
      </c>
      <c r="F602" t="s">
        <v>81</v>
      </c>
      <c r="G602" t="s">
        <v>81</v>
      </c>
      <c r="H602" t="s">
        <v>81</v>
      </c>
      <c r="I602" t="s">
        <v>81</v>
      </c>
      <c r="J602" t="s">
        <v>81</v>
      </c>
      <c r="K602" t="s">
        <v>79</v>
      </c>
      <c r="L602">
        <v>3</v>
      </c>
      <c r="M602">
        <v>97.300000000000011</v>
      </c>
      <c r="N602">
        <v>0.30000000000000004</v>
      </c>
      <c r="Q602">
        <v>97.000000000000014</v>
      </c>
    </row>
    <row r="603" spans="1:17" x14ac:dyDescent="0.25">
      <c r="A603" t="s">
        <v>45</v>
      </c>
      <c r="B603">
        <v>1</v>
      </c>
      <c r="C603" t="s">
        <v>91</v>
      </c>
      <c r="D603" s="39">
        <v>45864</v>
      </c>
      <c r="E603" t="s">
        <v>194</v>
      </c>
      <c r="F603" t="s">
        <v>79</v>
      </c>
      <c r="G603">
        <v>4</v>
      </c>
      <c r="H603" t="s">
        <v>92</v>
      </c>
      <c r="I603">
        <v>0</v>
      </c>
      <c r="J603" t="s">
        <v>81</v>
      </c>
      <c r="K603" t="s">
        <v>79</v>
      </c>
      <c r="L603">
        <v>10</v>
      </c>
      <c r="M603">
        <v>163.75</v>
      </c>
      <c r="N603">
        <v>4</v>
      </c>
      <c r="O603">
        <v>32</v>
      </c>
      <c r="Q603">
        <v>159.75</v>
      </c>
    </row>
    <row r="604" spans="1:17" x14ac:dyDescent="0.25">
      <c r="A604" t="s">
        <v>46</v>
      </c>
      <c r="B604">
        <v>1</v>
      </c>
      <c r="C604" t="s">
        <v>91</v>
      </c>
      <c r="D604" s="39">
        <v>45864</v>
      </c>
      <c r="E604" t="s">
        <v>194</v>
      </c>
      <c r="F604" t="s">
        <v>79</v>
      </c>
      <c r="G604">
        <v>4</v>
      </c>
      <c r="H604" t="s">
        <v>92</v>
      </c>
      <c r="I604">
        <v>0</v>
      </c>
      <c r="J604" t="s">
        <v>81</v>
      </c>
      <c r="K604" t="s">
        <v>79</v>
      </c>
      <c r="L604">
        <v>7</v>
      </c>
      <c r="M604">
        <v>123.55</v>
      </c>
      <c r="N604">
        <v>2.8000000000000003</v>
      </c>
      <c r="O604">
        <v>27</v>
      </c>
      <c r="Q604">
        <v>120.75</v>
      </c>
    </row>
    <row r="605" spans="1:17" x14ac:dyDescent="0.25">
      <c r="A605" t="s">
        <v>45</v>
      </c>
      <c r="B605">
        <v>2</v>
      </c>
      <c r="C605" t="s">
        <v>301</v>
      </c>
      <c r="D605" s="39">
        <v>45864</v>
      </c>
      <c r="E605" t="s">
        <v>302</v>
      </c>
      <c r="F605" t="s">
        <v>79</v>
      </c>
      <c r="G605">
        <v>3.5</v>
      </c>
      <c r="H605">
        <v>5</v>
      </c>
      <c r="I605">
        <v>0</v>
      </c>
      <c r="J605">
        <v>100</v>
      </c>
      <c r="K605" t="s">
        <v>79</v>
      </c>
      <c r="L605">
        <v>12</v>
      </c>
      <c r="M605">
        <v>163.07999999999998</v>
      </c>
      <c r="N605">
        <v>4.1999999999999993</v>
      </c>
      <c r="Q605">
        <v>158.88</v>
      </c>
    </row>
    <row r="606" spans="1:17" x14ac:dyDescent="0.25">
      <c r="A606" t="s">
        <v>46</v>
      </c>
      <c r="B606">
        <v>2</v>
      </c>
      <c r="C606" t="s">
        <v>301</v>
      </c>
      <c r="D606" s="39">
        <v>45864</v>
      </c>
      <c r="E606" t="s">
        <v>302</v>
      </c>
      <c r="F606" t="s">
        <v>79</v>
      </c>
      <c r="G606">
        <v>3.5</v>
      </c>
      <c r="H606">
        <v>5</v>
      </c>
      <c r="I606">
        <v>0</v>
      </c>
      <c r="J606">
        <v>100</v>
      </c>
      <c r="K606" t="s">
        <v>79</v>
      </c>
      <c r="L606">
        <v>8</v>
      </c>
      <c r="M606">
        <v>120.3</v>
      </c>
      <c r="N606">
        <v>2.4499999999999997</v>
      </c>
      <c r="Q606">
        <v>117.85</v>
      </c>
    </row>
    <row r="607" spans="1:17" x14ac:dyDescent="0.25">
      <c r="A607" t="s">
        <v>45</v>
      </c>
      <c r="B607">
        <v>3</v>
      </c>
      <c r="C607" t="s">
        <v>94</v>
      </c>
      <c r="D607" s="39">
        <v>45864</v>
      </c>
      <c r="E607" t="s">
        <v>194</v>
      </c>
      <c r="F607" t="s">
        <v>79</v>
      </c>
      <c r="G607">
        <v>8</v>
      </c>
      <c r="H607">
        <v>5</v>
      </c>
      <c r="I607">
        <v>0</v>
      </c>
      <c r="J607" t="s">
        <v>81</v>
      </c>
      <c r="K607" t="s">
        <v>79</v>
      </c>
      <c r="L607">
        <v>2</v>
      </c>
      <c r="M607">
        <v>71.900000000000006</v>
      </c>
      <c r="N607">
        <v>2.2999999999999998</v>
      </c>
      <c r="Q607">
        <v>69.600000000000009</v>
      </c>
    </row>
    <row r="608" spans="1:17" x14ac:dyDescent="0.25">
      <c r="A608" t="s">
        <v>45</v>
      </c>
      <c r="B608">
        <v>3</v>
      </c>
      <c r="C608" t="s">
        <v>316</v>
      </c>
      <c r="D608" s="39">
        <v>45864</v>
      </c>
      <c r="E608" t="s">
        <v>317</v>
      </c>
      <c r="F608" t="s">
        <v>79</v>
      </c>
      <c r="G608">
        <v>8</v>
      </c>
      <c r="H608" t="s">
        <v>98</v>
      </c>
      <c r="I608" t="s">
        <v>81</v>
      </c>
      <c r="J608">
        <v>1000</v>
      </c>
      <c r="K608" t="s">
        <v>79</v>
      </c>
      <c r="L608">
        <v>6</v>
      </c>
      <c r="M608">
        <v>234.94000000000003</v>
      </c>
      <c r="N608">
        <v>9</v>
      </c>
      <c r="Q608">
        <v>225.94000000000003</v>
      </c>
    </row>
    <row r="609" spans="1:17" x14ac:dyDescent="0.25">
      <c r="A609" t="s">
        <v>46</v>
      </c>
      <c r="B609">
        <v>3</v>
      </c>
      <c r="C609" t="s">
        <v>316</v>
      </c>
      <c r="D609" s="39">
        <v>45864</v>
      </c>
      <c r="E609" t="s">
        <v>317</v>
      </c>
      <c r="F609" t="s">
        <v>79</v>
      </c>
      <c r="G609">
        <v>8</v>
      </c>
      <c r="H609" t="s">
        <v>98</v>
      </c>
      <c r="I609" t="s">
        <v>81</v>
      </c>
      <c r="J609">
        <v>1000</v>
      </c>
      <c r="K609" t="s">
        <v>79</v>
      </c>
      <c r="L609">
        <v>3</v>
      </c>
      <c r="M609">
        <v>121.6</v>
      </c>
      <c r="N609">
        <v>2.7</v>
      </c>
      <c r="Q609">
        <v>118.89999999999999</v>
      </c>
    </row>
    <row r="610" spans="1:17" x14ac:dyDescent="0.25">
      <c r="A610" t="s">
        <v>45</v>
      </c>
      <c r="B610">
        <v>4</v>
      </c>
      <c r="C610" t="s">
        <v>101</v>
      </c>
      <c r="D610" s="39">
        <v>45864</v>
      </c>
      <c r="E610" t="s">
        <v>194</v>
      </c>
      <c r="F610" t="s">
        <v>79</v>
      </c>
      <c r="G610">
        <v>18</v>
      </c>
      <c r="H610">
        <v>5</v>
      </c>
      <c r="I610">
        <v>0</v>
      </c>
      <c r="J610" t="s">
        <v>81</v>
      </c>
      <c r="K610" t="s">
        <v>79</v>
      </c>
      <c r="L610">
        <v>12</v>
      </c>
      <c r="M610">
        <v>590.92999999999995</v>
      </c>
      <c r="N610">
        <v>9.94</v>
      </c>
      <c r="Q610">
        <v>580.9899999999999</v>
      </c>
    </row>
    <row r="611" spans="1:17" x14ac:dyDescent="0.25">
      <c r="A611" t="s">
        <v>45</v>
      </c>
      <c r="B611">
        <v>4</v>
      </c>
      <c r="C611" t="s">
        <v>330</v>
      </c>
      <c r="D611" s="39">
        <v>45864</v>
      </c>
      <c r="E611" t="s">
        <v>231</v>
      </c>
      <c r="F611" t="s">
        <v>79</v>
      </c>
      <c r="G611">
        <v>19</v>
      </c>
      <c r="H611">
        <v>7</v>
      </c>
      <c r="I611">
        <v>0</v>
      </c>
      <c r="J611">
        <v>200</v>
      </c>
      <c r="K611" t="s">
        <v>79</v>
      </c>
      <c r="L611">
        <v>3</v>
      </c>
      <c r="M611">
        <v>105.06</v>
      </c>
      <c r="N611">
        <v>6.9999999999999991</v>
      </c>
      <c r="Q611">
        <v>98.06</v>
      </c>
    </row>
    <row r="612" spans="1:17" x14ac:dyDescent="0.25">
      <c r="A612" t="s">
        <v>46</v>
      </c>
      <c r="B612">
        <v>4</v>
      </c>
      <c r="C612" t="s">
        <v>330</v>
      </c>
      <c r="D612" s="39">
        <v>45864</v>
      </c>
      <c r="E612" t="s">
        <v>231</v>
      </c>
      <c r="F612" t="s">
        <v>79</v>
      </c>
      <c r="G612">
        <v>19</v>
      </c>
      <c r="H612">
        <v>7</v>
      </c>
      <c r="I612">
        <v>0</v>
      </c>
      <c r="J612">
        <v>200</v>
      </c>
      <c r="K612" t="s">
        <v>79</v>
      </c>
      <c r="L612">
        <v>3</v>
      </c>
      <c r="M612">
        <v>108.19999999999999</v>
      </c>
      <c r="N612">
        <v>6.8</v>
      </c>
      <c r="Q612">
        <v>101.39999999999999</v>
      </c>
    </row>
    <row r="613" spans="1:17" x14ac:dyDescent="0.25">
      <c r="A613" t="s">
        <v>46</v>
      </c>
      <c r="B613">
        <v>4</v>
      </c>
      <c r="C613" t="s">
        <v>331</v>
      </c>
      <c r="D613" s="39">
        <v>45864</v>
      </c>
      <c r="E613" t="s">
        <v>332</v>
      </c>
      <c r="F613" t="s">
        <v>79</v>
      </c>
      <c r="G613">
        <v>22</v>
      </c>
      <c r="H613" t="s">
        <v>117</v>
      </c>
      <c r="I613" t="s">
        <v>114</v>
      </c>
      <c r="J613">
        <v>100</v>
      </c>
      <c r="K613" t="s">
        <v>79</v>
      </c>
      <c r="L613">
        <v>2</v>
      </c>
      <c r="M613">
        <v>106.9</v>
      </c>
      <c r="N613">
        <v>5.0999999999999996</v>
      </c>
      <c r="Q613">
        <v>101.80000000000001</v>
      </c>
    </row>
    <row r="614" spans="1:17" x14ac:dyDescent="0.25">
      <c r="A614" t="s">
        <v>46</v>
      </c>
      <c r="B614">
        <v>4</v>
      </c>
      <c r="C614" t="s">
        <v>333</v>
      </c>
      <c r="D614" s="39">
        <v>45864</v>
      </c>
      <c r="E614" t="s">
        <v>231</v>
      </c>
      <c r="F614" t="s">
        <v>79</v>
      </c>
      <c r="G614">
        <v>23</v>
      </c>
      <c r="H614">
        <v>7</v>
      </c>
      <c r="I614">
        <v>0</v>
      </c>
      <c r="J614">
        <v>200</v>
      </c>
      <c r="K614" t="s">
        <v>79</v>
      </c>
      <c r="L614">
        <v>6</v>
      </c>
      <c r="M614">
        <v>212.20000000000002</v>
      </c>
      <c r="N614">
        <v>17</v>
      </c>
      <c r="Q614">
        <v>195.20000000000002</v>
      </c>
    </row>
    <row r="615" spans="1:17" x14ac:dyDescent="0.25">
      <c r="A615" t="s">
        <v>46</v>
      </c>
      <c r="B615">
        <v>4</v>
      </c>
      <c r="C615" t="s">
        <v>334</v>
      </c>
      <c r="D615" s="39">
        <v>45864</v>
      </c>
      <c r="E615" t="s">
        <v>243</v>
      </c>
      <c r="F615" t="s">
        <v>79</v>
      </c>
      <c r="G615">
        <v>20</v>
      </c>
      <c r="H615" t="s">
        <v>123</v>
      </c>
      <c r="I615" t="s">
        <v>103</v>
      </c>
      <c r="J615">
        <v>100</v>
      </c>
      <c r="K615" t="s">
        <v>79</v>
      </c>
      <c r="L615">
        <v>2</v>
      </c>
      <c r="M615">
        <v>109.19999999999999</v>
      </c>
      <c r="N615">
        <v>4.8</v>
      </c>
      <c r="Q615">
        <v>104.39999999999999</v>
      </c>
    </row>
    <row r="616" spans="1:17" x14ac:dyDescent="0.25">
      <c r="A616" t="s">
        <v>45</v>
      </c>
      <c r="B616">
        <v>5</v>
      </c>
      <c r="C616" t="s">
        <v>95</v>
      </c>
      <c r="D616" s="39">
        <v>45864</v>
      </c>
      <c r="E616" t="s">
        <v>194</v>
      </c>
      <c r="F616" t="s">
        <v>79</v>
      </c>
      <c r="G616">
        <v>14</v>
      </c>
      <c r="H616">
        <v>5</v>
      </c>
      <c r="I616">
        <v>0</v>
      </c>
      <c r="J616" t="s">
        <v>81</v>
      </c>
      <c r="K616" t="s">
        <v>79</v>
      </c>
      <c r="L616">
        <v>6</v>
      </c>
      <c r="M616">
        <v>242.26</v>
      </c>
      <c r="N616">
        <v>0.84000000000000008</v>
      </c>
      <c r="Q616">
        <v>241.42</v>
      </c>
    </row>
    <row r="617" spans="1:17" x14ac:dyDescent="0.25">
      <c r="A617" t="s">
        <v>45</v>
      </c>
      <c r="B617">
        <v>5</v>
      </c>
      <c r="C617" t="s">
        <v>335</v>
      </c>
      <c r="D617" s="39">
        <v>45864</v>
      </c>
      <c r="E617" t="s">
        <v>336</v>
      </c>
      <c r="F617" t="s">
        <v>79</v>
      </c>
      <c r="G617">
        <v>14</v>
      </c>
      <c r="H617">
        <v>4.5</v>
      </c>
      <c r="I617">
        <v>0</v>
      </c>
      <c r="J617">
        <v>150</v>
      </c>
      <c r="K617" t="s">
        <v>79</v>
      </c>
      <c r="L617">
        <v>4</v>
      </c>
      <c r="M617">
        <v>164.9</v>
      </c>
      <c r="N617">
        <v>0.56000000000000005</v>
      </c>
      <c r="Q617">
        <v>164.34</v>
      </c>
    </row>
    <row r="618" spans="1:17" x14ac:dyDescent="0.25">
      <c r="A618" t="s">
        <v>45</v>
      </c>
      <c r="B618">
        <v>5</v>
      </c>
      <c r="C618" t="s">
        <v>337</v>
      </c>
      <c r="D618" s="39">
        <v>45864</v>
      </c>
      <c r="E618" t="s">
        <v>326</v>
      </c>
      <c r="F618" t="s">
        <v>79</v>
      </c>
      <c r="G618">
        <v>14</v>
      </c>
      <c r="H618" t="s">
        <v>98</v>
      </c>
      <c r="I618" t="s">
        <v>99</v>
      </c>
      <c r="J618">
        <v>100</v>
      </c>
      <c r="K618" t="s">
        <v>79</v>
      </c>
      <c r="L618">
        <v>3</v>
      </c>
      <c r="M618">
        <v>100.96</v>
      </c>
      <c r="N618">
        <v>0.42000000000000004</v>
      </c>
      <c r="Q618">
        <v>100.53999999999999</v>
      </c>
    </row>
    <row r="619" spans="1:17" x14ac:dyDescent="0.25">
      <c r="A619" t="s">
        <v>46</v>
      </c>
      <c r="B619">
        <v>5</v>
      </c>
      <c r="C619" t="s">
        <v>95</v>
      </c>
      <c r="D619" s="39">
        <v>45864</v>
      </c>
      <c r="E619" t="s">
        <v>194</v>
      </c>
      <c r="F619" t="s">
        <v>79</v>
      </c>
      <c r="G619">
        <v>14</v>
      </c>
      <c r="H619">
        <v>5</v>
      </c>
      <c r="I619">
        <v>0</v>
      </c>
      <c r="J619" t="s">
        <v>81</v>
      </c>
      <c r="K619" t="s">
        <v>79</v>
      </c>
      <c r="L619">
        <v>8</v>
      </c>
      <c r="M619">
        <v>368.01</v>
      </c>
      <c r="N619">
        <v>1.1200000000000001</v>
      </c>
      <c r="Q619">
        <v>366.89</v>
      </c>
    </row>
    <row r="620" spans="1:17" x14ac:dyDescent="0.25">
      <c r="A620" t="s">
        <v>46</v>
      </c>
      <c r="B620">
        <v>5</v>
      </c>
      <c r="C620" t="s">
        <v>95</v>
      </c>
      <c r="D620" s="39">
        <v>45864</v>
      </c>
      <c r="E620" t="s">
        <v>194</v>
      </c>
      <c r="F620" t="s">
        <v>79</v>
      </c>
      <c r="G620">
        <v>14</v>
      </c>
      <c r="H620">
        <v>5</v>
      </c>
      <c r="I620">
        <v>0</v>
      </c>
      <c r="J620" t="s">
        <v>81</v>
      </c>
      <c r="K620" t="s">
        <v>79</v>
      </c>
      <c r="L620">
        <v>2</v>
      </c>
      <c r="M620">
        <v>73.900000000000006</v>
      </c>
      <c r="N620">
        <v>0.28000000000000003</v>
      </c>
      <c r="Q620">
        <v>73.62</v>
      </c>
    </row>
    <row r="621" spans="1:17" x14ac:dyDescent="0.25">
      <c r="A621" t="s">
        <v>45</v>
      </c>
      <c r="B621">
        <v>1</v>
      </c>
      <c r="C621" t="s">
        <v>338</v>
      </c>
      <c r="D621" s="39">
        <v>45866</v>
      </c>
      <c r="E621" t="s">
        <v>238</v>
      </c>
      <c r="F621" t="s">
        <v>79</v>
      </c>
      <c r="G621">
        <v>2.5</v>
      </c>
      <c r="H621">
        <v>5</v>
      </c>
      <c r="I621">
        <v>0</v>
      </c>
      <c r="J621">
        <v>100</v>
      </c>
      <c r="K621" t="s">
        <v>79</v>
      </c>
      <c r="L621">
        <v>8</v>
      </c>
      <c r="M621">
        <v>96.5</v>
      </c>
      <c r="N621">
        <v>2</v>
      </c>
      <c r="O621">
        <v>16.5</v>
      </c>
      <c r="Q621">
        <v>94.5</v>
      </c>
    </row>
    <row r="622" spans="1:17" x14ac:dyDescent="0.25">
      <c r="A622" t="s">
        <v>46</v>
      </c>
      <c r="B622">
        <v>1</v>
      </c>
      <c r="C622" t="s">
        <v>338</v>
      </c>
      <c r="D622" s="39">
        <v>45866</v>
      </c>
      <c r="E622" t="s">
        <v>238</v>
      </c>
      <c r="F622" t="s">
        <v>79</v>
      </c>
      <c r="G622">
        <v>2.5</v>
      </c>
      <c r="H622">
        <v>5</v>
      </c>
      <c r="I622">
        <v>0</v>
      </c>
      <c r="J622">
        <v>100</v>
      </c>
      <c r="K622" t="s">
        <v>79</v>
      </c>
      <c r="L622">
        <v>10</v>
      </c>
      <c r="M622">
        <v>130.13999999999999</v>
      </c>
      <c r="N622">
        <v>2.5</v>
      </c>
      <c r="O622">
        <v>27.5</v>
      </c>
      <c r="Q622">
        <v>127.63999999999999</v>
      </c>
    </row>
    <row r="623" spans="1:17" x14ac:dyDescent="0.25">
      <c r="A623" t="s">
        <v>45</v>
      </c>
      <c r="B623">
        <v>2</v>
      </c>
      <c r="C623" t="s">
        <v>320</v>
      </c>
      <c r="D623" s="39">
        <v>45866</v>
      </c>
      <c r="E623" t="s">
        <v>300</v>
      </c>
      <c r="F623" t="s">
        <v>79</v>
      </c>
      <c r="G623">
        <v>3.5</v>
      </c>
      <c r="H623">
        <v>8</v>
      </c>
      <c r="I623">
        <v>0</v>
      </c>
      <c r="J623">
        <v>1000</v>
      </c>
      <c r="K623" t="s">
        <v>79</v>
      </c>
      <c r="L623">
        <v>8</v>
      </c>
      <c r="M623">
        <v>111.57000000000001</v>
      </c>
      <c r="N623">
        <v>2.8</v>
      </c>
      <c r="Q623">
        <v>108.77000000000001</v>
      </c>
    </row>
    <row r="624" spans="1:17" x14ac:dyDescent="0.25">
      <c r="A624" t="s">
        <v>46</v>
      </c>
      <c r="B624">
        <v>2</v>
      </c>
      <c r="C624" t="s">
        <v>320</v>
      </c>
      <c r="D624" s="39">
        <v>45866</v>
      </c>
      <c r="E624" t="s">
        <v>300</v>
      </c>
      <c r="F624" t="s">
        <v>79</v>
      </c>
      <c r="G624">
        <v>3.5</v>
      </c>
      <c r="H624">
        <v>8</v>
      </c>
      <c r="I624">
        <v>0</v>
      </c>
      <c r="J624">
        <v>1000</v>
      </c>
      <c r="K624" t="s">
        <v>79</v>
      </c>
      <c r="L624">
        <v>11</v>
      </c>
      <c r="M624">
        <v>144.20000000000002</v>
      </c>
      <c r="N624">
        <v>3.8499999999999996</v>
      </c>
      <c r="Q624">
        <v>140.35000000000002</v>
      </c>
    </row>
    <row r="625" spans="1:17" x14ac:dyDescent="0.25">
      <c r="A625" t="s">
        <v>45</v>
      </c>
      <c r="B625">
        <v>3</v>
      </c>
      <c r="C625" t="s">
        <v>316</v>
      </c>
      <c r="D625" s="39">
        <v>45866</v>
      </c>
      <c r="E625" t="s">
        <v>317</v>
      </c>
      <c r="F625" t="s">
        <v>79</v>
      </c>
      <c r="G625">
        <v>8</v>
      </c>
      <c r="H625" t="s">
        <v>98</v>
      </c>
      <c r="I625" t="s">
        <v>81</v>
      </c>
      <c r="J625">
        <v>1000</v>
      </c>
      <c r="K625" t="s">
        <v>79</v>
      </c>
      <c r="L625">
        <v>6</v>
      </c>
      <c r="M625">
        <v>237.17999999999998</v>
      </c>
      <c r="N625">
        <v>4.8000000000000007</v>
      </c>
      <c r="Q625">
        <v>232.37999999999997</v>
      </c>
    </row>
    <row r="626" spans="1:17" x14ac:dyDescent="0.25">
      <c r="A626" t="s">
        <v>45</v>
      </c>
      <c r="B626">
        <v>3</v>
      </c>
      <c r="C626" t="s">
        <v>316</v>
      </c>
      <c r="D626" s="39">
        <v>45866</v>
      </c>
      <c r="E626" t="s">
        <v>317</v>
      </c>
      <c r="F626" t="s">
        <v>79</v>
      </c>
      <c r="G626">
        <v>8</v>
      </c>
      <c r="H626" t="s">
        <v>98</v>
      </c>
      <c r="I626" t="s">
        <v>81</v>
      </c>
      <c r="J626">
        <v>1000</v>
      </c>
      <c r="K626" t="s">
        <v>79</v>
      </c>
      <c r="L626">
        <v>5</v>
      </c>
      <c r="M626">
        <v>217.20000000000005</v>
      </c>
      <c r="N626">
        <v>4</v>
      </c>
      <c r="Q626">
        <v>213.20000000000005</v>
      </c>
    </row>
    <row r="627" spans="1:17" x14ac:dyDescent="0.25">
      <c r="A627" t="s">
        <v>46</v>
      </c>
      <c r="B627">
        <v>3</v>
      </c>
      <c r="C627" t="s">
        <v>94</v>
      </c>
      <c r="D627" s="39">
        <v>45866</v>
      </c>
      <c r="E627" t="s">
        <v>194</v>
      </c>
      <c r="F627" t="s">
        <v>79</v>
      </c>
      <c r="G627">
        <v>8</v>
      </c>
      <c r="H627">
        <v>5</v>
      </c>
      <c r="I627">
        <v>0</v>
      </c>
      <c r="J627" t="s">
        <v>81</v>
      </c>
      <c r="K627" t="s">
        <v>79</v>
      </c>
      <c r="L627">
        <v>2</v>
      </c>
      <c r="M627">
        <v>80</v>
      </c>
      <c r="N627">
        <v>1.7</v>
      </c>
      <c r="Q627">
        <v>78.3</v>
      </c>
    </row>
    <row r="628" spans="1:17" x14ac:dyDescent="0.25">
      <c r="A628" t="s">
        <v>45</v>
      </c>
      <c r="B628">
        <v>5</v>
      </c>
      <c r="C628" t="s">
        <v>339</v>
      </c>
      <c r="D628" s="39">
        <v>45866</v>
      </c>
      <c r="E628" t="s">
        <v>340</v>
      </c>
      <c r="F628" t="s">
        <v>79</v>
      </c>
      <c r="G628">
        <v>14</v>
      </c>
      <c r="H628">
        <v>8</v>
      </c>
      <c r="I628">
        <v>0</v>
      </c>
      <c r="J628">
        <v>75</v>
      </c>
      <c r="K628" t="s">
        <v>79</v>
      </c>
      <c r="L628">
        <v>2</v>
      </c>
      <c r="M628">
        <v>109.25</v>
      </c>
      <c r="N628">
        <v>3.2</v>
      </c>
      <c r="Q628">
        <v>106.05</v>
      </c>
    </row>
    <row r="629" spans="1:17" x14ac:dyDescent="0.25">
      <c r="A629" t="s">
        <v>45</v>
      </c>
      <c r="B629">
        <v>5</v>
      </c>
      <c r="C629" t="s">
        <v>95</v>
      </c>
      <c r="D629" s="39">
        <v>45866</v>
      </c>
      <c r="E629" t="s">
        <v>194</v>
      </c>
      <c r="F629" t="s">
        <v>79</v>
      </c>
      <c r="G629">
        <v>14</v>
      </c>
      <c r="H629">
        <v>5</v>
      </c>
      <c r="I629">
        <v>0</v>
      </c>
      <c r="J629" t="s">
        <v>81</v>
      </c>
      <c r="K629" t="s">
        <v>79</v>
      </c>
      <c r="L629">
        <v>6</v>
      </c>
      <c r="M629">
        <v>319.64999999999998</v>
      </c>
      <c r="N629">
        <v>10.5</v>
      </c>
      <c r="Q629">
        <v>309.14999999999998</v>
      </c>
    </row>
    <row r="630" spans="1:17" x14ac:dyDescent="0.25">
      <c r="A630" t="s">
        <v>46</v>
      </c>
      <c r="B630">
        <v>5</v>
      </c>
      <c r="C630" t="s">
        <v>95</v>
      </c>
      <c r="D630" s="39">
        <v>45866</v>
      </c>
      <c r="E630" t="s">
        <v>194</v>
      </c>
      <c r="F630" t="s">
        <v>79</v>
      </c>
      <c r="G630">
        <v>14</v>
      </c>
      <c r="H630">
        <v>5</v>
      </c>
      <c r="I630">
        <v>0</v>
      </c>
      <c r="J630" t="s">
        <v>81</v>
      </c>
      <c r="K630" t="s">
        <v>79</v>
      </c>
      <c r="L630">
        <v>4</v>
      </c>
      <c r="M630">
        <v>222.10000000000002</v>
      </c>
      <c r="N630">
        <v>6.8</v>
      </c>
      <c r="Q630">
        <v>215.3</v>
      </c>
    </row>
    <row r="631" spans="1:17" x14ac:dyDescent="0.25">
      <c r="A631" t="s">
        <v>46</v>
      </c>
      <c r="B631">
        <v>5</v>
      </c>
      <c r="C631" t="s">
        <v>341</v>
      </c>
      <c r="D631" s="39">
        <v>45866</v>
      </c>
      <c r="E631" t="s">
        <v>231</v>
      </c>
      <c r="F631" t="s">
        <v>79</v>
      </c>
      <c r="G631">
        <v>13</v>
      </c>
      <c r="H631">
        <v>6.5</v>
      </c>
      <c r="I631">
        <v>0</v>
      </c>
      <c r="J631">
        <v>700</v>
      </c>
      <c r="K631" t="s">
        <v>79</v>
      </c>
      <c r="L631">
        <v>12</v>
      </c>
      <c r="M631">
        <v>384.83</v>
      </c>
      <c r="N631">
        <v>19.200000000000003</v>
      </c>
      <c r="Q631">
        <v>365.63</v>
      </c>
    </row>
    <row r="632" spans="1:17" x14ac:dyDescent="0.25">
      <c r="A632" t="s">
        <v>45</v>
      </c>
      <c r="B632">
        <v>1</v>
      </c>
      <c r="C632" t="s">
        <v>338</v>
      </c>
      <c r="D632" s="39">
        <v>45867</v>
      </c>
      <c r="E632" t="s">
        <v>238</v>
      </c>
      <c r="F632" t="s">
        <v>79</v>
      </c>
      <c r="G632">
        <v>2.5</v>
      </c>
      <c r="H632">
        <v>5</v>
      </c>
      <c r="I632">
        <v>0</v>
      </c>
      <c r="J632">
        <v>100</v>
      </c>
      <c r="K632" t="s">
        <v>79</v>
      </c>
      <c r="L632">
        <v>11</v>
      </c>
      <c r="M632">
        <v>130.83000000000001</v>
      </c>
      <c r="N632">
        <v>2.75</v>
      </c>
      <c r="O632">
        <v>12</v>
      </c>
      <c r="Q632">
        <v>128.08000000000001</v>
      </c>
    </row>
    <row r="633" spans="1:17" x14ac:dyDescent="0.25">
      <c r="A633" t="s">
        <v>46</v>
      </c>
      <c r="B633">
        <v>1</v>
      </c>
      <c r="C633" t="s">
        <v>338</v>
      </c>
      <c r="D633" s="39">
        <v>45867</v>
      </c>
      <c r="E633" t="s">
        <v>238</v>
      </c>
      <c r="F633" t="s">
        <v>79</v>
      </c>
      <c r="G633">
        <v>2.5</v>
      </c>
      <c r="H633">
        <v>5</v>
      </c>
      <c r="I633">
        <v>0</v>
      </c>
      <c r="J633">
        <v>100</v>
      </c>
      <c r="K633" t="s">
        <v>79</v>
      </c>
      <c r="L633">
        <v>9</v>
      </c>
      <c r="M633">
        <v>120.75</v>
      </c>
      <c r="N633">
        <v>2.25</v>
      </c>
      <c r="O633">
        <v>28</v>
      </c>
      <c r="Q633">
        <v>118.5</v>
      </c>
    </row>
    <row r="634" spans="1:17" x14ac:dyDescent="0.25">
      <c r="A634" t="s">
        <v>45</v>
      </c>
      <c r="B634">
        <v>2</v>
      </c>
      <c r="C634" t="s">
        <v>320</v>
      </c>
      <c r="D634" s="39">
        <v>45867</v>
      </c>
      <c r="E634" t="s">
        <v>300</v>
      </c>
      <c r="F634" t="s">
        <v>79</v>
      </c>
      <c r="G634">
        <v>3.5</v>
      </c>
      <c r="H634">
        <v>8</v>
      </c>
      <c r="I634">
        <v>0</v>
      </c>
      <c r="J634">
        <v>1000</v>
      </c>
      <c r="K634" t="s">
        <v>79</v>
      </c>
      <c r="L634">
        <v>11</v>
      </c>
      <c r="M634">
        <v>159.6</v>
      </c>
      <c r="N634">
        <v>3.8499999999999996</v>
      </c>
      <c r="Q634">
        <v>155.75</v>
      </c>
    </row>
    <row r="635" spans="1:17" x14ac:dyDescent="0.25">
      <c r="A635" t="s">
        <v>46</v>
      </c>
      <c r="B635">
        <v>2</v>
      </c>
      <c r="C635" t="s">
        <v>320</v>
      </c>
      <c r="D635" s="39">
        <v>45867</v>
      </c>
      <c r="E635" t="s">
        <v>300</v>
      </c>
      <c r="F635" t="s">
        <v>79</v>
      </c>
      <c r="G635">
        <v>3.5</v>
      </c>
      <c r="H635">
        <v>8</v>
      </c>
      <c r="I635">
        <v>0</v>
      </c>
      <c r="J635">
        <v>1000</v>
      </c>
      <c r="K635" t="s">
        <v>79</v>
      </c>
      <c r="L635">
        <v>3</v>
      </c>
      <c r="M635">
        <v>34.700000000000003</v>
      </c>
      <c r="N635">
        <v>1.0499999999999998</v>
      </c>
      <c r="Q635">
        <v>33.650000000000006</v>
      </c>
    </row>
    <row r="636" spans="1:17" x14ac:dyDescent="0.25">
      <c r="A636" t="s">
        <v>46</v>
      </c>
      <c r="B636">
        <v>2</v>
      </c>
      <c r="C636" t="s">
        <v>342</v>
      </c>
      <c r="D636" s="39">
        <v>45867</v>
      </c>
      <c r="E636" t="s">
        <v>238</v>
      </c>
      <c r="F636" t="s">
        <v>79</v>
      </c>
      <c r="G636">
        <v>2</v>
      </c>
      <c r="H636">
        <v>5</v>
      </c>
      <c r="I636">
        <v>0</v>
      </c>
      <c r="J636">
        <v>100</v>
      </c>
      <c r="K636" t="s">
        <v>79</v>
      </c>
      <c r="L636">
        <v>7</v>
      </c>
      <c r="M636">
        <v>62.55</v>
      </c>
      <c r="N636">
        <v>1.4000000000000001</v>
      </c>
      <c r="Q636">
        <v>61.15</v>
      </c>
    </row>
    <row r="637" spans="1:17" x14ac:dyDescent="0.25">
      <c r="A637" t="s">
        <v>45</v>
      </c>
      <c r="B637">
        <v>3</v>
      </c>
      <c r="C637" t="s">
        <v>94</v>
      </c>
      <c r="D637" s="39">
        <v>45867</v>
      </c>
      <c r="E637" t="s">
        <v>194</v>
      </c>
      <c r="F637" t="s">
        <v>79</v>
      </c>
      <c r="G637">
        <v>8</v>
      </c>
      <c r="H637">
        <v>5</v>
      </c>
      <c r="I637">
        <v>0</v>
      </c>
      <c r="J637" t="s">
        <v>81</v>
      </c>
      <c r="K637" t="s">
        <v>79</v>
      </c>
      <c r="L637">
        <v>3</v>
      </c>
      <c r="M637">
        <v>114.5</v>
      </c>
      <c r="N637">
        <v>3.4499999999999997</v>
      </c>
      <c r="Q637">
        <v>111.05</v>
      </c>
    </row>
    <row r="638" spans="1:17" x14ac:dyDescent="0.25">
      <c r="A638" t="s">
        <v>45</v>
      </c>
      <c r="B638">
        <v>3</v>
      </c>
      <c r="C638" t="s">
        <v>343</v>
      </c>
      <c r="D638" s="39">
        <v>45867</v>
      </c>
      <c r="E638" t="s">
        <v>344</v>
      </c>
      <c r="F638" t="s">
        <v>79</v>
      </c>
      <c r="G638">
        <v>8</v>
      </c>
      <c r="H638">
        <v>15</v>
      </c>
      <c r="I638">
        <v>0</v>
      </c>
      <c r="J638">
        <v>125</v>
      </c>
      <c r="K638" t="s">
        <v>79</v>
      </c>
      <c r="L638">
        <v>4</v>
      </c>
      <c r="M638">
        <v>159.9</v>
      </c>
      <c r="N638">
        <v>4.6199999999999992</v>
      </c>
      <c r="Q638">
        <v>155.28</v>
      </c>
    </row>
    <row r="639" spans="1:17" x14ac:dyDescent="0.25">
      <c r="A639" t="s">
        <v>45</v>
      </c>
      <c r="B639">
        <v>3</v>
      </c>
      <c r="C639" t="s">
        <v>343</v>
      </c>
      <c r="D639" s="39">
        <v>45867</v>
      </c>
      <c r="E639" t="s">
        <v>344</v>
      </c>
      <c r="F639" t="s">
        <v>79</v>
      </c>
      <c r="G639">
        <v>8</v>
      </c>
      <c r="H639">
        <v>15</v>
      </c>
      <c r="I639">
        <v>0</v>
      </c>
      <c r="J639">
        <v>125</v>
      </c>
      <c r="K639" t="s">
        <v>79</v>
      </c>
      <c r="L639">
        <v>3</v>
      </c>
      <c r="M639">
        <v>91.460000000000008</v>
      </c>
      <c r="N639">
        <v>3.9</v>
      </c>
      <c r="Q639">
        <v>87.56</v>
      </c>
    </row>
    <row r="640" spans="1:17" x14ac:dyDescent="0.25">
      <c r="A640" t="s">
        <v>46</v>
      </c>
      <c r="B640">
        <v>3</v>
      </c>
      <c r="C640" t="s">
        <v>343</v>
      </c>
      <c r="D640" s="39">
        <v>45867</v>
      </c>
      <c r="E640" t="s">
        <v>344</v>
      </c>
      <c r="F640" t="s">
        <v>79</v>
      </c>
      <c r="G640">
        <v>8</v>
      </c>
      <c r="H640">
        <v>15</v>
      </c>
      <c r="I640">
        <v>0</v>
      </c>
      <c r="J640">
        <v>125</v>
      </c>
      <c r="K640" t="s">
        <v>79</v>
      </c>
      <c r="L640">
        <v>6</v>
      </c>
      <c r="M640">
        <v>144.70000000000002</v>
      </c>
      <c r="N640">
        <v>6</v>
      </c>
      <c r="Q640">
        <v>138.70000000000002</v>
      </c>
    </row>
    <row r="641" spans="1:17" x14ac:dyDescent="0.25">
      <c r="A641" t="s">
        <v>46</v>
      </c>
      <c r="B641">
        <v>3</v>
      </c>
      <c r="C641" t="s">
        <v>345</v>
      </c>
      <c r="D641" s="39">
        <v>45867</v>
      </c>
      <c r="E641" t="s">
        <v>194</v>
      </c>
      <c r="F641" t="s">
        <v>79</v>
      </c>
      <c r="G641" t="s">
        <v>123</v>
      </c>
      <c r="H641">
        <v>5</v>
      </c>
      <c r="I641">
        <v>0</v>
      </c>
      <c r="J641" t="s">
        <v>81</v>
      </c>
      <c r="K641" t="s">
        <v>79</v>
      </c>
      <c r="L641">
        <v>5</v>
      </c>
      <c r="M641">
        <v>187.89999999999998</v>
      </c>
      <c r="N641">
        <v>5</v>
      </c>
      <c r="Q641">
        <v>182.89999999999998</v>
      </c>
    </row>
    <row r="642" spans="1:17" x14ac:dyDescent="0.25">
      <c r="A642" t="s">
        <v>45</v>
      </c>
      <c r="B642">
        <v>5</v>
      </c>
      <c r="C642" t="s">
        <v>341</v>
      </c>
      <c r="D642" s="39">
        <v>45867</v>
      </c>
      <c r="E642" t="s">
        <v>231</v>
      </c>
      <c r="F642" t="s">
        <v>79</v>
      </c>
      <c r="G642">
        <v>13</v>
      </c>
      <c r="H642">
        <v>6.5</v>
      </c>
      <c r="I642">
        <v>0</v>
      </c>
      <c r="J642">
        <v>700</v>
      </c>
      <c r="K642" t="s">
        <v>79</v>
      </c>
      <c r="L642">
        <v>11</v>
      </c>
      <c r="M642">
        <v>359.53999999999996</v>
      </c>
      <c r="N642">
        <v>18.399999999999999</v>
      </c>
      <c r="Q642">
        <v>341.14</v>
      </c>
    </row>
    <row r="643" spans="1:17" x14ac:dyDescent="0.25">
      <c r="A643" t="s">
        <v>45</v>
      </c>
      <c r="B643">
        <v>5</v>
      </c>
      <c r="C643" t="s">
        <v>132</v>
      </c>
      <c r="D643" s="39">
        <v>45867</v>
      </c>
      <c r="E643" t="s">
        <v>194</v>
      </c>
      <c r="F643" t="s">
        <v>79</v>
      </c>
      <c r="G643">
        <v>13</v>
      </c>
      <c r="H643">
        <v>5</v>
      </c>
      <c r="I643">
        <v>0</v>
      </c>
      <c r="J643" t="s">
        <v>81</v>
      </c>
      <c r="K643" t="s">
        <v>79</v>
      </c>
      <c r="L643">
        <v>8</v>
      </c>
      <c r="M643">
        <v>274.04999999999995</v>
      </c>
      <c r="N643">
        <v>13.6</v>
      </c>
      <c r="Q643">
        <v>260.44999999999993</v>
      </c>
    </row>
    <row r="644" spans="1:17" x14ac:dyDescent="0.25">
      <c r="A644" t="s">
        <v>46</v>
      </c>
      <c r="B644">
        <v>5</v>
      </c>
      <c r="C644" t="s">
        <v>132</v>
      </c>
      <c r="D644" s="39">
        <v>45867</v>
      </c>
      <c r="E644" t="s">
        <v>194</v>
      </c>
      <c r="F644" t="s">
        <v>79</v>
      </c>
      <c r="G644">
        <v>13</v>
      </c>
      <c r="H644">
        <v>5</v>
      </c>
      <c r="I644">
        <v>0</v>
      </c>
      <c r="J644" t="s">
        <v>81</v>
      </c>
      <c r="K644" t="s">
        <v>79</v>
      </c>
      <c r="L644">
        <v>7</v>
      </c>
      <c r="M644">
        <v>282.2</v>
      </c>
      <c r="N644">
        <v>0.91</v>
      </c>
      <c r="Q644">
        <v>281.28999999999996</v>
      </c>
    </row>
    <row r="645" spans="1:17" x14ac:dyDescent="0.25">
      <c r="A645" t="s">
        <v>46</v>
      </c>
      <c r="B645">
        <v>5</v>
      </c>
      <c r="C645" t="s">
        <v>346</v>
      </c>
      <c r="D645" s="39">
        <v>45867</v>
      </c>
      <c r="E645" t="s">
        <v>336</v>
      </c>
      <c r="F645" t="s">
        <v>79</v>
      </c>
      <c r="G645">
        <v>13</v>
      </c>
      <c r="H645">
        <v>4.5</v>
      </c>
      <c r="I645">
        <v>0</v>
      </c>
      <c r="J645">
        <v>150</v>
      </c>
      <c r="K645" t="s">
        <v>79</v>
      </c>
      <c r="L645">
        <v>4</v>
      </c>
      <c r="M645">
        <v>164.5</v>
      </c>
      <c r="N645">
        <v>0.52</v>
      </c>
      <c r="Q645">
        <v>163.98</v>
      </c>
    </row>
    <row r="646" spans="1:17" x14ac:dyDescent="0.25">
      <c r="A646" t="s">
        <v>46</v>
      </c>
      <c r="B646">
        <v>5</v>
      </c>
      <c r="C646" t="s">
        <v>85</v>
      </c>
      <c r="D646" s="39">
        <v>45867</v>
      </c>
      <c r="E646" t="s">
        <v>194</v>
      </c>
      <c r="F646" t="s">
        <v>79</v>
      </c>
      <c r="G646">
        <v>12</v>
      </c>
      <c r="H646">
        <v>5</v>
      </c>
      <c r="I646">
        <v>0</v>
      </c>
      <c r="J646" t="s">
        <v>81</v>
      </c>
      <c r="K646" t="s">
        <v>79</v>
      </c>
      <c r="L646">
        <v>4</v>
      </c>
      <c r="M646">
        <v>135.67000000000002</v>
      </c>
      <c r="N646">
        <v>0.48</v>
      </c>
      <c r="Q646">
        <v>135.19000000000003</v>
      </c>
    </row>
    <row r="647" spans="1:17" x14ac:dyDescent="0.25">
      <c r="A647" t="s">
        <v>45</v>
      </c>
      <c r="B647">
        <v>1</v>
      </c>
      <c r="C647" t="s">
        <v>347</v>
      </c>
      <c r="D647" s="39">
        <v>45868</v>
      </c>
      <c r="E647" t="s">
        <v>238</v>
      </c>
      <c r="F647" t="s">
        <v>79</v>
      </c>
      <c r="G647">
        <v>2.5</v>
      </c>
      <c r="H647">
        <v>5</v>
      </c>
      <c r="I647">
        <v>0</v>
      </c>
      <c r="J647">
        <v>250</v>
      </c>
      <c r="K647" t="s">
        <v>79</v>
      </c>
      <c r="L647">
        <v>10</v>
      </c>
      <c r="M647">
        <v>125.42999999999999</v>
      </c>
      <c r="N647">
        <v>2.5</v>
      </c>
      <c r="O647">
        <v>23</v>
      </c>
      <c r="Q647">
        <v>122.92999999999999</v>
      </c>
    </row>
    <row r="648" spans="1:17" x14ac:dyDescent="0.25">
      <c r="A648" t="s">
        <v>46</v>
      </c>
      <c r="B648">
        <v>1</v>
      </c>
      <c r="C648" t="s">
        <v>348</v>
      </c>
      <c r="D648" s="39">
        <v>45868</v>
      </c>
      <c r="E648" t="s">
        <v>238</v>
      </c>
      <c r="F648" t="s">
        <v>79</v>
      </c>
      <c r="G648">
        <v>3</v>
      </c>
      <c r="H648">
        <v>5</v>
      </c>
      <c r="I648">
        <v>0</v>
      </c>
      <c r="J648">
        <v>250</v>
      </c>
      <c r="K648" t="s">
        <v>79</v>
      </c>
      <c r="L648">
        <v>10</v>
      </c>
      <c r="M648">
        <v>151.51000000000002</v>
      </c>
      <c r="N648">
        <v>3</v>
      </c>
      <c r="O648">
        <v>36</v>
      </c>
      <c r="Q648">
        <v>148.51000000000002</v>
      </c>
    </row>
    <row r="649" spans="1:17" x14ac:dyDescent="0.25">
      <c r="A649" t="s">
        <v>45</v>
      </c>
      <c r="B649">
        <v>2</v>
      </c>
      <c r="C649" t="s">
        <v>82</v>
      </c>
      <c r="D649" s="39">
        <v>45868</v>
      </c>
      <c r="E649" t="s">
        <v>194</v>
      </c>
      <c r="F649" t="s">
        <v>79</v>
      </c>
      <c r="G649">
        <v>2</v>
      </c>
      <c r="H649" t="s">
        <v>92</v>
      </c>
      <c r="I649">
        <v>0</v>
      </c>
      <c r="J649" t="s">
        <v>81</v>
      </c>
      <c r="K649" t="s">
        <v>79</v>
      </c>
      <c r="L649">
        <v>10</v>
      </c>
      <c r="M649">
        <v>101.7</v>
      </c>
      <c r="N649">
        <v>2</v>
      </c>
      <c r="Q649">
        <v>99.7</v>
      </c>
    </row>
    <row r="650" spans="1:17" x14ac:dyDescent="0.25">
      <c r="A650" t="s">
        <v>46</v>
      </c>
      <c r="B650">
        <v>2</v>
      </c>
      <c r="C650" t="s">
        <v>82</v>
      </c>
      <c r="D650" s="39">
        <v>45868</v>
      </c>
      <c r="E650" t="s">
        <v>194</v>
      </c>
      <c r="F650" t="s">
        <v>79</v>
      </c>
      <c r="G650">
        <v>2</v>
      </c>
      <c r="H650" t="s">
        <v>92</v>
      </c>
      <c r="I650">
        <v>0</v>
      </c>
      <c r="J650" t="s">
        <v>81</v>
      </c>
      <c r="K650" t="s">
        <v>79</v>
      </c>
      <c r="L650">
        <v>12</v>
      </c>
      <c r="M650">
        <v>110.20000000000002</v>
      </c>
      <c r="N650">
        <v>2.4000000000000004</v>
      </c>
      <c r="Q650">
        <v>107.80000000000001</v>
      </c>
    </row>
    <row r="651" spans="1:17" x14ac:dyDescent="0.25">
      <c r="A651" t="s">
        <v>45</v>
      </c>
      <c r="B651">
        <v>3</v>
      </c>
      <c r="C651" t="s">
        <v>94</v>
      </c>
      <c r="D651" s="39">
        <v>45868</v>
      </c>
      <c r="E651" t="s">
        <v>194</v>
      </c>
      <c r="F651" t="s">
        <v>79</v>
      </c>
      <c r="G651">
        <v>8</v>
      </c>
      <c r="H651">
        <v>5</v>
      </c>
      <c r="I651">
        <v>0</v>
      </c>
      <c r="J651" t="s">
        <v>81</v>
      </c>
      <c r="K651" t="s">
        <v>79</v>
      </c>
      <c r="L651">
        <v>8</v>
      </c>
      <c r="M651">
        <v>346.2</v>
      </c>
      <c r="N651">
        <v>7.2</v>
      </c>
      <c r="Q651">
        <v>339</v>
      </c>
    </row>
    <row r="652" spans="1:17" x14ac:dyDescent="0.25">
      <c r="A652" t="s">
        <v>46</v>
      </c>
      <c r="B652">
        <v>3</v>
      </c>
      <c r="C652" t="s">
        <v>94</v>
      </c>
      <c r="D652" s="39">
        <v>45868</v>
      </c>
      <c r="E652" t="s">
        <v>194</v>
      </c>
      <c r="F652" t="s">
        <v>79</v>
      </c>
      <c r="G652">
        <v>8</v>
      </c>
      <c r="H652">
        <v>5</v>
      </c>
      <c r="I652">
        <v>0</v>
      </c>
      <c r="J652" t="s">
        <v>81</v>
      </c>
      <c r="K652" t="s">
        <v>79</v>
      </c>
      <c r="L652">
        <v>9</v>
      </c>
      <c r="M652">
        <v>335.15000000000003</v>
      </c>
      <c r="N652">
        <v>8.1</v>
      </c>
      <c r="Q652">
        <v>327.05</v>
      </c>
    </row>
    <row r="653" spans="1:17" x14ac:dyDescent="0.25">
      <c r="A653" t="s">
        <v>45</v>
      </c>
      <c r="B653">
        <v>4</v>
      </c>
      <c r="C653" t="s">
        <v>285</v>
      </c>
      <c r="D653" s="39">
        <v>45868</v>
      </c>
      <c r="E653" t="s">
        <v>284</v>
      </c>
      <c r="F653" t="s">
        <v>79</v>
      </c>
      <c r="G653">
        <v>20</v>
      </c>
      <c r="H653" t="s">
        <v>98</v>
      </c>
      <c r="I653" t="s">
        <v>114</v>
      </c>
      <c r="J653">
        <v>300</v>
      </c>
      <c r="K653" t="s">
        <v>79</v>
      </c>
      <c r="L653">
        <v>2</v>
      </c>
      <c r="M653">
        <v>108.7</v>
      </c>
      <c r="N653">
        <v>4.0999999999999996</v>
      </c>
      <c r="Q653">
        <v>104.60000000000001</v>
      </c>
    </row>
    <row r="654" spans="1:17" x14ac:dyDescent="0.25">
      <c r="A654" t="s">
        <v>45</v>
      </c>
      <c r="B654">
        <v>4</v>
      </c>
      <c r="C654" t="s">
        <v>349</v>
      </c>
      <c r="D654" s="39">
        <v>45868</v>
      </c>
      <c r="E654" t="s">
        <v>276</v>
      </c>
      <c r="F654" t="s">
        <v>79</v>
      </c>
      <c r="G654">
        <v>20</v>
      </c>
      <c r="H654" t="s">
        <v>113</v>
      </c>
      <c r="I654" t="s">
        <v>114</v>
      </c>
      <c r="J654">
        <v>500</v>
      </c>
      <c r="K654" t="s">
        <v>79</v>
      </c>
      <c r="L654">
        <v>8</v>
      </c>
      <c r="M654">
        <v>459.77</v>
      </c>
      <c r="N654">
        <v>20.8</v>
      </c>
      <c r="Q654">
        <v>438.96999999999997</v>
      </c>
    </row>
    <row r="655" spans="1:17" x14ac:dyDescent="0.25">
      <c r="A655" t="s">
        <v>46</v>
      </c>
      <c r="B655">
        <v>4</v>
      </c>
      <c r="C655" t="s">
        <v>349</v>
      </c>
      <c r="D655" s="39">
        <v>45868</v>
      </c>
      <c r="E655" t="s">
        <v>276</v>
      </c>
      <c r="F655" t="s">
        <v>79</v>
      </c>
      <c r="G655">
        <v>20</v>
      </c>
      <c r="H655" t="s">
        <v>113</v>
      </c>
      <c r="I655" t="s">
        <v>114</v>
      </c>
      <c r="J655">
        <v>500</v>
      </c>
      <c r="K655" t="s">
        <v>79</v>
      </c>
      <c r="L655">
        <v>2</v>
      </c>
      <c r="M655">
        <v>99.5</v>
      </c>
      <c r="N655">
        <v>6.6</v>
      </c>
      <c r="Q655">
        <v>92.9</v>
      </c>
    </row>
    <row r="656" spans="1:17" x14ac:dyDescent="0.25">
      <c r="A656" t="s">
        <v>46</v>
      </c>
      <c r="B656">
        <v>4</v>
      </c>
      <c r="C656" t="s">
        <v>350</v>
      </c>
      <c r="D656" s="39">
        <v>45868</v>
      </c>
      <c r="E656" t="s">
        <v>276</v>
      </c>
      <c r="F656" t="s">
        <v>79</v>
      </c>
      <c r="G656">
        <v>16</v>
      </c>
      <c r="H656" t="s">
        <v>113</v>
      </c>
      <c r="I656" t="s">
        <v>114</v>
      </c>
      <c r="J656">
        <v>500</v>
      </c>
      <c r="K656" t="s">
        <v>79</v>
      </c>
      <c r="L656">
        <v>3</v>
      </c>
      <c r="M656">
        <v>146.89999999999998</v>
      </c>
      <c r="N656">
        <v>5.4</v>
      </c>
      <c r="Q656">
        <v>141.49999999999997</v>
      </c>
    </row>
    <row r="657" spans="1:17" x14ac:dyDescent="0.25">
      <c r="A657" t="s">
        <v>46</v>
      </c>
      <c r="B657">
        <v>4</v>
      </c>
      <c r="C657" t="s">
        <v>89</v>
      </c>
      <c r="D657" s="39">
        <v>45868</v>
      </c>
      <c r="E657" t="s">
        <v>194</v>
      </c>
      <c r="F657" t="s">
        <v>79</v>
      </c>
      <c r="G657">
        <v>16</v>
      </c>
      <c r="H657">
        <v>5</v>
      </c>
      <c r="I657">
        <v>0</v>
      </c>
      <c r="J657" t="s">
        <v>81</v>
      </c>
      <c r="K657" t="s">
        <v>79</v>
      </c>
      <c r="L657">
        <v>5</v>
      </c>
      <c r="M657">
        <v>213.3</v>
      </c>
      <c r="N657">
        <v>9</v>
      </c>
      <c r="Q657">
        <v>204.3</v>
      </c>
    </row>
    <row r="658" spans="1:17" x14ac:dyDescent="0.25">
      <c r="A658" t="s">
        <v>46</v>
      </c>
      <c r="B658">
        <v>4</v>
      </c>
      <c r="C658" t="s">
        <v>351</v>
      </c>
      <c r="D658" s="39">
        <v>45868</v>
      </c>
      <c r="E658" t="s">
        <v>352</v>
      </c>
      <c r="F658" t="s">
        <v>79</v>
      </c>
      <c r="G658">
        <v>16</v>
      </c>
      <c r="H658" t="s">
        <v>353</v>
      </c>
      <c r="I658" t="s">
        <v>114</v>
      </c>
      <c r="J658">
        <v>100</v>
      </c>
      <c r="K658" t="s">
        <v>79</v>
      </c>
      <c r="L658">
        <v>2</v>
      </c>
      <c r="M658">
        <v>107.22</v>
      </c>
      <c r="N658">
        <v>3.6</v>
      </c>
      <c r="Q658">
        <v>103.62</v>
      </c>
    </row>
    <row r="659" spans="1:17" x14ac:dyDescent="0.25">
      <c r="A659" t="s">
        <v>46</v>
      </c>
      <c r="B659">
        <v>4</v>
      </c>
      <c r="C659" t="s">
        <v>354</v>
      </c>
      <c r="D659" s="39">
        <v>45868</v>
      </c>
      <c r="E659" t="s">
        <v>355</v>
      </c>
      <c r="F659" t="s">
        <v>79</v>
      </c>
      <c r="G659">
        <v>16</v>
      </c>
      <c r="H659" t="s">
        <v>134</v>
      </c>
      <c r="I659" t="s">
        <v>114</v>
      </c>
      <c r="J659">
        <v>150</v>
      </c>
      <c r="K659" t="s">
        <v>79</v>
      </c>
      <c r="L659">
        <v>5</v>
      </c>
      <c r="M659">
        <v>202.1</v>
      </c>
      <c r="N659">
        <v>9</v>
      </c>
      <c r="Q659">
        <v>193.1</v>
      </c>
    </row>
    <row r="660" spans="1:17" x14ac:dyDescent="0.25">
      <c r="A660" t="s">
        <v>45</v>
      </c>
      <c r="B660">
        <v>5</v>
      </c>
      <c r="C660" t="s">
        <v>85</v>
      </c>
      <c r="D660" s="39">
        <v>45868</v>
      </c>
      <c r="E660" t="s">
        <v>194</v>
      </c>
      <c r="F660" t="s">
        <v>79</v>
      </c>
      <c r="G660">
        <v>12</v>
      </c>
      <c r="H660">
        <v>5</v>
      </c>
      <c r="I660">
        <v>0</v>
      </c>
      <c r="J660" t="s">
        <v>81</v>
      </c>
      <c r="K660" t="s">
        <v>79</v>
      </c>
      <c r="L660">
        <v>12</v>
      </c>
      <c r="M660">
        <v>591.41</v>
      </c>
      <c r="N660">
        <v>16.799999999999997</v>
      </c>
      <c r="Q660">
        <v>574.61</v>
      </c>
    </row>
    <row r="661" spans="1:17" x14ac:dyDescent="0.25">
      <c r="A661" t="s">
        <v>46</v>
      </c>
      <c r="B661">
        <v>5</v>
      </c>
      <c r="C661" t="s">
        <v>85</v>
      </c>
      <c r="D661" s="39">
        <v>45868</v>
      </c>
      <c r="E661" t="s">
        <v>194</v>
      </c>
      <c r="F661" t="s">
        <v>79</v>
      </c>
      <c r="G661">
        <v>12</v>
      </c>
      <c r="H661">
        <v>5</v>
      </c>
      <c r="I661">
        <v>0</v>
      </c>
      <c r="J661" t="s">
        <v>81</v>
      </c>
      <c r="K661" t="s">
        <v>79</v>
      </c>
      <c r="L661">
        <v>13</v>
      </c>
      <c r="M661">
        <v>557.19000000000005</v>
      </c>
      <c r="N661">
        <v>1.68</v>
      </c>
      <c r="Q661">
        <v>555.5100000000001</v>
      </c>
    </row>
    <row r="662" spans="1:17" x14ac:dyDescent="0.25">
      <c r="A662" t="s">
        <v>45</v>
      </c>
      <c r="B662">
        <v>1</v>
      </c>
      <c r="C662" t="s">
        <v>118</v>
      </c>
      <c r="D662" s="39">
        <v>45869</v>
      </c>
      <c r="E662" t="s">
        <v>194</v>
      </c>
      <c r="F662" t="s">
        <v>79</v>
      </c>
      <c r="G662">
        <v>3</v>
      </c>
      <c r="H662" t="s">
        <v>92</v>
      </c>
      <c r="I662">
        <v>0</v>
      </c>
      <c r="J662" t="s">
        <v>81</v>
      </c>
      <c r="K662" t="s">
        <v>79</v>
      </c>
      <c r="L662">
        <v>9</v>
      </c>
      <c r="M662">
        <v>316.58</v>
      </c>
      <c r="N662">
        <v>2.6999999999999997</v>
      </c>
      <c r="Q662">
        <v>313.88</v>
      </c>
    </row>
    <row r="663" spans="1:17" x14ac:dyDescent="0.25">
      <c r="A663" t="s">
        <v>46</v>
      </c>
      <c r="B663">
        <v>1</v>
      </c>
      <c r="C663" t="s">
        <v>118</v>
      </c>
      <c r="D663" s="39">
        <v>45869</v>
      </c>
      <c r="E663" t="s">
        <v>194</v>
      </c>
      <c r="F663" t="s">
        <v>79</v>
      </c>
      <c r="G663">
        <v>3</v>
      </c>
      <c r="H663" t="s">
        <v>92</v>
      </c>
      <c r="I663">
        <v>0</v>
      </c>
      <c r="J663" t="s">
        <v>81</v>
      </c>
      <c r="K663" t="s">
        <v>79</v>
      </c>
      <c r="L663">
        <v>10</v>
      </c>
      <c r="M663">
        <v>162.34</v>
      </c>
      <c r="N663">
        <v>3</v>
      </c>
      <c r="Q663">
        <v>159.34</v>
      </c>
    </row>
    <row r="664" spans="1:17" x14ac:dyDescent="0.25">
      <c r="A664" t="s">
        <v>45</v>
      </c>
      <c r="B664">
        <v>2</v>
      </c>
      <c r="C664" t="s">
        <v>82</v>
      </c>
      <c r="D664" s="39">
        <v>45869</v>
      </c>
      <c r="E664" t="s">
        <v>194</v>
      </c>
      <c r="F664" t="s">
        <v>79</v>
      </c>
      <c r="G664">
        <v>2</v>
      </c>
      <c r="H664" t="s">
        <v>92</v>
      </c>
      <c r="I664">
        <v>0</v>
      </c>
      <c r="J664" t="s">
        <v>81</v>
      </c>
      <c r="K664" t="s">
        <v>79</v>
      </c>
      <c r="L664">
        <v>11</v>
      </c>
      <c r="M664">
        <v>106.07000000000001</v>
      </c>
      <c r="N664">
        <v>2.2000000000000002</v>
      </c>
      <c r="Q664">
        <v>103.87</v>
      </c>
    </row>
    <row r="665" spans="1:17" x14ac:dyDescent="0.25">
      <c r="A665" t="s">
        <v>46</v>
      </c>
      <c r="B665">
        <v>2</v>
      </c>
      <c r="C665" t="s">
        <v>82</v>
      </c>
      <c r="D665" s="39">
        <v>45869</v>
      </c>
      <c r="E665" t="s">
        <v>194</v>
      </c>
      <c r="F665" t="s">
        <v>79</v>
      </c>
      <c r="G665">
        <v>2</v>
      </c>
      <c r="H665" t="s">
        <v>92</v>
      </c>
      <c r="I665">
        <v>0</v>
      </c>
      <c r="J665" t="s">
        <v>81</v>
      </c>
      <c r="K665" t="s">
        <v>79</v>
      </c>
      <c r="L665">
        <v>12</v>
      </c>
      <c r="M665">
        <v>106.43</v>
      </c>
      <c r="N665">
        <v>2.4000000000000004</v>
      </c>
      <c r="Q665">
        <v>104.03</v>
      </c>
    </row>
    <row r="666" spans="1:17" x14ac:dyDescent="0.25">
      <c r="A666" t="s">
        <v>45</v>
      </c>
      <c r="B666">
        <v>3</v>
      </c>
      <c r="C666" t="s">
        <v>94</v>
      </c>
      <c r="D666" s="39">
        <v>45869</v>
      </c>
      <c r="E666" t="s">
        <v>194</v>
      </c>
      <c r="F666" t="s">
        <v>79</v>
      </c>
      <c r="G666">
        <v>8</v>
      </c>
      <c r="H666">
        <v>5</v>
      </c>
      <c r="I666">
        <v>0</v>
      </c>
      <c r="J666" t="s">
        <v>81</v>
      </c>
      <c r="K666" t="s">
        <v>79</v>
      </c>
      <c r="L666">
        <v>7</v>
      </c>
      <c r="M666">
        <v>311.76</v>
      </c>
      <c r="N666">
        <v>5.6000000000000005</v>
      </c>
      <c r="Q666">
        <v>306.15999999999997</v>
      </c>
    </row>
    <row r="667" spans="1:17" x14ac:dyDescent="0.25">
      <c r="A667" t="s">
        <v>45</v>
      </c>
      <c r="B667">
        <v>3</v>
      </c>
      <c r="C667" t="s">
        <v>94</v>
      </c>
      <c r="D667" s="39">
        <v>45869</v>
      </c>
      <c r="E667" t="s">
        <v>194</v>
      </c>
      <c r="F667" t="s">
        <v>79</v>
      </c>
      <c r="G667">
        <v>8</v>
      </c>
      <c r="H667">
        <v>5</v>
      </c>
      <c r="I667">
        <v>0</v>
      </c>
      <c r="J667" t="s">
        <v>81</v>
      </c>
      <c r="K667" t="s">
        <v>79</v>
      </c>
      <c r="L667">
        <v>2</v>
      </c>
      <c r="M667">
        <v>69.490000000000009</v>
      </c>
      <c r="N667">
        <v>1.96</v>
      </c>
      <c r="Q667">
        <v>67.530000000000015</v>
      </c>
    </row>
    <row r="668" spans="1:17" x14ac:dyDescent="0.25">
      <c r="A668" t="s">
        <v>46</v>
      </c>
      <c r="B668">
        <v>3</v>
      </c>
      <c r="C668" t="s">
        <v>94</v>
      </c>
      <c r="D668" s="39">
        <v>45869</v>
      </c>
      <c r="E668" t="s">
        <v>194</v>
      </c>
      <c r="F668" t="s">
        <v>79</v>
      </c>
      <c r="G668">
        <v>8</v>
      </c>
      <c r="H668">
        <v>5</v>
      </c>
      <c r="I668">
        <v>0</v>
      </c>
      <c r="J668" t="s">
        <v>81</v>
      </c>
      <c r="K668" t="s">
        <v>79</v>
      </c>
      <c r="L668">
        <v>10</v>
      </c>
      <c r="M668">
        <v>402.94</v>
      </c>
      <c r="N668">
        <v>8</v>
      </c>
      <c r="Q668">
        <v>394.94</v>
      </c>
    </row>
    <row r="669" spans="1:17" x14ac:dyDescent="0.25">
      <c r="A669" t="s">
        <v>45</v>
      </c>
      <c r="B669">
        <v>4</v>
      </c>
      <c r="C669" t="s">
        <v>350</v>
      </c>
      <c r="D669" s="39">
        <v>45869</v>
      </c>
      <c r="E669" t="s">
        <v>276</v>
      </c>
      <c r="F669" t="s">
        <v>79</v>
      </c>
      <c r="G669">
        <v>16</v>
      </c>
      <c r="H669" t="s">
        <v>113</v>
      </c>
      <c r="I669" t="s">
        <v>114</v>
      </c>
      <c r="J669">
        <v>500</v>
      </c>
      <c r="K669" t="s">
        <v>79</v>
      </c>
      <c r="L669">
        <v>11</v>
      </c>
      <c r="M669">
        <v>543.05999999999995</v>
      </c>
      <c r="N669">
        <v>21.129999999999995</v>
      </c>
      <c r="Q669">
        <v>521.92999999999995</v>
      </c>
    </row>
    <row r="670" spans="1:17" x14ac:dyDescent="0.25">
      <c r="A670" t="s">
        <v>45</v>
      </c>
      <c r="B670">
        <v>4</v>
      </c>
      <c r="C670" t="s">
        <v>356</v>
      </c>
      <c r="D670" s="39">
        <v>45869</v>
      </c>
      <c r="E670" t="s">
        <v>357</v>
      </c>
      <c r="F670" t="s">
        <v>79</v>
      </c>
      <c r="G670">
        <v>22</v>
      </c>
      <c r="H670" t="s">
        <v>113</v>
      </c>
      <c r="I670">
        <v>0</v>
      </c>
      <c r="J670">
        <v>400</v>
      </c>
      <c r="K670" t="s">
        <v>79</v>
      </c>
      <c r="L670">
        <v>4</v>
      </c>
      <c r="M670">
        <v>257.11</v>
      </c>
      <c r="N670">
        <v>8.620000000000001</v>
      </c>
      <c r="Q670">
        <v>248.49</v>
      </c>
    </row>
    <row r="671" spans="1:17" x14ac:dyDescent="0.25">
      <c r="A671" t="s">
        <v>46</v>
      </c>
      <c r="B671">
        <v>4</v>
      </c>
      <c r="C671" t="s">
        <v>358</v>
      </c>
      <c r="D671" s="39">
        <v>45869</v>
      </c>
      <c r="E671" t="s">
        <v>200</v>
      </c>
      <c r="F671" t="s">
        <v>79</v>
      </c>
      <c r="G671">
        <v>10</v>
      </c>
      <c r="H671">
        <v>5</v>
      </c>
      <c r="I671">
        <v>0</v>
      </c>
      <c r="J671">
        <v>500</v>
      </c>
      <c r="K671" t="s">
        <v>79</v>
      </c>
      <c r="L671">
        <v>3</v>
      </c>
      <c r="M671">
        <v>171.19</v>
      </c>
      <c r="N671">
        <v>8.6999999999999993</v>
      </c>
      <c r="Q671">
        <v>162.49</v>
      </c>
    </row>
    <row r="672" spans="1:17" x14ac:dyDescent="0.25">
      <c r="A672" t="s">
        <v>46</v>
      </c>
      <c r="B672">
        <v>4</v>
      </c>
      <c r="C672" t="s">
        <v>104</v>
      </c>
      <c r="D672" s="39">
        <v>45869</v>
      </c>
      <c r="E672" t="s">
        <v>194</v>
      </c>
      <c r="F672" t="s">
        <v>79</v>
      </c>
      <c r="G672">
        <v>24</v>
      </c>
      <c r="H672">
        <v>5</v>
      </c>
      <c r="I672">
        <v>0</v>
      </c>
      <c r="J672" t="s">
        <v>81</v>
      </c>
      <c r="K672" t="s">
        <v>79</v>
      </c>
      <c r="L672">
        <v>9</v>
      </c>
      <c r="M672">
        <v>547.81999999999994</v>
      </c>
      <c r="N672">
        <v>28.8</v>
      </c>
      <c r="Q672">
        <v>519.02</v>
      </c>
    </row>
    <row r="673" spans="1:17" x14ac:dyDescent="0.25">
      <c r="A673" t="s">
        <v>46</v>
      </c>
      <c r="B673">
        <v>4</v>
      </c>
      <c r="C673" t="s">
        <v>359</v>
      </c>
      <c r="D673" s="39">
        <v>45869</v>
      </c>
      <c r="E673" t="s">
        <v>276</v>
      </c>
      <c r="F673" t="s">
        <v>79</v>
      </c>
      <c r="G673">
        <v>24</v>
      </c>
      <c r="H673" t="s">
        <v>113</v>
      </c>
      <c r="I673" t="s">
        <v>114</v>
      </c>
      <c r="J673">
        <v>500</v>
      </c>
      <c r="K673" t="s">
        <v>79</v>
      </c>
      <c r="L673">
        <v>2</v>
      </c>
      <c r="M673">
        <v>95.990000000000009</v>
      </c>
      <c r="N673">
        <v>6.4</v>
      </c>
      <c r="Q673">
        <v>89.59</v>
      </c>
    </row>
    <row r="674" spans="1:17" x14ac:dyDescent="0.25">
      <c r="A674" t="s">
        <v>45</v>
      </c>
      <c r="B674">
        <v>5</v>
      </c>
      <c r="C674" t="s">
        <v>85</v>
      </c>
      <c r="D674" s="39">
        <v>45869</v>
      </c>
      <c r="E674" t="s">
        <v>194</v>
      </c>
      <c r="F674" t="s">
        <v>79</v>
      </c>
      <c r="G674">
        <v>12</v>
      </c>
      <c r="H674">
        <v>5</v>
      </c>
      <c r="I674">
        <v>0</v>
      </c>
      <c r="J674" t="s">
        <v>81</v>
      </c>
      <c r="K674" t="s">
        <v>79</v>
      </c>
      <c r="L674">
        <v>10</v>
      </c>
      <c r="M674">
        <v>591.19999999999993</v>
      </c>
      <c r="N674">
        <v>15.2</v>
      </c>
      <c r="Q674">
        <v>575.99999999999989</v>
      </c>
    </row>
    <row r="675" spans="1:17" x14ac:dyDescent="0.25">
      <c r="A675" t="s">
        <v>46</v>
      </c>
      <c r="B675">
        <v>5</v>
      </c>
      <c r="C675" t="s">
        <v>85</v>
      </c>
      <c r="D675" s="39">
        <v>45869</v>
      </c>
      <c r="E675" t="s">
        <v>194</v>
      </c>
      <c r="F675" t="s">
        <v>79</v>
      </c>
      <c r="G675">
        <v>12</v>
      </c>
      <c r="H675">
        <v>5</v>
      </c>
      <c r="I675">
        <v>0</v>
      </c>
      <c r="J675" t="s">
        <v>81</v>
      </c>
      <c r="K675" t="s">
        <v>79</v>
      </c>
      <c r="L675">
        <v>3</v>
      </c>
      <c r="M675">
        <v>101.16</v>
      </c>
      <c r="N675">
        <v>3.5999999999999996</v>
      </c>
      <c r="Q675">
        <v>97.56</v>
      </c>
    </row>
    <row r="676" spans="1:17" x14ac:dyDescent="0.25">
      <c r="A676" t="s">
        <v>46</v>
      </c>
      <c r="B676">
        <v>5</v>
      </c>
      <c r="C676" t="s">
        <v>356</v>
      </c>
      <c r="D676" s="39">
        <v>45869</v>
      </c>
      <c r="E676" t="s">
        <v>357</v>
      </c>
      <c r="F676" t="s">
        <v>79</v>
      </c>
      <c r="G676">
        <v>22</v>
      </c>
      <c r="H676" t="s">
        <v>113</v>
      </c>
      <c r="I676">
        <v>0</v>
      </c>
      <c r="J676">
        <v>400</v>
      </c>
      <c r="K676" t="s">
        <v>79</v>
      </c>
      <c r="L676">
        <v>4</v>
      </c>
      <c r="M676">
        <v>117.85000000000001</v>
      </c>
      <c r="N676">
        <v>4.8</v>
      </c>
      <c r="Q676">
        <v>113.05000000000001</v>
      </c>
    </row>
    <row r="677" spans="1:17" x14ac:dyDescent="0.25">
      <c r="A677" t="s">
        <v>46</v>
      </c>
      <c r="B677">
        <v>5</v>
      </c>
      <c r="C677" t="s">
        <v>88</v>
      </c>
      <c r="D677" s="39">
        <v>45869</v>
      </c>
      <c r="E677" t="s">
        <v>194</v>
      </c>
      <c r="F677" t="s">
        <v>79</v>
      </c>
      <c r="G677">
        <v>10</v>
      </c>
      <c r="H677">
        <v>5</v>
      </c>
      <c r="I677">
        <v>0</v>
      </c>
      <c r="J677" t="s">
        <v>81</v>
      </c>
      <c r="K677" t="s">
        <v>79</v>
      </c>
      <c r="L677">
        <v>3</v>
      </c>
      <c r="M677">
        <v>91.710000000000008</v>
      </c>
      <c r="N677">
        <v>3</v>
      </c>
      <c r="Q677">
        <v>88.710000000000008</v>
      </c>
    </row>
    <row r="678" spans="1:17" x14ac:dyDescent="0.25">
      <c r="A678" t="s">
        <v>46</v>
      </c>
      <c r="B678">
        <v>5</v>
      </c>
      <c r="C678" t="s">
        <v>360</v>
      </c>
      <c r="D678" s="39">
        <v>45869</v>
      </c>
      <c r="E678" t="s">
        <v>81</v>
      </c>
      <c r="F678" t="s">
        <v>81</v>
      </c>
      <c r="G678" t="s">
        <v>81</v>
      </c>
      <c r="H678" t="s">
        <v>81</v>
      </c>
      <c r="I678" t="s">
        <v>81</v>
      </c>
      <c r="J678" t="s">
        <v>81</v>
      </c>
      <c r="K678" t="s">
        <v>79</v>
      </c>
      <c r="L678">
        <v>7</v>
      </c>
      <c r="M678">
        <v>243.37</v>
      </c>
      <c r="N678">
        <v>7</v>
      </c>
      <c r="Q678">
        <v>236.37</v>
      </c>
    </row>
    <row r="679" spans="1:17" x14ac:dyDescent="0.25">
      <c r="A679" t="s">
        <v>46</v>
      </c>
      <c r="B679">
        <v>5</v>
      </c>
      <c r="C679" t="s">
        <v>361</v>
      </c>
      <c r="D679" s="39">
        <v>45869</v>
      </c>
      <c r="E679" t="s">
        <v>362</v>
      </c>
      <c r="F679" t="s">
        <v>79</v>
      </c>
      <c r="G679">
        <v>12</v>
      </c>
      <c r="H679" t="s">
        <v>92</v>
      </c>
      <c r="I679" t="s">
        <v>114</v>
      </c>
      <c r="J679">
        <v>25</v>
      </c>
      <c r="K679" t="s">
        <v>79</v>
      </c>
      <c r="L679">
        <v>1</v>
      </c>
      <c r="M679">
        <v>30.32</v>
      </c>
      <c r="N679">
        <v>1.2</v>
      </c>
      <c r="Q679">
        <v>29.12</v>
      </c>
    </row>
    <row r="680" spans="1:17" x14ac:dyDescent="0.25">
      <c r="A680" t="s">
        <v>45</v>
      </c>
      <c r="B680">
        <v>1</v>
      </c>
      <c r="C680" t="s">
        <v>77</v>
      </c>
      <c r="D680" s="39">
        <v>45870</v>
      </c>
      <c r="E680" t="s">
        <v>194</v>
      </c>
      <c r="F680" t="s">
        <v>79</v>
      </c>
      <c r="G680">
        <v>3</v>
      </c>
      <c r="H680" t="s">
        <v>92</v>
      </c>
      <c r="I680">
        <v>0</v>
      </c>
      <c r="J680" t="s">
        <v>81</v>
      </c>
      <c r="K680" t="s">
        <v>79</v>
      </c>
      <c r="L680">
        <v>10</v>
      </c>
      <c r="M680">
        <v>149.92999999999998</v>
      </c>
      <c r="N680">
        <v>3</v>
      </c>
      <c r="O680">
        <v>21.5</v>
      </c>
      <c r="Q680">
        <v>146.92999999999998</v>
      </c>
    </row>
    <row r="681" spans="1:17" x14ac:dyDescent="0.25">
      <c r="A681" t="s">
        <v>46</v>
      </c>
      <c r="B681">
        <v>1</v>
      </c>
      <c r="C681" t="s">
        <v>77</v>
      </c>
      <c r="D681" s="39">
        <v>45870</v>
      </c>
      <c r="E681" t="s">
        <v>194</v>
      </c>
      <c r="F681" t="s">
        <v>79</v>
      </c>
      <c r="G681">
        <v>3</v>
      </c>
      <c r="H681" t="s">
        <v>92</v>
      </c>
      <c r="I681">
        <v>0</v>
      </c>
      <c r="J681" t="s">
        <v>81</v>
      </c>
      <c r="K681" t="s">
        <v>79</v>
      </c>
      <c r="L681">
        <v>10</v>
      </c>
      <c r="M681">
        <v>155.49</v>
      </c>
      <c r="N681">
        <v>3</v>
      </c>
      <c r="O681">
        <v>31.5</v>
      </c>
      <c r="Q681">
        <v>152.49</v>
      </c>
    </row>
    <row r="682" spans="1:17" x14ac:dyDescent="0.25">
      <c r="A682" t="s">
        <v>45</v>
      </c>
      <c r="B682">
        <v>2</v>
      </c>
      <c r="C682" t="s">
        <v>82</v>
      </c>
      <c r="D682" s="39">
        <v>45870</v>
      </c>
      <c r="E682" t="s">
        <v>194</v>
      </c>
      <c r="F682" t="s">
        <v>79</v>
      </c>
      <c r="G682">
        <v>2</v>
      </c>
      <c r="H682" t="s">
        <v>92</v>
      </c>
      <c r="I682">
        <v>0</v>
      </c>
      <c r="J682" t="s">
        <v>81</v>
      </c>
      <c r="K682" t="s">
        <v>79</v>
      </c>
      <c r="L682">
        <v>3</v>
      </c>
      <c r="M682">
        <v>30.11</v>
      </c>
      <c r="N682">
        <v>0.60000000000000009</v>
      </c>
      <c r="Q682">
        <v>29.509999999999998</v>
      </c>
    </row>
    <row r="683" spans="1:17" x14ac:dyDescent="0.25">
      <c r="A683" t="s">
        <v>45</v>
      </c>
      <c r="B683">
        <v>2</v>
      </c>
      <c r="C683" t="s">
        <v>100</v>
      </c>
      <c r="D683" s="39">
        <v>45870</v>
      </c>
      <c r="E683" t="s">
        <v>194</v>
      </c>
      <c r="F683" t="s">
        <v>79</v>
      </c>
      <c r="G683">
        <v>2.5</v>
      </c>
      <c r="H683" t="s">
        <v>92</v>
      </c>
      <c r="I683">
        <v>0</v>
      </c>
      <c r="J683" t="s">
        <v>81</v>
      </c>
      <c r="K683" t="s">
        <v>79</v>
      </c>
      <c r="L683">
        <v>5</v>
      </c>
      <c r="M683">
        <v>90.539999999999992</v>
      </c>
      <c r="N683">
        <v>1.25</v>
      </c>
      <c r="Q683">
        <v>89.289999999999992</v>
      </c>
    </row>
    <row r="684" spans="1:17" x14ac:dyDescent="0.25">
      <c r="A684" t="s">
        <v>46</v>
      </c>
      <c r="B684">
        <v>2</v>
      </c>
      <c r="C684" t="s">
        <v>100</v>
      </c>
      <c r="D684" s="39">
        <v>45870</v>
      </c>
      <c r="E684" t="s">
        <v>194</v>
      </c>
      <c r="F684" t="s">
        <v>79</v>
      </c>
      <c r="G684">
        <v>2.5</v>
      </c>
      <c r="H684" t="s">
        <v>92</v>
      </c>
      <c r="I684">
        <v>0</v>
      </c>
      <c r="J684" t="s">
        <v>81</v>
      </c>
      <c r="K684" t="s">
        <v>79</v>
      </c>
      <c r="L684">
        <v>8</v>
      </c>
      <c r="M684">
        <v>109.60999999999999</v>
      </c>
      <c r="N684">
        <v>2</v>
      </c>
      <c r="Q684">
        <v>107.60999999999999</v>
      </c>
    </row>
    <row r="685" spans="1:17" x14ac:dyDescent="0.25">
      <c r="A685" t="s">
        <v>46</v>
      </c>
      <c r="B685">
        <v>2</v>
      </c>
      <c r="C685" t="s">
        <v>363</v>
      </c>
      <c r="D685" s="39">
        <v>45870</v>
      </c>
      <c r="E685" t="s">
        <v>364</v>
      </c>
      <c r="F685" t="s">
        <v>79</v>
      </c>
      <c r="G685">
        <v>5</v>
      </c>
      <c r="H685">
        <v>5</v>
      </c>
      <c r="I685">
        <v>0</v>
      </c>
      <c r="J685">
        <v>150</v>
      </c>
      <c r="K685" t="s">
        <v>79</v>
      </c>
      <c r="L685">
        <v>2</v>
      </c>
      <c r="M685">
        <v>25.169999999999998</v>
      </c>
      <c r="N685">
        <v>1</v>
      </c>
      <c r="Q685">
        <v>24.169999999999998</v>
      </c>
    </row>
    <row r="686" spans="1:17" x14ac:dyDescent="0.25">
      <c r="A686" t="s">
        <v>45</v>
      </c>
      <c r="B686">
        <v>3</v>
      </c>
      <c r="C686" t="s">
        <v>345</v>
      </c>
      <c r="D686" s="39">
        <v>45870</v>
      </c>
      <c r="E686" t="s">
        <v>194</v>
      </c>
      <c r="F686" t="s">
        <v>79</v>
      </c>
      <c r="G686" t="s">
        <v>123</v>
      </c>
      <c r="H686">
        <v>5</v>
      </c>
      <c r="I686">
        <v>0</v>
      </c>
      <c r="J686" t="s">
        <v>81</v>
      </c>
      <c r="K686" t="s">
        <v>79</v>
      </c>
      <c r="L686">
        <v>8</v>
      </c>
      <c r="M686">
        <v>346.73</v>
      </c>
      <c r="N686">
        <v>6.4</v>
      </c>
      <c r="Q686">
        <v>340.33000000000004</v>
      </c>
    </row>
    <row r="687" spans="1:17" x14ac:dyDescent="0.25">
      <c r="A687" t="s">
        <v>46</v>
      </c>
      <c r="B687">
        <v>3</v>
      </c>
      <c r="C687" t="s">
        <v>94</v>
      </c>
      <c r="D687" s="39">
        <v>45870</v>
      </c>
      <c r="E687" t="s">
        <v>194</v>
      </c>
      <c r="F687" t="s">
        <v>79</v>
      </c>
      <c r="G687">
        <v>8</v>
      </c>
      <c r="H687">
        <v>5</v>
      </c>
      <c r="I687">
        <v>0</v>
      </c>
      <c r="J687" t="s">
        <v>81</v>
      </c>
      <c r="K687" t="s">
        <v>79</v>
      </c>
      <c r="L687">
        <v>2</v>
      </c>
      <c r="M687">
        <v>91.44</v>
      </c>
      <c r="N687">
        <v>1.6</v>
      </c>
      <c r="Q687">
        <v>89.84</v>
      </c>
    </row>
    <row r="688" spans="1:17" x14ac:dyDescent="0.25">
      <c r="A688" t="s">
        <v>46</v>
      </c>
      <c r="B688">
        <v>3</v>
      </c>
      <c r="C688" t="s">
        <v>365</v>
      </c>
      <c r="D688" s="39">
        <v>45870</v>
      </c>
      <c r="E688" t="s">
        <v>344</v>
      </c>
      <c r="F688" t="s">
        <v>79</v>
      </c>
      <c r="G688">
        <v>9</v>
      </c>
      <c r="H688">
        <v>10</v>
      </c>
      <c r="I688">
        <v>0</v>
      </c>
      <c r="J688">
        <v>325</v>
      </c>
      <c r="K688" t="s">
        <v>79</v>
      </c>
      <c r="L688">
        <v>9</v>
      </c>
      <c r="M688">
        <v>298.33</v>
      </c>
      <c r="N688">
        <v>8.1</v>
      </c>
      <c r="Q688">
        <v>290.22999999999996</v>
      </c>
    </row>
    <row r="689" spans="1:17" x14ac:dyDescent="0.25">
      <c r="A689" t="s">
        <v>45</v>
      </c>
      <c r="B689">
        <v>4</v>
      </c>
      <c r="C689" t="s">
        <v>359</v>
      </c>
      <c r="D689" s="39">
        <v>45870</v>
      </c>
      <c r="E689" t="s">
        <v>276</v>
      </c>
      <c r="F689" t="s">
        <v>79</v>
      </c>
      <c r="G689">
        <v>24</v>
      </c>
      <c r="H689" t="s">
        <v>113</v>
      </c>
      <c r="I689" t="s">
        <v>114</v>
      </c>
      <c r="J689">
        <v>500</v>
      </c>
      <c r="K689" t="s">
        <v>79</v>
      </c>
      <c r="L689">
        <v>10</v>
      </c>
      <c r="M689">
        <v>567.43000000000006</v>
      </c>
      <c r="N689">
        <v>28.57</v>
      </c>
      <c r="Q689">
        <v>538.86</v>
      </c>
    </row>
    <row r="690" spans="1:17" x14ac:dyDescent="0.25">
      <c r="A690" t="s">
        <v>45</v>
      </c>
      <c r="B690">
        <v>4</v>
      </c>
      <c r="C690" t="s">
        <v>366</v>
      </c>
      <c r="D690" s="39">
        <v>45870</v>
      </c>
      <c r="E690" t="s">
        <v>276</v>
      </c>
      <c r="F690" t="s">
        <v>79</v>
      </c>
      <c r="G690">
        <v>18</v>
      </c>
      <c r="H690" t="s">
        <v>113</v>
      </c>
      <c r="I690" t="s">
        <v>114</v>
      </c>
      <c r="J690">
        <v>500</v>
      </c>
      <c r="K690" t="s">
        <v>79</v>
      </c>
      <c r="L690">
        <v>4</v>
      </c>
      <c r="M690">
        <v>201.49</v>
      </c>
      <c r="N690">
        <v>6.4</v>
      </c>
      <c r="Q690">
        <v>195.09</v>
      </c>
    </row>
    <row r="691" spans="1:17" x14ac:dyDescent="0.25">
      <c r="A691" t="s">
        <v>46</v>
      </c>
      <c r="B691">
        <v>4</v>
      </c>
      <c r="C691" t="s">
        <v>366</v>
      </c>
      <c r="D691" s="39">
        <v>45870</v>
      </c>
      <c r="E691" t="s">
        <v>276</v>
      </c>
      <c r="F691" t="s">
        <v>79</v>
      </c>
      <c r="G691">
        <v>18</v>
      </c>
      <c r="H691" t="s">
        <v>113</v>
      </c>
      <c r="I691" t="s">
        <v>114</v>
      </c>
      <c r="J691">
        <v>500</v>
      </c>
      <c r="K691" t="s">
        <v>79</v>
      </c>
      <c r="L691">
        <v>11</v>
      </c>
      <c r="M691">
        <v>554.30999999999995</v>
      </c>
      <c r="N691">
        <v>23.1</v>
      </c>
      <c r="Q691">
        <v>531.20999999999992</v>
      </c>
    </row>
    <row r="692" spans="1:17" x14ac:dyDescent="0.25">
      <c r="A692" t="s">
        <v>46</v>
      </c>
      <c r="B692">
        <v>4</v>
      </c>
      <c r="C692" t="s">
        <v>367</v>
      </c>
      <c r="D692" s="39">
        <v>45870</v>
      </c>
      <c r="E692" t="s">
        <v>276</v>
      </c>
      <c r="F692" t="s">
        <v>79</v>
      </c>
      <c r="G692">
        <v>28</v>
      </c>
      <c r="H692" t="s">
        <v>113</v>
      </c>
      <c r="I692" t="s">
        <v>114</v>
      </c>
      <c r="J692">
        <v>1000</v>
      </c>
      <c r="K692" t="s">
        <v>79</v>
      </c>
      <c r="L692">
        <v>4</v>
      </c>
      <c r="M692">
        <v>205.56999999999996</v>
      </c>
      <c r="N692">
        <v>13.96</v>
      </c>
      <c r="Q692">
        <v>191.60999999999996</v>
      </c>
    </row>
    <row r="693" spans="1:17" x14ac:dyDescent="0.25">
      <c r="A693" t="s">
        <v>45</v>
      </c>
      <c r="B693">
        <v>5</v>
      </c>
      <c r="C693" t="s">
        <v>368</v>
      </c>
      <c r="D693" s="39">
        <v>45870</v>
      </c>
      <c r="E693" t="s">
        <v>344</v>
      </c>
      <c r="F693" t="s">
        <v>79</v>
      </c>
      <c r="G693">
        <v>4</v>
      </c>
      <c r="H693">
        <v>15</v>
      </c>
      <c r="I693">
        <v>0</v>
      </c>
      <c r="J693">
        <v>375</v>
      </c>
      <c r="K693" t="s">
        <v>79</v>
      </c>
      <c r="L693">
        <v>5</v>
      </c>
      <c r="M693">
        <v>226.36999999999998</v>
      </c>
      <c r="N693">
        <v>6.5500000000000007</v>
      </c>
      <c r="Q693">
        <v>219.81999999999996</v>
      </c>
    </row>
    <row r="694" spans="1:17" x14ac:dyDescent="0.25">
      <c r="A694" t="s">
        <v>45</v>
      </c>
      <c r="B694">
        <v>5</v>
      </c>
      <c r="C694" t="s">
        <v>88</v>
      </c>
      <c r="D694" s="39">
        <v>45870</v>
      </c>
      <c r="E694" t="s">
        <v>194</v>
      </c>
      <c r="F694" t="s">
        <v>79</v>
      </c>
      <c r="G694">
        <v>10</v>
      </c>
      <c r="H694">
        <v>5</v>
      </c>
      <c r="I694">
        <v>0</v>
      </c>
      <c r="J694" t="s">
        <v>81</v>
      </c>
      <c r="K694" t="s">
        <v>79</v>
      </c>
      <c r="L694">
        <v>8</v>
      </c>
      <c r="M694">
        <v>400.37</v>
      </c>
      <c r="N694">
        <v>10.4</v>
      </c>
      <c r="Q694">
        <v>389.97</v>
      </c>
    </row>
    <row r="695" spans="1:17" x14ac:dyDescent="0.25">
      <c r="A695" t="s">
        <v>46</v>
      </c>
      <c r="B695">
        <v>5</v>
      </c>
      <c r="C695" t="s">
        <v>88</v>
      </c>
      <c r="D695" s="39">
        <v>45870</v>
      </c>
      <c r="E695" t="s">
        <v>194</v>
      </c>
      <c r="F695" t="s">
        <v>79</v>
      </c>
      <c r="G695">
        <v>10</v>
      </c>
      <c r="H695">
        <v>5</v>
      </c>
      <c r="I695">
        <v>0</v>
      </c>
      <c r="J695" t="s">
        <v>81</v>
      </c>
      <c r="K695" t="s">
        <v>79</v>
      </c>
      <c r="L695">
        <v>15</v>
      </c>
      <c r="M695">
        <v>615.57000000000005</v>
      </c>
      <c r="N695">
        <v>19.5</v>
      </c>
      <c r="Q695">
        <v>596.07000000000005</v>
      </c>
    </row>
    <row r="696" spans="1:17" x14ac:dyDescent="0.25">
      <c r="A696" t="s">
        <v>45</v>
      </c>
      <c r="B696">
        <v>1</v>
      </c>
      <c r="C696" t="s">
        <v>77</v>
      </c>
      <c r="D696" s="39">
        <v>45871</v>
      </c>
      <c r="E696" t="s">
        <v>194</v>
      </c>
      <c r="F696" t="s">
        <v>79</v>
      </c>
      <c r="G696">
        <v>3</v>
      </c>
      <c r="H696" t="s">
        <v>92</v>
      </c>
      <c r="I696">
        <v>0</v>
      </c>
      <c r="J696" t="s">
        <v>81</v>
      </c>
      <c r="K696" t="s">
        <v>79</v>
      </c>
      <c r="L696">
        <v>9</v>
      </c>
      <c r="M696">
        <v>144.19</v>
      </c>
      <c r="N696">
        <v>2.6999999999999997</v>
      </c>
      <c r="O696">
        <v>14</v>
      </c>
      <c r="Q696">
        <v>141.49</v>
      </c>
    </row>
    <row r="697" spans="1:17" x14ac:dyDescent="0.25">
      <c r="A697" t="s">
        <v>46</v>
      </c>
      <c r="B697">
        <v>1</v>
      </c>
      <c r="C697" t="s">
        <v>77</v>
      </c>
      <c r="D697" s="39">
        <v>45871</v>
      </c>
      <c r="E697" t="s">
        <v>194</v>
      </c>
      <c r="F697" t="s">
        <v>79</v>
      </c>
      <c r="G697">
        <v>3</v>
      </c>
      <c r="H697" t="s">
        <v>92</v>
      </c>
      <c r="I697">
        <v>0</v>
      </c>
      <c r="J697" t="s">
        <v>81</v>
      </c>
      <c r="K697" t="s">
        <v>79</v>
      </c>
      <c r="L697">
        <v>8</v>
      </c>
      <c r="M697">
        <v>117.70000000000002</v>
      </c>
      <c r="N697">
        <v>2.4</v>
      </c>
      <c r="O697">
        <v>28</v>
      </c>
      <c r="Q697">
        <v>115.30000000000001</v>
      </c>
    </row>
    <row r="698" spans="1:17" x14ac:dyDescent="0.25">
      <c r="A698" t="s">
        <v>45</v>
      </c>
      <c r="B698">
        <v>2</v>
      </c>
      <c r="C698" t="s">
        <v>107</v>
      </c>
      <c r="D698" s="39">
        <v>45871</v>
      </c>
      <c r="E698" t="s">
        <v>194</v>
      </c>
      <c r="F698" t="s">
        <v>79</v>
      </c>
      <c r="G698">
        <v>5</v>
      </c>
      <c r="H698" t="s">
        <v>92</v>
      </c>
      <c r="I698">
        <v>0</v>
      </c>
      <c r="J698" t="s">
        <v>81</v>
      </c>
      <c r="K698" t="s">
        <v>79</v>
      </c>
      <c r="L698">
        <v>4</v>
      </c>
      <c r="M698">
        <v>67.34</v>
      </c>
      <c r="Q698">
        <v>67.34</v>
      </c>
    </row>
    <row r="699" spans="1:17" x14ac:dyDescent="0.25">
      <c r="A699" t="s">
        <v>46</v>
      </c>
      <c r="B699">
        <v>2</v>
      </c>
      <c r="C699" t="s">
        <v>107</v>
      </c>
      <c r="D699" s="39">
        <v>45871</v>
      </c>
      <c r="E699" t="s">
        <v>194</v>
      </c>
      <c r="F699" t="s">
        <v>79</v>
      </c>
      <c r="G699">
        <v>5</v>
      </c>
      <c r="H699" t="s">
        <v>92</v>
      </c>
      <c r="I699">
        <v>0</v>
      </c>
      <c r="J699" t="s">
        <v>81</v>
      </c>
      <c r="K699" t="s">
        <v>79</v>
      </c>
      <c r="L699">
        <v>8</v>
      </c>
      <c r="M699">
        <v>142.30000000000001</v>
      </c>
      <c r="Q699">
        <v>142.30000000000001</v>
      </c>
    </row>
    <row r="700" spans="1:17" x14ac:dyDescent="0.25">
      <c r="A700" t="s">
        <v>45</v>
      </c>
      <c r="B700">
        <v>3</v>
      </c>
      <c r="C700" t="s">
        <v>365</v>
      </c>
      <c r="D700" s="39">
        <v>45871</v>
      </c>
      <c r="E700" t="s">
        <v>344</v>
      </c>
      <c r="F700" t="s">
        <v>79</v>
      </c>
      <c r="G700">
        <v>9</v>
      </c>
      <c r="H700">
        <v>10</v>
      </c>
      <c r="I700">
        <v>0</v>
      </c>
      <c r="J700">
        <v>325</v>
      </c>
      <c r="K700" t="s">
        <v>79</v>
      </c>
      <c r="L700">
        <v>3</v>
      </c>
      <c r="M700">
        <v>115.98</v>
      </c>
      <c r="Q700">
        <v>115.98</v>
      </c>
    </row>
    <row r="701" spans="1:17" x14ac:dyDescent="0.25">
      <c r="A701" t="s">
        <v>45</v>
      </c>
      <c r="B701">
        <v>3</v>
      </c>
      <c r="C701" t="s">
        <v>90</v>
      </c>
      <c r="D701" s="39">
        <v>45871</v>
      </c>
      <c r="E701" t="s">
        <v>194</v>
      </c>
      <c r="F701" t="s">
        <v>79</v>
      </c>
      <c r="G701">
        <v>9</v>
      </c>
      <c r="H701">
        <v>5</v>
      </c>
      <c r="I701">
        <v>0</v>
      </c>
      <c r="J701" t="s">
        <v>81</v>
      </c>
      <c r="K701" t="s">
        <v>79</v>
      </c>
      <c r="L701">
        <v>4</v>
      </c>
      <c r="M701">
        <v>195.00999999999996</v>
      </c>
      <c r="Q701">
        <v>195.00999999999996</v>
      </c>
    </row>
    <row r="702" spans="1:17" x14ac:dyDescent="0.25">
      <c r="A702" t="s">
        <v>46</v>
      </c>
      <c r="B702">
        <v>3</v>
      </c>
      <c r="C702" t="s">
        <v>90</v>
      </c>
      <c r="D702" s="39">
        <v>45871</v>
      </c>
      <c r="E702" t="s">
        <v>194</v>
      </c>
      <c r="F702" t="s">
        <v>79</v>
      </c>
      <c r="G702">
        <v>9</v>
      </c>
      <c r="H702">
        <v>5</v>
      </c>
      <c r="I702">
        <v>0</v>
      </c>
      <c r="J702" t="s">
        <v>81</v>
      </c>
      <c r="K702" t="s">
        <v>79</v>
      </c>
      <c r="L702">
        <v>1</v>
      </c>
      <c r="M702">
        <v>43.21</v>
      </c>
      <c r="Q702">
        <v>43.21</v>
      </c>
    </row>
    <row r="703" spans="1:17" x14ac:dyDescent="0.25">
      <c r="A703" t="s">
        <v>45</v>
      </c>
      <c r="B703">
        <v>4</v>
      </c>
      <c r="C703" t="s">
        <v>367</v>
      </c>
      <c r="D703" s="39">
        <v>45871</v>
      </c>
      <c r="E703" t="s">
        <v>276</v>
      </c>
      <c r="F703" t="s">
        <v>79</v>
      </c>
      <c r="G703">
        <v>28</v>
      </c>
      <c r="H703" t="s">
        <v>113</v>
      </c>
      <c r="I703" t="s">
        <v>114</v>
      </c>
      <c r="J703">
        <v>1000</v>
      </c>
      <c r="K703" t="s">
        <v>79</v>
      </c>
      <c r="L703">
        <v>14</v>
      </c>
      <c r="M703">
        <v>769.53000000000009</v>
      </c>
      <c r="Q703">
        <v>769.53000000000009</v>
      </c>
    </row>
    <row r="704" spans="1:17" x14ac:dyDescent="0.25">
      <c r="A704" t="s">
        <v>46</v>
      </c>
      <c r="B704">
        <v>4</v>
      </c>
      <c r="C704" t="s">
        <v>367</v>
      </c>
      <c r="D704" s="39">
        <v>45871</v>
      </c>
      <c r="E704" t="s">
        <v>276</v>
      </c>
      <c r="F704" t="s">
        <v>79</v>
      </c>
      <c r="G704">
        <v>28</v>
      </c>
      <c r="H704" t="s">
        <v>113</v>
      </c>
      <c r="I704" t="s">
        <v>114</v>
      </c>
      <c r="J704">
        <v>1000</v>
      </c>
      <c r="K704" t="s">
        <v>79</v>
      </c>
      <c r="L704">
        <v>2</v>
      </c>
      <c r="M704">
        <v>135.6</v>
      </c>
      <c r="Q704">
        <v>135.6</v>
      </c>
    </row>
    <row r="705" spans="1:42" x14ac:dyDescent="0.25">
      <c r="A705" t="s">
        <v>46</v>
      </c>
      <c r="B705">
        <v>4</v>
      </c>
      <c r="C705" t="s">
        <v>369</v>
      </c>
      <c r="D705" s="39">
        <v>45871</v>
      </c>
      <c r="E705" t="s">
        <v>370</v>
      </c>
      <c r="F705" t="s">
        <v>79</v>
      </c>
      <c r="G705">
        <v>20</v>
      </c>
      <c r="H705" t="s">
        <v>98</v>
      </c>
      <c r="I705" t="s">
        <v>103</v>
      </c>
      <c r="J705">
        <v>200</v>
      </c>
      <c r="K705" t="s">
        <v>79</v>
      </c>
      <c r="L705">
        <v>10</v>
      </c>
      <c r="M705">
        <v>524.99</v>
      </c>
      <c r="Q705">
        <v>524.99</v>
      </c>
    </row>
    <row r="706" spans="1:42" x14ac:dyDescent="0.25">
      <c r="A706" t="s">
        <v>45</v>
      </c>
      <c r="B706">
        <v>5</v>
      </c>
      <c r="C706" t="s">
        <v>88</v>
      </c>
      <c r="D706" s="39">
        <v>45871</v>
      </c>
      <c r="E706" t="s">
        <v>194</v>
      </c>
      <c r="F706" t="s">
        <v>79</v>
      </c>
      <c r="G706">
        <v>10</v>
      </c>
      <c r="H706">
        <v>5</v>
      </c>
      <c r="I706">
        <v>0</v>
      </c>
      <c r="J706" t="s">
        <v>81</v>
      </c>
      <c r="K706" t="s">
        <v>79</v>
      </c>
      <c r="L706">
        <v>10</v>
      </c>
      <c r="M706">
        <v>448.78</v>
      </c>
      <c r="Q706">
        <v>448.78</v>
      </c>
    </row>
    <row r="707" spans="1:42" x14ac:dyDescent="0.25">
      <c r="A707" t="s">
        <v>45</v>
      </c>
      <c r="B707">
        <v>5</v>
      </c>
      <c r="C707" t="s">
        <v>312</v>
      </c>
      <c r="D707" s="39">
        <v>45871</v>
      </c>
      <c r="E707" t="s">
        <v>304</v>
      </c>
      <c r="F707" t="s">
        <v>79</v>
      </c>
      <c r="G707">
        <v>10</v>
      </c>
      <c r="H707" t="s">
        <v>135</v>
      </c>
      <c r="I707">
        <v>0</v>
      </c>
      <c r="J707">
        <v>100</v>
      </c>
      <c r="K707" t="s">
        <v>79</v>
      </c>
      <c r="L707">
        <v>2</v>
      </c>
      <c r="M707">
        <v>65.23</v>
      </c>
      <c r="Q707">
        <v>65.23</v>
      </c>
    </row>
    <row r="708" spans="1:42" x14ac:dyDescent="0.25">
      <c r="A708" t="s">
        <v>46</v>
      </c>
      <c r="B708">
        <v>5</v>
      </c>
      <c r="C708" t="s">
        <v>137</v>
      </c>
      <c r="D708" s="39">
        <v>45871</v>
      </c>
      <c r="E708" t="s">
        <v>194</v>
      </c>
      <c r="F708" t="s">
        <v>79</v>
      </c>
      <c r="G708">
        <v>15</v>
      </c>
      <c r="H708">
        <v>5</v>
      </c>
      <c r="I708">
        <v>0</v>
      </c>
      <c r="J708" t="s">
        <v>81</v>
      </c>
      <c r="K708" t="s">
        <v>79</v>
      </c>
      <c r="L708">
        <v>9</v>
      </c>
      <c r="M708">
        <v>384.6</v>
      </c>
      <c r="Q708">
        <v>384.6</v>
      </c>
    </row>
    <row r="709" spans="1:42" x14ac:dyDescent="0.25">
      <c r="A709" t="s">
        <v>46</v>
      </c>
      <c r="B709">
        <v>5</v>
      </c>
      <c r="C709" t="s">
        <v>312</v>
      </c>
      <c r="D709" s="39">
        <v>45871</v>
      </c>
      <c r="E709" t="s">
        <v>304</v>
      </c>
      <c r="F709" t="s">
        <v>79</v>
      </c>
      <c r="G709">
        <v>10</v>
      </c>
      <c r="H709" t="s">
        <v>135</v>
      </c>
      <c r="I709">
        <v>0</v>
      </c>
      <c r="J709">
        <v>100</v>
      </c>
      <c r="K709" t="s">
        <v>79</v>
      </c>
      <c r="L709">
        <v>2</v>
      </c>
      <c r="M709">
        <v>56.97</v>
      </c>
      <c r="Q709">
        <v>56.97</v>
      </c>
    </row>
    <row r="710" spans="1:42" x14ac:dyDescent="0.25">
      <c r="A710" t="s">
        <v>45</v>
      </c>
      <c r="B710">
        <v>1</v>
      </c>
      <c r="C710" t="s">
        <v>77</v>
      </c>
      <c r="D710" s="39">
        <v>45873</v>
      </c>
      <c r="E710" t="s">
        <v>194</v>
      </c>
      <c r="F710" t="s">
        <v>79</v>
      </c>
      <c r="G710">
        <v>3</v>
      </c>
      <c r="H710" t="s">
        <v>92</v>
      </c>
      <c r="I710">
        <v>0</v>
      </c>
      <c r="J710" t="s">
        <v>81</v>
      </c>
      <c r="K710" t="s">
        <v>79</v>
      </c>
      <c r="L710">
        <v>9</v>
      </c>
      <c r="M710">
        <v>111.31</v>
      </c>
      <c r="N710">
        <v>2.6999999999999997</v>
      </c>
      <c r="O710">
        <v>51</v>
      </c>
      <c r="Q710">
        <v>108.61</v>
      </c>
    </row>
    <row r="711" spans="1:42" x14ac:dyDescent="0.25">
      <c r="A711" t="s">
        <v>46</v>
      </c>
      <c r="B711">
        <v>1</v>
      </c>
      <c r="C711" t="s">
        <v>77</v>
      </c>
      <c r="D711" s="39">
        <v>45873</v>
      </c>
      <c r="E711" t="s">
        <v>194</v>
      </c>
      <c r="F711" t="s">
        <v>79</v>
      </c>
      <c r="G711">
        <v>3</v>
      </c>
      <c r="H711" t="s">
        <v>92</v>
      </c>
      <c r="I711">
        <v>0</v>
      </c>
      <c r="J711" t="s">
        <v>81</v>
      </c>
      <c r="K711" t="s">
        <v>79</v>
      </c>
      <c r="L711">
        <v>2</v>
      </c>
      <c r="M711">
        <v>34.03</v>
      </c>
      <c r="N711">
        <v>0.6</v>
      </c>
      <c r="O711">
        <v>16</v>
      </c>
      <c r="Q711">
        <v>33.43</v>
      </c>
    </row>
    <row r="712" spans="1:42" x14ac:dyDescent="0.25">
      <c r="A712" t="s">
        <v>46</v>
      </c>
      <c r="B712">
        <v>1</v>
      </c>
      <c r="C712" t="s">
        <v>91</v>
      </c>
      <c r="D712" s="39">
        <v>45873</v>
      </c>
      <c r="E712" t="s">
        <v>194</v>
      </c>
      <c r="F712" t="s">
        <v>79</v>
      </c>
      <c r="G712">
        <v>4</v>
      </c>
      <c r="H712" t="s">
        <v>92</v>
      </c>
      <c r="I712">
        <v>0</v>
      </c>
      <c r="J712" t="s">
        <v>81</v>
      </c>
      <c r="K712" t="s">
        <v>79</v>
      </c>
      <c r="L712">
        <v>3</v>
      </c>
      <c r="M712">
        <v>58.76</v>
      </c>
      <c r="N712">
        <v>1.2000000000000002</v>
      </c>
      <c r="Q712">
        <v>57.559999999999995</v>
      </c>
    </row>
    <row r="713" spans="1:42" x14ac:dyDescent="0.25">
      <c r="A713" t="s">
        <v>46</v>
      </c>
      <c r="B713">
        <v>1</v>
      </c>
      <c r="C713" t="s">
        <v>91</v>
      </c>
      <c r="D713" s="39">
        <v>45873</v>
      </c>
      <c r="E713" t="s">
        <v>194</v>
      </c>
      <c r="F713" t="s">
        <v>79</v>
      </c>
      <c r="G713">
        <v>4</v>
      </c>
      <c r="H713" t="s">
        <v>92</v>
      </c>
      <c r="I713">
        <v>0</v>
      </c>
      <c r="J713" t="s">
        <v>81</v>
      </c>
      <c r="K713" t="s">
        <v>79</v>
      </c>
      <c r="L713">
        <v>4</v>
      </c>
      <c r="M713">
        <v>69.53</v>
      </c>
      <c r="N713">
        <v>1.6</v>
      </c>
      <c r="Q713">
        <v>67.930000000000007</v>
      </c>
    </row>
    <row r="714" spans="1:42" x14ac:dyDescent="0.25">
      <c r="A714" t="s">
        <v>45</v>
      </c>
      <c r="B714">
        <v>2</v>
      </c>
      <c r="C714" t="s">
        <v>107</v>
      </c>
      <c r="D714" s="39">
        <v>45873</v>
      </c>
      <c r="E714" t="s">
        <v>194</v>
      </c>
      <c r="F714" t="s">
        <v>79</v>
      </c>
      <c r="G714">
        <v>5</v>
      </c>
      <c r="H714" t="s">
        <v>92</v>
      </c>
      <c r="I714">
        <v>0</v>
      </c>
      <c r="J714" t="s">
        <v>81</v>
      </c>
      <c r="K714" t="s">
        <v>79</v>
      </c>
      <c r="L714">
        <v>7</v>
      </c>
      <c r="M714">
        <v>132.35</v>
      </c>
      <c r="N714">
        <v>3.5</v>
      </c>
      <c r="Q714">
        <v>128.85</v>
      </c>
    </row>
    <row r="715" spans="1:42" x14ac:dyDescent="0.25">
      <c r="A715" t="s">
        <v>46</v>
      </c>
      <c r="B715">
        <v>2</v>
      </c>
      <c r="C715" t="s">
        <v>107</v>
      </c>
      <c r="D715" s="39">
        <v>45873</v>
      </c>
      <c r="E715" t="s">
        <v>194</v>
      </c>
      <c r="F715" t="s">
        <v>79</v>
      </c>
      <c r="G715">
        <v>5</v>
      </c>
      <c r="H715" t="s">
        <v>92</v>
      </c>
      <c r="I715">
        <v>0</v>
      </c>
      <c r="J715" t="s">
        <v>81</v>
      </c>
      <c r="K715" t="s">
        <v>79</v>
      </c>
      <c r="L715">
        <v>9</v>
      </c>
      <c r="M715">
        <v>193.58999999999997</v>
      </c>
      <c r="N715">
        <v>4.5</v>
      </c>
      <c r="Q715">
        <v>189.08999999999997</v>
      </c>
    </row>
    <row r="716" spans="1:42" x14ac:dyDescent="0.25">
      <c r="A716" t="s">
        <v>45</v>
      </c>
      <c r="B716">
        <v>4</v>
      </c>
      <c r="C716" t="s">
        <v>90</v>
      </c>
      <c r="D716" s="39">
        <v>45873</v>
      </c>
      <c r="E716" t="s">
        <v>194</v>
      </c>
      <c r="F716" t="s">
        <v>79</v>
      </c>
      <c r="G716">
        <v>9</v>
      </c>
      <c r="H716">
        <v>5</v>
      </c>
      <c r="I716">
        <v>0</v>
      </c>
      <c r="J716" t="s">
        <v>81</v>
      </c>
      <c r="K716" t="s">
        <v>79</v>
      </c>
      <c r="L716">
        <v>4</v>
      </c>
      <c r="M716">
        <v>121.75</v>
      </c>
      <c r="N716">
        <v>3.6</v>
      </c>
      <c r="Q716">
        <v>118.15</v>
      </c>
    </row>
    <row r="717" spans="1:42" x14ac:dyDescent="0.25">
      <c r="A717" t="s">
        <v>46</v>
      </c>
      <c r="B717">
        <v>4</v>
      </c>
      <c r="C717" t="s">
        <v>90</v>
      </c>
      <c r="D717" s="39">
        <v>45873</v>
      </c>
      <c r="E717" t="s">
        <v>194</v>
      </c>
      <c r="F717" t="s">
        <v>79</v>
      </c>
      <c r="G717">
        <v>9</v>
      </c>
      <c r="H717">
        <v>5</v>
      </c>
      <c r="I717">
        <v>0</v>
      </c>
      <c r="J717" t="s">
        <v>81</v>
      </c>
      <c r="K717" t="s">
        <v>79</v>
      </c>
      <c r="L717">
        <v>7</v>
      </c>
      <c r="M717">
        <v>284.55</v>
      </c>
      <c r="N717">
        <v>8.6</v>
      </c>
      <c r="Q717">
        <v>275.95</v>
      </c>
    </row>
    <row r="718" spans="1:42" x14ac:dyDescent="0.25">
      <c r="A718" t="s">
        <v>45</v>
      </c>
      <c r="B718">
        <v>5</v>
      </c>
      <c r="C718" t="s">
        <v>371</v>
      </c>
      <c r="D718" s="39">
        <v>45873</v>
      </c>
      <c r="E718" t="s">
        <v>372</v>
      </c>
      <c r="F718" t="s">
        <v>79</v>
      </c>
      <c r="G718">
        <v>14</v>
      </c>
      <c r="H718" t="s">
        <v>113</v>
      </c>
      <c r="I718" t="s">
        <v>99</v>
      </c>
      <c r="J718">
        <v>125</v>
      </c>
      <c r="K718" t="s">
        <v>79</v>
      </c>
      <c r="L718">
        <v>10</v>
      </c>
      <c r="M718">
        <v>443.54</v>
      </c>
      <c r="N718">
        <v>18</v>
      </c>
      <c r="Q718">
        <v>425.54</v>
      </c>
    </row>
    <row r="719" spans="1:42" x14ac:dyDescent="0.25">
      <c r="A719" t="s">
        <v>46</v>
      </c>
      <c r="B719">
        <v>5</v>
      </c>
      <c r="C719" t="s">
        <v>371</v>
      </c>
      <c r="D719" s="39">
        <v>45873</v>
      </c>
      <c r="E719" t="s">
        <v>372</v>
      </c>
      <c r="F719" t="s">
        <v>79</v>
      </c>
      <c r="G719">
        <v>14</v>
      </c>
      <c r="H719" t="s">
        <v>113</v>
      </c>
      <c r="I719" t="s">
        <v>99</v>
      </c>
      <c r="J719">
        <v>125</v>
      </c>
      <c r="K719" t="s">
        <v>79</v>
      </c>
      <c r="L719">
        <v>3</v>
      </c>
      <c r="M719">
        <v>164.42000000000002</v>
      </c>
      <c r="N719">
        <v>5.35</v>
      </c>
      <c r="Q719">
        <v>159.07000000000002</v>
      </c>
    </row>
    <row r="720" spans="1:42" x14ac:dyDescent="0.25">
      <c r="A720" t="s">
        <v>46</v>
      </c>
      <c r="B720">
        <v>5</v>
      </c>
      <c r="C720" t="s">
        <v>85</v>
      </c>
      <c r="D720" s="39">
        <v>45873</v>
      </c>
      <c r="E720" t="s">
        <v>194</v>
      </c>
      <c r="F720" t="s">
        <v>79</v>
      </c>
      <c r="G720">
        <v>12</v>
      </c>
      <c r="H720">
        <v>5</v>
      </c>
      <c r="I720">
        <v>0</v>
      </c>
      <c r="J720" t="s">
        <v>81</v>
      </c>
      <c r="K720" t="s">
        <v>79</v>
      </c>
      <c r="L720">
        <v>9</v>
      </c>
      <c r="M720">
        <v>448.32</v>
      </c>
      <c r="N720">
        <v>12.899999999999999</v>
      </c>
      <c r="Q720">
        <v>435.42</v>
      </c>
      <c r="V720">
        <v>0</v>
      </c>
      <c r="W720">
        <v>1</v>
      </c>
      <c r="AF720">
        <v>0</v>
      </c>
      <c r="AG720">
        <v>50</v>
      </c>
      <c r="AH720">
        <v>51</v>
      </c>
      <c r="AI720">
        <v>-39</v>
      </c>
      <c r="AJ720">
        <v>12</v>
      </c>
      <c r="AM720">
        <v>0</v>
      </c>
      <c r="AP720">
        <v>32</v>
      </c>
    </row>
    <row r="721" spans="1:42" x14ac:dyDescent="0.25">
      <c r="A721" t="s">
        <v>45</v>
      </c>
      <c r="B721">
        <v>1</v>
      </c>
      <c r="C721" t="s">
        <v>91</v>
      </c>
      <c r="D721" s="39">
        <v>45874</v>
      </c>
      <c r="E721" t="s">
        <v>194</v>
      </c>
      <c r="F721" t="s">
        <v>79</v>
      </c>
      <c r="G721">
        <v>4</v>
      </c>
      <c r="H721" t="s">
        <v>92</v>
      </c>
      <c r="I721">
        <v>0</v>
      </c>
      <c r="J721" t="s">
        <v>81</v>
      </c>
      <c r="K721" t="s">
        <v>79</v>
      </c>
      <c r="L721">
        <v>5</v>
      </c>
      <c r="M721">
        <v>86.64</v>
      </c>
      <c r="N721">
        <v>2</v>
      </c>
      <c r="Q721">
        <v>84.64</v>
      </c>
      <c r="S721">
        <v>20</v>
      </c>
      <c r="V721">
        <v>20</v>
      </c>
      <c r="W721">
        <v>0.33333333333333331</v>
      </c>
      <c r="AF721">
        <v>0</v>
      </c>
      <c r="AG721">
        <v>0</v>
      </c>
      <c r="AH721">
        <v>0.33333333333333331</v>
      </c>
      <c r="AI721">
        <v>11.666666666666666</v>
      </c>
      <c r="AJ721">
        <v>12</v>
      </c>
      <c r="AM721">
        <v>0</v>
      </c>
      <c r="AN721">
        <v>1300</v>
      </c>
      <c r="AP721">
        <v>32</v>
      </c>
    </row>
    <row r="722" spans="1:42" x14ac:dyDescent="0.25">
      <c r="A722" t="s">
        <v>45</v>
      </c>
      <c r="B722">
        <v>1</v>
      </c>
      <c r="C722" t="s">
        <v>77</v>
      </c>
      <c r="D722" s="39">
        <v>45874</v>
      </c>
      <c r="E722" t="s">
        <v>194</v>
      </c>
      <c r="F722" t="s">
        <v>79</v>
      </c>
      <c r="G722">
        <v>3</v>
      </c>
      <c r="H722" t="s">
        <v>92</v>
      </c>
      <c r="I722">
        <v>0</v>
      </c>
      <c r="J722" t="s">
        <v>81</v>
      </c>
      <c r="K722" t="s">
        <v>79</v>
      </c>
      <c r="L722">
        <v>4</v>
      </c>
      <c r="M722">
        <v>57.62</v>
      </c>
      <c r="N722">
        <v>4</v>
      </c>
      <c r="O722">
        <v>3</v>
      </c>
      <c r="Q722">
        <v>53.62</v>
      </c>
      <c r="V722">
        <v>0</v>
      </c>
      <c r="W722">
        <v>0</v>
      </c>
      <c r="AF722">
        <v>0</v>
      </c>
      <c r="AG722">
        <v>0</v>
      </c>
      <c r="AH722">
        <v>0</v>
      </c>
      <c r="AI722">
        <v>12</v>
      </c>
      <c r="AJ722">
        <v>12</v>
      </c>
      <c r="AM722">
        <v>0</v>
      </c>
      <c r="AP722">
        <v>32</v>
      </c>
    </row>
    <row r="723" spans="1:42" x14ac:dyDescent="0.25">
      <c r="A723" t="s">
        <v>46</v>
      </c>
      <c r="B723">
        <v>1</v>
      </c>
      <c r="C723" t="s">
        <v>77</v>
      </c>
      <c r="D723" s="39">
        <v>45874</v>
      </c>
      <c r="E723" t="s">
        <v>194</v>
      </c>
      <c r="F723" t="s">
        <v>79</v>
      </c>
      <c r="G723">
        <v>3</v>
      </c>
      <c r="H723" t="s">
        <v>92</v>
      </c>
      <c r="I723">
        <v>0</v>
      </c>
      <c r="J723" t="s">
        <v>81</v>
      </c>
      <c r="K723" t="s">
        <v>79</v>
      </c>
      <c r="L723">
        <v>7</v>
      </c>
      <c r="M723">
        <v>142.06</v>
      </c>
      <c r="N723">
        <v>2.1</v>
      </c>
      <c r="Q723">
        <v>139.96</v>
      </c>
      <c r="V723">
        <v>0</v>
      </c>
      <c r="W723">
        <v>0</v>
      </c>
      <c r="AF723">
        <v>0</v>
      </c>
      <c r="AG723">
        <v>0</v>
      </c>
      <c r="AH723">
        <v>0</v>
      </c>
      <c r="AI723">
        <v>12</v>
      </c>
      <c r="AJ723">
        <v>12</v>
      </c>
      <c r="AM723">
        <v>0</v>
      </c>
      <c r="AN723">
        <v>1800</v>
      </c>
      <c r="AP723">
        <v>32</v>
      </c>
    </row>
    <row r="724" spans="1:42" x14ac:dyDescent="0.25">
      <c r="A724" t="s">
        <v>45</v>
      </c>
      <c r="B724">
        <v>2</v>
      </c>
      <c r="C724" t="s">
        <v>363</v>
      </c>
      <c r="D724" s="39">
        <v>45874</v>
      </c>
      <c r="E724" t="s">
        <v>364</v>
      </c>
      <c r="F724" t="s">
        <v>79</v>
      </c>
      <c r="G724">
        <v>5</v>
      </c>
      <c r="H724">
        <v>5</v>
      </c>
      <c r="I724">
        <v>0</v>
      </c>
      <c r="J724">
        <v>150</v>
      </c>
      <c r="K724" t="s">
        <v>79</v>
      </c>
      <c r="L724">
        <v>11</v>
      </c>
      <c r="M724">
        <v>205.49999999999997</v>
      </c>
      <c r="N724">
        <v>5.5</v>
      </c>
      <c r="Q724">
        <v>199.99999999999997</v>
      </c>
      <c r="V724">
        <v>0</v>
      </c>
      <c r="W724">
        <v>0</v>
      </c>
      <c r="AF724">
        <v>0</v>
      </c>
      <c r="AG724">
        <v>0</v>
      </c>
      <c r="AH724">
        <v>0</v>
      </c>
      <c r="AI724">
        <v>12</v>
      </c>
      <c r="AJ724">
        <v>12</v>
      </c>
      <c r="AM724">
        <v>0</v>
      </c>
      <c r="AP724">
        <v>32</v>
      </c>
    </row>
    <row r="725" spans="1:42" x14ac:dyDescent="0.25">
      <c r="A725" t="s">
        <v>46</v>
      </c>
      <c r="B725">
        <v>2</v>
      </c>
      <c r="C725" t="s">
        <v>107</v>
      </c>
      <c r="D725" s="39">
        <v>45874</v>
      </c>
      <c r="E725" t="s">
        <v>194</v>
      </c>
      <c r="F725" t="s">
        <v>79</v>
      </c>
      <c r="G725">
        <v>5</v>
      </c>
      <c r="H725" t="s">
        <v>92</v>
      </c>
      <c r="I725">
        <v>0</v>
      </c>
      <c r="J725" t="s">
        <v>81</v>
      </c>
      <c r="K725" t="s">
        <v>79</v>
      </c>
      <c r="L725">
        <v>10</v>
      </c>
      <c r="M725">
        <v>194.99</v>
      </c>
      <c r="N725">
        <v>5</v>
      </c>
      <c r="Q725">
        <v>189.99</v>
      </c>
      <c r="V725">
        <v>0</v>
      </c>
      <c r="W725">
        <v>0</v>
      </c>
      <c r="AF725">
        <v>0</v>
      </c>
      <c r="AG725">
        <v>0</v>
      </c>
      <c r="AH725">
        <v>0</v>
      </c>
      <c r="AI725">
        <v>12</v>
      </c>
      <c r="AJ725">
        <v>12</v>
      </c>
      <c r="AM725">
        <v>0</v>
      </c>
      <c r="AP725">
        <v>32</v>
      </c>
    </row>
    <row r="726" spans="1:42" x14ac:dyDescent="0.25">
      <c r="A726" t="s">
        <v>45</v>
      </c>
      <c r="B726">
        <v>3</v>
      </c>
      <c r="D726" s="39">
        <v>45874</v>
      </c>
      <c r="E726" t="s">
        <v>81</v>
      </c>
      <c r="F726" t="s">
        <v>81</v>
      </c>
      <c r="G726" t="s">
        <v>81</v>
      </c>
      <c r="H726" t="s">
        <v>81</v>
      </c>
      <c r="I726" t="s">
        <v>81</v>
      </c>
      <c r="J726" t="s">
        <v>81</v>
      </c>
      <c r="K726" t="s">
        <v>79</v>
      </c>
      <c r="L726">
        <v>7</v>
      </c>
      <c r="M726">
        <v>275.95</v>
      </c>
      <c r="O726">
        <v>9</v>
      </c>
      <c r="Q726">
        <v>275.95</v>
      </c>
      <c r="V726">
        <v>0</v>
      </c>
      <c r="W726">
        <v>0</v>
      </c>
      <c r="Z726">
        <v>20</v>
      </c>
      <c r="AF726">
        <v>20</v>
      </c>
      <c r="AG726">
        <v>0.33333333333333331</v>
      </c>
      <c r="AH726">
        <v>0.33333333333333331</v>
      </c>
      <c r="AI726">
        <v>11.666666666666666</v>
      </c>
      <c r="AJ726">
        <v>12</v>
      </c>
      <c r="AM726">
        <v>0</v>
      </c>
      <c r="AP726">
        <v>32</v>
      </c>
    </row>
    <row r="727" spans="1:42" x14ac:dyDescent="0.25">
      <c r="A727" t="s">
        <v>45</v>
      </c>
      <c r="B727">
        <v>3</v>
      </c>
      <c r="C727" t="s">
        <v>83</v>
      </c>
      <c r="D727" s="39">
        <v>45874</v>
      </c>
      <c r="E727" t="s">
        <v>194</v>
      </c>
      <c r="F727" t="s">
        <v>79</v>
      </c>
      <c r="G727">
        <v>7</v>
      </c>
      <c r="H727">
        <v>5</v>
      </c>
      <c r="I727">
        <v>0</v>
      </c>
      <c r="J727" t="s">
        <v>81</v>
      </c>
      <c r="K727" t="s">
        <v>79</v>
      </c>
      <c r="L727">
        <v>2</v>
      </c>
      <c r="M727">
        <v>51.96</v>
      </c>
      <c r="N727">
        <v>1.4</v>
      </c>
      <c r="Q727">
        <v>50.56</v>
      </c>
      <c r="V727">
        <v>0</v>
      </c>
      <c r="W727">
        <v>0</v>
      </c>
      <c r="AF727">
        <v>0</v>
      </c>
      <c r="AG727">
        <v>0</v>
      </c>
      <c r="AH727">
        <v>0</v>
      </c>
      <c r="AI727">
        <v>12</v>
      </c>
      <c r="AJ727">
        <v>12</v>
      </c>
      <c r="AM727">
        <v>0</v>
      </c>
      <c r="AP727">
        <v>32</v>
      </c>
    </row>
    <row r="728" spans="1:42" x14ac:dyDescent="0.25">
      <c r="A728" t="s">
        <v>46</v>
      </c>
      <c r="B728">
        <v>3</v>
      </c>
      <c r="C728" t="s">
        <v>83</v>
      </c>
      <c r="D728" s="39">
        <v>45874</v>
      </c>
      <c r="E728" t="s">
        <v>194</v>
      </c>
      <c r="F728" t="s">
        <v>79</v>
      </c>
      <c r="G728">
        <v>7</v>
      </c>
      <c r="H728">
        <v>5</v>
      </c>
      <c r="I728">
        <v>0</v>
      </c>
      <c r="J728" t="s">
        <v>81</v>
      </c>
      <c r="K728" t="s">
        <v>79</v>
      </c>
      <c r="L728">
        <v>10</v>
      </c>
      <c r="M728">
        <v>342.06000000000006</v>
      </c>
      <c r="N728">
        <v>7.3000000000000007</v>
      </c>
      <c r="O728">
        <v>7</v>
      </c>
      <c r="Q728">
        <v>334.76000000000005</v>
      </c>
      <c r="V728">
        <v>0</v>
      </c>
      <c r="W728">
        <v>0</v>
      </c>
      <c r="Z728">
        <v>20</v>
      </c>
      <c r="AF728">
        <v>20</v>
      </c>
      <c r="AG728">
        <v>0.33333333333333331</v>
      </c>
      <c r="AH728">
        <v>0.33333333333333331</v>
      </c>
      <c r="AI728">
        <v>11.666666666666666</v>
      </c>
      <c r="AJ728">
        <v>12</v>
      </c>
      <c r="AM728">
        <v>0</v>
      </c>
      <c r="AP728">
        <v>32</v>
      </c>
    </row>
    <row r="729" spans="1:42" x14ac:dyDescent="0.25">
      <c r="A729" t="s">
        <v>46</v>
      </c>
      <c r="B729">
        <v>4</v>
      </c>
      <c r="C729" t="s">
        <v>373</v>
      </c>
      <c r="D729" s="39">
        <v>45874</v>
      </c>
      <c r="E729" t="s">
        <v>362</v>
      </c>
      <c r="F729" t="s">
        <v>79</v>
      </c>
      <c r="G729">
        <v>17</v>
      </c>
      <c r="H729" t="s">
        <v>134</v>
      </c>
      <c r="I729" t="s">
        <v>114</v>
      </c>
      <c r="J729">
        <v>50</v>
      </c>
      <c r="K729" t="s">
        <v>79</v>
      </c>
      <c r="L729">
        <v>4</v>
      </c>
      <c r="M729">
        <v>199.61</v>
      </c>
      <c r="N729">
        <v>8.6700000000000017</v>
      </c>
      <c r="Q729">
        <v>190.94</v>
      </c>
      <c r="V729">
        <v>0</v>
      </c>
      <c r="W729">
        <v>0</v>
      </c>
      <c r="AF729">
        <v>0</v>
      </c>
      <c r="AG729">
        <v>0</v>
      </c>
      <c r="AH729">
        <v>0</v>
      </c>
      <c r="AI729">
        <v>12</v>
      </c>
      <c r="AJ729">
        <v>12</v>
      </c>
      <c r="AM729">
        <v>0</v>
      </c>
      <c r="AP729">
        <v>32</v>
      </c>
    </row>
    <row r="730" spans="1:42" x14ac:dyDescent="0.25">
      <c r="A730" t="s">
        <v>46</v>
      </c>
      <c r="B730">
        <v>4</v>
      </c>
      <c r="C730" t="s">
        <v>374</v>
      </c>
      <c r="D730" s="39">
        <v>45874</v>
      </c>
      <c r="E730" t="s">
        <v>372</v>
      </c>
      <c r="F730" t="s">
        <v>79</v>
      </c>
      <c r="G730">
        <v>18</v>
      </c>
      <c r="H730" t="s">
        <v>113</v>
      </c>
      <c r="I730" t="s">
        <v>99</v>
      </c>
      <c r="J730">
        <v>300</v>
      </c>
      <c r="K730" t="s">
        <v>79</v>
      </c>
      <c r="L730">
        <v>2</v>
      </c>
      <c r="M730">
        <v>106.02</v>
      </c>
      <c r="N730">
        <v>2.2000000000000002</v>
      </c>
      <c r="O730">
        <v>12</v>
      </c>
      <c r="Q730">
        <v>103.82</v>
      </c>
      <c r="U730">
        <v>460</v>
      </c>
      <c r="V730">
        <v>460</v>
      </c>
      <c r="W730">
        <v>7.666666666666667</v>
      </c>
      <c r="Y730">
        <v>10</v>
      </c>
      <c r="AD730">
        <v>40</v>
      </c>
      <c r="AF730">
        <v>50</v>
      </c>
      <c r="AG730">
        <v>0.83333333333333348</v>
      </c>
      <c r="AH730">
        <v>8.5</v>
      </c>
      <c r="AI730">
        <v>3.5</v>
      </c>
      <c r="AJ730">
        <v>12</v>
      </c>
      <c r="AM730">
        <v>0</v>
      </c>
      <c r="AP730">
        <v>32</v>
      </c>
    </row>
    <row r="731" spans="1:42" x14ac:dyDescent="0.25">
      <c r="A731" t="s">
        <v>45</v>
      </c>
      <c r="B731">
        <v>5</v>
      </c>
      <c r="C731" t="s">
        <v>85</v>
      </c>
      <c r="D731" s="39">
        <v>45874</v>
      </c>
      <c r="E731" t="s">
        <v>194</v>
      </c>
      <c r="F731" t="s">
        <v>79</v>
      </c>
      <c r="G731">
        <v>12</v>
      </c>
      <c r="H731">
        <v>5</v>
      </c>
      <c r="I731">
        <v>0</v>
      </c>
      <c r="J731" t="s">
        <v>81</v>
      </c>
      <c r="K731" t="s">
        <v>79</v>
      </c>
      <c r="L731">
        <v>13</v>
      </c>
      <c r="M731">
        <v>612.72</v>
      </c>
      <c r="N731">
        <v>18.46</v>
      </c>
      <c r="O731">
        <v>8</v>
      </c>
      <c r="Q731">
        <v>594.26</v>
      </c>
      <c r="V731">
        <v>0</v>
      </c>
      <c r="W731">
        <v>0</v>
      </c>
      <c r="Y731">
        <v>20</v>
      </c>
      <c r="AF731">
        <v>20</v>
      </c>
      <c r="AG731">
        <v>0.33333333333333331</v>
      </c>
      <c r="AH731">
        <v>0.33333333333333331</v>
      </c>
      <c r="AI731">
        <v>11.666666666666666</v>
      </c>
      <c r="AJ731">
        <v>12</v>
      </c>
      <c r="AM731">
        <v>0</v>
      </c>
      <c r="AP731">
        <v>32</v>
      </c>
    </row>
    <row r="732" spans="1:42" x14ac:dyDescent="0.25">
      <c r="A732" t="s">
        <v>46</v>
      </c>
      <c r="B732">
        <v>5</v>
      </c>
      <c r="C732" t="s">
        <v>85</v>
      </c>
      <c r="D732" s="39">
        <v>45874</v>
      </c>
      <c r="E732" t="s">
        <v>194</v>
      </c>
      <c r="F732" t="s">
        <v>79</v>
      </c>
      <c r="G732">
        <v>12</v>
      </c>
      <c r="H732">
        <v>5</v>
      </c>
      <c r="I732">
        <v>0</v>
      </c>
      <c r="J732" t="s">
        <v>81</v>
      </c>
      <c r="K732" t="s">
        <v>79</v>
      </c>
      <c r="L732">
        <v>3</v>
      </c>
      <c r="M732">
        <v>201.89</v>
      </c>
      <c r="N732">
        <v>4.2699999999999996</v>
      </c>
      <c r="Q732">
        <v>197.61999999999998</v>
      </c>
      <c r="V732">
        <v>0</v>
      </c>
      <c r="W732">
        <v>0</v>
      </c>
      <c r="Y732">
        <v>20</v>
      </c>
      <c r="Z732">
        <v>30</v>
      </c>
      <c r="AF732">
        <v>50</v>
      </c>
      <c r="AG732">
        <v>0.83333333333333348</v>
      </c>
      <c r="AH732">
        <v>0.83333333333333348</v>
      </c>
      <c r="AI732">
        <v>11.166666666666666</v>
      </c>
      <c r="AJ732">
        <v>12</v>
      </c>
      <c r="AM732">
        <v>0</v>
      </c>
      <c r="AP732">
        <v>32</v>
      </c>
    </row>
    <row r="733" spans="1:42" x14ac:dyDescent="0.25">
      <c r="A733" t="s">
        <v>46</v>
      </c>
      <c r="B733">
        <v>5</v>
      </c>
      <c r="C733" t="s">
        <v>88</v>
      </c>
      <c r="D733" s="39">
        <v>45874</v>
      </c>
      <c r="E733" t="s">
        <v>194</v>
      </c>
      <c r="F733" t="s">
        <v>79</v>
      </c>
      <c r="G733">
        <v>10</v>
      </c>
      <c r="H733">
        <v>5</v>
      </c>
      <c r="I733">
        <v>0</v>
      </c>
      <c r="J733" t="s">
        <v>81</v>
      </c>
      <c r="K733" t="s">
        <v>79</v>
      </c>
      <c r="L733">
        <v>7</v>
      </c>
      <c r="M733">
        <v>358.52000000000004</v>
      </c>
      <c r="N733">
        <v>8.75</v>
      </c>
      <c r="O733">
        <v>5</v>
      </c>
      <c r="Q733">
        <v>349.77000000000004</v>
      </c>
      <c r="V733">
        <v>0</v>
      </c>
      <c r="W733">
        <v>0</v>
      </c>
      <c r="AF733">
        <v>0</v>
      </c>
      <c r="AG733">
        <v>0</v>
      </c>
      <c r="AH733">
        <v>0</v>
      </c>
      <c r="AI733">
        <v>12</v>
      </c>
      <c r="AJ733">
        <v>12</v>
      </c>
      <c r="AM733">
        <v>0</v>
      </c>
      <c r="AP733">
        <v>32</v>
      </c>
    </row>
    <row r="734" spans="1:42" x14ac:dyDescent="0.25">
      <c r="A734" t="s">
        <v>45</v>
      </c>
      <c r="B734">
        <v>1</v>
      </c>
      <c r="C734" t="s">
        <v>375</v>
      </c>
      <c r="D734" s="39">
        <v>45875</v>
      </c>
      <c r="E734" t="s">
        <v>376</v>
      </c>
      <c r="F734" t="s">
        <v>79</v>
      </c>
      <c r="G734">
        <v>3</v>
      </c>
      <c r="H734">
        <v>5</v>
      </c>
      <c r="I734">
        <v>0</v>
      </c>
      <c r="J734">
        <v>50</v>
      </c>
      <c r="K734" t="s">
        <v>79</v>
      </c>
      <c r="L734">
        <v>10</v>
      </c>
      <c r="M734">
        <v>129.30000000000001</v>
      </c>
      <c r="N734">
        <v>3</v>
      </c>
      <c r="O734">
        <v>15</v>
      </c>
      <c r="Q734">
        <v>126.30000000000001</v>
      </c>
      <c r="V734">
        <v>0</v>
      </c>
      <c r="W734">
        <v>0</v>
      </c>
      <c r="AA734">
        <v>20</v>
      </c>
      <c r="AF734">
        <v>20</v>
      </c>
      <c r="AG734">
        <v>0.33333333333333331</v>
      </c>
      <c r="AH734">
        <v>0.33333333333333331</v>
      </c>
      <c r="AI734">
        <v>11.666666666666666</v>
      </c>
      <c r="AJ734">
        <v>12</v>
      </c>
      <c r="AL734">
        <v>2086</v>
      </c>
      <c r="AM734">
        <v>0</v>
      </c>
      <c r="AN734">
        <v>1800</v>
      </c>
      <c r="AP734">
        <v>32</v>
      </c>
    </row>
    <row r="735" spans="1:42" x14ac:dyDescent="0.25">
      <c r="A735" t="s">
        <v>46</v>
      </c>
      <c r="B735">
        <v>1</v>
      </c>
      <c r="C735" t="s">
        <v>375</v>
      </c>
      <c r="D735" s="39">
        <v>45875</v>
      </c>
      <c r="E735" t="s">
        <v>376</v>
      </c>
      <c r="F735" t="s">
        <v>79</v>
      </c>
      <c r="G735">
        <v>3</v>
      </c>
      <c r="H735">
        <v>5</v>
      </c>
      <c r="I735">
        <v>0</v>
      </c>
      <c r="J735">
        <v>50</v>
      </c>
      <c r="K735" t="s">
        <v>79</v>
      </c>
      <c r="L735">
        <v>11</v>
      </c>
      <c r="M735">
        <v>138.67999999999998</v>
      </c>
      <c r="N735">
        <v>3.3</v>
      </c>
      <c r="O735">
        <v>20</v>
      </c>
      <c r="Q735">
        <v>135.37999999999997</v>
      </c>
      <c r="V735">
        <v>0</v>
      </c>
      <c r="W735">
        <v>0</v>
      </c>
      <c r="AA735">
        <v>20</v>
      </c>
      <c r="AF735">
        <v>20</v>
      </c>
      <c r="AG735">
        <v>0.33333333333333331</v>
      </c>
      <c r="AH735">
        <v>0.33333333333333331</v>
      </c>
      <c r="AI735">
        <v>11.666666666666666</v>
      </c>
      <c r="AJ735">
        <v>12</v>
      </c>
      <c r="AM735">
        <v>0</v>
      </c>
      <c r="AN735">
        <v>1750</v>
      </c>
      <c r="AP735">
        <v>32</v>
      </c>
    </row>
    <row r="736" spans="1:42" x14ac:dyDescent="0.25">
      <c r="A736" t="s">
        <v>45</v>
      </c>
      <c r="B736">
        <v>2</v>
      </c>
      <c r="C736" t="s">
        <v>107</v>
      </c>
      <c r="D736" s="39">
        <v>45875</v>
      </c>
      <c r="E736" t="s">
        <v>194</v>
      </c>
      <c r="F736" t="s">
        <v>79</v>
      </c>
      <c r="G736">
        <v>5</v>
      </c>
      <c r="H736" t="s">
        <v>92</v>
      </c>
      <c r="I736">
        <v>0</v>
      </c>
      <c r="J736" t="s">
        <v>81</v>
      </c>
      <c r="K736" t="s">
        <v>79</v>
      </c>
      <c r="L736">
        <v>6</v>
      </c>
      <c r="M736">
        <v>90.81</v>
      </c>
      <c r="N736">
        <v>3</v>
      </c>
      <c r="Q736">
        <v>87.81</v>
      </c>
      <c r="S736">
        <v>20</v>
      </c>
      <c r="V736">
        <v>20</v>
      </c>
      <c r="W736">
        <v>0.33333333333333331</v>
      </c>
      <c r="AF736">
        <v>0</v>
      </c>
      <c r="AG736">
        <v>0</v>
      </c>
      <c r="AH736">
        <v>0.33333333333333331</v>
      </c>
      <c r="AI736">
        <v>11.666666666666666</v>
      </c>
      <c r="AJ736">
        <v>12</v>
      </c>
      <c r="AM736">
        <v>0</v>
      </c>
      <c r="AP736">
        <v>32</v>
      </c>
    </row>
    <row r="737" spans="1:42" x14ac:dyDescent="0.25">
      <c r="A737" t="s">
        <v>45</v>
      </c>
      <c r="B737">
        <v>2</v>
      </c>
      <c r="C737" t="s">
        <v>91</v>
      </c>
      <c r="D737" s="39">
        <v>45875</v>
      </c>
      <c r="E737" t="s">
        <v>194</v>
      </c>
      <c r="F737" t="s">
        <v>79</v>
      </c>
      <c r="G737">
        <v>4</v>
      </c>
      <c r="H737" t="s">
        <v>92</v>
      </c>
      <c r="I737">
        <v>0</v>
      </c>
      <c r="J737" t="s">
        <v>81</v>
      </c>
      <c r="K737" t="s">
        <v>79</v>
      </c>
      <c r="L737">
        <v>3</v>
      </c>
      <c r="M737">
        <v>46.27</v>
      </c>
      <c r="N737">
        <v>1.2000000000000002</v>
      </c>
      <c r="Q737">
        <v>45.07</v>
      </c>
      <c r="S737">
        <v>20</v>
      </c>
      <c r="V737">
        <v>20</v>
      </c>
      <c r="W737">
        <v>0.33333333333333331</v>
      </c>
      <c r="AF737">
        <v>0</v>
      </c>
      <c r="AG737">
        <v>0</v>
      </c>
      <c r="AH737">
        <v>0.33333333333333331</v>
      </c>
      <c r="AI737">
        <v>11.666666666666666</v>
      </c>
      <c r="AJ737">
        <v>12</v>
      </c>
      <c r="AM737">
        <v>0</v>
      </c>
      <c r="AP737">
        <v>32</v>
      </c>
    </row>
    <row r="738" spans="1:42" x14ac:dyDescent="0.25">
      <c r="A738" t="s">
        <v>45</v>
      </c>
      <c r="B738">
        <v>2</v>
      </c>
      <c r="C738" t="s">
        <v>100</v>
      </c>
      <c r="D738" s="39">
        <v>45875</v>
      </c>
      <c r="E738" t="s">
        <v>194</v>
      </c>
      <c r="F738" t="s">
        <v>79</v>
      </c>
      <c r="G738">
        <v>2.5</v>
      </c>
      <c r="H738" t="s">
        <v>92</v>
      </c>
      <c r="I738">
        <v>0</v>
      </c>
      <c r="J738" t="s">
        <v>81</v>
      </c>
      <c r="K738" t="s">
        <v>79</v>
      </c>
      <c r="L738">
        <v>2</v>
      </c>
      <c r="M738">
        <v>13.690000000000001</v>
      </c>
      <c r="N738">
        <v>0.4</v>
      </c>
      <c r="Q738">
        <v>13.290000000000001</v>
      </c>
      <c r="V738">
        <v>0</v>
      </c>
      <c r="W738">
        <v>0</v>
      </c>
      <c r="AF738">
        <v>0</v>
      </c>
      <c r="AG738">
        <v>0</v>
      </c>
      <c r="AH738">
        <v>0</v>
      </c>
      <c r="AI738">
        <v>12</v>
      </c>
      <c r="AJ738">
        <v>12</v>
      </c>
      <c r="AM738">
        <v>0</v>
      </c>
      <c r="AP738">
        <v>32</v>
      </c>
    </row>
    <row r="739" spans="1:42" x14ac:dyDescent="0.25">
      <c r="A739" t="s">
        <v>46</v>
      </c>
      <c r="B739">
        <v>2</v>
      </c>
      <c r="C739" t="s">
        <v>100</v>
      </c>
      <c r="D739" s="39">
        <v>45875</v>
      </c>
      <c r="E739" t="s">
        <v>194</v>
      </c>
      <c r="F739" t="s">
        <v>79</v>
      </c>
      <c r="G739">
        <v>2.5</v>
      </c>
      <c r="H739" t="s">
        <v>92</v>
      </c>
      <c r="I739">
        <v>0</v>
      </c>
      <c r="J739" t="s">
        <v>81</v>
      </c>
      <c r="K739" t="s">
        <v>79</v>
      </c>
      <c r="L739">
        <v>11</v>
      </c>
      <c r="M739">
        <v>100.07000000000001</v>
      </c>
      <c r="N739">
        <v>2.2000000000000002</v>
      </c>
      <c r="Q739">
        <v>97.87</v>
      </c>
      <c r="V739">
        <v>0</v>
      </c>
      <c r="W739">
        <v>0</v>
      </c>
      <c r="AF739">
        <v>0</v>
      </c>
      <c r="AG739">
        <v>0</v>
      </c>
      <c r="AH739">
        <v>0</v>
      </c>
      <c r="AI739">
        <v>12</v>
      </c>
      <c r="AJ739">
        <v>12</v>
      </c>
      <c r="AM739">
        <v>0</v>
      </c>
      <c r="AP739">
        <v>32</v>
      </c>
    </row>
    <row r="740" spans="1:42" x14ac:dyDescent="0.25">
      <c r="A740" t="s">
        <v>45</v>
      </c>
      <c r="B740">
        <v>3</v>
      </c>
      <c r="C740" t="s">
        <v>83</v>
      </c>
      <c r="D740" s="39">
        <v>45875</v>
      </c>
      <c r="E740" t="s">
        <v>194</v>
      </c>
      <c r="F740" t="s">
        <v>79</v>
      </c>
      <c r="G740">
        <v>7</v>
      </c>
      <c r="H740">
        <v>5</v>
      </c>
      <c r="I740">
        <v>0</v>
      </c>
      <c r="J740" t="s">
        <v>81</v>
      </c>
      <c r="K740" t="s">
        <v>79</v>
      </c>
      <c r="L740">
        <v>4</v>
      </c>
      <c r="M740">
        <v>156.60000000000002</v>
      </c>
      <c r="N740">
        <v>2.8</v>
      </c>
      <c r="Q740">
        <v>153.80000000000001</v>
      </c>
      <c r="S740">
        <v>20</v>
      </c>
      <c r="V740">
        <v>20</v>
      </c>
      <c r="W740">
        <v>0.33333333333333331</v>
      </c>
      <c r="AF740">
        <v>0</v>
      </c>
      <c r="AG740">
        <v>0</v>
      </c>
      <c r="AH740">
        <v>0.33333333333333331</v>
      </c>
      <c r="AI740">
        <v>11.666666666666666</v>
      </c>
      <c r="AJ740">
        <v>12</v>
      </c>
      <c r="AM740">
        <v>0</v>
      </c>
      <c r="AP740">
        <v>32</v>
      </c>
    </row>
    <row r="741" spans="1:42" x14ac:dyDescent="0.25">
      <c r="A741" t="s">
        <v>45</v>
      </c>
      <c r="B741">
        <v>3</v>
      </c>
      <c r="C741" t="s">
        <v>112</v>
      </c>
      <c r="D741" s="39">
        <v>45875</v>
      </c>
      <c r="E741" t="s">
        <v>194</v>
      </c>
      <c r="F741" t="s">
        <v>79</v>
      </c>
      <c r="G741">
        <v>6</v>
      </c>
      <c r="H741">
        <v>5</v>
      </c>
      <c r="I741">
        <v>0</v>
      </c>
      <c r="J741" t="s">
        <v>81</v>
      </c>
      <c r="K741" t="s">
        <v>79</v>
      </c>
      <c r="L741">
        <v>3</v>
      </c>
      <c r="M741">
        <v>91.72999999999999</v>
      </c>
      <c r="N741">
        <v>1.7999999999999998</v>
      </c>
      <c r="Q741">
        <v>89.929999999999993</v>
      </c>
      <c r="V741">
        <v>0</v>
      </c>
      <c r="W741">
        <v>0</v>
      </c>
      <c r="Z741">
        <v>20</v>
      </c>
      <c r="AF741">
        <v>20</v>
      </c>
      <c r="AG741">
        <v>0.33333333333333331</v>
      </c>
      <c r="AH741">
        <v>0.33333333333333331</v>
      </c>
      <c r="AI741">
        <v>11.666666666666666</v>
      </c>
      <c r="AJ741">
        <v>12</v>
      </c>
      <c r="AM741">
        <v>0</v>
      </c>
      <c r="AP741">
        <v>32</v>
      </c>
    </row>
    <row r="742" spans="1:42" x14ac:dyDescent="0.25">
      <c r="A742" t="s">
        <v>46</v>
      </c>
      <c r="B742">
        <v>3</v>
      </c>
      <c r="C742" t="s">
        <v>112</v>
      </c>
      <c r="D742" s="39">
        <v>45875</v>
      </c>
      <c r="E742" t="s">
        <v>194</v>
      </c>
      <c r="F742" t="s">
        <v>79</v>
      </c>
      <c r="G742">
        <v>6</v>
      </c>
      <c r="H742">
        <v>5</v>
      </c>
      <c r="I742">
        <v>0</v>
      </c>
      <c r="J742" t="s">
        <v>81</v>
      </c>
      <c r="K742" t="s">
        <v>79</v>
      </c>
      <c r="L742">
        <v>8</v>
      </c>
      <c r="M742">
        <v>288.33000000000004</v>
      </c>
      <c r="N742">
        <v>6.0600000000000005</v>
      </c>
      <c r="Q742">
        <v>282.27000000000004</v>
      </c>
      <c r="V742">
        <v>0</v>
      </c>
      <c r="W742">
        <v>0</v>
      </c>
      <c r="AF742">
        <v>0</v>
      </c>
      <c r="AG742">
        <v>0</v>
      </c>
      <c r="AH742">
        <v>0</v>
      </c>
      <c r="AI742">
        <v>12</v>
      </c>
      <c r="AJ742">
        <v>12</v>
      </c>
      <c r="AM742">
        <v>0</v>
      </c>
      <c r="AP742">
        <v>32</v>
      </c>
    </row>
    <row r="743" spans="1:42" x14ac:dyDescent="0.25">
      <c r="A743" t="s">
        <v>45</v>
      </c>
      <c r="B743">
        <v>4</v>
      </c>
      <c r="C743" t="s">
        <v>377</v>
      </c>
      <c r="D743" s="39">
        <v>45875</v>
      </c>
      <c r="E743" t="s">
        <v>378</v>
      </c>
      <c r="F743" t="s">
        <v>79</v>
      </c>
      <c r="G743" t="s">
        <v>379</v>
      </c>
      <c r="H743" t="s">
        <v>134</v>
      </c>
      <c r="I743" t="s">
        <v>380</v>
      </c>
      <c r="J743">
        <v>180</v>
      </c>
      <c r="K743" t="s">
        <v>79</v>
      </c>
      <c r="L743">
        <v>2</v>
      </c>
      <c r="M743">
        <v>106.75</v>
      </c>
      <c r="N743">
        <v>4.38</v>
      </c>
      <c r="Q743">
        <v>102.37</v>
      </c>
      <c r="V743">
        <v>0</v>
      </c>
      <c r="W743">
        <v>0</v>
      </c>
      <c r="AA743">
        <v>10</v>
      </c>
      <c r="AF743">
        <v>10</v>
      </c>
      <c r="AG743">
        <v>0.16666666666666666</v>
      </c>
      <c r="AH743">
        <v>0.16666666666666666</v>
      </c>
      <c r="AI743">
        <v>11.833333333333334</v>
      </c>
      <c r="AJ743">
        <v>12</v>
      </c>
      <c r="AM743">
        <v>0</v>
      </c>
      <c r="AP743">
        <v>32</v>
      </c>
    </row>
    <row r="744" spans="1:42" x14ac:dyDescent="0.25">
      <c r="A744" t="s">
        <v>45</v>
      </c>
      <c r="B744">
        <v>4</v>
      </c>
      <c r="C744" t="s">
        <v>381</v>
      </c>
      <c r="D744" s="39">
        <v>45875</v>
      </c>
      <c r="E744" t="s">
        <v>255</v>
      </c>
      <c r="F744" t="s">
        <v>79</v>
      </c>
      <c r="G744">
        <v>18</v>
      </c>
      <c r="H744">
        <v>5</v>
      </c>
      <c r="I744">
        <v>0</v>
      </c>
      <c r="J744">
        <v>25</v>
      </c>
      <c r="K744" t="s">
        <v>79</v>
      </c>
      <c r="L744">
        <v>12</v>
      </c>
      <c r="M744">
        <v>638.70999999999992</v>
      </c>
      <c r="N744">
        <v>22.78</v>
      </c>
      <c r="Q744">
        <v>615.92999999999995</v>
      </c>
      <c r="V744">
        <v>0</v>
      </c>
      <c r="W744">
        <v>0</v>
      </c>
      <c r="AF744">
        <v>0</v>
      </c>
      <c r="AG744">
        <v>0</v>
      </c>
      <c r="AH744">
        <v>0</v>
      </c>
      <c r="AI744">
        <v>12</v>
      </c>
      <c r="AJ744">
        <v>12</v>
      </c>
      <c r="AM744">
        <v>0</v>
      </c>
      <c r="AP744">
        <v>32</v>
      </c>
    </row>
    <row r="745" spans="1:42" x14ac:dyDescent="0.25">
      <c r="A745" t="s">
        <v>46</v>
      </c>
      <c r="B745">
        <v>4</v>
      </c>
      <c r="C745" t="s">
        <v>381</v>
      </c>
      <c r="D745" s="39">
        <v>45875</v>
      </c>
      <c r="E745" t="s">
        <v>255</v>
      </c>
      <c r="F745" t="s">
        <v>79</v>
      </c>
      <c r="G745">
        <v>18</v>
      </c>
      <c r="H745">
        <v>5</v>
      </c>
      <c r="I745">
        <v>0</v>
      </c>
      <c r="J745">
        <v>25</v>
      </c>
      <c r="K745" t="s">
        <v>79</v>
      </c>
      <c r="L745">
        <v>9</v>
      </c>
      <c r="M745">
        <v>497.96999999999991</v>
      </c>
      <c r="N745">
        <v>19.529999999999998</v>
      </c>
      <c r="Q745">
        <v>478.43999999999994</v>
      </c>
      <c r="V745">
        <v>0</v>
      </c>
      <c r="W745">
        <v>0</v>
      </c>
      <c r="AF745">
        <v>0</v>
      </c>
      <c r="AG745">
        <v>0</v>
      </c>
      <c r="AH745">
        <v>0</v>
      </c>
      <c r="AI745">
        <v>12</v>
      </c>
      <c r="AJ745">
        <v>12</v>
      </c>
      <c r="AM745">
        <v>0</v>
      </c>
      <c r="AP745">
        <v>32</v>
      </c>
    </row>
    <row r="746" spans="1:42" x14ac:dyDescent="0.25">
      <c r="A746" t="s">
        <v>46</v>
      </c>
      <c r="B746">
        <v>4</v>
      </c>
      <c r="C746" t="s">
        <v>382</v>
      </c>
      <c r="D746" s="39">
        <v>45875</v>
      </c>
      <c r="E746" t="s">
        <v>243</v>
      </c>
      <c r="F746" t="s">
        <v>79</v>
      </c>
      <c r="G746">
        <v>18</v>
      </c>
      <c r="H746" t="s">
        <v>102</v>
      </c>
      <c r="I746" t="s">
        <v>103</v>
      </c>
      <c r="J746">
        <v>400</v>
      </c>
      <c r="K746" t="s">
        <v>79</v>
      </c>
      <c r="L746">
        <v>5</v>
      </c>
      <c r="M746">
        <v>270.75</v>
      </c>
      <c r="N746">
        <v>10.89</v>
      </c>
      <c r="Q746">
        <v>259.86</v>
      </c>
      <c r="V746">
        <v>0</v>
      </c>
      <c r="W746">
        <v>0</v>
      </c>
      <c r="AF746">
        <v>0</v>
      </c>
      <c r="AG746">
        <v>0</v>
      </c>
      <c r="AH746">
        <v>0</v>
      </c>
      <c r="AI746">
        <v>12</v>
      </c>
      <c r="AJ746">
        <v>12</v>
      </c>
      <c r="AM746">
        <v>0</v>
      </c>
      <c r="AP746">
        <v>32</v>
      </c>
    </row>
    <row r="747" spans="1:42" x14ac:dyDescent="0.25">
      <c r="A747" t="s">
        <v>45</v>
      </c>
      <c r="B747">
        <v>5</v>
      </c>
      <c r="C747" t="s">
        <v>88</v>
      </c>
      <c r="D747" s="39">
        <v>45875</v>
      </c>
      <c r="E747" t="s">
        <v>194</v>
      </c>
      <c r="F747" t="s">
        <v>79</v>
      </c>
      <c r="G747">
        <v>10</v>
      </c>
      <c r="H747">
        <v>5</v>
      </c>
      <c r="I747">
        <v>0</v>
      </c>
      <c r="J747" t="s">
        <v>81</v>
      </c>
      <c r="K747" t="s">
        <v>79</v>
      </c>
      <c r="L747">
        <v>11</v>
      </c>
      <c r="M747">
        <v>490.38999999999993</v>
      </c>
      <c r="N747">
        <v>11</v>
      </c>
      <c r="Q747">
        <v>479.38999999999993</v>
      </c>
      <c r="S747">
        <v>10</v>
      </c>
      <c r="V747">
        <v>10</v>
      </c>
      <c r="W747">
        <v>0.16666666666666666</v>
      </c>
      <c r="AF747">
        <v>0</v>
      </c>
      <c r="AG747">
        <v>0</v>
      </c>
      <c r="AH747">
        <v>0.16666666666666666</v>
      </c>
      <c r="AI747">
        <v>11.833333333333334</v>
      </c>
      <c r="AJ747">
        <v>12</v>
      </c>
      <c r="AM747">
        <v>0</v>
      </c>
      <c r="AP747">
        <v>32</v>
      </c>
    </row>
    <row r="748" spans="1:42" x14ac:dyDescent="0.25">
      <c r="A748" t="s">
        <v>46</v>
      </c>
      <c r="B748">
        <v>5</v>
      </c>
      <c r="C748" t="s">
        <v>88</v>
      </c>
      <c r="D748" s="39">
        <v>45875</v>
      </c>
      <c r="E748" t="s">
        <v>194</v>
      </c>
      <c r="F748" t="s">
        <v>79</v>
      </c>
      <c r="G748">
        <v>10</v>
      </c>
      <c r="H748">
        <v>5</v>
      </c>
      <c r="I748">
        <v>0</v>
      </c>
      <c r="J748" t="s">
        <v>81</v>
      </c>
      <c r="K748" t="s">
        <v>79</v>
      </c>
      <c r="L748">
        <v>5</v>
      </c>
      <c r="M748">
        <v>238.10999999999999</v>
      </c>
      <c r="N748">
        <v>6.2</v>
      </c>
      <c r="Q748">
        <v>231.91</v>
      </c>
      <c r="V748">
        <v>0</v>
      </c>
      <c r="W748">
        <v>0</v>
      </c>
      <c r="AF748">
        <v>0</v>
      </c>
      <c r="AG748">
        <v>0</v>
      </c>
      <c r="AH748">
        <v>0</v>
      </c>
      <c r="AI748">
        <v>12</v>
      </c>
      <c r="AJ748">
        <v>12</v>
      </c>
      <c r="AM748">
        <v>0</v>
      </c>
      <c r="AP748">
        <v>32</v>
      </c>
    </row>
    <row r="749" spans="1:42" x14ac:dyDescent="0.25">
      <c r="A749" t="s">
        <v>46</v>
      </c>
      <c r="B749">
        <v>5</v>
      </c>
      <c r="C749" t="s">
        <v>383</v>
      </c>
      <c r="D749" s="39">
        <v>45875</v>
      </c>
      <c r="E749" t="s">
        <v>229</v>
      </c>
      <c r="F749" t="s">
        <v>79</v>
      </c>
      <c r="G749">
        <v>6</v>
      </c>
      <c r="H749">
        <v>14</v>
      </c>
      <c r="I749">
        <v>0</v>
      </c>
      <c r="J749">
        <v>900</v>
      </c>
      <c r="K749" t="s">
        <v>79</v>
      </c>
      <c r="L749">
        <v>6</v>
      </c>
      <c r="M749">
        <v>283.7</v>
      </c>
      <c r="N749">
        <v>6.3</v>
      </c>
      <c r="Q749">
        <v>277.39999999999998</v>
      </c>
      <c r="V749">
        <v>0</v>
      </c>
      <c r="W749">
        <v>0</v>
      </c>
      <c r="AF749">
        <v>0</v>
      </c>
      <c r="AG749">
        <v>0</v>
      </c>
      <c r="AH749">
        <v>0</v>
      </c>
      <c r="AI749">
        <v>12</v>
      </c>
      <c r="AJ749">
        <v>12</v>
      </c>
      <c r="AM749">
        <v>0</v>
      </c>
      <c r="AP749">
        <v>32</v>
      </c>
    </row>
    <row r="750" spans="1:42" x14ac:dyDescent="0.25">
      <c r="A750" t="s">
        <v>45</v>
      </c>
      <c r="B750">
        <v>1</v>
      </c>
      <c r="C750" t="s">
        <v>77</v>
      </c>
      <c r="D750" s="39">
        <v>45876</v>
      </c>
      <c r="E750" t="s">
        <v>194</v>
      </c>
      <c r="F750" t="s">
        <v>79</v>
      </c>
      <c r="G750">
        <v>3</v>
      </c>
      <c r="H750" t="s">
        <v>92</v>
      </c>
      <c r="I750">
        <v>0</v>
      </c>
      <c r="J750" t="s">
        <v>81</v>
      </c>
      <c r="K750" t="s">
        <v>79</v>
      </c>
      <c r="L750">
        <v>12</v>
      </c>
      <c r="M750">
        <v>123.26000000000002</v>
      </c>
      <c r="N750">
        <v>3.5999999999999996</v>
      </c>
      <c r="O750">
        <v>18</v>
      </c>
      <c r="Q750">
        <v>119.66000000000003</v>
      </c>
      <c r="V750">
        <v>0</v>
      </c>
      <c r="W750">
        <v>0</v>
      </c>
      <c r="AF750">
        <v>0</v>
      </c>
      <c r="AG750">
        <v>0</v>
      </c>
      <c r="AH750">
        <v>0</v>
      </c>
      <c r="AI750">
        <v>12</v>
      </c>
      <c r="AJ750">
        <v>12</v>
      </c>
      <c r="AL750">
        <v>2026</v>
      </c>
      <c r="AM750">
        <v>0</v>
      </c>
      <c r="AN750">
        <v>1800</v>
      </c>
      <c r="AP750">
        <v>32</v>
      </c>
    </row>
    <row r="751" spans="1:42" x14ac:dyDescent="0.25">
      <c r="A751" t="s">
        <v>46</v>
      </c>
      <c r="B751">
        <v>1</v>
      </c>
      <c r="C751" t="s">
        <v>77</v>
      </c>
      <c r="D751" s="39">
        <v>45876</v>
      </c>
      <c r="E751" t="s">
        <v>194</v>
      </c>
      <c r="F751" t="s">
        <v>79</v>
      </c>
      <c r="G751">
        <v>3</v>
      </c>
      <c r="H751" t="s">
        <v>92</v>
      </c>
      <c r="I751">
        <v>0</v>
      </c>
      <c r="J751" t="s">
        <v>81</v>
      </c>
      <c r="K751" t="s">
        <v>79</v>
      </c>
      <c r="L751">
        <v>11</v>
      </c>
      <c r="M751">
        <v>130.14000000000001</v>
      </c>
      <c r="N751">
        <v>3.3</v>
      </c>
      <c r="O751">
        <v>24</v>
      </c>
      <c r="Q751">
        <v>126.84000000000002</v>
      </c>
      <c r="V751">
        <v>0</v>
      </c>
      <c r="W751">
        <v>0</v>
      </c>
      <c r="AF751">
        <v>0</v>
      </c>
      <c r="AG751">
        <v>0</v>
      </c>
      <c r="AH751">
        <v>0</v>
      </c>
      <c r="AI751">
        <v>12</v>
      </c>
      <c r="AJ751">
        <v>12</v>
      </c>
      <c r="AM751">
        <v>0</v>
      </c>
      <c r="AN751">
        <v>1800</v>
      </c>
      <c r="AP751">
        <v>32</v>
      </c>
    </row>
    <row r="752" spans="1:42" x14ac:dyDescent="0.25">
      <c r="A752" t="s">
        <v>45</v>
      </c>
      <c r="B752">
        <v>2</v>
      </c>
      <c r="C752" t="s">
        <v>100</v>
      </c>
      <c r="D752" s="39">
        <v>45876</v>
      </c>
      <c r="E752" t="s">
        <v>194</v>
      </c>
      <c r="F752" t="s">
        <v>79</v>
      </c>
      <c r="G752">
        <v>2.5</v>
      </c>
      <c r="H752" t="s">
        <v>92</v>
      </c>
      <c r="I752">
        <v>0</v>
      </c>
      <c r="J752" t="s">
        <v>81</v>
      </c>
      <c r="K752" t="s">
        <v>79</v>
      </c>
      <c r="L752">
        <v>12</v>
      </c>
      <c r="M752">
        <v>86.990000000000009</v>
      </c>
      <c r="N752">
        <v>2.4000000000000004</v>
      </c>
      <c r="Q752">
        <v>84.59</v>
      </c>
      <c r="V752">
        <v>0</v>
      </c>
      <c r="W752">
        <v>0</v>
      </c>
      <c r="AF752">
        <v>0</v>
      </c>
      <c r="AG752">
        <v>0</v>
      </c>
      <c r="AH752">
        <v>0</v>
      </c>
      <c r="AI752">
        <v>12</v>
      </c>
      <c r="AJ752">
        <v>12</v>
      </c>
      <c r="AM752">
        <v>0</v>
      </c>
      <c r="AP752">
        <v>32</v>
      </c>
    </row>
    <row r="753" spans="1:42" x14ac:dyDescent="0.25">
      <c r="A753" t="s">
        <v>46</v>
      </c>
      <c r="B753">
        <v>2</v>
      </c>
      <c r="C753" t="s">
        <v>100</v>
      </c>
      <c r="D753" s="39">
        <v>45876</v>
      </c>
      <c r="E753" t="s">
        <v>194</v>
      </c>
      <c r="F753" t="s">
        <v>79</v>
      </c>
      <c r="G753">
        <v>2.5</v>
      </c>
      <c r="H753" t="s">
        <v>92</v>
      </c>
      <c r="I753">
        <v>0</v>
      </c>
      <c r="J753" t="s">
        <v>81</v>
      </c>
      <c r="K753" t="s">
        <v>79</v>
      </c>
      <c r="L753">
        <v>11</v>
      </c>
      <c r="M753">
        <v>93.06</v>
      </c>
      <c r="N753">
        <v>2.2000000000000002</v>
      </c>
      <c r="Q753">
        <v>90.86</v>
      </c>
      <c r="V753">
        <v>0</v>
      </c>
      <c r="W753">
        <v>0</v>
      </c>
      <c r="AF753">
        <v>0</v>
      </c>
      <c r="AG753">
        <v>0</v>
      </c>
      <c r="AH753">
        <v>0</v>
      </c>
      <c r="AI753">
        <v>12</v>
      </c>
      <c r="AJ753">
        <v>12</v>
      </c>
      <c r="AM753">
        <v>0</v>
      </c>
      <c r="AP753">
        <v>32</v>
      </c>
    </row>
    <row r="754" spans="1:42" x14ac:dyDescent="0.25">
      <c r="A754" t="s">
        <v>45</v>
      </c>
      <c r="B754">
        <v>3</v>
      </c>
      <c r="C754" t="s">
        <v>112</v>
      </c>
      <c r="D754" s="39">
        <v>45876</v>
      </c>
      <c r="E754" t="s">
        <v>194</v>
      </c>
      <c r="F754" t="s">
        <v>79</v>
      </c>
      <c r="G754">
        <v>6</v>
      </c>
      <c r="H754">
        <v>5</v>
      </c>
      <c r="I754">
        <v>0</v>
      </c>
      <c r="J754" t="s">
        <v>81</v>
      </c>
      <c r="K754" t="s">
        <v>79</v>
      </c>
      <c r="L754">
        <v>8</v>
      </c>
      <c r="M754">
        <v>260.69</v>
      </c>
      <c r="N754">
        <v>4.8</v>
      </c>
      <c r="Q754">
        <v>255.89</v>
      </c>
      <c r="V754">
        <v>0</v>
      </c>
      <c r="W754">
        <v>0</v>
      </c>
      <c r="Z754">
        <v>5</v>
      </c>
      <c r="AF754">
        <v>5</v>
      </c>
      <c r="AG754">
        <v>8.3333333333333329E-2</v>
      </c>
      <c r="AH754">
        <v>8.3333333333333329E-2</v>
      </c>
      <c r="AI754">
        <v>11.916666666666666</v>
      </c>
      <c r="AJ754">
        <v>12</v>
      </c>
      <c r="AM754">
        <v>0</v>
      </c>
      <c r="AP754">
        <v>32</v>
      </c>
    </row>
    <row r="755" spans="1:42" x14ac:dyDescent="0.25">
      <c r="A755" t="s">
        <v>46</v>
      </c>
      <c r="B755">
        <v>3</v>
      </c>
      <c r="C755" t="s">
        <v>384</v>
      </c>
      <c r="D755" s="39">
        <v>45876</v>
      </c>
      <c r="E755" t="s">
        <v>385</v>
      </c>
      <c r="F755" t="s">
        <v>79</v>
      </c>
      <c r="G755">
        <v>6</v>
      </c>
      <c r="H755" t="s">
        <v>93</v>
      </c>
      <c r="I755" t="s">
        <v>81</v>
      </c>
      <c r="J755">
        <v>100</v>
      </c>
      <c r="K755" t="s">
        <v>79</v>
      </c>
      <c r="L755">
        <v>4</v>
      </c>
      <c r="M755">
        <v>109.31</v>
      </c>
      <c r="N755">
        <v>3.04</v>
      </c>
      <c r="Q755">
        <v>106.27</v>
      </c>
      <c r="S755">
        <v>20</v>
      </c>
      <c r="V755">
        <v>20</v>
      </c>
      <c r="W755">
        <v>0.33333333333333331</v>
      </c>
      <c r="AF755">
        <v>0</v>
      </c>
      <c r="AG755">
        <v>0</v>
      </c>
      <c r="AH755">
        <v>0.33333333333333331</v>
      </c>
      <c r="AI755">
        <v>11.666666666666666</v>
      </c>
      <c r="AJ755">
        <v>12</v>
      </c>
      <c r="AM755">
        <v>0</v>
      </c>
      <c r="AP755">
        <v>32</v>
      </c>
    </row>
    <row r="756" spans="1:42" x14ac:dyDescent="0.25">
      <c r="A756" t="s">
        <v>46</v>
      </c>
      <c r="B756">
        <v>3</v>
      </c>
      <c r="C756" t="s">
        <v>83</v>
      </c>
      <c r="D756" s="39">
        <v>45876</v>
      </c>
      <c r="E756" t="s">
        <v>194</v>
      </c>
      <c r="F756" t="s">
        <v>79</v>
      </c>
      <c r="G756">
        <v>7</v>
      </c>
      <c r="H756">
        <v>5</v>
      </c>
      <c r="I756">
        <v>0</v>
      </c>
      <c r="J756" t="s">
        <v>81</v>
      </c>
      <c r="K756" t="s">
        <v>79</v>
      </c>
      <c r="L756">
        <v>4</v>
      </c>
      <c r="M756">
        <v>147.29000000000002</v>
      </c>
      <c r="N756">
        <v>2.8</v>
      </c>
      <c r="Q756">
        <v>144.49</v>
      </c>
      <c r="V756">
        <v>0</v>
      </c>
      <c r="W756">
        <v>0</v>
      </c>
      <c r="AF756">
        <v>0</v>
      </c>
      <c r="AG756">
        <v>0</v>
      </c>
      <c r="AH756">
        <v>0</v>
      </c>
      <c r="AI756">
        <v>12</v>
      </c>
      <c r="AJ756">
        <v>12</v>
      </c>
      <c r="AM756">
        <v>0</v>
      </c>
      <c r="AP756">
        <v>32</v>
      </c>
    </row>
    <row r="757" spans="1:42" x14ac:dyDescent="0.25">
      <c r="A757" t="s">
        <v>45</v>
      </c>
      <c r="B757">
        <v>4</v>
      </c>
      <c r="C757" t="s">
        <v>382</v>
      </c>
      <c r="D757" s="39">
        <v>45876</v>
      </c>
      <c r="E757" t="s">
        <v>243</v>
      </c>
      <c r="F757" t="s">
        <v>79</v>
      </c>
      <c r="G757">
        <v>18</v>
      </c>
      <c r="H757" t="s">
        <v>102</v>
      </c>
      <c r="I757" t="s">
        <v>103</v>
      </c>
      <c r="J757">
        <v>400</v>
      </c>
      <c r="K757" t="s">
        <v>79</v>
      </c>
      <c r="L757">
        <v>3</v>
      </c>
      <c r="M757">
        <v>156.76999999999998</v>
      </c>
      <c r="N757">
        <v>6.57</v>
      </c>
      <c r="Q757">
        <v>150.19999999999999</v>
      </c>
      <c r="V757">
        <v>0</v>
      </c>
      <c r="W757">
        <v>0</v>
      </c>
      <c r="AF757">
        <v>0</v>
      </c>
      <c r="AG757">
        <v>0</v>
      </c>
      <c r="AH757">
        <v>0</v>
      </c>
      <c r="AI757">
        <v>12</v>
      </c>
      <c r="AJ757">
        <v>12</v>
      </c>
      <c r="AM757">
        <v>0</v>
      </c>
      <c r="AP757">
        <v>32</v>
      </c>
    </row>
    <row r="758" spans="1:42" x14ac:dyDescent="0.25">
      <c r="A758" t="s">
        <v>45</v>
      </c>
      <c r="B758">
        <v>4</v>
      </c>
      <c r="C758" t="s">
        <v>386</v>
      </c>
      <c r="D758" s="39">
        <v>45876</v>
      </c>
      <c r="E758" t="s">
        <v>243</v>
      </c>
      <c r="F758" t="s">
        <v>79</v>
      </c>
      <c r="G758">
        <v>22</v>
      </c>
      <c r="H758" t="s">
        <v>123</v>
      </c>
      <c r="I758" t="s">
        <v>103</v>
      </c>
      <c r="J758">
        <v>28</v>
      </c>
      <c r="K758" t="s">
        <v>79</v>
      </c>
      <c r="L758">
        <v>6</v>
      </c>
      <c r="M758">
        <v>270.08999999999997</v>
      </c>
      <c r="N758">
        <v>17.52</v>
      </c>
      <c r="Q758">
        <v>252.56999999999996</v>
      </c>
      <c r="V758">
        <v>0</v>
      </c>
      <c r="W758">
        <v>0</v>
      </c>
      <c r="AF758">
        <v>0</v>
      </c>
      <c r="AG758">
        <v>0</v>
      </c>
      <c r="AH758">
        <v>0</v>
      </c>
      <c r="AI758">
        <v>12</v>
      </c>
      <c r="AJ758">
        <v>12</v>
      </c>
      <c r="AM758">
        <v>0</v>
      </c>
      <c r="AP758">
        <v>32</v>
      </c>
    </row>
    <row r="759" spans="1:42" x14ac:dyDescent="0.25">
      <c r="A759" t="s">
        <v>45</v>
      </c>
      <c r="B759">
        <v>4</v>
      </c>
      <c r="C759" t="s">
        <v>387</v>
      </c>
      <c r="D759" s="39">
        <v>45876</v>
      </c>
      <c r="E759" t="s">
        <v>200</v>
      </c>
      <c r="F759" t="s">
        <v>79</v>
      </c>
      <c r="G759">
        <v>18</v>
      </c>
      <c r="H759">
        <v>10</v>
      </c>
      <c r="I759">
        <v>0</v>
      </c>
      <c r="J759">
        <v>125</v>
      </c>
      <c r="K759" t="s">
        <v>79</v>
      </c>
      <c r="L759">
        <v>4</v>
      </c>
      <c r="M759">
        <v>142.09</v>
      </c>
      <c r="N759">
        <v>7.2</v>
      </c>
      <c r="Q759">
        <v>134.89000000000001</v>
      </c>
      <c r="V759">
        <v>0</v>
      </c>
      <c r="W759">
        <v>0</v>
      </c>
      <c r="AF759">
        <v>0</v>
      </c>
      <c r="AG759">
        <v>0</v>
      </c>
      <c r="AH759">
        <v>0</v>
      </c>
      <c r="AI759">
        <v>12</v>
      </c>
      <c r="AJ759">
        <v>12</v>
      </c>
      <c r="AM759">
        <v>0</v>
      </c>
      <c r="AP759">
        <v>32</v>
      </c>
    </row>
    <row r="760" spans="1:42" x14ac:dyDescent="0.25">
      <c r="A760" t="s">
        <v>45</v>
      </c>
      <c r="B760">
        <v>4</v>
      </c>
      <c r="C760" t="s">
        <v>388</v>
      </c>
      <c r="D760" s="39">
        <v>45876</v>
      </c>
      <c r="E760" t="s">
        <v>81</v>
      </c>
      <c r="F760" t="s">
        <v>81</v>
      </c>
      <c r="G760" t="s">
        <v>81</v>
      </c>
      <c r="H760" t="s">
        <v>81</v>
      </c>
      <c r="I760" t="s">
        <v>81</v>
      </c>
      <c r="J760" t="s">
        <v>81</v>
      </c>
      <c r="K760" t="s">
        <v>79</v>
      </c>
      <c r="L760">
        <v>3</v>
      </c>
      <c r="M760">
        <v>110.10000000000001</v>
      </c>
      <c r="N760">
        <v>5.4</v>
      </c>
      <c r="Q760">
        <v>104.7</v>
      </c>
      <c r="V760">
        <v>0</v>
      </c>
      <c r="W760">
        <v>0</v>
      </c>
      <c r="AF760">
        <v>0</v>
      </c>
      <c r="AG760">
        <v>0</v>
      </c>
      <c r="AH760">
        <v>0</v>
      </c>
      <c r="AI760">
        <v>12</v>
      </c>
      <c r="AJ760">
        <v>12</v>
      </c>
      <c r="AM760">
        <v>0</v>
      </c>
      <c r="AP760">
        <v>32</v>
      </c>
    </row>
    <row r="761" spans="1:42" x14ac:dyDescent="0.25">
      <c r="A761" t="s">
        <v>45</v>
      </c>
      <c r="B761">
        <v>4</v>
      </c>
      <c r="C761" t="s">
        <v>389</v>
      </c>
      <c r="D761" s="39">
        <v>45876</v>
      </c>
      <c r="E761" t="s">
        <v>243</v>
      </c>
      <c r="F761" t="s">
        <v>79</v>
      </c>
      <c r="G761">
        <v>19</v>
      </c>
      <c r="H761" t="s">
        <v>102</v>
      </c>
      <c r="I761" t="s">
        <v>103</v>
      </c>
      <c r="J761">
        <v>180</v>
      </c>
      <c r="K761" t="s">
        <v>79</v>
      </c>
      <c r="L761">
        <v>1</v>
      </c>
      <c r="M761">
        <v>51.17</v>
      </c>
      <c r="N761">
        <v>1.9</v>
      </c>
      <c r="Q761">
        <v>49.27</v>
      </c>
      <c r="S761">
        <v>20</v>
      </c>
      <c r="V761">
        <v>20</v>
      </c>
      <c r="W761">
        <v>0.33333333333333331</v>
      </c>
      <c r="AF761">
        <v>0</v>
      </c>
      <c r="AG761">
        <v>0</v>
      </c>
      <c r="AH761">
        <v>0.33333333333333331</v>
      </c>
      <c r="AI761">
        <v>11.666666666666666</v>
      </c>
      <c r="AJ761">
        <v>12</v>
      </c>
      <c r="AM761">
        <v>0</v>
      </c>
      <c r="AP761">
        <v>32</v>
      </c>
    </row>
    <row r="762" spans="1:42" x14ac:dyDescent="0.25">
      <c r="A762" t="s">
        <v>46</v>
      </c>
      <c r="B762">
        <v>4</v>
      </c>
      <c r="C762" t="s">
        <v>389</v>
      </c>
      <c r="D762" s="39">
        <v>45876</v>
      </c>
      <c r="E762" t="s">
        <v>243</v>
      </c>
      <c r="F762" t="s">
        <v>79</v>
      </c>
      <c r="G762">
        <v>19</v>
      </c>
      <c r="H762" t="s">
        <v>102</v>
      </c>
      <c r="I762" t="s">
        <v>103</v>
      </c>
      <c r="J762">
        <v>180</v>
      </c>
      <c r="K762" t="s">
        <v>79</v>
      </c>
      <c r="L762">
        <v>5</v>
      </c>
      <c r="M762">
        <v>287.63</v>
      </c>
      <c r="N762">
        <v>12.01</v>
      </c>
      <c r="Q762">
        <v>275.62</v>
      </c>
      <c r="S762">
        <v>20</v>
      </c>
      <c r="V762">
        <v>20</v>
      </c>
      <c r="W762">
        <v>0.33333333333333331</v>
      </c>
      <c r="AF762">
        <v>0</v>
      </c>
      <c r="AG762">
        <v>0</v>
      </c>
      <c r="AH762">
        <v>0.33333333333333331</v>
      </c>
      <c r="AI762">
        <v>11.666666666666666</v>
      </c>
      <c r="AJ762">
        <v>12</v>
      </c>
      <c r="AM762">
        <v>0</v>
      </c>
      <c r="AP762">
        <v>32</v>
      </c>
    </row>
    <row r="763" spans="1:42" x14ac:dyDescent="0.25">
      <c r="A763" t="s">
        <v>46</v>
      </c>
      <c r="B763">
        <v>4</v>
      </c>
      <c r="C763" t="s">
        <v>390</v>
      </c>
      <c r="D763" s="39">
        <v>45876</v>
      </c>
      <c r="E763" t="s">
        <v>238</v>
      </c>
      <c r="F763" t="s">
        <v>79</v>
      </c>
      <c r="G763">
        <v>22</v>
      </c>
      <c r="H763">
        <v>8</v>
      </c>
      <c r="I763">
        <v>0</v>
      </c>
      <c r="J763">
        <v>250</v>
      </c>
      <c r="K763" t="s">
        <v>79</v>
      </c>
      <c r="L763">
        <v>4</v>
      </c>
      <c r="M763">
        <v>275.72000000000003</v>
      </c>
      <c r="N763">
        <v>11.6</v>
      </c>
      <c r="Q763">
        <v>264.12</v>
      </c>
      <c r="V763">
        <v>0</v>
      </c>
      <c r="W763">
        <v>0</v>
      </c>
      <c r="AF763">
        <v>0</v>
      </c>
      <c r="AG763">
        <v>0</v>
      </c>
      <c r="AH763">
        <v>0</v>
      </c>
      <c r="AI763">
        <v>12</v>
      </c>
      <c r="AJ763">
        <v>12</v>
      </c>
      <c r="AM763">
        <v>0</v>
      </c>
      <c r="AP763">
        <v>32</v>
      </c>
    </row>
    <row r="764" spans="1:42" x14ac:dyDescent="0.25">
      <c r="A764" t="s">
        <v>46</v>
      </c>
      <c r="B764">
        <v>4</v>
      </c>
      <c r="C764" t="s">
        <v>391</v>
      </c>
      <c r="D764" s="39">
        <v>45876</v>
      </c>
      <c r="E764" t="s">
        <v>200</v>
      </c>
      <c r="F764" t="s">
        <v>79</v>
      </c>
      <c r="G764">
        <v>22</v>
      </c>
      <c r="H764">
        <v>10</v>
      </c>
      <c r="I764">
        <v>0</v>
      </c>
      <c r="J764">
        <v>250</v>
      </c>
      <c r="K764" t="s">
        <v>79</v>
      </c>
      <c r="L764">
        <v>3</v>
      </c>
      <c r="M764">
        <v>201</v>
      </c>
      <c r="N764">
        <v>8.6</v>
      </c>
      <c r="Q764">
        <v>192.4</v>
      </c>
      <c r="V764">
        <v>0</v>
      </c>
      <c r="W764">
        <v>0</v>
      </c>
      <c r="AF764">
        <v>0</v>
      </c>
      <c r="AG764">
        <v>0</v>
      </c>
      <c r="AH764">
        <v>0</v>
      </c>
      <c r="AI764">
        <v>12</v>
      </c>
      <c r="AJ764">
        <v>12</v>
      </c>
      <c r="AM764">
        <v>0</v>
      </c>
      <c r="AP764">
        <v>32</v>
      </c>
    </row>
    <row r="765" spans="1:42" x14ac:dyDescent="0.25">
      <c r="A765" t="s">
        <v>45</v>
      </c>
      <c r="B765">
        <v>5</v>
      </c>
      <c r="C765" t="s">
        <v>383</v>
      </c>
      <c r="D765" s="39">
        <v>45876</v>
      </c>
      <c r="E765" t="s">
        <v>229</v>
      </c>
      <c r="F765" t="s">
        <v>79</v>
      </c>
      <c r="G765">
        <v>6</v>
      </c>
      <c r="H765">
        <v>14</v>
      </c>
      <c r="I765">
        <v>0</v>
      </c>
      <c r="J765">
        <v>900</v>
      </c>
      <c r="K765" t="s">
        <v>79</v>
      </c>
      <c r="L765">
        <v>11</v>
      </c>
      <c r="M765">
        <v>555.55999999999995</v>
      </c>
      <c r="Q765">
        <v>555.55999999999995</v>
      </c>
      <c r="S765">
        <v>20</v>
      </c>
      <c r="V765">
        <v>20</v>
      </c>
      <c r="W765">
        <v>0.33333333333333331</v>
      </c>
      <c r="AF765">
        <v>0</v>
      </c>
      <c r="AG765">
        <v>0</v>
      </c>
      <c r="AH765">
        <v>0.33333333333333331</v>
      </c>
      <c r="AI765">
        <v>11.666666666666666</v>
      </c>
      <c r="AJ765">
        <v>12</v>
      </c>
      <c r="AM765">
        <v>0</v>
      </c>
      <c r="AP765">
        <v>32</v>
      </c>
    </row>
    <row r="766" spans="1:42" x14ac:dyDescent="0.25">
      <c r="A766" t="s">
        <v>46</v>
      </c>
      <c r="B766">
        <v>5</v>
      </c>
      <c r="C766" t="s">
        <v>383</v>
      </c>
      <c r="D766" s="39">
        <v>45876</v>
      </c>
      <c r="E766" t="s">
        <v>229</v>
      </c>
      <c r="F766" t="s">
        <v>79</v>
      </c>
      <c r="G766">
        <v>6</v>
      </c>
      <c r="H766">
        <v>14</v>
      </c>
      <c r="I766">
        <v>0</v>
      </c>
      <c r="J766">
        <v>900</v>
      </c>
      <c r="K766" t="s">
        <v>79</v>
      </c>
      <c r="L766">
        <v>4</v>
      </c>
      <c r="M766">
        <v>216.64999999999998</v>
      </c>
      <c r="Q766">
        <v>216.64999999999998</v>
      </c>
      <c r="V766">
        <v>0</v>
      </c>
      <c r="W766">
        <v>0</v>
      </c>
      <c r="AF766">
        <v>0</v>
      </c>
      <c r="AG766">
        <v>0</v>
      </c>
      <c r="AH766">
        <v>0</v>
      </c>
      <c r="AI766">
        <v>12</v>
      </c>
      <c r="AJ766">
        <v>12</v>
      </c>
      <c r="AM766">
        <v>0</v>
      </c>
      <c r="AP766">
        <v>32</v>
      </c>
    </row>
    <row r="767" spans="1:42" x14ac:dyDescent="0.25">
      <c r="A767" t="s">
        <v>46</v>
      </c>
      <c r="B767">
        <v>5</v>
      </c>
      <c r="C767" t="s">
        <v>392</v>
      </c>
      <c r="D767" s="39">
        <v>45876</v>
      </c>
      <c r="F767" t="s">
        <v>81</v>
      </c>
      <c r="G767" t="s">
        <v>81</v>
      </c>
      <c r="H767" t="s">
        <v>81</v>
      </c>
      <c r="I767" t="s">
        <v>81</v>
      </c>
      <c r="J767" t="s">
        <v>81</v>
      </c>
      <c r="K767" t="s">
        <v>79</v>
      </c>
      <c r="L767">
        <v>3</v>
      </c>
      <c r="M767">
        <v>130.34</v>
      </c>
      <c r="Q767">
        <v>130.34</v>
      </c>
      <c r="V767">
        <v>0</v>
      </c>
      <c r="W767">
        <v>0</v>
      </c>
      <c r="AF767">
        <v>0</v>
      </c>
      <c r="AG767">
        <v>0</v>
      </c>
      <c r="AH767">
        <v>0</v>
      </c>
      <c r="AI767">
        <v>12</v>
      </c>
      <c r="AJ767">
        <v>12</v>
      </c>
      <c r="AM767">
        <v>0</v>
      </c>
      <c r="AP767">
        <v>32</v>
      </c>
    </row>
    <row r="768" spans="1:42" x14ac:dyDescent="0.25">
      <c r="A768" t="s">
        <v>46</v>
      </c>
      <c r="B768">
        <v>5</v>
      </c>
      <c r="C768" t="s">
        <v>393</v>
      </c>
      <c r="D768" s="39">
        <v>45876</v>
      </c>
      <c r="E768" t="s">
        <v>394</v>
      </c>
      <c r="F768" t="s">
        <v>79</v>
      </c>
      <c r="G768">
        <v>14</v>
      </c>
      <c r="H768" t="s">
        <v>122</v>
      </c>
      <c r="I768" t="s">
        <v>114</v>
      </c>
      <c r="J768">
        <v>300</v>
      </c>
      <c r="K768" t="s">
        <v>79</v>
      </c>
      <c r="L768">
        <v>2</v>
      </c>
      <c r="M768">
        <v>110.74000000000001</v>
      </c>
      <c r="Q768">
        <v>110.74000000000001</v>
      </c>
      <c r="V768">
        <v>0</v>
      </c>
      <c r="W768">
        <v>0</v>
      </c>
      <c r="AF768">
        <v>0</v>
      </c>
      <c r="AG768">
        <v>0</v>
      </c>
      <c r="AH768">
        <v>0</v>
      </c>
      <c r="AI768">
        <v>12</v>
      </c>
      <c r="AJ768">
        <v>12</v>
      </c>
      <c r="AM768">
        <v>0</v>
      </c>
      <c r="AP768">
        <v>32</v>
      </c>
    </row>
    <row r="769" spans="1:42" x14ac:dyDescent="0.25">
      <c r="A769" t="s">
        <v>46</v>
      </c>
      <c r="B769">
        <v>5</v>
      </c>
      <c r="C769" t="s">
        <v>85</v>
      </c>
      <c r="D769" s="39">
        <v>45876</v>
      </c>
      <c r="E769" t="s">
        <v>194</v>
      </c>
      <c r="F769" t="s">
        <v>79</v>
      </c>
      <c r="G769">
        <v>12</v>
      </c>
      <c r="H769">
        <v>5</v>
      </c>
      <c r="I769">
        <v>0</v>
      </c>
      <c r="J769" t="s">
        <v>81</v>
      </c>
      <c r="K769" t="s">
        <v>79</v>
      </c>
      <c r="L769">
        <v>5</v>
      </c>
      <c r="M769">
        <v>157.68</v>
      </c>
      <c r="Q769">
        <v>157.68</v>
      </c>
      <c r="V769">
        <v>0</v>
      </c>
      <c r="W769">
        <v>0</v>
      </c>
      <c r="AF769">
        <v>0</v>
      </c>
      <c r="AG769">
        <v>0</v>
      </c>
      <c r="AH769">
        <v>0</v>
      </c>
      <c r="AI769">
        <v>12</v>
      </c>
      <c r="AJ769">
        <v>12</v>
      </c>
      <c r="AM769">
        <v>0</v>
      </c>
      <c r="AP769">
        <v>32</v>
      </c>
    </row>
    <row r="770" spans="1:42" x14ac:dyDescent="0.25">
      <c r="A770" t="s">
        <v>45</v>
      </c>
      <c r="B770">
        <v>1</v>
      </c>
      <c r="C770" t="s">
        <v>77</v>
      </c>
      <c r="D770" s="39">
        <v>45877</v>
      </c>
      <c r="E770" t="s">
        <v>194</v>
      </c>
      <c r="F770" t="s">
        <v>79</v>
      </c>
      <c r="G770">
        <v>3</v>
      </c>
      <c r="H770" t="s">
        <v>92</v>
      </c>
      <c r="I770">
        <v>0</v>
      </c>
      <c r="J770" t="s">
        <v>81</v>
      </c>
      <c r="K770" t="s">
        <v>79</v>
      </c>
      <c r="L770">
        <v>12</v>
      </c>
      <c r="M770">
        <v>130.81</v>
      </c>
      <c r="N770">
        <v>3.5999999999999996</v>
      </c>
      <c r="O770">
        <v>23</v>
      </c>
      <c r="Q770">
        <v>127.21000000000001</v>
      </c>
      <c r="V770">
        <v>0</v>
      </c>
      <c r="W770">
        <v>0</v>
      </c>
      <c r="AF770">
        <v>0</v>
      </c>
      <c r="AG770">
        <v>0</v>
      </c>
      <c r="AH770">
        <v>0</v>
      </c>
      <c r="AI770">
        <v>12</v>
      </c>
      <c r="AJ770">
        <v>12</v>
      </c>
      <c r="AL770">
        <v>2026</v>
      </c>
      <c r="AM770">
        <v>0</v>
      </c>
      <c r="AN770">
        <v>1750</v>
      </c>
      <c r="AP770">
        <v>32</v>
      </c>
    </row>
    <row r="771" spans="1:42" x14ac:dyDescent="0.25">
      <c r="A771" t="s">
        <v>46</v>
      </c>
      <c r="B771">
        <v>1</v>
      </c>
      <c r="C771" t="s">
        <v>77</v>
      </c>
      <c r="D771" s="39">
        <v>45877</v>
      </c>
      <c r="E771" t="s">
        <v>194</v>
      </c>
      <c r="F771" t="s">
        <v>79</v>
      </c>
      <c r="G771">
        <v>3</v>
      </c>
      <c r="H771" t="s">
        <v>92</v>
      </c>
      <c r="I771">
        <v>0</v>
      </c>
      <c r="J771" t="s">
        <v>81</v>
      </c>
      <c r="K771" t="s">
        <v>79</v>
      </c>
      <c r="L771">
        <v>10</v>
      </c>
      <c r="M771">
        <v>125.95</v>
      </c>
      <c r="N771">
        <v>3</v>
      </c>
      <c r="O771">
        <v>22</v>
      </c>
      <c r="Q771">
        <v>122.95</v>
      </c>
      <c r="V771">
        <v>0</v>
      </c>
      <c r="W771">
        <v>0</v>
      </c>
      <c r="AF771">
        <v>0</v>
      </c>
      <c r="AG771">
        <v>0</v>
      </c>
      <c r="AH771">
        <v>0</v>
      </c>
      <c r="AI771">
        <v>12</v>
      </c>
      <c r="AJ771">
        <v>12</v>
      </c>
      <c r="AM771">
        <v>0</v>
      </c>
      <c r="AN771">
        <v>1650</v>
      </c>
      <c r="AP771">
        <v>32</v>
      </c>
    </row>
    <row r="772" spans="1:42" x14ac:dyDescent="0.25">
      <c r="A772" t="s">
        <v>45</v>
      </c>
      <c r="B772">
        <v>2</v>
      </c>
      <c r="C772" t="s">
        <v>100</v>
      </c>
      <c r="D772" s="39">
        <v>45877</v>
      </c>
      <c r="E772" t="s">
        <v>194</v>
      </c>
      <c r="F772" t="s">
        <v>79</v>
      </c>
      <c r="G772">
        <v>2.5</v>
      </c>
      <c r="H772" t="s">
        <v>92</v>
      </c>
      <c r="I772">
        <v>0</v>
      </c>
      <c r="J772" t="s">
        <v>81</v>
      </c>
      <c r="K772" t="s">
        <v>79</v>
      </c>
      <c r="L772">
        <v>12</v>
      </c>
      <c r="M772">
        <v>104.25000000000001</v>
      </c>
      <c r="N772">
        <v>2.4000000000000004</v>
      </c>
      <c r="Q772">
        <v>101.85000000000001</v>
      </c>
      <c r="V772">
        <v>0</v>
      </c>
      <c r="W772">
        <v>0</v>
      </c>
      <c r="AF772">
        <v>0</v>
      </c>
      <c r="AG772">
        <v>0</v>
      </c>
      <c r="AH772">
        <v>0</v>
      </c>
      <c r="AI772">
        <v>12</v>
      </c>
      <c r="AJ772">
        <v>12</v>
      </c>
      <c r="AM772">
        <v>0</v>
      </c>
      <c r="AP772">
        <v>32</v>
      </c>
    </row>
    <row r="773" spans="1:42" x14ac:dyDescent="0.25">
      <c r="A773" t="s">
        <v>46</v>
      </c>
      <c r="B773">
        <v>2</v>
      </c>
      <c r="C773" t="s">
        <v>100</v>
      </c>
      <c r="D773" s="39">
        <v>45877</v>
      </c>
      <c r="E773" t="s">
        <v>194</v>
      </c>
      <c r="F773" t="s">
        <v>79</v>
      </c>
      <c r="G773">
        <v>2.5</v>
      </c>
      <c r="H773" t="s">
        <v>92</v>
      </c>
      <c r="I773">
        <v>0</v>
      </c>
      <c r="J773" t="s">
        <v>81</v>
      </c>
      <c r="K773" t="s">
        <v>79</v>
      </c>
      <c r="L773">
        <v>11</v>
      </c>
      <c r="M773">
        <v>97.93</v>
      </c>
      <c r="N773">
        <v>2.2000000000000002</v>
      </c>
      <c r="Q773">
        <v>95.73</v>
      </c>
      <c r="V773">
        <v>0</v>
      </c>
      <c r="W773">
        <v>0</v>
      </c>
      <c r="AF773">
        <v>0</v>
      </c>
      <c r="AG773">
        <v>0</v>
      </c>
      <c r="AH773">
        <v>0</v>
      </c>
      <c r="AI773">
        <v>12</v>
      </c>
      <c r="AJ773">
        <v>12</v>
      </c>
      <c r="AM773">
        <v>0</v>
      </c>
      <c r="AP773">
        <v>32</v>
      </c>
    </row>
    <row r="774" spans="1:42" x14ac:dyDescent="0.25">
      <c r="A774" t="s">
        <v>45</v>
      </c>
      <c r="B774">
        <v>3</v>
      </c>
      <c r="C774" t="s">
        <v>83</v>
      </c>
      <c r="D774" s="39">
        <v>45877</v>
      </c>
      <c r="E774" t="s">
        <v>194</v>
      </c>
      <c r="F774" t="s">
        <v>79</v>
      </c>
      <c r="G774">
        <v>7</v>
      </c>
      <c r="H774">
        <v>5</v>
      </c>
      <c r="I774">
        <v>0</v>
      </c>
      <c r="J774" t="s">
        <v>81</v>
      </c>
      <c r="K774" t="s">
        <v>79</v>
      </c>
      <c r="L774">
        <v>7</v>
      </c>
      <c r="M774">
        <v>254.41</v>
      </c>
      <c r="N774">
        <v>7</v>
      </c>
      <c r="Q774">
        <v>247.41</v>
      </c>
      <c r="V774">
        <v>0</v>
      </c>
      <c r="W774">
        <v>0</v>
      </c>
      <c r="AF774">
        <v>0</v>
      </c>
      <c r="AG774">
        <v>0</v>
      </c>
      <c r="AH774">
        <v>0</v>
      </c>
      <c r="AI774">
        <v>12</v>
      </c>
      <c r="AJ774">
        <v>12</v>
      </c>
      <c r="AM774">
        <v>0</v>
      </c>
      <c r="AP774">
        <v>32</v>
      </c>
    </row>
    <row r="775" spans="1:42" x14ac:dyDescent="0.25">
      <c r="A775" t="s">
        <v>46</v>
      </c>
      <c r="B775">
        <v>3</v>
      </c>
      <c r="C775" t="s">
        <v>83</v>
      </c>
      <c r="D775" s="39">
        <v>45877</v>
      </c>
      <c r="E775" t="s">
        <v>194</v>
      </c>
      <c r="F775" t="s">
        <v>79</v>
      </c>
      <c r="G775">
        <v>7</v>
      </c>
      <c r="H775">
        <v>5</v>
      </c>
      <c r="I775">
        <v>0</v>
      </c>
      <c r="J775" t="s">
        <v>81</v>
      </c>
      <c r="K775" t="s">
        <v>79</v>
      </c>
      <c r="L775">
        <v>6</v>
      </c>
      <c r="M775">
        <v>232.45999999999998</v>
      </c>
      <c r="N775">
        <v>5.4</v>
      </c>
      <c r="Q775">
        <v>227.05999999999997</v>
      </c>
      <c r="V775">
        <v>0</v>
      </c>
      <c r="W775">
        <v>0</v>
      </c>
      <c r="AF775">
        <v>0</v>
      </c>
      <c r="AG775">
        <v>0</v>
      </c>
      <c r="AH775">
        <v>0</v>
      </c>
      <c r="AI775">
        <v>12</v>
      </c>
      <c r="AJ775">
        <v>12</v>
      </c>
      <c r="AM775">
        <v>0</v>
      </c>
      <c r="AP775">
        <v>32</v>
      </c>
    </row>
    <row r="776" spans="1:42" x14ac:dyDescent="0.25">
      <c r="A776" t="s">
        <v>45</v>
      </c>
      <c r="B776">
        <v>4</v>
      </c>
      <c r="C776" t="s">
        <v>391</v>
      </c>
      <c r="D776" s="39">
        <v>45877</v>
      </c>
      <c r="E776" t="s">
        <v>200</v>
      </c>
      <c r="F776" t="s">
        <v>79</v>
      </c>
      <c r="G776">
        <v>22</v>
      </c>
      <c r="H776">
        <v>10</v>
      </c>
      <c r="I776">
        <v>0</v>
      </c>
      <c r="J776">
        <v>250</v>
      </c>
      <c r="K776" t="s">
        <v>79</v>
      </c>
      <c r="L776">
        <v>1</v>
      </c>
      <c r="M776">
        <v>61.71</v>
      </c>
      <c r="N776">
        <v>2.4</v>
      </c>
      <c r="Q776">
        <v>59.31</v>
      </c>
      <c r="S776">
        <v>20</v>
      </c>
      <c r="V776">
        <v>20</v>
      </c>
      <c r="W776">
        <v>0.33333333333333331</v>
      </c>
      <c r="AA776">
        <v>5</v>
      </c>
      <c r="AF776">
        <v>5</v>
      </c>
      <c r="AG776">
        <v>8.3333333333333329E-2</v>
      </c>
      <c r="AH776">
        <v>0.41666666666666663</v>
      </c>
      <c r="AI776">
        <v>11.583333333333334</v>
      </c>
      <c r="AJ776">
        <v>12</v>
      </c>
      <c r="AM776">
        <v>0</v>
      </c>
      <c r="AP776">
        <v>32</v>
      </c>
    </row>
    <row r="777" spans="1:42" x14ac:dyDescent="0.25">
      <c r="A777" t="s">
        <v>45</v>
      </c>
      <c r="B777">
        <v>4</v>
      </c>
      <c r="C777" t="s">
        <v>395</v>
      </c>
      <c r="D777" s="39">
        <v>45877</v>
      </c>
      <c r="E777" t="s">
        <v>396</v>
      </c>
      <c r="F777" t="s">
        <v>79</v>
      </c>
      <c r="G777">
        <v>16</v>
      </c>
      <c r="H777" t="s">
        <v>92</v>
      </c>
      <c r="I777">
        <v>0</v>
      </c>
      <c r="J777">
        <v>2000</v>
      </c>
      <c r="K777" t="s">
        <v>79</v>
      </c>
      <c r="L777">
        <v>14</v>
      </c>
      <c r="M777">
        <v>600.03</v>
      </c>
      <c r="N777">
        <v>26.599999999999998</v>
      </c>
      <c r="Q777">
        <v>573.42999999999995</v>
      </c>
      <c r="V777">
        <v>0</v>
      </c>
      <c r="W777">
        <v>0</v>
      </c>
      <c r="AF777">
        <v>0</v>
      </c>
      <c r="AG777">
        <v>0</v>
      </c>
      <c r="AH777">
        <v>0</v>
      </c>
      <c r="AI777">
        <v>12</v>
      </c>
      <c r="AJ777">
        <v>12</v>
      </c>
      <c r="AM777">
        <v>0</v>
      </c>
      <c r="AP777">
        <v>32</v>
      </c>
    </row>
    <row r="778" spans="1:42" x14ac:dyDescent="0.25">
      <c r="A778" t="s">
        <v>46</v>
      </c>
      <c r="B778">
        <v>4</v>
      </c>
      <c r="C778" t="s">
        <v>395</v>
      </c>
      <c r="D778" s="39">
        <v>45877</v>
      </c>
      <c r="E778" t="s">
        <v>396</v>
      </c>
      <c r="F778" t="s">
        <v>79</v>
      </c>
      <c r="G778">
        <v>16</v>
      </c>
      <c r="H778" t="s">
        <v>92</v>
      </c>
      <c r="I778">
        <v>0</v>
      </c>
      <c r="J778">
        <v>2000</v>
      </c>
      <c r="K778" t="s">
        <v>79</v>
      </c>
      <c r="L778">
        <v>14</v>
      </c>
      <c r="M778">
        <v>674.06</v>
      </c>
      <c r="N778">
        <v>26.5</v>
      </c>
      <c r="Q778">
        <v>647.55999999999995</v>
      </c>
      <c r="V778">
        <v>0</v>
      </c>
      <c r="W778">
        <v>0</v>
      </c>
      <c r="AF778">
        <v>0</v>
      </c>
      <c r="AG778">
        <v>0</v>
      </c>
      <c r="AH778">
        <v>0</v>
      </c>
      <c r="AI778">
        <v>12</v>
      </c>
      <c r="AJ778">
        <v>12</v>
      </c>
      <c r="AM778">
        <v>0</v>
      </c>
      <c r="AP778">
        <v>32</v>
      </c>
    </row>
    <row r="779" spans="1:42" x14ac:dyDescent="0.25">
      <c r="A779" t="s">
        <v>45</v>
      </c>
      <c r="B779">
        <v>5</v>
      </c>
      <c r="C779" t="s">
        <v>397</v>
      </c>
      <c r="D779" s="39">
        <v>45877</v>
      </c>
      <c r="E779" t="s">
        <v>200</v>
      </c>
      <c r="F779" t="s">
        <v>79</v>
      </c>
      <c r="G779">
        <v>12</v>
      </c>
      <c r="H779">
        <v>10</v>
      </c>
      <c r="I779">
        <v>0</v>
      </c>
      <c r="J779">
        <v>150</v>
      </c>
      <c r="K779" t="s">
        <v>79</v>
      </c>
      <c r="L779">
        <v>1</v>
      </c>
      <c r="M779">
        <v>55.6</v>
      </c>
      <c r="N779">
        <v>1.4</v>
      </c>
      <c r="Q779">
        <v>54.2</v>
      </c>
      <c r="V779">
        <v>0</v>
      </c>
      <c r="W779">
        <v>0</v>
      </c>
      <c r="AF779">
        <v>0</v>
      </c>
      <c r="AG779">
        <v>0</v>
      </c>
      <c r="AH779">
        <v>0</v>
      </c>
      <c r="AI779">
        <v>12</v>
      </c>
      <c r="AJ779">
        <v>12</v>
      </c>
      <c r="AM779">
        <v>0</v>
      </c>
      <c r="AP779">
        <v>32</v>
      </c>
    </row>
    <row r="780" spans="1:42" x14ac:dyDescent="0.25">
      <c r="A780" t="s">
        <v>45</v>
      </c>
      <c r="B780">
        <v>5</v>
      </c>
      <c r="C780" t="s">
        <v>393</v>
      </c>
      <c r="D780" s="39">
        <v>45877</v>
      </c>
      <c r="E780" t="s">
        <v>394</v>
      </c>
      <c r="F780" t="s">
        <v>79</v>
      </c>
      <c r="G780">
        <v>14</v>
      </c>
      <c r="H780" t="s">
        <v>122</v>
      </c>
      <c r="I780" t="s">
        <v>114</v>
      </c>
      <c r="J780">
        <v>300</v>
      </c>
      <c r="K780" t="s">
        <v>79</v>
      </c>
      <c r="L780">
        <v>4</v>
      </c>
      <c r="M780">
        <v>195.56</v>
      </c>
      <c r="N780">
        <v>6.8</v>
      </c>
      <c r="Q780">
        <v>188.76</v>
      </c>
      <c r="V780">
        <v>0</v>
      </c>
      <c r="W780">
        <v>0</v>
      </c>
      <c r="AF780">
        <v>0</v>
      </c>
      <c r="AG780">
        <v>0</v>
      </c>
      <c r="AH780">
        <v>0</v>
      </c>
      <c r="AI780">
        <v>12</v>
      </c>
      <c r="AJ780">
        <v>12</v>
      </c>
      <c r="AM780">
        <v>0</v>
      </c>
      <c r="AP780">
        <v>32</v>
      </c>
    </row>
    <row r="781" spans="1:42" x14ac:dyDescent="0.25">
      <c r="A781" t="s">
        <v>45</v>
      </c>
      <c r="B781">
        <v>5</v>
      </c>
      <c r="C781" t="s">
        <v>398</v>
      </c>
      <c r="D781" s="39">
        <v>45877</v>
      </c>
      <c r="E781" t="s">
        <v>200</v>
      </c>
      <c r="F781" t="s">
        <v>79</v>
      </c>
      <c r="G781">
        <v>14</v>
      </c>
      <c r="H781">
        <v>10</v>
      </c>
      <c r="I781">
        <v>0</v>
      </c>
      <c r="J781">
        <v>250</v>
      </c>
      <c r="K781" t="s">
        <v>79</v>
      </c>
      <c r="L781">
        <v>8</v>
      </c>
      <c r="M781">
        <v>259.56</v>
      </c>
      <c r="N781">
        <v>13.6</v>
      </c>
      <c r="Q781">
        <v>245.96</v>
      </c>
      <c r="V781">
        <v>0</v>
      </c>
      <c r="W781">
        <v>0</v>
      </c>
      <c r="AF781">
        <v>0</v>
      </c>
      <c r="AG781">
        <v>0</v>
      </c>
      <c r="AH781">
        <v>0</v>
      </c>
      <c r="AI781">
        <v>12</v>
      </c>
      <c r="AJ781">
        <v>12</v>
      </c>
      <c r="AM781">
        <v>0</v>
      </c>
      <c r="AP781">
        <v>32</v>
      </c>
    </row>
    <row r="782" spans="1:42" x14ac:dyDescent="0.25">
      <c r="A782" t="s">
        <v>45</v>
      </c>
      <c r="B782">
        <v>5</v>
      </c>
      <c r="C782" t="s">
        <v>95</v>
      </c>
      <c r="D782" s="39">
        <v>45877</v>
      </c>
      <c r="E782" t="s">
        <v>194</v>
      </c>
      <c r="F782" t="s">
        <v>79</v>
      </c>
      <c r="G782">
        <v>14</v>
      </c>
      <c r="H782">
        <v>5</v>
      </c>
      <c r="I782">
        <v>0</v>
      </c>
      <c r="J782" t="s">
        <v>81</v>
      </c>
      <c r="K782" t="s">
        <v>79</v>
      </c>
      <c r="L782">
        <v>2</v>
      </c>
      <c r="M782">
        <v>88.97</v>
      </c>
      <c r="N782">
        <v>3.4</v>
      </c>
      <c r="Q782">
        <v>85.57</v>
      </c>
      <c r="S782">
        <v>20</v>
      </c>
      <c r="V782">
        <v>20</v>
      </c>
      <c r="W782">
        <v>0.33333333333333331</v>
      </c>
      <c r="AF782">
        <v>0</v>
      </c>
      <c r="AG782">
        <v>0</v>
      </c>
      <c r="AH782">
        <v>0.33333333333333331</v>
      </c>
      <c r="AI782">
        <v>11.666666666666666</v>
      </c>
      <c r="AJ782">
        <v>12</v>
      </c>
      <c r="AM782">
        <v>0</v>
      </c>
      <c r="AP782">
        <v>32</v>
      </c>
    </row>
    <row r="783" spans="1:42" x14ac:dyDescent="0.25">
      <c r="A783" t="s">
        <v>46</v>
      </c>
      <c r="B783">
        <v>5</v>
      </c>
      <c r="C783" t="s">
        <v>95</v>
      </c>
      <c r="D783" s="39">
        <v>45877</v>
      </c>
      <c r="E783" t="s">
        <v>194</v>
      </c>
      <c r="F783" t="s">
        <v>79</v>
      </c>
      <c r="G783">
        <v>14</v>
      </c>
      <c r="H783">
        <v>5</v>
      </c>
      <c r="I783">
        <v>0</v>
      </c>
      <c r="J783" t="s">
        <v>81</v>
      </c>
      <c r="K783" t="s">
        <v>79</v>
      </c>
      <c r="L783">
        <v>8</v>
      </c>
      <c r="M783">
        <v>464.93</v>
      </c>
      <c r="N783">
        <v>13.76</v>
      </c>
      <c r="Q783">
        <v>451.17</v>
      </c>
      <c r="V783">
        <v>0</v>
      </c>
      <c r="W783">
        <v>0</v>
      </c>
      <c r="AF783">
        <v>0</v>
      </c>
      <c r="AG783">
        <v>0</v>
      </c>
      <c r="AH783">
        <v>0</v>
      </c>
      <c r="AI783">
        <v>12</v>
      </c>
      <c r="AJ783">
        <v>12</v>
      </c>
      <c r="AM783">
        <v>0</v>
      </c>
      <c r="AP783">
        <v>32</v>
      </c>
    </row>
    <row r="784" spans="1:42" x14ac:dyDescent="0.25">
      <c r="A784" t="s">
        <v>46</v>
      </c>
      <c r="B784">
        <v>5</v>
      </c>
      <c r="C784" t="s">
        <v>88</v>
      </c>
      <c r="D784" s="39">
        <v>45877</v>
      </c>
      <c r="E784" t="s">
        <v>194</v>
      </c>
      <c r="F784" t="s">
        <v>79</v>
      </c>
      <c r="G784">
        <v>10</v>
      </c>
      <c r="H784">
        <v>5</v>
      </c>
      <c r="I784">
        <v>0</v>
      </c>
      <c r="J784" t="s">
        <v>81</v>
      </c>
      <c r="K784" t="s">
        <v>79</v>
      </c>
      <c r="L784">
        <v>1</v>
      </c>
      <c r="M784">
        <v>48.71</v>
      </c>
      <c r="N784">
        <v>1</v>
      </c>
      <c r="Q784">
        <v>47.71</v>
      </c>
      <c r="S784">
        <v>20</v>
      </c>
      <c r="V784">
        <v>20</v>
      </c>
      <c r="W784">
        <v>0.33333333333333331</v>
      </c>
      <c r="AF784">
        <v>0</v>
      </c>
      <c r="AG784">
        <v>0</v>
      </c>
      <c r="AH784">
        <v>0.33333333333333331</v>
      </c>
      <c r="AI784">
        <v>11.666666666666666</v>
      </c>
      <c r="AJ784">
        <v>12</v>
      </c>
      <c r="AM784">
        <v>0</v>
      </c>
      <c r="AP784">
        <v>32</v>
      </c>
    </row>
    <row r="785" spans="1:42" x14ac:dyDescent="0.25">
      <c r="A785" t="s">
        <v>45</v>
      </c>
      <c r="B785">
        <v>1</v>
      </c>
      <c r="C785" t="s">
        <v>77</v>
      </c>
      <c r="D785" s="39">
        <v>45878</v>
      </c>
      <c r="E785" t="s">
        <v>194</v>
      </c>
      <c r="F785" t="s">
        <v>79</v>
      </c>
      <c r="G785">
        <v>3</v>
      </c>
      <c r="H785" t="s">
        <v>92</v>
      </c>
      <c r="I785">
        <v>0</v>
      </c>
      <c r="J785" t="s">
        <v>81</v>
      </c>
      <c r="K785" t="s">
        <v>79</v>
      </c>
      <c r="L785">
        <v>13</v>
      </c>
      <c r="M785">
        <v>137.63</v>
      </c>
      <c r="N785">
        <v>3.9</v>
      </c>
      <c r="O785">
        <v>12.5</v>
      </c>
      <c r="Q785">
        <v>133.72999999999999</v>
      </c>
      <c r="V785">
        <v>0</v>
      </c>
      <c r="W785">
        <v>0</v>
      </c>
      <c r="AF785">
        <v>0</v>
      </c>
      <c r="AG785">
        <v>0</v>
      </c>
      <c r="AH785">
        <v>0</v>
      </c>
      <c r="AI785">
        <v>12</v>
      </c>
      <c r="AJ785">
        <v>12</v>
      </c>
      <c r="AM785">
        <v>0</v>
      </c>
      <c r="AP785">
        <v>32</v>
      </c>
    </row>
    <row r="786" spans="1:42" x14ac:dyDescent="0.25">
      <c r="A786" t="s">
        <v>46</v>
      </c>
      <c r="B786">
        <v>1</v>
      </c>
      <c r="C786" t="s">
        <v>77</v>
      </c>
      <c r="D786" s="39">
        <v>45878</v>
      </c>
      <c r="E786" t="s">
        <v>194</v>
      </c>
      <c r="F786" t="s">
        <v>79</v>
      </c>
      <c r="G786">
        <v>3</v>
      </c>
      <c r="H786" t="s">
        <v>92</v>
      </c>
      <c r="I786">
        <v>0</v>
      </c>
      <c r="J786" t="s">
        <v>81</v>
      </c>
      <c r="K786" t="s">
        <v>79</v>
      </c>
      <c r="L786">
        <v>8</v>
      </c>
      <c r="M786">
        <v>126.47999999999999</v>
      </c>
      <c r="N786">
        <v>2.4</v>
      </c>
      <c r="O786">
        <v>30</v>
      </c>
      <c r="Q786">
        <v>124.07999999999998</v>
      </c>
      <c r="V786">
        <v>0</v>
      </c>
      <c r="W786">
        <v>0</v>
      </c>
      <c r="AF786">
        <v>0</v>
      </c>
      <c r="AG786">
        <v>0</v>
      </c>
      <c r="AH786">
        <v>0</v>
      </c>
      <c r="AI786">
        <v>12</v>
      </c>
      <c r="AJ786">
        <v>12</v>
      </c>
      <c r="AM786">
        <v>0</v>
      </c>
      <c r="AP786">
        <v>32</v>
      </c>
    </row>
    <row r="787" spans="1:42" x14ac:dyDescent="0.25">
      <c r="A787" t="s">
        <v>45</v>
      </c>
      <c r="B787">
        <v>2</v>
      </c>
      <c r="C787" t="s">
        <v>100</v>
      </c>
      <c r="D787" s="39">
        <v>45878</v>
      </c>
      <c r="E787" t="s">
        <v>194</v>
      </c>
      <c r="F787" t="s">
        <v>79</v>
      </c>
      <c r="G787">
        <v>2.5</v>
      </c>
      <c r="H787" t="s">
        <v>92</v>
      </c>
      <c r="I787">
        <v>0</v>
      </c>
      <c r="J787" t="s">
        <v>81</v>
      </c>
      <c r="K787" t="s">
        <v>79</v>
      </c>
      <c r="L787">
        <v>13</v>
      </c>
      <c r="M787">
        <v>101.27999999999999</v>
      </c>
      <c r="N787">
        <v>3.25</v>
      </c>
      <c r="Q787">
        <v>98.029999999999987</v>
      </c>
      <c r="V787">
        <v>0</v>
      </c>
      <c r="W787">
        <v>0</v>
      </c>
      <c r="AF787">
        <v>0</v>
      </c>
      <c r="AG787">
        <v>0</v>
      </c>
      <c r="AH787">
        <v>0</v>
      </c>
      <c r="AI787">
        <v>12</v>
      </c>
      <c r="AJ787">
        <v>12</v>
      </c>
      <c r="AM787">
        <v>0</v>
      </c>
      <c r="AP787">
        <v>32</v>
      </c>
    </row>
    <row r="788" spans="1:42" x14ac:dyDescent="0.25">
      <c r="A788" t="s">
        <v>46</v>
      </c>
      <c r="B788">
        <v>2</v>
      </c>
      <c r="C788" t="s">
        <v>100</v>
      </c>
      <c r="D788" s="39">
        <v>45878</v>
      </c>
      <c r="E788" t="s">
        <v>194</v>
      </c>
      <c r="F788" t="s">
        <v>79</v>
      </c>
      <c r="G788">
        <v>2.5</v>
      </c>
      <c r="H788" t="s">
        <v>92</v>
      </c>
      <c r="I788">
        <v>0</v>
      </c>
      <c r="J788" t="s">
        <v>81</v>
      </c>
      <c r="K788" t="s">
        <v>79</v>
      </c>
      <c r="L788">
        <v>9</v>
      </c>
      <c r="M788">
        <v>99.45999999999998</v>
      </c>
      <c r="N788">
        <v>2.25</v>
      </c>
      <c r="Q788">
        <v>97.20999999999998</v>
      </c>
      <c r="V788">
        <v>0</v>
      </c>
      <c r="W788">
        <v>0</v>
      </c>
      <c r="AF788">
        <v>0</v>
      </c>
      <c r="AG788">
        <v>0</v>
      </c>
      <c r="AH788">
        <v>0</v>
      </c>
      <c r="AI788">
        <v>12</v>
      </c>
      <c r="AJ788">
        <v>12</v>
      </c>
      <c r="AM788">
        <v>0</v>
      </c>
      <c r="AP788">
        <v>32</v>
      </c>
    </row>
    <row r="789" spans="1:42" x14ac:dyDescent="0.25">
      <c r="A789" t="s">
        <v>45</v>
      </c>
      <c r="B789">
        <v>3</v>
      </c>
      <c r="C789" t="s">
        <v>83</v>
      </c>
      <c r="D789" s="39">
        <v>45878</v>
      </c>
      <c r="E789" t="s">
        <v>194</v>
      </c>
      <c r="F789" t="s">
        <v>79</v>
      </c>
      <c r="G789">
        <v>7</v>
      </c>
      <c r="H789">
        <v>5</v>
      </c>
      <c r="I789">
        <v>0</v>
      </c>
      <c r="J789" t="s">
        <v>81</v>
      </c>
      <c r="K789" t="s">
        <v>79</v>
      </c>
      <c r="L789">
        <v>8</v>
      </c>
      <c r="M789">
        <v>262.14</v>
      </c>
      <c r="N789">
        <v>5.6</v>
      </c>
      <c r="Q789">
        <v>256.53999999999996</v>
      </c>
      <c r="V789">
        <v>0</v>
      </c>
      <c r="W789">
        <v>0</v>
      </c>
      <c r="AF789">
        <v>0</v>
      </c>
      <c r="AG789">
        <v>0</v>
      </c>
      <c r="AH789">
        <v>0</v>
      </c>
      <c r="AI789">
        <v>12</v>
      </c>
      <c r="AJ789">
        <v>12</v>
      </c>
      <c r="AM789">
        <v>0</v>
      </c>
      <c r="AP789">
        <v>32</v>
      </c>
    </row>
    <row r="790" spans="1:42" x14ac:dyDescent="0.25">
      <c r="A790" t="s">
        <v>46</v>
      </c>
      <c r="B790">
        <v>3</v>
      </c>
      <c r="C790" t="s">
        <v>83</v>
      </c>
      <c r="D790" s="39">
        <v>45878</v>
      </c>
      <c r="E790" t="s">
        <v>194</v>
      </c>
      <c r="F790" t="s">
        <v>79</v>
      </c>
      <c r="G790">
        <v>7</v>
      </c>
      <c r="H790">
        <v>5</v>
      </c>
      <c r="I790">
        <v>0</v>
      </c>
      <c r="J790" t="s">
        <v>81</v>
      </c>
      <c r="K790" t="s">
        <v>79</v>
      </c>
      <c r="L790">
        <v>7</v>
      </c>
      <c r="M790">
        <v>265.68</v>
      </c>
      <c r="N790">
        <v>4.8999999999999995</v>
      </c>
      <c r="Q790">
        <v>260.78000000000003</v>
      </c>
      <c r="V790">
        <v>0</v>
      </c>
      <c r="W790">
        <v>0</v>
      </c>
      <c r="AF790">
        <v>0</v>
      </c>
      <c r="AG790">
        <v>0</v>
      </c>
      <c r="AH790">
        <v>0</v>
      </c>
      <c r="AI790">
        <v>12</v>
      </c>
      <c r="AJ790">
        <v>12</v>
      </c>
      <c r="AM790">
        <v>0</v>
      </c>
      <c r="AP790">
        <v>32</v>
      </c>
    </row>
    <row r="791" spans="1:42" x14ac:dyDescent="0.25">
      <c r="A791" t="s">
        <v>45</v>
      </c>
      <c r="B791">
        <v>4</v>
      </c>
      <c r="C791" t="s">
        <v>395</v>
      </c>
      <c r="D791" s="39">
        <v>45878</v>
      </c>
      <c r="E791" t="s">
        <v>396</v>
      </c>
      <c r="F791" t="s">
        <v>79</v>
      </c>
      <c r="G791">
        <v>16</v>
      </c>
      <c r="H791" t="s">
        <v>92</v>
      </c>
      <c r="I791">
        <v>0</v>
      </c>
      <c r="J791">
        <v>2000</v>
      </c>
      <c r="K791" t="s">
        <v>79</v>
      </c>
      <c r="L791">
        <v>16</v>
      </c>
      <c r="M791">
        <v>775.13999999999987</v>
      </c>
      <c r="N791">
        <v>28.8</v>
      </c>
      <c r="Q791">
        <v>746.33999999999992</v>
      </c>
      <c r="V791">
        <v>0</v>
      </c>
      <c r="W791">
        <v>0</v>
      </c>
      <c r="AF791">
        <v>0</v>
      </c>
      <c r="AG791">
        <v>0</v>
      </c>
      <c r="AH791">
        <v>0</v>
      </c>
      <c r="AI791">
        <v>12</v>
      </c>
      <c r="AJ791">
        <v>12</v>
      </c>
      <c r="AM791">
        <v>0</v>
      </c>
      <c r="AP791">
        <v>32</v>
      </c>
    </row>
    <row r="792" spans="1:42" x14ac:dyDescent="0.25">
      <c r="A792" t="s">
        <v>46</v>
      </c>
      <c r="B792">
        <v>4</v>
      </c>
      <c r="C792" t="s">
        <v>395</v>
      </c>
      <c r="D792" s="39">
        <v>45878</v>
      </c>
      <c r="E792" t="s">
        <v>396</v>
      </c>
      <c r="F792" t="s">
        <v>79</v>
      </c>
      <c r="G792">
        <v>16</v>
      </c>
      <c r="H792" t="s">
        <v>92</v>
      </c>
      <c r="I792">
        <v>0</v>
      </c>
      <c r="J792">
        <v>2000</v>
      </c>
      <c r="K792" t="s">
        <v>79</v>
      </c>
      <c r="L792">
        <v>4</v>
      </c>
      <c r="M792">
        <v>202.98000000000002</v>
      </c>
      <c r="N792">
        <v>7.2</v>
      </c>
      <c r="Q792">
        <v>195.78000000000003</v>
      </c>
      <c r="V792">
        <v>0</v>
      </c>
      <c r="W792">
        <v>0</v>
      </c>
      <c r="AF792">
        <v>0</v>
      </c>
      <c r="AG792">
        <v>0</v>
      </c>
      <c r="AH792">
        <v>0</v>
      </c>
      <c r="AI792">
        <v>12</v>
      </c>
      <c r="AJ792">
        <v>12</v>
      </c>
      <c r="AM792">
        <v>0</v>
      </c>
      <c r="AP792">
        <v>32</v>
      </c>
    </row>
    <row r="793" spans="1:42" x14ac:dyDescent="0.25">
      <c r="A793" t="s">
        <v>46</v>
      </c>
      <c r="B793">
        <v>4</v>
      </c>
      <c r="C793" t="s">
        <v>89</v>
      </c>
      <c r="D793" s="39">
        <v>45878</v>
      </c>
      <c r="E793" t="s">
        <v>194</v>
      </c>
      <c r="F793" t="s">
        <v>79</v>
      </c>
      <c r="G793">
        <v>16</v>
      </c>
      <c r="H793">
        <v>5</v>
      </c>
      <c r="I793">
        <v>0</v>
      </c>
      <c r="J793" t="s">
        <v>81</v>
      </c>
      <c r="K793" t="s">
        <v>79</v>
      </c>
      <c r="L793">
        <v>12</v>
      </c>
      <c r="M793">
        <v>640.01</v>
      </c>
      <c r="N793">
        <v>22.799999999999997</v>
      </c>
      <c r="Q793">
        <v>617.21</v>
      </c>
      <c r="V793">
        <v>0</v>
      </c>
      <c r="W793">
        <v>0</v>
      </c>
      <c r="AF793">
        <v>0</v>
      </c>
      <c r="AG793">
        <v>0</v>
      </c>
      <c r="AH793">
        <v>0</v>
      </c>
      <c r="AI793">
        <v>12</v>
      </c>
      <c r="AJ793">
        <v>12</v>
      </c>
      <c r="AM793">
        <v>0</v>
      </c>
      <c r="AP793">
        <v>32</v>
      </c>
    </row>
    <row r="794" spans="1:42" x14ac:dyDescent="0.25">
      <c r="A794" t="s">
        <v>45</v>
      </c>
      <c r="B794">
        <v>5</v>
      </c>
      <c r="C794" t="s">
        <v>88</v>
      </c>
      <c r="D794" s="39">
        <v>45878</v>
      </c>
      <c r="E794" t="s">
        <v>194</v>
      </c>
      <c r="F794" t="s">
        <v>79</v>
      </c>
      <c r="G794">
        <v>10</v>
      </c>
      <c r="H794">
        <v>5</v>
      </c>
      <c r="I794">
        <v>0</v>
      </c>
      <c r="J794" t="s">
        <v>81</v>
      </c>
      <c r="K794" t="s">
        <v>79</v>
      </c>
      <c r="L794">
        <v>11</v>
      </c>
      <c r="M794">
        <v>415.55</v>
      </c>
      <c r="N794">
        <v>13.2</v>
      </c>
      <c r="Q794">
        <v>402.35</v>
      </c>
      <c r="V794">
        <v>0</v>
      </c>
      <c r="W794">
        <v>0</v>
      </c>
      <c r="AF794">
        <v>0</v>
      </c>
      <c r="AG794">
        <v>0</v>
      </c>
      <c r="AH794">
        <v>0</v>
      </c>
      <c r="AI794">
        <v>12</v>
      </c>
      <c r="AJ794">
        <v>12</v>
      </c>
      <c r="AM794">
        <v>0</v>
      </c>
      <c r="AP794">
        <v>32</v>
      </c>
    </row>
    <row r="795" spans="1:42" x14ac:dyDescent="0.25">
      <c r="A795" t="s">
        <v>46</v>
      </c>
      <c r="B795">
        <v>5</v>
      </c>
      <c r="C795" t="s">
        <v>88</v>
      </c>
      <c r="D795" s="39">
        <v>45878</v>
      </c>
      <c r="E795" t="s">
        <v>194</v>
      </c>
      <c r="F795" t="s">
        <v>79</v>
      </c>
      <c r="G795">
        <v>10</v>
      </c>
      <c r="H795">
        <v>5</v>
      </c>
      <c r="I795">
        <v>0</v>
      </c>
      <c r="J795" t="s">
        <v>81</v>
      </c>
      <c r="K795" t="s">
        <v>79</v>
      </c>
      <c r="L795">
        <v>8</v>
      </c>
      <c r="M795">
        <v>408.71</v>
      </c>
      <c r="N795">
        <v>9.6</v>
      </c>
      <c r="Q795">
        <v>399.10999999999996</v>
      </c>
      <c r="V795">
        <v>0</v>
      </c>
      <c r="W795">
        <v>0</v>
      </c>
      <c r="AF795">
        <v>0</v>
      </c>
      <c r="AG795">
        <v>0</v>
      </c>
      <c r="AH795">
        <v>0</v>
      </c>
      <c r="AI795">
        <v>12</v>
      </c>
      <c r="AJ795">
        <v>12</v>
      </c>
      <c r="AM795">
        <v>0</v>
      </c>
      <c r="AP795">
        <v>32</v>
      </c>
    </row>
    <row r="796" spans="1:42" x14ac:dyDescent="0.25">
      <c r="A796" t="s">
        <v>45</v>
      </c>
      <c r="B796">
        <v>1</v>
      </c>
      <c r="C796" t="s">
        <v>110</v>
      </c>
      <c r="D796" s="39">
        <v>45879</v>
      </c>
      <c r="E796" t="s">
        <v>194</v>
      </c>
      <c r="F796" t="s">
        <v>79</v>
      </c>
      <c r="G796">
        <v>3.5</v>
      </c>
      <c r="H796" t="s">
        <v>92</v>
      </c>
      <c r="I796">
        <v>0</v>
      </c>
      <c r="J796" t="s">
        <v>81</v>
      </c>
      <c r="K796" t="s">
        <v>79</v>
      </c>
      <c r="L796">
        <v>9</v>
      </c>
      <c r="M796">
        <v>125.18</v>
      </c>
      <c r="N796">
        <v>3.15</v>
      </c>
      <c r="O796">
        <v>25</v>
      </c>
      <c r="Q796">
        <v>122.03</v>
      </c>
      <c r="V796">
        <v>0</v>
      </c>
      <c r="W796">
        <v>0</v>
      </c>
      <c r="AF796">
        <v>0</v>
      </c>
      <c r="AG796">
        <v>0</v>
      </c>
      <c r="AH796">
        <v>0</v>
      </c>
      <c r="AI796">
        <v>12</v>
      </c>
      <c r="AJ796">
        <v>12</v>
      </c>
      <c r="AL796">
        <v>1950</v>
      </c>
      <c r="AM796">
        <v>0</v>
      </c>
      <c r="AP796">
        <v>32</v>
      </c>
    </row>
    <row r="797" spans="1:42" x14ac:dyDescent="0.25">
      <c r="A797" t="s">
        <v>46</v>
      </c>
      <c r="B797">
        <v>1</v>
      </c>
      <c r="C797" t="s">
        <v>110</v>
      </c>
      <c r="D797" s="39">
        <v>45879</v>
      </c>
      <c r="E797" t="s">
        <v>194</v>
      </c>
      <c r="F797" t="s">
        <v>79</v>
      </c>
      <c r="G797">
        <v>3.5</v>
      </c>
      <c r="H797" t="s">
        <v>92</v>
      </c>
      <c r="I797">
        <v>0</v>
      </c>
      <c r="J797" t="s">
        <v>81</v>
      </c>
      <c r="K797" t="s">
        <v>79</v>
      </c>
      <c r="L797">
        <v>11</v>
      </c>
      <c r="M797">
        <v>134.04</v>
      </c>
      <c r="N797">
        <v>3.8499999999999996</v>
      </c>
      <c r="O797">
        <v>12</v>
      </c>
      <c r="Q797">
        <v>130.19</v>
      </c>
      <c r="V797">
        <v>0</v>
      </c>
      <c r="W797">
        <v>0</v>
      </c>
      <c r="AF797">
        <v>0</v>
      </c>
      <c r="AG797">
        <v>0</v>
      </c>
      <c r="AH797">
        <v>0</v>
      </c>
      <c r="AI797">
        <v>12</v>
      </c>
      <c r="AJ797">
        <v>12</v>
      </c>
      <c r="AM797">
        <v>0</v>
      </c>
      <c r="AP797">
        <v>32</v>
      </c>
    </row>
    <row r="798" spans="1:42" x14ac:dyDescent="0.25">
      <c r="A798" t="s">
        <v>45</v>
      </c>
      <c r="B798">
        <v>2</v>
      </c>
      <c r="C798" t="s">
        <v>100</v>
      </c>
      <c r="D798" s="39">
        <v>45879</v>
      </c>
      <c r="E798" t="s">
        <v>194</v>
      </c>
      <c r="F798" t="s">
        <v>79</v>
      </c>
      <c r="G798">
        <v>2.5</v>
      </c>
      <c r="H798" t="s">
        <v>92</v>
      </c>
      <c r="I798">
        <v>0</v>
      </c>
      <c r="J798" t="s">
        <v>81</v>
      </c>
      <c r="K798" t="s">
        <v>79</v>
      </c>
      <c r="L798">
        <v>10</v>
      </c>
      <c r="M798">
        <v>93.11999999999999</v>
      </c>
      <c r="N798">
        <v>2.5</v>
      </c>
      <c r="Q798">
        <v>90.61999999999999</v>
      </c>
      <c r="V798">
        <v>0</v>
      </c>
      <c r="W798">
        <v>0</v>
      </c>
      <c r="AF798">
        <v>0</v>
      </c>
      <c r="AG798">
        <v>0</v>
      </c>
      <c r="AH798">
        <v>0</v>
      </c>
      <c r="AI798">
        <v>12</v>
      </c>
      <c r="AJ798">
        <v>12</v>
      </c>
      <c r="AM798">
        <v>0</v>
      </c>
      <c r="AP798">
        <v>32</v>
      </c>
    </row>
    <row r="799" spans="1:42" x14ac:dyDescent="0.25">
      <c r="A799" t="s">
        <v>46</v>
      </c>
      <c r="B799">
        <v>2</v>
      </c>
      <c r="C799" t="s">
        <v>100</v>
      </c>
      <c r="D799" s="39">
        <v>45879</v>
      </c>
      <c r="E799" t="s">
        <v>194</v>
      </c>
      <c r="F799" t="s">
        <v>79</v>
      </c>
      <c r="G799">
        <v>2.5</v>
      </c>
      <c r="H799" t="s">
        <v>92</v>
      </c>
      <c r="I799">
        <v>0</v>
      </c>
      <c r="J799" t="s">
        <v>81</v>
      </c>
      <c r="K799" t="s">
        <v>79</v>
      </c>
      <c r="L799">
        <v>12</v>
      </c>
      <c r="M799">
        <v>116.64999999999999</v>
      </c>
      <c r="N799">
        <v>3</v>
      </c>
      <c r="Q799">
        <v>113.64999999999999</v>
      </c>
      <c r="V799">
        <v>0</v>
      </c>
      <c r="W799">
        <v>0</v>
      </c>
      <c r="AF799">
        <v>0</v>
      </c>
      <c r="AG799">
        <v>0</v>
      </c>
      <c r="AH799">
        <v>0</v>
      </c>
      <c r="AI799">
        <v>12</v>
      </c>
      <c r="AJ799">
        <v>12</v>
      </c>
      <c r="AM799">
        <v>0</v>
      </c>
      <c r="AP799">
        <v>32</v>
      </c>
    </row>
    <row r="800" spans="1:42" x14ac:dyDescent="0.25">
      <c r="A800" t="s">
        <v>45</v>
      </c>
      <c r="B800">
        <v>3</v>
      </c>
      <c r="C800" t="s">
        <v>83</v>
      </c>
      <c r="D800" s="39">
        <v>45879</v>
      </c>
      <c r="E800" t="s">
        <v>194</v>
      </c>
      <c r="F800" t="s">
        <v>79</v>
      </c>
      <c r="G800">
        <v>7</v>
      </c>
      <c r="H800">
        <v>5</v>
      </c>
      <c r="I800">
        <v>0</v>
      </c>
      <c r="J800" t="s">
        <v>81</v>
      </c>
      <c r="K800" t="s">
        <v>79</v>
      </c>
      <c r="L800">
        <v>9</v>
      </c>
      <c r="M800">
        <v>346.28</v>
      </c>
      <c r="N800">
        <v>6.3</v>
      </c>
      <c r="Q800">
        <v>339.97999999999996</v>
      </c>
      <c r="V800">
        <v>0</v>
      </c>
      <c r="W800">
        <v>0</v>
      </c>
      <c r="AF800">
        <v>0</v>
      </c>
      <c r="AG800">
        <v>0</v>
      </c>
      <c r="AH800">
        <v>0</v>
      </c>
      <c r="AI800">
        <v>12</v>
      </c>
      <c r="AJ800">
        <v>12</v>
      </c>
      <c r="AM800">
        <v>0</v>
      </c>
      <c r="AP800">
        <v>32</v>
      </c>
    </row>
    <row r="801" spans="1:42" x14ac:dyDescent="0.25">
      <c r="A801" t="s">
        <v>46</v>
      </c>
      <c r="B801">
        <v>3</v>
      </c>
      <c r="C801" t="s">
        <v>83</v>
      </c>
      <c r="D801" s="39">
        <v>45879</v>
      </c>
      <c r="E801" t="s">
        <v>194</v>
      </c>
      <c r="F801" t="s">
        <v>79</v>
      </c>
      <c r="G801">
        <v>7</v>
      </c>
      <c r="H801">
        <v>5</v>
      </c>
      <c r="I801">
        <v>0</v>
      </c>
      <c r="J801" t="s">
        <v>81</v>
      </c>
      <c r="K801" t="s">
        <v>79</v>
      </c>
      <c r="L801">
        <v>9</v>
      </c>
      <c r="M801">
        <v>323.82</v>
      </c>
      <c r="N801">
        <v>6.3</v>
      </c>
      <c r="Q801">
        <v>317.52</v>
      </c>
      <c r="V801">
        <v>0</v>
      </c>
      <c r="W801">
        <v>0</v>
      </c>
      <c r="AF801">
        <v>0</v>
      </c>
      <c r="AG801">
        <v>0</v>
      </c>
      <c r="AH801">
        <v>0</v>
      </c>
      <c r="AI801">
        <v>12</v>
      </c>
      <c r="AJ801">
        <v>12</v>
      </c>
      <c r="AM801">
        <v>0</v>
      </c>
      <c r="AP801">
        <v>32</v>
      </c>
    </row>
    <row r="802" spans="1:42" x14ac:dyDescent="0.25">
      <c r="A802" t="s">
        <v>45</v>
      </c>
      <c r="B802">
        <v>4</v>
      </c>
      <c r="C802" t="s">
        <v>89</v>
      </c>
      <c r="D802" s="39">
        <v>45879</v>
      </c>
      <c r="E802" t="s">
        <v>194</v>
      </c>
      <c r="F802" t="s">
        <v>79</v>
      </c>
      <c r="G802">
        <v>16</v>
      </c>
      <c r="H802">
        <v>5</v>
      </c>
      <c r="I802">
        <v>0</v>
      </c>
      <c r="J802" t="s">
        <v>81</v>
      </c>
      <c r="K802" t="s">
        <v>79</v>
      </c>
      <c r="L802">
        <v>2</v>
      </c>
      <c r="M802">
        <v>109.17</v>
      </c>
      <c r="N802">
        <v>3.2</v>
      </c>
      <c r="Q802">
        <v>105.97</v>
      </c>
      <c r="V802">
        <v>0</v>
      </c>
      <c r="W802">
        <v>0</v>
      </c>
      <c r="AF802">
        <v>0</v>
      </c>
      <c r="AG802">
        <v>0</v>
      </c>
      <c r="AH802">
        <v>0</v>
      </c>
      <c r="AI802">
        <v>12</v>
      </c>
      <c r="AJ802">
        <v>12</v>
      </c>
      <c r="AM802">
        <v>0</v>
      </c>
      <c r="AP802">
        <v>32</v>
      </c>
    </row>
    <row r="803" spans="1:42" x14ac:dyDescent="0.25">
      <c r="A803" t="s">
        <v>45</v>
      </c>
      <c r="B803">
        <v>4</v>
      </c>
      <c r="C803" t="s">
        <v>399</v>
      </c>
      <c r="D803" s="39">
        <v>45879</v>
      </c>
      <c r="E803" t="s">
        <v>400</v>
      </c>
      <c r="F803" t="s">
        <v>79</v>
      </c>
      <c r="G803">
        <v>16</v>
      </c>
      <c r="H803" t="s">
        <v>127</v>
      </c>
      <c r="I803" t="s">
        <v>114</v>
      </c>
      <c r="J803">
        <v>1000</v>
      </c>
      <c r="K803" t="s">
        <v>79</v>
      </c>
      <c r="L803">
        <v>12</v>
      </c>
      <c r="M803">
        <v>639.53</v>
      </c>
      <c r="N803">
        <v>21.6</v>
      </c>
      <c r="Q803">
        <v>617.92999999999995</v>
      </c>
      <c r="V803">
        <v>0</v>
      </c>
      <c r="W803">
        <v>0</v>
      </c>
      <c r="AF803">
        <v>0</v>
      </c>
      <c r="AG803">
        <v>0</v>
      </c>
      <c r="AH803">
        <v>0</v>
      </c>
      <c r="AI803">
        <v>12</v>
      </c>
      <c r="AJ803">
        <v>12</v>
      </c>
      <c r="AM803">
        <v>0</v>
      </c>
      <c r="AP803">
        <v>32</v>
      </c>
    </row>
    <row r="804" spans="1:42" x14ac:dyDescent="0.25">
      <c r="A804" t="s">
        <v>46</v>
      </c>
      <c r="B804">
        <v>4</v>
      </c>
      <c r="C804" t="s">
        <v>399</v>
      </c>
      <c r="D804" s="39">
        <v>45879</v>
      </c>
      <c r="E804" t="s">
        <v>400</v>
      </c>
      <c r="F804" t="s">
        <v>79</v>
      </c>
      <c r="G804">
        <v>16</v>
      </c>
      <c r="H804" t="s">
        <v>127</v>
      </c>
      <c r="I804" t="s">
        <v>114</v>
      </c>
      <c r="J804">
        <v>1000</v>
      </c>
      <c r="K804" t="s">
        <v>79</v>
      </c>
      <c r="L804">
        <v>13</v>
      </c>
      <c r="M804">
        <v>624.32000000000005</v>
      </c>
      <c r="N804">
        <v>24.7</v>
      </c>
      <c r="Q804">
        <v>599.62</v>
      </c>
      <c r="V804">
        <v>0</v>
      </c>
      <c r="W804">
        <v>0</v>
      </c>
      <c r="AF804">
        <v>0</v>
      </c>
      <c r="AG804">
        <v>0</v>
      </c>
      <c r="AH804">
        <v>0</v>
      </c>
      <c r="AI804">
        <v>12</v>
      </c>
      <c r="AJ804">
        <v>12</v>
      </c>
      <c r="AM804">
        <v>0</v>
      </c>
      <c r="AP804">
        <v>32</v>
      </c>
    </row>
    <row r="805" spans="1:42" x14ac:dyDescent="0.25">
      <c r="A805" t="s">
        <v>46</v>
      </c>
      <c r="B805">
        <v>4</v>
      </c>
      <c r="C805" t="s">
        <v>89</v>
      </c>
      <c r="D805" s="39">
        <v>45879</v>
      </c>
      <c r="E805" t="s">
        <v>194</v>
      </c>
      <c r="F805" t="s">
        <v>79</v>
      </c>
      <c r="G805">
        <v>16</v>
      </c>
      <c r="H805">
        <v>5</v>
      </c>
      <c r="I805">
        <v>0</v>
      </c>
      <c r="J805" t="s">
        <v>81</v>
      </c>
      <c r="K805" t="s">
        <v>79</v>
      </c>
      <c r="L805">
        <v>2</v>
      </c>
      <c r="M805">
        <v>91.960000000000008</v>
      </c>
      <c r="N805">
        <v>3.2</v>
      </c>
      <c r="Q805">
        <v>88.76</v>
      </c>
      <c r="V805">
        <v>0</v>
      </c>
      <c r="W805">
        <v>0</v>
      </c>
      <c r="AF805">
        <v>0</v>
      </c>
      <c r="AG805">
        <v>0</v>
      </c>
      <c r="AH805">
        <v>0</v>
      </c>
      <c r="AI805">
        <v>12</v>
      </c>
      <c r="AJ805">
        <v>12</v>
      </c>
      <c r="AM805">
        <v>0</v>
      </c>
      <c r="AP805">
        <v>32</v>
      </c>
    </row>
    <row r="806" spans="1:42" x14ac:dyDescent="0.25">
      <c r="A806" t="s">
        <v>45</v>
      </c>
      <c r="B806">
        <v>5</v>
      </c>
      <c r="C806" t="s">
        <v>88</v>
      </c>
      <c r="D806" s="39">
        <v>45879</v>
      </c>
      <c r="E806" t="s">
        <v>194</v>
      </c>
      <c r="F806" t="s">
        <v>79</v>
      </c>
      <c r="G806">
        <v>10</v>
      </c>
      <c r="H806">
        <v>5</v>
      </c>
      <c r="I806">
        <v>0</v>
      </c>
      <c r="J806" t="s">
        <v>81</v>
      </c>
      <c r="K806" t="s">
        <v>79</v>
      </c>
      <c r="L806">
        <v>5</v>
      </c>
      <c r="M806">
        <v>265.33999999999997</v>
      </c>
      <c r="N806">
        <v>6</v>
      </c>
      <c r="Q806">
        <v>259.33999999999997</v>
      </c>
      <c r="S806">
        <v>20</v>
      </c>
      <c r="V806">
        <v>20</v>
      </c>
      <c r="W806">
        <v>0.33333333333333331</v>
      </c>
      <c r="AD806">
        <v>30</v>
      </c>
      <c r="AF806">
        <v>30</v>
      </c>
      <c r="AG806">
        <v>0.5</v>
      </c>
      <c r="AH806">
        <v>0.83333333333333326</v>
      </c>
      <c r="AI806">
        <v>11.166666666666666</v>
      </c>
      <c r="AJ806">
        <v>12</v>
      </c>
      <c r="AM806">
        <v>0</v>
      </c>
      <c r="AP806">
        <v>32</v>
      </c>
    </row>
    <row r="807" spans="1:42" x14ac:dyDescent="0.25">
      <c r="A807" t="s">
        <v>45</v>
      </c>
      <c r="B807">
        <v>5</v>
      </c>
      <c r="C807" t="s">
        <v>85</v>
      </c>
      <c r="D807" s="39">
        <v>45879</v>
      </c>
      <c r="E807" t="s">
        <v>194</v>
      </c>
      <c r="F807" t="s">
        <v>79</v>
      </c>
      <c r="G807">
        <v>12</v>
      </c>
      <c r="H807">
        <v>5</v>
      </c>
      <c r="I807">
        <v>0</v>
      </c>
      <c r="J807" t="s">
        <v>81</v>
      </c>
      <c r="K807" t="s">
        <v>79</v>
      </c>
      <c r="L807">
        <v>6</v>
      </c>
      <c r="M807">
        <v>265.28999999999996</v>
      </c>
      <c r="N807">
        <v>7.1999999999999993</v>
      </c>
      <c r="Q807">
        <v>258.08999999999997</v>
      </c>
      <c r="V807">
        <v>0</v>
      </c>
      <c r="W807">
        <v>0</v>
      </c>
      <c r="AF807">
        <v>0</v>
      </c>
      <c r="AG807">
        <v>0</v>
      </c>
      <c r="AH807">
        <v>0</v>
      </c>
      <c r="AI807">
        <v>12</v>
      </c>
      <c r="AJ807">
        <v>12</v>
      </c>
      <c r="AM807">
        <v>0</v>
      </c>
      <c r="AP807">
        <v>32</v>
      </c>
    </row>
    <row r="808" spans="1:42" x14ac:dyDescent="0.25">
      <c r="A808" t="s">
        <v>46</v>
      </c>
      <c r="B808">
        <v>5</v>
      </c>
      <c r="C808" t="s">
        <v>85</v>
      </c>
      <c r="D808" s="39">
        <v>45879</v>
      </c>
      <c r="E808" t="s">
        <v>194</v>
      </c>
      <c r="F808" t="s">
        <v>79</v>
      </c>
      <c r="G808">
        <v>12</v>
      </c>
      <c r="H808">
        <v>5</v>
      </c>
      <c r="I808">
        <v>0</v>
      </c>
      <c r="J808" t="s">
        <v>81</v>
      </c>
      <c r="K808" t="s">
        <v>79</v>
      </c>
      <c r="L808">
        <v>11</v>
      </c>
      <c r="M808">
        <v>514.05999999999995</v>
      </c>
      <c r="N808">
        <v>13.2</v>
      </c>
      <c r="Q808">
        <v>500.85999999999996</v>
      </c>
      <c r="V808">
        <v>0</v>
      </c>
      <c r="W808">
        <v>0</v>
      </c>
      <c r="AF808">
        <v>0</v>
      </c>
      <c r="AG808">
        <v>0</v>
      </c>
      <c r="AH808">
        <v>0</v>
      </c>
      <c r="AI808">
        <v>12</v>
      </c>
      <c r="AJ808">
        <v>12</v>
      </c>
      <c r="AM808">
        <v>0</v>
      </c>
      <c r="AP808">
        <v>32</v>
      </c>
    </row>
    <row r="809" spans="1:42" x14ac:dyDescent="0.25">
      <c r="A809" t="s">
        <v>45</v>
      </c>
      <c r="B809">
        <v>1</v>
      </c>
      <c r="C809" t="s">
        <v>111</v>
      </c>
      <c r="D809" s="39">
        <v>45880</v>
      </c>
      <c r="E809" t="s">
        <v>203</v>
      </c>
      <c r="F809" t="s">
        <v>79</v>
      </c>
      <c r="G809">
        <v>3.5</v>
      </c>
      <c r="H809">
        <v>4.5</v>
      </c>
      <c r="I809">
        <v>0</v>
      </c>
      <c r="J809">
        <v>150</v>
      </c>
      <c r="K809" t="s">
        <v>79</v>
      </c>
      <c r="L809">
        <v>2</v>
      </c>
      <c r="M809">
        <v>28.56</v>
      </c>
      <c r="N809">
        <v>0.7</v>
      </c>
      <c r="O809">
        <v>25</v>
      </c>
      <c r="Q809">
        <v>27.86</v>
      </c>
      <c r="S809">
        <v>20</v>
      </c>
      <c r="V809">
        <v>20</v>
      </c>
      <c r="W809">
        <v>0.33333333333333331</v>
      </c>
      <c r="AF809">
        <v>0</v>
      </c>
      <c r="AG809">
        <v>0</v>
      </c>
      <c r="AH809">
        <v>0.33333333333333331</v>
      </c>
      <c r="AI809">
        <v>11.666666666666666</v>
      </c>
      <c r="AJ809">
        <v>12</v>
      </c>
      <c r="AM809">
        <v>0</v>
      </c>
      <c r="AP809">
        <v>32</v>
      </c>
    </row>
    <row r="810" spans="1:42" x14ac:dyDescent="0.25">
      <c r="A810" t="s">
        <v>45</v>
      </c>
      <c r="B810">
        <v>1</v>
      </c>
      <c r="C810" t="s">
        <v>130</v>
      </c>
      <c r="D810" s="39">
        <v>45880</v>
      </c>
      <c r="E810" t="s">
        <v>401</v>
      </c>
      <c r="F810" t="s">
        <v>79</v>
      </c>
      <c r="G810">
        <v>4.5</v>
      </c>
      <c r="H810">
        <v>4.5</v>
      </c>
      <c r="I810">
        <v>0</v>
      </c>
      <c r="J810">
        <v>250</v>
      </c>
      <c r="K810" t="s">
        <v>79</v>
      </c>
      <c r="L810">
        <v>4</v>
      </c>
      <c r="M810">
        <v>56.2</v>
      </c>
      <c r="N810">
        <v>1.8</v>
      </c>
      <c r="O810">
        <v>30</v>
      </c>
      <c r="Q810">
        <v>54.400000000000006</v>
      </c>
      <c r="V810">
        <v>0</v>
      </c>
      <c r="W810">
        <v>0</v>
      </c>
      <c r="AF810">
        <v>0</v>
      </c>
      <c r="AG810">
        <v>0</v>
      </c>
      <c r="AH810">
        <v>0</v>
      </c>
      <c r="AI810">
        <v>12</v>
      </c>
      <c r="AJ810">
        <v>12</v>
      </c>
      <c r="AM810">
        <v>0</v>
      </c>
      <c r="AP810">
        <v>32</v>
      </c>
    </row>
    <row r="811" spans="1:42" x14ac:dyDescent="0.25">
      <c r="A811" t="s">
        <v>46</v>
      </c>
      <c r="B811">
        <v>1</v>
      </c>
      <c r="C811" t="s">
        <v>402</v>
      </c>
      <c r="D811" s="39">
        <v>45880</v>
      </c>
      <c r="E811" t="s">
        <v>81</v>
      </c>
      <c r="F811" t="s">
        <v>81</v>
      </c>
      <c r="G811" t="s">
        <v>81</v>
      </c>
      <c r="H811" t="s">
        <v>81</v>
      </c>
      <c r="I811" t="s">
        <v>81</v>
      </c>
      <c r="J811" t="s">
        <v>81</v>
      </c>
      <c r="K811" t="s">
        <v>79</v>
      </c>
      <c r="L811">
        <v>8</v>
      </c>
      <c r="M811">
        <v>125.8</v>
      </c>
      <c r="N811">
        <v>3.6</v>
      </c>
      <c r="Q811">
        <v>122.2</v>
      </c>
      <c r="V811">
        <v>0</v>
      </c>
      <c r="W811">
        <v>0</v>
      </c>
      <c r="X811">
        <v>160</v>
      </c>
      <c r="AF811">
        <v>160</v>
      </c>
      <c r="AG811">
        <v>2.6666666666666665</v>
      </c>
      <c r="AH811">
        <v>2.6666666666666665</v>
      </c>
      <c r="AI811">
        <v>9.3333333333333339</v>
      </c>
      <c r="AJ811">
        <v>12</v>
      </c>
      <c r="AM811">
        <v>0</v>
      </c>
      <c r="AP811">
        <v>32</v>
      </c>
    </row>
    <row r="812" spans="1:42" x14ac:dyDescent="0.25">
      <c r="A812" t="s">
        <v>45</v>
      </c>
      <c r="B812">
        <v>2</v>
      </c>
      <c r="C812" t="s">
        <v>100</v>
      </c>
      <c r="D812" s="39">
        <v>45880</v>
      </c>
      <c r="E812" t="s">
        <v>194</v>
      </c>
      <c r="F812" t="s">
        <v>79</v>
      </c>
      <c r="G812">
        <v>2.5</v>
      </c>
      <c r="H812" t="s">
        <v>92</v>
      </c>
      <c r="I812">
        <v>0</v>
      </c>
      <c r="J812" t="s">
        <v>81</v>
      </c>
      <c r="K812" t="s">
        <v>79</v>
      </c>
      <c r="L812">
        <v>11</v>
      </c>
      <c r="M812">
        <v>92.96</v>
      </c>
      <c r="N812">
        <v>2.75</v>
      </c>
      <c r="Q812">
        <v>90.21</v>
      </c>
      <c r="V812">
        <v>0</v>
      </c>
      <c r="W812">
        <v>0</v>
      </c>
      <c r="AF812">
        <v>0</v>
      </c>
      <c r="AG812">
        <v>0</v>
      </c>
      <c r="AH812">
        <v>0</v>
      </c>
      <c r="AI812">
        <v>12</v>
      </c>
      <c r="AJ812">
        <v>12</v>
      </c>
      <c r="AM812">
        <v>0</v>
      </c>
      <c r="AP812">
        <v>32</v>
      </c>
    </row>
    <row r="813" spans="1:42" x14ac:dyDescent="0.25">
      <c r="A813" t="s">
        <v>46</v>
      </c>
      <c r="B813">
        <v>2</v>
      </c>
      <c r="C813" t="s">
        <v>403</v>
      </c>
      <c r="D813" s="39">
        <v>45880</v>
      </c>
      <c r="E813" t="s">
        <v>238</v>
      </c>
      <c r="F813" t="s">
        <v>79</v>
      </c>
      <c r="G813">
        <v>2.5</v>
      </c>
      <c r="H813">
        <v>5</v>
      </c>
      <c r="I813">
        <v>0</v>
      </c>
      <c r="J813">
        <v>200</v>
      </c>
      <c r="K813" t="s">
        <v>79</v>
      </c>
      <c r="L813">
        <v>10</v>
      </c>
      <c r="M813">
        <v>83.899999999999991</v>
      </c>
      <c r="N813">
        <v>2.5</v>
      </c>
      <c r="Q813">
        <v>81.399999999999991</v>
      </c>
      <c r="V813">
        <v>0</v>
      </c>
      <c r="W813">
        <v>0</v>
      </c>
      <c r="AF813">
        <v>0</v>
      </c>
      <c r="AG813">
        <v>0</v>
      </c>
      <c r="AH813">
        <v>0</v>
      </c>
      <c r="AI813">
        <v>12</v>
      </c>
      <c r="AJ813">
        <v>12</v>
      </c>
      <c r="AM813">
        <v>0</v>
      </c>
      <c r="AP813">
        <v>32</v>
      </c>
    </row>
    <row r="814" spans="1:42" x14ac:dyDescent="0.25">
      <c r="A814" t="s">
        <v>45</v>
      </c>
      <c r="B814">
        <v>3</v>
      </c>
      <c r="C814" t="s">
        <v>404</v>
      </c>
      <c r="D814" s="39">
        <v>45880</v>
      </c>
      <c r="E814" t="s">
        <v>194</v>
      </c>
      <c r="F814" t="s">
        <v>79</v>
      </c>
      <c r="G814">
        <v>7</v>
      </c>
      <c r="H814">
        <v>5</v>
      </c>
      <c r="I814">
        <v>0</v>
      </c>
      <c r="J814" t="s">
        <v>81</v>
      </c>
      <c r="K814" t="s">
        <v>79</v>
      </c>
      <c r="L814">
        <v>7</v>
      </c>
      <c r="M814">
        <v>279.38</v>
      </c>
      <c r="N814">
        <v>5.6000000000000005</v>
      </c>
      <c r="Q814">
        <v>273.77999999999997</v>
      </c>
      <c r="S814">
        <v>20</v>
      </c>
      <c r="V814">
        <v>20</v>
      </c>
      <c r="W814">
        <v>0.33333333333333331</v>
      </c>
      <c r="AF814">
        <v>0</v>
      </c>
      <c r="AG814">
        <v>0</v>
      </c>
      <c r="AH814">
        <v>0.33333333333333331</v>
      </c>
      <c r="AI814">
        <v>11.666666666666666</v>
      </c>
      <c r="AJ814">
        <v>12</v>
      </c>
      <c r="AM814">
        <v>0</v>
      </c>
      <c r="AP814">
        <v>32</v>
      </c>
    </row>
    <row r="815" spans="1:42" x14ac:dyDescent="0.25">
      <c r="A815" t="s">
        <v>46</v>
      </c>
      <c r="B815">
        <v>3</v>
      </c>
      <c r="C815" t="s">
        <v>404</v>
      </c>
      <c r="D815" s="39">
        <v>45880</v>
      </c>
      <c r="E815" t="s">
        <v>194</v>
      </c>
      <c r="F815" t="s">
        <v>79</v>
      </c>
      <c r="G815">
        <v>7</v>
      </c>
      <c r="H815">
        <v>5</v>
      </c>
      <c r="I815">
        <v>0</v>
      </c>
      <c r="J815" t="s">
        <v>81</v>
      </c>
      <c r="K815" t="s">
        <v>79</v>
      </c>
      <c r="L815">
        <v>6</v>
      </c>
      <c r="M815">
        <v>184.68</v>
      </c>
      <c r="N815">
        <v>5.6000000000000005</v>
      </c>
      <c r="Q815">
        <v>179.08</v>
      </c>
      <c r="V815">
        <v>0</v>
      </c>
      <c r="W815">
        <v>0</v>
      </c>
      <c r="AF815">
        <v>0</v>
      </c>
      <c r="AG815">
        <v>0</v>
      </c>
      <c r="AH815">
        <v>0</v>
      </c>
      <c r="AI815">
        <v>12</v>
      </c>
      <c r="AJ815">
        <v>12</v>
      </c>
      <c r="AM815">
        <v>0</v>
      </c>
      <c r="AP815">
        <v>32</v>
      </c>
    </row>
    <row r="816" spans="1:42" x14ac:dyDescent="0.25">
      <c r="A816" t="s">
        <v>46</v>
      </c>
      <c r="B816">
        <v>3</v>
      </c>
      <c r="C816" t="s">
        <v>405</v>
      </c>
      <c r="D816" s="39">
        <v>45880</v>
      </c>
      <c r="E816" t="s">
        <v>194</v>
      </c>
      <c r="F816" t="s">
        <v>79</v>
      </c>
      <c r="G816">
        <v>6</v>
      </c>
      <c r="H816">
        <v>5</v>
      </c>
      <c r="I816">
        <v>0</v>
      </c>
      <c r="J816" t="s">
        <v>81</v>
      </c>
      <c r="K816" t="s">
        <v>79</v>
      </c>
      <c r="L816">
        <v>2</v>
      </c>
      <c r="M816">
        <v>57.52</v>
      </c>
      <c r="N816">
        <v>1.2</v>
      </c>
      <c r="Q816">
        <v>56.32</v>
      </c>
      <c r="V816">
        <v>0</v>
      </c>
      <c r="W816">
        <v>0</v>
      </c>
      <c r="AF816">
        <v>0</v>
      </c>
      <c r="AG816">
        <v>0</v>
      </c>
      <c r="AH816">
        <v>0</v>
      </c>
      <c r="AI816">
        <v>12</v>
      </c>
      <c r="AJ816">
        <v>12</v>
      </c>
      <c r="AM816">
        <v>0</v>
      </c>
      <c r="AP816">
        <v>32</v>
      </c>
    </row>
    <row r="817" spans="1:42" x14ac:dyDescent="0.25">
      <c r="A817" t="s">
        <v>45</v>
      </c>
      <c r="B817">
        <v>4</v>
      </c>
      <c r="C817" t="s">
        <v>406</v>
      </c>
      <c r="D817" s="39">
        <v>45880</v>
      </c>
      <c r="E817" t="s">
        <v>200</v>
      </c>
      <c r="F817" t="s">
        <v>79</v>
      </c>
      <c r="G817">
        <v>16</v>
      </c>
      <c r="H817">
        <v>10</v>
      </c>
      <c r="I817">
        <v>0</v>
      </c>
      <c r="J817">
        <v>125</v>
      </c>
      <c r="K817" t="s">
        <v>79</v>
      </c>
      <c r="L817">
        <v>2</v>
      </c>
      <c r="M817">
        <v>101.03</v>
      </c>
      <c r="N817">
        <v>3.75</v>
      </c>
      <c r="Q817">
        <v>97.28</v>
      </c>
      <c r="S817">
        <v>20</v>
      </c>
      <c r="V817">
        <v>20</v>
      </c>
      <c r="W817">
        <v>0.33333333333333331</v>
      </c>
      <c r="AF817">
        <v>0</v>
      </c>
      <c r="AG817">
        <v>0</v>
      </c>
      <c r="AH817">
        <v>0.33333333333333331</v>
      </c>
      <c r="AI817">
        <v>11.666666666666666</v>
      </c>
      <c r="AJ817">
        <v>12</v>
      </c>
      <c r="AM817">
        <v>0</v>
      </c>
      <c r="AP817">
        <v>32</v>
      </c>
    </row>
    <row r="818" spans="1:42" x14ac:dyDescent="0.25">
      <c r="A818" t="s">
        <v>45</v>
      </c>
      <c r="B818">
        <v>4</v>
      </c>
      <c r="C818" t="s">
        <v>407</v>
      </c>
      <c r="D818" s="39">
        <v>45880</v>
      </c>
      <c r="E818" t="s">
        <v>200</v>
      </c>
      <c r="F818" t="s">
        <v>79</v>
      </c>
      <c r="G818">
        <v>20</v>
      </c>
      <c r="H818">
        <v>10</v>
      </c>
      <c r="I818">
        <v>0</v>
      </c>
      <c r="J818">
        <v>250</v>
      </c>
      <c r="K818" t="s">
        <v>79</v>
      </c>
      <c r="L818">
        <v>6</v>
      </c>
      <c r="M818">
        <v>276.20999999999998</v>
      </c>
      <c r="N818">
        <v>14.86</v>
      </c>
      <c r="Q818">
        <v>261.34999999999997</v>
      </c>
      <c r="V818">
        <v>0</v>
      </c>
      <c r="W818">
        <v>0</v>
      </c>
      <c r="AF818">
        <v>0</v>
      </c>
      <c r="AG818">
        <v>0</v>
      </c>
      <c r="AH818">
        <v>0</v>
      </c>
      <c r="AI818">
        <v>12</v>
      </c>
      <c r="AJ818">
        <v>12</v>
      </c>
      <c r="AM818">
        <v>0</v>
      </c>
      <c r="AP818">
        <v>32</v>
      </c>
    </row>
    <row r="819" spans="1:42" x14ac:dyDescent="0.25">
      <c r="A819" t="s">
        <v>45</v>
      </c>
      <c r="B819">
        <v>4</v>
      </c>
      <c r="C819" t="s">
        <v>369</v>
      </c>
      <c r="D819" s="39">
        <v>45880</v>
      </c>
      <c r="E819" t="s">
        <v>370</v>
      </c>
      <c r="F819" t="s">
        <v>79</v>
      </c>
      <c r="G819">
        <v>20</v>
      </c>
      <c r="H819" t="s">
        <v>98</v>
      </c>
      <c r="I819" t="s">
        <v>103</v>
      </c>
      <c r="J819">
        <v>200</v>
      </c>
      <c r="K819" t="s">
        <v>79</v>
      </c>
      <c r="L819">
        <v>8</v>
      </c>
      <c r="M819">
        <v>429.45</v>
      </c>
      <c r="N819">
        <v>19.36</v>
      </c>
      <c r="Q819">
        <v>410.09</v>
      </c>
      <c r="V819">
        <v>0</v>
      </c>
      <c r="W819">
        <v>0</v>
      </c>
      <c r="AF819">
        <v>0</v>
      </c>
      <c r="AG819">
        <v>0</v>
      </c>
      <c r="AH819">
        <v>0</v>
      </c>
      <c r="AI819">
        <v>12</v>
      </c>
      <c r="AJ819">
        <v>12</v>
      </c>
      <c r="AM819">
        <v>0</v>
      </c>
      <c r="AP819">
        <v>32</v>
      </c>
    </row>
    <row r="820" spans="1:42" x14ac:dyDescent="0.25">
      <c r="A820" t="s">
        <v>46</v>
      </c>
      <c r="B820">
        <v>4</v>
      </c>
      <c r="C820" t="s">
        <v>369</v>
      </c>
      <c r="D820" s="39">
        <v>45880</v>
      </c>
      <c r="E820" t="s">
        <v>370</v>
      </c>
      <c r="F820" t="s">
        <v>79</v>
      </c>
      <c r="G820">
        <v>20</v>
      </c>
      <c r="H820" t="s">
        <v>98</v>
      </c>
      <c r="I820" t="s">
        <v>103</v>
      </c>
      <c r="J820">
        <v>200</v>
      </c>
      <c r="K820" t="s">
        <v>79</v>
      </c>
      <c r="L820">
        <v>13</v>
      </c>
      <c r="M820">
        <v>630.20999999999992</v>
      </c>
      <c r="N820">
        <v>31.2</v>
      </c>
      <c r="Q820">
        <v>599.00999999999988</v>
      </c>
      <c r="V820">
        <v>0</v>
      </c>
      <c r="W820">
        <v>0</v>
      </c>
      <c r="AF820">
        <v>0</v>
      </c>
      <c r="AG820">
        <v>0</v>
      </c>
      <c r="AH820">
        <v>0</v>
      </c>
      <c r="AI820">
        <v>12</v>
      </c>
      <c r="AJ820">
        <v>12</v>
      </c>
      <c r="AM820">
        <v>0</v>
      </c>
      <c r="AP820">
        <v>32</v>
      </c>
    </row>
    <row r="821" spans="1:42" x14ac:dyDescent="0.25">
      <c r="A821" t="s">
        <v>45</v>
      </c>
      <c r="B821">
        <v>5</v>
      </c>
      <c r="C821" t="s">
        <v>85</v>
      </c>
      <c r="D821" s="39">
        <v>45880</v>
      </c>
      <c r="E821" t="s">
        <v>194</v>
      </c>
      <c r="F821" t="s">
        <v>79</v>
      </c>
      <c r="G821">
        <v>12</v>
      </c>
      <c r="H821">
        <v>5</v>
      </c>
      <c r="I821">
        <v>0</v>
      </c>
      <c r="J821" t="s">
        <v>81</v>
      </c>
      <c r="K821" t="s">
        <v>79</v>
      </c>
      <c r="L821">
        <v>10</v>
      </c>
      <c r="M821">
        <v>544.21</v>
      </c>
      <c r="N821">
        <v>1.2</v>
      </c>
      <c r="Q821">
        <v>543.01</v>
      </c>
      <c r="V821">
        <v>0</v>
      </c>
      <c r="W821">
        <v>0</v>
      </c>
      <c r="AF821">
        <v>0</v>
      </c>
      <c r="AG821">
        <v>0</v>
      </c>
      <c r="AH821">
        <v>0</v>
      </c>
      <c r="AI821">
        <v>12</v>
      </c>
      <c r="AJ821">
        <v>12</v>
      </c>
      <c r="AM821">
        <v>0</v>
      </c>
      <c r="AP821">
        <v>32</v>
      </c>
    </row>
    <row r="822" spans="1:42" x14ac:dyDescent="0.25">
      <c r="A822" t="s">
        <v>46</v>
      </c>
      <c r="B822">
        <v>5</v>
      </c>
      <c r="C822" t="s">
        <v>408</v>
      </c>
      <c r="D822" s="39">
        <v>45880</v>
      </c>
      <c r="E822" t="s">
        <v>200</v>
      </c>
      <c r="F822" t="s">
        <v>79</v>
      </c>
      <c r="G822">
        <v>9</v>
      </c>
      <c r="H822">
        <v>10</v>
      </c>
      <c r="I822">
        <v>0</v>
      </c>
      <c r="J822">
        <v>125</v>
      </c>
      <c r="K822" t="s">
        <v>79</v>
      </c>
      <c r="L822">
        <v>6</v>
      </c>
      <c r="M822">
        <v>128.32</v>
      </c>
      <c r="N822">
        <v>5.4</v>
      </c>
      <c r="Q822">
        <v>122.91999999999999</v>
      </c>
      <c r="U822">
        <v>60</v>
      </c>
      <c r="V822">
        <v>60</v>
      </c>
      <c r="W822">
        <v>1</v>
      </c>
      <c r="AF822">
        <v>0</v>
      </c>
      <c r="AG822">
        <v>0</v>
      </c>
      <c r="AH822">
        <v>1</v>
      </c>
      <c r="AI822">
        <v>11</v>
      </c>
      <c r="AJ822">
        <v>12</v>
      </c>
      <c r="AM822">
        <v>0</v>
      </c>
      <c r="AP822">
        <v>32</v>
      </c>
    </row>
    <row r="823" spans="1:42" x14ac:dyDescent="0.25">
      <c r="A823" t="s">
        <v>46</v>
      </c>
      <c r="B823">
        <v>5</v>
      </c>
      <c r="C823" t="s">
        <v>90</v>
      </c>
      <c r="D823" s="39">
        <v>45880</v>
      </c>
      <c r="E823" t="s">
        <v>194</v>
      </c>
      <c r="F823" t="s">
        <v>79</v>
      </c>
      <c r="G823">
        <v>9</v>
      </c>
      <c r="H823">
        <v>5</v>
      </c>
      <c r="I823">
        <v>0</v>
      </c>
      <c r="J823" t="s">
        <v>81</v>
      </c>
      <c r="K823" t="s">
        <v>79</v>
      </c>
      <c r="L823">
        <v>6</v>
      </c>
      <c r="M823">
        <v>160.37</v>
      </c>
      <c r="N823">
        <v>5.4</v>
      </c>
      <c r="Q823">
        <v>154.97</v>
      </c>
      <c r="V823">
        <v>0</v>
      </c>
      <c r="W823">
        <v>0</v>
      </c>
      <c r="AF823">
        <v>0</v>
      </c>
      <c r="AG823">
        <v>0</v>
      </c>
      <c r="AH823">
        <v>0</v>
      </c>
      <c r="AI823">
        <v>12</v>
      </c>
      <c r="AJ823">
        <v>12</v>
      </c>
      <c r="AM823">
        <v>0</v>
      </c>
      <c r="AP823">
        <v>32</v>
      </c>
    </row>
    <row r="824" spans="1:42" x14ac:dyDescent="0.25">
      <c r="A824" t="s">
        <v>46</v>
      </c>
      <c r="B824">
        <v>5</v>
      </c>
      <c r="C824" t="s">
        <v>90</v>
      </c>
      <c r="D824" s="39">
        <v>45880</v>
      </c>
      <c r="E824" t="s">
        <v>194</v>
      </c>
      <c r="F824" t="s">
        <v>79</v>
      </c>
      <c r="G824">
        <v>9</v>
      </c>
      <c r="H824">
        <v>5</v>
      </c>
      <c r="I824">
        <v>0</v>
      </c>
      <c r="J824" t="s">
        <v>81</v>
      </c>
      <c r="K824" t="s">
        <v>79</v>
      </c>
      <c r="L824">
        <v>2</v>
      </c>
      <c r="M824">
        <v>78.02</v>
      </c>
      <c r="N824">
        <v>1.8</v>
      </c>
      <c r="Q824">
        <v>76.22</v>
      </c>
      <c r="V824">
        <v>0</v>
      </c>
      <c r="W824">
        <v>0</v>
      </c>
      <c r="AF824">
        <v>0</v>
      </c>
      <c r="AG824">
        <v>0</v>
      </c>
      <c r="AH824">
        <v>0</v>
      </c>
      <c r="AI824">
        <v>12</v>
      </c>
      <c r="AJ824">
        <v>12</v>
      </c>
      <c r="AM824">
        <v>0</v>
      </c>
      <c r="AP824">
        <v>32</v>
      </c>
    </row>
    <row r="825" spans="1:42" x14ac:dyDescent="0.25">
      <c r="A825" t="s">
        <v>45</v>
      </c>
      <c r="B825">
        <v>1</v>
      </c>
      <c r="C825" t="s">
        <v>139</v>
      </c>
      <c r="D825" s="39">
        <v>45881</v>
      </c>
      <c r="E825" t="s">
        <v>194</v>
      </c>
      <c r="F825" t="s">
        <v>79</v>
      </c>
      <c r="G825">
        <v>4.5</v>
      </c>
      <c r="H825" t="s">
        <v>92</v>
      </c>
      <c r="I825">
        <v>0</v>
      </c>
      <c r="J825" t="s">
        <v>81</v>
      </c>
      <c r="K825" t="s">
        <v>79</v>
      </c>
      <c r="L825">
        <v>6</v>
      </c>
      <c r="M825">
        <v>87.72999999999999</v>
      </c>
      <c r="N825">
        <v>2.7</v>
      </c>
      <c r="O825">
        <v>37</v>
      </c>
      <c r="Q825">
        <v>85.029999999999987</v>
      </c>
      <c r="V825">
        <v>0</v>
      </c>
      <c r="W825">
        <v>0</v>
      </c>
      <c r="AF825">
        <v>0</v>
      </c>
      <c r="AG825">
        <v>0</v>
      </c>
      <c r="AH825">
        <v>0</v>
      </c>
      <c r="AI825">
        <v>12</v>
      </c>
      <c r="AJ825">
        <v>12</v>
      </c>
      <c r="AM825">
        <v>0</v>
      </c>
      <c r="AP825">
        <v>32</v>
      </c>
    </row>
    <row r="826" spans="1:42" x14ac:dyDescent="0.25">
      <c r="A826" t="s">
        <v>45</v>
      </c>
      <c r="B826">
        <v>1</v>
      </c>
      <c r="C826" t="s">
        <v>108</v>
      </c>
      <c r="D826" s="39">
        <v>45881</v>
      </c>
      <c r="E826" t="s">
        <v>194</v>
      </c>
      <c r="F826" t="s">
        <v>79</v>
      </c>
      <c r="G826">
        <v>1.5</v>
      </c>
      <c r="H826" t="s">
        <v>92</v>
      </c>
      <c r="I826">
        <v>0</v>
      </c>
      <c r="J826" t="s">
        <v>81</v>
      </c>
      <c r="K826" t="s">
        <v>79</v>
      </c>
      <c r="L826">
        <v>2</v>
      </c>
      <c r="M826">
        <v>27.95</v>
      </c>
      <c r="N826">
        <v>0.3</v>
      </c>
      <c r="O826">
        <v>24</v>
      </c>
      <c r="Q826">
        <v>27.65</v>
      </c>
      <c r="V826">
        <v>0</v>
      </c>
      <c r="W826">
        <v>0</v>
      </c>
      <c r="AF826">
        <v>0</v>
      </c>
      <c r="AG826">
        <v>0</v>
      </c>
      <c r="AH826">
        <v>0</v>
      </c>
      <c r="AI826">
        <v>12</v>
      </c>
      <c r="AJ826">
        <v>12</v>
      </c>
      <c r="AM826">
        <v>0</v>
      </c>
      <c r="AP826">
        <v>32</v>
      </c>
    </row>
    <row r="827" spans="1:42" x14ac:dyDescent="0.25">
      <c r="A827" t="s">
        <v>45</v>
      </c>
      <c r="B827">
        <v>2</v>
      </c>
      <c r="C827" t="s">
        <v>107</v>
      </c>
      <c r="D827" s="39">
        <v>45881</v>
      </c>
      <c r="E827" t="s">
        <v>194</v>
      </c>
      <c r="F827" t="s">
        <v>79</v>
      </c>
      <c r="G827">
        <v>5</v>
      </c>
      <c r="H827" t="s">
        <v>92</v>
      </c>
      <c r="I827">
        <v>0</v>
      </c>
      <c r="J827" t="s">
        <v>81</v>
      </c>
      <c r="K827" t="s">
        <v>79</v>
      </c>
      <c r="L827">
        <v>9</v>
      </c>
      <c r="M827">
        <v>116.86999999999998</v>
      </c>
      <c r="N827">
        <v>4.5</v>
      </c>
      <c r="Q827">
        <v>112.36999999999998</v>
      </c>
      <c r="V827">
        <v>0</v>
      </c>
      <c r="W827">
        <v>0</v>
      </c>
      <c r="AF827">
        <v>0</v>
      </c>
      <c r="AG827">
        <v>0</v>
      </c>
      <c r="AH827">
        <v>0</v>
      </c>
      <c r="AI827">
        <v>12</v>
      </c>
      <c r="AJ827">
        <v>12</v>
      </c>
      <c r="AM827">
        <v>0</v>
      </c>
      <c r="AP827">
        <v>32</v>
      </c>
    </row>
    <row r="828" spans="1:42" x14ac:dyDescent="0.25">
      <c r="A828" t="s">
        <v>45</v>
      </c>
      <c r="B828">
        <v>3</v>
      </c>
      <c r="C828" t="s">
        <v>112</v>
      </c>
      <c r="D828" s="39">
        <v>45881</v>
      </c>
      <c r="E828" t="s">
        <v>194</v>
      </c>
      <c r="F828" t="s">
        <v>79</v>
      </c>
      <c r="G828">
        <v>6</v>
      </c>
      <c r="H828">
        <v>5</v>
      </c>
      <c r="I828">
        <v>0</v>
      </c>
      <c r="J828" t="s">
        <v>81</v>
      </c>
      <c r="K828" t="s">
        <v>79</v>
      </c>
      <c r="L828">
        <v>8</v>
      </c>
      <c r="M828">
        <v>282.03999999999996</v>
      </c>
      <c r="N828">
        <v>5.6</v>
      </c>
      <c r="Q828">
        <v>276.43999999999994</v>
      </c>
      <c r="V828">
        <v>0</v>
      </c>
      <c r="W828">
        <v>0</v>
      </c>
      <c r="AF828">
        <v>0</v>
      </c>
      <c r="AG828">
        <v>0</v>
      </c>
      <c r="AH828">
        <v>0</v>
      </c>
      <c r="AI828">
        <v>12</v>
      </c>
      <c r="AJ828">
        <v>12</v>
      </c>
      <c r="AM828">
        <v>0</v>
      </c>
      <c r="AP828">
        <v>32</v>
      </c>
    </row>
    <row r="829" spans="1:42" x14ac:dyDescent="0.25">
      <c r="A829" t="s">
        <v>46</v>
      </c>
      <c r="B829">
        <v>3</v>
      </c>
      <c r="C829" t="s">
        <v>112</v>
      </c>
      <c r="D829" s="39">
        <v>45881</v>
      </c>
      <c r="E829" t="s">
        <v>194</v>
      </c>
      <c r="F829" t="s">
        <v>79</v>
      </c>
      <c r="G829">
        <v>6</v>
      </c>
      <c r="H829">
        <v>5</v>
      </c>
      <c r="I829">
        <v>0</v>
      </c>
      <c r="J829" t="s">
        <v>81</v>
      </c>
      <c r="K829" t="s">
        <v>79</v>
      </c>
      <c r="L829">
        <v>8</v>
      </c>
      <c r="M829">
        <v>244.37000000000003</v>
      </c>
      <c r="N829">
        <v>4.8</v>
      </c>
      <c r="Q829">
        <v>239.57000000000002</v>
      </c>
      <c r="V829">
        <v>0</v>
      </c>
      <c r="W829">
        <v>0</v>
      </c>
      <c r="AF829">
        <v>0</v>
      </c>
      <c r="AG829">
        <v>0</v>
      </c>
      <c r="AH829">
        <v>0</v>
      </c>
      <c r="AI829">
        <v>12</v>
      </c>
      <c r="AJ829">
        <v>12</v>
      </c>
      <c r="AM829">
        <v>0</v>
      </c>
      <c r="AP829">
        <v>32</v>
      </c>
    </row>
    <row r="830" spans="1:42" x14ac:dyDescent="0.25">
      <c r="A830" t="s">
        <v>45</v>
      </c>
      <c r="B830">
        <v>4</v>
      </c>
      <c r="C830" t="s">
        <v>369</v>
      </c>
      <c r="D830" s="39">
        <v>45881</v>
      </c>
      <c r="E830" t="s">
        <v>370</v>
      </c>
      <c r="F830" t="s">
        <v>79</v>
      </c>
      <c r="G830">
        <v>20</v>
      </c>
      <c r="H830" t="s">
        <v>98</v>
      </c>
      <c r="I830" t="s">
        <v>103</v>
      </c>
      <c r="J830">
        <v>200</v>
      </c>
      <c r="K830" t="s">
        <v>79</v>
      </c>
      <c r="L830">
        <v>9</v>
      </c>
      <c r="M830">
        <v>520.86</v>
      </c>
      <c r="N830">
        <v>21.599999999999998</v>
      </c>
      <c r="Q830">
        <v>499.26</v>
      </c>
      <c r="V830">
        <v>0</v>
      </c>
      <c r="W830">
        <v>0</v>
      </c>
      <c r="AF830">
        <v>0</v>
      </c>
      <c r="AG830">
        <v>0</v>
      </c>
      <c r="AH830">
        <v>0</v>
      </c>
      <c r="AI830">
        <v>12</v>
      </c>
      <c r="AJ830">
        <v>12</v>
      </c>
      <c r="AM830">
        <v>0</v>
      </c>
      <c r="AP830">
        <v>32</v>
      </c>
    </row>
    <row r="831" spans="1:42" x14ac:dyDescent="0.25">
      <c r="A831" t="s">
        <v>45</v>
      </c>
      <c r="B831">
        <v>4</v>
      </c>
      <c r="C831" t="s">
        <v>359</v>
      </c>
      <c r="D831" s="39">
        <v>45881</v>
      </c>
      <c r="E831" t="s">
        <v>276</v>
      </c>
      <c r="F831" t="s">
        <v>79</v>
      </c>
      <c r="G831">
        <v>24</v>
      </c>
      <c r="H831" t="s">
        <v>113</v>
      </c>
      <c r="I831" t="s">
        <v>114</v>
      </c>
      <c r="J831">
        <v>500</v>
      </c>
      <c r="K831" t="s">
        <v>79</v>
      </c>
      <c r="L831">
        <v>4</v>
      </c>
      <c r="M831">
        <v>248.42000000000002</v>
      </c>
      <c r="N831">
        <v>7.6999999999999993</v>
      </c>
      <c r="Q831">
        <v>240.72000000000003</v>
      </c>
      <c r="V831">
        <v>0</v>
      </c>
      <c r="W831">
        <v>0</v>
      </c>
      <c r="AF831">
        <v>0</v>
      </c>
      <c r="AG831">
        <v>0</v>
      </c>
      <c r="AH831">
        <v>0</v>
      </c>
      <c r="AI831">
        <v>12</v>
      </c>
      <c r="AJ831">
        <v>12</v>
      </c>
      <c r="AM831">
        <v>0</v>
      </c>
      <c r="AP831">
        <v>32</v>
      </c>
    </row>
    <row r="832" spans="1:42" x14ac:dyDescent="0.25">
      <c r="A832" t="s">
        <v>46</v>
      </c>
      <c r="B832">
        <v>4</v>
      </c>
      <c r="C832" t="s">
        <v>359</v>
      </c>
      <c r="D832" s="39">
        <v>45881</v>
      </c>
      <c r="E832" t="s">
        <v>276</v>
      </c>
      <c r="F832" t="s">
        <v>79</v>
      </c>
      <c r="G832">
        <v>24</v>
      </c>
      <c r="H832" t="s">
        <v>113</v>
      </c>
      <c r="I832" t="s">
        <v>114</v>
      </c>
      <c r="J832">
        <v>500</v>
      </c>
      <c r="K832" t="s">
        <v>79</v>
      </c>
      <c r="L832">
        <v>12</v>
      </c>
      <c r="M832">
        <v>701.50999999999988</v>
      </c>
      <c r="N832">
        <v>22.799999999999997</v>
      </c>
      <c r="Q832">
        <v>678.70999999999992</v>
      </c>
      <c r="V832">
        <v>0</v>
      </c>
      <c r="W832">
        <v>0</v>
      </c>
      <c r="AF832">
        <v>0</v>
      </c>
      <c r="AG832">
        <v>0</v>
      </c>
      <c r="AH832">
        <v>0</v>
      </c>
      <c r="AI832">
        <v>12</v>
      </c>
      <c r="AJ832">
        <v>12</v>
      </c>
      <c r="AM832">
        <v>0</v>
      </c>
      <c r="AP832">
        <v>32</v>
      </c>
    </row>
    <row r="833" spans="1:42" x14ac:dyDescent="0.25">
      <c r="A833" t="s">
        <v>45</v>
      </c>
      <c r="B833">
        <v>5</v>
      </c>
      <c r="C833" t="s">
        <v>90</v>
      </c>
      <c r="D833" s="39">
        <v>45881</v>
      </c>
      <c r="E833" t="s">
        <v>194</v>
      </c>
      <c r="F833" t="s">
        <v>79</v>
      </c>
      <c r="G833">
        <v>9</v>
      </c>
      <c r="H833">
        <v>5</v>
      </c>
      <c r="I833">
        <v>0</v>
      </c>
      <c r="J833" t="s">
        <v>81</v>
      </c>
      <c r="K833" t="s">
        <v>79</v>
      </c>
      <c r="L833">
        <v>9</v>
      </c>
      <c r="M833">
        <v>386.37999999999994</v>
      </c>
      <c r="N833">
        <v>8.1</v>
      </c>
      <c r="Q833">
        <v>378.27999999999992</v>
      </c>
      <c r="V833">
        <v>0</v>
      </c>
      <c r="W833">
        <v>0</v>
      </c>
      <c r="AF833">
        <v>0</v>
      </c>
      <c r="AG833">
        <v>0</v>
      </c>
      <c r="AH833">
        <v>0</v>
      </c>
      <c r="AI833">
        <v>12</v>
      </c>
      <c r="AJ833">
        <v>12</v>
      </c>
      <c r="AM833">
        <v>0</v>
      </c>
      <c r="AP833">
        <v>32</v>
      </c>
    </row>
    <row r="834" spans="1:42" x14ac:dyDescent="0.25">
      <c r="A834" t="s">
        <v>46</v>
      </c>
      <c r="B834">
        <v>5</v>
      </c>
      <c r="C834" t="s">
        <v>90</v>
      </c>
      <c r="D834" s="39">
        <v>45881</v>
      </c>
      <c r="E834" t="s">
        <v>194</v>
      </c>
      <c r="F834" t="s">
        <v>79</v>
      </c>
      <c r="G834">
        <v>9</v>
      </c>
      <c r="H834">
        <v>5</v>
      </c>
      <c r="I834">
        <v>0</v>
      </c>
      <c r="J834" t="s">
        <v>81</v>
      </c>
      <c r="K834" t="s">
        <v>79</v>
      </c>
      <c r="L834">
        <v>10</v>
      </c>
      <c r="M834">
        <v>414.03000000000003</v>
      </c>
      <c r="N834">
        <v>9</v>
      </c>
      <c r="Q834">
        <v>405.03000000000003</v>
      </c>
      <c r="V834">
        <v>0</v>
      </c>
      <c r="W834">
        <v>0</v>
      </c>
      <c r="AF834">
        <v>0</v>
      </c>
      <c r="AG834">
        <v>0</v>
      </c>
      <c r="AH834">
        <v>0</v>
      </c>
      <c r="AI834">
        <v>12</v>
      </c>
      <c r="AJ834">
        <v>12</v>
      </c>
      <c r="AM834">
        <v>0</v>
      </c>
      <c r="AP834">
        <v>32</v>
      </c>
    </row>
    <row r="835" spans="1:42" x14ac:dyDescent="0.25">
      <c r="A835" t="s">
        <v>45</v>
      </c>
      <c r="B835">
        <v>1</v>
      </c>
      <c r="C835" t="s">
        <v>108</v>
      </c>
      <c r="D835" s="39">
        <v>45882</v>
      </c>
      <c r="E835" t="s">
        <v>194</v>
      </c>
      <c r="F835" t="s">
        <v>79</v>
      </c>
      <c r="G835">
        <v>1.5</v>
      </c>
      <c r="H835" t="s">
        <v>92</v>
      </c>
      <c r="I835">
        <v>0</v>
      </c>
      <c r="J835" t="s">
        <v>81</v>
      </c>
      <c r="K835" t="s">
        <v>79</v>
      </c>
      <c r="L835">
        <v>5</v>
      </c>
      <c r="M835">
        <v>97.4</v>
      </c>
      <c r="N835">
        <v>0.75</v>
      </c>
      <c r="O835">
        <v>29</v>
      </c>
      <c r="Q835">
        <v>96.65</v>
      </c>
      <c r="V835">
        <v>0</v>
      </c>
      <c r="W835">
        <v>0</v>
      </c>
      <c r="AF835">
        <v>0</v>
      </c>
      <c r="AG835">
        <v>0</v>
      </c>
      <c r="AH835">
        <v>0</v>
      </c>
      <c r="AI835">
        <v>12</v>
      </c>
      <c r="AJ835">
        <v>12</v>
      </c>
      <c r="AM835">
        <v>0</v>
      </c>
      <c r="AP835">
        <v>32</v>
      </c>
    </row>
    <row r="836" spans="1:42" x14ac:dyDescent="0.25">
      <c r="A836" t="s">
        <v>46</v>
      </c>
      <c r="B836">
        <v>1</v>
      </c>
      <c r="C836" t="s">
        <v>108</v>
      </c>
      <c r="D836" s="39">
        <v>45882</v>
      </c>
      <c r="E836" t="s">
        <v>194</v>
      </c>
      <c r="F836" t="s">
        <v>79</v>
      </c>
      <c r="G836">
        <v>1.5</v>
      </c>
      <c r="H836" t="s">
        <v>92</v>
      </c>
      <c r="I836">
        <v>0</v>
      </c>
      <c r="J836" t="s">
        <v>81</v>
      </c>
      <c r="K836" t="s">
        <v>79</v>
      </c>
      <c r="L836">
        <v>2</v>
      </c>
      <c r="M836">
        <v>27.28</v>
      </c>
      <c r="N836">
        <v>0.3</v>
      </c>
      <c r="O836">
        <v>18</v>
      </c>
      <c r="Q836">
        <v>26.98</v>
      </c>
      <c r="V836">
        <v>0</v>
      </c>
      <c r="W836">
        <v>0</v>
      </c>
      <c r="AF836">
        <v>0</v>
      </c>
      <c r="AG836">
        <v>0</v>
      </c>
      <c r="AH836">
        <v>0</v>
      </c>
      <c r="AI836">
        <v>12</v>
      </c>
      <c r="AJ836">
        <v>12</v>
      </c>
      <c r="AM836">
        <v>0</v>
      </c>
      <c r="AP836">
        <v>32</v>
      </c>
    </row>
    <row r="837" spans="1:42" x14ac:dyDescent="0.25">
      <c r="A837" t="s">
        <v>46</v>
      </c>
      <c r="B837">
        <v>1</v>
      </c>
      <c r="C837" t="s">
        <v>100</v>
      </c>
      <c r="D837" s="39">
        <v>45882</v>
      </c>
      <c r="E837" t="s">
        <v>194</v>
      </c>
      <c r="F837" t="s">
        <v>79</v>
      </c>
      <c r="G837">
        <v>2.5</v>
      </c>
      <c r="H837" t="s">
        <v>92</v>
      </c>
      <c r="I837">
        <v>0</v>
      </c>
      <c r="J837" t="s">
        <v>81</v>
      </c>
      <c r="K837" t="s">
        <v>79</v>
      </c>
      <c r="L837">
        <v>9</v>
      </c>
      <c r="M837">
        <v>85.78</v>
      </c>
      <c r="N837">
        <v>2.25</v>
      </c>
      <c r="Q837">
        <v>83.53</v>
      </c>
      <c r="V837">
        <v>0</v>
      </c>
      <c r="W837">
        <v>0</v>
      </c>
      <c r="AF837">
        <v>0</v>
      </c>
      <c r="AG837">
        <v>0</v>
      </c>
      <c r="AH837">
        <v>0</v>
      </c>
      <c r="AI837">
        <v>12</v>
      </c>
      <c r="AJ837">
        <v>12</v>
      </c>
      <c r="AM837">
        <v>0</v>
      </c>
      <c r="AP837">
        <v>32</v>
      </c>
    </row>
    <row r="838" spans="1:42" x14ac:dyDescent="0.25">
      <c r="A838" t="s">
        <v>45</v>
      </c>
      <c r="B838">
        <v>2</v>
      </c>
      <c r="C838" t="s">
        <v>107</v>
      </c>
      <c r="D838" s="39">
        <v>45882</v>
      </c>
      <c r="E838" t="s">
        <v>194</v>
      </c>
      <c r="F838" t="s">
        <v>79</v>
      </c>
      <c r="G838">
        <v>5</v>
      </c>
      <c r="H838" t="s">
        <v>92</v>
      </c>
      <c r="I838">
        <v>0</v>
      </c>
      <c r="J838" t="s">
        <v>81</v>
      </c>
      <c r="K838" t="s">
        <v>79</v>
      </c>
      <c r="L838">
        <v>8</v>
      </c>
      <c r="M838">
        <v>117.10999999999999</v>
      </c>
      <c r="N838">
        <v>4</v>
      </c>
      <c r="Q838">
        <v>113.10999999999999</v>
      </c>
      <c r="V838">
        <v>0</v>
      </c>
      <c r="W838">
        <v>0</v>
      </c>
      <c r="AF838">
        <v>0</v>
      </c>
      <c r="AG838">
        <v>0</v>
      </c>
      <c r="AH838">
        <v>0</v>
      </c>
      <c r="AI838">
        <v>12</v>
      </c>
      <c r="AJ838">
        <v>12</v>
      </c>
      <c r="AM838">
        <v>0</v>
      </c>
      <c r="AP838">
        <v>32</v>
      </c>
    </row>
    <row r="839" spans="1:42" x14ac:dyDescent="0.25">
      <c r="A839" t="s">
        <v>46</v>
      </c>
      <c r="B839">
        <v>2</v>
      </c>
      <c r="C839" t="s">
        <v>107</v>
      </c>
      <c r="D839" s="39">
        <v>45882</v>
      </c>
      <c r="E839" t="s">
        <v>194</v>
      </c>
      <c r="F839" t="s">
        <v>79</v>
      </c>
      <c r="G839">
        <v>5</v>
      </c>
      <c r="H839" t="s">
        <v>92</v>
      </c>
      <c r="I839">
        <v>0</v>
      </c>
      <c r="J839" t="s">
        <v>81</v>
      </c>
      <c r="K839" t="s">
        <v>79</v>
      </c>
      <c r="L839">
        <v>2</v>
      </c>
      <c r="M839">
        <v>30.130000000000003</v>
      </c>
      <c r="N839">
        <v>1</v>
      </c>
      <c r="Q839">
        <v>29.130000000000003</v>
      </c>
      <c r="V839">
        <v>0</v>
      </c>
      <c r="W839">
        <v>0</v>
      </c>
      <c r="AF839">
        <v>0</v>
      </c>
      <c r="AG839">
        <v>0</v>
      </c>
      <c r="AH839">
        <v>0</v>
      </c>
      <c r="AI839">
        <v>12</v>
      </c>
      <c r="AJ839">
        <v>12</v>
      </c>
      <c r="AM839">
        <v>0</v>
      </c>
      <c r="AP839">
        <v>32</v>
      </c>
    </row>
    <row r="840" spans="1:42" x14ac:dyDescent="0.25">
      <c r="A840" t="s">
        <v>46</v>
      </c>
      <c r="B840">
        <v>2</v>
      </c>
      <c r="C840" t="s">
        <v>91</v>
      </c>
      <c r="D840" s="39">
        <v>45882</v>
      </c>
      <c r="E840" t="s">
        <v>194</v>
      </c>
      <c r="F840" t="s">
        <v>79</v>
      </c>
      <c r="G840">
        <v>4</v>
      </c>
      <c r="H840" t="s">
        <v>92</v>
      </c>
      <c r="I840">
        <v>0</v>
      </c>
      <c r="J840" t="s">
        <v>81</v>
      </c>
      <c r="K840" t="s">
        <v>79</v>
      </c>
      <c r="L840">
        <v>7</v>
      </c>
      <c r="M840">
        <v>121.53</v>
      </c>
      <c r="N840">
        <v>2.8000000000000003</v>
      </c>
      <c r="Q840">
        <v>118.73</v>
      </c>
      <c r="V840">
        <v>0</v>
      </c>
      <c r="W840">
        <v>0</v>
      </c>
      <c r="AF840">
        <v>0</v>
      </c>
      <c r="AG840">
        <v>0</v>
      </c>
      <c r="AH840">
        <v>0</v>
      </c>
      <c r="AI840">
        <v>12</v>
      </c>
      <c r="AJ840">
        <v>12</v>
      </c>
      <c r="AM840">
        <v>0</v>
      </c>
      <c r="AP840">
        <v>32</v>
      </c>
    </row>
    <row r="841" spans="1:42" x14ac:dyDescent="0.25">
      <c r="A841" t="s">
        <v>45</v>
      </c>
      <c r="B841">
        <v>3</v>
      </c>
      <c r="C841" t="s">
        <v>112</v>
      </c>
      <c r="D841" s="39">
        <v>45882</v>
      </c>
      <c r="E841" t="s">
        <v>194</v>
      </c>
      <c r="F841" t="s">
        <v>79</v>
      </c>
      <c r="G841">
        <v>6</v>
      </c>
      <c r="H841">
        <v>5</v>
      </c>
      <c r="I841">
        <v>0</v>
      </c>
      <c r="J841" t="s">
        <v>81</v>
      </c>
      <c r="K841" t="s">
        <v>79</v>
      </c>
      <c r="L841">
        <v>7</v>
      </c>
      <c r="M841">
        <v>252.08999999999997</v>
      </c>
      <c r="N841">
        <v>4.2</v>
      </c>
      <c r="Q841">
        <v>247.89</v>
      </c>
      <c r="V841">
        <v>0</v>
      </c>
      <c r="W841">
        <v>0</v>
      </c>
      <c r="AF841">
        <v>0</v>
      </c>
      <c r="AG841">
        <v>0</v>
      </c>
      <c r="AH841">
        <v>0</v>
      </c>
      <c r="AI841">
        <v>12</v>
      </c>
      <c r="AJ841">
        <v>12</v>
      </c>
      <c r="AM841">
        <v>0</v>
      </c>
      <c r="AP841">
        <v>32</v>
      </c>
    </row>
    <row r="842" spans="1:42" x14ac:dyDescent="0.25">
      <c r="A842" t="s">
        <v>46</v>
      </c>
      <c r="B842">
        <v>3</v>
      </c>
      <c r="C842" t="s">
        <v>112</v>
      </c>
      <c r="D842" s="39">
        <v>45882</v>
      </c>
      <c r="E842" t="s">
        <v>194</v>
      </c>
      <c r="F842" t="s">
        <v>79</v>
      </c>
      <c r="G842">
        <v>6</v>
      </c>
      <c r="H842">
        <v>5</v>
      </c>
      <c r="I842">
        <v>0</v>
      </c>
      <c r="J842" t="s">
        <v>81</v>
      </c>
      <c r="K842" t="s">
        <v>79</v>
      </c>
      <c r="L842">
        <v>7</v>
      </c>
      <c r="M842">
        <v>248.96</v>
      </c>
      <c r="N842">
        <v>4.2</v>
      </c>
      <c r="Q842">
        <v>244.76000000000002</v>
      </c>
      <c r="V842">
        <v>0</v>
      </c>
      <c r="W842">
        <v>0</v>
      </c>
      <c r="AF842">
        <v>0</v>
      </c>
      <c r="AG842">
        <v>0</v>
      </c>
      <c r="AH842">
        <v>0</v>
      </c>
      <c r="AI842">
        <v>12</v>
      </c>
      <c r="AJ842">
        <v>12</v>
      </c>
      <c r="AM842">
        <v>0</v>
      </c>
      <c r="AP842">
        <v>32</v>
      </c>
    </row>
    <row r="843" spans="1:42" x14ac:dyDescent="0.25">
      <c r="A843" t="s">
        <v>45</v>
      </c>
      <c r="B843">
        <v>4</v>
      </c>
      <c r="C843" t="s">
        <v>359</v>
      </c>
      <c r="D843" s="39">
        <v>45882</v>
      </c>
      <c r="E843" t="s">
        <v>276</v>
      </c>
      <c r="F843" t="s">
        <v>79</v>
      </c>
      <c r="G843">
        <v>24</v>
      </c>
      <c r="H843" t="s">
        <v>113</v>
      </c>
      <c r="I843" t="s">
        <v>114</v>
      </c>
      <c r="J843">
        <v>500</v>
      </c>
      <c r="K843" t="s">
        <v>79</v>
      </c>
      <c r="L843">
        <v>4</v>
      </c>
      <c r="M843">
        <v>237.18</v>
      </c>
      <c r="N843">
        <v>7.6</v>
      </c>
      <c r="Q843">
        <v>229.58</v>
      </c>
      <c r="V843">
        <v>0</v>
      </c>
      <c r="W843">
        <v>0</v>
      </c>
      <c r="AF843">
        <v>0</v>
      </c>
      <c r="AG843">
        <v>0</v>
      </c>
      <c r="AH843">
        <v>0</v>
      </c>
      <c r="AI843">
        <v>12</v>
      </c>
      <c r="AJ843">
        <v>12</v>
      </c>
      <c r="AM843">
        <v>0</v>
      </c>
      <c r="AP843">
        <v>32</v>
      </c>
    </row>
    <row r="844" spans="1:42" x14ac:dyDescent="0.25">
      <c r="A844" t="s">
        <v>45</v>
      </c>
      <c r="B844">
        <v>4</v>
      </c>
      <c r="C844" t="s">
        <v>109</v>
      </c>
      <c r="D844" s="39">
        <v>45882</v>
      </c>
      <c r="E844" t="s">
        <v>194</v>
      </c>
      <c r="F844" t="s">
        <v>79</v>
      </c>
      <c r="G844">
        <v>26</v>
      </c>
      <c r="H844">
        <v>5</v>
      </c>
      <c r="I844">
        <v>0</v>
      </c>
      <c r="J844" t="s">
        <v>81</v>
      </c>
      <c r="K844" t="s">
        <v>79</v>
      </c>
      <c r="L844">
        <v>2</v>
      </c>
      <c r="M844">
        <v>111.76</v>
      </c>
      <c r="N844">
        <v>7.3000000000000007</v>
      </c>
      <c r="Q844">
        <v>104.46000000000001</v>
      </c>
      <c r="V844">
        <v>0</v>
      </c>
      <c r="W844">
        <v>0</v>
      </c>
      <c r="AF844">
        <v>0</v>
      </c>
      <c r="AG844">
        <v>0</v>
      </c>
      <c r="AH844">
        <v>0</v>
      </c>
      <c r="AI844">
        <v>12</v>
      </c>
      <c r="AJ844">
        <v>12</v>
      </c>
      <c r="AM844">
        <v>0</v>
      </c>
      <c r="AP844">
        <v>32</v>
      </c>
    </row>
    <row r="845" spans="1:42" x14ac:dyDescent="0.25">
      <c r="A845" t="s">
        <v>45</v>
      </c>
      <c r="B845">
        <v>4</v>
      </c>
      <c r="C845" t="s">
        <v>101</v>
      </c>
      <c r="D845" s="39">
        <v>45882</v>
      </c>
      <c r="E845" t="s">
        <v>194</v>
      </c>
      <c r="F845" t="s">
        <v>79</v>
      </c>
      <c r="G845">
        <v>18</v>
      </c>
      <c r="H845">
        <v>5</v>
      </c>
      <c r="I845">
        <v>0</v>
      </c>
      <c r="J845" t="s">
        <v>81</v>
      </c>
      <c r="K845" t="s">
        <v>79</v>
      </c>
      <c r="L845">
        <v>5</v>
      </c>
      <c r="M845">
        <v>265.04000000000002</v>
      </c>
      <c r="N845">
        <v>11</v>
      </c>
      <c r="Q845">
        <v>254.04000000000002</v>
      </c>
      <c r="V845">
        <v>0</v>
      </c>
      <c r="W845">
        <v>0</v>
      </c>
      <c r="AF845">
        <v>0</v>
      </c>
      <c r="AG845">
        <v>0</v>
      </c>
      <c r="AH845">
        <v>0</v>
      </c>
      <c r="AI845">
        <v>12</v>
      </c>
      <c r="AJ845">
        <v>12</v>
      </c>
      <c r="AM845">
        <v>0</v>
      </c>
      <c r="AP845">
        <v>32</v>
      </c>
    </row>
    <row r="846" spans="1:42" x14ac:dyDescent="0.25">
      <c r="A846" t="s">
        <v>45</v>
      </c>
      <c r="B846">
        <v>4</v>
      </c>
      <c r="C846" t="s">
        <v>104</v>
      </c>
      <c r="D846" s="39">
        <v>45882</v>
      </c>
      <c r="E846" t="s">
        <v>194</v>
      </c>
      <c r="F846" t="s">
        <v>79</v>
      </c>
      <c r="G846">
        <v>24</v>
      </c>
      <c r="H846">
        <v>5</v>
      </c>
      <c r="I846">
        <v>0</v>
      </c>
      <c r="J846" t="s">
        <v>81</v>
      </c>
      <c r="K846" t="s">
        <v>79</v>
      </c>
      <c r="L846">
        <v>2</v>
      </c>
      <c r="M846">
        <v>141.67000000000002</v>
      </c>
      <c r="N846">
        <v>3.9</v>
      </c>
      <c r="Q846">
        <v>137.77000000000001</v>
      </c>
      <c r="V846">
        <v>0</v>
      </c>
      <c r="W846">
        <v>0</v>
      </c>
      <c r="AF846">
        <v>0</v>
      </c>
      <c r="AG846">
        <v>0</v>
      </c>
      <c r="AH846">
        <v>0</v>
      </c>
      <c r="AI846">
        <v>12</v>
      </c>
      <c r="AJ846">
        <v>12</v>
      </c>
      <c r="AM846">
        <v>0</v>
      </c>
      <c r="AP846">
        <v>32</v>
      </c>
    </row>
    <row r="847" spans="1:42" x14ac:dyDescent="0.25">
      <c r="A847" t="s">
        <v>46</v>
      </c>
      <c r="B847">
        <v>4</v>
      </c>
      <c r="C847" t="s">
        <v>101</v>
      </c>
      <c r="D847" s="39">
        <v>45882</v>
      </c>
      <c r="E847" t="s">
        <v>194</v>
      </c>
      <c r="F847" t="s">
        <v>79</v>
      </c>
      <c r="G847">
        <v>18</v>
      </c>
      <c r="H847">
        <v>5</v>
      </c>
      <c r="I847">
        <v>0</v>
      </c>
      <c r="J847" t="s">
        <v>81</v>
      </c>
      <c r="K847" t="s">
        <v>79</v>
      </c>
      <c r="L847">
        <v>12</v>
      </c>
      <c r="M847">
        <v>690.00000000000011</v>
      </c>
      <c r="N847">
        <v>24</v>
      </c>
      <c r="Q847">
        <v>666.00000000000011</v>
      </c>
      <c r="V847">
        <v>0</v>
      </c>
      <c r="W847">
        <v>0</v>
      </c>
      <c r="AF847">
        <v>0</v>
      </c>
      <c r="AG847">
        <v>0</v>
      </c>
      <c r="AH847">
        <v>0</v>
      </c>
      <c r="AI847">
        <v>12</v>
      </c>
      <c r="AJ847">
        <v>12</v>
      </c>
      <c r="AM847">
        <v>0</v>
      </c>
      <c r="AP847">
        <v>32</v>
      </c>
    </row>
    <row r="848" spans="1:42" x14ac:dyDescent="0.25">
      <c r="A848" t="s">
        <v>45</v>
      </c>
      <c r="B848">
        <v>5</v>
      </c>
      <c r="C848" t="s">
        <v>90</v>
      </c>
      <c r="D848" s="39">
        <v>45882</v>
      </c>
      <c r="E848" t="s">
        <v>194</v>
      </c>
      <c r="F848" t="s">
        <v>79</v>
      </c>
      <c r="G848">
        <v>9</v>
      </c>
      <c r="H848">
        <v>5</v>
      </c>
      <c r="I848">
        <v>0</v>
      </c>
      <c r="J848" t="s">
        <v>81</v>
      </c>
      <c r="K848" t="s">
        <v>79</v>
      </c>
      <c r="L848">
        <v>3</v>
      </c>
      <c r="M848">
        <v>150.1</v>
      </c>
      <c r="N848">
        <v>3.5999999999999996</v>
      </c>
      <c r="Q848">
        <v>146.5</v>
      </c>
      <c r="V848">
        <v>0</v>
      </c>
      <c r="W848">
        <v>0</v>
      </c>
      <c r="AF848">
        <v>0</v>
      </c>
      <c r="AG848">
        <v>0</v>
      </c>
      <c r="AH848">
        <v>0</v>
      </c>
      <c r="AI848">
        <v>12</v>
      </c>
      <c r="AJ848">
        <v>12</v>
      </c>
      <c r="AM848">
        <v>0</v>
      </c>
      <c r="AP848">
        <v>32</v>
      </c>
    </row>
    <row r="849" spans="1:42" x14ac:dyDescent="0.25">
      <c r="A849" t="s">
        <v>45</v>
      </c>
      <c r="B849">
        <v>5</v>
      </c>
      <c r="C849" t="s">
        <v>85</v>
      </c>
      <c r="D849" s="39">
        <v>45882</v>
      </c>
      <c r="E849" t="s">
        <v>194</v>
      </c>
      <c r="F849" t="s">
        <v>79</v>
      </c>
      <c r="G849">
        <v>12</v>
      </c>
      <c r="H849">
        <v>5</v>
      </c>
      <c r="I849">
        <v>0</v>
      </c>
      <c r="J849" t="s">
        <v>81</v>
      </c>
      <c r="K849" t="s">
        <v>79</v>
      </c>
      <c r="L849">
        <v>7</v>
      </c>
      <c r="M849">
        <v>372.28</v>
      </c>
      <c r="N849">
        <v>8.4</v>
      </c>
      <c r="Q849">
        <v>363.88</v>
      </c>
      <c r="V849">
        <v>0</v>
      </c>
      <c r="W849">
        <v>0</v>
      </c>
      <c r="AF849">
        <v>0</v>
      </c>
      <c r="AG849">
        <v>0</v>
      </c>
      <c r="AH849">
        <v>0</v>
      </c>
      <c r="AI849">
        <v>12</v>
      </c>
      <c r="AJ849">
        <v>12</v>
      </c>
      <c r="AM849">
        <v>0</v>
      </c>
      <c r="AP849">
        <v>32</v>
      </c>
    </row>
    <row r="850" spans="1:42" x14ac:dyDescent="0.25">
      <c r="A850" t="s">
        <v>46</v>
      </c>
      <c r="B850">
        <v>5</v>
      </c>
      <c r="C850" t="s">
        <v>85</v>
      </c>
      <c r="D850" s="39">
        <v>45882</v>
      </c>
      <c r="E850" t="s">
        <v>194</v>
      </c>
      <c r="F850" t="s">
        <v>79</v>
      </c>
      <c r="G850">
        <v>12</v>
      </c>
      <c r="H850">
        <v>5</v>
      </c>
      <c r="I850">
        <v>0</v>
      </c>
      <c r="J850" t="s">
        <v>81</v>
      </c>
      <c r="K850" t="s">
        <v>79</v>
      </c>
      <c r="L850">
        <v>10</v>
      </c>
      <c r="M850">
        <v>493.54999999999995</v>
      </c>
      <c r="N850">
        <v>12</v>
      </c>
      <c r="Q850">
        <v>481.54999999999995</v>
      </c>
      <c r="V850">
        <v>0</v>
      </c>
      <c r="W850">
        <v>0</v>
      </c>
      <c r="AF850">
        <v>0</v>
      </c>
      <c r="AG850">
        <v>0</v>
      </c>
      <c r="AH850">
        <v>0</v>
      </c>
      <c r="AI850">
        <v>12</v>
      </c>
      <c r="AJ850">
        <v>12</v>
      </c>
      <c r="AM850">
        <v>0</v>
      </c>
      <c r="AP850">
        <v>32</v>
      </c>
    </row>
    <row r="851" spans="1:42" x14ac:dyDescent="0.25">
      <c r="A851" t="s">
        <v>45</v>
      </c>
      <c r="B851">
        <v>1</v>
      </c>
      <c r="C851" t="s">
        <v>100</v>
      </c>
      <c r="D851" s="39">
        <v>45883</v>
      </c>
      <c r="E851" t="s">
        <v>194</v>
      </c>
      <c r="F851" t="s">
        <v>79</v>
      </c>
      <c r="G851">
        <v>2.5</v>
      </c>
      <c r="H851" t="s">
        <v>92</v>
      </c>
      <c r="I851">
        <v>0</v>
      </c>
      <c r="J851" t="s">
        <v>81</v>
      </c>
      <c r="K851" t="s">
        <v>79</v>
      </c>
      <c r="L851">
        <v>10</v>
      </c>
      <c r="M851">
        <v>128.09</v>
      </c>
      <c r="N851">
        <v>2.5</v>
      </c>
      <c r="O851">
        <v>22</v>
      </c>
      <c r="Q851">
        <v>125.59</v>
      </c>
      <c r="V851">
        <v>0</v>
      </c>
      <c r="W851">
        <v>0</v>
      </c>
      <c r="AF851">
        <v>0</v>
      </c>
      <c r="AG851">
        <v>0</v>
      </c>
      <c r="AH851">
        <v>0</v>
      </c>
      <c r="AI851">
        <v>12</v>
      </c>
      <c r="AJ851">
        <v>12</v>
      </c>
      <c r="AM851">
        <v>0</v>
      </c>
      <c r="AP851">
        <v>32</v>
      </c>
    </row>
    <row r="852" spans="1:42" x14ac:dyDescent="0.25">
      <c r="A852" t="s">
        <v>46</v>
      </c>
      <c r="B852">
        <v>1</v>
      </c>
      <c r="C852" t="s">
        <v>100</v>
      </c>
      <c r="D852" s="39">
        <v>45883</v>
      </c>
      <c r="E852" t="s">
        <v>194</v>
      </c>
      <c r="F852" t="s">
        <v>79</v>
      </c>
      <c r="G852">
        <v>2.5</v>
      </c>
      <c r="H852" t="s">
        <v>92</v>
      </c>
      <c r="I852">
        <v>0</v>
      </c>
      <c r="J852" t="s">
        <v>81</v>
      </c>
      <c r="K852" t="s">
        <v>79</v>
      </c>
      <c r="L852">
        <v>14</v>
      </c>
      <c r="M852">
        <v>132.37</v>
      </c>
      <c r="N852">
        <v>3.5</v>
      </c>
      <c r="O852">
        <v>20</v>
      </c>
      <c r="Q852">
        <v>128.87</v>
      </c>
      <c r="V852">
        <v>0</v>
      </c>
      <c r="W852">
        <v>0</v>
      </c>
      <c r="AF852">
        <v>0</v>
      </c>
      <c r="AG852">
        <v>0</v>
      </c>
      <c r="AH852">
        <v>0</v>
      </c>
      <c r="AI852">
        <v>12</v>
      </c>
      <c r="AJ852">
        <v>12</v>
      </c>
      <c r="AM852">
        <v>0</v>
      </c>
      <c r="AP852">
        <v>32</v>
      </c>
    </row>
    <row r="853" spans="1:42" x14ac:dyDescent="0.25">
      <c r="A853" t="s">
        <v>45</v>
      </c>
      <c r="B853">
        <v>2</v>
      </c>
      <c r="C853" t="s">
        <v>91</v>
      </c>
      <c r="D853" s="39">
        <v>45883</v>
      </c>
      <c r="E853" t="s">
        <v>194</v>
      </c>
      <c r="F853" t="s">
        <v>79</v>
      </c>
      <c r="G853">
        <v>4</v>
      </c>
      <c r="H853" t="s">
        <v>92</v>
      </c>
      <c r="I853">
        <v>0</v>
      </c>
      <c r="J853" t="s">
        <v>81</v>
      </c>
      <c r="K853" t="s">
        <v>79</v>
      </c>
      <c r="L853">
        <v>11</v>
      </c>
      <c r="M853">
        <v>155.18999999999997</v>
      </c>
      <c r="N853">
        <v>4.4000000000000004</v>
      </c>
      <c r="Q853">
        <v>150.78999999999996</v>
      </c>
      <c r="V853">
        <v>0</v>
      </c>
      <c r="W853">
        <v>0</v>
      </c>
      <c r="AF853">
        <v>0</v>
      </c>
      <c r="AG853">
        <v>0</v>
      </c>
      <c r="AH853">
        <v>0</v>
      </c>
      <c r="AI853">
        <v>12</v>
      </c>
      <c r="AJ853">
        <v>12</v>
      </c>
      <c r="AM853">
        <v>0</v>
      </c>
      <c r="AP853">
        <v>32</v>
      </c>
    </row>
    <row r="854" spans="1:42" x14ac:dyDescent="0.25">
      <c r="A854" t="s">
        <v>46</v>
      </c>
      <c r="B854">
        <v>2</v>
      </c>
      <c r="C854" t="s">
        <v>91</v>
      </c>
      <c r="D854" s="39">
        <v>45883</v>
      </c>
      <c r="E854" t="s">
        <v>194</v>
      </c>
      <c r="F854" t="s">
        <v>79</v>
      </c>
      <c r="G854">
        <v>4</v>
      </c>
      <c r="H854" t="s">
        <v>92</v>
      </c>
      <c r="I854">
        <v>0</v>
      </c>
      <c r="J854" t="s">
        <v>81</v>
      </c>
      <c r="K854" t="s">
        <v>79</v>
      </c>
      <c r="L854">
        <v>11</v>
      </c>
      <c r="M854">
        <v>149.44000000000003</v>
      </c>
      <c r="N854">
        <v>4.4000000000000004</v>
      </c>
      <c r="Q854">
        <v>145.04000000000002</v>
      </c>
      <c r="V854">
        <v>0</v>
      </c>
      <c r="W854">
        <v>0</v>
      </c>
      <c r="AF854">
        <v>0</v>
      </c>
      <c r="AG854">
        <v>0</v>
      </c>
      <c r="AH854">
        <v>0</v>
      </c>
      <c r="AI854">
        <v>12</v>
      </c>
      <c r="AJ854">
        <v>12</v>
      </c>
      <c r="AM854">
        <v>0</v>
      </c>
      <c r="AP854">
        <v>32</v>
      </c>
    </row>
    <row r="855" spans="1:42" x14ac:dyDescent="0.25">
      <c r="A855" t="s">
        <v>45</v>
      </c>
      <c r="B855">
        <v>3</v>
      </c>
      <c r="C855" t="s">
        <v>94</v>
      </c>
      <c r="D855" s="39">
        <v>45883</v>
      </c>
      <c r="E855" t="s">
        <v>194</v>
      </c>
      <c r="F855" t="s">
        <v>79</v>
      </c>
      <c r="G855">
        <v>8</v>
      </c>
      <c r="H855">
        <v>5</v>
      </c>
      <c r="I855">
        <v>0</v>
      </c>
      <c r="J855" t="s">
        <v>81</v>
      </c>
      <c r="K855" t="s">
        <v>79</v>
      </c>
      <c r="L855">
        <v>5</v>
      </c>
      <c r="M855">
        <v>202.5</v>
      </c>
      <c r="N855">
        <v>4</v>
      </c>
      <c r="Q855">
        <v>198.5</v>
      </c>
      <c r="V855">
        <v>0</v>
      </c>
      <c r="W855">
        <v>0</v>
      </c>
      <c r="AF855">
        <v>0</v>
      </c>
      <c r="AG855">
        <v>0</v>
      </c>
      <c r="AH855">
        <v>0</v>
      </c>
      <c r="AI855">
        <v>12</v>
      </c>
      <c r="AJ855">
        <v>12</v>
      </c>
      <c r="AM855">
        <v>0</v>
      </c>
      <c r="AP855">
        <v>32</v>
      </c>
    </row>
    <row r="856" spans="1:42" x14ac:dyDescent="0.25">
      <c r="A856" t="s">
        <v>45</v>
      </c>
      <c r="B856">
        <v>3</v>
      </c>
      <c r="C856" t="s">
        <v>83</v>
      </c>
      <c r="D856" s="39">
        <v>45883</v>
      </c>
      <c r="E856" t="s">
        <v>194</v>
      </c>
      <c r="F856" t="s">
        <v>79</v>
      </c>
      <c r="G856">
        <v>7</v>
      </c>
      <c r="H856">
        <v>5</v>
      </c>
      <c r="I856">
        <v>0</v>
      </c>
      <c r="J856" t="s">
        <v>81</v>
      </c>
      <c r="K856" t="s">
        <v>79</v>
      </c>
      <c r="L856">
        <v>1</v>
      </c>
      <c r="M856">
        <v>44.77</v>
      </c>
      <c r="N856">
        <v>0.7</v>
      </c>
      <c r="Q856">
        <v>44.07</v>
      </c>
      <c r="V856">
        <v>0</v>
      </c>
      <c r="W856">
        <v>0</v>
      </c>
      <c r="AF856">
        <v>0</v>
      </c>
      <c r="AG856">
        <v>0</v>
      </c>
      <c r="AH856">
        <v>0</v>
      </c>
      <c r="AI856">
        <v>12</v>
      </c>
      <c r="AJ856">
        <v>12</v>
      </c>
      <c r="AM856">
        <v>0</v>
      </c>
      <c r="AP856">
        <v>32</v>
      </c>
    </row>
    <row r="857" spans="1:42" x14ac:dyDescent="0.25">
      <c r="A857" t="s">
        <v>46</v>
      </c>
      <c r="B857">
        <v>3</v>
      </c>
      <c r="C857" t="s">
        <v>94</v>
      </c>
      <c r="D857" s="39">
        <v>45883</v>
      </c>
      <c r="E857" t="s">
        <v>194</v>
      </c>
      <c r="F857" t="s">
        <v>79</v>
      </c>
      <c r="G857">
        <v>8</v>
      </c>
      <c r="H857">
        <v>5</v>
      </c>
      <c r="I857">
        <v>0</v>
      </c>
      <c r="J857" t="s">
        <v>81</v>
      </c>
      <c r="K857" t="s">
        <v>79</v>
      </c>
      <c r="L857">
        <v>6</v>
      </c>
      <c r="M857">
        <v>224.94</v>
      </c>
      <c r="N857">
        <v>4.8000000000000007</v>
      </c>
      <c r="Q857">
        <v>220.14</v>
      </c>
      <c r="V857">
        <v>0</v>
      </c>
      <c r="W857">
        <v>0</v>
      </c>
      <c r="AF857">
        <v>0</v>
      </c>
      <c r="AG857">
        <v>0</v>
      </c>
      <c r="AH857">
        <v>0</v>
      </c>
      <c r="AI857">
        <v>12</v>
      </c>
      <c r="AJ857">
        <v>12</v>
      </c>
      <c r="AM857">
        <v>0</v>
      </c>
      <c r="AP857">
        <v>32</v>
      </c>
    </row>
    <row r="858" spans="1:42" x14ac:dyDescent="0.25">
      <c r="A858" t="s">
        <v>45</v>
      </c>
      <c r="B858">
        <v>4</v>
      </c>
      <c r="C858" t="s">
        <v>366</v>
      </c>
      <c r="D858" s="39">
        <v>45883</v>
      </c>
      <c r="E858" t="s">
        <v>276</v>
      </c>
      <c r="F858" t="s">
        <v>79</v>
      </c>
      <c r="G858">
        <v>18</v>
      </c>
      <c r="H858" t="s">
        <v>113</v>
      </c>
      <c r="I858" t="s">
        <v>114</v>
      </c>
      <c r="J858">
        <v>500</v>
      </c>
      <c r="K858" t="s">
        <v>79</v>
      </c>
      <c r="L858">
        <v>12</v>
      </c>
      <c r="M858">
        <v>634.28</v>
      </c>
      <c r="N858">
        <v>26.400000000000002</v>
      </c>
      <c r="Q858">
        <v>607.88</v>
      </c>
      <c r="V858">
        <v>0</v>
      </c>
      <c r="W858">
        <v>0</v>
      </c>
      <c r="AF858">
        <v>0</v>
      </c>
      <c r="AG858">
        <v>0</v>
      </c>
      <c r="AH858">
        <v>0</v>
      </c>
      <c r="AI858">
        <v>12</v>
      </c>
      <c r="AJ858">
        <v>12</v>
      </c>
      <c r="AM858">
        <v>0</v>
      </c>
      <c r="AP858">
        <v>32</v>
      </c>
    </row>
    <row r="859" spans="1:42" x14ac:dyDescent="0.25">
      <c r="A859" t="s">
        <v>45</v>
      </c>
      <c r="B859">
        <v>4</v>
      </c>
      <c r="C859" t="s">
        <v>101</v>
      </c>
      <c r="D859" s="39">
        <v>45883</v>
      </c>
      <c r="E859" t="s">
        <v>194</v>
      </c>
      <c r="F859" t="s">
        <v>79</v>
      </c>
      <c r="G859">
        <v>18</v>
      </c>
      <c r="H859">
        <v>5</v>
      </c>
      <c r="I859">
        <v>0</v>
      </c>
      <c r="J859" t="s">
        <v>81</v>
      </c>
      <c r="K859" t="s">
        <v>79</v>
      </c>
      <c r="L859">
        <v>2</v>
      </c>
      <c r="M859">
        <v>111.13</v>
      </c>
      <c r="N859">
        <v>4.3000000000000007</v>
      </c>
      <c r="Q859">
        <v>106.83</v>
      </c>
      <c r="V859">
        <v>0</v>
      </c>
      <c r="W859">
        <v>0</v>
      </c>
      <c r="AF859">
        <v>0</v>
      </c>
      <c r="AG859">
        <v>0</v>
      </c>
      <c r="AH859">
        <v>0</v>
      </c>
      <c r="AI859">
        <v>12</v>
      </c>
      <c r="AJ859">
        <v>12</v>
      </c>
      <c r="AM859">
        <v>0</v>
      </c>
      <c r="AP859">
        <v>32</v>
      </c>
    </row>
    <row r="860" spans="1:42" x14ac:dyDescent="0.25">
      <c r="A860" t="s">
        <v>46</v>
      </c>
      <c r="B860">
        <v>4</v>
      </c>
      <c r="C860" t="s">
        <v>101</v>
      </c>
      <c r="D860" s="39">
        <v>45883</v>
      </c>
      <c r="E860" t="s">
        <v>194</v>
      </c>
      <c r="F860" t="s">
        <v>79</v>
      </c>
      <c r="G860">
        <v>18</v>
      </c>
      <c r="H860">
        <v>5</v>
      </c>
      <c r="I860">
        <v>0</v>
      </c>
      <c r="J860" t="s">
        <v>81</v>
      </c>
      <c r="K860" t="s">
        <v>79</v>
      </c>
      <c r="L860">
        <v>2</v>
      </c>
      <c r="M860">
        <v>106.00999999999999</v>
      </c>
      <c r="N860">
        <v>4</v>
      </c>
      <c r="Q860">
        <v>102.00999999999999</v>
      </c>
      <c r="V860">
        <v>0</v>
      </c>
      <c r="W860">
        <v>0</v>
      </c>
      <c r="AF860">
        <v>0</v>
      </c>
      <c r="AG860">
        <v>0</v>
      </c>
      <c r="AH860">
        <v>0</v>
      </c>
      <c r="AI860">
        <v>12</v>
      </c>
      <c r="AJ860">
        <v>12</v>
      </c>
      <c r="AM860">
        <v>0</v>
      </c>
      <c r="AP860">
        <v>32</v>
      </c>
    </row>
    <row r="861" spans="1:42" x14ac:dyDescent="0.25">
      <c r="A861" t="s">
        <v>46</v>
      </c>
      <c r="B861">
        <v>4</v>
      </c>
      <c r="C861" t="s">
        <v>138</v>
      </c>
      <c r="D861" s="39">
        <v>45883</v>
      </c>
      <c r="E861" t="s">
        <v>194</v>
      </c>
      <c r="F861" t="s">
        <v>79</v>
      </c>
      <c r="G861">
        <v>17</v>
      </c>
      <c r="H861">
        <v>5</v>
      </c>
      <c r="I861">
        <v>0</v>
      </c>
      <c r="J861" t="s">
        <v>81</v>
      </c>
      <c r="K861" t="s">
        <v>79</v>
      </c>
      <c r="L861">
        <v>13</v>
      </c>
      <c r="M861">
        <v>640.4899999999999</v>
      </c>
      <c r="N861">
        <v>22.099999999999998</v>
      </c>
      <c r="Q861">
        <v>618.38999999999987</v>
      </c>
      <c r="V861">
        <v>0</v>
      </c>
      <c r="W861">
        <v>0</v>
      </c>
      <c r="AF861">
        <v>0</v>
      </c>
      <c r="AG861">
        <v>0</v>
      </c>
      <c r="AH861">
        <v>0</v>
      </c>
      <c r="AI861">
        <v>12</v>
      </c>
      <c r="AJ861">
        <v>12</v>
      </c>
      <c r="AM861">
        <v>0</v>
      </c>
      <c r="AP861">
        <v>32</v>
      </c>
    </row>
    <row r="862" spans="1:42" x14ac:dyDescent="0.25">
      <c r="A862" t="s">
        <v>45</v>
      </c>
      <c r="B862">
        <v>5</v>
      </c>
      <c r="C862" t="s">
        <v>85</v>
      </c>
      <c r="D862" s="39">
        <v>45883</v>
      </c>
      <c r="E862" t="s">
        <v>194</v>
      </c>
      <c r="F862" t="s">
        <v>79</v>
      </c>
      <c r="G862">
        <v>12</v>
      </c>
      <c r="H862">
        <v>5</v>
      </c>
      <c r="I862">
        <v>0</v>
      </c>
      <c r="J862" t="s">
        <v>81</v>
      </c>
      <c r="K862" t="s">
        <v>79</v>
      </c>
      <c r="L862">
        <v>10</v>
      </c>
      <c r="M862">
        <v>446.35</v>
      </c>
      <c r="N862">
        <v>14</v>
      </c>
      <c r="Q862">
        <v>432.35</v>
      </c>
      <c r="V862">
        <v>0</v>
      </c>
      <c r="W862">
        <v>0</v>
      </c>
      <c r="AF862">
        <v>0</v>
      </c>
      <c r="AG862">
        <v>0</v>
      </c>
      <c r="AH862">
        <v>0</v>
      </c>
      <c r="AI862">
        <v>12</v>
      </c>
      <c r="AJ862">
        <v>12</v>
      </c>
      <c r="AM862">
        <v>0</v>
      </c>
      <c r="AP862">
        <v>32</v>
      </c>
    </row>
    <row r="863" spans="1:42" x14ac:dyDescent="0.25">
      <c r="A863" t="s">
        <v>46</v>
      </c>
      <c r="B863">
        <v>5</v>
      </c>
      <c r="C863" t="s">
        <v>88</v>
      </c>
      <c r="D863" s="39">
        <v>45883</v>
      </c>
      <c r="E863" t="s">
        <v>194</v>
      </c>
      <c r="F863" t="s">
        <v>79</v>
      </c>
      <c r="G863">
        <v>10</v>
      </c>
      <c r="H863">
        <v>5</v>
      </c>
      <c r="I863">
        <v>0</v>
      </c>
      <c r="J863" t="s">
        <v>81</v>
      </c>
      <c r="K863" t="s">
        <v>79</v>
      </c>
      <c r="L863">
        <v>10</v>
      </c>
      <c r="M863">
        <v>387.21000000000004</v>
      </c>
      <c r="N863">
        <v>10</v>
      </c>
      <c r="Q863">
        <v>377.21000000000004</v>
      </c>
      <c r="V863">
        <v>0</v>
      </c>
      <c r="W863">
        <v>0</v>
      </c>
      <c r="AF863">
        <v>0</v>
      </c>
      <c r="AG863">
        <v>0</v>
      </c>
      <c r="AH863">
        <v>0</v>
      </c>
      <c r="AI863">
        <v>12</v>
      </c>
      <c r="AJ863">
        <v>12</v>
      </c>
      <c r="AM863">
        <v>0</v>
      </c>
      <c r="AP863">
        <v>32</v>
      </c>
    </row>
    <row r="864" spans="1:42" x14ac:dyDescent="0.25">
      <c r="A864" t="s">
        <v>46</v>
      </c>
      <c r="B864">
        <v>5</v>
      </c>
      <c r="C864" t="s">
        <v>85</v>
      </c>
      <c r="D864" s="39">
        <v>45883</v>
      </c>
      <c r="E864" t="s">
        <v>194</v>
      </c>
      <c r="F864" t="s">
        <v>79</v>
      </c>
      <c r="G864">
        <v>12</v>
      </c>
      <c r="H864">
        <v>5</v>
      </c>
      <c r="I864">
        <v>0</v>
      </c>
      <c r="J864" t="s">
        <v>81</v>
      </c>
      <c r="K864" t="s">
        <v>79</v>
      </c>
      <c r="L864">
        <v>1</v>
      </c>
      <c r="M864">
        <v>33.61</v>
      </c>
      <c r="N864">
        <v>1.4</v>
      </c>
      <c r="Q864">
        <v>32.21</v>
      </c>
      <c r="V864">
        <v>0</v>
      </c>
      <c r="W864">
        <v>0</v>
      </c>
      <c r="AF864">
        <v>0</v>
      </c>
      <c r="AG864">
        <v>0</v>
      </c>
      <c r="AH864">
        <v>0</v>
      </c>
      <c r="AI864">
        <v>12</v>
      </c>
      <c r="AJ864">
        <v>12</v>
      </c>
      <c r="AM864">
        <v>0</v>
      </c>
      <c r="AP864">
        <v>32</v>
      </c>
    </row>
    <row r="865" spans="1:42" x14ac:dyDescent="0.25">
      <c r="A865" t="s">
        <v>45</v>
      </c>
      <c r="B865">
        <v>1</v>
      </c>
      <c r="C865" t="s">
        <v>100</v>
      </c>
      <c r="D865" s="39">
        <v>45884</v>
      </c>
      <c r="E865" t="s">
        <v>194</v>
      </c>
      <c r="F865" t="s">
        <v>79</v>
      </c>
      <c r="G865">
        <v>2.5</v>
      </c>
      <c r="H865" t="s">
        <v>92</v>
      </c>
      <c r="I865">
        <v>0</v>
      </c>
      <c r="J865" t="s">
        <v>81</v>
      </c>
      <c r="K865" t="s">
        <v>79</v>
      </c>
      <c r="L865">
        <v>9</v>
      </c>
      <c r="M865">
        <v>101.31</v>
      </c>
      <c r="N865">
        <v>2.25</v>
      </c>
      <c r="O865">
        <v>18</v>
      </c>
      <c r="Q865">
        <v>99.06</v>
      </c>
      <c r="S865">
        <v>30</v>
      </c>
      <c r="V865">
        <v>30</v>
      </c>
      <c r="W865">
        <v>0.5</v>
      </c>
      <c r="AF865">
        <v>0</v>
      </c>
      <c r="AG865">
        <v>0</v>
      </c>
      <c r="AH865">
        <v>0.5</v>
      </c>
      <c r="AI865">
        <v>11.5</v>
      </c>
      <c r="AJ865">
        <v>12</v>
      </c>
      <c r="AM865">
        <v>0</v>
      </c>
      <c r="AP865">
        <v>32</v>
      </c>
    </row>
    <row r="866" spans="1:42" x14ac:dyDescent="0.25">
      <c r="A866" t="s">
        <v>45</v>
      </c>
      <c r="B866">
        <v>1</v>
      </c>
      <c r="C866" t="s">
        <v>110</v>
      </c>
      <c r="D866" s="39">
        <v>45884</v>
      </c>
      <c r="E866" t="s">
        <v>194</v>
      </c>
      <c r="F866" t="s">
        <v>79</v>
      </c>
      <c r="G866">
        <v>3.5</v>
      </c>
      <c r="H866" t="s">
        <v>92</v>
      </c>
      <c r="I866">
        <v>0</v>
      </c>
      <c r="J866" t="s">
        <v>81</v>
      </c>
      <c r="K866" t="s">
        <v>79</v>
      </c>
      <c r="L866">
        <v>2</v>
      </c>
      <c r="M866">
        <v>28.490000000000002</v>
      </c>
      <c r="N866">
        <v>0.7</v>
      </c>
      <c r="Q866">
        <v>27.790000000000003</v>
      </c>
      <c r="V866">
        <v>0</v>
      </c>
      <c r="W866">
        <v>0</v>
      </c>
      <c r="AF866">
        <v>0</v>
      </c>
      <c r="AG866">
        <v>0</v>
      </c>
      <c r="AH866">
        <v>0</v>
      </c>
      <c r="AI866">
        <v>12</v>
      </c>
      <c r="AJ866">
        <v>12</v>
      </c>
      <c r="AM866">
        <v>0</v>
      </c>
      <c r="AP866">
        <v>32</v>
      </c>
    </row>
    <row r="867" spans="1:42" x14ac:dyDescent="0.25">
      <c r="A867" t="s">
        <v>46</v>
      </c>
      <c r="B867">
        <v>1</v>
      </c>
      <c r="C867" t="s">
        <v>110</v>
      </c>
      <c r="D867" s="39">
        <v>45884</v>
      </c>
      <c r="E867" t="s">
        <v>194</v>
      </c>
      <c r="F867" t="s">
        <v>79</v>
      </c>
      <c r="G867">
        <v>3.5</v>
      </c>
      <c r="H867" t="s">
        <v>92</v>
      </c>
      <c r="I867">
        <v>0</v>
      </c>
      <c r="J867" t="s">
        <v>81</v>
      </c>
      <c r="K867" t="s">
        <v>79</v>
      </c>
      <c r="L867">
        <v>9</v>
      </c>
      <c r="M867">
        <v>143.04000000000002</v>
      </c>
      <c r="N867">
        <v>3.15</v>
      </c>
      <c r="O867">
        <v>28</v>
      </c>
      <c r="Q867">
        <v>139.89000000000001</v>
      </c>
      <c r="V867">
        <v>0</v>
      </c>
      <c r="W867">
        <v>0</v>
      </c>
      <c r="AF867">
        <v>0</v>
      </c>
      <c r="AG867">
        <v>0</v>
      </c>
      <c r="AH867">
        <v>0</v>
      </c>
      <c r="AI867">
        <v>12</v>
      </c>
      <c r="AJ867">
        <v>12</v>
      </c>
      <c r="AM867">
        <v>0</v>
      </c>
      <c r="AP867">
        <v>32</v>
      </c>
    </row>
    <row r="868" spans="1:42" x14ac:dyDescent="0.25">
      <c r="A868" t="s">
        <v>45</v>
      </c>
      <c r="B868">
        <v>2</v>
      </c>
      <c r="C868" t="s">
        <v>91</v>
      </c>
      <c r="D868" s="39">
        <v>45884</v>
      </c>
      <c r="E868" t="s">
        <v>194</v>
      </c>
      <c r="F868" t="s">
        <v>79</v>
      </c>
      <c r="G868">
        <v>4</v>
      </c>
      <c r="H868" t="s">
        <v>92</v>
      </c>
      <c r="I868">
        <v>0</v>
      </c>
      <c r="J868" t="s">
        <v>81</v>
      </c>
      <c r="K868" t="s">
        <v>79</v>
      </c>
      <c r="L868">
        <v>10</v>
      </c>
      <c r="M868">
        <v>148.97999999999999</v>
      </c>
      <c r="N868">
        <v>4</v>
      </c>
      <c r="Q868">
        <v>144.97999999999999</v>
      </c>
      <c r="V868">
        <v>0</v>
      </c>
      <c r="W868">
        <v>0</v>
      </c>
      <c r="AF868">
        <v>0</v>
      </c>
      <c r="AG868">
        <v>0</v>
      </c>
      <c r="AH868">
        <v>0</v>
      </c>
      <c r="AI868">
        <v>12</v>
      </c>
      <c r="AJ868">
        <v>12</v>
      </c>
      <c r="AM868">
        <v>0</v>
      </c>
      <c r="AP868">
        <v>32</v>
      </c>
    </row>
    <row r="869" spans="1:42" x14ac:dyDescent="0.25">
      <c r="A869" t="s">
        <v>46</v>
      </c>
      <c r="B869">
        <v>2</v>
      </c>
      <c r="C869" t="s">
        <v>91</v>
      </c>
      <c r="D869" s="39">
        <v>45884</v>
      </c>
      <c r="E869" t="s">
        <v>194</v>
      </c>
      <c r="F869" t="s">
        <v>79</v>
      </c>
      <c r="G869">
        <v>4</v>
      </c>
      <c r="H869" t="s">
        <v>92</v>
      </c>
      <c r="I869">
        <v>0</v>
      </c>
      <c r="J869" t="s">
        <v>81</v>
      </c>
      <c r="K869" t="s">
        <v>79</v>
      </c>
      <c r="L869">
        <v>9</v>
      </c>
      <c r="M869">
        <v>138.41</v>
      </c>
      <c r="N869">
        <v>3.6</v>
      </c>
      <c r="Q869">
        <v>134.81</v>
      </c>
      <c r="V869">
        <v>0</v>
      </c>
      <c r="W869">
        <v>0</v>
      </c>
      <c r="AF869">
        <v>0</v>
      </c>
      <c r="AG869">
        <v>0</v>
      </c>
      <c r="AH869">
        <v>0</v>
      </c>
      <c r="AI869">
        <v>12</v>
      </c>
      <c r="AJ869">
        <v>12</v>
      </c>
      <c r="AM869">
        <v>0</v>
      </c>
      <c r="AP869">
        <v>32</v>
      </c>
    </row>
    <row r="870" spans="1:42" x14ac:dyDescent="0.25">
      <c r="A870" t="s">
        <v>45</v>
      </c>
      <c r="B870">
        <v>3</v>
      </c>
      <c r="C870" t="s">
        <v>94</v>
      </c>
      <c r="D870" s="39">
        <v>45884</v>
      </c>
      <c r="E870" t="s">
        <v>194</v>
      </c>
      <c r="F870" t="s">
        <v>79</v>
      </c>
      <c r="G870">
        <v>8</v>
      </c>
      <c r="H870">
        <v>5</v>
      </c>
      <c r="I870">
        <v>0</v>
      </c>
      <c r="J870" t="s">
        <v>81</v>
      </c>
      <c r="K870" t="s">
        <v>79</v>
      </c>
      <c r="L870">
        <v>7</v>
      </c>
      <c r="M870">
        <v>248.50000000000003</v>
      </c>
      <c r="N870">
        <v>7</v>
      </c>
      <c r="Q870">
        <v>241.50000000000003</v>
      </c>
      <c r="V870">
        <v>0</v>
      </c>
      <c r="W870">
        <v>0</v>
      </c>
      <c r="AF870">
        <v>0</v>
      </c>
      <c r="AG870">
        <v>0</v>
      </c>
      <c r="AH870">
        <v>0</v>
      </c>
      <c r="AI870">
        <v>12</v>
      </c>
      <c r="AJ870">
        <v>12</v>
      </c>
      <c r="AM870">
        <v>0</v>
      </c>
      <c r="AP870">
        <v>32</v>
      </c>
    </row>
    <row r="871" spans="1:42" x14ac:dyDescent="0.25">
      <c r="A871" t="s">
        <v>46</v>
      </c>
      <c r="B871">
        <v>3</v>
      </c>
      <c r="C871" t="s">
        <v>94</v>
      </c>
      <c r="D871" s="39">
        <v>45884</v>
      </c>
      <c r="E871" t="s">
        <v>194</v>
      </c>
      <c r="F871" t="s">
        <v>79</v>
      </c>
      <c r="G871">
        <v>8</v>
      </c>
      <c r="H871">
        <v>5</v>
      </c>
      <c r="I871">
        <v>0</v>
      </c>
      <c r="J871" t="s">
        <v>81</v>
      </c>
      <c r="K871" t="s">
        <v>79</v>
      </c>
      <c r="L871">
        <v>7</v>
      </c>
      <c r="M871">
        <v>242.98</v>
      </c>
      <c r="N871">
        <v>7</v>
      </c>
      <c r="Q871">
        <v>235.98</v>
      </c>
      <c r="V871">
        <v>0</v>
      </c>
      <c r="W871">
        <v>0</v>
      </c>
      <c r="AF871">
        <v>0</v>
      </c>
      <c r="AG871">
        <v>0</v>
      </c>
      <c r="AH871">
        <v>0</v>
      </c>
      <c r="AI871">
        <v>12</v>
      </c>
      <c r="AJ871">
        <v>12</v>
      </c>
      <c r="AM871">
        <v>0</v>
      </c>
      <c r="AP871">
        <v>32</v>
      </c>
    </row>
    <row r="872" spans="1:42" x14ac:dyDescent="0.25">
      <c r="A872" t="s">
        <v>45</v>
      </c>
      <c r="B872">
        <v>4</v>
      </c>
      <c r="C872" t="s">
        <v>138</v>
      </c>
      <c r="D872" s="39">
        <v>45884</v>
      </c>
      <c r="E872" t="s">
        <v>194</v>
      </c>
      <c r="F872" t="s">
        <v>79</v>
      </c>
      <c r="G872">
        <v>17</v>
      </c>
      <c r="H872">
        <v>5</v>
      </c>
      <c r="I872">
        <v>0</v>
      </c>
      <c r="J872" t="s">
        <v>81</v>
      </c>
      <c r="K872" t="s">
        <v>79</v>
      </c>
      <c r="L872">
        <v>14</v>
      </c>
      <c r="M872">
        <v>720.96</v>
      </c>
      <c r="N872">
        <v>28</v>
      </c>
      <c r="Q872">
        <v>692.96</v>
      </c>
      <c r="V872">
        <v>0</v>
      </c>
      <c r="W872">
        <v>0</v>
      </c>
      <c r="AF872">
        <v>0</v>
      </c>
      <c r="AG872">
        <v>0</v>
      </c>
      <c r="AH872">
        <v>0</v>
      </c>
      <c r="AI872">
        <v>12</v>
      </c>
      <c r="AJ872">
        <v>12</v>
      </c>
      <c r="AM872">
        <v>0</v>
      </c>
      <c r="AP872">
        <v>32</v>
      </c>
    </row>
    <row r="873" spans="1:42" x14ac:dyDescent="0.25">
      <c r="A873" t="s">
        <v>46</v>
      </c>
      <c r="B873">
        <v>4</v>
      </c>
      <c r="C873" t="s">
        <v>138</v>
      </c>
      <c r="D873" s="39">
        <v>45884</v>
      </c>
      <c r="E873" t="s">
        <v>194</v>
      </c>
      <c r="F873" t="s">
        <v>79</v>
      </c>
      <c r="G873">
        <v>17</v>
      </c>
      <c r="H873">
        <v>5</v>
      </c>
      <c r="I873">
        <v>0</v>
      </c>
      <c r="J873" t="s">
        <v>81</v>
      </c>
      <c r="K873" t="s">
        <v>79</v>
      </c>
      <c r="L873">
        <v>15</v>
      </c>
      <c r="M873">
        <v>716.07999999999993</v>
      </c>
      <c r="N873">
        <v>30</v>
      </c>
      <c r="Q873">
        <v>686.07999999999993</v>
      </c>
      <c r="V873">
        <v>0</v>
      </c>
      <c r="W873">
        <v>0</v>
      </c>
      <c r="AF873">
        <v>0</v>
      </c>
      <c r="AG873">
        <v>0</v>
      </c>
      <c r="AH873">
        <v>0</v>
      </c>
      <c r="AI873">
        <v>12</v>
      </c>
      <c r="AJ873">
        <v>12</v>
      </c>
      <c r="AM873">
        <v>0</v>
      </c>
      <c r="AP873">
        <v>32</v>
      </c>
    </row>
    <row r="874" spans="1:42" x14ac:dyDescent="0.25">
      <c r="A874" t="s">
        <v>45</v>
      </c>
      <c r="B874">
        <v>5</v>
      </c>
      <c r="C874" t="s">
        <v>88</v>
      </c>
      <c r="D874" s="39">
        <v>45884</v>
      </c>
      <c r="E874" t="s">
        <v>194</v>
      </c>
      <c r="F874" t="s">
        <v>79</v>
      </c>
      <c r="G874">
        <v>10</v>
      </c>
      <c r="H874">
        <v>5</v>
      </c>
      <c r="I874">
        <v>0</v>
      </c>
      <c r="J874" t="s">
        <v>81</v>
      </c>
      <c r="K874" t="s">
        <v>79</v>
      </c>
      <c r="L874">
        <v>10</v>
      </c>
      <c r="M874">
        <v>434.96000000000009</v>
      </c>
      <c r="N874">
        <v>12</v>
      </c>
      <c r="Q874">
        <v>422.96000000000009</v>
      </c>
      <c r="V874">
        <v>0</v>
      </c>
      <c r="W874">
        <v>0</v>
      </c>
      <c r="AF874">
        <v>0</v>
      </c>
      <c r="AG874">
        <v>0</v>
      </c>
      <c r="AH874">
        <v>0</v>
      </c>
      <c r="AI874">
        <v>12</v>
      </c>
      <c r="AJ874">
        <v>12</v>
      </c>
      <c r="AM874">
        <v>0</v>
      </c>
      <c r="AP874">
        <v>32</v>
      </c>
    </row>
    <row r="875" spans="1:42" x14ac:dyDescent="0.25">
      <c r="A875" t="s">
        <v>46</v>
      </c>
      <c r="B875">
        <v>5</v>
      </c>
      <c r="C875" t="s">
        <v>88</v>
      </c>
      <c r="D875" s="39">
        <v>45884</v>
      </c>
      <c r="E875" t="s">
        <v>194</v>
      </c>
      <c r="F875" t="s">
        <v>79</v>
      </c>
      <c r="G875">
        <v>10</v>
      </c>
      <c r="H875">
        <v>5</v>
      </c>
      <c r="I875">
        <v>0</v>
      </c>
      <c r="J875" t="s">
        <v>81</v>
      </c>
      <c r="K875" t="s">
        <v>79</v>
      </c>
      <c r="L875">
        <v>10</v>
      </c>
      <c r="M875">
        <v>418.63999999999993</v>
      </c>
      <c r="N875">
        <v>12</v>
      </c>
      <c r="Q875">
        <v>406.63999999999993</v>
      </c>
      <c r="V875">
        <v>0</v>
      </c>
      <c r="W875">
        <v>0</v>
      </c>
      <c r="AF875">
        <v>0</v>
      </c>
      <c r="AG875">
        <v>0</v>
      </c>
      <c r="AH875">
        <v>0</v>
      </c>
      <c r="AI875">
        <v>12</v>
      </c>
      <c r="AJ875">
        <v>12</v>
      </c>
      <c r="AM875">
        <v>0</v>
      </c>
      <c r="AP875">
        <v>32</v>
      </c>
    </row>
    <row r="876" spans="1:42" x14ac:dyDescent="0.25">
      <c r="A876" t="s">
        <v>45</v>
      </c>
      <c r="B876">
        <v>1</v>
      </c>
      <c r="C876" t="s">
        <v>110</v>
      </c>
      <c r="D876" s="39">
        <v>45885</v>
      </c>
      <c r="E876" t="s">
        <v>194</v>
      </c>
      <c r="F876" t="s">
        <v>79</v>
      </c>
      <c r="G876">
        <v>3.5</v>
      </c>
      <c r="H876" t="s">
        <v>92</v>
      </c>
      <c r="I876">
        <v>0</v>
      </c>
      <c r="J876" t="s">
        <v>81</v>
      </c>
      <c r="K876" t="s">
        <v>79</v>
      </c>
      <c r="L876">
        <v>1</v>
      </c>
      <c r="M876">
        <v>16.18</v>
      </c>
      <c r="N876">
        <v>0.3</v>
      </c>
      <c r="O876">
        <v>37</v>
      </c>
      <c r="Q876">
        <v>15.879999999999999</v>
      </c>
      <c r="V876">
        <v>0</v>
      </c>
      <c r="W876">
        <v>0</v>
      </c>
      <c r="AF876">
        <v>0</v>
      </c>
      <c r="AG876">
        <v>0</v>
      </c>
      <c r="AH876">
        <v>0</v>
      </c>
      <c r="AI876">
        <v>12</v>
      </c>
      <c r="AJ876">
        <v>12</v>
      </c>
      <c r="AM876">
        <v>0</v>
      </c>
      <c r="AP876">
        <v>33</v>
      </c>
    </row>
    <row r="877" spans="1:42" x14ac:dyDescent="0.25">
      <c r="A877" t="s">
        <v>45</v>
      </c>
      <c r="B877">
        <v>1</v>
      </c>
      <c r="C877" t="s">
        <v>100</v>
      </c>
      <c r="D877" s="39">
        <v>45885</v>
      </c>
      <c r="E877" t="s">
        <v>194</v>
      </c>
      <c r="F877" t="s">
        <v>79</v>
      </c>
      <c r="G877">
        <v>2.5</v>
      </c>
      <c r="H877" t="s">
        <v>92</v>
      </c>
      <c r="I877">
        <v>0</v>
      </c>
      <c r="J877" t="s">
        <v>81</v>
      </c>
      <c r="K877" t="s">
        <v>79</v>
      </c>
      <c r="L877">
        <v>4</v>
      </c>
      <c r="M877">
        <v>49.910000000000004</v>
      </c>
      <c r="N877">
        <v>0.8</v>
      </c>
      <c r="Q877">
        <v>49.110000000000007</v>
      </c>
      <c r="S877">
        <v>30</v>
      </c>
      <c r="V877">
        <v>30</v>
      </c>
      <c r="W877">
        <v>0.5</v>
      </c>
      <c r="AF877">
        <v>0</v>
      </c>
      <c r="AG877">
        <v>0</v>
      </c>
      <c r="AH877">
        <v>0.5</v>
      </c>
      <c r="AI877">
        <v>11.5</v>
      </c>
      <c r="AJ877">
        <v>12</v>
      </c>
      <c r="AM877">
        <v>0</v>
      </c>
      <c r="AP877">
        <v>33</v>
      </c>
    </row>
    <row r="878" spans="1:42" x14ac:dyDescent="0.25">
      <c r="A878" t="s">
        <v>45</v>
      </c>
      <c r="B878">
        <v>1</v>
      </c>
      <c r="C878" t="s">
        <v>110</v>
      </c>
      <c r="D878" s="39">
        <v>45885</v>
      </c>
      <c r="E878" t="s">
        <v>194</v>
      </c>
      <c r="F878" t="s">
        <v>79</v>
      </c>
      <c r="G878">
        <v>3.5</v>
      </c>
      <c r="H878" t="s">
        <v>92</v>
      </c>
      <c r="I878">
        <v>0</v>
      </c>
      <c r="J878" t="s">
        <v>81</v>
      </c>
      <c r="K878" t="s">
        <v>79</v>
      </c>
      <c r="L878">
        <v>4</v>
      </c>
      <c r="M878">
        <v>59.620000000000005</v>
      </c>
      <c r="N878">
        <v>1.2</v>
      </c>
      <c r="Q878">
        <v>58.42</v>
      </c>
      <c r="V878">
        <v>0</v>
      </c>
      <c r="W878">
        <v>0</v>
      </c>
      <c r="AF878">
        <v>0</v>
      </c>
      <c r="AG878">
        <v>0</v>
      </c>
      <c r="AH878">
        <v>0</v>
      </c>
      <c r="AI878">
        <v>12</v>
      </c>
      <c r="AJ878">
        <v>12</v>
      </c>
      <c r="AM878">
        <v>0</v>
      </c>
      <c r="AP878">
        <v>33</v>
      </c>
    </row>
    <row r="879" spans="1:42" x14ac:dyDescent="0.25">
      <c r="A879" t="s">
        <v>46</v>
      </c>
      <c r="B879">
        <v>1</v>
      </c>
      <c r="C879" t="s">
        <v>110</v>
      </c>
      <c r="D879" s="39">
        <v>45885</v>
      </c>
      <c r="E879" t="s">
        <v>194</v>
      </c>
      <c r="F879" t="s">
        <v>79</v>
      </c>
      <c r="G879">
        <v>3.5</v>
      </c>
      <c r="H879" t="s">
        <v>92</v>
      </c>
      <c r="I879">
        <v>0</v>
      </c>
      <c r="J879" t="s">
        <v>81</v>
      </c>
      <c r="K879" t="s">
        <v>79</v>
      </c>
      <c r="L879">
        <v>11</v>
      </c>
      <c r="M879">
        <v>150.45000000000002</v>
      </c>
      <c r="N879">
        <v>3.3</v>
      </c>
      <c r="O879">
        <v>30</v>
      </c>
      <c r="Q879">
        <v>147.15</v>
      </c>
      <c r="V879">
        <v>0</v>
      </c>
      <c r="W879">
        <v>0</v>
      </c>
      <c r="AF879">
        <v>0</v>
      </c>
      <c r="AG879">
        <v>0</v>
      </c>
      <c r="AH879">
        <v>0</v>
      </c>
      <c r="AI879">
        <v>12</v>
      </c>
      <c r="AJ879">
        <v>12</v>
      </c>
      <c r="AM879">
        <v>0</v>
      </c>
      <c r="AP879">
        <v>33</v>
      </c>
    </row>
    <row r="880" spans="1:42" x14ac:dyDescent="0.25">
      <c r="A880" t="s">
        <v>45</v>
      </c>
      <c r="B880">
        <v>2</v>
      </c>
      <c r="C880" t="s">
        <v>91</v>
      </c>
      <c r="D880" s="39">
        <v>45885</v>
      </c>
      <c r="E880" t="s">
        <v>194</v>
      </c>
      <c r="F880" t="s">
        <v>79</v>
      </c>
      <c r="G880">
        <v>4</v>
      </c>
      <c r="H880" t="s">
        <v>92</v>
      </c>
      <c r="I880">
        <v>0</v>
      </c>
      <c r="J880" t="s">
        <v>81</v>
      </c>
      <c r="K880" t="s">
        <v>79</v>
      </c>
      <c r="L880">
        <v>10</v>
      </c>
      <c r="M880">
        <v>149.38000000000002</v>
      </c>
      <c r="N880">
        <v>4</v>
      </c>
      <c r="Q880">
        <v>145.38000000000002</v>
      </c>
      <c r="V880">
        <v>0</v>
      </c>
      <c r="W880">
        <v>0</v>
      </c>
      <c r="AF880">
        <v>0</v>
      </c>
      <c r="AG880">
        <v>0</v>
      </c>
      <c r="AH880">
        <v>0</v>
      </c>
      <c r="AI880">
        <v>12</v>
      </c>
      <c r="AJ880">
        <v>12</v>
      </c>
      <c r="AM880">
        <v>0</v>
      </c>
      <c r="AP880">
        <v>33</v>
      </c>
    </row>
    <row r="881" spans="1:42" x14ac:dyDescent="0.25">
      <c r="A881" t="s">
        <v>46</v>
      </c>
      <c r="B881">
        <v>2</v>
      </c>
      <c r="C881" t="s">
        <v>91</v>
      </c>
      <c r="D881" s="39">
        <v>45885</v>
      </c>
      <c r="E881" t="s">
        <v>194</v>
      </c>
      <c r="F881" t="s">
        <v>79</v>
      </c>
      <c r="G881">
        <v>4</v>
      </c>
      <c r="H881" t="s">
        <v>92</v>
      </c>
      <c r="I881">
        <v>0</v>
      </c>
      <c r="J881" t="s">
        <v>81</v>
      </c>
      <c r="K881" t="s">
        <v>79</v>
      </c>
      <c r="L881">
        <v>11</v>
      </c>
      <c r="M881">
        <v>153.39000000000001</v>
      </c>
      <c r="N881">
        <v>4.4000000000000004</v>
      </c>
      <c r="Q881">
        <v>148.99</v>
      </c>
      <c r="V881">
        <v>0</v>
      </c>
      <c r="W881">
        <v>0</v>
      </c>
      <c r="AF881">
        <v>0</v>
      </c>
      <c r="AG881">
        <v>0</v>
      </c>
      <c r="AH881">
        <v>0</v>
      </c>
      <c r="AI881">
        <v>12</v>
      </c>
      <c r="AJ881">
        <v>12</v>
      </c>
      <c r="AM881">
        <v>0</v>
      </c>
      <c r="AP881">
        <v>33</v>
      </c>
    </row>
    <row r="882" spans="1:42" x14ac:dyDescent="0.25">
      <c r="A882" t="s">
        <v>45</v>
      </c>
      <c r="B882">
        <v>3</v>
      </c>
      <c r="C882" t="s">
        <v>94</v>
      </c>
      <c r="D882" s="39">
        <v>45885</v>
      </c>
      <c r="E882" t="s">
        <v>194</v>
      </c>
      <c r="F882" t="s">
        <v>79</v>
      </c>
      <c r="G882">
        <v>8</v>
      </c>
      <c r="H882">
        <v>5</v>
      </c>
      <c r="I882">
        <v>0</v>
      </c>
      <c r="J882" t="s">
        <v>81</v>
      </c>
      <c r="K882" t="s">
        <v>79</v>
      </c>
      <c r="L882">
        <v>6</v>
      </c>
      <c r="M882">
        <v>239.89000000000001</v>
      </c>
      <c r="N882">
        <v>5.2</v>
      </c>
      <c r="Q882">
        <v>234.69000000000003</v>
      </c>
      <c r="V882">
        <v>0</v>
      </c>
      <c r="W882">
        <v>0</v>
      </c>
      <c r="Z882">
        <v>100</v>
      </c>
      <c r="AF882">
        <v>100</v>
      </c>
      <c r="AG882">
        <v>1.6666666666666667</v>
      </c>
      <c r="AH882">
        <v>1.6666666666666667</v>
      </c>
      <c r="AI882">
        <v>10.333333333333334</v>
      </c>
      <c r="AJ882">
        <v>12</v>
      </c>
      <c r="AM882">
        <v>0</v>
      </c>
      <c r="AP882">
        <v>33</v>
      </c>
    </row>
    <row r="883" spans="1:42" x14ac:dyDescent="0.25">
      <c r="A883" t="s">
        <v>46</v>
      </c>
      <c r="B883">
        <v>3</v>
      </c>
      <c r="C883" t="s">
        <v>94</v>
      </c>
      <c r="D883" s="39">
        <v>45885</v>
      </c>
      <c r="E883" t="s">
        <v>194</v>
      </c>
      <c r="F883" t="s">
        <v>79</v>
      </c>
      <c r="G883">
        <v>8</v>
      </c>
      <c r="H883">
        <v>5</v>
      </c>
      <c r="I883">
        <v>0</v>
      </c>
      <c r="J883" t="s">
        <v>81</v>
      </c>
      <c r="K883" t="s">
        <v>79</v>
      </c>
      <c r="L883">
        <v>7</v>
      </c>
      <c r="M883">
        <v>254.29</v>
      </c>
      <c r="N883">
        <v>5.6000000000000005</v>
      </c>
      <c r="Q883">
        <v>248.69</v>
      </c>
      <c r="V883">
        <v>0</v>
      </c>
      <c r="W883">
        <v>0</v>
      </c>
      <c r="AF883">
        <v>0</v>
      </c>
      <c r="AG883">
        <v>0</v>
      </c>
      <c r="AH883">
        <v>0</v>
      </c>
      <c r="AI883">
        <v>12</v>
      </c>
      <c r="AJ883">
        <v>12</v>
      </c>
      <c r="AM883">
        <v>0</v>
      </c>
      <c r="AP883">
        <v>33</v>
      </c>
    </row>
    <row r="884" spans="1:42" x14ac:dyDescent="0.25">
      <c r="A884" t="s">
        <v>45</v>
      </c>
      <c r="B884">
        <v>4</v>
      </c>
      <c r="C884" t="s">
        <v>409</v>
      </c>
      <c r="D884" s="39">
        <v>45885</v>
      </c>
      <c r="E884" t="s">
        <v>396</v>
      </c>
      <c r="F884" t="s">
        <v>79</v>
      </c>
      <c r="G884">
        <v>17</v>
      </c>
      <c r="H884" t="s">
        <v>92</v>
      </c>
      <c r="I884">
        <v>0</v>
      </c>
      <c r="J884">
        <v>5000</v>
      </c>
      <c r="K884" t="s">
        <v>79</v>
      </c>
      <c r="L884">
        <v>17</v>
      </c>
      <c r="M884">
        <v>747.57</v>
      </c>
      <c r="N884">
        <v>33.979999999999997</v>
      </c>
      <c r="Q884">
        <v>713.59</v>
      </c>
      <c r="V884">
        <v>0</v>
      </c>
      <c r="W884">
        <v>0</v>
      </c>
      <c r="AF884">
        <v>0</v>
      </c>
      <c r="AG884">
        <v>0</v>
      </c>
      <c r="AH884">
        <v>0</v>
      </c>
      <c r="AI884">
        <v>12</v>
      </c>
      <c r="AJ884">
        <v>12</v>
      </c>
      <c r="AM884">
        <v>0</v>
      </c>
      <c r="AP884">
        <v>33</v>
      </c>
    </row>
    <row r="885" spans="1:42" x14ac:dyDescent="0.25">
      <c r="A885" t="s">
        <v>45</v>
      </c>
      <c r="B885">
        <v>4</v>
      </c>
      <c r="C885" t="s">
        <v>410</v>
      </c>
      <c r="D885" s="39">
        <v>45885</v>
      </c>
      <c r="E885" t="s">
        <v>411</v>
      </c>
      <c r="F885" t="s">
        <v>79</v>
      </c>
      <c r="G885">
        <v>15</v>
      </c>
      <c r="H885">
        <v>8</v>
      </c>
      <c r="I885">
        <v>0</v>
      </c>
      <c r="J885">
        <v>100</v>
      </c>
      <c r="K885" t="s">
        <v>79</v>
      </c>
      <c r="L885">
        <v>1</v>
      </c>
      <c r="M885">
        <v>38.799999999999997</v>
      </c>
      <c r="N885">
        <v>1.5</v>
      </c>
      <c r="Q885">
        <v>37.299999999999997</v>
      </c>
      <c r="V885">
        <v>0</v>
      </c>
      <c r="W885">
        <v>0</v>
      </c>
      <c r="AF885">
        <v>0</v>
      </c>
      <c r="AG885">
        <v>0</v>
      </c>
      <c r="AH885">
        <v>0</v>
      </c>
      <c r="AI885">
        <v>12</v>
      </c>
      <c r="AJ885">
        <v>12</v>
      </c>
      <c r="AM885">
        <v>0</v>
      </c>
      <c r="AP885">
        <v>33</v>
      </c>
    </row>
    <row r="886" spans="1:42" x14ac:dyDescent="0.25">
      <c r="A886" t="s">
        <v>46</v>
      </c>
      <c r="B886">
        <v>4</v>
      </c>
      <c r="C886" t="s">
        <v>409</v>
      </c>
      <c r="D886" s="39">
        <v>45885</v>
      </c>
      <c r="E886" t="s">
        <v>396</v>
      </c>
      <c r="F886" t="s">
        <v>79</v>
      </c>
      <c r="G886">
        <v>17</v>
      </c>
      <c r="H886" t="s">
        <v>92</v>
      </c>
      <c r="I886">
        <v>0</v>
      </c>
      <c r="J886">
        <v>5000</v>
      </c>
      <c r="K886" t="s">
        <v>79</v>
      </c>
      <c r="L886">
        <v>2</v>
      </c>
      <c r="M886">
        <v>113.89</v>
      </c>
      <c r="N886">
        <v>3.4</v>
      </c>
      <c r="Q886">
        <v>110.49</v>
      </c>
      <c r="V886">
        <v>0</v>
      </c>
      <c r="W886">
        <v>0</v>
      </c>
      <c r="AF886">
        <v>0</v>
      </c>
      <c r="AG886">
        <v>0</v>
      </c>
      <c r="AH886">
        <v>0</v>
      </c>
      <c r="AI886">
        <v>12</v>
      </c>
      <c r="AJ886">
        <v>12</v>
      </c>
      <c r="AM886">
        <v>0</v>
      </c>
      <c r="AP886">
        <v>33</v>
      </c>
    </row>
    <row r="887" spans="1:42" x14ac:dyDescent="0.25">
      <c r="A887" t="s">
        <v>46</v>
      </c>
      <c r="B887">
        <v>4</v>
      </c>
      <c r="C887" t="s">
        <v>412</v>
      </c>
      <c r="D887" s="39">
        <v>45885</v>
      </c>
      <c r="E887" t="s">
        <v>200</v>
      </c>
      <c r="F887" t="s">
        <v>79</v>
      </c>
      <c r="G887">
        <v>15</v>
      </c>
      <c r="H887">
        <v>10</v>
      </c>
      <c r="I887">
        <v>0</v>
      </c>
      <c r="J887">
        <v>125</v>
      </c>
      <c r="K887" t="s">
        <v>79</v>
      </c>
      <c r="L887">
        <v>4</v>
      </c>
      <c r="M887">
        <v>140.72</v>
      </c>
      <c r="N887">
        <v>6</v>
      </c>
      <c r="Q887">
        <v>134.72</v>
      </c>
      <c r="V887">
        <v>0</v>
      </c>
      <c r="W887">
        <v>0</v>
      </c>
      <c r="AF887">
        <v>0</v>
      </c>
      <c r="AG887">
        <v>0</v>
      </c>
      <c r="AH887">
        <v>0</v>
      </c>
      <c r="AI887">
        <v>12</v>
      </c>
      <c r="AJ887">
        <v>12</v>
      </c>
      <c r="AM887">
        <v>0</v>
      </c>
      <c r="AP887">
        <v>33</v>
      </c>
    </row>
    <row r="888" spans="1:42" x14ac:dyDescent="0.25">
      <c r="A888" t="s">
        <v>46</v>
      </c>
      <c r="B888">
        <v>4</v>
      </c>
      <c r="C888" t="s">
        <v>410</v>
      </c>
      <c r="D888" s="39">
        <v>45885</v>
      </c>
      <c r="E888" t="s">
        <v>411</v>
      </c>
      <c r="F888" t="s">
        <v>79</v>
      </c>
      <c r="G888">
        <v>15</v>
      </c>
      <c r="H888">
        <v>8</v>
      </c>
      <c r="I888">
        <v>0</v>
      </c>
      <c r="J888">
        <v>100</v>
      </c>
      <c r="K888" t="s">
        <v>79</v>
      </c>
      <c r="L888">
        <v>3</v>
      </c>
      <c r="M888">
        <v>115.3</v>
      </c>
      <c r="N888">
        <v>4.5</v>
      </c>
      <c r="Q888">
        <v>110.8</v>
      </c>
      <c r="V888">
        <v>0</v>
      </c>
      <c r="W888">
        <v>0</v>
      </c>
      <c r="AF888">
        <v>0</v>
      </c>
      <c r="AG888">
        <v>0</v>
      </c>
      <c r="AH888">
        <v>0</v>
      </c>
      <c r="AI888">
        <v>12</v>
      </c>
      <c r="AJ888">
        <v>12</v>
      </c>
      <c r="AM888">
        <v>0</v>
      </c>
      <c r="AP888">
        <v>33</v>
      </c>
    </row>
    <row r="889" spans="1:42" x14ac:dyDescent="0.25">
      <c r="A889" t="s">
        <v>46</v>
      </c>
      <c r="B889">
        <v>4</v>
      </c>
      <c r="C889" t="s">
        <v>413</v>
      </c>
      <c r="D889" s="39">
        <v>45885</v>
      </c>
      <c r="E889" t="s">
        <v>414</v>
      </c>
      <c r="F889" t="s">
        <v>79</v>
      </c>
      <c r="G889">
        <v>12</v>
      </c>
      <c r="H889">
        <v>5</v>
      </c>
      <c r="I889">
        <v>0</v>
      </c>
      <c r="J889">
        <v>150</v>
      </c>
      <c r="K889" t="s">
        <v>79</v>
      </c>
      <c r="L889">
        <v>9</v>
      </c>
      <c r="M889">
        <v>383.54</v>
      </c>
      <c r="N889">
        <v>13.5</v>
      </c>
      <c r="Q889">
        <v>370.04</v>
      </c>
      <c r="V889">
        <v>0</v>
      </c>
      <c r="W889">
        <v>0</v>
      </c>
      <c r="AF889">
        <v>0</v>
      </c>
      <c r="AG889">
        <v>0</v>
      </c>
      <c r="AH889">
        <v>0</v>
      </c>
      <c r="AI889">
        <v>12</v>
      </c>
      <c r="AJ889">
        <v>12</v>
      </c>
      <c r="AM889">
        <v>0</v>
      </c>
      <c r="AP889">
        <v>33</v>
      </c>
    </row>
    <row r="890" spans="1:42" x14ac:dyDescent="0.25">
      <c r="A890" t="s">
        <v>45</v>
      </c>
      <c r="B890">
        <v>5</v>
      </c>
      <c r="C890" t="s">
        <v>415</v>
      </c>
      <c r="D890" s="39">
        <v>45885</v>
      </c>
      <c r="E890" t="s">
        <v>416</v>
      </c>
      <c r="F890" t="s">
        <v>79</v>
      </c>
      <c r="G890">
        <v>18</v>
      </c>
      <c r="H890">
        <v>4.5</v>
      </c>
      <c r="I890">
        <v>0</v>
      </c>
      <c r="J890">
        <v>200</v>
      </c>
      <c r="K890" t="s">
        <v>79</v>
      </c>
      <c r="L890">
        <v>7</v>
      </c>
      <c r="M890">
        <v>322.39</v>
      </c>
      <c r="N890">
        <v>8.68</v>
      </c>
      <c r="Q890">
        <v>313.70999999999998</v>
      </c>
      <c r="V890">
        <v>0</v>
      </c>
      <c r="W890">
        <v>0</v>
      </c>
      <c r="AF890">
        <v>0</v>
      </c>
      <c r="AG890">
        <v>0</v>
      </c>
      <c r="AH890">
        <v>0</v>
      </c>
      <c r="AI890">
        <v>12</v>
      </c>
      <c r="AJ890">
        <v>12</v>
      </c>
      <c r="AM890">
        <v>0</v>
      </c>
      <c r="AP890">
        <v>33</v>
      </c>
    </row>
    <row r="891" spans="1:42" x14ac:dyDescent="0.25">
      <c r="A891" t="s">
        <v>45</v>
      </c>
      <c r="B891">
        <v>5</v>
      </c>
      <c r="C891" t="s">
        <v>88</v>
      </c>
      <c r="D891" s="39">
        <v>45885</v>
      </c>
      <c r="E891" t="s">
        <v>194</v>
      </c>
      <c r="F891" t="s">
        <v>79</v>
      </c>
      <c r="G891">
        <v>10</v>
      </c>
      <c r="H891">
        <v>5</v>
      </c>
      <c r="I891">
        <v>0</v>
      </c>
      <c r="J891" t="s">
        <v>81</v>
      </c>
      <c r="K891" t="s">
        <v>79</v>
      </c>
      <c r="L891">
        <v>2</v>
      </c>
      <c r="M891">
        <v>105.99000000000001</v>
      </c>
      <c r="N891">
        <v>2.48</v>
      </c>
      <c r="Q891">
        <v>103.51</v>
      </c>
      <c r="V891">
        <v>0</v>
      </c>
      <c r="W891">
        <v>0</v>
      </c>
      <c r="AF891">
        <v>0</v>
      </c>
      <c r="AG891">
        <v>0</v>
      </c>
      <c r="AH891">
        <v>0</v>
      </c>
      <c r="AI891">
        <v>12</v>
      </c>
      <c r="AJ891">
        <v>12</v>
      </c>
      <c r="AM891">
        <v>0</v>
      </c>
      <c r="AP891">
        <v>33</v>
      </c>
    </row>
    <row r="892" spans="1:42" x14ac:dyDescent="0.25">
      <c r="A892" t="s">
        <v>46</v>
      </c>
      <c r="B892">
        <v>5</v>
      </c>
      <c r="C892" t="s">
        <v>88</v>
      </c>
      <c r="D892" s="39">
        <v>45885</v>
      </c>
      <c r="E892" t="s">
        <v>194</v>
      </c>
      <c r="F892" t="s">
        <v>79</v>
      </c>
      <c r="G892">
        <v>10</v>
      </c>
      <c r="H892">
        <v>5</v>
      </c>
      <c r="I892">
        <v>0</v>
      </c>
      <c r="J892" t="s">
        <v>81</v>
      </c>
      <c r="K892" t="s">
        <v>79</v>
      </c>
      <c r="L892">
        <v>11</v>
      </c>
      <c r="M892">
        <v>474.86</v>
      </c>
      <c r="N892">
        <v>1.1000000000000001</v>
      </c>
      <c r="Q892">
        <v>473.76</v>
      </c>
      <c r="V892">
        <v>0</v>
      </c>
      <c r="W892">
        <v>0</v>
      </c>
      <c r="AF892">
        <v>0</v>
      </c>
      <c r="AG892">
        <v>0</v>
      </c>
      <c r="AH892">
        <v>0</v>
      </c>
      <c r="AI892">
        <v>12</v>
      </c>
      <c r="AJ892">
        <v>12</v>
      </c>
      <c r="AM892">
        <v>0</v>
      </c>
      <c r="AP892">
        <v>33</v>
      </c>
    </row>
    <row r="893" spans="1:42" x14ac:dyDescent="0.25">
      <c r="A893" t="s">
        <v>45</v>
      </c>
      <c r="B893">
        <v>1</v>
      </c>
      <c r="C893" t="s">
        <v>110</v>
      </c>
      <c r="D893" s="39">
        <v>45886</v>
      </c>
      <c r="E893" t="s">
        <v>194</v>
      </c>
      <c r="F893" t="s">
        <v>79</v>
      </c>
      <c r="G893">
        <v>3.5</v>
      </c>
      <c r="H893" t="s">
        <v>92</v>
      </c>
      <c r="I893">
        <v>0</v>
      </c>
      <c r="J893" t="s">
        <v>81</v>
      </c>
      <c r="K893" t="s">
        <v>79</v>
      </c>
      <c r="L893">
        <v>9</v>
      </c>
      <c r="M893">
        <v>132.66999999999999</v>
      </c>
      <c r="N893">
        <v>2.6999999999999997</v>
      </c>
      <c r="O893">
        <v>23</v>
      </c>
      <c r="Q893">
        <v>129.97</v>
      </c>
      <c r="V893">
        <v>0</v>
      </c>
      <c r="W893">
        <v>0</v>
      </c>
      <c r="AF893">
        <v>0</v>
      </c>
      <c r="AG893">
        <v>0</v>
      </c>
      <c r="AH893">
        <v>0</v>
      </c>
      <c r="AI893">
        <v>12</v>
      </c>
      <c r="AJ893">
        <v>12</v>
      </c>
      <c r="AL893">
        <v>1999</v>
      </c>
      <c r="AM893">
        <v>0</v>
      </c>
      <c r="AP893">
        <v>33</v>
      </c>
    </row>
    <row r="894" spans="1:42" x14ac:dyDescent="0.25">
      <c r="A894" t="s">
        <v>46</v>
      </c>
      <c r="B894">
        <v>1</v>
      </c>
      <c r="C894" t="s">
        <v>110</v>
      </c>
      <c r="D894" s="39">
        <v>45886</v>
      </c>
      <c r="E894" t="s">
        <v>194</v>
      </c>
      <c r="F894" t="s">
        <v>79</v>
      </c>
      <c r="G894">
        <v>3.5</v>
      </c>
      <c r="H894" t="s">
        <v>92</v>
      </c>
      <c r="I894">
        <v>0</v>
      </c>
      <c r="J894" t="s">
        <v>81</v>
      </c>
      <c r="K894" t="s">
        <v>79</v>
      </c>
      <c r="L894">
        <v>9</v>
      </c>
      <c r="M894">
        <v>134.90999999999997</v>
      </c>
      <c r="N894">
        <v>2.7</v>
      </c>
      <c r="O894">
        <v>24</v>
      </c>
      <c r="Q894">
        <v>132.20999999999998</v>
      </c>
      <c r="V894">
        <v>0</v>
      </c>
      <c r="W894">
        <v>0</v>
      </c>
      <c r="AF894">
        <v>0</v>
      </c>
      <c r="AG894">
        <v>0</v>
      </c>
      <c r="AH894">
        <v>0</v>
      </c>
      <c r="AI894">
        <v>12</v>
      </c>
      <c r="AJ894">
        <v>12</v>
      </c>
      <c r="AM894">
        <v>0</v>
      </c>
      <c r="AP894">
        <v>33</v>
      </c>
    </row>
    <row r="895" spans="1:42" x14ac:dyDescent="0.25">
      <c r="A895" t="s">
        <v>45</v>
      </c>
      <c r="B895">
        <v>2</v>
      </c>
      <c r="C895" t="s">
        <v>91</v>
      </c>
      <c r="D895" s="39">
        <v>45886</v>
      </c>
      <c r="E895" t="s">
        <v>194</v>
      </c>
      <c r="F895" t="s">
        <v>79</v>
      </c>
      <c r="G895">
        <v>4</v>
      </c>
      <c r="H895" t="s">
        <v>92</v>
      </c>
      <c r="I895">
        <v>0</v>
      </c>
      <c r="J895" t="s">
        <v>81</v>
      </c>
      <c r="K895" t="s">
        <v>79</v>
      </c>
      <c r="L895">
        <v>10</v>
      </c>
      <c r="M895">
        <v>142.82999999999998</v>
      </c>
      <c r="N895">
        <v>4</v>
      </c>
      <c r="Q895">
        <v>138.82999999999998</v>
      </c>
      <c r="V895">
        <v>0</v>
      </c>
      <c r="W895">
        <v>0</v>
      </c>
      <c r="AF895">
        <v>0</v>
      </c>
      <c r="AG895">
        <v>0</v>
      </c>
      <c r="AH895">
        <v>0</v>
      </c>
      <c r="AI895">
        <v>12</v>
      </c>
      <c r="AJ895">
        <v>12</v>
      </c>
      <c r="AM895">
        <v>0</v>
      </c>
      <c r="AP895">
        <v>33</v>
      </c>
    </row>
    <row r="896" spans="1:42" x14ac:dyDescent="0.25">
      <c r="A896" t="s">
        <v>46</v>
      </c>
      <c r="B896">
        <v>2</v>
      </c>
      <c r="C896" t="s">
        <v>91</v>
      </c>
      <c r="D896" s="39">
        <v>45886</v>
      </c>
      <c r="E896" t="s">
        <v>194</v>
      </c>
      <c r="F896" t="s">
        <v>79</v>
      </c>
      <c r="G896">
        <v>4</v>
      </c>
      <c r="H896" t="s">
        <v>92</v>
      </c>
      <c r="I896">
        <v>0</v>
      </c>
      <c r="J896" t="s">
        <v>81</v>
      </c>
      <c r="K896" t="s">
        <v>79</v>
      </c>
      <c r="L896">
        <v>2</v>
      </c>
      <c r="M896">
        <v>24.31</v>
      </c>
      <c r="N896">
        <v>0.8</v>
      </c>
      <c r="Q896">
        <v>23.509999999999998</v>
      </c>
      <c r="V896">
        <v>0</v>
      </c>
      <c r="W896">
        <v>0</v>
      </c>
      <c r="AF896">
        <v>0</v>
      </c>
      <c r="AG896">
        <v>0</v>
      </c>
      <c r="AH896">
        <v>0</v>
      </c>
      <c r="AI896">
        <v>12</v>
      </c>
      <c r="AJ896">
        <v>12</v>
      </c>
      <c r="AM896">
        <v>0</v>
      </c>
      <c r="AP896">
        <v>33</v>
      </c>
    </row>
    <row r="897" spans="1:42" x14ac:dyDescent="0.25">
      <c r="A897" t="s">
        <v>46</v>
      </c>
      <c r="B897">
        <v>2</v>
      </c>
      <c r="C897" t="s">
        <v>77</v>
      </c>
      <c r="D897" s="39">
        <v>45886</v>
      </c>
      <c r="E897" t="s">
        <v>194</v>
      </c>
      <c r="F897" t="s">
        <v>79</v>
      </c>
      <c r="G897">
        <v>3</v>
      </c>
      <c r="H897" t="s">
        <v>92</v>
      </c>
      <c r="I897">
        <v>0</v>
      </c>
      <c r="J897" t="s">
        <v>81</v>
      </c>
      <c r="K897" t="s">
        <v>79</v>
      </c>
      <c r="L897">
        <v>9</v>
      </c>
      <c r="M897">
        <v>107.07999999999998</v>
      </c>
      <c r="N897">
        <v>2.6999999999999997</v>
      </c>
      <c r="Q897">
        <v>104.37999999999998</v>
      </c>
      <c r="V897">
        <v>0</v>
      </c>
      <c r="W897">
        <v>0</v>
      </c>
      <c r="AF897">
        <v>0</v>
      </c>
      <c r="AG897">
        <v>0</v>
      </c>
      <c r="AH897">
        <v>0</v>
      </c>
      <c r="AI897">
        <v>12</v>
      </c>
      <c r="AJ897">
        <v>12</v>
      </c>
      <c r="AM897">
        <v>0</v>
      </c>
      <c r="AP897">
        <v>33</v>
      </c>
    </row>
    <row r="898" spans="1:42" x14ac:dyDescent="0.25">
      <c r="A898" t="s">
        <v>45</v>
      </c>
      <c r="B898">
        <v>3</v>
      </c>
      <c r="C898" t="s">
        <v>94</v>
      </c>
      <c r="D898" s="39">
        <v>45886</v>
      </c>
      <c r="E898" t="s">
        <v>194</v>
      </c>
      <c r="F898" t="s">
        <v>79</v>
      </c>
      <c r="G898">
        <v>8</v>
      </c>
      <c r="H898">
        <v>5</v>
      </c>
      <c r="I898">
        <v>0</v>
      </c>
      <c r="J898" t="s">
        <v>81</v>
      </c>
      <c r="K898" t="s">
        <v>79</v>
      </c>
      <c r="L898">
        <v>8</v>
      </c>
      <c r="M898">
        <v>303.03000000000003</v>
      </c>
      <c r="N898">
        <v>6.4</v>
      </c>
      <c r="Q898">
        <v>296.63000000000005</v>
      </c>
      <c r="V898">
        <v>0</v>
      </c>
      <c r="W898">
        <v>0</v>
      </c>
      <c r="AF898">
        <v>0</v>
      </c>
      <c r="AG898">
        <v>0</v>
      </c>
      <c r="AH898">
        <v>0</v>
      </c>
      <c r="AI898">
        <v>12</v>
      </c>
      <c r="AJ898">
        <v>12</v>
      </c>
      <c r="AM898">
        <v>0</v>
      </c>
      <c r="AP898">
        <v>33</v>
      </c>
    </row>
    <row r="899" spans="1:42" x14ac:dyDescent="0.25">
      <c r="A899" t="s">
        <v>46</v>
      </c>
      <c r="B899">
        <v>3</v>
      </c>
      <c r="C899" t="s">
        <v>94</v>
      </c>
      <c r="D899" s="39">
        <v>45886</v>
      </c>
      <c r="E899" t="s">
        <v>194</v>
      </c>
      <c r="F899" t="s">
        <v>79</v>
      </c>
      <c r="G899">
        <v>8</v>
      </c>
      <c r="H899">
        <v>5</v>
      </c>
      <c r="I899">
        <v>0</v>
      </c>
      <c r="J899" t="s">
        <v>81</v>
      </c>
      <c r="K899" t="s">
        <v>79</v>
      </c>
      <c r="L899">
        <v>10</v>
      </c>
      <c r="M899">
        <v>370.3</v>
      </c>
      <c r="N899">
        <v>10</v>
      </c>
      <c r="Q899">
        <v>360.3</v>
      </c>
      <c r="V899">
        <v>0</v>
      </c>
      <c r="W899">
        <v>0</v>
      </c>
      <c r="AF899">
        <v>0</v>
      </c>
      <c r="AG899">
        <v>0</v>
      </c>
      <c r="AH899">
        <v>0</v>
      </c>
      <c r="AI899">
        <v>12</v>
      </c>
      <c r="AJ899">
        <v>12</v>
      </c>
      <c r="AM899">
        <v>0</v>
      </c>
      <c r="AP899">
        <v>33</v>
      </c>
    </row>
    <row r="900" spans="1:42" x14ac:dyDescent="0.25">
      <c r="A900" t="s">
        <v>45</v>
      </c>
      <c r="B900">
        <v>4</v>
      </c>
      <c r="C900" t="s">
        <v>413</v>
      </c>
      <c r="D900" s="39">
        <v>45886</v>
      </c>
      <c r="E900" t="s">
        <v>414</v>
      </c>
      <c r="F900" t="s">
        <v>79</v>
      </c>
      <c r="G900">
        <v>12</v>
      </c>
      <c r="H900">
        <v>5</v>
      </c>
      <c r="I900">
        <v>0</v>
      </c>
      <c r="J900">
        <v>150</v>
      </c>
      <c r="K900" t="s">
        <v>79</v>
      </c>
      <c r="L900">
        <v>5</v>
      </c>
      <c r="M900">
        <v>206.55</v>
      </c>
      <c r="N900">
        <v>9.25</v>
      </c>
      <c r="Q900">
        <v>197.3</v>
      </c>
      <c r="V900">
        <v>0</v>
      </c>
      <c r="W900">
        <v>0</v>
      </c>
      <c r="AF900">
        <v>0</v>
      </c>
      <c r="AG900">
        <v>0</v>
      </c>
      <c r="AH900">
        <v>0</v>
      </c>
      <c r="AI900">
        <v>12</v>
      </c>
      <c r="AJ900">
        <v>12</v>
      </c>
      <c r="AM900">
        <v>0</v>
      </c>
      <c r="AP900">
        <v>33</v>
      </c>
    </row>
    <row r="901" spans="1:42" x14ac:dyDescent="0.25">
      <c r="A901" t="s">
        <v>45</v>
      </c>
      <c r="B901">
        <v>4</v>
      </c>
      <c r="C901" t="s">
        <v>415</v>
      </c>
      <c r="D901" s="39">
        <v>45886</v>
      </c>
      <c r="E901" t="s">
        <v>416</v>
      </c>
      <c r="F901" t="s">
        <v>79</v>
      </c>
      <c r="G901">
        <v>18</v>
      </c>
      <c r="H901">
        <v>4.5</v>
      </c>
      <c r="I901">
        <v>0</v>
      </c>
      <c r="J901">
        <v>200</v>
      </c>
      <c r="K901" t="s">
        <v>79</v>
      </c>
      <c r="L901">
        <v>7</v>
      </c>
      <c r="M901">
        <v>334.09000000000003</v>
      </c>
      <c r="N901">
        <v>15.400000000000002</v>
      </c>
      <c r="Q901">
        <v>318.69000000000005</v>
      </c>
      <c r="S901">
        <v>20</v>
      </c>
      <c r="V901">
        <v>20</v>
      </c>
      <c r="W901">
        <v>0.33333333333333331</v>
      </c>
      <c r="AF901">
        <v>0</v>
      </c>
      <c r="AG901">
        <v>0</v>
      </c>
      <c r="AH901">
        <v>0.33333333333333331</v>
      </c>
      <c r="AI901">
        <v>11.666666666666666</v>
      </c>
      <c r="AJ901">
        <v>12</v>
      </c>
      <c r="AM901">
        <v>0</v>
      </c>
      <c r="AP901">
        <v>33</v>
      </c>
    </row>
    <row r="902" spans="1:42" x14ac:dyDescent="0.25">
      <c r="A902" t="s">
        <v>46</v>
      </c>
      <c r="B902">
        <v>4</v>
      </c>
      <c r="C902" t="s">
        <v>415</v>
      </c>
      <c r="D902" s="39">
        <v>45886</v>
      </c>
      <c r="E902" t="s">
        <v>416</v>
      </c>
      <c r="F902" t="s">
        <v>79</v>
      </c>
      <c r="G902">
        <v>18</v>
      </c>
      <c r="H902">
        <v>4.5</v>
      </c>
      <c r="I902">
        <v>0</v>
      </c>
      <c r="J902">
        <v>200</v>
      </c>
      <c r="K902" t="s">
        <v>79</v>
      </c>
      <c r="L902">
        <v>5</v>
      </c>
      <c r="M902">
        <v>266.69</v>
      </c>
      <c r="N902">
        <v>10.65</v>
      </c>
      <c r="Q902">
        <v>256.04000000000002</v>
      </c>
      <c r="V902">
        <v>0</v>
      </c>
      <c r="W902">
        <v>0</v>
      </c>
      <c r="AF902">
        <v>0</v>
      </c>
      <c r="AG902">
        <v>0</v>
      </c>
      <c r="AH902">
        <v>0</v>
      </c>
      <c r="AI902">
        <v>12</v>
      </c>
      <c r="AJ902">
        <v>12</v>
      </c>
      <c r="AM902">
        <v>0</v>
      </c>
      <c r="AP902">
        <v>33</v>
      </c>
    </row>
    <row r="903" spans="1:42" x14ac:dyDescent="0.25">
      <c r="A903" t="s">
        <v>46</v>
      </c>
      <c r="B903">
        <v>4</v>
      </c>
      <c r="C903" t="s">
        <v>417</v>
      </c>
      <c r="D903" s="39">
        <v>45886</v>
      </c>
      <c r="E903" t="s">
        <v>418</v>
      </c>
      <c r="F903" t="s">
        <v>79</v>
      </c>
      <c r="G903">
        <v>18</v>
      </c>
      <c r="H903">
        <v>5</v>
      </c>
      <c r="I903">
        <v>0</v>
      </c>
      <c r="J903">
        <v>600</v>
      </c>
      <c r="K903" t="s">
        <v>79</v>
      </c>
      <c r="L903">
        <v>10</v>
      </c>
      <c r="M903">
        <v>535.31999999999994</v>
      </c>
      <c r="N903">
        <v>21.5</v>
      </c>
      <c r="Q903">
        <v>513.81999999999994</v>
      </c>
      <c r="V903">
        <v>0</v>
      </c>
      <c r="W903">
        <v>0</v>
      </c>
      <c r="AF903">
        <v>0</v>
      </c>
      <c r="AG903">
        <v>0</v>
      </c>
      <c r="AH903">
        <v>0</v>
      </c>
      <c r="AI903">
        <v>12</v>
      </c>
      <c r="AJ903">
        <v>12</v>
      </c>
      <c r="AM903">
        <v>0</v>
      </c>
      <c r="AP903">
        <v>33</v>
      </c>
    </row>
    <row r="904" spans="1:42" x14ac:dyDescent="0.25">
      <c r="A904" t="s">
        <v>45</v>
      </c>
      <c r="B904">
        <v>5</v>
      </c>
      <c r="C904" t="s">
        <v>88</v>
      </c>
      <c r="D904" s="39">
        <v>45886</v>
      </c>
      <c r="E904" t="s">
        <v>194</v>
      </c>
      <c r="F904" t="s">
        <v>79</v>
      </c>
      <c r="G904">
        <v>10</v>
      </c>
      <c r="H904">
        <v>5</v>
      </c>
      <c r="I904">
        <v>0</v>
      </c>
      <c r="J904" t="s">
        <v>81</v>
      </c>
      <c r="K904" t="s">
        <v>79</v>
      </c>
      <c r="L904">
        <v>1</v>
      </c>
      <c r="M904">
        <v>12.64</v>
      </c>
      <c r="N904">
        <v>1</v>
      </c>
      <c r="Q904">
        <v>11.64</v>
      </c>
      <c r="V904">
        <v>0</v>
      </c>
      <c r="W904">
        <v>0</v>
      </c>
      <c r="AF904">
        <v>0</v>
      </c>
      <c r="AG904">
        <v>0</v>
      </c>
      <c r="AH904">
        <v>0</v>
      </c>
      <c r="AI904">
        <v>12</v>
      </c>
      <c r="AJ904">
        <v>12</v>
      </c>
      <c r="AM904">
        <v>0</v>
      </c>
      <c r="AP904">
        <v>33</v>
      </c>
    </row>
    <row r="905" spans="1:42" x14ac:dyDescent="0.25">
      <c r="A905" t="s">
        <v>45</v>
      </c>
      <c r="B905">
        <v>5</v>
      </c>
      <c r="C905" t="s">
        <v>419</v>
      </c>
      <c r="D905" s="39">
        <v>45886</v>
      </c>
      <c r="E905" t="s">
        <v>420</v>
      </c>
      <c r="F905" t="s">
        <v>79</v>
      </c>
      <c r="G905">
        <v>10</v>
      </c>
      <c r="H905">
        <v>8</v>
      </c>
      <c r="I905">
        <v>0</v>
      </c>
      <c r="J905">
        <v>50</v>
      </c>
      <c r="K905" t="s">
        <v>79</v>
      </c>
      <c r="L905">
        <v>2</v>
      </c>
      <c r="M905">
        <v>53.67</v>
      </c>
      <c r="N905">
        <v>2.2999999999999998</v>
      </c>
      <c r="Q905">
        <v>51.370000000000005</v>
      </c>
      <c r="V905">
        <v>0</v>
      </c>
      <c r="W905">
        <v>0</v>
      </c>
      <c r="AF905">
        <v>0</v>
      </c>
      <c r="AG905">
        <v>0</v>
      </c>
      <c r="AH905">
        <v>0</v>
      </c>
      <c r="AI905">
        <v>12</v>
      </c>
      <c r="AJ905">
        <v>12</v>
      </c>
      <c r="AM905">
        <v>0</v>
      </c>
      <c r="AP905">
        <v>33</v>
      </c>
    </row>
    <row r="906" spans="1:42" x14ac:dyDescent="0.25">
      <c r="A906" t="s">
        <v>45</v>
      </c>
      <c r="B906">
        <v>5</v>
      </c>
      <c r="C906" t="s">
        <v>421</v>
      </c>
      <c r="D906" s="39">
        <v>45886</v>
      </c>
      <c r="E906" t="s">
        <v>422</v>
      </c>
      <c r="F906" t="s">
        <v>79</v>
      </c>
      <c r="G906">
        <v>10</v>
      </c>
      <c r="H906">
        <v>8</v>
      </c>
      <c r="I906">
        <v>0</v>
      </c>
      <c r="J906">
        <v>50</v>
      </c>
      <c r="K906" t="s">
        <v>79</v>
      </c>
      <c r="L906">
        <v>2</v>
      </c>
      <c r="M906">
        <v>57.17</v>
      </c>
      <c r="N906">
        <v>2</v>
      </c>
      <c r="Q906">
        <v>55.17</v>
      </c>
      <c r="V906">
        <v>0</v>
      </c>
      <c r="W906">
        <v>0</v>
      </c>
      <c r="AF906">
        <v>0</v>
      </c>
      <c r="AG906">
        <v>0</v>
      </c>
      <c r="AH906">
        <v>0</v>
      </c>
      <c r="AI906">
        <v>12</v>
      </c>
      <c r="AJ906">
        <v>12</v>
      </c>
      <c r="AM906">
        <v>0</v>
      </c>
      <c r="AP906">
        <v>33</v>
      </c>
    </row>
    <row r="907" spans="1:42" x14ac:dyDescent="0.25">
      <c r="A907" t="s">
        <v>45</v>
      </c>
      <c r="B907">
        <v>5</v>
      </c>
      <c r="C907" t="s">
        <v>88</v>
      </c>
      <c r="D907" s="39">
        <v>45886</v>
      </c>
      <c r="E907" t="s">
        <v>194</v>
      </c>
      <c r="F907" t="s">
        <v>79</v>
      </c>
      <c r="G907">
        <v>10</v>
      </c>
      <c r="H907">
        <v>5</v>
      </c>
      <c r="I907" t="s">
        <v>79</v>
      </c>
      <c r="J907" t="s">
        <v>81</v>
      </c>
      <c r="K907" t="s">
        <v>79</v>
      </c>
      <c r="L907">
        <v>4</v>
      </c>
      <c r="M907">
        <v>109.41</v>
      </c>
      <c r="N907">
        <v>4</v>
      </c>
      <c r="Q907">
        <v>105.41</v>
      </c>
      <c r="V907">
        <v>0</v>
      </c>
      <c r="W907">
        <v>0</v>
      </c>
      <c r="Z907">
        <v>30</v>
      </c>
      <c r="AF907">
        <v>30</v>
      </c>
      <c r="AG907">
        <v>0.5</v>
      </c>
      <c r="AH907">
        <v>0.5</v>
      </c>
      <c r="AI907">
        <v>11.5</v>
      </c>
      <c r="AJ907">
        <v>12</v>
      </c>
      <c r="AM907">
        <v>0</v>
      </c>
      <c r="AP907">
        <v>33</v>
      </c>
    </row>
    <row r="908" spans="1:42" x14ac:dyDescent="0.25">
      <c r="A908" t="s">
        <v>46</v>
      </c>
      <c r="B908">
        <v>5</v>
      </c>
      <c r="C908" t="s">
        <v>131</v>
      </c>
      <c r="D908" s="39">
        <v>45886</v>
      </c>
      <c r="E908" t="s">
        <v>194</v>
      </c>
      <c r="F908" t="s">
        <v>79</v>
      </c>
      <c r="G908">
        <v>11</v>
      </c>
      <c r="H908">
        <v>5</v>
      </c>
      <c r="I908">
        <v>0</v>
      </c>
      <c r="J908" t="s">
        <v>81</v>
      </c>
      <c r="K908" t="s">
        <v>79</v>
      </c>
      <c r="L908">
        <v>16</v>
      </c>
      <c r="M908">
        <v>700.87</v>
      </c>
      <c r="N908">
        <v>17.600000000000001</v>
      </c>
      <c r="Q908">
        <v>683.27</v>
      </c>
      <c r="V908">
        <v>0</v>
      </c>
      <c r="W908">
        <v>0</v>
      </c>
      <c r="AF908">
        <v>0</v>
      </c>
      <c r="AG908">
        <v>0</v>
      </c>
      <c r="AH908">
        <v>0</v>
      </c>
      <c r="AI908">
        <v>12</v>
      </c>
      <c r="AJ908">
        <v>12</v>
      </c>
      <c r="AM908">
        <v>0</v>
      </c>
      <c r="AP908">
        <v>33</v>
      </c>
    </row>
    <row r="909" spans="1:42" x14ac:dyDescent="0.25">
      <c r="A909" t="s">
        <v>45</v>
      </c>
      <c r="B909">
        <v>1</v>
      </c>
      <c r="C909" t="s">
        <v>110</v>
      </c>
      <c r="D909" s="39">
        <v>45887</v>
      </c>
      <c r="E909" t="s">
        <v>194</v>
      </c>
      <c r="F909" t="s">
        <v>79</v>
      </c>
      <c r="G909">
        <v>3.5</v>
      </c>
      <c r="H909" t="s">
        <v>92</v>
      </c>
      <c r="I909">
        <v>0</v>
      </c>
      <c r="J909" t="s">
        <v>81</v>
      </c>
      <c r="K909" t="s">
        <v>79</v>
      </c>
      <c r="L909">
        <v>3</v>
      </c>
      <c r="M909">
        <v>46.13</v>
      </c>
      <c r="N909">
        <v>0.89999999999999991</v>
      </c>
      <c r="O909">
        <v>37</v>
      </c>
      <c r="Q909">
        <v>45.230000000000004</v>
      </c>
      <c r="S909">
        <v>15</v>
      </c>
      <c r="V909">
        <v>15</v>
      </c>
      <c r="W909">
        <v>0.25</v>
      </c>
      <c r="AF909">
        <v>0</v>
      </c>
      <c r="AG909">
        <v>0</v>
      </c>
      <c r="AH909">
        <v>0.25</v>
      </c>
      <c r="AI909">
        <v>11.75</v>
      </c>
      <c r="AJ909">
        <v>12</v>
      </c>
      <c r="AM909">
        <v>0</v>
      </c>
      <c r="AP909">
        <v>34</v>
      </c>
    </row>
    <row r="910" spans="1:42" x14ac:dyDescent="0.25">
      <c r="A910" t="s">
        <v>45</v>
      </c>
      <c r="B910">
        <v>1</v>
      </c>
      <c r="C910" t="s">
        <v>100</v>
      </c>
      <c r="D910" s="39">
        <v>45887</v>
      </c>
      <c r="E910" t="s">
        <v>194</v>
      </c>
      <c r="F910" t="s">
        <v>79</v>
      </c>
      <c r="G910">
        <v>2.5</v>
      </c>
      <c r="H910" t="s">
        <v>92</v>
      </c>
      <c r="I910">
        <v>0</v>
      </c>
      <c r="J910" t="s">
        <v>81</v>
      </c>
      <c r="K910" t="s">
        <v>79</v>
      </c>
      <c r="L910">
        <v>2</v>
      </c>
      <c r="M910">
        <v>17.420000000000002</v>
      </c>
      <c r="N910">
        <v>0.4</v>
      </c>
      <c r="Q910">
        <v>17.020000000000003</v>
      </c>
      <c r="V910">
        <v>0</v>
      </c>
      <c r="W910">
        <v>0</v>
      </c>
      <c r="AF910">
        <v>0</v>
      </c>
      <c r="AG910">
        <v>0</v>
      </c>
      <c r="AH910">
        <v>0</v>
      </c>
      <c r="AI910">
        <v>12</v>
      </c>
      <c r="AJ910">
        <v>12</v>
      </c>
      <c r="AM910">
        <v>0</v>
      </c>
    </row>
    <row r="911" spans="1:42" x14ac:dyDescent="0.25">
      <c r="A911" t="s">
        <v>45</v>
      </c>
      <c r="B911">
        <v>1</v>
      </c>
      <c r="C911" t="s">
        <v>424</v>
      </c>
      <c r="D911" s="39">
        <v>45887</v>
      </c>
      <c r="E911" t="s">
        <v>194</v>
      </c>
      <c r="F911" t="s">
        <v>79</v>
      </c>
      <c r="G911">
        <v>2</v>
      </c>
      <c r="H911" t="s">
        <v>92</v>
      </c>
      <c r="I911">
        <v>0</v>
      </c>
      <c r="J911">
        <v>500</v>
      </c>
      <c r="K911" t="s">
        <v>79</v>
      </c>
      <c r="L911">
        <v>3</v>
      </c>
      <c r="M911">
        <v>51.949999999999996</v>
      </c>
      <c r="N911">
        <v>0.60000000000000009</v>
      </c>
      <c r="Q911">
        <v>51.349999999999994</v>
      </c>
      <c r="V911">
        <v>0</v>
      </c>
      <c r="W911">
        <v>0</v>
      </c>
      <c r="AF911">
        <v>0</v>
      </c>
      <c r="AG911">
        <v>0</v>
      </c>
      <c r="AH911">
        <v>0</v>
      </c>
      <c r="AI911">
        <v>12</v>
      </c>
      <c r="AJ911">
        <v>12</v>
      </c>
      <c r="AM911">
        <v>0</v>
      </c>
      <c r="AN911">
        <v>1600</v>
      </c>
    </row>
    <row r="912" spans="1:42" x14ac:dyDescent="0.25">
      <c r="A912" t="s">
        <v>46</v>
      </c>
      <c r="B912">
        <v>1</v>
      </c>
      <c r="C912" t="s">
        <v>424</v>
      </c>
      <c r="D912" s="39">
        <v>45887</v>
      </c>
      <c r="E912" t="s">
        <v>194</v>
      </c>
      <c r="F912" t="s">
        <v>79</v>
      </c>
      <c r="G912">
        <v>2</v>
      </c>
      <c r="H912" t="s">
        <v>92</v>
      </c>
      <c r="I912">
        <v>0</v>
      </c>
      <c r="J912">
        <v>500</v>
      </c>
      <c r="K912" t="s">
        <v>79</v>
      </c>
      <c r="L912">
        <v>6</v>
      </c>
      <c r="M912">
        <v>115.44999999999999</v>
      </c>
      <c r="N912">
        <v>1.2000000000000002</v>
      </c>
      <c r="O912">
        <v>27</v>
      </c>
      <c r="Q912">
        <v>114.24999999999999</v>
      </c>
      <c r="V912">
        <v>0</v>
      </c>
      <c r="W912">
        <v>0</v>
      </c>
      <c r="AF912">
        <v>0</v>
      </c>
      <c r="AG912">
        <v>0</v>
      </c>
      <c r="AH912">
        <v>0</v>
      </c>
      <c r="AI912">
        <v>12</v>
      </c>
      <c r="AJ912">
        <v>12</v>
      </c>
      <c r="AM912">
        <v>0</v>
      </c>
      <c r="AN912">
        <v>1600</v>
      </c>
    </row>
    <row r="913" spans="1:39" x14ac:dyDescent="0.25">
      <c r="A913" t="s">
        <v>45</v>
      </c>
      <c r="B913">
        <v>2</v>
      </c>
      <c r="C913" t="s">
        <v>77</v>
      </c>
      <c r="D913" s="39">
        <v>45887</v>
      </c>
      <c r="E913" t="s">
        <v>194</v>
      </c>
      <c r="F913" t="s">
        <v>79</v>
      </c>
      <c r="G913">
        <v>3</v>
      </c>
      <c r="H913" t="s">
        <v>92</v>
      </c>
      <c r="I913">
        <v>0</v>
      </c>
      <c r="J913" t="s">
        <v>81</v>
      </c>
      <c r="K913" t="s">
        <v>79</v>
      </c>
      <c r="L913">
        <v>10</v>
      </c>
      <c r="M913">
        <v>120.93</v>
      </c>
      <c r="N913">
        <v>3</v>
      </c>
      <c r="Q913">
        <v>117.93</v>
      </c>
      <c r="V913">
        <v>0</v>
      </c>
      <c r="W913">
        <v>0</v>
      </c>
      <c r="AF913">
        <v>0</v>
      </c>
      <c r="AG913">
        <v>0</v>
      </c>
      <c r="AH913">
        <v>0</v>
      </c>
      <c r="AI913">
        <v>12</v>
      </c>
      <c r="AJ913">
        <v>12</v>
      </c>
      <c r="AM913">
        <v>0</v>
      </c>
    </row>
    <row r="914" spans="1:39" x14ac:dyDescent="0.25">
      <c r="A914" t="s">
        <v>46</v>
      </c>
      <c r="B914">
        <v>2</v>
      </c>
      <c r="C914" t="s">
        <v>77</v>
      </c>
      <c r="D914" s="39">
        <v>45887</v>
      </c>
      <c r="E914" t="s">
        <v>194</v>
      </c>
      <c r="F914" t="s">
        <v>79</v>
      </c>
      <c r="G914">
        <v>3</v>
      </c>
      <c r="H914" t="s">
        <v>92</v>
      </c>
      <c r="I914">
        <v>0</v>
      </c>
      <c r="J914" t="s">
        <v>81</v>
      </c>
      <c r="K914" t="s">
        <v>79</v>
      </c>
      <c r="L914">
        <v>11</v>
      </c>
      <c r="M914">
        <v>133.01</v>
      </c>
      <c r="N914">
        <v>3.3</v>
      </c>
      <c r="Q914">
        <v>129.70999999999998</v>
      </c>
      <c r="V914">
        <v>0</v>
      </c>
      <c r="W914">
        <v>0</v>
      </c>
      <c r="AF914">
        <v>0</v>
      </c>
      <c r="AG914">
        <v>0</v>
      </c>
      <c r="AH914">
        <v>0</v>
      </c>
      <c r="AI914">
        <v>12</v>
      </c>
      <c r="AJ914">
        <v>12</v>
      </c>
      <c r="AM914">
        <v>0</v>
      </c>
    </row>
    <row r="915" spans="1:39" x14ac:dyDescent="0.25">
      <c r="A915" t="s">
        <v>45</v>
      </c>
      <c r="B915">
        <v>3</v>
      </c>
      <c r="C915" t="s">
        <v>425</v>
      </c>
      <c r="D915" s="39">
        <v>45887</v>
      </c>
      <c r="E915" t="s">
        <v>418</v>
      </c>
      <c r="F915" t="s">
        <v>79</v>
      </c>
      <c r="G915">
        <v>8</v>
      </c>
      <c r="H915">
        <v>4.5</v>
      </c>
      <c r="I915">
        <v>0</v>
      </c>
      <c r="J915">
        <v>300</v>
      </c>
      <c r="K915" t="s">
        <v>79</v>
      </c>
      <c r="L915">
        <v>3</v>
      </c>
      <c r="M915">
        <v>78.28</v>
      </c>
      <c r="N915">
        <v>2.4000000000000004</v>
      </c>
      <c r="Q915">
        <v>75.88</v>
      </c>
      <c r="V915">
        <v>0</v>
      </c>
      <c r="W915">
        <v>0</v>
      </c>
      <c r="AF915">
        <v>0</v>
      </c>
      <c r="AG915">
        <v>0</v>
      </c>
      <c r="AH915">
        <v>0</v>
      </c>
      <c r="AI915">
        <v>12</v>
      </c>
      <c r="AJ915">
        <v>12</v>
      </c>
      <c r="AM915">
        <v>0</v>
      </c>
    </row>
    <row r="916" spans="1:39" x14ac:dyDescent="0.25">
      <c r="A916" t="s">
        <v>45</v>
      </c>
      <c r="B916">
        <v>3</v>
      </c>
      <c r="C916" t="s">
        <v>426</v>
      </c>
      <c r="D916" s="39">
        <v>45887</v>
      </c>
      <c r="E916" t="s">
        <v>427</v>
      </c>
      <c r="F916" t="s">
        <v>79</v>
      </c>
      <c r="G916">
        <v>6</v>
      </c>
      <c r="H916">
        <v>6</v>
      </c>
      <c r="I916">
        <v>0</v>
      </c>
      <c r="J916">
        <v>100</v>
      </c>
      <c r="K916" t="s">
        <v>79</v>
      </c>
      <c r="L916">
        <v>3</v>
      </c>
      <c r="M916">
        <v>55.28</v>
      </c>
      <c r="N916">
        <v>1.7999999999999998</v>
      </c>
      <c r="Q916">
        <v>53.480000000000004</v>
      </c>
      <c r="V916">
        <v>0</v>
      </c>
      <c r="W916">
        <v>0</v>
      </c>
      <c r="AF916">
        <v>0</v>
      </c>
      <c r="AG916">
        <v>0</v>
      </c>
      <c r="AH916">
        <v>0</v>
      </c>
      <c r="AI916">
        <v>12</v>
      </c>
      <c r="AJ916">
        <v>12</v>
      </c>
      <c r="AM916">
        <v>0</v>
      </c>
    </row>
    <row r="917" spans="1:39" x14ac:dyDescent="0.25">
      <c r="A917" t="s">
        <v>46</v>
      </c>
      <c r="B917">
        <v>3</v>
      </c>
      <c r="C917" t="s">
        <v>428</v>
      </c>
      <c r="D917" s="39">
        <v>45887</v>
      </c>
      <c r="E917" t="s">
        <v>429</v>
      </c>
      <c r="F917" t="s">
        <v>79</v>
      </c>
      <c r="G917">
        <v>6</v>
      </c>
      <c r="H917">
        <v>10</v>
      </c>
      <c r="I917">
        <v>0</v>
      </c>
      <c r="J917">
        <v>100</v>
      </c>
      <c r="K917" t="s">
        <v>79</v>
      </c>
      <c r="L917">
        <v>5</v>
      </c>
      <c r="M917">
        <v>108.55</v>
      </c>
      <c r="N917">
        <v>3</v>
      </c>
      <c r="Q917">
        <v>105.55</v>
      </c>
      <c r="V917">
        <v>0</v>
      </c>
      <c r="W917">
        <v>0</v>
      </c>
      <c r="AF917">
        <v>0</v>
      </c>
      <c r="AG917">
        <v>0</v>
      </c>
      <c r="AH917">
        <v>0</v>
      </c>
      <c r="AI917">
        <v>12</v>
      </c>
      <c r="AJ917">
        <v>12</v>
      </c>
      <c r="AM917">
        <v>0</v>
      </c>
    </row>
    <row r="918" spans="1:39" x14ac:dyDescent="0.25">
      <c r="A918" t="s">
        <v>46</v>
      </c>
      <c r="B918">
        <v>3</v>
      </c>
      <c r="C918" t="s">
        <v>405</v>
      </c>
      <c r="D918" s="39">
        <v>45887</v>
      </c>
      <c r="E918" t="s">
        <v>194</v>
      </c>
      <c r="F918" t="s">
        <v>79</v>
      </c>
      <c r="G918">
        <v>6</v>
      </c>
      <c r="H918">
        <v>5</v>
      </c>
      <c r="I918">
        <v>0</v>
      </c>
      <c r="J918" t="s">
        <v>81</v>
      </c>
      <c r="K918" t="s">
        <v>79</v>
      </c>
      <c r="L918">
        <v>4</v>
      </c>
      <c r="M918">
        <v>115.89999999999999</v>
      </c>
      <c r="N918">
        <v>2.4</v>
      </c>
      <c r="Q918">
        <v>113.49999999999999</v>
      </c>
      <c r="V918">
        <v>0</v>
      </c>
      <c r="W918">
        <v>0</v>
      </c>
      <c r="AF918">
        <v>0</v>
      </c>
      <c r="AG918">
        <v>0</v>
      </c>
      <c r="AH918">
        <v>0</v>
      </c>
      <c r="AI918">
        <v>12</v>
      </c>
      <c r="AJ918">
        <v>12</v>
      </c>
      <c r="AM918">
        <v>0</v>
      </c>
    </row>
    <row r="919" spans="1:39" x14ac:dyDescent="0.25">
      <c r="A919" t="s">
        <v>45</v>
      </c>
      <c r="B919">
        <v>4</v>
      </c>
      <c r="C919" t="s">
        <v>101</v>
      </c>
      <c r="D919" s="39">
        <v>45887</v>
      </c>
      <c r="E919" t="s">
        <v>194</v>
      </c>
      <c r="F919" t="s">
        <v>79</v>
      </c>
      <c r="G919">
        <v>18</v>
      </c>
      <c r="H919">
        <v>5</v>
      </c>
      <c r="I919">
        <v>0</v>
      </c>
      <c r="J919" t="s">
        <v>81</v>
      </c>
      <c r="K919" t="s">
        <v>79</v>
      </c>
      <c r="L919">
        <v>2</v>
      </c>
      <c r="M919">
        <v>109.94</v>
      </c>
      <c r="N919">
        <v>5.4</v>
      </c>
      <c r="Q919">
        <v>104.53999999999999</v>
      </c>
      <c r="V919">
        <v>0</v>
      </c>
      <c r="W919">
        <v>0</v>
      </c>
      <c r="AF919">
        <v>0</v>
      </c>
      <c r="AG919">
        <v>0</v>
      </c>
      <c r="AH919">
        <v>0</v>
      </c>
      <c r="AI919">
        <v>12</v>
      </c>
      <c r="AJ919">
        <v>12</v>
      </c>
      <c r="AM919">
        <v>0</v>
      </c>
    </row>
    <row r="920" spans="1:39" x14ac:dyDescent="0.25">
      <c r="A920" t="s">
        <v>45</v>
      </c>
      <c r="B920">
        <v>4</v>
      </c>
      <c r="C920" t="s">
        <v>430</v>
      </c>
      <c r="D920" s="39">
        <v>45887</v>
      </c>
      <c r="E920" t="s">
        <v>229</v>
      </c>
      <c r="F920" t="s">
        <v>79</v>
      </c>
      <c r="G920">
        <v>18</v>
      </c>
      <c r="H920" t="s">
        <v>98</v>
      </c>
      <c r="I920">
        <v>0</v>
      </c>
      <c r="J920">
        <v>600</v>
      </c>
      <c r="K920" t="s">
        <v>79</v>
      </c>
      <c r="L920">
        <v>12</v>
      </c>
      <c r="M920">
        <v>607.48</v>
      </c>
      <c r="N920">
        <v>21.6</v>
      </c>
      <c r="Q920">
        <v>585.88</v>
      </c>
      <c r="V920">
        <v>0</v>
      </c>
      <c r="W920">
        <v>0</v>
      </c>
      <c r="AF920">
        <v>0</v>
      </c>
      <c r="AG920">
        <v>0</v>
      </c>
      <c r="AH920">
        <v>0</v>
      </c>
      <c r="AI920">
        <v>12</v>
      </c>
      <c r="AJ920">
        <v>12</v>
      </c>
      <c r="AM920">
        <v>0</v>
      </c>
    </row>
    <row r="921" spans="1:39" x14ac:dyDescent="0.25">
      <c r="A921" t="s">
        <v>46</v>
      </c>
      <c r="B921">
        <v>4</v>
      </c>
      <c r="C921" t="s">
        <v>431</v>
      </c>
      <c r="D921" s="39">
        <v>45887</v>
      </c>
      <c r="E921" t="s">
        <v>414</v>
      </c>
      <c r="F921" t="s">
        <v>79</v>
      </c>
      <c r="G921">
        <v>16</v>
      </c>
      <c r="H921">
        <v>5</v>
      </c>
      <c r="I921">
        <v>0</v>
      </c>
      <c r="J921">
        <v>500</v>
      </c>
      <c r="K921" t="s">
        <v>79</v>
      </c>
      <c r="L921">
        <v>2</v>
      </c>
      <c r="M921">
        <v>99.89</v>
      </c>
      <c r="N921">
        <v>3.91</v>
      </c>
      <c r="Q921">
        <v>95.98</v>
      </c>
      <c r="S921">
        <v>20</v>
      </c>
      <c r="V921">
        <v>20</v>
      </c>
      <c r="W921">
        <v>0.33333333333333331</v>
      </c>
      <c r="X921">
        <v>40</v>
      </c>
      <c r="AF921">
        <v>40</v>
      </c>
      <c r="AG921">
        <v>0.66666666666666663</v>
      </c>
      <c r="AH921">
        <v>1</v>
      </c>
      <c r="AI921">
        <v>11</v>
      </c>
      <c r="AJ921">
        <v>12</v>
      </c>
      <c r="AM921">
        <v>0</v>
      </c>
    </row>
    <row r="922" spans="1:39" x14ac:dyDescent="0.25">
      <c r="A922" t="s">
        <v>46</v>
      </c>
      <c r="B922">
        <v>4</v>
      </c>
      <c r="C922" t="s">
        <v>350</v>
      </c>
      <c r="D922" s="39">
        <v>45887</v>
      </c>
      <c r="E922" t="s">
        <v>276</v>
      </c>
      <c r="F922" t="s">
        <v>79</v>
      </c>
      <c r="G922">
        <v>16</v>
      </c>
      <c r="H922" t="s">
        <v>113</v>
      </c>
      <c r="I922" t="s">
        <v>114</v>
      </c>
      <c r="J922">
        <v>500</v>
      </c>
      <c r="K922" t="s">
        <v>79</v>
      </c>
      <c r="L922">
        <v>11</v>
      </c>
      <c r="M922">
        <v>572.71</v>
      </c>
      <c r="N922">
        <v>19.829999999999998</v>
      </c>
      <c r="Q922">
        <v>552.88</v>
      </c>
      <c r="V922">
        <v>0</v>
      </c>
      <c r="W922">
        <v>0</v>
      </c>
      <c r="AF922">
        <v>0</v>
      </c>
      <c r="AG922">
        <v>0</v>
      </c>
      <c r="AH922">
        <v>0</v>
      </c>
      <c r="AI922">
        <v>12</v>
      </c>
      <c r="AJ922">
        <v>12</v>
      </c>
      <c r="AM922">
        <v>0</v>
      </c>
    </row>
    <row r="923" spans="1:39" x14ac:dyDescent="0.25">
      <c r="A923" t="s">
        <v>45</v>
      </c>
      <c r="B923">
        <v>5</v>
      </c>
      <c r="C923" t="s">
        <v>131</v>
      </c>
      <c r="D923" s="39">
        <v>45887</v>
      </c>
      <c r="E923" t="s">
        <v>194</v>
      </c>
      <c r="F923" t="s">
        <v>79</v>
      </c>
      <c r="G923">
        <v>11</v>
      </c>
      <c r="H923">
        <v>5</v>
      </c>
      <c r="I923">
        <v>0</v>
      </c>
      <c r="J923" t="s">
        <v>81</v>
      </c>
      <c r="K923" t="s">
        <v>79</v>
      </c>
      <c r="L923">
        <v>12</v>
      </c>
      <c r="M923">
        <v>411.74</v>
      </c>
      <c r="N923">
        <v>13.200000000000001</v>
      </c>
      <c r="Q923">
        <v>398.54</v>
      </c>
      <c r="V923">
        <v>0</v>
      </c>
      <c r="W923">
        <v>0</v>
      </c>
      <c r="AF923">
        <v>0</v>
      </c>
      <c r="AG923">
        <v>0</v>
      </c>
      <c r="AH923">
        <v>0</v>
      </c>
      <c r="AI923">
        <v>12</v>
      </c>
      <c r="AJ923">
        <v>12</v>
      </c>
      <c r="AM923">
        <v>0</v>
      </c>
    </row>
    <row r="924" spans="1:39" x14ac:dyDescent="0.25">
      <c r="A924" t="s">
        <v>45</v>
      </c>
      <c r="B924">
        <v>5</v>
      </c>
      <c r="C924" t="s">
        <v>432</v>
      </c>
      <c r="D924" s="39">
        <v>45887</v>
      </c>
      <c r="E924" t="s">
        <v>416</v>
      </c>
      <c r="F924" t="s">
        <v>79</v>
      </c>
      <c r="G924">
        <v>11</v>
      </c>
      <c r="H924">
        <v>4.5</v>
      </c>
      <c r="I924">
        <v>0</v>
      </c>
      <c r="J924">
        <v>100</v>
      </c>
      <c r="K924" t="s">
        <v>79</v>
      </c>
      <c r="L924">
        <v>2</v>
      </c>
      <c r="M924">
        <v>56.51</v>
      </c>
      <c r="N924">
        <v>2.2000000000000002</v>
      </c>
      <c r="Q924">
        <v>54.309999999999995</v>
      </c>
      <c r="V924">
        <v>0</v>
      </c>
      <c r="W924">
        <v>0</v>
      </c>
      <c r="AF924">
        <v>0</v>
      </c>
      <c r="AG924">
        <v>0</v>
      </c>
      <c r="AH924">
        <v>0</v>
      </c>
      <c r="AI924">
        <v>12</v>
      </c>
      <c r="AJ924">
        <v>12</v>
      </c>
      <c r="AM924">
        <v>0</v>
      </c>
    </row>
    <row r="925" spans="1:39" x14ac:dyDescent="0.25">
      <c r="A925" t="s">
        <v>46</v>
      </c>
      <c r="B925">
        <v>5</v>
      </c>
      <c r="C925" t="s">
        <v>132</v>
      </c>
      <c r="D925" s="39">
        <v>45887</v>
      </c>
      <c r="E925" t="s">
        <v>194</v>
      </c>
      <c r="F925" t="s">
        <v>79</v>
      </c>
      <c r="G925">
        <v>13</v>
      </c>
      <c r="H925">
        <v>5</v>
      </c>
      <c r="I925">
        <v>0</v>
      </c>
      <c r="J925" t="s">
        <v>81</v>
      </c>
      <c r="K925" t="s">
        <v>79</v>
      </c>
      <c r="L925">
        <v>11</v>
      </c>
      <c r="M925">
        <v>515.55000000000007</v>
      </c>
      <c r="N925">
        <v>14.3</v>
      </c>
      <c r="Q925">
        <v>501.25000000000006</v>
      </c>
      <c r="S925">
        <v>20</v>
      </c>
      <c r="V925">
        <v>20</v>
      </c>
      <c r="W925">
        <v>0.33333333333333331</v>
      </c>
      <c r="AF925">
        <v>0</v>
      </c>
      <c r="AG925">
        <v>0</v>
      </c>
      <c r="AH925">
        <v>0.33333333333333331</v>
      </c>
      <c r="AI925">
        <v>11.666666666666666</v>
      </c>
      <c r="AJ925">
        <v>12</v>
      </c>
      <c r="AM925">
        <v>0</v>
      </c>
    </row>
    <row r="926" spans="1:39" x14ac:dyDescent="0.25">
      <c r="A926" t="s">
        <v>46</v>
      </c>
      <c r="B926">
        <v>5</v>
      </c>
      <c r="C926" t="s">
        <v>432</v>
      </c>
      <c r="D926" s="39">
        <v>45887</v>
      </c>
      <c r="E926" t="s">
        <v>416</v>
      </c>
      <c r="F926" t="s">
        <v>79</v>
      </c>
      <c r="G926">
        <v>11</v>
      </c>
      <c r="H926">
        <v>4.5</v>
      </c>
      <c r="I926">
        <v>0</v>
      </c>
      <c r="J926">
        <v>100</v>
      </c>
      <c r="K926" t="s">
        <v>79</v>
      </c>
      <c r="L926">
        <v>2</v>
      </c>
      <c r="M926">
        <v>61.36</v>
      </c>
      <c r="N926">
        <v>2.4500000000000002</v>
      </c>
      <c r="Q926">
        <v>58.91</v>
      </c>
      <c r="V926">
        <v>0</v>
      </c>
      <c r="W926">
        <v>0</v>
      </c>
      <c r="AF926">
        <v>0</v>
      </c>
      <c r="AG926">
        <v>0</v>
      </c>
      <c r="AH926">
        <v>0</v>
      </c>
      <c r="AI926">
        <v>12</v>
      </c>
      <c r="AJ926">
        <v>12</v>
      </c>
      <c r="AM926">
        <v>0</v>
      </c>
    </row>
    <row r="927" spans="1:39" x14ac:dyDescent="0.25">
      <c r="A927" t="s">
        <v>45</v>
      </c>
      <c r="B927">
        <v>1</v>
      </c>
      <c r="C927" t="s">
        <v>82</v>
      </c>
      <c r="D927" s="39">
        <v>45888</v>
      </c>
      <c r="E927" t="s">
        <v>194</v>
      </c>
      <c r="F927" t="s">
        <v>79</v>
      </c>
      <c r="G927">
        <v>2</v>
      </c>
      <c r="H927" t="s">
        <v>92</v>
      </c>
      <c r="I927">
        <v>0</v>
      </c>
      <c r="J927" t="s">
        <v>81</v>
      </c>
      <c r="K927" t="s">
        <v>79</v>
      </c>
      <c r="L927">
        <v>6</v>
      </c>
      <c r="M927">
        <v>112.61</v>
      </c>
      <c r="N927">
        <v>1.2000000000000002</v>
      </c>
      <c r="O927">
        <v>31</v>
      </c>
      <c r="Q927">
        <v>111.41</v>
      </c>
      <c r="V927">
        <v>0</v>
      </c>
      <c r="W927">
        <v>0</v>
      </c>
      <c r="AF927">
        <v>0</v>
      </c>
      <c r="AG927">
        <v>0</v>
      </c>
      <c r="AH927">
        <v>0</v>
      </c>
      <c r="AI927">
        <v>12</v>
      </c>
      <c r="AJ927">
        <v>12</v>
      </c>
      <c r="AL927">
        <v>2036.5</v>
      </c>
      <c r="AM927">
        <v>0</v>
      </c>
    </row>
    <row r="928" spans="1:39" x14ac:dyDescent="0.25">
      <c r="A928" t="s">
        <v>46</v>
      </c>
      <c r="B928">
        <v>1</v>
      </c>
      <c r="C928" t="s">
        <v>82</v>
      </c>
      <c r="D928" s="39">
        <v>45888</v>
      </c>
      <c r="E928" t="s">
        <v>194</v>
      </c>
      <c r="F928" t="s">
        <v>79</v>
      </c>
      <c r="G928">
        <v>2</v>
      </c>
      <c r="H928" t="s">
        <v>92</v>
      </c>
      <c r="I928">
        <v>0</v>
      </c>
      <c r="J928" t="s">
        <v>81</v>
      </c>
      <c r="K928" t="s">
        <v>79</v>
      </c>
      <c r="L928">
        <v>6</v>
      </c>
      <c r="M928">
        <v>117.64999999999998</v>
      </c>
      <c r="N928">
        <v>1.2000000000000002</v>
      </c>
      <c r="O928">
        <v>16</v>
      </c>
      <c r="Q928">
        <v>116.44999999999997</v>
      </c>
      <c r="V928">
        <v>0</v>
      </c>
      <c r="W928">
        <v>0</v>
      </c>
      <c r="AF928">
        <v>0</v>
      </c>
      <c r="AG928">
        <v>0</v>
      </c>
      <c r="AH928">
        <v>0</v>
      </c>
      <c r="AI928">
        <v>12</v>
      </c>
      <c r="AJ928">
        <v>12</v>
      </c>
      <c r="AM928">
        <v>0</v>
      </c>
    </row>
    <row r="929" spans="1:40" x14ac:dyDescent="0.25">
      <c r="A929" t="s">
        <v>45</v>
      </c>
      <c r="B929">
        <v>2</v>
      </c>
      <c r="C929" t="s">
        <v>77</v>
      </c>
      <c r="D929" s="39">
        <v>45888</v>
      </c>
      <c r="E929" t="s">
        <v>194</v>
      </c>
      <c r="F929" t="s">
        <v>79</v>
      </c>
      <c r="G929">
        <v>3</v>
      </c>
      <c r="H929" t="s">
        <v>92</v>
      </c>
      <c r="I929">
        <v>0</v>
      </c>
      <c r="J929" t="s">
        <v>81</v>
      </c>
      <c r="K929" t="s">
        <v>79</v>
      </c>
      <c r="L929">
        <v>12</v>
      </c>
      <c r="M929">
        <v>130.16</v>
      </c>
      <c r="N929">
        <v>3.5999999999999996</v>
      </c>
      <c r="Q929">
        <v>126.56</v>
      </c>
      <c r="V929">
        <v>0</v>
      </c>
      <c r="W929">
        <v>0</v>
      </c>
      <c r="AF929">
        <v>0</v>
      </c>
      <c r="AG929">
        <v>0</v>
      </c>
      <c r="AH929">
        <v>0</v>
      </c>
      <c r="AI929">
        <v>12</v>
      </c>
      <c r="AJ929">
        <v>12</v>
      </c>
      <c r="AM929">
        <v>0</v>
      </c>
    </row>
    <row r="930" spans="1:40" x14ac:dyDescent="0.25">
      <c r="A930" t="s">
        <v>46</v>
      </c>
      <c r="B930">
        <v>2</v>
      </c>
      <c r="C930" t="s">
        <v>77</v>
      </c>
      <c r="D930" s="39">
        <v>45888</v>
      </c>
      <c r="E930" t="s">
        <v>194</v>
      </c>
      <c r="F930" t="s">
        <v>79</v>
      </c>
      <c r="G930">
        <v>3</v>
      </c>
      <c r="H930" t="s">
        <v>92</v>
      </c>
      <c r="I930">
        <v>0</v>
      </c>
      <c r="J930" t="s">
        <v>81</v>
      </c>
      <c r="K930" t="s">
        <v>79</v>
      </c>
      <c r="L930">
        <v>11</v>
      </c>
      <c r="M930">
        <v>130.79</v>
      </c>
      <c r="N930">
        <v>3.3</v>
      </c>
      <c r="Q930">
        <v>127.49</v>
      </c>
      <c r="V930">
        <v>0</v>
      </c>
      <c r="W930">
        <v>0</v>
      </c>
      <c r="Y930">
        <v>15</v>
      </c>
      <c r="AF930">
        <v>15</v>
      </c>
      <c r="AG930">
        <v>0.25</v>
      </c>
      <c r="AH930">
        <v>0.25</v>
      </c>
      <c r="AI930">
        <v>11.75</v>
      </c>
      <c r="AJ930">
        <v>12</v>
      </c>
      <c r="AM930">
        <v>0</v>
      </c>
    </row>
    <row r="931" spans="1:40" x14ac:dyDescent="0.25">
      <c r="A931" t="s">
        <v>45</v>
      </c>
      <c r="B931">
        <v>3</v>
      </c>
      <c r="C931" t="s">
        <v>112</v>
      </c>
      <c r="D931" s="39">
        <v>45888</v>
      </c>
      <c r="E931" t="s">
        <v>194</v>
      </c>
      <c r="F931" t="s">
        <v>79</v>
      </c>
      <c r="G931">
        <v>6</v>
      </c>
      <c r="H931">
        <v>5</v>
      </c>
      <c r="I931">
        <v>0</v>
      </c>
      <c r="J931" t="s">
        <v>81</v>
      </c>
      <c r="K931" t="s">
        <v>79</v>
      </c>
      <c r="L931">
        <v>10</v>
      </c>
      <c r="M931">
        <v>265.17</v>
      </c>
      <c r="N931">
        <v>6</v>
      </c>
      <c r="Q931">
        <v>259.17</v>
      </c>
      <c r="V931">
        <v>0</v>
      </c>
      <c r="W931">
        <v>0</v>
      </c>
      <c r="AF931">
        <v>0</v>
      </c>
      <c r="AG931">
        <v>0</v>
      </c>
      <c r="AH931">
        <v>0</v>
      </c>
      <c r="AI931">
        <v>12</v>
      </c>
      <c r="AJ931">
        <v>12</v>
      </c>
      <c r="AM931">
        <v>0</v>
      </c>
    </row>
    <row r="932" spans="1:40" x14ac:dyDescent="0.25">
      <c r="A932" t="s">
        <v>46</v>
      </c>
      <c r="B932">
        <v>3</v>
      </c>
      <c r="C932" t="s">
        <v>83</v>
      </c>
      <c r="D932" s="39">
        <v>45888</v>
      </c>
      <c r="E932" t="s">
        <v>194</v>
      </c>
      <c r="F932" t="s">
        <v>79</v>
      </c>
      <c r="G932">
        <v>7</v>
      </c>
      <c r="H932">
        <v>5</v>
      </c>
      <c r="I932">
        <v>0</v>
      </c>
      <c r="J932" t="s">
        <v>81</v>
      </c>
      <c r="K932" t="s">
        <v>79</v>
      </c>
      <c r="L932">
        <v>5</v>
      </c>
      <c r="M932">
        <v>161.62</v>
      </c>
      <c r="N932">
        <v>3.8</v>
      </c>
      <c r="Q932">
        <v>157.82</v>
      </c>
      <c r="V932">
        <v>0</v>
      </c>
      <c r="W932">
        <v>0</v>
      </c>
      <c r="AF932">
        <v>0</v>
      </c>
      <c r="AG932">
        <v>0</v>
      </c>
      <c r="AH932">
        <v>0</v>
      </c>
      <c r="AI932">
        <v>12</v>
      </c>
      <c r="AJ932">
        <v>12</v>
      </c>
      <c r="AM932">
        <v>0</v>
      </c>
    </row>
    <row r="933" spans="1:40" x14ac:dyDescent="0.25">
      <c r="A933" t="s">
        <v>46</v>
      </c>
      <c r="B933">
        <v>3</v>
      </c>
      <c r="C933" t="s">
        <v>433</v>
      </c>
      <c r="D933" s="39">
        <v>45888</v>
      </c>
      <c r="E933" t="s">
        <v>81</v>
      </c>
      <c r="F933" t="s">
        <v>81</v>
      </c>
      <c r="G933" t="s">
        <v>81</v>
      </c>
      <c r="H933" t="s">
        <v>81</v>
      </c>
      <c r="I933" t="s">
        <v>81</v>
      </c>
      <c r="J933" t="s">
        <v>81</v>
      </c>
      <c r="K933" t="s">
        <v>79</v>
      </c>
      <c r="L933">
        <v>2</v>
      </c>
      <c r="M933">
        <v>83.789999999999992</v>
      </c>
      <c r="N933">
        <v>2.2400000000000002</v>
      </c>
      <c r="Q933">
        <v>81.55</v>
      </c>
      <c r="S933">
        <v>5</v>
      </c>
      <c r="V933">
        <v>5</v>
      </c>
      <c r="W933">
        <v>8.3333333333333329E-2</v>
      </c>
      <c r="X933">
        <v>15</v>
      </c>
      <c r="AF933">
        <v>15</v>
      </c>
      <c r="AG933">
        <v>0.25</v>
      </c>
      <c r="AH933">
        <v>0.33333333333333331</v>
      </c>
      <c r="AI933">
        <v>11.666666666666666</v>
      </c>
      <c r="AJ933">
        <v>12</v>
      </c>
      <c r="AM933">
        <v>0</v>
      </c>
    </row>
    <row r="934" spans="1:40" x14ac:dyDescent="0.25">
      <c r="A934" t="s">
        <v>45</v>
      </c>
      <c r="B934">
        <v>4</v>
      </c>
      <c r="C934" t="s">
        <v>350</v>
      </c>
      <c r="D934" s="39">
        <v>45888</v>
      </c>
      <c r="E934" t="s">
        <v>276</v>
      </c>
      <c r="F934" t="s">
        <v>79</v>
      </c>
      <c r="G934">
        <v>16</v>
      </c>
      <c r="H934" t="s">
        <v>113</v>
      </c>
      <c r="I934" t="s">
        <v>114</v>
      </c>
      <c r="J934">
        <v>500</v>
      </c>
      <c r="K934" t="s">
        <v>79</v>
      </c>
      <c r="L934">
        <v>16</v>
      </c>
      <c r="M934">
        <v>707.16</v>
      </c>
      <c r="N934">
        <v>25.6</v>
      </c>
      <c r="Q934">
        <v>681.56</v>
      </c>
      <c r="V934">
        <v>0</v>
      </c>
      <c r="W934">
        <v>0</v>
      </c>
      <c r="Z934">
        <v>10</v>
      </c>
      <c r="AF934">
        <v>10</v>
      </c>
      <c r="AG934">
        <v>0.16666666666666666</v>
      </c>
      <c r="AH934">
        <v>0.16666666666666666</v>
      </c>
      <c r="AI934">
        <v>11.833333333333334</v>
      </c>
      <c r="AJ934">
        <v>12</v>
      </c>
      <c r="AM934">
        <v>0</v>
      </c>
    </row>
    <row r="935" spans="1:40" x14ac:dyDescent="0.25">
      <c r="A935" t="s">
        <v>46</v>
      </c>
      <c r="B935">
        <v>4</v>
      </c>
      <c r="C935" t="s">
        <v>350</v>
      </c>
      <c r="D935" s="39">
        <v>45888</v>
      </c>
      <c r="E935" t="s">
        <v>276</v>
      </c>
      <c r="F935" t="s">
        <v>79</v>
      </c>
      <c r="G935">
        <v>16</v>
      </c>
      <c r="H935" t="s">
        <v>113</v>
      </c>
      <c r="I935" t="s">
        <v>114</v>
      </c>
      <c r="J935">
        <v>500</v>
      </c>
      <c r="K935" t="s">
        <v>79</v>
      </c>
      <c r="L935">
        <v>8</v>
      </c>
      <c r="M935">
        <v>394.59</v>
      </c>
      <c r="N935">
        <v>12.8</v>
      </c>
      <c r="Q935">
        <v>381.78999999999996</v>
      </c>
      <c r="V935">
        <v>0</v>
      </c>
      <c r="W935">
        <v>0</v>
      </c>
      <c r="AF935">
        <v>0</v>
      </c>
      <c r="AG935">
        <v>0</v>
      </c>
      <c r="AH935">
        <v>0</v>
      </c>
      <c r="AI935">
        <v>12</v>
      </c>
      <c r="AJ935">
        <v>12</v>
      </c>
      <c r="AM935">
        <v>0</v>
      </c>
    </row>
    <row r="936" spans="1:40" x14ac:dyDescent="0.25">
      <c r="A936" t="s">
        <v>46</v>
      </c>
      <c r="B936">
        <v>4</v>
      </c>
      <c r="C936" t="s">
        <v>434</v>
      </c>
      <c r="D936" s="39">
        <v>45888</v>
      </c>
      <c r="E936" t="s">
        <v>81</v>
      </c>
      <c r="F936" t="s">
        <v>81</v>
      </c>
      <c r="G936" t="s">
        <v>81</v>
      </c>
      <c r="H936" t="s">
        <v>81</v>
      </c>
      <c r="I936" t="s">
        <v>81</v>
      </c>
      <c r="J936" t="s">
        <v>81</v>
      </c>
      <c r="K936" t="s">
        <v>79</v>
      </c>
      <c r="L936">
        <v>4</v>
      </c>
      <c r="M936">
        <v>210.95999999999998</v>
      </c>
      <c r="N936">
        <v>6.4</v>
      </c>
      <c r="Q936">
        <v>204.55999999999997</v>
      </c>
      <c r="V936">
        <v>0</v>
      </c>
      <c r="W936">
        <v>0</v>
      </c>
      <c r="AF936">
        <v>0</v>
      </c>
      <c r="AG936">
        <v>0</v>
      </c>
      <c r="AH936">
        <v>0</v>
      </c>
      <c r="AI936">
        <v>12</v>
      </c>
      <c r="AJ936">
        <v>12</v>
      </c>
      <c r="AM936">
        <v>0</v>
      </c>
    </row>
    <row r="937" spans="1:40" x14ac:dyDescent="0.25">
      <c r="A937" t="s">
        <v>46</v>
      </c>
      <c r="B937">
        <v>4</v>
      </c>
      <c r="C937" t="s">
        <v>431</v>
      </c>
      <c r="D937" s="39">
        <v>45888</v>
      </c>
      <c r="E937" t="s">
        <v>414</v>
      </c>
      <c r="F937" t="s">
        <v>79</v>
      </c>
      <c r="G937">
        <v>16</v>
      </c>
      <c r="H937">
        <v>5</v>
      </c>
      <c r="I937">
        <v>0</v>
      </c>
      <c r="J937">
        <v>500</v>
      </c>
      <c r="K937" t="s">
        <v>79</v>
      </c>
      <c r="L937">
        <v>2</v>
      </c>
      <c r="M937">
        <v>105.42</v>
      </c>
      <c r="N937">
        <v>3.8</v>
      </c>
      <c r="Q937">
        <v>101.62</v>
      </c>
      <c r="V937">
        <v>0</v>
      </c>
      <c r="W937">
        <v>0</v>
      </c>
      <c r="AF937">
        <v>0</v>
      </c>
      <c r="AG937">
        <v>0</v>
      </c>
      <c r="AH937">
        <v>0</v>
      </c>
      <c r="AI937">
        <v>12</v>
      </c>
      <c r="AJ937">
        <v>12</v>
      </c>
      <c r="AM937">
        <v>0</v>
      </c>
    </row>
    <row r="938" spans="1:40" x14ac:dyDescent="0.25">
      <c r="A938" t="s">
        <v>45</v>
      </c>
      <c r="B938">
        <v>5</v>
      </c>
      <c r="C938" t="s">
        <v>132</v>
      </c>
      <c r="D938" s="39">
        <v>45888</v>
      </c>
      <c r="E938" t="s">
        <v>194</v>
      </c>
      <c r="F938" t="s">
        <v>79</v>
      </c>
      <c r="G938">
        <v>13</v>
      </c>
      <c r="H938">
        <v>5</v>
      </c>
      <c r="I938">
        <v>0</v>
      </c>
      <c r="J938" t="s">
        <v>81</v>
      </c>
      <c r="K938" t="s">
        <v>79</v>
      </c>
      <c r="L938">
        <v>6</v>
      </c>
      <c r="M938">
        <v>223.59</v>
      </c>
      <c r="N938">
        <v>9</v>
      </c>
      <c r="Q938">
        <v>214.59</v>
      </c>
      <c r="V938">
        <v>0</v>
      </c>
      <c r="W938">
        <v>0</v>
      </c>
      <c r="AF938">
        <v>0</v>
      </c>
      <c r="AG938">
        <v>0</v>
      </c>
      <c r="AH938">
        <v>0</v>
      </c>
      <c r="AI938">
        <v>12</v>
      </c>
      <c r="AJ938">
        <v>12</v>
      </c>
      <c r="AM938">
        <v>0</v>
      </c>
    </row>
    <row r="939" spans="1:40" x14ac:dyDescent="0.25">
      <c r="A939" t="s">
        <v>45</v>
      </c>
      <c r="B939">
        <v>5</v>
      </c>
      <c r="C939" t="s">
        <v>435</v>
      </c>
      <c r="D939" s="39">
        <v>45888</v>
      </c>
      <c r="E939" t="s">
        <v>282</v>
      </c>
      <c r="F939" t="s">
        <v>79</v>
      </c>
      <c r="G939">
        <v>12</v>
      </c>
      <c r="H939">
        <v>6.5</v>
      </c>
      <c r="I939">
        <v>0</v>
      </c>
      <c r="J939">
        <v>300</v>
      </c>
      <c r="K939" t="s">
        <v>79</v>
      </c>
      <c r="L939">
        <v>8</v>
      </c>
      <c r="M939">
        <v>331.51</v>
      </c>
      <c r="N939">
        <v>12</v>
      </c>
      <c r="Q939">
        <v>319.51</v>
      </c>
      <c r="V939">
        <v>0</v>
      </c>
      <c r="W939">
        <v>0</v>
      </c>
      <c r="Y939">
        <v>20</v>
      </c>
      <c r="AD939">
        <v>20</v>
      </c>
      <c r="AF939">
        <v>40</v>
      </c>
      <c r="AG939">
        <v>0.66666666666666663</v>
      </c>
      <c r="AH939">
        <v>0.66666666666666663</v>
      </c>
      <c r="AI939">
        <v>11.333333333333334</v>
      </c>
      <c r="AJ939">
        <v>12</v>
      </c>
      <c r="AM939">
        <v>0</v>
      </c>
    </row>
    <row r="940" spans="1:40" x14ac:dyDescent="0.25">
      <c r="A940" t="s">
        <v>46</v>
      </c>
      <c r="B940">
        <v>5</v>
      </c>
      <c r="C940" t="s">
        <v>435</v>
      </c>
      <c r="D940" s="39">
        <v>45888</v>
      </c>
      <c r="E940" t="s">
        <v>282</v>
      </c>
      <c r="F940" t="s">
        <v>79</v>
      </c>
      <c r="G940">
        <v>12</v>
      </c>
      <c r="H940">
        <v>6.5</v>
      </c>
      <c r="I940">
        <v>0</v>
      </c>
      <c r="J940">
        <v>300</v>
      </c>
      <c r="K940" t="s">
        <v>79</v>
      </c>
      <c r="L940">
        <v>11</v>
      </c>
      <c r="M940">
        <v>573.82000000000005</v>
      </c>
      <c r="N940">
        <v>17.490000000000002</v>
      </c>
      <c r="Q940">
        <v>556.33000000000004</v>
      </c>
      <c r="V940">
        <v>0</v>
      </c>
      <c r="W940">
        <v>0</v>
      </c>
      <c r="AF940">
        <v>0</v>
      </c>
      <c r="AG940">
        <v>0</v>
      </c>
      <c r="AH940">
        <v>0</v>
      </c>
      <c r="AI940">
        <v>12</v>
      </c>
      <c r="AJ940">
        <v>12</v>
      </c>
      <c r="AM940">
        <v>0</v>
      </c>
    </row>
    <row r="941" spans="1:40" x14ac:dyDescent="0.25">
      <c r="A941" t="s">
        <v>45</v>
      </c>
      <c r="B941">
        <v>1</v>
      </c>
      <c r="C941" t="s">
        <v>424</v>
      </c>
      <c r="D941" s="39">
        <v>45889</v>
      </c>
      <c r="E941" t="s">
        <v>194</v>
      </c>
      <c r="F941" t="s">
        <v>79</v>
      </c>
      <c r="G941">
        <v>2</v>
      </c>
      <c r="H941" t="s">
        <v>92</v>
      </c>
      <c r="I941">
        <v>0</v>
      </c>
      <c r="J941">
        <v>500</v>
      </c>
      <c r="K941" t="s">
        <v>79</v>
      </c>
      <c r="L941">
        <v>5</v>
      </c>
      <c r="M941">
        <v>114.09</v>
      </c>
      <c r="N941">
        <v>2.1</v>
      </c>
      <c r="O941">
        <v>38</v>
      </c>
      <c r="Q941">
        <v>111.99000000000001</v>
      </c>
      <c r="S941">
        <v>5</v>
      </c>
      <c r="V941">
        <v>5</v>
      </c>
      <c r="W941">
        <v>8.3333333333333329E-2</v>
      </c>
      <c r="AF941">
        <v>0</v>
      </c>
      <c r="AG941">
        <v>0</v>
      </c>
      <c r="AH941">
        <v>8.3333333333333329E-2</v>
      </c>
      <c r="AI941">
        <v>11.916666666666666</v>
      </c>
      <c r="AJ941">
        <v>12</v>
      </c>
      <c r="AL941">
        <v>1870.5</v>
      </c>
      <c r="AM941">
        <v>0</v>
      </c>
      <c r="AN941">
        <v>1700</v>
      </c>
    </row>
    <row r="942" spans="1:40" x14ac:dyDescent="0.25">
      <c r="A942" t="s">
        <v>45</v>
      </c>
      <c r="B942">
        <v>1</v>
      </c>
      <c r="C942" t="s">
        <v>100</v>
      </c>
      <c r="D942" s="39">
        <v>45889</v>
      </c>
      <c r="E942" t="s">
        <v>194</v>
      </c>
      <c r="F942" t="s">
        <v>79</v>
      </c>
      <c r="G942">
        <v>2.5</v>
      </c>
      <c r="H942" t="s">
        <v>92</v>
      </c>
      <c r="I942">
        <v>0</v>
      </c>
      <c r="J942" t="s">
        <v>81</v>
      </c>
      <c r="K942" t="s">
        <v>79</v>
      </c>
      <c r="L942">
        <v>2</v>
      </c>
      <c r="M942">
        <v>22.979999999999997</v>
      </c>
      <c r="N942">
        <v>0.4</v>
      </c>
      <c r="Q942">
        <v>22.58</v>
      </c>
      <c r="V942">
        <v>0</v>
      </c>
      <c r="W942">
        <v>0</v>
      </c>
      <c r="AF942">
        <v>0</v>
      </c>
      <c r="AG942">
        <v>0</v>
      </c>
      <c r="AH942">
        <v>0</v>
      </c>
      <c r="AI942">
        <v>12</v>
      </c>
      <c r="AJ942">
        <v>12</v>
      </c>
      <c r="AM942">
        <v>0</v>
      </c>
    </row>
    <row r="943" spans="1:40" x14ac:dyDescent="0.25">
      <c r="A943" t="s">
        <v>46</v>
      </c>
      <c r="B943">
        <v>1</v>
      </c>
      <c r="C943" t="s">
        <v>100</v>
      </c>
      <c r="D943" s="39">
        <v>45889</v>
      </c>
      <c r="E943" t="s">
        <v>194</v>
      </c>
      <c r="F943" t="s">
        <v>79</v>
      </c>
      <c r="G943">
        <v>2.5</v>
      </c>
      <c r="H943" t="s">
        <v>92</v>
      </c>
      <c r="I943">
        <v>0</v>
      </c>
      <c r="J943" t="s">
        <v>81</v>
      </c>
      <c r="K943" t="s">
        <v>79</v>
      </c>
      <c r="L943">
        <v>11</v>
      </c>
      <c r="M943">
        <v>123.34</v>
      </c>
      <c r="N943">
        <v>2.2000000000000002</v>
      </c>
      <c r="O943">
        <v>17</v>
      </c>
      <c r="Q943">
        <v>121.14</v>
      </c>
      <c r="V943">
        <v>0</v>
      </c>
      <c r="W943">
        <v>0</v>
      </c>
      <c r="AF943">
        <v>0</v>
      </c>
      <c r="AG943">
        <v>0</v>
      </c>
      <c r="AH943">
        <v>0</v>
      </c>
      <c r="AI943">
        <v>12</v>
      </c>
      <c r="AJ943">
        <v>12</v>
      </c>
      <c r="AM943">
        <v>0</v>
      </c>
      <c r="AN943">
        <v>1700</v>
      </c>
    </row>
    <row r="944" spans="1:40" x14ac:dyDescent="0.25">
      <c r="A944" t="s">
        <v>45</v>
      </c>
      <c r="B944">
        <v>2</v>
      </c>
      <c r="C944" t="s">
        <v>77</v>
      </c>
      <c r="D944" s="39">
        <v>45889</v>
      </c>
      <c r="E944" t="s">
        <v>194</v>
      </c>
      <c r="F944" t="s">
        <v>79</v>
      </c>
      <c r="G944">
        <v>3</v>
      </c>
      <c r="H944" t="s">
        <v>92</v>
      </c>
      <c r="I944">
        <v>0</v>
      </c>
      <c r="J944" t="s">
        <v>81</v>
      </c>
      <c r="K944" t="s">
        <v>79</v>
      </c>
      <c r="L944">
        <v>11</v>
      </c>
      <c r="M944">
        <v>131.24</v>
      </c>
      <c r="N944">
        <v>3.3</v>
      </c>
      <c r="Q944">
        <v>127.94000000000001</v>
      </c>
      <c r="V944">
        <v>0</v>
      </c>
      <c r="W944">
        <v>0</v>
      </c>
      <c r="AF944">
        <v>0</v>
      </c>
      <c r="AG944">
        <v>0</v>
      </c>
      <c r="AH944">
        <v>0</v>
      </c>
      <c r="AI944">
        <v>12</v>
      </c>
      <c r="AJ944">
        <v>12</v>
      </c>
      <c r="AM944">
        <v>0</v>
      </c>
    </row>
    <row r="945" spans="1:39" x14ac:dyDescent="0.25">
      <c r="A945" t="s">
        <v>46</v>
      </c>
      <c r="B945">
        <v>2</v>
      </c>
      <c r="C945" t="s">
        <v>77</v>
      </c>
      <c r="D945" s="39">
        <v>45889</v>
      </c>
      <c r="E945" t="s">
        <v>194</v>
      </c>
      <c r="F945" t="s">
        <v>79</v>
      </c>
      <c r="G945">
        <v>3</v>
      </c>
      <c r="H945" t="s">
        <v>92</v>
      </c>
      <c r="I945">
        <v>0</v>
      </c>
      <c r="J945" t="s">
        <v>81</v>
      </c>
      <c r="K945" t="s">
        <v>79</v>
      </c>
      <c r="L945">
        <v>4</v>
      </c>
      <c r="M945">
        <v>53.79</v>
      </c>
      <c r="N945">
        <v>1.2</v>
      </c>
      <c r="Q945">
        <v>52.589999999999996</v>
      </c>
      <c r="S945">
        <v>2</v>
      </c>
      <c r="V945">
        <v>2</v>
      </c>
      <c r="W945">
        <v>3.3333333333333333E-2</v>
      </c>
      <c r="AF945">
        <v>0</v>
      </c>
      <c r="AG945">
        <v>0</v>
      </c>
      <c r="AH945">
        <v>3.3333333333333333E-2</v>
      </c>
      <c r="AI945">
        <v>11.966666666666669</v>
      </c>
      <c r="AJ945">
        <v>12</v>
      </c>
      <c r="AM945">
        <v>0</v>
      </c>
    </row>
    <row r="946" spans="1:39" x14ac:dyDescent="0.25">
      <c r="A946" t="s">
        <v>46</v>
      </c>
      <c r="B946">
        <v>2</v>
      </c>
      <c r="C946" t="s">
        <v>91</v>
      </c>
      <c r="D946" s="39">
        <v>45889</v>
      </c>
      <c r="E946" t="s">
        <v>194</v>
      </c>
      <c r="F946" t="s">
        <v>79</v>
      </c>
      <c r="G946">
        <v>4</v>
      </c>
      <c r="H946" t="s">
        <v>92</v>
      </c>
      <c r="I946">
        <v>0</v>
      </c>
      <c r="J946" t="s">
        <v>81</v>
      </c>
      <c r="K946" t="s">
        <v>79</v>
      </c>
      <c r="L946">
        <v>6</v>
      </c>
      <c r="M946">
        <v>93.17</v>
      </c>
      <c r="N946">
        <v>2.4000000000000004</v>
      </c>
      <c r="Q946">
        <v>90.77</v>
      </c>
      <c r="V946">
        <v>0</v>
      </c>
      <c r="W946">
        <v>0</v>
      </c>
      <c r="AF946">
        <v>0</v>
      </c>
      <c r="AG946">
        <v>0</v>
      </c>
      <c r="AH946">
        <v>0</v>
      </c>
      <c r="AI946">
        <v>12</v>
      </c>
      <c r="AJ946">
        <v>12</v>
      </c>
      <c r="AM946">
        <v>0</v>
      </c>
    </row>
    <row r="947" spans="1:39" x14ac:dyDescent="0.25">
      <c r="A947" t="s">
        <v>45</v>
      </c>
      <c r="B947">
        <v>3</v>
      </c>
      <c r="C947" t="s">
        <v>415</v>
      </c>
      <c r="D947" s="39">
        <v>45889</v>
      </c>
      <c r="E947" t="s">
        <v>416</v>
      </c>
      <c r="F947" t="s">
        <v>79</v>
      </c>
      <c r="G947">
        <v>18</v>
      </c>
      <c r="H947">
        <v>4.5</v>
      </c>
      <c r="I947">
        <v>0</v>
      </c>
      <c r="J947">
        <v>200</v>
      </c>
      <c r="K947" t="s">
        <v>79</v>
      </c>
      <c r="L947">
        <v>4</v>
      </c>
      <c r="M947">
        <v>101.85</v>
      </c>
      <c r="N947">
        <v>4.76</v>
      </c>
      <c r="Q947">
        <v>97.089999999999989</v>
      </c>
      <c r="V947">
        <v>0</v>
      </c>
      <c r="W947">
        <v>0</v>
      </c>
      <c r="Z947">
        <v>480</v>
      </c>
      <c r="AF947">
        <v>480</v>
      </c>
      <c r="AG947">
        <v>8</v>
      </c>
      <c r="AH947">
        <v>8</v>
      </c>
      <c r="AI947">
        <v>4</v>
      </c>
      <c r="AJ947">
        <v>12</v>
      </c>
      <c r="AM947">
        <v>0</v>
      </c>
    </row>
    <row r="948" spans="1:39" x14ac:dyDescent="0.25">
      <c r="A948" t="s">
        <v>46</v>
      </c>
      <c r="B948">
        <v>3</v>
      </c>
      <c r="C948" t="s">
        <v>415</v>
      </c>
      <c r="D948" s="39">
        <v>45889</v>
      </c>
      <c r="E948" t="s">
        <v>416</v>
      </c>
      <c r="F948" t="s">
        <v>79</v>
      </c>
      <c r="G948">
        <v>18</v>
      </c>
      <c r="H948">
        <v>4.5</v>
      </c>
      <c r="I948">
        <v>0</v>
      </c>
      <c r="J948">
        <v>200</v>
      </c>
      <c r="K948" t="s">
        <v>79</v>
      </c>
      <c r="L948">
        <v>2</v>
      </c>
      <c r="M948">
        <v>93.789999999999992</v>
      </c>
      <c r="N948">
        <v>1.8</v>
      </c>
      <c r="Q948">
        <v>91.99</v>
      </c>
      <c r="V948">
        <v>0</v>
      </c>
      <c r="W948">
        <v>0</v>
      </c>
      <c r="Z948">
        <v>60</v>
      </c>
      <c r="AF948">
        <v>60</v>
      </c>
      <c r="AG948">
        <v>1</v>
      </c>
      <c r="AH948">
        <v>1</v>
      </c>
      <c r="AI948">
        <v>11</v>
      </c>
      <c r="AJ948">
        <v>12</v>
      </c>
      <c r="AM948">
        <v>0</v>
      </c>
    </row>
    <row r="949" spans="1:39" x14ac:dyDescent="0.25">
      <c r="A949" t="s">
        <v>46</v>
      </c>
      <c r="B949">
        <v>3</v>
      </c>
      <c r="C949" t="s">
        <v>425</v>
      </c>
      <c r="D949" s="39">
        <v>45889</v>
      </c>
      <c r="E949" t="s">
        <v>418</v>
      </c>
      <c r="F949" t="s">
        <v>79</v>
      </c>
      <c r="G949">
        <v>8</v>
      </c>
      <c r="H949">
        <v>4.5</v>
      </c>
      <c r="I949">
        <v>0</v>
      </c>
      <c r="J949">
        <v>300</v>
      </c>
      <c r="K949" t="s">
        <v>79</v>
      </c>
      <c r="L949">
        <v>3</v>
      </c>
      <c r="M949">
        <v>79.22</v>
      </c>
      <c r="N949">
        <v>2.7</v>
      </c>
      <c r="Q949">
        <v>76.52</v>
      </c>
      <c r="V949">
        <v>0</v>
      </c>
      <c r="W949">
        <v>0</v>
      </c>
      <c r="AF949">
        <v>0</v>
      </c>
      <c r="AG949">
        <v>0</v>
      </c>
      <c r="AH949">
        <v>0</v>
      </c>
      <c r="AI949">
        <v>12</v>
      </c>
      <c r="AJ949">
        <v>12</v>
      </c>
      <c r="AM949">
        <v>0</v>
      </c>
    </row>
    <row r="950" spans="1:39" x14ac:dyDescent="0.25">
      <c r="A950" t="s">
        <v>46</v>
      </c>
      <c r="B950">
        <v>3</v>
      </c>
      <c r="C950" t="s">
        <v>436</v>
      </c>
      <c r="D950" s="39">
        <v>45889</v>
      </c>
      <c r="E950" t="s">
        <v>282</v>
      </c>
      <c r="F950" t="s">
        <v>79</v>
      </c>
      <c r="G950">
        <v>9</v>
      </c>
      <c r="H950">
        <v>5.5</v>
      </c>
      <c r="I950">
        <v>0</v>
      </c>
      <c r="J950">
        <v>50</v>
      </c>
      <c r="K950" t="s">
        <v>79</v>
      </c>
      <c r="L950">
        <v>1</v>
      </c>
      <c r="M950">
        <v>38.380000000000003</v>
      </c>
      <c r="N950">
        <v>0.9</v>
      </c>
      <c r="Q950">
        <v>37.480000000000004</v>
      </c>
      <c r="V950">
        <v>0</v>
      </c>
      <c r="W950">
        <v>0</v>
      </c>
      <c r="AF950">
        <v>0</v>
      </c>
      <c r="AG950">
        <v>0</v>
      </c>
      <c r="AH950">
        <v>0</v>
      </c>
      <c r="AI950">
        <v>12</v>
      </c>
      <c r="AJ950">
        <v>12</v>
      </c>
      <c r="AM950">
        <v>0</v>
      </c>
    </row>
    <row r="951" spans="1:39" x14ac:dyDescent="0.25">
      <c r="A951" t="s">
        <v>45</v>
      </c>
      <c r="B951">
        <v>4</v>
      </c>
      <c r="C951" t="s">
        <v>431</v>
      </c>
      <c r="D951" s="39">
        <v>45889</v>
      </c>
      <c r="E951" t="s">
        <v>414</v>
      </c>
      <c r="F951" t="s">
        <v>79</v>
      </c>
      <c r="G951">
        <v>16</v>
      </c>
      <c r="H951">
        <v>5</v>
      </c>
      <c r="I951">
        <v>0</v>
      </c>
      <c r="J951">
        <v>500</v>
      </c>
      <c r="K951" t="s">
        <v>79</v>
      </c>
      <c r="L951">
        <v>10</v>
      </c>
      <c r="M951">
        <v>475.91999999999996</v>
      </c>
      <c r="N951">
        <v>16.240000000000002</v>
      </c>
      <c r="Q951">
        <v>459.67999999999995</v>
      </c>
      <c r="S951">
        <v>5</v>
      </c>
      <c r="V951">
        <v>5</v>
      </c>
      <c r="W951">
        <v>8.3333333333333329E-2</v>
      </c>
      <c r="AF951">
        <v>0</v>
      </c>
      <c r="AG951">
        <v>0</v>
      </c>
      <c r="AH951">
        <v>8.3333333333333329E-2</v>
      </c>
      <c r="AI951">
        <v>11.916666666666666</v>
      </c>
      <c r="AJ951">
        <v>12</v>
      </c>
      <c r="AM951">
        <v>0</v>
      </c>
    </row>
    <row r="952" spans="1:39" x14ac:dyDescent="0.25">
      <c r="A952" t="s">
        <v>45</v>
      </c>
      <c r="B952">
        <v>4</v>
      </c>
      <c r="C952" t="s">
        <v>437</v>
      </c>
      <c r="D952" s="39">
        <v>45889</v>
      </c>
      <c r="E952" t="s">
        <v>438</v>
      </c>
      <c r="F952" t="s">
        <v>79</v>
      </c>
      <c r="G952">
        <v>22</v>
      </c>
      <c r="H952" t="s">
        <v>98</v>
      </c>
      <c r="I952" t="s">
        <v>99</v>
      </c>
      <c r="J952">
        <v>100</v>
      </c>
      <c r="K952" t="s">
        <v>79</v>
      </c>
      <c r="L952">
        <v>3</v>
      </c>
      <c r="M952">
        <v>117.28</v>
      </c>
      <c r="N952">
        <v>7.68</v>
      </c>
      <c r="Q952">
        <v>109.6</v>
      </c>
      <c r="S952">
        <v>5</v>
      </c>
      <c r="V952">
        <v>5</v>
      </c>
      <c r="W952">
        <v>8.3333333333333329E-2</v>
      </c>
      <c r="AF952">
        <v>0</v>
      </c>
      <c r="AG952">
        <v>0</v>
      </c>
      <c r="AH952">
        <v>8.3333333333333329E-2</v>
      </c>
      <c r="AI952">
        <v>11.916666666666666</v>
      </c>
      <c r="AJ952">
        <v>12</v>
      </c>
      <c r="AM952">
        <v>0</v>
      </c>
    </row>
    <row r="953" spans="1:39" x14ac:dyDescent="0.25">
      <c r="A953" t="s">
        <v>45</v>
      </c>
      <c r="B953">
        <v>4</v>
      </c>
      <c r="C953" t="s">
        <v>367</v>
      </c>
      <c r="D953" s="39">
        <v>45889</v>
      </c>
      <c r="E953" t="s">
        <v>276</v>
      </c>
      <c r="F953" t="s">
        <v>79</v>
      </c>
      <c r="G953">
        <v>28</v>
      </c>
      <c r="H953" t="s">
        <v>113</v>
      </c>
      <c r="I953" t="s">
        <v>114</v>
      </c>
      <c r="J953">
        <v>1000</v>
      </c>
      <c r="K953" t="s">
        <v>79</v>
      </c>
      <c r="L953">
        <v>2</v>
      </c>
      <c r="M953">
        <v>108.5</v>
      </c>
      <c r="N953">
        <v>6.4</v>
      </c>
      <c r="Q953">
        <v>102.1</v>
      </c>
      <c r="V953">
        <v>0</v>
      </c>
      <c r="W953">
        <v>0</v>
      </c>
      <c r="AF953">
        <v>0</v>
      </c>
      <c r="AG953">
        <v>0</v>
      </c>
      <c r="AH953">
        <v>0</v>
      </c>
      <c r="AI953">
        <v>12</v>
      </c>
      <c r="AJ953">
        <v>12</v>
      </c>
      <c r="AM953">
        <v>0</v>
      </c>
    </row>
    <row r="954" spans="1:39" x14ac:dyDescent="0.25">
      <c r="A954" t="s">
        <v>46</v>
      </c>
      <c r="B954">
        <v>4</v>
      </c>
      <c r="C954" t="s">
        <v>367</v>
      </c>
      <c r="D954" s="39">
        <v>45889</v>
      </c>
      <c r="E954" t="s">
        <v>276</v>
      </c>
      <c r="F954" t="s">
        <v>79</v>
      </c>
      <c r="G954">
        <v>28</v>
      </c>
      <c r="H954" t="s">
        <v>113</v>
      </c>
      <c r="I954" t="s">
        <v>114</v>
      </c>
      <c r="J954">
        <v>1000</v>
      </c>
      <c r="K954" t="s">
        <v>79</v>
      </c>
      <c r="L954">
        <v>12</v>
      </c>
      <c r="M954">
        <v>708.87</v>
      </c>
      <c r="N954">
        <v>38.090000000000003</v>
      </c>
      <c r="Q954">
        <v>670.78</v>
      </c>
      <c r="V954">
        <v>0</v>
      </c>
      <c r="W954">
        <v>0</v>
      </c>
      <c r="AF954">
        <v>0</v>
      </c>
      <c r="AG954">
        <v>0</v>
      </c>
      <c r="AH954">
        <v>0</v>
      </c>
      <c r="AI954">
        <v>12</v>
      </c>
      <c r="AJ954">
        <v>12</v>
      </c>
      <c r="AM954">
        <v>0</v>
      </c>
    </row>
    <row r="955" spans="1:39" x14ac:dyDescent="0.25">
      <c r="A955" t="s">
        <v>45</v>
      </c>
      <c r="B955">
        <v>5</v>
      </c>
      <c r="C955" t="s">
        <v>439</v>
      </c>
      <c r="D955" s="39">
        <v>45889</v>
      </c>
      <c r="E955" t="s">
        <v>282</v>
      </c>
      <c r="F955" t="s">
        <v>79</v>
      </c>
      <c r="G955">
        <v>13</v>
      </c>
      <c r="H955">
        <v>6.5</v>
      </c>
      <c r="I955">
        <v>0</v>
      </c>
      <c r="J955">
        <v>1000</v>
      </c>
      <c r="K955" t="s">
        <v>79</v>
      </c>
      <c r="L955">
        <v>4</v>
      </c>
      <c r="M955">
        <v>154.79000000000002</v>
      </c>
      <c r="N955">
        <v>6.16</v>
      </c>
      <c r="Q955">
        <v>148.63000000000002</v>
      </c>
      <c r="S955">
        <v>20</v>
      </c>
      <c r="V955">
        <v>20</v>
      </c>
      <c r="W955">
        <v>0.33333333333333331</v>
      </c>
      <c r="Z955">
        <v>30</v>
      </c>
      <c r="AF955">
        <v>30</v>
      </c>
      <c r="AG955">
        <v>0.5</v>
      </c>
      <c r="AH955">
        <v>0.83333333333333326</v>
      </c>
      <c r="AI955">
        <v>11.166666666666666</v>
      </c>
      <c r="AJ955">
        <v>12</v>
      </c>
      <c r="AM955">
        <v>0</v>
      </c>
    </row>
    <row r="956" spans="1:39" x14ac:dyDescent="0.25">
      <c r="A956" t="s">
        <v>45</v>
      </c>
      <c r="B956">
        <v>5</v>
      </c>
      <c r="C956" t="s">
        <v>435</v>
      </c>
      <c r="D956" s="39">
        <v>45889</v>
      </c>
      <c r="E956" t="s">
        <v>282</v>
      </c>
      <c r="F956" t="s">
        <v>79</v>
      </c>
      <c r="G956">
        <v>12</v>
      </c>
      <c r="H956">
        <v>6.5</v>
      </c>
      <c r="I956">
        <v>0</v>
      </c>
      <c r="J956">
        <v>300</v>
      </c>
      <c r="K956" t="s">
        <v>79</v>
      </c>
      <c r="L956">
        <v>8</v>
      </c>
      <c r="M956">
        <v>333.92</v>
      </c>
      <c r="N956">
        <v>9.6</v>
      </c>
      <c r="Q956">
        <v>324.32</v>
      </c>
      <c r="V956">
        <v>0</v>
      </c>
      <c r="W956">
        <v>0</v>
      </c>
      <c r="AF956">
        <v>0</v>
      </c>
      <c r="AG956">
        <v>0</v>
      </c>
      <c r="AH956">
        <v>0</v>
      </c>
      <c r="AI956">
        <v>12</v>
      </c>
      <c r="AJ956">
        <v>12</v>
      </c>
      <c r="AM956">
        <v>0</v>
      </c>
    </row>
    <row r="957" spans="1:39" x14ac:dyDescent="0.25">
      <c r="A957" t="s">
        <v>45</v>
      </c>
      <c r="B957">
        <v>5</v>
      </c>
      <c r="C957" t="s">
        <v>440</v>
      </c>
      <c r="D957" s="39">
        <v>45889</v>
      </c>
      <c r="E957" t="s">
        <v>416</v>
      </c>
      <c r="F957" t="s">
        <v>79</v>
      </c>
      <c r="G957">
        <v>8</v>
      </c>
      <c r="H957">
        <v>4.5</v>
      </c>
      <c r="I957">
        <v>0</v>
      </c>
      <c r="J957">
        <v>100</v>
      </c>
      <c r="K957" t="s">
        <v>79</v>
      </c>
      <c r="L957">
        <v>2</v>
      </c>
      <c r="M957">
        <v>63.92</v>
      </c>
      <c r="N957">
        <v>2.4</v>
      </c>
      <c r="Q957">
        <v>61.52</v>
      </c>
      <c r="V957">
        <v>0</v>
      </c>
      <c r="W957">
        <v>0</v>
      </c>
      <c r="AF957">
        <v>0</v>
      </c>
      <c r="AG957">
        <v>0</v>
      </c>
      <c r="AH957">
        <v>0</v>
      </c>
      <c r="AI957">
        <v>12</v>
      </c>
      <c r="AJ957">
        <v>12</v>
      </c>
      <c r="AM957">
        <v>0</v>
      </c>
    </row>
    <row r="958" spans="1:39" x14ac:dyDescent="0.25">
      <c r="A958" t="s">
        <v>46</v>
      </c>
      <c r="B958">
        <v>5</v>
      </c>
      <c r="C958" t="s">
        <v>440</v>
      </c>
      <c r="D958" s="39">
        <v>45889</v>
      </c>
      <c r="E958" t="s">
        <v>416</v>
      </c>
      <c r="F958" t="s">
        <v>79</v>
      </c>
      <c r="G958">
        <v>8</v>
      </c>
      <c r="H958">
        <v>4.5</v>
      </c>
      <c r="I958">
        <v>0</v>
      </c>
      <c r="J958">
        <v>100</v>
      </c>
      <c r="K958" t="s">
        <v>79</v>
      </c>
      <c r="L958">
        <v>3</v>
      </c>
      <c r="M958">
        <v>105.77</v>
      </c>
      <c r="N958">
        <v>4.53</v>
      </c>
      <c r="Q958">
        <v>101.24</v>
      </c>
      <c r="V958">
        <v>0</v>
      </c>
      <c r="W958">
        <v>0</v>
      </c>
      <c r="AF958">
        <v>0</v>
      </c>
      <c r="AG958">
        <v>0</v>
      </c>
      <c r="AH958">
        <v>0</v>
      </c>
      <c r="AI958">
        <v>12</v>
      </c>
      <c r="AJ958">
        <v>12</v>
      </c>
      <c r="AM958">
        <v>0</v>
      </c>
    </row>
    <row r="959" spans="1:39" x14ac:dyDescent="0.25">
      <c r="A959" t="s">
        <v>46</v>
      </c>
      <c r="B959">
        <v>5</v>
      </c>
      <c r="C959" t="s">
        <v>441</v>
      </c>
      <c r="D959" s="39">
        <v>45889</v>
      </c>
      <c r="E959" t="s">
        <v>442</v>
      </c>
      <c r="F959" t="s">
        <v>79</v>
      </c>
      <c r="G959">
        <v>12</v>
      </c>
      <c r="H959">
        <v>5</v>
      </c>
      <c r="I959">
        <v>0</v>
      </c>
      <c r="J959">
        <v>500</v>
      </c>
      <c r="K959" t="s">
        <v>79</v>
      </c>
      <c r="L959">
        <v>6</v>
      </c>
      <c r="M959">
        <v>335.86</v>
      </c>
      <c r="N959">
        <v>9.06</v>
      </c>
      <c r="Q959">
        <v>326.8</v>
      </c>
      <c r="V959">
        <v>0</v>
      </c>
      <c r="W959">
        <v>0</v>
      </c>
      <c r="AF959">
        <v>0</v>
      </c>
      <c r="AG959">
        <v>0</v>
      </c>
      <c r="AH959">
        <v>0</v>
      </c>
      <c r="AI959">
        <v>12</v>
      </c>
      <c r="AJ959">
        <v>12</v>
      </c>
      <c r="AM959">
        <v>0</v>
      </c>
    </row>
    <row r="960" spans="1:39" x14ac:dyDescent="0.25">
      <c r="A960" t="s">
        <v>46</v>
      </c>
      <c r="B960">
        <v>5</v>
      </c>
      <c r="C960" t="s">
        <v>443</v>
      </c>
      <c r="D960" s="39">
        <v>45889</v>
      </c>
      <c r="E960" t="s">
        <v>444</v>
      </c>
      <c r="F960" t="s">
        <v>79</v>
      </c>
      <c r="G960">
        <v>12</v>
      </c>
      <c r="H960">
        <v>5</v>
      </c>
      <c r="I960">
        <v>0</v>
      </c>
      <c r="J960">
        <v>75</v>
      </c>
      <c r="K960" t="s">
        <v>79</v>
      </c>
      <c r="L960">
        <v>1</v>
      </c>
      <c r="M960">
        <v>60</v>
      </c>
      <c r="N960">
        <v>1.2</v>
      </c>
      <c r="Q960">
        <v>58.8</v>
      </c>
      <c r="V960">
        <v>0</v>
      </c>
      <c r="W960">
        <v>0</v>
      </c>
      <c r="AF960">
        <v>0</v>
      </c>
      <c r="AG960">
        <v>0</v>
      </c>
      <c r="AH960">
        <v>0</v>
      </c>
      <c r="AI960">
        <v>12</v>
      </c>
      <c r="AJ960">
        <v>12</v>
      </c>
      <c r="AM960">
        <v>0</v>
      </c>
    </row>
    <row r="961" spans="1:40" x14ac:dyDescent="0.25">
      <c r="A961" t="s">
        <v>45</v>
      </c>
      <c r="B961">
        <v>1</v>
      </c>
      <c r="C961" t="s">
        <v>100</v>
      </c>
      <c r="D961" s="39">
        <v>45890</v>
      </c>
      <c r="E961" t="s">
        <v>194</v>
      </c>
      <c r="F961" t="s">
        <v>79</v>
      </c>
      <c r="G961">
        <v>2.5</v>
      </c>
      <c r="H961" t="s">
        <v>92</v>
      </c>
      <c r="I961">
        <v>0</v>
      </c>
      <c r="J961" t="s">
        <v>81</v>
      </c>
      <c r="K961" t="s">
        <v>79</v>
      </c>
      <c r="L961">
        <v>12</v>
      </c>
      <c r="M961">
        <v>122.34000000000002</v>
      </c>
      <c r="N961">
        <v>2.4000000000000004</v>
      </c>
      <c r="O961">
        <v>15</v>
      </c>
      <c r="Q961">
        <v>119.94000000000001</v>
      </c>
      <c r="V961">
        <v>0</v>
      </c>
      <c r="W961">
        <v>0</v>
      </c>
      <c r="AF961">
        <v>0</v>
      </c>
      <c r="AG961">
        <v>0</v>
      </c>
      <c r="AH961">
        <v>0</v>
      </c>
      <c r="AI961">
        <v>12</v>
      </c>
      <c r="AJ961">
        <v>12</v>
      </c>
      <c r="AL961">
        <v>1930</v>
      </c>
      <c r="AM961">
        <v>0</v>
      </c>
      <c r="AN961">
        <v>1700</v>
      </c>
    </row>
    <row r="962" spans="1:40" x14ac:dyDescent="0.25">
      <c r="A962" t="s">
        <v>46</v>
      </c>
      <c r="B962">
        <v>1</v>
      </c>
      <c r="C962" t="s">
        <v>100</v>
      </c>
      <c r="D962" s="39">
        <v>45890</v>
      </c>
      <c r="E962" t="s">
        <v>194</v>
      </c>
      <c r="F962" t="s">
        <v>79</v>
      </c>
      <c r="G962">
        <v>2.5</v>
      </c>
      <c r="H962" t="s">
        <v>92</v>
      </c>
      <c r="I962">
        <v>0</v>
      </c>
      <c r="J962" t="s">
        <v>81</v>
      </c>
      <c r="K962" t="s">
        <v>79</v>
      </c>
      <c r="L962">
        <v>10</v>
      </c>
      <c r="M962">
        <v>119.26</v>
      </c>
      <c r="N962">
        <v>2</v>
      </c>
      <c r="O962">
        <v>40</v>
      </c>
      <c r="Q962">
        <v>117.26</v>
      </c>
      <c r="V962">
        <v>0</v>
      </c>
      <c r="W962">
        <v>0</v>
      </c>
      <c r="AF962">
        <v>0</v>
      </c>
      <c r="AG962">
        <v>0</v>
      </c>
      <c r="AH962">
        <v>0</v>
      </c>
      <c r="AI962">
        <v>12</v>
      </c>
      <c r="AJ962">
        <v>12</v>
      </c>
      <c r="AM962">
        <v>0</v>
      </c>
      <c r="AN962">
        <v>1700</v>
      </c>
    </row>
    <row r="963" spans="1:40" x14ac:dyDescent="0.25">
      <c r="A963" t="s">
        <v>45</v>
      </c>
      <c r="B963">
        <v>2</v>
      </c>
      <c r="C963" t="s">
        <v>445</v>
      </c>
      <c r="D963" s="39">
        <v>45890</v>
      </c>
      <c r="E963" t="s">
        <v>444</v>
      </c>
      <c r="F963" t="s">
        <v>79</v>
      </c>
      <c r="G963">
        <v>4</v>
      </c>
      <c r="H963">
        <v>5</v>
      </c>
      <c r="I963">
        <v>0</v>
      </c>
      <c r="J963">
        <v>125</v>
      </c>
      <c r="K963" t="s">
        <v>79</v>
      </c>
      <c r="L963">
        <v>10</v>
      </c>
      <c r="M963">
        <v>155.92000000000002</v>
      </c>
      <c r="N963">
        <v>4</v>
      </c>
      <c r="Q963">
        <v>151.92000000000002</v>
      </c>
      <c r="V963">
        <v>0</v>
      </c>
      <c r="W963">
        <v>0</v>
      </c>
      <c r="AF963">
        <v>0</v>
      </c>
      <c r="AG963">
        <v>0</v>
      </c>
      <c r="AH963">
        <v>0</v>
      </c>
      <c r="AI963">
        <v>12</v>
      </c>
      <c r="AJ963">
        <v>12</v>
      </c>
      <c r="AM963">
        <v>0</v>
      </c>
    </row>
    <row r="964" spans="1:40" x14ac:dyDescent="0.25">
      <c r="A964" t="s">
        <v>46</v>
      </c>
      <c r="B964">
        <v>2</v>
      </c>
      <c r="C964" t="s">
        <v>445</v>
      </c>
      <c r="D964" s="39">
        <v>45890</v>
      </c>
      <c r="E964" t="s">
        <v>444</v>
      </c>
      <c r="F964" t="s">
        <v>79</v>
      </c>
      <c r="G964">
        <v>4</v>
      </c>
      <c r="H964">
        <v>5</v>
      </c>
      <c r="I964">
        <v>0</v>
      </c>
      <c r="J964">
        <v>125</v>
      </c>
      <c r="K964" t="s">
        <v>79</v>
      </c>
      <c r="L964">
        <v>2</v>
      </c>
      <c r="M964">
        <v>19.62</v>
      </c>
      <c r="N964">
        <v>0.8</v>
      </c>
      <c r="Q964">
        <v>18.82</v>
      </c>
      <c r="V964">
        <v>0</v>
      </c>
      <c r="W964">
        <v>0</v>
      </c>
      <c r="AF964">
        <v>0</v>
      </c>
      <c r="AG964">
        <v>0</v>
      </c>
      <c r="AH964">
        <v>0</v>
      </c>
      <c r="AI964">
        <v>12</v>
      </c>
      <c r="AJ964">
        <v>12</v>
      </c>
      <c r="AM964">
        <v>0</v>
      </c>
    </row>
    <row r="965" spans="1:40" x14ac:dyDescent="0.25">
      <c r="A965" t="s">
        <v>46</v>
      </c>
      <c r="B965">
        <v>2</v>
      </c>
      <c r="C965" t="s">
        <v>446</v>
      </c>
      <c r="D965" s="39">
        <v>45890</v>
      </c>
      <c r="E965" t="s">
        <v>444</v>
      </c>
      <c r="F965" t="s">
        <v>79</v>
      </c>
      <c r="G965">
        <v>2</v>
      </c>
      <c r="H965">
        <v>5</v>
      </c>
      <c r="I965">
        <v>0</v>
      </c>
      <c r="J965">
        <v>75</v>
      </c>
      <c r="K965" t="s">
        <v>79</v>
      </c>
      <c r="L965">
        <v>9</v>
      </c>
      <c r="M965">
        <v>83.47</v>
      </c>
      <c r="N965">
        <v>1.8</v>
      </c>
      <c r="Q965">
        <v>81.67</v>
      </c>
      <c r="S965">
        <v>30</v>
      </c>
      <c r="V965">
        <v>30</v>
      </c>
      <c r="W965">
        <v>0.5</v>
      </c>
      <c r="AF965">
        <v>0</v>
      </c>
      <c r="AG965">
        <v>0</v>
      </c>
      <c r="AH965">
        <v>0.5</v>
      </c>
      <c r="AI965">
        <v>11.5</v>
      </c>
      <c r="AJ965">
        <v>12</v>
      </c>
      <c r="AM965">
        <v>0</v>
      </c>
    </row>
    <row r="966" spans="1:40" x14ac:dyDescent="0.25">
      <c r="A966" t="s">
        <v>45</v>
      </c>
      <c r="B966">
        <v>3</v>
      </c>
      <c r="C966" t="s">
        <v>447</v>
      </c>
      <c r="D966" s="39">
        <v>45890</v>
      </c>
      <c r="E966" t="s">
        <v>448</v>
      </c>
      <c r="F966" t="s">
        <v>79</v>
      </c>
      <c r="G966">
        <v>9</v>
      </c>
      <c r="H966">
        <v>5</v>
      </c>
      <c r="I966">
        <v>0</v>
      </c>
      <c r="J966">
        <v>150</v>
      </c>
      <c r="K966" t="s">
        <v>79</v>
      </c>
      <c r="L966">
        <v>9</v>
      </c>
      <c r="M966">
        <v>362.4</v>
      </c>
      <c r="N966">
        <v>8.3000000000000007</v>
      </c>
      <c r="Q966">
        <v>354.09999999999997</v>
      </c>
      <c r="V966">
        <v>0</v>
      </c>
      <c r="W966">
        <v>0</v>
      </c>
      <c r="AF966">
        <v>0</v>
      </c>
      <c r="AG966">
        <v>0</v>
      </c>
      <c r="AH966">
        <v>0</v>
      </c>
      <c r="AI966">
        <v>12</v>
      </c>
      <c r="AJ966">
        <v>12</v>
      </c>
      <c r="AM966">
        <v>0</v>
      </c>
    </row>
    <row r="967" spans="1:40" x14ac:dyDescent="0.25">
      <c r="A967" t="s">
        <v>46</v>
      </c>
      <c r="B967">
        <v>3</v>
      </c>
      <c r="C967" t="s">
        <v>447</v>
      </c>
      <c r="D967" s="39">
        <v>45890</v>
      </c>
      <c r="E967" t="s">
        <v>448</v>
      </c>
      <c r="F967" t="s">
        <v>79</v>
      </c>
      <c r="G967">
        <v>9</v>
      </c>
      <c r="H967">
        <v>5</v>
      </c>
      <c r="I967">
        <v>0</v>
      </c>
      <c r="J967">
        <v>150</v>
      </c>
      <c r="K967" t="s">
        <v>79</v>
      </c>
      <c r="L967">
        <v>8</v>
      </c>
      <c r="M967">
        <v>331.85</v>
      </c>
      <c r="N967">
        <v>8.1999999999999993</v>
      </c>
      <c r="Q967">
        <v>323.65000000000003</v>
      </c>
      <c r="V967">
        <v>0</v>
      </c>
      <c r="W967">
        <v>0</v>
      </c>
      <c r="AF967">
        <v>0</v>
      </c>
      <c r="AG967">
        <v>0</v>
      </c>
      <c r="AH967">
        <v>0</v>
      </c>
      <c r="AI967">
        <v>12</v>
      </c>
      <c r="AJ967">
        <v>12</v>
      </c>
      <c r="AM967">
        <v>0</v>
      </c>
    </row>
    <row r="968" spans="1:40" x14ac:dyDescent="0.25">
      <c r="A968" t="s">
        <v>46</v>
      </c>
      <c r="B968">
        <v>3</v>
      </c>
      <c r="C968" t="s">
        <v>449</v>
      </c>
      <c r="D968" s="39">
        <v>45890</v>
      </c>
      <c r="E968" t="s">
        <v>444</v>
      </c>
      <c r="F968" t="s">
        <v>79</v>
      </c>
      <c r="G968">
        <v>9</v>
      </c>
      <c r="H968">
        <v>5</v>
      </c>
      <c r="I968">
        <v>0</v>
      </c>
      <c r="J968">
        <v>300</v>
      </c>
      <c r="K968" t="s">
        <v>79</v>
      </c>
      <c r="L968">
        <v>1</v>
      </c>
      <c r="M968">
        <v>52.49</v>
      </c>
      <c r="N968">
        <v>0.9</v>
      </c>
      <c r="Q968">
        <v>51.59</v>
      </c>
      <c r="V968">
        <v>0</v>
      </c>
      <c r="W968">
        <v>0</v>
      </c>
      <c r="AF968">
        <v>0</v>
      </c>
      <c r="AG968">
        <v>0</v>
      </c>
      <c r="AH968">
        <v>0</v>
      </c>
      <c r="AI968">
        <v>12</v>
      </c>
      <c r="AJ968">
        <v>12</v>
      </c>
      <c r="AM968">
        <v>0</v>
      </c>
    </row>
    <row r="969" spans="1:40" x14ac:dyDescent="0.25">
      <c r="A969" t="s">
        <v>45</v>
      </c>
      <c r="B969">
        <v>4</v>
      </c>
      <c r="C969" t="s">
        <v>367</v>
      </c>
      <c r="D969" s="39">
        <v>45890</v>
      </c>
      <c r="E969" t="s">
        <v>276</v>
      </c>
      <c r="F969" t="s">
        <v>79</v>
      </c>
      <c r="G969">
        <v>28</v>
      </c>
      <c r="H969" t="s">
        <v>113</v>
      </c>
      <c r="I969" t="s">
        <v>114</v>
      </c>
      <c r="J969">
        <v>1000</v>
      </c>
      <c r="K969" t="s">
        <v>79</v>
      </c>
      <c r="L969">
        <v>11</v>
      </c>
      <c r="M969">
        <v>599.7700000000001</v>
      </c>
      <c r="N969">
        <v>31.5</v>
      </c>
      <c r="Q969">
        <v>568.2700000000001</v>
      </c>
      <c r="T969">
        <v>60</v>
      </c>
      <c r="V969">
        <v>60</v>
      </c>
      <c r="W969">
        <v>1</v>
      </c>
      <c r="Z969">
        <v>30</v>
      </c>
      <c r="AF969">
        <v>30</v>
      </c>
      <c r="AG969">
        <v>0.5</v>
      </c>
      <c r="AH969">
        <v>1.5</v>
      </c>
      <c r="AI969">
        <v>10.5</v>
      </c>
      <c r="AJ969">
        <v>12</v>
      </c>
      <c r="AM969">
        <v>0</v>
      </c>
    </row>
    <row r="970" spans="1:40" x14ac:dyDescent="0.25">
      <c r="A970" t="s">
        <v>46</v>
      </c>
      <c r="B970">
        <v>4</v>
      </c>
      <c r="C970" t="s">
        <v>367</v>
      </c>
      <c r="D970" s="39">
        <v>45890</v>
      </c>
      <c r="E970" t="s">
        <v>276</v>
      </c>
      <c r="F970" t="s">
        <v>79</v>
      </c>
      <c r="G970">
        <v>28</v>
      </c>
      <c r="H970" t="s">
        <v>113</v>
      </c>
      <c r="I970" t="s">
        <v>114</v>
      </c>
      <c r="J970">
        <v>1000</v>
      </c>
      <c r="K970" t="s">
        <v>79</v>
      </c>
      <c r="L970">
        <v>5</v>
      </c>
      <c r="M970">
        <v>287.48</v>
      </c>
      <c r="N970">
        <v>17.29</v>
      </c>
      <c r="Q970">
        <v>270.19</v>
      </c>
      <c r="S970">
        <v>20</v>
      </c>
      <c r="U970">
        <v>195</v>
      </c>
      <c r="V970">
        <v>215</v>
      </c>
      <c r="W970">
        <v>3.5833333333333335</v>
      </c>
      <c r="AD970">
        <v>45</v>
      </c>
      <c r="AF970">
        <v>45</v>
      </c>
      <c r="AG970">
        <v>0.75</v>
      </c>
      <c r="AH970">
        <v>4.3333333333333339</v>
      </c>
      <c r="AI970">
        <v>7.6666666666666652</v>
      </c>
      <c r="AJ970">
        <v>12</v>
      </c>
      <c r="AM970">
        <v>0</v>
      </c>
    </row>
    <row r="971" spans="1:40" x14ac:dyDescent="0.25">
      <c r="A971" t="s">
        <v>46</v>
      </c>
      <c r="B971">
        <v>4</v>
      </c>
      <c r="C971" t="s">
        <v>450</v>
      </c>
      <c r="D971" s="39">
        <v>45890</v>
      </c>
      <c r="E971" t="s">
        <v>253</v>
      </c>
      <c r="F971" t="s">
        <v>79</v>
      </c>
      <c r="G971">
        <v>14</v>
      </c>
      <c r="H971" t="s">
        <v>116</v>
      </c>
      <c r="I971" t="s">
        <v>99</v>
      </c>
      <c r="J971">
        <v>1000</v>
      </c>
      <c r="K971" t="s">
        <v>79</v>
      </c>
      <c r="L971">
        <v>4</v>
      </c>
      <c r="M971">
        <v>143.80000000000001</v>
      </c>
      <c r="N971">
        <v>6.6099999999999994</v>
      </c>
      <c r="Q971">
        <v>137.19</v>
      </c>
      <c r="V971">
        <v>0</v>
      </c>
      <c r="W971">
        <v>0</v>
      </c>
      <c r="AF971">
        <v>0</v>
      </c>
      <c r="AG971">
        <v>0</v>
      </c>
      <c r="AH971">
        <v>0</v>
      </c>
      <c r="AI971">
        <v>12</v>
      </c>
      <c r="AJ971">
        <v>12</v>
      </c>
      <c r="AM971">
        <v>0</v>
      </c>
    </row>
    <row r="972" spans="1:40" x14ac:dyDescent="0.25">
      <c r="A972" t="s">
        <v>45</v>
      </c>
      <c r="B972">
        <v>5</v>
      </c>
      <c r="C972" t="s">
        <v>441</v>
      </c>
      <c r="D972" s="39">
        <v>45890</v>
      </c>
      <c r="E972" t="s">
        <v>442</v>
      </c>
      <c r="F972" t="s">
        <v>79</v>
      </c>
      <c r="G972">
        <v>12</v>
      </c>
      <c r="H972">
        <v>5</v>
      </c>
      <c r="I972">
        <v>0</v>
      </c>
      <c r="J972">
        <v>500</v>
      </c>
      <c r="K972" t="s">
        <v>79</v>
      </c>
      <c r="L972">
        <v>6</v>
      </c>
      <c r="M972">
        <v>276.02999999999997</v>
      </c>
      <c r="N972">
        <v>8.1999999999999993</v>
      </c>
      <c r="Q972">
        <v>267.83</v>
      </c>
      <c r="V972">
        <v>0</v>
      </c>
      <c r="W972">
        <v>0</v>
      </c>
      <c r="AF972">
        <v>0</v>
      </c>
      <c r="AG972">
        <v>0</v>
      </c>
      <c r="AH972">
        <v>0</v>
      </c>
      <c r="AI972">
        <v>12</v>
      </c>
      <c r="AJ972">
        <v>12</v>
      </c>
      <c r="AM972">
        <v>0</v>
      </c>
    </row>
    <row r="973" spans="1:40" x14ac:dyDescent="0.25">
      <c r="A973" t="s">
        <v>45</v>
      </c>
      <c r="B973">
        <v>5</v>
      </c>
      <c r="C973" t="s">
        <v>443</v>
      </c>
      <c r="D973" s="39">
        <v>45890</v>
      </c>
      <c r="E973" t="s">
        <v>444</v>
      </c>
      <c r="F973" t="s">
        <v>79</v>
      </c>
      <c r="G973">
        <v>12</v>
      </c>
      <c r="H973">
        <v>5</v>
      </c>
      <c r="I973">
        <v>0</v>
      </c>
      <c r="J973">
        <v>75</v>
      </c>
      <c r="K973" t="s">
        <v>79</v>
      </c>
      <c r="L973">
        <v>9</v>
      </c>
      <c r="M973">
        <v>257.36</v>
      </c>
      <c r="N973">
        <v>12.709999999999999</v>
      </c>
      <c r="Q973">
        <v>244.65</v>
      </c>
      <c r="V973">
        <v>0</v>
      </c>
      <c r="W973">
        <v>0</v>
      </c>
      <c r="AF973">
        <v>0</v>
      </c>
      <c r="AG973">
        <v>0</v>
      </c>
      <c r="AH973">
        <v>0</v>
      </c>
      <c r="AI973">
        <v>12</v>
      </c>
      <c r="AJ973">
        <v>12</v>
      </c>
      <c r="AM973">
        <v>0</v>
      </c>
    </row>
    <row r="974" spans="1:40" x14ac:dyDescent="0.25">
      <c r="A974" t="s">
        <v>45</v>
      </c>
      <c r="B974">
        <v>5</v>
      </c>
      <c r="C974" t="s">
        <v>435</v>
      </c>
      <c r="D974" s="39">
        <v>45890</v>
      </c>
      <c r="E974" t="s">
        <v>282</v>
      </c>
      <c r="F974" t="s">
        <v>79</v>
      </c>
      <c r="G974">
        <v>12</v>
      </c>
      <c r="H974">
        <v>6.5</v>
      </c>
      <c r="I974">
        <v>0</v>
      </c>
      <c r="J974">
        <v>300</v>
      </c>
      <c r="K974" t="s">
        <v>79</v>
      </c>
      <c r="L974">
        <v>1</v>
      </c>
      <c r="M974">
        <v>30.86</v>
      </c>
      <c r="N974">
        <v>1.4</v>
      </c>
      <c r="Q974">
        <v>29.46</v>
      </c>
      <c r="V974">
        <v>0</v>
      </c>
      <c r="W974">
        <v>0</v>
      </c>
      <c r="AF974">
        <v>0</v>
      </c>
      <c r="AG974">
        <v>0</v>
      </c>
      <c r="AH974">
        <v>0</v>
      </c>
      <c r="AI974">
        <v>12</v>
      </c>
      <c r="AJ974">
        <v>12</v>
      </c>
      <c r="AM974">
        <v>0</v>
      </c>
    </row>
    <row r="975" spans="1:40" x14ac:dyDescent="0.25">
      <c r="A975" t="s">
        <v>46</v>
      </c>
      <c r="B975">
        <v>5</v>
      </c>
      <c r="C975" t="s">
        <v>441</v>
      </c>
      <c r="D975" s="39">
        <v>45890</v>
      </c>
      <c r="E975" t="s">
        <v>442</v>
      </c>
      <c r="F975" t="s">
        <v>79</v>
      </c>
      <c r="G975">
        <v>12</v>
      </c>
      <c r="H975">
        <v>5</v>
      </c>
      <c r="I975">
        <v>0</v>
      </c>
      <c r="J975">
        <v>500</v>
      </c>
      <c r="K975" t="s">
        <v>79</v>
      </c>
      <c r="L975">
        <v>7</v>
      </c>
      <c r="M975">
        <v>385.68000000000006</v>
      </c>
      <c r="N975">
        <v>10.57</v>
      </c>
      <c r="Q975">
        <v>375.11000000000007</v>
      </c>
      <c r="V975">
        <v>0</v>
      </c>
      <c r="W975">
        <v>0</v>
      </c>
      <c r="AF975">
        <v>0</v>
      </c>
      <c r="AG975">
        <v>0</v>
      </c>
      <c r="AH975">
        <v>0</v>
      </c>
      <c r="AI975">
        <v>12</v>
      </c>
      <c r="AJ975">
        <v>12</v>
      </c>
      <c r="AM975">
        <v>0</v>
      </c>
    </row>
    <row r="976" spans="1:40" x14ac:dyDescent="0.25">
      <c r="A976" t="s">
        <v>46</v>
      </c>
      <c r="B976">
        <v>5</v>
      </c>
      <c r="C976" t="s">
        <v>451</v>
      </c>
      <c r="D976" s="39">
        <v>45890</v>
      </c>
      <c r="E976" t="s">
        <v>452</v>
      </c>
      <c r="F976" t="s">
        <v>79</v>
      </c>
      <c r="G976">
        <v>12</v>
      </c>
      <c r="H976">
        <v>8</v>
      </c>
      <c r="I976">
        <v>0</v>
      </c>
      <c r="J976">
        <v>50</v>
      </c>
      <c r="K976" t="s">
        <v>79</v>
      </c>
      <c r="L976">
        <v>2</v>
      </c>
      <c r="M976">
        <v>62.72</v>
      </c>
      <c r="N976">
        <v>3.5999999999999996</v>
      </c>
      <c r="Q976">
        <v>59.12</v>
      </c>
      <c r="V976">
        <v>0</v>
      </c>
      <c r="W976">
        <v>0</v>
      </c>
      <c r="AF976">
        <v>0</v>
      </c>
      <c r="AG976">
        <v>0</v>
      </c>
      <c r="AH976">
        <v>0</v>
      </c>
      <c r="AI976">
        <v>12</v>
      </c>
      <c r="AJ976">
        <v>12</v>
      </c>
      <c r="AM976">
        <v>0</v>
      </c>
    </row>
    <row r="977" spans="1:40" x14ac:dyDescent="0.25">
      <c r="A977" t="s">
        <v>46</v>
      </c>
      <c r="B977">
        <v>5</v>
      </c>
      <c r="C977" t="s">
        <v>453</v>
      </c>
      <c r="D977" s="39">
        <v>45890</v>
      </c>
      <c r="E977" t="s">
        <v>229</v>
      </c>
      <c r="F977" t="s">
        <v>79</v>
      </c>
      <c r="G977">
        <v>6</v>
      </c>
      <c r="H977">
        <v>15</v>
      </c>
      <c r="I977">
        <v>0</v>
      </c>
      <c r="J977">
        <v>900</v>
      </c>
      <c r="K977" t="s">
        <v>79</v>
      </c>
      <c r="L977">
        <v>2</v>
      </c>
      <c r="M977">
        <v>104.25</v>
      </c>
      <c r="N977">
        <v>2.4</v>
      </c>
      <c r="Q977">
        <v>101.85</v>
      </c>
      <c r="V977">
        <v>0</v>
      </c>
      <c r="W977">
        <v>0</v>
      </c>
      <c r="AF977">
        <v>0</v>
      </c>
      <c r="AG977">
        <v>0</v>
      </c>
      <c r="AH977">
        <v>0</v>
      </c>
      <c r="AI977">
        <v>12</v>
      </c>
      <c r="AJ977">
        <v>12</v>
      </c>
      <c r="AM977">
        <v>0</v>
      </c>
    </row>
    <row r="978" spans="1:40" x14ac:dyDescent="0.25">
      <c r="A978" t="s">
        <v>45</v>
      </c>
      <c r="B978">
        <v>1</v>
      </c>
      <c r="C978" t="s">
        <v>100</v>
      </c>
      <c r="D978" s="39">
        <v>45891</v>
      </c>
      <c r="E978" t="s">
        <v>194</v>
      </c>
      <c r="F978" t="s">
        <v>79</v>
      </c>
      <c r="G978">
        <v>2.5</v>
      </c>
      <c r="H978" t="s">
        <v>92</v>
      </c>
      <c r="I978">
        <v>0</v>
      </c>
      <c r="J978" t="s">
        <v>81</v>
      </c>
      <c r="K978" t="s">
        <v>79</v>
      </c>
      <c r="L978">
        <v>12</v>
      </c>
      <c r="M978">
        <v>116.42</v>
      </c>
      <c r="N978">
        <v>2.4000000000000004</v>
      </c>
      <c r="O978">
        <v>23</v>
      </c>
      <c r="Q978">
        <v>114.02</v>
      </c>
      <c r="V978">
        <v>0</v>
      </c>
      <c r="W978">
        <v>0</v>
      </c>
      <c r="AF978">
        <v>0</v>
      </c>
      <c r="AG978">
        <v>0</v>
      </c>
      <c r="AH978">
        <v>0</v>
      </c>
      <c r="AI978">
        <v>12</v>
      </c>
      <c r="AJ978">
        <v>12</v>
      </c>
      <c r="AL978">
        <v>1980.5</v>
      </c>
      <c r="AM978">
        <v>0</v>
      </c>
      <c r="AN978">
        <v>1750</v>
      </c>
    </row>
    <row r="979" spans="1:40" x14ac:dyDescent="0.25">
      <c r="A979" t="s">
        <v>46</v>
      </c>
      <c r="B979">
        <v>1</v>
      </c>
      <c r="C979" t="s">
        <v>100</v>
      </c>
      <c r="D979" s="39">
        <v>45891</v>
      </c>
      <c r="E979" t="s">
        <v>194</v>
      </c>
      <c r="F979" t="s">
        <v>79</v>
      </c>
      <c r="G979">
        <v>2.5</v>
      </c>
      <c r="H979" t="s">
        <v>92</v>
      </c>
      <c r="I979">
        <v>0</v>
      </c>
      <c r="J979" t="s">
        <v>81</v>
      </c>
      <c r="K979" t="s">
        <v>79</v>
      </c>
      <c r="L979">
        <v>10</v>
      </c>
      <c r="M979">
        <v>116.09</v>
      </c>
      <c r="N979">
        <v>2</v>
      </c>
      <c r="O979">
        <v>25</v>
      </c>
      <c r="Q979">
        <v>114.09</v>
      </c>
      <c r="V979">
        <v>0</v>
      </c>
      <c r="W979">
        <v>0</v>
      </c>
      <c r="AF979">
        <v>0</v>
      </c>
      <c r="AG979">
        <v>0</v>
      </c>
      <c r="AH979">
        <v>0</v>
      </c>
      <c r="AI979">
        <v>12</v>
      </c>
      <c r="AJ979">
        <v>12</v>
      </c>
      <c r="AM979">
        <v>0</v>
      </c>
      <c r="AN979">
        <v>1750</v>
      </c>
    </row>
    <row r="980" spans="1:40" x14ac:dyDescent="0.25">
      <c r="A980" t="s">
        <v>45</v>
      </c>
      <c r="B980">
        <v>2</v>
      </c>
      <c r="C980" t="s">
        <v>82</v>
      </c>
      <c r="D980" s="39">
        <v>45891</v>
      </c>
      <c r="E980" t="s">
        <v>194</v>
      </c>
      <c r="F980" t="s">
        <v>79</v>
      </c>
      <c r="G980">
        <v>2</v>
      </c>
      <c r="H980" t="s">
        <v>92</v>
      </c>
      <c r="I980">
        <v>0</v>
      </c>
      <c r="J980" t="s">
        <v>81</v>
      </c>
      <c r="K980" t="s">
        <v>79</v>
      </c>
      <c r="L980">
        <v>14</v>
      </c>
      <c r="M980">
        <v>95.6</v>
      </c>
      <c r="N980">
        <v>2.8000000000000003</v>
      </c>
      <c r="Q980">
        <v>92.8</v>
      </c>
      <c r="V980">
        <v>0</v>
      </c>
      <c r="W980">
        <v>0</v>
      </c>
      <c r="AF980">
        <v>0</v>
      </c>
      <c r="AG980">
        <v>0</v>
      </c>
      <c r="AH980">
        <v>0</v>
      </c>
      <c r="AI980">
        <v>12</v>
      </c>
      <c r="AJ980">
        <v>12</v>
      </c>
      <c r="AM980">
        <v>0</v>
      </c>
    </row>
    <row r="981" spans="1:40" x14ac:dyDescent="0.25">
      <c r="A981" t="s">
        <v>46</v>
      </c>
      <c r="B981">
        <v>2</v>
      </c>
      <c r="C981" t="s">
        <v>82</v>
      </c>
      <c r="D981" s="39">
        <v>45891</v>
      </c>
      <c r="E981" t="s">
        <v>194</v>
      </c>
      <c r="F981" t="s">
        <v>79</v>
      </c>
      <c r="G981">
        <v>2</v>
      </c>
      <c r="H981" t="s">
        <v>92</v>
      </c>
      <c r="I981">
        <v>0</v>
      </c>
      <c r="J981" t="s">
        <v>81</v>
      </c>
      <c r="K981" t="s">
        <v>79</v>
      </c>
      <c r="L981">
        <v>11</v>
      </c>
      <c r="M981">
        <v>96.20999999999998</v>
      </c>
      <c r="N981">
        <v>2.2000000000000002</v>
      </c>
      <c r="Q981">
        <v>94.009999999999977</v>
      </c>
      <c r="V981">
        <v>0</v>
      </c>
      <c r="W981">
        <v>0</v>
      </c>
      <c r="AF981">
        <v>0</v>
      </c>
      <c r="AG981">
        <v>0</v>
      </c>
      <c r="AH981">
        <v>0</v>
      </c>
      <c r="AI981">
        <v>12</v>
      </c>
      <c r="AJ981">
        <v>12</v>
      </c>
      <c r="AM981">
        <v>0</v>
      </c>
    </row>
    <row r="982" spans="1:40" x14ac:dyDescent="0.25">
      <c r="A982" t="s">
        <v>45</v>
      </c>
      <c r="B982">
        <v>3</v>
      </c>
      <c r="C982" t="s">
        <v>454</v>
      </c>
      <c r="D982" s="39">
        <v>45891</v>
      </c>
      <c r="E982" t="s">
        <v>418</v>
      </c>
      <c r="F982" t="s">
        <v>79</v>
      </c>
      <c r="G982">
        <v>7</v>
      </c>
      <c r="H982">
        <v>4.5</v>
      </c>
      <c r="I982">
        <v>0</v>
      </c>
      <c r="J982">
        <v>100</v>
      </c>
      <c r="K982" t="s">
        <v>79</v>
      </c>
      <c r="L982">
        <v>6</v>
      </c>
      <c r="M982">
        <v>135.02000000000001</v>
      </c>
      <c r="N982">
        <v>4.1999999999999993</v>
      </c>
      <c r="Q982">
        <v>130.82000000000002</v>
      </c>
      <c r="V982">
        <v>0</v>
      </c>
      <c r="W982">
        <v>0</v>
      </c>
      <c r="AF982">
        <v>0</v>
      </c>
      <c r="AG982">
        <v>0</v>
      </c>
      <c r="AH982">
        <v>0</v>
      </c>
      <c r="AI982">
        <v>12</v>
      </c>
      <c r="AJ982">
        <v>12</v>
      </c>
      <c r="AM982">
        <v>0</v>
      </c>
    </row>
    <row r="983" spans="1:40" x14ac:dyDescent="0.25">
      <c r="A983" t="s">
        <v>45</v>
      </c>
      <c r="B983">
        <v>3</v>
      </c>
      <c r="C983" t="s">
        <v>83</v>
      </c>
      <c r="D983" s="39">
        <v>45891</v>
      </c>
      <c r="E983" t="s">
        <v>194</v>
      </c>
      <c r="F983" t="s">
        <v>79</v>
      </c>
      <c r="G983">
        <v>7</v>
      </c>
      <c r="H983">
        <v>5</v>
      </c>
      <c r="I983">
        <v>0</v>
      </c>
      <c r="J983" t="s">
        <v>81</v>
      </c>
      <c r="K983" t="s">
        <v>79</v>
      </c>
      <c r="L983">
        <v>13</v>
      </c>
      <c r="M983">
        <v>25.49</v>
      </c>
      <c r="N983">
        <v>0.7</v>
      </c>
      <c r="Q983">
        <v>24.79</v>
      </c>
      <c r="V983">
        <v>0</v>
      </c>
      <c r="W983">
        <v>0</v>
      </c>
      <c r="AF983">
        <v>0</v>
      </c>
      <c r="AG983">
        <v>0</v>
      </c>
      <c r="AH983">
        <v>0</v>
      </c>
      <c r="AI983">
        <v>12</v>
      </c>
      <c r="AJ983">
        <v>12</v>
      </c>
      <c r="AM983">
        <v>0</v>
      </c>
    </row>
    <row r="984" spans="1:40" x14ac:dyDescent="0.25">
      <c r="A984" t="s">
        <v>45</v>
      </c>
      <c r="B984">
        <v>3</v>
      </c>
      <c r="C984" t="s">
        <v>90</v>
      </c>
      <c r="D984" s="39">
        <v>45891</v>
      </c>
      <c r="E984" t="s">
        <v>194</v>
      </c>
      <c r="F984" t="s">
        <v>79</v>
      </c>
      <c r="G984">
        <v>9</v>
      </c>
      <c r="H984">
        <v>5</v>
      </c>
      <c r="I984">
        <v>0</v>
      </c>
      <c r="J984" t="s">
        <v>81</v>
      </c>
      <c r="K984" t="s">
        <v>79</v>
      </c>
      <c r="L984">
        <v>1</v>
      </c>
      <c r="M984">
        <v>36.31</v>
      </c>
      <c r="N984">
        <v>0.9</v>
      </c>
      <c r="Q984">
        <v>35.410000000000004</v>
      </c>
      <c r="V984">
        <v>0</v>
      </c>
      <c r="W984">
        <v>0</v>
      </c>
      <c r="AF984">
        <v>0</v>
      </c>
      <c r="AG984">
        <v>0</v>
      </c>
      <c r="AH984">
        <v>0</v>
      </c>
      <c r="AI984">
        <v>12</v>
      </c>
      <c r="AJ984">
        <v>12</v>
      </c>
      <c r="AM984">
        <v>0</v>
      </c>
    </row>
    <row r="985" spans="1:40" x14ac:dyDescent="0.25">
      <c r="A985" t="s">
        <v>45</v>
      </c>
      <c r="B985">
        <v>3</v>
      </c>
      <c r="C985" t="s">
        <v>455</v>
      </c>
      <c r="D985" s="39">
        <v>45891</v>
      </c>
      <c r="E985" t="s">
        <v>429</v>
      </c>
      <c r="F985" t="s">
        <v>79</v>
      </c>
      <c r="G985">
        <v>7</v>
      </c>
      <c r="H985">
        <v>10</v>
      </c>
      <c r="I985">
        <v>0</v>
      </c>
      <c r="J985">
        <v>100</v>
      </c>
      <c r="K985" t="s">
        <v>79</v>
      </c>
      <c r="L985">
        <v>2</v>
      </c>
      <c r="M985">
        <v>54.97</v>
      </c>
      <c r="N985">
        <v>1.4</v>
      </c>
      <c r="Q985">
        <v>53.57</v>
      </c>
      <c r="V985">
        <v>0</v>
      </c>
      <c r="W985">
        <v>0</v>
      </c>
      <c r="AF985">
        <v>0</v>
      </c>
      <c r="AG985">
        <v>0</v>
      </c>
      <c r="AH985">
        <v>0</v>
      </c>
      <c r="AI985">
        <v>12</v>
      </c>
      <c r="AJ985">
        <v>12</v>
      </c>
      <c r="AM985">
        <v>0</v>
      </c>
    </row>
    <row r="986" spans="1:40" x14ac:dyDescent="0.25">
      <c r="A986" t="s">
        <v>45</v>
      </c>
      <c r="B986">
        <v>3</v>
      </c>
      <c r="C986" t="s">
        <v>456</v>
      </c>
      <c r="D986" s="39">
        <v>45891</v>
      </c>
      <c r="E986" t="s">
        <v>282</v>
      </c>
      <c r="F986" t="s">
        <v>79</v>
      </c>
      <c r="G986">
        <v>15</v>
      </c>
      <c r="H986">
        <v>5.5</v>
      </c>
      <c r="I986">
        <v>0</v>
      </c>
      <c r="J986">
        <v>300</v>
      </c>
      <c r="K986" t="s">
        <v>79</v>
      </c>
      <c r="L986">
        <v>1</v>
      </c>
      <c r="M986">
        <v>25.21</v>
      </c>
      <c r="N986">
        <v>1.5</v>
      </c>
      <c r="Q986">
        <v>23.71</v>
      </c>
      <c r="V986">
        <v>0</v>
      </c>
      <c r="W986">
        <v>0</v>
      </c>
      <c r="AF986">
        <v>0</v>
      </c>
      <c r="AG986">
        <v>0</v>
      </c>
      <c r="AH986">
        <v>0</v>
      </c>
      <c r="AI986">
        <v>12</v>
      </c>
      <c r="AJ986">
        <v>12</v>
      </c>
      <c r="AM986">
        <v>0</v>
      </c>
    </row>
    <row r="987" spans="1:40" x14ac:dyDescent="0.25">
      <c r="A987" t="s">
        <v>46</v>
      </c>
      <c r="B987">
        <v>3</v>
      </c>
      <c r="C987" t="s">
        <v>457</v>
      </c>
      <c r="D987" s="39">
        <v>45891</v>
      </c>
      <c r="E987" t="s">
        <v>429</v>
      </c>
      <c r="F987" t="s">
        <v>79</v>
      </c>
      <c r="G987">
        <v>7</v>
      </c>
      <c r="H987">
        <v>5</v>
      </c>
      <c r="I987">
        <v>0</v>
      </c>
      <c r="J987">
        <v>100</v>
      </c>
      <c r="K987" t="s">
        <v>79</v>
      </c>
      <c r="L987">
        <v>3</v>
      </c>
      <c r="M987">
        <v>70.5</v>
      </c>
      <c r="N987">
        <v>2.0999999999999996</v>
      </c>
      <c r="Q987">
        <v>68.400000000000006</v>
      </c>
      <c r="V987">
        <v>0</v>
      </c>
      <c r="W987">
        <v>0</v>
      </c>
      <c r="AF987">
        <v>0</v>
      </c>
      <c r="AG987">
        <v>0</v>
      </c>
      <c r="AH987">
        <v>0</v>
      </c>
      <c r="AI987">
        <v>12</v>
      </c>
      <c r="AJ987">
        <v>12</v>
      </c>
      <c r="AM987">
        <v>0</v>
      </c>
    </row>
    <row r="988" spans="1:40" x14ac:dyDescent="0.25">
      <c r="A988" t="s">
        <v>46</v>
      </c>
      <c r="B988">
        <v>3</v>
      </c>
      <c r="C988" t="s">
        <v>458</v>
      </c>
      <c r="D988" s="39">
        <v>45891</v>
      </c>
      <c r="E988" t="s">
        <v>229</v>
      </c>
      <c r="F988" t="s">
        <v>79</v>
      </c>
      <c r="G988">
        <v>7</v>
      </c>
      <c r="H988">
        <v>15</v>
      </c>
      <c r="I988">
        <v>0</v>
      </c>
      <c r="J988">
        <v>600</v>
      </c>
      <c r="K988" t="s">
        <v>79</v>
      </c>
      <c r="L988">
        <v>8</v>
      </c>
      <c r="M988">
        <v>235.25000000000003</v>
      </c>
      <c r="N988">
        <v>5.6</v>
      </c>
      <c r="Q988">
        <v>229.65000000000003</v>
      </c>
      <c r="V988">
        <v>0</v>
      </c>
      <c r="W988">
        <v>0</v>
      </c>
      <c r="AF988">
        <v>0</v>
      </c>
      <c r="AG988">
        <v>0</v>
      </c>
      <c r="AH988">
        <v>0</v>
      </c>
      <c r="AI988">
        <v>12</v>
      </c>
      <c r="AJ988">
        <v>12</v>
      </c>
      <c r="AM988">
        <v>0</v>
      </c>
    </row>
    <row r="989" spans="1:40" x14ac:dyDescent="0.25">
      <c r="A989" t="s">
        <v>45</v>
      </c>
      <c r="B989">
        <v>4</v>
      </c>
      <c r="C989" t="s">
        <v>450</v>
      </c>
      <c r="D989" s="39">
        <v>45891</v>
      </c>
      <c r="E989" t="s">
        <v>253</v>
      </c>
      <c r="F989" t="s">
        <v>79</v>
      </c>
      <c r="G989">
        <v>14</v>
      </c>
      <c r="H989" t="s">
        <v>116</v>
      </c>
      <c r="I989" t="s">
        <v>99</v>
      </c>
      <c r="J989">
        <v>1000</v>
      </c>
      <c r="K989" t="s">
        <v>79</v>
      </c>
      <c r="L989">
        <v>18</v>
      </c>
      <c r="M989">
        <v>700.28000000000009</v>
      </c>
      <c r="N989">
        <v>32.4</v>
      </c>
      <c r="Q989">
        <v>667.88000000000011</v>
      </c>
      <c r="S989">
        <v>20</v>
      </c>
      <c r="V989">
        <v>20</v>
      </c>
      <c r="W989">
        <v>0.33333333333333331</v>
      </c>
      <c r="AF989">
        <v>0</v>
      </c>
      <c r="AG989">
        <v>0</v>
      </c>
      <c r="AH989">
        <v>0.33333333333333331</v>
      </c>
      <c r="AI989">
        <v>11.666666666666666</v>
      </c>
      <c r="AJ989">
        <v>12</v>
      </c>
      <c r="AM989">
        <v>0</v>
      </c>
    </row>
    <row r="990" spans="1:40" x14ac:dyDescent="0.25">
      <c r="A990" t="s">
        <v>46</v>
      </c>
      <c r="B990">
        <v>4</v>
      </c>
      <c r="C990" t="s">
        <v>459</v>
      </c>
      <c r="D990" s="39">
        <v>45891</v>
      </c>
      <c r="E990" t="s">
        <v>282</v>
      </c>
      <c r="F990" t="s">
        <v>79</v>
      </c>
      <c r="G990">
        <v>15</v>
      </c>
      <c r="H990">
        <v>6.5</v>
      </c>
      <c r="I990">
        <v>0</v>
      </c>
      <c r="J990">
        <v>1000</v>
      </c>
      <c r="K990" t="s">
        <v>79</v>
      </c>
      <c r="L990">
        <v>13</v>
      </c>
      <c r="M990">
        <v>427.13</v>
      </c>
      <c r="N990">
        <v>21.33</v>
      </c>
      <c r="Q990">
        <v>405.8</v>
      </c>
      <c r="V990">
        <v>0</v>
      </c>
      <c r="W990">
        <v>0</v>
      </c>
      <c r="AF990">
        <v>0</v>
      </c>
      <c r="AG990">
        <v>0</v>
      </c>
      <c r="AH990">
        <v>0</v>
      </c>
      <c r="AI990">
        <v>12</v>
      </c>
      <c r="AJ990">
        <v>12</v>
      </c>
      <c r="AM990">
        <v>0</v>
      </c>
    </row>
    <row r="991" spans="1:40" x14ac:dyDescent="0.25">
      <c r="A991" t="s">
        <v>46</v>
      </c>
      <c r="B991">
        <v>4</v>
      </c>
      <c r="C991" t="s">
        <v>460</v>
      </c>
      <c r="D991" s="39">
        <v>45891</v>
      </c>
      <c r="E991" t="s">
        <v>442</v>
      </c>
      <c r="F991" t="s">
        <v>79</v>
      </c>
      <c r="G991">
        <v>15</v>
      </c>
      <c r="H991">
        <v>7</v>
      </c>
      <c r="I991">
        <v>0</v>
      </c>
      <c r="J991">
        <v>200</v>
      </c>
      <c r="K991" t="s">
        <v>79</v>
      </c>
      <c r="L991">
        <v>10</v>
      </c>
      <c r="M991">
        <v>290.76000000000005</v>
      </c>
      <c r="N991">
        <v>10.950000000000001</v>
      </c>
      <c r="Q991">
        <v>279.81000000000006</v>
      </c>
      <c r="V991">
        <v>0</v>
      </c>
      <c r="W991">
        <v>0</v>
      </c>
      <c r="AF991">
        <v>0</v>
      </c>
      <c r="AG991">
        <v>0</v>
      </c>
      <c r="AH991">
        <v>0</v>
      </c>
      <c r="AI991">
        <v>12</v>
      </c>
      <c r="AJ991">
        <v>12</v>
      </c>
      <c r="AM991">
        <v>0</v>
      </c>
    </row>
    <row r="992" spans="1:40" x14ac:dyDescent="0.25">
      <c r="A992" t="s">
        <v>45</v>
      </c>
      <c r="B992">
        <v>5</v>
      </c>
      <c r="C992" t="s">
        <v>453</v>
      </c>
      <c r="D992" s="39">
        <v>45891</v>
      </c>
      <c r="E992" t="s">
        <v>229</v>
      </c>
      <c r="F992" t="s">
        <v>79</v>
      </c>
      <c r="G992">
        <v>6</v>
      </c>
      <c r="H992">
        <v>15</v>
      </c>
      <c r="I992">
        <v>0</v>
      </c>
      <c r="J992">
        <v>900</v>
      </c>
      <c r="K992" t="s">
        <v>79</v>
      </c>
      <c r="L992">
        <v>14</v>
      </c>
      <c r="M992">
        <v>587.28</v>
      </c>
      <c r="N992">
        <v>16.8</v>
      </c>
      <c r="Q992">
        <v>570.48</v>
      </c>
      <c r="V992">
        <v>0</v>
      </c>
      <c r="W992">
        <v>0</v>
      </c>
      <c r="AF992">
        <v>0</v>
      </c>
      <c r="AG992">
        <v>0</v>
      </c>
      <c r="AH992">
        <v>0</v>
      </c>
      <c r="AI992">
        <v>12</v>
      </c>
      <c r="AJ992">
        <v>12</v>
      </c>
      <c r="AM992">
        <v>0</v>
      </c>
    </row>
    <row r="993" spans="1:39" x14ac:dyDescent="0.25">
      <c r="A993" t="s">
        <v>46</v>
      </c>
      <c r="B993">
        <v>5</v>
      </c>
      <c r="C993" t="s">
        <v>453</v>
      </c>
      <c r="D993" s="39">
        <v>45891</v>
      </c>
      <c r="E993" t="s">
        <v>229</v>
      </c>
      <c r="F993" t="s">
        <v>79</v>
      </c>
      <c r="G993">
        <v>6</v>
      </c>
      <c r="H993">
        <v>15</v>
      </c>
      <c r="I993">
        <v>0</v>
      </c>
      <c r="J993">
        <v>900</v>
      </c>
      <c r="K993" t="s">
        <v>79</v>
      </c>
      <c r="L993">
        <v>5</v>
      </c>
      <c r="M993">
        <v>242.49</v>
      </c>
      <c r="N993">
        <v>6</v>
      </c>
      <c r="Q993">
        <v>236.49</v>
      </c>
      <c r="V993">
        <v>0</v>
      </c>
      <c r="W993">
        <v>0</v>
      </c>
      <c r="AF993">
        <v>0</v>
      </c>
      <c r="AG993">
        <v>0</v>
      </c>
      <c r="AH993">
        <v>0</v>
      </c>
      <c r="AI993">
        <v>12</v>
      </c>
      <c r="AJ993">
        <v>12</v>
      </c>
      <c r="AM993">
        <v>0</v>
      </c>
    </row>
    <row r="994" spans="1:39" x14ac:dyDescent="0.25">
      <c r="A994" t="s">
        <v>46</v>
      </c>
      <c r="B994">
        <v>5</v>
      </c>
      <c r="C994" t="s">
        <v>95</v>
      </c>
      <c r="D994" s="39">
        <v>45891</v>
      </c>
      <c r="E994" t="s">
        <v>194</v>
      </c>
      <c r="F994" t="s">
        <v>79</v>
      </c>
      <c r="G994">
        <v>14</v>
      </c>
      <c r="H994">
        <v>5</v>
      </c>
      <c r="I994">
        <v>0</v>
      </c>
      <c r="J994" t="s">
        <v>81</v>
      </c>
      <c r="K994" t="s">
        <v>79</v>
      </c>
      <c r="L994">
        <v>5</v>
      </c>
      <c r="M994">
        <v>288.48</v>
      </c>
      <c r="N994">
        <v>7</v>
      </c>
      <c r="Q994">
        <v>281.48</v>
      </c>
      <c r="V994">
        <v>0</v>
      </c>
      <c r="W994">
        <v>0</v>
      </c>
      <c r="AF994">
        <v>0</v>
      </c>
      <c r="AG994">
        <v>0</v>
      </c>
      <c r="AH994">
        <v>0</v>
      </c>
      <c r="AI994">
        <v>12</v>
      </c>
      <c r="AJ994">
        <v>12</v>
      </c>
      <c r="AM994">
        <v>0</v>
      </c>
    </row>
    <row r="995" spans="1:39" x14ac:dyDescent="0.25">
      <c r="A995" t="s">
        <v>45</v>
      </c>
      <c r="B995">
        <v>2</v>
      </c>
      <c r="C995" t="s">
        <v>82</v>
      </c>
      <c r="D995" s="39">
        <v>45892</v>
      </c>
      <c r="E995" t="s">
        <v>194</v>
      </c>
      <c r="F995" t="s">
        <v>79</v>
      </c>
      <c r="G995">
        <v>2</v>
      </c>
      <c r="H995" t="s">
        <v>92</v>
      </c>
      <c r="I995">
        <v>0</v>
      </c>
      <c r="J995" t="s">
        <v>81</v>
      </c>
      <c r="K995" t="s">
        <v>79</v>
      </c>
      <c r="L995">
        <v>4</v>
      </c>
      <c r="M995">
        <v>28.57</v>
      </c>
      <c r="N995">
        <v>0.8</v>
      </c>
      <c r="O995">
        <v>21</v>
      </c>
      <c r="Q995">
        <v>27.77</v>
      </c>
      <c r="V995">
        <v>0</v>
      </c>
      <c r="W995">
        <v>0</v>
      </c>
      <c r="AF995">
        <v>0</v>
      </c>
      <c r="AG995">
        <v>0</v>
      </c>
      <c r="AH995">
        <v>0</v>
      </c>
      <c r="AI995">
        <v>12</v>
      </c>
      <c r="AJ995">
        <v>12</v>
      </c>
      <c r="AL995">
        <v>1975</v>
      </c>
      <c r="AM995">
        <v>0</v>
      </c>
    </row>
    <row r="996" spans="1:39" x14ac:dyDescent="0.25">
      <c r="A996" t="s">
        <v>45</v>
      </c>
      <c r="B996">
        <v>2</v>
      </c>
      <c r="C996" t="s">
        <v>107</v>
      </c>
      <c r="D996" s="39">
        <v>45892</v>
      </c>
      <c r="E996" t="s">
        <v>194</v>
      </c>
      <c r="F996" t="s">
        <v>79</v>
      </c>
      <c r="G996">
        <v>5</v>
      </c>
      <c r="H996" t="s">
        <v>92</v>
      </c>
      <c r="I996">
        <v>0</v>
      </c>
      <c r="J996" t="s">
        <v>81</v>
      </c>
      <c r="K996" t="s">
        <v>79</v>
      </c>
      <c r="L996">
        <v>6</v>
      </c>
      <c r="M996">
        <v>102.61999999999999</v>
      </c>
      <c r="N996">
        <v>3</v>
      </c>
      <c r="Q996">
        <v>99.61999999999999</v>
      </c>
      <c r="V996">
        <v>0</v>
      </c>
      <c r="W996">
        <v>0</v>
      </c>
      <c r="AF996">
        <v>0</v>
      </c>
      <c r="AG996">
        <v>0</v>
      </c>
      <c r="AH996">
        <v>0</v>
      </c>
      <c r="AI996">
        <v>12</v>
      </c>
      <c r="AJ996">
        <v>12</v>
      </c>
      <c r="AM996">
        <v>0</v>
      </c>
    </row>
    <row r="997" spans="1:39" x14ac:dyDescent="0.25">
      <c r="A997" t="s">
        <v>46</v>
      </c>
      <c r="B997">
        <v>2</v>
      </c>
      <c r="C997" t="s">
        <v>461</v>
      </c>
      <c r="D997" s="39">
        <v>45892</v>
      </c>
      <c r="E997" t="s">
        <v>462</v>
      </c>
      <c r="F997" t="s">
        <v>79</v>
      </c>
      <c r="G997">
        <v>5.5</v>
      </c>
      <c r="H997">
        <v>10</v>
      </c>
      <c r="I997">
        <v>0</v>
      </c>
      <c r="J997">
        <v>50</v>
      </c>
      <c r="K997" t="s">
        <v>79</v>
      </c>
      <c r="L997">
        <v>10</v>
      </c>
      <c r="M997">
        <v>125.29999999999998</v>
      </c>
      <c r="N997">
        <v>5</v>
      </c>
      <c r="O997">
        <v>58</v>
      </c>
      <c r="Q997">
        <v>120.29999999999998</v>
      </c>
      <c r="S997">
        <v>20</v>
      </c>
      <c r="V997">
        <v>20</v>
      </c>
      <c r="W997">
        <v>0.33333333333333331</v>
      </c>
      <c r="AF997">
        <v>0</v>
      </c>
      <c r="AG997">
        <v>0</v>
      </c>
      <c r="AH997">
        <v>0.33333333333333331</v>
      </c>
      <c r="AI997">
        <v>11.666666666666666</v>
      </c>
      <c r="AJ997">
        <v>12</v>
      </c>
      <c r="AM997">
        <v>0</v>
      </c>
    </row>
    <row r="998" spans="1:39" x14ac:dyDescent="0.25">
      <c r="A998" t="s">
        <v>46</v>
      </c>
      <c r="B998">
        <v>2</v>
      </c>
      <c r="C998" t="s">
        <v>463</v>
      </c>
      <c r="D998" s="39">
        <v>45892</v>
      </c>
      <c r="E998" t="s">
        <v>464</v>
      </c>
      <c r="F998" t="s">
        <v>79</v>
      </c>
      <c r="G998">
        <v>5</v>
      </c>
      <c r="H998">
        <v>4.5</v>
      </c>
      <c r="I998">
        <v>0</v>
      </c>
      <c r="J998">
        <v>50</v>
      </c>
      <c r="K998" t="s">
        <v>79</v>
      </c>
      <c r="L998">
        <v>1</v>
      </c>
      <c r="M998">
        <v>17.27</v>
      </c>
      <c r="N998">
        <v>0.5</v>
      </c>
      <c r="Q998">
        <v>16.77</v>
      </c>
      <c r="V998">
        <v>0</v>
      </c>
      <c r="W998">
        <v>0</v>
      </c>
      <c r="AF998">
        <v>0</v>
      </c>
      <c r="AG998">
        <v>0</v>
      </c>
      <c r="AH998">
        <v>0</v>
      </c>
      <c r="AI998">
        <v>12</v>
      </c>
      <c r="AJ998">
        <v>12</v>
      </c>
      <c r="AM998">
        <v>0</v>
      </c>
    </row>
    <row r="999" spans="1:39" x14ac:dyDescent="0.25">
      <c r="A999" t="s">
        <v>45</v>
      </c>
      <c r="B999">
        <v>1</v>
      </c>
      <c r="C999" t="s">
        <v>100</v>
      </c>
      <c r="D999" s="39">
        <v>45892</v>
      </c>
      <c r="E999" t="s">
        <v>194</v>
      </c>
      <c r="F999" t="s">
        <v>79</v>
      </c>
      <c r="G999">
        <v>2.5</v>
      </c>
      <c r="H999" t="s">
        <v>92</v>
      </c>
      <c r="I999">
        <v>0</v>
      </c>
      <c r="J999" t="s">
        <v>81</v>
      </c>
      <c r="K999" t="s">
        <v>79</v>
      </c>
      <c r="L999">
        <v>8</v>
      </c>
      <c r="M999">
        <v>82.64</v>
      </c>
      <c r="N999">
        <v>1.6</v>
      </c>
      <c r="Q999">
        <v>81.040000000000006</v>
      </c>
      <c r="V999">
        <v>0</v>
      </c>
      <c r="W999">
        <v>0</v>
      </c>
      <c r="Z999">
        <v>180</v>
      </c>
      <c r="AF999">
        <v>180</v>
      </c>
      <c r="AG999">
        <v>3</v>
      </c>
      <c r="AH999">
        <v>3</v>
      </c>
      <c r="AI999">
        <v>9</v>
      </c>
      <c r="AJ999">
        <v>12</v>
      </c>
      <c r="AM999">
        <v>0</v>
      </c>
    </row>
    <row r="1000" spans="1:39" x14ac:dyDescent="0.25">
      <c r="A1000" t="s">
        <v>46</v>
      </c>
      <c r="B1000">
        <v>1</v>
      </c>
      <c r="C1000" t="s">
        <v>91</v>
      </c>
      <c r="D1000" s="39">
        <v>45892</v>
      </c>
      <c r="E1000" t="s">
        <v>194</v>
      </c>
      <c r="F1000" t="s">
        <v>79</v>
      </c>
      <c r="G1000">
        <v>4</v>
      </c>
      <c r="H1000" t="s">
        <v>92</v>
      </c>
      <c r="I1000">
        <v>0</v>
      </c>
      <c r="J1000" t="s">
        <v>81</v>
      </c>
      <c r="K1000" t="s">
        <v>79</v>
      </c>
      <c r="L1000">
        <v>8</v>
      </c>
      <c r="M1000">
        <v>130.76</v>
      </c>
      <c r="N1000">
        <v>3.2</v>
      </c>
      <c r="Q1000">
        <v>127.55999999999999</v>
      </c>
      <c r="S1000">
        <v>60</v>
      </c>
      <c r="V1000">
        <v>60</v>
      </c>
      <c r="W1000">
        <v>1</v>
      </c>
      <c r="AF1000">
        <v>0</v>
      </c>
      <c r="AG1000">
        <v>0</v>
      </c>
      <c r="AH1000">
        <v>1</v>
      </c>
      <c r="AI1000">
        <v>11</v>
      </c>
      <c r="AJ1000">
        <v>12</v>
      </c>
      <c r="AM1000">
        <v>0</v>
      </c>
    </row>
    <row r="1001" spans="1:39" x14ac:dyDescent="0.25">
      <c r="A1001" t="s">
        <v>45</v>
      </c>
      <c r="B1001">
        <v>3</v>
      </c>
      <c r="C1001" t="s">
        <v>458</v>
      </c>
      <c r="D1001" s="39">
        <v>45892</v>
      </c>
      <c r="E1001" t="s">
        <v>229</v>
      </c>
      <c r="F1001" t="s">
        <v>79</v>
      </c>
      <c r="G1001">
        <v>7</v>
      </c>
      <c r="H1001">
        <v>15</v>
      </c>
      <c r="I1001">
        <v>0</v>
      </c>
      <c r="J1001">
        <v>600</v>
      </c>
      <c r="K1001" t="s">
        <v>79</v>
      </c>
      <c r="L1001">
        <v>15</v>
      </c>
      <c r="M1001">
        <v>314.31999999999994</v>
      </c>
      <c r="N1001">
        <v>10.5</v>
      </c>
      <c r="Q1001">
        <v>303.81999999999994</v>
      </c>
      <c r="V1001">
        <v>0</v>
      </c>
      <c r="W1001">
        <v>0</v>
      </c>
      <c r="AF1001">
        <v>0</v>
      </c>
      <c r="AG1001">
        <v>0</v>
      </c>
      <c r="AH1001">
        <v>0</v>
      </c>
      <c r="AI1001">
        <v>12</v>
      </c>
      <c r="AJ1001">
        <v>12</v>
      </c>
      <c r="AM1001">
        <v>0</v>
      </c>
    </row>
    <row r="1002" spans="1:39" x14ac:dyDescent="0.25">
      <c r="A1002" t="s">
        <v>46</v>
      </c>
      <c r="B1002">
        <v>3</v>
      </c>
      <c r="C1002" t="s">
        <v>458</v>
      </c>
      <c r="D1002" s="39">
        <v>45892</v>
      </c>
      <c r="E1002" t="s">
        <v>229</v>
      </c>
      <c r="F1002" t="s">
        <v>79</v>
      </c>
      <c r="G1002">
        <v>7</v>
      </c>
      <c r="H1002">
        <v>15</v>
      </c>
      <c r="I1002">
        <v>0</v>
      </c>
      <c r="J1002">
        <v>600</v>
      </c>
      <c r="K1002" t="s">
        <v>79</v>
      </c>
      <c r="L1002">
        <v>5</v>
      </c>
      <c r="M1002">
        <v>153.98999999999998</v>
      </c>
      <c r="N1002">
        <v>4.6399999999999997</v>
      </c>
      <c r="Q1002">
        <v>149.35</v>
      </c>
      <c r="S1002">
        <v>20</v>
      </c>
      <c r="V1002">
        <v>20</v>
      </c>
      <c r="W1002">
        <v>0.33333333333333331</v>
      </c>
      <c r="AF1002">
        <v>0</v>
      </c>
      <c r="AG1002">
        <v>0</v>
      </c>
      <c r="AH1002">
        <v>0.33333333333333331</v>
      </c>
      <c r="AI1002">
        <v>11.666666666666666</v>
      </c>
      <c r="AJ1002">
        <v>12</v>
      </c>
      <c r="AM1002">
        <v>0</v>
      </c>
    </row>
    <row r="1003" spans="1:39" x14ac:dyDescent="0.25">
      <c r="A1003" t="s">
        <v>46</v>
      </c>
      <c r="B1003">
        <v>3</v>
      </c>
      <c r="C1003" t="s">
        <v>425</v>
      </c>
      <c r="D1003" s="39">
        <v>45892</v>
      </c>
      <c r="E1003" t="s">
        <v>418</v>
      </c>
      <c r="F1003" t="s">
        <v>79</v>
      </c>
      <c r="G1003">
        <v>8</v>
      </c>
      <c r="H1003">
        <v>4.5</v>
      </c>
      <c r="I1003">
        <v>0</v>
      </c>
      <c r="J1003">
        <v>300</v>
      </c>
      <c r="K1003" t="s">
        <v>79</v>
      </c>
      <c r="L1003">
        <v>3</v>
      </c>
      <c r="M1003">
        <v>108.66</v>
      </c>
      <c r="N1003">
        <v>3</v>
      </c>
      <c r="Q1003">
        <v>105.66</v>
      </c>
      <c r="V1003">
        <v>0</v>
      </c>
      <c r="W1003">
        <v>0</v>
      </c>
      <c r="AF1003">
        <v>0</v>
      </c>
      <c r="AG1003">
        <v>0</v>
      </c>
      <c r="AH1003">
        <v>0</v>
      </c>
      <c r="AI1003">
        <v>12</v>
      </c>
      <c r="AJ1003">
        <v>12</v>
      </c>
      <c r="AM1003">
        <v>0</v>
      </c>
    </row>
    <row r="1004" spans="1:39" x14ac:dyDescent="0.25">
      <c r="A1004" t="s">
        <v>45</v>
      </c>
      <c r="B1004">
        <v>4</v>
      </c>
      <c r="C1004" t="s">
        <v>456</v>
      </c>
      <c r="D1004" s="39">
        <v>45892</v>
      </c>
      <c r="E1004" t="s">
        <v>282</v>
      </c>
      <c r="F1004" t="s">
        <v>79</v>
      </c>
      <c r="G1004">
        <v>15</v>
      </c>
      <c r="H1004">
        <v>5.5</v>
      </c>
      <c r="I1004">
        <v>0</v>
      </c>
      <c r="J1004">
        <v>300</v>
      </c>
      <c r="K1004" t="s">
        <v>79</v>
      </c>
      <c r="L1004">
        <v>20</v>
      </c>
      <c r="M1004">
        <v>704.09000000000015</v>
      </c>
      <c r="N1004">
        <v>30</v>
      </c>
      <c r="Q1004">
        <v>674.09000000000015</v>
      </c>
      <c r="V1004">
        <v>0</v>
      </c>
      <c r="W1004">
        <v>0</v>
      </c>
      <c r="AF1004">
        <v>0</v>
      </c>
      <c r="AG1004">
        <v>0</v>
      </c>
      <c r="AH1004">
        <v>0</v>
      </c>
      <c r="AI1004">
        <v>12</v>
      </c>
      <c r="AJ1004">
        <v>12</v>
      </c>
      <c r="AM1004">
        <v>0</v>
      </c>
    </row>
    <row r="1005" spans="1:39" x14ac:dyDescent="0.25">
      <c r="A1005" t="s">
        <v>46</v>
      </c>
      <c r="B1005">
        <v>4</v>
      </c>
      <c r="C1005" t="s">
        <v>456</v>
      </c>
      <c r="D1005" s="39">
        <v>45892</v>
      </c>
      <c r="E1005" t="s">
        <v>282</v>
      </c>
      <c r="F1005" t="s">
        <v>79</v>
      </c>
      <c r="G1005">
        <v>15</v>
      </c>
      <c r="H1005">
        <v>5.5</v>
      </c>
      <c r="I1005">
        <v>0</v>
      </c>
      <c r="J1005">
        <v>300</v>
      </c>
      <c r="K1005" t="s">
        <v>79</v>
      </c>
      <c r="L1005">
        <v>3</v>
      </c>
      <c r="M1005">
        <v>100.28</v>
      </c>
      <c r="N1005">
        <v>5.15</v>
      </c>
      <c r="Q1005">
        <v>95.13</v>
      </c>
      <c r="S1005">
        <v>20</v>
      </c>
      <c r="V1005">
        <v>20</v>
      </c>
      <c r="W1005">
        <v>0.33333333333333331</v>
      </c>
      <c r="AF1005">
        <v>0</v>
      </c>
      <c r="AG1005">
        <v>0</v>
      </c>
      <c r="AH1005">
        <v>0.33333333333333331</v>
      </c>
      <c r="AI1005">
        <v>11.666666666666666</v>
      </c>
      <c r="AJ1005">
        <v>12</v>
      </c>
      <c r="AM1005">
        <v>0</v>
      </c>
    </row>
    <row r="1006" spans="1:39" x14ac:dyDescent="0.25">
      <c r="A1006" t="s">
        <v>46</v>
      </c>
      <c r="B1006">
        <v>4</v>
      </c>
      <c r="C1006" t="s">
        <v>460</v>
      </c>
      <c r="D1006" s="39">
        <v>45892</v>
      </c>
      <c r="E1006" t="s">
        <v>442</v>
      </c>
      <c r="F1006" t="s">
        <v>79</v>
      </c>
      <c r="G1006">
        <v>15</v>
      </c>
      <c r="H1006">
        <v>7</v>
      </c>
      <c r="I1006">
        <v>0</v>
      </c>
      <c r="J1006">
        <v>200</v>
      </c>
      <c r="K1006" t="s">
        <v>79</v>
      </c>
      <c r="L1006">
        <v>7</v>
      </c>
      <c r="M1006">
        <v>216.89</v>
      </c>
      <c r="N1006">
        <v>9.11</v>
      </c>
      <c r="Q1006">
        <v>207.77999999999997</v>
      </c>
      <c r="V1006">
        <v>0</v>
      </c>
      <c r="W1006">
        <v>0</v>
      </c>
      <c r="AF1006">
        <v>0</v>
      </c>
      <c r="AG1006">
        <v>0</v>
      </c>
      <c r="AH1006">
        <v>0</v>
      </c>
      <c r="AI1006">
        <v>12</v>
      </c>
      <c r="AJ1006">
        <v>12</v>
      </c>
      <c r="AM1006">
        <v>0</v>
      </c>
    </row>
    <row r="1007" spans="1:39" x14ac:dyDescent="0.25">
      <c r="A1007" t="s">
        <v>46</v>
      </c>
      <c r="B1007">
        <v>4</v>
      </c>
      <c r="C1007" t="s">
        <v>417</v>
      </c>
      <c r="D1007" s="39">
        <v>45892</v>
      </c>
      <c r="E1007" t="s">
        <v>418</v>
      </c>
      <c r="F1007" t="s">
        <v>79</v>
      </c>
      <c r="G1007">
        <v>18</v>
      </c>
      <c r="H1007">
        <v>5</v>
      </c>
      <c r="I1007">
        <v>0</v>
      </c>
      <c r="J1007">
        <v>600</v>
      </c>
      <c r="K1007" t="s">
        <v>79</v>
      </c>
      <c r="L1007">
        <v>4</v>
      </c>
      <c r="M1007">
        <v>215.26</v>
      </c>
      <c r="N1007">
        <v>8.4500000000000011</v>
      </c>
      <c r="Q1007">
        <v>206.81</v>
      </c>
      <c r="V1007">
        <v>0</v>
      </c>
      <c r="W1007">
        <v>0</v>
      </c>
      <c r="AF1007">
        <v>0</v>
      </c>
      <c r="AG1007">
        <v>0</v>
      </c>
      <c r="AH1007">
        <v>0</v>
      </c>
      <c r="AI1007">
        <v>12</v>
      </c>
      <c r="AJ1007">
        <v>12</v>
      </c>
      <c r="AM1007">
        <v>0</v>
      </c>
    </row>
    <row r="1008" spans="1:39" x14ac:dyDescent="0.25">
      <c r="A1008" t="s">
        <v>46</v>
      </c>
      <c r="B1008">
        <v>4</v>
      </c>
      <c r="C1008" t="s">
        <v>465</v>
      </c>
      <c r="D1008" s="39">
        <v>45892</v>
      </c>
      <c r="E1008" t="s">
        <v>238</v>
      </c>
      <c r="F1008" t="s">
        <v>79</v>
      </c>
      <c r="G1008">
        <v>18</v>
      </c>
      <c r="H1008" t="s">
        <v>93</v>
      </c>
      <c r="I1008">
        <v>0</v>
      </c>
      <c r="J1008">
        <v>150</v>
      </c>
      <c r="K1008" t="s">
        <v>79</v>
      </c>
      <c r="L1008">
        <v>3</v>
      </c>
      <c r="M1008">
        <v>166.34</v>
      </c>
      <c r="N1008">
        <v>6.52</v>
      </c>
      <c r="Q1008">
        <v>159.82</v>
      </c>
      <c r="V1008">
        <v>0</v>
      </c>
      <c r="W1008">
        <v>0</v>
      </c>
      <c r="AF1008">
        <v>0</v>
      </c>
      <c r="AG1008">
        <v>0</v>
      </c>
      <c r="AH1008">
        <v>0</v>
      </c>
      <c r="AI1008">
        <v>12</v>
      </c>
      <c r="AJ1008">
        <v>12</v>
      </c>
      <c r="AM1008">
        <v>0</v>
      </c>
    </row>
    <row r="1009" spans="1:39" x14ac:dyDescent="0.25">
      <c r="A1009" t="s">
        <v>45</v>
      </c>
      <c r="B1009">
        <v>5</v>
      </c>
      <c r="C1009" t="s">
        <v>466</v>
      </c>
      <c r="D1009" s="39">
        <v>45892</v>
      </c>
      <c r="E1009" t="s">
        <v>396</v>
      </c>
      <c r="F1009" t="s">
        <v>79</v>
      </c>
      <c r="G1009">
        <v>14</v>
      </c>
      <c r="H1009" t="s">
        <v>113</v>
      </c>
      <c r="I1009">
        <v>0</v>
      </c>
      <c r="J1009">
        <v>500</v>
      </c>
      <c r="K1009" t="s">
        <v>79</v>
      </c>
      <c r="L1009">
        <v>13</v>
      </c>
      <c r="M1009">
        <v>557.91000000000008</v>
      </c>
      <c r="N1009">
        <v>18.2</v>
      </c>
      <c r="Q1009">
        <v>539.71</v>
      </c>
      <c r="V1009">
        <v>0</v>
      </c>
      <c r="W1009">
        <v>0</v>
      </c>
      <c r="AF1009">
        <v>0</v>
      </c>
      <c r="AG1009">
        <v>0</v>
      </c>
      <c r="AH1009">
        <v>0</v>
      </c>
      <c r="AI1009">
        <v>12</v>
      </c>
      <c r="AJ1009">
        <v>12</v>
      </c>
      <c r="AM1009">
        <v>0</v>
      </c>
    </row>
    <row r="1010" spans="1:39" x14ac:dyDescent="0.25">
      <c r="A1010" t="s">
        <v>46</v>
      </c>
      <c r="B1010">
        <v>5</v>
      </c>
      <c r="C1010" t="s">
        <v>95</v>
      </c>
      <c r="D1010" s="39">
        <v>45892</v>
      </c>
      <c r="E1010" t="s">
        <v>194</v>
      </c>
      <c r="F1010" t="s">
        <v>79</v>
      </c>
      <c r="G1010">
        <v>14</v>
      </c>
      <c r="H1010">
        <v>5</v>
      </c>
      <c r="I1010">
        <v>0</v>
      </c>
      <c r="J1010" t="s">
        <v>81</v>
      </c>
      <c r="K1010" t="s">
        <v>79</v>
      </c>
      <c r="L1010">
        <v>10</v>
      </c>
      <c r="M1010">
        <v>547.58999999999992</v>
      </c>
      <c r="N1010">
        <v>16.100000000000001</v>
      </c>
      <c r="Q1010">
        <v>531.4899999999999</v>
      </c>
      <c r="V1010">
        <v>0</v>
      </c>
      <c r="W1010">
        <v>0</v>
      </c>
      <c r="AF1010">
        <v>0</v>
      </c>
      <c r="AG1010">
        <v>0</v>
      </c>
      <c r="AH1010">
        <v>0</v>
      </c>
      <c r="AI1010">
        <v>12</v>
      </c>
      <c r="AJ1010">
        <v>12</v>
      </c>
      <c r="AM1010">
        <v>0</v>
      </c>
    </row>
    <row r="1011" spans="1:39" x14ac:dyDescent="0.25">
      <c r="A1011" t="s">
        <v>45</v>
      </c>
      <c r="B1011">
        <v>1</v>
      </c>
      <c r="C1011" t="s">
        <v>91</v>
      </c>
      <c r="D1011" s="39">
        <v>45893</v>
      </c>
      <c r="E1011" t="s">
        <v>194</v>
      </c>
      <c r="F1011" t="s">
        <v>79</v>
      </c>
      <c r="G1011">
        <v>4</v>
      </c>
      <c r="H1011" t="s">
        <v>92</v>
      </c>
      <c r="I1011">
        <v>0</v>
      </c>
      <c r="J1011" t="s">
        <v>81</v>
      </c>
      <c r="K1011" t="s">
        <v>79</v>
      </c>
      <c r="L1011">
        <v>8</v>
      </c>
      <c r="M1011">
        <v>135.58000000000001</v>
      </c>
      <c r="N1011">
        <v>3.2</v>
      </c>
      <c r="O1011">
        <v>36</v>
      </c>
      <c r="Q1011">
        <v>132.38000000000002</v>
      </c>
      <c r="V1011">
        <v>0</v>
      </c>
      <c r="W1011">
        <v>0</v>
      </c>
      <c r="AF1011">
        <v>0</v>
      </c>
      <c r="AG1011">
        <v>0</v>
      </c>
      <c r="AH1011">
        <v>0</v>
      </c>
      <c r="AI1011">
        <v>12</v>
      </c>
      <c r="AJ1011">
        <v>12</v>
      </c>
      <c r="AL1011">
        <v>2012</v>
      </c>
      <c r="AM1011">
        <v>0</v>
      </c>
    </row>
    <row r="1012" spans="1:39" x14ac:dyDescent="0.25">
      <c r="A1012" t="s">
        <v>46</v>
      </c>
      <c r="B1012">
        <v>1</v>
      </c>
      <c r="C1012" t="s">
        <v>91</v>
      </c>
      <c r="D1012" s="39">
        <v>45893</v>
      </c>
      <c r="E1012" t="s">
        <v>194</v>
      </c>
      <c r="F1012" t="s">
        <v>79</v>
      </c>
      <c r="G1012">
        <v>4</v>
      </c>
      <c r="H1012" t="s">
        <v>92</v>
      </c>
      <c r="I1012">
        <v>0</v>
      </c>
      <c r="J1012" t="s">
        <v>81</v>
      </c>
      <c r="K1012" t="s">
        <v>79</v>
      </c>
      <c r="L1012">
        <v>7</v>
      </c>
      <c r="M1012">
        <v>122.5</v>
      </c>
      <c r="N1012">
        <v>2.8000000000000003</v>
      </c>
      <c r="O1012">
        <v>19</v>
      </c>
      <c r="Q1012">
        <v>119.7</v>
      </c>
      <c r="V1012">
        <v>0</v>
      </c>
      <c r="W1012">
        <v>0</v>
      </c>
      <c r="AF1012">
        <v>0</v>
      </c>
      <c r="AG1012">
        <v>0</v>
      </c>
      <c r="AH1012">
        <v>0</v>
      </c>
      <c r="AI1012">
        <v>12</v>
      </c>
      <c r="AJ1012">
        <v>12</v>
      </c>
      <c r="AM1012">
        <v>0</v>
      </c>
    </row>
    <row r="1013" spans="1:39" x14ac:dyDescent="0.25">
      <c r="A1013" t="s">
        <v>45</v>
      </c>
      <c r="B1013">
        <v>2</v>
      </c>
      <c r="C1013" t="s">
        <v>107</v>
      </c>
      <c r="D1013" s="39">
        <v>45893</v>
      </c>
      <c r="E1013" t="s">
        <v>194</v>
      </c>
      <c r="F1013" t="s">
        <v>79</v>
      </c>
      <c r="G1013">
        <v>5</v>
      </c>
      <c r="H1013" t="s">
        <v>92</v>
      </c>
      <c r="I1013">
        <v>0</v>
      </c>
      <c r="J1013" t="s">
        <v>81</v>
      </c>
      <c r="K1013" t="s">
        <v>79</v>
      </c>
      <c r="L1013">
        <v>10</v>
      </c>
      <c r="M1013">
        <v>165.28999999999996</v>
      </c>
      <c r="N1013">
        <v>5</v>
      </c>
      <c r="Q1013">
        <v>160.28999999999996</v>
      </c>
      <c r="V1013">
        <v>0</v>
      </c>
      <c r="W1013">
        <v>0</v>
      </c>
      <c r="AF1013">
        <v>0</v>
      </c>
      <c r="AG1013">
        <v>0</v>
      </c>
      <c r="AH1013">
        <v>0</v>
      </c>
      <c r="AI1013">
        <v>12</v>
      </c>
      <c r="AJ1013">
        <v>12</v>
      </c>
      <c r="AM1013">
        <v>0</v>
      </c>
    </row>
    <row r="1014" spans="1:39" x14ac:dyDescent="0.25">
      <c r="A1014" t="s">
        <v>46</v>
      </c>
      <c r="B1014">
        <v>2</v>
      </c>
      <c r="C1014" t="s">
        <v>107</v>
      </c>
      <c r="D1014" s="39">
        <v>45893</v>
      </c>
      <c r="E1014" t="s">
        <v>194</v>
      </c>
      <c r="F1014" t="s">
        <v>79</v>
      </c>
      <c r="G1014">
        <v>5</v>
      </c>
      <c r="H1014" t="s">
        <v>92</v>
      </c>
      <c r="I1014">
        <v>0</v>
      </c>
      <c r="J1014" t="s">
        <v>81</v>
      </c>
      <c r="K1014" t="s">
        <v>79</v>
      </c>
      <c r="L1014">
        <v>10</v>
      </c>
      <c r="M1014">
        <v>181.14999999999998</v>
      </c>
      <c r="N1014">
        <v>5</v>
      </c>
      <c r="Q1014">
        <v>176.14999999999998</v>
      </c>
      <c r="V1014">
        <v>0</v>
      </c>
      <c r="W1014">
        <v>0</v>
      </c>
      <c r="AF1014">
        <v>0</v>
      </c>
      <c r="AG1014">
        <v>0</v>
      </c>
      <c r="AH1014">
        <v>0</v>
      </c>
      <c r="AI1014">
        <v>12</v>
      </c>
      <c r="AJ1014">
        <v>12</v>
      </c>
      <c r="AM1014">
        <v>0</v>
      </c>
    </row>
    <row r="1015" spans="1:39" x14ac:dyDescent="0.25">
      <c r="A1015" t="s">
        <v>45</v>
      </c>
      <c r="B1015">
        <v>3</v>
      </c>
      <c r="C1015" t="s">
        <v>83</v>
      </c>
      <c r="D1015" s="39">
        <v>45893</v>
      </c>
      <c r="E1015" t="s">
        <v>194</v>
      </c>
      <c r="F1015" t="s">
        <v>79</v>
      </c>
      <c r="G1015">
        <v>7</v>
      </c>
      <c r="H1015">
        <v>5</v>
      </c>
      <c r="I1015">
        <v>0</v>
      </c>
      <c r="J1015" t="s">
        <v>81</v>
      </c>
      <c r="K1015" t="s">
        <v>79</v>
      </c>
      <c r="L1015">
        <v>8</v>
      </c>
      <c r="M1015">
        <v>306.71000000000004</v>
      </c>
      <c r="N1015">
        <v>7.2</v>
      </c>
      <c r="Q1015">
        <v>299.51000000000005</v>
      </c>
      <c r="V1015">
        <v>0</v>
      </c>
      <c r="W1015">
        <v>0</v>
      </c>
      <c r="AF1015">
        <v>0</v>
      </c>
      <c r="AG1015">
        <v>0</v>
      </c>
      <c r="AH1015">
        <v>0</v>
      </c>
      <c r="AI1015">
        <v>12</v>
      </c>
      <c r="AJ1015">
        <v>12</v>
      </c>
      <c r="AM1015">
        <v>0</v>
      </c>
    </row>
    <row r="1016" spans="1:39" x14ac:dyDescent="0.25">
      <c r="A1016" t="s">
        <v>46</v>
      </c>
      <c r="B1016">
        <v>3</v>
      </c>
      <c r="C1016" t="s">
        <v>425</v>
      </c>
      <c r="D1016" s="39">
        <v>45893</v>
      </c>
      <c r="E1016" t="s">
        <v>418</v>
      </c>
      <c r="F1016" t="s">
        <v>79</v>
      </c>
      <c r="G1016">
        <v>8</v>
      </c>
      <c r="H1016">
        <v>4.5</v>
      </c>
      <c r="I1016">
        <v>0</v>
      </c>
      <c r="J1016">
        <v>300</v>
      </c>
      <c r="K1016" t="s">
        <v>79</v>
      </c>
      <c r="L1016">
        <v>2</v>
      </c>
      <c r="M1016">
        <v>67.989999999999995</v>
      </c>
      <c r="N1016">
        <v>1.8</v>
      </c>
      <c r="Q1016">
        <v>66.19</v>
      </c>
      <c r="V1016">
        <v>0</v>
      </c>
      <c r="W1016">
        <v>0</v>
      </c>
      <c r="AF1016">
        <v>0</v>
      </c>
      <c r="AG1016">
        <v>0</v>
      </c>
      <c r="AH1016">
        <v>0</v>
      </c>
      <c r="AI1016">
        <v>12</v>
      </c>
      <c r="AJ1016">
        <v>12</v>
      </c>
      <c r="AM1016">
        <v>0</v>
      </c>
    </row>
    <row r="1017" spans="1:39" x14ac:dyDescent="0.25">
      <c r="A1017" t="s">
        <v>46</v>
      </c>
      <c r="B1017">
        <v>3</v>
      </c>
      <c r="C1017" t="s">
        <v>467</v>
      </c>
      <c r="D1017" s="39">
        <v>45893</v>
      </c>
      <c r="E1017" t="s">
        <v>81</v>
      </c>
      <c r="F1017" t="s">
        <v>81</v>
      </c>
      <c r="G1017" t="s">
        <v>81</v>
      </c>
      <c r="H1017" t="s">
        <v>81</v>
      </c>
      <c r="I1017" t="s">
        <v>81</v>
      </c>
      <c r="J1017" t="s">
        <v>81</v>
      </c>
      <c r="K1017" t="s">
        <v>79</v>
      </c>
      <c r="L1017">
        <v>7</v>
      </c>
      <c r="M1017">
        <v>223.19</v>
      </c>
      <c r="N1017">
        <v>6.3</v>
      </c>
      <c r="Q1017">
        <v>216.89</v>
      </c>
      <c r="V1017">
        <v>0</v>
      </c>
      <c r="W1017">
        <v>0</v>
      </c>
      <c r="AF1017">
        <v>0</v>
      </c>
      <c r="AG1017">
        <v>0</v>
      </c>
      <c r="AH1017">
        <v>0</v>
      </c>
      <c r="AI1017">
        <v>12</v>
      </c>
      <c r="AJ1017">
        <v>12</v>
      </c>
      <c r="AM1017">
        <v>0</v>
      </c>
    </row>
    <row r="1018" spans="1:39" x14ac:dyDescent="0.25">
      <c r="A1018" t="s">
        <v>45</v>
      </c>
      <c r="B1018">
        <v>4</v>
      </c>
      <c r="C1018" t="s">
        <v>417</v>
      </c>
      <c r="D1018" s="39">
        <v>45893</v>
      </c>
      <c r="E1018" t="s">
        <v>418</v>
      </c>
      <c r="F1018" t="s">
        <v>79</v>
      </c>
      <c r="G1018">
        <v>18</v>
      </c>
      <c r="H1018">
        <v>5</v>
      </c>
      <c r="I1018">
        <v>0</v>
      </c>
      <c r="J1018">
        <v>600</v>
      </c>
      <c r="K1018" t="s">
        <v>79</v>
      </c>
      <c r="L1018">
        <v>9</v>
      </c>
      <c r="M1018">
        <v>519.28</v>
      </c>
      <c r="N1018">
        <v>18.900000000000002</v>
      </c>
      <c r="Q1018">
        <v>500.38</v>
      </c>
      <c r="S1018">
        <v>15</v>
      </c>
      <c r="V1018">
        <v>15</v>
      </c>
      <c r="W1018">
        <v>0.25</v>
      </c>
      <c r="Y1018">
        <v>15</v>
      </c>
      <c r="AF1018">
        <v>15</v>
      </c>
      <c r="AG1018">
        <v>0.25</v>
      </c>
      <c r="AH1018">
        <v>0.5</v>
      </c>
      <c r="AI1018">
        <v>11.5</v>
      </c>
      <c r="AJ1018">
        <v>12</v>
      </c>
      <c r="AM1018">
        <v>0</v>
      </c>
    </row>
    <row r="1019" spans="1:39" x14ac:dyDescent="0.25">
      <c r="A1019" t="s">
        <v>45</v>
      </c>
      <c r="B1019">
        <v>4</v>
      </c>
      <c r="C1019" t="s">
        <v>415</v>
      </c>
      <c r="D1019" s="39">
        <v>45893</v>
      </c>
      <c r="E1019" t="s">
        <v>416</v>
      </c>
      <c r="F1019" t="s">
        <v>79</v>
      </c>
      <c r="G1019">
        <v>18</v>
      </c>
      <c r="H1019">
        <v>4.5</v>
      </c>
      <c r="I1019">
        <v>0</v>
      </c>
      <c r="J1019">
        <v>200</v>
      </c>
      <c r="K1019" t="s">
        <v>79</v>
      </c>
      <c r="L1019">
        <v>2</v>
      </c>
      <c r="M1019">
        <v>113.53</v>
      </c>
      <c r="N1019">
        <v>5.5</v>
      </c>
      <c r="Q1019">
        <v>108.03</v>
      </c>
      <c r="V1019">
        <v>0</v>
      </c>
      <c r="W1019">
        <v>0</v>
      </c>
      <c r="AF1019">
        <v>0</v>
      </c>
      <c r="AG1019">
        <v>0</v>
      </c>
      <c r="AH1019">
        <v>0</v>
      </c>
      <c r="AI1019">
        <v>12</v>
      </c>
      <c r="AJ1019">
        <v>12</v>
      </c>
      <c r="AM1019">
        <v>0</v>
      </c>
    </row>
    <row r="1020" spans="1:39" x14ac:dyDescent="0.25">
      <c r="A1020" t="s">
        <v>45</v>
      </c>
      <c r="B1020">
        <v>4</v>
      </c>
      <c r="C1020" t="s">
        <v>469</v>
      </c>
      <c r="D1020" s="39">
        <v>45893</v>
      </c>
      <c r="E1020" t="s">
        <v>470</v>
      </c>
      <c r="F1020" t="s">
        <v>79</v>
      </c>
      <c r="G1020">
        <v>24</v>
      </c>
      <c r="H1020" t="s">
        <v>113</v>
      </c>
      <c r="I1020" t="s">
        <v>114</v>
      </c>
      <c r="J1020">
        <v>500</v>
      </c>
      <c r="K1020" t="s">
        <v>79</v>
      </c>
      <c r="L1020">
        <v>1</v>
      </c>
      <c r="M1020">
        <v>38.369999999999997</v>
      </c>
      <c r="N1020">
        <v>2.8</v>
      </c>
      <c r="Q1020">
        <v>35.57</v>
      </c>
      <c r="V1020">
        <v>0</v>
      </c>
      <c r="W1020">
        <v>0</v>
      </c>
      <c r="AF1020">
        <v>0</v>
      </c>
      <c r="AG1020">
        <v>0</v>
      </c>
      <c r="AH1020">
        <v>0</v>
      </c>
      <c r="AI1020">
        <v>12</v>
      </c>
      <c r="AJ1020">
        <v>12</v>
      </c>
      <c r="AM1020">
        <v>0</v>
      </c>
    </row>
    <row r="1021" spans="1:39" x14ac:dyDescent="0.25">
      <c r="A1021" t="s">
        <v>46</v>
      </c>
      <c r="B1021">
        <v>4</v>
      </c>
      <c r="C1021" t="s">
        <v>469</v>
      </c>
      <c r="D1021" s="39">
        <v>45893</v>
      </c>
      <c r="E1021" t="s">
        <v>470</v>
      </c>
      <c r="F1021" t="s">
        <v>79</v>
      </c>
      <c r="G1021">
        <v>24</v>
      </c>
      <c r="H1021" t="s">
        <v>113</v>
      </c>
      <c r="I1021" t="s">
        <v>114</v>
      </c>
      <c r="J1021">
        <v>500</v>
      </c>
      <c r="K1021" t="s">
        <v>79</v>
      </c>
      <c r="L1021">
        <v>9</v>
      </c>
      <c r="M1021">
        <v>460.35</v>
      </c>
      <c r="N1021">
        <v>25.2</v>
      </c>
      <c r="Q1021">
        <v>435.15000000000003</v>
      </c>
      <c r="S1021">
        <v>20</v>
      </c>
      <c r="V1021">
        <v>20</v>
      </c>
      <c r="W1021">
        <v>0.33333333333333331</v>
      </c>
      <c r="Y1021">
        <v>30</v>
      </c>
      <c r="AF1021">
        <v>30</v>
      </c>
      <c r="AG1021">
        <v>0.5</v>
      </c>
      <c r="AH1021">
        <v>0.83333333333333326</v>
      </c>
      <c r="AI1021">
        <v>11.166666666666666</v>
      </c>
      <c r="AJ1021">
        <v>12</v>
      </c>
      <c r="AM1021">
        <v>0</v>
      </c>
    </row>
    <row r="1022" spans="1:39" x14ac:dyDescent="0.25">
      <c r="A1022" t="s">
        <v>46</v>
      </c>
      <c r="B1022">
        <v>4</v>
      </c>
      <c r="C1022" t="s">
        <v>471</v>
      </c>
      <c r="D1022" s="39">
        <v>45893</v>
      </c>
      <c r="E1022" t="s">
        <v>418</v>
      </c>
      <c r="F1022" t="s">
        <v>79</v>
      </c>
      <c r="G1022">
        <v>20</v>
      </c>
      <c r="H1022">
        <v>4.5</v>
      </c>
      <c r="I1022">
        <v>0</v>
      </c>
      <c r="J1022">
        <v>100</v>
      </c>
      <c r="K1022" t="s">
        <v>79</v>
      </c>
      <c r="L1022">
        <v>2</v>
      </c>
      <c r="M1022">
        <v>104.5</v>
      </c>
      <c r="N1022">
        <v>4.8</v>
      </c>
      <c r="Q1022">
        <v>99.7</v>
      </c>
      <c r="V1022">
        <v>0</v>
      </c>
      <c r="W1022">
        <v>0</v>
      </c>
      <c r="AF1022">
        <v>0</v>
      </c>
      <c r="AG1022">
        <v>0</v>
      </c>
      <c r="AH1022">
        <v>0</v>
      </c>
      <c r="AI1022">
        <v>12</v>
      </c>
      <c r="AJ1022">
        <v>12</v>
      </c>
      <c r="AM1022">
        <v>0</v>
      </c>
    </row>
    <row r="1023" spans="1:39" x14ac:dyDescent="0.25">
      <c r="A1023" t="s">
        <v>46</v>
      </c>
      <c r="B1023">
        <v>4</v>
      </c>
      <c r="C1023" t="s">
        <v>472</v>
      </c>
      <c r="D1023" s="39">
        <v>45893</v>
      </c>
      <c r="E1023" t="s">
        <v>276</v>
      </c>
      <c r="F1023" t="s">
        <v>79</v>
      </c>
      <c r="G1023">
        <v>20</v>
      </c>
      <c r="H1023" t="s">
        <v>113</v>
      </c>
      <c r="I1023" t="s">
        <v>114</v>
      </c>
      <c r="J1023">
        <v>0</v>
      </c>
      <c r="K1023" t="s">
        <v>79</v>
      </c>
      <c r="L1023">
        <v>2</v>
      </c>
      <c r="M1023">
        <v>86.58</v>
      </c>
      <c r="N1023">
        <v>4.8</v>
      </c>
      <c r="Q1023">
        <v>81.78</v>
      </c>
      <c r="V1023">
        <v>0</v>
      </c>
      <c r="W1023">
        <v>0</v>
      </c>
      <c r="AF1023">
        <v>0</v>
      </c>
      <c r="AG1023">
        <v>0</v>
      </c>
      <c r="AH1023">
        <v>0</v>
      </c>
      <c r="AI1023">
        <v>12</v>
      </c>
      <c r="AJ1023">
        <v>12</v>
      </c>
      <c r="AM1023">
        <v>0</v>
      </c>
    </row>
    <row r="1024" spans="1:39" x14ac:dyDescent="0.25">
      <c r="A1024" t="s">
        <v>45</v>
      </c>
      <c r="B1024">
        <v>5</v>
      </c>
      <c r="C1024" t="s">
        <v>95</v>
      </c>
      <c r="D1024" s="39">
        <v>45893</v>
      </c>
      <c r="E1024" t="s">
        <v>194</v>
      </c>
      <c r="F1024" t="s">
        <v>79</v>
      </c>
      <c r="G1024">
        <v>14</v>
      </c>
      <c r="H1024">
        <v>5</v>
      </c>
      <c r="I1024">
        <v>0</v>
      </c>
      <c r="J1024" t="s">
        <v>81</v>
      </c>
      <c r="K1024" t="s">
        <v>79</v>
      </c>
      <c r="L1024">
        <v>9</v>
      </c>
      <c r="M1024">
        <v>532.13</v>
      </c>
      <c r="N1024">
        <v>16.47</v>
      </c>
      <c r="Q1024">
        <v>515.66</v>
      </c>
      <c r="V1024">
        <v>0</v>
      </c>
      <c r="W1024">
        <v>0</v>
      </c>
      <c r="AF1024">
        <v>0</v>
      </c>
      <c r="AG1024">
        <v>0</v>
      </c>
      <c r="AH1024">
        <v>0</v>
      </c>
      <c r="AI1024">
        <v>12</v>
      </c>
      <c r="AJ1024">
        <v>12</v>
      </c>
      <c r="AM1024">
        <v>0</v>
      </c>
    </row>
    <row r="1025" spans="1:42" x14ac:dyDescent="0.25">
      <c r="A1025" t="s">
        <v>46</v>
      </c>
      <c r="B1025">
        <v>5</v>
      </c>
      <c r="C1025" t="s">
        <v>95</v>
      </c>
      <c r="D1025" s="39">
        <v>45893</v>
      </c>
      <c r="E1025" t="s">
        <v>194</v>
      </c>
      <c r="F1025" t="s">
        <v>79</v>
      </c>
      <c r="G1025">
        <v>14</v>
      </c>
      <c r="H1025">
        <v>5</v>
      </c>
      <c r="I1025">
        <v>0</v>
      </c>
      <c r="J1025" t="s">
        <v>81</v>
      </c>
      <c r="K1025" t="s">
        <v>79</v>
      </c>
      <c r="L1025">
        <v>12</v>
      </c>
      <c r="M1025">
        <v>508.30999999999995</v>
      </c>
      <c r="N1025">
        <v>14.399999999999999</v>
      </c>
      <c r="Q1025">
        <v>493.90999999999997</v>
      </c>
      <c r="V1025">
        <v>0</v>
      </c>
      <c r="W1025">
        <v>0</v>
      </c>
      <c r="AD1025">
        <v>40</v>
      </c>
      <c r="AF1025">
        <v>40</v>
      </c>
      <c r="AG1025">
        <v>0.66666666666666663</v>
      </c>
      <c r="AH1025">
        <v>0.66666666666666663</v>
      </c>
      <c r="AI1025">
        <v>11.333333333333334</v>
      </c>
      <c r="AJ1025">
        <v>12</v>
      </c>
      <c r="AM1025">
        <v>0</v>
      </c>
    </row>
    <row r="1026" spans="1:42" x14ac:dyDescent="0.25">
      <c r="A1026" t="s">
        <v>45</v>
      </c>
      <c r="B1026">
        <v>1</v>
      </c>
      <c r="C1026" t="s">
        <v>77</v>
      </c>
      <c r="D1026" s="39">
        <v>45894</v>
      </c>
      <c r="E1026" t="s">
        <v>194</v>
      </c>
      <c r="F1026" t="s">
        <v>79</v>
      </c>
      <c r="G1026">
        <v>3</v>
      </c>
      <c r="H1026" t="s">
        <v>92</v>
      </c>
      <c r="I1026">
        <v>0</v>
      </c>
      <c r="J1026" t="s">
        <v>81</v>
      </c>
      <c r="K1026" t="s">
        <v>79</v>
      </c>
      <c r="L1026">
        <v>3</v>
      </c>
      <c r="M1026">
        <v>44.86</v>
      </c>
      <c r="N1026">
        <v>0.89999999999999991</v>
      </c>
      <c r="O1026">
        <v>19.5</v>
      </c>
      <c r="Q1026">
        <v>43.96</v>
      </c>
      <c r="S1026">
        <v>10</v>
      </c>
      <c r="V1026">
        <v>10</v>
      </c>
      <c r="W1026">
        <v>0.16666666666666666</v>
      </c>
      <c r="AD1026">
        <v>20</v>
      </c>
      <c r="AF1026">
        <v>20</v>
      </c>
      <c r="AG1026">
        <v>0.33333333333333331</v>
      </c>
      <c r="AH1026">
        <v>0.5</v>
      </c>
      <c r="AI1026">
        <v>11.5</v>
      </c>
      <c r="AJ1026">
        <v>12</v>
      </c>
      <c r="AM1026">
        <v>0</v>
      </c>
      <c r="AN1026">
        <v>44.86</v>
      </c>
      <c r="AO1026">
        <v>398</v>
      </c>
      <c r="AP1026">
        <v>35</v>
      </c>
    </row>
    <row r="1027" spans="1:42" x14ac:dyDescent="0.25">
      <c r="A1027" t="s">
        <v>45</v>
      </c>
      <c r="B1027">
        <v>1</v>
      </c>
      <c r="C1027" t="s">
        <v>91</v>
      </c>
      <c r="D1027" s="39">
        <v>45894</v>
      </c>
      <c r="E1027" t="s">
        <v>194</v>
      </c>
      <c r="F1027" t="s">
        <v>79</v>
      </c>
      <c r="G1027">
        <v>4</v>
      </c>
      <c r="H1027" t="s">
        <v>92</v>
      </c>
      <c r="I1027">
        <v>0</v>
      </c>
      <c r="J1027" t="s">
        <v>81</v>
      </c>
      <c r="K1027" t="s">
        <v>79</v>
      </c>
      <c r="L1027">
        <v>7</v>
      </c>
      <c r="M1027">
        <v>108.67</v>
      </c>
      <c r="N1027">
        <v>2.8000000000000003</v>
      </c>
      <c r="Q1027">
        <v>105.87</v>
      </c>
      <c r="V1027">
        <v>0</v>
      </c>
      <c r="W1027">
        <v>0</v>
      </c>
      <c r="AF1027">
        <v>0</v>
      </c>
      <c r="AG1027">
        <v>0</v>
      </c>
      <c r="AH1027">
        <v>0</v>
      </c>
      <c r="AI1027">
        <v>12</v>
      </c>
      <c r="AJ1027">
        <v>12</v>
      </c>
      <c r="AM1027">
        <v>0</v>
      </c>
      <c r="AN1027">
        <v>108.67</v>
      </c>
      <c r="AP1027">
        <v>35</v>
      </c>
    </row>
    <row r="1028" spans="1:42" x14ac:dyDescent="0.25">
      <c r="A1028" t="s">
        <v>46</v>
      </c>
      <c r="B1028">
        <v>1</v>
      </c>
      <c r="C1028" t="s">
        <v>77</v>
      </c>
      <c r="D1028" s="39">
        <v>45894</v>
      </c>
      <c r="E1028" t="s">
        <v>194</v>
      </c>
      <c r="F1028" t="s">
        <v>79</v>
      </c>
      <c r="G1028">
        <v>3</v>
      </c>
      <c r="H1028" t="s">
        <v>92</v>
      </c>
      <c r="I1028">
        <v>0</v>
      </c>
      <c r="J1028" t="s">
        <v>81</v>
      </c>
      <c r="K1028" t="s">
        <v>79</v>
      </c>
      <c r="L1028">
        <v>11</v>
      </c>
      <c r="M1028">
        <v>170.69</v>
      </c>
      <c r="N1028">
        <v>3.3</v>
      </c>
      <c r="O1028">
        <v>28.5</v>
      </c>
      <c r="Q1028">
        <v>167.39</v>
      </c>
      <c r="V1028">
        <v>0</v>
      </c>
      <c r="W1028">
        <v>0</v>
      </c>
      <c r="AF1028">
        <v>0</v>
      </c>
      <c r="AG1028">
        <v>0</v>
      </c>
      <c r="AH1028">
        <v>0</v>
      </c>
      <c r="AI1028">
        <v>12</v>
      </c>
      <c r="AJ1028">
        <v>12</v>
      </c>
      <c r="AL1028">
        <v>2148</v>
      </c>
      <c r="AM1028">
        <v>0</v>
      </c>
      <c r="AN1028">
        <v>170.69</v>
      </c>
      <c r="AP1028">
        <v>35</v>
      </c>
    </row>
    <row r="1029" spans="1:42" x14ac:dyDescent="0.25">
      <c r="A1029" t="s">
        <v>45</v>
      </c>
      <c r="B1029">
        <v>2</v>
      </c>
      <c r="C1029" t="s">
        <v>107</v>
      </c>
      <c r="D1029" s="39">
        <v>45894</v>
      </c>
      <c r="E1029" t="s">
        <v>194</v>
      </c>
      <c r="F1029" t="s">
        <v>79</v>
      </c>
      <c r="G1029">
        <v>5</v>
      </c>
      <c r="H1029" t="s">
        <v>92</v>
      </c>
      <c r="I1029">
        <v>0</v>
      </c>
      <c r="J1029" t="s">
        <v>81</v>
      </c>
      <c r="K1029" t="s">
        <v>79</v>
      </c>
      <c r="L1029">
        <v>6</v>
      </c>
      <c r="M1029">
        <v>117.07000000000001</v>
      </c>
      <c r="N1029">
        <v>3</v>
      </c>
      <c r="Q1029">
        <v>114.07000000000001</v>
      </c>
      <c r="S1029">
        <v>20</v>
      </c>
      <c r="V1029">
        <v>20</v>
      </c>
      <c r="W1029">
        <v>0.33333333333333331</v>
      </c>
      <c r="AF1029">
        <v>0</v>
      </c>
      <c r="AG1029">
        <v>0</v>
      </c>
      <c r="AH1029">
        <v>0.33333333333333331</v>
      </c>
      <c r="AI1029">
        <v>11.666666666666666</v>
      </c>
      <c r="AJ1029">
        <v>12</v>
      </c>
      <c r="AM1029">
        <v>0</v>
      </c>
      <c r="AN1029">
        <v>117.07</v>
      </c>
      <c r="AP1029">
        <v>35</v>
      </c>
    </row>
    <row r="1030" spans="1:42" x14ac:dyDescent="0.25">
      <c r="A1030" t="s">
        <v>45</v>
      </c>
      <c r="B1030">
        <v>2</v>
      </c>
      <c r="C1030" t="s">
        <v>91</v>
      </c>
      <c r="D1030" s="39">
        <v>45894</v>
      </c>
      <c r="E1030" t="s">
        <v>194</v>
      </c>
      <c r="F1030" t="s">
        <v>79</v>
      </c>
      <c r="G1030">
        <v>4</v>
      </c>
      <c r="H1030" t="s">
        <v>92</v>
      </c>
      <c r="I1030">
        <v>0</v>
      </c>
      <c r="J1030" t="s">
        <v>81</v>
      </c>
      <c r="K1030" t="s">
        <v>79</v>
      </c>
      <c r="L1030">
        <v>3</v>
      </c>
      <c r="M1030">
        <v>47.75</v>
      </c>
      <c r="N1030">
        <v>1.2000000000000002</v>
      </c>
      <c r="Q1030">
        <v>46.55</v>
      </c>
      <c r="V1030">
        <v>0</v>
      </c>
      <c r="W1030">
        <v>0</v>
      </c>
      <c r="AF1030">
        <v>0</v>
      </c>
      <c r="AG1030">
        <v>0</v>
      </c>
      <c r="AH1030">
        <v>0</v>
      </c>
      <c r="AI1030">
        <v>12</v>
      </c>
      <c r="AJ1030">
        <v>12</v>
      </c>
      <c r="AM1030">
        <v>0</v>
      </c>
      <c r="AN1030">
        <v>47.75</v>
      </c>
      <c r="AP1030">
        <v>35</v>
      </c>
    </row>
    <row r="1031" spans="1:42" x14ac:dyDescent="0.25">
      <c r="A1031" t="s">
        <v>46</v>
      </c>
      <c r="B1031">
        <v>2</v>
      </c>
      <c r="C1031" t="s">
        <v>91</v>
      </c>
      <c r="D1031" s="39">
        <v>45894</v>
      </c>
      <c r="E1031" t="s">
        <v>194</v>
      </c>
      <c r="F1031" t="s">
        <v>79</v>
      </c>
      <c r="G1031">
        <v>4</v>
      </c>
      <c r="H1031" t="s">
        <v>92</v>
      </c>
      <c r="I1031">
        <v>0</v>
      </c>
      <c r="J1031" t="s">
        <v>81</v>
      </c>
      <c r="K1031" t="s">
        <v>79</v>
      </c>
      <c r="L1031">
        <v>10</v>
      </c>
      <c r="M1031">
        <v>148.20999999999998</v>
      </c>
      <c r="N1031">
        <v>4</v>
      </c>
      <c r="Q1031">
        <v>144.20999999999998</v>
      </c>
      <c r="V1031">
        <v>0</v>
      </c>
      <c r="W1031">
        <v>0</v>
      </c>
      <c r="AF1031">
        <v>0</v>
      </c>
      <c r="AG1031">
        <v>0</v>
      </c>
      <c r="AH1031">
        <v>0</v>
      </c>
      <c r="AI1031">
        <v>12</v>
      </c>
      <c r="AJ1031">
        <v>12</v>
      </c>
      <c r="AM1031">
        <v>0</v>
      </c>
      <c r="AN1031">
        <v>148.20999999999998</v>
      </c>
      <c r="AP1031">
        <v>35</v>
      </c>
    </row>
    <row r="1032" spans="1:42" x14ac:dyDescent="0.25">
      <c r="A1032" t="s">
        <v>45</v>
      </c>
      <c r="B1032">
        <v>3</v>
      </c>
      <c r="C1032" t="s">
        <v>467</v>
      </c>
      <c r="D1032" s="39">
        <v>45894</v>
      </c>
      <c r="E1032" t="s">
        <v>81</v>
      </c>
      <c r="K1032" t="s">
        <v>79</v>
      </c>
      <c r="L1032">
        <v>6</v>
      </c>
      <c r="M1032">
        <v>246.2</v>
      </c>
      <c r="N1032">
        <v>6</v>
      </c>
      <c r="Q1032">
        <v>240.2</v>
      </c>
      <c r="V1032">
        <v>0</v>
      </c>
      <c r="W1032">
        <v>0</v>
      </c>
      <c r="AF1032">
        <v>0</v>
      </c>
      <c r="AG1032">
        <v>0</v>
      </c>
      <c r="AH1032">
        <v>0</v>
      </c>
      <c r="AI1032">
        <v>12</v>
      </c>
      <c r="AJ1032">
        <v>12</v>
      </c>
      <c r="AM1032">
        <v>0</v>
      </c>
      <c r="AN1032">
        <v>246.2</v>
      </c>
      <c r="AP1032">
        <v>35</v>
      </c>
    </row>
    <row r="1033" spans="1:42" x14ac:dyDescent="0.25">
      <c r="A1033" t="s">
        <v>46</v>
      </c>
      <c r="B1033">
        <v>3</v>
      </c>
      <c r="C1033" t="s">
        <v>467</v>
      </c>
      <c r="D1033" s="39">
        <v>45894</v>
      </c>
      <c r="E1033" t="s">
        <v>81</v>
      </c>
      <c r="K1033" t="s">
        <v>79</v>
      </c>
      <c r="L1033">
        <v>5</v>
      </c>
      <c r="M1033">
        <v>161.71</v>
      </c>
      <c r="N1033">
        <v>3.5</v>
      </c>
      <c r="Q1033">
        <v>158.21</v>
      </c>
      <c r="S1033">
        <v>20</v>
      </c>
      <c r="V1033">
        <v>20</v>
      </c>
      <c r="W1033">
        <v>0.33333333333333331</v>
      </c>
      <c r="AF1033">
        <v>0</v>
      </c>
      <c r="AG1033">
        <v>0</v>
      </c>
      <c r="AH1033">
        <v>0.33333333333333331</v>
      </c>
      <c r="AI1033">
        <v>11.666666666666666</v>
      </c>
      <c r="AJ1033">
        <v>12</v>
      </c>
      <c r="AM1033">
        <v>0</v>
      </c>
      <c r="AN1033">
        <v>161.71</v>
      </c>
      <c r="AP1033">
        <v>35</v>
      </c>
    </row>
    <row r="1034" spans="1:42" x14ac:dyDescent="0.25">
      <c r="A1034" t="s">
        <v>46</v>
      </c>
      <c r="B1034">
        <v>3</v>
      </c>
      <c r="C1034" t="s">
        <v>473</v>
      </c>
      <c r="D1034" s="39">
        <v>45894</v>
      </c>
      <c r="E1034" t="s">
        <v>81</v>
      </c>
      <c r="K1034" t="s">
        <v>79</v>
      </c>
      <c r="L1034">
        <v>4</v>
      </c>
      <c r="M1034">
        <v>118.15</v>
      </c>
      <c r="N1034">
        <v>3.6</v>
      </c>
      <c r="Q1034">
        <v>114.55000000000001</v>
      </c>
      <c r="V1034">
        <v>0</v>
      </c>
      <c r="W1034">
        <v>0</v>
      </c>
      <c r="AF1034">
        <v>0</v>
      </c>
      <c r="AG1034">
        <v>0</v>
      </c>
      <c r="AH1034">
        <v>0</v>
      </c>
      <c r="AI1034">
        <v>12</v>
      </c>
      <c r="AJ1034">
        <v>12</v>
      </c>
      <c r="AM1034">
        <v>0</v>
      </c>
      <c r="AN1034">
        <v>118.15</v>
      </c>
      <c r="AP1034">
        <v>35</v>
      </c>
    </row>
    <row r="1035" spans="1:42" x14ac:dyDescent="0.25">
      <c r="A1035" t="s">
        <v>45</v>
      </c>
      <c r="B1035">
        <v>4</v>
      </c>
      <c r="C1035" t="s">
        <v>472</v>
      </c>
      <c r="D1035" s="39">
        <v>45894</v>
      </c>
      <c r="E1035" t="s">
        <v>276</v>
      </c>
      <c r="F1035" t="s">
        <v>79</v>
      </c>
      <c r="G1035">
        <v>20</v>
      </c>
      <c r="H1035" t="s">
        <v>113</v>
      </c>
      <c r="I1035" t="s">
        <v>114</v>
      </c>
      <c r="J1035">
        <v>0</v>
      </c>
      <c r="K1035" t="s">
        <v>79</v>
      </c>
      <c r="L1035">
        <v>11</v>
      </c>
      <c r="M1035">
        <v>610.85</v>
      </c>
      <c r="N1035">
        <v>24.360000000000003</v>
      </c>
      <c r="Q1035">
        <v>586.49</v>
      </c>
      <c r="S1035">
        <v>20</v>
      </c>
      <c r="V1035">
        <v>20</v>
      </c>
      <c r="W1035">
        <v>0.33333333333333331</v>
      </c>
      <c r="AF1035">
        <v>0</v>
      </c>
      <c r="AG1035">
        <v>0</v>
      </c>
      <c r="AH1035">
        <v>0.33333333333333331</v>
      </c>
      <c r="AI1035">
        <v>11.666666666666666</v>
      </c>
      <c r="AJ1035">
        <v>12</v>
      </c>
      <c r="AM1035">
        <v>0</v>
      </c>
      <c r="AN1035">
        <v>610.85</v>
      </c>
      <c r="AP1035">
        <v>35</v>
      </c>
    </row>
    <row r="1036" spans="1:42" x14ac:dyDescent="0.25">
      <c r="A1036" t="s">
        <v>45</v>
      </c>
      <c r="B1036">
        <v>4</v>
      </c>
      <c r="C1036" t="s">
        <v>474</v>
      </c>
      <c r="D1036" s="39">
        <v>45894</v>
      </c>
      <c r="E1036" t="s">
        <v>81</v>
      </c>
      <c r="F1036" t="s">
        <v>468</v>
      </c>
      <c r="G1036">
        <v>0</v>
      </c>
      <c r="H1036" t="s">
        <v>81</v>
      </c>
      <c r="I1036">
        <v>0</v>
      </c>
      <c r="J1036">
        <v>1000</v>
      </c>
      <c r="K1036" t="s">
        <v>79</v>
      </c>
      <c r="L1036">
        <v>2</v>
      </c>
      <c r="M1036">
        <v>88.44</v>
      </c>
      <c r="N1036">
        <v>4</v>
      </c>
      <c r="Q1036">
        <v>84.44</v>
      </c>
      <c r="V1036">
        <v>0</v>
      </c>
      <c r="W1036">
        <v>0</v>
      </c>
      <c r="AF1036">
        <v>0</v>
      </c>
      <c r="AG1036">
        <v>0</v>
      </c>
      <c r="AH1036">
        <v>0</v>
      </c>
      <c r="AI1036">
        <v>12</v>
      </c>
      <c r="AJ1036">
        <v>12</v>
      </c>
      <c r="AM1036">
        <v>0</v>
      </c>
      <c r="AN1036">
        <v>88.44</v>
      </c>
      <c r="AP1036">
        <v>35</v>
      </c>
    </row>
    <row r="1037" spans="1:42" x14ac:dyDescent="0.25">
      <c r="A1037" t="s">
        <v>46</v>
      </c>
      <c r="B1037">
        <v>4</v>
      </c>
      <c r="C1037" t="s">
        <v>474</v>
      </c>
      <c r="D1037" s="39">
        <v>45894</v>
      </c>
      <c r="E1037" t="s">
        <v>81</v>
      </c>
      <c r="F1037" t="s">
        <v>468</v>
      </c>
      <c r="G1037">
        <v>0</v>
      </c>
      <c r="H1037" t="s">
        <v>81</v>
      </c>
      <c r="I1037">
        <v>0</v>
      </c>
      <c r="J1037">
        <v>1000</v>
      </c>
      <c r="K1037" t="s">
        <v>79</v>
      </c>
      <c r="L1037">
        <v>14</v>
      </c>
      <c r="M1037">
        <v>680.82</v>
      </c>
      <c r="N1037">
        <v>23.24</v>
      </c>
      <c r="Q1037">
        <v>657.58</v>
      </c>
      <c r="V1037">
        <v>0</v>
      </c>
      <c r="W1037">
        <v>0</v>
      </c>
      <c r="AF1037">
        <v>0</v>
      </c>
      <c r="AG1037">
        <v>0</v>
      </c>
      <c r="AH1037">
        <v>0</v>
      </c>
      <c r="AI1037">
        <v>12</v>
      </c>
      <c r="AJ1037">
        <v>12</v>
      </c>
      <c r="AM1037">
        <v>0</v>
      </c>
      <c r="AN1037">
        <v>680.82</v>
      </c>
      <c r="AP1037">
        <v>35</v>
      </c>
    </row>
    <row r="1038" spans="1:42" x14ac:dyDescent="0.25">
      <c r="A1038" t="s">
        <v>45</v>
      </c>
      <c r="B1038">
        <v>5</v>
      </c>
      <c r="C1038" t="s">
        <v>95</v>
      </c>
      <c r="D1038" s="39">
        <v>45894</v>
      </c>
      <c r="E1038" t="s">
        <v>194</v>
      </c>
      <c r="F1038" t="s">
        <v>79</v>
      </c>
      <c r="G1038">
        <v>14</v>
      </c>
      <c r="H1038">
        <v>5</v>
      </c>
      <c r="I1038">
        <v>0</v>
      </c>
      <c r="J1038" t="s">
        <v>81</v>
      </c>
      <c r="K1038" t="s">
        <v>79</v>
      </c>
      <c r="L1038">
        <v>5</v>
      </c>
      <c r="M1038">
        <v>288.39000000000004</v>
      </c>
      <c r="N1038">
        <v>9</v>
      </c>
      <c r="Q1038">
        <v>279.39000000000004</v>
      </c>
      <c r="V1038">
        <v>0</v>
      </c>
      <c r="W1038">
        <v>0</v>
      </c>
      <c r="AF1038">
        <v>0</v>
      </c>
      <c r="AG1038">
        <v>0</v>
      </c>
      <c r="AH1038">
        <v>0</v>
      </c>
      <c r="AI1038">
        <v>12</v>
      </c>
      <c r="AJ1038">
        <v>12</v>
      </c>
      <c r="AM1038">
        <v>0</v>
      </c>
      <c r="AN1038">
        <v>288.39000000000004</v>
      </c>
      <c r="AP1038">
        <v>35</v>
      </c>
    </row>
    <row r="1039" spans="1:42" x14ac:dyDescent="0.25">
      <c r="A1039" t="s">
        <v>45</v>
      </c>
      <c r="B1039">
        <v>5</v>
      </c>
      <c r="C1039" t="s">
        <v>475</v>
      </c>
      <c r="D1039" s="39">
        <v>45894</v>
      </c>
      <c r="E1039" t="s">
        <v>282</v>
      </c>
      <c r="F1039" t="s">
        <v>79</v>
      </c>
      <c r="G1039">
        <v>14</v>
      </c>
      <c r="H1039">
        <v>6</v>
      </c>
      <c r="I1039">
        <v>0</v>
      </c>
      <c r="J1039">
        <v>700</v>
      </c>
      <c r="K1039" t="s">
        <v>79</v>
      </c>
      <c r="L1039">
        <v>6</v>
      </c>
      <c r="M1039">
        <v>261.89</v>
      </c>
      <c r="N1039">
        <v>10.8</v>
      </c>
      <c r="Q1039">
        <v>251.08999999999997</v>
      </c>
      <c r="V1039">
        <v>0</v>
      </c>
      <c r="W1039">
        <v>0</v>
      </c>
      <c r="AF1039">
        <v>0</v>
      </c>
      <c r="AG1039">
        <v>0</v>
      </c>
      <c r="AH1039">
        <v>0</v>
      </c>
      <c r="AI1039">
        <v>12</v>
      </c>
      <c r="AJ1039">
        <v>12</v>
      </c>
      <c r="AM1039">
        <v>0</v>
      </c>
      <c r="AN1039">
        <v>261.89</v>
      </c>
      <c r="AP1039">
        <v>35</v>
      </c>
    </row>
    <row r="1040" spans="1:42" x14ac:dyDescent="0.25">
      <c r="A1040" t="s">
        <v>46</v>
      </c>
      <c r="B1040">
        <v>5</v>
      </c>
      <c r="C1040" t="s">
        <v>476</v>
      </c>
      <c r="D1040" s="39">
        <v>45894</v>
      </c>
      <c r="E1040" t="s">
        <v>477</v>
      </c>
      <c r="F1040" t="s">
        <v>79</v>
      </c>
      <c r="G1040">
        <v>14</v>
      </c>
      <c r="H1040">
        <v>4.5</v>
      </c>
      <c r="I1040">
        <v>0</v>
      </c>
      <c r="J1040">
        <v>125</v>
      </c>
      <c r="K1040" t="s">
        <v>79</v>
      </c>
      <c r="L1040">
        <v>4</v>
      </c>
      <c r="M1040">
        <v>115.00999999999999</v>
      </c>
      <c r="N1040">
        <v>5.84</v>
      </c>
      <c r="Q1040">
        <v>109.16999999999999</v>
      </c>
      <c r="S1040">
        <v>20</v>
      </c>
      <c r="V1040">
        <v>20</v>
      </c>
      <c r="W1040">
        <v>0.33333333333333331</v>
      </c>
      <c r="AF1040">
        <v>0</v>
      </c>
      <c r="AG1040">
        <v>0</v>
      </c>
      <c r="AH1040">
        <v>0.33333333333333331</v>
      </c>
      <c r="AI1040">
        <v>11.666666666666666</v>
      </c>
      <c r="AJ1040">
        <v>12</v>
      </c>
      <c r="AM1040">
        <v>0</v>
      </c>
      <c r="AN1040">
        <v>115.01</v>
      </c>
      <c r="AP1040">
        <v>35</v>
      </c>
    </row>
    <row r="1041" spans="1:42" x14ac:dyDescent="0.25">
      <c r="A1041" t="s">
        <v>46</v>
      </c>
      <c r="B1041">
        <v>5</v>
      </c>
      <c r="C1041" t="s">
        <v>475</v>
      </c>
      <c r="D1041" s="39">
        <v>45894</v>
      </c>
      <c r="E1041" t="s">
        <v>282</v>
      </c>
      <c r="F1041" t="s">
        <v>79</v>
      </c>
      <c r="G1041">
        <v>14</v>
      </c>
      <c r="H1041">
        <v>6</v>
      </c>
      <c r="I1041">
        <v>0</v>
      </c>
      <c r="J1041">
        <v>700</v>
      </c>
      <c r="K1041" t="s">
        <v>79</v>
      </c>
      <c r="L1041">
        <v>7</v>
      </c>
      <c r="M1041">
        <v>255.04000000000002</v>
      </c>
      <c r="N1041">
        <v>10.219999999999999</v>
      </c>
      <c r="Q1041">
        <v>244.82000000000002</v>
      </c>
      <c r="V1041">
        <v>0</v>
      </c>
      <c r="W1041">
        <v>0</v>
      </c>
      <c r="AF1041">
        <v>0</v>
      </c>
      <c r="AG1041">
        <v>0</v>
      </c>
      <c r="AH1041">
        <v>0</v>
      </c>
      <c r="AI1041">
        <v>12</v>
      </c>
      <c r="AJ1041">
        <v>12</v>
      </c>
      <c r="AM1041">
        <v>0</v>
      </c>
      <c r="AN1041">
        <v>255.04</v>
      </c>
      <c r="AP1041">
        <v>35</v>
      </c>
    </row>
    <row r="1042" spans="1:42" x14ac:dyDescent="0.25">
      <c r="A1042" t="s">
        <v>46</v>
      </c>
      <c r="B1042">
        <v>5</v>
      </c>
      <c r="C1042" t="s">
        <v>478</v>
      </c>
      <c r="D1042" s="39">
        <v>45894</v>
      </c>
      <c r="E1042" t="s">
        <v>282</v>
      </c>
      <c r="F1042" t="s">
        <v>79</v>
      </c>
      <c r="G1042">
        <v>11</v>
      </c>
      <c r="H1042">
        <v>6.5</v>
      </c>
      <c r="I1042">
        <v>0</v>
      </c>
      <c r="J1042">
        <v>800</v>
      </c>
      <c r="K1042" t="s">
        <v>79</v>
      </c>
      <c r="L1042">
        <v>5</v>
      </c>
      <c r="M1042">
        <v>151</v>
      </c>
      <c r="N1042">
        <v>6.6000000000000005</v>
      </c>
      <c r="Q1042">
        <v>144.4</v>
      </c>
      <c r="V1042">
        <v>0</v>
      </c>
      <c r="W1042">
        <v>0</v>
      </c>
      <c r="AF1042">
        <v>0</v>
      </c>
      <c r="AG1042">
        <v>0</v>
      </c>
      <c r="AH1042">
        <v>0</v>
      </c>
      <c r="AI1042">
        <v>12</v>
      </c>
      <c r="AJ1042">
        <v>12</v>
      </c>
      <c r="AM1042">
        <v>0</v>
      </c>
      <c r="AN1042">
        <v>151</v>
      </c>
      <c r="AP1042">
        <v>35</v>
      </c>
    </row>
    <row r="1043" spans="1:42" x14ac:dyDescent="0.25">
      <c r="A1043" t="s">
        <v>46</v>
      </c>
      <c r="B1043">
        <v>5</v>
      </c>
      <c r="C1043" t="s">
        <v>95</v>
      </c>
      <c r="D1043" s="39">
        <v>45894</v>
      </c>
      <c r="E1043" t="s">
        <v>194</v>
      </c>
      <c r="F1043" t="s">
        <v>79</v>
      </c>
      <c r="G1043">
        <v>14</v>
      </c>
      <c r="H1043">
        <v>5</v>
      </c>
      <c r="I1043">
        <v>0</v>
      </c>
      <c r="J1043" t="s">
        <v>81</v>
      </c>
      <c r="K1043" t="s">
        <v>79</v>
      </c>
      <c r="L1043">
        <v>1</v>
      </c>
      <c r="M1043">
        <v>26.38</v>
      </c>
      <c r="N1043">
        <v>1.46</v>
      </c>
      <c r="Q1043">
        <v>24.919999999999998</v>
      </c>
      <c r="V1043">
        <v>0</v>
      </c>
      <c r="W1043">
        <v>0</v>
      </c>
      <c r="AF1043">
        <v>0</v>
      </c>
      <c r="AG1043">
        <v>0</v>
      </c>
      <c r="AH1043">
        <v>0</v>
      </c>
      <c r="AI1043">
        <v>12</v>
      </c>
      <c r="AJ1043">
        <v>12</v>
      </c>
      <c r="AM1043">
        <v>0</v>
      </c>
      <c r="AN1043">
        <v>26.38</v>
      </c>
      <c r="AP1043">
        <v>35</v>
      </c>
    </row>
    <row r="1044" spans="1:42" x14ac:dyDescent="0.25">
      <c r="A1044" t="s">
        <v>45</v>
      </c>
      <c r="B1044">
        <v>1</v>
      </c>
      <c r="C1044" t="s">
        <v>77</v>
      </c>
      <c r="D1044" s="39">
        <v>45895</v>
      </c>
      <c r="E1044" t="s">
        <v>194</v>
      </c>
      <c r="F1044" t="s">
        <v>79</v>
      </c>
      <c r="G1044">
        <v>3</v>
      </c>
      <c r="H1044" t="s">
        <v>92</v>
      </c>
      <c r="I1044">
        <v>0</v>
      </c>
      <c r="J1044" t="s">
        <v>81</v>
      </c>
      <c r="K1044" t="s">
        <v>79</v>
      </c>
      <c r="L1044">
        <v>11</v>
      </c>
      <c r="M1044">
        <v>168.19</v>
      </c>
      <c r="N1044">
        <v>3.3</v>
      </c>
      <c r="O1044">
        <v>24</v>
      </c>
      <c r="Q1044">
        <v>164.89</v>
      </c>
      <c r="V1044">
        <v>0</v>
      </c>
      <c r="W1044">
        <v>0</v>
      </c>
      <c r="AF1044">
        <v>0</v>
      </c>
      <c r="AG1044">
        <v>0</v>
      </c>
      <c r="AH1044">
        <v>0</v>
      </c>
      <c r="AI1044">
        <v>12</v>
      </c>
      <c r="AJ1044">
        <v>12</v>
      </c>
      <c r="AL1044">
        <v>2092</v>
      </c>
      <c r="AM1044">
        <v>0</v>
      </c>
      <c r="AN1044">
        <v>168.19</v>
      </c>
      <c r="AO1044">
        <v>398</v>
      </c>
      <c r="AP1044">
        <v>35</v>
      </c>
    </row>
    <row r="1045" spans="1:42" x14ac:dyDescent="0.25">
      <c r="A1045" t="s">
        <v>46</v>
      </c>
      <c r="B1045">
        <v>1</v>
      </c>
      <c r="C1045" t="s">
        <v>77</v>
      </c>
      <c r="D1045" s="39">
        <v>45895</v>
      </c>
      <c r="E1045" t="s">
        <v>194</v>
      </c>
      <c r="F1045" t="s">
        <v>79</v>
      </c>
      <c r="G1045">
        <v>3</v>
      </c>
      <c r="H1045" t="s">
        <v>92</v>
      </c>
      <c r="I1045">
        <v>0</v>
      </c>
      <c r="J1045" t="s">
        <v>81</v>
      </c>
      <c r="K1045" t="s">
        <v>79</v>
      </c>
      <c r="L1045">
        <v>9</v>
      </c>
      <c r="M1045">
        <v>141.51</v>
      </c>
      <c r="N1045">
        <v>2.6999999999999997</v>
      </c>
      <c r="O1045">
        <v>26</v>
      </c>
      <c r="Q1045">
        <v>138.81</v>
      </c>
      <c r="V1045">
        <v>0</v>
      </c>
      <c r="W1045">
        <v>0</v>
      </c>
      <c r="AF1045">
        <v>0</v>
      </c>
      <c r="AG1045">
        <v>0</v>
      </c>
      <c r="AH1045">
        <v>0</v>
      </c>
      <c r="AI1045">
        <v>12</v>
      </c>
      <c r="AJ1045">
        <v>12</v>
      </c>
      <c r="AM1045">
        <v>0</v>
      </c>
      <c r="AN1045">
        <v>141.51</v>
      </c>
      <c r="AP1045">
        <v>35</v>
      </c>
    </row>
    <row r="1046" spans="1:42" x14ac:dyDescent="0.25">
      <c r="A1046" t="s">
        <v>45</v>
      </c>
      <c r="B1046">
        <v>2</v>
      </c>
      <c r="C1046" t="s">
        <v>91</v>
      </c>
      <c r="D1046" s="39">
        <v>45895</v>
      </c>
      <c r="E1046" t="s">
        <v>194</v>
      </c>
      <c r="F1046" t="s">
        <v>79</v>
      </c>
      <c r="G1046">
        <v>4</v>
      </c>
      <c r="H1046" t="s">
        <v>92</v>
      </c>
      <c r="I1046">
        <v>0</v>
      </c>
      <c r="J1046" t="s">
        <v>81</v>
      </c>
      <c r="K1046" t="s">
        <v>79</v>
      </c>
      <c r="L1046">
        <v>9</v>
      </c>
      <c r="M1046">
        <v>148.18</v>
      </c>
      <c r="N1046">
        <v>3.6</v>
      </c>
      <c r="Q1046">
        <v>144.58000000000001</v>
      </c>
      <c r="V1046">
        <v>0</v>
      </c>
      <c r="W1046">
        <v>0</v>
      </c>
      <c r="AF1046">
        <v>0</v>
      </c>
      <c r="AG1046">
        <v>0</v>
      </c>
      <c r="AH1046">
        <v>0</v>
      </c>
      <c r="AI1046">
        <v>12</v>
      </c>
      <c r="AJ1046">
        <v>12</v>
      </c>
      <c r="AM1046">
        <v>0</v>
      </c>
      <c r="AN1046">
        <v>148.18</v>
      </c>
      <c r="AP1046">
        <v>35</v>
      </c>
    </row>
    <row r="1047" spans="1:42" x14ac:dyDescent="0.25">
      <c r="A1047" t="s">
        <v>46</v>
      </c>
      <c r="B1047">
        <v>2</v>
      </c>
      <c r="C1047" t="s">
        <v>91</v>
      </c>
      <c r="D1047" s="39">
        <v>45895</v>
      </c>
      <c r="E1047" t="s">
        <v>194</v>
      </c>
      <c r="F1047" t="s">
        <v>79</v>
      </c>
      <c r="G1047">
        <v>4</v>
      </c>
      <c r="H1047" t="s">
        <v>92</v>
      </c>
      <c r="I1047">
        <v>0</v>
      </c>
      <c r="J1047" t="s">
        <v>81</v>
      </c>
      <c r="K1047" t="s">
        <v>79</v>
      </c>
      <c r="L1047">
        <v>9</v>
      </c>
      <c r="M1047">
        <v>147.14999999999998</v>
      </c>
      <c r="N1047">
        <v>3.6</v>
      </c>
      <c r="Q1047">
        <v>143.54999999999998</v>
      </c>
      <c r="V1047">
        <v>0</v>
      </c>
      <c r="W1047">
        <v>0</v>
      </c>
      <c r="AF1047">
        <v>0</v>
      </c>
      <c r="AG1047">
        <v>0</v>
      </c>
      <c r="AH1047">
        <v>0</v>
      </c>
      <c r="AI1047">
        <v>12</v>
      </c>
      <c r="AJ1047">
        <v>12</v>
      </c>
      <c r="AM1047">
        <v>0</v>
      </c>
      <c r="AN1047">
        <v>147.14999999999998</v>
      </c>
      <c r="AP1047">
        <v>35</v>
      </c>
    </row>
    <row r="1048" spans="1:42" x14ac:dyDescent="0.25">
      <c r="A1048" t="s">
        <v>45</v>
      </c>
      <c r="B1048">
        <v>4</v>
      </c>
      <c r="C1048" t="s">
        <v>474</v>
      </c>
      <c r="D1048" s="39">
        <v>45895</v>
      </c>
      <c r="E1048" t="s">
        <v>81</v>
      </c>
      <c r="F1048" t="s">
        <v>468</v>
      </c>
      <c r="G1048" t="s">
        <v>81</v>
      </c>
      <c r="H1048" t="s">
        <v>81</v>
      </c>
      <c r="I1048">
        <v>0</v>
      </c>
      <c r="J1048">
        <v>1000</v>
      </c>
      <c r="K1048" t="s">
        <v>79</v>
      </c>
      <c r="L1048">
        <v>6</v>
      </c>
      <c r="M1048">
        <v>335.43</v>
      </c>
      <c r="N1048">
        <v>11.38</v>
      </c>
      <c r="Q1048">
        <v>324.05</v>
      </c>
      <c r="S1048">
        <v>30</v>
      </c>
      <c r="V1048">
        <v>30</v>
      </c>
      <c r="W1048">
        <v>0.5</v>
      </c>
      <c r="AF1048">
        <v>0</v>
      </c>
      <c r="AG1048">
        <v>0</v>
      </c>
      <c r="AH1048">
        <v>0.5</v>
      </c>
      <c r="AI1048">
        <v>11.5</v>
      </c>
      <c r="AJ1048">
        <v>12</v>
      </c>
      <c r="AM1048">
        <v>0</v>
      </c>
      <c r="AN1048">
        <v>335.43</v>
      </c>
      <c r="AP1048">
        <v>35</v>
      </c>
    </row>
    <row r="1049" spans="1:42" x14ac:dyDescent="0.25">
      <c r="A1049" t="s">
        <v>45</v>
      </c>
      <c r="B1049">
        <v>4</v>
      </c>
      <c r="C1049" t="s">
        <v>479</v>
      </c>
      <c r="D1049" s="39">
        <v>45895</v>
      </c>
      <c r="E1049" t="s">
        <v>470</v>
      </c>
      <c r="F1049" t="s">
        <v>79</v>
      </c>
      <c r="G1049">
        <v>16</v>
      </c>
      <c r="H1049" t="s">
        <v>113</v>
      </c>
      <c r="I1049" t="s">
        <v>99</v>
      </c>
      <c r="J1049">
        <v>400</v>
      </c>
      <c r="K1049" t="s">
        <v>79</v>
      </c>
      <c r="L1049">
        <v>7</v>
      </c>
      <c r="M1049">
        <v>354.57</v>
      </c>
      <c r="N1049">
        <v>13.459999999999999</v>
      </c>
      <c r="Q1049">
        <v>341.11</v>
      </c>
      <c r="V1049">
        <v>0</v>
      </c>
      <c r="W1049">
        <v>0</v>
      </c>
      <c r="AF1049">
        <v>0</v>
      </c>
      <c r="AG1049">
        <v>0</v>
      </c>
      <c r="AH1049">
        <v>0</v>
      </c>
      <c r="AI1049">
        <v>12</v>
      </c>
      <c r="AJ1049">
        <v>12</v>
      </c>
      <c r="AM1049">
        <v>0</v>
      </c>
      <c r="AN1049">
        <v>354.57</v>
      </c>
      <c r="AP1049">
        <v>35</v>
      </c>
    </row>
    <row r="1050" spans="1:42" x14ac:dyDescent="0.25">
      <c r="A1050" t="s">
        <v>45</v>
      </c>
      <c r="B1050">
        <v>4</v>
      </c>
      <c r="C1050" t="s">
        <v>480</v>
      </c>
      <c r="D1050" s="39">
        <v>45895</v>
      </c>
      <c r="E1050" t="s">
        <v>396</v>
      </c>
      <c r="F1050" t="s">
        <v>79</v>
      </c>
      <c r="G1050">
        <v>17</v>
      </c>
      <c r="H1050" t="s">
        <v>92</v>
      </c>
      <c r="I1050">
        <v>0</v>
      </c>
      <c r="J1050">
        <v>5000</v>
      </c>
      <c r="K1050" t="s">
        <v>79</v>
      </c>
      <c r="L1050">
        <v>3</v>
      </c>
      <c r="M1050">
        <v>142.91</v>
      </c>
      <c r="N1050">
        <v>5.8</v>
      </c>
      <c r="Q1050">
        <v>137.10999999999999</v>
      </c>
      <c r="V1050">
        <v>0</v>
      </c>
      <c r="W1050">
        <v>0</v>
      </c>
      <c r="AF1050">
        <v>0</v>
      </c>
      <c r="AG1050">
        <v>0</v>
      </c>
      <c r="AH1050">
        <v>0</v>
      </c>
      <c r="AI1050">
        <v>12</v>
      </c>
      <c r="AJ1050">
        <v>12</v>
      </c>
      <c r="AM1050">
        <v>0</v>
      </c>
      <c r="AN1050">
        <v>142.91</v>
      </c>
      <c r="AP1050">
        <v>35</v>
      </c>
    </row>
    <row r="1051" spans="1:42" x14ac:dyDescent="0.25">
      <c r="A1051" t="s">
        <v>46</v>
      </c>
      <c r="B1051">
        <v>4</v>
      </c>
      <c r="C1051" t="s">
        <v>480</v>
      </c>
      <c r="D1051" s="39">
        <v>45895</v>
      </c>
      <c r="E1051" t="s">
        <v>396</v>
      </c>
      <c r="F1051" t="s">
        <v>79</v>
      </c>
      <c r="G1051">
        <v>17</v>
      </c>
      <c r="H1051" t="s">
        <v>92</v>
      </c>
      <c r="I1051">
        <v>0</v>
      </c>
      <c r="J1051">
        <v>5000</v>
      </c>
      <c r="K1051" t="s">
        <v>79</v>
      </c>
      <c r="L1051">
        <v>16</v>
      </c>
      <c r="M1051">
        <v>767.15</v>
      </c>
      <c r="N1051">
        <v>33.6</v>
      </c>
      <c r="Q1051">
        <v>733.55</v>
      </c>
      <c r="V1051">
        <v>0</v>
      </c>
      <c r="W1051">
        <v>0</v>
      </c>
      <c r="AF1051">
        <v>0</v>
      </c>
      <c r="AG1051">
        <v>0</v>
      </c>
      <c r="AH1051">
        <v>0</v>
      </c>
      <c r="AI1051">
        <v>12</v>
      </c>
      <c r="AJ1051">
        <v>12</v>
      </c>
      <c r="AM1051">
        <v>0</v>
      </c>
      <c r="AN1051">
        <v>767.15</v>
      </c>
      <c r="AP1051">
        <v>35</v>
      </c>
    </row>
    <row r="1052" spans="1:42" x14ac:dyDescent="0.25">
      <c r="A1052" t="s">
        <v>45</v>
      </c>
      <c r="B1052">
        <v>3</v>
      </c>
      <c r="C1052" t="s">
        <v>473</v>
      </c>
      <c r="D1052" s="39">
        <v>45895</v>
      </c>
      <c r="E1052" t="s">
        <v>81</v>
      </c>
      <c r="K1052" t="s">
        <v>79</v>
      </c>
      <c r="L1052">
        <v>6</v>
      </c>
      <c r="M1052">
        <v>256.62</v>
      </c>
      <c r="N1052">
        <v>5.6</v>
      </c>
      <c r="Q1052">
        <v>251.02</v>
      </c>
      <c r="V1052">
        <v>0</v>
      </c>
      <c r="W1052">
        <v>0</v>
      </c>
      <c r="AF1052">
        <v>0</v>
      </c>
      <c r="AG1052">
        <v>0</v>
      </c>
      <c r="AH1052">
        <v>0</v>
      </c>
      <c r="AI1052">
        <v>12</v>
      </c>
      <c r="AJ1052">
        <v>12</v>
      </c>
      <c r="AM1052">
        <v>0</v>
      </c>
      <c r="AN1052">
        <v>256.62</v>
      </c>
      <c r="AP1052">
        <v>35</v>
      </c>
    </row>
    <row r="1053" spans="1:42" x14ac:dyDescent="0.25">
      <c r="A1053" t="s">
        <v>46</v>
      </c>
      <c r="B1053">
        <v>3</v>
      </c>
      <c r="C1053" t="s">
        <v>473</v>
      </c>
      <c r="D1053" s="39">
        <v>45895</v>
      </c>
      <c r="E1053" t="s">
        <v>81</v>
      </c>
      <c r="K1053" t="s">
        <v>79</v>
      </c>
      <c r="L1053">
        <v>6</v>
      </c>
      <c r="M1053">
        <v>218.17</v>
      </c>
      <c r="N1053">
        <v>5.4</v>
      </c>
      <c r="Q1053">
        <v>212.76999999999998</v>
      </c>
      <c r="S1053">
        <v>20</v>
      </c>
      <c r="V1053">
        <v>20</v>
      </c>
      <c r="W1053">
        <v>0.33333333333333331</v>
      </c>
      <c r="AF1053">
        <v>0</v>
      </c>
      <c r="AG1053">
        <v>0</v>
      </c>
      <c r="AH1053">
        <v>0.33333333333333331</v>
      </c>
      <c r="AI1053">
        <v>11.666666666666666</v>
      </c>
      <c r="AJ1053">
        <v>12</v>
      </c>
      <c r="AM1053">
        <v>0</v>
      </c>
      <c r="AN1053">
        <v>218.17</v>
      </c>
      <c r="AP1053">
        <v>35</v>
      </c>
    </row>
    <row r="1054" spans="1:42" x14ac:dyDescent="0.25">
      <c r="A1054" t="s">
        <v>46</v>
      </c>
      <c r="B1054">
        <v>3</v>
      </c>
      <c r="C1054" t="s">
        <v>83</v>
      </c>
      <c r="D1054" s="39">
        <v>45895</v>
      </c>
      <c r="E1054" t="s">
        <v>194</v>
      </c>
      <c r="F1054" t="s">
        <v>79</v>
      </c>
      <c r="G1054">
        <v>7</v>
      </c>
      <c r="H1054">
        <v>5</v>
      </c>
      <c r="I1054">
        <v>0</v>
      </c>
      <c r="J1054" t="s">
        <v>81</v>
      </c>
      <c r="K1054" t="s">
        <v>79</v>
      </c>
      <c r="L1054">
        <v>1</v>
      </c>
      <c r="M1054">
        <v>23.4</v>
      </c>
      <c r="N1054">
        <v>0.7</v>
      </c>
      <c r="Q1054">
        <v>22.7</v>
      </c>
      <c r="V1054">
        <v>0</v>
      </c>
      <c r="W1054">
        <v>0</v>
      </c>
      <c r="AF1054">
        <v>0</v>
      </c>
      <c r="AG1054">
        <v>0</v>
      </c>
      <c r="AH1054">
        <v>0</v>
      </c>
      <c r="AI1054">
        <v>12</v>
      </c>
      <c r="AJ1054">
        <v>12</v>
      </c>
      <c r="AM1054">
        <v>0</v>
      </c>
      <c r="AN1054">
        <v>23.4</v>
      </c>
      <c r="AP1054">
        <v>35</v>
      </c>
    </row>
    <row r="1055" spans="1:42" x14ac:dyDescent="0.25">
      <c r="A1055" t="s">
        <v>45</v>
      </c>
      <c r="B1055">
        <v>5</v>
      </c>
      <c r="C1055" t="s">
        <v>478</v>
      </c>
      <c r="D1055" s="39">
        <v>45895</v>
      </c>
      <c r="E1055" t="s">
        <v>282</v>
      </c>
      <c r="F1055" t="s">
        <v>79</v>
      </c>
      <c r="G1055">
        <v>11</v>
      </c>
      <c r="H1055">
        <v>6.5</v>
      </c>
      <c r="I1055">
        <v>0</v>
      </c>
      <c r="J1055">
        <v>800</v>
      </c>
      <c r="K1055" t="s">
        <v>79</v>
      </c>
      <c r="L1055">
        <v>12</v>
      </c>
      <c r="M1055">
        <v>516</v>
      </c>
      <c r="N1055">
        <v>16.080000000000002</v>
      </c>
      <c r="Q1055">
        <v>499.92</v>
      </c>
      <c r="V1055">
        <v>0</v>
      </c>
      <c r="W1055">
        <v>0</v>
      </c>
      <c r="AF1055">
        <v>0</v>
      </c>
      <c r="AG1055">
        <v>0</v>
      </c>
      <c r="AH1055">
        <v>0</v>
      </c>
      <c r="AI1055">
        <v>12</v>
      </c>
      <c r="AJ1055">
        <v>12</v>
      </c>
      <c r="AM1055">
        <v>0</v>
      </c>
      <c r="AN1055">
        <v>516</v>
      </c>
      <c r="AP1055">
        <v>35</v>
      </c>
    </row>
    <row r="1056" spans="1:42" x14ac:dyDescent="0.25">
      <c r="A1056" t="s">
        <v>46</v>
      </c>
      <c r="B1056">
        <v>5</v>
      </c>
      <c r="C1056" t="s">
        <v>478</v>
      </c>
      <c r="D1056" s="39">
        <v>45895</v>
      </c>
      <c r="E1056" t="s">
        <v>282</v>
      </c>
      <c r="F1056" t="s">
        <v>79</v>
      </c>
      <c r="G1056">
        <v>11</v>
      </c>
      <c r="H1056">
        <v>6.5</v>
      </c>
      <c r="I1056">
        <v>0</v>
      </c>
      <c r="J1056">
        <v>800</v>
      </c>
      <c r="K1056" t="s">
        <v>79</v>
      </c>
      <c r="L1056">
        <v>8</v>
      </c>
      <c r="M1056">
        <v>282.54000000000002</v>
      </c>
      <c r="N1056">
        <v>8.8000000000000007</v>
      </c>
      <c r="Q1056">
        <v>273.74</v>
      </c>
      <c r="V1056">
        <v>0</v>
      </c>
      <c r="W1056">
        <v>0</v>
      </c>
      <c r="AF1056">
        <v>0</v>
      </c>
      <c r="AG1056">
        <v>0</v>
      </c>
      <c r="AH1056">
        <v>0</v>
      </c>
      <c r="AI1056">
        <v>12</v>
      </c>
      <c r="AJ1056">
        <v>12</v>
      </c>
      <c r="AM1056">
        <v>0</v>
      </c>
      <c r="AN1056">
        <v>282.54000000000002</v>
      </c>
      <c r="AP1056">
        <v>35</v>
      </c>
    </row>
    <row r="1057" spans="1:42" x14ac:dyDescent="0.25">
      <c r="A1057" t="s">
        <v>46</v>
      </c>
      <c r="B1057">
        <v>5</v>
      </c>
      <c r="C1057" t="s">
        <v>481</v>
      </c>
      <c r="D1057" s="39">
        <v>45895</v>
      </c>
      <c r="E1057" t="s">
        <v>482</v>
      </c>
      <c r="F1057" t="s">
        <v>79</v>
      </c>
      <c r="G1057">
        <v>11</v>
      </c>
      <c r="H1057" t="s">
        <v>87</v>
      </c>
      <c r="I1057">
        <v>0</v>
      </c>
      <c r="J1057">
        <v>50</v>
      </c>
      <c r="K1057" t="s">
        <v>79</v>
      </c>
      <c r="L1057">
        <v>4</v>
      </c>
      <c r="M1057">
        <v>126.77999999999999</v>
      </c>
      <c r="N1057">
        <v>4.4000000000000004</v>
      </c>
      <c r="Q1057">
        <v>122.37999999999998</v>
      </c>
      <c r="V1057">
        <v>0</v>
      </c>
      <c r="W1057">
        <v>0</v>
      </c>
      <c r="AF1057">
        <v>0</v>
      </c>
      <c r="AG1057">
        <v>0</v>
      </c>
      <c r="AH1057">
        <v>0</v>
      </c>
      <c r="AI1057">
        <v>12</v>
      </c>
      <c r="AJ1057">
        <v>12</v>
      </c>
      <c r="AM1057">
        <v>0</v>
      </c>
      <c r="AN1057">
        <v>126.78</v>
      </c>
      <c r="AP1057">
        <v>35</v>
      </c>
    </row>
    <row r="1058" spans="1:42" x14ac:dyDescent="0.25">
      <c r="A1058" t="s">
        <v>46</v>
      </c>
      <c r="B1058">
        <v>5</v>
      </c>
      <c r="C1058" t="s">
        <v>483</v>
      </c>
      <c r="D1058" s="39">
        <v>45895</v>
      </c>
      <c r="E1058" t="s">
        <v>484</v>
      </c>
      <c r="F1058" t="s">
        <v>79</v>
      </c>
      <c r="G1058">
        <v>11</v>
      </c>
      <c r="H1058" t="s">
        <v>98</v>
      </c>
      <c r="I1058">
        <v>0</v>
      </c>
      <c r="J1058">
        <v>100</v>
      </c>
      <c r="K1058" t="s">
        <v>79</v>
      </c>
      <c r="L1058">
        <v>4</v>
      </c>
      <c r="M1058">
        <v>140.03</v>
      </c>
      <c r="N1058">
        <v>4.4000000000000004</v>
      </c>
      <c r="Q1058">
        <v>135.63</v>
      </c>
      <c r="V1058">
        <v>0</v>
      </c>
      <c r="W1058">
        <v>0</v>
      </c>
      <c r="AF1058">
        <v>0</v>
      </c>
      <c r="AG1058">
        <v>0</v>
      </c>
      <c r="AH1058">
        <v>0</v>
      </c>
      <c r="AI1058">
        <v>12</v>
      </c>
      <c r="AJ1058">
        <v>12</v>
      </c>
      <c r="AM1058">
        <v>0</v>
      </c>
      <c r="AN1058">
        <v>140.03</v>
      </c>
      <c r="AP1058">
        <v>35</v>
      </c>
    </row>
    <row r="1059" spans="1:42" x14ac:dyDescent="0.25">
      <c r="A1059" t="s">
        <v>45</v>
      </c>
      <c r="B1059">
        <v>1</v>
      </c>
      <c r="C1059" t="s">
        <v>77</v>
      </c>
      <c r="D1059" s="39">
        <v>45896</v>
      </c>
      <c r="E1059" t="s">
        <v>194</v>
      </c>
      <c r="F1059" t="s">
        <v>79</v>
      </c>
      <c r="G1059">
        <v>3</v>
      </c>
      <c r="H1059" t="s">
        <v>92</v>
      </c>
      <c r="I1059">
        <v>0</v>
      </c>
      <c r="J1059" t="s">
        <v>81</v>
      </c>
      <c r="K1059" t="s">
        <v>79</v>
      </c>
      <c r="L1059">
        <v>9</v>
      </c>
      <c r="M1059">
        <v>135.96</v>
      </c>
      <c r="N1059">
        <v>2.6999999999999997</v>
      </c>
      <c r="O1059">
        <v>28</v>
      </c>
      <c r="Q1059">
        <v>133.26000000000002</v>
      </c>
      <c r="V1059">
        <v>0</v>
      </c>
      <c r="W1059">
        <v>0</v>
      </c>
      <c r="AF1059">
        <v>0</v>
      </c>
      <c r="AG1059">
        <v>0</v>
      </c>
      <c r="AH1059">
        <v>0</v>
      </c>
      <c r="AI1059">
        <v>12</v>
      </c>
      <c r="AJ1059">
        <v>12</v>
      </c>
      <c r="AL1059">
        <v>2079.5</v>
      </c>
      <c r="AM1059">
        <v>0</v>
      </c>
      <c r="AN1059">
        <v>135.96</v>
      </c>
      <c r="AO1059">
        <v>398</v>
      </c>
      <c r="AP1059">
        <v>35</v>
      </c>
    </row>
    <row r="1060" spans="1:42" x14ac:dyDescent="0.25">
      <c r="A1060" t="s">
        <v>46</v>
      </c>
      <c r="B1060">
        <v>1</v>
      </c>
      <c r="C1060" t="s">
        <v>77</v>
      </c>
      <c r="D1060" s="39">
        <v>45896</v>
      </c>
      <c r="E1060" t="s">
        <v>194</v>
      </c>
      <c r="F1060" t="s">
        <v>79</v>
      </c>
      <c r="G1060">
        <v>3</v>
      </c>
      <c r="H1060" t="s">
        <v>92</v>
      </c>
      <c r="I1060">
        <v>0</v>
      </c>
      <c r="J1060" t="s">
        <v>81</v>
      </c>
      <c r="K1060" t="s">
        <v>79</v>
      </c>
      <c r="L1060">
        <v>10</v>
      </c>
      <c r="M1060">
        <v>143.16</v>
      </c>
      <c r="N1060">
        <v>3</v>
      </c>
      <c r="O1060">
        <v>30</v>
      </c>
      <c r="Q1060">
        <v>140.16</v>
      </c>
      <c r="V1060">
        <v>0</v>
      </c>
      <c r="W1060">
        <v>0</v>
      </c>
      <c r="AF1060">
        <v>0</v>
      </c>
      <c r="AG1060">
        <v>0</v>
      </c>
      <c r="AH1060">
        <v>0</v>
      </c>
      <c r="AI1060">
        <v>12</v>
      </c>
      <c r="AJ1060">
        <v>12</v>
      </c>
      <c r="AM1060">
        <v>0</v>
      </c>
      <c r="AN1060">
        <v>143.16</v>
      </c>
      <c r="AP1060">
        <v>35</v>
      </c>
    </row>
    <row r="1061" spans="1:42" x14ac:dyDescent="0.25">
      <c r="A1061" t="s">
        <v>45</v>
      </c>
      <c r="B1061">
        <v>2</v>
      </c>
      <c r="C1061" t="s">
        <v>91</v>
      </c>
      <c r="D1061" s="39">
        <v>45896</v>
      </c>
      <c r="E1061" t="s">
        <v>194</v>
      </c>
      <c r="F1061" t="s">
        <v>79</v>
      </c>
      <c r="G1061">
        <v>4</v>
      </c>
      <c r="H1061" t="s">
        <v>92</v>
      </c>
      <c r="I1061">
        <v>0</v>
      </c>
      <c r="J1061" t="s">
        <v>81</v>
      </c>
      <c r="K1061" t="s">
        <v>79</v>
      </c>
      <c r="L1061">
        <v>4</v>
      </c>
      <c r="M1061">
        <v>64.13</v>
      </c>
      <c r="N1061">
        <v>1.6</v>
      </c>
      <c r="Q1061">
        <v>62.529999999999994</v>
      </c>
      <c r="V1061">
        <v>0</v>
      </c>
      <c r="W1061">
        <v>0</v>
      </c>
      <c r="Z1061">
        <v>435</v>
      </c>
      <c r="AF1061">
        <v>435</v>
      </c>
      <c r="AG1061">
        <v>7.25</v>
      </c>
      <c r="AH1061">
        <v>7.25</v>
      </c>
      <c r="AI1061">
        <v>4.75</v>
      </c>
      <c r="AJ1061">
        <v>12</v>
      </c>
      <c r="AM1061">
        <v>0</v>
      </c>
      <c r="AN1061">
        <v>64.13</v>
      </c>
      <c r="AP1061">
        <v>35</v>
      </c>
    </row>
    <row r="1062" spans="1:42" x14ac:dyDescent="0.25">
      <c r="A1062" t="s">
        <v>46</v>
      </c>
      <c r="B1062">
        <v>2</v>
      </c>
      <c r="C1062" t="s">
        <v>91</v>
      </c>
      <c r="D1062" s="39">
        <v>45896</v>
      </c>
      <c r="E1062" t="s">
        <v>194</v>
      </c>
      <c r="F1062" t="s">
        <v>79</v>
      </c>
      <c r="G1062">
        <v>4</v>
      </c>
      <c r="H1062" t="s">
        <v>92</v>
      </c>
      <c r="I1062">
        <v>0</v>
      </c>
      <c r="J1062" t="s">
        <v>81</v>
      </c>
      <c r="K1062" t="s">
        <v>79</v>
      </c>
      <c r="L1062">
        <v>10</v>
      </c>
      <c r="M1062">
        <v>151.88</v>
      </c>
      <c r="N1062">
        <v>4</v>
      </c>
      <c r="Q1062">
        <v>147.88</v>
      </c>
      <c r="V1062">
        <v>0</v>
      </c>
      <c r="W1062">
        <v>0</v>
      </c>
      <c r="AF1062">
        <v>0</v>
      </c>
      <c r="AG1062">
        <v>0</v>
      </c>
      <c r="AH1062">
        <v>0</v>
      </c>
      <c r="AI1062">
        <v>12</v>
      </c>
      <c r="AJ1062">
        <v>12</v>
      </c>
      <c r="AM1062">
        <v>0</v>
      </c>
      <c r="AN1062">
        <v>151.88</v>
      </c>
      <c r="AP1062">
        <v>35</v>
      </c>
    </row>
    <row r="1063" spans="1:42" x14ac:dyDescent="0.25">
      <c r="A1063" t="s">
        <v>45</v>
      </c>
      <c r="B1063">
        <v>3</v>
      </c>
      <c r="C1063" t="s">
        <v>485</v>
      </c>
      <c r="D1063" s="39">
        <v>45896</v>
      </c>
      <c r="E1063" t="s">
        <v>486</v>
      </c>
      <c r="F1063" t="s">
        <v>79</v>
      </c>
      <c r="G1063">
        <v>10</v>
      </c>
      <c r="H1063">
        <v>5</v>
      </c>
      <c r="I1063">
        <v>0</v>
      </c>
      <c r="J1063">
        <v>2000</v>
      </c>
      <c r="K1063" t="s">
        <v>79</v>
      </c>
      <c r="L1063">
        <v>9</v>
      </c>
      <c r="M1063">
        <v>230.04000000000002</v>
      </c>
      <c r="N1063">
        <v>7.2</v>
      </c>
      <c r="Q1063">
        <v>222.84000000000003</v>
      </c>
      <c r="V1063">
        <v>0</v>
      </c>
      <c r="W1063">
        <v>0</v>
      </c>
      <c r="AF1063">
        <v>0</v>
      </c>
      <c r="AG1063">
        <v>0</v>
      </c>
      <c r="AH1063">
        <v>0</v>
      </c>
      <c r="AI1063">
        <v>12</v>
      </c>
      <c r="AJ1063">
        <v>12</v>
      </c>
      <c r="AM1063">
        <v>0</v>
      </c>
      <c r="AN1063">
        <v>230.04</v>
      </c>
      <c r="AP1063">
        <v>35</v>
      </c>
    </row>
    <row r="1064" spans="1:42" x14ac:dyDescent="0.25">
      <c r="A1064" t="s">
        <v>46</v>
      </c>
      <c r="B1064">
        <v>3</v>
      </c>
      <c r="C1064" t="s">
        <v>485</v>
      </c>
      <c r="D1064" s="39">
        <v>45896</v>
      </c>
      <c r="E1064" t="s">
        <v>486</v>
      </c>
      <c r="F1064" t="s">
        <v>79</v>
      </c>
      <c r="G1064">
        <v>10</v>
      </c>
      <c r="H1064">
        <v>5</v>
      </c>
      <c r="I1064">
        <v>0</v>
      </c>
      <c r="J1064">
        <v>2000</v>
      </c>
      <c r="K1064" t="s">
        <v>79</v>
      </c>
      <c r="L1064">
        <v>8</v>
      </c>
      <c r="M1064">
        <v>205.57</v>
      </c>
      <c r="N1064">
        <v>5.6</v>
      </c>
      <c r="Q1064">
        <v>199.97</v>
      </c>
      <c r="V1064">
        <v>0</v>
      </c>
      <c r="W1064">
        <v>0</v>
      </c>
      <c r="AF1064">
        <v>0</v>
      </c>
      <c r="AG1064">
        <v>0</v>
      </c>
      <c r="AH1064">
        <v>0</v>
      </c>
      <c r="AI1064">
        <v>12</v>
      </c>
      <c r="AJ1064">
        <v>12</v>
      </c>
      <c r="AM1064">
        <v>0</v>
      </c>
      <c r="AN1064">
        <v>205.57</v>
      </c>
      <c r="AP1064">
        <v>35</v>
      </c>
    </row>
    <row r="1065" spans="1:42" x14ac:dyDescent="0.25">
      <c r="A1065" t="s">
        <v>45</v>
      </c>
      <c r="B1065">
        <v>4</v>
      </c>
      <c r="C1065" t="s">
        <v>480</v>
      </c>
      <c r="D1065" s="39">
        <v>45896</v>
      </c>
      <c r="E1065" t="s">
        <v>396</v>
      </c>
      <c r="F1065" t="s">
        <v>79</v>
      </c>
      <c r="G1065">
        <v>17</v>
      </c>
      <c r="H1065" t="s">
        <v>92</v>
      </c>
      <c r="I1065">
        <v>0</v>
      </c>
      <c r="J1065">
        <v>5000</v>
      </c>
      <c r="K1065" t="s">
        <v>79</v>
      </c>
      <c r="L1065">
        <v>16</v>
      </c>
      <c r="M1065">
        <v>879.55</v>
      </c>
      <c r="N1065">
        <v>39.64</v>
      </c>
      <c r="Q1065">
        <v>839.91</v>
      </c>
      <c r="V1065">
        <v>0</v>
      </c>
      <c r="W1065">
        <v>0</v>
      </c>
      <c r="AF1065">
        <v>0</v>
      </c>
      <c r="AG1065">
        <v>0</v>
      </c>
      <c r="AH1065">
        <v>0</v>
      </c>
      <c r="AI1065">
        <v>12</v>
      </c>
      <c r="AJ1065">
        <v>12</v>
      </c>
      <c r="AM1065">
        <v>0</v>
      </c>
      <c r="AN1065">
        <v>879.55</v>
      </c>
      <c r="AP1065">
        <v>35</v>
      </c>
    </row>
    <row r="1066" spans="1:42" x14ac:dyDescent="0.25">
      <c r="A1066" t="s">
        <v>46</v>
      </c>
      <c r="B1066">
        <v>4</v>
      </c>
      <c r="C1066" t="s">
        <v>480</v>
      </c>
      <c r="D1066" s="39">
        <v>45896</v>
      </c>
      <c r="E1066" t="s">
        <v>396</v>
      </c>
      <c r="F1066" t="s">
        <v>79</v>
      </c>
      <c r="G1066">
        <v>17</v>
      </c>
      <c r="H1066" t="s">
        <v>92</v>
      </c>
      <c r="I1066">
        <v>0</v>
      </c>
      <c r="J1066">
        <v>5000</v>
      </c>
      <c r="K1066" t="s">
        <v>79</v>
      </c>
      <c r="L1066">
        <v>16</v>
      </c>
      <c r="M1066">
        <v>806.92</v>
      </c>
      <c r="N1066">
        <v>25.5</v>
      </c>
      <c r="Q1066">
        <v>781.42</v>
      </c>
      <c r="V1066">
        <v>0</v>
      </c>
      <c r="W1066">
        <v>0</v>
      </c>
      <c r="AF1066">
        <v>0</v>
      </c>
      <c r="AG1066">
        <v>0</v>
      </c>
      <c r="AH1066">
        <v>0</v>
      </c>
      <c r="AI1066">
        <v>12</v>
      </c>
      <c r="AJ1066">
        <v>12</v>
      </c>
      <c r="AM1066">
        <v>0</v>
      </c>
      <c r="AN1066">
        <v>806.92</v>
      </c>
      <c r="AP1066">
        <v>35</v>
      </c>
    </row>
    <row r="1067" spans="1:42" x14ac:dyDescent="0.25">
      <c r="A1067" t="s">
        <v>45</v>
      </c>
      <c r="B1067">
        <v>5</v>
      </c>
      <c r="C1067" t="s">
        <v>483</v>
      </c>
      <c r="D1067" s="39">
        <v>45896</v>
      </c>
      <c r="E1067" t="s">
        <v>484</v>
      </c>
      <c r="F1067" t="s">
        <v>79</v>
      </c>
      <c r="G1067">
        <v>11</v>
      </c>
      <c r="H1067" t="s">
        <v>98</v>
      </c>
      <c r="I1067">
        <v>0</v>
      </c>
      <c r="J1067">
        <v>100</v>
      </c>
      <c r="K1067" t="s">
        <v>79</v>
      </c>
      <c r="L1067">
        <v>2</v>
      </c>
      <c r="M1067">
        <v>86.82</v>
      </c>
      <c r="N1067">
        <v>2.4</v>
      </c>
      <c r="Q1067">
        <v>84.419999999999987</v>
      </c>
      <c r="V1067">
        <v>0</v>
      </c>
      <c r="W1067">
        <v>0</v>
      </c>
      <c r="AF1067">
        <v>0</v>
      </c>
      <c r="AG1067">
        <v>0</v>
      </c>
      <c r="AH1067">
        <v>0</v>
      </c>
      <c r="AI1067">
        <v>12</v>
      </c>
      <c r="AJ1067">
        <v>12</v>
      </c>
      <c r="AM1067">
        <v>0</v>
      </c>
      <c r="AN1067">
        <v>86.82</v>
      </c>
      <c r="AP1067">
        <v>35</v>
      </c>
    </row>
    <row r="1068" spans="1:42" x14ac:dyDescent="0.25">
      <c r="A1068" t="s">
        <v>45</v>
      </c>
      <c r="B1068">
        <v>5</v>
      </c>
      <c r="C1068" t="s">
        <v>487</v>
      </c>
      <c r="D1068" s="39">
        <v>45896</v>
      </c>
      <c r="E1068" t="s">
        <v>486</v>
      </c>
      <c r="F1068" t="s">
        <v>79</v>
      </c>
      <c r="G1068">
        <v>12</v>
      </c>
      <c r="H1068">
        <v>5</v>
      </c>
      <c r="I1068">
        <v>0</v>
      </c>
      <c r="J1068">
        <v>2000</v>
      </c>
      <c r="K1068" t="s">
        <v>79</v>
      </c>
      <c r="L1068">
        <v>9</v>
      </c>
      <c r="M1068">
        <v>462.76</v>
      </c>
      <c r="N1068">
        <v>13.5</v>
      </c>
      <c r="Q1068">
        <v>449.26</v>
      </c>
      <c r="V1068">
        <v>0</v>
      </c>
      <c r="W1068">
        <v>0</v>
      </c>
      <c r="AF1068">
        <v>0</v>
      </c>
      <c r="AG1068">
        <v>0</v>
      </c>
      <c r="AH1068">
        <v>0</v>
      </c>
      <c r="AI1068">
        <v>12</v>
      </c>
      <c r="AJ1068">
        <v>12</v>
      </c>
      <c r="AM1068">
        <v>0</v>
      </c>
      <c r="AN1068">
        <v>462.76</v>
      </c>
      <c r="AP1068">
        <v>35</v>
      </c>
    </row>
    <row r="1069" spans="1:42" x14ac:dyDescent="0.25">
      <c r="A1069" t="s">
        <v>46</v>
      </c>
      <c r="B1069">
        <v>5</v>
      </c>
      <c r="C1069" t="s">
        <v>487</v>
      </c>
      <c r="D1069" s="39">
        <v>45896</v>
      </c>
      <c r="E1069" t="s">
        <v>486</v>
      </c>
      <c r="F1069" t="s">
        <v>79</v>
      </c>
      <c r="G1069">
        <v>12</v>
      </c>
      <c r="H1069">
        <v>5</v>
      </c>
      <c r="I1069">
        <v>0</v>
      </c>
      <c r="J1069">
        <v>2000</v>
      </c>
      <c r="K1069" t="s">
        <v>79</v>
      </c>
      <c r="L1069">
        <v>14</v>
      </c>
      <c r="M1069">
        <v>573.99</v>
      </c>
      <c r="N1069">
        <v>21</v>
      </c>
      <c r="Q1069">
        <v>552.99</v>
      </c>
      <c r="V1069">
        <v>0</v>
      </c>
      <c r="W1069">
        <v>0</v>
      </c>
      <c r="AF1069">
        <v>0</v>
      </c>
      <c r="AG1069">
        <v>0</v>
      </c>
      <c r="AH1069">
        <v>0</v>
      </c>
      <c r="AI1069">
        <v>12</v>
      </c>
      <c r="AJ1069">
        <v>12</v>
      </c>
      <c r="AM1069">
        <v>0</v>
      </c>
      <c r="AN1069">
        <v>573.99</v>
      </c>
      <c r="AP1069">
        <v>35</v>
      </c>
    </row>
    <row r="1070" spans="1:42" x14ac:dyDescent="0.25">
      <c r="A1070" t="s">
        <v>45</v>
      </c>
      <c r="B1070">
        <v>1</v>
      </c>
      <c r="C1070" t="s">
        <v>77</v>
      </c>
      <c r="D1070" s="39">
        <v>45897</v>
      </c>
      <c r="E1070" t="s">
        <v>194</v>
      </c>
      <c r="F1070" t="s">
        <v>79</v>
      </c>
      <c r="G1070">
        <v>3</v>
      </c>
      <c r="H1070" t="s">
        <v>92</v>
      </c>
      <c r="I1070">
        <v>0</v>
      </c>
      <c r="J1070" t="s">
        <v>81</v>
      </c>
      <c r="K1070" t="s">
        <v>79</v>
      </c>
      <c r="L1070">
        <v>7</v>
      </c>
      <c r="M1070">
        <v>112.93</v>
      </c>
      <c r="N1070">
        <v>2.1</v>
      </c>
      <c r="O1070">
        <v>36</v>
      </c>
      <c r="Q1070">
        <v>110.83000000000001</v>
      </c>
      <c r="S1070">
        <v>15</v>
      </c>
      <c r="V1070">
        <v>15</v>
      </c>
      <c r="W1070">
        <v>0.25</v>
      </c>
      <c r="AF1070">
        <v>0</v>
      </c>
      <c r="AG1070">
        <v>0</v>
      </c>
      <c r="AH1070">
        <v>0.25</v>
      </c>
      <c r="AI1070">
        <v>11.75</v>
      </c>
      <c r="AJ1070">
        <v>12</v>
      </c>
      <c r="AL1070">
        <v>2039</v>
      </c>
      <c r="AM1070">
        <v>0</v>
      </c>
      <c r="AN1070">
        <v>112.93</v>
      </c>
      <c r="AO1070">
        <v>398</v>
      </c>
      <c r="AP1070">
        <v>35</v>
      </c>
    </row>
    <row r="1071" spans="1:42" x14ac:dyDescent="0.25">
      <c r="A1071" t="s">
        <v>45</v>
      </c>
      <c r="B1071">
        <v>1</v>
      </c>
      <c r="C1071" t="s">
        <v>488</v>
      </c>
      <c r="D1071" s="39">
        <v>45897</v>
      </c>
      <c r="E1071" t="s">
        <v>486</v>
      </c>
      <c r="F1071" t="s">
        <v>79</v>
      </c>
      <c r="G1071">
        <v>5</v>
      </c>
      <c r="H1071" t="s">
        <v>92</v>
      </c>
      <c r="I1071">
        <v>0</v>
      </c>
      <c r="J1071">
        <v>500</v>
      </c>
      <c r="K1071" t="s">
        <v>79</v>
      </c>
      <c r="L1071">
        <v>1</v>
      </c>
      <c r="M1071">
        <v>17.8</v>
      </c>
      <c r="N1071">
        <v>0.5</v>
      </c>
      <c r="Q1071">
        <v>17.3</v>
      </c>
      <c r="V1071">
        <v>0</v>
      </c>
      <c r="W1071">
        <v>0</v>
      </c>
      <c r="AF1071">
        <v>0</v>
      </c>
      <c r="AG1071">
        <v>0</v>
      </c>
      <c r="AH1071">
        <v>0</v>
      </c>
      <c r="AI1071">
        <v>12</v>
      </c>
      <c r="AJ1071">
        <v>12</v>
      </c>
      <c r="AM1071">
        <v>0</v>
      </c>
      <c r="AN1071">
        <v>17.8</v>
      </c>
      <c r="AP1071">
        <v>35</v>
      </c>
    </row>
    <row r="1072" spans="1:42" x14ac:dyDescent="0.25">
      <c r="A1072" t="s">
        <v>46</v>
      </c>
      <c r="B1072">
        <v>1</v>
      </c>
      <c r="C1072" t="s">
        <v>488</v>
      </c>
      <c r="D1072" s="39">
        <v>45897</v>
      </c>
      <c r="E1072" t="s">
        <v>486</v>
      </c>
      <c r="F1072" t="s">
        <v>79</v>
      </c>
      <c r="G1072">
        <v>5</v>
      </c>
      <c r="H1072" t="s">
        <v>92</v>
      </c>
      <c r="I1072">
        <v>0</v>
      </c>
      <c r="J1072">
        <v>500</v>
      </c>
      <c r="K1072" t="s">
        <v>79</v>
      </c>
      <c r="L1072">
        <v>9</v>
      </c>
      <c r="M1072">
        <v>178.62</v>
      </c>
      <c r="N1072">
        <v>4.5</v>
      </c>
      <c r="O1072">
        <v>39</v>
      </c>
      <c r="Q1072">
        <v>174.12</v>
      </c>
      <c r="V1072">
        <v>0</v>
      </c>
      <c r="W1072">
        <v>0</v>
      </c>
      <c r="AF1072">
        <v>0</v>
      </c>
      <c r="AG1072">
        <v>0</v>
      </c>
      <c r="AH1072">
        <v>0</v>
      </c>
      <c r="AI1072">
        <v>12</v>
      </c>
      <c r="AJ1072">
        <v>12</v>
      </c>
      <c r="AM1072">
        <v>0</v>
      </c>
      <c r="AN1072">
        <v>178.62</v>
      </c>
      <c r="AP1072">
        <v>35</v>
      </c>
    </row>
    <row r="1073" spans="1:42" x14ac:dyDescent="0.25">
      <c r="A1073" t="s">
        <v>45</v>
      </c>
      <c r="B1073">
        <v>2</v>
      </c>
      <c r="C1073" t="s">
        <v>91</v>
      </c>
      <c r="D1073" s="39">
        <v>45897</v>
      </c>
      <c r="E1073" t="s">
        <v>194</v>
      </c>
      <c r="F1073" t="s">
        <v>79</v>
      </c>
      <c r="G1073">
        <v>4</v>
      </c>
      <c r="H1073" t="s">
        <v>92</v>
      </c>
      <c r="I1073">
        <v>0</v>
      </c>
      <c r="J1073" t="s">
        <v>81</v>
      </c>
      <c r="K1073" t="s">
        <v>79</v>
      </c>
      <c r="L1073">
        <v>11</v>
      </c>
      <c r="M1073">
        <v>156.01</v>
      </c>
      <c r="N1073">
        <v>4.4000000000000004</v>
      </c>
      <c r="Q1073">
        <v>151.60999999999999</v>
      </c>
      <c r="V1073">
        <v>0</v>
      </c>
      <c r="W1073">
        <v>0</v>
      </c>
      <c r="AF1073">
        <v>0</v>
      </c>
      <c r="AG1073">
        <v>0</v>
      </c>
      <c r="AH1073">
        <v>0</v>
      </c>
      <c r="AI1073">
        <v>12</v>
      </c>
      <c r="AJ1073">
        <v>12</v>
      </c>
      <c r="AM1073">
        <v>0</v>
      </c>
      <c r="AN1073">
        <v>156.01</v>
      </c>
      <c r="AP1073">
        <v>35</v>
      </c>
    </row>
    <row r="1074" spans="1:42" x14ac:dyDescent="0.25">
      <c r="A1074" t="s">
        <v>46</v>
      </c>
      <c r="B1074">
        <v>2</v>
      </c>
      <c r="C1074" t="s">
        <v>91</v>
      </c>
      <c r="D1074" s="39">
        <v>45897</v>
      </c>
      <c r="E1074" t="s">
        <v>194</v>
      </c>
      <c r="F1074" t="s">
        <v>79</v>
      </c>
      <c r="G1074">
        <v>4</v>
      </c>
      <c r="H1074" t="s">
        <v>92</v>
      </c>
      <c r="I1074">
        <v>0</v>
      </c>
      <c r="J1074" t="s">
        <v>81</v>
      </c>
      <c r="K1074" t="s">
        <v>79</v>
      </c>
      <c r="L1074">
        <v>9</v>
      </c>
      <c r="M1074">
        <v>135.28</v>
      </c>
      <c r="N1074">
        <v>3.6</v>
      </c>
      <c r="Q1074">
        <v>131.68</v>
      </c>
      <c r="V1074">
        <v>0</v>
      </c>
      <c r="W1074">
        <v>0</v>
      </c>
      <c r="AF1074">
        <v>0</v>
      </c>
      <c r="AG1074">
        <v>0</v>
      </c>
      <c r="AH1074">
        <v>0</v>
      </c>
      <c r="AI1074">
        <v>12</v>
      </c>
      <c r="AJ1074">
        <v>12</v>
      </c>
      <c r="AM1074">
        <v>0</v>
      </c>
      <c r="AN1074">
        <v>135.28</v>
      </c>
      <c r="AP1074">
        <v>35</v>
      </c>
    </row>
    <row r="1075" spans="1:42" x14ac:dyDescent="0.25">
      <c r="A1075" t="s">
        <v>45</v>
      </c>
      <c r="B1075">
        <v>3</v>
      </c>
      <c r="C1075" t="s">
        <v>485</v>
      </c>
      <c r="D1075" s="39">
        <v>45897</v>
      </c>
      <c r="E1075" t="s">
        <v>486</v>
      </c>
      <c r="F1075" t="s">
        <v>79</v>
      </c>
      <c r="G1075">
        <v>10</v>
      </c>
      <c r="H1075">
        <v>5</v>
      </c>
      <c r="I1075">
        <v>0</v>
      </c>
      <c r="J1075">
        <v>2000</v>
      </c>
      <c r="K1075" t="s">
        <v>79</v>
      </c>
      <c r="L1075">
        <v>9</v>
      </c>
      <c r="M1075">
        <v>269.2</v>
      </c>
      <c r="N1075">
        <v>7.2</v>
      </c>
      <c r="Q1075">
        <v>262</v>
      </c>
      <c r="V1075">
        <v>0</v>
      </c>
      <c r="W1075">
        <v>0</v>
      </c>
      <c r="AF1075">
        <v>0</v>
      </c>
      <c r="AG1075">
        <v>0</v>
      </c>
      <c r="AH1075">
        <v>0</v>
      </c>
      <c r="AI1075">
        <v>12</v>
      </c>
      <c r="AJ1075">
        <v>12</v>
      </c>
      <c r="AM1075">
        <v>0</v>
      </c>
      <c r="AN1075">
        <v>269.2</v>
      </c>
      <c r="AP1075">
        <v>35</v>
      </c>
    </row>
    <row r="1076" spans="1:42" x14ac:dyDescent="0.25">
      <c r="A1076" t="s">
        <v>46</v>
      </c>
      <c r="B1076">
        <v>3</v>
      </c>
      <c r="C1076" t="s">
        <v>485</v>
      </c>
      <c r="D1076" s="39">
        <v>45897</v>
      </c>
      <c r="E1076" t="s">
        <v>486</v>
      </c>
      <c r="F1076" t="s">
        <v>79</v>
      </c>
      <c r="G1076">
        <v>10</v>
      </c>
      <c r="H1076">
        <v>5</v>
      </c>
      <c r="I1076">
        <v>0</v>
      </c>
      <c r="J1076">
        <v>2000</v>
      </c>
      <c r="K1076" t="s">
        <v>79</v>
      </c>
      <c r="L1076">
        <v>7</v>
      </c>
      <c r="M1076">
        <v>184.08999999999997</v>
      </c>
      <c r="N1076">
        <v>4.8999999999999995</v>
      </c>
      <c r="Q1076">
        <v>179.18999999999997</v>
      </c>
      <c r="V1076">
        <v>0</v>
      </c>
      <c r="W1076">
        <v>0</v>
      </c>
      <c r="AF1076">
        <v>0</v>
      </c>
      <c r="AG1076">
        <v>0</v>
      </c>
      <c r="AH1076">
        <v>0</v>
      </c>
      <c r="AI1076">
        <v>12</v>
      </c>
      <c r="AJ1076">
        <v>12</v>
      </c>
      <c r="AM1076">
        <v>0</v>
      </c>
      <c r="AN1076">
        <v>184.08999999999995</v>
      </c>
      <c r="AP1076">
        <v>35</v>
      </c>
    </row>
    <row r="1077" spans="1:42" x14ac:dyDescent="0.25">
      <c r="A1077" t="s">
        <v>45</v>
      </c>
      <c r="B1077">
        <v>4</v>
      </c>
      <c r="C1077" t="s">
        <v>480</v>
      </c>
      <c r="D1077" s="39">
        <v>45897</v>
      </c>
      <c r="E1077" t="s">
        <v>396</v>
      </c>
      <c r="F1077" t="s">
        <v>79</v>
      </c>
      <c r="G1077">
        <v>17</v>
      </c>
      <c r="H1077" t="s">
        <v>92</v>
      </c>
      <c r="I1077">
        <v>0</v>
      </c>
      <c r="J1077">
        <v>5000</v>
      </c>
      <c r="K1077" t="s">
        <v>79</v>
      </c>
      <c r="L1077">
        <v>4</v>
      </c>
      <c r="M1077">
        <v>206.85000000000002</v>
      </c>
      <c r="N1077">
        <v>7.9</v>
      </c>
      <c r="Q1077">
        <v>198.95000000000002</v>
      </c>
      <c r="S1077">
        <v>20</v>
      </c>
      <c r="V1077">
        <v>20</v>
      </c>
      <c r="W1077">
        <v>0.33333333333333331</v>
      </c>
      <c r="AD1077">
        <v>30</v>
      </c>
      <c r="AF1077">
        <v>30</v>
      </c>
      <c r="AG1077">
        <v>0.5</v>
      </c>
      <c r="AH1077">
        <v>0.83333333333333326</v>
      </c>
      <c r="AI1077">
        <v>11.166666666666666</v>
      </c>
      <c r="AJ1077">
        <v>12</v>
      </c>
      <c r="AM1077">
        <v>0</v>
      </c>
      <c r="AN1077">
        <v>206.85</v>
      </c>
      <c r="AP1077">
        <v>35</v>
      </c>
    </row>
    <row r="1078" spans="1:42" x14ac:dyDescent="0.25">
      <c r="A1078" t="s">
        <v>45</v>
      </c>
      <c r="B1078">
        <v>4</v>
      </c>
      <c r="C1078" t="s">
        <v>489</v>
      </c>
      <c r="D1078" s="39">
        <v>45897</v>
      </c>
      <c r="E1078" t="s">
        <v>200</v>
      </c>
      <c r="F1078" t="s">
        <v>79</v>
      </c>
      <c r="G1078">
        <v>18</v>
      </c>
      <c r="H1078">
        <v>6</v>
      </c>
      <c r="I1078">
        <v>0</v>
      </c>
      <c r="J1078">
        <v>250</v>
      </c>
      <c r="K1078" t="s">
        <v>79</v>
      </c>
      <c r="L1078">
        <v>7</v>
      </c>
      <c r="M1078">
        <v>416.07000000000005</v>
      </c>
      <c r="N1078">
        <v>15.400000000000002</v>
      </c>
      <c r="Q1078">
        <v>400.67000000000007</v>
      </c>
      <c r="V1078">
        <v>0</v>
      </c>
      <c r="W1078">
        <v>0</v>
      </c>
      <c r="AF1078">
        <v>0</v>
      </c>
      <c r="AG1078">
        <v>0</v>
      </c>
      <c r="AH1078">
        <v>0</v>
      </c>
      <c r="AI1078">
        <v>12</v>
      </c>
      <c r="AJ1078">
        <v>12</v>
      </c>
      <c r="AM1078">
        <v>0</v>
      </c>
      <c r="AN1078">
        <v>416.07000000000011</v>
      </c>
      <c r="AP1078">
        <v>35</v>
      </c>
    </row>
    <row r="1079" spans="1:42" x14ac:dyDescent="0.25">
      <c r="A1079" t="s">
        <v>45</v>
      </c>
      <c r="B1079">
        <v>4</v>
      </c>
      <c r="C1079" t="s">
        <v>490</v>
      </c>
      <c r="D1079" s="39">
        <v>45897</v>
      </c>
      <c r="E1079" t="s">
        <v>491</v>
      </c>
      <c r="F1079" t="s">
        <v>79</v>
      </c>
      <c r="G1079">
        <v>18</v>
      </c>
      <c r="H1079" t="s">
        <v>134</v>
      </c>
      <c r="I1079" t="s">
        <v>114</v>
      </c>
      <c r="J1079">
        <v>100</v>
      </c>
      <c r="K1079" t="s">
        <v>79</v>
      </c>
      <c r="L1079">
        <v>2</v>
      </c>
      <c r="M1079">
        <v>110.03999999999999</v>
      </c>
      <c r="N1079">
        <v>4.25</v>
      </c>
      <c r="Q1079">
        <v>105.78999999999999</v>
      </c>
      <c r="V1079">
        <v>0</v>
      </c>
      <c r="W1079">
        <v>0</v>
      </c>
      <c r="AF1079">
        <v>0</v>
      </c>
      <c r="AG1079">
        <v>0</v>
      </c>
      <c r="AH1079">
        <v>0</v>
      </c>
      <c r="AI1079">
        <v>12</v>
      </c>
      <c r="AJ1079">
        <v>12</v>
      </c>
      <c r="AM1079">
        <v>0</v>
      </c>
      <c r="AN1079">
        <v>110.04</v>
      </c>
      <c r="AP1079">
        <v>35</v>
      </c>
    </row>
    <row r="1080" spans="1:42" x14ac:dyDescent="0.25">
      <c r="A1080" t="s">
        <v>45</v>
      </c>
      <c r="B1080">
        <v>4</v>
      </c>
      <c r="C1080" t="s">
        <v>492</v>
      </c>
      <c r="D1080" s="39">
        <v>45897</v>
      </c>
      <c r="E1080" t="s">
        <v>493</v>
      </c>
      <c r="F1080" t="s">
        <v>79</v>
      </c>
      <c r="G1080" t="s">
        <v>141</v>
      </c>
      <c r="H1080" t="s">
        <v>122</v>
      </c>
      <c r="I1080" t="s">
        <v>99</v>
      </c>
      <c r="J1080">
        <v>150</v>
      </c>
      <c r="K1080" t="s">
        <v>79</v>
      </c>
      <c r="L1080">
        <v>2</v>
      </c>
      <c r="M1080">
        <v>80.039999999999992</v>
      </c>
      <c r="N1080">
        <v>4</v>
      </c>
      <c r="Q1080">
        <v>76.039999999999992</v>
      </c>
      <c r="V1080">
        <v>0</v>
      </c>
      <c r="W1080">
        <v>0</v>
      </c>
      <c r="AF1080">
        <v>0</v>
      </c>
      <c r="AG1080">
        <v>0</v>
      </c>
      <c r="AH1080">
        <v>0</v>
      </c>
      <c r="AI1080">
        <v>12</v>
      </c>
      <c r="AJ1080">
        <v>12</v>
      </c>
      <c r="AM1080">
        <v>0</v>
      </c>
      <c r="AN1080">
        <v>80.040000000000006</v>
      </c>
      <c r="AP1080">
        <v>35</v>
      </c>
    </row>
    <row r="1081" spans="1:42" x14ac:dyDescent="0.25">
      <c r="A1081" t="s">
        <v>46</v>
      </c>
      <c r="B1081">
        <v>4</v>
      </c>
      <c r="C1081" t="s">
        <v>492</v>
      </c>
      <c r="D1081" s="39">
        <v>45897</v>
      </c>
      <c r="E1081" t="s">
        <v>493</v>
      </c>
      <c r="F1081" t="s">
        <v>79</v>
      </c>
      <c r="G1081" t="s">
        <v>141</v>
      </c>
      <c r="H1081" t="s">
        <v>122</v>
      </c>
      <c r="I1081" t="s">
        <v>99</v>
      </c>
      <c r="J1081">
        <v>150</v>
      </c>
      <c r="K1081" t="s">
        <v>79</v>
      </c>
      <c r="L1081">
        <v>2</v>
      </c>
      <c r="M1081">
        <v>72.919999999999987</v>
      </c>
      <c r="N1081">
        <v>3.6</v>
      </c>
      <c r="Q1081">
        <v>69.319999999999993</v>
      </c>
      <c r="S1081">
        <v>20</v>
      </c>
      <c r="V1081">
        <v>20</v>
      </c>
      <c r="W1081">
        <v>0.33333333333333331</v>
      </c>
      <c r="Z1081">
        <v>10</v>
      </c>
      <c r="AF1081">
        <v>10</v>
      </c>
      <c r="AG1081">
        <v>0.16666666666666666</v>
      </c>
      <c r="AH1081">
        <v>0.5</v>
      </c>
      <c r="AI1081">
        <v>11.5</v>
      </c>
      <c r="AJ1081">
        <v>12</v>
      </c>
      <c r="AM1081">
        <v>0</v>
      </c>
      <c r="AN1081">
        <v>72.919999999999987</v>
      </c>
      <c r="AP1081">
        <v>35</v>
      </c>
    </row>
    <row r="1082" spans="1:42" x14ac:dyDescent="0.25">
      <c r="A1082" t="s">
        <v>46</v>
      </c>
      <c r="B1082">
        <v>4</v>
      </c>
      <c r="C1082" t="s">
        <v>494</v>
      </c>
      <c r="D1082" s="39">
        <v>45897</v>
      </c>
      <c r="E1082" t="s">
        <v>200</v>
      </c>
      <c r="F1082" t="s">
        <v>79</v>
      </c>
      <c r="G1082">
        <v>22</v>
      </c>
      <c r="H1082">
        <v>6</v>
      </c>
      <c r="I1082">
        <v>0</v>
      </c>
      <c r="J1082">
        <v>250</v>
      </c>
      <c r="K1082" t="s">
        <v>79</v>
      </c>
      <c r="L1082">
        <v>5</v>
      </c>
      <c r="M1082">
        <v>266.89999999999998</v>
      </c>
      <c r="N1082">
        <v>11</v>
      </c>
      <c r="Q1082">
        <v>255.89999999999998</v>
      </c>
      <c r="V1082">
        <v>0</v>
      </c>
      <c r="W1082">
        <v>0</v>
      </c>
      <c r="AF1082">
        <v>0</v>
      </c>
      <c r="AG1082">
        <v>0</v>
      </c>
      <c r="AH1082">
        <v>0</v>
      </c>
      <c r="AI1082">
        <v>12</v>
      </c>
      <c r="AJ1082">
        <v>12</v>
      </c>
      <c r="AM1082">
        <v>0</v>
      </c>
      <c r="AN1082">
        <v>266.89999999999998</v>
      </c>
      <c r="AP1082">
        <v>35</v>
      </c>
    </row>
    <row r="1083" spans="1:42" x14ac:dyDescent="0.25">
      <c r="A1083" t="s">
        <v>46</v>
      </c>
      <c r="B1083">
        <v>4</v>
      </c>
      <c r="C1083" t="s">
        <v>366</v>
      </c>
      <c r="D1083" s="39">
        <v>45897</v>
      </c>
      <c r="E1083" t="s">
        <v>276</v>
      </c>
      <c r="F1083" t="s">
        <v>79</v>
      </c>
      <c r="G1083">
        <v>18</v>
      </c>
      <c r="H1083" t="s">
        <v>113</v>
      </c>
      <c r="I1083" t="s">
        <v>114</v>
      </c>
      <c r="J1083">
        <v>500</v>
      </c>
      <c r="K1083" t="s">
        <v>79</v>
      </c>
      <c r="L1083">
        <v>3</v>
      </c>
      <c r="M1083">
        <v>135.97</v>
      </c>
      <c r="N1083">
        <v>5.4</v>
      </c>
      <c r="Q1083">
        <v>130.57</v>
      </c>
      <c r="V1083">
        <v>0</v>
      </c>
      <c r="W1083">
        <v>0</v>
      </c>
      <c r="AF1083">
        <v>0</v>
      </c>
      <c r="AG1083">
        <v>0</v>
      </c>
      <c r="AH1083">
        <v>0</v>
      </c>
      <c r="AI1083">
        <v>12</v>
      </c>
      <c r="AJ1083">
        <v>12</v>
      </c>
      <c r="AM1083">
        <v>0</v>
      </c>
      <c r="AN1083">
        <v>135.97</v>
      </c>
      <c r="AP1083">
        <v>35</v>
      </c>
    </row>
    <row r="1084" spans="1:42" x14ac:dyDescent="0.25">
      <c r="A1084" t="s">
        <v>46</v>
      </c>
      <c r="B1084">
        <v>4</v>
      </c>
      <c r="C1084" t="s">
        <v>495</v>
      </c>
      <c r="D1084" s="39">
        <v>45897</v>
      </c>
      <c r="E1084" t="s">
        <v>493</v>
      </c>
      <c r="F1084" t="s">
        <v>79</v>
      </c>
      <c r="G1084" t="s">
        <v>141</v>
      </c>
      <c r="H1084" t="s">
        <v>122</v>
      </c>
      <c r="I1084" t="s">
        <v>99</v>
      </c>
      <c r="J1084">
        <v>150</v>
      </c>
      <c r="K1084" t="s">
        <v>79</v>
      </c>
      <c r="L1084">
        <v>4</v>
      </c>
      <c r="M1084">
        <v>147.52000000000001</v>
      </c>
      <c r="N1084">
        <v>7.2</v>
      </c>
      <c r="Q1084">
        <v>140.32000000000002</v>
      </c>
      <c r="V1084">
        <v>0</v>
      </c>
      <c r="W1084">
        <v>0</v>
      </c>
      <c r="AF1084">
        <v>0</v>
      </c>
      <c r="AG1084">
        <v>0</v>
      </c>
      <c r="AH1084">
        <v>0</v>
      </c>
      <c r="AI1084">
        <v>12</v>
      </c>
      <c r="AJ1084">
        <v>12</v>
      </c>
      <c r="AM1084">
        <v>0</v>
      </c>
      <c r="AN1084">
        <v>147.52000000000001</v>
      </c>
      <c r="AP1084">
        <v>35</v>
      </c>
    </row>
    <row r="1085" spans="1:42" x14ac:dyDescent="0.25">
      <c r="A1085" t="s">
        <v>45</v>
      </c>
      <c r="B1085">
        <v>5</v>
      </c>
      <c r="C1085" t="s">
        <v>487</v>
      </c>
      <c r="D1085" s="39">
        <v>45897</v>
      </c>
      <c r="E1085" t="s">
        <v>486</v>
      </c>
      <c r="F1085" t="s">
        <v>79</v>
      </c>
      <c r="G1085">
        <v>12</v>
      </c>
      <c r="H1085">
        <v>5</v>
      </c>
      <c r="I1085">
        <v>0</v>
      </c>
      <c r="J1085">
        <v>2000</v>
      </c>
      <c r="K1085" t="s">
        <v>79</v>
      </c>
      <c r="L1085">
        <v>11</v>
      </c>
      <c r="M1085">
        <v>523.78000000000009</v>
      </c>
      <c r="N1085">
        <v>16.5</v>
      </c>
      <c r="Q1085">
        <v>507.28000000000009</v>
      </c>
      <c r="V1085">
        <v>0</v>
      </c>
      <c r="W1085">
        <v>0</v>
      </c>
      <c r="AF1085">
        <v>0</v>
      </c>
      <c r="AG1085">
        <v>0</v>
      </c>
      <c r="AH1085">
        <v>0</v>
      </c>
      <c r="AI1085">
        <v>12</v>
      </c>
      <c r="AJ1085">
        <v>12</v>
      </c>
      <c r="AM1085">
        <v>0</v>
      </c>
      <c r="AN1085">
        <v>523.78000000000009</v>
      </c>
      <c r="AP1085">
        <v>35</v>
      </c>
    </row>
    <row r="1086" spans="1:42" x14ac:dyDescent="0.25">
      <c r="A1086" t="s">
        <v>45</v>
      </c>
      <c r="B1086">
        <v>5</v>
      </c>
      <c r="C1086" t="s">
        <v>496</v>
      </c>
      <c r="D1086" s="39">
        <v>45897</v>
      </c>
      <c r="E1086" t="s">
        <v>482</v>
      </c>
      <c r="F1086" t="s">
        <v>79</v>
      </c>
      <c r="G1086">
        <v>12</v>
      </c>
      <c r="H1086" t="s">
        <v>87</v>
      </c>
      <c r="I1086">
        <v>0</v>
      </c>
      <c r="J1086">
        <v>50</v>
      </c>
      <c r="K1086" t="s">
        <v>79</v>
      </c>
      <c r="L1086">
        <v>1</v>
      </c>
      <c r="M1086">
        <v>62.83</v>
      </c>
      <c r="N1086">
        <v>1.5</v>
      </c>
      <c r="Q1086">
        <v>61.33</v>
      </c>
      <c r="V1086">
        <v>0</v>
      </c>
      <c r="W1086">
        <v>0</v>
      </c>
      <c r="AF1086">
        <v>0</v>
      </c>
      <c r="AG1086">
        <v>0</v>
      </c>
      <c r="AH1086">
        <v>0</v>
      </c>
      <c r="AI1086">
        <v>12</v>
      </c>
      <c r="AJ1086">
        <v>12</v>
      </c>
      <c r="AM1086">
        <v>0</v>
      </c>
      <c r="AN1086">
        <v>62.83</v>
      </c>
      <c r="AP1086">
        <v>35</v>
      </c>
    </row>
    <row r="1087" spans="1:42" x14ac:dyDescent="0.25">
      <c r="A1087" t="s">
        <v>46</v>
      </c>
      <c r="B1087">
        <v>5</v>
      </c>
      <c r="C1087" t="s">
        <v>487</v>
      </c>
      <c r="D1087" s="39">
        <v>45897</v>
      </c>
      <c r="E1087" t="s">
        <v>486</v>
      </c>
      <c r="F1087" t="s">
        <v>79</v>
      </c>
      <c r="G1087">
        <v>12</v>
      </c>
      <c r="H1087">
        <v>5</v>
      </c>
      <c r="I1087">
        <v>0</v>
      </c>
      <c r="J1087">
        <v>2000</v>
      </c>
      <c r="K1087" t="s">
        <v>79</v>
      </c>
      <c r="L1087">
        <v>12</v>
      </c>
      <c r="M1087">
        <v>499.94000000000005</v>
      </c>
      <c r="N1087">
        <v>14.399999999999999</v>
      </c>
      <c r="Q1087">
        <v>485.54000000000008</v>
      </c>
      <c r="V1087">
        <v>0</v>
      </c>
      <c r="W1087">
        <v>0</v>
      </c>
      <c r="AF1087">
        <v>0</v>
      </c>
      <c r="AG1087">
        <v>0</v>
      </c>
      <c r="AH1087">
        <v>0</v>
      </c>
      <c r="AI1087">
        <v>12</v>
      </c>
      <c r="AJ1087">
        <v>12</v>
      </c>
      <c r="AM1087">
        <v>0</v>
      </c>
      <c r="AN1087">
        <v>499.94000000000005</v>
      </c>
      <c r="AP1087">
        <v>35</v>
      </c>
    </row>
    <row r="1088" spans="1:42" x14ac:dyDescent="0.25">
      <c r="A1088" t="s">
        <v>45</v>
      </c>
      <c r="B1088">
        <v>1</v>
      </c>
      <c r="C1088" t="s">
        <v>488</v>
      </c>
      <c r="D1088" s="39">
        <v>45898</v>
      </c>
      <c r="E1088" t="s">
        <v>486</v>
      </c>
      <c r="F1088" t="s">
        <v>79</v>
      </c>
      <c r="G1088">
        <v>5</v>
      </c>
      <c r="H1088" t="s">
        <v>92</v>
      </c>
      <c r="I1088">
        <v>0</v>
      </c>
      <c r="J1088">
        <v>500</v>
      </c>
      <c r="K1088" t="s">
        <v>79</v>
      </c>
      <c r="L1088">
        <v>7</v>
      </c>
      <c r="M1088">
        <v>167.82</v>
      </c>
      <c r="N1088">
        <v>3.5</v>
      </c>
      <c r="O1088">
        <v>34.5</v>
      </c>
      <c r="Q1088">
        <v>164.32</v>
      </c>
      <c r="V1088">
        <v>0</v>
      </c>
      <c r="W1088">
        <v>0</v>
      </c>
      <c r="AF1088">
        <v>0</v>
      </c>
      <c r="AG1088">
        <v>0</v>
      </c>
      <c r="AH1088">
        <v>0</v>
      </c>
      <c r="AI1088">
        <v>12</v>
      </c>
      <c r="AJ1088">
        <v>12</v>
      </c>
      <c r="AL1088">
        <v>2091</v>
      </c>
      <c r="AM1088">
        <v>0</v>
      </c>
      <c r="AN1088">
        <v>167.82</v>
      </c>
      <c r="AO1088">
        <v>398</v>
      </c>
      <c r="AP1088">
        <v>35</v>
      </c>
    </row>
    <row r="1089" spans="1:42" x14ac:dyDescent="0.25">
      <c r="A1089" t="s">
        <v>46</v>
      </c>
      <c r="B1089">
        <v>1</v>
      </c>
      <c r="C1089" t="s">
        <v>488</v>
      </c>
      <c r="D1089" s="39">
        <v>45898</v>
      </c>
      <c r="E1089" t="s">
        <v>486</v>
      </c>
      <c r="F1089" t="s">
        <v>79</v>
      </c>
      <c r="G1089">
        <v>5</v>
      </c>
      <c r="H1089" t="s">
        <v>92</v>
      </c>
      <c r="I1089">
        <v>0</v>
      </c>
      <c r="J1089">
        <v>500</v>
      </c>
      <c r="K1089" t="s">
        <v>79</v>
      </c>
      <c r="L1089">
        <v>9</v>
      </c>
      <c r="M1089">
        <v>149.97999999999999</v>
      </c>
      <c r="N1089">
        <v>4.5</v>
      </c>
      <c r="O1089">
        <v>45.5</v>
      </c>
      <c r="Q1089">
        <v>145.47999999999999</v>
      </c>
      <c r="V1089">
        <v>0</v>
      </c>
      <c r="W1089">
        <v>0</v>
      </c>
      <c r="AF1089">
        <v>0</v>
      </c>
      <c r="AG1089">
        <v>0</v>
      </c>
      <c r="AH1089">
        <v>0</v>
      </c>
      <c r="AI1089">
        <v>12</v>
      </c>
      <c r="AJ1089">
        <v>12</v>
      </c>
      <c r="AM1089">
        <v>0</v>
      </c>
      <c r="AN1089">
        <v>149.97999999999999</v>
      </c>
      <c r="AP1089">
        <v>35</v>
      </c>
    </row>
    <row r="1090" spans="1:42" x14ac:dyDescent="0.25">
      <c r="A1090" t="s">
        <v>45</v>
      </c>
      <c r="B1090">
        <v>2</v>
      </c>
      <c r="C1090" t="s">
        <v>91</v>
      </c>
      <c r="D1090" s="39">
        <v>45898</v>
      </c>
      <c r="E1090" t="s">
        <v>194</v>
      </c>
      <c r="F1090" t="s">
        <v>79</v>
      </c>
      <c r="G1090">
        <v>4</v>
      </c>
      <c r="H1090" t="s">
        <v>92</v>
      </c>
      <c r="I1090">
        <v>0</v>
      </c>
      <c r="J1090" t="s">
        <v>81</v>
      </c>
      <c r="K1090" t="s">
        <v>79</v>
      </c>
      <c r="L1090">
        <v>9</v>
      </c>
      <c r="M1090">
        <v>152.89000000000001</v>
      </c>
      <c r="N1090">
        <v>3.6</v>
      </c>
      <c r="Q1090">
        <v>149.29000000000002</v>
      </c>
      <c r="V1090">
        <v>0</v>
      </c>
      <c r="W1090">
        <v>0</v>
      </c>
      <c r="AF1090">
        <v>0</v>
      </c>
      <c r="AG1090">
        <v>0</v>
      </c>
      <c r="AH1090">
        <v>0</v>
      </c>
      <c r="AI1090">
        <v>12</v>
      </c>
      <c r="AJ1090">
        <v>12</v>
      </c>
      <c r="AM1090">
        <v>0</v>
      </c>
      <c r="AN1090">
        <v>152.88999999999999</v>
      </c>
      <c r="AP1090">
        <v>35</v>
      </c>
    </row>
    <row r="1091" spans="1:42" x14ac:dyDescent="0.25">
      <c r="A1091" t="s">
        <v>46</v>
      </c>
      <c r="B1091">
        <v>2</v>
      </c>
      <c r="C1091" t="s">
        <v>91</v>
      </c>
      <c r="D1091" s="39">
        <v>45898</v>
      </c>
      <c r="E1091" t="s">
        <v>194</v>
      </c>
      <c r="F1091" t="s">
        <v>79</v>
      </c>
      <c r="G1091">
        <v>4</v>
      </c>
      <c r="H1091" t="s">
        <v>92</v>
      </c>
      <c r="I1091">
        <v>0</v>
      </c>
      <c r="J1091" t="s">
        <v>81</v>
      </c>
      <c r="K1091" t="s">
        <v>79</v>
      </c>
      <c r="L1091">
        <v>10</v>
      </c>
      <c r="M1091">
        <v>140.44999999999999</v>
      </c>
      <c r="N1091">
        <v>4</v>
      </c>
      <c r="Q1091">
        <v>136.44999999999999</v>
      </c>
      <c r="V1091">
        <v>0</v>
      </c>
      <c r="W1091">
        <v>0</v>
      </c>
      <c r="AF1091">
        <v>0</v>
      </c>
      <c r="AG1091">
        <v>0</v>
      </c>
      <c r="AH1091">
        <v>0</v>
      </c>
      <c r="AI1091">
        <v>12</v>
      </c>
      <c r="AJ1091">
        <v>12</v>
      </c>
      <c r="AM1091">
        <v>0</v>
      </c>
      <c r="AN1091">
        <v>140.44999999999999</v>
      </c>
      <c r="AP1091">
        <v>35</v>
      </c>
    </row>
    <row r="1092" spans="1:42" x14ac:dyDescent="0.25">
      <c r="A1092" t="s">
        <v>45</v>
      </c>
      <c r="B1092">
        <v>3</v>
      </c>
      <c r="C1092" t="s">
        <v>497</v>
      </c>
      <c r="D1092" s="39">
        <v>45898</v>
      </c>
      <c r="E1092" t="s">
        <v>486</v>
      </c>
      <c r="F1092" t="s">
        <v>79</v>
      </c>
      <c r="G1092">
        <v>7</v>
      </c>
      <c r="H1092">
        <v>5</v>
      </c>
      <c r="I1092">
        <v>0</v>
      </c>
      <c r="J1092">
        <v>500</v>
      </c>
      <c r="K1092" t="s">
        <v>79</v>
      </c>
      <c r="L1092">
        <v>4</v>
      </c>
      <c r="M1092">
        <v>141.69</v>
      </c>
      <c r="N1092">
        <v>3.2</v>
      </c>
      <c r="Q1092">
        <v>138.49</v>
      </c>
      <c r="S1092">
        <v>15</v>
      </c>
      <c r="V1092">
        <v>15</v>
      </c>
      <c r="W1092">
        <v>0.25</v>
      </c>
      <c r="AF1092">
        <v>0</v>
      </c>
      <c r="AG1092">
        <v>0</v>
      </c>
      <c r="AH1092">
        <v>0.25</v>
      </c>
      <c r="AI1092">
        <v>11.75</v>
      </c>
      <c r="AJ1092">
        <v>12</v>
      </c>
      <c r="AM1092">
        <v>0</v>
      </c>
      <c r="AN1092">
        <v>141.69</v>
      </c>
      <c r="AP1092">
        <v>35</v>
      </c>
    </row>
    <row r="1093" spans="1:42" x14ac:dyDescent="0.25">
      <c r="A1093" t="s">
        <v>45</v>
      </c>
      <c r="B1093">
        <v>3</v>
      </c>
      <c r="C1093" t="s">
        <v>498</v>
      </c>
      <c r="D1093" s="39">
        <v>45898</v>
      </c>
      <c r="E1093" t="s">
        <v>416</v>
      </c>
      <c r="F1093" t="s">
        <v>79</v>
      </c>
      <c r="G1093">
        <v>8</v>
      </c>
      <c r="H1093">
        <v>4.5</v>
      </c>
      <c r="I1093">
        <v>0</v>
      </c>
      <c r="J1093">
        <v>100</v>
      </c>
      <c r="K1093" t="s">
        <v>79</v>
      </c>
      <c r="L1093">
        <v>3</v>
      </c>
      <c r="M1093">
        <v>86.98</v>
      </c>
      <c r="N1093">
        <v>3</v>
      </c>
      <c r="Q1093">
        <v>83.98</v>
      </c>
      <c r="V1093">
        <v>0</v>
      </c>
      <c r="W1093">
        <v>0</v>
      </c>
      <c r="AF1093">
        <v>0</v>
      </c>
      <c r="AG1093">
        <v>0</v>
      </c>
      <c r="AH1093">
        <v>0</v>
      </c>
      <c r="AI1093">
        <v>12</v>
      </c>
      <c r="AJ1093">
        <v>12</v>
      </c>
      <c r="AM1093">
        <v>0</v>
      </c>
      <c r="AN1093">
        <v>86.98</v>
      </c>
      <c r="AP1093">
        <v>35</v>
      </c>
    </row>
    <row r="1094" spans="1:42" x14ac:dyDescent="0.25">
      <c r="A1094" t="s">
        <v>46</v>
      </c>
      <c r="B1094">
        <v>3</v>
      </c>
      <c r="C1094" t="s">
        <v>498</v>
      </c>
      <c r="D1094" s="39">
        <v>45898</v>
      </c>
      <c r="E1094" t="s">
        <v>416</v>
      </c>
      <c r="F1094" t="s">
        <v>79</v>
      </c>
      <c r="G1094">
        <v>8</v>
      </c>
      <c r="H1094">
        <v>4.5</v>
      </c>
      <c r="I1094">
        <v>0</v>
      </c>
      <c r="J1094">
        <v>100</v>
      </c>
      <c r="K1094" t="s">
        <v>79</v>
      </c>
      <c r="L1094">
        <v>8</v>
      </c>
      <c r="M1094">
        <v>265.26</v>
      </c>
      <c r="N1094">
        <v>6.4</v>
      </c>
      <c r="Q1094">
        <v>258.86</v>
      </c>
      <c r="V1094">
        <v>0</v>
      </c>
      <c r="W1094">
        <v>0</v>
      </c>
      <c r="AF1094">
        <v>0</v>
      </c>
      <c r="AG1094">
        <v>0</v>
      </c>
      <c r="AH1094">
        <v>0</v>
      </c>
      <c r="AI1094">
        <v>12</v>
      </c>
      <c r="AJ1094">
        <v>12</v>
      </c>
      <c r="AM1094">
        <v>0</v>
      </c>
      <c r="AN1094">
        <v>265.26</v>
      </c>
      <c r="AP1094">
        <v>35</v>
      </c>
    </row>
    <row r="1095" spans="1:42" x14ac:dyDescent="0.25">
      <c r="A1095" t="s">
        <v>45</v>
      </c>
      <c r="B1095">
        <v>4</v>
      </c>
      <c r="C1095" t="s">
        <v>499</v>
      </c>
      <c r="D1095" s="39">
        <v>45898</v>
      </c>
      <c r="E1095" t="s">
        <v>493</v>
      </c>
      <c r="F1095" t="s">
        <v>79</v>
      </c>
      <c r="G1095" t="s">
        <v>125</v>
      </c>
      <c r="H1095" t="s">
        <v>122</v>
      </c>
      <c r="I1095" t="s">
        <v>99</v>
      </c>
      <c r="J1095">
        <v>150</v>
      </c>
      <c r="K1095" t="s">
        <v>79</v>
      </c>
      <c r="L1095">
        <v>5</v>
      </c>
      <c r="M1095">
        <v>238.36</v>
      </c>
      <c r="N1095">
        <v>13.58</v>
      </c>
      <c r="Q1095">
        <v>224.78</v>
      </c>
      <c r="V1095">
        <v>0</v>
      </c>
      <c r="W1095">
        <v>0</v>
      </c>
      <c r="AF1095">
        <v>0</v>
      </c>
      <c r="AG1095">
        <v>0</v>
      </c>
      <c r="AH1095">
        <v>0</v>
      </c>
      <c r="AI1095">
        <v>12</v>
      </c>
      <c r="AJ1095">
        <v>12</v>
      </c>
      <c r="AM1095">
        <v>0</v>
      </c>
      <c r="AN1095">
        <v>238.36</v>
      </c>
      <c r="AP1095">
        <v>35</v>
      </c>
    </row>
    <row r="1096" spans="1:42" x14ac:dyDescent="0.25">
      <c r="A1096" t="s">
        <v>45</v>
      </c>
      <c r="B1096">
        <v>4</v>
      </c>
      <c r="C1096" t="s">
        <v>500</v>
      </c>
      <c r="D1096" s="39">
        <v>45898</v>
      </c>
      <c r="E1096" t="s">
        <v>276</v>
      </c>
      <c r="F1096" t="s">
        <v>79</v>
      </c>
      <c r="G1096">
        <v>18</v>
      </c>
      <c r="H1096" t="s">
        <v>113</v>
      </c>
      <c r="I1096" t="s">
        <v>114</v>
      </c>
      <c r="J1096">
        <v>0</v>
      </c>
      <c r="K1096" t="s">
        <v>79</v>
      </c>
      <c r="L1096">
        <v>9</v>
      </c>
      <c r="M1096">
        <v>478.80999999999995</v>
      </c>
      <c r="N1096">
        <v>19.079999999999998</v>
      </c>
      <c r="Q1096">
        <v>459.72999999999996</v>
      </c>
      <c r="S1096">
        <v>30</v>
      </c>
      <c r="V1096">
        <v>30</v>
      </c>
      <c r="W1096">
        <v>0.5</v>
      </c>
      <c r="AF1096">
        <v>0</v>
      </c>
      <c r="AG1096">
        <v>0</v>
      </c>
      <c r="AH1096">
        <v>0.5</v>
      </c>
      <c r="AI1096">
        <v>11.5</v>
      </c>
      <c r="AJ1096">
        <v>12</v>
      </c>
      <c r="AM1096">
        <v>0</v>
      </c>
      <c r="AN1096">
        <v>478.80999999999995</v>
      </c>
      <c r="AP1096">
        <v>35</v>
      </c>
    </row>
    <row r="1097" spans="1:42" x14ac:dyDescent="0.25">
      <c r="A1097" t="s">
        <v>45</v>
      </c>
      <c r="B1097">
        <v>4</v>
      </c>
      <c r="C1097" t="s">
        <v>501</v>
      </c>
      <c r="D1097" s="39">
        <v>45898</v>
      </c>
      <c r="E1097" t="s">
        <v>493</v>
      </c>
      <c r="F1097" t="s">
        <v>79</v>
      </c>
      <c r="G1097" t="s">
        <v>125</v>
      </c>
      <c r="H1097" t="s">
        <v>122</v>
      </c>
      <c r="I1097" t="s">
        <v>99</v>
      </c>
      <c r="J1097">
        <v>150</v>
      </c>
      <c r="K1097" t="s">
        <v>79</v>
      </c>
      <c r="L1097">
        <v>4</v>
      </c>
      <c r="M1097">
        <v>140.94999999999999</v>
      </c>
      <c r="N1097">
        <v>11.1</v>
      </c>
      <c r="Q1097">
        <v>129.85</v>
      </c>
      <c r="V1097">
        <v>0</v>
      </c>
      <c r="W1097">
        <v>0</v>
      </c>
      <c r="AF1097">
        <v>0</v>
      </c>
      <c r="AG1097">
        <v>0</v>
      </c>
      <c r="AH1097">
        <v>0</v>
      </c>
      <c r="AI1097">
        <v>12</v>
      </c>
      <c r="AJ1097">
        <v>12</v>
      </c>
      <c r="AM1097">
        <v>0</v>
      </c>
      <c r="AN1097">
        <v>140.94999999999999</v>
      </c>
      <c r="AP1097">
        <v>35</v>
      </c>
    </row>
    <row r="1098" spans="1:42" x14ac:dyDescent="0.25">
      <c r="A1098" t="s">
        <v>46</v>
      </c>
      <c r="B1098">
        <v>4</v>
      </c>
      <c r="C1098" t="s">
        <v>500</v>
      </c>
      <c r="D1098" s="39">
        <v>45898</v>
      </c>
      <c r="E1098" t="s">
        <v>276</v>
      </c>
      <c r="F1098" t="s">
        <v>79</v>
      </c>
      <c r="G1098">
        <v>18</v>
      </c>
      <c r="H1098" t="s">
        <v>113</v>
      </c>
      <c r="I1098" t="s">
        <v>114</v>
      </c>
      <c r="J1098">
        <v>0</v>
      </c>
      <c r="K1098" t="s">
        <v>79</v>
      </c>
      <c r="L1098">
        <v>14</v>
      </c>
      <c r="M1098">
        <v>711.71</v>
      </c>
      <c r="N1098">
        <v>25.2</v>
      </c>
      <c r="Q1098">
        <v>686.51</v>
      </c>
      <c r="V1098">
        <v>0</v>
      </c>
      <c r="W1098">
        <v>0</v>
      </c>
      <c r="AF1098">
        <v>0</v>
      </c>
      <c r="AG1098">
        <v>0</v>
      </c>
      <c r="AH1098">
        <v>0</v>
      </c>
      <c r="AI1098">
        <v>12</v>
      </c>
      <c r="AJ1098">
        <v>12</v>
      </c>
      <c r="AM1098">
        <v>0</v>
      </c>
      <c r="AN1098">
        <v>711.71</v>
      </c>
      <c r="AP1098">
        <v>35</v>
      </c>
    </row>
    <row r="1099" spans="1:42" x14ac:dyDescent="0.25">
      <c r="A1099" t="s">
        <v>45</v>
      </c>
      <c r="B1099">
        <v>5</v>
      </c>
      <c r="C1099" t="s">
        <v>487</v>
      </c>
      <c r="D1099" s="39">
        <v>45898</v>
      </c>
      <c r="E1099" t="s">
        <v>486</v>
      </c>
      <c r="F1099" t="s">
        <v>79</v>
      </c>
      <c r="G1099">
        <v>12</v>
      </c>
      <c r="H1099">
        <v>5</v>
      </c>
      <c r="I1099">
        <v>0</v>
      </c>
      <c r="J1099">
        <v>2000</v>
      </c>
      <c r="K1099" t="s">
        <v>79</v>
      </c>
      <c r="L1099">
        <v>3</v>
      </c>
      <c r="M1099">
        <v>160.81</v>
      </c>
      <c r="N1099">
        <v>4.5</v>
      </c>
      <c r="Q1099">
        <v>156.31</v>
      </c>
      <c r="S1099">
        <v>2</v>
      </c>
      <c r="V1099">
        <v>2</v>
      </c>
      <c r="W1099">
        <v>3.3333333333333333E-2</v>
      </c>
      <c r="AF1099">
        <v>0</v>
      </c>
      <c r="AG1099">
        <v>0</v>
      </c>
      <c r="AH1099">
        <v>3.3333333333333333E-2</v>
      </c>
      <c r="AI1099">
        <v>11.966666666666669</v>
      </c>
      <c r="AJ1099">
        <v>12</v>
      </c>
      <c r="AM1099">
        <v>0</v>
      </c>
      <c r="AN1099">
        <v>160.81</v>
      </c>
      <c r="AP1099">
        <v>35</v>
      </c>
    </row>
    <row r="1100" spans="1:42" x14ac:dyDescent="0.25">
      <c r="A1100" t="s">
        <v>45</v>
      </c>
      <c r="B1100">
        <v>5</v>
      </c>
      <c r="C1100" t="s">
        <v>502</v>
      </c>
      <c r="D1100" s="39">
        <v>45898</v>
      </c>
      <c r="E1100" t="s">
        <v>486</v>
      </c>
      <c r="F1100" t="s">
        <v>79</v>
      </c>
      <c r="G1100">
        <v>11</v>
      </c>
      <c r="H1100" t="s">
        <v>113</v>
      </c>
      <c r="I1100">
        <v>0</v>
      </c>
      <c r="J1100">
        <v>1000</v>
      </c>
      <c r="K1100" t="s">
        <v>79</v>
      </c>
      <c r="L1100">
        <v>8</v>
      </c>
      <c r="M1100">
        <v>378.60999999999996</v>
      </c>
      <c r="N1100">
        <v>10.750000000000002</v>
      </c>
      <c r="Q1100">
        <v>367.85999999999996</v>
      </c>
      <c r="V1100">
        <v>0</v>
      </c>
      <c r="W1100">
        <v>0</v>
      </c>
      <c r="AF1100">
        <v>0</v>
      </c>
      <c r="AG1100">
        <v>0</v>
      </c>
      <c r="AH1100">
        <v>0</v>
      </c>
      <c r="AI1100">
        <v>12</v>
      </c>
      <c r="AJ1100">
        <v>12</v>
      </c>
      <c r="AM1100">
        <v>0</v>
      </c>
      <c r="AN1100">
        <v>378.61</v>
      </c>
      <c r="AP1100">
        <v>35</v>
      </c>
    </row>
    <row r="1101" spans="1:42" x14ac:dyDescent="0.25">
      <c r="A1101" t="s">
        <v>46</v>
      </c>
      <c r="B1101">
        <v>5</v>
      </c>
      <c r="C1101" t="s">
        <v>502</v>
      </c>
      <c r="D1101" s="39">
        <v>45898</v>
      </c>
      <c r="E1101" t="s">
        <v>486</v>
      </c>
      <c r="F1101" t="s">
        <v>79</v>
      </c>
      <c r="G1101">
        <v>11</v>
      </c>
      <c r="H1101" t="s">
        <v>113</v>
      </c>
      <c r="I1101">
        <v>0</v>
      </c>
      <c r="J1101">
        <v>1000</v>
      </c>
      <c r="K1101" t="s">
        <v>79</v>
      </c>
      <c r="L1101">
        <v>10</v>
      </c>
      <c r="M1101">
        <v>467.48</v>
      </c>
      <c r="N1101">
        <v>12.5</v>
      </c>
      <c r="Q1101">
        <v>454.98</v>
      </c>
      <c r="V1101">
        <v>0</v>
      </c>
      <c r="W1101">
        <v>0</v>
      </c>
      <c r="Z1101">
        <v>30</v>
      </c>
      <c r="AD1101">
        <v>30</v>
      </c>
      <c r="AF1101">
        <v>60</v>
      </c>
      <c r="AG1101">
        <v>1</v>
      </c>
      <c r="AH1101">
        <v>1</v>
      </c>
      <c r="AI1101">
        <v>11</v>
      </c>
      <c r="AJ1101">
        <v>12</v>
      </c>
      <c r="AM1101">
        <v>0</v>
      </c>
      <c r="AN1101">
        <v>467.48</v>
      </c>
      <c r="AP1101">
        <v>35</v>
      </c>
    </row>
    <row r="1102" spans="1:42" x14ac:dyDescent="0.25">
      <c r="A1102" t="s">
        <v>45</v>
      </c>
      <c r="B1102">
        <v>1</v>
      </c>
      <c r="C1102" t="s">
        <v>488</v>
      </c>
      <c r="D1102" s="39">
        <v>45899</v>
      </c>
      <c r="E1102" t="s">
        <v>486</v>
      </c>
      <c r="F1102" t="s">
        <v>79</v>
      </c>
      <c r="G1102">
        <v>5</v>
      </c>
      <c r="H1102" t="s">
        <v>92</v>
      </c>
      <c r="I1102">
        <v>0</v>
      </c>
      <c r="J1102">
        <v>500</v>
      </c>
      <c r="K1102" t="s">
        <v>79</v>
      </c>
      <c r="L1102">
        <v>8</v>
      </c>
      <c r="M1102">
        <v>174.66000000000003</v>
      </c>
      <c r="N1102">
        <v>4</v>
      </c>
      <c r="O1102">
        <v>37</v>
      </c>
      <c r="Q1102">
        <v>170.66000000000003</v>
      </c>
      <c r="S1102">
        <v>15</v>
      </c>
      <c r="V1102">
        <v>15</v>
      </c>
      <c r="W1102">
        <v>0.25</v>
      </c>
      <c r="AF1102">
        <v>0</v>
      </c>
      <c r="AG1102">
        <v>0</v>
      </c>
      <c r="AH1102">
        <v>0.25</v>
      </c>
      <c r="AI1102">
        <v>11.75</v>
      </c>
      <c r="AJ1102">
        <v>12</v>
      </c>
      <c r="AM1102">
        <v>0</v>
      </c>
      <c r="AN1102">
        <v>174.66000000000005</v>
      </c>
      <c r="AP1102">
        <v>35</v>
      </c>
    </row>
    <row r="1103" spans="1:42" x14ac:dyDescent="0.25">
      <c r="A1103" t="s">
        <v>46</v>
      </c>
      <c r="B1103">
        <v>1</v>
      </c>
      <c r="C1103" t="s">
        <v>488</v>
      </c>
      <c r="D1103" s="39">
        <v>45899</v>
      </c>
      <c r="E1103" t="s">
        <v>486</v>
      </c>
      <c r="F1103" t="s">
        <v>79</v>
      </c>
      <c r="G1103">
        <v>5</v>
      </c>
      <c r="H1103" t="s">
        <v>92</v>
      </c>
      <c r="I1103">
        <v>0</v>
      </c>
      <c r="J1103">
        <v>500</v>
      </c>
      <c r="K1103" t="s">
        <v>79</v>
      </c>
      <c r="L1103">
        <v>1</v>
      </c>
      <c r="M1103">
        <v>16.079999999999998</v>
      </c>
      <c r="N1103">
        <v>0.5</v>
      </c>
      <c r="O1103">
        <v>20</v>
      </c>
      <c r="Q1103">
        <v>15.579999999999998</v>
      </c>
      <c r="V1103">
        <v>0</v>
      </c>
      <c r="W1103">
        <v>0</v>
      </c>
      <c r="AF1103">
        <v>0</v>
      </c>
      <c r="AG1103">
        <v>0</v>
      </c>
      <c r="AH1103">
        <v>0</v>
      </c>
      <c r="AI1103">
        <v>12</v>
      </c>
      <c r="AJ1103">
        <v>12</v>
      </c>
      <c r="AM1103">
        <v>0</v>
      </c>
      <c r="AN1103">
        <v>16.079999999999998</v>
      </c>
      <c r="AP1103">
        <v>35</v>
      </c>
    </row>
    <row r="1104" spans="1:42" x14ac:dyDescent="0.25">
      <c r="A1104" t="s">
        <v>46</v>
      </c>
      <c r="B1104">
        <v>1</v>
      </c>
      <c r="C1104" t="s">
        <v>100</v>
      </c>
      <c r="D1104" s="39">
        <v>45899</v>
      </c>
      <c r="E1104" t="s">
        <v>194</v>
      </c>
      <c r="F1104" t="s">
        <v>79</v>
      </c>
      <c r="G1104">
        <v>2.5</v>
      </c>
      <c r="H1104" t="s">
        <v>92</v>
      </c>
      <c r="I1104">
        <v>0</v>
      </c>
      <c r="J1104" t="s">
        <v>81</v>
      </c>
      <c r="K1104" t="s">
        <v>79</v>
      </c>
      <c r="L1104">
        <v>11</v>
      </c>
      <c r="M1104">
        <v>107.17999999999999</v>
      </c>
      <c r="N1104">
        <v>2.2000000000000002</v>
      </c>
      <c r="Q1104">
        <v>104.97999999999999</v>
      </c>
      <c r="V1104">
        <v>0</v>
      </c>
      <c r="W1104">
        <v>0</v>
      </c>
      <c r="AF1104">
        <v>0</v>
      </c>
      <c r="AG1104">
        <v>0</v>
      </c>
      <c r="AH1104">
        <v>0</v>
      </c>
      <c r="AI1104">
        <v>12</v>
      </c>
      <c r="AJ1104">
        <v>12</v>
      </c>
      <c r="AM1104">
        <v>0</v>
      </c>
      <c r="AN1104">
        <v>107.18</v>
      </c>
      <c r="AP1104">
        <v>35</v>
      </c>
    </row>
    <row r="1105" spans="1:42" x14ac:dyDescent="0.25">
      <c r="A1105" t="s">
        <v>45</v>
      </c>
      <c r="B1105">
        <v>2</v>
      </c>
      <c r="C1105" t="s">
        <v>503</v>
      </c>
      <c r="D1105" s="39">
        <v>45899</v>
      </c>
      <c r="E1105" t="s">
        <v>81</v>
      </c>
      <c r="F1105" t="s">
        <v>468</v>
      </c>
      <c r="G1105" t="s">
        <v>81</v>
      </c>
      <c r="H1105" t="s">
        <v>81</v>
      </c>
      <c r="I1105">
        <v>0</v>
      </c>
      <c r="J1105">
        <v>1000</v>
      </c>
      <c r="K1105" t="s">
        <v>79</v>
      </c>
      <c r="L1105">
        <v>10</v>
      </c>
      <c r="M1105">
        <v>159.64999999999998</v>
      </c>
      <c r="N1105">
        <v>4</v>
      </c>
      <c r="Q1105">
        <v>155.64999999999998</v>
      </c>
      <c r="V1105">
        <v>0</v>
      </c>
      <c r="W1105">
        <v>0</v>
      </c>
      <c r="AF1105">
        <v>0</v>
      </c>
      <c r="AG1105">
        <v>0</v>
      </c>
      <c r="AH1105">
        <v>0</v>
      </c>
      <c r="AI1105">
        <v>12</v>
      </c>
      <c r="AJ1105">
        <v>12</v>
      </c>
      <c r="AM1105">
        <v>0</v>
      </c>
      <c r="AN1105">
        <v>159.64999999999998</v>
      </c>
      <c r="AP1105">
        <v>35</v>
      </c>
    </row>
    <row r="1106" spans="1:42" x14ac:dyDescent="0.25">
      <c r="A1106" t="s">
        <v>46</v>
      </c>
      <c r="B1106">
        <v>2</v>
      </c>
      <c r="C1106" t="s">
        <v>503</v>
      </c>
      <c r="D1106" s="39">
        <v>45899</v>
      </c>
      <c r="E1106" t="s">
        <v>81</v>
      </c>
      <c r="F1106" t="s">
        <v>468</v>
      </c>
      <c r="G1106" t="s">
        <v>81</v>
      </c>
      <c r="H1106" t="s">
        <v>81</v>
      </c>
      <c r="I1106">
        <v>0</v>
      </c>
      <c r="J1106">
        <v>1000</v>
      </c>
      <c r="K1106" t="s">
        <v>79</v>
      </c>
      <c r="L1106">
        <v>11</v>
      </c>
      <c r="M1106">
        <v>157.83000000000001</v>
      </c>
      <c r="N1106">
        <v>4.4000000000000004</v>
      </c>
      <c r="Q1106">
        <v>153.43</v>
      </c>
      <c r="V1106">
        <v>0</v>
      </c>
      <c r="W1106">
        <v>0</v>
      </c>
      <c r="AF1106">
        <v>0</v>
      </c>
      <c r="AG1106">
        <v>0</v>
      </c>
      <c r="AH1106">
        <v>0</v>
      </c>
      <c r="AI1106">
        <v>12</v>
      </c>
      <c r="AJ1106">
        <v>12</v>
      </c>
      <c r="AM1106">
        <v>0</v>
      </c>
      <c r="AN1106">
        <v>157.83000000000001</v>
      </c>
      <c r="AP1106">
        <v>35</v>
      </c>
    </row>
    <row r="1107" spans="1:42" x14ac:dyDescent="0.25">
      <c r="A1107" t="s">
        <v>45</v>
      </c>
      <c r="B1107">
        <v>3</v>
      </c>
      <c r="C1107" t="s">
        <v>498</v>
      </c>
      <c r="D1107" s="39">
        <v>45899</v>
      </c>
      <c r="E1107" t="s">
        <v>416</v>
      </c>
      <c r="F1107" t="s">
        <v>79</v>
      </c>
      <c r="G1107">
        <v>8</v>
      </c>
      <c r="H1107">
        <v>4.5</v>
      </c>
      <c r="I1107">
        <v>0</v>
      </c>
      <c r="J1107">
        <v>100</v>
      </c>
      <c r="K1107" t="s">
        <v>79</v>
      </c>
      <c r="L1107">
        <v>2</v>
      </c>
      <c r="M1107">
        <v>74.319999999999993</v>
      </c>
      <c r="N1107">
        <v>2</v>
      </c>
      <c r="Q1107">
        <v>72.319999999999993</v>
      </c>
      <c r="V1107">
        <v>0</v>
      </c>
      <c r="W1107">
        <v>0</v>
      </c>
      <c r="AF1107">
        <v>0</v>
      </c>
      <c r="AG1107">
        <v>0</v>
      </c>
      <c r="AH1107">
        <v>0</v>
      </c>
      <c r="AI1107">
        <v>12</v>
      </c>
      <c r="AJ1107">
        <v>12</v>
      </c>
      <c r="AM1107">
        <v>0</v>
      </c>
      <c r="AN1107">
        <v>74.319999999999993</v>
      </c>
      <c r="AP1107">
        <v>35</v>
      </c>
    </row>
    <row r="1108" spans="1:42" x14ac:dyDescent="0.25">
      <c r="A1108" t="s">
        <v>45</v>
      </c>
      <c r="B1108">
        <v>3</v>
      </c>
      <c r="C1108" t="s">
        <v>504</v>
      </c>
      <c r="D1108" s="39">
        <v>45899</v>
      </c>
      <c r="E1108" t="s">
        <v>486</v>
      </c>
      <c r="F1108" t="s">
        <v>79</v>
      </c>
      <c r="G1108">
        <v>8</v>
      </c>
      <c r="H1108">
        <v>5</v>
      </c>
      <c r="I1108">
        <v>0</v>
      </c>
      <c r="J1108">
        <v>500</v>
      </c>
      <c r="K1108" t="s">
        <v>79</v>
      </c>
      <c r="L1108">
        <v>7</v>
      </c>
      <c r="M1108">
        <v>257.38</v>
      </c>
      <c r="N1108">
        <v>7.1</v>
      </c>
      <c r="Q1108">
        <v>250.28</v>
      </c>
      <c r="V1108">
        <v>0</v>
      </c>
      <c r="W1108">
        <v>0</v>
      </c>
      <c r="AF1108">
        <v>0</v>
      </c>
      <c r="AG1108">
        <v>0</v>
      </c>
      <c r="AH1108">
        <v>0</v>
      </c>
      <c r="AI1108">
        <v>12</v>
      </c>
      <c r="AJ1108">
        <v>12</v>
      </c>
      <c r="AM1108">
        <v>0</v>
      </c>
      <c r="AN1108">
        <v>257.38</v>
      </c>
      <c r="AP1108">
        <v>35</v>
      </c>
    </row>
    <row r="1109" spans="1:42" x14ac:dyDescent="0.25">
      <c r="A1109" t="s">
        <v>46</v>
      </c>
      <c r="B1109">
        <v>3</v>
      </c>
      <c r="C1109" t="s">
        <v>504</v>
      </c>
      <c r="D1109" s="39">
        <v>45899</v>
      </c>
      <c r="E1109" t="s">
        <v>486</v>
      </c>
      <c r="F1109" t="s">
        <v>79</v>
      </c>
      <c r="G1109">
        <v>8</v>
      </c>
      <c r="H1109">
        <v>5</v>
      </c>
      <c r="I1109">
        <v>0</v>
      </c>
      <c r="J1109">
        <v>500</v>
      </c>
      <c r="K1109" t="s">
        <v>79</v>
      </c>
      <c r="L1109">
        <v>8</v>
      </c>
      <c r="M1109">
        <v>220.06999999999996</v>
      </c>
      <c r="N1109">
        <v>6.4</v>
      </c>
      <c r="Q1109">
        <v>213.66999999999996</v>
      </c>
      <c r="V1109">
        <v>0</v>
      </c>
      <c r="W1109">
        <v>0</v>
      </c>
      <c r="AF1109">
        <v>0</v>
      </c>
      <c r="AG1109">
        <v>0</v>
      </c>
      <c r="AH1109">
        <v>0</v>
      </c>
      <c r="AI1109">
        <v>12</v>
      </c>
      <c r="AJ1109">
        <v>12</v>
      </c>
      <c r="AM1109">
        <v>0</v>
      </c>
      <c r="AN1109">
        <v>220.06999999999996</v>
      </c>
      <c r="AP1109">
        <v>35</v>
      </c>
    </row>
    <row r="1110" spans="1:42" x14ac:dyDescent="0.25">
      <c r="A1110" t="s">
        <v>46</v>
      </c>
      <c r="B1110">
        <v>3</v>
      </c>
      <c r="C1110" t="s">
        <v>498</v>
      </c>
      <c r="D1110" s="39">
        <v>45899</v>
      </c>
      <c r="E1110" t="s">
        <v>416</v>
      </c>
      <c r="F1110" t="s">
        <v>79</v>
      </c>
      <c r="G1110">
        <v>8</v>
      </c>
      <c r="H1110">
        <v>4.5</v>
      </c>
      <c r="I1110">
        <v>0</v>
      </c>
      <c r="J1110">
        <v>100</v>
      </c>
      <c r="K1110" t="s">
        <v>79</v>
      </c>
      <c r="L1110">
        <v>2</v>
      </c>
      <c r="M1110">
        <v>106.60000000000001</v>
      </c>
      <c r="N1110">
        <v>2.4000000000000004</v>
      </c>
      <c r="Q1110">
        <v>104.2</v>
      </c>
      <c r="V1110">
        <v>0</v>
      </c>
      <c r="W1110">
        <v>0</v>
      </c>
      <c r="AF1110">
        <v>0</v>
      </c>
      <c r="AG1110">
        <v>0</v>
      </c>
      <c r="AH1110">
        <v>0</v>
      </c>
      <c r="AI1110">
        <v>12</v>
      </c>
      <c r="AJ1110">
        <v>12</v>
      </c>
      <c r="AM1110">
        <v>0</v>
      </c>
      <c r="AN1110">
        <v>106.6</v>
      </c>
      <c r="AP1110">
        <v>35</v>
      </c>
    </row>
    <row r="1111" spans="1:42" x14ac:dyDescent="0.25">
      <c r="A1111" t="s">
        <v>45</v>
      </c>
      <c r="B1111">
        <v>4</v>
      </c>
      <c r="C1111" t="s">
        <v>500</v>
      </c>
      <c r="D1111" s="39">
        <v>45899</v>
      </c>
      <c r="E1111" t="s">
        <v>276</v>
      </c>
      <c r="F1111" t="s">
        <v>79</v>
      </c>
      <c r="G1111">
        <v>18</v>
      </c>
      <c r="H1111" t="s">
        <v>113</v>
      </c>
      <c r="I1111" t="s">
        <v>114</v>
      </c>
      <c r="J1111">
        <v>0</v>
      </c>
      <c r="K1111" t="s">
        <v>79</v>
      </c>
      <c r="L1111">
        <v>2</v>
      </c>
      <c r="M1111">
        <v>119.68</v>
      </c>
      <c r="N1111">
        <v>4.3000000000000007</v>
      </c>
      <c r="Q1111">
        <v>115.38000000000001</v>
      </c>
      <c r="S1111">
        <v>20</v>
      </c>
      <c r="V1111">
        <v>20</v>
      </c>
      <c r="W1111">
        <v>0.33333333333333331</v>
      </c>
      <c r="AF1111">
        <v>0</v>
      </c>
      <c r="AG1111">
        <v>0</v>
      </c>
      <c r="AH1111">
        <v>0.33333333333333331</v>
      </c>
      <c r="AI1111">
        <v>11.666666666666666</v>
      </c>
      <c r="AJ1111">
        <v>12</v>
      </c>
      <c r="AM1111">
        <v>0</v>
      </c>
      <c r="AN1111">
        <v>119.68</v>
      </c>
      <c r="AP1111">
        <v>35</v>
      </c>
    </row>
    <row r="1112" spans="1:42" x14ac:dyDescent="0.25">
      <c r="A1112" t="s">
        <v>45</v>
      </c>
      <c r="B1112">
        <v>4</v>
      </c>
      <c r="C1112" t="s">
        <v>505</v>
      </c>
      <c r="D1112" s="39">
        <v>45899</v>
      </c>
      <c r="E1112" t="s">
        <v>400</v>
      </c>
      <c r="F1112" t="s">
        <v>79</v>
      </c>
      <c r="G1112">
        <v>16</v>
      </c>
      <c r="H1112">
        <v>10</v>
      </c>
      <c r="I1112" t="s">
        <v>114</v>
      </c>
      <c r="J1112">
        <v>250</v>
      </c>
      <c r="K1112" t="s">
        <v>79</v>
      </c>
      <c r="L1112">
        <v>5</v>
      </c>
      <c r="M1112">
        <v>266.3</v>
      </c>
      <c r="N1112">
        <v>8.6</v>
      </c>
      <c r="Q1112">
        <v>257.7</v>
      </c>
      <c r="V1112">
        <v>0</v>
      </c>
      <c r="W1112">
        <v>0</v>
      </c>
      <c r="AF1112">
        <v>0</v>
      </c>
      <c r="AG1112">
        <v>0</v>
      </c>
      <c r="AH1112">
        <v>0</v>
      </c>
      <c r="AI1112">
        <v>12</v>
      </c>
      <c r="AJ1112">
        <v>12</v>
      </c>
      <c r="AM1112">
        <v>0</v>
      </c>
      <c r="AN1112">
        <v>266.3</v>
      </c>
      <c r="AP1112">
        <v>35</v>
      </c>
    </row>
    <row r="1113" spans="1:42" x14ac:dyDescent="0.25">
      <c r="A1113" t="s">
        <v>45</v>
      </c>
      <c r="B1113">
        <v>4</v>
      </c>
      <c r="C1113" t="s">
        <v>506</v>
      </c>
      <c r="D1113" s="39">
        <v>45899</v>
      </c>
      <c r="E1113" t="s">
        <v>396</v>
      </c>
      <c r="F1113" t="s">
        <v>79</v>
      </c>
      <c r="G1113">
        <v>16</v>
      </c>
      <c r="H1113" t="s">
        <v>92</v>
      </c>
      <c r="I1113">
        <v>0</v>
      </c>
      <c r="J1113">
        <v>2000</v>
      </c>
      <c r="K1113" t="s">
        <v>79</v>
      </c>
      <c r="L1113">
        <v>6</v>
      </c>
      <c r="M1113">
        <v>298.39999999999998</v>
      </c>
      <c r="N1113">
        <v>11.6</v>
      </c>
      <c r="Q1113">
        <v>286.79999999999995</v>
      </c>
      <c r="V1113">
        <v>0</v>
      </c>
      <c r="W1113">
        <v>0</v>
      </c>
      <c r="AF1113">
        <v>0</v>
      </c>
      <c r="AG1113">
        <v>0</v>
      </c>
      <c r="AH1113">
        <v>0</v>
      </c>
      <c r="AI1113">
        <v>12</v>
      </c>
      <c r="AJ1113">
        <v>12</v>
      </c>
      <c r="AM1113">
        <v>0</v>
      </c>
      <c r="AN1113">
        <v>298.39999999999998</v>
      </c>
      <c r="AP1113">
        <v>35</v>
      </c>
    </row>
    <row r="1114" spans="1:42" x14ac:dyDescent="0.25">
      <c r="A1114" t="s">
        <v>45</v>
      </c>
      <c r="B1114">
        <v>4</v>
      </c>
      <c r="C1114" t="s">
        <v>507</v>
      </c>
      <c r="D1114" s="39">
        <v>45899</v>
      </c>
      <c r="E1114" t="s">
        <v>491</v>
      </c>
      <c r="F1114" t="s">
        <v>79</v>
      </c>
      <c r="G1114">
        <v>17</v>
      </c>
      <c r="H1114" t="s">
        <v>134</v>
      </c>
      <c r="I1114" t="s">
        <v>114</v>
      </c>
      <c r="J1114">
        <v>50</v>
      </c>
      <c r="K1114" t="s">
        <v>79</v>
      </c>
      <c r="L1114">
        <v>2</v>
      </c>
      <c r="M1114">
        <v>60.94</v>
      </c>
      <c r="N1114">
        <v>3.9</v>
      </c>
      <c r="Q1114">
        <v>57.04</v>
      </c>
      <c r="V1114">
        <v>0</v>
      </c>
      <c r="W1114">
        <v>0</v>
      </c>
      <c r="AF1114">
        <v>0</v>
      </c>
      <c r="AG1114">
        <v>0</v>
      </c>
      <c r="AH1114">
        <v>0</v>
      </c>
      <c r="AI1114">
        <v>12</v>
      </c>
      <c r="AJ1114">
        <v>12</v>
      </c>
      <c r="AM1114">
        <v>0</v>
      </c>
      <c r="AN1114">
        <v>60.94</v>
      </c>
      <c r="AP1114">
        <v>35</v>
      </c>
    </row>
    <row r="1115" spans="1:42" x14ac:dyDescent="0.25">
      <c r="A1115" t="s">
        <v>45</v>
      </c>
      <c r="B1115">
        <v>4</v>
      </c>
      <c r="C1115" t="s">
        <v>508</v>
      </c>
      <c r="D1115" s="39">
        <v>45899</v>
      </c>
      <c r="E1115" t="s">
        <v>491</v>
      </c>
      <c r="F1115" t="s">
        <v>79</v>
      </c>
      <c r="G1115">
        <v>16</v>
      </c>
      <c r="H1115" t="s">
        <v>134</v>
      </c>
      <c r="I1115" t="s">
        <v>114</v>
      </c>
      <c r="J1115">
        <v>50</v>
      </c>
      <c r="K1115" t="s">
        <v>79</v>
      </c>
      <c r="L1115">
        <v>2</v>
      </c>
      <c r="M1115">
        <v>65.210000000000008</v>
      </c>
      <c r="N1115">
        <v>3.8</v>
      </c>
      <c r="Q1115">
        <v>61.410000000000011</v>
      </c>
      <c r="V1115">
        <v>0</v>
      </c>
      <c r="W1115">
        <v>0</v>
      </c>
      <c r="AF1115">
        <v>0</v>
      </c>
      <c r="AG1115">
        <v>0</v>
      </c>
      <c r="AH1115">
        <v>0</v>
      </c>
      <c r="AI1115">
        <v>12</v>
      </c>
      <c r="AJ1115">
        <v>12</v>
      </c>
      <c r="AM1115">
        <v>0</v>
      </c>
      <c r="AN1115">
        <v>65.210000000000008</v>
      </c>
      <c r="AP1115">
        <v>35</v>
      </c>
    </row>
    <row r="1116" spans="1:42" x14ac:dyDescent="0.25">
      <c r="A1116" t="s">
        <v>46</v>
      </c>
      <c r="B1116">
        <v>4</v>
      </c>
      <c r="C1116" t="s">
        <v>509</v>
      </c>
      <c r="D1116" s="39">
        <v>45899</v>
      </c>
      <c r="E1116" t="s">
        <v>464</v>
      </c>
      <c r="F1116" t="s">
        <v>79</v>
      </c>
      <c r="G1116">
        <v>2.5</v>
      </c>
      <c r="H1116">
        <v>5</v>
      </c>
      <c r="I1116">
        <v>0</v>
      </c>
      <c r="J1116">
        <v>50</v>
      </c>
      <c r="K1116" t="s">
        <v>79</v>
      </c>
      <c r="L1116">
        <v>6</v>
      </c>
      <c r="M1116">
        <v>294.38</v>
      </c>
      <c r="N1116">
        <v>11.399999999999999</v>
      </c>
      <c r="Q1116">
        <v>282.98</v>
      </c>
      <c r="V1116">
        <v>0</v>
      </c>
      <c r="W1116">
        <v>0</v>
      </c>
      <c r="AF1116">
        <v>0</v>
      </c>
      <c r="AG1116">
        <v>0</v>
      </c>
      <c r="AH1116">
        <v>0</v>
      </c>
      <c r="AI1116">
        <v>12</v>
      </c>
      <c r="AJ1116">
        <v>12</v>
      </c>
      <c r="AM1116">
        <v>0</v>
      </c>
      <c r="AN1116">
        <v>294.38</v>
      </c>
      <c r="AP1116">
        <v>35</v>
      </c>
    </row>
    <row r="1117" spans="1:42" x14ac:dyDescent="0.25">
      <c r="A1117" t="s">
        <v>46</v>
      </c>
      <c r="B1117">
        <v>4</v>
      </c>
      <c r="C1117" t="s">
        <v>510</v>
      </c>
      <c r="D1117" s="39">
        <v>45899</v>
      </c>
      <c r="E1117" t="s">
        <v>200</v>
      </c>
      <c r="F1117" t="s">
        <v>79</v>
      </c>
      <c r="G1117">
        <v>16</v>
      </c>
      <c r="H1117">
        <v>6</v>
      </c>
      <c r="I1117">
        <v>0</v>
      </c>
      <c r="J1117">
        <v>1000</v>
      </c>
      <c r="K1117" t="s">
        <v>79</v>
      </c>
      <c r="L1117">
        <v>6</v>
      </c>
      <c r="M1117">
        <v>281.29999999999995</v>
      </c>
      <c r="N1117">
        <v>9.6000000000000014</v>
      </c>
      <c r="Q1117">
        <v>271.69999999999993</v>
      </c>
      <c r="V1117">
        <v>0</v>
      </c>
      <c r="W1117">
        <v>0</v>
      </c>
      <c r="AF1117">
        <v>0</v>
      </c>
      <c r="AG1117">
        <v>0</v>
      </c>
      <c r="AH1117">
        <v>0</v>
      </c>
      <c r="AI1117">
        <v>12</v>
      </c>
      <c r="AJ1117">
        <v>12</v>
      </c>
      <c r="AM1117">
        <v>0</v>
      </c>
      <c r="AN1117">
        <v>281.29999999999995</v>
      </c>
      <c r="AP1117">
        <v>35</v>
      </c>
    </row>
    <row r="1118" spans="1:42" x14ac:dyDescent="0.25">
      <c r="A1118" t="s">
        <v>46</v>
      </c>
      <c r="B1118">
        <v>4</v>
      </c>
      <c r="C1118" t="s">
        <v>511</v>
      </c>
      <c r="D1118" s="39">
        <v>45899</v>
      </c>
      <c r="E1118" t="s">
        <v>491</v>
      </c>
      <c r="F1118" t="s">
        <v>79</v>
      </c>
      <c r="G1118">
        <v>16</v>
      </c>
      <c r="H1118" t="s">
        <v>92</v>
      </c>
      <c r="I1118" t="s">
        <v>114</v>
      </c>
      <c r="J1118">
        <v>250</v>
      </c>
      <c r="K1118" t="s">
        <v>79</v>
      </c>
      <c r="L1118">
        <v>5</v>
      </c>
      <c r="M1118">
        <v>241.43</v>
      </c>
      <c r="N1118">
        <v>8</v>
      </c>
      <c r="Q1118">
        <v>233.43</v>
      </c>
      <c r="V1118">
        <v>0</v>
      </c>
      <c r="W1118">
        <v>0</v>
      </c>
      <c r="AF1118">
        <v>0</v>
      </c>
      <c r="AG1118">
        <v>0</v>
      </c>
      <c r="AH1118">
        <v>0</v>
      </c>
      <c r="AI1118">
        <v>12</v>
      </c>
      <c r="AJ1118">
        <v>12</v>
      </c>
      <c r="AM1118">
        <v>0</v>
      </c>
      <c r="AN1118">
        <v>241.43</v>
      </c>
      <c r="AP1118">
        <v>35</v>
      </c>
    </row>
    <row r="1119" spans="1:42" x14ac:dyDescent="0.25">
      <c r="A1119" t="s">
        <v>45</v>
      </c>
      <c r="B1119">
        <v>5</v>
      </c>
      <c r="C1119" t="s">
        <v>502</v>
      </c>
      <c r="D1119" s="39">
        <v>45899</v>
      </c>
      <c r="E1119" t="s">
        <v>486</v>
      </c>
      <c r="F1119" t="s">
        <v>79</v>
      </c>
      <c r="G1119">
        <v>11</v>
      </c>
      <c r="H1119" t="s">
        <v>113</v>
      </c>
      <c r="I1119">
        <v>0</v>
      </c>
      <c r="J1119">
        <v>1000</v>
      </c>
      <c r="K1119" t="s">
        <v>79</v>
      </c>
      <c r="L1119">
        <v>4</v>
      </c>
      <c r="M1119">
        <v>201.39</v>
      </c>
      <c r="N1119">
        <v>5.4</v>
      </c>
      <c r="Q1119">
        <v>195.98999999999998</v>
      </c>
      <c r="V1119">
        <v>0</v>
      </c>
      <c r="W1119">
        <v>0</v>
      </c>
      <c r="AF1119">
        <v>0</v>
      </c>
      <c r="AG1119">
        <v>0</v>
      </c>
      <c r="AH1119">
        <v>0</v>
      </c>
      <c r="AI1119">
        <v>12</v>
      </c>
      <c r="AJ1119">
        <v>12</v>
      </c>
      <c r="AM1119">
        <v>0</v>
      </c>
      <c r="AN1119">
        <v>201.39</v>
      </c>
      <c r="AP1119">
        <v>35</v>
      </c>
    </row>
    <row r="1120" spans="1:42" x14ac:dyDescent="0.25">
      <c r="A1120" t="s">
        <v>45</v>
      </c>
      <c r="B1120">
        <v>5</v>
      </c>
      <c r="C1120" t="s">
        <v>512</v>
      </c>
      <c r="D1120" s="39">
        <v>45899</v>
      </c>
      <c r="E1120" t="s">
        <v>200</v>
      </c>
      <c r="F1120" t="s">
        <v>79</v>
      </c>
      <c r="G1120">
        <v>14</v>
      </c>
      <c r="H1120">
        <v>10</v>
      </c>
      <c r="I1120">
        <v>0</v>
      </c>
      <c r="J1120">
        <v>250</v>
      </c>
      <c r="K1120" t="s">
        <v>79</v>
      </c>
      <c r="L1120">
        <v>6</v>
      </c>
      <c r="M1120">
        <v>265.98</v>
      </c>
      <c r="N1120">
        <v>10.32</v>
      </c>
      <c r="Q1120">
        <v>255.66000000000003</v>
      </c>
      <c r="V1120">
        <v>0</v>
      </c>
      <c r="W1120">
        <v>0</v>
      </c>
      <c r="AF1120">
        <v>0</v>
      </c>
      <c r="AG1120">
        <v>0</v>
      </c>
      <c r="AH1120">
        <v>0</v>
      </c>
      <c r="AI1120">
        <v>12</v>
      </c>
      <c r="AJ1120">
        <v>12</v>
      </c>
      <c r="AM1120">
        <v>0</v>
      </c>
      <c r="AN1120">
        <v>265.98</v>
      </c>
      <c r="AP1120">
        <v>35</v>
      </c>
    </row>
    <row r="1121" spans="1:42" x14ac:dyDescent="0.25">
      <c r="A1121" t="s">
        <v>45</v>
      </c>
      <c r="B1121">
        <v>5</v>
      </c>
      <c r="C1121" t="s">
        <v>85</v>
      </c>
      <c r="D1121" s="39">
        <v>45899</v>
      </c>
      <c r="E1121" t="s">
        <v>194</v>
      </c>
      <c r="F1121" t="s">
        <v>79</v>
      </c>
      <c r="G1121">
        <v>12</v>
      </c>
      <c r="H1121">
        <v>5</v>
      </c>
      <c r="I1121">
        <v>0</v>
      </c>
      <c r="J1121" t="s">
        <v>81</v>
      </c>
      <c r="K1121" t="s">
        <v>79</v>
      </c>
      <c r="L1121">
        <v>1</v>
      </c>
      <c r="M1121">
        <v>49.07</v>
      </c>
      <c r="N1121">
        <v>1.5</v>
      </c>
      <c r="Q1121">
        <v>47.57</v>
      </c>
      <c r="V1121">
        <v>0</v>
      </c>
      <c r="W1121">
        <v>0</v>
      </c>
      <c r="AF1121">
        <v>0</v>
      </c>
      <c r="AG1121">
        <v>0</v>
      </c>
      <c r="AH1121">
        <v>0</v>
      </c>
      <c r="AI1121">
        <v>12</v>
      </c>
      <c r="AJ1121">
        <v>12</v>
      </c>
      <c r="AM1121">
        <v>0</v>
      </c>
      <c r="AN1121">
        <v>49.07</v>
      </c>
      <c r="AP1121">
        <v>35</v>
      </c>
    </row>
    <row r="1122" spans="1:42" x14ac:dyDescent="0.25">
      <c r="A1122" t="s">
        <v>46</v>
      </c>
      <c r="B1122">
        <v>5</v>
      </c>
      <c r="C1122" t="s">
        <v>85</v>
      </c>
      <c r="D1122" s="39">
        <v>45899</v>
      </c>
      <c r="E1122" t="s">
        <v>194</v>
      </c>
      <c r="F1122" t="s">
        <v>79</v>
      </c>
      <c r="G1122">
        <v>12</v>
      </c>
      <c r="H1122">
        <v>5</v>
      </c>
      <c r="I1122">
        <v>0</v>
      </c>
      <c r="J1122" t="s">
        <v>81</v>
      </c>
      <c r="K1122" t="s">
        <v>79</v>
      </c>
      <c r="L1122">
        <v>12</v>
      </c>
      <c r="M1122">
        <v>535.54</v>
      </c>
      <c r="N1122">
        <v>16.799999999999997</v>
      </c>
      <c r="Q1122">
        <v>518.74</v>
      </c>
      <c r="V1122">
        <v>0</v>
      </c>
      <c r="W1122">
        <v>0</v>
      </c>
      <c r="AF1122">
        <v>0</v>
      </c>
      <c r="AG1122">
        <v>0</v>
      </c>
      <c r="AH1122">
        <v>0</v>
      </c>
      <c r="AI1122">
        <v>12</v>
      </c>
      <c r="AJ1122">
        <v>12</v>
      </c>
      <c r="AM1122">
        <v>0</v>
      </c>
      <c r="AN1122">
        <v>535.54</v>
      </c>
      <c r="AO1122">
        <v>398</v>
      </c>
      <c r="AP1122">
        <v>35</v>
      </c>
    </row>
    <row r="1123" spans="1:42" x14ac:dyDescent="0.25">
      <c r="A1123" t="s">
        <v>45</v>
      </c>
      <c r="B1123">
        <v>1</v>
      </c>
      <c r="C1123" t="s">
        <v>100</v>
      </c>
      <c r="D1123" s="39">
        <v>45900</v>
      </c>
      <c r="E1123" t="s">
        <v>194</v>
      </c>
      <c r="F1123" t="s">
        <v>79</v>
      </c>
      <c r="G1123">
        <v>2.5</v>
      </c>
      <c r="H1123" t="s">
        <v>92</v>
      </c>
      <c r="I1123">
        <v>0</v>
      </c>
      <c r="J1123" t="s">
        <v>81</v>
      </c>
      <c r="K1123" t="s">
        <v>79</v>
      </c>
      <c r="L1123">
        <v>9</v>
      </c>
      <c r="M1123">
        <v>88.149999999999991</v>
      </c>
      <c r="N1123">
        <v>1.8</v>
      </c>
      <c r="O1123">
        <v>22</v>
      </c>
      <c r="Q1123">
        <v>86.35</v>
      </c>
      <c r="V1123">
        <v>0</v>
      </c>
      <c r="W1123">
        <v>0</v>
      </c>
      <c r="AF1123">
        <v>0</v>
      </c>
      <c r="AG1123">
        <v>0</v>
      </c>
      <c r="AH1123">
        <v>0</v>
      </c>
      <c r="AI1123">
        <v>12</v>
      </c>
      <c r="AJ1123">
        <v>12</v>
      </c>
      <c r="AM1123">
        <v>0</v>
      </c>
      <c r="AN1123">
        <v>88.149999999999977</v>
      </c>
      <c r="AP1123">
        <v>35</v>
      </c>
    </row>
    <row r="1124" spans="1:42" x14ac:dyDescent="0.25">
      <c r="A1124" t="s">
        <v>46</v>
      </c>
      <c r="B1124">
        <v>1</v>
      </c>
      <c r="C1124" t="s">
        <v>100</v>
      </c>
      <c r="D1124" s="39">
        <v>45900</v>
      </c>
      <c r="E1124" t="s">
        <v>194</v>
      </c>
      <c r="F1124" t="s">
        <v>79</v>
      </c>
      <c r="G1124">
        <v>2.5</v>
      </c>
      <c r="H1124" t="s">
        <v>92</v>
      </c>
      <c r="I1124">
        <v>0</v>
      </c>
      <c r="J1124" t="s">
        <v>81</v>
      </c>
      <c r="K1124" t="s">
        <v>79</v>
      </c>
      <c r="L1124">
        <v>9</v>
      </c>
      <c r="M1124">
        <v>110.61999999999999</v>
      </c>
      <c r="N1124">
        <v>1.8</v>
      </c>
      <c r="O1124">
        <v>13</v>
      </c>
      <c r="Q1124">
        <v>108.82</v>
      </c>
      <c r="V1124">
        <v>0</v>
      </c>
      <c r="W1124">
        <v>0</v>
      </c>
      <c r="AF1124">
        <v>0</v>
      </c>
      <c r="AG1124">
        <v>0</v>
      </c>
      <c r="AH1124">
        <v>0</v>
      </c>
      <c r="AI1124">
        <v>12</v>
      </c>
      <c r="AJ1124">
        <v>12</v>
      </c>
      <c r="AM1124">
        <v>0</v>
      </c>
      <c r="AN1124">
        <v>110.62</v>
      </c>
      <c r="AP1124">
        <v>35</v>
      </c>
    </row>
    <row r="1125" spans="1:42" x14ac:dyDescent="0.25">
      <c r="A1125" t="s">
        <v>45</v>
      </c>
      <c r="B1125">
        <v>2</v>
      </c>
      <c r="C1125" t="s">
        <v>91</v>
      </c>
      <c r="D1125" s="39">
        <v>45900</v>
      </c>
      <c r="E1125" t="s">
        <v>194</v>
      </c>
      <c r="F1125" t="s">
        <v>79</v>
      </c>
      <c r="G1125">
        <v>4</v>
      </c>
      <c r="H1125" t="s">
        <v>92</v>
      </c>
      <c r="I1125">
        <v>0</v>
      </c>
      <c r="J1125" t="s">
        <v>81</v>
      </c>
      <c r="K1125" t="s">
        <v>79</v>
      </c>
      <c r="L1125">
        <v>9</v>
      </c>
      <c r="M1125">
        <v>133.57</v>
      </c>
      <c r="N1125">
        <v>3.6</v>
      </c>
      <c r="Q1125">
        <v>129.97</v>
      </c>
      <c r="V1125">
        <v>0</v>
      </c>
      <c r="W1125">
        <v>0</v>
      </c>
      <c r="AF1125">
        <v>0</v>
      </c>
      <c r="AG1125">
        <v>0</v>
      </c>
      <c r="AH1125">
        <v>0</v>
      </c>
      <c r="AI1125">
        <v>12</v>
      </c>
      <c r="AJ1125">
        <v>12</v>
      </c>
      <c r="AM1125">
        <v>0</v>
      </c>
      <c r="AN1125">
        <v>133.57</v>
      </c>
      <c r="AP1125">
        <v>35</v>
      </c>
    </row>
    <row r="1126" spans="1:42" x14ac:dyDescent="0.25">
      <c r="A1126" t="s">
        <v>46</v>
      </c>
      <c r="B1126">
        <v>2</v>
      </c>
      <c r="C1126" t="s">
        <v>91</v>
      </c>
      <c r="D1126" s="39">
        <v>45900</v>
      </c>
      <c r="E1126" t="s">
        <v>194</v>
      </c>
      <c r="F1126" t="s">
        <v>79</v>
      </c>
      <c r="G1126">
        <v>4</v>
      </c>
      <c r="H1126" t="s">
        <v>92</v>
      </c>
      <c r="I1126">
        <v>0</v>
      </c>
      <c r="J1126" t="s">
        <v>81</v>
      </c>
      <c r="K1126" t="s">
        <v>79</v>
      </c>
      <c r="L1126">
        <v>5</v>
      </c>
      <c r="M1126">
        <v>80.72</v>
      </c>
      <c r="N1126">
        <v>2</v>
      </c>
      <c r="Q1126">
        <v>78.72</v>
      </c>
      <c r="S1126">
        <v>20</v>
      </c>
      <c r="V1126">
        <v>20</v>
      </c>
      <c r="W1126">
        <v>0.33333333333333331</v>
      </c>
      <c r="AF1126">
        <v>0</v>
      </c>
      <c r="AG1126">
        <v>0</v>
      </c>
      <c r="AH1126">
        <v>0.33333333333333331</v>
      </c>
      <c r="AI1126">
        <v>11.666666666666666</v>
      </c>
      <c r="AJ1126">
        <v>12</v>
      </c>
      <c r="AM1126">
        <v>0</v>
      </c>
      <c r="AN1126">
        <v>80.72</v>
      </c>
      <c r="AP1126">
        <v>35</v>
      </c>
    </row>
    <row r="1127" spans="1:42" x14ac:dyDescent="0.25">
      <c r="A1127" t="s">
        <v>46</v>
      </c>
      <c r="B1127">
        <v>2</v>
      </c>
      <c r="C1127" t="s">
        <v>77</v>
      </c>
      <c r="D1127" s="39">
        <v>45900</v>
      </c>
      <c r="E1127" t="s">
        <v>194</v>
      </c>
      <c r="F1127" t="s">
        <v>79</v>
      </c>
      <c r="G1127">
        <v>3</v>
      </c>
      <c r="H1127" t="s">
        <v>92</v>
      </c>
      <c r="I1127">
        <v>0</v>
      </c>
      <c r="J1127" t="s">
        <v>81</v>
      </c>
      <c r="K1127" t="s">
        <v>79</v>
      </c>
      <c r="L1127">
        <v>7</v>
      </c>
      <c r="M1127">
        <v>79.36</v>
      </c>
      <c r="N1127">
        <v>1.7999999999999998</v>
      </c>
      <c r="Q1127">
        <v>77.56</v>
      </c>
      <c r="V1127">
        <v>0</v>
      </c>
      <c r="W1127">
        <v>0</v>
      </c>
      <c r="AF1127">
        <v>0</v>
      </c>
      <c r="AG1127">
        <v>0</v>
      </c>
      <c r="AH1127">
        <v>0</v>
      </c>
      <c r="AI1127">
        <v>12</v>
      </c>
      <c r="AJ1127">
        <v>12</v>
      </c>
      <c r="AM1127">
        <v>0</v>
      </c>
      <c r="AN1127">
        <v>79.36</v>
      </c>
      <c r="AP1127">
        <v>35</v>
      </c>
    </row>
    <row r="1128" spans="1:42" x14ac:dyDescent="0.25">
      <c r="A1128" t="s">
        <v>45</v>
      </c>
      <c r="B1128">
        <v>3</v>
      </c>
      <c r="C1128" t="s">
        <v>513</v>
      </c>
      <c r="D1128" s="39">
        <v>45900</v>
      </c>
      <c r="E1128" t="s">
        <v>416</v>
      </c>
      <c r="F1128" t="s">
        <v>79</v>
      </c>
      <c r="G1128">
        <v>8</v>
      </c>
      <c r="H1128">
        <v>4.5</v>
      </c>
      <c r="I1128">
        <v>0</v>
      </c>
      <c r="J1128">
        <v>150</v>
      </c>
      <c r="K1128" t="s">
        <v>79</v>
      </c>
      <c r="L1128">
        <v>3</v>
      </c>
      <c r="M1128">
        <v>105.81</v>
      </c>
      <c r="N1128">
        <v>2.7</v>
      </c>
      <c r="Q1128">
        <v>103.11</v>
      </c>
      <c r="S1128">
        <v>20</v>
      </c>
      <c r="V1128">
        <v>20</v>
      </c>
      <c r="W1128">
        <v>0.33333333333333331</v>
      </c>
      <c r="AF1128">
        <v>0</v>
      </c>
      <c r="AG1128">
        <v>0</v>
      </c>
      <c r="AH1128">
        <v>0.33333333333333331</v>
      </c>
      <c r="AI1128">
        <v>11.666666666666666</v>
      </c>
      <c r="AJ1128">
        <v>12</v>
      </c>
      <c r="AM1128">
        <v>0</v>
      </c>
      <c r="AN1128">
        <v>105.81</v>
      </c>
      <c r="AP1128">
        <v>35</v>
      </c>
    </row>
    <row r="1129" spans="1:42" x14ac:dyDescent="0.25">
      <c r="A1129" t="s">
        <v>45</v>
      </c>
      <c r="B1129">
        <v>3</v>
      </c>
      <c r="C1129" t="s">
        <v>504</v>
      </c>
      <c r="D1129" s="39">
        <v>45900</v>
      </c>
      <c r="E1129" t="s">
        <v>486</v>
      </c>
      <c r="F1129" t="s">
        <v>79</v>
      </c>
      <c r="G1129">
        <v>8</v>
      </c>
      <c r="H1129">
        <v>5</v>
      </c>
      <c r="I1129">
        <v>0</v>
      </c>
      <c r="J1129">
        <v>500</v>
      </c>
      <c r="K1129" t="s">
        <v>79</v>
      </c>
      <c r="L1129">
        <v>3</v>
      </c>
      <c r="M1129">
        <v>95.570000000000007</v>
      </c>
      <c r="N1129">
        <v>2.4000000000000004</v>
      </c>
      <c r="Q1129">
        <v>93.17</v>
      </c>
      <c r="V1129">
        <v>0</v>
      </c>
      <c r="W1129">
        <v>0</v>
      </c>
      <c r="AF1129">
        <v>0</v>
      </c>
      <c r="AG1129">
        <v>0</v>
      </c>
      <c r="AH1129">
        <v>0</v>
      </c>
      <c r="AI1129">
        <v>12</v>
      </c>
      <c r="AJ1129">
        <v>12</v>
      </c>
      <c r="AM1129">
        <v>0</v>
      </c>
      <c r="AN1129">
        <v>95.57</v>
      </c>
      <c r="AP1129">
        <v>35</v>
      </c>
    </row>
    <row r="1130" spans="1:42" x14ac:dyDescent="0.25">
      <c r="A1130" t="s">
        <v>45</v>
      </c>
      <c r="B1130">
        <v>3</v>
      </c>
      <c r="C1130" t="s">
        <v>514</v>
      </c>
      <c r="D1130" s="39">
        <v>45900</v>
      </c>
      <c r="E1130" t="s">
        <v>486</v>
      </c>
      <c r="F1130" t="s">
        <v>79</v>
      </c>
      <c r="G1130">
        <v>9</v>
      </c>
      <c r="H1130" t="s">
        <v>113</v>
      </c>
      <c r="I1130">
        <v>0</v>
      </c>
      <c r="J1130">
        <v>500</v>
      </c>
      <c r="K1130" t="s">
        <v>79</v>
      </c>
      <c r="L1130">
        <v>2</v>
      </c>
      <c r="M1130">
        <v>55.73</v>
      </c>
      <c r="N1130">
        <v>1.8</v>
      </c>
      <c r="Q1130">
        <v>53.93</v>
      </c>
      <c r="V1130">
        <v>0</v>
      </c>
      <c r="W1130">
        <v>0</v>
      </c>
      <c r="AF1130">
        <v>0</v>
      </c>
      <c r="AG1130">
        <v>0</v>
      </c>
      <c r="AH1130">
        <v>0</v>
      </c>
      <c r="AI1130">
        <v>12</v>
      </c>
      <c r="AJ1130">
        <v>12</v>
      </c>
      <c r="AM1130">
        <v>0</v>
      </c>
      <c r="AN1130">
        <v>55.73</v>
      </c>
      <c r="AP1130">
        <v>35</v>
      </c>
    </row>
    <row r="1131" spans="1:42" x14ac:dyDescent="0.25">
      <c r="A1131" t="s">
        <v>46</v>
      </c>
      <c r="B1131">
        <v>3</v>
      </c>
      <c r="C1131" t="s">
        <v>514</v>
      </c>
      <c r="D1131" s="39">
        <v>45900</v>
      </c>
      <c r="E1131" t="s">
        <v>486</v>
      </c>
      <c r="F1131" t="s">
        <v>79</v>
      </c>
      <c r="G1131">
        <v>9</v>
      </c>
      <c r="H1131" t="s">
        <v>113</v>
      </c>
      <c r="I1131">
        <v>0</v>
      </c>
      <c r="J1131">
        <v>500</v>
      </c>
      <c r="K1131" t="s">
        <v>79</v>
      </c>
      <c r="L1131">
        <v>8</v>
      </c>
      <c r="M1131">
        <v>331.96</v>
      </c>
      <c r="N1131">
        <v>7.2</v>
      </c>
      <c r="Q1131">
        <v>324.76</v>
      </c>
      <c r="V1131">
        <v>0</v>
      </c>
      <c r="W1131">
        <v>0</v>
      </c>
      <c r="AF1131">
        <v>0</v>
      </c>
      <c r="AG1131">
        <v>0</v>
      </c>
      <c r="AH1131">
        <v>0</v>
      </c>
      <c r="AI1131">
        <v>12</v>
      </c>
      <c r="AJ1131">
        <v>12</v>
      </c>
      <c r="AM1131">
        <v>0</v>
      </c>
      <c r="AN1131">
        <v>331.96</v>
      </c>
      <c r="AP1131">
        <v>35</v>
      </c>
    </row>
    <row r="1132" spans="1:42" x14ac:dyDescent="0.25">
      <c r="A1132" t="s">
        <v>45</v>
      </c>
      <c r="B1132">
        <v>4</v>
      </c>
      <c r="C1132" t="s">
        <v>510</v>
      </c>
      <c r="D1132" s="39">
        <v>45900</v>
      </c>
      <c r="E1132" t="s">
        <v>200</v>
      </c>
      <c r="F1132" t="s">
        <v>79</v>
      </c>
      <c r="G1132">
        <v>16</v>
      </c>
      <c r="H1132">
        <v>6</v>
      </c>
      <c r="I1132">
        <v>0</v>
      </c>
      <c r="J1132">
        <v>1000</v>
      </c>
      <c r="K1132" t="s">
        <v>79</v>
      </c>
      <c r="L1132">
        <v>17</v>
      </c>
      <c r="M1132">
        <v>804.33999999999992</v>
      </c>
      <c r="N1132">
        <v>27.200000000000003</v>
      </c>
      <c r="Q1132">
        <v>777.13999999999987</v>
      </c>
      <c r="V1132">
        <v>0</v>
      </c>
      <c r="W1132">
        <v>0</v>
      </c>
      <c r="AF1132">
        <v>0</v>
      </c>
      <c r="AG1132">
        <v>0</v>
      </c>
      <c r="AH1132">
        <v>0</v>
      </c>
      <c r="AI1132">
        <v>12</v>
      </c>
      <c r="AJ1132">
        <v>12</v>
      </c>
      <c r="AM1132">
        <v>0</v>
      </c>
      <c r="AN1132">
        <v>804.34</v>
      </c>
      <c r="AP1132">
        <v>35</v>
      </c>
    </row>
    <row r="1133" spans="1:42" x14ac:dyDescent="0.25">
      <c r="A1133" t="s">
        <v>46</v>
      </c>
      <c r="B1133">
        <v>4</v>
      </c>
      <c r="C1133" t="s">
        <v>510</v>
      </c>
      <c r="D1133" s="39">
        <v>45900</v>
      </c>
      <c r="E1133" t="s">
        <v>200</v>
      </c>
      <c r="F1133" t="s">
        <v>79</v>
      </c>
      <c r="G1133">
        <v>16</v>
      </c>
      <c r="H1133">
        <v>6</v>
      </c>
      <c r="I1133">
        <v>0</v>
      </c>
      <c r="J1133">
        <v>1000</v>
      </c>
      <c r="K1133" t="s">
        <v>79</v>
      </c>
      <c r="L1133">
        <v>6</v>
      </c>
      <c r="M1133">
        <v>279.77000000000004</v>
      </c>
      <c r="N1133">
        <v>15.719999999999999</v>
      </c>
      <c r="Q1133">
        <v>264.05000000000007</v>
      </c>
      <c r="V1133">
        <v>0</v>
      </c>
      <c r="W1133">
        <v>0</v>
      </c>
      <c r="AF1133">
        <v>0</v>
      </c>
      <c r="AG1133">
        <v>0</v>
      </c>
      <c r="AH1133">
        <v>0</v>
      </c>
      <c r="AI1133">
        <v>12</v>
      </c>
      <c r="AJ1133">
        <v>12</v>
      </c>
      <c r="AM1133">
        <v>0</v>
      </c>
      <c r="AN1133">
        <v>279.77000000000004</v>
      </c>
      <c r="AP1133">
        <v>35</v>
      </c>
    </row>
    <row r="1134" spans="1:42" x14ac:dyDescent="0.25">
      <c r="A1134" t="s">
        <v>46</v>
      </c>
      <c r="B1134">
        <v>4</v>
      </c>
      <c r="C1134" t="s">
        <v>479</v>
      </c>
      <c r="D1134" s="39">
        <v>45900</v>
      </c>
      <c r="E1134" t="s">
        <v>470</v>
      </c>
      <c r="F1134" t="s">
        <v>79</v>
      </c>
      <c r="G1134">
        <v>16</v>
      </c>
      <c r="H1134" t="s">
        <v>113</v>
      </c>
      <c r="I1134" t="s">
        <v>99</v>
      </c>
      <c r="J1134">
        <v>400</v>
      </c>
      <c r="K1134" t="s">
        <v>79</v>
      </c>
      <c r="L1134">
        <v>7</v>
      </c>
      <c r="M1134">
        <v>354.75</v>
      </c>
      <c r="N1134">
        <v>11.649999999999999</v>
      </c>
      <c r="Q1134">
        <v>343.1</v>
      </c>
      <c r="V1134">
        <v>0</v>
      </c>
      <c r="W1134">
        <v>0</v>
      </c>
      <c r="AF1134">
        <v>0</v>
      </c>
      <c r="AG1134">
        <v>0</v>
      </c>
      <c r="AH1134">
        <v>0</v>
      </c>
      <c r="AI1134">
        <v>12</v>
      </c>
      <c r="AJ1134">
        <v>12</v>
      </c>
      <c r="AM1134">
        <v>0</v>
      </c>
      <c r="AN1134">
        <v>354.75</v>
      </c>
      <c r="AP1134">
        <v>35</v>
      </c>
    </row>
    <row r="1135" spans="1:42" x14ac:dyDescent="0.25">
      <c r="A1135" t="s">
        <v>46</v>
      </c>
      <c r="B1135">
        <v>4</v>
      </c>
      <c r="C1135" t="s">
        <v>515</v>
      </c>
      <c r="D1135" s="39">
        <v>45900</v>
      </c>
      <c r="E1135" t="s">
        <v>516</v>
      </c>
      <c r="F1135" t="s">
        <v>79</v>
      </c>
      <c r="G1135" t="s">
        <v>517</v>
      </c>
      <c r="H1135" t="s">
        <v>134</v>
      </c>
      <c r="I1135" t="s">
        <v>106</v>
      </c>
      <c r="J1135">
        <v>300</v>
      </c>
      <c r="K1135" t="s">
        <v>79</v>
      </c>
      <c r="L1135">
        <v>2</v>
      </c>
      <c r="M1135">
        <v>108.59</v>
      </c>
      <c r="N1135">
        <v>4</v>
      </c>
      <c r="Q1135">
        <v>104.59</v>
      </c>
      <c r="V1135">
        <v>0</v>
      </c>
      <c r="W1135">
        <v>0</v>
      </c>
      <c r="AF1135">
        <v>0</v>
      </c>
      <c r="AG1135">
        <v>0</v>
      </c>
      <c r="AH1135">
        <v>0</v>
      </c>
      <c r="AI1135">
        <v>12</v>
      </c>
      <c r="AJ1135">
        <v>12</v>
      </c>
      <c r="AM1135">
        <v>0</v>
      </c>
      <c r="AN1135">
        <v>108.59</v>
      </c>
      <c r="AP1135">
        <v>35</v>
      </c>
    </row>
    <row r="1136" spans="1:42" x14ac:dyDescent="0.25">
      <c r="A1136" t="s">
        <v>45</v>
      </c>
      <c r="B1136">
        <v>5</v>
      </c>
      <c r="C1136" t="s">
        <v>487</v>
      </c>
      <c r="D1136" s="39">
        <v>45900</v>
      </c>
      <c r="E1136" t="s">
        <v>486</v>
      </c>
      <c r="F1136" t="s">
        <v>79</v>
      </c>
      <c r="G1136">
        <v>12</v>
      </c>
      <c r="H1136">
        <v>5</v>
      </c>
      <c r="I1136">
        <v>0</v>
      </c>
      <c r="J1136">
        <v>2000</v>
      </c>
      <c r="K1136" t="s">
        <v>79</v>
      </c>
      <c r="L1136">
        <v>12</v>
      </c>
      <c r="M1136">
        <v>534.79</v>
      </c>
      <c r="N1136">
        <v>14.7</v>
      </c>
      <c r="Q1136">
        <v>520.08999999999992</v>
      </c>
      <c r="V1136">
        <v>0</v>
      </c>
      <c r="W1136">
        <v>0</v>
      </c>
      <c r="AF1136">
        <v>0</v>
      </c>
      <c r="AG1136">
        <v>0</v>
      </c>
      <c r="AH1136">
        <v>0</v>
      </c>
      <c r="AI1136">
        <v>12</v>
      </c>
      <c r="AJ1136">
        <v>12</v>
      </c>
      <c r="AM1136">
        <v>0</v>
      </c>
      <c r="AN1136">
        <v>534.79</v>
      </c>
      <c r="AP1136">
        <v>35</v>
      </c>
    </row>
    <row r="1137" spans="1:42" x14ac:dyDescent="0.25">
      <c r="A1137" t="s">
        <v>46</v>
      </c>
      <c r="B1137">
        <v>5</v>
      </c>
      <c r="C1137" t="s">
        <v>485</v>
      </c>
      <c r="D1137" s="39">
        <v>45900</v>
      </c>
      <c r="E1137" t="s">
        <v>486</v>
      </c>
      <c r="F1137" t="s">
        <v>79</v>
      </c>
      <c r="G1137">
        <v>10</v>
      </c>
      <c r="H1137">
        <v>5</v>
      </c>
      <c r="I1137">
        <v>0</v>
      </c>
      <c r="J1137">
        <v>2000</v>
      </c>
      <c r="K1137" t="s">
        <v>79</v>
      </c>
      <c r="L1137">
        <v>11</v>
      </c>
      <c r="M1137">
        <v>532.25</v>
      </c>
      <c r="N1137">
        <v>13.98</v>
      </c>
      <c r="Q1137">
        <v>518.27</v>
      </c>
      <c r="S1137">
        <v>20</v>
      </c>
      <c r="V1137">
        <v>20</v>
      </c>
      <c r="W1137">
        <v>0.33333333333333331</v>
      </c>
      <c r="AF1137">
        <v>0</v>
      </c>
      <c r="AG1137">
        <v>0</v>
      </c>
      <c r="AH1137">
        <v>0.33333333333333331</v>
      </c>
      <c r="AI1137">
        <v>11.666666666666666</v>
      </c>
      <c r="AJ1137">
        <v>12</v>
      </c>
      <c r="AM1137">
        <v>0</v>
      </c>
      <c r="AN1137">
        <v>532.25</v>
      </c>
      <c r="AO1137">
        <v>398</v>
      </c>
      <c r="AP1137">
        <v>35</v>
      </c>
    </row>
    <row r="1138" spans="1:42" x14ac:dyDescent="0.25">
      <c r="A1138" t="s">
        <v>45</v>
      </c>
      <c r="B1138">
        <v>1</v>
      </c>
      <c r="C1138" t="s">
        <v>100</v>
      </c>
      <c r="D1138" s="39">
        <v>45901</v>
      </c>
      <c r="E1138" t="s">
        <v>194</v>
      </c>
      <c r="F1138" t="s">
        <v>79</v>
      </c>
      <c r="G1138">
        <v>2.5</v>
      </c>
      <c r="H1138" t="s">
        <v>92</v>
      </c>
      <c r="I1138">
        <v>0</v>
      </c>
      <c r="J1138" t="s">
        <v>81</v>
      </c>
      <c r="K1138" t="s">
        <v>79</v>
      </c>
      <c r="L1138">
        <v>9</v>
      </c>
      <c r="M1138">
        <v>74.06</v>
      </c>
      <c r="N1138">
        <v>1.8</v>
      </c>
      <c r="O1138">
        <v>31</v>
      </c>
      <c r="Q1138">
        <v>72.260000000000005</v>
      </c>
      <c r="V1138">
        <v>0</v>
      </c>
      <c r="W1138">
        <v>0</v>
      </c>
      <c r="AF1138">
        <v>0</v>
      </c>
      <c r="AG1138">
        <v>0</v>
      </c>
      <c r="AH1138">
        <v>0</v>
      </c>
      <c r="AI1138">
        <v>12</v>
      </c>
      <c r="AJ1138">
        <v>12</v>
      </c>
      <c r="AM1138">
        <v>0</v>
      </c>
      <c r="AN1138">
        <v>74.06</v>
      </c>
      <c r="AP1138">
        <v>36</v>
      </c>
    </row>
    <row r="1139" spans="1:42" x14ac:dyDescent="0.25">
      <c r="A1139" t="s">
        <v>46</v>
      </c>
      <c r="B1139">
        <v>1</v>
      </c>
      <c r="C1139" t="s">
        <v>100</v>
      </c>
      <c r="D1139" s="39">
        <v>45901</v>
      </c>
      <c r="E1139" t="s">
        <v>194</v>
      </c>
      <c r="F1139" t="s">
        <v>79</v>
      </c>
      <c r="G1139">
        <v>2.5</v>
      </c>
      <c r="H1139" t="s">
        <v>92</v>
      </c>
      <c r="I1139">
        <v>0</v>
      </c>
      <c r="J1139" t="s">
        <v>81</v>
      </c>
      <c r="K1139" t="s">
        <v>79</v>
      </c>
      <c r="L1139">
        <v>9</v>
      </c>
      <c r="M1139">
        <v>100.75</v>
      </c>
      <c r="N1139">
        <v>1.8</v>
      </c>
      <c r="O1139">
        <v>19</v>
      </c>
      <c r="Q1139">
        <v>98.95</v>
      </c>
      <c r="V1139">
        <v>0</v>
      </c>
      <c r="W1139">
        <v>0</v>
      </c>
      <c r="AF1139">
        <v>0</v>
      </c>
      <c r="AG1139">
        <v>0</v>
      </c>
      <c r="AH1139">
        <v>0</v>
      </c>
      <c r="AI1139">
        <v>12</v>
      </c>
      <c r="AJ1139">
        <v>12</v>
      </c>
      <c r="AM1139">
        <v>0</v>
      </c>
      <c r="AN1139">
        <v>100.75</v>
      </c>
      <c r="AP1139">
        <v>36</v>
      </c>
    </row>
    <row r="1140" spans="1:42" x14ac:dyDescent="0.25">
      <c r="A1140" t="s">
        <v>45</v>
      </c>
      <c r="B1140">
        <v>2</v>
      </c>
      <c r="C1140" t="s">
        <v>110</v>
      </c>
      <c r="D1140" s="39">
        <v>45901</v>
      </c>
      <c r="E1140" t="s">
        <v>194</v>
      </c>
      <c r="F1140" t="s">
        <v>79</v>
      </c>
      <c r="G1140">
        <v>3.5</v>
      </c>
      <c r="H1140" t="s">
        <v>92</v>
      </c>
      <c r="I1140">
        <v>0</v>
      </c>
      <c r="J1140" t="s">
        <v>81</v>
      </c>
      <c r="K1140" t="s">
        <v>79</v>
      </c>
      <c r="L1140">
        <v>12</v>
      </c>
      <c r="M1140">
        <v>156.31</v>
      </c>
      <c r="N1140">
        <v>3.5999999999999996</v>
      </c>
      <c r="Q1140">
        <v>152.71</v>
      </c>
      <c r="V1140">
        <v>0</v>
      </c>
      <c r="W1140">
        <v>0</v>
      </c>
      <c r="AF1140">
        <v>0</v>
      </c>
      <c r="AG1140">
        <v>0</v>
      </c>
      <c r="AH1140">
        <v>0</v>
      </c>
      <c r="AI1140">
        <v>12</v>
      </c>
      <c r="AJ1140">
        <v>12</v>
      </c>
      <c r="AM1140">
        <v>0</v>
      </c>
      <c r="AN1140">
        <v>156.31</v>
      </c>
      <c r="AP1140">
        <v>36</v>
      </c>
    </row>
    <row r="1141" spans="1:42" x14ac:dyDescent="0.25">
      <c r="A1141" t="s">
        <v>46</v>
      </c>
      <c r="B1141">
        <v>2</v>
      </c>
      <c r="C1141" t="s">
        <v>110</v>
      </c>
      <c r="D1141" s="39">
        <v>45901</v>
      </c>
      <c r="E1141" t="s">
        <v>194</v>
      </c>
      <c r="F1141" t="s">
        <v>79</v>
      </c>
      <c r="G1141">
        <v>3.5</v>
      </c>
      <c r="H1141" t="s">
        <v>92</v>
      </c>
      <c r="I1141">
        <v>0</v>
      </c>
      <c r="J1141" t="s">
        <v>81</v>
      </c>
      <c r="K1141" t="s">
        <v>79</v>
      </c>
      <c r="L1141">
        <v>9</v>
      </c>
      <c r="M1141">
        <v>136.83000000000001</v>
      </c>
      <c r="N1141">
        <v>2.6999999999999997</v>
      </c>
      <c r="Q1141">
        <v>134.13000000000002</v>
      </c>
      <c r="V1141">
        <v>0</v>
      </c>
      <c r="W1141">
        <v>0</v>
      </c>
      <c r="AF1141">
        <v>0</v>
      </c>
      <c r="AG1141">
        <v>0</v>
      </c>
      <c r="AH1141">
        <v>0</v>
      </c>
      <c r="AI1141">
        <v>12</v>
      </c>
      <c r="AJ1141">
        <v>12</v>
      </c>
      <c r="AM1141">
        <v>0</v>
      </c>
      <c r="AN1141">
        <v>136.83000000000001</v>
      </c>
      <c r="AP1141">
        <v>36</v>
      </c>
    </row>
    <row r="1142" spans="1:42" x14ac:dyDescent="0.25">
      <c r="A1142" t="s">
        <v>45</v>
      </c>
      <c r="B1142">
        <v>3</v>
      </c>
      <c r="C1142" t="s">
        <v>514</v>
      </c>
      <c r="D1142" s="39">
        <v>45901</v>
      </c>
      <c r="E1142" t="s">
        <v>486</v>
      </c>
      <c r="F1142" t="s">
        <v>79</v>
      </c>
      <c r="G1142">
        <v>9</v>
      </c>
      <c r="H1142" t="s">
        <v>113</v>
      </c>
      <c r="I1142">
        <v>0</v>
      </c>
      <c r="J1142">
        <v>500</v>
      </c>
      <c r="K1142" t="s">
        <v>79</v>
      </c>
      <c r="L1142">
        <v>10</v>
      </c>
      <c r="M1142">
        <v>314.64</v>
      </c>
      <c r="N1142">
        <v>9.9</v>
      </c>
      <c r="Q1142">
        <v>304.74</v>
      </c>
      <c r="V1142">
        <v>0</v>
      </c>
      <c r="W1142">
        <v>0</v>
      </c>
      <c r="AF1142">
        <v>0</v>
      </c>
      <c r="AG1142">
        <v>0</v>
      </c>
      <c r="AH1142">
        <v>0</v>
      </c>
      <c r="AI1142">
        <v>12</v>
      </c>
      <c r="AJ1142">
        <v>12</v>
      </c>
      <c r="AM1142">
        <v>0</v>
      </c>
      <c r="AN1142">
        <v>314.64</v>
      </c>
      <c r="AP1142">
        <v>36</v>
      </c>
    </row>
    <row r="1143" spans="1:42" x14ac:dyDescent="0.25">
      <c r="A1143" t="s">
        <v>46</v>
      </c>
      <c r="B1143">
        <v>3</v>
      </c>
      <c r="C1143" t="s">
        <v>514</v>
      </c>
      <c r="D1143" s="39">
        <v>45901</v>
      </c>
      <c r="E1143" t="s">
        <v>486</v>
      </c>
      <c r="F1143" t="s">
        <v>79</v>
      </c>
      <c r="G1143">
        <v>9</v>
      </c>
      <c r="H1143" t="s">
        <v>113</v>
      </c>
      <c r="I1143">
        <v>0</v>
      </c>
      <c r="J1143">
        <v>500</v>
      </c>
      <c r="K1143" t="s">
        <v>79</v>
      </c>
      <c r="L1143">
        <v>8</v>
      </c>
      <c r="M1143">
        <v>314.55</v>
      </c>
      <c r="N1143">
        <v>7.2</v>
      </c>
      <c r="Q1143">
        <v>307.35000000000002</v>
      </c>
      <c r="V1143">
        <v>0</v>
      </c>
      <c r="W1143">
        <v>0</v>
      </c>
      <c r="AF1143">
        <v>0</v>
      </c>
      <c r="AG1143">
        <v>0</v>
      </c>
      <c r="AH1143">
        <v>0</v>
      </c>
      <c r="AI1143">
        <v>12</v>
      </c>
      <c r="AJ1143">
        <v>12</v>
      </c>
      <c r="AM1143">
        <v>0</v>
      </c>
      <c r="AN1143">
        <v>314.55</v>
      </c>
      <c r="AP1143">
        <v>36</v>
      </c>
    </row>
    <row r="1144" spans="1:42" x14ac:dyDescent="0.25">
      <c r="A1144" t="s">
        <v>45</v>
      </c>
      <c r="B1144">
        <v>4</v>
      </c>
      <c r="C1144" t="s">
        <v>479</v>
      </c>
      <c r="D1144" s="39">
        <v>45901</v>
      </c>
      <c r="E1144" t="s">
        <v>470</v>
      </c>
      <c r="F1144" t="s">
        <v>79</v>
      </c>
      <c r="G1144">
        <v>16</v>
      </c>
      <c r="H1144" t="s">
        <v>113</v>
      </c>
      <c r="I1144" t="s">
        <v>99</v>
      </c>
      <c r="J1144">
        <v>400</v>
      </c>
      <c r="K1144" t="s">
        <v>79</v>
      </c>
      <c r="L1144">
        <v>17</v>
      </c>
      <c r="M1144">
        <v>738.56</v>
      </c>
      <c r="N1144">
        <v>34</v>
      </c>
      <c r="Q1144">
        <v>704.56</v>
      </c>
      <c r="V1144">
        <v>0</v>
      </c>
      <c r="W1144">
        <v>0</v>
      </c>
      <c r="AF1144">
        <v>0</v>
      </c>
      <c r="AG1144">
        <v>0</v>
      </c>
      <c r="AH1144">
        <v>0</v>
      </c>
      <c r="AI1144">
        <v>12</v>
      </c>
      <c r="AJ1144">
        <v>12</v>
      </c>
      <c r="AM1144">
        <v>0</v>
      </c>
      <c r="AN1144">
        <v>738.56</v>
      </c>
      <c r="AP1144">
        <v>36</v>
      </c>
    </row>
    <row r="1145" spans="1:42" x14ac:dyDescent="0.25">
      <c r="A1145" t="s">
        <v>46</v>
      </c>
      <c r="B1145">
        <v>4</v>
      </c>
      <c r="C1145" t="s">
        <v>479</v>
      </c>
      <c r="D1145" s="39">
        <v>45901</v>
      </c>
      <c r="E1145" t="s">
        <v>470</v>
      </c>
      <c r="F1145" t="s">
        <v>79</v>
      </c>
      <c r="G1145">
        <v>16</v>
      </c>
      <c r="H1145" t="s">
        <v>113</v>
      </c>
      <c r="I1145" t="s">
        <v>99</v>
      </c>
      <c r="J1145">
        <v>400</v>
      </c>
      <c r="K1145" t="s">
        <v>79</v>
      </c>
      <c r="L1145">
        <v>3</v>
      </c>
      <c r="M1145">
        <v>151.61000000000001</v>
      </c>
      <c r="N1145">
        <v>5.8</v>
      </c>
      <c r="Q1145">
        <v>145.81</v>
      </c>
      <c r="S1145">
        <v>20</v>
      </c>
      <c r="V1145">
        <v>20</v>
      </c>
      <c r="W1145">
        <v>0.33333333333333331</v>
      </c>
      <c r="Z1145">
        <v>120</v>
      </c>
      <c r="AF1145">
        <v>120</v>
      </c>
      <c r="AG1145">
        <v>2</v>
      </c>
      <c r="AH1145">
        <v>2.3333333333333335</v>
      </c>
      <c r="AI1145">
        <v>9.6666666666666661</v>
      </c>
      <c r="AJ1145">
        <v>12</v>
      </c>
      <c r="AM1145">
        <v>0</v>
      </c>
      <c r="AN1145">
        <v>151.61000000000001</v>
      </c>
      <c r="AP1145">
        <v>36</v>
      </c>
    </row>
    <row r="1146" spans="1:42" x14ac:dyDescent="0.25">
      <c r="A1146" t="s">
        <v>46</v>
      </c>
      <c r="B1146">
        <v>4</v>
      </c>
      <c r="C1146" t="s">
        <v>518</v>
      </c>
      <c r="D1146" s="39">
        <v>45901</v>
      </c>
      <c r="E1146" t="s">
        <v>200</v>
      </c>
      <c r="F1146" t="s">
        <v>79</v>
      </c>
      <c r="G1146">
        <v>20</v>
      </c>
      <c r="H1146">
        <v>6</v>
      </c>
      <c r="I1146">
        <v>0</v>
      </c>
      <c r="J1146">
        <v>1000</v>
      </c>
      <c r="K1146" t="s">
        <v>79</v>
      </c>
      <c r="L1146">
        <v>9</v>
      </c>
      <c r="M1146">
        <v>510.1</v>
      </c>
      <c r="N1146">
        <v>21.560000000000002</v>
      </c>
      <c r="Q1146">
        <v>488.54</v>
      </c>
      <c r="V1146">
        <v>0</v>
      </c>
      <c r="W1146">
        <v>0</v>
      </c>
      <c r="AF1146">
        <v>0</v>
      </c>
      <c r="AG1146">
        <v>0</v>
      </c>
      <c r="AH1146">
        <v>0</v>
      </c>
      <c r="AI1146">
        <v>12</v>
      </c>
      <c r="AJ1146">
        <v>12</v>
      </c>
      <c r="AM1146">
        <v>0</v>
      </c>
      <c r="AN1146">
        <v>510.1</v>
      </c>
      <c r="AP1146">
        <v>36</v>
      </c>
    </row>
    <row r="1147" spans="1:42" x14ac:dyDescent="0.25">
      <c r="A1147" t="s">
        <v>45</v>
      </c>
      <c r="B1147">
        <v>5</v>
      </c>
      <c r="C1147" t="s">
        <v>485</v>
      </c>
      <c r="D1147" s="39">
        <v>45901</v>
      </c>
      <c r="E1147" t="s">
        <v>486</v>
      </c>
      <c r="F1147" t="s">
        <v>79</v>
      </c>
      <c r="G1147">
        <v>10</v>
      </c>
      <c r="H1147">
        <v>5</v>
      </c>
      <c r="I1147">
        <v>0</v>
      </c>
      <c r="J1147">
        <v>2000</v>
      </c>
      <c r="K1147" t="s">
        <v>79</v>
      </c>
      <c r="L1147">
        <v>7</v>
      </c>
      <c r="M1147">
        <v>256.82</v>
      </c>
      <c r="N1147">
        <v>7</v>
      </c>
      <c r="Q1147">
        <v>249.82</v>
      </c>
      <c r="V1147">
        <v>0</v>
      </c>
      <c r="W1147">
        <v>0</v>
      </c>
      <c r="AF1147">
        <v>0</v>
      </c>
      <c r="AG1147">
        <v>0</v>
      </c>
      <c r="AH1147">
        <v>0</v>
      </c>
      <c r="AI1147">
        <v>12</v>
      </c>
      <c r="AJ1147">
        <v>12</v>
      </c>
      <c r="AM1147">
        <v>0</v>
      </c>
      <c r="AN1147">
        <v>256.82</v>
      </c>
      <c r="AP1147">
        <v>36</v>
      </c>
    </row>
    <row r="1148" spans="1:42" x14ac:dyDescent="0.25">
      <c r="A1148" t="s">
        <v>45</v>
      </c>
      <c r="B1148">
        <v>5</v>
      </c>
      <c r="C1148" t="s">
        <v>519</v>
      </c>
      <c r="D1148" s="39">
        <v>45901</v>
      </c>
      <c r="E1148" t="s">
        <v>452</v>
      </c>
      <c r="F1148" t="s">
        <v>79</v>
      </c>
      <c r="G1148">
        <v>10</v>
      </c>
      <c r="H1148">
        <v>8</v>
      </c>
      <c r="I1148">
        <v>0</v>
      </c>
      <c r="J1148">
        <v>50</v>
      </c>
      <c r="K1148" t="s">
        <v>79</v>
      </c>
      <c r="L1148">
        <v>4</v>
      </c>
      <c r="M1148">
        <v>118.22999999999999</v>
      </c>
      <c r="N1148">
        <v>4</v>
      </c>
      <c r="Q1148">
        <v>114.22999999999999</v>
      </c>
      <c r="V1148">
        <v>0</v>
      </c>
      <c r="W1148">
        <v>0</v>
      </c>
      <c r="AF1148">
        <v>0</v>
      </c>
      <c r="AG1148">
        <v>0</v>
      </c>
      <c r="AH1148">
        <v>0</v>
      </c>
      <c r="AI1148">
        <v>12</v>
      </c>
      <c r="AJ1148">
        <v>12</v>
      </c>
      <c r="AM1148">
        <v>0</v>
      </c>
      <c r="AN1148">
        <v>118.23</v>
      </c>
      <c r="AP1148">
        <v>36</v>
      </c>
    </row>
    <row r="1149" spans="1:42" x14ac:dyDescent="0.25">
      <c r="A1149" t="s">
        <v>46</v>
      </c>
      <c r="B1149">
        <v>5</v>
      </c>
      <c r="C1149" t="s">
        <v>485</v>
      </c>
      <c r="D1149" s="39">
        <v>45901</v>
      </c>
      <c r="E1149" t="s">
        <v>486</v>
      </c>
      <c r="F1149" t="s">
        <v>79</v>
      </c>
      <c r="G1149">
        <v>10</v>
      </c>
      <c r="H1149">
        <v>5</v>
      </c>
      <c r="I1149">
        <v>0</v>
      </c>
      <c r="J1149">
        <v>2000</v>
      </c>
      <c r="K1149" t="s">
        <v>79</v>
      </c>
      <c r="L1149">
        <v>11</v>
      </c>
      <c r="M1149">
        <v>488.28999999999996</v>
      </c>
      <c r="N1149">
        <v>11</v>
      </c>
      <c r="Q1149">
        <v>477.28999999999996</v>
      </c>
      <c r="V1149">
        <v>0</v>
      </c>
      <c r="W1149">
        <v>0</v>
      </c>
      <c r="AD1149">
        <v>30</v>
      </c>
      <c r="AF1149">
        <v>30</v>
      </c>
      <c r="AG1149">
        <v>0.5</v>
      </c>
      <c r="AH1149">
        <v>0.5</v>
      </c>
      <c r="AI1149">
        <v>11.5</v>
      </c>
      <c r="AJ1149">
        <v>12</v>
      </c>
      <c r="AM1149">
        <v>0</v>
      </c>
      <c r="AN1149">
        <v>488.29</v>
      </c>
      <c r="AP1149">
        <v>36</v>
      </c>
    </row>
    <row r="1150" spans="1:42" x14ac:dyDescent="0.25">
      <c r="A1150" t="s">
        <v>45</v>
      </c>
      <c r="B1150">
        <v>1</v>
      </c>
      <c r="C1150" t="s">
        <v>100</v>
      </c>
      <c r="D1150" s="39">
        <v>45902</v>
      </c>
      <c r="E1150" t="s">
        <v>194</v>
      </c>
      <c r="F1150" t="s">
        <v>79</v>
      </c>
      <c r="G1150">
        <v>2.5</v>
      </c>
      <c r="H1150" t="s">
        <v>92</v>
      </c>
      <c r="I1150">
        <v>0</v>
      </c>
      <c r="J1150" t="s">
        <v>81</v>
      </c>
      <c r="K1150" t="s">
        <v>79</v>
      </c>
      <c r="L1150">
        <v>10</v>
      </c>
      <c r="M1150">
        <v>99.929999999999993</v>
      </c>
      <c r="N1150">
        <v>2</v>
      </c>
      <c r="O1150">
        <v>68</v>
      </c>
      <c r="Q1150">
        <v>97.929999999999993</v>
      </c>
      <c r="V1150">
        <v>0</v>
      </c>
      <c r="W1150">
        <v>0</v>
      </c>
      <c r="AF1150">
        <v>0</v>
      </c>
      <c r="AG1150">
        <v>0</v>
      </c>
      <c r="AH1150">
        <v>0</v>
      </c>
      <c r="AI1150">
        <v>12</v>
      </c>
      <c r="AJ1150">
        <v>12</v>
      </c>
      <c r="AL1150">
        <v>2462</v>
      </c>
      <c r="AM1150">
        <v>0</v>
      </c>
      <c r="AN1150">
        <v>99.93</v>
      </c>
      <c r="AP1150">
        <v>36</v>
      </c>
    </row>
    <row r="1151" spans="1:42" x14ac:dyDescent="0.25">
      <c r="A1151" t="s">
        <v>46</v>
      </c>
      <c r="B1151">
        <v>1</v>
      </c>
      <c r="C1151" t="s">
        <v>520</v>
      </c>
      <c r="D1151" s="39">
        <v>45902</v>
      </c>
      <c r="E1151" t="s">
        <v>521</v>
      </c>
      <c r="F1151" t="s">
        <v>79</v>
      </c>
      <c r="G1151">
        <v>4.5</v>
      </c>
      <c r="H1151">
        <v>5</v>
      </c>
      <c r="I1151">
        <v>0</v>
      </c>
      <c r="J1151">
        <v>160</v>
      </c>
      <c r="K1151" t="s">
        <v>79</v>
      </c>
      <c r="L1151">
        <v>8</v>
      </c>
      <c r="M1151">
        <v>139.69999999999999</v>
      </c>
      <c r="N1151">
        <v>3.2</v>
      </c>
      <c r="O1151">
        <v>54</v>
      </c>
      <c r="Q1151">
        <v>136.5</v>
      </c>
      <c r="V1151">
        <v>0</v>
      </c>
      <c r="W1151">
        <v>0</v>
      </c>
      <c r="AF1151">
        <v>0</v>
      </c>
      <c r="AG1151">
        <v>0</v>
      </c>
      <c r="AH1151">
        <v>0</v>
      </c>
      <c r="AI1151">
        <v>12</v>
      </c>
      <c r="AJ1151">
        <v>12</v>
      </c>
      <c r="AM1151">
        <v>0</v>
      </c>
      <c r="AN1151">
        <v>139.69999999999999</v>
      </c>
      <c r="AP1151">
        <v>36</v>
      </c>
    </row>
    <row r="1152" spans="1:42" x14ac:dyDescent="0.25">
      <c r="A1152" t="s">
        <v>45</v>
      </c>
      <c r="B1152">
        <v>2</v>
      </c>
      <c r="C1152" t="s">
        <v>110</v>
      </c>
      <c r="D1152" s="39">
        <v>45902</v>
      </c>
      <c r="E1152" t="s">
        <v>194</v>
      </c>
      <c r="F1152" t="s">
        <v>79</v>
      </c>
      <c r="G1152">
        <v>3.5</v>
      </c>
      <c r="H1152" t="s">
        <v>92</v>
      </c>
      <c r="I1152">
        <v>0</v>
      </c>
      <c r="J1152" t="s">
        <v>81</v>
      </c>
      <c r="K1152" t="s">
        <v>79</v>
      </c>
      <c r="L1152">
        <v>12</v>
      </c>
      <c r="M1152">
        <v>159.89000000000001</v>
      </c>
      <c r="N1152">
        <v>3.5999999999999996</v>
      </c>
      <c r="Q1152">
        <v>156.29000000000002</v>
      </c>
      <c r="V1152">
        <v>0</v>
      </c>
      <c r="W1152">
        <v>0</v>
      </c>
      <c r="AF1152">
        <v>0</v>
      </c>
      <c r="AG1152">
        <v>0</v>
      </c>
      <c r="AH1152">
        <v>0</v>
      </c>
      <c r="AI1152">
        <v>12</v>
      </c>
      <c r="AJ1152">
        <v>12</v>
      </c>
      <c r="AM1152">
        <v>0</v>
      </c>
      <c r="AN1152">
        <v>159.88999999999999</v>
      </c>
      <c r="AP1152">
        <v>36</v>
      </c>
    </row>
    <row r="1153" spans="1:42" x14ac:dyDescent="0.25">
      <c r="A1153" t="s">
        <v>46</v>
      </c>
      <c r="B1153">
        <v>2</v>
      </c>
      <c r="C1153" t="s">
        <v>522</v>
      </c>
      <c r="D1153" s="39">
        <v>45902</v>
      </c>
      <c r="E1153" t="s">
        <v>477</v>
      </c>
      <c r="F1153" t="s">
        <v>79</v>
      </c>
      <c r="G1153">
        <v>3.5</v>
      </c>
      <c r="H1153" t="s">
        <v>534</v>
      </c>
      <c r="I1153">
        <v>0</v>
      </c>
      <c r="J1153">
        <v>125</v>
      </c>
      <c r="K1153" t="s">
        <v>79</v>
      </c>
      <c r="L1153">
        <v>11</v>
      </c>
      <c r="M1153">
        <v>149.31</v>
      </c>
      <c r="N1153">
        <v>3.3</v>
      </c>
      <c r="Q1153">
        <v>146.01</v>
      </c>
      <c r="V1153">
        <v>0</v>
      </c>
      <c r="W1153">
        <v>0</v>
      </c>
      <c r="AF1153">
        <v>0</v>
      </c>
      <c r="AG1153">
        <v>0</v>
      </c>
      <c r="AH1153">
        <v>0</v>
      </c>
      <c r="AI1153">
        <v>12</v>
      </c>
      <c r="AJ1153">
        <v>12</v>
      </c>
      <c r="AM1153">
        <v>0</v>
      </c>
      <c r="AN1153">
        <v>149.31</v>
      </c>
      <c r="AP1153">
        <v>36</v>
      </c>
    </row>
    <row r="1154" spans="1:42" x14ac:dyDescent="0.25">
      <c r="A1154" t="s">
        <v>45</v>
      </c>
      <c r="B1154">
        <v>3</v>
      </c>
      <c r="C1154" t="s">
        <v>514</v>
      </c>
      <c r="D1154" s="39">
        <v>45902</v>
      </c>
      <c r="E1154" t="s">
        <v>486</v>
      </c>
      <c r="F1154" t="s">
        <v>79</v>
      </c>
      <c r="G1154">
        <v>9</v>
      </c>
      <c r="H1154" t="s">
        <v>113</v>
      </c>
      <c r="I1154">
        <v>0</v>
      </c>
      <c r="J1154">
        <v>500</v>
      </c>
      <c r="K1154" t="s">
        <v>79</v>
      </c>
      <c r="L1154">
        <v>8</v>
      </c>
      <c r="M1154">
        <v>282.53000000000003</v>
      </c>
      <c r="N1154">
        <v>7.2</v>
      </c>
      <c r="Q1154">
        <v>275.33000000000004</v>
      </c>
      <c r="V1154">
        <v>0</v>
      </c>
      <c r="W1154">
        <v>0</v>
      </c>
      <c r="AF1154">
        <v>0</v>
      </c>
      <c r="AG1154">
        <v>0</v>
      </c>
      <c r="AH1154">
        <v>0</v>
      </c>
      <c r="AI1154">
        <v>12</v>
      </c>
      <c r="AJ1154">
        <v>12</v>
      </c>
      <c r="AM1154">
        <v>0</v>
      </c>
      <c r="AN1154">
        <v>282.53000000000003</v>
      </c>
      <c r="AP1154">
        <v>36</v>
      </c>
    </row>
    <row r="1155" spans="1:42" x14ac:dyDescent="0.25">
      <c r="A1155" t="s">
        <v>46</v>
      </c>
      <c r="B1155">
        <v>3</v>
      </c>
      <c r="C1155" t="s">
        <v>514</v>
      </c>
      <c r="D1155" s="39">
        <v>45902</v>
      </c>
      <c r="E1155" t="s">
        <v>486</v>
      </c>
      <c r="F1155" t="s">
        <v>79</v>
      </c>
      <c r="G1155">
        <v>9</v>
      </c>
      <c r="H1155" t="s">
        <v>113</v>
      </c>
      <c r="I1155">
        <v>0</v>
      </c>
      <c r="J1155">
        <v>500</v>
      </c>
      <c r="K1155" t="s">
        <v>79</v>
      </c>
      <c r="L1155">
        <v>7</v>
      </c>
      <c r="M1155">
        <v>294.67</v>
      </c>
      <c r="N1155">
        <v>8.5</v>
      </c>
      <c r="Q1155">
        <v>286.17</v>
      </c>
      <c r="V1155">
        <v>0</v>
      </c>
      <c r="W1155">
        <v>0</v>
      </c>
      <c r="AF1155">
        <v>0</v>
      </c>
      <c r="AG1155">
        <v>0</v>
      </c>
      <c r="AH1155">
        <v>0</v>
      </c>
      <c r="AI1155">
        <v>12</v>
      </c>
      <c r="AJ1155">
        <v>12</v>
      </c>
      <c r="AM1155">
        <v>0</v>
      </c>
      <c r="AN1155">
        <v>294.67</v>
      </c>
      <c r="AP1155">
        <v>36</v>
      </c>
    </row>
    <row r="1156" spans="1:42" x14ac:dyDescent="0.25">
      <c r="A1156" t="s">
        <v>45</v>
      </c>
      <c r="B1156">
        <v>4</v>
      </c>
      <c r="C1156" t="s">
        <v>518</v>
      </c>
      <c r="D1156" s="39">
        <v>45902</v>
      </c>
      <c r="E1156" t="s">
        <v>200</v>
      </c>
      <c r="F1156" t="s">
        <v>79</v>
      </c>
      <c r="G1156">
        <v>20</v>
      </c>
      <c r="H1156">
        <v>6</v>
      </c>
      <c r="I1156">
        <v>0</v>
      </c>
      <c r="J1156">
        <v>1000</v>
      </c>
      <c r="K1156" t="s">
        <v>79</v>
      </c>
      <c r="L1156">
        <v>10</v>
      </c>
      <c r="M1156">
        <v>541.88</v>
      </c>
      <c r="N1156">
        <v>20</v>
      </c>
      <c r="Q1156">
        <v>521.88</v>
      </c>
      <c r="S1156">
        <v>30</v>
      </c>
      <c r="V1156">
        <v>30</v>
      </c>
      <c r="W1156">
        <v>0.5</v>
      </c>
      <c r="AF1156">
        <v>0</v>
      </c>
      <c r="AG1156">
        <v>0</v>
      </c>
      <c r="AH1156">
        <v>0.5</v>
      </c>
      <c r="AI1156">
        <v>11.5</v>
      </c>
      <c r="AJ1156">
        <v>12</v>
      </c>
      <c r="AM1156">
        <v>0</v>
      </c>
      <c r="AN1156">
        <v>541.88</v>
      </c>
      <c r="AP1156">
        <v>36</v>
      </c>
    </row>
    <row r="1157" spans="1:42" x14ac:dyDescent="0.25">
      <c r="A1157" t="s">
        <v>45</v>
      </c>
      <c r="B1157">
        <v>4</v>
      </c>
      <c r="C1157" t="s">
        <v>115</v>
      </c>
      <c r="D1157" s="39">
        <v>45902</v>
      </c>
      <c r="E1157" t="s">
        <v>194</v>
      </c>
      <c r="F1157" t="s">
        <v>79</v>
      </c>
      <c r="G1157">
        <v>20</v>
      </c>
      <c r="H1157">
        <v>5</v>
      </c>
      <c r="I1157">
        <v>0</v>
      </c>
      <c r="J1157" t="s">
        <v>81</v>
      </c>
      <c r="K1157" t="s">
        <v>79</v>
      </c>
      <c r="L1157">
        <v>1</v>
      </c>
      <c r="M1157">
        <v>56.86</v>
      </c>
      <c r="N1157">
        <v>2</v>
      </c>
      <c r="Q1157">
        <v>54.86</v>
      </c>
      <c r="V1157">
        <v>0</v>
      </c>
      <c r="W1157">
        <v>0</v>
      </c>
      <c r="AF1157">
        <v>0</v>
      </c>
      <c r="AG1157">
        <v>0</v>
      </c>
      <c r="AH1157">
        <v>0</v>
      </c>
      <c r="AI1157">
        <v>12</v>
      </c>
      <c r="AJ1157">
        <v>12</v>
      </c>
      <c r="AM1157">
        <v>0</v>
      </c>
      <c r="AN1157">
        <v>56.86</v>
      </c>
      <c r="AP1157">
        <v>36</v>
      </c>
    </row>
    <row r="1158" spans="1:42" x14ac:dyDescent="0.25">
      <c r="A1158" t="s">
        <v>45</v>
      </c>
      <c r="B1158">
        <v>4</v>
      </c>
      <c r="C1158" t="s">
        <v>523</v>
      </c>
      <c r="D1158" s="39">
        <v>45902</v>
      </c>
      <c r="E1158" t="s">
        <v>243</v>
      </c>
      <c r="F1158" t="s">
        <v>79</v>
      </c>
      <c r="G1158">
        <v>21</v>
      </c>
      <c r="H1158" t="s">
        <v>524</v>
      </c>
      <c r="I1158" t="s">
        <v>525</v>
      </c>
      <c r="J1158">
        <v>500</v>
      </c>
      <c r="K1158" t="s">
        <v>79</v>
      </c>
      <c r="L1158">
        <v>5</v>
      </c>
      <c r="M1158">
        <v>174.28</v>
      </c>
      <c r="N1158">
        <v>13.049999999999999</v>
      </c>
      <c r="Q1158">
        <v>161.22999999999999</v>
      </c>
      <c r="V1158">
        <v>0</v>
      </c>
      <c r="W1158">
        <v>0</v>
      </c>
      <c r="AF1158">
        <v>0</v>
      </c>
      <c r="AG1158">
        <v>0</v>
      </c>
      <c r="AH1158">
        <v>0</v>
      </c>
      <c r="AI1158">
        <v>12</v>
      </c>
      <c r="AJ1158">
        <v>12</v>
      </c>
      <c r="AM1158">
        <v>0</v>
      </c>
      <c r="AN1158">
        <v>174.28</v>
      </c>
      <c r="AP1158">
        <v>36</v>
      </c>
    </row>
    <row r="1159" spans="1:42" x14ac:dyDescent="0.25">
      <c r="A1159" t="s">
        <v>46</v>
      </c>
      <c r="B1159">
        <v>4</v>
      </c>
      <c r="C1159" t="s">
        <v>523</v>
      </c>
      <c r="D1159" s="39">
        <v>45902</v>
      </c>
      <c r="E1159" t="s">
        <v>243</v>
      </c>
      <c r="F1159" t="s">
        <v>79</v>
      </c>
      <c r="G1159">
        <v>21</v>
      </c>
      <c r="H1159" t="s">
        <v>524</v>
      </c>
      <c r="I1159" t="s">
        <v>525</v>
      </c>
      <c r="J1159">
        <v>500</v>
      </c>
      <c r="K1159" t="s">
        <v>79</v>
      </c>
      <c r="L1159">
        <v>7</v>
      </c>
      <c r="M1159">
        <v>372.77000000000004</v>
      </c>
      <c r="N1159">
        <v>18.2</v>
      </c>
      <c r="Q1159">
        <v>354.57000000000005</v>
      </c>
      <c r="S1159">
        <v>20</v>
      </c>
      <c r="V1159">
        <v>20</v>
      </c>
      <c r="W1159">
        <v>0.33333333333333331</v>
      </c>
      <c r="Z1159">
        <v>20</v>
      </c>
      <c r="AD1159">
        <v>60</v>
      </c>
      <c r="AF1159">
        <v>80</v>
      </c>
      <c r="AG1159">
        <v>1.3333333333333333</v>
      </c>
      <c r="AH1159">
        <v>1.6666666666666663</v>
      </c>
      <c r="AI1159">
        <v>10.333333333333334</v>
      </c>
      <c r="AJ1159">
        <v>12</v>
      </c>
      <c r="AM1159">
        <v>0</v>
      </c>
      <c r="AN1159">
        <v>372.77</v>
      </c>
      <c r="AP1159">
        <v>36</v>
      </c>
    </row>
    <row r="1160" spans="1:42" x14ac:dyDescent="0.25">
      <c r="A1160" t="s">
        <v>46</v>
      </c>
      <c r="B1160">
        <v>4</v>
      </c>
      <c r="C1160" t="s">
        <v>115</v>
      </c>
      <c r="D1160" s="39">
        <v>45902</v>
      </c>
      <c r="E1160" t="s">
        <v>194</v>
      </c>
      <c r="F1160" t="s">
        <v>79</v>
      </c>
      <c r="G1160">
        <v>20</v>
      </c>
      <c r="H1160">
        <v>5</v>
      </c>
      <c r="I1160">
        <v>0</v>
      </c>
      <c r="J1160" t="s">
        <v>81</v>
      </c>
      <c r="K1160" t="s">
        <v>79</v>
      </c>
      <c r="L1160">
        <v>6</v>
      </c>
      <c r="M1160">
        <v>297.32</v>
      </c>
      <c r="N1160">
        <v>11.85</v>
      </c>
      <c r="Q1160">
        <v>285.46999999999997</v>
      </c>
      <c r="V1160">
        <v>0</v>
      </c>
      <c r="W1160">
        <v>0</v>
      </c>
      <c r="AF1160">
        <v>0</v>
      </c>
      <c r="AG1160">
        <v>0</v>
      </c>
      <c r="AH1160">
        <v>0</v>
      </c>
      <c r="AI1160">
        <v>12</v>
      </c>
      <c r="AJ1160">
        <v>12</v>
      </c>
      <c r="AM1160">
        <v>0</v>
      </c>
      <c r="AN1160">
        <v>297.32</v>
      </c>
      <c r="AP1160">
        <v>36</v>
      </c>
    </row>
    <row r="1161" spans="1:42" x14ac:dyDescent="0.25">
      <c r="A1161" t="s">
        <v>45</v>
      </c>
      <c r="B1161">
        <v>5</v>
      </c>
      <c r="C1161" t="s">
        <v>485</v>
      </c>
      <c r="D1161" s="39">
        <v>45902</v>
      </c>
      <c r="E1161" t="s">
        <v>486</v>
      </c>
      <c r="F1161" t="s">
        <v>79</v>
      </c>
      <c r="G1161">
        <v>10</v>
      </c>
      <c r="H1161">
        <v>5</v>
      </c>
      <c r="I1161">
        <v>0</v>
      </c>
      <c r="J1161">
        <v>2000</v>
      </c>
      <c r="K1161" t="s">
        <v>79</v>
      </c>
      <c r="L1161">
        <v>11</v>
      </c>
      <c r="M1161">
        <v>488.72</v>
      </c>
      <c r="N1161">
        <v>11</v>
      </c>
      <c r="Q1161">
        <v>477.72</v>
      </c>
      <c r="V1161">
        <v>0</v>
      </c>
      <c r="W1161">
        <v>0</v>
      </c>
      <c r="AF1161">
        <v>0</v>
      </c>
      <c r="AG1161">
        <v>0</v>
      </c>
      <c r="AH1161">
        <v>0</v>
      </c>
      <c r="AI1161">
        <v>12</v>
      </c>
      <c r="AJ1161">
        <v>12</v>
      </c>
      <c r="AM1161">
        <v>0</v>
      </c>
      <c r="AN1161">
        <v>488.72</v>
      </c>
      <c r="AP1161">
        <v>36</v>
      </c>
    </row>
    <row r="1162" spans="1:42" x14ac:dyDescent="0.25">
      <c r="A1162" t="s">
        <v>46</v>
      </c>
      <c r="B1162">
        <v>5</v>
      </c>
      <c r="C1162" t="s">
        <v>485</v>
      </c>
      <c r="D1162" s="39">
        <v>45902</v>
      </c>
      <c r="E1162" t="s">
        <v>486</v>
      </c>
      <c r="F1162" t="s">
        <v>79</v>
      </c>
      <c r="G1162">
        <v>10</v>
      </c>
      <c r="H1162">
        <v>5</v>
      </c>
      <c r="I1162">
        <v>0</v>
      </c>
      <c r="J1162">
        <v>2000</v>
      </c>
      <c r="K1162" t="s">
        <v>79</v>
      </c>
      <c r="L1162">
        <v>10</v>
      </c>
      <c r="M1162">
        <v>445.4500000000001</v>
      </c>
      <c r="N1162">
        <v>12.2</v>
      </c>
      <c r="Q1162">
        <v>433.25000000000011</v>
      </c>
      <c r="V1162">
        <v>0</v>
      </c>
      <c r="W1162">
        <v>0</v>
      </c>
      <c r="AF1162">
        <v>0</v>
      </c>
      <c r="AG1162">
        <v>0</v>
      </c>
      <c r="AH1162">
        <v>0</v>
      </c>
      <c r="AI1162">
        <v>12</v>
      </c>
      <c r="AJ1162">
        <v>12</v>
      </c>
      <c r="AM1162">
        <v>0</v>
      </c>
      <c r="AN1162">
        <v>445.4500000000001</v>
      </c>
      <c r="AP1162">
        <v>36</v>
      </c>
    </row>
    <row r="1163" spans="1:42" x14ac:dyDescent="0.25">
      <c r="A1163" t="s">
        <v>46</v>
      </c>
      <c r="B1163">
        <v>6</v>
      </c>
      <c r="C1163" t="s">
        <v>526</v>
      </c>
      <c r="D1163" s="39">
        <v>45902</v>
      </c>
      <c r="E1163" t="s">
        <v>396</v>
      </c>
      <c r="F1163" t="s">
        <v>79</v>
      </c>
      <c r="G1163">
        <v>17</v>
      </c>
      <c r="H1163" t="s">
        <v>92</v>
      </c>
      <c r="I1163">
        <v>0</v>
      </c>
      <c r="J1163">
        <v>5000</v>
      </c>
      <c r="K1163" t="s">
        <v>79</v>
      </c>
      <c r="L1163">
        <v>6</v>
      </c>
      <c r="M1163">
        <v>328.59</v>
      </c>
      <c r="N1163">
        <v>12.78</v>
      </c>
      <c r="Q1163">
        <v>315.81</v>
      </c>
      <c r="V1163">
        <v>0</v>
      </c>
      <c r="W1163">
        <v>0</v>
      </c>
      <c r="AF1163">
        <v>0</v>
      </c>
      <c r="AG1163">
        <v>0</v>
      </c>
      <c r="AH1163">
        <v>0</v>
      </c>
      <c r="AI1163">
        <v>12</v>
      </c>
      <c r="AJ1163">
        <v>12</v>
      </c>
      <c r="AM1163">
        <v>0</v>
      </c>
      <c r="AN1163">
        <v>328.59</v>
      </c>
      <c r="AP1163">
        <v>36</v>
      </c>
    </row>
    <row r="1164" spans="1:42" x14ac:dyDescent="0.25">
      <c r="A1164" t="s">
        <v>46</v>
      </c>
      <c r="B1164">
        <v>1</v>
      </c>
      <c r="C1164" t="s">
        <v>100</v>
      </c>
      <c r="D1164" s="39">
        <v>45903</v>
      </c>
      <c r="E1164" t="s">
        <v>194</v>
      </c>
      <c r="F1164" t="s">
        <v>79</v>
      </c>
      <c r="G1164">
        <v>2.5</v>
      </c>
      <c r="H1164" t="s">
        <v>92</v>
      </c>
      <c r="I1164">
        <v>0</v>
      </c>
      <c r="J1164" t="s">
        <v>81</v>
      </c>
      <c r="K1164" t="s">
        <v>79</v>
      </c>
      <c r="L1164">
        <v>4</v>
      </c>
      <c r="M1164">
        <v>48.14</v>
      </c>
      <c r="N1164">
        <v>0.8</v>
      </c>
      <c r="O1164">
        <v>52</v>
      </c>
      <c r="Q1164">
        <v>47.34</v>
      </c>
      <c r="U1164">
        <v>460</v>
      </c>
      <c r="V1164">
        <v>460</v>
      </c>
      <c r="W1164">
        <v>7.666666666666667</v>
      </c>
      <c r="AF1164">
        <v>0</v>
      </c>
      <c r="AG1164">
        <v>0</v>
      </c>
      <c r="AH1164">
        <v>7.666666666666667</v>
      </c>
      <c r="AI1164">
        <v>4.333333333333333</v>
      </c>
      <c r="AJ1164">
        <v>12</v>
      </c>
      <c r="AL1164">
        <v>1939</v>
      </c>
      <c r="AM1164">
        <v>0</v>
      </c>
      <c r="AN1164">
        <v>48.14</v>
      </c>
      <c r="AP1164">
        <v>36</v>
      </c>
    </row>
    <row r="1165" spans="1:42" x14ac:dyDescent="0.25">
      <c r="A1165" t="s">
        <v>46</v>
      </c>
      <c r="B1165">
        <v>2</v>
      </c>
      <c r="C1165" t="s">
        <v>82</v>
      </c>
      <c r="D1165" s="39">
        <v>45903</v>
      </c>
      <c r="E1165" t="s">
        <v>194</v>
      </c>
      <c r="F1165" t="s">
        <v>79</v>
      </c>
      <c r="G1165">
        <v>2</v>
      </c>
      <c r="H1165" t="s">
        <v>92</v>
      </c>
      <c r="I1165">
        <v>0</v>
      </c>
      <c r="J1165" t="s">
        <v>81</v>
      </c>
      <c r="K1165" t="s">
        <v>79</v>
      </c>
      <c r="L1165">
        <v>6</v>
      </c>
      <c r="M1165">
        <v>52.33</v>
      </c>
      <c r="N1165">
        <v>1.2000000000000002</v>
      </c>
      <c r="Q1165">
        <v>51.129999999999995</v>
      </c>
      <c r="U1165">
        <v>435</v>
      </c>
      <c r="V1165">
        <v>435</v>
      </c>
      <c r="W1165">
        <v>7.25</v>
      </c>
      <c r="AF1165">
        <v>0</v>
      </c>
      <c r="AG1165">
        <v>0</v>
      </c>
      <c r="AH1165">
        <v>7.25</v>
      </c>
      <c r="AI1165">
        <v>4.75</v>
      </c>
      <c r="AJ1165">
        <v>12</v>
      </c>
      <c r="AM1165">
        <v>0</v>
      </c>
      <c r="AN1165">
        <v>52.33</v>
      </c>
      <c r="AP1165">
        <v>36</v>
      </c>
    </row>
    <row r="1166" spans="1:42" x14ac:dyDescent="0.25">
      <c r="A1166" t="s">
        <v>45</v>
      </c>
      <c r="B1166">
        <v>3</v>
      </c>
      <c r="C1166" t="s">
        <v>514</v>
      </c>
      <c r="D1166" s="39">
        <v>45903</v>
      </c>
      <c r="E1166" t="s">
        <v>486</v>
      </c>
      <c r="F1166" t="s">
        <v>79</v>
      </c>
      <c r="G1166">
        <v>9</v>
      </c>
      <c r="H1166" t="s">
        <v>113</v>
      </c>
      <c r="I1166">
        <v>0</v>
      </c>
      <c r="J1166">
        <v>500</v>
      </c>
      <c r="K1166" t="s">
        <v>79</v>
      </c>
      <c r="L1166">
        <v>4</v>
      </c>
      <c r="M1166">
        <v>143.74</v>
      </c>
      <c r="N1166">
        <v>3.6</v>
      </c>
      <c r="Q1166">
        <v>140.14000000000001</v>
      </c>
      <c r="S1166">
        <v>20</v>
      </c>
      <c r="V1166">
        <v>20</v>
      </c>
      <c r="W1166">
        <v>0.33333333333333331</v>
      </c>
      <c r="AF1166">
        <v>0</v>
      </c>
      <c r="AG1166">
        <v>0</v>
      </c>
      <c r="AH1166">
        <v>0.33333333333333331</v>
      </c>
      <c r="AI1166">
        <v>11.666666666666666</v>
      </c>
      <c r="AJ1166">
        <v>12</v>
      </c>
      <c r="AM1166">
        <v>0</v>
      </c>
      <c r="AN1166">
        <v>143.74</v>
      </c>
      <c r="AP1166">
        <v>36</v>
      </c>
    </row>
    <row r="1167" spans="1:42" x14ac:dyDescent="0.25">
      <c r="A1167" t="s">
        <v>45</v>
      </c>
      <c r="B1167">
        <v>3</v>
      </c>
      <c r="C1167" t="s">
        <v>549</v>
      </c>
      <c r="D1167" s="39">
        <v>45903</v>
      </c>
      <c r="E1167" t="s">
        <v>486</v>
      </c>
      <c r="F1167" t="s">
        <v>79</v>
      </c>
      <c r="G1167">
        <v>7</v>
      </c>
      <c r="H1167">
        <v>5</v>
      </c>
      <c r="I1167">
        <v>0</v>
      </c>
      <c r="J1167">
        <v>800</v>
      </c>
      <c r="K1167" t="s">
        <v>79</v>
      </c>
      <c r="L1167">
        <v>5</v>
      </c>
      <c r="M1167">
        <v>162.91000000000003</v>
      </c>
      <c r="N1167">
        <v>3.5999999999999996</v>
      </c>
      <c r="Q1167">
        <v>159.31000000000003</v>
      </c>
      <c r="V1167">
        <v>0</v>
      </c>
      <c r="W1167">
        <v>0</v>
      </c>
      <c r="AF1167">
        <v>0</v>
      </c>
      <c r="AG1167">
        <v>0</v>
      </c>
      <c r="AH1167">
        <v>0</v>
      </c>
      <c r="AI1167">
        <v>12</v>
      </c>
      <c r="AJ1167">
        <v>12</v>
      </c>
      <c r="AM1167">
        <v>0</v>
      </c>
      <c r="AN1167">
        <v>162.91000000000005</v>
      </c>
      <c r="AP1167">
        <v>36</v>
      </c>
    </row>
    <row r="1168" spans="1:42" x14ac:dyDescent="0.25">
      <c r="A1168" t="s">
        <v>46</v>
      </c>
      <c r="B1168">
        <v>3</v>
      </c>
      <c r="C1168" t="s">
        <v>549</v>
      </c>
      <c r="D1168" s="39">
        <v>45903</v>
      </c>
      <c r="E1168" t="s">
        <v>486</v>
      </c>
      <c r="F1168" t="s">
        <v>79</v>
      </c>
      <c r="G1168">
        <v>7</v>
      </c>
      <c r="H1168">
        <v>5</v>
      </c>
      <c r="I1168">
        <v>0</v>
      </c>
      <c r="J1168">
        <v>800</v>
      </c>
      <c r="K1168" t="s">
        <v>79</v>
      </c>
      <c r="L1168">
        <v>7</v>
      </c>
      <c r="M1168">
        <v>251.73999999999998</v>
      </c>
      <c r="N1168">
        <v>5.7</v>
      </c>
      <c r="Q1168">
        <v>246.04</v>
      </c>
      <c r="V1168">
        <v>0</v>
      </c>
      <c r="W1168">
        <v>0</v>
      </c>
      <c r="AF1168">
        <v>0</v>
      </c>
      <c r="AG1168">
        <v>0</v>
      </c>
      <c r="AH1168">
        <v>0</v>
      </c>
      <c r="AI1168">
        <v>12</v>
      </c>
      <c r="AJ1168">
        <v>12</v>
      </c>
      <c r="AM1168">
        <v>0</v>
      </c>
      <c r="AN1168">
        <v>251.74</v>
      </c>
      <c r="AP1168">
        <v>36</v>
      </c>
    </row>
    <row r="1169" spans="1:42" x14ac:dyDescent="0.25">
      <c r="A1169" t="s">
        <v>45</v>
      </c>
      <c r="B1169">
        <v>4</v>
      </c>
      <c r="C1169" t="s">
        <v>527</v>
      </c>
      <c r="D1169" s="39">
        <v>45903</v>
      </c>
      <c r="E1169" t="s">
        <v>400</v>
      </c>
      <c r="F1169" t="s">
        <v>79</v>
      </c>
      <c r="G1169">
        <v>20</v>
      </c>
      <c r="H1169">
        <v>10</v>
      </c>
      <c r="I1169" t="s">
        <v>114</v>
      </c>
      <c r="J1169">
        <v>250</v>
      </c>
      <c r="K1169" t="s">
        <v>79</v>
      </c>
      <c r="L1169">
        <v>6</v>
      </c>
      <c r="M1169">
        <v>310.92</v>
      </c>
      <c r="N1169">
        <v>12.600000000000001</v>
      </c>
      <c r="Q1169">
        <v>298.32</v>
      </c>
      <c r="S1169">
        <v>45</v>
      </c>
      <c r="V1169">
        <v>45</v>
      </c>
      <c r="W1169">
        <v>0.75</v>
      </c>
      <c r="AF1169">
        <v>0</v>
      </c>
      <c r="AG1169">
        <v>0</v>
      </c>
      <c r="AH1169">
        <v>0.75</v>
      </c>
      <c r="AI1169">
        <v>11.25</v>
      </c>
      <c r="AJ1169">
        <v>12</v>
      </c>
      <c r="AM1169">
        <v>0</v>
      </c>
      <c r="AN1169">
        <v>310.92</v>
      </c>
      <c r="AP1169">
        <v>36</v>
      </c>
    </row>
    <row r="1170" spans="1:42" x14ac:dyDescent="0.25">
      <c r="A1170" t="s">
        <v>45</v>
      </c>
      <c r="B1170">
        <v>4</v>
      </c>
      <c r="C1170" t="s">
        <v>528</v>
      </c>
      <c r="D1170" s="39">
        <v>45903</v>
      </c>
      <c r="E1170" t="s">
        <v>282</v>
      </c>
      <c r="F1170" t="s">
        <v>79</v>
      </c>
      <c r="G1170">
        <v>19</v>
      </c>
      <c r="H1170">
        <v>7</v>
      </c>
      <c r="I1170">
        <v>0</v>
      </c>
      <c r="J1170">
        <v>400</v>
      </c>
      <c r="K1170" t="s">
        <v>79</v>
      </c>
      <c r="L1170">
        <v>11</v>
      </c>
      <c r="M1170">
        <v>411.46999999999997</v>
      </c>
      <c r="N1170">
        <v>22</v>
      </c>
      <c r="Q1170">
        <v>389.46999999999997</v>
      </c>
      <c r="V1170">
        <v>0</v>
      </c>
      <c r="W1170">
        <v>0</v>
      </c>
      <c r="AF1170">
        <v>0</v>
      </c>
      <c r="AG1170">
        <v>0</v>
      </c>
      <c r="AH1170">
        <v>0</v>
      </c>
      <c r="AI1170">
        <v>12</v>
      </c>
      <c r="AJ1170">
        <v>12</v>
      </c>
      <c r="AM1170">
        <v>0</v>
      </c>
      <c r="AN1170">
        <v>411.47</v>
      </c>
      <c r="AP1170">
        <v>36</v>
      </c>
    </row>
    <row r="1171" spans="1:42" x14ac:dyDescent="0.25">
      <c r="A1171" t="s">
        <v>45</v>
      </c>
      <c r="B1171">
        <v>4</v>
      </c>
      <c r="C1171" t="s">
        <v>529</v>
      </c>
      <c r="D1171" s="39">
        <v>45903</v>
      </c>
      <c r="E1171" t="s">
        <v>282</v>
      </c>
      <c r="F1171" t="s">
        <v>79</v>
      </c>
      <c r="G1171">
        <v>23</v>
      </c>
      <c r="H1171">
        <v>7</v>
      </c>
      <c r="I1171">
        <v>0</v>
      </c>
      <c r="J1171">
        <v>400</v>
      </c>
      <c r="K1171" t="s">
        <v>79</v>
      </c>
      <c r="L1171">
        <v>1</v>
      </c>
      <c r="M1171">
        <v>56.8</v>
      </c>
      <c r="N1171">
        <v>2.8</v>
      </c>
      <c r="Q1171">
        <v>54</v>
      </c>
      <c r="V1171">
        <v>0</v>
      </c>
      <c r="W1171">
        <v>0</v>
      </c>
      <c r="AF1171">
        <v>0</v>
      </c>
      <c r="AG1171">
        <v>0</v>
      </c>
      <c r="AH1171">
        <v>0</v>
      </c>
      <c r="AI1171">
        <v>12</v>
      </c>
      <c r="AJ1171">
        <v>12</v>
      </c>
      <c r="AM1171">
        <v>0</v>
      </c>
      <c r="AN1171">
        <v>56.8</v>
      </c>
      <c r="AP1171">
        <v>36</v>
      </c>
    </row>
    <row r="1172" spans="1:42" x14ac:dyDescent="0.25">
      <c r="A1172" t="s">
        <v>46</v>
      </c>
      <c r="B1172">
        <v>4</v>
      </c>
      <c r="C1172" t="s">
        <v>529</v>
      </c>
      <c r="D1172" s="39">
        <v>45903</v>
      </c>
      <c r="E1172" t="s">
        <v>282</v>
      </c>
      <c r="F1172" t="s">
        <v>79</v>
      </c>
      <c r="G1172">
        <v>23</v>
      </c>
      <c r="H1172">
        <v>7</v>
      </c>
      <c r="I1172">
        <v>0</v>
      </c>
      <c r="J1172">
        <v>400</v>
      </c>
      <c r="K1172" t="s">
        <v>79</v>
      </c>
      <c r="L1172">
        <v>11</v>
      </c>
      <c r="M1172">
        <v>467.91999999999996</v>
      </c>
      <c r="N1172">
        <v>24.029999999999998</v>
      </c>
      <c r="Q1172">
        <v>443.89</v>
      </c>
      <c r="V1172">
        <v>0</v>
      </c>
      <c r="W1172">
        <v>0</v>
      </c>
      <c r="AF1172">
        <v>0</v>
      </c>
      <c r="AG1172">
        <v>0</v>
      </c>
      <c r="AH1172">
        <v>0</v>
      </c>
      <c r="AI1172">
        <v>12</v>
      </c>
      <c r="AJ1172">
        <v>12</v>
      </c>
      <c r="AM1172">
        <v>0</v>
      </c>
      <c r="AN1172">
        <v>467.92</v>
      </c>
      <c r="AP1172">
        <v>36</v>
      </c>
    </row>
    <row r="1173" spans="1:42" x14ac:dyDescent="0.25">
      <c r="A1173" t="s">
        <v>46</v>
      </c>
      <c r="B1173">
        <v>4</v>
      </c>
      <c r="C1173" t="s">
        <v>530</v>
      </c>
      <c r="D1173" s="39">
        <v>45903</v>
      </c>
      <c r="E1173" t="s">
        <v>470</v>
      </c>
      <c r="F1173" t="s">
        <v>79</v>
      </c>
      <c r="G1173">
        <v>28</v>
      </c>
      <c r="H1173" t="s">
        <v>113</v>
      </c>
      <c r="I1173" t="s">
        <v>99</v>
      </c>
      <c r="J1173">
        <v>500</v>
      </c>
      <c r="K1173" t="s">
        <v>79</v>
      </c>
      <c r="L1173">
        <v>5</v>
      </c>
      <c r="M1173">
        <v>286.39000000000004</v>
      </c>
      <c r="N1173">
        <v>11.8</v>
      </c>
      <c r="Q1173">
        <v>274.59000000000003</v>
      </c>
      <c r="V1173">
        <v>0</v>
      </c>
      <c r="W1173">
        <v>0</v>
      </c>
      <c r="AF1173">
        <v>0</v>
      </c>
      <c r="AG1173">
        <v>0</v>
      </c>
      <c r="AH1173">
        <v>0</v>
      </c>
      <c r="AI1173">
        <v>12</v>
      </c>
      <c r="AJ1173">
        <v>12</v>
      </c>
      <c r="AM1173">
        <v>0</v>
      </c>
      <c r="AN1173">
        <v>286.39000000000004</v>
      </c>
      <c r="AP1173">
        <v>36</v>
      </c>
    </row>
    <row r="1174" spans="1:42" x14ac:dyDescent="0.25">
      <c r="A1174" t="s">
        <v>45</v>
      </c>
      <c r="B1174">
        <v>6</v>
      </c>
      <c r="C1174" t="s">
        <v>526</v>
      </c>
      <c r="D1174" s="39">
        <v>45903</v>
      </c>
      <c r="E1174" t="s">
        <v>396</v>
      </c>
      <c r="F1174" t="s">
        <v>79</v>
      </c>
      <c r="G1174">
        <v>17</v>
      </c>
      <c r="H1174" t="s">
        <v>92</v>
      </c>
      <c r="I1174">
        <v>0</v>
      </c>
      <c r="J1174">
        <v>5000</v>
      </c>
      <c r="K1174" t="s">
        <v>79</v>
      </c>
      <c r="L1174">
        <v>1</v>
      </c>
      <c r="M1174">
        <v>50.43</v>
      </c>
      <c r="N1174">
        <v>1.6</v>
      </c>
      <c r="Q1174">
        <v>48.83</v>
      </c>
      <c r="S1174">
        <v>20</v>
      </c>
      <c r="V1174">
        <v>20</v>
      </c>
      <c r="W1174">
        <v>0.33333333333333331</v>
      </c>
      <c r="Z1174">
        <v>690</v>
      </c>
      <c r="AF1174">
        <v>690</v>
      </c>
      <c r="AG1174">
        <v>11.5</v>
      </c>
      <c r="AH1174">
        <v>11.833333333333334</v>
      </c>
      <c r="AI1174">
        <v>0.16666666666666607</v>
      </c>
      <c r="AJ1174">
        <v>12</v>
      </c>
      <c r="AM1174">
        <v>0</v>
      </c>
      <c r="AN1174">
        <v>50.43</v>
      </c>
      <c r="AP1174">
        <v>36</v>
      </c>
    </row>
    <row r="1175" spans="1:42" x14ac:dyDescent="0.25">
      <c r="A1175" t="s">
        <v>45</v>
      </c>
      <c r="B1175">
        <v>5</v>
      </c>
      <c r="C1175" t="s">
        <v>485</v>
      </c>
      <c r="D1175" s="39">
        <v>45903</v>
      </c>
      <c r="E1175" t="s">
        <v>486</v>
      </c>
      <c r="F1175" t="s">
        <v>79</v>
      </c>
      <c r="G1175">
        <v>10</v>
      </c>
      <c r="H1175">
        <v>5</v>
      </c>
      <c r="I1175">
        <v>0</v>
      </c>
      <c r="J1175">
        <v>2000</v>
      </c>
      <c r="K1175" t="s">
        <v>79</v>
      </c>
      <c r="L1175">
        <v>2</v>
      </c>
      <c r="M1175">
        <v>93.45</v>
      </c>
      <c r="N1175">
        <v>2.2199999999999998</v>
      </c>
      <c r="Q1175">
        <v>91.23</v>
      </c>
      <c r="V1175">
        <v>0</v>
      </c>
      <c r="W1175">
        <v>0</v>
      </c>
      <c r="AF1175">
        <v>0</v>
      </c>
      <c r="AG1175">
        <v>0</v>
      </c>
      <c r="AH1175">
        <v>0</v>
      </c>
      <c r="AI1175">
        <v>12</v>
      </c>
      <c r="AJ1175">
        <v>12</v>
      </c>
      <c r="AM1175">
        <v>0</v>
      </c>
      <c r="AN1175">
        <v>93.45</v>
      </c>
      <c r="AP1175">
        <v>36</v>
      </c>
    </row>
    <row r="1176" spans="1:42" x14ac:dyDescent="0.25">
      <c r="A1176" t="s">
        <v>45</v>
      </c>
      <c r="B1176">
        <v>5</v>
      </c>
      <c r="C1176" t="s">
        <v>531</v>
      </c>
      <c r="D1176" s="39">
        <v>45903</v>
      </c>
      <c r="E1176" t="s">
        <v>442</v>
      </c>
      <c r="F1176" t="s">
        <v>79</v>
      </c>
      <c r="G1176">
        <v>13</v>
      </c>
      <c r="H1176">
        <v>7</v>
      </c>
      <c r="I1176">
        <v>0</v>
      </c>
      <c r="J1176">
        <v>200</v>
      </c>
      <c r="K1176" t="s">
        <v>79</v>
      </c>
      <c r="L1176">
        <v>7</v>
      </c>
      <c r="M1176">
        <v>319.86999999999995</v>
      </c>
      <c r="N1176">
        <v>9.57</v>
      </c>
      <c r="Q1176">
        <v>310.29999999999995</v>
      </c>
      <c r="V1176">
        <v>0</v>
      </c>
      <c r="W1176">
        <v>0</v>
      </c>
      <c r="AF1176">
        <v>0</v>
      </c>
      <c r="AG1176">
        <v>0</v>
      </c>
      <c r="AH1176">
        <v>0</v>
      </c>
      <c r="AI1176">
        <v>12</v>
      </c>
      <c r="AJ1176">
        <v>12</v>
      </c>
      <c r="AM1176">
        <v>0</v>
      </c>
      <c r="AN1176">
        <v>319.86999999999995</v>
      </c>
      <c r="AP1176">
        <v>36</v>
      </c>
    </row>
    <row r="1177" spans="1:42" x14ac:dyDescent="0.25">
      <c r="A1177" t="s">
        <v>45</v>
      </c>
      <c r="B1177">
        <v>5</v>
      </c>
      <c r="C1177" t="s">
        <v>532</v>
      </c>
      <c r="D1177" s="39">
        <v>45903</v>
      </c>
      <c r="E1177" t="s">
        <v>243</v>
      </c>
      <c r="F1177" t="s">
        <v>79</v>
      </c>
      <c r="G1177">
        <v>13</v>
      </c>
      <c r="H1177" t="s">
        <v>123</v>
      </c>
      <c r="I1177" t="s">
        <v>103</v>
      </c>
      <c r="J1177">
        <v>100</v>
      </c>
      <c r="K1177" t="s">
        <v>79</v>
      </c>
      <c r="L1177">
        <v>3</v>
      </c>
      <c r="M1177">
        <v>100.38</v>
      </c>
      <c r="N1177">
        <v>4.5</v>
      </c>
      <c r="Q1177">
        <v>95.88</v>
      </c>
      <c r="V1177">
        <v>0</v>
      </c>
      <c r="W1177">
        <v>0</v>
      </c>
      <c r="AF1177">
        <v>0</v>
      </c>
      <c r="AG1177">
        <v>0</v>
      </c>
      <c r="AH1177">
        <v>0</v>
      </c>
      <c r="AI1177">
        <v>12</v>
      </c>
      <c r="AJ1177">
        <v>12</v>
      </c>
      <c r="AM1177">
        <v>0</v>
      </c>
      <c r="AN1177">
        <v>100.38</v>
      </c>
      <c r="AP1177">
        <v>36</v>
      </c>
    </row>
    <row r="1178" spans="1:42" x14ac:dyDescent="0.25">
      <c r="A1178" t="s">
        <v>45</v>
      </c>
      <c r="B1178">
        <v>5</v>
      </c>
      <c r="C1178" t="s">
        <v>533</v>
      </c>
      <c r="D1178" s="39">
        <v>45903</v>
      </c>
      <c r="E1178" t="s">
        <v>194</v>
      </c>
      <c r="F1178" t="s">
        <v>79</v>
      </c>
      <c r="G1178">
        <v>13</v>
      </c>
      <c r="H1178" t="s">
        <v>534</v>
      </c>
      <c r="I1178">
        <v>0</v>
      </c>
      <c r="J1178">
        <v>500</v>
      </c>
      <c r="K1178" t="s">
        <v>79</v>
      </c>
      <c r="L1178">
        <v>3</v>
      </c>
      <c r="M1178">
        <v>165.85</v>
      </c>
      <c r="N1178">
        <v>3.9000000000000004</v>
      </c>
      <c r="Q1178">
        <v>161.94999999999999</v>
      </c>
      <c r="V1178">
        <v>0</v>
      </c>
      <c r="W1178">
        <v>0</v>
      </c>
      <c r="AF1178">
        <v>0</v>
      </c>
      <c r="AG1178">
        <v>0</v>
      </c>
      <c r="AH1178">
        <v>0</v>
      </c>
      <c r="AI1178">
        <v>12</v>
      </c>
      <c r="AJ1178">
        <v>12</v>
      </c>
      <c r="AM1178">
        <v>0</v>
      </c>
      <c r="AN1178">
        <v>165.85</v>
      </c>
      <c r="AP1178">
        <v>36</v>
      </c>
    </row>
    <row r="1179" spans="1:42" x14ac:dyDescent="0.25">
      <c r="A1179" t="s">
        <v>46</v>
      </c>
      <c r="B1179">
        <v>5</v>
      </c>
      <c r="C1179" t="s">
        <v>533</v>
      </c>
      <c r="D1179" s="39">
        <v>45903</v>
      </c>
      <c r="E1179" t="s">
        <v>194</v>
      </c>
      <c r="F1179" t="s">
        <v>79</v>
      </c>
      <c r="G1179">
        <v>13</v>
      </c>
      <c r="H1179" t="s">
        <v>534</v>
      </c>
      <c r="I1179">
        <v>0</v>
      </c>
      <c r="J1179">
        <v>500</v>
      </c>
      <c r="K1179" t="s">
        <v>79</v>
      </c>
      <c r="L1179">
        <v>12</v>
      </c>
      <c r="M1179">
        <v>630.31000000000017</v>
      </c>
      <c r="N1179">
        <v>19.7</v>
      </c>
      <c r="Q1179">
        <v>610.61000000000013</v>
      </c>
      <c r="V1179">
        <v>0</v>
      </c>
      <c r="W1179">
        <v>0</v>
      </c>
      <c r="AF1179">
        <v>0</v>
      </c>
      <c r="AG1179">
        <v>0</v>
      </c>
      <c r="AH1179">
        <v>0</v>
      </c>
      <c r="AI1179">
        <v>12</v>
      </c>
      <c r="AJ1179">
        <v>12</v>
      </c>
      <c r="AM1179">
        <v>0</v>
      </c>
      <c r="AN1179">
        <v>630.31000000000017</v>
      </c>
      <c r="AP1179">
        <v>36</v>
      </c>
    </row>
    <row r="1180" spans="1:42" x14ac:dyDescent="0.25">
      <c r="A1180" t="s">
        <v>45</v>
      </c>
      <c r="B1180">
        <v>1</v>
      </c>
      <c r="C1180" t="s">
        <v>522</v>
      </c>
      <c r="D1180" s="39">
        <v>45904</v>
      </c>
      <c r="E1180" t="s">
        <v>477</v>
      </c>
      <c r="F1180" t="s">
        <v>79</v>
      </c>
      <c r="G1180">
        <v>3.5</v>
      </c>
      <c r="H1180" t="s">
        <v>534</v>
      </c>
      <c r="I1180">
        <v>0</v>
      </c>
      <c r="J1180">
        <v>125</v>
      </c>
      <c r="K1180" t="s">
        <v>79</v>
      </c>
      <c r="L1180">
        <v>8</v>
      </c>
      <c r="M1180">
        <v>81.710000000000008</v>
      </c>
      <c r="N1180">
        <v>1.6</v>
      </c>
      <c r="O1180">
        <v>30</v>
      </c>
      <c r="Q1180">
        <v>80.110000000000014</v>
      </c>
      <c r="T1180">
        <v>90</v>
      </c>
      <c r="V1180">
        <v>90</v>
      </c>
      <c r="W1180">
        <v>1.5</v>
      </c>
      <c r="AF1180">
        <v>0</v>
      </c>
      <c r="AG1180">
        <v>0</v>
      </c>
      <c r="AH1180">
        <v>1.5</v>
      </c>
      <c r="AI1180">
        <v>10.5</v>
      </c>
      <c r="AJ1180">
        <v>12</v>
      </c>
      <c r="AL1180">
        <v>2085.5</v>
      </c>
      <c r="AM1180">
        <v>0</v>
      </c>
      <c r="AN1180">
        <v>81.709999999999994</v>
      </c>
      <c r="AP1180">
        <v>36</v>
      </c>
    </row>
    <row r="1181" spans="1:42" x14ac:dyDescent="0.25">
      <c r="A1181" t="s">
        <v>46</v>
      </c>
      <c r="B1181">
        <v>1</v>
      </c>
      <c r="C1181" t="s">
        <v>522</v>
      </c>
      <c r="D1181" s="39">
        <v>45904</v>
      </c>
      <c r="E1181" t="s">
        <v>477</v>
      </c>
      <c r="F1181" t="s">
        <v>79</v>
      </c>
      <c r="G1181">
        <v>3.5</v>
      </c>
      <c r="H1181" t="s">
        <v>534</v>
      </c>
      <c r="I1181">
        <v>0</v>
      </c>
      <c r="J1181">
        <v>125</v>
      </c>
      <c r="K1181" t="s">
        <v>79</v>
      </c>
      <c r="L1181">
        <v>8</v>
      </c>
      <c r="M1181">
        <v>101.73</v>
      </c>
      <c r="N1181">
        <v>1.6</v>
      </c>
      <c r="O1181">
        <v>41</v>
      </c>
      <c r="Q1181">
        <v>100.13000000000001</v>
      </c>
      <c r="V1181">
        <v>0</v>
      </c>
      <c r="W1181">
        <v>0</v>
      </c>
      <c r="AF1181">
        <v>0</v>
      </c>
      <c r="AG1181">
        <v>0</v>
      </c>
      <c r="AH1181">
        <v>0</v>
      </c>
      <c r="AI1181">
        <v>12</v>
      </c>
      <c r="AJ1181">
        <v>12</v>
      </c>
      <c r="AM1181">
        <v>0</v>
      </c>
      <c r="AN1181">
        <v>101.73</v>
      </c>
      <c r="AP1181">
        <v>36</v>
      </c>
    </row>
    <row r="1182" spans="1:42" x14ac:dyDescent="0.25">
      <c r="A1182" t="s">
        <v>45</v>
      </c>
      <c r="B1182">
        <v>2</v>
      </c>
      <c r="C1182" t="s">
        <v>82</v>
      </c>
      <c r="D1182" s="39">
        <v>45904</v>
      </c>
      <c r="E1182" t="s">
        <v>194</v>
      </c>
      <c r="F1182" t="s">
        <v>79</v>
      </c>
      <c r="G1182">
        <v>2</v>
      </c>
      <c r="H1182" t="s">
        <v>92</v>
      </c>
      <c r="I1182">
        <v>0</v>
      </c>
      <c r="J1182" t="s">
        <v>81</v>
      </c>
      <c r="K1182" t="s">
        <v>79</v>
      </c>
      <c r="L1182">
        <v>4</v>
      </c>
      <c r="M1182">
        <v>51.5</v>
      </c>
      <c r="N1182">
        <v>0.8</v>
      </c>
      <c r="Q1182">
        <v>50.7</v>
      </c>
      <c r="V1182">
        <v>0</v>
      </c>
      <c r="W1182">
        <v>0</v>
      </c>
      <c r="Z1182">
        <v>120</v>
      </c>
      <c r="AF1182">
        <v>120</v>
      </c>
      <c r="AG1182">
        <v>2</v>
      </c>
      <c r="AH1182">
        <v>2</v>
      </c>
      <c r="AI1182">
        <v>10</v>
      </c>
      <c r="AJ1182">
        <v>12</v>
      </c>
      <c r="AM1182">
        <v>0</v>
      </c>
      <c r="AN1182">
        <v>51.5</v>
      </c>
      <c r="AP1182">
        <v>36</v>
      </c>
    </row>
    <row r="1183" spans="1:42" x14ac:dyDescent="0.25">
      <c r="A1183" t="s">
        <v>46</v>
      </c>
      <c r="B1183">
        <v>2</v>
      </c>
      <c r="C1183" t="s">
        <v>82</v>
      </c>
      <c r="D1183" s="39">
        <v>45904</v>
      </c>
      <c r="E1183" t="s">
        <v>194</v>
      </c>
      <c r="F1183" t="s">
        <v>79</v>
      </c>
      <c r="G1183">
        <v>2</v>
      </c>
      <c r="H1183" t="s">
        <v>92</v>
      </c>
      <c r="I1183">
        <v>0</v>
      </c>
      <c r="J1183" t="s">
        <v>81</v>
      </c>
      <c r="K1183" t="s">
        <v>79</v>
      </c>
      <c r="L1183">
        <v>4</v>
      </c>
      <c r="M1183">
        <v>24.79</v>
      </c>
      <c r="N1183">
        <v>0.8</v>
      </c>
      <c r="Q1183">
        <v>23.99</v>
      </c>
      <c r="V1183">
        <v>0</v>
      </c>
      <c r="W1183">
        <v>0</v>
      </c>
      <c r="AF1183">
        <v>0</v>
      </c>
      <c r="AG1183">
        <v>0</v>
      </c>
      <c r="AH1183">
        <v>0</v>
      </c>
      <c r="AI1183">
        <v>12</v>
      </c>
      <c r="AJ1183">
        <v>12</v>
      </c>
      <c r="AM1183">
        <v>0</v>
      </c>
      <c r="AN1183">
        <v>24.79</v>
      </c>
      <c r="AP1183">
        <v>36</v>
      </c>
    </row>
    <row r="1184" spans="1:42" x14ac:dyDescent="0.25">
      <c r="A1184" t="s">
        <v>46</v>
      </c>
      <c r="B1184">
        <v>2</v>
      </c>
      <c r="C1184" t="s">
        <v>535</v>
      </c>
      <c r="D1184" s="39">
        <v>45904</v>
      </c>
      <c r="E1184" t="s">
        <v>200</v>
      </c>
      <c r="F1184" t="s">
        <v>79</v>
      </c>
      <c r="G1184">
        <v>2</v>
      </c>
      <c r="H1184">
        <v>5</v>
      </c>
      <c r="I1184">
        <v>0</v>
      </c>
      <c r="J1184">
        <v>500</v>
      </c>
      <c r="K1184" t="s">
        <v>79</v>
      </c>
      <c r="L1184">
        <v>4</v>
      </c>
      <c r="M1184">
        <v>81.17</v>
      </c>
      <c r="N1184">
        <v>0.8</v>
      </c>
      <c r="Q1184">
        <v>80.37</v>
      </c>
      <c r="V1184">
        <v>0</v>
      </c>
      <c r="W1184">
        <v>0</v>
      </c>
      <c r="AF1184">
        <v>0</v>
      </c>
      <c r="AG1184">
        <v>0</v>
      </c>
      <c r="AH1184">
        <v>0</v>
      </c>
      <c r="AI1184">
        <v>12</v>
      </c>
      <c r="AJ1184">
        <v>12</v>
      </c>
      <c r="AM1184">
        <v>0</v>
      </c>
      <c r="AN1184">
        <v>81.17</v>
      </c>
      <c r="AP1184">
        <v>36</v>
      </c>
    </row>
    <row r="1185" spans="1:42" x14ac:dyDescent="0.25">
      <c r="A1185" t="s">
        <v>45</v>
      </c>
      <c r="B1185">
        <v>3</v>
      </c>
      <c r="C1185" t="s">
        <v>549</v>
      </c>
      <c r="D1185" s="39">
        <v>45904</v>
      </c>
      <c r="E1185" t="s">
        <v>486</v>
      </c>
      <c r="F1185" t="s">
        <v>79</v>
      </c>
      <c r="G1185">
        <v>7</v>
      </c>
      <c r="H1185">
        <v>5</v>
      </c>
      <c r="I1185">
        <v>0</v>
      </c>
      <c r="J1185">
        <v>800</v>
      </c>
      <c r="K1185" t="s">
        <v>79</v>
      </c>
      <c r="L1185">
        <v>8</v>
      </c>
      <c r="M1185">
        <v>248.21</v>
      </c>
      <c r="N1185">
        <v>5.6</v>
      </c>
      <c r="Q1185">
        <v>242.61</v>
      </c>
      <c r="V1185">
        <v>0</v>
      </c>
      <c r="W1185">
        <v>0</v>
      </c>
      <c r="AF1185">
        <v>0</v>
      </c>
      <c r="AG1185">
        <v>0</v>
      </c>
      <c r="AH1185">
        <v>0</v>
      </c>
      <c r="AI1185">
        <v>12</v>
      </c>
      <c r="AJ1185">
        <v>12</v>
      </c>
      <c r="AM1185">
        <v>0</v>
      </c>
      <c r="AN1185">
        <v>248.21</v>
      </c>
      <c r="AP1185">
        <v>36</v>
      </c>
    </row>
    <row r="1186" spans="1:42" x14ac:dyDescent="0.25">
      <c r="A1186" t="s">
        <v>46</v>
      </c>
      <c r="B1186">
        <v>3</v>
      </c>
      <c r="C1186" t="s">
        <v>536</v>
      </c>
      <c r="D1186" s="39">
        <v>45904</v>
      </c>
      <c r="E1186" t="s">
        <v>537</v>
      </c>
      <c r="F1186" t="s">
        <v>79</v>
      </c>
      <c r="G1186">
        <v>7</v>
      </c>
      <c r="H1186">
        <v>4</v>
      </c>
      <c r="I1186">
        <v>0</v>
      </c>
      <c r="J1186">
        <v>200</v>
      </c>
      <c r="K1186" t="s">
        <v>79</v>
      </c>
      <c r="L1186">
        <v>4</v>
      </c>
      <c r="M1186">
        <v>134.66999999999999</v>
      </c>
      <c r="N1186">
        <v>3.2</v>
      </c>
      <c r="Q1186">
        <v>131.47</v>
      </c>
      <c r="V1186">
        <v>0</v>
      </c>
      <c r="W1186">
        <v>0</v>
      </c>
      <c r="Z1186">
        <v>160</v>
      </c>
      <c r="AF1186">
        <v>160</v>
      </c>
      <c r="AG1186">
        <v>2.6666666666666665</v>
      </c>
      <c r="AH1186">
        <v>2.6666666666666665</v>
      </c>
      <c r="AI1186">
        <v>9.3333333333333339</v>
      </c>
      <c r="AJ1186">
        <v>12</v>
      </c>
      <c r="AM1186">
        <v>0</v>
      </c>
      <c r="AN1186">
        <v>134.66999999999999</v>
      </c>
      <c r="AP1186">
        <v>36</v>
      </c>
    </row>
    <row r="1187" spans="1:42" x14ac:dyDescent="0.25">
      <c r="A1187" t="s">
        <v>45</v>
      </c>
      <c r="B1187">
        <v>4</v>
      </c>
      <c r="C1187" t="s">
        <v>530</v>
      </c>
      <c r="D1187" s="39">
        <v>45904</v>
      </c>
      <c r="E1187" t="s">
        <v>470</v>
      </c>
      <c r="F1187" t="s">
        <v>79</v>
      </c>
      <c r="G1187">
        <v>28</v>
      </c>
      <c r="H1187" t="s">
        <v>113</v>
      </c>
      <c r="I1187" t="s">
        <v>99</v>
      </c>
      <c r="J1187">
        <v>500</v>
      </c>
      <c r="K1187" t="s">
        <v>79</v>
      </c>
      <c r="L1187">
        <v>14</v>
      </c>
      <c r="M1187">
        <v>753.56999999999994</v>
      </c>
      <c r="N1187">
        <v>42</v>
      </c>
      <c r="Q1187">
        <v>711.56999999999994</v>
      </c>
      <c r="V1187">
        <v>0</v>
      </c>
      <c r="W1187">
        <v>0</v>
      </c>
      <c r="AF1187">
        <v>0</v>
      </c>
      <c r="AG1187">
        <v>0</v>
      </c>
      <c r="AH1187">
        <v>0</v>
      </c>
      <c r="AI1187">
        <v>12</v>
      </c>
      <c r="AJ1187">
        <v>12</v>
      </c>
      <c r="AM1187">
        <v>0</v>
      </c>
      <c r="AN1187">
        <v>753.57</v>
      </c>
      <c r="AP1187">
        <v>36</v>
      </c>
    </row>
    <row r="1188" spans="1:42" x14ac:dyDescent="0.25">
      <c r="A1188" t="s">
        <v>46</v>
      </c>
      <c r="B1188">
        <v>4</v>
      </c>
      <c r="C1188" t="s">
        <v>530</v>
      </c>
      <c r="D1188" s="39">
        <v>45904</v>
      </c>
      <c r="E1188" t="s">
        <v>470</v>
      </c>
      <c r="F1188" t="s">
        <v>79</v>
      </c>
      <c r="G1188">
        <v>28</v>
      </c>
      <c r="H1188" t="s">
        <v>113</v>
      </c>
      <c r="I1188" t="s">
        <v>99</v>
      </c>
      <c r="J1188">
        <v>500</v>
      </c>
      <c r="K1188" t="s">
        <v>79</v>
      </c>
      <c r="L1188">
        <v>6</v>
      </c>
      <c r="M1188">
        <v>300.27999999999997</v>
      </c>
      <c r="N1188">
        <v>18.310000000000002</v>
      </c>
      <c r="Q1188">
        <v>281.96999999999997</v>
      </c>
      <c r="S1188">
        <v>20</v>
      </c>
      <c r="V1188">
        <v>20</v>
      </c>
      <c r="W1188">
        <v>0.33333333333333331</v>
      </c>
      <c r="AF1188">
        <v>0</v>
      </c>
      <c r="AG1188">
        <v>0</v>
      </c>
      <c r="AH1188">
        <v>0.33333333333333331</v>
      </c>
      <c r="AI1188">
        <v>11.666666666666666</v>
      </c>
      <c r="AJ1188">
        <v>12</v>
      </c>
      <c r="AM1188">
        <v>0</v>
      </c>
      <c r="AN1188">
        <v>300.27999999999997</v>
      </c>
      <c r="AP1188">
        <v>36</v>
      </c>
    </row>
    <row r="1189" spans="1:42" x14ac:dyDescent="0.25">
      <c r="A1189" t="s">
        <v>46</v>
      </c>
      <c r="B1189">
        <v>4</v>
      </c>
      <c r="C1189" t="s">
        <v>538</v>
      </c>
      <c r="D1189" s="39">
        <v>45904</v>
      </c>
      <c r="E1189" t="s">
        <v>200</v>
      </c>
      <c r="F1189" t="s">
        <v>79</v>
      </c>
      <c r="G1189">
        <v>18</v>
      </c>
      <c r="H1189">
        <v>6</v>
      </c>
      <c r="I1189">
        <v>0</v>
      </c>
      <c r="J1189">
        <v>150</v>
      </c>
      <c r="K1189" t="s">
        <v>79</v>
      </c>
      <c r="L1189">
        <v>6</v>
      </c>
      <c r="M1189">
        <v>281.15999999999997</v>
      </c>
      <c r="N1189">
        <v>13</v>
      </c>
      <c r="Q1189">
        <v>268.15999999999997</v>
      </c>
      <c r="V1189">
        <v>0</v>
      </c>
      <c r="W1189">
        <v>0</v>
      </c>
      <c r="AF1189">
        <v>0</v>
      </c>
      <c r="AG1189">
        <v>0</v>
      </c>
      <c r="AH1189">
        <v>0</v>
      </c>
      <c r="AI1189">
        <v>12</v>
      </c>
      <c r="AJ1189">
        <v>12</v>
      </c>
      <c r="AM1189">
        <v>0</v>
      </c>
      <c r="AN1189">
        <v>281.15999999999997</v>
      </c>
      <c r="AP1189">
        <v>36</v>
      </c>
    </row>
    <row r="1190" spans="1:42" x14ac:dyDescent="0.25">
      <c r="A1190" t="s">
        <v>46</v>
      </c>
      <c r="B1190">
        <v>4</v>
      </c>
      <c r="C1190" t="s">
        <v>539</v>
      </c>
      <c r="D1190" s="39">
        <v>45904</v>
      </c>
      <c r="E1190" t="s">
        <v>243</v>
      </c>
      <c r="F1190" t="s">
        <v>79</v>
      </c>
      <c r="G1190">
        <v>18</v>
      </c>
      <c r="H1190" t="s">
        <v>102</v>
      </c>
      <c r="I1190" t="s">
        <v>103</v>
      </c>
      <c r="J1190">
        <v>225</v>
      </c>
      <c r="K1190" t="s">
        <v>79</v>
      </c>
      <c r="L1190">
        <v>3</v>
      </c>
      <c r="M1190">
        <v>149.44</v>
      </c>
      <c r="N1190">
        <v>6.5000000000000009</v>
      </c>
      <c r="Q1190">
        <v>142.94</v>
      </c>
      <c r="V1190">
        <v>0</v>
      </c>
      <c r="W1190">
        <v>0</v>
      </c>
      <c r="AF1190">
        <v>0</v>
      </c>
      <c r="AG1190">
        <v>0</v>
      </c>
      <c r="AH1190">
        <v>0</v>
      </c>
      <c r="AI1190">
        <v>12</v>
      </c>
      <c r="AJ1190">
        <v>12</v>
      </c>
      <c r="AM1190">
        <v>0</v>
      </c>
      <c r="AN1190">
        <v>149.44</v>
      </c>
      <c r="AP1190">
        <v>36</v>
      </c>
    </row>
    <row r="1191" spans="1:42" x14ac:dyDescent="0.25">
      <c r="A1191" t="s">
        <v>45</v>
      </c>
      <c r="B1191">
        <v>5</v>
      </c>
      <c r="C1191" t="s">
        <v>132</v>
      </c>
      <c r="D1191" s="39">
        <v>45904</v>
      </c>
      <c r="E1191" t="s">
        <v>194</v>
      </c>
      <c r="F1191" t="s">
        <v>79</v>
      </c>
      <c r="G1191">
        <v>13</v>
      </c>
      <c r="H1191">
        <v>5</v>
      </c>
      <c r="I1191">
        <v>0</v>
      </c>
      <c r="J1191" t="s">
        <v>81</v>
      </c>
      <c r="K1191" t="s">
        <v>79</v>
      </c>
      <c r="L1191">
        <v>5</v>
      </c>
      <c r="M1191">
        <v>273.77999999999997</v>
      </c>
      <c r="N1191">
        <v>6.5</v>
      </c>
      <c r="Q1191">
        <v>267.27999999999997</v>
      </c>
      <c r="S1191">
        <v>20</v>
      </c>
      <c r="V1191">
        <v>20</v>
      </c>
      <c r="W1191">
        <v>0.33333333333333331</v>
      </c>
      <c r="AF1191">
        <v>0</v>
      </c>
      <c r="AG1191">
        <v>0</v>
      </c>
      <c r="AH1191">
        <v>0.33333333333333331</v>
      </c>
      <c r="AI1191">
        <v>11.666666666666666</v>
      </c>
      <c r="AJ1191">
        <v>12</v>
      </c>
      <c r="AM1191">
        <v>0</v>
      </c>
      <c r="AN1191">
        <v>273.77999999999997</v>
      </c>
      <c r="AP1191">
        <v>36</v>
      </c>
    </row>
    <row r="1192" spans="1:42" x14ac:dyDescent="0.25">
      <c r="A1192" t="s">
        <v>45</v>
      </c>
      <c r="B1192">
        <v>5</v>
      </c>
      <c r="C1192" t="s">
        <v>540</v>
      </c>
      <c r="D1192" s="39">
        <v>45904</v>
      </c>
      <c r="E1192" t="s">
        <v>400</v>
      </c>
      <c r="F1192" t="s">
        <v>79</v>
      </c>
      <c r="G1192">
        <v>14</v>
      </c>
      <c r="H1192">
        <v>10</v>
      </c>
      <c r="I1192" t="s">
        <v>114</v>
      </c>
      <c r="J1192">
        <v>400</v>
      </c>
      <c r="K1192" t="s">
        <v>79</v>
      </c>
      <c r="L1192">
        <v>6</v>
      </c>
      <c r="M1192">
        <v>272.39</v>
      </c>
      <c r="N1192">
        <v>8.3999999999999986</v>
      </c>
      <c r="Q1192">
        <v>263.99</v>
      </c>
      <c r="V1192">
        <v>0</v>
      </c>
      <c r="W1192">
        <v>0</v>
      </c>
      <c r="AF1192">
        <v>0</v>
      </c>
      <c r="AG1192">
        <v>0</v>
      </c>
      <c r="AH1192">
        <v>0</v>
      </c>
      <c r="AI1192">
        <v>12</v>
      </c>
      <c r="AJ1192">
        <v>12</v>
      </c>
      <c r="AM1192">
        <v>0</v>
      </c>
      <c r="AN1192">
        <v>272.39</v>
      </c>
      <c r="AP1192">
        <v>36</v>
      </c>
    </row>
    <row r="1193" spans="1:42" x14ac:dyDescent="0.25">
      <c r="A1193" t="s">
        <v>45</v>
      </c>
      <c r="B1193">
        <v>5</v>
      </c>
      <c r="C1193" t="s">
        <v>541</v>
      </c>
      <c r="D1193" s="39">
        <v>45904</v>
      </c>
      <c r="E1193" t="s">
        <v>486</v>
      </c>
      <c r="F1193" t="s">
        <v>79</v>
      </c>
      <c r="G1193">
        <v>14</v>
      </c>
      <c r="H1193">
        <v>5</v>
      </c>
      <c r="I1193">
        <v>0</v>
      </c>
      <c r="J1193">
        <v>1000</v>
      </c>
      <c r="K1193" t="s">
        <v>79</v>
      </c>
      <c r="L1193">
        <v>2</v>
      </c>
      <c r="M1193">
        <v>88.6</v>
      </c>
      <c r="N1193">
        <v>2.8</v>
      </c>
      <c r="Q1193">
        <v>85.8</v>
      </c>
      <c r="V1193">
        <v>0</v>
      </c>
      <c r="W1193">
        <v>0</v>
      </c>
      <c r="AF1193">
        <v>0</v>
      </c>
      <c r="AG1193">
        <v>0</v>
      </c>
      <c r="AH1193">
        <v>0</v>
      </c>
      <c r="AI1193">
        <v>12</v>
      </c>
      <c r="AJ1193">
        <v>12</v>
      </c>
      <c r="AM1193">
        <v>0</v>
      </c>
      <c r="AN1193">
        <v>88.6</v>
      </c>
      <c r="AP1193">
        <v>36</v>
      </c>
    </row>
    <row r="1194" spans="1:42" x14ac:dyDescent="0.25">
      <c r="A1194" t="s">
        <v>46</v>
      </c>
      <c r="B1194">
        <v>5</v>
      </c>
      <c r="C1194" t="s">
        <v>540</v>
      </c>
      <c r="D1194" s="39">
        <v>45904</v>
      </c>
      <c r="E1194" t="s">
        <v>400</v>
      </c>
      <c r="F1194" t="s">
        <v>79</v>
      </c>
      <c r="G1194">
        <v>14</v>
      </c>
      <c r="H1194">
        <v>10</v>
      </c>
      <c r="I1194" t="s">
        <v>114</v>
      </c>
      <c r="J1194">
        <v>400</v>
      </c>
      <c r="K1194" t="s">
        <v>79</v>
      </c>
      <c r="L1194">
        <v>8</v>
      </c>
      <c r="M1194">
        <v>388.90000000000003</v>
      </c>
      <c r="N1194">
        <v>14.4</v>
      </c>
      <c r="Q1194">
        <v>374.50000000000006</v>
      </c>
      <c r="V1194">
        <v>0</v>
      </c>
      <c r="W1194">
        <v>0</v>
      </c>
      <c r="AF1194">
        <v>0</v>
      </c>
      <c r="AG1194">
        <v>0</v>
      </c>
      <c r="AH1194">
        <v>0</v>
      </c>
      <c r="AI1194">
        <v>12</v>
      </c>
      <c r="AJ1194">
        <v>12</v>
      </c>
      <c r="AM1194">
        <v>0</v>
      </c>
      <c r="AN1194">
        <v>388.9</v>
      </c>
      <c r="AP1194">
        <v>36</v>
      </c>
    </row>
    <row r="1195" spans="1:42" x14ac:dyDescent="0.25">
      <c r="A1195" t="s">
        <v>46</v>
      </c>
      <c r="B1195">
        <v>5</v>
      </c>
      <c r="C1195" t="s">
        <v>542</v>
      </c>
      <c r="D1195" s="39">
        <v>45904</v>
      </c>
      <c r="E1195" t="s">
        <v>477</v>
      </c>
      <c r="F1195" t="s">
        <v>79</v>
      </c>
      <c r="G1195">
        <v>14</v>
      </c>
      <c r="H1195">
        <v>4.5</v>
      </c>
      <c r="I1195">
        <v>0</v>
      </c>
      <c r="J1195">
        <v>100</v>
      </c>
      <c r="K1195" t="s">
        <v>79</v>
      </c>
      <c r="L1195">
        <v>4</v>
      </c>
      <c r="M1195">
        <v>219.56</v>
      </c>
      <c r="N1195">
        <v>7.2</v>
      </c>
      <c r="Q1195">
        <v>212.36</v>
      </c>
      <c r="V1195">
        <v>0</v>
      </c>
      <c r="W1195">
        <v>0</v>
      </c>
      <c r="AF1195">
        <v>0</v>
      </c>
      <c r="AG1195">
        <v>0</v>
      </c>
      <c r="AH1195">
        <v>0</v>
      </c>
      <c r="AI1195">
        <v>12</v>
      </c>
      <c r="AJ1195">
        <v>12</v>
      </c>
      <c r="AM1195">
        <v>0</v>
      </c>
      <c r="AN1195">
        <v>219.56</v>
      </c>
      <c r="AP1195">
        <v>36</v>
      </c>
    </row>
    <row r="1196" spans="1:42" x14ac:dyDescent="0.25">
      <c r="A1196" t="s">
        <v>45</v>
      </c>
      <c r="B1196">
        <v>3</v>
      </c>
      <c r="C1196" t="s">
        <v>543</v>
      </c>
      <c r="D1196" s="39">
        <v>45905</v>
      </c>
      <c r="E1196" t="s">
        <v>486</v>
      </c>
      <c r="F1196" t="s">
        <v>79</v>
      </c>
      <c r="G1196">
        <v>8</v>
      </c>
      <c r="H1196">
        <v>5</v>
      </c>
      <c r="I1196">
        <v>0</v>
      </c>
      <c r="J1196">
        <v>1000</v>
      </c>
      <c r="K1196" t="s">
        <v>79</v>
      </c>
      <c r="L1196">
        <v>3</v>
      </c>
      <c r="M1196">
        <v>115.05000000000001</v>
      </c>
      <c r="N1196">
        <v>2.4000000000000004</v>
      </c>
      <c r="O1196">
        <v>20</v>
      </c>
      <c r="Q1196">
        <v>112.65</v>
      </c>
      <c r="V1196">
        <v>0</v>
      </c>
      <c r="W1196">
        <v>0</v>
      </c>
      <c r="Z1196">
        <v>420</v>
      </c>
      <c r="AF1196">
        <v>420</v>
      </c>
      <c r="AG1196">
        <v>7</v>
      </c>
      <c r="AH1196">
        <v>7</v>
      </c>
      <c r="AI1196">
        <v>5</v>
      </c>
      <c r="AJ1196">
        <v>12</v>
      </c>
      <c r="AL1196">
        <v>2062</v>
      </c>
      <c r="AM1196">
        <v>0</v>
      </c>
      <c r="AN1196">
        <v>115.05</v>
      </c>
      <c r="AP1196">
        <v>36</v>
      </c>
    </row>
    <row r="1197" spans="1:42" x14ac:dyDescent="0.25">
      <c r="A1197" t="s">
        <v>46</v>
      </c>
      <c r="B1197">
        <v>3</v>
      </c>
      <c r="C1197" t="s">
        <v>543</v>
      </c>
      <c r="D1197" s="39">
        <v>45905</v>
      </c>
      <c r="E1197" t="s">
        <v>486</v>
      </c>
      <c r="F1197" t="s">
        <v>79</v>
      </c>
      <c r="G1197">
        <v>8</v>
      </c>
      <c r="H1197">
        <v>5</v>
      </c>
      <c r="I1197">
        <v>0</v>
      </c>
      <c r="J1197">
        <v>1000</v>
      </c>
      <c r="K1197" t="s">
        <v>79</v>
      </c>
      <c r="L1197">
        <v>8</v>
      </c>
      <c r="M1197">
        <v>304.07000000000005</v>
      </c>
      <c r="N1197">
        <v>7.2</v>
      </c>
      <c r="O1197">
        <v>22</v>
      </c>
      <c r="Q1197">
        <v>296.87000000000006</v>
      </c>
      <c r="V1197">
        <v>0</v>
      </c>
      <c r="W1197">
        <v>0</v>
      </c>
      <c r="AF1197">
        <v>0</v>
      </c>
      <c r="AG1197">
        <v>0</v>
      </c>
      <c r="AH1197">
        <v>0</v>
      </c>
      <c r="AI1197">
        <v>12</v>
      </c>
      <c r="AJ1197">
        <v>12</v>
      </c>
      <c r="AM1197">
        <v>0</v>
      </c>
      <c r="AN1197">
        <v>304.07000000000005</v>
      </c>
      <c r="AP1197">
        <v>36</v>
      </c>
    </row>
    <row r="1198" spans="1:42" x14ac:dyDescent="0.25">
      <c r="A1198" t="s">
        <v>45</v>
      </c>
      <c r="B1198">
        <v>4</v>
      </c>
      <c r="C1198" t="s">
        <v>539</v>
      </c>
      <c r="D1198" s="39">
        <v>45905</v>
      </c>
      <c r="E1198" t="s">
        <v>243</v>
      </c>
      <c r="F1198" t="s">
        <v>79</v>
      </c>
      <c r="G1198">
        <v>18</v>
      </c>
      <c r="H1198" t="s">
        <v>102</v>
      </c>
      <c r="I1198" t="s">
        <v>103</v>
      </c>
      <c r="J1198">
        <v>225</v>
      </c>
      <c r="K1198" t="s">
        <v>79</v>
      </c>
      <c r="L1198">
        <v>3</v>
      </c>
      <c r="M1198">
        <v>127.38</v>
      </c>
      <c r="N1198">
        <v>5.4</v>
      </c>
      <c r="Q1198">
        <v>121.97999999999999</v>
      </c>
      <c r="S1198">
        <v>20</v>
      </c>
      <c r="V1198">
        <v>20</v>
      </c>
      <c r="W1198">
        <v>0.33333333333333331</v>
      </c>
      <c r="AF1198">
        <v>0</v>
      </c>
      <c r="AG1198">
        <v>0</v>
      </c>
      <c r="AH1198">
        <v>0.33333333333333331</v>
      </c>
      <c r="AI1198">
        <v>11.666666666666666</v>
      </c>
      <c r="AJ1198">
        <v>12</v>
      </c>
      <c r="AM1198">
        <v>0</v>
      </c>
      <c r="AN1198">
        <v>127.38</v>
      </c>
      <c r="AP1198">
        <v>36</v>
      </c>
    </row>
    <row r="1199" spans="1:42" x14ac:dyDescent="0.25">
      <c r="A1199" t="s">
        <v>45</v>
      </c>
      <c r="B1199">
        <v>4</v>
      </c>
      <c r="C1199" t="s">
        <v>544</v>
      </c>
      <c r="D1199" s="39">
        <v>45905</v>
      </c>
      <c r="E1199" t="s">
        <v>477</v>
      </c>
      <c r="F1199" t="s">
        <v>79</v>
      </c>
      <c r="G1199">
        <v>18</v>
      </c>
      <c r="H1199">
        <v>4.5</v>
      </c>
      <c r="I1199">
        <v>0</v>
      </c>
      <c r="J1199">
        <v>100</v>
      </c>
      <c r="K1199" t="s">
        <v>79</v>
      </c>
      <c r="L1199">
        <v>2</v>
      </c>
      <c r="M1199">
        <v>88.949999999999989</v>
      </c>
      <c r="N1199">
        <v>3.6</v>
      </c>
      <c r="Q1199">
        <v>85.35</v>
      </c>
      <c r="V1199">
        <v>0</v>
      </c>
      <c r="W1199">
        <v>0</v>
      </c>
      <c r="AF1199">
        <v>0</v>
      </c>
      <c r="AG1199">
        <v>0</v>
      </c>
      <c r="AH1199">
        <v>0</v>
      </c>
      <c r="AI1199">
        <v>12</v>
      </c>
      <c r="AJ1199">
        <v>12</v>
      </c>
      <c r="AM1199">
        <v>0</v>
      </c>
      <c r="AN1199">
        <v>88.949999999999989</v>
      </c>
      <c r="AP1199">
        <v>36</v>
      </c>
    </row>
    <row r="1200" spans="1:42" x14ac:dyDescent="0.25">
      <c r="A1200" t="s">
        <v>45</v>
      </c>
      <c r="B1200">
        <v>4</v>
      </c>
      <c r="C1200" t="s">
        <v>545</v>
      </c>
      <c r="D1200" s="39">
        <v>45905</v>
      </c>
      <c r="E1200" t="s">
        <v>486</v>
      </c>
      <c r="F1200" t="s">
        <v>79</v>
      </c>
      <c r="G1200">
        <v>16</v>
      </c>
      <c r="H1200">
        <v>5</v>
      </c>
      <c r="I1200">
        <v>0</v>
      </c>
      <c r="J1200">
        <v>500</v>
      </c>
      <c r="K1200" t="s">
        <v>79</v>
      </c>
      <c r="L1200">
        <v>11</v>
      </c>
      <c r="M1200">
        <v>525.06000000000006</v>
      </c>
      <c r="N1200">
        <v>17.940000000000001</v>
      </c>
      <c r="Q1200">
        <v>507.12000000000006</v>
      </c>
      <c r="V1200">
        <v>0</v>
      </c>
      <c r="W1200">
        <v>0</v>
      </c>
      <c r="AF1200">
        <v>0</v>
      </c>
      <c r="AG1200">
        <v>0</v>
      </c>
      <c r="AH1200">
        <v>0</v>
      </c>
      <c r="AI1200">
        <v>12</v>
      </c>
      <c r="AJ1200">
        <v>12</v>
      </c>
      <c r="AM1200">
        <v>0</v>
      </c>
      <c r="AN1200">
        <v>525.06000000000006</v>
      </c>
      <c r="AP1200">
        <v>36</v>
      </c>
    </row>
    <row r="1201" spans="1:42" x14ac:dyDescent="0.25">
      <c r="A1201" t="s">
        <v>46</v>
      </c>
      <c r="B1201">
        <v>4</v>
      </c>
      <c r="C1201" t="s">
        <v>545</v>
      </c>
      <c r="D1201" s="39">
        <v>45905</v>
      </c>
      <c r="E1201" t="s">
        <v>486</v>
      </c>
      <c r="F1201" t="s">
        <v>79</v>
      </c>
      <c r="G1201">
        <v>16</v>
      </c>
      <c r="H1201">
        <v>5</v>
      </c>
      <c r="I1201">
        <v>0</v>
      </c>
      <c r="J1201">
        <v>500</v>
      </c>
      <c r="K1201" t="s">
        <v>79</v>
      </c>
      <c r="L1201">
        <v>2</v>
      </c>
      <c r="M1201">
        <v>103.35</v>
      </c>
      <c r="N1201">
        <v>4</v>
      </c>
      <c r="Q1201">
        <v>99.35</v>
      </c>
      <c r="S1201">
        <v>10</v>
      </c>
      <c r="V1201">
        <v>10</v>
      </c>
      <c r="W1201">
        <v>0.16666666666666666</v>
      </c>
      <c r="AF1201">
        <v>0</v>
      </c>
      <c r="AG1201">
        <v>0</v>
      </c>
      <c r="AH1201">
        <v>0.16666666666666666</v>
      </c>
      <c r="AI1201">
        <v>11.833333333333334</v>
      </c>
      <c r="AJ1201">
        <v>12</v>
      </c>
      <c r="AM1201">
        <v>0</v>
      </c>
      <c r="AN1201">
        <v>103.35</v>
      </c>
      <c r="AP1201">
        <v>36</v>
      </c>
    </row>
    <row r="1202" spans="1:42" x14ac:dyDescent="0.25">
      <c r="A1202" t="s">
        <v>46</v>
      </c>
      <c r="B1202">
        <v>4</v>
      </c>
      <c r="C1202" t="s">
        <v>546</v>
      </c>
      <c r="D1202" s="39">
        <v>45905</v>
      </c>
      <c r="E1202" t="s">
        <v>243</v>
      </c>
      <c r="F1202" t="s">
        <v>79</v>
      </c>
      <c r="G1202">
        <v>16</v>
      </c>
      <c r="H1202" t="s">
        <v>123</v>
      </c>
      <c r="I1202" t="s">
        <v>103</v>
      </c>
      <c r="J1202">
        <v>100</v>
      </c>
      <c r="K1202" t="s">
        <v>79</v>
      </c>
      <c r="L1202">
        <v>5</v>
      </c>
      <c r="M1202">
        <v>275.58999999999997</v>
      </c>
      <c r="N1202">
        <v>9.76</v>
      </c>
      <c r="Q1202">
        <v>265.83</v>
      </c>
      <c r="V1202">
        <v>0</v>
      </c>
      <c r="W1202">
        <v>0</v>
      </c>
      <c r="AF1202">
        <v>0</v>
      </c>
      <c r="AG1202">
        <v>0</v>
      </c>
      <c r="AH1202">
        <v>0</v>
      </c>
      <c r="AI1202">
        <v>12</v>
      </c>
      <c r="AJ1202">
        <v>12</v>
      </c>
      <c r="AM1202">
        <v>0</v>
      </c>
      <c r="AN1202">
        <v>275.58999999999997</v>
      </c>
      <c r="AP1202">
        <v>36</v>
      </c>
    </row>
    <row r="1203" spans="1:42" x14ac:dyDescent="0.25">
      <c r="A1203" t="s">
        <v>46</v>
      </c>
      <c r="B1203">
        <v>4</v>
      </c>
      <c r="C1203" t="s">
        <v>550</v>
      </c>
      <c r="D1203" s="39">
        <v>45905</v>
      </c>
      <c r="E1203" t="s">
        <v>229</v>
      </c>
      <c r="F1203" t="s">
        <v>79</v>
      </c>
      <c r="G1203">
        <v>16</v>
      </c>
      <c r="H1203">
        <v>15</v>
      </c>
      <c r="I1203">
        <v>0</v>
      </c>
      <c r="J1203">
        <v>250</v>
      </c>
      <c r="K1203" t="s">
        <v>79</v>
      </c>
      <c r="L1203">
        <v>5</v>
      </c>
      <c r="M1203">
        <v>269.65999999999997</v>
      </c>
      <c r="N1203">
        <v>9.73</v>
      </c>
      <c r="Q1203">
        <v>259.92999999999995</v>
      </c>
      <c r="V1203">
        <v>0</v>
      </c>
      <c r="W1203">
        <v>0</v>
      </c>
      <c r="AF1203">
        <v>0</v>
      </c>
      <c r="AG1203">
        <v>0</v>
      </c>
      <c r="AH1203">
        <v>0</v>
      </c>
      <c r="AI1203">
        <v>12</v>
      </c>
      <c r="AJ1203">
        <v>12</v>
      </c>
      <c r="AM1203">
        <v>0</v>
      </c>
      <c r="AN1203">
        <v>269.65999999999997</v>
      </c>
      <c r="AP1203">
        <v>36</v>
      </c>
    </row>
    <row r="1204" spans="1:42" x14ac:dyDescent="0.25">
      <c r="A1204" t="s">
        <v>46</v>
      </c>
      <c r="B1204">
        <v>4</v>
      </c>
      <c r="C1204" t="s">
        <v>526</v>
      </c>
      <c r="D1204" s="39">
        <v>45905</v>
      </c>
      <c r="E1204" t="s">
        <v>396</v>
      </c>
      <c r="F1204" t="s">
        <v>79</v>
      </c>
      <c r="G1204">
        <v>17</v>
      </c>
      <c r="H1204" t="s">
        <v>92</v>
      </c>
      <c r="I1204">
        <v>0</v>
      </c>
      <c r="J1204">
        <v>5000</v>
      </c>
      <c r="K1204" t="s">
        <v>79</v>
      </c>
      <c r="L1204">
        <v>2</v>
      </c>
      <c r="M1204">
        <v>99.85</v>
      </c>
      <c r="N1204">
        <v>1.9</v>
      </c>
      <c r="Q1204">
        <v>97.949999999999989</v>
      </c>
      <c r="V1204">
        <v>0</v>
      </c>
      <c r="W1204">
        <v>0</v>
      </c>
      <c r="AF1204">
        <v>0</v>
      </c>
      <c r="AG1204">
        <v>0</v>
      </c>
      <c r="AH1204">
        <v>0</v>
      </c>
      <c r="AI1204">
        <v>12</v>
      </c>
      <c r="AJ1204">
        <v>12</v>
      </c>
      <c r="AM1204">
        <v>0</v>
      </c>
      <c r="AN1204">
        <v>99.85</v>
      </c>
      <c r="AP1204">
        <v>36</v>
      </c>
    </row>
    <row r="1205" spans="1:42" x14ac:dyDescent="0.25">
      <c r="A1205" t="s">
        <v>45</v>
      </c>
      <c r="B1205">
        <v>5</v>
      </c>
      <c r="C1205" t="s">
        <v>541</v>
      </c>
      <c r="D1205" s="39">
        <v>45905</v>
      </c>
      <c r="E1205" t="s">
        <v>486</v>
      </c>
      <c r="F1205" t="s">
        <v>79</v>
      </c>
      <c r="G1205">
        <v>14</v>
      </c>
      <c r="H1205">
        <v>5</v>
      </c>
      <c r="I1205">
        <v>0</v>
      </c>
      <c r="J1205">
        <v>1000</v>
      </c>
      <c r="K1205" t="s">
        <v>79</v>
      </c>
      <c r="L1205">
        <v>13</v>
      </c>
      <c r="M1205">
        <v>607.51</v>
      </c>
      <c r="N1205">
        <v>20.8</v>
      </c>
      <c r="Q1205">
        <v>586.71</v>
      </c>
      <c r="V1205">
        <v>0</v>
      </c>
      <c r="W1205">
        <v>0</v>
      </c>
      <c r="AF1205">
        <v>0</v>
      </c>
      <c r="AG1205">
        <v>0</v>
      </c>
      <c r="AH1205">
        <v>0</v>
      </c>
      <c r="AI1205">
        <v>12</v>
      </c>
      <c r="AJ1205">
        <v>12</v>
      </c>
      <c r="AM1205">
        <v>0</v>
      </c>
      <c r="AN1205">
        <v>607.51</v>
      </c>
      <c r="AP1205">
        <v>36</v>
      </c>
    </row>
    <row r="1206" spans="1:42" x14ac:dyDescent="0.25">
      <c r="A1206" t="s">
        <v>46</v>
      </c>
      <c r="B1206">
        <v>5</v>
      </c>
      <c r="C1206" t="s">
        <v>541</v>
      </c>
      <c r="D1206" s="39">
        <v>45905</v>
      </c>
      <c r="E1206" t="s">
        <v>486</v>
      </c>
      <c r="F1206" t="s">
        <v>79</v>
      </c>
      <c r="G1206">
        <v>14</v>
      </c>
      <c r="H1206">
        <v>5</v>
      </c>
      <c r="I1206">
        <v>0</v>
      </c>
      <c r="J1206">
        <v>1000</v>
      </c>
      <c r="K1206" t="s">
        <v>79</v>
      </c>
      <c r="L1206">
        <v>3</v>
      </c>
      <c r="M1206">
        <v>154.13</v>
      </c>
      <c r="N1206">
        <v>5.4</v>
      </c>
      <c r="Q1206">
        <v>148.72999999999999</v>
      </c>
      <c r="S1206">
        <v>20</v>
      </c>
      <c r="V1206">
        <v>20</v>
      </c>
      <c r="W1206">
        <v>0.33333333333333331</v>
      </c>
      <c r="AF1206">
        <v>0</v>
      </c>
      <c r="AG1206">
        <v>0</v>
      </c>
      <c r="AH1206">
        <v>0.33333333333333331</v>
      </c>
      <c r="AI1206">
        <v>11.666666666666666</v>
      </c>
      <c r="AJ1206">
        <v>12</v>
      </c>
      <c r="AM1206">
        <v>0</v>
      </c>
      <c r="AN1206">
        <v>154.13</v>
      </c>
      <c r="AP1206">
        <v>36</v>
      </c>
    </row>
    <row r="1207" spans="1:42" x14ac:dyDescent="0.25">
      <c r="A1207" t="s">
        <v>46</v>
      </c>
      <c r="B1207">
        <v>5</v>
      </c>
      <c r="C1207" t="s">
        <v>548</v>
      </c>
      <c r="D1207" s="39">
        <v>45905</v>
      </c>
      <c r="E1207" t="s">
        <v>486</v>
      </c>
      <c r="F1207" t="s">
        <v>79</v>
      </c>
      <c r="G1207">
        <v>12</v>
      </c>
      <c r="H1207">
        <v>5</v>
      </c>
      <c r="I1207">
        <v>0</v>
      </c>
      <c r="J1207">
        <v>1000</v>
      </c>
      <c r="K1207" t="s">
        <v>79</v>
      </c>
      <c r="L1207">
        <v>7</v>
      </c>
      <c r="M1207">
        <v>367.21</v>
      </c>
      <c r="N1207">
        <v>10.99</v>
      </c>
      <c r="Q1207">
        <v>356.21999999999997</v>
      </c>
      <c r="V1207">
        <v>0</v>
      </c>
      <c r="W1207">
        <v>0</v>
      </c>
      <c r="AF1207">
        <v>0</v>
      </c>
      <c r="AG1207">
        <v>0</v>
      </c>
      <c r="AH1207">
        <v>0</v>
      </c>
      <c r="AI1207">
        <v>12</v>
      </c>
      <c r="AJ1207">
        <v>12</v>
      </c>
      <c r="AM1207">
        <v>0</v>
      </c>
      <c r="AN1207">
        <v>367.21</v>
      </c>
      <c r="AP1207">
        <v>36</v>
      </c>
    </row>
    <row r="1208" spans="1:42" x14ac:dyDescent="0.25">
      <c r="A1208" t="s">
        <v>45</v>
      </c>
      <c r="B1208">
        <v>2</v>
      </c>
      <c r="C1208" t="s">
        <v>535</v>
      </c>
      <c r="D1208" s="39">
        <v>45905</v>
      </c>
      <c r="E1208" t="s">
        <v>200</v>
      </c>
      <c r="F1208" t="s">
        <v>79</v>
      </c>
      <c r="G1208">
        <v>2</v>
      </c>
      <c r="H1208">
        <v>5</v>
      </c>
      <c r="I1208">
        <v>0</v>
      </c>
      <c r="J1208">
        <v>500</v>
      </c>
      <c r="K1208" t="s">
        <v>79</v>
      </c>
      <c r="L1208">
        <v>7</v>
      </c>
      <c r="M1208">
        <v>103.79</v>
      </c>
      <c r="N1208">
        <v>1.4000000000000001</v>
      </c>
      <c r="Q1208">
        <v>102.39</v>
      </c>
      <c r="V1208">
        <v>0</v>
      </c>
      <c r="W1208">
        <v>0</v>
      </c>
      <c r="AF1208">
        <v>0</v>
      </c>
      <c r="AG1208">
        <v>0</v>
      </c>
      <c r="AH1208">
        <v>0</v>
      </c>
      <c r="AI1208">
        <v>12</v>
      </c>
      <c r="AJ1208">
        <v>12</v>
      </c>
      <c r="AM1208">
        <v>0</v>
      </c>
      <c r="AN1208">
        <v>103.79</v>
      </c>
      <c r="AP1208">
        <v>36</v>
      </c>
    </row>
    <row r="1209" spans="1:42" x14ac:dyDescent="0.25">
      <c r="A1209" t="s">
        <v>46</v>
      </c>
      <c r="B1209">
        <v>2</v>
      </c>
      <c r="C1209" t="s">
        <v>535</v>
      </c>
      <c r="D1209" s="39">
        <v>45905</v>
      </c>
      <c r="E1209" t="s">
        <v>200</v>
      </c>
      <c r="F1209" t="s">
        <v>79</v>
      </c>
      <c r="G1209">
        <v>2</v>
      </c>
      <c r="H1209">
        <v>5</v>
      </c>
      <c r="I1209">
        <v>0</v>
      </c>
      <c r="J1209">
        <v>500</v>
      </c>
      <c r="K1209" t="s">
        <v>79</v>
      </c>
      <c r="L1209">
        <v>7</v>
      </c>
      <c r="M1209">
        <v>109.82000000000001</v>
      </c>
      <c r="N1209">
        <v>1.4000000000000001</v>
      </c>
      <c r="Q1209">
        <v>108.42</v>
      </c>
      <c r="V1209">
        <v>0</v>
      </c>
      <c r="W1209">
        <v>0</v>
      </c>
      <c r="AF1209">
        <v>0</v>
      </c>
      <c r="AG1209">
        <v>0</v>
      </c>
      <c r="AH1209">
        <v>0</v>
      </c>
      <c r="AI1209">
        <v>12</v>
      </c>
      <c r="AJ1209">
        <v>12</v>
      </c>
      <c r="AM1209">
        <v>0</v>
      </c>
      <c r="AN1209">
        <v>109.82</v>
      </c>
      <c r="AP1209">
        <v>36</v>
      </c>
    </row>
    <row r="1210" spans="1:42" x14ac:dyDescent="0.25">
      <c r="A1210" t="s">
        <v>45</v>
      </c>
      <c r="B1210">
        <v>1</v>
      </c>
      <c r="C1210" t="s">
        <v>100</v>
      </c>
      <c r="D1210" s="39">
        <v>45905</v>
      </c>
      <c r="E1210" t="s">
        <v>194</v>
      </c>
      <c r="F1210" t="s">
        <v>79</v>
      </c>
      <c r="G1210">
        <v>2.5</v>
      </c>
      <c r="H1210" t="s">
        <v>92</v>
      </c>
      <c r="I1210">
        <v>0</v>
      </c>
      <c r="J1210" t="s">
        <v>81</v>
      </c>
      <c r="K1210" t="s">
        <v>79</v>
      </c>
      <c r="L1210">
        <v>9</v>
      </c>
      <c r="M1210">
        <v>97</v>
      </c>
      <c r="N1210">
        <v>1.8</v>
      </c>
      <c r="Q1210">
        <v>95.2</v>
      </c>
      <c r="V1210">
        <v>0</v>
      </c>
      <c r="W1210">
        <v>0</v>
      </c>
      <c r="AF1210">
        <v>0</v>
      </c>
      <c r="AG1210">
        <v>0</v>
      </c>
      <c r="AH1210">
        <v>0</v>
      </c>
      <c r="AI1210">
        <v>12</v>
      </c>
      <c r="AJ1210">
        <v>12</v>
      </c>
      <c r="AM1210">
        <v>0</v>
      </c>
      <c r="AN1210">
        <v>97</v>
      </c>
      <c r="AP1210">
        <v>36</v>
      </c>
    </row>
    <row r="1211" spans="1:42" x14ac:dyDescent="0.25">
      <c r="A1211" t="s">
        <v>46</v>
      </c>
      <c r="B1211">
        <v>1</v>
      </c>
      <c r="C1211" t="s">
        <v>100</v>
      </c>
      <c r="D1211" s="39">
        <v>45905</v>
      </c>
      <c r="E1211" t="s">
        <v>194</v>
      </c>
      <c r="F1211" t="s">
        <v>79</v>
      </c>
      <c r="G1211">
        <v>2.5</v>
      </c>
      <c r="H1211" t="s">
        <v>92</v>
      </c>
      <c r="I1211">
        <v>0</v>
      </c>
      <c r="J1211" t="s">
        <v>81</v>
      </c>
      <c r="K1211" t="s">
        <v>79</v>
      </c>
      <c r="L1211">
        <v>8</v>
      </c>
      <c r="M1211">
        <v>95.639999999999986</v>
      </c>
      <c r="N1211">
        <v>1.6</v>
      </c>
      <c r="Q1211">
        <v>94.039999999999992</v>
      </c>
      <c r="V1211">
        <v>0</v>
      </c>
      <c r="W1211">
        <v>0</v>
      </c>
      <c r="AF1211">
        <v>0</v>
      </c>
      <c r="AG1211">
        <v>0</v>
      </c>
      <c r="AH1211">
        <v>0</v>
      </c>
      <c r="AI1211">
        <v>12</v>
      </c>
      <c r="AJ1211">
        <v>12</v>
      </c>
      <c r="AM1211">
        <v>0</v>
      </c>
      <c r="AN1211">
        <v>95.639999999999986</v>
      </c>
      <c r="AO1211">
        <v>398</v>
      </c>
      <c r="AP1211">
        <v>36</v>
      </c>
    </row>
    <row r="1212" spans="1:42" x14ac:dyDescent="0.25">
      <c r="A1212" t="s">
        <v>45</v>
      </c>
      <c r="B1212">
        <v>1</v>
      </c>
      <c r="C1212" t="s">
        <v>100</v>
      </c>
      <c r="D1212" s="39">
        <v>45906</v>
      </c>
      <c r="E1212" t="s">
        <v>194</v>
      </c>
      <c r="F1212" t="s">
        <v>79</v>
      </c>
      <c r="G1212">
        <v>2.5</v>
      </c>
      <c r="H1212" t="s">
        <v>92</v>
      </c>
      <c r="I1212">
        <v>0</v>
      </c>
      <c r="J1212" t="s">
        <v>81</v>
      </c>
      <c r="K1212" t="s">
        <v>79</v>
      </c>
      <c r="L1212">
        <v>8</v>
      </c>
      <c r="M1212">
        <v>87.05</v>
      </c>
      <c r="N1212">
        <v>1.6</v>
      </c>
      <c r="O1212">
        <v>26</v>
      </c>
      <c r="Q1212">
        <v>85.45</v>
      </c>
      <c r="V1212">
        <v>0</v>
      </c>
      <c r="W1212">
        <v>0</v>
      </c>
      <c r="AF1212">
        <v>0</v>
      </c>
      <c r="AG1212">
        <v>0</v>
      </c>
      <c r="AH1212">
        <v>0</v>
      </c>
      <c r="AI1212">
        <v>12</v>
      </c>
      <c r="AJ1212">
        <v>12</v>
      </c>
      <c r="AL1212" t="s">
        <v>34</v>
      </c>
      <c r="AM1212">
        <v>0</v>
      </c>
      <c r="AN1212">
        <v>87.05</v>
      </c>
      <c r="AP1212">
        <v>36</v>
      </c>
    </row>
    <row r="1213" spans="1:42" x14ac:dyDescent="0.25">
      <c r="A1213" t="s">
        <v>46</v>
      </c>
      <c r="B1213">
        <v>1</v>
      </c>
      <c r="C1213" t="s">
        <v>100</v>
      </c>
      <c r="D1213" s="39">
        <v>45906</v>
      </c>
      <c r="E1213" t="s">
        <v>194</v>
      </c>
      <c r="F1213" t="s">
        <v>79</v>
      </c>
      <c r="G1213">
        <v>2.5</v>
      </c>
      <c r="H1213" t="s">
        <v>92</v>
      </c>
      <c r="I1213">
        <v>0</v>
      </c>
      <c r="J1213" t="s">
        <v>81</v>
      </c>
      <c r="K1213" t="s">
        <v>79</v>
      </c>
      <c r="L1213">
        <v>8</v>
      </c>
      <c r="M1213">
        <v>104.32</v>
      </c>
      <c r="N1213">
        <v>7.2</v>
      </c>
      <c r="O1213">
        <v>36</v>
      </c>
      <c r="Q1213">
        <v>97.11999999999999</v>
      </c>
      <c r="V1213">
        <v>0</v>
      </c>
      <c r="W1213">
        <v>0</v>
      </c>
      <c r="AF1213">
        <v>0</v>
      </c>
      <c r="AG1213">
        <v>0</v>
      </c>
      <c r="AH1213">
        <v>0</v>
      </c>
      <c r="AI1213">
        <v>12</v>
      </c>
      <c r="AJ1213">
        <v>12</v>
      </c>
      <c r="AM1213">
        <v>0</v>
      </c>
      <c r="AN1213">
        <v>104.32</v>
      </c>
      <c r="AP1213">
        <v>36</v>
      </c>
    </row>
    <row r="1214" spans="1:42" x14ac:dyDescent="0.25">
      <c r="A1214" t="s">
        <v>45</v>
      </c>
      <c r="B1214">
        <v>2</v>
      </c>
      <c r="C1214" t="s">
        <v>535</v>
      </c>
      <c r="D1214" s="39">
        <v>45906</v>
      </c>
      <c r="E1214" t="s">
        <v>200</v>
      </c>
      <c r="F1214" t="s">
        <v>79</v>
      </c>
      <c r="G1214">
        <v>2</v>
      </c>
      <c r="H1214">
        <v>5</v>
      </c>
      <c r="I1214">
        <v>0</v>
      </c>
      <c r="J1214">
        <v>500</v>
      </c>
      <c r="K1214" t="s">
        <v>79</v>
      </c>
      <c r="L1214">
        <v>3</v>
      </c>
      <c r="M1214">
        <v>61.87</v>
      </c>
      <c r="N1214">
        <v>0.60000000000000009</v>
      </c>
      <c r="Q1214">
        <v>61.269999999999996</v>
      </c>
      <c r="V1214">
        <v>0</v>
      </c>
      <c r="W1214">
        <v>0</v>
      </c>
      <c r="AF1214">
        <v>0</v>
      </c>
      <c r="AG1214">
        <v>0</v>
      </c>
      <c r="AH1214">
        <v>0</v>
      </c>
      <c r="AI1214">
        <v>12</v>
      </c>
      <c r="AJ1214">
        <v>12</v>
      </c>
      <c r="AM1214">
        <v>0</v>
      </c>
      <c r="AN1214">
        <v>61.87</v>
      </c>
      <c r="AP1214">
        <v>36</v>
      </c>
    </row>
    <row r="1215" spans="1:42" x14ac:dyDescent="0.25">
      <c r="A1215" t="s">
        <v>45</v>
      </c>
      <c r="B1215">
        <v>2</v>
      </c>
      <c r="C1215" t="s">
        <v>100</v>
      </c>
      <c r="D1215" s="39">
        <v>45906</v>
      </c>
      <c r="E1215" t="s">
        <v>194</v>
      </c>
      <c r="F1215" t="s">
        <v>79</v>
      </c>
      <c r="G1215">
        <v>2.5</v>
      </c>
      <c r="H1215" t="s">
        <v>92</v>
      </c>
      <c r="I1215">
        <v>0</v>
      </c>
      <c r="J1215" t="s">
        <v>81</v>
      </c>
      <c r="K1215" t="s">
        <v>79</v>
      </c>
      <c r="L1215">
        <v>3</v>
      </c>
      <c r="M1215">
        <v>28</v>
      </c>
      <c r="N1215">
        <v>0.60000000000000009</v>
      </c>
      <c r="Q1215">
        <v>27.4</v>
      </c>
      <c r="V1215">
        <v>0</v>
      </c>
      <c r="W1215">
        <v>0</v>
      </c>
      <c r="AF1215">
        <v>0</v>
      </c>
      <c r="AG1215">
        <v>0</v>
      </c>
      <c r="AH1215">
        <v>0</v>
      </c>
      <c r="AI1215">
        <v>12</v>
      </c>
      <c r="AJ1215">
        <v>12</v>
      </c>
      <c r="AM1215">
        <v>0</v>
      </c>
      <c r="AN1215">
        <v>28</v>
      </c>
      <c r="AP1215">
        <v>36</v>
      </c>
    </row>
    <row r="1216" spans="1:42" x14ac:dyDescent="0.25">
      <c r="A1216" t="s">
        <v>46</v>
      </c>
      <c r="B1216">
        <v>2</v>
      </c>
      <c r="C1216" t="s">
        <v>535</v>
      </c>
      <c r="D1216" s="39">
        <v>45906</v>
      </c>
      <c r="E1216" t="s">
        <v>200</v>
      </c>
      <c r="F1216" t="s">
        <v>79</v>
      </c>
      <c r="G1216">
        <v>2</v>
      </c>
      <c r="H1216">
        <v>5</v>
      </c>
      <c r="I1216">
        <v>0</v>
      </c>
      <c r="J1216">
        <v>500</v>
      </c>
      <c r="K1216" t="s">
        <v>79</v>
      </c>
      <c r="L1216">
        <v>4</v>
      </c>
      <c r="M1216">
        <v>84.56</v>
      </c>
      <c r="N1216">
        <v>0.8</v>
      </c>
      <c r="Q1216">
        <v>83.76</v>
      </c>
      <c r="V1216">
        <v>0</v>
      </c>
      <c r="W1216">
        <v>0</v>
      </c>
      <c r="AF1216">
        <v>0</v>
      </c>
      <c r="AG1216">
        <v>0</v>
      </c>
      <c r="AH1216">
        <v>0</v>
      </c>
      <c r="AI1216">
        <v>12</v>
      </c>
      <c r="AJ1216">
        <v>12</v>
      </c>
      <c r="AM1216">
        <v>0</v>
      </c>
      <c r="AN1216">
        <v>84.56</v>
      </c>
      <c r="AP1216">
        <v>36</v>
      </c>
    </row>
    <row r="1217" spans="1:42" x14ac:dyDescent="0.25">
      <c r="A1217" t="s">
        <v>46</v>
      </c>
      <c r="B1217">
        <v>2</v>
      </c>
      <c r="C1217" t="s">
        <v>100</v>
      </c>
      <c r="D1217" s="39">
        <v>45906</v>
      </c>
      <c r="E1217" t="s">
        <v>194</v>
      </c>
      <c r="F1217" t="s">
        <v>79</v>
      </c>
      <c r="G1217">
        <v>2.5</v>
      </c>
      <c r="H1217" t="s">
        <v>92</v>
      </c>
      <c r="I1217">
        <v>0</v>
      </c>
      <c r="J1217" t="s">
        <v>81</v>
      </c>
      <c r="K1217" t="s">
        <v>79</v>
      </c>
      <c r="L1217">
        <v>2</v>
      </c>
      <c r="M1217">
        <v>20.22</v>
      </c>
      <c r="N1217">
        <v>0.4</v>
      </c>
      <c r="Q1217">
        <v>19.82</v>
      </c>
      <c r="V1217">
        <v>0</v>
      </c>
      <c r="W1217">
        <v>0</v>
      </c>
      <c r="AF1217">
        <v>0</v>
      </c>
      <c r="AG1217">
        <v>0</v>
      </c>
      <c r="AH1217">
        <v>0</v>
      </c>
      <c r="AI1217">
        <v>12</v>
      </c>
      <c r="AJ1217">
        <v>12</v>
      </c>
      <c r="AM1217">
        <v>0</v>
      </c>
      <c r="AN1217">
        <v>20.22</v>
      </c>
      <c r="AP1217">
        <v>36</v>
      </c>
    </row>
    <row r="1218" spans="1:42" x14ac:dyDescent="0.25">
      <c r="A1218" t="s">
        <v>45</v>
      </c>
      <c r="B1218">
        <v>3</v>
      </c>
      <c r="C1218" t="s">
        <v>504</v>
      </c>
      <c r="D1218" s="39">
        <v>45906</v>
      </c>
      <c r="E1218" t="s">
        <v>486</v>
      </c>
      <c r="F1218" t="s">
        <v>79</v>
      </c>
      <c r="G1218">
        <v>8</v>
      </c>
      <c r="H1218">
        <v>5</v>
      </c>
      <c r="I1218">
        <v>0</v>
      </c>
      <c r="J1218">
        <v>500</v>
      </c>
      <c r="K1218" t="s">
        <v>79</v>
      </c>
      <c r="L1218">
        <v>8</v>
      </c>
      <c r="M1218">
        <v>281.14</v>
      </c>
      <c r="N1218">
        <v>6.4</v>
      </c>
      <c r="Q1218">
        <v>274.74</v>
      </c>
      <c r="V1218">
        <v>0</v>
      </c>
      <c r="W1218">
        <v>0</v>
      </c>
      <c r="AF1218">
        <v>0</v>
      </c>
      <c r="AG1218">
        <v>0</v>
      </c>
      <c r="AH1218">
        <v>0</v>
      </c>
      <c r="AI1218">
        <v>12</v>
      </c>
      <c r="AJ1218">
        <v>12</v>
      </c>
      <c r="AM1218">
        <v>0</v>
      </c>
      <c r="AN1218">
        <v>281.14</v>
      </c>
      <c r="AP1218">
        <v>36</v>
      </c>
    </row>
    <row r="1219" spans="1:42" x14ac:dyDescent="0.25">
      <c r="A1219" t="s">
        <v>46</v>
      </c>
      <c r="B1219">
        <v>3</v>
      </c>
      <c r="C1219" t="s">
        <v>504</v>
      </c>
      <c r="D1219" s="39">
        <v>45906</v>
      </c>
      <c r="E1219" t="s">
        <v>486</v>
      </c>
      <c r="F1219" t="s">
        <v>79</v>
      </c>
      <c r="G1219">
        <v>8</v>
      </c>
      <c r="H1219">
        <v>5</v>
      </c>
      <c r="I1219">
        <v>0</v>
      </c>
      <c r="J1219">
        <v>500</v>
      </c>
      <c r="K1219" t="s">
        <v>79</v>
      </c>
      <c r="L1219">
        <v>8</v>
      </c>
      <c r="M1219">
        <v>319.06</v>
      </c>
      <c r="N1219">
        <v>7.2</v>
      </c>
      <c r="Q1219">
        <v>311.86</v>
      </c>
      <c r="V1219">
        <v>0</v>
      </c>
      <c r="W1219">
        <v>0</v>
      </c>
      <c r="AF1219">
        <v>0</v>
      </c>
      <c r="AG1219">
        <v>0</v>
      </c>
      <c r="AH1219">
        <v>0</v>
      </c>
      <c r="AI1219">
        <v>12</v>
      </c>
      <c r="AJ1219">
        <v>12</v>
      </c>
      <c r="AM1219">
        <v>0</v>
      </c>
      <c r="AN1219">
        <v>319.06</v>
      </c>
      <c r="AP1219">
        <v>36</v>
      </c>
    </row>
    <row r="1220" spans="1:42" x14ac:dyDescent="0.25">
      <c r="A1220" t="s">
        <v>45</v>
      </c>
      <c r="B1220">
        <v>4</v>
      </c>
      <c r="C1220" t="s">
        <v>551</v>
      </c>
      <c r="D1220" s="39">
        <v>45906</v>
      </c>
      <c r="E1220" t="s">
        <v>81</v>
      </c>
      <c r="K1220" t="s">
        <v>79</v>
      </c>
      <c r="L1220">
        <v>16</v>
      </c>
      <c r="M1220">
        <v>767.95</v>
      </c>
      <c r="N1220">
        <v>27.2</v>
      </c>
      <c r="Q1220">
        <v>740.75</v>
      </c>
      <c r="V1220">
        <v>0</v>
      </c>
      <c r="W1220">
        <v>0</v>
      </c>
      <c r="AF1220">
        <v>0</v>
      </c>
      <c r="AG1220">
        <v>0</v>
      </c>
      <c r="AH1220">
        <v>0</v>
      </c>
      <c r="AI1220">
        <v>12</v>
      </c>
      <c r="AJ1220">
        <v>12</v>
      </c>
      <c r="AM1220">
        <v>0</v>
      </c>
      <c r="AN1220">
        <v>767.95</v>
      </c>
      <c r="AP1220">
        <v>36</v>
      </c>
    </row>
    <row r="1221" spans="1:42" x14ac:dyDescent="0.25">
      <c r="A1221" t="s">
        <v>46</v>
      </c>
      <c r="B1221">
        <v>4</v>
      </c>
      <c r="C1221" t="s">
        <v>551</v>
      </c>
      <c r="D1221" s="39">
        <v>45906</v>
      </c>
      <c r="E1221" t="s">
        <v>81</v>
      </c>
      <c r="K1221" t="s">
        <v>79</v>
      </c>
      <c r="L1221">
        <v>14</v>
      </c>
      <c r="M1221">
        <v>740.84</v>
      </c>
      <c r="N1221">
        <v>23.8</v>
      </c>
      <c r="Q1221">
        <v>717.04000000000008</v>
      </c>
      <c r="V1221">
        <v>0</v>
      </c>
      <c r="W1221">
        <v>0</v>
      </c>
      <c r="AF1221">
        <v>0</v>
      </c>
      <c r="AG1221">
        <v>0</v>
      </c>
      <c r="AH1221">
        <v>0</v>
      </c>
      <c r="AI1221">
        <v>12</v>
      </c>
      <c r="AJ1221">
        <v>12</v>
      </c>
      <c r="AM1221">
        <v>0</v>
      </c>
      <c r="AN1221">
        <v>740.84</v>
      </c>
      <c r="AP1221">
        <v>36</v>
      </c>
    </row>
    <row r="1222" spans="1:42" x14ac:dyDescent="0.25">
      <c r="A1222" t="s">
        <v>45</v>
      </c>
      <c r="B1222">
        <v>5</v>
      </c>
      <c r="C1222" t="s">
        <v>487</v>
      </c>
      <c r="D1222" s="39">
        <v>45906</v>
      </c>
      <c r="E1222" t="s">
        <v>486</v>
      </c>
      <c r="F1222" t="s">
        <v>79</v>
      </c>
      <c r="G1222">
        <v>12</v>
      </c>
      <c r="H1222">
        <v>5</v>
      </c>
      <c r="I1222">
        <v>0</v>
      </c>
      <c r="J1222">
        <v>2000</v>
      </c>
      <c r="K1222" t="s">
        <v>79</v>
      </c>
      <c r="L1222">
        <v>6</v>
      </c>
      <c r="M1222">
        <v>281.58</v>
      </c>
      <c r="N1222">
        <v>7.1999999999999993</v>
      </c>
      <c r="Q1222">
        <v>274.38</v>
      </c>
      <c r="S1222">
        <v>20</v>
      </c>
      <c r="V1222">
        <v>20</v>
      </c>
      <c r="W1222">
        <v>0.33333333333333331</v>
      </c>
      <c r="AF1222">
        <v>0</v>
      </c>
      <c r="AG1222">
        <v>0</v>
      </c>
      <c r="AH1222">
        <v>0.33333333333333331</v>
      </c>
      <c r="AI1222">
        <v>11.666666666666666</v>
      </c>
      <c r="AJ1222">
        <v>12</v>
      </c>
      <c r="AM1222">
        <v>0</v>
      </c>
      <c r="AN1222">
        <v>281.58</v>
      </c>
      <c r="AP1222">
        <v>36</v>
      </c>
    </row>
    <row r="1223" spans="1:42" x14ac:dyDescent="0.25">
      <c r="A1223" t="s">
        <v>45</v>
      </c>
      <c r="B1223">
        <v>5</v>
      </c>
      <c r="C1223" t="s">
        <v>552</v>
      </c>
      <c r="D1223" s="39">
        <v>45906</v>
      </c>
      <c r="E1223" t="s">
        <v>553</v>
      </c>
      <c r="F1223" t="s">
        <v>79</v>
      </c>
      <c r="G1223">
        <v>12</v>
      </c>
      <c r="H1223" t="s">
        <v>87</v>
      </c>
      <c r="I1223">
        <v>0</v>
      </c>
      <c r="J1223">
        <v>50</v>
      </c>
      <c r="K1223" t="s">
        <v>79</v>
      </c>
      <c r="L1223">
        <v>8</v>
      </c>
      <c r="M1223">
        <v>249.11</v>
      </c>
      <c r="N1223">
        <v>9.6</v>
      </c>
      <c r="Q1223">
        <v>239.51000000000002</v>
      </c>
      <c r="V1223">
        <v>0</v>
      </c>
      <c r="W1223">
        <v>0</v>
      </c>
      <c r="AF1223">
        <v>0</v>
      </c>
      <c r="AG1223">
        <v>0</v>
      </c>
      <c r="AH1223">
        <v>0</v>
      </c>
      <c r="AI1223">
        <v>12</v>
      </c>
      <c r="AJ1223">
        <v>12</v>
      </c>
      <c r="AM1223">
        <v>0</v>
      </c>
      <c r="AN1223">
        <v>249.11</v>
      </c>
      <c r="AP1223">
        <v>36</v>
      </c>
    </row>
    <row r="1224" spans="1:42" x14ac:dyDescent="0.25">
      <c r="A1224" t="s">
        <v>46</v>
      </c>
      <c r="B1224">
        <v>5</v>
      </c>
      <c r="C1224" t="s">
        <v>554</v>
      </c>
      <c r="D1224" s="39">
        <v>45906</v>
      </c>
      <c r="E1224" t="s">
        <v>477</v>
      </c>
      <c r="F1224" t="s">
        <v>79</v>
      </c>
      <c r="G1224">
        <v>12</v>
      </c>
      <c r="H1224">
        <v>4.5</v>
      </c>
      <c r="I1224">
        <v>0</v>
      </c>
      <c r="J1224">
        <v>100</v>
      </c>
      <c r="K1224" t="s">
        <v>79</v>
      </c>
      <c r="L1224">
        <v>6</v>
      </c>
      <c r="M1224">
        <v>322.83</v>
      </c>
      <c r="N1224">
        <v>8.129999999999999</v>
      </c>
      <c r="Q1224">
        <v>314.7</v>
      </c>
      <c r="V1224">
        <v>0</v>
      </c>
      <c r="W1224">
        <v>0</v>
      </c>
      <c r="AF1224">
        <v>0</v>
      </c>
      <c r="AG1224">
        <v>0</v>
      </c>
      <c r="AH1224">
        <v>0</v>
      </c>
      <c r="AI1224">
        <v>12</v>
      </c>
      <c r="AJ1224">
        <v>12</v>
      </c>
      <c r="AM1224">
        <v>0</v>
      </c>
      <c r="AN1224">
        <v>322.83</v>
      </c>
      <c r="AP1224">
        <v>36</v>
      </c>
    </row>
    <row r="1225" spans="1:42" x14ac:dyDescent="0.25">
      <c r="A1225" t="s">
        <v>46</v>
      </c>
      <c r="B1225">
        <v>5</v>
      </c>
      <c r="C1225" t="s">
        <v>555</v>
      </c>
      <c r="D1225" s="39">
        <v>45906</v>
      </c>
      <c r="E1225" t="s">
        <v>553</v>
      </c>
      <c r="F1225" t="s">
        <v>79</v>
      </c>
      <c r="G1225">
        <v>11</v>
      </c>
      <c r="H1225" t="s">
        <v>87</v>
      </c>
      <c r="I1225">
        <v>0</v>
      </c>
      <c r="J1225">
        <v>50</v>
      </c>
      <c r="K1225" t="s">
        <v>79</v>
      </c>
      <c r="L1225">
        <v>4</v>
      </c>
      <c r="M1225">
        <v>111.97</v>
      </c>
      <c r="N1225">
        <v>4.5999999999999996</v>
      </c>
      <c r="Q1225">
        <v>107.37</v>
      </c>
      <c r="V1225">
        <v>0</v>
      </c>
      <c r="W1225">
        <v>0</v>
      </c>
      <c r="AF1225">
        <v>0</v>
      </c>
      <c r="AG1225">
        <v>0</v>
      </c>
      <c r="AH1225">
        <v>0</v>
      </c>
      <c r="AI1225">
        <v>12</v>
      </c>
      <c r="AJ1225">
        <v>12</v>
      </c>
      <c r="AM1225">
        <v>0</v>
      </c>
      <c r="AN1225">
        <v>111.97</v>
      </c>
      <c r="AP1225">
        <v>36</v>
      </c>
    </row>
    <row r="1226" spans="1:42" x14ac:dyDescent="0.25">
      <c r="A1226" t="s">
        <v>46</v>
      </c>
      <c r="B1226">
        <v>5</v>
      </c>
      <c r="C1226" t="s">
        <v>556</v>
      </c>
      <c r="D1226" s="39">
        <v>45906</v>
      </c>
      <c r="E1226" t="s">
        <v>486</v>
      </c>
      <c r="F1226" t="s">
        <v>79</v>
      </c>
      <c r="G1226">
        <v>11</v>
      </c>
      <c r="H1226" t="s">
        <v>113</v>
      </c>
      <c r="I1226">
        <v>0</v>
      </c>
      <c r="J1226">
        <v>500</v>
      </c>
      <c r="K1226" t="s">
        <v>79</v>
      </c>
      <c r="L1226">
        <v>1</v>
      </c>
      <c r="M1226">
        <v>44.09</v>
      </c>
      <c r="N1226">
        <v>1.1499999999999999</v>
      </c>
      <c r="Q1226">
        <v>42.940000000000005</v>
      </c>
      <c r="V1226">
        <v>0</v>
      </c>
      <c r="W1226">
        <v>0</v>
      </c>
      <c r="AF1226">
        <v>0</v>
      </c>
      <c r="AG1226">
        <v>0</v>
      </c>
      <c r="AH1226">
        <v>0</v>
      </c>
      <c r="AI1226">
        <v>12</v>
      </c>
      <c r="AJ1226">
        <v>12</v>
      </c>
      <c r="AM1226">
        <v>0</v>
      </c>
      <c r="AN1226">
        <v>44.09</v>
      </c>
      <c r="AP1226">
        <v>36</v>
      </c>
    </row>
    <row r="1227" spans="1:42" x14ac:dyDescent="0.25">
      <c r="A1227" t="s">
        <v>45</v>
      </c>
      <c r="B1227">
        <v>1</v>
      </c>
      <c r="C1227" t="s">
        <v>100</v>
      </c>
      <c r="D1227" s="39">
        <v>45907</v>
      </c>
      <c r="E1227" t="s">
        <v>194</v>
      </c>
      <c r="F1227" t="s">
        <v>79</v>
      </c>
      <c r="G1227">
        <v>2.5</v>
      </c>
      <c r="H1227" t="s">
        <v>92</v>
      </c>
      <c r="I1227">
        <v>0</v>
      </c>
      <c r="J1227" t="s">
        <v>81</v>
      </c>
      <c r="K1227" t="s">
        <v>79</v>
      </c>
      <c r="L1227">
        <v>7</v>
      </c>
      <c r="M1227">
        <v>85.339999999999989</v>
      </c>
      <c r="N1227">
        <v>1.4000000000000001</v>
      </c>
      <c r="O1227">
        <v>32</v>
      </c>
      <c r="Q1227">
        <v>83.939999999999984</v>
      </c>
      <c r="V1227">
        <v>0</v>
      </c>
      <c r="W1227">
        <v>0</v>
      </c>
      <c r="AF1227">
        <v>0</v>
      </c>
      <c r="AG1227">
        <v>0</v>
      </c>
      <c r="AH1227">
        <v>0</v>
      </c>
      <c r="AI1227">
        <v>12</v>
      </c>
      <c r="AJ1227">
        <v>12</v>
      </c>
      <c r="AL1227">
        <v>1982</v>
      </c>
      <c r="AM1227">
        <v>0</v>
      </c>
      <c r="AN1227">
        <v>85.339999999999989</v>
      </c>
      <c r="AO1227">
        <v>398</v>
      </c>
      <c r="AP1227">
        <v>36</v>
      </c>
    </row>
    <row r="1228" spans="1:42" x14ac:dyDescent="0.25">
      <c r="A1228" t="s">
        <v>46</v>
      </c>
      <c r="B1228">
        <v>1</v>
      </c>
      <c r="C1228" t="s">
        <v>557</v>
      </c>
      <c r="D1228" s="39">
        <v>45907</v>
      </c>
      <c r="E1228" t="s">
        <v>243</v>
      </c>
      <c r="F1228" t="s">
        <v>79</v>
      </c>
      <c r="G1228">
        <v>2.5</v>
      </c>
      <c r="H1228" t="s">
        <v>92</v>
      </c>
      <c r="I1228" t="s">
        <v>79</v>
      </c>
      <c r="J1228">
        <v>150</v>
      </c>
      <c r="K1228" t="s">
        <v>79</v>
      </c>
      <c r="L1228">
        <v>3</v>
      </c>
      <c r="M1228">
        <v>72.66</v>
      </c>
      <c r="N1228">
        <v>0.60000000000000009</v>
      </c>
      <c r="O1228">
        <v>32</v>
      </c>
      <c r="Q1228">
        <v>72.06</v>
      </c>
      <c r="V1228">
        <v>0</v>
      </c>
      <c r="W1228">
        <v>0</v>
      </c>
      <c r="AF1228">
        <v>0</v>
      </c>
      <c r="AG1228">
        <v>0</v>
      </c>
      <c r="AH1228">
        <v>0</v>
      </c>
      <c r="AI1228">
        <v>12</v>
      </c>
      <c r="AJ1228">
        <v>12</v>
      </c>
      <c r="AM1228">
        <v>0</v>
      </c>
      <c r="AN1228">
        <v>72.66</v>
      </c>
      <c r="AP1228">
        <v>36</v>
      </c>
    </row>
    <row r="1229" spans="1:42" x14ac:dyDescent="0.25">
      <c r="A1229" t="s">
        <v>46</v>
      </c>
      <c r="B1229">
        <v>1</v>
      </c>
      <c r="C1229" t="s">
        <v>557</v>
      </c>
      <c r="D1229" s="39">
        <v>45907</v>
      </c>
      <c r="E1229" t="s">
        <v>243</v>
      </c>
      <c r="F1229" t="s">
        <v>79</v>
      </c>
      <c r="G1229">
        <v>2.5</v>
      </c>
      <c r="H1229" t="s">
        <v>92</v>
      </c>
      <c r="I1229" t="s">
        <v>79</v>
      </c>
      <c r="J1229">
        <v>150</v>
      </c>
      <c r="K1229" t="s">
        <v>79</v>
      </c>
      <c r="L1229">
        <v>1</v>
      </c>
      <c r="M1229">
        <v>11.8</v>
      </c>
      <c r="N1229">
        <v>0.2</v>
      </c>
      <c r="Q1229">
        <v>11.600000000000001</v>
      </c>
      <c r="V1229">
        <v>0</v>
      </c>
      <c r="W1229">
        <v>0</v>
      </c>
      <c r="AF1229">
        <v>0</v>
      </c>
      <c r="AG1229">
        <v>0</v>
      </c>
      <c r="AH1229">
        <v>0</v>
      </c>
      <c r="AI1229">
        <v>12</v>
      </c>
      <c r="AJ1229">
        <v>12</v>
      </c>
      <c r="AM1229">
        <v>0</v>
      </c>
      <c r="AN1229">
        <v>11.8</v>
      </c>
      <c r="AP1229">
        <v>36</v>
      </c>
    </row>
    <row r="1230" spans="1:42" x14ac:dyDescent="0.25">
      <c r="A1230" t="s">
        <v>45</v>
      </c>
      <c r="B1230">
        <v>2</v>
      </c>
      <c r="C1230" t="s">
        <v>535</v>
      </c>
      <c r="D1230" s="39">
        <v>45907</v>
      </c>
      <c r="E1230" t="s">
        <v>200</v>
      </c>
      <c r="F1230" t="s">
        <v>79</v>
      </c>
      <c r="G1230">
        <v>2</v>
      </c>
      <c r="H1230">
        <v>5</v>
      </c>
      <c r="I1230">
        <v>0</v>
      </c>
      <c r="J1230">
        <v>500</v>
      </c>
      <c r="K1230" t="s">
        <v>79</v>
      </c>
      <c r="L1230">
        <v>5</v>
      </c>
      <c r="M1230">
        <v>108.99</v>
      </c>
      <c r="N1230">
        <v>1</v>
      </c>
      <c r="Q1230">
        <v>107.99</v>
      </c>
      <c r="V1230">
        <v>0</v>
      </c>
      <c r="W1230">
        <v>0</v>
      </c>
      <c r="AF1230">
        <v>0</v>
      </c>
      <c r="AG1230">
        <v>0</v>
      </c>
      <c r="AH1230">
        <v>0</v>
      </c>
      <c r="AI1230">
        <v>12</v>
      </c>
      <c r="AJ1230">
        <v>12</v>
      </c>
      <c r="AM1230">
        <v>0</v>
      </c>
      <c r="AN1230">
        <v>108.99</v>
      </c>
      <c r="AP1230">
        <v>36</v>
      </c>
    </row>
    <row r="1231" spans="1:42" x14ac:dyDescent="0.25">
      <c r="A1231" t="s">
        <v>46</v>
      </c>
      <c r="B1231">
        <v>2</v>
      </c>
      <c r="C1231" t="s">
        <v>535</v>
      </c>
      <c r="D1231" s="39">
        <v>45907</v>
      </c>
      <c r="E1231" t="s">
        <v>200</v>
      </c>
      <c r="F1231" t="s">
        <v>79</v>
      </c>
      <c r="G1231">
        <v>2</v>
      </c>
      <c r="H1231">
        <v>5</v>
      </c>
      <c r="I1231">
        <v>0</v>
      </c>
      <c r="J1231">
        <v>500</v>
      </c>
      <c r="K1231" t="s">
        <v>79</v>
      </c>
      <c r="L1231">
        <v>6</v>
      </c>
      <c r="M1231">
        <v>104.27</v>
      </c>
      <c r="N1231">
        <v>1.2000000000000002</v>
      </c>
      <c r="Q1231">
        <v>103.07</v>
      </c>
      <c r="V1231">
        <v>0</v>
      </c>
      <c r="W1231">
        <v>0</v>
      </c>
      <c r="AF1231">
        <v>0</v>
      </c>
      <c r="AG1231">
        <v>0</v>
      </c>
      <c r="AH1231">
        <v>0</v>
      </c>
      <c r="AI1231">
        <v>12</v>
      </c>
      <c r="AJ1231">
        <v>12</v>
      </c>
      <c r="AM1231">
        <v>0</v>
      </c>
      <c r="AN1231">
        <v>104.27</v>
      </c>
      <c r="AP1231">
        <v>36</v>
      </c>
    </row>
    <row r="1232" spans="1:42" x14ac:dyDescent="0.25">
      <c r="A1232" t="s">
        <v>45</v>
      </c>
      <c r="B1232">
        <v>3</v>
      </c>
      <c r="C1232" t="s">
        <v>543</v>
      </c>
      <c r="D1232" s="39">
        <v>45907</v>
      </c>
      <c r="E1232" t="s">
        <v>486</v>
      </c>
      <c r="F1232" t="s">
        <v>79</v>
      </c>
      <c r="G1232">
        <v>8</v>
      </c>
      <c r="H1232">
        <v>5</v>
      </c>
      <c r="I1232">
        <v>0</v>
      </c>
      <c r="J1232">
        <v>1000</v>
      </c>
      <c r="K1232" t="s">
        <v>79</v>
      </c>
      <c r="L1232">
        <v>7</v>
      </c>
      <c r="M1232">
        <v>243.96</v>
      </c>
      <c r="N1232">
        <v>6.3</v>
      </c>
      <c r="Q1232">
        <v>237.66</v>
      </c>
      <c r="S1232">
        <v>20</v>
      </c>
      <c r="V1232">
        <v>20</v>
      </c>
      <c r="W1232">
        <v>0.33333333333333331</v>
      </c>
      <c r="AF1232">
        <v>0</v>
      </c>
      <c r="AG1232">
        <v>0</v>
      </c>
      <c r="AH1232">
        <v>0.33333333333333331</v>
      </c>
      <c r="AI1232">
        <v>11.666666666666666</v>
      </c>
      <c r="AJ1232">
        <v>12</v>
      </c>
      <c r="AM1232">
        <v>0</v>
      </c>
      <c r="AN1232">
        <v>243.96</v>
      </c>
      <c r="AP1232">
        <v>36</v>
      </c>
    </row>
    <row r="1233" spans="1:42" x14ac:dyDescent="0.25">
      <c r="A1233" t="s">
        <v>45</v>
      </c>
      <c r="B1233">
        <v>3</v>
      </c>
      <c r="C1233" t="s">
        <v>558</v>
      </c>
      <c r="D1233" s="39">
        <v>45907</v>
      </c>
      <c r="E1233" t="s">
        <v>486</v>
      </c>
      <c r="F1233" t="s">
        <v>79</v>
      </c>
      <c r="G1233">
        <v>7</v>
      </c>
      <c r="H1233">
        <v>5</v>
      </c>
      <c r="I1233">
        <v>0</v>
      </c>
      <c r="J1233">
        <v>500</v>
      </c>
      <c r="K1233" t="s">
        <v>79</v>
      </c>
      <c r="L1233">
        <v>1</v>
      </c>
      <c r="M1233">
        <v>29.99</v>
      </c>
      <c r="N1233">
        <v>0.8</v>
      </c>
      <c r="Q1233">
        <v>29.189999999999998</v>
      </c>
      <c r="V1233">
        <v>0</v>
      </c>
      <c r="W1233">
        <v>0</v>
      </c>
      <c r="AF1233">
        <v>0</v>
      </c>
      <c r="AG1233">
        <v>0</v>
      </c>
      <c r="AH1233">
        <v>0</v>
      </c>
      <c r="AI1233">
        <v>12</v>
      </c>
      <c r="AJ1233">
        <v>12</v>
      </c>
      <c r="AM1233">
        <v>0</v>
      </c>
      <c r="AN1233">
        <v>29.99</v>
      </c>
      <c r="AP1233">
        <v>36</v>
      </c>
    </row>
    <row r="1234" spans="1:42" x14ac:dyDescent="0.25">
      <c r="A1234" t="s">
        <v>46</v>
      </c>
      <c r="B1234">
        <v>3</v>
      </c>
      <c r="C1234" t="s">
        <v>558</v>
      </c>
      <c r="D1234" s="39">
        <v>45907</v>
      </c>
      <c r="E1234" t="s">
        <v>486</v>
      </c>
      <c r="F1234" t="s">
        <v>79</v>
      </c>
      <c r="G1234">
        <v>7</v>
      </c>
      <c r="H1234">
        <v>5</v>
      </c>
      <c r="I1234">
        <v>0</v>
      </c>
      <c r="J1234">
        <v>500</v>
      </c>
      <c r="K1234" t="s">
        <v>79</v>
      </c>
      <c r="L1234">
        <v>8</v>
      </c>
      <c r="M1234">
        <v>240.74000000000004</v>
      </c>
      <c r="N1234">
        <v>6.4</v>
      </c>
      <c r="Q1234">
        <v>234.34000000000003</v>
      </c>
      <c r="V1234">
        <v>0</v>
      </c>
      <c r="W1234">
        <v>0</v>
      </c>
      <c r="AF1234">
        <v>0</v>
      </c>
      <c r="AG1234">
        <v>0</v>
      </c>
      <c r="AH1234">
        <v>0</v>
      </c>
      <c r="AI1234">
        <v>12</v>
      </c>
      <c r="AJ1234">
        <v>12</v>
      </c>
      <c r="AM1234">
        <v>0</v>
      </c>
      <c r="AN1234">
        <v>240.74000000000004</v>
      </c>
      <c r="AP1234">
        <v>36</v>
      </c>
    </row>
    <row r="1235" spans="1:42" x14ac:dyDescent="0.25">
      <c r="A1235" t="s">
        <v>45</v>
      </c>
      <c r="B1235">
        <v>4</v>
      </c>
      <c r="C1235" t="s">
        <v>526</v>
      </c>
      <c r="D1235" s="39">
        <v>45907</v>
      </c>
      <c r="E1235" t="s">
        <v>396</v>
      </c>
      <c r="F1235" t="s">
        <v>79</v>
      </c>
      <c r="G1235">
        <v>17</v>
      </c>
      <c r="H1235" t="s">
        <v>92</v>
      </c>
      <c r="I1235">
        <v>0</v>
      </c>
      <c r="J1235">
        <v>5000</v>
      </c>
      <c r="K1235" t="s">
        <v>79</v>
      </c>
      <c r="L1235">
        <v>14</v>
      </c>
      <c r="M1235">
        <v>801.00999999999988</v>
      </c>
      <c r="N1235">
        <v>23.8</v>
      </c>
      <c r="Q1235">
        <v>777.20999999999992</v>
      </c>
      <c r="V1235">
        <v>0</v>
      </c>
      <c r="W1235">
        <v>0</v>
      </c>
      <c r="AF1235">
        <v>0</v>
      </c>
      <c r="AG1235">
        <v>0</v>
      </c>
      <c r="AH1235">
        <v>0</v>
      </c>
      <c r="AI1235">
        <v>12</v>
      </c>
      <c r="AJ1235">
        <v>12</v>
      </c>
      <c r="AM1235">
        <v>0</v>
      </c>
      <c r="AN1235">
        <v>801.00999999999988</v>
      </c>
      <c r="AP1235">
        <v>36</v>
      </c>
    </row>
    <row r="1236" spans="1:42" x14ac:dyDescent="0.25">
      <c r="A1236" t="s">
        <v>46</v>
      </c>
      <c r="B1236">
        <v>4</v>
      </c>
      <c r="C1236" t="s">
        <v>526</v>
      </c>
      <c r="D1236" s="39">
        <v>45907</v>
      </c>
      <c r="E1236" t="s">
        <v>396</v>
      </c>
      <c r="F1236" t="s">
        <v>79</v>
      </c>
      <c r="G1236">
        <v>17</v>
      </c>
      <c r="H1236" t="s">
        <v>92</v>
      </c>
      <c r="I1236">
        <v>0</v>
      </c>
      <c r="J1236">
        <v>5000</v>
      </c>
      <c r="K1236" t="s">
        <v>79</v>
      </c>
      <c r="L1236">
        <v>17</v>
      </c>
      <c r="M1236">
        <v>797.26</v>
      </c>
      <c r="N1236">
        <v>32.4</v>
      </c>
      <c r="Q1236">
        <v>764.86</v>
      </c>
      <c r="V1236">
        <v>0</v>
      </c>
      <c r="W1236">
        <v>0</v>
      </c>
      <c r="AF1236">
        <v>0</v>
      </c>
      <c r="AG1236">
        <v>0</v>
      </c>
      <c r="AH1236">
        <v>0</v>
      </c>
      <c r="AI1236">
        <v>12</v>
      </c>
      <c r="AJ1236">
        <v>12</v>
      </c>
      <c r="AM1236">
        <v>0</v>
      </c>
      <c r="AN1236">
        <v>797.26</v>
      </c>
      <c r="AP1236">
        <v>36</v>
      </c>
    </row>
    <row r="1237" spans="1:42" x14ac:dyDescent="0.25">
      <c r="A1237" t="s">
        <v>45</v>
      </c>
      <c r="B1237">
        <v>5</v>
      </c>
      <c r="C1237" t="s">
        <v>556</v>
      </c>
      <c r="D1237" s="39">
        <v>45907</v>
      </c>
      <c r="E1237" t="s">
        <v>486</v>
      </c>
      <c r="F1237" t="s">
        <v>79</v>
      </c>
      <c r="G1237">
        <v>11</v>
      </c>
      <c r="H1237" t="s">
        <v>113</v>
      </c>
      <c r="I1237">
        <v>0</v>
      </c>
      <c r="J1237">
        <v>500</v>
      </c>
      <c r="K1237" t="s">
        <v>79</v>
      </c>
      <c r="L1237">
        <v>10</v>
      </c>
      <c r="M1237">
        <v>503.49</v>
      </c>
      <c r="N1237">
        <v>11.5</v>
      </c>
      <c r="Q1237">
        <v>491.99</v>
      </c>
      <c r="V1237">
        <v>0</v>
      </c>
      <c r="W1237">
        <v>0</v>
      </c>
      <c r="AF1237">
        <v>0</v>
      </c>
      <c r="AG1237">
        <v>0</v>
      </c>
      <c r="AH1237">
        <v>0</v>
      </c>
      <c r="AI1237">
        <v>12</v>
      </c>
      <c r="AJ1237">
        <v>12</v>
      </c>
      <c r="AM1237">
        <v>0</v>
      </c>
      <c r="AN1237">
        <v>503.49</v>
      </c>
      <c r="AP1237">
        <v>36</v>
      </c>
    </row>
    <row r="1238" spans="1:42" x14ac:dyDescent="0.25">
      <c r="A1238" t="s">
        <v>46</v>
      </c>
      <c r="B1238">
        <v>5</v>
      </c>
      <c r="C1238" t="s">
        <v>559</v>
      </c>
      <c r="D1238" s="39">
        <v>45907</v>
      </c>
      <c r="E1238" t="s">
        <v>486</v>
      </c>
      <c r="F1238" t="s">
        <v>79</v>
      </c>
      <c r="G1238">
        <v>10</v>
      </c>
      <c r="H1238">
        <v>5</v>
      </c>
      <c r="I1238">
        <v>0</v>
      </c>
      <c r="J1238">
        <v>1000</v>
      </c>
      <c r="K1238" t="s">
        <v>79</v>
      </c>
      <c r="L1238">
        <v>5</v>
      </c>
      <c r="M1238">
        <v>184.43999999999997</v>
      </c>
      <c r="N1238">
        <v>5</v>
      </c>
      <c r="Q1238">
        <v>179.43999999999997</v>
      </c>
      <c r="S1238">
        <v>20</v>
      </c>
      <c r="V1238">
        <v>20</v>
      </c>
      <c r="W1238">
        <v>0.33333333333333331</v>
      </c>
      <c r="Y1238">
        <v>80</v>
      </c>
      <c r="AF1238">
        <v>80</v>
      </c>
      <c r="AG1238">
        <v>1.3333333333333333</v>
      </c>
      <c r="AH1238">
        <v>1.6666666666666663</v>
      </c>
      <c r="AI1238">
        <v>10.333333333333334</v>
      </c>
      <c r="AJ1238">
        <v>12</v>
      </c>
      <c r="AM1238">
        <v>0</v>
      </c>
      <c r="AN1238">
        <v>184.43999999999997</v>
      </c>
      <c r="AP1238">
        <v>36</v>
      </c>
    </row>
    <row r="1239" spans="1:42" x14ac:dyDescent="0.25">
      <c r="A1239" t="s">
        <v>46</v>
      </c>
      <c r="B1239">
        <v>5</v>
      </c>
      <c r="C1239" t="s">
        <v>547</v>
      </c>
      <c r="D1239" s="39">
        <v>45907</v>
      </c>
      <c r="E1239" t="s">
        <v>229</v>
      </c>
      <c r="F1239" t="s">
        <v>79</v>
      </c>
      <c r="G1239">
        <v>10</v>
      </c>
      <c r="H1239">
        <v>15</v>
      </c>
      <c r="I1239">
        <v>0</v>
      </c>
      <c r="J1239">
        <v>250</v>
      </c>
      <c r="K1239" t="s">
        <v>79</v>
      </c>
      <c r="L1239">
        <v>8</v>
      </c>
      <c r="M1239">
        <v>218.22</v>
      </c>
      <c r="N1239">
        <v>8</v>
      </c>
      <c r="Q1239">
        <v>210.22</v>
      </c>
      <c r="V1239">
        <v>0</v>
      </c>
      <c r="W1239">
        <v>0</v>
      </c>
      <c r="AF1239">
        <v>0</v>
      </c>
      <c r="AG1239">
        <v>0</v>
      </c>
      <c r="AH1239">
        <v>0</v>
      </c>
      <c r="AI1239">
        <v>12</v>
      </c>
      <c r="AJ1239">
        <v>12</v>
      </c>
      <c r="AM1239">
        <v>0</v>
      </c>
      <c r="AN1239">
        <v>218.22</v>
      </c>
      <c r="AP1239">
        <v>36</v>
      </c>
    </row>
    <row r="1240" spans="1:42" x14ac:dyDescent="0.25">
      <c r="A1240" t="s">
        <v>46</v>
      </c>
      <c r="B1240">
        <v>5</v>
      </c>
      <c r="C1240" t="s">
        <v>556</v>
      </c>
      <c r="D1240" s="39">
        <v>45907</v>
      </c>
      <c r="E1240" t="s">
        <v>486</v>
      </c>
      <c r="F1240" t="s">
        <v>79</v>
      </c>
      <c r="G1240">
        <v>11</v>
      </c>
      <c r="H1240" t="s">
        <v>113</v>
      </c>
      <c r="I1240">
        <v>0</v>
      </c>
      <c r="J1240">
        <v>500</v>
      </c>
      <c r="K1240" t="s">
        <v>79</v>
      </c>
      <c r="L1240">
        <v>2</v>
      </c>
      <c r="M1240">
        <v>61.79</v>
      </c>
      <c r="N1240">
        <v>2.2000000000000002</v>
      </c>
      <c r="Q1240">
        <v>59.589999999999996</v>
      </c>
      <c r="V1240">
        <v>0</v>
      </c>
      <c r="W1240">
        <v>0</v>
      </c>
      <c r="AF1240">
        <v>0</v>
      </c>
      <c r="AG1240">
        <v>0</v>
      </c>
      <c r="AH1240">
        <v>0</v>
      </c>
      <c r="AI1240">
        <v>12</v>
      </c>
      <c r="AJ1240">
        <v>12</v>
      </c>
      <c r="AM1240">
        <v>0</v>
      </c>
      <c r="AN1240">
        <v>61.79</v>
      </c>
      <c r="AP1240">
        <v>36</v>
      </c>
    </row>
    <row r="1241" spans="1:42" x14ac:dyDescent="0.25">
      <c r="A1241" t="s">
        <v>45</v>
      </c>
      <c r="B1241">
        <v>1</v>
      </c>
      <c r="C1241" t="s">
        <v>557</v>
      </c>
      <c r="D1241" s="39">
        <v>45908</v>
      </c>
      <c r="E1241" t="s">
        <v>243</v>
      </c>
      <c r="F1241" t="s">
        <v>79</v>
      </c>
      <c r="G1241">
        <v>2.5</v>
      </c>
      <c r="H1241" t="s">
        <v>92</v>
      </c>
      <c r="I1241" t="s">
        <v>79</v>
      </c>
      <c r="J1241">
        <v>150</v>
      </c>
      <c r="K1241" t="s">
        <v>79</v>
      </c>
      <c r="L1241">
        <v>6</v>
      </c>
      <c r="M1241">
        <v>103.51</v>
      </c>
      <c r="N1241">
        <v>1.2000000000000002</v>
      </c>
      <c r="O1241">
        <v>23</v>
      </c>
      <c r="Q1241">
        <v>102.31</v>
      </c>
      <c r="V1241">
        <v>0</v>
      </c>
      <c r="W1241">
        <v>0</v>
      </c>
      <c r="AF1241">
        <v>0</v>
      </c>
      <c r="AG1241">
        <v>0</v>
      </c>
      <c r="AH1241">
        <v>0</v>
      </c>
      <c r="AI1241">
        <v>12</v>
      </c>
      <c r="AJ1241">
        <v>12</v>
      </c>
      <c r="AL1241">
        <v>2030</v>
      </c>
      <c r="AM1241">
        <v>0</v>
      </c>
      <c r="AP1241">
        <v>37</v>
      </c>
    </row>
    <row r="1242" spans="1:42" x14ac:dyDescent="0.25">
      <c r="A1242" t="s">
        <v>46</v>
      </c>
      <c r="B1242">
        <v>1</v>
      </c>
      <c r="C1242" t="s">
        <v>100</v>
      </c>
      <c r="D1242" s="39">
        <v>45908</v>
      </c>
      <c r="E1242" t="s">
        <v>194</v>
      </c>
      <c r="F1242" t="s">
        <v>79</v>
      </c>
      <c r="G1242">
        <v>2.5</v>
      </c>
      <c r="H1242" t="s">
        <v>92</v>
      </c>
      <c r="I1242">
        <v>0</v>
      </c>
      <c r="J1242" t="s">
        <v>81</v>
      </c>
      <c r="K1242" t="s">
        <v>79</v>
      </c>
      <c r="L1242">
        <v>8</v>
      </c>
      <c r="M1242">
        <v>88.350000000000009</v>
      </c>
      <c r="N1242">
        <v>1.6</v>
      </c>
      <c r="O1242">
        <v>58</v>
      </c>
      <c r="Q1242">
        <v>86.750000000000014</v>
      </c>
      <c r="V1242">
        <v>0</v>
      </c>
      <c r="W1242">
        <v>0</v>
      </c>
      <c r="AF1242">
        <v>0</v>
      </c>
      <c r="AG1242">
        <v>0</v>
      </c>
      <c r="AH1242">
        <v>0</v>
      </c>
      <c r="AI1242">
        <v>12</v>
      </c>
      <c r="AJ1242">
        <v>12</v>
      </c>
      <c r="AM1242">
        <v>0</v>
      </c>
      <c r="AP1242">
        <v>37</v>
      </c>
    </row>
    <row r="1243" spans="1:42" x14ac:dyDescent="0.25">
      <c r="A1243" t="s">
        <v>45</v>
      </c>
      <c r="B1243">
        <v>2</v>
      </c>
      <c r="C1243" t="s">
        <v>82</v>
      </c>
      <c r="D1243" s="39">
        <v>45908</v>
      </c>
      <c r="E1243" t="s">
        <v>194</v>
      </c>
      <c r="F1243" t="s">
        <v>79</v>
      </c>
      <c r="G1243">
        <v>2</v>
      </c>
      <c r="H1243" t="s">
        <v>92</v>
      </c>
      <c r="I1243">
        <v>0</v>
      </c>
      <c r="J1243" t="s">
        <v>81</v>
      </c>
      <c r="K1243" t="s">
        <v>79</v>
      </c>
      <c r="L1243">
        <v>8</v>
      </c>
      <c r="M1243">
        <v>92.11</v>
      </c>
      <c r="N1243">
        <v>1.6</v>
      </c>
      <c r="Q1243">
        <v>90.51</v>
      </c>
      <c r="S1243">
        <v>10</v>
      </c>
      <c r="V1243">
        <v>10</v>
      </c>
      <c r="W1243">
        <v>0.16666666666666666</v>
      </c>
      <c r="AF1243">
        <v>0</v>
      </c>
      <c r="AG1243">
        <v>0</v>
      </c>
      <c r="AH1243">
        <v>0.16666666666666666</v>
      </c>
      <c r="AI1243">
        <v>11.833333333333334</v>
      </c>
      <c r="AJ1243">
        <v>12</v>
      </c>
      <c r="AM1243">
        <v>0</v>
      </c>
      <c r="AP1243">
        <v>37</v>
      </c>
    </row>
    <row r="1244" spans="1:42" x14ac:dyDescent="0.25">
      <c r="A1244" t="s">
        <v>46</v>
      </c>
      <c r="B1244">
        <v>2</v>
      </c>
      <c r="C1244" t="s">
        <v>560</v>
      </c>
      <c r="D1244" s="39">
        <v>45908</v>
      </c>
      <c r="E1244" t="s">
        <v>477</v>
      </c>
      <c r="F1244" t="s">
        <v>79</v>
      </c>
      <c r="G1244">
        <v>4</v>
      </c>
      <c r="H1244">
        <v>4.5</v>
      </c>
      <c r="I1244">
        <v>0</v>
      </c>
      <c r="J1244">
        <v>250</v>
      </c>
      <c r="K1244" t="s">
        <v>79</v>
      </c>
      <c r="L1244">
        <v>1</v>
      </c>
      <c r="M1244">
        <v>15.32</v>
      </c>
      <c r="N1244">
        <v>0.4</v>
      </c>
      <c r="Q1244">
        <v>14.92</v>
      </c>
      <c r="V1244">
        <v>0</v>
      </c>
      <c r="W1244">
        <v>0</v>
      </c>
      <c r="Z1244">
        <v>180</v>
      </c>
      <c r="AF1244">
        <v>180</v>
      </c>
      <c r="AG1244">
        <v>3</v>
      </c>
      <c r="AH1244">
        <v>3</v>
      </c>
      <c r="AI1244">
        <v>9</v>
      </c>
      <c r="AJ1244">
        <v>12</v>
      </c>
      <c r="AM1244">
        <v>0</v>
      </c>
      <c r="AP1244">
        <v>37</v>
      </c>
    </row>
    <row r="1245" spans="1:42" x14ac:dyDescent="0.25">
      <c r="A1245" t="s">
        <v>46</v>
      </c>
      <c r="B1245">
        <v>2</v>
      </c>
      <c r="C1245" t="s">
        <v>560</v>
      </c>
      <c r="D1245" s="39">
        <v>45908</v>
      </c>
      <c r="E1245" t="s">
        <v>477</v>
      </c>
      <c r="F1245" t="s">
        <v>79</v>
      </c>
      <c r="G1245">
        <v>4</v>
      </c>
      <c r="H1245">
        <v>4.5</v>
      </c>
      <c r="I1245">
        <v>0</v>
      </c>
      <c r="J1245">
        <v>250</v>
      </c>
      <c r="K1245" t="s">
        <v>79</v>
      </c>
      <c r="L1245">
        <v>10</v>
      </c>
      <c r="M1245">
        <v>96.3</v>
      </c>
      <c r="N1245">
        <v>4</v>
      </c>
      <c r="Q1245">
        <v>92.3</v>
      </c>
      <c r="V1245">
        <v>0</v>
      </c>
      <c r="W1245">
        <v>0</v>
      </c>
      <c r="AF1245">
        <v>0</v>
      </c>
      <c r="AG1245">
        <v>0</v>
      </c>
      <c r="AH1245">
        <v>0</v>
      </c>
      <c r="AI1245">
        <v>12</v>
      </c>
      <c r="AJ1245">
        <v>12</v>
      </c>
      <c r="AM1245">
        <v>0</v>
      </c>
      <c r="AP1245">
        <v>37</v>
      </c>
    </row>
    <row r="1246" spans="1:42" x14ac:dyDescent="0.25">
      <c r="A1246" t="s">
        <v>45</v>
      </c>
      <c r="B1246">
        <v>3</v>
      </c>
      <c r="C1246" t="s">
        <v>558</v>
      </c>
      <c r="D1246" s="39">
        <v>45908</v>
      </c>
      <c r="E1246" t="s">
        <v>486</v>
      </c>
      <c r="F1246" t="s">
        <v>79</v>
      </c>
      <c r="G1246">
        <v>7</v>
      </c>
      <c r="H1246">
        <v>5</v>
      </c>
      <c r="I1246">
        <v>0</v>
      </c>
      <c r="J1246">
        <v>500</v>
      </c>
      <c r="K1246" t="s">
        <v>79</v>
      </c>
      <c r="L1246">
        <v>5</v>
      </c>
      <c r="M1246">
        <v>164.61</v>
      </c>
      <c r="N1246">
        <v>4</v>
      </c>
      <c r="Q1246">
        <v>160.61000000000001</v>
      </c>
      <c r="V1246">
        <v>0</v>
      </c>
      <c r="W1246">
        <v>0</v>
      </c>
      <c r="AF1246">
        <v>0</v>
      </c>
      <c r="AG1246">
        <v>0</v>
      </c>
      <c r="AH1246">
        <v>0</v>
      </c>
      <c r="AI1246">
        <v>12</v>
      </c>
      <c r="AJ1246">
        <v>12</v>
      </c>
      <c r="AM1246">
        <v>0</v>
      </c>
      <c r="AP1246">
        <v>37</v>
      </c>
    </row>
    <row r="1247" spans="1:42" x14ac:dyDescent="0.25">
      <c r="A1247" t="s">
        <v>45</v>
      </c>
      <c r="B1247">
        <v>3</v>
      </c>
      <c r="C1247" t="s">
        <v>561</v>
      </c>
      <c r="D1247" s="39">
        <v>45908</v>
      </c>
      <c r="E1247" t="s">
        <v>282</v>
      </c>
      <c r="F1247" t="s">
        <v>79</v>
      </c>
      <c r="G1247">
        <v>7</v>
      </c>
      <c r="H1247">
        <v>5.5</v>
      </c>
      <c r="I1247">
        <v>0</v>
      </c>
      <c r="J1247">
        <v>100</v>
      </c>
      <c r="K1247" t="s">
        <v>79</v>
      </c>
      <c r="L1247">
        <v>4</v>
      </c>
      <c r="M1247">
        <v>105.84</v>
      </c>
      <c r="N1247">
        <v>3.2</v>
      </c>
      <c r="Q1247">
        <v>102.64</v>
      </c>
      <c r="V1247">
        <v>0</v>
      </c>
      <c r="W1247">
        <v>0</v>
      </c>
      <c r="AF1247">
        <v>0</v>
      </c>
      <c r="AG1247">
        <v>0</v>
      </c>
      <c r="AH1247">
        <v>0</v>
      </c>
      <c r="AI1247">
        <v>12</v>
      </c>
      <c r="AJ1247">
        <v>12</v>
      </c>
      <c r="AM1247">
        <v>0</v>
      </c>
      <c r="AP1247">
        <v>37</v>
      </c>
    </row>
    <row r="1248" spans="1:42" x14ac:dyDescent="0.25">
      <c r="A1248" t="s">
        <v>46</v>
      </c>
      <c r="B1248">
        <v>3</v>
      </c>
      <c r="C1248" t="s">
        <v>558</v>
      </c>
      <c r="D1248" s="39">
        <v>45908</v>
      </c>
      <c r="E1248" t="s">
        <v>486</v>
      </c>
      <c r="F1248" t="s">
        <v>79</v>
      </c>
      <c r="G1248">
        <v>7</v>
      </c>
      <c r="H1248">
        <v>5</v>
      </c>
      <c r="I1248">
        <v>0</v>
      </c>
      <c r="J1248">
        <v>500</v>
      </c>
      <c r="K1248" t="s">
        <v>79</v>
      </c>
      <c r="L1248">
        <v>10</v>
      </c>
      <c r="M1248">
        <v>282.96999999999997</v>
      </c>
      <c r="N1248">
        <v>7</v>
      </c>
      <c r="Q1248">
        <v>275.96999999999997</v>
      </c>
      <c r="S1248">
        <v>30</v>
      </c>
      <c r="V1248">
        <v>30</v>
      </c>
      <c r="W1248">
        <v>0.5</v>
      </c>
      <c r="AF1248">
        <v>0</v>
      </c>
      <c r="AG1248">
        <v>0</v>
      </c>
      <c r="AH1248">
        <v>0.5</v>
      </c>
      <c r="AI1248">
        <v>11.5</v>
      </c>
      <c r="AJ1248">
        <v>12</v>
      </c>
      <c r="AM1248">
        <v>0</v>
      </c>
      <c r="AP1248">
        <v>37</v>
      </c>
    </row>
    <row r="1249" spans="1:42" x14ac:dyDescent="0.25">
      <c r="A1249" t="s">
        <v>45</v>
      </c>
      <c r="B1249">
        <v>4</v>
      </c>
      <c r="C1249" t="s">
        <v>526</v>
      </c>
      <c r="D1249" s="39">
        <v>45908</v>
      </c>
      <c r="E1249" t="s">
        <v>396</v>
      </c>
      <c r="F1249" t="s">
        <v>79</v>
      </c>
      <c r="G1249">
        <v>17</v>
      </c>
      <c r="H1249" t="s">
        <v>92</v>
      </c>
      <c r="I1249">
        <v>0</v>
      </c>
      <c r="J1249">
        <v>5000</v>
      </c>
      <c r="K1249" t="s">
        <v>79</v>
      </c>
      <c r="L1249">
        <v>13</v>
      </c>
      <c r="M1249">
        <v>656.18999999999994</v>
      </c>
      <c r="N1249">
        <v>23.179999999999996</v>
      </c>
      <c r="Q1249">
        <v>633.01</v>
      </c>
      <c r="V1249">
        <v>0</v>
      </c>
      <c r="W1249">
        <v>0</v>
      </c>
      <c r="AF1249">
        <v>0</v>
      </c>
      <c r="AG1249">
        <v>0</v>
      </c>
      <c r="AH1249">
        <v>0</v>
      </c>
      <c r="AI1249">
        <v>12</v>
      </c>
      <c r="AJ1249">
        <v>12</v>
      </c>
      <c r="AM1249">
        <v>0</v>
      </c>
      <c r="AP1249">
        <v>37</v>
      </c>
    </row>
    <row r="1250" spans="1:42" x14ac:dyDescent="0.25">
      <c r="A1250" t="s">
        <v>45</v>
      </c>
      <c r="B1250">
        <v>4</v>
      </c>
      <c r="C1250" t="s">
        <v>562</v>
      </c>
      <c r="D1250" s="39">
        <v>45908</v>
      </c>
      <c r="E1250" t="s">
        <v>563</v>
      </c>
      <c r="F1250" t="s">
        <v>79</v>
      </c>
      <c r="G1250">
        <v>17</v>
      </c>
      <c r="H1250" t="s">
        <v>353</v>
      </c>
      <c r="I1250">
        <v>0</v>
      </c>
      <c r="J1250">
        <v>100</v>
      </c>
      <c r="K1250" t="s">
        <v>79</v>
      </c>
      <c r="L1250">
        <v>2</v>
      </c>
      <c r="M1250">
        <v>112.13</v>
      </c>
      <c r="N1250">
        <v>3.9</v>
      </c>
      <c r="Q1250">
        <v>108.22999999999999</v>
      </c>
      <c r="V1250">
        <v>0</v>
      </c>
      <c r="W1250">
        <v>0</v>
      </c>
      <c r="AF1250">
        <v>0</v>
      </c>
      <c r="AG1250">
        <v>0</v>
      </c>
      <c r="AH1250">
        <v>0</v>
      </c>
      <c r="AI1250">
        <v>12</v>
      </c>
      <c r="AJ1250">
        <v>12</v>
      </c>
      <c r="AM1250">
        <v>0</v>
      </c>
      <c r="AP1250">
        <v>37</v>
      </c>
    </row>
    <row r="1251" spans="1:42" x14ac:dyDescent="0.25">
      <c r="A1251" t="s">
        <v>46</v>
      </c>
      <c r="B1251">
        <v>4</v>
      </c>
      <c r="C1251" t="s">
        <v>526</v>
      </c>
      <c r="D1251" s="39">
        <v>45908</v>
      </c>
      <c r="E1251" t="s">
        <v>396</v>
      </c>
      <c r="F1251" t="s">
        <v>79</v>
      </c>
      <c r="G1251">
        <v>17</v>
      </c>
      <c r="H1251" t="s">
        <v>92</v>
      </c>
      <c r="I1251">
        <v>0</v>
      </c>
      <c r="J1251">
        <v>5000</v>
      </c>
      <c r="K1251" t="s">
        <v>79</v>
      </c>
      <c r="L1251">
        <v>12</v>
      </c>
      <c r="M1251">
        <v>631.82999999999993</v>
      </c>
      <c r="N1251">
        <v>22.799999999999997</v>
      </c>
      <c r="Q1251">
        <v>609.03</v>
      </c>
      <c r="V1251">
        <v>0</v>
      </c>
      <c r="W1251">
        <v>0</v>
      </c>
      <c r="AD1251">
        <v>40</v>
      </c>
      <c r="AF1251">
        <v>40</v>
      </c>
      <c r="AG1251">
        <v>0.66666666666666663</v>
      </c>
      <c r="AH1251">
        <v>0.66666666666666663</v>
      </c>
      <c r="AI1251">
        <v>11.333333333333334</v>
      </c>
      <c r="AJ1251">
        <v>12</v>
      </c>
      <c r="AM1251">
        <v>0</v>
      </c>
      <c r="AP1251">
        <v>37</v>
      </c>
    </row>
    <row r="1252" spans="1:42" x14ac:dyDescent="0.25">
      <c r="A1252" t="s">
        <v>45</v>
      </c>
      <c r="B1252">
        <v>5</v>
      </c>
      <c r="C1252" t="s">
        <v>547</v>
      </c>
      <c r="D1252" s="39">
        <v>45908</v>
      </c>
      <c r="E1252" t="s">
        <v>229</v>
      </c>
      <c r="F1252" t="s">
        <v>79</v>
      </c>
      <c r="G1252">
        <v>10</v>
      </c>
      <c r="H1252">
        <v>15</v>
      </c>
      <c r="I1252">
        <v>0</v>
      </c>
      <c r="J1252">
        <v>250</v>
      </c>
      <c r="K1252" t="s">
        <v>79</v>
      </c>
      <c r="L1252">
        <v>3</v>
      </c>
      <c r="M1252">
        <v>100.35</v>
      </c>
      <c r="N1252">
        <v>3.3000000000000003</v>
      </c>
      <c r="Q1252">
        <v>97.05</v>
      </c>
      <c r="S1252">
        <v>20</v>
      </c>
      <c r="V1252">
        <v>20</v>
      </c>
      <c r="W1252">
        <v>0.33333333333333331</v>
      </c>
      <c r="AD1252">
        <v>30</v>
      </c>
      <c r="AF1252">
        <v>30</v>
      </c>
      <c r="AG1252">
        <v>0.5</v>
      </c>
      <c r="AH1252">
        <v>0.83333333333333326</v>
      </c>
      <c r="AI1252">
        <v>11.166666666666666</v>
      </c>
      <c r="AJ1252">
        <v>12</v>
      </c>
      <c r="AM1252">
        <v>0</v>
      </c>
      <c r="AP1252">
        <v>37</v>
      </c>
    </row>
    <row r="1253" spans="1:42" x14ac:dyDescent="0.25">
      <c r="A1253" t="s">
        <v>45</v>
      </c>
      <c r="B1253">
        <v>5</v>
      </c>
      <c r="C1253" t="s">
        <v>564</v>
      </c>
      <c r="D1253" s="39">
        <v>45908</v>
      </c>
      <c r="E1253" t="s">
        <v>486</v>
      </c>
      <c r="F1253" t="s">
        <v>79</v>
      </c>
      <c r="G1253">
        <v>10</v>
      </c>
      <c r="H1253">
        <v>5</v>
      </c>
      <c r="I1253">
        <v>0</v>
      </c>
      <c r="J1253">
        <v>500</v>
      </c>
      <c r="K1253" t="s">
        <v>79</v>
      </c>
      <c r="L1253">
        <v>8</v>
      </c>
      <c r="M1253">
        <v>349.99</v>
      </c>
      <c r="N1253">
        <v>8.8000000000000007</v>
      </c>
      <c r="Q1253">
        <v>341.19</v>
      </c>
      <c r="V1253">
        <v>0</v>
      </c>
      <c r="W1253">
        <v>0</v>
      </c>
      <c r="AF1253">
        <v>0</v>
      </c>
      <c r="AG1253">
        <v>0</v>
      </c>
      <c r="AH1253">
        <v>0</v>
      </c>
      <c r="AI1253">
        <v>12</v>
      </c>
      <c r="AJ1253">
        <v>12</v>
      </c>
      <c r="AM1253">
        <v>0</v>
      </c>
      <c r="AP1253">
        <v>37</v>
      </c>
    </row>
    <row r="1254" spans="1:42" x14ac:dyDescent="0.25">
      <c r="A1254" t="s">
        <v>46</v>
      </c>
      <c r="B1254">
        <v>5</v>
      </c>
      <c r="C1254" t="s">
        <v>565</v>
      </c>
      <c r="D1254" s="39">
        <v>45908</v>
      </c>
      <c r="E1254" t="s">
        <v>486</v>
      </c>
      <c r="F1254" t="s">
        <v>79</v>
      </c>
      <c r="G1254">
        <v>14</v>
      </c>
      <c r="H1254">
        <v>5</v>
      </c>
      <c r="I1254">
        <v>0</v>
      </c>
      <c r="J1254">
        <v>2000</v>
      </c>
      <c r="K1254" t="s">
        <v>79</v>
      </c>
      <c r="L1254">
        <v>13</v>
      </c>
      <c r="M1254">
        <v>545.61999999999989</v>
      </c>
      <c r="N1254">
        <v>22.099999999999998</v>
      </c>
      <c r="Q1254">
        <v>523.51999999999987</v>
      </c>
      <c r="V1254">
        <v>0</v>
      </c>
      <c r="W1254">
        <v>0</v>
      </c>
      <c r="Z1254">
        <v>30</v>
      </c>
      <c r="AF1254">
        <v>30</v>
      </c>
      <c r="AG1254">
        <v>0.5</v>
      </c>
      <c r="AH1254">
        <v>0.5</v>
      </c>
      <c r="AI1254">
        <v>11.5</v>
      </c>
      <c r="AJ1254">
        <v>12</v>
      </c>
      <c r="AM1254">
        <v>0</v>
      </c>
      <c r="AP1254">
        <v>37</v>
      </c>
    </row>
    <row r="1255" spans="1:42" x14ac:dyDescent="0.25">
      <c r="A1255" t="s">
        <v>45</v>
      </c>
      <c r="B1255">
        <v>1</v>
      </c>
      <c r="C1255" t="s">
        <v>560</v>
      </c>
      <c r="D1255" s="39">
        <v>45909</v>
      </c>
      <c r="E1255" t="s">
        <v>477</v>
      </c>
      <c r="F1255" t="s">
        <v>79</v>
      </c>
      <c r="G1255">
        <v>4</v>
      </c>
      <c r="H1255">
        <v>4.5</v>
      </c>
      <c r="I1255">
        <v>0</v>
      </c>
      <c r="J1255">
        <v>250</v>
      </c>
      <c r="K1255" t="s">
        <v>79</v>
      </c>
      <c r="L1255">
        <v>2</v>
      </c>
      <c r="M1255">
        <v>29.29</v>
      </c>
      <c r="N1255">
        <v>0.8</v>
      </c>
      <c r="Q1255">
        <v>28.49</v>
      </c>
      <c r="V1255">
        <v>0</v>
      </c>
      <c r="W1255">
        <v>0</v>
      </c>
      <c r="AF1255">
        <v>0</v>
      </c>
      <c r="AG1255">
        <v>0</v>
      </c>
      <c r="AH1255">
        <v>0</v>
      </c>
      <c r="AI1255">
        <v>12</v>
      </c>
      <c r="AJ1255">
        <v>12</v>
      </c>
      <c r="AL1255">
        <v>2088.5</v>
      </c>
      <c r="AM1255">
        <v>0</v>
      </c>
      <c r="AP1255">
        <v>37</v>
      </c>
    </row>
    <row r="1256" spans="1:42" x14ac:dyDescent="0.25">
      <c r="A1256" t="s">
        <v>45</v>
      </c>
      <c r="B1256">
        <v>1</v>
      </c>
      <c r="C1256" t="s">
        <v>566</v>
      </c>
      <c r="D1256" s="39">
        <v>45909</v>
      </c>
      <c r="E1256" t="s">
        <v>486</v>
      </c>
      <c r="F1256" t="s">
        <v>79</v>
      </c>
      <c r="G1256">
        <v>4</v>
      </c>
      <c r="H1256" t="s">
        <v>113</v>
      </c>
      <c r="I1256">
        <v>0</v>
      </c>
      <c r="J1256">
        <v>600</v>
      </c>
      <c r="K1256" t="s">
        <v>79</v>
      </c>
      <c r="L1256">
        <v>9</v>
      </c>
      <c r="M1256">
        <v>111.71000000000001</v>
      </c>
      <c r="N1256">
        <v>3.6</v>
      </c>
      <c r="O1256">
        <v>20</v>
      </c>
      <c r="Q1256">
        <v>108.11000000000001</v>
      </c>
      <c r="V1256">
        <v>0</v>
      </c>
      <c r="W1256">
        <v>0</v>
      </c>
      <c r="AF1256">
        <v>0</v>
      </c>
      <c r="AG1256">
        <v>0</v>
      </c>
      <c r="AH1256">
        <v>0</v>
      </c>
      <c r="AI1256">
        <v>12</v>
      </c>
      <c r="AJ1256">
        <v>12</v>
      </c>
      <c r="AM1256">
        <v>0</v>
      </c>
      <c r="AP1256">
        <v>37</v>
      </c>
    </row>
    <row r="1257" spans="1:42" x14ac:dyDescent="0.25">
      <c r="A1257" t="s">
        <v>46</v>
      </c>
      <c r="B1257">
        <v>1</v>
      </c>
      <c r="C1257" t="s">
        <v>566</v>
      </c>
      <c r="D1257" s="39">
        <v>45909</v>
      </c>
      <c r="E1257" t="s">
        <v>486</v>
      </c>
      <c r="F1257" t="s">
        <v>79</v>
      </c>
      <c r="G1257">
        <v>4</v>
      </c>
      <c r="H1257" t="s">
        <v>113</v>
      </c>
      <c r="I1257">
        <v>0</v>
      </c>
      <c r="J1257">
        <v>600</v>
      </c>
      <c r="K1257" t="s">
        <v>79</v>
      </c>
      <c r="L1257">
        <v>15</v>
      </c>
      <c r="M1257">
        <v>137.25</v>
      </c>
      <c r="N1257">
        <v>6</v>
      </c>
      <c r="O1257">
        <v>29</v>
      </c>
      <c r="Q1257">
        <v>131.25</v>
      </c>
      <c r="V1257">
        <v>0</v>
      </c>
      <c r="W1257">
        <v>0</v>
      </c>
      <c r="AF1257">
        <v>0</v>
      </c>
      <c r="AG1257">
        <v>0</v>
      </c>
      <c r="AH1257">
        <v>0</v>
      </c>
      <c r="AI1257">
        <v>12</v>
      </c>
      <c r="AJ1257">
        <v>12</v>
      </c>
      <c r="AM1257">
        <v>0</v>
      </c>
      <c r="AP1257">
        <v>37</v>
      </c>
    </row>
    <row r="1258" spans="1:42" x14ac:dyDescent="0.25">
      <c r="A1258" t="s">
        <v>45</v>
      </c>
      <c r="B1258">
        <v>2</v>
      </c>
      <c r="C1258" t="s">
        <v>100</v>
      </c>
      <c r="D1258" s="39">
        <v>45909</v>
      </c>
      <c r="E1258" t="s">
        <v>194</v>
      </c>
      <c r="F1258" t="s">
        <v>79</v>
      </c>
      <c r="G1258">
        <v>2.5</v>
      </c>
      <c r="H1258" t="s">
        <v>92</v>
      </c>
      <c r="I1258">
        <v>0</v>
      </c>
      <c r="J1258" t="s">
        <v>81</v>
      </c>
      <c r="K1258" t="s">
        <v>79</v>
      </c>
      <c r="L1258">
        <v>9</v>
      </c>
      <c r="M1258">
        <v>107.13000000000002</v>
      </c>
      <c r="N1258">
        <v>1.8</v>
      </c>
      <c r="Q1258">
        <v>105.33000000000003</v>
      </c>
      <c r="V1258">
        <v>0</v>
      </c>
      <c r="W1258">
        <v>0</v>
      </c>
      <c r="AF1258">
        <v>0</v>
      </c>
      <c r="AG1258">
        <v>0</v>
      </c>
      <c r="AH1258">
        <v>0</v>
      </c>
      <c r="AI1258">
        <v>12</v>
      </c>
      <c r="AJ1258">
        <v>12</v>
      </c>
      <c r="AM1258">
        <v>0</v>
      </c>
      <c r="AP1258">
        <v>37</v>
      </c>
    </row>
    <row r="1259" spans="1:42" x14ac:dyDescent="0.25">
      <c r="A1259" t="s">
        <v>46</v>
      </c>
      <c r="B1259">
        <v>2</v>
      </c>
      <c r="C1259" t="s">
        <v>100</v>
      </c>
      <c r="D1259" s="39">
        <v>45909</v>
      </c>
      <c r="E1259" t="s">
        <v>194</v>
      </c>
      <c r="F1259" t="s">
        <v>79</v>
      </c>
      <c r="G1259">
        <v>2.5</v>
      </c>
      <c r="H1259" t="s">
        <v>92</v>
      </c>
      <c r="I1259">
        <v>0</v>
      </c>
      <c r="J1259" t="s">
        <v>81</v>
      </c>
      <c r="K1259" t="s">
        <v>79</v>
      </c>
      <c r="L1259">
        <v>9</v>
      </c>
      <c r="M1259">
        <v>90.73</v>
      </c>
      <c r="N1259">
        <v>1.8</v>
      </c>
      <c r="Q1259">
        <v>88.93</v>
      </c>
      <c r="V1259">
        <v>0</v>
      </c>
      <c r="W1259">
        <v>0</v>
      </c>
      <c r="AD1259">
        <v>30</v>
      </c>
      <c r="AF1259">
        <v>30</v>
      </c>
      <c r="AG1259">
        <v>0.5</v>
      </c>
      <c r="AH1259">
        <v>0.5</v>
      </c>
      <c r="AI1259">
        <v>11.5</v>
      </c>
      <c r="AJ1259">
        <v>12</v>
      </c>
      <c r="AM1259">
        <v>0</v>
      </c>
      <c r="AP1259">
        <v>37</v>
      </c>
    </row>
    <row r="1260" spans="1:42" x14ac:dyDescent="0.25">
      <c r="A1260" t="s">
        <v>45</v>
      </c>
      <c r="B1260">
        <v>3</v>
      </c>
      <c r="C1260" t="s">
        <v>567</v>
      </c>
      <c r="D1260" s="39">
        <v>45909</v>
      </c>
      <c r="E1260" t="s">
        <v>385</v>
      </c>
      <c r="F1260" t="s">
        <v>79</v>
      </c>
      <c r="G1260">
        <v>8</v>
      </c>
      <c r="H1260" t="s">
        <v>93</v>
      </c>
      <c r="I1260" t="s">
        <v>114</v>
      </c>
      <c r="J1260">
        <v>120</v>
      </c>
      <c r="K1260" t="s">
        <v>79</v>
      </c>
      <c r="L1260">
        <v>4</v>
      </c>
      <c r="M1260">
        <v>126.87</v>
      </c>
      <c r="N1260">
        <v>3.6</v>
      </c>
      <c r="Q1260">
        <v>123.27000000000001</v>
      </c>
      <c r="S1260">
        <v>20</v>
      </c>
      <c r="V1260">
        <v>20</v>
      </c>
      <c r="W1260">
        <v>0.33333333333333331</v>
      </c>
      <c r="AF1260">
        <v>0</v>
      </c>
      <c r="AG1260">
        <v>0</v>
      </c>
      <c r="AH1260">
        <v>0.33333333333333331</v>
      </c>
      <c r="AI1260">
        <v>11.666666666666666</v>
      </c>
      <c r="AJ1260">
        <v>12</v>
      </c>
      <c r="AM1260">
        <v>0</v>
      </c>
      <c r="AP1260">
        <v>37</v>
      </c>
    </row>
    <row r="1261" spans="1:42" x14ac:dyDescent="0.25">
      <c r="A1261" t="s">
        <v>45</v>
      </c>
      <c r="B1261">
        <v>3</v>
      </c>
      <c r="C1261" t="s">
        <v>568</v>
      </c>
      <c r="D1261" s="39">
        <v>45909</v>
      </c>
      <c r="E1261" t="s">
        <v>385</v>
      </c>
      <c r="F1261" t="s">
        <v>79</v>
      </c>
      <c r="G1261">
        <v>6</v>
      </c>
      <c r="H1261" t="s">
        <v>93</v>
      </c>
      <c r="I1261" t="s">
        <v>114</v>
      </c>
      <c r="J1261">
        <v>120</v>
      </c>
      <c r="K1261" t="s">
        <v>79</v>
      </c>
      <c r="L1261">
        <v>4</v>
      </c>
      <c r="M1261">
        <v>99.68</v>
      </c>
      <c r="N1261">
        <v>3.12</v>
      </c>
      <c r="Q1261">
        <v>96.56</v>
      </c>
      <c r="V1261">
        <v>0</v>
      </c>
      <c r="W1261">
        <v>0</v>
      </c>
      <c r="AF1261">
        <v>0</v>
      </c>
      <c r="AG1261">
        <v>0</v>
      </c>
      <c r="AH1261">
        <v>0</v>
      </c>
      <c r="AI1261">
        <v>12</v>
      </c>
      <c r="AJ1261">
        <v>12</v>
      </c>
      <c r="AM1261">
        <v>0</v>
      </c>
      <c r="AP1261">
        <v>37</v>
      </c>
    </row>
    <row r="1262" spans="1:42" x14ac:dyDescent="0.25">
      <c r="A1262" t="s">
        <v>46</v>
      </c>
      <c r="B1262">
        <v>3</v>
      </c>
      <c r="C1262" t="s">
        <v>568</v>
      </c>
      <c r="D1262" s="39">
        <v>45909</v>
      </c>
      <c r="E1262" t="s">
        <v>385</v>
      </c>
      <c r="F1262" t="s">
        <v>79</v>
      </c>
      <c r="G1262">
        <v>6</v>
      </c>
      <c r="H1262" t="s">
        <v>93</v>
      </c>
      <c r="I1262" t="s">
        <v>114</v>
      </c>
      <c r="J1262">
        <v>120</v>
      </c>
      <c r="K1262" t="s">
        <v>79</v>
      </c>
      <c r="L1262">
        <v>1</v>
      </c>
      <c r="M1262">
        <v>23.74</v>
      </c>
      <c r="N1262">
        <v>0.6</v>
      </c>
      <c r="Q1262">
        <v>23.139999999999997</v>
      </c>
      <c r="V1262">
        <v>0</v>
      </c>
      <c r="W1262">
        <v>0</v>
      </c>
      <c r="Z1262">
        <v>60</v>
      </c>
      <c r="AF1262">
        <v>60</v>
      </c>
      <c r="AG1262">
        <v>1</v>
      </c>
      <c r="AH1262">
        <v>1</v>
      </c>
      <c r="AI1262">
        <v>11</v>
      </c>
      <c r="AJ1262">
        <v>12</v>
      </c>
      <c r="AM1262">
        <v>0</v>
      </c>
      <c r="AP1262">
        <v>37</v>
      </c>
    </row>
    <row r="1263" spans="1:42" x14ac:dyDescent="0.25">
      <c r="A1263" t="s">
        <v>46</v>
      </c>
      <c r="B1263">
        <v>3</v>
      </c>
      <c r="C1263" t="s">
        <v>569</v>
      </c>
      <c r="D1263" s="39">
        <v>45909</v>
      </c>
      <c r="E1263" t="s">
        <v>570</v>
      </c>
      <c r="F1263" t="s">
        <v>79</v>
      </c>
      <c r="G1263">
        <v>6</v>
      </c>
      <c r="H1263">
        <v>4.5</v>
      </c>
      <c r="I1263">
        <v>0</v>
      </c>
      <c r="J1263">
        <v>250</v>
      </c>
      <c r="K1263" t="s">
        <v>79</v>
      </c>
      <c r="L1263">
        <v>7</v>
      </c>
      <c r="M1263">
        <v>184.47</v>
      </c>
      <c r="N1263">
        <v>4.2</v>
      </c>
      <c r="Q1263">
        <v>180.27</v>
      </c>
      <c r="V1263">
        <v>0</v>
      </c>
      <c r="W1263">
        <v>0</v>
      </c>
      <c r="AF1263">
        <v>0</v>
      </c>
      <c r="AG1263">
        <v>0</v>
      </c>
      <c r="AH1263">
        <v>0</v>
      </c>
      <c r="AI1263">
        <v>12</v>
      </c>
      <c r="AJ1263">
        <v>12</v>
      </c>
      <c r="AM1263">
        <v>0</v>
      </c>
      <c r="AP1263">
        <v>37</v>
      </c>
    </row>
    <row r="1264" spans="1:42" x14ac:dyDescent="0.25">
      <c r="A1264" t="s">
        <v>45</v>
      </c>
      <c r="B1264">
        <v>4</v>
      </c>
      <c r="C1264" t="s">
        <v>526</v>
      </c>
      <c r="D1264" s="39">
        <v>45909</v>
      </c>
      <c r="E1264" t="s">
        <v>396</v>
      </c>
      <c r="F1264" t="s">
        <v>79</v>
      </c>
      <c r="G1264">
        <v>17</v>
      </c>
      <c r="H1264" t="s">
        <v>92</v>
      </c>
      <c r="I1264">
        <v>0</v>
      </c>
      <c r="J1264">
        <v>5000</v>
      </c>
      <c r="K1264" t="s">
        <v>79</v>
      </c>
      <c r="L1264">
        <v>13</v>
      </c>
      <c r="M1264">
        <v>749.4</v>
      </c>
      <c r="N1264">
        <v>25.38</v>
      </c>
      <c r="Q1264">
        <v>724.02</v>
      </c>
      <c r="V1264">
        <v>0</v>
      </c>
      <c r="W1264">
        <v>0</v>
      </c>
      <c r="AF1264">
        <v>0</v>
      </c>
      <c r="AG1264">
        <v>0</v>
      </c>
      <c r="AH1264">
        <v>0</v>
      </c>
      <c r="AI1264">
        <v>12</v>
      </c>
      <c r="AJ1264">
        <v>12</v>
      </c>
      <c r="AM1264">
        <v>0</v>
      </c>
      <c r="AP1264">
        <v>37</v>
      </c>
    </row>
    <row r="1265" spans="1:42" x14ac:dyDescent="0.25">
      <c r="A1265" t="s">
        <v>46</v>
      </c>
      <c r="B1265">
        <v>4</v>
      </c>
      <c r="C1265" t="s">
        <v>526</v>
      </c>
      <c r="D1265" s="39">
        <v>45909</v>
      </c>
      <c r="E1265" t="s">
        <v>396</v>
      </c>
      <c r="F1265" t="s">
        <v>79</v>
      </c>
      <c r="G1265">
        <v>17</v>
      </c>
      <c r="H1265" t="s">
        <v>92</v>
      </c>
      <c r="I1265">
        <v>0</v>
      </c>
      <c r="J1265">
        <v>5000</v>
      </c>
      <c r="K1265" t="s">
        <v>79</v>
      </c>
      <c r="L1265">
        <v>14</v>
      </c>
      <c r="M1265">
        <v>717.35</v>
      </c>
      <c r="N1265">
        <v>26.599999999999998</v>
      </c>
      <c r="Q1265">
        <v>690.75</v>
      </c>
      <c r="V1265">
        <v>0</v>
      </c>
      <c r="W1265">
        <v>0</v>
      </c>
      <c r="AF1265">
        <v>0</v>
      </c>
      <c r="AG1265">
        <v>0</v>
      </c>
      <c r="AH1265">
        <v>0</v>
      </c>
      <c r="AI1265">
        <v>12</v>
      </c>
      <c r="AJ1265">
        <v>12</v>
      </c>
      <c r="AM1265">
        <v>0</v>
      </c>
      <c r="AP1265">
        <v>37</v>
      </c>
    </row>
    <row r="1266" spans="1:42" x14ac:dyDescent="0.25">
      <c r="A1266" t="s">
        <v>45</v>
      </c>
      <c r="B1266">
        <v>5</v>
      </c>
      <c r="C1266" t="s">
        <v>565</v>
      </c>
      <c r="D1266" s="39">
        <v>45909</v>
      </c>
      <c r="E1266" t="s">
        <v>486</v>
      </c>
      <c r="F1266" t="s">
        <v>79</v>
      </c>
      <c r="G1266">
        <v>14</v>
      </c>
      <c r="H1266">
        <v>5</v>
      </c>
      <c r="I1266">
        <v>0</v>
      </c>
      <c r="J1266">
        <v>2000</v>
      </c>
      <c r="K1266" t="s">
        <v>79</v>
      </c>
      <c r="L1266">
        <v>12</v>
      </c>
      <c r="M1266">
        <v>622.77</v>
      </c>
      <c r="N1266">
        <v>20.759999999999998</v>
      </c>
      <c r="Q1266">
        <v>602.01</v>
      </c>
      <c r="V1266">
        <v>0</v>
      </c>
      <c r="W1266">
        <v>0</v>
      </c>
      <c r="AF1266">
        <v>0</v>
      </c>
      <c r="AG1266">
        <v>0</v>
      </c>
      <c r="AH1266">
        <v>0</v>
      </c>
      <c r="AI1266">
        <v>12</v>
      </c>
      <c r="AJ1266">
        <v>12</v>
      </c>
      <c r="AM1266">
        <v>0</v>
      </c>
      <c r="AP1266">
        <v>37</v>
      </c>
    </row>
    <row r="1267" spans="1:42" x14ac:dyDescent="0.25">
      <c r="A1267" t="s">
        <v>46</v>
      </c>
      <c r="B1267">
        <v>5</v>
      </c>
      <c r="C1267" t="s">
        <v>565</v>
      </c>
      <c r="D1267" s="39">
        <v>45909</v>
      </c>
      <c r="E1267" t="s">
        <v>486</v>
      </c>
      <c r="F1267" t="s">
        <v>79</v>
      </c>
      <c r="G1267">
        <v>14</v>
      </c>
      <c r="H1267">
        <v>5</v>
      </c>
      <c r="I1267">
        <v>0</v>
      </c>
      <c r="J1267">
        <v>2000</v>
      </c>
      <c r="K1267" t="s">
        <v>79</v>
      </c>
      <c r="L1267">
        <v>14</v>
      </c>
      <c r="M1267">
        <v>572.6099999999999</v>
      </c>
      <c r="N1267">
        <v>19.599999999999998</v>
      </c>
      <c r="Q1267">
        <v>553.00999999999988</v>
      </c>
      <c r="V1267">
        <v>0</v>
      </c>
      <c r="W1267">
        <v>0</v>
      </c>
      <c r="AD1267">
        <v>30</v>
      </c>
      <c r="AF1267">
        <v>30</v>
      </c>
      <c r="AG1267">
        <v>0.5</v>
      </c>
      <c r="AH1267">
        <v>0.5</v>
      </c>
      <c r="AI1267">
        <v>11.5</v>
      </c>
      <c r="AJ1267">
        <v>12</v>
      </c>
      <c r="AM1267">
        <v>0</v>
      </c>
      <c r="AP1267">
        <v>37</v>
      </c>
    </row>
    <row r="1268" spans="1:42" x14ac:dyDescent="0.25">
      <c r="A1268" t="s">
        <v>45</v>
      </c>
      <c r="B1268">
        <v>1</v>
      </c>
      <c r="C1268" t="s">
        <v>100</v>
      </c>
      <c r="D1268" s="39">
        <v>45910</v>
      </c>
      <c r="E1268" t="s">
        <v>194</v>
      </c>
      <c r="F1268" t="s">
        <v>79</v>
      </c>
      <c r="G1268">
        <v>2.5</v>
      </c>
      <c r="H1268" t="s">
        <v>92</v>
      </c>
      <c r="I1268">
        <v>0</v>
      </c>
      <c r="J1268" t="s">
        <v>81</v>
      </c>
      <c r="K1268" t="s">
        <v>79</v>
      </c>
      <c r="L1268">
        <v>9</v>
      </c>
      <c r="M1268">
        <v>102.79</v>
      </c>
      <c r="N1268">
        <v>1.8</v>
      </c>
      <c r="O1268">
        <v>37</v>
      </c>
      <c r="Q1268">
        <v>100.99000000000001</v>
      </c>
      <c r="V1268">
        <v>0</v>
      </c>
      <c r="W1268">
        <v>0</v>
      </c>
      <c r="AF1268">
        <v>0</v>
      </c>
      <c r="AG1268">
        <v>0</v>
      </c>
      <c r="AH1268">
        <v>0</v>
      </c>
      <c r="AI1268">
        <v>12</v>
      </c>
      <c r="AJ1268">
        <v>12</v>
      </c>
      <c r="AL1268">
        <v>2022.5</v>
      </c>
      <c r="AM1268">
        <v>0</v>
      </c>
      <c r="AN1268">
        <v>1800</v>
      </c>
      <c r="AP1268">
        <v>37</v>
      </c>
    </row>
    <row r="1269" spans="1:42" x14ac:dyDescent="0.25">
      <c r="A1269" t="s">
        <v>46</v>
      </c>
      <c r="B1269">
        <v>1</v>
      </c>
      <c r="C1269" t="s">
        <v>571</v>
      </c>
      <c r="D1269" s="39">
        <v>45910</v>
      </c>
      <c r="E1269" t="s">
        <v>486</v>
      </c>
      <c r="F1269" t="s">
        <v>79</v>
      </c>
      <c r="G1269">
        <v>3.5</v>
      </c>
      <c r="H1269" t="s">
        <v>92</v>
      </c>
      <c r="I1269">
        <v>0</v>
      </c>
      <c r="J1269">
        <v>500</v>
      </c>
      <c r="K1269" t="s">
        <v>79</v>
      </c>
      <c r="L1269">
        <v>5</v>
      </c>
      <c r="M1269">
        <v>77.599999999999994</v>
      </c>
      <c r="N1269">
        <v>1.5</v>
      </c>
      <c r="O1269">
        <v>28</v>
      </c>
      <c r="Q1269">
        <v>76.099999999999994</v>
      </c>
      <c r="S1269">
        <v>10</v>
      </c>
      <c r="V1269">
        <v>10</v>
      </c>
      <c r="W1269">
        <v>0.16666666666666666</v>
      </c>
      <c r="AF1269">
        <v>0</v>
      </c>
      <c r="AG1269">
        <v>0</v>
      </c>
      <c r="AH1269">
        <v>0.16666666666666666</v>
      </c>
      <c r="AI1269">
        <v>11.833333333333334</v>
      </c>
      <c r="AJ1269">
        <v>12</v>
      </c>
      <c r="AM1269">
        <v>0</v>
      </c>
      <c r="AN1269">
        <v>1800</v>
      </c>
      <c r="AP1269">
        <v>37</v>
      </c>
    </row>
    <row r="1270" spans="1:42" x14ac:dyDescent="0.25">
      <c r="A1270" t="s">
        <v>46</v>
      </c>
      <c r="B1270">
        <v>1</v>
      </c>
      <c r="C1270" t="s">
        <v>100</v>
      </c>
      <c r="D1270" s="39">
        <v>45910</v>
      </c>
      <c r="E1270" t="s">
        <v>194</v>
      </c>
      <c r="F1270" t="s">
        <v>79</v>
      </c>
      <c r="G1270">
        <v>2.5</v>
      </c>
      <c r="H1270" t="s">
        <v>92</v>
      </c>
      <c r="I1270">
        <v>0</v>
      </c>
      <c r="J1270" t="s">
        <v>81</v>
      </c>
      <c r="K1270" t="s">
        <v>79</v>
      </c>
      <c r="L1270">
        <v>3</v>
      </c>
      <c r="M1270">
        <v>33.510000000000005</v>
      </c>
      <c r="N1270">
        <v>0.60000000000000009</v>
      </c>
      <c r="Q1270">
        <v>32.910000000000004</v>
      </c>
      <c r="V1270">
        <v>0</v>
      </c>
      <c r="W1270">
        <v>0</v>
      </c>
      <c r="AF1270">
        <v>0</v>
      </c>
      <c r="AG1270">
        <v>0</v>
      </c>
      <c r="AH1270">
        <v>0</v>
      </c>
      <c r="AI1270">
        <v>12</v>
      </c>
      <c r="AJ1270">
        <v>12</v>
      </c>
      <c r="AM1270">
        <v>0</v>
      </c>
      <c r="AP1270">
        <v>37</v>
      </c>
    </row>
    <row r="1271" spans="1:42" x14ac:dyDescent="0.25">
      <c r="A1271" t="s">
        <v>45</v>
      </c>
      <c r="B1271">
        <v>2</v>
      </c>
      <c r="C1271" t="s">
        <v>566</v>
      </c>
      <c r="D1271" s="39">
        <v>45910</v>
      </c>
      <c r="E1271" t="s">
        <v>486</v>
      </c>
      <c r="F1271" t="s">
        <v>79</v>
      </c>
      <c r="G1271">
        <v>4</v>
      </c>
      <c r="H1271" t="s">
        <v>113</v>
      </c>
      <c r="I1271">
        <v>0</v>
      </c>
      <c r="J1271">
        <v>600</v>
      </c>
      <c r="K1271" t="s">
        <v>79</v>
      </c>
      <c r="L1271">
        <v>10</v>
      </c>
      <c r="M1271">
        <v>144.04999999999998</v>
      </c>
      <c r="N1271">
        <v>4</v>
      </c>
      <c r="Q1271">
        <v>140.04999999999998</v>
      </c>
      <c r="V1271">
        <v>0</v>
      </c>
      <c r="W1271">
        <v>0</v>
      </c>
      <c r="AF1271">
        <v>0</v>
      </c>
      <c r="AG1271">
        <v>0</v>
      </c>
      <c r="AH1271">
        <v>0</v>
      </c>
      <c r="AI1271">
        <v>12</v>
      </c>
      <c r="AJ1271">
        <v>12</v>
      </c>
      <c r="AM1271">
        <v>0</v>
      </c>
      <c r="AP1271">
        <v>37</v>
      </c>
    </row>
    <row r="1272" spans="1:42" x14ac:dyDescent="0.25">
      <c r="A1272" t="s">
        <v>46</v>
      </c>
      <c r="B1272">
        <v>2</v>
      </c>
      <c r="C1272" t="s">
        <v>566</v>
      </c>
      <c r="D1272" s="39">
        <v>45910</v>
      </c>
      <c r="E1272" t="s">
        <v>486</v>
      </c>
      <c r="F1272" t="s">
        <v>79</v>
      </c>
      <c r="G1272">
        <v>4</v>
      </c>
      <c r="H1272" t="s">
        <v>113</v>
      </c>
      <c r="I1272">
        <v>0</v>
      </c>
      <c r="J1272">
        <v>600</v>
      </c>
      <c r="K1272" t="s">
        <v>79</v>
      </c>
      <c r="L1272">
        <v>14</v>
      </c>
      <c r="M1272">
        <v>163.46</v>
      </c>
      <c r="N1272">
        <v>5.6000000000000005</v>
      </c>
      <c r="Q1272">
        <v>157.86000000000001</v>
      </c>
      <c r="V1272">
        <v>0</v>
      </c>
      <c r="W1272">
        <v>0</v>
      </c>
      <c r="AF1272">
        <v>0</v>
      </c>
      <c r="AG1272">
        <v>0</v>
      </c>
      <c r="AH1272">
        <v>0</v>
      </c>
      <c r="AI1272">
        <v>12</v>
      </c>
      <c r="AJ1272">
        <v>12</v>
      </c>
      <c r="AM1272">
        <v>0</v>
      </c>
      <c r="AP1272">
        <v>37</v>
      </c>
    </row>
    <row r="1273" spans="1:42" x14ac:dyDescent="0.25">
      <c r="A1273" t="s">
        <v>45</v>
      </c>
      <c r="B1273">
        <v>3</v>
      </c>
      <c r="C1273" t="s">
        <v>569</v>
      </c>
      <c r="D1273" s="39">
        <v>45910</v>
      </c>
      <c r="E1273" t="s">
        <v>570</v>
      </c>
      <c r="F1273" t="s">
        <v>79</v>
      </c>
      <c r="G1273">
        <v>6</v>
      </c>
      <c r="H1273">
        <v>4.5</v>
      </c>
      <c r="I1273">
        <v>0</v>
      </c>
      <c r="J1273">
        <v>250</v>
      </c>
      <c r="K1273" t="s">
        <v>79</v>
      </c>
      <c r="L1273">
        <v>9</v>
      </c>
      <c r="M1273">
        <v>233.94</v>
      </c>
      <c r="N1273">
        <v>6.75</v>
      </c>
      <c r="Q1273">
        <v>227.19</v>
      </c>
      <c r="V1273">
        <v>0</v>
      </c>
      <c r="W1273">
        <v>0</v>
      </c>
      <c r="AF1273">
        <v>0</v>
      </c>
      <c r="AG1273">
        <v>0</v>
      </c>
      <c r="AH1273">
        <v>0</v>
      </c>
      <c r="AI1273">
        <v>12</v>
      </c>
      <c r="AJ1273">
        <v>12</v>
      </c>
      <c r="AM1273">
        <v>0</v>
      </c>
      <c r="AP1273">
        <v>37</v>
      </c>
    </row>
    <row r="1274" spans="1:42" x14ac:dyDescent="0.25">
      <c r="A1274" t="s">
        <v>46</v>
      </c>
      <c r="B1274">
        <v>3</v>
      </c>
      <c r="C1274" t="s">
        <v>569</v>
      </c>
      <c r="D1274" s="39">
        <v>45910</v>
      </c>
      <c r="E1274" t="s">
        <v>570</v>
      </c>
      <c r="F1274" t="s">
        <v>79</v>
      </c>
      <c r="G1274">
        <v>6</v>
      </c>
      <c r="H1274">
        <v>4.5</v>
      </c>
      <c r="I1274">
        <v>0</v>
      </c>
      <c r="J1274">
        <v>250</v>
      </c>
      <c r="K1274" t="s">
        <v>79</v>
      </c>
      <c r="L1274">
        <v>4</v>
      </c>
      <c r="M1274">
        <v>127.49000000000001</v>
      </c>
      <c r="N1274">
        <v>3</v>
      </c>
      <c r="Q1274">
        <v>124.49000000000001</v>
      </c>
      <c r="S1274">
        <v>20</v>
      </c>
      <c r="V1274">
        <v>20</v>
      </c>
      <c r="W1274">
        <v>0.33333333333333331</v>
      </c>
      <c r="AF1274">
        <v>0</v>
      </c>
      <c r="AG1274">
        <v>0</v>
      </c>
      <c r="AH1274">
        <v>0.33333333333333331</v>
      </c>
      <c r="AI1274">
        <v>11.666666666666666</v>
      </c>
      <c r="AJ1274">
        <v>12</v>
      </c>
      <c r="AM1274">
        <v>0</v>
      </c>
      <c r="AP1274">
        <v>37</v>
      </c>
    </row>
    <row r="1275" spans="1:42" x14ac:dyDescent="0.25">
      <c r="A1275" t="s">
        <v>46</v>
      </c>
      <c r="B1275">
        <v>3</v>
      </c>
      <c r="C1275" t="s">
        <v>514</v>
      </c>
      <c r="D1275" s="39">
        <v>45910</v>
      </c>
      <c r="E1275" t="s">
        <v>486</v>
      </c>
      <c r="F1275" t="s">
        <v>79</v>
      </c>
      <c r="G1275">
        <v>9</v>
      </c>
      <c r="H1275" t="s">
        <v>113</v>
      </c>
      <c r="I1275">
        <v>0</v>
      </c>
      <c r="J1275">
        <v>500</v>
      </c>
      <c r="K1275" t="s">
        <v>79</v>
      </c>
      <c r="L1275">
        <v>5</v>
      </c>
      <c r="M1275">
        <v>177.07</v>
      </c>
      <c r="N1275">
        <v>4.5</v>
      </c>
      <c r="Q1275">
        <v>172.57</v>
      </c>
      <c r="V1275">
        <v>0</v>
      </c>
      <c r="W1275">
        <v>0</v>
      </c>
      <c r="AF1275">
        <v>0</v>
      </c>
      <c r="AG1275">
        <v>0</v>
      </c>
      <c r="AH1275">
        <v>0</v>
      </c>
      <c r="AI1275">
        <v>12</v>
      </c>
      <c r="AJ1275">
        <v>12</v>
      </c>
      <c r="AM1275">
        <v>0</v>
      </c>
      <c r="AP1275">
        <v>37</v>
      </c>
    </row>
    <row r="1276" spans="1:42" x14ac:dyDescent="0.25">
      <c r="A1276" t="s">
        <v>45</v>
      </c>
      <c r="B1276">
        <v>4</v>
      </c>
      <c r="C1276" t="s">
        <v>526</v>
      </c>
      <c r="D1276" s="39">
        <v>45910</v>
      </c>
      <c r="E1276" t="s">
        <v>396</v>
      </c>
      <c r="F1276" t="s">
        <v>79</v>
      </c>
      <c r="G1276">
        <v>17</v>
      </c>
      <c r="H1276" t="s">
        <v>92</v>
      </c>
      <c r="I1276">
        <v>0</v>
      </c>
      <c r="J1276">
        <v>5000</v>
      </c>
      <c r="K1276" t="s">
        <v>79</v>
      </c>
      <c r="L1276">
        <v>11</v>
      </c>
      <c r="M1276">
        <v>564.79</v>
      </c>
      <c r="N1276">
        <v>20.9</v>
      </c>
      <c r="Q1276">
        <v>543.89</v>
      </c>
      <c r="S1276">
        <v>4</v>
      </c>
      <c r="V1276">
        <v>4</v>
      </c>
      <c r="W1276">
        <v>6.6666666666666666E-2</v>
      </c>
      <c r="AF1276">
        <v>0</v>
      </c>
      <c r="AG1276">
        <v>0</v>
      </c>
      <c r="AH1276">
        <v>6.6666666666666666E-2</v>
      </c>
      <c r="AI1276">
        <v>11.933333333333334</v>
      </c>
      <c r="AJ1276">
        <v>12</v>
      </c>
      <c r="AM1276">
        <v>0</v>
      </c>
      <c r="AP1276">
        <v>37</v>
      </c>
    </row>
    <row r="1277" spans="1:42" x14ac:dyDescent="0.25">
      <c r="A1277" t="s">
        <v>45</v>
      </c>
      <c r="B1277">
        <v>4</v>
      </c>
      <c r="C1277" t="s">
        <v>572</v>
      </c>
      <c r="D1277" s="39">
        <v>45910</v>
      </c>
      <c r="E1277" t="s">
        <v>573</v>
      </c>
      <c r="F1277" t="s">
        <v>79</v>
      </c>
      <c r="G1277">
        <v>19</v>
      </c>
      <c r="H1277" t="s">
        <v>98</v>
      </c>
      <c r="I1277" t="s">
        <v>99</v>
      </c>
      <c r="J1277">
        <v>100</v>
      </c>
      <c r="K1277" t="s">
        <v>79</v>
      </c>
      <c r="L1277">
        <v>2</v>
      </c>
      <c r="M1277">
        <v>113.62</v>
      </c>
      <c r="N1277">
        <v>4.6500000000000004</v>
      </c>
      <c r="Q1277">
        <v>108.97</v>
      </c>
      <c r="V1277">
        <v>0</v>
      </c>
      <c r="W1277">
        <v>0</v>
      </c>
      <c r="AF1277">
        <v>0</v>
      </c>
      <c r="AG1277">
        <v>0</v>
      </c>
      <c r="AH1277">
        <v>0</v>
      </c>
      <c r="AI1277">
        <v>12</v>
      </c>
      <c r="AJ1277">
        <v>12</v>
      </c>
      <c r="AM1277">
        <v>0</v>
      </c>
      <c r="AP1277">
        <v>37</v>
      </c>
    </row>
    <row r="1278" spans="1:42" x14ac:dyDescent="0.25">
      <c r="A1278" t="s">
        <v>45</v>
      </c>
      <c r="B1278">
        <v>4</v>
      </c>
      <c r="C1278" t="s">
        <v>574</v>
      </c>
      <c r="D1278" s="39">
        <v>45910</v>
      </c>
      <c r="E1278" t="s">
        <v>575</v>
      </c>
      <c r="F1278" t="s">
        <v>79</v>
      </c>
      <c r="G1278">
        <v>23</v>
      </c>
      <c r="H1278">
        <v>5</v>
      </c>
      <c r="I1278">
        <v>0</v>
      </c>
      <c r="J1278">
        <v>200</v>
      </c>
      <c r="K1278" t="s">
        <v>79</v>
      </c>
      <c r="L1278">
        <v>1</v>
      </c>
      <c r="M1278">
        <v>62.11</v>
      </c>
      <c r="N1278">
        <v>2.5</v>
      </c>
      <c r="Q1278">
        <v>59.61</v>
      </c>
      <c r="V1278">
        <v>0</v>
      </c>
      <c r="W1278">
        <v>0</v>
      </c>
      <c r="AF1278">
        <v>0</v>
      </c>
      <c r="AG1278">
        <v>0</v>
      </c>
      <c r="AH1278">
        <v>0</v>
      </c>
      <c r="AI1278">
        <v>12</v>
      </c>
      <c r="AJ1278">
        <v>12</v>
      </c>
      <c r="AM1278">
        <v>0</v>
      </c>
      <c r="AP1278">
        <v>37</v>
      </c>
    </row>
    <row r="1279" spans="1:42" x14ac:dyDescent="0.25">
      <c r="A1279" t="s">
        <v>46</v>
      </c>
      <c r="B1279">
        <v>4</v>
      </c>
      <c r="C1279" t="s">
        <v>574</v>
      </c>
      <c r="D1279" s="39">
        <v>45910</v>
      </c>
      <c r="E1279" t="s">
        <v>575</v>
      </c>
      <c r="F1279" t="s">
        <v>79</v>
      </c>
      <c r="G1279">
        <v>23</v>
      </c>
      <c r="H1279">
        <v>5</v>
      </c>
      <c r="I1279">
        <v>0</v>
      </c>
      <c r="J1279">
        <v>200</v>
      </c>
      <c r="K1279" t="s">
        <v>79</v>
      </c>
      <c r="L1279">
        <v>3</v>
      </c>
      <c r="M1279">
        <v>150.93</v>
      </c>
      <c r="N1279">
        <v>6.8999999999999995</v>
      </c>
      <c r="Q1279">
        <v>144.03</v>
      </c>
      <c r="S1279">
        <v>40</v>
      </c>
      <c r="V1279">
        <v>40</v>
      </c>
      <c r="W1279">
        <v>0.66666666666666663</v>
      </c>
      <c r="AF1279">
        <v>0</v>
      </c>
      <c r="AG1279">
        <v>0</v>
      </c>
      <c r="AH1279">
        <v>0.66666666666666663</v>
      </c>
      <c r="AI1279">
        <v>11.333333333333334</v>
      </c>
      <c r="AJ1279">
        <v>12</v>
      </c>
      <c r="AM1279">
        <v>0</v>
      </c>
      <c r="AP1279">
        <v>37</v>
      </c>
    </row>
    <row r="1280" spans="1:42" x14ac:dyDescent="0.25">
      <c r="A1280" t="s">
        <v>46</v>
      </c>
      <c r="B1280">
        <v>4</v>
      </c>
      <c r="C1280" t="s">
        <v>576</v>
      </c>
      <c r="D1280" s="39">
        <v>45910</v>
      </c>
      <c r="E1280" t="s">
        <v>577</v>
      </c>
      <c r="F1280" t="s">
        <v>79</v>
      </c>
      <c r="G1280">
        <v>26</v>
      </c>
      <c r="H1280" t="s">
        <v>578</v>
      </c>
      <c r="I1280" t="s">
        <v>114</v>
      </c>
      <c r="J1280">
        <v>100</v>
      </c>
      <c r="K1280" t="s">
        <v>79</v>
      </c>
      <c r="L1280">
        <v>4</v>
      </c>
      <c r="M1280">
        <v>157.07999999999998</v>
      </c>
      <c r="N1280">
        <v>10.4</v>
      </c>
      <c r="Q1280">
        <v>146.67999999999998</v>
      </c>
      <c r="V1280">
        <v>0</v>
      </c>
      <c r="W1280">
        <v>0</v>
      </c>
      <c r="AF1280">
        <v>0</v>
      </c>
      <c r="AG1280">
        <v>0</v>
      </c>
      <c r="AH1280">
        <v>0</v>
      </c>
      <c r="AI1280">
        <v>12</v>
      </c>
      <c r="AJ1280">
        <v>12</v>
      </c>
      <c r="AM1280">
        <v>0</v>
      </c>
      <c r="AP1280">
        <v>37</v>
      </c>
    </row>
    <row r="1281" spans="1:42" x14ac:dyDescent="0.25">
      <c r="A1281" t="s">
        <v>46</v>
      </c>
      <c r="B1281">
        <v>4</v>
      </c>
      <c r="C1281" t="s">
        <v>579</v>
      </c>
      <c r="D1281" s="39">
        <v>45910</v>
      </c>
      <c r="E1281" t="s">
        <v>276</v>
      </c>
      <c r="F1281" t="s">
        <v>79</v>
      </c>
      <c r="G1281">
        <v>16</v>
      </c>
      <c r="H1281" t="s">
        <v>113</v>
      </c>
      <c r="I1281" t="s">
        <v>114</v>
      </c>
      <c r="J1281">
        <v>1000</v>
      </c>
      <c r="K1281" t="s">
        <v>79</v>
      </c>
      <c r="L1281">
        <v>5</v>
      </c>
      <c r="M1281">
        <v>223.20999999999998</v>
      </c>
      <c r="N1281">
        <v>8</v>
      </c>
      <c r="Q1281">
        <v>215.20999999999998</v>
      </c>
      <c r="V1281">
        <v>0</v>
      </c>
      <c r="W1281">
        <v>0</v>
      </c>
      <c r="AF1281">
        <v>0</v>
      </c>
      <c r="AG1281">
        <v>0</v>
      </c>
      <c r="AH1281">
        <v>0</v>
      </c>
      <c r="AI1281">
        <v>12</v>
      </c>
      <c r="AJ1281">
        <v>12</v>
      </c>
      <c r="AM1281">
        <v>0</v>
      </c>
      <c r="AP1281">
        <v>37</v>
      </c>
    </row>
    <row r="1282" spans="1:42" x14ac:dyDescent="0.25">
      <c r="A1282" t="s">
        <v>46</v>
      </c>
      <c r="B1282">
        <v>4</v>
      </c>
      <c r="C1282" t="s">
        <v>580</v>
      </c>
      <c r="D1282" s="39">
        <v>45910</v>
      </c>
      <c r="E1282" t="s">
        <v>81</v>
      </c>
      <c r="G1282">
        <v>26</v>
      </c>
      <c r="H1282">
        <v>5</v>
      </c>
      <c r="K1282" t="s">
        <v>79</v>
      </c>
      <c r="L1282">
        <v>4</v>
      </c>
      <c r="M1282">
        <v>204.9</v>
      </c>
      <c r="N1282">
        <v>10.4</v>
      </c>
      <c r="Q1282">
        <v>194.5</v>
      </c>
      <c r="V1282">
        <v>0</v>
      </c>
      <c r="W1282">
        <v>0</v>
      </c>
      <c r="AF1282">
        <v>0</v>
      </c>
      <c r="AG1282">
        <v>0</v>
      </c>
      <c r="AH1282">
        <v>0</v>
      </c>
      <c r="AI1282">
        <v>12</v>
      </c>
      <c r="AJ1282">
        <v>12</v>
      </c>
      <c r="AM1282">
        <v>0</v>
      </c>
      <c r="AP1282">
        <v>37</v>
      </c>
    </row>
    <row r="1283" spans="1:42" x14ac:dyDescent="0.25">
      <c r="A1283" t="s">
        <v>45</v>
      </c>
      <c r="B1283">
        <v>5</v>
      </c>
      <c r="C1283" t="s">
        <v>565</v>
      </c>
      <c r="D1283" s="39">
        <v>45910</v>
      </c>
      <c r="E1283" t="s">
        <v>486</v>
      </c>
      <c r="F1283" t="s">
        <v>79</v>
      </c>
      <c r="G1283">
        <v>14</v>
      </c>
      <c r="H1283">
        <v>5</v>
      </c>
      <c r="I1283">
        <v>0</v>
      </c>
      <c r="J1283">
        <v>2000</v>
      </c>
      <c r="K1283" t="s">
        <v>79</v>
      </c>
      <c r="L1283">
        <v>7</v>
      </c>
      <c r="M1283">
        <v>392.92</v>
      </c>
      <c r="N1283">
        <v>12.11</v>
      </c>
      <c r="Q1283">
        <v>380.81</v>
      </c>
      <c r="S1283">
        <v>20</v>
      </c>
      <c r="V1283">
        <v>20</v>
      </c>
      <c r="W1283">
        <v>0.33333333333333331</v>
      </c>
      <c r="AF1283">
        <v>0</v>
      </c>
      <c r="AG1283">
        <v>0</v>
      </c>
      <c r="AH1283">
        <v>0.33333333333333331</v>
      </c>
      <c r="AI1283">
        <v>11.666666666666666</v>
      </c>
      <c r="AJ1283">
        <v>12</v>
      </c>
      <c r="AM1283">
        <v>0</v>
      </c>
      <c r="AP1283">
        <v>37</v>
      </c>
    </row>
    <row r="1284" spans="1:42" x14ac:dyDescent="0.25">
      <c r="A1284" t="s">
        <v>45</v>
      </c>
      <c r="B1284">
        <v>5</v>
      </c>
      <c r="C1284" t="s">
        <v>502</v>
      </c>
      <c r="D1284" s="39">
        <v>45910</v>
      </c>
      <c r="E1284" t="s">
        <v>486</v>
      </c>
      <c r="F1284" t="s">
        <v>79</v>
      </c>
      <c r="G1284">
        <v>11</v>
      </c>
      <c r="H1284" t="s">
        <v>113</v>
      </c>
      <c r="I1284">
        <v>0</v>
      </c>
      <c r="J1284">
        <v>1000</v>
      </c>
      <c r="K1284" t="s">
        <v>79</v>
      </c>
      <c r="L1284">
        <v>4</v>
      </c>
      <c r="M1284">
        <v>176.01999999999998</v>
      </c>
      <c r="N1284">
        <v>5.28</v>
      </c>
      <c r="Q1284">
        <v>170.73999999999998</v>
      </c>
      <c r="V1284">
        <v>0</v>
      </c>
      <c r="W1284">
        <v>0</v>
      </c>
      <c r="AF1284">
        <v>0</v>
      </c>
      <c r="AG1284">
        <v>0</v>
      </c>
      <c r="AH1284">
        <v>0</v>
      </c>
      <c r="AI1284">
        <v>12</v>
      </c>
      <c r="AJ1284">
        <v>12</v>
      </c>
      <c r="AM1284">
        <v>0</v>
      </c>
      <c r="AP1284">
        <v>37</v>
      </c>
    </row>
    <row r="1285" spans="1:42" x14ac:dyDescent="0.25">
      <c r="A1285" t="s">
        <v>46</v>
      </c>
      <c r="B1285">
        <v>5</v>
      </c>
      <c r="C1285" t="s">
        <v>565</v>
      </c>
      <c r="D1285" s="39">
        <v>45910</v>
      </c>
      <c r="E1285" t="s">
        <v>486</v>
      </c>
      <c r="F1285" t="s">
        <v>79</v>
      </c>
      <c r="G1285">
        <v>14</v>
      </c>
      <c r="H1285">
        <v>5</v>
      </c>
      <c r="I1285">
        <v>0</v>
      </c>
      <c r="J1285">
        <v>2000</v>
      </c>
      <c r="K1285" t="s">
        <v>79</v>
      </c>
      <c r="L1285">
        <v>12</v>
      </c>
      <c r="M1285">
        <v>555.68999999999994</v>
      </c>
      <c r="N1285">
        <v>15.600000000000001</v>
      </c>
      <c r="Q1285">
        <v>540.08999999999992</v>
      </c>
      <c r="V1285">
        <v>0</v>
      </c>
      <c r="W1285">
        <v>0</v>
      </c>
      <c r="AF1285">
        <v>0</v>
      </c>
      <c r="AG1285">
        <v>0</v>
      </c>
      <c r="AH1285">
        <v>0</v>
      </c>
      <c r="AI1285">
        <v>12</v>
      </c>
      <c r="AJ1285">
        <v>12</v>
      </c>
      <c r="AM1285">
        <v>0</v>
      </c>
      <c r="AP1285">
        <v>37</v>
      </c>
    </row>
    <row r="1286" spans="1:42" x14ac:dyDescent="0.25">
      <c r="A1286" t="s">
        <v>45</v>
      </c>
      <c r="B1286">
        <v>1</v>
      </c>
      <c r="C1286" t="s">
        <v>571</v>
      </c>
      <c r="D1286" s="39">
        <v>45911</v>
      </c>
      <c r="E1286" t="s">
        <v>486</v>
      </c>
      <c r="F1286" t="s">
        <v>79</v>
      </c>
      <c r="G1286">
        <v>3.5</v>
      </c>
      <c r="H1286" t="s">
        <v>92</v>
      </c>
      <c r="I1286">
        <v>0</v>
      </c>
      <c r="J1286">
        <v>500</v>
      </c>
      <c r="K1286" t="s">
        <v>79</v>
      </c>
      <c r="L1286">
        <v>8</v>
      </c>
      <c r="M1286">
        <v>120.03999999999999</v>
      </c>
      <c r="N1286">
        <v>2.4</v>
      </c>
      <c r="O1286">
        <v>22.5</v>
      </c>
      <c r="Q1286">
        <v>117.63999999999999</v>
      </c>
      <c r="V1286">
        <v>0</v>
      </c>
      <c r="W1286">
        <v>0</v>
      </c>
      <c r="AF1286">
        <v>0</v>
      </c>
      <c r="AG1286">
        <v>0</v>
      </c>
      <c r="AH1286">
        <v>0</v>
      </c>
      <c r="AI1286">
        <v>12</v>
      </c>
      <c r="AJ1286">
        <v>12</v>
      </c>
      <c r="AL1286">
        <v>2012.5</v>
      </c>
      <c r="AM1286">
        <v>0</v>
      </c>
      <c r="AN1286">
        <v>1900</v>
      </c>
      <c r="AP1286">
        <v>37</v>
      </c>
    </row>
    <row r="1287" spans="1:42" x14ac:dyDescent="0.25">
      <c r="A1287" t="s">
        <v>46</v>
      </c>
      <c r="B1287">
        <v>1</v>
      </c>
      <c r="C1287" t="s">
        <v>571</v>
      </c>
      <c r="D1287" s="39">
        <v>45911</v>
      </c>
      <c r="E1287" t="s">
        <v>486</v>
      </c>
      <c r="F1287" t="s">
        <v>79</v>
      </c>
      <c r="G1287">
        <v>3.5</v>
      </c>
      <c r="H1287" t="s">
        <v>92</v>
      </c>
      <c r="I1287">
        <v>0</v>
      </c>
      <c r="J1287">
        <v>500</v>
      </c>
      <c r="K1287" t="s">
        <v>79</v>
      </c>
      <c r="L1287">
        <v>2</v>
      </c>
      <c r="M1287">
        <v>26.299999999999997</v>
      </c>
      <c r="N1287">
        <v>0.6</v>
      </c>
      <c r="O1287">
        <v>37.5</v>
      </c>
      <c r="Q1287">
        <v>25.699999999999996</v>
      </c>
      <c r="V1287">
        <v>0</v>
      </c>
      <c r="W1287">
        <v>0</v>
      </c>
      <c r="Z1287">
        <v>420</v>
      </c>
      <c r="AF1287">
        <v>420</v>
      </c>
      <c r="AG1287">
        <v>7</v>
      </c>
      <c r="AH1287">
        <v>7</v>
      </c>
      <c r="AI1287">
        <v>5</v>
      </c>
      <c r="AJ1287">
        <v>12</v>
      </c>
      <c r="AM1287">
        <v>0</v>
      </c>
      <c r="AN1287">
        <v>1900</v>
      </c>
      <c r="AP1287">
        <v>37</v>
      </c>
    </row>
    <row r="1288" spans="1:42" x14ac:dyDescent="0.25">
      <c r="A1288" t="s">
        <v>45</v>
      </c>
      <c r="B1288">
        <v>2</v>
      </c>
      <c r="C1288" t="s">
        <v>566</v>
      </c>
      <c r="D1288" s="39">
        <v>45911</v>
      </c>
      <c r="E1288" t="s">
        <v>486</v>
      </c>
      <c r="F1288" t="s">
        <v>79</v>
      </c>
      <c r="G1288">
        <v>4</v>
      </c>
      <c r="H1288" t="s">
        <v>113</v>
      </c>
      <c r="I1288">
        <v>0</v>
      </c>
      <c r="J1288">
        <v>600</v>
      </c>
      <c r="K1288" t="s">
        <v>79</v>
      </c>
      <c r="L1288">
        <v>9</v>
      </c>
      <c r="M1288">
        <v>116.66000000000001</v>
      </c>
      <c r="N1288">
        <v>3.6</v>
      </c>
      <c r="Q1288">
        <v>113.06000000000002</v>
      </c>
      <c r="V1288">
        <v>0</v>
      </c>
      <c r="W1288">
        <v>0</v>
      </c>
      <c r="Z1288">
        <v>90</v>
      </c>
      <c r="AF1288">
        <v>90</v>
      </c>
      <c r="AG1288">
        <v>1.5</v>
      </c>
      <c r="AH1288">
        <v>1.5</v>
      </c>
      <c r="AI1288">
        <v>10.5</v>
      </c>
      <c r="AJ1288">
        <v>12</v>
      </c>
      <c r="AM1288">
        <v>0</v>
      </c>
      <c r="AP1288">
        <v>37</v>
      </c>
    </row>
    <row r="1289" spans="1:42" x14ac:dyDescent="0.25">
      <c r="A1289" t="s">
        <v>46</v>
      </c>
      <c r="B1289">
        <v>2</v>
      </c>
      <c r="C1289" t="s">
        <v>566</v>
      </c>
      <c r="D1289" s="39">
        <v>45911</v>
      </c>
      <c r="E1289" t="s">
        <v>486</v>
      </c>
      <c r="F1289" t="s">
        <v>79</v>
      </c>
      <c r="G1289">
        <v>4</v>
      </c>
      <c r="H1289" t="s">
        <v>113</v>
      </c>
      <c r="I1289">
        <v>0</v>
      </c>
      <c r="J1289">
        <v>600</v>
      </c>
      <c r="K1289" t="s">
        <v>79</v>
      </c>
      <c r="L1289">
        <v>10</v>
      </c>
      <c r="M1289">
        <v>152.12</v>
      </c>
      <c r="N1289">
        <v>4</v>
      </c>
      <c r="Q1289">
        <v>148.12</v>
      </c>
      <c r="V1289">
        <v>0</v>
      </c>
      <c r="W1289">
        <v>0</v>
      </c>
      <c r="AF1289">
        <v>0</v>
      </c>
      <c r="AG1289">
        <v>0</v>
      </c>
      <c r="AH1289">
        <v>0</v>
      </c>
      <c r="AI1289">
        <v>12</v>
      </c>
      <c r="AJ1289">
        <v>12</v>
      </c>
      <c r="AM1289">
        <v>0</v>
      </c>
      <c r="AP1289">
        <v>37</v>
      </c>
    </row>
    <row r="1290" spans="1:42" x14ac:dyDescent="0.25">
      <c r="A1290" t="s">
        <v>45</v>
      </c>
      <c r="B1290">
        <v>3</v>
      </c>
      <c r="C1290" t="s">
        <v>581</v>
      </c>
      <c r="D1290" s="39">
        <v>45911</v>
      </c>
      <c r="E1290" t="s">
        <v>486</v>
      </c>
      <c r="F1290" t="s">
        <v>79</v>
      </c>
      <c r="G1290">
        <v>9</v>
      </c>
      <c r="H1290" t="s">
        <v>113</v>
      </c>
      <c r="I1290">
        <v>0</v>
      </c>
      <c r="J1290">
        <v>1500</v>
      </c>
      <c r="K1290" t="s">
        <v>79</v>
      </c>
      <c r="L1290">
        <v>9</v>
      </c>
      <c r="M1290">
        <v>353.24</v>
      </c>
      <c r="N1290">
        <v>9</v>
      </c>
      <c r="Q1290">
        <v>344.24</v>
      </c>
      <c r="V1290">
        <v>0</v>
      </c>
      <c r="W1290">
        <v>0</v>
      </c>
      <c r="AF1290">
        <v>0</v>
      </c>
      <c r="AG1290">
        <v>0</v>
      </c>
      <c r="AH1290">
        <v>0</v>
      </c>
      <c r="AI1290">
        <v>12</v>
      </c>
      <c r="AJ1290">
        <v>12</v>
      </c>
      <c r="AM1290">
        <v>0</v>
      </c>
      <c r="AP1290">
        <v>37</v>
      </c>
    </row>
    <row r="1291" spans="1:42" x14ac:dyDescent="0.25">
      <c r="A1291" t="s">
        <v>46</v>
      </c>
      <c r="B1291">
        <v>3</v>
      </c>
      <c r="C1291" t="s">
        <v>581</v>
      </c>
      <c r="D1291" s="39">
        <v>45911</v>
      </c>
      <c r="E1291" t="s">
        <v>486</v>
      </c>
      <c r="F1291" t="s">
        <v>79</v>
      </c>
      <c r="G1291">
        <v>9</v>
      </c>
      <c r="H1291" t="s">
        <v>113</v>
      </c>
      <c r="I1291">
        <v>0</v>
      </c>
      <c r="J1291">
        <v>1500</v>
      </c>
      <c r="K1291" t="s">
        <v>79</v>
      </c>
      <c r="L1291">
        <v>10</v>
      </c>
      <c r="M1291">
        <v>327.85</v>
      </c>
      <c r="N1291">
        <v>9</v>
      </c>
      <c r="Q1291">
        <v>318.85000000000002</v>
      </c>
      <c r="V1291">
        <v>0</v>
      </c>
      <c r="W1291">
        <v>0</v>
      </c>
      <c r="AF1291">
        <v>0</v>
      </c>
      <c r="AG1291">
        <v>0</v>
      </c>
      <c r="AH1291">
        <v>0</v>
      </c>
      <c r="AI1291">
        <v>12</v>
      </c>
      <c r="AJ1291">
        <v>12</v>
      </c>
      <c r="AM1291">
        <v>0</v>
      </c>
      <c r="AP1291">
        <v>37</v>
      </c>
    </row>
    <row r="1292" spans="1:42" x14ac:dyDescent="0.25">
      <c r="A1292" t="s">
        <v>45</v>
      </c>
      <c r="B1292">
        <v>4</v>
      </c>
      <c r="C1292" t="s">
        <v>579</v>
      </c>
      <c r="D1292" s="39">
        <v>45911</v>
      </c>
      <c r="E1292" t="s">
        <v>276</v>
      </c>
      <c r="F1292" t="s">
        <v>79</v>
      </c>
      <c r="G1292">
        <v>16</v>
      </c>
      <c r="H1292" t="s">
        <v>113</v>
      </c>
      <c r="I1292" t="s">
        <v>114</v>
      </c>
      <c r="J1292">
        <v>1000</v>
      </c>
      <c r="K1292" t="s">
        <v>79</v>
      </c>
      <c r="L1292">
        <v>13</v>
      </c>
      <c r="M1292">
        <v>648.99999999999989</v>
      </c>
      <c r="N1292">
        <v>24.7</v>
      </c>
      <c r="Q1292">
        <v>624.29999999999984</v>
      </c>
      <c r="V1292">
        <v>0</v>
      </c>
      <c r="W1292">
        <v>0</v>
      </c>
      <c r="AF1292">
        <v>0</v>
      </c>
      <c r="AG1292">
        <v>0</v>
      </c>
      <c r="AH1292">
        <v>0</v>
      </c>
      <c r="AI1292">
        <v>12</v>
      </c>
      <c r="AJ1292">
        <v>12</v>
      </c>
      <c r="AM1292">
        <v>0</v>
      </c>
      <c r="AP1292">
        <v>37</v>
      </c>
    </row>
    <row r="1293" spans="1:42" x14ac:dyDescent="0.25">
      <c r="A1293" t="s">
        <v>45</v>
      </c>
      <c r="B1293">
        <v>4</v>
      </c>
      <c r="C1293" t="s">
        <v>582</v>
      </c>
      <c r="D1293" s="39">
        <v>45911</v>
      </c>
      <c r="E1293" t="s">
        <v>583</v>
      </c>
      <c r="F1293" t="s">
        <v>79</v>
      </c>
      <c r="G1293">
        <v>16</v>
      </c>
      <c r="H1293" t="s">
        <v>98</v>
      </c>
      <c r="I1293" t="s">
        <v>79</v>
      </c>
      <c r="J1293">
        <v>100</v>
      </c>
      <c r="K1293" t="s">
        <v>79</v>
      </c>
      <c r="L1293">
        <v>2</v>
      </c>
      <c r="M1293">
        <v>99.419999999999987</v>
      </c>
      <c r="N1293">
        <v>3.8</v>
      </c>
      <c r="Q1293">
        <v>95.61999999999999</v>
      </c>
      <c r="V1293">
        <v>0</v>
      </c>
      <c r="W1293">
        <v>0</v>
      </c>
      <c r="AF1293">
        <v>0</v>
      </c>
      <c r="AG1293">
        <v>0</v>
      </c>
      <c r="AH1293">
        <v>0</v>
      </c>
      <c r="AI1293">
        <v>12</v>
      </c>
      <c r="AJ1293">
        <v>12</v>
      </c>
      <c r="AM1293">
        <v>0</v>
      </c>
      <c r="AP1293">
        <v>37</v>
      </c>
    </row>
    <row r="1294" spans="1:42" x14ac:dyDescent="0.25">
      <c r="A1294" t="s">
        <v>46</v>
      </c>
      <c r="B1294">
        <v>4</v>
      </c>
      <c r="C1294" t="s">
        <v>579</v>
      </c>
      <c r="D1294" s="39">
        <v>45911</v>
      </c>
      <c r="E1294" t="s">
        <v>276</v>
      </c>
      <c r="F1294" t="s">
        <v>79</v>
      </c>
      <c r="G1294">
        <v>16</v>
      </c>
      <c r="H1294" t="s">
        <v>113</v>
      </c>
      <c r="I1294" t="s">
        <v>114</v>
      </c>
      <c r="J1294">
        <v>1000</v>
      </c>
      <c r="K1294" t="s">
        <v>79</v>
      </c>
      <c r="L1294">
        <v>4</v>
      </c>
      <c r="M1294">
        <v>154.76999999999998</v>
      </c>
      <c r="N1294">
        <v>7.6</v>
      </c>
      <c r="Q1294">
        <v>147.16999999999999</v>
      </c>
      <c r="S1294">
        <v>50</v>
      </c>
      <c r="V1294">
        <v>50</v>
      </c>
      <c r="W1294">
        <v>0.83333333333333348</v>
      </c>
      <c r="AF1294">
        <v>0</v>
      </c>
      <c r="AG1294">
        <v>0</v>
      </c>
      <c r="AH1294">
        <v>0.83333333333333348</v>
      </c>
      <c r="AI1294">
        <v>11.166666666666666</v>
      </c>
      <c r="AJ1294">
        <v>12</v>
      </c>
      <c r="AM1294">
        <v>0</v>
      </c>
      <c r="AP1294">
        <v>37</v>
      </c>
    </row>
    <row r="1295" spans="1:42" x14ac:dyDescent="0.25">
      <c r="A1295" t="s">
        <v>46</v>
      </c>
      <c r="B1295">
        <v>4</v>
      </c>
      <c r="C1295" t="s">
        <v>584</v>
      </c>
      <c r="D1295" s="39">
        <v>45911</v>
      </c>
      <c r="E1295" t="s">
        <v>81</v>
      </c>
      <c r="G1295">
        <v>26</v>
      </c>
      <c r="H1295">
        <v>5</v>
      </c>
      <c r="K1295" t="s">
        <v>79</v>
      </c>
      <c r="L1295">
        <v>4</v>
      </c>
      <c r="M1295">
        <v>129.64999999999998</v>
      </c>
      <c r="N1295">
        <v>12</v>
      </c>
      <c r="Q1295">
        <v>117.64999999999998</v>
      </c>
      <c r="V1295">
        <v>0</v>
      </c>
      <c r="W1295">
        <v>0</v>
      </c>
      <c r="AF1295">
        <v>0</v>
      </c>
      <c r="AG1295">
        <v>0</v>
      </c>
      <c r="AH1295">
        <v>0</v>
      </c>
      <c r="AI1295">
        <v>12</v>
      </c>
      <c r="AJ1295">
        <v>12</v>
      </c>
      <c r="AM1295">
        <v>0</v>
      </c>
      <c r="AP1295">
        <v>37</v>
      </c>
    </row>
    <row r="1296" spans="1:42" x14ac:dyDescent="0.25">
      <c r="A1296" t="s">
        <v>46</v>
      </c>
      <c r="B1296">
        <v>4</v>
      </c>
      <c r="C1296" t="s">
        <v>585</v>
      </c>
      <c r="D1296" s="39">
        <v>45911</v>
      </c>
      <c r="E1296" t="s">
        <v>586</v>
      </c>
      <c r="F1296" t="s">
        <v>79</v>
      </c>
      <c r="G1296">
        <v>26</v>
      </c>
      <c r="H1296">
        <v>10</v>
      </c>
      <c r="I1296">
        <v>0</v>
      </c>
      <c r="J1296">
        <v>100</v>
      </c>
      <c r="K1296" t="s">
        <v>79</v>
      </c>
      <c r="L1296">
        <v>2</v>
      </c>
      <c r="M1296">
        <v>111.46000000000001</v>
      </c>
      <c r="N1296">
        <v>9</v>
      </c>
      <c r="Q1296">
        <v>102.46000000000001</v>
      </c>
      <c r="V1296">
        <v>0</v>
      </c>
      <c r="W1296">
        <v>0</v>
      </c>
      <c r="AF1296">
        <v>0</v>
      </c>
      <c r="AG1296">
        <v>0</v>
      </c>
      <c r="AH1296">
        <v>0</v>
      </c>
      <c r="AI1296">
        <v>12</v>
      </c>
      <c r="AJ1296">
        <v>12</v>
      </c>
      <c r="AM1296">
        <v>0</v>
      </c>
      <c r="AP1296">
        <v>37</v>
      </c>
    </row>
    <row r="1297" spans="1:42" x14ac:dyDescent="0.25">
      <c r="A1297" t="s">
        <v>46</v>
      </c>
      <c r="B1297">
        <v>4</v>
      </c>
      <c r="C1297" t="s">
        <v>587</v>
      </c>
      <c r="D1297" s="39">
        <v>45911</v>
      </c>
      <c r="E1297" t="s">
        <v>442</v>
      </c>
      <c r="F1297" t="s">
        <v>79</v>
      </c>
      <c r="G1297">
        <v>26</v>
      </c>
      <c r="H1297">
        <v>10</v>
      </c>
      <c r="I1297">
        <v>0</v>
      </c>
      <c r="J1297">
        <v>100</v>
      </c>
      <c r="K1297" t="s">
        <v>79</v>
      </c>
      <c r="L1297">
        <v>3</v>
      </c>
      <c r="M1297">
        <v>97.110000000000014</v>
      </c>
      <c r="N1297">
        <v>6</v>
      </c>
      <c r="Q1297">
        <v>91.110000000000014</v>
      </c>
      <c r="V1297">
        <v>0</v>
      </c>
      <c r="W1297">
        <v>0</v>
      </c>
      <c r="AF1297">
        <v>0</v>
      </c>
      <c r="AG1297">
        <v>0</v>
      </c>
      <c r="AH1297">
        <v>0</v>
      </c>
      <c r="AI1297">
        <v>12</v>
      </c>
      <c r="AJ1297">
        <v>12</v>
      </c>
      <c r="AM1297">
        <v>0</v>
      </c>
      <c r="AP1297">
        <v>37</v>
      </c>
    </row>
    <row r="1298" spans="1:42" x14ac:dyDescent="0.25">
      <c r="A1298" t="s">
        <v>46</v>
      </c>
      <c r="B1298">
        <v>4</v>
      </c>
      <c r="C1298" t="s">
        <v>588</v>
      </c>
      <c r="D1298" s="39">
        <v>45911</v>
      </c>
      <c r="E1298" t="s">
        <v>276</v>
      </c>
      <c r="F1298" t="s">
        <v>79</v>
      </c>
      <c r="G1298">
        <v>18</v>
      </c>
      <c r="H1298" t="s">
        <v>113</v>
      </c>
      <c r="I1298" t="s">
        <v>114</v>
      </c>
      <c r="J1298">
        <v>1000</v>
      </c>
      <c r="K1298" t="s">
        <v>79</v>
      </c>
      <c r="L1298">
        <v>5</v>
      </c>
      <c r="M1298">
        <v>195.8</v>
      </c>
      <c r="N1298">
        <v>9</v>
      </c>
      <c r="Q1298">
        <v>186.8</v>
      </c>
      <c r="V1298">
        <v>0</v>
      </c>
      <c r="W1298">
        <v>0</v>
      </c>
      <c r="AF1298">
        <v>0</v>
      </c>
      <c r="AG1298">
        <v>0</v>
      </c>
      <c r="AH1298">
        <v>0</v>
      </c>
      <c r="AI1298">
        <v>12</v>
      </c>
      <c r="AJ1298">
        <v>12</v>
      </c>
      <c r="AM1298">
        <v>0</v>
      </c>
      <c r="AP1298">
        <v>37</v>
      </c>
    </row>
    <row r="1299" spans="1:42" x14ac:dyDescent="0.25">
      <c r="A1299" t="s">
        <v>45</v>
      </c>
      <c r="B1299">
        <v>5</v>
      </c>
      <c r="C1299" t="s">
        <v>556</v>
      </c>
      <c r="D1299" s="39">
        <v>45911</v>
      </c>
      <c r="E1299" t="s">
        <v>486</v>
      </c>
      <c r="F1299" t="s">
        <v>79</v>
      </c>
      <c r="G1299">
        <v>11</v>
      </c>
      <c r="H1299" t="s">
        <v>113</v>
      </c>
      <c r="I1299">
        <v>0</v>
      </c>
      <c r="J1299">
        <v>500</v>
      </c>
      <c r="K1299" t="s">
        <v>79</v>
      </c>
      <c r="L1299">
        <v>8</v>
      </c>
      <c r="M1299">
        <v>385.71000000000004</v>
      </c>
      <c r="N1299">
        <v>10.56</v>
      </c>
      <c r="Q1299">
        <v>375.15000000000003</v>
      </c>
      <c r="S1299">
        <v>10</v>
      </c>
      <c r="V1299">
        <v>10</v>
      </c>
      <c r="W1299">
        <v>0.16666666666666666</v>
      </c>
      <c r="Z1299">
        <v>45</v>
      </c>
      <c r="AF1299">
        <v>45</v>
      </c>
      <c r="AG1299">
        <v>0.75</v>
      </c>
      <c r="AH1299">
        <v>0.91666666666666652</v>
      </c>
      <c r="AI1299">
        <v>11.083333333333334</v>
      </c>
      <c r="AJ1299">
        <v>12</v>
      </c>
      <c r="AM1299">
        <v>0</v>
      </c>
      <c r="AP1299">
        <v>37</v>
      </c>
    </row>
    <row r="1300" spans="1:42" x14ac:dyDescent="0.25">
      <c r="A1300" t="s">
        <v>45</v>
      </c>
      <c r="B1300">
        <v>5</v>
      </c>
      <c r="C1300" t="s">
        <v>589</v>
      </c>
      <c r="D1300" s="39">
        <v>45911</v>
      </c>
      <c r="E1300" t="s">
        <v>486</v>
      </c>
      <c r="F1300" t="s">
        <v>79</v>
      </c>
      <c r="G1300">
        <v>12</v>
      </c>
      <c r="H1300">
        <v>5</v>
      </c>
      <c r="I1300">
        <v>0</v>
      </c>
      <c r="J1300">
        <v>1000</v>
      </c>
      <c r="K1300" t="s">
        <v>79</v>
      </c>
      <c r="L1300">
        <v>3</v>
      </c>
      <c r="M1300">
        <v>150.81</v>
      </c>
      <c r="N1300">
        <v>5.25</v>
      </c>
      <c r="Q1300">
        <v>145.56</v>
      </c>
      <c r="V1300">
        <v>0</v>
      </c>
      <c r="W1300">
        <v>0</v>
      </c>
      <c r="AF1300">
        <v>0</v>
      </c>
      <c r="AG1300">
        <v>0</v>
      </c>
      <c r="AH1300">
        <v>0</v>
      </c>
      <c r="AI1300">
        <v>12</v>
      </c>
      <c r="AJ1300">
        <v>12</v>
      </c>
      <c r="AM1300">
        <v>0</v>
      </c>
      <c r="AP1300">
        <v>37</v>
      </c>
    </row>
    <row r="1301" spans="1:42" x14ac:dyDescent="0.25">
      <c r="A1301" t="s">
        <v>46</v>
      </c>
      <c r="B1301">
        <v>5</v>
      </c>
      <c r="C1301" t="s">
        <v>589</v>
      </c>
      <c r="D1301" s="39">
        <v>45911</v>
      </c>
      <c r="E1301" t="s">
        <v>486</v>
      </c>
      <c r="F1301" t="s">
        <v>79</v>
      </c>
      <c r="G1301">
        <v>12</v>
      </c>
      <c r="H1301">
        <v>5</v>
      </c>
      <c r="I1301">
        <v>0</v>
      </c>
      <c r="J1301">
        <v>1000</v>
      </c>
      <c r="K1301" t="s">
        <v>79</v>
      </c>
      <c r="L1301">
        <v>13</v>
      </c>
      <c r="M1301">
        <v>566.8599999999999</v>
      </c>
      <c r="N1301">
        <v>15.6</v>
      </c>
      <c r="Q1301">
        <v>551.25999999999988</v>
      </c>
      <c r="V1301">
        <v>0</v>
      </c>
      <c r="W1301">
        <v>0</v>
      </c>
      <c r="AF1301">
        <v>0</v>
      </c>
      <c r="AG1301">
        <v>0</v>
      </c>
      <c r="AH1301">
        <v>0</v>
      </c>
      <c r="AI1301">
        <v>12</v>
      </c>
      <c r="AJ1301">
        <v>12</v>
      </c>
      <c r="AM1301">
        <v>0</v>
      </c>
      <c r="AP1301">
        <v>37</v>
      </c>
    </row>
    <row r="1302" spans="1:42" x14ac:dyDescent="0.25">
      <c r="A1302" t="s">
        <v>45</v>
      </c>
      <c r="B1302">
        <v>1</v>
      </c>
      <c r="C1302" t="s">
        <v>571</v>
      </c>
      <c r="D1302" s="39">
        <v>45912</v>
      </c>
      <c r="E1302" t="s">
        <v>486</v>
      </c>
      <c r="F1302" t="s">
        <v>79</v>
      </c>
      <c r="G1302">
        <v>3.5</v>
      </c>
      <c r="H1302" t="s">
        <v>92</v>
      </c>
      <c r="I1302" t="s">
        <v>79</v>
      </c>
      <c r="J1302">
        <v>500</v>
      </c>
      <c r="K1302" t="s">
        <v>79</v>
      </c>
      <c r="L1302">
        <v>2</v>
      </c>
      <c r="M1302">
        <v>18.36</v>
      </c>
      <c r="N1302">
        <v>0.6</v>
      </c>
      <c r="O1302">
        <v>17</v>
      </c>
      <c r="Q1302">
        <v>17.759999999999998</v>
      </c>
      <c r="U1302">
        <v>480</v>
      </c>
      <c r="V1302">
        <v>480</v>
      </c>
      <c r="W1302">
        <v>8</v>
      </c>
      <c r="AF1302">
        <v>0</v>
      </c>
      <c r="AG1302">
        <v>0</v>
      </c>
      <c r="AH1302">
        <v>8</v>
      </c>
      <c r="AI1302">
        <v>4</v>
      </c>
      <c r="AJ1302">
        <v>12</v>
      </c>
      <c r="AL1302">
        <v>2016</v>
      </c>
      <c r="AM1302">
        <v>0</v>
      </c>
      <c r="AP1302">
        <v>37</v>
      </c>
    </row>
    <row r="1303" spans="1:42" x14ac:dyDescent="0.25">
      <c r="A1303" t="s">
        <v>46</v>
      </c>
      <c r="B1303">
        <v>1</v>
      </c>
      <c r="C1303" t="s">
        <v>571</v>
      </c>
      <c r="D1303" s="39">
        <v>45912</v>
      </c>
      <c r="E1303" t="s">
        <v>486</v>
      </c>
      <c r="F1303" t="s">
        <v>79</v>
      </c>
      <c r="G1303">
        <v>3.5</v>
      </c>
      <c r="H1303" t="s">
        <v>92</v>
      </c>
      <c r="I1303" t="s">
        <v>79</v>
      </c>
      <c r="J1303">
        <v>500</v>
      </c>
      <c r="K1303" t="s">
        <v>79</v>
      </c>
      <c r="L1303">
        <v>10</v>
      </c>
      <c r="M1303">
        <v>142.61000000000001</v>
      </c>
      <c r="N1303">
        <v>3</v>
      </c>
      <c r="O1303">
        <v>21</v>
      </c>
      <c r="Q1303">
        <v>139.61000000000001</v>
      </c>
      <c r="V1303">
        <v>0</v>
      </c>
      <c r="W1303">
        <v>0</v>
      </c>
      <c r="AF1303">
        <v>0</v>
      </c>
      <c r="AG1303">
        <v>0</v>
      </c>
      <c r="AH1303">
        <v>0</v>
      </c>
      <c r="AI1303">
        <v>12</v>
      </c>
      <c r="AJ1303">
        <v>12</v>
      </c>
      <c r="AM1303">
        <v>0</v>
      </c>
      <c r="AP1303">
        <v>37</v>
      </c>
    </row>
    <row r="1304" spans="1:42" x14ac:dyDescent="0.25">
      <c r="A1304" t="s">
        <v>45</v>
      </c>
      <c r="B1304">
        <v>2</v>
      </c>
      <c r="C1304" t="s">
        <v>566</v>
      </c>
      <c r="D1304" s="39">
        <v>45912</v>
      </c>
      <c r="E1304" t="s">
        <v>486</v>
      </c>
      <c r="F1304" t="s">
        <v>79</v>
      </c>
      <c r="G1304">
        <v>4</v>
      </c>
      <c r="H1304" t="s">
        <v>113</v>
      </c>
      <c r="I1304" t="s">
        <v>79</v>
      </c>
      <c r="J1304">
        <v>600</v>
      </c>
      <c r="K1304" t="s">
        <v>79</v>
      </c>
      <c r="L1304">
        <v>11</v>
      </c>
      <c r="M1304">
        <v>173.44</v>
      </c>
      <c r="N1304">
        <v>4.4000000000000004</v>
      </c>
      <c r="Q1304">
        <v>169.04</v>
      </c>
      <c r="V1304">
        <v>0</v>
      </c>
      <c r="W1304">
        <v>0</v>
      </c>
      <c r="AF1304">
        <v>0</v>
      </c>
      <c r="AG1304">
        <v>0</v>
      </c>
      <c r="AH1304">
        <v>0</v>
      </c>
      <c r="AI1304">
        <v>12</v>
      </c>
      <c r="AJ1304">
        <v>12</v>
      </c>
      <c r="AM1304">
        <v>0</v>
      </c>
      <c r="AP1304">
        <v>37</v>
      </c>
    </row>
    <row r="1305" spans="1:42" x14ac:dyDescent="0.25">
      <c r="A1305" t="s">
        <v>46</v>
      </c>
      <c r="B1305">
        <v>2</v>
      </c>
      <c r="C1305" t="s">
        <v>566</v>
      </c>
      <c r="D1305" s="39">
        <v>45912</v>
      </c>
      <c r="E1305" t="s">
        <v>486</v>
      </c>
      <c r="F1305" t="s">
        <v>79</v>
      </c>
      <c r="G1305">
        <v>4</v>
      </c>
      <c r="H1305" t="s">
        <v>113</v>
      </c>
      <c r="I1305" t="s">
        <v>79</v>
      </c>
      <c r="J1305">
        <v>600</v>
      </c>
      <c r="K1305" t="s">
        <v>79</v>
      </c>
      <c r="L1305">
        <v>12</v>
      </c>
      <c r="M1305">
        <v>168.39000000000001</v>
      </c>
      <c r="N1305">
        <v>4.8000000000000007</v>
      </c>
      <c r="Q1305">
        <v>163.59</v>
      </c>
      <c r="V1305">
        <v>0</v>
      </c>
      <c r="W1305">
        <v>0</v>
      </c>
      <c r="AF1305">
        <v>0</v>
      </c>
      <c r="AG1305">
        <v>0</v>
      </c>
      <c r="AH1305">
        <v>0</v>
      </c>
      <c r="AI1305">
        <v>12</v>
      </c>
      <c r="AJ1305">
        <v>12</v>
      </c>
      <c r="AM1305">
        <v>0</v>
      </c>
      <c r="AP1305">
        <v>37</v>
      </c>
    </row>
    <row r="1306" spans="1:42" x14ac:dyDescent="0.25">
      <c r="A1306" t="s">
        <v>45</v>
      </c>
      <c r="B1306">
        <v>3</v>
      </c>
      <c r="C1306" t="s">
        <v>581</v>
      </c>
      <c r="D1306" s="39">
        <v>45912</v>
      </c>
      <c r="E1306" t="s">
        <v>486</v>
      </c>
      <c r="F1306" t="s">
        <v>79</v>
      </c>
      <c r="G1306">
        <v>9</v>
      </c>
      <c r="H1306" t="s">
        <v>113</v>
      </c>
      <c r="I1306" t="s">
        <v>79</v>
      </c>
      <c r="J1306">
        <v>1500</v>
      </c>
      <c r="K1306" t="s">
        <v>79</v>
      </c>
      <c r="L1306">
        <v>9</v>
      </c>
      <c r="M1306">
        <v>362.26</v>
      </c>
      <c r="N1306">
        <v>9.1</v>
      </c>
      <c r="Q1306">
        <v>353.15999999999997</v>
      </c>
      <c r="V1306">
        <v>0</v>
      </c>
      <c r="W1306">
        <v>0</v>
      </c>
      <c r="AF1306">
        <v>0</v>
      </c>
      <c r="AG1306">
        <v>0</v>
      </c>
      <c r="AH1306">
        <v>0</v>
      </c>
      <c r="AI1306">
        <v>12</v>
      </c>
      <c r="AJ1306">
        <v>12</v>
      </c>
      <c r="AM1306">
        <v>0</v>
      </c>
      <c r="AP1306">
        <v>37</v>
      </c>
    </row>
    <row r="1307" spans="1:42" x14ac:dyDescent="0.25">
      <c r="A1307" t="s">
        <v>46</v>
      </c>
      <c r="B1307">
        <v>3</v>
      </c>
      <c r="C1307" t="s">
        <v>581</v>
      </c>
      <c r="D1307" s="39">
        <v>45912</v>
      </c>
      <c r="E1307" t="s">
        <v>486</v>
      </c>
      <c r="F1307" t="s">
        <v>79</v>
      </c>
      <c r="G1307">
        <v>9</v>
      </c>
      <c r="H1307" t="s">
        <v>113</v>
      </c>
      <c r="I1307" t="s">
        <v>79</v>
      </c>
      <c r="J1307">
        <v>1500</v>
      </c>
      <c r="K1307" t="s">
        <v>79</v>
      </c>
      <c r="L1307">
        <v>11</v>
      </c>
      <c r="M1307">
        <v>349.03</v>
      </c>
      <c r="N1307">
        <v>11</v>
      </c>
      <c r="Q1307">
        <v>338.03</v>
      </c>
      <c r="V1307">
        <v>0</v>
      </c>
      <c r="W1307">
        <v>0</v>
      </c>
      <c r="AF1307">
        <v>0</v>
      </c>
      <c r="AG1307">
        <v>0</v>
      </c>
      <c r="AH1307">
        <v>0</v>
      </c>
      <c r="AI1307">
        <v>12</v>
      </c>
      <c r="AJ1307">
        <v>12</v>
      </c>
      <c r="AM1307">
        <v>0</v>
      </c>
      <c r="AP1307">
        <v>37</v>
      </c>
    </row>
    <row r="1308" spans="1:42" x14ac:dyDescent="0.25">
      <c r="A1308" t="s">
        <v>45</v>
      </c>
      <c r="B1308">
        <v>4</v>
      </c>
      <c r="C1308" t="s">
        <v>588</v>
      </c>
      <c r="D1308" s="39">
        <v>45912</v>
      </c>
      <c r="E1308" t="s">
        <v>276</v>
      </c>
      <c r="F1308" t="s">
        <v>79</v>
      </c>
      <c r="G1308">
        <v>18</v>
      </c>
      <c r="H1308" t="s">
        <v>113</v>
      </c>
      <c r="I1308" t="s">
        <v>79</v>
      </c>
      <c r="J1308">
        <v>1000</v>
      </c>
      <c r="K1308" t="s">
        <v>79</v>
      </c>
      <c r="L1308">
        <v>15</v>
      </c>
      <c r="M1308">
        <v>722.87</v>
      </c>
      <c r="N1308">
        <v>27.409999999999997</v>
      </c>
      <c r="Q1308">
        <v>695.46</v>
      </c>
      <c r="V1308">
        <v>0</v>
      </c>
      <c r="W1308">
        <v>0</v>
      </c>
      <c r="AF1308">
        <v>0</v>
      </c>
      <c r="AG1308">
        <v>0</v>
      </c>
      <c r="AH1308">
        <v>0</v>
      </c>
      <c r="AI1308">
        <v>12</v>
      </c>
      <c r="AJ1308">
        <v>12</v>
      </c>
      <c r="AM1308">
        <v>0</v>
      </c>
      <c r="AP1308">
        <v>37</v>
      </c>
    </row>
    <row r="1309" spans="1:42" x14ac:dyDescent="0.25">
      <c r="A1309" t="s">
        <v>46</v>
      </c>
      <c r="B1309">
        <v>4</v>
      </c>
      <c r="C1309" t="s">
        <v>588</v>
      </c>
      <c r="D1309" s="39">
        <v>45912</v>
      </c>
      <c r="E1309" t="s">
        <v>276</v>
      </c>
      <c r="F1309" t="s">
        <v>79</v>
      </c>
      <c r="G1309">
        <v>18</v>
      </c>
      <c r="H1309" t="s">
        <v>113</v>
      </c>
      <c r="I1309" t="s">
        <v>79</v>
      </c>
      <c r="J1309">
        <v>1000</v>
      </c>
      <c r="K1309" t="s">
        <v>79</v>
      </c>
      <c r="L1309">
        <v>6</v>
      </c>
      <c r="M1309">
        <v>269.90999999999997</v>
      </c>
      <c r="N1309">
        <v>12</v>
      </c>
      <c r="Q1309">
        <v>257.90999999999997</v>
      </c>
      <c r="S1309">
        <v>40</v>
      </c>
      <c r="V1309">
        <v>40</v>
      </c>
      <c r="W1309">
        <v>0.66666666666666663</v>
      </c>
      <c r="AF1309">
        <v>0</v>
      </c>
      <c r="AG1309">
        <v>0</v>
      </c>
      <c r="AH1309">
        <v>0.66666666666666663</v>
      </c>
      <c r="AI1309">
        <v>11.333333333333334</v>
      </c>
      <c r="AJ1309">
        <v>12</v>
      </c>
      <c r="AM1309">
        <v>0</v>
      </c>
      <c r="AP1309">
        <v>37</v>
      </c>
    </row>
    <row r="1310" spans="1:42" x14ac:dyDescent="0.25">
      <c r="A1310" t="s">
        <v>46</v>
      </c>
      <c r="B1310">
        <v>4</v>
      </c>
      <c r="C1310" t="s">
        <v>590</v>
      </c>
      <c r="D1310" s="39">
        <v>45912</v>
      </c>
      <c r="E1310" t="s">
        <v>238</v>
      </c>
      <c r="F1310" t="s">
        <v>79</v>
      </c>
      <c r="G1310">
        <v>20</v>
      </c>
      <c r="H1310">
        <v>8</v>
      </c>
      <c r="I1310" t="s">
        <v>79</v>
      </c>
      <c r="J1310">
        <v>375</v>
      </c>
      <c r="K1310" t="s">
        <v>79</v>
      </c>
      <c r="L1310">
        <v>8</v>
      </c>
      <c r="M1310">
        <v>389.36</v>
      </c>
      <c r="N1310">
        <v>17.68</v>
      </c>
      <c r="Q1310">
        <v>371.68</v>
      </c>
      <c r="V1310">
        <v>0</v>
      </c>
      <c r="W1310">
        <v>0</v>
      </c>
      <c r="AF1310">
        <v>0</v>
      </c>
      <c r="AG1310">
        <v>0</v>
      </c>
      <c r="AH1310">
        <v>0</v>
      </c>
      <c r="AI1310">
        <v>12</v>
      </c>
      <c r="AJ1310">
        <v>12</v>
      </c>
      <c r="AM1310">
        <v>0</v>
      </c>
      <c r="AP1310">
        <v>37</v>
      </c>
    </row>
    <row r="1311" spans="1:42" x14ac:dyDescent="0.25">
      <c r="A1311" t="s">
        <v>46</v>
      </c>
      <c r="B1311">
        <v>4</v>
      </c>
      <c r="C1311" t="s">
        <v>591</v>
      </c>
      <c r="D1311" s="39">
        <v>45912</v>
      </c>
      <c r="E1311" t="s">
        <v>238</v>
      </c>
      <c r="F1311" t="s">
        <v>79</v>
      </c>
      <c r="G1311">
        <v>22</v>
      </c>
      <c r="H1311">
        <v>8</v>
      </c>
      <c r="I1311" t="s">
        <v>79</v>
      </c>
      <c r="J1311">
        <v>375</v>
      </c>
      <c r="K1311" t="s">
        <v>79</v>
      </c>
      <c r="L1311">
        <v>2</v>
      </c>
      <c r="M1311">
        <v>75.180000000000007</v>
      </c>
      <c r="N1311">
        <v>5.6</v>
      </c>
      <c r="Q1311">
        <v>69.580000000000013</v>
      </c>
      <c r="V1311">
        <v>0</v>
      </c>
      <c r="W1311">
        <v>0</v>
      </c>
      <c r="AF1311">
        <v>0</v>
      </c>
      <c r="AG1311">
        <v>0</v>
      </c>
      <c r="AH1311">
        <v>0</v>
      </c>
      <c r="AI1311">
        <v>12</v>
      </c>
      <c r="AJ1311">
        <v>12</v>
      </c>
      <c r="AM1311">
        <v>0</v>
      </c>
      <c r="AP1311">
        <v>37</v>
      </c>
    </row>
    <row r="1312" spans="1:42" x14ac:dyDescent="0.25">
      <c r="A1312" t="s">
        <v>45</v>
      </c>
      <c r="B1312">
        <v>5</v>
      </c>
      <c r="C1312" t="s">
        <v>589</v>
      </c>
      <c r="D1312" s="39">
        <v>45912</v>
      </c>
      <c r="E1312" t="s">
        <v>486</v>
      </c>
      <c r="F1312" t="s">
        <v>79</v>
      </c>
      <c r="G1312">
        <v>12</v>
      </c>
      <c r="H1312">
        <v>5</v>
      </c>
      <c r="I1312" t="s">
        <v>79</v>
      </c>
      <c r="J1312">
        <v>1000</v>
      </c>
      <c r="K1312" t="s">
        <v>79</v>
      </c>
      <c r="L1312">
        <v>6</v>
      </c>
      <c r="M1312">
        <v>339.7</v>
      </c>
      <c r="N1312">
        <v>10.5</v>
      </c>
      <c r="Q1312">
        <v>329.2</v>
      </c>
      <c r="S1312">
        <v>30</v>
      </c>
      <c r="V1312">
        <v>30</v>
      </c>
      <c r="W1312">
        <v>0.5</v>
      </c>
      <c r="AF1312">
        <v>0</v>
      </c>
      <c r="AG1312">
        <v>0</v>
      </c>
      <c r="AH1312">
        <v>0.5</v>
      </c>
      <c r="AI1312">
        <v>11.5</v>
      </c>
      <c r="AJ1312">
        <v>12</v>
      </c>
      <c r="AM1312">
        <v>0</v>
      </c>
      <c r="AP1312">
        <v>37</v>
      </c>
    </row>
    <row r="1313" spans="1:42" x14ac:dyDescent="0.25">
      <c r="A1313" t="s">
        <v>45</v>
      </c>
      <c r="B1313">
        <v>5</v>
      </c>
      <c r="C1313" t="s">
        <v>592</v>
      </c>
      <c r="D1313" s="39">
        <v>45912</v>
      </c>
      <c r="E1313" t="s">
        <v>593</v>
      </c>
      <c r="F1313" t="s">
        <v>79</v>
      </c>
      <c r="G1313">
        <v>12</v>
      </c>
      <c r="H1313">
        <v>4</v>
      </c>
      <c r="I1313" t="s">
        <v>79</v>
      </c>
      <c r="J1313">
        <v>150</v>
      </c>
      <c r="K1313" t="s">
        <v>79</v>
      </c>
      <c r="L1313">
        <v>2</v>
      </c>
      <c r="M1313">
        <v>58.680000000000007</v>
      </c>
      <c r="N1313">
        <v>3</v>
      </c>
      <c r="Q1313">
        <v>55.680000000000007</v>
      </c>
      <c r="V1313">
        <v>0</v>
      </c>
      <c r="W1313">
        <v>0</v>
      </c>
      <c r="AF1313">
        <v>0</v>
      </c>
      <c r="AG1313">
        <v>0</v>
      </c>
      <c r="AH1313">
        <v>0</v>
      </c>
      <c r="AI1313">
        <v>12</v>
      </c>
      <c r="AJ1313">
        <v>12</v>
      </c>
      <c r="AM1313">
        <v>0</v>
      </c>
      <c r="AP1313">
        <v>37</v>
      </c>
    </row>
    <row r="1314" spans="1:42" x14ac:dyDescent="0.25">
      <c r="A1314" t="s">
        <v>45</v>
      </c>
      <c r="B1314">
        <v>5</v>
      </c>
      <c r="C1314" t="s">
        <v>594</v>
      </c>
      <c r="D1314" s="39">
        <v>45912</v>
      </c>
      <c r="E1314" t="s">
        <v>442</v>
      </c>
      <c r="F1314" t="s">
        <v>79</v>
      </c>
      <c r="G1314">
        <v>15</v>
      </c>
      <c r="H1314">
        <v>7</v>
      </c>
      <c r="I1314" t="s">
        <v>79</v>
      </c>
      <c r="J1314">
        <v>200</v>
      </c>
      <c r="K1314" t="s">
        <v>79</v>
      </c>
      <c r="L1314">
        <v>2</v>
      </c>
      <c r="M1314">
        <v>103</v>
      </c>
      <c r="N1314">
        <v>3.7</v>
      </c>
      <c r="Q1314">
        <v>99.3</v>
      </c>
      <c r="V1314">
        <v>0</v>
      </c>
      <c r="W1314">
        <v>0</v>
      </c>
      <c r="AF1314">
        <v>0</v>
      </c>
      <c r="AG1314">
        <v>0</v>
      </c>
      <c r="AH1314">
        <v>0</v>
      </c>
      <c r="AI1314">
        <v>12</v>
      </c>
      <c r="AJ1314">
        <v>12</v>
      </c>
      <c r="AM1314">
        <v>0</v>
      </c>
      <c r="AP1314">
        <v>37</v>
      </c>
    </row>
    <row r="1315" spans="1:42" x14ac:dyDescent="0.25">
      <c r="A1315" t="s">
        <v>45</v>
      </c>
      <c r="B1315">
        <v>5</v>
      </c>
      <c r="C1315" t="s">
        <v>595</v>
      </c>
      <c r="D1315" s="39">
        <v>45912</v>
      </c>
      <c r="E1315" t="s">
        <v>596</v>
      </c>
      <c r="F1315" t="s">
        <v>79</v>
      </c>
      <c r="G1315">
        <v>12</v>
      </c>
      <c r="H1315">
        <v>10</v>
      </c>
      <c r="I1315" t="s">
        <v>79</v>
      </c>
      <c r="J1315">
        <v>50</v>
      </c>
      <c r="K1315" t="s">
        <v>79</v>
      </c>
      <c r="L1315">
        <v>2</v>
      </c>
      <c r="M1315">
        <v>65.430000000000007</v>
      </c>
      <c r="N1315">
        <v>2.4</v>
      </c>
      <c r="Q1315">
        <v>63.030000000000008</v>
      </c>
      <c r="V1315">
        <v>0</v>
      </c>
      <c r="W1315">
        <v>0</v>
      </c>
      <c r="AF1315">
        <v>0</v>
      </c>
      <c r="AG1315">
        <v>0</v>
      </c>
      <c r="AH1315">
        <v>0</v>
      </c>
      <c r="AI1315">
        <v>12</v>
      </c>
      <c r="AJ1315">
        <v>12</v>
      </c>
      <c r="AM1315">
        <v>0</v>
      </c>
      <c r="AP1315">
        <v>37</v>
      </c>
    </row>
    <row r="1316" spans="1:42" x14ac:dyDescent="0.25">
      <c r="A1316" t="s">
        <v>46</v>
      </c>
      <c r="B1316">
        <v>5</v>
      </c>
      <c r="C1316" t="s">
        <v>594</v>
      </c>
      <c r="D1316" s="39">
        <v>45912</v>
      </c>
      <c r="E1316" t="s">
        <v>442</v>
      </c>
      <c r="F1316" t="s">
        <v>79</v>
      </c>
      <c r="G1316">
        <v>15</v>
      </c>
      <c r="H1316">
        <v>7</v>
      </c>
      <c r="I1316" t="s">
        <v>79</v>
      </c>
      <c r="J1316">
        <v>200</v>
      </c>
      <c r="K1316" t="s">
        <v>79</v>
      </c>
      <c r="L1316">
        <v>3</v>
      </c>
      <c r="M1316">
        <v>105.30000000000001</v>
      </c>
      <c r="N1316">
        <v>4.5</v>
      </c>
      <c r="Q1316">
        <v>100.80000000000001</v>
      </c>
      <c r="V1316">
        <v>0</v>
      </c>
      <c r="W1316">
        <v>0</v>
      </c>
      <c r="AF1316">
        <v>0</v>
      </c>
      <c r="AG1316">
        <v>0</v>
      </c>
      <c r="AH1316">
        <v>0</v>
      </c>
      <c r="AI1316">
        <v>12</v>
      </c>
      <c r="AJ1316">
        <v>12</v>
      </c>
      <c r="AM1316">
        <v>0</v>
      </c>
      <c r="AP1316">
        <v>37</v>
      </c>
    </row>
    <row r="1317" spans="1:42" x14ac:dyDescent="0.25">
      <c r="A1317" t="s">
        <v>46</v>
      </c>
      <c r="B1317">
        <v>5</v>
      </c>
      <c r="C1317" t="s">
        <v>597</v>
      </c>
      <c r="D1317" s="39">
        <v>45912</v>
      </c>
      <c r="E1317" t="s">
        <v>442</v>
      </c>
      <c r="F1317" t="s">
        <v>79</v>
      </c>
      <c r="G1317">
        <v>15</v>
      </c>
      <c r="H1317">
        <v>7</v>
      </c>
      <c r="I1317" t="s">
        <v>79</v>
      </c>
      <c r="J1317">
        <v>200</v>
      </c>
      <c r="K1317" t="s">
        <v>79</v>
      </c>
      <c r="L1317">
        <v>5</v>
      </c>
      <c r="M1317">
        <v>202.2</v>
      </c>
      <c r="N1317">
        <v>7.5</v>
      </c>
      <c r="Q1317">
        <v>194.7</v>
      </c>
      <c r="V1317">
        <v>0</v>
      </c>
      <c r="W1317">
        <v>0</v>
      </c>
      <c r="AF1317">
        <v>0</v>
      </c>
      <c r="AG1317">
        <v>0</v>
      </c>
      <c r="AH1317">
        <v>0</v>
      </c>
      <c r="AI1317">
        <v>12</v>
      </c>
      <c r="AJ1317">
        <v>12</v>
      </c>
      <c r="AM1317">
        <v>0</v>
      </c>
      <c r="AP1317">
        <v>37</v>
      </c>
    </row>
    <row r="1318" spans="1:42" x14ac:dyDescent="0.25">
      <c r="A1318" t="s">
        <v>45</v>
      </c>
      <c r="B1318">
        <v>1</v>
      </c>
      <c r="C1318" t="s">
        <v>571</v>
      </c>
      <c r="D1318" s="39">
        <v>45913</v>
      </c>
      <c r="E1318" t="s">
        <v>486</v>
      </c>
      <c r="F1318" t="s">
        <v>79</v>
      </c>
      <c r="G1318">
        <v>3.5</v>
      </c>
      <c r="H1318" t="s">
        <v>92</v>
      </c>
      <c r="I1318" t="s">
        <v>79</v>
      </c>
      <c r="J1318">
        <v>500</v>
      </c>
      <c r="K1318" t="s">
        <v>79</v>
      </c>
      <c r="L1318">
        <v>6</v>
      </c>
      <c r="M1318">
        <v>91.460000000000008</v>
      </c>
      <c r="N1318">
        <v>1.7999999999999998</v>
      </c>
      <c r="O1318">
        <v>32</v>
      </c>
      <c r="Q1318">
        <v>89.660000000000011</v>
      </c>
      <c r="S1318">
        <v>20</v>
      </c>
      <c r="V1318">
        <v>20</v>
      </c>
      <c r="W1318">
        <v>0.33333333333333331</v>
      </c>
      <c r="AF1318">
        <v>0</v>
      </c>
      <c r="AG1318">
        <v>0</v>
      </c>
      <c r="AH1318">
        <v>0.33333333333333331</v>
      </c>
      <c r="AI1318">
        <v>11.666666666666666</v>
      </c>
      <c r="AJ1318">
        <v>12</v>
      </c>
      <c r="AL1318">
        <v>2010</v>
      </c>
      <c r="AM1318">
        <v>0</v>
      </c>
      <c r="AP1318">
        <v>37</v>
      </c>
    </row>
    <row r="1319" spans="1:42" x14ac:dyDescent="0.25">
      <c r="A1319" t="s">
        <v>45</v>
      </c>
      <c r="B1319">
        <v>1</v>
      </c>
      <c r="C1319" t="s">
        <v>598</v>
      </c>
      <c r="D1319" s="39">
        <v>45913</v>
      </c>
      <c r="E1319" t="s">
        <v>486</v>
      </c>
      <c r="F1319" t="s">
        <v>79</v>
      </c>
      <c r="G1319">
        <v>2.5</v>
      </c>
      <c r="H1319" t="s">
        <v>92</v>
      </c>
      <c r="I1319" t="s">
        <v>79</v>
      </c>
      <c r="J1319">
        <v>20</v>
      </c>
      <c r="K1319" t="s">
        <v>79</v>
      </c>
      <c r="L1319">
        <v>1</v>
      </c>
      <c r="M1319">
        <v>23.49</v>
      </c>
      <c r="N1319">
        <v>0.2</v>
      </c>
      <c r="Q1319">
        <v>23.29</v>
      </c>
      <c r="V1319">
        <v>0</v>
      </c>
      <c r="W1319">
        <v>0</v>
      </c>
      <c r="AF1319">
        <v>0</v>
      </c>
      <c r="AG1319">
        <v>0</v>
      </c>
      <c r="AH1319">
        <v>0</v>
      </c>
      <c r="AI1319">
        <v>12</v>
      </c>
      <c r="AJ1319">
        <v>12</v>
      </c>
      <c r="AM1319">
        <v>0</v>
      </c>
      <c r="AP1319">
        <v>37</v>
      </c>
    </row>
    <row r="1320" spans="1:42" x14ac:dyDescent="0.25">
      <c r="A1320" t="s">
        <v>46</v>
      </c>
      <c r="B1320">
        <v>1</v>
      </c>
      <c r="C1320" t="s">
        <v>598</v>
      </c>
      <c r="D1320" s="39">
        <v>45913</v>
      </c>
      <c r="E1320" t="s">
        <v>486</v>
      </c>
      <c r="F1320" t="s">
        <v>79</v>
      </c>
      <c r="G1320">
        <v>2.5</v>
      </c>
      <c r="H1320" t="s">
        <v>92</v>
      </c>
      <c r="I1320" t="s">
        <v>79</v>
      </c>
      <c r="J1320">
        <v>20</v>
      </c>
      <c r="K1320" t="s">
        <v>79</v>
      </c>
      <c r="L1320">
        <v>6</v>
      </c>
      <c r="M1320">
        <v>93.399999999999991</v>
      </c>
      <c r="N1320">
        <v>1.2000000000000002</v>
      </c>
      <c r="O1320">
        <v>23</v>
      </c>
      <c r="Q1320">
        <v>92.199999999999989</v>
      </c>
      <c r="V1320">
        <v>0</v>
      </c>
      <c r="W1320">
        <v>0</v>
      </c>
      <c r="AF1320">
        <v>0</v>
      </c>
      <c r="AG1320">
        <v>0</v>
      </c>
      <c r="AH1320">
        <v>0</v>
      </c>
      <c r="AI1320">
        <v>12</v>
      </c>
      <c r="AJ1320">
        <v>12</v>
      </c>
      <c r="AM1320">
        <v>0</v>
      </c>
      <c r="AP1320">
        <v>37</v>
      </c>
    </row>
    <row r="1321" spans="1:42" x14ac:dyDescent="0.25">
      <c r="A1321" t="s">
        <v>45</v>
      </c>
      <c r="B1321">
        <v>2</v>
      </c>
      <c r="C1321" t="s">
        <v>566</v>
      </c>
      <c r="D1321" s="39">
        <v>45913</v>
      </c>
      <c r="E1321" t="s">
        <v>486</v>
      </c>
      <c r="F1321" t="s">
        <v>79</v>
      </c>
      <c r="G1321">
        <v>4</v>
      </c>
      <c r="H1321" t="s">
        <v>113</v>
      </c>
      <c r="I1321" t="s">
        <v>79</v>
      </c>
      <c r="J1321">
        <v>600</v>
      </c>
      <c r="K1321" t="s">
        <v>79</v>
      </c>
      <c r="L1321">
        <v>11</v>
      </c>
      <c r="M1321">
        <v>157.70999999999998</v>
      </c>
      <c r="N1321">
        <v>4.4000000000000004</v>
      </c>
      <c r="Q1321">
        <v>153.30999999999997</v>
      </c>
      <c r="S1321">
        <v>15</v>
      </c>
      <c r="V1321">
        <v>15</v>
      </c>
      <c r="W1321">
        <v>0.25</v>
      </c>
      <c r="AF1321">
        <v>0</v>
      </c>
      <c r="AG1321">
        <v>0</v>
      </c>
      <c r="AH1321">
        <v>0.25</v>
      </c>
      <c r="AI1321">
        <v>11.75</v>
      </c>
      <c r="AJ1321">
        <v>12</v>
      </c>
      <c r="AM1321">
        <v>0</v>
      </c>
      <c r="AP1321">
        <v>37</v>
      </c>
    </row>
    <row r="1322" spans="1:42" x14ac:dyDescent="0.25">
      <c r="A1322" t="s">
        <v>46</v>
      </c>
      <c r="B1322">
        <v>2</v>
      </c>
      <c r="C1322" t="s">
        <v>599</v>
      </c>
      <c r="D1322" s="39">
        <v>45913</v>
      </c>
      <c r="E1322" t="s">
        <v>486</v>
      </c>
      <c r="F1322" t="s">
        <v>79</v>
      </c>
      <c r="G1322">
        <v>5</v>
      </c>
      <c r="H1322" t="s">
        <v>92</v>
      </c>
      <c r="I1322" t="s">
        <v>79</v>
      </c>
      <c r="J1322">
        <v>400</v>
      </c>
      <c r="K1322" t="s">
        <v>79</v>
      </c>
      <c r="L1322">
        <v>3</v>
      </c>
      <c r="M1322">
        <v>47.53</v>
      </c>
      <c r="N1322">
        <v>1.5</v>
      </c>
      <c r="Q1322">
        <v>46.03</v>
      </c>
      <c r="V1322">
        <v>0</v>
      </c>
      <c r="W1322">
        <v>0</v>
      </c>
      <c r="AF1322">
        <v>0</v>
      </c>
      <c r="AG1322">
        <v>0</v>
      </c>
      <c r="AH1322">
        <v>0</v>
      </c>
      <c r="AI1322">
        <v>12</v>
      </c>
      <c r="AJ1322">
        <v>12</v>
      </c>
      <c r="AM1322">
        <v>0</v>
      </c>
      <c r="AP1322">
        <v>37</v>
      </c>
    </row>
    <row r="1323" spans="1:42" x14ac:dyDescent="0.25">
      <c r="A1323" t="s">
        <v>46</v>
      </c>
      <c r="B1323">
        <v>2</v>
      </c>
      <c r="C1323" t="s">
        <v>77</v>
      </c>
      <c r="D1323" s="39">
        <v>45913</v>
      </c>
      <c r="E1323" t="s">
        <v>194</v>
      </c>
      <c r="F1323" t="s">
        <v>79</v>
      </c>
      <c r="G1323">
        <v>3</v>
      </c>
      <c r="H1323" t="s">
        <v>92</v>
      </c>
      <c r="I1323" t="s">
        <v>79</v>
      </c>
      <c r="J1323" t="s">
        <v>81</v>
      </c>
      <c r="K1323" t="s">
        <v>79</v>
      </c>
      <c r="L1323">
        <v>9</v>
      </c>
      <c r="M1323">
        <v>83.61</v>
      </c>
      <c r="N1323">
        <v>2.6999999999999997</v>
      </c>
      <c r="Q1323">
        <v>80.91</v>
      </c>
      <c r="V1323">
        <v>0</v>
      </c>
      <c r="W1323">
        <v>0</v>
      </c>
      <c r="AF1323">
        <v>0</v>
      </c>
      <c r="AG1323">
        <v>0</v>
      </c>
      <c r="AH1323">
        <v>0</v>
      </c>
      <c r="AI1323">
        <v>12</v>
      </c>
      <c r="AJ1323">
        <v>12</v>
      </c>
      <c r="AM1323">
        <v>0</v>
      </c>
      <c r="AP1323">
        <v>37</v>
      </c>
    </row>
    <row r="1324" spans="1:42" x14ac:dyDescent="0.25">
      <c r="A1324" t="s">
        <v>45</v>
      </c>
      <c r="B1324">
        <v>4</v>
      </c>
      <c r="C1324" t="s">
        <v>591</v>
      </c>
      <c r="D1324" s="39">
        <v>45913</v>
      </c>
      <c r="E1324" t="s">
        <v>238</v>
      </c>
      <c r="F1324" t="s">
        <v>79</v>
      </c>
      <c r="G1324">
        <v>22</v>
      </c>
      <c r="H1324">
        <v>8</v>
      </c>
      <c r="I1324" t="s">
        <v>79</v>
      </c>
      <c r="J1324">
        <v>375</v>
      </c>
      <c r="K1324" t="s">
        <v>79</v>
      </c>
      <c r="L1324">
        <v>8</v>
      </c>
      <c r="M1324">
        <v>382.9</v>
      </c>
      <c r="N1324">
        <v>22.300000000000004</v>
      </c>
      <c r="Q1324">
        <v>360.59999999999997</v>
      </c>
      <c r="T1324">
        <v>60</v>
      </c>
      <c r="V1324">
        <v>60</v>
      </c>
      <c r="W1324">
        <v>1</v>
      </c>
      <c r="AF1324">
        <v>0</v>
      </c>
      <c r="AG1324">
        <v>0</v>
      </c>
      <c r="AH1324">
        <v>1</v>
      </c>
      <c r="AI1324">
        <v>11</v>
      </c>
      <c r="AJ1324">
        <v>12</v>
      </c>
      <c r="AM1324">
        <v>0</v>
      </c>
      <c r="AP1324">
        <v>37</v>
      </c>
    </row>
    <row r="1325" spans="1:42" x14ac:dyDescent="0.25">
      <c r="A1325" t="s">
        <v>45</v>
      </c>
      <c r="B1325">
        <v>4</v>
      </c>
      <c r="C1325" t="s">
        <v>526</v>
      </c>
      <c r="D1325" s="39">
        <v>45913</v>
      </c>
      <c r="E1325" t="s">
        <v>396</v>
      </c>
      <c r="F1325" t="s">
        <v>79</v>
      </c>
      <c r="G1325">
        <v>17</v>
      </c>
      <c r="H1325" t="s">
        <v>92</v>
      </c>
      <c r="I1325" t="s">
        <v>79</v>
      </c>
      <c r="J1325">
        <v>5000</v>
      </c>
      <c r="K1325" t="s">
        <v>79</v>
      </c>
      <c r="L1325">
        <v>6</v>
      </c>
      <c r="M1325">
        <v>337.63</v>
      </c>
      <c r="N1325">
        <v>12</v>
      </c>
      <c r="Q1325">
        <v>325.63</v>
      </c>
      <c r="V1325">
        <v>0</v>
      </c>
      <c r="W1325">
        <v>0</v>
      </c>
      <c r="AF1325">
        <v>0</v>
      </c>
      <c r="AG1325">
        <v>0</v>
      </c>
      <c r="AH1325">
        <v>0</v>
      </c>
      <c r="AI1325">
        <v>12</v>
      </c>
      <c r="AJ1325">
        <v>12</v>
      </c>
      <c r="AM1325">
        <v>0</v>
      </c>
      <c r="AP1325">
        <v>37</v>
      </c>
    </row>
    <row r="1326" spans="1:42" x14ac:dyDescent="0.25">
      <c r="A1326" t="s">
        <v>46</v>
      </c>
      <c r="B1326">
        <v>4</v>
      </c>
      <c r="C1326" t="s">
        <v>526</v>
      </c>
      <c r="D1326" s="39">
        <v>45913</v>
      </c>
      <c r="E1326" t="s">
        <v>396</v>
      </c>
      <c r="F1326" t="s">
        <v>79</v>
      </c>
      <c r="G1326">
        <v>17</v>
      </c>
      <c r="H1326" t="s">
        <v>92</v>
      </c>
      <c r="I1326" t="s">
        <v>79</v>
      </c>
      <c r="J1326">
        <v>5000</v>
      </c>
      <c r="K1326" t="s">
        <v>79</v>
      </c>
      <c r="L1326">
        <v>14</v>
      </c>
      <c r="M1326">
        <v>758.62</v>
      </c>
      <c r="N1326">
        <v>26</v>
      </c>
      <c r="Q1326">
        <v>732.62</v>
      </c>
      <c r="V1326">
        <v>0</v>
      </c>
      <c r="W1326">
        <v>0</v>
      </c>
      <c r="AF1326">
        <v>0</v>
      </c>
      <c r="AG1326">
        <v>0</v>
      </c>
      <c r="AH1326">
        <v>0</v>
      </c>
      <c r="AI1326">
        <v>12</v>
      </c>
      <c r="AJ1326">
        <v>12</v>
      </c>
      <c r="AM1326">
        <v>0</v>
      </c>
      <c r="AP1326">
        <v>37</v>
      </c>
    </row>
    <row r="1327" spans="1:42" x14ac:dyDescent="0.25">
      <c r="A1327" t="s">
        <v>45</v>
      </c>
      <c r="B1327">
        <v>3</v>
      </c>
      <c r="C1327" t="s">
        <v>581</v>
      </c>
      <c r="D1327" s="39">
        <v>45913</v>
      </c>
      <c r="E1327" t="s">
        <v>486</v>
      </c>
      <c r="F1327" t="s">
        <v>79</v>
      </c>
      <c r="G1327">
        <v>9</v>
      </c>
      <c r="H1327" t="s">
        <v>113</v>
      </c>
      <c r="I1327" t="s">
        <v>79</v>
      </c>
      <c r="J1327">
        <v>1500</v>
      </c>
      <c r="K1327" t="s">
        <v>79</v>
      </c>
      <c r="L1327">
        <v>5</v>
      </c>
      <c r="M1327">
        <v>116</v>
      </c>
      <c r="N1327">
        <v>4</v>
      </c>
      <c r="Q1327">
        <v>112</v>
      </c>
      <c r="S1327">
        <v>30</v>
      </c>
      <c r="V1327">
        <v>30</v>
      </c>
      <c r="W1327">
        <v>0.5</v>
      </c>
      <c r="AF1327">
        <v>0</v>
      </c>
      <c r="AG1327">
        <v>0</v>
      </c>
      <c r="AH1327">
        <v>0.5</v>
      </c>
      <c r="AI1327">
        <v>11.5</v>
      </c>
      <c r="AJ1327">
        <v>12</v>
      </c>
      <c r="AM1327">
        <v>0</v>
      </c>
      <c r="AP1327">
        <v>37</v>
      </c>
    </row>
    <row r="1328" spans="1:42" x14ac:dyDescent="0.25">
      <c r="A1328" t="s">
        <v>45</v>
      </c>
      <c r="B1328">
        <v>3</v>
      </c>
      <c r="C1328" t="s">
        <v>436</v>
      </c>
      <c r="D1328" s="39">
        <v>45913</v>
      </c>
      <c r="E1328" t="s">
        <v>282</v>
      </c>
      <c r="F1328" t="s">
        <v>79</v>
      </c>
      <c r="G1328">
        <v>9</v>
      </c>
      <c r="H1328">
        <v>5.5</v>
      </c>
      <c r="I1328" t="s">
        <v>79</v>
      </c>
      <c r="J1328">
        <v>50</v>
      </c>
      <c r="K1328" t="s">
        <v>79</v>
      </c>
      <c r="L1328">
        <v>2</v>
      </c>
      <c r="M1328">
        <v>52.56</v>
      </c>
      <c r="N1328">
        <v>1.8</v>
      </c>
      <c r="Q1328">
        <v>50.760000000000005</v>
      </c>
      <c r="V1328">
        <v>0</v>
      </c>
      <c r="W1328">
        <v>0</v>
      </c>
      <c r="AF1328">
        <v>0</v>
      </c>
      <c r="AG1328">
        <v>0</v>
      </c>
      <c r="AH1328">
        <v>0</v>
      </c>
      <c r="AI1328">
        <v>12</v>
      </c>
      <c r="AJ1328">
        <v>12</v>
      </c>
      <c r="AM1328">
        <v>0</v>
      </c>
      <c r="AP1328">
        <v>37</v>
      </c>
    </row>
    <row r="1329" spans="1:42" x14ac:dyDescent="0.25">
      <c r="A1329" t="s">
        <v>45</v>
      </c>
      <c r="B1329">
        <v>3</v>
      </c>
      <c r="C1329" t="s">
        <v>600</v>
      </c>
      <c r="D1329" s="39">
        <v>45913</v>
      </c>
      <c r="E1329" t="s">
        <v>596</v>
      </c>
      <c r="F1329" t="s">
        <v>79</v>
      </c>
      <c r="G1329">
        <v>8</v>
      </c>
      <c r="H1329">
        <v>10</v>
      </c>
      <c r="I1329" t="s">
        <v>79</v>
      </c>
      <c r="J1329">
        <v>50</v>
      </c>
      <c r="K1329" t="s">
        <v>79</v>
      </c>
      <c r="L1329">
        <v>2</v>
      </c>
      <c r="M1329">
        <v>57.22</v>
      </c>
      <c r="N1329">
        <v>1.8</v>
      </c>
      <c r="Q1329">
        <v>55.42</v>
      </c>
      <c r="V1329">
        <v>0</v>
      </c>
      <c r="W1329">
        <v>0</v>
      </c>
      <c r="AF1329">
        <v>0</v>
      </c>
      <c r="AG1329">
        <v>0</v>
      </c>
      <c r="AH1329">
        <v>0</v>
      </c>
      <c r="AI1329">
        <v>12</v>
      </c>
      <c r="AJ1329">
        <v>12</v>
      </c>
      <c r="AM1329">
        <v>0</v>
      </c>
      <c r="AP1329">
        <v>37</v>
      </c>
    </row>
    <row r="1330" spans="1:42" x14ac:dyDescent="0.25">
      <c r="A1330" t="s">
        <v>45</v>
      </c>
      <c r="B1330">
        <v>3</v>
      </c>
      <c r="C1330" t="s">
        <v>601</v>
      </c>
      <c r="D1330" s="39">
        <v>45913</v>
      </c>
      <c r="E1330" t="s">
        <v>486</v>
      </c>
      <c r="F1330" t="s">
        <v>79</v>
      </c>
      <c r="G1330">
        <v>8</v>
      </c>
      <c r="H1330">
        <v>5</v>
      </c>
      <c r="I1330" t="s">
        <v>79</v>
      </c>
      <c r="J1330">
        <v>1000</v>
      </c>
      <c r="K1330" t="s">
        <v>79</v>
      </c>
      <c r="L1330">
        <v>2</v>
      </c>
      <c r="M1330">
        <v>57.17</v>
      </c>
      <c r="N1330">
        <v>3</v>
      </c>
      <c r="Q1330">
        <v>54.17</v>
      </c>
      <c r="V1330">
        <v>0</v>
      </c>
      <c r="W1330">
        <v>0</v>
      </c>
      <c r="AF1330">
        <v>0</v>
      </c>
      <c r="AG1330">
        <v>0</v>
      </c>
      <c r="AH1330">
        <v>0</v>
      </c>
      <c r="AI1330">
        <v>12</v>
      </c>
      <c r="AJ1330">
        <v>12</v>
      </c>
      <c r="AM1330">
        <v>0</v>
      </c>
      <c r="AP1330">
        <v>37</v>
      </c>
    </row>
    <row r="1331" spans="1:42" x14ac:dyDescent="0.25">
      <c r="A1331" t="s">
        <v>46</v>
      </c>
      <c r="B1331">
        <v>3</v>
      </c>
      <c r="C1331" t="s">
        <v>601</v>
      </c>
      <c r="D1331" s="39">
        <v>45913</v>
      </c>
      <c r="E1331" t="s">
        <v>486</v>
      </c>
      <c r="F1331" t="s">
        <v>79</v>
      </c>
      <c r="G1331">
        <v>8</v>
      </c>
      <c r="H1331">
        <v>5</v>
      </c>
      <c r="I1331" t="s">
        <v>79</v>
      </c>
      <c r="J1331">
        <v>1000</v>
      </c>
      <c r="K1331" t="s">
        <v>79</v>
      </c>
      <c r="L1331">
        <v>9</v>
      </c>
      <c r="M1331">
        <v>341.94</v>
      </c>
      <c r="N1331">
        <v>8</v>
      </c>
      <c r="Q1331">
        <v>333.94</v>
      </c>
      <c r="V1331">
        <v>0</v>
      </c>
      <c r="W1331">
        <v>0</v>
      </c>
      <c r="AF1331">
        <v>0</v>
      </c>
      <c r="AG1331">
        <v>0</v>
      </c>
      <c r="AH1331">
        <v>0</v>
      </c>
      <c r="AI1331">
        <v>12</v>
      </c>
      <c r="AJ1331">
        <v>12</v>
      </c>
      <c r="AM1331">
        <v>0</v>
      </c>
      <c r="AP1331">
        <v>37</v>
      </c>
    </row>
    <row r="1332" spans="1:42" x14ac:dyDescent="0.25">
      <c r="A1332" t="s">
        <v>45</v>
      </c>
      <c r="B1332">
        <v>5</v>
      </c>
      <c r="C1332" t="s">
        <v>602</v>
      </c>
      <c r="D1332" s="39">
        <v>45913</v>
      </c>
      <c r="E1332" t="s">
        <v>486</v>
      </c>
      <c r="F1332" t="s">
        <v>79</v>
      </c>
      <c r="G1332">
        <v>10</v>
      </c>
      <c r="H1332">
        <v>5</v>
      </c>
      <c r="I1332" t="s">
        <v>79</v>
      </c>
      <c r="J1332">
        <v>1000</v>
      </c>
      <c r="K1332" t="s">
        <v>79</v>
      </c>
      <c r="L1332">
        <v>9</v>
      </c>
      <c r="M1332">
        <v>452.73000000000008</v>
      </c>
      <c r="N1332">
        <v>10.799999999999999</v>
      </c>
      <c r="Q1332">
        <v>441.93000000000006</v>
      </c>
      <c r="V1332">
        <v>0</v>
      </c>
      <c r="W1332">
        <v>0</v>
      </c>
      <c r="AF1332">
        <v>0</v>
      </c>
      <c r="AG1332">
        <v>0</v>
      </c>
      <c r="AH1332">
        <v>0</v>
      </c>
      <c r="AI1332">
        <v>12</v>
      </c>
      <c r="AJ1332">
        <v>12</v>
      </c>
      <c r="AM1332">
        <v>0</v>
      </c>
      <c r="AP1332">
        <v>37</v>
      </c>
    </row>
    <row r="1333" spans="1:42" x14ac:dyDescent="0.25">
      <c r="A1333" t="s">
        <v>46</v>
      </c>
      <c r="B1333">
        <v>5</v>
      </c>
      <c r="C1333" t="s">
        <v>602</v>
      </c>
      <c r="D1333" s="39">
        <v>45913</v>
      </c>
      <c r="E1333" t="s">
        <v>486</v>
      </c>
      <c r="F1333" t="s">
        <v>79</v>
      </c>
      <c r="G1333">
        <v>10</v>
      </c>
      <c r="H1333">
        <v>5</v>
      </c>
      <c r="I1333" t="s">
        <v>79</v>
      </c>
      <c r="J1333">
        <v>1000</v>
      </c>
      <c r="K1333" t="s">
        <v>79</v>
      </c>
      <c r="L1333">
        <v>11</v>
      </c>
      <c r="M1333">
        <v>495.02</v>
      </c>
      <c r="N1333">
        <v>12.100000000000001</v>
      </c>
      <c r="Q1333">
        <v>482.91999999999996</v>
      </c>
      <c r="V1333">
        <v>0</v>
      </c>
      <c r="W1333">
        <v>0</v>
      </c>
      <c r="AF1333">
        <v>0</v>
      </c>
      <c r="AG1333">
        <v>0</v>
      </c>
      <c r="AH1333">
        <v>0</v>
      </c>
      <c r="AI1333">
        <v>12</v>
      </c>
      <c r="AJ1333">
        <v>12</v>
      </c>
      <c r="AM1333">
        <v>0</v>
      </c>
      <c r="AP1333">
        <v>37</v>
      </c>
    </row>
    <row r="1334" spans="1:42" x14ac:dyDescent="0.25">
      <c r="A1334" t="s">
        <v>46</v>
      </c>
      <c r="B1334">
        <v>5</v>
      </c>
      <c r="C1334" t="s">
        <v>602</v>
      </c>
      <c r="D1334" s="39">
        <v>45912</v>
      </c>
      <c r="E1334" t="s">
        <v>486</v>
      </c>
      <c r="F1334" t="s">
        <v>79</v>
      </c>
      <c r="G1334">
        <v>10</v>
      </c>
      <c r="H1334">
        <v>5</v>
      </c>
      <c r="I1334" t="s">
        <v>79</v>
      </c>
      <c r="J1334">
        <v>1000</v>
      </c>
      <c r="K1334" t="s">
        <v>79</v>
      </c>
      <c r="L1334">
        <v>6</v>
      </c>
      <c r="M1334">
        <v>240.45999999999998</v>
      </c>
      <c r="N1334">
        <v>6.6000000000000005</v>
      </c>
      <c r="Q1334">
        <v>233.85999999999999</v>
      </c>
      <c r="V1334">
        <v>0</v>
      </c>
      <c r="W1334">
        <v>0</v>
      </c>
      <c r="AF1334">
        <v>0</v>
      </c>
      <c r="AG1334">
        <v>0</v>
      </c>
      <c r="AH1334">
        <v>0</v>
      </c>
      <c r="AI1334">
        <v>12</v>
      </c>
      <c r="AJ1334">
        <v>12</v>
      </c>
      <c r="AM1334">
        <v>0</v>
      </c>
      <c r="AP1334">
        <v>37</v>
      </c>
    </row>
    <row r="1335" spans="1:42" x14ac:dyDescent="0.25">
      <c r="A1335" t="s">
        <v>45</v>
      </c>
      <c r="B1335">
        <v>1</v>
      </c>
      <c r="C1335" t="s">
        <v>598</v>
      </c>
      <c r="D1335" s="39">
        <v>45914</v>
      </c>
      <c r="E1335" t="s">
        <v>486</v>
      </c>
      <c r="F1335" t="s">
        <v>79</v>
      </c>
      <c r="G1335">
        <v>2.5</v>
      </c>
      <c r="H1335" t="s">
        <v>92</v>
      </c>
      <c r="I1335" t="s">
        <v>79</v>
      </c>
      <c r="J1335">
        <v>20</v>
      </c>
      <c r="K1335" t="s">
        <v>79</v>
      </c>
      <c r="L1335">
        <v>5</v>
      </c>
      <c r="M1335">
        <v>98.78</v>
      </c>
      <c r="N1335">
        <v>1</v>
      </c>
      <c r="O1335">
        <v>21.5</v>
      </c>
      <c r="Q1335">
        <v>97.78</v>
      </c>
      <c r="V1335">
        <v>0</v>
      </c>
      <c r="W1335">
        <v>0</v>
      </c>
      <c r="AF1335">
        <v>0</v>
      </c>
      <c r="AG1335">
        <v>0</v>
      </c>
      <c r="AH1335">
        <v>0</v>
      </c>
      <c r="AI1335">
        <v>12</v>
      </c>
      <c r="AJ1335">
        <v>12</v>
      </c>
      <c r="AL1335">
        <v>2152</v>
      </c>
      <c r="AM1335">
        <v>0</v>
      </c>
      <c r="AN1335">
        <v>1850</v>
      </c>
      <c r="AP1335">
        <v>37</v>
      </c>
    </row>
    <row r="1336" spans="1:42" x14ac:dyDescent="0.25">
      <c r="A1336" t="s">
        <v>46</v>
      </c>
      <c r="B1336">
        <v>1</v>
      </c>
      <c r="C1336" t="s">
        <v>598</v>
      </c>
      <c r="D1336" s="39">
        <v>45914</v>
      </c>
      <c r="E1336" t="s">
        <v>486</v>
      </c>
      <c r="F1336" t="s">
        <v>79</v>
      </c>
      <c r="G1336">
        <v>2.5</v>
      </c>
      <c r="H1336" t="s">
        <v>92</v>
      </c>
      <c r="I1336" t="s">
        <v>79</v>
      </c>
      <c r="J1336">
        <v>20</v>
      </c>
      <c r="K1336" t="s">
        <v>79</v>
      </c>
      <c r="L1336">
        <v>5</v>
      </c>
      <c r="M1336">
        <v>88.679999999999993</v>
      </c>
      <c r="N1336">
        <v>1</v>
      </c>
      <c r="O1336">
        <v>19.5</v>
      </c>
      <c r="Q1336">
        <v>87.679999999999993</v>
      </c>
      <c r="V1336">
        <v>0</v>
      </c>
      <c r="W1336">
        <v>0</v>
      </c>
      <c r="AF1336">
        <v>0</v>
      </c>
      <c r="AG1336">
        <v>0</v>
      </c>
      <c r="AH1336">
        <v>0</v>
      </c>
      <c r="AI1336">
        <v>12</v>
      </c>
      <c r="AJ1336">
        <v>12</v>
      </c>
      <c r="AM1336">
        <v>0</v>
      </c>
      <c r="AN1336">
        <v>1850</v>
      </c>
      <c r="AP1336">
        <v>37</v>
      </c>
    </row>
    <row r="1337" spans="1:42" x14ac:dyDescent="0.25">
      <c r="A1337" t="s">
        <v>45</v>
      </c>
      <c r="B1337">
        <v>2</v>
      </c>
      <c r="C1337" t="s">
        <v>100</v>
      </c>
      <c r="D1337" s="39">
        <v>45914</v>
      </c>
      <c r="E1337" t="s">
        <v>194</v>
      </c>
      <c r="F1337" t="s">
        <v>79</v>
      </c>
      <c r="G1337">
        <v>2.5</v>
      </c>
      <c r="H1337" t="s">
        <v>92</v>
      </c>
      <c r="I1337" t="s">
        <v>79</v>
      </c>
      <c r="J1337" t="s">
        <v>81</v>
      </c>
      <c r="K1337" t="s">
        <v>79</v>
      </c>
      <c r="L1337">
        <v>3</v>
      </c>
      <c r="M1337">
        <v>33.659999999999997</v>
      </c>
      <c r="N1337">
        <v>0.89999999999999991</v>
      </c>
      <c r="Q1337">
        <v>32.76</v>
      </c>
      <c r="S1337">
        <v>10</v>
      </c>
      <c r="V1337">
        <v>10</v>
      </c>
      <c r="W1337">
        <v>0.16666666666666666</v>
      </c>
      <c r="Z1337">
        <v>60</v>
      </c>
      <c r="AF1337">
        <v>60</v>
      </c>
      <c r="AG1337">
        <v>1</v>
      </c>
      <c r="AH1337">
        <v>1.1666666666666667</v>
      </c>
      <c r="AI1337">
        <v>10.833333333333334</v>
      </c>
      <c r="AJ1337">
        <v>12</v>
      </c>
      <c r="AM1337">
        <v>0</v>
      </c>
      <c r="AP1337">
        <v>37</v>
      </c>
    </row>
    <row r="1338" spans="1:42" x14ac:dyDescent="0.25">
      <c r="A1338" t="s">
        <v>45</v>
      </c>
      <c r="B1338">
        <v>2</v>
      </c>
      <c r="C1338" t="s">
        <v>599</v>
      </c>
      <c r="D1338" s="39">
        <v>45914</v>
      </c>
      <c r="E1338" t="s">
        <v>486</v>
      </c>
      <c r="F1338" t="s">
        <v>79</v>
      </c>
      <c r="G1338">
        <v>5</v>
      </c>
      <c r="H1338" t="s">
        <v>92</v>
      </c>
      <c r="I1338" t="s">
        <v>79</v>
      </c>
      <c r="J1338">
        <v>400</v>
      </c>
      <c r="K1338" t="s">
        <v>79</v>
      </c>
      <c r="L1338">
        <v>7</v>
      </c>
      <c r="M1338">
        <v>106.8</v>
      </c>
      <c r="N1338">
        <v>3.5</v>
      </c>
      <c r="Q1338">
        <v>103.3</v>
      </c>
      <c r="V1338">
        <v>0</v>
      </c>
      <c r="W1338">
        <v>0</v>
      </c>
      <c r="AF1338">
        <v>0</v>
      </c>
      <c r="AG1338">
        <v>0</v>
      </c>
      <c r="AH1338">
        <v>0</v>
      </c>
      <c r="AI1338">
        <v>12</v>
      </c>
      <c r="AJ1338">
        <v>12</v>
      </c>
      <c r="AM1338">
        <v>0</v>
      </c>
      <c r="AP1338">
        <v>37</v>
      </c>
    </row>
    <row r="1339" spans="1:42" x14ac:dyDescent="0.25">
      <c r="A1339" t="s">
        <v>46</v>
      </c>
      <c r="B1339">
        <v>2</v>
      </c>
      <c r="C1339" t="s">
        <v>599</v>
      </c>
      <c r="D1339" s="39">
        <v>45914</v>
      </c>
      <c r="E1339" t="s">
        <v>486</v>
      </c>
      <c r="F1339" t="s">
        <v>79</v>
      </c>
      <c r="G1339">
        <v>5</v>
      </c>
      <c r="H1339" t="s">
        <v>92</v>
      </c>
      <c r="I1339" t="s">
        <v>79</v>
      </c>
      <c r="J1339">
        <v>400</v>
      </c>
      <c r="K1339" t="s">
        <v>79</v>
      </c>
      <c r="L1339">
        <v>10</v>
      </c>
      <c r="M1339">
        <v>195.74</v>
      </c>
      <c r="N1339">
        <v>5</v>
      </c>
      <c r="Q1339">
        <v>190.74</v>
      </c>
      <c r="V1339">
        <v>0</v>
      </c>
      <c r="W1339">
        <v>0</v>
      </c>
      <c r="AF1339">
        <v>0</v>
      </c>
      <c r="AG1339">
        <v>0</v>
      </c>
      <c r="AH1339">
        <v>0</v>
      </c>
      <c r="AI1339">
        <v>12</v>
      </c>
      <c r="AJ1339">
        <v>12</v>
      </c>
      <c r="AM1339">
        <v>0</v>
      </c>
      <c r="AP1339">
        <v>37</v>
      </c>
    </row>
    <row r="1340" spans="1:42" x14ac:dyDescent="0.25">
      <c r="A1340" t="s">
        <v>45</v>
      </c>
      <c r="B1340">
        <v>3</v>
      </c>
      <c r="C1340" t="s">
        <v>601</v>
      </c>
      <c r="D1340" s="39">
        <v>45914</v>
      </c>
      <c r="E1340" t="s">
        <v>486</v>
      </c>
      <c r="F1340" t="s">
        <v>79</v>
      </c>
      <c r="G1340">
        <v>8</v>
      </c>
      <c r="H1340">
        <v>5</v>
      </c>
      <c r="I1340" t="s">
        <v>79</v>
      </c>
      <c r="J1340">
        <v>1000</v>
      </c>
      <c r="K1340" t="s">
        <v>79</v>
      </c>
      <c r="L1340">
        <v>10</v>
      </c>
      <c r="M1340">
        <v>350.03000000000009</v>
      </c>
      <c r="N1340">
        <v>9</v>
      </c>
      <c r="Q1340">
        <v>341.03000000000009</v>
      </c>
      <c r="V1340">
        <v>0</v>
      </c>
      <c r="W1340">
        <v>0</v>
      </c>
      <c r="AF1340">
        <v>0</v>
      </c>
      <c r="AG1340">
        <v>0</v>
      </c>
      <c r="AH1340">
        <v>0</v>
      </c>
      <c r="AI1340">
        <v>12</v>
      </c>
      <c r="AJ1340">
        <v>12</v>
      </c>
      <c r="AM1340">
        <v>0</v>
      </c>
      <c r="AP1340">
        <v>37</v>
      </c>
    </row>
    <row r="1341" spans="1:42" x14ac:dyDescent="0.25">
      <c r="A1341" t="s">
        <v>46</v>
      </c>
      <c r="B1341">
        <v>3</v>
      </c>
      <c r="C1341" t="s">
        <v>601</v>
      </c>
      <c r="D1341" s="39">
        <v>45914</v>
      </c>
      <c r="E1341" t="s">
        <v>486</v>
      </c>
      <c r="F1341" t="s">
        <v>79</v>
      </c>
      <c r="G1341">
        <v>8</v>
      </c>
      <c r="H1341">
        <v>5</v>
      </c>
      <c r="I1341" t="s">
        <v>79</v>
      </c>
      <c r="J1341">
        <v>1000</v>
      </c>
      <c r="K1341" t="s">
        <v>79</v>
      </c>
      <c r="L1341">
        <v>8</v>
      </c>
      <c r="M1341">
        <v>316.07000000000005</v>
      </c>
      <c r="N1341">
        <v>7.2</v>
      </c>
      <c r="Q1341">
        <v>308.87000000000006</v>
      </c>
      <c r="V1341">
        <v>0</v>
      </c>
      <c r="W1341">
        <v>0</v>
      </c>
      <c r="AF1341">
        <v>0</v>
      </c>
      <c r="AG1341">
        <v>0</v>
      </c>
      <c r="AH1341">
        <v>0</v>
      </c>
      <c r="AI1341">
        <v>12</v>
      </c>
      <c r="AJ1341">
        <v>12</v>
      </c>
      <c r="AM1341">
        <v>0</v>
      </c>
      <c r="AP1341">
        <v>37</v>
      </c>
    </row>
    <row r="1342" spans="1:42" x14ac:dyDescent="0.25">
      <c r="A1342" t="s">
        <v>45</v>
      </c>
      <c r="B1342">
        <v>4</v>
      </c>
      <c r="C1342" t="s">
        <v>526</v>
      </c>
      <c r="D1342" s="39">
        <v>45914</v>
      </c>
      <c r="E1342" t="s">
        <v>396</v>
      </c>
      <c r="F1342" t="s">
        <v>79</v>
      </c>
      <c r="G1342">
        <v>17</v>
      </c>
      <c r="H1342" t="s">
        <v>92</v>
      </c>
      <c r="I1342" t="s">
        <v>79</v>
      </c>
      <c r="J1342">
        <v>5000</v>
      </c>
      <c r="K1342" t="s">
        <v>79</v>
      </c>
      <c r="L1342">
        <v>15</v>
      </c>
      <c r="M1342">
        <v>790.8599999999999</v>
      </c>
      <c r="N1342">
        <v>3.2</v>
      </c>
      <c r="Q1342">
        <v>787.65999999999985</v>
      </c>
      <c r="V1342">
        <v>0</v>
      </c>
      <c r="W1342">
        <v>0</v>
      </c>
      <c r="AF1342">
        <v>0</v>
      </c>
      <c r="AG1342">
        <v>0</v>
      </c>
      <c r="AH1342">
        <v>0</v>
      </c>
      <c r="AI1342">
        <v>12</v>
      </c>
      <c r="AJ1342">
        <v>12</v>
      </c>
      <c r="AM1342">
        <v>0</v>
      </c>
      <c r="AP1342">
        <v>37</v>
      </c>
    </row>
    <row r="1343" spans="1:42" x14ac:dyDescent="0.25">
      <c r="A1343" t="s">
        <v>46</v>
      </c>
      <c r="B1343">
        <v>4</v>
      </c>
      <c r="C1343" t="s">
        <v>526</v>
      </c>
      <c r="D1343" s="39">
        <v>45914</v>
      </c>
      <c r="E1343" t="s">
        <v>396</v>
      </c>
      <c r="F1343" t="s">
        <v>79</v>
      </c>
      <c r="G1343">
        <v>17</v>
      </c>
      <c r="H1343" t="s">
        <v>92</v>
      </c>
      <c r="I1343" t="s">
        <v>79</v>
      </c>
      <c r="J1343">
        <v>5000</v>
      </c>
      <c r="K1343" t="s">
        <v>79</v>
      </c>
      <c r="L1343">
        <v>14</v>
      </c>
      <c r="M1343">
        <v>796.69999999999993</v>
      </c>
      <c r="N1343">
        <v>27.549999999999997</v>
      </c>
      <c r="Q1343">
        <v>769.15</v>
      </c>
      <c r="V1343">
        <v>0</v>
      </c>
      <c r="W1343">
        <v>0</v>
      </c>
      <c r="AF1343">
        <v>0</v>
      </c>
      <c r="AG1343">
        <v>0</v>
      </c>
      <c r="AH1343">
        <v>0</v>
      </c>
      <c r="AI1343">
        <v>12</v>
      </c>
      <c r="AJ1343">
        <v>12</v>
      </c>
      <c r="AM1343">
        <v>0</v>
      </c>
      <c r="AP1343">
        <v>37</v>
      </c>
    </row>
    <row r="1344" spans="1:42" x14ac:dyDescent="0.25">
      <c r="A1344" t="s">
        <v>45</v>
      </c>
      <c r="B1344">
        <v>5</v>
      </c>
      <c r="C1344" t="s">
        <v>602</v>
      </c>
      <c r="D1344" s="39">
        <v>45914</v>
      </c>
      <c r="E1344" t="s">
        <v>486</v>
      </c>
      <c r="F1344" t="s">
        <v>79</v>
      </c>
      <c r="G1344">
        <v>10</v>
      </c>
      <c r="H1344">
        <v>5</v>
      </c>
      <c r="I1344" t="s">
        <v>79</v>
      </c>
      <c r="J1344">
        <v>1000</v>
      </c>
      <c r="K1344" t="s">
        <v>79</v>
      </c>
      <c r="L1344">
        <v>5</v>
      </c>
      <c r="M1344">
        <v>205.47000000000003</v>
      </c>
      <c r="N1344">
        <v>6.35</v>
      </c>
      <c r="Q1344">
        <v>199.12000000000003</v>
      </c>
      <c r="S1344">
        <v>20</v>
      </c>
      <c r="V1344">
        <v>20</v>
      </c>
      <c r="W1344">
        <v>0.33333333333333331</v>
      </c>
      <c r="AF1344">
        <v>0</v>
      </c>
      <c r="AG1344">
        <v>0</v>
      </c>
      <c r="AH1344">
        <v>0.33333333333333331</v>
      </c>
      <c r="AI1344">
        <v>11.666666666666666</v>
      </c>
      <c r="AJ1344">
        <v>12</v>
      </c>
      <c r="AM1344">
        <v>0</v>
      </c>
      <c r="AP1344">
        <v>37</v>
      </c>
    </row>
    <row r="1345" spans="1:42" x14ac:dyDescent="0.25">
      <c r="A1345" t="s">
        <v>45</v>
      </c>
      <c r="B1345">
        <v>5</v>
      </c>
      <c r="C1345" t="s">
        <v>603</v>
      </c>
      <c r="D1345" s="39">
        <v>45914</v>
      </c>
      <c r="E1345" t="s">
        <v>282</v>
      </c>
      <c r="F1345" t="s">
        <v>79</v>
      </c>
      <c r="G1345">
        <v>15</v>
      </c>
      <c r="H1345">
        <v>6.5</v>
      </c>
      <c r="I1345" t="s">
        <v>79</v>
      </c>
      <c r="J1345">
        <v>1000</v>
      </c>
      <c r="K1345" t="s">
        <v>79</v>
      </c>
      <c r="L1345">
        <v>10</v>
      </c>
      <c r="M1345">
        <v>377.18</v>
      </c>
      <c r="N1345">
        <v>17</v>
      </c>
      <c r="Q1345">
        <v>360.18</v>
      </c>
      <c r="V1345">
        <v>0</v>
      </c>
      <c r="W1345">
        <v>0</v>
      </c>
      <c r="AF1345">
        <v>0</v>
      </c>
      <c r="AG1345">
        <v>0</v>
      </c>
      <c r="AH1345">
        <v>0</v>
      </c>
      <c r="AI1345">
        <v>12</v>
      </c>
      <c r="AJ1345">
        <v>12</v>
      </c>
      <c r="AM1345">
        <v>0</v>
      </c>
      <c r="AP1345">
        <v>37</v>
      </c>
    </row>
    <row r="1346" spans="1:42" x14ac:dyDescent="0.25">
      <c r="A1346" t="s">
        <v>46</v>
      </c>
      <c r="B1346">
        <v>5</v>
      </c>
      <c r="C1346" t="s">
        <v>603</v>
      </c>
      <c r="D1346" s="39">
        <v>45914</v>
      </c>
      <c r="E1346" t="s">
        <v>282</v>
      </c>
      <c r="F1346" t="s">
        <v>79</v>
      </c>
      <c r="G1346">
        <v>15</v>
      </c>
      <c r="H1346">
        <v>6.5</v>
      </c>
      <c r="I1346" t="s">
        <v>79</v>
      </c>
      <c r="J1346">
        <v>1000</v>
      </c>
      <c r="K1346" t="s">
        <v>79</v>
      </c>
      <c r="L1346">
        <v>16</v>
      </c>
      <c r="M1346">
        <v>603.85</v>
      </c>
      <c r="N1346">
        <v>25.799999999999997</v>
      </c>
      <c r="Q1346">
        <v>578.05000000000007</v>
      </c>
      <c r="V1346">
        <v>0</v>
      </c>
      <c r="W1346">
        <v>0</v>
      </c>
      <c r="AF1346">
        <v>0</v>
      </c>
      <c r="AG1346">
        <v>0</v>
      </c>
      <c r="AH1346">
        <v>0</v>
      </c>
      <c r="AI1346">
        <v>12</v>
      </c>
      <c r="AJ1346">
        <v>12</v>
      </c>
      <c r="AM1346">
        <v>0</v>
      </c>
      <c r="AP1346">
        <v>37</v>
      </c>
    </row>
    <row r="1347" spans="1:42" x14ac:dyDescent="0.25">
      <c r="A1347" t="s">
        <v>45</v>
      </c>
      <c r="B1347">
        <v>1</v>
      </c>
      <c r="C1347" t="s">
        <v>598</v>
      </c>
      <c r="D1347" s="39">
        <v>45915</v>
      </c>
      <c r="E1347" t="s">
        <v>486</v>
      </c>
      <c r="F1347" t="s">
        <v>79</v>
      </c>
      <c r="G1347">
        <v>2.5</v>
      </c>
      <c r="H1347" t="s">
        <v>92</v>
      </c>
      <c r="I1347" t="s">
        <v>79</v>
      </c>
      <c r="J1347">
        <v>20</v>
      </c>
      <c r="K1347" t="s">
        <v>79</v>
      </c>
      <c r="L1347">
        <v>6</v>
      </c>
      <c r="M1347">
        <v>90.960000000000008</v>
      </c>
      <c r="N1347">
        <v>1.2000000000000002</v>
      </c>
      <c r="O1347">
        <v>22</v>
      </c>
      <c r="Q1347">
        <v>89.76</v>
      </c>
      <c r="V1347">
        <v>0</v>
      </c>
      <c r="W1347">
        <v>0</v>
      </c>
      <c r="AF1347">
        <v>0</v>
      </c>
      <c r="AG1347">
        <v>0</v>
      </c>
      <c r="AH1347">
        <v>0</v>
      </c>
      <c r="AI1347">
        <v>12</v>
      </c>
      <c r="AJ1347">
        <v>12</v>
      </c>
      <c r="AL1347">
        <v>1907</v>
      </c>
      <c r="AM1347">
        <v>0</v>
      </c>
      <c r="AN1347">
        <v>1800</v>
      </c>
    </row>
    <row r="1348" spans="1:42" x14ac:dyDescent="0.25">
      <c r="A1348" t="s">
        <v>46</v>
      </c>
      <c r="B1348">
        <v>1</v>
      </c>
      <c r="C1348" t="s">
        <v>598</v>
      </c>
      <c r="D1348" s="39">
        <v>45915</v>
      </c>
      <c r="E1348" t="s">
        <v>486</v>
      </c>
      <c r="F1348" t="s">
        <v>79</v>
      </c>
      <c r="G1348">
        <v>2.5</v>
      </c>
      <c r="H1348" t="s">
        <v>92</v>
      </c>
      <c r="I1348" t="s">
        <v>79</v>
      </c>
      <c r="J1348">
        <v>20</v>
      </c>
      <c r="K1348" t="s">
        <v>79</v>
      </c>
      <c r="L1348">
        <v>5</v>
      </c>
      <c r="M1348">
        <v>91.65</v>
      </c>
      <c r="N1348">
        <v>1</v>
      </c>
      <c r="O1348">
        <v>19</v>
      </c>
      <c r="Q1348">
        <v>90.65</v>
      </c>
      <c r="V1348">
        <v>0</v>
      </c>
      <c r="W1348">
        <v>0</v>
      </c>
      <c r="AF1348">
        <v>0</v>
      </c>
      <c r="AG1348">
        <v>0</v>
      </c>
      <c r="AH1348">
        <v>0</v>
      </c>
      <c r="AI1348">
        <v>12</v>
      </c>
      <c r="AJ1348">
        <v>12</v>
      </c>
      <c r="AM1348">
        <v>0</v>
      </c>
      <c r="AN1348">
        <v>1900</v>
      </c>
    </row>
    <row r="1349" spans="1:42" x14ac:dyDescent="0.25">
      <c r="A1349" t="s">
        <v>45</v>
      </c>
      <c r="B1349">
        <v>2</v>
      </c>
      <c r="C1349" t="s">
        <v>599</v>
      </c>
      <c r="D1349" s="39">
        <v>45915</v>
      </c>
      <c r="E1349" t="s">
        <v>486</v>
      </c>
      <c r="F1349" t="s">
        <v>79</v>
      </c>
      <c r="G1349">
        <v>5</v>
      </c>
      <c r="H1349" t="s">
        <v>92</v>
      </c>
      <c r="I1349" t="s">
        <v>79</v>
      </c>
      <c r="J1349">
        <v>400</v>
      </c>
      <c r="K1349" t="s">
        <v>79</v>
      </c>
      <c r="L1349">
        <v>10</v>
      </c>
      <c r="M1349">
        <v>169.62999999999997</v>
      </c>
      <c r="N1349">
        <v>5</v>
      </c>
      <c r="Q1349">
        <v>164.62999999999997</v>
      </c>
      <c r="V1349">
        <v>0</v>
      </c>
      <c r="W1349">
        <v>0</v>
      </c>
      <c r="AF1349">
        <v>0</v>
      </c>
      <c r="AG1349">
        <v>0</v>
      </c>
      <c r="AH1349">
        <v>0</v>
      </c>
      <c r="AI1349">
        <v>12</v>
      </c>
      <c r="AJ1349">
        <v>12</v>
      </c>
      <c r="AM1349">
        <v>0</v>
      </c>
    </row>
    <row r="1350" spans="1:42" x14ac:dyDescent="0.25">
      <c r="A1350" t="s">
        <v>46</v>
      </c>
      <c r="B1350">
        <v>2</v>
      </c>
      <c r="C1350" t="s">
        <v>599</v>
      </c>
      <c r="D1350" s="39">
        <v>45915</v>
      </c>
      <c r="E1350" t="s">
        <v>486</v>
      </c>
      <c r="F1350" t="s">
        <v>79</v>
      </c>
      <c r="G1350">
        <v>5</v>
      </c>
      <c r="H1350" t="s">
        <v>92</v>
      </c>
      <c r="I1350" t="s">
        <v>79</v>
      </c>
      <c r="J1350">
        <v>400</v>
      </c>
      <c r="K1350" t="s">
        <v>79</v>
      </c>
      <c r="L1350">
        <v>6</v>
      </c>
      <c r="M1350">
        <v>121.73</v>
      </c>
      <c r="N1350">
        <v>3</v>
      </c>
      <c r="Q1350">
        <v>118.73</v>
      </c>
      <c r="S1350">
        <v>15</v>
      </c>
      <c r="V1350">
        <v>15</v>
      </c>
      <c r="W1350">
        <v>0.25</v>
      </c>
      <c r="AF1350">
        <v>0</v>
      </c>
      <c r="AG1350">
        <v>0</v>
      </c>
      <c r="AH1350">
        <v>0.25</v>
      </c>
      <c r="AI1350">
        <v>11.75</v>
      </c>
      <c r="AJ1350">
        <v>12</v>
      </c>
      <c r="AM1350">
        <v>0</v>
      </c>
    </row>
    <row r="1351" spans="1:42" x14ac:dyDescent="0.25">
      <c r="A1351" t="s">
        <v>46</v>
      </c>
      <c r="B1351">
        <v>2</v>
      </c>
      <c r="C1351" t="s">
        <v>604</v>
      </c>
      <c r="D1351" s="39">
        <v>45915</v>
      </c>
      <c r="E1351" t="s">
        <v>596</v>
      </c>
      <c r="F1351" t="s">
        <v>79</v>
      </c>
      <c r="G1351">
        <v>5.5</v>
      </c>
      <c r="H1351">
        <v>10</v>
      </c>
      <c r="I1351" t="s">
        <v>79</v>
      </c>
      <c r="J1351">
        <v>75</v>
      </c>
      <c r="K1351" t="s">
        <v>79</v>
      </c>
      <c r="L1351">
        <v>4</v>
      </c>
      <c r="M1351">
        <v>67.91</v>
      </c>
      <c r="N1351">
        <v>2</v>
      </c>
      <c r="Q1351">
        <v>65.91</v>
      </c>
      <c r="V1351">
        <v>0</v>
      </c>
      <c r="W1351">
        <v>0</v>
      </c>
      <c r="AF1351">
        <v>0</v>
      </c>
      <c r="AG1351">
        <v>0</v>
      </c>
      <c r="AH1351">
        <v>0</v>
      </c>
      <c r="AI1351">
        <v>12</v>
      </c>
      <c r="AJ1351">
        <v>12</v>
      </c>
      <c r="AM1351">
        <v>0</v>
      </c>
    </row>
    <row r="1352" spans="1:42" x14ac:dyDescent="0.25">
      <c r="A1352" t="s">
        <v>45</v>
      </c>
      <c r="B1352">
        <v>3</v>
      </c>
      <c r="C1352" t="s">
        <v>601</v>
      </c>
      <c r="D1352" s="39">
        <v>45915</v>
      </c>
      <c r="E1352" t="s">
        <v>486</v>
      </c>
      <c r="F1352" t="s">
        <v>79</v>
      </c>
      <c r="G1352">
        <v>8</v>
      </c>
      <c r="H1352">
        <v>5</v>
      </c>
      <c r="I1352" t="s">
        <v>79</v>
      </c>
      <c r="J1352">
        <v>1000</v>
      </c>
      <c r="K1352" t="s">
        <v>79</v>
      </c>
      <c r="L1352">
        <v>9</v>
      </c>
      <c r="M1352">
        <v>323.01000000000005</v>
      </c>
      <c r="N1352">
        <v>7.2</v>
      </c>
      <c r="Q1352">
        <v>315.81000000000006</v>
      </c>
      <c r="V1352">
        <v>0</v>
      </c>
      <c r="W1352">
        <v>0</v>
      </c>
      <c r="AF1352">
        <v>0</v>
      </c>
      <c r="AG1352">
        <v>0</v>
      </c>
      <c r="AH1352">
        <v>0</v>
      </c>
      <c r="AI1352">
        <v>12</v>
      </c>
      <c r="AJ1352">
        <v>12</v>
      </c>
      <c r="AM1352">
        <v>0</v>
      </c>
    </row>
    <row r="1353" spans="1:42" x14ac:dyDescent="0.25">
      <c r="A1353" t="s">
        <v>46</v>
      </c>
      <c r="B1353">
        <v>3</v>
      </c>
      <c r="C1353" t="s">
        <v>601</v>
      </c>
      <c r="D1353" s="39">
        <v>45915</v>
      </c>
      <c r="E1353" t="s">
        <v>486</v>
      </c>
      <c r="F1353" t="s">
        <v>79</v>
      </c>
      <c r="G1353">
        <v>8</v>
      </c>
      <c r="H1353">
        <v>5</v>
      </c>
      <c r="I1353" t="s">
        <v>79</v>
      </c>
      <c r="J1353">
        <v>1000</v>
      </c>
      <c r="K1353" t="s">
        <v>79</v>
      </c>
      <c r="L1353">
        <v>4</v>
      </c>
      <c r="M1353">
        <v>167.74</v>
      </c>
      <c r="N1353">
        <v>3.6</v>
      </c>
      <c r="Q1353">
        <v>164.14000000000001</v>
      </c>
      <c r="S1353">
        <v>20</v>
      </c>
      <c r="V1353">
        <v>20</v>
      </c>
      <c r="W1353">
        <v>0.33333333333333331</v>
      </c>
      <c r="AF1353">
        <v>0</v>
      </c>
      <c r="AG1353">
        <v>0</v>
      </c>
      <c r="AH1353">
        <v>0.33333333333333331</v>
      </c>
      <c r="AI1353">
        <v>11.666666666666666</v>
      </c>
      <c r="AJ1353">
        <v>12</v>
      </c>
      <c r="AM1353">
        <v>0</v>
      </c>
    </row>
    <row r="1354" spans="1:42" x14ac:dyDescent="0.25">
      <c r="A1354" t="s">
        <v>46</v>
      </c>
      <c r="B1354">
        <v>3</v>
      </c>
      <c r="C1354" t="s">
        <v>605</v>
      </c>
      <c r="D1354" s="39">
        <v>45915</v>
      </c>
      <c r="E1354" t="s">
        <v>606</v>
      </c>
      <c r="F1354" t="s">
        <v>79</v>
      </c>
      <c r="G1354">
        <v>8</v>
      </c>
      <c r="H1354">
        <v>10</v>
      </c>
      <c r="I1354" t="s">
        <v>79</v>
      </c>
      <c r="J1354">
        <v>100</v>
      </c>
      <c r="K1354" t="s">
        <v>79</v>
      </c>
      <c r="L1354">
        <v>4</v>
      </c>
      <c r="M1354">
        <v>110.92</v>
      </c>
      <c r="N1354">
        <v>3.2</v>
      </c>
      <c r="Q1354">
        <v>107.72</v>
      </c>
      <c r="V1354">
        <v>0</v>
      </c>
      <c r="W1354">
        <v>0</v>
      </c>
      <c r="AF1354">
        <v>0</v>
      </c>
      <c r="AG1354">
        <v>0</v>
      </c>
      <c r="AH1354">
        <v>0</v>
      </c>
      <c r="AI1354">
        <v>12</v>
      </c>
      <c r="AJ1354">
        <v>12</v>
      </c>
      <c r="AM1354">
        <v>0</v>
      </c>
    </row>
    <row r="1355" spans="1:42" x14ac:dyDescent="0.25">
      <c r="A1355" t="s">
        <v>46</v>
      </c>
      <c r="B1355">
        <v>3</v>
      </c>
      <c r="C1355" t="s">
        <v>607</v>
      </c>
      <c r="D1355" s="39">
        <v>45915</v>
      </c>
      <c r="E1355" t="s">
        <v>486</v>
      </c>
      <c r="F1355" t="s">
        <v>79</v>
      </c>
      <c r="G1355">
        <v>7</v>
      </c>
      <c r="H1355">
        <v>5</v>
      </c>
      <c r="I1355" t="s">
        <v>79</v>
      </c>
      <c r="J1355">
        <v>800</v>
      </c>
      <c r="K1355" t="s">
        <v>79</v>
      </c>
      <c r="L1355">
        <v>1</v>
      </c>
      <c r="M1355">
        <v>32.85</v>
      </c>
      <c r="N1355">
        <v>0.7</v>
      </c>
      <c r="Q1355">
        <v>32.15</v>
      </c>
      <c r="V1355">
        <v>0</v>
      </c>
      <c r="W1355">
        <v>0</v>
      </c>
      <c r="AF1355">
        <v>0</v>
      </c>
      <c r="AG1355">
        <v>0</v>
      </c>
      <c r="AH1355">
        <v>0</v>
      </c>
      <c r="AI1355">
        <v>12</v>
      </c>
      <c r="AJ1355">
        <v>12</v>
      </c>
      <c r="AM1355">
        <v>0</v>
      </c>
    </row>
    <row r="1356" spans="1:42" x14ac:dyDescent="0.25">
      <c r="A1356" t="s">
        <v>45</v>
      </c>
      <c r="B1356">
        <v>4</v>
      </c>
      <c r="C1356" t="s">
        <v>526</v>
      </c>
      <c r="D1356" s="39">
        <v>45915</v>
      </c>
      <c r="E1356" t="s">
        <v>396</v>
      </c>
      <c r="F1356" t="s">
        <v>79</v>
      </c>
      <c r="G1356">
        <v>17</v>
      </c>
      <c r="H1356" t="s">
        <v>92</v>
      </c>
      <c r="I1356" t="s">
        <v>79</v>
      </c>
      <c r="J1356">
        <v>5000</v>
      </c>
      <c r="K1356" t="s">
        <v>79</v>
      </c>
      <c r="L1356">
        <v>5</v>
      </c>
      <c r="M1356">
        <v>268.68</v>
      </c>
      <c r="N1356">
        <v>10</v>
      </c>
      <c r="Q1356">
        <v>258.68</v>
      </c>
      <c r="V1356">
        <v>0</v>
      </c>
      <c r="W1356">
        <v>0</v>
      </c>
      <c r="AF1356">
        <v>0</v>
      </c>
      <c r="AG1356">
        <v>0</v>
      </c>
      <c r="AH1356">
        <v>0</v>
      </c>
      <c r="AI1356">
        <v>12</v>
      </c>
      <c r="AJ1356">
        <v>12</v>
      </c>
      <c r="AM1356">
        <v>0</v>
      </c>
    </row>
    <row r="1357" spans="1:42" x14ac:dyDescent="0.25">
      <c r="A1357" t="s">
        <v>45</v>
      </c>
      <c r="B1357">
        <v>4</v>
      </c>
      <c r="C1357" t="s">
        <v>608</v>
      </c>
      <c r="D1357" s="39">
        <v>45915</v>
      </c>
      <c r="E1357" t="s">
        <v>442</v>
      </c>
      <c r="F1357" t="s">
        <v>79</v>
      </c>
      <c r="G1357">
        <v>19</v>
      </c>
      <c r="H1357">
        <v>7</v>
      </c>
      <c r="I1357" t="s">
        <v>79</v>
      </c>
      <c r="J1357">
        <v>100</v>
      </c>
      <c r="K1357" t="s">
        <v>79</v>
      </c>
      <c r="L1357">
        <v>5</v>
      </c>
      <c r="M1357">
        <v>202.23000000000002</v>
      </c>
      <c r="N1357">
        <v>10.5</v>
      </c>
      <c r="Q1357">
        <v>191.73000000000002</v>
      </c>
      <c r="V1357">
        <v>0</v>
      </c>
      <c r="W1357">
        <v>0</v>
      </c>
      <c r="AF1357">
        <v>0</v>
      </c>
      <c r="AG1357">
        <v>0</v>
      </c>
      <c r="AH1357">
        <v>0</v>
      </c>
      <c r="AI1357">
        <v>12</v>
      </c>
      <c r="AJ1357">
        <v>12</v>
      </c>
      <c r="AM1357">
        <v>0</v>
      </c>
    </row>
    <row r="1358" spans="1:42" x14ac:dyDescent="0.25">
      <c r="A1358" t="s">
        <v>45</v>
      </c>
      <c r="B1358">
        <v>4</v>
      </c>
      <c r="C1358" t="s">
        <v>609</v>
      </c>
      <c r="D1358" s="39">
        <v>45915</v>
      </c>
      <c r="E1358" t="s">
        <v>610</v>
      </c>
      <c r="F1358" t="s">
        <v>79</v>
      </c>
      <c r="G1358">
        <v>19</v>
      </c>
      <c r="H1358" t="s">
        <v>98</v>
      </c>
      <c r="I1358" t="s">
        <v>79</v>
      </c>
      <c r="J1358">
        <v>100</v>
      </c>
      <c r="K1358" t="s">
        <v>79</v>
      </c>
      <c r="L1358">
        <v>3</v>
      </c>
      <c r="M1358">
        <v>99.6</v>
      </c>
      <c r="N1358">
        <v>6.3000000000000007</v>
      </c>
      <c r="Q1358">
        <v>93.3</v>
      </c>
      <c r="V1358">
        <v>0</v>
      </c>
      <c r="W1358">
        <v>0</v>
      </c>
      <c r="AF1358">
        <v>0</v>
      </c>
      <c r="AG1358">
        <v>0</v>
      </c>
      <c r="AH1358">
        <v>0</v>
      </c>
      <c r="AI1358">
        <v>12</v>
      </c>
      <c r="AJ1358">
        <v>12</v>
      </c>
      <c r="AM1358">
        <v>0</v>
      </c>
    </row>
    <row r="1359" spans="1:42" x14ac:dyDescent="0.25">
      <c r="A1359" t="s">
        <v>45</v>
      </c>
      <c r="B1359">
        <v>4</v>
      </c>
      <c r="C1359" t="s">
        <v>611</v>
      </c>
      <c r="D1359" s="39">
        <v>45915</v>
      </c>
      <c r="E1359" t="s">
        <v>563</v>
      </c>
      <c r="F1359" t="s">
        <v>79</v>
      </c>
      <c r="G1359">
        <v>17</v>
      </c>
      <c r="H1359" t="s">
        <v>353</v>
      </c>
      <c r="I1359" t="s">
        <v>79</v>
      </c>
      <c r="J1359">
        <v>2000</v>
      </c>
      <c r="K1359" t="s">
        <v>79</v>
      </c>
      <c r="L1359">
        <v>3</v>
      </c>
      <c r="M1359">
        <v>109.99000000000001</v>
      </c>
      <c r="N1359">
        <v>6</v>
      </c>
      <c r="Q1359">
        <v>103.99000000000001</v>
      </c>
      <c r="V1359">
        <v>0</v>
      </c>
      <c r="W1359">
        <v>0</v>
      </c>
      <c r="AF1359">
        <v>0</v>
      </c>
      <c r="AG1359">
        <v>0</v>
      </c>
      <c r="AH1359">
        <v>0</v>
      </c>
      <c r="AI1359">
        <v>12</v>
      </c>
      <c r="AJ1359">
        <v>12</v>
      </c>
      <c r="AM1359">
        <v>0</v>
      </c>
    </row>
    <row r="1360" spans="1:42" x14ac:dyDescent="0.25">
      <c r="A1360" t="s">
        <v>46</v>
      </c>
      <c r="B1360">
        <v>4</v>
      </c>
      <c r="C1360" t="s">
        <v>611</v>
      </c>
      <c r="D1360" s="39">
        <v>45915</v>
      </c>
      <c r="E1360" t="s">
        <v>563</v>
      </c>
      <c r="F1360" t="s">
        <v>79</v>
      </c>
      <c r="G1360">
        <v>17</v>
      </c>
      <c r="H1360" t="s">
        <v>353</v>
      </c>
      <c r="I1360" t="s">
        <v>79</v>
      </c>
      <c r="J1360">
        <v>2000</v>
      </c>
      <c r="K1360" t="s">
        <v>79</v>
      </c>
      <c r="L1360">
        <v>16</v>
      </c>
      <c r="M1360">
        <v>857.38000000000011</v>
      </c>
      <c r="N1360">
        <v>30.4</v>
      </c>
      <c r="Q1360">
        <v>826.98000000000013</v>
      </c>
      <c r="V1360">
        <v>0</v>
      </c>
      <c r="W1360">
        <v>0</v>
      </c>
      <c r="AF1360">
        <v>0</v>
      </c>
      <c r="AG1360">
        <v>0</v>
      </c>
      <c r="AH1360">
        <v>0</v>
      </c>
      <c r="AI1360">
        <v>12</v>
      </c>
      <c r="AJ1360">
        <v>12</v>
      </c>
      <c r="AM1360">
        <v>0</v>
      </c>
    </row>
    <row r="1361" spans="1:40" x14ac:dyDescent="0.25">
      <c r="A1361" t="s">
        <v>45</v>
      </c>
      <c r="B1361">
        <v>5</v>
      </c>
      <c r="C1361" t="s">
        <v>603</v>
      </c>
      <c r="D1361" s="39">
        <v>45915</v>
      </c>
      <c r="E1361" t="s">
        <v>282</v>
      </c>
      <c r="F1361" t="s">
        <v>79</v>
      </c>
      <c r="G1361">
        <v>15</v>
      </c>
      <c r="H1361">
        <v>6.5</v>
      </c>
      <c r="I1361" t="s">
        <v>79</v>
      </c>
      <c r="J1361">
        <v>1000</v>
      </c>
      <c r="K1361" t="s">
        <v>79</v>
      </c>
      <c r="L1361">
        <v>1</v>
      </c>
      <c r="M1361">
        <v>38.869999999999997</v>
      </c>
      <c r="N1361">
        <v>1.22</v>
      </c>
      <c r="Q1361">
        <v>37.65</v>
      </c>
      <c r="S1361">
        <v>50</v>
      </c>
      <c r="V1361">
        <v>50</v>
      </c>
      <c r="W1361">
        <v>0.83333333333333348</v>
      </c>
      <c r="AF1361">
        <v>0</v>
      </c>
      <c r="AG1361">
        <v>0</v>
      </c>
      <c r="AH1361">
        <v>0.83333333333333348</v>
      </c>
      <c r="AI1361">
        <v>11.166666666666666</v>
      </c>
      <c r="AJ1361">
        <v>12</v>
      </c>
      <c r="AM1361">
        <v>0</v>
      </c>
    </row>
    <row r="1362" spans="1:40" x14ac:dyDescent="0.25">
      <c r="A1362" t="s">
        <v>45</v>
      </c>
      <c r="B1362">
        <v>5</v>
      </c>
      <c r="C1362" t="s">
        <v>612</v>
      </c>
      <c r="D1362" s="39">
        <v>45915</v>
      </c>
      <c r="E1362" t="s">
        <v>486</v>
      </c>
      <c r="F1362" t="s">
        <v>79</v>
      </c>
      <c r="G1362">
        <v>11</v>
      </c>
      <c r="H1362" t="s">
        <v>113</v>
      </c>
      <c r="I1362" t="s">
        <v>79</v>
      </c>
      <c r="J1362">
        <v>1000</v>
      </c>
      <c r="K1362" t="s">
        <v>79</v>
      </c>
      <c r="L1362">
        <v>10</v>
      </c>
      <c r="M1362">
        <v>481.34999999999997</v>
      </c>
      <c r="N1362">
        <v>13</v>
      </c>
      <c r="Q1362">
        <v>468.34999999999997</v>
      </c>
      <c r="S1362">
        <v>20</v>
      </c>
      <c r="V1362">
        <v>20</v>
      </c>
      <c r="W1362">
        <v>0.33333333333333331</v>
      </c>
      <c r="AF1362">
        <v>0</v>
      </c>
      <c r="AG1362">
        <v>0</v>
      </c>
      <c r="AH1362">
        <v>0.33333333333333331</v>
      </c>
      <c r="AI1362">
        <v>11.666666666666666</v>
      </c>
      <c r="AJ1362">
        <v>12</v>
      </c>
      <c r="AM1362">
        <v>0</v>
      </c>
    </row>
    <row r="1363" spans="1:40" x14ac:dyDescent="0.25">
      <c r="A1363" t="s">
        <v>46</v>
      </c>
      <c r="B1363">
        <v>5</v>
      </c>
      <c r="C1363" t="s">
        <v>612</v>
      </c>
      <c r="D1363" s="39">
        <v>45915</v>
      </c>
      <c r="E1363" t="s">
        <v>486</v>
      </c>
      <c r="F1363" t="s">
        <v>79</v>
      </c>
      <c r="G1363">
        <v>11</v>
      </c>
      <c r="H1363" t="s">
        <v>113</v>
      </c>
      <c r="I1363" t="s">
        <v>79</v>
      </c>
      <c r="J1363">
        <v>1000</v>
      </c>
      <c r="K1363" t="s">
        <v>79</v>
      </c>
      <c r="L1363">
        <v>9</v>
      </c>
      <c r="M1363">
        <v>459.49</v>
      </c>
      <c r="N1363">
        <v>12.6</v>
      </c>
      <c r="Q1363">
        <v>446.89</v>
      </c>
      <c r="V1363">
        <v>0</v>
      </c>
      <c r="W1363">
        <v>0</v>
      </c>
      <c r="AF1363">
        <v>0</v>
      </c>
      <c r="AG1363">
        <v>0</v>
      </c>
      <c r="AH1363">
        <v>0</v>
      </c>
      <c r="AI1363">
        <v>12</v>
      </c>
      <c r="AJ1363">
        <v>12</v>
      </c>
      <c r="AM1363">
        <v>0</v>
      </c>
    </row>
    <row r="1364" spans="1:40" x14ac:dyDescent="0.25">
      <c r="A1364" t="s">
        <v>45</v>
      </c>
      <c r="B1364">
        <v>1</v>
      </c>
      <c r="C1364" t="s">
        <v>598</v>
      </c>
      <c r="D1364" s="39">
        <v>45916</v>
      </c>
      <c r="E1364" t="s">
        <v>486</v>
      </c>
      <c r="F1364" t="s">
        <v>79</v>
      </c>
      <c r="G1364">
        <v>2.5</v>
      </c>
      <c r="H1364" t="s">
        <v>92</v>
      </c>
      <c r="I1364" t="s">
        <v>79</v>
      </c>
      <c r="J1364">
        <v>20</v>
      </c>
      <c r="K1364" t="s">
        <v>79</v>
      </c>
      <c r="L1364">
        <v>7</v>
      </c>
      <c r="M1364">
        <v>84.16</v>
      </c>
      <c r="N1364">
        <v>1.4000000000000001</v>
      </c>
      <c r="O1364">
        <v>22.5</v>
      </c>
      <c r="Q1364">
        <v>82.759999999999991</v>
      </c>
      <c r="V1364">
        <v>0</v>
      </c>
      <c r="W1364">
        <v>0</v>
      </c>
      <c r="AF1364">
        <v>0</v>
      </c>
      <c r="AG1364">
        <v>0</v>
      </c>
      <c r="AH1364">
        <v>0</v>
      </c>
      <c r="AI1364">
        <v>12</v>
      </c>
      <c r="AJ1364">
        <v>12</v>
      </c>
      <c r="AL1364">
        <v>2011.5</v>
      </c>
      <c r="AM1364">
        <v>0</v>
      </c>
      <c r="AN1364">
        <v>1950</v>
      </c>
    </row>
    <row r="1365" spans="1:40" x14ac:dyDescent="0.25">
      <c r="A1365" t="s">
        <v>46</v>
      </c>
      <c r="B1365">
        <v>1</v>
      </c>
      <c r="C1365" t="s">
        <v>598</v>
      </c>
      <c r="D1365" s="39">
        <v>45916</v>
      </c>
      <c r="E1365" t="s">
        <v>486</v>
      </c>
      <c r="F1365" t="s">
        <v>79</v>
      </c>
      <c r="G1365">
        <v>2.5</v>
      </c>
      <c r="H1365" t="s">
        <v>92</v>
      </c>
      <c r="I1365" t="s">
        <v>79</v>
      </c>
      <c r="J1365">
        <v>20</v>
      </c>
      <c r="K1365" t="s">
        <v>79</v>
      </c>
      <c r="L1365">
        <v>8</v>
      </c>
      <c r="M1365">
        <v>94.48</v>
      </c>
      <c r="N1365">
        <v>1.6</v>
      </c>
      <c r="O1365">
        <v>40.5</v>
      </c>
      <c r="Q1365">
        <v>92.88000000000001</v>
      </c>
      <c r="V1365">
        <v>0</v>
      </c>
      <c r="W1365">
        <v>0</v>
      </c>
      <c r="AF1365">
        <v>0</v>
      </c>
      <c r="AG1365">
        <v>0</v>
      </c>
      <c r="AH1365">
        <v>0</v>
      </c>
      <c r="AI1365">
        <v>12</v>
      </c>
      <c r="AJ1365">
        <v>12</v>
      </c>
      <c r="AM1365">
        <v>0</v>
      </c>
      <c r="AN1365">
        <v>1950</v>
      </c>
    </row>
    <row r="1366" spans="1:40" x14ac:dyDescent="0.25">
      <c r="A1366" t="s">
        <v>45</v>
      </c>
      <c r="B1366">
        <v>2</v>
      </c>
      <c r="C1366" t="s">
        <v>613</v>
      </c>
      <c r="D1366" s="39">
        <v>45916</v>
      </c>
      <c r="E1366" t="s">
        <v>486</v>
      </c>
      <c r="F1366" t="s">
        <v>79</v>
      </c>
      <c r="G1366">
        <v>3</v>
      </c>
      <c r="H1366" t="s">
        <v>92</v>
      </c>
      <c r="I1366" t="s">
        <v>79</v>
      </c>
      <c r="J1366">
        <v>250</v>
      </c>
      <c r="K1366" t="s">
        <v>79</v>
      </c>
      <c r="L1366">
        <v>8</v>
      </c>
      <c r="M1366">
        <v>124.69</v>
      </c>
      <c r="N1366">
        <v>2.4</v>
      </c>
      <c r="Q1366">
        <v>122.28999999999999</v>
      </c>
      <c r="V1366">
        <v>0</v>
      </c>
      <c r="W1366">
        <v>0</v>
      </c>
      <c r="AF1366">
        <v>0</v>
      </c>
      <c r="AG1366">
        <v>0</v>
      </c>
      <c r="AH1366">
        <v>0</v>
      </c>
      <c r="AI1366">
        <v>12</v>
      </c>
      <c r="AJ1366">
        <v>12</v>
      </c>
      <c r="AM1366">
        <v>0</v>
      </c>
    </row>
    <row r="1367" spans="1:40" x14ac:dyDescent="0.25">
      <c r="A1367" t="s">
        <v>46</v>
      </c>
      <c r="B1367">
        <v>2</v>
      </c>
      <c r="C1367" t="s">
        <v>613</v>
      </c>
      <c r="D1367" s="39">
        <v>45916</v>
      </c>
      <c r="E1367" t="s">
        <v>486</v>
      </c>
      <c r="F1367" t="s">
        <v>79</v>
      </c>
      <c r="G1367">
        <v>3</v>
      </c>
      <c r="H1367" t="s">
        <v>92</v>
      </c>
      <c r="I1367" t="s">
        <v>79</v>
      </c>
      <c r="J1367">
        <v>250</v>
      </c>
      <c r="K1367" t="s">
        <v>79</v>
      </c>
      <c r="L1367">
        <v>8</v>
      </c>
      <c r="M1367">
        <v>144.05000000000001</v>
      </c>
      <c r="N1367">
        <v>2.4</v>
      </c>
      <c r="Q1367">
        <v>141.65</v>
      </c>
      <c r="V1367">
        <v>0</v>
      </c>
      <c r="W1367">
        <v>0</v>
      </c>
      <c r="AF1367">
        <v>0</v>
      </c>
      <c r="AG1367">
        <v>0</v>
      </c>
      <c r="AH1367">
        <v>0</v>
      </c>
      <c r="AI1367">
        <v>12</v>
      </c>
      <c r="AJ1367">
        <v>12</v>
      </c>
      <c r="AM1367">
        <v>0</v>
      </c>
    </row>
    <row r="1368" spans="1:40" x14ac:dyDescent="0.25">
      <c r="A1368" t="s">
        <v>45</v>
      </c>
      <c r="B1368">
        <v>3</v>
      </c>
      <c r="C1368" t="s">
        <v>607</v>
      </c>
      <c r="D1368" s="39">
        <v>45916</v>
      </c>
      <c r="E1368" t="s">
        <v>486</v>
      </c>
      <c r="F1368" t="s">
        <v>79</v>
      </c>
      <c r="G1368">
        <v>7</v>
      </c>
      <c r="H1368">
        <v>5</v>
      </c>
      <c r="I1368" t="s">
        <v>79</v>
      </c>
      <c r="J1368">
        <v>800</v>
      </c>
      <c r="K1368" t="s">
        <v>79</v>
      </c>
      <c r="L1368">
        <v>10</v>
      </c>
      <c r="M1368">
        <v>274.42999999999995</v>
      </c>
      <c r="N1368">
        <v>7</v>
      </c>
      <c r="Q1368">
        <v>267.42999999999995</v>
      </c>
      <c r="V1368">
        <v>0</v>
      </c>
      <c r="W1368">
        <v>0</v>
      </c>
      <c r="AF1368">
        <v>0</v>
      </c>
      <c r="AG1368">
        <v>0</v>
      </c>
      <c r="AH1368">
        <v>0</v>
      </c>
      <c r="AI1368">
        <v>12</v>
      </c>
      <c r="AJ1368">
        <v>12</v>
      </c>
      <c r="AM1368">
        <v>0</v>
      </c>
    </row>
    <row r="1369" spans="1:40" x14ac:dyDescent="0.25">
      <c r="A1369" t="s">
        <v>46</v>
      </c>
      <c r="B1369">
        <v>3</v>
      </c>
      <c r="C1369" t="s">
        <v>607</v>
      </c>
      <c r="D1369" s="39">
        <v>45916</v>
      </c>
      <c r="E1369" t="s">
        <v>486</v>
      </c>
      <c r="F1369" t="s">
        <v>79</v>
      </c>
      <c r="G1369">
        <v>7</v>
      </c>
      <c r="H1369">
        <v>5</v>
      </c>
      <c r="I1369" t="s">
        <v>79</v>
      </c>
      <c r="J1369">
        <v>800</v>
      </c>
      <c r="K1369" t="s">
        <v>79</v>
      </c>
      <c r="L1369">
        <v>10</v>
      </c>
      <c r="M1369">
        <v>293.43</v>
      </c>
      <c r="N1369">
        <v>7</v>
      </c>
      <c r="Q1369">
        <v>286.43</v>
      </c>
      <c r="V1369">
        <v>0</v>
      </c>
      <c r="W1369">
        <v>0</v>
      </c>
      <c r="AF1369">
        <v>0</v>
      </c>
      <c r="AG1369">
        <v>0</v>
      </c>
      <c r="AH1369">
        <v>0</v>
      </c>
      <c r="AI1369">
        <v>12</v>
      </c>
      <c r="AJ1369">
        <v>12</v>
      </c>
      <c r="AM1369">
        <v>0</v>
      </c>
    </row>
    <row r="1370" spans="1:40" x14ac:dyDescent="0.25">
      <c r="A1370" t="s">
        <v>45</v>
      </c>
      <c r="B1370">
        <v>4</v>
      </c>
      <c r="C1370" t="s">
        <v>611</v>
      </c>
      <c r="D1370" s="39">
        <v>45916</v>
      </c>
      <c r="E1370" t="s">
        <v>563</v>
      </c>
      <c r="F1370" t="s">
        <v>79</v>
      </c>
      <c r="G1370">
        <v>17</v>
      </c>
      <c r="H1370" t="s">
        <v>353</v>
      </c>
      <c r="I1370" t="s">
        <v>79</v>
      </c>
      <c r="J1370">
        <v>2000</v>
      </c>
      <c r="K1370" t="s">
        <v>79</v>
      </c>
      <c r="L1370">
        <v>17</v>
      </c>
      <c r="M1370">
        <v>882.4899999999999</v>
      </c>
      <c r="N1370">
        <v>33.299999999999997</v>
      </c>
      <c r="Q1370">
        <v>849.18999999999994</v>
      </c>
      <c r="V1370">
        <v>0</v>
      </c>
      <c r="W1370">
        <v>0</v>
      </c>
      <c r="AF1370">
        <v>0</v>
      </c>
      <c r="AG1370">
        <v>0</v>
      </c>
      <c r="AH1370">
        <v>0</v>
      </c>
      <c r="AI1370">
        <v>12</v>
      </c>
      <c r="AJ1370">
        <v>12</v>
      </c>
      <c r="AM1370">
        <v>0</v>
      </c>
    </row>
    <row r="1371" spans="1:40" x14ac:dyDescent="0.25">
      <c r="A1371" t="s">
        <v>46</v>
      </c>
      <c r="B1371">
        <v>4</v>
      </c>
      <c r="C1371" t="s">
        <v>611</v>
      </c>
      <c r="D1371" s="39">
        <v>45916</v>
      </c>
      <c r="E1371" t="s">
        <v>563</v>
      </c>
      <c r="F1371" t="s">
        <v>79</v>
      </c>
      <c r="G1371">
        <v>17</v>
      </c>
      <c r="H1371" t="s">
        <v>353</v>
      </c>
      <c r="I1371" t="s">
        <v>79</v>
      </c>
      <c r="J1371">
        <v>2000</v>
      </c>
      <c r="K1371" t="s">
        <v>79</v>
      </c>
      <c r="L1371">
        <v>4</v>
      </c>
      <c r="M1371">
        <v>272.45999999999998</v>
      </c>
      <c r="N1371">
        <v>7.8</v>
      </c>
      <c r="Q1371">
        <v>264.65999999999997</v>
      </c>
      <c r="S1371">
        <v>40</v>
      </c>
      <c r="V1371">
        <v>40</v>
      </c>
      <c r="W1371">
        <v>0.66666666666666663</v>
      </c>
      <c r="AF1371">
        <v>0</v>
      </c>
      <c r="AG1371">
        <v>0</v>
      </c>
      <c r="AH1371">
        <v>0.66666666666666663</v>
      </c>
      <c r="AI1371">
        <v>11.333333333333334</v>
      </c>
      <c r="AJ1371">
        <v>12</v>
      </c>
      <c r="AM1371">
        <v>0</v>
      </c>
    </row>
    <row r="1372" spans="1:40" x14ac:dyDescent="0.25">
      <c r="A1372" t="s">
        <v>46</v>
      </c>
      <c r="B1372">
        <v>4</v>
      </c>
      <c r="C1372" t="s">
        <v>614</v>
      </c>
      <c r="D1372" s="39">
        <v>45916</v>
      </c>
      <c r="E1372" t="s">
        <v>615</v>
      </c>
      <c r="F1372" t="s">
        <v>79</v>
      </c>
      <c r="G1372">
        <v>26</v>
      </c>
      <c r="H1372">
        <v>14</v>
      </c>
      <c r="I1372" t="s">
        <v>79</v>
      </c>
      <c r="J1372">
        <v>250</v>
      </c>
      <c r="K1372" t="s">
        <v>79</v>
      </c>
      <c r="L1372">
        <v>6</v>
      </c>
      <c r="M1372">
        <v>273.07</v>
      </c>
      <c r="N1372">
        <v>21.23</v>
      </c>
      <c r="Q1372">
        <v>251.84</v>
      </c>
      <c r="V1372">
        <v>0</v>
      </c>
      <c r="W1372">
        <v>0</v>
      </c>
      <c r="AF1372">
        <v>0</v>
      </c>
      <c r="AG1372">
        <v>0</v>
      </c>
      <c r="AH1372">
        <v>0</v>
      </c>
      <c r="AI1372">
        <v>12</v>
      </c>
      <c r="AJ1372">
        <v>12</v>
      </c>
      <c r="AM1372">
        <v>0</v>
      </c>
    </row>
    <row r="1373" spans="1:40" x14ac:dyDescent="0.25">
      <c r="A1373" t="s">
        <v>46</v>
      </c>
      <c r="B1373">
        <v>4</v>
      </c>
      <c r="C1373" t="s">
        <v>616</v>
      </c>
      <c r="D1373" s="39">
        <v>45916</v>
      </c>
      <c r="E1373" t="s">
        <v>470</v>
      </c>
      <c r="F1373" t="s">
        <v>79</v>
      </c>
      <c r="G1373">
        <v>24</v>
      </c>
      <c r="H1373" t="s">
        <v>113</v>
      </c>
      <c r="I1373" t="s">
        <v>79</v>
      </c>
      <c r="J1373">
        <v>400</v>
      </c>
      <c r="K1373" t="s">
        <v>79</v>
      </c>
      <c r="L1373">
        <v>4</v>
      </c>
      <c r="M1373">
        <v>263</v>
      </c>
      <c r="N1373">
        <v>6.4499999999999993</v>
      </c>
      <c r="Q1373">
        <v>256.55</v>
      </c>
      <c r="V1373">
        <v>0</v>
      </c>
      <c r="W1373">
        <v>0</v>
      </c>
      <c r="AF1373">
        <v>0</v>
      </c>
      <c r="AG1373">
        <v>0</v>
      </c>
      <c r="AH1373">
        <v>0</v>
      </c>
      <c r="AI1373">
        <v>12</v>
      </c>
      <c r="AJ1373">
        <v>12</v>
      </c>
      <c r="AM1373">
        <v>0</v>
      </c>
    </row>
    <row r="1374" spans="1:40" x14ac:dyDescent="0.25">
      <c r="A1374" t="s">
        <v>45</v>
      </c>
      <c r="B1374">
        <v>5</v>
      </c>
      <c r="C1374" t="s">
        <v>612</v>
      </c>
      <c r="D1374" s="39">
        <v>45916</v>
      </c>
      <c r="E1374" t="s">
        <v>486</v>
      </c>
      <c r="F1374" t="s">
        <v>79</v>
      </c>
      <c r="G1374">
        <v>11</v>
      </c>
      <c r="H1374" t="s">
        <v>113</v>
      </c>
      <c r="I1374" t="s">
        <v>79</v>
      </c>
      <c r="J1374">
        <v>1000</v>
      </c>
      <c r="K1374" t="s">
        <v>79</v>
      </c>
      <c r="L1374">
        <v>7</v>
      </c>
      <c r="M1374">
        <v>369.25999999999993</v>
      </c>
      <c r="N1374">
        <v>7</v>
      </c>
      <c r="Q1374">
        <v>362.25999999999993</v>
      </c>
      <c r="S1374">
        <v>20</v>
      </c>
      <c r="V1374">
        <v>20</v>
      </c>
      <c r="W1374">
        <v>0.33333333333333331</v>
      </c>
      <c r="AF1374">
        <v>0</v>
      </c>
      <c r="AG1374">
        <v>0</v>
      </c>
      <c r="AH1374">
        <v>0.33333333333333331</v>
      </c>
      <c r="AI1374">
        <v>11.666666666666666</v>
      </c>
      <c r="AJ1374">
        <v>12</v>
      </c>
      <c r="AM1374">
        <v>0</v>
      </c>
    </row>
    <row r="1375" spans="1:40" x14ac:dyDescent="0.25">
      <c r="A1375" t="s">
        <v>45</v>
      </c>
      <c r="B1375">
        <v>5</v>
      </c>
      <c r="C1375" t="s">
        <v>617</v>
      </c>
      <c r="D1375" s="39">
        <v>45916</v>
      </c>
      <c r="E1375" t="s">
        <v>486</v>
      </c>
      <c r="F1375" t="s">
        <v>79</v>
      </c>
      <c r="G1375">
        <v>14</v>
      </c>
      <c r="H1375">
        <v>5</v>
      </c>
      <c r="I1375" t="s">
        <v>79</v>
      </c>
      <c r="J1375">
        <v>500</v>
      </c>
      <c r="K1375" t="s">
        <v>79</v>
      </c>
      <c r="L1375">
        <v>4</v>
      </c>
      <c r="M1375">
        <v>179.53999999999996</v>
      </c>
      <c r="N1375">
        <v>6.48</v>
      </c>
      <c r="Q1375">
        <v>173.05999999999997</v>
      </c>
      <c r="V1375">
        <v>0</v>
      </c>
      <c r="W1375">
        <v>0</v>
      </c>
      <c r="AF1375">
        <v>0</v>
      </c>
      <c r="AG1375">
        <v>0</v>
      </c>
      <c r="AH1375">
        <v>0</v>
      </c>
      <c r="AI1375">
        <v>12</v>
      </c>
      <c r="AJ1375">
        <v>12</v>
      </c>
      <c r="AM1375">
        <v>0</v>
      </c>
    </row>
    <row r="1376" spans="1:40" x14ac:dyDescent="0.25">
      <c r="A1376" t="s">
        <v>46</v>
      </c>
      <c r="B1376">
        <v>5</v>
      </c>
      <c r="C1376" t="s">
        <v>617</v>
      </c>
      <c r="D1376" s="39">
        <v>45916</v>
      </c>
      <c r="E1376" t="s">
        <v>486</v>
      </c>
      <c r="F1376" t="s">
        <v>79</v>
      </c>
      <c r="G1376">
        <v>14</v>
      </c>
      <c r="H1376">
        <v>5</v>
      </c>
      <c r="I1376" t="s">
        <v>79</v>
      </c>
      <c r="J1376">
        <v>500</v>
      </c>
      <c r="K1376" t="s">
        <v>79</v>
      </c>
      <c r="L1376">
        <v>10</v>
      </c>
      <c r="M1376">
        <v>566.11</v>
      </c>
      <c r="N1376">
        <v>16</v>
      </c>
      <c r="Q1376">
        <v>550.11</v>
      </c>
      <c r="V1376">
        <v>0</v>
      </c>
      <c r="W1376">
        <v>0</v>
      </c>
      <c r="AF1376">
        <v>0</v>
      </c>
      <c r="AG1376">
        <v>0</v>
      </c>
      <c r="AH1376">
        <v>0</v>
      </c>
      <c r="AI1376">
        <v>12</v>
      </c>
      <c r="AJ1376">
        <v>12</v>
      </c>
      <c r="AM1376">
        <v>0</v>
      </c>
    </row>
    <row r="1377" spans="1:39" x14ac:dyDescent="0.25">
      <c r="A1377" t="s">
        <v>45</v>
      </c>
      <c r="B1377">
        <v>1</v>
      </c>
      <c r="C1377" t="s">
        <v>598</v>
      </c>
      <c r="D1377" s="39">
        <v>45917</v>
      </c>
      <c r="E1377" t="s">
        <v>486</v>
      </c>
      <c r="F1377" t="s">
        <v>79</v>
      </c>
      <c r="G1377">
        <v>2.5</v>
      </c>
      <c r="H1377" t="s">
        <v>92</v>
      </c>
      <c r="I1377" t="s">
        <v>79</v>
      </c>
      <c r="J1377">
        <v>20</v>
      </c>
      <c r="K1377" t="s">
        <v>79</v>
      </c>
      <c r="L1377">
        <v>4</v>
      </c>
      <c r="M1377">
        <v>62.1</v>
      </c>
      <c r="N1377">
        <v>0.8</v>
      </c>
      <c r="O1377">
        <v>52.5</v>
      </c>
      <c r="Q1377">
        <v>61.300000000000004</v>
      </c>
      <c r="S1377">
        <v>10</v>
      </c>
      <c r="V1377">
        <v>10</v>
      </c>
      <c r="W1377">
        <v>0.16666666666666666</v>
      </c>
      <c r="AD1377">
        <v>30</v>
      </c>
      <c r="AF1377">
        <v>30</v>
      </c>
      <c r="AG1377">
        <v>0.5</v>
      </c>
      <c r="AH1377">
        <v>0.66666666666666663</v>
      </c>
      <c r="AI1377">
        <v>11.333333333333334</v>
      </c>
      <c r="AJ1377">
        <v>12</v>
      </c>
      <c r="AL1377">
        <v>1904.5</v>
      </c>
      <c r="AM1377">
        <v>0</v>
      </c>
    </row>
    <row r="1378" spans="1:39" x14ac:dyDescent="0.25">
      <c r="A1378" t="s">
        <v>45</v>
      </c>
      <c r="B1378">
        <v>1</v>
      </c>
      <c r="C1378" t="s">
        <v>571</v>
      </c>
      <c r="D1378" s="39">
        <v>45917</v>
      </c>
      <c r="E1378" t="s">
        <v>486</v>
      </c>
      <c r="F1378" t="s">
        <v>79</v>
      </c>
      <c r="G1378">
        <v>3.5</v>
      </c>
      <c r="H1378" t="s">
        <v>92</v>
      </c>
      <c r="I1378" t="s">
        <v>79</v>
      </c>
      <c r="J1378">
        <v>500</v>
      </c>
      <c r="K1378" t="s">
        <v>79</v>
      </c>
      <c r="L1378">
        <v>4</v>
      </c>
      <c r="M1378">
        <v>53.269999999999996</v>
      </c>
      <c r="N1378">
        <v>1.2</v>
      </c>
      <c r="Q1378">
        <v>52.069999999999993</v>
      </c>
      <c r="V1378">
        <v>0</v>
      </c>
      <c r="W1378">
        <v>0</v>
      </c>
      <c r="AF1378">
        <v>0</v>
      </c>
      <c r="AG1378">
        <v>0</v>
      </c>
      <c r="AH1378">
        <v>0</v>
      </c>
      <c r="AI1378">
        <v>12</v>
      </c>
      <c r="AJ1378">
        <v>12</v>
      </c>
      <c r="AM1378">
        <v>0</v>
      </c>
    </row>
    <row r="1379" spans="1:39" x14ac:dyDescent="0.25">
      <c r="A1379" t="s">
        <v>46</v>
      </c>
      <c r="B1379">
        <v>1</v>
      </c>
      <c r="C1379" t="s">
        <v>618</v>
      </c>
      <c r="D1379" s="39">
        <v>45917</v>
      </c>
      <c r="E1379" t="s">
        <v>81</v>
      </c>
      <c r="K1379" t="s">
        <v>79</v>
      </c>
      <c r="L1379">
        <v>7</v>
      </c>
      <c r="M1379">
        <v>105.62</v>
      </c>
      <c r="N1379">
        <v>2.1</v>
      </c>
      <c r="O1379">
        <v>29.5</v>
      </c>
      <c r="Q1379">
        <v>103.52000000000001</v>
      </c>
      <c r="V1379">
        <v>0</v>
      </c>
      <c r="W1379">
        <v>0</v>
      </c>
      <c r="AF1379">
        <v>0</v>
      </c>
      <c r="AG1379">
        <v>0</v>
      </c>
      <c r="AH1379">
        <v>0</v>
      </c>
      <c r="AI1379">
        <v>12</v>
      </c>
      <c r="AJ1379">
        <v>12</v>
      </c>
      <c r="AM1379">
        <v>0</v>
      </c>
    </row>
    <row r="1380" spans="1:39" x14ac:dyDescent="0.25">
      <c r="A1380" t="s">
        <v>45</v>
      </c>
      <c r="B1380">
        <v>2</v>
      </c>
      <c r="C1380" t="s">
        <v>613</v>
      </c>
      <c r="D1380" s="39">
        <v>45917</v>
      </c>
      <c r="E1380" t="s">
        <v>486</v>
      </c>
      <c r="F1380" t="s">
        <v>79</v>
      </c>
      <c r="G1380">
        <v>3</v>
      </c>
      <c r="H1380" t="s">
        <v>92</v>
      </c>
      <c r="I1380" t="s">
        <v>79</v>
      </c>
      <c r="J1380">
        <v>250</v>
      </c>
      <c r="K1380" t="s">
        <v>79</v>
      </c>
      <c r="L1380">
        <v>4</v>
      </c>
      <c r="M1380">
        <v>63.26</v>
      </c>
      <c r="N1380">
        <v>1.2</v>
      </c>
      <c r="Q1380">
        <v>62.059999999999995</v>
      </c>
      <c r="S1380">
        <v>20</v>
      </c>
      <c r="V1380">
        <v>20</v>
      </c>
      <c r="W1380">
        <v>0.33333333333333331</v>
      </c>
      <c r="AF1380">
        <v>0</v>
      </c>
      <c r="AG1380">
        <v>0</v>
      </c>
      <c r="AH1380">
        <v>0.33333333333333331</v>
      </c>
      <c r="AI1380">
        <v>11.666666666666666</v>
      </c>
      <c r="AJ1380">
        <v>12</v>
      </c>
      <c r="AM1380">
        <v>0</v>
      </c>
    </row>
    <row r="1381" spans="1:39" x14ac:dyDescent="0.25">
      <c r="A1381" t="s">
        <v>45</v>
      </c>
      <c r="B1381">
        <v>2</v>
      </c>
      <c r="C1381" t="s">
        <v>619</v>
      </c>
      <c r="D1381" s="39">
        <v>45917</v>
      </c>
      <c r="E1381" t="s">
        <v>81</v>
      </c>
      <c r="K1381" t="s">
        <v>79</v>
      </c>
      <c r="L1381">
        <v>3</v>
      </c>
      <c r="M1381">
        <v>40.89</v>
      </c>
      <c r="N1381">
        <v>1.2000000000000002</v>
      </c>
      <c r="Q1381">
        <v>39.69</v>
      </c>
      <c r="V1381">
        <v>0</v>
      </c>
      <c r="W1381">
        <v>0</v>
      </c>
      <c r="AF1381">
        <v>0</v>
      </c>
      <c r="AG1381">
        <v>0</v>
      </c>
      <c r="AH1381">
        <v>0</v>
      </c>
      <c r="AI1381">
        <v>12</v>
      </c>
      <c r="AJ1381">
        <v>12</v>
      </c>
      <c r="AM1381">
        <v>0</v>
      </c>
    </row>
    <row r="1382" spans="1:39" x14ac:dyDescent="0.25">
      <c r="A1382" t="s">
        <v>46</v>
      </c>
      <c r="B1382">
        <v>2</v>
      </c>
      <c r="C1382" t="s">
        <v>619</v>
      </c>
      <c r="D1382" s="39">
        <v>45917</v>
      </c>
      <c r="E1382" t="s">
        <v>81</v>
      </c>
      <c r="K1382" t="s">
        <v>79</v>
      </c>
      <c r="L1382">
        <v>9</v>
      </c>
      <c r="M1382">
        <v>124.91</v>
      </c>
      <c r="N1382">
        <v>3.6</v>
      </c>
      <c r="Q1382">
        <v>121.31</v>
      </c>
      <c r="V1382">
        <v>0</v>
      </c>
      <c r="W1382">
        <v>0</v>
      </c>
      <c r="AF1382">
        <v>0</v>
      </c>
      <c r="AG1382">
        <v>0</v>
      </c>
      <c r="AH1382">
        <v>0</v>
      </c>
      <c r="AI1382">
        <v>12</v>
      </c>
      <c r="AJ1382">
        <v>12</v>
      </c>
      <c r="AM1382">
        <v>0</v>
      </c>
    </row>
    <row r="1383" spans="1:39" x14ac:dyDescent="0.25">
      <c r="A1383" t="s">
        <v>45</v>
      </c>
      <c r="B1383">
        <v>3</v>
      </c>
      <c r="C1383" t="s">
        <v>607</v>
      </c>
      <c r="D1383" s="39">
        <v>45917</v>
      </c>
      <c r="E1383" t="s">
        <v>486</v>
      </c>
      <c r="F1383" t="s">
        <v>79</v>
      </c>
      <c r="G1383">
        <v>7</v>
      </c>
      <c r="H1383">
        <v>5</v>
      </c>
      <c r="I1383" t="s">
        <v>79</v>
      </c>
      <c r="J1383">
        <v>800</v>
      </c>
      <c r="K1383" t="s">
        <v>79</v>
      </c>
      <c r="L1383">
        <v>3</v>
      </c>
      <c r="M1383">
        <v>95.480000000000018</v>
      </c>
      <c r="N1383">
        <v>2.0999999999999996</v>
      </c>
      <c r="Q1383">
        <v>93.380000000000024</v>
      </c>
      <c r="V1383">
        <v>0</v>
      </c>
      <c r="W1383">
        <v>0</v>
      </c>
      <c r="AF1383">
        <v>0</v>
      </c>
      <c r="AG1383">
        <v>0</v>
      </c>
      <c r="AH1383">
        <v>0</v>
      </c>
      <c r="AI1383">
        <v>12</v>
      </c>
      <c r="AJ1383">
        <v>12</v>
      </c>
      <c r="AM1383">
        <v>0</v>
      </c>
    </row>
    <row r="1384" spans="1:39" x14ac:dyDescent="0.25">
      <c r="A1384" t="s">
        <v>45</v>
      </c>
      <c r="B1384">
        <v>3</v>
      </c>
      <c r="C1384" t="s">
        <v>620</v>
      </c>
      <c r="D1384" s="39">
        <v>45917</v>
      </c>
      <c r="E1384" t="s">
        <v>570</v>
      </c>
      <c r="F1384" t="s">
        <v>79</v>
      </c>
      <c r="G1384">
        <v>7</v>
      </c>
      <c r="H1384">
        <v>4.5</v>
      </c>
      <c r="I1384" t="s">
        <v>79</v>
      </c>
      <c r="J1384">
        <v>250</v>
      </c>
      <c r="K1384" t="s">
        <v>79</v>
      </c>
      <c r="L1384">
        <v>7</v>
      </c>
      <c r="M1384">
        <v>218.16000000000003</v>
      </c>
      <c r="N1384">
        <v>4.8999999999999995</v>
      </c>
      <c r="Q1384">
        <v>213.26000000000002</v>
      </c>
      <c r="V1384">
        <v>0</v>
      </c>
      <c r="W1384">
        <v>0</v>
      </c>
      <c r="AF1384">
        <v>0</v>
      </c>
      <c r="AG1384">
        <v>0</v>
      </c>
      <c r="AH1384">
        <v>0</v>
      </c>
      <c r="AI1384">
        <v>12</v>
      </c>
      <c r="AJ1384">
        <v>12</v>
      </c>
      <c r="AM1384">
        <v>0</v>
      </c>
    </row>
    <row r="1385" spans="1:39" x14ac:dyDescent="0.25">
      <c r="A1385" t="s">
        <v>46</v>
      </c>
      <c r="B1385">
        <v>3</v>
      </c>
      <c r="C1385" t="s">
        <v>620</v>
      </c>
      <c r="D1385" s="39">
        <v>45917</v>
      </c>
      <c r="E1385" t="s">
        <v>570</v>
      </c>
      <c r="F1385" t="s">
        <v>79</v>
      </c>
      <c r="G1385">
        <v>7</v>
      </c>
      <c r="H1385">
        <v>4.5</v>
      </c>
      <c r="I1385" t="s">
        <v>79</v>
      </c>
      <c r="J1385">
        <v>250</v>
      </c>
      <c r="K1385" t="s">
        <v>79</v>
      </c>
      <c r="L1385">
        <v>2</v>
      </c>
      <c r="M1385">
        <v>46.41</v>
      </c>
      <c r="N1385">
        <v>1.4</v>
      </c>
      <c r="Q1385">
        <v>45.01</v>
      </c>
      <c r="S1385">
        <v>20</v>
      </c>
      <c r="V1385">
        <v>20</v>
      </c>
      <c r="W1385">
        <v>0.33333333333333331</v>
      </c>
      <c r="AF1385">
        <v>0</v>
      </c>
      <c r="AG1385">
        <v>0</v>
      </c>
      <c r="AH1385">
        <v>0.33333333333333331</v>
      </c>
      <c r="AI1385">
        <v>11.666666666666666</v>
      </c>
      <c r="AJ1385">
        <v>12</v>
      </c>
      <c r="AM1385">
        <v>0</v>
      </c>
    </row>
    <row r="1386" spans="1:39" x14ac:dyDescent="0.25">
      <c r="A1386" t="s">
        <v>46</v>
      </c>
      <c r="B1386">
        <v>3</v>
      </c>
      <c r="C1386" t="s">
        <v>621</v>
      </c>
      <c r="D1386" s="39">
        <v>45917</v>
      </c>
      <c r="E1386" t="s">
        <v>570</v>
      </c>
      <c r="F1386" t="s">
        <v>79</v>
      </c>
      <c r="G1386">
        <v>9</v>
      </c>
      <c r="H1386">
        <v>4.5</v>
      </c>
      <c r="I1386" t="s">
        <v>79</v>
      </c>
      <c r="J1386">
        <v>250</v>
      </c>
      <c r="K1386" t="s">
        <v>79</v>
      </c>
      <c r="L1386">
        <v>6</v>
      </c>
      <c r="M1386">
        <v>237.79999999999998</v>
      </c>
      <c r="N1386">
        <v>5.4</v>
      </c>
      <c r="Q1386">
        <v>232.39999999999998</v>
      </c>
      <c r="V1386">
        <v>0</v>
      </c>
      <c r="W1386">
        <v>0</v>
      </c>
      <c r="AF1386">
        <v>0</v>
      </c>
      <c r="AG1386">
        <v>0</v>
      </c>
      <c r="AH1386">
        <v>0</v>
      </c>
      <c r="AI1386">
        <v>12</v>
      </c>
      <c r="AJ1386">
        <v>12</v>
      </c>
      <c r="AM1386">
        <v>0</v>
      </c>
    </row>
    <row r="1387" spans="1:39" x14ac:dyDescent="0.25">
      <c r="A1387" t="s">
        <v>45</v>
      </c>
      <c r="B1387">
        <v>4</v>
      </c>
      <c r="C1387" t="s">
        <v>616</v>
      </c>
      <c r="D1387" s="39">
        <v>45917</v>
      </c>
      <c r="E1387" t="s">
        <v>470</v>
      </c>
      <c r="F1387" t="s">
        <v>79</v>
      </c>
      <c r="G1387">
        <v>24</v>
      </c>
      <c r="H1387" t="s">
        <v>113</v>
      </c>
      <c r="I1387" t="s">
        <v>79</v>
      </c>
      <c r="J1387">
        <v>400</v>
      </c>
      <c r="K1387" t="s">
        <v>79</v>
      </c>
      <c r="L1387">
        <v>12</v>
      </c>
      <c r="M1387">
        <v>601.32999999999993</v>
      </c>
      <c r="N1387">
        <v>28.799999999999997</v>
      </c>
      <c r="Q1387">
        <v>572.53</v>
      </c>
      <c r="V1387">
        <v>0</v>
      </c>
      <c r="W1387">
        <v>0</v>
      </c>
      <c r="Z1387">
        <v>240</v>
      </c>
      <c r="AF1387">
        <v>240</v>
      </c>
      <c r="AG1387">
        <v>4</v>
      </c>
      <c r="AH1387">
        <v>4</v>
      </c>
      <c r="AI1387">
        <v>8</v>
      </c>
      <c r="AJ1387">
        <v>12</v>
      </c>
      <c r="AM1387">
        <v>0</v>
      </c>
    </row>
    <row r="1388" spans="1:39" x14ac:dyDescent="0.25">
      <c r="A1388" t="s">
        <v>46</v>
      </c>
      <c r="B1388">
        <v>4</v>
      </c>
      <c r="C1388" t="s">
        <v>616</v>
      </c>
      <c r="D1388" s="39">
        <v>45917</v>
      </c>
      <c r="E1388" t="s">
        <v>470</v>
      </c>
      <c r="F1388" t="s">
        <v>79</v>
      </c>
      <c r="G1388">
        <v>24</v>
      </c>
      <c r="H1388" t="s">
        <v>113</v>
      </c>
      <c r="I1388" t="s">
        <v>79</v>
      </c>
      <c r="J1388">
        <v>400</v>
      </c>
      <c r="K1388" t="s">
        <v>79</v>
      </c>
      <c r="L1388">
        <v>11</v>
      </c>
      <c r="M1388">
        <v>577.35</v>
      </c>
      <c r="N1388">
        <v>26.4</v>
      </c>
      <c r="Q1388">
        <v>550.95000000000005</v>
      </c>
      <c r="S1388">
        <v>20</v>
      </c>
      <c r="V1388">
        <v>20</v>
      </c>
      <c r="W1388">
        <v>0.33333333333333331</v>
      </c>
      <c r="AD1388">
        <v>40</v>
      </c>
      <c r="AF1388">
        <v>40</v>
      </c>
      <c r="AG1388">
        <v>0.66666666666666663</v>
      </c>
      <c r="AH1388">
        <v>1</v>
      </c>
      <c r="AI1388">
        <v>11</v>
      </c>
      <c r="AJ1388">
        <v>12</v>
      </c>
      <c r="AM1388">
        <v>0</v>
      </c>
    </row>
    <row r="1389" spans="1:39" x14ac:dyDescent="0.25">
      <c r="A1389" t="s">
        <v>45</v>
      </c>
      <c r="B1389">
        <v>5</v>
      </c>
      <c r="C1389" t="s">
        <v>617</v>
      </c>
      <c r="D1389" s="39">
        <v>45917</v>
      </c>
      <c r="E1389" t="s">
        <v>486</v>
      </c>
      <c r="F1389" t="s">
        <v>79</v>
      </c>
      <c r="G1389">
        <v>14</v>
      </c>
      <c r="H1389">
        <v>5</v>
      </c>
      <c r="I1389" t="s">
        <v>79</v>
      </c>
      <c r="J1389">
        <v>500</v>
      </c>
      <c r="K1389" t="s">
        <v>79</v>
      </c>
      <c r="L1389">
        <v>4</v>
      </c>
      <c r="M1389">
        <v>188.29000000000002</v>
      </c>
      <c r="N1389">
        <v>5.6</v>
      </c>
      <c r="Q1389">
        <v>182.69000000000003</v>
      </c>
      <c r="V1389">
        <v>0</v>
      </c>
      <c r="W1389">
        <v>0</v>
      </c>
      <c r="AF1389">
        <v>0</v>
      </c>
      <c r="AG1389">
        <v>0</v>
      </c>
      <c r="AH1389">
        <v>0</v>
      </c>
      <c r="AI1389">
        <v>12</v>
      </c>
      <c r="AJ1389">
        <v>12</v>
      </c>
      <c r="AM1389">
        <v>0</v>
      </c>
    </row>
    <row r="1390" spans="1:39" x14ac:dyDescent="0.25">
      <c r="A1390" t="s">
        <v>45</v>
      </c>
      <c r="B1390">
        <v>5</v>
      </c>
      <c r="C1390" t="s">
        <v>622</v>
      </c>
      <c r="D1390" s="39">
        <v>45917</v>
      </c>
      <c r="E1390" t="s">
        <v>570</v>
      </c>
      <c r="F1390" t="s">
        <v>79</v>
      </c>
      <c r="G1390">
        <v>14</v>
      </c>
      <c r="H1390">
        <v>4.5</v>
      </c>
      <c r="I1390" t="s">
        <v>79</v>
      </c>
      <c r="J1390">
        <v>250</v>
      </c>
      <c r="K1390" t="s">
        <v>79</v>
      </c>
      <c r="L1390">
        <v>8</v>
      </c>
      <c r="M1390">
        <v>383.13</v>
      </c>
      <c r="N1390">
        <v>11.2</v>
      </c>
      <c r="Q1390">
        <v>371.93</v>
      </c>
      <c r="V1390">
        <v>0</v>
      </c>
      <c r="W1390">
        <v>0</v>
      </c>
      <c r="AF1390">
        <v>0</v>
      </c>
      <c r="AG1390">
        <v>0</v>
      </c>
      <c r="AH1390">
        <v>0</v>
      </c>
      <c r="AI1390">
        <v>12</v>
      </c>
      <c r="AJ1390">
        <v>12</v>
      </c>
      <c r="AM1390">
        <v>0</v>
      </c>
    </row>
    <row r="1391" spans="1:39" x14ac:dyDescent="0.25">
      <c r="A1391" t="s">
        <v>46</v>
      </c>
      <c r="B1391">
        <v>5</v>
      </c>
      <c r="C1391" t="s">
        <v>622</v>
      </c>
      <c r="D1391" s="39">
        <v>45917</v>
      </c>
      <c r="E1391" t="s">
        <v>570</v>
      </c>
      <c r="F1391" t="s">
        <v>79</v>
      </c>
      <c r="G1391">
        <v>14</v>
      </c>
      <c r="H1391">
        <v>4.5</v>
      </c>
      <c r="I1391" t="s">
        <v>79</v>
      </c>
      <c r="J1391">
        <v>250</v>
      </c>
      <c r="K1391" t="s">
        <v>79</v>
      </c>
      <c r="L1391">
        <v>7</v>
      </c>
      <c r="M1391">
        <v>366.09</v>
      </c>
      <c r="N1391">
        <v>9.7999999999999989</v>
      </c>
      <c r="Q1391">
        <v>356.28999999999996</v>
      </c>
      <c r="S1391">
        <v>20</v>
      </c>
      <c r="V1391">
        <v>20</v>
      </c>
      <c r="W1391">
        <v>0.33333333333333331</v>
      </c>
      <c r="AF1391">
        <v>0</v>
      </c>
      <c r="AG1391">
        <v>0</v>
      </c>
      <c r="AH1391">
        <v>0.33333333333333331</v>
      </c>
      <c r="AI1391">
        <v>11.666666666666666</v>
      </c>
      <c r="AJ1391">
        <v>12</v>
      </c>
      <c r="AM1391">
        <v>0</v>
      </c>
    </row>
    <row r="1392" spans="1:39" x14ac:dyDescent="0.25">
      <c r="A1392" t="s">
        <v>46</v>
      </c>
      <c r="B1392">
        <v>5</v>
      </c>
      <c r="C1392" t="s">
        <v>623</v>
      </c>
      <c r="D1392" s="39">
        <v>45917</v>
      </c>
      <c r="E1392" t="s">
        <v>606</v>
      </c>
      <c r="F1392" t="s">
        <v>79</v>
      </c>
      <c r="G1392">
        <v>14</v>
      </c>
      <c r="H1392">
        <v>7</v>
      </c>
      <c r="I1392" t="s">
        <v>79</v>
      </c>
      <c r="J1392">
        <v>100</v>
      </c>
      <c r="K1392" t="s">
        <v>79</v>
      </c>
      <c r="L1392">
        <v>2</v>
      </c>
      <c r="M1392">
        <v>115.17</v>
      </c>
      <c r="N1392">
        <v>2.8</v>
      </c>
      <c r="Q1392">
        <v>112.37</v>
      </c>
      <c r="V1392">
        <v>0</v>
      </c>
      <c r="W1392">
        <v>0</v>
      </c>
      <c r="AF1392">
        <v>0</v>
      </c>
      <c r="AG1392">
        <v>0</v>
      </c>
      <c r="AH1392">
        <v>0</v>
      </c>
      <c r="AI1392">
        <v>12</v>
      </c>
      <c r="AJ1392">
        <v>12</v>
      </c>
      <c r="AM1392">
        <v>0</v>
      </c>
    </row>
    <row r="1393" spans="1:39" x14ac:dyDescent="0.25">
      <c r="A1393" t="s">
        <v>46</v>
      </c>
      <c r="B1393">
        <v>5</v>
      </c>
      <c r="C1393" t="s">
        <v>624</v>
      </c>
      <c r="D1393" s="39">
        <v>45917</v>
      </c>
      <c r="E1393" t="s">
        <v>570</v>
      </c>
      <c r="F1393" t="s">
        <v>79</v>
      </c>
      <c r="G1393">
        <v>12</v>
      </c>
      <c r="H1393">
        <v>4.5</v>
      </c>
      <c r="I1393" t="s">
        <v>79</v>
      </c>
      <c r="J1393">
        <v>250</v>
      </c>
      <c r="K1393" t="s">
        <v>79</v>
      </c>
      <c r="L1393">
        <v>1</v>
      </c>
      <c r="M1393">
        <v>46.83</v>
      </c>
      <c r="N1393">
        <v>1.5</v>
      </c>
      <c r="Q1393">
        <v>45.33</v>
      </c>
      <c r="V1393">
        <v>0</v>
      </c>
      <c r="W1393">
        <v>0</v>
      </c>
      <c r="AF1393">
        <v>0</v>
      </c>
      <c r="AG1393">
        <v>0</v>
      </c>
      <c r="AH1393">
        <v>0</v>
      </c>
      <c r="AI1393">
        <v>12</v>
      </c>
      <c r="AJ1393">
        <v>12</v>
      </c>
      <c r="AM1393">
        <v>0</v>
      </c>
    </row>
    <row r="1394" spans="1:39" x14ac:dyDescent="0.25">
      <c r="A1394" t="s">
        <v>45</v>
      </c>
      <c r="B1394">
        <v>1</v>
      </c>
      <c r="C1394" t="s">
        <v>618</v>
      </c>
      <c r="D1394" s="39">
        <v>45918</v>
      </c>
      <c r="E1394" t="s">
        <v>81</v>
      </c>
      <c r="K1394" t="s">
        <v>79</v>
      </c>
      <c r="L1394">
        <v>6</v>
      </c>
      <c r="M1394">
        <v>92.06</v>
      </c>
      <c r="N1394">
        <v>1.7999999999999998</v>
      </c>
      <c r="O1394">
        <v>37</v>
      </c>
      <c r="Q1394">
        <v>90.26</v>
      </c>
      <c r="V1394">
        <v>0</v>
      </c>
      <c r="W1394">
        <v>0</v>
      </c>
      <c r="AF1394">
        <v>0</v>
      </c>
      <c r="AG1394">
        <v>0</v>
      </c>
      <c r="AH1394">
        <v>0</v>
      </c>
      <c r="AI1394">
        <v>12</v>
      </c>
      <c r="AJ1394">
        <v>12</v>
      </c>
      <c r="AL1394">
        <v>1924</v>
      </c>
      <c r="AM1394">
        <v>0</v>
      </c>
    </row>
    <row r="1395" spans="1:39" x14ac:dyDescent="0.25">
      <c r="A1395" t="s">
        <v>46</v>
      </c>
      <c r="B1395">
        <v>1</v>
      </c>
      <c r="C1395" t="s">
        <v>625</v>
      </c>
      <c r="D1395" s="39">
        <v>45918</v>
      </c>
      <c r="E1395" t="s">
        <v>626</v>
      </c>
      <c r="F1395" t="s">
        <v>79</v>
      </c>
      <c r="G1395">
        <v>3.5</v>
      </c>
      <c r="H1395">
        <v>4.5</v>
      </c>
      <c r="I1395" t="s">
        <v>79</v>
      </c>
      <c r="J1395">
        <v>150</v>
      </c>
      <c r="K1395" t="s">
        <v>79</v>
      </c>
      <c r="L1395">
        <v>7</v>
      </c>
      <c r="M1395">
        <v>103.25999999999999</v>
      </c>
      <c r="N1395">
        <v>2.1</v>
      </c>
      <c r="O1395">
        <v>22</v>
      </c>
      <c r="Q1395">
        <v>101.16</v>
      </c>
      <c r="V1395">
        <v>0</v>
      </c>
      <c r="W1395">
        <v>0</v>
      </c>
      <c r="AF1395">
        <v>0</v>
      </c>
      <c r="AG1395">
        <v>0</v>
      </c>
      <c r="AH1395">
        <v>0</v>
      </c>
      <c r="AI1395">
        <v>12</v>
      </c>
      <c r="AJ1395">
        <v>12</v>
      </c>
      <c r="AM1395">
        <v>0</v>
      </c>
    </row>
    <row r="1396" spans="1:39" x14ac:dyDescent="0.25">
      <c r="A1396" t="s">
        <v>45</v>
      </c>
      <c r="B1396">
        <v>2</v>
      </c>
      <c r="C1396" t="s">
        <v>627</v>
      </c>
      <c r="D1396" s="39">
        <v>45918</v>
      </c>
      <c r="E1396" t="s">
        <v>626</v>
      </c>
      <c r="F1396" t="s">
        <v>79</v>
      </c>
      <c r="G1396">
        <v>4.5</v>
      </c>
      <c r="H1396">
        <v>4.5</v>
      </c>
      <c r="I1396" t="s">
        <v>79</v>
      </c>
      <c r="J1396">
        <v>150</v>
      </c>
      <c r="K1396" t="s">
        <v>79</v>
      </c>
      <c r="L1396">
        <v>10</v>
      </c>
      <c r="M1396">
        <v>105.25999999999999</v>
      </c>
      <c r="N1396">
        <v>4</v>
      </c>
      <c r="Q1396">
        <v>101.25999999999999</v>
      </c>
      <c r="V1396">
        <v>0</v>
      </c>
      <c r="W1396">
        <v>0</v>
      </c>
      <c r="AF1396">
        <v>0</v>
      </c>
      <c r="AG1396">
        <v>0</v>
      </c>
      <c r="AH1396">
        <v>0</v>
      </c>
      <c r="AI1396">
        <v>12</v>
      </c>
      <c r="AJ1396">
        <v>12</v>
      </c>
      <c r="AM1396">
        <v>0</v>
      </c>
    </row>
    <row r="1397" spans="1:39" x14ac:dyDescent="0.25">
      <c r="A1397" t="s">
        <v>46</v>
      </c>
      <c r="B1397">
        <v>2</v>
      </c>
      <c r="C1397" t="s">
        <v>627</v>
      </c>
      <c r="D1397" s="39">
        <v>45918</v>
      </c>
      <c r="E1397" t="s">
        <v>626</v>
      </c>
      <c r="F1397" t="s">
        <v>79</v>
      </c>
      <c r="G1397">
        <v>4.5</v>
      </c>
      <c r="H1397">
        <v>4.5</v>
      </c>
      <c r="I1397" t="s">
        <v>79</v>
      </c>
      <c r="J1397">
        <v>150</v>
      </c>
      <c r="K1397" t="s">
        <v>79</v>
      </c>
      <c r="L1397">
        <v>9</v>
      </c>
      <c r="M1397">
        <v>106.86000000000001</v>
      </c>
      <c r="N1397">
        <v>3.6</v>
      </c>
      <c r="Q1397">
        <v>103.26000000000002</v>
      </c>
      <c r="V1397">
        <v>0</v>
      </c>
      <c r="W1397">
        <v>0</v>
      </c>
      <c r="AF1397">
        <v>0</v>
      </c>
      <c r="AG1397">
        <v>0</v>
      </c>
      <c r="AH1397">
        <v>0</v>
      </c>
      <c r="AI1397">
        <v>12</v>
      </c>
      <c r="AJ1397">
        <v>12</v>
      </c>
      <c r="AM1397">
        <v>0</v>
      </c>
    </row>
    <row r="1398" spans="1:39" x14ac:dyDescent="0.25">
      <c r="A1398" t="s">
        <v>45</v>
      </c>
      <c r="B1398">
        <v>3</v>
      </c>
      <c r="C1398" t="s">
        <v>621</v>
      </c>
      <c r="D1398" s="39">
        <v>45918</v>
      </c>
      <c r="E1398" t="s">
        <v>570</v>
      </c>
      <c r="F1398" t="s">
        <v>79</v>
      </c>
      <c r="G1398">
        <v>9</v>
      </c>
      <c r="H1398">
        <v>4.5</v>
      </c>
      <c r="I1398" t="s">
        <v>79</v>
      </c>
      <c r="J1398">
        <v>250</v>
      </c>
      <c r="K1398" t="s">
        <v>79</v>
      </c>
      <c r="L1398">
        <v>8</v>
      </c>
      <c r="M1398">
        <v>283.42</v>
      </c>
      <c r="N1398">
        <v>7.2</v>
      </c>
      <c r="Q1398">
        <v>276.22000000000003</v>
      </c>
      <c r="V1398">
        <v>0</v>
      </c>
      <c r="W1398">
        <v>0</v>
      </c>
      <c r="AF1398">
        <v>0</v>
      </c>
      <c r="AG1398">
        <v>0</v>
      </c>
      <c r="AH1398">
        <v>0</v>
      </c>
      <c r="AI1398">
        <v>12</v>
      </c>
      <c r="AJ1398">
        <v>12</v>
      </c>
      <c r="AM1398">
        <v>0</v>
      </c>
    </row>
    <row r="1399" spans="1:39" x14ac:dyDescent="0.25">
      <c r="A1399" t="s">
        <v>46</v>
      </c>
      <c r="B1399">
        <v>3</v>
      </c>
      <c r="C1399" t="s">
        <v>621</v>
      </c>
      <c r="D1399" s="39">
        <v>45918</v>
      </c>
      <c r="E1399" t="s">
        <v>570</v>
      </c>
      <c r="F1399" t="s">
        <v>79</v>
      </c>
      <c r="G1399">
        <v>9</v>
      </c>
      <c r="H1399">
        <v>4.5</v>
      </c>
      <c r="I1399" t="s">
        <v>79</v>
      </c>
      <c r="J1399">
        <v>250</v>
      </c>
      <c r="K1399" t="s">
        <v>79</v>
      </c>
      <c r="L1399">
        <v>7</v>
      </c>
      <c r="M1399">
        <v>279.12</v>
      </c>
      <c r="N1399">
        <v>6.3</v>
      </c>
      <c r="Q1399">
        <v>272.82</v>
      </c>
      <c r="V1399">
        <v>0</v>
      </c>
      <c r="W1399">
        <v>0</v>
      </c>
      <c r="AF1399">
        <v>0</v>
      </c>
      <c r="AG1399">
        <v>0</v>
      </c>
      <c r="AH1399">
        <v>0</v>
      </c>
      <c r="AI1399">
        <v>12</v>
      </c>
      <c r="AJ1399">
        <v>12</v>
      </c>
      <c r="AM1399">
        <v>0</v>
      </c>
    </row>
    <row r="1400" spans="1:39" x14ac:dyDescent="0.25">
      <c r="A1400" t="s">
        <v>45</v>
      </c>
      <c r="B1400">
        <v>4</v>
      </c>
      <c r="C1400" t="s">
        <v>628</v>
      </c>
      <c r="D1400" s="39">
        <v>45918</v>
      </c>
      <c r="E1400" t="s">
        <v>629</v>
      </c>
      <c r="F1400" t="s">
        <v>79</v>
      </c>
      <c r="G1400">
        <v>17</v>
      </c>
      <c r="H1400" t="s">
        <v>92</v>
      </c>
      <c r="I1400" t="s">
        <v>79</v>
      </c>
      <c r="J1400">
        <v>8000</v>
      </c>
      <c r="K1400" t="s">
        <v>79</v>
      </c>
      <c r="L1400">
        <v>14</v>
      </c>
      <c r="M1400">
        <v>764.6400000000001</v>
      </c>
      <c r="N1400">
        <v>26.599999999999998</v>
      </c>
      <c r="Q1400">
        <v>738.04000000000008</v>
      </c>
      <c r="V1400">
        <v>0</v>
      </c>
      <c r="W1400">
        <v>0</v>
      </c>
      <c r="Y1400">
        <v>20</v>
      </c>
      <c r="Z1400">
        <v>20</v>
      </c>
      <c r="AF1400">
        <v>40</v>
      </c>
      <c r="AG1400">
        <v>0.66666666666666663</v>
      </c>
      <c r="AH1400">
        <v>0.66666666666666663</v>
      </c>
      <c r="AI1400">
        <v>11.333333333333334</v>
      </c>
      <c r="AJ1400">
        <v>12</v>
      </c>
      <c r="AM1400">
        <v>0</v>
      </c>
    </row>
    <row r="1401" spans="1:39" x14ac:dyDescent="0.25">
      <c r="A1401" t="s">
        <v>46</v>
      </c>
      <c r="B1401">
        <v>4</v>
      </c>
      <c r="C1401" t="s">
        <v>628</v>
      </c>
      <c r="D1401" s="39">
        <v>45918</v>
      </c>
      <c r="E1401" t="s">
        <v>629</v>
      </c>
      <c r="F1401" t="s">
        <v>79</v>
      </c>
      <c r="G1401">
        <v>17</v>
      </c>
      <c r="H1401" t="s">
        <v>92</v>
      </c>
      <c r="I1401" t="s">
        <v>79</v>
      </c>
      <c r="J1401">
        <v>8000</v>
      </c>
      <c r="K1401" t="s">
        <v>79</v>
      </c>
      <c r="L1401">
        <v>13</v>
      </c>
      <c r="M1401">
        <v>739.54</v>
      </c>
      <c r="N1401">
        <v>24.7</v>
      </c>
      <c r="Q1401">
        <v>714.83999999999992</v>
      </c>
      <c r="V1401">
        <v>0</v>
      </c>
      <c r="W1401">
        <v>0</v>
      </c>
      <c r="AF1401">
        <v>0</v>
      </c>
      <c r="AG1401">
        <v>0</v>
      </c>
      <c r="AH1401">
        <v>0</v>
      </c>
      <c r="AI1401">
        <v>12</v>
      </c>
      <c r="AJ1401">
        <v>12</v>
      </c>
      <c r="AM1401">
        <v>0</v>
      </c>
    </row>
    <row r="1402" spans="1:39" x14ac:dyDescent="0.25">
      <c r="A1402" t="s">
        <v>45</v>
      </c>
      <c r="B1402">
        <v>5</v>
      </c>
      <c r="C1402" t="s">
        <v>624</v>
      </c>
      <c r="D1402" s="39">
        <v>45918</v>
      </c>
      <c r="E1402" t="s">
        <v>570</v>
      </c>
      <c r="F1402" t="s">
        <v>79</v>
      </c>
      <c r="G1402">
        <v>12</v>
      </c>
      <c r="H1402">
        <v>4.5</v>
      </c>
      <c r="I1402" t="s">
        <v>79</v>
      </c>
      <c r="J1402">
        <v>250</v>
      </c>
      <c r="K1402" t="s">
        <v>79</v>
      </c>
      <c r="L1402">
        <v>10</v>
      </c>
      <c r="M1402">
        <v>491.7</v>
      </c>
      <c r="N1402">
        <v>13</v>
      </c>
      <c r="Q1402">
        <v>478.7</v>
      </c>
      <c r="V1402">
        <v>0</v>
      </c>
      <c r="W1402">
        <v>0</v>
      </c>
      <c r="AA1402">
        <v>20</v>
      </c>
      <c r="AF1402">
        <v>20</v>
      </c>
      <c r="AG1402">
        <v>0.33333333333333331</v>
      </c>
      <c r="AH1402">
        <v>0.33333333333333331</v>
      </c>
      <c r="AI1402">
        <v>11.666666666666666</v>
      </c>
      <c r="AJ1402">
        <v>12</v>
      </c>
      <c r="AM1402">
        <v>0</v>
      </c>
    </row>
    <row r="1403" spans="1:39" x14ac:dyDescent="0.25">
      <c r="A1403" t="s">
        <v>46</v>
      </c>
      <c r="B1403">
        <v>5</v>
      </c>
      <c r="C1403" t="s">
        <v>624</v>
      </c>
      <c r="D1403" s="39">
        <v>45918</v>
      </c>
      <c r="E1403" t="s">
        <v>570</v>
      </c>
      <c r="F1403" t="s">
        <v>79</v>
      </c>
      <c r="G1403">
        <v>12</v>
      </c>
      <c r="H1403">
        <v>4.5</v>
      </c>
      <c r="I1403" t="s">
        <v>79</v>
      </c>
      <c r="J1403">
        <v>250</v>
      </c>
      <c r="K1403" t="s">
        <v>79</v>
      </c>
      <c r="L1403">
        <v>2</v>
      </c>
      <c r="M1403">
        <v>109.82</v>
      </c>
      <c r="N1403">
        <v>3</v>
      </c>
      <c r="Q1403">
        <v>106.82</v>
      </c>
      <c r="V1403">
        <v>0</v>
      </c>
      <c r="W1403">
        <v>0</v>
      </c>
      <c r="AF1403">
        <v>0</v>
      </c>
      <c r="AG1403">
        <v>0</v>
      </c>
      <c r="AH1403">
        <v>0</v>
      </c>
      <c r="AI1403">
        <v>12</v>
      </c>
      <c r="AJ1403">
        <v>12</v>
      </c>
      <c r="AM1403">
        <v>0</v>
      </c>
    </row>
    <row r="1404" spans="1:39" x14ac:dyDescent="0.25">
      <c r="A1404" t="s">
        <v>46</v>
      </c>
      <c r="B1404">
        <v>5</v>
      </c>
      <c r="C1404" t="s">
        <v>630</v>
      </c>
      <c r="D1404" s="39">
        <v>45918</v>
      </c>
      <c r="E1404" t="s">
        <v>282</v>
      </c>
      <c r="F1404" t="s">
        <v>79</v>
      </c>
      <c r="G1404" t="s">
        <v>140</v>
      </c>
      <c r="H1404">
        <v>6.5</v>
      </c>
      <c r="I1404" t="s">
        <v>79</v>
      </c>
      <c r="J1404">
        <v>200</v>
      </c>
      <c r="K1404" t="s">
        <v>79</v>
      </c>
      <c r="L1404">
        <v>6</v>
      </c>
      <c r="M1404">
        <v>224.14000000000001</v>
      </c>
      <c r="N1404">
        <v>9</v>
      </c>
      <c r="Q1404">
        <v>215.14000000000001</v>
      </c>
      <c r="V1404">
        <v>0</v>
      </c>
      <c r="W1404">
        <v>0</v>
      </c>
      <c r="AF1404">
        <v>0</v>
      </c>
      <c r="AG1404">
        <v>0</v>
      </c>
      <c r="AH1404">
        <v>0</v>
      </c>
      <c r="AI1404">
        <v>12</v>
      </c>
      <c r="AJ1404">
        <v>12</v>
      </c>
      <c r="AM1404">
        <v>0</v>
      </c>
    </row>
    <row r="1405" spans="1:39" x14ac:dyDescent="0.25">
      <c r="A1405" t="s">
        <v>46</v>
      </c>
      <c r="B1405">
        <v>5</v>
      </c>
      <c r="C1405" t="s">
        <v>631</v>
      </c>
      <c r="D1405" s="39">
        <v>45918</v>
      </c>
      <c r="E1405" t="s">
        <v>282</v>
      </c>
      <c r="F1405" t="s">
        <v>79</v>
      </c>
      <c r="G1405" t="s">
        <v>632</v>
      </c>
      <c r="H1405">
        <v>6.5</v>
      </c>
      <c r="I1405" t="s">
        <v>79</v>
      </c>
      <c r="J1405">
        <v>1000</v>
      </c>
      <c r="K1405" t="s">
        <v>79</v>
      </c>
      <c r="L1405">
        <v>3</v>
      </c>
      <c r="M1405">
        <v>127.57999999999998</v>
      </c>
      <c r="N1405">
        <v>3.9000000000000004</v>
      </c>
      <c r="Q1405">
        <v>123.67999999999998</v>
      </c>
      <c r="V1405">
        <v>0</v>
      </c>
      <c r="W1405">
        <v>0</v>
      </c>
      <c r="AF1405">
        <v>0</v>
      </c>
      <c r="AG1405">
        <v>0</v>
      </c>
      <c r="AH1405">
        <v>0</v>
      </c>
      <c r="AI1405">
        <v>12</v>
      </c>
      <c r="AJ1405">
        <v>12</v>
      </c>
      <c r="AM1405">
        <v>0</v>
      </c>
    </row>
    <row r="1406" spans="1:39" x14ac:dyDescent="0.25">
      <c r="A1406" t="s">
        <v>45</v>
      </c>
      <c r="B1406">
        <v>1</v>
      </c>
      <c r="C1406" t="s">
        <v>571</v>
      </c>
      <c r="D1406" s="39">
        <v>45919</v>
      </c>
      <c r="E1406" t="s">
        <v>486</v>
      </c>
      <c r="F1406" t="s">
        <v>79</v>
      </c>
      <c r="G1406">
        <v>3.5</v>
      </c>
      <c r="H1406" t="s">
        <v>92</v>
      </c>
      <c r="I1406" t="s">
        <v>79</v>
      </c>
      <c r="J1406">
        <v>500</v>
      </c>
      <c r="K1406" t="s">
        <v>79</v>
      </c>
      <c r="L1406">
        <v>2</v>
      </c>
      <c r="M1406">
        <v>27.06</v>
      </c>
      <c r="N1406">
        <v>0.6</v>
      </c>
      <c r="O1406">
        <v>27.5</v>
      </c>
      <c r="Q1406">
        <v>26.459999999999997</v>
      </c>
      <c r="S1406">
        <v>20</v>
      </c>
      <c r="V1406">
        <v>20</v>
      </c>
      <c r="W1406">
        <v>0.33333333333333331</v>
      </c>
      <c r="Z1406">
        <v>60</v>
      </c>
      <c r="AF1406">
        <v>60</v>
      </c>
      <c r="AG1406">
        <v>1</v>
      </c>
      <c r="AH1406">
        <v>1.3333333333333333</v>
      </c>
      <c r="AI1406">
        <v>10.666666666666666</v>
      </c>
      <c r="AJ1406">
        <v>12</v>
      </c>
      <c r="AL1406">
        <v>1529</v>
      </c>
      <c r="AM1406">
        <v>0</v>
      </c>
    </row>
    <row r="1407" spans="1:39" x14ac:dyDescent="0.25">
      <c r="A1407" t="s">
        <v>45</v>
      </c>
      <c r="B1407">
        <v>1</v>
      </c>
      <c r="C1407" t="s">
        <v>633</v>
      </c>
      <c r="D1407" s="39">
        <v>45919</v>
      </c>
      <c r="E1407" t="s">
        <v>81</v>
      </c>
      <c r="K1407" t="s">
        <v>79</v>
      </c>
      <c r="L1407">
        <v>4</v>
      </c>
      <c r="M1407">
        <v>56.47</v>
      </c>
      <c r="N1407">
        <v>1.6</v>
      </c>
      <c r="Q1407">
        <v>54.87</v>
      </c>
      <c r="V1407">
        <v>0</v>
      </c>
      <c r="W1407">
        <v>0</v>
      </c>
      <c r="AF1407">
        <v>0</v>
      </c>
      <c r="AG1407">
        <v>0</v>
      </c>
      <c r="AH1407">
        <v>0</v>
      </c>
      <c r="AI1407">
        <v>12</v>
      </c>
      <c r="AJ1407">
        <v>12</v>
      </c>
      <c r="AM1407">
        <v>0</v>
      </c>
    </row>
    <row r="1408" spans="1:39" x14ac:dyDescent="0.25">
      <c r="A1408" t="s">
        <v>46</v>
      </c>
      <c r="B1408">
        <v>1</v>
      </c>
      <c r="C1408" t="s">
        <v>633</v>
      </c>
      <c r="D1408" s="39">
        <v>45919</v>
      </c>
      <c r="E1408" t="s">
        <v>81</v>
      </c>
      <c r="K1408" t="s">
        <v>79</v>
      </c>
      <c r="L1408">
        <v>7</v>
      </c>
      <c r="M1408">
        <v>116.85000000000001</v>
      </c>
      <c r="N1408">
        <v>2.8000000000000003</v>
      </c>
      <c r="O1408">
        <v>21.5</v>
      </c>
      <c r="Q1408">
        <v>114.05000000000001</v>
      </c>
      <c r="V1408">
        <v>0</v>
      </c>
      <c r="W1408">
        <v>0</v>
      </c>
      <c r="AF1408">
        <v>0</v>
      </c>
      <c r="AG1408">
        <v>0</v>
      </c>
      <c r="AH1408">
        <v>0</v>
      </c>
      <c r="AI1408">
        <v>12</v>
      </c>
      <c r="AJ1408">
        <v>12</v>
      </c>
      <c r="AM1408">
        <v>0</v>
      </c>
    </row>
    <row r="1409" spans="1:39" x14ac:dyDescent="0.25">
      <c r="A1409" t="s">
        <v>45</v>
      </c>
      <c r="B1409">
        <v>2</v>
      </c>
      <c r="C1409" t="s">
        <v>633</v>
      </c>
      <c r="D1409" s="39">
        <v>45919</v>
      </c>
      <c r="E1409" t="s">
        <v>81</v>
      </c>
      <c r="K1409" t="s">
        <v>79</v>
      </c>
      <c r="L1409">
        <v>7</v>
      </c>
      <c r="M1409">
        <v>100.77000000000001</v>
      </c>
      <c r="N1409">
        <v>2.8000000000000003</v>
      </c>
      <c r="Q1409">
        <v>97.970000000000013</v>
      </c>
      <c r="V1409">
        <v>0</v>
      </c>
      <c r="W1409">
        <v>0</v>
      </c>
      <c r="AF1409">
        <v>0</v>
      </c>
      <c r="AG1409">
        <v>0</v>
      </c>
      <c r="AH1409">
        <v>0</v>
      </c>
      <c r="AI1409">
        <v>12</v>
      </c>
      <c r="AJ1409">
        <v>12</v>
      </c>
      <c r="AM1409">
        <v>0</v>
      </c>
    </row>
    <row r="1410" spans="1:39" x14ac:dyDescent="0.25">
      <c r="A1410" t="s">
        <v>46</v>
      </c>
      <c r="B1410">
        <v>2</v>
      </c>
      <c r="C1410" t="s">
        <v>633</v>
      </c>
      <c r="D1410" s="39">
        <v>45919</v>
      </c>
      <c r="E1410" t="s">
        <v>81</v>
      </c>
      <c r="K1410" t="s">
        <v>79</v>
      </c>
      <c r="L1410">
        <v>1</v>
      </c>
      <c r="M1410">
        <v>18.45</v>
      </c>
      <c r="N1410">
        <v>0.4</v>
      </c>
      <c r="Q1410">
        <v>18.05</v>
      </c>
      <c r="S1410">
        <v>20</v>
      </c>
      <c r="V1410">
        <v>20</v>
      </c>
      <c r="W1410">
        <v>0.33333333333333331</v>
      </c>
      <c r="AF1410">
        <v>0</v>
      </c>
      <c r="AG1410">
        <v>0</v>
      </c>
      <c r="AH1410">
        <v>0.33333333333333331</v>
      </c>
      <c r="AI1410">
        <v>11.666666666666666</v>
      </c>
      <c r="AJ1410">
        <v>12</v>
      </c>
      <c r="AM1410">
        <v>0</v>
      </c>
    </row>
    <row r="1411" spans="1:39" x14ac:dyDescent="0.25">
      <c r="A1411" t="s">
        <v>46</v>
      </c>
      <c r="B1411">
        <v>2</v>
      </c>
      <c r="C1411" t="s">
        <v>634</v>
      </c>
      <c r="D1411" s="39">
        <v>45919</v>
      </c>
      <c r="E1411" t="s">
        <v>81</v>
      </c>
      <c r="K1411" t="s">
        <v>79</v>
      </c>
      <c r="L1411">
        <v>7</v>
      </c>
      <c r="M1411">
        <v>116.91</v>
      </c>
      <c r="N1411">
        <v>3.5</v>
      </c>
      <c r="Q1411">
        <v>113.41</v>
      </c>
      <c r="V1411">
        <v>0</v>
      </c>
      <c r="W1411">
        <v>0</v>
      </c>
      <c r="AF1411">
        <v>0</v>
      </c>
      <c r="AG1411">
        <v>0</v>
      </c>
      <c r="AH1411">
        <v>0</v>
      </c>
      <c r="AI1411">
        <v>12</v>
      </c>
      <c r="AJ1411">
        <v>12</v>
      </c>
      <c r="AM1411">
        <v>0</v>
      </c>
    </row>
    <row r="1412" spans="1:39" x14ac:dyDescent="0.25">
      <c r="A1412" t="s">
        <v>45</v>
      </c>
      <c r="B1412">
        <v>3</v>
      </c>
      <c r="C1412" t="s">
        <v>635</v>
      </c>
      <c r="D1412" s="39">
        <v>45919</v>
      </c>
      <c r="E1412" t="s">
        <v>570</v>
      </c>
      <c r="F1412" t="s">
        <v>79</v>
      </c>
      <c r="G1412">
        <v>9</v>
      </c>
      <c r="H1412">
        <v>4.5</v>
      </c>
      <c r="I1412" t="s">
        <v>79</v>
      </c>
      <c r="J1412">
        <v>250</v>
      </c>
      <c r="K1412" t="s">
        <v>79</v>
      </c>
      <c r="L1412">
        <v>4</v>
      </c>
      <c r="M1412">
        <v>139.12</v>
      </c>
      <c r="N1412">
        <v>3.6</v>
      </c>
      <c r="Q1412">
        <v>135.52000000000001</v>
      </c>
      <c r="S1412">
        <v>20</v>
      </c>
      <c r="V1412">
        <v>20</v>
      </c>
      <c r="W1412">
        <v>0.33333333333333331</v>
      </c>
      <c r="AF1412">
        <v>0</v>
      </c>
      <c r="AG1412">
        <v>0</v>
      </c>
      <c r="AH1412">
        <v>0.33333333333333331</v>
      </c>
      <c r="AI1412">
        <v>11.666666666666666</v>
      </c>
      <c r="AJ1412">
        <v>12</v>
      </c>
      <c r="AM1412">
        <v>0</v>
      </c>
    </row>
    <row r="1413" spans="1:39" x14ac:dyDescent="0.25">
      <c r="A1413" t="s">
        <v>45</v>
      </c>
      <c r="B1413">
        <v>3</v>
      </c>
      <c r="C1413" t="s">
        <v>636</v>
      </c>
      <c r="D1413" s="39">
        <v>45919</v>
      </c>
      <c r="E1413" t="s">
        <v>486</v>
      </c>
      <c r="F1413" t="s">
        <v>79</v>
      </c>
      <c r="G1413">
        <v>6</v>
      </c>
      <c r="H1413" t="s">
        <v>113</v>
      </c>
      <c r="I1413" t="s">
        <v>79</v>
      </c>
      <c r="J1413">
        <v>1000</v>
      </c>
      <c r="K1413" t="s">
        <v>79</v>
      </c>
      <c r="L1413">
        <v>4</v>
      </c>
      <c r="M1413">
        <v>108.41</v>
      </c>
      <c r="N1413">
        <v>2.4</v>
      </c>
      <c r="Q1413">
        <v>106.00999999999999</v>
      </c>
      <c r="V1413">
        <v>0</v>
      </c>
      <c r="W1413">
        <v>0</v>
      </c>
      <c r="AF1413">
        <v>0</v>
      </c>
      <c r="AG1413">
        <v>0</v>
      </c>
      <c r="AH1413">
        <v>0</v>
      </c>
      <c r="AI1413">
        <v>12</v>
      </c>
      <c r="AJ1413">
        <v>12</v>
      </c>
      <c r="AM1413">
        <v>0</v>
      </c>
    </row>
    <row r="1414" spans="1:39" x14ac:dyDescent="0.25">
      <c r="A1414" t="s">
        <v>46</v>
      </c>
      <c r="B1414">
        <v>3</v>
      </c>
      <c r="C1414" t="s">
        <v>637</v>
      </c>
      <c r="D1414" s="39">
        <v>45919</v>
      </c>
      <c r="E1414" t="s">
        <v>486</v>
      </c>
      <c r="F1414" t="s">
        <v>79</v>
      </c>
      <c r="G1414">
        <v>6</v>
      </c>
      <c r="H1414">
        <v>5</v>
      </c>
      <c r="I1414" t="s">
        <v>79</v>
      </c>
      <c r="J1414">
        <v>1500</v>
      </c>
      <c r="K1414" t="s">
        <v>79</v>
      </c>
      <c r="L1414">
        <v>8</v>
      </c>
      <c r="M1414">
        <v>188.61</v>
      </c>
      <c r="N1414">
        <v>4.8</v>
      </c>
      <c r="Q1414">
        <v>183.81</v>
      </c>
      <c r="V1414">
        <v>0</v>
      </c>
      <c r="W1414">
        <v>0</v>
      </c>
      <c r="AF1414">
        <v>0</v>
      </c>
      <c r="AG1414">
        <v>0</v>
      </c>
      <c r="AH1414">
        <v>0</v>
      </c>
      <c r="AI1414">
        <v>12</v>
      </c>
      <c r="AJ1414">
        <v>12</v>
      </c>
      <c r="AM1414">
        <v>0</v>
      </c>
    </row>
    <row r="1415" spans="1:39" x14ac:dyDescent="0.25">
      <c r="A1415" t="s">
        <v>45</v>
      </c>
      <c r="B1415">
        <v>4</v>
      </c>
      <c r="C1415" t="s">
        <v>628</v>
      </c>
      <c r="D1415" s="39">
        <v>45919</v>
      </c>
      <c r="E1415" t="s">
        <v>629</v>
      </c>
      <c r="F1415" t="s">
        <v>79</v>
      </c>
      <c r="G1415">
        <v>17</v>
      </c>
      <c r="H1415" t="s">
        <v>92</v>
      </c>
      <c r="I1415" t="s">
        <v>79</v>
      </c>
      <c r="J1415">
        <v>8000</v>
      </c>
      <c r="K1415" t="s">
        <v>79</v>
      </c>
      <c r="L1415">
        <v>8</v>
      </c>
      <c r="M1415">
        <v>411.32</v>
      </c>
      <c r="N1415">
        <v>15.2</v>
      </c>
      <c r="Q1415">
        <v>396.12</v>
      </c>
      <c r="V1415">
        <v>0</v>
      </c>
      <c r="W1415">
        <v>0</v>
      </c>
      <c r="Z1415">
        <v>150</v>
      </c>
      <c r="AF1415">
        <v>150</v>
      </c>
      <c r="AG1415">
        <v>2.5</v>
      </c>
      <c r="AH1415">
        <v>2.5</v>
      </c>
      <c r="AI1415">
        <v>9.5</v>
      </c>
      <c r="AJ1415">
        <v>12</v>
      </c>
      <c r="AM1415">
        <v>0</v>
      </c>
    </row>
    <row r="1416" spans="1:39" x14ac:dyDescent="0.25">
      <c r="A1416" t="s">
        <v>45</v>
      </c>
      <c r="B1416">
        <v>5</v>
      </c>
      <c r="C1416" t="s">
        <v>631</v>
      </c>
      <c r="D1416" s="39">
        <v>45919</v>
      </c>
      <c r="E1416" t="s">
        <v>282</v>
      </c>
      <c r="F1416" t="s">
        <v>79</v>
      </c>
      <c r="G1416" t="s">
        <v>632</v>
      </c>
      <c r="H1416">
        <v>6.5</v>
      </c>
      <c r="I1416" t="s">
        <v>79</v>
      </c>
      <c r="J1416">
        <v>1000</v>
      </c>
      <c r="K1416" t="s">
        <v>79</v>
      </c>
      <c r="L1416">
        <v>14</v>
      </c>
      <c r="M1416">
        <v>539.47</v>
      </c>
      <c r="N1416">
        <v>21.84</v>
      </c>
      <c r="Q1416">
        <v>517.63</v>
      </c>
      <c r="V1416">
        <v>0</v>
      </c>
      <c r="W1416">
        <v>0</v>
      </c>
      <c r="AF1416">
        <v>0</v>
      </c>
      <c r="AG1416">
        <v>0</v>
      </c>
      <c r="AH1416">
        <v>0</v>
      </c>
      <c r="AI1416">
        <v>12</v>
      </c>
      <c r="AJ1416">
        <v>12</v>
      </c>
      <c r="AM1416">
        <v>0</v>
      </c>
    </row>
    <row r="1417" spans="1:39" x14ac:dyDescent="0.25">
      <c r="A1417" t="s">
        <v>46</v>
      </c>
      <c r="B1417">
        <v>5</v>
      </c>
      <c r="C1417" t="s">
        <v>631</v>
      </c>
      <c r="D1417" s="39">
        <v>45919</v>
      </c>
      <c r="E1417" t="s">
        <v>282</v>
      </c>
      <c r="F1417" t="s">
        <v>79</v>
      </c>
      <c r="G1417" t="s">
        <v>632</v>
      </c>
      <c r="H1417">
        <v>6.5</v>
      </c>
      <c r="I1417" t="s">
        <v>79</v>
      </c>
      <c r="J1417">
        <v>1000</v>
      </c>
      <c r="K1417" t="s">
        <v>79</v>
      </c>
      <c r="L1417">
        <v>7</v>
      </c>
      <c r="M1417">
        <v>305.32</v>
      </c>
      <c r="N1417">
        <v>10.92</v>
      </c>
      <c r="Q1417">
        <v>294.39999999999998</v>
      </c>
      <c r="S1417">
        <v>20</v>
      </c>
      <c r="V1417">
        <v>20</v>
      </c>
      <c r="W1417">
        <v>0.33333333333333331</v>
      </c>
      <c r="AF1417">
        <v>0</v>
      </c>
      <c r="AG1417">
        <v>0</v>
      </c>
      <c r="AH1417">
        <v>0.33333333333333331</v>
      </c>
      <c r="AI1417">
        <v>11.666666666666666</v>
      </c>
      <c r="AJ1417">
        <v>12</v>
      </c>
      <c r="AM1417">
        <v>0</v>
      </c>
    </row>
    <row r="1418" spans="1:39" x14ac:dyDescent="0.25">
      <c r="A1418" t="s">
        <v>46</v>
      </c>
      <c r="B1418">
        <v>5</v>
      </c>
      <c r="C1418" t="s">
        <v>638</v>
      </c>
      <c r="D1418" s="39">
        <v>45919</v>
      </c>
      <c r="E1418" t="s">
        <v>639</v>
      </c>
      <c r="F1418" t="s">
        <v>79</v>
      </c>
      <c r="G1418">
        <v>13</v>
      </c>
      <c r="H1418">
        <v>7</v>
      </c>
      <c r="I1418" t="s">
        <v>79</v>
      </c>
      <c r="J1418">
        <v>400</v>
      </c>
      <c r="K1418" t="s">
        <v>79</v>
      </c>
      <c r="L1418">
        <v>4</v>
      </c>
      <c r="M1418">
        <v>181.38</v>
      </c>
      <c r="N1418">
        <v>6.24</v>
      </c>
      <c r="Q1418">
        <v>175.14</v>
      </c>
      <c r="V1418">
        <v>0</v>
      </c>
      <c r="W1418">
        <v>0</v>
      </c>
      <c r="AF1418">
        <v>0</v>
      </c>
      <c r="AG1418">
        <v>0</v>
      </c>
      <c r="AH1418">
        <v>0</v>
      </c>
      <c r="AI1418">
        <v>12</v>
      </c>
      <c r="AJ1418">
        <v>12</v>
      </c>
      <c r="AM1418">
        <v>0</v>
      </c>
    </row>
    <row r="1419" spans="1:39" x14ac:dyDescent="0.25">
      <c r="A1419" t="s">
        <v>45</v>
      </c>
      <c r="B1419">
        <v>1</v>
      </c>
      <c r="C1419" t="s">
        <v>633</v>
      </c>
      <c r="D1419" s="39">
        <v>45920</v>
      </c>
      <c r="E1419" t="s">
        <v>81</v>
      </c>
      <c r="K1419" t="s">
        <v>79</v>
      </c>
      <c r="L1419">
        <v>7</v>
      </c>
      <c r="M1419">
        <v>103.65</v>
      </c>
      <c r="N1419">
        <v>2.8000000000000003</v>
      </c>
      <c r="O1419">
        <v>27</v>
      </c>
      <c r="Q1419">
        <v>100.85000000000001</v>
      </c>
      <c r="V1419">
        <v>0</v>
      </c>
      <c r="W1419">
        <v>0</v>
      </c>
      <c r="Z1419">
        <v>180</v>
      </c>
      <c r="AF1419">
        <v>180</v>
      </c>
      <c r="AG1419">
        <v>3</v>
      </c>
      <c r="AH1419">
        <v>3</v>
      </c>
      <c r="AI1419">
        <v>9</v>
      </c>
      <c r="AJ1419">
        <v>12</v>
      </c>
      <c r="AM1419">
        <v>0</v>
      </c>
    </row>
    <row r="1420" spans="1:39" x14ac:dyDescent="0.25">
      <c r="A1420" t="s">
        <v>45</v>
      </c>
      <c r="B1420">
        <v>1</v>
      </c>
      <c r="C1420" t="s">
        <v>640</v>
      </c>
      <c r="D1420" s="39">
        <v>45920</v>
      </c>
      <c r="E1420" t="s">
        <v>626</v>
      </c>
      <c r="F1420" t="s">
        <v>79</v>
      </c>
      <c r="G1420">
        <v>4</v>
      </c>
      <c r="H1420">
        <v>4.5</v>
      </c>
      <c r="I1420" t="s">
        <v>79</v>
      </c>
      <c r="J1420">
        <v>250</v>
      </c>
      <c r="K1420" t="s">
        <v>79</v>
      </c>
      <c r="L1420">
        <v>1</v>
      </c>
      <c r="M1420">
        <v>12.9</v>
      </c>
      <c r="N1420">
        <v>0.4</v>
      </c>
      <c r="Q1420">
        <v>12.5</v>
      </c>
      <c r="V1420">
        <v>0</v>
      </c>
      <c r="W1420">
        <v>0</v>
      </c>
      <c r="Z1420">
        <v>180</v>
      </c>
      <c r="AF1420">
        <v>180</v>
      </c>
      <c r="AG1420">
        <v>3</v>
      </c>
      <c r="AH1420">
        <v>3</v>
      </c>
      <c r="AI1420">
        <v>9</v>
      </c>
      <c r="AJ1420">
        <v>12</v>
      </c>
      <c r="AM1420">
        <v>0</v>
      </c>
    </row>
    <row r="1421" spans="1:39" x14ac:dyDescent="0.25">
      <c r="A1421" t="s">
        <v>46</v>
      </c>
      <c r="B1421">
        <v>1</v>
      </c>
      <c r="C1421" t="s">
        <v>640</v>
      </c>
      <c r="D1421" s="39">
        <v>45920</v>
      </c>
      <c r="E1421" t="s">
        <v>626</v>
      </c>
      <c r="F1421" t="s">
        <v>79</v>
      </c>
      <c r="G1421">
        <v>4</v>
      </c>
      <c r="H1421">
        <v>4.5</v>
      </c>
      <c r="I1421" t="s">
        <v>79</v>
      </c>
      <c r="J1421">
        <v>250</v>
      </c>
      <c r="K1421" t="s">
        <v>79</v>
      </c>
      <c r="L1421">
        <v>5</v>
      </c>
      <c r="M1421">
        <v>79.650000000000006</v>
      </c>
      <c r="N1421">
        <v>2</v>
      </c>
      <c r="O1421">
        <v>22</v>
      </c>
      <c r="Q1421">
        <v>77.650000000000006</v>
      </c>
      <c r="V1421">
        <v>0</v>
      </c>
      <c r="W1421">
        <v>0</v>
      </c>
      <c r="AF1421">
        <v>0</v>
      </c>
      <c r="AG1421">
        <v>0</v>
      </c>
      <c r="AH1421">
        <v>0</v>
      </c>
      <c r="AI1421">
        <v>12</v>
      </c>
      <c r="AJ1421">
        <v>12</v>
      </c>
      <c r="AM1421">
        <v>0</v>
      </c>
    </row>
    <row r="1422" spans="1:39" x14ac:dyDescent="0.25">
      <c r="A1422" t="s">
        <v>45</v>
      </c>
      <c r="B1422">
        <v>2</v>
      </c>
      <c r="C1422" t="s">
        <v>634</v>
      </c>
      <c r="D1422" s="39">
        <v>45920</v>
      </c>
      <c r="E1422" t="s">
        <v>81</v>
      </c>
      <c r="K1422" t="s">
        <v>79</v>
      </c>
      <c r="L1422">
        <v>9</v>
      </c>
      <c r="M1422">
        <v>131.01</v>
      </c>
      <c r="N1422">
        <v>4.5</v>
      </c>
      <c r="Q1422">
        <v>126.50999999999999</v>
      </c>
      <c r="V1422">
        <v>0</v>
      </c>
      <c r="W1422">
        <v>0</v>
      </c>
      <c r="Z1422">
        <v>180</v>
      </c>
      <c r="AF1422">
        <v>180</v>
      </c>
      <c r="AG1422">
        <v>3</v>
      </c>
      <c r="AH1422">
        <v>3</v>
      </c>
      <c r="AI1422">
        <v>9</v>
      </c>
      <c r="AJ1422">
        <v>12</v>
      </c>
      <c r="AM1422">
        <v>0</v>
      </c>
    </row>
    <row r="1423" spans="1:39" x14ac:dyDescent="0.25">
      <c r="A1423" t="s">
        <v>46</v>
      </c>
      <c r="B1423">
        <v>2</v>
      </c>
      <c r="C1423" t="s">
        <v>634</v>
      </c>
      <c r="D1423" s="39">
        <v>45920</v>
      </c>
      <c r="E1423" t="s">
        <v>81</v>
      </c>
      <c r="K1423" t="s">
        <v>79</v>
      </c>
      <c r="L1423">
        <v>7</v>
      </c>
      <c r="M1423">
        <v>112.58</v>
      </c>
      <c r="N1423">
        <v>3.5</v>
      </c>
      <c r="Q1423">
        <v>109.08</v>
      </c>
      <c r="V1423">
        <v>0</v>
      </c>
      <c r="W1423">
        <v>0</v>
      </c>
      <c r="AF1423">
        <v>0</v>
      </c>
      <c r="AG1423">
        <v>0</v>
      </c>
      <c r="AH1423">
        <v>0</v>
      </c>
      <c r="AI1423">
        <v>12</v>
      </c>
      <c r="AJ1423">
        <v>12</v>
      </c>
      <c r="AM1423">
        <v>0</v>
      </c>
    </row>
    <row r="1424" spans="1:39" x14ac:dyDescent="0.25">
      <c r="A1424" t="s">
        <v>45</v>
      </c>
      <c r="B1424">
        <v>3</v>
      </c>
      <c r="C1424" t="s">
        <v>637</v>
      </c>
      <c r="D1424" s="39">
        <v>45920</v>
      </c>
      <c r="E1424" t="s">
        <v>486</v>
      </c>
      <c r="F1424" t="s">
        <v>79</v>
      </c>
      <c r="G1424">
        <v>6</v>
      </c>
      <c r="H1424">
        <v>5</v>
      </c>
      <c r="I1424" t="s">
        <v>79</v>
      </c>
      <c r="J1424">
        <v>1500</v>
      </c>
      <c r="K1424" t="s">
        <v>79</v>
      </c>
      <c r="L1424">
        <v>8</v>
      </c>
      <c r="M1424">
        <v>229.17000000000002</v>
      </c>
      <c r="N1424">
        <v>4.8</v>
      </c>
      <c r="Q1424">
        <v>224.37</v>
      </c>
      <c r="V1424">
        <v>0</v>
      </c>
      <c r="W1424">
        <v>0</v>
      </c>
      <c r="Z1424">
        <v>180</v>
      </c>
      <c r="AF1424">
        <v>180</v>
      </c>
      <c r="AG1424">
        <v>3</v>
      </c>
      <c r="AH1424">
        <v>3</v>
      </c>
      <c r="AI1424">
        <v>9</v>
      </c>
      <c r="AJ1424">
        <v>12</v>
      </c>
      <c r="AM1424">
        <v>0</v>
      </c>
    </row>
    <row r="1425" spans="1:39" x14ac:dyDescent="0.25">
      <c r="A1425" t="s">
        <v>46</v>
      </c>
      <c r="B1425">
        <v>3</v>
      </c>
      <c r="C1425" t="s">
        <v>637</v>
      </c>
      <c r="D1425" s="39">
        <v>45920</v>
      </c>
      <c r="E1425" t="s">
        <v>486</v>
      </c>
      <c r="F1425" t="s">
        <v>79</v>
      </c>
      <c r="G1425">
        <v>6</v>
      </c>
      <c r="H1425">
        <v>5</v>
      </c>
      <c r="I1425" t="s">
        <v>79</v>
      </c>
      <c r="J1425">
        <v>1500</v>
      </c>
      <c r="K1425" t="s">
        <v>79</v>
      </c>
      <c r="L1425">
        <v>6</v>
      </c>
      <c r="M1425">
        <v>158.76000000000002</v>
      </c>
      <c r="N1425">
        <v>3.5999999999999996</v>
      </c>
      <c r="Q1425">
        <v>155.16000000000003</v>
      </c>
      <c r="V1425">
        <v>0</v>
      </c>
      <c r="W1425">
        <v>0</v>
      </c>
      <c r="AF1425">
        <v>0</v>
      </c>
      <c r="AG1425">
        <v>0</v>
      </c>
      <c r="AH1425">
        <v>0</v>
      </c>
      <c r="AI1425">
        <v>12</v>
      </c>
      <c r="AJ1425">
        <v>12</v>
      </c>
      <c r="AM1425">
        <v>0</v>
      </c>
    </row>
    <row r="1426" spans="1:39" x14ac:dyDescent="0.25">
      <c r="A1426" t="s">
        <v>45</v>
      </c>
      <c r="B1426">
        <v>4</v>
      </c>
      <c r="C1426" t="s">
        <v>641</v>
      </c>
      <c r="D1426" s="39">
        <v>45920</v>
      </c>
      <c r="E1426" t="s">
        <v>486</v>
      </c>
      <c r="F1426" t="s">
        <v>79</v>
      </c>
      <c r="G1426">
        <v>18</v>
      </c>
      <c r="H1426" t="s">
        <v>113</v>
      </c>
      <c r="I1426" t="s">
        <v>79</v>
      </c>
      <c r="J1426">
        <v>1000</v>
      </c>
      <c r="K1426" t="s">
        <v>79</v>
      </c>
      <c r="L1426">
        <v>5</v>
      </c>
      <c r="M1426">
        <v>248.32</v>
      </c>
      <c r="N1426">
        <v>9</v>
      </c>
      <c r="Q1426">
        <v>239.32</v>
      </c>
      <c r="V1426">
        <v>0</v>
      </c>
      <c r="W1426">
        <v>0</v>
      </c>
      <c r="Z1426">
        <v>180</v>
      </c>
      <c r="AF1426">
        <v>180</v>
      </c>
      <c r="AG1426">
        <v>3</v>
      </c>
      <c r="AH1426">
        <v>3</v>
      </c>
      <c r="AI1426">
        <v>9</v>
      </c>
      <c r="AJ1426">
        <v>12</v>
      </c>
      <c r="AM1426">
        <v>0</v>
      </c>
    </row>
    <row r="1427" spans="1:39" x14ac:dyDescent="0.25">
      <c r="A1427" t="s">
        <v>46</v>
      </c>
      <c r="B1427">
        <v>4</v>
      </c>
      <c r="C1427" t="s">
        <v>642</v>
      </c>
      <c r="D1427" s="39">
        <v>45920</v>
      </c>
      <c r="E1427" t="s">
        <v>470</v>
      </c>
      <c r="F1427" t="s">
        <v>79</v>
      </c>
      <c r="G1427">
        <v>18</v>
      </c>
      <c r="H1427" t="s">
        <v>113</v>
      </c>
      <c r="I1427" t="s">
        <v>79</v>
      </c>
      <c r="J1427">
        <v>200</v>
      </c>
      <c r="K1427" t="s">
        <v>79</v>
      </c>
      <c r="L1427">
        <v>9</v>
      </c>
      <c r="M1427">
        <v>529.15000000000009</v>
      </c>
      <c r="N1427">
        <v>19.8</v>
      </c>
      <c r="Q1427">
        <v>509.35000000000008</v>
      </c>
      <c r="V1427">
        <v>0</v>
      </c>
      <c r="W1427">
        <v>0</v>
      </c>
      <c r="AF1427">
        <v>0</v>
      </c>
      <c r="AG1427">
        <v>0</v>
      </c>
      <c r="AH1427">
        <v>0</v>
      </c>
      <c r="AI1427">
        <v>12</v>
      </c>
      <c r="AJ1427">
        <v>12</v>
      </c>
      <c r="AM1427">
        <v>0</v>
      </c>
    </row>
    <row r="1428" spans="1:39" x14ac:dyDescent="0.25">
      <c r="A1428" t="s">
        <v>45</v>
      </c>
      <c r="B1428">
        <v>5</v>
      </c>
      <c r="C1428" t="s">
        <v>638</v>
      </c>
      <c r="D1428" s="39">
        <v>45920</v>
      </c>
      <c r="E1428" t="s">
        <v>639</v>
      </c>
      <c r="F1428" t="s">
        <v>79</v>
      </c>
      <c r="G1428">
        <v>13</v>
      </c>
      <c r="H1428">
        <v>7</v>
      </c>
      <c r="I1428" t="s">
        <v>79</v>
      </c>
      <c r="J1428">
        <v>400</v>
      </c>
      <c r="K1428" t="s">
        <v>79</v>
      </c>
      <c r="L1428">
        <v>2</v>
      </c>
      <c r="M1428">
        <v>93.22999999999999</v>
      </c>
      <c r="N1428">
        <v>2.6</v>
      </c>
      <c r="Q1428">
        <v>90.63</v>
      </c>
      <c r="V1428">
        <v>0</v>
      </c>
      <c r="W1428">
        <v>0</v>
      </c>
      <c r="AF1428">
        <v>0</v>
      </c>
      <c r="AG1428">
        <v>0</v>
      </c>
      <c r="AH1428">
        <v>0</v>
      </c>
      <c r="AI1428">
        <v>12</v>
      </c>
      <c r="AJ1428">
        <v>12</v>
      </c>
      <c r="AM1428">
        <v>0</v>
      </c>
    </row>
    <row r="1429" spans="1:39" x14ac:dyDescent="0.25">
      <c r="A1429" t="s">
        <v>45</v>
      </c>
      <c r="B1429">
        <v>5</v>
      </c>
      <c r="C1429" t="s">
        <v>643</v>
      </c>
      <c r="D1429" s="39">
        <v>45920</v>
      </c>
      <c r="E1429" t="s">
        <v>282</v>
      </c>
      <c r="F1429" t="s">
        <v>79</v>
      </c>
      <c r="G1429" t="s">
        <v>644</v>
      </c>
      <c r="H1429">
        <v>6.5</v>
      </c>
      <c r="I1429" t="s">
        <v>79</v>
      </c>
      <c r="J1429">
        <v>500</v>
      </c>
      <c r="K1429" t="s">
        <v>79</v>
      </c>
      <c r="L1429">
        <v>10</v>
      </c>
      <c r="M1429">
        <v>374.32</v>
      </c>
      <c r="N1429">
        <v>15</v>
      </c>
      <c r="Q1429">
        <v>359.32</v>
      </c>
      <c r="V1429">
        <v>0</v>
      </c>
      <c r="W1429">
        <v>0</v>
      </c>
      <c r="AF1429">
        <v>0</v>
      </c>
      <c r="AG1429">
        <v>0</v>
      </c>
      <c r="AH1429">
        <v>0</v>
      </c>
      <c r="AI1429">
        <v>12</v>
      </c>
      <c r="AJ1429">
        <v>12</v>
      </c>
      <c r="AM1429">
        <v>0</v>
      </c>
    </row>
    <row r="1430" spans="1:39" x14ac:dyDescent="0.25">
      <c r="A1430" t="s">
        <v>46</v>
      </c>
      <c r="B1430">
        <v>5</v>
      </c>
      <c r="C1430" t="s">
        <v>643</v>
      </c>
      <c r="D1430" s="39">
        <v>45920</v>
      </c>
      <c r="E1430" t="s">
        <v>282</v>
      </c>
      <c r="F1430" t="s">
        <v>79</v>
      </c>
      <c r="G1430" t="s">
        <v>644</v>
      </c>
      <c r="H1430">
        <v>6.5</v>
      </c>
      <c r="I1430" t="s">
        <v>79</v>
      </c>
      <c r="J1430">
        <v>500</v>
      </c>
      <c r="K1430" t="s">
        <v>79</v>
      </c>
      <c r="L1430">
        <v>4</v>
      </c>
      <c r="M1430">
        <v>132.60999999999999</v>
      </c>
      <c r="N1430">
        <v>6</v>
      </c>
      <c r="Q1430">
        <v>126.60999999999999</v>
      </c>
      <c r="V1430">
        <v>0</v>
      </c>
      <c r="W1430">
        <v>0</v>
      </c>
      <c r="AF1430">
        <v>0</v>
      </c>
      <c r="AG1430">
        <v>0</v>
      </c>
      <c r="AH1430">
        <v>0</v>
      </c>
      <c r="AI1430">
        <v>12</v>
      </c>
      <c r="AJ1430">
        <v>12</v>
      </c>
      <c r="AM1430">
        <v>0</v>
      </c>
    </row>
    <row r="1431" spans="1:39" x14ac:dyDescent="0.25">
      <c r="A1431" t="s">
        <v>46</v>
      </c>
      <c r="B1431">
        <v>5</v>
      </c>
      <c r="C1431" t="s">
        <v>645</v>
      </c>
      <c r="D1431" s="39">
        <v>45920</v>
      </c>
      <c r="E1431" t="s">
        <v>626</v>
      </c>
      <c r="F1431" t="s">
        <v>79</v>
      </c>
      <c r="G1431">
        <v>10</v>
      </c>
      <c r="H1431">
        <v>4.5</v>
      </c>
      <c r="I1431" t="s">
        <v>79</v>
      </c>
      <c r="J1431">
        <v>200</v>
      </c>
      <c r="K1431" t="s">
        <v>79</v>
      </c>
      <c r="L1431">
        <v>3</v>
      </c>
      <c r="M1431">
        <v>143.75</v>
      </c>
      <c r="N1431">
        <v>3</v>
      </c>
      <c r="Q1431">
        <v>140.75</v>
      </c>
      <c r="V1431">
        <v>0</v>
      </c>
      <c r="W1431">
        <v>0</v>
      </c>
      <c r="Z1431">
        <v>180</v>
      </c>
      <c r="AF1431">
        <v>180</v>
      </c>
      <c r="AG1431">
        <v>3</v>
      </c>
      <c r="AH1431">
        <v>3</v>
      </c>
      <c r="AI1431">
        <v>9</v>
      </c>
      <c r="AJ1431">
        <v>12</v>
      </c>
      <c r="AM1431">
        <v>0</v>
      </c>
    </row>
    <row r="1432" spans="1:39" x14ac:dyDescent="0.25">
      <c r="D1432" s="39">
        <v>45921</v>
      </c>
      <c r="E1432" t="s">
        <v>81</v>
      </c>
      <c r="Q1432">
        <v>0</v>
      </c>
      <c r="V1432">
        <v>0</v>
      </c>
      <c r="W1432">
        <v>0</v>
      </c>
      <c r="AF1432">
        <v>0</v>
      </c>
      <c r="AG1432">
        <v>0</v>
      </c>
      <c r="AH1432">
        <v>0</v>
      </c>
      <c r="AI1432">
        <v>12</v>
      </c>
      <c r="AJ1432">
        <v>12</v>
      </c>
      <c r="AM1432">
        <v>0</v>
      </c>
    </row>
    <row r="1433" spans="1:39" x14ac:dyDescent="0.25">
      <c r="A1433" t="s">
        <v>46</v>
      </c>
      <c r="B1433">
        <v>2</v>
      </c>
      <c r="C1433" t="s">
        <v>634</v>
      </c>
      <c r="D1433" s="39">
        <v>45922</v>
      </c>
      <c r="E1433" t="s">
        <v>81</v>
      </c>
      <c r="K1433" t="s">
        <v>79</v>
      </c>
      <c r="L1433">
        <v>5</v>
      </c>
      <c r="M1433">
        <v>92.63000000000001</v>
      </c>
      <c r="N1433">
        <v>2.5</v>
      </c>
      <c r="Q1433">
        <v>90.13000000000001</v>
      </c>
      <c r="T1433">
        <v>120</v>
      </c>
      <c r="V1433">
        <v>120</v>
      </c>
      <c r="W1433">
        <v>2</v>
      </c>
      <c r="AF1433">
        <v>0</v>
      </c>
      <c r="AG1433">
        <v>0</v>
      </c>
      <c r="AH1433">
        <v>2</v>
      </c>
      <c r="AI1433">
        <v>10</v>
      </c>
      <c r="AJ1433">
        <v>12</v>
      </c>
      <c r="AM1433">
        <v>0</v>
      </c>
    </row>
    <row r="1434" spans="1:39" x14ac:dyDescent="0.25">
      <c r="A1434" t="s">
        <v>45</v>
      </c>
      <c r="B1434">
        <v>3</v>
      </c>
      <c r="C1434" t="s">
        <v>637</v>
      </c>
      <c r="D1434" s="39">
        <v>45922</v>
      </c>
      <c r="E1434" t="s">
        <v>486</v>
      </c>
      <c r="F1434" t="s">
        <v>79</v>
      </c>
      <c r="G1434">
        <v>6</v>
      </c>
      <c r="H1434">
        <v>5</v>
      </c>
      <c r="I1434" t="s">
        <v>79</v>
      </c>
      <c r="J1434">
        <v>1500</v>
      </c>
      <c r="K1434" t="s">
        <v>79</v>
      </c>
      <c r="L1434">
        <v>7</v>
      </c>
      <c r="M1434">
        <v>187.96</v>
      </c>
      <c r="N1434">
        <v>4.2</v>
      </c>
      <c r="Q1434">
        <v>183.76000000000002</v>
      </c>
      <c r="U1434">
        <v>240</v>
      </c>
      <c r="V1434">
        <v>240</v>
      </c>
      <c r="W1434">
        <v>4</v>
      </c>
      <c r="AF1434">
        <v>0</v>
      </c>
      <c r="AG1434">
        <v>0</v>
      </c>
      <c r="AH1434">
        <v>4</v>
      </c>
      <c r="AI1434">
        <v>8</v>
      </c>
      <c r="AJ1434">
        <v>12</v>
      </c>
      <c r="AM1434">
        <v>0</v>
      </c>
    </row>
    <row r="1435" spans="1:39" x14ac:dyDescent="0.25">
      <c r="A1435" t="s">
        <v>46</v>
      </c>
      <c r="B1435">
        <v>3</v>
      </c>
      <c r="C1435" t="s">
        <v>637</v>
      </c>
      <c r="D1435" s="39">
        <v>45922</v>
      </c>
      <c r="E1435" t="s">
        <v>486</v>
      </c>
      <c r="F1435" t="s">
        <v>79</v>
      </c>
      <c r="G1435">
        <v>6</v>
      </c>
      <c r="H1435">
        <v>5</v>
      </c>
      <c r="I1435" t="s">
        <v>79</v>
      </c>
      <c r="J1435">
        <v>1500</v>
      </c>
      <c r="K1435" t="s">
        <v>79</v>
      </c>
      <c r="L1435">
        <v>12</v>
      </c>
      <c r="M1435">
        <v>339.87</v>
      </c>
      <c r="N1435">
        <v>7.1999999999999993</v>
      </c>
      <c r="O1435">
        <v>32.5</v>
      </c>
      <c r="Q1435">
        <v>332.67</v>
      </c>
      <c r="V1435">
        <v>0</v>
      </c>
      <c r="W1435">
        <v>0</v>
      </c>
      <c r="AF1435">
        <v>0</v>
      </c>
      <c r="AG1435">
        <v>0</v>
      </c>
      <c r="AH1435">
        <v>0</v>
      </c>
      <c r="AI1435">
        <v>12</v>
      </c>
      <c r="AJ1435">
        <v>12</v>
      </c>
      <c r="AM1435">
        <v>0</v>
      </c>
    </row>
    <row r="1436" spans="1:39" x14ac:dyDescent="0.25">
      <c r="A1436" t="s">
        <v>45</v>
      </c>
      <c r="B1436">
        <v>4</v>
      </c>
      <c r="C1436" t="s">
        <v>642</v>
      </c>
      <c r="D1436" s="39">
        <v>45922</v>
      </c>
      <c r="E1436" t="s">
        <v>470</v>
      </c>
      <c r="F1436" t="s">
        <v>79</v>
      </c>
      <c r="G1436">
        <v>18</v>
      </c>
      <c r="H1436" t="s">
        <v>113</v>
      </c>
      <c r="I1436" t="s">
        <v>79</v>
      </c>
      <c r="J1436">
        <v>200</v>
      </c>
      <c r="K1436" t="s">
        <v>79</v>
      </c>
      <c r="L1436">
        <v>8</v>
      </c>
      <c r="M1436">
        <v>447.74</v>
      </c>
      <c r="N1436">
        <v>14.8</v>
      </c>
      <c r="Q1436">
        <v>432.94</v>
      </c>
      <c r="U1436">
        <v>200</v>
      </c>
      <c r="V1436">
        <v>200</v>
      </c>
      <c r="W1436">
        <v>3.3333333333333335</v>
      </c>
      <c r="AF1436">
        <v>0</v>
      </c>
      <c r="AG1436">
        <v>0</v>
      </c>
      <c r="AH1436">
        <v>3.3333333333333335</v>
      </c>
      <c r="AI1436">
        <v>8.6666666666666661</v>
      </c>
      <c r="AJ1436">
        <v>12</v>
      </c>
      <c r="AM1436">
        <v>0</v>
      </c>
    </row>
    <row r="1437" spans="1:39" x14ac:dyDescent="0.25">
      <c r="A1437" t="s">
        <v>46</v>
      </c>
      <c r="B1437">
        <v>4</v>
      </c>
      <c r="C1437" t="s">
        <v>641</v>
      </c>
      <c r="D1437" s="39">
        <v>45922</v>
      </c>
      <c r="E1437" t="s">
        <v>486</v>
      </c>
      <c r="F1437" t="s">
        <v>79</v>
      </c>
      <c r="G1437">
        <v>18</v>
      </c>
      <c r="H1437" t="s">
        <v>113</v>
      </c>
      <c r="I1437" t="s">
        <v>79</v>
      </c>
      <c r="J1437">
        <v>1000</v>
      </c>
      <c r="K1437" t="s">
        <v>79</v>
      </c>
      <c r="L1437">
        <v>13</v>
      </c>
      <c r="M1437">
        <v>723.02</v>
      </c>
      <c r="N1437">
        <v>23.400000000000002</v>
      </c>
      <c r="Q1437">
        <v>699.62</v>
      </c>
      <c r="V1437">
        <v>0</v>
      </c>
      <c r="W1437">
        <v>0</v>
      </c>
      <c r="AF1437">
        <v>0</v>
      </c>
      <c r="AG1437">
        <v>0</v>
      </c>
      <c r="AH1437">
        <v>0</v>
      </c>
      <c r="AI1437">
        <v>12</v>
      </c>
      <c r="AJ1437">
        <v>12</v>
      </c>
      <c r="AM1437">
        <v>0</v>
      </c>
    </row>
    <row r="1438" spans="1:39" x14ac:dyDescent="0.25">
      <c r="A1438" t="s">
        <v>45</v>
      </c>
      <c r="B1438">
        <v>5</v>
      </c>
      <c r="C1438" t="s">
        <v>645</v>
      </c>
      <c r="D1438" s="39">
        <v>45922</v>
      </c>
      <c r="E1438" t="s">
        <v>626</v>
      </c>
      <c r="F1438" t="s">
        <v>79</v>
      </c>
      <c r="G1438">
        <v>10</v>
      </c>
      <c r="H1438">
        <v>4.5</v>
      </c>
      <c r="I1438" t="s">
        <v>79</v>
      </c>
      <c r="J1438">
        <v>200</v>
      </c>
      <c r="K1438" t="s">
        <v>79</v>
      </c>
      <c r="L1438">
        <v>3</v>
      </c>
      <c r="M1438">
        <v>74.87</v>
      </c>
      <c r="N1438">
        <v>3.3000000000000003</v>
      </c>
      <c r="Q1438">
        <v>71.570000000000007</v>
      </c>
      <c r="U1438">
        <v>180</v>
      </c>
      <c r="V1438">
        <v>180</v>
      </c>
      <c r="W1438">
        <v>3</v>
      </c>
      <c r="AD1438">
        <v>30</v>
      </c>
      <c r="AF1438">
        <v>30</v>
      </c>
      <c r="AG1438">
        <v>0.5</v>
      </c>
      <c r="AH1438">
        <v>3.5</v>
      </c>
      <c r="AI1438">
        <v>8.5</v>
      </c>
      <c r="AJ1438">
        <v>12</v>
      </c>
      <c r="AM1438">
        <v>0</v>
      </c>
    </row>
    <row r="1439" spans="1:39" x14ac:dyDescent="0.25">
      <c r="A1439" t="s">
        <v>45</v>
      </c>
      <c r="B1439">
        <v>5</v>
      </c>
      <c r="C1439" t="s">
        <v>646</v>
      </c>
      <c r="D1439" s="39">
        <v>45922</v>
      </c>
      <c r="E1439" t="s">
        <v>647</v>
      </c>
      <c r="F1439" t="s">
        <v>79</v>
      </c>
      <c r="G1439" t="s">
        <v>578</v>
      </c>
      <c r="H1439">
        <v>14</v>
      </c>
      <c r="I1439" t="s">
        <v>79</v>
      </c>
      <c r="J1439">
        <v>200</v>
      </c>
      <c r="K1439" t="s">
        <v>79</v>
      </c>
      <c r="L1439">
        <v>6</v>
      </c>
      <c r="M1439">
        <v>204.02</v>
      </c>
      <c r="N1439">
        <v>6.6000000000000005</v>
      </c>
      <c r="Q1439">
        <v>197.42000000000002</v>
      </c>
      <c r="V1439">
        <v>0</v>
      </c>
      <c r="W1439">
        <v>0</v>
      </c>
      <c r="AF1439">
        <v>0</v>
      </c>
      <c r="AG1439">
        <v>0</v>
      </c>
      <c r="AH1439">
        <v>0</v>
      </c>
      <c r="AI1439">
        <v>12</v>
      </c>
      <c r="AJ1439">
        <v>12</v>
      </c>
      <c r="AM1439">
        <v>0</v>
      </c>
    </row>
    <row r="1440" spans="1:39" x14ac:dyDescent="0.25">
      <c r="A1440" t="s">
        <v>45</v>
      </c>
      <c r="B1440">
        <v>5</v>
      </c>
      <c r="C1440" t="s">
        <v>648</v>
      </c>
      <c r="D1440" s="39">
        <v>45922</v>
      </c>
      <c r="E1440" t="s">
        <v>606</v>
      </c>
      <c r="F1440" t="s">
        <v>79</v>
      </c>
      <c r="G1440">
        <v>10</v>
      </c>
      <c r="H1440">
        <v>7</v>
      </c>
      <c r="I1440" t="s">
        <v>79</v>
      </c>
      <c r="J1440">
        <v>100</v>
      </c>
      <c r="K1440" t="s">
        <v>79</v>
      </c>
      <c r="L1440">
        <v>4</v>
      </c>
      <c r="M1440">
        <v>106.95</v>
      </c>
      <c r="N1440">
        <v>7.6</v>
      </c>
      <c r="Q1440">
        <v>99.350000000000009</v>
      </c>
      <c r="V1440">
        <v>0</v>
      </c>
      <c r="W1440">
        <v>0</v>
      </c>
      <c r="AF1440">
        <v>0</v>
      </c>
      <c r="AG1440">
        <v>0</v>
      </c>
      <c r="AH1440">
        <v>0</v>
      </c>
      <c r="AI1440">
        <v>12</v>
      </c>
      <c r="AJ1440">
        <v>12</v>
      </c>
      <c r="AM1440">
        <v>0</v>
      </c>
    </row>
    <row r="1441" spans="1:39" x14ac:dyDescent="0.25">
      <c r="A1441" t="s">
        <v>46</v>
      </c>
      <c r="B1441">
        <v>5</v>
      </c>
      <c r="C1441" t="s">
        <v>649</v>
      </c>
      <c r="D1441" s="39">
        <v>45922</v>
      </c>
      <c r="E1441" t="s">
        <v>486</v>
      </c>
      <c r="F1441" t="s">
        <v>79</v>
      </c>
      <c r="G1441">
        <v>10</v>
      </c>
      <c r="H1441" t="s">
        <v>113</v>
      </c>
      <c r="I1441" t="s">
        <v>79</v>
      </c>
      <c r="J1441">
        <v>1000</v>
      </c>
      <c r="K1441" t="s">
        <v>79</v>
      </c>
      <c r="L1441">
        <v>9</v>
      </c>
      <c r="M1441">
        <v>442.78999999999996</v>
      </c>
      <c r="N1441">
        <v>8.1</v>
      </c>
      <c r="Q1441">
        <v>434.68999999999994</v>
      </c>
      <c r="S1441">
        <v>20</v>
      </c>
      <c r="V1441">
        <v>20</v>
      </c>
      <c r="W1441">
        <v>0.33333333333333331</v>
      </c>
      <c r="AF1441">
        <v>0</v>
      </c>
      <c r="AG1441">
        <v>0</v>
      </c>
      <c r="AH1441">
        <v>0.33333333333333331</v>
      </c>
      <c r="AI1441">
        <v>11.666666666666666</v>
      </c>
      <c r="AJ1441">
        <v>12</v>
      </c>
      <c r="AM1441">
        <v>0</v>
      </c>
    </row>
    <row r="1442" spans="1:39" x14ac:dyDescent="0.25">
      <c r="A1442" t="s">
        <v>46</v>
      </c>
      <c r="B1442">
        <v>5</v>
      </c>
      <c r="C1442" t="s">
        <v>650</v>
      </c>
      <c r="D1442" s="39">
        <v>45922</v>
      </c>
      <c r="E1442" t="s">
        <v>396</v>
      </c>
      <c r="F1442" t="s">
        <v>79</v>
      </c>
      <c r="G1442">
        <v>16</v>
      </c>
      <c r="H1442" t="s">
        <v>92</v>
      </c>
      <c r="I1442" t="s">
        <v>79</v>
      </c>
      <c r="J1442">
        <v>500</v>
      </c>
      <c r="K1442" t="s">
        <v>79</v>
      </c>
      <c r="L1442">
        <v>2</v>
      </c>
      <c r="M1442">
        <v>83.97999999999999</v>
      </c>
      <c r="N1442">
        <v>3.4</v>
      </c>
      <c r="Q1442">
        <v>80.579999999999984</v>
      </c>
      <c r="V1442">
        <v>0</v>
      </c>
      <c r="W1442">
        <v>0</v>
      </c>
      <c r="AF1442">
        <v>0</v>
      </c>
      <c r="AG1442">
        <v>0</v>
      </c>
      <c r="AH1442">
        <v>0</v>
      </c>
      <c r="AI1442">
        <v>12</v>
      </c>
      <c r="AJ1442">
        <v>12</v>
      </c>
      <c r="AM1442">
        <v>0</v>
      </c>
    </row>
    <row r="1443" spans="1:39" x14ac:dyDescent="0.25">
      <c r="A1443" t="s">
        <v>45</v>
      </c>
      <c r="B1443">
        <v>6</v>
      </c>
      <c r="C1443" t="s">
        <v>628</v>
      </c>
      <c r="D1443" s="39">
        <v>45922</v>
      </c>
      <c r="E1443" t="s">
        <v>629</v>
      </c>
      <c r="F1443" t="s">
        <v>79</v>
      </c>
      <c r="G1443">
        <v>17</v>
      </c>
      <c r="H1443" t="s">
        <v>92</v>
      </c>
      <c r="I1443" t="s">
        <v>79</v>
      </c>
      <c r="J1443">
        <v>8000</v>
      </c>
      <c r="K1443" t="s">
        <v>79</v>
      </c>
      <c r="L1443">
        <v>6</v>
      </c>
      <c r="M1443">
        <v>243.59</v>
      </c>
      <c r="N1443">
        <v>10.95</v>
      </c>
      <c r="O1443">
        <v>22.5</v>
      </c>
      <c r="Q1443">
        <v>232.64000000000001</v>
      </c>
      <c r="R1443" t="s">
        <v>651</v>
      </c>
      <c r="U1443">
        <v>210</v>
      </c>
      <c r="V1443">
        <v>210</v>
      </c>
      <c r="W1443">
        <v>3.5</v>
      </c>
      <c r="AF1443">
        <v>0</v>
      </c>
      <c r="AG1443">
        <v>0</v>
      </c>
      <c r="AH1443">
        <v>3.5</v>
      </c>
      <c r="AI1443">
        <v>8.5</v>
      </c>
      <c r="AJ1443">
        <v>12</v>
      </c>
      <c r="AM1443">
        <v>0</v>
      </c>
    </row>
    <row r="1444" spans="1:39" x14ac:dyDescent="0.25">
      <c r="A1444" t="s">
        <v>46</v>
      </c>
      <c r="B1444">
        <v>6</v>
      </c>
      <c r="C1444" t="s">
        <v>628</v>
      </c>
      <c r="D1444" s="39">
        <v>45922</v>
      </c>
      <c r="E1444" t="s">
        <v>629</v>
      </c>
      <c r="F1444" t="s">
        <v>79</v>
      </c>
      <c r="G1444">
        <v>17</v>
      </c>
      <c r="H1444" t="s">
        <v>92</v>
      </c>
      <c r="I1444" t="s">
        <v>79</v>
      </c>
      <c r="J1444">
        <v>8000</v>
      </c>
      <c r="K1444" t="s">
        <v>79</v>
      </c>
      <c r="L1444">
        <v>9</v>
      </c>
      <c r="M1444">
        <v>293.96999999999997</v>
      </c>
      <c r="N1444">
        <v>18</v>
      </c>
      <c r="Q1444">
        <v>275.96999999999997</v>
      </c>
      <c r="V1444">
        <v>0</v>
      </c>
      <c r="W1444">
        <v>0</v>
      </c>
      <c r="Z1444">
        <v>20</v>
      </c>
      <c r="AA1444">
        <v>45</v>
      </c>
      <c r="AF1444">
        <v>65</v>
      </c>
      <c r="AG1444">
        <v>1.0833333333333333</v>
      </c>
      <c r="AH1444">
        <v>1.0833333333333333</v>
      </c>
      <c r="AI1444">
        <v>10.916666666666666</v>
      </c>
      <c r="AJ1444">
        <v>12</v>
      </c>
      <c r="AM1444">
        <v>0</v>
      </c>
    </row>
    <row r="1445" spans="1:39" x14ac:dyDescent="0.25">
      <c r="A1445" t="s">
        <v>45</v>
      </c>
      <c r="B1445">
        <v>2</v>
      </c>
      <c r="C1445" t="s">
        <v>634</v>
      </c>
      <c r="D1445" s="39">
        <v>45923</v>
      </c>
      <c r="E1445" t="s">
        <v>81</v>
      </c>
      <c r="K1445" t="s">
        <v>79</v>
      </c>
      <c r="L1445">
        <v>8</v>
      </c>
      <c r="M1445">
        <v>125.50999999999999</v>
      </c>
      <c r="N1445">
        <v>4</v>
      </c>
      <c r="O1445">
        <v>28</v>
      </c>
      <c r="Q1445">
        <v>121.50999999999999</v>
      </c>
      <c r="R1445" t="s">
        <v>652</v>
      </c>
      <c r="V1445">
        <v>0</v>
      </c>
      <c r="W1445">
        <v>0</v>
      </c>
      <c r="AF1445">
        <v>0</v>
      </c>
      <c r="AG1445">
        <v>0</v>
      </c>
      <c r="AH1445">
        <v>0</v>
      </c>
      <c r="AI1445">
        <v>12</v>
      </c>
      <c r="AJ1445">
        <v>12</v>
      </c>
      <c r="AM1445">
        <v>0</v>
      </c>
    </row>
    <row r="1446" spans="1:39" x14ac:dyDescent="0.25">
      <c r="A1446" t="s">
        <v>46</v>
      </c>
      <c r="B1446">
        <v>2</v>
      </c>
      <c r="C1446" t="s">
        <v>634</v>
      </c>
      <c r="D1446" s="39">
        <v>45923</v>
      </c>
      <c r="E1446" t="s">
        <v>81</v>
      </c>
      <c r="K1446" t="s">
        <v>79</v>
      </c>
      <c r="L1446">
        <v>7</v>
      </c>
      <c r="M1446">
        <v>123.85</v>
      </c>
      <c r="N1446">
        <v>3.5</v>
      </c>
      <c r="O1446">
        <v>20</v>
      </c>
      <c r="Q1446">
        <v>120.35</v>
      </c>
      <c r="R1446" t="s">
        <v>653</v>
      </c>
      <c r="V1446">
        <v>0</v>
      </c>
      <c r="W1446">
        <v>0</v>
      </c>
      <c r="AF1446">
        <v>0</v>
      </c>
      <c r="AG1446">
        <v>0</v>
      </c>
      <c r="AH1446">
        <v>0</v>
      </c>
      <c r="AI1446">
        <v>12</v>
      </c>
      <c r="AJ1446">
        <v>12</v>
      </c>
      <c r="AM1446">
        <v>0</v>
      </c>
    </row>
    <row r="1447" spans="1:39" x14ac:dyDescent="0.25">
      <c r="A1447" t="s">
        <v>45</v>
      </c>
      <c r="B1447">
        <v>3</v>
      </c>
      <c r="C1447" t="s">
        <v>637</v>
      </c>
      <c r="D1447" s="39">
        <v>45923</v>
      </c>
      <c r="E1447" t="s">
        <v>486</v>
      </c>
      <c r="F1447" t="s">
        <v>79</v>
      </c>
      <c r="G1447">
        <v>6</v>
      </c>
      <c r="H1447">
        <v>5</v>
      </c>
      <c r="I1447" t="s">
        <v>79</v>
      </c>
      <c r="J1447">
        <v>1500</v>
      </c>
      <c r="K1447" t="s">
        <v>79</v>
      </c>
      <c r="L1447">
        <v>7</v>
      </c>
      <c r="M1447">
        <v>190.46999999999997</v>
      </c>
      <c r="N1447">
        <v>4.2</v>
      </c>
      <c r="Q1447">
        <v>186.26999999999998</v>
      </c>
      <c r="V1447">
        <v>0</v>
      </c>
      <c r="W1447">
        <v>0</v>
      </c>
      <c r="AF1447">
        <v>0</v>
      </c>
      <c r="AG1447">
        <v>0</v>
      </c>
      <c r="AH1447">
        <v>0</v>
      </c>
      <c r="AI1447">
        <v>12</v>
      </c>
      <c r="AJ1447">
        <v>12</v>
      </c>
      <c r="AM1447">
        <v>0</v>
      </c>
    </row>
    <row r="1448" spans="1:39" x14ac:dyDescent="0.25">
      <c r="A1448" t="s">
        <v>45</v>
      </c>
      <c r="B1448">
        <v>3</v>
      </c>
      <c r="C1448" t="s">
        <v>654</v>
      </c>
      <c r="D1448" s="39">
        <v>45923</v>
      </c>
      <c r="E1448" t="s">
        <v>655</v>
      </c>
      <c r="F1448" t="s">
        <v>79</v>
      </c>
      <c r="G1448">
        <v>6</v>
      </c>
      <c r="H1448">
        <v>6</v>
      </c>
      <c r="I1448" t="s">
        <v>79</v>
      </c>
      <c r="J1448">
        <v>200</v>
      </c>
      <c r="K1448" t="s">
        <v>79</v>
      </c>
      <c r="L1448">
        <v>1</v>
      </c>
      <c r="M1448">
        <v>205.74</v>
      </c>
      <c r="N1448">
        <v>0.6</v>
      </c>
      <c r="Q1448">
        <v>205.14000000000001</v>
      </c>
      <c r="V1448">
        <v>0</v>
      </c>
      <c r="W1448">
        <v>0</v>
      </c>
      <c r="AF1448">
        <v>0</v>
      </c>
      <c r="AG1448">
        <v>0</v>
      </c>
      <c r="AH1448">
        <v>0</v>
      </c>
      <c r="AI1448">
        <v>12</v>
      </c>
      <c r="AJ1448">
        <v>12</v>
      </c>
      <c r="AM1448">
        <v>0</v>
      </c>
    </row>
    <row r="1449" spans="1:39" x14ac:dyDescent="0.25">
      <c r="A1449" t="s">
        <v>46</v>
      </c>
      <c r="B1449">
        <v>3</v>
      </c>
      <c r="C1449" t="s">
        <v>656</v>
      </c>
      <c r="D1449" s="39">
        <v>45923</v>
      </c>
      <c r="E1449" t="s">
        <v>385</v>
      </c>
      <c r="F1449" t="s">
        <v>79</v>
      </c>
      <c r="G1449">
        <v>6</v>
      </c>
      <c r="H1449" t="s">
        <v>93</v>
      </c>
      <c r="I1449" t="s">
        <v>79</v>
      </c>
      <c r="J1449">
        <v>200</v>
      </c>
      <c r="K1449" t="s">
        <v>79</v>
      </c>
      <c r="L1449">
        <v>8</v>
      </c>
      <c r="M1449">
        <v>47.599999999999994</v>
      </c>
      <c r="N1449">
        <v>4.8</v>
      </c>
      <c r="Q1449">
        <v>42.8</v>
      </c>
      <c r="V1449">
        <v>0</v>
      </c>
      <c r="W1449">
        <v>0</v>
      </c>
      <c r="AF1449">
        <v>0</v>
      </c>
      <c r="AG1449">
        <v>0</v>
      </c>
      <c r="AH1449">
        <v>0</v>
      </c>
      <c r="AI1449">
        <v>12</v>
      </c>
      <c r="AJ1449">
        <v>12</v>
      </c>
      <c r="AM1449">
        <v>0</v>
      </c>
    </row>
    <row r="1450" spans="1:39" x14ac:dyDescent="0.25">
      <c r="A1450" t="s">
        <v>45</v>
      </c>
      <c r="B1450">
        <v>4</v>
      </c>
      <c r="C1450" t="s">
        <v>641</v>
      </c>
      <c r="D1450" s="39">
        <v>45923</v>
      </c>
      <c r="E1450" t="s">
        <v>486</v>
      </c>
      <c r="F1450" t="s">
        <v>79</v>
      </c>
      <c r="G1450">
        <v>18</v>
      </c>
      <c r="H1450" t="s">
        <v>113</v>
      </c>
      <c r="I1450" t="s">
        <v>79</v>
      </c>
      <c r="J1450">
        <v>1000</v>
      </c>
      <c r="K1450" t="s">
        <v>79</v>
      </c>
      <c r="L1450">
        <v>6</v>
      </c>
      <c r="M1450">
        <v>340.03</v>
      </c>
      <c r="N1450">
        <v>11.2</v>
      </c>
      <c r="Q1450">
        <v>328.83</v>
      </c>
      <c r="S1450">
        <v>20</v>
      </c>
      <c r="V1450">
        <v>20</v>
      </c>
      <c r="W1450">
        <v>0.33333333333333331</v>
      </c>
      <c r="AF1450">
        <v>0</v>
      </c>
      <c r="AG1450">
        <v>0</v>
      </c>
      <c r="AH1450">
        <v>0.33333333333333331</v>
      </c>
      <c r="AI1450">
        <v>11.666666666666666</v>
      </c>
      <c r="AJ1450">
        <v>12</v>
      </c>
      <c r="AM1450">
        <v>0</v>
      </c>
    </row>
    <row r="1451" spans="1:39" x14ac:dyDescent="0.25">
      <c r="A1451" t="s">
        <v>45</v>
      </c>
      <c r="B1451">
        <v>4</v>
      </c>
      <c r="C1451" t="s">
        <v>657</v>
      </c>
      <c r="D1451" s="39">
        <v>45923</v>
      </c>
      <c r="E1451" t="s">
        <v>470</v>
      </c>
      <c r="F1451" t="s">
        <v>79</v>
      </c>
      <c r="G1451">
        <v>20</v>
      </c>
      <c r="H1451" t="s">
        <v>113</v>
      </c>
      <c r="I1451" t="s">
        <v>79</v>
      </c>
      <c r="J1451">
        <v>400</v>
      </c>
      <c r="K1451" t="s">
        <v>79</v>
      </c>
      <c r="L1451">
        <v>6</v>
      </c>
      <c r="M1451">
        <v>347.3</v>
      </c>
      <c r="N1451">
        <v>9.6000000000000014</v>
      </c>
      <c r="Q1451">
        <v>337.7</v>
      </c>
      <c r="V1451">
        <v>0</v>
      </c>
      <c r="W1451">
        <v>0</v>
      </c>
      <c r="AF1451">
        <v>0</v>
      </c>
      <c r="AG1451">
        <v>0</v>
      </c>
      <c r="AH1451">
        <v>0</v>
      </c>
      <c r="AI1451">
        <v>12</v>
      </c>
      <c r="AJ1451">
        <v>12</v>
      </c>
      <c r="AM1451">
        <v>0</v>
      </c>
    </row>
    <row r="1452" spans="1:39" x14ac:dyDescent="0.25">
      <c r="A1452" t="s">
        <v>46</v>
      </c>
      <c r="B1452">
        <v>4</v>
      </c>
      <c r="C1452" t="s">
        <v>657</v>
      </c>
      <c r="D1452" s="39">
        <v>45923</v>
      </c>
      <c r="E1452" t="s">
        <v>470</v>
      </c>
      <c r="F1452" t="s">
        <v>79</v>
      </c>
      <c r="G1452">
        <v>20</v>
      </c>
      <c r="H1452" t="s">
        <v>113</v>
      </c>
      <c r="I1452" t="s">
        <v>79</v>
      </c>
      <c r="J1452">
        <v>400</v>
      </c>
      <c r="K1452" t="s">
        <v>79</v>
      </c>
      <c r="L1452">
        <v>13</v>
      </c>
      <c r="M1452">
        <v>749.21000000000015</v>
      </c>
      <c r="N1452">
        <v>27.3</v>
      </c>
      <c r="Q1452">
        <v>721.9100000000002</v>
      </c>
      <c r="V1452">
        <v>0</v>
      </c>
      <c r="W1452">
        <v>0</v>
      </c>
      <c r="AF1452">
        <v>0</v>
      </c>
      <c r="AG1452">
        <v>0</v>
      </c>
      <c r="AH1452">
        <v>0</v>
      </c>
      <c r="AI1452">
        <v>12</v>
      </c>
      <c r="AJ1452">
        <v>12</v>
      </c>
      <c r="AM1452">
        <v>0</v>
      </c>
    </row>
    <row r="1453" spans="1:39" x14ac:dyDescent="0.25">
      <c r="A1453" t="s">
        <v>45</v>
      </c>
      <c r="B1453">
        <v>5</v>
      </c>
      <c r="C1453" t="s">
        <v>650</v>
      </c>
      <c r="D1453" s="39">
        <v>45923</v>
      </c>
      <c r="E1453" t="s">
        <v>396</v>
      </c>
      <c r="F1453" t="s">
        <v>79</v>
      </c>
      <c r="G1453">
        <v>16</v>
      </c>
      <c r="H1453" t="s">
        <v>92</v>
      </c>
      <c r="I1453" t="s">
        <v>79</v>
      </c>
      <c r="J1453">
        <v>500</v>
      </c>
      <c r="K1453" t="s">
        <v>79</v>
      </c>
      <c r="L1453">
        <v>8</v>
      </c>
      <c r="M1453">
        <v>440.49999999999994</v>
      </c>
      <c r="N1453">
        <v>13.6</v>
      </c>
      <c r="Q1453">
        <v>426.89999999999992</v>
      </c>
      <c r="V1453">
        <v>0</v>
      </c>
      <c r="W1453">
        <v>0</v>
      </c>
      <c r="AF1453">
        <v>0</v>
      </c>
      <c r="AG1453">
        <v>0</v>
      </c>
      <c r="AH1453">
        <v>0</v>
      </c>
      <c r="AI1453">
        <v>12</v>
      </c>
      <c r="AJ1453">
        <v>12</v>
      </c>
      <c r="AM1453">
        <v>0</v>
      </c>
    </row>
    <row r="1454" spans="1:39" x14ac:dyDescent="0.25">
      <c r="A1454" t="s">
        <v>45</v>
      </c>
      <c r="B1454">
        <v>5</v>
      </c>
      <c r="C1454" t="s">
        <v>658</v>
      </c>
      <c r="D1454" s="39">
        <v>45923</v>
      </c>
      <c r="E1454" t="s">
        <v>491</v>
      </c>
      <c r="F1454" t="s">
        <v>79</v>
      </c>
      <c r="G1454">
        <v>16</v>
      </c>
      <c r="H1454" t="s">
        <v>659</v>
      </c>
      <c r="I1454" t="s">
        <v>79</v>
      </c>
      <c r="J1454">
        <v>150</v>
      </c>
      <c r="K1454" t="s">
        <v>79</v>
      </c>
      <c r="L1454">
        <v>3</v>
      </c>
      <c r="M1454">
        <v>133.23000000000002</v>
      </c>
      <c r="N1454">
        <v>5.0999999999999996</v>
      </c>
      <c r="Q1454">
        <v>128.13000000000002</v>
      </c>
      <c r="V1454">
        <v>0</v>
      </c>
      <c r="W1454">
        <v>0</v>
      </c>
      <c r="AF1454">
        <v>0</v>
      </c>
      <c r="AG1454">
        <v>0</v>
      </c>
      <c r="AH1454">
        <v>0</v>
      </c>
      <c r="AI1454">
        <v>12</v>
      </c>
      <c r="AJ1454">
        <v>12</v>
      </c>
      <c r="AM1454">
        <v>0</v>
      </c>
    </row>
    <row r="1455" spans="1:39" x14ac:dyDescent="0.25">
      <c r="A1455" t="s">
        <v>46</v>
      </c>
      <c r="B1455">
        <v>5</v>
      </c>
      <c r="C1455" t="s">
        <v>658</v>
      </c>
      <c r="D1455" s="39">
        <v>45923</v>
      </c>
      <c r="E1455" t="s">
        <v>491</v>
      </c>
      <c r="F1455" t="s">
        <v>79</v>
      </c>
      <c r="G1455">
        <v>16</v>
      </c>
      <c r="H1455" t="s">
        <v>659</v>
      </c>
      <c r="I1455" t="s">
        <v>79</v>
      </c>
      <c r="J1455">
        <v>150</v>
      </c>
      <c r="K1455" t="s">
        <v>79</v>
      </c>
      <c r="L1455">
        <v>1</v>
      </c>
      <c r="M1455">
        <v>40</v>
      </c>
      <c r="N1455">
        <v>1.7</v>
      </c>
      <c r="Q1455">
        <v>38.299999999999997</v>
      </c>
      <c r="S1455">
        <v>20</v>
      </c>
      <c r="V1455">
        <v>20</v>
      </c>
      <c r="W1455">
        <v>0.33333333333333331</v>
      </c>
      <c r="AF1455">
        <v>0</v>
      </c>
      <c r="AG1455">
        <v>0</v>
      </c>
      <c r="AH1455">
        <v>0.33333333333333331</v>
      </c>
      <c r="AI1455">
        <v>11.666666666666666</v>
      </c>
      <c r="AJ1455">
        <v>12</v>
      </c>
      <c r="AM1455">
        <v>0</v>
      </c>
    </row>
    <row r="1456" spans="1:39" x14ac:dyDescent="0.25">
      <c r="A1456" t="s">
        <v>46</v>
      </c>
      <c r="B1456">
        <v>5</v>
      </c>
      <c r="C1456" t="s">
        <v>660</v>
      </c>
      <c r="D1456" s="39">
        <v>45923</v>
      </c>
      <c r="E1456" t="s">
        <v>570</v>
      </c>
      <c r="F1456" t="s">
        <v>79</v>
      </c>
      <c r="G1456">
        <v>16</v>
      </c>
      <c r="H1456">
        <v>4.5</v>
      </c>
      <c r="I1456" t="s">
        <v>79</v>
      </c>
      <c r="J1456">
        <v>250</v>
      </c>
      <c r="K1456" t="s">
        <v>79</v>
      </c>
      <c r="L1456">
        <v>2</v>
      </c>
      <c r="M1456">
        <v>59.519999999999996</v>
      </c>
      <c r="N1456">
        <v>3.2</v>
      </c>
      <c r="Q1456">
        <v>56.319999999999993</v>
      </c>
      <c r="V1456">
        <v>0</v>
      </c>
      <c r="W1456">
        <v>0</v>
      </c>
      <c r="AF1456">
        <v>0</v>
      </c>
      <c r="AG1456">
        <v>0</v>
      </c>
      <c r="AH1456">
        <v>0</v>
      </c>
      <c r="AI1456">
        <v>12</v>
      </c>
      <c r="AJ1456">
        <v>12</v>
      </c>
      <c r="AM1456">
        <v>0</v>
      </c>
    </row>
    <row r="1457" spans="1:39" x14ac:dyDescent="0.25">
      <c r="A1457" t="s">
        <v>46</v>
      </c>
      <c r="B1457">
        <v>5</v>
      </c>
      <c r="C1457" t="s">
        <v>661</v>
      </c>
      <c r="D1457" s="39">
        <v>45923</v>
      </c>
      <c r="E1457" t="s">
        <v>563</v>
      </c>
      <c r="F1457" t="s">
        <v>79</v>
      </c>
      <c r="G1457">
        <v>17</v>
      </c>
      <c r="H1457" t="s">
        <v>353</v>
      </c>
      <c r="I1457" t="s">
        <v>79</v>
      </c>
      <c r="J1457">
        <v>2900</v>
      </c>
      <c r="K1457" t="s">
        <v>79</v>
      </c>
      <c r="L1457">
        <v>11</v>
      </c>
      <c r="M1457">
        <v>480.69000000000005</v>
      </c>
      <c r="N1457">
        <v>20.46</v>
      </c>
      <c r="Q1457">
        <v>460.23000000000008</v>
      </c>
      <c r="V1457">
        <v>0</v>
      </c>
      <c r="W1457">
        <v>0</v>
      </c>
      <c r="AF1457">
        <v>0</v>
      </c>
      <c r="AG1457">
        <v>0</v>
      </c>
      <c r="AH1457">
        <v>0</v>
      </c>
      <c r="AI1457">
        <v>12</v>
      </c>
      <c r="AJ1457">
        <v>12</v>
      </c>
      <c r="AM1457">
        <v>0</v>
      </c>
    </row>
    <row r="1458" spans="1:39" x14ac:dyDescent="0.25">
      <c r="A1458" t="s">
        <v>46</v>
      </c>
      <c r="B1458">
        <v>1</v>
      </c>
      <c r="C1458" t="s">
        <v>662</v>
      </c>
      <c r="D1458" s="39">
        <v>45924</v>
      </c>
      <c r="E1458" t="s">
        <v>663</v>
      </c>
      <c r="F1458" t="s">
        <v>79</v>
      </c>
      <c r="G1458">
        <v>2</v>
      </c>
      <c r="H1458">
        <v>12</v>
      </c>
      <c r="I1458" t="s">
        <v>79</v>
      </c>
      <c r="J1458">
        <v>500</v>
      </c>
      <c r="K1458" t="s">
        <v>79</v>
      </c>
      <c r="L1458">
        <v>11</v>
      </c>
      <c r="M1458">
        <v>106.19</v>
      </c>
      <c r="N1458">
        <v>2.2000000000000002</v>
      </c>
      <c r="Q1458">
        <v>103.99</v>
      </c>
      <c r="U1458">
        <v>120</v>
      </c>
      <c r="V1458">
        <v>120</v>
      </c>
      <c r="W1458">
        <v>2</v>
      </c>
      <c r="AF1458">
        <v>0</v>
      </c>
      <c r="AG1458">
        <v>0</v>
      </c>
      <c r="AH1458">
        <v>2</v>
      </c>
      <c r="AI1458">
        <v>10</v>
      </c>
      <c r="AJ1458">
        <v>12</v>
      </c>
      <c r="AL1458">
        <v>2483.5</v>
      </c>
      <c r="AM1458">
        <v>0</v>
      </c>
    </row>
    <row r="1459" spans="1:39" x14ac:dyDescent="0.25">
      <c r="A1459" t="s">
        <v>45</v>
      </c>
      <c r="B1459">
        <v>2</v>
      </c>
      <c r="C1459" t="s">
        <v>634</v>
      </c>
      <c r="D1459" s="39">
        <v>45924</v>
      </c>
      <c r="E1459" t="s">
        <v>81</v>
      </c>
      <c r="K1459" t="s">
        <v>79</v>
      </c>
      <c r="L1459">
        <v>4</v>
      </c>
      <c r="M1459">
        <v>62.449999999999996</v>
      </c>
      <c r="N1459">
        <v>2</v>
      </c>
      <c r="Q1459">
        <v>60.449999999999996</v>
      </c>
      <c r="V1459">
        <v>0</v>
      </c>
      <c r="W1459">
        <v>0</v>
      </c>
      <c r="Z1459">
        <v>420</v>
      </c>
      <c r="AF1459">
        <v>420</v>
      </c>
      <c r="AG1459">
        <v>7</v>
      </c>
      <c r="AH1459">
        <v>7</v>
      </c>
      <c r="AI1459">
        <v>5</v>
      </c>
      <c r="AJ1459">
        <v>12</v>
      </c>
      <c r="AM1459">
        <v>0</v>
      </c>
    </row>
    <row r="1460" spans="1:39" x14ac:dyDescent="0.25">
      <c r="A1460" t="s">
        <v>46</v>
      </c>
      <c r="B1460">
        <v>2</v>
      </c>
      <c r="C1460" t="s">
        <v>664</v>
      </c>
      <c r="D1460" s="39">
        <v>45924</v>
      </c>
      <c r="E1460" t="s">
        <v>647</v>
      </c>
      <c r="F1460" t="s">
        <v>79</v>
      </c>
      <c r="G1460" t="s">
        <v>665</v>
      </c>
      <c r="H1460">
        <v>14</v>
      </c>
      <c r="I1460" t="s">
        <v>79</v>
      </c>
      <c r="J1460">
        <v>200</v>
      </c>
      <c r="K1460" t="s">
        <v>79</v>
      </c>
      <c r="L1460">
        <v>5</v>
      </c>
      <c r="M1460">
        <v>78.41</v>
      </c>
      <c r="N1460">
        <v>2.5</v>
      </c>
      <c r="Q1460">
        <v>75.91</v>
      </c>
      <c r="U1460">
        <v>120</v>
      </c>
      <c r="V1460">
        <v>120</v>
      </c>
      <c r="W1460">
        <v>2</v>
      </c>
      <c r="AF1460">
        <v>0</v>
      </c>
      <c r="AG1460">
        <v>0</v>
      </c>
      <c r="AH1460">
        <v>2</v>
      </c>
      <c r="AI1460">
        <v>10</v>
      </c>
      <c r="AJ1460">
        <v>12</v>
      </c>
      <c r="AM1460">
        <v>0</v>
      </c>
    </row>
    <row r="1461" spans="1:39" x14ac:dyDescent="0.25">
      <c r="A1461" t="s">
        <v>46</v>
      </c>
      <c r="B1461">
        <v>2</v>
      </c>
      <c r="C1461" t="s">
        <v>664</v>
      </c>
      <c r="D1461" s="39">
        <v>45924</v>
      </c>
      <c r="E1461" t="s">
        <v>647</v>
      </c>
      <c r="F1461" t="s">
        <v>79</v>
      </c>
      <c r="G1461" t="s">
        <v>665</v>
      </c>
      <c r="H1461">
        <v>14</v>
      </c>
      <c r="I1461" t="s">
        <v>79</v>
      </c>
      <c r="J1461">
        <v>200</v>
      </c>
      <c r="K1461" t="s">
        <v>79</v>
      </c>
      <c r="L1461">
        <v>3</v>
      </c>
      <c r="M1461">
        <v>54.790000000000006</v>
      </c>
      <c r="N1461">
        <v>1.5</v>
      </c>
      <c r="Q1461">
        <v>53.290000000000006</v>
      </c>
      <c r="V1461">
        <v>0</v>
      </c>
      <c r="W1461">
        <v>0</v>
      </c>
      <c r="AF1461">
        <v>0</v>
      </c>
      <c r="AG1461">
        <v>0</v>
      </c>
      <c r="AH1461">
        <v>0</v>
      </c>
      <c r="AI1461">
        <v>12</v>
      </c>
      <c r="AJ1461">
        <v>12</v>
      </c>
      <c r="AM1461">
        <v>0</v>
      </c>
    </row>
    <row r="1462" spans="1:39" x14ac:dyDescent="0.25">
      <c r="A1462" t="s">
        <v>45</v>
      </c>
      <c r="B1462">
        <v>3</v>
      </c>
      <c r="C1462" t="s">
        <v>656</v>
      </c>
      <c r="D1462" s="39">
        <v>45924</v>
      </c>
      <c r="E1462" t="s">
        <v>385</v>
      </c>
      <c r="F1462" t="s">
        <v>79</v>
      </c>
      <c r="G1462">
        <v>6</v>
      </c>
      <c r="H1462" t="s">
        <v>93</v>
      </c>
      <c r="I1462" t="s">
        <v>79</v>
      </c>
      <c r="J1462">
        <v>200</v>
      </c>
      <c r="K1462" t="s">
        <v>79</v>
      </c>
      <c r="L1462">
        <v>7</v>
      </c>
      <c r="M1462">
        <v>167.32999999999998</v>
      </c>
      <c r="N1462">
        <v>4.2</v>
      </c>
      <c r="Q1462">
        <v>163.13</v>
      </c>
      <c r="S1462">
        <v>20</v>
      </c>
      <c r="V1462">
        <v>20</v>
      </c>
      <c r="W1462">
        <v>0.33333333333333331</v>
      </c>
      <c r="AF1462">
        <v>0</v>
      </c>
      <c r="AG1462">
        <v>0</v>
      </c>
      <c r="AH1462">
        <v>0.33333333333333331</v>
      </c>
      <c r="AI1462">
        <v>11.666666666666666</v>
      </c>
      <c r="AJ1462">
        <v>12</v>
      </c>
      <c r="AM1462">
        <v>0</v>
      </c>
    </row>
    <row r="1463" spans="1:39" x14ac:dyDescent="0.25">
      <c r="A1463" t="s">
        <v>45</v>
      </c>
      <c r="B1463">
        <v>3</v>
      </c>
      <c r="C1463" t="s">
        <v>666</v>
      </c>
      <c r="D1463" s="39">
        <v>45924</v>
      </c>
      <c r="E1463" t="s">
        <v>667</v>
      </c>
      <c r="F1463" t="s">
        <v>79</v>
      </c>
      <c r="G1463">
        <v>9</v>
      </c>
      <c r="H1463">
        <v>7</v>
      </c>
      <c r="I1463" t="s">
        <v>79</v>
      </c>
      <c r="J1463">
        <v>100</v>
      </c>
      <c r="K1463" t="s">
        <v>79</v>
      </c>
      <c r="L1463">
        <v>3</v>
      </c>
      <c r="M1463">
        <v>76.63</v>
      </c>
      <c r="N1463">
        <v>2.7</v>
      </c>
      <c r="Q1463">
        <v>73.929999999999993</v>
      </c>
      <c r="V1463">
        <v>0</v>
      </c>
      <c r="W1463">
        <v>0</v>
      </c>
      <c r="AF1463">
        <v>0</v>
      </c>
      <c r="AG1463">
        <v>0</v>
      </c>
      <c r="AH1463">
        <v>0</v>
      </c>
      <c r="AI1463">
        <v>12</v>
      </c>
      <c r="AJ1463">
        <v>12</v>
      </c>
      <c r="AM1463">
        <v>0</v>
      </c>
    </row>
    <row r="1464" spans="1:39" x14ac:dyDescent="0.25">
      <c r="A1464" t="s">
        <v>46</v>
      </c>
      <c r="B1464">
        <v>3</v>
      </c>
      <c r="C1464" t="s">
        <v>666</v>
      </c>
      <c r="D1464" s="39">
        <v>45924</v>
      </c>
      <c r="E1464" t="s">
        <v>667</v>
      </c>
      <c r="F1464" t="s">
        <v>79</v>
      </c>
      <c r="G1464">
        <v>9</v>
      </c>
      <c r="H1464">
        <v>7</v>
      </c>
      <c r="I1464" t="s">
        <v>79</v>
      </c>
      <c r="J1464">
        <v>100</v>
      </c>
      <c r="K1464" t="s">
        <v>79</v>
      </c>
      <c r="L1464">
        <v>8</v>
      </c>
      <c r="M1464">
        <v>276.90999999999997</v>
      </c>
      <c r="N1464">
        <v>7.2</v>
      </c>
      <c r="Q1464">
        <v>269.70999999999998</v>
      </c>
      <c r="S1464">
        <v>20</v>
      </c>
      <c r="V1464">
        <v>20</v>
      </c>
      <c r="W1464">
        <v>0.33333333333333331</v>
      </c>
      <c r="AF1464">
        <v>0</v>
      </c>
      <c r="AG1464">
        <v>0</v>
      </c>
      <c r="AH1464">
        <v>0.33333333333333331</v>
      </c>
      <c r="AI1464">
        <v>11.666666666666666</v>
      </c>
      <c r="AJ1464">
        <v>12</v>
      </c>
      <c r="AM1464">
        <v>0</v>
      </c>
    </row>
    <row r="1465" spans="1:39" x14ac:dyDescent="0.25">
      <c r="A1465" t="s">
        <v>45</v>
      </c>
      <c r="B1465">
        <v>4</v>
      </c>
      <c r="C1465" t="s">
        <v>668</v>
      </c>
      <c r="D1465" s="39">
        <v>45924</v>
      </c>
      <c r="E1465" t="s">
        <v>669</v>
      </c>
      <c r="F1465" t="s">
        <v>79</v>
      </c>
      <c r="G1465">
        <v>20</v>
      </c>
      <c r="H1465">
        <v>5</v>
      </c>
      <c r="I1465" t="s">
        <v>79</v>
      </c>
      <c r="J1465">
        <v>25</v>
      </c>
      <c r="K1465" t="s">
        <v>79</v>
      </c>
      <c r="L1465">
        <v>2</v>
      </c>
      <c r="M1465">
        <v>120.31</v>
      </c>
      <c r="N1465">
        <v>4</v>
      </c>
      <c r="O1465">
        <v>27.5</v>
      </c>
      <c r="Q1465">
        <v>116.31</v>
      </c>
      <c r="S1465">
        <v>20</v>
      </c>
      <c r="V1465">
        <v>20</v>
      </c>
      <c r="W1465">
        <v>0.33333333333333331</v>
      </c>
      <c r="AF1465">
        <v>0</v>
      </c>
      <c r="AG1465">
        <v>0</v>
      </c>
      <c r="AH1465">
        <v>0.33333333333333331</v>
      </c>
      <c r="AI1465">
        <v>11.666666666666666</v>
      </c>
      <c r="AJ1465">
        <v>12</v>
      </c>
      <c r="AM1465">
        <v>0</v>
      </c>
    </row>
    <row r="1466" spans="1:39" x14ac:dyDescent="0.25">
      <c r="A1466" t="s">
        <v>45</v>
      </c>
      <c r="B1466">
        <v>4</v>
      </c>
      <c r="C1466" t="s">
        <v>670</v>
      </c>
      <c r="D1466" s="39">
        <v>45924</v>
      </c>
      <c r="E1466" t="s">
        <v>400</v>
      </c>
      <c r="F1466" t="s">
        <v>79</v>
      </c>
      <c r="G1466">
        <v>16</v>
      </c>
      <c r="H1466" t="s">
        <v>127</v>
      </c>
      <c r="I1466" t="s">
        <v>79</v>
      </c>
      <c r="J1466">
        <v>400</v>
      </c>
      <c r="K1466" t="s">
        <v>79</v>
      </c>
      <c r="L1466">
        <v>9</v>
      </c>
      <c r="M1466">
        <v>457.09</v>
      </c>
      <c r="N1466">
        <v>17.099999999999998</v>
      </c>
      <c r="Q1466">
        <v>439.98999999999995</v>
      </c>
      <c r="V1466">
        <v>0</v>
      </c>
      <c r="W1466">
        <v>0</v>
      </c>
      <c r="AF1466">
        <v>0</v>
      </c>
      <c r="AG1466">
        <v>0</v>
      </c>
      <c r="AH1466">
        <v>0</v>
      </c>
      <c r="AI1466">
        <v>12</v>
      </c>
      <c r="AJ1466">
        <v>12</v>
      </c>
      <c r="AM1466">
        <v>0</v>
      </c>
    </row>
    <row r="1467" spans="1:39" x14ac:dyDescent="0.25">
      <c r="A1467" t="s">
        <v>46</v>
      </c>
      <c r="B1467">
        <v>4</v>
      </c>
      <c r="C1467" t="s">
        <v>660</v>
      </c>
      <c r="D1467" s="39">
        <v>45924</v>
      </c>
      <c r="E1467" t="s">
        <v>570</v>
      </c>
      <c r="F1467" t="s">
        <v>79</v>
      </c>
      <c r="G1467">
        <v>16</v>
      </c>
      <c r="H1467">
        <v>4.5</v>
      </c>
      <c r="I1467" t="s">
        <v>79</v>
      </c>
      <c r="J1467">
        <v>250</v>
      </c>
      <c r="K1467" t="s">
        <v>79</v>
      </c>
      <c r="L1467">
        <v>1</v>
      </c>
      <c r="M1467">
        <v>57.24</v>
      </c>
      <c r="N1467">
        <v>1.6</v>
      </c>
      <c r="O1467">
        <v>32.5</v>
      </c>
      <c r="Q1467">
        <v>55.64</v>
      </c>
      <c r="V1467">
        <v>0</v>
      </c>
      <c r="W1467">
        <v>0</v>
      </c>
      <c r="AF1467">
        <v>0</v>
      </c>
      <c r="AG1467">
        <v>0</v>
      </c>
      <c r="AH1467">
        <v>0</v>
      </c>
      <c r="AI1467">
        <v>12</v>
      </c>
      <c r="AJ1467">
        <v>12</v>
      </c>
      <c r="AM1467">
        <v>0</v>
      </c>
    </row>
    <row r="1468" spans="1:39" x14ac:dyDescent="0.25">
      <c r="A1468" t="s">
        <v>46</v>
      </c>
      <c r="B1468">
        <v>4</v>
      </c>
      <c r="C1468" t="s">
        <v>579</v>
      </c>
      <c r="D1468" s="39">
        <v>45924</v>
      </c>
      <c r="E1468" t="s">
        <v>276</v>
      </c>
      <c r="F1468" t="s">
        <v>79</v>
      </c>
      <c r="G1468">
        <v>16</v>
      </c>
      <c r="H1468" t="s">
        <v>113</v>
      </c>
      <c r="I1468" t="s">
        <v>79</v>
      </c>
      <c r="J1468">
        <v>1000</v>
      </c>
      <c r="K1468" t="s">
        <v>79</v>
      </c>
      <c r="L1468">
        <v>12</v>
      </c>
      <c r="M1468">
        <v>639.00999999999988</v>
      </c>
      <c r="N1468">
        <v>19.200000000000003</v>
      </c>
      <c r="Q1468">
        <v>619.80999999999983</v>
      </c>
      <c r="V1468">
        <v>0</v>
      </c>
      <c r="W1468">
        <v>0</v>
      </c>
      <c r="AF1468">
        <v>0</v>
      </c>
      <c r="AG1468">
        <v>0</v>
      </c>
      <c r="AH1468">
        <v>0</v>
      </c>
      <c r="AI1468">
        <v>12</v>
      </c>
      <c r="AJ1468">
        <v>12</v>
      </c>
      <c r="AM1468">
        <v>0</v>
      </c>
    </row>
    <row r="1469" spans="1:39" x14ac:dyDescent="0.25">
      <c r="A1469" t="s">
        <v>45</v>
      </c>
      <c r="B1469">
        <v>5</v>
      </c>
      <c r="C1469" t="s">
        <v>661</v>
      </c>
      <c r="D1469" s="39">
        <v>45924</v>
      </c>
      <c r="E1469" t="s">
        <v>563</v>
      </c>
      <c r="F1469" t="s">
        <v>79</v>
      </c>
      <c r="G1469">
        <v>17</v>
      </c>
      <c r="H1469" t="s">
        <v>353</v>
      </c>
      <c r="I1469" t="s">
        <v>79</v>
      </c>
      <c r="J1469">
        <v>2900</v>
      </c>
      <c r="K1469" t="s">
        <v>79</v>
      </c>
      <c r="L1469">
        <v>13</v>
      </c>
      <c r="M1469">
        <v>625.03</v>
      </c>
      <c r="N1469">
        <v>26.65</v>
      </c>
      <c r="Q1469">
        <v>598.38</v>
      </c>
      <c r="V1469">
        <v>0</v>
      </c>
      <c r="W1469">
        <v>0</v>
      </c>
      <c r="AF1469">
        <v>0</v>
      </c>
      <c r="AG1469">
        <v>0</v>
      </c>
      <c r="AH1469">
        <v>0</v>
      </c>
      <c r="AI1469">
        <v>12</v>
      </c>
      <c r="AJ1469">
        <v>12</v>
      </c>
      <c r="AM1469">
        <v>0</v>
      </c>
    </row>
    <row r="1470" spans="1:39" x14ac:dyDescent="0.25">
      <c r="A1470" t="s">
        <v>46</v>
      </c>
      <c r="B1470">
        <v>5</v>
      </c>
      <c r="C1470" t="s">
        <v>661</v>
      </c>
      <c r="D1470" s="39">
        <v>45924</v>
      </c>
      <c r="E1470" t="s">
        <v>563</v>
      </c>
      <c r="F1470" t="s">
        <v>79</v>
      </c>
      <c r="G1470">
        <v>17</v>
      </c>
      <c r="H1470" t="s">
        <v>353</v>
      </c>
      <c r="I1470" t="s">
        <v>79</v>
      </c>
      <c r="J1470">
        <v>2900</v>
      </c>
      <c r="K1470" t="s">
        <v>79</v>
      </c>
      <c r="L1470">
        <v>10</v>
      </c>
      <c r="M1470">
        <v>542.77</v>
      </c>
      <c r="N1470">
        <v>17</v>
      </c>
      <c r="Q1470">
        <v>525.77</v>
      </c>
      <c r="V1470">
        <v>0</v>
      </c>
      <c r="W1470">
        <v>0</v>
      </c>
      <c r="AF1470">
        <v>0</v>
      </c>
      <c r="AG1470">
        <v>0</v>
      </c>
      <c r="AH1470">
        <v>0</v>
      </c>
      <c r="AI1470">
        <v>12</v>
      </c>
      <c r="AJ1470">
        <v>12</v>
      </c>
      <c r="AM1470">
        <v>0</v>
      </c>
    </row>
    <row r="1471" spans="1:39" x14ac:dyDescent="0.25">
      <c r="A1471" t="s">
        <v>45</v>
      </c>
      <c r="B1471">
        <v>6</v>
      </c>
      <c r="C1471" t="s">
        <v>628</v>
      </c>
      <c r="D1471" s="39">
        <v>45924</v>
      </c>
      <c r="E1471" t="s">
        <v>629</v>
      </c>
      <c r="F1471" t="s">
        <v>79</v>
      </c>
      <c r="G1471">
        <v>17</v>
      </c>
      <c r="H1471" t="s">
        <v>92</v>
      </c>
      <c r="I1471" t="s">
        <v>79</v>
      </c>
      <c r="J1471">
        <v>8000</v>
      </c>
      <c r="K1471" t="s">
        <v>79</v>
      </c>
      <c r="L1471">
        <v>6</v>
      </c>
      <c r="M1471">
        <v>269.02</v>
      </c>
      <c r="N1471">
        <v>10.199999999999999</v>
      </c>
      <c r="Q1471">
        <v>258.82</v>
      </c>
      <c r="U1471">
        <v>420</v>
      </c>
      <c r="V1471">
        <v>420</v>
      </c>
      <c r="W1471">
        <v>7</v>
      </c>
      <c r="AF1471">
        <v>0</v>
      </c>
      <c r="AG1471">
        <v>0</v>
      </c>
      <c r="AH1471">
        <v>7</v>
      </c>
      <c r="AI1471">
        <v>5</v>
      </c>
      <c r="AJ1471">
        <v>12</v>
      </c>
      <c r="AM1471">
        <v>0</v>
      </c>
    </row>
    <row r="1472" spans="1:39" x14ac:dyDescent="0.25">
      <c r="A1472" t="s">
        <v>46</v>
      </c>
      <c r="B1472">
        <v>6</v>
      </c>
      <c r="C1472" t="s">
        <v>628</v>
      </c>
      <c r="D1472" s="39">
        <v>45924</v>
      </c>
      <c r="E1472" t="s">
        <v>629</v>
      </c>
      <c r="F1472" t="s">
        <v>79</v>
      </c>
      <c r="G1472">
        <v>17</v>
      </c>
      <c r="H1472" t="s">
        <v>92</v>
      </c>
      <c r="I1472" t="s">
        <v>79</v>
      </c>
      <c r="J1472">
        <v>8000</v>
      </c>
      <c r="K1472" t="s">
        <v>79</v>
      </c>
      <c r="L1472">
        <v>11</v>
      </c>
      <c r="M1472">
        <v>638.71</v>
      </c>
      <c r="N1472">
        <v>18.7</v>
      </c>
      <c r="Q1472">
        <v>620.01</v>
      </c>
      <c r="V1472">
        <v>0</v>
      </c>
      <c r="W1472">
        <v>0</v>
      </c>
      <c r="AF1472">
        <v>0</v>
      </c>
      <c r="AG1472">
        <v>0</v>
      </c>
      <c r="AH1472">
        <v>0</v>
      </c>
      <c r="AI1472">
        <v>12</v>
      </c>
      <c r="AJ1472">
        <v>12</v>
      </c>
      <c r="AM1472">
        <v>0</v>
      </c>
    </row>
    <row r="1473" spans="1:39" x14ac:dyDescent="0.25">
      <c r="A1473" t="s">
        <v>45</v>
      </c>
      <c r="B1473">
        <v>1</v>
      </c>
      <c r="C1473" t="s">
        <v>662</v>
      </c>
      <c r="D1473" s="39">
        <v>45925</v>
      </c>
      <c r="E1473" t="s">
        <v>663</v>
      </c>
      <c r="F1473" t="s">
        <v>79</v>
      </c>
      <c r="G1473">
        <v>2</v>
      </c>
      <c r="H1473">
        <v>12</v>
      </c>
      <c r="I1473" t="s">
        <v>79</v>
      </c>
      <c r="J1473">
        <v>500</v>
      </c>
      <c r="K1473" t="s">
        <v>79</v>
      </c>
      <c r="L1473">
        <v>12</v>
      </c>
      <c r="M1473">
        <v>121.31</v>
      </c>
      <c r="N1473">
        <v>2.4000000000000004</v>
      </c>
      <c r="Q1473">
        <v>118.91</v>
      </c>
      <c r="V1473">
        <v>0</v>
      </c>
      <c r="W1473">
        <v>0</v>
      </c>
      <c r="AF1473">
        <v>0</v>
      </c>
      <c r="AG1473">
        <v>0</v>
      </c>
      <c r="AH1473">
        <v>0</v>
      </c>
      <c r="AI1473">
        <v>12</v>
      </c>
      <c r="AJ1473">
        <v>12</v>
      </c>
      <c r="AL1473">
        <v>2622</v>
      </c>
      <c r="AM1473">
        <v>0</v>
      </c>
    </row>
    <row r="1474" spans="1:39" x14ac:dyDescent="0.25">
      <c r="A1474" t="s">
        <v>46</v>
      </c>
      <c r="B1474">
        <v>1</v>
      </c>
      <c r="C1474" t="s">
        <v>662</v>
      </c>
      <c r="D1474" s="39">
        <v>45925</v>
      </c>
      <c r="E1474" t="s">
        <v>663</v>
      </c>
      <c r="F1474" t="s">
        <v>79</v>
      </c>
      <c r="G1474">
        <v>2</v>
      </c>
      <c r="H1474">
        <v>12</v>
      </c>
      <c r="I1474" t="s">
        <v>79</v>
      </c>
      <c r="J1474">
        <v>500</v>
      </c>
      <c r="K1474" t="s">
        <v>79</v>
      </c>
      <c r="L1474">
        <v>12</v>
      </c>
      <c r="M1474">
        <v>126.36999999999998</v>
      </c>
      <c r="N1474">
        <v>2.4000000000000004</v>
      </c>
      <c r="Q1474">
        <v>123.96999999999997</v>
      </c>
      <c r="V1474">
        <v>0</v>
      </c>
      <c r="W1474">
        <v>0</v>
      </c>
      <c r="AF1474">
        <v>0</v>
      </c>
      <c r="AG1474">
        <v>0</v>
      </c>
      <c r="AH1474">
        <v>0</v>
      </c>
      <c r="AI1474">
        <v>12</v>
      </c>
      <c r="AJ1474">
        <v>12</v>
      </c>
      <c r="AM1474">
        <v>0</v>
      </c>
    </row>
    <row r="1475" spans="1:39" x14ac:dyDescent="0.25">
      <c r="A1475" t="s">
        <v>45</v>
      </c>
      <c r="B1475">
        <v>2</v>
      </c>
      <c r="C1475" t="s">
        <v>664</v>
      </c>
      <c r="D1475" s="39">
        <v>45925</v>
      </c>
      <c r="E1475" t="s">
        <v>647</v>
      </c>
      <c r="F1475" t="s">
        <v>79</v>
      </c>
      <c r="G1475" t="s">
        <v>665</v>
      </c>
      <c r="H1475">
        <v>14</v>
      </c>
      <c r="I1475" t="s">
        <v>79</v>
      </c>
      <c r="J1475">
        <v>200</v>
      </c>
      <c r="K1475" t="s">
        <v>79</v>
      </c>
      <c r="L1475">
        <v>4</v>
      </c>
      <c r="M1475">
        <v>72.460000000000008</v>
      </c>
      <c r="N1475">
        <v>2</v>
      </c>
      <c r="Q1475">
        <v>70.460000000000008</v>
      </c>
      <c r="S1475">
        <v>20</v>
      </c>
      <c r="V1475">
        <v>20</v>
      </c>
      <c r="W1475">
        <v>0.33333333333333331</v>
      </c>
      <c r="Z1475">
        <v>90</v>
      </c>
      <c r="AF1475">
        <v>90</v>
      </c>
      <c r="AG1475">
        <v>1.5</v>
      </c>
      <c r="AH1475">
        <v>1.8333333333333333</v>
      </c>
      <c r="AI1475">
        <v>10.166666666666666</v>
      </c>
      <c r="AJ1475">
        <v>12</v>
      </c>
      <c r="AM1475">
        <v>0</v>
      </c>
    </row>
    <row r="1476" spans="1:39" x14ac:dyDescent="0.25">
      <c r="A1476" t="s">
        <v>45</v>
      </c>
      <c r="B1476">
        <v>2</v>
      </c>
      <c r="C1476" t="s">
        <v>671</v>
      </c>
      <c r="D1476" s="39">
        <v>45925</v>
      </c>
      <c r="E1476" t="s">
        <v>486</v>
      </c>
      <c r="F1476" t="s">
        <v>79</v>
      </c>
      <c r="G1476">
        <v>4</v>
      </c>
      <c r="H1476" t="s">
        <v>113</v>
      </c>
      <c r="I1476" t="s">
        <v>79</v>
      </c>
      <c r="J1476">
        <v>800</v>
      </c>
      <c r="K1476" t="s">
        <v>79</v>
      </c>
      <c r="L1476">
        <v>3</v>
      </c>
      <c r="M1476">
        <v>45.34</v>
      </c>
      <c r="N1476">
        <v>1.2000000000000002</v>
      </c>
      <c r="Q1476">
        <v>44.14</v>
      </c>
      <c r="V1476">
        <v>0</v>
      </c>
      <c r="W1476">
        <v>0</v>
      </c>
      <c r="AF1476">
        <v>0</v>
      </c>
      <c r="AG1476">
        <v>0</v>
      </c>
      <c r="AH1476">
        <v>0</v>
      </c>
      <c r="AI1476">
        <v>12</v>
      </c>
      <c r="AJ1476">
        <v>12</v>
      </c>
      <c r="AM1476">
        <v>0</v>
      </c>
    </row>
    <row r="1477" spans="1:39" x14ac:dyDescent="0.25">
      <c r="A1477" t="s">
        <v>46</v>
      </c>
      <c r="B1477">
        <v>2</v>
      </c>
      <c r="C1477" t="s">
        <v>671</v>
      </c>
      <c r="D1477" s="39">
        <v>45925</v>
      </c>
      <c r="E1477" t="s">
        <v>486</v>
      </c>
      <c r="F1477" t="s">
        <v>79</v>
      </c>
      <c r="G1477">
        <v>4</v>
      </c>
      <c r="H1477" t="s">
        <v>113</v>
      </c>
      <c r="I1477" t="s">
        <v>79</v>
      </c>
      <c r="J1477">
        <v>800</v>
      </c>
      <c r="K1477" t="s">
        <v>79</v>
      </c>
      <c r="L1477">
        <v>10</v>
      </c>
      <c r="M1477">
        <v>142.39999999999998</v>
      </c>
      <c r="N1477">
        <v>4</v>
      </c>
      <c r="Q1477">
        <v>138.39999999999998</v>
      </c>
      <c r="V1477">
        <v>0</v>
      </c>
      <c r="W1477">
        <v>0</v>
      </c>
      <c r="AF1477">
        <v>0</v>
      </c>
      <c r="AG1477">
        <v>0</v>
      </c>
      <c r="AH1477">
        <v>0</v>
      </c>
      <c r="AI1477">
        <v>12</v>
      </c>
      <c r="AJ1477">
        <v>12</v>
      </c>
      <c r="AM1477">
        <v>0</v>
      </c>
    </row>
    <row r="1478" spans="1:39" x14ac:dyDescent="0.25">
      <c r="A1478" t="s">
        <v>45</v>
      </c>
      <c r="B1478">
        <v>3</v>
      </c>
      <c r="C1478" t="s">
        <v>672</v>
      </c>
      <c r="D1478" s="39">
        <v>45925</v>
      </c>
      <c r="E1478" t="s">
        <v>570</v>
      </c>
      <c r="F1478" t="s">
        <v>79</v>
      </c>
      <c r="G1478">
        <v>8</v>
      </c>
      <c r="H1478">
        <v>4.5</v>
      </c>
      <c r="I1478" t="s">
        <v>79</v>
      </c>
      <c r="J1478">
        <v>250</v>
      </c>
      <c r="K1478" t="s">
        <v>79</v>
      </c>
      <c r="L1478">
        <v>8</v>
      </c>
      <c r="M1478">
        <v>272.26</v>
      </c>
      <c r="N1478">
        <v>6.6000000000000005</v>
      </c>
      <c r="O1478">
        <v>28</v>
      </c>
      <c r="Q1478">
        <v>265.65999999999997</v>
      </c>
      <c r="V1478">
        <v>0</v>
      </c>
      <c r="W1478">
        <v>0</v>
      </c>
      <c r="AF1478">
        <v>0</v>
      </c>
      <c r="AG1478">
        <v>0</v>
      </c>
      <c r="AH1478">
        <v>0</v>
      </c>
      <c r="AI1478">
        <v>12</v>
      </c>
      <c r="AJ1478">
        <v>12</v>
      </c>
      <c r="AM1478">
        <v>0</v>
      </c>
    </row>
    <row r="1479" spans="1:39" x14ac:dyDescent="0.25">
      <c r="A1479" t="s">
        <v>46</v>
      </c>
      <c r="B1479">
        <v>3</v>
      </c>
      <c r="C1479" t="s">
        <v>672</v>
      </c>
      <c r="D1479" s="39">
        <v>45925</v>
      </c>
      <c r="E1479" t="s">
        <v>570</v>
      </c>
      <c r="F1479" t="s">
        <v>79</v>
      </c>
      <c r="G1479">
        <v>8</v>
      </c>
      <c r="H1479">
        <v>4.5</v>
      </c>
      <c r="I1479" t="s">
        <v>79</v>
      </c>
      <c r="J1479">
        <v>250</v>
      </c>
      <c r="K1479" t="s">
        <v>79</v>
      </c>
      <c r="L1479">
        <v>9</v>
      </c>
      <c r="M1479">
        <v>334.52000000000004</v>
      </c>
      <c r="N1479">
        <v>7.2</v>
      </c>
      <c r="O1479">
        <v>38</v>
      </c>
      <c r="Q1479">
        <v>327.32000000000005</v>
      </c>
      <c r="V1479">
        <v>0</v>
      </c>
      <c r="W1479">
        <v>0</v>
      </c>
      <c r="AF1479">
        <v>0</v>
      </c>
      <c r="AG1479">
        <v>0</v>
      </c>
      <c r="AH1479">
        <v>0</v>
      </c>
      <c r="AI1479">
        <v>12</v>
      </c>
      <c r="AJ1479">
        <v>12</v>
      </c>
      <c r="AM1479">
        <v>0</v>
      </c>
    </row>
    <row r="1480" spans="1:39" x14ac:dyDescent="0.25">
      <c r="A1480" t="s">
        <v>45</v>
      </c>
      <c r="B1480">
        <v>4</v>
      </c>
      <c r="C1480" t="s">
        <v>579</v>
      </c>
      <c r="D1480" s="39">
        <v>45925</v>
      </c>
      <c r="E1480" t="s">
        <v>276</v>
      </c>
      <c r="F1480" t="s">
        <v>79</v>
      </c>
      <c r="G1480">
        <v>16</v>
      </c>
      <c r="H1480" t="s">
        <v>113</v>
      </c>
      <c r="I1480" t="s">
        <v>79</v>
      </c>
      <c r="J1480">
        <v>1000</v>
      </c>
      <c r="K1480" t="s">
        <v>79</v>
      </c>
      <c r="L1480">
        <v>10</v>
      </c>
      <c r="M1480">
        <v>537.95000000000005</v>
      </c>
      <c r="N1480">
        <v>16.3</v>
      </c>
      <c r="Q1480">
        <v>521.65000000000009</v>
      </c>
      <c r="V1480">
        <v>0</v>
      </c>
      <c r="W1480">
        <v>0</v>
      </c>
      <c r="AF1480">
        <v>0</v>
      </c>
      <c r="AG1480">
        <v>0</v>
      </c>
      <c r="AH1480">
        <v>0</v>
      </c>
      <c r="AI1480">
        <v>12</v>
      </c>
      <c r="AJ1480">
        <v>12</v>
      </c>
      <c r="AM1480">
        <v>0</v>
      </c>
    </row>
    <row r="1481" spans="1:39" x14ac:dyDescent="0.25">
      <c r="A1481" t="s">
        <v>45</v>
      </c>
      <c r="B1481">
        <v>4</v>
      </c>
      <c r="C1481" t="s">
        <v>660</v>
      </c>
      <c r="D1481" s="39">
        <v>45925</v>
      </c>
      <c r="E1481" t="s">
        <v>570</v>
      </c>
      <c r="F1481" t="s">
        <v>79</v>
      </c>
      <c r="G1481">
        <v>16</v>
      </c>
      <c r="H1481">
        <v>4.5</v>
      </c>
      <c r="I1481" t="s">
        <v>79</v>
      </c>
      <c r="J1481">
        <v>250</v>
      </c>
      <c r="K1481" t="s">
        <v>79</v>
      </c>
      <c r="L1481">
        <v>1</v>
      </c>
      <c r="M1481">
        <v>53.55</v>
      </c>
      <c r="N1481">
        <v>1.6</v>
      </c>
      <c r="Q1481">
        <v>51.949999999999996</v>
      </c>
      <c r="V1481">
        <v>0</v>
      </c>
      <c r="W1481">
        <v>0</v>
      </c>
      <c r="AF1481">
        <v>0</v>
      </c>
      <c r="AG1481">
        <v>0</v>
      </c>
      <c r="AH1481">
        <v>0</v>
      </c>
      <c r="AI1481">
        <v>12</v>
      </c>
      <c r="AJ1481">
        <v>12</v>
      </c>
      <c r="AM1481">
        <v>0</v>
      </c>
    </row>
    <row r="1482" spans="1:39" x14ac:dyDescent="0.25">
      <c r="A1482" t="s">
        <v>46</v>
      </c>
      <c r="B1482">
        <v>4</v>
      </c>
      <c r="C1482" t="s">
        <v>660</v>
      </c>
      <c r="D1482" s="39">
        <v>45925</v>
      </c>
      <c r="E1482" t="s">
        <v>570</v>
      </c>
      <c r="F1482" t="s">
        <v>79</v>
      </c>
      <c r="G1482">
        <v>16</v>
      </c>
      <c r="H1482">
        <v>4.5</v>
      </c>
      <c r="I1482" t="s">
        <v>79</v>
      </c>
      <c r="J1482">
        <v>250</v>
      </c>
      <c r="K1482" t="s">
        <v>79</v>
      </c>
      <c r="L1482">
        <v>5</v>
      </c>
      <c r="M1482">
        <v>246.01</v>
      </c>
      <c r="N1482">
        <v>8</v>
      </c>
      <c r="Q1482">
        <v>238.01</v>
      </c>
      <c r="S1482">
        <v>45</v>
      </c>
      <c r="V1482">
        <v>45</v>
      </c>
      <c r="W1482">
        <v>0.75</v>
      </c>
      <c r="AF1482">
        <v>0</v>
      </c>
      <c r="AG1482">
        <v>0</v>
      </c>
      <c r="AH1482">
        <v>0.75</v>
      </c>
      <c r="AI1482">
        <v>11.25</v>
      </c>
      <c r="AJ1482">
        <v>12</v>
      </c>
      <c r="AM1482">
        <v>0</v>
      </c>
    </row>
    <row r="1483" spans="1:39" x14ac:dyDescent="0.25">
      <c r="A1483" t="s">
        <v>46</v>
      </c>
      <c r="B1483">
        <v>4</v>
      </c>
      <c r="C1483" t="s">
        <v>673</v>
      </c>
      <c r="D1483" s="39">
        <v>45925</v>
      </c>
      <c r="E1483" t="s">
        <v>674</v>
      </c>
      <c r="F1483" t="s">
        <v>79</v>
      </c>
      <c r="G1483">
        <v>15</v>
      </c>
      <c r="H1483">
        <v>7</v>
      </c>
      <c r="I1483" t="s">
        <v>79</v>
      </c>
      <c r="J1483">
        <v>200</v>
      </c>
      <c r="K1483" t="s">
        <v>79</v>
      </c>
      <c r="L1483">
        <v>5</v>
      </c>
      <c r="M1483">
        <v>214.68</v>
      </c>
      <c r="N1483">
        <v>7.5</v>
      </c>
      <c r="Q1483">
        <v>207.18</v>
      </c>
      <c r="V1483">
        <v>0</v>
      </c>
      <c r="W1483">
        <v>0</v>
      </c>
      <c r="AF1483">
        <v>0</v>
      </c>
      <c r="AG1483">
        <v>0</v>
      </c>
      <c r="AH1483">
        <v>0</v>
      </c>
      <c r="AI1483">
        <v>12</v>
      </c>
      <c r="AJ1483">
        <v>12</v>
      </c>
      <c r="AM1483">
        <v>0</v>
      </c>
    </row>
    <row r="1484" spans="1:39" x14ac:dyDescent="0.25">
      <c r="A1484" t="s">
        <v>46</v>
      </c>
      <c r="B1484">
        <v>4</v>
      </c>
      <c r="C1484" t="s">
        <v>675</v>
      </c>
      <c r="D1484" s="39">
        <v>45925</v>
      </c>
      <c r="E1484" t="s">
        <v>674</v>
      </c>
      <c r="F1484" t="s">
        <v>79</v>
      </c>
      <c r="G1484">
        <v>19</v>
      </c>
      <c r="H1484">
        <v>7</v>
      </c>
      <c r="I1484" t="s">
        <v>79</v>
      </c>
      <c r="J1484">
        <v>200</v>
      </c>
      <c r="K1484" t="s">
        <v>79</v>
      </c>
      <c r="L1484">
        <v>3</v>
      </c>
      <c r="M1484">
        <v>164.62</v>
      </c>
      <c r="N1484">
        <v>5.6999999999999993</v>
      </c>
      <c r="Q1484">
        <v>158.92000000000002</v>
      </c>
      <c r="V1484">
        <v>0</v>
      </c>
      <c r="W1484">
        <v>0</v>
      </c>
      <c r="AF1484">
        <v>0</v>
      </c>
      <c r="AG1484">
        <v>0</v>
      </c>
      <c r="AH1484">
        <v>0</v>
      </c>
      <c r="AI1484">
        <v>12</v>
      </c>
      <c r="AJ1484">
        <v>12</v>
      </c>
      <c r="AM1484">
        <v>0</v>
      </c>
    </row>
    <row r="1485" spans="1:39" x14ac:dyDescent="0.25">
      <c r="A1485" t="s">
        <v>45</v>
      </c>
      <c r="B1485">
        <v>5</v>
      </c>
      <c r="C1485" t="s">
        <v>661</v>
      </c>
      <c r="D1485" s="39">
        <v>45925</v>
      </c>
      <c r="E1485" t="s">
        <v>563</v>
      </c>
      <c r="F1485" t="s">
        <v>79</v>
      </c>
      <c r="G1485">
        <v>17</v>
      </c>
      <c r="H1485" t="s">
        <v>353</v>
      </c>
      <c r="I1485" t="s">
        <v>79</v>
      </c>
      <c r="J1485">
        <v>2900</v>
      </c>
      <c r="K1485" t="s">
        <v>79</v>
      </c>
      <c r="L1485">
        <v>10</v>
      </c>
      <c r="M1485">
        <v>577.78</v>
      </c>
      <c r="N1485">
        <v>17</v>
      </c>
      <c r="Q1485">
        <v>560.78</v>
      </c>
      <c r="V1485">
        <v>0</v>
      </c>
      <c r="W1485">
        <v>0</v>
      </c>
      <c r="AF1485">
        <v>0</v>
      </c>
      <c r="AG1485">
        <v>0</v>
      </c>
      <c r="AH1485">
        <v>0</v>
      </c>
      <c r="AI1485">
        <v>12</v>
      </c>
      <c r="AJ1485">
        <v>12</v>
      </c>
      <c r="AM1485">
        <v>0</v>
      </c>
    </row>
    <row r="1486" spans="1:39" x14ac:dyDescent="0.25">
      <c r="A1486" t="s">
        <v>46</v>
      </c>
      <c r="B1486">
        <v>5</v>
      </c>
      <c r="C1486" t="s">
        <v>661</v>
      </c>
      <c r="D1486" s="39">
        <v>45925</v>
      </c>
      <c r="E1486" t="s">
        <v>563</v>
      </c>
      <c r="F1486" t="s">
        <v>79</v>
      </c>
      <c r="G1486">
        <v>17</v>
      </c>
      <c r="H1486" t="s">
        <v>353</v>
      </c>
      <c r="I1486" t="s">
        <v>79</v>
      </c>
      <c r="J1486">
        <v>2900</v>
      </c>
      <c r="K1486" t="s">
        <v>79</v>
      </c>
      <c r="L1486">
        <v>12</v>
      </c>
      <c r="M1486">
        <v>629.17999999999995</v>
      </c>
      <c r="N1486">
        <v>20.399999999999999</v>
      </c>
      <c r="Q1486">
        <v>608.78</v>
      </c>
      <c r="V1486">
        <v>0</v>
      </c>
      <c r="W1486">
        <v>0</v>
      </c>
      <c r="AF1486">
        <v>0</v>
      </c>
      <c r="AG1486">
        <v>0</v>
      </c>
      <c r="AH1486">
        <v>0</v>
      </c>
      <c r="AI1486">
        <v>12</v>
      </c>
      <c r="AJ1486">
        <v>12</v>
      </c>
      <c r="AM1486">
        <v>0</v>
      </c>
    </row>
    <row r="1487" spans="1:39" x14ac:dyDescent="0.25">
      <c r="A1487" t="s">
        <v>45</v>
      </c>
      <c r="B1487">
        <v>6</v>
      </c>
      <c r="C1487" t="s">
        <v>628</v>
      </c>
      <c r="D1487" s="39">
        <v>45925</v>
      </c>
      <c r="E1487" t="s">
        <v>629</v>
      </c>
      <c r="F1487" t="s">
        <v>79</v>
      </c>
      <c r="G1487">
        <v>17</v>
      </c>
      <c r="H1487" t="s">
        <v>92</v>
      </c>
      <c r="I1487" t="s">
        <v>79</v>
      </c>
      <c r="J1487">
        <v>8000</v>
      </c>
      <c r="K1487" t="s">
        <v>79</v>
      </c>
      <c r="L1487">
        <v>12</v>
      </c>
      <c r="M1487">
        <v>620.69000000000005</v>
      </c>
      <c r="N1487">
        <v>32.5</v>
      </c>
      <c r="Q1487">
        <v>588.19000000000005</v>
      </c>
      <c r="V1487">
        <v>0</v>
      </c>
      <c r="W1487">
        <v>0</v>
      </c>
      <c r="AF1487">
        <v>0</v>
      </c>
      <c r="AG1487">
        <v>0</v>
      </c>
      <c r="AH1487">
        <v>0</v>
      </c>
      <c r="AI1487">
        <v>12</v>
      </c>
      <c r="AJ1487">
        <v>12</v>
      </c>
      <c r="AM1487">
        <v>0</v>
      </c>
    </row>
    <row r="1488" spans="1:39" x14ac:dyDescent="0.25">
      <c r="A1488" t="s">
        <v>46</v>
      </c>
      <c r="B1488">
        <v>6</v>
      </c>
      <c r="C1488" t="s">
        <v>628</v>
      </c>
      <c r="D1488" s="39">
        <v>45925</v>
      </c>
      <c r="E1488" t="s">
        <v>629</v>
      </c>
      <c r="F1488" t="s">
        <v>79</v>
      </c>
      <c r="G1488">
        <v>17</v>
      </c>
      <c r="H1488" t="s">
        <v>92</v>
      </c>
      <c r="I1488" t="s">
        <v>79</v>
      </c>
      <c r="J1488">
        <v>8000</v>
      </c>
      <c r="K1488" t="s">
        <v>79</v>
      </c>
      <c r="L1488">
        <v>8</v>
      </c>
      <c r="M1488">
        <v>426.75</v>
      </c>
      <c r="N1488">
        <v>13.6</v>
      </c>
      <c r="Q1488">
        <v>413.15</v>
      </c>
      <c r="V1488">
        <v>0</v>
      </c>
      <c r="W1488">
        <v>0</v>
      </c>
      <c r="Z1488">
        <v>240</v>
      </c>
      <c r="AF1488">
        <v>240</v>
      </c>
      <c r="AG1488">
        <v>4</v>
      </c>
      <c r="AH1488">
        <v>4</v>
      </c>
      <c r="AI1488">
        <v>8</v>
      </c>
      <c r="AJ1488">
        <v>12</v>
      </c>
      <c r="AM1488">
        <v>0</v>
      </c>
    </row>
    <row r="1489" spans="1:39" x14ac:dyDescent="0.25">
      <c r="A1489" t="s">
        <v>45</v>
      </c>
      <c r="B1489">
        <v>1</v>
      </c>
      <c r="C1489" t="s">
        <v>662</v>
      </c>
      <c r="D1489" s="39">
        <v>45926</v>
      </c>
      <c r="E1489" t="s">
        <v>663</v>
      </c>
      <c r="F1489" t="s">
        <v>79</v>
      </c>
      <c r="G1489">
        <v>2</v>
      </c>
      <c r="H1489">
        <v>12</v>
      </c>
      <c r="I1489" t="s">
        <v>79</v>
      </c>
      <c r="J1489">
        <v>500</v>
      </c>
      <c r="K1489" t="s">
        <v>79</v>
      </c>
      <c r="L1489">
        <v>12</v>
      </c>
      <c r="M1489">
        <v>123.18</v>
      </c>
      <c r="N1489">
        <v>2.4000000000000004</v>
      </c>
      <c r="O1489">
        <v>43.5</v>
      </c>
      <c r="Q1489">
        <v>120.78</v>
      </c>
      <c r="V1489">
        <v>0</v>
      </c>
      <c r="W1489">
        <v>0</v>
      </c>
      <c r="AF1489">
        <v>0</v>
      </c>
      <c r="AG1489">
        <v>0</v>
      </c>
      <c r="AH1489">
        <v>0</v>
      </c>
      <c r="AI1489">
        <v>12</v>
      </c>
      <c r="AJ1489">
        <v>12</v>
      </c>
      <c r="AM1489">
        <v>0</v>
      </c>
    </row>
    <row r="1490" spans="1:39" x14ac:dyDescent="0.25">
      <c r="A1490" t="s">
        <v>46</v>
      </c>
      <c r="B1490">
        <v>1</v>
      </c>
      <c r="C1490" t="s">
        <v>662</v>
      </c>
      <c r="D1490" s="39">
        <v>45926</v>
      </c>
      <c r="E1490" t="s">
        <v>663</v>
      </c>
      <c r="F1490" t="s">
        <v>79</v>
      </c>
      <c r="G1490">
        <v>2</v>
      </c>
      <c r="H1490">
        <v>12</v>
      </c>
      <c r="I1490" t="s">
        <v>79</v>
      </c>
      <c r="J1490">
        <v>500</v>
      </c>
      <c r="K1490" t="s">
        <v>79</v>
      </c>
      <c r="L1490">
        <v>6</v>
      </c>
      <c r="M1490">
        <v>62.8</v>
      </c>
      <c r="N1490">
        <v>1.2000000000000002</v>
      </c>
      <c r="O1490">
        <v>37.5</v>
      </c>
      <c r="Q1490">
        <v>61.599999999999994</v>
      </c>
      <c r="V1490">
        <v>0</v>
      </c>
      <c r="W1490">
        <v>0</v>
      </c>
      <c r="AF1490">
        <v>0</v>
      </c>
      <c r="AG1490">
        <v>0</v>
      </c>
      <c r="AH1490">
        <v>0</v>
      </c>
      <c r="AI1490">
        <v>12</v>
      </c>
      <c r="AJ1490">
        <v>12</v>
      </c>
      <c r="AM1490">
        <v>0</v>
      </c>
    </row>
    <row r="1491" spans="1:39" x14ac:dyDescent="0.25">
      <c r="A1491" t="s">
        <v>46</v>
      </c>
      <c r="B1491">
        <v>1</v>
      </c>
      <c r="C1491" t="s">
        <v>676</v>
      </c>
      <c r="D1491" s="39">
        <v>45926</v>
      </c>
      <c r="E1491" t="s">
        <v>486</v>
      </c>
      <c r="F1491" t="s">
        <v>79</v>
      </c>
      <c r="G1491">
        <v>2.5</v>
      </c>
      <c r="H1491" t="s">
        <v>92</v>
      </c>
      <c r="I1491" t="s">
        <v>79</v>
      </c>
      <c r="J1491">
        <v>800</v>
      </c>
      <c r="K1491" t="s">
        <v>79</v>
      </c>
      <c r="L1491">
        <v>4</v>
      </c>
      <c r="M1491">
        <v>45.7</v>
      </c>
      <c r="N1491">
        <v>10</v>
      </c>
      <c r="Q1491">
        <v>35.700000000000003</v>
      </c>
      <c r="V1491">
        <v>0</v>
      </c>
      <c r="W1491">
        <v>0</v>
      </c>
      <c r="AF1491">
        <v>0</v>
      </c>
      <c r="AG1491">
        <v>0</v>
      </c>
      <c r="AH1491">
        <v>0</v>
      </c>
      <c r="AI1491">
        <v>12</v>
      </c>
      <c r="AJ1491">
        <v>12</v>
      </c>
      <c r="AM1491">
        <v>0</v>
      </c>
    </row>
    <row r="1492" spans="1:39" x14ac:dyDescent="0.25">
      <c r="A1492" t="s">
        <v>45</v>
      </c>
      <c r="B1492">
        <v>2</v>
      </c>
      <c r="C1492" t="s">
        <v>671</v>
      </c>
      <c r="D1492" s="39">
        <v>45926</v>
      </c>
      <c r="E1492" t="s">
        <v>486</v>
      </c>
      <c r="F1492" t="s">
        <v>79</v>
      </c>
      <c r="G1492">
        <v>4</v>
      </c>
      <c r="H1492" t="s">
        <v>113</v>
      </c>
      <c r="I1492" t="s">
        <v>79</v>
      </c>
      <c r="J1492">
        <v>800</v>
      </c>
      <c r="K1492" t="s">
        <v>79</v>
      </c>
      <c r="L1492">
        <v>10</v>
      </c>
      <c r="M1492">
        <v>143.38999999999999</v>
      </c>
      <c r="N1492">
        <v>4</v>
      </c>
      <c r="Q1492">
        <v>139.38999999999999</v>
      </c>
      <c r="V1492">
        <v>0</v>
      </c>
      <c r="W1492">
        <v>0</v>
      </c>
      <c r="AF1492">
        <v>0</v>
      </c>
      <c r="AG1492">
        <v>0</v>
      </c>
      <c r="AH1492">
        <v>0</v>
      </c>
      <c r="AI1492">
        <v>12</v>
      </c>
      <c r="AJ1492">
        <v>12</v>
      </c>
      <c r="AM1492">
        <v>0</v>
      </c>
    </row>
    <row r="1493" spans="1:39" x14ac:dyDescent="0.25">
      <c r="A1493" t="s">
        <v>46</v>
      </c>
      <c r="B1493">
        <v>2</v>
      </c>
      <c r="C1493" t="s">
        <v>671</v>
      </c>
      <c r="D1493" s="39">
        <v>45926</v>
      </c>
      <c r="E1493" t="s">
        <v>486</v>
      </c>
      <c r="F1493" t="s">
        <v>79</v>
      </c>
      <c r="G1493">
        <v>4</v>
      </c>
      <c r="H1493" t="s">
        <v>113</v>
      </c>
      <c r="I1493" t="s">
        <v>79</v>
      </c>
      <c r="J1493">
        <v>800</v>
      </c>
      <c r="K1493" t="s">
        <v>79</v>
      </c>
      <c r="L1493">
        <v>10</v>
      </c>
      <c r="M1493">
        <v>141.29999999999998</v>
      </c>
      <c r="N1493">
        <v>4</v>
      </c>
      <c r="Q1493">
        <v>137.29999999999998</v>
      </c>
      <c r="V1493">
        <v>0</v>
      </c>
      <c r="W1493">
        <v>0</v>
      </c>
      <c r="AF1493">
        <v>0</v>
      </c>
      <c r="AG1493">
        <v>0</v>
      </c>
      <c r="AH1493">
        <v>0</v>
      </c>
      <c r="AI1493">
        <v>12</v>
      </c>
      <c r="AJ1493">
        <v>12</v>
      </c>
      <c r="AM1493">
        <v>0</v>
      </c>
    </row>
    <row r="1494" spans="1:39" x14ac:dyDescent="0.25">
      <c r="A1494" t="s">
        <v>45</v>
      </c>
      <c r="B1494">
        <v>3</v>
      </c>
      <c r="C1494" t="s">
        <v>677</v>
      </c>
      <c r="D1494" s="39">
        <v>45926</v>
      </c>
      <c r="E1494" t="s">
        <v>570</v>
      </c>
      <c r="F1494" t="s">
        <v>79</v>
      </c>
      <c r="G1494">
        <v>10</v>
      </c>
      <c r="H1494">
        <v>4.5</v>
      </c>
      <c r="I1494" t="s">
        <v>79</v>
      </c>
      <c r="J1494">
        <v>250</v>
      </c>
      <c r="K1494" t="s">
        <v>79</v>
      </c>
      <c r="L1494">
        <v>4</v>
      </c>
      <c r="M1494">
        <v>132</v>
      </c>
      <c r="N1494">
        <v>4</v>
      </c>
      <c r="Q1494">
        <v>128</v>
      </c>
      <c r="V1494">
        <v>0</v>
      </c>
      <c r="W1494">
        <v>0</v>
      </c>
      <c r="AF1494">
        <v>0</v>
      </c>
      <c r="AG1494">
        <v>0</v>
      </c>
      <c r="AH1494">
        <v>0</v>
      </c>
      <c r="AI1494">
        <v>12</v>
      </c>
      <c r="AJ1494">
        <v>12</v>
      </c>
      <c r="AM1494">
        <v>0</v>
      </c>
    </row>
    <row r="1495" spans="1:39" x14ac:dyDescent="0.25">
      <c r="A1495" t="s">
        <v>45</v>
      </c>
      <c r="B1495">
        <v>3</v>
      </c>
      <c r="C1495" t="s">
        <v>678</v>
      </c>
      <c r="D1495" s="39">
        <v>45926</v>
      </c>
      <c r="E1495" t="s">
        <v>486</v>
      </c>
      <c r="F1495" t="s">
        <v>79</v>
      </c>
      <c r="G1495">
        <v>8</v>
      </c>
      <c r="H1495">
        <v>5</v>
      </c>
      <c r="I1495" t="s">
        <v>79</v>
      </c>
      <c r="J1495">
        <v>1000</v>
      </c>
      <c r="K1495" t="s">
        <v>79</v>
      </c>
      <c r="L1495">
        <v>6</v>
      </c>
      <c r="M1495">
        <v>198.56</v>
      </c>
      <c r="N1495">
        <v>6</v>
      </c>
      <c r="Q1495">
        <v>192.56</v>
      </c>
      <c r="V1495">
        <v>0</v>
      </c>
      <c r="W1495">
        <v>0</v>
      </c>
      <c r="AF1495">
        <v>0</v>
      </c>
      <c r="AG1495">
        <v>0</v>
      </c>
      <c r="AH1495">
        <v>0</v>
      </c>
      <c r="AI1495">
        <v>12</v>
      </c>
      <c r="AJ1495">
        <v>12</v>
      </c>
      <c r="AM1495">
        <v>0</v>
      </c>
    </row>
    <row r="1496" spans="1:39" x14ac:dyDescent="0.25">
      <c r="A1496" t="s">
        <v>46</v>
      </c>
      <c r="B1496">
        <v>3</v>
      </c>
      <c r="C1496" t="s">
        <v>678</v>
      </c>
      <c r="D1496" s="39">
        <v>45926</v>
      </c>
      <c r="E1496" t="s">
        <v>486</v>
      </c>
      <c r="F1496" t="s">
        <v>79</v>
      </c>
      <c r="G1496">
        <v>8</v>
      </c>
      <c r="H1496">
        <v>5</v>
      </c>
      <c r="I1496" t="s">
        <v>79</v>
      </c>
      <c r="J1496">
        <v>1000</v>
      </c>
      <c r="K1496" t="s">
        <v>79</v>
      </c>
      <c r="L1496">
        <v>8</v>
      </c>
      <c r="M1496">
        <v>302.46000000000004</v>
      </c>
      <c r="N1496">
        <v>7.2</v>
      </c>
      <c r="Q1496">
        <v>295.26000000000005</v>
      </c>
      <c r="V1496">
        <v>0</v>
      </c>
      <c r="W1496">
        <v>0</v>
      </c>
      <c r="AF1496">
        <v>0</v>
      </c>
      <c r="AG1496">
        <v>0</v>
      </c>
      <c r="AH1496">
        <v>0</v>
      </c>
      <c r="AI1496">
        <v>12</v>
      </c>
      <c r="AJ1496">
        <v>12</v>
      </c>
      <c r="AM1496">
        <v>0</v>
      </c>
    </row>
    <row r="1497" spans="1:39" x14ac:dyDescent="0.25">
      <c r="A1497" t="s">
        <v>45</v>
      </c>
      <c r="B1497">
        <v>4</v>
      </c>
      <c r="C1497" t="s">
        <v>675</v>
      </c>
      <c r="D1497" s="39">
        <v>45926</v>
      </c>
      <c r="E1497" t="s">
        <v>674</v>
      </c>
      <c r="F1497" t="s">
        <v>79</v>
      </c>
      <c r="G1497">
        <v>19</v>
      </c>
      <c r="H1497">
        <v>7</v>
      </c>
      <c r="I1497" t="s">
        <v>79</v>
      </c>
      <c r="J1497">
        <v>200</v>
      </c>
      <c r="K1497" t="s">
        <v>79</v>
      </c>
      <c r="L1497">
        <v>1</v>
      </c>
      <c r="M1497">
        <v>71.75</v>
      </c>
      <c r="N1497">
        <v>1.9</v>
      </c>
      <c r="Q1497">
        <v>69.849999999999994</v>
      </c>
      <c r="S1497">
        <v>60</v>
      </c>
      <c r="V1497">
        <v>60</v>
      </c>
      <c r="W1497">
        <v>1</v>
      </c>
      <c r="AF1497">
        <v>0</v>
      </c>
      <c r="AG1497">
        <v>0</v>
      </c>
      <c r="AH1497">
        <v>1</v>
      </c>
      <c r="AI1497">
        <v>11</v>
      </c>
      <c r="AJ1497">
        <v>12</v>
      </c>
      <c r="AM1497">
        <v>0</v>
      </c>
    </row>
    <row r="1498" spans="1:39" x14ac:dyDescent="0.25">
      <c r="A1498" t="s">
        <v>45</v>
      </c>
      <c r="B1498">
        <v>4</v>
      </c>
      <c r="C1498" t="s">
        <v>679</v>
      </c>
      <c r="D1498" s="39">
        <v>45926</v>
      </c>
      <c r="E1498" t="s">
        <v>486</v>
      </c>
      <c r="F1498" t="s">
        <v>79</v>
      </c>
      <c r="G1498">
        <v>24</v>
      </c>
      <c r="H1498">
        <v>5</v>
      </c>
      <c r="I1498" t="s">
        <v>79</v>
      </c>
      <c r="J1498">
        <v>500</v>
      </c>
      <c r="K1498" t="s">
        <v>79</v>
      </c>
      <c r="L1498">
        <v>9</v>
      </c>
      <c r="M1498">
        <v>510.66</v>
      </c>
      <c r="N1498">
        <v>23.400000000000002</v>
      </c>
      <c r="Q1498">
        <v>487.26000000000005</v>
      </c>
      <c r="V1498">
        <v>0</v>
      </c>
      <c r="W1498">
        <v>0</v>
      </c>
      <c r="AF1498">
        <v>0</v>
      </c>
      <c r="AG1498">
        <v>0</v>
      </c>
      <c r="AH1498">
        <v>0</v>
      </c>
      <c r="AI1498">
        <v>12</v>
      </c>
      <c r="AJ1498">
        <v>12</v>
      </c>
      <c r="AM1498">
        <v>0</v>
      </c>
    </row>
    <row r="1499" spans="1:39" x14ac:dyDescent="0.25">
      <c r="A1499" t="s">
        <v>45</v>
      </c>
      <c r="B1499">
        <v>4</v>
      </c>
      <c r="C1499" t="s">
        <v>680</v>
      </c>
      <c r="D1499" s="39">
        <v>45926</v>
      </c>
      <c r="E1499" t="s">
        <v>577</v>
      </c>
      <c r="F1499" t="s">
        <v>79</v>
      </c>
      <c r="G1499">
        <v>26</v>
      </c>
      <c r="H1499" t="s">
        <v>578</v>
      </c>
      <c r="I1499" t="s">
        <v>79</v>
      </c>
      <c r="J1499">
        <v>120</v>
      </c>
      <c r="K1499" t="s">
        <v>79</v>
      </c>
      <c r="L1499">
        <v>2</v>
      </c>
      <c r="M1499">
        <v>132.13999999999999</v>
      </c>
      <c r="N1499">
        <v>6</v>
      </c>
      <c r="Q1499">
        <v>126.13999999999999</v>
      </c>
      <c r="V1499">
        <v>0</v>
      </c>
      <c r="W1499">
        <v>0</v>
      </c>
      <c r="AF1499">
        <v>0</v>
      </c>
      <c r="AG1499">
        <v>0</v>
      </c>
      <c r="AH1499">
        <v>0</v>
      </c>
      <c r="AI1499">
        <v>12</v>
      </c>
      <c r="AJ1499">
        <v>12</v>
      </c>
      <c r="AM1499">
        <v>0</v>
      </c>
    </row>
    <row r="1500" spans="1:39" x14ac:dyDescent="0.25">
      <c r="A1500" t="s">
        <v>46</v>
      </c>
      <c r="B1500">
        <v>4</v>
      </c>
      <c r="C1500" t="s">
        <v>679</v>
      </c>
      <c r="D1500" s="39">
        <v>45926</v>
      </c>
      <c r="E1500" t="s">
        <v>486</v>
      </c>
      <c r="F1500" t="s">
        <v>79</v>
      </c>
      <c r="G1500">
        <v>24</v>
      </c>
      <c r="H1500">
        <v>5</v>
      </c>
      <c r="I1500" t="s">
        <v>79</v>
      </c>
      <c r="J1500">
        <v>500</v>
      </c>
      <c r="K1500" t="s">
        <v>79</v>
      </c>
      <c r="L1500">
        <v>2</v>
      </c>
      <c r="M1500">
        <v>114.17</v>
      </c>
      <c r="N1500">
        <v>5.2</v>
      </c>
      <c r="Q1500">
        <v>108.97</v>
      </c>
      <c r="V1500">
        <v>0</v>
      </c>
      <c r="W1500">
        <v>0</v>
      </c>
      <c r="AF1500">
        <v>0</v>
      </c>
      <c r="AG1500">
        <v>0</v>
      </c>
      <c r="AH1500">
        <v>0</v>
      </c>
      <c r="AI1500">
        <v>12</v>
      </c>
      <c r="AJ1500">
        <v>12</v>
      </c>
      <c r="AM1500">
        <v>0</v>
      </c>
    </row>
    <row r="1501" spans="1:39" x14ac:dyDescent="0.25">
      <c r="A1501" t="s">
        <v>46</v>
      </c>
      <c r="B1501">
        <v>4</v>
      </c>
      <c r="C1501" t="s">
        <v>681</v>
      </c>
      <c r="D1501" s="39">
        <v>45926</v>
      </c>
      <c r="E1501" t="s">
        <v>470</v>
      </c>
      <c r="F1501" t="s">
        <v>79</v>
      </c>
      <c r="G1501">
        <v>24</v>
      </c>
      <c r="H1501" t="s">
        <v>113</v>
      </c>
      <c r="I1501" t="s">
        <v>79</v>
      </c>
      <c r="J1501">
        <v>250</v>
      </c>
      <c r="K1501" t="s">
        <v>79</v>
      </c>
      <c r="L1501">
        <v>11</v>
      </c>
      <c r="M1501">
        <v>590.2399999999999</v>
      </c>
      <c r="N1501">
        <v>28.82</v>
      </c>
      <c r="Q1501">
        <v>561.41999999999985</v>
      </c>
      <c r="V1501">
        <v>0</v>
      </c>
      <c r="W1501">
        <v>0</v>
      </c>
      <c r="AF1501">
        <v>0</v>
      </c>
      <c r="AG1501">
        <v>0</v>
      </c>
      <c r="AH1501">
        <v>0</v>
      </c>
      <c r="AI1501">
        <v>12</v>
      </c>
      <c r="AJ1501">
        <v>12</v>
      </c>
      <c r="AM1501">
        <v>0</v>
      </c>
    </row>
    <row r="1502" spans="1:39" x14ac:dyDescent="0.25">
      <c r="A1502" t="s">
        <v>45</v>
      </c>
      <c r="B1502">
        <v>5</v>
      </c>
      <c r="C1502" t="s">
        <v>661</v>
      </c>
      <c r="D1502" s="39">
        <v>45926</v>
      </c>
      <c r="E1502" t="s">
        <v>563</v>
      </c>
      <c r="F1502" t="s">
        <v>79</v>
      </c>
      <c r="G1502">
        <v>17</v>
      </c>
      <c r="H1502" t="s">
        <v>353</v>
      </c>
      <c r="I1502" t="s">
        <v>79</v>
      </c>
      <c r="J1502">
        <v>2900</v>
      </c>
      <c r="K1502" t="s">
        <v>79</v>
      </c>
      <c r="L1502">
        <v>3</v>
      </c>
      <c r="M1502">
        <v>171.54</v>
      </c>
      <c r="N1502">
        <v>5.0999999999999996</v>
      </c>
      <c r="Q1502">
        <v>166.44</v>
      </c>
      <c r="S1502">
        <v>30</v>
      </c>
      <c r="V1502">
        <v>30</v>
      </c>
      <c r="W1502">
        <v>0.5</v>
      </c>
      <c r="AF1502">
        <v>0</v>
      </c>
      <c r="AG1502">
        <v>0</v>
      </c>
      <c r="AH1502">
        <v>0.5</v>
      </c>
      <c r="AI1502">
        <v>11.5</v>
      </c>
      <c r="AJ1502">
        <v>12</v>
      </c>
      <c r="AM1502">
        <v>0</v>
      </c>
    </row>
    <row r="1503" spans="1:39" x14ac:dyDescent="0.25">
      <c r="A1503" t="s">
        <v>45</v>
      </c>
      <c r="B1503">
        <v>5</v>
      </c>
      <c r="C1503" t="s">
        <v>682</v>
      </c>
      <c r="D1503" s="39">
        <v>45926</v>
      </c>
      <c r="E1503" t="s">
        <v>570</v>
      </c>
      <c r="F1503" t="s">
        <v>79</v>
      </c>
      <c r="G1503">
        <v>10</v>
      </c>
      <c r="H1503">
        <v>4.5</v>
      </c>
      <c r="I1503" t="s">
        <v>79</v>
      </c>
      <c r="J1503">
        <v>250</v>
      </c>
      <c r="K1503" t="s">
        <v>79</v>
      </c>
      <c r="L1503">
        <v>6</v>
      </c>
      <c r="M1503">
        <v>266.81000000000006</v>
      </c>
      <c r="N1503">
        <v>6</v>
      </c>
      <c r="Q1503">
        <v>260.81000000000006</v>
      </c>
      <c r="V1503">
        <v>0</v>
      </c>
      <c r="W1503">
        <v>0</v>
      </c>
      <c r="AF1503">
        <v>0</v>
      </c>
      <c r="AG1503">
        <v>0</v>
      </c>
      <c r="AH1503">
        <v>0</v>
      </c>
      <c r="AI1503">
        <v>12</v>
      </c>
      <c r="AJ1503">
        <v>12</v>
      </c>
      <c r="AM1503">
        <v>0</v>
      </c>
    </row>
    <row r="1504" spans="1:39" x14ac:dyDescent="0.25">
      <c r="A1504" t="s">
        <v>46</v>
      </c>
      <c r="B1504">
        <v>5</v>
      </c>
      <c r="C1504" t="s">
        <v>682</v>
      </c>
      <c r="D1504" s="39">
        <v>45926</v>
      </c>
      <c r="E1504" t="s">
        <v>570</v>
      </c>
      <c r="F1504" t="s">
        <v>79</v>
      </c>
      <c r="G1504">
        <v>10</v>
      </c>
      <c r="H1504">
        <v>4.5</v>
      </c>
      <c r="I1504" t="s">
        <v>79</v>
      </c>
      <c r="J1504">
        <v>250</v>
      </c>
      <c r="K1504" t="s">
        <v>79</v>
      </c>
      <c r="L1504">
        <v>11</v>
      </c>
      <c r="M1504">
        <v>435.65000000000003</v>
      </c>
      <c r="N1504">
        <v>11</v>
      </c>
      <c r="Q1504">
        <v>424.65000000000003</v>
      </c>
      <c r="V1504">
        <v>0</v>
      </c>
      <c r="W1504">
        <v>0</v>
      </c>
      <c r="Y1504">
        <v>20</v>
      </c>
      <c r="AF1504">
        <v>20</v>
      </c>
      <c r="AG1504">
        <v>0.33333333333333331</v>
      </c>
      <c r="AH1504">
        <v>0.33333333333333331</v>
      </c>
      <c r="AI1504">
        <v>11.666666666666666</v>
      </c>
      <c r="AJ1504">
        <v>12</v>
      </c>
      <c r="AM1504">
        <v>0</v>
      </c>
    </row>
    <row r="1505" spans="1:39" x14ac:dyDescent="0.25">
      <c r="A1505" t="s">
        <v>46</v>
      </c>
      <c r="B1505">
        <v>5</v>
      </c>
      <c r="C1505" t="s">
        <v>683</v>
      </c>
      <c r="D1505" s="39">
        <v>45926</v>
      </c>
      <c r="E1505" t="s">
        <v>684</v>
      </c>
      <c r="F1505" t="s">
        <v>79</v>
      </c>
      <c r="G1505">
        <v>10</v>
      </c>
      <c r="H1505">
        <v>8</v>
      </c>
      <c r="I1505" t="s">
        <v>79</v>
      </c>
      <c r="J1505">
        <v>100</v>
      </c>
      <c r="K1505" t="s">
        <v>79</v>
      </c>
      <c r="L1505">
        <v>1</v>
      </c>
      <c r="M1505">
        <v>29.79</v>
      </c>
      <c r="N1505">
        <v>1</v>
      </c>
      <c r="Q1505">
        <v>28.79</v>
      </c>
      <c r="V1505">
        <v>0</v>
      </c>
      <c r="W1505">
        <v>0</v>
      </c>
      <c r="AF1505">
        <v>0</v>
      </c>
      <c r="AG1505">
        <v>0</v>
      </c>
      <c r="AH1505">
        <v>0</v>
      </c>
      <c r="AI1505">
        <v>12</v>
      </c>
      <c r="AJ1505">
        <v>12</v>
      </c>
      <c r="AM1505">
        <v>0</v>
      </c>
    </row>
    <row r="1506" spans="1:39" x14ac:dyDescent="0.25">
      <c r="A1506" t="s">
        <v>45</v>
      </c>
      <c r="B1506">
        <v>6</v>
      </c>
      <c r="C1506" t="s">
        <v>628</v>
      </c>
      <c r="D1506" s="39">
        <v>45926</v>
      </c>
      <c r="E1506" t="s">
        <v>629</v>
      </c>
      <c r="F1506" t="s">
        <v>79</v>
      </c>
      <c r="G1506">
        <v>17</v>
      </c>
      <c r="H1506" t="s">
        <v>92</v>
      </c>
      <c r="I1506" t="s">
        <v>79</v>
      </c>
      <c r="J1506">
        <v>8000</v>
      </c>
      <c r="K1506" t="s">
        <v>79</v>
      </c>
      <c r="L1506">
        <v>12</v>
      </c>
      <c r="M1506">
        <v>625.69999999999993</v>
      </c>
      <c r="N1506">
        <v>20.399999999999999</v>
      </c>
      <c r="Q1506">
        <v>605.29999999999995</v>
      </c>
      <c r="V1506">
        <v>0</v>
      </c>
      <c r="W1506">
        <v>0</v>
      </c>
      <c r="AF1506">
        <v>0</v>
      </c>
      <c r="AG1506">
        <v>0</v>
      </c>
      <c r="AH1506">
        <v>0</v>
      </c>
      <c r="AI1506">
        <v>12</v>
      </c>
      <c r="AJ1506">
        <v>12</v>
      </c>
      <c r="AM1506">
        <v>0</v>
      </c>
    </row>
    <row r="1507" spans="1:39" x14ac:dyDescent="0.25">
      <c r="A1507" t="s">
        <v>46</v>
      </c>
      <c r="B1507">
        <v>6</v>
      </c>
      <c r="C1507" t="s">
        <v>628</v>
      </c>
      <c r="D1507" s="39">
        <v>45926</v>
      </c>
      <c r="E1507" t="s">
        <v>629</v>
      </c>
      <c r="F1507" t="s">
        <v>79</v>
      </c>
      <c r="G1507">
        <v>17</v>
      </c>
      <c r="H1507" t="s">
        <v>92</v>
      </c>
      <c r="I1507" t="s">
        <v>79</v>
      </c>
      <c r="J1507">
        <v>8000</v>
      </c>
      <c r="K1507" t="s">
        <v>79</v>
      </c>
      <c r="L1507">
        <v>12</v>
      </c>
      <c r="M1507">
        <v>624.09999999999991</v>
      </c>
      <c r="N1507">
        <v>20.399999999999999</v>
      </c>
      <c r="Q1507">
        <v>603.69999999999993</v>
      </c>
      <c r="V1507">
        <v>0</v>
      </c>
      <c r="W1507">
        <v>0</v>
      </c>
      <c r="AC1507">
        <v>30</v>
      </c>
      <c r="AF1507">
        <v>30</v>
      </c>
      <c r="AG1507">
        <v>0.5</v>
      </c>
      <c r="AH1507">
        <v>0.5</v>
      </c>
      <c r="AI1507">
        <v>11.5</v>
      </c>
      <c r="AJ1507">
        <v>12</v>
      </c>
      <c r="AM1507">
        <v>0</v>
      </c>
    </row>
    <row r="1508" spans="1:39" x14ac:dyDescent="0.25">
      <c r="A1508" t="s">
        <v>45</v>
      </c>
      <c r="B1508">
        <v>1</v>
      </c>
      <c r="C1508" t="s">
        <v>676</v>
      </c>
      <c r="D1508" s="39">
        <v>45927</v>
      </c>
      <c r="E1508" t="s">
        <v>486</v>
      </c>
      <c r="F1508" t="s">
        <v>79</v>
      </c>
      <c r="G1508">
        <v>2.5</v>
      </c>
      <c r="H1508" t="s">
        <v>92</v>
      </c>
      <c r="I1508" t="s">
        <v>79</v>
      </c>
      <c r="J1508">
        <v>800</v>
      </c>
      <c r="K1508" t="s">
        <v>79</v>
      </c>
      <c r="L1508">
        <v>10</v>
      </c>
      <c r="M1508">
        <v>106.77</v>
      </c>
      <c r="N1508">
        <v>2</v>
      </c>
      <c r="Q1508">
        <v>104.77</v>
      </c>
      <c r="V1508">
        <v>0</v>
      </c>
      <c r="W1508">
        <v>0</v>
      </c>
      <c r="AF1508">
        <v>0</v>
      </c>
      <c r="AG1508">
        <v>0</v>
      </c>
      <c r="AH1508">
        <v>0</v>
      </c>
      <c r="AI1508">
        <v>12</v>
      </c>
      <c r="AJ1508">
        <v>12</v>
      </c>
      <c r="AM1508">
        <v>0</v>
      </c>
    </row>
    <row r="1509" spans="1:39" x14ac:dyDescent="0.25">
      <c r="A1509" t="s">
        <v>46</v>
      </c>
      <c r="B1509">
        <v>1</v>
      </c>
      <c r="C1509" t="s">
        <v>676</v>
      </c>
      <c r="D1509" s="39">
        <v>45927</v>
      </c>
      <c r="E1509" t="s">
        <v>486</v>
      </c>
      <c r="F1509" t="s">
        <v>79</v>
      </c>
      <c r="G1509">
        <v>2.5</v>
      </c>
      <c r="H1509" t="s">
        <v>92</v>
      </c>
      <c r="I1509" t="s">
        <v>79</v>
      </c>
      <c r="J1509">
        <v>800</v>
      </c>
      <c r="K1509" t="s">
        <v>79</v>
      </c>
      <c r="L1509">
        <v>9</v>
      </c>
      <c r="M1509">
        <v>121.5</v>
      </c>
      <c r="N1509">
        <v>1.8</v>
      </c>
      <c r="Q1509">
        <v>119.7</v>
      </c>
      <c r="V1509">
        <v>0</v>
      </c>
      <c r="W1509">
        <v>0</v>
      </c>
      <c r="AF1509">
        <v>0</v>
      </c>
      <c r="AG1509">
        <v>0</v>
      </c>
      <c r="AH1509">
        <v>0</v>
      </c>
      <c r="AI1509">
        <v>12</v>
      </c>
      <c r="AJ1509">
        <v>12</v>
      </c>
      <c r="AM1509">
        <v>0</v>
      </c>
    </row>
    <row r="1510" spans="1:39" x14ac:dyDescent="0.25">
      <c r="A1510" t="s">
        <v>45</v>
      </c>
      <c r="B1510">
        <v>2</v>
      </c>
      <c r="C1510" t="s">
        <v>671</v>
      </c>
      <c r="D1510" s="39">
        <v>45927</v>
      </c>
      <c r="E1510" t="s">
        <v>486</v>
      </c>
      <c r="F1510" t="s">
        <v>79</v>
      </c>
      <c r="G1510">
        <v>4</v>
      </c>
      <c r="H1510" t="s">
        <v>113</v>
      </c>
      <c r="I1510" t="s">
        <v>79</v>
      </c>
      <c r="J1510">
        <v>800</v>
      </c>
      <c r="K1510" t="s">
        <v>79</v>
      </c>
      <c r="L1510">
        <v>3</v>
      </c>
      <c r="M1510">
        <v>50.03</v>
      </c>
      <c r="N1510">
        <v>1.2000000000000002</v>
      </c>
      <c r="Q1510">
        <v>48.83</v>
      </c>
      <c r="V1510">
        <v>0</v>
      </c>
      <c r="W1510">
        <v>0</v>
      </c>
      <c r="Z1510">
        <v>495</v>
      </c>
      <c r="AF1510">
        <v>495</v>
      </c>
      <c r="AG1510">
        <v>8.25</v>
      </c>
      <c r="AH1510">
        <v>8.25</v>
      </c>
      <c r="AI1510">
        <v>3.75</v>
      </c>
      <c r="AJ1510">
        <v>12</v>
      </c>
      <c r="AM1510">
        <v>0</v>
      </c>
    </row>
    <row r="1511" spans="1:39" x14ac:dyDescent="0.25">
      <c r="A1511" t="s">
        <v>46</v>
      </c>
      <c r="B1511">
        <v>2</v>
      </c>
      <c r="C1511" t="s">
        <v>671</v>
      </c>
      <c r="D1511" s="39">
        <v>45927</v>
      </c>
      <c r="E1511" t="s">
        <v>486</v>
      </c>
      <c r="F1511" t="s">
        <v>79</v>
      </c>
      <c r="G1511">
        <v>4</v>
      </c>
      <c r="H1511" t="s">
        <v>113</v>
      </c>
      <c r="I1511" t="s">
        <v>79</v>
      </c>
      <c r="J1511">
        <v>800</v>
      </c>
      <c r="K1511" t="s">
        <v>79</v>
      </c>
      <c r="L1511">
        <v>9</v>
      </c>
      <c r="M1511">
        <v>158.19</v>
      </c>
      <c r="N1511">
        <v>3.6</v>
      </c>
      <c r="Q1511">
        <v>154.59</v>
      </c>
      <c r="V1511">
        <v>0</v>
      </c>
      <c r="W1511">
        <v>0</v>
      </c>
      <c r="AF1511">
        <v>0</v>
      </c>
      <c r="AG1511">
        <v>0</v>
      </c>
      <c r="AH1511">
        <v>0</v>
      </c>
      <c r="AI1511">
        <v>12</v>
      </c>
      <c r="AJ1511">
        <v>12</v>
      </c>
      <c r="AM1511">
        <v>0</v>
      </c>
    </row>
    <row r="1512" spans="1:39" x14ac:dyDescent="0.25">
      <c r="A1512" t="s">
        <v>45</v>
      </c>
      <c r="B1512">
        <v>3</v>
      </c>
      <c r="C1512" t="s">
        <v>678</v>
      </c>
      <c r="D1512" s="39">
        <v>45927</v>
      </c>
      <c r="E1512" t="s">
        <v>486</v>
      </c>
      <c r="F1512" t="s">
        <v>79</v>
      </c>
      <c r="G1512">
        <v>8</v>
      </c>
      <c r="H1512">
        <v>5</v>
      </c>
      <c r="I1512" t="s">
        <v>79</v>
      </c>
      <c r="J1512">
        <v>1000</v>
      </c>
      <c r="K1512" t="s">
        <v>79</v>
      </c>
      <c r="L1512">
        <v>9</v>
      </c>
      <c r="M1512">
        <v>286.99</v>
      </c>
      <c r="N1512">
        <v>7.2</v>
      </c>
      <c r="Q1512">
        <v>279.79000000000002</v>
      </c>
      <c r="V1512">
        <v>0</v>
      </c>
      <c r="W1512">
        <v>0</v>
      </c>
      <c r="AF1512">
        <v>0</v>
      </c>
      <c r="AG1512">
        <v>0</v>
      </c>
      <c r="AH1512">
        <v>0</v>
      </c>
      <c r="AI1512">
        <v>12</v>
      </c>
      <c r="AJ1512">
        <v>12</v>
      </c>
      <c r="AM1512">
        <v>0</v>
      </c>
    </row>
    <row r="1513" spans="1:39" x14ac:dyDescent="0.25">
      <c r="A1513" t="s">
        <v>46</v>
      </c>
      <c r="B1513">
        <v>3</v>
      </c>
      <c r="C1513" t="s">
        <v>678</v>
      </c>
      <c r="D1513" s="39">
        <v>45927</v>
      </c>
      <c r="E1513" t="s">
        <v>486</v>
      </c>
      <c r="F1513" t="s">
        <v>79</v>
      </c>
      <c r="G1513">
        <v>8</v>
      </c>
      <c r="H1513">
        <v>5</v>
      </c>
      <c r="I1513" t="s">
        <v>79</v>
      </c>
      <c r="J1513">
        <v>1000</v>
      </c>
      <c r="K1513" t="s">
        <v>79</v>
      </c>
      <c r="L1513">
        <v>8</v>
      </c>
      <c r="M1513">
        <v>321.25</v>
      </c>
      <c r="N1513">
        <v>6.4</v>
      </c>
      <c r="Q1513">
        <v>314.85000000000002</v>
      </c>
      <c r="S1513">
        <v>20</v>
      </c>
      <c r="V1513">
        <v>20</v>
      </c>
      <c r="W1513">
        <v>0.33333333333333331</v>
      </c>
      <c r="AF1513">
        <v>0</v>
      </c>
      <c r="AG1513">
        <v>0</v>
      </c>
      <c r="AH1513">
        <v>0.33333333333333331</v>
      </c>
      <c r="AI1513">
        <v>11.666666666666666</v>
      </c>
      <c r="AJ1513">
        <v>12</v>
      </c>
      <c r="AM1513">
        <v>0</v>
      </c>
    </row>
    <row r="1514" spans="1:39" x14ac:dyDescent="0.25">
      <c r="A1514" t="s">
        <v>46</v>
      </c>
      <c r="B1514">
        <v>3</v>
      </c>
      <c r="C1514" t="s">
        <v>685</v>
      </c>
      <c r="D1514" s="39">
        <v>45927</v>
      </c>
      <c r="E1514" t="s">
        <v>486</v>
      </c>
      <c r="F1514" t="s">
        <v>79</v>
      </c>
      <c r="G1514">
        <v>7</v>
      </c>
      <c r="H1514">
        <v>5</v>
      </c>
      <c r="I1514" t="s">
        <v>79</v>
      </c>
      <c r="J1514">
        <v>500</v>
      </c>
      <c r="K1514" t="s">
        <v>79</v>
      </c>
      <c r="L1514">
        <v>1</v>
      </c>
      <c r="M1514">
        <v>28.7</v>
      </c>
      <c r="N1514">
        <v>0.7</v>
      </c>
      <c r="Q1514">
        <v>28</v>
      </c>
      <c r="V1514">
        <v>0</v>
      </c>
      <c r="W1514">
        <v>0</v>
      </c>
      <c r="AF1514">
        <v>0</v>
      </c>
      <c r="AG1514">
        <v>0</v>
      </c>
      <c r="AH1514">
        <v>0</v>
      </c>
      <c r="AI1514">
        <v>12</v>
      </c>
      <c r="AJ1514">
        <v>12</v>
      </c>
      <c r="AM1514">
        <v>0</v>
      </c>
    </row>
    <row r="1515" spans="1:39" x14ac:dyDescent="0.25">
      <c r="A1515" t="s">
        <v>45</v>
      </c>
      <c r="B1515">
        <v>4</v>
      </c>
      <c r="C1515" t="s">
        <v>681</v>
      </c>
      <c r="D1515" s="39">
        <v>45927</v>
      </c>
      <c r="E1515" t="s">
        <v>470</v>
      </c>
      <c r="F1515" t="s">
        <v>79</v>
      </c>
      <c r="G1515">
        <v>24</v>
      </c>
      <c r="H1515" t="s">
        <v>113</v>
      </c>
      <c r="I1515" t="s">
        <v>79</v>
      </c>
      <c r="J1515">
        <v>250</v>
      </c>
      <c r="K1515" t="s">
        <v>79</v>
      </c>
      <c r="L1515">
        <v>12</v>
      </c>
      <c r="M1515">
        <v>764</v>
      </c>
      <c r="N1515">
        <v>31.200000000000003</v>
      </c>
      <c r="O1515">
        <v>35</v>
      </c>
      <c r="Q1515">
        <v>732.8</v>
      </c>
      <c r="V1515">
        <v>0</v>
      </c>
      <c r="W1515">
        <v>0</v>
      </c>
      <c r="AF1515">
        <v>0</v>
      </c>
      <c r="AG1515">
        <v>0</v>
      </c>
      <c r="AH1515">
        <v>0</v>
      </c>
      <c r="AI1515">
        <v>12</v>
      </c>
      <c r="AJ1515">
        <v>12</v>
      </c>
      <c r="AM1515">
        <v>0</v>
      </c>
    </row>
    <row r="1516" spans="1:39" x14ac:dyDescent="0.25">
      <c r="A1516" t="s">
        <v>46</v>
      </c>
      <c r="B1516">
        <v>4</v>
      </c>
      <c r="C1516" t="s">
        <v>681</v>
      </c>
      <c r="D1516" s="39">
        <v>45927</v>
      </c>
      <c r="E1516" t="s">
        <v>470</v>
      </c>
      <c r="F1516" t="s">
        <v>79</v>
      </c>
      <c r="G1516">
        <v>24</v>
      </c>
      <c r="H1516" t="s">
        <v>113</v>
      </c>
      <c r="I1516" t="s">
        <v>79</v>
      </c>
      <c r="J1516">
        <v>250</v>
      </c>
      <c r="K1516" t="s">
        <v>79</v>
      </c>
      <c r="L1516">
        <v>11</v>
      </c>
      <c r="M1516">
        <v>607.20999999999992</v>
      </c>
      <c r="N1516">
        <v>26.4</v>
      </c>
      <c r="O1516">
        <v>21</v>
      </c>
      <c r="Q1516">
        <v>580.80999999999995</v>
      </c>
      <c r="V1516">
        <v>0</v>
      </c>
      <c r="W1516">
        <v>0</v>
      </c>
      <c r="AF1516">
        <v>0</v>
      </c>
      <c r="AG1516">
        <v>0</v>
      </c>
      <c r="AH1516">
        <v>0</v>
      </c>
      <c r="AI1516">
        <v>12</v>
      </c>
      <c r="AJ1516">
        <v>12</v>
      </c>
      <c r="AM1516">
        <v>0</v>
      </c>
    </row>
    <row r="1517" spans="1:39" x14ac:dyDescent="0.25">
      <c r="A1517" t="s">
        <v>46</v>
      </c>
      <c r="B1517">
        <v>4</v>
      </c>
      <c r="C1517" t="s">
        <v>686</v>
      </c>
      <c r="D1517" s="39">
        <v>45927</v>
      </c>
      <c r="E1517" t="s">
        <v>486</v>
      </c>
      <c r="F1517" t="s">
        <v>79</v>
      </c>
      <c r="G1517">
        <v>28</v>
      </c>
      <c r="H1517">
        <v>5</v>
      </c>
      <c r="I1517" t="s">
        <v>79</v>
      </c>
      <c r="J1517">
        <v>500</v>
      </c>
      <c r="K1517" t="s">
        <v>79</v>
      </c>
      <c r="L1517">
        <v>1</v>
      </c>
      <c r="M1517">
        <v>45.9</v>
      </c>
      <c r="N1517">
        <v>2.8</v>
      </c>
      <c r="Q1517">
        <v>43.1</v>
      </c>
      <c r="V1517">
        <v>0</v>
      </c>
      <c r="W1517">
        <v>0</v>
      </c>
      <c r="AF1517">
        <v>0</v>
      </c>
      <c r="AG1517">
        <v>0</v>
      </c>
      <c r="AH1517">
        <v>0</v>
      </c>
      <c r="AI1517">
        <v>12</v>
      </c>
      <c r="AJ1517">
        <v>12</v>
      </c>
      <c r="AM1517">
        <v>0</v>
      </c>
    </row>
    <row r="1518" spans="1:39" x14ac:dyDescent="0.25">
      <c r="A1518" t="s">
        <v>45</v>
      </c>
      <c r="B1518">
        <v>5</v>
      </c>
      <c r="C1518" t="s">
        <v>683</v>
      </c>
      <c r="D1518" s="39">
        <v>45927</v>
      </c>
      <c r="E1518" t="s">
        <v>684</v>
      </c>
      <c r="F1518" t="s">
        <v>79</v>
      </c>
      <c r="G1518">
        <v>10</v>
      </c>
      <c r="H1518">
        <v>8</v>
      </c>
      <c r="I1518" t="s">
        <v>79</v>
      </c>
      <c r="J1518">
        <v>100</v>
      </c>
      <c r="K1518" t="s">
        <v>79</v>
      </c>
      <c r="L1518">
        <v>3</v>
      </c>
      <c r="M1518">
        <v>86.14</v>
      </c>
      <c r="N1518">
        <v>3.3000000000000003</v>
      </c>
      <c r="Q1518">
        <v>82.84</v>
      </c>
      <c r="S1518">
        <v>30</v>
      </c>
      <c r="V1518">
        <v>30</v>
      </c>
      <c r="W1518">
        <v>0.5</v>
      </c>
      <c r="AF1518">
        <v>0</v>
      </c>
      <c r="AG1518">
        <v>0</v>
      </c>
      <c r="AH1518">
        <v>0.5</v>
      </c>
      <c r="AI1518">
        <v>11.5</v>
      </c>
      <c r="AJ1518">
        <v>12</v>
      </c>
      <c r="AM1518">
        <v>0</v>
      </c>
    </row>
    <row r="1519" spans="1:39" x14ac:dyDescent="0.25">
      <c r="A1519" t="s">
        <v>45</v>
      </c>
      <c r="B1519">
        <v>5</v>
      </c>
      <c r="C1519" t="s">
        <v>687</v>
      </c>
      <c r="D1519" s="39">
        <v>45927</v>
      </c>
      <c r="E1519" t="s">
        <v>282</v>
      </c>
      <c r="F1519" t="s">
        <v>79</v>
      </c>
      <c r="G1519" t="s">
        <v>688</v>
      </c>
      <c r="H1519">
        <v>6.5</v>
      </c>
      <c r="I1519" t="s">
        <v>79</v>
      </c>
      <c r="J1519">
        <v>500</v>
      </c>
      <c r="K1519" t="s">
        <v>79</v>
      </c>
      <c r="L1519">
        <v>9</v>
      </c>
      <c r="M1519">
        <v>431.21000000000004</v>
      </c>
      <c r="N1519">
        <v>12.15</v>
      </c>
      <c r="Q1519">
        <v>419.06000000000006</v>
      </c>
      <c r="V1519">
        <v>0</v>
      </c>
      <c r="W1519">
        <v>0</v>
      </c>
      <c r="AF1519">
        <v>0</v>
      </c>
      <c r="AG1519">
        <v>0</v>
      </c>
      <c r="AH1519">
        <v>0</v>
      </c>
      <c r="AI1519">
        <v>12</v>
      </c>
      <c r="AJ1519">
        <v>12</v>
      </c>
      <c r="AM1519">
        <v>0</v>
      </c>
    </row>
    <row r="1520" spans="1:39" x14ac:dyDescent="0.25">
      <c r="A1520" t="s">
        <v>46</v>
      </c>
      <c r="B1520">
        <v>5</v>
      </c>
      <c r="C1520" t="s">
        <v>687</v>
      </c>
      <c r="D1520" s="39">
        <v>45927</v>
      </c>
      <c r="E1520" t="s">
        <v>282</v>
      </c>
      <c r="F1520" t="s">
        <v>79</v>
      </c>
      <c r="G1520" t="s">
        <v>688</v>
      </c>
      <c r="H1520">
        <v>6.5</v>
      </c>
      <c r="I1520" t="s">
        <v>79</v>
      </c>
      <c r="J1520">
        <v>500</v>
      </c>
      <c r="K1520" t="s">
        <v>79</v>
      </c>
      <c r="L1520">
        <v>1</v>
      </c>
      <c r="M1520">
        <v>45.8</v>
      </c>
      <c r="N1520">
        <v>1.1000000000000001</v>
      </c>
      <c r="Q1520">
        <v>44.699999999999996</v>
      </c>
      <c r="V1520">
        <v>0</v>
      </c>
      <c r="W1520">
        <v>0</v>
      </c>
      <c r="AF1520">
        <v>0</v>
      </c>
      <c r="AG1520">
        <v>0</v>
      </c>
      <c r="AH1520">
        <v>0</v>
      </c>
      <c r="AI1520">
        <v>12</v>
      </c>
      <c r="AJ1520">
        <v>12</v>
      </c>
      <c r="AM1520">
        <v>0</v>
      </c>
    </row>
    <row r="1521" spans="1:41" x14ac:dyDescent="0.25">
      <c r="A1521" t="s">
        <v>46</v>
      </c>
      <c r="B1521">
        <v>5</v>
      </c>
      <c r="C1521" t="s">
        <v>689</v>
      </c>
      <c r="D1521" s="39">
        <v>45927</v>
      </c>
      <c r="E1521" t="s">
        <v>482</v>
      </c>
      <c r="F1521" t="s">
        <v>79</v>
      </c>
      <c r="G1521">
        <v>11</v>
      </c>
      <c r="H1521">
        <v>7</v>
      </c>
      <c r="I1521" t="s">
        <v>79</v>
      </c>
      <c r="J1521">
        <v>100</v>
      </c>
      <c r="K1521" t="s">
        <v>79</v>
      </c>
      <c r="L1521">
        <v>2</v>
      </c>
      <c r="M1521">
        <v>80.14</v>
      </c>
      <c r="N1521">
        <v>2.2000000000000002</v>
      </c>
      <c r="Q1521">
        <v>77.94</v>
      </c>
      <c r="V1521">
        <v>0</v>
      </c>
      <c r="W1521">
        <v>0</v>
      </c>
      <c r="AF1521">
        <v>0</v>
      </c>
      <c r="AG1521">
        <v>0</v>
      </c>
      <c r="AH1521">
        <v>0</v>
      </c>
      <c r="AI1521">
        <v>12</v>
      </c>
      <c r="AJ1521">
        <v>12</v>
      </c>
      <c r="AM1521">
        <v>0</v>
      </c>
    </row>
    <row r="1522" spans="1:41" x14ac:dyDescent="0.25">
      <c r="A1522" t="s">
        <v>46</v>
      </c>
      <c r="B1522">
        <v>5</v>
      </c>
      <c r="C1522" t="s">
        <v>690</v>
      </c>
      <c r="D1522" s="39">
        <v>45927</v>
      </c>
      <c r="E1522" t="s">
        <v>626</v>
      </c>
      <c r="F1522" t="s">
        <v>79</v>
      </c>
      <c r="G1522">
        <v>11</v>
      </c>
      <c r="H1522">
        <v>4.5</v>
      </c>
      <c r="I1522" t="s">
        <v>79</v>
      </c>
      <c r="J1522">
        <v>50</v>
      </c>
      <c r="K1522" t="s">
        <v>79</v>
      </c>
      <c r="L1522">
        <v>4</v>
      </c>
      <c r="M1522">
        <v>159.66999999999999</v>
      </c>
      <c r="N1522">
        <v>4.4000000000000004</v>
      </c>
      <c r="Q1522">
        <v>155.26999999999998</v>
      </c>
      <c r="V1522">
        <v>0</v>
      </c>
      <c r="W1522">
        <v>0</v>
      </c>
      <c r="AF1522">
        <v>0</v>
      </c>
      <c r="AG1522">
        <v>0</v>
      </c>
      <c r="AH1522">
        <v>0</v>
      </c>
      <c r="AI1522">
        <v>12</v>
      </c>
      <c r="AJ1522">
        <v>12</v>
      </c>
      <c r="AM1522">
        <v>0</v>
      </c>
    </row>
    <row r="1523" spans="1:41" x14ac:dyDescent="0.25">
      <c r="A1523" t="s">
        <v>46</v>
      </c>
      <c r="B1523">
        <v>5</v>
      </c>
      <c r="C1523" t="s">
        <v>691</v>
      </c>
      <c r="D1523" s="39">
        <v>45927</v>
      </c>
      <c r="E1523" t="s">
        <v>486</v>
      </c>
      <c r="F1523" t="s">
        <v>79</v>
      </c>
      <c r="G1523">
        <v>11</v>
      </c>
      <c r="H1523" t="s">
        <v>113</v>
      </c>
      <c r="I1523" t="s">
        <v>79</v>
      </c>
      <c r="J1523">
        <v>200</v>
      </c>
      <c r="K1523" t="s">
        <v>79</v>
      </c>
      <c r="L1523">
        <v>5</v>
      </c>
      <c r="M1523">
        <v>285.31</v>
      </c>
      <c r="N1523">
        <v>5.5</v>
      </c>
      <c r="Q1523">
        <v>279.81</v>
      </c>
      <c r="V1523">
        <v>0</v>
      </c>
      <c r="W1523">
        <v>0</v>
      </c>
      <c r="AF1523">
        <v>0</v>
      </c>
      <c r="AG1523">
        <v>0</v>
      </c>
      <c r="AH1523">
        <v>0</v>
      </c>
      <c r="AI1523">
        <v>12</v>
      </c>
      <c r="AJ1523">
        <v>12</v>
      </c>
      <c r="AM1523">
        <v>0</v>
      </c>
    </row>
    <row r="1524" spans="1:41" x14ac:dyDescent="0.25">
      <c r="A1524" t="s">
        <v>45</v>
      </c>
      <c r="B1524">
        <v>6</v>
      </c>
      <c r="C1524" t="s">
        <v>628</v>
      </c>
      <c r="D1524" s="39">
        <v>45927</v>
      </c>
      <c r="E1524" t="s">
        <v>629</v>
      </c>
      <c r="F1524" t="s">
        <v>79</v>
      </c>
      <c r="G1524">
        <v>17</v>
      </c>
      <c r="H1524" t="s">
        <v>92</v>
      </c>
      <c r="I1524" t="s">
        <v>79</v>
      </c>
      <c r="J1524">
        <v>8000</v>
      </c>
      <c r="K1524" t="s">
        <v>79</v>
      </c>
      <c r="L1524">
        <v>11</v>
      </c>
      <c r="M1524">
        <v>586.06999999999994</v>
      </c>
      <c r="N1524">
        <v>27.5</v>
      </c>
      <c r="Q1524">
        <v>558.56999999999994</v>
      </c>
      <c r="V1524">
        <v>0</v>
      </c>
      <c r="W1524">
        <v>0</v>
      </c>
      <c r="AF1524">
        <v>0</v>
      </c>
      <c r="AG1524">
        <v>0</v>
      </c>
      <c r="AH1524">
        <v>0</v>
      </c>
      <c r="AI1524">
        <v>12</v>
      </c>
      <c r="AJ1524">
        <v>12</v>
      </c>
      <c r="AM1524">
        <v>0</v>
      </c>
    </row>
    <row r="1525" spans="1:41" x14ac:dyDescent="0.25">
      <c r="A1525" t="s">
        <v>46</v>
      </c>
      <c r="B1525">
        <v>6</v>
      </c>
      <c r="C1525" t="s">
        <v>628</v>
      </c>
      <c r="D1525" s="39">
        <v>45927</v>
      </c>
      <c r="E1525" t="s">
        <v>629</v>
      </c>
      <c r="F1525" t="s">
        <v>79</v>
      </c>
      <c r="G1525">
        <v>17</v>
      </c>
      <c r="H1525" t="s">
        <v>92</v>
      </c>
      <c r="I1525" t="s">
        <v>79</v>
      </c>
      <c r="J1525">
        <v>8000</v>
      </c>
      <c r="K1525" t="s">
        <v>79</v>
      </c>
      <c r="L1525">
        <v>12</v>
      </c>
      <c r="M1525">
        <v>655.03</v>
      </c>
      <c r="N1525">
        <v>22.799999999999997</v>
      </c>
      <c r="Q1525">
        <v>632.23</v>
      </c>
      <c r="V1525">
        <v>0</v>
      </c>
      <c r="W1525">
        <v>0</v>
      </c>
      <c r="AF1525">
        <v>0</v>
      </c>
      <c r="AG1525">
        <v>0</v>
      </c>
      <c r="AH1525">
        <v>0</v>
      </c>
      <c r="AI1525">
        <v>12</v>
      </c>
      <c r="AJ1525">
        <v>12</v>
      </c>
      <c r="AM1525">
        <v>0</v>
      </c>
    </row>
    <row r="1526" spans="1:41" x14ac:dyDescent="0.25">
      <c r="A1526" t="s">
        <v>45</v>
      </c>
      <c r="B1526">
        <v>1</v>
      </c>
      <c r="C1526" t="s">
        <v>676</v>
      </c>
      <c r="D1526" s="39">
        <v>45928</v>
      </c>
      <c r="E1526" t="s">
        <v>486</v>
      </c>
      <c r="F1526" t="s">
        <v>79</v>
      </c>
      <c r="G1526">
        <v>2.5</v>
      </c>
      <c r="H1526" t="s">
        <v>92</v>
      </c>
      <c r="I1526" t="s">
        <v>79</v>
      </c>
      <c r="J1526">
        <v>800</v>
      </c>
      <c r="K1526" t="s">
        <v>79</v>
      </c>
      <c r="L1526">
        <v>10</v>
      </c>
      <c r="M1526">
        <v>113.09999999999998</v>
      </c>
      <c r="N1526">
        <v>25</v>
      </c>
      <c r="O1526">
        <v>27</v>
      </c>
      <c r="Q1526">
        <v>88.09999999999998</v>
      </c>
      <c r="V1526">
        <v>0</v>
      </c>
      <c r="W1526">
        <v>0</v>
      </c>
      <c r="AF1526">
        <v>0</v>
      </c>
      <c r="AG1526">
        <v>0</v>
      </c>
      <c r="AH1526">
        <v>0</v>
      </c>
      <c r="AI1526">
        <v>12</v>
      </c>
      <c r="AJ1526">
        <v>12</v>
      </c>
      <c r="AL1526">
        <v>2616.5</v>
      </c>
      <c r="AM1526">
        <v>0</v>
      </c>
      <c r="AN1526">
        <v>93.09999999999998</v>
      </c>
      <c r="AO1526">
        <v>398</v>
      </c>
    </row>
    <row r="1527" spans="1:41" x14ac:dyDescent="0.25">
      <c r="A1527" t="s">
        <v>46</v>
      </c>
      <c r="B1527">
        <v>1</v>
      </c>
      <c r="C1527" t="s">
        <v>676</v>
      </c>
      <c r="D1527" s="39">
        <v>45928</v>
      </c>
      <c r="E1527" t="s">
        <v>486</v>
      </c>
      <c r="F1527" t="s">
        <v>79</v>
      </c>
      <c r="G1527">
        <v>2.5</v>
      </c>
      <c r="H1527" t="s">
        <v>92</v>
      </c>
      <c r="I1527" t="s">
        <v>79</v>
      </c>
      <c r="J1527">
        <v>800</v>
      </c>
      <c r="K1527" t="s">
        <v>79</v>
      </c>
      <c r="L1527">
        <v>12</v>
      </c>
      <c r="M1527">
        <v>107.60999999999999</v>
      </c>
      <c r="N1527">
        <v>30</v>
      </c>
      <c r="O1527">
        <v>35</v>
      </c>
      <c r="Q1527">
        <v>77.609999999999985</v>
      </c>
      <c r="V1527">
        <v>0</v>
      </c>
      <c r="W1527">
        <v>0</v>
      </c>
      <c r="AF1527">
        <v>0</v>
      </c>
      <c r="AG1527">
        <v>0</v>
      </c>
      <c r="AH1527">
        <v>0</v>
      </c>
      <c r="AI1527">
        <v>12</v>
      </c>
      <c r="AJ1527">
        <v>12</v>
      </c>
      <c r="AM1527">
        <v>0</v>
      </c>
      <c r="AN1527">
        <v>82.609999999999985</v>
      </c>
    </row>
    <row r="1528" spans="1:41" x14ac:dyDescent="0.25">
      <c r="A1528" t="s">
        <v>45</v>
      </c>
      <c r="B1528">
        <v>2</v>
      </c>
      <c r="C1528" t="s">
        <v>671</v>
      </c>
      <c r="D1528" s="39">
        <v>45928</v>
      </c>
      <c r="E1528" t="s">
        <v>486</v>
      </c>
      <c r="F1528" t="s">
        <v>79</v>
      </c>
      <c r="G1528">
        <v>4</v>
      </c>
      <c r="H1528" t="s">
        <v>113</v>
      </c>
      <c r="I1528" t="s">
        <v>79</v>
      </c>
      <c r="J1528">
        <v>800</v>
      </c>
      <c r="K1528" t="s">
        <v>79</v>
      </c>
      <c r="L1528">
        <v>9</v>
      </c>
      <c r="M1528">
        <v>160.1</v>
      </c>
      <c r="N1528">
        <v>3.6</v>
      </c>
      <c r="Q1528">
        <v>156.5</v>
      </c>
      <c r="R1528" t="s">
        <v>653</v>
      </c>
      <c r="V1528">
        <v>0</v>
      </c>
      <c r="W1528">
        <v>0</v>
      </c>
      <c r="AF1528">
        <v>0</v>
      </c>
      <c r="AG1528">
        <v>0</v>
      </c>
      <c r="AH1528">
        <v>0</v>
      </c>
      <c r="AI1528">
        <v>12</v>
      </c>
      <c r="AJ1528">
        <v>12</v>
      </c>
      <c r="AM1528">
        <v>0</v>
      </c>
      <c r="AN1528">
        <v>161.5</v>
      </c>
    </row>
    <row r="1529" spans="1:41" x14ac:dyDescent="0.25">
      <c r="A1529" t="s">
        <v>46</v>
      </c>
      <c r="B1529">
        <v>2</v>
      </c>
      <c r="C1529" t="s">
        <v>671</v>
      </c>
      <c r="D1529" s="39">
        <v>45928</v>
      </c>
      <c r="E1529" t="s">
        <v>486</v>
      </c>
      <c r="F1529" t="s">
        <v>79</v>
      </c>
      <c r="G1529">
        <v>4</v>
      </c>
      <c r="H1529" t="s">
        <v>113</v>
      </c>
      <c r="I1529" t="s">
        <v>79</v>
      </c>
      <c r="J1529">
        <v>800</v>
      </c>
      <c r="K1529" t="s">
        <v>79</v>
      </c>
      <c r="L1529">
        <v>11</v>
      </c>
      <c r="M1529">
        <v>141.44999999999999</v>
      </c>
      <c r="N1529">
        <v>4.4000000000000004</v>
      </c>
      <c r="Q1529">
        <v>137.04999999999998</v>
      </c>
      <c r="R1529" t="s">
        <v>692</v>
      </c>
      <c r="V1529">
        <v>0</v>
      </c>
      <c r="W1529">
        <v>0</v>
      </c>
      <c r="AF1529">
        <v>0</v>
      </c>
      <c r="AG1529">
        <v>0</v>
      </c>
      <c r="AH1529">
        <v>0</v>
      </c>
      <c r="AI1529">
        <v>12</v>
      </c>
      <c r="AJ1529">
        <v>12</v>
      </c>
      <c r="AM1529">
        <v>0</v>
      </c>
      <c r="AN1529">
        <v>142.04999999999998</v>
      </c>
    </row>
    <row r="1530" spans="1:41" x14ac:dyDescent="0.25">
      <c r="A1530" t="s">
        <v>45</v>
      </c>
      <c r="B1530">
        <v>3</v>
      </c>
      <c r="C1530" t="s">
        <v>685</v>
      </c>
      <c r="D1530" s="39">
        <v>45928</v>
      </c>
      <c r="E1530" t="s">
        <v>486</v>
      </c>
      <c r="F1530" t="s">
        <v>79</v>
      </c>
      <c r="G1530">
        <v>7</v>
      </c>
      <c r="H1530">
        <v>5</v>
      </c>
      <c r="I1530" t="s">
        <v>79</v>
      </c>
      <c r="J1530">
        <v>500</v>
      </c>
      <c r="K1530" t="s">
        <v>79</v>
      </c>
      <c r="L1530">
        <v>10</v>
      </c>
      <c r="M1530">
        <v>288.03999999999996</v>
      </c>
      <c r="N1530">
        <v>8</v>
      </c>
      <c r="Q1530">
        <v>280.03999999999996</v>
      </c>
      <c r="V1530">
        <v>0</v>
      </c>
      <c r="W1530">
        <v>0</v>
      </c>
      <c r="AF1530">
        <v>0</v>
      </c>
      <c r="AG1530">
        <v>0</v>
      </c>
      <c r="AH1530">
        <v>0</v>
      </c>
      <c r="AI1530">
        <v>12</v>
      </c>
      <c r="AJ1530">
        <v>12</v>
      </c>
      <c r="AM1530">
        <v>0</v>
      </c>
      <c r="AN1530">
        <v>285.03999999999996</v>
      </c>
    </row>
    <row r="1531" spans="1:41" x14ac:dyDescent="0.25">
      <c r="A1531" t="s">
        <v>46</v>
      </c>
      <c r="B1531">
        <v>3</v>
      </c>
      <c r="C1531" t="s">
        <v>685</v>
      </c>
      <c r="D1531" s="39">
        <v>45928</v>
      </c>
      <c r="E1531" t="s">
        <v>486</v>
      </c>
      <c r="F1531" t="s">
        <v>79</v>
      </c>
      <c r="G1531">
        <v>7</v>
      </c>
      <c r="H1531">
        <v>5</v>
      </c>
      <c r="I1531" t="s">
        <v>79</v>
      </c>
      <c r="J1531">
        <v>500</v>
      </c>
      <c r="K1531" t="s">
        <v>79</v>
      </c>
      <c r="L1531">
        <v>7</v>
      </c>
      <c r="M1531">
        <v>231.63</v>
      </c>
      <c r="N1531">
        <v>4.8999999999999995</v>
      </c>
      <c r="Q1531">
        <v>226.73</v>
      </c>
      <c r="V1531">
        <v>0</v>
      </c>
      <c r="W1531">
        <v>0</v>
      </c>
      <c r="AF1531">
        <v>0</v>
      </c>
      <c r="AG1531">
        <v>0</v>
      </c>
      <c r="AH1531">
        <v>0</v>
      </c>
      <c r="AI1531">
        <v>12</v>
      </c>
      <c r="AJ1531">
        <v>12</v>
      </c>
      <c r="AM1531">
        <v>0</v>
      </c>
      <c r="AN1531">
        <v>231.73</v>
      </c>
    </row>
    <row r="1532" spans="1:41" x14ac:dyDescent="0.25">
      <c r="A1532" t="s">
        <v>45</v>
      </c>
      <c r="B1532">
        <v>4</v>
      </c>
      <c r="C1532" t="s">
        <v>686</v>
      </c>
      <c r="D1532" s="39">
        <v>45928</v>
      </c>
      <c r="E1532" t="s">
        <v>486</v>
      </c>
      <c r="F1532" t="s">
        <v>79</v>
      </c>
      <c r="G1532">
        <v>28</v>
      </c>
      <c r="H1532">
        <v>5</v>
      </c>
      <c r="I1532" t="s">
        <v>79</v>
      </c>
      <c r="J1532">
        <v>500</v>
      </c>
      <c r="K1532" t="s">
        <v>79</v>
      </c>
      <c r="L1532">
        <v>11</v>
      </c>
      <c r="M1532">
        <v>671.45999999999992</v>
      </c>
      <c r="N1532">
        <v>30.799999999999997</v>
      </c>
      <c r="Q1532">
        <v>640.66</v>
      </c>
      <c r="V1532">
        <v>0</v>
      </c>
      <c r="W1532">
        <v>0</v>
      </c>
      <c r="AF1532">
        <v>0</v>
      </c>
      <c r="AG1532">
        <v>0</v>
      </c>
      <c r="AH1532">
        <v>0</v>
      </c>
      <c r="AI1532">
        <v>12</v>
      </c>
      <c r="AJ1532">
        <v>12</v>
      </c>
      <c r="AM1532">
        <v>0</v>
      </c>
      <c r="AN1532">
        <v>645.66</v>
      </c>
    </row>
    <row r="1533" spans="1:41" x14ac:dyDescent="0.25">
      <c r="A1533" t="s">
        <v>46</v>
      </c>
      <c r="B1533">
        <v>4</v>
      </c>
      <c r="C1533" t="s">
        <v>686</v>
      </c>
      <c r="D1533" s="39">
        <v>45928</v>
      </c>
      <c r="E1533" t="s">
        <v>486</v>
      </c>
      <c r="F1533" t="s">
        <v>79</v>
      </c>
      <c r="G1533">
        <v>28</v>
      </c>
      <c r="H1533">
        <v>5</v>
      </c>
      <c r="I1533" t="s">
        <v>79</v>
      </c>
      <c r="J1533">
        <v>500</v>
      </c>
      <c r="K1533" t="s">
        <v>79</v>
      </c>
      <c r="L1533">
        <v>2</v>
      </c>
      <c r="M1533">
        <v>135.11000000000001</v>
      </c>
      <c r="N1533">
        <v>7</v>
      </c>
      <c r="Q1533">
        <v>128.11000000000001</v>
      </c>
      <c r="S1533">
        <v>25</v>
      </c>
      <c r="V1533">
        <v>25</v>
      </c>
      <c r="W1533">
        <v>0.41666666666666674</v>
      </c>
      <c r="AF1533">
        <v>0</v>
      </c>
      <c r="AG1533">
        <v>0</v>
      </c>
      <c r="AH1533">
        <v>0.41666666666666674</v>
      </c>
      <c r="AI1533">
        <v>11.583333333333334</v>
      </c>
      <c r="AJ1533">
        <v>12</v>
      </c>
      <c r="AM1533">
        <v>0</v>
      </c>
      <c r="AN1533">
        <v>133.11000000000001</v>
      </c>
    </row>
    <row r="1534" spans="1:41" x14ac:dyDescent="0.25">
      <c r="A1534" t="s">
        <v>46</v>
      </c>
      <c r="B1534">
        <v>4</v>
      </c>
      <c r="C1534" t="s">
        <v>693</v>
      </c>
      <c r="D1534" s="39">
        <v>45928</v>
      </c>
      <c r="E1534" t="s">
        <v>276</v>
      </c>
      <c r="F1534" t="s">
        <v>79</v>
      </c>
      <c r="G1534">
        <v>28</v>
      </c>
      <c r="H1534" t="s">
        <v>113</v>
      </c>
      <c r="I1534" t="s">
        <v>79</v>
      </c>
      <c r="J1534">
        <v>500</v>
      </c>
      <c r="K1534" t="s">
        <v>79</v>
      </c>
      <c r="L1534">
        <v>9</v>
      </c>
      <c r="M1534">
        <v>555.96</v>
      </c>
      <c r="N1534">
        <v>25.2</v>
      </c>
      <c r="Q1534">
        <v>530.76</v>
      </c>
      <c r="V1534">
        <v>0</v>
      </c>
      <c r="W1534">
        <v>0</v>
      </c>
      <c r="AF1534">
        <v>0</v>
      </c>
      <c r="AG1534">
        <v>0</v>
      </c>
      <c r="AH1534">
        <v>0</v>
      </c>
      <c r="AI1534">
        <v>12</v>
      </c>
      <c r="AJ1534">
        <v>12</v>
      </c>
      <c r="AM1534">
        <v>0</v>
      </c>
      <c r="AN1534">
        <v>535.76</v>
      </c>
    </row>
    <row r="1535" spans="1:41" x14ac:dyDescent="0.25">
      <c r="A1535" t="s">
        <v>45</v>
      </c>
      <c r="B1535">
        <v>5</v>
      </c>
      <c r="C1535" t="s">
        <v>691</v>
      </c>
      <c r="D1535" s="39">
        <v>45928</v>
      </c>
      <c r="E1535" t="s">
        <v>486</v>
      </c>
      <c r="F1535" t="s">
        <v>79</v>
      </c>
      <c r="G1535">
        <v>11</v>
      </c>
      <c r="H1535" t="s">
        <v>113</v>
      </c>
      <c r="I1535" t="s">
        <v>79</v>
      </c>
      <c r="J1535">
        <v>200</v>
      </c>
      <c r="K1535" t="s">
        <v>79</v>
      </c>
      <c r="L1535">
        <v>7</v>
      </c>
      <c r="M1535">
        <v>294.53000000000003</v>
      </c>
      <c r="N1535">
        <v>8.4</v>
      </c>
      <c r="Q1535">
        <v>286.13000000000005</v>
      </c>
      <c r="S1535">
        <v>30</v>
      </c>
      <c r="V1535">
        <v>30</v>
      </c>
      <c r="W1535">
        <v>0.5</v>
      </c>
      <c r="AF1535">
        <v>0</v>
      </c>
      <c r="AG1535">
        <v>0</v>
      </c>
      <c r="AH1535">
        <v>0.5</v>
      </c>
      <c r="AI1535">
        <v>11.5</v>
      </c>
      <c r="AJ1535">
        <v>12</v>
      </c>
      <c r="AM1535">
        <v>0</v>
      </c>
      <c r="AN1535">
        <v>291.13000000000005</v>
      </c>
    </row>
    <row r="1536" spans="1:41" x14ac:dyDescent="0.25">
      <c r="A1536" t="s">
        <v>45</v>
      </c>
      <c r="B1536">
        <v>5</v>
      </c>
      <c r="C1536" t="s">
        <v>694</v>
      </c>
      <c r="D1536" s="39">
        <v>45928</v>
      </c>
      <c r="E1536" t="s">
        <v>695</v>
      </c>
      <c r="F1536" t="s">
        <v>79</v>
      </c>
      <c r="G1536">
        <v>10.5</v>
      </c>
      <c r="H1536" t="s">
        <v>696</v>
      </c>
      <c r="I1536" t="s">
        <v>79</v>
      </c>
      <c r="J1536">
        <v>750</v>
      </c>
      <c r="K1536" t="s">
        <v>79</v>
      </c>
      <c r="L1536">
        <v>5</v>
      </c>
      <c r="M1536">
        <v>240.32999999999998</v>
      </c>
      <c r="N1536">
        <v>5</v>
      </c>
      <c r="Q1536">
        <v>235.32999999999998</v>
      </c>
      <c r="V1536">
        <v>0</v>
      </c>
      <c r="W1536">
        <v>0</v>
      </c>
      <c r="AF1536">
        <v>0</v>
      </c>
      <c r="AG1536">
        <v>0</v>
      </c>
      <c r="AH1536">
        <v>0</v>
      </c>
      <c r="AI1536">
        <v>12</v>
      </c>
      <c r="AJ1536">
        <v>12</v>
      </c>
      <c r="AM1536">
        <v>0</v>
      </c>
      <c r="AN1536">
        <v>240.33</v>
      </c>
    </row>
    <row r="1537" spans="1:41" x14ac:dyDescent="0.25">
      <c r="A1537" t="s">
        <v>46</v>
      </c>
      <c r="B1537">
        <v>5</v>
      </c>
      <c r="C1537" t="s">
        <v>694</v>
      </c>
      <c r="D1537" s="39">
        <v>45928</v>
      </c>
      <c r="E1537" t="s">
        <v>695</v>
      </c>
      <c r="F1537" t="s">
        <v>79</v>
      </c>
      <c r="G1537">
        <v>10.5</v>
      </c>
      <c r="H1537" t="s">
        <v>696</v>
      </c>
      <c r="I1537" t="s">
        <v>79</v>
      </c>
      <c r="J1537">
        <v>750</v>
      </c>
      <c r="K1537" t="s">
        <v>79</v>
      </c>
      <c r="L1537">
        <v>8</v>
      </c>
      <c r="M1537">
        <v>458.06000000000006</v>
      </c>
      <c r="N1537">
        <v>8</v>
      </c>
      <c r="Q1537">
        <v>450.06000000000006</v>
      </c>
      <c r="V1537">
        <v>0</v>
      </c>
      <c r="W1537">
        <v>0</v>
      </c>
      <c r="AF1537">
        <v>0</v>
      </c>
      <c r="AG1537">
        <v>0</v>
      </c>
      <c r="AH1537">
        <v>0</v>
      </c>
      <c r="AI1537">
        <v>12</v>
      </c>
      <c r="AJ1537">
        <v>12</v>
      </c>
      <c r="AM1537">
        <v>0</v>
      </c>
      <c r="AN1537">
        <v>455.06000000000006</v>
      </c>
    </row>
    <row r="1538" spans="1:41" x14ac:dyDescent="0.25">
      <c r="A1538" t="s">
        <v>45</v>
      </c>
      <c r="B1538">
        <v>6</v>
      </c>
      <c r="C1538" t="s">
        <v>628</v>
      </c>
      <c r="D1538" s="39">
        <v>45928</v>
      </c>
      <c r="E1538" t="s">
        <v>629</v>
      </c>
      <c r="F1538" t="s">
        <v>79</v>
      </c>
      <c r="G1538">
        <v>17</v>
      </c>
      <c r="H1538" t="s">
        <v>92</v>
      </c>
      <c r="I1538" t="s">
        <v>79</v>
      </c>
      <c r="J1538">
        <v>8000</v>
      </c>
      <c r="K1538" t="s">
        <v>79</v>
      </c>
      <c r="L1538">
        <v>12</v>
      </c>
      <c r="M1538">
        <v>601.7299999999999</v>
      </c>
      <c r="N1538">
        <v>20.399999999999999</v>
      </c>
      <c r="Q1538">
        <v>581.32999999999993</v>
      </c>
      <c r="V1538">
        <v>0</v>
      </c>
      <c r="W1538">
        <v>0</v>
      </c>
      <c r="AF1538">
        <v>0</v>
      </c>
      <c r="AG1538">
        <v>0</v>
      </c>
      <c r="AH1538">
        <v>0</v>
      </c>
      <c r="AI1538">
        <v>12</v>
      </c>
      <c r="AJ1538">
        <v>12</v>
      </c>
      <c r="AM1538">
        <v>0</v>
      </c>
      <c r="AN1538">
        <v>586.32999999999993</v>
      </c>
    </row>
    <row r="1539" spans="1:41" x14ac:dyDescent="0.25">
      <c r="A1539" t="s">
        <v>46</v>
      </c>
      <c r="B1539">
        <v>6</v>
      </c>
      <c r="C1539" t="s">
        <v>628</v>
      </c>
      <c r="D1539" s="39">
        <v>45928</v>
      </c>
      <c r="E1539" t="s">
        <v>629</v>
      </c>
      <c r="F1539" t="s">
        <v>79</v>
      </c>
      <c r="G1539">
        <v>17</v>
      </c>
      <c r="H1539" t="s">
        <v>92</v>
      </c>
      <c r="I1539" t="s">
        <v>79</v>
      </c>
      <c r="J1539">
        <v>8000</v>
      </c>
      <c r="K1539" t="s">
        <v>79</v>
      </c>
      <c r="L1539">
        <v>11</v>
      </c>
      <c r="M1539">
        <v>541.45999999999992</v>
      </c>
      <c r="N1539">
        <v>20.399999999999999</v>
      </c>
      <c r="Q1539">
        <v>521.05999999999995</v>
      </c>
      <c r="V1539">
        <v>0</v>
      </c>
      <c r="W1539">
        <v>0</v>
      </c>
      <c r="AD1539">
        <v>75</v>
      </c>
      <c r="AF1539">
        <v>75</v>
      </c>
      <c r="AG1539">
        <v>1.25</v>
      </c>
      <c r="AH1539">
        <v>1.25</v>
      </c>
      <c r="AI1539">
        <v>10.75</v>
      </c>
      <c r="AJ1539">
        <v>12</v>
      </c>
      <c r="AM1539">
        <v>0</v>
      </c>
      <c r="AN1539">
        <v>526.05999999999995</v>
      </c>
    </row>
    <row r="1540" spans="1:41" x14ac:dyDescent="0.25">
      <c r="A1540" t="s">
        <v>45</v>
      </c>
      <c r="B1540">
        <v>1</v>
      </c>
      <c r="C1540" t="s">
        <v>676</v>
      </c>
      <c r="D1540" s="39">
        <v>45929</v>
      </c>
      <c r="E1540" t="s">
        <v>486</v>
      </c>
      <c r="F1540" t="s">
        <v>79</v>
      </c>
      <c r="G1540">
        <v>2.5</v>
      </c>
      <c r="H1540" t="s">
        <v>92</v>
      </c>
      <c r="I1540" t="s">
        <v>79</v>
      </c>
      <c r="J1540">
        <v>800</v>
      </c>
      <c r="K1540" t="s">
        <v>79</v>
      </c>
      <c r="L1540">
        <v>9</v>
      </c>
      <c r="M1540">
        <v>115.4</v>
      </c>
      <c r="N1540">
        <v>1.8</v>
      </c>
      <c r="O1540">
        <v>37.5</v>
      </c>
      <c r="Q1540">
        <v>113.60000000000001</v>
      </c>
      <c r="V1540">
        <v>0</v>
      </c>
      <c r="W1540">
        <v>0</v>
      </c>
      <c r="AF1540">
        <v>0</v>
      </c>
      <c r="AG1540">
        <v>0</v>
      </c>
      <c r="AH1540">
        <v>0</v>
      </c>
      <c r="AI1540">
        <v>12</v>
      </c>
      <c r="AJ1540">
        <v>12</v>
      </c>
      <c r="AL1540">
        <v>2502.5</v>
      </c>
      <c r="AM1540">
        <v>0</v>
      </c>
      <c r="AN1540">
        <v>118.6</v>
      </c>
      <c r="AO1540">
        <v>398</v>
      </c>
    </row>
    <row r="1541" spans="1:41" x14ac:dyDescent="0.25">
      <c r="A1541" t="s">
        <v>46</v>
      </c>
      <c r="B1541">
        <v>1</v>
      </c>
      <c r="C1541" t="s">
        <v>676</v>
      </c>
      <c r="D1541" s="39">
        <v>45929</v>
      </c>
      <c r="E1541" t="s">
        <v>486</v>
      </c>
      <c r="F1541" t="s">
        <v>79</v>
      </c>
      <c r="G1541">
        <v>2.5</v>
      </c>
      <c r="H1541" t="s">
        <v>92</v>
      </c>
      <c r="I1541" t="s">
        <v>79</v>
      </c>
      <c r="J1541">
        <v>800</v>
      </c>
      <c r="K1541" t="s">
        <v>79</v>
      </c>
      <c r="L1541">
        <v>10</v>
      </c>
      <c r="M1541">
        <v>108.33</v>
      </c>
      <c r="N1541">
        <v>2</v>
      </c>
      <c r="O1541">
        <v>44.5</v>
      </c>
      <c r="Q1541">
        <v>106.33</v>
      </c>
      <c r="V1541">
        <v>0</v>
      </c>
      <c r="W1541">
        <v>0</v>
      </c>
      <c r="AF1541">
        <v>0</v>
      </c>
      <c r="AG1541">
        <v>0</v>
      </c>
      <c r="AH1541">
        <v>0</v>
      </c>
      <c r="AI1541">
        <v>12</v>
      </c>
      <c r="AJ1541">
        <v>12</v>
      </c>
      <c r="AM1541">
        <v>0</v>
      </c>
      <c r="AN1541">
        <v>111.33</v>
      </c>
    </row>
    <row r="1542" spans="1:41" x14ac:dyDescent="0.25">
      <c r="A1542" t="s">
        <v>45</v>
      </c>
      <c r="B1542">
        <v>2</v>
      </c>
      <c r="C1542" t="s">
        <v>697</v>
      </c>
      <c r="D1542" s="39">
        <v>45929</v>
      </c>
      <c r="E1542" t="s">
        <v>238</v>
      </c>
      <c r="F1542" t="s">
        <v>79</v>
      </c>
      <c r="G1542">
        <v>4</v>
      </c>
      <c r="H1542">
        <v>5</v>
      </c>
      <c r="I1542" t="s">
        <v>79</v>
      </c>
      <c r="J1542">
        <v>250</v>
      </c>
      <c r="K1542" t="s">
        <v>79</v>
      </c>
      <c r="L1542">
        <v>5</v>
      </c>
      <c r="M1542">
        <v>108.92000000000002</v>
      </c>
      <c r="N1542">
        <v>2</v>
      </c>
      <c r="Q1542">
        <v>106.92000000000002</v>
      </c>
      <c r="V1542">
        <v>0</v>
      </c>
      <c r="W1542">
        <v>0</v>
      </c>
      <c r="AF1542">
        <v>0</v>
      </c>
      <c r="AG1542">
        <v>0</v>
      </c>
      <c r="AH1542">
        <v>0</v>
      </c>
      <c r="AI1542">
        <v>12</v>
      </c>
      <c r="AJ1542">
        <v>12</v>
      </c>
      <c r="AM1542">
        <v>0</v>
      </c>
      <c r="AN1542">
        <v>111.92000000000002</v>
      </c>
    </row>
    <row r="1543" spans="1:41" x14ac:dyDescent="0.25">
      <c r="A1543" t="s">
        <v>45</v>
      </c>
      <c r="B1543">
        <v>2</v>
      </c>
      <c r="C1543" t="s">
        <v>698</v>
      </c>
      <c r="D1543" s="39">
        <v>45929</v>
      </c>
      <c r="E1543" t="s">
        <v>238</v>
      </c>
      <c r="F1543" t="s">
        <v>79</v>
      </c>
      <c r="G1543">
        <v>4</v>
      </c>
      <c r="H1543">
        <v>5</v>
      </c>
      <c r="I1543" t="s">
        <v>79</v>
      </c>
      <c r="J1543">
        <v>250</v>
      </c>
      <c r="K1543" t="s">
        <v>79</v>
      </c>
      <c r="L1543">
        <v>1</v>
      </c>
      <c r="M1543">
        <v>14.48</v>
      </c>
      <c r="N1543">
        <v>0.4</v>
      </c>
      <c r="Q1543">
        <v>14.08</v>
      </c>
      <c r="V1543">
        <v>0</v>
      </c>
      <c r="W1543">
        <v>0</v>
      </c>
      <c r="AF1543">
        <v>0</v>
      </c>
      <c r="AG1543">
        <v>0</v>
      </c>
      <c r="AH1543">
        <v>0</v>
      </c>
      <c r="AI1543">
        <v>12</v>
      </c>
      <c r="AJ1543">
        <v>12</v>
      </c>
      <c r="AM1543">
        <v>0</v>
      </c>
      <c r="AN1543">
        <v>19.079999999999998</v>
      </c>
    </row>
    <row r="1544" spans="1:41" x14ac:dyDescent="0.25">
      <c r="A1544" t="s">
        <v>46</v>
      </c>
      <c r="B1544">
        <v>2</v>
      </c>
      <c r="C1544" t="s">
        <v>697</v>
      </c>
      <c r="D1544" s="39">
        <v>45929</v>
      </c>
      <c r="E1544" t="s">
        <v>238</v>
      </c>
      <c r="F1544" t="s">
        <v>79</v>
      </c>
      <c r="G1544">
        <v>4</v>
      </c>
      <c r="H1544">
        <v>5</v>
      </c>
      <c r="I1544" t="s">
        <v>79</v>
      </c>
      <c r="J1544">
        <v>250</v>
      </c>
      <c r="K1544" t="s">
        <v>79</v>
      </c>
      <c r="L1544">
        <v>6</v>
      </c>
      <c r="M1544">
        <v>130.86000000000001</v>
      </c>
      <c r="N1544">
        <v>2.4000000000000004</v>
      </c>
      <c r="Q1544">
        <v>128.46</v>
      </c>
      <c r="V1544">
        <v>0</v>
      </c>
      <c r="W1544">
        <v>0</v>
      </c>
      <c r="AF1544">
        <v>0</v>
      </c>
      <c r="AG1544">
        <v>0</v>
      </c>
      <c r="AH1544">
        <v>0</v>
      </c>
      <c r="AI1544">
        <v>12</v>
      </c>
      <c r="AJ1544">
        <v>12</v>
      </c>
      <c r="AM1544">
        <v>0</v>
      </c>
      <c r="AN1544">
        <v>133.46</v>
      </c>
    </row>
    <row r="1545" spans="1:41" x14ac:dyDescent="0.25">
      <c r="A1545" t="s">
        <v>45</v>
      </c>
      <c r="B1545">
        <v>3</v>
      </c>
      <c r="C1545" t="s">
        <v>685</v>
      </c>
      <c r="D1545" s="39">
        <v>45929</v>
      </c>
      <c r="E1545" t="s">
        <v>486</v>
      </c>
      <c r="F1545" t="s">
        <v>79</v>
      </c>
      <c r="G1545">
        <v>7</v>
      </c>
      <c r="H1545">
        <v>5</v>
      </c>
      <c r="I1545" t="s">
        <v>79</v>
      </c>
      <c r="J1545">
        <v>500</v>
      </c>
      <c r="K1545" t="s">
        <v>79</v>
      </c>
      <c r="L1545">
        <v>8</v>
      </c>
      <c r="M1545">
        <v>260.04000000000002</v>
      </c>
      <c r="N1545">
        <v>5.6</v>
      </c>
      <c r="Q1545">
        <v>254.44000000000003</v>
      </c>
      <c r="V1545">
        <v>0</v>
      </c>
      <c r="W1545">
        <v>0</v>
      </c>
      <c r="AF1545">
        <v>0</v>
      </c>
      <c r="AG1545">
        <v>0</v>
      </c>
      <c r="AH1545">
        <v>0</v>
      </c>
      <c r="AI1545">
        <v>12</v>
      </c>
      <c r="AJ1545">
        <v>12</v>
      </c>
      <c r="AM1545">
        <v>0</v>
      </c>
      <c r="AN1545">
        <v>259.44000000000005</v>
      </c>
    </row>
    <row r="1546" spans="1:41" x14ac:dyDescent="0.25">
      <c r="A1546" t="s">
        <v>46</v>
      </c>
      <c r="B1546">
        <v>3</v>
      </c>
      <c r="C1546" t="s">
        <v>685</v>
      </c>
      <c r="D1546" s="39">
        <v>45929</v>
      </c>
      <c r="E1546" t="s">
        <v>486</v>
      </c>
      <c r="F1546" t="s">
        <v>79</v>
      </c>
      <c r="G1546">
        <v>7</v>
      </c>
      <c r="H1546">
        <v>5</v>
      </c>
      <c r="I1546" t="s">
        <v>79</v>
      </c>
      <c r="J1546">
        <v>500</v>
      </c>
      <c r="K1546" t="s">
        <v>79</v>
      </c>
      <c r="L1546">
        <v>3</v>
      </c>
      <c r="M1546">
        <v>95.13</v>
      </c>
      <c r="N1546">
        <v>2.0999999999999996</v>
      </c>
      <c r="Q1546">
        <v>93.03</v>
      </c>
      <c r="S1546">
        <v>20</v>
      </c>
      <c r="V1546">
        <v>20</v>
      </c>
      <c r="W1546">
        <v>0.33333333333333331</v>
      </c>
      <c r="AF1546">
        <v>0</v>
      </c>
      <c r="AG1546">
        <v>0</v>
      </c>
      <c r="AH1546">
        <v>0.33333333333333331</v>
      </c>
      <c r="AI1546">
        <v>11.666666666666666</v>
      </c>
      <c r="AJ1546">
        <v>12</v>
      </c>
      <c r="AM1546">
        <v>0</v>
      </c>
      <c r="AN1546">
        <v>98.03</v>
      </c>
    </row>
    <row r="1547" spans="1:41" x14ac:dyDescent="0.25">
      <c r="A1547" t="s">
        <v>46</v>
      </c>
      <c r="B1547">
        <v>3</v>
      </c>
      <c r="C1547" t="s">
        <v>699</v>
      </c>
      <c r="D1547" s="39">
        <v>45929</v>
      </c>
      <c r="E1547" t="s">
        <v>486</v>
      </c>
      <c r="F1547" t="s">
        <v>79</v>
      </c>
      <c r="G1547">
        <v>6</v>
      </c>
      <c r="H1547">
        <v>5</v>
      </c>
      <c r="I1547" t="s">
        <v>79</v>
      </c>
      <c r="J1547">
        <v>1000</v>
      </c>
      <c r="K1547" t="s">
        <v>79</v>
      </c>
      <c r="L1547">
        <v>5</v>
      </c>
      <c r="M1547">
        <v>132.49</v>
      </c>
      <c r="N1547">
        <v>3</v>
      </c>
      <c r="Q1547">
        <v>129.49</v>
      </c>
      <c r="V1547">
        <v>0</v>
      </c>
      <c r="W1547">
        <v>0</v>
      </c>
      <c r="AF1547">
        <v>0</v>
      </c>
      <c r="AG1547">
        <v>0</v>
      </c>
      <c r="AH1547">
        <v>0</v>
      </c>
      <c r="AI1547">
        <v>12</v>
      </c>
      <c r="AJ1547">
        <v>12</v>
      </c>
      <c r="AM1547">
        <v>0</v>
      </c>
      <c r="AN1547">
        <v>134.49</v>
      </c>
    </row>
    <row r="1548" spans="1:41" x14ac:dyDescent="0.25">
      <c r="A1548" t="s">
        <v>45</v>
      </c>
      <c r="B1548">
        <v>4</v>
      </c>
      <c r="C1548" t="s">
        <v>693</v>
      </c>
      <c r="D1548" s="39">
        <v>45929</v>
      </c>
      <c r="E1548" t="s">
        <v>276</v>
      </c>
      <c r="F1548" t="s">
        <v>79</v>
      </c>
      <c r="G1548">
        <v>28</v>
      </c>
      <c r="H1548" t="s">
        <v>113</v>
      </c>
      <c r="I1548" t="s">
        <v>79</v>
      </c>
      <c r="J1548">
        <v>500</v>
      </c>
      <c r="K1548" t="s">
        <v>79</v>
      </c>
      <c r="L1548">
        <v>6</v>
      </c>
      <c r="M1548">
        <v>414.98</v>
      </c>
      <c r="N1548">
        <v>20.22</v>
      </c>
      <c r="Q1548">
        <v>394.76</v>
      </c>
      <c r="S1548">
        <v>30</v>
      </c>
      <c r="V1548">
        <v>30</v>
      </c>
      <c r="W1548">
        <v>0.5</v>
      </c>
      <c r="AF1548">
        <v>0</v>
      </c>
      <c r="AG1548">
        <v>0</v>
      </c>
      <c r="AH1548">
        <v>0.5</v>
      </c>
      <c r="AI1548">
        <v>11.5</v>
      </c>
      <c r="AJ1548">
        <v>12</v>
      </c>
      <c r="AM1548">
        <v>0</v>
      </c>
      <c r="AN1548">
        <v>399.76</v>
      </c>
    </row>
    <row r="1549" spans="1:41" x14ac:dyDescent="0.25">
      <c r="A1549" t="s">
        <v>45</v>
      </c>
      <c r="B1549">
        <v>4</v>
      </c>
      <c r="C1549" t="s">
        <v>694</v>
      </c>
      <c r="D1549" s="39">
        <v>45929</v>
      </c>
      <c r="E1549" t="s">
        <v>695</v>
      </c>
      <c r="F1549" t="s">
        <v>79</v>
      </c>
      <c r="G1549">
        <v>10.5</v>
      </c>
      <c r="H1549" t="s">
        <v>696</v>
      </c>
      <c r="I1549" t="s">
        <v>79</v>
      </c>
      <c r="J1549">
        <v>750</v>
      </c>
      <c r="K1549" t="s">
        <v>79</v>
      </c>
      <c r="L1549">
        <v>4</v>
      </c>
      <c r="M1549">
        <v>148.69999999999999</v>
      </c>
      <c r="N1549">
        <v>6</v>
      </c>
      <c r="Q1549">
        <v>142.69999999999999</v>
      </c>
      <c r="V1549">
        <v>0</v>
      </c>
      <c r="W1549">
        <v>0</v>
      </c>
      <c r="AF1549">
        <v>0</v>
      </c>
      <c r="AG1549">
        <v>0</v>
      </c>
      <c r="AH1549">
        <v>0</v>
      </c>
      <c r="AI1549">
        <v>12</v>
      </c>
      <c r="AJ1549">
        <v>12</v>
      </c>
      <c r="AM1549">
        <v>0</v>
      </c>
      <c r="AN1549">
        <v>147.69999999999999</v>
      </c>
    </row>
    <row r="1550" spans="1:41" x14ac:dyDescent="0.25">
      <c r="A1550" t="s">
        <v>46</v>
      </c>
      <c r="B1550">
        <v>4</v>
      </c>
      <c r="C1550" t="s">
        <v>694</v>
      </c>
      <c r="D1550" s="39">
        <v>45929</v>
      </c>
      <c r="E1550" t="s">
        <v>695</v>
      </c>
      <c r="F1550" t="s">
        <v>79</v>
      </c>
      <c r="G1550">
        <v>10.5</v>
      </c>
      <c r="H1550" t="s">
        <v>696</v>
      </c>
      <c r="I1550" t="s">
        <v>79</v>
      </c>
      <c r="J1550">
        <v>750</v>
      </c>
      <c r="K1550" t="s">
        <v>79</v>
      </c>
      <c r="L1550">
        <v>9</v>
      </c>
      <c r="M1550">
        <v>338.84</v>
      </c>
      <c r="N1550">
        <v>13.5</v>
      </c>
      <c r="Q1550">
        <v>325.33999999999997</v>
      </c>
      <c r="V1550">
        <v>0</v>
      </c>
      <c r="W1550">
        <v>0</v>
      </c>
      <c r="Z1550">
        <v>60</v>
      </c>
      <c r="AF1550">
        <v>60</v>
      </c>
      <c r="AG1550">
        <v>1</v>
      </c>
      <c r="AH1550">
        <v>1</v>
      </c>
      <c r="AI1550">
        <v>11</v>
      </c>
      <c r="AJ1550">
        <v>12</v>
      </c>
      <c r="AM1550">
        <v>0</v>
      </c>
      <c r="AN1550">
        <v>330.34</v>
      </c>
    </row>
    <row r="1551" spans="1:41" x14ac:dyDescent="0.25">
      <c r="A1551" t="s">
        <v>45</v>
      </c>
      <c r="B1551">
        <v>5</v>
      </c>
      <c r="C1551" t="s">
        <v>694</v>
      </c>
      <c r="D1551" s="39">
        <v>45929</v>
      </c>
      <c r="E1551" t="s">
        <v>695</v>
      </c>
      <c r="F1551" t="s">
        <v>79</v>
      </c>
      <c r="G1551">
        <v>10.5</v>
      </c>
      <c r="H1551" t="s">
        <v>696</v>
      </c>
      <c r="I1551" t="s">
        <v>79</v>
      </c>
      <c r="J1551">
        <v>750</v>
      </c>
      <c r="K1551" t="s">
        <v>79</v>
      </c>
      <c r="L1551">
        <v>7</v>
      </c>
      <c r="M1551">
        <v>97.25</v>
      </c>
      <c r="N1551">
        <v>2.4</v>
      </c>
      <c r="Q1551">
        <v>94.85</v>
      </c>
      <c r="S1551">
        <v>20</v>
      </c>
      <c r="V1551">
        <v>20</v>
      </c>
      <c r="W1551">
        <v>0.33333333333333331</v>
      </c>
      <c r="Z1551">
        <v>15</v>
      </c>
      <c r="AF1551">
        <v>15</v>
      </c>
      <c r="AG1551">
        <v>0.25</v>
      </c>
      <c r="AH1551">
        <v>0.58333333333333326</v>
      </c>
      <c r="AI1551">
        <v>11.416666666666666</v>
      </c>
      <c r="AJ1551">
        <v>12</v>
      </c>
      <c r="AM1551">
        <v>0</v>
      </c>
      <c r="AN1551">
        <v>99.85</v>
      </c>
    </row>
    <row r="1552" spans="1:41" x14ac:dyDescent="0.25">
      <c r="A1552" t="s">
        <v>45</v>
      </c>
      <c r="B1552">
        <v>5</v>
      </c>
      <c r="C1552" t="s">
        <v>649</v>
      </c>
      <c r="D1552" s="39">
        <v>45929</v>
      </c>
      <c r="E1552" t="s">
        <v>486</v>
      </c>
      <c r="F1552" t="s">
        <v>79</v>
      </c>
      <c r="G1552">
        <v>10</v>
      </c>
      <c r="H1552" t="s">
        <v>113</v>
      </c>
      <c r="I1552" t="s">
        <v>79</v>
      </c>
      <c r="J1552">
        <v>1000</v>
      </c>
      <c r="K1552" t="s">
        <v>79</v>
      </c>
      <c r="L1552">
        <v>5</v>
      </c>
      <c r="M1552">
        <v>224.30999999999997</v>
      </c>
      <c r="N1552">
        <v>5</v>
      </c>
      <c r="Q1552">
        <v>219.30999999999997</v>
      </c>
      <c r="V1552">
        <v>0</v>
      </c>
      <c r="W1552">
        <v>0</v>
      </c>
      <c r="AF1552">
        <v>0</v>
      </c>
      <c r="AG1552">
        <v>0</v>
      </c>
      <c r="AH1552">
        <v>0</v>
      </c>
      <c r="AI1552">
        <v>12</v>
      </c>
      <c r="AJ1552">
        <v>12</v>
      </c>
      <c r="AM1552">
        <v>0</v>
      </c>
      <c r="AN1552">
        <v>224.30999999999997</v>
      </c>
    </row>
    <row r="1553" spans="1:41" x14ac:dyDescent="0.25">
      <c r="A1553" t="s">
        <v>45</v>
      </c>
      <c r="B1553">
        <v>5</v>
      </c>
      <c r="C1553" t="s">
        <v>700</v>
      </c>
      <c r="D1553" s="39">
        <v>45929</v>
      </c>
      <c r="E1553" t="s">
        <v>486</v>
      </c>
      <c r="F1553" t="s">
        <v>79</v>
      </c>
      <c r="G1553">
        <v>12</v>
      </c>
      <c r="H1553">
        <v>5</v>
      </c>
      <c r="I1553" t="s">
        <v>79</v>
      </c>
      <c r="J1553">
        <v>1000</v>
      </c>
      <c r="K1553" t="s">
        <v>79</v>
      </c>
      <c r="L1553">
        <v>3</v>
      </c>
      <c r="M1553">
        <v>121.38</v>
      </c>
      <c r="N1553">
        <v>3.5999999999999996</v>
      </c>
      <c r="Q1553">
        <v>117.78</v>
      </c>
      <c r="V1553">
        <v>0</v>
      </c>
      <c r="W1553">
        <v>0</v>
      </c>
      <c r="AF1553">
        <v>0</v>
      </c>
      <c r="AG1553">
        <v>0</v>
      </c>
      <c r="AH1553">
        <v>0</v>
      </c>
      <c r="AI1553">
        <v>12</v>
      </c>
      <c r="AJ1553">
        <v>12</v>
      </c>
      <c r="AM1553">
        <v>0</v>
      </c>
      <c r="AN1553">
        <v>122.78</v>
      </c>
    </row>
    <row r="1554" spans="1:41" x14ac:dyDescent="0.25">
      <c r="A1554" t="s">
        <v>46</v>
      </c>
      <c r="B1554">
        <v>5</v>
      </c>
      <c r="C1554" t="s">
        <v>649</v>
      </c>
      <c r="D1554" s="39">
        <v>45929</v>
      </c>
      <c r="E1554" t="s">
        <v>486</v>
      </c>
      <c r="F1554" t="s">
        <v>79</v>
      </c>
      <c r="G1554">
        <v>10</v>
      </c>
      <c r="H1554" t="s">
        <v>113</v>
      </c>
      <c r="I1554" t="s">
        <v>79</v>
      </c>
      <c r="J1554">
        <v>1000</v>
      </c>
      <c r="K1554" t="s">
        <v>79</v>
      </c>
      <c r="L1554">
        <v>10</v>
      </c>
      <c r="M1554">
        <v>450.76</v>
      </c>
      <c r="N1554">
        <v>10</v>
      </c>
      <c r="Q1554">
        <v>440.76</v>
      </c>
      <c r="V1554">
        <v>0</v>
      </c>
      <c r="W1554">
        <v>0</v>
      </c>
      <c r="AF1554">
        <v>0</v>
      </c>
      <c r="AG1554">
        <v>0</v>
      </c>
      <c r="AH1554">
        <v>0</v>
      </c>
      <c r="AI1554">
        <v>12</v>
      </c>
      <c r="AJ1554">
        <v>12</v>
      </c>
      <c r="AM1554">
        <v>0</v>
      </c>
      <c r="AN1554">
        <v>445.76</v>
      </c>
    </row>
    <row r="1555" spans="1:41" x14ac:dyDescent="0.25">
      <c r="A1555" t="s">
        <v>45</v>
      </c>
      <c r="B1555">
        <v>6</v>
      </c>
      <c r="C1555" t="s">
        <v>628</v>
      </c>
      <c r="D1555" s="39">
        <v>45929</v>
      </c>
      <c r="E1555" t="s">
        <v>629</v>
      </c>
      <c r="F1555" t="s">
        <v>79</v>
      </c>
      <c r="G1555">
        <v>17</v>
      </c>
      <c r="H1555" t="s">
        <v>92</v>
      </c>
      <c r="I1555" t="s">
        <v>79</v>
      </c>
      <c r="J1555">
        <v>8000</v>
      </c>
      <c r="K1555" t="s">
        <v>79</v>
      </c>
      <c r="L1555">
        <v>3</v>
      </c>
      <c r="M1555">
        <v>158.66</v>
      </c>
      <c r="N1555">
        <v>5.0999999999999996</v>
      </c>
      <c r="Q1555">
        <v>153.56</v>
      </c>
      <c r="S1555">
        <v>25</v>
      </c>
      <c r="V1555">
        <v>25</v>
      </c>
      <c r="W1555">
        <v>0.41666666666666674</v>
      </c>
      <c r="AD1555">
        <v>60</v>
      </c>
      <c r="AF1555">
        <v>60</v>
      </c>
      <c r="AG1555">
        <v>1</v>
      </c>
      <c r="AH1555">
        <v>1.4166666666666667</v>
      </c>
      <c r="AI1555">
        <v>10.583333333333334</v>
      </c>
      <c r="AJ1555">
        <v>12</v>
      </c>
      <c r="AM1555">
        <v>0</v>
      </c>
      <c r="AN1555">
        <v>158.56</v>
      </c>
    </row>
    <row r="1556" spans="1:41" x14ac:dyDescent="0.25">
      <c r="A1556" t="s">
        <v>45</v>
      </c>
      <c r="B1556">
        <v>6</v>
      </c>
      <c r="C1556" t="s">
        <v>545</v>
      </c>
      <c r="D1556" s="39">
        <v>45929</v>
      </c>
      <c r="E1556" t="s">
        <v>486</v>
      </c>
      <c r="F1556" t="s">
        <v>79</v>
      </c>
      <c r="G1556">
        <v>16</v>
      </c>
      <c r="H1556">
        <v>5</v>
      </c>
      <c r="I1556" t="s">
        <v>79</v>
      </c>
      <c r="J1556">
        <v>500</v>
      </c>
      <c r="K1556" t="s">
        <v>79</v>
      </c>
      <c r="L1556">
        <v>2</v>
      </c>
      <c r="M1556">
        <v>84.509999999999991</v>
      </c>
      <c r="N1556">
        <v>3.2</v>
      </c>
      <c r="Q1556">
        <v>81.309999999999988</v>
      </c>
      <c r="V1556">
        <v>0</v>
      </c>
      <c r="W1556">
        <v>0</v>
      </c>
      <c r="AF1556">
        <v>0</v>
      </c>
      <c r="AG1556">
        <v>0</v>
      </c>
      <c r="AH1556">
        <v>0</v>
      </c>
      <c r="AI1556">
        <v>12</v>
      </c>
      <c r="AJ1556">
        <v>12</v>
      </c>
      <c r="AM1556">
        <v>0</v>
      </c>
      <c r="AN1556">
        <v>86.309999999999988</v>
      </c>
    </row>
    <row r="1557" spans="1:41" x14ac:dyDescent="0.25">
      <c r="A1557" t="s">
        <v>45</v>
      </c>
      <c r="B1557">
        <v>6</v>
      </c>
      <c r="C1557" t="s">
        <v>701</v>
      </c>
      <c r="D1557" s="39">
        <v>45929</v>
      </c>
      <c r="E1557" t="s">
        <v>491</v>
      </c>
      <c r="F1557" t="s">
        <v>79</v>
      </c>
      <c r="G1557">
        <v>17</v>
      </c>
      <c r="H1557" t="s">
        <v>134</v>
      </c>
      <c r="I1557" t="s">
        <v>79</v>
      </c>
      <c r="J1557">
        <v>150</v>
      </c>
      <c r="K1557" t="s">
        <v>79</v>
      </c>
      <c r="L1557">
        <v>4</v>
      </c>
      <c r="M1557">
        <v>159.48999999999998</v>
      </c>
      <c r="N1557">
        <v>6.8</v>
      </c>
      <c r="Q1557">
        <v>152.68999999999997</v>
      </c>
      <c r="V1557">
        <v>0</v>
      </c>
      <c r="W1557">
        <v>0</v>
      </c>
      <c r="AF1557">
        <v>0</v>
      </c>
      <c r="AG1557">
        <v>0</v>
      </c>
      <c r="AH1557">
        <v>0</v>
      </c>
      <c r="AI1557">
        <v>12</v>
      </c>
      <c r="AJ1557">
        <v>12</v>
      </c>
      <c r="AM1557">
        <v>0</v>
      </c>
      <c r="AN1557">
        <v>157.68999999999997</v>
      </c>
    </row>
    <row r="1558" spans="1:41" x14ac:dyDescent="0.25">
      <c r="A1558" t="s">
        <v>45</v>
      </c>
      <c r="B1558">
        <v>6</v>
      </c>
      <c r="C1558" t="s">
        <v>702</v>
      </c>
      <c r="D1558" s="39">
        <v>45929</v>
      </c>
      <c r="E1558" t="s">
        <v>81</v>
      </c>
      <c r="K1558" t="s">
        <v>79</v>
      </c>
      <c r="L1558">
        <v>1</v>
      </c>
      <c r="M1558">
        <v>44.72</v>
      </c>
      <c r="N1558">
        <v>1.7</v>
      </c>
      <c r="Q1558">
        <v>43.019999999999996</v>
      </c>
      <c r="V1558">
        <v>0</v>
      </c>
      <c r="W1558">
        <v>0</v>
      </c>
      <c r="AF1558">
        <v>0</v>
      </c>
      <c r="AG1558">
        <v>0</v>
      </c>
      <c r="AH1558">
        <v>0</v>
      </c>
      <c r="AI1558">
        <v>12</v>
      </c>
      <c r="AJ1558">
        <v>12</v>
      </c>
      <c r="AM1558">
        <v>0</v>
      </c>
      <c r="AN1558">
        <v>48.02</v>
      </c>
    </row>
    <row r="1559" spans="1:41" x14ac:dyDescent="0.25">
      <c r="A1559" t="s">
        <v>45</v>
      </c>
      <c r="B1559">
        <v>6</v>
      </c>
      <c r="C1559" t="s">
        <v>703</v>
      </c>
      <c r="D1559" s="39">
        <v>45929</v>
      </c>
      <c r="E1559" t="s">
        <v>81</v>
      </c>
      <c r="K1559" t="s">
        <v>79</v>
      </c>
      <c r="L1559">
        <v>4</v>
      </c>
      <c r="M1559">
        <v>130.54</v>
      </c>
      <c r="N1559">
        <v>6.4</v>
      </c>
      <c r="Q1559">
        <v>124.13999999999999</v>
      </c>
      <c r="V1559">
        <v>0</v>
      </c>
      <c r="W1559">
        <v>0</v>
      </c>
      <c r="AF1559">
        <v>0</v>
      </c>
      <c r="AG1559">
        <v>0</v>
      </c>
      <c r="AH1559">
        <v>0</v>
      </c>
      <c r="AI1559">
        <v>12</v>
      </c>
      <c r="AJ1559">
        <v>12</v>
      </c>
      <c r="AM1559">
        <v>0</v>
      </c>
      <c r="AN1559">
        <v>129.13999999999999</v>
      </c>
    </row>
    <row r="1560" spans="1:41" x14ac:dyDescent="0.25">
      <c r="A1560" t="s">
        <v>46</v>
      </c>
      <c r="B1560">
        <v>6</v>
      </c>
      <c r="C1560" t="s">
        <v>545</v>
      </c>
      <c r="D1560" s="39">
        <v>45929</v>
      </c>
      <c r="E1560" t="s">
        <v>486</v>
      </c>
      <c r="F1560" t="s">
        <v>79</v>
      </c>
      <c r="G1560">
        <v>16</v>
      </c>
      <c r="H1560">
        <v>5</v>
      </c>
      <c r="I1560" t="s">
        <v>79</v>
      </c>
      <c r="J1560">
        <v>500</v>
      </c>
      <c r="K1560" t="s">
        <v>79</v>
      </c>
      <c r="L1560">
        <v>10</v>
      </c>
      <c r="M1560">
        <v>567.65000000000009</v>
      </c>
      <c r="N1560">
        <v>16</v>
      </c>
      <c r="Q1560">
        <v>551.65000000000009</v>
      </c>
      <c r="V1560">
        <v>0</v>
      </c>
      <c r="W1560">
        <v>0</v>
      </c>
      <c r="AF1560">
        <v>0</v>
      </c>
      <c r="AG1560">
        <v>0</v>
      </c>
      <c r="AH1560">
        <v>0</v>
      </c>
      <c r="AI1560">
        <v>12</v>
      </c>
      <c r="AJ1560">
        <v>12</v>
      </c>
      <c r="AM1560">
        <v>0</v>
      </c>
      <c r="AN1560">
        <v>556.65000000000009</v>
      </c>
    </row>
    <row r="1561" spans="1:41" x14ac:dyDescent="0.25">
      <c r="A1561" t="s">
        <v>45</v>
      </c>
      <c r="B1561">
        <v>1</v>
      </c>
      <c r="C1561" t="s">
        <v>676</v>
      </c>
      <c r="D1561" s="39">
        <v>45930</v>
      </c>
      <c r="E1561" t="s">
        <v>486</v>
      </c>
      <c r="F1561" t="s">
        <v>79</v>
      </c>
      <c r="G1561">
        <v>2.5</v>
      </c>
      <c r="H1561" t="s">
        <v>92</v>
      </c>
      <c r="I1561" t="s">
        <v>79</v>
      </c>
      <c r="J1561">
        <v>800</v>
      </c>
      <c r="K1561" t="s">
        <v>79</v>
      </c>
      <c r="L1561">
        <v>9</v>
      </c>
      <c r="M1561">
        <v>110</v>
      </c>
      <c r="N1561">
        <v>1.8</v>
      </c>
      <c r="O1561">
        <v>21.5</v>
      </c>
      <c r="Q1561">
        <v>108.2</v>
      </c>
      <c r="V1561">
        <v>0</v>
      </c>
      <c r="W1561">
        <v>0</v>
      </c>
      <c r="AF1561">
        <v>0</v>
      </c>
      <c r="AG1561">
        <v>0</v>
      </c>
      <c r="AH1561">
        <v>0</v>
      </c>
      <c r="AI1561">
        <v>12</v>
      </c>
      <c r="AJ1561">
        <v>12</v>
      </c>
      <c r="AL1561">
        <v>1945</v>
      </c>
      <c r="AM1561">
        <v>0</v>
      </c>
      <c r="AN1561">
        <v>113.2</v>
      </c>
      <c r="AO1561">
        <v>398</v>
      </c>
    </row>
    <row r="1562" spans="1:41" x14ac:dyDescent="0.25">
      <c r="A1562" t="s">
        <v>46</v>
      </c>
      <c r="B1562">
        <v>1</v>
      </c>
      <c r="C1562" t="s">
        <v>676</v>
      </c>
      <c r="D1562" s="39">
        <v>45930</v>
      </c>
      <c r="E1562" t="s">
        <v>486</v>
      </c>
      <c r="F1562" t="s">
        <v>79</v>
      </c>
      <c r="G1562">
        <v>2.5</v>
      </c>
      <c r="H1562" t="s">
        <v>92</v>
      </c>
      <c r="I1562" t="s">
        <v>79</v>
      </c>
      <c r="J1562">
        <v>800</v>
      </c>
      <c r="K1562" t="s">
        <v>79</v>
      </c>
      <c r="L1562">
        <v>10</v>
      </c>
      <c r="M1562">
        <v>95.739999999999981</v>
      </c>
      <c r="N1562">
        <v>2</v>
      </c>
      <c r="O1562">
        <v>25.5</v>
      </c>
      <c r="Q1562">
        <v>93.739999999999981</v>
      </c>
      <c r="V1562">
        <v>0</v>
      </c>
      <c r="W1562">
        <v>0</v>
      </c>
      <c r="AF1562">
        <v>0</v>
      </c>
      <c r="AG1562">
        <v>0</v>
      </c>
      <c r="AH1562">
        <v>0</v>
      </c>
      <c r="AI1562">
        <v>12</v>
      </c>
      <c r="AJ1562">
        <v>12</v>
      </c>
      <c r="AM1562">
        <v>0</v>
      </c>
      <c r="AN1562">
        <v>98.739999999999981</v>
      </c>
    </row>
    <row r="1563" spans="1:41" x14ac:dyDescent="0.25">
      <c r="A1563" t="s">
        <v>45</v>
      </c>
      <c r="B1563">
        <v>2</v>
      </c>
      <c r="C1563" t="s">
        <v>697</v>
      </c>
      <c r="D1563" s="39">
        <v>45930</v>
      </c>
      <c r="E1563" t="s">
        <v>238</v>
      </c>
      <c r="F1563" t="s">
        <v>79</v>
      </c>
      <c r="G1563">
        <v>4</v>
      </c>
      <c r="H1563">
        <v>5</v>
      </c>
      <c r="I1563" t="s">
        <v>79</v>
      </c>
      <c r="J1563">
        <v>250</v>
      </c>
      <c r="K1563" t="s">
        <v>79</v>
      </c>
      <c r="L1563">
        <v>4</v>
      </c>
      <c r="M1563">
        <v>84.76</v>
      </c>
      <c r="N1563">
        <v>1.6</v>
      </c>
      <c r="Q1563">
        <v>83.160000000000011</v>
      </c>
      <c r="V1563">
        <v>0</v>
      </c>
      <c r="W1563">
        <v>0</v>
      </c>
      <c r="AF1563">
        <v>0</v>
      </c>
      <c r="AG1563">
        <v>0</v>
      </c>
      <c r="AH1563">
        <v>0</v>
      </c>
      <c r="AI1563">
        <v>12</v>
      </c>
      <c r="AJ1563">
        <v>12</v>
      </c>
      <c r="AM1563">
        <v>0</v>
      </c>
      <c r="AN1563">
        <v>88.160000000000011</v>
      </c>
    </row>
    <row r="1564" spans="1:41" x14ac:dyDescent="0.25">
      <c r="A1564" t="s">
        <v>45</v>
      </c>
      <c r="B1564">
        <v>2</v>
      </c>
      <c r="C1564" t="s">
        <v>671</v>
      </c>
      <c r="D1564" s="39">
        <v>45930</v>
      </c>
      <c r="E1564" t="s">
        <v>486</v>
      </c>
      <c r="F1564" t="s">
        <v>79</v>
      </c>
      <c r="G1564">
        <v>4</v>
      </c>
      <c r="H1564" t="s">
        <v>113</v>
      </c>
      <c r="I1564" t="s">
        <v>79</v>
      </c>
      <c r="J1564">
        <v>800</v>
      </c>
      <c r="K1564" t="s">
        <v>79</v>
      </c>
      <c r="L1564">
        <v>5</v>
      </c>
      <c r="M1564">
        <v>66.2</v>
      </c>
      <c r="N1564">
        <v>2</v>
      </c>
      <c r="Q1564">
        <v>64.2</v>
      </c>
      <c r="V1564">
        <v>0</v>
      </c>
      <c r="W1564">
        <v>0</v>
      </c>
      <c r="AF1564">
        <v>0</v>
      </c>
      <c r="AG1564">
        <v>0</v>
      </c>
      <c r="AH1564">
        <v>0</v>
      </c>
      <c r="AI1564">
        <v>12</v>
      </c>
      <c r="AJ1564">
        <v>12</v>
      </c>
      <c r="AM1564">
        <v>0</v>
      </c>
      <c r="AN1564">
        <v>69.2</v>
      </c>
    </row>
    <row r="1565" spans="1:41" x14ac:dyDescent="0.25">
      <c r="A1565" t="s">
        <v>46</v>
      </c>
      <c r="B1565">
        <v>2</v>
      </c>
      <c r="C1565" t="s">
        <v>671</v>
      </c>
      <c r="D1565" s="39">
        <v>45930</v>
      </c>
      <c r="E1565" t="s">
        <v>486</v>
      </c>
      <c r="F1565" t="s">
        <v>79</v>
      </c>
      <c r="G1565">
        <v>4</v>
      </c>
      <c r="H1565" t="s">
        <v>113</v>
      </c>
      <c r="I1565" t="s">
        <v>79</v>
      </c>
      <c r="J1565">
        <v>800</v>
      </c>
      <c r="K1565" t="s">
        <v>79</v>
      </c>
      <c r="L1565">
        <v>9</v>
      </c>
      <c r="M1565">
        <v>126.09</v>
      </c>
      <c r="N1565">
        <v>126.09</v>
      </c>
      <c r="Q1565">
        <v>0</v>
      </c>
      <c r="V1565">
        <v>0</v>
      </c>
      <c r="W1565">
        <v>0</v>
      </c>
      <c r="AF1565">
        <v>0</v>
      </c>
      <c r="AG1565">
        <v>0</v>
      </c>
      <c r="AH1565">
        <v>0</v>
      </c>
      <c r="AI1565">
        <v>12</v>
      </c>
      <c r="AJ1565">
        <v>12</v>
      </c>
      <c r="AM1565">
        <v>0</v>
      </c>
      <c r="AN1565">
        <v>5</v>
      </c>
    </row>
    <row r="1566" spans="1:41" x14ac:dyDescent="0.25">
      <c r="A1566" t="s">
        <v>45</v>
      </c>
      <c r="B1566">
        <v>3</v>
      </c>
      <c r="C1566" t="s">
        <v>699</v>
      </c>
      <c r="D1566" s="39">
        <v>45930</v>
      </c>
      <c r="E1566" t="s">
        <v>486</v>
      </c>
      <c r="F1566" t="s">
        <v>79</v>
      </c>
      <c r="G1566">
        <v>6</v>
      </c>
      <c r="H1566">
        <v>5</v>
      </c>
      <c r="I1566" t="s">
        <v>79</v>
      </c>
      <c r="J1566">
        <v>1000</v>
      </c>
      <c r="K1566" t="s">
        <v>79</v>
      </c>
      <c r="L1566">
        <v>9</v>
      </c>
      <c r="M1566">
        <v>224.51</v>
      </c>
      <c r="N1566">
        <v>7.2</v>
      </c>
      <c r="Q1566">
        <v>217.31</v>
      </c>
      <c r="V1566">
        <v>0</v>
      </c>
      <c r="W1566">
        <v>0</v>
      </c>
      <c r="AF1566">
        <v>0</v>
      </c>
      <c r="AG1566">
        <v>0</v>
      </c>
      <c r="AH1566">
        <v>0</v>
      </c>
      <c r="AI1566">
        <v>12</v>
      </c>
      <c r="AJ1566">
        <v>12</v>
      </c>
      <c r="AM1566">
        <v>0</v>
      </c>
      <c r="AN1566">
        <v>222.31</v>
      </c>
    </row>
    <row r="1567" spans="1:41" x14ac:dyDescent="0.25">
      <c r="A1567" t="s">
        <v>46</v>
      </c>
      <c r="B1567">
        <v>3</v>
      </c>
      <c r="C1567" t="s">
        <v>699</v>
      </c>
      <c r="D1567" s="39">
        <v>45930</v>
      </c>
      <c r="E1567" t="s">
        <v>486</v>
      </c>
      <c r="F1567" t="s">
        <v>79</v>
      </c>
      <c r="G1567">
        <v>6</v>
      </c>
      <c r="H1567">
        <v>5</v>
      </c>
      <c r="I1567" t="s">
        <v>79</v>
      </c>
      <c r="J1567">
        <v>1000</v>
      </c>
      <c r="K1567" t="s">
        <v>79</v>
      </c>
      <c r="L1567">
        <v>8</v>
      </c>
      <c r="M1567">
        <v>225.58</v>
      </c>
      <c r="N1567">
        <v>4.8</v>
      </c>
      <c r="Q1567">
        <v>220.78</v>
      </c>
      <c r="V1567">
        <v>0</v>
      </c>
      <c r="W1567">
        <v>0</v>
      </c>
      <c r="AF1567">
        <v>0</v>
      </c>
      <c r="AG1567">
        <v>0</v>
      </c>
      <c r="AH1567">
        <v>0</v>
      </c>
      <c r="AI1567">
        <v>12</v>
      </c>
      <c r="AJ1567">
        <v>12</v>
      </c>
      <c r="AM1567">
        <v>0</v>
      </c>
      <c r="AN1567">
        <v>225.78</v>
      </c>
    </row>
    <row r="1568" spans="1:41" x14ac:dyDescent="0.25">
      <c r="A1568" t="s">
        <v>45</v>
      </c>
      <c r="B1568">
        <v>4</v>
      </c>
      <c r="C1568" t="s">
        <v>694</v>
      </c>
      <c r="D1568" s="39">
        <v>45930</v>
      </c>
      <c r="E1568" t="s">
        <v>695</v>
      </c>
      <c r="F1568" t="s">
        <v>79</v>
      </c>
      <c r="G1568">
        <v>10.5</v>
      </c>
      <c r="H1568" t="s">
        <v>696</v>
      </c>
      <c r="I1568" t="s">
        <v>79</v>
      </c>
      <c r="J1568">
        <v>750</v>
      </c>
      <c r="K1568" t="s">
        <v>79</v>
      </c>
      <c r="L1568">
        <v>10</v>
      </c>
      <c r="M1568">
        <v>371.14</v>
      </c>
      <c r="N1568">
        <v>12</v>
      </c>
      <c r="Q1568">
        <v>359.14</v>
      </c>
      <c r="V1568">
        <v>0</v>
      </c>
      <c r="W1568">
        <v>0</v>
      </c>
      <c r="AF1568">
        <v>0</v>
      </c>
      <c r="AG1568">
        <v>0</v>
      </c>
      <c r="AH1568">
        <v>0</v>
      </c>
      <c r="AI1568">
        <v>12</v>
      </c>
      <c r="AJ1568">
        <v>12</v>
      </c>
      <c r="AM1568">
        <v>0</v>
      </c>
      <c r="AN1568">
        <v>364.14</v>
      </c>
    </row>
    <row r="1569" spans="1:42" x14ac:dyDescent="0.25">
      <c r="A1569" t="s">
        <v>46</v>
      </c>
      <c r="B1569">
        <v>4</v>
      </c>
      <c r="C1569" t="s">
        <v>694</v>
      </c>
      <c r="D1569" s="39">
        <v>45930</v>
      </c>
      <c r="E1569" t="s">
        <v>695</v>
      </c>
      <c r="F1569" t="s">
        <v>79</v>
      </c>
      <c r="G1569">
        <v>10.5</v>
      </c>
      <c r="H1569" t="s">
        <v>696</v>
      </c>
      <c r="I1569" t="s">
        <v>79</v>
      </c>
      <c r="J1569">
        <v>750</v>
      </c>
      <c r="K1569" t="s">
        <v>79</v>
      </c>
      <c r="L1569">
        <v>2</v>
      </c>
      <c r="M1569">
        <v>81.62</v>
      </c>
      <c r="N1569">
        <v>3</v>
      </c>
      <c r="Q1569">
        <v>78.62</v>
      </c>
      <c r="S1569">
        <v>40</v>
      </c>
      <c r="V1569">
        <v>40</v>
      </c>
      <c r="W1569">
        <v>0.66666666666666663</v>
      </c>
      <c r="AF1569">
        <v>0</v>
      </c>
      <c r="AG1569">
        <v>0</v>
      </c>
      <c r="AH1569">
        <v>0.66666666666666663</v>
      </c>
      <c r="AI1569">
        <v>11.333333333333334</v>
      </c>
      <c r="AJ1569">
        <v>12</v>
      </c>
      <c r="AM1569">
        <v>0</v>
      </c>
      <c r="AN1569">
        <v>83.62</v>
      </c>
    </row>
    <row r="1570" spans="1:42" x14ac:dyDescent="0.25">
      <c r="A1570" t="s">
        <v>46</v>
      </c>
      <c r="B1570">
        <v>4</v>
      </c>
      <c r="C1570" t="s">
        <v>704</v>
      </c>
      <c r="D1570" s="39">
        <v>45930</v>
      </c>
      <c r="E1570" t="s">
        <v>695</v>
      </c>
      <c r="F1570" t="s">
        <v>79</v>
      </c>
      <c r="G1570">
        <v>12.5</v>
      </c>
      <c r="H1570" t="s">
        <v>696</v>
      </c>
      <c r="I1570" t="s">
        <v>79</v>
      </c>
      <c r="J1570">
        <v>250</v>
      </c>
      <c r="K1570" t="s">
        <v>79</v>
      </c>
      <c r="L1570">
        <v>8</v>
      </c>
      <c r="M1570">
        <v>218.6</v>
      </c>
      <c r="N1570">
        <v>12</v>
      </c>
      <c r="Q1570">
        <v>206.6</v>
      </c>
      <c r="V1570">
        <v>0</v>
      </c>
      <c r="W1570">
        <v>0</v>
      </c>
      <c r="AF1570">
        <v>0</v>
      </c>
      <c r="AG1570">
        <v>0</v>
      </c>
      <c r="AH1570">
        <v>0</v>
      </c>
      <c r="AI1570">
        <v>12</v>
      </c>
      <c r="AJ1570">
        <v>12</v>
      </c>
      <c r="AM1570">
        <v>0</v>
      </c>
      <c r="AN1570">
        <v>211.6</v>
      </c>
    </row>
    <row r="1571" spans="1:42" x14ac:dyDescent="0.25">
      <c r="A1571" t="s">
        <v>46</v>
      </c>
      <c r="B1571">
        <v>4</v>
      </c>
      <c r="C1571" t="s">
        <v>705</v>
      </c>
      <c r="D1571" s="39">
        <v>45930</v>
      </c>
      <c r="E1571" t="s">
        <v>276</v>
      </c>
      <c r="F1571" t="s">
        <v>79</v>
      </c>
      <c r="G1571">
        <v>20</v>
      </c>
      <c r="H1571" t="s">
        <v>113</v>
      </c>
      <c r="I1571" t="s">
        <v>79</v>
      </c>
      <c r="J1571">
        <v>1000</v>
      </c>
      <c r="K1571" t="s">
        <v>79</v>
      </c>
      <c r="L1571">
        <v>2</v>
      </c>
      <c r="M1571">
        <v>103.68</v>
      </c>
      <c r="N1571">
        <v>4.5999999999999996</v>
      </c>
      <c r="Q1571">
        <v>99.080000000000013</v>
      </c>
      <c r="V1571">
        <v>0</v>
      </c>
      <c r="W1571">
        <v>0</v>
      </c>
      <c r="AF1571">
        <v>0</v>
      </c>
      <c r="AG1571">
        <v>0</v>
      </c>
      <c r="AH1571">
        <v>0</v>
      </c>
      <c r="AI1571">
        <v>12</v>
      </c>
      <c r="AJ1571">
        <v>12</v>
      </c>
      <c r="AM1571">
        <v>0</v>
      </c>
      <c r="AN1571">
        <v>104.08</v>
      </c>
    </row>
    <row r="1572" spans="1:42" x14ac:dyDescent="0.25">
      <c r="A1572" t="s">
        <v>45</v>
      </c>
      <c r="B1572">
        <v>5</v>
      </c>
      <c r="C1572" t="s">
        <v>649</v>
      </c>
      <c r="D1572" s="39">
        <v>45930</v>
      </c>
      <c r="E1572" t="s">
        <v>486</v>
      </c>
      <c r="F1572" t="s">
        <v>79</v>
      </c>
      <c r="G1572">
        <v>10</v>
      </c>
      <c r="H1572" t="s">
        <v>113</v>
      </c>
      <c r="I1572" t="s">
        <v>79</v>
      </c>
      <c r="J1572">
        <v>1000</v>
      </c>
      <c r="K1572" t="s">
        <v>79</v>
      </c>
      <c r="L1572">
        <v>12</v>
      </c>
      <c r="M1572">
        <v>499.95999999999992</v>
      </c>
      <c r="N1572">
        <v>14.399999999999999</v>
      </c>
      <c r="Q1572">
        <v>485.55999999999995</v>
      </c>
      <c r="S1572">
        <v>20</v>
      </c>
      <c r="V1572">
        <v>20</v>
      </c>
      <c r="W1572">
        <v>0.33333333333333331</v>
      </c>
      <c r="AF1572">
        <v>0</v>
      </c>
      <c r="AG1572">
        <v>0</v>
      </c>
      <c r="AH1572">
        <v>0.33333333333333331</v>
      </c>
      <c r="AI1572">
        <v>11.666666666666666</v>
      </c>
      <c r="AJ1572">
        <v>12</v>
      </c>
      <c r="AM1572">
        <v>0</v>
      </c>
      <c r="AN1572">
        <v>490.55999999999995</v>
      </c>
    </row>
    <row r="1573" spans="1:42" x14ac:dyDescent="0.25">
      <c r="A1573" t="s">
        <v>46</v>
      </c>
      <c r="B1573">
        <v>5</v>
      </c>
      <c r="C1573" t="s">
        <v>623</v>
      </c>
      <c r="D1573" s="39">
        <v>45930</v>
      </c>
      <c r="E1573" t="s">
        <v>606</v>
      </c>
      <c r="F1573" t="s">
        <v>79</v>
      </c>
      <c r="G1573">
        <v>14</v>
      </c>
      <c r="H1573">
        <v>7</v>
      </c>
      <c r="I1573" t="s">
        <v>79</v>
      </c>
      <c r="J1573">
        <v>100</v>
      </c>
      <c r="K1573" t="s">
        <v>79</v>
      </c>
      <c r="L1573">
        <v>2</v>
      </c>
      <c r="M1573">
        <v>102.4</v>
      </c>
      <c r="N1573">
        <v>2.8</v>
      </c>
      <c r="Q1573">
        <v>99.600000000000009</v>
      </c>
      <c r="V1573">
        <v>0</v>
      </c>
      <c r="W1573">
        <v>0</v>
      </c>
      <c r="AD1573">
        <v>30</v>
      </c>
      <c r="AF1573">
        <v>30</v>
      </c>
      <c r="AG1573">
        <v>0.5</v>
      </c>
      <c r="AH1573">
        <v>0.5</v>
      </c>
      <c r="AI1573">
        <v>11.5</v>
      </c>
      <c r="AJ1573">
        <v>12</v>
      </c>
      <c r="AM1573">
        <v>0</v>
      </c>
      <c r="AN1573">
        <v>104.6</v>
      </c>
    </row>
    <row r="1574" spans="1:42" x14ac:dyDescent="0.25">
      <c r="A1574" t="s">
        <v>46</v>
      </c>
      <c r="B1574">
        <v>5</v>
      </c>
      <c r="C1574" t="s">
        <v>706</v>
      </c>
      <c r="D1574" s="39">
        <v>45930</v>
      </c>
      <c r="E1574" t="s">
        <v>81</v>
      </c>
      <c r="K1574" t="s">
        <v>79</v>
      </c>
      <c r="L1574">
        <v>6</v>
      </c>
      <c r="M1574">
        <v>284.69</v>
      </c>
      <c r="N1574">
        <v>8.3999999999999986</v>
      </c>
      <c r="Q1574">
        <v>276.29000000000002</v>
      </c>
      <c r="V1574">
        <v>0</v>
      </c>
      <c r="W1574">
        <v>0</v>
      </c>
      <c r="AF1574">
        <v>0</v>
      </c>
      <c r="AG1574">
        <v>0</v>
      </c>
      <c r="AH1574">
        <v>0</v>
      </c>
      <c r="AI1574">
        <v>12</v>
      </c>
      <c r="AJ1574">
        <v>12</v>
      </c>
      <c r="AM1574">
        <v>0</v>
      </c>
      <c r="AN1574">
        <v>281.29000000000002</v>
      </c>
    </row>
    <row r="1575" spans="1:42" x14ac:dyDescent="0.25">
      <c r="A1575" t="s">
        <v>46</v>
      </c>
      <c r="B1575">
        <v>5</v>
      </c>
      <c r="C1575" t="s">
        <v>707</v>
      </c>
      <c r="D1575" s="39">
        <v>45930</v>
      </c>
      <c r="E1575" t="s">
        <v>486</v>
      </c>
      <c r="F1575" t="s">
        <v>79</v>
      </c>
      <c r="G1575">
        <v>14</v>
      </c>
      <c r="H1575">
        <v>5</v>
      </c>
      <c r="I1575" t="s">
        <v>79</v>
      </c>
      <c r="J1575">
        <v>1000</v>
      </c>
      <c r="K1575" t="s">
        <v>79</v>
      </c>
      <c r="L1575">
        <v>4</v>
      </c>
      <c r="M1575">
        <v>145.92000000000002</v>
      </c>
      <c r="N1575">
        <v>5.6</v>
      </c>
      <c r="Q1575">
        <v>140.32000000000002</v>
      </c>
      <c r="V1575">
        <v>0</v>
      </c>
      <c r="W1575">
        <v>0</v>
      </c>
      <c r="AF1575">
        <v>0</v>
      </c>
      <c r="AG1575">
        <v>0</v>
      </c>
      <c r="AH1575">
        <v>0</v>
      </c>
      <c r="AI1575">
        <v>12</v>
      </c>
      <c r="AJ1575">
        <v>12</v>
      </c>
      <c r="AM1575">
        <v>0</v>
      </c>
      <c r="AN1575">
        <v>145.32000000000002</v>
      </c>
    </row>
    <row r="1576" spans="1:42" x14ac:dyDescent="0.25">
      <c r="A1576" t="s">
        <v>45</v>
      </c>
      <c r="B1576">
        <v>6</v>
      </c>
      <c r="C1576" t="s">
        <v>708</v>
      </c>
      <c r="D1576" s="39">
        <v>45930</v>
      </c>
      <c r="E1576" t="s">
        <v>229</v>
      </c>
      <c r="F1576" t="s">
        <v>79</v>
      </c>
      <c r="G1576">
        <v>8</v>
      </c>
      <c r="H1576">
        <v>14</v>
      </c>
      <c r="I1576" t="s">
        <v>79</v>
      </c>
      <c r="J1576">
        <v>250</v>
      </c>
      <c r="K1576" t="s">
        <v>79</v>
      </c>
      <c r="L1576">
        <v>5</v>
      </c>
      <c r="M1576">
        <v>265.81</v>
      </c>
      <c r="N1576">
        <v>9.5</v>
      </c>
      <c r="Q1576">
        <v>256.31</v>
      </c>
      <c r="V1576">
        <v>0</v>
      </c>
      <c r="W1576">
        <v>0</v>
      </c>
      <c r="Z1576">
        <v>510</v>
      </c>
      <c r="AF1576">
        <v>510</v>
      </c>
      <c r="AG1576">
        <v>8.5</v>
      </c>
      <c r="AH1576">
        <v>8.5</v>
      </c>
      <c r="AI1576">
        <v>3.5</v>
      </c>
      <c r="AJ1576">
        <v>12</v>
      </c>
      <c r="AM1576">
        <v>0</v>
      </c>
      <c r="AN1576">
        <v>261.31</v>
      </c>
    </row>
    <row r="1577" spans="1:42" x14ac:dyDescent="0.25">
      <c r="A1577" t="s">
        <v>45</v>
      </c>
      <c r="B1577">
        <v>1</v>
      </c>
      <c r="C1577" t="s">
        <v>676</v>
      </c>
      <c r="D1577" s="39">
        <v>45931</v>
      </c>
      <c r="E1577" t="s">
        <v>486</v>
      </c>
      <c r="F1577" t="s">
        <v>79</v>
      </c>
      <c r="G1577">
        <v>2.5</v>
      </c>
      <c r="H1577" t="s">
        <v>92</v>
      </c>
      <c r="I1577" t="s">
        <v>79</v>
      </c>
      <c r="J1577">
        <v>800</v>
      </c>
      <c r="K1577" t="s">
        <v>79</v>
      </c>
      <c r="L1577">
        <v>9</v>
      </c>
      <c r="M1577">
        <v>101.19</v>
      </c>
      <c r="N1577">
        <v>1.8</v>
      </c>
      <c r="O1577">
        <v>27</v>
      </c>
      <c r="Q1577">
        <v>99.39</v>
      </c>
      <c r="V1577">
        <v>0</v>
      </c>
      <c r="W1577">
        <v>0</v>
      </c>
      <c r="AF1577">
        <v>0</v>
      </c>
      <c r="AG1577">
        <v>0</v>
      </c>
      <c r="AH1577">
        <v>0</v>
      </c>
      <c r="AI1577">
        <v>12</v>
      </c>
      <c r="AJ1577">
        <v>12</v>
      </c>
      <c r="AL1577">
        <v>2015</v>
      </c>
      <c r="AM1577">
        <v>0</v>
      </c>
      <c r="AN1577">
        <v>104.39</v>
      </c>
      <c r="AO1577">
        <v>398</v>
      </c>
      <c r="AP1577">
        <v>40</v>
      </c>
    </row>
    <row r="1578" spans="1:42" x14ac:dyDescent="0.25">
      <c r="A1578" t="s">
        <v>46</v>
      </c>
      <c r="B1578">
        <v>1</v>
      </c>
      <c r="C1578" t="s">
        <v>676</v>
      </c>
      <c r="D1578" s="39">
        <v>45931</v>
      </c>
      <c r="E1578" t="s">
        <v>486</v>
      </c>
      <c r="F1578" t="s">
        <v>79</v>
      </c>
      <c r="G1578">
        <v>2.5</v>
      </c>
      <c r="H1578" t="s">
        <v>92</v>
      </c>
      <c r="I1578" t="s">
        <v>79</v>
      </c>
      <c r="J1578">
        <v>800</v>
      </c>
      <c r="K1578" t="s">
        <v>79</v>
      </c>
      <c r="L1578">
        <v>9</v>
      </c>
      <c r="M1578">
        <v>95.28</v>
      </c>
      <c r="N1578">
        <v>1.8</v>
      </c>
      <c r="O1578">
        <v>19</v>
      </c>
      <c r="Q1578">
        <v>93.48</v>
      </c>
      <c r="V1578">
        <v>0</v>
      </c>
      <c r="W1578">
        <v>0</v>
      </c>
      <c r="AF1578">
        <v>0</v>
      </c>
      <c r="AG1578">
        <v>0</v>
      </c>
      <c r="AH1578">
        <v>0</v>
      </c>
      <c r="AI1578">
        <v>12</v>
      </c>
      <c r="AJ1578">
        <v>12</v>
      </c>
      <c r="AM1578">
        <v>0</v>
      </c>
      <c r="AN1578">
        <v>98.48</v>
      </c>
      <c r="AP1578">
        <v>40</v>
      </c>
    </row>
    <row r="1579" spans="1:42" x14ac:dyDescent="0.25">
      <c r="A1579" t="s">
        <v>45</v>
      </c>
      <c r="B1579">
        <v>2</v>
      </c>
      <c r="C1579" t="s">
        <v>671</v>
      </c>
      <c r="D1579" s="39">
        <v>45931</v>
      </c>
      <c r="E1579" t="s">
        <v>486</v>
      </c>
      <c r="F1579" t="s">
        <v>79</v>
      </c>
      <c r="G1579">
        <v>4</v>
      </c>
      <c r="H1579" t="s">
        <v>113</v>
      </c>
      <c r="I1579" t="s">
        <v>79</v>
      </c>
      <c r="J1579">
        <v>800</v>
      </c>
      <c r="K1579" t="s">
        <v>79</v>
      </c>
      <c r="L1579">
        <v>9</v>
      </c>
      <c r="M1579">
        <v>127.33999999999999</v>
      </c>
      <c r="N1579">
        <v>3.6</v>
      </c>
      <c r="Q1579">
        <v>123.74</v>
      </c>
      <c r="V1579">
        <v>0</v>
      </c>
      <c r="W1579">
        <v>0</v>
      </c>
      <c r="AF1579">
        <v>0</v>
      </c>
      <c r="AG1579">
        <v>0</v>
      </c>
      <c r="AH1579">
        <v>0</v>
      </c>
      <c r="AI1579">
        <v>12</v>
      </c>
      <c r="AJ1579">
        <v>12</v>
      </c>
      <c r="AM1579">
        <v>0</v>
      </c>
      <c r="AN1579">
        <v>128.74</v>
      </c>
      <c r="AP1579">
        <v>40</v>
      </c>
    </row>
    <row r="1580" spans="1:42" x14ac:dyDescent="0.25">
      <c r="A1580" t="s">
        <v>46</v>
      </c>
      <c r="B1580">
        <v>2</v>
      </c>
      <c r="C1580" t="s">
        <v>671</v>
      </c>
      <c r="D1580" s="39">
        <v>45931</v>
      </c>
      <c r="E1580" t="s">
        <v>486</v>
      </c>
      <c r="F1580" t="s">
        <v>79</v>
      </c>
      <c r="G1580">
        <v>4</v>
      </c>
      <c r="H1580" t="s">
        <v>113</v>
      </c>
      <c r="I1580" t="s">
        <v>79</v>
      </c>
      <c r="J1580">
        <v>800</v>
      </c>
      <c r="K1580" t="s">
        <v>79</v>
      </c>
      <c r="L1580">
        <v>9</v>
      </c>
      <c r="M1580">
        <v>125.44</v>
      </c>
      <c r="N1580">
        <v>3.6</v>
      </c>
      <c r="Q1580">
        <v>121.84</v>
      </c>
      <c r="V1580">
        <v>0</v>
      </c>
      <c r="W1580">
        <v>0</v>
      </c>
      <c r="AF1580">
        <v>0</v>
      </c>
      <c r="AG1580">
        <v>0</v>
      </c>
      <c r="AH1580">
        <v>0</v>
      </c>
      <c r="AI1580">
        <v>12</v>
      </c>
      <c r="AJ1580">
        <v>12</v>
      </c>
      <c r="AM1580">
        <v>0</v>
      </c>
      <c r="AN1580">
        <v>126.84</v>
      </c>
      <c r="AP1580">
        <v>40</v>
      </c>
    </row>
    <row r="1581" spans="1:42" x14ac:dyDescent="0.25">
      <c r="A1581" t="s">
        <v>45</v>
      </c>
      <c r="B1581">
        <v>3</v>
      </c>
      <c r="C1581" t="s">
        <v>699</v>
      </c>
      <c r="D1581" s="39">
        <v>45931</v>
      </c>
      <c r="E1581" t="s">
        <v>486</v>
      </c>
      <c r="F1581" t="s">
        <v>79</v>
      </c>
      <c r="G1581">
        <v>6</v>
      </c>
      <c r="H1581">
        <v>5</v>
      </c>
      <c r="I1581" t="s">
        <v>79</v>
      </c>
      <c r="J1581">
        <v>1000</v>
      </c>
      <c r="K1581" t="s">
        <v>79</v>
      </c>
      <c r="L1581">
        <v>7</v>
      </c>
      <c r="M1581">
        <v>203.46</v>
      </c>
      <c r="N1581">
        <v>5.6000000000000005</v>
      </c>
      <c r="Q1581">
        <v>197.86</v>
      </c>
      <c r="V1581">
        <v>0</v>
      </c>
      <c r="W1581">
        <v>0</v>
      </c>
      <c r="AF1581">
        <v>0</v>
      </c>
      <c r="AG1581">
        <v>0</v>
      </c>
      <c r="AH1581">
        <v>0</v>
      </c>
      <c r="AI1581">
        <v>12</v>
      </c>
      <c r="AJ1581">
        <v>12</v>
      </c>
      <c r="AM1581">
        <v>0</v>
      </c>
      <c r="AN1581">
        <v>202.86</v>
      </c>
      <c r="AP1581">
        <v>40</v>
      </c>
    </row>
    <row r="1582" spans="1:42" x14ac:dyDescent="0.25">
      <c r="A1582" t="s">
        <v>46</v>
      </c>
      <c r="B1582">
        <v>3</v>
      </c>
      <c r="C1582" t="s">
        <v>699</v>
      </c>
      <c r="D1582" s="39">
        <v>45931</v>
      </c>
      <c r="E1582" t="s">
        <v>486</v>
      </c>
      <c r="F1582" t="s">
        <v>79</v>
      </c>
      <c r="G1582">
        <v>6</v>
      </c>
      <c r="H1582">
        <v>5</v>
      </c>
      <c r="I1582" t="s">
        <v>79</v>
      </c>
      <c r="J1582">
        <v>1000</v>
      </c>
      <c r="K1582" t="s">
        <v>79</v>
      </c>
      <c r="L1582">
        <v>8</v>
      </c>
      <c r="M1582">
        <v>229.07999999999998</v>
      </c>
      <c r="N1582">
        <v>4.8</v>
      </c>
      <c r="Q1582">
        <v>224.27999999999997</v>
      </c>
      <c r="V1582">
        <v>0</v>
      </c>
      <c r="W1582">
        <v>0</v>
      </c>
      <c r="AF1582">
        <v>0</v>
      </c>
      <c r="AG1582">
        <v>0</v>
      </c>
      <c r="AH1582">
        <v>0</v>
      </c>
      <c r="AI1582">
        <v>12</v>
      </c>
      <c r="AJ1582">
        <v>12</v>
      </c>
      <c r="AM1582">
        <v>0</v>
      </c>
      <c r="AN1582">
        <v>229.27999999999997</v>
      </c>
      <c r="AP1582">
        <v>40</v>
      </c>
    </row>
    <row r="1583" spans="1:42" x14ac:dyDescent="0.25">
      <c r="A1583" t="s">
        <v>45</v>
      </c>
      <c r="B1583">
        <v>4</v>
      </c>
      <c r="C1583" t="s">
        <v>705</v>
      </c>
      <c r="D1583" s="39">
        <v>45931</v>
      </c>
      <c r="E1583" t="s">
        <v>276</v>
      </c>
      <c r="F1583" t="s">
        <v>79</v>
      </c>
      <c r="G1583">
        <v>20</v>
      </c>
      <c r="H1583" t="s">
        <v>113</v>
      </c>
      <c r="I1583" t="s">
        <v>79</v>
      </c>
      <c r="J1583">
        <v>1000</v>
      </c>
      <c r="K1583" t="s">
        <v>79</v>
      </c>
      <c r="L1583">
        <v>14</v>
      </c>
      <c r="M1583">
        <v>675.76</v>
      </c>
      <c r="N1583">
        <v>28</v>
      </c>
      <c r="Q1583">
        <v>647.76</v>
      </c>
      <c r="V1583">
        <v>0</v>
      </c>
      <c r="W1583">
        <v>0</v>
      </c>
      <c r="AF1583">
        <v>0</v>
      </c>
      <c r="AG1583">
        <v>0</v>
      </c>
      <c r="AH1583">
        <v>0</v>
      </c>
      <c r="AI1583">
        <v>12</v>
      </c>
      <c r="AJ1583">
        <v>12</v>
      </c>
      <c r="AM1583">
        <v>0</v>
      </c>
      <c r="AN1583">
        <v>652.76</v>
      </c>
      <c r="AP1583">
        <v>40</v>
      </c>
    </row>
    <row r="1584" spans="1:42" x14ac:dyDescent="0.25">
      <c r="A1584" t="s">
        <v>46</v>
      </c>
      <c r="B1584">
        <v>4</v>
      </c>
      <c r="C1584" t="s">
        <v>705</v>
      </c>
      <c r="D1584" s="39">
        <v>45931</v>
      </c>
      <c r="E1584" t="s">
        <v>276</v>
      </c>
      <c r="F1584" t="s">
        <v>79</v>
      </c>
      <c r="G1584">
        <v>20</v>
      </c>
      <c r="H1584" t="s">
        <v>113</v>
      </c>
      <c r="I1584" t="s">
        <v>79</v>
      </c>
      <c r="J1584">
        <v>1000</v>
      </c>
      <c r="K1584" t="s">
        <v>79</v>
      </c>
      <c r="L1584">
        <v>4</v>
      </c>
      <c r="M1584">
        <v>212.66</v>
      </c>
      <c r="N1584">
        <v>8</v>
      </c>
      <c r="Q1584">
        <v>204.66</v>
      </c>
      <c r="S1584">
        <v>20</v>
      </c>
      <c r="V1584">
        <v>20</v>
      </c>
      <c r="W1584">
        <v>0.33333333333333331</v>
      </c>
      <c r="AF1584">
        <v>0</v>
      </c>
      <c r="AG1584">
        <v>0</v>
      </c>
      <c r="AH1584">
        <v>0.33333333333333331</v>
      </c>
      <c r="AI1584">
        <v>11.666666666666666</v>
      </c>
      <c r="AJ1584">
        <v>12</v>
      </c>
      <c r="AM1584">
        <v>0</v>
      </c>
      <c r="AN1584">
        <v>209.66</v>
      </c>
      <c r="AP1584">
        <v>40</v>
      </c>
    </row>
    <row r="1585" spans="1:42" x14ac:dyDescent="0.25">
      <c r="A1585" t="s">
        <v>46</v>
      </c>
      <c r="B1585">
        <v>4</v>
      </c>
      <c r="C1585" t="s">
        <v>709</v>
      </c>
      <c r="D1585" s="39">
        <v>45931</v>
      </c>
      <c r="E1585" t="s">
        <v>243</v>
      </c>
      <c r="F1585" t="s">
        <v>79</v>
      </c>
      <c r="G1585">
        <v>20</v>
      </c>
      <c r="H1585" t="s">
        <v>113</v>
      </c>
      <c r="I1585" t="s">
        <v>79</v>
      </c>
      <c r="J1585">
        <v>150</v>
      </c>
      <c r="K1585" t="s">
        <v>79</v>
      </c>
      <c r="L1585">
        <v>3</v>
      </c>
      <c r="M1585">
        <v>155.43</v>
      </c>
      <c r="N1585">
        <v>6</v>
      </c>
      <c r="Q1585">
        <v>149.43</v>
      </c>
      <c r="V1585">
        <v>0</v>
      </c>
      <c r="W1585">
        <v>0</v>
      </c>
      <c r="AF1585">
        <v>0</v>
      </c>
      <c r="AG1585">
        <v>0</v>
      </c>
      <c r="AH1585">
        <v>0</v>
      </c>
      <c r="AI1585">
        <v>12</v>
      </c>
      <c r="AJ1585">
        <v>12</v>
      </c>
      <c r="AM1585">
        <v>0</v>
      </c>
      <c r="AN1585">
        <v>154.43</v>
      </c>
      <c r="AP1585">
        <v>40</v>
      </c>
    </row>
    <row r="1586" spans="1:42" x14ac:dyDescent="0.25">
      <c r="A1586" t="s">
        <v>46</v>
      </c>
      <c r="B1586">
        <v>4</v>
      </c>
      <c r="C1586" t="s">
        <v>710</v>
      </c>
      <c r="D1586" s="39">
        <v>45931</v>
      </c>
      <c r="E1586" t="s">
        <v>243</v>
      </c>
      <c r="F1586" t="s">
        <v>79</v>
      </c>
      <c r="G1586">
        <v>20</v>
      </c>
      <c r="H1586" t="s">
        <v>123</v>
      </c>
      <c r="I1586" t="s">
        <v>79</v>
      </c>
      <c r="J1586">
        <v>150</v>
      </c>
      <c r="K1586" t="s">
        <v>79</v>
      </c>
      <c r="L1586">
        <v>3</v>
      </c>
      <c r="M1586">
        <v>154.72999999999999</v>
      </c>
      <c r="N1586">
        <v>6</v>
      </c>
      <c r="Q1586">
        <v>148.72999999999999</v>
      </c>
      <c r="V1586">
        <v>0</v>
      </c>
      <c r="W1586">
        <v>0</v>
      </c>
      <c r="AF1586">
        <v>0</v>
      </c>
      <c r="AG1586">
        <v>0</v>
      </c>
      <c r="AH1586">
        <v>0</v>
      </c>
      <c r="AI1586">
        <v>12</v>
      </c>
      <c r="AJ1586">
        <v>12</v>
      </c>
      <c r="AM1586">
        <v>0</v>
      </c>
      <c r="AN1586">
        <v>153.72999999999999</v>
      </c>
      <c r="AP1586">
        <v>40</v>
      </c>
    </row>
    <row r="1587" spans="1:42" x14ac:dyDescent="0.25">
      <c r="A1587" t="s">
        <v>46</v>
      </c>
      <c r="B1587">
        <v>4</v>
      </c>
      <c r="C1587" t="s">
        <v>710</v>
      </c>
      <c r="D1587" s="39">
        <v>45931</v>
      </c>
      <c r="E1587" t="s">
        <v>243</v>
      </c>
      <c r="F1587" t="s">
        <v>79</v>
      </c>
      <c r="G1587">
        <v>20</v>
      </c>
      <c r="H1587" t="s">
        <v>123</v>
      </c>
      <c r="I1587" t="s">
        <v>79</v>
      </c>
      <c r="J1587">
        <v>150</v>
      </c>
      <c r="K1587" t="s">
        <v>79</v>
      </c>
      <c r="L1587">
        <v>3</v>
      </c>
      <c r="M1587">
        <v>161.9</v>
      </c>
      <c r="N1587">
        <v>6.8999999999999995</v>
      </c>
      <c r="Q1587">
        <v>155</v>
      </c>
      <c r="V1587">
        <v>0</v>
      </c>
      <c r="W1587">
        <v>0</v>
      </c>
      <c r="AF1587">
        <v>0</v>
      </c>
      <c r="AG1587">
        <v>0</v>
      </c>
      <c r="AH1587">
        <v>0</v>
      </c>
      <c r="AI1587">
        <v>12</v>
      </c>
      <c r="AJ1587">
        <v>12</v>
      </c>
      <c r="AM1587">
        <v>0</v>
      </c>
      <c r="AN1587">
        <v>160</v>
      </c>
      <c r="AP1587">
        <v>40</v>
      </c>
    </row>
    <row r="1588" spans="1:42" x14ac:dyDescent="0.25">
      <c r="A1588" t="s">
        <v>45</v>
      </c>
      <c r="B1588">
        <v>5</v>
      </c>
      <c r="C1588" t="s">
        <v>707</v>
      </c>
      <c r="D1588" s="39">
        <v>45931</v>
      </c>
      <c r="E1588" t="s">
        <v>486</v>
      </c>
      <c r="F1588" t="s">
        <v>79</v>
      </c>
      <c r="G1588">
        <v>14</v>
      </c>
      <c r="H1588">
        <v>5</v>
      </c>
      <c r="I1588" t="s">
        <v>79</v>
      </c>
      <c r="J1588">
        <v>1000</v>
      </c>
      <c r="K1588" t="s">
        <v>79</v>
      </c>
      <c r="L1588">
        <v>11</v>
      </c>
      <c r="M1588">
        <v>568.38000000000011</v>
      </c>
      <c r="N1588">
        <v>15.399999999999999</v>
      </c>
      <c r="Q1588">
        <v>552.98000000000013</v>
      </c>
      <c r="V1588">
        <v>0</v>
      </c>
      <c r="W1588">
        <v>0</v>
      </c>
      <c r="AF1588">
        <v>0</v>
      </c>
      <c r="AG1588">
        <v>0</v>
      </c>
      <c r="AH1588">
        <v>0</v>
      </c>
      <c r="AI1588">
        <v>12</v>
      </c>
      <c r="AJ1588">
        <v>12</v>
      </c>
      <c r="AM1588">
        <v>0</v>
      </c>
      <c r="AN1588">
        <v>557.98000000000013</v>
      </c>
      <c r="AP1588">
        <v>40</v>
      </c>
    </row>
    <row r="1589" spans="1:42" x14ac:dyDescent="0.25">
      <c r="A1589" t="s">
        <v>46</v>
      </c>
      <c r="B1589">
        <v>5</v>
      </c>
      <c r="C1589" t="s">
        <v>707</v>
      </c>
      <c r="D1589" s="39">
        <v>45931</v>
      </c>
      <c r="E1589" t="s">
        <v>486</v>
      </c>
      <c r="F1589" t="s">
        <v>79</v>
      </c>
      <c r="G1589">
        <v>14</v>
      </c>
      <c r="H1589">
        <v>5</v>
      </c>
      <c r="I1589" t="s">
        <v>79</v>
      </c>
      <c r="J1589">
        <v>1000</v>
      </c>
      <c r="K1589" t="s">
        <v>79</v>
      </c>
      <c r="L1589">
        <v>7</v>
      </c>
      <c r="M1589">
        <v>355.93</v>
      </c>
      <c r="N1589">
        <v>9.7999999999999989</v>
      </c>
      <c r="Q1589">
        <v>346.13</v>
      </c>
      <c r="S1589">
        <v>20</v>
      </c>
      <c r="V1589">
        <v>20</v>
      </c>
      <c r="W1589">
        <v>0.33333333333333331</v>
      </c>
      <c r="AF1589">
        <v>0</v>
      </c>
      <c r="AG1589">
        <v>0</v>
      </c>
      <c r="AH1589">
        <v>0.33333333333333331</v>
      </c>
      <c r="AI1589">
        <v>11.666666666666666</v>
      </c>
      <c r="AJ1589">
        <v>12</v>
      </c>
      <c r="AM1589">
        <v>0</v>
      </c>
      <c r="AN1589">
        <v>351.13</v>
      </c>
      <c r="AP1589">
        <v>40</v>
      </c>
    </row>
    <row r="1590" spans="1:42" x14ac:dyDescent="0.25">
      <c r="A1590" t="s">
        <v>46</v>
      </c>
      <c r="B1590">
        <v>5</v>
      </c>
      <c r="C1590" t="s">
        <v>711</v>
      </c>
      <c r="D1590" s="39">
        <v>45931</v>
      </c>
      <c r="E1590" t="s">
        <v>229</v>
      </c>
      <c r="F1590" t="s">
        <v>79</v>
      </c>
      <c r="G1590">
        <v>12</v>
      </c>
      <c r="H1590">
        <v>14</v>
      </c>
      <c r="I1590" t="s">
        <v>79</v>
      </c>
      <c r="J1590">
        <v>250</v>
      </c>
      <c r="K1590" t="s">
        <v>79</v>
      </c>
      <c r="L1590">
        <v>4</v>
      </c>
      <c r="M1590">
        <v>170.86</v>
      </c>
      <c r="N1590">
        <v>4.8</v>
      </c>
      <c r="Q1590">
        <v>166.06</v>
      </c>
      <c r="V1590">
        <v>0</v>
      </c>
      <c r="W1590">
        <v>0</v>
      </c>
      <c r="AF1590">
        <v>0</v>
      </c>
      <c r="AG1590">
        <v>0</v>
      </c>
      <c r="AH1590">
        <v>0</v>
      </c>
      <c r="AI1590">
        <v>12</v>
      </c>
      <c r="AJ1590">
        <v>12</v>
      </c>
      <c r="AM1590">
        <v>0</v>
      </c>
      <c r="AN1590">
        <v>171.06</v>
      </c>
      <c r="AP1590">
        <v>40</v>
      </c>
    </row>
    <row r="1591" spans="1:42" x14ac:dyDescent="0.25">
      <c r="A1591" t="s">
        <v>45</v>
      </c>
      <c r="B1591">
        <v>1</v>
      </c>
      <c r="C1591" t="s">
        <v>676</v>
      </c>
      <c r="D1591" s="39">
        <v>45932</v>
      </c>
      <c r="E1591" t="s">
        <v>486</v>
      </c>
      <c r="F1591" t="s">
        <v>79</v>
      </c>
      <c r="G1591">
        <v>2.5</v>
      </c>
      <c r="H1591" t="s">
        <v>92</v>
      </c>
      <c r="I1591" t="s">
        <v>79</v>
      </c>
      <c r="J1591">
        <v>800</v>
      </c>
      <c r="K1591" t="s">
        <v>79</v>
      </c>
      <c r="L1591">
        <v>5</v>
      </c>
      <c r="M1591">
        <v>44.19</v>
      </c>
      <c r="N1591">
        <v>1</v>
      </c>
      <c r="O1591">
        <v>25.5</v>
      </c>
      <c r="Q1591">
        <v>43.19</v>
      </c>
      <c r="S1591">
        <v>20</v>
      </c>
      <c r="V1591">
        <v>20</v>
      </c>
      <c r="W1591">
        <v>0.33333333333333331</v>
      </c>
      <c r="AF1591">
        <v>0</v>
      </c>
      <c r="AG1591">
        <v>0</v>
      </c>
      <c r="AH1591">
        <v>0.33333333333333331</v>
      </c>
      <c r="AI1591">
        <v>11.666666666666666</v>
      </c>
      <c r="AJ1591">
        <v>12</v>
      </c>
      <c r="AL1591">
        <v>2040</v>
      </c>
      <c r="AM1591">
        <v>0</v>
      </c>
      <c r="AN1591">
        <v>48.19</v>
      </c>
      <c r="AO1591">
        <v>398</v>
      </c>
      <c r="AP1591">
        <v>40</v>
      </c>
    </row>
    <row r="1592" spans="1:42" x14ac:dyDescent="0.25">
      <c r="A1592" t="s">
        <v>45</v>
      </c>
      <c r="B1592">
        <v>1</v>
      </c>
      <c r="C1592" t="s">
        <v>676</v>
      </c>
      <c r="D1592" s="39">
        <v>45932</v>
      </c>
      <c r="E1592" t="s">
        <v>486</v>
      </c>
      <c r="F1592" t="s">
        <v>79</v>
      </c>
      <c r="G1592">
        <v>2.5</v>
      </c>
      <c r="H1592" t="s">
        <v>92</v>
      </c>
      <c r="I1592" t="s">
        <v>79</v>
      </c>
      <c r="J1592">
        <v>800</v>
      </c>
      <c r="K1592" t="s">
        <v>79</v>
      </c>
      <c r="L1592">
        <v>6</v>
      </c>
      <c r="M1592">
        <v>51.679999999999993</v>
      </c>
      <c r="N1592">
        <v>1.2000000000000002</v>
      </c>
      <c r="Q1592">
        <v>50.47999999999999</v>
      </c>
      <c r="V1592">
        <v>0</v>
      </c>
      <c r="W1592">
        <v>0</v>
      </c>
      <c r="AF1592">
        <v>0</v>
      </c>
      <c r="AG1592">
        <v>0</v>
      </c>
      <c r="AH1592">
        <v>0</v>
      </c>
      <c r="AI1592">
        <v>12</v>
      </c>
      <c r="AJ1592">
        <v>12</v>
      </c>
      <c r="AM1592">
        <v>0</v>
      </c>
      <c r="AN1592">
        <v>55.47999999999999</v>
      </c>
      <c r="AP1592">
        <v>40</v>
      </c>
    </row>
    <row r="1593" spans="1:42" x14ac:dyDescent="0.25">
      <c r="A1593" t="s">
        <v>46</v>
      </c>
      <c r="B1593">
        <v>1</v>
      </c>
      <c r="C1593" t="s">
        <v>712</v>
      </c>
      <c r="D1593" s="39">
        <v>45932</v>
      </c>
      <c r="E1593" t="s">
        <v>486</v>
      </c>
      <c r="F1593" t="s">
        <v>79</v>
      </c>
      <c r="G1593">
        <v>2</v>
      </c>
      <c r="H1593" t="s">
        <v>92</v>
      </c>
      <c r="I1593" t="s">
        <v>79</v>
      </c>
      <c r="J1593">
        <v>500</v>
      </c>
      <c r="K1593" t="s">
        <v>79</v>
      </c>
      <c r="L1593">
        <v>10</v>
      </c>
      <c r="M1593">
        <v>105.16000000000001</v>
      </c>
      <c r="N1593">
        <v>2</v>
      </c>
      <c r="O1593">
        <v>18.5</v>
      </c>
      <c r="Q1593">
        <v>103.16000000000001</v>
      </c>
      <c r="V1593">
        <v>0</v>
      </c>
      <c r="W1593">
        <v>0</v>
      </c>
      <c r="AF1593">
        <v>0</v>
      </c>
      <c r="AG1593">
        <v>0</v>
      </c>
      <c r="AH1593">
        <v>0</v>
      </c>
      <c r="AI1593">
        <v>12</v>
      </c>
      <c r="AJ1593">
        <v>12</v>
      </c>
      <c r="AM1593">
        <v>0</v>
      </c>
      <c r="AN1593">
        <v>108.16</v>
      </c>
      <c r="AP1593">
        <v>40</v>
      </c>
    </row>
    <row r="1594" spans="1:42" x14ac:dyDescent="0.25">
      <c r="A1594" t="s">
        <v>45</v>
      </c>
      <c r="B1594">
        <v>2</v>
      </c>
      <c r="C1594" t="s">
        <v>713</v>
      </c>
      <c r="D1594" s="39">
        <v>45932</v>
      </c>
      <c r="E1594" t="s">
        <v>486</v>
      </c>
      <c r="F1594" t="s">
        <v>79</v>
      </c>
      <c r="G1594">
        <v>4</v>
      </c>
      <c r="H1594" t="s">
        <v>113</v>
      </c>
      <c r="I1594" t="s">
        <v>79</v>
      </c>
      <c r="J1594">
        <v>1000</v>
      </c>
      <c r="K1594" t="s">
        <v>79</v>
      </c>
      <c r="L1594">
        <v>8</v>
      </c>
      <c r="M1594">
        <v>130.54</v>
      </c>
      <c r="N1594">
        <v>3.2</v>
      </c>
      <c r="Q1594">
        <v>127.33999999999999</v>
      </c>
      <c r="V1594">
        <v>0</v>
      </c>
      <c r="W1594">
        <v>0</v>
      </c>
      <c r="AF1594">
        <v>0</v>
      </c>
      <c r="AG1594">
        <v>0</v>
      </c>
      <c r="AH1594">
        <v>0</v>
      </c>
      <c r="AI1594">
        <v>12</v>
      </c>
      <c r="AJ1594">
        <v>12</v>
      </c>
      <c r="AM1594">
        <v>0</v>
      </c>
      <c r="AN1594">
        <v>132.33999999999995</v>
      </c>
      <c r="AP1594">
        <v>40</v>
      </c>
    </row>
    <row r="1595" spans="1:42" x14ac:dyDescent="0.25">
      <c r="A1595" t="s">
        <v>46</v>
      </c>
      <c r="B1595">
        <v>2</v>
      </c>
      <c r="C1595" t="s">
        <v>713</v>
      </c>
      <c r="D1595" s="39">
        <v>45932</v>
      </c>
      <c r="E1595" t="s">
        <v>486</v>
      </c>
      <c r="F1595" t="s">
        <v>79</v>
      </c>
      <c r="G1595">
        <v>4</v>
      </c>
      <c r="H1595" t="s">
        <v>113</v>
      </c>
      <c r="I1595" t="s">
        <v>79</v>
      </c>
      <c r="J1595">
        <v>1000</v>
      </c>
      <c r="K1595" t="s">
        <v>79</v>
      </c>
      <c r="L1595">
        <v>9</v>
      </c>
      <c r="M1595">
        <v>132.84</v>
      </c>
      <c r="N1595">
        <v>3.6</v>
      </c>
      <c r="Q1595">
        <v>129.24</v>
      </c>
      <c r="V1595">
        <v>0</v>
      </c>
      <c r="W1595">
        <v>0</v>
      </c>
      <c r="AF1595">
        <v>0</v>
      </c>
      <c r="AG1595">
        <v>0</v>
      </c>
      <c r="AH1595">
        <v>0</v>
      </c>
      <c r="AI1595">
        <v>12</v>
      </c>
      <c r="AJ1595">
        <v>12</v>
      </c>
      <c r="AM1595">
        <v>0</v>
      </c>
      <c r="AN1595">
        <v>134.24</v>
      </c>
      <c r="AP1595">
        <v>40</v>
      </c>
    </row>
    <row r="1596" spans="1:42" x14ac:dyDescent="0.25">
      <c r="A1596" t="s">
        <v>45</v>
      </c>
      <c r="B1596">
        <v>3</v>
      </c>
      <c r="C1596" t="s">
        <v>699</v>
      </c>
      <c r="D1596" s="39">
        <v>45932</v>
      </c>
      <c r="E1596" t="s">
        <v>486</v>
      </c>
      <c r="F1596" t="s">
        <v>79</v>
      </c>
      <c r="G1596">
        <v>6</v>
      </c>
      <c r="H1596">
        <v>5</v>
      </c>
      <c r="I1596" t="s">
        <v>79</v>
      </c>
      <c r="J1596">
        <v>1000</v>
      </c>
      <c r="K1596" t="s">
        <v>79</v>
      </c>
      <c r="L1596">
        <v>2</v>
      </c>
      <c r="M1596">
        <v>60.650000000000006</v>
      </c>
      <c r="N1596">
        <v>1.6</v>
      </c>
      <c r="Q1596">
        <v>59.050000000000004</v>
      </c>
      <c r="S1596">
        <v>20</v>
      </c>
      <c r="V1596">
        <v>20</v>
      </c>
      <c r="W1596">
        <v>0.33333333333333331</v>
      </c>
      <c r="AF1596">
        <v>0</v>
      </c>
      <c r="AG1596">
        <v>0</v>
      </c>
      <c r="AH1596">
        <v>0.33333333333333331</v>
      </c>
      <c r="AI1596">
        <v>11.666666666666666</v>
      </c>
      <c r="AJ1596">
        <v>12</v>
      </c>
      <c r="AM1596">
        <v>0</v>
      </c>
      <c r="AN1596">
        <v>64.050000000000011</v>
      </c>
      <c r="AP1596">
        <v>40</v>
      </c>
    </row>
    <row r="1597" spans="1:42" x14ac:dyDescent="0.25">
      <c r="A1597" t="s">
        <v>45</v>
      </c>
      <c r="B1597">
        <v>3</v>
      </c>
      <c r="C1597" t="s">
        <v>714</v>
      </c>
      <c r="D1597" s="39">
        <v>45932</v>
      </c>
      <c r="E1597" t="s">
        <v>486</v>
      </c>
      <c r="F1597" t="s">
        <v>79</v>
      </c>
      <c r="G1597">
        <v>7</v>
      </c>
      <c r="H1597">
        <v>5</v>
      </c>
      <c r="I1597" t="s">
        <v>79</v>
      </c>
      <c r="J1597">
        <v>1000</v>
      </c>
      <c r="K1597" t="s">
        <v>79</v>
      </c>
      <c r="L1597">
        <v>6</v>
      </c>
      <c r="M1597">
        <v>187.85</v>
      </c>
      <c r="N1597">
        <v>5.4</v>
      </c>
      <c r="Q1597">
        <v>182.45</v>
      </c>
      <c r="V1597">
        <v>0</v>
      </c>
      <c r="W1597">
        <v>0</v>
      </c>
      <c r="AF1597">
        <v>0</v>
      </c>
      <c r="AG1597">
        <v>0</v>
      </c>
      <c r="AH1597">
        <v>0</v>
      </c>
      <c r="AI1597">
        <v>12</v>
      </c>
      <c r="AJ1597">
        <v>12</v>
      </c>
      <c r="AM1597">
        <v>0</v>
      </c>
      <c r="AN1597">
        <v>187.45</v>
      </c>
      <c r="AP1597">
        <v>40</v>
      </c>
    </row>
    <row r="1598" spans="1:42" x14ac:dyDescent="0.25">
      <c r="A1598" t="s">
        <v>46</v>
      </c>
      <c r="B1598">
        <v>3</v>
      </c>
      <c r="C1598" t="s">
        <v>714</v>
      </c>
      <c r="D1598" s="39">
        <v>45932</v>
      </c>
      <c r="E1598" t="s">
        <v>486</v>
      </c>
      <c r="F1598" t="s">
        <v>79</v>
      </c>
      <c r="G1598">
        <v>7</v>
      </c>
      <c r="H1598">
        <v>5</v>
      </c>
      <c r="I1598" t="s">
        <v>79</v>
      </c>
      <c r="J1598">
        <v>1000</v>
      </c>
      <c r="K1598" t="s">
        <v>79</v>
      </c>
      <c r="L1598">
        <v>9</v>
      </c>
      <c r="M1598">
        <v>273.55</v>
      </c>
      <c r="N1598">
        <v>6.3</v>
      </c>
      <c r="Q1598">
        <v>267.25</v>
      </c>
      <c r="V1598">
        <v>0</v>
      </c>
      <c r="W1598">
        <v>0</v>
      </c>
      <c r="AF1598">
        <v>0</v>
      </c>
      <c r="AG1598">
        <v>0</v>
      </c>
      <c r="AH1598">
        <v>0</v>
      </c>
      <c r="AI1598">
        <v>12</v>
      </c>
      <c r="AJ1598">
        <v>12</v>
      </c>
      <c r="AM1598">
        <v>0</v>
      </c>
      <c r="AN1598">
        <v>272.25</v>
      </c>
      <c r="AP1598">
        <v>40</v>
      </c>
    </row>
    <row r="1599" spans="1:42" x14ac:dyDescent="0.25">
      <c r="A1599" t="s">
        <v>45</v>
      </c>
      <c r="B1599">
        <v>4</v>
      </c>
      <c r="C1599" t="s">
        <v>715</v>
      </c>
      <c r="D1599" s="39">
        <v>45932</v>
      </c>
      <c r="E1599" t="s">
        <v>716</v>
      </c>
      <c r="F1599" t="s">
        <v>79</v>
      </c>
      <c r="G1599">
        <v>16</v>
      </c>
      <c r="H1599" t="s">
        <v>98</v>
      </c>
      <c r="I1599" t="s">
        <v>79</v>
      </c>
      <c r="J1599">
        <v>100</v>
      </c>
      <c r="K1599" t="s">
        <v>79</v>
      </c>
      <c r="L1599">
        <v>3</v>
      </c>
      <c r="M1599">
        <v>116.83000000000001</v>
      </c>
      <c r="N1599">
        <v>4.1999999999999993</v>
      </c>
      <c r="Q1599">
        <v>112.63000000000001</v>
      </c>
      <c r="S1599">
        <v>30</v>
      </c>
      <c r="V1599">
        <v>30</v>
      </c>
      <c r="W1599">
        <v>0.5</v>
      </c>
      <c r="AF1599">
        <v>0</v>
      </c>
      <c r="AG1599">
        <v>0</v>
      </c>
      <c r="AH1599">
        <v>0.5</v>
      </c>
      <c r="AI1599">
        <v>11.5</v>
      </c>
      <c r="AJ1599">
        <v>12</v>
      </c>
      <c r="AM1599">
        <v>0</v>
      </c>
      <c r="AN1599">
        <v>117.63</v>
      </c>
      <c r="AP1599">
        <v>40</v>
      </c>
    </row>
    <row r="1600" spans="1:42" x14ac:dyDescent="0.25">
      <c r="A1600" t="s">
        <v>45</v>
      </c>
      <c r="B1600">
        <v>4</v>
      </c>
      <c r="C1600" t="s">
        <v>717</v>
      </c>
      <c r="D1600" s="39">
        <v>45932</v>
      </c>
      <c r="E1600" t="s">
        <v>486</v>
      </c>
      <c r="F1600" t="s">
        <v>79</v>
      </c>
      <c r="G1600">
        <v>18</v>
      </c>
      <c r="H1600">
        <v>5</v>
      </c>
      <c r="I1600" t="s">
        <v>79</v>
      </c>
      <c r="J1600">
        <v>500</v>
      </c>
      <c r="K1600" t="s">
        <v>79</v>
      </c>
      <c r="L1600">
        <v>11</v>
      </c>
      <c r="M1600">
        <v>553.79</v>
      </c>
      <c r="N1600">
        <v>19.8</v>
      </c>
      <c r="Q1600">
        <v>533.99</v>
      </c>
      <c r="V1600">
        <v>0</v>
      </c>
      <c r="W1600">
        <v>0</v>
      </c>
      <c r="AF1600">
        <v>0</v>
      </c>
      <c r="AG1600">
        <v>0</v>
      </c>
      <c r="AH1600">
        <v>0</v>
      </c>
      <c r="AI1600">
        <v>12</v>
      </c>
      <c r="AJ1600">
        <v>12</v>
      </c>
      <c r="AM1600">
        <v>0</v>
      </c>
      <c r="AN1600">
        <v>538.99</v>
      </c>
      <c r="AP1600">
        <v>40</v>
      </c>
    </row>
    <row r="1601" spans="1:42" x14ac:dyDescent="0.25">
      <c r="A1601" t="s">
        <v>46</v>
      </c>
      <c r="B1601">
        <v>4</v>
      </c>
      <c r="C1601" t="s">
        <v>717</v>
      </c>
      <c r="D1601" s="39">
        <v>45932</v>
      </c>
      <c r="E1601" t="s">
        <v>486</v>
      </c>
      <c r="F1601" t="s">
        <v>79</v>
      </c>
      <c r="G1601">
        <v>18</v>
      </c>
      <c r="H1601">
        <v>5</v>
      </c>
      <c r="I1601" t="s">
        <v>79</v>
      </c>
      <c r="J1601">
        <v>500</v>
      </c>
      <c r="K1601" t="s">
        <v>79</v>
      </c>
      <c r="L1601">
        <v>2</v>
      </c>
      <c r="M1601">
        <v>85.27</v>
      </c>
      <c r="N1601">
        <v>4.4000000000000004</v>
      </c>
      <c r="Q1601">
        <v>80.86999999999999</v>
      </c>
      <c r="S1601">
        <v>20</v>
      </c>
      <c r="V1601">
        <v>20</v>
      </c>
      <c r="W1601">
        <v>0.33333333333333331</v>
      </c>
      <c r="AF1601">
        <v>0</v>
      </c>
      <c r="AG1601">
        <v>0</v>
      </c>
      <c r="AH1601">
        <v>0.33333333333333331</v>
      </c>
      <c r="AI1601">
        <v>11.666666666666666</v>
      </c>
      <c r="AJ1601">
        <v>12</v>
      </c>
      <c r="AM1601">
        <v>0</v>
      </c>
      <c r="AN1601">
        <v>85.86999999999999</v>
      </c>
      <c r="AP1601">
        <v>40</v>
      </c>
    </row>
    <row r="1602" spans="1:42" x14ac:dyDescent="0.25">
      <c r="A1602" t="s">
        <v>46</v>
      </c>
      <c r="B1602">
        <v>4</v>
      </c>
      <c r="C1602" t="s">
        <v>718</v>
      </c>
      <c r="D1602" s="39">
        <v>45932</v>
      </c>
      <c r="E1602" t="s">
        <v>81</v>
      </c>
      <c r="K1602" t="s">
        <v>79</v>
      </c>
      <c r="L1602">
        <v>2</v>
      </c>
      <c r="M1602">
        <v>114.33000000000001</v>
      </c>
      <c r="N1602">
        <v>4.4000000000000004</v>
      </c>
      <c r="Q1602">
        <v>109.93</v>
      </c>
      <c r="V1602">
        <v>0</v>
      </c>
      <c r="W1602">
        <v>0</v>
      </c>
      <c r="AF1602">
        <v>0</v>
      </c>
      <c r="AG1602">
        <v>0</v>
      </c>
      <c r="AH1602">
        <v>0</v>
      </c>
      <c r="AI1602">
        <v>12</v>
      </c>
      <c r="AJ1602">
        <v>12</v>
      </c>
      <c r="AM1602">
        <v>0</v>
      </c>
      <c r="AN1602">
        <v>114.93</v>
      </c>
      <c r="AP1602">
        <v>40</v>
      </c>
    </row>
    <row r="1603" spans="1:42" x14ac:dyDescent="0.25">
      <c r="A1603" t="s">
        <v>46</v>
      </c>
      <c r="B1603">
        <v>4</v>
      </c>
      <c r="C1603" t="s">
        <v>720</v>
      </c>
      <c r="D1603" s="39">
        <v>45932</v>
      </c>
      <c r="E1603" t="s">
        <v>721</v>
      </c>
      <c r="F1603" t="s">
        <v>79</v>
      </c>
      <c r="G1603">
        <v>22</v>
      </c>
      <c r="H1603" t="s">
        <v>113</v>
      </c>
      <c r="I1603" t="s">
        <v>79</v>
      </c>
      <c r="J1603">
        <v>200</v>
      </c>
      <c r="K1603" t="s">
        <v>79</v>
      </c>
      <c r="L1603">
        <v>2</v>
      </c>
      <c r="M1603">
        <v>131.32999999999998</v>
      </c>
      <c r="N1603">
        <v>4.4000000000000004</v>
      </c>
      <c r="Q1603">
        <v>126.92999999999998</v>
      </c>
      <c r="V1603">
        <v>0</v>
      </c>
      <c r="W1603">
        <v>0</v>
      </c>
      <c r="AF1603">
        <v>0</v>
      </c>
      <c r="AG1603">
        <v>0</v>
      </c>
      <c r="AH1603">
        <v>0</v>
      </c>
      <c r="AI1603">
        <v>12</v>
      </c>
      <c r="AJ1603">
        <v>12</v>
      </c>
      <c r="AM1603">
        <v>0</v>
      </c>
      <c r="AN1603">
        <v>131.92999999999998</v>
      </c>
      <c r="AP1603">
        <v>40</v>
      </c>
    </row>
    <row r="1604" spans="1:42" x14ac:dyDescent="0.25">
      <c r="A1604" t="s">
        <v>46</v>
      </c>
      <c r="B1604">
        <v>4</v>
      </c>
      <c r="C1604" t="s">
        <v>722</v>
      </c>
      <c r="D1604" s="39">
        <v>45932</v>
      </c>
      <c r="E1604" t="s">
        <v>200</v>
      </c>
      <c r="F1604" t="s">
        <v>79</v>
      </c>
      <c r="G1604">
        <v>18</v>
      </c>
      <c r="H1604">
        <v>6</v>
      </c>
      <c r="I1604" t="s">
        <v>79</v>
      </c>
      <c r="J1604">
        <v>500</v>
      </c>
      <c r="K1604" t="s">
        <v>79</v>
      </c>
      <c r="L1604">
        <v>5</v>
      </c>
      <c r="M1604">
        <v>262.71000000000004</v>
      </c>
      <c r="N1604">
        <v>11</v>
      </c>
      <c r="Q1604">
        <v>251.71000000000004</v>
      </c>
      <c r="V1604">
        <v>0</v>
      </c>
      <c r="W1604">
        <v>0</v>
      </c>
      <c r="AF1604">
        <v>0</v>
      </c>
      <c r="AG1604">
        <v>0</v>
      </c>
      <c r="AH1604">
        <v>0</v>
      </c>
      <c r="AI1604">
        <v>12</v>
      </c>
      <c r="AJ1604">
        <v>12</v>
      </c>
      <c r="AM1604">
        <v>0</v>
      </c>
      <c r="AN1604">
        <v>256.71000000000004</v>
      </c>
      <c r="AP1604">
        <v>40</v>
      </c>
    </row>
    <row r="1605" spans="1:42" x14ac:dyDescent="0.25">
      <c r="A1605" t="s">
        <v>46</v>
      </c>
      <c r="B1605">
        <v>4</v>
      </c>
      <c r="C1605" t="s">
        <v>723</v>
      </c>
      <c r="D1605" s="39">
        <v>45932</v>
      </c>
      <c r="E1605" t="s">
        <v>438</v>
      </c>
      <c r="F1605" t="s">
        <v>79</v>
      </c>
      <c r="G1605">
        <v>22</v>
      </c>
      <c r="H1605" t="s">
        <v>98</v>
      </c>
      <c r="I1605" t="s">
        <v>79</v>
      </c>
      <c r="J1605">
        <v>120</v>
      </c>
      <c r="K1605" t="s">
        <v>79</v>
      </c>
      <c r="L1605">
        <v>2</v>
      </c>
      <c r="M1605">
        <v>116.72999999999999</v>
      </c>
      <c r="N1605">
        <v>5.6</v>
      </c>
      <c r="Q1605">
        <v>111.13</v>
      </c>
      <c r="V1605">
        <v>0</v>
      </c>
      <c r="W1605">
        <v>0</v>
      </c>
      <c r="AF1605">
        <v>0</v>
      </c>
      <c r="AG1605">
        <v>0</v>
      </c>
      <c r="AH1605">
        <v>0</v>
      </c>
      <c r="AI1605">
        <v>12</v>
      </c>
      <c r="AJ1605">
        <v>12</v>
      </c>
      <c r="AM1605">
        <v>0</v>
      </c>
      <c r="AN1605">
        <v>116.13</v>
      </c>
      <c r="AP1605">
        <v>40</v>
      </c>
    </row>
    <row r="1606" spans="1:42" x14ac:dyDescent="0.25">
      <c r="A1606" t="s">
        <v>45</v>
      </c>
      <c r="B1606">
        <v>5</v>
      </c>
      <c r="C1606" t="s">
        <v>711</v>
      </c>
      <c r="D1606" s="39">
        <v>45932</v>
      </c>
      <c r="E1606" t="s">
        <v>229</v>
      </c>
      <c r="F1606" t="s">
        <v>79</v>
      </c>
      <c r="G1606">
        <v>12</v>
      </c>
      <c r="H1606">
        <v>14</v>
      </c>
      <c r="I1606" t="s">
        <v>79</v>
      </c>
      <c r="J1606">
        <v>250</v>
      </c>
      <c r="K1606" t="s">
        <v>79</v>
      </c>
      <c r="L1606">
        <v>6</v>
      </c>
      <c r="M1606">
        <v>250.12999999999997</v>
      </c>
      <c r="N1606">
        <v>8.3999999999999986</v>
      </c>
      <c r="Q1606">
        <v>241.72999999999996</v>
      </c>
      <c r="S1606">
        <v>20</v>
      </c>
      <c r="V1606">
        <v>20</v>
      </c>
      <c r="W1606">
        <v>0.33333333333333331</v>
      </c>
      <c r="AF1606">
        <v>0</v>
      </c>
      <c r="AG1606">
        <v>0</v>
      </c>
      <c r="AH1606">
        <v>0.33333333333333331</v>
      </c>
      <c r="AI1606">
        <v>11.666666666666666</v>
      </c>
      <c r="AJ1606">
        <v>12</v>
      </c>
      <c r="AM1606">
        <v>0</v>
      </c>
      <c r="AN1606">
        <v>246.72999999999996</v>
      </c>
      <c r="AP1606">
        <v>40</v>
      </c>
    </row>
    <row r="1607" spans="1:42" x14ac:dyDescent="0.25">
      <c r="A1607" t="s">
        <v>45</v>
      </c>
      <c r="B1607">
        <v>5</v>
      </c>
      <c r="C1607" t="s">
        <v>724</v>
      </c>
      <c r="D1607" s="39">
        <v>45932</v>
      </c>
      <c r="E1607" t="s">
        <v>194</v>
      </c>
      <c r="F1607" t="s">
        <v>79</v>
      </c>
      <c r="G1607">
        <v>13</v>
      </c>
      <c r="H1607">
        <v>5</v>
      </c>
      <c r="I1607" t="s">
        <v>79</v>
      </c>
      <c r="J1607">
        <v>500</v>
      </c>
      <c r="K1607" t="s">
        <v>79</v>
      </c>
      <c r="L1607">
        <v>6</v>
      </c>
      <c r="M1607">
        <v>276.66999999999996</v>
      </c>
      <c r="N1607">
        <v>7.8000000000000007</v>
      </c>
      <c r="Q1607">
        <v>268.86999999999995</v>
      </c>
      <c r="V1607">
        <v>0</v>
      </c>
      <c r="W1607">
        <v>0</v>
      </c>
      <c r="AF1607">
        <v>0</v>
      </c>
      <c r="AG1607">
        <v>0</v>
      </c>
      <c r="AH1607">
        <v>0</v>
      </c>
      <c r="AI1607">
        <v>12</v>
      </c>
      <c r="AJ1607">
        <v>12</v>
      </c>
      <c r="AM1607">
        <v>0</v>
      </c>
      <c r="AN1607">
        <v>273.86999999999995</v>
      </c>
      <c r="AP1607">
        <v>40</v>
      </c>
    </row>
    <row r="1608" spans="1:42" x14ac:dyDescent="0.25">
      <c r="A1608" t="s">
        <v>46</v>
      </c>
      <c r="B1608">
        <v>5</v>
      </c>
      <c r="C1608" t="s">
        <v>724</v>
      </c>
      <c r="D1608" s="39">
        <v>45932</v>
      </c>
      <c r="E1608" t="s">
        <v>194</v>
      </c>
      <c r="F1608" t="s">
        <v>79</v>
      </c>
      <c r="G1608">
        <v>13</v>
      </c>
      <c r="H1608">
        <v>5</v>
      </c>
      <c r="I1608" t="s">
        <v>79</v>
      </c>
      <c r="J1608">
        <v>500</v>
      </c>
      <c r="K1608" t="s">
        <v>79</v>
      </c>
      <c r="L1608">
        <v>7</v>
      </c>
      <c r="M1608">
        <v>326.28000000000003</v>
      </c>
      <c r="N1608">
        <v>9.1</v>
      </c>
      <c r="Q1608">
        <v>317.18</v>
      </c>
      <c r="S1608">
        <v>20</v>
      </c>
      <c r="V1608">
        <v>20</v>
      </c>
      <c r="W1608">
        <v>0.33333333333333331</v>
      </c>
      <c r="AF1608">
        <v>0</v>
      </c>
      <c r="AG1608">
        <v>0</v>
      </c>
      <c r="AH1608">
        <v>0.33333333333333331</v>
      </c>
      <c r="AI1608">
        <v>11.666666666666666</v>
      </c>
      <c r="AJ1608">
        <v>12</v>
      </c>
      <c r="AM1608">
        <v>0</v>
      </c>
      <c r="AN1608">
        <v>322.18</v>
      </c>
      <c r="AP1608">
        <v>40</v>
      </c>
    </row>
    <row r="1609" spans="1:42" x14ac:dyDescent="0.25">
      <c r="A1609" t="s">
        <v>46</v>
      </c>
      <c r="B1609">
        <v>5</v>
      </c>
      <c r="C1609" t="s">
        <v>725</v>
      </c>
      <c r="D1609" s="39">
        <v>45932</v>
      </c>
      <c r="E1609" t="s">
        <v>553</v>
      </c>
      <c r="F1609" t="s">
        <v>79</v>
      </c>
      <c r="G1609">
        <v>13</v>
      </c>
      <c r="H1609">
        <v>7</v>
      </c>
      <c r="I1609" t="s">
        <v>79</v>
      </c>
      <c r="J1609">
        <v>50</v>
      </c>
      <c r="K1609" t="s">
        <v>79</v>
      </c>
      <c r="L1609">
        <v>2</v>
      </c>
      <c r="M1609">
        <v>58.79</v>
      </c>
      <c r="N1609">
        <v>2.6</v>
      </c>
      <c r="Q1609">
        <v>56.19</v>
      </c>
      <c r="V1609">
        <v>0</v>
      </c>
      <c r="W1609">
        <v>0</v>
      </c>
      <c r="AF1609">
        <v>0</v>
      </c>
      <c r="AG1609">
        <v>0</v>
      </c>
      <c r="AH1609">
        <v>0</v>
      </c>
      <c r="AI1609">
        <v>12</v>
      </c>
      <c r="AJ1609">
        <v>12</v>
      </c>
      <c r="AM1609">
        <v>0</v>
      </c>
      <c r="AN1609">
        <v>61.19</v>
      </c>
      <c r="AP1609">
        <v>40</v>
      </c>
    </row>
    <row r="1610" spans="1:42" x14ac:dyDescent="0.25">
      <c r="A1610" t="s">
        <v>46</v>
      </c>
      <c r="B1610">
        <v>5</v>
      </c>
      <c r="C1610" t="s">
        <v>700</v>
      </c>
      <c r="D1610" s="39">
        <v>45932</v>
      </c>
      <c r="E1610" t="s">
        <v>486</v>
      </c>
      <c r="F1610" t="s">
        <v>79</v>
      </c>
      <c r="G1610">
        <v>12</v>
      </c>
      <c r="H1610">
        <v>5</v>
      </c>
      <c r="I1610" t="s">
        <v>79</v>
      </c>
      <c r="J1610">
        <v>1000</v>
      </c>
      <c r="K1610" t="s">
        <v>79</v>
      </c>
      <c r="L1610">
        <v>3</v>
      </c>
      <c r="M1610">
        <v>156.04</v>
      </c>
      <c r="N1610">
        <v>3.5999999999999996</v>
      </c>
      <c r="Q1610">
        <v>152.44</v>
      </c>
      <c r="V1610">
        <v>0</v>
      </c>
      <c r="W1610">
        <v>0</v>
      </c>
      <c r="AF1610">
        <v>0</v>
      </c>
      <c r="AG1610">
        <v>0</v>
      </c>
      <c r="AH1610">
        <v>0</v>
      </c>
      <c r="AI1610">
        <v>12</v>
      </c>
      <c r="AJ1610">
        <v>12</v>
      </c>
      <c r="AM1610">
        <v>0</v>
      </c>
      <c r="AN1610">
        <v>157.44</v>
      </c>
      <c r="AP1610">
        <v>40</v>
      </c>
    </row>
    <row r="1611" spans="1:42" x14ac:dyDescent="0.25">
      <c r="A1611" t="s">
        <v>45</v>
      </c>
      <c r="B1611">
        <v>1</v>
      </c>
      <c r="C1611" t="s">
        <v>712</v>
      </c>
      <c r="D1611" s="39">
        <v>45933</v>
      </c>
      <c r="E1611" t="s">
        <v>486</v>
      </c>
      <c r="F1611" t="s">
        <v>79</v>
      </c>
      <c r="G1611">
        <v>2</v>
      </c>
      <c r="H1611" t="s">
        <v>92</v>
      </c>
      <c r="I1611" t="s">
        <v>79</v>
      </c>
      <c r="J1611">
        <v>500</v>
      </c>
      <c r="K1611" t="s">
        <v>79</v>
      </c>
      <c r="L1611">
        <v>6</v>
      </c>
      <c r="M1611">
        <v>63.379999999999995</v>
      </c>
      <c r="N1611">
        <v>1.2000000000000002</v>
      </c>
      <c r="O1611">
        <v>28</v>
      </c>
      <c r="Q1611">
        <v>62.179999999999993</v>
      </c>
      <c r="S1611">
        <v>20</v>
      </c>
      <c r="V1611">
        <v>20</v>
      </c>
      <c r="W1611">
        <v>0.33333333333333331</v>
      </c>
      <c r="AF1611">
        <v>0</v>
      </c>
      <c r="AG1611">
        <v>0</v>
      </c>
      <c r="AH1611">
        <v>0.33333333333333331</v>
      </c>
      <c r="AI1611">
        <v>11.666666666666666</v>
      </c>
      <c r="AJ1611">
        <v>12</v>
      </c>
      <c r="AL1611">
        <v>2041</v>
      </c>
      <c r="AM1611">
        <v>0</v>
      </c>
      <c r="AN1611">
        <v>67.179999999999993</v>
      </c>
      <c r="AP1611">
        <v>40</v>
      </c>
    </row>
    <row r="1612" spans="1:42" x14ac:dyDescent="0.25">
      <c r="A1612" t="s">
        <v>45</v>
      </c>
      <c r="B1612">
        <v>1</v>
      </c>
      <c r="C1612" t="s">
        <v>726</v>
      </c>
      <c r="D1612" s="39">
        <v>45933</v>
      </c>
      <c r="E1612" t="s">
        <v>486</v>
      </c>
      <c r="F1612" t="s">
        <v>79</v>
      </c>
      <c r="G1612">
        <v>2.5</v>
      </c>
      <c r="H1612" t="s">
        <v>92</v>
      </c>
      <c r="I1612" t="s">
        <v>79</v>
      </c>
      <c r="J1612">
        <v>1000</v>
      </c>
      <c r="K1612" t="s">
        <v>79</v>
      </c>
      <c r="L1612">
        <v>3</v>
      </c>
      <c r="M1612">
        <v>33.6</v>
      </c>
      <c r="N1612">
        <v>0.60000000000000009</v>
      </c>
      <c r="Q1612">
        <v>33</v>
      </c>
      <c r="V1612">
        <v>0</v>
      </c>
      <c r="W1612">
        <v>0</v>
      </c>
      <c r="AF1612">
        <v>0</v>
      </c>
      <c r="AG1612">
        <v>0</v>
      </c>
      <c r="AH1612">
        <v>0</v>
      </c>
      <c r="AI1612">
        <v>12</v>
      </c>
      <c r="AJ1612">
        <v>12</v>
      </c>
      <c r="AM1612">
        <v>0</v>
      </c>
      <c r="AN1612">
        <v>38</v>
      </c>
      <c r="AP1612">
        <v>40</v>
      </c>
    </row>
    <row r="1613" spans="1:42" x14ac:dyDescent="0.25">
      <c r="A1613" t="s">
        <v>46</v>
      </c>
      <c r="B1613">
        <v>1</v>
      </c>
      <c r="C1613" t="s">
        <v>726</v>
      </c>
      <c r="D1613" s="39">
        <v>45933</v>
      </c>
      <c r="E1613" t="s">
        <v>486</v>
      </c>
      <c r="F1613" t="s">
        <v>79</v>
      </c>
      <c r="G1613">
        <v>2.5</v>
      </c>
      <c r="H1613" t="s">
        <v>92</v>
      </c>
      <c r="I1613" t="s">
        <v>79</v>
      </c>
      <c r="J1613">
        <v>1000</v>
      </c>
      <c r="K1613" t="s">
        <v>79</v>
      </c>
      <c r="L1613">
        <v>9</v>
      </c>
      <c r="M1613">
        <v>95.32</v>
      </c>
      <c r="N1613">
        <v>1.8</v>
      </c>
      <c r="O1613">
        <v>29</v>
      </c>
      <c r="Q1613">
        <v>93.52</v>
      </c>
      <c r="V1613">
        <v>0</v>
      </c>
      <c r="W1613">
        <v>0</v>
      </c>
      <c r="AF1613">
        <v>0</v>
      </c>
      <c r="AG1613">
        <v>0</v>
      </c>
      <c r="AH1613">
        <v>0</v>
      </c>
      <c r="AI1613">
        <v>12</v>
      </c>
      <c r="AJ1613">
        <v>12</v>
      </c>
      <c r="AM1613">
        <v>0</v>
      </c>
      <c r="AN1613">
        <v>98.52</v>
      </c>
      <c r="AP1613">
        <v>40</v>
      </c>
    </row>
    <row r="1614" spans="1:42" x14ac:dyDescent="0.25">
      <c r="A1614" t="s">
        <v>45</v>
      </c>
      <c r="B1614">
        <v>2</v>
      </c>
      <c r="C1614" t="s">
        <v>713</v>
      </c>
      <c r="D1614" s="39">
        <v>45933</v>
      </c>
      <c r="E1614" t="s">
        <v>486</v>
      </c>
      <c r="F1614" t="s">
        <v>79</v>
      </c>
      <c r="G1614">
        <v>4</v>
      </c>
      <c r="H1614" t="s">
        <v>113</v>
      </c>
      <c r="I1614" t="s">
        <v>79</v>
      </c>
      <c r="J1614">
        <v>1000</v>
      </c>
      <c r="K1614" t="s">
        <v>79</v>
      </c>
      <c r="L1614">
        <v>10</v>
      </c>
      <c r="M1614">
        <v>144.87</v>
      </c>
      <c r="N1614">
        <v>4</v>
      </c>
      <c r="Q1614">
        <v>140.87</v>
      </c>
      <c r="V1614">
        <v>0</v>
      </c>
      <c r="W1614">
        <v>0</v>
      </c>
      <c r="AF1614">
        <v>0</v>
      </c>
      <c r="AG1614">
        <v>0</v>
      </c>
      <c r="AH1614">
        <v>0</v>
      </c>
      <c r="AI1614">
        <v>12</v>
      </c>
      <c r="AJ1614">
        <v>12</v>
      </c>
      <c r="AM1614">
        <v>0</v>
      </c>
      <c r="AN1614">
        <v>145.87</v>
      </c>
      <c r="AP1614">
        <v>40</v>
      </c>
    </row>
    <row r="1615" spans="1:42" x14ac:dyDescent="0.25">
      <c r="A1615" t="s">
        <v>46</v>
      </c>
      <c r="B1615">
        <v>2</v>
      </c>
      <c r="C1615" t="s">
        <v>713</v>
      </c>
      <c r="D1615" s="39">
        <v>45933</v>
      </c>
      <c r="E1615" t="s">
        <v>486</v>
      </c>
      <c r="F1615" t="s">
        <v>79</v>
      </c>
      <c r="G1615">
        <v>4</v>
      </c>
      <c r="H1615" t="s">
        <v>113</v>
      </c>
      <c r="I1615" t="s">
        <v>79</v>
      </c>
      <c r="J1615">
        <v>1000</v>
      </c>
      <c r="K1615" t="s">
        <v>79</v>
      </c>
      <c r="L1615">
        <v>10</v>
      </c>
      <c r="M1615">
        <v>119.33999999999999</v>
      </c>
      <c r="N1615">
        <v>4</v>
      </c>
      <c r="Q1615">
        <v>115.33999999999999</v>
      </c>
      <c r="V1615">
        <v>0</v>
      </c>
      <c r="W1615">
        <v>0</v>
      </c>
      <c r="AF1615">
        <v>0</v>
      </c>
      <c r="AG1615">
        <v>0</v>
      </c>
      <c r="AH1615">
        <v>0</v>
      </c>
      <c r="AI1615">
        <v>12</v>
      </c>
      <c r="AJ1615">
        <v>12</v>
      </c>
      <c r="AM1615">
        <v>0</v>
      </c>
      <c r="AN1615">
        <v>120.34</v>
      </c>
      <c r="AP1615">
        <v>40</v>
      </c>
    </row>
    <row r="1616" spans="1:42" x14ac:dyDescent="0.25">
      <c r="A1616" t="s">
        <v>45</v>
      </c>
      <c r="B1616">
        <v>3</v>
      </c>
      <c r="C1616" t="s">
        <v>714</v>
      </c>
      <c r="D1616" s="39">
        <v>45933</v>
      </c>
      <c r="E1616" t="s">
        <v>486</v>
      </c>
      <c r="F1616" t="s">
        <v>79</v>
      </c>
      <c r="G1616">
        <v>7</v>
      </c>
      <c r="H1616">
        <v>5</v>
      </c>
      <c r="I1616" t="s">
        <v>79</v>
      </c>
      <c r="J1616">
        <v>1000</v>
      </c>
      <c r="K1616" t="s">
        <v>79</v>
      </c>
      <c r="L1616">
        <v>8</v>
      </c>
      <c r="M1616">
        <v>253.12</v>
      </c>
      <c r="N1616">
        <v>5.6</v>
      </c>
      <c r="Q1616">
        <v>247.52</v>
      </c>
      <c r="V1616">
        <v>0</v>
      </c>
      <c r="W1616">
        <v>0</v>
      </c>
      <c r="AF1616">
        <v>0</v>
      </c>
      <c r="AG1616">
        <v>0</v>
      </c>
      <c r="AH1616">
        <v>0</v>
      </c>
      <c r="AI1616">
        <v>12</v>
      </c>
      <c r="AJ1616">
        <v>12</v>
      </c>
      <c r="AM1616">
        <v>0</v>
      </c>
      <c r="AN1616">
        <v>252.52</v>
      </c>
      <c r="AP1616">
        <v>40</v>
      </c>
    </row>
    <row r="1617" spans="1:42" x14ac:dyDescent="0.25">
      <c r="A1617" t="s">
        <v>46</v>
      </c>
      <c r="B1617">
        <v>3</v>
      </c>
      <c r="C1617" t="s">
        <v>714</v>
      </c>
      <c r="D1617" s="39">
        <v>45933</v>
      </c>
      <c r="E1617" t="s">
        <v>486</v>
      </c>
      <c r="F1617" t="s">
        <v>79</v>
      </c>
      <c r="G1617">
        <v>7</v>
      </c>
      <c r="H1617">
        <v>5</v>
      </c>
      <c r="I1617" t="s">
        <v>79</v>
      </c>
      <c r="J1617">
        <v>1000</v>
      </c>
      <c r="K1617" t="s">
        <v>79</v>
      </c>
      <c r="L1617">
        <v>7</v>
      </c>
      <c r="M1617">
        <v>226.8</v>
      </c>
      <c r="N1617">
        <v>4.8999999999999995</v>
      </c>
      <c r="Q1617">
        <v>221.9</v>
      </c>
      <c r="V1617">
        <v>0</v>
      </c>
      <c r="W1617">
        <v>0</v>
      </c>
      <c r="AF1617">
        <v>0</v>
      </c>
      <c r="AG1617">
        <v>0</v>
      </c>
      <c r="AH1617">
        <v>0</v>
      </c>
      <c r="AI1617">
        <v>12</v>
      </c>
      <c r="AJ1617">
        <v>12</v>
      </c>
      <c r="AM1617">
        <v>0</v>
      </c>
      <c r="AN1617">
        <v>226.9</v>
      </c>
      <c r="AP1617">
        <v>40</v>
      </c>
    </row>
    <row r="1618" spans="1:42" x14ac:dyDescent="0.25">
      <c r="A1618" t="s">
        <v>45</v>
      </c>
      <c r="B1618">
        <v>4</v>
      </c>
      <c r="C1618" t="s">
        <v>720</v>
      </c>
      <c r="D1618" s="39">
        <v>45933</v>
      </c>
      <c r="E1618" t="s">
        <v>721</v>
      </c>
      <c r="F1618" t="s">
        <v>79</v>
      </c>
      <c r="G1618">
        <v>22</v>
      </c>
      <c r="H1618" t="s">
        <v>113</v>
      </c>
      <c r="I1618" t="s">
        <v>79</v>
      </c>
      <c r="J1618">
        <v>200</v>
      </c>
      <c r="K1618" t="s">
        <v>79</v>
      </c>
      <c r="L1618">
        <v>2</v>
      </c>
      <c r="M1618">
        <v>102.88</v>
      </c>
      <c r="N1618">
        <v>2.2000000000000002</v>
      </c>
      <c r="Q1618">
        <v>100.67999999999999</v>
      </c>
      <c r="V1618">
        <v>0</v>
      </c>
      <c r="W1618">
        <v>0</v>
      </c>
      <c r="AF1618">
        <v>0</v>
      </c>
      <c r="AG1618">
        <v>0</v>
      </c>
      <c r="AH1618">
        <v>0</v>
      </c>
      <c r="AI1618">
        <v>12</v>
      </c>
      <c r="AJ1618">
        <v>12</v>
      </c>
      <c r="AM1618">
        <v>0</v>
      </c>
      <c r="AN1618">
        <v>105.68</v>
      </c>
      <c r="AP1618">
        <v>40</v>
      </c>
    </row>
    <row r="1619" spans="1:42" x14ac:dyDescent="0.25">
      <c r="A1619" t="s">
        <v>45</v>
      </c>
      <c r="B1619">
        <v>4</v>
      </c>
      <c r="C1619" t="s">
        <v>727</v>
      </c>
      <c r="D1619" s="39">
        <v>45933</v>
      </c>
      <c r="E1619" t="s">
        <v>200</v>
      </c>
      <c r="F1619" t="s">
        <v>79</v>
      </c>
      <c r="G1619">
        <v>16</v>
      </c>
      <c r="H1619">
        <v>6</v>
      </c>
      <c r="I1619" t="s">
        <v>79</v>
      </c>
      <c r="J1619">
        <v>1000</v>
      </c>
      <c r="K1619" t="s">
        <v>79</v>
      </c>
      <c r="L1619">
        <v>12</v>
      </c>
      <c r="M1619">
        <v>549.29</v>
      </c>
      <c r="N1619">
        <v>19.200000000000003</v>
      </c>
      <c r="Q1619">
        <v>530.08999999999992</v>
      </c>
      <c r="V1619">
        <v>0</v>
      </c>
      <c r="W1619">
        <v>0</v>
      </c>
      <c r="AF1619">
        <v>0</v>
      </c>
      <c r="AG1619">
        <v>0</v>
      </c>
      <c r="AH1619">
        <v>0</v>
      </c>
      <c r="AI1619">
        <v>12</v>
      </c>
      <c r="AJ1619">
        <v>12</v>
      </c>
      <c r="AM1619">
        <v>0</v>
      </c>
      <c r="AN1619">
        <v>535.08999999999992</v>
      </c>
      <c r="AP1619">
        <v>40</v>
      </c>
    </row>
    <row r="1620" spans="1:42" x14ac:dyDescent="0.25">
      <c r="A1620" t="s">
        <v>46</v>
      </c>
      <c r="B1620">
        <v>4</v>
      </c>
      <c r="C1620" t="s">
        <v>727</v>
      </c>
      <c r="D1620" s="39">
        <v>45933</v>
      </c>
      <c r="E1620" t="s">
        <v>200</v>
      </c>
      <c r="F1620" t="s">
        <v>79</v>
      </c>
      <c r="G1620">
        <v>16</v>
      </c>
      <c r="H1620">
        <v>6</v>
      </c>
      <c r="I1620" t="s">
        <v>79</v>
      </c>
      <c r="J1620">
        <v>1000</v>
      </c>
      <c r="K1620" t="s">
        <v>79</v>
      </c>
      <c r="L1620">
        <v>5</v>
      </c>
      <c r="M1620">
        <v>256.01</v>
      </c>
      <c r="N1620">
        <v>8</v>
      </c>
      <c r="Q1620">
        <v>248.01</v>
      </c>
      <c r="V1620">
        <v>0</v>
      </c>
      <c r="W1620">
        <v>0</v>
      </c>
      <c r="AF1620">
        <v>0</v>
      </c>
      <c r="AG1620">
        <v>0</v>
      </c>
      <c r="AH1620">
        <v>0</v>
      </c>
      <c r="AI1620">
        <v>12</v>
      </c>
      <c r="AJ1620">
        <v>12</v>
      </c>
      <c r="AM1620">
        <v>0</v>
      </c>
      <c r="AN1620">
        <v>253.01</v>
      </c>
      <c r="AP1620">
        <v>40</v>
      </c>
    </row>
    <row r="1621" spans="1:42" x14ac:dyDescent="0.25">
      <c r="A1621" t="s">
        <v>46</v>
      </c>
      <c r="B1621">
        <v>4</v>
      </c>
      <c r="C1621" t="s">
        <v>728</v>
      </c>
      <c r="D1621" s="39">
        <v>45933</v>
      </c>
      <c r="E1621" t="s">
        <v>276</v>
      </c>
      <c r="F1621" t="s">
        <v>79</v>
      </c>
      <c r="G1621">
        <v>16</v>
      </c>
      <c r="H1621" t="s">
        <v>113</v>
      </c>
      <c r="I1621" t="s">
        <v>79</v>
      </c>
      <c r="J1621">
        <v>1000</v>
      </c>
      <c r="K1621" t="s">
        <v>79</v>
      </c>
      <c r="L1621">
        <v>8</v>
      </c>
      <c r="M1621">
        <v>422.86999999999995</v>
      </c>
      <c r="N1621">
        <v>15.2</v>
      </c>
      <c r="Q1621">
        <v>407.66999999999996</v>
      </c>
      <c r="V1621">
        <v>0</v>
      </c>
      <c r="W1621">
        <v>0</v>
      </c>
      <c r="AF1621">
        <v>0</v>
      </c>
      <c r="AG1621">
        <v>0</v>
      </c>
      <c r="AH1621">
        <v>0</v>
      </c>
      <c r="AI1621">
        <v>12</v>
      </c>
      <c r="AJ1621">
        <v>12</v>
      </c>
      <c r="AM1621">
        <v>0</v>
      </c>
      <c r="AN1621">
        <v>412.67</v>
      </c>
      <c r="AP1621">
        <v>40</v>
      </c>
    </row>
    <row r="1622" spans="1:42" x14ac:dyDescent="0.25">
      <c r="A1622" t="s">
        <v>45</v>
      </c>
      <c r="B1622">
        <v>5</v>
      </c>
      <c r="C1622" t="s">
        <v>700</v>
      </c>
      <c r="D1622" s="39">
        <v>45933</v>
      </c>
      <c r="E1622" t="s">
        <v>486</v>
      </c>
      <c r="F1622" t="s">
        <v>79</v>
      </c>
      <c r="G1622">
        <v>12</v>
      </c>
      <c r="H1622">
        <v>5</v>
      </c>
      <c r="I1622" t="s">
        <v>79</v>
      </c>
      <c r="J1622">
        <v>1000</v>
      </c>
      <c r="K1622" t="s">
        <v>79</v>
      </c>
      <c r="L1622">
        <v>13</v>
      </c>
      <c r="M1622">
        <v>575.40000000000009</v>
      </c>
      <c r="N1622">
        <v>15.6</v>
      </c>
      <c r="Q1622">
        <v>559.80000000000007</v>
      </c>
      <c r="V1622">
        <v>0</v>
      </c>
      <c r="W1622">
        <v>0</v>
      </c>
      <c r="AF1622">
        <v>0</v>
      </c>
      <c r="AG1622">
        <v>0</v>
      </c>
      <c r="AH1622">
        <v>0</v>
      </c>
      <c r="AI1622">
        <v>12</v>
      </c>
      <c r="AJ1622">
        <v>12</v>
      </c>
      <c r="AM1622">
        <v>0</v>
      </c>
      <c r="AN1622">
        <v>564.80000000000007</v>
      </c>
      <c r="AP1622">
        <v>40</v>
      </c>
    </row>
    <row r="1623" spans="1:42" x14ac:dyDescent="0.25">
      <c r="A1623" t="s">
        <v>46</v>
      </c>
      <c r="B1623">
        <v>5</v>
      </c>
      <c r="C1623" t="s">
        <v>700</v>
      </c>
      <c r="D1623" s="39">
        <v>45933</v>
      </c>
      <c r="E1623" t="s">
        <v>486</v>
      </c>
      <c r="F1623" t="s">
        <v>79</v>
      </c>
      <c r="G1623">
        <v>12</v>
      </c>
      <c r="H1623">
        <v>5</v>
      </c>
      <c r="I1623" t="s">
        <v>79</v>
      </c>
      <c r="J1623">
        <v>1000</v>
      </c>
      <c r="K1623" t="s">
        <v>79</v>
      </c>
      <c r="L1623">
        <v>4</v>
      </c>
      <c r="M1623">
        <v>215.23000000000002</v>
      </c>
      <c r="N1623">
        <v>4.8</v>
      </c>
      <c r="Q1623">
        <v>210.43</v>
      </c>
      <c r="V1623">
        <v>0</v>
      </c>
      <c r="W1623">
        <v>0</v>
      </c>
      <c r="AF1623">
        <v>0</v>
      </c>
      <c r="AG1623">
        <v>0</v>
      </c>
      <c r="AH1623">
        <v>0</v>
      </c>
      <c r="AI1623">
        <v>12</v>
      </c>
      <c r="AJ1623">
        <v>12</v>
      </c>
      <c r="AM1623">
        <v>0</v>
      </c>
      <c r="AN1623">
        <v>215.43</v>
      </c>
      <c r="AP1623">
        <v>40</v>
      </c>
    </row>
    <row r="1624" spans="1:42" x14ac:dyDescent="0.25">
      <c r="A1624" t="s">
        <v>46</v>
      </c>
      <c r="B1624">
        <v>5</v>
      </c>
      <c r="C1624" t="s">
        <v>729</v>
      </c>
      <c r="D1624" s="39">
        <v>45933</v>
      </c>
      <c r="E1624" t="s">
        <v>730</v>
      </c>
      <c r="F1624" t="s">
        <v>79</v>
      </c>
      <c r="G1624">
        <v>12</v>
      </c>
      <c r="H1624">
        <v>4</v>
      </c>
      <c r="I1624" t="s">
        <v>79</v>
      </c>
      <c r="J1624">
        <v>300</v>
      </c>
      <c r="K1624" t="s">
        <v>79</v>
      </c>
      <c r="L1624">
        <v>7</v>
      </c>
      <c r="M1624">
        <v>308.62</v>
      </c>
      <c r="N1624">
        <v>8.4</v>
      </c>
      <c r="Q1624">
        <v>300.22000000000003</v>
      </c>
      <c r="V1624">
        <v>0</v>
      </c>
      <c r="W1624">
        <v>0</v>
      </c>
      <c r="AF1624">
        <v>0</v>
      </c>
      <c r="AG1624">
        <v>0</v>
      </c>
      <c r="AH1624">
        <v>0</v>
      </c>
      <c r="AI1624">
        <v>12</v>
      </c>
      <c r="AJ1624">
        <v>12</v>
      </c>
      <c r="AM1624">
        <v>0</v>
      </c>
      <c r="AN1624">
        <v>305.22000000000003</v>
      </c>
      <c r="AP1624">
        <v>40</v>
      </c>
    </row>
    <row r="1625" spans="1:42" x14ac:dyDescent="0.25">
      <c r="A1625" t="s">
        <v>45</v>
      </c>
      <c r="B1625">
        <v>1</v>
      </c>
      <c r="C1625" t="s">
        <v>726</v>
      </c>
      <c r="D1625" s="39">
        <v>45934</v>
      </c>
      <c r="E1625" t="s">
        <v>486</v>
      </c>
      <c r="F1625" t="s">
        <v>79</v>
      </c>
      <c r="G1625">
        <v>2.5</v>
      </c>
      <c r="H1625" t="s">
        <v>92</v>
      </c>
      <c r="I1625" t="s">
        <v>79</v>
      </c>
      <c r="J1625">
        <v>1000</v>
      </c>
      <c r="K1625" t="s">
        <v>79</v>
      </c>
      <c r="L1625">
        <v>9</v>
      </c>
      <c r="M1625">
        <v>101.03999999999999</v>
      </c>
      <c r="N1625">
        <v>1.8</v>
      </c>
      <c r="Q1625">
        <v>99.24</v>
      </c>
      <c r="V1625">
        <v>0</v>
      </c>
      <c r="W1625">
        <v>0</v>
      </c>
      <c r="AF1625">
        <v>0</v>
      </c>
      <c r="AG1625">
        <v>0</v>
      </c>
      <c r="AH1625">
        <v>0</v>
      </c>
      <c r="AI1625">
        <v>12</v>
      </c>
      <c r="AJ1625">
        <v>12</v>
      </c>
      <c r="AL1625">
        <v>2044.5</v>
      </c>
      <c r="AM1625">
        <v>0</v>
      </c>
      <c r="AN1625">
        <v>104.24</v>
      </c>
      <c r="AO1625">
        <v>398</v>
      </c>
      <c r="AP1625">
        <v>40</v>
      </c>
    </row>
    <row r="1626" spans="1:42" x14ac:dyDescent="0.25">
      <c r="A1626" t="s">
        <v>46</v>
      </c>
      <c r="B1626">
        <v>1</v>
      </c>
      <c r="C1626" t="s">
        <v>726</v>
      </c>
      <c r="D1626" s="39">
        <v>45934</v>
      </c>
      <c r="E1626" t="s">
        <v>486</v>
      </c>
      <c r="F1626" t="s">
        <v>79</v>
      </c>
      <c r="G1626">
        <v>2.5</v>
      </c>
      <c r="H1626" t="s">
        <v>92</v>
      </c>
      <c r="I1626" t="s">
        <v>79</v>
      </c>
      <c r="J1626">
        <v>1000</v>
      </c>
      <c r="K1626" t="s">
        <v>79</v>
      </c>
      <c r="L1626">
        <v>9</v>
      </c>
      <c r="M1626">
        <v>96.080000000000013</v>
      </c>
      <c r="N1626">
        <v>1.8</v>
      </c>
      <c r="Q1626">
        <v>94.280000000000015</v>
      </c>
      <c r="V1626">
        <v>0</v>
      </c>
      <c r="W1626">
        <v>0</v>
      </c>
      <c r="AF1626">
        <v>0</v>
      </c>
      <c r="AG1626">
        <v>0</v>
      </c>
      <c r="AH1626">
        <v>0</v>
      </c>
      <c r="AI1626">
        <v>12</v>
      </c>
      <c r="AJ1626">
        <v>12</v>
      </c>
      <c r="AM1626">
        <v>0</v>
      </c>
      <c r="AN1626">
        <v>99.280000000000015</v>
      </c>
      <c r="AP1626">
        <v>40</v>
      </c>
    </row>
    <row r="1627" spans="1:42" x14ac:dyDescent="0.25">
      <c r="A1627" t="s">
        <v>45</v>
      </c>
      <c r="B1627">
        <v>2</v>
      </c>
      <c r="C1627" t="s">
        <v>713</v>
      </c>
      <c r="D1627" s="39">
        <v>45934</v>
      </c>
      <c r="E1627" t="s">
        <v>486</v>
      </c>
      <c r="F1627" t="s">
        <v>79</v>
      </c>
      <c r="G1627">
        <v>4</v>
      </c>
      <c r="H1627" t="s">
        <v>113</v>
      </c>
      <c r="I1627" t="s">
        <v>79</v>
      </c>
      <c r="J1627">
        <v>1000</v>
      </c>
      <c r="K1627" t="s">
        <v>79</v>
      </c>
      <c r="L1627">
        <v>9</v>
      </c>
      <c r="M1627">
        <v>138.30000000000001</v>
      </c>
      <c r="N1627">
        <v>3.6</v>
      </c>
      <c r="Q1627">
        <v>134.70000000000002</v>
      </c>
      <c r="V1627">
        <v>0</v>
      </c>
      <c r="W1627">
        <v>0</v>
      </c>
      <c r="AF1627">
        <v>0</v>
      </c>
      <c r="AG1627">
        <v>0</v>
      </c>
      <c r="AH1627">
        <v>0</v>
      </c>
      <c r="AI1627">
        <v>12</v>
      </c>
      <c r="AJ1627">
        <v>12</v>
      </c>
      <c r="AM1627">
        <v>0</v>
      </c>
      <c r="AN1627">
        <v>139.70000000000002</v>
      </c>
      <c r="AP1627">
        <v>40</v>
      </c>
    </row>
    <row r="1628" spans="1:42" x14ac:dyDescent="0.25">
      <c r="A1628" t="s">
        <v>46</v>
      </c>
      <c r="B1628">
        <v>2</v>
      </c>
      <c r="C1628" t="s">
        <v>713</v>
      </c>
      <c r="D1628" s="39">
        <v>45934</v>
      </c>
      <c r="E1628" t="s">
        <v>486</v>
      </c>
      <c r="F1628" t="s">
        <v>79</v>
      </c>
      <c r="G1628">
        <v>4</v>
      </c>
      <c r="H1628" t="s">
        <v>113</v>
      </c>
      <c r="I1628" t="s">
        <v>79</v>
      </c>
      <c r="J1628">
        <v>1000</v>
      </c>
      <c r="K1628" t="s">
        <v>79</v>
      </c>
      <c r="L1628">
        <v>10</v>
      </c>
      <c r="M1628">
        <v>126.93000000000002</v>
      </c>
      <c r="N1628">
        <v>4</v>
      </c>
      <c r="Q1628">
        <v>122.93000000000002</v>
      </c>
      <c r="V1628">
        <v>0</v>
      </c>
      <c r="W1628">
        <v>0</v>
      </c>
      <c r="AF1628">
        <v>0</v>
      </c>
      <c r="AG1628">
        <v>0</v>
      </c>
      <c r="AH1628">
        <v>0</v>
      </c>
      <c r="AI1628">
        <v>12</v>
      </c>
      <c r="AJ1628">
        <v>12</v>
      </c>
      <c r="AM1628">
        <v>0</v>
      </c>
      <c r="AN1628">
        <v>127.93000000000002</v>
      </c>
      <c r="AP1628">
        <v>40</v>
      </c>
    </row>
    <row r="1629" spans="1:42" x14ac:dyDescent="0.25">
      <c r="A1629" t="s">
        <v>45</v>
      </c>
      <c r="B1629">
        <v>3</v>
      </c>
      <c r="C1629" t="s">
        <v>714</v>
      </c>
      <c r="D1629" s="39">
        <v>45934</v>
      </c>
      <c r="E1629" t="s">
        <v>486</v>
      </c>
      <c r="F1629" t="s">
        <v>79</v>
      </c>
      <c r="G1629">
        <v>7</v>
      </c>
      <c r="H1629">
        <v>5</v>
      </c>
      <c r="I1629" t="s">
        <v>79</v>
      </c>
      <c r="J1629">
        <v>1000</v>
      </c>
      <c r="K1629" t="s">
        <v>79</v>
      </c>
      <c r="L1629">
        <v>8</v>
      </c>
      <c r="M1629">
        <v>623.19000000000005</v>
      </c>
      <c r="N1629">
        <v>5.6</v>
      </c>
      <c r="Q1629">
        <v>617.59</v>
      </c>
      <c r="V1629">
        <v>0</v>
      </c>
      <c r="W1629">
        <v>0</v>
      </c>
      <c r="AF1629">
        <v>0</v>
      </c>
      <c r="AG1629">
        <v>0</v>
      </c>
      <c r="AH1629">
        <v>0</v>
      </c>
      <c r="AI1629">
        <v>12</v>
      </c>
      <c r="AJ1629">
        <v>12</v>
      </c>
      <c r="AM1629">
        <v>0</v>
      </c>
      <c r="AN1629">
        <v>622.59</v>
      </c>
      <c r="AP1629">
        <v>40</v>
      </c>
    </row>
    <row r="1630" spans="1:42" x14ac:dyDescent="0.25">
      <c r="A1630" t="s">
        <v>45</v>
      </c>
      <c r="B1630">
        <v>3</v>
      </c>
      <c r="C1630" t="s">
        <v>731</v>
      </c>
      <c r="D1630" s="39">
        <v>45934</v>
      </c>
      <c r="E1630" t="s">
        <v>385</v>
      </c>
      <c r="F1630" t="s">
        <v>79</v>
      </c>
      <c r="G1630">
        <v>7</v>
      </c>
      <c r="H1630" t="s">
        <v>93</v>
      </c>
      <c r="I1630" t="s">
        <v>79</v>
      </c>
      <c r="J1630">
        <v>125</v>
      </c>
      <c r="K1630" t="s">
        <v>79</v>
      </c>
      <c r="L1630">
        <v>1</v>
      </c>
      <c r="M1630">
        <v>21.13</v>
      </c>
      <c r="N1630">
        <v>0.7</v>
      </c>
      <c r="Q1630">
        <v>20.43</v>
      </c>
      <c r="V1630">
        <v>0</v>
      </c>
      <c r="W1630">
        <v>0</v>
      </c>
      <c r="AF1630">
        <v>0</v>
      </c>
      <c r="AG1630">
        <v>0</v>
      </c>
      <c r="AH1630">
        <v>0</v>
      </c>
      <c r="AI1630">
        <v>12</v>
      </c>
      <c r="AJ1630">
        <v>12</v>
      </c>
      <c r="AM1630">
        <v>0</v>
      </c>
      <c r="AN1630">
        <v>25.43</v>
      </c>
      <c r="AP1630">
        <v>40</v>
      </c>
    </row>
    <row r="1631" spans="1:42" x14ac:dyDescent="0.25">
      <c r="A1631" t="s">
        <v>46</v>
      </c>
      <c r="B1631">
        <v>3</v>
      </c>
      <c r="C1631" t="s">
        <v>731</v>
      </c>
      <c r="D1631" s="39">
        <v>45934</v>
      </c>
      <c r="E1631" t="s">
        <v>385</v>
      </c>
      <c r="F1631" t="s">
        <v>79</v>
      </c>
      <c r="G1631">
        <v>7</v>
      </c>
      <c r="H1631" t="s">
        <v>93</v>
      </c>
      <c r="I1631" t="s">
        <v>79</v>
      </c>
      <c r="J1631">
        <v>125</v>
      </c>
      <c r="K1631" t="s">
        <v>79</v>
      </c>
      <c r="L1631">
        <v>4</v>
      </c>
      <c r="M1631">
        <v>113.28</v>
      </c>
      <c r="N1631">
        <v>2.8</v>
      </c>
      <c r="Q1631">
        <v>110.48</v>
      </c>
      <c r="S1631">
        <v>20</v>
      </c>
      <c r="V1631">
        <v>20</v>
      </c>
      <c r="W1631">
        <v>0.33333333333333331</v>
      </c>
      <c r="AF1631">
        <v>0</v>
      </c>
      <c r="AG1631">
        <v>0</v>
      </c>
      <c r="AH1631">
        <v>0.33333333333333331</v>
      </c>
      <c r="AI1631">
        <v>11.666666666666666</v>
      </c>
      <c r="AJ1631">
        <v>12</v>
      </c>
      <c r="AM1631">
        <v>0</v>
      </c>
      <c r="AN1631">
        <v>115.48</v>
      </c>
      <c r="AP1631">
        <v>40</v>
      </c>
    </row>
    <row r="1632" spans="1:42" x14ac:dyDescent="0.25">
      <c r="A1632" t="s">
        <v>46</v>
      </c>
      <c r="B1632">
        <v>3</v>
      </c>
      <c r="C1632" t="s">
        <v>732</v>
      </c>
      <c r="D1632" s="39">
        <v>45934</v>
      </c>
      <c r="E1632" t="s">
        <v>486</v>
      </c>
      <c r="F1632" t="s">
        <v>79</v>
      </c>
      <c r="G1632">
        <v>8</v>
      </c>
      <c r="H1632">
        <v>5</v>
      </c>
      <c r="I1632" t="s">
        <v>79</v>
      </c>
      <c r="J1632">
        <v>1000</v>
      </c>
      <c r="K1632" t="s">
        <v>79</v>
      </c>
      <c r="L1632">
        <v>4</v>
      </c>
      <c r="M1632">
        <v>145.57</v>
      </c>
      <c r="N1632">
        <v>3.2</v>
      </c>
      <c r="Q1632">
        <v>142.37</v>
      </c>
      <c r="V1632">
        <v>0</v>
      </c>
      <c r="W1632">
        <v>0</v>
      </c>
      <c r="AF1632">
        <v>0</v>
      </c>
      <c r="AG1632">
        <v>0</v>
      </c>
      <c r="AH1632">
        <v>0</v>
      </c>
      <c r="AI1632">
        <v>12</v>
      </c>
      <c r="AJ1632">
        <v>12</v>
      </c>
      <c r="AM1632">
        <v>0</v>
      </c>
      <c r="AN1632">
        <v>147.37</v>
      </c>
      <c r="AP1632">
        <v>40</v>
      </c>
    </row>
    <row r="1633" spans="1:42" x14ac:dyDescent="0.25">
      <c r="A1633" t="s">
        <v>45</v>
      </c>
      <c r="B1633">
        <v>4</v>
      </c>
      <c r="C1633" t="s">
        <v>728</v>
      </c>
      <c r="D1633" s="39">
        <v>45934</v>
      </c>
      <c r="E1633" t="s">
        <v>276</v>
      </c>
      <c r="F1633" t="s">
        <v>79</v>
      </c>
      <c r="G1633">
        <v>16</v>
      </c>
      <c r="H1633" t="s">
        <v>113</v>
      </c>
      <c r="I1633" t="s">
        <v>79</v>
      </c>
      <c r="J1633">
        <v>1000</v>
      </c>
      <c r="K1633" t="s">
        <v>79</v>
      </c>
      <c r="L1633">
        <v>10</v>
      </c>
      <c r="M1633">
        <v>549.47</v>
      </c>
      <c r="N1633">
        <v>15</v>
      </c>
      <c r="Q1633">
        <v>534.47</v>
      </c>
      <c r="V1633">
        <v>0</v>
      </c>
      <c r="W1633">
        <v>0</v>
      </c>
      <c r="AF1633">
        <v>0</v>
      </c>
      <c r="AG1633">
        <v>0</v>
      </c>
      <c r="AH1633">
        <v>0</v>
      </c>
      <c r="AI1633">
        <v>12</v>
      </c>
      <c r="AJ1633">
        <v>12</v>
      </c>
      <c r="AM1633">
        <v>0</v>
      </c>
      <c r="AN1633">
        <v>539.47</v>
      </c>
      <c r="AP1633">
        <v>40</v>
      </c>
    </row>
    <row r="1634" spans="1:42" x14ac:dyDescent="0.25">
      <c r="A1634" t="s">
        <v>46</v>
      </c>
      <c r="B1634">
        <v>4</v>
      </c>
      <c r="C1634" t="s">
        <v>728</v>
      </c>
      <c r="D1634" s="39">
        <v>45934</v>
      </c>
      <c r="E1634" t="s">
        <v>276</v>
      </c>
      <c r="F1634" t="s">
        <v>79</v>
      </c>
      <c r="G1634">
        <v>16</v>
      </c>
      <c r="H1634" t="s">
        <v>113</v>
      </c>
      <c r="I1634" t="s">
        <v>79</v>
      </c>
      <c r="J1634">
        <v>1000</v>
      </c>
      <c r="K1634" t="s">
        <v>79</v>
      </c>
      <c r="L1634">
        <v>2</v>
      </c>
      <c r="M1634">
        <v>109.95</v>
      </c>
      <c r="N1634">
        <v>3.8</v>
      </c>
      <c r="O1634">
        <v>11</v>
      </c>
      <c r="Q1634">
        <v>106.15</v>
      </c>
      <c r="S1634">
        <v>30</v>
      </c>
      <c r="V1634">
        <v>30</v>
      </c>
      <c r="W1634">
        <v>0.5</v>
      </c>
      <c r="AF1634">
        <v>0</v>
      </c>
      <c r="AG1634">
        <v>0</v>
      </c>
      <c r="AH1634">
        <v>0.5</v>
      </c>
      <c r="AI1634">
        <v>11.5</v>
      </c>
      <c r="AJ1634">
        <v>12</v>
      </c>
      <c r="AM1634">
        <v>0</v>
      </c>
      <c r="AN1634">
        <v>111.15</v>
      </c>
      <c r="AP1634">
        <v>40</v>
      </c>
    </row>
    <row r="1635" spans="1:42" x14ac:dyDescent="0.25">
      <c r="A1635" t="s">
        <v>46</v>
      </c>
      <c r="B1635">
        <v>4</v>
      </c>
      <c r="C1635" t="s">
        <v>733</v>
      </c>
      <c r="D1635" s="39">
        <v>45934</v>
      </c>
      <c r="E1635" t="s">
        <v>486</v>
      </c>
      <c r="F1635" t="s">
        <v>79</v>
      </c>
      <c r="G1635">
        <v>24</v>
      </c>
      <c r="H1635">
        <v>5</v>
      </c>
      <c r="I1635" t="s">
        <v>79</v>
      </c>
      <c r="J1635">
        <v>500</v>
      </c>
      <c r="K1635" t="s">
        <v>79</v>
      </c>
      <c r="L1635">
        <v>9</v>
      </c>
      <c r="M1635">
        <v>485.43999999999994</v>
      </c>
      <c r="N1635">
        <v>26.099999999999998</v>
      </c>
      <c r="Q1635">
        <v>459.33999999999992</v>
      </c>
      <c r="V1635">
        <v>0</v>
      </c>
      <c r="W1635">
        <v>0</v>
      </c>
      <c r="AF1635">
        <v>0</v>
      </c>
      <c r="AG1635">
        <v>0</v>
      </c>
      <c r="AH1635">
        <v>0</v>
      </c>
      <c r="AI1635">
        <v>12</v>
      </c>
      <c r="AJ1635">
        <v>12</v>
      </c>
      <c r="AM1635">
        <v>0</v>
      </c>
      <c r="AN1635">
        <v>464.33999999999992</v>
      </c>
      <c r="AP1635">
        <v>40</v>
      </c>
    </row>
    <row r="1636" spans="1:42" x14ac:dyDescent="0.25">
      <c r="A1636" t="s">
        <v>46</v>
      </c>
      <c r="B1636">
        <v>4</v>
      </c>
      <c r="C1636" t="s">
        <v>734</v>
      </c>
      <c r="D1636" s="39">
        <v>45934</v>
      </c>
      <c r="E1636" t="s">
        <v>308</v>
      </c>
      <c r="F1636" t="s">
        <v>79</v>
      </c>
      <c r="G1636">
        <v>16</v>
      </c>
      <c r="H1636" t="s">
        <v>144</v>
      </c>
      <c r="I1636" t="s">
        <v>79</v>
      </c>
      <c r="J1636">
        <v>100</v>
      </c>
      <c r="K1636" t="s">
        <v>79</v>
      </c>
      <c r="L1636">
        <v>2</v>
      </c>
      <c r="M1636">
        <v>105</v>
      </c>
      <c r="N1636">
        <v>3.8</v>
      </c>
      <c r="Q1636">
        <v>101.2</v>
      </c>
      <c r="V1636">
        <v>0</v>
      </c>
      <c r="W1636">
        <v>0</v>
      </c>
      <c r="AF1636">
        <v>0</v>
      </c>
      <c r="AG1636">
        <v>0</v>
      </c>
      <c r="AH1636">
        <v>0</v>
      </c>
      <c r="AI1636">
        <v>12</v>
      </c>
      <c r="AJ1636">
        <v>12</v>
      </c>
      <c r="AM1636">
        <v>0</v>
      </c>
      <c r="AN1636">
        <v>106.2</v>
      </c>
      <c r="AP1636">
        <v>40</v>
      </c>
    </row>
    <row r="1637" spans="1:42" x14ac:dyDescent="0.25">
      <c r="A1637" t="s">
        <v>45</v>
      </c>
      <c r="B1637">
        <v>5</v>
      </c>
      <c r="C1637" t="s">
        <v>707</v>
      </c>
      <c r="D1637" s="39">
        <v>45934</v>
      </c>
      <c r="E1637" t="s">
        <v>486</v>
      </c>
      <c r="F1637" t="s">
        <v>79</v>
      </c>
      <c r="G1637">
        <v>14</v>
      </c>
      <c r="H1637">
        <v>5</v>
      </c>
      <c r="I1637" t="s">
        <v>79</v>
      </c>
      <c r="J1637">
        <v>1000</v>
      </c>
      <c r="K1637" t="s">
        <v>79</v>
      </c>
      <c r="L1637">
        <v>8</v>
      </c>
      <c r="M1637">
        <v>368.65</v>
      </c>
      <c r="N1637">
        <v>11.2</v>
      </c>
      <c r="Q1637">
        <v>357.45</v>
      </c>
      <c r="S1637">
        <v>20</v>
      </c>
      <c r="V1637">
        <v>20</v>
      </c>
      <c r="W1637">
        <v>0.33333333333333331</v>
      </c>
      <c r="AF1637">
        <v>0</v>
      </c>
      <c r="AG1637">
        <v>0</v>
      </c>
      <c r="AH1637">
        <v>0.33333333333333331</v>
      </c>
      <c r="AI1637">
        <v>11.666666666666666</v>
      </c>
      <c r="AJ1637">
        <v>12</v>
      </c>
      <c r="AM1637">
        <v>0</v>
      </c>
      <c r="AN1637">
        <v>362.45</v>
      </c>
      <c r="AP1637">
        <v>40</v>
      </c>
    </row>
    <row r="1638" spans="1:42" x14ac:dyDescent="0.25">
      <c r="A1638" t="s">
        <v>45</v>
      </c>
      <c r="B1638">
        <v>5</v>
      </c>
      <c r="C1638" t="s">
        <v>735</v>
      </c>
      <c r="D1638" s="39">
        <v>45934</v>
      </c>
      <c r="E1638" t="s">
        <v>200</v>
      </c>
      <c r="F1638" t="s">
        <v>79</v>
      </c>
      <c r="G1638">
        <v>14</v>
      </c>
      <c r="H1638">
        <v>6</v>
      </c>
      <c r="I1638" t="s">
        <v>79</v>
      </c>
      <c r="J1638">
        <v>500</v>
      </c>
      <c r="K1638" t="s">
        <v>79</v>
      </c>
      <c r="L1638">
        <v>3</v>
      </c>
      <c r="M1638">
        <v>154.49</v>
      </c>
      <c r="N1638">
        <v>3.9000000000000004</v>
      </c>
      <c r="Q1638">
        <v>150.59</v>
      </c>
      <c r="V1638">
        <v>0</v>
      </c>
      <c r="W1638">
        <v>0</v>
      </c>
      <c r="AF1638">
        <v>0</v>
      </c>
      <c r="AG1638">
        <v>0</v>
      </c>
      <c r="AH1638">
        <v>0</v>
      </c>
      <c r="AI1638">
        <v>12</v>
      </c>
      <c r="AJ1638">
        <v>12</v>
      </c>
      <c r="AM1638">
        <v>0</v>
      </c>
      <c r="AN1638">
        <v>155.59</v>
      </c>
      <c r="AP1638">
        <v>40</v>
      </c>
    </row>
    <row r="1639" spans="1:42" x14ac:dyDescent="0.25">
      <c r="A1639" t="s">
        <v>46</v>
      </c>
      <c r="B1639">
        <v>5</v>
      </c>
      <c r="C1639" t="s">
        <v>735</v>
      </c>
      <c r="D1639" s="39">
        <v>45934</v>
      </c>
      <c r="E1639" t="s">
        <v>200</v>
      </c>
      <c r="F1639" t="s">
        <v>79</v>
      </c>
      <c r="G1639">
        <v>14</v>
      </c>
      <c r="H1639">
        <v>6</v>
      </c>
      <c r="I1639" t="s">
        <v>79</v>
      </c>
      <c r="J1639">
        <v>500</v>
      </c>
      <c r="K1639" t="s">
        <v>79</v>
      </c>
      <c r="L1639">
        <v>9</v>
      </c>
      <c r="M1639">
        <v>467.38</v>
      </c>
      <c r="N1639">
        <v>12.6</v>
      </c>
      <c r="Q1639">
        <v>454.78</v>
      </c>
      <c r="V1639">
        <v>0</v>
      </c>
      <c r="W1639">
        <v>0</v>
      </c>
      <c r="AF1639">
        <v>0</v>
      </c>
      <c r="AG1639">
        <v>0</v>
      </c>
      <c r="AH1639">
        <v>0</v>
      </c>
      <c r="AI1639">
        <v>12</v>
      </c>
      <c r="AJ1639">
        <v>12</v>
      </c>
      <c r="AM1639">
        <v>0</v>
      </c>
      <c r="AN1639">
        <v>459.78</v>
      </c>
      <c r="AP1639">
        <v>40</v>
      </c>
    </row>
    <row r="1640" spans="1:42" x14ac:dyDescent="0.25">
      <c r="A1640" t="s">
        <v>46</v>
      </c>
      <c r="B1640">
        <v>5</v>
      </c>
      <c r="C1640" t="s">
        <v>736</v>
      </c>
      <c r="D1640" s="39">
        <v>45934</v>
      </c>
      <c r="E1640" t="s">
        <v>486</v>
      </c>
      <c r="F1640" t="s">
        <v>79</v>
      </c>
      <c r="G1640">
        <v>14</v>
      </c>
      <c r="H1640">
        <v>5</v>
      </c>
      <c r="I1640" t="s">
        <v>79</v>
      </c>
      <c r="J1640">
        <v>1000</v>
      </c>
      <c r="K1640" t="s">
        <v>79</v>
      </c>
      <c r="L1640">
        <v>2</v>
      </c>
      <c r="M1640">
        <v>130.32</v>
      </c>
      <c r="N1640">
        <v>2.8</v>
      </c>
      <c r="Q1640">
        <v>127.52</v>
      </c>
      <c r="R1640" t="s">
        <v>1514</v>
      </c>
      <c r="V1640">
        <v>0</v>
      </c>
      <c r="W1640">
        <v>0</v>
      </c>
      <c r="AF1640">
        <v>0</v>
      </c>
      <c r="AG1640">
        <v>0</v>
      </c>
      <c r="AH1640">
        <v>0</v>
      </c>
      <c r="AI1640">
        <v>12</v>
      </c>
      <c r="AJ1640">
        <v>12</v>
      </c>
      <c r="AM1640">
        <v>0</v>
      </c>
      <c r="AN1640">
        <v>132.51999999999998</v>
      </c>
      <c r="AP1640">
        <v>40</v>
      </c>
    </row>
    <row r="1641" spans="1:42" x14ac:dyDescent="0.25">
      <c r="A1641" t="s">
        <v>45</v>
      </c>
      <c r="B1641">
        <v>1</v>
      </c>
      <c r="C1641" t="s">
        <v>726</v>
      </c>
      <c r="D1641" s="39">
        <v>45935</v>
      </c>
      <c r="E1641" t="s">
        <v>486</v>
      </c>
      <c r="F1641" t="s">
        <v>79</v>
      </c>
      <c r="G1641">
        <v>2.5</v>
      </c>
      <c r="H1641" t="s">
        <v>92</v>
      </c>
      <c r="I1641" t="s">
        <v>79</v>
      </c>
      <c r="J1641">
        <v>1000</v>
      </c>
      <c r="K1641" t="s">
        <v>79</v>
      </c>
      <c r="L1641">
        <v>8</v>
      </c>
      <c r="M1641">
        <v>82.62</v>
      </c>
      <c r="N1641">
        <v>1.6</v>
      </c>
      <c r="O1641">
        <v>2.5</v>
      </c>
      <c r="Q1641">
        <v>81.02000000000001</v>
      </c>
      <c r="R1641" t="s">
        <v>796</v>
      </c>
      <c r="V1641">
        <v>0</v>
      </c>
      <c r="W1641">
        <v>0</v>
      </c>
      <c r="AF1641">
        <v>0</v>
      </c>
      <c r="AG1641">
        <v>0</v>
      </c>
      <c r="AH1641">
        <v>0</v>
      </c>
      <c r="AI1641">
        <v>12</v>
      </c>
      <c r="AJ1641">
        <v>12</v>
      </c>
      <c r="AL1641">
        <v>2021.5</v>
      </c>
      <c r="AM1641">
        <v>0</v>
      </c>
      <c r="AN1641">
        <v>86.02000000000001</v>
      </c>
      <c r="AO1641">
        <v>398</v>
      </c>
      <c r="AP1641">
        <v>40</v>
      </c>
    </row>
    <row r="1642" spans="1:42" x14ac:dyDescent="0.25">
      <c r="A1642" t="s">
        <v>46</v>
      </c>
      <c r="B1642">
        <v>1</v>
      </c>
      <c r="C1642" t="s">
        <v>726</v>
      </c>
      <c r="D1642" s="39">
        <v>45935</v>
      </c>
      <c r="E1642" t="s">
        <v>486</v>
      </c>
      <c r="F1642" t="s">
        <v>79</v>
      </c>
      <c r="G1642">
        <v>2.5</v>
      </c>
      <c r="H1642" t="s">
        <v>92</v>
      </c>
      <c r="I1642" t="s">
        <v>79</v>
      </c>
      <c r="J1642">
        <v>1000</v>
      </c>
      <c r="K1642" t="s">
        <v>79</v>
      </c>
      <c r="L1642">
        <v>9</v>
      </c>
      <c r="M1642">
        <v>96.6</v>
      </c>
      <c r="N1642">
        <v>1.8</v>
      </c>
      <c r="O1642">
        <v>2.5</v>
      </c>
      <c r="Q1642">
        <v>94.8</v>
      </c>
      <c r="R1642" t="s">
        <v>796</v>
      </c>
      <c r="V1642">
        <v>0</v>
      </c>
      <c r="W1642">
        <v>0</v>
      </c>
      <c r="AF1642">
        <v>0</v>
      </c>
      <c r="AG1642">
        <v>0</v>
      </c>
      <c r="AH1642">
        <v>0</v>
      </c>
      <c r="AI1642">
        <v>12</v>
      </c>
      <c r="AJ1642">
        <v>12</v>
      </c>
      <c r="AM1642">
        <v>0</v>
      </c>
      <c r="AN1642">
        <v>99.8</v>
      </c>
      <c r="AP1642">
        <v>40</v>
      </c>
    </row>
    <row r="1643" spans="1:42" x14ac:dyDescent="0.25">
      <c r="A1643" t="s">
        <v>45</v>
      </c>
      <c r="B1643">
        <v>2</v>
      </c>
      <c r="C1643" t="s">
        <v>713</v>
      </c>
      <c r="D1643" s="39">
        <v>45935</v>
      </c>
      <c r="E1643" t="s">
        <v>486</v>
      </c>
      <c r="F1643" t="s">
        <v>79</v>
      </c>
      <c r="G1643">
        <v>4</v>
      </c>
      <c r="H1643" t="s">
        <v>113</v>
      </c>
      <c r="I1643" t="s">
        <v>79</v>
      </c>
      <c r="J1643">
        <v>1000</v>
      </c>
      <c r="K1643" t="s">
        <v>79</v>
      </c>
      <c r="L1643">
        <v>10</v>
      </c>
      <c r="M1643">
        <v>124.55</v>
      </c>
      <c r="N1643">
        <v>4</v>
      </c>
      <c r="Q1643">
        <v>120.55</v>
      </c>
      <c r="R1643" t="s">
        <v>737</v>
      </c>
      <c r="V1643">
        <v>0</v>
      </c>
      <c r="W1643">
        <v>0</v>
      </c>
      <c r="AF1643">
        <v>0</v>
      </c>
      <c r="AG1643">
        <v>0</v>
      </c>
      <c r="AH1643">
        <v>0</v>
      </c>
      <c r="AI1643">
        <v>12</v>
      </c>
      <c r="AJ1643">
        <v>12</v>
      </c>
      <c r="AM1643">
        <v>0</v>
      </c>
      <c r="AN1643">
        <v>125.55</v>
      </c>
      <c r="AP1643">
        <v>40</v>
      </c>
    </row>
    <row r="1644" spans="1:42" x14ac:dyDescent="0.25">
      <c r="A1644" t="s">
        <v>46</v>
      </c>
      <c r="B1644">
        <v>2</v>
      </c>
      <c r="C1644" t="s">
        <v>713</v>
      </c>
      <c r="D1644" s="39">
        <v>45935</v>
      </c>
      <c r="E1644" t="s">
        <v>486</v>
      </c>
      <c r="F1644" t="s">
        <v>79</v>
      </c>
      <c r="G1644">
        <v>4</v>
      </c>
      <c r="H1644" t="s">
        <v>113</v>
      </c>
      <c r="I1644" t="s">
        <v>79</v>
      </c>
      <c r="J1644">
        <v>1000</v>
      </c>
      <c r="K1644" t="s">
        <v>79</v>
      </c>
      <c r="L1644">
        <v>7</v>
      </c>
      <c r="M1644">
        <v>107.6</v>
      </c>
      <c r="N1644">
        <v>2.8000000000000003</v>
      </c>
      <c r="Q1644">
        <v>104.8</v>
      </c>
      <c r="R1644" t="s">
        <v>737</v>
      </c>
      <c r="V1644">
        <v>0</v>
      </c>
      <c r="W1644">
        <v>0</v>
      </c>
      <c r="AF1644">
        <v>0</v>
      </c>
      <c r="AG1644">
        <v>0</v>
      </c>
      <c r="AH1644">
        <v>0</v>
      </c>
      <c r="AI1644">
        <v>12</v>
      </c>
      <c r="AJ1644">
        <v>12</v>
      </c>
      <c r="AM1644">
        <v>0</v>
      </c>
      <c r="AN1644">
        <v>109.8</v>
      </c>
      <c r="AP1644">
        <v>40</v>
      </c>
    </row>
    <row r="1645" spans="1:42" x14ac:dyDescent="0.25">
      <c r="A1645" t="s">
        <v>45</v>
      </c>
      <c r="B1645">
        <v>3</v>
      </c>
      <c r="C1645" t="s">
        <v>732</v>
      </c>
      <c r="D1645" s="39">
        <v>45935</v>
      </c>
      <c r="E1645" t="s">
        <v>486</v>
      </c>
      <c r="F1645" t="s">
        <v>79</v>
      </c>
      <c r="G1645">
        <v>8</v>
      </c>
      <c r="H1645">
        <v>5</v>
      </c>
      <c r="I1645" t="s">
        <v>79</v>
      </c>
      <c r="J1645">
        <v>1000</v>
      </c>
      <c r="K1645" t="s">
        <v>79</v>
      </c>
      <c r="L1645">
        <v>8</v>
      </c>
      <c r="M1645">
        <v>287.28000000000003</v>
      </c>
      <c r="N1645">
        <v>6.4</v>
      </c>
      <c r="Q1645">
        <v>280.88000000000005</v>
      </c>
      <c r="R1645" t="s">
        <v>797</v>
      </c>
      <c r="V1645">
        <v>0</v>
      </c>
      <c r="W1645">
        <v>0</v>
      </c>
      <c r="AF1645">
        <v>0</v>
      </c>
      <c r="AG1645">
        <v>0</v>
      </c>
      <c r="AH1645">
        <v>0</v>
      </c>
      <c r="AI1645">
        <v>12</v>
      </c>
      <c r="AJ1645">
        <v>12</v>
      </c>
      <c r="AM1645">
        <v>0</v>
      </c>
      <c r="AN1645">
        <v>285.88000000000005</v>
      </c>
      <c r="AP1645">
        <v>40</v>
      </c>
    </row>
    <row r="1646" spans="1:42" x14ac:dyDescent="0.25">
      <c r="A1646" t="s">
        <v>46</v>
      </c>
      <c r="B1646">
        <v>3</v>
      </c>
      <c r="C1646" t="s">
        <v>732</v>
      </c>
      <c r="D1646" s="39">
        <v>45935</v>
      </c>
      <c r="E1646" t="s">
        <v>486</v>
      </c>
      <c r="F1646" t="s">
        <v>79</v>
      </c>
      <c r="G1646">
        <v>8</v>
      </c>
      <c r="H1646">
        <v>5</v>
      </c>
      <c r="I1646" t="s">
        <v>79</v>
      </c>
      <c r="J1646">
        <v>1000</v>
      </c>
      <c r="K1646" t="s">
        <v>79</v>
      </c>
      <c r="L1646">
        <v>8</v>
      </c>
      <c r="M1646">
        <v>267.51</v>
      </c>
      <c r="N1646">
        <v>0.8</v>
      </c>
      <c r="Q1646">
        <v>266.70999999999998</v>
      </c>
      <c r="R1646" t="s">
        <v>797</v>
      </c>
      <c r="V1646">
        <v>0</v>
      </c>
      <c r="W1646">
        <v>0</v>
      </c>
      <c r="Z1646">
        <v>30</v>
      </c>
      <c r="AF1646">
        <v>30</v>
      </c>
      <c r="AG1646">
        <v>0.5</v>
      </c>
      <c r="AH1646">
        <v>0.5</v>
      </c>
      <c r="AI1646">
        <v>11.5</v>
      </c>
      <c r="AJ1646">
        <v>12</v>
      </c>
      <c r="AM1646">
        <v>0</v>
      </c>
      <c r="AN1646">
        <v>271.70999999999998</v>
      </c>
      <c r="AP1646">
        <v>40</v>
      </c>
    </row>
    <row r="1647" spans="1:42" x14ac:dyDescent="0.25">
      <c r="A1647" t="s">
        <v>45</v>
      </c>
      <c r="B1647">
        <v>4</v>
      </c>
      <c r="C1647" t="s">
        <v>733</v>
      </c>
      <c r="D1647" s="39">
        <v>45935</v>
      </c>
      <c r="E1647" t="s">
        <v>486</v>
      </c>
      <c r="F1647" t="s">
        <v>79</v>
      </c>
      <c r="G1647">
        <v>24</v>
      </c>
      <c r="H1647">
        <v>5</v>
      </c>
      <c r="I1647" t="s">
        <v>79</v>
      </c>
      <c r="J1647">
        <v>500</v>
      </c>
      <c r="K1647" t="s">
        <v>79</v>
      </c>
      <c r="L1647">
        <v>1</v>
      </c>
      <c r="M1647">
        <v>24.51</v>
      </c>
      <c r="N1647">
        <v>2.4</v>
      </c>
      <c r="Q1647">
        <v>22.110000000000003</v>
      </c>
      <c r="R1647" t="s">
        <v>738</v>
      </c>
      <c r="V1647">
        <v>0</v>
      </c>
      <c r="W1647">
        <v>0</v>
      </c>
      <c r="AF1647">
        <v>0</v>
      </c>
      <c r="AG1647">
        <v>0</v>
      </c>
      <c r="AH1647">
        <v>0</v>
      </c>
      <c r="AI1647">
        <v>12</v>
      </c>
      <c r="AJ1647">
        <v>12</v>
      </c>
      <c r="AM1647">
        <v>0</v>
      </c>
      <c r="AN1647">
        <v>27.110000000000003</v>
      </c>
      <c r="AP1647">
        <v>40</v>
      </c>
    </row>
    <row r="1648" spans="1:42" x14ac:dyDescent="0.25">
      <c r="A1648" t="s">
        <v>45</v>
      </c>
      <c r="B1648">
        <v>4</v>
      </c>
      <c r="C1648" t="s">
        <v>739</v>
      </c>
      <c r="D1648" s="39">
        <v>45935</v>
      </c>
      <c r="E1648" t="s">
        <v>276</v>
      </c>
      <c r="F1648" t="s">
        <v>79</v>
      </c>
      <c r="G1648">
        <v>24</v>
      </c>
      <c r="H1648" t="s">
        <v>113</v>
      </c>
      <c r="I1648" t="s">
        <v>79</v>
      </c>
      <c r="J1648">
        <v>1000</v>
      </c>
      <c r="K1648" t="s">
        <v>79</v>
      </c>
      <c r="L1648">
        <v>12</v>
      </c>
      <c r="M1648">
        <v>728.04</v>
      </c>
      <c r="N1648">
        <v>28.799999999999997</v>
      </c>
      <c r="Q1648">
        <v>699.24</v>
      </c>
      <c r="R1648" t="s">
        <v>798</v>
      </c>
      <c r="V1648">
        <v>0</v>
      </c>
      <c r="W1648">
        <v>0</v>
      </c>
      <c r="AF1648">
        <v>0</v>
      </c>
      <c r="AG1648">
        <v>0</v>
      </c>
      <c r="AH1648">
        <v>0</v>
      </c>
      <c r="AI1648">
        <v>12</v>
      </c>
      <c r="AJ1648">
        <v>12</v>
      </c>
      <c r="AM1648">
        <v>0</v>
      </c>
      <c r="AN1648">
        <v>704.24</v>
      </c>
      <c r="AP1648">
        <v>40</v>
      </c>
    </row>
    <row r="1649" spans="1:42" x14ac:dyDescent="0.25">
      <c r="A1649" t="s">
        <v>46</v>
      </c>
      <c r="B1649">
        <v>4</v>
      </c>
      <c r="C1649" t="s">
        <v>739</v>
      </c>
      <c r="D1649" s="39">
        <v>45935</v>
      </c>
      <c r="E1649" t="s">
        <v>276</v>
      </c>
      <c r="F1649" t="s">
        <v>79</v>
      </c>
      <c r="G1649">
        <v>24</v>
      </c>
      <c r="H1649" t="s">
        <v>113</v>
      </c>
      <c r="I1649" t="s">
        <v>79</v>
      </c>
      <c r="J1649">
        <v>1000</v>
      </c>
      <c r="K1649" t="s">
        <v>79</v>
      </c>
      <c r="L1649">
        <v>6</v>
      </c>
      <c r="M1649">
        <v>385.49999999999994</v>
      </c>
      <c r="N1649">
        <v>14.399999999999999</v>
      </c>
      <c r="Q1649">
        <v>371.09999999999997</v>
      </c>
      <c r="R1649" t="s">
        <v>798</v>
      </c>
      <c r="S1649">
        <v>25</v>
      </c>
      <c r="V1649">
        <v>25</v>
      </c>
      <c r="W1649">
        <v>0.41666666666666674</v>
      </c>
      <c r="AF1649">
        <v>0</v>
      </c>
      <c r="AG1649">
        <v>0</v>
      </c>
      <c r="AH1649">
        <v>0.41666666666666674</v>
      </c>
      <c r="AI1649">
        <v>11.583333333333334</v>
      </c>
      <c r="AJ1649">
        <v>12</v>
      </c>
      <c r="AM1649">
        <v>0</v>
      </c>
      <c r="AN1649">
        <v>376.1</v>
      </c>
      <c r="AP1649">
        <v>40</v>
      </c>
    </row>
    <row r="1650" spans="1:42" x14ac:dyDescent="0.25">
      <c r="A1650" t="s">
        <v>46</v>
      </c>
      <c r="B1650">
        <v>4</v>
      </c>
      <c r="C1650" t="s">
        <v>740</v>
      </c>
      <c r="D1650" s="39">
        <v>45935</v>
      </c>
      <c r="E1650" t="s">
        <v>730</v>
      </c>
      <c r="F1650" t="s">
        <v>79</v>
      </c>
      <c r="G1650">
        <v>24</v>
      </c>
      <c r="H1650">
        <v>4</v>
      </c>
      <c r="I1650" t="s">
        <v>79</v>
      </c>
      <c r="J1650">
        <v>100</v>
      </c>
      <c r="K1650" t="s">
        <v>79</v>
      </c>
      <c r="L1650">
        <v>4</v>
      </c>
      <c r="M1650">
        <v>218.69</v>
      </c>
      <c r="N1650">
        <v>9.6</v>
      </c>
      <c r="Q1650">
        <v>209.09</v>
      </c>
      <c r="R1650" t="s">
        <v>741</v>
      </c>
      <c r="V1650">
        <v>0</v>
      </c>
      <c r="W1650">
        <v>0</v>
      </c>
      <c r="AF1650">
        <v>0</v>
      </c>
      <c r="AG1650">
        <v>0</v>
      </c>
      <c r="AH1650">
        <v>0</v>
      </c>
      <c r="AI1650">
        <v>12</v>
      </c>
      <c r="AJ1650">
        <v>12</v>
      </c>
      <c r="AM1650">
        <v>0</v>
      </c>
      <c r="AN1650">
        <v>214.09</v>
      </c>
      <c r="AP1650">
        <v>40</v>
      </c>
    </row>
    <row r="1651" spans="1:42" x14ac:dyDescent="0.25">
      <c r="A1651" t="s">
        <v>46</v>
      </c>
      <c r="B1651">
        <v>4</v>
      </c>
      <c r="C1651" t="s">
        <v>742</v>
      </c>
      <c r="D1651" s="39">
        <v>45935</v>
      </c>
      <c r="E1651" t="s">
        <v>276</v>
      </c>
      <c r="F1651" t="s">
        <v>79</v>
      </c>
      <c r="G1651">
        <v>18</v>
      </c>
      <c r="H1651" t="s">
        <v>113</v>
      </c>
      <c r="I1651" t="s">
        <v>79</v>
      </c>
      <c r="J1651">
        <v>1000</v>
      </c>
      <c r="K1651" t="s">
        <v>79</v>
      </c>
      <c r="L1651">
        <v>2</v>
      </c>
      <c r="M1651">
        <v>98.91</v>
      </c>
      <c r="N1651">
        <v>3.6</v>
      </c>
      <c r="Q1651">
        <v>95.31</v>
      </c>
      <c r="R1651" t="s">
        <v>1219</v>
      </c>
      <c r="V1651">
        <v>0</v>
      </c>
      <c r="W1651">
        <v>0</v>
      </c>
      <c r="AF1651">
        <v>0</v>
      </c>
      <c r="AG1651">
        <v>0</v>
      </c>
      <c r="AH1651">
        <v>0</v>
      </c>
      <c r="AI1651">
        <v>12</v>
      </c>
      <c r="AJ1651">
        <v>12</v>
      </c>
      <c r="AM1651">
        <v>0</v>
      </c>
      <c r="AN1651">
        <v>100.31</v>
      </c>
      <c r="AP1651">
        <v>40</v>
      </c>
    </row>
    <row r="1652" spans="1:42" x14ac:dyDescent="0.25">
      <c r="A1652" t="s">
        <v>45</v>
      </c>
      <c r="B1652">
        <v>5</v>
      </c>
      <c r="C1652" t="s">
        <v>736</v>
      </c>
      <c r="D1652" s="39">
        <v>45935</v>
      </c>
      <c r="E1652" t="s">
        <v>486</v>
      </c>
      <c r="F1652" t="s">
        <v>79</v>
      </c>
      <c r="G1652">
        <v>14</v>
      </c>
      <c r="H1652">
        <v>5</v>
      </c>
      <c r="I1652" t="s">
        <v>79</v>
      </c>
      <c r="J1652">
        <v>1000</v>
      </c>
      <c r="K1652" t="s">
        <v>79</v>
      </c>
      <c r="L1652">
        <v>10</v>
      </c>
      <c r="M1652">
        <v>556.05999999999995</v>
      </c>
      <c r="N1652">
        <v>14</v>
      </c>
      <c r="Q1652">
        <v>542.05999999999995</v>
      </c>
      <c r="R1652" t="s">
        <v>1514</v>
      </c>
      <c r="V1652">
        <v>0</v>
      </c>
      <c r="W1652">
        <v>0</v>
      </c>
      <c r="AF1652">
        <v>0</v>
      </c>
      <c r="AG1652">
        <v>0</v>
      </c>
      <c r="AH1652">
        <v>0</v>
      </c>
      <c r="AI1652">
        <v>12</v>
      </c>
      <c r="AJ1652">
        <v>12</v>
      </c>
      <c r="AM1652">
        <v>0</v>
      </c>
      <c r="AN1652">
        <v>547.05999999999995</v>
      </c>
      <c r="AP1652">
        <v>40</v>
      </c>
    </row>
    <row r="1653" spans="1:42" x14ac:dyDescent="0.25">
      <c r="A1653" t="s">
        <v>46</v>
      </c>
      <c r="B1653">
        <v>5</v>
      </c>
      <c r="C1653" t="s">
        <v>736</v>
      </c>
      <c r="D1653" s="39">
        <v>45935</v>
      </c>
      <c r="E1653" t="s">
        <v>486</v>
      </c>
      <c r="F1653" t="s">
        <v>79</v>
      </c>
      <c r="G1653">
        <v>14</v>
      </c>
      <c r="H1653">
        <v>5</v>
      </c>
      <c r="I1653" t="s">
        <v>79</v>
      </c>
      <c r="J1653">
        <v>1000</v>
      </c>
      <c r="K1653" t="s">
        <v>79</v>
      </c>
      <c r="L1653">
        <v>11</v>
      </c>
      <c r="M1653">
        <v>591.16999999999996</v>
      </c>
      <c r="N1653">
        <v>15.399999999999999</v>
      </c>
      <c r="Q1653">
        <v>575.77</v>
      </c>
      <c r="R1653" t="s">
        <v>1514</v>
      </c>
      <c r="V1653">
        <v>0</v>
      </c>
      <c r="W1653">
        <v>0</v>
      </c>
      <c r="AF1653">
        <v>0</v>
      </c>
      <c r="AG1653">
        <v>0</v>
      </c>
      <c r="AH1653">
        <v>0</v>
      </c>
      <c r="AI1653">
        <v>12</v>
      </c>
      <c r="AJ1653">
        <v>12</v>
      </c>
      <c r="AM1653">
        <v>0</v>
      </c>
      <c r="AN1653">
        <v>580.77</v>
      </c>
      <c r="AP1653">
        <v>40</v>
      </c>
    </row>
    <row r="1654" spans="1:42" x14ac:dyDescent="0.25">
      <c r="A1654" t="s">
        <v>45</v>
      </c>
      <c r="B1654">
        <v>1</v>
      </c>
      <c r="C1654" t="s">
        <v>726</v>
      </c>
      <c r="D1654" s="39">
        <v>45936</v>
      </c>
      <c r="E1654" t="s">
        <v>486</v>
      </c>
      <c r="F1654" t="s">
        <v>79</v>
      </c>
      <c r="G1654">
        <v>2.5</v>
      </c>
      <c r="H1654" t="s">
        <v>92</v>
      </c>
      <c r="I1654" t="s">
        <v>79</v>
      </c>
      <c r="J1654">
        <v>1000</v>
      </c>
      <c r="K1654" t="s">
        <v>79</v>
      </c>
      <c r="L1654">
        <v>8</v>
      </c>
      <c r="M1654">
        <v>91.610000000000014</v>
      </c>
      <c r="N1654">
        <v>1.6</v>
      </c>
      <c r="O1654">
        <v>23.5</v>
      </c>
      <c r="Q1654">
        <v>90.010000000000019</v>
      </c>
      <c r="R1654" t="s">
        <v>796</v>
      </c>
      <c r="V1654">
        <v>0</v>
      </c>
      <c r="W1654">
        <v>0</v>
      </c>
      <c r="AF1654">
        <v>0</v>
      </c>
      <c r="AG1654">
        <v>0</v>
      </c>
      <c r="AH1654">
        <v>0</v>
      </c>
      <c r="AI1654">
        <v>12</v>
      </c>
      <c r="AJ1654">
        <v>12</v>
      </c>
      <c r="AL1654">
        <v>2048</v>
      </c>
      <c r="AM1654">
        <v>0</v>
      </c>
      <c r="AN1654">
        <v>95.010000000000019</v>
      </c>
      <c r="AO1654">
        <v>398</v>
      </c>
      <c r="AP1654">
        <v>41</v>
      </c>
    </row>
    <row r="1655" spans="1:42" x14ac:dyDescent="0.25">
      <c r="A1655" t="s">
        <v>46</v>
      </c>
      <c r="B1655">
        <v>1</v>
      </c>
      <c r="C1655" t="s">
        <v>726</v>
      </c>
      <c r="D1655" s="39">
        <v>45936</v>
      </c>
      <c r="E1655" t="s">
        <v>486</v>
      </c>
      <c r="F1655" t="s">
        <v>79</v>
      </c>
      <c r="G1655">
        <v>2.5</v>
      </c>
      <c r="H1655" t="s">
        <v>92</v>
      </c>
      <c r="I1655" t="s">
        <v>79</v>
      </c>
      <c r="J1655">
        <v>1000</v>
      </c>
      <c r="K1655" t="s">
        <v>79</v>
      </c>
      <c r="L1655">
        <v>8</v>
      </c>
      <c r="M1655">
        <v>88.100000000000009</v>
      </c>
      <c r="N1655">
        <v>1.6</v>
      </c>
      <c r="O1655">
        <v>22.5</v>
      </c>
      <c r="Q1655">
        <v>86.500000000000014</v>
      </c>
      <c r="R1655" t="s">
        <v>796</v>
      </c>
      <c r="V1655">
        <v>0</v>
      </c>
      <c r="W1655">
        <v>0</v>
      </c>
      <c r="AF1655">
        <v>0</v>
      </c>
      <c r="AG1655">
        <v>0</v>
      </c>
      <c r="AH1655">
        <v>0</v>
      </c>
      <c r="AI1655">
        <v>12</v>
      </c>
      <c r="AJ1655">
        <v>12</v>
      </c>
      <c r="AM1655">
        <v>0</v>
      </c>
      <c r="AN1655">
        <v>91.500000000000014</v>
      </c>
      <c r="AP1655">
        <v>41</v>
      </c>
    </row>
    <row r="1656" spans="1:42" x14ac:dyDescent="0.25">
      <c r="A1656" t="s">
        <v>45</v>
      </c>
      <c r="B1656">
        <v>2</v>
      </c>
      <c r="C1656" t="s">
        <v>799</v>
      </c>
      <c r="D1656" s="39">
        <v>45936</v>
      </c>
      <c r="E1656" t="s">
        <v>486</v>
      </c>
      <c r="F1656" t="s">
        <v>79</v>
      </c>
      <c r="G1656">
        <v>4</v>
      </c>
      <c r="H1656" t="s">
        <v>113</v>
      </c>
      <c r="I1656" t="s">
        <v>79</v>
      </c>
      <c r="J1656">
        <v>500</v>
      </c>
      <c r="K1656" t="s">
        <v>79</v>
      </c>
      <c r="L1656">
        <v>8</v>
      </c>
      <c r="M1656">
        <v>128.37</v>
      </c>
      <c r="N1656">
        <v>3.2</v>
      </c>
      <c r="Q1656">
        <v>125.17</v>
      </c>
      <c r="R1656" t="s">
        <v>800</v>
      </c>
      <c r="V1656">
        <v>0</v>
      </c>
      <c r="W1656">
        <v>0</v>
      </c>
      <c r="AF1656">
        <v>0</v>
      </c>
      <c r="AG1656">
        <v>0</v>
      </c>
      <c r="AH1656">
        <v>0</v>
      </c>
      <c r="AI1656">
        <v>12</v>
      </c>
      <c r="AJ1656">
        <v>12</v>
      </c>
      <c r="AM1656">
        <v>0</v>
      </c>
      <c r="AN1656">
        <v>130.17000000000002</v>
      </c>
      <c r="AP1656">
        <v>41</v>
      </c>
    </row>
    <row r="1657" spans="1:42" x14ac:dyDescent="0.25">
      <c r="A1657" t="s">
        <v>46</v>
      </c>
      <c r="B1657">
        <v>2</v>
      </c>
      <c r="C1657" t="s">
        <v>799</v>
      </c>
      <c r="D1657" s="39">
        <v>45936</v>
      </c>
      <c r="E1657" t="s">
        <v>486</v>
      </c>
      <c r="F1657" t="s">
        <v>79</v>
      </c>
      <c r="G1657">
        <v>4</v>
      </c>
      <c r="H1657" t="s">
        <v>113</v>
      </c>
      <c r="I1657" t="s">
        <v>79</v>
      </c>
      <c r="J1657">
        <v>500</v>
      </c>
      <c r="K1657" t="s">
        <v>79</v>
      </c>
      <c r="L1657">
        <v>7</v>
      </c>
      <c r="M1657">
        <v>102.1</v>
      </c>
      <c r="N1657">
        <v>2.8000000000000003</v>
      </c>
      <c r="Q1657">
        <v>99.3</v>
      </c>
      <c r="R1657" t="s">
        <v>800</v>
      </c>
      <c r="V1657">
        <v>0</v>
      </c>
      <c r="W1657">
        <v>0</v>
      </c>
      <c r="AF1657">
        <v>0</v>
      </c>
      <c r="AG1657">
        <v>0</v>
      </c>
      <c r="AH1657">
        <v>0</v>
      </c>
      <c r="AI1657">
        <v>12</v>
      </c>
      <c r="AJ1657">
        <v>12</v>
      </c>
      <c r="AM1657">
        <v>0</v>
      </c>
      <c r="AN1657">
        <v>104.3</v>
      </c>
      <c r="AP1657">
        <v>41</v>
      </c>
    </row>
    <row r="1658" spans="1:42" x14ac:dyDescent="0.25">
      <c r="A1658" t="s">
        <v>46</v>
      </c>
      <c r="B1658">
        <v>2</v>
      </c>
      <c r="C1658" t="s">
        <v>801</v>
      </c>
      <c r="D1658" s="39">
        <v>45936</v>
      </c>
      <c r="E1658" t="s">
        <v>596</v>
      </c>
      <c r="F1658" t="s">
        <v>79</v>
      </c>
      <c r="G1658">
        <v>5</v>
      </c>
      <c r="H1658">
        <v>10</v>
      </c>
      <c r="I1658" t="s">
        <v>79</v>
      </c>
      <c r="J1658">
        <v>100</v>
      </c>
      <c r="K1658" t="s">
        <v>79</v>
      </c>
      <c r="L1658">
        <v>1</v>
      </c>
      <c r="M1658">
        <v>15.09</v>
      </c>
      <c r="N1658">
        <v>0.5</v>
      </c>
      <c r="Q1658">
        <v>14.59</v>
      </c>
      <c r="R1658" t="s">
        <v>802</v>
      </c>
      <c r="V1658">
        <v>0</v>
      </c>
      <c r="W1658">
        <v>0</v>
      </c>
      <c r="AF1658">
        <v>0</v>
      </c>
      <c r="AG1658">
        <v>0</v>
      </c>
      <c r="AH1658">
        <v>0</v>
      </c>
      <c r="AI1658">
        <v>12</v>
      </c>
      <c r="AJ1658">
        <v>12</v>
      </c>
      <c r="AM1658">
        <v>0</v>
      </c>
      <c r="AN1658">
        <v>19.59</v>
      </c>
      <c r="AP1658">
        <v>41</v>
      </c>
    </row>
    <row r="1659" spans="1:42" x14ac:dyDescent="0.25">
      <c r="A1659" t="s">
        <v>45</v>
      </c>
      <c r="B1659">
        <v>3</v>
      </c>
      <c r="C1659" t="s">
        <v>732</v>
      </c>
      <c r="D1659" s="39">
        <v>45936</v>
      </c>
      <c r="E1659" t="s">
        <v>486</v>
      </c>
      <c r="F1659" t="s">
        <v>79</v>
      </c>
      <c r="G1659">
        <v>8</v>
      </c>
      <c r="H1659">
        <v>5</v>
      </c>
      <c r="I1659" t="s">
        <v>79</v>
      </c>
      <c r="J1659">
        <v>1000</v>
      </c>
      <c r="K1659" t="s">
        <v>79</v>
      </c>
      <c r="L1659">
        <v>8</v>
      </c>
      <c r="M1659">
        <v>268.97000000000003</v>
      </c>
      <c r="N1659">
        <v>6.4</v>
      </c>
      <c r="Q1659">
        <v>262.57000000000005</v>
      </c>
      <c r="R1659" t="s">
        <v>797</v>
      </c>
      <c r="V1659">
        <v>0</v>
      </c>
      <c r="W1659">
        <v>0</v>
      </c>
      <c r="AF1659">
        <v>0</v>
      </c>
      <c r="AG1659">
        <v>0</v>
      </c>
      <c r="AH1659">
        <v>0</v>
      </c>
      <c r="AI1659">
        <v>12</v>
      </c>
      <c r="AJ1659">
        <v>12</v>
      </c>
      <c r="AM1659">
        <v>0</v>
      </c>
      <c r="AN1659">
        <v>269.57000000000005</v>
      </c>
      <c r="AP1659">
        <v>41</v>
      </c>
    </row>
    <row r="1660" spans="1:42" x14ac:dyDescent="0.25">
      <c r="A1660" t="s">
        <v>46</v>
      </c>
      <c r="B1660">
        <v>3</v>
      </c>
      <c r="C1660" t="s">
        <v>732</v>
      </c>
      <c r="D1660" s="39">
        <v>45936</v>
      </c>
      <c r="E1660" t="s">
        <v>486</v>
      </c>
      <c r="F1660" t="s">
        <v>79</v>
      </c>
      <c r="G1660">
        <v>8</v>
      </c>
      <c r="H1660">
        <v>5</v>
      </c>
      <c r="I1660" t="s">
        <v>79</v>
      </c>
      <c r="J1660">
        <v>1000</v>
      </c>
      <c r="K1660" t="s">
        <v>79</v>
      </c>
      <c r="L1660">
        <v>2</v>
      </c>
      <c r="M1660">
        <v>48.94</v>
      </c>
      <c r="N1660">
        <v>1.8</v>
      </c>
      <c r="Q1660">
        <v>47.14</v>
      </c>
      <c r="R1660" t="s">
        <v>797</v>
      </c>
      <c r="S1660">
        <v>20</v>
      </c>
      <c r="V1660">
        <v>20</v>
      </c>
      <c r="W1660">
        <v>0.33333333333333331</v>
      </c>
      <c r="AF1660">
        <v>0</v>
      </c>
      <c r="AG1660">
        <v>0</v>
      </c>
      <c r="AH1660">
        <v>0.33333333333333331</v>
      </c>
      <c r="AI1660">
        <v>11.666666666666666</v>
      </c>
      <c r="AJ1660">
        <v>12</v>
      </c>
      <c r="AM1660">
        <v>0</v>
      </c>
      <c r="AN1660">
        <v>54.14</v>
      </c>
      <c r="AP1660">
        <v>41</v>
      </c>
    </row>
    <row r="1661" spans="1:42" x14ac:dyDescent="0.25">
      <c r="A1661" t="s">
        <v>46</v>
      </c>
      <c r="B1661">
        <v>3</v>
      </c>
      <c r="C1661" t="s">
        <v>803</v>
      </c>
      <c r="D1661" s="39">
        <v>45936</v>
      </c>
      <c r="E1661" t="s">
        <v>486</v>
      </c>
      <c r="F1661" t="s">
        <v>79</v>
      </c>
      <c r="G1661">
        <v>9</v>
      </c>
      <c r="H1661" t="s">
        <v>113</v>
      </c>
      <c r="I1661" t="s">
        <v>79</v>
      </c>
      <c r="J1661">
        <v>1000</v>
      </c>
      <c r="K1661" t="s">
        <v>79</v>
      </c>
      <c r="L1661">
        <v>7</v>
      </c>
      <c r="M1661">
        <v>242.67</v>
      </c>
      <c r="N1661">
        <v>6.3</v>
      </c>
      <c r="Q1661">
        <v>236.36999999999998</v>
      </c>
      <c r="R1661" t="s">
        <v>804</v>
      </c>
      <c r="V1661">
        <v>0</v>
      </c>
      <c r="W1661">
        <v>0</v>
      </c>
      <c r="AF1661">
        <v>0</v>
      </c>
      <c r="AG1661">
        <v>0</v>
      </c>
      <c r="AH1661">
        <v>0</v>
      </c>
      <c r="AI1661">
        <v>12</v>
      </c>
      <c r="AJ1661">
        <v>12</v>
      </c>
      <c r="AM1661">
        <v>0</v>
      </c>
      <c r="AN1661">
        <v>243.37</v>
      </c>
      <c r="AP1661">
        <v>41</v>
      </c>
    </row>
    <row r="1662" spans="1:42" x14ac:dyDescent="0.25">
      <c r="A1662" t="s">
        <v>45</v>
      </c>
      <c r="B1662">
        <v>4</v>
      </c>
      <c r="C1662" t="s">
        <v>742</v>
      </c>
      <c r="D1662" s="39">
        <v>45936</v>
      </c>
      <c r="E1662" t="s">
        <v>276</v>
      </c>
      <c r="F1662" t="s">
        <v>79</v>
      </c>
      <c r="G1662">
        <v>18</v>
      </c>
      <c r="H1662" t="s">
        <v>113</v>
      </c>
      <c r="I1662" t="s">
        <v>79</v>
      </c>
      <c r="J1662">
        <v>1000</v>
      </c>
      <c r="K1662" t="s">
        <v>79</v>
      </c>
      <c r="L1662">
        <v>13</v>
      </c>
      <c r="M1662">
        <v>760.26</v>
      </c>
      <c r="N1662">
        <v>27.95</v>
      </c>
      <c r="Q1662">
        <v>732.31</v>
      </c>
      <c r="R1662" t="s">
        <v>1219</v>
      </c>
      <c r="V1662">
        <v>0</v>
      </c>
      <c r="W1662">
        <v>0</v>
      </c>
      <c r="AF1662">
        <v>0</v>
      </c>
      <c r="AG1662">
        <v>0</v>
      </c>
      <c r="AH1662">
        <v>0</v>
      </c>
      <c r="AI1662">
        <v>12</v>
      </c>
      <c r="AJ1662">
        <v>12</v>
      </c>
      <c r="AM1662">
        <v>0</v>
      </c>
      <c r="AN1662">
        <v>739.31</v>
      </c>
      <c r="AP1662">
        <v>41</v>
      </c>
    </row>
    <row r="1663" spans="1:42" x14ac:dyDescent="0.25">
      <c r="A1663" t="s">
        <v>46</v>
      </c>
      <c r="B1663">
        <v>4</v>
      </c>
      <c r="C1663" t="s">
        <v>742</v>
      </c>
      <c r="D1663" s="39">
        <v>45936</v>
      </c>
      <c r="E1663" t="s">
        <v>276</v>
      </c>
      <c r="F1663" t="s">
        <v>79</v>
      </c>
      <c r="G1663">
        <v>18</v>
      </c>
      <c r="H1663" t="s">
        <v>113</v>
      </c>
      <c r="I1663" t="s">
        <v>79</v>
      </c>
      <c r="J1663">
        <v>1000</v>
      </c>
      <c r="K1663" t="s">
        <v>79</v>
      </c>
      <c r="L1663">
        <v>2</v>
      </c>
      <c r="M1663">
        <v>117.33</v>
      </c>
      <c r="N1663">
        <v>4</v>
      </c>
      <c r="Q1663">
        <v>113.33</v>
      </c>
      <c r="R1663" t="s">
        <v>1219</v>
      </c>
      <c r="S1663">
        <v>20</v>
      </c>
      <c r="V1663">
        <v>20</v>
      </c>
      <c r="W1663">
        <v>0.33333333333333331</v>
      </c>
      <c r="AF1663">
        <v>0</v>
      </c>
      <c r="AG1663">
        <v>0</v>
      </c>
      <c r="AH1663">
        <v>0.33333333333333331</v>
      </c>
      <c r="AI1663">
        <v>11.666666666666666</v>
      </c>
      <c r="AJ1663">
        <v>12</v>
      </c>
      <c r="AM1663">
        <v>0</v>
      </c>
      <c r="AN1663">
        <v>120.33</v>
      </c>
      <c r="AP1663">
        <v>41</v>
      </c>
    </row>
    <row r="1664" spans="1:42" x14ac:dyDescent="0.25">
      <c r="A1664" t="s">
        <v>46</v>
      </c>
      <c r="B1664">
        <v>4</v>
      </c>
      <c r="C1664" t="s">
        <v>805</v>
      </c>
      <c r="D1664" s="39">
        <v>45936</v>
      </c>
      <c r="E1664" t="s">
        <v>563</v>
      </c>
      <c r="F1664" t="s">
        <v>79</v>
      </c>
      <c r="G1664">
        <v>17</v>
      </c>
      <c r="H1664" t="s">
        <v>353</v>
      </c>
      <c r="I1664" t="s">
        <v>79</v>
      </c>
      <c r="J1664">
        <v>325</v>
      </c>
      <c r="K1664" t="s">
        <v>79</v>
      </c>
      <c r="L1664">
        <v>7</v>
      </c>
      <c r="M1664">
        <v>358.82999999999993</v>
      </c>
      <c r="N1664">
        <v>11.9</v>
      </c>
      <c r="Q1664">
        <v>346.92999999999995</v>
      </c>
      <c r="R1664" t="s">
        <v>806</v>
      </c>
      <c r="V1664">
        <v>0</v>
      </c>
      <c r="W1664">
        <v>0</v>
      </c>
      <c r="AF1664">
        <v>0</v>
      </c>
      <c r="AG1664">
        <v>0</v>
      </c>
      <c r="AH1664">
        <v>0</v>
      </c>
      <c r="AI1664">
        <v>12</v>
      </c>
      <c r="AJ1664">
        <v>12</v>
      </c>
      <c r="AM1664">
        <v>0</v>
      </c>
      <c r="AN1664">
        <v>353.92999999999995</v>
      </c>
      <c r="AP1664">
        <v>41</v>
      </c>
    </row>
    <row r="1665" spans="1:42" x14ac:dyDescent="0.25">
      <c r="A1665" t="s">
        <v>46</v>
      </c>
      <c r="B1665">
        <v>4</v>
      </c>
      <c r="C1665" t="s">
        <v>807</v>
      </c>
      <c r="D1665" s="39">
        <v>45936</v>
      </c>
      <c r="E1665" t="s">
        <v>200</v>
      </c>
      <c r="F1665" t="s">
        <v>79</v>
      </c>
      <c r="G1665">
        <v>20</v>
      </c>
      <c r="H1665">
        <v>6</v>
      </c>
      <c r="I1665" t="s">
        <v>79</v>
      </c>
      <c r="J1665">
        <v>500</v>
      </c>
      <c r="K1665" t="s">
        <v>79</v>
      </c>
      <c r="L1665">
        <v>3</v>
      </c>
      <c r="M1665">
        <v>146.24</v>
      </c>
      <c r="N1665">
        <v>6</v>
      </c>
      <c r="Q1665">
        <v>140.24</v>
      </c>
      <c r="R1665" t="s">
        <v>808</v>
      </c>
      <c r="V1665">
        <v>0</v>
      </c>
      <c r="W1665">
        <v>0</v>
      </c>
      <c r="AF1665">
        <v>0</v>
      </c>
      <c r="AG1665">
        <v>0</v>
      </c>
      <c r="AH1665">
        <v>0</v>
      </c>
      <c r="AI1665">
        <v>12</v>
      </c>
      <c r="AJ1665">
        <v>12</v>
      </c>
      <c r="AM1665">
        <v>0</v>
      </c>
      <c r="AN1665">
        <v>147.24</v>
      </c>
      <c r="AP1665">
        <v>41</v>
      </c>
    </row>
    <row r="1666" spans="1:42" x14ac:dyDescent="0.25">
      <c r="A1666" t="s">
        <v>46</v>
      </c>
      <c r="B1666">
        <v>4</v>
      </c>
      <c r="C1666" t="s">
        <v>809</v>
      </c>
      <c r="D1666" s="39">
        <v>45936</v>
      </c>
      <c r="E1666" t="s">
        <v>629</v>
      </c>
      <c r="F1666" t="s">
        <v>79</v>
      </c>
      <c r="G1666">
        <v>17</v>
      </c>
      <c r="H1666" t="s">
        <v>92</v>
      </c>
      <c r="I1666" t="s">
        <v>79</v>
      </c>
      <c r="J1666">
        <v>5000</v>
      </c>
      <c r="K1666" t="s">
        <v>79</v>
      </c>
      <c r="L1666">
        <v>3</v>
      </c>
      <c r="M1666">
        <v>126.42</v>
      </c>
      <c r="N1666">
        <v>11.9</v>
      </c>
      <c r="Q1666">
        <v>114.52</v>
      </c>
      <c r="R1666" t="s">
        <v>867</v>
      </c>
      <c r="V1666">
        <v>0</v>
      </c>
      <c r="W1666">
        <v>0</v>
      </c>
      <c r="AF1666">
        <v>0</v>
      </c>
      <c r="AG1666">
        <v>0</v>
      </c>
      <c r="AH1666">
        <v>0</v>
      </c>
      <c r="AI1666">
        <v>12</v>
      </c>
      <c r="AJ1666">
        <v>12</v>
      </c>
      <c r="AM1666">
        <v>0</v>
      </c>
      <c r="AN1666">
        <v>121.52</v>
      </c>
      <c r="AP1666">
        <v>41</v>
      </c>
    </row>
    <row r="1667" spans="1:42" x14ac:dyDescent="0.25">
      <c r="A1667" t="s">
        <v>45</v>
      </c>
      <c r="B1667">
        <v>5</v>
      </c>
      <c r="C1667" t="s">
        <v>739</v>
      </c>
      <c r="D1667" s="39">
        <v>45936</v>
      </c>
      <c r="E1667" t="s">
        <v>276</v>
      </c>
      <c r="F1667" t="s">
        <v>79</v>
      </c>
      <c r="G1667">
        <v>24</v>
      </c>
      <c r="H1667" t="s">
        <v>113</v>
      </c>
      <c r="I1667" t="s">
        <v>79</v>
      </c>
      <c r="J1667">
        <v>1000</v>
      </c>
      <c r="K1667" t="s">
        <v>79</v>
      </c>
      <c r="L1667">
        <v>2</v>
      </c>
      <c r="M1667">
        <v>113.69</v>
      </c>
      <c r="N1667">
        <v>2.8</v>
      </c>
      <c r="Q1667">
        <v>110.89</v>
      </c>
      <c r="R1667" t="s">
        <v>798</v>
      </c>
      <c r="S1667">
        <v>20</v>
      </c>
      <c r="V1667">
        <v>20</v>
      </c>
      <c r="W1667">
        <v>0.33333333333333331</v>
      </c>
      <c r="AF1667">
        <v>0</v>
      </c>
      <c r="AG1667">
        <v>0</v>
      </c>
      <c r="AH1667">
        <v>0.33333333333333331</v>
      </c>
      <c r="AI1667">
        <v>11.666666666666666</v>
      </c>
      <c r="AJ1667">
        <v>12</v>
      </c>
      <c r="AM1667">
        <v>0</v>
      </c>
      <c r="AN1667">
        <v>117.89</v>
      </c>
      <c r="AP1667">
        <v>41</v>
      </c>
    </row>
    <row r="1668" spans="1:42" x14ac:dyDescent="0.25">
      <c r="A1668" t="s">
        <v>45</v>
      </c>
      <c r="B1668">
        <v>5</v>
      </c>
      <c r="C1668" t="s">
        <v>803</v>
      </c>
      <c r="D1668" s="39">
        <v>45936</v>
      </c>
      <c r="E1668" t="s">
        <v>486</v>
      </c>
      <c r="F1668" t="s">
        <v>79</v>
      </c>
      <c r="G1668">
        <v>9</v>
      </c>
      <c r="H1668" t="s">
        <v>113</v>
      </c>
      <c r="I1668" t="s">
        <v>79</v>
      </c>
      <c r="J1668">
        <v>1000</v>
      </c>
      <c r="K1668" t="s">
        <v>79</v>
      </c>
      <c r="L1668">
        <v>8</v>
      </c>
      <c r="M1668">
        <v>348.57</v>
      </c>
      <c r="N1668">
        <v>8.8000000000000007</v>
      </c>
      <c r="Q1668">
        <v>339.77</v>
      </c>
      <c r="R1668" t="s">
        <v>804</v>
      </c>
      <c r="V1668">
        <v>0</v>
      </c>
      <c r="W1668">
        <v>0</v>
      </c>
      <c r="AF1668">
        <v>0</v>
      </c>
      <c r="AG1668">
        <v>0</v>
      </c>
      <c r="AH1668">
        <v>0</v>
      </c>
      <c r="AI1668">
        <v>12</v>
      </c>
      <c r="AJ1668">
        <v>12</v>
      </c>
      <c r="AM1668">
        <v>0</v>
      </c>
      <c r="AN1668">
        <v>346.77</v>
      </c>
      <c r="AP1668">
        <v>41</v>
      </c>
    </row>
    <row r="1669" spans="1:42" x14ac:dyDescent="0.25">
      <c r="A1669" t="s">
        <v>46</v>
      </c>
      <c r="B1669">
        <v>5</v>
      </c>
      <c r="C1669" t="s">
        <v>803</v>
      </c>
      <c r="D1669" s="39">
        <v>45936</v>
      </c>
      <c r="E1669" t="s">
        <v>486</v>
      </c>
      <c r="F1669" t="s">
        <v>79</v>
      </c>
      <c r="G1669">
        <v>9</v>
      </c>
      <c r="H1669" t="s">
        <v>113</v>
      </c>
      <c r="I1669" t="s">
        <v>79</v>
      </c>
      <c r="J1669">
        <v>1000</v>
      </c>
      <c r="K1669" t="s">
        <v>79</v>
      </c>
      <c r="L1669">
        <v>2</v>
      </c>
      <c r="M1669">
        <v>59.87</v>
      </c>
      <c r="N1669">
        <v>1.8</v>
      </c>
      <c r="Q1669">
        <v>58.07</v>
      </c>
      <c r="R1669" t="s">
        <v>804</v>
      </c>
      <c r="S1669">
        <v>20</v>
      </c>
      <c r="V1669">
        <v>20</v>
      </c>
      <c r="W1669">
        <v>0.33333333333333331</v>
      </c>
      <c r="AF1669">
        <v>0</v>
      </c>
      <c r="AG1669">
        <v>0</v>
      </c>
      <c r="AH1669">
        <v>0.33333333333333331</v>
      </c>
      <c r="AI1669">
        <v>11.666666666666666</v>
      </c>
      <c r="AJ1669">
        <v>12</v>
      </c>
      <c r="AM1669">
        <v>0</v>
      </c>
      <c r="AN1669">
        <v>65.069999999999993</v>
      </c>
      <c r="AP1669">
        <v>41</v>
      </c>
    </row>
    <row r="1670" spans="1:42" x14ac:dyDescent="0.25">
      <c r="A1670" t="s">
        <v>46</v>
      </c>
      <c r="B1670">
        <v>5</v>
      </c>
      <c r="C1670" t="s">
        <v>423</v>
      </c>
      <c r="D1670" s="39">
        <v>45936</v>
      </c>
      <c r="E1670" t="s">
        <v>486</v>
      </c>
      <c r="F1670" t="s">
        <v>79</v>
      </c>
      <c r="G1670">
        <v>10</v>
      </c>
      <c r="H1670">
        <v>5</v>
      </c>
      <c r="I1670" t="s">
        <v>79</v>
      </c>
      <c r="J1670">
        <v>1000</v>
      </c>
      <c r="K1670" t="s">
        <v>79</v>
      </c>
      <c r="L1670">
        <v>10</v>
      </c>
      <c r="M1670">
        <v>387.85999999999996</v>
      </c>
      <c r="N1670">
        <v>10</v>
      </c>
      <c r="Q1670">
        <v>377.85999999999996</v>
      </c>
      <c r="R1670" t="s">
        <v>810</v>
      </c>
      <c r="V1670">
        <v>0</v>
      </c>
      <c r="W1670">
        <v>0</v>
      </c>
      <c r="AF1670">
        <v>0</v>
      </c>
      <c r="AG1670">
        <v>0</v>
      </c>
      <c r="AH1670">
        <v>0</v>
      </c>
      <c r="AI1670">
        <v>12</v>
      </c>
      <c r="AJ1670">
        <v>12</v>
      </c>
      <c r="AM1670">
        <v>0</v>
      </c>
      <c r="AN1670">
        <v>384.86</v>
      </c>
      <c r="AP1670">
        <v>41</v>
      </c>
    </row>
    <row r="1671" spans="1:42" x14ac:dyDescent="0.25">
      <c r="A1671" t="s">
        <v>45</v>
      </c>
      <c r="B1671">
        <v>1</v>
      </c>
      <c r="C1671" t="s">
        <v>726</v>
      </c>
      <c r="D1671" s="39">
        <v>45937</v>
      </c>
      <c r="E1671" t="s">
        <v>486</v>
      </c>
      <c r="F1671" t="s">
        <v>79</v>
      </c>
      <c r="G1671">
        <v>2.5</v>
      </c>
      <c r="H1671" t="s">
        <v>92</v>
      </c>
      <c r="I1671" t="s">
        <v>79</v>
      </c>
      <c r="J1671">
        <v>1000</v>
      </c>
      <c r="K1671" t="s">
        <v>79</v>
      </c>
      <c r="L1671">
        <v>8</v>
      </c>
      <c r="M1671">
        <v>84.52</v>
      </c>
      <c r="N1671">
        <v>1.6</v>
      </c>
      <c r="O1671">
        <v>18</v>
      </c>
      <c r="P1671">
        <v>207</v>
      </c>
      <c r="Q1671">
        <v>82.92</v>
      </c>
      <c r="R1671" t="s">
        <v>796</v>
      </c>
      <c r="V1671">
        <v>0</v>
      </c>
      <c r="W1671">
        <v>0</v>
      </c>
      <c r="AF1671">
        <v>0</v>
      </c>
      <c r="AG1671">
        <v>0</v>
      </c>
      <c r="AH1671">
        <v>0</v>
      </c>
      <c r="AI1671">
        <v>12</v>
      </c>
      <c r="AJ1671">
        <v>12</v>
      </c>
      <c r="AL1671">
        <v>1996.5</v>
      </c>
      <c r="AM1671">
        <v>0</v>
      </c>
      <c r="AN1671">
        <v>87.92</v>
      </c>
      <c r="AO1671">
        <v>398</v>
      </c>
      <c r="AP1671">
        <v>41</v>
      </c>
    </row>
    <row r="1672" spans="1:42" x14ac:dyDescent="0.25">
      <c r="A1672" t="s">
        <v>46</v>
      </c>
      <c r="B1672">
        <v>1</v>
      </c>
      <c r="C1672" t="s">
        <v>726</v>
      </c>
      <c r="D1672" s="39">
        <v>45937</v>
      </c>
      <c r="E1672" t="s">
        <v>486</v>
      </c>
      <c r="F1672" t="s">
        <v>79</v>
      </c>
      <c r="G1672">
        <v>2.5</v>
      </c>
      <c r="H1672" t="s">
        <v>92</v>
      </c>
      <c r="I1672" t="s">
        <v>79</v>
      </c>
      <c r="J1672">
        <v>1000</v>
      </c>
      <c r="K1672" t="s">
        <v>79</v>
      </c>
      <c r="L1672">
        <v>9</v>
      </c>
      <c r="M1672">
        <v>94.26</v>
      </c>
      <c r="N1672">
        <v>1.8</v>
      </c>
      <c r="O1672">
        <v>41</v>
      </c>
      <c r="Q1672">
        <v>92.460000000000008</v>
      </c>
      <c r="R1672" t="s">
        <v>796</v>
      </c>
      <c r="V1672">
        <v>0</v>
      </c>
      <c r="W1672">
        <v>0</v>
      </c>
      <c r="AF1672">
        <v>0</v>
      </c>
      <c r="AG1672">
        <v>0</v>
      </c>
      <c r="AH1672">
        <v>0</v>
      </c>
      <c r="AI1672">
        <v>12</v>
      </c>
      <c r="AJ1672">
        <v>12</v>
      </c>
      <c r="AM1672">
        <v>0</v>
      </c>
      <c r="AN1672">
        <v>97.46</v>
      </c>
      <c r="AP1672">
        <v>41</v>
      </c>
    </row>
    <row r="1673" spans="1:42" x14ac:dyDescent="0.25">
      <c r="A1673" t="s">
        <v>45</v>
      </c>
      <c r="B1673">
        <v>2</v>
      </c>
      <c r="C1673" t="s">
        <v>801</v>
      </c>
      <c r="D1673" s="39">
        <v>45937</v>
      </c>
      <c r="E1673" t="s">
        <v>596</v>
      </c>
      <c r="F1673" t="s">
        <v>79</v>
      </c>
      <c r="G1673">
        <v>5</v>
      </c>
      <c r="H1673">
        <v>10</v>
      </c>
      <c r="I1673" t="s">
        <v>79</v>
      </c>
      <c r="J1673">
        <v>100</v>
      </c>
      <c r="K1673" t="s">
        <v>79</v>
      </c>
      <c r="L1673">
        <v>6</v>
      </c>
      <c r="M1673">
        <v>90.64</v>
      </c>
      <c r="N1673">
        <v>3</v>
      </c>
      <c r="Q1673">
        <v>87.64</v>
      </c>
      <c r="R1673" t="s">
        <v>802</v>
      </c>
      <c r="S1673">
        <v>20</v>
      </c>
      <c r="V1673">
        <v>20</v>
      </c>
      <c r="W1673">
        <v>0.33333333333333331</v>
      </c>
      <c r="AF1673">
        <v>0</v>
      </c>
      <c r="AG1673">
        <v>0</v>
      </c>
      <c r="AH1673">
        <v>0.33333333333333331</v>
      </c>
      <c r="AI1673">
        <v>11.666666666666666</v>
      </c>
      <c r="AJ1673">
        <v>12</v>
      </c>
      <c r="AM1673">
        <v>0</v>
      </c>
      <c r="AN1673">
        <v>92.64</v>
      </c>
      <c r="AP1673">
        <v>41</v>
      </c>
    </row>
    <row r="1674" spans="1:42" x14ac:dyDescent="0.25">
      <c r="A1674" t="s">
        <v>45</v>
      </c>
      <c r="B1674">
        <v>2</v>
      </c>
      <c r="C1674" t="s">
        <v>799</v>
      </c>
      <c r="D1674" s="39">
        <v>45937</v>
      </c>
      <c r="E1674" t="s">
        <v>486</v>
      </c>
      <c r="F1674" t="s">
        <v>79</v>
      </c>
      <c r="G1674">
        <v>4</v>
      </c>
      <c r="H1674" t="s">
        <v>113</v>
      </c>
      <c r="I1674" t="s">
        <v>79</v>
      </c>
      <c r="J1674">
        <v>500</v>
      </c>
      <c r="K1674" t="s">
        <v>79</v>
      </c>
      <c r="L1674">
        <v>6</v>
      </c>
      <c r="M1674">
        <v>80.39</v>
      </c>
      <c r="N1674">
        <v>2.4000000000000004</v>
      </c>
      <c r="Q1674">
        <v>77.989999999999995</v>
      </c>
      <c r="R1674" t="s">
        <v>800</v>
      </c>
      <c r="V1674">
        <v>0</v>
      </c>
      <c r="W1674">
        <v>0</v>
      </c>
      <c r="AF1674">
        <v>0</v>
      </c>
      <c r="AG1674">
        <v>0</v>
      </c>
      <c r="AH1674">
        <v>0</v>
      </c>
      <c r="AI1674">
        <v>12</v>
      </c>
      <c r="AJ1674">
        <v>12</v>
      </c>
      <c r="AM1674">
        <v>0</v>
      </c>
      <c r="AN1674">
        <v>82.99</v>
      </c>
      <c r="AP1674">
        <v>41</v>
      </c>
    </row>
    <row r="1675" spans="1:42" x14ac:dyDescent="0.25">
      <c r="A1675" t="s">
        <v>46</v>
      </c>
      <c r="B1675">
        <v>2</v>
      </c>
      <c r="C1675" t="s">
        <v>799</v>
      </c>
      <c r="D1675" s="39">
        <v>45937</v>
      </c>
      <c r="E1675" t="s">
        <v>486</v>
      </c>
      <c r="F1675" t="s">
        <v>79</v>
      </c>
      <c r="G1675">
        <v>4</v>
      </c>
      <c r="H1675" t="s">
        <v>113</v>
      </c>
      <c r="I1675" t="s">
        <v>79</v>
      </c>
      <c r="J1675">
        <v>500</v>
      </c>
      <c r="K1675" t="s">
        <v>79</v>
      </c>
      <c r="L1675">
        <v>10</v>
      </c>
      <c r="M1675">
        <v>149.84</v>
      </c>
      <c r="N1675">
        <v>4</v>
      </c>
      <c r="Q1675">
        <v>145.84</v>
      </c>
      <c r="R1675" t="s">
        <v>800</v>
      </c>
      <c r="V1675">
        <v>0</v>
      </c>
      <c r="W1675">
        <v>0</v>
      </c>
      <c r="AF1675">
        <v>0</v>
      </c>
      <c r="AG1675">
        <v>0</v>
      </c>
      <c r="AH1675">
        <v>0</v>
      </c>
      <c r="AI1675">
        <v>12</v>
      </c>
      <c r="AJ1675">
        <v>12</v>
      </c>
      <c r="AM1675">
        <v>0</v>
      </c>
      <c r="AN1675">
        <v>150.84</v>
      </c>
      <c r="AP1675">
        <v>41</v>
      </c>
    </row>
    <row r="1676" spans="1:42" x14ac:dyDescent="0.25">
      <c r="A1676" t="s">
        <v>45</v>
      </c>
      <c r="B1676">
        <v>3</v>
      </c>
      <c r="C1676" t="s">
        <v>803</v>
      </c>
      <c r="D1676" s="39">
        <v>45937</v>
      </c>
      <c r="E1676" t="s">
        <v>486</v>
      </c>
      <c r="F1676" t="s">
        <v>79</v>
      </c>
      <c r="G1676">
        <v>9</v>
      </c>
      <c r="H1676" t="s">
        <v>113</v>
      </c>
      <c r="I1676" t="s">
        <v>79</v>
      </c>
      <c r="J1676">
        <v>1000</v>
      </c>
      <c r="K1676" t="s">
        <v>79</v>
      </c>
      <c r="L1676">
        <v>8</v>
      </c>
      <c r="M1676">
        <v>297.04000000000002</v>
      </c>
      <c r="N1676">
        <v>7.2</v>
      </c>
      <c r="Q1676">
        <v>289.84000000000003</v>
      </c>
      <c r="R1676" t="s">
        <v>804</v>
      </c>
      <c r="V1676">
        <v>0</v>
      </c>
      <c r="W1676">
        <v>0</v>
      </c>
      <c r="AF1676">
        <v>0</v>
      </c>
      <c r="AG1676">
        <v>0</v>
      </c>
      <c r="AH1676">
        <v>0</v>
      </c>
      <c r="AI1676">
        <v>12</v>
      </c>
      <c r="AJ1676">
        <v>12</v>
      </c>
      <c r="AM1676">
        <v>0</v>
      </c>
      <c r="AN1676">
        <v>296.84000000000003</v>
      </c>
      <c r="AP1676">
        <v>41</v>
      </c>
    </row>
    <row r="1677" spans="1:42" x14ac:dyDescent="0.25">
      <c r="A1677" t="s">
        <v>46</v>
      </c>
      <c r="B1677">
        <v>3</v>
      </c>
      <c r="C1677" t="s">
        <v>803</v>
      </c>
      <c r="D1677" s="39">
        <v>45937</v>
      </c>
      <c r="E1677" t="s">
        <v>486</v>
      </c>
      <c r="F1677" t="s">
        <v>79</v>
      </c>
      <c r="G1677">
        <v>9</v>
      </c>
      <c r="H1677" t="s">
        <v>113</v>
      </c>
      <c r="I1677" t="s">
        <v>79</v>
      </c>
      <c r="J1677">
        <v>1000</v>
      </c>
      <c r="K1677" t="s">
        <v>79</v>
      </c>
      <c r="L1677">
        <v>2</v>
      </c>
      <c r="M1677">
        <v>55.67</v>
      </c>
      <c r="N1677">
        <v>1.8</v>
      </c>
      <c r="Q1677">
        <v>53.870000000000005</v>
      </c>
      <c r="R1677" t="s">
        <v>804</v>
      </c>
      <c r="S1677">
        <v>20</v>
      </c>
      <c r="V1677">
        <v>20</v>
      </c>
      <c r="W1677">
        <v>0.33333333333333331</v>
      </c>
      <c r="AF1677">
        <v>0</v>
      </c>
      <c r="AG1677">
        <v>0</v>
      </c>
      <c r="AH1677">
        <v>0.33333333333333331</v>
      </c>
      <c r="AI1677">
        <v>11.666666666666666</v>
      </c>
      <c r="AJ1677">
        <v>12</v>
      </c>
      <c r="AM1677">
        <v>0</v>
      </c>
      <c r="AN1677">
        <v>60.870000000000005</v>
      </c>
      <c r="AP1677">
        <v>41</v>
      </c>
    </row>
    <row r="1678" spans="1:42" x14ac:dyDescent="0.25">
      <c r="A1678" t="s">
        <v>46</v>
      </c>
      <c r="B1678">
        <v>3</v>
      </c>
      <c r="C1678" t="s">
        <v>811</v>
      </c>
      <c r="D1678" s="39">
        <v>45937</v>
      </c>
      <c r="E1678" t="s">
        <v>486</v>
      </c>
      <c r="F1678" t="s">
        <v>79</v>
      </c>
      <c r="G1678">
        <v>6</v>
      </c>
      <c r="H1678">
        <v>5</v>
      </c>
      <c r="I1678" t="s">
        <v>79</v>
      </c>
      <c r="J1678">
        <v>1000</v>
      </c>
      <c r="K1678" t="s">
        <v>79</v>
      </c>
      <c r="L1678">
        <v>8</v>
      </c>
      <c r="M1678">
        <v>217.15</v>
      </c>
      <c r="N1678">
        <v>4.8</v>
      </c>
      <c r="Q1678">
        <v>212.35</v>
      </c>
      <c r="R1678" t="s">
        <v>868</v>
      </c>
      <c r="V1678">
        <v>0</v>
      </c>
      <c r="W1678">
        <v>0</v>
      </c>
      <c r="AF1678">
        <v>0</v>
      </c>
      <c r="AG1678">
        <v>0</v>
      </c>
      <c r="AH1678">
        <v>0</v>
      </c>
      <c r="AI1678">
        <v>12</v>
      </c>
      <c r="AJ1678">
        <v>12</v>
      </c>
      <c r="AM1678">
        <v>0</v>
      </c>
      <c r="AN1678">
        <v>219.35</v>
      </c>
      <c r="AP1678">
        <v>41</v>
      </c>
    </row>
    <row r="1679" spans="1:42" x14ac:dyDescent="0.25">
      <c r="A1679" t="s">
        <v>45</v>
      </c>
      <c r="B1679">
        <v>4</v>
      </c>
      <c r="C1679" t="s">
        <v>807</v>
      </c>
      <c r="D1679" s="39">
        <v>45937</v>
      </c>
      <c r="E1679" t="s">
        <v>200</v>
      </c>
      <c r="F1679" t="s">
        <v>79</v>
      </c>
      <c r="G1679">
        <v>20</v>
      </c>
      <c r="H1679">
        <v>6</v>
      </c>
      <c r="I1679" t="s">
        <v>79</v>
      </c>
      <c r="J1679">
        <v>500</v>
      </c>
      <c r="K1679" t="s">
        <v>79</v>
      </c>
      <c r="L1679">
        <v>7</v>
      </c>
      <c r="M1679">
        <v>376.6</v>
      </c>
      <c r="N1679">
        <v>17.5</v>
      </c>
      <c r="Q1679">
        <v>359.1</v>
      </c>
      <c r="R1679" t="s">
        <v>808</v>
      </c>
      <c r="S1679">
        <v>20</v>
      </c>
      <c r="V1679">
        <v>20</v>
      </c>
      <c r="W1679">
        <v>0.33333333333333331</v>
      </c>
      <c r="Y1679">
        <v>40</v>
      </c>
      <c r="AB1679">
        <v>30</v>
      </c>
      <c r="AE1679">
        <v>60</v>
      </c>
      <c r="AF1679">
        <v>130</v>
      </c>
      <c r="AG1679">
        <v>2.1666666666666665</v>
      </c>
      <c r="AH1679">
        <v>2.5</v>
      </c>
      <c r="AI1679">
        <v>9.5</v>
      </c>
      <c r="AJ1679">
        <v>12</v>
      </c>
      <c r="AM1679">
        <v>0</v>
      </c>
      <c r="AN1679">
        <v>366.1</v>
      </c>
      <c r="AP1679">
        <v>41</v>
      </c>
    </row>
    <row r="1680" spans="1:42" x14ac:dyDescent="0.25">
      <c r="A1680" t="s">
        <v>45</v>
      </c>
      <c r="B1680">
        <v>4</v>
      </c>
      <c r="C1680" t="s">
        <v>545</v>
      </c>
      <c r="D1680" s="39">
        <v>45937</v>
      </c>
      <c r="E1680" t="s">
        <v>486</v>
      </c>
      <c r="F1680" t="s">
        <v>79</v>
      </c>
      <c r="G1680">
        <v>16</v>
      </c>
      <c r="H1680">
        <v>5</v>
      </c>
      <c r="I1680" t="s">
        <v>79</v>
      </c>
      <c r="J1680">
        <v>500</v>
      </c>
      <c r="K1680" t="s">
        <v>79</v>
      </c>
      <c r="L1680">
        <v>3</v>
      </c>
      <c r="M1680">
        <v>147.93</v>
      </c>
      <c r="N1680">
        <v>5.6999999999999993</v>
      </c>
      <c r="Q1680">
        <v>142.23000000000002</v>
      </c>
      <c r="R1680" t="s">
        <v>812</v>
      </c>
      <c r="V1680">
        <v>0</v>
      </c>
      <c r="W1680">
        <v>0</v>
      </c>
      <c r="AF1680">
        <v>0</v>
      </c>
      <c r="AG1680">
        <v>0</v>
      </c>
      <c r="AH1680">
        <v>0</v>
      </c>
      <c r="AI1680">
        <v>12</v>
      </c>
      <c r="AJ1680">
        <v>12</v>
      </c>
      <c r="AM1680">
        <v>0</v>
      </c>
      <c r="AN1680">
        <v>149.23000000000002</v>
      </c>
      <c r="AP1680">
        <v>41</v>
      </c>
    </row>
    <row r="1681" spans="1:42" x14ac:dyDescent="0.25">
      <c r="A1681" t="s">
        <v>45</v>
      </c>
      <c r="B1681">
        <v>4</v>
      </c>
      <c r="C1681" t="s">
        <v>813</v>
      </c>
      <c r="D1681" s="39">
        <v>45937</v>
      </c>
      <c r="E1681" t="s">
        <v>814</v>
      </c>
      <c r="F1681" t="s">
        <v>79</v>
      </c>
      <c r="G1681">
        <v>16</v>
      </c>
      <c r="H1681">
        <v>5.5</v>
      </c>
      <c r="I1681" t="s">
        <v>79</v>
      </c>
      <c r="J1681">
        <v>80</v>
      </c>
      <c r="K1681" t="s">
        <v>79</v>
      </c>
      <c r="L1681">
        <v>2</v>
      </c>
      <c r="M1681">
        <v>90.98</v>
      </c>
      <c r="N1681">
        <v>2.5</v>
      </c>
      <c r="Q1681">
        <v>88.48</v>
      </c>
      <c r="R1681" t="s">
        <v>815</v>
      </c>
      <c r="V1681">
        <v>0</v>
      </c>
      <c r="W1681">
        <v>0</v>
      </c>
      <c r="AF1681">
        <v>0</v>
      </c>
      <c r="AG1681">
        <v>0</v>
      </c>
      <c r="AH1681">
        <v>0</v>
      </c>
      <c r="AI1681">
        <v>12</v>
      </c>
      <c r="AJ1681">
        <v>12</v>
      </c>
      <c r="AM1681">
        <v>0</v>
      </c>
      <c r="AN1681">
        <v>95.48</v>
      </c>
      <c r="AP1681">
        <v>41</v>
      </c>
    </row>
    <row r="1682" spans="1:42" x14ac:dyDescent="0.25">
      <c r="A1682" t="s">
        <v>46</v>
      </c>
      <c r="B1682">
        <v>4</v>
      </c>
      <c r="C1682" t="s">
        <v>816</v>
      </c>
      <c r="D1682" s="39">
        <v>45937</v>
      </c>
      <c r="E1682" t="s">
        <v>814</v>
      </c>
      <c r="F1682" t="s">
        <v>79</v>
      </c>
      <c r="G1682">
        <v>15</v>
      </c>
      <c r="H1682">
        <v>5.5</v>
      </c>
      <c r="I1682" t="s">
        <v>79</v>
      </c>
      <c r="J1682">
        <v>80</v>
      </c>
      <c r="K1682" t="s">
        <v>79</v>
      </c>
      <c r="L1682">
        <v>2</v>
      </c>
      <c r="M1682">
        <v>73.75</v>
      </c>
      <c r="N1682">
        <v>3</v>
      </c>
      <c r="Q1682">
        <v>70.75</v>
      </c>
      <c r="R1682" t="s">
        <v>817</v>
      </c>
      <c r="S1682">
        <v>20</v>
      </c>
      <c r="V1682">
        <v>20</v>
      </c>
      <c r="W1682">
        <v>0.33333333333333331</v>
      </c>
      <c r="Z1682">
        <v>55</v>
      </c>
      <c r="AD1682">
        <v>30</v>
      </c>
      <c r="AF1682">
        <v>85</v>
      </c>
      <c r="AG1682">
        <v>1.4166666666666667</v>
      </c>
      <c r="AH1682">
        <v>1.75</v>
      </c>
      <c r="AI1682">
        <v>10.25</v>
      </c>
      <c r="AJ1682">
        <v>12</v>
      </c>
      <c r="AM1682">
        <v>0</v>
      </c>
      <c r="AN1682">
        <v>77.75</v>
      </c>
      <c r="AP1682">
        <v>41</v>
      </c>
    </row>
    <row r="1683" spans="1:42" x14ac:dyDescent="0.25">
      <c r="A1683" t="s">
        <v>46</v>
      </c>
      <c r="B1683">
        <v>4</v>
      </c>
      <c r="C1683" t="s">
        <v>809</v>
      </c>
      <c r="D1683" s="39">
        <v>45937</v>
      </c>
      <c r="E1683" t="s">
        <v>629</v>
      </c>
      <c r="F1683" t="s">
        <v>79</v>
      </c>
      <c r="G1683">
        <v>17</v>
      </c>
      <c r="H1683" t="s">
        <v>92</v>
      </c>
      <c r="I1683" t="s">
        <v>79</v>
      </c>
      <c r="J1683">
        <v>5000</v>
      </c>
      <c r="K1683" t="s">
        <v>79</v>
      </c>
      <c r="L1683">
        <v>12</v>
      </c>
      <c r="M1683">
        <v>656.24999999999989</v>
      </c>
      <c r="N1683">
        <v>20.399999999999999</v>
      </c>
      <c r="Q1683">
        <v>635.84999999999991</v>
      </c>
      <c r="R1683" t="s">
        <v>867</v>
      </c>
      <c r="V1683">
        <v>0</v>
      </c>
      <c r="W1683">
        <v>0</v>
      </c>
      <c r="AF1683">
        <v>0</v>
      </c>
      <c r="AG1683">
        <v>0</v>
      </c>
      <c r="AH1683">
        <v>0</v>
      </c>
      <c r="AI1683">
        <v>12</v>
      </c>
      <c r="AJ1683">
        <v>12</v>
      </c>
      <c r="AM1683">
        <v>0</v>
      </c>
      <c r="AN1683">
        <v>642.84999999999991</v>
      </c>
      <c r="AP1683">
        <v>41</v>
      </c>
    </row>
    <row r="1684" spans="1:42" x14ac:dyDescent="0.25">
      <c r="A1684" t="s">
        <v>45</v>
      </c>
      <c r="B1684">
        <v>5</v>
      </c>
      <c r="C1684" t="s">
        <v>818</v>
      </c>
      <c r="D1684" s="39">
        <v>45937</v>
      </c>
      <c r="E1684" t="s">
        <v>819</v>
      </c>
      <c r="F1684" t="s">
        <v>79</v>
      </c>
      <c r="G1684">
        <v>10</v>
      </c>
      <c r="H1684">
        <v>8</v>
      </c>
      <c r="I1684" t="s">
        <v>79</v>
      </c>
      <c r="J1684">
        <v>50</v>
      </c>
      <c r="K1684" t="s">
        <v>79</v>
      </c>
      <c r="L1684">
        <v>2</v>
      </c>
      <c r="M1684">
        <v>56.8</v>
      </c>
      <c r="N1684">
        <v>2</v>
      </c>
      <c r="Q1684">
        <v>54.8</v>
      </c>
      <c r="R1684" t="s">
        <v>820</v>
      </c>
      <c r="V1684">
        <v>0</v>
      </c>
      <c r="W1684">
        <v>0</v>
      </c>
      <c r="AF1684">
        <v>0</v>
      </c>
      <c r="AG1684">
        <v>0</v>
      </c>
      <c r="AH1684">
        <v>0</v>
      </c>
      <c r="AI1684">
        <v>12</v>
      </c>
      <c r="AJ1684">
        <v>12</v>
      </c>
      <c r="AM1684">
        <v>0</v>
      </c>
      <c r="AN1684">
        <v>61.8</v>
      </c>
      <c r="AP1684">
        <v>41</v>
      </c>
    </row>
    <row r="1685" spans="1:42" x14ac:dyDescent="0.25">
      <c r="A1685" t="s">
        <v>45</v>
      </c>
      <c r="B1685">
        <v>5</v>
      </c>
      <c r="C1685" t="s">
        <v>423</v>
      </c>
      <c r="D1685" s="39">
        <v>45937</v>
      </c>
      <c r="E1685" t="s">
        <v>486</v>
      </c>
      <c r="F1685" t="s">
        <v>79</v>
      </c>
      <c r="G1685">
        <v>10</v>
      </c>
      <c r="H1685">
        <v>5</v>
      </c>
      <c r="I1685" t="s">
        <v>79</v>
      </c>
      <c r="J1685">
        <v>1000</v>
      </c>
      <c r="K1685" t="s">
        <v>79</v>
      </c>
      <c r="L1685">
        <v>8</v>
      </c>
      <c r="M1685">
        <v>382.41</v>
      </c>
      <c r="N1685">
        <v>8</v>
      </c>
      <c r="Q1685">
        <v>374.41</v>
      </c>
      <c r="R1685" t="s">
        <v>810</v>
      </c>
      <c r="V1685">
        <v>0</v>
      </c>
      <c r="W1685">
        <v>0</v>
      </c>
      <c r="AF1685">
        <v>0</v>
      </c>
      <c r="AG1685">
        <v>0</v>
      </c>
      <c r="AH1685">
        <v>0</v>
      </c>
      <c r="AI1685">
        <v>12</v>
      </c>
      <c r="AJ1685">
        <v>12</v>
      </c>
      <c r="AM1685">
        <v>0</v>
      </c>
      <c r="AN1685">
        <v>381.41</v>
      </c>
      <c r="AP1685">
        <v>41</v>
      </c>
    </row>
    <row r="1686" spans="1:42" x14ac:dyDescent="0.25">
      <c r="A1686" t="s">
        <v>46</v>
      </c>
      <c r="B1686">
        <v>5</v>
      </c>
      <c r="C1686" t="s">
        <v>423</v>
      </c>
      <c r="D1686" s="39">
        <v>45937</v>
      </c>
      <c r="E1686" t="s">
        <v>486</v>
      </c>
      <c r="F1686" t="s">
        <v>79</v>
      </c>
      <c r="G1686">
        <v>10</v>
      </c>
      <c r="H1686">
        <v>5</v>
      </c>
      <c r="I1686" t="s">
        <v>79</v>
      </c>
      <c r="J1686">
        <v>1000</v>
      </c>
      <c r="K1686" t="s">
        <v>79</v>
      </c>
      <c r="L1686">
        <v>6</v>
      </c>
      <c r="M1686">
        <v>274.34000000000003</v>
      </c>
      <c r="N1686">
        <v>6</v>
      </c>
      <c r="Q1686">
        <v>268.34000000000003</v>
      </c>
      <c r="R1686" t="s">
        <v>810</v>
      </c>
      <c r="S1686">
        <v>20</v>
      </c>
      <c r="V1686">
        <v>20</v>
      </c>
      <c r="W1686">
        <v>0.33333333333333331</v>
      </c>
      <c r="AF1686">
        <v>0</v>
      </c>
      <c r="AG1686">
        <v>0</v>
      </c>
      <c r="AH1686">
        <v>0.33333333333333331</v>
      </c>
      <c r="AI1686">
        <v>11.666666666666666</v>
      </c>
      <c r="AJ1686">
        <v>12</v>
      </c>
      <c r="AM1686">
        <v>0</v>
      </c>
      <c r="AN1686">
        <v>275.34000000000003</v>
      </c>
      <c r="AP1686">
        <v>41</v>
      </c>
    </row>
    <row r="1687" spans="1:42" x14ac:dyDescent="0.25">
      <c r="A1687" t="s">
        <v>46</v>
      </c>
      <c r="B1687">
        <v>5</v>
      </c>
      <c r="C1687" t="s">
        <v>821</v>
      </c>
      <c r="D1687" s="39">
        <v>45937</v>
      </c>
      <c r="E1687" t="s">
        <v>486</v>
      </c>
      <c r="F1687" t="s">
        <v>79</v>
      </c>
      <c r="G1687">
        <v>12</v>
      </c>
      <c r="H1687">
        <v>5</v>
      </c>
      <c r="I1687" t="s">
        <v>79</v>
      </c>
      <c r="J1687">
        <v>500</v>
      </c>
      <c r="K1687" t="s">
        <v>79</v>
      </c>
      <c r="L1687">
        <v>4</v>
      </c>
      <c r="M1687">
        <v>217.79000000000002</v>
      </c>
      <c r="N1687">
        <v>6</v>
      </c>
      <c r="Q1687">
        <v>211.79000000000002</v>
      </c>
      <c r="R1687" t="s">
        <v>1343</v>
      </c>
      <c r="V1687">
        <v>0</v>
      </c>
      <c r="W1687">
        <v>0</v>
      </c>
      <c r="AF1687">
        <v>0</v>
      </c>
      <c r="AG1687">
        <v>0</v>
      </c>
      <c r="AH1687">
        <v>0</v>
      </c>
      <c r="AI1687">
        <v>12</v>
      </c>
      <c r="AJ1687">
        <v>12</v>
      </c>
      <c r="AM1687">
        <v>0</v>
      </c>
      <c r="AN1687">
        <v>218.79</v>
      </c>
      <c r="AP1687">
        <v>41</v>
      </c>
    </row>
    <row r="1688" spans="1:42" x14ac:dyDescent="0.25">
      <c r="A1688" t="s">
        <v>45</v>
      </c>
      <c r="B1688">
        <v>1</v>
      </c>
      <c r="C1688" t="s">
        <v>726</v>
      </c>
      <c r="D1688" s="39">
        <v>45938</v>
      </c>
      <c r="E1688" t="s">
        <v>486</v>
      </c>
      <c r="F1688" t="s">
        <v>79</v>
      </c>
      <c r="G1688">
        <v>2.5</v>
      </c>
      <c r="H1688" t="s">
        <v>92</v>
      </c>
      <c r="I1688" t="s">
        <v>79</v>
      </c>
      <c r="J1688">
        <v>1000</v>
      </c>
      <c r="K1688" t="s">
        <v>79</v>
      </c>
      <c r="L1688">
        <v>11</v>
      </c>
      <c r="M1688">
        <v>108.8</v>
      </c>
      <c r="N1688">
        <v>2.2000000000000002</v>
      </c>
      <c r="O1688">
        <v>14</v>
      </c>
      <c r="Q1688">
        <v>106.6</v>
      </c>
      <c r="R1688" t="s">
        <v>796</v>
      </c>
      <c r="V1688">
        <v>0</v>
      </c>
      <c r="W1688">
        <v>0</v>
      </c>
      <c r="AF1688">
        <v>0</v>
      </c>
      <c r="AG1688">
        <v>0</v>
      </c>
      <c r="AH1688">
        <v>0</v>
      </c>
      <c r="AI1688">
        <v>12</v>
      </c>
      <c r="AJ1688">
        <v>12</v>
      </c>
      <c r="AL1688">
        <v>2129</v>
      </c>
      <c r="AM1688">
        <v>0</v>
      </c>
      <c r="AN1688">
        <v>111.6</v>
      </c>
      <c r="AO1688">
        <v>398</v>
      </c>
      <c r="AP1688">
        <v>41</v>
      </c>
    </row>
    <row r="1689" spans="1:42" x14ac:dyDescent="0.25">
      <c r="A1689" t="s">
        <v>46</v>
      </c>
      <c r="B1689">
        <v>1</v>
      </c>
      <c r="C1689" t="s">
        <v>726</v>
      </c>
      <c r="D1689" s="39">
        <v>45938</v>
      </c>
      <c r="E1689" t="s">
        <v>486</v>
      </c>
      <c r="F1689" t="s">
        <v>79</v>
      </c>
      <c r="G1689">
        <v>2.5</v>
      </c>
      <c r="H1689" t="s">
        <v>92</v>
      </c>
      <c r="I1689" t="s">
        <v>79</v>
      </c>
      <c r="J1689">
        <v>1000</v>
      </c>
      <c r="K1689" t="s">
        <v>79</v>
      </c>
      <c r="L1689">
        <v>11</v>
      </c>
      <c r="M1689">
        <v>104.89999999999999</v>
      </c>
      <c r="N1689">
        <v>2.2000000000000002</v>
      </c>
      <c r="O1689">
        <v>30</v>
      </c>
      <c r="Q1689">
        <v>102.69999999999999</v>
      </c>
      <c r="R1689" t="s">
        <v>796</v>
      </c>
      <c r="V1689">
        <v>0</v>
      </c>
      <c r="W1689">
        <v>0</v>
      </c>
      <c r="AF1689">
        <v>0</v>
      </c>
      <c r="AG1689">
        <v>0</v>
      </c>
      <c r="AH1689">
        <v>0</v>
      </c>
      <c r="AI1689">
        <v>12</v>
      </c>
      <c r="AJ1689">
        <v>12</v>
      </c>
      <c r="AM1689">
        <v>0</v>
      </c>
      <c r="AN1689">
        <v>107.7</v>
      </c>
      <c r="AP1689">
        <v>41</v>
      </c>
    </row>
    <row r="1690" spans="1:42" x14ac:dyDescent="0.25">
      <c r="A1690" t="s">
        <v>45</v>
      </c>
      <c r="B1690">
        <v>2</v>
      </c>
      <c r="C1690" t="s">
        <v>799</v>
      </c>
      <c r="D1690" s="39">
        <v>45938</v>
      </c>
      <c r="E1690" t="s">
        <v>486</v>
      </c>
      <c r="F1690" t="s">
        <v>79</v>
      </c>
      <c r="G1690">
        <v>4</v>
      </c>
      <c r="H1690" t="s">
        <v>113</v>
      </c>
      <c r="I1690" t="s">
        <v>79</v>
      </c>
      <c r="J1690">
        <v>500</v>
      </c>
      <c r="K1690" t="s">
        <v>79</v>
      </c>
      <c r="L1690">
        <v>14</v>
      </c>
      <c r="M1690">
        <v>157.19000000000003</v>
      </c>
      <c r="N1690">
        <v>5.6000000000000005</v>
      </c>
      <c r="Q1690">
        <v>151.59000000000003</v>
      </c>
      <c r="R1690" t="s">
        <v>800</v>
      </c>
      <c r="V1690">
        <v>0</v>
      </c>
      <c r="W1690">
        <v>0</v>
      </c>
      <c r="AF1690">
        <v>0</v>
      </c>
      <c r="AG1690">
        <v>0</v>
      </c>
      <c r="AH1690">
        <v>0</v>
      </c>
      <c r="AI1690">
        <v>12</v>
      </c>
      <c r="AJ1690">
        <v>12</v>
      </c>
      <c r="AM1690">
        <v>0</v>
      </c>
      <c r="AN1690">
        <v>156.59000000000003</v>
      </c>
      <c r="AP1690">
        <v>41</v>
      </c>
    </row>
    <row r="1691" spans="1:42" x14ac:dyDescent="0.25">
      <c r="A1691" t="s">
        <v>46</v>
      </c>
      <c r="B1691">
        <v>2</v>
      </c>
      <c r="C1691" t="s">
        <v>799</v>
      </c>
      <c r="D1691" s="39">
        <v>45938</v>
      </c>
      <c r="E1691" t="s">
        <v>486</v>
      </c>
      <c r="F1691" t="s">
        <v>79</v>
      </c>
      <c r="G1691">
        <v>4</v>
      </c>
      <c r="H1691" t="s">
        <v>113</v>
      </c>
      <c r="I1691" t="s">
        <v>79</v>
      </c>
      <c r="J1691">
        <v>500</v>
      </c>
      <c r="K1691" t="s">
        <v>79</v>
      </c>
      <c r="L1691">
        <v>5</v>
      </c>
      <c r="M1691">
        <v>73.72999999999999</v>
      </c>
      <c r="N1691">
        <v>2</v>
      </c>
      <c r="Q1691">
        <v>71.72999999999999</v>
      </c>
      <c r="R1691" t="s">
        <v>800</v>
      </c>
      <c r="V1691">
        <v>0</v>
      </c>
      <c r="W1691">
        <v>0</v>
      </c>
      <c r="AF1691">
        <v>0</v>
      </c>
      <c r="AG1691">
        <v>0</v>
      </c>
      <c r="AH1691">
        <v>0</v>
      </c>
      <c r="AI1691">
        <v>12</v>
      </c>
      <c r="AJ1691">
        <v>12</v>
      </c>
      <c r="AM1691">
        <v>0</v>
      </c>
      <c r="AN1691">
        <v>76.72999999999999</v>
      </c>
      <c r="AP1691">
        <v>41</v>
      </c>
    </row>
    <row r="1692" spans="1:42" x14ac:dyDescent="0.25">
      <c r="A1692" t="s">
        <v>46</v>
      </c>
      <c r="B1692">
        <v>2</v>
      </c>
      <c r="C1692" t="s">
        <v>822</v>
      </c>
      <c r="D1692" s="39">
        <v>45938</v>
      </c>
      <c r="E1692" t="s">
        <v>486</v>
      </c>
      <c r="F1692" t="s">
        <v>79</v>
      </c>
      <c r="G1692">
        <v>3</v>
      </c>
      <c r="H1692" t="s">
        <v>92</v>
      </c>
      <c r="I1692" t="s">
        <v>79</v>
      </c>
      <c r="J1692">
        <v>400</v>
      </c>
      <c r="K1692" t="s">
        <v>79</v>
      </c>
      <c r="L1692">
        <v>11</v>
      </c>
      <c r="M1692">
        <v>69.77000000000001</v>
      </c>
      <c r="N1692">
        <v>1.7999999999999998</v>
      </c>
      <c r="Q1692">
        <v>67.970000000000013</v>
      </c>
      <c r="R1692" t="s">
        <v>823</v>
      </c>
      <c r="V1692">
        <v>0</v>
      </c>
      <c r="W1692">
        <v>0</v>
      </c>
      <c r="AF1692">
        <v>0</v>
      </c>
      <c r="AG1692">
        <v>0</v>
      </c>
      <c r="AH1692">
        <v>0</v>
      </c>
      <c r="AI1692">
        <v>12</v>
      </c>
      <c r="AJ1692">
        <v>12</v>
      </c>
      <c r="AM1692">
        <v>0</v>
      </c>
      <c r="AN1692">
        <v>72.970000000000013</v>
      </c>
      <c r="AP1692">
        <v>41</v>
      </c>
    </row>
    <row r="1693" spans="1:42" x14ac:dyDescent="0.25">
      <c r="A1693" t="s">
        <v>45</v>
      </c>
      <c r="B1693">
        <v>3</v>
      </c>
      <c r="C1693" t="s">
        <v>811</v>
      </c>
      <c r="D1693" s="39">
        <v>45938</v>
      </c>
      <c r="E1693" t="s">
        <v>486</v>
      </c>
      <c r="F1693" t="s">
        <v>79</v>
      </c>
      <c r="G1693">
        <v>6</v>
      </c>
      <c r="H1693">
        <v>5</v>
      </c>
      <c r="I1693" t="s">
        <v>79</v>
      </c>
      <c r="J1693">
        <v>1000</v>
      </c>
      <c r="K1693" t="s">
        <v>79</v>
      </c>
      <c r="L1693">
        <v>11</v>
      </c>
      <c r="M1693">
        <v>308.62</v>
      </c>
      <c r="N1693">
        <v>8.8000000000000007</v>
      </c>
      <c r="Q1693">
        <v>299.82</v>
      </c>
      <c r="R1693" t="s">
        <v>868</v>
      </c>
      <c r="V1693">
        <v>0</v>
      </c>
      <c r="W1693">
        <v>0</v>
      </c>
      <c r="AF1693">
        <v>0</v>
      </c>
      <c r="AG1693">
        <v>0</v>
      </c>
      <c r="AH1693">
        <v>0</v>
      </c>
      <c r="AI1693">
        <v>12</v>
      </c>
      <c r="AJ1693">
        <v>12</v>
      </c>
      <c r="AM1693">
        <v>0</v>
      </c>
      <c r="AN1693">
        <v>306.82</v>
      </c>
      <c r="AP1693">
        <v>41</v>
      </c>
    </row>
    <row r="1694" spans="1:42" x14ac:dyDescent="0.25">
      <c r="A1694" t="s">
        <v>46</v>
      </c>
      <c r="B1694">
        <v>3</v>
      </c>
      <c r="C1694" t="s">
        <v>811</v>
      </c>
      <c r="D1694" s="39">
        <v>45938</v>
      </c>
      <c r="E1694" t="s">
        <v>486</v>
      </c>
      <c r="F1694" t="s">
        <v>79</v>
      </c>
      <c r="G1694">
        <v>6</v>
      </c>
      <c r="H1694">
        <v>5</v>
      </c>
      <c r="I1694" t="s">
        <v>79</v>
      </c>
      <c r="J1694">
        <v>1000</v>
      </c>
      <c r="K1694" t="s">
        <v>79</v>
      </c>
      <c r="L1694">
        <v>12</v>
      </c>
      <c r="M1694">
        <v>317.38000000000005</v>
      </c>
      <c r="N1694">
        <v>9.6000000000000014</v>
      </c>
      <c r="Q1694">
        <v>307.78000000000003</v>
      </c>
      <c r="R1694" t="s">
        <v>868</v>
      </c>
      <c r="V1694">
        <v>0</v>
      </c>
      <c r="W1694">
        <v>0</v>
      </c>
      <c r="AF1694">
        <v>0</v>
      </c>
      <c r="AG1694">
        <v>0</v>
      </c>
      <c r="AH1694">
        <v>0</v>
      </c>
      <c r="AI1694">
        <v>12</v>
      </c>
      <c r="AJ1694">
        <v>12</v>
      </c>
      <c r="AM1694">
        <v>0</v>
      </c>
      <c r="AN1694">
        <v>314.78000000000003</v>
      </c>
      <c r="AP1694">
        <v>41</v>
      </c>
    </row>
    <row r="1695" spans="1:42" x14ac:dyDescent="0.25">
      <c r="A1695" t="s">
        <v>45</v>
      </c>
      <c r="B1695">
        <v>4</v>
      </c>
      <c r="C1695" t="s">
        <v>809</v>
      </c>
      <c r="D1695" s="39">
        <v>45938</v>
      </c>
      <c r="E1695" t="s">
        <v>629</v>
      </c>
      <c r="F1695" t="s">
        <v>79</v>
      </c>
      <c r="G1695">
        <v>17</v>
      </c>
      <c r="H1695" t="s">
        <v>92</v>
      </c>
      <c r="I1695" t="s">
        <v>79</v>
      </c>
      <c r="J1695">
        <v>5000</v>
      </c>
      <c r="K1695" t="s">
        <v>79</v>
      </c>
      <c r="L1695">
        <v>15</v>
      </c>
      <c r="M1695">
        <v>812.62000000000023</v>
      </c>
      <c r="N1695">
        <v>30.749999999999996</v>
      </c>
      <c r="Q1695">
        <v>781.87000000000023</v>
      </c>
      <c r="R1695" t="s">
        <v>867</v>
      </c>
      <c r="V1695">
        <v>0</v>
      </c>
      <c r="W1695">
        <v>0</v>
      </c>
      <c r="AF1695">
        <v>0</v>
      </c>
      <c r="AG1695">
        <v>0</v>
      </c>
      <c r="AH1695">
        <v>0</v>
      </c>
      <c r="AI1695">
        <v>12</v>
      </c>
      <c r="AJ1695">
        <v>12</v>
      </c>
      <c r="AM1695">
        <v>0</v>
      </c>
      <c r="AN1695">
        <v>788.87000000000012</v>
      </c>
      <c r="AP1695">
        <v>41</v>
      </c>
    </row>
    <row r="1696" spans="1:42" x14ac:dyDescent="0.25">
      <c r="A1696" t="s">
        <v>46</v>
      </c>
      <c r="B1696">
        <v>4</v>
      </c>
      <c r="C1696" t="s">
        <v>809</v>
      </c>
      <c r="D1696" s="39">
        <v>45938</v>
      </c>
      <c r="E1696" t="s">
        <v>629</v>
      </c>
      <c r="F1696" t="s">
        <v>79</v>
      </c>
      <c r="G1696">
        <v>17</v>
      </c>
      <c r="H1696" t="s">
        <v>92</v>
      </c>
      <c r="I1696" t="s">
        <v>79</v>
      </c>
      <c r="J1696">
        <v>5000</v>
      </c>
      <c r="K1696" t="s">
        <v>79</v>
      </c>
      <c r="L1696">
        <v>14</v>
      </c>
      <c r="M1696">
        <v>772.22</v>
      </c>
      <c r="N1696">
        <v>30.749999999999996</v>
      </c>
      <c r="Q1696">
        <v>741.47</v>
      </c>
      <c r="R1696" t="s">
        <v>867</v>
      </c>
      <c r="V1696">
        <v>0</v>
      </c>
      <c r="W1696">
        <v>0</v>
      </c>
      <c r="AF1696">
        <v>0</v>
      </c>
      <c r="AG1696">
        <v>0</v>
      </c>
      <c r="AH1696">
        <v>0</v>
      </c>
      <c r="AI1696">
        <v>12</v>
      </c>
      <c r="AJ1696">
        <v>12</v>
      </c>
      <c r="AM1696">
        <v>0</v>
      </c>
      <c r="AN1696">
        <v>748.47</v>
      </c>
      <c r="AP1696">
        <v>41</v>
      </c>
    </row>
    <row r="1697" spans="1:42" x14ac:dyDescent="0.25">
      <c r="A1697" t="s">
        <v>45</v>
      </c>
      <c r="B1697">
        <v>5</v>
      </c>
      <c r="C1697" t="s">
        <v>821</v>
      </c>
      <c r="D1697" s="39">
        <v>45938</v>
      </c>
      <c r="E1697" t="s">
        <v>486</v>
      </c>
      <c r="F1697" t="s">
        <v>79</v>
      </c>
      <c r="G1697">
        <v>12</v>
      </c>
      <c r="H1697">
        <v>5</v>
      </c>
      <c r="I1697" t="s">
        <v>79</v>
      </c>
      <c r="J1697">
        <v>500</v>
      </c>
      <c r="K1697" t="s">
        <v>79</v>
      </c>
      <c r="L1697">
        <v>6</v>
      </c>
      <c r="M1697">
        <v>307.51</v>
      </c>
      <c r="N1697">
        <v>7.1999999999999993</v>
      </c>
      <c r="Q1697">
        <v>300.31</v>
      </c>
      <c r="R1697" t="s">
        <v>1343</v>
      </c>
      <c r="S1697">
        <v>30</v>
      </c>
      <c r="V1697">
        <v>30</v>
      </c>
      <c r="W1697">
        <v>0.5</v>
      </c>
      <c r="AF1697">
        <v>0</v>
      </c>
      <c r="AG1697">
        <v>0</v>
      </c>
      <c r="AH1697">
        <v>0.5</v>
      </c>
      <c r="AI1697">
        <v>11.5</v>
      </c>
      <c r="AJ1697">
        <v>12</v>
      </c>
      <c r="AM1697">
        <v>0</v>
      </c>
      <c r="AN1697">
        <v>307.31</v>
      </c>
      <c r="AP1697">
        <v>41</v>
      </c>
    </row>
    <row r="1698" spans="1:42" x14ac:dyDescent="0.25">
      <c r="A1698" t="s">
        <v>45</v>
      </c>
      <c r="B1698">
        <v>5</v>
      </c>
      <c r="C1698" t="s">
        <v>824</v>
      </c>
      <c r="D1698" s="39">
        <v>45938</v>
      </c>
      <c r="E1698" t="s">
        <v>825</v>
      </c>
      <c r="F1698" t="s">
        <v>79</v>
      </c>
      <c r="G1698" t="s">
        <v>140</v>
      </c>
      <c r="H1698">
        <v>4.5</v>
      </c>
      <c r="I1698" t="s">
        <v>79</v>
      </c>
      <c r="J1698">
        <v>100</v>
      </c>
      <c r="K1698" t="s">
        <v>79</v>
      </c>
      <c r="L1698">
        <v>4</v>
      </c>
      <c r="M1698">
        <v>109.61</v>
      </c>
      <c r="N1698">
        <v>4.8</v>
      </c>
      <c r="Q1698">
        <v>104.81</v>
      </c>
      <c r="R1698" t="s">
        <v>826</v>
      </c>
      <c r="V1698">
        <v>0</v>
      </c>
      <c r="W1698">
        <v>0</v>
      </c>
      <c r="AF1698">
        <v>0</v>
      </c>
      <c r="AG1698">
        <v>0</v>
      </c>
      <c r="AH1698">
        <v>0</v>
      </c>
      <c r="AI1698">
        <v>12</v>
      </c>
      <c r="AJ1698">
        <v>12</v>
      </c>
      <c r="AM1698">
        <v>0</v>
      </c>
      <c r="AN1698">
        <v>111.81</v>
      </c>
      <c r="AP1698">
        <v>41</v>
      </c>
    </row>
    <row r="1699" spans="1:42" x14ac:dyDescent="0.25">
      <c r="A1699" t="s">
        <v>45</v>
      </c>
      <c r="B1699">
        <v>5</v>
      </c>
      <c r="C1699" t="s">
        <v>827</v>
      </c>
      <c r="D1699" s="39">
        <v>45938</v>
      </c>
      <c r="E1699" t="s">
        <v>828</v>
      </c>
      <c r="F1699" t="s">
        <v>79</v>
      </c>
      <c r="G1699" t="s">
        <v>688</v>
      </c>
      <c r="H1699">
        <v>7</v>
      </c>
      <c r="I1699" t="s">
        <v>79</v>
      </c>
      <c r="J1699">
        <v>125</v>
      </c>
      <c r="K1699" t="s">
        <v>79</v>
      </c>
      <c r="L1699">
        <v>3</v>
      </c>
      <c r="M1699">
        <v>128.63</v>
      </c>
      <c r="N1699">
        <v>3.3000000000000003</v>
      </c>
      <c r="Q1699">
        <v>125.33</v>
      </c>
      <c r="R1699" t="s">
        <v>829</v>
      </c>
      <c r="V1699">
        <v>0</v>
      </c>
      <c r="W1699">
        <v>0</v>
      </c>
      <c r="AF1699">
        <v>0</v>
      </c>
      <c r="AG1699">
        <v>0</v>
      </c>
      <c r="AH1699">
        <v>0</v>
      </c>
      <c r="AI1699">
        <v>12</v>
      </c>
      <c r="AJ1699">
        <v>12</v>
      </c>
      <c r="AM1699">
        <v>0</v>
      </c>
      <c r="AN1699">
        <v>132.32999999999998</v>
      </c>
      <c r="AP1699">
        <v>41</v>
      </c>
    </row>
    <row r="1700" spans="1:42" x14ac:dyDescent="0.25">
      <c r="A1700" t="s">
        <v>46</v>
      </c>
      <c r="B1700">
        <v>5</v>
      </c>
      <c r="C1700" t="s">
        <v>827</v>
      </c>
      <c r="D1700" s="39">
        <v>45938</v>
      </c>
      <c r="E1700" t="s">
        <v>828</v>
      </c>
      <c r="F1700" t="s">
        <v>79</v>
      </c>
      <c r="G1700" t="s">
        <v>688</v>
      </c>
      <c r="H1700">
        <v>7</v>
      </c>
      <c r="I1700" t="s">
        <v>79</v>
      </c>
      <c r="J1700">
        <v>125</v>
      </c>
      <c r="K1700" t="s">
        <v>79</v>
      </c>
      <c r="L1700">
        <v>3</v>
      </c>
      <c r="M1700">
        <v>118.30000000000001</v>
      </c>
      <c r="N1700">
        <v>3.3000000000000003</v>
      </c>
      <c r="Q1700">
        <v>115.00000000000001</v>
      </c>
      <c r="R1700" t="s">
        <v>829</v>
      </c>
      <c r="V1700">
        <v>0</v>
      </c>
      <c r="W1700">
        <v>0</v>
      </c>
      <c r="AF1700">
        <v>0</v>
      </c>
      <c r="AG1700">
        <v>0</v>
      </c>
      <c r="AH1700">
        <v>0</v>
      </c>
      <c r="AI1700">
        <v>12</v>
      </c>
      <c r="AJ1700">
        <v>12</v>
      </c>
      <c r="AM1700">
        <v>0</v>
      </c>
      <c r="AN1700">
        <v>122</v>
      </c>
      <c r="AP1700">
        <v>41</v>
      </c>
    </row>
    <row r="1701" spans="1:42" x14ac:dyDescent="0.25">
      <c r="A1701" t="s">
        <v>46</v>
      </c>
      <c r="B1701">
        <v>5</v>
      </c>
      <c r="C1701" t="s">
        <v>830</v>
      </c>
      <c r="D1701" s="39">
        <v>45938</v>
      </c>
      <c r="E1701" t="s">
        <v>828</v>
      </c>
      <c r="F1701" t="s">
        <v>79</v>
      </c>
      <c r="G1701" t="s">
        <v>644</v>
      </c>
      <c r="H1701">
        <v>7</v>
      </c>
      <c r="I1701" t="s">
        <v>79</v>
      </c>
      <c r="J1701">
        <v>375</v>
      </c>
      <c r="K1701" t="s">
        <v>79</v>
      </c>
      <c r="L1701">
        <v>8</v>
      </c>
      <c r="M1701">
        <v>400.35999999999996</v>
      </c>
      <c r="N1701">
        <v>12</v>
      </c>
      <c r="Q1701">
        <v>388.35999999999996</v>
      </c>
      <c r="R1701" t="s">
        <v>831</v>
      </c>
      <c r="V1701">
        <v>0</v>
      </c>
      <c r="W1701">
        <v>0</v>
      </c>
      <c r="AF1701">
        <v>0</v>
      </c>
      <c r="AG1701">
        <v>0</v>
      </c>
      <c r="AH1701">
        <v>0</v>
      </c>
      <c r="AI1701">
        <v>12</v>
      </c>
      <c r="AJ1701">
        <v>12</v>
      </c>
      <c r="AM1701">
        <v>0</v>
      </c>
      <c r="AN1701">
        <v>395.36</v>
      </c>
      <c r="AP1701">
        <v>41</v>
      </c>
    </row>
    <row r="1702" spans="1:42" x14ac:dyDescent="0.25">
      <c r="A1702" t="s">
        <v>45</v>
      </c>
      <c r="B1702">
        <v>1</v>
      </c>
      <c r="C1702" t="s">
        <v>726</v>
      </c>
      <c r="D1702" s="39">
        <v>45939</v>
      </c>
      <c r="E1702" t="s">
        <v>486</v>
      </c>
      <c r="F1702" t="s">
        <v>79</v>
      </c>
      <c r="G1702">
        <v>2.5</v>
      </c>
      <c r="H1702" t="s">
        <v>92</v>
      </c>
      <c r="I1702" t="s">
        <v>79</v>
      </c>
      <c r="J1702">
        <v>1000</v>
      </c>
      <c r="K1702" t="s">
        <v>79</v>
      </c>
      <c r="L1702">
        <v>13</v>
      </c>
      <c r="M1702">
        <v>127</v>
      </c>
      <c r="N1702">
        <v>2.6</v>
      </c>
      <c r="O1702">
        <v>39</v>
      </c>
      <c r="P1702">
        <v>175</v>
      </c>
      <c r="Q1702">
        <v>124.4</v>
      </c>
      <c r="R1702" t="s">
        <v>796</v>
      </c>
      <c r="V1702">
        <v>0</v>
      </c>
      <c r="W1702">
        <v>0</v>
      </c>
      <c r="AF1702">
        <v>0</v>
      </c>
      <c r="AG1702">
        <v>0</v>
      </c>
      <c r="AH1702">
        <v>0</v>
      </c>
      <c r="AI1702">
        <v>12</v>
      </c>
      <c r="AJ1702">
        <v>12</v>
      </c>
      <c r="AL1702">
        <v>2141.5</v>
      </c>
      <c r="AM1702">
        <v>0</v>
      </c>
      <c r="AN1702">
        <v>129.4</v>
      </c>
      <c r="AO1702">
        <v>398</v>
      </c>
      <c r="AP1702">
        <v>41</v>
      </c>
    </row>
    <row r="1703" spans="1:42" x14ac:dyDescent="0.25">
      <c r="A1703" t="s">
        <v>46</v>
      </c>
      <c r="B1703">
        <v>1</v>
      </c>
      <c r="C1703" t="s">
        <v>726</v>
      </c>
      <c r="D1703" s="39">
        <v>45939</v>
      </c>
      <c r="E1703" t="s">
        <v>486</v>
      </c>
      <c r="F1703" t="s">
        <v>79</v>
      </c>
      <c r="G1703">
        <v>2.5</v>
      </c>
      <c r="H1703" t="s">
        <v>92</v>
      </c>
      <c r="I1703" t="s">
        <v>79</v>
      </c>
      <c r="J1703">
        <v>1000</v>
      </c>
      <c r="K1703" t="s">
        <v>79</v>
      </c>
      <c r="L1703">
        <v>7</v>
      </c>
      <c r="M1703">
        <v>75.91</v>
      </c>
      <c r="N1703">
        <v>1.4000000000000001</v>
      </c>
      <c r="O1703">
        <v>49</v>
      </c>
      <c r="Q1703">
        <v>74.509999999999991</v>
      </c>
      <c r="R1703" t="s">
        <v>796</v>
      </c>
      <c r="S1703">
        <v>15</v>
      </c>
      <c r="V1703">
        <v>15</v>
      </c>
      <c r="W1703">
        <v>0.25</v>
      </c>
      <c r="AF1703">
        <v>0</v>
      </c>
      <c r="AG1703">
        <v>0</v>
      </c>
      <c r="AH1703">
        <v>0.25</v>
      </c>
      <c r="AI1703">
        <v>11.75</v>
      </c>
      <c r="AJ1703">
        <v>12</v>
      </c>
      <c r="AM1703">
        <v>0</v>
      </c>
      <c r="AN1703">
        <v>79.509999999999991</v>
      </c>
      <c r="AP1703">
        <v>41</v>
      </c>
    </row>
    <row r="1704" spans="1:42" x14ac:dyDescent="0.25">
      <c r="A1704" t="s">
        <v>46</v>
      </c>
      <c r="B1704">
        <v>1</v>
      </c>
      <c r="C1704" t="s">
        <v>832</v>
      </c>
      <c r="D1704" s="39">
        <v>45939</v>
      </c>
      <c r="E1704" t="s">
        <v>486</v>
      </c>
      <c r="F1704" t="s">
        <v>79</v>
      </c>
      <c r="G1704">
        <v>2</v>
      </c>
      <c r="H1704" t="s">
        <v>92</v>
      </c>
      <c r="I1704" t="s">
        <v>79</v>
      </c>
      <c r="J1704">
        <v>400</v>
      </c>
      <c r="K1704" t="s">
        <v>79</v>
      </c>
      <c r="L1704">
        <v>5</v>
      </c>
      <c r="M1704">
        <v>50.32</v>
      </c>
      <c r="N1704">
        <v>1</v>
      </c>
      <c r="Q1704">
        <v>49.32</v>
      </c>
      <c r="R1704" t="s">
        <v>833</v>
      </c>
      <c r="V1704">
        <v>0</v>
      </c>
      <c r="W1704">
        <v>0</v>
      </c>
      <c r="AF1704">
        <v>0</v>
      </c>
      <c r="AG1704">
        <v>0</v>
      </c>
      <c r="AH1704">
        <v>0</v>
      </c>
      <c r="AI1704">
        <v>12</v>
      </c>
      <c r="AJ1704">
        <v>12</v>
      </c>
      <c r="AM1704">
        <v>0</v>
      </c>
      <c r="AN1704">
        <v>54.32</v>
      </c>
      <c r="AP1704">
        <v>41</v>
      </c>
    </row>
    <row r="1705" spans="1:42" x14ac:dyDescent="0.25">
      <c r="A1705" t="s">
        <v>45</v>
      </c>
      <c r="B1705">
        <v>2</v>
      </c>
      <c r="C1705" t="s">
        <v>822</v>
      </c>
      <c r="D1705" s="39">
        <v>45939</v>
      </c>
      <c r="E1705" t="s">
        <v>486</v>
      </c>
      <c r="F1705" t="s">
        <v>79</v>
      </c>
      <c r="G1705">
        <v>3</v>
      </c>
      <c r="H1705" t="s">
        <v>92</v>
      </c>
      <c r="I1705" t="s">
        <v>79</v>
      </c>
      <c r="J1705">
        <v>400</v>
      </c>
      <c r="K1705" t="s">
        <v>79</v>
      </c>
      <c r="L1705">
        <v>17</v>
      </c>
      <c r="M1705">
        <v>174.95</v>
      </c>
      <c r="N1705">
        <v>5.0999999999999996</v>
      </c>
      <c r="Q1705">
        <v>169.85</v>
      </c>
      <c r="R1705" t="s">
        <v>823</v>
      </c>
      <c r="V1705">
        <v>0</v>
      </c>
      <c r="W1705">
        <v>0</v>
      </c>
      <c r="AF1705">
        <v>0</v>
      </c>
      <c r="AG1705">
        <v>0</v>
      </c>
      <c r="AH1705">
        <v>0</v>
      </c>
      <c r="AI1705">
        <v>12</v>
      </c>
      <c r="AJ1705">
        <v>12</v>
      </c>
      <c r="AM1705">
        <v>0</v>
      </c>
      <c r="AN1705">
        <v>174.85</v>
      </c>
      <c r="AP1705">
        <v>41</v>
      </c>
    </row>
    <row r="1706" spans="1:42" x14ac:dyDescent="0.25">
      <c r="A1706" t="s">
        <v>46</v>
      </c>
      <c r="B1706">
        <v>2</v>
      </c>
      <c r="C1706" t="s">
        <v>822</v>
      </c>
      <c r="D1706" s="39">
        <v>45939</v>
      </c>
      <c r="E1706" t="s">
        <v>486</v>
      </c>
      <c r="F1706" t="s">
        <v>79</v>
      </c>
      <c r="G1706">
        <v>3</v>
      </c>
      <c r="H1706" t="s">
        <v>92</v>
      </c>
      <c r="I1706" t="s">
        <v>79</v>
      </c>
      <c r="J1706">
        <v>400</v>
      </c>
      <c r="K1706" t="s">
        <v>79</v>
      </c>
      <c r="L1706">
        <v>14</v>
      </c>
      <c r="M1706">
        <v>180.92000000000002</v>
      </c>
      <c r="N1706">
        <v>4.2</v>
      </c>
      <c r="Q1706">
        <v>176.72000000000003</v>
      </c>
      <c r="R1706" t="s">
        <v>823</v>
      </c>
      <c r="V1706">
        <v>0</v>
      </c>
      <c r="W1706">
        <v>0</v>
      </c>
      <c r="AF1706">
        <v>0</v>
      </c>
      <c r="AG1706">
        <v>0</v>
      </c>
      <c r="AH1706">
        <v>0</v>
      </c>
      <c r="AI1706">
        <v>12</v>
      </c>
      <c r="AJ1706">
        <v>12</v>
      </c>
      <c r="AM1706">
        <v>0</v>
      </c>
      <c r="AN1706">
        <v>181.72000000000003</v>
      </c>
      <c r="AP1706">
        <v>41</v>
      </c>
    </row>
    <row r="1707" spans="1:42" x14ac:dyDescent="0.25">
      <c r="A1707" t="s">
        <v>45</v>
      </c>
      <c r="B1707">
        <v>3</v>
      </c>
      <c r="C1707" t="s">
        <v>811</v>
      </c>
      <c r="D1707" s="39">
        <v>45939</v>
      </c>
      <c r="E1707" t="s">
        <v>486</v>
      </c>
      <c r="F1707" t="s">
        <v>79</v>
      </c>
      <c r="G1707">
        <v>6</v>
      </c>
      <c r="H1707">
        <v>5</v>
      </c>
      <c r="I1707" t="s">
        <v>79</v>
      </c>
      <c r="J1707">
        <v>1000</v>
      </c>
      <c r="K1707" t="s">
        <v>79</v>
      </c>
      <c r="L1707">
        <v>10</v>
      </c>
      <c r="M1707">
        <v>283.62</v>
      </c>
      <c r="N1707">
        <v>8</v>
      </c>
      <c r="Q1707">
        <v>275.62</v>
      </c>
      <c r="R1707" t="s">
        <v>868</v>
      </c>
      <c r="V1707">
        <v>0</v>
      </c>
      <c r="W1707">
        <v>0</v>
      </c>
      <c r="AF1707">
        <v>0</v>
      </c>
      <c r="AG1707">
        <v>0</v>
      </c>
      <c r="AH1707">
        <v>0</v>
      </c>
      <c r="AI1707">
        <v>12</v>
      </c>
      <c r="AJ1707">
        <v>12</v>
      </c>
      <c r="AM1707">
        <v>0</v>
      </c>
      <c r="AN1707">
        <v>282.62</v>
      </c>
      <c r="AP1707">
        <v>41</v>
      </c>
    </row>
    <row r="1708" spans="1:42" x14ac:dyDescent="0.25">
      <c r="A1708" t="s">
        <v>46</v>
      </c>
      <c r="B1708">
        <v>3</v>
      </c>
      <c r="C1708" t="s">
        <v>834</v>
      </c>
      <c r="D1708" s="39">
        <v>45939</v>
      </c>
      <c r="E1708" t="s">
        <v>229</v>
      </c>
      <c r="F1708" t="s">
        <v>79</v>
      </c>
      <c r="G1708" t="s">
        <v>102</v>
      </c>
      <c r="H1708" t="s">
        <v>105</v>
      </c>
      <c r="I1708" t="s">
        <v>79</v>
      </c>
      <c r="J1708">
        <v>900</v>
      </c>
      <c r="K1708" t="s">
        <v>79</v>
      </c>
      <c r="L1708">
        <v>11</v>
      </c>
      <c r="M1708">
        <v>266.17999999999995</v>
      </c>
      <c r="N1708">
        <v>7.6999999999999993</v>
      </c>
      <c r="Q1708">
        <v>258.47999999999996</v>
      </c>
      <c r="R1708" t="s">
        <v>835</v>
      </c>
      <c r="S1708">
        <v>20</v>
      </c>
      <c r="V1708">
        <v>20</v>
      </c>
      <c r="W1708">
        <v>0.33333333333333331</v>
      </c>
      <c r="AF1708">
        <v>0</v>
      </c>
      <c r="AG1708">
        <v>0</v>
      </c>
      <c r="AH1708">
        <v>0.33333333333333331</v>
      </c>
      <c r="AI1708">
        <v>11.666666666666666</v>
      </c>
      <c r="AJ1708">
        <v>12</v>
      </c>
      <c r="AM1708">
        <v>0</v>
      </c>
      <c r="AN1708">
        <v>265.47999999999996</v>
      </c>
      <c r="AP1708">
        <v>41</v>
      </c>
    </row>
    <row r="1709" spans="1:42" x14ac:dyDescent="0.25">
      <c r="A1709" t="s">
        <v>46</v>
      </c>
      <c r="B1709">
        <v>3</v>
      </c>
      <c r="C1709" t="s">
        <v>811</v>
      </c>
      <c r="D1709" s="39">
        <v>45939</v>
      </c>
      <c r="E1709" t="s">
        <v>486</v>
      </c>
      <c r="F1709" t="s">
        <v>79</v>
      </c>
      <c r="G1709">
        <v>6</v>
      </c>
      <c r="H1709">
        <v>5</v>
      </c>
      <c r="I1709" t="s">
        <v>79</v>
      </c>
      <c r="J1709">
        <v>1000</v>
      </c>
      <c r="K1709" t="s">
        <v>79</v>
      </c>
      <c r="L1709">
        <v>1</v>
      </c>
      <c r="M1709">
        <v>19.39</v>
      </c>
      <c r="N1709">
        <v>0.6</v>
      </c>
      <c r="Q1709">
        <v>18.79</v>
      </c>
      <c r="R1709" t="s">
        <v>868</v>
      </c>
      <c r="V1709">
        <v>0</v>
      </c>
      <c r="W1709">
        <v>0</v>
      </c>
      <c r="AF1709">
        <v>0</v>
      </c>
      <c r="AG1709">
        <v>0</v>
      </c>
      <c r="AH1709">
        <v>0</v>
      </c>
      <c r="AI1709">
        <v>12</v>
      </c>
      <c r="AJ1709">
        <v>12</v>
      </c>
      <c r="AM1709">
        <v>0</v>
      </c>
      <c r="AN1709">
        <v>25.79</v>
      </c>
      <c r="AP1709">
        <v>41</v>
      </c>
    </row>
    <row r="1710" spans="1:42" x14ac:dyDescent="0.25">
      <c r="A1710" t="s">
        <v>45</v>
      </c>
      <c r="B1710">
        <v>4</v>
      </c>
      <c r="C1710" t="s">
        <v>809</v>
      </c>
      <c r="D1710" s="39">
        <v>45939</v>
      </c>
      <c r="E1710" t="s">
        <v>629</v>
      </c>
      <c r="F1710" t="s">
        <v>79</v>
      </c>
      <c r="G1710">
        <v>17</v>
      </c>
      <c r="H1710" t="s">
        <v>92</v>
      </c>
      <c r="I1710" t="s">
        <v>79</v>
      </c>
      <c r="J1710">
        <v>5000</v>
      </c>
      <c r="K1710" t="s">
        <v>79</v>
      </c>
      <c r="L1710">
        <v>3</v>
      </c>
      <c r="M1710">
        <v>169.82</v>
      </c>
      <c r="N1710">
        <v>2.0999999999999996</v>
      </c>
      <c r="Q1710">
        <v>167.72</v>
      </c>
      <c r="R1710" t="s">
        <v>867</v>
      </c>
      <c r="V1710">
        <v>0</v>
      </c>
      <c r="W1710">
        <v>0</v>
      </c>
      <c r="AF1710">
        <v>0</v>
      </c>
      <c r="AG1710">
        <v>0</v>
      </c>
      <c r="AH1710">
        <v>0</v>
      </c>
      <c r="AI1710">
        <v>12</v>
      </c>
      <c r="AJ1710">
        <v>12</v>
      </c>
      <c r="AM1710">
        <v>0</v>
      </c>
      <c r="AN1710">
        <v>174.72</v>
      </c>
      <c r="AP1710">
        <v>41</v>
      </c>
    </row>
    <row r="1711" spans="1:42" x14ac:dyDescent="0.25">
      <c r="A1711" t="s">
        <v>45</v>
      </c>
      <c r="B1711">
        <v>4</v>
      </c>
      <c r="C1711" t="s">
        <v>836</v>
      </c>
      <c r="D1711" s="39">
        <v>45939</v>
      </c>
      <c r="E1711" t="s">
        <v>828</v>
      </c>
      <c r="F1711" t="s">
        <v>79</v>
      </c>
      <c r="G1711" t="s">
        <v>837</v>
      </c>
      <c r="H1711">
        <v>7</v>
      </c>
      <c r="I1711" t="s">
        <v>79</v>
      </c>
      <c r="J1711">
        <v>375</v>
      </c>
      <c r="K1711" t="s">
        <v>79</v>
      </c>
      <c r="L1711">
        <v>12</v>
      </c>
      <c r="M1711">
        <v>683.52</v>
      </c>
      <c r="N1711">
        <v>24.599999999999998</v>
      </c>
      <c r="Q1711">
        <v>658.92</v>
      </c>
      <c r="R1711" t="s">
        <v>838</v>
      </c>
      <c r="V1711">
        <v>0</v>
      </c>
      <c r="W1711">
        <v>0</v>
      </c>
      <c r="AF1711">
        <v>0</v>
      </c>
      <c r="AG1711">
        <v>0</v>
      </c>
      <c r="AH1711">
        <v>0</v>
      </c>
      <c r="AI1711">
        <v>12</v>
      </c>
      <c r="AJ1711">
        <v>12</v>
      </c>
      <c r="AM1711">
        <v>0</v>
      </c>
      <c r="AN1711">
        <v>665.92</v>
      </c>
      <c r="AP1711">
        <v>41</v>
      </c>
    </row>
    <row r="1712" spans="1:42" x14ac:dyDescent="0.25">
      <c r="A1712" t="s">
        <v>46</v>
      </c>
      <c r="B1712">
        <v>4</v>
      </c>
      <c r="C1712" t="s">
        <v>836</v>
      </c>
      <c r="D1712" s="39">
        <v>45939</v>
      </c>
      <c r="E1712" t="s">
        <v>828</v>
      </c>
      <c r="F1712" t="s">
        <v>79</v>
      </c>
      <c r="G1712" t="s">
        <v>837</v>
      </c>
      <c r="H1712">
        <v>7</v>
      </c>
      <c r="I1712" t="s">
        <v>79</v>
      </c>
      <c r="J1712">
        <v>375</v>
      </c>
      <c r="K1712" t="s">
        <v>79</v>
      </c>
      <c r="L1712">
        <v>5</v>
      </c>
      <c r="M1712">
        <v>280.58</v>
      </c>
      <c r="N1712">
        <v>8.5</v>
      </c>
      <c r="Q1712">
        <v>272.08</v>
      </c>
      <c r="R1712" t="s">
        <v>838</v>
      </c>
      <c r="S1712">
        <v>8</v>
      </c>
      <c r="V1712">
        <v>8</v>
      </c>
      <c r="W1712">
        <v>0.13333333333333333</v>
      </c>
      <c r="Z1712">
        <v>30</v>
      </c>
      <c r="AF1712">
        <v>30</v>
      </c>
      <c r="AG1712">
        <v>0.5</v>
      </c>
      <c r="AH1712">
        <v>0.6333333333333333</v>
      </c>
      <c r="AI1712">
        <v>11.366666666666667</v>
      </c>
      <c r="AJ1712">
        <v>12</v>
      </c>
      <c r="AM1712">
        <v>0</v>
      </c>
      <c r="AN1712">
        <v>279.08</v>
      </c>
      <c r="AP1712">
        <v>41</v>
      </c>
    </row>
    <row r="1713" spans="1:42" x14ac:dyDescent="0.25">
      <c r="A1713" t="s">
        <v>46</v>
      </c>
      <c r="B1713">
        <v>4</v>
      </c>
      <c r="C1713" t="s">
        <v>839</v>
      </c>
      <c r="D1713" s="39">
        <v>45939</v>
      </c>
      <c r="E1713" t="s">
        <v>247</v>
      </c>
      <c r="F1713" t="s">
        <v>79</v>
      </c>
      <c r="G1713">
        <v>22</v>
      </c>
      <c r="H1713" t="s">
        <v>117</v>
      </c>
      <c r="I1713" t="s">
        <v>79</v>
      </c>
      <c r="J1713">
        <v>200</v>
      </c>
      <c r="K1713" t="s">
        <v>79</v>
      </c>
      <c r="L1713">
        <v>7</v>
      </c>
      <c r="M1713">
        <v>390.64</v>
      </c>
      <c r="N1713">
        <v>15.400000000000002</v>
      </c>
      <c r="Q1713">
        <v>375.24</v>
      </c>
      <c r="R1713" t="s">
        <v>840</v>
      </c>
      <c r="S1713">
        <v>8</v>
      </c>
      <c r="V1713">
        <v>8</v>
      </c>
      <c r="W1713">
        <v>0.13333333333333333</v>
      </c>
      <c r="AF1713">
        <v>0</v>
      </c>
      <c r="AG1713">
        <v>0</v>
      </c>
      <c r="AH1713">
        <v>0.13333333333333333</v>
      </c>
      <c r="AI1713">
        <v>11.866666666666667</v>
      </c>
      <c r="AJ1713">
        <v>12</v>
      </c>
      <c r="AM1713">
        <v>0</v>
      </c>
      <c r="AN1713">
        <v>382.24</v>
      </c>
      <c r="AP1713">
        <v>41</v>
      </c>
    </row>
    <row r="1714" spans="1:42" x14ac:dyDescent="0.25">
      <c r="A1714" t="s">
        <v>46</v>
      </c>
      <c r="B1714">
        <v>4</v>
      </c>
      <c r="C1714" t="s">
        <v>841</v>
      </c>
      <c r="D1714" s="39">
        <v>45939</v>
      </c>
      <c r="E1714" t="s">
        <v>828</v>
      </c>
      <c r="F1714" t="s">
        <v>79</v>
      </c>
      <c r="G1714" t="s">
        <v>842</v>
      </c>
      <c r="H1714">
        <v>4</v>
      </c>
      <c r="I1714" t="s">
        <v>79</v>
      </c>
      <c r="J1714">
        <v>50</v>
      </c>
      <c r="K1714" t="s">
        <v>79</v>
      </c>
      <c r="L1714">
        <v>1</v>
      </c>
      <c r="M1714">
        <v>54.88</v>
      </c>
      <c r="N1714">
        <v>2.2000000000000002</v>
      </c>
      <c r="Q1714">
        <v>52.68</v>
      </c>
      <c r="R1714" t="s">
        <v>843</v>
      </c>
      <c r="V1714">
        <v>0</v>
      </c>
      <c r="W1714">
        <v>0</v>
      </c>
      <c r="AF1714">
        <v>0</v>
      </c>
      <c r="AG1714">
        <v>0</v>
      </c>
      <c r="AH1714">
        <v>0</v>
      </c>
      <c r="AI1714">
        <v>12</v>
      </c>
      <c r="AJ1714">
        <v>12</v>
      </c>
      <c r="AM1714">
        <v>0</v>
      </c>
      <c r="AN1714">
        <v>59.68</v>
      </c>
      <c r="AP1714">
        <v>41</v>
      </c>
    </row>
    <row r="1715" spans="1:42" x14ac:dyDescent="0.25">
      <c r="A1715" t="s">
        <v>46</v>
      </c>
      <c r="B1715">
        <v>4</v>
      </c>
      <c r="C1715" t="s">
        <v>844</v>
      </c>
      <c r="D1715" s="39">
        <v>45939</v>
      </c>
      <c r="E1715" t="s">
        <v>845</v>
      </c>
      <c r="F1715" t="s">
        <v>79</v>
      </c>
      <c r="G1715">
        <v>26</v>
      </c>
      <c r="H1715" t="s">
        <v>92</v>
      </c>
      <c r="I1715" t="s">
        <v>79</v>
      </c>
      <c r="J1715">
        <v>100</v>
      </c>
      <c r="K1715" t="s">
        <v>79</v>
      </c>
      <c r="L1715">
        <v>1</v>
      </c>
      <c r="M1715">
        <v>35.83</v>
      </c>
      <c r="N1715">
        <v>2.6</v>
      </c>
      <c r="Q1715">
        <v>33.229999999999997</v>
      </c>
      <c r="R1715" t="s">
        <v>846</v>
      </c>
      <c r="V1715">
        <v>0</v>
      </c>
      <c r="W1715">
        <v>0</v>
      </c>
      <c r="AF1715">
        <v>0</v>
      </c>
      <c r="AG1715">
        <v>0</v>
      </c>
      <c r="AH1715">
        <v>0</v>
      </c>
      <c r="AI1715">
        <v>12</v>
      </c>
      <c r="AJ1715">
        <v>12</v>
      </c>
      <c r="AM1715">
        <v>0</v>
      </c>
      <c r="AN1715">
        <v>40.229999999999997</v>
      </c>
      <c r="AP1715">
        <v>41</v>
      </c>
    </row>
    <row r="1716" spans="1:42" x14ac:dyDescent="0.25">
      <c r="A1716" t="s">
        <v>45</v>
      </c>
      <c r="B1716">
        <v>5</v>
      </c>
      <c r="C1716" t="s">
        <v>830</v>
      </c>
      <c r="D1716" s="39">
        <v>45939</v>
      </c>
      <c r="E1716" t="s">
        <v>828</v>
      </c>
      <c r="F1716" t="s">
        <v>79</v>
      </c>
      <c r="G1716" t="s">
        <v>644</v>
      </c>
      <c r="H1716">
        <v>7</v>
      </c>
      <c r="I1716" t="s">
        <v>79</v>
      </c>
      <c r="J1716">
        <v>375</v>
      </c>
      <c r="K1716" t="s">
        <v>79</v>
      </c>
      <c r="L1716">
        <v>8</v>
      </c>
      <c r="M1716">
        <v>433.5</v>
      </c>
      <c r="N1716">
        <v>12</v>
      </c>
      <c r="Q1716">
        <v>421.5</v>
      </c>
      <c r="R1716" t="s">
        <v>831</v>
      </c>
      <c r="V1716">
        <v>0</v>
      </c>
      <c r="W1716">
        <v>0</v>
      </c>
      <c r="Z1716">
        <v>50</v>
      </c>
      <c r="AD1716">
        <v>40</v>
      </c>
      <c r="AF1716">
        <v>90</v>
      </c>
      <c r="AG1716">
        <v>1.5</v>
      </c>
      <c r="AH1716">
        <v>1.5</v>
      </c>
      <c r="AI1716">
        <v>10.5</v>
      </c>
      <c r="AJ1716">
        <v>12</v>
      </c>
      <c r="AM1716">
        <v>0</v>
      </c>
      <c r="AN1716">
        <v>428.5</v>
      </c>
      <c r="AP1716">
        <v>41</v>
      </c>
    </row>
    <row r="1717" spans="1:42" x14ac:dyDescent="0.25">
      <c r="A1717" t="s">
        <v>45</v>
      </c>
      <c r="B1717">
        <v>5</v>
      </c>
      <c r="C1717" t="s">
        <v>847</v>
      </c>
      <c r="D1717" s="39">
        <v>45939</v>
      </c>
      <c r="E1717" t="s">
        <v>828</v>
      </c>
      <c r="F1717" t="s">
        <v>79</v>
      </c>
      <c r="G1717" t="s">
        <v>848</v>
      </c>
      <c r="H1717">
        <v>7</v>
      </c>
      <c r="I1717" t="s">
        <v>79</v>
      </c>
      <c r="J1717">
        <v>250</v>
      </c>
      <c r="K1717" t="s">
        <v>79</v>
      </c>
      <c r="L1717">
        <v>1</v>
      </c>
      <c r="M1717">
        <v>25.1</v>
      </c>
      <c r="N1717">
        <v>2.35</v>
      </c>
      <c r="Q1717">
        <v>22.75</v>
      </c>
      <c r="R1717" t="s">
        <v>849</v>
      </c>
      <c r="V1717">
        <v>0</v>
      </c>
      <c r="W1717">
        <v>0</v>
      </c>
      <c r="AF1717">
        <v>0</v>
      </c>
      <c r="AG1717">
        <v>0</v>
      </c>
      <c r="AH1717">
        <v>0</v>
      </c>
      <c r="AI1717">
        <v>12</v>
      </c>
      <c r="AJ1717">
        <v>12</v>
      </c>
      <c r="AM1717">
        <v>0</v>
      </c>
      <c r="AN1717">
        <v>29.75</v>
      </c>
      <c r="AP1717">
        <v>41</v>
      </c>
    </row>
    <row r="1718" spans="1:42" x14ac:dyDescent="0.25">
      <c r="A1718" t="s">
        <v>45</v>
      </c>
      <c r="B1718">
        <v>5</v>
      </c>
      <c r="C1718" t="s">
        <v>850</v>
      </c>
      <c r="D1718" s="39">
        <v>45939</v>
      </c>
      <c r="E1718" t="s">
        <v>828</v>
      </c>
      <c r="F1718" t="s">
        <v>79</v>
      </c>
      <c r="G1718" t="s">
        <v>632</v>
      </c>
      <c r="H1718">
        <v>7</v>
      </c>
      <c r="I1718" t="s">
        <v>79</v>
      </c>
      <c r="J1718">
        <v>250</v>
      </c>
      <c r="K1718" t="s">
        <v>79</v>
      </c>
      <c r="L1718">
        <v>3</v>
      </c>
      <c r="M1718">
        <v>158.21</v>
      </c>
      <c r="N1718">
        <v>3.9000000000000004</v>
      </c>
      <c r="Q1718">
        <v>154.31</v>
      </c>
      <c r="R1718" t="s">
        <v>851</v>
      </c>
      <c r="V1718">
        <v>0</v>
      </c>
      <c r="W1718">
        <v>0</v>
      </c>
      <c r="AF1718">
        <v>0</v>
      </c>
      <c r="AG1718">
        <v>0</v>
      </c>
      <c r="AH1718">
        <v>0</v>
      </c>
      <c r="AI1718">
        <v>12</v>
      </c>
      <c r="AJ1718">
        <v>12</v>
      </c>
      <c r="AM1718">
        <v>0</v>
      </c>
      <c r="AN1718">
        <v>161.31</v>
      </c>
      <c r="AP1718">
        <v>41</v>
      </c>
    </row>
    <row r="1719" spans="1:42" x14ac:dyDescent="0.25">
      <c r="A1719" t="s">
        <v>45</v>
      </c>
      <c r="B1719">
        <v>5</v>
      </c>
      <c r="C1719" t="s">
        <v>717</v>
      </c>
      <c r="D1719" s="39">
        <v>45939</v>
      </c>
      <c r="E1719" t="s">
        <v>486</v>
      </c>
      <c r="F1719" t="s">
        <v>79</v>
      </c>
      <c r="G1719">
        <v>18</v>
      </c>
      <c r="H1719">
        <v>5</v>
      </c>
      <c r="I1719" t="s">
        <v>79</v>
      </c>
      <c r="J1719">
        <v>500</v>
      </c>
      <c r="K1719" t="s">
        <v>79</v>
      </c>
      <c r="L1719">
        <v>1</v>
      </c>
      <c r="M1719">
        <v>12.12</v>
      </c>
      <c r="N1719">
        <v>2.2000000000000002</v>
      </c>
      <c r="Q1719">
        <v>9.9199999999999982</v>
      </c>
      <c r="R1719" t="s">
        <v>852</v>
      </c>
      <c r="V1719">
        <v>0</v>
      </c>
      <c r="W1719">
        <v>0</v>
      </c>
      <c r="AF1719">
        <v>0</v>
      </c>
      <c r="AG1719">
        <v>0</v>
      </c>
      <c r="AH1719">
        <v>0</v>
      </c>
      <c r="AI1719">
        <v>12</v>
      </c>
      <c r="AJ1719">
        <v>12</v>
      </c>
      <c r="AM1719">
        <v>0</v>
      </c>
      <c r="AN1719">
        <v>16.919999999999998</v>
      </c>
      <c r="AP1719">
        <v>41</v>
      </c>
    </row>
    <row r="1720" spans="1:42" x14ac:dyDescent="0.25">
      <c r="A1720" t="s">
        <v>46</v>
      </c>
      <c r="B1720">
        <v>5</v>
      </c>
      <c r="C1720" t="s">
        <v>850</v>
      </c>
      <c r="D1720" s="39">
        <v>45939</v>
      </c>
      <c r="E1720" t="s">
        <v>828</v>
      </c>
      <c r="F1720" t="s">
        <v>79</v>
      </c>
      <c r="G1720" t="s">
        <v>632</v>
      </c>
      <c r="H1720">
        <v>7</v>
      </c>
      <c r="I1720" t="s">
        <v>79</v>
      </c>
      <c r="J1720">
        <v>250</v>
      </c>
      <c r="K1720" t="s">
        <v>79</v>
      </c>
      <c r="L1720">
        <v>5</v>
      </c>
      <c r="M1720">
        <v>262.55</v>
      </c>
      <c r="N1720">
        <v>6.5</v>
      </c>
      <c r="Q1720">
        <v>256.05</v>
      </c>
      <c r="R1720" t="s">
        <v>851</v>
      </c>
      <c r="S1720">
        <v>50</v>
      </c>
      <c r="V1720">
        <v>50</v>
      </c>
      <c r="W1720">
        <v>0.83333333333333348</v>
      </c>
      <c r="AF1720">
        <v>0</v>
      </c>
      <c r="AG1720">
        <v>0</v>
      </c>
      <c r="AH1720">
        <v>0.83333333333333348</v>
      </c>
      <c r="AI1720">
        <v>11.166666666666666</v>
      </c>
      <c r="AJ1720">
        <v>12</v>
      </c>
      <c r="AM1720">
        <v>0</v>
      </c>
      <c r="AN1720">
        <v>263.05</v>
      </c>
      <c r="AP1720">
        <v>41</v>
      </c>
    </row>
    <row r="1721" spans="1:42" x14ac:dyDescent="0.25">
      <c r="A1721" t="s">
        <v>46</v>
      </c>
      <c r="B1721">
        <v>5</v>
      </c>
      <c r="C1721" t="s">
        <v>809</v>
      </c>
      <c r="D1721" s="39">
        <v>45939</v>
      </c>
      <c r="E1721" t="s">
        <v>629</v>
      </c>
      <c r="F1721" t="s">
        <v>79</v>
      </c>
      <c r="G1721">
        <v>17</v>
      </c>
      <c r="H1721" t="s">
        <v>92</v>
      </c>
      <c r="I1721" t="s">
        <v>79</v>
      </c>
      <c r="J1721">
        <v>5000</v>
      </c>
      <c r="K1721" t="s">
        <v>79</v>
      </c>
      <c r="L1721">
        <v>3</v>
      </c>
      <c r="M1721">
        <v>131.88</v>
      </c>
      <c r="N1721">
        <v>5.0999999999999996</v>
      </c>
      <c r="Q1721">
        <v>126.78</v>
      </c>
      <c r="R1721" t="s">
        <v>867</v>
      </c>
      <c r="V1721">
        <v>0</v>
      </c>
      <c r="W1721">
        <v>0</v>
      </c>
      <c r="AF1721">
        <v>0</v>
      </c>
      <c r="AG1721">
        <v>0</v>
      </c>
      <c r="AH1721">
        <v>0</v>
      </c>
      <c r="AI1721">
        <v>12</v>
      </c>
      <c r="AJ1721">
        <v>12</v>
      </c>
      <c r="AM1721">
        <v>0</v>
      </c>
      <c r="AN1721">
        <v>133.78</v>
      </c>
      <c r="AP1721">
        <v>41</v>
      </c>
    </row>
    <row r="1722" spans="1:42" x14ac:dyDescent="0.25">
      <c r="A1722" t="s">
        <v>46</v>
      </c>
      <c r="B1722">
        <v>5</v>
      </c>
      <c r="C1722" t="s">
        <v>853</v>
      </c>
      <c r="D1722" s="39">
        <v>45939</v>
      </c>
      <c r="E1722" t="s">
        <v>854</v>
      </c>
      <c r="F1722" t="s">
        <v>79</v>
      </c>
      <c r="G1722" t="s">
        <v>855</v>
      </c>
      <c r="H1722">
        <v>13</v>
      </c>
      <c r="I1722" t="s">
        <v>79</v>
      </c>
      <c r="J1722">
        <v>100</v>
      </c>
      <c r="K1722" t="s">
        <v>79</v>
      </c>
      <c r="L1722">
        <v>4</v>
      </c>
      <c r="M1722">
        <v>119</v>
      </c>
      <c r="N1722">
        <v>5.6</v>
      </c>
      <c r="Q1722">
        <v>113.4</v>
      </c>
      <c r="R1722" t="s">
        <v>856</v>
      </c>
      <c r="V1722">
        <v>0</v>
      </c>
      <c r="W1722">
        <v>0</v>
      </c>
      <c r="AF1722">
        <v>0</v>
      </c>
      <c r="AG1722">
        <v>0</v>
      </c>
      <c r="AH1722">
        <v>0</v>
      </c>
      <c r="AI1722">
        <v>12</v>
      </c>
      <c r="AJ1722">
        <v>12</v>
      </c>
      <c r="AM1722">
        <v>0</v>
      </c>
      <c r="AN1722">
        <v>120.4</v>
      </c>
      <c r="AP1722">
        <v>41</v>
      </c>
    </row>
    <row r="1723" spans="1:42" x14ac:dyDescent="0.25">
      <c r="A1723" t="s">
        <v>45</v>
      </c>
      <c r="B1723">
        <v>1</v>
      </c>
      <c r="C1723" t="s">
        <v>832</v>
      </c>
      <c r="D1723" s="39">
        <v>45940</v>
      </c>
      <c r="E1723" t="s">
        <v>486</v>
      </c>
      <c r="F1723" t="s">
        <v>79</v>
      </c>
      <c r="G1723">
        <v>2</v>
      </c>
      <c r="H1723" t="s">
        <v>92</v>
      </c>
      <c r="I1723" t="s">
        <v>79</v>
      </c>
      <c r="J1723">
        <v>400</v>
      </c>
      <c r="K1723" t="s">
        <v>79</v>
      </c>
      <c r="L1723">
        <v>12</v>
      </c>
      <c r="M1723">
        <v>110.4</v>
      </c>
      <c r="N1723">
        <v>2.4000000000000004</v>
      </c>
      <c r="O1723">
        <v>33.5</v>
      </c>
      <c r="P1723">
        <v>81</v>
      </c>
      <c r="Q1723">
        <v>108</v>
      </c>
      <c r="R1723" t="s">
        <v>833</v>
      </c>
      <c r="V1723">
        <v>0</v>
      </c>
      <c r="W1723">
        <v>0</v>
      </c>
      <c r="AF1723">
        <v>0</v>
      </c>
      <c r="AG1723">
        <v>0</v>
      </c>
      <c r="AH1723">
        <v>0</v>
      </c>
      <c r="AI1723">
        <v>12</v>
      </c>
      <c r="AJ1723">
        <v>12</v>
      </c>
      <c r="AL1723">
        <v>2009</v>
      </c>
      <c r="AM1723">
        <v>0</v>
      </c>
      <c r="AN1723">
        <v>113</v>
      </c>
      <c r="AO1723">
        <v>398</v>
      </c>
      <c r="AP1723">
        <v>41</v>
      </c>
    </row>
    <row r="1724" spans="1:42" x14ac:dyDescent="0.25">
      <c r="A1724" t="s">
        <v>46</v>
      </c>
      <c r="B1724">
        <v>1</v>
      </c>
      <c r="C1724" t="s">
        <v>832</v>
      </c>
      <c r="D1724" s="39">
        <v>45940</v>
      </c>
      <c r="E1724" t="s">
        <v>486</v>
      </c>
      <c r="F1724" t="s">
        <v>79</v>
      </c>
      <c r="G1724">
        <v>2</v>
      </c>
      <c r="H1724" t="s">
        <v>92</v>
      </c>
      <c r="I1724" t="s">
        <v>79</v>
      </c>
      <c r="J1724">
        <v>400</v>
      </c>
      <c r="K1724" t="s">
        <v>79</v>
      </c>
      <c r="L1724">
        <v>12</v>
      </c>
      <c r="M1724">
        <v>124.26</v>
      </c>
      <c r="N1724">
        <v>2.4000000000000004</v>
      </c>
      <c r="O1724">
        <v>27.5</v>
      </c>
      <c r="Q1724">
        <v>121.86</v>
      </c>
      <c r="R1724" t="s">
        <v>833</v>
      </c>
      <c r="V1724">
        <v>0</v>
      </c>
      <c r="W1724">
        <v>0</v>
      </c>
      <c r="AF1724">
        <v>0</v>
      </c>
      <c r="AG1724">
        <v>0</v>
      </c>
      <c r="AH1724">
        <v>0</v>
      </c>
      <c r="AI1724">
        <v>12</v>
      </c>
      <c r="AJ1724">
        <v>12</v>
      </c>
      <c r="AM1724">
        <v>0</v>
      </c>
      <c r="AN1724">
        <v>126.86</v>
      </c>
      <c r="AP1724">
        <v>41</v>
      </c>
    </row>
    <row r="1725" spans="1:42" x14ac:dyDescent="0.25">
      <c r="A1725" t="s">
        <v>45</v>
      </c>
      <c r="B1725">
        <v>2</v>
      </c>
      <c r="C1725" t="s">
        <v>822</v>
      </c>
      <c r="D1725" s="39">
        <v>45940</v>
      </c>
      <c r="E1725" t="s">
        <v>486</v>
      </c>
      <c r="F1725" t="s">
        <v>79</v>
      </c>
      <c r="G1725">
        <v>3</v>
      </c>
      <c r="H1725" t="s">
        <v>92</v>
      </c>
      <c r="I1725" t="s">
        <v>79</v>
      </c>
      <c r="J1725">
        <v>400</v>
      </c>
      <c r="K1725" t="s">
        <v>79</v>
      </c>
      <c r="L1725">
        <v>12</v>
      </c>
      <c r="M1725">
        <v>126.96000000000001</v>
      </c>
      <c r="N1725">
        <v>3.5999999999999996</v>
      </c>
      <c r="Q1725">
        <v>123.36000000000001</v>
      </c>
      <c r="R1725" t="s">
        <v>823</v>
      </c>
      <c r="V1725">
        <v>0</v>
      </c>
      <c r="W1725">
        <v>0</v>
      </c>
      <c r="AF1725">
        <v>0</v>
      </c>
      <c r="AG1725">
        <v>0</v>
      </c>
      <c r="AH1725">
        <v>0</v>
      </c>
      <c r="AI1725">
        <v>12</v>
      </c>
      <c r="AJ1725">
        <v>12</v>
      </c>
      <c r="AM1725">
        <v>0</v>
      </c>
      <c r="AN1725">
        <v>128.36000000000001</v>
      </c>
      <c r="AP1725">
        <v>41</v>
      </c>
    </row>
    <row r="1726" spans="1:42" x14ac:dyDescent="0.25">
      <c r="A1726" t="s">
        <v>45</v>
      </c>
      <c r="B1726">
        <v>3</v>
      </c>
      <c r="C1726" t="s">
        <v>834</v>
      </c>
      <c r="D1726" s="39">
        <v>45940</v>
      </c>
      <c r="E1726" t="s">
        <v>229</v>
      </c>
      <c r="F1726" t="s">
        <v>79</v>
      </c>
      <c r="G1726" t="s">
        <v>102</v>
      </c>
      <c r="H1726" t="s">
        <v>105</v>
      </c>
      <c r="I1726" t="s">
        <v>79</v>
      </c>
      <c r="J1726">
        <v>900</v>
      </c>
      <c r="K1726" t="s">
        <v>79</v>
      </c>
      <c r="L1726">
        <v>11</v>
      </c>
      <c r="M1726">
        <v>293.74</v>
      </c>
      <c r="N1726">
        <v>11</v>
      </c>
      <c r="Q1726">
        <v>282.74</v>
      </c>
      <c r="R1726" t="s">
        <v>835</v>
      </c>
      <c r="V1726">
        <v>0</v>
      </c>
      <c r="W1726">
        <v>0</v>
      </c>
      <c r="AF1726">
        <v>0</v>
      </c>
      <c r="AG1726">
        <v>0</v>
      </c>
      <c r="AH1726">
        <v>0</v>
      </c>
      <c r="AI1726">
        <v>12</v>
      </c>
      <c r="AJ1726">
        <v>12</v>
      </c>
      <c r="AM1726">
        <v>0</v>
      </c>
      <c r="AN1726">
        <v>289.74</v>
      </c>
      <c r="AP1726">
        <v>41</v>
      </c>
    </row>
    <row r="1727" spans="1:42" x14ac:dyDescent="0.25">
      <c r="A1727" t="s">
        <v>46</v>
      </c>
      <c r="B1727">
        <v>3</v>
      </c>
      <c r="C1727" t="s">
        <v>834</v>
      </c>
      <c r="D1727" s="39">
        <v>45940</v>
      </c>
      <c r="E1727" t="s">
        <v>229</v>
      </c>
      <c r="F1727" t="s">
        <v>79</v>
      </c>
      <c r="G1727" t="s">
        <v>102</v>
      </c>
      <c r="H1727" t="s">
        <v>105</v>
      </c>
      <c r="I1727" t="s">
        <v>79</v>
      </c>
      <c r="J1727">
        <v>900</v>
      </c>
      <c r="K1727" t="s">
        <v>79</v>
      </c>
      <c r="L1727">
        <v>12</v>
      </c>
      <c r="M1727">
        <v>297.95999999999998</v>
      </c>
      <c r="N1727">
        <v>11</v>
      </c>
      <c r="Q1727">
        <v>286.95999999999998</v>
      </c>
      <c r="R1727" t="s">
        <v>835</v>
      </c>
      <c r="V1727">
        <v>0</v>
      </c>
      <c r="W1727">
        <v>0</v>
      </c>
      <c r="AF1727">
        <v>0</v>
      </c>
      <c r="AG1727">
        <v>0</v>
      </c>
      <c r="AH1727">
        <v>0</v>
      </c>
      <c r="AI1727">
        <v>12</v>
      </c>
      <c r="AJ1727">
        <v>12</v>
      </c>
      <c r="AM1727">
        <v>0</v>
      </c>
      <c r="AN1727">
        <v>293.95999999999998</v>
      </c>
      <c r="AP1727">
        <v>41</v>
      </c>
    </row>
    <row r="1728" spans="1:42" x14ac:dyDescent="0.25">
      <c r="A1728" t="s">
        <v>45</v>
      </c>
      <c r="B1728">
        <v>4</v>
      </c>
      <c r="C1728" t="s">
        <v>844</v>
      </c>
      <c r="D1728" s="39">
        <v>45940</v>
      </c>
      <c r="E1728" t="s">
        <v>845</v>
      </c>
      <c r="F1728" t="s">
        <v>79</v>
      </c>
      <c r="G1728">
        <v>26</v>
      </c>
      <c r="H1728" t="s">
        <v>92</v>
      </c>
      <c r="I1728" t="s">
        <v>79</v>
      </c>
      <c r="J1728">
        <v>100</v>
      </c>
      <c r="K1728" t="s">
        <v>79</v>
      </c>
      <c r="L1728">
        <v>1</v>
      </c>
      <c r="M1728">
        <v>68.41</v>
      </c>
      <c r="N1728">
        <v>3.2</v>
      </c>
      <c r="Q1728">
        <v>65.209999999999994</v>
      </c>
      <c r="R1728" t="s">
        <v>846</v>
      </c>
      <c r="S1728">
        <v>20</v>
      </c>
      <c r="V1728">
        <v>20</v>
      </c>
      <c r="W1728">
        <v>0.33333333333333331</v>
      </c>
      <c r="AF1728">
        <v>0</v>
      </c>
      <c r="AG1728">
        <v>0</v>
      </c>
      <c r="AH1728">
        <v>0.33333333333333331</v>
      </c>
      <c r="AI1728">
        <v>11.666666666666666</v>
      </c>
      <c r="AJ1728">
        <v>12</v>
      </c>
      <c r="AM1728">
        <v>0</v>
      </c>
      <c r="AN1728">
        <v>72.209999999999994</v>
      </c>
      <c r="AP1728">
        <v>41</v>
      </c>
    </row>
    <row r="1729" spans="1:42" x14ac:dyDescent="0.25">
      <c r="A1729" t="s">
        <v>45</v>
      </c>
      <c r="B1729">
        <v>4</v>
      </c>
      <c r="C1729" t="s">
        <v>717</v>
      </c>
      <c r="D1729" s="39">
        <v>45940</v>
      </c>
      <c r="E1729" t="s">
        <v>486</v>
      </c>
      <c r="F1729" t="s">
        <v>79</v>
      </c>
      <c r="G1729">
        <v>18</v>
      </c>
      <c r="H1729">
        <v>5</v>
      </c>
      <c r="I1729" t="s">
        <v>79</v>
      </c>
      <c r="J1729">
        <v>500</v>
      </c>
      <c r="K1729" t="s">
        <v>79</v>
      </c>
      <c r="L1729">
        <v>8</v>
      </c>
      <c r="M1729">
        <v>504.66999999999996</v>
      </c>
      <c r="N1729">
        <v>16.25</v>
      </c>
      <c r="Q1729">
        <v>488.41999999999996</v>
      </c>
      <c r="R1729" t="s">
        <v>852</v>
      </c>
      <c r="S1729">
        <v>20</v>
      </c>
      <c r="V1729">
        <v>20</v>
      </c>
      <c r="W1729">
        <v>0.33333333333333331</v>
      </c>
      <c r="AF1729">
        <v>0</v>
      </c>
      <c r="AG1729">
        <v>0</v>
      </c>
      <c r="AH1729">
        <v>0.33333333333333331</v>
      </c>
      <c r="AI1729">
        <v>11.666666666666666</v>
      </c>
      <c r="AJ1729">
        <v>12</v>
      </c>
      <c r="AM1729">
        <v>0</v>
      </c>
      <c r="AN1729">
        <v>495.42</v>
      </c>
      <c r="AP1729">
        <v>41</v>
      </c>
    </row>
    <row r="1730" spans="1:42" x14ac:dyDescent="0.25">
      <c r="A1730" t="s">
        <v>45</v>
      </c>
      <c r="B1730">
        <v>4</v>
      </c>
      <c r="C1730" t="s">
        <v>847</v>
      </c>
      <c r="D1730" s="39">
        <v>45940</v>
      </c>
      <c r="E1730" t="s">
        <v>828</v>
      </c>
      <c r="F1730" t="s">
        <v>79</v>
      </c>
      <c r="G1730" t="s">
        <v>848</v>
      </c>
      <c r="H1730">
        <v>7</v>
      </c>
      <c r="I1730" t="s">
        <v>79</v>
      </c>
      <c r="J1730">
        <v>250</v>
      </c>
      <c r="K1730" t="s">
        <v>79</v>
      </c>
      <c r="L1730">
        <v>3</v>
      </c>
      <c r="M1730">
        <v>180.32999999999998</v>
      </c>
      <c r="N1730">
        <v>6.5</v>
      </c>
      <c r="Q1730">
        <v>173.82999999999998</v>
      </c>
      <c r="R1730" t="s">
        <v>849</v>
      </c>
      <c r="V1730">
        <v>0</v>
      </c>
      <c r="W1730">
        <v>0</v>
      </c>
      <c r="AF1730">
        <v>0</v>
      </c>
      <c r="AG1730">
        <v>0</v>
      </c>
      <c r="AH1730">
        <v>0</v>
      </c>
      <c r="AI1730">
        <v>12</v>
      </c>
      <c r="AJ1730">
        <v>12</v>
      </c>
      <c r="AM1730">
        <v>0</v>
      </c>
      <c r="AN1730">
        <v>180.83</v>
      </c>
      <c r="AP1730">
        <v>41</v>
      </c>
    </row>
    <row r="1731" spans="1:42" x14ac:dyDescent="0.25">
      <c r="A1731" t="s">
        <v>46</v>
      </c>
      <c r="B1731">
        <v>4</v>
      </c>
      <c r="C1731" t="s">
        <v>847</v>
      </c>
      <c r="D1731" s="39">
        <v>45940</v>
      </c>
      <c r="E1731" t="s">
        <v>828</v>
      </c>
      <c r="F1731" t="s">
        <v>79</v>
      </c>
      <c r="G1731" t="s">
        <v>848</v>
      </c>
      <c r="H1731">
        <v>7</v>
      </c>
      <c r="I1731" t="s">
        <v>79</v>
      </c>
      <c r="J1731">
        <v>250</v>
      </c>
      <c r="K1731" t="s">
        <v>79</v>
      </c>
      <c r="L1731">
        <v>4</v>
      </c>
      <c r="M1731">
        <v>241.35</v>
      </c>
      <c r="N1731">
        <v>7.6</v>
      </c>
      <c r="Q1731">
        <v>233.75</v>
      </c>
      <c r="R1731" t="s">
        <v>849</v>
      </c>
      <c r="S1731">
        <v>25</v>
      </c>
      <c r="V1731">
        <v>25</v>
      </c>
      <c r="W1731">
        <v>0.41666666666666674</v>
      </c>
      <c r="AE1731">
        <v>30</v>
      </c>
      <c r="AF1731">
        <v>30</v>
      </c>
      <c r="AG1731">
        <v>0.5</v>
      </c>
      <c r="AH1731">
        <v>0.91666666666666674</v>
      </c>
      <c r="AI1731">
        <v>11.083333333333334</v>
      </c>
      <c r="AJ1731">
        <v>12</v>
      </c>
      <c r="AM1731">
        <v>0</v>
      </c>
      <c r="AN1731">
        <v>240.75</v>
      </c>
      <c r="AP1731">
        <v>41</v>
      </c>
    </row>
    <row r="1732" spans="1:42" x14ac:dyDescent="0.25">
      <c r="A1732" t="s">
        <v>46</v>
      </c>
      <c r="B1732">
        <v>4</v>
      </c>
      <c r="C1732" t="s">
        <v>857</v>
      </c>
      <c r="D1732" s="39">
        <v>45940</v>
      </c>
      <c r="E1732" t="s">
        <v>243</v>
      </c>
      <c r="F1732" t="s">
        <v>79</v>
      </c>
      <c r="G1732">
        <v>16.2</v>
      </c>
      <c r="H1732" t="s">
        <v>81</v>
      </c>
      <c r="I1732" t="s">
        <v>79</v>
      </c>
      <c r="J1732">
        <v>2000</v>
      </c>
      <c r="K1732" t="s">
        <v>79</v>
      </c>
      <c r="L1732">
        <v>10</v>
      </c>
      <c r="M1732">
        <v>449.63</v>
      </c>
      <c r="N1732">
        <v>16</v>
      </c>
      <c r="Q1732">
        <v>433.63</v>
      </c>
      <c r="R1732" t="s">
        <v>869</v>
      </c>
      <c r="V1732">
        <v>0</v>
      </c>
      <c r="W1732">
        <v>0</v>
      </c>
      <c r="AF1732">
        <v>0</v>
      </c>
      <c r="AG1732">
        <v>0</v>
      </c>
      <c r="AH1732">
        <v>0</v>
      </c>
      <c r="AI1732">
        <v>12</v>
      </c>
      <c r="AJ1732">
        <v>12</v>
      </c>
      <c r="AM1732">
        <v>0</v>
      </c>
      <c r="AN1732">
        <v>440.63</v>
      </c>
      <c r="AP1732">
        <v>41</v>
      </c>
    </row>
    <row r="1733" spans="1:42" x14ac:dyDescent="0.25">
      <c r="A1733" t="s">
        <v>46</v>
      </c>
      <c r="B1733">
        <v>4</v>
      </c>
      <c r="C1733" t="s">
        <v>545</v>
      </c>
      <c r="D1733" s="39">
        <v>45940</v>
      </c>
      <c r="E1733" t="s">
        <v>486</v>
      </c>
      <c r="F1733" t="s">
        <v>79</v>
      </c>
      <c r="G1733">
        <v>16</v>
      </c>
      <c r="H1733">
        <v>5</v>
      </c>
      <c r="I1733" t="s">
        <v>79</v>
      </c>
      <c r="J1733">
        <v>500</v>
      </c>
      <c r="K1733" t="s">
        <v>79</v>
      </c>
      <c r="L1733">
        <v>1</v>
      </c>
      <c r="M1733">
        <v>46.21</v>
      </c>
      <c r="N1733">
        <v>1.6</v>
      </c>
      <c r="Q1733">
        <v>44.61</v>
      </c>
      <c r="R1733" t="s">
        <v>812</v>
      </c>
      <c r="V1733">
        <v>0</v>
      </c>
      <c r="W1733">
        <v>0</v>
      </c>
      <c r="AF1733">
        <v>0</v>
      </c>
      <c r="AG1733">
        <v>0</v>
      </c>
      <c r="AH1733">
        <v>0</v>
      </c>
      <c r="AI1733">
        <v>12</v>
      </c>
      <c r="AJ1733">
        <v>12</v>
      </c>
      <c r="AM1733">
        <v>0</v>
      </c>
      <c r="AN1733">
        <v>51.61</v>
      </c>
      <c r="AP1733">
        <v>41</v>
      </c>
    </row>
    <row r="1734" spans="1:42" x14ac:dyDescent="0.25">
      <c r="A1734" t="s">
        <v>45</v>
      </c>
      <c r="B1734">
        <v>5</v>
      </c>
      <c r="C1734" t="s">
        <v>809</v>
      </c>
      <c r="D1734" s="39">
        <v>45940</v>
      </c>
      <c r="E1734" t="s">
        <v>629</v>
      </c>
      <c r="F1734" t="s">
        <v>79</v>
      </c>
      <c r="G1734">
        <v>17</v>
      </c>
      <c r="H1734" t="s">
        <v>92</v>
      </c>
      <c r="I1734" t="s">
        <v>79</v>
      </c>
      <c r="J1734">
        <v>5000</v>
      </c>
      <c r="K1734" t="s">
        <v>79</v>
      </c>
      <c r="L1734">
        <v>11</v>
      </c>
      <c r="M1734">
        <v>645.68999999999994</v>
      </c>
      <c r="N1734">
        <v>18.7</v>
      </c>
      <c r="Q1734">
        <v>626.9899999999999</v>
      </c>
      <c r="R1734" t="s">
        <v>867</v>
      </c>
      <c r="V1734">
        <v>0</v>
      </c>
      <c r="W1734">
        <v>0</v>
      </c>
      <c r="AF1734">
        <v>0</v>
      </c>
      <c r="AG1734">
        <v>0</v>
      </c>
      <c r="AH1734">
        <v>0</v>
      </c>
      <c r="AI1734">
        <v>12</v>
      </c>
      <c r="AJ1734">
        <v>12</v>
      </c>
      <c r="AM1734">
        <v>0</v>
      </c>
      <c r="AN1734">
        <v>633.9899999999999</v>
      </c>
      <c r="AP1734">
        <v>41</v>
      </c>
    </row>
    <row r="1735" spans="1:42" x14ac:dyDescent="0.25">
      <c r="A1735" t="s">
        <v>46</v>
      </c>
      <c r="B1735">
        <v>5</v>
      </c>
      <c r="C1735" t="s">
        <v>809</v>
      </c>
      <c r="D1735" s="39">
        <v>45940</v>
      </c>
      <c r="E1735" t="s">
        <v>629</v>
      </c>
      <c r="F1735" t="s">
        <v>79</v>
      </c>
      <c r="G1735">
        <v>17</v>
      </c>
      <c r="H1735" t="s">
        <v>92</v>
      </c>
      <c r="I1735" t="s">
        <v>79</v>
      </c>
      <c r="J1735">
        <v>5000</v>
      </c>
      <c r="K1735" t="s">
        <v>79</v>
      </c>
      <c r="L1735">
        <v>11</v>
      </c>
      <c r="M1735">
        <v>591.62</v>
      </c>
      <c r="N1735">
        <v>18.7</v>
      </c>
      <c r="Q1735">
        <v>572.91999999999996</v>
      </c>
      <c r="R1735" t="s">
        <v>867</v>
      </c>
      <c r="V1735">
        <v>0</v>
      </c>
      <c r="W1735">
        <v>0</v>
      </c>
      <c r="Y1735">
        <v>25</v>
      </c>
      <c r="AF1735">
        <v>25</v>
      </c>
      <c r="AG1735">
        <v>0.41666666666666674</v>
      </c>
      <c r="AH1735">
        <v>0.41666666666666674</v>
      </c>
      <c r="AI1735">
        <v>11.583333333333334</v>
      </c>
      <c r="AJ1735">
        <v>12</v>
      </c>
      <c r="AM1735">
        <v>0</v>
      </c>
      <c r="AN1735">
        <v>579.91999999999996</v>
      </c>
      <c r="AP1735">
        <v>41</v>
      </c>
    </row>
    <row r="1736" spans="1:42" x14ac:dyDescent="0.25">
      <c r="A1736" t="s">
        <v>45</v>
      </c>
      <c r="B1736">
        <v>1</v>
      </c>
      <c r="C1736" t="s">
        <v>832</v>
      </c>
      <c r="D1736" s="39">
        <v>45941</v>
      </c>
      <c r="E1736" t="s">
        <v>486</v>
      </c>
      <c r="F1736" t="s">
        <v>79</v>
      </c>
      <c r="G1736">
        <v>2</v>
      </c>
      <c r="H1736" t="s">
        <v>92</v>
      </c>
      <c r="I1736" t="s">
        <v>79</v>
      </c>
      <c r="J1736">
        <v>400</v>
      </c>
      <c r="K1736" t="s">
        <v>79</v>
      </c>
      <c r="L1736">
        <v>13</v>
      </c>
      <c r="M1736">
        <v>128.71</v>
      </c>
      <c r="N1736">
        <v>2.6</v>
      </c>
      <c r="O1736">
        <v>28.5</v>
      </c>
      <c r="Q1736">
        <v>126.11000000000001</v>
      </c>
      <c r="R1736" t="s">
        <v>833</v>
      </c>
      <c r="V1736">
        <v>0</v>
      </c>
      <c r="W1736">
        <v>0</v>
      </c>
      <c r="AF1736">
        <v>0</v>
      </c>
      <c r="AG1736">
        <v>0</v>
      </c>
      <c r="AH1736">
        <v>0</v>
      </c>
      <c r="AI1736">
        <v>12</v>
      </c>
      <c r="AJ1736">
        <v>12</v>
      </c>
      <c r="AL1736">
        <v>1625</v>
      </c>
      <c r="AM1736">
        <v>0</v>
      </c>
      <c r="AN1736">
        <v>131.11000000000001</v>
      </c>
      <c r="AO1736">
        <v>398</v>
      </c>
      <c r="AP1736">
        <v>41</v>
      </c>
    </row>
    <row r="1737" spans="1:42" x14ac:dyDescent="0.25">
      <c r="A1737" t="s">
        <v>46</v>
      </c>
      <c r="B1737">
        <v>1</v>
      </c>
      <c r="C1737" t="s">
        <v>832</v>
      </c>
      <c r="D1737" s="39">
        <v>45941</v>
      </c>
      <c r="E1737" t="s">
        <v>486</v>
      </c>
      <c r="F1737" t="s">
        <v>79</v>
      </c>
      <c r="G1737">
        <v>2</v>
      </c>
      <c r="H1737" t="s">
        <v>92</v>
      </c>
      <c r="I1737" t="s">
        <v>79</v>
      </c>
      <c r="J1737">
        <v>400</v>
      </c>
      <c r="K1737" t="s">
        <v>79</v>
      </c>
      <c r="L1737">
        <v>8</v>
      </c>
      <c r="M1737">
        <v>84.99</v>
      </c>
      <c r="N1737">
        <v>1.6</v>
      </c>
      <c r="O1737">
        <v>18.5</v>
      </c>
      <c r="Q1737">
        <v>83.39</v>
      </c>
      <c r="R1737" t="s">
        <v>833</v>
      </c>
      <c r="V1737">
        <v>0</v>
      </c>
      <c r="W1737">
        <v>0</v>
      </c>
      <c r="AF1737">
        <v>0</v>
      </c>
      <c r="AG1737">
        <v>0</v>
      </c>
      <c r="AH1737">
        <v>0</v>
      </c>
      <c r="AI1737">
        <v>12</v>
      </c>
      <c r="AJ1737">
        <v>12</v>
      </c>
      <c r="AM1737">
        <v>0</v>
      </c>
      <c r="AN1737">
        <v>88.39</v>
      </c>
      <c r="AP1737">
        <v>41</v>
      </c>
    </row>
    <row r="1738" spans="1:42" x14ac:dyDescent="0.25">
      <c r="A1738" t="s">
        <v>45</v>
      </c>
      <c r="B1738">
        <v>3</v>
      </c>
      <c r="C1738" t="s">
        <v>834</v>
      </c>
      <c r="D1738" s="39">
        <v>45941</v>
      </c>
      <c r="E1738" t="s">
        <v>229</v>
      </c>
      <c r="F1738" t="s">
        <v>79</v>
      </c>
      <c r="G1738" t="s">
        <v>102</v>
      </c>
      <c r="H1738" t="s">
        <v>105</v>
      </c>
      <c r="I1738" t="s">
        <v>79</v>
      </c>
      <c r="J1738">
        <v>900</v>
      </c>
      <c r="K1738" t="s">
        <v>79</v>
      </c>
      <c r="L1738">
        <v>4</v>
      </c>
      <c r="M1738">
        <v>122.12</v>
      </c>
      <c r="N1738">
        <v>2.8</v>
      </c>
      <c r="Q1738">
        <v>119.32000000000001</v>
      </c>
      <c r="R1738" t="s">
        <v>835</v>
      </c>
      <c r="S1738">
        <v>30</v>
      </c>
      <c r="V1738">
        <v>30</v>
      </c>
      <c r="W1738">
        <v>0.5</v>
      </c>
      <c r="AF1738">
        <v>0</v>
      </c>
      <c r="AG1738">
        <v>0</v>
      </c>
      <c r="AH1738">
        <v>0.5</v>
      </c>
      <c r="AI1738">
        <v>11.5</v>
      </c>
      <c r="AJ1738">
        <v>12</v>
      </c>
      <c r="AM1738">
        <v>0</v>
      </c>
      <c r="AN1738">
        <v>126.32</v>
      </c>
      <c r="AP1738">
        <v>41</v>
      </c>
    </row>
    <row r="1739" spans="1:42" x14ac:dyDescent="0.25">
      <c r="A1739" t="s">
        <v>45</v>
      </c>
      <c r="B1739">
        <v>3</v>
      </c>
      <c r="C1739" t="s">
        <v>858</v>
      </c>
      <c r="D1739" s="39">
        <v>45941</v>
      </c>
      <c r="E1739" t="s">
        <v>229</v>
      </c>
      <c r="F1739" t="s">
        <v>79</v>
      </c>
      <c r="G1739" t="s">
        <v>859</v>
      </c>
      <c r="H1739" t="s">
        <v>105</v>
      </c>
      <c r="I1739" t="s">
        <v>79</v>
      </c>
      <c r="J1739">
        <v>150</v>
      </c>
      <c r="K1739" t="s">
        <v>79</v>
      </c>
      <c r="L1739">
        <v>5</v>
      </c>
      <c r="M1739">
        <v>159.64000000000001</v>
      </c>
      <c r="N1739">
        <v>4.5</v>
      </c>
      <c r="Q1739">
        <v>155.14000000000001</v>
      </c>
      <c r="R1739" t="s">
        <v>860</v>
      </c>
      <c r="V1739">
        <v>0</v>
      </c>
      <c r="W1739">
        <v>0</v>
      </c>
      <c r="AF1739">
        <v>0</v>
      </c>
      <c r="AG1739">
        <v>0</v>
      </c>
      <c r="AH1739">
        <v>0</v>
      </c>
      <c r="AI1739">
        <v>12</v>
      </c>
      <c r="AJ1739">
        <v>12</v>
      </c>
      <c r="AM1739">
        <v>0</v>
      </c>
      <c r="AN1739">
        <v>162.13999999999999</v>
      </c>
      <c r="AP1739">
        <v>41</v>
      </c>
    </row>
    <row r="1740" spans="1:42" x14ac:dyDescent="0.25">
      <c r="A1740" t="s">
        <v>46</v>
      </c>
      <c r="B1740">
        <v>3</v>
      </c>
      <c r="C1740" t="s">
        <v>861</v>
      </c>
      <c r="D1740" s="39">
        <v>45941</v>
      </c>
      <c r="E1740" t="s">
        <v>486</v>
      </c>
      <c r="F1740" t="s">
        <v>79</v>
      </c>
      <c r="G1740">
        <v>6</v>
      </c>
      <c r="H1740">
        <v>5</v>
      </c>
      <c r="I1740" t="s">
        <v>79</v>
      </c>
      <c r="J1740">
        <v>1000</v>
      </c>
      <c r="K1740" t="s">
        <v>79</v>
      </c>
      <c r="L1740">
        <v>6</v>
      </c>
      <c r="M1740">
        <v>191.26</v>
      </c>
      <c r="N1740">
        <v>3.5999999999999996</v>
      </c>
      <c r="Q1740">
        <v>187.66</v>
      </c>
      <c r="R1740" t="s">
        <v>870</v>
      </c>
      <c r="V1740">
        <v>0</v>
      </c>
      <c r="W1740">
        <v>0</v>
      </c>
      <c r="Z1740">
        <v>150</v>
      </c>
      <c r="AF1740">
        <v>150</v>
      </c>
      <c r="AG1740">
        <v>2.5</v>
      </c>
      <c r="AH1740">
        <v>2.5</v>
      </c>
      <c r="AI1740">
        <v>9.5</v>
      </c>
      <c r="AJ1740">
        <v>12</v>
      </c>
      <c r="AM1740">
        <v>0</v>
      </c>
      <c r="AN1740">
        <v>194.66</v>
      </c>
      <c r="AP1740">
        <v>41</v>
      </c>
    </row>
    <row r="1741" spans="1:42" x14ac:dyDescent="0.25">
      <c r="A1741" t="s">
        <v>45</v>
      </c>
      <c r="B1741">
        <v>4</v>
      </c>
      <c r="C1741" t="s">
        <v>857</v>
      </c>
      <c r="D1741" s="39">
        <v>45941</v>
      </c>
      <c r="E1741" t="s">
        <v>243</v>
      </c>
      <c r="F1741" t="s">
        <v>79</v>
      </c>
      <c r="G1741">
        <v>16.2</v>
      </c>
      <c r="H1741" t="s">
        <v>81</v>
      </c>
      <c r="I1741" t="s">
        <v>79</v>
      </c>
      <c r="J1741">
        <v>2000</v>
      </c>
      <c r="K1741" t="s">
        <v>79</v>
      </c>
      <c r="L1741">
        <v>13</v>
      </c>
      <c r="M1741">
        <v>691.6</v>
      </c>
      <c r="N1741">
        <v>24.05</v>
      </c>
      <c r="Q1741">
        <v>667.55000000000007</v>
      </c>
      <c r="R1741" t="s">
        <v>869</v>
      </c>
      <c r="V1741">
        <v>0</v>
      </c>
      <c r="W1741">
        <v>0</v>
      </c>
      <c r="AF1741">
        <v>0</v>
      </c>
      <c r="AG1741">
        <v>0</v>
      </c>
      <c r="AH1741">
        <v>0</v>
      </c>
      <c r="AI1741">
        <v>12</v>
      </c>
      <c r="AJ1741">
        <v>12</v>
      </c>
      <c r="AM1741">
        <v>0</v>
      </c>
      <c r="AN1741">
        <v>674.55000000000007</v>
      </c>
      <c r="AP1741">
        <v>41</v>
      </c>
    </row>
    <row r="1742" spans="1:42" x14ac:dyDescent="0.25">
      <c r="A1742" t="s">
        <v>46</v>
      </c>
      <c r="B1742">
        <v>4</v>
      </c>
      <c r="C1742" t="s">
        <v>857</v>
      </c>
      <c r="D1742" s="39">
        <v>45941</v>
      </c>
      <c r="E1742" t="s">
        <v>243</v>
      </c>
      <c r="F1742" t="s">
        <v>79</v>
      </c>
      <c r="G1742">
        <v>16.2</v>
      </c>
      <c r="H1742" t="s">
        <v>81</v>
      </c>
      <c r="I1742" t="s">
        <v>79</v>
      </c>
      <c r="J1742">
        <v>2000</v>
      </c>
      <c r="K1742" t="s">
        <v>79</v>
      </c>
      <c r="L1742">
        <v>9</v>
      </c>
      <c r="M1742">
        <v>504.90000000000009</v>
      </c>
      <c r="N1742">
        <v>14.4</v>
      </c>
      <c r="Q1742">
        <v>490.50000000000011</v>
      </c>
      <c r="R1742" t="s">
        <v>869</v>
      </c>
      <c r="V1742">
        <v>0</v>
      </c>
      <c r="W1742">
        <v>0</v>
      </c>
      <c r="Z1742">
        <v>120</v>
      </c>
      <c r="AF1742">
        <v>120</v>
      </c>
      <c r="AG1742">
        <v>2</v>
      </c>
      <c r="AH1742">
        <v>2</v>
      </c>
      <c r="AI1742">
        <v>10</v>
      </c>
      <c r="AJ1742">
        <v>12</v>
      </c>
      <c r="AM1742">
        <v>0</v>
      </c>
      <c r="AN1742">
        <v>497.50000000000006</v>
      </c>
      <c r="AP1742">
        <v>41</v>
      </c>
    </row>
    <row r="1743" spans="1:42" x14ac:dyDescent="0.25">
      <c r="A1743" t="s">
        <v>45</v>
      </c>
      <c r="B1743">
        <v>5</v>
      </c>
      <c r="C1743" t="s">
        <v>809</v>
      </c>
      <c r="D1743" s="39">
        <v>45941</v>
      </c>
      <c r="E1743" t="s">
        <v>629</v>
      </c>
      <c r="F1743" t="s">
        <v>79</v>
      </c>
      <c r="G1743">
        <v>17</v>
      </c>
      <c r="H1743" t="s">
        <v>92</v>
      </c>
      <c r="I1743" t="s">
        <v>79</v>
      </c>
      <c r="J1743">
        <v>5000</v>
      </c>
      <c r="K1743" t="s">
        <v>79</v>
      </c>
      <c r="L1743">
        <v>10</v>
      </c>
      <c r="M1743">
        <v>589.41000000000008</v>
      </c>
      <c r="N1743">
        <v>17</v>
      </c>
      <c r="Q1743">
        <v>572.41000000000008</v>
      </c>
      <c r="R1743" t="s">
        <v>867</v>
      </c>
      <c r="V1743">
        <v>0</v>
      </c>
      <c r="W1743">
        <v>0</v>
      </c>
      <c r="AF1743">
        <v>0</v>
      </c>
      <c r="AG1743">
        <v>0</v>
      </c>
      <c r="AH1743">
        <v>0</v>
      </c>
      <c r="AI1743">
        <v>12</v>
      </c>
      <c r="AJ1743">
        <v>12</v>
      </c>
      <c r="AM1743">
        <v>0</v>
      </c>
      <c r="AN1743">
        <v>579.41000000000008</v>
      </c>
      <c r="AP1743">
        <v>41</v>
      </c>
    </row>
    <row r="1744" spans="1:42" x14ac:dyDescent="0.25">
      <c r="A1744" t="s">
        <v>46</v>
      </c>
      <c r="B1744">
        <v>5</v>
      </c>
      <c r="C1744" t="s">
        <v>809</v>
      </c>
      <c r="D1744" s="39">
        <v>45941</v>
      </c>
      <c r="E1744" t="s">
        <v>629</v>
      </c>
      <c r="F1744" t="s">
        <v>79</v>
      </c>
      <c r="G1744">
        <v>17</v>
      </c>
      <c r="H1744" t="s">
        <v>92</v>
      </c>
      <c r="I1744" t="s">
        <v>79</v>
      </c>
      <c r="J1744">
        <v>5000</v>
      </c>
      <c r="K1744" t="s">
        <v>79</v>
      </c>
      <c r="L1744">
        <v>8</v>
      </c>
      <c r="M1744">
        <v>448.51</v>
      </c>
      <c r="N1744">
        <v>13.6</v>
      </c>
      <c r="Q1744">
        <v>434.90999999999997</v>
      </c>
      <c r="R1744" t="s">
        <v>867</v>
      </c>
      <c r="V1744">
        <v>0</v>
      </c>
      <c r="W1744">
        <v>0</v>
      </c>
      <c r="AF1744">
        <v>0</v>
      </c>
      <c r="AG1744">
        <v>0</v>
      </c>
      <c r="AH1744">
        <v>0</v>
      </c>
      <c r="AI1744">
        <v>12</v>
      </c>
      <c r="AJ1744">
        <v>12</v>
      </c>
      <c r="AM1744">
        <v>0</v>
      </c>
      <c r="AN1744">
        <v>441.91</v>
      </c>
      <c r="AP1744">
        <v>41</v>
      </c>
    </row>
    <row r="1745" spans="1:42" x14ac:dyDescent="0.25">
      <c r="D1745" s="39">
        <v>45942</v>
      </c>
      <c r="E1745" t="s">
        <v>871</v>
      </c>
      <c r="K1745" t="s">
        <v>79</v>
      </c>
      <c r="Q1745">
        <v>0</v>
      </c>
      <c r="R1745" t="s">
        <v>468</v>
      </c>
      <c r="AL1745">
        <v>88</v>
      </c>
      <c r="AO1745">
        <v>398</v>
      </c>
      <c r="AP1745">
        <v>42</v>
      </c>
    </row>
    <row r="1746" spans="1:42" x14ac:dyDescent="0.25">
      <c r="A1746" t="s">
        <v>45</v>
      </c>
      <c r="B1746">
        <v>5</v>
      </c>
      <c r="C1746" t="s">
        <v>809</v>
      </c>
      <c r="D1746" s="39">
        <v>45943</v>
      </c>
      <c r="E1746" t="s">
        <v>629</v>
      </c>
      <c r="F1746" t="s">
        <v>79</v>
      </c>
      <c r="G1746">
        <v>17</v>
      </c>
      <c r="H1746" t="s">
        <v>92</v>
      </c>
      <c r="I1746" t="s">
        <v>79</v>
      </c>
      <c r="J1746">
        <v>5000</v>
      </c>
      <c r="K1746" t="s">
        <v>79</v>
      </c>
      <c r="L1746">
        <v>7</v>
      </c>
      <c r="M1746">
        <v>394.5</v>
      </c>
      <c r="N1746">
        <v>11.9</v>
      </c>
      <c r="O1746">
        <v>28.5</v>
      </c>
      <c r="Q1746">
        <v>382.6</v>
      </c>
      <c r="R1746" t="s">
        <v>867</v>
      </c>
      <c r="U1746">
        <v>210</v>
      </c>
      <c r="V1746">
        <v>210</v>
      </c>
      <c r="W1746">
        <v>3.5</v>
      </c>
      <c r="AF1746">
        <v>0</v>
      </c>
      <c r="AG1746">
        <v>0</v>
      </c>
      <c r="AH1746">
        <v>3.5</v>
      </c>
      <c r="AI1746">
        <v>8.5</v>
      </c>
      <c r="AJ1746">
        <v>12</v>
      </c>
      <c r="AL1746">
        <v>1414</v>
      </c>
      <c r="AM1746">
        <v>0</v>
      </c>
      <c r="AN1746">
        <v>392.6</v>
      </c>
      <c r="AO1746">
        <v>398</v>
      </c>
      <c r="AP1746">
        <v>42</v>
      </c>
    </row>
    <row r="1747" spans="1:42" x14ac:dyDescent="0.25">
      <c r="A1747" t="s">
        <v>46</v>
      </c>
      <c r="B1747">
        <v>5</v>
      </c>
      <c r="C1747" t="s">
        <v>809</v>
      </c>
      <c r="D1747" s="39">
        <v>45943</v>
      </c>
      <c r="E1747" t="s">
        <v>629</v>
      </c>
      <c r="F1747" t="s">
        <v>79</v>
      </c>
      <c r="G1747">
        <v>17</v>
      </c>
      <c r="H1747" t="s">
        <v>92</v>
      </c>
      <c r="I1747" t="s">
        <v>79</v>
      </c>
      <c r="J1747">
        <v>5000</v>
      </c>
      <c r="K1747" t="s">
        <v>79</v>
      </c>
      <c r="L1747">
        <v>1</v>
      </c>
      <c r="M1747">
        <v>69.44</v>
      </c>
      <c r="N1747">
        <v>1.7</v>
      </c>
      <c r="O1747">
        <v>27.5</v>
      </c>
      <c r="Q1747">
        <v>67.739999999999995</v>
      </c>
      <c r="R1747" t="s">
        <v>867</v>
      </c>
      <c r="S1747">
        <v>23</v>
      </c>
      <c r="V1747">
        <v>23</v>
      </c>
      <c r="W1747">
        <v>0.38333333333333336</v>
      </c>
      <c r="AF1747">
        <v>0</v>
      </c>
      <c r="AG1747">
        <v>0</v>
      </c>
      <c r="AH1747">
        <v>0.38333333333333336</v>
      </c>
      <c r="AI1747">
        <v>11.616666666666667</v>
      </c>
      <c r="AJ1747">
        <v>12</v>
      </c>
      <c r="AM1747">
        <v>0</v>
      </c>
      <c r="AN1747">
        <v>77.739999999999995</v>
      </c>
      <c r="AP1747">
        <v>42</v>
      </c>
    </row>
    <row r="1748" spans="1:42" x14ac:dyDescent="0.25">
      <c r="A1748" t="s">
        <v>46</v>
      </c>
      <c r="B1748">
        <v>5</v>
      </c>
      <c r="C1748" t="s">
        <v>872</v>
      </c>
      <c r="D1748" s="39">
        <v>45943</v>
      </c>
      <c r="E1748" t="s">
        <v>873</v>
      </c>
      <c r="F1748" t="s">
        <v>79</v>
      </c>
      <c r="G1748">
        <v>13</v>
      </c>
      <c r="H1748">
        <v>4</v>
      </c>
      <c r="I1748" t="s">
        <v>79</v>
      </c>
      <c r="J1748">
        <v>100</v>
      </c>
      <c r="K1748" t="s">
        <v>79</v>
      </c>
      <c r="L1748">
        <v>2</v>
      </c>
      <c r="M1748">
        <v>111.03999999999999</v>
      </c>
      <c r="N1748">
        <v>2.6</v>
      </c>
      <c r="Q1748">
        <v>108.44</v>
      </c>
      <c r="R1748" t="s">
        <v>874</v>
      </c>
      <c r="S1748">
        <v>22</v>
      </c>
      <c r="V1748">
        <v>22</v>
      </c>
      <c r="W1748">
        <v>0.36666666666666664</v>
      </c>
      <c r="AF1748">
        <v>0</v>
      </c>
      <c r="AG1748">
        <v>0</v>
      </c>
      <c r="AH1748">
        <v>0.36666666666666664</v>
      </c>
      <c r="AI1748">
        <v>11.633333333333333</v>
      </c>
      <c r="AJ1748">
        <v>12</v>
      </c>
      <c r="AM1748">
        <v>0</v>
      </c>
      <c r="AN1748">
        <v>118.44</v>
      </c>
      <c r="AP1748">
        <v>42</v>
      </c>
    </row>
    <row r="1749" spans="1:42" x14ac:dyDescent="0.25">
      <c r="A1749" t="s">
        <v>46</v>
      </c>
      <c r="B1749">
        <v>5</v>
      </c>
      <c r="C1749" t="s">
        <v>875</v>
      </c>
      <c r="D1749" s="39">
        <v>45943</v>
      </c>
      <c r="E1749" t="s">
        <v>486</v>
      </c>
      <c r="F1749" t="s">
        <v>79</v>
      </c>
      <c r="G1749">
        <v>12</v>
      </c>
      <c r="H1749">
        <v>5</v>
      </c>
      <c r="I1749" t="s">
        <v>79</v>
      </c>
      <c r="J1749">
        <v>1000</v>
      </c>
      <c r="K1749" t="s">
        <v>79</v>
      </c>
      <c r="L1749">
        <v>8</v>
      </c>
      <c r="M1749">
        <v>382.09</v>
      </c>
      <c r="N1749">
        <v>9.6</v>
      </c>
      <c r="Q1749">
        <v>372.48999999999995</v>
      </c>
      <c r="R1749" t="s">
        <v>876</v>
      </c>
      <c r="V1749">
        <v>0</v>
      </c>
      <c r="W1749">
        <v>0</v>
      </c>
      <c r="AF1749">
        <v>0</v>
      </c>
      <c r="AG1749">
        <v>0</v>
      </c>
      <c r="AH1749">
        <v>0</v>
      </c>
      <c r="AI1749">
        <v>12</v>
      </c>
      <c r="AJ1749">
        <v>12</v>
      </c>
      <c r="AM1749">
        <v>0</v>
      </c>
      <c r="AN1749">
        <v>382.4899999999999</v>
      </c>
      <c r="AP1749">
        <v>42</v>
      </c>
    </row>
    <row r="1750" spans="1:42" x14ac:dyDescent="0.25">
      <c r="A1750" t="s">
        <v>45</v>
      </c>
      <c r="B1750">
        <v>3</v>
      </c>
      <c r="C1750" t="s">
        <v>861</v>
      </c>
      <c r="D1750" s="39">
        <v>45943</v>
      </c>
      <c r="E1750" t="s">
        <v>486</v>
      </c>
      <c r="F1750" t="s">
        <v>79</v>
      </c>
      <c r="G1750">
        <v>6</v>
      </c>
      <c r="H1750">
        <v>5</v>
      </c>
      <c r="I1750" t="s">
        <v>79</v>
      </c>
      <c r="J1750">
        <v>1000</v>
      </c>
      <c r="K1750" t="s">
        <v>79</v>
      </c>
      <c r="L1750">
        <v>7</v>
      </c>
      <c r="M1750">
        <v>188.02</v>
      </c>
      <c r="N1750">
        <v>4.2</v>
      </c>
      <c r="Q1750">
        <v>183.82000000000002</v>
      </c>
      <c r="R1750" t="s">
        <v>870</v>
      </c>
      <c r="U1750">
        <v>180</v>
      </c>
      <c r="V1750">
        <v>180</v>
      </c>
      <c r="W1750">
        <v>3</v>
      </c>
      <c r="AF1750">
        <v>0</v>
      </c>
      <c r="AG1750">
        <v>0</v>
      </c>
      <c r="AH1750">
        <v>3</v>
      </c>
      <c r="AI1750">
        <v>9</v>
      </c>
      <c r="AJ1750">
        <v>12</v>
      </c>
      <c r="AM1750">
        <v>0</v>
      </c>
      <c r="AN1750">
        <v>188.82</v>
      </c>
      <c r="AP1750">
        <v>42</v>
      </c>
    </row>
    <row r="1751" spans="1:42" x14ac:dyDescent="0.25">
      <c r="A1751" t="s">
        <v>46</v>
      </c>
      <c r="B1751">
        <v>3</v>
      </c>
      <c r="C1751" t="s">
        <v>861</v>
      </c>
      <c r="D1751" s="39">
        <v>45943</v>
      </c>
      <c r="E1751" t="s">
        <v>486</v>
      </c>
      <c r="F1751" t="s">
        <v>79</v>
      </c>
      <c r="G1751">
        <v>6</v>
      </c>
      <c r="H1751">
        <v>5</v>
      </c>
      <c r="I1751" t="s">
        <v>79</v>
      </c>
      <c r="J1751">
        <v>1000</v>
      </c>
      <c r="K1751" t="s">
        <v>79</v>
      </c>
      <c r="L1751">
        <v>8</v>
      </c>
      <c r="M1751">
        <v>248.26</v>
      </c>
      <c r="N1751">
        <v>4.8</v>
      </c>
      <c r="Q1751">
        <v>243.45999999999998</v>
      </c>
      <c r="R1751" t="s">
        <v>870</v>
      </c>
      <c r="V1751">
        <v>0</v>
      </c>
      <c r="W1751">
        <v>0</v>
      </c>
      <c r="AF1751">
        <v>0</v>
      </c>
      <c r="AG1751">
        <v>0</v>
      </c>
      <c r="AH1751">
        <v>0</v>
      </c>
      <c r="AI1751">
        <v>12</v>
      </c>
      <c r="AJ1751">
        <v>12</v>
      </c>
      <c r="AM1751">
        <v>0</v>
      </c>
      <c r="AN1751">
        <v>248.46</v>
      </c>
      <c r="AP1751">
        <v>42</v>
      </c>
    </row>
    <row r="1752" spans="1:42" x14ac:dyDescent="0.25">
      <c r="A1752" t="s">
        <v>45</v>
      </c>
      <c r="B1752">
        <v>4</v>
      </c>
      <c r="C1752" t="s">
        <v>857</v>
      </c>
      <c r="D1752" s="39">
        <v>45943</v>
      </c>
      <c r="E1752" t="s">
        <v>243</v>
      </c>
      <c r="F1752" t="s">
        <v>79</v>
      </c>
      <c r="G1752">
        <v>16.2</v>
      </c>
      <c r="H1752" t="s">
        <v>81</v>
      </c>
      <c r="I1752" t="s">
        <v>79</v>
      </c>
      <c r="J1752">
        <v>2000</v>
      </c>
      <c r="K1752" t="s">
        <v>79</v>
      </c>
      <c r="L1752">
        <v>3</v>
      </c>
      <c r="M1752">
        <v>110.41</v>
      </c>
      <c r="N1752">
        <v>4.8000000000000007</v>
      </c>
      <c r="Q1752">
        <v>105.61</v>
      </c>
      <c r="R1752" t="s">
        <v>869</v>
      </c>
      <c r="V1752">
        <v>0</v>
      </c>
      <c r="W1752">
        <v>0</v>
      </c>
      <c r="AF1752">
        <v>0</v>
      </c>
      <c r="AG1752">
        <v>0</v>
      </c>
      <c r="AH1752">
        <v>0</v>
      </c>
      <c r="AI1752">
        <v>12</v>
      </c>
      <c r="AJ1752">
        <v>12</v>
      </c>
      <c r="AM1752">
        <v>0</v>
      </c>
      <c r="AN1752">
        <v>112.61</v>
      </c>
      <c r="AP1752">
        <v>42</v>
      </c>
    </row>
    <row r="1753" spans="1:42" x14ac:dyDescent="0.25">
      <c r="A1753" t="s">
        <v>46</v>
      </c>
      <c r="B1753">
        <v>4</v>
      </c>
      <c r="C1753" t="s">
        <v>857</v>
      </c>
      <c r="D1753" s="39">
        <v>45943</v>
      </c>
      <c r="E1753" t="s">
        <v>243</v>
      </c>
      <c r="F1753" t="s">
        <v>79</v>
      </c>
      <c r="G1753">
        <v>16.2</v>
      </c>
      <c r="H1753" t="s">
        <v>81</v>
      </c>
      <c r="I1753" t="s">
        <v>79</v>
      </c>
      <c r="J1753">
        <v>2000</v>
      </c>
      <c r="K1753" t="s">
        <v>79</v>
      </c>
      <c r="L1753">
        <v>8</v>
      </c>
      <c r="M1753">
        <v>418.12</v>
      </c>
      <c r="N1753">
        <v>12.8</v>
      </c>
      <c r="Q1753">
        <v>405.32</v>
      </c>
      <c r="R1753" t="s">
        <v>869</v>
      </c>
      <c r="V1753">
        <v>0</v>
      </c>
      <c r="W1753">
        <v>0</v>
      </c>
      <c r="AF1753">
        <v>0</v>
      </c>
      <c r="AG1753">
        <v>0</v>
      </c>
      <c r="AH1753">
        <v>0</v>
      </c>
      <c r="AI1753">
        <v>12</v>
      </c>
      <c r="AJ1753">
        <v>12</v>
      </c>
      <c r="AM1753">
        <v>0</v>
      </c>
      <c r="AN1753">
        <v>412.32</v>
      </c>
      <c r="AP1753">
        <v>42</v>
      </c>
    </row>
    <row r="1754" spans="1:42" x14ac:dyDescent="0.25">
      <c r="A1754" t="s">
        <v>46</v>
      </c>
      <c r="B1754">
        <v>4</v>
      </c>
      <c r="C1754" t="s">
        <v>877</v>
      </c>
      <c r="D1754" s="39">
        <v>45943</v>
      </c>
      <c r="E1754" t="s">
        <v>828</v>
      </c>
      <c r="F1754" t="s">
        <v>79</v>
      </c>
      <c r="G1754" t="s">
        <v>878</v>
      </c>
      <c r="H1754">
        <v>7</v>
      </c>
      <c r="I1754" t="s">
        <v>79</v>
      </c>
      <c r="J1754">
        <v>250</v>
      </c>
      <c r="K1754" t="s">
        <v>79</v>
      </c>
      <c r="L1754">
        <v>3</v>
      </c>
      <c r="M1754">
        <v>138.6</v>
      </c>
      <c r="N1754">
        <v>4.8000000000000007</v>
      </c>
      <c r="Q1754">
        <v>133.79999999999998</v>
      </c>
      <c r="R1754" t="s">
        <v>879</v>
      </c>
      <c r="V1754">
        <v>0</v>
      </c>
      <c r="W1754">
        <v>0</v>
      </c>
      <c r="AF1754">
        <v>0</v>
      </c>
      <c r="AG1754">
        <v>0</v>
      </c>
      <c r="AH1754">
        <v>0</v>
      </c>
      <c r="AI1754">
        <v>12</v>
      </c>
      <c r="AJ1754">
        <v>12</v>
      </c>
      <c r="AM1754">
        <v>0</v>
      </c>
      <c r="AN1754">
        <v>140.79999999999998</v>
      </c>
      <c r="AP1754">
        <v>42</v>
      </c>
    </row>
    <row r="1755" spans="1:42" x14ac:dyDescent="0.25">
      <c r="A1755" t="s">
        <v>46</v>
      </c>
      <c r="B1755">
        <v>4</v>
      </c>
      <c r="C1755" t="s">
        <v>880</v>
      </c>
      <c r="D1755" s="39">
        <v>45943</v>
      </c>
      <c r="E1755" t="s">
        <v>854</v>
      </c>
      <c r="F1755" t="s">
        <v>79</v>
      </c>
      <c r="G1755" t="s">
        <v>878</v>
      </c>
      <c r="H1755">
        <v>13</v>
      </c>
      <c r="I1755" t="s">
        <v>79</v>
      </c>
      <c r="J1755">
        <v>75</v>
      </c>
      <c r="K1755" t="s">
        <v>79</v>
      </c>
      <c r="L1755">
        <v>2</v>
      </c>
      <c r="M1755">
        <v>82.75</v>
      </c>
      <c r="N1755">
        <v>3.2</v>
      </c>
      <c r="Q1755">
        <v>79.55</v>
      </c>
      <c r="R1755" t="s">
        <v>881</v>
      </c>
      <c r="V1755">
        <v>0</v>
      </c>
      <c r="W1755">
        <v>0</v>
      </c>
      <c r="AF1755">
        <v>0</v>
      </c>
      <c r="AG1755">
        <v>0</v>
      </c>
      <c r="AH1755">
        <v>0</v>
      </c>
      <c r="AI1755">
        <v>12</v>
      </c>
      <c r="AJ1755">
        <v>12</v>
      </c>
      <c r="AM1755">
        <v>0</v>
      </c>
      <c r="AN1755">
        <v>86.55</v>
      </c>
      <c r="AP1755">
        <v>42</v>
      </c>
    </row>
    <row r="1756" spans="1:42" x14ac:dyDescent="0.25">
      <c r="A1756" t="s">
        <v>46</v>
      </c>
      <c r="B1756">
        <v>1</v>
      </c>
      <c r="C1756" t="s">
        <v>882</v>
      </c>
      <c r="D1756" s="39">
        <v>45944</v>
      </c>
      <c r="E1756" t="s">
        <v>486</v>
      </c>
      <c r="F1756" t="s">
        <v>79</v>
      </c>
      <c r="G1756">
        <v>3</v>
      </c>
      <c r="H1756" t="s">
        <v>92</v>
      </c>
      <c r="I1756" t="s">
        <v>79</v>
      </c>
      <c r="J1756">
        <v>500</v>
      </c>
      <c r="K1756" t="s">
        <v>79</v>
      </c>
      <c r="L1756">
        <v>8</v>
      </c>
      <c r="M1756">
        <v>95.17</v>
      </c>
      <c r="N1756">
        <v>2.4</v>
      </c>
      <c r="O1756">
        <v>34.5</v>
      </c>
      <c r="Q1756">
        <v>92.77</v>
      </c>
      <c r="R1756" t="s">
        <v>883</v>
      </c>
      <c r="U1756">
        <v>120</v>
      </c>
      <c r="V1756">
        <v>120</v>
      </c>
      <c r="W1756">
        <v>2</v>
      </c>
      <c r="AF1756">
        <v>0</v>
      </c>
      <c r="AG1756">
        <v>0</v>
      </c>
      <c r="AH1756">
        <v>2</v>
      </c>
      <c r="AI1756">
        <v>10</v>
      </c>
      <c r="AJ1756">
        <v>12</v>
      </c>
      <c r="AL1756">
        <v>1918</v>
      </c>
      <c r="AM1756">
        <v>0</v>
      </c>
      <c r="AN1756">
        <v>97.77</v>
      </c>
      <c r="AO1756">
        <v>398</v>
      </c>
      <c r="AP1756">
        <v>42</v>
      </c>
    </row>
    <row r="1757" spans="1:42" x14ac:dyDescent="0.25">
      <c r="A1757" t="s">
        <v>46</v>
      </c>
      <c r="B1757">
        <v>2</v>
      </c>
      <c r="C1757" t="s">
        <v>884</v>
      </c>
      <c r="D1757" s="39">
        <v>45944</v>
      </c>
      <c r="E1757" t="s">
        <v>486</v>
      </c>
      <c r="F1757" t="s">
        <v>79</v>
      </c>
      <c r="G1757">
        <v>4</v>
      </c>
      <c r="H1757" t="s">
        <v>113</v>
      </c>
      <c r="I1757" t="s">
        <v>79</v>
      </c>
      <c r="J1757">
        <v>500</v>
      </c>
      <c r="K1757" t="s">
        <v>79</v>
      </c>
      <c r="L1757">
        <v>13</v>
      </c>
      <c r="M1757">
        <v>151.95999999999998</v>
      </c>
      <c r="N1757">
        <v>5.2</v>
      </c>
      <c r="Q1757">
        <v>146.76</v>
      </c>
      <c r="R1757" t="s">
        <v>1125</v>
      </c>
      <c r="U1757">
        <v>120</v>
      </c>
      <c r="V1757">
        <v>120</v>
      </c>
      <c r="W1757">
        <v>2</v>
      </c>
      <c r="AF1757">
        <v>0</v>
      </c>
      <c r="AG1757">
        <v>0</v>
      </c>
      <c r="AH1757">
        <v>2</v>
      </c>
      <c r="AI1757">
        <v>10</v>
      </c>
      <c r="AJ1757">
        <v>12</v>
      </c>
      <c r="AM1757">
        <v>0</v>
      </c>
      <c r="AN1757">
        <v>156.76</v>
      </c>
      <c r="AP1757">
        <v>42</v>
      </c>
    </row>
    <row r="1758" spans="1:42" x14ac:dyDescent="0.25">
      <c r="A1758" t="s">
        <v>45</v>
      </c>
      <c r="B1758">
        <v>3</v>
      </c>
      <c r="C1758" t="s">
        <v>861</v>
      </c>
      <c r="D1758" s="39">
        <v>45944</v>
      </c>
      <c r="E1758" t="s">
        <v>486</v>
      </c>
      <c r="F1758" t="s">
        <v>79</v>
      </c>
      <c r="G1758">
        <v>6</v>
      </c>
      <c r="H1758">
        <v>5</v>
      </c>
      <c r="I1758" t="s">
        <v>79</v>
      </c>
      <c r="J1758">
        <v>1000</v>
      </c>
      <c r="K1758" t="s">
        <v>79</v>
      </c>
      <c r="L1758">
        <v>8</v>
      </c>
      <c r="M1758">
        <v>263.81</v>
      </c>
      <c r="N1758">
        <v>4.8</v>
      </c>
      <c r="O1758">
        <v>28.5</v>
      </c>
      <c r="Q1758">
        <v>259.01</v>
      </c>
      <c r="R1758" t="s">
        <v>870</v>
      </c>
      <c r="V1758">
        <v>0</v>
      </c>
      <c r="W1758">
        <v>0</v>
      </c>
      <c r="AF1758">
        <v>0</v>
      </c>
      <c r="AG1758">
        <v>0</v>
      </c>
      <c r="AH1758">
        <v>0</v>
      </c>
      <c r="AI1758">
        <v>12</v>
      </c>
      <c r="AJ1758">
        <v>12</v>
      </c>
      <c r="AM1758">
        <v>0</v>
      </c>
      <c r="AN1758">
        <v>264.01</v>
      </c>
      <c r="AP1758">
        <v>42</v>
      </c>
    </row>
    <row r="1759" spans="1:42" x14ac:dyDescent="0.25">
      <c r="A1759" t="s">
        <v>46</v>
      </c>
      <c r="B1759">
        <v>3</v>
      </c>
      <c r="C1759" t="s">
        <v>861</v>
      </c>
      <c r="D1759" s="39">
        <v>45944</v>
      </c>
      <c r="E1759" t="s">
        <v>486</v>
      </c>
      <c r="F1759" t="s">
        <v>79</v>
      </c>
      <c r="G1759">
        <v>6</v>
      </c>
      <c r="H1759">
        <v>5</v>
      </c>
      <c r="I1759" t="s">
        <v>79</v>
      </c>
      <c r="J1759">
        <v>1000</v>
      </c>
      <c r="K1759" t="s">
        <v>79</v>
      </c>
      <c r="L1759">
        <v>6</v>
      </c>
      <c r="M1759">
        <v>176.38</v>
      </c>
      <c r="N1759">
        <v>4.8000000000000007</v>
      </c>
      <c r="Q1759">
        <v>171.57999999999998</v>
      </c>
      <c r="R1759" t="s">
        <v>870</v>
      </c>
      <c r="V1759">
        <v>0</v>
      </c>
      <c r="W1759">
        <v>0</v>
      </c>
      <c r="AF1759">
        <v>0</v>
      </c>
      <c r="AG1759">
        <v>0</v>
      </c>
      <c r="AH1759">
        <v>0</v>
      </c>
      <c r="AI1759">
        <v>12</v>
      </c>
      <c r="AJ1759">
        <v>12</v>
      </c>
      <c r="AM1759">
        <v>0</v>
      </c>
      <c r="AN1759">
        <v>176.57999999999998</v>
      </c>
      <c r="AP1759">
        <v>42</v>
      </c>
    </row>
    <row r="1760" spans="1:42" x14ac:dyDescent="0.25">
      <c r="A1760" t="s">
        <v>46</v>
      </c>
      <c r="B1760">
        <v>3</v>
      </c>
      <c r="C1760" t="s">
        <v>885</v>
      </c>
      <c r="D1760" s="39">
        <v>45944</v>
      </c>
      <c r="E1760" t="s">
        <v>486</v>
      </c>
      <c r="F1760" t="s">
        <v>79</v>
      </c>
      <c r="G1760">
        <v>6</v>
      </c>
      <c r="H1760">
        <v>5</v>
      </c>
      <c r="I1760" t="s">
        <v>79</v>
      </c>
      <c r="J1760">
        <v>1000</v>
      </c>
      <c r="K1760" t="s">
        <v>79</v>
      </c>
      <c r="L1760">
        <v>3</v>
      </c>
      <c r="M1760">
        <v>95.660000000000011</v>
      </c>
      <c r="N1760">
        <v>1.7999999999999998</v>
      </c>
      <c r="Q1760">
        <v>93.860000000000014</v>
      </c>
      <c r="R1760" t="s">
        <v>886</v>
      </c>
      <c r="V1760">
        <v>0</v>
      </c>
      <c r="W1760">
        <v>0</v>
      </c>
      <c r="AF1760">
        <v>0</v>
      </c>
      <c r="AG1760">
        <v>0</v>
      </c>
      <c r="AH1760">
        <v>0</v>
      </c>
      <c r="AI1760">
        <v>12</v>
      </c>
      <c r="AJ1760">
        <v>12</v>
      </c>
      <c r="AM1760">
        <v>0</v>
      </c>
      <c r="AN1760">
        <v>98.860000000000014</v>
      </c>
      <c r="AP1760">
        <v>42</v>
      </c>
    </row>
    <row r="1761" spans="1:42" x14ac:dyDescent="0.25">
      <c r="A1761" t="s">
        <v>45</v>
      </c>
      <c r="B1761">
        <v>4</v>
      </c>
      <c r="C1761" t="s">
        <v>887</v>
      </c>
      <c r="D1761" s="39">
        <v>45944</v>
      </c>
      <c r="E1761" t="s">
        <v>276</v>
      </c>
      <c r="F1761" t="s">
        <v>79</v>
      </c>
      <c r="G1761">
        <v>28</v>
      </c>
      <c r="H1761" t="s">
        <v>113</v>
      </c>
      <c r="I1761" t="s">
        <v>79</v>
      </c>
      <c r="J1761">
        <v>1000</v>
      </c>
      <c r="K1761" t="s">
        <v>79</v>
      </c>
      <c r="L1761">
        <v>12</v>
      </c>
      <c r="M1761">
        <v>703.26</v>
      </c>
      <c r="N1761">
        <v>42.839999999999996</v>
      </c>
      <c r="Q1761">
        <v>660.42</v>
      </c>
      <c r="R1761" t="s">
        <v>888</v>
      </c>
      <c r="V1761">
        <v>0</v>
      </c>
      <c r="W1761">
        <v>0</v>
      </c>
      <c r="Y1761">
        <v>30</v>
      </c>
      <c r="AF1761">
        <v>30</v>
      </c>
      <c r="AG1761">
        <v>0.5</v>
      </c>
      <c r="AH1761">
        <v>0.5</v>
      </c>
      <c r="AI1761">
        <v>11.5</v>
      </c>
      <c r="AJ1761">
        <v>12</v>
      </c>
      <c r="AM1761">
        <v>0</v>
      </c>
      <c r="AN1761">
        <v>667.42</v>
      </c>
      <c r="AP1761">
        <v>42</v>
      </c>
    </row>
    <row r="1762" spans="1:42" x14ac:dyDescent="0.25">
      <c r="A1762" t="s">
        <v>46</v>
      </c>
      <c r="B1762">
        <v>4</v>
      </c>
      <c r="C1762" t="s">
        <v>887</v>
      </c>
      <c r="D1762" s="39">
        <v>45944</v>
      </c>
      <c r="E1762" t="s">
        <v>276</v>
      </c>
      <c r="F1762" t="s">
        <v>79</v>
      </c>
      <c r="G1762">
        <v>28</v>
      </c>
      <c r="H1762" t="s">
        <v>113</v>
      </c>
      <c r="I1762" t="s">
        <v>79</v>
      </c>
      <c r="J1762">
        <v>1000</v>
      </c>
      <c r="K1762" t="s">
        <v>79</v>
      </c>
      <c r="L1762">
        <v>6</v>
      </c>
      <c r="M1762">
        <v>361</v>
      </c>
      <c r="N1762">
        <v>21</v>
      </c>
      <c r="Q1762">
        <v>340</v>
      </c>
      <c r="R1762" t="s">
        <v>888</v>
      </c>
      <c r="S1762">
        <v>20</v>
      </c>
      <c r="V1762">
        <v>20</v>
      </c>
      <c r="W1762">
        <v>0.33333333333333331</v>
      </c>
      <c r="AF1762">
        <v>0</v>
      </c>
      <c r="AG1762">
        <v>0</v>
      </c>
      <c r="AH1762">
        <v>0.33333333333333331</v>
      </c>
      <c r="AI1762">
        <v>11.666666666666666</v>
      </c>
      <c r="AJ1762">
        <v>12</v>
      </c>
      <c r="AM1762">
        <v>0</v>
      </c>
      <c r="AN1762">
        <v>347</v>
      </c>
      <c r="AP1762">
        <v>42</v>
      </c>
    </row>
    <row r="1763" spans="1:42" x14ac:dyDescent="0.25">
      <c r="A1763" t="s">
        <v>46</v>
      </c>
      <c r="B1763">
        <v>4</v>
      </c>
      <c r="C1763" t="s">
        <v>889</v>
      </c>
      <c r="D1763" s="39">
        <v>45944</v>
      </c>
      <c r="E1763" t="s">
        <v>276</v>
      </c>
      <c r="F1763" t="s">
        <v>79</v>
      </c>
      <c r="G1763">
        <v>24</v>
      </c>
      <c r="H1763" t="s">
        <v>113</v>
      </c>
      <c r="I1763" t="s">
        <v>79</v>
      </c>
      <c r="J1763">
        <v>1000</v>
      </c>
      <c r="K1763" t="s">
        <v>79</v>
      </c>
      <c r="L1763">
        <v>6</v>
      </c>
      <c r="M1763">
        <v>375.12</v>
      </c>
      <c r="N1763">
        <v>19.84</v>
      </c>
      <c r="Q1763">
        <v>355.28000000000003</v>
      </c>
      <c r="R1763" t="s">
        <v>890</v>
      </c>
      <c r="V1763">
        <v>0</v>
      </c>
      <c r="W1763">
        <v>0</v>
      </c>
      <c r="AF1763">
        <v>0</v>
      </c>
      <c r="AG1763">
        <v>0</v>
      </c>
      <c r="AH1763">
        <v>0</v>
      </c>
      <c r="AI1763">
        <v>12</v>
      </c>
      <c r="AJ1763">
        <v>12</v>
      </c>
      <c r="AM1763">
        <v>0</v>
      </c>
      <c r="AN1763">
        <v>362.28</v>
      </c>
      <c r="AP1763">
        <v>42</v>
      </c>
    </row>
    <row r="1764" spans="1:42" x14ac:dyDescent="0.25">
      <c r="A1764" t="s">
        <v>45</v>
      </c>
      <c r="B1764">
        <v>5</v>
      </c>
      <c r="C1764" t="s">
        <v>875</v>
      </c>
      <c r="D1764" s="39">
        <v>45944</v>
      </c>
      <c r="E1764" t="s">
        <v>486</v>
      </c>
      <c r="F1764" t="s">
        <v>79</v>
      </c>
      <c r="G1764">
        <v>12</v>
      </c>
      <c r="H1764">
        <v>5</v>
      </c>
      <c r="I1764" t="s">
        <v>79</v>
      </c>
      <c r="J1764">
        <v>1000</v>
      </c>
      <c r="K1764" t="s">
        <v>79</v>
      </c>
      <c r="L1764">
        <v>10</v>
      </c>
      <c r="M1764">
        <v>549.68999999999994</v>
      </c>
      <c r="N1764">
        <v>12</v>
      </c>
      <c r="Q1764">
        <v>537.68999999999994</v>
      </c>
      <c r="R1764" t="s">
        <v>876</v>
      </c>
      <c r="V1764">
        <v>0</v>
      </c>
      <c r="W1764">
        <v>0</v>
      </c>
      <c r="AC1764">
        <v>20</v>
      </c>
      <c r="AE1764">
        <v>20</v>
      </c>
      <c r="AF1764">
        <v>40</v>
      </c>
      <c r="AG1764">
        <v>0.66666666666666663</v>
      </c>
      <c r="AH1764">
        <v>0.66666666666666663</v>
      </c>
      <c r="AI1764">
        <v>11.333333333333334</v>
      </c>
      <c r="AJ1764">
        <v>12</v>
      </c>
      <c r="AM1764">
        <v>0</v>
      </c>
      <c r="AN1764">
        <v>547.68999999999994</v>
      </c>
      <c r="AP1764">
        <v>42</v>
      </c>
    </row>
    <row r="1765" spans="1:42" x14ac:dyDescent="0.25">
      <c r="A1765" t="s">
        <v>46</v>
      </c>
      <c r="B1765">
        <v>5</v>
      </c>
      <c r="C1765" t="s">
        <v>875</v>
      </c>
      <c r="D1765" s="39">
        <v>45944</v>
      </c>
      <c r="E1765" t="s">
        <v>486</v>
      </c>
      <c r="F1765" t="s">
        <v>79</v>
      </c>
      <c r="G1765">
        <v>12</v>
      </c>
      <c r="H1765">
        <v>5</v>
      </c>
      <c r="I1765" t="s">
        <v>79</v>
      </c>
      <c r="J1765">
        <v>1000</v>
      </c>
      <c r="K1765" t="s">
        <v>79</v>
      </c>
      <c r="L1765">
        <v>5</v>
      </c>
      <c r="M1765">
        <v>215.84</v>
      </c>
      <c r="N1765">
        <v>6</v>
      </c>
      <c r="Q1765">
        <v>209.84</v>
      </c>
      <c r="R1765" t="s">
        <v>876</v>
      </c>
      <c r="S1765">
        <v>20</v>
      </c>
      <c r="V1765">
        <v>20</v>
      </c>
      <c r="W1765">
        <v>0.33333333333333331</v>
      </c>
      <c r="AF1765">
        <v>0</v>
      </c>
      <c r="AG1765">
        <v>0</v>
      </c>
      <c r="AH1765">
        <v>0.33333333333333331</v>
      </c>
      <c r="AI1765">
        <v>11.666666666666666</v>
      </c>
      <c r="AJ1765">
        <v>12</v>
      </c>
      <c r="AM1765">
        <v>0</v>
      </c>
      <c r="AN1765">
        <v>219.84</v>
      </c>
      <c r="AP1765">
        <v>42</v>
      </c>
    </row>
    <row r="1766" spans="1:42" x14ac:dyDescent="0.25">
      <c r="A1766" t="s">
        <v>46</v>
      </c>
      <c r="B1766">
        <v>5</v>
      </c>
      <c r="C1766" t="s">
        <v>891</v>
      </c>
      <c r="D1766" s="39">
        <v>45944</v>
      </c>
      <c r="E1766" t="s">
        <v>892</v>
      </c>
      <c r="F1766" t="s">
        <v>79</v>
      </c>
      <c r="G1766" t="s">
        <v>140</v>
      </c>
      <c r="H1766">
        <v>6</v>
      </c>
      <c r="I1766" t="s">
        <v>79</v>
      </c>
      <c r="J1766">
        <v>300</v>
      </c>
      <c r="K1766" t="s">
        <v>79</v>
      </c>
      <c r="L1766">
        <v>7</v>
      </c>
      <c r="M1766">
        <v>307.04000000000002</v>
      </c>
      <c r="N1766">
        <v>8.4</v>
      </c>
      <c r="Q1766">
        <v>298.64000000000004</v>
      </c>
      <c r="R1766" t="s">
        <v>893</v>
      </c>
      <c r="V1766">
        <v>0</v>
      </c>
      <c r="W1766">
        <v>0</v>
      </c>
      <c r="AF1766">
        <v>0</v>
      </c>
      <c r="AG1766">
        <v>0</v>
      </c>
      <c r="AH1766">
        <v>0</v>
      </c>
      <c r="AI1766">
        <v>12</v>
      </c>
      <c r="AJ1766">
        <v>12</v>
      </c>
      <c r="AM1766">
        <v>0</v>
      </c>
      <c r="AN1766">
        <v>308.64000000000004</v>
      </c>
      <c r="AP1766">
        <v>42</v>
      </c>
    </row>
    <row r="1767" spans="1:42" x14ac:dyDescent="0.25">
      <c r="A1767" t="s">
        <v>45</v>
      </c>
      <c r="B1767">
        <v>1</v>
      </c>
      <c r="C1767" t="s">
        <v>882</v>
      </c>
      <c r="D1767" s="39">
        <v>45945</v>
      </c>
      <c r="E1767" t="s">
        <v>486</v>
      </c>
      <c r="F1767" t="s">
        <v>79</v>
      </c>
      <c r="G1767">
        <v>3</v>
      </c>
      <c r="H1767" t="s">
        <v>92</v>
      </c>
      <c r="I1767" t="s">
        <v>79</v>
      </c>
      <c r="J1767">
        <v>500</v>
      </c>
      <c r="K1767" t="s">
        <v>79</v>
      </c>
      <c r="L1767">
        <v>8</v>
      </c>
      <c r="M1767">
        <v>115.62</v>
      </c>
      <c r="N1767">
        <v>2.4</v>
      </c>
      <c r="O1767">
        <v>25.5</v>
      </c>
      <c r="Q1767">
        <v>113.22</v>
      </c>
      <c r="R1767" t="s">
        <v>883</v>
      </c>
      <c r="V1767">
        <v>0</v>
      </c>
      <c r="W1767">
        <v>0</v>
      </c>
      <c r="Z1767">
        <v>30</v>
      </c>
      <c r="AF1767">
        <v>30</v>
      </c>
      <c r="AG1767">
        <v>0.5</v>
      </c>
      <c r="AH1767">
        <v>0.5</v>
      </c>
      <c r="AI1767">
        <v>11.5</v>
      </c>
      <c r="AJ1767">
        <v>12</v>
      </c>
      <c r="AL1767">
        <v>1881</v>
      </c>
      <c r="AM1767">
        <v>0</v>
      </c>
      <c r="AN1767">
        <v>150</v>
      </c>
      <c r="AO1767">
        <v>398</v>
      </c>
      <c r="AP1767">
        <v>42</v>
      </c>
    </row>
    <row r="1768" spans="1:42" x14ac:dyDescent="0.25">
      <c r="A1768" t="s">
        <v>46</v>
      </c>
      <c r="B1768">
        <v>1</v>
      </c>
      <c r="C1768" t="s">
        <v>882</v>
      </c>
      <c r="D1768" s="39">
        <v>45945</v>
      </c>
      <c r="E1768" t="s">
        <v>486</v>
      </c>
      <c r="F1768" t="s">
        <v>79</v>
      </c>
      <c r="G1768">
        <v>3</v>
      </c>
      <c r="H1768" t="s">
        <v>92</v>
      </c>
      <c r="I1768" t="s">
        <v>79</v>
      </c>
      <c r="J1768">
        <v>500</v>
      </c>
      <c r="K1768" t="s">
        <v>79</v>
      </c>
      <c r="L1768">
        <v>12</v>
      </c>
      <c r="M1768">
        <v>149.68</v>
      </c>
      <c r="N1768">
        <v>3.5999999999999996</v>
      </c>
      <c r="O1768">
        <v>50.5</v>
      </c>
      <c r="Q1768">
        <v>146.08000000000001</v>
      </c>
      <c r="R1768" t="s">
        <v>883</v>
      </c>
      <c r="V1768">
        <v>0</v>
      </c>
      <c r="W1768">
        <v>0</v>
      </c>
      <c r="AF1768">
        <v>0</v>
      </c>
      <c r="AG1768">
        <v>0</v>
      </c>
      <c r="AH1768">
        <v>0</v>
      </c>
      <c r="AI1768">
        <v>12</v>
      </c>
      <c r="AJ1768">
        <v>12</v>
      </c>
      <c r="AM1768">
        <v>0</v>
      </c>
      <c r="AN1768">
        <v>150</v>
      </c>
      <c r="AP1768">
        <v>42</v>
      </c>
    </row>
    <row r="1769" spans="1:42" x14ac:dyDescent="0.25">
      <c r="A1769" t="s">
        <v>45</v>
      </c>
      <c r="B1769">
        <v>2</v>
      </c>
      <c r="C1769" t="s">
        <v>884</v>
      </c>
      <c r="D1769" s="39">
        <v>45945</v>
      </c>
      <c r="E1769" t="s">
        <v>486</v>
      </c>
      <c r="F1769" t="s">
        <v>79</v>
      </c>
      <c r="G1769">
        <v>4</v>
      </c>
      <c r="H1769" t="s">
        <v>113</v>
      </c>
      <c r="I1769" t="s">
        <v>79</v>
      </c>
      <c r="J1769">
        <v>500</v>
      </c>
      <c r="K1769" t="s">
        <v>79</v>
      </c>
      <c r="L1769">
        <v>10</v>
      </c>
      <c r="M1769">
        <v>158.26</v>
      </c>
      <c r="N1769">
        <v>4</v>
      </c>
      <c r="Q1769">
        <v>154.26</v>
      </c>
      <c r="R1769" t="s">
        <v>1125</v>
      </c>
      <c r="V1769">
        <v>0</v>
      </c>
      <c r="W1769">
        <v>0</v>
      </c>
      <c r="AD1769">
        <v>20</v>
      </c>
      <c r="AF1769">
        <v>20</v>
      </c>
      <c r="AG1769">
        <v>0.33333333333333331</v>
      </c>
      <c r="AH1769">
        <v>0.33333333333333331</v>
      </c>
      <c r="AI1769">
        <v>11.666666666666666</v>
      </c>
      <c r="AJ1769">
        <v>12</v>
      </c>
      <c r="AM1769">
        <v>0</v>
      </c>
      <c r="AN1769">
        <v>164.26</v>
      </c>
      <c r="AP1769">
        <v>42</v>
      </c>
    </row>
    <row r="1770" spans="1:42" x14ac:dyDescent="0.25">
      <c r="A1770" t="s">
        <v>46</v>
      </c>
      <c r="B1770">
        <v>2</v>
      </c>
      <c r="C1770" t="s">
        <v>884</v>
      </c>
      <c r="D1770" s="39">
        <v>45945</v>
      </c>
      <c r="E1770" t="s">
        <v>486</v>
      </c>
      <c r="F1770" t="s">
        <v>79</v>
      </c>
      <c r="G1770">
        <v>4</v>
      </c>
      <c r="H1770" t="s">
        <v>113</v>
      </c>
      <c r="I1770" t="s">
        <v>79</v>
      </c>
      <c r="J1770">
        <v>500</v>
      </c>
      <c r="K1770" t="s">
        <v>79</v>
      </c>
      <c r="L1770">
        <v>12</v>
      </c>
      <c r="M1770">
        <v>158.84999999999997</v>
      </c>
      <c r="N1770">
        <v>4.8000000000000007</v>
      </c>
      <c r="Q1770">
        <v>154.04999999999995</v>
      </c>
      <c r="R1770" t="s">
        <v>1125</v>
      </c>
      <c r="V1770">
        <v>0</v>
      </c>
      <c r="W1770">
        <v>0</v>
      </c>
      <c r="AF1770">
        <v>0</v>
      </c>
      <c r="AG1770">
        <v>0</v>
      </c>
      <c r="AH1770">
        <v>0</v>
      </c>
      <c r="AI1770">
        <v>12</v>
      </c>
      <c r="AJ1770">
        <v>12</v>
      </c>
      <c r="AM1770">
        <v>0</v>
      </c>
      <c r="AN1770">
        <v>164.04999999999995</v>
      </c>
      <c r="AP1770">
        <v>42</v>
      </c>
    </row>
    <row r="1771" spans="1:42" x14ac:dyDescent="0.25">
      <c r="A1771" t="s">
        <v>45</v>
      </c>
      <c r="B1771">
        <v>3</v>
      </c>
      <c r="C1771" t="s">
        <v>811</v>
      </c>
      <c r="D1771" s="39">
        <v>45945</v>
      </c>
      <c r="E1771" t="s">
        <v>486</v>
      </c>
      <c r="F1771" t="s">
        <v>79</v>
      </c>
      <c r="G1771">
        <v>6</v>
      </c>
      <c r="H1771">
        <v>5</v>
      </c>
      <c r="I1771" t="s">
        <v>79</v>
      </c>
      <c r="J1771">
        <v>1000</v>
      </c>
      <c r="K1771" t="s">
        <v>79</v>
      </c>
      <c r="L1771">
        <v>8</v>
      </c>
      <c r="M1771">
        <v>254.24999999999997</v>
      </c>
      <c r="N1771">
        <v>4.8</v>
      </c>
      <c r="Q1771">
        <v>249.44999999999996</v>
      </c>
      <c r="R1771" t="s">
        <v>868</v>
      </c>
      <c r="V1771">
        <v>0</v>
      </c>
      <c r="W1771">
        <v>0</v>
      </c>
      <c r="AF1771">
        <v>0</v>
      </c>
      <c r="AG1771">
        <v>0</v>
      </c>
      <c r="AH1771">
        <v>0</v>
      </c>
      <c r="AI1771">
        <v>12</v>
      </c>
      <c r="AJ1771">
        <v>12</v>
      </c>
      <c r="AM1771">
        <v>0</v>
      </c>
      <c r="AN1771">
        <v>260</v>
      </c>
      <c r="AP1771">
        <v>42</v>
      </c>
    </row>
    <row r="1772" spans="1:42" x14ac:dyDescent="0.25">
      <c r="A1772" t="s">
        <v>46</v>
      </c>
      <c r="B1772">
        <v>3</v>
      </c>
      <c r="C1772" t="s">
        <v>885</v>
      </c>
      <c r="D1772" s="39">
        <v>45945</v>
      </c>
      <c r="E1772" t="s">
        <v>486</v>
      </c>
      <c r="F1772" t="s">
        <v>79</v>
      </c>
      <c r="G1772">
        <v>6</v>
      </c>
      <c r="H1772">
        <v>5</v>
      </c>
      <c r="I1772" t="s">
        <v>79</v>
      </c>
      <c r="J1772">
        <v>1000</v>
      </c>
      <c r="K1772" t="s">
        <v>79</v>
      </c>
      <c r="L1772">
        <v>8</v>
      </c>
      <c r="M1772">
        <v>258.86</v>
      </c>
      <c r="N1772">
        <v>4.8</v>
      </c>
      <c r="Q1772">
        <v>254.06</v>
      </c>
      <c r="R1772" t="s">
        <v>886</v>
      </c>
      <c r="V1772">
        <v>0</v>
      </c>
      <c r="W1772">
        <v>0</v>
      </c>
      <c r="AD1772">
        <v>30</v>
      </c>
      <c r="AF1772">
        <v>30</v>
      </c>
      <c r="AG1772">
        <v>0.5</v>
      </c>
      <c r="AH1772">
        <v>0.5</v>
      </c>
      <c r="AI1772">
        <v>11.5</v>
      </c>
      <c r="AJ1772">
        <v>12</v>
      </c>
      <c r="AM1772">
        <v>0</v>
      </c>
      <c r="AN1772">
        <v>260</v>
      </c>
      <c r="AP1772">
        <v>42</v>
      </c>
    </row>
    <row r="1773" spans="1:42" x14ac:dyDescent="0.25">
      <c r="A1773" t="s">
        <v>45</v>
      </c>
      <c r="B1773">
        <v>4</v>
      </c>
      <c r="C1773" t="s">
        <v>889</v>
      </c>
      <c r="D1773" s="39">
        <v>45945</v>
      </c>
      <c r="E1773" t="s">
        <v>276</v>
      </c>
      <c r="F1773" t="s">
        <v>79</v>
      </c>
      <c r="G1773">
        <v>24</v>
      </c>
      <c r="H1773" t="s">
        <v>113</v>
      </c>
      <c r="I1773" t="s">
        <v>79</v>
      </c>
      <c r="J1773">
        <v>1000</v>
      </c>
      <c r="K1773" t="s">
        <v>79</v>
      </c>
      <c r="L1773">
        <v>14</v>
      </c>
      <c r="M1773">
        <v>831.4799999999999</v>
      </c>
      <c r="N1773">
        <v>33.6</v>
      </c>
      <c r="Q1773">
        <v>797.87999999999988</v>
      </c>
      <c r="R1773" t="s">
        <v>890</v>
      </c>
      <c r="V1773">
        <v>0</v>
      </c>
      <c r="W1773">
        <v>0</v>
      </c>
      <c r="AF1773">
        <v>0</v>
      </c>
      <c r="AG1773">
        <v>0</v>
      </c>
      <c r="AH1773">
        <v>0</v>
      </c>
      <c r="AI1773">
        <v>12</v>
      </c>
      <c r="AJ1773">
        <v>12</v>
      </c>
      <c r="AM1773">
        <v>0</v>
      </c>
      <c r="AN1773">
        <v>780</v>
      </c>
      <c r="AP1773">
        <v>42</v>
      </c>
    </row>
    <row r="1774" spans="1:42" x14ac:dyDescent="0.25">
      <c r="A1774" t="s">
        <v>46</v>
      </c>
      <c r="B1774">
        <v>4</v>
      </c>
      <c r="C1774" t="s">
        <v>889</v>
      </c>
      <c r="D1774" s="39">
        <v>45945</v>
      </c>
      <c r="E1774" t="s">
        <v>276</v>
      </c>
      <c r="F1774" t="s">
        <v>79</v>
      </c>
      <c r="G1774">
        <v>24</v>
      </c>
      <c r="H1774" t="s">
        <v>113</v>
      </c>
      <c r="I1774" t="s">
        <v>79</v>
      </c>
      <c r="J1774">
        <v>1000</v>
      </c>
      <c r="K1774" t="s">
        <v>79</v>
      </c>
      <c r="L1774">
        <v>2</v>
      </c>
      <c r="M1774">
        <v>121.71000000000001</v>
      </c>
      <c r="N1774">
        <v>4.8</v>
      </c>
      <c r="Q1774">
        <v>116.91000000000001</v>
      </c>
      <c r="R1774" t="s">
        <v>890</v>
      </c>
      <c r="S1774">
        <v>20</v>
      </c>
      <c r="V1774">
        <v>20</v>
      </c>
      <c r="W1774">
        <v>0.33333333333333331</v>
      </c>
      <c r="AF1774">
        <v>0</v>
      </c>
      <c r="AG1774">
        <v>0</v>
      </c>
      <c r="AH1774">
        <v>0.33333333333333331</v>
      </c>
      <c r="AI1774">
        <v>11.666666666666666</v>
      </c>
      <c r="AJ1774">
        <v>12</v>
      </c>
      <c r="AM1774">
        <v>0</v>
      </c>
      <c r="AN1774">
        <v>780</v>
      </c>
      <c r="AP1774">
        <v>42</v>
      </c>
    </row>
    <row r="1775" spans="1:42" x14ac:dyDescent="0.25">
      <c r="A1775" t="s">
        <v>46</v>
      </c>
      <c r="B1775">
        <v>4</v>
      </c>
      <c r="C1775" t="s">
        <v>894</v>
      </c>
      <c r="D1775" s="39">
        <v>45945</v>
      </c>
      <c r="E1775" t="s">
        <v>845</v>
      </c>
      <c r="F1775" t="s">
        <v>79</v>
      </c>
      <c r="G1775">
        <v>20</v>
      </c>
      <c r="H1775" t="s">
        <v>92</v>
      </c>
      <c r="I1775" t="s">
        <v>79</v>
      </c>
      <c r="J1775">
        <v>100</v>
      </c>
      <c r="K1775" t="s">
        <v>79</v>
      </c>
      <c r="L1775">
        <v>2</v>
      </c>
      <c r="M1775">
        <v>105.28</v>
      </c>
      <c r="N1775">
        <v>5.3</v>
      </c>
      <c r="Q1775">
        <v>99.98</v>
      </c>
      <c r="R1775" t="s">
        <v>895</v>
      </c>
      <c r="V1775">
        <v>0</v>
      </c>
      <c r="W1775">
        <v>0</v>
      </c>
      <c r="AD1775">
        <v>40</v>
      </c>
      <c r="AF1775">
        <v>40</v>
      </c>
      <c r="AG1775">
        <v>0.66666666666666663</v>
      </c>
      <c r="AH1775">
        <v>0.66666666666666663</v>
      </c>
      <c r="AI1775">
        <v>11.333333333333334</v>
      </c>
      <c r="AJ1775">
        <v>12</v>
      </c>
      <c r="AM1775">
        <v>0</v>
      </c>
      <c r="AP1775">
        <v>42</v>
      </c>
    </row>
    <row r="1776" spans="1:42" x14ac:dyDescent="0.25">
      <c r="A1776" t="s">
        <v>46</v>
      </c>
      <c r="B1776">
        <v>4</v>
      </c>
      <c r="C1776" t="s">
        <v>896</v>
      </c>
      <c r="D1776" s="39">
        <v>45945</v>
      </c>
      <c r="E1776" t="s">
        <v>276</v>
      </c>
      <c r="F1776" t="s">
        <v>79</v>
      </c>
      <c r="G1776">
        <v>20</v>
      </c>
      <c r="H1776" t="s">
        <v>113</v>
      </c>
      <c r="I1776" t="s">
        <v>79</v>
      </c>
      <c r="J1776">
        <v>1000</v>
      </c>
      <c r="K1776" t="s">
        <v>79</v>
      </c>
      <c r="L1776">
        <v>10</v>
      </c>
      <c r="M1776">
        <v>516.37</v>
      </c>
      <c r="N1776">
        <v>26</v>
      </c>
      <c r="Q1776">
        <v>490.37</v>
      </c>
      <c r="R1776" t="s">
        <v>897</v>
      </c>
      <c r="V1776">
        <v>0</v>
      </c>
      <c r="W1776">
        <v>0</v>
      </c>
      <c r="AF1776">
        <v>0</v>
      </c>
      <c r="AG1776">
        <v>0</v>
      </c>
      <c r="AH1776">
        <v>0</v>
      </c>
      <c r="AI1776">
        <v>12</v>
      </c>
      <c r="AJ1776">
        <v>12</v>
      </c>
      <c r="AM1776">
        <v>0</v>
      </c>
      <c r="AP1776">
        <v>42</v>
      </c>
    </row>
    <row r="1777" spans="1:42" x14ac:dyDescent="0.25">
      <c r="A1777" t="s">
        <v>45</v>
      </c>
      <c r="B1777">
        <v>5</v>
      </c>
      <c r="C1777" t="s">
        <v>898</v>
      </c>
      <c r="D1777" s="39">
        <v>45945</v>
      </c>
      <c r="E1777" t="s">
        <v>892</v>
      </c>
      <c r="F1777" t="s">
        <v>79</v>
      </c>
      <c r="G1777" t="s">
        <v>578</v>
      </c>
      <c r="H1777">
        <v>6</v>
      </c>
      <c r="I1777" t="s">
        <v>79</v>
      </c>
      <c r="J1777">
        <v>300</v>
      </c>
      <c r="K1777" t="s">
        <v>79</v>
      </c>
      <c r="L1777">
        <v>11</v>
      </c>
      <c r="M1777">
        <v>311.71999999999997</v>
      </c>
      <c r="N1777">
        <v>11</v>
      </c>
      <c r="Q1777">
        <v>300.71999999999997</v>
      </c>
      <c r="R1777" t="s">
        <v>899</v>
      </c>
      <c r="V1777">
        <v>0</v>
      </c>
      <c r="W1777">
        <v>0</v>
      </c>
      <c r="Z1777">
        <v>215</v>
      </c>
      <c r="AF1777">
        <v>215</v>
      </c>
      <c r="AG1777">
        <v>3.5833333333333335</v>
      </c>
      <c r="AH1777">
        <v>3.5833333333333335</v>
      </c>
      <c r="AI1777">
        <v>8.4166666666666661</v>
      </c>
      <c r="AJ1777">
        <v>12</v>
      </c>
      <c r="AM1777">
        <v>0</v>
      </c>
      <c r="AN1777">
        <v>310.71999999999997</v>
      </c>
      <c r="AP1777">
        <v>42</v>
      </c>
    </row>
    <row r="1778" spans="1:42" x14ac:dyDescent="0.25">
      <c r="A1778" t="s">
        <v>46</v>
      </c>
      <c r="B1778">
        <v>5</v>
      </c>
      <c r="C1778" t="s">
        <v>900</v>
      </c>
      <c r="D1778" s="39">
        <v>45945</v>
      </c>
      <c r="E1778" t="s">
        <v>486</v>
      </c>
      <c r="F1778" t="s">
        <v>79</v>
      </c>
      <c r="G1778">
        <v>9</v>
      </c>
      <c r="H1778" t="s">
        <v>113</v>
      </c>
      <c r="I1778" t="s">
        <v>79</v>
      </c>
      <c r="J1778">
        <v>1000</v>
      </c>
      <c r="K1778" t="s">
        <v>79</v>
      </c>
      <c r="L1778">
        <v>11</v>
      </c>
      <c r="M1778">
        <v>376.47</v>
      </c>
      <c r="N1778">
        <v>9.9</v>
      </c>
      <c r="Q1778">
        <v>366.57000000000005</v>
      </c>
      <c r="R1778" t="s">
        <v>901</v>
      </c>
      <c r="U1778">
        <v>160</v>
      </c>
      <c r="V1778">
        <v>160</v>
      </c>
      <c r="W1778">
        <v>2.6666666666666665</v>
      </c>
      <c r="AD1778">
        <v>30</v>
      </c>
      <c r="AF1778">
        <v>30</v>
      </c>
      <c r="AG1778">
        <v>0.5</v>
      </c>
      <c r="AH1778">
        <v>3.1666666666666665</v>
      </c>
      <c r="AI1778">
        <v>8.8333333333333339</v>
      </c>
      <c r="AJ1778">
        <v>12</v>
      </c>
      <c r="AM1778">
        <v>0</v>
      </c>
      <c r="AN1778">
        <v>376.57000000000011</v>
      </c>
      <c r="AP1778">
        <v>42</v>
      </c>
    </row>
    <row r="1779" spans="1:42" x14ac:dyDescent="0.25">
      <c r="A1779" t="s">
        <v>45</v>
      </c>
      <c r="B1779">
        <v>1</v>
      </c>
      <c r="C1779" t="s">
        <v>882</v>
      </c>
      <c r="D1779" s="39">
        <v>45946</v>
      </c>
      <c r="E1779" t="s">
        <v>486</v>
      </c>
      <c r="F1779" t="s">
        <v>79</v>
      </c>
      <c r="G1779">
        <v>3</v>
      </c>
      <c r="H1779" t="s">
        <v>92</v>
      </c>
      <c r="I1779" t="s">
        <v>79</v>
      </c>
      <c r="J1779">
        <v>500</v>
      </c>
      <c r="K1779" t="s">
        <v>79</v>
      </c>
      <c r="L1779">
        <v>11</v>
      </c>
      <c r="M1779">
        <v>143.66</v>
      </c>
      <c r="N1779">
        <v>3.3</v>
      </c>
      <c r="O1779">
        <v>1</v>
      </c>
      <c r="Q1779">
        <v>140.35999999999999</v>
      </c>
      <c r="R1779" t="s">
        <v>883</v>
      </c>
      <c r="V1779">
        <v>0</v>
      </c>
      <c r="W1779">
        <v>0</v>
      </c>
      <c r="AF1779">
        <v>0</v>
      </c>
      <c r="AG1779">
        <v>0</v>
      </c>
      <c r="AH1779">
        <v>0</v>
      </c>
      <c r="AI1779">
        <v>12</v>
      </c>
      <c r="AJ1779">
        <v>12</v>
      </c>
      <c r="AL1779">
        <v>2076</v>
      </c>
      <c r="AM1779">
        <v>0</v>
      </c>
      <c r="AN1779">
        <v>145.36000000000001</v>
      </c>
      <c r="AO1779">
        <v>398</v>
      </c>
      <c r="AP1779">
        <v>42</v>
      </c>
    </row>
    <row r="1780" spans="1:42" x14ac:dyDescent="0.25">
      <c r="A1780" t="s">
        <v>46</v>
      </c>
      <c r="B1780">
        <v>1</v>
      </c>
      <c r="C1780" t="s">
        <v>902</v>
      </c>
      <c r="D1780" s="39">
        <v>45946</v>
      </c>
      <c r="E1780" t="s">
        <v>486</v>
      </c>
      <c r="F1780" t="s">
        <v>79</v>
      </c>
      <c r="G1780">
        <v>3</v>
      </c>
      <c r="H1780" t="s">
        <v>92</v>
      </c>
      <c r="I1780" t="s">
        <v>79</v>
      </c>
      <c r="J1780">
        <v>500</v>
      </c>
      <c r="K1780" t="s">
        <v>79</v>
      </c>
      <c r="L1780">
        <v>12</v>
      </c>
      <c r="M1780">
        <v>147.22999999999999</v>
      </c>
      <c r="N1780">
        <v>3.5999999999999996</v>
      </c>
      <c r="O1780">
        <v>1</v>
      </c>
      <c r="Q1780">
        <v>143.63</v>
      </c>
      <c r="R1780" t="s">
        <v>1344</v>
      </c>
      <c r="V1780">
        <v>0</v>
      </c>
      <c r="W1780">
        <v>0</v>
      </c>
      <c r="AF1780">
        <v>0</v>
      </c>
      <c r="AG1780">
        <v>0</v>
      </c>
      <c r="AH1780">
        <v>0</v>
      </c>
      <c r="AI1780">
        <v>12</v>
      </c>
      <c r="AJ1780">
        <v>12</v>
      </c>
      <c r="AM1780">
        <v>0</v>
      </c>
      <c r="AN1780">
        <v>148.63</v>
      </c>
      <c r="AP1780">
        <v>42</v>
      </c>
    </row>
    <row r="1781" spans="1:42" x14ac:dyDescent="0.25">
      <c r="A1781" t="s">
        <v>45</v>
      </c>
      <c r="B1781">
        <v>2</v>
      </c>
      <c r="C1781" t="s">
        <v>884</v>
      </c>
      <c r="D1781" s="39">
        <v>45946</v>
      </c>
      <c r="E1781" t="s">
        <v>486</v>
      </c>
      <c r="F1781" t="s">
        <v>79</v>
      </c>
      <c r="G1781">
        <v>4</v>
      </c>
      <c r="H1781" t="s">
        <v>113</v>
      </c>
      <c r="I1781" t="s">
        <v>79</v>
      </c>
      <c r="J1781">
        <v>500</v>
      </c>
      <c r="K1781" t="s">
        <v>79</v>
      </c>
      <c r="L1781">
        <v>10</v>
      </c>
      <c r="M1781">
        <v>153.97999999999996</v>
      </c>
      <c r="N1781">
        <v>4</v>
      </c>
      <c r="O1781">
        <v>3</v>
      </c>
      <c r="Q1781">
        <v>149.97999999999996</v>
      </c>
      <c r="R1781" t="s">
        <v>1125</v>
      </c>
      <c r="V1781">
        <v>0</v>
      </c>
      <c r="W1781">
        <v>0</v>
      </c>
      <c r="AC1781">
        <v>60</v>
      </c>
      <c r="AF1781">
        <v>60</v>
      </c>
      <c r="AG1781">
        <v>1</v>
      </c>
      <c r="AH1781">
        <v>1</v>
      </c>
      <c r="AI1781">
        <v>11</v>
      </c>
      <c r="AJ1781">
        <v>12</v>
      </c>
      <c r="AM1781">
        <v>0</v>
      </c>
      <c r="AN1781">
        <v>159.97999999999996</v>
      </c>
      <c r="AP1781">
        <v>42</v>
      </c>
    </row>
    <row r="1782" spans="1:42" x14ac:dyDescent="0.25">
      <c r="A1782" t="s">
        <v>46</v>
      </c>
      <c r="B1782">
        <v>2</v>
      </c>
      <c r="C1782" t="s">
        <v>903</v>
      </c>
      <c r="D1782" s="39">
        <v>45946</v>
      </c>
      <c r="E1782" t="s">
        <v>486</v>
      </c>
      <c r="F1782" t="s">
        <v>79</v>
      </c>
      <c r="G1782">
        <v>4</v>
      </c>
      <c r="H1782" t="s">
        <v>113</v>
      </c>
      <c r="I1782" t="s">
        <v>79</v>
      </c>
      <c r="J1782">
        <v>500</v>
      </c>
      <c r="K1782" t="s">
        <v>79</v>
      </c>
      <c r="L1782">
        <v>12</v>
      </c>
      <c r="M1782">
        <v>156.43</v>
      </c>
      <c r="N1782">
        <v>4.8000000000000007</v>
      </c>
      <c r="O1782">
        <v>4</v>
      </c>
      <c r="Q1782">
        <v>151.63</v>
      </c>
      <c r="R1782" t="s">
        <v>937</v>
      </c>
      <c r="V1782">
        <v>0</v>
      </c>
      <c r="W1782">
        <v>0</v>
      </c>
      <c r="AF1782">
        <v>0</v>
      </c>
      <c r="AG1782">
        <v>0</v>
      </c>
      <c r="AH1782">
        <v>0</v>
      </c>
      <c r="AI1782">
        <v>12</v>
      </c>
      <c r="AJ1782">
        <v>12</v>
      </c>
      <c r="AM1782">
        <v>0</v>
      </c>
      <c r="AN1782">
        <v>161.63</v>
      </c>
      <c r="AP1782">
        <v>42</v>
      </c>
    </row>
    <row r="1783" spans="1:42" x14ac:dyDescent="0.25">
      <c r="A1783" t="s">
        <v>45</v>
      </c>
      <c r="B1783">
        <v>3</v>
      </c>
      <c r="C1783" t="s">
        <v>885</v>
      </c>
      <c r="D1783" s="39">
        <v>45946</v>
      </c>
      <c r="E1783" t="s">
        <v>486</v>
      </c>
      <c r="F1783" t="s">
        <v>79</v>
      </c>
      <c r="G1783">
        <v>6</v>
      </c>
      <c r="H1783">
        <v>5</v>
      </c>
      <c r="I1783" t="s">
        <v>79</v>
      </c>
      <c r="J1783">
        <v>1000</v>
      </c>
      <c r="K1783" t="s">
        <v>79</v>
      </c>
      <c r="L1783">
        <v>11</v>
      </c>
      <c r="M1783">
        <v>316.78000000000003</v>
      </c>
      <c r="N1783">
        <v>6.6</v>
      </c>
      <c r="Q1783">
        <v>310.18</v>
      </c>
      <c r="R1783" t="s">
        <v>886</v>
      </c>
      <c r="V1783">
        <v>0</v>
      </c>
      <c r="W1783">
        <v>0</v>
      </c>
      <c r="AF1783">
        <v>0</v>
      </c>
      <c r="AG1783">
        <v>0</v>
      </c>
      <c r="AH1783">
        <v>0</v>
      </c>
      <c r="AI1783">
        <v>12</v>
      </c>
      <c r="AJ1783">
        <v>12</v>
      </c>
      <c r="AM1783">
        <v>0</v>
      </c>
      <c r="AN1783">
        <v>315.18</v>
      </c>
      <c r="AP1783">
        <v>42</v>
      </c>
    </row>
    <row r="1784" spans="1:42" x14ac:dyDescent="0.25">
      <c r="A1784" t="s">
        <v>46</v>
      </c>
      <c r="B1784">
        <v>3</v>
      </c>
      <c r="C1784" t="s">
        <v>885</v>
      </c>
      <c r="D1784" s="39">
        <v>45946</v>
      </c>
      <c r="E1784" t="s">
        <v>486</v>
      </c>
      <c r="F1784" t="s">
        <v>79</v>
      </c>
      <c r="G1784">
        <v>6</v>
      </c>
      <c r="H1784">
        <v>5</v>
      </c>
      <c r="I1784" t="s">
        <v>79</v>
      </c>
      <c r="J1784">
        <v>1000</v>
      </c>
      <c r="K1784" t="s">
        <v>79</v>
      </c>
      <c r="L1784">
        <v>4</v>
      </c>
      <c r="M1784">
        <v>117.42</v>
      </c>
      <c r="N1784">
        <v>2.4</v>
      </c>
      <c r="O1784">
        <v>14</v>
      </c>
      <c r="Q1784">
        <v>115.02</v>
      </c>
      <c r="R1784" t="s">
        <v>886</v>
      </c>
      <c r="S1784">
        <v>20</v>
      </c>
      <c r="V1784">
        <v>20</v>
      </c>
      <c r="W1784">
        <v>0.33333333333333331</v>
      </c>
      <c r="AC1784">
        <v>120</v>
      </c>
      <c r="AF1784">
        <v>120</v>
      </c>
      <c r="AG1784">
        <v>2</v>
      </c>
      <c r="AH1784">
        <v>2.3333333333333335</v>
      </c>
      <c r="AI1784">
        <v>9.6666666666666661</v>
      </c>
      <c r="AJ1784">
        <v>12</v>
      </c>
      <c r="AM1784">
        <v>0</v>
      </c>
      <c r="AN1784">
        <v>120.02</v>
      </c>
      <c r="AP1784">
        <v>42</v>
      </c>
    </row>
    <row r="1785" spans="1:42" x14ac:dyDescent="0.25">
      <c r="A1785" t="s">
        <v>46</v>
      </c>
      <c r="B1785">
        <v>3</v>
      </c>
      <c r="C1785" t="s">
        <v>904</v>
      </c>
      <c r="D1785" s="39">
        <v>45946</v>
      </c>
      <c r="E1785" t="s">
        <v>486</v>
      </c>
      <c r="F1785" t="s">
        <v>79</v>
      </c>
      <c r="G1785">
        <v>8</v>
      </c>
      <c r="H1785">
        <v>5</v>
      </c>
      <c r="I1785" t="s">
        <v>79</v>
      </c>
      <c r="J1785">
        <v>1000</v>
      </c>
      <c r="K1785" t="s">
        <v>79</v>
      </c>
      <c r="L1785">
        <v>4</v>
      </c>
      <c r="M1785">
        <v>152.74</v>
      </c>
      <c r="N1785">
        <v>3.2</v>
      </c>
      <c r="Q1785">
        <v>149.54000000000002</v>
      </c>
      <c r="R1785" t="s">
        <v>905</v>
      </c>
      <c r="V1785">
        <v>0</v>
      </c>
      <c r="W1785">
        <v>0</v>
      </c>
      <c r="AF1785">
        <v>0</v>
      </c>
      <c r="AG1785">
        <v>0</v>
      </c>
      <c r="AH1785">
        <v>0</v>
      </c>
      <c r="AI1785">
        <v>12</v>
      </c>
      <c r="AJ1785">
        <v>12</v>
      </c>
      <c r="AM1785">
        <v>0</v>
      </c>
      <c r="AN1785">
        <v>154.54000000000002</v>
      </c>
      <c r="AP1785">
        <v>42</v>
      </c>
    </row>
    <row r="1786" spans="1:42" x14ac:dyDescent="0.25">
      <c r="A1786" t="s">
        <v>45</v>
      </c>
      <c r="B1786">
        <v>4</v>
      </c>
      <c r="C1786" t="s">
        <v>896</v>
      </c>
      <c r="D1786" s="39">
        <v>45946</v>
      </c>
      <c r="E1786" t="s">
        <v>276</v>
      </c>
      <c r="F1786" t="s">
        <v>79</v>
      </c>
      <c r="G1786">
        <v>20</v>
      </c>
      <c r="H1786" t="s">
        <v>113</v>
      </c>
      <c r="I1786" t="s">
        <v>79</v>
      </c>
      <c r="J1786">
        <v>1000</v>
      </c>
      <c r="K1786" t="s">
        <v>79</v>
      </c>
      <c r="L1786">
        <v>12</v>
      </c>
      <c r="M1786">
        <v>575.68999999999994</v>
      </c>
      <c r="N1786">
        <v>24</v>
      </c>
      <c r="O1786">
        <v>7</v>
      </c>
      <c r="Q1786">
        <v>551.68999999999994</v>
      </c>
      <c r="R1786" t="s">
        <v>897</v>
      </c>
      <c r="S1786">
        <v>20</v>
      </c>
      <c r="V1786">
        <v>20</v>
      </c>
      <c r="W1786">
        <v>0.33333333333333331</v>
      </c>
      <c r="AF1786">
        <v>0</v>
      </c>
      <c r="AG1786">
        <v>0</v>
      </c>
      <c r="AH1786">
        <v>0.33333333333333331</v>
      </c>
      <c r="AI1786">
        <v>11.666666666666666</v>
      </c>
      <c r="AJ1786">
        <v>12</v>
      </c>
      <c r="AM1786">
        <v>0</v>
      </c>
      <c r="AN1786">
        <v>558.68999999999994</v>
      </c>
      <c r="AP1786">
        <v>42</v>
      </c>
    </row>
    <row r="1787" spans="1:42" x14ac:dyDescent="0.25">
      <c r="A1787" t="s">
        <v>45</v>
      </c>
      <c r="B1787">
        <v>4</v>
      </c>
      <c r="C1787" t="s">
        <v>906</v>
      </c>
      <c r="D1787" s="39">
        <v>45946</v>
      </c>
      <c r="E1787" t="s">
        <v>276</v>
      </c>
      <c r="F1787" t="s">
        <v>79</v>
      </c>
      <c r="G1787">
        <v>18</v>
      </c>
      <c r="H1787" t="s">
        <v>113</v>
      </c>
      <c r="I1787" t="s">
        <v>79</v>
      </c>
      <c r="J1787">
        <v>0</v>
      </c>
      <c r="K1787" t="s">
        <v>79</v>
      </c>
      <c r="L1787">
        <v>4</v>
      </c>
      <c r="M1787">
        <v>179.83</v>
      </c>
      <c r="N1787">
        <v>8.8000000000000007</v>
      </c>
      <c r="Q1787">
        <v>171.03</v>
      </c>
      <c r="R1787" t="s">
        <v>907</v>
      </c>
      <c r="V1787">
        <v>0</v>
      </c>
      <c r="W1787">
        <v>0</v>
      </c>
      <c r="AF1787">
        <v>0</v>
      </c>
      <c r="AG1787">
        <v>0</v>
      </c>
      <c r="AH1787">
        <v>0</v>
      </c>
      <c r="AI1787">
        <v>12</v>
      </c>
      <c r="AJ1787">
        <v>12</v>
      </c>
      <c r="AM1787">
        <v>0</v>
      </c>
      <c r="AN1787">
        <v>178.03</v>
      </c>
      <c r="AP1787">
        <v>42</v>
      </c>
    </row>
    <row r="1788" spans="1:42" x14ac:dyDescent="0.25">
      <c r="A1788" t="s">
        <v>46</v>
      </c>
      <c r="B1788">
        <v>4</v>
      </c>
      <c r="C1788" t="s">
        <v>906</v>
      </c>
      <c r="D1788" s="39">
        <v>45946</v>
      </c>
      <c r="E1788" t="s">
        <v>276</v>
      </c>
      <c r="F1788" t="s">
        <v>79</v>
      </c>
      <c r="G1788">
        <v>18</v>
      </c>
      <c r="H1788" t="s">
        <v>113</v>
      </c>
      <c r="I1788" t="s">
        <v>79</v>
      </c>
      <c r="J1788">
        <v>0</v>
      </c>
      <c r="K1788" t="s">
        <v>79</v>
      </c>
      <c r="L1788">
        <v>14</v>
      </c>
      <c r="M1788">
        <v>757.03</v>
      </c>
      <c r="N1788">
        <v>30.800000000000004</v>
      </c>
      <c r="Q1788">
        <v>726.23</v>
      </c>
      <c r="R1788" t="s">
        <v>907</v>
      </c>
      <c r="V1788">
        <v>0</v>
      </c>
      <c r="W1788">
        <v>0</v>
      </c>
      <c r="AF1788">
        <v>0</v>
      </c>
      <c r="AG1788">
        <v>0</v>
      </c>
      <c r="AH1788">
        <v>0</v>
      </c>
      <c r="AI1788">
        <v>12</v>
      </c>
      <c r="AJ1788">
        <v>12</v>
      </c>
      <c r="AM1788">
        <v>0</v>
      </c>
      <c r="AN1788">
        <v>733.23</v>
      </c>
      <c r="AP1788">
        <v>42</v>
      </c>
    </row>
    <row r="1789" spans="1:42" x14ac:dyDescent="0.25">
      <c r="A1789" t="s">
        <v>45</v>
      </c>
      <c r="B1789">
        <v>5</v>
      </c>
      <c r="C1789" t="s">
        <v>900</v>
      </c>
      <c r="D1789" s="39">
        <v>45946</v>
      </c>
      <c r="E1789" t="s">
        <v>486</v>
      </c>
      <c r="F1789" t="s">
        <v>79</v>
      </c>
      <c r="G1789">
        <v>9</v>
      </c>
      <c r="H1789" t="s">
        <v>113</v>
      </c>
      <c r="I1789" t="s">
        <v>79</v>
      </c>
      <c r="J1789">
        <v>1000</v>
      </c>
      <c r="K1789" t="s">
        <v>79</v>
      </c>
      <c r="L1789">
        <v>13</v>
      </c>
      <c r="M1789">
        <v>455.9</v>
      </c>
      <c r="N1789">
        <v>11.700000000000001</v>
      </c>
      <c r="O1789">
        <v>8</v>
      </c>
      <c r="Q1789">
        <v>444.2</v>
      </c>
      <c r="R1789" t="s">
        <v>901</v>
      </c>
      <c r="V1789">
        <v>0</v>
      </c>
      <c r="W1789">
        <v>0</v>
      </c>
      <c r="AF1789">
        <v>0</v>
      </c>
      <c r="AG1789">
        <v>0</v>
      </c>
      <c r="AH1789">
        <v>0</v>
      </c>
      <c r="AI1789">
        <v>12</v>
      </c>
      <c r="AJ1789">
        <v>12</v>
      </c>
      <c r="AM1789">
        <v>0</v>
      </c>
      <c r="AN1789">
        <v>454.2</v>
      </c>
      <c r="AP1789">
        <v>42</v>
      </c>
    </row>
    <row r="1790" spans="1:42" x14ac:dyDescent="0.25">
      <c r="A1790" t="s">
        <v>46</v>
      </c>
      <c r="B1790">
        <v>5</v>
      </c>
      <c r="C1790" t="s">
        <v>900</v>
      </c>
      <c r="D1790" s="39">
        <v>45946</v>
      </c>
      <c r="E1790" t="s">
        <v>486</v>
      </c>
      <c r="F1790" t="s">
        <v>79</v>
      </c>
      <c r="G1790">
        <v>9</v>
      </c>
      <c r="H1790" t="s">
        <v>113</v>
      </c>
      <c r="I1790" t="s">
        <v>79</v>
      </c>
      <c r="J1790">
        <v>1000</v>
      </c>
      <c r="K1790" t="s">
        <v>79</v>
      </c>
      <c r="L1790">
        <v>3</v>
      </c>
      <c r="M1790">
        <v>122.19999999999999</v>
      </c>
      <c r="N1790">
        <v>2.7</v>
      </c>
      <c r="O1790">
        <v>4</v>
      </c>
      <c r="Q1790">
        <v>119.49999999999999</v>
      </c>
      <c r="R1790" t="s">
        <v>901</v>
      </c>
      <c r="V1790">
        <v>0</v>
      </c>
      <c r="W1790">
        <v>0</v>
      </c>
      <c r="AF1790">
        <v>0</v>
      </c>
      <c r="AG1790">
        <v>0</v>
      </c>
      <c r="AH1790">
        <v>0</v>
      </c>
      <c r="AI1790">
        <v>12</v>
      </c>
      <c r="AJ1790">
        <v>12</v>
      </c>
      <c r="AM1790">
        <v>0</v>
      </c>
      <c r="AN1790">
        <v>129.5</v>
      </c>
      <c r="AP1790">
        <v>42</v>
      </c>
    </row>
    <row r="1791" spans="1:42" x14ac:dyDescent="0.25">
      <c r="A1791" t="s">
        <v>46</v>
      </c>
      <c r="B1791">
        <v>5</v>
      </c>
      <c r="C1791" t="s">
        <v>908</v>
      </c>
      <c r="D1791" s="39">
        <v>45946</v>
      </c>
      <c r="E1791" t="s">
        <v>486</v>
      </c>
      <c r="F1791" t="s">
        <v>79</v>
      </c>
      <c r="G1791">
        <v>12</v>
      </c>
      <c r="H1791">
        <v>5</v>
      </c>
      <c r="I1791" t="s">
        <v>79</v>
      </c>
      <c r="J1791">
        <v>1000</v>
      </c>
      <c r="K1791" t="s">
        <v>79</v>
      </c>
      <c r="L1791">
        <v>8</v>
      </c>
      <c r="M1791">
        <v>422.71999999999997</v>
      </c>
      <c r="N1791">
        <v>9.6</v>
      </c>
      <c r="Q1791">
        <v>413.11999999999995</v>
      </c>
      <c r="R1791" t="s">
        <v>909</v>
      </c>
      <c r="S1791">
        <v>20</v>
      </c>
      <c r="V1791">
        <v>20</v>
      </c>
      <c r="W1791">
        <v>0.33333333333333331</v>
      </c>
      <c r="AF1791">
        <v>0</v>
      </c>
      <c r="AG1791">
        <v>0</v>
      </c>
      <c r="AH1791">
        <v>0.33333333333333331</v>
      </c>
      <c r="AI1791">
        <v>11.666666666666666</v>
      </c>
      <c r="AJ1791">
        <v>12</v>
      </c>
      <c r="AM1791">
        <v>0</v>
      </c>
      <c r="AN1791">
        <v>423.11999999999995</v>
      </c>
      <c r="AP1791">
        <v>42</v>
      </c>
    </row>
    <row r="1792" spans="1:42" x14ac:dyDescent="0.25">
      <c r="A1792" t="s">
        <v>45</v>
      </c>
      <c r="B1792">
        <v>1</v>
      </c>
      <c r="C1792" t="s">
        <v>902</v>
      </c>
      <c r="D1792" s="39">
        <v>45947</v>
      </c>
      <c r="E1792" t="s">
        <v>486</v>
      </c>
      <c r="F1792" t="s">
        <v>79</v>
      </c>
      <c r="G1792">
        <v>3</v>
      </c>
      <c r="H1792" t="s">
        <v>92</v>
      </c>
      <c r="I1792" t="s">
        <v>79</v>
      </c>
      <c r="J1792">
        <v>500</v>
      </c>
      <c r="K1792" t="s">
        <v>79</v>
      </c>
      <c r="L1792">
        <v>11</v>
      </c>
      <c r="M1792">
        <v>145.66999999999999</v>
      </c>
      <c r="N1792">
        <v>3.3</v>
      </c>
      <c r="O1792">
        <v>15</v>
      </c>
      <c r="Q1792">
        <v>142.36999999999998</v>
      </c>
      <c r="R1792" t="s">
        <v>1344</v>
      </c>
      <c r="V1792">
        <v>0</v>
      </c>
      <c r="W1792">
        <v>0</v>
      </c>
      <c r="AF1792">
        <v>0</v>
      </c>
      <c r="AG1792">
        <v>0</v>
      </c>
      <c r="AH1792">
        <v>0</v>
      </c>
      <c r="AI1792">
        <v>12</v>
      </c>
      <c r="AJ1792">
        <v>12</v>
      </c>
      <c r="AL1792">
        <v>1959</v>
      </c>
      <c r="AM1792">
        <v>0</v>
      </c>
      <c r="AN1792">
        <v>140</v>
      </c>
      <c r="AO1792">
        <v>398</v>
      </c>
      <c r="AP1792">
        <v>42</v>
      </c>
    </row>
    <row r="1793" spans="1:42" x14ac:dyDescent="0.25">
      <c r="A1793" t="s">
        <v>46</v>
      </c>
      <c r="B1793">
        <v>1</v>
      </c>
      <c r="C1793" t="s">
        <v>902</v>
      </c>
      <c r="D1793" s="39">
        <v>45947</v>
      </c>
      <c r="E1793" t="s">
        <v>486</v>
      </c>
      <c r="F1793" t="s">
        <v>79</v>
      </c>
      <c r="G1793">
        <v>3</v>
      </c>
      <c r="H1793" t="s">
        <v>92</v>
      </c>
      <c r="I1793" t="s">
        <v>79</v>
      </c>
      <c r="J1793">
        <v>500</v>
      </c>
      <c r="K1793" t="s">
        <v>79</v>
      </c>
      <c r="L1793">
        <v>10</v>
      </c>
      <c r="M1793">
        <v>140.14000000000001</v>
      </c>
      <c r="N1793">
        <v>3</v>
      </c>
      <c r="O1793">
        <v>6</v>
      </c>
      <c r="Q1793">
        <v>137.14000000000001</v>
      </c>
      <c r="R1793" t="s">
        <v>1344</v>
      </c>
      <c r="V1793">
        <v>0</v>
      </c>
      <c r="W1793">
        <v>0</v>
      </c>
      <c r="AF1793">
        <v>0</v>
      </c>
      <c r="AG1793">
        <v>0</v>
      </c>
      <c r="AH1793">
        <v>0</v>
      </c>
      <c r="AI1793">
        <v>12</v>
      </c>
      <c r="AJ1793">
        <v>12</v>
      </c>
      <c r="AM1793">
        <v>0</v>
      </c>
      <c r="AN1793">
        <v>140</v>
      </c>
      <c r="AP1793">
        <v>42</v>
      </c>
    </row>
    <row r="1794" spans="1:42" x14ac:dyDescent="0.25">
      <c r="A1794" t="s">
        <v>45</v>
      </c>
      <c r="B1794">
        <v>2</v>
      </c>
      <c r="C1794" t="s">
        <v>884</v>
      </c>
      <c r="D1794" s="39">
        <v>45947</v>
      </c>
      <c r="E1794" t="s">
        <v>486</v>
      </c>
      <c r="F1794" t="s">
        <v>79</v>
      </c>
      <c r="G1794">
        <v>4</v>
      </c>
      <c r="H1794" t="s">
        <v>113</v>
      </c>
      <c r="I1794" t="s">
        <v>79</v>
      </c>
      <c r="J1794">
        <v>500</v>
      </c>
      <c r="K1794" t="s">
        <v>79</v>
      </c>
      <c r="L1794">
        <v>11</v>
      </c>
      <c r="M1794">
        <v>155.10999999999999</v>
      </c>
      <c r="N1794">
        <v>4.4000000000000004</v>
      </c>
      <c r="O1794">
        <v>1</v>
      </c>
      <c r="Q1794">
        <v>150.70999999999998</v>
      </c>
      <c r="R1794" t="s">
        <v>1125</v>
      </c>
      <c r="V1794">
        <v>0</v>
      </c>
      <c r="W1794">
        <v>0</v>
      </c>
      <c r="AF1794">
        <v>0</v>
      </c>
      <c r="AG1794">
        <v>0</v>
      </c>
      <c r="AH1794">
        <v>0</v>
      </c>
      <c r="AI1794">
        <v>12</v>
      </c>
      <c r="AJ1794">
        <v>12</v>
      </c>
      <c r="AM1794">
        <v>0</v>
      </c>
      <c r="AN1794">
        <v>160.70999999999998</v>
      </c>
      <c r="AP1794">
        <v>42</v>
      </c>
    </row>
    <row r="1795" spans="1:42" x14ac:dyDescent="0.25">
      <c r="A1795" t="s">
        <v>46</v>
      </c>
      <c r="B1795">
        <v>2</v>
      </c>
      <c r="C1795" t="s">
        <v>884</v>
      </c>
      <c r="D1795" s="39">
        <v>45947</v>
      </c>
      <c r="E1795" t="s">
        <v>486</v>
      </c>
      <c r="F1795" t="s">
        <v>79</v>
      </c>
      <c r="G1795">
        <v>4</v>
      </c>
      <c r="H1795" t="s">
        <v>113</v>
      </c>
      <c r="I1795" t="s">
        <v>79</v>
      </c>
      <c r="J1795">
        <v>500</v>
      </c>
      <c r="K1795" t="s">
        <v>79</v>
      </c>
      <c r="L1795">
        <v>10</v>
      </c>
      <c r="M1795">
        <v>155.35000000000002</v>
      </c>
      <c r="N1795">
        <v>4</v>
      </c>
      <c r="Q1795">
        <v>151.35000000000002</v>
      </c>
      <c r="R1795" t="s">
        <v>1125</v>
      </c>
      <c r="V1795">
        <v>0</v>
      </c>
      <c r="W1795">
        <v>0</v>
      </c>
      <c r="AF1795">
        <v>0</v>
      </c>
      <c r="AG1795">
        <v>0</v>
      </c>
      <c r="AH1795">
        <v>0</v>
      </c>
      <c r="AI1795">
        <v>12</v>
      </c>
      <c r="AJ1795">
        <v>12</v>
      </c>
      <c r="AM1795">
        <v>0</v>
      </c>
      <c r="AN1795">
        <v>161.35000000000002</v>
      </c>
      <c r="AP1795">
        <v>42</v>
      </c>
    </row>
    <row r="1796" spans="1:42" x14ac:dyDescent="0.25">
      <c r="A1796" t="s">
        <v>45</v>
      </c>
      <c r="B1796">
        <v>3</v>
      </c>
      <c r="C1796" t="s">
        <v>904</v>
      </c>
      <c r="D1796" s="39">
        <v>45947</v>
      </c>
      <c r="E1796" t="s">
        <v>486</v>
      </c>
      <c r="F1796" t="s">
        <v>79</v>
      </c>
      <c r="G1796">
        <v>8</v>
      </c>
      <c r="H1796">
        <v>5</v>
      </c>
      <c r="I1796" t="s">
        <v>79</v>
      </c>
      <c r="J1796">
        <v>1000</v>
      </c>
      <c r="K1796" t="s">
        <v>79</v>
      </c>
      <c r="L1796">
        <v>4</v>
      </c>
      <c r="M1796">
        <v>152.88999999999999</v>
      </c>
      <c r="N1796">
        <v>3.2</v>
      </c>
      <c r="O1796">
        <v>6</v>
      </c>
      <c r="Q1796">
        <v>149.69</v>
      </c>
      <c r="R1796" t="s">
        <v>905</v>
      </c>
      <c r="V1796">
        <v>0</v>
      </c>
      <c r="W1796">
        <v>0</v>
      </c>
      <c r="Z1796">
        <v>480</v>
      </c>
      <c r="AF1796">
        <v>480</v>
      </c>
      <c r="AG1796">
        <v>8</v>
      </c>
      <c r="AH1796">
        <v>8</v>
      </c>
      <c r="AI1796">
        <v>4</v>
      </c>
      <c r="AJ1796">
        <v>12</v>
      </c>
      <c r="AM1796">
        <v>0</v>
      </c>
      <c r="AN1796">
        <v>320</v>
      </c>
      <c r="AP1796">
        <v>42</v>
      </c>
    </row>
    <row r="1797" spans="1:42" x14ac:dyDescent="0.25">
      <c r="A1797" t="s">
        <v>46</v>
      </c>
      <c r="B1797">
        <v>3</v>
      </c>
      <c r="C1797" t="s">
        <v>904</v>
      </c>
      <c r="D1797" s="39">
        <v>45947</v>
      </c>
      <c r="E1797" t="s">
        <v>486</v>
      </c>
      <c r="F1797" t="s">
        <v>79</v>
      </c>
      <c r="G1797">
        <v>8</v>
      </c>
      <c r="H1797">
        <v>5</v>
      </c>
      <c r="I1797" t="s">
        <v>79</v>
      </c>
      <c r="J1797">
        <v>1000</v>
      </c>
      <c r="K1797" t="s">
        <v>79</v>
      </c>
      <c r="L1797">
        <v>8</v>
      </c>
      <c r="M1797">
        <v>334.56</v>
      </c>
      <c r="N1797">
        <v>7.2</v>
      </c>
      <c r="Q1797">
        <v>327.36</v>
      </c>
      <c r="R1797" t="s">
        <v>905</v>
      </c>
      <c r="V1797">
        <v>0</v>
      </c>
      <c r="W1797">
        <v>0</v>
      </c>
      <c r="AF1797">
        <v>0</v>
      </c>
      <c r="AG1797">
        <v>0</v>
      </c>
      <c r="AH1797">
        <v>0</v>
      </c>
      <c r="AI1797">
        <v>12</v>
      </c>
      <c r="AJ1797">
        <v>12</v>
      </c>
      <c r="AM1797">
        <v>0</v>
      </c>
      <c r="AN1797">
        <v>320</v>
      </c>
      <c r="AP1797">
        <v>42</v>
      </c>
    </row>
    <row r="1798" spans="1:42" x14ac:dyDescent="0.25">
      <c r="A1798" t="s">
        <v>45</v>
      </c>
      <c r="B1798">
        <v>4</v>
      </c>
      <c r="C1798" t="s">
        <v>906</v>
      </c>
      <c r="D1798" s="39">
        <v>45947</v>
      </c>
      <c r="E1798" t="s">
        <v>276</v>
      </c>
      <c r="F1798" t="s">
        <v>79</v>
      </c>
      <c r="G1798">
        <v>18</v>
      </c>
      <c r="H1798" t="s">
        <v>113</v>
      </c>
      <c r="I1798" t="s">
        <v>79</v>
      </c>
      <c r="J1798">
        <v>0</v>
      </c>
      <c r="K1798" t="s">
        <v>79</v>
      </c>
      <c r="L1798">
        <v>5</v>
      </c>
      <c r="M1798">
        <v>228.07999999999998</v>
      </c>
      <c r="N1798">
        <v>9</v>
      </c>
      <c r="Q1798">
        <v>219.07999999999998</v>
      </c>
      <c r="R1798" t="s">
        <v>907</v>
      </c>
      <c r="V1798">
        <v>0</v>
      </c>
      <c r="W1798">
        <v>0</v>
      </c>
      <c r="AF1798">
        <v>0</v>
      </c>
      <c r="AG1798">
        <v>0</v>
      </c>
      <c r="AH1798">
        <v>0</v>
      </c>
      <c r="AI1798">
        <v>12</v>
      </c>
      <c r="AJ1798">
        <v>12</v>
      </c>
      <c r="AM1798">
        <v>0</v>
      </c>
      <c r="AN1798">
        <v>720</v>
      </c>
      <c r="AP1798">
        <v>42</v>
      </c>
    </row>
    <row r="1799" spans="1:42" x14ac:dyDescent="0.25">
      <c r="A1799" t="s">
        <v>45</v>
      </c>
      <c r="B1799">
        <v>4</v>
      </c>
      <c r="C1799" t="s">
        <v>910</v>
      </c>
      <c r="D1799" s="39">
        <v>45947</v>
      </c>
      <c r="E1799" t="s">
        <v>911</v>
      </c>
      <c r="F1799" t="s">
        <v>79</v>
      </c>
      <c r="G1799" t="s">
        <v>912</v>
      </c>
      <c r="H1799">
        <v>7</v>
      </c>
      <c r="I1799" t="s">
        <v>79</v>
      </c>
      <c r="J1799">
        <v>500</v>
      </c>
      <c r="K1799" t="s">
        <v>79</v>
      </c>
      <c r="L1799">
        <v>10</v>
      </c>
      <c r="M1799">
        <v>463.91999999999996</v>
      </c>
      <c r="N1799">
        <v>18</v>
      </c>
      <c r="Q1799">
        <v>445.91999999999996</v>
      </c>
      <c r="R1799" t="s">
        <v>913</v>
      </c>
      <c r="V1799">
        <v>0</v>
      </c>
      <c r="W1799">
        <v>0</v>
      </c>
      <c r="AF1799">
        <v>0</v>
      </c>
      <c r="AG1799">
        <v>0</v>
      </c>
      <c r="AH1799">
        <v>0</v>
      </c>
      <c r="AI1799">
        <v>12</v>
      </c>
      <c r="AJ1799">
        <v>12</v>
      </c>
      <c r="AM1799">
        <v>0</v>
      </c>
      <c r="AP1799">
        <v>42</v>
      </c>
    </row>
    <row r="1800" spans="1:42" x14ac:dyDescent="0.25">
      <c r="A1800" t="s">
        <v>45</v>
      </c>
      <c r="B1800">
        <v>4</v>
      </c>
      <c r="C1800" t="s">
        <v>914</v>
      </c>
      <c r="D1800" s="39">
        <v>45947</v>
      </c>
      <c r="E1800" t="s">
        <v>200</v>
      </c>
      <c r="F1800" t="s">
        <v>79</v>
      </c>
      <c r="G1800" t="s">
        <v>912</v>
      </c>
      <c r="H1800">
        <v>6</v>
      </c>
      <c r="I1800" t="s">
        <v>79</v>
      </c>
      <c r="J1800">
        <v>150</v>
      </c>
      <c r="K1800" t="s">
        <v>79</v>
      </c>
      <c r="L1800">
        <v>2</v>
      </c>
      <c r="M1800">
        <v>87.77000000000001</v>
      </c>
      <c r="N1800">
        <v>3.6</v>
      </c>
      <c r="Q1800">
        <v>84.170000000000016</v>
      </c>
      <c r="R1800" t="s">
        <v>915</v>
      </c>
      <c r="V1800">
        <v>0</v>
      </c>
      <c r="W1800">
        <v>0</v>
      </c>
      <c r="AF1800">
        <v>0</v>
      </c>
      <c r="AG1800">
        <v>0</v>
      </c>
      <c r="AH1800">
        <v>0</v>
      </c>
      <c r="AI1800">
        <v>12</v>
      </c>
      <c r="AJ1800">
        <v>12</v>
      </c>
      <c r="AM1800">
        <v>0</v>
      </c>
      <c r="AP1800">
        <v>42</v>
      </c>
    </row>
    <row r="1801" spans="1:42" x14ac:dyDescent="0.25">
      <c r="A1801" t="s">
        <v>46</v>
      </c>
      <c r="B1801">
        <v>4</v>
      </c>
      <c r="C1801" t="s">
        <v>914</v>
      </c>
      <c r="D1801" s="39">
        <v>45947</v>
      </c>
      <c r="E1801" t="s">
        <v>200</v>
      </c>
      <c r="F1801" t="s">
        <v>79</v>
      </c>
      <c r="G1801" t="s">
        <v>912</v>
      </c>
      <c r="H1801">
        <v>6</v>
      </c>
      <c r="I1801" t="s">
        <v>79</v>
      </c>
      <c r="J1801">
        <v>150</v>
      </c>
      <c r="K1801" t="s">
        <v>79</v>
      </c>
      <c r="L1801">
        <v>2</v>
      </c>
      <c r="M1801">
        <v>76.459999999999994</v>
      </c>
      <c r="N1801">
        <v>4.3000000000000007</v>
      </c>
      <c r="O1801">
        <v>37</v>
      </c>
      <c r="Q1801">
        <v>72.16</v>
      </c>
      <c r="R1801" t="s">
        <v>915</v>
      </c>
      <c r="S1801">
        <v>20</v>
      </c>
      <c r="V1801">
        <v>20</v>
      </c>
      <c r="W1801">
        <v>0.33333333333333331</v>
      </c>
      <c r="AC1801">
        <v>45</v>
      </c>
      <c r="AF1801">
        <v>45</v>
      </c>
      <c r="AG1801">
        <v>0.75</v>
      </c>
      <c r="AH1801">
        <v>1.0833333333333333</v>
      </c>
      <c r="AI1801">
        <v>10.916666666666666</v>
      </c>
      <c r="AJ1801">
        <v>12</v>
      </c>
      <c r="AM1801">
        <v>0</v>
      </c>
      <c r="AN1801">
        <v>900</v>
      </c>
      <c r="AP1801">
        <v>42</v>
      </c>
    </row>
    <row r="1802" spans="1:42" x14ac:dyDescent="0.25">
      <c r="A1802" t="s">
        <v>46</v>
      </c>
      <c r="B1802">
        <v>4</v>
      </c>
      <c r="C1802" t="s">
        <v>916</v>
      </c>
      <c r="D1802" s="39">
        <v>45947</v>
      </c>
      <c r="E1802" t="s">
        <v>200</v>
      </c>
      <c r="F1802" t="s">
        <v>79</v>
      </c>
      <c r="G1802" t="s">
        <v>524</v>
      </c>
      <c r="H1802">
        <v>14</v>
      </c>
      <c r="I1802" t="s">
        <v>79</v>
      </c>
      <c r="J1802">
        <v>200</v>
      </c>
      <c r="K1802" t="s">
        <v>79</v>
      </c>
      <c r="L1802">
        <v>4</v>
      </c>
      <c r="M1802">
        <v>220.48999999999998</v>
      </c>
      <c r="N1802">
        <v>11.98</v>
      </c>
      <c r="Q1802">
        <v>208.51</v>
      </c>
      <c r="R1802" t="s">
        <v>917</v>
      </c>
      <c r="S1802">
        <v>20</v>
      </c>
      <c r="V1802">
        <v>20</v>
      </c>
      <c r="W1802">
        <v>0.33333333333333331</v>
      </c>
      <c r="AF1802">
        <v>0</v>
      </c>
      <c r="AG1802">
        <v>0</v>
      </c>
      <c r="AH1802">
        <v>0.33333333333333331</v>
      </c>
      <c r="AI1802">
        <v>11.666666666666666</v>
      </c>
      <c r="AJ1802">
        <v>12</v>
      </c>
      <c r="AM1802">
        <v>0</v>
      </c>
      <c r="AP1802">
        <v>42</v>
      </c>
    </row>
    <row r="1803" spans="1:42" x14ac:dyDescent="0.25">
      <c r="A1803" t="s">
        <v>46</v>
      </c>
      <c r="B1803">
        <v>4</v>
      </c>
      <c r="C1803" t="s">
        <v>918</v>
      </c>
      <c r="D1803" s="39">
        <v>45947</v>
      </c>
      <c r="E1803" t="s">
        <v>302</v>
      </c>
      <c r="F1803" t="s">
        <v>79</v>
      </c>
      <c r="G1803">
        <v>10</v>
      </c>
      <c r="H1803">
        <v>9</v>
      </c>
      <c r="I1803" t="s">
        <v>79</v>
      </c>
      <c r="J1803">
        <v>100</v>
      </c>
      <c r="K1803" t="s">
        <v>79</v>
      </c>
      <c r="L1803">
        <v>4</v>
      </c>
      <c r="M1803">
        <v>215.59</v>
      </c>
      <c r="N1803">
        <v>9.8500000000000014</v>
      </c>
      <c r="Q1803">
        <v>205.74</v>
      </c>
      <c r="R1803" t="s">
        <v>920</v>
      </c>
      <c r="V1803">
        <v>0</v>
      </c>
      <c r="W1803">
        <v>0</v>
      </c>
      <c r="AF1803">
        <v>0</v>
      </c>
      <c r="AG1803">
        <v>0</v>
      </c>
      <c r="AH1803">
        <v>0</v>
      </c>
      <c r="AI1803">
        <v>12</v>
      </c>
      <c r="AJ1803">
        <v>12</v>
      </c>
      <c r="AM1803">
        <v>0</v>
      </c>
      <c r="AP1803">
        <v>42</v>
      </c>
    </row>
    <row r="1804" spans="1:42" x14ac:dyDescent="0.25">
      <c r="A1804" t="s">
        <v>46</v>
      </c>
      <c r="B1804">
        <v>4</v>
      </c>
      <c r="C1804" t="s">
        <v>921</v>
      </c>
      <c r="D1804" s="39">
        <v>45947</v>
      </c>
      <c r="E1804" t="s">
        <v>302</v>
      </c>
      <c r="F1804" t="s">
        <v>79</v>
      </c>
      <c r="G1804">
        <v>9</v>
      </c>
      <c r="H1804">
        <v>9</v>
      </c>
      <c r="I1804" t="s">
        <v>79</v>
      </c>
      <c r="J1804">
        <v>150</v>
      </c>
      <c r="K1804" t="s">
        <v>79</v>
      </c>
      <c r="L1804">
        <v>5</v>
      </c>
      <c r="M1804">
        <v>260.01000000000005</v>
      </c>
      <c r="N1804">
        <v>10.8</v>
      </c>
      <c r="Q1804">
        <v>249.21000000000004</v>
      </c>
      <c r="R1804" t="s">
        <v>922</v>
      </c>
      <c r="V1804">
        <v>0</v>
      </c>
      <c r="W1804">
        <v>0</v>
      </c>
      <c r="AF1804">
        <v>0</v>
      </c>
      <c r="AG1804">
        <v>0</v>
      </c>
      <c r="AH1804">
        <v>0</v>
      </c>
      <c r="AI1804">
        <v>12</v>
      </c>
      <c r="AJ1804">
        <v>12</v>
      </c>
      <c r="AM1804">
        <v>0</v>
      </c>
      <c r="AP1804">
        <v>42</v>
      </c>
    </row>
    <row r="1805" spans="1:42" x14ac:dyDescent="0.25">
      <c r="A1805" t="s">
        <v>46</v>
      </c>
      <c r="B1805">
        <v>4</v>
      </c>
      <c r="C1805" t="s">
        <v>923</v>
      </c>
      <c r="D1805" s="39">
        <v>45947</v>
      </c>
      <c r="E1805" t="s">
        <v>200</v>
      </c>
      <c r="F1805" t="s">
        <v>79</v>
      </c>
      <c r="G1805" t="s">
        <v>919</v>
      </c>
      <c r="H1805">
        <v>14</v>
      </c>
      <c r="I1805" t="s">
        <v>79</v>
      </c>
      <c r="J1805">
        <v>125</v>
      </c>
      <c r="K1805" t="s">
        <v>79</v>
      </c>
      <c r="L1805">
        <v>2</v>
      </c>
      <c r="M1805">
        <v>75.509999999999991</v>
      </c>
      <c r="N1805">
        <v>4.8</v>
      </c>
      <c r="Q1805">
        <v>70.709999999999994</v>
      </c>
      <c r="R1805" t="s">
        <v>924</v>
      </c>
      <c r="V1805">
        <v>0</v>
      </c>
      <c r="W1805">
        <v>0</v>
      </c>
      <c r="AF1805">
        <v>0</v>
      </c>
      <c r="AG1805">
        <v>0</v>
      </c>
      <c r="AH1805">
        <v>0</v>
      </c>
      <c r="AI1805">
        <v>12</v>
      </c>
      <c r="AJ1805">
        <v>12</v>
      </c>
      <c r="AM1805">
        <v>0</v>
      </c>
      <c r="AP1805">
        <v>42</v>
      </c>
    </row>
    <row r="1806" spans="1:42" x14ac:dyDescent="0.25">
      <c r="A1806" t="s">
        <v>45</v>
      </c>
      <c r="B1806">
        <v>5</v>
      </c>
      <c r="C1806" t="s">
        <v>908</v>
      </c>
      <c r="D1806" s="39">
        <v>45947</v>
      </c>
      <c r="E1806" t="s">
        <v>486</v>
      </c>
      <c r="F1806" t="s">
        <v>79</v>
      </c>
      <c r="G1806">
        <v>12</v>
      </c>
      <c r="H1806">
        <v>5</v>
      </c>
      <c r="I1806" t="s">
        <v>79</v>
      </c>
      <c r="J1806">
        <v>1000</v>
      </c>
      <c r="K1806" t="s">
        <v>79</v>
      </c>
      <c r="L1806">
        <v>12</v>
      </c>
      <c r="M1806">
        <v>523.73</v>
      </c>
      <c r="N1806">
        <v>14.399999999999999</v>
      </c>
      <c r="Q1806">
        <v>509.33000000000004</v>
      </c>
      <c r="R1806" t="s">
        <v>909</v>
      </c>
      <c r="V1806">
        <v>0</v>
      </c>
      <c r="W1806">
        <v>0</v>
      </c>
      <c r="AF1806">
        <v>0</v>
      </c>
      <c r="AG1806">
        <v>0</v>
      </c>
      <c r="AH1806">
        <v>0</v>
      </c>
      <c r="AI1806">
        <v>12</v>
      </c>
      <c r="AJ1806">
        <v>12</v>
      </c>
      <c r="AM1806">
        <v>0</v>
      </c>
      <c r="AN1806">
        <v>519.33000000000004</v>
      </c>
      <c r="AP1806">
        <v>42</v>
      </c>
    </row>
    <row r="1807" spans="1:42" x14ac:dyDescent="0.25">
      <c r="A1807" t="s">
        <v>46</v>
      </c>
      <c r="B1807">
        <v>5</v>
      </c>
      <c r="C1807" t="s">
        <v>908</v>
      </c>
      <c r="D1807" s="39">
        <v>45947</v>
      </c>
      <c r="E1807" t="s">
        <v>486</v>
      </c>
      <c r="F1807" t="s">
        <v>79</v>
      </c>
      <c r="G1807">
        <v>12</v>
      </c>
      <c r="H1807">
        <v>5</v>
      </c>
      <c r="I1807" t="s">
        <v>79</v>
      </c>
      <c r="J1807">
        <v>1000</v>
      </c>
      <c r="K1807" t="s">
        <v>79</v>
      </c>
      <c r="L1807">
        <v>2</v>
      </c>
      <c r="M1807">
        <v>81.739999999999995</v>
      </c>
      <c r="N1807">
        <v>2.4</v>
      </c>
      <c r="O1807">
        <v>9</v>
      </c>
      <c r="Q1807">
        <v>79.339999999999989</v>
      </c>
      <c r="R1807" t="s">
        <v>909</v>
      </c>
      <c r="S1807">
        <v>30</v>
      </c>
      <c r="V1807">
        <v>30</v>
      </c>
      <c r="W1807">
        <v>0.5</v>
      </c>
      <c r="AF1807">
        <v>0</v>
      </c>
      <c r="AG1807">
        <v>0</v>
      </c>
      <c r="AH1807">
        <v>0.5</v>
      </c>
      <c r="AI1807">
        <v>11.5</v>
      </c>
      <c r="AJ1807">
        <v>12</v>
      </c>
      <c r="AM1807">
        <v>0</v>
      </c>
      <c r="AN1807">
        <v>89.339999999999989</v>
      </c>
      <c r="AP1807">
        <v>42</v>
      </c>
    </row>
    <row r="1808" spans="1:42" x14ac:dyDescent="0.25">
      <c r="A1808" t="s">
        <v>46</v>
      </c>
      <c r="B1808">
        <v>5</v>
      </c>
      <c r="C1808" t="s">
        <v>925</v>
      </c>
      <c r="D1808" s="39">
        <v>45947</v>
      </c>
      <c r="E1808" t="s">
        <v>302</v>
      </c>
      <c r="F1808" t="s">
        <v>79</v>
      </c>
      <c r="G1808" t="s">
        <v>140</v>
      </c>
      <c r="H1808">
        <v>9</v>
      </c>
      <c r="I1808" t="s">
        <v>79</v>
      </c>
      <c r="J1808">
        <v>100</v>
      </c>
      <c r="K1808" t="s">
        <v>79</v>
      </c>
      <c r="L1808">
        <v>7</v>
      </c>
      <c r="M1808">
        <v>370.94</v>
      </c>
      <c r="N1808">
        <v>8.4</v>
      </c>
      <c r="Q1808">
        <v>362.54</v>
      </c>
      <c r="R1808" t="s">
        <v>926</v>
      </c>
      <c r="V1808">
        <v>0</v>
      </c>
      <c r="W1808">
        <v>0</v>
      </c>
      <c r="AF1808">
        <v>0</v>
      </c>
      <c r="AG1808">
        <v>0</v>
      </c>
      <c r="AH1808">
        <v>0</v>
      </c>
      <c r="AI1808">
        <v>12</v>
      </c>
      <c r="AJ1808">
        <v>12</v>
      </c>
      <c r="AM1808">
        <v>0</v>
      </c>
      <c r="AN1808">
        <v>372.54</v>
      </c>
      <c r="AP1808">
        <v>42</v>
      </c>
    </row>
    <row r="1809" spans="1:42" x14ac:dyDescent="0.25">
      <c r="A1809" t="s">
        <v>46</v>
      </c>
      <c r="B1809">
        <v>5</v>
      </c>
      <c r="C1809" t="s">
        <v>927</v>
      </c>
      <c r="D1809" s="39">
        <v>45947</v>
      </c>
      <c r="E1809" t="s">
        <v>302</v>
      </c>
      <c r="F1809" t="s">
        <v>79</v>
      </c>
      <c r="G1809" t="s">
        <v>632</v>
      </c>
      <c r="H1809">
        <v>9</v>
      </c>
      <c r="I1809" t="s">
        <v>79</v>
      </c>
      <c r="J1809">
        <v>100</v>
      </c>
      <c r="K1809" t="s">
        <v>79</v>
      </c>
      <c r="L1809">
        <v>2</v>
      </c>
      <c r="M1809">
        <v>71.69</v>
      </c>
      <c r="N1809">
        <v>2.6</v>
      </c>
      <c r="Q1809">
        <v>69.09</v>
      </c>
      <c r="R1809" t="s">
        <v>928</v>
      </c>
      <c r="V1809">
        <v>0</v>
      </c>
      <c r="W1809">
        <v>0</v>
      </c>
      <c r="AF1809">
        <v>0</v>
      </c>
      <c r="AG1809">
        <v>0</v>
      </c>
      <c r="AH1809">
        <v>0</v>
      </c>
      <c r="AI1809">
        <v>12</v>
      </c>
      <c r="AJ1809">
        <v>12</v>
      </c>
      <c r="AM1809">
        <v>0</v>
      </c>
      <c r="AN1809">
        <v>79.09</v>
      </c>
      <c r="AP1809">
        <v>42</v>
      </c>
    </row>
    <row r="1810" spans="1:42" x14ac:dyDescent="0.25">
      <c r="A1810" t="s">
        <v>45</v>
      </c>
      <c r="B1810">
        <v>1</v>
      </c>
      <c r="C1810" t="s">
        <v>902</v>
      </c>
      <c r="D1810" s="39">
        <v>45948</v>
      </c>
      <c r="E1810" t="s">
        <v>486</v>
      </c>
      <c r="F1810" t="s">
        <v>79</v>
      </c>
      <c r="G1810">
        <v>3</v>
      </c>
      <c r="H1810" t="s">
        <v>92</v>
      </c>
      <c r="I1810" t="s">
        <v>79</v>
      </c>
      <c r="J1810">
        <v>500</v>
      </c>
      <c r="K1810" t="s">
        <v>79</v>
      </c>
      <c r="L1810">
        <v>9</v>
      </c>
      <c r="M1810">
        <v>129.78</v>
      </c>
      <c r="N1810">
        <v>2.6999999999999997</v>
      </c>
      <c r="O1810">
        <v>26</v>
      </c>
      <c r="Q1810">
        <v>127.08</v>
      </c>
      <c r="R1810" t="s">
        <v>1344</v>
      </c>
      <c r="V1810">
        <v>0</v>
      </c>
      <c r="W1810">
        <v>0</v>
      </c>
      <c r="AF1810">
        <v>0</v>
      </c>
      <c r="AG1810">
        <v>0</v>
      </c>
      <c r="AH1810">
        <v>0</v>
      </c>
      <c r="AI1810">
        <v>12</v>
      </c>
      <c r="AJ1810">
        <v>12</v>
      </c>
      <c r="AL1810">
        <v>1184</v>
      </c>
      <c r="AM1810">
        <v>0</v>
      </c>
      <c r="AN1810">
        <v>132.07999999999998</v>
      </c>
      <c r="AO1810">
        <v>398</v>
      </c>
      <c r="AP1810">
        <v>42</v>
      </c>
    </row>
    <row r="1811" spans="1:42" x14ac:dyDescent="0.25">
      <c r="A1811" t="s">
        <v>46</v>
      </c>
      <c r="B1811">
        <v>1</v>
      </c>
      <c r="C1811" t="s">
        <v>902</v>
      </c>
      <c r="D1811" s="39">
        <v>45948</v>
      </c>
      <c r="E1811" t="s">
        <v>486</v>
      </c>
      <c r="F1811" t="s">
        <v>79</v>
      </c>
      <c r="G1811">
        <v>3</v>
      </c>
      <c r="H1811" t="s">
        <v>92</v>
      </c>
      <c r="I1811" t="s">
        <v>79</v>
      </c>
      <c r="J1811">
        <v>500</v>
      </c>
      <c r="K1811" t="s">
        <v>79</v>
      </c>
      <c r="L1811">
        <v>7</v>
      </c>
      <c r="M1811">
        <v>98.7</v>
      </c>
      <c r="N1811">
        <v>2.1</v>
      </c>
      <c r="O1811">
        <v>16</v>
      </c>
      <c r="Q1811">
        <v>96.600000000000009</v>
      </c>
      <c r="R1811" t="s">
        <v>1344</v>
      </c>
      <c r="V1811">
        <v>0</v>
      </c>
      <c r="W1811">
        <v>0</v>
      </c>
      <c r="AC1811">
        <v>240</v>
      </c>
      <c r="AF1811">
        <v>240</v>
      </c>
      <c r="AG1811">
        <v>4</v>
      </c>
      <c r="AH1811">
        <v>4</v>
      </c>
      <c r="AI1811">
        <v>8</v>
      </c>
      <c r="AJ1811">
        <v>12</v>
      </c>
      <c r="AM1811">
        <v>0</v>
      </c>
      <c r="AN1811">
        <v>101.6</v>
      </c>
      <c r="AP1811">
        <v>42</v>
      </c>
    </row>
    <row r="1812" spans="1:42" x14ac:dyDescent="0.25">
      <c r="A1812" t="s">
        <v>45</v>
      </c>
      <c r="B1812">
        <v>2</v>
      </c>
      <c r="C1812" t="s">
        <v>884</v>
      </c>
      <c r="D1812" s="39">
        <v>45948</v>
      </c>
      <c r="E1812" t="s">
        <v>486</v>
      </c>
      <c r="F1812" t="s">
        <v>79</v>
      </c>
      <c r="G1812">
        <v>4</v>
      </c>
      <c r="H1812" t="s">
        <v>113</v>
      </c>
      <c r="I1812" t="s">
        <v>79</v>
      </c>
      <c r="J1812">
        <v>500</v>
      </c>
      <c r="K1812" t="s">
        <v>79</v>
      </c>
      <c r="L1812">
        <v>9</v>
      </c>
      <c r="M1812">
        <v>138.10999999999999</v>
      </c>
      <c r="N1812">
        <v>3.6</v>
      </c>
      <c r="Q1812">
        <v>134.51</v>
      </c>
      <c r="R1812" t="s">
        <v>1125</v>
      </c>
      <c r="V1812">
        <v>0</v>
      </c>
      <c r="W1812">
        <v>0</v>
      </c>
      <c r="AF1812">
        <v>0</v>
      </c>
      <c r="AG1812">
        <v>0</v>
      </c>
      <c r="AH1812">
        <v>0</v>
      </c>
      <c r="AI1812">
        <v>12</v>
      </c>
      <c r="AJ1812">
        <v>12</v>
      </c>
      <c r="AM1812">
        <v>0</v>
      </c>
      <c r="AN1812">
        <v>144.51</v>
      </c>
      <c r="AP1812">
        <v>42</v>
      </c>
    </row>
    <row r="1813" spans="1:42" x14ac:dyDescent="0.25">
      <c r="A1813" t="s">
        <v>46</v>
      </c>
      <c r="B1813">
        <v>2</v>
      </c>
      <c r="C1813" t="s">
        <v>884</v>
      </c>
      <c r="D1813" s="39">
        <v>45948</v>
      </c>
      <c r="E1813" t="s">
        <v>486</v>
      </c>
      <c r="F1813" t="s">
        <v>79</v>
      </c>
      <c r="G1813">
        <v>4</v>
      </c>
      <c r="H1813" t="s">
        <v>113</v>
      </c>
      <c r="I1813" t="s">
        <v>79</v>
      </c>
      <c r="J1813">
        <v>500</v>
      </c>
      <c r="K1813" t="s">
        <v>79</v>
      </c>
      <c r="L1813">
        <v>8</v>
      </c>
      <c r="M1813">
        <v>123.53000000000002</v>
      </c>
      <c r="N1813">
        <v>3.2</v>
      </c>
      <c r="Q1813">
        <v>120.33000000000001</v>
      </c>
      <c r="R1813" t="s">
        <v>1125</v>
      </c>
      <c r="V1813">
        <v>0</v>
      </c>
      <c r="W1813">
        <v>0</v>
      </c>
      <c r="AC1813">
        <v>240</v>
      </c>
      <c r="AF1813">
        <v>240</v>
      </c>
      <c r="AG1813">
        <v>4</v>
      </c>
      <c r="AH1813">
        <v>4</v>
      </c>
      <c r="AI1813">
        <v>8</v>
      </c>
      <c r="AJ1813">
        <v>12</v>
      </c>
      <c r="AM1813">
        <v>0</v>
      </c>
      <c r="AN1813">
        <v>130.33000000000001</v>
      </c>
      <c r="AP1813">
        <v>42</v>
      </c>
    </row>
    <row r="1814" spans="1:42" x14ac:dyDescent="0.25">
      <c r="A1814" t="s">
        <v>45</v>
      </c>
      <c r="B1814">
        <v>3</v>
      </c>
      <c r="C1814" t="s">
        <v>904</v>
      </c>
      <c r="D1814" s="39">
        <v>45948</v>
      </c>
      <c r="E1814" t="s">
        <v>486</v>
      </c>
      <c r="F1814" t="s">
        <v>79</v>
      </c>
      <c r="G1814">
        <v>8</v>
      </c>
      <c r="H1814">
        <v>5</v>
      </c>
      <c r="I1814" t="s">
        <v>79</v>
      </c>
      <c r="J1814">
        <v>1000</v>
      </c>
      <c r="K1814" t="s">
        <v>79</v>
      </c>
      <c r="L1814">
        <v>9</v>
      </c>
      <c r="M1814">
        <v>310.97000000000003</v>
      </c>
      <c r="N1814">
        <v>7.2</v>
      </c>
      <c r="Q1814">
        <v>303.77000000000004</v>
      </c>
      <c r="R1814" t="s">
        <v>905</v>
      </c>
      <c r="V1814">
        <v>0</v>
      </c>
      <c r="W1814">
        <v>0</v>
      </c>
      <c r="AF1814">
        <v>0</v>
      </c>
      <c r="AG1814">
        <v>0</v>
      </c>
      <c r="AH1814">
        <v>0</v>
      </c>
      <c r="AI1814">
        <v>12</v>
      </c>
      <c r="AJ1814">
        <v>12</v>
      </c>
      <c r="AM1814">
        <v>0</v>
      </c>
      <c r="AN1814">
        <v>308.77000000000004</v>
      </c>
      <c r="AP1814">
        <v>42</v>
      </c>
    </row>
    <row r="1815" spans="1:42" x14ac:dyDescent="0.25">
      <c r="A1815" t="s">
        <v>46</v>
      </c>
      <c r="B1815">
        <v>3</v>
      </c>
      <c r="C1815" t="s">
        <v>904</v>
      </c>
      <c r="D1815" s="39">
        <v>45948</v>
      </c>
      <c r="E1815" t="s">
        <v>486</v>
      </c>
      <c r="F1815" t="s">
        <v>79</v>
      </c>
      <c r="G1815">
        <v>8</v>
      </c>
      <c r="H1815">
        <v>5</v>
      </c>
      <c r="I1815" t="s">
        <v>79</v>
      </c>
      <c r="J1815">
        <v>1000</v>
      </c>
      <c r="K1815" t="s">
        <v>79</v>
      </c>
      <c r="L1815">
        <v>3</v>
      </c>
      <c r="M1815">
        <v>102.47</v>
      </c>
      <c r="N1815">
        <v>2.4000000000000004</v>
      </c>
      <c r="Q1815">
        <v>100.07</v>
      </c>
      <c r="R1815" t="s">
        <v>905</v>
      </c>
      <c r="V1815">
        <v>0</v>
      </c>
      <c r="W1815">
        <v>0</v>
      </c>
      <c r="AC1815">
        <v>240</v>
      </c>
      <c r="AF1815">
        <v>240</v>
      </c>
      <c r="AG1815">
        <v>4</v>
      </c>
      <c r="AH1815">
        <v>4</v>
      </c>
      <c r="AI1815">
        <v>8</v>
      </c>
      <c r="AJ1815">
        <v>12</v>
      </c>
      <c r="AM1815">
        <v>0</v>
      </c>
      <c r="AN1815">
        <v>105.07</v>
      </c>
      <c r="AP1815">
        <v>42</v>
      </c>
    </row>
    <row r="1816" spans="1:42" x14ac:dyDescent="0.25">
      <c r="A1816" t="s">
        <v>46</v>
      </c>
      <c r="B1816">
        <v>3</v>
      </c>
      <c r="C1816" t="s">
        <v>929</v>
      </c>
      <c r="D1816" s="39">
        <v>45948</v>
      </c>
      <c r="E1816" t="s">
        <v>302</v>
      </c>
      <c r="F1816" t="s">
        <v>79</v>
      </c>
      <c r="G1816">
        <v>8</v>
      </c>
      <c r="H1816">
        <v>9</v>
      </c>
      <c r="I1816" t="s">
        <v>79</v>
      </c>
      <c r="J1816">
        <v>250</v>
      </c>
      <c r="K1816" t="s">
        <v>79</v>
      </c>
      <c r="L1816">
        <v>6</v>
      </c>
      <c r="M1816">
        <v>169.52</v>
      </c>
      <c r="N1816">
        <v>4.8000000000000007</v>
      </c>
      <c r="Q1816">
        <v>164.72</v>
      </c>
      <c r="R1816" t="s">
        <v>938</v>
      </c>
      <c r="V1816">
        <v>0</v>
      </c>
      <c r="W1816">
        <v>0</v>
      </c>
      <c r="AF1816">
        <v>0</v>
      </c>
      <c r="AG1816">
        <v>0</v>
      </c>
      <c r="AH1816">
        <v>0</v>
      </c>
      <c r="AI1816">
        <v>12</v>
      </c>
      <c r="AJ1816">
        <v>12</v>
      </c>
      <c r="AM1816">
        <v>0</v>
      </c>
      <c r="AN1816">
        <v>169.72</v>
      </c>
      <c r="AP1816">
        <v>42</v>
      </c>
    </row>
    <row r="1817" spans="1:42" x14ac:dyDescent="0.25">
      <c r="A1817" t="s">
        <v>45</v>
      </c>
      <c r="B1817">
        <v>4</v>
      </c>
      <c r="C1817" t="s">
        <v>916</v>
      </c>
      <c r="D1817" s="39">
        <v>45948</v>
      </c>
      <c r="E1817" t="s">
        <v>200</v>
      </c>
      <c r="F1817" t="s">
        <v>79</v>
      </c>
      <c r="G1817" t="s">
        <v>524</v>
      </c>
      <c r="H1817">
        <v>14</v>
      </c>
      <c r="I1817" t="s">
        <v>79</v>
      </c>
      <c r="J1817">
        <v>200</v>
      </c>
      <c r="K1817" t="s">
        <v>79</v>
      </c>
      <c r="L1817">
        <v>1</v>
      </c>
      <c r="M1817">
        <v>24.3</v>
      </c>
      <c r="N1817">
        <v>2</v>
      </c>
      <c r="Q1817">
        <v>22.3</v>
      </c>
      <c r="R1817" t="s">
        <v>917</v>
      </c>
      <c r="S1817">
        <v>20</v>
      </c>
      <c r="V1817">
        <v>20</v>
      </c>
      <c r="W1817">
        <v>0.33333333333333331</v>
      </c>
      <c r="Z1817">
        <v>360</v>
      </c>
      <c r="AF1817">
        <v>360</v>
      </c>
      <c r="AG1817">
        <v>6</v>
      </c>
      <c r="AH1817">
        <v>6.333333333333333</v>
      </c>
      <c r="AI1817">
        <v>5.666666666666667</v>
      </c>
      <c r="AJ1817">
        <v>12</v>
      </c>
      <c r="AM1817">
        <v>0</v>
      </c>
      <c r="AN1817">
        <v>29.3</v>
      </c>
      <c r="AP1817">
        <v>42</v>
      </c>
    </row>
    <row r="1818" spans="1:42" x14ac:dyDescent="0.25">
      <c r="A1818" t="s">
        <v>45</v>
      </c>
      <c r="B1818">
        <v>4</v>
      </c>
      <c r="C1818" t="s">
        <v>930</v>
      </c>
      <c r="D1818" s="39">
        <v>45948</v>
      </c>
      <c r="E1818" t="s">
        <v>486</v>
      </c>
      <c r="F1818" t="s">
        <v>79</v>
      </c>
      <c r="G1818">
        <v>18</v>
      </c>
      <c r="H1818">
        <v>5</v>
      </c>
      <c r="I1818" t="s">
        <v>79</v>
      </c>
      <c r="J1818">
        <v>500</v>
      </c>
      <c r="K1818" t="s">
        <v>79</v>
      </c>
      <c r="L1818">
        <v>4</v>
      </c>
      <c r="M1818">
        <v>224.85000000000002</v>
      </c>
      <c r="N1818">
        <v>7.2</v>
      </c>
      <c r="Q1818">
        <v>217.65000000000003</v>
      </c>
      <c r="R1818" t="s">
        <v>1126</v>
      </c>
      <c r="V1818">
        <v>0</v>
      </c>
      <c r="W1818">
        <v>0</v>
      </c>
      <c r="AF1818">
        <v>0</v>
      </c>
      <c r="AG1818">
        <v>0</v>
      </c>
      <c r="AH1818">
        <v>0</v>
      </c>
      <c r="AI1818">
        <v>12</v>
      </c>
      <c r="AJ1818">
        <v>12</v>
      </c>
      <c r="AM1818">
        <v>0</v>
      </c>
      <c r="AN1818">
        <v>224.65000000000003</v>
      </c>
      <c r="AP1818">
        <v>42</v>
      </c>
    </row>
    <row r="1819" spans="1:42" x14ac:dyDescent="0.25">
      <c r="A1819" t="s">
        <v>45</v>
      </c>
      <c r="B1819">
        <v>5</v>
      </c>
      <c r="C1819" t="s">
        <v>931</v>
      </c>
      <c r="D1819" s="39">
        <v>45948</v>
      </c>
      <c r="E1819" t="s">
        <v>302</v>
      </c>
      <c r="F1819" t="s">
        <v>79</v>
      </c>
      <c r="G1819">
        <v>7</v>
      </c>
      <c r="H1819">
        <v>9</v>
      </c>
      <c r="I1819" t="s">
        <v>79</v>
      </c>
      <c r="J1819">
        <v>250</v>
      </c>
      <c r="K1819" t="s">
        <v>79</v>
      </c>
      <c r="L1819">
        <v>8</v>
      </c>
      <c r="M1819">
        <v>315.02999999999997</v>
      </c>
      <c r="N1819">
        <v>11.2</v>
      </c>
      <c r="Q1819">
        <v>303.83</v>
      </c>
      <c r="R1819" t="s">
        <v>932</v>
      </c>
      <c r="S1819">
        <v>20</v>
      </c>
      <c r="V1819">
        <v>20</v>
      </c>
      <c r="W1819">
        <v>0.33333333333333331</v>
      </c>
      <c r="AF1819">
        <v>0</v>
      </c>
      <c r="AG1819">
        <v>0</v>
      </c>
      <c r="AH1819">
        <v>0.33333333333333331</v>
      </c>
      <c r="AI1819">
        <v>11.666666666666666</v>
      </c>
      <c r="AJ1819">
        <v>12</v>
      </c>
      <c r="AM1819">
        <v>0</v>
      </c>
      <c r="AN1819">
        <v>313.83</v>
      </c>
      <c r="AP1819">
        <v>42</v>
      </c>
    </row>
    <row r="1820" spans="1:42" x14ac:dyDescent="0.25">
      <c r="A1820" t="s">
        <v>45</v>
      </c>
      <c r="B1820">
        <v>5</v>
      </c>
      <c r="C1820" t="s">
        <v>933</v>
      </c>
      <c r="D1820" s="39">
        <v>45948</v>
      </c>
      <c r="E1820" t="s">
        <v>302</v>
      </c>
      <c r="F1820" t="s">
        <v>79</v>
      </c>
      <c r="G1820">
        <v>11</v>
      </c>
      <c r="H1820">
        <v>9</v>
      </c>
      <c r="I1820" t="s">
        <v>79</v>
      </c>
      <c r="J1820">
        <v>150</v>
      </c>
      <c r="K1820" t="s">
        <v>79</v>
      </c>
      <c r="L1820">
        <v>4</v>
      </c>
      <c r="M1820">
        <v>139.62</v>
      </c>
      <c r="N1820">
        <v>4.4000000000000004</v>
      </c>
      <c r="Q1820">
        <v>135.22</v>
      </c>
      <c r="R1820" t="s">
        <v>934</v>
      </c>
      <c r="S1820">
        <v>20</v>
      </c>
      <c r="V1820">
        <v>20</v>
      </c>
      <c r="W1820">
        <v>0.33333333333333331</v>
      </c>
      <c r="AF1820">
        <v>0</v>
      </c>
      <c r="AG1820">
        <v>0</v>
      </c>
      <c r="AH1820">
        <v>0.33333333333333331</v>
      </c>
      <c r="AI1820">
        <v>11.666666666666666</v>
      </c>
      <c r="AJ1820">
        <v>12</v>
      </c>
      <c r="AM1820">
        <v>0</v>
      </c>
      <c r="AN1820">
        <v>145.22</v>
      </c>
      <c r="AP1820">
        <v>42</v>
      </c>
    </row>
    <row r="1821" spans="1:42" x14ac:dyDescent="0.25">
      <c r="A1821" t="s">
        <v>46</v>
      </c>
      <c r="B1821">
        <v>5</v>
      </c>
      <c r="C1821" t="s">
        <v>935</v>
      </c>
      <c r="D1821" s="39">
        <v>45948</v>
      </c>
      <c r="E1821" t="s">
        <v>486</v>
      </c>
      <c r="F1821" t="s">
        <v>79</v>
      </c>
      <c r="G1821">
        <v>11</v>
      </c>
      <c r="H1821" t="s">
        <v>113</v>
      </c>
      <c r="I1821" t="s">
        <v>79</v>
      </c>
      <c r="J1821">
        <v>1000</v>
      </c>
      <c r="K1821" t="s">
        <v>79</v>
      </c>
      <c r="L1821">
        <v>7</v>
      </c>
      <c r="M1821">
        <v>355.4</v>
      </c>
      <c r="N1821">
        <v>7.7000000000000011</v>
      </c>
      <c r="Q1821">
        <v>347.7</v>
      </c>
      <c r="R1821" t="s">
        <v>939</v>
      </c>
      <c r="V1821">
        <v>0</v>
      </c>
      <c r="W1821">
        <v>0</v>
      </c>
      <c r="AC1821">
        <v>240</v>
      </c>
      <c r="AF1821">
        <v>240</v>
      </c>
      <c r="AG1821">
        <v>4</v>
      </c>
      <c r="AH1821">
        <v>4</v>
      </c>
      <c r="AI1821">
        <v>8</v>
      </c>
      <c r="AJ1821">
        <v>12</v>
      </c>
      <c r="AM1821">
        <v>0</v>
      </c>
      <c r="AN1821">
        <v>357.7</v>
      </c>
      <c r="AP1821">
        <v>42</v>
      </c>
    </row>
    <row r="1822" spans="1:42" x14ac:dyDescent="0.25">
      <c r="D1822" s="39">
        <v>45949</v>
      </c>
      <c r="E1822" t="s">
        <v>936</v>
      </c>
      <c r="K1822" t="s">
        <v>79</v>
      </c>
      <c r="V1822">
        <v>0</v>
      </c>
      <c r="W1822">
        <v>0</v>
      </c>
      <c r="AF1822">
        <v>0</v>
      </c>
      <c r="AG1822">
        <v>0</v>
      </c>
      <c r="AH1822">
        <v>0</v>
      </c>
      <c r="AI1822">
        <v>12</v>
      </c>
      <c r="AJ1822">
        <v>12</v>
      </c>
      <c r="AL1822">
        <v>1184</v>
      </c>
      <c r="AM1822">
        <v>0</v>
      </c>
      <c r="AO1822">
        <v>398</v>
      </c>
      <c r="AP1822">
        <v>42</v>
      </c>
    </row>
    <row r="1823" spans="1:42" x14ac:dyDescent="0.25">
      <c r="D1823" s="39">
        <v>45950</v>
      </c>
      <c r="E1823" t="s">
        <v>936</v>
      </c>
      <c r="K1823" t="s">
        <v>79</v>
      </c>
      <c r="V1823">
        <v>0</v>
      </c>
      <c r="W1823">
        <v>0</v>
      </c>
      <c r="AF1823">
        <v>0</v>
      </c>
      <c r="AG1823">
        <v>0</v>
      </c>
      <c r="AH1823">
        <v>0</v>
      </c>
      <c r="AI1823">
        <v>12</v>
      </c>
      <c r="AJ1823">
        <v>12</v>
      </c>
      <c r="AM1823">
        <v>0</v>
      </c>
      <c r="AP1823">
        <v>43</v>
      </c>
    </row>
    <row r="1824" spans="1:42" x14ac:dyDescent="0.25">
      <c r="A1824" t="s">
        <v>45</v>
      </c>
      <c r="B1824">
        <v>1</v>
      </c>
      <c r="C1824" t="s">
        <v>902</v>
      </c>
      <c r="D1824" s="39">
        <v>45951</v>
      </c>
      <c r="E1824" t="s">
        <v>486</v>
      </c>
      <c r="F1824" t="s">
        <v>79</v>
      </c>
      <c r="G1824">
        <v>3</v>
      </c>
      <c r="H1824" t="s">
        <v>92</v>
      </c>
      <c r="I1824" t="s">
        <v>79</v>
      </c>
      <c r="J1824">
        <v>500</v>
      </c>
      <c r="K1824" t="s">
        <v>79</v>
      </c>
      <c r="L1824">
        <v>3</v>
      </c>
      <c r="M1824">
        <v>36.61</v>
      </c>
      <c r="N1824">
        <v>0.89999999999999991</v>
      </c>
      <c r="O1824">
        <v>19.5</v>
      </c>
      <c r="Q1824">
        <v>35.71</v>
      </c>
      <c r="R1824" t="s">
        <v>1344</v>
      </c>
      <c r="S1824">
        <v>20</v>
      </c>
      <c r="U1824">
        <v>180</v>
      </c>
      <c r="V1824">
        <v>200</v>
      </c>
      <c r="W1824">
        <v>3.3333333333333335</v>
      </c>
      <c r="AF1824">
        <v>0</v>
      </c>
      <c r="AG1824">
        <v>0</v>
      </c>
      <c r="AH1824">
        <v>3.3333333333333335</v>
      </c>
      <c r="AI1824">
        <v>8.6666666666666661</v>
      </c>
      <c r="AJ1824">
        <v>12</v>
      </c>
      <c r="AM1824">
        <v>0</v>
      </c>
      <c r="AN1824">
        <v>45.71</v>
      </c>
      <c r="AP1824">
        <v>43</v>
      </c>
    </row>
    <row r="1825" spans="1:42" x14ac:dyDescent="0.25">
      <c r="A1825" t="s">
        <v>45</v>
      </c>
      <c r="B1825">
        <v>1</v>
      </c>
      <c r="C1825" t="s">
        <v>940</v>
      </c>
      <c r="D1825" s="39">
        <v>45951</v>
      </c>
      <c r="E1825" t="s">
        <v>486</v>
      </c>
      <c r="F1825" t="s">
        <v>79</v>
      </c>
      <c r="G1825">
        <v>2</v>
      </c>
      <c r="H1825" t="s">
        <v>92</v>
      </c>
      <c r="I1825" t="s">
        <v>79</v>
      </c>
      <c r="J1825">
        <v>375</v>
      </c>
      <c r="K1825" t="s">
        <v>79</v>
      </c>
      <c r="L1825">
        <v>3</v>
      </c>
      <c r="M1825">
        <v>36.06</v>
      </c>
      <c r="N1825">
        <v>0.89999999999999991</v>
      </c>
      <c r="Q1825">
        <v>35.160000000000004</v>
      </c>
      <c r="R1825" t="s">
        <v>953</v>
      </c>
      <c r="V1825">
        <v>0</v>
      </c>
      <c r="W1825">
        <v>0</v>
      </c>
      <c r="AF1825">
        <v>0</v>
      </c>
      <c r="AG1825">
        <v>0</v>
      </c>
      <c r="AH1825">
        <v>0</v>
      </c>
      <c r="AI1825">
        <v>12</v>
      </c>
      <c r="AJ1825">
        <v>12</v>
      </c>
      <c r="AM1825">
        <v>0</v>
      </c>
      <c r="AN1825">
        <v>45.16</v>
      </c>
      <c r="AP1825">
        <v>43</v>
      </c>
    </row>
    <row r="1826" spans="1:42" x14ac:dyDescent="0.25">
      <c r="A1826" t="s">
        <v>46</v>
      </c>
      <c r="B1826">
        <v>1</v>
      </c>
      <c r="C1826" t="s">
        <v>940</v>
      </c>
      <c r="D1826" s="39">
        <v>45951</v>
      </c>
      <c r="E1826" t="s">
        <v>486</v>
      </c>
      <c r="F1826" t="s">
        <v>79</v>
      </c>
      <c r="G1826">
        <v>2</v>
      </c>
      <c r="H1826" t="s">
        <v>92</v>
      </c>
      <c r="I1826" t="s">
        <v>79</v>
      </c>
      <c r="J1826">
        <v>375</v>
      </c>
      <c r="K1826" t="s">
        <v>79</v>
      </c>
      <c r="L1826">
        <v>6</v>
      </c>
      <c r="M1826">
        <v>106.12999999999998</v>
      </c>
      <c r="N1826">
        <v>1.2000000000000002</v>
      </c>
      <c r="O1826">
        <v>24.5</v>
      </c>
      <c r="Q1826">
        <v>104.92999999999998</v>
      </c>
      <c r="R1826" t="s">
        <v>953</v>
      </c>
      <c r="V1826">
        <v>0</v>
      </c>
      <c r="W1826">
        <v>0</v>
      </c>
      <c r="AF1826">
        <v>0</v>
      </c>
      <c r="AG1826">
        <v>0</v>
      </c>
      <c r="AH1826">
        <v>0</v>
      </c>
      <c r="AI1826">
        <v>12</v>
      </c>
      <c r="AJ1826">
        <v>12</v>
      </c>
      <c r="AM1826">
        <v>0</v>
      </c>
      <c r="AN1826">
        <v>114.92999999999998</v>
      </c>
      <c r="AP1826">
        <v>43</v>
      </c>
    </row>
    <row r="1827" spans="1:42" x14ac:dyDescent="0.25">
      <c r="A1827" t="s">
        <v>45</v>
      </c>
      <c r="B1827">
        <v>2</v>
      </c>
      <c r="C1827" t="s">
        <v>903</v>
      </c>
      <c r="D1827" s="39">
        <v>45951</v>
      </c>
      <c r="E1827" t="s">
        <v>486</v>
      </c>
      <c r="F1827" t="s">
        <v>79</v>
      </c>
      <c r="G1827">
        <v>4</v>
      </c>
      <c r="H1827" t="s">
        <v>113</v>
      </c>
      <c r="I1827" t="s">
        <v>79</v>
      </c>
      <c r="J1827">
        <v>500</v>
      </c>
      <c r="K1827" t="s">
        <v>79</v>
      </c>
      <c r="L1827">
        <v>7</v>
      </c>
      <c r="M1827">
        <v>89.47</v>
      </c>
      <c r="N1827">
        <v>2.8000000000000003</v>
      </c>
      <c r="Q1827">
        <v>86.67</v>
      </c>
      <c r="R1827" t="s">
        <v>937</v>
      </c>
      <c r="U1827">
        <v>200</v>
      </c>
      <c r="V1827">
        <v>200</v>
      </c>
      <c r="W1827">
        <v>3.3333333333333335</v>
      </c>
      <c r="Z1827">
        <v>60</v>
      </c>
      <c r="AF1827">
        <v>60</v>
      </c>
      <c r="AG1827">
        <v>1</v>
      </c>
      <c r="AH1827">
        <v>4.3333333333333339</v>
      </c>
      <c r="AI1827">
        <v>7.6666666666666652</v>
      </c>
      <c r="AJ1827">
        <v>12</v>
      </c>
      <c r="AM1827">
        <v>0</v>
      </c>
      <c r="AN1827">
        <v>96.67</v>
      </c>
      <c r="AP1827">
        <v>43</v>
      </c>
    </row>
    <row r="1828" spans="1:42" x14ac:dyDescent="0.25">
      <c r="A1828" t="s">
        <v>45</v>
      </c>
      <c r="B1828">
        <v>2</v>
      </c>
      <c r="C1828" t="s">
        <v>941</v>
      </c>
      <c r="D1828" s="39">
        <v>45951</v>
      </c>
      <c r="E1828" t="s">
        <v>477</v>
      </c>
      <c r="F1828" t="s">
        <v>79</v>
      </c>
      <c r="G1828" t="s">
        <v>942</v>
      </c>
      <c r="H1828">
        <v>4</v>
      </c>
      <c r="I1828" t="s">
        <v>79</v>
      </c>
      <c r="J1828">
        <v>200</v>
      </c>
      <c r="K1828" t="s">
        <v>79</v>
      </c>
      <c r="L1828">
        <v>1</v>
      </c>
      <c r="M1828">
        <v>13.27</v>
      </c>
      <c r="N1828">
        <v>0.4</v>
      </c>
      <c r="Q1828">
        <v>12.87</v>
      </c>
      <c r="R1828" t="s">
        <v>954</v>
      </c>
      <c r="V1828">
        <v>0</v>
      </c>
      <c r="W1828">
        <v>0</v>
      </c>
      <c r="AF1828">
        <v>0</v>
      </c>
      <c r="AG1828">
        <v>0</v>
      </c>
      <c r="AH1828">
        <v>0</v>
      </c>
      <c r="AI1828">
        <v>12</v>
      </c>
      <c r="AJ1828">
        <v>12</v>
      </c>
      <c r="AM1828">
        <v>0</v>
      </c>
      <c r="AN1828">
        <v>22.869999999999997</v>
      </c>
      <c r="AP1828">
        <v>43</v>
      </c>
    </row>
    <row r="1829" spans="1:42" x14ac:dyDescent="0.25">
      <c r="A1829" t="s">
        <v>46</v>
      </c>
      <c r="B1829">
        <v>2</v>
      </c>
      <c r="C1829" t="s">
        <v>941</v>
      </c>
      <c r="D1829" s="39">
        <v>45951</v>
      </c>
      <c r="E1829" t="s">
        <v>477</v>
      </c>
      <c r="F1829" t="s">
        <v>79</v>
      </c>
      <c r="G1829" t="s">
        <v>942</v>
      </c>
      <c r="H1829">
        <v>4</v>
      </c>
      <c r="I1829" t="s">
        <v>79</v>
      </c>
      <c r="J1829">
        <v>200</v>
      </c>
      <c r="K1829" t="s">
        <v>79</v>
      </c>
      <c r="L1829">
        <v>12</v>
      </c>
      <c r="M1829">
        <v>145.56</v>
      </c>
      <c r="N1829">
        <v>4.8000000000000007</v>
      </c>
      <c r="Q1829">
        <v>140.76</v>
      </c>
      <c r="R1829" t="s">
        <v>954</v>
      </c>
      <c r="V1829">
        <v>0</v>
      </c>
      <c r="W1829">
        <v>0</v>
      </c>
      <c r="AF1829">
        <v>0</v>
      </c>
      <c r="AG1829">
        <v>0</v>
      </c>
      <c r="AH1829">
        <v>0</v>
      </c>
      <c r="AI1829">
        <v>12</v>
      </c>
      <c r="AJ1829">
        <v>12</v>
      </c>
      <c r="AM1829">
        <v>0</v>
      </c>
      <c r="AN1829">
        <v>150.76</v>
      </c>
      <c r="AP1829">
        <v>43</v>
      </c>
    </row>
    <row r="1830" spans="1:42" x14ac:dyDescent="0.25">
      <c r="A1830" t="s">
        <v>45</v>
      </c>
      <c r="B1830">
        <v>3</v>
      </c>
      <c r="C1830" t="s">
        <v>929</v>
      </c>
      <c r="D1830" s="39">
        <v>45951</v>
      </c>
      <c r="E1830" t="s">
        <v>302</v>
      </c>
      <c r="F1830" t="s">
        <v>79</v>
      </c>
      <c r="G1830">
        <v>8</v>
      </c>
      <c r="H1830">
        <v>9</v>
      </c>
      <c r="I1830" t="s">
        <v>79</v>
      </c>
      <c r="J1830">
        <v>250</v>
      </c>
      <c r="K1830" t="s">
        <v>79</v>
      </c>
      <c r="L1830">
        <v>5</v>
      </c>
      <c r="M1830">
        <v>121.55</v>
      </c>
      <c r="N1830">
        <v>5.5</v>
      </c>
      <c r="Q1830">
        <v>116.05</v>
      </c>
      <c r="R1830" t="s">
        <v>938</v>
      </c>
      <c r="S1830">
        <v>25</v>
      </c>
      <c r="U1830">
        <v>195</v>
      </c>
      <c r="V1830">
        <v>220</v>
      </c>
      <c r="W1830">
        <v>3.6666666666666665</v>
      </c>
      <c r="Z1830">
        <v>60</v>
      </c>
      <c r="AF1830">
        <v>60</v>
      </c>
      <c r="AG1830">
        <v>1</v>
      </c>
      <c r="AH1830">
        <v>4.6666666666666661</v>
      </c>
      <c r="AI1830">
        <v>7.3333333333333348</v>
      </c>
      <c r="AJ1830">
        <v>12</v>
      </c>
      <c r="AM1830">
        <v>0</v>
      </c>
      <c r="AN1830">
        <v>126.05</v>
      </c>
      <c r="AP1830">
        <v>43</v>
      </c>
    </row>
    <row r="1831" spans="1:42" x14ac:dyDescent="0.25">
      <c r="A1831" t="s">
        <v>45</v>
      </c>
      <c r="B1831">
        <v>3</v>
      </c>
      <c r="C1831" t="s">
        <v>943</v>
      </c>
      <c r="D1831" s="39">
        <v>45951</v>
      </c>
      <c r="E1831" t="s">
        <v>255</v>
      </c>
      <c r="F1831" t="s">
        <v>79</v>
      </c>
      <c r="G1831" t="s">
        <v>944</v>
      </c>
      <c r="H1831">
        <v>10</v>
      </c>
      <c r="I1831" t="s">
        <v>79</v>
      </c>
      <c r="J1831">
        <v>50</v>
      </c>
      <c r="K1831" t="s">
        <v>79</v>
      </c>
      <c r="L1831">
        <v>2</v>
      </c>
      <c r="M1831">
        <v>57.54</v>
      </c>
      <c r="N1831">
        <v>1.6</v>
      </c>
      <c r="Q1831">
        <v>55.94</v>
      </c>
      <c r="R1831" t="s">
        <v>955</v>
      </c>
      <c r="V1831">
        <v>0</v>
      </c>
      <c r="W1831">
        <v>0</v>
      </c>
      <c r="AF1831">
        <v>0</v>
      </c>
      <c r="AG1831">
        <v>0</v>
      </c>
      <c r="AH1831">
        <v>0</v>
      </c>
      <c r="AI1831">
        <v>12</v>
      </c>
      <c r="AJ1831">
        <v>12</v>
      </c>
      <c r="AM1831">
        <v>0</v>
      </c>
      <c r="AN1831">
        <v>65.94</v>
      </c>
      <c r="AP1831">
        <v>43</v>
      </c>
    </row>
    <row r="1832" spans="1:42" x14ac:dyDescent="0.25">
      <c r="A1832" t="s">
        <v>45</v>
      </c>
      <c r="B1832">
        <v>3</v>
      </c>
      <c r="C1832" t="s">
        <v>945</v>
      </c>
      <c r="D1832" s="39">
        <v>45951</v>
      </c>
      <c r="E1832" t="s">
        <v>477</v>
      </c>
      <c r="F1832" t="s">
        <v>79</v>
      </c>
      <c r="G1832" t="s">
        <v>102</v>
      </c>
      <c r="H1832">
        <v>4</v>
      </c>
      <c r="I1832" t="s">
        <v>79</v>
      </c>
      <c r="J1832">
        <v>100</v>
      </c>
      <c r="K1832" t="s">
        <v>79</v>
      </c>
      <c r="L1832">
        <v>2</v>
      </c>
      <c r="M1832">
        <v>57.769999999999996</v>
      </c>
      <c r="N1832">
        <v>1.4</v>
      </c>
      <c r="Q1832">
        <v>56.37</v>
      </c>
      <c r="R1832" t="s">
        <v>956</v>
      </c>
      <c r="V1832">
        <v>0</v>
      </c>
      <c r="W1832">
        <v>0</v>
      </c>
      <c r="AF1832">
        <v>0</v>
      </c>
      <c r="AG1832">
        <v>0</v>
      </c>
      <c r="AH1832">
        <v>0</v>
      </c>
      <c r="AI1832">
        <v>12</v>
      </c>
      <c r="AJ1832">
        <v>12</v>
      </c>
      <c r="AM1832">
        <v>0</v>
      </c>
      <c r="AN1832">
        <v>66.37</v>
      </c>
      <c r="AP1832">
        <v>43</v>
      </c>
    </row>
    <row r="1833" spans="1:42" x14ac:dyDescent="0.25">
      <c r="A1833" t="s">
        <v>46</v>
      </c>
      <c r="B1833">
        <v>3</v>
      </c>
      <c r="C1833" t="s">
        <v>943</v>
      </c>
      <c r="D1833" s="39">
        <v>45951</v>
      </c>
      <c r="E1833" t="s">
        <v>255</v>
      </c>
      <c r="F1833" t="s">
        <v>79</v>
      </c>
      <c r="G1833" t="s">
        <v>944</v>
      </c>
      <c r="H1833">
        <v>10</v>
      </c>
      <c r="I1833" t="s">
        <v>79</v>
      </c>
      <c r="J1833">
        <v>50</v>
      </c>
      <c r="K1833" t="s">
        <v>79</v>
      </c>
      <c r="L1833">
        <v>2</v>
      </c>
      <c r="M1833">
        <v>50.65</v>
      </c>
      <c r="N1833">
        <v>1.2</v>
      </c>
      <c r="Q1833">
        <v>49.449999999999996</v>
      </c>
      <c r="R1833" t="s">
        <v>955</v>
      </c>
      <c r="V1833">
        <v>0</v>
      </c>
      <c r="W1833">
        <v>0</v>
      </c>
      <c r="AF1833">
        <v>0</v>
      </c>
      <c r="AG1833">
        <v>0</v>
      </c>
      <c r="AH1833">
        <v>0</v>
      </c>
      <c r="AI1833">
        <v>12</v>
      </c>
      <c r="AJ1833">
        <v>12</v>
      </c>
      <c r="AM1833">
        <v>0</v>
      </c>
      <c r="AN1833">
        <v>59.45</v>
      </c>
      <c r="AP1833">
        <v>43</v>
      </c>
    </row>
    <row r="1834" spans="1:42" x14ac:dyDescent="0.25">
      <c r="A1834" t="s">
        <v>46</v>
      </c>
      <c r="B1834">
        <v>3</v>
      </c>
      <c r="C1834" t="s">
        <v>946</v>
      </c>
      <c r="D1834" s="39">
        <v>45951</v>
      </c>
      <c r="E1834" t="s">
        <v>947</v>
      </c>
      <c r="F1834" t="s">
        <v>79</v>
      </c>
      <c r="G1834">
        <v>10</v>
      </c>
      <c r="H1834">
        <v>5</v>
      </c>
      <c r="I1834" t="s">
        <v>79</v>
      </c>
      <c r="J1834">
        <v>25</v>
      </c>
      <c r="K1834" t="s">
        <v>79</v>
      </c>
      <c r="L1834">
        <v>9</v>
      </c>
      <c r="M1834">
        <v>108.20999999999998</v>
      </c>
      <c r="N1834">
        <v>2.8</v>
      </c>
      <c r="Q1834">
        <v>105.40999999999998</v>
      </c>
      <c r="R1834" t="s">
        <v>957</v>
      </c>
      <c r="V1834">
        <v>0</v>
      </c>
      <c r="W1834">
        <v>0</v>
      </c>
      <c r="AF1834">
        <v>0</v>
      </c>
      <c r="AG1834">
        <v>0</v>
      </c>
      <c r="AH1834">
        <v>0</v>
      </c>
      <c r="AI1834">
        <v>12</v>
      </c>
      <c r="AJ1834">
        <v>12</v>
      </c>
      <c r="AM1834">
        <v>0</v>
      </c>
      <c r="AN1834">
        <v>115.40999999999998</v>
      </c>
      <c r="AP1834">
        <v>43</v>
      </c>
    </row>
    <row r="1835" spans="1:42" x14ac:dyDescent="0.25">
      <c r="A1835" t="s">
        <v>46</v>
      </c>
      <c r="B1835">
        <v>3</v>
      </c>
      <c r="C1835" t="s">
        <v>948</v>
      </c>
      <c r="D1835" s="39">
        <v>45951</v>
      </c>
      <c r="E1835" t="s">
        <v>259</v>
      </c>
      <c r="F1835" t="s">
        <v>79</v>
      </c>
      <c r="G1835" t="s">
        <v>102</v>
      </c>
      <c r="H1835">
        <v>5</v>
      </c>
      <c r="I1835" t="s">
        <v>79</v>
      </c>
      <c r="J1835">
        <v>4000</v>
      </c>
      <c r="K1835" t="s">
        <v>79</v>
      </c>
      <c r="L1835">
        <v>4</v>
      </c>
      <c r="M1835">
        <v>128.01999999999998</v>
      </c>
      <c r="N1835">
        <v>2.8</v>
      </c>
      <c r="Q1835">
        <v>125.21999999999998</v>
      </c>
      <c r="R1835" t="s">
        <v>1127</v>
      </c>
      <c r="V1835">
        <v>0</v>
      </c>
      <c r="W1835">
        <v>0</v>
      </c>
      <c r="AF1835">
        <v>0</v>
      </c>
      <c r="AG1835">
        <v>0</v>
      </c>
      <c r="AH1835">
        <v>0</v>
      </c>
      <c r="AI1835">
        <v>12</v>
      </c>
      <c r="AJ1835">
        <v>12</v>
      </c>
      <c r="AM1835">
        <v>0</v>
      </c>
      <c r="AN1835">
        <v>135.21999999999997</v>
      </c>
      <c r="AP1835">
        <v>43</v>
      </c>
    </row>
    <row r="1836" spans="1:42" x14ac:dyDescent="0.25">
      <c r="A1836" t="s">
        <v>45</v>
      </c>
      <c r="B1836">
        <v>5</v>
      </c>
      <c r="C1836" t="s">
        <v>935</v>
      </c>
      <c r="D1836" s="39">
        <v>45951</v>
      </c>
      <c r="E1836" t="s">
        <v>486</v>
      </c>
      <c r="F1836" t="s">
        <v>79</v>
      </c>
      <c r="G1836">
        <v>11</v>
      </c>
      <c r="H1836" t="s">
        <v>113</v>
      </c>
      <c r="I1836" t="s">
        <v>79</v>
      </c>
      <c r="J1836">
        <v>1000</v>
      </c>
      <c r="K1836" t="s">
        <v>79</v>
      </c>
      <c r="L1836">
        <v>8</v>
      </c>
      <c r="M1836">
        <v>345.13</v>
      </c>
      <c r="N1836">
        <v>9.64</v>
      </c>
      <c r="Q1836">
        <v>335.49</v>
      </c>
      <c r="R1836" t="s">
        <v>939</v>
      </c>
      <c r="S1836">
        <v>25</v>
      </c>
      <c r="U1836">
        <v>160</v>
      </c>
      <c r="V1836">
        <v>185</v>
      </c>
      <c r="W1836">
        <v>3.0833333333333335</v>
      </c>
      <c r="Z1836">
        <v>60</v>
      </c>
      <c r="AF1836">
        <v>60</v>
      </c>
      <c r="AG1836">
        <v>1</v>
      </c>
      <c r="AH1836">
        <v>4.0833333333333339</v>
      </c>
      <c r="AI1836">
        <v>7.9166666666666652</v>
      </c>
      <c r="AJ1836">
        <v>12</v>
      </c>
      <c r="AM1836">
        <v>0</v>
      </c>
      <c r="AN1836">
        <v>345.49</v>
      </c>
      <c r="AP1836">
        <v>43</v>
      </c>
    </row>
    <row r="1837" spans="1:42" x14ac:dyDescent="0.25">
      <c r="A1837" t="s">
        <v>46</v>
      </c>
      <c r="B1837">
        <v>5</v>
      </c>
      <c r="C1837" t="s">
        <v>935</v>
      </c>
      <c r="D1837" s="39">
        <v>45951</v>
      </c>
      <c r="E1837" t="s">
        <v>486</v>
      </c>
      <c r="F1837" t="s">
        <v>79</v>
      </c>
      <c r="G1837">
        <v>11</v>
      </c>
      <c r="H1837" t="s">
        <v>113</v>
      </c>
      <c r="I1837" t="s">
        <v>79</v>
      </c>
      <c r="J1837">
        <v>1000</v>
      </c>
      <c r="K1837" t="s">
        <v>79</v>
      </c>
      <c r="L1837">
        <v>9</v>
      </c>
      <c r="M1837">
        <v>363.51</v>
      </c>
      <c r="N1837">
        <v>8.8000000000000007</v>
      </c>
      <c r="Q1837">
        <v>354.71</v>
      </c>
      <c r="R1837" t="s">
        <v>939</v>
      </c>
      <c r="V1837">
        <v>0</v>
      </c>
      <c r="W1837">
        <v>0</v>
      </c>
      <c r="AF1837">
        <v>0</v>
      </c>
      <c r="AG1837">
        <v>0</v>
      </c>
      <c r="AH1837">
        <v>0</v>
      </c>
      <c r="AI1837">
        <v>12</v>
      </c>
      <c r="AJ1837">
        <v>12</v>
      </c>
      <c r="AM1837">
        <v>0</v>
      </c>
      <c r="AN1837">
        <v>364.71</v>
      </c>
      <c r="AP1837">
        <v>43</v>
      </c>
    </row>
    <row r="1838" spans="1:42" x14ac:dyDescent="0.25">
      <c r="A1838" t="s">
        <v>46</v>
      </c>
      <c r="B1838">
        <v>5</v>
      </c>
      <c r="C1838" t="s">
        <v>949</v>
      </c>
      <c r="D1838" s="39">
        <v>45951</v>
      </c>
      <c r="E1838" t="s">
        <v>477</v>
      </c>
      <c r="F1838" t="s">
        <v>79</v>
      </c>
      <c r="G1838" t="s">
        <v>878</v>
      </c>
      <c r="H1838">
        <v>4</v>
      </c>
      <c r="I1838" t="s">
        <v>79</v>
      </c>
      <c r="J1838">
        <v>100</v>
      </c>
      <c r="K1838" t="s">
        <v>79</v>
      </c>
      <c r="L1838">
        <v>1</v>
      </c>
      <c r="M1838">
        <v>52.93</v>
      </c>
      <c r="N1838">
        <v>1.6</v>
      </c>
      <c r="Q1838">
        <v>51.33</v>
      </c>
      <c r="R1838" t="s">
        <v>958</v>
      </c>
      <c r="V1838">
        <v>0</v>
      </c>
      <c r="W1838">
        <v>0</v>
      </c>
      <c r="AF1838">
        <v>0</v>
      </c>
      <c r="AG1838">
        <v>0</v>
      </c>
      <c r="AH1838">
        <v>0</v>
      </c>
      <c r="AI1838">
        <v>12</v>
      </c>
      <c r="AJ1838">
        <v>12</v>
      </c>
      <c r="AM1838">
        <v>0</v>
      </c>
      <c r="AN1838">
        <v>61.33</v>
      </c>
      <c r="AP1838">
        <v>43</v>
      </c>
    </row>
    <row r="1839" spans="1:42" x14ac:dyDescent="0.25">
      <c r="A1839" t="s">
        <v>46</v>
      </c>
      <c r="B1839">
        <v>5</v>
      </c>
      <c r="C1839" t="s">
        <v>950</v>
      </c>
      <c r="D1839" s="39">
        <v>45951</v>
      </c>
      <c r="E1839" t="s">
        <v>486</v>
      </c>
      <c r="F1839" t="s">
        <v>79</v>
      </c>
      <c r="G1839">
        <v>16</v>
      </c>
      <c r="H1839">
        <v>5</v>
      </c>
      <c r="I1839" t="s">
        <v>79</v>
      </c>
      <c r="J1839">
        <v>1000</v>
      </c>
      <c r="K1839" t="s">
        <v>79</v>
      </c>
      <c r="L1839">
        <v>2</v>
      </c>
      <c r="M1839">
        <v>92.65</v>
      </c>
      <c r="N1839">
        <v>3.2</v>
      </c>
      <c r="Q1839">
        <v>89.45</v>
      </c>
      <c r="R1839" t="s">
        <v>1515</v>
      </c>
      <c r="V1839">
        <v>0</v>
      </c>
      <c r="W1839">
        <v>0</v>
      </c>
      <c r="AF1839">
        <v>0</v>
      </c>
      <c r="AG1839">
        <v>0</v>
      </c>
      <c r="AH1839">
        <v>0</v>
      </c>
      <c r="AI1839">
        <v>12</v>
      </c>
      <c r="AJ1839">
        <v>12</v>
      </c>
      <c r="AM1839">
        <v>0</v>
      </c>
      <c r="AN1839">
        <v>99.45</v>
      </c>
      <c r="AP1839">
        <v>43</v>
      </c>
    </row>
    <row r="1840" spans="1:42" x14ac:dyDescent="0.25">
      <c r="A1840" t="s">
        <v>46</v>
      </c>
      <c r="B1840">
        <v>5</v>
      </c>
      <c r="C1840" t="s">
        <v>951</v>
      </c>
      <c r="D1840" s="39">
        <v>45951</v>
      </c>
      <c r="E1840" t="s">
        <v>952</v>
      </c>
      <c r="F1840" t="s">
        <v>79</v>
      </c>
      <c r="G1840" t="s">
        <v>688</v>
      </c>
      <c r="H1840">
        <v>7</v>
      </c>
      <c r="I1840" t="s">
        <v>79</v>
      </c>
      <c r="J1840">
        <v>75</v>
      </c>
      <c r="K1840" t="s">
        <v>79</v>
      </c>
      <c r="L1840">
        <v>1</v>
      </c>
      <c r="M1840">
        <v>52.49</v>
      </c>
      <c r="N1840">
        <v>1.1000000000000001</v>
      </c>
      <c r="Q1840">
        <v>51.39</v>
      </c>
      <c r="R1840" t="s">
        <v>959</v>
      </c>
      <c r="V1840">
        <v>0</v>
      </c>
      <c r="W1840">
        <v>0</v>
      </c>
      <c r="AF1840">
        <v>0</v>
      </c>
      <c r="AG1840">
        <v>0</v>
      </c>
      <c r="AH1840">
        <v>0</v>
      </c>
      <c r="AI1840">
        <v>12</v>
      </c>
      <c r="AJ1840">
        <v>12</v>
      </c>
      <c r="AM1840">
        <v>0</v>
      </c>
      <c r="AN1840">
        <v>61.39</v>
      </c>
      <c r="AP1840">
        <v>43</v>
      </c>
    </row>
    <row r="1841" spans="1:42" x14ac:dyDescent="0.25">
      <c r="A1841" t="s">
        <v>45</v>
      </c>
      <c r="B1841">
        <v>1</v>
      </c>
      <c r="C1841" t="s">
        <v>940</v>
      </c>
      <c r="D1841" s="39">
        <v>45952</v>
      </c>
      <c r="E1841" t="s">
        <v>486</v>
      </c>
      <c r="F1841" t="s">
        <v>79</v>
      </c>
      <c r="G1841">
        <v>2</v>
      </c>
      <c r="H1841" t="s">
        <v>92</v>
      </c>
      <c r="I1841" t="s">
        <v>79</v>
      </c>
      <c r="J1841">
        <v>375</v>
      </c>
      <c r="K1841" t="s">
        <v>79</v>
      </c>
      <c r="L1841">
        <v>7</v>
      </c>
      <c r="M1841">
        <v>108.45</v>
      </c>
      <c r="N1841">
        <v>1.4000000000000001</v>
      </c>
      <c r="O1841">
        <v>33</v>
      </c>
      <c r="Q1841">
        <v>107.05</v>
      </c>
      <c r="R1841" t="s">
        <v>953</v>
      </c>
      <c r="V1841">
        <v>0</v>
      </c>
      <c r="W1841">
        <v>0</v>
      </c>
      <c r="Z1841">
        <v>45</v>
      </c>
      <c r="AF1841">
        <v>45</v>
      </c>
      <c r="AG1841">
        <v>0.75</v>
      </c>
      <c r="AH1841">
        <v>0.75</v>
      </c>
      <c r="AI1841">
        <v>11.25</v>
      </c>
      <c r="AJ1841">
        <v>12</v>
      </c>
      <c r="AM1841">
        <v>0</v>
      </c>
      <c r="AN1841">
        <v>117.05</v>
      </c>
      <c r="AP1841">
        <v>43</v>
      </c>
    </row>
    <row r="1842" spans="1:42" x14ac:dyDescent="0.25">
      <c r="A1842" t="s">
        <v>46</v>
      </c>
      <c r="B1842">
        <v>1</v>
      </c>
      <c r="C1842" t="s">
        <v>940</v>
      </c>
      <c r="D1842" s="39">
        <v>45952</v>
      </c>
      <c r="E1842" t="s">
        <v>486</v>
      </c>
      <c r="F1842" t="s">
        <v>79</v>
      </c>
      <c r="G1842">
        <v>2</v>
      </c>
      <c r="H1842" t="s">
        <v>92</v>
      </c>
      <c r="I1842" t="s">
        <v>79</v>
      </c>
      <c r="J1842">
        <v>375</v>
      </c>
      <c r="K1842" t="s">
        <v>79</v>
      </c>
      <c r="L1842">
        <v>7</v>
      </c>
      <c r="M1842">
        <v>107.36999999999999</v>
      </c>
      <c r="N1842">
        <v>1.4000000000000001</v>
      </c>
      <c r="O1842">
        <v>29</v>
      </c>
      <c r="Q1842">
        <v>105.96999999999998</v>
      </c>
      <c r="R1842" t="s">
        <v>953</v>
      </c>
      <c r="V1842">
        <v>0</v>
      </c>
      <c r="W1842">
        <v>0</v>
      </c>
      <c r="AF1842">
        <v>0</v>
      </c>
      <c r="AG1842">
        <v>0</v>
      </c>
      <c r="AH1842">
        <v>0</v>
      </c>
      <c r="AI1842">
        <v>12</v>
      </c>
      <c r="AJ1842">
        <v>12</v>
      </c>
      <c r="AM1842">
        <v>0</v>
      </c>
      <c r="AN1842">
        <v>115.96999999999998</v>
      </c>
      <c r="AP1842">
        <v>43</v>
      </c>
    </row>
    <row r="1843" spans="1:42" x14ac:dyDescent="0.25">
      <c r="A1843" t="s">
        <v>45</v>
      </c>
      <c r="B1843">
        <v>2</v>
      </c>
      <c r="C1843" t="s">
        <v>941</v>
      </c>
      <c r="D1843" s="39">
        <v>45952</v>
      </c>
      <c r="E1843" t="s">
        <v>477</v>
      </c>
      <c r="F1843" t="s">
        <v>79</v>
      </c>
      <c r="G1843" t="s">
        <v>942</v>
      </c>
      <c r="H1843">
        <v>4</v>
      </c>
      <c r="I1843" t="s">
        <v>79</v>
      </c>
      <c r="J1843">
        <v>200</v>
      </c>
      <c r="K1843" t="s">
        <v>79</v>
      </c>
      <c r="L1843">
        <v>1</v>
      </c>
      <c r="M1843">
        <v>16.100000000000001</v>
      </c>
      <c r="N1843">
        <v>0.4</v>
      </c>
      <c r="Q1843">
        <v>15.700000000000001</v>
      </c>
      <c r="R1843" t="s">
        <v>954</v>
      </c>
      <c r="V1843">
        <v>0</v>
      </c>
      <c r="W1843">
        <v>0</v>
      </c>
      <c r="AF1843">
        <v>0</v>
      </c>
      <c r="AG1843">
        <v>0</v>
      </c>
      <c r="AH1843">
        <v>0</v>
      </c>
      <c r="AI1843">
        <v>12</v>
      </c>
      <c r="AJ1843">
        <v>12</v>
      </c>
      <c r="AM1843">
        <v>0</v>
      </c>
      <c r="AN1843">
        <v>25.700000000000003</v>
      </c>
      <c r="AP1843">
        <v>43</v>
      </c>
    </row>
    <row r="1844" spans="1:42" x14ac:dyDescent="0.25">
      <c r="A1844" t="s">
        <v>45</v>
      </c>
      <c r="B1844">
        <v>2</v>
      </c>
      <c r="C1844" t="s">
        <v>960</v>
      </c>
      <c r="D1844" s="39">
        <v>45952</v>
      </c>
      <c r="E1844" t="s">
        <v>259</v>
      </c>
      <c r="F1844" t="s">
        <v>79</v>
      </c>
      <c r="G1844" t="s">
        <v>942</v>
      </c>
      <c r="H1844">
        <v>5</v>
      </c>
      <c r="I1844" t="s">
        <v>79</v>
      </c>
      <c r="J1844">
        <v>2000</v>
      </c>
      <c r="K1844" t="s">
        <v>79</v>
      </c>
      <c r="L1844">
        <v>12</v>
      </c>
      <c r="M1844">
        <v>156.73999999999998</v>
      </c>
      <c r="N1844">
        <v>4.8000000000000007</v>
      </c>
      <c r="Q1844">
        <v>151.93999999999997</v>
      </c>
      <c r="R1844" t="s">
        <v>1046</v>
      </c>
      <c r="V1844">
        <v>0</v>
      </c>
      <c r="W1844">
        <v>0</v>
      </c>
      <c r="Z1844">
        <v>45</v>
      </c>
      <c r="AF1844">
        <v>45</v>
      </c>
      <c r="AG1844">
        <v>0.75</v>
      </c>
      <c r="AH1844">
        <v>0.75</v>
      </c>
      <c r="AI1844">
        <v>11.25</v>
      </c>
      <c r="AJ1844">
        <v>12</v>
      </c>
      <c r="AM1844">
        <v>0</v>
      </c>
      <c r="AN1844">
        <v>161.93999999999997</v>
      </c>
      <c r="AP1844">
        <v>43</v>
      </c>
    </row>
    <row r="1845" spans="1:42" x14ac:dyDescent="0.25">
      <c r="A1845" t="s">
        <v>46</v>
      </c>
      <c r="B1845">
        <v>2</v>
      </c>
      <c r="C1845" t="s">
        <v>960</v>
      </c>
      <c r="D1845" s="39">
        <v>45952</v>
      </c>
      <c r="E1845" t="s">
        <v>259</v>
      </c>
      <c r="F1845" t="s">
        <v>79</v>
      </c>
      <c r="G1845" t="s">
        <v>942</v>
      </c>
      <c r="H1845">
        <v>5</v>
      </c>
      <c r="I1845" t="s">
        <v>79</v>
      </c>
      <c r="J1845">
        <v>2000</v>
      </c>
      <c r="K1845" t="s">
        <v>79</v>
      </c>
      <c r="L1845">
        <v>14</v>
      </c>
      <c r="M1845">
        <v>172.63</v>
      </c>
      <c r="N1845">
        <v>5.6000000000000005</v>
      </c>
      <c r="Q1845">
        <v>167.03</v>
      </c>
      <c r="R1845" t="s">
        <v>1046</v>
      </c>
      <c r="V1845">
        <v>0</v>
      </c>
      <c r="W1845">
        <v>0</v>
      </c>
      <c r="AF1845">
        <v>0</v>
      </c>
      <c r="AG1845">
        <v>0</v>
      </c>
      <c r="AH1845">
        <v>0</v>
      </c>
      <c r="AI1845">
        <v>12</v>
      </c>
      <c r="AJ1845">
        <v>12</v>
      </c>
      <c r="AM1845">
        <v>0</v>
      </c>
      <c r="AN1845">
        <v>177.03</v>
      </c>
      <c r="AP1845">
        <v>43</v>
      </c>
    </row>
    <row r="1846" spans="1:42" x14ac:dyDescent="0.25">
      <c r="A1846" t="s">
        <v>45</v>
      </c>
      <c r="B1846">
        <v>3</v>
      </c>
      <c r="C1846" t="s">
        <v>948</v>
      </c>
      <c r="D1846" s="39">
        <v>45952</v>
      </c>
      <c r="E1846" t="s">
        <v>259</v>
      </c>
      <c r="F1846" t="s">
        <v>79</v>
      </c>
      <c r="G1846" t="s">
        <v>102</v>
      </c>
      <c r="H1846">
        <v>5</v>
      </c>
      <c r="I1846" t="s">
        <v>79</v>
      </c>
      <c r="J1846">
        <v>4000</v>
      </c>
      <c r="K1846" t="s">
        <v>79</v>
      </c>
      <c r="L1846">
        <v>7</v>
      </c>
      <c r="M1846">
        <v>203.85000000000002</v>
      </c>
      <c r="N1846">
        <v>4.8999999999999995</v>
      </c>
      <c r="Q1846">
        <v>198.95000000000002</v>
      </c>
      <c r="R1846" t="s">
        <v>1127</v>
      </c>
      <c r="U1846">
        <v>165</v>
      </c>
      <c r="V1846">
        <v>165</v>
      </c>
      <c r="W1846">
        <v>2.75</v>
      </c>
      <c r="AF1846">
        <v>0</v>
      </c>
      <c r="AG1846">
        <v>0</v>
      </c>
      <c r="AH1846">
        <v>2.75</v>
      </c>
      <c r="AI1846">
        <v>9.25</v>
      </c>
      <c r="AJ1846">
        <v>12</v>
      </c>
      <c r="AM1846">
        <v>0</v>
      </c>
      <c r="AN1846">
        <v>208.95</v>
      </c>
      <c r="AP1846">
        <v>43</v>
      </c>
    </row>
    <row r="1847" spans="1:42" x14ac:dyDescent="0.25">
      <c r="A1847" t="s">
        <v>46</v>
      </c>
      <c r="B1847">
        <v>3</v>
      </c>
      <c r="C1847" t="s">
        <v>948</v>
      </c>
      <c r="D1847" s="39">
        <v>45952</v>
      </c>
      <c r="E1847" t="s">
        <v>259</v>
      </c>
      <c r="F1847" t="s">
        <v>79</v>
      </c>
      <c r="G1847" t="s">
        <v>102</v>
      </c>
      <c r="H1847">
        <v>5</v>
      </c>
      <c r="I1847" t="s">
        <v>79</v>
      </c>
      <c r="J1847">
        <v>4000</v>
      </c>
      <c r="K1847" t="s">
        <v>79</v>
      </c>
      <c r="L1847">
        <v>9</v>
      </c>
      <c r="M1847">
        <v>297.76</v>
      </c>
      <c r="N1847">
        <v>6.3</v>
      </c>
      <c r="Q1847">
        <v>291.45999999999998</v>
      </c>
      <c r="R1847" t="s">
        <v>1127</v>
      </c>
      <c r="V1847">
        <v>0</v>
      </c>
      <c r="W1847">
        <v>0</v>
      </c>
      <c r="Z1847">
        <v>130</v>
      </c>
      <c r="AF1847">
        <v>130</v>
      </c>
      <c r="AG1847">
        <v>2.1666666666666665</v>
      </c>
      <c r="AH1847">
        <v>2.1666666666666665</v>
      </c>
      <c r="AI1847">
        <v>9.8333333333333339</v>
      </c>
      <c r="AJ1847">
        <v>12</v>
      </c>
      <c r="AM1847">
        <v>0</v>
      </c>
      <c r="AN1847">
        <v>301.45999999999998</v>
      </c>
      <c r="AP1847">
        <v>43</v>
      </c>
    </row>
    <row r="1848" spans="1:42" x14ac:dyDescent="0.25">
      <c r="A1848" t="s">
        <v>45</v>
      </c>
      <c r="B1848">
        <v>4</v>
      </c>
      <c r="C1848" t="s">
        <v>930</v>
      </c>
      <c r="D1848" s="39">
        <v>45952</v>
      </c>
      <c r="E1848" t="s">
        <v>486</v>
      </c>
      <c r="F1848" t="s">
        <v>79</v>
      </c>
      <c r="G1848">
        <v>18</v>
      </c>
      <c r="H1848">
        <v>5</v>
      </c>
      <c r="I1848" t="s">
        <v>79</v>
      </c>
      <c r="J1848">
        <v>500</v>
      </c>
      <c r="K1848" t="s">
        <v>79</v>
      </c>
      <c r="L1848">
        <v>8</v>
      </c>
      <c r="M1848">
        <v>425.09000000000003</v>
      </c>
      <c r="N1848">
        <v>17.600000000000001</v>
      </c>
      <c r="Q1848">
        <v>407.49</v>
      </c>
      <c r="R1848" t="s">
        <v>1126</v>
      </c>
      <c r="U1848">
        <v>180</v>
      </c>
      <c r="V1848">
        <v>180</v>
      </c>
      <c r="W1848">
        <v>3</v>
      </c>
      <c r="Z1848">
        <v>120</v>
      </c>
      <c r="AF1848">
        <v>120</v>
      </c>
      <c r="AG1848">
        <v>2</v>
      </c>
      <c r="AH1848">
        <v>5</v>
      </c>
      <c r="AI1848">
        <v>7</v>
      </c>
      <c r="AJ1848">
        <v>12</v>
      </c>
      <c r="AM1848">
        <v>0</v>
      </c>
      <c r="AN1848">
        <v>417.49</v>
      </c>
      <c r="AP1848">
        <v>43</v>
      </c>
    </row>
    <row r="1849" spans="1:42" x14ac:dyDescent="0.25">
      <c r="A1849" t="s">
        <v>45</v>
      </c>
      <c r="B1849">
        <v>4</v>
      </c>
      <c r="C1849" t="s">
        <v>961</v>
      </c>
      <c r="D1849" s="39">
        <v>45952</v>
      </c>
      <c r="E1849" t="s">
        <v>340</v>
      </c>
      <c r="F1849" t="s">
        <v>79</v>
      </c>
      <c r="G1849">
        <v>18</v>
      </c>
      <c r="H1849">
        <v>7</v>
      </c>
      <c r="I1849" t="s">
        <v>79</v>
      </c>
      <c r="J1849">
        <v>50</v>
      </c>
      <c r="K1849" t="s">
        <v>79</v>
      </c>
      <c r="L1849">
        <v>2</v>
      </c>
      <c r="M1849">
        <v>107.5</v>
      </c>
      <c r="N1849">
        <v>4.4000000000000004</v>
      </c>
      <c r="Q1849">
        <v>103.1</v>
      </c>
      <c r="R1849" t="s">
        <v>962</v>
      </c>
      <c r="V1849">
        <v>0</v>
      </c>
      <c r="W1849">
        <v>0</v>
      </c>
      <c r="AF1849">
        <v>0</v>
      </c>
      <c r="AG1849">
        <v>0</v>
      </c>
      <c r="AH1849">
        <v>0</v>
      </c>
      <c r="AI1849">
        <v>12</v>
      </c>
      <c r="AJ1849">
        <v>12</v>
      </c>
      <c r="AM1849">
        <v>0</v>
      </c>
      <c r="AN1849">
        <v>113.1</v>
      </c>
      <c r="AP1849">
        <v>43</v>
      </c>
    </row>
    <row r="1850" spans="1:42" x14ac:dyDescent="0.25">
      <c r="A1850" t="s">
        <v>46</v>
      </c>
      <c r="B1850">
        <v>4</v>
      </c>
      <c r="C1850" t="s">
        <v>961</v>
      </c>
      <c r="D1850" s="39">
        <v>45952</v>
      </c>
      <c r="E1850" t="s">
        <v>340</v>
      </c>
      <c r="F1850" t="s">
        <v>79</v>
      </c>
      <c r="G1850">
        <v>18</v>
      </c>
      <c r="H1850">
        <v>7</v>
      </c>
      <c r="I1850" t="s">
        <v>79</v>
      </c>
      <c r="J1850">
        <v>50</v>
      </c>
      <c r="K1850" t="s">
        <v>79</v>
      </c>
      <c r="L1850">
        <v>1</v>
      </c>
      <c r="M1850">
        <v>59.03</v>
      </c>
      <c r="N1850">
        <v>2.2000000000000002</v>
      </c>
      <c r="Q1850">
        <v>56.83</v>
      </c>
      <c r="R1850" t="s">
        <v>962</v>
      </c>
      <c r="S1850">
        <v>25</v>
      </c>
      <c r="V1850">
        <v>25</v>
      </c>
      <c r="W1850">
        <v>0.41666666666666674</v>
      </c>
      <c r="AF1850">
        <v>0</v>
      </c>
      <c r="AG1850">
        <v>0</v>
      </c>
      <c r="AH1850">
        <v>0.41666666666666674</v>
      </c>
      <c r="AI1850">
        <v>11.583333333333334</v>
      </c>
      <c r="AJ1850">
        <v>12</v>
      </c>
      <c r="AM1850">
        <v>0</v>
      </c>
      <c r="AN1850">
        <v>66.83</v>
      </c>
      <c r="AP1850">
        <v>43</v>
      </c>
    </row>
    <row r="1851" spans="1:42" x14ac:dyDescent="0.25">
      <c r="A1851" t="s">
        <v>46</v>
      </c>
      <c r="B1851">
        <v>4</v>
      </c>
      <c r="C1851" t="s">
        <v>963</v>
      </c>
      <c r="D1851" s="39">
        <v>45952</v>
      </c>
      <c r="E1851" t="s">
        <v>394</v>
      </c>
      <c r="F1851" t="s">
        <v>79</v>
      </c>
      <c r="G1851" t="s">
        <v>141</v>
      </c>
      <c r="H1851" t="s">
        <v>122</v>
      </c>
      <c r="I1851" t="s">
        <v>79</v>
      </c>
      <c r="J1851">
        <v>100</v>
      </c>
      <c r="K1851" t="s">
        <v>79</v>
      </c>
      <c r="L1851">
        <v>4</v>
      </c>
      <c r="M1851">
        <v>113.91999999999999</v>
      </c>
      <c r="N1851">
        <v>8.8000000000000007</v>
      </c>
      <c r="Q1851">
        <v>105.11999999999999</v>
      </c>
      <c r="R1851" t="s">
        <v>964</v>
      </c>
      <c r="V1851">
        <v>0</v>
      </c>
      <c r="W1851">
        <v>0</v>
      </c>
      <c r="AF1851">
        <v>0</v>
      </c>
      <c r="AG1851">
        <v>0</v>
      </c>
      <c r="AH1851">
        <v>0</v>
      </c>
      <c r="AI1851">
        <v>12</v>
      </c>
      <c r="AJ1851">
        <v>12</v>
      </c>
      <c r="AM1851">
        <v>0</v>
      </c>
      <c r="AN1851">
        <v>115.12</v>
      </c>
      <c r="AP1851">
        <v>43</v>
      </c>
    </row>
    <row r="1852" spans="1:42" x14ac:dyDescent="0.25">
      <c r="A1852" t="s">
        <v>46</v>
      </c>
      <c r="B1852">
        <v>4</v>
      </c>
      <c r="C1852" t="s">
        <v>965</v>
      </c>
      <c r="D1852" s="39">
        <v>45952</v>
      </c>
      <c r="E1852" t="s">
        <v>394</v>
      </c>
      <c r="F1852" t="s">
        <v>79</v>
      </c>
      <c r="G1852" t="s">
        <v>125</v>
      </c>
      <c r="H1852" t="s">
        <v>122</v>
      </c>
      <c r="I1852" t="s">
        <v>79</v>
      </c>
      <c r="J1852">
        <v>100</v>
      </c>
      <c r="K1852" t="s">
        <v>79</v>
      </c>
      <c r="L1852">
        <v>3</v>
      </c>
      <c r="M1852">
        <v>103.41999999999999</v>
      </c>
      <c r="N1852">
        <v>6.6000000000000005</v>
      </c>
      <c r="Q1852">
        <v>96.82</v>
      </c>
      <c r="R1852" t="s">
        <v>966</v>
      </c>
      <c r="V1852">
        <v>0</v>
      </c>
      <c r="W1852">
        <v>0</v>
      </c>
      <c r="AF1852">
        <v>0</v>
      </c>
      <c r="AG1852">
        <v>0</v>
      </c>
      <c r="AH1852">
        <v>0</v>
      </c>
      <c r="AI1852">
        <v>12</v>
      </c>
      <c r="AJ1852">
        <v>12</v>
      </c>
      <c r="AM1852">
        <v>0</v>
      </c>
      <c r="AN1852">
        <v>106.82</v>
      </c>
      <c r="AP1852">
        <v>43</v>
      </c>
    </row>
    <row r="1853" spans="1:42" x14ac:dyDescent="0.25">
      <c r="A1853" t="s">
        <v>46</v>
      </c>
      <c r="B1853">
        <v>4</v>
      </c>
      <c r="C1853" t="s">
        <v>930</v>
      </c>
      <c r="D1853" s="39">
        <v>45952</v>
      </c>
      <c r="E1853" t="s">
        <v>486</v>
      </c>
      <c r="F1853" t="s">
        <v>79</v>
      </c>
      <c r="G1853">
        <v>18</v>
      </c>
      <c r="H1853">
        <v>5</v>
      </c>
      <c r="I1853" t="s">
        <v>79</v>
      </c>
      <c r="J1853">
        <v>500</v>
      </c>
      <c r="K1853" t="s">
        <v>79</v>
      </c>
      <c r="L1853">
        <v>2</v>
      </c>
      <c r="M1853">
        <v>93.5</v>
      </c>
      <c r="N1853">
        <v>4.4000000000000004</v>
      </c>
      <c r="Q1853">
        <v>89.1</v>
      </c>
      <c r="R1853" t="s">
        <v>1126</v>
      </c>
      <c r="V1853">
        <v>0</v>
      </c>
      <c r="W1853">
        <v>0</v>
      </c>
      <c r="AF1853">
        <v>0</v>
      </c>
      <c r="AG1853">
        <v>0</v>
      </c>
      <c r="AH1853">
        <v>0</v>
      </c>
      <c r="AI1853">
        <v>12</v>
      </c>
      <c r="AJ1853">
        <v>12</v>
      </c>
      <c r="AM1853">
        <v>0</v>
      </c>
      <c r="AN1853">
        <v>99.1</v>
      </c>
      <c r="AP1853">
        <v>43</v>
      </c>
    </row>
    <row r="1854" spans="1:42" x14ac:dyDescent="0.25">
      <c r="A1854" t="s">
        <v>46</v>
      </c>
      <c r="B1854">
        <v>4</v>
      </c>
      <c r="C1854" t="s">
        <v>967</v>
      </c>
      <c r="D1854" s="39">
        <v>45952</v>
      </c>
      <c r="E1854" t="s">
        <v>394</v>
      </c>
      <c r="F1854" t="s">
        <v>79</v>
      </c>
      <c r="G1854" t="s">
        <v>141</v>
      </c>
      <c r="H1854" t="s">
        <v>122</v>
      </c>
      <c r="I1854" t="s">
        <v>79</v>
      </c>
      <c r="J1854">
        <v>100</v>
      </c>
      <c r="K1854" t="s">
        <v>79</v>
      </c>
      <c r="L1854">
        <v>4</v>
      </c>
      <c r="M1854">
        <v>113.30000000000001</v>
      </c>
      <c r="N1854">
        <v>8.8000000000000007</v>
      </c>
      <c r="Q1854">
        <v>104.50000000000001</v>
      </c>
      <c r="R1854" t="s">
        <v>968</v>
      </c>
      <c r="V1854">
        <v>0</v>
      </c>
      <c r="W1854">
        <v>0</v>
      </c>
      <c r="AF1854">
        <v>0</v>
      </c>
      <c r="AG1854">
        <v>0</v>
      </c>
      <c r="AH1854">
        <v>0</v>
      </c>
      <c r="AI1854">
        <v>12</v>
      </c>
      <c r="AJ1854">
        <v>12</v>
      </c>
      <c r="AM1854">
        <v>0</v>
      </c>
      <c r="AN1854">
        <v>114.5</v>
      </c>
      <c r="AP1854">
        <v>43</v>
      </c>
    </row>
    <row r="1855" spans="1:42" x14ac:dyDescent="0.25">
      <c r="A1855" t="s">
        <v>46</v>
      </c>
      <c r="B1855">
        <v>4</v>
      </c>
      <c r="C1855" t="s">
        <v>969</v>
      </c>
      <c r="D1855" s="39">
        <v>45952</v>
      </c>
      <c r="E1855" t="s">
        <v>394</v>
      </c>
      <c r="F1855" t="s">
        <v>79</v>
      </c>
      <c r="G1855" t="s">
        <v>125</v>
      </c>
      <c r="H1855" t="s">
        <v>122</v>
      </c>
      <c r="I1855" t="s">
        <v>79</v>
      </c>
      <c r="J1855">
        <v>100</v>
      </c>
      <c r="K1855" t="s">
        <v>79</v>
      </c>
      <c r="L1855">
        <v>3</v>
      </c>
      <c r="M1855">
        <v>108.10000000000001</v>
      </c>
      <c r="N1855">
        <v>6.6000000000000005</v>
      </c>
      <c r="Q1855">
        <v>101.50000000000001</v>
      </c>
      <c r="R1855" t="s">
        <v>970</v>
      </c>
      <c r="V1855">
        <v>0</v>
      </c>
      <c r="W1855">
        <v>0</v>
      </c>
      <c r="AF1855">
        <v>0</v>
      </c>
      <c r="AG1855">
        <v>0</v>
      </c>
      <c r="AH1855">
        <v>0</v>
      </c>
      <c r="AI1855">
        <v>12</v>
      </c>
      <c r="AJ1855">
        <v>12</v>
      </c>
      <c r="AM1855">
        <v>0</v>
      </c>
      <c r="AN1855">
        <v>111.5</v>
      </c>
      <c r="AP1855">
        <v>43</v>
      </c>
    </row>
    <row r="1856" spans="1:42" x14ac:dyDescent="0.25">
      <c r="A1856" t="s">
        <v>46</v>
      </c>
      <c r="B1856">
        <v>4</v>
      </c>
      <c r="C1856" t="s">
        <v>971</v>
      </c>
      <c r="D1856" s="39">
        <v>45952</v>
      </c>
      <c r="E1856" t="s">
        <v>200</v>
      </c>
      <c r="F1856" t="s">
        <v>79</v>
      </c>
      <c r="G1856" t="s">
        <v>842</v>
      </c>
      <c r="H1856">
        <v>5</v>
      </c>
      <c r="I1856" t="s">
        <v>79</v>
      </c>
      <c r="J1856">
        <v>100</v>
      </c>
      <c r="K1856" t="s">
        <v>79</v>
      </c>
      <c r="L1856">
        <v>3</v>
      </c>
      <c r="M1856">
        <v>175.64</v>
      </c>
      <c r="N1856">
        <v>6.6000000000000005</v>
      </c>
      <c r="Q1856">
        <v>169.04</v>
      </c>
      <c r="R1856" t="s">
        <v>972</v>
      </c>
      <c r="V1856">
        <v>0</v>
      </c>
      <c r="W1856">
        <v>0</v>
      </c>
      <c r="AF1856">
        <v>0</v>
      </c>
      <c r="AG1856">
        <v>0</v>
      </c>
      <c r="AH1856">
        <v>0</v>
      </c>
      <c r="AI1856">
        <v>12</v>
      </c>
      <c r="AJ1856">
        <v>12</v>
      </c>
      <c r="AM1856">
        <v>0</v>
      </c>
      <c r="AN1856">
        <v>179.04</v>
      </c>
      <c r="AP1856">
        <v>43</v>
      </c>
    </row>
    <row r="1857" spans="1:42" x14ac:dyDescent="0.25">
      <c r="A1857" t="s">
        <v>45</v>
      </c>
      <c r="B1857">
        <v>5</v>
      </c>
      <c r="C1857" t="s">
        <v>950</v>
      </c>
      <c r="D1857" s="39">
        <v>45952</v>
      </c>
      <c r="E1857" t="s">
        <v>486</v>
      </c>
      <c r="F1857" t="s">
        <v>79</v>
      </c>
      <c r="G1857">
        <v>16</v>
      </c>
      <c r="H1857">
        <v>5</v>
      </c>
      <c r="I1857" t="s">
        <v>79</v>
      </c>
      <c r="J1857">
        <v>1000</v>
      </c>
      <c r="K1857" t="s">
        <v>79</v>
      </c>
      <c r="L1857">
        <v>6</v>
      </c>
      <c r="M1857">
        <v>309.91999999999996</v>
      </c>
      <c r="N1857">
        <v>11.399999999999999</v>
      </c>
      <c r="Q1857">
        <v>298.52</v>
      </c>
      <c r="R1857" t="s">
        <v>1515</v>
      </c>
      <c r="U1857">
        <v>150</v>
      </c>
      <c r="V1857">
        <v>150</v>
      </c>
      <c r="W1857">
        <v>2.5</v>
      </c>
      <c r="AF1857">
        <v>0</v>
      </c>
      <c r="AG1857">
        <v>0</v>
      </c>
      <c r="AH1857">
        <v>2.5</v>
      </c>
      <c r="AI1857">
        <v>9.5</v>
      </c>
      <c r="AJ1857">
        <v>12</v>
      </c>
      <c r="AM1857">
        <v>0</v>
      </c>
      <c r="AN1857">
        <v>308.52</v>
      </c>
      <c r="AP1857">
        <v>43</v>
      </c>
    </row>
    <row r="1858" spans="1:42" x14ac:dyDescent="0.25">
      <c r="A1858" t="s">
        <v>46</v>
      </c>
      <c r="B1858">
        <v>5</v>
      </c>
      <c r="C1858" t="s">
        <v>950</v>
      </c>
      <c r="D1858" s="39">
        <v>45952</v>
      </c>
      <c r="E1858" t="s">
        <v>486</v>
      </c>
      <c r="F1858" t="s">
        <v>79</v>
      </c>
      <c r="G1858">
        <v>16</v>
      </c>
      <c r="H1858">
        <v>5</v>
      </c>
      <c r="I1858" t="s">
        <v>79</v>
      </c>
      <c r="J1858">
        <v>1000</v>
      </c>
      <c r="K1858" t="s">
        <v>79</v>
      </c>
      <c r="L1858">
        <v>9</v>
      </c>
      <c r="M1858">
        <v>440.11</v>
      </c>
      <c r="N1858">
        <v>14.4</v>
      </c>
      <c r="Q1858">
        <v>425.71000000000004</v>
      </c>
      <c r="R1858" t="s">
        <v>1515</v>
      </c>
      <c r="V1858">
        <v>0</v>
      </c>
      <c r="W1858">
        <v>0</v>
      </c>
      <c r="Z1858">
        <v>10</v>
      </c>
      <c r="AF1858">
        <v>10</v>
      </c>
      <c r="AG1858">
        <v>0.16666666666666666</v>
      </c>
      <c r="AH1858">
        <v>0.16666666666666666</v>
      </c>
      <c r="AI1858">
        <v>11.833333333333334</v>
      </c>
      <c r="AJ1858">
        <v>12</v>
      </c>
      <c r="AM1858">
        <v>0</v>
      </c>
      <c r="AN1858">
        <v>435.71</v>
      </c>
      <c r="AP1858">
        <v>43</v>
      </c>
    </row>
    <row r="1859" spans="1:42" x14ac:dyDescent="0.25">
      <c r="A1859" t="s">
        <v>45</v>
      </c>
      <c r="B1859">
        <v>1</v>
      </c>
      <c r="C1859" t="s">
        <v>940</v>
      </c>
      <c r="D1859" s="39">
        <v>45953</v>
      </c>
      <c r="E1859" t="s">
        <v>486</v>
      </c>
      <c r="F1859" t="s">
        <v>79</v>
      </c>
      <c r="G1859">
        <v>2</v>
      </c>
      <c r="H1859" t="s">
        <v>92</v>
      </c>
      <c r="I1859" t="s">
        <v>79</v>
      </c>
      <c r="J1859">
        <v>375</v>
      </c>
      <c r="K1859" t="s">
        <v>79</v>
      </c>
      <c r="L1859">
        <v>9</v>
      </c>
      <c r="M1859">
        <v>112.26999999999998</v>
      </c>
      <c r="N1859">
        <v>1.8</v>
      </c>
      <c r="O1859">
        <v>40.5</v>
      </c>
      <c r="Q1859">
        <v>110.46999999999998</v>
      </c>
      <c r="R1859" t="s">
        <v>953</v>
      </c>
      <c r="S1859">
        <v>20</v>
      </c>
      <c r="V1859">
        <v>20</v>
      </c>
      <c r="W1859">
        <v>0.33333333333333331</v>
      </c>
      <c r="AF1859">
        <v>0</v>
      </c>
      <c r="AG1859">
        <v>0</v>
      </c>
      <c r="AH1859">
        <v>0.33333333333333331</v>
      </c>
      <c r="AI1859">
        <v>11.666666666666666</v>
      </c>
      <c r="AJ1859">
        <v>12</v>
      </c>
      <c r="AM1859">
        <v>0</v>
      </c>
      <c r="AN1859">
        <v>120.46999999999998</v>
      </c>
      <c r="AP1859">
        <v>43</v>
      </c>
    </row>
    <row r="1860" spans="1:42" x14ac:dyDescent="0.25">
      <c r="A1860" t="s">
        <v>46</v>
      </c>
      <c r="B1860">
        <v>1</v>
      </c>
      <c r="C1860" t="s">
        <v>973</v>
      </c>
      <c r="D1860" s="39">
        <v>45953</v>
      </c>
      <c r="E1860" t="s">
        <v>255</v>
      </c>
      <c r="F1860" t="s">
        <v>79</v>
      </c>
      <c r="G1860" t="s">
        <v>534</v>
      </c>
      <c r="H1860">
        <v>10</v>
      </c>
      <c r="I1860" t="s">
        <v>79</v>
      </c>
      <c r="J1860">
        <v>50</v>
      </c>
      <c r="K1860" t="s">
        <v>79</v>
      </c>
      <c r="L1860">
        <v>4</v>
      </c>
      <c r="M1860">
        <v>50.98</v>
      </c>
      <c r="N1860">
        <v>2</v>
      </c>
      <c r="O1860">
        <v>59.5</v>
      </c>
      <c r="Q1860">
        <v>48.98</v>
      </c>
      <c r="R1860" t="s">
        <v>974</v>
      </c>
      <c r="S1860">
        <v>20</v>
      </c>
      <c r="V1860">
        <v>20</v>
      </c>
      <c r="W1860">
        <v>0.33333333333333331</v>
      </c>
      <c r="AF1860">
        <v>0</v>
      </c>
      <c r="AG1860">
        <v>0</v>
      </c>
      <c r="AH1860">
        <v>0.33333333333333331</v>
      </c>
      <c r="AI1860">
        <v>11.666666666666666</v>
      </c>
      <c r="AJ1860">
        <v>12</v>
      </c>
      <c r="AM1860">
        <v>0</v>
      </c>
      <c r="AN1860">
        <v>58.98</v>
      </c>
      <c r="AP1860">
        <v>43</v>
      </c>
    </row>
    <row r="1861" spans="1:42" x14ac:dyDescent="0.25">
      <c r="A1861" t="s">
        <v>46</v>
      </c>
      <c r="B1861">
        <v>1</v>
      </c>
      <c r="C1861" t="s">
        <v>975</v>
      </c>
      <c r="D1861" s="39">
        <v>45953</v>
      </c>
      <c r="E1861" t="s">
        <v>477</v>
      </c>
      <c r="F1861" t="s">
        <v>79</v>
      </c>
      <c r="G1861" t="s">
        <v>976</v>
      </c>
      <c r="H1861">
        <v>4</v>
      </c>
      <c r="I1861" t="s">
        <v>79</v>
      </c>
      <c r="J1861">
        <v>200</v>
      </c>
      <c r="K1861" t="s">
        <v>79</v>
      </c>
      <c r="L1861">
        <v>7</v>
      </c>
      <c r="M1861">
        <v>87.6</v>
      </c>
      <c r="N1861">
        <v>2.4</v>
      </c>
      <c r="Q1861">
        <v>85.199999999999989</v>
      </c>
      <c r="R1861" t="s">
        <v>977</v>
      </c>
      <c r="V1861">
        <v>0</v>
      </c>
      <c r="W1861">
        <v>0</v>
      </c>
      <c r="AF1861">
        <v>0</v>
      </c>
      <c r="AG1861">
        <v>0</v>
      </c>
      <c r="AH1861">
        <v>0</v>
      </c>
      <c r="AI1861">
        <v>12</v>
      </c>
      <c r="AJ1861">
        <v>12</v>
      </c>
      <c r="AM1861">
        <v>0</v>
      </c>
      <c r="AN1861">
        <v>95.199999999999989</v>
      </c>
      <c r="AP1861">
        <v>43</v>
      </c>
    </row>
    <row r="1862" spans="1:42" x14ac:dyDescent="0.25">
      <c r="A1862" t="s">
        <v>45</v>
      </c>
      <c r="B1862">
        <v>2</v>
      </c>
      <c r="C1862" t="s">
        <v>960</v>
      </c>
      <c r="D1862" s="39">
        <v>45953</v>
      </c>
      <c r="E1862" t="s">
        <v>259</v>
      </c>
      <c r="F1862" t="s">
        <v>79</v>
      </c>
      <c r="G1862" t="s">
        <v>942</v>
      </c>
      <c r="H1862">
        <v>5</v>
      </c>
      <c r="I1862" t="s">
        <v>79</v>
      </c>
      <c r="J1862">
        <v>2000</v>
      </c>
      <c r="K1862" t="s">
        <v>79</v>
      </c>
      <c r="L1862">
        <v>14</v>
      </c>
      <c r="M1862">
        <v>169.76999999999998</v>
      </c>
      <c r="N1862">
        <v>5.6000000000000005</v>
      </c>
      <c r="Q1862">
        <v>164.17</v>
      </c>
      <c r="R1862" t="s">
        <v>1046</v>
      </c>
      <c r="V1862">
        <v>0</v>
      </c>
      <c r="W1862">
        <v>0</v>
      </c>
      <c r="AF1862">
        <v>0</v>
      </c>
      <c r="AG1862">
        <v>0</v>
      </c>
      <c r="AH1862">
        <v>0</v>
      </c>
      <c r="AI1862">
        <v>12</v>
      </c>
      <c r="AJ1862">
        <v>12</v>
      </c>
      <c r="AM1862">
        <v>0</v>
      </c>
      <c r="AN1862">
        <v>174.17</v>
      </c>
      <c r="AP1862">
        <v>43</v>
      </c>
    </row>
    <row r="1863" spans="1:42" x14ac:dyDescent="0.25">
      <c r="A1863" t="s">
        <v>46</v>
      </c>
      <c r="B1863">
        <v>2</v>
      </c>
      <c r="C1863" t="s">
        <v>960</v>
      </c>
      <c r="D1863" s="39">
        <v>45953</v>
      </c>
      <c r="E1863" t="s">
        <v>259</v>
      </c>
      <c r="F1863" t="s">
        <v>79</v>
      </c>
      <c r="G1863" t="s">
        <v>942</v>
      </c>
      <c r="H1863">
        <v>5</v>
      </c>
      <c r="I1863" t="s">
        <v>79</v>
      </c>
      <c r="J1863">
        <v>2000</v>
      </c>
      <c r="K1863" t="s">
        <v>79</v>
      </c>
      <c r="L1863">
        <v>12</v>
      </c>
      <c r="M1863">
        <v>171.94</v>
      </c>
      <c r="N1863">
        <v>4.8000000000000007</v>
      </c>
      <c r="Q1863">
        <v>167.14</v>
      </c>
      <c r="R1863" t="s">
        <v>1046</v>
      </c>
      <c r="V1863">
        <v>0</v>
      </c>
      <c r="W1863">
        <v>0</v>
      </c>
      <c r="AF1863">
        <v>0</v>
      </c>
      <c r="AG1863">
        <v>0</v>
      </c>
      <c r="AH1863">
        <v>0</v>
      </c>
      <c r="AI1863">
        <v>12</v>
      </c>
      <c r="AJ1863">
        <v>12</v>
      </c>
      <c r="AM1863">
        <v>0</v>
      </c>
      <c r="AN1863">
        <v>177.14</v>
      </c>
      <c r="AP1863">
        <v>43</v>
      </c>
    </row>
    <row r="1864" spans="1:42" x14ac:dyDescent="0.25">
      <c r="A1864" t="s">
        <v>45</v>
      </c>
      <c r="B1864">
        <v>3</v>
      </c>
      <c r="C1864" t="s">
        <v>948</v>
      </c>
      <c r="D1864" s="39">
        <v>45953</v>
      </c>
      <c r="E1864" t="s">
        <v>259</v>
      </c>
      <c r="F1864" t="s">
        <v>79</v>
      </c>
      <c r="G1864" t="s">
        <v>102</v>
      </c>
      <c r="H1864">
        <v>5</v>
      </c>
      <c r="I1864" t="s">
        <v>79</v>
      </c>
      <c r="J1864">
        <v>4000</v>
      </c>
      <c r="K1864" t="s">
        <v>79</v>
      </c>
      <c r="L1864">
        <v>9</v>
      </c>
      <c r="M1864">
        <v>293.21000000000004</v>
      </c>
      <c r="N1864">
        <v>6.3</v>
      </c>
      <c r="Q1864">
        <v>286.91000000000003</v>
      </c>
      <c r="R1864" t="s">
        <v>1127</v>
      </c>
      <c r="V1864">
        <v>0</v>
      </c>
      <c r="W1864">
        <v>0</v>
      </c>
      <c r="AF1864">
        <v>0</v>
      </c>
      <c r="AG1864">
        <v>0</v>
      </c>
      <c r="AH1864">
        <v>0</v>
      </c>
      <c r="AI1864">
        <v>12</v>
      </c>
      <c r="AJ1864">
        <v>12</v>
      </c>
      <c r="AM1864">
        <v>0</v>
      </c>
      <c r="AN1864">
        <v>296.91000000000003</v>
      </c>
      <c r="AP1864">
        <v>43</v>
      </c>
    </row>
    <row r="1865" spans="1:42" x14ac:dyDescent="0.25">
      <c r="A1865" t="s">
        <v>46</v>
      </c>
      <c r="B1865">
        <v>3</v>
      </c>
      <c r="C1865" t="s">
        <v>948</v>
      </c>
      <c r="D1865" s="39">
        <v>45953</v>
      </c>
      <c r="E1865" t="s">
        <v>259</v>
      </c>
      <c r="F1865" t="s">
        <v>79</v>
      </c>
      <c r="G1865" t="s">
        <v>102</v>
      </c>
      <c r="H1865">
        <v>5</v>
      </c>
      <c r="I1865" t="s">
        <v>79</v>
      </c>
      <c r="J1865">
        <v>4000</v>
      </c>
      <c r="K1865" t="s">
        <v>79</v>
      </c>
      <c r="L1865">
        <v>9</v>
      </c>
      <c r="M1865">
        <v>278.19000000000005</v>
      </c>
      <c r="N1865">
        <v>6.3</v>
      </c>
      <c r="Q1865">
        <v>271.89000000000004</v>
      </c>
      <c r="R1865" t="s">
        <v>1127</v>
      </c>
      <c r="V1865">
        <v>0</v>
      </c>
      <c r="W1865">
        <v>0</v>
      </c>
      <c r="AF1865">
        <v>0</v>
      </c>
      <c r="AG1865">
        <v>0</v>
      </c>
      <c r="AH1865">
        <v>0</v>
      </c>
      <c r="AI1865">
        <v>12</v>
      </c>
      <c r="AJ1865">
        <v>12</v>
      </c>
      <c r="AM1865">
        <v>0</v>
      </c>
      <c r="AN1865">
        <v>281.89000000000004</v>
      </c>
      <c r="AP1865">
        <v>43</v>
      </c>
    </row>
    <row r="1866" spans="1:42" x14ac:dyDescent="0.25">
      <c r="A1866" t="s">
        <v>45</v>
      </c>
      <c r="B1866">
        <v>4</v>
      </c>
      <c r="C1866" t="s">
        <v>971</v>
      </c>
      <c r="D1866" s="39">
        <v>45953</v>
      </c>
      <c r="E1866" t="s">
        <v>200</v>
      </c>
      <c r="F1866" t="s">
        <v>79</v>
      </c>
      <c r="G1866" t="s">
        <v>842</v>
      </c>
      <c r="H1866">
        <v>5</v>
      </c>
      <c r="I1866" t="s">
        <v>79</v>
      </c>
      <c r="J1866">
        <v>100</v>
      </c>
      <c r="K1866" t="s">
        <v>79</v>
      </c>
      <c r="L1866">
        <v>4</v>
      </c>
      <c r="M1866">
        <v>232.7</v>
      </c>
      <c r="N1866">
        <v>10.93</v>
      </c>
      <c r="Q1866">
        <v>221.76999999999998</v>
      </c>
      <c r="R1866" t="s">
        <v>972</v>
      </c>
      <c r="S1866">
        <v>20</v>
      </c>
      <c r="V1866">
        <v>20</v>
      </c>
      <c r="W1866">
        <v>0.33333333333333331</v>
      </c>
      <c r="AF1866">
        <v>0</v>
      </c>
      <c r="AG1866">
        <v>0</v>
      </c>
      <c r="AH1866">
        <v>0.33333333333333331</v>
      </c>
      <c r="AI1866">
        <v>11.666666666666666</v>
      </c>
      <c r="AJ1866">
        <v>12</v>
      </c>
      <c r="AM1866">
        <v>0</v>
      </c>
      <c r="AN1866">
        <v>231.77</v>
      </c>
      <c r="AP1866">
        <v>43</v>
      </c>
    </row>
    <row r="1867" spans="1:42" x14ac:dyDescent="0.25">
      <c r="A1867" t="s">
        <v>45</v>
      </c>
      <c r="B1867">
        <v>4</v>
      </c>
      <c r="C1867" t="s">
        <v>978</v>
      </c>
      <c r="D1867" s="39">
        <v>45953</v>
      </c>
      <c r="E1867" t="s">
        <v>394</v>
      </c>
      <c r="F1867" t="s">
        <v>79</v>
      </c>
      <c r="G1867" t="s">
        <v>121</v>
      </c>
      <c r="H1867" t="s">
        <v>122</v>
      </c>
      <c r="I1867" t="s">
        <v>79</v>
      </c>
      <c r="J1867">
        <v>100</v>
      </c>
      <c r="K1867" t="s">
        <v>79</v>
      </c>
      <c r="L1867">
        <v>4</v>
      </c>
      <c r="M1867">
        <v>130.61999999999998</v>
      </c>
      <c r="N1867">
        <v>14.580000000000002</v>
      </c>
      <c r="Q1867">
        <v>116.03999999999998</v>
      </c>
      <c r="R1867" t="s">
        <v>979</v>
      </c>
      <c r="S1867">
        <v>25</v>
      </c>
      <c r="V1867">
        <v>25</v>
      </c>
      <c r="W1867">
        <v>0.41666666666666674</v>
      </c>
      <c r="AF1867">
        <v>0</v>
      </c>
      <c r="AG1867">
        <v>0</v>
      </c>
      <c r="AH1867">
        <v>0.41666666666666674</v>
      </c>
      <c r="AI1867">
        <v>11.583333333333334</v>
      </c>
      <c r="AJ1867">
        <v>12</v>
      </c>
      <c r="AM1867">
        <v>0</v>
      </c>
      <c r="AN1867">
        <v>126.03999999999998</v>
      </c>
      <c r="AP1867">
        <v>43</v>
      </c>
    </row>
    <row r="1868" spans="1:42" x14ac:dyDescent="0.25">
      <c r="A1868" t="s">
        <v>45</v>
      </c>
      <c r="B1868">
        <v>4</v>
      </c>
      <c r="C1868" t="s">
        <v>980</v>
      </c>
      <c r="D1868" s="39">
        <v>45953</v>
      </c>
      <c r="E1868" t="s">
        <v>674</v>
      </c>
      <c r="F1868" t="s">
        <v>79</v>
      </c>
      <c r="G1868" t="s">
        <v>837</v>
      </c>
      <c r="H1868">
        <v>7</v>
      </c>
      <c r="I1868" t="s">
        <v>79</v>
      </c>
      <c r="J1868">
        <v>500</v>
      </c>
      <c r="K1868" t="s">
        <v>79</v>
      </c>
      <c r="L1868">
        <v>7</v>
      </c>
      <c r="M1868">
        <v>387.19</v>
      </c>
      <c r="N1868">
        <v>13.79</v>
      </c>
      <c r="Q1868">
        <v>373.4</v>
      </c>
      <c r="R1868" t="s">
        <v>981</v>
      </c>
      <c r="V1868">
        <v>0</v>
      </c>
      <c r="W1868">
        <v>0</v>
      </c>
      <c r="AF1868">
        <v>0</v>
      </c>
      <c r="AG1868">
        <v>0</v>
      </c>
      <c r="AH1868">
        <v>0</v>
      </c>
      <c r="AI1868">
        <v>12</v>
      </c>
      <c r="AJ1868">
        <v>12</v>
      </c>
      <c r="AM1868">
        <v>0</v>
      </c>
      <c r="AN1868">
        <v>383.4</v>
      </c>
      <c r="AP1868">
        <v>43</v>
      </c>
    </row>
    <row r="1869" spans="1:42" x14ac:dyDescent="0.25">
      <c r="A1869" t="s">
        <v>46</v>
      </c>
      <c r="B1869">
        <v>4</v>
      </c>
      <c r="C1869" t="s">
        <v>980</v>
      </c>
      <c r="D1869" s="39">
        <v>45953</v>
      </c>
      <c r="E1869" t="s">
        <v>674</v>
      </c>
      <c r="F1869" t="s">
        <v>79</v>
      </c>
      <c r="G1869" t="s">
        <v>837</v>
      </c>
      <c r="H1869">
        <v>7</v>
      </c>
      <c r="I1869" t="s">
        <v>79</v>
      </c>
      <c r="J1869">
        <v>500</v>
      </c>
      <c r="K1869" t="s">
        <v>79</v>
      </c>
      <c r="L1869">
        <v>3</v>
      </c>
      <c r="M1869">
        <v>163.22</v>
      </c>
      <c r="N1869">
        <v>5.0999999999999996</v>
      </c>
      <c r="Q1869">
        <v>158.12</v>
      </c>
      <c r="R1869" t="s">
        <v>981</v>
      </c>
      <c r="S1869">
        <v>30</v>
      </c>
      <c r="V1869">
        <v>30</v>
      </c>
      <c r="W1869">
        <v>0.5</v>
      </c>
      <c r="Z1869">
        <v>30</v>
      </c>
      <c r="AF1869">
        <v>30</v>
      </c>
      <c r="AG1869">
        <v>0.5</v>
      </c>
      <c r="AH1869">
        <v>1</v>
      </c>
      <c r="AI1869">
        <v>11</v>
      </c>
      <c r="AJ1869">
        <v>12</v>
      </c>
      <c r="AM1869">
        <v>0</v>
      </c>
      <c r="AN1869">
        <v>168.12</v>
      </c>
      <c r="AP1869">
        <v>43</v>
      </c>
    </row>
    <row r="1870" spans="1:42" x14ac:dyDescent="0.25">
      <c r="A1870" t="s">
        <v>46</v>
      </c>
      <c r="B1870">
        <v>4</v>
      </c>
      <c r="C1870" t="s">
        <v>982</v>
      </c>
      <c r="D1870" s="39">
        <v>45953</v>
      </c>
      <c r="E1870" t="s">
        <v>243</v>
      </c>
      <c r="F1870" t="s">
        <v>79</v>
      </c>
      <c r="G1870">
        <v>24</v>
      </c>
      <c r="H1870" t="s">
        <v>123</v>
      </c>
      <c r="I1870" t="s">
        <v>79</v>
      </c>
      <c r="J1870">
        <v>50</v>
      </c>
      <c r="K1870" t="s">
        <v>79</v>
      </c>
      <c r="L1870">
        <v>1</v>
      </c>
      <c r="M1870">
        <v>50.48</v>
      </c>
      <c r="N1870">
        <v>2.4</v>
      </c>
      <c r="Q1870">
        <v>48.08</v>
      </c>
      <c r="R1870" t="s">
        <v>983</v>
      </c>
      <c r="S1870">
        <v>30</v>
      </c>
      <c r="V1870">
        <v>30</v>
      </c>
      <c r="W1870">
        <v>0.5</v>
      </c>
      <c r="AF1870">
        <v>0</v>
      </c>
      <c r="AG1870">
        <v>0</v>
      </c>
      <c r="AH1870">
        <v>0.5</v>
      </c>
      <c r="AI1870">
        <v>11.5</v>
      </c>
      <c r="AJ1870">
        <v>12</v>
      </c>
      <c r="AM1870">
        <v>0</v>
      </c>
      <c r="AN1870">
        <v>58.08</v>
      </c>
      <c r="AP1870">
        <v>43</v>
      </c>
    </row>
    <row r="1871" spans="1:42" x14ac:dyDescent="0.25">
      <c r="A1871" t="s">
        <v>46</v>
      </c>
      <c r="B1871">
        <v>4</v>
      </c>
      <c r="C1871" t="s">
        <v>984</v>
      </c>
      <c r="D1871" s="39">
        <v>45953</v>
      </c>
      <c r="E1871" t="s">
        <v>985</v>
      </c>
      <c r="F1871" t="s">
        <v>986</v>
      </c>
      <c r="G1871" t="s">
        <v>987</v>
      </c>
      <c r="H1871" t="s">
        <v>988</v>
      </c>
      <c r="I1871" t="s">
        <v>986</v>
      </c>
      <c r="J1871">
        <v>10</v>
      </c>
      <c r="K1871" t="s">
        <v>79</v>
      </c>
      <c r="L1871">
        <v>2</v>
      </c>
      <c r="M1871">
        <v>27.35</v>
      </c>
      <c r="N1871">
        <v>4.8</v>
      </c>
      <c r="Q1871">
        <v>22.55</v>
      </c>
      <c r="R1871" t="s">
        <v>989</v>
      </c>
      <c r="S1871">
        <v>30</v>
      </c>
      <c r="V1871">
        <v>30</v>
      </c>
      <c r="W1871">
        <v>0.5</v>
      </c>
      <c r="AF1871">
        <v>0</v>
      </c>
      <c r="AG1871">
        <v>0</v>
      </c>
      <c r="AH1871">
        <v>0.5</v>
      </c>
      <c r="AI1871">
        <v>11.5</v>
      </c>
      <c r="AJ1871">
        <v>12</v>
      </c>
      <c r="AM1871">
        <v>0</v>
      </c>
      <c r="AN1871">
        <v>32.549999999999997</v>
      </c>
      <c r="AP1871">
        <v>43</v>
      </c>
    </row>
    <row r="1872" spans="1:42" x14ac:dyDescent="0.25">
      <c r="A1872" t="s">
        <v>46</v>
      </c>
      <c r="B1872">
        <v>4</v>
      </c>
      <c r="C1872" t="s">
        <v>990</v>
      </c>
      <c r="D1872" s="39">
        <v>45953</v>
      </c>
      <c r="E1872" t="s">
        <v>985</v>
      </c>
      <c r="F1872" t="s">
        <v>986</v>
      </c>
      <c r="G1872" t="s">
        <v>991</v>
      </c>
      <c r="H1872" t="s">
        <v>988</v>
      </c>
      <c r="I1872" t="s">
        <v>986</v>
      </c>
      <c r="J1872">
        <v>25</v>
      </c>
      <c r="K1872" t="s">
        <v>79</v>
      </c>
      <c r="L1872">
        <v>2</v>
      </c>
      <c r="M1872">
        <v>36.28</v>
      </c>
      <c r="N1872">
        <v>5.6</v>
      </c>
      <c r="Q1872">
        <v>30.68</v>
      </c>
      <c r="R1872" t="s">
        <v>992</v>
      </c>
      <c r="V1872">
        <v>0</v>
      </c>
      <c r="W1872">
        <v>0</v>
      </c>
      <c r="AF1872">
        <v>0</v>
      </c>
      <c r="AG1872">
        <v>0</v>
      </c>
      <c r="AH1872">
        <v>0</v>
      </c>
      <c r="AI1872">
        <v>12</v>
      </c>
      <c r="AJ1872">
        <v>12</v>
      </c>
      <c r="AM1872">
        <v>0</v>
      </c>
      <c r="AN1872">
        <v>40.68</v>
      </c>
      <c r="AP1872">
        <v>43</v>
      </c>
    </row>
    <row r="1873" spans="1:42" x14ac:dyDescent="0.25">
      <c r="A1873" t="s">
        <v>46</v>
      </c>
      <c r="B1873">
        <v>4</v>
      </c>
      <c r="C1873" t="s">
        <v>930</v>
      </c>
      <c r="D1873" s="39">
        <v>45953</v>
      </c>
      <c r="E1873" t="s">
        <v>486</v>
      </c>
      <c r="F1873" t="s">
        <v>79</v>
      </c>
      <c r="G1873">
        <v>18</v>
      </c>
      <c r="H1873">
        <v>5</v>
      </c>
      <c r="I1873" t="s">
        <v>79</v>
      </c>
      <c r="J1873">
        <v>500</v>
      </c>
      <c r="K1873" t="s">
        <v>79</v>
      </c>
      <c r="L1873">
        <v>7</v>
      </c>
      <c r="M1873">
        <v>334.54</v>
      </c>
      <c r="N1873">
        <v>12.6</v>
      </c>
      <c r="Q1873">
        <v>321.94</v>
      </c>
      <c r="R1873" t="s">
        <v>1126</v>
      </c>
      <c r="V1873">
        <v>0</v>
      </c>
      <c r="W1873">
        <v>0</v>
      </c>
      <c r="AF1873">
        <v>0</v>
      </c>
      <c r="AG1873">
        <v>0</v>
      </c>
      <c r="AH1873">
        <v>0</v>
      </c>
      <c r="AI1873">
        <v>12</v>
      </c>
      <c r="AJ1873">
        <v>12</v>
      </c>
      <c r="AM1873">
        <v>0</v>
      </c>
      <c r="AN1873">
        <v>331.94</v>
      </c>
      <c r="AP1873">
        <v>43</v>
      </c>
    </row>
    <row r="1874" spans="1:42" x14ac:dyDescent="0.25">
      <c r="A1874" t="s">
        <v>45</v>
      </c>
      <c r="B1874">
        <v>5</v>
      </c>
      <c r="C1874" t="s">
        <v>950</v>
      </c>
      <c r="D1874" s="39">
        <v>45953</v>
      </c>
      <c r="E1874" t="s">
        <v>486</v>
      </c>
      <c r="F1874" t="s">
        <v>79</v>
      </c>
      <c r="G1874">
        <v>16</v>
      </c>
      <c r="H1874">
        <v>5</v>
      </c>
      <c r="I1874" t="s">
        <v>79</v>
      </c>
      <c r="J1874">
        <v>1000</v>
      </c>
      <c r="K1874" t="s">
        <v>79</v>
      </c>
      <c r="L1874">
        <v>5</v>
      </c>
      <c r="M1874">
        <v>270.61</v>
      </c>
      <c r="N1874">
        <v>9.82</v>
      </c>
      <c r="Q1874">
        <v>260.79000000000002</v>
      </c>
      <c r="R1874" t="s">
        <v>1515</v>
      </c>
      <c r="S1874">
        <v>30</v>
      </c>
      <c r="V1874">
        <v>30</v>
      </c>
      <c r="W1874">
        <v>0.5</v>
      </c>
      <c r="AF1874">
        <v>0</v>
      </c>
      <c r="AG1874">
        <v>0</v>
      </c>
      <c r="AH1874">
        <v>0.5</v>
      </c>
      <c r="AI1874">
        <v>11.5</v>
      </c>
      <c r="AJ1874">
        <v>12</v>
      </c>
      <c r="AM1874">
        <v>0</v>
      </c>
      <c r="AN1874">
        <v>270.79000000000002</v>
      </c>
      <c r="AP1874">
        <v>43</v>
      </c>
    </row>
    <row r="1875" spans="1:42" x14ac:dyDescent="0.25">
      <c r="A1875" t="s">
        <v>45</v>
      </c>
      <c r="B1875">
        <v>5</v>
      </c>
      <c r="C1875" t="s">
        <v>993</v>
      </c>
      <c r="D1875" s="39">
        <v>45953</v>
      </c>
      <c r="E1875" t="s">
        <v>477</v>
      </c>
      <c r="F1875" t="s">
        <v>79</v>
      </c>
      <c r="G1875" t="s">
        <v>140</v>
      </c>
      <c r="H1875">
        <v>4</v>
      </c>
      <c r="I1875" t="s">
        <v>79</v>
      </c>
      <c r="J1875">
        <v>400</v>
      </c>
      <c r="K1875" t="s">
        <v>79</v>
      </c>
      <c r="L1875">
        <v>5</v>
      </c>
      <c r="M1875">
        <v>267.97000000000003</v>
      </c>
      <c r="N1875">
        <v>7</v>
      </c>
      <c r="Q1875">
        <v>260.97000000000003</v>
      </c>
      <c r="R1875" t="s">
        <v>994</v>
      </c>
      <c r="V1875">
        <v>0</v>
      </c>
      <c r="W1875">
        <v>0</v>
      </c>
      <c r="AF1875">
        <v>0</v>
      </c>
      <c r="AG1875">
        <v>0</v>
      </c>
      <c r="AH1875">
        <v>0</v>
      </c>
      <c r="AI1875">
        <v>12</v>
      </c>
      <c r="AJ1875">
        <v>12</v>
      </c>
      <c r="AM1875">
        <v>0</v>
      </c>
      <c r="AN1875">
        <v>270.97000000000003</v>
      </c>
      <c r="AP1875">
        <v>43</v>
      </c>
    </row>
    <row r="1876" spans="1:42" x14ac:dyDescent="0.25">
      <c r="A1876" t="s">
        <v>46</v>
      </c>
      <c r="B1876">
        <v>5</v>
      </c>
      <c r="C1876" t="s">
        <v>993</v>
      </c>
      <c r="D1876" s="39">
        <v>45953</v>
      </c>
      <c r="E1876" t="s">
        <v>477</v>
      </c>
      <c r="F1876" t="s">
        <v>79</v>
      </c>
      <c r="G1876" t="s">
        <v>140</v>
      </c>
      <c r="H1876">
        <v>4</v>
      </c>
      <c r="I1876" t="s">
        <v>79</v>
      </c>
      <c r="J1876">
        <v>400</v>
      </c>
      <c r="K1876" t="s">
        <v>79</v>
      </c>
      <c r="L1876">
        <v>3</v>
      </c>
      <c r="M1876">
        <v>128.22999999999999</v>
      </c>
      <c r="N1876">
        <v>3.5999999999999996</v>
      </c>
      <c r="Q1876">
        <v>124.63</v>
      </c>
      <c r="R1876" t="s">
        <v>994</v>
      </c>
      <c r="S1876">
        <v>30</v>
      </c>
      <c r="V1876">
        <v>30</v>
      </c>
      <c r="W1876">
        <v>0.5</v>
      </c>
      <c r="AF1876">
        <v>0</v>
      </c>
      <c r="AG1876">
        <v>0</v>
      </c>
      <c r="AH1876">
        <v>0.5</v>
      </c>
      <c r="AI1876">
        <v>11.5</v>
      </c>
      <c r="AJ1876">
        <v>12</v>
      </c>
      <c r="AM1876">
        <v>0</v>
      </c>
      <c r="AN1876">
        <v>134.63</v>
      </c>
      <c r="AP1876">
        <v>43</v>
      </c>
    </row>
    <row r="1877" spans="1:42" x14ac:dyDescent="0.25">
      <c r="A1877" t="s">
        <v>46</v>
      </c>
      <c r="B1877">
        <v>5</v>
      </c>
      <c r="C1877" t="s">
        <v>995</v>
      </c>
      <c r="D1877" s="39">
        <v>45953</v>
      </c>
      <c r="E1877" t="s">
        <v>952</v>
      </c>
      <c r="F1877" t="s">
        <v>79</v>
      </c>
      <c r="G1877" t="s">
        <v>644</v>
      </c>
      <c r="H1877">
        <v>7</v>
      </c>
      <c r="I1877" t="s">
        <v>79</v>
      </c>
      <c r="J1877">
        <v>75</v>
      </c>
      <c r="K1877" t="s">
        <v>79</v>
      </c>
      <c r="L1877">
        <v>3</v>
      </c>
      <c r="M1877">
        <v>166</v>
      </c>
      <c r="N1877">
        <v>4.5</v>
      </c>
      <c r="Q1877">
        <v>161.5</v>
      </c>
      <c r="R1877" t="s">
        <v>996</v>
      </c>
      <c r="S1877">
        <v>20</v>
      </c>
      <c r="V1877">
        <v>20</v>
      </c>
      <c r="W1877">
        <v>0.33333333333333331</v>
      </c>
      <c r="AF1877">
        <v>0</v>
      </c>
      <c r="AG1877">
        <v>0</v>
      </c>
      <c r="AH1877">
        <v>0.33333333333333331</v>
      </c>
      <c r="AI1877">
        <v>11.666666666666666</v>
      </c>
      <c r="AJ1877">
        <v>12</v>
      </c>
      <c r="AM1877">
        <v>0</v>
      </c>
      <c r="AN1877">
        <v>171.5</v>
      </c>
      <c r="AP1877">
        <v>43</v>
      </c>
    </row>
    <row r="1878" spans="1:42" x14ac:dyDescent="0.25">
      <c r="A1878" t="s">
        <v>46</v>
      </c>
      <c r="B1878">
        <v>5</v>
      </c>
      <c r="C1878" t="s">
        <v>997</v>
      </c>
      <c r="D1878" s="39">
        <v>45953</v>
      </c>
      <c r="E1878" t="s">
        <v>606</v>
      </c>
      <c r="F1878" t="s">
        <v>79</v>
      </c>
      <c r="G1878" t="s">
        <v>855</v>
      </c>
      <c r="H1878">
        <v>7</v>
      </c>
      <c r="I1878" t="s">
        <v>79</v>
      </c>
      <c r="J1878">
        <v>100</v>
      </c>
      <c r="K1878" t="s">
        <v>79</v>
      </c>
      <c r="L1878">
        <v>2</v>
      </c>
      <c r="M1878">
        <v>101.87</v>
      </c>
      <c r="N1878">
        <v>2.8</v>
      </c>
      <c r="Q1878">
        <v>99.070000000000007</v>
      </c>
      <c r="R1878" t="s">
        <v>998</v>
      </c>
      <c r="S1878">
        <v>25</v>
      </c>
      <c r="V1878">
        <v>25</v>
      </c>
      <c r="W1878">
        <v>0.41666666666666674</v>
      </c>
      <c r="AF1878">
        <v>0</v>
      </c>
      <c r="AG1878">
        <v>0</v>
      </c>
      <c r="AH1878">
        <v>0.41666666666666674</v>
      </c>
      <c r="AI1878">
        <v>11.583333333333334</v>
      </c>
      <c r="AJ1878">
        <v>12</v>
      </c>
      <c r="AM1878">
        <v>0</v>
      </c>
      <c r="AN1878">
        <v>109.07</v>
      </c>
      <c r="AP1878">
        <v>43</v>
      </c>
    </row>
    <row r="1879" spans="1:42" x14ac:dyDescent="0.25">
      <c r="A1879" t="s">
        <v>46</v>
      </c>
      <c r="B1879">
        <v>5</v>
      </c>
      <c r="C1879" t="s">
        <v>999</v>
      </c>
      <c r="D1879" s="39">
        <v>45953</v>
      </c>
      <c r="E1879" t="s">
        <v>243</v>
      </c>
      <c r="F1879" t="s">
        <v>79</v>
      </c>
      <c r="G1879">
        <v>13</v>
      </c>
      <c r="H1879" t="s">
        <v>123</v>
      </c>
      <c r="I1879" t="s">
        <v>79</v>
      </c>
      <c r="J1879">
        <v>100</v>
      </c>
      <c r="K1879" t="s">
        <v>79</v>
      </c>
      <c r="L1879">
        <v>1</v>
      </c>
      <c r="M1879">
        <v>46.92</v>
      </c>
      <c r="N1879">
        <v>1.3</v>
      </c>
      <c r="Q1879">
        <v>45.620000000000005</v>
      </c>
      <c r="R1879" t="s">
        <v>1000</v>
      </c>
      <c r="V1879">
        <v>0</v>
      </c>
      <c r="W1879">
        <v>0</v>
      </c>
      <c r="AF1879">
        <v>0</v>
      </c>
      <c r="AG1879">
        <v>0</v>
      </c>
      <c r="AH1879">
        <v>0</v>
      </c>
      <c r="AI1879">
        <v>12</v>
      </c>
      <c r="AJ1879">
        <v>12</v>
      </c>
      <c r="AM1879">
        <v>0</v>
      </c>
      <c r="AN1879">
        <v>55.620000000000005</v>
      </c>
      <c r="AP1879">
        <v>43</v>
      </c>
    </row>
    <row r="1880" spans="1:42" x14ac:dyDescent="0.25">
      <c r="A1880" t="s">
        <v>46</v>
      </c>
      <c r="B1880">
        <v>5</v>
      </c>
      <c r="C1880" t="s">
        <v>1001</v>
      </c>
      <c r="D1880" s="39">
        <v>45953</v>
      </c>
      <c r="E1880" t="s">
        <v>243</v>
      </c>
      <c r="F1880" t="s">
        <v>79</v>
      </c>
      <c r="G1880">
        <v>14</v>
      </c>
      <c r="H1880" t="s">
        <v>123</v>
      </c>
      <c r="I1880" t="s">
        <v>79</v>
      </c>
      <c r="J1880">
        <v>100</v>
      </c>
      <c r="K1880" t="s">
        <v>79</v>
      </c>
      <c r="L1880">
        <v>2</v>
      </c>
      <c r="M1880">
        <v>102.62</v>
      </c>
      <c r="N1880">
        <v>2.8</v>
      </c>
      <c r="Q1880">
        <v>99.820000000000007</v>
      </c>
      <c r="R1880" t="s">
        <v>1002</v>
      </c>
      <c r="V1880">
        <v>0</v>
      </c>
      <c r="W1880">
        <v>0</v>
      </c>
      <c r="AF1880">
        <v>0</v>
      </c>
      <c r="AG1880">
        <v>0</v>
      </c>
      <c r="AH1880">
        <v>0</v>
      </c>
      <c r="AI1880">
        <v>12</v>
      </c>
      <c r="AJ1880">
        <v>12</v>
      </c>
      <c r="AM1880">
        <v>0</v>
      </c>
      <c r="AN1880">
        <v>109.82</v>
      </c>
      <c r="AP1880">
        <v>43</v>
      </c>
    </row>
    <row r="1881" spans="1:42" x14ac:dyDescent="0.25">
      <c r="A1881" t="s">
        <v>45</v>
      </c>
      <c r="B1881">
        <v>1</v>
      </c>
      <c r="C1881" t="s">
        <v>975</v>
      </c>
      <c r="D1881" s="39">
        <v>45954</v>
      </c>
      <c r="E1881" t="s">
        <v>477</v>
      </c>
      <c r="F1881" t="s">
        <v>79</v>
      </c>
      <c r="G1881" t="s">
        <v>976</v>
      </c>
      <c r="H1881">
        <v>4</v>
      </c>
      <c r="I1881" t="s">
        <v>79</v>
      </c>
      <c r="J1881">
        <v>200</v>
      </c>
      <c r="K1881" t="s">
        <v>79</v>
      </c>
      <c r="L1881">
        <v>2</v>
      </c>
      <c r="M1881">
        <v>23.56</v>
      </c>
      <c r="N1881">
        <v>0.6</v>
      </c>
      <c r="O1881">
        <v>18</v>
      </c>
      <c r="Q1881">
        <v>22.959999999999997</v>
      </c>
      <c r="R1881" t="s">
        <v>977</v>
      </c>
      <c r="V1881">
        <v>0</v>
      </c>
      <c r="W1881">
        <v>0</v>
      </c>
      <c r="AF1881">
        <v>0</v>
      </c>
      <c r="AG1881">
        <v>0</v>
      </c>
      <c r="AH1881">
        <v>0</v>
      </c>
      <c r="AI1881">
        <v>12</v>
      </c>
      <c r="AJ1881">
        <v>12</v>
      </c>
      <c r="AM1881">
        <v>0</v>
      </c>
      <c r="AN1881">
        <v>32.959999999999994</v>
      </c>
      <c r="AP1881">
        <v>43</v>
      </c>
    </row>
    <row r="1882" spans="1:42" x14ac:dyDescent="0.25">
      <c r="A1882" t="s">
        <v>45</v>
      </c>
      <c r="B1882">
        <v>1</v>
      </c>
      <c r="C1882" t="s">
        <v>1003</v>
      </c>
      <c r="D1882" s="39">
        <v>45954</v>
      </c>
      <c r="E1882" t="s">
        <v>486</v>
      </c>
      <c r="F1882" t="s">
        <v>79</v>
      </c>
      <c r="G1882">
        <v>3</v>
      </c>
      <c r="H1882" t="s">
        <v>92</v>
      </c>
      <c r="I1882" t="s">
        <v>79</v>
      </c>
      <c r="J1882">
        <v>1000</v>
      </c>
      <c r="K1882" t="s">
        <v>79</v>
      </c>
      <c r="L1882">
        <v>8</v>
      </c>
      <c r="M1882">
        <v>101.91</v>
      </c>
      <c r="N1882">
        <v>2.4</v>
      </c>
      <c r="Q1882">
        <v>99.509999999999991</v>
      </c>
      <c r="R1882" t="s">
        <v>1220</v>
      </c>
      <c r="V1882">
        <v>0</v>
      </c>
      <c r="W1882">
        <v>0</v>
      </c>
      <c r="AF1882">
        <v>0</v>
      </c>
      <c r="AG1882">
        <v>0</v>
      </c>
      <c r="AH1882">
        <v>0</v>
      </c>
      <c r="AI1882">
        <v>12</v>
      </c>
      <c r="AJ1882">
        <v>12</v>
      </c>
      <c r="AM1882">
        <v>0</v>
      </c>
      <c r="AN1882">
        <v>109.51</v>
      </c>
      <c r="AP1882">
        <v>43</v>
      </c>
    </row>
    <row r="1883" spans="1:42" x14ac:dyDescent="0.25">
      <c r="A1883" t="s">
        <v>46</v>
      </c>
      <c r="B1883">
        <v>1</v>
      </c>
      <c r="C1883" t="s">
        <v>1003</v>
      </c>
      <c r="D1883" s="39">
        <v>45954</v>
      </c>
      <c r="E1883" t="s">
        <v>486</v>
      </c>
      <c r="F1883" t="s">
        <v>79</v>
      </c>
      <c r="G1883">
        <v>3</v>
      </c>
      <c r="H1883" t="s">
        <v>92</v>
      </c>
      <c r="I1883" t="s">
        <v>79</v>
      </c>
      <c r="J1883">
        <v>1000</v>
      </c>
      <c r="K1883" t="s">
        <v>79</v>
      </c>
      <c r="L1883">
        <v>9</v>
      </c>
      <c r="M1883">
        <v>120.01000000000002</v>
      </c>
      <c r="N1883">
        <v>2.6999999999999997</v>
      </c>
      <c r="O1883">
        <v>19</v>
      </c>
      <c r="Q1883">
        <v>117.31000000000002</v>
      </c>
      <c r="R1883" t="s">
        <v>1220</v>
      </c>
      <c r="V1883">
        <v>0</v>
      </c>
      <c r="W1883">
        <v>0</v>
      </c>
      <c r="AF1883">
        <v>0</v>
      </c>
      <c r="AG1883">
        <v>0</v>
      </c>
      <c r="AH1883">
        <v>0</v>
      </c>
      <c r="AI1883">
        <v>12</v>
      </c>
      <c r="AJ1883">
        <v>12</v>
      </c>
      <c r="AM1883">
        <v>0</v>
      </c>
      <c r="AN1883">
        <v>127.31000000000002</v>
      </c>
      <c r="AP1883">
        <v>43</v>
      </c>
    </row>
    <row r="1884" spans="1:42" x14ac:dyDescent="0.25">
      <c r="A1884" t="s">
        <v>45</v>
      </c>
      <c r="B1884">
        <v>2</v>
      </c>
      <c r="C1884" t="s">
        <v>960</v>
      </c>
      <c r="D1884" s="39">
        <v>45954</v>
      </c>
      <c r="E1884" t="s">
        <v>259</v>
      </c>
      <c r="F1884" t="s">
        <v>79</v>
      </c>
      <c r="G1884" t="s">
        <v>942</v>
      </c>
      <c r="H1884">
        <v>5</v>
      </c>
      <c r="I1884" t="s">
        <v>79</v>
      </c>
      <c r="J1884">
        <v>2000</v>
      </c>
      <c r="K1884" t="s">
        <v>79</v>
      </c>
      <c r="L1884">
        <v>13</v>
      </c>
      <c r="M1884">
        <v>173.57999999999998</v>
      </c>
      <c r="N1884">
        <v>5.2</v>
      </c>
      <c r="Q1884">
        <v>168.38</v>
      </c>
      <c r="R1884" t="s">
        <v>1046</v>
      </c>
      <c r="V1884">
        <v>0</v>
      </c>
      <c r="W1884">
        <v>0</v>
      </c>
      <c r="AF1884">
        <v>0</v>
      </c>
      <c r="AG1884">
        <v>0</v>
      </c>
      <c r="AH1884">
        <v>0</v>
      </c>
      <c r="AI1884">
        <v>12</v>
      </c>
      <c r="AJ1884">
        <v>12</v>
      </c>
      <c r="AM1884">
        <v>0</v>
      </c>
      <c r="AN1884">
        <v>178.38</v>
      </c>
      <c r="AP1884">
        <v>43</v>
      </c>
    </row>
    <row r="1885" spans="1:42" x14ac:dyDescent="0.25">
      <c r="A1885" t="s">
        <v>46</v>
      </c>
      <c r="B1885">
        <v>2</v>
      </c>
      <c r="C1885" t="s">
        <v>960</v>
      </c>
      <c r="D1885" s="39">
        <v>45954</v>
      </c>
      <c r="E1885" t="s">
        <v>259</v>
      </c>
      <c r="F1885" t="s">
        <v>79</v>
      </c>
      <c r="G1885" t="s">
        <v>942</v>
      </c>
      <c r="H1885">
        <v>5</v>
      </c>
      <c r="I1885" t="s">
        <v>79</v>
      </c>
      <c r="J1885">
        <v>2000</v>
      </c>
      <c r="K1885" t="s">
        <v>79</v>
      </c>
      <c r="L1885">
        <v>12</v>
      </c>
      <c r="M1885">
        <v>166.39</v>
      </c>
      <c r="N1885">
        <v>4.8000000000000007</v>
      </c>
      <c r="Q1885">
        <v>161.58999999999997</v>
      </c>
      <c r="R1885" t="s">
        <v>1046</v>
      </c>
      <c r="V1885">
        <v>0</v>
      </c>
      <c r="W1885">
        <v>0</v>
      </c>
      <c r="AF1885">
        <v>0</v>
      </c>
      <c r="AG1885">
        <v>0</v>
      </c>
      <c r="AH1885">
        <v>0</v>
      </c>
      <c r="AI1885">
        <v>12</v>
      </c>
      <c r="AJ1885">
        <v>12</v>
      </c>
      <c r="AM1885">
        <v>0</v>
      </c>
      <c r="AN1885">
        <v>171.58999999999995</v>
      </c>
      <c r="AP1885">
        <v>43</v>
      </c>
    </row>
    <row r="1886" spans="1:42" x14ac:dyDescent="0.25">
      <c r="A1886" t="s">
        <v>45</v>
      </c>
      <c r="B1886">
        <v>3</v>
      </c>
      <c r="C1886" t="s">
        <v>948</v>
      </c>
      <c r="D1886" s="39">
        <v>45954</v>
      </c>
      <c r="E1886" t="s">
        <v>259</v>
      </c>
      <c r="F1886" t="s">
        <v>79</v>
      </c>
      <c r="G1886" t="s">
        <v>102</v>
      </c>
      <c r="H1886">
        <v>5</v>
      </c>
      <c r="I1886" t="s">
        <v>79</v>
      </c>
      <c r="J1886">
        <v>4000</v>
      </c>
      <c r="K1886" t="s">
        <v>79</v>
      </c>
      <c r="L1886">
        <v>8</v>
      </c>
      <c r="M1886">
        <v>286.15000000000003</v>
      </c>
      <c r="N1886">
        <v>7.2</v>
      </c>
      <c r="Q1886">
        <v>278.95000000000005</v>
      </c>
      <c r="R1886" t="s">
        <v>1127</v>
      </c>
      <c r="V1886">
        <v>0</v>
      </c>
      <c r="W1886">
        <v>0</v>
      </c>
      <c r="AF1886">
        <v>0</v>
      </c>
      <c r="AG1886">
        <v>0</v>
      </c>
      <c r="AH1886">
        <v>0</v>
      </c>
      <c r="AI1886">
        <v>12</v>
      </c>
      <c r="AJ1886">
        <v>12</v>
      </c>
      <c r="AM1886">
        <v>0</v>
      </c>
      <c r="AN1886">
        <v>288.95000000000005</v>
      </c>
      <c r="AP1886">
        <v>43</v>
      </c>
    </row>
    <row r="1887" spans="1:42" x14ac:dyDescent="0.25">
      <c r="A1887" t="s">
        <v>46</v>
      </c>
      <c r="B1887">
        <v>3</v>
      </c>
      <c r="C1887" t="s">
        <v>948</v>
      </c>
      <c r="D1887" s="39">
        <v>45954</v>
      </c>
      <c r="E1887" t="s">
        <v>259</v>
      </c>
      <c r="F1887" t="s">
        <v>79</v>
      </c>
      <c r="G1887" t="s">
        <v>102</v>
      </c>
      <c r="H1887">
        <v>5</v>
      </c>
      <c r="I1887" t="s">
        <v>79</v>
      </c>
      <c r="J1887">
        <v>4000</v>
      </c>
      <c r="K1887" t="s">
        <v>79</v>
      </c>
      <c r="L1887">
        <v>9</v>
      </c>
      <c r="M1887">
        <v>281.09000000000003</v>
      </c>
      <c r="N1887">
        <v>8.1</v>
      </c>
      <c r="Q1887">
        <v>272.99</v>
      </c>
      <c r="R1887" t="s">
        <v>1127</v>
      </c>
      <c r="V1887">
        <v>0</v>
      </c>
      <c r="W1887">
        <v>0</v>
      </c>
      <c r="AF1887">
        <v>0</v>
      </c>
      <c r="AG1887">
        <v>0</v>
      </c>
      <c r="AH1887">
        <v>0</v>
      </c>
      <c r="AI1887">
        <v>12</v>
      </c>
      <c r="AJ1887">
        <v>12</v>
      </c>
      <c r="AM1887">
        <v>0</v>
      </c>
      <c r="AN1887">
        <v>282.99</v>
      </c>
      <c r="AP1887">
        <v>43</v>
      </c>
    </row>
    <row r="1888" spans="1:42" x14ac:dyDescent="0.25">
      <c r="A1888" t="s">
        <v>45</v>
      </c>
      <c r="B1888">
        <v>4</v>
      </c>
      <c r="C1888" t="s">
        <v>1004</v>
      </c>
      <c r="D1888" s="39">
        <v>45954</v>
      </c>
      <c r="E1888" t="s">
        <v>486</v>
      </c>
      <c r="F1888" t="s">
        <v>79</v>
      </c>
      <c r="G1888">
        <v>18</v>
      </c>
      <c r="H1888">
        <v>5</v>
      </c>
      <c r="I1888" t="s">
        <v>79</v>
      </c>
      <c r="J1888">
        <v>500</v>
      </c>
      <c r="K1888" t="s">
        <v>79</v>
      </c>
      <c r="L1888">
        <v>12</v>
      </c>
      <c r="M1888">
        <v>604.22</v>
      </c>
      <c r="N1888">
        <v>20.8</v>
      </c>
      <c r="Q1888">
        <v>583.42000000000007</v>
      </c>
      <c r="R1888" t="s">
        <v>1005</v>
      </c>
      <c r="S1888">
        <v>30</v>
      </c>
      <c r="V1888">
        <v>30</v>
      </c>
      <c r="W1888">
        <v>0.5</v>
      </c>
      <c r="AF1888">
        <v>0</v>
      </c>
      <c r="AG1888">
        <v>0</v>
      </c>
      <c r="AH1888">
        <v>0.5</v>
      </c>
      <c r="AI1888">
        <v>11.5</v>
      </c>
      <c r="AJ1888">
        <v>12</v>
      </c>
      <c r="AM1888">
        <v>0</v>
      </c>
      <c r="AN1888">
        <v>593.42000000000007</v>
      </c>
      <c r="AP1888">
        <v>43</v>
      </c>
    </row>
    <row r="1889" spans="1:42" x14ac:dyDescent="0.25">
      <c r="A1889" t="s">
        <v>45</v>
      </c>
      <c r="B1889">
        <v>4</v>
      </c>
      <c r="C1889" t="s">
        <v>1006</v>
      </c>
      <c r="D1889" s="39">
        <v>45954</v>
      </c>
      <c r="E1889" t="s">
        <v>276</v>
      </c>
      <c r="F1889" t="s">
        <v>79</v>
      </c>
      <c r="G1889">
        <v>28</v>
      </c>
      <c r="H1889" t="s">
        <v>113</v>
      </c>
      <c r="I1889" t="s">
        <v>79</v>
      </c>
      <c r="J1889">
        <v>500</v>
      </c>
      <c r="K1889" t="s">
        <v>79</v>
      </c>
      <c r="L1889">
        <v>2</v>
      </c>
      <c r="M1889">
        <v>120.74000000000001</v>
      </c>
      <c r="N1889">
        <v>7.3800000000000008</v>
      </c>
      <c r="Q1889">
        <v>113.36000000000001</v>
      </c>
      <c r="R1889" t="s">
        <v>1007</v>
      </c>
      <c r="V1889">
        <v>0</v>
      </c>
      <c r="W1889">
        <v>0</v>
      </c>
      <c r="AF1889">
        <v>0</v>
      </c>
      <c r="AG1889">
        <v>0</v>
      </c>
      <c r="AH1889">
        <v>0</v>
      </c>
      <c r="AI1889">
        <v>12</v>
      </c>
      <c r="AJ1889">
        <v>12</v>
      </c>
      <c r="AM1889">
        <v>0</v>
      </c>
      <c r="AN1889">
        <v>123.36</v>
      </c>
      <c r="AP1889">
        <v>43</v>
      </c>
    </row>
    <row r="1890" spans="1:42" x14ac:dyDescent="0.25">
      <c r="A1890" t="s">
        <v>46</v>
      </c>
      <c r="B1890">
        <v>4</v>
      </c>
      <c r="C1890" t="s">
        <v>1006</v>
      </c>
      <c r="D1890" s="39">
        <v>45954</v>
      </c>
      <c r="E1890" t="s">
        <v>276</v>
      </c>
      <c r="F1890" t="s">
        <v>79</v>
      </c>
      <c r="G1890">
        <v>28</v>
      </c>
      <c r="H1890" t="s">
        <v>113</v>
      </c>
      <c r="I1890" t="s">
        <v>79</v>
      </c>
      <c r="J1890">
        <v>500</v>
      </c>
      <c r="K1890" t="s">
        <v>79</v>
      </c>
      <c r="L1890">
        <v>7</v>
      </c>
      <c r="M1890">
        <v>406.45000000000005</v>
      </c>
      <c r="N1890">
        <v>16.799999999999997</v>
      </c>
      <c r="Q1890">
        <v>389.65000000000003</v>
      </c>
      <c r="R1890" t="s">
        <v>1007</v>
      </c>
      <c r="S1890">
        <v>25</v>
      </c>
      <c r="V1890">
        <v>25</v>
      </c>
      <c r="W1890">
        <v>0.41666666666666674</v>
      </c>
      <c r="AF1890">
        <v>0</v>
      </c>
      <c r="AG1890">
        <v>0</v>
      </c>
      <c r="AH1890">
        <v>0.41666666666666674</v>
      </c>
      <c r="AI1890">
        <v>11.583333333333334</v>
      </c>
      <c r="AJ1890">
        <v>12</v>
      </c>
      <c r="AM1890">
        <v>0</v>
      </c>
      <c r="AN1890">
        <v>399.65</v>
      </c>
      <c r="AP1890">
        <v>43</v>
      </c>
    </row>
    <row r="1891" spans="1:42" x14ac:dyDescent="0.25">
      <c r="A1891" t="s">
        <v>46</v>
      </c>
      <c r="B1891">
        <v>4</v>
      </c>
      <c r="C1891" t="s">
        <v>1008</v>
      </c>
      <c r="D1891" s="39">
        <v>45954</v>
      </c>
      <c r="E1891" t="s">
        <v>243</v>
      </c>
      <c r="F1891" t="s">
        <v>79</v>
      </c>
      <c r="G1891">
        <v>22</v>
      </c>
      <c r="H1891" t="s">
        <v>123</v>
      </c>
      <c r="I1891" t="s">
        <v>79</v>
      </c>
      <c r="J1891">
        <v>100</v>
      </c>
      <c r="K1891" t="s">
        <v>79</v>
      </c>
      <c r="L1891">
        <v>3</v>
      </c>
      <c r="M1891">
        <v>161.82</v>
      </c>
      <c r="N1891">
        <v>6.6000000000000005</v>
      </c>
      <c r="Q1891">
        <v>155.22</v>
      </c>
      <c r="R1891" t="s">
        <v>1009</v>
      </c>
      <c r="V1891">
        <v>0</v>
      </c>
      <c r="W1891">
        <v>0</v>
      </c>
      <c r="AF1891">
        <v>0</v>
      </c>
      <c r="AG1891">
        <v>0</v>
      </c>
      <c r="AH1891">
        <v>0</v>
      </c>
      <c r="AI1891">
        <v>12</v>
      </c>
      <c r="AJ1891">
        <v>12</v>
      </c>
      <c r="AM1891">
        <v>0</v>
      </c>
      <c r="AN1891">
        <v>165.22</v>
      </c>
      <c r="AP1891">
        <v>43</v>
      </c>
    </row>
    <row r="1892" spans="1:42" x14ac:dyDescent="0.25">
      <c r="A1892" t="s">
        <v>46</v>
      </c>
      <c r="B1892">
        <v>4</v>
      </c>
      <c r="C1892" t="s">
        <v>1010</v>
      </c>
      <c r="D1892" s="39">
        <v>45954</v>
      </c>
      <c r="E1892" t="s">
        <v>194</v>
      </c>
      <c r="F1892" t="s">
        <v>79</v>
      </c>
      <c r="G1892">
        <v>22</v>
      </c>
      <c r="H1892" t="s">
        <v>113</v>
      </c>
      <c r="I1892" t="s">
        <v>79</v>
      </c>
      <c r="J1892">
        <v>1000</v>
      </c>
      <c r="K1892" t="s">
        <v>79</v>
      </c>
      <c r="L1892">
        <v>4</v>
      </c>
      <c r="M1892">
        <v>229.89</v>
      </c>
      <c r="N1892">
        <v>8.8000000000000007</v>
      </c>
      <c r="Q1892">
        <v>221.08999999999997</v>
      </c>
      <c r="R1892" t="s">
        <v>1011</v>
      </c>
      <c r="V1892">
        <v>0</v>
      </c>
      <c r="W1892">
        <v>0</v>
      </c>
      <c r="AF1892">
        <v>0</v>
      </c>
      <c r="AG1892">
        <v>0</v>
      </c>
      <c r="AH1892">
        <v>0</v>
      </c>
      <c r="AI1892">
        <v>12</v>
      </c>
      <c r="AJ1892">
        <v>12</v>
      </c>
      <c r="AM1892">
        <v>0</v>
      </c>
      <c r="AN1892">
        <v>231.08999999999995</v>
      </c>
      <c r="AP1892">
        <v>43</v>
      </c>
    </row>
    <row r="1893" spans="1:42" x14ac:dyDescent="0.25">
      <c r="A1893" t="s">
        <v>45</v>
      </c>
      <c r="B1893">
        <v>5</v>
      </c>
      <c r="C1893" t="s">
        <v>999</v>
      </c>
      <c r="D1893" s="39">
        <v>45954</v>
      </c>
      <c r="E1893" t="s">
        <v>243</v>
      </c>
      <c r="F1893" t="s">
        <v>79</v>
      </c>
      <c r="G1893">
        <v>13</v>
      </c>
      <c r="H1893" t="s">
        <v>123</v>
      </c>
      <c r="I1893" t="s">
        <v>79</v>
      </c>
      <c r="J1893">
        <v>100</v>
      </c>
      <c r="K1893" t="s">
        <v>79</v>
      </c>
      <c r="L1893">
        <v>3</v>
      </c>
      <c r="M1893">
        <v>158.02000000000001</v>
      </c>
      <c r="N1893">
        <v>4.5</v>
      </c>
      <c r="Q1893">
        <v>153.52000000000001</v>
      </c>
      <c r="R1893" t="s">
        <v>1000</v>
      </c>
      <c r="S1893">
        <v>25</v>
      </c>
      <c r="V1893">
        <v>25</v>
      </c>
      <c r="W1893">
        <v>0.41666666666666674</v>
      </c>
      <c r="AF1893">
        <v>0</v>
      </c>
      <c r="AG1893">
        <v>0</v>
      </c>
      <c r="AH1893">
        <v>0.41666666666666674</v>
      </c>
      <c r="AI1893">
        <v>11.583333333333334</v>
      </c>
      <c r="AJ1893">
        <v>12</v>
      </c>
      <c r="AM1893">
        <v>0</v>
      </c>
      <c r="AN1893">
        <v>163.52000000000001</v>
      </c>
      <c r="AP1893">
        <v>43</v>
      </c>
    </row>
    <row r="1894" spans="1:42" x14ac:dyDescent="0.25">
      <c r="A1894" t="s">
        <v>45</v>
      </c>
      <c r="B1894">
        <v>5</v>
      </c>
      <c r="C1894" t="s">
        <v>1012</v>
      </c>
      <c r="D1894" s="39">
        <v>45954</v>
      </c>
      <c r="E1894" t="s">
        <v>639</v>
      </c>
      <c r="F1894" t="s">
        <v>79</v>
      </c>
      <c r="G1894" t="s">
        <v>632</v>
      </c>
      <c r="H1894">
        <v>7</v>
      </c>
      <c r="I1894" t="s">
        <v>79</v>
      </c>
      <c r="J1894">
        <v>300</v>
      </c>
      <c r="K1894" t="s">
        <v>79</v>
      </c>
      <c r="L1894">
        <v>5</v>
      </c>
      <c r="M1894">
        <v>308.13</v>
      </c>
      <c r="N1894">
        <v>6.5</v>
      </c>
      <c r="Q1894">
        <v>301.63</v>
      </c>
      <c r="R1894" t="s">
        <v>1013</v>
      </c>
      <c r="V1894">
        <v>0</v>
      </c>
      <c r="W1894">
        <v>0</v>
      </c>
      <c r="AF1894">
        <v>0</v>
      </c>
      <c r="AG1894">
        <v>0</v>
      </c>
      <c r="AH1894">
        <v>0</v>
      </c>
      <c r="AI1894">
        <v>12</v>
      </c>
      <c r="AJ1894">
        <v>12</v>
      </c>
      <c r="AM1894">
        <v>0</v>
      </c>
      <c r="AN1894">
        <v>311.63</v>
      </c>
      <c r="AP1894">
        <v>43</v>
      </c>
    </row>
    <row r="1895" spans="1:42" x14ac:dyDescent="0.25">
      <c r="A1895" t="s">
        <v>45</v>
      </c>
      <c r="B1895">
        <v>5</v>
      </c>
      <c r="C1895" t="s">
        <v>1014</v>
      </c>
      <c r="D1895" s="39">
        <v>45954</v>
      </c>
      <c r="E1895" t="s">
        <v>477</v>
      </c>
      <c r="F1895" t="s">
        <v>79</v>
      </c>
      <c r="G1895" t="s">
        <v>578</v>
      </c>
      <c r="H1895">
        <v>4</v>
      </c>
      <c r="I1895" t="s">
        <v>79</v>
      </c>
      <c r="J1895">
        <v>100</v>
      </c>
      <c r="K1895" t="s">
        <v>79</v>
      </c>
      <c r="L1895">
        <v>2</v>
      </c>
      <c r="M1895">
        <v>60.49</v>
      </c>
      <c r="N1895">
        <v>2</v>
      </c>
      <c r="Q1895">
        <v>58.49</v>
      </c>
      <c r="R1895" t="s">
        <v>1015</v>
      </c>
      <c r="V1895">
        <v>0</v>
      </c>
      <c r="W1895">
        <v>0</v>
      </c>
      <c r="AF1895">
        <v>0</v>
      </c>
      <c r="AG1895">
        <v>0</v>
      </c>
      <c r="AH1895">
        <v>0</v>
      </c>
      <c r="AI1895">
        <v>12</v>
      </c>
      <c r="AJ1895">
        <v>12</v>
      </c>
      <c r="AM1895">
        <v>0</v>
      </c>
      <c r="AN1895">
        <v>68.490000000000009</v>
      </c>
      <c r="AP1895">
        <v>43</v>
      </c>
    </row>
    <row r="1896" spans="1:42" x14ac:dyDescent="0.25">
      <c r="A1896" t="s">
        <v>46</v>
      </c>
      <c r="B1896">
        <v>5</v>
      </c>
      <c r="C1896" t="s">
        <v>1014</v>
      </c>
      <c r="D1896" s="39">
        <v>45954</v>
      </c>
      <c r="E1896" t="s">
        <v>477</v>
      </c>
      <c r="F1896" t="s">
        <v>79</v>
      </c>
      <c r="G1896" t="s">
        <v>578</v>
      </c>
      <c r="H1896">
        <v>4</v>
      </c>
      <c r="I1896" t="s">
        <v>79</v>
      </c>
      <c r="J1896">
        <v>100</v>
      </c>
      <c r="K1896" t="s">
        <v>79</v>
      </c>
      <c r="L1896">
        <v>2</v>
      </c>
      <c r="M1896">
        <v>81.06</v>
      </c>
      <c r="N1896">
        <v>2</v>
      </c>
      <c r="Q1896">
        <v>79.06</v>
      </c>
      <c r="R1896" t="s">
        <v>1015</v>
      </c>
      <c r="V1896">
        <v>0</v>
      </c>
      <c r="W1896">
        <v>0</v>
      </c>
      <c r="AF1896">
        <v>0</v>
      </c>
      <c r="AG1896">
        <v>0</v>
      </c>
      <c r="AH1896">
        <v>0</v>
      </c>
      <c r="AI1896">
        <v>12</v>
      </c>
      <c r="AJ1896">
        <v>12</v>
      </c>
      <c r="AM1896">
        <v>0</v>
      </c>
      <c r="AN1896">
        <v>89.06</v>
      </c>
      <c r="AP1896">
        <v>43</v>
      </c>
    </row>
    <row r="1897" spans="1:42" x14ac:dyDescent="0.25">
      <c r="A1897" t="s">
        <v>46</v>
      </c>
      <c r="B1897">
        <v>5</v>
      </c>
      <c r="C1897" t="s">
        <v>1016</v>
      </c>
      <c r="D1897" s="39">
        <v>45954</v>
      </c>
      <c r="E1897" t="s">
        <v>486</v>
      </c>
      <c r="F1897" t="s">
        <v>79</v>
      </c>
      <c r="G1897">
        <v>10</v>
      </c>
      <c r="H1897">
        <v>5</v>
      </c>
      <c r="I1897" t="s">
        <v>79</v>
      </c>
      <c r="J1897">
        <v>1000</v>
      </c>
      <c r="K1897" t="s">
        <v>79</v>
      </c>
      <c r="L1897">
        <v>6</v>
      </c>
      <c r="M1897">
        <v>269.04000000000002</v>
      </c>
      <c r="N1897">
        <v>6</v>
      </c>
      <c r="Q1897">
        <v>263.04000000000002</v>
      </c>
      <c r="R1897" t="s">
        <v>1017</v>
      </c>
      <c r="V1897">
        <v>0</v>
      </c>
      <c r="W1897">
        <v>0</v>
      </c>
      <c r="AF1897">
        <v>0</v>
      </c>
      <c r="AG1897">
        <v>0</v>
      </c>
      <c r="AH1897">
        <v>0</v>
      </c>
      <c r="AI1897">
        <v>12</v>
      </c>
      <c r="AJ1897">
        <v>12</v>
      </c>
      <c r="AM1897">
        <v>0</v>
      </c>
      <c r="AN1897">
        <v>273.04000000000002</v>
      </c>
      <c r="AP1897">
        <v>43</v>
      </c>
    </row>
    <row r="1898" spans="1:42" x14ac:dyDescent="0.25">
      <c r="A1898" t="s">
        <v>46</v>
      </c>
      <c r="B1898">
        <v>5</v>
      </c>
      <c r="C1898" t="s">
        <v>1018</v>
      </c>
      <c r="D1898" s="39">
        <v>45954</v>
      </c>
      <c r="E1898" t="s">
        <v>302</v>
      </c>
      <c r="F1898" t="s">
        <v>79</v>
      </c>
      <c r="G1898">
        <v>10</v>
      </c>
      <c r="H1898">
        <v>9</v>
      </c>
      <c r="I1898" t="s">
        <v>79</v>
      </c>
      <c r="J1898">
        <v>100</v>
      </c>
      <c r="K1898" t="s">
        <v>79</v>
      </c>
      <c r="L1898">
        <v>4</v>
      </c>
      <c r="M1898">
        <v>108.18</v>
      </c>
      <c r="N1898">
        <v>4</v>
      </c>
      <c r="Q1898">
        <v>104.18</v>
      </c>
      <c r="R1898" t="s">
        <v>1019</v>
      </c>
      <c r="V1898">
        <v>0</v>
      </c>
      <c r="W1898">
        <v>0</v>
      </c>
      <c r="AF1898">
        <v>0</v>
      </c>
      <c r="AG1898">
        <v>0</v>
      </c>
      <c r="AH1898">
        <v>0</v>
      </c>
      <c r="AI1898">
        <v>12</v>
      </c>
      <c r="AJ1898">
        <v>12</v>
      </c>
      <c r="AM1898">
        <v>0</v>
      </c>
      <c r="AN1898">
        <v>114.18</v>
      </c>
      <c r="AP1898">
        <v>43</v>
      </c>
    </row>
    <row r="1899" spans="1:42" x14ac:dyDescent="0.25">
      <c r="A1899" t="s">
        <v>45</v>
      </c>
      <c r="B1899">
        <v>1</v>
      </c>
      <c r="C1899" t="s">
        <v>1003</v>
      </c>
      <c r="D1899" s="39">
        <v>45955</v>
      </c>
      <c r="E1899" t="s">
        <v>486</v>
      </c>
      <c r="F1899" t="s">
        <v>79</v>
      </c>
      <c r="G1899">
        <v>3</v>
      </c>
      <c r="H1899" t="s">
        <v>92</v>
      </c>
      <c r="I1899" t="s">
        <v>79</v>
      </c>
      <c r="J1899">
        <v>1000</v>
      </c>
      <c r="K1899" t="s">
        <v>79</v>
      </c>
      <c r="L1899">
        <v>10</v>
      </c>
      <c r="M1899">
        <v>132.37</v>
      </c>
      <c r="N1899">
        <v>3</v>
      </c>
      <c r="O1899">
        <v>24</v>
      </c>
      <c r="Q1899">
        <v>129.37</v>
      </c>
      <c r="R1899" t="s">
        <v>1220</v>
      </c>
      <c r="V1899">
        <v>0</v>
      </c>
      <c r="W1899">
        <v>0</v>
      </c>
      <c r="AF1899">
        <v>0</v>
      </c>
      <c r="AG1899">
        <v>0</v>
      </c>
      <c r="AH1899">
        <v>0</v>
      </c>
      <c r="AI1899">
        <v>12</v>
      </c>
      <c r="AJ1899">
        <v>12</v>
      </c>
      <c r="AM1899">
        <v>0</v>
      </c>
      <c r="AN1899">
        <v>139.37</v>
      </c>
      <c r="AP1899">
        <v>43</v>
      </c>
    </row>
    <row r="1900" spans="1:42" x14ac:dyDescent="0.25">
      <c r="A1900" t="s">
        <v>46</v>
      </c>
      <c r="B1900">
        <v>1</v>
      </c>
      <c r="C1900" t="s">
        <v>1003</v>
      </c>
      <c r="D1900" s="39">
        <v>45955</v>
      </c>
      <c r="E1900" t="s">
        <v>486</v>
      </c>
      <c r="F1900" t="s">
        <v>79</v>
      </c>
      <c r="G1900">
        <v>3</v>
      </c>
      <c r="H1900" t="s">
        <v>92</v>
      </c>
      <c r="I1900" t="s">
        <v>79</v>
      </c>
      <c r="J1900">
        <v>1000</v>
      </c>
      <c r="K1900" t="s">
        <v>79</v>
      </c>
      <c r="L1900">
        <v>8</v>
      </c>
      <c r="M1900">
        <v>105.01000000000002</v>
      </c>
      <c r="N1900">
        <v>2.4</v>
      </c>
      <c r="O1900">
        <v>7</v>
      </c>
      <c r="Q1900">
        <v>102.61000000000001</v>
      </c>
      <c r="R1900" t="s">
        <v>1220</v>
      </c>
      <c r="U1900">
        <v>120</v>
      </c>
      <c r="V1900">
        <v>120</v>
      </c>
      <c r="W1900">
        <v>2</v>
      </c>
      <c r="AF1900">
        <v>0</v>
      </c>
      <c r="AG1900">
        <v>0</v>
      </c>
      <c r="AH1900">
        <v>2</v>
      </c>
      <c r="AI1900">
        <v>10</v>
      </c>
      <c r="AJ1900">
        <v>12</v>
      </c>
      <c r="AM1900">
        <v>0</v>
      </c>
      <c r="AN1900">
        <v>112.61</v>
      </c>
      <c r="AP1900">
        <v>43</v>
      </c>
    </row>
    <row r="1901" spans="1:42" x14ac:dyDescent="0.25">
      <c r="A1901" t="s">
        <v>45</v>
      </c>
      <c r="B1901">
        <v>2</v>
      </c>
      <c r="C1901" t="s">
        <v>960</v>
      </c>
      <c r="D1901" s="39">
        <v>45955</v>
      </c>
      <c r="E1901" t="s">
        <v>259</v>
      </c>
      <c r="F1901" t="s">
        <v>79</v>
      </c>
      <c r="G1901" t="s">
        <v>942</v>
      </c>
      <c r="H1901">
        <v>5</v>
      </c>
      <c r="I1901" t="s">
        <v>79</v>
      </c>
      <c r="J1901">
        <v>2000</v>
      </c>
      <c r="K1901" t="s">
        <v>79</v>
      </c>
      <c r="L1901">
        <v>13</v>
      </c>
      <c r="M1901">
        <v>177.13000000000002</v>
      </c>
      <c r="N1901">
        <v>5.2</v>
      </c>
      <c r="Q1901">
        <v>171.93000000000004</v>
      </c>
      <c r="R1901" t="s">
        <v>1046</v>
      </c>
      <c r="V1901">
        <v>0</v>
      </c>
      <c r="W1901">
        <v>0</v>
      </c>
      <c r="AF1901">
        <v>0</v>
      </c>
      <c r="AG1901">
        <v>0</v>
      </c>
      <c r="AH1901">
        <v>0</v>
      </c>
      <c r="AI1901">
        <v>12</v>
      </c>
      <c r="AJ1901">
        <v>12</v>
      </c>
      <c r="AM1901">
        <v>0</v>
      </c>
      <c r="AN1901">
        <v>181.93000000000004</v>
      </c>
      <c r="AP1901">
        <v>43</v>
      </c>
    </row>
    <row r="1902" spans="1:42" x14ac:dyDescent="0.25">
      <c r="A1902" t="s">
        <v>46</v>
      </c>
      <c r="B1902">
        <v>2</v>
      </c>
      <c r="C1902" t="s">
        <v>960</v>
      </c>
      <c r="D1902" s="39">
        <v>45955</v>
      </c>
      <c r="E1902" t="s">
        <v>259</v>
      </c>
      <c r="F1902" t="s">
        <v>79</v>
      </c>
      <c r="G1902" t="s">
        <v>942</v>
      </c>
      <c r="H1902">
        <v>5</v>
      </c>
      <c r="I1902" t="s">
        <v>79</v>
      </c>
      <c r="J1902">
        <v>2000</v>
      </c>
      <c r="K1902" t="s">
        <v>79</v>
      </c>
      <c r="L1902">
        <v>8</v>
      </c>
      <c r="M1902">
        <v>124.46000000000001</v>
      </c>
      <c r="N1902">
        <v>3.2</v>
      </c>
      <c r="Q1902">
        <v>121.26</v>
      </c>
      <c r="R1902" t="s">
        <v>1046</v>
      </c>
      <c r="U1902">
        <v>120</v>
      </c>
      <c r="V1902">
        <v>120</v>
      </c>
      <c r="W1902">
        <v>2</v>
      </c>
      <c r="AF1902">
        <v>0</v>
      </c>
      <c r="AG1902">
        <v>0</v>
      </c>
      <c r="AH1902">
        <v>2</v>
      </c>
      <c r="AI1902">
        <v>10</v>
      </c>
      <c r="AJ1902">
        <v>12</v>
      </c>
      <c r="AM1902">
        <v>0</v>
      </c>
      <c r="AN1902">
        <v>131.26</v>
      </c>
      <c r="AP1902">
        <v>43</v>
      </c>
    </row>
    <row r="1903" spans="1:42" x14ac:dyDescent="0.25">
      <c r="A1903" t="s">
        <v>45</v>
      </c>
      <c r="B1903">
        <v>3</v>
      </c>
      <c r="C1903" t="s">
        <v>948</v>
      </c>
      <c r="D1903" s="39">
        <v>45955</v>
      </c>
      <c r="E1903" t="s">
        <v>259</v>
      </c>
      <c r="F1903" t="s">
        <v>79</v>
      </c>
      <c r="G1903" t="s">
        <v>102</v>
      </c>
      <c r="H1903">
        <v>5</v>
      </c>
      <c r="I1903" t="s">
        <v>79</v>
      </c>
      <c r="J1903">
        <v>4000</v>
      </c>
      <c r="K1903" t="s">
        <v>79</v>
      </c>
      <c r="L1903">
        <v>8</v>
      </c>
      <c r="M1903">
        <v>276.66000000000003</v>
      </c>
      <c r="N1903">
        <v>5.6</v>
      </c>
      <c r="Q1903">
        <v>271.06</v>
      </c>
      <c r="R1903" t="s">
        <v>1127</v>
      </c>
      <c r="V1903">
        <v>0</v>
      </c>
      <c r="W1903">
        <v>0</v>
      </c>
      <c r="AF1903">
        <v>0</v>
      </c>
      <c r="AG1903">
        <v>0</v>
      </c>
      <c r="AH1903">
        <v>0</v>
      </c>
      <c r="AI1903">
        <v>12</v>
      </c>
      <c r="AJ1903">
        <v>12</v>
      </c>
      <c r="AM1903">
        <v>0</v>
      </c>
      <c r="AN1903">
        <v>281.06</v>
      </c>
      <c r="AP1903">
        <v>43</v>
      </c>
    </row>
    <row r="1904" spans="1:42" x14ac:dyDescent="0.25">
      <c r="A1904" t="s">
        <v>46</v>
      </c>
      <c r="B1904">
        <v>3</v>
      </c>
      <c r="C1904" t="s">
        <v>948</v>
      </c>
      <c r="D1904" s="39">
        <v>45955</v>
      </c>
      <c r="E1904" t="s">
        <v>259</v>
      </c>
      <c r="F1904" t="s">
        <v>79</v>
      </c>
      <c r="G1904" t="s">
        <v>102</v>
      </c>
      <c r="H1904">
        <v>5</v>
      </c>
      <c r="I1904" t="s">
        <v>79</v>
      </c>
      <c r="J1904">
        <v>4000</v>
      </c>
      <c r="K1904" t="s">
        <v>79</v>
      </c>
      <c r="L1904">
        <v>7</v>
      </c>
      <c r="M1904">
        <v>217.65</v>
      </c>
      <c r="N1904">
        <v>4.8999999999999995</v>
      </c>
      <c r="Q1904">
        <v>212.75</v>
      </c>
      <c r="R1904" t="s">
        <v>1127</v>
      </c>
      <c r="U1904">
        <v>120</v>
      </c>
      <c r="V1904">
        <v>120</v>
      </c>
      <c r="W1904">
        <v>2</v>
      </c>
      <c r="AF1904">
        <v>0</v>
      </c>
      <c r="AG1904">
        <v>0</v>
      </c>
      <c r="AH1904">
        <v>2</v>
      </c>
      <c r="AI1904">
        <v>10</v>
      </c>
      <c r="AJ1904">
        <v>12</v>
      </c>
      <c r="AM1904">
        <v>0</v>
      </c>
      <c r="AN1904">
        <v>222.75</v>
      </c>
      <c r="AP1904">
        <v>43</v>
      </c>
    </row>
    <row r="1905" spans="1:42" x14ac:dyDescent="0.25">
      <c r="A1905" t="s">
        <v>45</v>
      </c>
      <c r="B1905">
        <v>4</v>
      </c>
      <c r="C1905" t="s">
        <v>1008</v>
      </c>
      <c r="D1905" s="39">
        <v>45955</v>
      </c>
      <c r="E1905" t="s">
        <v>243</v>
      </c>
      <c r="F1905" t="s">
        <v>79</v>
      </c>
      <c r="G1905">
        <v>22</v>
      </c>
      <c r="H1905" t="s">
        <v>123</v>
      </c>
      <c r="I1905" t="s">
        <v>79</v>
      </c>
      <c r="J1905">
        <v>100</v>
      </c>
      <c r="K1905" t="s">
        <v>79</v>
      </c>
      <c r="L1905">
        <v>1</v>
      </c>
      <c r="M1905">
        <v>363.15</v>
      </c>
      <c r="N1905">
        <v>2.79</v>
      </c>
      <c r="Q1905">
        <v>360.35999999999996</v>
      </c>
      <c r="R1905" t="s">
        <v>1009</v>
      </c>
      <c r="S1905">
        <v>30</v>
      </c>
      <c r="V1905">
        <v>30</v>
      </c>
      <c r="W1905">
        <v>0.5</v>
      </c>
      <c r="AF1905">
        <v>0</v>
      </c>
      <c r="AG1905">
        <v>0</v>
      </c>
      <c r="AH1905">
        <v>0.5</v>
      </c>
      <c r="AI1905">
        <v>11.5</v>
      </c>
      <c r="AJ1905">
        <v>12</v>
      </c>
      <c r="AM1905">
        <v>0</v>
      </c>
      <c r="AN1905">
        <v>370.36</v>
      </c>
      <c r="AP1905">
        <v>43</v>
      </c>
    </row>
    <row r="1906" spans="1:42" x14ac:dyDescent="0.25">
      <c r="A1906" t="s">
        <v>45</v>
      </c>
      <c r="B1906">
        <v>4</v>
      </c>
      <c r="C1906" t="s">
        <v>1010</v>
      </c>
      <c r="D1906" s="39">
        <v>45955</v>
      </c>
      <c r="E1906" t="s">
        <v>194</v>
      </c>
      <c r="F1906" t="s">
        <v>79</v>
      </c>
      <c r="G1906">
        <v>22</v>
      </c>
      <c r="H1906" t="s">
        <v>113</v>
      </c>
      <c r="I1906" t="s">
        <v>79</v>
      </c>
      <c r="J1906">
        <v>1000</v>
      </c>
      <c r="K1906" t="s">
        <v>79</v>
      </c>
      <c r="L1906">
        <v>6</v>
      </c>
      <c r="M1906">
        <v>303.99</v>
      </c>
      <c r="N1906">
        <v>13.73</v>
      </c>
      <c r="Q1906">
        <v>290.26</v>
      </c>
      <c r="R1906" t="s">
        <v>1011</v>
      </c>
      <c r="V1906">
        <v>0</v>
      </c>
      <c r="W1906">
        <v>0</v>
      </c>
      <c r="AF1906">
        <v>0</v>
      </c>
      <c r="AG1906">
        <v>0</v>
      </c>
      <c r="AH1906">
        <v>0</v>
      </c>
      <c r="AI1906">
        <v>12</v>
      </c>
      <c r="AJ1906">
        <v>12</v>
      </c>
      <c r="AM1906">
        <v>0</v>
      </c>
      <c r="AN1906">
        <v>300.26</v>
      </c>
      <c r="AP1906">
        <v>43</v>
      </c>
    </row>
    <row r="1907" spans="1:42" x14ac:dyDescent="0.25">
      <c r="A1907" t="s">
        <v>45</v>
      </c>
      <c r="B1907">
        <v>4</v>
      </c>
      <c r="C1907" t="s">
        <v>1020</v>
      </c>
      <c r="D1907" s="39">
        <v>45955</v>
      </c>
      <c r="E1907" t="s">
        <v>276</v>
      </c>
      <c r="F1907" t="s">
        <v>79</v>
      </c>
      <c r="G1907">
        <v>24</v>
      </c>
      <c r="H1907" t="s">
        <v>113</v>
      </c>
      <c r="I1907" t="s">
        <v>79</v>
      </c>
      <c r="J1907">
        <v>1000</v>
      </c>
      <c r="K1907" t="s">
        <v>79</v>
      </c>
      <c r="L1907">
        <v>6</v>
      </c>
      <c r="M1907">
        <v>373.07</v>
      </c>
      <c r="N1907">
        <v>19</v>
      </c>
      <c r="Q1907">
        <v>354.07</v>
      </c>
      <c r="R1907" t="s">
        <v>1021</v>
      </c>
      <c r="V1907">
        <v>0</v>
      </c>
      <c r="W1907">
        <v>0</v>
      </c>
      <c r="AF1907">
        <v>0</v>
      </c>
      <c r="AG1907">
        <v>0</v>
      </c>
      <c r="AH1907">
        <v>0</v>
      </c>
      <c r="AI1907">
        <v>12</v>
      </c>
      <c r="AJ1907">
        <v>12</v>
      </c>
      <c r="AM1907">
        <v>0</v>
      </c>
      <c r="AN1907">
        <v>364.07</v>
      </c>
      <c r="AP1907">
        <v>43</v>
      </c>
    </row>
    <row r="1908" spans="1:42" x14ac:dyDescent="0.25">
      <c r="A1908" t="s">
        <v>46</v>
      </c>
      <c r="B1908">
        <v>4</v>
      </c>
      <c r="C1908" t="s">
        <v>1020</v>
      </c>
      <c r="D1908" s="39">
        <v>45955</v>
      </c>
      <c r="E1908" t="s">
        <v>276</v>
      </c>
      <c r="F1908" t="s">
        <v>79</v>
      </c>
      <c r="G1908">
        <v>24</v>
      </c>
      <c r="H1908" t="s">
        <v>113</v>
      </c>
      <c r="I1908" t="s">
        <v>79</v>
      </c>
      <c r="J1908">
        <v>1000</v>
      </c>
      <c r="K1908" t="s">
        <v>79</v>
      </c>
      <c r="L1908">
        <v>10</v>
      </c>
      <c r="M1908">
        <v>602.21</v>
      </c>
      <c r="N1908">
        <v>2.4</v>
      </c>
      <c r="Q1908">
        <v>599.81000000000006</v>
      </c>
      <c r="R1908" t="s">
        <v>1021</v>
      </c>
      <c r="U1908">
        <v>120</v>
      </c>
      <c r="V1908">
        <v>120</v>
      </c>
      <c r="W1908">
        <v>2</v>
      </c>
      <c r="AF1908">
        <v>0</v>
      </c>
      <c r="AG1908">
        <v>0</v>
      </c>
      <c r="AH1908">
        <v>2</v>
      </c>
      <c r="AI1908">
        <v>10</v>
      </c>
      <c r="AJ1908">
        <v>12</v>
      </c>
      <c r="AM1908">
        <v>0</v>
      </c>
      <c r="AN1908">
        <v>609.81000000000006</v>
      </c>
      <c r="AP1908">
        <v>43</v>
      </c>
    </row>
    <row r="1909" spans="1:42" x14ac:dyDescent="0.25">
      <c r="A1909" t="s">
        <v>45</v>
      </c>
      <c r="B1909">
        <v>5</v>
      </c>
      <c r="C1909" t="s">
        <v>1016</v>
      </c>
      <c r="D1909" s="39">
        <v>45955</v>
      </c>
      <c r="E1909" t="s">
        <v>486</v>
      </c>
      <c r="F1909" t="s">
        <v>79</v>
      </c>
      <c r="G1909">
        <v>10</v>
      </c>
      <c r="H1909">
        <v>5</v>
      </c>
      <c r="I1909" t="s">
        <v>79</v>
      </c>
      <c r="J1909">
        <v>1000</v>
      </c>
      <c r="K1909" t="s">
        <v>79</v>
      </c>
      <c r="L1909">
        <v>9</v>
      </c>
      <c r="M1909">
        <v>470.10999999999996</v>
      </c>
      <c r="N1909">
        <v>9.9</v>
      </c>
      <c r="Q1909">
        <v>460.21</v>
      </c>
      <c r="R1909" t="s">
        <v>1017</v>
      </c>
      <c r="V1909">
        <v>0</v>
      </c>
      <c r="W1909">
        <v>0</v>
      </c>
      <c r="AF1909">
        <v>0</v>
      </c>
      <c r="AG1909">
        <v>0</v>
      </c>
      <c r="AH1909">
        <v>0</v>
      </c>
      <c r="AI1909">
        <v>12</v>
      </c>
      <c r="AJ1909">
        <v>12</v>
      </c>
      <c r="AM1909">
        <v>0</v>
      </c>
      <c r="AN1909">
        <v>470.21</v>
      </c>
      <c r="AP1909">
        <v>43</v>
      </c>
    </row>
    <row r="1910" spans="1:42" x14ac:dyDescent="0.25">
      <c r="A1910" t="s">
        <v>46</v>
      </c>
      <c r="B1910">
        <v>5</v>
      </c>
      <c r="C1910" t="s">
        <v>1016</v>
      </c>
      <c r="D1910" s="39">
        <v>45955</v>
      </c>
      <c r="E1910" t="s">
        <v>486</v>
      </c>
      <c r="F1910" t="s">
        <v>79</v>
      </c>
      <c r="G1910">
        <v>10</v>
      </c>
      <c r="H1910">
        <v>5</v>
      </c>
      <c r="I1910" t="s">
        <v>79</v>
      </c>
      <c r="J1910">
        <v>1000</v>
      </c>
      <c r="K1910" t="s">
        <v>79</v>
      </c>
      <c r="L1910">
        <v>8</v>
      </c>
      <c r="M1910">
        <v>377.65</v>
      </c>
      <c r="N1910">
        <v>8</v>
      </c>
      <c r="Q1910">
        <v>369.65</v>
      </c>
      <c r="R1910" t="s">
        <v>1017</v>
      </c>
      <c r="U1910">
        <v>120</v>
      </c>
      <c r="V1910">
        <v>120</v>
      </c>
      <c r="W1910">
        <v>2</v>
      </c>
      <c r="AF1910">
        <v>0</v>
      </c>
      <c r="AG1910">
        <v>0</v>
      </c>
      <c r="AH1910">
        <v>2</v>
      </c>
      <c r="AI1910">
        <v>10</v>
      </c>
      <c r="AJ1910">
        <v>12</v>
      </c>
      <c r="AM1910">
        <v>0</v>
      </c>
      <c r="AN1910">
        <v>379.65</v>
      </c>
      <c r="AP1910">
        <v>43</v>
      </c>
    </row>
    <row r="1911" spans="1:42" x14ac:dyDescent="0.25">
      <c r="A1911" t="s">
        <v>45</v>
      </c>
      <c r="B1911">
        <v>1</v>
      </c>
      <c r="C1911" t="s">
        <v>1003</v>
      </c>
      <c r="D1911" s="39">
        <v>45957</v>
      </c>
      <c r="E1911" t="s">
        <v>486</v>
      </c>
      <c r="F1911" t="s">
        <v>79</v>
      </c>
      <c r="G1911">
        <v>3</v>
      </c>
      <c r="H1911" t="s">
        <v>92</v>
      </c>
      <c r="I1911" t="s">
        <v>79</v>
      </c>
      <c r="J1911">
        <v>1000</v>
      </c>
      <c r="K1911" t="s">
        <v>79</v>
      </c>
      <c r="L1911">
        <v>7</v>
      </c>
      <c r="M1911">
        <v>84.399999999999991</v>
      </c>
      <c r="N1911">
        <v>2.1</v>
      </c>
      <c r="O1911">
        <v>19</v>
      </c>
      <c r="Q1911">
        <v>82.3</v>
      </c>
      <c r="R1911" t="s">
        <v>1220</v>
      </c>
      <c r="S1911">
        <v>20</v>
      </c>
      <c r="U1911">
        <v>135</v>
      </c>
      <c r="V1911">
        <v>155</v>
      </c>
      <c r="W1911">
        <v>2.5833333333333335</v>
      </c>
      <c r="AF1911">
        <v>0</v>
      </c>
      <c r="AG1911">
        <v>0</v>
      </c>
      <c r="AH1911">
        <v>2.5833333333333335</v>
      </c>
      <c r="AI1911">
        <v>9.4166666666666661</v>
      </c>
      <c r="AJ1911">
        <v>12</v>
      </c>
      <c r="AM1911">
        <v>0</v>
      </c>
      <c r="AN1911">
        <v>120</v>
      </c>
      <c r="AP1911">
        <v>44</v>
      </c>
    </row>
    <row r="1912" spans="1:42" x14ac:dyDescent="0.25">
      <c r="A1912" t="s">
        <v>46</v>
      </c>
      <c r="B1912">
        <v>1</v>
      </c>
      <c r="C1912" t="s">
        <v>1047</v>
      </c>
      <c r="D1912" s="39">
        <v>45957</v>
      </c>
      <c r="E1912" t="s">
        <v>1048</v>
      </c>
      <c r="F1912" t="s">
        <v>79</v>
      </c>
      <c r="G1912" t="s">
        <v>1049</v>
      </c>
      <c r="H1912">
        <v>9</v>
      </c>
      <c r="I1912" t="s">
        <v>79</v>
      </c>
      <c r="J1912">
        <v>50</v>
      </c>
      <c r="K1912" t="s">
        <v>79</v>
      </c>
      <c r="L1912">
        <v>4</v>
      </c>
      <c r="M1912">
        <v>57.53</v>
      </c>
      <c r="N1912">
        <v>1.6</v>
      </c>
      <c r="O1912">
        <v>16</v>
      </c>
      <c r="Q1912">
        <v>55.93</v>
      </c>
      <c r="R1912" t="s">
        <v>1050</v>
      </c>
      <c r="S1912">
        <v>20</v>
      </c>
      <c r="V1912">
        <v>20</v>
      </c>
      <c r="W1912">
        <v>0.33333333333333331</v>
      </c>
      <c r="X1912">
        <v>20</v>
      </c>
      <c r="AF1912">
        <v>20</v>
      </c>
      <c r="AG1912">
        <v>0.33333333333333331</v>
      </c>
      <c r="AH1912">
        <v>0.66666666666666663</v>
      </c>
      <c r="AI1912">
        <v>11.333333333333334</v>
      </c>
      <c r="AJ1912">
        <v>12</v>
      </c>
      <c r="AM1912">
        <v>0</v>
      </c>
      <c r="AN1912">
        <v>200</v>
      </c>
      <c r="AP1912">
        <v>44</v>
      </c>
    </row>
    <row r="1913" spans="1:42" x14ac:dyDescent="0.25">
      <c r="A1913" t="s">
        <v>46</v>
      </c>
      <c r="B1913">
        <v>1</v>
      </c>
      <c r="C1913" t="s">
        <v>1051</v>
      </c>
      <c r="D1913" s="39">
        <v>45957</v>
      </c>
      <c r="E1913" t="s">
        <v>1048</v>
      </c>
      <c r="F1913" t="s">
        <v>79</v>
      </c>
      <c r="G1913" t="s">
        <v>534</v>
      </c>
      <c r="H1913">
        <v>9</v>
      </c>
      <c r="I1913" t="s">
        <v>79</v>
      </c>
      <c r="J1913">
        <v>50</v>
      </c>
      <c r="K1913" t="s">
        <v>79</v>
      </c>
      <c r="L1913">
        <v>6</v>
      </c>
      <c r="M1913">
        <v>97.32</v>
      </c>
      <c r="N1913">
        <v>3</v>
      </c>
      <c r="Q1913">
        <v>94.32</v>
      </c>
      <c r="R1913" t="s">
        <v>1052</v>
      </c>
      <c r="S1913">
        <v>20</v>
      </c>
      <c r="V1913">
        <v>20</v>
      </c>
      <c r="W1913">
        <v>0.33333333333333331</v>
      </c>
      <c r="AF1913">
        <v>0</v>
      </c>
      <c r="AG1913">
        <v>0</v>
      </c>
      <c r="AH1913">
        <v>0.33333333333333331</v>
      </c>
      <c r="AI1913">
        <v>11.666666666666666</v>
      </c>
      <c r="AJ1913">
        <v>12</v>
      </c>
      <c r="AM1913">
        <v>0</v>
      </c>
      <c r="AP1913">
        <v>44</v>
      </c>
    </row>
    <row r="1914" spans="1:42" x14ac:dyDescent="0.25">
      <c r="A1914" t="s">
        <v>46</v>
      </c>
      <c r="B1914">
        <v>1</v>
      </c>
      <c r="C1914" t="s">
        <v>1003</v>
      </c>
      <c r="D1914" s="39">
        <v>45957</v>
      </c>
      <c r="E1914" t="s">
        <v>486</v>
      </c>
      <c r="F1914" t="s">
        <v>79</v>
      </c>
      <c r="G1914">
        <v>3</v>
      </c>
      <c r="H1914" t="s">
        <v>92</v>
      </c>
      <c r="I1914" t="s">
        <v>79</v>
      </c>
      <c r="J1914">
        <v>1000</v>
      </c>
      <c r="K1914" t="s">
        <v>79</v>
      </c>
      <c r="L1914">
        <v>1</v>
      </c>
      <c r="M1914">
        <v>10.93</v>
      </c>
      <c r="N1914">
        <v>0.3</v>
      </c>
      <c r="Q1914">
        <v>10.629999999999999</v>
      </c>
      <c r="R1914" t="s">
        <v>1220</v>
      </c>
      <c r="V1914">
        <v>0</v>
      </c>
      <c r="W1914">
        <v>0</v>
      </c>
      <c r="AF1914">
        <v>0</v>
      </c>
      <c r="AG1914">
        <v>0</v>
      </c>
      <c r="AH1914">
        <v>0</v>
      </c>
      <c r="AI1914">
        <v>12</v>
      </c>
      <c r="AJ1914">
        <v>12</v>
      </c>
      <c r="AM1914">
        <v>0</v>
      </c>
      <c r="AP1914">
        <v>44</v>
      </c>
    </row>
    <row r="1915" spans="1:42" x14ac:dyDescent="0.25">
      <c r="A1915" t="s">
        <v>45</v>
      </c>
      <c r="B1915">
        <v>2</v>
      </c>
      <c r="C1915" t="s">
        <v>960</v>
      </c>
      <c r="D1915" s="39">
        <v>45957</v>
      </c>
      <c r="E1915" t="s">
        <v>259</v>
      </c>
      <c r="F1915" t="s">
        <v>79</v>
      </c>
      <c r="G1915" t="s">
        <v>942</v>
      </c>
      <c r="H1915">
        <v>5</v>
      </c>
      <c r="I1915" t="s">
        <v>79</v>
      </c>
      <c r="J1915">
        <v>2000</v>
      </c>
      <c r="K1915" t="s">
        <v>79</v>
      </c>
      <c r="L1915">
        <v>9</v>
      </c>
      <c r="M1915">
        <v>136.04000000000002</v>
      </c>
      <c r="N1915">
        <v>3.6</v>
      </c>
      <c r="O1915">
        <v>7</v>
      </c>
      <c r="Q1915">
        <v>132.44000000000003</v>
      </c>
      <c r="R1915" t="s">
        <v>1046</v>
      </c>
      <c r="U1915">
        <v>135</v>
      </c>
      <c r="V1915">
        <v>135</v>
      </c>
      <c r="W1915">
        <v>2.25</v>
      </c>
      <c r="AF1915">
        <v>0</v>
      </c>
      <c r="AG1915">
        <v>0</v>
      </c>
      <c r="AH1915">
        <v>2.25</v>
      </c>
      <c r="AI1915">
        <v>9.75</v>
      </c>
      <c r="AJ1915">
        <v>12</v>
      </c>
      <c r="AM1915">
        <v>0</v>
      </c>
      <c r="AN1915">
        <v>160</v>
      </c>
      <c r="AP1915">
        <v>44</v>
      </c>
    </row>
    <row r="1916" spans="1:42" x14ac:dyDescent="0.25">
      <c r="A1916" t="s">
        <v>46</v>
      </c>
      <c r="B1916">
        <v>2</v>
      </c>
      <c r="C1916" t="s">
        <v>1053</v>
      </c>
      <c r="D1916" s="39">
        <v>45957</v>
      </c>
      <c r="E1916" t="s">
        <v>1048</v>
      </c>
      <c r="F1916" t="s">
        <v>79</v>
      </c>
      <c r="G1916" t="s">
        <v>942</v>
      </c>
      <c r="H1916">
        <v>9</v>
      </c>
      <c r="I1916" t="s">
        <v>79</v>
      </c>
      <c r="J1916">
        <v>50</v>
      </c>
      <c r="K1916" t="s">
        <v>79</v>
      </c>
      <c r="L1916">
        <v>4</v>
      </c>
      <c r="M1916">
        <v>50.46</v>
      </c>
      <c r="N1916">
        <v>1.6</v>
      </c>
      <c r="O1916">
        <v>7</v>
      </c>
      <c r="Q1916">
        <v>48.86</v>
      </c>
      <c r="R1916" t="s">
        <v>1054</v>
      </c>
      <c r="V1916">
        <v>0</v>
      </c>
      <c r="W1916">
        <v>0</v>
      </c>
      <c r="AF1916">
        <v>0</v>
      </c>
      <c r="AG1916">
        <v>0</v>
      </c>
      <c r="AH1916">
        <v>0</v>
      </c>
      <c r="AI1916">
        <v>12</v>
      </c>
      <c r="AJ1916">
        <v>12</v>
      </c>
      <c r="AM1916">
        <v>0</v>
      </c>
      <c r="AN1916">
        <v>180</v>
      </c>
      <c r="AP1916">
        <v>44</v>
      </c>
    </row>
    <row r="1917" spans="1:42" x14ac:dyDescent="0.25">
      <c r="A1917" t="s">
        <v>46</v>
      </c>
      <c r="B1917">
        <v>2</v>
      </c>
      <c r="C1917" t="s">
        <v>960</v>
      </c>
      <c r="D1917" s="39">
        <v>45957</v>
      </c>
      <c r="E1917" t="s">
        <v>259</v>
      </c>
      <c r="F1917" t="s">
        <v>79</v>
      </c>
      <c r="G1917" t="s">
        <v>942</v>
      </c>
      <c r="H1917">
        <v>5</v>
      </c>
      <c r="I1917" t="s">
        <v>79</v>
      </c>
      <c r="J1917">
        <v>2000</v>
      </c>
      <c r="K1917" t="s">
        <v>79</v>
      </c>
      <c r="L1917">
        <v>9</v>
      </c>
      <c r="M1917">
        <v>128.19999999999999</v>
      </c>
      <c r="N1917">
        <v>3.6</v>
      </c>
      <c r="Q1917">
        <v>124.6</v>
      </c>
      <c r="R1917" t="s">
        <v>1046</v>
      </c>
      <c r="V1917">
        <v>0</v>
      </c>
      <c r="W1917">
        <v>0</v>
      </c>
      <c r="AF1917">
        <v>0</v>
      </c>
      <c r="AG1917">
        <v>0</v>
      </c>
      <c r="AH1917">
        <v>0</v>
      </c>
      <c r="AI1917">
        <v>12</v>
      </c>
      <c r="AJ1917">
        <v>12</v>
      </c>
      <c r="AM1917">
        <v>0</v>
      </c>
      <c r="AP1917">
        <v>44</v>
      </c>
    </row>
    <row r="1918" spans="1:42" x14ac:dyDescent="0.25">
      <c r="A1918" t="s">
        <v>45</v>
      </c>
      <c r="B1918">
        <v>3</v>
      </c>
      <c r="C1918" t="s">
        <v>1055</v>
      </c>
      <c r="D1918" s="39">
        <v>45957</v>
      </c>
      <c r="E1918" t="s">
        <v>1056</v>
      </c>
      <c r="F1918" t="s">
        <v>79</v>
      </c>
      <c r="G1918">
        <v>6</v>
      </c>
      <c r="H1918">
        <v>4</v>
      </c>
      <c r="I1918" t="s">
        <v>79</v>
      </c>
      <c r="J1918">
        <v>250</v>
      </c>
      <c r="K1918" t="s">
        <v>79</v>
      </c>
      <c r="L1918">
        <v>5</v>
      </c>
      <c r="M1918">
        <v>141.07999999999998</v>
      </c>
      <c r="N1918">
        <v>3</v>
      </c>
      <c r="Q1918">
        <v>138.07999999999998</v>
      </c>
      <c r="R1918" t="s">
        <v>1057</v>
      </c>
      <c r="U1918">
        <v>270</v>
      </c>
      <c r="V1918">
        <v>270</v>
      </c>
      <c r="W1918">
        <v>4.5</v>
      </c>
      <c r="X1918">
        <v>60</v>
      </c>
      <c r="AF1918">
        <v>60</v>
      </c>
      <c r="AG1918">
        <v>1</v>
      </c>
      <c r="AH1918">
        <v>5.5</v>
      </c>
      <c r="AI1918">
        <v>6.5</v>
      </c>
      <c r="AJ1918">
        <v>12</v>
      </c>
      <c r="AM1918">
        <v>0</v>
      </c>
      <c r="AN1918">
        <v>230</v>
      </c>
      <c r="AP1918">
        <v>44</v>
      </c>
    </row>
    <row r="1919" spans="1:42" x14ac:dyDescent="0.25">
      <c r="A1919" t="s">
        <v>46</v>
      </c>
      <c r="B1919">
        <v>3</v>
      </c>
      <c r="C1919" t="s">
        <v>1055</v>
      </c>
      <c r="D1919" s="39">
        <v>45957</v>
      </c>
      <c r="E1919" t="s">
        <v>1056</v>
      </c>
      <c r="F1919" t="s">
        <v>79</v>
      </c>
      <c r="G1919">
        <v>6</v>
      </c>
      <c r="H1919">
        <v>4</v>
      </c>
      <c r="I1919" t="s">
        <v>79</v>
      </c>
      <c r="J1919">
        <v>250</v>
      </c>
      <c r="K1919" t="s">
        <v>79</v>
      </c>
      <c r="L1919">
        <v>5</v>
      </c>
      <c r="M1919">
        <v>128.33000000000001</v>
      </c>
      <c r="N1919">
        <v>3.5</v>
      </c>
      <c r="Q1919">
        <v>124.83000000000001</v>
      </c>
      <c r="R1919" t="s">
        <v>1057</v>
      </c>
      <c r="V1919">
        <v>0</v>
      </c>
      <c r="W1919">
        <v>0</v>
      </c>
      <c r="AF1919">
        <v>0</v>
      </c>
      <c r="AG1919">
        <v>0</v>
      </c>
      <c r="AH1919">
        <v>0</v>
      </c>
      <c r="AI1919">
        <v>12</v>
      </c>
      <c r="AJ1919">
        <v>12</v>
      </c>
      <c r="AM1919">
        <v>0</v>
      </c>
      <c r="AN1919">
        <v>230</v>
      </c>
      <c r="AP1919">
        <v>44</v>
      </c>
    </row>
    <row r="1920" spans="1:42" x14ac:dyDescent="0.25">
      <c r="A1920" t="s">
        <v>46</v>
      </c>
      <c r="B1920">
        <v>3</v>
      </c>
      <c r="C1920" t="s">
        <v>1058</v>
      </c>
      <c r="D1920" s="39">
        <v>45957</v>
      </c>
      <c r="E1920" t="s">
        <v>1059</v>
      </c>
      <c r="F1920" t="s">
        <v>79</v>
      </c>
      <c r="G1920" t="s">
        <v>944</v>
      </c>
      <c r="H1920">
        <v>6</v>
      </c>
      <c r="I1920" t="s">
        <v>79</v>
      </c>
      <c r="J1920">
        <v>100</v>
      </c>
      <c r="K1920" t="s">
        <v>79</v>
      </c>
      <c r="L1920">
        <v>4</v>
      </c>
      <c r="M1920">
        <v>103.75</v>
      </c>
      <c r="N1920">
        <v>2.8</v>
      </c>
      <c r="Q1920">
        <v>100.95</v>
      </c>
      <c r="R1920" t="s">
        <v>1060</v>
      </c>
      <c r="V1920">
        <v>0</v>
      </c>
      <c r="W1920">
        <v>0</v>
      </c>
      <c r="AF1920">
        <v>0</v>
      </c>
      <c r="AG1920">
        <v>0</v>
      </c>
      <c r="AH1920">
        <v>0</v>
      </c>
      <c r="AI1920">
        <v>12</v>
      </c>
      <c r="AJ1920">
        <v>12</v>
      </c>
      <c r="AM1920">
        <v>0</v>
      </c>
      <c r="AP1920">
        <v>44</v>
      </c>
    </row>
    <row r="1921" spans="1:42" x14ac:dyDescent="0.25">
      <c r="A1921" t="s">
        <v>45</v>
      </c>
      <c r="B1921">
        <v>5</v>
      </c>
      <c r="C1921" t="s">
        <v>1061</v>
      </c>
      <c r="D1921" s="39">
        <v>45957</v>
      </c>
      <c r="E1921" t="s">
        <v>639</v>
      </c>
      <c r="F1921" t="s">
        <v>79</v>
      </c>
      <c r="G1921" t="s">
        <v>688</v>
      </c>
      <c r="H1921">
        <v>7</v>
      </c>
      <c r="I1921" t="s">
        <v>79</v>
      </c>
      <c r="J1921">
        <v>100</v>
      </c>
      <c r="K1921" t="s">
        <v>79</v>
      </c>
      <c r="L1921">
        <v>2</v>
      </c>
      <c r="M1921">
        <v>96.03</v>
      </c>
      <c r="N1921">
        <v>2.2000000000000002</v>
      </c>
      <c r="Q1921">
        <v>93.83</v>
      </c>
      <c r="R1921" t="s">
        <v>1062</v>
      </c>
      <c r="S1921">
        <v>30</v>
      </c>
      <c r="U1921">
        <v>180</v>
      </c>
      <c r="V1921">
        <v>210</v>
      </c>
      <c r="W1921">
        <v>3.5</v>
      </c>
      <c r="AF1921">
        <v>0</v>
      </c>
      <c r="AG1921">
        <v>0</v>
      </c>
      <c r="AH1921">
        <v>3.5</v>
      </c>
      <c r="AI1921">
        <v>8.5</v>
      </c>
      <c r="AJ1921">
        <v>12</v>
      </c>
      <c r="AM1921">
        <v>0</v>
      </c>
      <c r="AP1921">
        <v>44</v>
      </c>
    </row>
    <row r="1922" spans="1:42" x14ac:dyDescent="0.25">
      <c r="A1922" t="s">
        <v>45</v>
      </c>
      <c r="B1922">
        <v>5</v>
      </c>
      <c r="C1922" t="s">
        <v>1063</v>
      </c>
      <c r="D1922" s="39">
        <v>45957</v>
      </c>
      <c r="E1922" t="s">
        <v>1048</v>
      </c>
      <c r="F1922" t="s">
        <v>79</v>
      </c>
      <c r="G1922" t="s">
        <v>859</v>
      </c>
      <c r="H1922">
        <v>9</v>
      </c>
      <c r="I1922" t="s">
        <v>79</v>
      </c>
      <c r="J1922">
        <v>50</v>
      </c>
      <c r="K1922" t="s">
        <v>79</v>
      </c>
      <c r="L1922">
        <v>4</v>
      </c>
      <c r="M1922">
        <v>55.56</v>
      </c>
      <c r="N1922">
        <v>3.6</v>
      </c>
      <c r="Q1922">
        <v>51.96</v>
      </c>
      <c r="R1922" t="s">
        <v>1064</v>
      </c>
      <c r="V1922">
        <v>0</v>
      </c>
      <c r="W1922">
        <v>0</v>
      </c>
      <c r="AF1922">
        <v>0</v>
      </c>
      <c r="AG1922">
        <v>0</v>
      </c>
      <c r="AH1922">
        <v>0</v>
      </c>
      <c r="AI1922">
        <v>12</v>
      </c>
      <c r="AJ1922">
        <v>12</v>
      </c>
      <c r="AM1922">
        <v>0</v>
      </c>
      <c r="AN1922">
        <v>500</v>
      </c>
      <c r="AP1922">
        <v>44</v>
      </c>
    </row>
    <row r="1923" spans="1:42" x14ac:dyDescent="0.25">
      <c r="A1923" t="s">
        <v>45</v>
      </c>
      <c r="B1923">
        <v>5</v>
      </c>
      <c r="C1923" t="s">
        <v>1065</v>
      </c>
      <c r="D1923" s="39">
        <v>45957</v>
      </c>
      <c r="E1923" t="s">
        <v>486</v>
      </c>
      <c r="F1923" t="s">
        <v>79</v>
      </c>
      <c r="G1923">
        <v>9</v>
      </c>
      <c r="H1923" t="s">
        <v>113</v>
      </c>
      <c r="I1923" t="s">
        <v>79</v>
      </c>
      <c r="J1923">
        <v>1000</v>
      </c>
      <c r="K1923" t="s">
        <v>79</v>
      </c>
      <c r="L1923">
        <v>3</v>
      </c>
      <c r="M1923">
        <v>101.95</v>
      </c>
      <c r="N1923">
        <v>2.7</v>
      </c>
      <c r="Q1923">
        <v>99.25</v>
      </c>
      <c r="R1923" t="s">
        <v>1066</v>
      </c>
      <c r="V1923">
        <v>0</v>
      </c>
      <c r="W1923">
        <v>0</v>
      </c>
      <c r="AF1923">
        <v>0</v>
      </c>
      <c r="AG1923">
        <v>0</v>
      </c>
      <c r="AH1923">
        <v>0</v>
      </c>
      <c r="AI1923">
        <v>12</v>
      </c>
      <c r="AJ1923">
        <v>12</v>
      </c>
      <c r="AM1923">
        <v>0</v>
      </c>
      <c r="AP1923">
        <v>44</v>
      </c>
    </row>
    <row r="1924" spans="1:42" x14ac:dyDescent="0.25">
      <c r="A1924" t="s">
        <v>45</v>
      </c>
      <c r="B1924">
        <v>5</v>
      </c>
      <c r="C1924" t="s">
        <v>1067</v>
      </c>
      <c r="D1924" s="39">
        <v>45957</v>
      </c>
      <c r="E1924" t="s">
        <v>1068</v>
      </c>
      <c r="F1924" t="s">
        <v>79</v>
      </c>
      <c r="G1924" t="s">
        <v>859</v>
      </c>
      <c r="H1924">
        <v>7</v>
      </c>
      <c r="I1924" t="s">
        <v>79</v>
      </c>
      <c r="J1924">
        <v>100</v>
      </c>
      <c r="K1924" t="s">
        <v>79</v>
      </c>
      <c r="L1924">
        <v>3</v>
      </c>
      <c r="M1924">
        <v>106.04</v>
      </c>
      <c r="N1924">
        <v>2.7</v>
      </c>
      <c r="Q1924">
        <v>103.34</v>
      </c>
      <c r="R1924" t="s">
        <v>1069</v>
      </c>
      <c r="V1924">
        <v>0</v>
      </c>
      <c r="W1924">
        <v>0</v>
      </c>
      <c r="AF1924">
        <v>0</v>
      </c>
      <c r="AG1924">
        <v>0</v>
      </c>
      <c r="AH1924">
        <v>0</v>
      </c>
      <c r="AI1924">
        <v>12</v>
      </c>
      <c r="AJ1924">
        <v>12</v>
      </c>
      <c r="AM1924">
        <v>0</v>
      </c>
      <c r="AP1924">
        <v>44</v>
      </c>
    </row>
    <row r="1925" spans="1:42" x14ac:dyDescent="0.25">
      <c r="A1925" t="s">
        <v>46</v>
      </c>
      <c r="B1925">
        <v>5</v>
      </c>
      <c r="C1925" t="s">
        <v>1065</v>
      </c>
      <c r="D1925" s="39">
        <v>45957</v>
      </c>
      <c r="E1925" t="s">
        <v>486</v>
      </c>
      <c r="F1925" t="s">
        <v>79</v>
      </c>
      <c r="G1925">
        <v>9</v>
      </c>
      <c r="H1925" t="s">
        <v>113</v>
      </c>
      <c r="I1925" t="s">
        <v>79</v>
      </c>
      <c r="J1925">
        <v>1000</v>
      </c>
      <c r="K1925" t="s">
        <v>79</v>
      </c>
      <c r="L1925">
        <v>14</v>
      </c>
      <c r="M1925">
        <v>530.05999999999995</v>
      </c>
      <c r="N1925">
        <v>16.8</v>
      </c>
      <c r="Q1925">
        <v>513.26</v>
      </c>
      <c r="R1925" t="s">
        <v>1066</v>
      </c>
      <c r="V1925">
        <v>0</v>
      </c>
      <c r="W1925">
        <v>0</v>
      </c>
      <c r="AF1925">
        <v>0</v>
      </c>
      <c r="AG1925">
        <v>0</v>
      </c>
      <c r="AH1925">
        <v>0</v>
      </c>
      <c r="AI1925">
        <v>12</v>
      </c>
      <c r="AJ1925">
        <v>12</v>
      </c>
      <c r="AM1925">
        <v>0</v>
      </c>
      <c r="AN1925">
        <v>500</v>
      </c>
      <c r="AP1925">
        <v>44</v>
      </c>
    </row>
    <row r="1926" spans="1:42" x14ac:dyDescent="0.25">
      <c r="A1926" t="s">
        <v>45</v>
      </c>
      <c r="B1926">
        <v>1</v>
      </c>
      <c r="C1926" t="s">
        <v>1003</v>
      </c>
      <c r="D1926" s="39">
        <v>45958</v>
      </c>
      <c r="E1926" t="s">
        <v>486</v>
      </c>
      <c r="F1926" t="s">
        <v>79</v>
      </c>
      <c r="G1926">
        <v>3</v>
      </c>
      <c r="H1926" t="s">
        <v>92</v>
      </c>
      <c r="I1926" t="s">
        <v>79</v>
      </c>
      <c r="J1926">
        <v>1000</v>
      </c>
      <c r="K1926" t="s">
        <v>79</v>
      </c>
      <c r="L1926">
        <v>9</v>
      </c>
      <c r="M1926">
        <v>124.17</v>
      </c>
      <c r="N1926">
        <v>2.6999999999999997</v>
      </c>
      <c r="O1926">
        <v>22</v>
      </c>
      <c r="Q1926">
        <v>121.47</v>
      </c>
      <c r="R1926" t="s">
        <v>1220</v>
      </c>
      <c r="V1926">
        <v>0</v>
      </c>
      <c r="W1926">
        <v>0</v>
      </c>
      <c r="AF1926">
        <v>0</v>
      </c>
      <c r="AG1926">
        <v>0</v>
      </c>
      <c r="AH1926">
        <v>0</v>
      </c>
      <c r="AI1926">
        <v>12</v>
      </c>
      <c r="AJ1926">
        <v>12</v>
      </c>
      <c r="AM1926">
        <v>0</v>
      </c>
      <c r="AN1926">
        <v>120</v>
      </c>
      <c r="AP1926">
        <v>44</v>
      </c>
    </row>
    <row r="1927" spans="1:42" x14ac:dyDescent="0.25">
      <c r="A1927" t="s">
        <v>46</v>
      </c>
      <c r="B1927">
        <v>1</v>
      </c>
      <c r="C1927" t="s">
        <v>1003</v>
      </c>
      <c r="D1927" s="39">
        <v>45958</v>
      </c>
      <c r="E1927" t="s">
        <v>486</v>
      </c>
      <c r="F1927" t="s">
        <v>79</v>
      </c>
      <c r="G1927">
        <v>3</v>
      </c>
      <c r="H1927" t="s">
        <v>92</v>
      </c>
      <c r="I1927" t="s">
        <v>79</v>
      </c>
      <c r="J1927">
        <v>1000</v>
      </c>
      <c r="K1927" t="s">
        <v>79</v>
      </c>
      <c r="L1927">
        <v>9</v>
      </c>
      <c r="M1927">
        <v>120.56</v>
      </c>
      <c r="N1927">
        <v>2.6999999999999997</v>
      </c>
      <c r="O1927">
        <v>21</v>
      </c>
      <c r="Q1927">
        <v>117.86</v>
      </c>
      <c r="R1927" t="s">
        <v>1220</v>
      </c>
      <c r="V1927">
        <v>0</v>
      </c>
      <c r="W1927">
        <v>0</v>
      </c>
      <c r="AF1927">
        <v>0</v>
      </c>
      <c r="AG1927">
        <v>0</v>
      </c>
      <c r="AH1927">
        <v>0</v>
      </c>
      <c r="AI1927">
        <v>12</v>
      </c>
      <c r="AJ1927">
        <v>12</v>
      </c>
      <c r="AM1927">
        <v>0</v>
      </c>
      <c r="AN1927">
        <v>120</v>
      </c>
      <c r="AP1927">
        <v>44</v>
      </c>
    </row>
    <row r="1928" spans="1:42" x14ac:dyDescent="0.25">
      <c r="A1928" t="s">
        <v>45</v>
      </c>
      <c r="B1928">
        <v>2</v>
      </c>
      <c r="C1928" t="s">
        <v>960</v>
      </c>
      <c r="D1928" s="39">
        <v>45958</v>
      </c>
      <c r="E1928" t="s">
        <v>259</v>
      </c>
      <c r="F1928" t="s">
        <v>79</v>
      </c>
      <c r="G1928" t="s">
        <v>942</v>
      </c>
      <c r="H1928">
        <v>5</v>
      </c>
      <c r="I1928" t="s">
        <v>79</v>
      </c>
      <c r="J1928">
        <v>2000</v>
      </c>
      <c r="K1928" t="s">
        <v>79</v>
      </c>
      <c r="L1928">
        <v>12</v>
      </c>
      <c r="M1928">
        <v>179.32</v>
      </c>
      <c r="N1928">
        <v>4.8000000000000007</v>
      </c>
      <c r="O1928">
        <v>2.5</v>
      </c>
      <c r="Q1928">
        <v>174.51999999999998</v>
      </c>
      <c r="R1928" t="s">
        <v>1046</v>
      </c>
      <c r="V1928">
        <v>0</v>
      </c>
      <c r="W1928">
        <v>0</v>
      </c>
      <c r="AF1928">
        <v>0</v>
      </c>
      <c r="AG1928">
        <v>0</v>
      </c>
      <c r="AH1928">
        <v>0</v>
      </c>
      <c r="AI1928">
        <v>12</v>
      </c>
      <c r="AJ1928">
        <v>12</v>
      </c>
      <c r="AM1928">
        <v>0</v>
      </c>
      <c r="AN1928">
        <v>170</v>
      </c>
      <c r="AP1928">
        <v>44</v>
      </c>
    </row>
    <row r="1929" spans="1:42" x14ac:dyDescent="0.25">
      <c r="A1929" t="s">
        <v>46</v>
      </c>
      <c r="B1929">
        <v>2</v>
      </c>
      <c r="C1929" t="s">
        <v>960</v>
      </c>
      <c r="D1929" s="39">
        <v>45958</v>
      </c>
      <c r="E1929" t="s">
        <v>259</v>
      </c>
      <c r="F1929" t="s">
        <v>79</v>
      </c>
      <c r="G1929" t="s">
        <v>942</v>
      </c>
      <c r="H1929">
        <v>5</v>
      </c>
      <c r="I1929" t="s">
        <v>79</v>
      </c>
      <c r="J1929">
        <v>2000</v>
      </c>
      <c r="K1929" t="s">
        <v>79</v>
      </c>
      <c r="L1929">
        <v>13</v>
      </c>
      <c r="M1929">
        <v>175.95</v>
      </c>
      <c r="N1929">
        <v>5.2</v>
      </c>
      <c r="O1929">
        <v>2.5</v>
      </c>
      <c r="Q1929">
        <v>170.75</v>
      </c>
      <c r="R1929" t="s">
        <v>1046</v>
      </c>
      <c r="V1929">
        <v>0</v>
      </c>
      <c r="W1929">
        <v>0</v>
      </c>
      <c r="AF1929">
        <v>0</v>
      </c>
      <c r="AG1929">
        <v>0</v>
      </c>
      <c r="AH1929">
        <v>0</v>
      </c>
      <c r="AI1929">
        <v>12</v>
      </c>
      <c r="AJ1929">
        <v>12</v>
      </c>
      <c r="AM1929">
        <v>0</v>
      </c>
      <c r="AN1929">
        <v>170</v>
      </c>
      <c r="AP1929">
        <v>44</v>
      </c>
    </row>
    <row r="1930" spans="1:42" x14ac:dyDescent="0.25">
      <c r="A1930" t="s">
        <v>45</v>
      </c>
      <c r="B1930">
        <v>3</v>
      </c>
      <c r="C1930" t="s">
        <v>1070</v>
      </c>
      <c r="D1930" s="39">
        <v>45958</v>
      </c>
      <c r="E1930" t="s">
        <v>1048</v>
      </c>
      <c r="F1930" t="s">
        <v>79</v>
      </c>
      <c r="G1930" t="s">
        <v>944</v>
      </c>
      <c r="H1930">
        <v>9</v>
      </c>
      <c r="I1930" t="s">
        <v>79</v>
      </c>
      <c r="J1930">
        <v>50</v>
      </c>
      <c r="K1930" t="s">
        <v>79</v>
      </c>
      <c r="L1930">
        <v>4</v>
      </c>
      <c r="M1930">
        <v>102.3</v>
      </c>
      <c r="N1930">
        <v>2.4</v>
      </c>
      <c r="Q1930">
        <v>99.899999999999991</v>
      </c>
      <c r="R1930" t="s">
        <v>1071</v>
      </c>
      <c r="S1930">
        <v>15</v>
      </c>
      <c r="V1930">
        <v>15</v>
      </c>
      <c r="W1930">
        <v>0.25</v>
      </c>
      <c r="AF1930">
        <v>0</v>
      </c>
      <c r="AG1930">
        <v>0</v>
      </c>
      <c r="AH1930">
        <v>0.25</v>
      </c>
      <c r="AI1930">
        <v>11.75</v>
      </c>
      <c r="AJ1930">
        <v>12</v>
      </c>
      <c r="AM1930">
        <v>0</v>
      </c>
      <c r="AN1930">
        <v>290</v>
      </c>
      <c r="AP1930">
        <v>44</v>
      </c>
    </row>
    <row r="1931" spans="1:42" x14ac:dyDescent="0.25">
      <c r="A1931" t="s">
        <v>45</v>
      </c>
      <c r="B1931">
        <v>3</v>
      </c>
      <c r="C1931" t="s">
        <v>1072</v>
      </c>
      <c r="D1931" s="39">
        <v>45958</v>
      </c>
      <c r="E1931" t="s">
        <v>477</v>
      </c>
      <c r="F1931" t="s">
        <v>79</v>
      </c>
      <c r="G1931" t="s">
        <v>123</v>
      </c>
      <c r="H1931">
        <v>4</v>
      </c>
      <c r="I1931" t="s">
        <v>79</v>
      </c>
      <c r="J1931">
        <v>100</v>
      </c>
      <c r="K1931" t="s">
        <v>79</v>
      </c>
      <c r="L1931">
        <v>4</v>
      </c>
      <c r="M1931">
        <v>106.99</v>
      </c>
      <c r="N1931">
        <v>3.2</v>
      </c>
      <c r="Q1931">
        <v>103.78999999999999</v>
      </c>
      <c r="R1931" t="s">
        <v>1073</v>
      </c>
      <c r="V1931">
        <v>0</v>
      </c>
      <c r="W1931">
        <v>0</v>
      </c>
      <c r="AF1931">
        <v>0</v>
      </c>
      <c r="AG1931">
        <v>0</v>
      </c>
      <c r="AH1931">
        <v>0</v>
      </c>
      <c r="AI1931">
        <v>12</v>
      </c>
      <c r="AJ1931">
        <v>12</v>
      </c>
      <c r="AM1931">
        <v>0</v>
      </c>
      <c r="AP1931">
        <v>44</v>
      </c>
    </row>
    <row r="1932" spans="1:42" x14ac:dyDescent="0.25">
      <c r="A1932" t="s">
        <v>45</v>
      </c>
      <c r="B1932">
        <v>3</v>
      </c>
      <c r="C1932" t="s">
        <v>1074</v>
      </c>
      <c r="D1932" s="39">
        <v>45958</v>
      </c>
      <c r="E1932" t="s">
        <v>1048</v>
      </c>
      <c r="F1932" t="s">
        <v>79</v>
      </c>
      <c r="G1932" t="s">
        <v>123</v>
      </c>
      <c r="H1932">
        <v>9</v>
      </c>
      <c r="I1932" t="s">
        <v>79</v>
      </c>
      <c r="J1932">
        <v>50</v>
      </c>
      <c r="K1932" t="s">
        <v>79</v>
      </c>
      <c r="L1932">
        <v>3</v>
      </c>
      <c r="M1932">
        <v>82.69</v>
      </c>
      <c r="N1932">
        <v>2.4000000000000004</v>
      </c>
      <c r="Q1932">
        <v>80.289999999999992</v>
      </c>
      <c r="R1932" t="s">
        <v>1075</v>
      </c>
      <c r="V1932">
        <v>0</v>
      </c>
      <c r="W1932">
        <v>0</v>
      </c>
      <c r="AF1932">
        <v>0</v>
      </c>
      <c r="AG1932">
        <v>0</v>
      </c>
      <c r="AH1932">
        <v>0</v>
      </c>
      <c r="AI1932">
        <v>12</v>
      </c>
      <c r="AJ1932">
        <v>12</v>
      </c>
      <c r="AM1932">
        <v>0</v>
      </c>
      <c r="AP1932">
        <v>44</v>
      </c>
    </row>
    <row r="1933" spans="1:42" x14ac:dyDescent="0.25">
      <c r="A1933" t="s">
        <v>46</v>
      </c>
      <c r="B1933">
        <v>3</v>
      </c>
      <c r="C1933" t="s">
        <v>1074</v>
      </c>
      <c r="D1933" s="39">
        <v>45958</v>
      </c>
      <c r="E1933" t="s">
        <v>1048</v>
      </c>
      <c r="F1933" t="s">
        <v>79</v>
      </c>
      <c r="G1933" t="s">
        <v>123</v>
      </c>
      <c r="H1933">
        <v>9</v>
      </c>
      <c r="I1933" t="s">
        <v>79</v>
      </c>
      <c r="J1933">
        <v>50</v>
      </c>
      <c r="K1933" t="s">
        <v>79</v>
      </c>
      <c r="L1933">
        <v>1</v>
      </c>
      <c r="M1933">
        <v>27.18</v>
      </c>
      <c r="N1933">
        <v>1</v>
      </c>
      <c r="Q1933">
        <v>26.18</v>
      </c>
      <c r="R1933" t="s">
        <v>1075</v>
      </c>
      <c r="V1933">
        <v>0</v>
      </c>
      <c r="W1933">
        <v>0</v>
      </c>
      <c r="AF1933">
        <v>0</v>
      </c>
      <c r="AG1933">
        <v>0</v>
      </c>
      <c r="AH1933">
        <v>0</v>
      </c>
      <c r="AI1933">
        <v>12</v>
      </c>
      <c r="AJ1933">
        <v>12</v>
      </c>
      <c r="AM1933">
        <v>0</v>
      </c>
      <c r="AN1933">
        <v>290</v>
      </c>
      <c r="AP1933">
        <v>44</v>
      </c>
    </row>
    <row r="1934" spans="1:42" x14ac:dyDescent="0.25">
      <c r="A1934" t="s">
        <v>46</v>
      </c>
      <c r="B1934">
        <v>3</v>
      </c>
      <c r="C1934" t="s">
        <v>1076</v>
      </c>
      <c r="D1934" s="39">
        <v>45958</v>
      </c>
      <c r="E1934" t="s">
        <v>486</v>
      </c>
      <c r="F1934" t="s">
        <v>79</v>
      </c>
      <c r="G1934">
        <v>8</v>
      </c>
      <c r="H1934">
        <v>5</v>
      </c>
      <c r="I1934" t="s">
        <v>79</v>
      </c>
      <c r="J1934">
        <v>1000</v>
      </c>
      <c r="K1934" t="s">
        <v>79</v>
      </c>
      <c r="L1934">
        <v>8</v>
      </c>
      <c r="M1934">
        <v>265.64999999999998</v>
      </c>
      <c r="N1934">
        <v>8.1</v>
      </c>
      <c r="Q1934">
        <v>257.54999999999995</v>
      </c>
      <c r="R1934" t="s">
        <v>1077</v>
      </c>
      <c r="V1934">
        <v>0</v>
      </c>
      <c r="W1934">
        <v>0</v>
      </c>
      <c r="AF1934">
        <v>0</v>
      </c>
      <c r="AG1934">
        <v>0</v>
      </c>
      <c r="AH1934">
        <v>0</v>
      </c>
      <c r="AI1934">
        <v>12</v>
      </c>
      <c r="AJ1934">
        <v>12</v>
      </c>
      <c r="AM1934">
        <v>0</v>
      </c>
      <c r="AP1934">
        <v>44</v>
      </c>
    </row>
    <row r="1935" spans="1:42" x14ac:dyDescent="0.25">
      <c r="A1935" t="s">
        <v>45</v>
      </c>
      <c r="B1935">
        <v>5</v>
      </c>
      <c r="C1935" t="s">
        <v>1065</v>
      </c>
      <c r="D1935" s="39">
        <v>45958</v>
      </c>
      <c r="E1935" t="s">
        <v>486</v>
      </c>
      <c r="F1935" t="s">
        <v>79</v>
      </c>
      <c r="G1935">
        <v>9</v>
      </c>
      <c r="H1935" t="s">
        <v>113</v>
      </c>
      <c r="I1935" t="s">
        <v>79</v>
      </c>
      <c r="J1935">
        <v>1000</v>
      </c>
      <c r="K1935" t="s">
        <v>79</v>
      </c>
      <c r="L1935">
        <v>11</v>
      </c>
      <c r="M1935">
        <v>407.82000000000005</v>
      </c>
      <c r="N1935">
        <v>9.9</v>
      </c>
      <c r="Q1935">
        <v>397.92000000000007</v>
      </c>
      <c r="R1935" t="s">
        <v>1066</v>
      </c>
      <c r="S1935">
        <v>30</v>
      </c>
      <c r="V1935">
        <v>30</v>
      </c>
      <c r="W1935">
        <v>0.5</v>
      </c>
      <c r="AF1935">
        <v>0</v>
      </c>
      <c r="AG1935">
        <v>0</v>
      </c>
      <c r="AH1935">
        <v>0.5</v>
      </c>
      <c r="AI1935">
        <v>11.5</v>
      </c>
      <c r="AJ1935">
        <v>12</v>
      </c>
      <c r="AM1935">
        <v>0</v>
      </c>
      <c r="AP1935">
        <v>44</v>
      </c>
    </row>
    <row r="1936" spans="1:42" x14ac:dyDescent="0.25">
      <c r="A1936" t="s">
        <v>45</v>
      </c>
      <c r="B1936">
        <v>5</v>
      </c>
      <c r="C1936" t="s">
        <v>1078</v>
      </c>
      <c r="D1936" s="39">
        <v>45958</v>
      </c>
      <c r="E1936" t="s">
        <v>200</v>
      </c>
      <c r="F1936" t="s">
        <v>79</v>
      </c>
      <c r="G1936">
        <v>12</v>
      </c>
      <c r="H1936">
        <v>10</v>
      </c>
      <c r="I1936" t="s">
        <v>79</v>
      </c>
      <c r="J1936">
        <v>150</v>
      </c>
      <c r="K1936" t="s">
        <v>79</v>
      </c>
      <c r="L1936">
        <v>2</v>
      </c>
      <c r="M1936">
        <v>70.599999999999994</v>
      </c>
      <c r="N1936">
        <v>2.4</v>
      </c>
      <c r="Q1936">
        <v>68.199999999999989</v>
      </c>
      <c r="R1936" t="s">
        <v>1079</v>
      </c>
      <c r="V1936">
        <v>0</v>
      </c>
      <c r="W1936">
        <v>0</v>
      </c>
      <c r="AF1936">
        <v>0</v>
      </c>
      <c r="AG1936">
        <v>0</v>
      </c>
      <c r="AH1936">
        <v>0</v>
      </c>
      <c r="AI1936">
        <v>12</v>
      </c>
      <c r="AJ1936">
        <v>12</v>
      </c>
      <c r="AM1936">
        <v>0</v>
      </c>
      <c r="AN1936">
        <v>500</v>
      </c>
      <c r="AP1936">
        <v>44</v>
      </c>
    </row>
    <row r="1937" spans="1:42" x14ac:dyDescent="0.25">
      <c r="A1937" t="s">
        <v>46</v>
      </c>
      <c r="B1937">
        <v>5</v>
      </c>
      <c r="C1937" t="s">
        <v>1078</v>
      </c>
      <c r="D1937" s="39">
        <v>45958</v>
      </c>
      <c r="E1937" t="s">
        <v>200</v>
      </c>
      <c r="F1937" t="s">
        <v>79</v>
      </c>
      <c r="G1937">
        <v>12</v>
      </c>
      <c r="H1937">
        <v>10</v>
      </c>
      <c r="I1937" t="s">
        <v>79</v>
      </c>
      <c r="J1937">
        <v>150</v>
      </c>
      <c r="K1937" t="s">
        <v>79</v>
      </c>
      <c r="L1937">
        <v>2</v>
      </c>
      <c r="M1937">
        <v>84.72999999999999</v>
      </c>
      <c r="N1937">
        <v>2.9</v>
      </c>
      <c r="Q1937">
        <v>81.829999999999984</v>
      </c>
      <c r="R1937" t="s">
        <v>1079</v>
      </c>
      <c r="S1937">
        <v>15</v>
      </c>
      <c r="V1937">
        <v>15</v>
      </c>
      <c r="W1937">
        <v>0.25</v>
      </c>
      <c r="AD1937">
        <v>90</v>
      </c>
      <c r="AF1937">
        <v>90</v>
      </c>
      <c r="AG1937">
        <v>1.5</v>
      </c>
      <c r="AH1937">
        <v>1.75</v>
      </c>
      <c r="AI1937">
        <v>10.25</v>
      </c>
      <c r="AJ1937">
        <v>12</v>
      </c>
      <c r="AM1937">
        <v>0</v>
      </c>
      <c r="AP1937">
        <v>44</v>
      </c>
    </row>
    <row r="1938" spans="1:42" x14ac:dyDescent="0.25">
      <c r="A1938" t="s">
        <v>46</v>
      </c>
      <c r="B1938">
        <v>5</v>
      </c>
      <c r="C1938" t="s">
        <v>1080</v>
      </c>
      <c r="D1938" s="39">
        <v>45958</v>
      </c>
      <c r="E1938" t="s">
        <v>674</v>
      </c>
      <c r="F1938" t="s">
        <v>79</v>
      </c>
      <c r="G1938" t="s">
        <v>632</v>
      </c>
      <c r="H1938">
        <v>7</v>
      </c>
      <c r="I1938" t="s">
        <v>79</v>
      </c>
      <c r="J1938">
        <v>250</v>
      </c>
      <c r="K1938" t="s">
        <v>79</v>
      </c>
      <c r="L1938">
        <v>7</v>
      </c>
      <c r="M1938">
        <v>250.98000000000002</v>
      </c>
      <c r="N1938">
        <v>11.459999999999999</v>
      </c>
      <c r="Q1938">
        <v>239.52</v>
      </c>
      <c r="R1938" t="s">
        <v>1081</v>
      </c>
      <c r="S1938">
        <v>15</v>
      </c>
      <c r="V1938">
        <v>15</v>
      </c>
      <c r="W1938">
        <v>0.25</v>
      </c>
      <c r="AF1938">
        <v>0</v>
      </c>
      <c r="AG1938">
        <v>0</v>
      </c>
      <c r="AH1938">
        <v>0.25</v>
      </c>
      <c r="AI1938">
        <v>11.75</v>
      </c>
      <c r="AJ1938">
        <v>12</v>
      </c>
      <c r="AM1938">
        <v>0</v>
      </c>
      <c r="AN1938">
        <v>500</v>
      </c>
      <c r="AP1938">
        <v>44</v>
      </c>
    </row>
    <row r="1939" spans="1:42" x14ac:dyDescent="0.25">
      <c r="A1939" t="s">
        <v>46</v>
      </c>
      <c r="B1939">
        <v>5</v>
      </c>
      <c r="C1939" t="s">
        <v>1082</v>
      </c>
      <c r="D1939" s="39">
        <v>45958</v>
      </c>
      <c r="E1939" t="s">
        <v>486</v>
      </c>
      <c r="F1939" t="s">
        <v>79</v>
      </c>
      <c r="G1939">
        <v>14</v>
      </c>
      <c r="H1939">
        <v>5</v>
      </c>
      <c r="I1939" t="s">
        <v>79</v>
      </c>
      <c r="J1939">
        <v>1500</v>
      </c>
      <c r="K1939" t="s">
        <v>79</v>
      </c>
      <c r="L1939">
        <v>3</v>
      </c>
      <c r="M1939">
        <v>151.23000000000002</v>
      </c>
      <c r="N1939">
        <v>5</v>
      </c>
      <c r="Q1939">
        <v>146.23000000000002</v>
      </c>
      <c r="R1939" t="s">
        <v>1083</v>
      </c>
      <c r="V1939">
        <v>0</v>
      </c>
      <c r="W1939">
        <v>0</v>
      </c>
      <c r="AF1939">
        <v>0</v>
      </c>
      <c r="AG1939">
        <v>0</v>
      </c>
      <c r="AH1939">
        <v>0</v>
      </c>
      <c r="AI1939">
        <v>12</v>
      </c>
      <c r="AJ1939">
        <v>12</v>
      </c>
      <c r="AM1939">
        <v>0</v>
      </c>
      <c r="AP1939">
        <v>44</v>
      </c>
    </row>
    <row r="1940" spans="1:42" x14ac:dyDescent="0.25">
      <c r="A1940" t="s">
        <v>45</v>
      </c>
      <c r="B1940">
        <v>1</v>
      </c>
      <c r="C1940" t="s">
        <v>1003</v>
      </c>
      <c r="D1940" s="39">
        <v>45959</v>
      </c>
      <c r="E1940" t="s">
        <v>486</v>
      </c>
      <c r="F1940" t="s">
        <v>79</v>
      </c>
      <c r="G1940">
        <v>3</v>
      </c>
      <c r="H1940" t="s">
        <v>92</v>
      </c>
      <c r="I1940" t="s">
        <v>79</v>
      </c>
      <c r="J1940">
        <v>1000</v>
      </c>
      <c r="K1940" t="s">
        <v>79</v>
      </c>
      <c r="L1940">
        <v>10</v>
      </c>
      <c r="M1940">
        <v>132.01</v>
      </c>
      <c r="N1940">
        <v>3</v>
      </c>
      <c r="O1940">
        <v>39</v>
      </c>
      <c r="Q1940">
        <v>129.01</v>
      </c>
      <c r="R1940" t="s">
        <v>1220</v>
      </c>
      <c r="V1940">
        <v>0</v>
      </c>
      <c r="W1940">
        <v>0</v>
      </c>
      <c r="AF1940">
        <v>0</v>
      </c>
      <c r="AG1940">
        <v>0</v>
      </c>
      <c r="AH1940">
        <v>0</v>
      </c>
      <c r="AI1940">
        <v>12</v>
      </c>
      <c r="AJ1940">
        <v>12</v>
      </c>
      <c r="AM1940">
        <v>0</v>
      </c>
      <c r="AN1940">
        <v>135</v>
      </c>
      <c r="AP1940">
        <v>44</v>
      </c>
    </row>
    <row r="1941" spans="1:42" x14ac:dyDescent="0.25">
      <c r="A1941" t="s">
        <v>46</v>
      </c>
      <c r="B1941">
        <v>1</v>
      </c>
      <c r="C1941" t="s">
        <v>1003</v>
      </c>
      <c r="D1941" s="39">
        <v>45959</v>
      </c>
      <c r="E1941" t="s">
        <v>486</v>
      </c>
      <c r="F1941" t="s">
        <v>79</v>
      </c>
      <c r="G1941">
        <v>3</v>
      </c>
      <c r="H1941" t="s">
        <v>92</v>
      </c>
      <c r="I1941" t="s">
        <v>79</v>
      </c>
      <c r="J1941">
        <v>1000</v>
      </c>
      <c r="K1941" t="s">
        <v>79</v>
      </c>
      <c r="L1941">
        <v>10</v>
      </c>
      <c r="M1941">
        <v>137.69</v>
      </c>
      <c r="N1941">
        <v>3</v>
      </c>
      <c r="O1941">
        <v>70</v>
      </c>
      <c r="Q1941">
        <v>134.69</v>
      </c>
      <c r="R1941" t="s">
        <v>1220</v>
      </c>
      <c r="V1941">
        <v>0</v>
      </c>
      <c r="W1941">
        <v>0</v>
      </c>
      <c r="AF1941">
        <v>0</v>
      </c>
      <c r="AG1941">
        <v>0</v>
      </c>
      <c r="AH1941">
        <v>0</v>
      </c>
      <c r="AI1941">
        <v>12</v>
      </c>
      <c r="AJ1941">
        <v>12</v>
      </c>
      <c r="AM1941">
        <v>0</v>
      </c>
      <c r="AN1941">
        <v>135</v>
      </c>
      <c r="AP1941">
        <v>44</v>
      </c>
    </row>
    <row r="1942" spans="1:42" x14ac:dyDescent="0.25">
      <c r="A1942" t="s">
        <v>45</v>
      </c>
      <c r="B1942">
        <v>2</v>
      </c>
      <c r="C1942" t="s">
        <v>960</v>
      </c>
      <c r="D1942" s="39">
        <v>45959</v>
      </c>
      <c r="E1942" t="s">
        <v>259</v>
      </c>
      <c r="F1942" t="s">
        <v>79</v>
      </c>
      <c r="G1942" t="s">
        <v>942</v>
      </c>
      <c r="H1942">
        <v>5</v>
      </c>
      <c r="I1942" t="s">
        <v>79</v>
      </c>
      <c r="J1942">
        <v>2000</v>
      </c>
      <c r="K1942" t="s">
        <v>79</v>
      </c>
      <c r="L1942">
        <v>6</v>
      </c>
      <c r="M1942">
        <v>77.599999999999994</v>
      </c>
      <c r="N1942">
        <v>2.4000000000000004</v>
      </c>
      <c r="O1942">
        <v>9</v>
      </c>
      <c r="Q1942">
        <v>75.199999999999989</v>
      </c>
      <c r="R1942" t="s">
        <v>1046</v>
      </c>
      <c r="V1942">
        <v>0</v>
      </c>
      <c r="W1942">
        <v>0</v>
      </c>
      <c r="Z1942">
        <v>300</v>
      </c>
      <c r="AF1942">
        <v>300</v>
      </c>
      <c r="AG1942">
        <v>5</v>
      </c>
      <c r="AH1942">
        <v>5</v>
      </c>
      <c r="AI1942">
        <v>7</v>
      </c>
      <c r="AJ1942">
        <v>12</v>
      </c>
      <c r="AM1942">
        <v>0</v>
      </c>
      <c r="AN1942">
        <v>170</v>
      </c>
      <c r="AP1942">
        <v>44</v>
      </c>
    </row>
    <row r="1943" spans="1:42" x14ac:dyDescent="0.25">
      <c r="A1943" t="s">
        <v>46</v>
      </c>
      <c r="B1943">
        <v>2</v>
      </c>
      <c r="C1943" t="s">
        <v>960</v>
      </c>
      <c r="D1943" s="39">
        <v>45959</v>
      </c>
      <c r="E1943" t="s">
        <v>259</v>
      </c>
      <c r="F1943" t="s">
        <v>79</v>
      </c>
      <c r="G1943" t="s">
        <v>942</v>
      </c>
      <c r="H1943">
        <v>5</v>
      </c>
      <c r="I1943" t="s">
        <v>79</v>
      </c>
      <c r="J1943">
        <v>2000</v>
      </c>
      <c r="K1943" t="s">
        <v>79</v>
      </c>
      <c r="L1943">
        <v>12</v>
      </c>
      <c r="M1943">
        <v>176.35</v>
      </c>
      <c r="N1943">
        <v>4.8000000000000007</v>
      </c>
      <c r="O1943">
        <v>9</v>
      </c>
      <c r="Q1943">
        <v>171.54999999999998</v>
      </c>
      <c r="R1943" t="s">
        <v>1046</v>
      </c>
      <c r="V1943">
        <v>0</v>
      </c>
      <c r="W1943">
        <v>0</v>
      </c>
      <c r="AF1943">
        <v>0</v>
      </c>
      <c r="AG1943">
        <v>0</v>
      </c>
      <c r="AH1943">
        <v>0</v>
      </c>
      <c r="AI1943">
        <v>12</v>
      </c>
      <c r="AJ1943">
        <v>12</v>
      </c>
      <c r="AM1943">
        <v>0</v>
      </c>
      <c r="AN1943">
        <v>170</v>
      </c>
      <c r="AP1943">
        <v>44</v>
      </c>
    </row>
    <row r="1944" spans="1:42" x14ac:dyDescent="0.25">
      <c r="A1944" t="s">
        <v>45</v>
      </c>
      <c r="B1944">
        <v>3</v>
      </c>
      <c r="C1944" t="s">
        <v>1076</v>
      </c>
      <c r="D1944" s="39">
        <v>45959</v>
      </c>
      <c r="E1944" t="s">
        <v>486</v>
      </c>
      <c r="F1944" t="s">
        <v>79</v>
      </c>
      <c r="G1944">
        <v>8</v>
      </c>
      <c r="H1944">
        <v>5</v>
      </c>
      <c r="I1944" t="s">
        <v>79</v>
      </c>
      <c r="J1944">
        <v>1000</v>
      </c>
      <c r="K1944" t="s">
        <v>79</v>
      </c>
      <c r="L1944">
        <v>8</v>
      </c>
      <c r="M1944">
        <v>285.32</v>
      </c>
      <c r="N1944">
        <v>6.4</v>
      </c>
      <c r="Q1944">
        <v>278.92</v>
      </c>
      <c r="R1944" t="s">
        <v>1077</v>
      </c>
      <c r="V1944">
        <v>0</v>
      </c>
      <c r="W1944">
        <v>0</v>
      </c>
      <c r="AF1944">
        <v>0</v>
      </c>
      <c r="AG1944">
        <v>0</v>
      </c>
      <c r="AH1944">
        <v>0</v>
      </c>
      <c r="AI1944">
        <v>12</v>
      </c>
      <c r="AJ1944">
        <v>12</v>
      </c>
      <c r="AM1944">
        <v>0</v>
      </c>
      <c r="AN1944">
        <v>280</v>
      </c>
      <c r="AP1944">
        <v>44</v>
      </c>
    </row>
    <row r="1945" spans="1:42" x14ac:dyDescent="0.25">
      <c r="A1945" t="s">
        <v>46</v>
      </c>
      <c r="B1945">
        <v>3</v>
      </c>
      <c r="C1945" t="s">
        <v>1076</v>
      </c>
      <c r="D1945" s="39">
        <v>45959</v>
      </c>
      <c r="E1945" t="s">
        <v>486</v>
      </c>
      <c r="F1945" t="s">
        <v>79</v>
      </c>
      <c r="G1945">
        <v>8</v>
      </c>
      <c r="H1945">
        <v>5</v>
      </c>
      <c r="I1945" t="s">
        <v>79</v>
      </c>
      <c r="J1945">
        <v>1000</v>
      </c>
      <c r="K1945" t="s">
        <v>79</v>
      </c>
      <c r="L1945">
        <v>2</v>
      </c>
      <c r="M1945">
        <v>88.88</v>
      </c>
      <c r="N1945">
        <v>2</v>
      </c>
      <c r="Q1945">
        <v>86.88</v>
      </c>
      <c r="R1945" t="s">
        <v>1077</v>
      </c>
      <c r="S1945">
        <v>25</v>
      </c>
      <c r="V1945">
        <v>25</v>
      </c>
      <c r="W1945">
        <v>0.41666666666666674</v>
      </c>
      <c r="AF1945">
        <v>0</v>
      </c>
      <c r="AG1945">
        <v>0</v>
      </c>
      <c r="AH1945">
        <v>0.41666666666666674</v>
      </c>
      <c r="AI1945">
        <v>11.583333333333334</v>
      </c>
      <c r="AJ1945">
        <v>12</v>
      </c>
      <c r="AM1945">
        <v>0</v>
      </c>
      <c r="AN1945">
        <v>280</v>
      </c>
      <c r="AP1945">
        <v>44</v>
      </c>
    </row>
    <row r="1946" spans="1:42" x14ac:dyDescent="0.25">
      <c r="A1946" t="s">
        <v>46</v>
      </c>
      <c r="B1946">
        <v>3</v>
      </c>
      <c r="C1946" t="s">
        <v>1084</v>
      </c>
      <c r="D1946" s="39">
        <v>45959</v>
      </c>
      <c r="E1946" t="s">
        <v>1048</v>
      </c>
      <c r="F1946" t="s">
        <v>79</v>
      </c>
      <c r="G1946" t="s">
        <v>102</v>
      </c>
      <c r="H1946">
        <v>9</v>
      </c>
      <c r="I1946" t="s">
        <v>79</v>
      </c>
      <c r="J1946">
        <v>50</v>
      </c>
      <c r="K1946" t="s">
        <v>79</v>
      </c>
      <c r="L1946">
        <v>4</v>
      </c>
      <c r="M1946">
        <v>107.84000000000002</v>
      </c>
      <c r="N1946">
        <v>2.8</v>
      </c>
      <c r="Q1946">
        <v>105.04000000000002</v>
      </c>
      <c r="R1946" t="s">
        <v>1085</v>
      </c>
      <c r="V1946">
        <v>0</v>
      </c>
      <c r="W1946">
        <v>0</v>
      </c>
      <c r="AF1946">
        <v>0</v>
      </c>
      <c r="AG1946">
        <v>0</v>
      </c>
      <c r="AH1946">
        <v>0</v>
      </c>
      <c r="AI1946">
        <v>12</v>
      </c>
      <c r="AJ1946">
        <v>12</v>
      </c>
      <c r="AM1946">
        <v>0</v>
      </c>
      <c r="AP1946">
        <v>44</v>
      </c>
    </row>
    <row r="1947" spans="1:42" x14ac:dyDescent="0.25">
      <c r="A1947" t="s">
        <v>46</v>
      </c>
      <c r="B1947">
        <v>3</v>
      </c>
      <c r="C1947" t="s">
        <v>948</v>
      </c>
      <c r="D1947" s="39">
        <v>45959</v>
      </c>
      <c r="E1947" t="s">
        <v>259</v>
      </c>
      <c r="F1947" t="s">
        <v>79</v>
      </c>
      <c r="G1947" t="s">
        <v>102</v>
      </c>
      <c r="H1947">
        <v>5</v>
      </c>
      <c r="I1947" t="s">
        <v>79</v>
      </c>
      <c r="J1947">
        <v>4000</v>
      </c>
      <c r="K1947" t="s">
        <v>79</v>
      </c>
      <c r="L1947">
        <v>2</v>
      </c>
      <c r="M1947">
        <v>74.460000000000008</v>
      </c>
      <c r="N1947">
        <v>1.4</v>
      </c>
      <c r="Q1947">
        <v>73.06</v>
      </c>
      <c r="R1947" t="s">
        <v>1127</v>
      </c>
      <c r="V1947">
        <v>0</v>
      </c>
      <c r="W1947">
        <v>0</v>
      </c>
      <c r="AF1947">
        <v>0</v>
      </c>
      <c r="AG1947">
        <v>0</v>
      </c>
      <c r="AH1947">
        <v>0</v>
      </c>
      <c r="AI1947">
        <v>12</v>
      </c>
      <c r="AJ1947">
        <v>12</v>
      </c>
      <c r="AM1947">
        <v>0</v>
      </c>
      <c r="AP1947">
        <v>44</v>
      </c>
    </row>
    <row r="1948" spans="1:42" x14ac:dyDescent="0.25">
      <c r="A1948" t="s">
        <v>45</v>
      </c>
      <c r="B1948">
        <v>4</v>
      </c>
      <c r="C1948" t="s">
        <v>1086</v>
      </c>
      <c r="D1948" s="39">
        <v>45959</v>
      </c>
      <c r="E1948" t="s">
        <v>695</v>
      </c>
      <c r="F1948" t="s">
        <v>79</v>
      </c>
      <c r="G1948">
        <v>10</v>
      </c>
      <c r="H1948" t="s">
        <v>696</v>
      </c>
      <c r="I1948" t="s">
        <v>79</v>
      </c>
      <c r="J1948">
        <v>500</v>
      </c>
      <c r="K1948" t="s">
        <v>79</v>
      </c>
      <c r="L1948">
        <v>6</v>
      </c>
      <c r="M1948">
        <v>145.79000000000002</v>
      </c>
      <c r="N1948">
        <v>7.8000000000000007</v>
      </c>
      <c r="Q1948">
        <v>137.99</v>
      </c>
      <c r="R1948" t="s">
        <v>1087</v>
      </c>
      <c r="T1948">
        <v>200</v>
      </c>
      <c r="V1948">
        <v>200</v>
      </c>
      <c r="W1948">
        <v>3.3333333333333335</v>
      </c>
      <c r="AF1948">
        <v>0</v>
      </c>
      <c r="AG1948">
        <v>0</v>
      </c>
      <c r="AH1948">
        <v>3.3333333333333335</v>
      </c>
      <c r="AI1948">
        <v>8.6666666666666661</v>
      </c>
      <c r="AJ1948">
        <v>12</v>
      </c>
      <c r="AM1948">
        <v>0</v>
      </c>
      <c r="AN1948">
        <v>150</v>
      </c>
      <c r="AP1948">
        <v>44</v>
      </c>
    </row>
    <row r="1949" spans="1:42" x14ac:dyDescent="0.25">
      <c r="A1949" t="s">
        <v>46</v>
      </c>
      <c r="B1949">
        <v>4</v>
      </c>
      <c r="C1949" t="s">
        <v>1086</v>
      </c>
      <c r="D1949" s="39">
        <v>45959</v>
      </c>
      <c r="E1949" t="s">
        <v>695</v>
      </c>
      <c r="F1949" t="s">
        <v>79</v>
      </c>
      <c r="G1949">
        <v>10</v>
      </c>
      <c r="H1949" t="s">
        <v>696</v>
      </c>
      <c r="I1949" t="s">
        <v>79</v>
      </c>
      <c r="J1949">
        <v>500</v>
      </c>
      <c r="K1949" t="s">
        <v>79</v>
      </c>
      <c r="L1949">
        <v>16</v>
      </c>
      <c r="M1949">
        <v>375.19</v>
      </c>
      <c r="N1949">
        <v>17.040000000000003</v>
      </c>
      <c r="Q1949">
        <v>358.15</v>
      </c>
      <c r="R1949" t="s">
        <v>1087</v>
      </c>
      <c r="S1949">
        <v>30</v>
      </c>
      <c r="V1949">
        <v>30</v>
      </c>
      <c r="W1949">
        <v>0.5</v>
      </c>
      <c r="AF1949">
        <v>0</v>
      </c>
      <c r="AG1949">
        <v>0</v>
      </c>
      <c r="AH1949">
        <v>0.5</v>
      </c>
      <c r="AI1949">
        <v>11.5</v>
      </c>
      <c r="AJ1949">
        <v>12</v>
      </c>
      <c r="AM1949">
        <v>0</v>
      </c>
      <c r="AN1949">
        <v>500</v>
      </c>
      <c r="AP1949">
        <v>44</v>
      </c>
    </row>
    <row r="1950" spans="1:42" x14ac:dyDescent="0.25">
      <c r="A1950" t="s">
        <v>46</v>
      </c>
      <c r="B1950">
        <v>4</v>
      </c>
      <c r="C1950" t="s">
        <v>1088</v>
      </c>
      <c r="D1950" s="39">
        <v>45959</v>
      </c>
      <c r="E1950" t="s">
        <v>674</v>
      </c>
      <c r="F1950" t="s">
        <v>79</v>
      </c>
      <c r="G1950" t="s">
        <v>848</v>
      </c>
      <c r="H1950">
        <v>7</v>
      </c>
      <c r="I1950" t="s">
        <v>79</v>
      </c>
      <c r="J1950">
        <v>375</v>
      </c>
      <c r="K1950" t="s">
        <v>79</v>
      </c>
      <c r="L1950">
        <v>2</v>
      </c>
      <c r="M1950">
        <v>110.94</v>
      </c>
      <c r="N1950">
        <v>5</v>
      </c>
      <c r="Q1950">
        <v>105.94</v>
      </c>
      <c r="R1950" t="s">
        <v>1089</v>
      </c>
      <c r="V1950">
        <v>0</v>
      </c>
      <c r="W1950">
        <v>0</v>
      </c>
      <c r="AF1950">
        <v>0</v>
      </c>
      <c r="AG1950">
        <v>0</v>
      </c>
      <c r="AH1950">
        <v>0</v>
      </c>
      <c r="AI1950">
        <v>12</v>
      </c>
      <c r="AJ1950">
        <v>12</v>
      </c>
      <c r="AM1950">
        <v>0</v>
      </c>
      <c r="AP1950">
        <v>44</v>
      </c>
    </row>
    <row r="1951" spans="1:42" x14ac:dyDescent="0.25">
      <c r="A1951" t="s">
        <v>45</v>
      </c>
      <c r="B1951">
        <v>5</v>
      </c>
      <c r="C1951" t="s">
        <v>736</v>
      </c>
      <c r="D1951" s="39">
        <v>45959</v>
      </c>
      <c r="E1951" t="s">
        <v>486</v>
      </c>
      <c r="F1951" t="s">
        <v>79</v>
      </c>
      <c r="G1951">
        <v>14</v>
      </c>
      <c r="H1951">
        <v>5</v>
      </c>
      <c r="I1951" t="s">
        <v>79</v>
      </c>
      <c r="J1951">
        <v>1000</v>
      </c>
      <c r="K1951" t="s">
        <v>79</v>
      </c>
      <c r="L1951">
        <v>14</v>
      </c>
      <c r="M1951">
        <v>574.26</v>
      </c>
      <c r="N1951">
        <v>19.599999999999998</v>
      </c>
      <c r="Q1951">
        <v>554.66</v>
      </c>
      <c r="R1951" t="s">
        <v>1514</v>
      </c>
      <c r="V1951">
        <v>0</v>
      </c>
      <c r="W1951">
        <v>0</v>
      </c>
      <c r="AF1951">
        <v>0</v>
      </c>
      <c r="AG1951">
        <v>0</v>
      </c>
      <c r="AH1951">
        <v>0</v>
      </c>
      <c r="AI1951">
        <v>12</v>
      </c>
      <c r="AJ1951">
        <v>12</v>
      </c>
      <c r="AM1951">
        <v>0</v>
      </c>
      <c r="AN1951">
        <v>550</v>
      </c>
      <c r="AP1951">
        <v>44</v>
      </c>
    </row>
    <row r="1952" spans="1:42" x14ac:dyDescent="0.25">
      <c r="A1952" t="s">
        <v>46</v>
      </c>
      <c r="B1952">
        <v>5</v>
      </c>
      <c r="C1952" t="s">
        <v>1082</v>
      </c>
      <c r="D1952" s="39">
        <v>45959</v>
      </c>
      <c r="E1952" t="s">
        <v>486</v>
      </c>
      <c r="F1952" t="s">
        <v>79</v>
      </c>
      <c r="G1952">
        <v>14</v>
      </c>
      <c r="H1952">
        <v>5</v>
      </c>
      <c r="I1952" t="s">
        <v>79</v>
      </c>
      <c r="J1952">
        <v>1500</v>
      </c>
      <c r="K1952" t="s">
        <v>79</v>
      </c>
      <c r="L1952">
        <v>10</v>
      </c>
      <c r="M1952">
        <v>585.57000000000005</v>
      </c>
      <c r="N1952">
        <v>14</v>
      </c>
      <c r="Q1952">
        <v>571.57000000000005</v>
      </c>
      <c r="R1952" t="s">
        <v>1083</v>
      </c>
      <c r="V1952">
        <v>0</v>
      </c>
      <c r="W1952">
        <v>0</v>
      </c>
      <c r="AF1952">
        <v>0</v>
      </c>
      <c r="AG1952">
        <v>0</v>
      </c>
      <c r="AH1952">
        <v>0</v>
      </c>
      <c r="AI1952">
        <v>12</v>
      </c>
      <c r="AJ1952">
        <v>12</v>
      </c>
      <c r="AM1952">
        <v>0</v>
      </c>
      <c r="AN1952">
        <v>550</v>
      </c>
      <c r="AP1952">
        <v>44</v>
      </c>
    </row>
    <row r="1953" spans="1:42" x14ac:dyDescent="0.25">
      <c r="A1953" t="s">
        <v>45</v>
      </c>
      <c r="B1953">
        <v>1</v>
      </c>
      <c r="C1953" t="s">
        <v>1003</v>
      </c>
      <c r="D1953" s="39">
        <v>45960</v>
      </c>
      <c r="E1953" t="s">
        <v>486</v>
      </c>
      <c r="F1953" t="s">
        <v>79</v>
      </c>
      <c r="G1953">
        <v>3</v>
      </c>
      <c r="H1953" t="s">
        <v>92</v>
      </c>
      <c r="I1953" t="s">
        <v>79</v>
      </c>
      <c r="J1953">
        <v>1000</v>
      </c>
      <c r="K1953" t="s">
        <v>79</v>
      </c>
      <c r="L1953">
        <v>9</v>
      </c>
      <c r="M1953">
        <v>122.4</v>
      </c>
      <c r="N1953">
        <v>2.6999999999999997</v>
      </c>
      <c r="O1953">
        <v>4.5</v>
      </c>
      <c r="Q1953">
        <v>119.7</v>
      </c>
      <c r="R1953" t="s">
        <v>1220</v>
      </c>
      <c r="V1953">
        <v>0</v>
      </c>
      <c r="W1953">
        <v>0</v>
      </c>
      <c r="AF1953">
        <v>0</v>
      </c>
      <c r="AG1953">
        <v>0</v>
      </c>
      <c r="AH1953">
        <v>0</v>
      </c>
      <c r="AI1953">
        <v>12</v>
      </c>
      <c r="AJ1953">
        <v>12</v>
      </c>
      <c r="AM1953">
        <v>0</v>
      </c>
      <c r="AN1953">
        <v>120</v>
      </c>
      <c r="AP1953">
        <v>44</v>
      </c>
    </row>
    <row r="1954" spans="1:42" x14ac:dyDescent="0.25">
      <c r="A1954" t="s">
        <v>46</v>
      </c>
      <c r="B1954">
        <v>1</v>
      </c>
      <c r="C1954" t="s">
        <v>1003</v>
      </c>
      <c r="D1954" s="39">
        <v>45960</v>
      </c>
      <c r="E1954" t="s">
        <v>486</v>
      </c>
      <c r="F1954" t="s">
        <v>79</v>
      </c>
      <c r="G1954">
        <v>3</v>
      </c>
      <c r="H1954" t="s">
        <v>92</v>
      </c>
      <c r="I1954" t="s">
        <v>79</v>
      </c>
      <c r="J1954">
        <v>1000</v>
      </c>
      <c r="K1954" t="s">
        <v>79</v>
      </c>
      <c r="L1954">
        <v>9</v>
      </c>
      <c r="M1954">
        <v>125.41000000000001</v>
      </c>
      <c r="N1954">
        <v>2.6999999999999997</v>
      </c>
      <c r="O1954">
        <v>4.5</v>
      </c>
      <c r="Q1954">
        <v>122.71000000000001</v>
      </c>
      <c r="R1954" t="s">
        <v>1220</v>
      </c>
      <c r="V1954">
        <v>0</v>
      </c>
      <c r="W1954">
        <v>0</v>
      </c>
      <c r="AF1954">
        <v>0</v>
      </c>
      <c r="AG1954">
        <v>0</v>
      </c>
      <c r="AH1954">
        <v>0</v>
      </c>
      <c r="AI1954">
        <v>12</v>
      </c>
      <c r="AJ1954">
        <v>12</v>
      </c>
      <c r="AM1954">
        <v>0</v>
      </c>
      <c r="AN1954">
        <v>120</v>
      </c>
      <c r="AP1954">
        <v>44</v>
      </c>
    </row>
    <row r="1955" spans="1:42" x14ac:dyDescent="0.25">
      <c r="A1955" t="s">
        <v>45</v>
      </c>
      <c r="B1955">
        <v>2</v>
      </c>
      <c r="C1955" t="s">
        <v>960</v>
      </c>
      <c r="D1955" s="39">
        <v>45960</v>
      </c>
      <c r="E1955" t="s">
        <v>259</v>
      </c>
      <c r="F1955" t="s">
        <v>79</v>
      </c>
      <c r="G1955" t="s">
        <v>942</v>
      </c>
      <c r="H1955">
        <v>5</v>
      </c>
      <c r="I1955" t="s">
        <v>79</v>
      </c>
      <c r="J1955">
        <v>2000</v>
      </c>
      <c r="K1955" t="s">
        <v>79</v>
      </c>
      <c r="L1955">
        <v>10</v>
      </c>
      <c r="M1955">
        <v>136.01</v>
      </c>
      <c r="N1955">
        <v>4</v>
      </c>
      <c r="Q1955">
        <v>132.01</v>
      </c>
      <c r="R1955" t="s">
        <v>1046</v>
      </c>
      <c r="V1955">
        <v>0</v>
      </c>
      <c r="W1955">
        <v>0</v>
      </c>
      <c r="X1955">
        <v>100</v>
      </c>
      <c r="AD1955">
        <v>40</v>
      </c>
      <c r="AF1955">
        <v>140</v>
      </c>
      <c r="AG1955">
        <v>2.3333333333333335</v>
      </c>
      <c r="AH1955">
        <v>2.3333333333333335</v>
      </c>
      <c r="AI1955">
        <v>9.6666666666666661</v>
      </c>
      <c r="AJ1955">
        <v>12</v>
      </c>
      <c r="AM1955">
        <v>0</v>
      </c>
      <c r="AN1955">
        <v>133</v>
      </c>
      <c r="AP1955">
        <v>44</v>
      </c>
    </row>
    <row r="1956" spans="1:42" x14ac:dyDescent="0.25">
      <c r="A1956" t="s">
        <v>46</v>
      </c>
      <c r="B1956">
        <v>2</v>
      </c>
      <c r="C1956" t="s">
        <v>960</v>
      </c>
      <c r="D1956" s="39">
        <v>45960</v>
      </c>
      <c r="E1956" t="s">
        <v>259</v>
      </c>
      <c r="F1956" t="s">
        <v>79</v>
      </c>
      <c r="G1956" t="s">
        <v>942</v>
      </c>
      <c r="H1956">
        <v>5</v>
      </c>
      <c r="I1956" t="s">
        <v>79</v>
      </c>
      <c r="J1956">
        <v>2000</v>
      </c>
      <c r="K1956" t="s">
        <v>79</v>
      </c>
      <c r="L1956">
        <v>12</v>
      </c>
      <c r="M1956">
        <v>182.94</v>
      </c>
      <c r="N1956">
        <v>4.8000000000000007</v>
      </c>
      <c r="Q1956">
        <v>178.14</v>
      </c>
      <c r="R1956" t="s">
        <v>1046</v>
      </c>
      <c r="V1956">
        <v>0</v>
      </c>
      <c r="W1956">
        <v>0</v>
      </c>
      <c r="AF1956">
        <v>0</v>
      </c>
      <c r="AG1956">
        <v>0</v>
      </c>
      <c r="AH1956">
        <v>0</v>
      </c>
      <c r="AI1956">
        <v>12</v>
      </c>
      <c r="AJ1956">
        <v>12</v>
      </c>
      <c r="AM1956">
        <v>0</v>
      </c>
      <c r="AN1956">
        <v>170</v>
      </c>
      <c r="AP1956">
        <v>44</v>
      </c>
    </row>
    <row r="1957" spans="1:42" x14ac:dyDescent="0.25">
      <c r="A1957" t="s">
        <v>45</v>
      </c>
      <c r="B1957">
        <v>3</v>
      </c>
      <c r="C1957" t="s">
        <v>948</v>
      </c>
      <c r="D1957" s="39">
        <v>45960</v>
      </c>
      <c r="E1957" t="s">
        <v>259</v>
      </c>
      <c r="F1957" t="s">
        <v>79</v>
      </c>
      <c r="G1957" t="s">
        <v>102</v>
      </c>
      <c r="H1957">
        <v>5</v>
      </c>
      <c r="I1957" t="s">
        <v>79</v>
      </c>
      <c r="J1957">
        <v>4000</v>
      </c>
      <c r="K1957" t="s">
        <v>79</v>
      </c>
      <c r="L1957">
        <v>8</v>
      </c>
      <c r="M1957">
        <v>278.84999999999997</v>
      </c>
      <c r="N1957">
        <v>5.6</v>
      </c>
      <c r="Q1957">
        <v>273.24999999999994</v>
      </c>
      <c r="R1957" t="s">
        <v>1127</v>
      </c>
      <c r="V1957">
        <v>0</v>
      </c>
      <c r="W1957">
        <v>0</v>
      </c>
      <c r="AF1957">
        <v>0</v>
      </c>
      <c r="AG1957">
        <v>0</v>
      </c>
      <c r="AH1957">
        <v>0</v>
      </c>
      <c r="AI1957">
        <v>12</v>
      </c>
      <c r="AJ1957">
        <v>12</v>
      </c>
      <c r="AM1957">
        <v>0</v>
      </c>
      <c r="AN1957">
        <v>265</v>
      </c>
      <c r="AP1957">
        <v>44</v>
      </c>
    </row>
    <row r="1958" spans="1:42" x14ac:dyDescent="0.25">
      <c r="A1958" t="s">
        <v>45</v>
      </c>
      <c r="B1958">
        <v>3</v>
      </c>
      <c r="C1958" t="s">
        <v>948</v>
      </c>
      <c r="D1958" s="39">
        <v>45960</v>
      </c>
      <c r="E1958" t="s">
        <v>259</v>
      </c>
      <c r="F1958" t="s">
        <v>79</v>
      </c>
      <c r="G1958" t="s">
        <v>102</v>
      </c>
      <c r="H1958">
        <v>5</v>
      </c>
      <c r="I1958" t="s">
        <v>79</v>
      </c>
      <c r="J1958">
        <v>4000</v>
      </c>
      <c r="K1958" t="s">
        <v>79</v>
      </c>
      <c r="L1958">
        <v>8</v>
      </c>
      <c r="M1958">
        <v>280.87</v>
      </c>
      <c r="N1958">
        <v>5.6</v>
      </c>
      <c r="Q1958">
        <v>275.27</v>
      </c>
      <c r="R1958" t="s">
        <v>1127</v>
      </c>
      <c r="V1958">
        <v>0</v>
      </c>
      <c r="W1958">
        <v>0</v>
      </c>
      <c r="AF1958">
        <v>0</v>
      </c>
      <c r="AG1958">
        <v>0</v>
      </c>
      <c r="AH1958">
        <v>0</v>
      </c>
      <c r="AI1958">
        <v>12</v>
      </c>
      <c r="AJ1958">
        <v>12</v>
      </c>
      <c r="AM1958">
        <v>0</v>
      </c>
      <c r="AN1958">
        <v>265</v>
      </c>
      <c r="AP1958">
        <v>44</v>
      </c>
    </row>
    <row r="1959" spans="1:42" x14ac:dyDescent="0.25">
      <c r="A1959" t="s">
        <v>45</v>
      </c>
      <c r="B1959">
        <v>4</v>
      </c>
      <c r="C1959" t="s">
        <v>1088</v>
      </c>
      <c r="D1959" s="39">
        <v>45960</v>
      </c>
      <c r="E1959" t="s">
        <v>674</v>
      </c>
      <c r="F1959" t="s">
        <v>79</v>
      </c>
      <c r="G1959" t="s">
        <v>848</v>
      </c>
      <c r="H1959">
        <v>7</v>
      </c>
      <c r="I1959" t="s">
        <v>79</v>
      </c>
      <c r="J1959">
        <v>375</v>
      </c>
      <c r="K1959" t="s">
        <v>79</v>
      </c>
      <c r="L1959">
        <v>4</v>
      </c>
      <c r="M1959">
        <v>296.95</v>
      </c>
      <c r="N1959">
        <v>9.5</v>
      </c>
      <c r="Q1959">
        <v>287.45</v>
      </c>
      <c r="R1959" t="s">
        <v>1089</v>
      </c>
      <c r="S1959">
        <v>30</v>
      </c>
      <c r="V1959">
        <v>30</v>
      </c>
      <c r="W1959">
        <v>0.5</v>
      </c>
      <c r="AF1959">
        <v>0</v>
      </c>
      <c r="AG1959">
        <v>0</v>
      </c>
      <c r="AH1959">
        <v>0.5</v>
      </c>
      <c r="AI1959">
        <v>11.5</v>
      </c>
      <c r="AJ1959">
        <v>12</v>
      </c>
      <c r="AM1959">
        <v>0</v>
      </c>
      <c r="AN1959">
        <v>720</v>
      </c>
      <c r="AP1959">
        <v>44</v>
      </c>
    </row>
    <row r="1960" spans="1:42" x14ac:dyDescent="0.25">
      <c r="A1960" t="s">
        <v>45</v>
      </c>
      <c r="B1960">
        <v>4</v>
      </c>
      <c r="C1960" t="s">
        <v>1090</v>
      </c>
      <c r="D1960" s="39">
        <v>45960</v>
      </c>
      <c r="E1960" t="s">
        <v>674</v>
      </c>
      <c r="F1960" t="s">
        <v>79</v>
      </c>
      <c r="G1960" t="s">
        <v>644</v>
      </c>
      <c r="H1960">
        <v>7</v>
      </c>
      <c r="I1960" t="s">
        <v>79</v>
      </c>
      <c r="J1960">
        <v>375</v>
      </c>
      <c r="K1960" t="s">
        <v>79</v>
      </c>
      <c r="L1960">
        <v>5</v>
      </c>
      <c r="M1960">
        <v>230.31</v>
      </c>
      <c r="N1960">
        <v>7.5</v>
      </c>
      <c r="Q1960">
        <v>222.81</v>
      </c>
      <c r="R1960" t="s">
        <v>1091</v>
      </c>
      <c r="V1960">
        <v>0</v>
      </c>
      <c r="W1960">
        <v>0</v>
      </c>
      <c r="AF1960">
        <v>0</v>
      </c>
      <c r="AG1960">
        <v>0</v>
      </c>
      <c r="AH1960">
        <v>0</v>
      </c>
      <c r="AI1960">
        <v>12</v>
      </c>
      <c r="AJ1960">
        <v>12</v>
      </c>
      <c r="AM1960">
        <v>0</v>
      </c>
      <c r="AP1960">
        <v>44</v>
      </c>
    </row>
    <row r="1961" spans="1:42" x14ac:dyDescent="0.25">
      <c r="A1961" t="s">
        <v>45</v>
      </c>
      <c r="B1961">
        <v>4</v>
      </c>
      <c r="C1961" t="s">
        <v>1092</v>
      </c>
      <c r="D1961" s="39">
        <v>45960</v>
      </c>
      <c r="E1961" t="s">
        <v>200</v>
      </c>
      <c r="F1961" t="s">
        <v>79</v>
      </c>
      <c r="G1961">
        <v>15</v>
      </c>
      <c r="H1961">
        <v>10</v>
      </c>
      <c r="I1961" t="s">
        <v>79</v>
      </c>
      <c r="J1961">
        <v>150</v>
      </c>
      <c r="K1961" t="s">
        <v>79</v>
      </c>
      <c r="L1961">
        <v>4</v>
      </c>
      <c r="M1961">
        <v>172.23000000000002</v>
      </c>
      <c r="N1961">
        <v>6</v>
      </c>
      <c r="Q1961">
        <v>166.23000000000002</v>
      </c>
      <c r="R1961" t="s">
        <v>1093</v>
      </c>
      <c r="V1961">
        <v>0</v>
      </c>
      <c r="W1961">
        <v>0</v>
      </c>
      <c r="AF1961">
        <v>0</v>
      </c>
      <c r="AG1961">
        <v>0</v>
      </c>
      <c r="AH1961">
        <v>0</v>
      </c>
      <c r="AI1961">
        <v>12</v>
      </c>
      <c r="AJ1961">
        <v>12</v>
      </c>
      <c r="AM1961">
        <v>0</v>
      </c>
      <c r="AP1961">
        <v>44</v>
      </c>
    </row>
    <row r="1962" spans="1:42" x14ac:dyDescent="0.25">
      <c r="A1962" t="s">
        <v>46</v>
      </c>
      <c r="B1962">
        <v>4</v>
      </c>
      <c r="C1962" t="s">
        <v>1090</v>
      </c>
      <c r="D1962" s="39">
        <v>45960</v>
      </c>
      <c r="E1962" t="s">
        <v>674</v>
      </c>
      <c r="F1962" t="s">
        <v>79</v>
      </c>
      <c r="G1962" t="s">
        <v>644</v>
      </c>
      <c r="H1962">
        <v>7</v>
      </c>
      <c r="I1962" t="s">
        <v>79</v>
      </c>
      <c r="J1962">
        <v>375</v>
      </c>
      <c r="K1962" t="s">
        <v>79</v>
      </c>
      <c r="L1962">
        <v>15</v>
      </c>
      <c r="M1962">
        <v>677.06</v>
      </c>
      <c r="N1962">
        <v>26.270000000000003</v>
      </c>
      <c r="Q1962">
        <v>650.79</v>
      </c>
      <c r="R1962" t="s">
        <v>1091</v>
      </c>
      <c r="V1962">
        <v>0</v>
      </c>
      <c r="W1962">
        <v>0</v>
      </c>
      <c r="AF1962">
        <v>0</v>
      </c>
      <c r="AG1962">
        <v>0</v>
      </c>
      <c r="AH1962">
        <v>0</v>
      </c>
      <c r="AI1962">
        <v>12</v>
      </c>
      <c r="AJ1962">
        <v>12</v>
      </c>
      <c r="AM1962">
        <v>0</v>
      </c>
      <c r="AN1962">
        <v>650</v>
      </c>
      <c r="AP1962">
        <v>44</v>
      </c>
    </row>
    <row r="1963" spans="1:42" x14ac:dyDescent="0.25">
      <c r="A1963" t="s">
        <v>45</v>
      </c>
      <c r="B1963">
        <v>5</v>
      </c>
      <c r="C1963" t="s">
        <v>1082</v>
      </c>
      <c r="D1963" s="39">
        <v>45960</v>
      </c>
      <c r="E1963" t="s">
        <v>486</v>
      </c>
      <c r="F1963" t="s">
        <v>79</v>
      </c>
      <c r="G1963">
        <v>14</v>
      </c>
      <c r="H1963">
        <v>5</v>
      </c>
      <c r="I1963" t="s">
        <v>79</v>
      </c>
      <c r="J1963">
        <v>1500</v>
      </c>
      <c r="K1963" t="s">
        <v>79</v>
      </c>
      <c r="L1963">
        <v>6</v>
      </c>
      <c r="M1963">
        <v>324.77999999999997</v>
      </c>
      <c r="N1963">
        <v>8.3999999999999986</v>
      </c>
      <c r="Q1963">
        <v>316.38</v>
      </c>
      <c r="R1963" t="s">
        <v>1083</v>
      </c>
      <c r="V1963">
        <v>0</v>
      </c>
      <c r="W1963">
        <v>0</v>
      </c>
      <c r="AF1963">
        <v>0</v>
      </c>
      <c r="AG1963">
        <v>0</v>
      </c>
      <c r="AH1963">
        <v>0</v>
      </c>
      <c r="AI1963">
        <v>12</v>
      </c>
      <c r="AJ1963">
        <v>12</v>
      </c>
      <c r="AM1963">
        <v>0</v>
      </c>
      <c r="AP1963">
        <v>44</v>
      </c>
    </row>
    <row r="1964" spans="1:42" x14ac:dyDescent="0.25">
      <c r="A1964" t="s">
        <v>45</v>
      </c>
      <c r="B1964">
        <v>5</v>
      </c>
      <c r="C1964" t="s">
        <v>1094</v>
      </c>
      <c r="D1964" s="39">
        <v>45960</v>
      </c>
      <c r="E1964" t="s">
        <v>326</v>
      </c>
      <c r="F1964" t="s">
        <v>79</v>
      </c>
      <c r="G1964">
        <v>14</v>
      </c>
      <c r="H1964" t="s">
        <v>98</v>
      </c>
      <c r="I1964" t="s">
        <v>79</v>
      </c>
      <c r="J1964">
        <v>100</v>
      </c>
      <c r="K1964" t="s">
        <v>79</v>
      </c>
      <c r="L1964">
        <v>2</v>
      </c>
      <c r="M1964">
        <v>61.58</v>
      </c>
      <c r="N1964">
        <v>2.8</v>
      </c>
      <c r="O1964">
        <v>29</v>
      </c>
      <c r="Q1964">
        <v>58.78</v>
      </c>
      <c r="R1964" t="s">
        <v>1095</v>
      </c>
      <c r="V1964">
        <v>0</v>
      </c>
      <c r="W1964">
        <v>0</v>
      </c>
      <c r="Z1964">
        <v>180</v>
      </c>
      <c r="AF1964">
        <v>180</v>
      </c>
      <c r="AG1964">
        <v>3</v>
      </c>
      <c r="AH1964">
        <v>3</v>
      </c>
      <c r="AI1964">
        <v>9</v>
      </c>
      <c r="AJ1964">
        <v>12</v>
      </c>
      <c r="AM1964">
        <v>0</v>
      </c>
      <c r="AN1964">
        <v>550</v>
      </c>
      <c r="AP1964">
        <v>44</v>
      </c>
    </row>
    <row r="1965" spans="1:42" x14ac:dyDescent="0.25">
      <c r="A1965" t="s">
        <v>46</v>
      </c>
      <c r="B1965">
        <v>5</v>
      </c>
      <c r="C1965" t="s">
        <v>1094</v>
      </c>
      <c r="D1965" s="39">
        <v>45960</v>
      </c>
      <c r="E1965" t="s">
        <v>326</v>
      </c>
      <c r="F1965" t="s">
        <v>79</v>
      </c>
      <c r="G1965">
        <v>14</v>
      </c>
      <c r="H1965" t="s">
        <v>98</v>
      </c>
      <c r="I1965" t="s">
        <v>79</v>
      </c>
      <c r="J1965">
        <v>100</v>
      </c>
      <c r="K1965" t="s">
        <v>79</v>
      </c>
      <c r="L1965">
        <v>1</v>
      </c>
      <c r="M1965">
        <v>53.17</v>
      </c>
      <c r="N1965">
        <v>1.7</v>
      </c>
      <c r="O1965">
        <v>37</v>
      </c>
      <c r="Q1965">
        <v>51.47</v>
      </c>
      <c r="R1965" t="s">
        <v>1095</v>
      </c>
      <c r="S1965">
        <v>30</v>
      </c>
      <c r="V1965">
        <v>30</v>
      </c>
      <c r="W1965">
        <v>0.5</v>
      </c>
      <c r="AF1965">
        <v>0</v>
      </c>
      <c r="AG1965">
        <v>0</v>
      </c>
      <c r="AH1965">
        <v>0.5</v>
      </c>
      <c r="AI1965">
        <v>11.5</v>
      </c>
      <c r="AJ1965">
        <v>12</v>
      </c>
      <c r="AM1965">
        <v>0</v>
      </c>
      <c r="AP1965">
        <v>44</v>
      </c>
    </row>
    <row r="1966" spans="1:42" x14ac:dyDescent="0.25">
      <c r="A1966" t="s">
        <v>46</v>
      </c>
      <c r="B1966">
        <v>5</v>
      </c>
      <c r="C1966" t="s">
        <v>1096</v>
      </c>
      <c r="D1966" s="39">
        <v>45960</v>
      </c>
      <c r="E1966" t="s">
        <v>486</v>
      </c>
      <c r="F1966" t="s">
        <v>79</v>
      </c>
      <c r="G1966">
        <v>10</v>
      </c>
      <c r="H1966">
        <v>5</v>
      </c>
      <c r="I1966" t="s">
        <v>79</v>
      </c>
      <c r="J1966">
        <v>1500</v>
      </c>
      <c r="K1966" t="s">
        <v>79</v>
      </c>
      <c r="L1966">
        <v>9</v>
      </c>
      <c r="M1966">
        <v>426.53000000000003</v>
      </c>
      <c r="N1966">
        <v>9</v>
      </c>
      <c r="Q1966">
        <v>417.53000000000003</v>
      </c>
      <c r="R1966" t="s">
        <v>1097</v>
      </c>
      <c r="V1966">
        <v>0</v>
      </c>
      <c r="W1966">
        <v>0</v>
      </c>
      <c r="AF1966">
        <v>0</v>
      </c>
      <c r="AG1966">
        <v>0</v>
      </c>
      <c r="AH1966">
        <v>0</v>
      </c>
      <c r="AI1966">
        <v>12</v>
      </c>
      <c r="AJ1966">
        <v>12</v>
      </c>
      <c r="AM1966">
        <v>0</v>
      </c>
      <c r="AN1966">
        <v>450</v>
      </c>
      <c r="AP1966">
        <v>44</v>
      </c>
    </row>
    <row r="1967" spans="1:42" x14ac:dyDescent="0.25">
      <c r="A1967" t="s">
        <v>45</v>
      </c>
      <c r="B1967">
        <v>1</v>
      </c>
      <c r="C1967" t="s">
        <v>1003</v>
      </c>
      <c r="D1967" s="39">
        <v>45961</v>
      </c>
      <c r="E1967" t="s">
        <v>486</v>
      </c>
      <c r="F1967" t="s">
        <v>79</v>
      </c>
      <c r="G1967">
        <v>3</v>
      </c>
      <c r="H1967" t="s">
        <v>92</v>
      </c>
      <c r="I1967" t="s">
        <v>79</v>
      </c>
      <c r="J1967">
        <v>1000</v>
      </c>
      <c r="K1967" t="s">
        <v>79</v>
      </c>
      <c r="L1967">
        <v>10</v>
      </c>
      <c r="M1967">
        <v>117.21999999999998</v>
      </c>
      <c r="N1967">
        <v>3</v>
      </c>
      <c r="O1967">
        <v>47</v>
      </c>
      <c r="Q1967">
        <v>114.21999999999998</v>
      </c>
      <c r="R1967" t="s">
        <v>1220</v>
      </c>
      <c r="S1967">
        <v>25</v>
      </c>
      <c r="V1967">
        <v>25</v>
      </c>
      <c r="W1967">
        <v>0.41666666666666674</v>
      </c>
      <c r="AF1967">
        <v>0</v>
      </c>
      <c r="AG1967">
        <v>0</v>
      </c>
      <c r="AH1967">
        <v>0.41666666666666674</v>
      </c>
      <c r="AI1967">
        <v>11.583333333333334</v>
      </c>
      <c r="AJ1967">
        <v>12</v>
      </c>
      <c r="AM1967">
        <v>0</v>
      </c>
      <c r="AN1967">
        <v>130</v>
      </c>
      <c r="AP1967">
        <v>44</v>
      </c>
    </row>
    <row r="1968" spans="1:42" x14ac:dyDescent="0.25">
      <c r="A1968" t="s">
        <v>46</v>
      </c>
      <c r="B1968">
        <v>1</v>
      </c>
      <c r="C1968" t="s">
        <v>1098</v>
      </c>
      <c r="D1968" s="39">
        <v>45961</v>
      </c>
      <c r="E1968" t="s">
        <v>229</v>
      </c>
      <c r="F1968" t="s">
        <v>79</v>
      </c>
      <c r="G1968">
        <v>5</v>
      </c>
      <c r="H1968">
        <v>15</v>
      </c>
      <c r="I1968" t="s">
        <v>79</v>
      </c>
      <c r="J1968">
        <v>150</v>
      </c>
      <c r="K1968" t="s">
        <v>79</v>
      </c>
      <c r="L1968">
        <v>12</v>
      </c>
      <c r="M1968">
        <v>154.91</v>
      </c>
      <c r="N1968">
        <v>6</v>
      </c>
      <c r="O1968">
        <v>25</v>
      </c>
      <c r="Q1968">
        <v>148.91</v>
      </c>
      <c r="R1968" t="s">
        <v>1099</v>
      </c>
      <c r="S1968">
        <v>25</v>
      </c>
      <c r="V1968">
        <v>25</v>
      </c>
      <c r="W1968">
        <v>0.41666666666666674</v>
      </c>
      <c r="AF1968">
        <v>0</v>
      </c>
      <c r="AG1968">
        <v>0</v>
      </c>
      <c r="AH1968">
        <v>0.41666666666666674</v>
      </c>
      <c r="AI1968">
        <v>11.583333333333334</v>
      </c>
      <c r="AJ1968">
        <v>12</v>
      </c>
      <c r="AM1968">
        <v>0</v>
      </c>
      <c r="AN1968">
        <v>150</v>
      </c>
      <c r="AP1968">
        <v>44</v>
      </c>
    </row>
    <row r="1969" spans="1:42" x14ac:dyDescent="0.25">
      <c r="A1969" t="s">
        <v>45</v>
      </c>
      <c r="B1969">
        <v>2</v>
      </c>
      <c r="C1969" t="s">
        <v>960</v>
      </c>
      <c r="D1969" s="39">
        <v>45961</v>
      </c>
      <c r="E1969" t="s">
        <v>259</v>
      </c>
      <c r="F1969" t="s">
        <v>79</v>
      </c>
      <c r="G1969" t="s">
        <v>942</v>
      </c>
      <c r="H1969">
        <v>5</v>
      </c>
      <c r="I1969" t="s">
        <v>79</v>
      </c>
      <c r="J1969">
        <v>2000</v>
      </c>
      <c r="K1969" t="s">
        <v>79</v>
      </c>
      <c r="L1969">
        <v>9</v>
      </c>
      <c r="M1969">
        <v>109.89999999999999</v>
      </c>
      <c r="N1969">
        <v>3.6</v>
      </c>
      <c r="Q1969">
        <v>106.3</v>
      </c>
      <c r="R1969" t="s">
        <v>1046</v>
      </c>
      <c r="V1969">
        <v>0</v>
      </c>
      <c r="W1969">
        <v>0</v>
      </c>
      <c r="X1969">
        <v>80</v>
      </c>
      <c r="AF1969">
        <v>80</v>
      </c>
      <c r="AG1969">
        <v>1.3333333333333333</v>
      </c>
      <c r="AH1969">
        <v>1.3333333333333333</v>
      </c>
      <c r="AI1969">
        <v>10.666666666666666</v>
      </c>
      <c r="AJ1969">
        <v>12</v>
      </c>
      <c r="AM1969">
        <v>0</v>
      </c>
      <c r="AN1969">
        <v>170</v>
      </c>
      <c r="AP1969">
        <v>44</v>
      </c>
    </row>
    <row r="1970" spans="1:42" x14ac:dyDescent="0.25">
      <c r="A1970" t="s">
        <v>45</v>
      </c>
      <c r="B1970">
        <v>2</v>
      </c>
      <c r="C1970" t="s">
        <v>1100</v>
      </c>
      <c r="D1970" s="39">
        <v>45961</v>
      </c>
      <c r="E1970" t="s">
        <v>401</v>
      </c>
      <c r="F1970" t="s">
        <v>79</v>
      </c>
      <c r="G1970">
        <v>4</v>
      </c>
      <c r="H1970">
        <v>4.5</v>
      </c>
      <c r="I1970" t="s">
        <v>79</v>
      </c>
      <c r="J1970" t="s">
        <v>1101</v>
      </c>
      <c r="K1970" t="s">
        <v>79</v>
      </c>
      <c r="L1970">
        <v>1</v>
      </c>
      <c r="M1970">
        <v>16.899999999999999</v>
      </c>
      <c r="N1970">
        <v>0.4</v>
      </c>
      <c r="Q1970">
        <v>16.5</v>
      </c>
      <c r="R1970" t="s">
        <v>1102</v>
      </c>
      <c r="V1970">
        <v>0</v>
      </c>
      <c r="W1970">
        <v>0</v>
      </c>
      <c r="AF1970">
        <v>0</v>
      </c>
      <c r="AG1970">
        <v>0</v>
      </c>
      <c r="AH1970">
        <v>0</v>
      </c>
      <c r="AI1970">
        <v>12</v>
      </c>
      <c r="AJ1970">
        <v>12</v>
      </c>
      <c r="AM1970">
        <v>0</v>
      </c>
      <c r="AP1970">
        <v>44</v>
      </c>
    </row>
    <row r="1971" spans="1:42" x14ac:dyDescent="0.25">
      <c r="A1971" t="s">
        <v>46</v>
      </c>
      <c r="B1971">
        <v>2</v>
      </c>
      <c r="C1971" t="s">
        <v>960</v>
      </c>
      <c r="D1971" s="39">
        <v>45961</v>
      </c>
      <c r="E1971" t="s">
        <v>259</v>
      </c>
      <c r="F1971" t="s">
        <v>79</v>
      </c>
      <c r="G1971" t="s">
        <v>942</v>
      </c>
      <c r="H1971">
        <v>5</v>
      </c>
      <c r="I1971" t="s">
        <v>79</v>
      </c>
      <c r="J1971">
        <v>2000</v>
      </c>
      <c r="K1971" t="s">
        <v>79</v>
      </c>
      <c r="L1971">
        <v>5</v>
      </c>
      <c r="M1971">
        <v>69.25</v>
      </c>
      <c r="N1971">
        <v>2</v>
      </c>
      <c r="Q1971">
        <v>67.25</v>
      </c>
      <c r="R1971" t="s">
        <v>1046</v>
      </c>
      <c r="V1971">
        <v>0</v>
      </c>
      <c r="W1971">
        <v>0</v>
      </c>
      <c r="AF1971">
        <v>0</v>
      </c>
      <c r="AG1971">
        <v>0</v>
      </c>
      <c r="AH1971">
        <v>0</v>
      </c>
      <c r="AI1971">
        <v>12</v>
      </c>
      <c r="AJ1971">
        <v>12</v>
      </c>
      <c r="AM1971">
        <v>0</v>
      </c>
      <c r="AN1971">
        <v>160</v>
      </c>
      <c r="AP1971">
        <v>44</v>
      </c>
    </row>
    <row r="1972" spans="1:42" x14ac:dyDescent="0.25">
      <c r="A1972" t="s">
        <v>46</v>
      </c>
      <c r="B1972">
        <v>2</v>
      </c>
      <c r="C1972" t="s">
        <v>1103</v>
      </c>
      <c r="D1972" s="39">
        <v>45961</v>
      </c>
      <c r="E1972" t="s">
        <v>401</v>
      </c>
      <c r="F1972" t="s">
        <v>79</v>
      </c>
      <c r="G1972">
        <v>9</v>
      </c>
      <c r="H1972">
        <v>4.5</v>
      </c>
      <c r="I1972" t="s">
        <v>79</v>
      </c>
      <c r="J1972">
        <v>100</v>
      </c>
      <c r="K1972" t="s">
        <v>79</v>
      </c>
      <c r="L1972">
        <v>6</v>
      </c>
      <c r="M1972">
        <v>85.28</v>
      </c>
      <c r="N1972">
        <v>2.4000000000000004</v>
      </c>
      <c r="Q1972">
        <v>82.88</v>
      </c>
      <c r="R1972" t="s">
        <v>1128</v>
      </c>
      <c r="V1972">
        <v>0</v>
      </c>
      <c r="W1972">
        <v>0</v>
      </c>
      <c r="AF1972">
        <v>0</v>
      </c>
      <c r="AG1972">
        <v>0</v>
      </c>
      <c r="AH1972">
        <v>0</v>
      </c>
      <c r="AI1972">
        <v>12</v>
      </c>
      <c r="AJ1972">
        <v>12</v>
      </c>
      <c r="AM1972">
        <v>0</v>
      </c>
      <c r="AP1972">
        <v>44</v>
      </c>
    </row>
    <row r="1973" spans="1:42" x14ac:dyDescent="0.25">
      <c r="A1973" t="s">
        <v>45</v>
      </c>
      <c r="B1973">
        <v>3</v>
      </c>
      <c r="C1973" t="s">
        <v>948</v>
      </c>
      <c r="D1973" s="39">
        <v>45961</v>
      </c>
      <c r="E1973" t="s">
        <v>259</v>
      </c>
      <c r="F1973" t="s">
        <v>79</v>
      </c>
      <c r="G1973" t="s">
        <v>102</v>
      </c>
      <c r="H1973">
        <v>5</v>
      </c>
      <c r="I1973" t="s">
        <v>79</v>
      </c>
      <c r="J1973">
        <v>4000</v>
      </c>
      <c r="K1973" t="s">
        <v>79</v>
      </c>
      <c r="L1973">
        <v>8</v>
      </c>
      <c r="M1973">
        <v>274.94000000000005</v>
      </c>
      <c r="N1973">
        <v>5.6</v>
      </c>
      <c r="Q1973">
        <v>269.34000000000003</v>
      </c>
      <c r="R1973" t="s">
        <v>1127</v>
      </c>
      <c r="V1973">
        <v>0</v>
      </c>
      <c r="W1973">
        <v>0</v>
      </c>
      <c r="AF1973">
        <v>0</v>
      </c>
      <c r="AG1973">
        <v>0</v>
      </c>
      <c r="AH1973">
        <v>0</v>
      </c>
      <c r="AI1973">
        <v>12</v>
      </c>
      <c r="AJ1973">
        <v>12</v>
      </c>
      <c r="AM1973">
        <v>0</v>
      </c>
      <c r="AN1973">
        <v>270</v>
      </c>
      <c r="AP1973">
        <v>44</v>
      </c>
    </row>
    <row r="1974" spans="1:42" x14ac:dyDescent="0.25">
      <c r="A1974" t="s">
        <v>46</v>
      </c>
      <c r="B1974">
        <v>3</v>
      </c>
      <c r="C1974" t="s">
        <v>948</v>
      </c>
      <c r="D1974" s="39">
        <v>45961</v>
      </c>
      <c r="E1974" t="s">
        <v>259</v>
      </c>
      <c r="F1974" t="s">
        <v>79</v>
      </c>
      <c r="G1974" t="s">
        <v>102</v>
      </c>
      <c r="H1974">
        <v>5</v>
      </c>
      <c r="I1974" t="s">
        <v>79</v>
      </c>
      <c r="J1974">
        <v>4000</v>
      </c>
      <c r="K1974" t="s">
        <v>79</v>
      </c>
      <c r="L1974">
        <v>7</v>
      </c>
      <c r="M1974">
        <v>269.7</v>
      </c>
      <c r="N1974">
        <v>4.8999999999999995</v>
      </c>
      <c r="Q1974">
        <v>264.8</v>
      </c>
      <c r="R1974" t="s">
        <v>1127</v>
      </c>
      <c r="V1974">
        <v>0</v>
      </c>
      <c r="W1974">
        <v>0</v>
      </c>
      <c r="AF1974">
        <v>0</v>
      </c>
      <c r="AG1974">
        <v>0</v>
      </c>
      <c r="AH1974">
        <v>0</v>
      </c>
      <c r="AI1974">
        <v>12</v>
      </c>
      <c r="AJ1974">
        <v>12</v>
      </c>
      <c r="AM1974">
        <v>0</v>
      </c>
      <c r="AN1974">
        <v>270</v>
      </c>
      <c r="AP1974">
        <v>44</v>
      </c>
    </row>
    <row r="1975" spans="1:42" x14ac:dyDescent="0.25">
      <c r="A1975" t="s">
        <v>45</v>
      </c>
      <c r="B1975">
        <v>4</v>
      </c>
      <c r="C1975" t="s">
        <v>1104</v>
      </c>
      <c r="D1975" s="39">
        <v>45961</v>
      </c>
      <c r="E1975" t="s">
        <v>674</v>
      </c>
      <c r="F1975" t="s">
        <v>79</v>
      </c>
      <c r="G1975" t="s">
        <v>644</v>
      </c>
      <c r="H1975">
        <v>7</v>
      </c>
      <c r="I1975" t="s">
        <v>79</v>
      </c>
      <c r="J1975">
        <v>250</v>
      </c>
      <c r="K1975" t="s">
        <v>79</v>
      </c>
      <c r="L1975">
        <v>5</v>
      </c>
      <c r="M1975">
        <v>135.99</v>
      </c>
      <c r="N1975">
        <v>7.5</v>
      </c>
      <c r="Q1975">
        <v>128.49</v>
      </c>
      <c r="R1975" t="s">
        <v>1105</v>
      </c>
      <c r="S1975">
        <v>30</v>
      </c>
      <c r="V1975">
        <v>30</v>
      </c>
      <c r="W1975">
        <v>0.5</v>
      </c>
      <c r="AF1975">
        <v>0</v>
      </c>
      <c r="AG1975">
        <v>0</v>
      </c>
      <c r="AH1975">
        <v>0.5</v>
      </c>
      <c r="AI1975">
        <v>11.5</v>
      </c>
      <c r="AJ1975">
        <v>12</v>
      </c>
      <c r="AM1975">
        <v>0</v>
      </c>
      <c r="AN1975">
        <v>600</v>
      </c>
      <c r="AP1975">
        <v>44</v>
      </c>
    </row>
    <row r="1976" spans="1:42" x14ac:dyDescent="0.25">
      <c r="A1976" t="s">
        <v>45</v>
      </c>
      <c r="B1976">
        <v>4</v>
      </c>
      <c r="C1976" t="s">
        <v>1092</v>
      </c>
      <c r="D1976" s="39">
        <v>45961</v>
      </c>
      <c r="E1976" t="s">
        <v>200</v>
      </c>
      <c r="F1976" t="s">
        <v>79</v>
      </c>
      <c r="G1976">
        <v>15</v>
      </c>
      <c r="H1976">
        <v>10</v>
      </c>
      <c r="I1976" t="s">
        <v>79</v>
      </c>
      <c r="J1976">
        <v>150</v>
      </c>
      <c r="K1976" t="s">
        <v>79</v>
      </c>
      <c r="L1976">
        <v>1</v>
      </c>
      <c r="M1976">
        <v>36.01</v>
      </c>
      <c r="N1976">
        <v>1.5</v>
      </c>
      <c r="Q1976">
        <v>34.51</v>
      </c>
      <c r="R1976" t="s">
        <v>1093</v>
      </c>
      <c r="S1976">
        <v>30</v>
      </c>
      <c r="V1976">
        <v>30</v>
      </c>
      <c r="W1976">
        <v>0.5</v>
      </c>
      <c r="AF1976">
        <v>0</v>
      </c>
      <c r="AG1976">
        <v>0</v>
      </c>
      <c r="AH1976">
        <v>0.5</v>
      </c>
      <c r="AI1976">
        <v>11.5</v>
      </c>
      <c r="AJ1976">
        <v>12</v>
      </c>
      <c r="AM1976">
        <v>0</v>
      </c>
      <c r="AP1976">
        <v>44</v>
      </c>
    </row>
    <row r="1977" spans="1:42" x14ac:dyDescent="0.25">
      <c r="A1977" t="s">
        <v>45</v>
      </c>
      <c r="B1977">
        <v>4</v>
      </c>
      <c r="C1977" t="s">
        <v>1106</v>
      </c>
      <c r="D1977" s="39">
        <v>45961</v>
      </c>
      <c r="E1977" t="s">
        <v>1107</v>
      </c>
      <c r="F1977" t="s">
        <v>79</v>
      </c>
      <c r="G1977">
        <v>19</v>
      </c>
      <c r="H1977" t="s">
        <v>98</v>
      </c>
      <c r="I1977" t="s">
        <v>79</v>
      </c>
      <c r="J1977">
        <v>120</v>
      </c>
      <c r="K1977" t="s">
        <v>79</v>
      </c>
      <c r="L1977">
        <v>2</v>
      </c>
      <c r="M1977">
        <v>126.75</v>
      </c>
      <c r="N1977">
        <v>3.8</v>
      </c>
      <c r="Q1977">
        <v>122.95</v>
      </c>
      <c r="R1977" t="s">
        <v>1108</v>
      </c>
      <c r="S1977">
        <v>40</v>
      </c>
      <c r="V1977">
        <v>40</v>
      </c>
      <c r="W1977">
        <v>0.66666666666666663</v>
      </c>
      <c r="AF1977">
        <v>0</v>
      </c>
      <c r="AG1977">
        <v>0</v>
      </c>
      <c r="AH1977">
        <v>0.66666666666666663</v>
      </c>
      <c r="AI1977">
        <v>11.333333333333334</v>
      </c>
      <c r="AJ1977">
        <v>12</v>
      </c>
      <c r="AM1977">
        <v>0</v>
      </c>
      <c r="AP1977">
        <v>44</v>
      </c>
    </row>
    <row r="1978" spans="1:42" x14ac:dyDescent="0.25">
      <c r="A1978" t="s">
        <v>45</v>
      </c>
      <c r="B1978">
        <v>4</v>
      </c>
      <c r="C1978" t="s">
        <v>1109</v>
      </c>
      <c r="D1978" s="39">
        <v>45961</v>
      </c>
      <c r="E1978" t="s">
        <v>674</v>
      </c>
      <c r="F1978" t="s">
        <v>79</v>
      </c>
      <c r="G1978" t="s">
        <v>837</v>
      </c>
      <c r="H1978">
        <v>7</v>
      </c>
      <c r="I1978" t="s">
        <v>79</v>
      </c>
      <c r="J1978">
        <v>250</v>
      </c>
      <c r="K1978" t="s">
        <v>79</v>
      </c>
      <c r="L1978">
        <v>6</v>
      </c>
      <c r="M1978">
        <v>261.67</v>
      </c>
      <c r="N1978">
        <v>10.199999999999999</v>
      </c>
      <c r="Q1978">
        <v>251.47000000000003</v>
      </c>
      <c r="R1978" t="s">
        <v>1110</v>
      </c>
      <c r="V1978">
        <v>0</v>
      </c>
      <c r="W1978">
        <v>0</v>
      </c>
      <c r="AF1978">
        <v>0</v>
      </c>
      <c r="AG1978">
        <v>0</v>
      </c>
      <c r="AH1978">
        <v>0</v>
      </c>
      <c r="AI1978">
        <v>12</v>
      </c>
      <c r="AJ1978">
        <v>12</v>
      </c>
      <c r="AM1978">
        <v>0</v>
      </c>
      <c r="AP1978">
        <v>44</v>
      </c>
    </row>
    <row r="1979" spans="1:42" x14ac:dyDescent="0.25">
      <c r="A1979" t="s">
        <v>45</v>
      </c>
      <c r="B1979">
        <v>4</v>
      </c>
      <c r="C1979" t="s">
        <v>1111</v>
      </c>
      <c r="D1979" s="39">
        <v>45961</v>
      </c>
      <c r="E1979" t="s">
        <v>577</v>
      </c>
      <c r="F1979" t="s">
        <v>79</v>
      </c>
      <c r="G1979">
        <v>26</v>
      </c>
      <c r="H1979" t="s">
        <v>578</v>
      </c>
      <c r="I1979" t="s">
        <v>79</v>
      </c>
      <c r="J1979">
        <v>100</v>
      </c>
      <c r="K1979" t="s">
        <v>79</v>
      </c>
      <c r="L1979">
        <v>2</v>
      </c>
      <c r="M1979">
        <v>66.540000000000006</v>
      </c>
      <c r="N1979">
        <v>5.2</v>
      </c>
      <c r="Q1979">
        <v>61.34</v>
      </c>
      <c r="R1979" t="s">
        <v>1112</v>
      </c>
      <c r="V1979">
        <v>0</v>
      </c>
      <c r="W1979">
        <v>0</v>
      </c>
      <c r="AF1979">
        <v>0</v>
      </c>
      <c r="AG1979">
        <v>0</v>
      </c>
      <c r="AH1979">
        <v>0</v>
      </c>
      <c r="AI1979">
        <v>12</v>
      </c>
      <c r="AJ1979">
        <v>12</v>
      </c>
      <c r="AM1979">
        <v>0</v>
      </c>
      <c r="AP1979">
        <v>44</v>
      </c>
    </row>
    <row r="1980" spans="1:42" x14ac:dyDescent="0.25">
      <c r="A1980" t="s">
        <v>46</v>
      </c>
      <c r="B1980">
        <v>4</v>
      </c>
      <c r="C1980" t="s">
        <v>1111</v>
      </c>
      <c r="D1980" s="39">
        <v>45961</v>
      </c>
      <c r="E1980" t="s">
        <v>577</v>
      </c>
      <c r="F1980" t="s">
        <v>79</v>
      </c>
      <c r="G1980">
        <v>26</v>
      </c>
      <c r="H1980" t="s">
        <v>578</v>
      </c>
      <c r="I1980" t="s">
        <v>79</v>
      </c>
      <c r="J1980">
        <v>100</v>
      </c>
      <c r="K1980" t="s">
        <v>79</v>
      </c>
      <c r="L1980">
        <v>1</v>
      </c>
      <c r="M1980">
        <v>50.11</v>
      </c>
      <c r="N1980">
        <v>3.4</v>
      </c>
      <c r="Q1980">
        <v>46.71</v>
      </c>
      <c r="R1980" t="s">
        <v>1112</v>
      </c>
      <c r="S1980">
        <v>30</v>
      </c>
      <c r="V1980">
        <v>30</v>
      </c>
      <c r="W1980">
        <v>0.5</v>
      </c>
      <c r="AF1980">
        <v>0</v>
      </c>
      <c r="AG1980">
        <v>0</v>
      </c>
      <c r="AH1980">
        <v>0.5</v>
      </c>
      <c r="AI1980">
        <v>11.5</v>
      </c>
      <c r="AJ1980">
        <v>12</v>
      </c>
      <c r="AM1980">
        <v>0</v>
      </c>
      <c r="AN1980">
        <v>600</v>
      </c>
      <c r="AP1980">
        <v>44</v>
      </c>
    </row>
    <row r="1981" spans="1:42" x14ac:dyDescent="0.25">
      <c r="A1981" t="s">
        <v>46</v>
      </c>
      <c r="B1981">
        <v>4</v>
      </c>
      <c r="C1981" t="s">
        <v>1113</v>
      </c>
      <c r="D1981" s="39">
        <v>45961</v>
      </c>
      <c r="E1981" t="s">
        <v>238</v>
      </c>
      <c r="F1981" t="s">
        <v>79</v>
      </c>
      <c r="G1981">
        <v>17</v>
      </c>
      <c r="H1981">
        <v>5</v>
      </c>
      <c r="I1981" t="s">
        <v>79</v>
      </c>
      <c r="J1981">
        <v>100</v>
      </c>
      <c r="K1981" t="s">
        <v>79</v>
      </c>
      <c r="L1981">
        <v>2</v>
      </c>
      <c r="M1981">
        <v>88.2</v>
      </c>
      <c r="N1981">
        <v>3.8499999999999996</v>
      </c>
      <c r="Q1981">
        <v>84.350000000000009</v>
      </c>
      <c r="R1981" t="s">
        <v>1114</v>
      </c>
      <c r="S1981">
        <v>30</v>
      </c>
      <c r="V1981">
        <v>30</v>
      </c>
      <c r="W1981">
        <v>0.5</v>
      </c>
      <c r="AF1981">
        <v>0</v>
      </c>
      <c r="AG1981">
        <v>0</v>
      </c>
      <c r="AH1981">
        <v>0.5</v>
      </c>
      <c r="AI1981">
        <v>11.5</v>
      </c>
      <c r="AJ1981">
        <v>12</v>
      </c>
      <c r="AM1981">
        <v>0</v>
      </c>
      <c r="AP1981">
        <v>44</v>
      </c>
    </row>
    <row r="1982" spans="1:42" x14ac:dyDescent="0.25">
      <c r="A1982" t="s">
        <v>46</v>
      </c>
      <c r="B1982">
        <v>4</v>
      </c>
      <c r="C1982" t="s">
        <v>1115</v>
      </c>
      <c r="D1982" s="39">
        <v>45961</v>
      </c>
      <c r="E1982" t="s">
        <v>326</v>
      </c>
      <c r="F1982" t="s">
        <v>79</v>
      </c>
      <c r="G1982">
        <v>18</v>
      </c>
      <c r="H1982" t="s">
        <v>98</v>
      </c>
      <c r="I1982" t="s">
        <v>79</v>
      </c>
      <c r="J1982">
        <v>100</v>
      </c>
      <c r="K1982" t="s">
        <v>79</v>
      </c>
      <c r="L1982">
        <v>3</v>
      </c>
      <c r="M1982">
        <v>113.11</v>
      </c>
      <c r="N1982">
        <v>6.35</v>
      </c>
      <c r="Q1982">
        <v>106.76</v>
      </c>
      <c r="R1982" t="s">
        <v>1116</v>
      </c>
      <c r="S1982">
        <v>30</v>
      </c>
      <c r="U1982">
        <v>240</v>
      </c>
      <c r="V1982">
        <v>270</v>
      </c>
      <c r="W1982">
        <v>4.5</v>
      </c>
      <c r="AF1982">
        <v>0</v>
      </c>
      <c r="AG1982">
        <v>0</v>
      </c>
      <c r="AH1982">
        <v>4.5</v>
      </c>
      <c r="AI1982">
        <v>7.5</v>
      </c>
      <c r="AJ1982">
        <v>12</v>
      </c>
      <c r="AM1982">
        <v>0</v>
      </c>
      <c r="AP1982">
        <v>44</v>
      </c>
    </row>
    <row r="1983" spans="1:42" x14ac:dyDescent="0.25">
      <c r="A1983" t="s">
        <v>46</v>
      </c>
      <c r="B1983">
        <v>4</v>
      </c>
      <c r="C1983" t="s">
        <v>1117</v>
      </c>
      <c r="D1983" s="39">
        <v>45961</v>
      </c>
      <c r="E1983" t="s">
        <v>674</v>
      </c>
      <c r="F1983" t="s">
        <v>79</v>
      </c>
      <c r="G1983" t="s">
        <v>1118</v>
      </c>
      <c r="H1983">
        <v>7</v>
      </c>
      <c r="I1983" t="s">
        <v>79</v>
      </c>
      <c r="J1983">
        <v>125</v>
      </c>
      <c r="K1983" t="s">
        <v>79</v>
      </c>
      <c r="L1983">
        <v>2</v>
      </c>
      <c r="M1983">
        <v>110.50999999999999</v>
      </c>
      <c r="N1983">
        <v>5.3000000000000007</v>
      </c>
      <c r="Q1983">
        <v>105.21</v>
      </c>
      <c r="R1983" t="s">
        <v>1119</v>
      </c>
      <c r="V1983">
        <v>0</v>
      </c>
      <c r="W1983">
        <v>0</v>
      </c>
      <c r="AF1983">
        <v>0</v>
      </c>
      <c r="AG1983">
        <v>0</v>
      </c>
      <c r="AH1983">
        <v>0</v>
      </c>
      <c r="AI1983">
        <v>12</v>
      </c>
      <c r="AJ1983">
        <v>12</v>
      </c>
      <c r="AM1983">
        <v>0</v>
      </c>
      <c r="AP1983">
        <v>44</v>
      </c>
    </row>
    <row r="1984" spans="1:42" x14ac:dyDescent="0.25">
      <c r="A1984" t="s">
        <v>45</v>
      </c>
      <c r="B1984">
        <v>5</v>
      </c>
      <c r="C1984" t="s">
        <v>1096</v>
      </c>
      <c r="D1984" s="39">
        <v>45961</v>
      </c>
      <c r="E1984" t="s">
        <v>486</v>
      </c>
      <c r="F1984" t="s">
        <v>79</v>
      </c>
      <c r="G1984">
        <v>10</v>
      </c>
      <c r="H1984">
        <v>5</v>
      </c>
      <c r="I1984" t="s">
        <v>79</v>
      </c>
      <c r="J1984">
        <v>1500</v>
      </c>
      <c r="K1984" t="s">
        <v>79</v>
      </c>
      <c r="L1984">
        <v>14</v>
      </c>
      <c r="M1984">
        <v>529.37999999999988</v>
      </c>
      <c r="N1984">
        <v>14</v>
      </c>
      <c r="Q1984">
        <v>515.37999999999988</v>
      </c>
      <c r="R1984" t="s">
        <v>1097</v>
      </c>
      <c r="V1984">
        <v>0</v>
      </c>
      <c r="W1984">
        <v>0</v>
      </c>
      <c r="AF1984">
        <v>0</v>
      </c>
      <c r="AG1984">
        <v>0</v>
      </c>
      <c r="AH1984">
        <v>0</v>
      </c>
      <c r="AI1984">
        <v>12</v>
      </c>
      <c r="AJ1984">
        <v>12</v>
      </c>
      <c r="AM1984">
        <v>0</v>
      </c>
      <c r="AN1984">
        <v>500</v>
      </c>
      <c r="AP1984">
        <v>44</v>
      </c>
    </row>
    <row r="1985" spans="1:43" x14ac:dyDescent="0.25">
      <c r="A1985" t="s">
        <v>46</v>
      </c>
      <c r="B1985">
        <v>5</v>
      </c>
      <c r="C1985" t="s">
        <v>1096</v>
      </c>
      <c r="D1985" s="39">
        <v>45961</v>
      </c>
      <c r="E1985" t="s">
        <v>486</v>
      </c>
      <c r="F1985" t="s">
        <v>79</v>
      </c>
      <c r="G1985">
        <v>10</v>
      </c>
      <c r="H1985">
        <v>5</v>
      </c>
      <c r="I1985" t="s">
        <v>79</v>
      </c>
      <c r="J1985">
        <v>1500</v>
      </c>
      <c r="K1985" t="s">
        <v>79</v>
      </c>
      <c r="L1985">
        <v>9</v>
      </c>
      <c r="M1985">
        <v>459.52</v>
      </c>
      <c r="N1985">
        <v>9</v>
      </c>
      <c r="Q1985">
        <v>450.52</v>
      </c>
      <c r="R1985" t="s">
        <v>1097</v>
      </c>
      <c r="V1985">
        <v>0</v>
      </c>
      <c r="W1985">
        <v>0</v>
      </c>
      <c r="X1985">
        <v>30</v>
      </c>
      <c r="AF1985">
        <v>30</v>
      </c>
      <c r="AG1985">
        <v>0.5</v>
      </c>
      <c r="AH1985">
        <v>0.5</v>
      </c>
      <c r="AI1985">
        <v>11.5</v>
      </c>
      <c r="AJ1985">
        <v>12</v>
      </c>
      <c r="AM1985">
        <v>0</v>
      </c>
      <c r="AN1985">
        <v>500</v>
      </c>
      <c r="AP1985">
        <v>44</v>
      </c>
    </row>
    <row r="1986" spans="1:43" x14ac:dyDescent="0.25">
      <c r="A1986" t="s">
        <v>45</v>
      </c>
      <c r="B1986">
        <v>1</v>
      </c>
      <c r="C1986" t="s">
        <v>1120</v>
      </c>
      <c r="D1986" s="39">
        <v>45962</v>
      </c>
      <c r="E1986" t="s">
        <v>663</v>
      </c>
      <c r="F1986" t="s">
        <v>79</v>
      </c>
      <c r="G1986">
        <v>2</v>
      </c>
      <c r="H1986">
        <v>12</v>
      </c>
      <c r="I1986" t="s">
        <v>79</v>
      </c>
      <c r="J1986">
        <v>500</v>
      </c>
      <c r="K1986" t="s">
        <v>79</v>
      </c>
      <c r="L1986">
        <v>12</v>
      </c>
      <c r="M1986">
        <v>118.23</v>
      </c>
      <c r="N1986">
        <v>2.4000000000000004</v>
      </c>
      <c r="O1986">
        <v>15</v>
      </c>
      <c r="Q1986">
        <v>115.83</v>
      </c>
      <c r="R1986" t="s">
        <v>1165</v>
      </c>
      <c r="V1986">
        <v>0</v>
      </c>
      <c r="W1986">
        <v>0</v>
      </c>
      <c r="AF1986">
        <v>0</v>
      </c>
      <c r="AG1986">
        <v>0</v>
      </c>
      <c r="AH1986">
        <v>0</v>
      </c>
      <c r="AI1986">
        <v>12</v>
      </c>
      <c r="AJ1986">
        <v>12</v>
      </c>
      <c r="AM1986">
        <v>0</v>
      </c>
      <c r="AN1986">
        <v>120</v>
      </c>
      <c r="AP1986">
        <v>45</v>
      </c>
      <c r="AQ1986">
        <v>45</v>
      </c>
    </row>
    <row r="1987" spans="1:43" x14ac:dyDescent="0.25">
      <c r="A1987" t="s">
        <v>46</v>
      </c>
      <c r="B1987">
        <v>1</v>
      </c>
      <c r="C1987" t="s">
        <v>1120</v>
      </c>
      <c r="D1987" s="39">
        <v>45962</v>
      </c>
      <c r="E1987" t="s">
        <v>663</v>
      </c>
      <c r="F1987" t="s">
        <v>79</v>
      </c>
      <c r="G1987">
        <v>2</v>
      </c>
      <c r="H1987">
        <v>12</v>
      </c>
      <c r="I1987" t="s">
        <v>79</v>
      </c>
      <c r="J1987">
        <v>500</v>
      </c>
      <c r="K1987" t="s">
        <v>79</v>
      </c>
      <c r="L1987">
        <v>9</v>
      </c>
      <c r="M1987">
        <v>96.130000000000024</v>
      </c>
      <c r="N1987">
        <v>1.8</v>
      </c>
      <c r="O1987">
        <v>25</v>
      </c>
      <c r="Q1987">
        <v>94.330000000000027</v>
      </c>
      <c r="R1987" t="s">
        <v>1165</v>
      </c>
      <c r="U1987">
        <v>120</v>
      </c>
      <c r="V1987">
        <v>120</v>
      </c>
      <c r="W1987">
        <v>2</v>
      </c>
      <c r="AF1987">
        <v>0</v>
      </c>
      <c r="AG1987">
        <v>0</v>
      </c>
      <c r="AH1987">
        <v>2</v>
      </c>
      <c r="AI1987">
        <v>10</v>
      </c>
      <c r="AJ1987">
        <v>12</v>
      </c>
      <c r="AM1987">
        <v>0</v>
      </c>
      <c r="AN1987">
        <v>120</v>
      </c>
      <c r="AP1987">
        <v>45</v>
      </c>
      <c r="AQ1987">
        <v>44</v>
      </c>
    </row>
    <row r="1988" spans="1:43" x14ac:dyDescent="0.25">
      <c r="A1988" t="s">
        <v>45</v>
      </c>
      <c r="B1988">
        <v>2</v>
      </c>
      <c r="C1988" t="s">
        <v>960</v>
      </c>
      <c r="D1988" s="39">
        <v>45962</v>
      </c>
      <c r="E1988" t="s">
        <v>259</v>
      </c>
      <c r="F1988" t="s">
        <v>79</v>
      </c>
      <c r="G1988" t="s">
        <v>942</v>
      </c>
      <c r="H1988">
        <v>5</v>
      </c>
      <c r="I1988" t="s">
        <v>79</v>
      </c>
      <c r="J1988">
        <v>2000</v>
      </c>
      <c r="K1988" t="s">
        <v>79</v>
      </c>
      <c r="L1988">
        <v>10</v>
      </c>
      <c r="M1988">
        <v>164.28</v>
      </c>
      <c r="N1988">
        <v>4</v>
      </c>
      <c r="Q1988">
        <v>160.28</v>
      </c>
      <c r="R1988" t="s">
        <v>1046</v>
      </c>
      <c r="V1988">
        <v>0</v>
      </c>
      <c r="W1988">
        <v>0</v>
      </c>
      <c r="AF1988">
        <v>0</v>
      </c>
      <c r="AG1988">
        <v>0</v>
      </c>
      <c r="AH1988">
        <v>0</v>
      </c>
      <c r="AI1988">
        <v>12</v>
      </c>
      <c r="AJ1988">
        <v>12</v>
      </c>
      <c r="AM1988">
        <v>0</v>
      </c>
      <c r="AN1988">
        <v>165</v>
      </c>
      <c r="AP1988">
        <v>45</v>
      </c>
      <c r="AQ1988">
        <v>44</v>
      </c>
    </row>
    <row r="1989" spans="1:43" x14ac:dyDescent="0.25">
      <c r="A1989" t="s">
        <v>46</v>
      </c>
      <c r="B1989">
        <v>2</v>
      </c>
      <c r="C1989" t="s">
        <v>960</v>
      </c>
      <c r="D1989" s="39">
        <v>45962</v>
      </c>
      <c r="E1989" t="s">
        <v>259</v>
      </c>
      <c r="F1989" t="s">
        <v>79</v>
      </c>
      <c r="G1989" t="s">
        <v>942</v>
      </c>
      <c r="H1989">
        <v>5</v>
      </c>
      <c r="I1989" t="s">
        <v>79</v>
      </c>
      <c r="J1989">
        <v>2000</v>
      </c>
      <c r="K1989" t="s">
        <v>79</v>
      </c>
      <c r="L1989">
        <v>7</v>
      </c>
      <c r="M1989">
        <v>115.82</v>
      </c>
      <c r="N1989">
        <v>2.8000000000000003</v>
      </c>
      <c r="Q1989">
        <v>113.02</v>
      </c>
      <c r="R1989" t="s">
        <v>1046</v>
      </c>
      <c r="U1989">
        <v>120</v>
      </c>
      <c r="V1989">
        <v>120</v>
      </c>
      <c r="W1989">
        <v>2</v>
      </c>
      <c r="AF1989">
        <v>0</v>
      </c>
      <c r="AG1989">
        <v>0</v>
      </c>
      <c r="AH1989">
        <v>2</v>
      </c>
      <c r="AI1989">
        <v>10</v>
      </c>
      <c r="AJ1989">
        <v>12</v>
      </c>
      <c r="AM1989">
        <v>0</v>
      </c>
      <c r="AN1989">
        <v>165</v>
      </c>
      <c r="AP1989">
        <v>45</v>
      </c>
      <c r="AQ1989">
        <v>44</v>
      </c>
    </row>
    <row r="1990" spans="1:43" x14ac:dyDescent="0.25">
      <c r="A1990" t="s">
        <v>45</v>
      </c>
      <c r="B1990">
        <v>3</v>
      </c>
      <c r="C1990" t="s">
        <v>948</v>
      </c>
      <c r="D1990" s="39">
        <v>45962</v>
      </c>
      <c r="E1990" t="s">
        <v>259</v>
      </c>
      <c r="F1990" t="s">
        <v>79</v>
      </c>
      <c r="G1990" t="s">
        <v>102</v>
      </c>
      <c r="H1990">
        <v>5</v>
      </c>
      <c r="I1990" t="s">
        <v>79</v>
      </c>
      <c r="J1990">
        <v>4000</v>
      </c>
      <c r="K1990" t="s">
        <v>79</v>
      </c>
      <c r="L1990">
        <v>9</v>
      </c>
      <c r="M1990">
        <v>260.33000000000004</v>
      </c>
      <c r="N1990">
        <v>7.2</v>
      </c>
      <c r="Q1990">
        <v>253.13000000000005</v>
      </c>
      <c r="R1990" t="s">
        <v>1127</v>
      </c>
      <c r="V1990">
        <v>0</v>
      </c>
      <c r="W1990">
        <v>0</v>
      </c>
      <c r="AF1990">
        <v>0</v>
      </c>
      <c r="AG1990">
        <v>0</v>
      </c>
      <c r="AH1990">
        <v>0</v>
      </c>
      <c r="AI1990">
        <v>12</v>
      </c>
      <c r="AJ1990">
        <v>12</v>
      </c>
      <c r="AM1990">
        <v>0</v>
      </c>
      <c r="AN1990">
        <v>260</v>
      </c>
      <c r="AP1990">
        <v>45</v>
      </c>
      <c r="AQ1990">
        <v>44</v>
      </c>
    </row>
    <row r="1991" spans="1:43" x14ac:dyDescent="0.25">
      <c r="A1991" t="s">
        <v>46</v>
      </c>
      <c r="B1991">
        <v>3</v>
      </c>
      <c r="C1991" t="s">
        <v>948</v>
      </c>
      <c r="D1991" s="39">
        <v>45962</v>
      </c>
      <c r="E1991" t="s">
        <v>259</v>
      </c>
      <c r="F1991" t="s">
        <v>79</v>
      </c>
      <c r="G1991" t="s">
        <v>102</v>
      </c>
      <c r="H1991">
        <v>5</v>
      </c>
      <c r="I1991" t="s">
        <v>79</v>
      </c>
      <c r="J1991">
        <v>4000</v>
      </c>
      <c r="K1991" t="s">
        <v>79</v>
      </c>
      <c r="L1991">
        <v>5</v>
      </c>
      <c r="M1991">
        <v>197.5</v>
      </c>
      <c r="N1991">
        <v>3.92</v>
      </c>
      <c r="Q1991">
        <v>193.58</v>
      </c>
      <c r="R1991" t="s">
        <v>1127</v>
      </c>
      <c r="U1991">
        <v>120</v>
      </c>
      <c r="V1991">
        <v>120</v>
      </c>
      <c r="W1991">
        <v>2</v>
      </c>
      <c r="AF1991">
        <v>0</v>
      </c>
      <c r="AG1991">
        <v>0</v>
      </c>
      <c r="AH1991">
        <v>2</v>
      </c>
      <c r="AI1991">
        <v>10</v>
      </c>
      <c r="AJ1991">
        <v>12</v>
      </c>
      <c r="AM1991">
        <v>0</v>
      </c>
      <c r="AN1991">
        <v>260</v>
      </c>
      <c r="AP1991">
        <v>45</v>
      </c>
      <c r="AQ1991">
        <v>44</v>
      </c>
    </row>
    <row r="1992" spans="1:43" x14ac:dyDescent="0.25">
      <c r="A1992" t="s">
        <v>45</v>
      </c>
      <c r="B1992">
        <v>5</v>
      </c>
      <c r="C1992" t="s">
        <v>1096</v>
      </c>
      <c r="D1992" s="39">
        <v>45962</v>
      </c>
      <c r="E1992" t="s">
        <v>486</v>
      </c>
      <c r="F1992" t="s">
        <v>79</v>
      </c>
      <c r="G1992">
        <v>10</v>
      </c>
      <c r="H1992">
        <v>5</v>
      </c>
      <c r="I1992" t="s">
        <v>79</v>
      </c>
      <c r="J1992">
        <v>1500</v>
      </c>
      <c r="K1992" t="s">
        <v>79</v>
      </c>
      <c r="L1992">
        <v>3</v>
      </c>
      <c r="M1992">
        <v>153.41</v>
      </c>
      <c r="N1992">
        <v>4.08</v>
      </c>
      <c r="Q1992">
        <v>149.32999999999998</v>
      </c>
      <c r="R1992" t="s">
        <v>1097</v>
      </c>
      <c r="S1992">
        <v>20</v>
      </c>
      <c r="V1992">
        <v>20</v>
      </c>
      <c r="W1992">
        <v>0.33333333333333331</v>
      </c>
      <c r="AF1992">
        <v>0</v>
      </c>
      <c r="AG1992">
        <v>0</v>
      </c>
      <c r="AH1992">
        <v>0.33333333333333331</v>
      </c>
      <c r="AI1992">
        <v>11.666666666666666</v>
      </c>
      <c r="AJ1992">
        <v>12</v>
      </c>
      <c r="AM1992">
        <v>0</v>
      </c>
      <c r="AN1992">
        <v>460</v>
      </c>
      <c r="AP1992">
        <v>45</v>
      </c>
      <c r="AQ1992">
        <v>44</v>
      </c>
    </row>
    <row r="1993" spans="1:43" x14ac:dyDescent="0.25">
      <c r="A1993" t="s">
        <v>45</v>
      </c>
      <c r="B1993">
        <v>5</v>
      </c>
      <c r="C1993" t="s">
        <v>1121</v>
      </c>
      <c r="D1993" s="39">
        <v>45962</v>
      </c>
      <c r="E1993" t="s">
        <v>401</v>
      </c>
      <c r="F1993" t="s">
        <v>79</v>
      </c>
      <c r="G1993">
        <v>10</v>
      </c>
      <c r="H1993">
        <v>4.5</v>
      </c>
      <c r="I1993" t="s">
        <v>79</v>
      </c>
      <c r="J1993">
        <v>100</v>
      </c>
      <c r="K1993" t="s">
        <v>79</v>
      </c>
      <c r="L1993">
        <v>4</v>
      </c>
      <c r="M1993">
        <v>122.99000000000001</v>
      </c>
      <c r="N1993">
        <v>6</v>
      </c>
      <c r="Q1993">
        <v>116.99000000000001</v>
      </c>
      <c r="R1993" t="s">
        <v>1122</v>
      </c>
      <c r="V1993">
        <v>0</v>
      </c>
      <c r="W1993">
        <v>0</v>
      </c>
      <c r="AF1993">
        <v>0</v>
      </c>
      <c r="AG1993">
        <v>0</v>
      </c>
      <c r="AH1993">
        <v>0</v>
      </c>
      <c r="AI1993">
        <v>12</v>
      </c>
      <c r="AJ1993">
        <v>12</v>
      </c>
      <c r="AM1993">
        <v>0</v>
      </c>
      <c r="AP1993">
        <v>45</v>
      </c>
      <c r="AQ1993">
        <v>44</v>
      </c>
    </row>
    <row r="1994" spans="1:43" x14ac:dyDescent="0.25">
      <c r="A1994" t="s">
        <v>45</v>
      </c>
      <c r="B1994">
        <v>5</v>
      </c>
      <c r="C1994" t="s">
        <v>1123</v>
      </c>
      <c r="D1994" s="39">
        <v>45962</v>
      </c>
      <c r="E1994" t="s">
        <v>486</v>
      </c>
      <c r="F1994" t="s">
        <v>79</v>
      </c>
      <c r="G1994">
        <v>12</v>
      </c>
      <c r="H1994">
        <v>5</v>
      </c>
      <c r="I1994" t="s">
        <v>79</v>
      </c>
      <c r="J1994">
        <v>2000</v>
      </c>
      <c r="K1994" t="s">
        <v>79</v>
      </c>
      <c r="L1994">
        <v>4</v>
      </c>
      <c r="M1994">
        <v>196.74</v>
      </c>
      <c r="N1994">
        <v>5.39</v>
      </c>
      <c r="Q1994">
        <v>191.35000000000002</v>
      </c>
      <c r="R1994" t="s">
        <v>1129</v>
      </c>
      <c r="V1994">
        <v>0</v>
      </c>
      <c r="W1994">
        <v>0</v>
      </c>
      <c r="AF1994">
        <v>0</v>
      </c>
      <c r="AG1994">
        <v>0</v>
      </c>
      <c r="AH1994">
        <v>0</v>
      </c>
      <c r="AI1994">
        <v>12</v>
      </c>
      <c r="AJ1994">
        <v>12</v>
      </c>
      <c r="AM1994">
        <v>0</v>
      </c>
      <c r="AP1994">
        <v>45</v>
      </c>
      <c r="AQ1994">
        <v>44</v>
      </c>
    </row>
    <row r="1995" spans="1:43" x14ac:dyDescent="0.25">
      <c r="A1995" t="s">
        <v>46</v>
      </c>
      <c r="B1995">
        <v>5</v>
      </c>
      <c r="C1995" t="s">
        <v>1123</v>
      </c>
      <c r="D1995" s="39">
        <v>45962</v>
      </c>
      <c r="E1995" t="s">
        <v>486</v>
      </c>
      <c r="F1995" t="s">
        <v>79</v>
      </c>
      <c r="G1995">
        <v>12</v>
      </c>
      <c r="H1995">
        <v>5</v>
      </c>
      <c r="I1995" t="s">
        <v>79</v>
      </c>
      <c r="J1995">
        <v>2000</v>
      </c>
      <c r="K1995" t="s">
        <v>79</v>
      </c>
      <c r="L1995">
        <v>8</v>
      </c>
      <c r="M1995">
        <v>418.63</v>
      </c>
      <c r="N1995">
        <v>10.01</v>
      </c>
      <c r="Q1995">
        <v>408.62</v>
      </c>
      <c r="R1995" t="s">
        <v>1129</v>
      </c>
      <c r="U1995">
        <v>120</v>
      </c>
      <c r="V1995">
        <v>120</v>
      </c>
      <c r="W1995">
        <v>2</v>
      </c>
      <c r="AF1995">
        <v>0</v>
      </c>
      <c r="AG1995">
        <v>0</v>
      </c>
      <c r="AH1995">
        <v>2</v>
      </c>
      <c r="AI1995">
        <v>10</v>
      </c>
      <c r="AJ1995">
        <v>12</v>
      </c>
      <c r="AM1995">
        <v>0</v>
      </c>
      <c r="AN1995">
        <v>460</v>
      </c>
      <c r="AP1995">
        <v>45</v>
      </c>
      <c r="AQ1995">
        <v>44</v>
      </c>
    </row>
    <row r="1996" spans="1:43" x14ac:dyDescent="0.25">
      <c r="D1996" s="39"/>
      <c r="E1996" t="s">
        <v>871</v>
      </c>
      <c r="R1996" t="s">
        <v>468</v>
      </c>
      <c r="AP1996">
        <v>45</v>
      </c>
      <c r="AQ1996">
        <v>45</v>
      </c>
    </row>
    <row r="1997" spans="1:43" x14ac:dyDescent="0.25">
      <c r="A1997" t="s">
        <v>45</v>
      </c>
      <c r="B1997">
        <v>1</v>
      </c>
      <c r="C1997" t="s">
        <v>1120</v>
      </c>
      <c r="D1997" s="39">
        <v>45966</v>
      </c>
      <c r="E1997" t="s">
        <v>663</v>
      </c>
      <c r="F1997" t="s">
        <v>79</v>
      </c>
      <c r="G1997">
        <v>2</v>
      </c>
      <c r="H1997">
        <v>12</v>
      </c>
      <c r="I1997" t="s">
        <v>79</v>
      </c>
      <c r="J1997">
        <v>500</v>
      </c>
      <c r="K1997" t="s">
        <v>79</v>
      </c>
      <c r="L1997">
        <v>8</v>
      </c>
      <c r="M1997">
        <v>79.02</v>
      </c>
      <c r="N1997">
        <v>1.6</v>
      </c>
      <c r="O1997">
        <v>37</v>
      </c>
      <c r="Q1997">
        <v>77.42</v>
      </c>
      <c r="R1997" t="s">
        <v>1165</v>
      </c>
      <c r="T1997">
        <v>240</v>
      </c>
      <c r="V1997">
        <v>240</v>
      </c>
      <c r="W1997">
        <v>4</v>
      </c>
      <c r="AF1997">
        <v>0</v>
      </c>
      <c r="AG1997">
        <v>0</v>
      </c>
      <c r="AH1997">
        <v>4</v>
      </c>
      <c r="AI1997">
        <v>8</v>
      </c>
      <c r="AJ1997">
        <v>12</v>
      </c>
      <c r="AM1997">
        <v>0</v>
      </c>
      <c r="AN1997">
        <v>82.42</v>
      </c>
      <c r="AP1997">
        <v>45</v>
      </c>
      <c r="AQ1997">
        <v>45</v>
      </c>
    </row>
    <row r="1998" spans="1:43" x14ac:dyDescent="0.25">
      <c r="A1998" t="s">
        <v>46</v>
      </c>
      <c r="B1998">
        <v>1</v>
      </c>
      <c r="C1998" t="s">
        <v>1120</v>
      </c>
      <c r="D1998" s="39">
        <v>45966</v>
      </c>
      <c r="E1998" t="s">
        <v>663</v>
      </c>
      <c r="F1998" t="s">
        <v>79</v>
      </c>
      <c r="G1998">
        <v>2</v>
      </c>
      <c r="H1998">
        <v>12</v>
      </c>
      <c r="I1998" t="s">
        <v>79</v>
      </c>
      <c r="J1998">
        <v>500</v>
      </c>
      <c r="K1998" t="s">
        <v>79</v>
      </c>
      <c r="L1998">
        <v>13</v>
      </c>
      <c r="M1998">
        <v>139.13</v>
      </c>
      <c r="N1998">
        <v>2.6</v>
      </c>
      <c r="O1998">
        <v>35</v>
      </c>
      <c r="Q1998">
        <v>136.53</v>
      </c>
      <c r="R1998" t="s">
        <v>1165</v>
      </c>
      <c r="V1998">
        <v>0</v>
      </c>
      <c r="W1998">
        <v>0</v>
      </c>
      <c r="AF1998">
        <v>0</v>
      </c>
      <c r="AG1998">
        <v>0</v>
      </c>
      <c r="AH1998">
        <v>0</v>
      </c>
      <c r="AI1998">
        <v>12</v>
      </c>
      <c r="AJ1998">
        <v>12</v>
      </c>
      <c r="AM1998">
        <v>0</v>
      </c>
      <c r="AN1998">
        <v>141.53</v>
      </c>
      <c r="AP1998">
        <v>45</v>
      </c>
      <c r="AQ1998">
        <v>45</v>
      </c>
    </row>
    <row r="1999" spans="1:43" x14ac:dyDescent="0.25">
      <c r="A1999" t="s">
        <v>45</v>
      </c>
      <c r="B1999">
        <v>2</v>
      </c>
      <c r="C1999" t="s">
        <v>884</v>
      </c>
      <c r="D1999" s="39">
        <v>45966</v>
      </c>
      <c r="E1999" t="s">
        <v>486</v>
      </c>
      <c r="F1999" t="s">
        <v>79</v>
      </c>
      <c r="G1999">
        <v>4</v>
      </c>
      <c r="H1999" t="s">
        <v>113</v>
      </c>
      <c r="I1999" t="s">
        <v>79</v>
      </c>
      <c r="J1999">
        <v>500</v>
      </c>
      <c r="K1999" t="s">
        <v>79</v>
      </c>
      <c r="L1999">
        <v>7</v>
      </c>
      <c r="M1999">
        <v>118.88000000000001</v>
      </c>
      <c r="N1999">
        <v>2.8000000000000003</v>
      </c>
      <c r="O1999">
        <v>5</v>
      </c>
      <c r="Q1999">
        <v>116.08000000000001</v>
      </c>
      <c r="R1999" t="s">
        <v>1125</v>
      </c>
      <c r="T1999">
        <v>210</v>
      </c>
      <c r="V1999">
        <v>210</v>
      </c>
      <c r="W1999">
        <v>3.5</v>
      </c>
      <c r="AF1999">
        <v>0</v>
      </c>
      <c r="AG1999">
        <v>0</v>
      </c>
      <c r="AH1999">
        <v>3.5</v>
      </c>
      <c r="AI1999">
        <v>8.5</v>
      </c>
      <c r="AJ1999">
        <v>12</v>
      </c>
      <c r="AM1999">
        <v>0</v>
      </c>
      <c r="AN1999">
        <v>121.08</v>
      </c>
      <c r="AP1999">
        <v>45</v>
      </c>
      <c r="AQ1999">
        <v>45</v>
      </c>
    </row>
    <row r="2000" spans="1:43" x14ac:dyDescent="0.25">
      <c r="A2000" t="s">
        <v>46</v>
      </c>
      <c r="B2000">
        <v>2</v>
      </c>
      <c r="C2000" t="s">
        <v>884</v>
      </c>
      <c r="D2000" s="39">
        <v>45966</v>
      </c>
      <c r="E2000" t="s">
        <v>486</v>
      </c>
      <c r="F2000" t="s">
        <v>79</v>
      </c>
      <c r="G2000">
        <v>4</v>
      </c>
      <c r="H2000" t="s">
        <v>113</v>
      </c>
      <c r="I2000" t="s">
        <v>79</v>
      </c>
      <c r="J2000">
        <v>500</v>
      </c>
      <c r="K2000" t="s">
        <v>79</v>
      </c>
      <c r="L2000">
        <v>11</v>
      </c>
      <c r="M2000">
        <v>163.30000000000001</v>
      </c>
      <c r="N2000">
        <v>4.4000000000000004</v>
      </c>
      <c r="O2000">
        <v>5</v>
      </c>
      <c r="Q2000">
        <v>158.9</v>
      </c>
      <c r="R2000" t="s">
        <v>1125</v>
      </c>
      <c r="V2000">
        <v>0</v>
      </c>
      <c r="W2000">
        <v>0</v>
      </c>
      <c r="Z2000">
        <v>15</v>
      </c>
      <c r="AF2000">
        <v>15</v>
      </c>
      <c r="AG2000">
        <v>0.25</v>
      </c>
      <c r="AH2000">
        <v>0.25</v>
      </c>
      <c r="AI2000">
        <v>11.75</v>
      </c>
      <c r="AJ2000">
        <v>12</v>
      </c>
      <c r="AM2000">
        <v>0</v>
      </c>
      <c r="AN2000">
        <v>163.9</v>
      </c>
      <c r="AP2000">
        <v>45</v>
      </c>
      <c r="AQ2000">
        <v>45</v>
      </c>
    </row>
    <row r="2001" spans="1:43" x14ac:dyDescent="0.25">
      <c r="A2001" t="s">
        <v>45</v>
      </c>
      <c r="B2001">
        <v>3</v>
      </c>
      <c r="C2001" t="s">
        <v>948</v>
      </c>
      <c r="D2001" s="39">
        <v>45966</v>
      </c>
      <c r="E2001" t="s">
        <v>259</v>
      </c>
      <c r="F2001" t="s">
        <v>79</v>
      </c>
      <c r="G2001" t="s">
        <v>102</v>
      </c>
      <c r="H2001">
        <v>5</v>
      </c>
      <c r="I2001" t="s">
        <v>79</v>
      </c>
      <c r="J2001">
        <v>4000</v>
      </c>
      <c r="K2001" t="s">
        <v>79</v>
      </c>
      <c r="L2001">
        <v>6</v>
      </c>
      <c r="M2001">
        <v>192.67</v>
      </c>
      <c r="N2001">
        <v>4.8000000000000007</v>
      </c>
      <c r="Q2001">
        <v>187.86999999999998</v>
      </c>
      <c r="R2001" t="s">
        <v>1127</v>
      </c>
      <c r="T2001">
        <v>240</v>
      </c>
      <c r="V2001">
        <v>240</v>
      </c>
      <c r="W2001">
        <v>4</v>
      </c>
      <c r="AF2001">
        <v>0</v>
      </c>
      <c r="AG2001">
        <v>0</v>
      </c>
      <c r="AH2001">
        <v>4</v>
      </c>
      <c r="AI2001">
        <v>8</v>
      </c>
      <c r="AJ2001">
        <v>12</v>
      </c>
      <c r="AM2001">
        <v>0</v>
      </c>
      <c r="AN2001">
        <v>192.87</v>
      </c>
      <c r="AP2001">
        <v>45</v>
      </c>
      <c r="AQ2001">
        <v>45</v>
      </c>
    </row>
    <row r="2002" spans="1:43" x14ac:dyDescent="0.25">
      <c r="A2002" t="s">
        <v>46</v>
      </c>
      <c r="B2002">
        <v>3</v>
      </c>
      <c r="C2002" t="s">
        <v>948</v>
      </c>
      <c r="D2002" s="39">
        <v>45966</v>
      </c>
      <c r="E2002" t="s">
        <v>259</v>
      </c>
      <c r="F2002" t="s">
        <v>79</v>
      </c>
      <c r="G2002" t="s">
        <v>102</v>
      </c>
      <c r="H2002">
        <v>5</v>
      </c>
      <c r="I2002" t="s">
        <v>79</v>
      </c>
      <c r="J2002">
        <v>4000</v>
      </c>
      <c r="K2002" t="s">
        <v>79</v>
      </c>
      <c r="L2002">
        <v>5</v>
      </c>
      <c r="M2002">
        <v>163.55000000000001</v>
      </c>
      <c r="N2002">
        <v>3.5</v>
      </c>
      <c r="Q2002">
        <v>160.05000000000001</v>
      </c>
      <c r="R2002" t="s">
        <v>1127</v>
      </c>
      <c r="S2002">
        <v>25</v>
      </c>
      <c r="V2002">
        <v>25</v>
      </c>
      <c r="W2002">
        <v>0.41666666666666674</v>
      </c>
      <c r="AF2002">
        <v>0</v>
      </c>
      <c r="AG2002">
        <v>0</v>
      </c>
      <c r="AH2002">
        <v>0.41666666666666674</v>
      </c>
      <c r="AI2002">
        <v>11.583333333333334</v>
      </c>
      <c r="AJ2002">
        <v>12</v>
      </c>
      <c r="AM2002">
        <v>0</v>
      </c>
      <c r="AN2002">
        <v>165.05</v>
      </c>
      <c r="AP2002">
        <v>45</v>
      </c>
      <c r="AQ2002">
        <v>45</v>
      </c>
    </row>
    <row r="2003" spans="1:43" x14ac:dyDescent="0.25">
      <c r="A2003" t="s">
        <v>46</v>
      </c>
      <c r="B2003">
        <v>3</v>
      </c>
      <c r="C2003" t="s">
        <v>1130</v>
      </c>
      <c r="D2003" s="39">
        <v>45966</v>
      </c>
      <c r="E2003" t="s">
        <v>229</v>
      </c>
      <c r="F2003" t="s">
        <v>79</v>
      </c>
      <c r="G2003">
        <v>8</v>
      </c>
      <c r="H2003">
        <v>15</v>
      </c>
      <c r="I2003" t="s">
        <v>79</v>
      </c>
      <c r="J2003">
        <v>210</v>
      </c>
      <c r="K2003" t="s">
        <v>79</v>
      </c>
      <c r="L2003">
        <v>3</v>
      </c>
      <c r="M2003">
        <v>97.639999999999986</v>
      </c>
      <c r="N2003">
        <v>2.4000000000000004</v>
      </c>
      <c r="Q2003">
        <v>95.239999999999981</v>
      </c>
      <c r="R2003" t="s">
        <v>1131</v>
      </c>
      <c r="V2003">
        <v>0</v>
      </c>
      <c r="W2003">
        <v>0</v>
      </c>
      <c r="AF2003">
        <v>0</v>
      </c>
      <c r="AG2003">
        <v>0</v>
      </c>
      <c r="AH2003">
        <v>0</v>
      </c>
      <c r="AI2003">
        <v>12</v>
      </c>
      <c r="AJ2003">
        <v>12</v>
      </c>
      <c r="AM2003">
        <v>0</v>
      </c>
      <c r="AN2003">
        <v>100.23999999999998</v>
      </c>
      <c r="AP2003">
        <v>45</v>
      </c>
      <c r="AQ2003">
        <v>45</v>
      </c>
    </row>
    <row r="2004" spans="1:43" x14ac:dyDescent="0.25">
      <c r="A2004" t="s">
        <v>45</v>
      </c>
      <c r="B2004">
        <v>5</v>
      </c>
      <c r="C2004" t="s">
        <v>1123</v>
      </c>
      <c r="D2004" s="39">
        <v>45966</v>
      </c>
      <c r="E2004" t="s">
        <v>486</v>
      </c>
      <c r="F2004" t="s">
        <v>79</v>
      </c>
      <c r="G2004">
        <v>12</v>
      </c>
      <c r="H2004">
        <v>5</v>
      </c>
      <c r="I2004" t="s">
        <v>79</v>
      </c>
      <c r="J2004">
        <v>2000</v>
      </c>
      <c r="K2004" t="s">
        <v>79</v>
      </c>
      <c r="L2004">
        <v>6</v>
      </c>
      <c r="M2004">
        <v>262.67</v>
      </c>
      <c r="N2004">
        <v>7.2600000000000007</v>
      </c>
      <c r="Q2004">
        <v>255.41000000000003</v>
      </c>
      <c r="R2004" t="s">
        <v>1129</v>
      </c>
      <c r="T2004">
        <v>225</v>
      </c>
      <c r="V2004">
        <v>225</v>
      </c>
      <c r="W2004">
        <v>3.75</v>
      </c>
      <c r="AF2004">
        <v>0</v>
      </c>
      <c r="AG2004">
        <v>0</v>
      </c>
      <c r="AH2004">
        <v>3.75</v>
      </c>
      <c r="AI2004">
        <v>8.25</v>
      </c>
      <c r="AJ2004">
        <v>12</v>
      </c>
      <c r="AM2004">
        <v>0</v>
      </c>
      <c r="AN2004">
        <v>260.41000000000003</v>
      </c>
      <c r="AP2004">
        <v>45</v>
      </c>
      <c r="AQ2004">
        <v>45</v>
      </c>
    </row>
    <row r="2005" spans="1:43" x14ac:dyDescent="0.25">
      <c r="A2005" t="s">
        <v>45</v>
      </c>
      <c r="B2005">
        <v>5</v>
      </c>
      <c r="C2005" t="s">
        <v>1132</v>
      </c>
      <c r="D2005" s="39">
        <v>45966</v>
      </c>
      <c r="E2005" t="s">
        <v>1133</v>
      </c>
      <c r="F2005" t="s">
        <v>79</v>
      </c>
      <c r="G2005">
        <v>12</v>
      </c>
      <c r="H2005">
        <v>8</v>
      </c>
      <c r="I2005" t="s">
        <v>79</v>
      </c>
      <c r="J2005">
        <v>50</v>
      </c>
      <c r="K2005" t="s">
        <v>79</v>
      </c>
      <c r="L2005">
        <v>2</v>
      </c>
      <c r="M2005">
        <v>60.89</v>
      </c>
      <c r="N2005">
        <v>2.95</v>
      </c>
      <c r="Q2005">
        <v>57.94</v>
      </c>
      <c r="R2005" t="s">
        <v>1134</v>
      </c>
      <c r="V2005">
        <v>0</v>
      </c>
      <c r="W2005">
        <v>0</v>
      </c>
      <c r="AF2005">
        <v>0</v>
      </c>
      <c r="AG2005">
        <v>0</v>
      </c>
      <c r="AH2005">
        <v>0</v>
      </c>
      <c r="AI2005">
        <v>12</v>
      </c>
      <c r="AJ2005">
        <v>12</v>
      </c>
      <c r="AM2005">
        <v>0</v>
      </c>
      <c r="AN2005">
        <v>62.94</v>
      </c>
      <c r="AP2005">
        <v>45</v>
      </c>
      <c r="AQ2005">
        <v>45</v>
      </c>
    </row>
    <row r="2006" spans="1:43" x14ac:dyDescent="0.25">
      <c r="A2006" t="s">
        <v>46</v>
      </c>
      <c r="B2006">
        <v>5</v>
      </c>
      <c r="C2006" t="s">
        <v>1135</v>
      </c>
      <c r="D2006" s="39">
        <v>45966</v>
      </c>
      <c r="E2006" t="s">
        <v>985</v>
      </c>
      <c r="F2006" t="s">
        <v>986</v>
      </c>
      <c r="G2006">
        <v>16</v>
      </c>
      <c r="H2006" t="s">
        <v>98</v>
      </c>
      <c r="I2006" t="s">
        <v>986</v>
      </c>
      <c r="J2006">
        <v>250</v>
      </c>
      <c r="K2006" t="s">
        <v>79</v>
      </c>
      <c r="L2006">
        <v>7</v>
      </c>
      <c r="M2006">
        <v>276.76</v>
      </c>
      <c r="N2006">
        <v>11.200000000000001</v>
      </c>
      <c r="Q2006">
        <v>265.56</v>
      </c>
      <c r="R2006" t="s">
        <v>1136</v>
      </c>
      <c r="S2006">
        <v>25</v>
      </c>
      <c r="V2006">
        <v>25</v>
      </c>
      <c r="W2006">
        <v>0.41666666666666674</v>
      </c>
      <c r="AF2006">
        <v>0</v>
      </c>
      <c r="AG2006">
        <v>0</v>
      </c>
      <c r="AH2006">
        <v>0.41666666666666674</v>
      </c>
      <c r="AI2006">
        <v>11.583333333333334</v>
      </c>
      <c r="AJ2006">
        <v>12</v>
      </c>
      <c r="AM2006">
        <v>0</v>
      </c>
      <c r="AN2006">
        <v>270.56</v>
      </c>
      <c r="AP2006">
        <v>45</v>
      </c>
      <c r="AQ2006">
        <v>45</v>
      </c>
    </row>
    <row r="2007" spans="1:43" x14ac:dyDescent="0.25">
      <c r="A2007" t="s">
        <v>46</v>
      </c>
      <c r="B2007">
        <v>5</v>
      </c>
      <c r="C2007" t="s">
        <v>821</v>
      </c>
      <c r="D2007" s="39">
        <v>45966</v>
      </c>
      <c r="E2007" t="s">
        <v>486</v>
      </c>
      <c r="F2007" t="s">
        <v>79</v>
      </c>
      <c r="G2007">
        <v>12</v>
      </c>
      <c r="H2007">
        <v>5</v>
      </c>
      <c r="I2007" t="s">
        <v>79</v>
      </c>
      <c r="J2007">
        <v>500</v>
      </c>
      <c r="K2007" t="s">
        <v>79</v>
      </c>
      <c r="L2007">
        <v>6</v>
      </c>
      <c r="M2007">
        <v>347.17</v>
      </c>
      <c r="N2007">
        <v>7.1999999999999993</v>
      </c>
      <c r="Q2007">
        <v>339.97</v>
      </c>
      <c r="R2007" t="s">
        <v>1343</v>
      </c>
      <c r="V2007">
        <v>0</v>
      </c>
      <c r="W2007">
        <v>0</v>
      </c>
      <c r="AF2007">
        <v>0</v>
      </c>
      <c r="AG2007">
        <v>0</v>
      </c>
      <c r="AH2007">
        <v>0</v>
      </c>
      <c r="AI2007">
        <v>12</v>
      </c>
      <c r="AJ2007">
        <v>12</v>
      </c>
      <c r="AM2007">
        <v>0</v>
      </c>
      <c r="AN2007">
        <v>344.97</v>
      </c>
      <c r="AP2007">
        <v>45</v>
      </c>
      <c r="AQ2007">
        <v>45</v>
      </c>
    </row>
    <row r="2008" spans="1:43" x14ac:dyDescent="0.25">
      <c r="A2008" t="s">
        <v>45</v>
      </c>
      <c r="B2008">
        <v>1</v>
      </c>
      <c r="C2008" t="s">
        <v>1137</v>
      </c>
      <c r="D2008" s="39">
        <v>45967</v>
      </c>
      <c r="E2008" t="s">
        <v>1138</v>
      </c>
      <c r="G2008">
        <v>2.5</v>
      </c>
      <c r="H2008">
        <v>12</v>
      </c>
      <c r="I2008" t="s">
        <v>79</v>
      </c>
      <c r="K2008" t="s">
        <v>79</v>
      </c>
      <c r="L2008">
        <v>5</v>
      </c>
      <c r="M2008">
        <v>66.429999999999993</v>
      </c>
      <c r="N2008">
        <v>1</v>
      </c>
      <c r="O2008">
        <v>18</v>
      </c>
      <c r="Q2008">
        <v>65.429999999999993</v>
      </c>
      <c r="R2008" t="s">
        <v>1139</v>
      </c>
      <c r="S2008">
        <v>20</v>
      </c>
      <c r="V2008">
        <v>20</v>
      </c>
      <c r="W2008">
        <v>0.33333333333333331</v>
      </c>
      <c r="Z2008">
        <v>60</v>
      </c>
      <c r="AF2008">
        <v>60</v>
      </c>
      <c r="AG2008">
        <v>1</v>
      </c>
      <c r="AH2008">
        <v>1.3333333333333333</v>
      </c>
      <c r="AI2008">
        <v>10.666666666666666</v>
      </c>
      <c r="AJ2008">
        <v>12</v>
      </c>
      <c r="AM2008">
        <v>0</v>
      </c>
      <c r="AN2008">
        <v>70.429999999999993</v>
      </c>
      <c r="AP2008">
        <v>45</v>
      </c>
      <c r="AQ2008">
        <v>45</v>
      </c>
    </row>
    <row r="2009" spans="1:43" x14ac:dyDescent="0.25">
      <c r="A2009" t="s">
        <v>45</v>
      </c>
      <c r="B2009">
        <v>1</v>
      </c>
      <c r="C2009" t="s">
        <v>1120</v>
      </c>
      <c r="D2009" s="39">
        <v>45967</v>
      </c>
      <c r="E2009" t="s">
        <v>663</v>
      </c>
      <c r="F2009" t="s">
        <v>79</v>
      </c>
      <c r="G2009">
        <v>2</v>
      </c>
      <c r="H2009">
        <v>12</v>
      </c>
      <c r="I2009" t="s">
        <v>79</v>
      </c>
      <c r="J2009">
        <v>500</v>
      </c>
      <c r="K2009" t="s">
        <v>79</v>
      </c>
      <c r="L2009">
        <v>3</v>
      </c>
      <c r="M2009">
        <v>30.580000000000002</v>
      </c>
      <c r="N2009">
        <v>0.60000000000000009</v>
      </c>
      <c r="Q2009">
        <v>29.98</v>
      </c>
      <c r="R2009" t="s">
        <v>1165</v>
      </c>
      <c r="S2009">
        <v>20</v>
      </c>
      <c r="V2009">
        <v>20</v>
      </c>
      <c r="W2009">
        <v>0.33333333333333331</v>
      </c>
      <c r="AF2009">
        <v>0</v>
      </c>
      <c r="AG2009">
        <v>0</v>
      </c>
      <c r="AH2009">
        <v>0.33333333333333331</v>
      </c>
      <c r="AI2009">
        <v>11.666666666666666</v>
      </c>
      <c r="AJ2009">
        <v>12</v>
      </c>
      <c r="AM2009">
        <v>0</v>
      </c>
      <c r="AN2009">
        <v>34.980000000000004</v>
      </c>
      <c r="AP2009">
        <v>45</v>
      </c>
      <c r="AQ2009">
        <v>45</v>
      </c>
    </row>
    <row r="2010" spans="1:43" x14ac:dyDescent="0.25">
      <c r="A2010" t="s">
        <v>45</v>
      </c>
      <c r="B2010">
        <v>1</v>
      </c>
      <c r="C2010" t="s">
        <v>1140</v>
      </c>
      <c r="D2010" s="39">
        <v>45967</v>
      </c>
      <c r="E2010" t="s">
        <v>486</v>
      </c>
      <c r="F2010" t="s">
        <v>79</v>
      </c>
      <c r="G2010">
        <v>2.5</v>
      </c>
      <c r="H2010" t="s">
        <v>92</v>
      </c>
      <c r="I2010" t="s">
        <v>79</v>
      </c>
      <c r="J2010">
        <v>1000</v>
      </c>
      <c r="K2010" t="s">
        <v>79</v>
      </c>
      <c r="L2010">
        <v>1</v>
      </c>
      <c r="M2010">
        <v>13.68</v>
      </c>
      <c r="N2010">
        <v>0.2</v>
      </c>
      <c r="Q2010">
        <v>13.48</v>
      </c>
      <c r="R2010" t="s">
        <v>1570</v>
      </c>
      <c r="V2010">
        <v>0</v>
      </c>
      <c r="W2010">
        <v>0</v>
      </c>
      <c r="AF2010">
        <v>0</v>
      </c>
      <c r="AG2010">
        <v>0</v>
      </c>
      <c r="AH2010">
        <v>0</v>
      </c>
      <c r="AI2010">
        <v>12</v>
      </c>
      <c r="AJ2010">
        <v>12</v>
      </c>
      <c r="AM2010">
        <v>0</v>
      </c>
      <c r="AN2010">
        <v>18.48</v>
      </c>
      <c r="AP2010">
        <v>45</v>
      </c>
      <c r="AQ2010">
        <v>45</v>
      </c>
    </row>
    <row r="2011" spans="1:43" x14ac:dyDescent="0.25">
      <c r="A2011" t="s">
        <v>46</v>
      </c>
      <c r="B2011">
        <v>1</v>
      </c>
      <c r="C2011" t="s">
        <v>1140</v>
      </c>
      <c r="D2011" s="39">
        <v>45967</v>
      </c>
      <c r="E2011" t="s">
        <v>486</v>
      </c>
      <c r="F2011" t="s">
        <v>79</v>
      </c>
      <c r="G2011">
        <v>2.5</v>
      </c>
      <c r="H2011" t="s">
        <v>92</v>
      </c>
      <c r="I2011" t="s">
        <v>79</v>
      </c>
      <c r="J2011">
        <v>1000</v>
      </c>
      <c r="K2011" t="s">
        <v>79</v>
      </c>
      <c r="L2011">
        <v>11</v>
      </c>
      <c r="M2011">
        <v>129.4</v>
      </c>
      <c r="N2011">
        <v>2.2000000000000002</v>
      </c>
      <c r="O2011">
        <v>48</v>
      </c>
      <c r="Q2011">
        <v>127.2</v>
      </c>
      <c r="R2011" t="s">
        <v>1570</v>
      </c>
      <c r="V2011">
        <v>0</v>
      </c>
      <c r="W2011">
        <v>0</v>
      </c>
      <c r="AF2011">
        <v>0</v>
      </c>
      <c r="AG2011">
        <v>0</v>
      </c>
      <c r="AH2011">
        <v>0</v>
      </c>
      <c r="AI2011">
        <v>12</v>
      </c>
      <c r="AJ2011">
        <v>12</v>
      </c>
      <c r="AM2011">
        <v>0</v>
      </c>
      <c r="AN2011">
        <v>132.19999999999999</v>
      </c>
      <c r="AP2011">
        <v>45</v>
      </c>
      <c r="AQ2011">
        <v>45</v>
      </c>
    </row>
    <row r="2012" spans="1:43" x14ac:dyDescent="0.25">
      <c r="A2012" t="s">
        <v>45</v>
      </c>
      <c r="B2012">
        <v>2</v>
      </c>
      <c r="C2012" t="s">
        <v>1141</v>
      </c>
      <c r="D2012" s="39">
        <v>45967</v>
      </c>
      <c r="E2012" t="s">
        <v>81</v>
      </c>
      <c r="K2012" t="s">
        <v>79</v>
      </c>
      <c r="L2012">
        <v>10</v>
      </c>
      <c r="M2012">
        <v>172.45999999999998</v>
      </c>
      <c r="N2012">
        <v>4</v>
      </c>
      <c r="O2012">
        <v>3</v>
      </c>
      <c r="Q2012">
        <v>168.45999999999998</v>
      </c>
      <c r="R2012" t="s">
        <v>1221</v>
      </c>
      <c r="V2012">
        <v>0</v>
      </c>
      <c r="W2012">
        <v>0</v>
      </c>
      <c r="AF2012">
        <v>0</v>
      </c>
      <c r="AG2012">
        <v>0</v>
      </c>
      <c r="AH2012">
        <v>0</v>
      </c>
      <c r="AI2012">
        <v>12</v>
      </c>
      <c r="AJ2012">
        <v>12</v>
      </c>
      <c r="AM2012">
        <v>0</v>
      </c>
      <c r="AN2012">
        <v>173.45999999999998</v>
      </c>
      <c r="AP2012">
        <v>45</v>
      </c>
      <c r="AQ2012">
        <v>45</v>
      </c>
    </row>
    <row r="2013" spans="1:43" x14ac:dyDescent="0.25">
      <c r="A2013" t="s">
        <v>46</v>
      </c>
      <c r="B2013">
        <v>2</v>
      </c>
      <c r="C2013" t="s">
        <v>1141</v>
      </c>
      <c r="D2013" s="39">
        <v>45967</v>
      </c>
      <c r="E2013" t="s">
        <v>81</v>
      </c>
      <c r="K2013" t="s">
        <v>79</v>
      </c>
      <c r="L2013">
        <v>10</v>
      </c>
      <c r="M2013">
        <v>154.9</v>
      </c>
      <c r="N2013">
        <v>4</v>
      </c>
      <c r="O2013">
        <v>3</v>
      </c>
      <c r="Q2013">
        <v>150.9</v>
      </c>
      <c r="R2013" t="s">
        <v>1221</v>
      </c>
      <c r="V2013">
        <v>0</v>
      </c>
      <c r="W2013">
        <v>0</v>
      </c>
      <c r="AF2013">
        <v>0</v>
      </c>
      <c r="AG2013">
        <v>0</v>
      </c>
      <c r="AH2013">
        <v>0</v>
      </c>
      <c r="AI2013">
        <v>12</v>
      </c>
      <c r="AJ2013">
        <v>12</v>
      </c>
      <c r="AM2013">
        <v>0</v>
      </c>
      <c r="AN2013">
        <v>155.9</v>
      </c>
      <c r="AP2013">
        <v>45</v>
      </c>
      <c r="AQ2013">
        <v>45</v>
      </c>
    </row>
    <row r="2014" spans="1:43" x14ac:dyDescent="0.25">
      <c r="A2014" t="s">
        <v>45</v>
      </c>
      <c r="B2014">
        <v>5</v>
      </c>
      <c r="C2014" t="s">
        <v>1123</v>
      </c>
      <c r="D2014" s="39">
        <v>45967</v>
      </c>
      <c r="E2014" t="s">
        <v>486</v>
      </c>
      <c r="F2014" t="s">
        <v>79</v>
      </c>
      <c r="G2014">
        <v>12</v>
      </c>
      <c r="H2014">
        <v>5</v>
      </c>
      <c r="I2014" t="s">
        <v>79</v>
      </c>
      <c r="J2014">
        <v>2000</v>
      </c>
      <c r="K2014" t="s">
        <v>79</v>
      </c>
      <c r="L2014">
        <v>10</v>
      </c>
      <c r="M2014">
        <v>565.46999999999991</v>
      </c>
      <c r="N2014">
        <v>15</v>
      </c>
      <c r="Q2014">
        <v>550.46999999999991</v>
      </c>
      <c r="R2014" t="s">
        <v>1129</v>
      </c>
      <c r="V2014">
        <v>0</v>
      </c>
      <c r="W2014">
        <v>0</v>
      </c>
      <c r="AD2014">
        <v>40</v>
      </c>
      <c r="AF2014">
        <v>40</v>
      </c>
      <c r="AG2014">
        <v>0.66666666666666663</v>
      </c>
      <c r="AH2014">
        <v>0.66666666666666663</v>
      </c>
      <c r="AI2014">
        <v>11.333333333333334</v>
      </c>
      <c r="AJ2014">
        <v>12</v>
      </c>
      <c r="AM2014">
        <v>0</v>
      </c>
      <c r="AN2014">
        <v>555.46999999999991</v>
      </c>
      <c r="AP2014">
        <v>45</v>
      </c>
      <c r="AQ2014">
        <v>45</v>
      </c>
    </row>
    <row r="2015" spans="1:43" x14ac:dyDescent="0.25">
      <c r="A2015" t="s">
        <v>46</v>
      </c>
      <c r="B2015">
        <v>5</v>
      </c>
      <c r="C2015" t="s">
        <v>1123</v>
      </c>
      <c r="D2015" s="39">
        <v>45967</v>
      </c>
      <c r="E2015" t="s">
        <v>486</v>
      </c>
      <c r="F2015" t="s">
        <v>79</v>
      </c>
      <c r="G2015">
        <v>12</v>
      </c>
      <c r="H2015">
        <v>5</v>
      </c>
      <c r="I2015" t="s">
        <v>79</v>
      </c>
      <c r="J2015">
        <v>2000</v>
      </c>
      <c r="K2015" t="s">
        <v>79</v>
      </c>
      <c r="L2015">
        <v>8</v>
      </c>
      <c r="M2015">
        <v>435.9</v>
      </c>
      <c r="N2015">
        <v>9.6</v>
      </c>
      <c r="Q2015">
        <v>426.29999999999995</v>
      </c>
      <c r="R2015" t="s">
        <v>1129</v>
      </c>
      <c r="V2015">
        <v>0</v>
      </c>
      <c r="W2015">
        <v>0</v>
      </c>
      <c r="X2015">
        <v>30</v>
      </c>
      <c r="AF2015">
        <v>30</v>
      </c>
      <c r="AG2015">
        <v>0.5</v>
      </c>
      <c r="AH2015">
        <v>0.5</v>
      </c>
      <c r="AI2015">
        <v>11.5</v>
      </c>
      <c r="AJ2015">
        <v>12</v>
      </c>
      <c r="AM2015">
        <v>0</v>
      </c>
      <c r="AN2015">
        <v>431.2999999999999</v>
      </c>
      <c r="AP2015">
        <v>45</v>
      </c>
      <c r="AQ2015">
        <v>45</v>
      </c>
    </row>
    <row r="2016" spans="1:43" x14ac:dyDescent="0.25">
      <c r="A2016" t="s">
        <v>46</v>
      </c>
      <c r="B2016">
        <v>5</v>
      </c>
      <c r="C2016" t="s">
        <v>1142</v>
      </c>
      <c r="D2016" s="39">
        <v>45967</v>
      </c>
      <c r="E2016" t="s">
        <v>200</v>
      </c>
      <c r="F2016" t="s">
        <v>79</v>
      </c>
      <c r="G2016">
        <v>12</v>
      </c>
      <c r="H2016" t="s">
        <v>578</v>
      </c>
      <c r="I2016" t="s">
        <v>79</v>
      </c>
      <c r="J2016">
        <v>200</v>
      </c>
      <c r="K2016" t="s">
        <v>79</v>
      </c>
      <c r="L2016">
        <v>2</v>
      </c>
      <c r="M2016">
        <v>84.61</v>
      </c>
      <c r="N2016">
        <v>2.4</v>
      </c>
      <c r="Q2016">
        <v>82.21</v>
      </c>
      <c r="R2016" t="s">
        <v>1222</v>
      </c>
      <c r="V2016">
        <v>0</v>
      </c>
      <c r="W2016">
        <v>0</v>
      </c>
      <c r="AF2016">
        <v>0</v>
      </c>
      <c r="AG2016">
        <v>0</v>
      </c>
      <c r="AH2016">
        <v>0</v>
      </c>
      <c r="AI2016">
        <v>12</v>
      </c>
      <c r="AJ2016">
        <v>12</v>
      </c>
      <c r="AM2016">
        <v>0</v>
      </c>
      <c r="AN2016">
        <v>87.21</v>
      </c>
      <c r="AP2016">
        <v>45</v>
      </c>
      <c r="AQ2016">
        <v>45</v>
      </c>
    </row>
    <row r="2017" spans="1:43" x14ac:dyDescent="0.25">
      <c r="A2017" t="s">
        <v>45</v>
      </c>
      <c r="B2017">
        <v>3</v>
      </c>
      <c r="C2017" t="s">
        <v>1130</v>
      </c>
      <c r="D2017" s="39">
        <v>45967</v>
      </c>
      <c r="E2017" t="s">
        <v>229</v>
      </c>
      <c r="F2017" t="s">
        <v>79</v>
      </c>
      <c r="G2017">
        <v>8</v>
      </c>
      <c r="H2017">
        <v>15</v>
      </c>
      <c r="I2017" t="s">
        <v>79</v>
      </c>
      <c r="J2017">
        <v>210</v>
      </c>
      <c r="K2017" t="s">
        <v>79</v>
      </c>
      <c r="L2017">
        <v>6</v>
      </c>
      <c r="M2017">
        <v>129.38</v>
      </c>
      <c r="N2017">
        <v>6.8000000000000007</v>
      </c>
      <c r="Q2017">
        <v>122.58</v>
      </c>
      <c r="R2017" t="s">
        <v>1131</v>
      </c>
      <c r="V2017">
        <v>0</v>
      </c>
      <c r="W2017">
        <v>0</v>
      </c>
      <c r="AF2017">
        <v>0</v>
      </c>
      <c r="AG2017">
        <v>0</v>
      </c>
      <c r="AH2017">
        <v>0</v>
      </c>
      <c r="AI2017">
        <v>12</v>
      </c>
      <c r="AJ2017">
        <v>12</v>
      </c>
      <c r="AM2017">
        <v>0</v>
      </c>
      <c r="AN2017">
        <v>127.58</v>
      </c>
      <c r="AP2017">
        <v>45</v>
      </c>
      <c r="AQ2017">
        <v>45</v>
      </c>
    </row>
    <row r="2018" spans="1:43" x14ac:dyDescent="0.25">
      <c r="A2018" t="s">
        <v>45</v>
      </c>
      <c r="B2018">
        <v>3</v>
      </c>
      <c r="C2018" t="s">
        <v>1143</v>
      </c>
      <c r="D2018" s="39">
        <v>45967</v>
      </c>
      <c r="E2018" t="s">
        <v>401</v>
      </c>
      <c r="F2018" t="s">
        <v>79</v>
      </c>
      <c r="G2018">
        <v>8</v>
      </c>
      <c r="H2018">
        <v>4.5</v>
      </c>
      <c r="I2018" t="s">
        <v>79</v>
      </c>
      <c r="J2018">
        <v>100</v>
      </c>
      <c r="K2018" t="s">
        <v>79</v>
      </c>
      <c r="L2018">
        <v>4</v>
      </c>
      <c r="M2018">
        <v>117.69</v>
      </c>
      <c r="N2018">
        <v>4.5999999999999996</v>
      </c>
      <c r="Q2018">
        <v>113.09</v>
      </c>
      <c r="R2018" t="s">
        <v>1223</v>
      </c>
      <c r="V2018">
        <v>0</v>
      </c>
      <c r="W2018">
        <v>0</v>
      </c>
      <c r="AF2018">
        <v>0</v>
      </c>
      <c r="AG2018">
        <v>0</v>
      </c>
      <c r="AH2018">
        <v>0</v>
      </c>
      <c r="AI2018">
        <v>12</v>
      </c>
      <c r="AJ2018">
        <v>12</v>
      </c>
      <c r="AM2018">
        <v>0</v>
      </c>
      <c r="AN2018">
        <v>118.09</v>
      </c>
      <c r="AP2018">
        <v>45</v>
      </c>
      <c r="AQ2018">
        <v>45</v>
      </c>
    </row>
    <row r="2019" spans="1:43" x14ac:dyDescent="0.25">
      <c r="A2019" t="s">
        <v>46</v>
      </c>
      <c r="B2019">
        <v>3</v>
      </c>
      <c r="C2019" t="s">
        <v>1144</v>
      </c>
      <c r="D2019" s="39">
        <v>45967</v>
      </c>
      <c r="E2019" t="s">
        <v>486</v>
      </c>
      <c r="F2019" t="s">
        <v>79</v>
      </c>
      <c r="G2019">
        <v>8</v>
      </c>
      <c r="H2019">
        <v>5</v>
      </c>
      <c r="I2019" t="s">
        <v>79</v>
      </c>
      <c r="J2019">
        <v>1500</v>
      </c>
      <c r="K2019" t="s">
        <v>79</v>
      </c>
      <c r="L2019">
        <v>8</v>
      </c>
      <c r="M2019">
        <v>288.22000000000003</v>
      </c>
      <c r="N2019">
        <v>6.4</v>
      </c>
      <c r="Q2019">
        <v>281.82000000000005</v>
      </c>
      <c r="R2019" t="s">
        <v>1224</v>
      </c>
      <c r="V2019">
        <v>0</v>
      </c>
      <c r="W2019">
        <v>0</v>
      </c>
      <c r="AF2019">
        <v>0</v>
      </c>
      <c r="AG2019">
        <v>0</v>
      </c>
      <c r="AH2019">
        <v>0</v>
      </c>
      <c r="AI2019">
        <v>12</v>
      </c>
      <c r="AJ2019">
        <v>12</v>
      </c>
      <c r="AM2019">
        <v>0</v>
      </c>
      <c r="AN2019">
        <v>286.82000000000005</v>
      </c>
      <c r="AP2019">
        <v>45</v>
      </c>
      <c r="AQ2019">
        <v>45</v>
      </c>
    </row>
    <row r="2020" spans="1:43" x14ac:dyDescent="0.25">
      <c r="A2020" t="s">
        <v>45</v>
      </c>
      <c r="B2020">
        <v>1</v>
      </c>
      <c r="C2020" t="s">
        <v>1140</v>
      </c>
      <c r="D2020" s="39">
        <v>45968</v>
      </c>
      <c r="E2020" t="s">
        <v>486</v>
      </c>
      <c r="F2020" t="s">
        <v>79</v>
      </c>
      <c r="G2020">
        <v>2.5</v>
      </c>
      <c r="H2020" t="s">
        <v>92</v>
      </c>
      <c r="I2020" t="s">
        <v>79</v>
      </c>
      <c r="J2020">
        <v>1000</v>
      </c>
      <c r="K2020" t="s">
        <v>79</v>
      </c>
      <c r="L2020">
        <v>11</v>
      </c>
      <c r="M2020">
        <v>131.31</v>
      </c>
      <c r="N2020">
        <v>2.2000000000000002</v>
      </c>
      <c r="O2020">
        <v>19</v>
      </c>
      <c r="Q2020">
        <v>129.11000000000001</v>
      </c>
      <c r="R2020" t="s">
        <v>1570</v>
      </c>
      <c r="V2020">
        <v>0</v>
      </c>
      <c r="W2020">
        <v>0</v>
      </c>
      <c r="AF2020">
        <v>0</v>
      </c>
      <c r="AG2020">
        <v>0</v>
      </c>
      <c r="AH2020">
        <v>0</v>
      </c>
      <c r="AI2020">
        <v>12</v>
      </c>
      <c r="AJ2020">
        <v>12</v>
      </c>
      <c r="AM2020">
        <v>0</v>
      </c>
      <c r="AN2020">
        <v>134.11000000000001</v>
      </c>
      <c r="AP2020">
        <v>45</v>
      </c>
      <c r="AQ2020">
        <v>45</v>
      </c>
    </row>
    <row r="2021" spans="1:43" x14ac:dyDescent="0.25">
      <c r="A2021" t="s">
        <v>46</v>
      </c>
      <c r="B2021">
        <v>1</v>
      </c>
      <c r="C2021" t="s">
        <v>1140</v>
      </c>
      <c r="D2021" s="39">
        <v>45968</v>
      </c>
      <c r="E2021" t="s">
        <v>486</v>
      </c>
      <c r="F2021" t="s">
        <v>79</v>
      </c>
      <c r="G2021">
        <v>2.5</v>
      </c>
      <c r="H2021" t="s">
        <v>92</v>
      </c>
      <c r="I2021" t="s">
        <v>79</v>
      </c>
      <c r="J2021">
        <v>1000</v>
      </c>
      <c r="K2021" t="s">
        <v>79</v>
      </c>
      <c r="L2021">
        <v>10</v>
      </c>
      <c r="M2021">
        <v>110.11999999999999</v>
      </c>
      <c r="N2021">
        <v>2</v>
      </c>
      <c r="O2021">
        <v>20</v>
      </c>
      <c r="Q2021">
        <v>108.11999999999999</v>
      </c>
      <c r="R2021" t="s">
        <v>1570</v>
      </c>
      <c r="V2021">
        <v>0</v>
      </c>
      <c r="W2021">
        <v>0</v>
      </c>
      <c r="AF2021">
        <v>0</v>
      </c>
      <c r="AG2021">
        <v>0</v>
      </c>
      <c r="AH2021">
        <v>0</v>
      </c>
      <c r="AI2021">
        <v>12</v>
      </c>
      <c r="AJ2021">
        <v>12</v>
      </c>
      <c r="AM2021">
        <v>0</v>
      </c>
      <c r="AN2021">
        <v>113.12</v>
      </c>
      <c r="AP2021">
        <v>45</v>
      </c>
      <c r="AQ2021">
        <v>45</v>
      </c>
    </row>
    <row r="2022" spans="1:43" x14ac:dyDescent="0.25">
      <c r="A2022" t="s">
        <v>45</v>
      </c>
      <c r="B2022">
        <v>2</v>
      </c>
      <c r="C2022" t="s">
        <v>1141</v>
      </c>
      <c r="D2022" s="39">
        <v>45968</v>
      </c>
      <c r="E2022" t="s">
        <v>81</v>
      </c>
      <c r="K2022" t="s">
        <v>79</v>
      </c>
      <c r="L2022">
        <v>9</v>
      </c>
      <c r="M2022">
        <v>150.20999999999998</v>
      </c>
      <c r="N2022">
        <v>3.6</v>
      </c>
      <c r="Q2022">
        <v>146.60999999999999</v>
      </c>
      <c r="R2022" t="s">
        <v>1221</v>
      </c>
      <c r="S2022">
        <v>20</v>
      </c>
      <c r="V2022">
        <v>20</v>
      </c>
      <c r="W2022">
        <v>0.33333333333333331</v>
      </c>
      <c r="AF2022">
        <v>0</v>
      </c>
      <c r="AG2022">
        <v>0</v>
      </c>
      <c r="AH2022">
        <v>0.33333333333333331</v>
      </c>
      <c r="AI2022">
        <v>11.666666666666666</v>
      </c>
      <c r="AJ2022">
        <v>12</v>
      </c>
      <c r="AM2022">
        <v>0</v>
      </c>
      <c r="AN2022">
        <v>151.61000000000001</v>
      </c>
      <c r="AP2022">
        <v>45</v>
      </c>
      <c r="AQ2022">
        <v>45</v>
      </c>
    </row>
    <row r="2023" spans="1:43" x14ac:dyDescent="0.25">
      <c r="A2023" t="s">
        <v>45</v>
      </c>
      <c r="B2023">
        <v>2</v>
      </c>
      <c r="C2023" t="s">
        <v>1145</v>
      </c>
      <c r="D2023" s="39">
        <v>45968</v>
      </c>
      <c r="E2023" t="s">
        <v>486</v>
      </c>
      <c r="F2023" t="s">
        <v>79</v>
      </c>
      <c r="G2023">
        <v>3</v>
      </c>
      <c r="H2023" t="s">
        <v>92</v>
      </c>
      <c r="I2023" t="s">
        <v>79</v>
      </c>
      <c r="J2023">
        <v>1000</v>
      </c>
      <c r="K2023" t="s">
        <v>79</v>
      </c>
      <c r="L2023">
        <v>2</v>
      </c>
      <c r="M2023">
        <v>24.87</v>
      </c>
      <c r="N2023">
        <v>0.6</v>
      </c>
      <c r="Q2023">
        <v>24.27</v>
      </c>
      <c r="R2023" t="s">
        <v>1225</v>
      </c>
      <c r="V2023">
        <v>0</v>
      </c>
      <c r="W2023">
        <v>0</v>
      </c>
      <c r="AF2023">
        <v>0</v>
      </c>
      <c r="AG2023">
        <v>0</v>
      </c>
      <c r="AH2023">
        <v>0</v>
      </c>
      <c r="AI2023">
        <v>12</v>
      </c>
      <c r="AJ2023">
        <v>12</v>
      </c>
      <c r="AM2023">
        <v>0</v>
      </c>
      <c r="AN2023">
        <v>29.27</v>
      </c>
      <c r="AP2023">
        <v>45</v>
      </c>
      <c r="AQ2023">
        <v>45</v>
      </c>
    </row>
    <row r="2024" spans="1:43" x14ac:dyDescent="0.25">
      <c r="A2024" t="s">
        <v>46</v>
      </c>
      <c r="B2024">
        <v>2</v>
      </c>
      <c r="C2024" t="s">
        <v>1145</v>
      </c>
      <c r="D2024" s="39">
        <v>45968</v>
      </c>
      <c r="E2024" t="s">
        <v>486</v>
      </c>
      <c r="F2024" t="s">
        <v>79</v>
      </c>
      <c r="G2024">
        <v>3</v>
      </c>
      <c r="H2024" t="s">
        <v>92</v>
      </c>
      <c r="I2024" t="s">
        <v>79</v>
      </c>
      <c r="J2024">
        <v>1000</v>
      </c>
      <c r="K2024" t="s">
        <v>79</v>
      </c>
      <c r="L2024">
        <v>11</v>
      </c>
      <c r="M2024">
        <v>147.43</v>
      </c>
      <c r="N2024">
        <v>3.3</v>
      </c>
      <c r="Q2024">
        <v>144.13</v>
      </c>
      <c r="R2024" t="s">
        <v>1225</v>
      </c>
      <c r="V2024">
        <v>0</v>
      </c>
      <c r="W2024">
        <v>0</v>
      </c>
      <c r="AF2024">
        <v>0</v>
      </c>
      <c r="AG2024">
        <v>0</v>
      </c>
      <c r="AH2024">
        <v>0</v>
      </c>
      <c r="AI2024">
        <v>12</v>
      </c>
      <c r="AJ2024">
        <v>12</v>
      </c>
      <c r="AM2024">
        <v>0</v>
      </c>
      <c r="AN2024">
        <v>149.13</v>
      </c>
      <c r="AP2024">
        <v>45</v>
      </c>
      <c r="AQ2024">
        <v>45</v>
      </c>
    </row>
    <row r="2025" spans="1:43" x14ac:dyDescent="0.25">
      <c r="A2025" t="s">
        <v>45</v>
      </c>
      <c r="B2025">
        <v>3</v>
      </c>
      <c r="C2025" t="s">
        <v>1144</v>
      </c>
      <c r="D2025" s="39">
        <v>45968</v>
      </c>
      <c r="E2025" t="s">
        <v>486</v>
      </c>
      <c r="F2025" t="s">
        <v>79</v>
      </c>
      <c r="G2025">
        <v>8</v>
      </c>
      <c r="H2025">
        <v>5</v>
      </c>
      <c r="I2025" t="s">
        <v>79</v>
      </c>
      <c r="J2025">
        <v>1500</v>
      </c>
      <c r="K2025" t="s">
        <v>79</v>
      </c>
      <c r="L2025">
        <v>6</v>
      </c>
      <c r="M2025">
        <v>261.08000000000004</v>
      </c>
      <c r="N2025">
        <v>4.8000000000000007</v>
      </c>
      <c r="Q2025">
        <v>256.28000000000003</v>
      </c>
      <c r="R2025" t="s">
        <v>1224</v>
      </c>
      <c r="V2025">
        <v>0</v>
      </c>
      <c r="W2025">
        <v>0</v>
      </c>
      <c r="AF2025">
        <v>0</v>
      </c>
      <c r="AG2025">
        <v>0</v>
      </c>
      <c r="AH2025">
        <v>0</v>
      </c>
      <c r="AI2025">
        <v>12</v>
      </c>
      <c r="AJ2025">
        <v>12</v>
      </c>
      <c r="AM2025">
        <v>0</v>
      </c>
      <c r="AN2025">
        <v>261.28000000000003</v>
      </c>
      <c r="AP2025">
        <v>45</v>
      </c>
      <c r="AQ2025">
        <v>45</v>
      </c>
    </row>
    <row r="2026" spans="1:43" x14ac:dyDescent="0.25">
      <c r="A2026" t="s">
        <v>46</v>
      </c>
      <c r="B2026">
        <v>3</v>
      </c>
      <c r="C2026" t="s">
        <v>1144</v>
      </c>
      <c r="D2026" s="39">
        <v>45968</v>
      </c>
      <c r="E2026" t="s">
        <v>486</v>
      </c>
      <c r="F2026" t="s">
        <v>79</v>
      </c>
      <c r="G2026">
        <v>8</v>
      </c>
      <c r="H2026">
        <v>5</v>
      </c>
      <c r="I2026" t="s">
        <v>79</v>
      </c>
      <c r="J2026">
        <v>1500</v>
      </c>
      <c r="K2026" t="s">
        <v>79</v>
      </c>
      <c r="L2026">
        <v>7</v>
      </c>
      <c r="M2026">
        <v>244.65</v>
      </c>
      <c r="N2026">
        <v>5.6000000000000005</v>
      </c>
      <c r="Q2026">
        <v>239.05</v>
      </c>
      <c r="R2026" t="s">
        <v>1224</v>
      </c>
      <c r="V2026">
        <v>0</v>
      </c>
      <c r="W2026">
        <v>0</v>
      </c>
      <c r="AF2026">
        <v>0</v>
      </c>
      <c r="AG2026">
        <v>0</v>
      </c>
      <c r="AH2026">
        <v>0</v>
      </c>
      <c r="AI2026">
        <v>12</v>
      </c>
      <c r="AJ2026">
        <v>12</v>
      </c>
      <c r="AM2026">
        <v>0</v>
      </c>
      <c r="AN2026">
        <v>244.05</v>
      </c>
      <c r="AP2026">
        <v>45</v>
      </c>
      <c r="AQ2026">
        <v>45</v>
      </c>
    </row>
    <row r="2027" spans="1:43" x14ac:dyDescent="0.25">
      <c r="A2027" t="s">
        <v>45</v>
      </c>
      <c r="B2027">
        <v>4</v>
      </c>
      <c r="C2027" t="s">
        <v>930</v>
      </c>
      <c r="D2027" s="39">
        <v>45968</v>
      </c>
      <c r="E2027" t="s">
        <v>486</v>
      </c>
      <c r="F2027" t="s">
        <v>79</v>
      </c>
      <c r="G2027">
        <v>18</v>
      </c>
      <c r="H2027">
        <v>5</v>
      </c>
      <c r="I2027" t="s">
        <v>79</v>
      </c>
      <c r="J2027">
        <v>500</v>
      </c>
      <c r="K2027" t="s">
        <v>79</v>
      </c>
      <c r="L2027">
        <v>2</v>
      </c>
      <c r="M2027">
        <v>101.80000000000001</v>
      </c>
      <c r="N2027">
        <v>4.3000000000000007</v>
      </c>
      <c r="Q2027">
        <v>97.500000000000014</v>
      </c>
      <c r="R2027" t="s">
        <v>1126</v>
      </c>
      <c r="T2027">
        <v>300</v>
      </c>
      <c r="V2027">
        <v>300</v>
      </c>
      <c r="W2027">
        <v>5</v>
      </c>
      <c r="AF2027">
        <v>0</v>
      </c>
      <c r="AG2027">
        <v>0</v>
      </c>
      <c r="AH2027">
        <v>5</v>
      </c>
      <c r="AI2027">
        <v>7</v>
      </c>
      <c r="AJ2027">
        <v>12</v>
      </c>
      <c r="AM2027">
        <v>0</v>
      </c>
      <c r="AN2027">
        <v>102.5</v>
      </c>
      <c r="AP2027">
        <v>45</v>
      </c>
      <c r="AQ2027">
        <v>45</v>
      </c>
    </row>
    <row r="2028" spans="1:43" x14ac:dyDescent="0.25">
      <c r="A2028" t="s">
        <v>45</v>
      </c>
      <c r="B2028">
        <v>4</v>
      </c>
      <c r="C2028" t="s">
        <v>1146</v>
      </c>
      <c r="D2028" s="39">
        <v>45968</v>
      </c>
      <c r="E2028" t="s">
        <v>200</v>
      </c>
      <c r="F2028" t="s">
        <v>79</v>
      </c>
      <c r="G2028">
        <v>18</v>
      </c>
      <c r="H2028" t="s">
        <v>944</v>
      </c>
      <c r="I2028" t="s">
        <v>79</v>
      </c>
      <c r="J2028">
        <v>250</v>
      </c>
      <c r="K2028" t="s">
        <v>79</v>
      </c>
      <c r="L2028">
        <v>5</v>
      </c>
      <c r="M2028">
        <v>256.62</v>
      </c>
      <c r="N2028">
        <v>10.65</v>
      </c>
      <c r="Q2028">
        <v>245.97</v>
      </c>
      <c r="R2028" t="s">
        <v>1226</v>
      </c>
      <c r="V2028">
        <v>0</v>
      </c>
      <c r="W2028">
        <v>0</v>
      </c>
      <c r="AF2028">
        <v>0</v>
      </c>
      <c r="AG2028">
        <v>0</v>
      </c>
      <c r="AH2028">
        <v>0</v>
      </c>
      <c r="AI2028">
        <v>12</v>
      </c>
      <c r="AJ2028">
        <v>12</v>
      </c>
      <c r="AM2028">
        <v>0</v>
      </c>
      <c r="AN2028">
        <v>250.97</v>
      </c>
      <c r="AP2028">
        <v>45</v>
      </c>
      <c r="AQ2028">
        <v>45</v>
      </c>
    </row>
    <row r="2029" spans="1:43" x14ac:dyDescent="0.25">
      <c r="A2029" t="s">
        <v>46</v>
      </c>
      <c r="B2029">
        <v>4</v>
      </c>
      <c r="C2029" t="s">
        <v>1146</v>
      </c>
      <c r="D2029" s="39">
        <v>45968</v>
      </c>
      <c r="E2029" t="s">
        <v>200</v>
      </c>
      <c r="F2029" t="s">
        <v>79</v>
      </c>
      <c r="G2029">
        <v>18</v>
      </c>
      <c r="H2029" t="s">
        <v>944</v>
      </c>
      <c r="I2029" t="s">
        <v>79</v>
      </c>
      <c r="J2029">
        <v>250</v>
      </c>
      <c r="K2029" t="s">
        <v>79</v>
      </c>
      <c r="L2029">
        <v>9</v>
      </c>
      <c r="M2029">
        <v>525.58999999999992</v>
      </c>
      <c r="N2029">
        <v>16.2</v>
      </c>
      <c r="Q2029">
        <v>509.38999999999993</v>
      </c>
      <c r="R2029" t="s">
        <v>1226</v>
      </c>
      <c r="V2029">
        <v>0</v>
      </c>
      <c r="W2029">
        <v>0</v>
      </c>
      <c r="AF2029">
        <v>0</v>
      </c>
      <c r="AG2029">
        <v>0</v>
      </c>
      <c r="AH2029">
        <v>0</v>
      </c>
      <c r="AI2029">
        <v>12</v>
      </c>
      <c r="AJ2029">
        <v>12</v>
      </c>
      <c r="AM2029">
        <v>0</v>
      </c>
      <c r="AN2029">
        <v>514.38999999999987</v>
      </c>
      <c r="AP2029">
        <v>45</v>
      </c>
      <c r="AQ2029">
        <v>45</v>
      </c>
    </row>
    <row r="2030" spans="1:43" x14ac:dyDescent="0.25">
      <c r="A2030" t="s">
        <v>46</v>
      </c>
      <c r="B2030">
        <v>4</v>
      </c>
      <c r="C2030" t="s">
        <v>1147</v>
      </c>
      <c r="D2030" s="39">
        <v>45968</v>
      </c>
      <c r="E2030" t="s">
        <v>200</v>
      </c>
      <c r="F2030" t="s">
        <v>79</v>
      </c>
      <c r="G2030">
        <v>18</v>
      </c>
      <c r="H2030" t="s">
        <v>123</v>
      </c>
      <c r="I2030" t="s">
        <v>79</v>
      </c>
      <c r="J2030">
        <v>150</v>
      </c>
      <c r="K2030" t="s">
        <v>79</v>
      </c>
      <c r="L2030">
        <v>3</v>
      </c>
      <c r="M2030">
        <v>159.82</v>
      </c>
      <c r="N2030">
        <v>5.4</v>
      </c>
      <c r="Q2030">
        <v>154.41999999999999</v>
      </c>
      <c r="R2030" t="s">
        <v>1227</v>
      </c>
      <c r="V2030">
        <v>0</v>
      </c>
      <c r="W2030">
        <v>0</v>
      </c>
      <c r="AF2030">
        <v>0</v>
      </c>
      <c r="AG2030">
        <v>0</v>
      </c>
      <c r="AH2030">
        <v>0</v>
      </c>
      <c r="AI2030">
        <v>12</v>
      </c>
      <c r="AJ2030">
        <v>12</v>
      </c>
      <c r="AM2030">
        <v>0</v>
      </c>
      <c r="AN2030">
        <v>159.41999999999999</v>
      </c>
      <c r="AP2030">
        <v>45</v>
      </c>
      <c r="AQ2030">
        <v>45</v>
      </c>
    </row>
    <row r="2031" spans="1:43" x14ac:dyDescent="0.25">
      <c r="A2031" t="s">
        <v>46</v>
      </c>
      <c r="B2031">
        <v>4</v>
      </c>
      <c r="C2031" t="s">
        <v>1148</v>
      </c>
      <c r="D2031" s="39">
        <v>45968</v>
      </c>
      <c r="E2031" t="s">
        <v>200</v>
      </c>
      <c r="F2031" t="s">
        <v>79</v>
      </c>
      <c r="G2031">
        <v>18</v>
      </c>
      <c r="H2031" t="s">
        <v>578</v>
      </c>
      <c r="I2031" t="s">
        <v>79</v>
      </c>
      <c r="J2031">
        <v>300</v>
      </c>
      <c r="K2031" t="s">
        <v>79</v>
      </c>
      <c r="L2031">
        <v>1</v>
      </c>
      <c r="M2031">
        <v>43.97</v>
      </c>
      <c r="N2031">
        <v>1.8</v>
      </c>
      <c r="Q2031">
        <v>42.17</v>
      </c>
      <c r="R2031" t="s">
        <v>1228</v>
      </c>
      <c r="V2031">
        <v>0</v>
      </c>
      <c r="W2031">
        <v>0</v>
      </c>
      <c r="AF2031">
        <v>0</v>
      </c>
      <c r="AG2031">
        <v>0</v>
      </c>
      <c r="AH2031">
        <v>0</v>
      </c>
      <c r="AI2031">
        <v>12</v>
      </c>
      <c r="AJ2031">
        <v>12</v>
      </c>
      <c r="AM2031">
        <v>0</v>
      </c>
      <c r="AN2031">
        <v>47.17</v>
      </c>
      <c r="AP2031">
        <v>45</v>
      </c>
      <c r="AQ2031">
        <v>45</v>
      </c>
    </row>
    <row r="2032" spans="1:43" x14ac:dyDescent="0.25">
      <c r="A2032" t="s">
        <v>45</v>
      </c>
      <c r="B2032">
        <v>5</v>
      </c>
      <c r="C2032" t="s">
        <v>1142</v>
      </c>
      <c r="D2032" s="39">
        <v>45968</v>
      </c>
      <c r="E2032" t="s">
        <v>200</v>
      </c>
      <c r="F2032" t="s">
        <v>79</v>
      </c>
      <c r="G2032">
        <v>12</v>
      </c>
      <c r="H2032" t="s">
        <v>578</v>
      </c>
      <c r="I2032" t="s">
        <v>79</v>
      </c>
      <c r="J2032">
        <v>200</v>
      </c>
      <c r="K2032" t="s">
        <v>79</v>
      </c>
      <c r="L2032">
        <v>2</v>
      </c>
      <c r="M2032">
        <v>132.97</v>
      </c>
      <c r="N2032">
        <v>2.4</v>
      </c>
      <c r="Q2032">
        <v>130.57</v>
      </c>
      <c r="R2032" t="s">
        <v>1222</v>
      </c>
      <c r="S2032">
        <v>30</v>
      </c>
      <c r="V2032">
        <v>30</v>
      </c>
      <c r="W2032">
        <v>0.5</v>
      </c>
      <c r="AF2032">
        <v>0</v>
      </c>
      <c r="AG2032">
        <v>0</v>
      </c>
      <c r="AH2032">
        <v>0.5</v>
      </c>
      <c r="AI2032">
        <v>11.5</v>
      </c>
      <c r="AJ2032">
        <v>12</v>
      </c>
      <c r="AM2032">
        <v>0</v>
      </c>
      <c r="AN2032">
        <v>135.57</v>
      </c>
      <c r="AP2032">
        <v>45</v>
      </c>
      <c r="AQ2032">
        <v>45</v>
      </c>
    </row>
    <row r="2033" spans="1:43" x14ac:dyDescent="0.25">
      <c r="A2033" t="s">
        <v>45</v>
      </c>
      <c r="B2033">
        <v>5</v>
      </c>
      <c r="C2033" t="s">
        <v>821</v>
      </c>
      <c r="D2033" s="39">
        <v>45968</v>
      </c>
      <c r="E2033" t="s">
        <v>486</v>
      </c>
      <c r="F2033" t="s">
        <v>79</v>
      </c>
      <c r="G2033">
        <v>12</v>
      </c>
      <c r="H2033">
        <v>5</v>
      </c>
      <c r="I2033" t="s">
        <v>79</v>
      </c>
      <c r="J2033">
        <v>500</v>
      </c>
      <c r="K2033" t="s">
        <v>79</v>
      </c>
      <c r="L2033">
        <v>2</v>
      </c>
      <c r="M2033">
        <v>132.38</v>
      </c>
      <c r="N2033">
        <v>2.4</v>
      </c>
      <c r="Q2033">
        <v>129.97999999999999</v>
      </c>
      <c r="R2033" t="s">
        <v>1343</v>
      </c>
      <c r="V2033">
        <v>0</v>
      </c>
      <c r="W2033">
        <v>0</v>
      </c>
      <c r="AF2033">
        <v>0</v>
      </c>
      <c r="AG2033">
        <v>0</v>
      </c>
      <c r="AH2033">
        <v>0</v>
      </c>
      <c r="AI2033">
        <v>12</v>
      </c>
      <c r="AJ2033">
        <v>12</v>
      </c>
      <c r="AM2033">
        <v>0</v>
      </c>
      <c r="AN2033">
        <v>134.97999999999999</v>
      </c>
      <c r="AP2033">
        <v>45</v>
      </c>
      <c r="AQ2033">
        <v>45</v>
      </c>
    </row>
    <row r="2034" spans="1:43" x14ac:dyDescent="0.25">
      <c r="A2034" t="s">
        <v>45</v>
      </c>
      <c r="B2034">
        <v>5</v>
      </c>
      <c r="C2034" t="s">
        <v>1149</v>
      </c>
      <c r="D2034" s="39">
        <v>45968</v>
      </c>
      <c r="E2034" t="s">
        <v>484</v>
      </c>
      <c r="F2034" t="s">
        <v>79</v>
      </c>
      <c r="G2034">
        <v>9</v>
      </c>
      <c r="H2034">
        <v>7</v>
      </c>
      <c r="I2034" t="s">
        <v>79</v>
      </c>
      <c r="J2034">
        <v>100</v>
      </c>
      <c r="K2034" t="s">
        <v>79</v>
      </c>
      <c r="L2034">
        <v>2</v>
      </c>
      <c r="M2034">
        <v>102.11</v>
      </c>
      <c r="N2034">
        <v>1.8</v>
      </c>
      <c r="Q2034">
        <v>100.31</v>
      </c>
      <c r="R2034" t="s">
        <v>1229</v>
      </c>
      <c r="V2034">
        <v>0</v>
      </c>
      <c r="W2034">
        <v>0</v>
      </c>
      <c r="AF2034">
        <v>0</v>
      </c>
      <c r="AG2034">
        <v>0</v>
      </c>
      <c r="AH2034">
        <v>0</v>
      </c>
      <c r="AI2034">
        <v>12</v>
      </c>
      <c r="AJ2034">
        <v>12</v>
      </c>
      <c r="AM2034">
        <v>0</v>
      </c>
      <c r="AN2034">
        <v>105.31</v>
      </c>
      <c r="AP2034">
        <v>45</v>
      </c>
      <c r="AQ2034">
        <v>45</v>
      </c>
    </row>
    <row r="2035" spans="1:43" x14ac:dyDescent="0.25">
      <c r="A2035" t="s">
        <v>45</v>
      </c>
      <c r="B2035">
        <v>5</v>
      </c>
      <c r="C2035" t="s">
        <v>1103</v>
      </c>
      <c r="D2035" s="39">
        <v>45968</v>
      </c>
      <c r="E2035" t="s">
        <v>401</v>
      </c>
      <c r="F2035" t="s">
        <v>79</v>
      </c>
      <c r="G2035">
        <v>9</v>
      </c>
      <c r="H2035">
        <v>4.5</v>
      </c>
      <c r="I2035" t="s">
        <v>79</v>
      </c>
      <c r="J2035">
        <v>100</v>
      </c>
      <c r="K2035" t="s">
        <v>79</v>
      </c>
      <c r="L2035">
        <v>4</v>
      </c>
      <c r="M2035">
        <v>116.53</v>
      </c>
      <c r="N2035">
        <v>3.6</v>
      </c>
      <c r="Q2035">
        <v>112.93</v>
      </c>
      <c r="R2035" t="s">
        <v>1128</v>
      </c>
      <c r="V2035">
        <v>0</v>
      </c>
      <c r="W2035">
        <v>0</v>
      </c>
      <c r="AF2035">
        <v>0</v>
      </c>
      <c r="AG2035">
        <v>0</v>
      </c>
      <c r="AH2035">
        <v>0</v>
      </c>
      <c r="AI2035">
        <v>12</v>
      </c>
      <c r="AJ2035">
        <v>12</v>
      </c>
      <c r="AM2035">
        <v>0</v>
      </c>
      <c r="AN2035">
        <v>117.93</v>
      </c>
      <c r="AP2035">
        <v>45</v>
      </c>
      <c r="AQ2035">
        <v>45</v>
      </c>
    </row>
    <row r="2036" spans="1:43" x14ac:dyDescent="0.25">
      <c r="A2036" t="s">
        <v>45</v>
      </c>
      <c r="B2036">
        <v>5</v>
      </c>
      <c r="C2036" t="s">
        <v>1149</v>
      </c>
      <c r="D2036" s="39">
        <v>45968</v>
      </c>
      <c r="E2036" t="s">
        <v>484</v>
      </c>
      <c r="F2036" t="s">
        <v>79</v>
      </c>
      <c r="G2036">
        <v>9</v>
      </c>
      <c r="H2036">
        <v>7</v>
      </c>
      <c r="I2036" t="s">
        <v>79</v>
      </c>
      <c r="J2036">
        <v>100</v>
      </c>
      <c r="K2036" t="s">
        <v>79</v>
      </c>
      <c r="L2036">
        <v>1</v>
      </c>
      <c r="M2036">
        <v>31.08</v>
      </c>
      <c r="N2036">
        <v>0.9</v>
      </c>
      <c r="Q2036">
        <v>30.18</v>
      </c>
      <c r="R2036" t="s">
        <v>1229</v>
      </c>
      <c r="V2036">
        <v>0</v>
      </c>
      <c r="W2036">
        <v>0</v>
      </c>
      <c r="AF2036">
        <v>0</v>
      </c>
      <c r="AG2036">
        <v>0</v>
      </c>
      <c r="AH2036">
        <v>0</v>
      </c>
      <c r="AI2036">
        <v>12</v>
      </c>
      <c r="AJ2036">
        <v>12</v>
      </c>
      <c r="AM2036">
        <v>0</v>
      </c>
      <c r="AN2036">
        <v>35.18</v>
      </c>
      <c r="AP2036">
        <v>45</v>
      </c>
      <c r="AQ2036">
        <v>45</v>
      </c>
    </row>
    <row r="2037" spans="1:43" x14ac:dyDescent="0.25">
      <c r="A2037" t="s">
        <v>46</v>
      </c>
      <c r="B2037">
        <v>5</v>
      </c>
      <c r="C2037" t="s">
        <v>1150</v>
      </c>
      <c r="D2037" s="39">
        <v>45968</v>
      </c>
      <c r="E2037" t="s">
        <v>1133</v>
      </c>
      <c r="F2037" t="s">
        <v>79</v>
      </c>
      <c r="G2037">
        <v>9</v>
      </c>
      <c r="H2037">
        <v>8</v>
      </c>
      <c r="I2037" t="s">
        <v>79</v>
      </c>
      <c r="J2037">
        <v>50</v>
      </c>
      <c r="K2037" t="s">
        <v>79</v>
      </c>
      <c r="L2037">
        <v>1</v>
      </c>
      <c r="M2037">
        <v>32.229999999999997</v>
      </c>
      <c r="N2037">
        <v>0.9</v>
      </c>
      <c r="Q2037">
        <v>31.33</v>
      </c>
      <c r="R2037" t="s">
        <v>1230</v>
      </c>
      <c r="V2037">
        <v>0</v>
      </c>
      <c r="W2037">
        <v>0</v>
      </c>
      <c r="AF2037">
        <v>0</v>
      </c>
      <c r="AG2037">
        <v>0</v>
      </c>
      <c r="AH2037">
        <v>0</v>
      </c>
      <c r="AI2037">
        <v>12</v>
      </c>
      <c r="AJ2037">
        <v>12</v>
      </c>
      <c r="AM2037">
        <v>0</v>
      </c>
      <c r="AN2037">
        <v>36.33</v>
      </c>
      <c r="AP2037">
        <v>45</v>
      </c>
      <c r="AQ2037">
        <v>45</v>
      </c>
    </row>
    <row r="2038" spans="1:43" x14ac:dyDescent="0.25">
      <c r="A2038" t="s">
        <v>46</v>
      </c>
      <c r="B2038">
        <v>5</v>
      </c>
      <c r="C2038" t="s">
        <v>1151</v>
      </c>
      <c r="D2038" s="39">
        <v>45968</v>
      </c>
      <c r="E2038" t="s">
        <v>229</v>
      </c>
      <c r="F2038" t="s">
        <v>79</v>
      </c>
      <c r="G2038">
        <v>9</v>
      </c>
      <c r="H2038">
        <v>15</v>
      </c>
      <c r="I2038" t="s">
        <v>79</v>
      </c>
      <c r="J2038">
        <v>0</v>
      </c>
      <c r="K2038" t="s">
        <v>79</v>
      </c>
      <c r="L2038">
        <v>14</v>
      </c>
      <c r="M2038">
        <v>456.54999999999995</v>
      </c>
      <c r="N2038">
        <v>12.6</v>
      </c>
      <c r="Q2038">
        <v>443.94999999999993</v>
      </c>
      <c r="R2038" t="s">
        <v>1231</v>
      </c>
      <c r="V2038">
        <v>0</v>
      </c>
      <c r="W2038">
        <v>0</v>
      </c>
      <c r="AF2038">
        <v>0</v>
      </c>
      <c r="AG2038">
        <v>0</v>
      </c>
      <c r="AH2038">
        <v>0</v>
      </c>
      <c r="AI2038">
        <v>12</v>
      </c>
      <c r="AJ2038">
        <v>12</v>
      </c>
      <c r="AM2038">
        <v>0</v>
      </c>
      <c r="AN2038">
        <v>448.94999999999993</v>
      </c>
      <c r="AP2038">
        <v>45</v>
      </c>
      <c r="AQ2038">
        <v>45</v>
      </c>
    </row>
    <row r="2039" spans="1:43" x14ac:dyDescent="0.25">
      <c r="A2039" t="s">
        <v>46</v>
      </c>
      <c r="B2039">
        <v>5</v>
      </c>
      <c r="C2039" t="s">
        <v>1152</v>
      </c>
      <c r="D2039" s="39">
        <v>45968</v>
      </c>
      <c r="E2039" t="s">
        <v>486</v>
      </c>
      <c r="F2039" t="s">
        <v>79</v>
      </c>
      <c r="G2039">
        <v>9</v>
      </c>
      <c r="H2039" t="s">
        <v>113</v>
      </c>
      <c r="I2039" t="s">
        <v>79</v>
      </c>
      <c r="J2039">
        <v>1500</v>
      </c>
      <c r="K2039" t="s">
        <v>79</v>
      </c>
      <c r="L2039">
        <v>2</v>
      </c>
      <c r="M2039">
        <v>69.67</v>
      </c>
      <c r="N2039">
        <v>1.8</v>
      </c>
      <c r="Q2039">
        <v>67.87</v>
      </c>
      <c r="R2039" t="s">
        <v>1232</v>
      </c>
      <c r="V2039">
        <v>0</v>
      </c>
      <c r="W2039">
        <v>0</v>
      </c>
      <c r="AF2039">
        <v>0</v>
      </c>
      <c r="AG2039">
        <v>0</v>
      </c>
      <c r="AH2039">
        <v>0</v>
      </c>
      <c r="AI2039">
        <v>12</v>
      </c>
      <c r="AJ2039">
        <v>12</v>
      </c>
      <c r="AM2039">
        <v>0</v>
      </c>
      <c r="AN2039">
        <v>72.87</v>
      </c>
      <c r="AP2039">
        <v>45</v>
      </c>
      <c r="AQ2039">
        <v>45</v>
      </c>
    </row>
    <row r="2040" spans="1:43" x14ac:dyDescent="0.25">
      <c r="A2040" t="s">
        <v>45</v>
      </c>
      <c r="B2040">
        <v>1</v>
      </c>
      <c r="C2040" t="s">
        <v>1140</v>
      </c>
      <c r="D2040" s="39">
        <v>45969</v>
      </c>
      <c r="E2040" t="s">
        <v>486</v>
      </c>
      <c r="F2040" t="s">
        <v>79</v>
      </c>
      <c r="G2040">
        <v>2.5</v>
      </c>
      <c r="H2040" t="s">
        <v>92</v>
      </c>
      <c r="I2040" t="s">
        <v>79</v>
      </c>
      <c r="J2040">
        <v>1000</v>
      </c>
      <c r="K2040" t="s">
        <v>79</v>
      </c>
      <c r="L2040">
        <v>14</v>
      </c>
      <c r="M2040">
        <v>170.53999999999996</v>
      </c>
      <c r="N2040">
        <v>3.5</v>
      </c>
      <c r="Q2040">
        <v>167.03999999999996</v>
      </c>
      <c r="R2040" t="s">
        <v>1570</v>
      </c>
      <c r="V2040">
        <v>0</v>
      </c>
      <c r="W2040">
        <v>0</v>
      </c>
      <c r="AF2040">
        <v>0</v>
      </c>
      <c r="AG2040">
        <v>0</v>
      </c>
      <c r="AH2040">
        <v>0</v>
      </c>
      <c r="AI2040">
        <v>12</v>
      </c>
      <c r="AJ2040">
        <v>12</v>
      </c>
      <c r="AM2040">
        <v>0</v>
      </c>
      <c r="AN2040">
        <v>172.03999999999996</v>
      </c>
      <c r="AP2040">
        <v>45</v>
      </c>
      <c r="AQ2040">
        <v>45</v>
      </c>
    </row>
    <row r="2041" spans="1:43" x14ac:dyDescent="0.25">
      <c r="A2041" t="s">
        <v>46</v>
      </c>
      <c r="B2041">
        <v>1</v>
      </c>
      <c r="C2041" t="s">
        <v>1140</v>
      </c>
      <c r="D2041" s="39">
        <v>45969</v>
      </c>
      <c r="E2041" t="s">
        <v>486</v>
      </c>
      <c r="F2041" t="s">
        <v>79</v>
      </c>
      <c r="G2041">
        <v>2.5</v>
      </c>
      <c r="H2041" t="s">
        <v>92</v>
      </c>
      <c r="I2041" t="s">
        <v>79</v>
      </c>
      <c r="J2041">
        <v>1000</v>
      </c>
      <c r="K2041" t="s">
        <v>79</v>
      </c>
      <c r="L2041">
        <v>11</v>
      </c>
      <c r="M2041">
        <v>133.4</v>
      </c>
      <c r="N2041">
        <v>2.75</v>
      </c>
      <c r="Q2041">
        <v>130.65</v>
      </c>
      <c r="R2041" t="s">
        <v>1570</v>
      </c>
      <c r="V2041">
        <v>0</v>
      </c>
      <c r="W2041">
        <v>0</v>
      </c>
      <c r="AF2041">
        <v>0</v>
      </c>
      <c r="AG2041">
        <v>0</v>
      </c>
      <c r="AH2041">
        <v>0</v>
      </c>
      <c r="AI2041">
        <v>12</v>
      </c>
      <c r="AJ2041">
        <v>12</v>
      </c>
      <c r="AM2041">
        <v>0</v>
      </c>
      <c r="AN2041">
        <v>135.65</v>
      </c>
      <c r="AP2041">
        <v>45</v>
      </c>
      <c r="AQ2041">
        <v>45</v>
      </c>
    </row>
    <row r="2042" spans="1:43" x14ac:dyDescent="0.25">
      <c r="A2042" t="s">
        <v>45</v>
      </c>
      <c r="B2042">
        <v>2</v>
      </c>
      <c r="C2042" t="s">
        <v>1145</v>
      </c>
      <c r="D2042" s="39">
        <v>45969</v>
      </c>
      <c r="E2042" t="s">
        <v>486</v>
      </c>
      <c r="F2042" t="s">
        <v>79</v>
      </c>
      <c r="G2042">
        <v>3</v>
      </c>
      <c r="H2042" t="s">
        <v>92</v>
      </c>
      <c r="I2042" t="s">
        <v>79</v>
      </c>
      <c r="J2042">
        <v>1000</v>
      </c>
      <c r="K2042" t="s">
        <v>79</v>
      </c>
      <c r="L2042">
        <v>12</v>
      </c>
      <c r="M2042">
        <v>157.11000000000001</v>
      </c>
      <c r="N2042">
        <v>3.5999999999999996</v>
      </c>
      <c r="Q2042">
        <v>153.51000000000002</v>
      </c>
      <c r="R2042" t="s">
        <v>1225</v>
      </c>
      <c r="V2042">
        <v>0</v>
      </c>
      <c r="W2042">
        <v>0</v>
      </c>
      <c r="AF2042">
        <v>0</v>
      </c>
      <c r="AG2042">
        <v>0</v>
      </c>
      <c r="AH2042">
        <v>0</v>
      </c>
      <c r="AI2042">
        <v>12</v>
      </c>
      <c r="AJ2042">
        <v>12</v>
      </c>
      <c r="AM2042">
        <v>0</v>
      </c>
      <c r="AN2042">
        <v>158.51000000000002</v>
      </c>
      <c r="AP2042">
        <v>45</v>
      </c>
      <c r="AQ2042">
        <v>45</v>
      </c>
    </row>
    <row r="2043" spans="1:43" x14ac:dyDescent="0.25">
      <c r="A2043" t="s">
        <v>46</v>
      </c>
      <c r="B2043">
        <v>2</v>
      </c>
      <c r="C2043" t="s">
        <v>1145</v>
      </c>
      <c r="D2043" s="39">
        <v>45969</v>
      </c>
      <c r="E2043" t="s">
        <v>486</v>
      </c>
      <c r="F2043" t="s">
        <v>79</v>
      </c>
      <c r="G2043">
        <v>3</v>
      </c>
      <c r="H2043" t="s">
        <v>92</v>
      </c>
      <c r="I2043" t="s">
        <v>79</v>
      </c>
      <c r="J2043">
        <v>1000</v>
      </c>
      <c r="K2043" t="s">
        <v>79</v>
      </c>
      <c r="L2043">
        <v>12</v>
      </c>
      <c r="M2043">
        <v>155.59</v>
      </c>
      <c r="N2043">
        <v>3.5999999999999996</v>
      </c>
      <c r="Q2043">
        <v>151.99</v>
      </c>
      <c r="R2043" t="s">
        <v>1225</v>
      </c>
      <c r="V2043">
        <v>0</v>
      </c>
      <c r="W2043">
        <v>0</v>
      </c>
      <c r="AF2043">
        <v>0</v>
      </c>
      <c r="AG2043">
        <v>0</v>
      </c>
      <c r="AH2043">
        <v>0</v>
      </c>
      <c r="AI2043">
        <v>12</v>
      </c>
      <c r="AJ2043">
        <v>12</v>
      </c>
      <c r="AM2043">
        <v>0</v>
      </c>
      <c r="AN2043">
        <v>156.99</v>
      </c>
      <c r="AP2043">
        <v>45</v>
      </c>
      <c r="AQ2043">
        <v>45</v>
      </c>
    </row>
    <row r="2044" spans="1:43" x14ac:dyDescent="0.25">
      <c r="A2044" t="s">
        <v>45</v>
      </c>
      <c r="B2044">
        <v>3</v>
      </c>
      <c r="C2044" t="s">
        <v>1144</v>
      </c>
      <c r="D2044" s="39">
        <v>45969</v>
      </c>
      <c r="E2044" t="s">
        <v>486</v>
      </c>
      <c r="F2044" t="s">
        <v>79</v>
      </c>
      <c r="G2044">
        <v>8</v>
      </c>
      <c r="H2044">
        <v>5</v>
      </c>
      <c r="I2044" t="s">
        <v>79</v>
      </c>
      <c r="J2044">
        <v>1500</v>
      </c>
      <c r="K2044" t="s">
        <v>79</v>
      </c>
      <c r="L2044">
        <v>8</v>
      </c>
      <c r="M2044">
        <v>340.84</v>
      </c>
      <c r="N2044">
        <v>6.4</v>
      </c>
      <c r="Q2044">
        <v>334.44</v>
      </c>
      <c r="R2044" t="s">
        <v>1224</v>
      </c>
      <c r="V2044">
        <v>0</v>
      </c>
      <c r="W2044">
        <v>0</v>
      </c>
      <c r="AF2044">
        <v>0</v>
      </c>
      <c r="AG2044">
        <v>0</v>
      </c>
      <c r="AH2044">
        <v>0</v>
      </c>
      <c r="AI2044">
        <v>12</v>
      </c>
      <c r="AJ2044">
        <v>12</v>
      </c>
      <c r="AM2044">
        <v>0</v>
      </c>
      <c r="AN2044">
        <v>339.44</v>
      </c>
      <c r="AP2044">
        <v>45</v>
      </c>
      <c r="AQ2044">
        <v>45</v>
      </c>
    </row>
    <row r="2045" spans="1:43" x14ac:dyDescent="0.25">
      <c r="A2045" t="s">
        <v>46</v>
      </c>
      <c r="B2045">
        <v>3</v>
      </c>
      <c r="C2045" t="s">
        <v>1144</v>
      </c>
      <c r="D2045" s="39">
        <v>45969</v>
      </c>
      <c r="E2045" t="s">
        <v>486</v>
      </c>
      <c r="F2045" t="s">
        <v>79</v>
      </c>
      <c r="G2045">
        <v>8</v>
      </c>
      <c r="H2045">
        <v>5</v>
      </c>
      <c r="I2045" t="s">
        <v>79</v>
      </c>
      <c r="J2045">
        <v>1500</v>
      </c>
      <c r="K2045" t="s">
        <v>79</v>
      </c>
      <c r="L2045">
        <v>7</v>
      </c>
      <c r="M2045">
        <v>312.45999999999998</v>
      </c>
      <c r="N2045">
        <v>5.6000000000000005</v>
      </c>
      <c r="Q2045">
        <v>306.85999999999996</v>
      </c>
      <c r="R2045" t="s">
        <v>1224</v>
      </c>
      <c r="V2045">
        <v>0</v>
      </c>
      <c r="W2045">
        <v>0</v>
      </c>
      <c r="AF2045">
        <v>0</v>
      </c>
      <c r="AG2045">
        <v>0</v>
      </c>
      <c r="AH2045">
        <v>0</v>
      </c>
      <c r="AI2045">
        <v>12</v>
      </c>
      <c r="AJ2045">
        <v>12</v>
      </c>
      <c r="AM2045">
        <v>0</v>
      </c>
      <c r="AN2045">
        <v>311.85999999999996</v>
      </c>
      <c r="AP2045">
        <v>45</v>
      </c>
      <c r="AQ2045">
        <v>45</v>
      </c>
    </row>
    <row r="2046" spans="1:43" x14ac:dyDescent="0.25">
      <c r="A2046" t="s">
        <v>45</v>
      </c>
      <c r="B2046">
        <v>4</v>
      </c>
      <c r="C2046" t="s">
        <v>1148</v>
      </c>
      <c r="D2046" s="39">
        <v>45969</v>
      </c>
      <c r="E2046" t="s">
        <v>200</v>
      </c>
      <c r="F2046" t="s">
        <v>79</v>
      </c>
      <c r="G2046">
        <v>18</v>
      </c>
      <c r="H2046" t="s">
        <v>578</v>
      </c>
      <c r="I2046" t="s">
        <v>79</v>
      </c>
      <c r="J2046">
        <v>300</v>
      </c>
      <c r="K2046" t="s">
        <v>79</v>
      </c>
      <c r="L2046">
        <v>5</v>
      </c>
      <c r="M2046">
        <v>275.09000000000003</v>
      </c>
      <c r="N2046">
        <v>11</v>
      </c>
      <c r="O2046">
        <v>40</v>
      </c>
      <c r="Q2046">
        <v>264.09000000000003</v>
      </c>
      <c r="R2046" t="s">
        <v>1228</v>
      </c>
      <c r="S2046">
        <v>20</v>
      </c>
      <c r="V2046">
        <v>20</v>
      </c>
      <c r="W2046">
        <v>0.33333333333333331</v>
      </c>
      <c r="AC2046">
        <v>60</v>
      </c>
      <c r="AF2046">
        <v>60</v>
      </c>
      <c r="AG2046">
        <v>1</v>
      </c>
      <c r="AH2046">
        <v>1.3333333333333333</v>
      </c>
      <c r="AI2046">
        <v>10.666666666666666</v>
      </c>
      <c r="AJ2046">
        <v>12</v>
      </c>
      <c r="AM2046">
        <v>0</v>
      </c>
      <c r="AN2046">
        <v>269.09000000000003</v>
      </c>
      <c r="AP2046">
        <v>45</v>
      </c>
      <c r="AQ2046">
        <v>45</v>
      </c>
    </row>
    <row r="2047" spans="1:43" x14ac:dyDescent="0.25">
      <c r="A2047" t="s">
        <v>45</v>
      </c>
      <c r="B2047">
        <v>4</v>
      </c>
      <c r="C2047" t="s">
        <v>1153</v>
      </c>
      <c r="D2047" s="39">
        <v>45969</v>
      </c>
      <c r="E2047" t="s">
        <v>695</v>
      </c>
      <c r="F2047" t="s">
        <v>79</v>
      </c>
      <c r="G2047">
        <v>10.5</v>
      </c>
      <c r="H2047" t="s">
        <v>696</v>
      </c>
      <c r="I2047" t="s">
        <v>79</v>
      </c>
      <c r="J2047">
        <v>500</v>
      </c>
      <c r="K2047" t="s">
        <v>79</v>
      </c>
      <c r="L2047">
        <v>9</v>
      </c>
      <c r="M2047">
        <v>189.54000000000002</v>
      </c>
      <c r="N2047">
        <v>10.799999999999999</v>
      </c>
      <c r="Q2047">
        <v>178.74</v>
      </c>
      <c r="R2047" t="s">
        <v>1233</v>
      </c>
      <c r="V2047">
        <v>0</v>
      </c>
      <c r="W2047">
        <v>0</v>
      </c>
      <c r="AF2047">
        <v>0</v>
      </c>
      <c r="AG2047">
        <v>0</v>
      </c>
      <c r="AH2047">
        <v>0</v>
      </c>
      <c r="AI2047">
        <v>12</v>
      </c>
      <c r="AJ2047">
        <v>12</v>
      </c>
      <c r="AM2047">
        <v>0</v>
      </c>
      <c r="AN2047">
        <v>183.74</v>
      </c>
      <c r="AP2047">
        <v>45</v>
      </c>
      <c r="AQ2047">
        <v>45</v>
      </c>
    </row>
    <row r="2048" spans="1:43" x14ac:dyDescent="0.25">
      <c r="A2048" t="s">
        <v>46</v>
      </c>
      <c r="B2048">
        <v>4</v>
      </c>
      <c r="C2048" t="s">
        <v>1153</v>
      </c>
      <c r="D2048" s="39">
        <v>45969</v>
      </c>
      <c r="E2048" t="s">
        <v>695</v>
      </c>
      <c r="F2048" t="s">
        <v>79</v>
      </c>
      <c r="G2048">
        <v>10.5</v>
      </c>
      <c r="H2048" t="s">
        <v>696</v>
      </c>
      <c r="I2048" t="s">
        <v>79</v>
      </c>
      <c r="J2048">
        <v>500</v>
      </c>
      <c r="K2048" t="s">
        <v>79</v>
      </c>
      <c r="L2048">
        <v>12</v>
      </c>
      <c r="M2048">
        <v>303.70999999999992</v>
      </c>
      <c r="N2048">
        <v>14.399999999999999</v>
      </c>
      <c r="Q2048">
        <v>289.30999999999995</v>
      </c>
      <c r="R2048" t="s">
        <v>1233</v>
      </c>
      <c r="V2048">
        <v>0</v>
      </c>
      <c r="W2048">
        <v>0</v>
      </c>
      <c r="AF2048">
        <v>0</v>
      </c>
      <c r="AG2048">
        <v>0</v>
      </c>
      <c r="AH2048">
        <v>0</v>
      </c>
      <c r="AI2048">
        <v>12</v>
      </c>
      <c r="AJ2048">
        <v>12</v>
      </c>
      <c r="AM2048">
        <v>0</v>
      </c>
      <c r="AN2048">
        <v>294.30999999999995</v>
      </c>
      <c r="AP2048">
        <v>45</v>
      </c>
      <c r="AQ2048">
        <v>45</v>
      </c>
    </row>
    <row r="2049" spans="1:43" x14ac:dyDescent="0.25">
      <c r="A2049" t="s">
        <v>46</v>
      </c>
      <c r="B2049">
        <v>4</v>
      </c>
      <c r="C2049" t="s">
        <v>1154</v>
      </c>
      <c r="D2049" s="39">
        <v>45969</v>
      </c>
      <c r="E2049" t="s">
        <v>1155</v>
      </c>
      <c r="F2049" t="s">
        <v>79</v>
      </c>
      <c r="G2049">
        <v>12</v>
      </c>
      <c r="H2049" t="s">
        <v>1156</v>
      </c>
      <c r="I2049" t="s">
        <v>79</v>
      </c>
      <c r="J2049">
        <v>100</v>
      </c>
      <c r="K2049" t="s">
        <v>79</v>
      </c>
      <c r="L2049">
        <v>4</v>
      </c>
      <c r="M2049">
        <v>101.86</v>
      </c>
      <c r="N2049">
        <v>4.8</v>
      </c>
      <c r="Q2049">
        <v>97.06</v>
      </c>
      <c r="R2049" t="s">
        <v>1234</v>
      </c>
      <c r="V2049">
        <v>0</v>
      </c>
      <c r="W2049">
        <v>0</v>
      </c>
      <c r="AF2049">
        <v>0</v>
      </c>
      <c r="AG2049">
        <v>0</v>
      </c>
      <c r="AH2049">
        <v>0</v>
      </c>
      <c r="AI2049">
        <v>12</v>
      </c>
      <c r="AJ2049">
        <v>12</v>
      </c>
      <c r="AM2049">
        <v>0</v>
      </c>
      <c r="AN2049">
        <v>102.06</v>
      </c>
      <c r="AP2049">
        <v>45</v>
      </c>
      <c r="AQ2049">
        <v>45</v>
      </c>
    </row>
    <row r="2050" spans="1:43" x14ac:dyDescent="0.25">
      <c r="A2050" t="s">
        <v>45</v>
      </c>
      <c r="B2050">
        <v>5</v>
      </c>
      <c r="C2050" t="s">
        <v>1152</v>
      </c>
      <c r="D2050" s="39">
        <v>45969</v>
      </c>
      <c r="E2050" t="s">
        <v>486</v>
      </c>
      <c r="F2050" t="s">
        <v>79</v>
      </c>
      <c r="G2050">
        <v>9</v>
      </c>
      <c r="H2050" t="s">
        <v>113</v>
      </c>
      <c r="I2050" t="s">
        <v>79</v>
      </c>
      <c r="J2050">
        <v>1500</v>
      </c>
      <c r="K2050" t="s">
        <v>79</v>
      </c>
      <c r="L2050">
        <v>9</v>
      </c>
      <c r="M2050">
        <v>464.68999999999994</v>
      </c>
      <c r="N2050">
        <v>8.1</v>
      </c>
      <c r="Q2050">
        <v>456.58999999999992</v>
      </c>
      <c r="R2050" t="s">
        <v>1232</v>
      </c>
      <c r="V2050">
        <v>0</v>
      </c>
      <c r="W2050">
        <v>0</v>
      </c>
      <c r="AF2050">
        <v>0</v>
      </c>
      <c r="AG2050">
        <v>0</v>
      </c>
      <c r="AH2050">
        <v>0</v>
      </c>
      <c r="AI2050">
        <v>12</v>
      </c>
      <c r="AJ2050">
        <v>12</v>
      </c>
      <c r="AM2050">
        <v>0</v>
      </c>
      <c r="AN2050">
        <v>461.58999999999992</v>
      </c>
      <c r="AP2050">
        <v>45</v>
      </c>
      <c r="AQ2050">
        <v>45</v>
      </c>
    </row>
    <row r="2051" spans="1:43" x14ac:dyDescent="0.25">
      <c r="A2051" t="s">
        <v>46</v>
      </c>
      <c r="B2051">
        <v>5</v>
      </c>
      <c r="C2051" t="s">
        <v>1152</v>
      </c>
      <c r="D2051" s="39">
        <v>45969</v>
      </c>
      <c r="E2051" t="s">
        <v>486</v>
      </c>
      <c r="F2051" t="s">
        <v>79</v>
      </c>
      <c r="G2051">
        <v>9</v>
      </c>
      <c r="H2051" t="s">
        <v>113</v>
      </c>
      <c r="I2051" t="s">
        <v>79</v>
      </c>
      <c r="J2051">
        <v>1500</v>
      </c>
      <c r="K2051" t="s">
        <v>79</v>
      </c>
      <c r="L2051">
        <v>9</v>
      </c>
      <c r="M2051">
        <v>449.65</v>
      </c>
      <c r="N2051">
        <v>8.1</v>
      </c>
      <c r="Q2051">
        <v>441.54999999999995</v>
      </c>
      <c r="R2051" t="s">
        <v>1232</v>
      </c>
      <c r="V2051">
        <v>0</v>
      </c>
      <c r="W2051">
        <v>0</v>
      </c>
      <c r="AF2051">
        <v>0</v>
      </c>
      <c r="AG2051">
        <v>0</v>
      </c>
      <c r="AH2051">
        <v>0</v>
      </c>
      <c r="AI2051">
        <v>12</v>
      </c>
      <c r="AJ2051">
        <v>12</v>
      </c>
      <c r="AM2051">
        <v>0</v>
      </c>
      <c r="AN2051">
        <v>446.5499999999999</v>
      </c>
      <c r="AP2051">
        <v>45</v>
      </c>
      <c r="AQ2051">
        <v>45</v>
      </c>
    </row>
    <row r="2052" spans="1:43" x14ac:dyDescent="0.25">
      <c r="A2052" t="s">
        <v>45</v>
      </c>
      <c r="B2052">
        <v>1</v>
      </c>
      <c r="C2052" t="s">
        <v>1140</v>
      </c>
      <c r="D2052" s="39">
        <v>45970</v>
      </c>
      <c r="E2052" t="s">
        <v>486</v>
      </c>
      <c r="F2052" t="s">
        <v>79</v>
      </c>
      <c r="G2052">
        <v>2.5</v>
      </c>
      <c r="H2052" t="s">
        <v>92</v>
      </c>
      <c r="I2052" t="s">
        <v>79</v>
      </c>
      <c r="J2052">
        <v>1000</v>
      </c>
      <c r="K2052" t="s">
        <v>79</v>
      </c>
      <c r="L2052">
        <v>10</v>
      </c>
      <c r="M2052">
        <v>114.29999999999998</v>
      </c>
      <c r="N2052">
        <v>2.5</v>
      </c>
      <c r="Q2052">
        <v>111.79999999999998</v>
      </c>
      <c r="R2052" t="s">
        <v>1570</v>
      </c>
      <c r="V2052">
        <v>0</v>
      </c>
      <c r="W2052">
        <v>0</v>
      </c>
      <c r="AF2052">
        <v>0</v>
      </c>
      <c r="AG2052">
        <v>0</v>
      </c>
      <c r="AH2052">
        <v>0</v>
      </c>
      <c r="AI2052">
        <v>12</v>
      </c>
      <c r="AJ2052">
        <v>12</v>
      </c>
      <c r="AM2052">
        <v>0</v>
      </c>
      <c r="AN2052">
        <v>116.79999999999998</v>
      </c>
      <c r="AP2052">
        <v>45</v>
      </c>
      <c r="AQ2052">
        <v>45</v>
      </c>
    </row>
    <row r="2053" spans="1:43" x14ac:dyDescent="0.25">
      <c r="A2053" t="s">
        <v>46</v>
      </c>
      <c r="B2053">
        <v>1</v>
      </c>
      <c r="C2053" t="s">
        <v>1140</v>
      </c>
      <c r="D2053" s="39">
        <v>45970</v>
      </c>
      <c r="E2053" t="s">
        <v>486</v>
      </c>
      <c r="F2053" t="s">
        <v>79</v>
      </c>
      <c r="G2053">
        <v>2.5</v>
      </c>
      <c r="H2053" t="s">
        <v>92</v>
      </c>
      <c r="I2053" t="s">
        <v>79</v>
      </c>
      <c r="J2053">
        <v>1000</v>
      </c>
      <c r="K2053" t="s">
        <v>79</v>
      </c>
      <c r="L2053">
        <v>11</v>
      </c>
      <c r="M2053">
        <v>129.41</v>
      </c>
      <c r="N2053">
        <v>2.75</v>
      </c>
      <c r="Q2053">
        <v>126.66</v>
      </c>
      <c r="R2053" t="s">
        <v>1570</v>
      </c>
      <c r="V2053">
        <v>0</v>
      </c>
      <c r="W2053">
        <v>0</v>
      </c>
      <c r="AF2053">
        <v>0</v>
      </c>
      <c r="AG2053">
        <v>0</v>
      </c>
      <c r="AH2053">
        <v>0</v>
      </c>
      <c r="AI2053">
        <v>12</v>
      </c>
      <c r="AJ2053">
        <v>12</v>
      </c>
      <c r="AM2053">
        <v>0</v>
      </c>
      <c r="AN2053">
        <v>131.66</v>
      </c>
      <c r="AP2053">
        <v>45</v>
      </c>
      <c r="AQ2053">
        <v>45</v>
      </c>
    </row>
    <row r="2054" spans="1:43" x14ac:dyDescent="0.25">
      <c r="A2054" t="s">
        <v>45</v>
      </c>
      <c r="B2054">
        <v>2</v>
      </c>
      <c r="C2054" t="s">
        <v>1145</v>
      </c>
      <c r="D2054" s="39">
        <v>45970</v>
      </c>
      <c r="E2054" t="s">
        <v>486</v>
      </c>
      <c r="F2054" t="s">
        <v>79</v>
      </c>
      <c r="G2054">
        <v>3</v>
      </c>
      <c r="H2054" t="s">
        <v>92</v>
      </c>
      <c r="I2054" t="s">
        <v>79</v>
      </c>
      <c r="J2054">
        <v>1000</v>
      </c>
      <c r="K2054" t="s">
        <v>79</v>
      </c>
      <c r="L2054">
        <v>12</v>
      </c>
      <c r="M2054">
        <v>154.88999999999999</v>
      </c>
      <c r="N2054">
        <v>3.5999999999999996</v>
      </c>
      <c r="Q2054">
        <v>151.29</v>
      </c>
      <c r="R2054" t="s">
        <v>1225</v>
      </c>
      <c r="V2054">
        <v>0</v>
      </c>
      <c r="W2054">
        <v>0</v>
      </c>
      <c r="AF2054">
        <v>0</v>
      </c>
      <c r="AG2054">
        <v>0</v>
      </c>
      <c r="AH2054">
        <v>0</v>
      </c>
      <c r="AI2054">
        <v>12</v>
      </c>
      <c r="AJ2054">
        <v>12</v>
      </c>
      <c r="AM2054">
        <v>0</v>
      </c>
      <c r="AN2054">
        <v>156.29</v>
      </c>
      <c r="AP2054">
        <v>45</v>
      </c>
      <c r="AQ2054">
        <v>45</v>
      </c>
    </row>
    <row r="2055" spans="1:43" x14ac:dyDescent="0.25">
      <c r="A2055" t="s">
        <v>46</v>
      </c>
      <c r="B2055">
        <v>2</v>
      </c>
      <c r="C2055" t="s">
        <v>1145</v>
      </c>
      <c r="D2055" s="39">
        <v>45970</v>
      </c>
      <c r="E2055" t="s">
        <v>486</v>
      </c>
      <c r="F2055" t="s">
        <v>79</v>
      </c>
      <c r="G2055">
        <v>3</v>
      </c>
      <c r="H2055" t="s">
        <v>92</v>
      </c>
      <c r="I2055" t="s">
        <v>79</v>
      </c>
      <c r="J2055">
        <v>1000</v>
      </c>
      <c r="K2055" t="s">
        <v>79</v>
      </c>
      <c r="L2055">
        <v>10</v>
      </c>
      <c r="M2055">
        <v>138.31</v>
      </c>
      <c r="N2055">
        <v>3</v>
      </c>
      <c r="Q2055">
        <v>135.31</v>
      </c>
      <c r="R2055" t="s">
        <v>1225</v>
      </c>
      <c r="V2055">
        <v>0</v>
      </c>
      <c r="W2055">
        <v>0</v>
      </c>
      <c r="AF2055">
        <v>0</v>
      </c>
      <c r="AG2055">
        <v>0</v>
      </c>
      <c r="AH2055">
        <v>0</v>
      </c>
      <c r="AI2055">
        <v>12</v>
      </c>
      <c r="AJ2055">
        <v>12</v>
      </c>
      <c r="AM2055">
        <v>0</v>
      </c>
      <c r="AN2055">
        <v>140.31</v>
      </c>
      <c r="AP2055">
        <v>45</v>
      </c>
      <c r="AQ2055">
        <v>45</v>
      </c>
    </row>
    <row r="2056" spans="1:43" x14ac:dyDescent="0.25">
      <c r="A2056" t="s">
        <v>45</v>
      </c>
      <c r="B2056">
        <v>3</v>
      </c>
      <c r="C2056" t="s">
        <v>1144</v>
      </c>
      <c r="D2056" s="39">
        <v>45970</v>
      </c>
      <c r="E2056" t="s">
        <v>486</v>
      </c>
      <c r="F2056" t="s">
        <v>79</v>
      </c>
      <c r="G2056">
        <v>8</v>
      </c>
      <c r="H2056">
        <v>5</v>
      </c>
      <c r="I2056" t="s">
        <v>79</v>
      </c>
      <c r="J2056">
        <v>1500</v>
      </c>
      <c r="K2056" t="s">
        <v>79</v>
      </c>
      <c r="L2056">
        <v>6</v>
      </c>
      <c r="M2056">
        <v>296.44</v>
      </c>
      <c r="N2056">
        <v>4.8000000000000007</v>
      </c>
      <c r="Q2056">
        <v>291.64</v>
      </c>
      <c r="R2056" t="s">
        <v>1224</v>
      </c>
      <c r="V2056">
        <v>0</v>
      </c>
      <c r="W2056">
        <v>0</v>
      </c>
      <c r="AF2056">
        <v>0</v>
      </c>
      <c r="AG2056">
        <v>0</v>
      </c>
      <c r="AH2056">
        <v>0</v>
      </c>
      <c r="AI2056">
        <v>12</v>
      </c>
      <c r="AJ2056">
        <v>12</v>
      </c>
      <c r="AM2056">
        <v>0</v>
      </c>
      <c r="AN2056">
        <v>296.64</v>
      </c>
      <c r="AP2056">
        <v>45</v>
      </c>
      <c r="AQ2056">
        <v>45</v>
      </c>
    </row>
    <row r="2057" spans="1:43" x14ac:dyDescent="0.25">
      <c r="A2057" t="s">
        <v>46</v>
      </c>
      <c r="B2057">
        <v>3</v>
      </c>
      <c r="C2057" t="s">
        <v>1144</v>
      </c>
      <c r="D2057" s="39">
        <v>45970</v>
      </c>
      <c r="E2057" t="s">
        <v>486</v>
      </c>
      <c r="F2057" t="s">
        <v>79</v>
      </c>
      <c r="G2057">
        <v>8</v>
      </c>
      <c r="H2057">
        <v>5</v>
      </c>
      <c r="I2057" t="s">
        <v>79</v>
      </c>
      <c r="J2057">
        <v>1500</v>
      </c>
      <c r="K2057" t="s">
        <v>79</v>
      </c>
      <c r="L2057">
        <v>1</v>
      </c>
      <c r="M2057">
        <v>46.2</v>
      </c>
      <c r="N2057">
        <v>1</v>
      </c>
      <c r="Q2057">
        <v>45.2</v>
      </c>
      <c r="R2057" t="s">
        <v>1224</v>
      </c>
      <c r="S2057">
        <v>20</v>
      </c>
      <c r="V2057">
        <v>20</v>
      </c>
      <c r="W2057">
        <v>0.33333333333333331</v>
      </c>
      <c r="AF2057">
        <v>0</v>
      </c>
      <c r="AG2057">
        <v>0</v>
      </c>
      <c r="AH2057">
        <v>0.33333333333333331</v>
      </c>
      <c r="AI2057">
        <v>11.666666666666666</v>
      </c>
      <c r="AJ2057">
        <v>12</v>
      </c>
      <c r="AM2057">
        <v>0</v>
      </c>
      <c r="AN2057">
        <v>50.2</v>
      </c>
      <c r="AP2057">
        <v>45</v>
      </c>
      <c r="AQ2057">
        <v>45</v>
      </c>
    </row>
    <row r="2058" spans="1:43" x14ac:dyDescent="0.25">
      <c r="A2058" t="s">
        <v>46</v>
      </c>
      <c r="B2058">
        <v>3</v>
      </c>
      <c r="C2058" t="s">
        <v>1157</v>
      </c>
      <c r="D2058" s="39">
        <v>45970</v>
      </c>
      <c r="E2058" t="s">
        <v>486</v>
      </c>
      <c r="F2058" t="s">
        <v>79</v>
      </c>
      <c r="G2058">
        <v>7</v>
      </c>
      <c r="H2058">
        <v>5</v>
      </c>
      <c r="I2058" t="s">
        <v>79</v>
      </c>
      <c r="J2058">
        <v>1500</v>
      </c>
      <c r="K2058" t="s">
        <v>79</v>
      </c>
      <c r="L2058">
        <v>6</v>
      </c>
      <c r="M2058">
        <v>237.13</v>
      </c>
      <c r="N2058">
        <v>5.4</v>
      </c>
      <c r="Q2058">
        <v>231.73</v>
      </c>
      <c r="R2058" t="s">
        <v>1235</v>
      </c>
      <c r="V2058">
        <v>0</v>
      </c>
      <c r="W2058">
        <v>0</v>
      </c>
      <c r="AF2058">
        <v>0</v>
      </c>
      <c r="AG2058">
        <v>0</v>
      </c>
      <c r="AH2058">
        <v>0</v>
      </c>
      <c r="AI2058">
        <v>12</v>
      </c>
      <c r="AJ2058">
        <v>12</v>
      </c>
      <c r="AM2058">
        <v>0</v>
      </c>
      <c r="AN2058">
        <v>236.73</v>
      </c>
      <c r="AP2058">
        <v>45</v>
      </c>
      <c r="AQ2058">
        <v>45</v>
      </c>
    </row>
    <row r="2059" spans="1:43" x14ac:dyDescent="0.25">
      <c r="A2059" t="s">
        <v>45</v>
      </c>
      <c r="B2059">
        <v>4</v>
      </c>
      <c r="C2059" t="s">
        <v>1153</v>
      </c>
      <c r="D2059" s="39">
        <v>45970</v>
      </c>
      <c r="E2059" t="s">
        <v>695</v>
      </c>
      <c r="F2059" t="s">
        <v>79</v>
      </c>
      <c r="G2059">
        <v>10.5</v>
      </c>
      <c r="H2059" t="s">
        <v>696</v>
      </c>
      <c r="I2059" t="s">
        <v>79</v>
      </c>
      <c r="J2059">
        <v>500</v>
      </c>
      <c r="K2059" t="s">
        <v>79</v>
      </c>
      <c r="L2059">
        <v>2</v>
      </c>
      <c r="M2059">
        <v>46.650000000000006</v>
      </c>
      <c r="O2059">
        <v>46</v>
      </c>
      <c r="Q2059">
        <v>46.650000000000006</v>
      </c>
      <c r="R2059" t="s">
        <v>1233</v>
      </c>
      <c r="S2059">
        <v>25</v>
      </c>
      <c r="V2059">
        <v>25</v>
      </c>
      <c r="W2059">
        <v>0.41666666666666674</v>
      </c>
      <c r="AF2059">
        <v>0</v>
      </c>
      <c r="AG2059">
        <v>0</v>
      </c>
      <c r="AH2059">
        <v>0.41666666666666674</v>
      </c>
      <c r="AI2059">
        <v>11.583333333333334</v>
      </c>
      <c r="AJ2059">
        <v>12</v>
      </c>
      <c r="AM2059">
        <v>0</v>
      </c>
      <c r="AN2059">
        <v>51.650000000000006</v>
      </c>
      <c r="AP2059">
        <v>45</v>
      </c>
      <c r="AQ2059">
        <v>45</v>
      </c>
    </row>
    <row r="2060" spans="1:43" x14ac:dyDescent="0.25">
      <c r="A2060" t="s">
        <v>45</v>
      </c>
      <c r="B2060">
        <v>4</v>
      </c>
      <c r="C2060" t="s">
        <v>1158</v>
      </c>
      <c r="D2060" s="39">
        <v>45970</v>
      </c>
      <c r="E2060" t="s">
        <v>394</v>
      </c>
      <c r="F2060" t="s">
        <v>79</v>
      </c>
      <c r="G2060" t="s">
        <v>121</v>
      </c>
      <c r="H2060" t="s">
        <v>122</v>
      </c>
      <c r="I2060" t="s">
        <v>79</v>
      </c>
      <c r="J2060">
        <v>125</v>
      </c>
      <c r="K2060" t="s">
        <v>79</v>
      </c>
      <c r="L2060">
        <v>6</v>
      </c>
      <c r="M2060">
        <v>279.16000000000003</v>
      </c>
      <c r="N2060">
        <v>19.799999999999997</v>
      </c>
      <c r="Q2060">
        <v>259.36</v>
      </c>
      <c r="R2060" t="s">
        <v>1236</v>
      </c>
      <c r="S2060">
        <v>60</v>
      </c>
      <c r="V2060">
        <v>60</v>
      </c>
      <c r="W2060">
        <v>1</v>
      </c>
      <c r="AF2060">
        <v>0</v>
      </c>
      <c r="AG2060">
        <v>0</v>
      </c>
      <c r="AH2060">
        <v>1</v>
      </c>
      <c r="AI2060">
        <v>11</v>
      </c>
      <c r="AJ2060">
        <v>12</v>
      </c>
      <c r="AM2060">
        <v>0</v>
      </c>
      <c r="AN2060">
        <v>264.36</v>
      </c>
      <c r="AP2060">
        <v>45</v>
      </c>
      <c r="AQ2060">
        <v>45</v>
      </c>
    </row>
    <row r="2061" spans="1:43" x14ac:dyDescent="0.25">
      <c r="A2061" t="s">
        <v>45</v>
      </c>
      <c r="B2061">
        <v>4</v>
      </c>
      <c r="C2061" t="s">
        <v>1159</v>
      </c>
      <c r="D2061" s="39">
        <v>45970</v>
      </c>
      <c r="E2061" t="s">
        <v>200</v>
      </c>
      <c r="F2061" t="s">
        <v>79</v>
      </c>
      <c r="G2061">
        <v>20</v>
      </c>
      <c r="H2061" t="s">
        <v>123</v>
      </c>
      <c r="I2061" t="s">
        <v>79</v>
      </c>
      <c r="J2061">
        <v>150</v>
      </c>
      <c r="K2061" t="s">
        <v>79</v>
      </c>
      <c r="L2061">
        <v>3</v>
      </c>
      <c r="M2061">
        <v>165.49</v>
      </c>
      <c r="N2061">
        <v>6</v>
      </c>
      <c r="Q2061">
        <v>159.49</v>
      </c>
      <c r="R2061" t="s">
        <v>1237</v>
      </c>
      <c r="V2061">
        <v>0</v>
      </c>
      <c r="W2061">
        <v>0</v>
      </c>
      <c r="AF2061">
        <v>0</v>
      </c>
      <c r="AG2061">
        <v>0</v>
      </c>
      <c r="AH2061">
        <v>0</v>
      </c>
      <c r="AI2061">
        <v>12</v>
      </c>
      <c r="AJ2061">
        <v>12</v>
      </c>
      <c r="AM2061">
        <v>0</v>
      </c>
      <c r="AN2061">
        <v>164.49</v>
      </c>
      <c r="AP2061">
        <v>45</v>
      </c>
      <c r="AQ2061">
        <v>45</v>
      </c>
    </row>
    <row r="2062" spans="1:43" x14ac:dyDescent="0.25">
      <c r="A2062" t="s">
        <v>45</v>
      </c>
      <c r="B2062">
        <v>4</v>
      </c>
      <c r="C2062" t="s">
        <v>1160</v>
      </c>
      <c r="D2062" s="39">
        <v>45970</v>
      </c>
      <c r="E2062" t="s">
        <v>200</v>
      </c>
      <c r="F2062" t="s">
        <v>79</v>
      </c>
      <c r="G2062">
        <v>20</v>
      </c>
      <c r="H2062" t="s">
        <v>578</v>
      </c>
      <c r="I2062" t="s">
        <v>79</v>
      </c>
      <c r="J2062">
        <v>300</v>
      </c>
      <c r="K2062" t="s">
        <v>79</v>
      </c>
      <c r="L2062">
        <v>3</v>
      </c>
      <c r="M2062">
        <v>152.37</v>
      </c>
      <c r="N2062">
        <v>6.8999999999999995</v>
      </c>
      <c r="Q2062">
        <v>145.47</v>
      </c>
      <c r="R2062" t="s">
        <v>1238</v>
      </c>
      <c r="V2062">
        <v>0</v>
      </c>
      <c r="W2062">
        <v>0</v>
      </c>
      <c r="AF2062">
        <v>0</v>
      </c>
      <c r="AG2062">
        <v>0</v>
      </c>
      <c r="AH2062">
        <v>0</v>
      </c>
      <c r="AI2062">
        <v>12</v>
      </c>
      <c r="AJ2062">
        <v>12</v>
      </c>
      <c r="AM2062">
        <v>0</v>
      </c>
      <c r="AN2062">
        <v>150.47</v>
      </c>
      <c r="AP2062">
        <v>45</v>
      </c>
      <c r="AQ2062">
        <v>45</v>
      </c>
    </row>
    <row r="2063" spans="1:43" x14ac:dyDescent="0.25">
      <c r="A2063" t="s">
        <v>46</v>
      </c>
      <c r="B2063">
        <v>4</v>
      </c>
      <c r="C2063" t="s">
        <v>1160</v>
      </c>
      <c r="D2063" s="39">
        <v>45970</v>
      </c>
      <c r="E2063" t="s">
        <v>200</v>
      </c>
      <c r="F2063" t="s">
        <v>79</v>
      </c>
      <c r="G2063">
        <v>20</v>
      </c>
      <c r="H2063" t="s">
        <v>578</v>
      </c>
      <c r="I2063" t="s">
        <v>79</v>
      </c>
      <c r="J2063">
        <v>300</v>
      </c>
      <c r="K2063" t="s">
        <v>79</v>
      </c>
      <c r="L2063">
        <v>4</v>
      </c>
      <c r="M2063">
        <v>229.64</v>
      </c>
      <c r="N2063">
        <v>9.6</v>
      </c>
      <c r="Q2063">
        <v>220.04</v>
      </c>
      <c r="R2063" t="s">
        <v>1238</v>
      </c>
      <c r="V2063">
        <v>0</v>
      </c>
      <c r="W2063">
        <v>0</v>
      </c>
      <c r="AF2063">
        <v>0</v>
      </c>
      <c r="AG2063">
        <v>0</v>
      </c>
      <c r="AH2063">
        <v>0</v>
      </c>
      <c r="AI2063">
        <v>12</v>
      </c>
      <c r="AJ2063">
        <v>12</v>
      </c>
      <c r="AM2063">
        <v>0</v>
      </c>
      <c r="AN2063">
        <v>225.04</v>
      </c>
      <c r="AP2063">
        <v>45</v>
      </c>
      <c r="AQ2063">
        <v>45</v>
      </c>
    </row>
    <row r="2064" spans="1:43" x14ac:dyDescent="0.25">
      <c r="A2064" t="s">
        <v>46</v>
      </c>
      <c r="B2064">
        <v>4</v>
      </c>
      <c r="C2064" t="s">
        <v>1161</v>
      </c>
      <c r="D2064" s="39">
        <v>45970</v>
      </c>
      <c r="E2064" t="s">
        <v>200</v>
      </c>
      <c r="F2064" t="s">
        <v>79</v>
      </c>
      <c r="G2064">
        <v>20</v>
      </c>
      <c r="H2064" t="s">
        <v>944</v>
      </c>
      <c r="I2064" t="s">
        <v>79</v>
      </c>
      <c r="J2064">
        <v>500</v>
      </c>
      <c r="K2064" t="s">
        <v>79</v>
      </c>
      <c r="L2064">
        <v>8</v>
      </c>
      <c r="M2064">
        <v>419.59999999999997</v>
      </c>
      <c r="N2064">
        <v>19.2</v>
      </c>
      <c r="Q2064">
        <v>400.4</v>
      </c>
      <c r="R2064" t="s">
        <v>1239</v>
      </c>
      <c r="V2064">
        <v>0</v>
      </c>
      <c r="W2064">
        <v>0</v>
      </c>
      <c r="AF2064">
        <v>0</v>
      </c>
      <c r="AG2064">
        <v>0</v>
      </c>
      <c r="AH2064">
        <v>0</v>
      </c>
      <c r="AI2064">
        <v>12</v>
      </c>
      <c r="AJ2064">
        <v>12</v>
      </c>
      <c r="AM2064">
        <v>0</v>
      </c>
      <c r="AN2064">
        <v>405.4</v>
      </c>
      <c r="AP2064">
        <v>45</v>
      </c>
      <c r="AQ2064">
        <v>45</v>
      </c>
    </row>
    <row r="2065" spans="1:43" x14ac:dyDescent="0.25">
      <c r="A2065" t="s">
        <v>46</v>
      </c>
      <c r="B2065">
        <v>4</v>
      </c>
      <c r="C2065" t="s">
        <v>1162</v>
      </c>
      <c r="D2065" s="39">
        <v>45970</v>
      </c>
      <c r="E2065" t="s">
        <v>1163</v>
      </c>
      <c r="F2065" t="s">
        <v>79</v>
      </c>
      <c r="G2065">
        <v>20</v>
      </c>
      <c r="H2065" t="s">
        <v>98</v>
      </c>
      <c r="I2065" t="s">
        <v>79</v>
      </c>
      <c r="J2065">
        <v>125</v>
      </c>
      <c r="K2065" t="s">
        <v>79</v>
      </c>
      <c r="L2065">
        <v>3</v>
      </c>
      <c r="M2065">
        <v>137.09</v>
      </c>
      <c r="N2065">
        <v>7.4</v>
      </c>
      <c r="Q2065">
        <v>129.69</v>
      </c>
      <c r="R2065" t="s">
        <v>1240</v>
      </c>
      <c r="V2065">
        <v>0</v>
      </c>
      <c r="W2065">
        <v>0</v>
      </c>
      <c r="AF2065">
        <v>0</v>
      </c>
      <c r="AG2065">
        <v>0</v>
      </c>
      <c r="AH2065">
        <v>0</v>
      </c>
      <c r="AI2065">
        <v>12</v>
      </c>
      <c r="AJ2065">
        <v>12</v>
      </c>
      <c r="AM2065">
        <v>0</v>
      </c>
      <c r="AN2065">
        <v>134.69</v>
      </c>
      <c r="AP2065">
        <v>45</v>
      </c>
      <c r="AQ2065">
        <v>45</v>
      </c>
    </row>
    <row r="2066" spans="1:43" x14ac:dyDescent="0.25">
      <c r="A2066" t="s">
        <v>45</v>
      </c>
      <c r="B2066">
        <v>5</v>
      </c>
      <c r="C2066" t="s">
        <v>1152</v>
      </c>
      <c r="D2066" s="39">
        <v>45970</v>
      </c>
      <c r="E2066" t="s">
        <v>486</v>
      </c>
      <c r="F2066" t="s">
        <v>79</v>
      </c>
      <c r="G2066">
        <v>9</v>
      </c>
      <c r="H2066" t="s">
        <v>113</v>
      </c>
      <c r="I2066" t="s">
        <v>79</v>
      </c>
      <c r="J2066">
        <v>1500</v>
      </c>
      <c r="K2066" t="s">
        <v>79</v>
      </c>
      <c r="L2066">
        <v>9</v>
      </c>
      <c r="M2066">
        <v>387.09999999999997</v>
      </c>
      <c r="N2066">
        <v>8.1</v>
      </c>
      <c r="Q2066">
        <v>378.99999999999994</v>
      </c>
      <c r="R2066" t="s">
        <v>1232</v>
      </c>
      <c r="V2066">
        <v>0</v>
      </c>
      <c r="W2066">
        <v>0</v>
      </c>
      <c r="AF2066">
        <v>0</v>
      </c>
      <c r="AG2066">
        <v>0</v>
      </c>
      <c r="AH2066">
        <v>0</v>
      </c>
      <c r="AI2066">
        <v>12</v>
      </c>
      <c r="AJ2066">
        <v>12</v>
      </c>
      <c r="AM2066">
        <v>0</v>
      </c>
      <c r="AN2066">
        <v>383.99999999999994</v>
      </c>
      <c r="AP2066">
        <v>45</v>
      </c>
      <c r="AQ2066">
        <v>45</v>
      </c>
    </row>
    <row r="2067" spans="1:43" x14ac:dyDescent="0.25">
      <c r="A2067" t="s">
        <v>46</v>
      </c>
      <c r="B2067">
        <v>5</v>
      </c>
      <c r="C2067" t="s">
        <v>1152</v>
      </c>
      <c r="D2067" s="39">
        <v>45970</v>
      </c>
      <c r="E2067" t="s">
        <v>486</v>
      </c>
      <c r="F2067" t="s">
        <v>79</v>
      </c>
      <c r="G2067">
        <v>9</v>
      </c>
      <c r="H2067" t="s">
        <v>113</v>
      </c>
      <c r="I2067" t="s">
        <v>79</v>
      </c>
      <c r="J2067">
        <v>1500</v>
      </c>
      <c r="K2067" t="s">
        <v>79</v>
      </c>
      <c r="L2067">
        <v>3</v>
      </c>
      <c r="M2067">
        <v>167.35</v>
      </c>
      <c r="N2067">
        <v>3.3000000000000003</v>
      </c>
      <c r="Q2067">
        <v>164.04999999999998</v>
      </c>
      <c r="R2067" t="s">
        <v>1232</v>
      </c>
      <c r="S2067">
        <v>20</v>
      </c>
      <c r="V2067">
        <v>20</v>
      </c>
      <c r="W2067">
        <v>0.33333333333333331</v>
      </c>
      <c r="AF2067">
        <v>0</v>
      </c>
      <c r="AG2067">
        <v>0</v>
      </c>
      <c r="AH2067">
        <v>0.33333333333333331</v>
      </c>
      <c r="AI2067">
        <v>11.666666666666666</v>
      </c>
      <c r="AJ2067">
        <v>12</v>
      </c>
      <c r="AM2067">
        <v>0</v>
      </c>
      <c r="AN2067">
        <v>169.04999999999998</v>
      </c>
      <c r="AP2067">
        <v>45</v>
      </c>
      <c r="AQ2067">
        <v>45</v>
      </c>
    </row>
    <row r="2068" spans="1:43" x14ac:dyDescent="0.25">
      <c r="A2068" t="s">
        <v>46</v>
      </c>
      <c r="B2068">
        <v>5</v>
      </c>
      <c r="C2068" t="s">
        <v>1164</v>
      </c>
      <c r="D2068" s="39">
        <v>45970</v>
      </c>
      <c r="E2068" t="s">
        <v>200</v>
      </c>
      <c r="F2068" t="s">
        <v>79</v>
      </c>
      <c r="G2068">
        <v>14</v>
      </c>
      <c r="H2068" t="s">
        <v>944</v>
      </c>
      <c r="I2068" t="s">
        <v>79</v>
      </c>
      <c r="J2068">
        <v>250</v>
      </c>
      <c r="K2068" t="s">
        <v>79</v>
      </c>
      <c r="L2068">
        <v>6</v>
      </c>
      <c r="M2068">
        <v>348.38000000000005</v>
      </c>
      <c r="N2068">
        <v>9</v>
      </c>
      <c r="Q2068">
        <v>339.38000000000005</v>
      </c>
      <c r="R2068" t="s">
        <v>1241</v>
      </c>
      <c r="V2068">
        <v>0</v>
      </c>
      <c r="W2068">
        <v>0</v>
      </c>
      <c r="AF2068">
        <v>0</v>
      </c>
      <c r="AG2068">
        <v>0</v>
      </c>
      <c r="AH2068">
        <v>0</v>
      </c>
      <c r="AI2068">
        <v>12</v>
      </c>
      <c r="AJ2068">
        <v>12</v>
      </c>
      <c r="AM2068">
        <v>0</v>
      </c>
      <c r="AN2068">
        <v>344.38000000000005</v>
      </c>
      <c r="AP2068">
        <v>45</v>
      </c>
      <c r="AQ2068">
        <v>45</v>
      </c>
    </row>
    <row r="2069" spans="1:43" x14ac:dyDescent="0.25">
      <c r="A2069" t="s">
        <v>45</v>
      </c>
      <c r="B2069">
        <v>1</v>
      </c>
      <c r="C2069" t="s">
        <v>1140</v>
      </c>
      <c r="D2069" s="39">
        <v>45971</v>
      </c>
      <c r="E2069" t="s">
        <v>486</v>
      </c>
      <c r="F2069" t="s">
        <v>79</v>
      </c>
      <c r="G2069">
        <v>2.5</v>
      </c>
      <c r="H2069" t="s">
        <v>92</v>
      </c>
      <c r="I2069" t="s">
        <v>79</v>
      </c>
      <c r="J2069">
        <v>1000</v>
      </c>
      <c r="K2069" t="s">
        <v>79</v>
      </c>
      <c r="L2069">
        <v>12</v>
      </c>
      <c r="M2069">
        <v>139.38</v>
      </c>
      <c r="N2069">
        <v>3</v>
      </c>
      <c r="Q2069">
        <v>136.38</v>
      </c>
      <c r="R2069" t="s">
        <v>1570</v>
      </c>
      <c r="V2069">
        <v>0</v>
      </c>
      <c r="W2069">
        <v>0</v>
      </c>
      <c r="AF2069">
        <v>0</v>
      </c>
      <c r="AG2069">
        <v>0</v>
      </c>
      <c r="AH2069">
        <v>0</v>
      </c>
      <c r="AI2069">
        <v>12</v>
      </c>
      <c r="AJ2069">
        <v>12</v>
      </c>
      <c r="AM2069">
        <v>0</v>
      </c>
      <c r="AN2069">
        <v>141.38</v>
      </c>
      <c r="AP2069">
        <v>46</v>
      </c>
      <c r="AQ2069">
        <v>46</v>
      </c>
    </row>
    <row r="2070" spans="1:43" x14ac:dyDescent="0.25">
      <c r="A2070" t="s">
        <v>46</v>
      </c>
      <c r="B2070">
        <v>1</v>
      </c>
      <c r="C2070" t="s">
        <v>1140</v>
      </c>
      <c r="D2070" s="39">
        <v>45971</v>
      </c>
      <c r="E2070" t="s">
        <v>486</v>
      </c>
      <c r="F2070" t="s">
        <v>79</v>
      </c>
      <c r="G2070">
        <v>2.5</v>
      </c>
      <c r="H2070" t="s">
        <v>92</v>
      </c>
      <c r="I2070" t="s">
        <v>79</v>
      </c>
      <c r="J2070">
        <v>1000</v>
      </c>
      <c r="K2070" t="s">
        <v>79</v>
      </c>
      <c r="L2070">
        <v>4</v>
      </c>
      <c r="M2070">
        <v>47.84</v>
      </c>
      <c r="N2070">
        <v>1</v>
      </c>
      <c r="Q2070">
        <v>46.84</v>
      </c>
      <c r="R2070" t="s">
        <v>1570</v>
      </c>
      <c r="V2070">
        <v>0</v>
      </c>
      <c r="W2070">
        <v>0</v>
      </c>
      <c r="AF2070">
        <v>0</v>
      </c>
      <c r="AG2070">
        <v>0</v>
      </c>
      <c r="AH2070">
        <v>0</v>
      </c>
      <c r="AI2070">
        <v>12</v>
      </c>
      <c r="AJ2070">
        <v>12</v>
      </c>
      <c r="AM2070">
        <v>0</v>
      </c>
      <c r="AN2070">
        <v>51.84</v>
      </c>
      <c r="AP2070">
        <v>46</v>
      </c>
      <c r="AQ2070">
        <v>46</v>
      </c>
    </row>
    <row r="2071" spans="1:43" x14ac:dyDescent="0.25">
      <c r="A2071" t="s">
        <v>46</v>
      </c>
      <c r="B2071">
        <v>1</v>
      </c>
      <c r="C2071" t="s">
        <v>1166</v>
      </c>
      <c r="D2071" s="39">
        <v>45971</v>
      </c>
      <c r="E2071" t="s">
        <v>486</v>
      </c>
      <c r="F2071" t="s">
        <v>79</v>
      </c>
      <c r="G2071">
        <v>2.5</v>
      </c>
      <c r="H2071" t="s">
        <v>92</v>
      </c>
      <c r="I2071" t="s">
        <v>79</v>
      </c>
      <c r="J2071" t="s">
        <v>1167</v>
      </c>
      <c r="K2071" t="s">
        <v>79</v>
      </c>
      <c r="L2071">
        <v>3</v>
      </c>
      <c r="M2071">
        <v>75.03</v>
      </c>
      <c r="N2071">
        <v>0.75</v>
      </c>
      <c r="Q2071">
        <v>74.28</v>
      </c>
      <c r="R2071" t="s">
        <v>1242</v>
      </c>
      <c r="V2071">
        <v>0</v>
      </c>
      <c r="W2071">
        <v>0</v>
      </c>
      <c r="AF2071">
        <v>0</v>
      </c>
      <c r="AG2071">
        <v>0</v>
      </c>
      <c r="AH2071">
        <v>0</v>
      </c>
      <c r="AI2071">
        <v>12</v>
      </c>
      <c r="AJ2071">
        <v>12</v>
      </c>
      <c r="AM2071">
        <v>0</v>
      </c>
      <c r="AN2071">
        <v>79.28</v>
      </c>
      <c r="AP2071">
        <v>46</v>
      </c>
      <c r="AQ2071">
        <v>46</v>
      </c>
    </row>
    <row r="2072" spans="1:43" x14ac:dyDescent="0.25">
      <c r="A2072" t="s">
        <v>45</v>
      </c>
      <c r="B2072">
        <v>2</v>
      </c>
      <c r="C2072" t="s">
        <v>1145</v>
      </c>
      <c r="D2072" s="39">
        <v>45971</v>
      </c>
      <c r="E2072" t="s">
        <v>486</v>
      </c>
      <c r="F2072" t="s">
        <v>79</v>
      </c>
      <c r="G2072">
        <v>3</v>
      </c>
      <c r="H2072" t="s">
        <v>92</v>
      </c>
      <c r="I2072" t="s">
        <v>79</v>
      </c>
      <c r="J2072">
        <v>1000</v>
      </c>
      <c r="K2072" t="s">
        <v>79</v>
      </c>
      <c r="L2072">
        <v>11</v>
      </c>
      <c r="M2072">
        <v>140.94000000000003</v>
      </c>
      <c r="N2072">
        <v>3.3</v>
      </c>
      <c r="Q2072">
        <v>137.64000000000001</v>
      </c>
      <c r="R2072" t="s">
        <v>1225</v>
      </c>
      <c r="V2072">
        <v>0</v>
      </c>
      <c r="W2072">
        <v>0</v>
      </c>
      <c r="Z2072">
        <v>60</v>
      </c>
      <c r="AF2072">
        <v>60</v>
      </c>
      <c r="AG2072">
        <v>1</v>
      </c>
      <c r="AH2072">
        <v>1</v>
      </c>
      <c r="AI2072">
        <v>11</v>
      </c>
      <c r="AJ2072">
        <v>12</v>
      </c>
      <c r="AM2072">
        <v>0</v>
      </c>
      <c r="AN2072">
        <v>142.63999999999999</v>
      </c>
      <c r="AP2072">
        <v>46</v>
      </c>
      <c r="AQ2072">
        <v>46</v>
      </c>
    </row>
    <row r="2073" spans="1:43" x14ac:dyDescent="0.25">
      <c r="A2073" t="s">
        <v>46</v>
      </c>
      <c r="B2073">
        <v>2</v>
      </c>
      <c r="C2073" t="s">
        <v>1145</v>
      </c>
      <c r="D2073" s="39">
        <v>45971</v>
      </c>
      <c r="E2073" t="s">
        <v>486</v>
      </c>
      <c r="F2073" t="s">
        <v>79</v>
      </c>
      <c r="G2073">
        <v>3</v>
      </c>
      <c r="H2073" t="s">
        <v>92</v>
      </c>
      <c r="I2073" t="s">
        <v>79</v>
      </c>
      <c r="J2073">
        <v>1000</v>
      </c>
      <c r="K2073" t="s">
        <v>79</v>
      </c>
      <c r="L2073">
        <v>11</v>
      </c>
      <c r="M2073">
        <v>151.43999999999997</v>
      </c>
      <c r="N2073">
        <v>3.3</v>
      </c>
      <c r="Q2073">
        <v>148.13999999999996</v>
      </c>
      <c r="R2073" t="s">
        <v>1225</v>
      </c>
      <c r="V2073">
        <v>0</v>
      </c>
      <c r="W2073">
        <v>0</v>
      </c>
      <c r="AF2073">
        <v>0</v>
      </c>
      <c r="AG2073">
        <v>0</v>
      </c>
      <c r="AH2073">
        <v>0</v>
      </c>
      <c r="AI2073">
        <v>12</v>
      </c>
      <c r="AJ2073">
        <v>12</v>
      </c>
      <c r="AM2073">
        <v>0</v>
      </c>
      <c r="AN2073">
        <v>153.13999999999996</v>
      </c>
      <c r="AP2073">
        <v>46</v>
      </c>
      <c r="AQ2073">
        <v>46</v>
      </c>
    </row>
    <row r="2074" spans="1:43" x14ac:dyDescent="0.25">
      <c r="A2074" t="s">
        <v>45</v>
      </c>
      <c r="B2074">
        <v>3</v>
      </c>
      <c r="C2074" t="s">
        <v>1157</v>
      </c>
      <c r="D2074" s="39">
        <v>45971</v>
      </c>
      <c r="E2074" t="s">
        <v>486</v>
      </c>
      <c r="F2074" t="s">
        <v>79</v>
      </c>
      <c r="G2074">
        <v>7</v>
      </c>
      <c r="H2074">
        <v>5</v>
      </c>
      <c r="I2074" t="s">
        <v>79</v>
      </c>
      <c r="J2074">
        <v>1500</v>
      </c>
      <c r="K2074" t="s">
        <v>79</v>
      </c>
      <c r="L2074">
        <v>7</v>
      </c>
      <c r="M2074">
        <v>288.45000000000005</v>
      </c>
      <c r="N2074">
        <v>4.8999999999999995</v>
      </c>
      <c r="Q2074">
        <v>283.55000000000007</v>
      </c>
      <c r="R2074" t="s">
        <v>1235</v>
      </c>
      <c r="V2074">
        <v>0</v>
      </c>
      <c r="W2074">
        <v>0</v>
      </c>
      <c r="AF2074">
        <v>0</v>
      </c>
      <c r="AG2074">
        <v>0</v>
      </c>
      <c r="AH2074">
        <v>0</v>
      </c>
      <c r="AI2074">
        <v>12</v>
      </c>
      <c r="AJ2074">
        <v>12</v>
      </c>
      <c r="AM2074">
        <v>0</v>
      </c>
      <c r="AN2074">
        <v>288.55000000000007</v>
      </c>
      <c r="AP2074">
        <v>46</v>
      </c>
      <c r="AQ2074">
        <v>46</v>
      </c>
    </row>
    <row r="2075" spans="1:43" x14ac:dyDescent="0.25">
      <c r="A2075" t="s">
        <v>46</v>
      </c>
      <c r="B2075">
        <v>3</v>
      </c>
      <c r="C2075" t="s">
        <v>1157</v>
      </c>
      <c r="D2075" s="39">
        <v>45971</v>
      </c>
      <c r="E2075" t="s">
        <v>486</v>
      </c>
      <c r="F2075" t="s">
        <v>79</v>
      </c>
      <c r="G2075">
        <v>7</v>
      </c>
      <c r="H2075">
        <v>5</v>
      </c>
      <c r="I2075" t="s">
        <v>79</v>
      </c>
      <c r="J2075">
        <v>1500</v>
      </c>
      <c r="K2075" t="s">
        <v>79</v>
      </c>
      <c r="L2075">
        <v>7</v>
      </c>
      <c r="M2075">
        <v>252.88</v>
      </c>
      <c r="N2075">
        <v>4.8999999999999995</v>
      </c>
      <c r="Q2075">
        <v>247.98</v>
      </c>
      <c r="R2075" t="s">
        <v>1235</v>
      </c>
      <c r="V2075">
        <v>0</v>
      </c>
      <c r="W2075">
        <v>0</v>
      </c>
      <c r="AF2075">
        <v>0</v>
      </c>
      <c r="AG2075">
        <v>0</v>
      </c>
      <c r="AH2075">
        <v>0</v>
      </c>
      <c r="AI2075">
        <v>12</v>
      </c>
      <c r="AJ2075">
        <v>12</v>
      </c>
      <c r="AM2075">
        <v>0</v>
      </c>
      <c r="AN2075">
        <v>252.98</v>
      </c>
      <c r="AP2075">
        <v>46</v>
      </c>
      <c r="AQ2075">
        <v>46</v>
      </c>
    </row>
    <row r="2076" spans="1:43" x14ac:dyDescent="0.25">
      <c r="A2076" t="s">
        <v>45</v>
      </c>
      <c r="B2076">
        <v>4</v>
      </c>
      <c r="C2076" t="s">
        <v>1160</v>
      </c>
      <c r="D2076" s="39">
        <v>45971</v>
      </c>
      <c r="E2076" t="s">
        <v>200</v>
      </c>
      <c r="F2076" t="s">
        <v>79</v>
      </c>
      <c r="G2076">
        <v>20</v>
      </c>
      <c r="H2076" t="s">
        <v>578</v>
      </c>
      <c r="I2076" t="s">
        <v>79</v>
      </c>
      <c r="J2076">
        <v>300</v>
      </c>
      <c r="K2076" t="s">
        <v>79</v>
      </c>
      <c r="L2076">
        <v>1</v>
      </c>
      <c r="M2076">
        <v>55.58</v>
      </c>
      <c r="N2076">
        <v>2</v>
      </c>
      <c r="O2076">
        <v>20</v>
      </c>
      <c r="Q2076">
        <v>53.58</v>
      </c>
      <c r="R2076" t="s">
        <v>1238</v>
      </c>
      <c r="V2076">
        <v>0</v>
      </c>
      <c r="W2076">
        <v>0</v>
      </c>
      <c r="AF2076">
        <v>0</v>
      </c>
      <c r="AG2076">
        <v>0</v>
      </c>
      <c r="AH2076">
        <v>0</v>
      </c>
      <c r="AI2076">
        <v>12</v>
      </c>
      <c r="AJ2076">
        <v>12</v>
      </c>
      <c r="AM2076">
        <v>0</v>
      </c>
      <c r="AN2076">
        <v>58.58</v>
      </c>
      <c r="AP2076">
        <v>46</v>
      </c>
      <c r="AQ2076">
        <v>46</v>
      </c>
    </row>
    <row r="2077" spans="1:43" x14ac:dyDescent="0.25">
      <c r="A2077" t="s">
        <v>45</v>
      </c>
      <c r="B2077">
        <v>4</v>
      </c>
      <c r="C2077" t="s">
        <v>1168</v>
      </c>
      <c r="D2077" s="39">
        <v>45971</v>
      </c>
      <c r="E2077" t="s">
        <v>200</v>
      </c>
      <c r="F2077" t="s">
        <v>79</v>
      </c>
      <c r="G2077">
        <v>16</v>
      </c>
      <c r="H2077" t="s">
        <v>578</v>
      </c>
      <c r="I2077" t="s">
        <v>79</v>
      </c>
      <c r="J2077">
        <v>200</v>
      </c>
      <c r="K2077" t="s">
        <v>79</v>
      </c>
      <c r="L2077">
        <v>4</v>
      </c>
      <c r="M2077">
        <v>222.39</v>
      </c>
      <c r="N2077">
        <v>6.4</v>
      </c>
      <c r="Q2077">
        <v>215.98999999999998</v>
      </c>
      <c r="R2077" t="s">
        <v>1243</v>
      </c>
      <c r="V2077">
        <v>0</v>
      </c>
      <c r="W2077">
        <v>0</v>
      </c>
      <c r="AF2077">
        <v>0</v>
      </c>
      <c r="AG2077">
        <v>0</v>
      </c>
      <c r="AH2077">
        <v>0</v>
      </c>
      <c r="AI2077">
        <v>12</v>
      </c>
      <c r="AJ2077">
        <v>12</v>
      </c>
      <c r="AM2077">
        <v>0</v>
      </c>
      <c r="AN2077">
        <v>220.99</v>
      </c>
      <c r="AP2077">
        <v>46</v>
      </c>
      <c r="AQ2077">
        <v>46</v>
      </c>
    </row>
    <row r="2078" spans="1:43" x14ac:dyDescent="0.25">
      <c r="A2078" t="s">
        <v>45</v>
      </c>
      <c r="B2078">
        <v>4</v>
      </c>
      <c r="C2078" t="s">
        <v>1169</v>
      </c>
      <c r="D2078" s="39">
        <v>45971</v>
      </c>
      <c r="E2078" t="s">
        <v>200</v>
      </c>
      <c r="F2078" t="s">
        <v>79</v>
      </c>
      <c r="G2078">
        <v>16</v>
      </c>
      <c r="H2078" t="s">
        <v>944</v>
      </c>
      <c r="I2078" t="s">
        <v>79</v>
      </c>
      <c r="J2078">
        <v>500</v>
      </c>
      <c r="K2078" t="s">
        <v>79</v>
      </c>
      <c r="L2078">
        <v>3</v>
      </c>
      <c r="M2078">
        <v>148.02000000000001</v>
      </c>
      <c r="N2078">
        <v>4.8000000000000007</v>
      </c>
      <c r="Q2078">
        <v>143.22</v>
      </c>
      <c r="R2078" t="s">
        <v>1244</v>
      </c>
      <c r="V2078">
        <v>0</v>
      </c>
      <c r="W2078">
        <v>0</v>
      </c>
      <c r="AF2078">
        <v>0</v>
      </c>
      <c r="AG2078">
        <v>0</v>
      </c>
      <c r="AH2078">
        <v>0</v>
      </c>
      <c r="AI2078">
        <v>12</v>
      </c>
      <c r="AJ2078">
        <v>12</v>
      </c>
      <c r="AM2078">
        <v>0</v>
      </c>
      <c r="AN2078">
        <v>148.22</v>
      </c>
      <c r="AP2078">
        <v>46</v>
      </c>
      <c r="AQ2078">
        <v>46</v>
      </c>
    </row>
    <row r="2079" spans="1:43" x14ac:dyDescent="0.25">
      <c r="A2079" t="s">
        <v>45</v>
      </c>
      <c r="B2079">
        <v>4</v>
      </c>
      <c r="C2079" t="s">
        <v>1170</v>
      </c>
      <c r="D2079" s="39">
        <v>45971</v>
      </c>
      <c r="E2079" t="s">
        <v>352</v>
      </c>
      <c r="F2079" t="s">
        <v>79</v>
      </c>
      <c r="G2079">
        <v>16</v>
      </c>
      <c r="H2079" t="s">
        <v>353</v>
      </c>
      <c r="I2079" t="s">
        <v>79</v>
      </c>
      <c r="J2079">
        <v>100</v>
      </c>
      <c r="K2079" t="s">
        <v>79</v>
      </c>
      <c r="L2079">
        <v>2</v>
      </c>
      <c r="M2079">
        <v>110.25</v>
      </c>
      <c r="N2079">
        <v>3.2</v>
      </c>
      <c r="Q2079">
        <v>107.05</v>
      </c>
      <c r="R2079" t="s">
        <v>1245</v>
      </c>
      <c r="V2079">
        <v>0</v>
      </c>
      <c r="W2079">
        <v>0</v>
      </c>
      <c r="AF2079">
        <v>0</v>
      </c>
      <c r="AG2079">
        <v>0</v>
      </c>
      <c r="AH2079">
        <v>0</v>
      </c>
      <c r="AI2079">
        <v>12</v>
      </c>
      <c r="AJ2079">
        <v>12</v>
      </c>
      <c r="AM2079">
        <v>0</v>
      </c>
      <c r="AN2079">
        <v>112.05</v>
      </c>
      <c r="AP2079">
        <v>46</v>
      </c>
      <c r="AQ2079">
        <v>46</v>
      </c>
    </row>
    <row r="2080" spans="1:43" x14ac:dyDescent="0.25">
      <c r="A2080" t="s">
        <v>45</v>
      </c>
      <c r="B2080">
        <v>4</v>
      </c>
      <c r="C2080" t="s">
        <v>1171</v>
      </c>
      <c r="D2080" s="39">
        <v>45971</v>
      </c>
      <c r="E2080" t="s">
        <v>200</v>
      </c>
      <c r="F2080" t="s">
        <v>79</v>
      </c>
      <c r="G2080">
        <v>16</v>
      </c>
      <c r="H2080" t="s">
        <v>123</v>
      </c>
      <c r="I2080" t="s">
        <v>79</v>
      </c>
      <c r="J2080">
        <v>150</v>
      </c>
      <c r="K2080" t="s">
        <v>79</v>
      </c>
      <c r="L2080">
        <v>4</v>
      </c>
      <c r="M2080">
        <v>172.26999999999998</v>
      </c>
      <c r="N2080">
        <v>6.4</v>
      </c>
      <c r="Q2080">
        <v>165.86999999999998</v>
      </c>
      <c r="R2080" t="s">
        <v>1246</v>
      </c>
      <c r="V2080">
        <v>0</v>
      </c>
      <c r="W2080">
        <v>0</v>
      </c>
      <c r="AF2080">
        <v>0</v>
      </c>
      <c r="AG2080">
        <v>0</v>
      </c>
      <c r="AH2080">
        <v>0</v>
      </c>
      <c r="AI2080">
        <v>12</v>
      </c>
      <c r="AJ2080">
        <v>12</v>
      </c>
      <c r="AM2080">
        <v>0</v>
      </c>
      <c r="AN2080">
        <v>170.86999999999998</v>
      </c>
      <c r="AP2080">
        <v>46</v>
      </c>
      <c r="AQ2080">
        <v>46</v>
      </c>
    </row>
    <row r="2081" spans="1:43" x14ac:dyDescent="0.25">
      <c r="A2081" t="s">
        <v>46</v>
      </c>
      <c r="B2081">
        <v>4</v>
      </c>
      <c r="C2081" t="s">
        <v>1169</v>
      </c>
      <c r="D2081" s="39">
        <v>45971</v>
      </c>
      <c r="E2081" t="s">
        <v>200</v>
      </c>
      <c r="F2081" t="s">
        <v>79</v>
      </c>
      <c r="G2081">
        <v>16</v>
      </c>
      <c r="H2081" t="s">
        <v>944</v>
      </c>
      <c r="I2081" t="s">
        <v>79</v>
      </c>
      <c r="J2081">
        <v>500</v>
      </c>
      <c r="K2081" t="s">
        <v>79</v>
      </c>
      <c r="L2081">
        <v>7</v>
      </c>
      <c r="M2081">
        <v>381.54</v>
      </c>
      <c r="N2081">
        <v>11.200000000000001</v>
      </c>
      <c r="O2081">
        <v>6</v>
      </c>
      <c r="Q2081">
        <v>370.34000000000003</v>
      </c>
      <c r="R2081" t="s">
        <v>1244</v>
      </c>
      <c r="V2081">
        <v>0</v>
      </c>
      <c r="W2081">
        <v>0</v>
      </c>
      <c r="AF2081">
        <v>0</v>
      </c>
      <c r="AG2081">
        <v>0</v>
      </c>
      <c r="AH2081">
        <v>0</v>
      </c>
      <c r="AI2081">
        <v>12</v>
      </c>
      <c r="AJ2081">
        <v>12</v>
      </c>
      <c r="AM2081">
        <v>0</v>
      </c>
      <c r="AN2081">
        <v>375.34</v>
      </c>
      <c r="AP2081">
        <v>46</v>
      </c>
      <c r="AQ2081">
        <v>46</v>
      </c>
    </row>
    <row r="2082" spans="1:43" x14ac:dyDescent="0.25">
      <c r="A2082" t="s">
        <v>46</v>
      </c>
      <c r="B2082">
        <v>4</v>
      </c>
      <c r="C2082" t="s">
        <v>1172</v>
      </c>
      <c r="D2082" s="39">
        <v>45971</v>
      </c>
      <c r="E2082" t="s">
        <v>486</v>
      </c>
      <c r="F2082" t="s">
        <v>79</v>
      </c>
      <c r="G2082">
        <v>16</v>
      </c>
      <c r="H2082">
        <v>5</v>
      </c>
      <c r="I2082" t="s">
        <v>79</v>
      </c>
      <c r="J2082">
        <v>600</v>
      </c>
      <c r="K2082" t="s">
        <v>79</v>
      </c>
      <c r="L2082">
        <v>6</v>
      </c>
      <c r="M2082">
        <v>320.14</v>
      </c>
      <c r="N2082">
        <v>9.6000000000000014</v>
      </c>
      <c r="Q2082">
        <v>310.53999999999996</v>
      </c>
      <c r="R2082" t="s">
        <v>1714</v>
      </c>
      <c r="V2082">
        <v>0</v>
      </c>
      <c r="W2082">
        <v>0</v>
      </c>
      <c r="AF2082">
        <v>0</v>
      </c>
      <c r="AG2082">
        <v>0</v>
      </c>
      <c r="AH2082">
        <v>0</v>
      </c>
      <c r="AI2082">
        <v>12</v>
      </c>
      <c r="AJ2082">
        <v>12</v>
      </c>
      <c r="AM2082">
        <v>0</v>
      </c>
      <c r="AN2082">
        <v>315.53999999999996</v>
      </c>
      <c r="AP2082">
        <v>46</v>
      </c>
      <c r="AQ2082">
        <v>46</v>
      </c>
    </row>
    <row r="2083" spans="1:43" x14ac:dyDescent="0.25">
      <c r="A2083" t="s">
        <v>45</v>
      </c>
      <c r="B2083">
        <v>5</v>
      </c>
      <c r="C2083" t="s">
        <v>1164</v>
      </c>
      <c r="D2083" s="39">
        <v>45971</v>
      </c>
      <c r="E2083" t="s">
        <v>200</v>
      </c>
      <c r="F2083" t="s">
        <v>79</v>
      </c>
      <c r="G2083">
        <v>14</v>
      </c>
      <c r="H2083" t="s">
        <v>944</v>
      </c>
      <c r="I2083" t="s">
        <v>79</v>
      </c>
      <c r="J2083">
        <v>250</v>
      </c>
      <c r="K2083" t="s">
        <v>79</v>
      </c>
      <c r="L2083">
        <v>2</v>
      </c>
      <c r="M2083">
        <v>73.010000000000005</v>
      </c>
      <c r="N2083">
        <v>2.8</v>
      </c>
      <c r="Q2083">
        <v>70.210000000000008</v>
      </c>
      <c r="R2083" t="s">
        <v>1241</v>
      </c>
      <c r="V2083">
        <v>0</v>
      </c>
      <c r="W2083">
        <v>0</v>
      </c>
      <c r="AF2083">
        <v>0</v>
      </c>
      <c r="AG2083">
        <v>0</v>
      </c>
      <c r="AH2083">
        <v>0</v>
      </c>
      <c r="AI2083">
        <v>12</v>
      </c>
      <c r="AJ2083">
        <v>12</v>
      </c>
      <c r="AM2083">
        <v>0</v>
      </c>
      <c r="AN2083">
        <v>75.209999999999994</v>
      </c>
      <c r="AP2083">
        <v>46</v>
      </c>
      <c r="AQ2083">
        <v>46</v>
      </c>
    </row>
    <row r="2084" spans="1:43" x14ac:dyDescent="0.25">
      <c r="A2084" t="s">
        <v>45</v>
      </c>
      <c r="B2084">
        <v>5</v>
      </c>
      <c r="C2084" t="s">
        <v>1173</v>
      </c>
      <c r="D2084" s="39">
        <v>45971</v>
      </c>
      <c r="E2084" t="s">
        <v>200</v>
      </c>
      <c r="F2084" t="s">
        <v>79</v>
      </c>
      <c r="G2084">
        <v>14</v>
      </c>
      <c r="H2084" t="s">
        <v>578</v>
      </c>
      <c r="I2084" t="s">
        <v>79</v>
      </c>
      <c r="J2084">
        <v>200</v>
      </c>
      <c r="K2084" t="s">
        <v>79</v>
      </c>
      <c r="L2084">
        <v>4</v>
      </c>
      <c r="M2084">
        <v>219.38</v>
      </c>
      <c r="N2084">
        <v>5.6</v>
      </c>
      <c r="Q2084">
        <v>213.78</v>
      </c>
      <c r="R2084" t="s">
        <v>1247</v>
      </c>
      <c r="V2084">
        <v>0</v>
      </c>
      <c r="W2084">
        <v>0</v>
      </c>
      <c r="AF2084">
        <v>0</v>
      </c>
      <c r="AG2084">
        <v>0</v>
      </c>
      <c r="AH2084">
        <v>0</v>
      </c>
      <c r="AI2084">
        <v>12</v>
      </c>
      <c r="AJ2084">
        <v>12</v>
      </c>
      <c r="AM2084">
        <v>0</v>
      </c>
      <c r="AN2084">
        <v>218.78</v>
      </c>
      <c r="AP2084">
        <v>46</v>
      </c>
      <c r="AQ2084">
        <v>46</v>
      </c>
    </row>
    <row r="2085" spans="1:43" x14ac:dyDescent="0.25">
      <c r="A2085" t="s">
        <v>45</v>
      </c>
      <c r="B2085">
        <v>5</v>
      </c>
      <c r="C2085" t="s">
        <v>736</v>
      </c>
      <c r="D2085" s="39">
        <v>45971</v>
      </c>
      <c r="E2085" t="s">
        <v>486</v>
      </c>
      <c r="F2085" t="s">
        <v>79</v>
      </c>
      <c r="G2085">
        <v>14</v>
      </c>
      <c r="H2085">
        <v>5</v>
      </c>
      <c r="I2085" t="s">
        <v>79</v>
      </c>
      <c r="J2085">
        <v>1000</v>
      </c>
      <c r="K2085" t="s">
        <v>79</v>
      </c>
      <c r="L2085">
        <v>3</v>
      </c>
      <c r="M2085">
        <v>158.70000000000002</v>
      </c>
      <c r="N2085">
        <v>4.1999999999999993</v>
      </c>
      <c r="Q2085">
        <v>154.50000000000003</v>
      </c>
      <c r="R2085" t="s">
        <v>1514</v>
      </c>
      <c r="V2085">
        <v>0</v>
      </c>
      <c r="W2085">
        <v>0</v>
      </c>
      <c r="AF2085">
        <v>0</v>
      </c>
      <c r="AG2085">
        <v>0</v>
      </c>
      <c r="AH2085">
        <v>0</v>
      </c>
      <c r="AI2085">
        <v>12</v>
      </c>
      <c r="AJ2085">
        <v>12</v>
      </c>
      <c r="AM2085">
        <v>0</v>
      </c>
      <c r="AN2085">
        <v>159.50000000000003</v>
      </c>
      <c r="AP2085">
        <v>46</v>
      </c>
      <c r="AQ2085">
        <v>46</v>
      </c>
    </row>
    <row r="2086" spans="1:43" x14ac:dyDescent="0.25">
      <c r="A2086" t="s">
        <v>45</v>
      </c>
      <c r="B2086">
        <v>5</v>
      </c>
      <c r="C2086" t="s">
        <v>1174</v>
      </c>
      <c r="D2086" s="39">
        <v>45971</v>
      </c>
      <c r="E2086" t="s">
        <v>1175</v>
      </c>
      <c r="F2086" t="s">
        <v>79</v>
      </c>
      <c r="G2086">
        <v>14</v>
      </c>
      <c r="H2086">
        <v>7</v>
      </c>
      <c r="I2086" t="s">
        <v>79</v>
      </c>
      <c r="J2086">
        <v>50</v>
      </c>
      <c r="K2086" t="s">
        <v>79</v>
      </c>
      <c r="L2086">
        <v>1</v>
      </c>
      <c r="M2086">
        <v>57.69</v>
      </c>
      <c r="N2086">
        <v>1.4</v>
      </c>
      <c r="Q2086">
        <v>56.29</v>
      </c>
      <c r="R2086" t="s">
        <v>1248</v>
      </c>
      <c r="V2086">
        <v>0</v>
      </c>
      <c r="W2086">
        <v>0</v>
      </c>
      <c r="AF2086">
        <v>0</v>
      </c>
      <c r="AG2086">
        <v>0</v>
      </c>
      <c r="AH2086">
        <v>0</v>
      </c>
      <c r="AI2086">
        <v>12</v>
      </c>
      <c r="AJ2086">
        <v>12</v>
      </c>
      <c r="AM2086">
        <v>0</v>
      </c>
      <c r="AN2086">
        <v>61.29</v>
      </c>
      <c r="AP2086">
        <v>46</v>
      </c>
      <c r="AQ2086">
        <v>46</v>
      </c>
    </row>
    <row r="2087" spans="1:43" x14ac:dyDescent="0.25">
      <c r="A2087" t="s">
        <v>46</v>
      </c>
      <c r="B2087">
        <v>5</v>
      </c>
      <c r="C2087" t="s">
        <v>736</v>
      </c>
      <c r="D2087" s="39">
        <v>45971</v>
      </c>
      <c r="E2087" t="s">
        <v>486</v>
      </c>
      <c r="F2087" t="s">
        <v>79</v>
      </c>
      <c r="G2087">
        <v>14</v>
      </c>
      <c r="H2087">
        <v>5</v>
      </c>
      <c r="I2087" t="s">
        <v>79</v>
      </c>
      <c r="J2087">
        <v>1000</v>
      </c>
      <c r="K2087" t="s">
        <v>79</v>
      </c>
      <c r="L2087">
        <v>8</v>
      </c>
      <c r="M2087">
        <v>446.70000000000005</v>
      </c>
      <c r="N2087">
        <v>11.2</v>
      </c>
      <c r="Q2087">
        <v>435.50000000000006</v>
      </c>
      <c r="R2087" t="s">
        <v>1514</v>
      </c>
      <c r="V2087">
        <v>0</v>
      </c>
      <c r="W2087">
        <v>0</v>
      </c>
      <c r="AF2087">
        <v>0</v>
      </c>
      <c r="AG2087">
        <v>0</v>
      </c>
      <c r="AH2087">
        <v>0</v>
      </c>
      <c r="AI2087">
        <v>12</v>
      </c>
      <c r="AJ2087">
        <v>12</v>
      </c>
      <c r="AM2087">
        <v>0</v>
      </c>
      <c r="AN2087">
        <v>440.50000000000006</v>
      </c>
      <c r="AP2087">
        <v>46</v>
      </c>
      <c r="AQ2087">
        <v>46</v>
      </c>
    </row>
    <row r="2088" spans="1:43" x14ac:dyDescent="0.25">
      <c r="A2088" t="s">
        <v>45</v>
      </c>
      <c r="B2088">
        <v>1</v>
      </c>
      <c r="C2088" t="s">
        <v>1120</v>
      </c>
      <c r="D2088" s="39">
        <v>45973</v>
      </c>
      <c r="E2088" t="s">
        <v>663</v>
      </c>
      <c r="F2088" t="s">
        <v>79</v>
      </c>
      <c r="G2088">
        <v>2</v>
      </c>
      <c r="H2088">
        <v>12</v>
      </c>
      <c r="I2088" t="s">
        <v>79</v>
      </c>
      <c r="J2088">
        <v>500</v>
      </c>
      <c r="K2088" t="s">
        <v>79</v>
      </c>
      <c r="L2088">
        <v>4</v>
      </c>
      <c r="M2088">
        <v>45.67</v>
      </c>
      <c r="N2088">
        <v>0.8</v>
      </c>
      <c r="O2088">
        <v>35</v>
      </c>
      <c r="Q2088">
        <v>44.870000000000005</v>
      </c>
      <c r="R2088" t="s">
        <v>1165</v>
      </c>
      <c r="T2088">
        <v>480</v>
      </c>
      <c r="V2088">
        <v>480</v>
      </c>
      <c r="W2088">
        <v>8</v>
      </c>
      <c r="AF2088">
        <v>0</v>
      </c>
      <c r="AG2088">
        <v>0</v>
      </c>
      <c r="AH2088">
        <v>8</v>
      </c>
      <c r="AI2088">
        <v>4</v>
      </c>
      <c r="AJ2088">
        <v>12</v>
      </c>
      <c r="AM2088">
        <v>0</v>
      </c>
      <c r="AN2088">
        <v>49.870000000000005</v>
      </c>
      <c r="AP2088">
        <v>46</v>
      </c>
      <c r="AQ2088">
        <v>46</v>
      </c>
    </row>
    <row r="2089" spans="1:43" x14ac:dyDescent="0.25">
      <c r="A2089" t="s">
        <v>46</v>
      </c>
      <c r="B2089">
        <v>1</v>
      </c>
      <c r="C2089" t="s">
        <v>1120</v>
      </c>
      <c r="D2089" s="39">
        <v>45973</v>
      </c>
      <c r="E2089" t="s">
        <v>663</v>
      </c>
      <c r="F2089" t="s">
        <v>79</v>
      </c>
      <c r="G2089">
        <v>2</v>
      </c>
      <c r="H2089">
        <v>12</v>
      </c>
      <c r="I2089" t="s">
        <v>79</v>
      </c>
      <c r="J2089">
        <v>500</v>
      </c>
      <c r="K2089" t="s">
        <v>79</v>
      </c>
      <c r="L2089">
        <v>13</v>
      </c>
      <c r="M2089">
        <v>139.44</v>
      </c>
      <c r="N2089">
        <v>2.6</v>
      </c>
      <c r="O2089">
        <v>28</v>
      </c>
      <c r="Q2089">
        <v>136.84</v>
      </c>
      <c r="R2089" t="s">
        <v>1165</v>
      </c>
      <c r="V2089">
        <v>0</v>
      </c>
      <c r="W2089">
        <v>0</v>
      </c>
      <c r="AF2089">
        <v>0</v>
      </c>
      <c r="AG2089">
        <v>0</v>
      </c>
      <c r="AH2089">
        <v>0</v>
      </c>
      <c r="AI2089">
        <v>12</v>
      </c>
      <c r="AJ2089">
        <v>12</v>
      </c>
      <c r="AM2089">
        <v>0</v>
      </c>
      <c r="AN2089">
        <v>141.84</v>
      </c>
      <c r="AP2089">
        <v>46</v>
      </c>
      <c r="AQ2089">
        <v>46</v>
      </c>
    </row>
    <row r="2090" spans="1:43" x14ac:dyDescent="0.25">
      <c r="A2090" t="s">
        <v>45</v>
      </c>
      <c r="B2090">
        <v>2</v>
      </c>
      <c r="C2090" t="s">
        <v>1176</v>
      </c>
      <c r="D2090" s="39">
        <v>45973</v>
      </c>
      <c r="E2090" t="s">
        <v>1177</v>
      </c>
      <c r="F2090" t="s">
        <v>79</v>
      </c>
      <c r="G2090">
        <v>3.5</v>
      </c>
      <c r="H2090">
        <v>8</v>
      </c>
      <c r="I2090" t="s">
        <v>79</v>
      </c>
      <c r="J2090">
        <v>500</v>
      </c>
      <c r="K2090" t="s">
        <v>79</v>
      </c>
      <c r="L2090">
        <v>8</v>
      </c>
      <c r="M2090">
        <v>114.29000000000002</v>
      </c>
      <c r="N2090">
        <v>2.8</v>
      </c>
      <c r="Q2090">
        <v>111.49000000000002</v>
      </c>
      <c r="R2090" t="s">
        <v>1249</v>
      </c>
      <c r="T2090">
        <v>210</v>
      </c>
      <c r="V2090">
        <v>210</v>
      </c>
      <c r="W2090">
        <v>3.5</v>
      </c>
      <c r="AF2090">
        <v>0</v>
      </c>
      <c r="AG2090">
        <v>0</v>
      </c>
      <c r="AH2090">
        <v>3.5</v>
      </c>
      <c r="AI2090">
        <v>8.5</v>
      </c>
      <c r="AJ2090">
        <v>12</v>
      </c>
      <c r="AM2090">
        <v>0</v>
      </c>
      <c r="AN2090">
        <v>116.49000000000002</v>
      </c>
      <c r="AP2090">
        <v>46</v>
      </c>
      <c r="AQ2090">
        <v>46</v>
      </c>
    </row>
    <row r="2091" spans="1:43" x14ac:dyDescent="0.25">
      <c r="A2091" t="s">
        <v>46</v>
      </c>
      <c r="B2091">
        <v>2</v>
      </c>
      <c r="C2091" t="s">
        <v>1176</v>
      </c>
      <c r="D2091" s="39">
        <v>45973</v>
      </c>
      <c r="E2091" t="s">
        <v>1177</v>
      </c>
      <c r="F2091" t="s">
        <v>79</v>
      </c>
      <c r="G2091">
        <v>3.5</v>
      </c>
      <c r="H2091">
        <v>8</v>
      </c>
      <c r="I2091" t="s">
        <v>79</v>
      </c>
      <c r="J2091">
        <v>500</v>
      </c>
      <c r="K2091" t="s">
        <v>79</v>
      </c>
      <c r="L2091">
        <v>12</v>
      </c>
      <c r="M2091">
        <v>174.25999999999996</v>
      </c>
      <c r="N2091">
        <v>4.1999999999999993</v>
      </c>
      <c r="Q2091">
        <v>170.05999999999997</v>
      </c>
      <c r="R2091" t="s">
        <v>1249</v>
      </c>
      <c r="V2091">
        <v>0</v>
      </c>
      <c r="W2091">
        <v>0</v>
      </c>
      <c r="AD2091">
        <v>30</v>
      </c>
      <c r="AF2091">
        <v>30</v>
      </c>
      <c r="AG2091">
        <v>0.5</v>
      </c>
      <c r="AH2091">
        <v>0.5</v>
      </c>
      <c r="AI2091">
        <v>11.5</v>
      </c>
      <c r="AJ2091">
        <v>12</v>
      </c>
      <c r="AM2091">
        <v>0</v>
      </c>
      <c r="AN2091">
        <v>175.05999999999997</v>
      </c>
      <c r="AP2091">
        <v>46</v>
      </c>
      <c r="AQ2091">
        <v>46</v>
      </c>
    </row>
    <row r="2092" spans="1:43" x14ac:dyDescent="0.25">
      <c r="A2092" t="s">
        <v>45</v>
      </c>
      <c r="B2092">
        <v>3</v>
      </c>
      <c r="C2092" t="s">
        <v>1157</v>
      </c>
      <c r="D2092" s="39">
        <v>45973</v>
      </c>
      <c r="E2092" t="s">
        <v>486</v>
      </c>
      <c r="F2092" t="s">
        <v>79</v>
      </c>
      <c r="G2092">
        <v>7</v>
      </c>
      <c r="H2092">
        <v>5</v>
      </c>
      <c r="I2092" t="s">
        <v>79</v>
      </c>
      <c r="J2092">
        <v>1500</v>
      </c>
      <c r="K2092" t="s">
        <v>79</v>
      </c>
      <c r="L2092">
        <v>6</v>
      </c>
      <c r="M2092">
        <v>225.29999999999998</v>
      </c>
      <c r="N2092">
        <v>4.1999999999999993</v>
      </c>
      <c r="Q2092">
        <v>221.1</v>
      </c>
      <c r="R2092" t="s">
        <v>1235</v>
      </c>
      <c r="T2092">
        <v>180</v>
      </c>
      <c r="V2092">
        <v>180</v>
      </c>
      <c r="W2092">
        <v>3</v>
      </c>
      <c r="AF2092">
        <v>0</v>
      </c>
      <c r="AG2092">
        <v>0</v>
      </c>
      <c r="AH2092">
        <v>3</v>
      </c>
      <c r="AI2092">
        <v>9</v>
      </c>
      <c r="AJ2092">
        <v>12</v>
      </c>
      <c r="AM2092">
        <v>0</v>
      </c>
      <c r="AN2092">
        <v>226.1</v>
      </c>
      <c r="AP2092">
        <v>46</v>
      </c>
      <c r="AQ2092">
        <v>46</v>
      </c>
    </row>
    <row r="2093" spans="1:43" x14ac:dyDescent="0.25">
      <c r="A2093" t="s">
        <v>46</v>
      </c>
      <c r="B2093">
        <v>3</v>
      </c>
      <c r="C2093" t="s">
        <v>1157</v>
      </c>
      <c r="D2093" s="39">
        <v>45973</v>
      </c>
      <c r="E2093" t="s">
        <v>486</v>
      </c>
      <c r="F2093" t="s">
        <v>79</v>
      </c>
      <c r="G2093">
        <v>7</v>
      </c>
      <c r="H2093">
        <v>5</v>
      </c>
      <c r="I2093" t="s">
        <v>79</v>
      </c>
      <c r="J2093">
        <v>1500</v>
      </c>
      <c r="K2093" t="s">
        <v>79</v>
      </c>
      <c r="L2093">
        <v>8</v>
      </c>
      <c r="M2093">
        <v>309.13000000000005</v>
      </c>
      <c r="N2093">
        <v>5.6</v>
      </c>
      <c r="Q2093">
        <v>303.53000000000003</v>
      </c>
      <c r="R2093" t="s">
        <v>1235</v>
      </c>
      <c r="V2093">
        <v>0</v>
      </c>
      <c r="W2093">
        <v>0</v>
      </c>
      <c r="AF2093">
        <v>0</v>
      </c>
      <c r="AG2093">
        <v>0</v>
      </c>
      <c r="AH2093">
        <v>0</v>
      </c>
      <c r="AI2093">
        <v>12</v>
      </c>
      <c r="AJ2093">
        <v>12</v>
      </c>
      <c r="AM2093">
        <v>0</v>
      </c>
      <c r="AN2093">
        <v>308.53000000000003</v>
      </c>
      <c r="AP2093">
        <v>46</v>
      </c>
      <c r="AQ2093">
        <v>46</v>
      </c>
    </row>
    <row r="2094" spans="1:43" x14ac:dyDescent="0.25">
      <c r="A2094" t="s">
        <v>45</v>
      </c>
      <c r="B2094">
        <v>4</v>
      </c>
      <c r="C2094" t="s">
        <v>1178</v>
      </c>
      <c r="D2094" s="39">
        <v>45973</v>
      </c>
      <c r="E2094" t="s">
        <v>200</v>
      </c>
      <c r="F2094" t="s">
        <v>79</v>
      </c>
      <c r="G2094">
        <v>22</v>
      </c>
      <c r="H2094" t="s">
        <v>944</v>
      </c>
      <c r="I2094" t="s">
        <v>79</v>
      </c>
      <c r="J2094">
        <v>250</v>
      </c>
      <c r="K2094" t="s">
        <v>79</v>
      </c>
      <c r="L2094">
        <v>5</v>
      </c>
      <c r="M2094">
        <v>268.29999999999995</v>
      </c>
      <c r="N2094">
        <v>11</v>
      </c>
      <c r="Q2094">
        <v>257.29999999999995</v>
      </c>
      <c r="R2094" t="s">
        <v>1250</v>
      </c>
      <c r="T2094">
        <v>200</v>
      </c>
      <c r="V2094">
        <v>200</v>
      </c>
      <c r="W2094">
        <v>3.3333333333333335</v>
      </c>
      <c r="AF2094">
        <v>0</v>
      </c>
      <c r="AG2094">
        <v>0</v>
      </c>
      <c r="AH2094">
        <v>3.3333333333333335</v>
      </c>
      <c r="AI2094">
        <v>8.6666666666666661</v>
      </c>
      <c r="AJ2094">
        <v>12</v>
      </c>
      <c r="AM2094">
        <v>0</v>
      </c>
      <c r="AN2094">
        <v>262.29999999999995</v>
      </c>
      <c r="AP2094">
        <v>46</v>
      </c>
      <c r="AQ2094">
        <v>46</v>
      </c>
    </row>
    <row r="2095" spans="1:43" x14ac:dyDescent="0.25">
      <c r="A2095" t="s">
        <v>45</v>
      </c>
      <c r="B2095">
        <v>4</v>
      </c>
      <c r="C2095" t="s">
        <v>1179</v>
      </c>
      <c r="D2095" s="39">
        <v>45973</v>
      </c>
      <c r="E2095" t="s">
        <v>1048</v>
      </c>
      <c r="F2095" t="s">
        <v>79</v>
      </c>
      <c r="G2095">
        <v>22</v>
      </c>
      <c r="H2095" t="s">
        <v>859</v>
      </c>
      <c r="I2095" t="s">
        <v>79</v>
      </c>
      <c r="J2095">
        <v>50</v>
      </c>
      <c r="K2095" t="s">
        <v>79</v>
      </c>
      <c r="L2095">
        <v>1</v>
      </c>
      <c r="M2095">
        <v>53.75</v>
      </c>
      <c r="N2095">
        <v>2.2000000000000002</v>
      </c>
      <c r="Q2095">
        <v>51.55</v>
      </c>
      <c r="R2095" t="s">
        <v>1251</v>
      </c>
      <c r="V2095">
        <v>0</v>
      </c>
      <c r="W2095">
        <v>0</v>
      </c>
      <c r="AF2095">
        <v>0</v>
      </c>
      <c r="AG2095">
        <v>0</v>
      </c>
      <c r="AH2095">
        <v>0</v>
      </c>
      <c r="AI2095">
        <v>12</v>
      </c>
      <c r="AJ2095">
        <v>12</v>
      </c>
      <c r="AM2095">
        <v>0</v>
      </c>
      <c r="AN2095">
        <v>56.55</v>
      </c>
      <c r="AP2095">
        <v>46</v>
      </c>
      <c r="AQ2095">
        <v>46</v>
      </c>
    </row>
    <row r="2096" spans="1:43" x14ac:dyDescent="0.25">
      <c r="A2096" t="s">
        <v>45</v>
      </c>
      <c r="B2096">
        <v>4</v>
      </c>
      <c r="C2096" t="s">
        <v>1180</v>
      </c>
      <c r="D2096" s="39">
        <v>45973</v>
      </c>
      <c r="E2096" t="s">
        <v>200</v>
      </c>
      <c r="F2096" t="s">
        <v>79</v>
      </c>
      <c r="G2096">
        <v>22</v>
      </c>
      <c r="H2096" t="s">
        <v>123</v>
      </c>
      <c r="I2096" t="s">
        <v>79</v>
      </c>
      <c r="J2096">
        <v>150</v>
      </c>
      <c r="K2096" t="s">
        <v>79</v>
      </c>
      <c r="L2096">
        <v>4</v>
      </c>
      <c r="M2096">
        <v>168.26</v>
      </c>
      <c r="N2096">
        <v>8.8000000000000007</v>
      </c>
      <c r="Q2096">
        <v>159.45999999999998</v>
      </c>
      <c r="R2096" t="s">
        <v>1252</v>
      </c>
      <c r="V2096">
        <v>0</v>
      </c>
      <c r="W2096">
        <v>0</v>
      </c>
      <c r="AF2096">
        <v>0</v>
      </c>
      <c r="AG2096">
        <v>0</v>
      </c>
      <c r="AH2096">
        <v>0</v>
      </c>
      <c r="AI2096">
        <v>12</v>
      </c>
      <c r="AJ2096">
        <v>12</v>
      </c>
      <c r="AM2096">
        <v>0</v>
      </c>
      <c r="AN2096">
        <v>164.45999999999998</v>
      </c>
      <c r="AP2096">
        <v>46</v>
      </c>
      <c r="AQ2096">
        <v>46</v>
      </c>
    </row>
    <row r="2097" spans="1:43" x14ac:dyDescent="0.25">
      <c r="A2097" t="s">
        <v>45</v>
      </c>
      <c r="B2097">
        <v>4</v>
      </c>
      <c r="C2097" t="s">
        <v>1181</v>
      </c>
      <c r="D2097" s="39">
        <v>45973</v>
      </c>
      <c r="E2097" t="s">
        <v>200</v>
      </c>
      <c r="F2097" t="s">
        <v>79</v>
      </c>
      <c r="G2097">
        <v>22</v>
      </c>
      <c r="H2097" t="s">
        <v>578</v>
      </c>
      <c r="I2097" t="s">
        <v>79</v>
      </c>
      <c r="J2097">
        <v>200</v>
      </c>
      <c r="K2097" t="s">
        <v>79</v>
      </c>
      <c r="L2097">
        <v>1</v>
      </c>
      <c r="M2097">
        <v>33.409999999999997</v>
      </c>
      <c r="N2097">
        <v>2.8</v>
      </c>
      <c r="Q2097">
        <v>30.609999999999996</v>
      </c>
      <c r="R2097" t="s">
        <v>1253</v>
      </c>
      <c r="V2097">
        <v>0</v>
      </c>
      <c r="W2097">
        <v>0</v>
      </c>
      <c r="AF2097">
        <v>0</v>
      </c>
      <c r="AG2097">
        <v>0</v>
      </c>
      <c r="AH2097">
        <v>0</v>
      </c>
      <c r="AI2097">
        <v>12</v>
      </c>
      <c r="AJ2097">
        <v>12</v>
      </c>
      <c r="AM2097">
        <v>0</v>
      </c>
      <c r="AN2097">
        <v>35.61</v>
      </c>
      <c r="AP2097">
        <v>46</v>
      </c>
      <c r="AQ2097">
        <v>46</v>
      </c>
    </row>
    <row r="2098" spans="1:43" x14ac:dyDescent="0.25">
      <c r="A2098" t="s">
        <v>46</v>
      </c>
      <c r="B2098">
        <v>4</v>
      </c>
      <c r="C2098" t="s">
        <v>1181</v>
      </c>
      <c r="D2098" s="39">
        <v>45973</v>
      </c>
      <c r="E2098" t="s">
        <v>200</v>
      </c>
      <c r="F2098" t="s">
        <v>79</v>
      </c>
      <c r="G2098">
        <v>22</v>
      </c>
      <c r="H2098" t="s">
        <v>578</v>
      </c>
      <c r="I2098" t="s">
        <v>79</v>
      </c>
      <c r="J2098">
        <v>200</v>
      </c>
      <c r="K2098" t="s">
        <v>79</v>
      </c>
      <c r="L2098">
        <v>3</v>
      </c>
      <c r="M2098">
        <v>163.42000000000002</v>
      </c>
      <c r="N2098">
        <v>8.3999999999999986</v>
      </c>
      <c r="Q2098">
        <v>155.02000000000001</v>
      </c>
      <c r="R2098" t="s">
        <v>1253</v>
      </c>
      <c r="S2098">
        <v>20</v>
      </c>
      <c r="V2098">
        <v>20</v>
      </c>
      <c r="W2098">
        <v>0.33333333333333331</v>
      </c>
      <c r="AD2098">
        <v>30</v>
      </c>
      <c r="AF2098">
        <v>30</v>
      </c>
      <c r="AG2098">
        <v>0.5</v>
      </c>
      <c r="AH2098">
        <v>0.83333333333333326</v>
      </c>
      <c r="AI2098">
        <v>11.166666666666666</v>
      </c>
      <c r="AJ2098">
        <v>12</v>
      </c>
      <c r="AM2098">
        <v>0</v>
      </c>
      <c r="AN2098">
        <v>160.02000000000001</v>
      </c>
      <c r="AP2098">
        <v>46</v>
      </c>
      <c r="AQ2098">
        <v>46</v>
      </c>
    </row>
    <row r="2099" spans="1:43" x14ac:dyDescent="0.25">
      <c r="A2099" t="s">
        <v>46</v>
      </c>
      <c r="B2099">
        <v>4</v>
      </c>
      <c r="C2099" t="s">
        <v>1182</v>
      </c>
      <c r="D2099" s="39">
        <v>45973</v>
      </c>
      <c r="E2099" t="s">
        <v>200</v>
      </c>
      <c r="F2099" t="s">
        <v>79</v>
      </c>
      <c r="G2099">
        <v>24</v>
      </c>
      <c r="H2099" t="s">
        <v>944</v>
      </c>
      <c r="I2099" t="s">
        <v>79</v>
      </c>
      <c r="J2099">
        <v>250</v>
      </c>
      <c r="K2099" t="s">
        <v>79</v>
      </c>
      <c r="L2099">
        <v>4</v>
      </c>
      <c r="M2099">
        <v>272.61</v>
      </c>
      <c r="N2099">
        <v>11.2</v>
      </c>
      <c r="Q2099">
        <v>261.41000000000003</v>
      </c>
      <c r="R2099" t="s">
        <v>1254</v>
      </c>
      <c r="V2099">
        <v>0</v>
      </c>
      <c r="W2099">
        <v>0</v>
      </c>
      <c r="AF2099">
        <v>0</v>
      </c>
      <c r="AG2099">
        <v>0</v>
      </c>
      <c r="AH2099">
        <v>0</v>
      </c>
      <c r="AI2099">
        <v>12</v>
      </c>
      <c r="AJ2099">
        <v>12</v>
      </c>
      <c r="AM2099">
        <v>0</v>
      </c>
      <c r="AN2099">
        <v>266.41000000000003</v>
      </c>
      <c r="AP2099">
        <v>46</v>
      </c>
      <c r="AQ2099">
        <v>46</v>
      </c>
    </row>
    <row r="2100" spans="1:43" x14ac:dyDescent="0.25">
      <c r="A2100" t="s">
        <v>46</v>
      </c>
      <c r="B2100">
        <v>4</v>
      </c>
      <c r="C2100" t="s">
        <v>1183</v>
      </c>
      <c r="D2100" s="39">
        <v>45973</v>
      </c>
      <c r="E2100" t="s">
        <v>486</v>
      </c>
      <c r="F2100" t="s">
        <v>79</v>
      </c>
      <c r="G2100">
        <v>24</v>
      </c>
      <c r="H2100">
        <v>5</v>
      </c>
      <c r="I2100" t="s">
        <v>79</v>
      </c>
      <c r="J2100">
        <v>1000</v>
      </c>
      <c r="K2100" t="s">
        <v>79</v>
      </c>
      <c r="L2100">
        <v>3</v>
      </c>
      <c r="M2100">
        <v>195.39</v>
      </c>
      <c r="N2100">
        <v>9.3000000000000007</v>
      </c>
      <c r="Q2100">
        <v>186.08999999999997</v>
      </c>
      <c r="R2100" t="s">
        <v>1255</v>
      </c>
      <c r="V2100">
        <v>0</v>
      </c>
      <c r="W2100">
        <v>0</v>
      </c>
      <c r="AF2100">
        <v>0</v>
      </c>
      <c r="AG2100">
        <v>0</v>
      </c>
      <c r="AH2100">
        <v>0</v>
      </c>
      <c r="AI2100">
        <v>12</v>
      </c>
      <c r="AJ2100">
        <v>12</v>
      </c>
      <c r="AM2100">
        <v>0</v>
      </c>
      <c r="AN2100">
        <v>191.08999999999995</v>
      </c>
      <c r="AP2100">
        <v>46</v>
      </c>
      <c r="AQ2100">
        <v>46</v>
      </c>
    </row>
    <row r="2101" spans="1:43" x14ac:dyDescent="0.25">
      <c r="A2101" t="s">
        <v>46</v>
      </c>
      <c r="B2101">
        <v>4</v>
      </c>
      <c r="C2101" t="s">
        <v>1184</v>
      </c>
      <c r="D2101" s="39">
        <v>45973</v>
      </c>
      <c r="E2101" t="s">
        <v>1048</v>
      </c>
      <c r="F2101" t="s">
        <v>79</v>
      </c>
      <c r="G2101">
        <v>24</v>
      </c>
      <c r="H2101" t="s">
        <v>859</v>
      </c>
      <c r="I2101" t="s">
        <v>79</v>
      </c>
      <c r="J2101">
        <v>50</v>
      </c>
      <c r="K2101" t="s">
        <v>79</v>
      </c>
      <c r="L2101">
        <v>1</v>
      </c>
      <c r="M2101">
        <v>53.5</v>
      </c>
      <c r="N2101">
        <v>2.9</v>
      </c>
      <c r="Q2101">
        <v>50.6</v>
      </c>
      <c r="R2101" t="s">
        <v>1256</v>
      </c>
      <c r="V2101">
        <v>0</v>
      </c>
      <c r="W2101">
        <v>0</v>
      </c>
      <c r="AF2101">
        <v>0</v>
      </c>
      <c r="AG2101">
        <v>0</v>
      </c>
      <c r="AH2101">
        <v>0</v>
      </c>
      <c r="AI2101">
        <v>12</v>
      </c>
      <c r="AJ2101">
        <v>12</v>
      </c>
      <c r="AM2101">
        <v>0</v>
      </c>
      <c r="AN2101">
        <v>55.6</v>
      </c>
      <c r="AP2101">
        <v>46</v>
      </c>
      <c r="AQ2101">
        <v>46</v>
      </c>
    </row>
    <row r="2102" spans="1:43" x14ac:dyDescent="0.25">
      <c r="A2102" t="s">
        <v>45</v>
      </c>
      <c r="B2102">
        <v>5</v>
      </c>
      <c r="C2102" t="s">
        <v>1185</v>
      </c>
      <c r="D2102" s="39">
        <v>45973</v>
      </c>
      <c r="E2102" t="s">
        <v>486</v>
      </c>
      <c r="F2102" t="s">
        <v>79</v>
      </c>
      <c r="G2102">
        <v>14</v>
      </c>
      <c r="H2102">
        <v>5</v>
      </c>
      <c r="I2102" t="s">
        <v>79</v>
      </c>
      <c r="J2102">
        <v>1500</v>
      </c>
      <c r="K2102" t="s">
        <v>79</v>
      </c>
      <c r="L2102">
        <v>8</v>
      </c>
      <c r="M2102">
        <v>428.73</v>
      </c>
      <c r="N2102">
        <v>11.2</v>
      </c>
      <c r="Q2102">
        <v>417.53000000000003</v>
      </c>
      <c r="R2102" t="s">
        <v>1257</v>
      </c>
      <c r="T2102">
        <v>180</v>
      </c>
      <c r="V2102">
        <v>180</v>
      </c>
      <c r="W2102">
        <v>3</v>
      </c>
      <c r="AF2102">
        <v>0</v>
      </c>
      <c r="AG2102">
        <v>0</v>
      </c>
      <c r="AH2102">
        <v>3</v>
      </c>
      <c r="AI2102">
        <v>9</v>
      </c>
      <c r="AJ2102">
        <v>12</v>
      </c>
      <c r="AM2102">
        <v>0</v>
      </c>
      <c r="AN2102">
        <v>422.53</v>
      </c>
      <c r="AP2102">
        <v>46</v>
      </c>
      <c r="AQ2102">
        <v>46</v>
      </c>
    </row>
    <row r="2103" spans="1:43" x14ac:dyDescent="0.25">
      <c r="A2103" t="s">
        <v>46</v>
      </c>
      <c r="B2103">
        <v>5</v>
      </c>
      <c r="C2103" t="s">
        <v>1185</v>
      </c>
      <c r="D2103" s="39">
        <v>45973</v>
      </c>
      <c r="E2103" t="s">
        <v>486</v>
      </c>
      <c r="F2103" t="s">
        <v>79</v>
      </c>
      <c r="G2103">
        <v>14</v>
      </c>
      <c r="H2103">
        <v>5</v>
      </c>
      <c r="I2103" t="s">
        <v>79</v>
      </c>
      <c r="J2103">
        <v>1500</v>
      </c>
      <c r="K2103" t="s">
        <v>79</v>
      </c>
      <c r="L2103">
        <v>8</v>
      </c>
      <c r="M2103">
        <v>485.83000000000004</v>
      </c>
      <c r="N2103">
        <v>11.2</v>
      </c>
      <c r="Q2103">
        <v>474.63000000000005</v>
      </c>
      <c r="R2103" t="s">
        <v>1257</v>
      </c>
      <c r="V2103">
        <v>0</v>
      </c>
      <c r="W2103">
        <v>0</v>
      </c>
      <c r="AF2103">
        <v>0</v>
      </c>
      <c r="AG2103">
        <v>0</v>
      </c>
      <c r="AH2103">
        <v>0</v>
      </c>
      <c r="AI2103">
        <v>12</v>
      </c>
      <c r="AJ2103">
        <v>12</v>
      </c>
      <c r="AM2103">
        <v>0</v>
      </c>
      <c r="AN2103">
        <v>479.63000000000005</v>
      </c>
      <c r="AP2103">
        <v>46</v>
      </c>
      <c r="AQ2103">
        <v>46</v>
      </c>
    </row>
    <row r="2104" spans="1:43" x14ac:dyDescent="0.25">
      <c r="A2104" t="s">
        <v>46</v>
      </c>
      <c r="B2104">
        <v>5</v>
      </c>
      <c r="C2104" t="s">
        <v>1186</v>
      </c>
      <c r="D2104" s="39">
        <v>45973</v>
      </c>
      <c r="E2104" t="s">
        <v>1187</v>
      </c>
      <c r="F2104" t="s">
        <v>79</v>
      </c>
      <c r="G2104">
        <v>14</v>
      </c>
      <c r="H2104" t="s">
        <v>102</v>
      </c>
      <c r="I2104" t="s">
        <v>79</v>
      </c>
      <c r="J2104">
        <v>200</v>
      </c>
      <c r="K2104" t="s">
        <v>79</v>
      </c>
      <c r="L2104">
        <v>1</v>
      </c>
      <c r="M2104">
        <v>64.760000000000005</v>
      </c>
      <c r="N2104">
        <v>1.4</v>
      </c>
      <c r="Q2104">
        <v>63.360000000000007</v>
      </c>
      <c r="R2104" t="s">
        <v>1258</v>
      </c>
      <c r="V2104">
        <v>0</v>
      </c>
      <c r="W2104">
        <v>0</v>
      </c>
      <c r="AF2104">
        <v>0</v>
      </c>
      <c r="AG2104">
        <v>0</v>
      </c>
      <c r="AH2104">
        <v>0</v>
      </c>
      <c r="AI2104">
        <v>12</v>
      </c>
      <c r="AJ2104">
        <v>12</v>
      </c>
      <c r="AM2104">
        <v>0</v>
      </c>
      <c r="AN2104">
        <v>68.360000000000014</v>
      </c>
      <c r="AP2104">
        <v>46</v>
      </c>
      <c r="AQ2104">
        <v>46</v>
      </c>
    </row>
    <row r="2105" spans="1:43" x14ac:dyDescent="0.25">
      <c r="A2105" t="s">
        <v>45</v>
      </c>
      <c r="B2105">
        <v>1</v>
      </c>
      <c r="C2105" t="s">
        <v>1120</v>
      </c>
      <c r="D2105" s="39">
        <v>45974</v>
      </c>
      <c r="E2105" t="s">
        <v>663</v>
      </c>
      <c r="F2105" t="s">
        <v>79</v>
      </c>
      <c r="G2105">
        <v>2</v>
      </c>
      <c r="H2105">
        <v>12</v>
      </c>
      <c r="I2105" t="s">
        <v>79</v>
      </c>
      <c r="J2105">
        <v>500</v>
      </c>
      <c r="K2105" t="s">
        <v>79</v>
      </c>
      <c r="L2105">
        <v>12</v>
      </c>
      <c r="M2105">
        <v>143.35999999999999</v>
      </c>
      <c r="N2105">
        <v>2.4000000000000004</v>
      </c>
      <c r="O2105">
        <v>15</v>
      </c>
      <c r="Q2105">
        <v>140.95999999999998</v>
      </c>
      <c r="R2105" t="s">
        <v>1165</v>
      </c>
      <c r="V2105">
        <v>0</v>
      </c>
      <c r="W2105">
        <v>0</v>
      </c>
      <c r="AF2105">
        <v>0</v>
      </c>
      <c r="AG2105">
        <v>0</v>
      </c>
      <c r="AH2105">
        <v>0</v>
      </c>
      <c r="AI2105">
        <v>12</v>
      </c>
      <c r="AJ2105">
        <v>12</v>
      </c>
      <c r="AM2105">
        <v>0</v>
      </c>
      <c r="AN2105">
        <v>145.95999999999998</v>
      </c>
      <c r="AP2105">
        <v>46</v>
      </c>
      <c r="AQ2105">
        <v>46</v>
      </c>
    </row>
    <row r="2106" spans="1:43" x14ac:dyDescent="0.25">
      <c r="A2106" t="s">
        <v>46</v>
      </c>
      <c r="B2106">
        <v>1</v>
      </c>
      <c r="C2106" t="s">
        <v>1120</v>
      </c>
      <c r="D2106" s="39">
        <v>45974</v>
      </c>
      <c r="E2106" t="s">
        <v>663</v>
      </c>
      <c r="F2106" t="s">
        <v>79</v>
      </c>
      <c r="G2106">
        <v>2</v>
      </c>
      <c r="H2106">
        <v>12</v>
      </c>
      <c r="I2106" t="s">
        <v>79</v>
      </c>
      <c r="J2106">
        <v>500</v>
      </c>
      <c r="K2106" t="s">
        <v>79</v>
      </c>
      <c r="L2106">
        <v>12</v>
      </c>
      <c r="M2106">
        <v>134.94</v>
      </c>
      <c r="N2106">
        <v>2.4000000000000004</v>
      </c>
      <c r="O2106">
        <v>15</v>
      </c>
      <c r="Q2106">
        <v>132.54</v>
      </c>
      <c r="R2106" t="s">
        <v>1165</v>
      </c>
      <c r="V2106">
        <v>0</v>
      </c>
      <c r="W2106">
        <v>0</v>
      </c>
      <c r="AF2106">
        <v>0</v>
      </c>
      <c r="AG2106">
        <v>0</v>
      </c>
      <c r="AH2106">
        <v>0</v>
      </c>
      <c r="AI2106">
        <v>12</v>
      </c>
      <c r="AJ2106">
        <v>12</v>
      </c>
      <c r="AM2106">
        <v>0</v>
      </c>
      <c r="AN2106">
        <v>137.54</v>
      </c>
      <c r="AP2106">
        <v>46</v>
      </c>
      <c r="AQ2106">
        <v>46</v>
      </c>
    </row>
    <row r="2107" spans="1:43" x14ac:dyDescent="0.25">
      <c r="A2107" t="s">
        <v>45</v>
      </c>
      <c r="B2107">
        <v>2</v>
      </c>
      <c r="C2107" t="s">
        <v>1176</v>
      </c>
      <c r="D2107" s="39">
        <v>45974</v>
      </c>
      <c r="E2107" t="s">
        <v>1177</v>
      </c>
      <c r="F2107" t="s">
        <v>79</v>
      </c>
      <c r="G2107">
        <v>3.5</v>
      </c>
      <c r="H2107">
        <v>8</v>
      </c>
      <c r="I2107" t="s">
        <v>79</v>
      </c>
      <c r="J2107">
        <v>500</v>
      </c>
      <c r="K2107" t="s">
        <v>79</v>
      </c>
      <c r="L2107">
        <v>13</v>
      </c>
      <c r="M2107">
        <v>180.64000000000001</v>
      </c>
      <c r="N2107">
        <v>4.55</v>
      </c>
      <c r="Q2107">
        <v>176.09</v>
      </c>
      <c r="R2107" t="s">
        <v>1249</v>
      </c>
      <c r="V2107">
        <v>0</v>
      </c>
      <c r="W2107">
        <v>0</v>
      </c>
      <c r="AF2107">
        <v>0</v>
      </c>
      <c r="AG2107">
        <v>0</v>
      </c>
      <c r="AH2107">
        <v>0</v>
      </c>
      <c r="AI2107">
        <v>12</v>
      </c>
      <c r="AJ2107">
        <v>12</v>
      </c>
      <c r="AM2107">
        <v>0</v>
      </c>
      <c r="AN2107">
        <v>181.09</v>
      </c>
      <c r="AP2107">
        <v>46</v>
      </c>
      <c r="AQ2107">
        <v>46</v>
      </c>
    </row>
    <row r="2108" spans="1:43" x14ac:dyDescent="0.25">
      <c r="A2108" t="s">
        <v>46</v>
      </c>
      <c r="B2108">
        <v>2</v>
      </c>
      <c r="C2108" t="s">
        <v>1176</v>
      </c>
      <c r="D2108" s="39">
        <v>45974</v>
      </c>
      <c r="E2108" t="s">
        <v>1177</v>
      </c>
      <c r="F2108" t="s">
        <v>79</v>
      </c>
      <c r="G2108">
        <v>3.5</v>
      </c>
      <c r="H2108">
        <v>8</v>
      </c>
      <c r="I2108" t="s">
        <v>79</v>
      </c>
      <c r="J2108">
        <v>500</v>
      </c>
      <c r="K2108" t="s">
        <v>79</v>
      </c>
      <c r="L2108">
        <v>4</v>
      </c>
      <c r="M2108">
        <v>59.11</v>
      </c>
      <c r="N2108">
        <v>1.4</v>
      </c>
      <c r="Q2108">
        <v>57.71</v>
      </c>
      <c r="R2108" t="s">
        <v>1249</v>
      </c>
      <c r="V2108">
        <v>0</v>
      </c>
      <c r="W2108">
        <v>0</v>
      </c>
      <c r="AF2108">
        <v>0</v>
      </c>
      <c r="AG2108">
        <v>0</v>
      </c>
      <c r="AH2108">
        <v>0</v>
      </c>
      <c r="AI2108">
        <v>12</v>
      </c>
      <c r="AJ2108">
        <v>12</v>
      </c>
      <c r="AM2108">
        <v>0</v>
      </c>
      <c r="AN2108">
        <v>62.71</v>
      </c>
      <c r="AP2108">
        <v>46</v>
      </c>
      <c r="AQ2108">
        <v>46</v>
      </c>
    </row>
    <row r="2109" spans="1:43" x14ac:dyDescent="0.25">
      <c r="A2109" t="s">
        <v>46</v>
      </c>
      <c r="B2109">
        <v>2</v>
      </c>
      <c r="C2109" t="s">
        <v>1188</v>
      </c>
      <c r="D2109" s="39">
        <v>45974</v>
      </c>
      <c r="E2109" t="s">
        <v>401</v>
      </c>
      <c r="F2109" t="s">
        <v>79</v>
      </c>
      <c r="G2109">
        <v>3.5</v>
      </c>
      <c r="H2109" t="s">
        <v>1049</v>
      </c>
      <c r="I2109" t="s">
        <v>79</v>
      </c>
      <c r="J2109">
        <v>250</v>
      </c>
      <c r="K2109" t="s">
        <v>79</v>
      </c>
      <c r="L2109">
        <v>7</v>
      </c>
      <c r="M2109">
        <v>94.820000000000007</v>
      </c>
      <c r="N2109">
        <v>2.4499999999999997</v>
      </c>
      <c r="Q2109">
        <v>92.37</v>
      </c>
      <c r="R2109" t="s">
        <v>1259</v>
      </c>
      <c r="V2109">
        <v>0</v>
      </c>
      <c r="W2109">
        <v>0</v>
      </c>
      <c r="AF2109">
        <v>0</v>
      </c>
      <c r="AG2109">
        <v>0</v>
      </c>
      <c r="AH2109">
        <v>0</v>
      </c>
      <c r="AI2109">
        <v>12</v>
      </c>
      <c r="AJ2109">
        <v>12</v>
      </c>
      <c r="AM2109">
        <v>0</v>
      </c>
      <c r="AN2109">
        <v>97.37</v>
      </c>
      <c r="AP2109">
        <v>46</v>
      </c>
      <c r="AQ2109">
        <v>46</v>
      </c>
    </row>
    <row r="2110" spans="1:43" x14ac:dyDescent="0.25">
      <c r="A2110" t="s">
        <v>45</v>
      </c>
      <c r="B2110">
        <v>3</v>
      </c>
      <c r="C2110" t="s">
        <v>1157</v>
      </c>
      <c r="D2110" s="39">
        <v>45974</v>
      </c>
      <c r="E2110" t="s">
        <v>486</v>
      </c>
      <c r="F2110" t="s">
        <v>79</v>
      </c>
      <c r="G2110">
        <v>7</v>
      </c>
      <c r="H2110">
        <v>5</v>
      </c>
      <c r="I2110" t="s">
        <v>79</v>
      </c>
      <c r="J2110">
        <v>1500</v>
      </c>
      <c r="K2110" t="s">
        <v>79</v>
      </c>
      <c r="L2110">
        <v>8</v>
      </c>
      <c r="M2110">
        <v>259.82</v>
      </c>
      <c r="N2110">
        <v>7.2</v>
      </c>
      <c r="Q2110">
        <v>252.62</v>
      </c>
      <c r="R2110" t="s">
        <v>1235</v>
      </c>
      <c r="S2110">
        <v>20</v>
      </c>
      <c r="V2110">
        <v>20</v>
      </c>
      <c r="W2110">
        <v>0.33333333333333331</v>
      </c>
      <c r="AF2110">
        <v>0</v>
      </c>
      <c r="AG2110">
        <v>0</v>
      </c>
      <c r="AH2110">
        <v>0.33333333333333331</v>
      </c>
      <c r="AI2110">
        <v>11.666666666666666</v>
      </c>
      <c r="AJ2110">
        <v>12</v>
      </c>
      <c r="AM2110">
        <v>0</v>
      </c>
      <c r="AN2110">
        <v>257.62</v>
      </c>
      <c r="AP2110">
        <v>46</v>
      </c>
      <c r="AQ2110">
        <v>46</v>
      </c>
    </row>
    <row r="2111" spans="1:43" x14ac:dyDescent="0.25">
      <c r="A2111" t="s">
        <v>45</v>
      </c>
      <c r="B2111">
        <v>3</v>
      </c>
      <c r="C2111" t="s">
        <v>1189</v>
      </c>
      <c r="D2111" s="39">
        <v>45974</v>
      </c>
      <c r="E2111" t="s">
        <v>1048</v>
      </c>
      <c r="F2111" t="s">
        <v>79</v>
      </c>
      <c r="G2111">
        <v>10</v>
      </c>
      <c r="H2111" t="s">
        <v>859</v>
      </c>
      <c r="I2111" t="s">
        <v>79</v>
      </c>
      <c r="J2111">
        <v>50</v>
      </c>
      <c r="K2111" t="s">
        <v>79</v>
      </c>
      <c r="L2111">
        <v>1</v>
      </c>
      <c r="M2111">
        <v>25.76</v>
      </c>
      <c r="N2111">
        <v>1</v>
      </c>
      <c r="Q2111">
        <v>24.76</v>
      </c>
      <c r="R2111" t="s">
        <v>1260</v>
      </c>
      <c r="V2111">
        <v>0</v>
      </c>
      <c r="W2111">
        <v>0</v>
      </c>
      <c r="AF2111">
        <v>0</v>
      </c>
      <c r="AG2111">
        <v>0</v>
      </c>
      <c r="AH2111">
        <v>0</v>
      </c>
      <c r="AI2111">
        <v>12</v>
      </c>
      <c r="AJ2111">
        <v>12</v>
      </c>
      <c r="AM2111">
        <v>0</v>
      </c>
      <c r="AN2111">
        <v>29.76</v>
      </c>
      <c r="AP2111">
        <v>46</v>
      </c>
      <c r="AQ2111">
        <v>46</v>
      </c>
    </row>
    <row r="2112" spans="1:43" x14ac:dyDescent="0.25">
      <c r="A2112" t="s">
        <v>46</v>
      </c>
      <c r="B2112">
        <v>3</v>
      </c>
      <c r="C2112" t="s">
        <v>1189</v>
      </c>
      <c r="D2112" s="39">
        <v>45974</v>
      </c>
      <c r="E2112" t="s">
        <v>1048</v>
      </c>
      <c r="F2112" t="s">
        <v>79</v>
      </c>
      <c r="G2112">
        <v>10</v>
      </c>
      <c r="H2112" t="s">
        <v>859</v>
      </c>
      <c r="I2112" t="s">
        <v>79</v>
      </c>
      <c r="J2112">
        <v>50</v>
      </c>
      <c r="K2112" t="s">
        <v>79</v>
      </c>
      <c r="L2112">
        <v>2</v>
      </c>
      <c r="M2112">
        <v>85.64</v>
      </c>
      <c r="N2112">
        <v>2</v>
      </c>
      <c r="Q2112">
        <v>83.64</v>
      </c>
      <c r="R2112" t="s">
        <v>1260</v>
      </c>
      <c r="V2112">
        <v>0</v>
      </c>
      <c r="W2112">
        <v>0</v>
      </c>
      <c r="AF2112">
        <v>0</v>
      </c>
      <c r="AG2112">
        <v>0</v>
      </c>
      <c r="AH2112">
        <v>0</v>
      </c>
      <c r="AI2112">
        <v>12</v>
      </c>
      <c r="AJ2112">
        <v>12</v>
      </c>
      <c r="AM2112">
        <v>0</v>
      </c>
      <c r="AN2112">
        <v>88.64</v>
      </c>
      <c r="AP2112">
        <v>46</v>
      </c>
      <c r="AQ2112">
        <v>46</v>
      </c>
    </row>
    <row r="2113" spans="1:43" x14ac:dyDescent="0.25">
      <c r="A2113" t="s">
        <v>46</v>
      </c>
      <c r="B2113">
        <v>3</v>
      </c>
      <c r="C2113" t="s">
        <v>1190</v>
      </c>
      <c r="D2113" s="39">
        <v>45974</v>
      </c>
      <c r="E2113" t="s">
        <v>477</v>
      </c>
      <c r="F2113" t="s">
        <v>79</v>
      </c>
      <c r="G2113">
        <v>10</v>
      </c>
      <c r="H2113" t="s">
        <v>1049</v>
      </c>
      <c r="I2113" t="s">
        <v>79</v>
      </c>
      <c r="J2113">
        <v>100</v>
      </c>
      <c r="K2113" t="s">
        <v>79</v>
      </c>
      <c r="L2113">
        <v>4</v>
      </c>
      <c r="M2113">
        <v>202.45</v>
      </c>
      <c r="N2113">
        <v>4</v>
      </c>
      <c r="Q2113">
        <v>198.45</v>
      </c>
      <c r="R2113" t="s">
        <v>1261</v>
      </c>
      <c r="V2113">
        <v>0</v>
      </c>
      <c r="W2113">
        <v>0</v>
      </c>
      <c r="AF2113">
        <v>0</v>
      </c>
      <c r="AG2113">
        <v>0</v>
      </c>
      <c r="AH2113">
        <v>0</v>
      </c>
      <c r="AI2113">
        <v>12</v>
      </c>
      <c r="AJ2113">
        <v>12</v>
      </c>
      <c r="AM2113">
        <v>0</v>
      </c>
      <c r="AN2113">
        <v>203.45</v>
      </c>
      <c r="AP2113">
        <v>46</v>
      </c>
      <c r="AQ2113">
        <v>46</v>
      </c>
    </row>
    <row r="2114" spans="1:43" x14ac:dyDescent="0.25">
      <c r="A2114" t="s">
        <v>46</v>
      </c>
      <c r="B2114">
        <v>3</v>
      </c>
      <c r="C2114" t="s">
        <v>1191</v>
      </c>
      <c r="D2114" s="39">
        <v>45974</v>
      </c>
      <c r="E2114" t="s">
        <v>486</v>
      </c>
      <c r="F2114" t="s">
        <v>79</v>
      </c>
      <c r="G2114">
        <v>10</v>
      </c>
      <c r="H2114">
        <v>5</v>
      </c>
      <c r="I2114" t="s">
        <v>79</v>
      </c>
      <c r="J2114">
        <v>1500</v>
      </c>
      <c r="K2114" t="s">
        <v>79</v>
      </c>
      <c r="L2114">
        <v>1</v>
      </c>
      <c r="M2114">
        <v>52.82</v>
      </c>
      <c r="N2114">
        <v>1</v>
      </c>
      <c r="Q2114">
        <v>51.82</v>
      </c>
      <c r="R2114" t="s">
        <v>1262</v>
      </c>
      <c r="V2114">
        <v>0</v>
      </c>
      <c r="W2114">
        <v>0</v>
      </c>
      <c r="AF2114">
        <v>0</v>
      </c>
      <c r="AG2114">
        <v>0</v>
      </c>
      <c r="AH2114">
        <v>0</v>
      </c>
      <c r="AI2114">
        <v>12</v>
      </c>
      <c r="AJ2114">
        <v>12</v>
      </c>
      <c r="AM2114">
        <v>0</v>
      </c>
      <c r="AN2114">
        <v>56.82</v>
      </c>
      <c r="AP2114">
        <v>46</v>
      </c>
      <c r="AQ2114">
        <v>46</v>
      </c>
    </row>
    <row r="2115" spans="1:43" x14ac:dyDescent="0.25">
      <c r="A2115" t="s">
        <v>45</v>
      </c>
      <c r="B2115">
        <v>4</v>
      </c>
      <c r="C2115" t="s">
        <v>1183</v>
      </c>
      <c r="D2115" s="39">
        <v>45974</v>
      </c>
      <c r="E2115" t="s">
        <v>486</v>
      </c>
      <c r="F2115" t="s">
        <v>79</v>
      </c>
      <c r="G2115">
        <v>24</v>
      </c>
      <c r="H2115">
        <v>5</v>
      </c>
      <c r="I2115" t="s">
        <v>79</v>
      </c>
      <c r="J2115">
        <v>1000</v>
      </c>
      <c r="K2115" t="s">
        <v>79</v>
      </c>
      <c r="L2115">
        <v>11</v>
      </c>
      <c r="M2115">
        <v>760.63000000000011</v>
      </c>
      <c r="N2115">
        <v>34.1</v>
      </c>
      <c r="Q2115">
        <v>726.53000000000009</v>
      </c>
      <c r="R2115" t="s">
        <v>1255</v>
      </c>
      <c r="V2115">
        <v>0</v>
      </c>
      <c r="W2115">
        <v>0</v>
      </c>
      <c r="AF2115">
        <v>0</v>
      </c>
      <c r="AG2115">
        <v>0</v>
      </c>
      <c r="AH2115">
        <v>0</v>
      </c>
      <c r="AI2115">
        <v>12</v>
      </c>
      <c r="AJ2115">
        <v>12</v>
      </c>
      <c r="AM2115">
        <v>0</v>
      </c>
      <c r="AN2115">
        <v>731.5300000000002</v>
      </c>
      <c r="AP2115">
        <v>46</v>
      </c>
      <c r="AQ2115">
        <v>46</v>
      </c>
    </row>
    <row r="2116" spans="1:43" x14ac:dyDescent="0.25">
      <c r="A2116" t="s">
        <v>46</v>
      </c>
      <c r="B2116">
        <v>4</v>
      </c>
      <c r="C2116" t="s">
        <v>1183</v>
      </c>
      <c r="D2116" s="39">
        <v>45974</v>
      </c>
      <c r="E2116" t="s">
        <v>486</v>
      </c>
      <c r="F2116" t="s">
        <v>79</v>
      </c>
      <c r="G2116">
        <v>24</v>
      </c>
      <c r="H2116">
        <v>5</v>
      </c>
      <c r="I2116" t="s">
        <v>79</v>
      </c>
      <c r="J2116">
        <v>1000</v>
      </c>
      <c r="K2116" t="s">
        <v>79</v>
      </c>
      <c r="L2116">
        <v>3</v>
      </c>
      <c r="M2116">
        <v>203.24</v>
      </c>
      <c r="N2116">
        <v>9.3000000000000007</v>
      </c>
      <c r="Q2116">
        <v>193.94</v>
      </c>
      <c r="R2116" t="s">
        <v>1255</v>
      </c>
      <c r="S2116">
        <v>30</v>
      </c>
      <c r="V2116">
        <v>30</v>
      </c>
      <c r="W2116">
        <v>0.5</v>
      </c>
      <c r="AF2116">
        <v>0</v>
      </c>
      <c r="AG2116">
        <v>0</v>
      </c>
      <c r="AH2116">
        <v>0.5</v>
      </c>
      <c r="AI2116">
        <v>11.5</v>
      </c>
      <c r="AJ2116">
        <v>12</v>
      </c>
      <c r="AM2116">
        <v>0</v>
      </c>
      <c r="AN2116">
        <v>198.94</v>
      </c>
      <c r="AP2116">
        <v>46</v>
      </c>
      <c r="AQ2116">
        <v>46</v>
      </c>
    </row>
    <row r="2117" spans="1:43" x14ac:dyDescent="0.25">
      <c r="A2117" t="s">
        <v>46</v>
      </c>
      <c r="B2117">
        <v>4</v>
      </c>
      <c r="C2117" t="s">
        <v>1192</v>
      </c>
      <c r="D2117" s="39">
        <v>45974</v>
      </c>
      <c r="E2117" t="s">
        <v>401</v>
      </c>
      <c r="F2117" t="s">
        <v>79</v>
      </c>
      <c r="G2117">
        <v>24</v>
      </c>
      <c r="H2117" t="s">
        <v>1049</v>
      </c>
      <c r="I2117" t="s">
        <v>79</v>
      </c>
      <c r="J2117">
        <v>100</v>
      </c>
      <c r="K2117" t="s">
        <v>79</v>
      </c>
      <c r="L2117">
        <v>2</v>
      </c>
      <c r="M2117">
        <v>110.24000000000001</v>
      </c>
      <c r="N2117">
        <v>6.2</v>
      </c>
      <c r="Q2117">
        <v>104.04</v>
      </c>
      <c r="R2117" t="s">
        <v>1263</v>
      </c>
      <c r="V2117">
        <v>0</v>
      </c>
      <c r="W2117">
        <v>0</v>
      </c>
      <c r="AF2117">
        <v>0</v>
      </c>
      <c r="AG2117">
        <v>0</v>
      </c>
      <c r="AH2117">
        <v>0</v>
      </c>
      <c r="AI2117">
        <v>12</v>
      </c>
      <c r="AJ2117">
        <v>12</v>
      </c>
      <c r="AM2117">
        <v>0</v>
      </c>
      <c r="AN2117">
        <v>109.04</v>
      </c>
      <c r="AP2117">
        <v>46</v>
      </c>
      <c r="AQ2117">
        <v>46</v>
      </c>
    </row>
    <row r="2118" spans="1:43" x14ac:dyDescent="0.25">
      <c r="A2118" t="s">
        <v>46</v>
      </c>
      <c r="B2118">
        <v>4</v>
      </c>
      <c r="C2118" t="s">
        <v>1193</v>
      </c>
      <c r="D2118" s="39">
        <v>45974</v>
      </c>
      <c r="E2118" t="s">
        <v>253</v>
      </c>
      <c r="F2118" t="s">
        <v>79</v>
      </c>
      <c r="G2118">
        <v>14</v>
      </c>
      <c r="H2118" t="s">
        <v>116</v>
      </c>
      <c r="I2118" t="s">
        <v>79</v>
      </c>
      <c r="J2118">
        <v>1000</v>
      </c>
      <c r="K2118" t="s">
        <v>79</v>
      </c>
      <c r="L2118">
        <v>11</v>
      </c>
      <c r="M2118">
        <v>551.69999999999993</v>
      </c>
      <c r="N2118">
        <v>18.7</v>
      </c>
      <c r="Q2118">
        <v>532.99999999999989</v>
      </c>
      <c r="R2118" t="s">
        <v>1264</v>
      </c>
      <c r="V2118">
        <v>0</v>
      </c>
      <c r="W2118">
        <v>0</v>
      </c>
      <c r="AF2118">
        <v>0</v>
      </c>
      <c r="AG2118">
        <v>0</v>
      </c>
      <c r="AH2118">
        <v>0</v>
      </c>
      <c r="AI2118">
        <v>12</v>
      </c>
      <c r="AJ2118">
        <v>12</v>
      </c>
      <c r="AM2118">
        <v>0</v>
      </c>
      <c r="AN2118">
        <v>537.99999999999989</v>
      </c>
      <c r="AP2118">
        <v>46</v>
      </c>
      <c r="AQ2118">
        <v>46</v>
      </c>
    </row>
    <row r="2119" spans="1:43" x14ac:dyDescent="0.25">
      <c r="A2119" t="s">
        <v>45</v>
      </c>
      <c r="B2119">
        <v>5</v>
      </c>
      <c r="C2119" t="s">
        <v>1186</v>
      </c>
      <c r="D2119" s="39">
        <v>45974</v>
      </c>
      <c r="E2119" t="s">
        <v>1187</v>
      </c>
      <c r="F2119" t="s">
        <v>79</v>
      </c>
      <c r="G2119">
        <v>14</v>
      </c>
      <c r="H2119" t="s">
        <v>102</v>
      </c>
      <c r="I2119" t="s">
        <v>79</v>
      </c>
      <c r="J2119">
        <v>200</v>
      </c>
      <c r="K2119" t="s">
        <v>79</v>
      </c>
      <c r="L2119">
        <v>3</v>
      </c>
      <c r="M2119">
        <v>148.37</v>
      </c>
      <c r="N2119">
        <v>4.1999999999999993</v>
      </c>
      <c r="Q2119">
        <v>144.17000000000002</v>
      </c>
      <c r="R2119" t="s">
        <v>1258</v>
      </c>
      <c r="S2119">
        <v>20</v>
      </c>
      <c r="V2119">
        <v>20</v>
      </c>
      <c r="W2119">
        <v>0.33333333333333331</v>
      </c>
      <c r="AF2119">
        <v>0</v>
      </c>
      <c r="AG2119">
        <v>0</v>
      </c>
      <c r="AH2119">
        <v>0.33333333333333331</v>
      </c>
      <c r="AI2119">
        <v>11.666666666666666</v>
      </c>
      <c r="AJ2119">
        <v>12</v>
      </c>
      <c r="AM2119">
        <v>0</v>
      </c>
      <c r="AN2119">
        <v>149.17000000000002</v>
      </c>
      <c r="AP2119">
        <v>46</v>
      </c>
      <c r="AQ2119">
        <v>46</v>
      </c>
    </row>
    <row r="2120" spans="1:43" x14ac:dyDescent="0.25">
      <c r="A2120" t="s">
        <v>45</v>
      </c>
      <c r="B2120">
        <v>5</v>
      </c>
      <c r="C2120" t="s">
        <v>1194</v>
      </c>
      <c r="D2120" s="39">
        <v>45974</v>
      </c>
      <c r="E2120" t="s">
        <v>639</v>
      </c>
      <c r="F2120" t="s">
        <v>79</v>
      </c>
      <c r="G2120">
        <v>11</v>
      </c>
      <c r="H2120">
        <v>7</v>
      </c>
      <c r="I2120" t="s">
        <v>79</v>
      </c>
      <c r="J2120">
        <v>100</v>
      </c>
      <c r="K2120" t="s">
        <v>79</v>
      </c>
      <c r="L2120">
        <v>6</v>
      </c>
      <c r="M2120">
        <v>320.95</v>
      </c>
      <c r="N2120">
        <v>6.6000000000000005</v>
      </c>
      <c r="Q2120">
        <v>314.34999999999997</v>
      </c>
      <c r="R2120" t="s">
        <v>1265</v>
      </c>
      <c r="V2120">
        <v>0</v>
      </c>
      <c r="W2120">
        <v>0</v>
      </c>
      <c r="AF2120">
        <v>0</v>
      </c>
      <c r="AG2120">
        <v>0</v>
      </c>
      <c r="AH2120">
        <v>0</v>
      </c>
      <c r="AI2120">
        <v>12</v>
      </c>
      <c r="AJ2120">
        <v>12</v>
      </c>
      <c r="AM2120">
        <v>0</v>
      </c>
      <c r="AN2120">
        <v>319.34999999999997</v>
      </c>
      <c r="AP2120">
        <v>46</v>
      </c>
      <c r="AQ2120">
        <v>46</v>
      </c>
    </row>
    <row r="2121" spans="1:43" x14ac:dyDescent="0.25">
      <c r="A2121" t="s">
        <v>45</v>
      </c>
      <c r="B2121">
        <v>5</v>
      </c>
      <c r="C2121" t="s">
        <v>1195</v>
      </c>
      <c r="D2121" s="39">
        <v>45974</v>
      </c>
      <c r="E2121" t="s">
        <v>1048</v>
      </c>
      <c r="F2121" t="s">
        <v>79</v>
      </c>
      <c r="G2121">
        <v>14</v>
      </c>
      <c r="H2121" t="s">
        <v>859</v>
      </c>
      <c r="I2121" t="s">
        <v>79</v>
      </c>
      <c r="J2121">
        <v>50</v>
      </c>
      <c r="K2121" t="s">
        <v>79</v>
      </c>
      <c r="L2121">
        <v>1</v>
      </c>
      <c r="M2121">
        <v>51.66</v>
      </c>
      <c r="N2121">
        <v>1.4</v>
      </c>
      <c r="Q2121">
        <v>50.26</v>
      </c>
      <c r="R2121" t="s">
        <v>1266</v>
      </c>
      <c r="V2121">
        <v>0</v>
      </c>
      <c r="W2121">
        <v>0</v>
      </c>
      <c r="AF2121">
        <v>0</v>
      </c>
      <c r="AG2121">
        <v>0</v>
      </c>
      <c r="AH2121">
        <v>0</v>
      </c>
      <c r="AI2121">
        <v>12</v>
      </c>
      <c r="AJ2121">
        <v>12</v>
      </c>
      <c r="AM2121">
        <v>0</v>
      </c>
      <c r="AN2121">
        <v>55.26</v>
      </c>
      <c r="AP2121">
        <v>46</v>
      </c>
      <c r="AQ2121">
        <v>46</v>
      </c>
    </row>
    <row r="2122" spans="1:43" x14ac:dyDescent="0.25">
      <c r="A2122" t="s">
        <v>46</v>
      </c>
      <c r="B2122">
        <v>5</v>
      </c>
      <c r="C2122" t="s">
        <v>1194</v>
      </c>
      <c r="D2122" s="39">
        <v>45974</v>
      </c>
      <c r="E2122" t="s">
        <v>639</v>
      </c>
      <c r="F2122" t="s">
        <v>79</v>
      </c>
      <c r="G2122">
        <v>11</v>
      </c>
      <c r="H2122">
        <v>7</v>
      </c>
      <c r="I2122" t="s">
        <v>79</v>
      </c>
      <c r="J2122">
        <v>100</v>
      </c>
      <c r="K2122" t="s">
        <v>79</v>
      </c>
      <c r="L2122">
        <v>8</v>
      </c>
      <c r="M2122">
        <v>409.88</v>
      </c>
      <c r="N2122">
        <v>10.4</v>
      </c>
      <c r="Q2122">
        <v>399.48</v>
      </c>
      <c r="R2122" t="s">
        <v>1265</v>
      </c>
      <c r="V2122">
        <v>0</v>
      </c>
      <c r="W2122">
        <v>0</v>
      </c>
      <c r="AF2122">
        <v>0</v>
      </c>
      <c r="AG2122">
        <v>0</v>
      </c>
      <c r="AH2122">
        <v>0</v>
      </c>
      <c r="AI2122">
        <v>12</v>
      </c>
      <c r="AJ2122">
        <v>12</v>
      </c>
      <c r="AM2122">
        <v>0</v>
      </c>
      <c r="AN2122">
        <v>404.48</v>
      </c>
      <c r="AP2122">
        <v>46</v>
      </c>
      <c r="AQ2122">
        <v>46</v>
      </c>
    </row>
    <row r="2123" spans="1:43" x14ac:dyDescent="0.25">
      <c r="A2123" t="s">
        <v>46</v>
      </c>
      <c r="B2123">
        <v>5</v>
      </c>
      <c r="C2123" t="s">
        <v>1196</v>
      </c>
      <c r="D2123" s="39">
        <v>45974</v>
      </c>
      <c r="E2123" t="s">
        <v>200</v>
      </c>
      <c r="F2123" t="s">
        <v>79</v>
      </c>
      <c r="G2123">
        <v>11</v>
      </c>
      <c r="H2123" t="s">
        <v>578</v>
      </c>
      <c r="I2123" t="s">
        <v>79</v>
      </c>
      <c r="J2123">
        <v>200</v>
      </c>
      <c r="K2123" t="s">
        <v>79</v>
      </c>
      <c r="L2123">
        <v>2</v>
      </c>
      <c r="M2123">
        <v>87.19</v>
      </c>
      <c r="N2123">
        <v>2.2000000000000002</v>
      </c>
      <c r="Q2123">
        <v>84.99</v>
      </c>
      <c r="R2123" t="s">
        <v>1267</v>
      </c>
      <c r="V2123">
        <v>0</v>
      </c>
      <c r="W2123">
        <v>0</v>
      </c>
      <c r="AF2123">
        <v>0</v>
      </c>
      <c r="AG2123">
        <v>0</v>
      </c>
      <c r="AH2123">
        <v>0</v>
      </c>
      <c r="AI2123">
        <v>12</v>
      </c>
      <c r="AJ2123">
        <v>12</v>
      </c>
      <c r="AM2123">
        <v>0</v>
      </c>
      <c r="AN2123">
        <v>89.99</v>
      </c>
      <c r="AP2123">
        <v>46</v>
      </c>
      <c r="AQ2123">
        <v>46</v>
      </c>
    </row>
    <row r="2124" spans="1:43" x14ac:dyDescent="0.25">
      <c r="A2124" t="s">
        <v>45</v>
      </c>
      <c r="B2124">
        <v>1</v>
      </c>
      <c r="C2124" t="s">
        <v>1120</v>
      </c>
      <c r="D2124" s="39">
        <v>45975</v>
      </c>
      <c r="E2124" t="s">
        <v>663</v>
      </c>
      <c r="F2124" t="s">
        <v>79</v>
      </c>
      <c r="G2124">
        <v>2</v>
      </c>
      <c r="H2124">
        <v>12</v>
      </c>
      <c r="I2124" t="s">
        <v>79</v>
      </c>
      <c r="J2124">
        <v>500</v>
      </c>
      <c r="K2124" t="s">
        <v>79</v>
      </c>
      <c r="L2124">
        <v>6</v>
      </c>
      <c r="M2124">
        <v>60.239999999999995</v>
      </c>
      <c r="N2124">
        <v>1.2000000000000002</v>
      </c>
      <c r="Q2124">
        <v>59.039999999999992</v>
      </c>
      <c r="R2124" t="s">
        <v>1165</v>
      </c>
      <c r="S2124">
        <v>10</v>
      </c>
      <c r="V2124">
        <v>10</v>
      </c>
      <c r="W2124">
        <v>0.16666666666666666</v>
      </c>
      <c r="AF2124">
        <v>0</v>
      </c>
      <c r="AG2124">
        <v>0</v>
      </c>
      <c r="AH2124">
        <v>0.16666666666666666</v>
      </c>
      <c r="AI2124">
        <v>11.833333333333334</v>
      </c>
      <c r="AJ2124">
        <v>12</v>
      </c>
      <c r="AM2124">
        <v>0</v>
      </c>
      <c r="AN2124">
        <v>64.039999999999992</v>
      </c>
      <c r="AP2124">
        <v>46</v>
      </c>
      <c r="AQ2124">
        <v>46</v>
      </c>
    </row>
    <row r="2125" spans="1:43" x14ac:dyDescent="0.25">
      <c r="A2125" t="s">
        <v>45</v>
      </c>
      <c r="B2125">
        <v>1</v>
      </c>
      <c r="C2125" t="s">
        <v>1197</v>
      </c>
      <c r="D2125" s="39">
        <v>45975</v>
      </c>
      <c r="E2125" t="s">
        <v>486</v>
      </c>
      <c r="F2125" t="s">
        <v>79</v>
      </c>
      <c r="G2125">
        <v>2.5</v>
      </c>
      <c r="H2125" t="s">
        <v>92</v>
      </c>
      <c r="I2125" t="s">
        <v>79</v>
      </c>
      <c r="J2125">
        <v>1000</v>
      </c>
      <c r="K2125" t="s">
        <v>79</v>
      </c>
      <c r="L2125">
        <v>5</v>
      </c>
      <c r="M2125">
        <v>71.52</v>
      </c>
      <c r="N2125">
        <v>1.25</v>
      </c>
      <c r="O2125">
        <v>57</v>
      </c>
      <c r="Q2125">
        <v>70.27</v>
      </c>
      <c r="R2125" t="s">
        <v>1268</v>
      </c>
      <c r="V2125">
        <v>0</v>
      </c>
      <c r="W2125">
        <v>0</v>
      </c>
      <c r="AF2125">
        <v>0</v>
      </c>
      <c r="AG2125">
        <v>0</v>
      </c>
      <c r="AH2125">
        <v>0</v>
      </c>
      <c r="AI2125">
        <v>12</v>
      </c>
      <c r="AJ2125">
        <v>12</v>
      </c>
      <c r="AM2125">
        <v>0</v>
      </c>
      <c r="AN2125">
        <v>75.27</v>
      </c>
      <c r="AP2125">
        <v>46</v>
      </c>
      <c r="AQ2125">
        <v>46</v>
      </c>
    </row>
    <row r="2126" spans="1:43" x14ac:dyDescent="0.25">
      <c r="A2126" t="s">
        <v>46</v>
      </c>
      <c r="B2126">
        <v>1</v>
      </c>
      <c r="C2126" t="s">
        <v>1197</v>
      </c>
      <c r="D2126" s="39">
        <v>45975</v>
      </c>
      <c r="E2126" t="s">
        <v>486</v>
      </c>
      <c r="F2126" t="s">
        <v>79</v>
      </c>
      <c r="G2126">
        <v>2.5</v>
      </c>
      <c r="H2126" t="s">
        <v>92</v>
      </c>
      <c r="I2126" t="s">
        <v>79</v>
      </c>
      <c r="J2126">
        <v>1000</v>
      </c>
      <c r="K2126" t="s">
        <v>79</v>
      </c>
      <c r="L2126">
        <v>10</v>
      </c>
      <c r="M2126">
        <v>130.36000000000001</v>
      </c>
      <c r="N2126">
        <v>2.5</v>
      </c>
      <c r="O2126">
        <v>58</v>
      </c>
      <c r="Q2126">
        <v>127.86000000000001</v>
      </c>
      <c r="R2126" t="s">
        <v>1268</v>
      </c>
      <c r="V2126">
        <v>0</v>
      </c>
      <c r="W2126">
        <v>0</v>
      </c>
      <c r="AF2126">
        <v>0</v>
      </c>
      <c r="AG2126">
        <v>0</v>
      </c>
      <c r="AH2126">
        <v>0</v>
      </c>
      <c r="AI2126">
        <v>12</v>
      </c>
      <c r="AJ2126">
        <v>12</v>
      </c>
      <c r="AM2126">
        <v>0</v>
      </c>
      <c r="AN2126">
        <v>132.86000000000001</v>
      </c>
      <c r="AP2126">
        <v>46</v>
      </c>
      <c r="AQ2126">
        <v>46</v>
      </c>
    </row>
    <row r="2127" spans="1:43" x14ac:dyDescent="0.25">
      <c r="A2127" t="s">
        <v>45</v>
      </c>
      <c r="B2127">
        <v>2</v>
      </c>
      <c r="C2127" t="s">
        <v>1188</v>
      </c>
      <c r="D2127" s="39">
        <v>45975</v>
      </c>
      <c r="E2127" t="s">
        <v>401</v>
      </c>
      <c r="F2127" t="s">
        <v>79</v>
      </c>
      <c r="G2127">
        <v>3.5</v>
      </c>
      <c r="H2127" t="s">
        <v>1049</v>
      </c>
      <c r="I2127" t="s">
        <v>79</v>
      </c>
      <c r="J2127">
        <v>250</v>
      </c>
      <c r="K2127" t="s">
        <v>79</v>
      </c>
      <c r="L2127">
        <v>10</v>
      </c>
      <c r="M2127">
        <v>135.49</v>
      </c>
      <c r="N2127">
        <v>3.5</v>
      </c>
      <c r="Q2127">
        <v>131.99</v>
      </c>
      <c r="R2127" t="s">
        <v>1259</v>
      </c>
      <c r="V2127">
        <v>0</v>
      </c>
      <c r="W2127">
        <v>0</v>
      </c>
      <c r="AF2127">
        <v>0</v>
      </c>
      <c r="AG2127">
        <v>0</v>
      </c>
      <c r="AH2127">
        <v>0</v>
      </c>
      <c r="AI2127">
        <v>12</v>
      </c>
      <c r="AJ2127">
        <v>12</v>
      </c>
      <c r="AM2127">
        <v>0</v>
      </c>
      <c r="AN2127">
        <v>136.99</v>
      </c>
      <c r="AP2127">
        <v>46</v>
      </c>
      <c r="AQ2127">
        <v>46</v>
      </c>
    </row>
    <row r="2128" spans="1:43" x14ac:dyDescent="0.25">
      <c r="A2128" t="s">
        <v>46</v>
      </c>
      <c r="B2128">
        <v>2</v>
      </c>
      <c r="C2128" t="s">
        <v>1188</v>
      </c>
      <c r="D2128" s="39">
        <v>45975</v>
      </c>
      <c r="E2128" t="s">
        <v>401</v>
      </c>
      <c r="F2128" t="s">
        <v>79</v>
      </c>
      <c r="G2128">
        <v>3.5</v>
      </c>
      <c r="H2128" t="s">
        <v>1049</v>
      </c>
      <c r="I2128" t="s">
        <v>79</v>
      </c>
      <c r="J2128">
        <v>250</v>
      </c>
      <c r="K2128" t="s">
        <v>79</v>
      </c>
      <c r="L2128">
        <v>4</v>
      </c>
      <c r="M2128">
        <v>54.58</v>
      </c>
      <c r="N2128">
        <v>1.4</v>
      </c>
      <c r="Q2128">
        <v>53.18</v>
      </c>
      <c r="R2128" t="s">
        <v>1259</v>
      </c>
      <c r="V2128">
        <v>0</v>
      </c>
      <c r="W2128">
        <v>0</v>
      </c>
      <c r="AF2128">
        <v>0</v>
      </c>
      <c r="AG2128">
        <v>0</v>
      </c>
      <c r="AH2128">
        <v>0</v>
      </c>
      <c r="AI2128">
        <v>12</v>
      </c>
      <c r="AJ2128">
        <v>12</v>
      </c>
      <c r="AM2128">
        <v>0</v>
      </c>
      <c r="AN2128">
        <v>58.18</v>
      </c>
      <c r="AP2128">
        <v>46</v>
      </c>
      <c r="AQ2128">
        <v>46</v>
      </c>
    </row>
    <row r="2129" spans="1:43" x14ac:dyDescent="0.25">
      <c r="A2129" t="s">
        <v>46</v>
      </c>
      <c r="B2129">
        <v>2</v>
      </c>
      <c r="C2129" t="s">
        <v>1198</v>
      </c>
      <c r="D2129" s="39">
        <v>45975</v>
      </c>
      <c r="E2129" t="s">
        <v>477</v>
      </c>
      <c r="F2129" t="s">
        <v>79</v>
      </c>
      <c r="G2129">
        <v>4</v>
      </c>
      <c r="H2129" t="s">
        <v>1049</v>
      </c>
      <c r="I2129" t="s">
        <v>79</v>
      </c>
      <c r="J2129">
        <v>100</v>
      </c>
      <c r="K2129" t="s">
        <v>79</v>
      </c>
      <c r="L2129">
        <v>5</v>
      </c>
      <c r="M2129">
        <v>85.58</v>
      </c>
      <c r="N2129">
        <v>2</v>
      </c>
      <c r="Q2129">
        <v>83.58</v>
      </c>
      <c r="R2129" t="s">
        <v>1436</v>
      </c>
      <c r="V2129">
        <v>0</v>
      </c>
      <c r="W2129">
        <v>0</v>
      </c>
      <c r="AF2129">
        <v>0</v>
      </c>
      <c r="AG2129">
        <v>0</v>
      </c>
      <c r="AH2129">
        <v>0</v>
      </c>
      <c r="AI2129">
        <v>12</v>
      </c>
      <c r="AJ2129">
        <v>12</v>
      </c>
      <c r="AM2129">
        <v>0</v>
      </c>
      <c r="AN2129">
        <v>88.58</v>
      </c>
      <c r="AP2129">
        <v>46</v>
      </c>
      <c r="AQ2129">
        <v>46</v>
      </c>
    </row>
    <row r="2130" spans="1:43" x14ac:dyDescent="0.25">
      <c r="A2130" t="s">
        <v>45</v>
      </c>
      <c r="B2130">
        <v>3</v>
      </c>
      <c r="C2130" t="s">
        <v>1191</v>
      </c>
      <c r="D2130" s="39">
        <v>45975</v>
      </c>
      <c r="E2130" t="s">
        <v>486</v>
      </c>
      <c r="F2130" t="s">
        <v>79</v>
      </c>
      <c r="G2130">
        <v>10</v>
      </c>
      <c r="H2130">
        <v>5</v>
      </c>
      <c r="I2130" t="s">
        <v>79</v>
      </c>
      <c r="J2130">
        <v>1500</v>
      </c>
      <c r="K2130" t="s">
        <v>79</v>
      </c>
      <c r="L2130">
        <v>8</v>
      </c>
      <c r="M2130">
        <v>362.65000000000009</v>
      </c>
      <c r="N2130">
        <v>8</v>
      </c>
      <c r="Q2130">
        <v>354.65000000000009</v>
      </c>
      <c r="R2130" t="s">
        <v>1262</v>
      </c>
      <c r="V2130">
        <v>0</v>
      </c>
      <c r="W2130">
        <v>0</v>
      </c>
      <c r="AF2130">
        <v>0</v>
      </c>
      <c r="AG2130">
        <v>0</v>
      </c>
      <c r="AH2130">
        <v>0</v>
      </c>
      <c r="AI2130">
        <v>12</v>
      </c>
      <c r="AJ2130">
        <v>12</v>
      </c>
      <c r="AM2130">
        <v>0</v>
      </c>
      <c r="AN2130">
        <v>359.65000000000009</v>
      </c>
      <c r="AP2130">
        <v>46</v>
      </c>
      <c r="AQ2130">
        <v>46</v>
      </c>
    </row>
    <row r="2131" spans="1:43" x14ac:dyDescent="0.25">
      <c r="A2131" t="s">
        <v>46</v>
      </c>
      <c r="B2131">
        <v>3</v>
      </c>
      <c r="C2131" t="s">
        <v>1191</v>
      </c>
      <c r="D2131" s="39">
        <v>45975</v>
      </c>
      <c r="E2131" t="s">
        <v>486</v>
      </c>
      <c r="F2131" t="s">
        <v>79</v>
      </c>
      <c r="G2131">
        <v>10</v>
      </c>
      <c r="H2131">
        <v>5</v>
      </c>
      <c r="I2131" t="s">
        <v>79</v>
      </c>
      <c r="J2131">
        <v>1500</v>
      </c>
      <c r="K2131" t="s">
        <v>79</v>
      </c>
      <c r="L2131">
        <v>7</v>
      </c>
      <c r="M2131">
        <v>347.98999999999995</v>
      </c>
      <c r="N2131">
        <v>8.4</v>
      </c>
      <c r="Q2131">
        <v>339.59</v>
      </c>
      <c r="R2131" t="s">
        <v>1262</v>
      </c>
      <c r="V2131">
        <v>0</v>
      </c>
      <c r="W2131">
        <v>0</v>
      </c>
      <c r="AF2131">
        <v>0</v>
      </c>
      <c r="AG2131">
        <v>0</v>
      </c>
      <c r="AH2131">
        <v>0</v>
      </c>
      <c r="AI2131">
        <v>12</v>
      </c>
      <c r="AJ2131">
        <v>12</v>
      </c>
      <c r="AM2131">
        <v>0</v>
      </c>
      <c r="AN2131">
        <v>344.59</v>
      </c>
      <c r="AP2131">
        <v>46</v>
      </c>
      <c r="AQ2131">
        <v>46</v>
      </c>
    </row>
    <row r="2132" spans="1:43" x14ac:dyDescent="0.25">
      <c r="A2132" t="s">
        <v>45</v>
      </c>
      <c r="B2132">
        <v>4</v>
      </c>
      <c r="C2132" t="s">
        <v>1193</v>
      </c>
      <c r="D2132" s="39">
        <v>45975</v>
      </c>
      <c r="E2132" t="s">
        <v>253</v>
      </c>
      <c r="F2132" t="s">
        <v>79</v>
      </c>
      <c r="G2132">
        <v>14</v>
      </c>
      <c r="H2132" t="s">
        <v>116</v>
      </c>
      <c r="I2132" t="s">
        <v>79</v>
      </c>
      <c r="J2132">
        <v>1000</v>
      </c>
      <c r="K2132" t="s">
        <v>79</v>
      </c>
      <c r="L2132">
        <v>12</v>
      </c>
      <c r="M2132">
        <v>565.76</v>
      </c>
      <c r="N2132">
        <v>16.799999999999997</v>
      </c>
      <c r="Q2132">
        <v>548.96</v>
      </c>
      <c r="R2132" t="s">
        <v>1264</v>
      </c>
      <c r="S2132">
        <v>30</v>
      </c>
      <c r="V2132">
        <v>30</v>
      </c>
      <c r="W2132">
        <v>0.5</v>
      </c>
      <c r="AD2132">
        <v>120</v>
      </c>
      <c r="AF2132">
        <v>120</v>
      </c>
      <c r="AG2132">
        <v>2</v>
      </c>
      <c r="AH2132">
        <v>2.5</v>
      </c>
      <c r="AI2132">
        <v>9.5</v>
      </c>
      <c r="AJ2132">
        <v>12</v>
      </c>
      <c r="AM2132">
        <v>0</v>
      </c>
      <c r="AN2132">
        <v>553.96</v>
      </c>
      <c r="AP2132">
        <v>46</v>
      </c>
      <c r="AQ2132">
        <v>46</v>
      </c>
    </row>
    <row r="2133" spans="1:43" x14ac:dyDescent="0.25">
      <c r="A2133" t="s">
        <v>45</v>
      </c>
      <c r="B2133">
        <v>4</v>
      </c>
      <c r="C2133" t="s">
        <v>1199</v>
      </c>
      <c r="D2133" s="39">
        <v>45975</v>
      </c>
      <c r="E2133" t="s">
        <v>1200</v>
      </c>
      <c r="F2133" t="s">
        <v>79</v>
      </c>
      <c r="G2133">
        <v>14</v>
      </c>
      <c r="H2133" t="s">
        <v>534</v>
      </c>
      <c r="I2133" t="s">
        <v>79</v>
      </c>
      <c r="J2133">
        <v>100</v>
      </c>
      <c r="K2133" t="s">
        <v>79</v>
      </c>
      <c r="L2133">
        <v>2</v>
      </c>
      <c r="M2133">
        <v>98.990000000000009</v>
      </c>
      <c r="N2133">
        <v>3.4</v>
      </c>
      <c r="Q2133">
        <v>95.59</v>
      </c>
      <c r="R2133" t="s">
        <v>1269</v>
      </c>
      <c r="V2133">
        <v>0</v>
      </c>
      <c r="W2133">
        <v>0</v>
      </c>
      <c r="AF2133">
        <v>0</v>
      </c>
      <c r="AG2133">
        <v>0</v>
      </c>
      <c r="AH2133">
        <v>0</v>
      </c>
      <c r="AI2133">
        <v>12</v>
      </c>
      <c r="AJ2133">
        <v>12</v>
      </c>
      <c r="AM2133">
        <v>0</v>
      </c>
      <c r="AN2133">
        <v>100.59</v>
      </c>
      <c r="AP2133">
        <v>46</v>
      </c>
      <c r="AQ2133">
        <v>46</v>
      </c>
    </row>
    <row r="2134" spans="1:43" x14ac:dyDescent="0.25">
      <c r="A2134" t="s">
        <v>46</v>
      </c>
      <c r="B2134">
        <v>4</v>
      </c>
      <c r="C2134" t="s">
        <v>1199</v>
      </c>
      <c r="D2134" s="39">
        <v>45975</v>
      </c>
      <c r="E2134" t="s">
        <v>1200</v>
      </c>
      <c r="F2134" t="s">
        <v>79</v>
      </c>
      <c r="G2134">
        <v>14</v>
      </c>
      <c r="H2134" t="s">
        <v>534</v>
      </c>
      <c r="I2134" t="s">
        <v>79</v>
      </c>
      <c r="J2134">
        <v>100</v>
      </c>
      <c r="K2134" t="s">
        <v>79</v>
      </c>
      <c r="L2134">
        <v>6</v>
      </c>
      <c r="M2134">
        <v>258.14</v>
      </c>
      <c r="N2134">
        <v>10.199999999999999</v>
      </c>
      <c r="Q2134">
        <v>247.94</v>
      </c>
      <c r="R2134" t="s">
        <v>1269</v>
      </c>
      <c r="S2134">
        <v>20</v>
      </c>
      <c r="V2134">
        <v>20</v>
      </c>
      <c r="W2134">
        <v>0.33333333333333331</v>
      </c>
      <c r="AD2134">
        <v>80</v>
      </c>
      <c r="AF2134">
        <v>80</v>
      </c>
      <c r="AG2134">
        <v>1.3333333333333333</v>
      </c>
      <c r="AH2134">
        <v>1.6666666666666663</v>
      </c>
      <c r="AI2134">
        <v>10.333333333333334</v>
      </c>
      <c r="AJ2134">
        <v>12</v>
      </c>
      <c r="AM2134">
        <v>0</v>
      </c>
      <c r="AN2134">
        <v>252.94</v>
      </c>
      <c r="AP2134">
        <v>46</v>
      </c>
      <c r="AQ2134">
        <v>46</v>
      </c>
    </row>
    <row r="2135" spans="1:43" x14ac:dyDescent="0.25">
      <c r="A2135" t="s">
        <v>46</v>
      </c>
      <c r="B2135">
        <v>4</v>
      </c>
      <c r="C2135" t="s">
        <v>1201</v>
      </c>
      <c r="D2135" s="39">
        <v>45975</v>
      </c>
      <c r="E2135" t="s">
        <v>952</v>
      </c>
      <c r="F2135" t="s">
        <v>79</v>
      </c>
      <c r="G2135">
        <v>14</v>
      </c>
      <c r="H2135" t="s">
        <v>102</v>
      </c>
      <c r="I2135" t="s">
        <v>79</v>
      </c>
      <c r="J2135">
        <v>50</v>
      </c>
      <c r="K2135" t="s">
        <v>79</v>
      </c>
      <c r="L2135">
        <v>2</v>
      </c>
      <c r="M2135">
        <v>60.099999999999994</v>
      </c>
      <c r="N2135">
        <v>3.4</v>
      </c>
      <c r="Q2135">
        <v>56.699999999999996</v>
      </c>
      <c r="R2135" t="s">
        <v>1270</v>
      </c>
      <c r="V2135">
        <v>0</v>
      </c>
      <c r="W2135">
        <v>0</v>
      </c>
      <c r="AF2135">
        <v>0</v>
      </c>
      <c r="AG2135">
        <v>0</v>
      </c>
      <c r="AH2135">
        <v>0</v>
      </c>
      <c r="AI2135">
        <v>12</v>
      </c>
      <c r="AJ2135">
        <v>12</v>
      </c>
      <c r="AM2135">
        <v>0</v>
      </c>
      <c r="AN2135">
        <v>61.7</v>
      </c>
      <c r="AP2135">
        <v>46</v>
      </c>
      <c r="AQ2135">
        <v>46</v>
      </c>
    </row>
    <row r="2136" spans="1:43" x14ac:dyDescent="0.25">
      <c r="A2136" t="s">
        <v>46</v>
      </c>
      <c r="B2136">
        <v>4</v>
      </c>
      <c r="C2136" t="s">
        <v>1202</v>
      </c>
      <c r="D2136" s="39">
        <v>45975</v>
      </c>
      <c r="E2136" t="s">
        <v>1187</v>
      </c>
      <c r="F2136" t="s">
        <v>79</v>
      </c>
      <c r="G2136">
        <v>17</v>
      </c>
      <c r="H2136" t="s">
        <v>102</v>
      </c>
      <c r="I2136" t="s">
        <v>79</v>
      </c>
      <c r="J2136">
        <v>200</v>
      </c>
      <c r="K2136" t="s">
        <v>79</v>
      </c>
      <c r="L2136">
        <v>4</v>
      </c>
      <c r="M2136">
        <v>198.5</v>
      </c>
      <c r="N2136">
        <v>6.8</v>
      </c>
      <c r="Q2136">
        <v>191.7</v>
      </c>
      <c r="R2136" t="s">
        <v>1271</v>
      </c>
      <c r="V2136">
        <v>0</v>
      </c>
      <c r="W2136">
        <v>0</v>
      </c>
      <c r="AF2136">
        <v>0</v>
      </c>
      <c r="AG2136">
        <v>0</v>
      </c>
      <c r="AH2136">
        <v>0</v>
      </c>
      <c r="AI2136">
        <v>12</v>
      </c>
      <c r="AJ2136">
        <v>12</v>
      </c>
      <c r="AM2136">
        <v>0</v>
      </c>
      <c r="AN2136">
        <v>196.7</v>
      </c>
      <c r="AP2136">
        <v>46</v>
      </c>
      <c r="AQ2136">
        <v>46</v>
      </c>
    </row>
    <row r="2137" spans="1:43" x14ac:dyDescent="0.25">
      <c r="A2137" t="s">
        <v>45</v>
      </c>
      <c r="B2137">
        <v>5</v>
      </c>
      <c r="C2137" t="s">
        <v>1196</v>
      </c>
      <c r="D2137" s="39">
        <v>45975</v>
      </c>
      <c r="E2137" t="s">
        <v>200</v>
      </c>
      <c r="F2137" t="s">
        <v>79</v>
      </c>
      <c r="G2137">
        <v>11</v>
      </c>
      <c r="H2137" t="s">
        <v>578</v>
      </c>
      <c r="I2137" t="s">
        <v>79</v>
      </c>
      <c r="J2137">
        <v>200</v>
      </c>
      <c r="K2137" t="s">
        <v>79</v>
      </c>
      <c r="L2137">
        <v>4</v>
      </c>
      <c r="M2137">
        <v>127.48</v>
      </c>
      <c r="N2137">
        <v>4.4000000000000004</v>
      </c>
      <c r="Q2137">
        <v>123.08</v>
      </c>
      <c r="R2137" t="s">
        <v>1267</v>
      </c>
      <c r="V2137">
        <v>0</v>
      </c>
      <c r="W2137">
        <v>0</v>
      </c>
      <c r="AF2137">
        <v>0</v>
      </c>
      <c r="AG2137">
        <v>0</v>
      </c>
      <c r="AH2137">
        <v>0</v>
      </c>
      <c r="AI2137">
        <v>12</v>
      </c>
      <c r="AJ2137">
        <v>12</v>
      </c>
      <c r="AM2137">
        <v>0</v>
      </c>
      <c r="AN2137">
        <v>128.07999999999998</v>
      </c>
      <c r="AP2137">
        <v>46</v>
      </c>
      <c r="AQ2137">
        <v>46</v>
      </c>
    </row>
    <row r="2138" spans="1:43" x14ac:dyDescent="0.25">
      <c r="A2138" t="s">
        <v>45</v>
      </c>
      <c r="B2138">
        <v>5</v>
      </c>
      <c r="C2138" t="s">
        <v>1203</v>
      </c>
      <c r="D2138" s="39">
        <v>45975</v>
      </c>
      <c r="E2138" t="s">
        <v>486</v>
      </c>
      <c r="F2138" t="s">
        <v>79</v>
      </c>
      <c r="G2138">
        <v>11</v>
      </c>
      <c r="H2138" t="s">
        <v>113</v>
      </c>
      <c r="I2138" t="s">
        <v>79</v>
      </c>
      <c r="J2138">
        <v>1500</v>
      </c>
      <c r="K2138" t="s">
        <v>79</v>
      </c>
      <c r="L2138">
        <v>8</v>
      </c>
      <c r="M2138">
        <v>422.58999999999992</v>
      </c>
      <c r="N2138">
        <v>8.8000000000000007</v>
      </c>
      <c r="Q2138">
        <v>413.78999999999991</v>
      </c>
      <c r="R2138" t="s">
        <v>1272</v>
      </c>
      <c r="V2138">
        <v>0</v>
      </c>
      <c r="W2138">
        <v>0</v>
      </c>
      <c r="AF2138">
        <v>0</v>
      </c>
      <c r="AG2138">
        <v>0</v>
      </c>
      <c r="AH2138">
        <v>0</v>
      </c>
      <c r="AI2138">
        <v>12</v>
      </c>
      <c r="AJ2138">
        <v>12</v>
      </c>
      <c r="AM2138">
        <v>0</v>
      </c>
      <c r="AN2138">
        <v>418.78999999999991</v>
      </c>
      <c r="AP2138">
        <v>46</v>
      </c>
      <c r="AQ2138">
        <v>46</v>
      </c>
    </row>
    <row r="2139" spans="1:43" x14ac:dyDescent="0.25">
      <c r="A2139" t="s">
        <v>46</v>
      </c>
      <c r="B2139">
        <v>5</v>
      </c>
      <c r="C2139" t="s">
        <v>1203</v>
      </c>
      <c r="D2139" s="39">
        <v>45975</v>
      </c>
      <c r="E2139" t="s">
        <v>486</v>
      </c>
      <c r="F2139" t="s">
        <v>79</v>
      </c>
      <c r="G2139">
        <v>11</v>
      </c>
      <c r="H2139" t="s">
        <v>113</v>
      </c>
      <c r="I2139" t="s">
        <v>79</v>
      </c>
      <c r="J2139">
        <v>1500</v>
      </c>
      <c r="K2139" t="s">
        <v>79</v>
      </c>
      <c r="L2139">
        <v>9</v>
      </c>
      <c r="M2139">
        <v>532.5100000000001</v>
      </c>
      <c r="N2139">
        <v>11.700000000000001</v>
      </c>
      <c r="Q2139">
        <v>520.81000000000006</v>
      </c>
      <c r="R2139" t="s">
        <v>1272</v>
      </c>
      <c r="V2139">
        <v>0</v>
      </c>
      <c r="W2139">
        <v>0</v>
      </c>
      <c r="AF2139">
        <v>0</v>
      </c>
      <c r="AG2139">
        <v>0</v>
      </c>
      <c r="AH2139">
        <v>0</v>
      </c>
      <c r="AI2139">
        <v>12</v>
      </c>
      <c r="AJ2139">
        <v>12</v>
      </c>
      <c r="AM2139">
        <v>0</v>
      </c>
      <c r="AN2139">
        <v>525.81000000000006</v>
      </c>
      <c r="AP2139">
        <v>46</v>
      </c>
      <c r="AQ2139">
        <v>46</v>
      </c>
    </row>
    <row r="2140" spans="1:43" x14ac:dyDescent="0.25">
      <c r="A2140" t="s">
        <v>45</v>
      </c>
      <c r="B2140">
        <v>1</v>
      </c>
      <c r="C2140" t="s">
        <v>1197</v>
      </c>
      <c r="D2140" s="39">
        <v>45976</v>
      </c>
      <c r="E2140" t="s">
        <v>486</v>
      </c>
      <c r="F2140" t="s">
        <v>79</v>
      </c>
      <c r="G2140">
        <v>2.5</v>
      </c>
      <c r="H2140" t="s">
        <v>92</v>
      </c>
      <c r="I2140" t="s">
        <v>79</v>
      </c>
      <c r="J2140">
        <v>1000</v>
      </c>
      <c r="K2140" t="s">
        <v>79</v>
      </c>
      <c r="L2140">
        <v>9</v>
      </c>
      <c r="M2140">
        <v>117.58</v>
      </c>
      <c r="N2140">
        <v>1.8</v>
      </c>
      <c r="O2140">
        <v>40</v>
      </c>
      <c r="Q2140">
        <v>115.78</v>
      </c>
      <c r="R2140" t="s">
        <v>1268</v>
      </c>
      <c r="V2140">
        <v>0</v>
      </c>
      <c r="W2140">
        <v>0</v>
      </c>
      <c r="AF2140">
        <v>0</v>
      </c>
      <c r="AG2140">
        <v>0</v>
      </c>
      <c r="AH2140">
        <v>0</v>
      </c>
      <c r="AI2140">
        <v>12</v>
      </c>
      <c r="AJ2140">
        <v>12</v>
      </c>
      <c r="AM2140">
        <v>0</v>
      </c>
      <c r="AN2140">
        <v>120.78</v>
      </c>
      <c r="AP2140">
        <v>46</v>
      </c>
      <c r="AQ2140">
        <v>46</v>
      </c>
    </row>
    <row r="2141" spans="1:43" x14ac:dyDescent="0.25">
      <c r="A2141" t="s">
        <v>46</v>
      </c>
      <c r="B2141">
        <v>1</v>
      </c>
      <c r="C2141" t="s">
        <v>1197</v>
      </c>
      <c r="D2141" s="39">
        <v>45976</v>
      </c>
      <c r="E2141" t="s">
        <v>486</v>
      </c>
      <c r="F2141" t="s">
        <v>79</v>
      </c>
      <c r="G2141">
        <v>2.5</v>
      </c>
      <c r="H2141" t="s">
        <v>92</v>
      </c>
      <c r="I2141" t="s">
        <v>79</v>
      </c>
      <c r="J2141">
        <v>1000</v>
      </c>
      <c r="K2141" t="s">
        <v>79</v>
      </c>
      <c r="L2141">
        <v>11</v>
      </c>
      <c r="M2141">
        <v>141.17999999999998</v>
      </c>
      <c r="N2141">
        <v>2.2000000000000002</v>
      </c>
      <c r="O2141">
        <v>30</v>
      </c>
      <c r="Q2141">
        <v>138.97999999999999</v>
      </c>
      <c r="R2141" t="s">
        <v>1268</v>
      </c>
      <c r="V2141">
        <v>0</v>
      </c>
      <c r="W2141">
        <v>0</v>
      </c>
      <c r="AF2141">
        <v>0</v>
      </c>
      <c r="AG2141">
        <v>0</v>
      </c>
      <c r="AH2141">
        <v>0</v>
      </c>
      <c r="AI2141">
        <v>12</v>
      </c>
      <c r="AJ2141">
        <v>12</v>
      </c>
      <c r="AM2141">
        <v>0</v>
      </c>
      <c r="AN2141">
        <v>143.97999999999999</v>
      </c>
      <c r="AP2141">
        <v>46</v>
      </c>
      <c r="AQ2141">
        <v>46</v>
      </c>
    </row>
    <row r="2142" spans="1:43" x14ac:dyDescent="0.25">
      <c r="A2142" t="s">
        <v>45</v>
      </c>
      <c r="B2142">
        <v>2</v>
      </c>
      <c r="C2142" t="s">
        <v>1198</v>
      </c>
      <c r="D2142" s="39">
        <v>45976</v>
      </c>
      <c r="E2142" t="s">
        <v>477</v>
      </c>
      <c r="F2142" t="s">
        <v>79</v>
      </c>
      <c r="G2142">
        <v>4</v>
      </c>
      <c r="H2142" t="s">
        <v>1049</v>
      </c>
      <c r="I2142" t="s">
        <v>79</v>
      </c>
      <c r="J2142">
        <v>100</v>
      </c>
      <c r="K2142" t="s">
        <v>79</v>
      </c>
      <c r="L2142">
        <v>9</v>
      </c>
      <c r="M2142">
        <v>144.14999999999998</v>
      </c>
      <c r="N2142">
        <v>3.6</v>
      </c>
      <c r="Q2142">
        <v>140.54999999999998</v>
      </c>
      <c r="R2142" t="s">
        <v>1436</v>
      </c>
      <c r="V2142">
        <v>0</v>
      </c>
      <c r="W2142">
        <v>0</v>
      </c>
      <c r="AF2142">
        <v>0</v>
      </c>
      <c r="AG2142">
        <v>0</v>
      </c>
      <c r="AH2142">
        <v>0</v>
      </c>
      <c r="AI2142">
        <v>12</v>
      </c>
      <c r="AJ2142">
        <v>12</v>
      </c>
      <c r="AM2142">
        <v>0</v>
      </c>
      <c r="AN2142">
        <v>145.54999999999998</v>
      </c>
      <c r="AP2142">
        <v>46</v>
      </c>
      <c r="AQ2142">
        <v>46</v>
      </c>
    </row>
    <row r="2143" spans="1:43" x14ac:dyDescent="0.25">
      <c r="A2143" t="s">
        <v>46</v>
      </c>
      <c r="B2143">
        <v>2</v>
      </c>
      <c r="C2143" t="s">
        <v>1198</v>
      </c>
      <c r="D2143" s="39">
        <v>45976</v>
      </c>
      <c r="E2143" t="s">
        <v>477</v>
      </c>
      <c r="F2143" t="s">
        <v>79</v>
      </c>
      <c r="G2143">
        <v>4</v>
      </c>
      <c r="H2143" t="s">
        <v>1049</v>
      </c>
      <c r="I2143" t="s">
        <v>79</v>
      </c>
      <c r="J2143">
        <v>100</v>
      </c>
      <c r="K2143" t="s">
        <v>79</v>
      </c>
      <c r="L2143">
        <v>6</v>
      </c>
      <c r="M2143">
        <v>101.68</v>
      </c>
      <c r="N2143">
        <v>2.4000000000000004</v>
      </c>
      <c r="Q2143">
        <v>99.28</v>
      </c>
      <c r="R2143" t="s">
        <v>1436</v>
      </c>
      <c r="V2143">
        <v>0</v>
      </c>
      <c r="W2143">
        <v>0</v>
      </c>
      <c r="AF2143">
        <v>0</v>
      </c>
      <c r="AG2143">
        <v>0</v>
      </c>
      <c r="AH2143">
        <v>0</v>
      </c>
      <c r="AI2143">
        <v>12</v>
      </c>
      <c r="AJ2143">
        <v>12</v>
      </c>
      <c r="AM2143">
        <v>0</v>
      </c>
      <c r="AN2143">
        <v>104.28</v>
      </c>
      <c r="AP2143">
        <v>46</v>
      </c>
      <c r="AQ2143">
        <v>46</v>
      </c>
    </row>
    <row r="2144" spans="1:43" x14ac:dyDescent="0.25">
      <c r="A2144" t="s">
        <v>46</v>
      </c>
      <c r="B2144">
        <v>2</v>
      </c>
      <c r="C2144" t="s">
        <v>1204</v>
      </c>
      <c r="D2144" s="39">
        <v>45976</v>
      </c>
      <c r="E2144" t="s">
        <v>486</v>
      </c>
      <c r="F2144" t="s">
        <v>79</v>
      </c>
      <c r="G2144">
        <v>4</v>
      </c>
      <c r="H2144" t="s">
        <v>113</v>
      </c>
      <c r="I2144" t="s">
        <v>79</v>
      </c>
      <c r="J2144">
        <v>1000</v>
      </c>
      <c r="K2144" t="s">
        <v>79</v>
      </c>
      <c r="L2144">
        <v>5</v>
      </c>
      <c r="M2144">
        <v>88.830000000000013</v>
      </c>
      <c r="N2144">
        <v>2</v>
      </c>
      <c r="Q2144">
        <v>86.830000000000013</v>
      </c>
      <c r="R2144" t="s">
        <v>1273</v>
      </c>
      <c r="V2144">
        <v>0</v>
      </c>
      <c r="W2144">
        <v>0</v>
      </c>
      <c r="AF2144">
        <v>0</v>
      </c>
      <c r="AG2144">
        <v>0</v>
      </c>
      <c r="AH2144">
        <v>0</v>
      </c>
      <c r="AI2144">
        <v>12</v>
      </c>
      <c r="AJ2144">
        <v>12</v>
      </c>
      <c r="AM2144">
        <v>0</v>
      </c>
      <c r="AN2144">
        <v>91.830000000000013</v>
      </c>
      <c r="AP2144">
        <v>46</v>
      </c>
      <c r="AQ2144">
        <v>46</v>
      </c>
    </row>
    <row r="2145" spans="1:43" x14ac:dyDescent="0.25">
      <c r="A2145" t="s">
        <v>45</v>
      </c>
      <c r="B2145">
        <v>3</v>
      </c>
      <c r="C2145" t="s">
        <v>1191</v>
      </c>
      <c r="D2145" s="39">
        <v>45976</v>
      </c>
      <c r="E2145" t="s">
        <v>486</v>
      </c>
      <c r="F2145" t="s">
        <v>79</v>
      </c>
      <c r="G2145">
        <v>10</v>
      </c>
      <c r="H2145">
        <v>5</v>
      </c>
      <c r="I2145" t="s">
        <v>79</v>
      </c>
      <c r="J2145">
        <v>1500</v>
      </c>
      <c r="K2145" t="s">
        <v>79</v>
      </c>
      <c r="L2145">
        <v>6</v>
      </c>
      <c r="M2145">
        <v>321.82</v>
      </c>
      <c r="N2145">
        <v>6</v>
      </c>
      <c r="Q2145">
        <v>315.82</v>
      </c>
      <c r="R2145" t="s">
        <v>1262</v>
      </c>
      <c r="V2145">
        <v>0</v>
      </c>
      <c r="W2145">
        <v>0</v>
      </c>
      <c r="AF2145">
        <v>0</v>
      </c>
      <c r="AG2145">
        <v>0</v>
      </c>
      <c r="AH2145">
        <v>0</v>
      </c>
      <c r="AI2145">
        <v>12</v>
      </c>
      <c r="AJ2145">
        <v>12</v>
      </c>
      <c r="AM2145">
        <v>0</v>
      </c>
      <c r="AN2145">
        <v>320.82</v>
      </c>
      <c r="AP2145">
        <v>46</v>
      </c>
      <c r="AQ2145">
        <v>46</v>
      </c>
    </row>
    <row r="2146" spans="1:43" x14ac:dyDescent="0.25">
      <c r="A2146" t="s">
        <v>46</v>
      </c>
      <c r="B2146">
        <v>3</v>
      </c>
      <c r="C2146" t="s">
        <v>1191</v>
      </c>
      <c r="D2146" s="39">
        <v>45976</v>
      </c>
      <c r="E2146" t="s">
        <v>486</v>
      </c>
      <c r="F2146" t="s">
        <v>79</v>
      </c>
      <c r="G2146">
        <v>10</v>
      </c>
      <c r="H2146">
        <v>5</v>
      </c>
      <c r="I2146" t="s">
        <v>79</v>
      </c>
      <c r="J2146">
        <v>1500</v>
      </c>
      <c r="K2146" t="s">
        <v>79</v>
      </c>
      <c r="L2146">
        <v>6</v>
      </c>
      <c r="M2146">
        <v>314.11</v>
      </c>
      <c r="N2146">
        <v>6</v>
      </c>
      <c r="Q2146">
        <v>308.11</v>
      </c>
      <c r="R2146" t="s">
        <v>1262</v>
      </c>
      <c r="V2146">
        <v>0</v>
      </c>
      <c r="W2146">
        <v>0</v>
      </c>
      <c r="AF2146">
        <v>0</v>
      </c>
      <c r="AG2146">
        <v>0</v>
      </c>
      <c r="AH2146">
        <v>0</v>
      </c>
      <c r="AI2146">
        <v>12</v>
      </c>
      <c r="AJ2146">
        <v>12</v>
      </c>
      <c r="AM2146">
        <v>0</v>
      </c>
      <c r="AN2146">
        <v>313.11</v>
      </c>
      <c r="AP2146">
        <v>46</v>
      </c>
      <c r="AQ2146">
        <v>46</v>
      </c>
    </row>
    <row r="2147" spans="1:43" x14ac:dyDescent="0.25">
      <c r="A2147" t="s">
        <v>45</v>
      </c>
      <c r="B2147">
        <v>4</v>
      </c>
      <c r="C2147" t="s">
        <v>1202</v>
      </c>
      <c r="D2147" s="39">
        <v>45976</v>
      </c>
      <c r="E2147" t="s">
        <v>1187</v>
      </c>
      <c r="F2147" t="s">
        <v>79</v>
      </c>
      <c r="G2147">
        <v>17</v>
      </c>
      <c r="H2147" t="s">
        <v>102</v>
      </c>
      <c r="I2147" t="s">
        <v>79</v>
      </c>
      <c r="J2147">
        <v>200</v>
      </c>
      <c r="K2147" t="s">
        <v>79</v>
      </c>
      <c r="L2147">
        <v>12</v>
      </c>
      <c r="M2147">
        <v>581.19000000000005</v>
      </c>
      <c r="N2147">
        <v>20.399999999999999</v>
      </c>
      <c r="Q2147">
        <v>560.79000000000008</v>
      </c>
      <c r="R2147" t="s">
        <v>1271</v>
      </c>
      <c r="V2147">
        <v>0</v>
      </c>
      <c r="W2147">
        <v>0</v>
      </c>
      <c r="AF2147">
        <v>0</v>
      </c>
      <c r="AG2147">
        <v>0</v>
      </c>
      <c r="AH2147">
        <v>0</v>
      </c>
      <c r="AI2147">
        <v>12</v>
      </c>
      <c r="AJ2147">
        <v>12</v>
      </c>
      <c r="AM2147">
        <v>0</v>
      </c>
      <c r="AN2147">
        <v>565.79000000000008</v>
      </c>
      <c r="AP2147">
        <v>46</v>
      </c>
      <c r="AQ2147">
        <v>46</v>
      </c>
    </row>
    <row r="2148" spans="1:43" x14ac:dyDescent="0.25">
      <c r="A2148" t="s">
        <v>45</v>
      </c>
      <c r="B2148">
        <v>4</v>
      </c>
      <c r="C2148" t="s">
        <v>1205</v>
      </c>
      <c r="D2148" s="39">
        <v>45976</v>
      </c>
      <c r="E2148" t="s">
        <v>243</v>
      </c>
      <c r="F2148" t="s">
        <v>79</v>
      </c>
      <c r="G2148">
        <v>21</v>
      </c>
      <c r="H2148" t="s">
        <v>524</v>
      </c>
      <c r="I2148" t="s">
        <v>79</v>
      </c>
      <c r="J2148">
        <v>300</v>
      </c>
      <c r="K2148" t="s">
        <v>79</v>
      </c>
      <c r="L2148">
        <v>3</v>
      </c>
      <c r="M2148">
        <v>112.44</v>
      </c>
      <c r="N2148">
        <v>6.3000000000000007</v>
      </c>
      <c r="Q2148">
        <v>106.14</v>
      </c>
      <c r="R2148" t="s">
        <v>1274</v>
      </c>
      <c r="V2148">
        <v>0</v>
      </c>
      <c r="W2148">
        <v>0</v>
      </c>
      <c r="AF2148">
        <v>0</v>
      </c>
      <c r="AG2148">
        <v>0</v>
      </c>
      <c r="AH2148">
        <v>0</v>
      </c>
      <c r="AI2148">
        <v>12</v>
      </c>
      <c r="AJ2148">
        <v>12</v>
      </c>
      <c r="AM2148">
        <v>0</v>
      </c>
      <c r="AN2148">
        <v>111.14</v>
      </c>
      <c r="AP2148">
        <v>46</v>
      </c>
      <c r="AQ2148">
        <v>46</v>
      </c>
    </row>
    <row r="2149" spans="1:43" x14ac:dyDescent="0.25">
      <c r="A2149" t="s">
        <v>46</v>
      </c>
      <c r="B2149">
        <v>4</v>
      </c>
      <c r="C2149" t="s">
        <v>1205</v>
      </c>
      <c r="D2149" s="39">
        <v>45976</v>
      </c>
      <c r="E2149" t="s">
        <v>243</v>
      </c>
      <c r="F2149" t="s">
        <v>79</v>
      </c>
      <c r="G2149">
        <v>21</v>
      </c>
      <c r="H2149" t="s">
        <v>524</v>
      </c>
      <c r="I2149" t="s">
        <v>79</v>
      </c>
      <c r="J2149">
        <v>300</v>
      </c>
      <c r="K2149" t="s">
        <v>79</v>
      </c>
      <c r="L2149">
        <v>10</v>
      </c>
      <c r="M2149">
        <v>382.40000000000003</v>
      </c>
      <c r="N2149">
        <v>26</v>
      </c>
      <c r="Q2149">
        <v>356.40000000000003</v>
      </c>
      <c r="R2149" t="s">
        <v>1274</v>
      </c>
      <c r="S2149">
        <v>25</v>
      </c>
      <c r="V2149">
        <v>25</v>
      </c>
      <c r="W2149">
        <v>0.41666666666666674</v>
      </c>
      <c r="AF2149">
        <v>0</v>
      </c>
      <c r="AG2149">
        <v>0</v>
      </c>
      <c r="AH2149">
        <v>0.41666666666666674</v>
      </c>
      <c r="AI2149">
        <v>11.583333333333334</v>
      </c>
      <c r="AJ2149">
        <v>12</v>
      </c>
      <c r="AM2149">
        <v>0</v>
      </c>
      <c r="AN2149">
        <v>361.4</v>
      </c>
      <c r="AP2149">
        <v>46</v>
      </c>
      <c r="AQ2149">
        <v>46</v>
      </c>
    </row>
    <row r="2150" spans="1:43" x14ac:dyDescent="0.25">
      <c r="A2150" t="s">
        <v>46</v>
      </c>
      <c r="B2150">
        <v>4</v>
      </c>
      <c r="C2150" t="s">
        <v>1206</v>
      </c>
      <c r="D2150" s="39">
        <v>45976</v>
      </c>
      <c r="E2150" t="s">
        <v>674</v>
      </c>
      <c r="F2150" t="s">
        <v>79</v>
      </c>
      <c r="G2150">
        <v>21</v>
      </c>
      <c r="H2150" t="s">
        <v>102</v>
      </c>
      <c r="I2150" t="s">
        <v>79</v>
      </c>
      <c r="J2150">
        <v>250</v>
      </c>
      <c r="K2150" t="s">
        <v>79</v>
      </c>
      <c r="L2150">
        <v>4</v>
      </c>
      <c r="M2150">
        <v>210.93</v>
      </c>
      <c r="N2150">
        <v>8.4</v>
      </c>
      <c r="Q2150">
        <v>202.53</v>
      </c>
      <c r="R2150" t="s">
        <v>1275</v>
      </c>
      <c r="V2150">
        <v>0</v>
      </c>
      <c r="W2150">
        <v>0</v>
      </c>
      <c r="AF2150">
        <v>0</v>
      </c>
      <c r="AG2150">
        <v>0</v>
      </c>
      <c r="AH2150">
        <v>0</v>
      </c>
      <c r="AI2150">
        <v>12</v>
      </c>
      <c r="AJ2150">
        <v>12</v>
      </c>
      <c r="AM2150">
        <v>0</v>
      </c>
      <c r="AN2150">
        <v>207.53</v>
      </c>
      <c r="AP2150">
        <v>46</v>
      </c>
      <c r="AQ2150">
        <v>46</v>
      </c>
    </row>
    <row r="2151" spans="1:43" x14ac:dyDescent="0.25">
      <c r="A2151" t="s">
        <v>46</v>
      </c>
      <c r="B2151">
        <v>4</v>
      </c>
      <c r="C2151" t="s">
        <v>1202</v>
      </c>
      <c r="D2151" s="39">
        <v>45976</v>
      </c>
      <c r="E2151" t="s">
        <v>1187</v>
      </c>
      <c r="F2151" t="s">
        <v>79</v>
      </c>
      <c r="G2151">
        <v>17</v>
      </c>
      <c r="H2151" t="s">
        <v>102</v>
      </c>
      <c r="I2151" t="s">
        <v>79</v>
      </c>
      <c r="J2151">
        <v>200</v>
      </c>
      <c r="K2151" t="s">
        <v>79</v>
      </c>
      <c r="L2151">
        <v>2</v>
      </c>
      <c r="M2151">
        <v>113.08</v>
      </c>
      <c r="N2151">
        <v>3.9</v>
      </c>
      <c r="Q2151">
        <v>109.17999999999999</v>
      </c>
      <c r="R2151" t="s">
        <v>1271</v>
      </c>
      <c r="V2151">
        <v>0</v>
      </c>
      <c r="W2151">
        <v>0</v>
      </c>
      <c r="AF2151">
        <v>0</v>
      </c>
      <c r="AG2151">
        <v>0</v>
      </c>
      <c r="AH2151">
        <v>0</v>
      </c>
      <c r="AI2151">
        <v>12</v>
      </c>
      <c r="AJ2151">
        <v>12</v>
      </c>
      <c r="AM2151">
        <v>0</v>
      </c>
      <c r="AN2151">
        <v>114.18</v>
      </c>
      <c r="AP2151">
        <v>46</v>
      </c>
      <c r="AQ2151">
        <v>46</v>
      </c>
    </row>
    <row r="2152" spans="1:43" x14ac:dyDescent="0.25">
      <c r="A2152" t="s">
        <v>45</v>
      </c>
      <c r="B2152">
        <v>5</v>
      </c>
      <c r="C2152" t="s">
        <v>1203</v>
      </c>
      <c r="D2152" s="39">
        <v>45976</v>
      </c>
      <c r="E2152" t="s">
        <v>486</v>
      </c>
      <c r="F2152" t="s">
        <v>79</v>
      </c>
      <c r="G2152">
        <v>11</v>
      </c>
      <c r="H2152" t="s">
        <v>113</v>
      </c>
      <c r="I2152" t="s">
        <v>79</v>
      </c>
      <c r="J2152">
        <v>1500</v>
      </c>
      <c r="K2152" t="s">
        <v>79</v>
      </c>
      <c r="L2152">
        <v>10</v>
      </c>
      <c r="M2152">
        <v>496.66</v>
      </c>
      <c r="N2152">
        <v>11</v>
      </c>
      <c r="Q2152">
        <v>485.66</v>
      </c>
      <c r="R2152" t="s">
        <v>1272</v>
      </c>
      <c r="V2152">
        <v>0</v>
      </c>
      <c r="W2152">
        <v>0</v>
      </c>
      <c r="AF2152">
        <v>0</v>
      </c>
      <c r="AG2152">
        <v>0</v>
      </c>
      <c r="AH2152">
        <v>0</v>
      </c>
      <c r="AI2152">
        <v>12</v>
      </c>
      <c r="AJ2152">
        <v>12</v>
      </c>
      <c r="AM2152">
        <v>0</v>
      </c>
      <c r="AN2152">
        <v>490.66</v>
      </c>
      <c r="AP2152">
        <v>46</v>
      </c>
      <c r="AQ2152">
        <v>46</v>
      </c>
    </row>
    <row r="2153" spans="1:43" x14ac:dyDescent="0.25">
      <c r="A2153" t="s">
        <v>46</v>
      </c>
      <c r="B2153">
        <v>5</v>
      </c>
      <c r="C2153" t="s">
        <v>1203</v>
      </c>
      <c r="D2153" s="39">
        <v>45976</v>
      </c>
      <c r="E2153" t="s">
        <v>486</v>
      </c>
      <c r="F2153" t="s">
        <v>79</v>
      </c>
      <c r="G2153">
        <v>11</v>
      </c>
      <c r="H2153" t="s">
        <v>113</v>
      </c>
      <c r="I2153" t="s">
        <v>79</v>
      </c>
      <c r="J2153">
        <v>1500</v>
      </c>
      <c r="K2153" t="s">
        <v>79</v>
      </c>
      <c r="L2153">
        <v>4</v>
      </c>
      <c r="M2153">
        <v>239.87</v>
      </c>
      <c r="N2153">
        <v>4.4000000000000004</v>
      </c>
      <c r="Q2153">
        <v>235.47</v>
      </c>
      <c r="R2153" t="s">
        <v>1272</v>
      </c>
      <c r="S2153">
        <v>15</v>
      </c>
      <c r="V2153">
        <v>15</v>
      </c>
      <c r="W2153">
        <v>0.25</v>
      </c>
      <c r="AF2153">
        <v>0</v>
      </c>
      <c r="AG2153">
        <v>0</v>
      </c>
      <c r="AH2153">
        <v>0.25</v>
      </c>
      <c r="AI2153">
        <v>11.75</v>
      </c>
      <c r="AJ2153">
        <v>12</v>
      </c>
      <c r="AM2153">
        <v>0</v>
      </c>
      <c r="AN2153">
        <v>240.47</v>
      </c>
      <c r="AP2153">
        <v>46</v>
      </c>
      <c r="AQ2153">
        <v>46</v>
      </c>
    </row>
    <row r="2154" spans="1:43" x14ac:dyDescent="0.25">
      <c r="A2154" t="s">
        <v>46</v>
      </c>
      <c r="B2154">
        <v>5</v>
      </c>
      <c r="C2154" t="s">
        <v>1207</v>
      </c>
      <c r="D2154" s="39">
        <v>45976</v>
      </c>
      <c r="E2154" t="s">
        <v>1048</v>
      </c>
      <c r="F2154" t="s">
        <v>79</v>
      </c>
      <c r="G2154">
        <v>26</v>
      </c>
      <c r="H2154" t="s">
        <v>859</v>
      </c>
      <c r="I2154" t="s">
        <v>79</v>
      </c>
      <c r="J2154">
        <v>50</v>
      </c>
      <c r="K2154" t="s">
        <v>79</v>
      </c>
      <c r="L2154">
        <v>2</v>
      </c>
      <c r="M2154">
        <v>58.69</v>
      </c>
      <c r="N2154">
        <v>3.1100000000000003</v>
      </c>
      <c r="Q2154">
        <v>55.58</v>
      </c>
      <c r="R2154" t="s">
        <v>1276</v>
      </c>
      <c r="V2154">
        <v>0</v>
      </c>
      <c r="W2154">
        <v>0</v>
      </c>
      <c r="AF2154">
        <v>0</v>
      </c>
      <c r="AG2154">
        <v>0</v>
      </c>
      <c r="AH2154">
        <v>0</v>
      </c>
      <c r="AI2154">
        <v>12</v>
      </c>
      <c r="AJ2154">
        <v>12</v>
      </c>
      <c r="AM2154">
        <v>0</v>
      </c>
      <c r="AN2154">
        <v>60.58</v>
      </c>
      <c r="AP2154">
        <v>46</v>
      </c>
      <c r="AQ2154">
        <v>46</v>
      </c>
    </row>
    <row r="2155" spans="1:43" x14ac:dyDescent="0.25">
      <c r="A2155" t="s">
        <v>46</v>
      </c>
      <c r="B2155">
        <v>5</v>
      </c>
      <c r="C2155" t="s">
        <v>1208</v>
      </c>
      <c r="D2155" s="39">
        <v>45976</v>
      </c>
      <c r="E2155" t="s">
        <v>674</v>
      </c>
      <c r="F2155" t="s">
        <v>79</v>
      </c>
      <c r="G2155">
        <v>13</v>
      </c>
      <c r="H2155" t="s">
        <v>102</v>
      </c>
      <c r="I2155" t="s">
        <v>79</v>
      </c>
      <c r="J2155">
        <v>250</v>
      </c>
      <c r="K2155" t="s">
        <v>79</v>
      </c>
      <c r="L2155">
        <v>1</v>
      </c>
      <c r="M2155">
        <v>66.099999999999994</v>
      </c>
      <c r="N2155">
        <v>1.3</v>
      </c>
      <c r="Q2155">
        <v>64.8</v>
      </c>
      <c r="R2155" t="s">
        <v>1277</v>
      </c>
      <c r="V2155">
        <v>0</v>
      </c>
      <c r="W2155">
        <v>0</v>
      </c>
      <c r="AF2155">
        <v>0</v>
      </c>
      <c r="AG2155">
        <v>0</v>
      </c>
      <c r="AH2155">
        <v>0</v>
      </c>
      <c r="AI2155">
        <v>12</v>
      </c>
      <c r="AJ2155">
        <v>12</v>
      </c>
      <c r="AM2155">
        <v>0</v>
      </c>
      <c r="AN2155">
        <v>69.8</v>
      </c>
      <c r="AP2155">
        <v>46</v>
      </c>
      <c r="AQ2155">
        <v>46</v>
      </c>
    </row>
    <row r="2156" spans="1:43" x14ac:dyDescent="0.25">
      <c r="A2156" t="s">
        <v>46</v>
      </c>
      <c r="B2156">
        <v>5</v>
      </c>
      <c r="C2156" t="s">
        <v>1209</v>
      </c>
      <c r="D2156" s="39">
        <v>45976</v>
      </c>
      <c r="E2156" t="s">
        <v>401</v>
      </c>
      <c r="F2156" t="s">
        <v>79</v>
      </c>
      <c r="G2156">
        <v>11</v>
      </c>
      <c r="H2156" t="s">
        <v>1049</v>
      </c>
      <c r="I2156" t="s">
        <v>79</v>
      </c>
      <c r="J2156">
        <v>100</v>
      </c>
      <c r="K2156" t="s">
        <v>79</v>
      </c>
      <c r="L2156">
        <v>4</v>
      </c>
      <c r="M2156">
        <v>116.29</v>
      </c>
      <c r="N2156">
        <v>4.4000000000000004</v>
      </c>
      <c r="Q2156">
        <v>111.89</v>
      </c>
      <c r="R2156" t="s">
        <v>1278</v>
      </c>
      <c r="V2156">
        <v>0</v>
      </c>
      <c r="W2156">
        <v>0</v>
      </c>
      <c r="AF2156">
        <v>0</v>
      </c>
      <c r="AG2156">
        <v>0</v>
      </c>
      <c r="AH2156">
        <v>0</v>
      </c>
      <c r="AI2156">
        <v>12</v>
      </c>
      <c r="AJ2156">
        <v>12</v>
      </c>
      <c r="AM2156">
        <v>0</v>
      </c>
      <c r="AN2156">
        <v>116.89</v>
      </c>
      <c r="AP2156">
        <v>46</v>
      </c>
      <c r="AQ2156">
        <v>46</v>
      </c>
    </row>
    <row r="2157" spans="1:43" x14ac:dyDescent="0.25">
      <c r="A2157" t="s">
        <v>45</v>
      </c>
      <c r="B2157">
        <v>1</v>
      </c>
      <c r="C2157" t="s">
        <v>1197</v>
      </c>
      <c r="D2157" s="39">
        <v>45977</v>
      </c>
      <c r="E2157" t="s">
        <v>486</v>
      </c>
      <c r="F2157" t="s">
        <v>79</v>
      </c>
      <c r="G2157">
        <v>2.5</v>
      </c>
      <c r="H2157" t="s">
        <v>92</v>
      </c>
      <c r="I2157" t="s">
        <v>79</v>
      </c>
      <c r="J2157">
        <v>1000</v>
      </c>
      <c r="K2157" t="s">
        <v>79</v>
      </c>
      <c r="L2157">
        <v>9</v>
      </c>
      <c r="M2157">
        <v>113.47</v>
      </c>
      <c r="N2157">
        <v>1.8</v>
      </c>
      <c r="O2157">
        <v>35</v>
      </c>
      <c r="Q2157">
        <v>111.67</v>
      </c>
      <c r="R2157" t="s">
        <v>1268</v>
      </c>
      <c r="V2157">
        <v>0</v>
      </c>
      <c r="W2157">
        <v>0</v>
      </c>
      <c r="AF2157">
        <v>0</v>
      </c>
      <c r="AG2157">
        <v>0</v>
      </c>
      <c r="AH2157">
        <v>0</v>
      </c>
      <c r="AI2157">
        <v>12</v>
      </c>
      <c r="AJ2157">
        <v>12</v>
      </c>
      <c r="AM2157">
        <v>0</v>
      </c>
      <c r="AN2157">
        <v>116.67</v>
      </c>
      <c r="AP2157">
        <v>46</v>
      </c>
      <c r="AQ2157">
        <v>46</v>
      </c>
    </row>
    <row r="2158" spans="1:43" x14ac:dyDescent="0.25">
      <c r="A2158" t="s">
        <v>46</v>
      </c>
      <c r="B2158">
        <v>1</v>
      </c>
      <c r="C2158" t="s">
        <v>1197</v>
      </c>
      <c r="D2158" s="39">
        <v>45977</v>
      </c>
      <c r="E2158" t="s">
        <v>486</v>
      </c>
      <c r="F2158" t="s">
        <v>79</v>
      </c>
      <c r="G2158">
        <v>2.5</v>
      </c>
      <c r="H2158" t="s">
        <v>92</v>
      </c>
      <c r="I2158" t="s">
        <v>79</v>
      </c>
      <c r="J2158">
        <v>1000</v>
      </c>
      <c r="K2158" t="s">
        <v>79</v>
      </c>
      <c r="L2158">
        <v>11</v>
      </c>
      <c r="M2158">
        <v>136.27000000000001</v>
      </c>
      <c r="N2158">
        <v>2.2000000000000002</v>
      </c>
      <c r="O2158">
        <v>44</v>
      </c>
      <c r="Q2158">
        <v>134.07000000000002</v>
      </c>
      <c r="R2158" t="s">
        <v>1268</v>
      </c>
      <c r="V2158">
        <v>0</v>
      </c>
      <c r="W2158">
        <v>0</v>
      </c>
      <c r="AF2158">
        <v>0</v>
      </c>
      <c r="AG2158">
        <v>0</v>
      </c>
      <c r="AH2158">
        <v>0</v>
      </c>
      <c r="AI2158">
        <v>12</v>
      </c>
      <c r="AJ2158">
        <v>12</v>
      </c>
      <c r="AM2158">
        <v>0</v>
      </c>
      <c r="AN2158">
        <v>139.07000000000002</v>
      </c>
      <c r="AP2158">
        <v>46</v>
      </c>
      <c r="AQ2158">
        <v>46</v>
      </c>
    </row>
    <row r="2159" spans="1:43" x14ac:dyDescent="0.25">
      <c r="A2159" t="s">
        <v>45</v>
      </c>
      <c r="B2159">
        <v>2</v>
      </c>
      <c r="C2159" t="s">
        <v>1204</v>
      </c>
      <c r="D2159" s="39">
        <v>45977</v>
      </c>
      <c r="E2159" t="s">
        <v>486</v>
      </c>
      <c r="F2159" t="s">
        <v>79</v>
      </c>
      <c r="G2159">
        <v>4</v>
      </c>
      <c r="H2159" t="s">
        <v>113</v>
      </c>
      <c r="I2159" t="s">
        <v>79</v>
      </c>
      <c r="J2159">
        <v>1000</v>
      </c>
      <c r="K2159" t="s">
        <v>79</v>
      </c>
      <c r="L2159">
        <v>9</v>
      </c>
      <c r="M2159">
        <v>148.37</v>
      </c>
      <c r="N2159">
        <v>3.6</v>
      </c>
      <c r="Q2159">
        <v>144.77000000000001</v>
      </c>
      <c r="R2159" t="s">
        <v>1273</v>
      </c>
      <c r="V2159">
        <v>0</v>
      </c>
      <c r="W2159">
        <v>0</v>
      </c>
      <c r="AF2159">
        <v>0</v>
      </c>
      <c r="AG2159">
        <v>0</v>
      </c>
      <c r="AH2159">
        <v>0</v>
      </c>
      <c r="AI2159">
        <v>12</v>
      </c>
      <c r="AJ2159">
        <v>12</v>
      </c>
      <c r="AM2159">
        <v>0</v>
      </c>
      <c r="AN2159">
        <v>149.77000000000001</v>
      </c>
      <c r="AP2159">
        <v>46</v>
      </c>
      <c r="AQ2159">
        <v>46</v>
      </c>
    </row>
    <row r="2160" spans="1:43" x14ac:dyDescent="0.25">
      <c r="A2160" t="s">
        <v>46</v>
      </c>
      <c r="B2160">
        <v>2</v>
      </c>
      <c r="C2160" t="s">
        <v>1204</v>
      </c>
      <c r="D2160" s="39">
        <v>45977</v>
      </c>
      <c r="E2160" t="s">
        <v>486</v>
      </c>
      <c r="F2160" t="s">
        <v>79</v>
      </c>
      <c r="G2160">
        <v>4</v>
      </c>
      <c r="H2160" t="s">
        <v>113</v>
      </c>
      <c r="I2160" t="s">
        <v>79</v>
      </c>
      <c r="J2160">
        <v>1000</v>
      </c>
      <c r="K2160" t="s">
        <v>79</v>
      </c>
      <c r="L2160">
        <v>11</v>
      </c>
      <c r="M2160">
        <v>176.94000000000003</v>
      </c>
      <c r="N2160">
        <v>4.4000000000000004</v>
      </c>
      <c r="Q2160">
        <v>172.54000000000002</v>
      </c>
      <c r="R2160" t="s">
        <v>1273</v>
      </c>
      <c r="V2160">
        <v>0</v>
      </c>
      <c r="W2160">
        <v>0</v>
      </c>
      <c r="AF2160">
        <v>0</v>
      </c>
      <c r="AG2160">
        <v>0</v>
      </c>
      <c r="AH2160">
        <v>0</v>
      </c>
      <c r="AI2160">
        <v>12</v>
      </c>
      <c r="AJ2160">
        <v>12</v>
      </c>
      <c r="AM2160">
        <v>0</v>
      </c>
      <c r="AN2160">
        <v>177.54000000000002</v>
      </c>
      <c r="AP2160">
        <v>46</v>
      </c>
      <c r="AQ2160">
        <v>46</v>
      </c>
    </row>
    <row r="2161" spans="1:43" x14ac:dyDescent="0.25">
      <c r="A2161" t="s">
        <v>45</v>
      </c>
      <c r="B2161">
        <v>3</v>
      </c>
      <c r="C2161" t="s">
        <v>1191</v>
      </c>
      <c r="D2161" s="39">
        <v>45977</v>
      </c>
      <c r="E2161" t="s">
        <v>486</v>
      </c>
      <c r="F2161" t="s">
        <v>79</v>
      </c>
      <c r="G2161">
        <v>10</v>
      </c>
      <c r="H2161">
        <v>5</v>
      </c>
      <c r="I2161" t="s">
        <v>79</v>
      </c>
      <c r="J2161">
        <v>1500</v>
      </c>
      <c r="K2161" t="s">
        <v>79</v>
      </c>
      <c r="L2161">
        <v>4</v>
      </c>
      <c r="M2161">
        <v>212.72</v>
      </c>
      <c r="N2161">
        <v>0.4</v>
      </c>
      <c r="Q2161">
        <v>212.32</v>
      </c>
      <c r="R2161" t="s">
        <v>1262</v>
      </c>
      <c r="V2161">
        <v>0</v>
      </c>
      <c r="W2161">
        <v>0</v>
      </c>
      <c r="Z2161">
        <v>120</v>
      </c>
      <c r="AF2161">
        <v>120</v>
      </c>
      <c r="AG2161">
        <v>2</v>
      </c>
      <c r="AH2161">
        <v>2</v>
      </c>
      <c r="AI2161">
        <v>10</v>
      </c>
      <c r="AJ2161">
        <v>12</v>
      </c>
      <c r="AM2161">
        <v>0</v>
      </c>
      <c r="AN2161">
        <v>217.32</v>
      </c>
      <c r="AP2161">
        <v>46</v>
      </c>
      <c r="AQ2161">
        <v>46</v>
      </c>
    </row>
    <row r="2162" spans="1:43" x14ac:dyDescent="0.25">
      <c r="A2162" t="s">
        <v>45</v>
      </c>
      <c r="B2162">
        <v>3</v>
      </c>
      <c r="C2162" t="s">
        <v>1210</v>
      </c>
      <c r="D2162" s="39">
        <v>45977</v>
      </c>
      <c r="E2162" t="s">
        <v>394</v>
      </c>
      <c r="F2162" t="s">
        <v>79</v>
      </c>
      <c r="G2162">
        <v>10</v>
      </c>
      <c r="H2162" t="s">
        <v>122</v>
      </c>
      <c r="I2162" t="s">
        <v>79</v>
      </c>
      <c r="J2162">
        <v>150</v>
      </c>
      <c r="K2162" t="s">
        <v>79</v>
      </c>
      <c r="L2162">
        <v>1</v>
      </c>
      <c r="M2162">
        <v>31.14</v>
      </c>
      <c r="N2162">
        <v>0.1</v>
      </c>
      <c r="Q2162">
        <v>31.04</v>
      </c>
      <c r="R2162" t="s">
        <v>1279</v>
      </c>
      <c r="V2162">
        <v>0</v>
      </c>
      <c r="W2162">
        <v>0</v>
      </c>
      <c r="AF2162">
        <v>0</v>
      </c>
      <c r="AG2162">
        <v>0</v>
      </c>
      <c r="AH2162">
        <v>0</v>
      </c>
      <c r="AI2162">
        <v>12</v>
      </c>
      <c r="AJ2162">
        <v>12</v>
      </c>
      <c r="AM2162">
        <v>0</v>
      </c>
      <c r="AN2162">
        <v>36.04</v>
      </c>
      <c r="AP2162">
        <v>46</v>
      </c>
      <c r="AQ2162">
        <v>46</v>
      </c>
    </row>
    <row r="2163" spans="1:43" x14ac:dyDescent="0.25">
      <c r="A2163" t="s">
        <v>46</v>
      </c>
      <c r="B2163">
        <v>3</v>
      </c>
      <c r="C2163" t="s">
        <v>1210</v>
      </c>
      <c r="D2163" s="39">
        <v>45977</v>
      </c>
      <c r="E2163" t="s">
        <v>394</v>
      </c>
      <c r="F2163" t="s">
        <v>79</v>
      </c>
      <c r="G2163">
        <v>10</v>
      </c>
      <c r="H2163" t="s">
        <v>122</v>
      </c>
      <c r="I2163" t="s">
        <v>79</v>
      </c>
      <c r="J2163">
        <v>150</v>
      </c>
      <c r="K2163" t="s">
        <v>79</v>
      </c>
      <c r="L2163">
        <v>5</v>
      </c>
      <c r="M2163">
        <v>124.92999999999999</v>
      </c>
      <c r="N2163">
        <v>0.5</v>
      </c>
      <c r="Q2163">
        <v>124.42999999999999</v>
      </c>
      <c r="R2163" t="s">
        <v>1279</v>
      </c>
      <c r="S2163">
        <v>30</v>
      </c>
      <c r="V2163">
        <v>30</v>
      </c>
      <c r="W2163">
        <v>0.5</v>
      </c>
      <c r="AE2163">
        <v>60</v>
      </c>
      <c r="AF2163">
        <v>60</v>
      </c>
      <c r="AG2163">
        <v>1</v>
      </c>
      <c r="AH2163">
        <v>1.5</v>
      </c>
      <c r="AI2163">
        <v>10.5</v>
      </c>
      <c r="AJ2163">
        <v>12</v>
      </c>
      <c r="AM2163">
        <v>0</v>
      </c>
      <c r="AN2163">
        <v>129.43</v>
      </c>
      <c r="AP2163">
        <v>46</v>
      </c>
      <c r="AQ2163">
        <v>46</v>
      </c>
    </row>
    <row r="2164" spans="1:43" x14ac:dyDescent="0.25">
      <c r="A2164" t="s">
        <v>46</v>
      </c>
      <c r="B2164">
        <v>3</v>
      </c>
      <c r="C2164" t="s">
        <v>1211</v>
      </c>
      <c r="D2164" s="39">
        <v>45977</v>
      </c>
      <c r="E2164" t="s">
        <v>385</v>
      </c>
      <c r="F2164" t="s">
        <v>79</v>
      </c>
      <c r="G2164">
        <v>6</v>
      </c>
      <c r="H2164" t="s">
        <v>93</v>
      </c>
      <c r="I2164" t="s">
        <v>79</v>
      </c>
      <c r="J2164">
        <v>200</v>
      </c>
      <c r="K2164" t="s">
        <v>79</v>
      </c>
      <c r="L2164">
        <v>1</v>
      </c>
      <c r="M2164">
        <v>19.84</v>
      </c>
      <c r="N2164">
        <v>0.6</v>
      </c>
      <c r="Q2164">
        <v>19.239999999999998</v>
      </c>
      <c r="R2164" t="s">
        <v>1280</v>
      </c>
      <c r="V2164">
        <v>0</v>
      </c>
      <c r="W2164">
        <v>0</v>
      </c>
      <c r="AF2164">
        <v>0</v>
      </c>
      <c r="AG2164">
        <v>0</v>
      </c>
      <c r="AH2164">
        <v>0</v>
      </c>
      <c r="AI2164">
        <v>12</v>
      </c>
      <c r="AJ2164">
        <v>12</v>
      </c>
      <c r="AM2164">
        <v>0</v>
      </c>
      <c r="AN2164">
        <v>24.24</v>
      </c>
      <c r="AP2164">
        <v>46</v>
      </c>
      <c r="AQ2164">
        <v>46</v>
      </c>
    </row>
    <row r="2165" spans="1:43" x14ac:dyDescent="0.25">
      <c r="A2165" t="s">
        <v>46</v>
      </c>
      <c r="B2165">
        <v>3</v>
      </c>
      <c r="C2165" t="s">
        <v>1212</v>
      </c>
      <c r="D2165" s="39">
        <v>45977</v>
      </c>
      <c r="E2165" t="s">
        <v>427</v>
      </c>
      <c r="F2165" t="s">
        <v>79</v>
      </c>
      <c r="G2165">
        <v>6</v>
      </c>
      <c r="H2165" t="s">
        <v>944</v>
      </c>
      <c r="I2165" t="s">
        <v>79</v>
      </c>
      <c r="J2165">
        <v>100</v>
      </c>
      <c r="K2165" t="s">
        <v>79</v>
      </c>
      <c r="L2165">
        <v>4</v>
      </c>
      <c r="M2165">
        <v>104.78</v>
      </c>
      <c r="N2165">
        <v>0.4</v>
      </c>
      <c r="Q2165">
        <v>104.38</v>
      </c>
      <c r="R2165" t="s">
        <v>1281</v>
      </c>
      <c r="V2165">
        <v>0</v>
      </c>
      <c r="W2165">
        <v>0</v>
      </c>
      <c r="AF2165">
        <v>0</v>
      </c>
      <c r="AG2165">
        <v>0</v>
      </c>
      <c r="AH2165">
        <v>0</v>
      </c>
      <c r="AI2165">
        <v>12</v>
      </c>
      <c r="AJ2165">
        <v>12</v>
      </c>
      <c r="AM2165">
        <v>0</v>
      </c>
      <c r="AN2165">
        <v>109.38</v>
      </c>
      <c r="AP2165">
        <v>46</v>
      </c>
      <c r="AQ2165">
        <v>46</v>
      </c>
    </row>
    <row r="2166" spans="1:43" x14ac:dyDescent="0.25">
      <c r="A2166" t="s">
        <v>45</v>
      </c>
      <c r="B2166">
        <v>4</v>
      </c>
      <c r="C2166" t="s">
        <v>1202</v>
      </c>
      <c r="D2166" s="39">
        <v>45977</v>
      </c>
      <c r="E2166" t="s">
        <v>1187</v>
      </c>
      <c r="F2166" t="s">
        <v>79</v>
      </c>
      <c r="G2166">
        <v>17</v>
      </c>
      <c r="H2166" t="s">
        <v>102</v>
      </c>
      <c r="I2166" t="s">
        <v>79</v>
      </c>
      <c r="J2166">
        <v>200</v>
      </c>
      <c r="K2166" t="s">
        <v>79</v>
      </c>
      <c r="L2166">
        <v>17</v>
      </c>
      <c r="M2166">
        <v>847.94</v>
      </c>
      <c r="N2166">
        <v>34</v>
      </c>
      <c r="Q2166">
        <v>813.94</v>
      </c>
      <c r="R2166" t="s">
        <v>1271</v>
      </c>
      <c r="S2166">
        <v>30</v>
      </c>
      <c r="V2166">
        <v>30</v>
      </c>
      <c r="W2166">
        <v>0.5</v>
      </c>
      <c r="AF2166">
        <v>0</v>
      </c>
      <c r="AG2166">
        <v>0</v>
      </c>
      <c r="AH2166">
        <v>0.5</v>
      </c>
      <c r="AI2166">
        <v>11.5</v>
      </c>
      <c r="AJ2166">
        <v>12</v>
      </c>
      <c r="AM2166">
        <v>0</v>
      </c>
      <c r="AN2166">
        <v>818.94</v>
      </c>
      <c r="AP2166">
        <v>46</v>
      </c>
      <c r="AQ2166">
        <v>46</v>
      </c>
    </row>
    <row r="2167" spans="1:43" x14ac:dyDescent="0.25">
      <c r="A2167" t="s">
        <v>45</v>
      </c>
      <c r="B2167">
        <v>4</v>
      </c>
      <c r="C2167" t="s">
        <v>1213</v>
      </c>
      <c r="D2167" s="39">
        <v>45977</v>
      </c>
      <c r="E2167" t="s">
        <v>719</v>
      </c>
      <c r="F2167" t="s">
        <v>79</v>
      </c>
      <c r="G2167">
        <v>17</v>
      </c>
      <c r="H2167" t="s">
        <v>113</v>
      </c>
      <c r="I2167" t="s">
        <v>79</v>
      </c>
      <c r="J2167">
        <v>300</v>
      </c>
      <c r="K2167" t="s">
        <v>79</v>
      </c>
      <c r="L2167">
        <v>1</v>
      </c>
      <c r="M2167">
        <v>56.3</v>
      </c>
      <c r="N2167">
        <v>2.1</v>
      </c>
      <c r="Q2167">
        <v>54.199999999999996</v>
      </c>
      <c r="R2167" t="s">
        <v>1282</v>
      </c>
      <c r="S2167">
        <v>25</v>
      </c>
      <c r="V2167">
        <v>25</v>
      </c>
      <c r="W2167">
        <v>0.41666666666666674</v>
      </c>
      <c r="AF2167">
        <v>0</v>
      </c>
      <c r="AG2167">
        <v>0</v>
      </c>
      <c r="AH2167">
        <v>0.41666666666666674</v>
      </c>
      <c r="AI2167">
        <v>11.583333333333334</v>
      </c>
      <c r="AJ2167">
        <v>12</v>
      </c>
      <c r="AM2167">
        <v>0</v>
      </c>
      <c r="AN2167">
        <v>59.2</v>
      </c>
      <c r="AP2167">
        <v>46</v>
      </c>
      <c r="AQ2167">
        <v>46</v>
      </c>
    </row>
    <row r="2168" spans="1:43" x14ac:dyDescent="0.25">
      <c r="A2168" t="s">
        <v>46</v>
      </c>
      <c r="B2168">
        <v>4</v>
      </c>
      <c r="C2168" t="s">
        <v>1213</v>
      </c>
      <c r="D2168" s="39">
        <v>45977</v>
      </c>
      <c r="E2168" t="s">
        <v>719</v>
      </c>
      <c r="F2168" t="s">
        <v>79</v>
      </c>
      <c r="G2168">
        <v>17</v>
      </c>
      <c r="H2168" t="s">
        <v>113</v>
      </c>
      <c r="I2168" t="s">
        <v>79</v>
      </c>
      <c r="J2168">
        <v>300</v>
      </c>
      <c r="K2168" t="s">
        <v>79</v>
      </c>
      <c r="L2168">
        <v>6</v>
      </c>
      <c r="M2168">
        <v>241.41</v>
      </c>
      <c r="N2168">
        <v>10.199999999999999</v>
      </c>
      <c r="Q2168">
        <v>231.21</v>
      </c>
      <c r="R2168" t="s">
        <v>1282</v>
      </c>
      <c r="V2168">
        <v>0</v>
      </c>
      <c r="W2168">
        <v>0</v>
      </c>
      <c r="AF2168">
        <v>0</v>
      </c>
      <c r="AG2168">
        <v>0</v>
      </c>
      <c r="AH2168">
        <v>0</v>
      </c>
      <c r="AI2168">
        <v>12</v>
      </c>
      <c r="AJ2168">
        <v>12</v>
      </c>
      <c r="AM2168">
        <v>0</v>
      </c>
      <c r="AN2168">
        <v>236.21</v>
      </c>
      <c r="AP2168">
        <v>46</v>
      </c>
      <c r="AQ2168">
        <v>46</v>
      </c>
    </row>
    <row r="2169" spans="1:43" x14ac:dyDescent="0.25">
      <c r="A2169" t="s">
        <v>46</v>
      </c>
      <c r="B2169">
        <v>4</v>
      </c>
      <c r="C2169" t="s">
        <v>1214</v>
      </c>
      <c r="D2169" s="39">
        <v>45977</v>
      </c>
      <c r="E2169" t="s">
        <v>243</v>
      </c>
      <c r="F2169" t="s">
        <v>1283</v>
      </c>
      <c r="G2169">
        <v>17</v>
      </c>
      <c r="H2169" t="s">
        <v>140</v>
      </c>
      <c r="I2169" t="s">
        <v>1283</v>
      </c>
      <c r="J2169">
        <v>500</v>
      </c>
      <c r="K2169" t="s">
        <v>79</v>
      </c>
      <c r="L2169">
        <v>4</v>
      </c>
      <c r="M2169">
        <v>151.10000000000002</v>
      </c>
      <c r="N2169">
        <v>12</v>
      </c>
      <c r="Q2169">
        <v>139.10000000000002</v>
      </c>
      <c r="R2169" t="s">
        <v>1284</v>
      </c>
      <c r="V2169">
        <v>0</v>
      </c>
      <c r="W2169">
        <v>0</v>
      </c>
      <c r="AF2169">
        <v>0</v>
      </c>
      <c r="AG2169">
        <v>0</v>
      </c>
      <c r="AH2169">
        <v>0</v>
      </c>
      <c r="AI2169">
        <v>12</v>
      </c>
      <c r="AJ2169">
        <v>12</v>
      </c>
      <c r="AM2169">
        <v>0</v>
      </c>
      <c r="AN2169">
        <v>144.10000000000002</v>
      </c>
      <c r="AP2169">
        <v>46</v>
      </c>
      <c r="AQ2169">
        <v>46</v>
      </c>
    </row>
    <row r="2170" spans="1:43" x14ac:dyDescent="0.25">
      <c r="A2170" t="s">
        <v>46</v>
      </c>
      <c r="B2170">
        <v>4</v>
      </c>
      <c r="C2170" t="s">
        <v>1215</v>
      </c>
      <c r="D2170" s="39">
        <v>45977</v>
      </c>
      <c r="E2170" t="s">
        <v>200</v>
      </c>
      <c r="F2170" t="s">
        <v>79</v>
      </c>
      <c r="G2170">
        <v>16</v>
      </c>
      <c r="H2170" t="s">
        <v>944</v>
      </c>
      <c r="I2170" t="s">
        <v>79</v>
      </c>
      <c r="J2170">
        <v>500</v>
      </c>
      <c r="K2170" t="s">
        <v>79</v>
      </c>
      <c r="L2170">
        <v>4</v>
      </c>
      <c r="M2170">
        <v>181.61999999999998</v>
      </c>
      <c r="N2170">
        <v>6.4</v>
      </c>
      <c r="Q2170">
        <v>175.21999999999997</v>
      </c>
      <c r="R2170" t="s">
        <v>1285</v>
      </c>
      <c r="V2170">
        <v>0</v>
      </c>
      <c r="W2170">
        <v>0</v>
      </c>
      <c r="AF2170">
        <v>0</v>
      </c>
      <c r="AG2170">
        <v>0</v>
      </c>
      <c r="AH2170">
        <v>0</v>
      </c>
      <c r="AI2170">
        <v>12</v>
      </c>
      <c r="AJ2170">
        <v>12</v>
      </c>
      <c r="AM2170">
        <v>0</v>
      </c>
      <c r="AN2170">
        <v>180.21999999999997</v>
      </c>
      <c r="AP2170">
        <v>46</v>
      </c>
      <c r="AQ2170">
        <v>46</v>
      </c>
    </row>
    <row r="2171" spans="1:43" x14ac:dyDescent="0.25">
      <c r="A2171" t="s">
        <v>46</v>
      </c>
      <c r="B2171">
        <v>4</v>
      </c>
      <c r="C2171" t="s">
        <v>1216</v>
      </c>
      <c r="D2171" s="39">
        <v>45977</v>
      </c>
      <c r="E2171" t="s">
        <v>243</v>
      </c>
      <c r="F2171" t="s">
        <v>79</v>
      </c>
      <c r="G2171">
        <v>16</v>
      </c>
      <c r="H2171" t="s">
        <v>123</v>
      </c>
      <c r="I2171" t="s">
        <v>79</v>
      </c>
      <c r="J2171">
        <v>50</v>
      </c>
      <c r="K2171" t="s">
        <v>79</v>
      </c>
      <c r="L2171">
        <v>1</v>
      </c>
      <c r="M2171">
        <v>49.6</v>
      </c>
      <c r="N2171">
        <v>1.6</v>
      </c>
      <c r="Q2171">
        <v>48</v>
      </c>
      <c r="R2171" t="s">
        <v>1286</v>
      </c>
      <c r="V2171">
        <v>0</v>
      </c>
      <c r="W2171">
        <v>0</v>
      </c>
      <c r="AF2171">
        <v>0</v>
      </c>
      <c r="AG2171">
        <v>0</v>
      </c>
      <c r="AH2171">
        <v>0</v>
      </c>
      <c r="AI2171">
        <v>12</v>
      </c>
      <c r="AJ2171">
        <v>12</v>
      </c>
      <c r="AM2171">
        <v>0</v>
      </c>
      <c r="AN2171">
        <v>53</v>
      </c>
      <c r="AP2171">
        <v>46</v>
      </c>
      <c r="AQ2171">
        <v>46</v>
      </c>
    </row>
    <row r="2172" spans="1:43" x14ac:dyDescent="0.25">
      <c r="A2172" t="s">
        <v>46</v>
      </c>
      <c r="B2172">
        <v>4</v>
      </c>
      <c r="C2172" t="s">
        <v>1217</v>
      </c>
      <c r="D2172" s="39">
        <v>45977</v>
      </c>
      <c r="E2172" t="s">
        <v>1048</v>
      </c>
      <c r="F2172" t="s">
        <v>79</v>
      </c>
      <c r="G2172">
        <v>16</v>
      </c>
      <c r="H2172" t="s">
        <v>859</v>
      </c>
      <c r="I2172" t="s">
        <v>79</v>
      </c>
      <c r="J2172">
        <v>50</v>
      </c>
      <c r="K2172" t="s">
        <v>79</v>
      </c>
      <c r="L2172">
        <v>1</v>
      </c>
      <c r="M2172">
        <v>45.77</v>
      </c>
      <c r="N2172">
        <v>1.6</v>
      </c>
      <c r="Q2172">
        <v>44.17</v>
      </c>
      <c r="R2172" t="s">
        <v>1287</v>
      </c>
      <c r="V2172">
        <v>0</v>
      </c>
      <c r="W2172">
        <v>0</v>
      </c>
      <c r="AF2172">
        <v>0</v>
      </c>
      <c r="AG2172">
        <v>0</v>
      </c>
      <c r="AH2172">
        <v>0</v>
      </c>
      <c r="AI2172">
        <v>12</v>
      </c>
      <c r="AJ2172">
        <v>12</v>
      </c>
      <c r="AM2172">
        <v>0</v>
      </c>
      <c r="AN2172">
        <v>49.17</v>
      </c>
      <c r="AP2172">
        <v>46</v>
      </c>
      <c r="AQ2172">
        <v>46</v>
      </c>
    </row>
    <row r="2173" spans="1:43" x14ac:dyDescent="0.25">
      <c r="A2173" t="s">
        <v>45</v>
      </c>
      <c r="B2173">
        <v>5</v>
      </c>
      <c r="C2173" t="s">
        <v>1208</v>
      </c>
      <c r="D2173" s="39">
        <v>45977</v>
      </c>
      <c r="E2173" t="s">
        <v>674</v>
      </c>
      <c r="F2173" t="s">
        <v>79</v>
      </c>
      <c r="G2173">
        <v>13</v>
      </c>
      <c r="H2173" t="s">
        <v>102</v>
      </c>
      <c r="I2173" t="s">
        <v>79</v>
      </c>
      <c r="J2173">
        <v>250</v>
      </c>
      <c r="K2173" t="s">
        <v>79</v>
      </c>
      <c r="L2173">
        <v>10</v>
      </c>
      <c r="M2173">
        <v>547.63000000000011</v>
      </c>
      <c r="N2173">
        <v>13</v>
      </c>
      <c r="Q2173">
        <v>534.63000000000011</v>
      </c>
      <c r="R2173" t="s">
        <v>1277</v>
      </c>
      <c r="S2173">
        <v>25</v>
      </c>
      <c r="V2173">
        <v>25</v>
      </c>
      <c r="W2173">
        <v>0.41666666666666674</v>
      </c>
      <c r="AF2173">
        <v>0</v>
      </c>
      <c r="AG2173">
        <v>0</v>
      </c>
      <c r="AH2173">
        <v>0.41666666666666674</v>
      </c>
      <c r="AI2173">
        <v>11.583333333333334</v>
      </c>
      <c r="AJ2173">
        <v>12</v>
      </c>
      <c r="AM2173">
        <v>0</v>
      </c>
      <c r="AN2173">
        <v>539.63000000000011</v>
      </c>
      <c r="AP2173">
        <v>46</v>
      </c>
      <c r="AQ2173">
        <v>46</v>
      </c>
    </row>
    <row r="2174" spans="1:43" x14ac:dyDescent="0.25">
      <c r="A2174" t="s">
        <v>46</v>
      </c>
      <c r="B2174">
        <v>5</v>
      </c>
      <c r="C2174" t="s">
        <v>1218</v>
      </c>
      <c r="D2174" s="39">
        <v>45977</v>
      </c>
      <c r="E2174" t="s">
        <v>1187</v>
      </c>
      <c r="F2174" t="s">
        <v>79</v>
      </c>
      <c r="G2174">
        <v>15</v>
      </c>
      <c r="H2174" t="s">
        <v>102</v>
      </c>
      <c r="I2174" t="s">
        <v>79</v>
      </c>
      <c r="J2174">
        <v>200</v>
      </c>
      <c r="K2174" t="s">
        <v>79</v>
      </c>
      <c r="L2174">
        <v>12</v>
      </c>
      <c r="M2174">
        <v>546.29</v>
      </c>
      <c r="N2174">
        <v>18</v>
      </c>
      <c r="Q2174">
        <v>528.29</v>
      </c>
      <c r="R2174" t="s">
        <v>1288</v>
      </c>
      <c r="V2174">
        <v>0</v>
      </c>
      <c r="W2174">
        <v>0</v>
      </c>
      <c r="AF2174">
        <v>0</v>
      </c>
      <c r="AG2174">
        <v>0</v>
      </c>
      <c r="AH2174">
        <v>0</v>
      </c>
      <c r="AI2174">
        <v>12</v>
      </c>
      <c r="AJ2174">
        <v>12</v>
      </c>
      <c r="AM2174">
        <v>0</v>
      </c>
      <c r="AN2174">
        <v>533.29</v>
      </c>
      <c r="AP2174">
        <v>46</v>
      </c>
      <c r="AQ2174">
        <v>46</v>
      </c>
    </row>
    <row r="2175" spans="1:43" x14ac:dyDescent="0.25">
      <c r="A2175" t="s">
        <v>45</v>
      </c>
      <c r="B2175">
        <v>1</v>
      </c>
      <c r="C2175" t="s">
        <v>1197</v>
      </c>
      <c r="D2175" s="39">
        <v>45978</v>
      </c>
      <c r="E2175" t="s">
        <v>486</v>
      </c>
      <c r="F2175" t="s">
        <v>79</v>
      </c>
      <c r="G2175">
        <v>2.5</v>
      </c>
      <c r="H2175" t="s">
        <v>92</v>
      </c>
      <c r="I2175" t="s">
        <v>79</v>
      </c>
      <c r="J2175">
        <v>1000</v>
      </c>
      <c r="K2175" t="s">
        <v>79</v>
      </c>
      <c r="L2175">
        <v>10</v>
      </c>
      <c r="M2175">
        <v>133.22999999999999</v>
      </c>
      <c r="N2175">
        <v>2</v>
      </c>
      <c r="Q2175">
        <v>131.22999999999999</v>
      </c>
      <c r="R2175" t="s">
        <v>1268</v>
      </c>
      <c r="V2175">
        <v>0</v>
      </c>
      <c r="W2175">
        <v>0</v>
      </c>
      <c r="AF2175">
        <v>0</v>
      </c>
      <c r="AG2175">
        <v>0</v>
      </c>
      <c r="AH2175">
        <v>0</v>
      </c>
      <c r="AI2175">
        <v>12</v>
      </c>
      <c r="AJ2175">
        <v>12</v>
      </c>
      <c r="AM2175">
        <v>0</v>
      </c>
      <c r="AN2175">
        <v>138.22999999999999</v>
      </c>
      <c r="AP2175">
        <v>47</v>
      </c>
      <c r="AQ2175">
        <v>47</v>
      </c>
    </row>
    <row r="2176" spans="1:43" x14ac:dyDescent="0.25">
      <c r="A2176" t="s">
        <v>46</v>
      </c>
      <c r="B2176">
        <v>1</v>
      </c>
      <c r="C2176" t="s">
        <v>1197</v>
      </c>
      <c r="D2176" s="39">
        <v>45978</v>
      </c>
      <c r="E2176" t="s">
        <v>486</v>
      </c>
      <c r="F2176" t="s">
        <v>79</v>
      </c>
      <c r="G2176">
        <v>2.5</v>
      </c>
      <c r="H2176" t="s">
        <v>92</v>
      </c>
      <c r="I2176" t="s">
        <v>79</v>
      </c>
      <c r="J2176">
        <v>1000</v>
      </c>
      <c r="K2176" t="s">
        <v>79</v>
      </c>
      <c r="L2176">
        <v>11</v>
      </c>
      <c r="M2176">
        <v>142.13</v>
      </c>
      <c r="N2176">
        <v>2.2000000000000002</v>
      </c>
      <c r="Q2176">
        <v>139.93</v>
      </c>
      <c r="R2176" t="s">
        <v>1268</v>
      </c>
      <c r="V2176">
        <v>0</v>
      </c>
      <c r="W2176">
        <v>0</v>
      </c>
      <c r="AF2176">
        <v>0</v>
      </c>
      <c r="AG2176">
        <v>0</v>
      </c>
      <c r="AH2176">
        <v>0</v>
      </c>
      <c r="AI2176">
        <v>12</v>
      </c>
      <c r="AJ2176">
        <v>12</v>
      </c>
      <c r="AM2176">
        <v>0</v>
      </c>
      <c r="AN2176">
        <v>146.93</v>
      </c>
      <c r="AP2176">
        <v>47</v>
      </c>
      <c r="AQ2176">
        <v>47</v>
      </c>
    </row>
    <row r="2177" spans="1:43" x14ac:dyDescent="0.25">
      <c r="A2177" t="s">
        <v>45</v>
      </c>
      <c r="B2177">
        <v>2</v>
      </c>
      <c r="C2177" t="s">
        <v>1204</v>
      </c>
      <c r="D2177" s="39">
        <v>45978</v>
      </c>
      <c r="E2177" t="s">
        <v>486</v>
      </c>
      <c r="F2177" t="s">
        <v>79</v>
      </c>
      <c r="G2177">
        <v>4</v>
      </c>
      <c r="H2177" t="s">
        <v>113</v>
      </c>
      <c r="I2177" t="s">
        <v>79</v>
      </c>
      <c r="J2177">
        <v>1000</v>
      </c>
      <c r="K2177" t="s">
        <v>79</v>
      </c>
      <c r="L2177">
        <v>10</v>
      </c>
      <c r="M2177">
        <v>177.32</v>
      </c>
      <c r="N2177">
        <v>4</v>
      </c>
      <c r="Q2177">
        <v>173.32</v>
      </c>
      <c r="R2177" t="s">
        <v>1273</v>
      </c>
      <c r="V2177">
        <v>0</v>
      </c>
      <c r="W2177">
        <v>0</v>
      </c>
      <c r="AD2177">
        <v>20</v>
      </c>
      <c r="AF2177">
        <v>20</v>
      </c>
      <c r="AG2177">
        <v>0.33333333333333331</v>
      </c>
      <c r="AH2177">
        <v>0.33333333333333331</v>
      </c>
      <c r="AI2177">
        <v>11.666666666666666</v>
      </c>
      <c r="AJ2177">
        <v>12</v>
      </c>
      <c r="AM2177">
        <v>0</v>
      </c>
      <c r="AN2177">
        <v>180.32</v>
      </c>
      <c r="AP2177">
        <v>47</v>
      </c>
      <c r="AQ2177">
        <v>47</v>
      </c>
    </row>
    <row r="2178" spans="1:43" x14ac:dyDescent="0.25">
      <c r="A2178" t="s">
        <v>46</v>
      </c>
      <c r="B2178">
        <v>2</v>
      </c>
      <c r="C2178" t="s">
        <v>1204</v>
      </c>
      <c r="D2178" s="39">
        <v>45978</v>
      </c>
      <c r="E2178" t="s">
        <v>486</v>
      </c>
      <c r="F2178" t="s">
        <v>79</v>
      </c>
      <c r="G2178">
        <v>4</v>
      </c>
      <c r="H2178" t="s">
        <v>113</v>
      </c>
      <c r="I2178" t="s">
        <v>79</v>
      </c>
      <c r="J2178">
        <v>1000</v>
      </c>
      <c r="K2178" t="s">
        <v>79</v>
      </c>
      <c r="L2178">
        <v>11</v>
      </c>
      <c r="M2178">
        <v>176.35999999999996</v>
      </c>
      <c r="N2178">
        <v>4</v>
      </c>
      <c r="Q2178">
        <v>172.35999999999996</v>
      </c>
      <c r="R2178" t="s">
        <v>1273</v>
      </c>
      <c r="V2178">
        <v>0</v>
      </c>
      <c r="W2178">
        <v>0</v>
      </c>
      <c r="AF2178">
        <v>0</v>
      </c>
      <c r="AG2178">
        <v>0</v>
      </c>
      <c r="AH2178">
        <v>0</v>
      </c>
      <c r="AI2178">
        <v>12</v>
      </c>
      <c r="AJ2178">
        <v>12</v>
      </c>
      <c r="AM2178">
        <v>0</v>
      </c>
      <c r="AN2178">
        <v>179.35999999999996</v>
      </c>
      <c r="AP2178">
        <v>47</v>
      </c>
      <c r="AQ2178">
        <v>47</v>
      </c>
    </row>
    <row r="2179" spans="1:43" x14ac:dyDescent="0.25">
      <c r="A2179" t="s">
        <v>45</v>
      </c>
      <c r="B2179">
        <v>3</v>
      </c>
      <c r="C2179" t="s">
        <v>1211</v>
      </c>
      <c r="D2179" s="39">
        <v>45978</v>
      </c>
      <c r="E2179" t="s">
        <v>385</v>
      </c>
      <c r="F2179" t="s">
        <v>79</v>
      </c>
      <c r="G2179">
        <v>6</v>
      </c>
      <c r="H2179" t="s">
        <v>93</v>
      </c>
      <c r="I2179" t="s">
        <v>79</v>
      </c>
      <c r="J2179">
        <v>200</v>
      </c>
      <c r="K2179" t="s">
        <v>79</v>
      </c>
      <c r="L2179">
        <v>7</v>
      </c>
      <c r="M2179">
        <v>184.01000000000002</v>
      </c>
      <c r="N2179">
        <v>4.7999999999999989</v>
      </c>
      <c r="Q2179">
        <v>179.21</v>
      </c>
      <c r="R2179" t="s">
        <v>1280</v>
      </c>
      <c r="S2179">
        <v>30</v>
      </c>
      <c r="V2179">
        <v>30</v>
      </c>
      <c r="W2179">
        <v>0.5</v>
      </c>
      <c r="AF2179">
        <v>0</v>
      </c>
      <c r="AG2179">
        <v>0</v>
      </c>
      <c r="AH2179">
        <v>0.5</v>
      </c>
      <c r="AI2179">
        <v>11.5</v>
      </c>
      <c r="AJ2179">
        <v>12</v>
      </c>
      <c r="AM2179">
        <v>0</v>
      </c>
      <c r="AN2179">
        <v>186.21</v>
      </c>
      <c r="AP2179">
        <v>47</v>
      </c>
      <c r="AQ2179">
        <v>47</v>
      </c>
    </row>
    <row r="2180" spans="1:43" x14ac:dyDescent="0.25">
      <c r="A2180" t="s">
        <v>46</v>
      </c>
      <c r="B2180">
        <v>3</v>
      </c>
      <c r="C2180" t="s">
        <v>1289</v>
      </c>
      <c r="D2180" s="39">
        <v>45978</v>
      </c>
      <c r="E2180" t="s">
        <v>1187</v>
      </c>
      <c r="F2180" t="s">
        <v>79</v>
      </c>
      <c r="G2180">
        <v>9</v>
      </c>
      <c r="H2180" t="s">
        <v>102</v>
      </c>
      <c r="I2180" t="s">
        <v>79</v>
      </c>
      <c r="J2180">
        <v>200</v>
      </c>
      <c r="K2180" t="s">
        <v>79</v>
      </c>
      <c r="L2180">
        <v>5</v>
      </c>
      <c r="M2180">
        <v>215.92000000000002</v>
      </c>
      <c r="N2180">
        <v>4.5</v>
      </c>
      <c r="Q2180">
        <v>211.42000000000002</v>
      </c>
      <c r="R2180" t="s">
        <v>1290</v>
      </c>
      <c r="V2180">
        <v>0</v>
      </c>
      <c r="W2180">
        <v>0</v>
      </c>
      <c r="AF2180">
        <v>0</v>
      </c>
      <c r="AG2180">
        <v>0</v>
      </c>
      <c r="AH2180">
        <v>0</v>
      </c>
      <c r="AI2180">
        <v>12</v>
      </c>
      <c r="AJ2180">
        <v>12</v>
      </c>
      <c r="AM2180">
        <v>0</v>
      </c>
      <c r="AN2180">
        <v>218.42</v>
      </c>
      <c r="AP2180">
        <v>47</v>
      </c>
      <c r="AQ2180">
        <v>47</v>
      </c>
    </row>
    <row r="2181" spans="1:43" x14ac:dyDescent="0.25">
      <c r="A2181" t="s">
        <v>46</v>
      </c>
      <c r="B2181">
        <v>3</v>
      </c>
      <c r="C2181" t="s">
        <v>1291</v>
      </c>
      <c r="D2181" s="39">
        <v>45978</v>
      </c>
      <c r="E2181" t="s">
        <v>477</v>
      </c>
      <c r="F2181" t="s">
        <v>79</v>
      </c>
      <c r="G2181">
        <v>9</v>
      </c>
      <c r="H2181" t="s">
        <v>1049</v>
      </c>
      <c r="I2181" t="s">
        <v>79</v>
      </c>
      <c r="J2181">
        <v>100</v>
      </c>
      <c r="K2181" t="s">
        <v>79</v>
      </c>
      <c r="L2181">
        <v>4</v>
      </c>
      <c r="M2181">
        <v>168.38</v>
      </c>
      <c r="N2181">
        <v>3.6</v>
      </c>
      <c r="Q2181">
        <v>164.78</v>
      </c>
      <c r="R2181" t="s">
        <v>1292</v>
      </c>
      <c r="V2181">
        <v>0</v>
      </c>
      <c r="W2181">
        <v>0</v>
      </c>
      <c r="AF2181">
        <v>0</v>
      </c>
      <c r="AG2181">
        <v>0</v>
      </c>
      <c r="AH2181">
        <v>0</v>
      </c>
      <c r="AI2181">
        <v>12</v>
      </c>
      <c r="AJ2181">
        <v>12</v>
      </c>
      <c r="AM2181">
        <v>0</v>
      </c>
      <c r="AN2181">
        <v>171.78</v>
      </c>
      <c r="AP2181">
        <v>47</v>
      </c>
      <c r="AQ2181">
        <v>47</v>
      </c>
    </row>
    <row r="2182" spans="1:43" x14ac:dyDescent="0.25">
      <c r="A2182" t="s">
        <v>45</v>
      </c>
      <c r="B2182">
        <v>4</v>
      </c>
      <c r="C2182" t="s">
        <v>1215</v>
      </c>
      <c r="D2182" s="39">
        <v>45978</v>
      </c>
      <c r="E2182" t="s">
        <v>200</v>
      </c>
      <c r="F2182" t="s">
        <v>79</v>
      </c>
      <c r="G2182">
        <v>16</v>
      </c>
      <c r="H2182" t="s">
        <v>944</v>
      </c>
      <c r="I2182" t="s">
        <v>79</v>
      </c>
      <c r="J2182">
        <v>500</v>
      </c>
      <c r="K2182" t="s">
        <v>79</v>
      </c>
      <c r="L2182">
        <v>7</v>
      </c>
      <c r="M2182">
        <v>335.78000000000003</v>
      </c>
      <c r="N2182">
        <v>11.75</v>
      </c>
      <c r="Q2182">
        <v>324.03000000000003</v>
      </c>
      <c r="R2182" t="s">
        <v>1285</v>
      </c>
      <c r="V2182">
        <v>0</v>
      </c>
      <c r="W2182">
        <v>0</v>
      </c>
      <c r="AF2182">
        <v>0</v>
      </c>
      <c r="AG2182">
        <v>0</v>
      </c>
      <c r="AH2182">
        <v>0</v>
      </c>
      <c r="AI2182">
        <v>12</v>
      </c>
      <c r="AJ2182">
        <v>12</v>
      </c>
      <c r="AM2182">
        <v>0</v>
      </c>
      <c r="AN2182">
        <v>331.03000000000003</v>
      </c>
      <c r="AP2182">
        <v>47</v>
      </c>
      <c r="AQ2182">
        <v>47</v>
      </c>
    </row>
    <row r="2183" spans="1:43" x14ac:dyDescent="0.25">
      <c r="A2183" t="s">
        <v>45</v>
      </c>
      <c r="B2183">
        <v>4</v>
      </c>
      <c r="C2183" t="s">
        <v>728</v>
      </c>
      <c r="D2183" s="39">
        <v>45978</v>
      </c>
      <c r="E2183" t="s">
        <v>276</v>
      </c>
      <c r="F2183" t="s">
        <v>79</v>
      </c>
      <c r="G2183">
        <v>16</v>
      </c>
      <c r="H2183" t="s">
        <v>113</v>
      </c>
      <c r="I2183" t="s">
        <v>79</v>
      </c>
      <c r="J2183">
        <v>1000</v>
      </c>
      <c r="K2183" t="s">
        <v>79</v>
      </c>
      <c r="L2183">
        <v>7</v>
      </c>
      <c r="M2183">
        <v>380.21</v>
      </c>
      <c r="N2183">
        <v>13.679999999999998</v>
      </c>
      <c r="Q2183">
        <v>366.53</v>
      </c>
      <c r="R2183" t="s">
        <v>1293</v>
      </c>
      <c r="V2183">
        <v>0</v>
      </c>
      <c r="W2183">
        <v>0</v>
      </c>
      <c r="AF2183">
        <v>0</v>
      </c>
      <c r="AG2183">
        <v>0</v>
      </c>
      <c r="AH2183">
        <v>0</v>
      </c>
      <c r="AI2183">
        <v>12</v>
      </c>
      <c r="AJ2183">
        <v>12</v>
      </c>
      <c r="AM2183">
        <v>0</v>
      </c>
      <c r="AN2183">
        <v>373.53</v>
      </c>
      <c r="AP2183">
        <v>47</v>
      </c>
      <c r="AQ2183">
        <v>47</v>
      </c>
    </row>
    <row r="2184" spans="1:43" x14ac:dyDescent="0.25">
      <c r="A2184" t="s">
        <v>45</v>
      </c>
      <c r="B2184">
        <v>4</v>
      </c>
      <c r="C2184" t="s">
        <v>1217</v>
      </c>
      <c r="D2184" s="39">
        <v>45978</v>
      </c>
      <c r="E2184" t="s">
        <v>1048</v>
      </c>
      <c r="F2184" t="s">
        <v>79</v>
      </c>
      <c r="G2184">
        <v>16</v>
      </c>
      <c r="H2184" t="s">
        <v>859</v>
      </c>
      <c r="I2184" t="s">
        <v>79</v>
      </c>
      <c r="J2184">
        <v>50</v>
      </c>
      <c r="K2184" t="s">
        <v>79</v>
      </c>
      <c r="L2184">
        <v>1</v>
      </c>
      <c r="M2184">
        <v>17.68</v>
      </c>
      <c r="N2184">
        <v>1.6</v>
      </c>
      <c r="O2184">
        <v>11</v>
      </c>
      <c r="Q2184">
        <v>16.079999999999998</v>
      </c>
      <c r="R2184" t="s">
        <v>1287</v>
      </c>
      <c r="V2184">
        <v>0</v>
      </c>
      <c r="W2184">
        <v>0</v>
      </c>
      <c r="AF2184">
        <v>0</v>
      </c>
      <c r="AG2184">
        <v>0</v>
      </c>
      <c r="AH2184">
        <v>0</v>
      </c>
      <c r="AI2184">
        <v>12</v>
      </c>
      <c r="AJ2184">
        <v>12</v>
      </c>
      <c r="AM2184">
        <v>0</v>
      </c>
      <c r="AN2184">
        <v>23.08</v>
      </c>
      <c r="AP2184">
        <v>47</v>
      </c>
      <c r="AQ2184">
        <v>47</v>
      </c>
    </row>
    <row r="2185" spans="1:43" x14ac:dyDescent="0.25">
      <c r="A2185" t="s">
        <v>46</v>
      </c>
      <c r="B2185">
        <v>4</v>
      </c>
      <c r="C2185" t="s">
        <v>728</v>
      </c>
      <c r="D2185" s="39">
        <v>45978</v>
      </c>
      <c r="E2185" t="s">
        <v>276</v>
      </c>
      <c r="F2185" t="s">
        <v>79</v>
      </c>
      <c r="G2185">
        <v>16</v>
      </c>
      <c r="H2185" t="s">
        <v>113</v>
      </c>
      <c r="I2185" t="s">
        <v>79</v>
      </c>
      <c r="J2185">
        <v>1000</v>
      </c>
      <c r="K2185" t="s">
        <v>79</v>
      </c>
      <c r="L2185">
        <v>13</v>
      </c>
      <c r="M2185">
        <v>649.67999999999995</v>
      </c>
      <c r="N2185">
        <v>20.8</v>
      </c>
      <c r="O2185">
        <v>35</v>
      </c>
      <c r="Q2185">
        <v>628.88</v>
      </c>
      <c r="R2185" t="s">
        <v>1293</v>
      </c>
      <c r="V2185">
        <v>0</v>
      </c>
      <c r="W2185">
        <v>0</v>
      </c>
      <c r="AF2185">
        <v>0</v>
      </c>
      <c r="AG2185">
        <v>0</v>
      </c>
      <c r="AH2185">
        <v>0</v>
      </c>
      <c r="AI2185">
        <v>12</v>
      </c>
      <c r="AJ2185">
        <v>12</v>
      </c>
      <c r="AM2185">
        <v>0</v>
      </c>
      <c r="AN2185">
        <v>635.88</v>
      </c>
      <c r="AP2185">
        <v>47</v>
      </c>
      <c r="AQ2185">
        <v>47</v>
      </c>
    </row>
    <row r="2186" spans="1:43" x14ac:dyDescent="0.25">
      <c r="A2186" t="s">
        <v>46</v>
      </c>
      <c r="B2186">
        <v>4</v>
      </c>
      <c r="C2186" t="s">
        <v>1294</v>
      </c>
      <c r="D2186" s="39">
        <v>45978</v>
      </c>
      <c r="E2186" t="s">
        <v>394</v>
      </c>
      <c r="F2186" t="s">
        <v>79</v>
      </c>
      <c r="G2186">
        <v>16</v>
      </c>
      <c r="H2186" t="s">
        <v>122</v>
      </c>
      <c r="I2186" t="s">
        <v>79</v>
      </c>
      <c r="J2186">
        <v>300</v>
      </c>
      <c r="K2186" t="s">
        <v>79</v>
      </c>
      <c r="L2186">
        <v>2</v>
      </c>
      <c r="M2186">
        <v>97.82</v>
      </c>
      <c r="N2186">
        <v>3.2</v>
      </c>
      <c r="Q2186">
        <v>94.61999999999999</v>
      </c>
      <c r="R2186" t="s">
        <v>1295</v>
      </c>
      <c r="V2186">
        <v>0</v>
      </c>
      <c r="W2186">
        <v>0</v>
      </c>
      <c r="AF2186">
        <v>0</v>
      </c>
      <c r="AG2186">
        <v>0</v>
      </c>
      <c r="AH2186">
        <v>0</v>
      </c>
      <c r="AI2186">
        <v>12</v>
      </c>
      <c r="AJ2186">
        <v>12</v>
      </c>
      <c r="AM2186">
        <v>0</v>
      </c>
      <c r="AN2186">
        <v>101.62</v>
      </c>
      <c r="AP2186">
        <v>47</v>
      </c>
      <c r="AQ2186">
        <v>47</v>
      </c>
    </row>
    <row r="2187" spans="1:43" x14ac:dyDescent="0.25">
      <c r="A2187" t="s">
        <v>45</v>
      </c>
      <c r="B2187">
        <v>5</v>
      </c>
      <c r="C2187" t="s">
        <v>1218</v>
      </c>
      <c r="D2187" s="39">
        <v>45978</v>
      </c>
      <c r="E2187" t="s">
        <v>1187</v>
      </c>
      <c r="F2187" t="s">
        <v>79</v>
      </c>
      <c r="G2187">
        <v>15</v>
      </c>
      <c r="H2187" t="s">
        <v>102</v>
      </c>
      <c r="I2187" t="s">
        <v>79</v>
      </c>
      <c r="J2187">
        <v>200</v>
      </c>
      <c r="K2187" t="s">
        <v>79</v>
      </c>
      <c r="L2187">
        <v>7</v>
      </c>
      <c r="M2187">
        <v>447.03999999999996</v>
      </c>
      <c r="N2187">
        <v>10.32</v>
      </c>
      <c r="O2187">
        <v>7</v>
      </c>
      <c r="Q2187">
        <v>436.71999999999997</v>
      </c>
      <c r="R2187" t="s">
        <v>1288</v>
      </c>
      <c r="V2187">
        <v>0</v>
      </c>
      <c r="W2187">
        <v>0</v>
      </c>
      <c r="AF2187">
        <v>0</v>
      </c>
      <c r="AG2187">
        <v>0</v>
      </c>
      <c r="AH2187">
        <v>0</v>
      </c>
      <c r="AI2187">
        <v>12</v>
      </c>
      <c r="AJ2187">
        <v>12</v>
      </c>
      <c r="AM2187">
        <v>0</v>
      </c>
      <c r="AN2187">
        <v>443.72</v>
      </c>
      <c r="AP2187">
        <v>47</v>
      </c>
      <c r="AQ2187">
        <v>47</v>
      </c>
    </row>
    <row r="2188" spans="1:43" x14ac:dyDescent="0.25">
      <c r="A2188" t="s">
        <v>45</v>
      </c>
      <c r="B2188">
        <v>5</v>
      </c>
      <c r="C2188" t="s">
        <v>1296</v>
      </c>
      <c r="D2188" s="39">
        <v>45978</v>
      </c>
      <c r="E2188" t="s">
        <v>200</v>
      </c>
      <c r="F2188" t="s">
        <v>79</v>
      </c>
      <c r="G2188">
        <v>15</v>
      </c>
      <c r="H2188" t="s">
        <v>578</v>
      </c>
      <c r="I2188" t="s">
        <v>79</v>
      </c>
      <c r="J2188">
        <v>300</v>
      </c>
      <c r="K2188" t="s">
        <v>79</v>
      </c>
      <c r="L2188">
        <v>2</v>
      </c>
      <c r="M2188">
        <v>66.349999999999994</v>
      </c>
      <c r="N2188">
        <v>3.7</v>
      </c>
      <c r="Q2188">
        <v>62.649999999999991</v>
      </c>
      <c r="R2188" t="s">
        <v>1297</v>
      </c>
      <c r="V2188">
        <v>0</v>
      </c>
      <c r="W2188">
        <v>0</v>
      </c>
      <c r="AF2188">
        <v>0</v>
      </c>
      <c r="AG2188">
        <v>0</v>
      </c>
      <c r="AH2188">
        <v>0</v>
      </c>
      <c r="AI2188">
        <v>12</v>
      </c>
      <c r="AJ2188">
        <v>12</v>
      </c>
      <c r="AM2188">
        <v>0</v>
      </c>
      <c r="AN2188">
        <v>69.649999999999991</v>
      </c>
      <c r="AP2188">
        <v>47</v>
      </c>
      <c r="AQ2188">
        <v>47</v>
      </c>
    </row>
    <row r="2189" spans="1:43" x14ac:dyDescent="0.25">
      <c r="A2189" t="s">
        <v>46</v>
      </c>
      <c r="B2189">
        <v>5</v>
      </c>
      <c r="C2189" t="s">
        <v>1296</v>
      </c>
      <c r="D2189" s="39">
        <v>45978</v>
      </c>
      <c r="E2189" t="s">
        <v>200</v>
      </c>
      <c r="F2189" t="s">
        <v>79</v>
      </c>
      <c r="G2189">
        <v>15</v>
      </c>
      <c r="H2189" t="s">
        <v>578</v>
      </c>
      <c r="I2189" t="s">
        <v>79</v>
      </c>
      <c r="J2189">
        <v>300</v>
      </c>
      <c r="K2189" t="s">
        <v>79</v>
      </c>
      <c r="L2189">
        <v>6</v>
      </c>
      <c r="M2189">
        <v>243.30999999999997</v>
      </c>
      <c r="N2189">
        <v>9</v>
      </c>
      <c r="O2189">
        <v>7</v>
      </c>
      <c r="Q2189">
        <v>234.30999999999997</v>
      </c>
      <c r="R2189" t="s">
        <v>1297</v>
      </c>
      <c r="S2189">
        <v>25</v>
      </c>
      <c r="V2189">
        <v>25</v>
      </c>
      <c r="W2189">
        <v>0.41666666666666674</v>
      </c>
      <c r="AF2189">
        <v>0</v>
      </c>
      <c r="AG2189">
        <v>0</v>
      </c>
      <c r="AH2189">
        <v>0.41666666666666674</v>
      </c>
      <c r="AI2189">
        <v>11.583333333333334</v>
      </c>
      <c r="AJ2189">
        <v>12</v>
      </c>
      <c r="AM2189">
        <v>0</v>
      </c>
      <c r="AN2189">
        <v>241.30999999999997</v>
      </c>
      <c r="AP2189">
        <v>47</v>
      </c>
      <c r="AQ2189">
        <v>47</v>
      </c>
    </row>
    <row r="2190" spans="1:43" x14ac:dyDescent="0.25">
      <c r="A2190" t="s">
        <v>46</v>
      </c>
      <c r="B2190">
        <v>5</v>
      </c>
      <c r="C2190" t="s">
        <v>1298</v>
      </c>
      <c r="D2190" s="39">
        <v>45978</v>
      </c>
      <c r="E2190" t="s">
        <v>486</v>
      </c>
      <c r="F2190" t="s">
        <v>79</v>
      </c>
      <c r="G2190">
        <v>12</v>
      </c>
      <c r="H2190">
        <v>5</v>
      </c>
      <c r="I2190" t="s">
        <v>79</v>
      </c>
      <c r="J2190">
        <v>3500</v>
      </c>
      <c r="K2190" t="s">
        <v>79</v>
      </c>
      <c r="L2190">
        <v>4</v>
      </c>
      <c r="M2190">
        <v>238.5</v>
      </c>
      <c r="N2190">
        <v>4.8</v>
      </c>
      <c r="Q2190">
        <v>233.7</v>
      </c>
      <c r="R2190" t="s">
        <v>1299</v>
      </c>
      <c r="V2190">
        <v>0</v>
      </c>
      <c r="W2190">
        <v>0</v>
      </c>
      <c r="AF2190">
        <v>0</v>
      </c>
      <c r="AG2190">
        <v>0</v>
      </c>
      <c r="AH2190">
        <v>0</v>
      </c>
      <c r="AI2190">
        <v>12</v>
      </c>
      <c r="AJ2190">
        <v>12</v>
      </c>
      <c r="AM2190">
        <v>0</v>
      </c>
      <c r="AN2190">
        <v>240.7</v>
      </c>
      <c r="AP2190">
        <v>47</v>
      </c>
      <c r="AQ2190">
        <v>47</v>
      </c>
    </row>
    <row r="2191" spans="1:43" x14ac:dyDescent="0.25">
      <c r="A2191" t="s">
        <v>45</v>
      </c>
      <c r="B2191">
        <v>1</v>
      </c>
      <c r="C2191" t="s">
        <v>1197</v>
      </c>
      <c r="D2191" s="39">
        <v>45979</v>
      </c>
      <c r="E2191" t="s">
        <v>486</v>
      </c>
      <c r="F2191" t="s">
        <v>79</v>
      </c>
      <c r="G2191">
        <v>2.5</v>
      </c>
      <c r="H2191" t="s">
        <v>92</v>
      </c>
      <c r="I2191" t="s">
        <v>79</v>
      </c>
      <c r="J2191">
        <v>1000</v>
      </c>
      <c r="K2191" t="s">
        <v>79</v>
      </c>
      <c r="L2191">
        <v>4</v>
      </c>
      <c r="M2191">
        <v>51.95</v>
      </c>
      <c r="N2191">
        <v>0.8</v>
      </c>
      <c r="O2191">
        <v>5.5</v>
      </c>
      <c r="Q2191">
        <v>51.150000000000006</v>
      </c>
      <c r="R2191" t="s">
        <v>1268</v>
      </c>
      <c r="U2191">
        <v>450</v>
      </c>
      <c r="V2191">
        <v>450</v>
      </c>
      <c r="W2191">
        <v>7.5</v>
      </c>
      <c r="AF2191">
        <v>0</v>
      </c>
      <c r="AG2191">
        <v>0</v>
      </c>
      <c r="AH2191">
        <v>7.5</v>
      </c>
      <c r="AI2191">
        <v>4.5</v>
      </c>
      <c r="AJ2191">
        <v>12</v>
      </c>
      <c r="AM2191">
        <v>0</v>
      </c>
      <c r="AN2191">
        <v>58.150000000000006</v>
      </c>
      <c r="AP2191">
        <v>47</v>
      </c>
      <c r="AQ2191">
        <v>47</v>
      </c>
    </row>
    <row r="2192" spans="1:43" x14ac:dyDescent="0.25">
      <c r="A2192" t="s">
        <v>46</v>
      </c>
      <c r="B2192">
        <v>1</v>
      </c>
      <c r="C2192" t="s">
        <v>1197</v>
      </c>
      <c r="D2192" s="39">
        <v>45979</v>
      </c>
      <c r="E2192" t="s">
        <v>486</v>
      </c>
      <c r="F2192" t="s">
        <v>79</v>
      </c>
      <c r="G2192">
        <v>2.5</v>
      </c>
      <c r="H2192" t="s">
        <v>92</v>
      </c>
      <c r="I2192" t="s">
        <v>79</v>
      </c>
      <c r="J2192">
        <v>1000</v>
      </c>
      <c r="K2192" t="s">
        <v>79</v>
      </c>
      <c r="L2192">
        <v>4</v>
      </c>
      <c r="M2192">
        <v>52.489999999999995</v>
      </c>
      <c r="N2192">
        <v>0.8</v>
      </c>
      <c r="O2192">
        <v>5.5</v>
      </c>
      <c r="Q2192">
        <v>51.69</v>
      </c>
      <c r="R2192" t="s">
        <v>1268</v>
      </c>
      <c r="V2192">
        <v>0</v>
      </c>
      <c r="W2192">
        <v>0</v>
      </c>
      <c r="Z2192">
        <v>60</v>
      </c>
      <c r="AF2192">
        <v>60</v>
      </c>
      <c r="AG2192">
        <v>1</v>
      </c>
      <c r="AH2192">
        <v>1</v>
      </c>
      <c r="AI2192">
        <v>11</v>
      </c>
      <c r="AJ2192">
        <v>12</v>
      </c>
      <c r="AM2192">
        <v>0</v>
      </c>
      <c r="AN2192">
        <v>58.69</v>
      </c>
      <c r="AP2192">
        <v>47</v>
      </c>
      <c r="AQ2192">
        <v>47</v>
      </c>
    </row>
    <row r="2193" spans="1:43" x14ac:dyDescent="0.25">
      <c r="A2193" t="s">
        <v>46</v>
      </c>
      <c r="B2193">
        <v>1</v>
      </c>
      <c r="C2193" t="s">
        <v>1197</v>
      </c>
      <c r="D2193" s="39">
        <v>45979</v>
      </c>
      <c r="E2193" t="s">
        <v>486</v>
      </c>
      <c r="F2193" t="s">
        <v>79</v>
      </c>
      <c r="G2193">
        <v>2.5</v>
      </c>
      <c r="H2193" t="s">
        <v>92</v>
      </c>
      <c r="I2193" t="s">
        <v>79</v>
      </c>
      <c r="J2193">
        <v>1000</v>
      </c>
      <c r="K2193" t="s">
        <v>79</v>
      </c>
      <c r="L2193">
        <v>3</v>
      </c>
      <c r="M2193">
        <v>71.41</v>
      </c>
      <c r="N2193">
        <v>0.60000000000000009</v>
      </c>
      <c r="Q2193">
        <v>70.81</v>
      </c>
      <c r="R2193" t="s">
        <v>1268</v>
      </c>
      <c r="V2193">
        <v>0</v>
      </c>
      <c r="W2193">
        <v>0</v>
      </c>
      <c r="AF2193">
        <v>0</v>
      </c>
      <c r="AG2193">
        <v>0</v>
      </c>
      <c r="AH2193">
        <v>0</v>
      </c>
      <c r="AI2193">
        <v>12</v>
      </c>
      <c r="AJ2193">
        <v>12</v>
      </c>
      <c r="AM2193">
        <v>0</v>
      </c>
      <c r="AN2193">
        <v>77.81</v>
      </c>
      <c r="AP2193">
        <v>47</v>
      </c>
      <c r="AQ2193">
        <v>47</v>
      </c>
    </row>
    <row r="2194" spans="1:43" x14ac:dyDescent="0.25">
      <c r="A2194" t="s">
        <v>45</v>
      </c>
      <c r="B2194">
        <v>2</v>
      </c>
      <c r="C2194" t="s">
        <v>1204</v>
      </c>
      <c r="D2194" s="39">
        <v>45979</v>
      </c>
      <c r="E2194" t="s">
        <v>486</v>
      </c>
      <c r="F2194" t="s">
        <v>79</v>
      </c>
      <c r="G2194">
        <v>4</v>
      </c>
      <c r="H2194" t="s">
        <v>113</v>
      </c>
      <c r="I2194" t="s">
        <v>79</v>
      </c>
      <c r="J2194">
        <v>1000</v>
      </c>
      <c r="K2194" t="s">
        <v>79</v>
      </c>
      <c r="L2194">
        <v>5</v>
      </c>
      <c r="M2194">
        <v>74.460000000000008</v>
      </c>
      <c r="N2194">
        <v>2</v>
      </c>
      <c r="Q2194">
        <v>72.460000000000008</v>
      </c>
      <c r="R2194" t="s">
        <v>1273</v>
      </c>
      <c r="U2194">
        <v>450</v>
      </c>
      <c r="V2194">
        <v>450</v>
      </c>
      <c r="W2194">
        <v>7.5</v>
      </c>
      <c r="AF2194">
        <v>0</v>
      </c>
      <c r="AG2194">
        <v>0</v>
      </c>
      <c r="AH2194">
        <v>7.5</v>
      </c>
      <c r="AI2194">
        <v>4.5</v>
      </c>
      <c r="AJ2194">
        <v>12</v>
      </c>
      <c r="AM2194">
        <v>0</v>
      </c>
      <c r="AN2194">
        <v>79.459999999999994</v>
      </c>
      <c r="AP2194">
        <v>47</v>
      </c>
      <c r="AQ2194">
        <v>47</v>
      </c>
    </row>
    <row r="2195" spans="1:43" x14ac:dyDescent="0.25">
      <c r="A2195" t="s">
        <v>46</v>
      </c>
      <c r="B2195">
        <v>2</v>
      </c>
      <c r="C2195" t="s">
        <v>1204</v>
      </c>
      <c r="D2195" s="39">
        <v>45979</v>
      </c>
      <c r="E2195" t="s">
        <v>486</v>
      </c>
      <c r="F2195" t="s">
        <v>79</v>
      </c>
      <c r="G2195">
        <v>4</v>
      </c>
      <c r="H2195" t="s">
        <v>113</v>
      </c>
      <c r="I2195" t="s">
        <v>79</v>
      </c>
      <c r="J2195">
        <v>1000</v>
      </c>
      <c r="K2195" t="s">
        <v>79</v>
      </c>
      <c r="L2195">
        <v>11</v>
      </c>
      <c r="M2195">
        <v>180.06000000000003</v>
      </c>
      <c r="N2195">
        <v>4.4000000000000004</v>
      </c>
      <c r="Q2195">
        <v>175.66000000000003</v>
      </c>
      <c r="R2195" t="s">
        <v>1273</v>
      </c>
      <c r="V2195">
        <v>0</v>
      </c>
      <c r="W2195">
        <v>0</v>
      </c>
      <c r="AF2195">
        <v>0</v>
      </c>
      <c r="AG2195">
        <v>0</v>
      </c>
      <c r="AH2195">
        <v>0</v>
      </c>
      <c r="AI2195">
        <v>12</v>
      </c>
      <c r="AJ2195">
        <v>12</v>
      </c>
      <c r="AM2195">
        <v>0</v>
      </c>
      <c r="AN2195">
        <v>182.66000000000005</v>
      </c>
      <c r="AP2195">
        <v>47</v>
      </c>
      <c r="AQ2195">
        <v>47</v>
      </c>
    </row>
    <row r="2196" spans="1:43" x14ac:dyDescent="0.25">
      <c r="A2196" t="s">
        <v>45</v>
      </c>
      <c r="B2196">
        <v>3</v>
      </c>
      <c r="C2196" t="s">
        <v>1291</v>
      </c>
      <c r="D2196" s="39">
        <v>45979</v>
      </c>
      <c r="E2196" t="s">
        <v>477</v>
      </c>
      <c r="F2196" t="s">
        <v>79</v>
      </c>
      <c r="G2196">
        <v>9</v>
      </c>
      <c r="H2196" t="s">
        <v>1049</v>
      </c>
      <c r="I2196" t="s">
        <v>79</v>
      </c>
      <c r="J2196">
        <v>100</v>
      </c>
      <c r="K2196" t="s">
        <v>79</v>
      </c>
      <c r="L2196">
        <v>2</v>
      </c>
      <c r="M2196">
        <v>72.69</v>
      </c>
      <c r="N2196">
        <v>2.4</v>
      </c>
      <c r="Q2196">
        <v>70.289999999999992</v>
      </c>
      <c r="R2196" t="s">
        <v>1292</v>
      </c>
      <c r="V2196">
        <v>0</v>
      </c>
      <c r="W2196">
        <v>0</v>
      </c>
      <c r="AF2196">
        <v>0</v>
      </c>
      <c r="AG2196">
        <v>0</v>
      </c>
      <c r="AH2196">
        <v>0</v>
      </c>
      <c r="AI2196">
        <v>12</v>
      </c>
      <c r="AJ2196">
        <v>12</v>
      </c>
      <c r="AM2196">
        <v>0</v>
      </c>
      <c r="AN2196">
        <v>77.290000000000006</v>
      </c>
      <c r="AP2196">
        <v>47</v>
      </c>
      <c r="AQ2196">
        <v>47</v>
      </c>
    </row>
    <row r="2197" spans="1:43" x14ac:dyDescent="0.25">
      <c r="A2197" t="s">
        <v>45</v>
      </c>
      <c r="B2197">
        <v>3</v>
      </c>
      <c r="C2197" t="s">
        <v>1300</v>
      </c>
      <c r="D2197" s="39">
        <v>45979</v>
      </c>
      <c r="E2197" t="s">
        <v>486</v>
      </c>
      <c r="F2197" t="s">
        <v>79</v>
      </c>
      <c r="G2197">
        <v>9</v>
      </c>
      <c r="H2197" t="s">
        <v>113</v>
      </c>
      <c r="I2197" t="s">
        <v>79</v>
      </c>
      <c r="J2197">
        <v>1000</v>
      </c>
      <c r="K2197" t="s">
        <v>79</v>
      </c>
      <c r="L2197">
        <v>1</v>
      </c>
      <c r="M2197">
        <v>44.08</v>
      </c>
      <c r="N2197">
        <v>1.2</v>
      </c>
      <c r="Q2197">
        <v>42.879999999999995</v>
      </c>
      <c r="R2197" t="s">
        <v>1301</v>
      </c>
      <c r="U2197">
        <v>450</v>
      </c>
      <c r="V2197">
        <v>450</v>
      </c>
      <c r="W2197">
        <v>7.5</v>
      </c>
      <c r="AF2197">
        <v>0</v>
      </c>
      <c r="AG2197">
        <v>0</v>
      </c>
      <c r="AH2197">
        <v>7.5</v>
      </c>
      <c r="AI2197">
        <v>4.5</v>
      </c>
      <c r="AJ2197">
        <v>12</v>
      </c>
      <c r="AM2197">
        <v>0</v>
      </c>
      <c r="AN2197">
        <v>49.879999999999995</v>
      </c>
      <c r="AP2197">
        <v>47</v>
      </c>
      <c r="AQ2197">
        <v>47</v>
      </c>
    </row>
    <row r="2198" spans="1:43" x14ac:dyDescent="0.25">
      <c r="A2198" t="s">
        <v>46</v>
      </c>
      <c r="B2198">
        <v>3</v>
      </c>
      <c r="C2198" t="s">
        <v>1300</v>
      </c>
      <c r="D2198" s="39">
        <v>45979</v>
      </c>
      <c r="E2198" t="s">
        <v>486</v>
      </c>
      <c r="F2198" t="s">
        <v>79</v>
      </c>
      <c r="G2198">
        <v>9</v>
      </c>
      <c r="H2198" t="s">
        <v>113</v>
      </c>
      <c r="I2198" t="s">
        <v>79</v>
      </c>
      <c r="J2198">
        <v>1000</v>
      </c>
      <c r="K2198" t="s">
        <v>79</v>
      </c>
      <c r="L2198">
        <v>9</v>
      </c>
      <c r="M2198">
        <v>334.85999999999996</v>
      </c>
      <c r="N2198">
        <v>8.1</v>
      </c>
      <c r="Q2198">
        <v>326.75999999999993</v>
      </c>
      <c r="R2198" t="s">
        <v>1301</v>
      </c>
      <c r="V2198">
        <v>0</v>
      </c>
      <c r="W2198">
        <v>0</v>
      </c>
      <c r="AF2198">
        <v>0</v>
      </c>
      <c r="AG2198">
        <v>0</v>
      </c>
      <c r="AH2198">
        <v>0</v>
      </c>
      <c r="AI2198">
        <v>12</v>
      </c>
      <c r="AJ2198">
        <v>12</v>
      </c>
      <c r="AM2198">
        <v>0</v>
      </c>
      <c r="AN2198">
        <v>333.75999999999993</v>
      </c>
      <c r="AP2198">
        <v>47</v>
      </c>
      <c r="AQ2198">
        <v>47</v>
      </c>
    </row>
    <row r="2199" spans="1:43" x14ac:dyDescent="0.25">
      <c r="A2199" t="s">
        <v>45</v>
      </c>
      <c r="B2199">
        <v>4</v>
      </c>
      <c r="C2199" t="s">
        <v>1294</v>
      </c>
      <c r="D2199" s="39">
        <v>45979</v>
      </c>
      <c r="E2199" t="s">
        <v>394</v>
      </c>
      <c r="F2199" t="s">
        <v>79</v>
      </c>
      <c r="G2199">
        <v>16</v>
      </c>
      <c r="H2199" t="s">
        <v>122</v>
      </c>
      <c r="I2199" t="s">
        <v>79</v>
      </c>
      <c r="J2199">
        <v>300</v>
      </c>
      <c r="K2199" t="s">
        <v>79</v>
      </c>
      <c r="L2199">
        <v>4</v>
      </c>
      <c r="M2199">
        <v>217.47</v>
      </c>
      <c r="N2199">
        <v>7.75</v>
      </c>
      <c r="O2199">
        <v>16</v>
      </c>
      <c r="Q2199">
        <v>209.72</v>
      </c>
      <c r="R2199" t="s">
        <v>1295</v>
      </c>
      <c r="V2199">
        <v>0</v>
      </c>
      <c r="W2199">
        <v>0</v>
      </c>
      <c r="AF2199">
        <v>0</v>
      </c>
      <c r="AG2199">
        <v>0</v>
      </c>
      <c r="AH2199">
        <v>0</v>
      </c>
      <c r="AI2199">
        <v>12</v>
      </c>
      <c r="AJ2199">
        <v>12</v>
      </c>
      <c r="AM2199">
        <v>0</v>
      </c>
      <c r="AN2199">
        <v>216.72</v>
      </c>
      <c r="AP2199">
        <v>47</v>
      </c>
      <c r="AQ2199">
        <v>47</v>
      </c>
    </row>
    <row r="2200" spans="1:43" x14ac:dyDescent="0.25">
      <c r="A2200" t="s">
        <v>45</v>
      </c>
      <c r="B2200">
        <v>4</v>
      </c>
      <c r="C2200" t="s">
        <v>1302</v>
      </c>
      <c r="D2200" s="39">
        <v>45979</v>
      </c>
      <c r="E2200" t="s">
        <v>357</v>
      </c>
      <c r="F2200" t="s">
        <v>79</v>
      </c>
      <c r="G2200">
        <v>28</v>
      </c>
      <c r="H2200" t="s">
        <v>534</v>
      </c>
      <c r="I2200" t="s">
        <v>79</v>
      </c>
      <c r="J2200">
        <v>75</v>
      </c>
      <c r="K2200" t="s">
        <v>79</v>
      </c>
      <c r="L2200">
        <v>3</v>
      </c>
      <c r="M2200">
        <v>167.05</v>
      </c>
      <c r="N2200">
        <v>10.86</v>
      </c>
      <c r="Q2200">
        <v>156.19</v>
      </c>
      <c r="R2200" t="s">
        <v>1303</v>
      </c>
      <c r="U2200">
        <v>450</v>
      </c>
      <c r="V2200">
        <v>450</v>
      </c>
      <c r="W2200">
        <v>7.5</v>
      </c>
      <c r="AF2200">
        <v>0</v>
      </c>
      <c r="AG2200">
        <v>0</v>
      </c>
      <c r="AH2200">
        <v>7.5</v>
      </c>
      <c r="AI2200">
        <v>4.5</v>
      </c>
      <c r="AJ2200">
        <v>12</v>
      </c>
      <c r="AM2200">
        <v>0</v>
      </c>
      <c r="AN2200">
        <v>163.19</v>
      </c>
      <c r="AP2200">
        <v>47</v>
      </c>
      <c r="AQ2200">
        <v>47</v>
      </c>
    </row>
    <row r="2201" spans="1:43" x14ac:dyDescent="0.25">
      <c r="A2201" t="s">
        <v>46</v>
      </c>
      <c r="B2201">
        <v>4</v>
      </c>
      <c r="C2201" t="s">
        <v>1304</v>
      </c>
      <c r="D2201" s="39">
        <v>45979</v>
      </c>
      <c r="E2201" t="s">
        <v>276</v>
      </c>
      <c r="F2201" t="s">
        <v>79</v>
      </c>
      <c r="G2201">
        <v>28</v>
      </c>
      <c r="H2201" t="s">
        <v>113</v>
      </c>
      <c r="I2201" t="s">
        <v>79</v>
      </c>
      <c r="J2201">
        <v>0</v>
      </c>
      <c r="K2201" t="s">
        <v>79</v>
      </c>
      <c r="L2201">
        <v>8</v>
      </c>
      <c r="M2201">
        <v>517</v>
      </c>
      <c r="N2201">
        <v>22.4</v>
      </c>
      <c r="O2201">
        <v>18</v>
      </c>
      <c r="Q2201">
        <v>494.6</v>
      </c>
      <c r="R2201" t="s">
        <v>1305</v>
      </c>
      <c r="S2201">
        <v>30</v>
      </c>
      <c r="V2201">
        <v>30</v>
      </c>
      <c r="W2201">
        <v>0.5</v>
      </c>
      <c r="AF2201">
        <v>0</v>
      </c>
      <c r="AG2201">
        <v>0</v>
      </c>
      <c r="AH2201">
        <v>0.5</v>
      </c>
      <c r="AI2201">
        <v>11.5</v>
      </c>
      <c r="AJ2201">
        <v>12</v>
      </c>
      <c r="AM2201">
        <v>0</v>
      </c>
      <c r="AN2201">
        <v>501.6</v>
      </c>
      <c r="AP2201">
        <v>47</v>
      </c>
      <c r="AQ2201">
        <v>47</v>
      </c>
    </row>
    <row r="2202" spans="1:43" x14ac:dyDescent="0.25">
      <c r="A2202" t="s">
        <v>46</v>
      </c>
      <c r="B2202">
        <v>4</v>
      </c>
      <c r="C2202" t="s">
        <v>1306</v>
      </c>
      <c r="D2202" s="39">
        <v>45979</v>
      </c>
      <c r="E2202" t="s">
        <v>1307</v>
      </c>
      <c r="F2202" t="s">
        <v>79</v>
      </c>
      <c r="G2202">
        <v>22</v>
      </c>
      <c r="H2202" t="s">
        <v>1049</v>
      </c>
      <c r="I2202" t="s">
        <v>79</v>
      </c>
      <c r="J2202">
        <v>200</v>
      </c>
      <c r="K2202" t="s">
        <v>79</v>
      </c>
      <c r="L2202">
        <v>3</v>
      </c>
      <c r="M2202">
        <v>183.36</v>
      </c>
      <c r="N2202">
        <v>6.6000000000000005</v>
      </c>
      <c r="Q2202">
        <v>176.76000000000002</v>
      </c>
      <c r="R2202" t="s">
        <v>1308</v>
      </c>
      <c r="V2202">
        <v>0</v>
      </c>
      <c r="W2202">
        <v>0</v>
      </c>
      <c r="AF2202">
        <v>0</v>
      </c>
      <c r="AG2202">
        <v>0</v>
      </c>
      <c r="AH2202">
        <v>0</v>
      </c>
      <c r="AI2202">
        <v>12</v>
      </c>
      <c r="AJ2202">
        <v>12</v>
      </c>
      <c r="AM2202">
        <v>0</v>
      </c>
      <c r="AN2202">
        <v>183.76</v>
      </c>
      <c r="AP2202">
        <v>47</v>
      </c>
      <c r="AQ2202">
        <v>47</v>
      </c>
    </row>
    <row r="2203" spans="1:43" x14ac:dyDescent="0.25">
      <c r="A2203" t="s">
        <v>45</v>
      </c>
      <c r="B2203">
        <v>5</v>
      </c>
      <c r="C2203" t="s">
        <v>1298</v>
      </c>
      <c r="D2203" s="39">
        <v>45979</v>
      </c>
      <c r="E2203" t="s">
        <v>486</v>
      </c>
      <c r="F2203" t="s">
        <v>79</v>
      </c>
      <c r="G2203">
        <v>12</v>
      </c>
      <c r="H2203">
        <v>5</v>
      </c>
      <c r="I2203" t="s">
        <v>79</v>
      </c>
      <c r="J2203">
        <v>3500</v>
      </c>
      <c r="K2203" t="s">
        <v>79</v>
      </c>
      <c r="L2203">
        <v>4</v>
      </c>
      <c r="M2203">
        <v>245.68999999999997</v>
      </c>
      <c r="N2203">
        <v>6</v>
      </c>
      <c r="Q2203">
        <v>239.68999999999997</v>
      </c>
      <c r="R2203" t="s">
        <v>1299</v>
      </c>
      <c r="U2203">
        <v>450</v>
      </c>
      <c r="V2203">
        <v>450</v>
      </c>
      <c r="W2203">
        <v>7.5</v>
      </c>
      <c r="AF2203">
        <v>0</v>
      </c>
      <c r="AG2203">
        <v>0</v>
      </c>
      <c r="AH2203">
        <v>7.5</v>
      </c>
      <c r="AI2203">
        <v>4.5</v>
      </c>
      <c r="AJ2203">
        <v>12</v>
      </c>
      <c r="AM2203">
        <v>0</v>
      </c>
      <c r="AN2203">
        <v>246.68999999999997</v>
      </c>
      <c r="AP2203">
        <v>47</v>
      </c>
      <c r="AQ2203">
        <v>47</v>
      </c>
    </row>
    <row r="2204" spans="1:43" x14ac:dyDescent="0.25">
      <c r="A2204" t="s">
        <v>46</v>
      </c>
      <c r="B2204">
        <v>5</v>
      </c>
      <c r="C2204" t="s">
        <v>1298</v>
      </c>
      <c r="D2204" s="39">
        <v>45979</v>
      </c>
      <c r="E2204" t="s">
        <v>486</v>
      </c>
      <c r="F2204" t="s">
        <v>79</v>
      </c>
      <c r="G2204">
        <v>12</v>
      </c>
      <c r="H2204">
        <v>5</v>
      </c>
      <c r="I2204" t="s">
        <v>79</v>
      </c>
      <c r="J2204">
        <v>3500</v>
      </c>
      <c r="K2204" t="s">
        <v>79</v>
      </c>
      <c r="L2204">
        <v>10</v>
      </c>
      <c r="M2204">
        <v>550.13</v>
      </c>
      <c r="N2204">
        <v>12</v>
      </c>
      <c r="Q2204">
        <v>538.13</v>
      </c>
      <c r="R2204" t="s">
        <v>1299</v>
      </c>
      <c r="V2204">
        <v>0</v>
      </c>
      <c r="W2204">
        <v>0</v>
      </c>
      <c r="Z2204">
        <v>60</v>
      </c>
      <c r="AF2204">
        <v>60</v>
      </c>
      <c r="AG2204">
        <v>1</v>
      </c>
      <c r="AH2204">
        <v>1</v>
      </c>
      <c r="AI2204">
        <v>11</v>
      </c>
      <c r="AJ2204">
        <v>12</v>
      </c>
      <c r="AM2204">
        <v>0</v>
      </c>
      <c r="AN2204">
        <v>545.13</v>
      </c>
      <c r="AP2204">
        <v>47</v>
      </c>
      <c r="AQ2204">
        <v>47</v>
      </c>
    </row>
    <row r="2205" spans="1:43" x14ac:dyDescent="0.25">
      <c r="A2205" t="s">
        <v>45</v>
      </c>
      <c r="B2205">
        <v>1</v>
      </c>
      <c r="C2205" t="s">
        <v>1197</v>
      </c>
      <c r="D2205" s="39">
        <v>45980</v>
      </c>
      <c r="E2205" t="s">
        <v>486</v>
      </c>
      <c r="F2205" t="s">
        <v>79</v>
      </c>
      <c r="G2205">
        <v>2.5</v>
      </c>
      <c r="H2205" t="s">
        <v>92</v>
      </c>
      <c r="I2205" t="s">
        <v>79</v>
      </c>
      <c r="J2205">
        <v>1000</v>
      </c>
      <c r="K2205" t="s">
        <v>79</v>
      </c>
      <c r="L2205">
        <v>6</v>
      </c>
      <c r="M2205">
        <v>128.51999999999998</v>
      </c>
      <c r="N2205">
        <v>1.2000000000000002</v>
      </c>
      <c r="O2205">
        <v>16</v>
      </c>
      <c r="Q2205">
        <v>127.31999999999998</v>
      </c>
      <c r="R2205" t="s">
        <v>1268</v>
      </c>
      <c r="V2205">
        <v>0</v>
      </c>
      <c r="W2205">
        <v>0</v>
      </c>
      <c r="AF2205">
        <v>0</v>
      </c>
      <c r="AG2205">
        <v>0</v>
      </c>
      <c r="AH2205">
        <v>0</v>
      </c>
      <c r="AI2205">
        <v>12</v>
      </c>
      <c r="AJ2205">
        <v>12</v>
      </c>
      <c r="AM2205">
        <v>0</v>
      </c>
      <c r="AN2205">
        <v>134.32</v>
      </c>
      <c r="AP2205">
        <v>47</v>
      </c>
      <c r="AQ2205">
        <v>47</v>
      </c>
    </row>
    <row r="2206" spans="1:43" x14ac:dyDescent="0.25">
      <c r="A2206" t="s">
        <v>46</v>
      </c>
      <c r="B2206">
        <v>1</v>
      </c>
      <c r="C2206" t="s">
        <v>1197</v>
      </c>
      <c r="D2206" s="39">
        <v>45980</v>
      </c>
      <c r="E2206" t="s">
        <v>486</v>
      </c>
      <c r="F2206" t="s">
        <v>79</v>
      </c>
      <c r="G2206">
        <v>2.5</v>
      </c>
      <c r="H2206" t="s">
        <v>92</v>
      </c>
      <c r="I2206" t="s">
        <v>79</v>
      </c>
      <c r="J2206">
        <v>1000</v>
      </c>
      <c r="K2206" t="s">
        <v>79</v>
      </c>
      <c r="L2206">
        <v>8</v>
      </c>
      <c r="M2206">
        <v>134.07</v>
      </c>
      <c r="N2206">
        <v>1.6</v>
      </c>
      <c r="Q2206">
        <v>132.47</v>
      </c>
      <c r="R2206" t="s">
        <v>1268</v>
      </c>
      <c r="V2206">
        <v>0</v>
      </c>
      <c r="W2206">
        <v>0</v>
      </c>
      <c r="AF2206">
        <v>0</v>
      </c>
      <c r="AG2206">
        <v>0</v>
      </c>
      <c r="AH2206">
        <v>0</v>
      </c>
      <c r="AI2206">
        <v>12</v>
      </c>
      <c r="AJ2206">
        <v>12</v>
      </c>
      <c r="AM2206">
        <v>0</v>
      </c>
      <c r="AN2206">
        <v>139.47</v>
      </c>
      <c r="AP2206">
        <v>47</v>
      </c>
      <c r="AQ2206">
        <v>47</v>
      </c>
    </row>
    <row r="2207" spans="1:43" x14ac:dyDescent="0.25">
      <c r="A2207" t="s">
        <v>45</v>
      </c>
      <c r="B2207">
        <v>2</v>
      </c>
      <c r="C2207" t="s">
        <v>1204</v>
      </c>
      <c r="D2207" s="39">
        <v>45980</v>
      </c>
      <c r="E2207" t="s">
        <v>486</v>
      </c>
      <c r="F2207" t="s">
        <v>79</v>
      </c>
      <c r="G2207">
        <v>4</v>
      </c>
      <c r="H2207" t="s">
        <v>113</v>
      </c>
      <c r="I2207" t="s">
        <v>79</v>
      </c>
      <c r="J2207">
        <v>1000</v>
      </c>
      <c r="K2207" t="s">
        <v>79</v>
      </c>
      <c r="L2207">
        <v>3</v>
      </c>
      <c r="M2207">
        <v>50.26</v>
      </c>
      <c r="N2207">
        <v>1.2000000000000002</v>
      </c>
      <c r="Q2207">
        <v>49.059999999999995</v>
      </c>
      <c r="R2207" t="s">
        <v>1273</v>
      </c>
      <c r="S2207">
        <v>20</v>
      </c>
      <c r="V2207">
        <v>20</v>
      </c>
      <c r="W2207">
        <v>0.33333333333333331</v>
      </c>
      <c r="AF2207">
        <v>0</v>
      </c>
      <c r="AG2207">
        <v>0</v>
      </c>
      <c r="AH2207">
        <v>0.33333333333333331</v>
      </c>
      <c r="AI2207">
        <v>11.666666666666666</v>
      </c>
      <c r="AJ2207">
        <v>12</v>
      </c>
      <c r="AM2207">
        <v>0</v>
      </c>
      <c r="AN2207">
        <v>56.059999999999995</v>
      </c>
      <c r="AP2207">
        <v>47</v>
      </c>
      <c r="AQ2207">
        <v>47</v>
      </c>
    </row>
    <row r="2208" spans="1:43" x14ac:dyDescent="0.25">
      <c r="A2208" t="s">
        <v>45</v>
      </c>
      <c r="B2208">
        <v>2</v>
      </c>
      <c r="C2208" t="s">
        <v>1145</v>
      </c>
      <c r="D2208" s="39">
        <v>45980</v>
      </c>
      <c r="E2208" t="s">
        <v>486</v>
      </c>
      <c r="F2208" t="s">
        <v>79</v>
      </c>
      <c r="G2208">
        <v>3</v>
      </c>
      <c r="H2208" t="s">
        <v>92</v>
      </c>
      <c r="I2208" t="s">
        <v>79</v>
      </c>
      <c r="J2208">
        <v>1000</v>
      </c>
      <c r="K2208" t="s">
        <v>79</v>
      </c>
      <c r="L2208">
        <v>7</v>
      </c>
      <c r="M2208">
        <v>97.4</v>
      </c>
      <c r="N2208">
        <v>2.1</v>
      </c>
      <c r="Q2208">
        <v>95.300000000000011</v>
      </c>
      <c r="R2208" t="s">
        <v>1225</v>
      </c>
      <c r="V2208">
        <v>0</v>
      </c>
      <c r="W2208">
        <v>0</v>
      </c>
      <c r="AF2208">
        <v>0</v>
      </c>
      <c r="AG2208">
        <v>0</v>
      </c>
      <c r="AH2208">
        <v>0</v>
      </c>
      <c r="AI2208">
        <v>12</v>
      </c>
      <c r="AJ2208">
        <v>12</v>
      </c>
      <c r="AM2208">
        <v>0</v>
      </c>
      <c r="AN2208">
        <v>102.3</v>
      </c>
      <c r="AP2208">
        <v>47</v>
      </c>
      <c r="AQ2208">
        <v>47</v>
      </c>
    </row>
    <row r="2209" spans="1:43" x14ac:dyDescent="0.25">
      <c r="A2209" t="s">
        <v>46</v>
      </c>
      <c r="B2209">
        <v>2</v>
      </c>
      <c r="C2209" t="s">
        <v>1145</v>
      </c>
      <c r="D2209" s="39">
        <v>45980</v>
      </c>
      <c r="E2209" t="s">
        <v>486</v>
      </c>
      <c r="F2209" t="s">
        <v>79</v>
      </c>
      <c r="G2209">
        <v>3</v>
      </c>
      <c r="H2209" t="s">
        <v>92</v>
      </c>
      <c r="I2209" t="s">
        <v>79</v>
      </c>
      <c r="J2209">
        <v>1000</v>
      </c>
      <c r="K2209" t="s">
        <v>79</v>
      </c>
      <c r="L2209">
        <v>9</v>
      </c>
      <c r="M2209">
        <v>122.41000000000001</v>
      </c>
      <c r="N2209">
        <v>2.6999999999999997</v>
      </c>
      <c r="Q2209">
        <v>119.71000000000001</v>
      </c>
      <c r="R2209" t="s">
        <v>1225</v>
      </c>
      <c r="V2209">
        <v>0</v>
      </c>
      <c r="W2209">
        <v>0</v>
      </c>
      <c r="AF2209">
        <v>0</v>
      </c>
      <c r="AG2209">
        <v>0</v>
      </c>
      <c r="AH2209">
        <v>0</v>
      </c>
      <c r="AI2209">
        <v>12</v>
      </c>
      <c r="AJ2209">
        <v>12</v>
      </c>
      <c r="AM2209">
        <v>0</v>
      </c>
      <c r="AN2209">
        <v>126.71</v>
      </c>
      <c r="AP2209">
        <v>47</v>
      </c>
      <c r="AQ2209">
        <v>47</v>
      </c>
    </row>
    <row r="2210" spans="1:43" x14ac:dyDescent="0.25">
      <c r="A2210" t="s">
        <v>45</v>
      </c>
      <c r="B2210">
        <v>3</v>
      </c>
      <c r="C2210" t="s">
        <v>1300</v>
      </c>
      <c r="D2210" s="39">
        <v>45980</v>
      </c>
      <c r="E2210" t="s">
        <v>486</v>
      </c>
      <c r="F2210" t="s">
        <v>79</v>
      </c>
      <c r="G2210">
        <v>9</v>
      </c>
      <c r="H2210" t="s">
        <v>113</v>
      </c>
      <c r="I2210" t="s">
        <v>79</v>
      </c>
      <c r="J2210">
        <v>1000</v>
      </c>
      <c r="K2210" t="s">
        <v>79</v>
      </c>
      <c r="L2210">
        <v>7</v>
      </c>
      <c r="M2210">
        <v>343.61999999999995</v>
      </c>
      <c r="N2210">
        <v>8.4</v>
      </c>
      <c r="Q2210">
        <v>335.21999999999997</v>
      </c>
      <c r="R2210" t="s">
        <v>1301</v>
      </c>
      <c r="V2210">
        <v>0</v>
      </c>
      <c r="W2210">
        <v>0</v>
      </c>
      <c r="AF2210">
        <v>0</v>
      </c>
      <c r="AG2210">
        <v>0</v>
      </c>
      <c r="AH2210">
        <v>0</v>
      </c>
      <c r="AI2210">
        <v>12</v>
      </c>
      <c r="AJ2210">
        <v>12</v>
      </c>
      <c r="AM2210">
        <v>0</v>
      </c>
      <c r="AN2210">
        <v>342.21999999999997</v>
      </c>
      <c r="AP2210">
        <v>47</v>
      </c>
      <c r="AQ2210">
        <v>47</v>
      </c>
    </row>
    <row r="2211" spans="1:43" x14ac:dyDescent="0.25">
      <c r="A2211" t="s">
        <v>45</v>
      </c>
      <c r="B2211">
        <v>4</v>
      </c>
      <c r="C2211" t="s">
        <v>1306</v>
      </c>
      <c r="D2211" s="39">
        <v>45980</v>
      </c>
      <c r="E2211" t="s">
        <v>1307</v>
      </c>
      <c r="F2211" t="s">
        <v>79</v>
      </c>
      <c r="G2211">
        <v>22</v>
      </c>
      <c r="H2211" t="s">
        <v>1049</v>
      </c>
      <c r="I2211" t="s">
        <v>79</v>
      </c>
      <c r="J2211">
        <v>200</v>
      </c>
      <c r="K2211" t="s">
        <v>79</v>
      </c>
      <c r="L2211">
        <v>1</v>
      </c>
      <c r="M2211">
        <v>42.83</v>
      </c>
      <c r="N2211">
        <v>2.8</v>
      </c>
      <c r="Q2211">
        <v>40.03</v>
      </c>
      <c r="R2211" t="s">
        <v>1308</v>
      </c>
      <c r="V2211">
        <v>0</v>
      </c>
      <c r="W2211">
        <v>0</v>
      </c>
      <c r="AF2211">
        <v>0</v>
      </c>
      <c r="AG2211">
        <v>0</v>
      </c>
      <c r="AH2211">
        <v>0</v>
      </c>
      <c r="AI2211">
        <v>12</v>
      </c>
      <c r="AJ2211">
        <v>12</v>
      </c>
      <c r="AM2211">
        <v>0</v>
      </c>
      <c r="AN2211">
        <v>47.03</v>
      </c>
      <c r="AP2211">
        <v>47</v>
      </c>
      <c r="AQ2211">
        <v>47</v>
      </c>
    </row>
    <row r="2212" spans="1:43" x14ac:dyDescent="0.25">
      <c r="A2212" t="s">
        <v>45</v>
      </c>
      <c r="B2212">
        <v>4</v>
      </c>
      <c r="C2212" t="s">
        <v>1309</v>
      </c>
      <c r="D2212" s="39">
        <v>45980</v>
      </c>
      <c r="E2212" t="s">
        <v>674</v>
      </c>
      <c r="F2212" t="s">
        <v>79</v>
      </c>
      <c r="G2212">
        <v>23</v>
      </c>
      <c r="H2212" t="s">
        <v>102</v>
      </c>
      <c r="I2212" t="s">
        <v>79</v>
      </c>
      <c r="J2212">
        <v>375</v>
      </c>
      <c r="K2212" t="s">
        <v>79</v>
      </c>
      <c r="L2212">
        <v>8</v>
      </c>
      <c r="M2212">
        <v>418.73999999999995</v>
      </c>
      <c r="N2212">
        <v>16.79</v>
      </c>
      <c r="Q2212">
        <v>401.94999999999993</v>
      </c>
      <c r="R2212" t="s">
        <v>1310</v>
      </c>
      <c r="S2212">
        <v>20</v>
      </c>
      <c r="V2212">
        <v>20</v>
      </c>
      <c r="W2212">
        <v>0.33333333333333331</v>
      </c>
      <c r="Z2212">
        <v>60</v>
      </c>
      <c r="AF2212">
        <v>60</v>
      </c>
      <c r="AG2212">
        <v>1</v>
      </c>
      <c r="AH2212">
        <v>1.3333333333333333</v>
      </c>
      <c r="AI2212">
        <v>10.666666666666666</v>
      </c>
      <c r="AJ2212">
        <v>12</v>
      </c>
      <c r="AM2212">
        <v>0</v>
      </c>
      <c r="AN2212">
        <v>408.94999999999993</v>
      </c>
      <c r="AP2212">
        <v>47</v>
      </c>
      <c r="AQ2212">
        <v>47</v>
      </c>
    </row>
    <row r="2213" spans="1:43" x14ac:dyDescent="0.25">
      <c r="A2213" t="s">
        <v>45</v>
      </c>
      <c r="B2213">
        <v>4</v>
      </c>
      <c r="C2213" t="s">
        <v>1311</v>
      </c>
      <c r="D2213" s="39">
        <v>45980</v>
      </c>
      <c r="E2213" t="s">
        <v>1312</v>
      </c>
      <c r="F2213" t="s">
        <v>79</v>
      </c>
      <c r="G2213">
        <v>22</v>
      </c>
      <c r="H2213" t="s">
        <v>113</v>
      </c>
      <c r="I2213" t="s">
        <v>79</v>
      </c>
      <c r="J2213">
        <v>200</v>
      </c>
      <c r="K2213" t="s">
        <v>79</v>
      </c>
      <c r="L2213">
        <v>4</v>
      </c>
      <c r="M2213">
        <v>166.29</v>
      </c>
      <c r="N2213">
        <v>10.830000000000002</v>
      </c>
      <c r="O2213">
        <v>10</v>
      </c>
      <c r="Q2213">
        <v>155.45999999999998</v>
      </c>
      <c r="R2213" t="s">
        <v>1313</v>
      </c>
      <c r="V2213">
        <v>0</v>
      </c>
      <c r="W2213">
        <v>0</v>
      </c>
      <c r="AF2213">
        <v>0</v>
      </c>
      <c r="AG2213">
        <v>0</v>
      </c>
      <c r="AH2213">
        <v>0</v>
      </c>
      <c r="AI2213">
        <v>12</v>
      </c>
      <c r="AJ2213">
        <v>12</v>
      </c>
      <c r="AM2213">
        <v>0</v>
      </c>
      <c r="AN2213">
        <v>162.45999999999998</v>
      </c>
      <c r="AP2213">
        <v>47</v>
      </c>
      <c r="AQ2213">
        <v>47</v>
      </c>
    </row>
    <row r="2214" spans="1:43" x14ac:dyDescent="0.25">
      <c r="A2214" t="s">
        <v>45</v>
      </c>
      <c r="B2214">
        <v>4</v>
      </c>
      <c r="C2214" t="s">
        <v>1314</v>
      </c>
      <c r="D2214" s="39">
        <v>45980</v>
      </c>
      <c r="E2214" t="s">
        <v>1312</v>
      </c>
      <c r="F2214" t="s">
        <v>79</v>
      </c>
      <c r="G2214">
        <v>22</v>
      </c>
      <c r="H2214" t="s">
        <v>113</v>
      </c>
      <c r="I2214" t="s">
        <v>79</v>
      </c>
      <c r="J2214">
        <v>100</v>
      </c>
      <c r="K2214" t="s">
        <v>79</v>
      </c>
      <c r="L2214">
        <v>1</v>
      </c>
      <c r="M2214">
        <v>19.739999999999998</v>
      </c>
      <c r="N2214">
        <v>2.7</v>
      </c>
      <c r="Q2214">
        <v>17.04</v>
      </c>
      <c r="R2214" t="s">
        <v>1315</v>
      </c>
      <c r="V2214">
        <v>0</v>
      </c>
      <c r="W2214">
        <v>0</v>
      </c>
      <c r="AF2214">
        <v>0</v>
      </c>
      <c r="AG2214">
        <v>0</v>
      </c>
      <c r="AH2214">
        <v>0</v>
      </c>
      <c r="AI2214">
        <v>12</v>
      </c>
      <c r="AJ2214">
        <v>12</v>
      </c>
      <c r="AM2214">
        <v>0</v>
      </c>
      <c r="AN2214">
        <v>24.04</v>
      </c>
      <c r="AP2214">
        <v>47</v>
      </c>
      <c r="AQ2214">
        <v>47</v>
      </c>
    </row>
    <row r="2215" spans="1:43" x14ac:dyDescent="0.25">
      <c r="A2215" t="s">
        <v>46</v>
      </c>
      <c r="B2215">
        <v>4</v>
      </c>
      <c r="C2215" t="s">
        <v>1309</v>
      </c>
      <c r="D2215" s="39">
        <v>45980</v>
      </c>
      <c r="E2215" t="s">
        <v>674</v>
      </c>
      <c r="F2215" t="s">
        <v>79</v>
      </c>
      <c r="G2215">
        <v>23</v>
      </c>
      <c r="H2215" t="s">
        <v>102</v>
      </c>
      <c r="I2215" t="s">
        <v>79</v>
      </c>
      <c r="J2215">
        <v>375</v>
      </c>
      <c r="K2215" t="s">
        <v>79</v>
      </c>
      <c r="L2215">
        <v>6</v>
      </c>
      <c r="M2215">
        <v>352.39</v>
      </c>
      <c r="N2215">
        <v>13.799999999999999</v>
      </c>
      <c r="O2215">
        <v>24</v>
      </c>
      <c r="Q2215">
        <v>338.59</v>
      </c>
      <c r="R2215" t="s">
        <v>1310</v>
      </c>
      <c r="V2215">
        <v>0</v>
      </c>
      <c r="W2215">
        <v>0</v>
      </c>
      <c r="AF2215">
        <v>0</v>
      </c>
      <c r="AG2215">
        <v>0</v>
      </c>
      <c r="AH2215">
        <v>0</v>
      </c>
      <c r="AI2215">
        <v>12</v>
      </c>
      <c r="AJ2215">
        <v>12</v>
      </c>
      <c r="AM2215">
        <v>0</v>
      </c>
      <c r="AN2215">
        <v>345.59</v>
      </c>
      <c r="AP2215">
        <v>47</v>
      </c>
      <c r="AQ2215">
        <v>47</v>
      </c>
    </row>
    <row r="2216" spans="1:43" x14ac:dyDescent="0.25">
      <c r="A2216" t="s">
        <v>46</v>
      </c>
      <c r="B2216">
        <v>4</v>
      </c>
      <c r="C2216" t="s">
        <v>1316</v>
      </c>
      <c r="D2216" s="39">
        <v>45980</v>
      </c>
      <c r="E2216" t="s">
        <v>674</v>
      </c>
      <c r="F2216" t="s">
        <v>79</v>
      </c>
      <c r="G2216">
        <v>19</v>
      </c>
      <c r="H2216" t="s">
        <v>102</v>
      </c>
      <c r="I2216" t="s">
        <v>79</v>
      </c>
      <c r="J2216">
        <v>250</v>
      </c>
      <c r="K2216" t="s">
        <v>79</v>
      </c>
      <c r="L2216">
        <v>5</v>
      </c>
      <c r="M2216">
        <v>263.65999999999997</v>
      </c>
      <c r="N2216">
        <v>9.5</v>
      </c>
      <c r="Q2216">
        <v>254.15999999999997</v>
      </c>
      <c r="R2216" t="s">
        <v>1317</v>
      </c>
      <c r="V2216">
        <v>0</v>
      </c>
      <c r="W2216">
        <v>0</v>
      </c>
      <c r="AF2216">
        <v>0</v>
      </c>
      <c r="AG2216">
        <v>0</v>
      </c>
      <c r="AH2216">
        <v>0</v>
      </c>
      <c r="AI2216">
        <v>12</v>
      </c>
      <c r="AJ2216">
        <v>12</v>
      </c>
      <c r="AM2216">
        <v>0</v>
      </c>
      <c r="AN2216">
        <v>261.15999999999997</v>
      </c>
      <c r="AP2216">
        <v>47</v>
      </c>
      <c r="AQ2216">
        <v>47</v>
      </c>
    </row>
    <row r="2217" spans="1:43" x14ac:dyDescent="0.25">
      <c r="A2217" t="s">
        <v>45</v>
      </c>
      <c r="B2217">
        <v>5</v>
      </c>
      <c r="C2217" t="s">
        <v>1298</v>
      </c>
      <c r="D2217" s="39">
        <v>45980</v>
      </c>
      <c r="E2217" t="s">
        <v>486</v>
      </c>
      <c r="F2217" t="s">
        <v>79</v>
      </c>
      <c r="G2217">
        <v>12</v>
      </c>
      <c r="H2217">
        <v>5</v>
      </c>
      <c r="I2217" t="s">
        <v>79</v>
      </c>
      <c r="J2217">
        <v>3500</v>
      </c>
      <c r="K2217" t="s">
        <v>79</v>
      </c>
      <c r="L2217">
        <v>9</v>
      </c>
      <c r="M2217">
        <v>578.02</v>
      </c>
      <c r="N2217">
        <v>13.5</v>
      </c>
      <c r="O2217">
        <v>5.5</v>
      </c>
      <c r="Q2217">
        <v>564.52</v>
      </c>
      <c r="R2217" t="s">
        <v>1299</v>
      </c>
      <c r="V2217">
        <v>0</v>
      </c>
      <c r="W2217">
        <v>0</v>
      </c>
      <c r="AF2217">
        <v>0</v>
      </c>
      <c r="AG2217">
        <v>0</v>
      </c>
      <c r="AH2217">
        <v>0</v>
      </c>
      <c r="AI2217">
        <v>12</v>
      </c>
      <c r="AJ2217">
        <v>12</v>
      </c>
      <c r="AM2217">
        <v>0</v>
      </c>
      <c r="AN2217">
        <v>571.52</v>
      </c>
      <c r="AP2217">
        <v>47</v>
      </c>
      <c r="AQ2217">
        <v>47</v>
      </c>
    </row>
    <row r="2218" spans="1:43" x14ac:dyDescent="0.25">
      <c r="A2218" t="s">
        <v>46</v>
      </c>
      <c r="B2218">
        <v>5</v>
      </c>
      <c r="C2218" t="s">
        <v>1298</v>
      </c>
      <c r="D2218" s="39">
        <v>45980</v>
      </c>
      <c r="E2218" t="s">
        <v>486</v>
      </c>
      <c r="F2218" t="s">
        <v>79</v>
      </c>
      <c r="G2218">
        <v>12</v>
      </c>
      <c r="H2218">
        <v>5</v>
      </c>
      <c r="I2218" t="s">
        <v>79</v>
      </c>
      <c r="J2218">
        <v>3500</v>
      </c>
      <c r="K2218" t="s">
        <v>79</v>
      </c>
      <c r="L2218">
        <v>9</v>
      </c>
      <c r="M2218">
        <v>480.90999999999997</v>
      </c>
      <c r="N2218">
        <v>12</v>
      </c>
      <c r="O2218">
        <v>5.5</v>
      </c>
      <c r="Q2218">
        <v>468.90999999999997</v>
      </c>
      <c r="R2218" t="s">
        <v>1299</v>
      </c>
      <c r="V2218">
        <v>0</v>
      </c>
      <c r="W2218">
        <v>0</v>
      </c>
      <c r="AF2218">
        <v>0</v>
      </c>
      <c r="AG2218">
        <v>0</v>
      </c>
      <c r="AH2218">
        <v>0</v>
      </c>
      <c r="AI2218">
        <v>12</v>
      </c>
      <c r="AJ2218">
        <v>12</v>
      </c>
      <c r="AM2218">
        <v>0</v>
      </c>
      <c r="AN2218">
        <v>475.91</v>
      </c>
      <c r="AP2218">
        <v>47</v>
      </c>
      <c r="AQ2218">
        <v>47</v>
      </c>
    </row>
    <row r="2219" spans="1:43" x14ac:dyDescent="0.25">
      <c r="D2219" s="39">
        <v>45981</v>
      </c>
      <c r="E2219" t="s">
        <v>871</v>
      </c>
      <c r="R2219" t="s">
        <v>468</v>
      </c>
      <c r="AP2219">
        <v>47</v>
      </c>
      <c r="AQ2219">
        <v>47</v>
      </c>
    </row>
    <row r="2220" spans="1:43" x14ac:dyDescent="0.25">
      <c r="A2220" t="s">
        <v>45</v>
      </c>
      <c r="B2220">
        <v>1</v>
      </c>
      <c r="C2220" t="s">
        <v>1166</v>
      </c>
      <c r="D2220" s="39">
        <v>45982</v>
      </c>
      <c r="E2220" t="s">
        <v>486</v>
      </c>
      <c r="F2220" t="s">
        <v>79</v>
      </c>
      <c r="G2220">
        <v>2.5</v>
      </c>
      <c r="H2220" t="s">
        <v>92</v>
      </c>
      <c r="I2220" t="s">
        <v>79</v>
      </c>
      <c r="J2220" t="s">
        <v>1167</v>
      </c>
      <c r="K2220" t="s">
        <v>79</v>
      </c>
      <c r="L2220">
        <v>6</v>
      </c>
      <c r="M2220">
        <v>105.2</v>
      </c>
      <c r="N2220">
        <v>1.2000000000000002</v>
      </c>
      <c r="Q2220">
        <v>104</v>
      </c>
      <c r="R2220" t="s">
        <v>1242</v>
      </c>
      <c r="T2220">
        <v>160</v>
      </c>
      <c r="V2220">
        <v>160</v>
      </c>
      <c r="W2220">
        <v>2.6666666666666665</v>
      </c>
      <c r="AF2220">
        <v>0</v>
      </c>
      <c r="AG2220">
        <v>0</v>
      </c>
      <c r="AH2220">
        <v>2.6666666666666665</v>
      </c>
      <c r="AI2220">
        <v>9.3333333333333339</v>
      </c>
      <c r="AJ2220">
        <v>12</v>
      </c>
      <c r="AM2220">
        <v>0</v>
      </c>
      <c r="AN2220">
        <v>111</v>
      </c>
      <c r="AP2220">
        <v>47</v>
      </c>
      <c r="AQ2220">
        <v>47</v>
      </c>
    </row>
    <row r="2221" spans="1:43" x14ac:dyDescent="0.25">
      <c r="A2221" t="s">
        <v>46</v>
      </c>
      <c r="B2221">
        <v>1</v>
      </c>
      <c r="C2221" t="s">
        <v>1166</v>
      </c>
      <c r="D2221" s="39">
        <v>45982</v>
      </c>
      <c r="E2221" t="s">
        <v>486</v>
      </c>
      <c r="F2221" t="s">
        <v>79</v>
      </c>
      <c r="G2221">
        <v>2.5</v>
      </c>
      <c r="H2221" t="s">
        <v>92</v>
      </c>
      <c r="I2221" t="s">
        <v>79</v>
      </c>
      <c r="J2221" t="s">
        <v>1167</v>
      </c>
      <c r="K2221" t="s">
        <v>79</v>
      </c>
      <c r="L2221">
        <v>10</v>
      </c>
      <c r="M2221">
        <v>163.09</v>
      </c>
      <c r="N2221">
        <v>2</v>
      </c>
      <c r="Q2221">
        <v>161.09</v>
      </c>
      <c r="R2221" t="s">
        <v>1242</v>
      </c>
      <c r="V2221">
        <v>0</v>
      </c>
      <c r="W2221">
        <v>0</v>
      </c>
      <c r="AF2221">
        <v>0</v>
      </c>
      <c r="AG2221">
        <v>0</v>
      </c>
      <c r="AH2221">
        <v>0</v>
      </c>
      <c r="AI2221">
        <v>12</v>
      </c>
      <c r="AJ2221">
        <v>12</v>
      </c>
      <c r="AM2221">
        <v>0</v>
      </c>
      <c r="AN2221">
        <v>168.09</v>
      </c>
      <c r="AP2221">
        <v>47</v>
      </c>
      <c r="AQ2221">
        <v>47</v>
      </c>
    </row>
    <row r="2222" spans="1:43" x14ac:dyDescent="0.25">
      <c r="A2222" t="s">
        <v>45</v>
      </c>
      <c r="B2222">
        <v>2</v>
      </c>
      <c r="C2222" t="s">
        <v>1318</v>
      </c>
      <c r="D2222" s="39">
        <v>45982</v>
      </c>
      <c r="E2222" t="s">
        <v>486</v>
      </c>
      <c r="F2222" t="s">
        <v>79</v>
      </c>
      <c r="G2222">
        <v>3</v>
      </c>
      <c r="H2222" t="s">
        <v>92</v>
      </c>
      <c r="I2222" t="s">
        <v>79</v>
      </c>
      <c r="J2222">
        <v>2000</v>
      </c>
      <c r="K2222" t="s">
        <v>79</v>
      </c>
      <c r="L2222">
        <v>8</v>
      </c>
      <c r="M2222">
        <v>104.10999999999999</v>
      </c>
      <c r="N2222">
        <v>2.4</v>
      </c>
      <c r="Q2222">
        <v>101.70999999999998</v>
      </c>
      <c r="R2222" t="s">
        <v>1319</v>
      </c>
      <c r="T2222">
        <v>150</v>
      </c>
      <c r="V2222">
        <v>150</v>
      </c>
      <c r="W2222">
        <v>2.5</v>
      </c>
      <c r="AF2222">
        <v>0</v>
      </c>
      <c r="AG2222">
        <v>0</v>
      </c>
      <c r="AH2222">
        <v>2.5</v>
      </c>
      <c r="AI2222">
        <v>9.5</v>
      </c>
      <c r="AJ2222">
        <v>12</v>
      </c>
      <c r="AM2222">
        <v>0</v>
      </c>
      <c r="AN2222">
        <v>108.70999999999998</v>
      </c>
      <c r="AP2222">
        <v>47</v>
      </c>
      <c r="AQ2222">
        <v>47</v>
      </c>
    </row>
    <row r="2223" spans="1:43" x14ac:dyDescent="0.25">
      <c r="A2223" t="s">
        <v>46</v>
      </c>
      <c r="B2223">
        <v>2</v>
      </c>
      <c r="C2223" t="s">
        <v>1318</v>
      </c>
      <c r="D2223" s="39">
        <v>45982</v>
      </c>
      <c r="E2223" t="s">
        <v>486</v>
      </c>
      <c r="F2223" t="s">
        <v>79</v>
      </c>
      <c r="G2223">
        <v>3</v>
      </c>
      <c r="H2223" t="s">
        <v>92</v>
      </c>
      <c r="I2223" t="s">
        <v>79</v>
      </c>
      <c r="J2223">
        <v>2000</v>
      </c>
      <c r="K2223" t="s">
        <v>79</v>
      </c>
      <c r="L2223">
        <v>10</v>
      </c>
      <c r="M2223">
        <v>132.16</v>
      </c>
      <c r="N2223">
        <v>2.4</v>
      </c>
      <c r="Q2223">
        <v>129.76</v>
      </c>
      <c r="R2223" t="s">
        <v>1319</v>
      </c>
      <c r="T2223">
        <v>150</v>
      </c>
      <c r="V2223">
        <v>150</v>
      </c>
      <c r="W2223">
        <v>2.5</v>
      </c>
      <c r="AF2223">
        <v>0</v>
      </c>
      <c r="AG2223">
        <v>0</v>
      </c>
      <c r="AH2223">
        <v>2.5</v>
      </c>
      <c r="AI2223">
        <v>9.5</v>
      </c>
      <c r="AJ2223">
        <v>12</v>
      </c>
      <c r="AM2223">
        <v>0</v>
      </c>
      <c r="AN2223">
        <v>136.76</v>
      </c>
      <c r="AP2223">
        <v>47</v>
      </c>
      <c r="AQ2223">
        <v>47</v>
      </c>
    </row>
    <row r="2224" spans="1:43" x14ac:dyDescent="0.25">
      <c r="A2224" t="s">
        <v>45</v>
      </c>
      <c r="B2224">
        <v>4</v>
      </c>
      <c r="C2224" t="s">
        <v>1314</v>
      </c>
      <c r="D2224" s="39">
        <v>45982</v>
      </c>
      <c r="E2224" t="s">
        <v>1312</v>
      </c>
      <c r="F2224" t="s">
        <v>79</v>
      </c>
      <c r="G2224">
        <v>22</v>
      </c>
      <c r="H2224" t="s">
        <v>113</v>
      </c>
      <c r="I2224" t="s">
        <v>79</v>
      </c>
      <c r="J2224">
        <v>100</v>
      </c>
      <c r="K2224" t="s">
        <v>79</v>
      </c>
      <c r="L2224">
        <v>2</v>
      </c>
      <c r="M2224">
        <v>86.59</v>
      </c>
      <c r="N2224">
        <v>5.41</v>
      </c>
      <c r="Q2224">
        <v>81.180000000000007</v>
      </c>
      <c r="R2224" t="s">
        <v>1315</v>
      </c>
      <c r="V2224">
        <v>0</v>
      </c>
      <c r="W2224">
        <v>0</v>
      </c>
      <c r="AF2224">
        <v>0</v>
      </c>
      <c r="AG2224">
        <v>0</v>
      </c>
      <c r="AH2224">
        <v>0</v>
      </c>
      <c r="AI2224">
        <v>12</v>
      </c>
      <c r="AJ2224">
        <v>12</v>
      </c>
      <c r="AM2224">
        <v>0</v>
      </c>
      <c r="AN2224">
        <v>88.18</v>
      </c>
      <c r="AP2224">
        <v>47</v>
      </c>
      <c r="AQ2224">
        <v>47</v>
      </c>
    </row>
    <row r="2225" spans="1:43" x14ac:dyDescent="0.25">
      <c r="A2225" t="s">
        <v>45</v>
      </c>
      <c r="B2225">
        <v>4</v>
      </c>
      <c r="C2225" t="s">
        <v>1320</v>
      </c>
      <c r="D2225" s="39">
        <v>45982</v>
      </c>
      <c r="E2225" t="s">
        <v>394</v>
      </c>
      <c r="F2225" t="s">
        <v>79</v>
      </c>
      <c r="G2225" t="s">
        <v>125</v>
      </c>
      <c r="H2225" t="s">
        <v>122</v>
      </c>
      <c r="I2225" t="s">
        <v>79</v>
      </c>
      <c r="J2225">
        <v>100</v>
      </c>
      <c r="K2225" t="s">
        <v>79</v>
      </c>
      <c r="L2225">
        <v>3</v>
      </c>
      <c r="M2225">
        <v>114.47</v>
      </c>
      <c r="N2225">
        <v>8.1700000000000017</v>
      </c>
      <c r="Q2225">
        <v>106.3</v>
      </c>
      <c r="R2225" t="s">
        <v>1321</v>
      </c>
      <c r="V2225">
        <v>0</v>
      </c>
      <c r="W2225">
        <v>0</v>
      </c>
      <c r="AF2225">
        <v>0</v>
      </c>
      <c r="AG2225">
        <v>0</v>
      </c>
      <c r="AH2225">
        <v>0</v>
      </c>
      <c r="AI2225">
        <v>12</v>
      </c>
      <c r="AJ2225">
        <v>12</v>
      </c>
      <c r="AM2225">
        <v>0</v>
      </c>
      <c r="AN2225">
        <v>113.3</v>
      </c>
      <c r="AP2225">
        <v>47</v>
      </c>
      <c r="AQ2225">
        <v>47</v>
      </c>
    </row>
    <row r="2226" spans="1:43" x14ac:dyDescent="0.25">
      <c r="A2226" t="s">
        <v>45</v>
      </c>
      <c r="B2226">
        <v>4</v>
      </c>
      <c r="C2226" t="s">
        <v>1322</v>
      </c>
      <c r="D2226" s="39">
        <v>45982</v>
      </c>
      <c r="E2226" t="s">
        <v>394</v>
      </c>
      <c r="F2226" t="s">
        <v>79</v>
      </c>
      <c r="G2226" t="s">
        <v>125</v>
      </c>
      <c r="H2226" t="s">
        <v>122</v>
      </c>
      <c r="I2226" t="s">
        <v>79</v>
      </c>
      <c r="J2226">
        <v>100</v>
      </c>
      <c r="K2226" t="s">
        <v>79</v>
      </c>
      <c r="L2226">
        <v>3</v>
      </c>
      <c r="M2226">
        <v>108.62</v>
      </c>
      <c r="N2226">
        <v>8.1999999999999993</v>
      </c>
      <c r="Q2226">
        <v>100.42</v>
      </c>
      <c r="R2226" t="s">
        <v>1323</v>
      </c>
      <c r="V2226">
        <v>0</v>
      </c>
      <c r="W2226">
        <v>0</v>
      </c>
      <c r="AF2226">
        <v>0</v>
      </c>
      <c r="AG2226">
        <v>0</v>
      </c>
      <c r="AH2226">
        <v>0</v>
      </c>
      <c r="AI2226">
        <v>12</v>
      </c>
      <c r="AJ2226">
        <v>12</v>
      </c>
      <c r="AM2226">
        <v>0</v>
      </c>
      <c r="AN2226">
        <v>107.42</v>
      </c>
      <c r="AP2226">
        <v>47</v>
      </c>
      <c r="AQ2226">
        <v>47</v>
      </c>
    </row>
    <row r="2227" spans="1:43" x14ac:dyDescent="0.25">
      <c r="A2227" t="s">
        <v>45</v>
      </c>
      <c r="B2227">
        <v>4</v>
      </c>
      <c r="C2227" t="s">
        <v>1324</v>
      </c>
      <c r="D2227" s="39">
        <v>45982</v>
      </c>
      <c r="E2227" t="s">
        <v>1048</v>
      </c>
      <c r="F2227" t="s">
        <v>79</v>
      </c>
      <c r="G2227">
        <v>18</v>
      </c>
      <c r="H2227" t="s">
        <v>859</v>
      </c>
      <c r="I2227" t="s">
        <v>79</v>
      </c>
      <c r="J2227">
        <v>50</v>
      </c>
      <c r="K2227" t="s">
        <v>79</v>
      </c>
      <c r="L2227">
        <v>2</v>
      </c>
      <c r="M2227">
        <v>109.17</v>
      </c>
      <c r="N2227">
        <v>4</v>
      </c>
      <c r="O2227">
        <v>37</v>
      </c>
      <c r="Q2227">
        <v>105.17</v>
      </c>
      <c r="R2227" t="s">
        <v>1325</v>
      </c>
      <c r="S2227">
        <v>15</v>
      </c>
      <c r="T2227">
        <v>200</v>
      </c>
      <c r="V2227">
        <v>215</v>
      </c>
      <c r="W2227">
        <v>3.5833333333333335</v>
      </c>
      <c r="AF2227">
        <v>0</v>
      </c>
      <c r="AG2227">
        <v>0</v>
      </c>
      <c r="AH2227">
        <v>3.5833333333333335</v>
      </c>
      <c r="AI2227">
        <v>8.4166666666666661</v>
      </c>
      <c r="AJ2227">
        <v>12</v>
      </c>
      <c r="AM2227">
        <v>0</v>
      </c>
      <c r="AN2227">
        <v>112.17</v>
      </c>
      <c r="AP2227">
        <v>47</v>
      </c>
      <c r="AQ2227">
        <v>47</v>
      </c>
    </row>
    <row r="2228" spans="1:43" x14ac:dyDescent="0.25">
      <c r="A2228" t="s">
        <v>45</v>
      </c>
      <c r="B2228">
        <v>4</v>
      </c>
      <c r="C2228" t="s">
        <v>1326</v>
      </c>
      <c r="D2228" s="39">
        <v>45982</v>
      </c>
      <c r="E2228" t="s">
        <v>229</v>
      </c>
      <c r="F2228" t="s">
        <v>79</v>
      </c>
      <c r="G2228">
        <v>18</v>
      </c>
      <c r="H2228" t="s">
        <v>102</v>
      </c>
      <c r="I2228" t="s">
        <v>79</v>
      </c>
      <c r="J2228">
        <v>75</v>
      </c>
      <c r="K2228" t="s">
        <v>79</v>
      </c>
      <c r="L2228">
        <v>1</v>
      </c>
      <c r="M2228">
        <v>55.94</v>
      </c>
      <c r="N2228">
        <v>2</v>
      </c>
      <c r="Q2228">
        <v>53.94</v>
      </c>
      <c r="R2228" t="s">
        <v>1327</v>
      </c>
      <c r="V2228">
        <v>0</v>
      </c>
      <c r="W2228">
        <v>0</v>
      </c>
      <c r="AF2228">
        <v>0</v>
      </c>
      <c r="AG2228">
        <v>0</v>
      </c>
      <c r="AH2228">
        <v>0</v>
      </c>
      <c r="AI2228">
        <v>12</v>
      </c>
      <c r="AJ2228">
        <v>12</v>
      </c>
      <c r="AM2228">
        <v>0</v>
      </c>
      <c r="AN2228">
        <v>60.94</v>
      </c>
      <c r="AP2228">
        <v>47</v>
      </c>
      <c r="AQ2228">
        <v>47</v>
      </c>
    </row>
    <row r="2229" spans="1:43" x14ac:dyDescent="0.25">
      <c r="A2229" t="s">
        <v>46</v>
      </c>
      <c r="B2229">
        <v>4</v>
      </c>
      <c r="C2229" t="s">
        <v>1328</v>
      </c>
      <c r="D2229" s="39">
        <v>45982</v>
      </c>
      <c r="E2229" t="s">
        <v>401</v>
      </c>
      <c r="F2229" t="s">
        <v>79</v>
      </c>
      <c r="G2229">
        <v>18</v>
      </c>
      <c r="H2229" t="s">
        <v>1049</v>
      </c>
      <c r="I2229" t="s">
        <v>79</v>
      </c>
      <c r="J2229">
        <v>100</v>
      </c>
      <c r="K2229" t="s">
        <v>79</v>
      </c>
      <c r="L2229">
        <v>2</v>
      </c>
      <c r="M2229">
        <v>59.22</v>
      </c>
      <c r="N2229">
        <v>3.6</v>
      </c>
      <c r="Q2229">
        <v>55.62</v>
      </c>
      <c r="R2229" t="s">
        <v>1329</v>
      </c>
      <c r="V2229">
        <v>0</v>
      </c>
      <c r="W2229">
        <v>0</v>
      </c>
      <c r="AF2229">
        <v>0</v>
      </c>
      <c r="AG2229">
        <v>0</v>
      </c>
      <c r="AH2229">
        <v>0</v>
      </c>
      <c r="AI2229">
        <v>12</v>
      </c>
      <c r="AJ2229">
        <v>12</v>
      </c>
      <c r="AM2229">
        <v>0</v>
      </c>
      <c r="AN2229">
        <v>62.62</v>
      </c>
      <c r="AP2229">
        <v>47</v>
      </c>
      <c r="AQ2229">
        <v>47</v>
      </c>
    </row>
    <row r="2230" spans="1:43" x14ac:dyDescent="0.25">
      <c r="A2230" t="s">
        <v>46</v>
      </c>
      <c r="B2230">
        <v>4</v>
      </c>
      <c r="C2230" t="s">
        <v>1330</v>
      </c>
      <c r="D2230" s="39">
        <v>45982</v>
      </c>
      <c r="E2230" t="s">
        <v>1312</v>
      </c>
      <c r="F2230" t="s">
        <v>79</v>
      </c>
      <c r="G2230">
        <v>18</v>
      </c>
      <c r="H2230" t="s">
        <v>113</v>
      </c>
      <c r="I2230" t="s">
        <v>79</v>
      </c>
      <c r="J2230">
        <v>100</v>
      </c>
      <c r="K2230" t="s">
        <v>79</v>
      </c>
      <c r="L2230">
        <v>2</v>
      </c>
      <c r="M2230">
        <v>114.36</v>
      </c>
      <c r="N2230">
        <v>4.4000000000000004</v>
      </c>
      <c r="Q2230">
        <v>109.96</v>
      </c>
      <c r="R2230" t="s">
        <v>1331</v>
      </c>
      <c r="V2230">
        <v>0</v>
      </c>
      <c r="W2230">
        <v>0</v>
      </c>
      <c r="AF2230">
        <v>0</v>
      </c>
      <c r="AG2230">
        <v>0</v>
      </c>
      <c r="AH2230">
        <v>0</v>
      </c>
      <c r="AI2230">
        <v>12</v>
      </c>
      <c r="AJ2230">
        <v>12</v>
      </c>
      <c r="AM2230">
        <v>0</v>
      </c>
      <c r="AN2230">
        <v>116.96</v>
      </c>
      <c r="AP2230">
        <v>47</v>
      </c>
      <c r="AQ2230">
        <v>47</v>
      </c>
    </row>
    <row r="2231" spans="1:43" x14ac:dyDescent="0.25">
      <c r="A2231" t="s">
        <v>46</v>
      </c>
      <c r="B2231">
        <v>4</v>
      </c>
      <c r="C2231" t="s">
        <v>742</v>
      </c>
      <c r="D2231" s="39">
        <v>45982</v>
      </c>
      <c r="E2231" t="s">
        <v>276</v>
      </c>
      <c r="F2231" t="s">
        <v>79</v>
      </c>
      <c r="G2231">
        <v>18</v>
      </c>
      <c r="H2231" t="s">
        <v>113</v>
      </c>
      <c r="I2231" t="s">
        <v>79</v>
      </c>
      <c r="J2231">
        <v>1000</v>
      </c>
      <c r="K2231" t="s">
        <v>79</v>
      </c>
      <c r="L2231">
        <v>8</v>
      </c>
      <c r="M2231">
        <v>496.32</v>
      </c>
      <c r="N2231">
        <v>14.4</v>
      </c>
      <c r="Q2231">
        <v>481.92</v>
      </c>
      <c r="R2231" t="s">
        <v>1219</v>
      </c>
      <c r="V2231">
        <v>0</v>
      </c>
      <c r="W2231">
        <v>0</v>
      </c>
      <c r="AF2231">
        <v>0</v>
      </c>
      <c r="AG2231">
        <v>0</v>
      </c>
      <c r="AH2231">
        <v>0</v>
      </c>
      <c r="AI2231">
        <v>12</v>
      </c>
      <c r="AJ2231">
        <v>12</v>
      </c>
      <c r="AM2231">
        <v>0</v>
      </c>
      <c r="AN2231">
        <v>488.92</v>
      </c>
      <c r="AP2231">
        <v>47</v>
      </c>
      <c r="AQ2231">
        <v>47</v>
      </c>
    </row>
    <row r="2232" spans="1:43" x14ac:dyDescent="0.25">
      <c r="A2232" t="s">
        <v>45</v>
      </c>
      <c r="B2232">
        <v>5</v>
      </c>
      <c r="C2232" t="s">
        <v>1298</v>
      </c>
      <c r="D2232" s="39">
        <v>45982</v>
      </c>
      <c r="E2232" t="s">
        <v>486</v>
      </c>
      <c r="F2232" t="s">
        <v>79</v>
      </c>
      <c r="G2232">
        <v>12</v>
      </c>
      <c r="H2232">
        <v>5</v>
      </c>
      <c r="I2232" t="s">
        <v>79</v>
      </c>
      <c r="J2232">
        <v>3500</v>
      </c>
      <c r="K2232" t="s">
        <v>79</v>
      </c>
      <c r="L2232">
        <v>7</v>
      </c>
      <c r="M2232">
        <v>429.19</v>
      </c>
      <c r="N2232">
        <v>13.5</v>
      </c>
      <c r="O2232">
        <v>3.5</v>
      </c>
      <c r="Q2232">
        <v>415.69</v>
      </c>
      <c r="R2232" t="s">
        <v>1299</v>
      </c>
      <c r="T2232">
        <v>180</v>
      </c>
      <c r="V2232">
        <v>180</v>
      </c>
      <c r="W2232">
        <v>3</v>
      </c>
      <c r="AF2232">
        <v>0</v>
      </c>
      <c r="AG2232">
        <v>0</v>
      </c>
      <c r="AH2232">
        <v>3</v>
      </c>
      <c r="AI2232">
        <v>9</v>
      </c>
      <c r="AJ2232">
        <v>12</v>
      </c>
      <c r="AM2232">
        <v>0</v>
      </c>
      <c r="AN2232">
        <v>422.69</v>
      </c>
      <c r="AP2232">
        <v>47</v>
      </c>
      <c r="AQ2232">
        <v>47</v>
      </c>
    </row>
    <row r="2233" spans="1:43" x14ac:dyDescent="0.25">
      <c r="A2233" t="s">
        <v>46</v>
      </c>
      <c r="B2233">
        <v>5</v>
      </c>
      <c r="C2233" t="s">
        <v>1298</v>
      </c>
      <c r="D2233" s="39">
        <v>45982</v>
      </c>
      <c r="E2233" t="s">
        <v>486</v>
      </c>
      <c r="F2233" t="s">
        <v>79</v>
      </c>
      <c r="G2233">
        <v>12</v>
      </c>
      <c r="H2233">
        <v>5</v>
      </c>
      <c r="I2233" t="s">
        <v>79</v>
      </c>
      <c r="J2233">
        <v>3500</v>
      </c>
      <c r="K2233" t="s">
        <v>79</v>
      </c>
      <c r="L2233">
        <v>9</v>
      </c>
      <c r="M2233">
        <v>552.89</v>
      </c>
      <c r="N2233">
        <v>10.799999999999999</v>
      </c>
      <c r="O2233">
        <v>3.5</v>
      </c>
      <c r="Q2233">
        <v>542.09</v>
      </c>
      <c r="R2233" t="s">
        <v>1299</v>
      </c>
      <c r="V2233">
        <v>0</v>
      </c>
      <c r="W2233">
        <v>0</v>
      </c>
      <c r="AF2233">
        <v>0</v>
      </c>
      <c r="AG2233">
        <v>0</v>
      </c>
      <c r="AH2233">
        <v>0</v>
      </c>
      <c r="AI2233">
        <v>12</v>
      </c>
      <c r="AJ2233">
        <v>12</v>
      </c>
      <c r="AM2233">
        <v>0</v>
      </c>
      <c r="AN2233">
        <v>549.09</v>
      </c>
      <c r="AP2233">
        <v>47</v>
      </c>
      <c r="AQ2233">
        <v>47</v>
      </c>
    </row>
    <row r="2234" spans="1:43" x14ac:dyDescent="0.25">
      <c r="A2234" t="s">
        <v>45</v>
      </c>
      <c r="B2234">
        <v>1</v>
      </c>
      <c r="C2234" t="s">
        <v>598</v>
      </c>
      <c r="D2234" s="39">
        <v>45983</v>
      </c>
      <c r="E2234" t="s">
        <v>486</v>
      </c>
      <c r="F2234" t="s">
        <v>79</v>
      </c>
      <c r="G2234">
        <v>2.5</v>
      </c>
      <c r="H2234" t="s">
        <v>92</v>
      </c>
      <c r="I2234" t="s">
        <v>79</v>
      </c>
      <c r="J2234">
        <v>20</v>
      </c>
      <c r="K2234" t="s">
        <v>79</v>
      </c>
      <c r="L2234">
        <v>5</v>
      </c>
      <c r="M2234">
        <v>98.67</v>
      </c>
      <c r="N2234">
        <v>10</v>
      </c>
      <c r="Q2234">
        <v>88.67</v>
      </c>
      <c r="R2234" t="s">
        <v>1345</v>
      </c>
      <c r="S2234">
        <v>20</v>
      </c>
      <c r="V2234">
        <v>20</v>
      </c>
      <c r="W2234">
        <v>0.33333333333333331</v>
      </c>
      <c r="AD2234">
        <v>30</v>
      </c>
      <c r="AF2234">
        <v>30</v>
      </c>
      <c r="AG2234">
        <v>0.5</v>
      </c>
      <c r="AH2234">
        <v>0.83333333333333326</v>
      </c>
      <c r="AI2234">
        <v>11.166666666666666</v>
      </c>
      <c r="AJ2234">
        <v>12</v>
      </c>
      <c r="AM2234">
        <v>0</v>
      </c>
      <c r="AN2234">
        <v>95.67</v>
      </c>
      <c r="AP2234">
        <v>47</v>
      </c>
      <c r="AQ2234">
        <v>47</v>
      </c>
    </row>
    <row r="2235" spans="1:43" x14ac:dyDescent="0.25">
      <c r="A2235" t="s">
        <v>45</v>
      </c>
      <c r="B2235">
        <v>1</v>
      </c>
      <c r="C2235" t="s">
        <v>1332</v>
      </c>
      <c r="D2235" s="39">
        <v>45983</v>
      </c>
      <c r="E2235" t="s">
        <v>477</v>
      </c>
      <c r="F2235" t="s">
        <v>79</v>
      </c>
      <c r="G2235">
        <v>4.5</v>
      </c>
      <c r="H2235" t="s">
        <v>1049</v>
      </c>
      <c r="I2235" t="s">
        <v>79</v>
      </c>
      <c r="J2235">
        <v>150</v>
      </c>
      <c r="K2235" t="s">
        <v>79</v>
      </c>
      <c r="L2235">
        <v>2</v>
      </c>
      <c r="M2235">
        <v>29.869999999999997</v>
      </c>
      <c r="N2235">
        <v>0.8</v>
      </c>
      <c r="Q2235">
        <v>29.069999999999997</v>
      </c>
      <c r="R2235" t="s">
        <v>1337</v>
      </c>
      <c r="V2235">
        <v>0</v>
      </c>
      <c r="W2235">
        <v>0</v>
      </c>
      <c r="AF2235">
        <v>0</v>
      </c>
      <c r="AG2235">
        <v>0</v>
      </c>
      <c r="AH2235">
        <v>0</v>
      </c>
      <c r="AI2235">
        <v>12</v>
      </c>
      <c r="AJ2235">
        <v>12</v>
      </c>
      <c r="AM2235">
        <v>0</v>
      </c>
      <c r="AN2235">
        <v>36.069999999999993</v>
      </c>
      <c r="AP2235">
        <v>47</v>
      </c>
      <c r="AQ2235">
        <v>47</v>
      </c>
    </row>
    <row r="2236" spans="1:43" x14ac:dyDescent="0.25">
      <c r="A2236" t="s">
        <v>46</v>
      </c>
      <c r="B2236">
        <v>1</v>
      </c>
      <c r="C2236" t="s">
        <v>1332</v>
      </c>
      <c r="D2236" s="39">
        <v>45983</v>
      </c>
      <c r="E2236" t="s">
        <v>477</v>
      </c>
      <c r="F2236" t="s">
        <v>79</v>
      </c>
      <c r="G2236">
        <v>4.5</v>
      </c>
      <c r="H2236" t="s">
        <v>1049</v>
      </c>
      <c r="I2236" t="s">
        <v>79</v>
      </c>
      <c r="J2236">
        <v>150</v>
      </c>
      <c r="K2236" t="s">
        <v>79</v>
      </c>
      <c r="L2236">
        <v>8</v>
      </c>
      <c r="M2236">
        <v>99.929000000000002</v>
      </c>
      <c r="N2236">
        <v>3.2</v>
      </c>
      <c r="Q2236">
        <v>96.728999999999999</v>
      </c>
      <c r="R2236" t="s">
        <v>1337</v>
      </c>
      <c r="V2236">
        <v>0</v>
      </c>
      <c r="W2236">
        <v>0</v>
      </c>
      <c r="AF2236">
        <v>0</v>
      </c>
      <c r="AG2236">
        <v>0</v>
      </c>
      <c r="AH2236">
        <v>0</v>
      </c>
      <c r="AI2236">
        <v>12</v>
      </c>
      <c r="AJ2236">
        <v>12</v>
      </c>
      <c r="AM2236">
        <v>0</v>
      </c>
      <c r="AN2236">
        <v>103.729</v>
      </c>
      <c r="AP2236">
        <v>47</v>
      </c>
      <c r="AQ2236">
        <v>47</v>
      </c>
    </row>
    <row r="2237" spans="1:43" x14ac:dyDescent="0.25">
      <c r="A2237" t="s">
        <v>46</v>
      </c>
      <c r="B2237">
        <v>1</v>
      </c>
      <c r="C2237" t="s">
        <v>1333</v>
      </c>
      <c r="D2237" s="39">
        <v>45983</v>
      </c>
      <c r="E2237" t="s">
        <v>486</v>
      </c>
      <c r="F2237" t="s">
        <v>79</v>
      </c>
      <c r="G2237">
        <v>2</v>
      </c>
      <c r="H2237" t="s">
        <v>92</v>
      </c>
      <c r="I2237" t="s">
        <v>79</v>
      </c>
      <c r="J2237" t="s">
        <v>1346</v>
      </c>
      <c r="K2237" t="s">
        <v>79</v>
      </c>
      <c r="L2237">
        <v>3</v>
      </c>
      <c r="M2237">
        <v>67.599999999999994</v>
      </c>
      <c r="N2237">
        <v>0.60000000000000009</v>
      </c>
      <c r="Q2237">
        <v>67</v>
      </c>
      <c r="R2237" t="s">
        <v>1450</v>
      </c>
      <c r="V2237">
        <v>0</v>
      </c>
      <c r="W2237">
        <v>0</v>
      </c>
      <c r="X2237">
        <v>25</v>
      </c>
      <c r="Y2237">
        <v>40</v>
      </c>
      <c r="AF2237">
        <v>65</v>
      </c>
      <c r="AG2237">
        <v>1.0833333333333333</v>
      </c>
      <c r="AH2237">
        <v>1.0833333333333333</v>
      </c>
      <c r="AI2237">
        <v>10.916666666666666</v>
      </c>
      <c r="AJ2237">
        <v>12</v>
      </c>
      <c r="AM2237">
        <v>0</v>
      </c>
      <c r="AN2237">
        <v>74</v>
      </c>
      <c r="AP2237">
        <v>47</v>
      </c>
      <c r="AQ2237">
        <v>47</v>
      </c>
    </row>
    <row r="2238" spans="1:43" x14ac:dyDescent="0.25">
      <c r="A2238" t="s">
        <v>45</v>
      </c>
      <c r="B2238">
        <v>2</v>
      </c>
      <c r="C2238" t="s">
        <v>1003</v>
      </c>
      <c r="D2238" s="39">
        <v>45983</v>
      </c>
      <c r="E2238" t="s">
        <v>486</v>
      </c>
      <c r="F2238" t="s">
        <v>79</v>
      </c>
      <c r="G2238">
        <v>3</v>
      </c>
      <c r="H2238" t="s">
        <v>92</v>
      </c>
      <c r="I2238" t="s">
        <v>79</v>
      </c>
      <c r="J2238">
        <v>1000</v>
      </c>
      <c r="K2238" t="s">
        <v>79</v>
      </c>
      <c r="L2238">
        <v>10</v>
      </c>
      <c r="M2238">
        <v>138.72</v>
      </c>
      <c r="N2238">
        <v>3</v>
      </c>
      <c r="Q2238">
        <v>135.72</v>
      </c>
      <c r="R2238" t="s">
        <v>1220</v>
      </c>
      <c r="S2238">
        <v>15</v>
      </c>
      <c r="V2238">
        <v>15</v>
      </c>
      <c r="W2238">
        <v>0.25</v>
      </c>
      <c r="AF2238">
        <v>0</v>
      </c>
      <c r="AG2238">
        <v>0</v>
      </c>
      <c r="AH2238">
        <v>0.25</v>
      </c>
      <c r="AI2238">
        <v>11.75</v>
      </c>
      <c r="AJ2238">
        <v>12</v>
      </c>
      <c r="AM2238">
        <v>0</v>
      </c>
      <c r="AN2238">
        <v>142.72</v>
      </c>
      <c r="AP2238">
        <v>47</v>
      </c>
      <c r="AQ2238">
        <v>47</v>
      </c>
    </row>
    <row r="2239" spans="1:43" x14ac:dyDescent="0.25">
      <c r="A2239" t="s">
        <v>46</v>
      </c>
      <c r="B2239">
        <v>2</v>
      </c>
      <c r="C2239" t="s">
        <v>1334</v>
      </c>
      <c r="D2239" s="39">
        <v>45983</v>
      </c>
      <c r="E2239" t="s">
        <v>486</v>
      </c>
      <c r="F2239" t="s">
        <v>79</v>
      </c>
      <c r="G2239">
        <v>5</v>
      </c>
      <c r="H2239" t="s">
        <v>92</v>
      </c>
      <c r="I2239" t="s">
        <v>79</v>
      </c>
      <c r="J2239">
        <v>1000</v>
      </c>
      <c r="K2239" t="s">
        <v>79</v>
      </c>
      <c r="L2239">
        <v>9</v>
      </c>
      <c r="M2239">
        <v>173.51999999999998</v>
      </c>
      <c r="N2239">
        <v>4.5</v>
      </c>
      <c r="Q2239">
        <v>169.01999999999998</v>
      </c>
      <c r="R2239" t="s">
        <v>1347</v>
      </c>
      <c r="V2239">
        <v>0</v>
      </c>
      <c r="W2239">
        <v>0</v>
      </c>
      <c r="X2239">
        <v>25</v>
      </c>
      <c r="AD2239">
        <v>25</v>
      </c>
      <c r="AF2239">
        <v>50</v>
      </c>
      <c r="AG2239">
        <v>0.83333333333333348</v>
      </c>
      <c r="AH2239">
        <v>0.83333333333333348</v>
      </c>
      <c r="AI2239">
        <v>11.166666666666666</v>
      </c>
      <c r="AJ2239">
        <v>12</v>
      </c>
      <c r="AM2239">
        <v>0</v>
      </c>
      <c r="AN2239">
        <v>176.01999999999998</v>
      </c>
      <c r="AP2239">
        <v>47</v>
      </c>
      <c r="AQ2239">
        <v>47</v>
      </c>
    </row>
    <row r="2240" spans="1:43" x14ac:dyDescent="0.25">
      <c r="A2240" t="s">
        <v>45</v>
      </c>
      <c r="B2240">
        <v>4</v>
      </c>
      <c r="C2240" t="s">
        <v>742</v>
      </c>
      <c r="D2240" s="39">
        <v>45983</v>
      </c>
      <c r="E2240" t="s">
        <v>276</v>
      </c>
      <c r="F2240" t="s">
        <v>79</v>
      </c>
      <c r="G2240">
        <v>18</v>
      </c>
      <c r="H2240" t="s">
        <v>113</v>
      </c>
      <c r="I2240" t="s">
        <v>79</v>
      </c>
      <c r="J2240">
        <v>1000</v>
      </c>
      <c r="K2240" t="s">
        <v>79</v>
      </c>
      <c r="L2240">
        <v>5</v>
      </c>
      <c r="M2240">
        <v>284.65000000000003</v>
      </c>
      <c r="N2240">
        <v>10.4</v>
      </c>
      <c r="Q2240">
        <v>274.25000000000006</v>
      </c>
      <c r="R2240" t="s">
        <v>1219</v>
      </c>
      <c r="V2240">
        <v>0</v>
      </c>
      <c r="W2240">
        <v>0</v>
      </c>
      <c r="AF2240">
        <v>0</v>
      </c>
      <c r="AG2240">
        <v>0</v>
      </c>
      <c r="AH2240">
        <v>0</v>
      </c>
      <c r="AI2240">
        <v>12</v>
      </c>
      <c r="AJ2240">
        <v>12</v>
      </c>
      <c r="AM2240">
        <v>0</v>
      </c>
      <c r="AN2240">
        <v>281.25000000000006</v>
      </c>
      <c r="AP2240">
        <v>47</v>
      </c>
      <c r="AQ2240">
        <v>47</v>
      </c>
    </row>
    <row r="2241" spans="1:43" x14ac:dyDescent="0.25">
      <c r="A2241" t="s">
        <v>45</v>
      </c>
      <c r="B2241">
        <v>4</v>
      </c>
      <c r="C2241" t="s">
        <v>1335</v>
      </c>
      <c r="D2241" s="39">
        <v>45983</v>
      </c>
      <c r="E2241" t="s">
        <v>486</v>
      </c>
      <c r="F2241" t="s">
        <v>79</v>
      </c>
      <c r="G2241">
        <v>18</v>
      </c>
      <c r="H2241">
        <v>5</v>
      </c>
      <c r="I2241" t="s">
        <v>79</v>
      </c>
      <c r="J2241">
        <v>1000</v>
      </c>
      <c r="K2241" t="s">
        <v>79</v>
      </c>
      <c r="L2241">
        <v>12</v>
      </c>
      <c r="M2241">
        <v>572.03</v>
      </c>
      <c r="N2241">
        <v>23.25</v>
      </c>
      <c r="O2241">
        <v>19</v>
      </c>
      <c r="Q2241">
        <v>548.78</v>
      </c>
      <c r="R2241" t="s">
        <v>1348</v>
      </c>
      <c r="V2241">
        <v>0</v>
      </c>
      <c r="W2241">
        <v>0</v>
      </c>
      <c r="AF2241">
        <v>0</v>
      </c>
      <c r="AG2241">
        <v>0</v>
      </c>
      <c r="AH2241">
        <v>0</v>
      </c>
      <c r="AI2241">
        <v>12</v>
      </c>
      <c r="AJ2241">
        <v>12</v>
      </c>
      <c r="AM2241">
        <v>0</v>
      </c>
      <c r="AN2241">
        <v>555.78</v>
      </c>
      <c r="AP2241">
        <v>47</v>
      </c>
      <c r="AQ2241">
        <v>47</v>
      </c>
    </row>
    <row r="2242" spans="1:43" x14ac:dyDescent="0.25">
      <c r="A2242" t="s">
        <v>46</v>
      </c>
      <c r="B2242">
        <v>4</v>
      </c>
      <c r="C2242" t="s">
        <v>1335</v>
      </c>
      <c r="D2242" s="39">
        <v>45983</v>
      </c>
      <c r="E2242" t="s">
        <v>486</v>
      </c>
      <c r="F2242" t="s">
        <v>79</v>
      </c>
      <c r="G2242">
        <v>18</v>
      </c>
      <c r="H2242">
        <v>5</v>
      </c>
      <c r="I2242" t="s">
        <v>79</v>
      </c>
      <c r="J2242">
        <v>1000</v>
      </c>
      <c r="K2242" t="s">
        <v>79</v>
      </c>
      <c r="L2242">
        <v>11</v>
      </c>
      <c r="M2242">
        <v>617.39</v>
      </c>
      <c r="N2242">
        <v>19.8</v>
      </c>
      <c r="O2242">
        <v>46</v>
      </c>
      <c r="Q2242">
        <v>597.59</v>
      </c>
      <c r="R2242" t="s">
        <v>1348</v>
      </c>
      <c r="V2242">
        <v>0</v>
      </c>
      <c r="W2242">
        <v>0</v>
      </c>
      <c r="X2242">
        <v>30</v>
      </c>
      <c r="AD2242">
        <v>40</v>
      </c>
      <c r="AF2242">
        <v>70</v>
      </c>
      <c r="AG2242">
        <v>1.1666666666666667</v>
      </c>
      <c r="AH2242">
        <v>1.1666666666666667</v>
      </c>
      <c r="AI2242">
        <v>10.833333333333334</v>
      </c>
      <c r="AJ2242">
        <v>12</v>
      </c>
      <c r="AM2242">
        <v>0</v>
      </c>
      <c r="AN2242">
        <v>604.59</v>
      </c>
      <c r="AP2242">
        <v>47</v>
      </c>
      <c r="AQ2242">
        <v>47</v>
      </c>
    </row>
    <row r="2243" spans="1:43" x14ac:dyDescent="0.25">
      <c r="A2243" t="s">
        <v>46</v>
      </c>
      <c r="B2243">
        <v>4</v>
      </c>
      <c r="C2243" t="s">
        <v>742</v>
      </c>
      <c r="D2243" s="39">
        <v>45983</v>
      </c>
      <c r="E2243" t="s">
        <v>276</v>
      </c>
      <c r="F2243" t="s">
        <v>79</v>
      </c>
      <c r="G2243">
        <v>18</v>
      </c>
      <c r="H2243" t="s">
        <v>113</v>
      </c>
      <c r="I2243" t="s">
        <v>79</v>
      </c>
      <c r="J2243">
        <v>1000</v>
      </c>
      <c r="K2243" t="s">
        <v>79</v>
      </c>
      <c r="L2243">
        <v>3</v>
      </c>
      <c r="M2243">
        <v>183.82</v>
      </c>
      <c r="N2243">
        <v>5.4</v>
      </c>
      <c r="Q2243">
        <v>178.42</v>
      </c>
      <c r="R2243" t="s">
        <v>1219</v>
      </c>
      <c r="V2243">
        <v>0</v>
      </c>
      <c r="W2243">
        <v>0</v>
      </c>
      <c r="AF2243">
        <v>0</v>
      </c>
      <c r="AG2243">
        <v>0</v>
      </c>
      <c r="AH2243">
        <v>0</v>
      </c>
      <c r="AI2243">
        <v>12</v>
      </c>
      <c r="AJ2243">
        <v>12</v>
      </c>
      <c r="AM2243">
        <v>0</v>
      </c>
      <c r="AN2243">
        <v>185.42</v>
      </c>
      <c r="AP2243">
        <v>47</v>
      </c>
      <c r="AQ2243">
        <v>47</v>
      </c>
    </row>
    <row r="2244" spans="1:43" x14ac:dyDescent="0.25">
      <c r="A2244" t="s">
        <v>45</v>
      </c>
      <c r="B2244">
        <v>5</v>
      </c>
      <c r="C2244" t="s">
        <v>1298</v>
      </c>
      <c r="D2244" s="39">
        <v>45983</v>
      </c>
      <c r="E2244" t="s">
        <v>486</v>
      </c>
      <c r="F2244" t="s">
        <v>79</v>
      </c>
      <c r="G2244">
        <v>12</v>
      </c>
      <c r="H2244">
        <v>5</v>
      </c>
      <c r="I2244" t="s">
        <v>79</v>
      </c>
      <c r="J2244">
        <v>3500</v>
      </c>
      <c r="K2244" t="s">
        <v>79</v>
      </c>
      <c r="L2244">
        <v>9</v>
      </c>
      <c r="M2244">
        <v>554.29999999999995</v>
      </c>
      <c r="N2244">
        <v>15</v>
      </c>
      <c r="Q2244">
        <v>539.29999999999995</v>
      </c>
      <c r="R2244" t="s">
        <v>1299</v>
      </c>
      <c r="V2244">
        <v>0</v>
      </c>
      <c r="W2244">
        <v>0</v>
      </c>
      <c r="AF2244">
        <v>0</v>
      </c>
      <c r="AG2244">
        <v>0</v>
      </c>
      <c r="AH2244">
        <v>0</v>
      </c>
      <c r="AI2244">
        <v>12</v>
      </c>
      <c r="AJ2244">
        <v>12</v>
      </c>
      <c r="AM2244">
        <v>0</v>
      </c>
      <c r="AN2244">
        <v>546.29999999999995</v>
      </c>
      <c r="AP2244">
        <v>47</v>
      </c>
      <c r="AQ2244">
        <v>47</v>
      </c>
    </row>
    <row r="2245" spans="1:43" x14ac:dyDescent="0.25">
      <c r="A2245" t="s">
        <v>45</v>
      </c>
      <c r="B2245">
        <v>5</v>
      </c>
      <c r="C2245" t="s">
        <v>1336</v>
      </c>
      <c r="D2245" s="39">
        <v>45983</v>
      </c>
      <c r="E2245" t="s">
        <v>401</v>
      </c>
      <c r="F2245" t="s">
        <v>79</v>
      </c>
      <c r="G2245">
        <v>12</v>
      </c>
      <c r="H2245" t="s">
        <v>1049</v>
      </c>
      <c r="I2245" t="s">
        <v>79</v>
      </c>
      <c r="J2245">
        <v>500</v>
      </c>
      <c r="K2245" t="s">
        <v>79</v>
      </c>
      <c r="L2245">
        <v>1</v>
      </c>
      <c r="M2245">
        <v>60.49</v>
      </c>
      <c r="N2245">
        <v>1.5</v>
      </c>
      <c r="Q2245">
        <v>58.99</v>
      </c>
      <c r="R2245" t="s">
        <v>1349</v>
      </c>
      <c r="V2245">
        <v>0</v>
      </c>
      <c r="W2245">
        <v>0</v>
      </c>
      <c r="AF2245">
        <v>0</v>
      </c>
      <c r="AG2245">
        <v>0</v>
      </c>
      <c r="AH2245">
        <v>0</v>
      </c>
      <c r="AI2245">
        <v>12</v>
      </c>
      <c r="AJ2245">
        <v>12</v>
      </c>
      <c r="AM2245">
        <v>0</v>
      </c>
      <c r="AN2245">
        <v>65.990000000000009</v>
      </c>
      <c r="AP2245">
        <v>47</v>
      </c>
      <c r="AQ2245">
        <v>47</v>
      </c>
    </row>
    <row r="2246" spans="1:43" x14ac:dyDescent="0.25">
      <c r="A2246" t="s">
        <v>46</v>
      </c>
      <c r="B2246">
        <v>5</v>
      </c>
      <c r="C2246" t="s">
        <v>1336</v>
      </c>
      <c r="D2246" s="39">
        <v>45983</v>
      </c>
      <c r="E2246" t="s">
        <v>401</v>
      </c>
      <c r="F2246" t="s">
        <v>79</v>
      </c>
      <c r="G2246">
        <v>12</v>
      </c>
      <c r="H2246" t="s">
        <v>1049</v>
      </c>
      <c r="I2246" t="s">
        <v>79</v>
      </c>
      <c r="J2246">
        <v>500</v>
      </c>
      <c r="K2246" t="s">
        <v>79</v>
      </c>
      <c r="L2246">
        <v>9</v>
      </c>
      <c r="M2246">
        <v>490.21999999999997</v>
      </c>
      <c r="N2246">
        <v>10.799999999999999</v>
      </c>
      <c r="Q2246">
        <v>479.41999999999996</v>
      </c>
      <c r="R2246" t="s">
        <v>1349</v>
      </c>
      <c r="V2246">
        <v>0</v>
      </c>
      <c r="W2246">
        <v>0</v>
      </c>
      <c r="X2246">
        <v>30</v>
      </c>
      <c r="Z2246">
        <v>30</v>
      </c>
      <c r="AD2246">
        <v>45</v>
      </c>
      <c r="AF2246">
        <v>105</v>
      </c>
      <c r="AG2246">
        <v>1.75</v>
      </c>
      <c r="AH2246">
        <v>1.75</v>
      </c>
      <c r="AI2246">
        <v>10.25</v>
      </c>
      <c r="AJ2246">
        <v>12</v>
      </c>
      <c r="AM2246">
        <v>0</v>
      </c>
      <c r="AN2246">
        <v>486.42</v>
      </c>
      <c r="AP2246">
        <v>47</v>
      </c>
      <c r="AQ2246">
        <v>47</v>
      </c>
    </row>
    <row r="2247" spans="1:43" x14ac:dyDescent="0.25">
      <c r="A2247" t="s">
        <v>45</v>
      </c>
      <c r="B2247">
        <v>1</v>
      </c>
      <c r="C2247" t="s">
        <v>1332</v>
      </c>
      <c r="D2247" s="39">
        <v>45984</v>
      </c>
      <c r="E2247" t="s">
        <v>477</v>
      </c>
      <c r="F2247" t="s">
        <v>79</v>
      </c>
      <c r="G2247">
        <v>4.5</v>
      </c>
      <c r="H2247" t="s">
        <v>1049</v>
      </c>
      <c r="I2247" t="s">
        <v>79</v>
      </c>
      <c r="J2247">
        <v>150</v>
      </c>
      <c r="K2247" t="s">
        <v>79</v>
      </c>
      <c r="L2247">
        <v>2</v>
      </c>
      <c r="M2247">
        <v>25.11</v>
      </c>
      <c r="N2247">
        <v>0.8</v>
      </c>
      <c r="O2247">
        <v>35</v>
      </c>
      <c r="Q2247">
        <v>24.31</v>
      </c>
      <c r="R2247" t="s">
        <v>1337</v>
      </c>
      <c r="V2247">
        <v>0</v>
      </c>
      <c r="W2247">
        <v>0</v>
      </c>
      <c r="AF2247">
        <v>0</v>
      </c>
      <c r="AG2247">
        <v>0</v>
      </c>
      <c r="AH2247">
        <v>0</v>
      </c>
      <c r="AI2247">
        <v>12</v>
      </c>
      <c r="AJ2247">
        <v>12</v>
      </c>
      <c r="AM2247">
        <v>0</v>
      </c>
      <c r="AN2247">
        <v>31.31</v>
      </c>
      <c r="AP2247">
        <v>47</v>
      </c>
      <c r="AQ2247">
        <v>47</v>
      </c>
    </row>
    <row r="2248" spans="1:43" x14ac:dyDescent="0.25">
      <c r="A2248" t="s">
        <v>45</v>
      </c>
      <c r="B2248">
        <v>1</v>
      </c>
      <c r="C2248" t="s">
        <v>1333</v>
      </c>
      <c r="D2248" s="39">
        <v>45984</v>
      </c>
      <c r="E2248" t="s">
        <v>486</v>
      </c>
      <c r="F2248" t="s">
        <v>79</v>
      </c>
      <c r="G2248">
        <v>2</v>
      </c>
      <c r="H2248" t="s">
        <v>92</v>
      </c>
      <c r="I2248" t="s">
        <v>79</v>
      </c>
      <c r="J2248" t="s">
        <v>1346</v>
      </c>
      <c r="K2248" t="s">
        <v>79</v>
      </c>
      <c r="L2248">
        <v>7</v>
      </c>
      <c r="M2248">
        <v>103.53</v>
      </c>
      <c r="N2248">
        <v>1.4000000000000001</v>
      </c>
      <c r="Q2248">
        <v>102.13</v>
      </c>
      <c r="R2248" t="s">
        <v>1450</v>
      </c>
      <c r="V2248">
        <v>0</v>
      </c>
      <c r="W2248">
        <v>0</v>
      </c>
      <c r="AF2248">
        <v>0</v>
      </c>
      <c r="AG2248">
        <v>0</v>
      </c>
      <c r="AH2248">
        <v>0</v>
      </c>
      <c r="AI2248">
        <v>12</v>
      </c>
      <c r="AJ2248">
        <v>12</v>
      </c>
      <c r="AM2248">
        <v>0</v>
      </c>
      <c r="AN2248">
        <v>109.13</v>
      </c>
      <c r="AP2248">
        <v>47</v>
      </c>
      <c r="AQ2248">
        <v>47</v>
      </c>
    </row>
    <row r="2249" spans="1:43" x14ac:dyDescent="0.25">
      <c r="A2249" t="s">
        <v>46</v>
      </c>
      <c r="B2249">
        <v>1</v>
      </c>
      <c r="C2249" t="s">
        <v>1333</v>
      </c>
      <c r="D2249" s="39">
        <v>45984</v>
      </c>
      <c r="E2249" t="s">
        <v>486</v>
      </c>
      <c r="F2249" t="s">
        <v>79</v>
      </c>
      <c r="G2249">
        <v>2</v>
      </c>
      <c r="H2249" t="s">
        <v>92</v>
      </c>
      <c r="I2249" t="s">
        <v>79</v>
      </c>
      <c r="J2249" t="s">
        <v>1346</v>
      </c>
      <c r="K2249" t="s">
        <v>79</v>
      </c>
      <c r="L2249">
        <v>8</v>
      </c>
      <c r="M2249">
        <v>126.46999999999998</v>
      </c>
      <c r="N2249">
        <v>1.6</v>
      </c>
      <c r="O2249">
        <v>27</v>
      </c>
      <c r="Q2249">
        <v>124.86999999999999</v>
      </c>
      <c r="R2249" t="s">
        <v>1450</v>
      </c>
      <c r="V2249">
        <v>0</v>
      </c>
      <c r="W2249">
        <v>0</v>
      </c>
      <c r="AF2249">
        <v>0</v>
      </c>
      <c r="AG2249">
        <v>0</v>
      </c>
      <c r="AH2249">
        <v>0</v>
      </c>
      <c r="AI2249">
        <v>12</v>
      </c>
      <c r="AJ2249">
        <v>12</v>
      </c>
      <c r="AM2249">
        <v>0</v>
      </c>
      <c r="AN2249">
        <v>131.87</v>
      </c>
      <c r="AP2249">
        <v>47</v>
      </c>
      <c r="AQ2249">
        <v>47</v>
      </c>
    </row>
    <row r="2250" spans="1:43" x14ac:dyDescent="0.25">
      <c r="A2250" t="s">
        <v>45</v>
      </c>
      <c r="B2250">
        <v>2</v>
      </c>
      <c r="C2250" t="s">
        <v>1334</v>
      </c>
      <c r="D2250" s="39">
        <v>45984</v>
      </c>
      <c r="E2250" t="s">
        <v>486</v>
      </c>
      <c r="F2250" t="s">
        <v>79</v>
      </c>
      <c r="G2250">
        <v>5</v>
      </c>
      <c r="H2250" t="s">
        <v>92</v>
      </c>
      <c r="I2250" t="s">
        <v>79</v>
      </c>
      <c r="J2250">
        <v>1000</v>
      </c>
      <c r="K2250" t="s">
        <v>79</v>
      </c>
      <c r="L2250">
        <v>7</v>
      </c>
      <c r="M2250">
        <v>126.46</v>
      </c>
      <c r="N2250">
        <v>3.5</v>
      </c>
      <c r="Q2250">
        <v>122.96</v>
      </c>
      <c r="R2250" t="s">
        <v>1347</v>
      </c>
      <c r="V2250">
        <v>0</v>
      </c>
      <c r="W2250">
        <v>0</v>
      </c>
      <c r="Z2250">
        <v>120</v>
      </c>
      <c r="AD2250">
        <v>20</v>
      </c>
      <c r="AF2250">
        <v>140</v>
      </c>
      <c r="AG2250">
        <v>2.3333333333333335</v>
      </c>
      <c r="AH2250">
        <v>2.3333333333333335</v>
      </c>
      <c r="AI2250">
        <v>9.6666666666666661</v>
      </c>
      <c r="AJ2250">
        <v>12</v>
      </c>
      <c r="AM2250">
        <v>0</v>
      </c>
      <c r="AN2250">
        <v>129.95999999999998</v>
      </c>
      <c r="AP2250">
        <v>47</v>
      </c>
      <c r="AQ2250">
        <v>47</v>
      </c>
    </row>
    <row r="2251" spans="1:43" x14ac:dyDescent="0.25">
      <c r="A2251" t="s">
        <v>46</v>
      </c>
      <c r="B2251">
        <v>2</v>
      </c>
      <c r="C2251" t="s">
        <v>1334</v>
      </c>
      <c r="D2251" s="39">
        <v>45984</v>
      </c>
      <c r="E2251" t="s">
        <v>486</v>
      </c>
      <c r="F2251" t="s">
        <v>79</v>
      </c>
      <c r="G2251">
        <v>5</v>
      </c>
      <c r="H2251" t="s">
        <v>92</v>
      </c>
      <c r="I2251" t="s">
        <v>79</v>
      </c>
      <c r="J2251">
        <v>1000</v>
      </c>
      <c r="K2251" t="s">
        <v>79</v>
      </c>
      <c r="L2251">
        <v>8</v>
      </c>
      <c r="M2251">
        <v>183.67000000000002</v>
      </c>
      <c r="N2251">
        <v>4</v>
      </c>
      <c r="Q2251">
        <v>179.67000000000002</v>
      </c>
      <c r="R2251" t="s">
        <v>1347</v>
      </c>
      <c r="V2251">
        <v>0</v>
      </c>
      <c r="W2251">
        <v>0</v>
      </c>
      <c r="AF2251">
        <v>0</v>
      </c>
      <c r="AG2251">
        <v>0</v>
      </c>
      <c r="AH2251">
        <v>0</v>
      </c>
      <c r="AI2251">
        <v>12</v>
      </c>
      <c r="AJ2251">
        <v>12</v>
      </c>
      <c r="AM2251">
        <v>0</v>
      </c>
      <c r="AN2251">
        <v>186.67</v>
      </c>
      <c r="AP2251">
        <v>47</v>
      </c>
      <c r="AQ2251">
        <v>47</v>
      </c>
    </row>
    <row r="2252" spans="1:43" x14ac:dyDescent="0.25">
      <c r="A2252" t="s">
        <v>45</v>
      </c>
      <c r="B2252">
        <v>4</v>
      </c>
      <c r="C2252" t="s">
        <v>742</v>
      </c>
      <c r="D2252" s="39">
        <v>45984</v>
      </c>
      <c r="E2252" t="s">
        <v>276</v>
      </c>
      <c r="F2252" t="s">
        <v>79</v>
      </c>
      <c r="G2252">
        <v>18</v>
      </c>
      <c r="H2252" t="s">
        <v>113</v>
      </c>
      <c r="I2252" t="s">
        <v>79</v>
      </c>
      <c r="J2252">
        <v>1000</v>
      </c>
      <c r="K2252" t="s">
        <v>79</v>
      </c>
      <c r="L2252">
        <v>5</v>
      </c>
      <c r="M2252">
        <v>333.47999999999996</v>
      </c>
      <c r="N2252">
        <v>9</v>
      </c>
      <c r="Q2252">
        <v>324.47999999999996</v>
      </c>
      <c r="R2252" t="s">
        <v>1219</v>
      </c>
      <c r="S2252">
        <v>25</v>
      </c>
      <c r="V2252">
        <v>25</v>
      </c>
      <c r="W2252">
        <v>0.41666666666666674</v>
      </c>
      <c r="AF2252">
        <v>0</v>
      </c>
      <c r="AG2252">
        <v>0</v>
      </c>
      <c r="AH2252">
        <v>0.41666666666666674</v>
      </c>
      <c r="AI2252">
        <v>11.583333333333334</v>
      </c>
      <c r="AJ2252">
        <v>12</v>
      </c>
      <c r="AM2252">
        <v>0</v>
      </c>
      <c r="AN2252">
        <v>331.47999999999996</v>
      </c>
      <c r="AP2252">
        <v>47</v>
      </c>
      <c r="AQ2252">
        <v>47</v>
      </c>
    </row>
    <row r="2253" spans="1:43" x14ac:dyDescent="0.25">
      <c r="A2253" t="s">
        <v>45</v>
      </c>
      <c r="B2253">
        <v>4</v>
      </c>
      <c r="C2253" t="s">
        <v>1338</v>
      </c>
      <c r="D2253" s="39">
        <v>45984</v>
      </c>
      <c r="E2253" t="s">
        <v>243</v>
      </c>
      <c r="F2253" t="s">
        <v>79</v>
      </c>
      <c r="G2253">
        <v>25</v>
      </c>
      <c r="H2253" t="s">
        <v>123</v>
      </c>
      <c r="I2253" t="s">
        <v>79</v>
      </c>
      <c r="J2253">
        <v>50</v>
      </c>
      <c r="K2253" t="s">
        <v>79</v>
      </c>
      <c r="L2253">
        <v>2</v>
      </c>
      <c r="M2253">
        <v>79.990000000000009</v>
      </c>
      <c r="N2253">
        <v>5</v>
      </c>
      <c r="Q2253">
        <v>74.990000000000009</v>
      </c>
      <c r="R2253" t="s">
        <v>1350</v>
      </c>
      <c r="S2253">
        <v>25</v>
      </c>
      <c r="V2253">
        <v>25</v>
      </c>
      <c r="W2253">
        <v>0.41666666666666674</v>
      </c>
      <c r="AF2253">
        <v>0</v>
      </c>
      <c r="AG2253">
        <v>0</v>
      </c>
      <c r="AH2253">
        <v>0.41666666666666674</v>
      </c>
      <c r="AI2253">
        <v>11.583333333333334</v>
      </c>
      <c r="AJ2253">
        <v>12</v>
      </c>
      <c r="AM2253">
        <v>0</v>
      </c>
      <c r="AN2253">
        <v>81.990000000000009</v>
      </c>
      <c r="AP2253">
        <v>47</v>
      </c>
      <c r="AQ2253">
        <v>47</v>
      </c>
    </row>
    <row r="2254" spans="1:43" x14ac:dyDescent="0.25">
      <c r="A2254" t="s">
        <v>45</v>
      </c>
      <c r="B2254">
        <v>4</v>
      </c>
      <c r="C2254" t="s">
        <v>1339</v>
      </c>
      <c r="D2254" s="39">
        <v>45984</v>
      </c>
      <c r="E2254" t="s">
        <v>276</v>
      </c>
      <c r="F2254" t="s">
        <v>79</v>
      </c>
      <c r="G2254">
        <v>24</v>
      </c>
      <c r="H2254" t="s">
        <v>113</v>
      </c>
      <c r="I2254" t="s">
        <v>79</v>
      </c>
      <c r="J2254">
        <v>1000</v>
      </c>
      <c r="K2254" t="s">
        <v>79</v>
      </c>
      <c r="L2254">
        <v>6</v>
      </c>
      <c r="M2254">
        <v>365.37999999999994</v>
      </c>
      <c r="N2254">
        <v>14.399999999999999</v>
      </c>
      <c r="Q2254">
        <v>350.97999999999996</v>
      </c>
      <c r="R2254" t="s">
        <v>1351</v>
      </c>
      <c r="V2254">
        <v>0</v>
      </c>
      <c r="W2254">
        <v>0</v>
      </c>
      <c r="AF2254">
        <v>0</v>
      </c>
      <c r="AG2254">
        <v>0</v>
      </c>
      <c r="AH2254">
        <v>0</v>
      </c>
      <c r="AI2254">
        <v>12</v>
      </c>
      <c r="AJ2254">
        <v>12</v>
      </c>
      <c r="AM2254">
        <v>0</v>
      </c>
      <c r="AN2254">
        <v>357.97999999999996</v>
      </c>
      <c r="AP2254">
        <v>47</v>
      </c>
      <c r="AQ2254">
        <v>47</v>
      </c>
    </row>
    <row r="2255" spans="1:43" x14ac:dyDescent="0.25">
      <c r="A2255" t="s">
        <v>46</v>
      </c>
      <c r="B2255">
        <v>4</v>
      </c>
      <c r="C2255" t="s">
        <v>1339</v>
      </c>
      <c r="D2255" s="39">
        <v>45984</v>
      </c>
      <c r="E2255" t="s">
        <v>276</v>
      </c>
      <c r="F2255" t="s">
        <v>79</v>
      </c>
      <c r="G2255">
        <v>24</v>
      </c>
      <c r="H2255" t="s">
        <v>113</v>
      </c>
      <c r="I2255" t="s">
        <v>79</v>
      </c>
      <c r="J2255">
        <v>1000</v>
      </c>
      <c r="K2255" t="s">
        <v>79</v>
      </c>
      <c r="L2255">
        <v>13</v>
      </c>
      <c r="M2255">
        <v>725.39</v>
      </c>
      <c r="N2255">
        <v>39</v>
      </c>
      <c r="Q2255">
        <v>686.39</v>
      </c>
      <c r="R2255" t="s">
        <v>1351</v>
      </c>
      <c r="V2255">
        <v>0</v>
      </c>
      <c r="W2255">
        <v>0</v>
      </c>
      <c r="AF2255">
        <v>0</v>
      </c>
      <c r="AG2255">
        <v>0</v>
      </c>
      <c r="AH2255">
        <v>0</v>
      </c>
      <c r="AI2255">
        <v>12</v>
      </c>
      <c r="AJ2255">
        <v>12</v>
      </c>
      <c r="AM2255">
        <v>0</v>
      </c>
      <c r="AN2255">
        <v>693.39</v>
      </c>
      <c r="AP2255">
        <v>47</v>
      </c>
      <c r="AQ2255">
        <v>47</v>
      </c>
    </row>
    <row r="2256" spans="1:43" x14ac:dyDescent="0.25">
      <c r="A2256" t="s">
        <v>46</v>
      </c>
      <c r="B2256">
        <v>4</v>
      </c>
      <c r="C2256" t="s">
        <v>1340</v>
      </c>
      <c r="D2256" s="39">
        <v>45984</v>
      </c>
      <c r="E2256" t="s">
        <v>276</v>
      </c>
      <c r="F2256" t="s">
        <v>79</v>
      </c>
      <c r="G2256">
        <v>28</v>
      </c>
      <c r="H2256" t="s">
        <v>113</v>
      </c>
      <c r="I2256" t="s">
        <v>79</v>
      </c>
      <c r="J2256">
        <v>500</v>
      </c>
      <c r="K2256" t="s">
        <v>79</v>
      </c>
      <c r="L2256">
        <v>1</v>
      </c>
      <c r="M2256">
        <v>64.13</v>
      </c>
      <c r="N2256">
        <v>2.8</v>
      </c>
      <c r="Q2256">
        <v>61.33</v>
      </c>
      <c r="R2256" t="s">
        <v>1352</v>
      </c>
      <c r="S2256">
        <v>30</v>
      </c>
      <c r="V2256">
        <v>30</v>
      </c>
      <c r="W2256">
        <v>0.5</v>
      </c>
      <c r="AF2256">
        <v>0</v>
      </c>
      <c r="AG2256">
        <v>0</v>
      </c>
      <c r="AH2256">
        <v>0.5</v>
      </c>
      <c r="AI2256">
        <v>11.5</v>
      </c>
      <c r="AJ2256">
        <v>12</v>
      </c>
      <c r="AM2256">
        <v>0</v>
      </c>
      <c r="AN2256">
        <v>68.33</v>
      </c>
      <c r="AP2256">
        <v>47</v>
      </c>
      <c r="AQ2256">
        <v>47</v>
      </c>
    </row>
    <row r="2257" spans="1:43" x14ac:dyDescent="0.25">
      <c r="A2257" t="s">
        <v>45</v>
      </c>
      <c r="B2257">
        <v>5</v>
      </c>
      <c r="C2257" t="s">
        <v>1336</v>
      </c>
      <c r="D2257" s="39">
        <v>45984</v>
      </c>
      <c r="E2257" t="s">
        <v>401</v>
      </c>
      <c r="F2257" t="s">
        <v>79</v>
      </c>
      <c r="G2257">
        <v>12</v>
      </c>
      <c r="H2257" t="s">
        <v>1049</v>
      </c>
      <c r="I2257" t="s">
        <v>79</v>
      </c>
      <c r="J2257">
        <v>500</v>
      </c>
      <c r="K2257" t="s">
        <v>79</v>
      </c>
      <c r="L2257">
        <v>2</v>
      </c>
      <c r="M2257">
        <v>114.18</v>
      </c>
      <c r="N2257">
        <v>2.4</v>
      </c>
      <c r="Q2257">
        <v>111.78</v>
      </c>
      <c r="R2257" t="s">
        <v>1349</v>
      </c>
      <c r="S2257">
        <v>25</v>
      </c>
      <c r="V2257">
        <v>25</v>
      </c>
      <c r="W2257">
        <v>0.41666666666666674</v>
      </c>
      <c r="AF2257">
        <v>0</v>
      </c>
      <c r="AG2257">
        <v>0</v>
      </c>
      <c r="AH2257">
        <v>0.41666666666666674</v>
      </c>
      <c r="AI2257">
        <v>11.583333333333334</v>
      </c>
      <c r="AJ2257">
        <v>12</v>
      </c>
      <c r="AM2257">
        <v>0</v>
      </c>
      <c r="AN2257">
        <v>118.78</v>
      </c>
      <c r="AP2257">
        <v>47</v>
      </c>
      <c r="AQ2257">
        <v>47</v>
      </c>
    </row>
    <row r="2258" spans="1:43" x14ac:dyDescent="0.25">
      <c r="A2258" t="s">
        <v>45</v>
      </c>
      <c r="B2258">
        <v>5</v>
      </c>
      <c r="C2258" t="s">
        <v>1341</v>
      </c>
      <c r="D2258" s="39">
        <v>45984</v>
      </c>
      <c r="E2258" t="s">
        <v>486</v>
      </c>
      <c r="F2258" t="s">
        <v>79</v>
      </c>
      <c r="G2258" t="s">
        <v>81</v>
      </c>
      <c r="H2258">
        <v>5</v>
      </c>
      <c r="I2258" t="s">
        <v>79</v>
      </c>
      <c r="J2258">
        <v>1500</v>
      </c>
      <c r="K2258" t="s">
        <v>79</v>
      </c>
      <c r="L2258">
        <v>6</v>
      </c>
      <c r="M2258">
        <v>271.56</v>
      </c>
      <c r="N2258">
        <v>6</v>
      </c>
      <c r="Q2258">
        <v>265.56</v>
      </c>
      <c r="R2258" t="s">
        <v>1353</v>
      </c>
      <c r="V2258">
        <v>0</v>
      </c>
      <c r="W2258">
        <v>0</v>
      </c>
      <c r="AF2258">
        <v>0</v>
      </c>
      <c r="AG2258">
        <v>0</v>
      </c>
      <c r="AH2258">
        <v>0</v>
      </c>
      <c r="AI2258">
        <v>12</v>
      </c>
      <c r="AJ2258">
        <v>12</v>
      </c>
      <c r="AM2258">
        <v>0</v>
      </c>
      <c r="AN2258">
        <v>272.56</v>
      </c>
      <c r="AP2258">
        <v>47</v>
      </c>
      <c r="AQ2258">
        <v>47</v>
      </c>
    </row>
    <row r="2259" spans="1:43" x14ac:dyDescent="0.25">
      <c r="A2259" t="s">
        <v>45</v>
      </c>
      <c r="B2259">
        <v>5</v>
      </c>
      <c r="C2259" t="s">
        <v>1342</v>
      </c>
      <c r="D2259" s="39">
        <v>45984</v>
      </c>
      <c r="E2259" t="s">
        <v>1048</v>
      </c>
      <c r="F2259" t="s">
        <v>79</v>
      </c>
      <c r="G2259">
        <v>12</v>
      </c>
      <c r="H2259" t="s">
        <v>859</v>
      </c>
      <c r="I2259" t="s">
        <v>79</v>
      </c>
      <c r="J2259">
        <v>50</v>
      </c>
      <c r="K2259" t="s">
        <v>79</v>
      </c>
      <c r="L2259">
        <v>2</v>
      </c>
      <c r="M2259">
        <v>105.55</v>
      </c>
      <c r="N2259">
        <v>2.4</v>
      </c>
      <c r="Q2259">
        <v>103.14999999999999</v>
      </c>
      <c r="R2259" t="s">
        <v>1354</v>
      </c>
      <c r="V2259">
        <v>0</v>
      </c>
      <c r="W2259">
        <v>0</v>
      </c>
      <c r="AF2259">
        <v>0</v>
      </c>
      <c r="AG2259">
        <v>0</v>
      </c>
      <c r="AH2259">
        <v>0</v>
      </c>
      <c r="AI2259">
        <v>12</v>
      </c>
      <c r="AJ2259">
        <v>12</v>
      </c>
      <c r="AM2259">
        <v>0</v>
      </c>
      <c r="AN2259">
        <v>110.15</v>
      </c>
      <c r="AP2259">
        <v>47</v>
      </c>
      <c r="AQ2259">
        <v>47</v>
      </c>
    </row>
    <row r="2260" spans="1:43" x14ac:dyDescent="0.25">
      <c r="A2260" t="s">
        <v>46</v>
      </c>
      <c r="B2260">
        <v>5</v>
      </c>
      <c r="C2260" t="s">
        <v>1341</v>
      </c>
      <c r="D2260" s="39">
        <v>45984</v>
      </c>
      <c r="E2260" t="s">
        <v>486</v>
      </c>
      <c r="F2260" t="s">
        <v>79</v>
      </c>
      <c r="G2260" t="s">
        <v>81</v>
      </c>
      <c r="H2260">
        <v>5</v>
      </c>
      <c r="I2260" t="s">
        <v>79</v>
      </c>
      <c r="J2260">
        <v>1500</v>
      </c>
      <c r="K2260" t="s">
        <v>79</v>
      </c>
      <c r="L2260">
        <v>10</v>
      </c>
      <c r="M2260">
        <v>531.53</v>
      </c>
      <c r="N2260">
        <v>12</v>
      </c>
      <c r="Q2260">
        <v>519.53</v>
      </c>
      <c r="R2260" t="s">
        <v>1353</v>
      </c>
      <c r="V2260">
        <v>0</v>
      </c>
      <c r="W2260">
        <v>0</v>
      </c>
      <c r="AF2260">
        <v>0</v>
      </c>
      <c r="AG2260">
        <v>0</v>
      </c>
      <c r="AH2260">
        <v>0</v>
      </c>
      <c r="AI2260">
        <v>12</v>
      </c>
      <c r="AJ2260">
        <v>12</v>
      </c>
      <c r="AM2260">
        <v>0</v>
      </c>
      <c r="AN2260">
        <v>526.53</v>
      </c>
      <c r="AP2260">
        <v>47</v>
      </c>
      <c r="AQ2260">
        <v>47</v>
      </c>
    </row>
    <row r="2261" spans="1:43" x14ac:dyDescent="0.25">
      <c r="A2261" t="s">
        <v>45</v>
      </c>
      <c r="B2261">
        <v>1</v>
      </c>
      <c r="C2261" t="s">
        <v>1333</v>
      </c>
      <c r="D2261" s="39">
        <v>45985</v>
      </c>
      <c r="E2261" t="s">
        <v>486</v>
      </c>
      <c r="F2261" t="s">
        <v>79</v>
      </c>
      <c r="G2261">
        <v>2</v>
      </c>
      <c r="H2261" t="s">
        <v>92</v>
      </c>
      <c r="I2261" t="s">
        <v>79</v>
      </c>
      <c r="J2261" t="s">
        <v>1346</v>
      </c>
      <c r="K2261" t="s">
        <v>79</v>
      </c>
      <c r="L2261">
        <v>8</v>
      </c>
      <c r="M2261">
        <v>126.51</v>
      </c>
      <c r="N2261">
        <v>1.6</v>
      </c>
      <c r="O2261">
        <v>8</v>
      </c>
      <c r="Q2261">
        <v>124.91000000000001</v>
      </c>
      <c r="R2261" t="s">
        <v>1450</v>
      </c>
      <c r="V2261">
        <v>0</v>
      </c>
      <c r="W2261">
        <v>0</v>
      </c>
      <c r="AF2261">
        <v>0</v>
      </c>
      <c r="AG2261">
        <v>0</v>
      </c>
      <c r="AH2261">
        <v>0</v>
      </c>
      <c r="AI2261">
        <v>12</v>
      </c>
      <c r="AJ2261">
        <v>12</v>
      </c>
      <c r="AM2261">
        <v>0</v>
      </c>
      <c r="AN2261">
        <v>131.91000000000005</v>
      </c>
      <c r="AP2261">
        <v>48</v>
      </c>
    </row>
    <row r="2262" spans="1:43" x14ac:dyDescent="0.25">
      <c r="A2262" t="s">
        <v>46</v>
      </c>
      <c r="B2262">
        <v>1</v>
      </c>
      <c r="C2262" t="s">
        <v>1333</v>
      </c>
      <c r="D2262" s="39">
        <v>45985</v>
      </c>
      <c r="E2262" t="s">
        <v>486</v>
      </c>
      <c r="F2262" t="s">
        <v>79</v>
      </c>
      <c r="G2262">
        <v>2</v>
      </c>
      <c r="H2262" t="s">
        <v>92</v>
      </c>
      <c r="I2262" t="s">
        <v>79</v>
      </c>
      <c r="J2262" t="s">
        <v>1346</v>
      </c>
      <c r="K2262" t="s">
        <v>79</v>
      </c>
      <c r="L2262">
        <v>8</v>
      </c>
      <c r="M2262">
        <v>127.78</v>
      </c>
      <c r="N2262">
        <v>1.6</v>
      </c>
      <c r="O2262">
        <v>8</v>
      </c>
      <c r="Q2262">
        <v>126.18</v>
      </c>
      <c r="R2262" t="s">
        <v>1450</v>
      </c>
      <c r="V2262">
        <v>0</v>
      </c>
      <c r="W2262">
        <v>0</v>
      </c>
      <c r="AF2262">
        <v>0</v>
      </c>
      <c r="AG2262">
        <v>0</v>
      </c>
      <c r="AH2262">
        <v>0</v>
      </c>
      <c r="AI2262">
        <v>12</v>
      </c>
      <c r="AJ2262">
        <v>12</v>
      </c>
      <c r="AM2262">
        <v>0</v>
      </c>
      <c r="AN2262">
        <v>133.18</v>
      </c>
      <c r="AP2262">
        <v>48</v>
      </c>
    </row>
    <row r="2263" spans="1:43" x14ac:dyDescent="0.25">
      <c r="A2263" t="s">
        <v>45</v>
      </c>
      <c r="B2263">
        <v>2</v>
      </c>
      <c r="C2263" t="s">
        <v>1334</v>
      </c>
      <c r="D2263" s="39">
        <v>45985</v>
      </c>
      <c r="E2263" t="s">
        <v>486</v>
      </c>
      <c r="F2263" t="s">
        <v>79</v>
      </c>
      <c r="G2263">
        <v>5</v>
      </c>
      <c r="H2263" t="s">
        <v>92</v>
      </c>
      <c r="I2263" t="s">
        <v>79</v>
      </c>
      <c r="J2263">
        <v>1000</v>
      </c>
      <c r="K2263" t="s">
        <v>79</v>
      </c>
      <c r="L2263">
        <v>9</v>
      </c>
      <c r="M2263">
        <v>183.67</v>
      </c>
      <c r="N2263">
        <v>4.5</v>
      </c>
      <c r="Q2263">
        <v>179.17</v>
      </c>
      <c r="R2263" t="s">
        <v>1347</v>
      </c>
      <c r="V2263">
        <v>0</v>
      </c>
      <c r="W2263">
        <v>0</v>
      </c>
      <c r="AF2263">
        <v>0</v>
      </c>
      <c r="AG2263">
        <v>0</v>
      </c>
      <c r="AH2263">
        <v>0</v>
      </c>
      <c r="AI2263">
        <v>12</v>
      </c>
      <c r="AJ2263">
        <v>12</v>
      </c>
      <c r="AM2263">
        <v>0</v>
      </c>
      <c r="AN2263">
        <v>186.17</v>
      </c>
      <c r="AP2263">
        <v>48</v>
      </c>
    </row>
    <row r="2264" spans="1:43" x14ac:dyDescent="0.25">
      <c r="A2264" t="s">
        <v>46</v>
      </c>
      <c r="B2264">
        <v>2</v>
      </c>
      <c r="C2264" t="s">
        <v>1334</v>
      </c>
      <c r="D2264" s="39">
        <v>45985</v>
      </c>
      <c r="E2264" t="s">
        <v>486</v>
      </c>
      <c r="F2264" t="s">
        <v>79</v>
      </c>
      <c r="G2264">
        <v>5</v>
      </c>
      <c r="H2264" t="s">
        <v>92</v>
      </c>
      <c r="I2264" t="s">
        <v>79</v>
      </c>
      <c r="J2264">
        <v>1000</v>
      </c>
      <c r="K2264" t="s">
        <v>79</v>
      </c>
      <c r="L2264">
        <v>8</v>
      </c>
      <c r="M2264">
        <v>175.73000000000002</v>
      </c>
      <c r="N2264">
        <v>4</v>
      </c>
      <c r="Q2264">
        <v>171.73000000000002</v>
      </c>
      <c r="R2264" t="s">
        <v>1347</v>
      </c>
      <c r="V2264">
        <v>0</v>
      </c>
      <c r="W2264">
        <v>0</v>
      </c>
      <c r="AF2264">
        <v>0</v>
      </c>
      <c r="AG2264">
        <v>0</v>
      </c>
      <c r="AH2264">
        <v>0</v>
      </c>
      <c r="AI2264">
        <v>12</v>
      </c>
      <c r="AJ2264">
        <v>12</v>
      </c>
      <c r="AM2264">
        <v>0</v>
      </c>
      <c r="AN2264">
        <v>178.73000000000002</v>
      </c>
      <c r="AP2264">
        <v>48</v>
      </c>
    </row>
    <row r="2265" spans="1:43" x14ac:dyDescent="0.25">
      <c r="A2265" t="s">
        <v>46</v>
      </c>
      <c r="B2265">
        <v>3</v>
      </c>
      <c r="C2265" t="s">
        <v>1355</v>
      </c>
      <c r="D2265" s="39">
        <v>45985</v>
      </c>
      <c r="E2265" t="s">
        <v>401</v>
      </c>
      <c r="F2265" t="s">
        <v>79</v>
      </c>
      <c r="G2265">
        <v>7</v>
      </c>
      <c r="H2265" t="s">
        <v>1049</v>
      </c>
      <c r="I2265" t="s">
        <v>79</v>
      </c>
      <c r="J2265">
        <v>100</v>
      </c>
      <c r="K2265" t="s">
        <v>79</v>
      </c>
      <c r="L2265">
        <v>4</v>
      </c>
      <c r="M2265">
        <v>109.71</v>
      </c>
      <c r="N2265">
        <v>3.1799999999999997</v>
      </c>
      <c r="Q2265">
        <v>106.53</v>
      </c>
      <c r="R2265" t="s">
        <v>1356</v>
      </c>
      <c r="V2265">
        <v>0</v>
      </c>
      <c r="W2265">
        <v>0</v>
      </c>
      <c r="AF2265">
        <v>0</v>
      </c>
      <c r="AG2265">
        <v>0</v>
      </c>
      <c r="AH2265">
        <v>0</v>
      </c>
      <c r="AI2265">
        <v>12</v>
      </c>
      <c r="AJ2265">
        <v>12</v>
      </c>
      <c r="AM2265">
        <v>0</v>
      </c>
      <c r="AN2265">
        <v>113.53</v>
      </c>
      <c r="AP2265">
        <v>48</v>
      </c>
    </row>
    <row r="2266" spans="1:43" x14ac:dyDescent="0.25">
      <c r="A2266" t="s">
        <v>46</v>
      </c>
      <c r="B2266">
        <v>3</v>
      </c>
      <c r="C2266" t="s">
        <v>1357</v>
      </c>
      <c r="D2266" s="39">
        <v>45985</v>
      </c>
      <c r="E2266" t="s">
        <v>486</v>
      </c>
      <c r="F2266" t="s">
        <v>79</v>
      </c>
      <c r="G2266">
        <v>7</v>
      </c>
      <c r="H2266">
        <v>5</v>
      </c>
      <c r="I2266" t="s">
        <v>79</v>
      </c>
      <c r="J2266">
        <v>1500</v>
      </c>
      <c r="K2266" t="s">
        <v>79</v>
      </c>
      <c r="L2266">
        <v>6</v>
      </c>
      <c r="M2266">
        <v>241.13</v>
      </c>
      <c r="N2266">
        <v>4.8000000000000007</v>
      </c>
      <c r="Q2266">
        <v>236.32999999999998</v>
      </c>
      <c r="R2266" t="s">
        <v>1358</v>
      </c>
      <c r="V2266">
        <v>0</v>
      </c>
      <c r="W2266">
        <v>0</v>
      </c>
      <c r="AF2266">
        <v>0</v>
      </c>
      <c r="AG2266">
        <v>0</v>
      </c>
      <c r="AH2266">
        <v>0</v>
      </c>
      <c r="AI2266">
        <v>12</v>
      </c>
      <c r="AJ2266">
        <v>12</v>
      </c>
      <c r="AM2266">
        <v>0</v>
      </c>
      <c r="AN2266">
        <v>243.33</v>
      </c>
      <c r="AP2266">
        <v>48</v>
      </c>
    </row>
    <row r="2267" spans="1:43" x14ac:dyDescent="0.25">
      <c r="A2267" t="s">
        <v>45</v>
      </c>
      <c r="B2267">
        <v>4</v>
      </c>
      <c r="C2267" t="s">
        <v>1340</v>
      </c>
      <c r="D2267" s="39">
        <v>45985</v>
      </c>
      <c r="E2267" t="s">
        <v>276</v>
      </c>
      <c r="F2267" t="s">
        <v>79</v>
      </c>
      <c r="G2267">
        <v>28</v>
      </c>
      <c r="H2267" t="s">
        <v>113</v>
      </c>
      <c r="I2267" t="s">
        <v>79</v>
      </c>
      <c r="J2267">
        <v>500</v>
      </c>
      <c r="K2267" t="s">
        <v>79</v>
      </c>
      <c r="L2267">
        <v>10</v>
      </c>
      <c r="M2267">
        <v>613.84</v>
      </c>
      <c r="N2267">
        <v>28</v>
      </c>
      <c r="Q2267">
        <v>585.84</v>
      </c>
      <c r="R2267" t="s">
        <v>1352</v>
      </c>
      <c r="S2267">
        <v>25</v>
      </c>
      <c r="V2267">
        <v>25</v>
      </c>
      <c r="W2267">
        <v>0.41666666666666674</v>
      </c>
      <c r="AF2267">
        <v>0</v>
      </c>
      <c r="AG2267">
        <v>0</v>
      </c>
      <c r="AH2267">
        <v>0.41666666666666674</v>
      </c>
      <c r="AI2267">
        <v>11.583333333333334</v>
      </c>
      <c r="AJ2267">
        <v>12</v>
      </c>
      <c r="AM2267">
        <v>0</v>
      </c>
      <c r="AN2267">
        <v>592.84</v>
      </c>
      <c r="AP2267">
        <v>48</v>
      </c>
    </row>
    <row r="2268" spans="1:43" x14ac:dyDescent="0.25">
      <c r="A2268" t="s">
        <v>45</v>
      </c>
      <c r="B2268">
        <v>4</v>
      </c>
      <c r="C2268" t="s">
        <v>1359</v>
      </c>
      <c r="D2268" s="39">
        <v>45985</v>
      </c>
      <c r="E2268" t="s">
        <v>276</v>
      </c>
      <c r="F2268" t="s">
        <v>79</v>
      </c>
      <c r="G2268">
        <v>20</v>
      </c>
      <c r="H2268" t="s">
        <v>113</v>
      </c>
      <c r="I2268" t="s">
        <v>79</v>
      </c>
      <c r="J2268">
        <v>1000</v>
      </c>
      <c r="K2268" t="s">
        <v>79</v>
      </c>
      <c r="L2268">
        <v>2</v>
      </c>
      <c r="M2268">
        <v>106.15</v>
      </c>
      <c r="N2268">
        <v>4</v>
      </c>
      <c r="Q2268">
        <v>102.15</v>
      </c>
      <c r="R2268" t="s">
        <v>1360</v>
      </c>
      <c r="V2268">
        <v>0</v>
      </c>
      <c r="W2268">
        <v>0</v>
      </c>
      <c r="AF2268">
        <v>0</v>
      </c>
      <c r="AG2268">
        <v>0</v>
      </c>
      <c r="AH2268">
        <v>0</v>
      </c>
      <c r="AI2268">
        <v>12</v>
      </c>
      <c r="AJ2268">
        <v>12</v>
      </c>
      <c r="AM2268">
        <v>0</v>
      </c>
      <c r="AN2268">
        <v>109.15</v>
      </c>
      <c r="AP2268">
        <v>48</v>
      </c>
    </row>
    <row r="2269" spans="1:43" x14ac:dyDescent="0.25">
      <c r="A2269" t="s">
        <v>45</v>
      </c>
      <c r="B2269">
        <v>4</v>
      </c>
      <c r="C2269" t="s">
        <v>1361</v>
      </c>
      <c r="D2269" s="39">
        <v>45985</v>
      </c>
      <c r="E2269" t="s">
        <v>1312</v>
      </c>
      <c r="F2269" t="s">
        <v>79</v>
      </c>
      <c r="G2269">
        <v>20</v>
      </c>
      <c r="H2269" t="s">
        <v>113</v>
      </c>
      <c r="I2269" t="s">
        <v>79</v>
      </c>
      <c r="J2269">
        <v>100</v>
      </c>
      <c r="K2269" t="s">
        <v>79</v>
      </c>
      <c r="L2269">
        <v>2</v>
      </c>
      <c r="M2269">
        <v>107.72</v>
      </c>
      <c r="N2269">
        <v>4</v>
      </c>
      <c r="O2269">
        <v>20</v>
      </c>
      <c r="Q2269">
        <v>103.72</v>
      </c>
      <c r="R2269" t="s">
        <v>1362</v>
      </c>
      <c r="V2269">
        <v>0</v>
      </c>
      <c r="W2269">
        <v>0</v>
      </c>
      <c r="AF2269">
        <v>0</v>
      </c>
      <c r="AG2269">
        <v>0</v>
      </c>
      <c r="AH2269">
        <v>0</v>
      </c>
      <c r="AI2269">
        <v>12</v>
      </c>
      <c r="AJ2269">
        <v>12</v>
      </c>
      <c r="AM2269">
        <v>0</v>
      </c>
      <c r="AN2269">
        <v>110.72</v>
      </c>
      <c r="AP2269">
        <v>48</v>
      </c>
    </row>
    <row r="2270" spans="1:43" x14ac:dyDescent="0.25">
      <c r="A2270" t="s">
        <v>46</v>
      </c>
      <c r="B2270">
        <v>4</v>
      </c>
      <c r="C2270" t="s">
        <v>1359</v>
      </c>
      <c r="D2270" s="39">
        <v>45985</v>
      </c>
      <c r="E2270" t="s">
        <v>276</v>
      </c>
      <c r="F2270" t="s">
        <v>79</v>
      </c>
      <c r="G2270">
        <v>20</v>
      </c>
      <c r="H2270" t="s">
        <v>113</v>
      </c>
      <c r="I2270" t="s">
        <v>79</v>
      </c>
      <c r="J2270">
        <v>1000</v>
      </c>
      <c r="K2270" t="s">
        <v>79</v>
      </c>
      <c r="L2270">
        <v>17</v>
      </c>
      <c r="M2270">
        <v>898.33999999999992</v>
      </c>
      <c r="N2270">
        <v>42.5</v>
      </c>
      <c r="O2270">
        <v>13</v>
      </c>
      <c r="Q2270">
        <v>855.83999999999992</v>
      </c>
      <c r="R2270" t="s">
        <v>1360</v>
      </c>
      <c r="V2270">
        <v>0</v>
      </c>
      <c r="W2270">
        <v>0</v>
      </c>
      <c r="AF2270">
        <v>0</v>
      </c>
      <c r="AG2270">
        <v>0</v>
      </c>
      <c r="AH2270">
        <v>0</v>
      </c>
      <c r="AI2270">
        <v>12</v>
      </c>
      <c r="AJ2270">
        <v>12</v>
      </c>
      <c r="AM2270">
        <v>0</v>
      </c>
      <c r="AN2270">
        <v>862.84</v>
      </c>
      <c r="AP2270">
        <v>48</v>
      </c>
    </row>
    <row r="2271" spans="1:43" x14ac:dyDescent="0.25">
      <c r="A2271" t="s">
        <v>45</v>
      </c>
      <c r="B2271">
        <v>5</v>
      </c>
      <c r="C2271" t="s">
        <v>1341</v>
      </c>
      <c r="D2271" s="39">
        <v>45985</v>
      </c>
      <c r="E2271" t="s">
        <v>486</v>
      </c>
      <c r="F2271" t="s">
        <v>79</v>
      </c>
      <c r="G2271" t="s">
        <v>81</v>
      </c>
      <c r="H2271">
        <v>5</v>
      </c>
      <c r="I2271" t="s">
        <v>79</v>
      </c>
      <c r="J2271">
        <v>1500</v>
      </c>
      <c r="K2271" t="s">
        <v>79</v>
      </c>
      <c r="L2271">
        <v>12</v>
      </c>
      <c r="M2271">
        <v>529.38999999999987</v>
      </c>
      <c r="N2271">
        <v>12</v>
      </c>
      <c r="Q2271">
        <v>517.38999999999987</v>
      </c>
      <c r="R2271" t="s">
        <v>1353</v>
      </c>
      <c r="V2271">
        <v>0</v>
      </c>
      <c r="W2271">
        <v>0</v>
      </c>
      <c r="AF2271">
        <v>0</v>
      </c>
      <c r="AG2271">
        <v>0</v>
      </c>
      <c r="AH2271">
        <v>0</v>
      </c>
      <c r="AI2271">
        <v>12</v>
      </c>
      <c r="AJ2271">
        <v>12</v>
      </c>
      <c r="AM2271">
        <v>0</v>
      </c>
      <c r="AN2271">
        <v>524.38999999999987</v>
      </c>
      <c r="AP2271">
        <v>48</v>
      </c>
    </row>
    <row r="2272" spans="1:43" x14ac:dyDescent="0.25">
      <c r="A2272" t="s">
        <v>45</v>
      </c>
      <c r="B2272">
        <v>1</v>
      </c>
      <c r="C2272" t="s">
        <v>1333</v>
      </c>
      <c r="D2272" s="39">
        <v>45986</v>
      </c>
      <c r="E2272" t="s">
        <v>486</v>
      </c>
      <c r="F2272" t="s">
        <v>79</v>
      </c>
      <c r="G2272">
        <v>2</v>
      </c>
      <c r="H2272" t="s">
        <v>92</v>
      </c>
      <c r="I2272" t="s">
        <v>79</v>
      </c>
      <c r="J2272" t="s">
        <v>1346</v>
      </c>
      <c r="K2272" t="s">
        <v>79</v>
      </c>
      <c r="L2272">
        <v>8</v>
      </c>
      <c r="M2272">
        <v>123.94999999999999</v>
      </c>
      <c r="N2272">
        <v>1.6</v>
      </c>
      <c r="O2272">
        <v>29</v>
      </c>
      <c r="Q2272">
        <v>122.35</v>
      </c>
      <c r="R2272" t="s">
        <v>1450</v>
      </c>
      <c r="V2272">
        <v>0</v>
      </c>
      <c r="W2272">
        <v>0</v>
      </c>
      <c r="AF2272">
        <v>0</v>
      </c>
      <c r="AG2272">
        <v>0</v>
      </c>
      <c r="AH2272">
        <v>0</v>
      </c>
      <c r="AI2272">
        <v>12</v>
      </c>
      <c r="AJ2272">
        <v>12</v>
      </c>
      <c r="AM2272">
        <v>0</v>
      </c>
      <c r="AN2272">
        <v>120</v>
      </c>
      <c r="AP2272">
        <v>48</v>
      </c>
    </row>
    <row r="2273" spans="1:42" x14ac:dyDescent="0.25">
      <c r="A2273" t="s">
        <v>46</v>
      </c>
      <c r="B2273">
        <v>1</v>
      </c>
      <c r="C2273" t="s">
        <v>1333</v>
      </c>
      <c r="D2273" s="39">
        <v>45986</v>
      </c>
      <c r="E2273" t="s">
        <v>486</v>
      </c>
      <c r="F2273" t="s">
        <v>79</v>
      </c>
      <c r="G2273">
        <v>2</v>
      </c>
      <c r="H2273" t="s">
        <v>92</v>
      </c>
      <c r="I2273" t="s">
        <v>79</v>
      </c>
      <c r="J2273" t="s">
        <v>1346</v>
      </c>
      <c r="K2273" t="s">
        <v>79</v>
      </c>
      <c r="L2273">
        <v>8</v>
      </c>
      <c r="M2273">
        <v>113.93</v>
      </c>
      <c r="N2273">
        <v>1.6</v>
      </c>
      <c r="O2273">
        <v>16</v>
      </c>
      <c r="Q2273">
        <v>112.33000000000001</v>
      </c>
      <c r="R2273" t="s">
        <v>1450</v>
      </c>
      <c r="V2273">
        <v>0</v>
      </c>
      <c r="W2273">
        <v>0</v>
      </c>
      <c r="AF2273">
        <v>0</v>
      </c>
      <c r="AG2273">
        <v>0</v>
      </c>
      <c r="AH2273">
        <v>0</v>
      </c>
      <c r="AI2273">
        <v>12</v>
      </c>
      <c r="AJ2273">
        <v>12</v>
      </c>
      <c r="AM2273">
        <v>0</v>
      </c>
      <c r="AN2273">
        <v>120</v>
      </c>
      <c r="AP2273">
        <v>48</v>
      </c>
    </row>
    <row r="2274" spans="1:42" x14ac:dyDescent="0.25">
      <c r="A2274" t="s">
        <v>45</v>
      </c>
      <c r="B2274">
        <v>2</v>
      </c>
      <c r="C2274" t="s">
        <v>1334</v>
      </c>
      <c r="D2274" s="39">
        <v>45986</v>
      </c>
      <c r="E2274" t="s">
        <v>486</v>
      </c>
      <c r="F2274" t="s">
        <v>79</v>
      </c>
      <c r="G2274">
        <v>5</v>
      </c>
      <c r="H2274" t="s">
        <v>92</v>
      </c>
      <c r="I2274" t="s">
        <v>79</v>
      </c>
      <c r="J2274">
        <v>1000</v>
      </c>
      <c r="K2274" t="s">
        <v>79</v>
      </c>
      <c r="L2274">
        <v>9</v>
      </c>
      <c r="M2274">
        <v>156.37</v>
      </c>
      <c r="N2274">
        <v>4.5</v>
      </c>
      <c r="Q2274">
        <v>151.87</v>
      </c>
      <c r="R2274" t="s">
        <v>1347</v>
      </c>
      <c r="V2274">
        <v>0</v>
      </c>
      <c r="W2274">
        <v>0</v>
      </c>
      <c r="AD2274">
        <v>30</v>
      </c>
      <c r="AF2274">
        <v>30</v>
      </c>
      <c r="AG2274">
        <v>0.5</v>
      </c>
      <c r="AH2274">
        <v>0.5</v>
      </c>
      <c r="AI2274">
        <v>11.5</v>
      </c>
      <c r="AJ2274">
        <v>12</v>
      </c>
      <c r="AM2274">
        <v>0</v>
      </c>
      <c r="AN2274">
        <v>170</v>
      </c>
      <c r="AP2274">
        <v>48</v>
      </c>
    </row>
    <row r="2275" spans="1:42" x14ac:dyDescent="0.25">
      <c r="A2275" t="s">
        <v>46</v>
      </c>
      <c r="B2275">
        <v>2</v>
      </c>
      <c r="C2275" t="s">
        <v>1334</v>
      </c>
      <c r="D2275" s="39">
        <v>45986</v>
      </c>
      <c r="E2275" t="s">
        <v>486</v>
      </c>
      <c r="F2275" t="s">
        <v>79</v>
      </c>
      <c r="G2275">
        <v>5</v>
      </c>
      <c r="H2275" t="s">
        <v>92</v>
      </c>
      <c r="I2275" t="s">
        <v>79</v>
      </c>
      <c r="J2275">
        <v>1000</v>
      </c>
      <c r="K2275" t="s">
        <v>79</v>
      </c>
      <c r="L2275">
        <v>5</v>
      </c>
      <c r="M2275">
        <v>62.23</v>
      </c>
      <c r="N2275">
        <v>2.5</v>
      </c>
      <c r="Q2275">
        <v>59.73</v>
      </c>
      <c r="R2275" t="s">
        <v>1347</v>
      </c>
      <c r="V2275">
        <v>0</v>
      </c>
      <c r="W2275">
        <v>0</v>
      </c>
      <c r="AF2275">
        <v>0</v>
      </c>
      <c r="AG2275">
        <v>0</v>
      </c>
      <c r="AH2275">
        <v>0</v>
      </c>
      <c r="AI2275">
        <v>12</v>
      </c>
      <c r="AJ2275">
        <v>12</v>
      </c>
      <c r="AM2275">
        <v>0</v>
      </c>
      <c r="AN2275">
        <v>170</v>
      </c>
      <c r="AP2275">
        <v>48</v>
      </c>
    </row>
    <row r="2276" spans="1:42" x14ac:dyDescent="0.25">
      <c r="A2276" t="s">
        <v>46</v>
      </c>
      <c r="B2276">
        <v>2</v>
      </c>
      <c r="C2276" t="s">
        <v>1363</v>
      </c>
      <c r="D2276" s="39">
        <v>45986</v>
      </c>
      <c r="E2276" t="s">
        <v>200</v>
      </c>
      <c r="F2276" t="s">
        <v>79</v>
      </c>
      <c r="G2276">
        <v>5</v>
      </c>
      <c r="H2276" t="s">
        <v>534</v>
      </c>
      <c r="I2276" t="s">
        <v>79</v>
      </c>
      <c r="J2276" t="s">
        <v>1364</v>
      </c>
      <c r="K2276" t="s">
        <v>79</v>
      </c>
      <c r="L2276">
        <v>5</v>
      </c>
      <c r="M2276">
        <v>94.78</v>
      </c>
      <c r="N2276">
        <v>2.5</v>
      </c>
      <c r="Q2276">
        <v>92.28</v>
      </c>
      <c r="R2276" t="s">
        <v>1365</v>
      </c>
      <c r="V2276">
        <v>0</v>
      </c>
      <c r="W2276">
        <v>0</v>
      </c>
      <c r="AF2276">
        <v>0</v>
      </c>
      <c r="AG2276">
        <v>0</v>
      </c>
      <c r="AH2276">
        <v>0</v>
      </c>
      <c r="AI2276">
        <v>12</v>
      </c>
      <c r="AJ2276">
        <v>12</v>
      </c>
      <c r="AM2276">
        <v>0</v>
      </c>
      <c r="AP2276">
        <v>48</v>
      </c>
    </row>
    <row r="2277" spans="1:42" x14ac:dyDescent="0.25">
      <c r="A2277" t="s">
        <v>46</v>
      </c>
      <c r="B2277">
        <v>2</v>
      </c>
      <c r="C2277" t="s">
        <v>1366</v>
      </c>
      <c r="D2277" s="39">
        <v>45986</v>
      </c>
      <c r="E2277" t="s">
        <v>596</v>
      </c>
      <c r="F2277" t="s">
        <v>79</v>
      </c>
      <c r="G2277">
        <v>5</v>
      </c>
      <c r="H2277" t="s">
        <v>578</v>
      </c>
      <c r="I2277" t="s">
        <v>79</v>
      </c>
      <c r="J2277">
        <v>100</v>
      </c>
      <c r="K2277" t="s">
        <v>79</v>
      </c>
      <c r="L2277">
        <v>1</v>
      </c>
      <c r="M2277">
        <v>20.81</v>
      </c>
      <c r="N2277">
        <v>0.5</v>
      </c>
      <c r="Q2277">
        <v>20.309999999999999</v>
      </c>
      <c r="R2277" t="s">
        <v>1367</v>
      </c>
      <c r="V2277">
        <v>0</v>
      </c>
      <c r="W2277">
        <v>0</v>
      </c>
      <c r="AF2277">
        <v>0</v>
      </c>
      <c r="AG2277">
        <v>0</v>
      </c>
      <c r="AH2277">
        <v>0</v>
      </c>
      <c r="AI2277">
        <v>12</v>
      </c>
      <c r="AJ2277">
        <v>12</v>
      </c>
      <c r="AM2277">
        <v>0</v>
      </c>
      <c r="AP2277">
        <v>48</v>
      </c>
    </row>
    <row r="2278" spans="1:42" x14ac:dyDescent="0.25">
      <c r="A2278" t="s">
        <v>45</v>
      </c>
      <c r="B2278">
        <v>3</v>
      </c>
      <c r="C2278" t="s">
        <v>1357</v>
      </c>
      <c r="D2278" s="39">
        <v>45986</v>
      </c>
      <c r="E2278" t="s">
        <v>486</v>
      </c>
      <c r="F2278" t="s">
        <v>79</v>
      </c>
      <c r="G2278">
        <v>7</v>
      </c>
      <c r="H2278">
        <v>5</v>
      </c>
      <c r="I2278" t="s">
        <v>79</v>
      </c>
      <c r="J2278">
        <v>1500</v>
      </c>
      <c r="K2278" t="s">
        <v>79</v>
      </c>
      <c r="L2278">
        <v>8</v>
      </c>
      <c r="M2278">
        <v>277.14</v>
      </c>
      <c r="N2278">
        <v>5.6</v>
      </c>
      <c r="Q2278">
        <v>271.53999999999996</v>
      </c>
      <c r="R2278" t="s">
        <v>1358</v>
      </c>
      <c r="V2278">
        <v>0</v>
      </c>
      <c r="W2278">
        <v>0</v>
      </c>
      <c r="AF2278">
        <v>0</v>
      </c>
      <c r="AG2278">
        <v>0</v>
      </c>
      <c r="AH2278">
        <v>0</v>
      </c>
      <c r="AI2278">
        <v>12</v>
      </c>
      <c r="AJ2278">
        <v>12</v>
      </c>
      <c r="AM2278">
        <v>0</v>
      </c>
      <c r="AP2278">
        <v>48</v>
      </c>
    </row>
    <row r="2279" spans="1:42" x14ac:dyDescent="0.25">
      <c r="A2279" t="s">
        <v>45</v>
      </c>
      <c r="B2279">
        <v>3</v>
      </c>
      <c r="C2279" t="s">
        <v>1368</v>
      </c>
      <c r="D2279" s="39">
        <v>45986</v>
      </c>
      <c r="E2279" t="s">
        <v>730</v>
      </c>
      <c r="F2279" t="s">
        <v>79</v>
      </c>
      <c r="G2279">
        <v>7</v>
      </c>
      <c r="H2279" t="s">
        <v>1049</v>
      </c>
      <c r="I2279" t="s">
        <v>79</v>
      </c>
      <c r="J2279">
        <v>50</v>
      </c>
      <c r="K2279" t="s">
        <v>79</v>
      </c>
      <c r="L2279">
        <v>2</v>
      </c>
      <c r="M2279">
        <v>59.88</v>
      </c>
      <c r="N2279">
        <v>1.4</v>
      </c>
      <c r="Q2279">
        <v>58.480000000000004</v>
      </c>
      <c r="R2279" t="s">
        <v>1451</v>
      </c>
      <c r="V2279">
        <v>0</v>
      </c>
      <c r="W2279">
        <v>0</v>
      </c>
      <c r="AF2279">
        <v>0</v>
      </c>
      <c r="AG2279">
        <v>0</v>
      </c>
      <c r="AH2279">
        <v>0</v>
      </c>
      <c r="AI2279">
        <v>12</v>
      </c>
      <c r="AJ2279">
        <v>12</v>
      </c>
      <c r="AM2279">
        <v>0</v>
      </c>
      <c r="AN2279">
        <v>320</v>
      </c>
      <c r="AP2279">
        <v>48</v>
      </c>
    </row>
    <row r="2280" spans="1:42" x14ac:dyDescent="0.25">
      <c r="A2280" t="s">
        <v>46</v>
      </c>
      <c r="B2280">
        <v>3</v>
      </c>
      <c r="C2280" t="s">
        <v>1357</v>
      </c>
      <c r="D2280" s="39">
        <v>45986</v>
      </c>
      <c r="E2280" t="s">
        <v>486</v>
      </c>
      <c r="F2280" t="s">
        <v>79</v>
      </c>
      <c r="G2280">
        <v>7</v>
      </c>
      <c r="H2280">
        <v>5</v>
      </c>
      <c r="I2280" t="s">
        <v>79</v>
      </c>
      <c r="J2280">
        <v>1500</v>
      </c>
      <c r="K2280" t="s">
        <v>79</v>
      </c>
      <c r="L2280">
        <v>10</v>
      </c>
      <c r="M2280">
        <v>329.62</v>
      </c>
      <c r="N2280">
        <v>9</v>
      </c>
      <c r="Q2280">
        <v>320.62</v>
      </c>
      <c r="R2280" t="s">
        <v>1358</v>
      </c>
      <c r="V2280">
        <v>0</v>
      </c>
      <c r="W2280">
        <v>0</v>
      </c>
      <c r="AF2280">
        <v>0</v>
      </c>
      <c r="AG2280">
        <v>0</v>
      </c>
      <c r="AH2280">
        <v>0</v>
      </c>
      <c r="AI2280">
        <v>12</v>
      </c>
      <c r="AJ2280">
        <v>12</v>
      </c>
      <c r="AM2280">
        <v>0</v>
      </c>
      <c r="AN2280">
        <v>320</v>
      </c>
      <c r="AP2280">
        <v>48</v>
      </c>
    </row>
    <row r="2281" spans="1:42" x14ac:dyDescent="0.25">
      <c r="A2281" t="s">
        <v>45</v>
      </c>
      <c r="B2281">
        <v>4</v>
      </c>
      <c r="C2281" t="s">
        <v>1369</v>
      </c>
      <c r="D2281" s="39">
        <v>45986</v>
      </c>
      <c r="E2281" t="s">
        <v>243</v>
      </c>
      <c r="F2281" t="s">
        <v>79</v>
      </c>
      <c r="G2281">
        <v>20</v>
      </c>
      <c r="H2281" t="s">
        <v>113</v>
      </c>
      <c r="I2281" t="s">
        <v>79</v>
      </c>
      <c r="J2281">
        <v>150</v>
      </c>
      <c r="K2281" t="s">
        <v>79</v>
      </c>
      <c r="L2281">
        <v>3</v>
      </c>
      <c r="M2281">
        <v>169.1</v>
      </c>
      <c r="N2281">
        <v>6</v>
      </c>
      <c r="Q2281">
        <v>163.1</v>
      </c>
      <c r="R2281" t="s">
        <v>1370</v>
      </c>
      <c r="S2281">
        <v>25</v>
      </c>
      <c r="V2281">
        <v>25</v>
      </c>
      <c r="W2281">
        <v>0.41666666666666674</v>
      </c>
      <c r="Y2281">
        <v>20</v>
      </c>
      <c r="AF2281">
        <v>20</v>
      </c>
      <c r="AG2281">
        <v>0.33333333333333331</v>
      </c>
      <c r="AH2281">
        <v>0.75</v>
      </c>
      <c r="AI2281">
        <v>11.25</v>
      </c>
      <c r="AJ2281">
        <v>12</v>
      </c>
      <c r="AM2281">
        <v>0</v>
      </c>
      <c r="AP2281">
        <v>48</v>
      </c>
    </row>
    <row r="2282" spans="1:42" x14ac:dyDescent="0.25">
      <c r="A2282" t="s">
        <v>45</v>
      </c>
      <c r="B2282">
        <v>4</v>
      </c>
      <c r="C2282" t="s">
        <v>1359</v>
      </c>
      <c r="D2282" s="39">
        <v>45986</v>
      </c>
      <c r="E2282" t="s">
        <v>276</v>
      </c>
      <c r="F2282" t="s">
        <v>79</v>
      </c>
      <c r="G2282">
        <v>20</v>
      </c>
      <c r="H2282" t="s">
        <v>113</v>
      </c>
      <c r="I2282" t="s">
        <v>79</v>
      </c>
      <c r="J2282">
        <v>1000</v>
      </c>
      <c r="K2282" t="s">
        <v>79</v>
      </c>
      <c r="L2282">
        <v>4</v>
      </c>
      <c r="M2282">
        <v>234.04</v>
      </c>
      <c r="N2282">
        <v>8</v>
      </c>
      <c r="Q2282">
        <v>226.04</v>
      </c>
      <c r="R2282" t="s">
        <v>1360</v>
      </c>
      <c r="V2282">
        <v>0</v>
      </c>
      <c r="W2282">
        <v>0</v>
      </c>
      <c r="AF2282">
        <v>0</v>
      </c>
      <c r="AG2282">
        <v>0</v>
      </c>
      <c r="AH2282">
        <v>0</v>
      </c>
      <c r="AI2282">
        <v>12</v>
      </c>
      <c r="AJ2282">
        <v>12</v>
      </c>
      <c r="AM2282">
        <v>0</v>
      </c>
      <c r="AN2282">
        <v>790</v>
      </c>
      <c r="AP2282">
        <v>48</v>
      </c>
    </row>
    <row r="2283" spans="1:42" x14ac:dyDescent="0.25">
      <c r="A2283" t="s">
        <v>45</v>
      </c>
      <c r="B2283">
        <v>4</v>
      </c>
      <c r="C2283" t="s">
        <v>1371</v>
      </c>
      <c r="D2283" s="39">
        <v>45986</v>
      </c>
      <c r="E2283" t="s">
        <v>229</v>
      </c>
      <c r="F2283" t="s">
        <v>79</v>
      </c>
      <c r="G2283">
        <v>18</v>
      </c>
      <c r="H2283" t="s">
        <v>98</v>
      </c>
      <c r="I2283" t="s">
        <v>79</v>
      </c>
      <c r="J2283">
        <v>1500</v>
      </c>
      <c r="K2283" t="s">
        <v>79</v>
      </c>
      <c r="L2283">
        <v>8</v>
      </c>
      <c r="M2283">
        <v>414.41</v>
      </c>
      <c r="N2283">
        <v>14.4</v>
      </c>
      <c r="O2283">
        <v>3</v>
      </c>
      <c r="Q2283">
        <v>400.01000000000005</v>
      </c>
      <c r="R2283" t="s">
        <v>1372</v>
      </c>
      <c r="V2283">
        <v>0</v>
      </c>
      <c r="W2283">
        <v>0</v>
      </c>
      <c r="AF2283">
        <v>0</v>
      </c>
      <c r="AG2283">
        <v>0</v>
      </c>
      <c r="AH2283">
        <v>0</v>
      </c>
      <c r="AI2283">
        <v>12</v>
      </c>
      <c r="AJ2283">
        <v>12</v>
      </c>
      <c r="AM2283">
        <v>0</v>
      </c>
      <c r="AP2283">
        <v>48</v>
      </c>
    </row>
    <row r="2284" spans="1:42" x14ac:dyDescent="0.25">
      <c r="A2284" t="s">
        <v>46</v>
      </c>
      <c r="B2284">
        <v>4</v>
      </c>
      <c r="C2284" t="s">
        <v>1371</v>
      </c>
      <c r="D2284" s="39">
        <v>45986</v>
      </c>
      <c r="E2284" t="s">
        <v>229</v>
      </c>
      <c r="F2284" t="s">
        <v>79</v>
      </c>
      <c r="G2284">
        <v>18</v>
      </c>
      <c r="H2284" t="s">
        <v>98</v>
      </c>
      <c r="I2284" t="s">
        <v>79</v>
      </c>
      <c r="J2284">
        <v>1500</v>
      </c>
      <c r="K2284" t="s">
        <v>79</v>
      </c>
      <c r="L2284">
        <v>16</v>
      </c>
      <c r="M2284">
        <v>783.01</v>
      </c>
      <c r="N2284">
        <v>32</v>
      </c>
      <c r="O2284">
        <v>3</v>
      </c>
      <c r="Q2284">
        <v>751.01</v>
      </c>
      <c r="R2284" t="s">
        <v>1372</v>
      </c>
      <c r="V2284">
        <v>0</v>
      </c>
      <c r="W2284">
        <v>0</v>
      </c>
      <c r="AF2284">
        <v>0</v>
      </c>
      <c r="AG2284">
        <v>0</v>
      </c>
      <c r="AH2284">
        <v>0</v>
      </c>
      <c r="AI2284">
        <v>12</v>
      </c>
      <c r="AJ2284">
        <v>12</v>
      </c>
      <c r="AM2284">
        <v>0</v>
      </c>
      <c r="AN2284">
        <v>790</v>
      </c>
      <c r="AP2284">
        <v>48</v>
      </c>
    </row>
    <row r="2285" spans="1:42" x14ac:dyDescent="0.25">
      <c r="A2285" t="s">
        <v>45</v>
      </c>
      <c r="B2285">
        <v>1</v>
      </c>
      <c r="C2285" t="s">
        <v>1333</v>
      </c>
      <c r="D2285" s="39">
        <v>45987</v>
      </c>
      <c r="E2285" t="s">
        <v>486</v>
      </c>
      <c r="F2285" t="s">
        <v>79</v>
      </c>
      <c r="G2285">
        <v>2</v>
      </c>
      <c r="H2285" t="s">
        <v>92</v>
      </c>
      <c r="I2285" t="s">
        <v>79</v>
      </c>
      <c r="J2285" t="s">
        <v>1346</v>
      </c>
      <c r="K2285" t="s">
        <v>79</v>
      </c>
      <c r="L2285">
        <v>9</v>
      </c>
      <c r="M2285">
        <v>135.28</v>
      </c>
      <c r="N2285">
        <v>1.8</v>
      </c>
      <c r="O2285">
        <v>39</v>
      </c>
      <c r="Q2285">
        <v>133.47999999999999</v>
      </c>
      <c r="R2285" t="s">
        <v>1450</v>
      </c>
      <c r="V2285">
        <v>0</v>
      </c>
      <c r="W2285">
        <v>0</v>
      </c>
      <c r="AF2285">
        <v>0</v>
      </c>
      <c r="AG2285">
        <v>0</v>
      </c>
      <c r="AH2285">
        <v>0</v>
      </c>
      <c r="AI2285">
        <v>12</v>
      </c>
      <c r="AJ2285">
        <v>12</v>
      </c>
      <c r="AM2285">
        <v>0</v>
      </c>
      <c r="AN2285">
        <v>125</v>
      </c>
      <c r="AP2285">
        <v>48</v>
      </c>
    </row>
    <row r="2286" spans="1:42" x14ac:dyDescent="0.25">
      <c r="A2286" t="s">
        <v>46</v>
      </c>
      <c r="B2286">
        <v>1</v>
      </c>
      <c r="C2286" t="s">
        <v>1333</v>
      </c>
      <c r="D2286" s="39">
        <v>45987</v>
      </c>
      <c r="E2286" t="s">
        <v>486</v>
      </c>
      <c r="F2286" t="s">
        <v>79</v>
      </c>
      <c r="G2286">
        <v>2</v>
      </c>
      <c r="H2286" t="s">
        <v>92</v>
      </c>
      <c r="I2286" t="s">
        <v>79</v>
      </c>
      <c r="J2286" t="s">
        <v>1346</v>
      </c>
      <c r="K2286" t="s">
        <v>79</v>
      </c>
      <c r="L2286">
        <v>9</v>
      </c>
      <c r="M2286">
        <v>109.61</v>
      </c>
      <c r="N2286">
        <v>3.6</v>
      </c>
      <c r="O2286">
        <v>36</v>
      </c>
      <c r="Q2286">
        <v>106.01</v>
      </c>
      <c r="R2286" t="s">
        <v>1450</v>
      </c>
      <c r="V2286">
        <v>0</v>
      </c>
      <c r="W2286">
        <v>0</v>
      </c>
      <c r="AF2286">
        <v>0</v>
      </c>
      <c r="AG2286">
        <v>0</v>
      </c>
      <c r="AH2286">
        <v>0</v>
      </c>
      <c r="AI2286">
        <v>12</v>
      </c>
      <c r="AJ2286">
        <v>12</v>
      </c>
      <c r="AM2286">
        <v>0</v>
      </c>
      <c r="AN2286">
        <v>125</v>
      </c>
      <c r="AP2286">
        <v>48</v>
      </c>
    </row>
    <row r="2287" spans="1:42" x14ac:dyDescent="0.25">
      <c r="A2287" t="s">
        <v>45</v>
      </c>
      <c r="B2287">
        <v>2</v>
      </c>
      <c r="C2287" t="s">
        <v>1366</v>
      </c>
      <c r="D2287" s="39">
        <v>45987</v>
      </c>
      <c r="E2287" t="s">
        <v>596</v>
      </c>
      <c r="F2287" t="s">
        <v>79</v>
      </c>
      <c r="G2287">
        <v>5</v>
      </c>
      <c r="H2287" t="s">
        <v>578</v>
      </c>
      <c r="I2287" t="s">
        <v>79</v>
      </c>
      <c r="J2287">
        <v>100</v>
      </c>
      <c r="K2287" t="s">
        <v>79</v>
      </c>
      <c r="L2287">
        <v>7</v>
      </c>
      <c r="M2287">
        <v>91.389999999999986</v>
      </c>
      <c r="N2287">
        <v>3.5</v>
      </c>
      <c r="Q2287">
        <v>87.889999999999986</v>
      </c>
      <c r="R2287" t="s">
        <v>1367</v>
      </c>
      <c r="S2287">
        <v>25</v>
      </c>
      <c r="V2287">
        <v>25</v>
      </c>
      <c r="W2287">
        <v>0.41666666666666674</v>
      </c>
      <c r="Z2287">
        <v>165</v>
      </c>
      <c r="AF2287">
        <v>165</v>
      </c>
      <c r="AG2287">
        <v>2.75</v>
      </c>
      <c r="AH2287">
        <v>3.1666666666666665</v>
      </c>
      <c r="AI2287">
        <v>8.8333333333333339</v>
      </c>
      <c r="AJ2287">
        <v>12</v>
      </c>
      <c r="AM2287">
        <v>0</v>
      </c>
      <c r="AN2287">
        <v>220</v>
      </c>
      <c r="AP2287">
        <v>48</v>
      </c>
    </row>
    <row r="2288" spans="1:42" x14ac:dyDescent="0.25">
      <c r="A2288" t="s">
        <v>45</v>
      </c>
      <c r="B2288">
        <v>2</v>
      </c>
      <c r="C2288" t="s">
        <v>1373</v>
      </c>
      <c r="D2288" s="39">
        <v>45987</v>
      </c>
      <c r="E2288" t="s">
        <v>1374</v>
      </c>
      <c r="F2288" t="s">
        <v>79</v>
      </c>
      <c r="G2288">
        <v>6</v>
      </c>
      <c r="H2288" t="s">
        <v>944</v>
      </c>
      <c r="I2288" t="s">
        <v>79</v>
      </c>
      <c r="J2288">
        <v>200</v>
      </c>
      <c r="K2288" t="s">
        <v>79</v>
      </c>
      <c r="L2288">
        <v>3</v>
      </c>
      <c r="M2288">
        <v>64.150000000000006</v>
      </c>
      <c r="N2288">
        <v>1.7999999999999998</v>
      </c>
      <c r="Q2288">
        <v>62.350000000000009</v>
      </c>
      <c r="R2288" t="s">
        <v>1375</v>
      </c>
      <c r="V2288">
        <v>0</v>
      </c>
      <c r="W2288">
        <v>0</v>
      </c>
      <c r="AF2288">
        <v>0</v>
      </c>
      <c r="AG2288">
        <v>0</v>
      </c>
      <c r="AH2288">
        <v>0</v>
      </c>
      <c r="AI2288">
        <v>12</v>
      </c>
      <c r="AJ2288">
        <v>12</v>
      </c>
      <c r="AM2288">
        <v>0</v>
      </c>
      <c r="AP2288">
        <v>48</v>
      </c>
    </row>
    <row r="2289" spans="1:42" x14ac:dyDescent="0.25">
      <c r="A2289" t="s">
        <v>46</v>
      </c>
      <c r="B2289">
        <v>2</v>
      </c>
      <c r="C2289" t="s">
        <v>1376</v>
      </c>
      <c r="D2289" s="39">
        <v>45987</v>
      </c>
      <c r="E2289" t="s">
        <v>1377</v>
      </c>
      <c r="F2289" t="s">
        <v>79</v>
      </c>
      <c r="G2289">
        <v>6</v>
      </c>
      <c r="H2289" t="s">
        <v>1049</v>
      </c>
      <c r="I2289" t="s">
        <v>79</v>
      </c>
      <c r="J2289">
        <v>200</v>
      </c>
      <c r="K2289" t="s">
        <v>79</v>
      </c>
      <c r="L2289">
        <v>6</v>
      </c>
      <c r="M2289">
        <v>157.57999999999998</v>
      </c>
      <c r="N2289">
        <v>3.5999999999999996</v>
      </c>
      <c r="Q2289">
        <v>153.97999999999999</v>
      </c>
      <c r="R2289" t="s">
        <v>1378</v>
      </c>
      <c r="V2289">
        <v>0</v>
      </c>
      <c r="W2289">
        <v>0</v>
      </c>
      <c r="AF2289">
        <v>0</v>
      </c>
      <c r="AG2289">
        <v>0</v>
      </c>
      <c r="AH2289">
        <v>0</v>
      </c>
      <c r="AI2289">
        <v>12</v>
      </c>
      <c r="AJ2289">
        <v>12</v>
      </c>
      <c r="AM2289">
        <v>0</v>
      </c>
      <c r="AN2289">
        <v>220</v>
      </c>
      <c r="AP2289">
        <v>48</v>
      </c>
    </row>
    <row r="2290" spans="1:42" x14ac:dyDescent="0.25">
      <c r="A2290" t="s">
        <v>46</v>
      </c>
      <c r="B2290">
        <v>2</v>
      </c>
      <c r="C2290" t="s">
        <v>1379</v>
      </c>
      <c r="D2290" s="39">
        <v>45987</v>
      </c>
      <c r="E2290" t="s">
        <v>486</v>
      </c>
      <c r="F2290" t="s">
        <v>79</v>
      </c>
      <c r="G2290">
        <v>6</v>
      </c>
      <c r="H2290">
        <v>5</v>
      </c>
      <c r="I2290" t="s">
        <v>79</v>
      </c>
      <c r="J2290">
        <v>1500</v>
      </c>
      <c r="K2290" t="s">
        <v>79</v>
      </c>
      <c r="L2290">
        <v>3</v>
      </c>
      <c r="M2290">
        <v>67.03</v>
      </c>
      <c r="N2290">
        <v>1.7999999999999998</v>
      </c>
      <c r="Q2290">
        <v>65.23</v>
      </c>
      <c r="R2290" t="s">
        <v>1437</v>
      </c>
      <c r="V2290">
        <v>0</v>
      </c>
      <c r="W2290">
        <v>0</v>
      </c>
      <c r="AF2290">
        <v>0</v>
      </c>
      <c r="AG2290">
        <v>0</v>
      </c>
      <c r="AH2290">
        <v>0</v>
      </c>
      <c r="AI2290">
        <v>12</v>
      </c>
      <c r="AJ2290">
        <v>12</v>
      </c>
      <c r="AM2290">
        <v>0</v>
      </c>
      <c r="AP2290">
        <v>48</v>
      </c>
    </row>
    <row r="2291" spans="1:42" x14ac:dyDescent="0.25">
      <c r="A2291" t="s">
        <v>45</v>
      </c>
      <c r="B2291">
        <v>3</v>
      </c>
      <c r="C2291" t="s">
        <v>1357</v>
      </c>
      <c r="D2291" s="39">
        <v>45987</v>
      </c>
      <c r="E2291" t="s">
        <v>486</v>
      </c>
      <c r="F2291" t="s">
        <v>79</v>
      </c>
      <c r="G2291">
        <v>7</v>
      </c>
      <c r="H2291">
        <v>5</v>
      </c>
      <c r="I2291" t="s">
        <v>79</v>
      </c>
      <c r="J2291">
        <v>1500</v>
      </c>
      <c r="K2291" t="s">
        <v>79</v>
      </c>
      <c r="L2291">
        <v>9</v>
      </c>
      <c r="M2291">
        <v>330.66000000000008</v>
      </c>
      <c r="N2291">
        <v>6.3</v>
      </c>
      <c r="Q2291">
        <v>324.36000000000007</v>
      </c>
      <c r="R2291" t="s">
        <v>1358</v>
      </c>
      <c r="V2291">
        <v>0</v>
      </c>
      <c r="W2291">
        <v>0</v>
      </c>
      <c r="AF2291">
        <v>0</v>
      </c>
      <c r="AG2291">
        <v>0</v>
      </c>
      <c r="AH2291">
        <v>0</v>
      </c>
      <c r="AI2291">
        <v>12</v>
      </c>
      <c r="AJ2291">
        <v>12</v>
      </c>
      <c r="AM2291">
        <v>0</v>
      </c>
      <c r="AN2291">
        <v>320</v>
      </c>
      <c r="AP2291">
        <v>48</v>
      </c>
    </row>
    <row r="2292" spans="1:42" x14ac:dyDescent="0.25">
      <c r="A2292" t="s">
        <v>46</v>
      </c>
      <c r="B2292">
        <v>3</v>
      </c>
      <c r="C2292" t="s">
        <v>1357</v>
      </c>
      <c r="D2292" s="39">
        <v>45987</v>
      </c>
      <c r="E2292" t="s">
        <v>486</v>
      </c>
      <c r="F2292" t="s">
        <v>79</v>
      </c>
      <c r="G2292">
        <v>7</v>
      </c>
      <c r="H2292">
        <v>5</v>
      </c>
      <c r="I2292" t="s">
        <v>79</v>
      </c>
      <c r="J2292">
        <v>1500</v>
      </c>
      <c r="K2292" t="s">
        <v>79</v>
      </c>
      <c r="L2292">
        <v>10</v>
      </c>
      <c r="M2292">
        <v>341.43</v>
      </c>
      <c r="N2292">
        <v>7</v>
      </c>
      <c r="Q2292">
        <v>334.43</v>
      </c>
      <c r="R2292" t="s">
        <v>1358</v>
      </c>
      <c r="V2292">
        <v>0</v>
      </c>
      <c r="W2292">
        <v>0</v>
      </c>
      <c r="AF2292">
        <v>0</v>
      </c>
      <c r="AG2292">
        <v>0</v>
      </c>
      <c r="AH2292">
        <v>0</v>
      </c>
      <c r="AI2292">
        <v>12</v>
      </c>
      <c r="AJ2292">
        <v>12</v>
      </c>
      <c r="AM2292">
        <v>0</v>
      </c>
      <c r="AN2292">
        <v>320</v>
      </c>
      <c r="AP2292">
        <v>48</v>
      </c>
    </row>
    <row r="2293" spans="1:42" x14ac:dyDescent="0.25">
      <c r="A2293" t="s">
        <v>45</v>
      </c>
      <c r="B2293">
        <v>4</v>
      </c>
      <c r="C2293" t="s">
        <v>1371</v>
      </c>
      <c r="D2293" s="39">
        <v>45987</v>
      </c>
      <c r="E2293" t="s">
        <v>229</v>
      </c>
      <c r="F2293" t="s">
        <v>79</v>
      </c>
      <c r="G2293">
        <v>18</v>
      </c>
      <c r="H2293" t="s">
        <v>98</v>
      </c>
      <c r="I2293" t="s">
        <v>79</v>
      </c>
      <c r="J2293">
        <v>1500</v>
      </c>
      <c r="K2293" t="s">
        <v>79</v>
      </c>
      <c r="L2293">
        <v>7</v>
      </c>
      <c r="M2293">
        <v>386.28999999999996</v>
      </c>
      <c r="N2293">
        <v>12.6</v>
      </c>
      <c r="Q2293">
        <v>373.68999999999994</v>
      </c>
      <c r="R2293" t="s">
        <v>1372</v>
      </c>
      <c r="V2293">
        <v>0</v>
      </c>
      <c r="W2293">
        <v>0</v>
      </c>
      <c r="AF2293">
        <v>0</v>
      </c>
      <c r="AG2293">
        <v>0</v>
      </c>
      <c r="AH2293">
        <v>0</v>
      </c>
      <c r="AI2293">
        <v>12</v>
      </c>
      <c r="AJ2293">
        <v>12</v>
      </c>
      <c r="AM2293">
        <v>0</v>
      </c>
      <c r="AP2293">
        <v>48</v>
      </c>
    </row>
    <row r="2294" spans="1:42" x14ac:dyDescent="0.25">
      <c r="A2294" t="s">
        <v>45</v>
      </c>
      <c r="B2294">
        <v>4</v>
      </c>
      <c r="C2294" t="s">
        <v>1380</v>
      </c>
      <c r="D2294" s="39">
        <v>45987</v>
      </c>
      <c r="E2294" t="s">
        <v>438</v>
      </c>
      <c r="F2294" t="s">
        <v>79</v>
      </c>
      <c r="G2294">
        <v>22</v>
      </c>
      <c r="H2294" t="s">
        <v>98</v>
      </c>
      <c r="I2294" t="s">
        <v>79</v>
      </c>
      <c r="J2294">
        <v>100</v>
      </c>
      <c r="K2294" t="s">
        <v>79</v>
      </c>
      <c r="L2294">
        <v>2</v>
      </c>
      <c r="M2294">
        <v>107.35</v>
      </c>
      <c r="N2294">
        <v>4.4000000000000004</v>
      </c>
      <c r="Q2294">
        <v>102.94999999999999</v>
      </c>
      <c r="R2294" t="s">
        <v>1381</v>
      </c>
      <c r="S2294">
        <v>30</v>
      </c>
      <c r="V2294">
        <v>30</v>
      </c>
      <c r="W2294">
        <v>0.5</v>
      </c>
      <c r="Y2294">
        <v>30</v>
      </c>
      <c r="AF2294">
        <v>30</v>
      </c>
      <c r="AG2294">
        <v>0.5</v>
      </c>
      <c r="AH2294">
        <v>1</v>
      </c>
      <c r="AI2294">
        <v>11</v>
      </c>
      <c r="AJ2294">
        <v>12</v>
      </c>
      <c r="AM2294">
        <v>0</v>
      </c>
      <c r="AP2294">
        <v>48</v>
      </c>
    </row>
    <row r="2295" spans="1:42" x14ac:dyDescent="0.25">
      <c r="A2295" t="s">
        <v>45</v>
      </c>
      <c r="B2295">
        <v>4</v>
      </c>
      <c r="C2295" t="s">
        <v>1382</v>
      </c>
      <c r="D2295" s="39">
        <v>45987</v>
      </c>
      <c r="E2295" t="s">
        <v>1383</v>
      </c>
      <c r="F2295" t="s">
        <v>79</v>
      </c>
      <c r="G2295">
        <v>17</v>
      </c>
      <c r="H2295" t="s">
        <v>113</v>
      </c>
      <c r="I2295" t="s">
        <v>79</v>
      </c>
      <c r="J2295">
        <v>100</v>
      </c>
      <c r="K2295" t="s">
        <v>79</v>
      </c>
      <c r="L2295">
        <v>1</v>
      </c>
      <c r="M2295">
        <v>42.14</v>
      </c>
      <c r="N2295">
        <v>1.7</v>
      </c>
      <c r="Q2295">
        <v>40.44</v>
      </c>
      <c r="R2295" t="s">
        <v>1384</v>
      </c>
      <c r="S2295">
        <v>30</v>
      </c>
      <c r="V2295">
        <v>30</v>
      </c>
      <c r="W2295">
        <v>0.5</v>
      </c>
      <c r="AF2295">
        <v>0</v>
      </c>
      <c r="AG2295">
        <v>0</v>
      </c>
      <c r="AH2295">
        <v>0.5</v>
      </c>
      <c r="AI2295">
        <v>11.5</v>
      </c>
      <c r="AJ2295">
        <v>12</v>
      </c>
      <c r="AM2295">
        <v>0</v>
      </c>
      <c r="AP2295">
        <v>48</v>
      </c>
    </row>
    <row r="2296" spans="1:42" x14ac:dyDescent="0.25">
      <c r="A2296" t="s">
        <v>45</v>
      </c>
      <c r="B2296">
        <v>4</v>
      </c>
      <c r="C2296" t="s">
        <v>1385</v>
      </c>
      <c r="D2296" s="39">
        <v>45987</v>
      </c>
      <c r="E2296" t="s">
        <v>730</v>
      </c>
      <c r="F2296" t="s">
        <v>79</v>
      </c>
      <c r="G2296">
        <v>12</v>
      </c>
      <c r="H2296" t="s">
        <v>1049</v>
      </c>
      <c r="I2296" t="s">
        <v>79</v>
      </c>
      <c r="J2296">
        <v>250</v>
      </c>
      <c r="K2296" t="s">
        <v>79</v>
      </c>
      <c r="L2296">
        <v>2</v>
      </c>
      <c r="M2296">
        <v>110.15</v>
      </c>
      <c r="N2296">
        <v>3.4</v>
      </c>
      <c r="Q2296">
        <v>106.75</v>
      </c>
      <c r="R2296" t="s">
        <v>1438</v>
      </c>
      <c r="V2296">
        <v>0</v>
      </c>
      <c r="W2296">
        <v>0</v>
      </c>
      <c r="AF2296">
        <v>0</v>
      </c>
      <c r="AG2296">
        <v>0</v>
      </c>
      <c r="AH2296">
        <v>0</v>
      </c>
      <c r="AI2296">
        <v>12</v>
      </c>
      <c r="AJ2296">
        <v>12</v>
      </c>
      <c r="AM2296">
        <v>0</v>
      </c>
      <c r="AN2296">
        <v>720</v>
      </c>
      <c r="AP2296">
        <v>48</v>
      </c>
    </row>
    <row r="2297" spans="1:42" x14ac:dyDescent="0.25">
      <c r="A2297" t="s">
        <v>45</v>
      </c>
      <c r="B2297">
        <v>4</v>
      </c>
      <c r="C2297" t="s">
        <v>641</v>
      </c>
      <c r="D2297" s="39">
        <v>45987</v>
      </c>
      <c r="E2297" t="s">
        <v>486</v>
      </c>
      <c r="F2297" t="s">
        <v>79</v>
      </c>
      <c r="G2297">
        <v>18</v>
      </c>
      <c r="H2297" t="s">
        <v>113</v>
      </c>
      <c r="I2297" t="s">
        <v>79</v>
      </c>
      <c r="J2297">
        <v>1000</v>
      </c>
      <c r="K2297" t="s">
        <v>79</v>
      </c>
      <c r="L2297">
        <v>1</v>
      </c>
      <c r="M2297">
        <v>58.22</v>
      </c>
      <c r="N2297">
        <v>1.8</v>
      </c>
      <c r="O2297">
        <v>4.5</v>
      </c>
      <c r="Q2297">
        <v>56.42</v>
      </c>
      <c r="R2297" t="s">
        <v>1386</v>
      </c>
      <c r="V2297">
        <v>0</v>
      </c>
      <c r="W2297">
        <v>0</v>
      </c>
      <c r="AF2297">
        <v>0</v>
      </c>
      <c r="AG2297">
        <v>0</v>
      </c>
      <c r="AH2297">
        <v>0</v>
      </c>
      <c r="AI2297">
        <v>12</v>
      </c>
      <c r="AJ2297">
        <v>12</v>
      </c>
      <c r="AM2297">
        <v>0</v>
      </c>
      <c r="AP2297">
        <v>48</v>
      </c>
    </row>
    <row r="2298" spans="1:42" x14ac:dyDescent="0.25">
      <c r="A2298" t="s">
        <v>46</v>
      </c>
      <c r="B2298">
        <v>4</v>
      </c>
      <c r="C2298" t="s">
        <v>1382</v>
      </c>
      <c r="D2298" s="39">
        <v>45987</v>
      </c>
      <c r="E2298" t="s">
        <v>1383</v>
      </c>
      <c r="F2298" t="s">
        <v>79</v>
      </c>
      <c r="G2298">
        <v>17</v>
      </c>
      <c r="H2298" t="s">
        <v>113</v>
      </c>
      <c r="I2298" t="s">
        <v>79</v>
      </c>
      <c r="J2298">
        <v>100</v>
      </c>
      <c r="K2298" t="s">
        <v>79</v>
      </c>
      <c r="L2298">
        <v>1</v>
      </c>
      <c r="M2298">
        <v>53.74</v>
      </c>
      <c r="N2298">
        <v>2</v>
      </c>
      <c r="O2298">
        <v>4.5</v>
      </c>
      <c r="Q2298">
        <v>51.74</v>
      </c>
      <c r="R2298" t="s">
        <v>1384</v>
      </c>
      <c r="V2298">
        <v>0</v>
      </c>
      <c r="W2298">
        <v>0</v>
      </c>
      <c r="AF2298">
        <v>0</v>
      </c>
      <c r="AG2298">
        <v>0</v>
      </c>
      <c r="AH2298">
        <v>0</v>
      </c>
      <c r="AI2298">
        <v>12</v>
      </c>
      <c r="AJ2298">
        <v>12</v>
      </c>
      <c r="AM2298">
        <v>0</v>
      </c>
      <c r="AN2298">
        <v>720</v>
      </c>
      <c r="AP2298">
        <v>48</v>
      </c>
    </row>
    <row r="2299" spans="1:42" x14ac:dyDescent="0.25">
      <c r="A2299" t="s">
        <v>46</v>
      </c>
      <c r="B2299">
        <v>4</v>
      </c>
      <c r="C2299" t="s">
        <v>1387</v>
      </c>
      <c r="D2299" s="39">
        <v>45987</v>
      </c>
      <c r="E2299" t="s">
        <v>243</v>
      </c>
      <c r="F2299" t="s">
        <v>79</v>
      </c>
      <c r="G2299">
        <v>16</v>
      </c>
      <c r="H2299" t="s">
        <v>102</v>
      </c>
      <c r="I2299" t="s">
        <v>79</v>
      </c>
      <c r="J2299">
        <v>145</v>
      </c>
      <c r="K2299" t="s">
        <v>79</v>
      </c>
      <c r="L2299">
        <v>3</v>
      </c>
      <c r="M2299">
        <v>156.07999999999998</v>
      </c>
      <c r="N2299">
        <v>5.9</v>
      </c>
      <c r="Q2299">
        <v>150.17999999999998</v>
      </c>
      <c r="R2299" t="s">
        <v>1388</v>
      </c>
      <c r="V2299">
        <v>0</v>
      </c>
      <c r="W2299">
        <v>0</v>
      </c>
      <c r="AF2299">
        <v>0</v>
      </c>
      <c r="AG2299">
        <v>0</v>
      </c>
      <c r="AH2299">
        <v>0</v>
      </c>
      <c r="AI2299">
        <v>12</v>
      </c>
      <c r="AJ2299">
        <v>12</v>
      </c>
      <c r="AM2299">
        <v>0</v>
      </c>
      <c r="AP2299">
        <v>48</v>
      </c>
    </row>
    <row r="2300" spans="1:42" x14ac:dyDescent="0.25">
      <c r="A2300" t="s">
        <v>46</v>
      </c>
      <c r="B2300">
        <v>4</v>
      </c>
      <c r="C2300" t="s">
        <v>1389</v>
      </c>
      <c r="D2300" s="39">
        <v>45987</v>
      </c>
      <c r="E2300" t="s">
        <v>243</v>
      </c>
      <c r="F2300" t="s">
        <v>79</v>
      </c>
      <c r="G2300">
        <v>16.2</v>
      </c>
      <c r="H2300" t="s">
        <v>81</v>
      </c>
      <c r="I2300" t="s">
        <v>79</v>
      </c>
      <c r="J2300">
        <v>2000</v>
      </c>
      <c r="K2300" t="s">
        <v>79</v>
      </c>
      <c r="L2300">
        <v>11</v>
      </c>
      <c r="M2300">
        <v>457.95</v>
      </c>
      <c r="N2300">
        <v>21.459999999999997</v>
      </c>
      <c r="Q2300">
        <v>436.49</v>
      </c>
      <c r="R2300" t="s">
        <v>1390</v>
      </c>
      <c r="V2300">
        <v>0</v>
      </c>
      <c r="W2300">
        <v>0</v>
      </c>
      <c r="AF2300">
        <v>0</v>
      </c>
      <c r="AG2300">
        <v>0</v>
      </c>
      <c r="AH2300">
        <v>0</v>
      </c>
      <c r="AI2300">
        <v>12</v>
      </c>
      <c r="AJ2300">
        <v>12</v>
      </c>
      <c r="AM2300">
        <v>0</v>
      </c>
      <c r="AP2300">
        <v>48</v>
      </c>
    </row>
    <row r="2301" spans="1:42" x14ac:dyDescent="0.25">
      <c r="A2301" t="s">
        <v>46</v>
      </c>
      <c r="B2301">
        <v>4</v>
      </c>
      <c r="C2301" t="s">
        <v>1391</v>
      </c>
      <c r="D2301" s="39">
        <v>45987</v>
      </c>
      <c r="E2301" t="s">
        <v>81</v>
      </c>
      <c r="K2301" t="s">
        <v>79</v>
      </c>
      <c r="L2301">
        <v>3</v>
      </c>
      <c r="M2301">
        <v>94.539999999999992</v>
      </c>
      <c r="N2301">
        <v>5.85</v>
      </c>
      <c r="Q2301">
        <v>88.69</v>
      </c>
      <c r="R2301" t="s">
        <v>1392</v>
      </c>
      <c r="S2301">
        <v>30</v>
      </c>
      <c r="V2301">
        <v>30</v>
      </c>
      <c r="W2301">
        <v>0.5</v>
      </c>
      <c r="AF2301">
        <v>0</v>
      </c>
      <c r="AG2301">
        <v>0</v>
      </c>
      <c r="AH2301">
        <v>0.5</v>
      </c>
      <c r="AI2301">
        <v>11.5</v>
      </c>
      <c r="AJ2301">
        <v>12</v>
      </c>
      <c r="AM2301">
        <v>0</v>
      </c>
      <c r="AP2301">
        <v>48</v>
      </c>
    </row>
    <row r="2302" spans="1:42" x14ac:dyDescent="0.25">
      <c r="A2302" t="s">
        <v>46</v>
      </c>
      <c r="B2302">
        <v>4</v>
      </c>
      <c r="C2302" t="s">
        <v>1393</v>
      </c>
      <c r="D2302" s="39">
        <v>45987</v>
      </c>
      <c r="E2302" t="s">
        <v>400</v>
      </c>
      <c r="F2302" t="s">
        <v>1283</v>
      </c>
      <c r="G2302">
        <v>5</v>
      </c>
      <c r="H2302">
        <v>10</v>
      </c>
      <c r="I2302" t="s">
        <v>1283</v>
      </c>
      <c r="J2302">
        <v>100</v>
      </c>
      <c r="K2302" t="s">
        <v>79</v>
      </c>
      <c r="L2302">
        <v>1</v>
      </c>
      <c r="M2302">
        <v>34.520000000000003</v>
      </c>
      <c r="N2302">
        <v>1.6</v>
      </c>
      <c r="Q2302">
        <v>32.92</v>
      </c>
      <c r="R2302" t="s">
        <v>1394</v>
      </c>
      <c r="V2302">
        <v>0</v>
      </c>
      <c r="W2302">
        <v>0</v>
      </c>
      <c r="AF2302">
        <v>0</v>
      </c>
      <c r="AG2302">
        <v>0</v>
      </c>
      <c r="AH2302">
        <v>0</v>
      </c>
      <c r="AI2302">
        <v>12</v>
      </c>
      <c r="AJ2302">
        <v>12</v>
      </c>
      <c r="AM2302">
        <v>0</v>
      </c>
      <c r="AP2302">
        <v>48</v>
      </c>
    </row>
    <row r="2303" spans="1:42" x14ac:dyDescent="0.25">
      <c r="A2303" t="s">
        <v>46</v>
      </c>
      <c r="B2303">
        <v>5</v>
      </c>
      <c r="C2303" t="s">
        <v>1395</v>
      </c>
      <c r="D2303" s="39">
        <v>45987</v>
      </c>
      <c r="E2303" t="s">
        <v>629</v>
      </c>
      <c r="F2303" t="s">
        <v>79</v>
      </c>
      <c r="G2303">
        <v>16</v>
      </c>
      <c r="H2303" t="s">
        <v>92</v>
      </c>
      <c r="I2303" t="s">
        <v>79</v>
      </c>
      <c r="J2303">
        <v>1500</v>
      </c>
      <c r="K2303" t="s">
        <v>79</v>
      </c>
      <c r="L2303">
        <v>9</v>
      </c>
      <c r="M2303">
        <v>490.57</v>
      </c>
      <c r="N2303">
        <v>17.099999999999998</v>
      </c>
      <c r="Q2303">
        <v>473.46999999999997</v>
      </c>
      <c r="R2303" t="s">
        <v>1396</v>
      </c>
      <c r="T2303">
        <v>150</v>
      </c>
      <c r="V2303">
        <v>150</v>
      </c>
      <c r="W2303">
        <v>2.5</v>
      </c>
      <c r="AF2303">
        <v>0</v>
      </c>
      <c r="AG2303">
        <v>0</v>
      </c>
      <c r="AH2303">
        <v>2.5</v>
      </c>
      <c r="AI2303">
        <v>9.5</v>
      </c>
      <c r="AJ2303">
        <v>12</v>
      </c>
      <c r="AM2303">
        <v>0</v>
      </c>
      <c r="AN2303">
        <v>550</v>
      </c>
      <c r="AP2303">
        <v>48</v>
      </c>
    </row>
    <row r="2304" spans="1:42" x14ac:dyDescent="0.25">
      <c r="A2304" t="s">
        <v>45</v>
      </c>
      <c r="B2304">
        <v>1</v>
      </c>
      <c r="C2304" t="s">
        <v>1333</v>
      </c>
      <c r="D2304" s="39">
        <v>45988</v>
      </c>
      <c r="E2304" t="s">
        <v>486</v>
      </c>
      <c r="F2304" t="s">
        <v>79</v>
      </c>
      <c r="G2304">
        <v>2</v>
      </c>
      <c r="H2304" t="s">
        <v>92</v>
      </c>
      <c r="I2304" t="s">
        <v>79</v>
      </c>
      <c r="J2304" t="s">
        <v>1346</v>
      </c>
      <c r="K2304" t="s">
        <v>79</v>
      </c>
      <c r="L2304">
        <v>9</v>
      </c>
      <c r="M2304">
        <v>134.99</v>
      </c>
      <c r="N2304">
        <v>1.8</v>
      </c>
      <c r="O2304">
        <v>30</v>
      </c>
      <c r="Q2304">
        <v>133.19</v>
      </c>
      <c r="R2304" t="s">
        <v>1450</v>
      </c>
      <c r="V2304">
        <v>0</v>
      </c>
      <c r="W2304">
        <v>0</v>
      </c>
      <c r="AF2304">
        <v>0</v>
      </c>
      <c r="AG2304">
        <v>0</v>
      </c>
      <c r="AH2304">
        <v>0</v>
      </c>
      <c r="AI2304">
        <v>12</v>
      </c>
      <c r="AJ2304">
        <v>12</v>
      </c>
      <c r="AM2304">
        <v>0</v>
      </c>
      <c r="AN2304">
        <v>125</v>
      </c>
      <c r="AP2304">
        <v>48</v>
      </c>
    </row>
    <row r="2305" spans="1:42" x14ac:dyDescent="0.25">
      <c r="A2305" t="s">
        <v>46</v>
      </c>
      <c r="B2305">
        <v>1</v>
      </c>
      <c r="C2305" t="s">
        <v>1333</v>
      </c>
      <c r="D2305" s="39">
        <v>45988</v>
      </c>
      <c r="E2305" t="s">
        <v>486</v>
      </c>
      <c r="F2305" t="s">
        <v>79</v>
      </c>
      <c r="G2305">
        <v>2</v>
      </c>
      <c r="H2305" t="s">
        <v>92</v>
      </c>
      <c r="I2305" t="s">
        <v>79</v>
      </c>
      <c r="J2305" t="s">
        <v>1346</v>
      </c>
      <c r="K2305" t="s">
        <v>79</v>
      </c>
      <c r="L2305">
        <v>8</v>
      </c>
      <c r="M2305">
        <v>110.2</v>
      </c>
      <c r="N2305">
        <v>1.6</v>
      </c>
      <c r="O2305">
        <v>16</v>
      </c>
      <c r="Q2305">
        <v>108.60000000000001</v>
      </c>
      <c r="R2305" t="s">
        <v>1450</v>
      </c>
      <c r="V2305">
        <v>0</v>
      </c>
      <c r="W2305">
        <v>0</v>
      </c>
      <c r="AF2305">
        <v>0</v>
      </c>
      <c r="AG2305">
        <v>0</v>
      </c>
      <c r="AH2305">
        <v>0</v>
      </c>
      <c r="AI2305">
        <v>12</v>
      </c>
      <c r="AJ2305">
        <v>12</v>
      </c>
      <c r="AM2305">
        <v>0</v>
      </c>
      <c r="AN2305">
        <v>125</v>
      </c>
      <c r="AP2305">
        <v>48</v>
      </c>
    </row>
    <row r="2306" spans="1:42" x14ac:dyDescent="0.25">
      <c r="A2306" t="s">
        <v>45</v>
      </c>
      <c r="B2306">
        <v>2</v>
      </c>
      <c r="C2306" t="s">
        <v>1379</v>
      </c>
      <c r="D2306" s="39">
        <v>45988</v>
      </c>
      <c r="E2306" t="s">
        <v>486</v>
      </c>
      <c r="F2306" t="s">
        <v>79</v>
      </c>
      <c r="G2306">
        <v>6</v>
      </c>
      <c r="H2306">
        <v>5</v>
      </c>
      <c r="I2306" t="s">
        <v>79</v>
      </c>
      <c r="J2306">
        <v>1500</v>
      </c>
      <c r="K2306" t="s">
        <v>79</v>
      </c>
      <c r="L2306">
        <v>2</v>
      </c>
      <c r="M2306">
        <v>33.15</v>
      </c>
      <c r="N2306">
        <v>1.2</v>
      </c>
      <c r="Q2306">
        <v>31.95</v>
      </c>
      <c r="R2306" t="s">
        <v>1437</v>
      </c>
      <c r="V2306">
        <v>0</v>
      </c>
      <c r="W2306">
        <v>0</v>
      </c>
      <c r="AF2306">
        <v>0</v>
      </c>
      <c r="AG2306">
        <v>0</v>
      </c>
      <c r="AH2306">
        <v>0</v>
      </c>
      <c r="AI2306">
        <v>12</v>
      </c>
      <c r="AJ2306">
        <v>12</v>
      </c>
      <c r="AM2306">
        <v>0</v>
      </c>
      <c r="AN2306">
        <v>220</v>
      </c>
      <c r="AP2306">
        <v>48</v>
      </c>
    </row>
    <row r="2307" spans="1:42" x14ac:dyDescent="0.25">
      <c r="A2307" t="s">
        <v>45</v>
      </c>
      <c r="B2307">
        <v>2</v>
      </c>
      <c r="C2307" t="s">
        <v>1373</v>
      </c>
      <c r="D2307" s="39">
        <v>45988</v>
      </c>
      <c r="E2307" t="s">
        <v>1374</v>
      </c>
      <c r="F2307" t="s">
        <v>79</v>
      </c>
      <c r="G2307">
        <v>6</v>
      </c>
      <c r="H2307" t="s">
        <v>944</v>
      </c>
      <c r="I2307" t="s">
        <v>79</v>
      </c>
      <c r="J2307">
        <v>200</v>
      </c>
      <c r="K2307" t="s">
        <v>79</v>
      </c>
      <c r="L2307">
        <v>5</v>
      </c>
      <c r="M2307">
        <v>100.41</v>
      </c>
      <c r="N2307">
        <v>3</v>
      </c>
      <c r="O2307">
        <v>3.5</v>
      </c>
      <c r="Q2307">
        <v>97.41</v>
      </c>
      <c r="R2307" t="s">
        <v>1375</v>
      </c>
      <c r="V2307">
        <v>0</v>
      </c>
      <c r="W2307">
        <v>0</v>
      </c>
      <c r="Z2307">
        <v>225</v>
      </c>
      <c r="AD2307">
        <v>20</v>
      </c>
      <c r="AF2307">
        <v>245</v>
      </c>
      <c r="AG2307">
        <v>4.083333333333333</v>
      </c>
      <c r="AH2307">
        <v>4.083333333333333</v>
      </c>
      <c r="AI2307">
        <v>7.916666666666667</v>
      </c>
      <c r="AJ2307">
        <v>12</v>
      </c>
      <c r="AM2307">
        <v>0</v>
      </c>
      <c r="AN2307">
        <v>220</v>
      </c>
      <c r="AP2307">
        <v>48</v>
      </c>
    </row>
    <row r="2308" spans="1:42" x14ac:dyDescent="0.25">
      <c r="A2308" t="s">
        <v>46</v>
      </c>
      <c r="B2308">
        <v>2</v>
      </c>
      <c r="C2308" t="s">
        <v>1373</v>
      </c>
      <c r="D2308" s="39">
        <v>45988</v>
      </c>
      <c r="E2308" t="s">
        <v>1374</v>
      </c>
      <c r="F2308" t="s">
        <v>79</v>
      </c>
      <c r="G2308">
        <v>6</v>
      </c>
      <c r="H2308" t="s">
        <v>944</v>
      </c>
      <c r="I2308" t="s">
        <v>79</v>
      </c>
      <c r="J2308">
        <v>200</v>
      </c>
      <c r="K2308" t="s">
        <v>79</v>
      </c>
      <c r="L2308">
        <v>5</v>
      </c>
      <c r="M2308">
        <v>125.07999999999998</v>
      </c>
      <c r="N2308">
        <v>3</v>
      </c>
      <c r="O2308">
        <v>3.5</v>
      </c>
      <c r="Q2308">
        <v>122.07999999999998</v>
      </c>
      <c r="R2308" t="s">
        <v>1375</v>
      </c>
      <c r="V2308">
        <v>0</v>
      </c>
      <c r="W2308">
        <v>0</v>
      </c>
      <c r="AD2308">
        <v>20</v>
      </c>
      <c r="AF2308">
        <v>20</v>
      </c>
      <c r="AG2308">
        <v>0.33333333333333331</v>
      </c>
      <c r="AH2308">
        <v>0.33333333333333331</v>
      </c>
      <c r="AI2308">
        <v>11.666666666666666</v>
      </c>
      <c r="AJ2308">
        <v>12</v>
      </c>
      <c r="AM2308">
        <v>0</v>
      </c>
      <c r="AN2308">
        <v>320</v>
      </c>
      <c r="AP2308">
        <v>48</v>
      </c>
    </row>
    <row r="2309" spans="1:42" x14ac:dyDescent="0.25">
      <c r="A2309" t="s">
        <v>46</v>
      </c>
      <c r="B2309">
        <v>2</v>
      </c>
      <c r="C2309" t="s">
        <v>1379</v>
      </c>
      <c r="D2309" s="39">
        <v>45988</v>
      </c>
      <c r="E2309" t="s">
        <v>486</v>
      </c>
      <c r="F2309" t="s">
        <v>79</v>
      </c>
      <c r="G2309">
        <v>6</v>
      </c>
      <c r="H2309">
        <v>5</v>
      </c>
      <c r="I2309" t="s">
        <v>79</v>
      </c>
      <c r="J2309">
        <v>1500</v>
      </c>
      <c r="K2309" t="s">
        <v>79</v>
      </c>
      <c r="L2309">
        <v>4</v>
      </c>
      <c r="M2309">
        <v>89.72</v>
      </c>
      <c r="N2309">
        <v>2.4</v>
      </c>
      <c r="Q2309">
        <v>87.32</v>
      </c>
      <c r="R2309" t="s">
        <v>1437</v>
      </c>
      <c r="V2309">
        <v>0</v>
      </c>
      <c r="W2309">
        <v>0</v>
      </c>
      <c r="AF2309">
        <v>0</v>
      </c>
      <c r="AG2309">
        <v>0</v>
      </c>
      <c r="AH2309">
        <v>0</v>
      </c>
      <c r="AI2309">
        <v>12</v>
      </c>
      <c r="AJ2309">
        <v>12</v>
      </c>
      <c r="AM2309">
        <v>0</v>
      </c>
      <c r="AN2309">
        <v>320</v>
      </c>
      <c r="AP2309">
        <v>48</v>
      </c>
    </row>
    <row r="2310" spans="1:42" x14ac:dyDescent="0.25">
      <c r="A2310" t="s">
        <v>45</v>
      </c>
      <c r="B2310">
        <v>3</v>
      </c>
      <c r="C2310" t="s">
        <v>1357</v>
      </c>
      <c r="D2310" s="39">
        <v>45988</v>
      </c>
      <c r="E2310" t="s">
        <v>486</v>
      </c>
      <c r="F2310" t="s">
        <v>79</v>
      </c>
      <c r="G2310">
        <v>7</v>
      </c>
      <c r="H2310">
        <v>5</v>
      </c>
      <c r="I2310" t="s">
        <v>79</v>
      </c>
      <c r="J2310">
        <v>1500</v>
      </c>
      <c r="K2310" t="s">
        <v>79</v>
      </c>
      <c r="L2310">
        <v>4</v>
      </c>
      <c r="M2310">
        <v>146.1</v>
      </c>
      <c r="N2310">
        <v>3</v>
      </c>
      <c r="Q2310">
        <v>143.1</v>
      </c>
      <c r="R2310" t="s">
        <v>1358</v>
      </c>
      <c r="S2310">
        <v>25</v>
      </c>
      <c r="V2310">
        <v>25</v>
      </c>
      <c r="W2310">
        <v>0.41666666666666674</v>
      </c>
      <c r="AF2310">
        <v>0</v>
      </c>
      <c r="AG2310">
        <v>0</v>
      </c>
      <c r="AH2310">
        <v>0.41666666666666674</v>
      </c>
      <c r="AI2310">
        <v>11.583333333333334</v>
      </c>
      <c r="AJ2310">
        <v>12</v>
      </c>
      <c r="AM2310">
        <v>0</v>
      </c>
      <c r="AN2310">
        <v>720</v>
      </c>
      <c r="AP2310">
        <v>48</v>
      </c>
    </row>
    <row r="2311" spans="1:42" x14ac:dyDescent="0.25">
      <c r="A2311" t="s">
        <v>45</v>
      </c>
      <c r="B2311">
        <v>3</v>
      </c>
      <c r="C2311" t="s">
        <v>1397</v>
      </c>
      <c r="D2311" s="39">
        <v>45988</v>
      </c>
      <c r="E2311" t="s">
        <v>477</v>
      </c>
      <c r="F2311" t="s">
        <v>79</v>
      </c>
      <c r="G2311">
        <v>8</v>
      </c>
      <c r="H2311" t="s">
        <v>1049</v>
      </c>
      <c r="I2311" t="s">
        <v>79</v>
      </c>
      <c r="J2311">
        <v>100</v>
      </c>
      <c r="K2311" t="s">
        <v>79</v>
      </c>
      <c r="L2311">
        <v>2</v>
      </c>
      <c r="M2311">
        <v>83.449999999999989</v>
      </c>
      <c r="N2311">
        <v>2.8</v>
      </c>
      <c r="Q2311">
        <v>80.649999999999991</v>
      </c>
      <c r="R2311" t="s">
        <v>1398</v>
      </c>
      <c r="V2311">
        <v>0</v>
      </c>
      <c r="W2311">
        <v>0</v>
      </c>
      <c r="AF2311">
        <v>0</v>
      </c>
      <c r="AG2311">
        <v>0</v>
      </c>
      <c r="AH2311">
        <v>0</v>
      </c>
      <c r="AI2311">
        <v>12</v>
      </c>
      <c r="AJ2311">
        <v>12</v>
      </c>
      <c r="AM2311">
        <v>0</v>
      </c>
      <c r="AN2311">
        <v>720</v>
      </c>
      <c r="AP2311">
        <v>48</v>
      </c>
    </row>
    <row r="2312" spans="1:42" x14ac:dyDescent="0.25">
      <c r="A2312" t="s">
        <v>45</v>
      </c>
      <c r="B2312">
        <v>3</v>
      </c>
      <c r="C2312" t="s">
        <v>1399</v>
      </c>
      <c r="D2312" s="39">
        <v>45988</v>
      </c>
      <c r="E2312" t="s">
        <v>486</v>
      </c>
      <c r="F2312" t="s">
        <v>79</v>
      </c>
      <c r="G2312">
        <v>8</v>
      </c>
      <c r="H2312">
        <v>5</v>
      </c>
      <c r="I2312" t="s">
        <v>79</v>
      </c>
      <c r="J2312">
        <v>1500</v>
      </c>
      <c r="K2312" t="s">
        <v>79</v>
      </c>
      <c r="L2312">
        <v>2</v>
      </c>
      <c r="M2312">
        <v>79.2</v>
      </c>
      <c r="N2312">
        <v>1.6</v>
      </c>
      <c r="Q2312">
        <v>77.600000000000009</v>
      </c>
      <c r="R2312" t="s">
        <v>1400</v>
      </c>
      <c r="V2312">
        <v>0</v>
      </c>
      <c r="W2312">
        <v>0</v>
      </c>
      <c r="AF2312">
        <v>0</v>
      </c>
      <c r="AG2312">
        <v>0</v>
      </c>
      <c r="AH2312">
        <v>0</v>
      </c>
      <c r="AI2312">
        <v>12</v>
      </c>
      <c r="AJ2312">
        <v>12</v>
      </c>
      <c r="AM2312">
        <v>0</v>
      </c>
      <c r="AN2312">
        <v>550</v>
      </c>
      <c r="AP2312">
        <v>48</v>
      </c>
    </row>
    <row r="2313" spans="1:42" x14ac:dyDescent="0.25">
      <c r="A2313" t="s">
        <v>46</v>
      </c>
      <c r="B2313">
        <v>3</v>
      </c>
      <c r="C2313" t="s">
        <v>1397</v>
      </c>
      <c r="D2313" s="39">
        <v>45988</v>
      </c>
      <c r="E2313" t="s">
        <v>477</v>
      </c>
      <c r="F2313" t="s">
        <v>79</v>
      </c>
      <c r="G2313">
        <v>8</v>
      </c>
      <c r="H2313" t="s">
        <v>1049</v>
      </c>
      <c r="I2313" t="s">
        <v>79</v>
      </c>
      <c r="J2313">
        <v>100</v>
      </c>
      <c r="K2313" t="s">
        <v>79</v>
      </c>
      <c r="L2313">
        <v>6</v>
      </c>
      <c r="M2313">
        <v>236.21999999999997</v>
      </c>
      <c r="N2313">
        <v>6</v>
      </c>
      <c r="Q2313">
        <v>230.21999999999997</v>
      </c>
      <c r="R2313" t="s">
        <v>1398</v>
      </c>
      <c r="V2313">
        <v>0</v>
      </c>
      <c r="W2313">
        <v>0</v>
      </c>
      <c r="AF2313">
        <v>0</v>
      </c>
      <c r="AG2313">
        <v>0</v>
      </c>
      <c r="AH2313">
        <v>0</v>
      </c>
      <c r="AI2313">
        <v>12</v>
      </c>
      <c r="AJ2313">
        <v>12</v>
      </c>
      <c r="AM2313">
        <v>0</v>
      </c>
      <c r="AN2313">
        <v>550</v>
      </c>
      <c r="AP2313">
        <v>48</v>
      </c>
    </row>
    <row r="2314" spans="1:42" x14ac:dyDescent="0.25">
      <c r="A2314" t="s">
        <v>46</v>
      </c>
      <c r="B2314">
        <v>3</v>
      </c>
      <c r="C2314" t="s">
        <v>1399</v>
      </c>
      <c r="D2314" s="39">
        <v>45988</v>
      </c>
      <c r="E2314" t="s">
        <v>486</v>
      </c>
      <c r="F2314" t="s">
        <v>79</v>
      </c>
      <c r="G2314">
        <v>8</v>
      </c>
      <c r="H2314">
        <v>5</v>
      </c>
      <c r="I2314" t="s">
        <v>79</v>
      </c>
      <c r="J2314">
        <v>1500</v>
      </c>
      <c r="K2314" t="s">
        <v>79</v>
      </c>
      <c r="L2314">
        <v>3</v>
      </c>
      <c r="M2314">
        <v>126.62</v>
      </c>
      <c r="N2314">
        <v>2.4000000000000004</v>
      </c>
      <c r="Q2314">
        <v>124.22</v>
      </c>
      <c r="R2314" t="s">
        <v>1400</v>
      </c>
      <c r="V2314">
        <v>0</v>
      </c>
      <c r="W2314">
        <v>0</v>
      </c>
      <c r="AF2314">
        <v>0</v>
      </c>
      <c r="AG2314">
        <v>0</v>
      </c>
      <c r="AH2314">
        <v>0</v>
      </c>
      <c r="AI2314">
        <v>12</v>
      </c>
      <c r="AJ2314">
        <v>12</v>
      </c>
      <c r="AM2314">
        <v>0</v>
      </c>
      <c r="AP2314">
        <v>48</v>
      </c>
    </row>
    <row r="2315" spans="1:42" x14ac:dyDescent="0.25">
      <c r="A2315" t="s">
        <v>45</v>
      </c>
      <c r="B2315">
        <v>4</v>
      </c>
      <c r="C2315" t="s">
        <v>1389</v>
      </c>
      <c r="D2315" s="39">
        <v>45988</v>
      </c>
      <c r="E2315" t="s">
        <v>243</v>
      </c>
      <c r="F2315" t="s">
        <v>79</v>
      </c>
      <c r="G2315">
        <v>16.2</v>
      </c>
      <c r="H2315" t="s">
        <v>81</v>
      </c>
      <c r="I2315" t="s">
        <v>79</v>
      </c>
      <c r="J2315">
        <v>2000</v>
      </c>
      <c r="K2315" t="s">
        <v>79</v>
      </c>
      <c r="L2315">
        <v>14</v>
      </c>
      <c r="M2315">
        <v>698.55</v>
      </c>
      <c r="N2315">
        <v>22.400000000000002</v>
      </c>
      <c r="Q2315">
        <v>676.15</v>
      </c>
      <c r="R2315" t="s">
        <v>1390</v>
      </c>
      <c r="V2315">
        <v>0</v>
      </c>
      <c r="W2315">
        <v>0</v>
      </c>
      <c r="Z2315">
        <v>55</v>
      </c>
      <c r="AF2315">
        <v>55</v>
      </c>
      <c r="AG2315">
        <v>0.91666666666666652</v>
      </c>
      <c r="AH2315">
        <v>0.91666666666666652</v>
      </c>
      <c r="AI2315">
        <v>11.083333333333334</v>
      </c>
      <c r="AJ2315">
        <v>12</v>
      </c>
      <c r="AM2315">
        <v>0</v>
      </c>
      <c r="AP2315">
        <v>48</v>
      </c>
    </row>
    <row r="2316" spans="1:42" x14ac:dyDescent="0.25">
      <c r="A2316" t="s">
        <v>46</v>
      </c>
      <c r="B2316">
        <v>4</v>
      </c>
      <c r="C2316" t="s">
        <v>1389</v>
      </c>
      <c r="D2316" s="39">
        <v>45988</v>
      </c>
      <c r="E2316" t="s">
        <v>243</v>
      </c>
      <c r="F2316" t="s">
        <v>79</v>
      </c>
      <c r="G2316">
        <v>16.2</v>
      </c>
      <c r="H2316" t="s">
        <v>81</v>
      </c>
      <c r="I2316" t="s">
        <v>79</v>
      </c>
      <c r="J2316">
        <v>2000</v>
      </c>
      <c r="K2316" t="s">
        <v>79</v>
      </c>
      <c r="L2316">
        <v>15</v>
      </c>
      <c r="M2316">
        <v>747.7399999999999</v>
      </c>
      <c r="N2316">
        <v>24</v>
      </c>
      <c r="Q2316">
        <v>723.7399999999999</v>
      </c>
      <c r="R2316" t="s">
        <v>1390</v>
      </c>
      <c r="V2316">
        <v>0</v>
      </c>
      <c r="W2316">
        <v>0</v>
      </c>
      <c r="AF2316">
        <v>0</v>
      </c>
      <c r="AG2316">
        <v>0</v>
      </c>
      <c r="AH2316">
        <v>0</v>
      </c>
      <c r="AI2316">
        <v>12</v>
      </c>
      <c r="AJ2316">
        <v>12</v>
      </c>
      <c r="AM2316">
        <v>0</v>
      </c>
      <c r="AP2316">
        <v>48</v>
      </c>
    </row>
    <row r="2317" spans="1:42" x14ac:dyDescent="0.25">
      <c r="A2317" t="s">
        <v>45</v>
      </c>
      <c r="B2317">
        <v>5</v>
      </c>
      <c r="C2317" t="s">
        <v>1395</v>
      </c>
      <c r="D2317" s="39">
        <v>45988</v>
      </c>
      <c r="E2317" t="s">
        <v>629</v>
      </c>
      <c r="F2317" t="s">
        <v>79</v>
      </c>
      <c r="G2317">
        <v>16</v>
      </c>
      <c r="H2317" t="s">
        <v>92</v>
      </c>
      <c r="I2317" t="s">
        <v>79</v>
      </c>
      <c r="J2317">
        <v>1500</v>
      </c>
      <c r="K2317" t="s">
        <v>79</v>
      </c>
      <c r="L2317">
        <v>9</v>
      </c>
      <c r="M2317">
        <v>558</v>
      </c>
      <c r="N2317">
        <v>14.4</v>
      </c>
      <c r="Q2317">
        <v>543.6</v>
      </c>
      <c r="R2317" t="s">
        <v>1396</v>
      </c>
      <c r="V2317">
        <v>0</v>
      </c>
      <c r="W2317">
        <v>0</v>
      </c>
      <c r="AF2317">
        <v>0</v>
      </c>
      <c r="AG2317">
        <v>0</v>
      </c>
      <c r="AH2317">
        <v>0</v>
      </c>
      <c r="AI2317">
        <v>12</v>
      </c>
      <c r="AJ2317">
        <v>12</v>
      </c>
      <c r="AM2317">
        <v>0</v>
      </c>
      <c r="AP2317">
        <v>48</v>
      </c>
    </row>
    <row r="2318" spans="1:42" x14ac:dyDescent="0.25">
      <c r="A2318" t="s">
        <v>46</v>
      </c>
      <c r="B2318">
        <v>5</v>
      </c>
      <c r="C2318" t="s">
        <v>1395</v>
      </c>
      <c r="D2318" s="39">
        <v>45988</v>
      </c>
      <c r="E2318" t="s">
        <v>629</v>
      </c>
      <c r="F2318" t="s">
        <v>79</v>
      </c>
      <c r="G2318">
        <v>16</v>
      </c>
      <c r="H2318" t="s">
        <v>92</v>
      </c>
      <c r="I2318" t="s">
        <v>79</v>
      </c>
      <c r="J2318">
        <v>1500</v>
      </c>
      <c r="K2318" t="s">
        <v>79</v>
      </c>
      <c r="L2318">
        <v>10</v>
      </c>
      <c r="M2318">
        <v>588.6</v>
      </c>
      <c r="N2318">
        <v>13</v>
      </c>
      <c r="Q2318">
        <v>575.6</v>
      </c>
      <c r="R2318" t="s">
        <v>1396</v>
      </c>
      <c r="V2318">
        <v>0</v>
      </c>
      <c r="W2318">
        <v>0</v>
      </c>
      <c r="AF2318">
        <v>0</v>
      </c>
      <c r="AG2318">
        <v>0</v>
      </c>
      <c r="AH2318">
        <v>0</v>
      </c>
      <c r="AI2318">
        <v>12</v>
      </c>
      <c r="AJ2318">
        <v>12</v>
      </c>
      <c r="AM2318">
        <v>0</v>
      </c>
      <c r="AP2318">
        <v>48</v>
      </c>
    </row>
    <row r="2319" spans="1:42" x14ac:dyDescent="0.25">
      <c r="A2319" t="s">
        <v>45</v>
      </c>
      <c r="B2319">
        <v>1</v>
      </c>
      <c r="C2319" t="s">
        <v>1333</v>
      </c>
      <c r="D2319" s="39">
        <v>45989</v>
      </c>
      <c r="E2319" t="s">
        <v>486</v>
      </c>
      <c r="F2319" t="s">
        <v>79</v>
      </c>
      <c r="G2319">
        <v>2</v>
      </c>
      <c r="H2319" t="s">
        <v>92</v>
      </c>
      <c r="I2319" t="s">
        <v>79</v>
      </c>
      <c r="J2319" t="s">
        <v>1346</v>
      </c>
      <c r="K2319" t="s">
        <v>79</v>
      </c>
      <c r="L2319">
        <v>5</v>
      </c>
      <c r="M2319">
        <v>72.959999999999994</v>
      </c>
      <c r="N2319">
        <v>1</v>
      </c>
      <c r="Q2319">
        <v>71.959999999999994</v>
      </c>
      <c r="R2319" t="s">
        <v>1450</v>
      </c>
      <c r="V2319">
        <v>0</v>
      </c>
      <c r="W2319">
        <v>0</v>
      </c>
      <c r="AF2319">
        <v>0</v>
      </c>
      <c r="AG2319">
        <v>0</v>
      </c>
      <c r="AH2319">
        <v>0</v>
      </c>
      <c r="AI2319">
        <v>12</v>
      </c>
      <c r="AJ2319">
        <v>12</v>
      </c>
      <c r="AM2319">
        <v>0</v>
      </c>
      <c r="AN2319">
        <v>130</v>
      </c>
      <c r="AP2319">
        <v>48</v>
      </c>
    </row>
    <row r="2320" spans="1:42" x14ac:dyDescent="0.25">
      <c r="A2320" t="s">
        <v>45</v>
      </c>
      <c r="B2320">
        <v>1</v>
      </c>
      <c r="C2320" t="s">
        <v>902</v>
      </c>
      <c r="D2320" s="39">
        <v>45989</v>
      </c>
      <c r="E2320" t="s">
        <v>486</v>
      </c>
      <c r="F2320" t="s">
        <v>79</v>
      </c>
      <c r="G2320">
        <v>3</v>
      </c>
      <c r="H2320" t="s">
        <v>92</v>
      </c>
      <c r="I2320" t="s">
        <v>79</v>
      </c>
      <c r="J2320">
        <v>500</v>
      </c>
      <c r="K2320" t="s">
        <v>79</v>
      </c>
      <c r="L2320">
        <v>4</v>
      </c>
      <c r="M2320">
        <v>56.66</v>
      </c>
      <c r="N2320">
        <v>1.2</v>
      </c>
      <c r="O2320">
        <v>24</v>
      </c>
      <c r="Q2320">
        <v>55.459999999999994</v>
      </c>
      <c r="R2320" t="s">
        <v>1344</v>
      </c>
      <c r="S2320">
        <v>20</v>
      </c>
      <c r="V2320">
        <v>20</v>
      </c>
      <c r="W2320">
        <v>0.33333333333333331</v>
      </c>
      <c r="AF2320">
        <v>0</v>
      </c>
      <c r="AG2320">
        <v>0</v>
      </c>
      <c r="AH2320">
        <v>0.33333333333333331</v>
      </c>
      <c r="AI2320">
        <v>11.666666666666666</v>
      </c>
      <c r="AJ2320">
        <v>12</v>
      </c>
      <c r="AM2320">
        <v>0</v>
      </c>
      <c r="AN2320">
        <v>130</v>
      </c>
      <c r="AP2320">
        <v>48</v>
      </c>
    </row>
    <row r="2321" spans="1:42" x14ac:dyDescent="0.25">
      <c r="A2321" t="s">
        <v>46</v>
      </c>
      <c r="B2321">
        <v>1</v>
      </c>
      <c r="C2321" t="s">
        <v>902</v>
      </c>
      <c r="D2321" s="39">
        <v>45989</v>
      </c>
      <c r="E2321" t="s">
        <v>486</v>
      </c>
      <c r="F2321" t="s">
        <v>79</v>
      </c>
      <c r="G2321">
        <v>3</v>
      </c>
      <c r="H2321" t="s">
        <v>92</v>
      </c>
      <c r="I2321" t="s">
        <v>79</v>
      </c>
      <c r="J2321">
        <v>500</v>
      </c>
      <c r="K2321" t="s">
        <v>79</v>
      </c>
      <c r="L2321">
        <v>10</v>
      </c>
      <c r="M2321">
        <v>146.75</v>
      </c>
      <c r="N2321">
        <v>3</v>
      </c>
      <c r="O2321">
        <v>33</v>
      </c>
      <c r="Q2321">
        <v>143.75</v>
      </c>
      <c r="R2321" t="s">
        <v>1344</v>
      </c>
      <c r="V2321">
        <v>0</v>
      </c>
      <c r="W2321">
        <v>0</v>
      </c>
      <c r="AF2321">
        <v>0</v>
      </c>
      <c r="AG2321">
        <v>0</v>
      </c>
      <c r="AH2321">
        <v>0</v>
      </c>
      <c r="AI2321">
        <v>12</v>
      </c>
      <c r="AJ2321">
        <v>12</v>
      </c>
      <c r="AM2321">
        <v>0</v>
      </c>
      <c r="AN2321">
        <v>225</v>
      </c>
      <c r="AP2321">
        <v>48</v>
      </c>
    </row>
    <row r="2322" spans="1:42" x14ac:dyDescent="0.25">
      <c r="A2322" t="s">
        <v>45</v>
      </c>
      <c r="B2322">
        <v>2</v>
      </c>
      <c r="C2322" t="s">
        <v>1379</v>
      </c>
      <c r="D2322" s="39">
        <v>45989</v>
      </c>
      <c r="E2322" t="s">
        <v>486</v>
      </c>
      <c r="F2322" t="s">
        <v>79</v>
      </c>
      <c r="G2322">
        <v>6</v>
      </c>
      <c r="H2322">
        <v>5</v>
      </c>
      <c r="I2322" t="s">
        <v>79</v>
      </c>
      <c r="J2322">
        <v>1500</v>
      </c>
      <c r="K2322" t="s">
        <v>79</v>
      </c>
      <c r="L2322">
        <v>9</v>
      </c>
      <c r="M2322">
        <v>237.20000000000002</v>
      </c>
      <c r="N2322">
        <v>5.3999999999999995</v>
      </c>
      <c r="Q2322">
        <v>231.8</v>
      </c>
      <c r="R2322" t="s">
        <v>1437</v>
      </c>
      <c r="V2322">
        <v>0</v>
      </c>
      <c r="W2322">
        <v>0</v>
      </c>
      <c r="AF2322">
        <v>0</v>
      </c>
      <c r="AG2322">
        <v>0</v>
      </c>
      <c r="AH2322">
        <v>0</v>
      </c>
      <c r="AI2322">
        <v>12</v>
      </c>
      <c r="AJ2322">
        <v>12</v>
      </c>
      <c r="AM2322">
        <v>0</v>
      </c>
      <c r="AN2322">
        <v>225</v>
      </c>
      <c r="AP2322">
        <v>48</v>
      </c>
    </row>
    <row r="2323" spans="1:42" x14ac:dyDescent="0.25">
      <c r="A2323" t="s">
        <v>46</v>
      </c>
      <c r="B2323">
        <v>2</v>
      </c>
      <c r="C2323" t="s">
        <v>1379</v>
      </c>
      <c r="D2323" s="39">
        <v>45989</v>
      </c>
      <c r="E2323" t="s">
        <v>486</v>
      </c>
      <c r="F2323" t="s">
        <v>79</v>
      </c>
      <c r="G2323">
        <v>6</v>
      </c>
      <c r="H2323">
        <v>5</v>
      </c>
      <c r="I2323" t="s">
        <v>79</v>
      </c>
      <c r="J2323">
        <v>1500</v>
      </c>
      <c r="K2323" t="s">
        <v>79</v>
      </c>
      <c r="L2323">
        <v>9</v>
      </c>
      <c r="M2323">
        <v>219.37</v>
      </c>
      <c r="N2323">
        <v>5.3999999999999995</v>
      </c>
      <c r="Q2323">
        <v>213.97</v>
      </c>
      <c r="R2323" t="s">
        <v>1437</v>
      </c>
      <c r="V2323">
        <v>0</v>
      </c>
      <c r="W2323">
        <v>0</v>
      </c>
      <c r="AF2323">
        <v>0</v>
      </c>
      <c r="AG2323">
        <v>0</v>
      </c>
      <c r="AH2323">
        <v>0</v>
      </c>
      <c r="AI2323">
        <v>12</v>
      </c>
      <c r="AJ2323">
        <v>12</v>
      </c>
      <c r="AM2323">
        <v>0</v>
      </c>
      <c r="AN2323">
        <v>340</v>
      </c>
      <c r="AP2323">
        <v>48</v>
      </c>
    </row>
    <row r="2324" spans="1:42" x14ac:dyDescent="0.25">
      <c r="A2324" t="s">
        <v>45</v>
      </c>
      <c r="B2324">
        <v>3</v>
      </c>
      <c r="C2324" t="s">
        <v>1399</v>
      </c>
      <c r="D2324" s="39">
        <v>45989</v>
      </c>
      <c r="E2324" t="s">
        <v>486</v>
      </c>
      <c r="F2324" t="s">
        <v>79</v>
      </c>
      <c r="G2324">
        <v>8</v>
      </c>
      <c r="H2324">
        <v>5</v>
      </c>
      <c r="I2324" t="s">
        <v>79</v>
      </c>
      <c r="J2324">
        <v>1500</v>
      </c>
      <c r="K2324" t="s">
        <v>79</v>
      </c>
      <c r="L2324">
        <v>8</v>
      </c>
      <c r="M2324">
        <v>341.17000000000007</v>
      </c>
      <c r="N2324">
        <v>6.4</v>
      </c>
      <c r="Q2324">
        <v>334.7700000000001</v>
      </c>
      <c r="R2324" t="s">
        <v>1400</v>
      </c>
      <c r="V2324">
        <v>0</v>
      </c>
      <c r="W2324">
        <v>0</v>
      </c>
      <c r="AF2324">
        <v>0</v>
      </c>
      <c r="AG2324">
        <v>0</v>
      </c>
      <c r="AH2324">
        <v>0</v>
      </c>
      <c r="AI2324">
        <v>12</v>
      </c>
      <c r="AJ2324">
        <v>12</v>
      </c>
      <c r="AM2324">
        <v>0</v>
      </c>
      <c r="AN2324">
        <v>340</v>
      </c>
      <c r="AP2324">
        <v>48</v>
      </c>
    </row>
    <row r="2325" spans="1:42" x14ac:dyDescent="0.25">
      <c r="A2325" t="s">
        <v>46</v>
      </c>
      <c r="B2325">
        <v>3</v>
      </c>
      <c r="C2325" t="s">
        <v>1399</v>
      </c>
      <c r="D2325" s="39">
        <v>45989</v>
      </c>
      <c r="E2325" t="s">
        <v>486</v>
      </c>
      <c r="F2325" t="s">
        <v>79</v>
      </c>
      <c r="G2325">
        <v>8</v>
      </c>
      <c r="H2325">
        <v>5</v>
      </c>
      <c r="I2325" t="s">
        <v>79</v>
      </c>
      <c r="J2325">
        <v>1500</v>
      </c>
      <c r="K2325" t="s">
        <v>79</v>
      </c>
      <c r="L2325">
        <v>8</v>
      </c>
      <c r="M2325">
        <v>348.94</v>
      </c>
      <c r="N2325">
        <v>6.4</v>
      </c>
      <c r="Q2325">
        <v>342.54</v>
      </c>
      <c r="R2325" t="s">
        <v>1400</v>
      </c>
      <c r="V2325">
        <v>0</v>
      </c>
      <c r="W2325">
        <v>0</v>
      </c>
      <c r="AF2325">
        <v>0</v>
      </c>
      <c r="AG2325">
        <v>0</v>
      </c>
      <c r="AH2325">
        <v>0</v>
      </c>
      <c r="AI2325">
        <v>12</v>
      </c>
      <c r="AJ2325">
        <v>12</v>
      </c>
      <c r="AM2325">
        <v>0</v>
      </c>
      <c r="AN2325">
        <v>780</v>
      </c>
      <c r="AP2325">
        <v>48</v>
      </c>
    </row>
    <row r="2326" spans="1:42" x14ac:dyDescent="0.25">
      <c r="A2326" t="s">
        <v>45</v>
      </c>
      <c r="B2326">
        <v>4</v>
      </c>
      <c r="C2326" t="s">
        <v>1389</v>
      </c>
      <c r="D2326" s="39">
        <v>45989</v>
      </c>
      <c r="E2326" t="s">
        <v>243</v>
      </c>
      <c r="F2326" t="s">
        <v>79</v>
      </c>
      <c r="G2326">
        <v>16.2</v>
      </c>
      <c r="H2326" t="s">
        <v>81</v>
      </c>
      <c r="I2326" t="s">
        <v>79</v>
      </c>
      <c r="J2326">
        <v>2000</v>
      </c>
      <c r="K2326" t="s">
        <v>79</v>
      </c>
      <c r="L2326">
        <v>4</v>
      </c>
      <c r="M2326">
        <v>195.63</v>
      </c>
      <c r="N2326">
        <v>6.4</v>
      </c>
      <c r="Q2326">
        <v>189.23</v>
      </c>
      <c r="R2326" t="s">
        <v>1390</v>
      </c>
      <c r="V2326">
        <v>0</v>
      </c>
      <c r="W2326">
        <v>0</v>
      </c>
      <c r="AF2326">
        <v>0</v>
      </c>
      <c r="AG2326">
        <v>0</v>
      </c>
      <c r="AH2326">
        <v>0</v>
      </c>
      <c r="AI2326">
        <v>12</v>
      </c>
      <c r="AJ2326">
        <v>12</v>
      </c>
      <c r="AM2326">
        <v>0</v>
      </c>
      <c r="AN2326">
        <v>850</v>
      </c>
      <c r="AP2326">
        <v>48</v>
      </c>
    </row>
    <row r="2327" spans="1:42" x14ac:dyDescent="0.25">
      <c r="A2327" t="s">
        <v>45</v>
      </c>
      <c r="B2327">
        <v>4</v>
      </c>
      <c r="C2327" t="s">
        <v>1401</v>
      </c>
      <c r="D2327" s="39">
        <v>45989</v>
      </c>
      <c r="E2327" t="s">
        <v>276</v>
      </c>
      <c r="F2327" t="s">
        <v>79</v>
      </c>
      <c r="G2327">
        <v>16</v>
      </c>
      <c r="H2327" t="s">
        <v>113</v>
      </c>
      <c r="I2327" t="s">
        <v>79</v>
      </c>
      <c r="J2327">
        <v>500</v>
      </c>
      <c r="K2327" t="s">
        <v>79</v>
      </c>
      <c r="L2327">
        <v>10</v>
      </c>
      <c r="M2327">
        <v>526.75</v>
      </c>
      <c r="N2327">
        <v>16</v>
      </c>
      <c r="Q2327">
        <v>510.75</v>
      </c>
      <c r="R2327" t="s">
        <v>1402</v>
      </c>
      <c r="V2327">
        <v>0</v>
      </c>
      <c r="W2327">
        <v>0</v>
      </c>
      <c r="AF2327">
        <v>0</v>
      </c>
      <c r="AG2327">
        <v>0</v>
      </c>
      <c r="AH2327">
        <v>0</v>
      </c>
      <c r="AI2327">
        <v>12</v>
      </c>
      <c r="AJ2327">
        <v>12</v>
      </c>
      <c r="AM2327">
        <v>0</v>
      </c>
      <c r="AN2327">
        <v>560</v>
      </c>
      <c r="AP2327">
        <v>48</v>
      </c>
    </row>
    <row r="2328" spans="1:42" x14ac:dyDescent="0.25">
      <c r="A2328" t="s">
        <v>45</v>
      </c>
      <c r="B2328">
        <v>4</v>
      </c>
      <c r="C2328" t="s">
        <v>1403</v>
      </c>
      <c r="D2328" s="39">
        <v>45989</v>
      </c>
      <c r="E2328" t="s">
        <v>721</v>
      </c>
      <c r="F2328" t="s">
        <v>79</v>
      </c>
      <c r="G2328">
        <v>22</v>
      </c>
      <c r="H2328" t="s">
        <v>113</v>
      </c>
      <c r="I2328" t="s">
        <v>79</v>
      </c>
      <c r="J2328">
        <v>100</v>
      </c>
      <c r="K2328" t="s">
        <v>79</v>
      </c>
      <c r="L2328">
        <v>1</v>
      </c>
      <c r="M2328">
        <v>55.89</v>
      </c>
      <c r="N2328">
        <v>2.2000000000000002</v>
      </c>
      <c r="Q2328">
        <v>53.69</v>
      </c>
      <c r="R2328" t="s">
        <v>1404</v>
      </c>
      <c r="S2328">
        <v>30</v>
      </c>
      <c r="V2328">
        <v>30</v>
      </c>
      <c r="W2328">
        <v>0.5</v>
      </c>
      <c r="AF2328">
        <v>0</v>
      </c>
      <c r="AG2328">
        <v>0</v>
      </c>
      <c r="AH2328">
        <v>0.5</v>
      </c>
      <c r="AI2328">
        <v>11.5</v>
      </c>
      <c r="AJ2328">
        <v>12</v>
      </c>
      <c r="AM2328">
        <v>0</v>
      </c>
      <c r="AN2328">
        <v>560</v>
      </c>
      <c r="AP2328">
        <v>48</v>
      </c>
    </row>
    <row r="2329" spans="1:42" x14ac:dyDescent="0.25">
      <c r="A2329" t="s">
        <v>46</v>
      </c>
      <c r="B2329">
        <v>4</v>
      </c>
      <c r="C2329" t="s">
        <v>1403</v>
      </c>
      <c r="D2329" s="39">
        <v>45989</v>
      </c>
      <c r="E2329" t="s">
        <v>721</v>
      </c>
      <c r="F2329" t="s">
        <v>79</v>
      </c>
      <c r="G2329">
        <v>22</v>
      </c>
      <c r="H2329" t="s">
        <v>113</v>
      </c>
      <c r="I2329" t="s">
        <v>79</v>
      </c>
      <c r="J2329">
        <v>100</v>
      </c>
      <c r="K2329" t="s">
        <v>79</v>
      </c>
      <c r="L2329">
        <v>1</v>
      </c>
      <c r="M2329">
        <v>48.12</v>
      </c>
      <c r="N2329">
        <v>2.8</v>
      </c>
      <c r="Q2329">
        <v>45.32</v>
      </c>
      <c r="R2329" t="s">
        <v>1404</v>
      </c>
      <c r="S2329">
        <v>30</v>
      </c>
      <c r="V2329">
        <v>30</v>
      </c>
      <c r="W2329">
        <v>0.5</v>
      </c>
      <c r="AF2329">
        <v>0</v>
      </c>
      <c r="AG2329">
        <v>0</v>
      </c>
      <c r="AH2329">
        <v>0.5</v>
      </c>
      <c r="AI2329">
        <v>11.5</v>
      </c>
      <c r="AJ2329">
        <v>12</v>
      </c>
      <c r="AM2329">
        <v>0</v>
      </c>
      <c r="AN2329">
        <v>0</v>
      </c>
      <c r="AP2329">
        <v>48</v>
      </c>
    </row>
    <row r="2330" spans="1:42" x14ac:dyDescent="0.25">
      <c r="A2330" t="s">
        <v>46</v>
      </c>
      <c r="B2330">
        <v>4</v>
      </c>
      <c r="C2330" t="s">
        <v>1405</v>
      </c>
      <c r="D2330" s="39">
        <v>45989</v>
      </c>
      <c r="E2330" t="s">
        <v>493</v>
      </c>
      <c r="F2330" t="s">
        <v>79</v>
      </c>
      <c r="G2330" t="s">
        <v>125</v>
      </c>
      <c r="H2330" t="s">
        <v>122</v>
      </c>
      <c r="I2330" t="s">
        <v>79</v>
      </c>
      <c r="J2330">
        <v>150</v>
      </c>
      <c r="K2330" t="s">
        <v>79</v>
      </c>
      <c r="L2330">
        <v>6</v>
      </c>
      <c r="M2330">
        <v>173.27</v>
      </c>
      <c r="N2330">
        <v>13.200000000000001</v>
      </c>
      <c r="Q2330">
        <v>160.07000000000002</v>
      </c>
      <c r="R2330" t="s">
        <v>1406</v>
      </c>
      <c r="S2330">
        <v>35</v>
      </c>
      <c r="V2330">
        <v>35</v>
      </c>
      <c r="W2330">
        <v>0.58333333333333337</v>
      </c>
      <c r="AF2330">
        <v>0</v>
      </c>
      <c r="AG2330">
        <v>0</v>
      </c>
      <c r="AH2330">
        <v>0.58333333333333337</v>
      </c>
      <c r="AI2330">
        <v>11.416666666666666</v>
      </c>
      <c r="AJ2330">
        <v>12</v>
      </c>
      <c r="AM2330">
        <v>0</v>
      </c>
      <c r="AN2330">
        <v>0</v>
      </c>
      <c r="AP2330">
        <v>48</v>
      </c>
    </row>
    <row r="2331" spans="1:42" x14ac:dyDescent="0.25">
      <c r="A2331" t="s">
        <v>46</v>
      </c>
      <c r="B2331">
        <v>4</v>
      </c>
      <c r="C2331" t="s">
        <v>1407</v>
      </c>
      <c r="D2331" s="39">
        <v>45989</v>
      </c>
      <c r="E2331" t="s">
        <v>493</v>
      </c>
      <c r="F2331" t="s">
        <v>79</v>
      </c>
      <c r="G2331" t="s">
        <v>121</v>
      </c>
      <c r="H2331" t="s">
        <v>122</v>
      </c>
      <c r="I2331" t="s">
        <v>79</v>
      </c>
      <c r="J2331">
        <v>150</v>
      </c>
      <c r="K2331" t="s">
        <v>79</v>
      </c>
      <c r="L2331">
        <v>4</v>
      </c>
      <c r="M2331">
        <v>170.76</v>
      </c>
      <c r="N2331">
        <v>14.4</v>
      </c>
      <c r="Q2331">
        <v>156.35999999999999</v>
      </c>
      <c r="R2331" t="s">
        <v>1408</v>
      </c>
      <c r="V2331">
        <v>0</v>
      </c>
      <c r="W2331">
        <v>0</v>
      </c>
      <c r="AF2331">
        <v>0</v>
      </c>
      <c r="AG2331">
        <v>0</v>
      </c>
      <c r="AH2331">
        <v>0</v>
      </c>
      <c r="AI2331">
        <v>12</v>
      </c>
      <c r="AJ2331">
        <v>12</v>
      </c>
      <c r="AM2331">
        <v>0</v>
      </c>
      <c r="AP2331">
        <v>48</v>
      </c>
    </row>
    <row r="2332" spans="1:42" x14ac:dyDescent="0.25">
      <c r="A2332" t="s">
        <v>46</v>
      </c>
      <c r="B2332">
        <v>4</v>
      </c>
      <c r="C2332" t="s">
        <v>1409</v>
      </c>
      <c r="D2332" s="39">
        <v>45989</v>
      </c>
      <c r="E2332" t="s">
        <v>721</v>
      </c>
      <c r="F2332" t="s">
        <v>79</v>
      </c>
      <c r="G2332">
        <v>22</v>
      </c>
      <c r="H2332" t="s">
        <v>113</v>
      </c>
      <c r="I2332" t="s">
        <v>79</v>
      </c>
      <c r="J2332">
        <v>100</v>
      </c>
      <c r="K2332" t="s">
        <v>79</v>
      </c>
      <c r="L2332">
        <v>3</v>
      </c>
      <c r="M2332">
        <v>142.07</v>
      </c>
      <c r="N2332">
        <v>8.25</v>
      </c>
      <c r="Q2332">
        <v>133.82</v>
      </c>
      <c r="R2332" t="s">
        <v>1410</v>
      </c>
      <c r="V2332">
        <v>0</v>
      </c>
      <c r="W2332">
        <v>0</v>
      </c>
      <c r="AF2332">
        <v>0</v>
      </c>
      <c r="AG2332">
        <v>0</v>
      </c>
      <c r="AH2332">
        <v>0</v>
      </c>
      <c r="AI2332">
        <v>12</v>
      </c>
      <c r="AJ2332">
        <v>12</v>
      </c>
      <c r="AM2332">
        <v>0</v>
      </c>
      <c r="AP2332">
        <v>48</v>
      </c>
    </row>
    <row r="2333" spans="1:42" x14ac:dyDescent="0.25">
      <c r="A2333" t="s">
        <v>46</v>
      </c>
      <c r="B2333">
        <v>4</v>
      </c>
      <c r="C2333" t="s">
        <v>1411</v>
      </c>
      <c r="D2333" s="39">
        <v>45989</v>
      </c>
      <c r="E2333" t="s">
        <v>493</v>
      </c>
      <c r="F2333" t="s">
        <v>79</v>
      </c>
      <c r="G2333" t="s">
        <v>125</v>
      </c>
      <c r="H2333" t="s">
        <v>122</v>
      </c>
      <c r="I2333" t="s">
        <v>79</v>
      </c>
      <c r="J2333">
        <v>150</v>
      </c>
      <c r="K2333" t="s">
        <v>79</v>
      </c>
      <c r="L2333">
        <v>4</v>
      </c>
      <c r="M2333">
        <v>170.7</v>
      </c>
      <c r="N2333">
        <v>10.8</v>
      </c>
      <c r="Q2333">
        <v>159.89999999999998</v>
      </c>
      <c r="R2333" t="s">
        <v>1412</v>
      </c>
      <c r="V2333">
        <v>0</v>
      </c>
      <c r="W2333">
        <v>0</v>
      </c>
      <c r="AF2333">
        <v>0</v>
      </c>
      <c r="AG2333">
        <v>0</v>
      </c>
      <c r="AH2333">
        <v>0</v>
      </c>
      <c r="AI2333">
        <v>12</v>
      </c>
      <c r="AJ2333">
        <v>12</v>
      </c>
      <c r="AM2333">
        <v>0</v>
      </c>
      <c r="AP2333">
        <v>48</v>
      </c>
    </row>
    <row r="2334" spans="1:42" x14ac:dyDescent="0.25">
      <c r="A2334" t="s">
        <v>46</v>
      </c>
      <c r="B2334">
        <v>4</v>
      </c>
      <c r="C2334" t="s">
        <v>1413</v>
      </c>
      <c r="D2334" s="39">
        <v>45989</v>
      </c>
      <c r="E2334" t="s">
        <v>493</v>
      </c>
      <c r="F2334" t="s">
        <v>79</v>
      </c>
      <c r="G2334" t="s">
        <v>141</v>
      </c>
      <c r="H2334" t="s">
        <v>122</v>
      </c>
      <c r="I2334" t="s">
        <v>79</v>
      </c>
      <c r="J2334">
        <v>150</v>
      </c>
      <c r="K2334" t="s">
        <v>79</v>
      </c>
      <c r="L2334">
        <v>2</v>
      </c>
      <c r="M2334">
        <v>82.92</v>
      </c>
      <c r="N2334">
        <v>4.2</v>
      </c>
      <c r="Q2334">
        <v>78.72</v>
      </c>
      <c r="R2334" t="s">
        <v>1414</v>
      </c>
      <c r="V2334">
        <v>0</v>
      </c>
      <c r="W2334">
        <v>0</v>
      </c>
      <c r="AF2334">
        <v>0</v>
      </c>
      <c r="AG2334">
        <v>0</v>
      </c>
      <c r="AH2334">
        <v>0</v>
      </c>
      <c r="AI2334">
        <v>12</v>
      </c>
      <c r="AJ2334">
        <v>12</v>
      </c>
      <c r="AM2334">
        <v>0</v>
      </c>
      <c r="AP2334">
        <v>48</v>
      </c>
    </row>
    <row r="2335" spans="1:42" x14ac:dyDescent="0.25">
      <c r="A2335" t="s">
        <v>45</v>
      </c>
      <c r="B2335">
        <v>5</v>
      </c>
      <c r="C2335" t="s">
        <v>1415</v>
      </c>
      <c r="D2335" s="39">
        <v>45989</v>
      </c>
      <c r="E2335" t="s">
        <v>629</v>
      </c>
      <c r="F2335" t="s">
        <v>79</v>
      </c>
      <c r="G2335">
        <v>16</v>
      </c>
      <c r="H2335" t="s">
        <v>92</v>
      </c>
      <c r="I2335" t="s">
        <v>79</v>
      </c>
      <c r="J2335">
        <v>5000</v>
      </c>
      <c r="K2335" t="s">
        <v>79</v>
      </c>
      <c r="L2335">
        <v>10</v>
      </c>
      <c r="M2335">
        <v>589.03000000000009</v>
      </c>
      <c r="N2335">
        <v>16</v>
      </c>
      <c r="O2335">
        <v>8.5</v>
      </c>
      <c r="Q2335">
        <v>573.03000000000009</v>
      </c>
      <c r="R2335" t="s">
        <v>1452</v>
      </c>
      <c r="V2335">
        <v>0</v>
      </c>
      <c r="W2335">
        <v>0</v>
      </c>
      <c r="AF2335">
        <v>0</v>
      </c>
      <c r="AG2335">
        <v>0</v>
      </c>
      <c r="AH2335">
        <v>0</v>
      </c>
      <c r="AI2335">
        <v>12</v>
      </c>
      <c r="AJ2335">
        <v>12</v>
      </c>
      <c r="AM2335">
        <v>0</v>
      </c>
      <c r="AP2335">
        <v>48</v>
      </c>
    </row>
    <row r="2336" spans="1:42" x14ac:dyDescent="0.25">
      <c r="A2336" t="s">
        <v>46</v>
      </c>
      <c r="B2336">
        <v>5</v>
      </c>
      <c r="C2336" t="s">
        <v>1415</v>
      </c>
      <c r="D2336" s="39">
        <v>45989</v>
      </c>
      <c r="E2336" t="s">
        <v>629</v>
      </c>
      <c r="F2336" t="s">
        <v>79</v>
      </c>
      <c r="G2336">
        <v>16</v>
      </c>
      <c r="H2336" t="s">
        <v>92</v>
      </c>
      <c r="I2336" t="s">
        <v>79</v>
      </c>
      <c r="J2336">
        <v>5000</v>
      </c>
      <c r="K2336" t="s">
        <v>79</v>
      </c>
      <c r="L2336">
        <v>9</v>
      </c>
      <c r="M2336">
        <v>599.56999999999994</v>
      </c>
      <c r="N2336">
        <v>14.4</v>
      </c>
      <c r="O2336">
        <v>8.5</v>
      </c>
      <c r="Q2336">
        <v>585.16999999999996</v>
      </c>
      <c r="R2336" t="s">
        <v>1452</v>
      </c>
      <c r="V2336">
        <v>0</v>
      </c>
      <c r="W2336">
        <v>0</v>
      </c>
      <c r="AF2336">
        <v>0</v>
      </c>
      <c r="AG2336">
        <v>0</v>
      </c>
      <c r="AH2336">
        <v>0</v>
      </c>
      <c r="AI2336">
        <v>12</v>
      </c>
      <c r="AJ2336">
        <v>12</v>
      </c>
      <c r="AM2336">
        <v>0</v>
      </c>
      <c r="AP2336">
        <v>48</v>
      </c>
    </row>
    <row r="2337" spans="1:42" x14ac:dyDescent="0.25">
      <c r="A2337" t="s">
        <v>45</v>
      </c>
      <c r="B2337">
        <v>4</v>
      </c>
      <c r="C2337" t="s">
        <v>1413</v>
      </c>
      <c r="D2337" s="39">
        <v>45990</v>
      </c>
      <c r="E2337" t="s">
        <v>493</v>
      </c>
      <c r="F2337" t="s">
        <v>79</v>
      </c>
      <c r="G2337" t="s">
        <v>141</v>
      </c>
      <c r="H2337" t="s">
        <v>122</v>
      </c>
      <c r="I2337" t="s">
        <v>79</v>
      </c>
      <c r="J2337">
        <v>150</v>
      </c>
      <c r="K2337" t="s">
        <v>79</v>
      </c>
      <c r="L2337">
        <v>2</v>
      </c>
      <c r="M2337">
        <v>80.27000000000001</v>
      </c>
      <c r="N2337">
        <v>3.6</v>
      </c>
      <c r="Q2337">
        <v>76.670000000000016</v>
      </c>
      <c r="R2337" t="s">
        <v>1414</v>
      </c>
      <c r="V2337">
        <v>0</v>
      </c>
      <c r="W2337">
        <v>0</v>
      </c>
      <c r="AF2337">
        <v>0</v>
      </c>
      <c r="AG2337">
        <v>0</v>
      </c>
      <c r="AH2337">
        <v>0</v>
      </c>
      <c r="AI2337">
        <v>12</v>
      </c>
      <c r="AJ2337">
        <v>12</v>
      </c>
      <c r="AM2337">
        <v>0</v>
      </c>
      <c r="AN2337">
        <v>85.27000000000001</v>
      </c>
      <c r="AP2337">
        <v>48</v>
      </c>
    </row>
    <row r="2338" spans="1:42" x14ac:dyDescent="0.25">
      <c r="A2338" t="s">
        <v>45</v>
      </c>
      <c r="B2338">
        <v>4</v>
      </c>
      <c r="C2338" t="s">
        <v>1416</v>
      </c>
      <c r="D2338" s="39">
        <v>45990</v>
      </c>
      <c r="E2338" t="s">
        <v>486</v>
      </c>
      <c r="F2338" t="s">
        <v>79</v>
      </c>
      <c r="G2338">
        <v>24</v>
      </c>
      <c r="H2338">
        <v>5</v>
      </c>
      <c r="I2338" t="s">
        <v>79</v>
      </c>
      <c r="J2338">
        <v>1000</v>
      </c>
      <c r="K2338" t="s">
        <v>79</v>
      </c>
      <c r="L2338">
        <v>8</v>
      </c>
      <c r="M2338">
        <v>502.86999999999995</v>
      </c>
      <c r="N2338">
        <v>19.2</v>
      </c>
      <c r="Q2338">
        <v>483.66999999999996</v>
      </c>
      <c r="R2338" t="s">
        <v>1417</v>
      </c>
      <c r="S2338">
        <v>25</v>
      </c>
      <c r="V2338">
        <v>25</v>
      </c>
      <c r="W2338">
        <v>0.41666666666666674</v>
      </c>
      <c r="Z2338">
        <v>85</v>
      </c>
      <c r="AF2338">
        <v>85</v>
      </c>
      <c r="AG2338">
        <v>1.4166666666666667</v>
      </c>
      <c r="AH2338">
        <v>1.8333333333333337</v>
      </c>
      <c r="AI2338">
        <v>10.166666666666666</v>
      </c>
      <c r="AJ2338">
        <v>12</v>
      </c>
      <c r="AM2338">
        <v>0</v>
      </c>
      <c r="AN2338">
        <v>507.86999999999995</v>
      </c>
      <c r="AP2338">
        <v>48</v>
      </c>
    </row>
    <row r="2339" spans="1:42" x14ac:dyDescent="0.25">
      <c r="A2339" t="s">
        <v>45</v>
      </c>
      <c r="B2339">
        <v>4</v>
      </c>
      <c r="C2339" t="s">
        <v>1418</v>
      </c>
      <c r="D2339" s="39">
        <v>45990</v>
      </c>
      <c r="E2339" t="s">
        <v>493</v>
      </c>
      <c r="F2339" t="s">
        <v>79</v>
      </c>
      <c r="G2339" t="s">
        <v>141</v>
      </c>
      <c r="H2339" t="s">
        <v>122</v>
      </c>
      <c r="I2339" t="s">
        <v>79</v>
      </c>
      <c r="J2339">
        <v>150</v>
      </c>
      <c r="K2339" t="s">
        <v>79</v>
      </c>
      <c r="L2339">
        <v>6</v>
      </c>
      <c r="M2339">
        <v>149.29999999999998</v>
      </c>
      <c r="N2339">
        <v>10.8</v>
      </c>
      <c r="O2339">
        <v>20</v>
      </c>
      <c r="Q2339">
        <v>138.49999999999997</v>
      </c>
      <c r="R2339" t="s">
        <v>1419</v>
      </c>
      <c r="V2339">
        <v>0</v>
      </c>
      <c r="W2339">
        <v>0</v>
      </c>
      <c r="AF2339">
        <v>0</v>
      </c>
      <c r="AG2339">
        <v>0</v>
      </c>
      <c r="AH2339">
        <v>0</v>
      </c>
      <c r="AI2339">
        <v>12</v>
      </c>
      <c r="AJ2339">
        <v>12</v>
      </c>
      <c r="AM2339">
        <v>0</v>
      </c>
      <c r="AN2339">
        <v>154.29999999999998</v>
      </c>
      <c r="AP2339">
        <v>48</v>
      </c>
    </row>
    <row r="2340" spans="1:42" x14ac:dyDescent="0.25">
      <c r="A2340" t="s">
        <v>46</v>
      </c>
      <c r="B2340">
        <v>4</v>
      </c>
      <c r="C2340" t="s">
        <v>1416</v>
      </c>
      <c r="D2340" s="39">
        <v>45990</v>
      </c>
      <c r="E2340" t="s">
        <v>486</v>
      </c>
      <c r="F2340" t="s">
        <v>79</v>
      </c>
      <c r="G2340">
        <v>24</v>
      </c>
      <c r="H2340">
        <v>5</v>
      </c>
      <c r="I2340" t="s">
        <v>79</v>
      </c>
      <c r="J2340">
        <v>1000</v>
      </c>
      <c r="K2340" t="s">
        <v>79</v>
      </c>
      <c r="L2340">
        <v>13</v>
      </c>
      <c r="M2340">
        <v>835.13000000000011</v>
      </c>
      <c r="N2340">
        <v>37.699999999999996</v>
      </c>
      <c r="O2340">
        <v>14</v>
      </c>
      <c r="Q2340">
        <v>797.43000000000006</v>
      </c>
      <c r="R2340" t="s">
        <v>1417</v>
      </c>
      <c r="V2340">
        <v>0</v>
      </c>
      <c r="W2340">
        <v>0</v>
      </c>
      <c r="AF2340">
        <v>0</v>
      </c>
      <c r="AG2340">
        <v>0</v>
      </c>
      <c r="AH2340">
        <v>0</v>
      </c>
      <c r="AI2340">
        <v>12</v>
      </c>
      <c r="AJ2340">
        <v>12</v>
      </c>
      <c r="AM2340">
        <v>0</v>
      </c>
      <c r="AN2340">
        <v>840.13000000000011</v>
      </c>
      <c r="AP2340">
        <v>48</v>
      </c>
    </row>
    <row r="2341" spans="1:42" x14ac:dyDescent="0.25">
      <c r="A2341" t="s">
        <v>45</v>
      </c>
      <c r="B2341">
        <v>5</v>
      </c>
      <c r="C2341" t="s">
        <v>1415</v>
      </c>
      <c r="D2341" s="39">
        <v>45990</v>
      </c>
      <c r="E2341" t="s">
        <v>629</v>
      </c>
      <c r="F2341" t="s">
        <v>79</v>
      </c>
      <c r="G2341">
        <v>16</v>
      </c>
      <c r="H2341" t="s">
        <v>92</v>
      </c>
      <c r="I2341" t="s">
        <v>79</v>
      </c>
      <c r="J2341">
        <v>5000</v>
      </c>
      <c r="K2341" t="s">
        <v>79</v>
      </c>
      <c r="L2341">
        <v>11</v>
      </c>
      <c r="M2341">
        <v>603.53000000000009</v>
      </c>
      <c r="N2341">
        <v>20.9</v>
      </c>
      <c r="Q2341">
        <v>582.63000000000011</v>
      </c>
      <c r="R2341" t="s">
        <v>1452</v>
      </c>
      <c r="V2341">
        <v>0</v>
      </c>
      <c r="W2341">
        <v>0</v>
      </c>
      <c r="AF2341">
        <v>0</v>
      </c>
      <c r="AG2341">
        <v>0</v>
      </c>
      <c r="AH2341">
        <v>0</v>
      </c>
      <c r="AI2341">
        <v>12</v>
      </c>
      <c r="AJ2341">
        <v>12</v>
      </c>
      <c r="AM2341">
        <v>0</v>
      </c>
      <c r="AN2341">
        <v>608.53000000000009</v>
      </c>
      <c r="AP2341">
        <v>48</v>
      </c>
    </row>
    <row r="2342" spans="1:42" x14ac:dyDescent="0.25">
      <c r="A2342" t="s">
        <v>46</v>
      </c>
      <c r="B2342">
        <v>5</v>
      </c>
      <c r="C2342" t="s">
        <v>1415</v>
      </c>
      <c r="D2342" s="39">
        <v>45990</v>
      </c>
      <c r="E2342" t="s">
        <v>629</v>
      </c>
      <c r="F2342" t="s">
        <v>79</v>
      </c>
      <c r="G2342">
        <v>16</v>
      </c>
      <c r="H2342" t="s">
        <v>92</v>
      </c>
      <c r="I2342" t="s">
        <v>79</v>
      </c>
      <c r="J2342">
        <v>5000</v>
      </c>
      <c r="K2342" t="s">
        <v>79</v>
      </c>
      <c r="L2342">
        <v>9</v>
      </c>
      <c r="M2342">
        <v>603.41999999999996</v>
      </c>
      <c r="N2342">
        <v>17.099999999999998</v>
      </c>
      <c r="Q2342">
        <v>586.31999999999994</v>
      </c>
      <c r="R2342" t="s">
        <v>1452</v>
      </c>
      <c r="V2342">
        <v>0</v>
      </c>
      <c r="W2342">
        <v>0</v>
      </c>
      <c r="AF2342">
        <v>0</v>
      </c>
      <c r="AG2342">
        <v>0</v>
      </c>
      <c r="AH2342">
        <v>0</v>
      </c>
      <c r="AI2342">
        <v>12</v>
      </c>
      <c r="AJ2342">
        <v>12</v>
      </c>
      <c r="AM2342">
        <v>0</v>
      </c>
      <c r="AN2342">
        <v>608.41999999999996</v>
      </c>
      <c r="AP2342">
        <v>48</v>
      </c>
    </row>
    <row r="2343" spans="1:42" x14ac:dyDescent="0.25">
      <c r="A2343" t="s">
        <v>45</v>
      </c>
      <c r="B2343">
        <v>2</v>
      </c>
      <c r="C2343" t="s">
        <v>1379</v>
      </c>
      <c r="D2343" s="39">
        <v>45990</v>
      </c>
      <c r="E2343" t="s">
        <v>486</v>
      </c>
      <c r="F2343" t="s">
        <v>79</v>
      </c>
      <c r="G2343">
        <v>6</v>
      </c>
      <c r="H2343">
        <v>5</v>
      </c>
      <c r="I2343" t="s">
        <v>79</v>
      </c>
      <c r="J2343">
        <v>1500</v>
      </c>
      <c r="K2343" t="s">
        <v>79</v>
      </c>
      <c r="L2343">
        <v>10</v>
      </c>
      <c r="M2343">
        <v>248.15999999999997</v>
      </c>
      <c r="N2343">
        <v>6</v>
      </c>
      <c r="Q2343">
        <v>242.15999999999997</v>
      </c>
      <c r="R2343" t="s">
        <v>1437</v>
      </c>
      <c r="V2343">
        <v>0</v>
      </c>
      <c r="W2343">
        <v>0</v>
      </c>
      <c r="AF2343">
        <v>0</v>
      </c>
      <c r="AG2343">
        <v>0</v>
      </c>
      <c r="AH2343">
        <v>0</v>
      </c>
      <c r="AI2343">
        <v>12</v>
      </c>
      <c r="AJ2343">
        <v>12</v>
      </c>
      <c r="AM2343">
        <v>0</v>
      </c>
      <c r="AN2343">
        <v>253.15999999999997</v>
      </c>
      <c r="AP2343">
        <v>48</v>
      </c>
    </row>
    <row r="2344" spans="1:42" x14ac:dyDescent="0.25">
      <c r="A2344" t="s">
        <v>46</v>
      </c>
      <c r="B2344">
        <v>2</v>
      </c>
      <c r="C2344" t="s">
        <v>1379</v>
      </c>
      <c r="D2344" s="39">
        <v>45990</v>
      </c>
      <c r="E2344" t="s">
        <v>486</v>
      </c>
      <c r="F2344" t="s">
        <v>79</v>
      </c>
      <c r="G2344">
        <v>6</v>
      </c>
      <c r="H2344">
        <v>5</v>
      </c>
      <c r="I2344" t="s">
        <v>79</v>
      </c>
      <c r="J2344">
        <v>1500</v>
      </c>
      <c r="K2344" t="s">
        <v>79</v>
      </c>
      <c r="L2344">
        <v>9</v>
      </c>
      <c r="M2344">
        <v>211.89000000000001</v>
      </c>
      <c r="N2344">
        <v>5.3999999999999995</v>
      </c>
      <c r="Q2344">
        <v>206.49</v>
      </c>
      <c r="R2344" t="s">
        <v>1437</v>
      </c>
      <c r="V2344">
        <v>0</v>
      </c>
      <c r="W2344">
        <v>0</v>
      </c>
      <c r="AF2344">
        <v>0</v>
      </c>
      <c r="AG2344">
        <v>0</v>
      </c>
      <c r="AH2344">
        <v>0</v>
      </c>
      <c r="AI2344">
        <v>12</v>
      </c>
      <c r="AJ2344">
        <v>12</v>
      </c>
      <c r="AM2344">
        <v>0</v>
      </c>
      <c r="AN2344">
        <v>216.89</v>
      </c>
      <c r="AP2344">
        <v>48</v>
      </c>
    </row>
    <row r="2345" spans="1:42" x14ac:dyDescent="0.25">
      <c r="A2345" t="s">
        <v>45</v>
      </c>
      <c r="B2345">
        <v>1</v>
      </c>
      <c r="C2345" t="s">
        <v>1420</v>
      </c>
      <c r="D2345" s="39">
        <v>45990</v>
      </c>
      <c r="E2345" t="s">
        <v>486</v>
      </c>
      <c r="F2345" t="s">
        <v>79</v>
      </c>
      <c r="G2345">
        <v>3</v>
      </c>
      <c r="H2345" t="s">
        <v>92</v>
      </c>
      <c r="I2345" t="s">
        <v>79</v>
      </c>
      <c r="J2345">
        <v>1000</v>
      </c>
      <c r="K2345" t="s">
        <v>79</v>
      </c>
      <c r="L2345">
        <v>9</v>
      </c>
      <c r="M2345">
        <v>150.97</v>
      </c>
      <c r="N2345">
        <v>2.6999999999999997</v>
      </c>
      <c r="Q2345">
        <v>148.27000000000001</v>
      </c>
      <c r="R2345" t="s">
        <v>1453</v>
      </c>
      <c r="V2345">
        <v>0</v>
      </c>
      <c r="W2345">
        <v>0</v>
      </c>
      <c r="AD2345">
        <v>25</v>
      </c>
      <c r="AF2345">
        <v>25</v>
      </c>
      <c r="AG2345">
        <v>0.41666666666666674</v>
      </c>
      <c r="AH2345">
        <v>0.41666666666666674</v>
      </c>
      <c r="AI2345">
        <v>11.583333333333334</v>
      </c>
      <c r="AJ2345">
        <v>12</v>
      </c>
      <c r="AM2345">
        <v>0</v>
      </c>
      <c r="AN2345">
        <v>155.97</v>
      </c>
      <c r="AP2345">
        <v>48</v>
      </c>
    </row>
    <row r="2346" spans="1:42" x14ac:dyDescent="0.25">
      <c r="A2346" t="s">
        <v>46</v>
      </c>
      <c r="B2346">
        <v>1</v>
      </c>
      <c r="C2346" t="s">
        <v>1420</v>
      </c>
      <c r="D2346" s="39">
        <v>45990</v>
      </c>
      <c r="E2346" t="s">
        <v>486</v>
      </c>
      <c r="F2346" t="s">
        <v>79</v>
      </c>
      <c r="G2346">
        <v>3</v>
      </c>
      <c r="H2346" t="s">
        <v>92</v>
      </c>
      <c r="I2346" t="s">
        <v>79</v>
      </c>
      <c r="J2346">
        <v>1000</v>
      </c>
      <c r="K2346" t="s">
        <v>79</v>
      </c>
      <c r="L2346">
        <v>8</v>
      </c>
      <c r="M2346">
        <v>124.30999999999999</v>
      </c>
      <c r="N2346">
        <v>2.4</v>
      </c>
      <c r="Q2346">
        <v>121.90999999999998</v>
      </c>
      <c r="R2346" t="s">
        <v>1453</v>
      </c>
      <c r="V2346">
        <v>0</v>
      </c>
      <c r="W2346">
        <v>0</v>
      </c>
      <c r="AF2346">
        <v>0</v>
      </c>
      <c r="AG2346">
        <v>0</v>
      </c>
      <c r="AH2346">
        <v>0</v>
      </c>
      <c r="AI2346">
        <v>12</v>
      </c>
      <c r="AJ2346">
        <v>12</v>
      </c>
      <c r="AM2346">
        <v>0</v>
      </c>
      <c r="AN2346">
        <v>129.31</v>
      </c>
      <c r="AP2346">
        <v>48</v>
      </c>
    </row>
    <row r="2347" spans="1:42" x14ac:dyDescent="0.25">
      <c r="A2347" t="s">
        <v>45</v>
      </c>
      <c r="B2347">
        <v>3</v>
      </c>
      <c r="C2347" t="s">
        <v>1399</v>
      </c>
      <c r="D2347" s="39">
        <v>45990</v>
      </c>
      <c r="E2347" t="s">
        <v>486</v>
      </c>
      <c r="F2347" t="s">
        <v>79</v>
      </c>
      <c r="G2347">
        <v>8</v>
      </c>
      <c r="H2347">
        <v>5</v>
      </c>
      <c r="I2347" t="s">
        <v>79</v>
      </c>
      <c r="J2347">
        <v>1500</v>
      </c>
      <c r="K2347" t="s">
        <v>79</v>
      </c>
      <c r="L2347">
        <v>8</v>
      </c>
      <c r="M2347">
        <v>348.77000000000004</v>
      </c>
      <c r="N2347">
        <v>7.2</v>
      </c>
      <c r="Q2347">
        <v>341.57000000000005</v>
      </c>
      <c r="R2347" t="s">
        <v>1400</v>
      </c>
      <c r="V2347">
        <v>0</v>
      </c>
      <c r="W2347">
        <v>0</v>
      </c>
      <c r="AF2347">
        <v>0</v>
      </c>
      <c r="AG2347">
        <v>0</v>
      </c>
      <c r="AH2347">
        <v>0</v>
      </c>
      <c r="AI2347">
        <v>12</v>
      </c>
      <c r="AJ2347">
        <v>12</v>
      </c>
      <c r="AM2347">
        <v>0</v>
      </c>
      <c r="AN2347">
        <v>353.77000000000004</v>
      </c>
      <c r="AP2347">
        <v>48</v>
      </c>
    </row>
    <row r="2348" spans="1:42" x14ac:dyDescent="0.25">
      <c r="A2348" t="s">
        <v>46</v>
      </c>
      <c r="B2348">
        <v>3</v>
      </c>
      <c r="C2348" t="s">
        <v>1399</v>
      </c>
      <c r="D2348" s="39">
        <v>45990</v>
      </c>
      <c r="E2348" t="s">
        <v>486</v>
      </c>
      <c r="F2348" t="s">
        <v>79</v>
      </c>
      <c r="G2348">
        <v>8</v>
      </c>
      <c r="H2348">
        <v>5</v>
      </c>
      <c r="I2348" t="s">
        <v>79</v>
      </c>
      <c r="J2348">
        <v>1500</v>
      </c>
      <c r="K2348" t="s">
        <v>79</v>
      </c>
      <c r="L2348">
        <v>9</v>
      </c>
      <c r="M2348">
        <v>333.65</v>
      </c>
      <c r="N2348">
        <v>7.2</v>
      </c>
      <c r="Q2348">
        <v>326.45</v>
      </c>
      <c r="R2348" t="s">
        <v>1400</v>
      </c>
      <c r="V2348">
        <v>0</v>
      </c>
      <c r="W2348">
        <v>0</v>
      </c>
      <c r="AF2348">
        <v>0</v>
      </c>
      <c r="AG2348">
        <v>0</v>
      </c>
      <c r="AH2348">
        <v>0</v>
      </c>
      <c r="AI2348">
        <v>12</v>
      </c>
      <c r="AJ2348">
        <v>12</v>
      </c>
      <c r="AM2348">
        <v>0</v>
      </c>
      <c r="AN2348">
        <v>338.65</v>
      </c>
      <c r="AP2348">
        <v>48</v>
      </c>
    </row>
    <row r="2349" spans="1:42" x14ac:dyDescent="0.25">
      <c r="A2349" t="s">
        <v>45</v>
      </c>
      <c r="B2349">
        <v>4</v>
      </c>
      <c r="C2349" t="s">
        <v>1416</v>
      </c>
      <c r="D2349" s="39">
        <v>45991</v>
      </c>
      <c r="E2349" t="s">
        <v>486</v>
      </c>
      <c r="F2349" t="s">
        <v>79</v>
      </c>
      <c r="G2349">
        <v>24</v>
      </c>
      <c r="H2349">
        <v>5</v>
      </c>
      <c r="I2349" t="s">
        <v>79</v>
      </c>
      <c r="J2349">
        <v>1000</v>
      </c>
      <c r="K2349" t="s">
        <v>79</v>
      </c>
      <c r="L2349">
        <v>3</v>
      </c>
      <c r="M2349">
        <v>153.43</v>
      </c>
      <c r="N2349">
        <v>7.1999999999999993</v>
      </c>
      <c r="Q2349">
        <v>146.23000000000002</v>
      </c>
      <c r="R2349" t="s">
        <v>1417</v>
      </c>
      <c r="S2349">
        <v>25</v>
      </c>
      <c r="V2349">
        <v>25</v>
      </c>
      <c r="W2349">
        <v>0.41666666666666674</v>
      </c>
      <c r="X2349">
        <v>90</v>
      </c>
      <c r="AF2349">
        <v>90</v>
      </c>
      <c r="AG2349">
        <v>1.5</v>
      </c>
      <c r="AH2349">
        <v>1.9166666666666667</v>
      </c>
      <c r="AI2349">
        <v>10.083333333333334</v>
      </c>
      <c r="AJ2349">
        <v>12</v>
      </c>
      <c r="AM2349">
        <v>0</v>
      </c>
      <c r="AN2349">
        <v>158.43</v>
      </c>
      <c r="AP2349">
        <v>48</v>
      </c>
    </row>
    <row r="2350" spans="1:42" x14ac:dyDescent="0.25">
      <c r="A2350" t="s">
        <v>45</v>
      </c>
      <c r="B2350">
        <v>4</v>
      </c>
      <c r="C2350" t="s">
        <v>1421</v>
      </c>
      <c r="D2350" s="39">
        <v>45991</v>
      </c>
      <c r="E2350" t="s">
        <v>81</v>
      </c>
      <c r="K2350" t="s">
        <v>79</v>
      </c>
      <c r="L2350">
        <v>2</v>
      </c>
      <c r="M2350">
        <v>118.86</v>
      </c>
      <c r="N2350">
        <v>4.8</v>
      </c>
      <c r="Q2350">
        <v>114.06</v>
      </c>
      <c r="R2350" t="s">
        <v>1422</v>
      </c>
      <c r="S2350">
        <v>25</v>
      </c>
      <c r="V2350">
        <v>25</v>
      </c>
      <c r="W2350">
        <v>0.41666666666666674</v>
      </c>
      <c r="AF2350">
        <v>0</v>
      </c>
      <c r="AG2350">
        <v>0</v>
      </c>
      <c r="AH2350">
        <v>0.41666666666666674</v>
      </c>
      <c r="AI2350">
        <v>11.583333333333334</v>
      </c>
      <c r="AJ2350">
        <v>12</v>
      </c>
      <c r="AM2350">
        <v>0</v>
      </c>
      <c r="AN2350">
        <v>123.86</v>
      </c>
      <c r="AP2350">
        <v>48</v>
      </c>
    </row>
    <row r="2351" spans="1:42" x14ac:dyDescent="0.25">
      <c r="A2351" t="s">
        <v>45</v>
      </c>
      <c r="B2351">
        <v>4</v>
      </c>
      <c r="C2351" t="s">
        <v>1423</v>
      </c>
      <c r="D2351" s="39">
        <v>45991</v>
      </c>
      <c r="E2351" t="s">
        <v>615</v>
      </c>
      <c r="F2351" t="s">
        <v>79</v>
      </c>
      <c r="G2351">
        <v>26</v>
      </c>
      <c r="H2351">
        <v>14</v>
      </c>
      <c r="I2351" t="s">
        <v>79</v>
      </c>
      <c r="J2351">
        <v>250</v>
      </c>
      <c r="K2351" t="s">
        <v>79</v>
      </c>
      <c r="L2351">
        <v>4</v>
      </c>
      <c r="M2351">
        <v>268.08</v>
      </c>
      <c r="N2351">
        <v>13.6</v>
      </c>
      <c r="Q2351">
        <v>254.48</v>
      </c>
      <c r="R2351" t="s">
        <v>1424</v>
      </c>
      <c r="V2351">
        <v>0</v>
      </c>
      <c r="W2351">
        <v>0</v>
      </c>
      <c r="AF2351">
        <v>0</v>
      </c>
      <c r="AG2351">
        <v>0</v>
      </c>
      <c r="AH2351">
        <v>0</v>
      </c>
      <c r="AI2351">
        <v>12</v>
      </c>
      <c r="AJ2351">
        <v>12</v>
      </c>
      <c r="AM2351">
        <v>0</v>
      </c>
      <c r="AN2351">
        <v>273.08</v>
      </c>
      <c r="AP2351">
        <v>48</v>
      </c>
    </row>
    <row r="2352" spans="1:42" x14ac:dyDescent="0.25">
      <c r="A2352" t="s">
        <v>45</v>
      </c>
      <c r="B2352">
        <v>4</v>
      </c>
      <c r="C2352" t="s">
        <v>1425</v>
      </c>
      <c r="D2352" s="39">
        <v>45991</v>
      </c>
      <c r="E2352" t="s">
        <v>577</v>
      </c>
      <c r="F2352" t="s">
        <v>79</v>
      </c>
      <c r="G2352">
        <v>26</v>
      </c>
      <c r="H2352" t="s">
        <v>578</v>
      </c>
      <c r="I2352" t="s">
        <v>79</v>
      </c>
      <c r="J2352">
        <v>125</v>
      </c>
      <c r="K2352" t="s">
        <v>79</v>
      </c>
      <c r="L2352">
        <v>2</v>
      </c>
      <c r="M2352">
        <v>136.32</v>
      </c>
      <c r="N2352">
        <v>6.9</v>
      </c>
      <c r="Q2352">
        <v>129.41999999999999</v>
      </c>
      <c r="R2352" t="s">
        <v>1426</v>
      </c>
      <c r="V2352">
        <v>0</v>
      </c>
      <c r="W2352">
        <v>0</v>
      </c>
      <c r="AF2352">
        <v>0</v>
      </c>
      <c r="AG2352">
        <v>0</v>
      </c>
      <c r="AH2352">
        <v>0</v>
      </c>
      <c r="AI2352">
        <v>12</v>
      </c>
      <c r="AJ2352">
        <v>12</v>
      </c>
      <c r="AM2352">
        <v>0</v>
      </c>
      <c r="AN2352">
        <v>141.32</v>
      </c>
      <c r="AP2352">
        <v>48</v>
      </c>
    </row>
    <row r="2353" spans="1:43" x14ac:dyDescent="0.25">
      <c r="A2353" t="s">
        <v>45</v>
      </c>
      <c r="B2353">
        <v>4</v>
      </c>
      <c r="C2353" t="s">
        <v>1427</v>
      </c>
      <c r="D2353" s="39">
        <v>45991</v>
      </c>
      <c r="E2353" t="s">
        <v>1155</v>
      </c>
      <c r="F2353" t="s">
        <v>79</v>
      </c>
      <c r="G2353">
        <v>10.5</v>
      </c>
      <c r="H2353" t="s">
        <v>696</v>
      </c>
      <c r="I2353" t="s">
        <v>79</v>
      </c>
      <c r="J2353">
        <v>400</v>
      </c>
      <c r="K2353" t="s">
        <v>79</v>
      </c>
      <c r="L2353">
        <v>2</v>
      </c>
      <c r="M2353">
        <v>45.599999999999994</v>
      </c>
      <c r="N2353">
        <v>2.2000000000000002</v>
      </c>
      <c r="Q2353">
        <v>43.399999999999991</v>
      </c>
      <c r="R2353" t="s">
        <v>1428</v>
      </c>
      <c r="V2353">
        <v>0</v>
      </c>
      <c r="W2353">
        <v>0</v>
      </c>
      <c r="AF2353">
        <v>0</v>
      </c>
      <c r="AG2353">
        <v>0</v>
      </c>
      <c r="AH2353">
        <v>0</v>
      </c>
      <c r="AI2353">
        <v>12</v>
      </c>
      <c r="AJ2353">
        <v>12</v>
      </c>
      <c r="AM2353">
        <v>0</v>
      </c>
      <c r="AN2353">
        <v>50.599999999999994</v>
      </c>
      <c r="AP2353">
        <v>48</v>
      </c>
    </row>
    <row r="2354" spans="1:43" x14ac:dyDescent="0.25">
      <c r="A2354" t="s">
        <v>46</v>
      </c>
      <c r="B2354">
        <v>4</v>
      </c>
      <c r="C2354" t="s">
        <v>1427</v>
      </c>
      <c r="D2354" s="39">
        <v>45991</v>
      </c>
      <c r="E2354" t="s">
        <v>1155</v>
      </c>
      <c r="F2354" t="s">
        <v>79</v>
      </c>
      <c r="G2354">
        <v>10.5</v>
      </c>
      <c r="H2354" t="s">
        <v>696</v>
      </c>
      <c r="I2354" t="s">
        <v>79</v>
      </c>
      <c r="J2354">
        <v>400</v>
      </c>
      <c r="K2354" t="s">
        <v>79</v>
      </c>
      <c r="L2354">
        <v>15</v>
      </c>
      <c r="M2354">
        <v>386.03</v>
      </c>
      <c r="N2354">
        <v>15</v>
      </c>
      <c r="Q2354">
        <v>371.03</v>
      </c>
      <c r="R2354" t="s">
        <v>1428</v>
      </c>
      <c r="V2354">
        <v>0</v>
      </c>
      <c r="W2354">
        <v>0</v>
      </c>
      <c r="Y2354">
        <v>40</v>
      </c>
      <c r="AF2354">
        <v>40</v>
      </c>
      <c r="AG2354">
        <v>0.66666666666666663</v>
      </c>
      <c r="AH2354">
        <v>0.66666666666666663</v>
      </c>
      <c r="AI2354">
        <v>11.333333333333334</v>
      </c>
      <c r="AJ2354">
        <v>12</v>
      </c>
      <c r="AM2354">
        <v>0</v>
      </c>
      <c r="AN2354">
        <v>391.03</v>
      </c>
      <c r="AP2354">
        <v>48</v>
      </c>
    </row>
    <row r="2355" spans="1:43" x14ac:dyDescent="0.25">
      <c r="A2355" t="s">
        <v>46</v>
      </c>
      <c r="B2355">
        <v>4</v>
      </c>
      <c r="C2355" t="s">
        <v>1429</v>
      </c>
      <c r="D2355" s="39">
        <v>45991</v>
      </c>
      <c r="E2355" t="s">
        <v>985</v>
      </c>
      <c r="F2355" t="s">
        <v>79</v>
      </c>
      <c r="G2355">
        <v>16</v>
      </c>
      <c r="H2355" t="s">
        <v>127</v>
      </c>
      <c r="I2355" t="s">
        <v>79</v>
      </c>
      <c r="J2355">
        <v>100</v>
      </c>
      <c r="K2355" t="s">
        <v>79</v>
      </c>
      <c r="L2355">
        <v>3</v>
      </c>
      <c r="M2355">
        <v>85.9</v>
      </c>
      <c r="N2355">
        <v>3.2</v>
      </c>
      <c r="Q2355">
        <v>82.7</v>
      </c>
      <c r="R2355" t="s">
        <v>1430</v>
      </c>
      <c r="V2355">
        <v>0</v>
      </c>
      <c r="W2355">
        <v>0</v>
      </c>
      <c r="AF2355">
        <v>0</v>
      </c>
      <c r="AG2355">
        <v>0</v>
      </c>
      <c r="AH2355">
        <v>0</v>
      </c>
      <c r="AI2355">
        <v>12</v>
      </c>
      <c r="AJ2355">
        <v>12</v>
      </c>
      <c r="AM2355">
        <v>0</v>
      </c>
      <c r="AN2355">
        <v>90.9</v>
      </c>
      <c r="AP2355">
        <v>48</v>
      </c>
    </row>
    <row r="2356" spans="1:43" x14ac:dyDescent="0.25">
      <c r="A2356" t="s">
        <v>45</v>
      </c>
      <c r="B2356">
        <v>2</v>
      </c>
      <c r="C2356" t="s">
        <v>1379</v>
      </c>
      <c r="D2356" s="39">
        <v>45991</v>
      </c>
      <c r="E2356" t="s">
        <v>486</v>
      </c>
      <c r="F2356" t="s">
        <v>79</v>
      </c>
      <c r="G2356">
        <v>6</v>
      </c>
      <c r="H2356">
        <v>5</v>
      </c>
      <c r="I2356" t="s">
        <v>79</v>
      </c>
      <c r="J2356">
        <v>1500</v>
      </c>
      <c r="K2356" t="s">
        <v>79</v>
      </c>
      <c r="L2356">
        <v>10</v>
      </c>
      <c r="M2356">
        <v>250.02999999999997</v>
      </c>
      <c r="N2356">
        <v>6</v>
      </c>
      <c r="O2356">
        <v>23</v>
      </c>
      <c r="Q2356">
        <v>244.02999999999997</v>
      </c>
      <c r="R2356" t="s">
        <v>1437</v>
      </c>
      <c r="V2356">
        <v>0</v>
      </c>
      <c r="W2356">
        <v>0</v>
      </c>
      <c r="AF2356">
        <v>0</v>
      </c>
      <c r="AG2356">
        <v>0</v>
      </c>
      <c r="AH2356">
        <v>0</v>
      </c>
      <c r="AI2356">
        <v>12</v>
      </c>
      <c r="AJ2356">
        <v>12</v>
      </c>
      <c r="AM2356">
        <v>0</v>
      </c>
      <c r="AN2356">
        <v>255.02999999999997</v>
      </c>
      <c r="AP2356">
        <v>48</v>
      </c>
    </row>
    <row r="2357" spans="1:43" x14ac:dyDescent="0.25">
      <c r="A2357" t="s">
        <v>46</v>
      </c>
      <c r="B2357">
        <v>2</v>
      </c>
      <c r="C2357" t="s">
        <v>1379</v>
      </c>
      <c r="D2357" s="39">
        <v>45991</v>
      </c>
      <c r="E2357" t="s">
        <v>486</v>
      </c>
      <c r="F2357" t="s">
        <v>79</v>
      </c>
      <c r="G2357">
        <v>6</v>
      </c>
      <c r="H2357">
        <v>5</v>
      </c>
      <c r="I2357" t="s">
        <v>79</v>
      </c>
      <c r="J2357">
        <v>1500</v>
      </c>
      <c r="K2357" t="s">
        <v>79</v>
      </c>
      <c r="L2357">
        <v>10</v>
      </c>
      <c r="M2357">
        <v>253.45</v>
      </c>
      <c r="N2357">
        <v>6</v>
      </c>
      <c r="O2357">
        <v>75</v>
      </c>
      <c r="Q2357">
        <v>247.45</v>
      </c>
      <c r="R2357" t="s">
        <v>1437</v>
      </c>
      <c r="V2357">
        <v>0</v>
      </c>
      <c r="W2357">
        <v>0</v>
      </c>
      <c r="AF2357">
        <v>0</v>
      </c>
      <c r="AG2357">
        <v>0</v>
      </c>
      <c r="AH2357">
        <v>0</v>
      </c>
      <c r="AI2357">
        <v>12</v>
      </c>
      <c r="AJ2357">
        <v>12</v>
      </c>
      <c r="AM2357">
        <v>0</v>
      </c>
      <c r="AN2357">
        <v>258.45</v>
      </c>
      <c r="AP2357">
        <v>48</v>
      </c>
    </row>
    <row r="2358" spans="1:43" x14ac:dyDescent="0.25">
      <c r="A2358" t="s">
        <v>45</v>
      </c>
      <c r="B2358">
        <v>1</v>
      </c>
      <c r="C2358" t="s">
        <v>902</v>
      </c>
      <c r="D2358" s="39">
        <v>45991</v>
      </c>
      <c r="E2358" t="s">
        <v>486</v>
      </c>
      <c r="F2358" t="s">
        <v>79</v>
      </c>
      <c r="G2358">
        <v>3</v>
      </c>
      <c r="H2358" t="s">
        <v>92</v>
      </c>
      <c r="I2358" t="s">
        <v>79</v>
      </c>
      <c r="J2358">
        <v>500</v>
      </c>
      <c r="K2358" t="s">
        <v>79</v>
      </c>
      <c r="L2358">
        <v>10</v>
      </c>
      <c r="M2358">
        <v>151.09</v>
      </c>
      <c r="N2358">
        <v>3</v>
      </c>
      <c r="Q2358">
        <v>148.09</v>
      </c>
      <c r="R2358" t="s">
        <v>1344</v>
      </c>
      <c r="V2358">
        <v>0</v>
      </c>
      <c r="W2358">
        <v>0</v>
      </c>
      <c r="AF2358">
        <v>0</v>
      </c>
      <c r="AG2358">
        <v>0</v>
      </c>
      <c r="AH2358">
        <v>0</v>
      </c>
      <c r="AI2358">
        <v>12</v>
      </c>
      <c r="AJ2358">
        <v>12</v>
      </c>
      <c r="AM2358">
        <v>0</v>
      </c>
      <c r="AN2358">
        <v>156.09</v>
      </c>
      <c r="AP2358">
        <v>48</v>
      </c>
    </row>
    <row r="2359" spans="1:43" x14ac:dyDescent="0.25">
      <c r="A2359" t="s">
        <v>46</v>
      </c>
      <c r="B2359">
        <v>1</v>
      </c>
      <c r="C2359" t="s">
        <v>902</v>
      </c>
      <c r="D2359" s="39">
        <v>45991</v>
      </c>
      <c r="E2359" t="s">
        <v>486</v>
      </c>
      <c r="F2359" t="s">
        <v>79</v>
      </c>
      <c r="G2359">
        <v>3</v>
      </c>
      <c r="H2359" t="s">
        <v>92</v>
      </c>
      <c r="I2359" t="s">
        <v>79</v>
      </c>
      <c r="J2359">
        <v>500</v>
      </c>
      <c r="K2359" t="s">
        <v>79</v>
      </c>
      <c r="L2359">
        <v>2</v>
      </c>
      <c r="M2359">
        <v>28.04</v>
      </c>
      <c r="N2359">
        <v>0.6</v>
      </c>
      <c r="Q2359">
        <v>27.439999999999998</v>
      </c>
      <c r="R2359" t="s">
        <v>1344</v>
      </c>
      <c r="U2359">
        <v>600</v>
      </c>
      <c r="V2359">
        <v>600</v>
      </c>
      <c r="W2359">
        <v>10</v>
      </c>
      <c r="AF2359">
        <v>0</v>
      </c>
      <c r="AG2359">
        <v>0</v>
      </c>
      <c r="AH2359">
        <v>10</v>
      </c>
      <c r="AI2359">
        <v>2</v>
      </c>
      <c r="AJ2359">
        <v>12</v>
      </c>
      <c r="AM2359">
        <v>0</v>
      </c>
      <c r="AN2359">
        <v>33.04</v>
      </c>
      <c r="AP2359">
        <v>48</v>
      </c>
    </row>
    <row r="2360" spans="1:43" x14ac:dyDescent="0.25">
      <c r="A2360" t="s">
        <v>45</v>
      </c>
      <c r="B2360">
        <v>5</v>
      </c>
      <c r="C2360" t="s">
        <v>1415</v>
      </c>
      <c r="D2360" s="39">
        <v>45991</v>
      </c>
      <c r="E2360" t="s">
        <v>629</v>
      </c>
      <c r="F2360" t="s">
        <v>79</v>
      </c>
      <c r="G2360">
        <v>16</v>
      </c>
      <c r="H2360" t="s">
        <v>92</v>
      </c>
      <c r="I2360" t="s">
        <v>79</v>
      </c>
      <c r="J2360">
        <v>5000</v>
      </c>
      <c r="K2360" t="s">
        <v>79</v>
      </c>
      <c r="L2360">
        <v>9</v>
      </c>
      <c r="M2360">
        <v>591.29000000000008</v>
      </c>
      <c r="N2360">
        <v>4.5</v>
      </c>
      <c r="Q2360">
        <v>586.79000000000008</v>
      </c>
      <c r="R2360" t="s">
        <v>1452</v>
      </c>
      <c r="V2360">
        <v>0</v>
      </c>
      <c r="W2360">
        <v>0</v>
      </c>
      <c r="AF2360">
        <v>0</v>
      </c>
      <c r="AG2360">
        <v>0</v>
      </c>
      <c r="AH2360">
        <v>0</v>
      </c>
      <c r="AI2360">
        <v>12</v>
      </c>
      <c r="AJ2360">
        <v>12</v>
      </c>
      <c r="AM2360">
        <v>0</v>
      </c>
      <c r="AN2360">
        <v>596.29000000000008</v>
      </c>
      <c r="AP2360">
        <v>48</v>
      </c>
    </row>
    <row r="2361" spans="1:43" x14ac:dyDescent="0.25">
      <c r="A2361" t="s">
        <v>46</v>
      </c>
      <c r="B2361">
        <v>5</v>
      </c>
      <c r="C2361" t="s">
        <v>1415</v>
      </c>
      <c r="D2361" s="39">
        <v>45991</v>
      </c>
      <c r="E2361" t="s">
        <v>629</v>
      </c>
      <c r="F2361" t="s">
        <v>79</v>
      </c>
      <c r="G2361">
        <v>16</v>
      </c>
      <c r="H2361" t="s">
        <v>92</v>
      </c>
      <c r="I2361" t="s">
        <v>79</v>
      </c>
      <c r="J2361">
        <v>5000</v>
      </c>
      <c r="K2361" t="s">
        <v>79</v>
      </c>
      <c r="L2361">
        <v>9</v>
      </c>
      <c r="M2361">
        <v>538.98</v>
      </c>
      <c r="N2361">
        <v>14.4</v>
      </c>
      <c r="Q2361">
        <v>524.58000000000004</v>
      </c>
      <c r="R2361" t="s">
        <v>1452</v>
      </c>
      <c r="S2361">
        <v>30</v>
      </c>
      <c r="V2361">
        <v>30</v>
      </c>
      <c r="W2361">
        <v>0.5</v>
      </c>
      <c r="AF2361">
        <v>0</v>
      </c>
      <c r="AG2361">
        <v>0</v>
      </c>
      <c r="AH2361">
        <v>0.5</v>
      </c>
      <c r="AI2361">
        <v>11.5</v>
      </c>
      <c r="AJ2361">
        <v>12</v>
      </c>
      <c r="AM2361">
        <v>0</v>
      </c>
      <c r="AN2361">
        <v>543.98</v>
      </c>
      <c r="AP2361">
        <v>48</v>
      </c>
    </row>
    <row r="2362" spans="1:43" x14ac:dyDescent="0.25">
      <c r="A2362" t="s">
        <v>46</v>
      </c>
      <c r="B2362">
        <v>5</v>
      </c>
      <c r="C2362" t="s">
        <v>821</v>
      </c>
      <c r="D2362" s="39">
        <v>45991</v>
      </c>
      <c r="E2362" t="s">
        <v>486</v>
      </c>
      <c r="F2362" t="s">
        <v>79</v>
      </c>
      <c r="G2362">
        <v>12</v>
      </c>
      <c r="H2362">
        <v>5</v>
      </c>
      <c r="I2362" t="s">
        <v>79</v>
      </c>
      <c r="J2362">
        <v>500</v>
      </c>
      <c r="K2362" t="s">
        <v>79</v>
      </c>
      <c r="L2362">
        <v>1</v>
      </c>
      <c r="M2362">
        <v>38.93</v>
      </c>
      <c r="N2362">
        <v>1.2</v>
      </c>
      <c r="Q2362">
        <v>37.729999999999997</v>
      </c>
      <c r="R2362" t="s">
        <v>1343</v>
      </c>
      <c r="V2362">
        <v>0</v>
      </c>
      <c r="W2362">
        <v>0</v>
      </c>
      <c r="AF2362">
        <v>0</v>
      </c>
      <c r="AG2362">
        <v>0</v>
      </c>
      <c r="AH2362">
        <v>0</v>
      </c>
      <c r="AI2362">
        <v>12</v>
      </c>
      <c r="AJ2362">
        <v>12</v>
      </c>
      <c r="AM2362">
        <v>0</v>
      </c>
      <c r="AN2362">
        <v>43.93</v>
      </c>
      <c r="AP2362">
        <v>48</v>
      </c>
    </row>
    <row r="2363" spans="1:43" x14ac:dyDescent="0.25">
      <c r="A2363" t="s">
        <v>45</v>
      </c>
      <c r="B2363">
        <v>3</v>
      </c>
      <c r="C2363" t="s">
        <v>1399</v>
      </c>
      <c r="D2363" s="39">
        <v>45991</v>
      </c>
      <c r="E2363" t="s">
        <v>486</v>
      </c>
      <c r="F2363" t="s">
        <v>79</v>
      </c>
      <c r="G2363">
        <v>8</v>
      </c>
      <c r="H2363">
        <v>5</v>
      </c>
      <c r="I2363" t="s">
        <v>79</v>
      </c>
      <c r="J2363">
        <v>1500</v>
      </c>
      <c r="K2363" t="s">
        <v>79</v>
      </c>
      <c r="L2363">
        <v>3</v>
      </c>
      <c r="M2363">
        <v>119.65</v>
      </c>
      <c r="N2363">
        <v>2.4000000000000004</v>
      </c>
      <c r="Q2363">
        <v>117.25</v>
      </c>
      <c r="R2363" t="s">
        <v>1400</v>
      </c>
      <c r="V2363">
        <v>0</v>
      </c>
      <c r="W2363">
        <v>0</v>
      </c>
      <c r="AF2363">
        <v>0</v>
      </c>
      <c r="AG2363">
        <v>0</v>
      </c>
      <c r="AH2363">
        <v>0</v>
      </c>
      <c r="AI2363">
        <v>12</v>
      </c>
      <c r="AJ2363">
        <v>12</v>
      </c>
      <c r="AM2363">
        <v>0</v>
      </c>
      <c r="AN2363">
        <v>124.65</v>
      </c>
      <c r="AP2363">
        <v>48</v>
      </c>
    </row>
    <row r="2364" spans="1:43" x14ac:dyDescent="0.25">
      <c r="A2364" t="s">
        <v>45</v>
      </c>
      <c r="B2364">
        <v>3</v>
      </c>
      <c r="C2364" t="s">
        <v>1431</v>
      </c>
      <c r="D2364" s="39">
        <v>45991</v>
      </c>
      <c r="E2364" t="s">
        <v>1377</v>
      </c>
      <c r="F2364" t="s">
        <v>79</v>
      </c>
      <c r="G2364">
        <v>8</v>
      </c>
      <c r="H2364" t="s">
        <v>1049</v>
      </c>
      <c r="I2364" t="s">
        <v>79</v>
      </c>
      <c r="J2364">
        <v>100</v>
      </c>
      <c r="K2364" t="s">
        <v>79</v>
      </c>
      <c r="L2364">
        <v>5</v>
      </c>
      <c r="M2364">
        <v>224.33</v>
      </c>
      <c r="N2364">
        <v>4</v>
      </c>
      <c r="Q2364">
        <v>220.33</v>
      </c>
      <c r="R2364" t="s">
        <v>1432</v>
      </c>
      <c r="V2364">
        <v>0</v>
      </c>
      <c r="W2364">
        <v>0</v>
      </c>
      <c r="AF2364">
        <v>0</v>
      </c>
      <c r="AG2364">
        <v>0</v>
      </c>
      <c r="AH2364">
        <v>0</v>
      </c>
      <c r="AI2364">
        <v>12</v>
      </c>
      <c r="AJ2364">
        <v>12</v>
      </c>
      <c r="AM2364">
        <v>0</v>
      </c>
      <c r="AN2364">
        <v>229.33</v>
      </c>
      <c r="AP2364">
        <v>48</v>
      </c>
    </row>
    <row r="2365" spans="1:43" x14ac:dyDescent="0.25">
      <c r="A2365" t="s">
        <v>46</v>
      </c>
      <c r="B2365">
        <v>3</v>
      </c>
      <c r="C2365" t="s">
        <v>1431</v>
      </c>
      <c r="D2365" s="39">
        <v>45991</v>
      </c>
      <c r="E2365" t="s">
        <v>1377</v>
      </c>
      <c r="F2365" t="s">
        <v>79</v>
      </c>
      <c r="G2365">
        <v>8</v>
      </c>
      <c r="H2365" t="s">
        <v>1049</v>
      </c>
      <c r="I2365" t="s">
        <v>79</v>
      </c>
      <c r="J2365">
        <v>100</v>
      </c>
      <c r="K2365" t="s">
        <v>79</v>
      </c>
      <c r="L2365">
        <v>4</v>
      </c>
      <c r="M2365">
        <v>131.93</v>
      </c>
      <c r="N2365">
        <v>4</v>
      </c>
      <c r="Q2365">
        <v>127.93</v>
      </c>
      <c r="R2365" t="s">
        <v>1432</v>
      </c>
      <c r="V2365">
        <v>0</v>
      </c>
      <c r="W2365">
        <v>0</v>
      </c>
      <c r="AF2365">
        <v>0</v>
      </c>
      <c r="AG2365">
        <v>0</v>
      </c>
      <c r="AH2365">
        <v>0</v>
      </c>
      <c r="AI2365">
        <v>12</v>
      </c>
      <c r="AJ2365">
        <v>12</v>
      </c>
      <c r="AM2365">
        <v>0</v>
      </c>
      <c r="AN2365">
        <v>136.93</v>
      </c>
      <c r="AP2365">
        <v>48</v>
      </c>
    </row>
    <row r="2366" spans="1:43" x14ac:dyDescent="0.25">
      <c r="A2366" t="s">
        <v>46</v>
      </c>
      <c r="B2366">
        <v>3</v>
      </c>
      <c r="C2366" t="s">
        <v>1433</v>
      </c>
      <c r="D2366" s="39">
        <v>45991</v>
      </c>
      <c r="E2366" t="s">
        <v>730</v>
      </c>
      <c r="F2366" t="s">
        <v>79</v>
      </c>
      <c r="G2366">
        <v>9</v>
      </c>
      <c r="H2366" t="s">
        <v>1049</v>
      </c>
      <c r="I2366" t="s">
        <v>79</v>
      </c>
      <c r="J2366">
        <v>50</v>
      </c>
      <c r="K2366" t="s">
        <v>79</v>
      </c>
      <c r="L2366">
        <v>4</v>
      </c>
      <c r="M2366">
        <v>169.23999999999998</v>
      </c>
      <c r="N2366">
        <v>3.6</v>
      </c>
      <c r="Q2366">
        <v>165.64</v>
      </c>
      <c r="R2366" t="s">
        <v>1434</v>
      </c>
      <c r="V2366">
        <v>0</v>
      </c>
      <c r="W2366">
        <v>0</v>
      </c>
      <c r="AF2366">
        <v>0</v>
      </c>
      <c r="AG2366">
        <v>0</v>
      </c>
      <c r="AH2366">
        <v>0</v>
      </c>
      <c r="AI2366">
        <v>12</v>
      </c>
      <c r="AJ2366">
        <v>12</v>
      </c>
      <c r="AM2366">
        <v>0</v>
      </c>
      <c r="AN2366">
        <v>174.23999999999998</v>
      </c>
      <c r="AP2366">
        <v>48</v>
      </c>
    </row>
    <row r="2367" spans="1:43" x14ac:dyDescent="0.25">
      <c r="A2367" t="s">
        <v>45</v>
      </c>
      <c r="B2367">
        <v>1</v>
      </c>
      <c r="C2367" t="s">
        <v>1420</v>
      </c>
      <c r="D2367" s="39">
        <v>45992</v>
      </c>
      <c r="E2367" t="s">
        <v>486</v>
      </c>
      <c r="F2367" t="s">
        <v>79</v>
      </c>
      <c r="G2367">
        <v>3</v>
      </c>
      <c r="H2367" t="s">
        <v>92</v>
      </c>
      <c r="I2367" t="s">
        <v>79</v>
      </c>
      <c r="J2367">
        <v>1000</v>
      </c>
      <c r="K2367" t="s">
        <v>79</v>
      </c>
      <c r="L2367">
        <v>8</v>
      </c>
      <c r="M2367">
        <v>118.99</v>
      </c>
      <c r="N2367">
        <v>2.4</v>
      </c>
      <c r="O2367">
        <v>22</v>
      </c>
      <c r="Q2367">
        <v>116.58999999999999</v>
      </c>
      <c r="R2367" t="s">
        <v>1453</v>
      </c>
      <c r="T2367">
        <v>120</v>
      </c>
      <c r="V2367">
        <v>120</v>
      </c>
      <c r="W2367">
        <v>2</v>
      </c>
      <c r="AF2367">
        <v>0</v>
      </c>
      <c r="AG2367">
        <v>0</v>
      </c>
      <c r="AH2367">
        <v>2</v>
      </c>
      <c r="AI2367">
        <v>10</v>
      </c>
      <c r="AJ2367">
        <v>12</v>
      </c>
      <c r="AM2367">
        <v>0</v>
      </c>
      <c r="AN2367">
        <v>140</v>
      </c>
      <c r="AP2367">
        <v>49</v>
      </c>
      <c r="AQ2367">
        <v>49</v>
      </c>
    </row>
    <row r="2368" spans="1:43" x14ac:dyDescent="0.25">
      <c r="A2368" t="s">
        <v>46</v>
      </c>
      <c r="B2368">
        <v>1</v>
      </c>
      <c r="C2368" t="s">
        <v>1420</v>
      </c>
      <c r="D2368" s="39">
        <v>45992</v>
      </c>
      <c r="E2368" t="s">
        <v>486</v>
      </c>
      <c r="F2368" t="s">
        <v>79</v>
      </c>
      <c r="G2368">
        <v>3</v>
      </c>
      <c r="H2368" t="s">
        <v>92</v>
      </c>
      <c r="I2368" t="s">
        <v>79</v>
      </c>
      <c r="J2368">
        <v>1000</v>
      </c>
      <c r="K2368" t="s">
        <v>79</v>
      </c>
      <c r="L2368">
        <v>9</v>
      </c>
      <c r="M2368">
        <v>142.27000000000001</v>
      </c>
      <c r="N2368">
        <v>2.6999999999999997</v>
      </c>
      <c r="O2368">
        <v>10</v>
      </c>
      <c r="Q2368">
        <v>139.57000000000002</v>
      </c>
      <c r="R2368" t="s">
        <v>1453</v>
      </c>
      <c r="V2368">
        <v>0</v>
      </c>
      <c r="W2368">
        <v>0</v>
      </c>
      <c r="AF2368">
        <v>0</v>
      </c>
      <c r="AG2368">
        <v>0</v>
      </c>
      <c r="AH2368">
        <v>0</v>
      </c>
      <c r="AI2368">
        <v>12</v>
      </c>
      <c r="AJ2368">
        <v>12</v>
      </c>
      <c r="AM2368">
        <v>0</v>
      </c>
      <c r="AN2368">
        <v>140</v>
      </c>
      <c r="AP2368">
        <v>49</v>
      </c>
      <c r="AQ2368">
        <v>49</v>
      </c>
    </row>
    <row r="2369" spans="1:43" x14ac:dyDescent="0.25">
      <c r="A2369" t="s">
        <v>45</v>
      </c>
      <c r="B2369">
        <v>2</v>
      </c>
      <c r="C2369" t="s">
        <v>1379</v>
      </c>
      <c r="D2369" s="39">
        <v>45992</v>
      </c>
      <c r="E2369" t="s">
        <v>486</v>
      </c>
      <c r="F2369" t="s">
        <v>79</v>
      </c>
      <c r="G2369">
        <v>6</v>
      </c>
      <c r="H2369">
        <v>5</v>
      </c>
      <c r="I2369" t="s">
        <v>79</v>
      </c>
      <c r="J2369">
        <v>1500</v>
      </c>
      <c r="K2369" t="s">
        <v>79</v>
      </c>
      <c r="L2369">
        <v>6</v>
      </c>
      <c r="M2369">
        <v>153.87</v>
      </c>
      <c r="N2369">
        <v>3.5999999999999996</v>
      </c>
      <c r="Q2369">
        <v>150.27000000000001</v>
      </c>
      <c r="R2369" t="s">
        <v>1437</v>
      </c>
      <c r="S2369">
        <v>20</v>
      </c>
      <c r="V2369">
        <v>20</v>
      </c>
      <c r="W2369">
        <v>0.33333333333333331</v>
      </c>
      <c r="AF2369">
        <v>0</v>
      </c>
      <c r="AG2369">
        <v>0</v>
      </c>
      <c r="AH2369">
        <v>0.33333333333333331</v>
      </c>
      <c r="AI2369">
        <v>11.666666666666666</v>
      </c>
      <c r="AJ2369">
        <v>12</v>
      </c>
      <c r="AM2369">
        <v>0</v>
      </c>
      <c r="AN2369">
        <v>200</v>
      </c>
      <c r="AP2369">
        <v>49</v>
      </c>
      <c r="AQ2369">
        <v>49</v>
      </c>
    </row>
    <row r="2370" spans="1:43" x14ac:dyDescent="0.25">
      <c r="A2370" t="s">
        <v>45</v>
      </c>
      <c r="B2370">
        <v>2</v>
      </c>
      <c r="C2370" t="s">
        <v>1439</v>
      </c>
      <c r="D2370" s="39">
        <v>45992</v>
      </c>
      <c r="E2370" t="s">
        <v>486</v>
      </c>
      <c r="F2370" t="s">
        <v>79</v>
      </c>
      <c r="G2370">
        <v>4</v>
      </c>
      <c r="H2370" t="s">
        <v>113</v>
      </c>
      <c r="I2370" t="s">
        <v>79</v>
      </c>
      <c r="J2370">
        <v>1000</v>
      </c>
      <c r="K2370" t="s">
        <v>79</v>
      </c>
      <c r="L2370">
        <v>3</v>
      </c>
      <c r="M2370">
        <v>47.09</v>
      </c>
      <c r="N2370">
        <v>1.2000000000000002</v>
      </c>
      <c r="Q2370">
        <v>45.89</v>
      </c>
      <c r="R2370" t="s">
        <v>1454</v>
      </c>
      <c r="V2370">
        <v>0</v>
      </c>
      <c r="W2370">
        <v>0</v>
      </c>
      <c r="AF2370">
        <v>0</v>
      </c>
      <c r="AG2370">
        <v>0</v>
      </c>
      <c r="AH2370">
        <v>0</v>
      </c>
      <c r="AI2370">
        <v>12</v>
      </c>
      <c r="AJ2370">
        <v>12</v>
      </c>
      <c r="AM2370">
        <v>0</v>
      </c>
      <c r="AP2370">
        <v>49</v>
      </c>
      <c r="AQ2370">
        <v>49</v>
      </c>
    </row>
    <row r="2371" spans="1:43" x14ac:dyDescent="0.25">
      <c r="A2371" t="s">
        <v>46</v>
      </c>
      <c r="B2371">
        <v>2</v>
      </c>
      <c r="C2371" t="s">
        <v>1198</v>
      </c>
      <c r="D2371" s="39">
        <v>45992</v>
      </c>
      <c r="E2371" t="s">
        <v>477</v>
      </c>
      <c r="F2371" t="s">
        <v>79</v>
      </c>
      <c r="G2371">
        <v>4</v>
      </c>
      <c r="H2371" t="s">
        <v>1049</v>
      </c>
      <c r="I2371" t="s">
        <v>79</v>
      </c>
      <c r="J2371">
        <v>100</v>
      </c>
      <c r="K2371" t="s">
        <v>79</v>
      </c>
      <c r="L2371">
        <v>6</v>
      </c>
      <c r="M2371">
        <v>111.89</v>
      </c>
      <c r="N2371">
        <v>2.4000000000000004</v>
      </c>
      <c r="Q2371">
        <v>109.49</v>
      </c>
      <c r="R2371" t="s">
        <v>1436</v>
      </c>
      <c r="V2371">
        <v>0</v>
      </c>
      <c r="W2371">
        <v>0</v>
      </c>
      <c r="AF2371">
        <v>0</v>
      </c>
      <c r="AG2371">
        <v>0</v>
      </c>
      <c r="AH2371">
        <v>0</v>
      </c>
      <c r="AI2371">
        <v>12</v>
      </c>
      <c r="AJ2371">
        <v>12</v>
      </c>
      <c r="AM2371">
        <v>0</v>
      </c>
      <c r="AN2371">
        <v>200</v>
      </c>
      <c r="AP2371">
        <v>49</v>
      </c>
      <c r="AQ2371">
        <v>49</v>
      </c>
    </row>
    <row r="2372" spans="1:43" x14ac:dyDescent="0.25">
      <c r="A2372" t="s">
        <v>46</v>
      </c>
      <c r="B2372">
        <v>2</v>
      </c>
      <c r="C2372" t="s">
        <v>1439</v>
      </c>
      <c r="D2372" s="39">
        <v>45992</v>
      </c>
      <c r="E2372" t="s">
        <v>486</v>
      </c>
      <c r="F2372" t="s">
        <v>79</v>
      </c>
      <c r="G2372">
        <v>4</v>
      </c>
      <c r="H2372" t="s">
        <v>113</v>
      </c>
      <c r="I2372" t="s">
        <v>79</v>
      </c>
      <c r="J2372">
        <v>1000</v>
      </c>
      <c r="K2372" t="s">
        <v>79</v>
      </c>
      <c r="L2372">
        <v>4</v>
      </c>
      <c r="M2372">
        <v>64.56</v>
      </c>
      <c r="N2372">
        <v>1.6</v>
      </c>
      <c r="Q2372">
        <v>62.96</v>
      </c>
      <c r="R2372" t="s">
        <v>1454</v>
      </c>
      <c r="V2372">
        <v>0</v>
      </c>
      <c r="W2372">
        <v>0</v>
      </c>
      <c r="AF2372">
        <v>0</v>
      </c>
      <c r="AG2372">
        <v>0</v>
      </c>
      <c r="AH2372">
        <v>0</v>
      </c>
      <c r="AI2372">
        <v>12</v>
      </c>
      <c r="AJ2372">
        <v>12</v>
      </c>
      <c r="AM2372">
        <v>0</v>
      </c>
      <c r="AP2372">
        <v>49</v>
      </c>
      <c r="AQ2372">
        <v>49</v>
      </c>
    </row>
    <row r="2373" spans="1:43" x14ac:dyDescent="0.25">
      <c r="A2373" t="s">
        <v>45</v>
      </c>
      <c r="B2373">
        <v>3</v>
      </c>
      <c r="C2373" t="s">
        <v>1440</v>
      </c>
      <c r="D2373" s="39">
        <v>45992</v>
      </c>
      <c r="E2373" t="s">
        <v>484</v>
      </c>
      <c r="F2373" t="s">
        <v>79</v>
      </c>
      <c r="G2373">
        <v>9</v>
      </c>
      <c r="H2373" t="s">
        <v>102</v>
      </c>
      <c r="I2373" t="s">
        <v>79</v>
      </c>
      <c r="J2373">
        <v>100</v>
      </c>
      <c r="K2373" t="s">
        <v>79</v>
      </c>
      <c r="L2373">
        <v>2</v>
      </c>
      <c r="M2373">
        <v>71.739999999999995</v>
      </c>
      <c r="N2373">
        <v>2.1</v>
      </c>
      <c r="Q2373">
        <v>69.64</v>
      </c>
      <c r="R2373" t="s">
        <v>1441</v>
      </c>
      <c r="V2373">
        <v>0</v>
      </c>
      <c r="W2373">
        <v>0</v>
      </c>
      <c r="AF2373">
        <v>0</v>
      </c>
      <c r="AG2373">
        <v>0</v>
      </c>
      <c r="AH2373">
        <v>0</v>
      </c>
      <c r="AI2373">
        <v>12</v>
      </c>
      <c r="AJ2373">
        <v>12</v>
      </c>
      <c r="AM2373">
        <v>0</v>
      </c>
      <c r="AN2373">
        <v>300</v>
      </c>
      <c r="AP2373">
        <v>49</v>
      </c>
      <c r="AQ2373">
        <v>49</v>
      </c>
    </row>
    <row r="2374" spans="1:43" x14ac:dyDescent="0.25">
      <c r="A2374" t="s">
        <v>45</v>
      </c>
      <c r="B2374">
        <v>3</v>
      </c>
      <c r="C2374" t="s">
        <v>1442</v>
      </c>
      <c r="D2374" s="39">
        <v>45992</v>
      </c>
      <c r="E2374" t="s">
        <v>486</v>
      </c>
      <c r="F2374" t="s">
        <v>79</v>
      </c>
      <c r="G2374">
        <v>7</v>
      </c>
      <c r="H2374">
        <v>5</v>
      </c>
      <c r="I2374" t="s">
        <v>79</v>
      </c>
      <c r="J2374">
        <v>1000</v>
      </c>
      <c r="K2374" t="s">
        <v>79</v>
      </c>
      <c r="L2374">
        <v>6</v>
      </c>
      <c r="M2374">
        <v>222.44</v>
      </c>
      <c r="N2374">
        <v>5.4</v>
      </c>
      <c r="Q2374">
        <v>217.04</v>
      </c>
      <c r="R2374" t="s">
        <v>1455</v>
      </c>
      <c r="V2374">
        <v>0</v>
      </c>
      <c r="W2374">
        <v>0</v>
      </c>
      <c r="AF2374">
        <v>0</v>
      </c>
      <c r="AG2374">
        <v>0</v>
      </c>
      <c r="AH2374">
        <v>0</v>
      </c>
      <c r="AI2374">
        <v>12</v>
      </c>
      <c r="AJ2374">
        <v>12</v>
      </c>
      <c r="AM2374">
        <v>0</v>
      </c>
      <c r="AP2374">
        <v>49</v>
      </c>
      <c r="AQ2374">
        <v>49</v>
      </c>
    </row>
    <row r="2375" spans="1:43" x14ac:dyDescent="0.25">
      <c r="A2375" t="s">
        <v>46</v>
      </c>
      <c r="B2375">
        <v>3</v>
      </c>
      <c r="C2375" t="s">
        <v>1442</v>
      </c>
      <c r="D2375" s="39">
        <v>45992</v>
      </c>
      <c r="E2375" t="s">
        <v>486</v>
      </c>
      <c r="F2375" t="s">
        <v>79</v>
      </c>
      <c r="G2375">
        <v>7</v>
      </c>
      <c r="H2375">
        <v>5</v>
      </c>
      <c r="I2375" t="s">
        <v>79</v>
      </c>
      <c r="J2375">
        <v>1000</v>
      </c>
      <c r="K2375" t="s">
        <v>79</v>
      </c>
      <c r="L2375">
        <v>8</v>
      </c>
      <c r="M2375">
        <v>293.56</v>
      </c>
      <c r="N2375">
        <v>5.6</v>
      </c>
      <c r="Q2375">
        <v>287.95999999999998</v>
      </c>
      <c r="R2375" t="s">
        <v>1455</v>
      </c>
      <c r="V2375">
        <v>0</v>
      </c>
      <c r="W2375">
        <v>0</v>
      </c>
      <c r="AF2375">
        <v>0</v>
      </c>
      <c r="AG2375">
        <v>0</v>
      </c>
      <c r="AH2375">
        <v>0</v>
      </c>
      <c r="AI2375">
        <v>12</v>
      </c>
      <c r="AJ2375">
        <v>12</v>
      </c>
      <c r="AM2375">
        <v>0</v>
      </c>
      <c r="AN2375">
        <v>300</v>
      </c>
      <c r="AP2375">
        <v>49</v>
      </c>
      <c r="AQ2375">
        <v>49</v>
      </c>
    </row>
    <row r="2376" spans="1:43" x14ac:dyDescent="0.25">
      <c r="A2376" t="s">
        <v>45</v>
      </c>
      <c r="B2376">
        <v>4</v>
      </c>
      <c r="C2376" t="s">
        <v>1443</v>
      </c>
      <c r="D2376" s="39">
        <v>45992</v>
      </c>
      <c r="E2376" t="s">
        <v>340</v>
      </c>
      <c r="F2376" t="s">
        <v>79</v>
      </c>
      <c r="G2376">
        <v>16</v>
      </c>
      <c r="H2376" t="s">
        <v>1444</v>
      </c>
      <c r="I2376" t="s">
        <v>79</v>
      </c>
      <c r="J2376">
        <v>50</v>
      </c>
      <c r="K2376" t="s">
        <v>79</v>
      </c>
      <c r="L2376">
        <v>3</v>
      </c>
      <c r="M2376">
        <v>110.35000000000001</v>
      </c>
      <c r="N2376">
        <v>23.1</v>
      </c>
      <c r="Q2376">
        <v>87.25</v>
      </c>
      <c r="R2376" t="s">
        <v>1456</v>
      </c>
      <c r="V2376">
        <v>0</v>
      </c>
      <c r="W2376">
        <v>0</v>
      </c>
      <c r="AF2376">
        <v>0</v>
      </c>
      <c r="AG2376">
        <v>0</v>
      </c>
      <c r="AH2376">
        <v>0</v>
      </c>
      <c r="AI2376">
        <v>12</v>
      </c>
      <c r="AJ2376">
        <v>12</v>
      </c>
      <c r="AM2376">
        <v>0</v>
      </c>
      <c r="AN2376">
        <v>750</v>
      </c>
      <c r="AP2376">
        <v>49</v>
      </c>
      <c r="AQ2376">
        <v>49</v>
      </c>
    </row>
    <row r="2377" spans="1:43" x14ac:dyDescent="0.25">
      <c r="A2377" t="s">
        <v>45</v>
      </c>
      <c r="B2377">
        <v>4</v>
      </c>
      <c r="C2377" t="s">
        <v>1415</v>
      </c>
      <c r="D2377" s="39">
        <v>45992</v>
      </c>
      <c r="E2377" t="s">
        <v>629</v>
      </c>
      <c r="F2377" t="s">
        <v>79</v>
      </c>
      <c r="G2377">
        <v>16</v>
      </c>
      <c r="H2377" t="s">
        <v>92</v>
      </c>
      <c r="I2377" t="s">
        <v>79</v>
      </c>
      <c r="J2377">
        <v>5000</v>
      </c>
      <c r="K2377" t="s">
        <v>79</v>
      </c>
      <c r="L2377">
        <v>9</v>
      </c>
      <c r="M2377">
        <v>453.2</v>
      </c>
      <c r="N2377">
        <v>17.099999999999998</v>
      </c>
      <c r="Q2377">
        <v>436.09999999999997</v>
      </c>
      <c r="R2377" t="s">
        <v>1452</v>
      </c>
      <c r="V2377">
        <v>0</v>
      </c>
      <c r="W2377">
        <v>0</v>
      </c>
      <c r="AF2377">
        <v>0</v>
      </c>
      <c r="AG2377">
        <v>0</v>
      </c>
      <c r="AH2377">
        <v>0</v>
      </c>
      <c r="AI2377">
        <v>12</v>
      </c>
      <c r="AJ2377">
        <v>12</v>
      </c>
      <c r="AM2377">
        <v>0</v>
      </c>
      <c r="AP2377">
        <v>49</v>
      </c>
      <c r="AQ2377">
        <v>49</v>
      </c>
    </row>
    <row r="2378" spans="1:43" x14ac:dyDescent="0.25">
      <c r="A2378" t="s">
        <v>45</v>
      </c>
      <c r="B2378">
        <v>4</v>
      </c>
      <c r="C2378" t="s">
        <v>1445</v>
      </c>
      <c r="D2378" s="39">
        <v>45992</v>
      </c>
      <c r="E2378" t="s">
        <v>1446</v>
      </c>
      <c r="F2378" t="s">
        <v>79</v>
      </c>
      <c r="G2378">
        <v>16</v>
      </c>
      <c r="H2378" t="s">
        <v>98</v>
      </c>
      <c r="I2378" t="s">
        <v>79</v>
      </c>
      <c r="J2378">
        <v>200</v>
      </c>
      <c r="K2378" t="s">
        <v>79</v>
      </c>
      <c r="L2378">
        <v>4</v>
      </c>
      <c r="M2378">
        <v>214.18</v>
      </c>
      <c r="N2378">
        <v>8</v>
      </c>
      <c r="Q2378">
        <v>206.18</v>
      </c>
      <c r="R2378" t="s">
        <v>1447</v>
      </c>
      <c r="V2378">
        <v>0</v>
      </c>
      <c r="W2378">
        <v>0</v>
      </c>
      <c r="AF2378">
        <v>0</v>
      </c>
      <c r="AG2378">
        <v>0</v>
      </c>
      <c r="AH2378">
        <v>0</v>
      </c>
      <c r="AI2378">
        <v>12</v>
      </c>
      <c r="AJ2378">
        <v>12</v>
      </c>
      <c r="AM2378">
        <v>0</v>
      </c>
      <c r="AP2378">
        <v>49</v>
      </c>
      <c r="AQ2378">
        <v>49</v>
      </c>
    </row>
    <row r="2379" spans="1:43" x14ac:dyDescent="0.25">
      <c r="A2379" t="s">
        <v>46</v>
      </c>
      <c r="B2379">
        <v>4</v>
      </c>
      <c r="C2379" t="s">
        <v>1415</v>
      </c>
      <c r="D2379" s="39">
        <v>45992</v>
      </c>
      <c r="E2379" t="s">
        <v>629</v>
      </c>
      <c r="F2379" t="s">
        <v>79</v>
      </c>
      <c r="G2379">
        <v>16</v>
      </c>
      <c r="H2379" t="s">
        <v>92</v>
      </c>
      <c r="I2379" t="s">
        <v>79</v>
      </c>
      <c r="J2379">
        <v>5000</v>
      </c>
      <c r="K2379" t="s">
        <v>79</v>
      </c>
      <c r="L2379">
        <v>17</v>
      </c>
      <c r="M2379">
        <v>793.43999999999994</v>
      </c>
      <c r="N2379">
        <v>27.200000000000003</v>
      </c>
      <c r="Q2379">
        <v>766.2399999999999</v>
      </c>
      <c r="R2379" t="s">
        <v>1452</v>
      </c>
      <c r="V2379">
        <v>0</v>
      </c>
      <c r="W2379">
        <v>0</v>
      </c>
      <c r="AF2379">
        <v>0</v>
      </c>
      <c r="AG2379">
        <v>0</v>
      </c>
      <c r="AH2379">
        <v>0</v>
      </c>
      <c r="AI2379">
        <v>12</v>
      </c>
      <c r="AJ2379">
        <v>12</v>
      </c>
      <c r="AM2379">
        <v>0</v>
      </c>
      <c r="AP2379">
        <v>49</v>
      </c>
      <c r="AQ2379">
        <v>49</v>
      </c>
    </row>
    <row r="2380" spans="1:43" x14ac:dyDescent="0.25">
      <c r="A2380" t="s">
        <v>45</v>
      </c>
      <c r="B2380">
        <v>5</v>
      </c>
      <c r="C2380" t="s">
        <v>1448</v>
      </c>
      <c r="D2380" s="39">
        <v>45992</v>
      </c>
      <c r="E2380" t="s">
        <v>985</v>
      </c>
      <c r="F2380" t="s">
        <v>79</v>
      </c>
      <c r="G2380">
        <v>12</v>
      </c>
      <c r="H2380" t="s">
        <v>92</v>
      </c>
      <c r="I2380" t="s">
        <v>79</v>
      </c>
      <c r="J2380">
        <v>100</v>
      </c>
      <c r="K2380" t="s">
        <v>79</v>
      </c>
      <c r="L2380">
        <v>2</v>
      </c>
      <c r="M2380">
        <v>108.75</v>
      </c>
      <c r="N2380">
        <v>2.9</v>
      </c>
      <c r="Q2380">
        <v>105.85</v>
      </c>
      <c r="R2380" t="s">
        <v>1449</v>
      </c>
      <c r="V2380">
        <v>0</v>
      </c>
      <c r="W2380">
        <v>0</v>
      </c>
      <c r="AF2380">
        <v>0</v>
      </c>
      <c r="AG2380">
        <v>0</v>
      </c>
      <c r="AH2380">
        <v>0</v>
      </c>
      <c r="AI2380">
        <v>12</v>
      </c>
      <c r="AJ2380">
        <v>12</v>
      </c>
      <c r="AM2380">
        <v>0</v>
      </c>
      <c r="AN2380">
        <v>750</v>
      </c>
      <c r="AP2380">
        <v>49</v>
      </c>
      <c r="AQ2380">
        <v>49</v>
      </c>
    </row>
    <row r="2381" spans="1:43" x14ac:dyDescent="0.25">
      <c r="A2381" t="s">
        <v>45</v>
      </c>
      <c r="B2381">
        <v>5</v>
      </c>
      <c r="C2381" t="s">
        <v>1385</v>
      </c>
      <c r="D2381" s="39">
        <v>45992</v>
      </c>
      <c r="E2381" t="s">
        <v>730</v>
      </c>
      <c r="F2381" t="s">
        <v>79</v>
      </c>
      <c r="G2381">
        <v>12</v>
      </c>
      <c r="H2381" t="s">
        <v>1049</v>
      </c>
      <c r="I2381" t="s">
        <v>79</v>
      </c>
      <c r="J2381">
        <v>250</v>
      </c>
      <c r="K2381" t="s">
        <v>79</v>
      </c>
      <c r="L2381">
        <v>8</v>
      </c>
      <c r="M2381">
        <v>459.55</v>
      </c>
      <c r="N2381">
        <v>11.2</v>
      </c>
      <c r="Q2381">
        <v>448.35</v>
      </c>
      <c r="R2381" t="s">
        <v>1438</v>
      </c>
      <c r="V2381">
        <v>0</v>
      </c>
      <c r="W2381">
        <v>0</v>
      </c>
      <c r="AF2381">
        <v>0</v>
      </c>
      <c r="AG2381">
        <v>0</v>
      </c>
      <c r="AH2381">
        <v>0</v>
      </c>
      <c r="AI2381">
        <v>12</v>
      </c>
      <c r="AJ2381">
        <v>12</v>
      </c>
      <c r="AM2381">
        <v>0</v>
      </c>
      <c r="AN2381">
        <v>550</v>
      </c>
      <c r="AP2381">
        <v>49</v>
      </c>
      <c r="AQ2381">
        <v>49</v>
      </c>
    </row>
    <row r="2382" spans="1:43" x14ac:dyDescent="0.25">
      <c r="A2382" t="s">
        <v>46</v>
      </c>
      <c r="B2382">
        <v>5</v>
      </c>
      <c r="C2382" t="s">
        <v>392</v>
      </c>
      <c r="D2382" s="39">
        <v>45992</v>
      </c>
      <c r="E2382" t="s">
        <v>486</v>
      </c>
      <c r="F2382" t="s">
        <v>79</v>
      </c>
      <c r="G2382">
        <v>12</v>
      </c>
      <c r="H2382">
        <v>5</v>
      </c>
      <c r="I2382" t="s">
        <v>79</v>
      </c>
      <c r="J2382">
        <v>3000</v>
      </c>
      <c r="K2382" t="s">
        <v>79</v>
      </c>
      <c r="L2382">
        <v>9</v>
      </c>
      <c r="M2382">
        <v>581.97</v>
      </c>
      <c r="N2382">
        <v>10.799999999999999</v>
      </c>
      <c r="Q2382">
        <v>571.17000000000007</v>
      </c>
      <c r="R2382" t="s">
        <v>1457</v>
      </c>
      <c r="V2382">
        <v>0</v>
      </c>
      <c r="W2382">
        <v>0</v>
      </c>
      <c r="AF2382">
        <v>0</v>
      </c>
      <c r="AG2382">
        <v>0</v>
      </c>
      <c r="AH2382">
        <v>0</v>
      </c>
      <c r="AI2382">
        <v>12</v>
      </c>
      <c r="AJ2382">
        <v>12</v>
      </c>
      <c r="AM2382">
        <v>0</v>
      </c>
      <c r="AN2382">
        <v>550</v>
      </c>
      <c r="AP2382">
        <v>49</v>
      </c>
      <c r="AQ2382">
        <v>49</v>
      </c>
    </row>
    <row r="2383" spans="1:43" x14ac:dyDescent="0.25">
      <c r="A2383" t="s">
        <v>45</v>
      </c>
      <c r="B2383">
        <v>1</v>
      </c>
      <c r="C2383" t="s">
        <v>1420</v>
      </c>
      <c r="D2383" s="39">
        <v>45993</v>
      </c>
      <c r="E2383" t="s">
        <v>486</v>
      </c>
      <c r="F2383" t="s">
        <v>79</v>
      </c>
      <c r="G2383">
        <v>3</v>
      </c>
      <c r="H2383" t="s">
        <v>92</v>
      </c>
      <c r="I2383" t="s">
        <v>79</v>
      </c>
      <c r="J2383">
        <v>1000</v>
      </c>
      <c r="K2383" t="s">
        <v>79</v>
      </c>
      <c r="L2383">
        <v>9</v>
      </c>
      <c r="M2383">
        <v>143.44</v>
      </c>
      <c r="N2383">
        <v>2.6999999999999997</v>
      </c>
      <c r="Q2383">
        <v>140.74</v>
      </c>
      <c r="R2383" t="s">
        <v>1453</v>
      </c>
      <c r="V2383">
        <v>0</v>
      </c>
      <c r="W2383">
        <v>0</v>
      </c>
      <c r="AF2383">
        <v>0</v>
      </c>
      <c r="AG2383">
        <v>0</v>
      </c>
      <c r="AH2383">
        <v>0</v>
      </c>
      <c r="AI2383">
        <v>12</v>
      </c>
      <c r="AJ2383">
        <v>12</v>
      </c>
      <c r="AM2383">
        <v>0</v>
      </c>
      <c r="AN2383">
        <v>148.44</v>
      </c>
      <c r="AP2383">
        <v>49</v>
      </c>
      <c r="AQ2383">
        <v>49</v>
      </c>
    </row>
    <row r="2384" spans="1:43" x14ac:dyDescent="0.25">
      <c r="A2384" t="s">
        <v>46</v>
      </c>
      <c r="B2384">
        <v>1</v>
      </c>
      <c r="C2384" t="s">
        <v>1420</v>
      </c>
      <c r="D2384" s="39">
        <v>45993</v>
      </c>
      <c r="E2384" t="s">
        <v>486</v>
      </c>
      <c r="F2384" t="s">
        <v>79</v>
      </c>
      <c r="G2384">
        <v>3</v>
      </c>
      <c r="H2384" t="s">
        <v>92</v>
      </c>
      <c r="I2384" t="s">
        <v>79</v>
      </c>
      <c r="J2384">
        <v>1000</v>
      </c>
      <c r="K2384" t="s">
        <v>79</v>
      </c>
      <c r="L2384">
        <v>9</v>
      </c>
      <c r="M2384">
        <v>141.53</v>
      </c>
      <c r="N2384">
        <v>2.6999999999999997</v>
      </c>
      <c r="Q2384">
        <v>138.83000000000001</v>
      </c>
      <c r="R2384" t="s">
        <v>1453</v>
      </c>
      <c r="V2384">
        <v>0</v>
      </c>
      <c r="W2384">
        <v>0</v>
      </c>
      <c r="AF2384">
        <v>0</v>
      </c>
      <c r="AG2384">
        <v>0</v>
      </c>
      <c r="AH2384">
        <v>0</v>
      </c>
      <c r="AI2384">
        <v>12</v>
      </c>
      <c r="AJ2384">
        <v>12</v>
      </c>
      <c r="AM2384">
        <v>0</v>
      </c>
      <c r="AN2384">
        <v>146.53</v>
      </c>
      <c r="AP2384">
        <v>49</v>
      </c>
      <c r="AQ2384">
        <v>49</v>
      </c>
    </row>
    <row r="2385" spans="1:43" x14ac:dyDescent="0.25">
      <c r="A2385" t="s">
        <v>45</v>
      </c>
      <c r="B2385">
        <v>2</v>
      </c>
      <c r="C2385" t="s">
        <v>1439</v>
      </c>
      <c r="D2385" s="39">
        <v>45993</v>
      </c>
      <c r="E2385" t="s">
        <v>486</v>
      </c>
      <c r="F2385" t="s">
        <v>79</v>
      </c>
      <c r="G2385">
        <v>4</v>
      </c>
      <c r="H2385" t="s">
        <v>113</v>
      </c>
      <c r="I2385" t="s">
        <v>79</v>
      </c>
      <c r="J2385">
        <v>1000</v>
      </c>
      <c r="K2385" t="s">
        <v>79</v>
      </c>
      <c r="L2385">
        <v>10</v>
      </c>
      <c r="M2385">
        <v>178.48999999999998</v>
      </c>
      <c r="N2385">
        <v>4</v>
      </c>
      <c r="Q2385">
        <v>174.48999999999998</v>
      </c>
      <c r="R2385" t="s">
        <v>1454</v>
      </c>
      <c r="V2385">
        <v>0</v>
      </c>
      <c r="W2385">
        <v>0</v>
      </c>
      <c r="AD2385">
        <v>30</v>
      </c>
      <c r="AF2385">
        <v>30</v>
      </c>
      <c r="AG2385">
        <v>0.5</v>
      </c>
      <c r="AH2385">
        <v>0.5</v>
      </c>
      <c r="AI2385">
        <v>11.5</v>
      </c>
      <c r="AJ2385">
        <v>12</v>
      </c>
      <c r="AM2385">
        <v>0</v>
      </c>
      <c r="AN2385">
        <v>183.49</v>
      </c>
      <c r="AP2385">
        <v>49</v>
      </c>
      <c r="AQ2385">
        <v>49</v>
      </c>
    </row>
    <row r="2386" spans="1:43" x14ac:dyDescent="0.25">
      <c r="A2386" t="s">
        <v>46</v>
      </c>
      <c r="B2386">
        <v>2</v>
      </c>
      <c r="C2386" t="s">
        <v>1439</v>
      </c>
      <c r="D2386" s="39">
        <v>45993</v>
      </c>
      <c r="E2386" t="s">
        <v>486</v>
      </c>
      <c r="F2386" t="s">
        <v>79</v>
      </c>
      <c r="G2386">
        <v>4</v>
      </c>
      <c r="H2386" t="s">
        <v>113</v>
      </c>
      <c r="I2386" t="s">
        <v>79</v>
      </c>
      <c r="J2386">
        <v>1000</v>
      </c>
      <c r="K2386" t="s">
        <v>79</v>
      </c>
      <c r="L2386">
        <v>9</v>
      </c>
      <c r="M2386">
        <v>167.95</v>
      </c>
      <c r="N2386">
        <v>3.6</v>
      </c>
      <c r="Q2386">
        <v>164.35</v>
      </c>
      <c r="R2386" t="s">
        <v>1454</v>
      </c>
      <c r="V2386">
        <v>0</v>
      </c>
      <c r="W2386">
        <v>0</v>
      </c>
      <c r="Z2386">
        <v>120</v>
      </c>
      <c r="AF2386">
        <v>120</v>
      </c>
      <c r="AG2386">
        <v>2</v>
      </c>
      <c r="AH2386">
        <v>2</v>
      </c>
      <c r="AI2386">
        <v>10</v>
      </c>
      <c r="AJ2386">
        <v>12</v>
      </c>
      <c r="AM2386">
        <v>0</v>
      </c>
      <c r="AN2386">
        <v>172.95</v>
      </c>
      <c r="AP2386">
        <v>49</v>
      </c>
      <c r="AQ2386">
        <v>49</v>
      </c>
    </row>
    <row r="2387" spans="1:43" x14ac:dyDescent="0.25">
      <c r="A2387" t="s">
        <v>45</v>
      </c>
      <c r="B2387">
        <v>3</v>
      </c>
      <c r="C2387" t="s">
        <v>1442</v>
      </c>
      <c r="D2387" s="39">
        <v>45993</v>
      </c>
      <c r="E2387" t="s">
        <v>486</v>
      </c>
      <c r="F2387" t="s">
        <v>79</v>
      </c>
      <c r="G2387">
        <v>7</v>
      </c>
      <c r="H2387">
        <v>5</v>
      </c>
      <c r="I2387" t="s">
        <v>79</v>
      </c>
      <c r="J2387">
        <v>1000</v>
      </c>
      <c r="K2387" t="s">
        <v>79</v>
      </c>
      <c r="L2387">
        <v>7</v>
      </c>
      <c r="M2387">
        <v>257.76000000000005</v>
      </c>
      <c r="N2387">
        <v>4.8999999999999995</v>
      </c>
      <c r="Q2387">
        <v>252.86000000000004</v>
      </c>
      <c r="R2387" t="s">
        <v>1455</v>
      </c>
      <c r="V2387">
        <v>0</v>
      </c>
      <c r="W2387">
        <v>0</v>
      </c>
      <c r="AF2387">
        <v>0</v>
      </c>
      <c r="AG2387">
        <v>0</v>
      </c>
      <c r="AH2387">
        <v>0</v>
      </c>
      <c r="AI2387">
        <v>12</v>
      </c>
      <c r="AJ2387">
        <v>12</v>
      </c>
      <c r="AM2387">
        <v>0</v>
      </c>
      <c r="AN2387">
        <v>262.76000000000005</v>
      </c>
      <c r="AP2387">
        <v>49</v>
      </c>
      <c r="AQ2387">
        <v>49</v>
      </c>
    </row>
    <row r="2388" spans="1:43" x14ac:dyDescent="0.25">
      <c r="A2388" t="s">
        <v>46</v>
      </c>
      <c r="B2388">
        <v>3</v>
      </c>
      <c r="C2388" t="s">
        <v>1442</v>
      </c>
      <c r="D2388" s="39">
        <v>45993</v>
      </c>
      <c r="E2388" t="s">
        <v>486</v>
      </c>
      <c r="F2388" t="s">
        <v>79</v>
      </c>
      <c r="G2388">
        <v>7</v>
      </c>
      <c r="H2388">
        <v>5</v>
      </c>
      <c r="I2388" t="s">
        <v>79</v>
      </c>
      <c r="J2388">
        <v>1000</v>
      </c>
      <c r="K2388" t="s">
        <v>79</v>
      </c>
      <c r="L2388">
        <v>8</v>
      </c>
      <c r="M2388">
        <v>277.83</v>
      </c>
      <c r="N2388">
        <v>5.6</v>
      </c>
      <c r="Q2388">
        <v>272.22999999999996</v>
      </c>
      <c r="R2388" t="s">
        <v>1455</v>
      </c>
      <c r="V2388">
        <v>0</v>
      </c>
      <c r="W2388">
        <v>0</v>
      </c>
      <c r="AF2388">
        <v>0</v>
      </c>
      <c r="AG2388">
        <v>0</v>
      </c>
      <c r="AH2388">
        <v>0</v>
      </c>
      <c r="AI2388">
        <v>12</v>
      </c>
      <c r="AJ2388">
        <v>12</v>
      </c>
      <c r="AM2388">
        <v>0</v>
      </c>
      <c r="AN2388">
        <v>282.83</v>
      </c>
      <c r="AP2388">
        <v>49</v>
      </c>
      <c r="AQ2388">
        <v>49</v>
      </c>
    </row>
    <row r="2389" spans="1:43" x14ac:dyDescent="0.25">
      <c r="A2389" t="s">
        <v>45</v>
      </c>
      <c r="B2389">
        <v>4</v>
      </c>
      <c r="C2389" t="s">
        <v>1415</v>
      </c>
      <c r="D2389" s="39">
        <v>45993</v>
      </c>
      <c r="E2389" t="s">
        <v>629</v>
      </c>
      <c r="F2389" t="s">
        <v>79</v>
      </c>
      <c r="G2389">
        <v>16</v>
      </c>
      <c r="H2389" t="s">
        <v>92</v>
      </c>
      <c r="I2389" t="s">
        <v>79</v>
      </c>
      <c r="J2389">
        <v>5000</v>
      </c>
      <c r="K2389" t="s">
        <v>79</v>
      </c>
      <c r="L2389">
        <v>9</v>
      </c>
      <c r="M2389">
        <v>418.54999999999995</v>
      </c>
      <c r="N2389">
        <v>15.44</v>
      </c>
      <c r="Q2389">
        <v>403.10999999999996</v>
      </c>
      <c r="R2389" t="s">
        <v>1452</v>
      </c>
      <c r="V2389">
        <v>0</v>
      </c>
      <c r="W2389">
        <v>0</v>
      </c>
      <c r="AF2389">
        <v>0</v>
      </c>
      <c r="AG2389">
        <v>0</v>
      </c>
      <c r="AH2389">
        <v>0</v>
      </c>
      <c r="AI2389">
        <v>12</v>
      </c>
      <c r="AJ2389">
        <v>12</v>
      </c>
      <c r="AM2389">
        <v>0</v>
      </c>
      <c r="AN2389">
        <v>423.5499999999999</v>
      </c>
      <c r="AP2389">
        <v>49</v>
      </c>
      <c r="AQ2389">
        <v>49</v>
      </c>
    </row>
    <row r="2390" spans="1:43" x14ac:dyDescent="0.25">
      <c r="A2390" t="s">
        <v>45</v>
      </c>
      <c r="B2390">
        <v>4</v>
      </c>
      <c r="C2390" t="s">
        <v>950</v>
      </c>
      <c r="D2390" s="39">
        <v>45993</v>
      </c>
      <c r="E2390" t="s">
        <v>486</v>
      </c>
      <c r="F2390" t="s">
        <v>79</v>
      </c>
      <c r="G2390">
        <v>16</v>
      </c>
      <c r="H2390">
        <v>5</v>
      </c>
      <c r="I2390" t="s">
        <v>79</v>
      </c>
      <c r="J2390">
        <v>1000</v>
      </c>
      <c r="K2390" t="s">
        <v>79</v>
      </c>
      <c r="L2390">
        <v>3</v>
      </c>
      <c r="M2390">
        <v>148.74</v>
      </c>
      <c r="N2390">
        <v>5.9</v>
      </c>
      <c r="Q2390">
        <v>142.84</v>
      </c>
      <c r="R2390" t="s">
        <v>1515</v>
      </c>
      <c r="V2390">
        <v>0</v>
      </c>
      <c r="W2390">
        <v>0</v>
      </c>
      <c r="AF2390">
        <v>0</v>
      </c>
      <c r="AG2390">
        <v>0</v>
      </c>
      <c r="AH2390">
        <v>0</v>
      </c>
      <c r="AI2390">
        <v>12</v>
      </c>
      <c r="AJ2390">
        <v>12</v>
      </c>
      <c r="AM2390">
        <v>0</v>
      </c>
      <c r="AN2390">
        <v>153.74</v>
      </c>
      <c r="AP2390">
        <v>49</v>
      </c>
      <c r="AQ2390">
        <v>49</v>
      </c>
    </row>
    <row r="2391" spans="1:43" x14ac:dyDescent="0.25">
      <c r="A2391" t="s">
        <v>45</v>
      </c>
      <c r="B2391">
        <v>4</v>
      </c>
      <c r="C2391" t="s">
        <v>1458</v>
      </c>
      <c r="D2391" s="39">
        <v>45993</v>
      </c>
      <c r="E2391" t="s">
        <v>253</v>
      </c>
      <c r="F2391" t="s">
        <v>79</v>
      </c>
      <c r="G2391">
        <v>15</v>
      </c>
      <c r="H2391" t="s">
        <v>116</v>
      </c>
      <c r="I2391" t="s">
        <v>79</v>
      </c>
      <c r="J2391">
        <v>250</v>
      </c>
      <c r="K2391" t="s">
        <v>79</v>
      </c>
      <c r="L2391">
        <v>3</v>
      </c>
      <c r="M2391">
        <v>157.54000000000002</v>
      </c>
      <c r="N2391">
        <v>5.4</v>
      </c>
      <c r="Q2391">
        <v>152.14000000000001</v>
      </c>
      <c r="R2391" t="s">
        <v>1459</v>
      </c>
      <c r="S2391">
        <v>15</v>
      </c>
      <c r="V2391">
        <v>15</v>
      </c>
      <c r="W2391">
        <v>0.25</v>
      </c>
      <c r="AF2391">
        <v>0</v>
      </c>
      <c r="AG2391">
        <v>0</v>
      </c>
      <c r="AH2391">
        <v>0.25</v>
      </c>
      <c r="AI2391">
        <v>11.75</v>
      </c>
      <c r="AJ2391">
        <v>12</v>
      </c>
      <c r="AM2391">
        <v>0</v>
      </c>
      <c r="AN2391">
        <v>162.54000000000002</v>
      </c>
      <c r="AP2391">
        <v>49</v>
      </c>
      <c r="AQ2391">
        <v>49</v>
      </c>
    </row>
    <row r="2392" spans="1:43" x14ac:dyDescent="0.25">
      <c r="A2392" t="s">
        <v>45</v>
      </c>
      <c r="B2392">
        <v>4</v>
      </c>
      <c r="C2392" t="s">
        <v>1443</v>
      </c>
      <c r="D2392" s="39">
        <v>45993</v>
      </c>
      <c r="E2392" t="s">
        <v>340</v>
      </c>
      <c r="F2392" t="s">
        <v>79</v>
      </c>
      <c r="G2392">
        <v>16</v>
      </c>
      <c r="H2392" t="s">
        <v>1444</v>
      </c>
      <c r="I2392" t="s">
        <v>79</v>
      </c>
      <c r="J2392">
        <v>50</v>
      </c>
      <c r="K2392" t="s">
        <v>79</v>
      </c>
      <c r="L2392">
        <v>1</v>
      </c>
      <c r="M2392">
        <v>22.78</v>
      </c>
      <c r="N2392">
        <v>1.9</v>
      </c>
      <c r="O2392">
        <v>15</v>
      </c>
      <c r="Q2392">
        <v>20.880000000000003</v>
      </c>
      <c r="R2392" t="s">
        <v>1456</v>
      </c>
      <c r="V2392">
        <v>0</v>
      </c>
      <c r="W2392">
        <v>0</v>
      </c>
      <c r="AF2392">
        <v>0</v>
      </c>
      <c r="AG2392">
        <v>0</v>
      </c>
      <c r="AH2392">
        <v>0</v>
      </c>
      <c r="AI2392">
        <v>12</v>
      </c>
      <c r="AJ2392">
        <v>12</v>
      </c>
      <c r="AM2392">
        <v>0</v>
      </c>
      <c r="AN2392">
        <v>27.78</v>
      </c>
      <c r="AP2392">
        <v>49</v>
      </c>
      <c r="AQ2392">
        <v>49</v>
      </c>
    </row>
    <row r="2393" spans="1:43" x14ac:dyDescent="0.25">
      <c r="A2393" t="s">
        <v>46</v>
      </c>
      <c r="B2393">
        <v>4</v>
      </c>
      <c r="C2393" t="s">
        <v>1458</v>
      </c>
      <c r="D2393" s="39">
        <v>45993</v>
      </c>
      <c r="E2393" t="s">
        <v>253</v>
      </c>
      <c r="F2393" t="s">
        <v>79</v>
      </c>
      <c r="G2393">
        <v>15</v>
      </c>
      <c r="H2393" t="s">
        <v>116</v>
      </c>
      <c r="I2393" t="s">
        <v>79</v>
      </c>
      <c r="J2393">
        <v>250</v>
      </c>
      <c r="K2393" t="s">
        <v>79</v>
      </c>
      <c r="L2393">
        <v>2</v>
      </c>
      <c r="M2393">
        <v>118.10999999999999</v>
      </c>
      <c r="N2393">
        <v>3</v>
      </c>
      <c r="O2393">
        <v>26</v>
      </c>
      <c r="Q2393">
        <v>115.10999999999999</v>
      </c>
      <c r="R2393" t="s">
        <v>1459</v>
      </c>
      <c r="V2393">
        <v>0</v>
      </c>
      <c r="W2393">
        <v>0</v>
      </c>
      <c r="AF2393">
        <v>0</v>
      </c>
      <c r="AG2393">
        <v>0</v>
      </c>
      <c r="AH2393">
        <v>0</v>
      </c>
      <c r="AI2393">
        <v>12</v>
      </c>
      <c r="AJ2393">
        <v>12</v>
      </c>
      <c r="AM2393">
        <v>0</v>
      </c>
      <c r="AN2393">
        <v>123.11</v>
      </c>
      <c r="AP2393">
        <v>49</v>
      </c>
      <c r="AQ2393">
        <v>49</v>
      </c>
    </row>
    <row r="2394" spans="1:43" x14ac:dyDescent="0.25">
      <c r="A2394" t="s">
        <v>46</v>
      </c>
      <c r="B2394">
        <v>4</v>
      </c>
      <c r="C2394" t="s">
        <v>1460</v>
      </c>
      <c r="D2394" s="39">
        <v>45993</v>
      </c>
      <c r="E2394" t="s">
        <v>629</v>
      </c>
      <c r="F2394" t="s">
        <v>79</v>
      </c>
      <c r="G2394">
        <v>15</v>
      </c>
      <c r="H2394" t="s">
        <v>92</v>
      </c>
      <c r="I2394" t="s">
        <v>79</v>
      </c>
      <c r="J2394">
        <v>3000</v>
      </c>
      <c r="K2394" t="s">
        <v>79</v>
      </c>
      <c r="L2394">
        <v>12</v>
      </c>
      <c r="M2394">
        <v>656.93</v>
      </c>
      <c r="N2394">
        <v>18</v>
      </c>
      <c r="Q2394">
        <v>638.92999999999995</v>
      </c>
      <c r="R2394" t="s">
        <v>1461</v>
      </c>
      <c r="V2394">
        <v>0</v>
      </c>
      <c r="W2394">
        <v>0</v>
      </c>
      <c r="AF2394">
        <v>0</v>
      </c>
      <c r="AG2394">
        <v>0</v>
      </c>
      <c r="AH2394">
        <v>0</v>
      </c>
      <c r="AI2394">
        <v>12</v>
      </c>
      <c r="AJ2394">
        <v>12</v>
      </c>
      <c r="AM2394">
        <v>0</v>
      </c>
      <c r="AN2394">
        <v>661.93</v>
      </c>
      <c r="AP2394">
        <v>49</v>
      </c>
      <c r="AQ2394">
        <v>49</v>
      </c>
    </row>
    <row r="2395" spans="1:43" x14ac:dyDescent="0.25">
      <c r="A2395" t="s">
        <v>45</v>
      </c>
      <c r="B2395">
        <v>5</v>
      </c>
      <c r="C2395" t="s">
        <v>392</v>
      </c>
      <c r="D2395" s="39">
        <v>45993</v>
      </c>
      <c r="E2395" t="s">
        <v>486</v>
      </c>
      <c r="F2395" t="s">
        <v>79</v>
      </c>
      <c r="G2395">
        <v>12</v>
      </c>
      <c r="H2395">
        <v>5</v>
      </c>
      <c r="I2395" t="s">
        <v>79</v>
      </c>
      <c r="J2395">
        <v>3000</v>
      </c>
      <c r="K2395" t="s">
        <v>79</v>
      </c>
      <c r="L2395">
        <v>8</v>
      </c>
      <c r="M2395">
        <v>554.52</v>
      </c>
      <c r="N2395">
        <v>11.2</v>
      </c>
      <c r="Q2395">
        <v>543.31999999999994</v>
      </c>
      <c r="R2395" t="s">
        <v>1457</v>
      </c>
      <c r="V2395">
        <v>0</v>
      </c>
      <c r="W2395">
        <v>0</v>
      </c>
      <c r="AF2395">
        <v>0</v>
      </c>
      <c r="AG2395">
        <v>0</v>
      </c>
      <c r="AH2395">
        <v>0</v>
      </c>
      <c r="AI2395">
        <v>12</v>
      </c>
      <c r="AJ2395">
        <v>12</v>
      </c>
      <c r="AM2395">
        <v>0</v>
      </c>
      <c r="AN2395">
        <v>559.52</v>
      </c>
      <c r="AP2395">
        <v>49</v>
      </c>
      <c r="AQ2395">
        <v>49</v>
      </c>
    </row>
    <row r="2396" spans="1:43" x14ac:dyDescent="0.25">
      <c r="A2396" t="s">
        <v>46</v>
      </c>
      <c r="B2396">
        <v>5</v>
      </c>
      <c r="C2396" t="s">
        <v>392</v>
      </c>
      <c r="D2396" s="39">
        <v>45993</v>
      </c>
      <c r="E2396" t="s">
        <v>486</v>
      </c>
      <c r="F2396" t="s">
        <v>79</v>
      </c>
      <c r="G2396">
        <v>12</v>
      </c>
      <c r="H2396">
        <v>5</v>
      </c>
      <c r="I2396" t="s">
        <v>79</v>
      </c>
      <c r="J2396">
        <v>3000</v>
      </c>
      <c r="K2396" t="s">
        <v>79</v>
      </c>
      <c r="L2396">
        <v>9</v>
      </c>
      <c r="M2396">
        <v>553.71</v>
      </c>
      <c r="N2396">
        <v>12.6</v>
      </c>
      <c r="Q2396">
        <v>541.11</v>
      </c>
      <c r="R2396" t="s">
        <v>1457</v>
      </c>
      <c r="V2396">
        <v>0</v>
      </c>
      <c r="W2396">
        <v>0</v>
      </c>
      <c r="AD2396">
        <v>40</v>
      </c>
      <c r="AF2396">
        <v>40</v>
      </c>
      <c r="AG2396">
        <v>0.66666666666666663</v>
      </c>
      <c r="AH2396">
        <v>0.66666666666666663</v>
      </c>
      <c r="AI2396">
        <v>11.333333333333334</v>
      </c>
      <c r="AJ2396">
        <v>12</v>
      </c>
      <c r="AM2396">
        <v>0</v>
      </c>
      <c r="AN2396">
        <v>558.71</v>
      </c>
      <c r="AP2396">
        <v>49</v>
      </c>
      <c r="AQ2396">
        <v>49</v>
      </c>
    </row>
    <row r="2397" spans="1:43" x14ac:dyDescent="0.25">
      <c r="A2397" t="s">
        <v>45</v>
      </c>
      <c r="B2397">
        <v>1</v>
      </c>
      <c r="C2397" t="s">
        <v>1462</v>
      </c>
      <c r="D2397" s="39">
        <v>45994</v>
      </c>
      <c r="E2397" t="s">
        <v>486</v>
      </c>
      <c r="F2397" t="s">
        <v>79</v>
      </c>
      <c r="G2397">
        <v>3</v>
      </c>
      <c r="H2397" t="s">
        <v>92</v>
      </c>
      <c r="I2397" t="s">
        <v>79</v>
      </c>
      <c r="J2397" t="s">
        <v>1463</v>
      </c>
      <c r="K2397" t="s">
        <v>79</v>
      </c>
      <c r="L2397">
        <v>6</v>
      </c>
      <c r="M2397">
        <v>87.57</v>
      </c>
      <c r="N2397">
        <v>1.7999999999999998</v>
      </c>
      <c r="Q2397">
        <v>85.77</v>
      </c>
      <c r="R2397" t="s">
        <v>1464</v>
      </c>
      <c r="V2397">
        <v>0</v>
      </c>
      <c r="W2397">
        <v>0</v>
      </c>
      <c r="AF2397">
        <v>0</v>
      </c>
      <c r="AG2397">
        <v>0</v>
      </c>
      <c r="AH2397">
        <v>0</v>
      </c>
      <c r="AI2397">
        <v>12</v>
      </c>
      <c r="AJ2397">
        <v>12</v>
      </c>
      <c r="AM2397">
        <v>0</v>
      </c>
      <c r="AN2397">
        <v>92.57</v>
      </c>
      <c r="AP2397">
        <v>49</v>
      </c>
      <c r="AQ2397">
        <v>49</v>
      </c>
    </row>
    <row r="2398" spans="1:43" x14ac:dyDescent="0.25">
      <c r="A2398" t="s">
        <v>45</v>
      </c>
      <c r="B2398">
        <v>1</v>
      </c>
      <c r="C2398" t="s">
        <v>1462</v>
      </c>
      <c r="D2398" s="39">
        <v>45994</v>
      </c>
      <c r="E2398" t="s">
        <v>486</v>
      </c>
      <c r="F2398" t="s">
        <v>79</v>
      </c>
      <c r="G2398">
        <v>3</v>
      </c>
      <c r="H2398" t="s">
        <v>92</v>
      </c>
      <c r="I2398" t="s">
        <v>79</v>
      </c>
      <c r="J2398" t="s">
        <v>1463</v>
      </c>
      <c r="K2398" t="s">
        <v>79</v>
      </c>
      <c r="L2398">
        <v>3</v>
      </c>
      <c r="M2398">
        <v>52.010000000000005</v>
      </c>
      <c r="N2398">
        <v>0.89999999999999991</v>
      </c>
      <c r="Q2398">
        <v>51.110000000000007</v>
      </c>
      <c r="R2398" t="s">
        <v>1464</v>
      </c>
      <c r="V2398">
        <v>0</v>
      </c>
      <c r="W2398">
        <v>0</v>
      </c>
      <c r="AF2398">
        <v>0</v>
      </c>
      <c r="AG2398">
        <v>0</v>
      </c>
      <c r="AH2398">
        <v>0</v>
      </c>
      <c r="AI2398">
        <v>12</v>
      </c>
      <c r="AJ2398">
        <v>12</v>
      </c>
      <c r="AM2398">
        <v>0</v>
      </c>
      <c r="AN2398">
        <v>57.010000000000005</v>
      </c>
      <c r="AP2398">
        <v>49</v>
      </c>
      <c r="AQ2398">
        <v>49</v>
      </c>
    </row>
    <row r="2399" spans="1:43" x14ac:dyDescent="0.25">
      <c r="A2399" t="s">
        <v>46</v>
      </c>
      <c r="B2399">
        <v>1</v>
      </c>
      <c r="C2399" t="s">
        <v>1462</v>
      </c>
      <c r="D2399" s="39">
        <v>45994</v>
      </c>
      <c r="E2399" t="s">
        <v>486</v>
      </c>
      <c r="F2399" t="s">
        <v>79</v>
      </c>
      <c r="G2399">
        <v>3</v>
      </c>
      <c r="H2399" t="s">
        <v>92</v>
      </c>
      <c r="I2399" t="s">
        <v>79</v>
      </c>
      <c r="J2399" t="s">
        <v>1463</v>
      </c>
      <c r="K2399" t="s">
        <v>79</v>
      </c>
      <c r="L2399">
        <v>8</v>
      </c>
      <c r="M2399">
        <v>147.31</v>
      </c>
      <c r="N2399">
        <v>2.4</v>
      </c>
      <c r="Q2399">
        <v>144.91</v>
      </c>
      <c r="R2399" t="s">
        <v>1464</v>
      </c>
      <c r="V2399">
        <v>0</v>
      </c>
      <c r="W2399">
        <v>0</v>
      </c>
      <c r="AF2399">
        <v>0</v>
      </c>
      <c r="AG2399">
        <v>0</v>
      </c>
      <c r="AH2399">
        <v>0</v>
      </c>
      <c r="AI2399">
        <v>12</v>
      </c>
      <c r="AJ2399">
        <v>12</v>
      </c>
      <c r="AM2399">
        <v>0</v>
      </c>
      <c r="AN2399">
        <v>152.31</v>
      </c>
      <c r="AP2399">
        <v>49</v>
      </c>
      <c r="AQ2399">
        <v>49</v>
      </c>
    </row>
    <row r="2400" spans="1:43" x14ac:dyDescent="0.25">
      <c r="A2400" t="s">
        <v>45</v>
      </c>
      <c r="B2400">
        <v>2</v>
      </c>
      <c r="C2400" t="s">
        <v>1439</v>
      </c>
      <c r="D2400" s="39">
        <v>45994</v>
      </c>
      <c r="E2400" t="s">
        <v>486</v>
      </c>
      <c r="F2400" t="s">
        <v>79</v>
      </c>
      <c r="G2400">
        <v>4</v>
      </c>
      <c r="H2400" t="s">
        <v>113</v>
      </c>
      <c r="I2400" t="s">
        <v>79</v>
      </c>
      <c r="J2400">
        <v>1000</v>
      </c>
      <c r="K2400" t="s">
        <v>79</v>
      </c>
      <c r="L2400">
        <v>12</v>
      </c>
      <c r="M2400">
        <v>210.09</v>
      </c>
      <c r="N2400">
        <v>4.8000000000000007</v>
      </c>
      <c r="Q2400">
        <v>205.29</v>
      </c>
      <c r="R2400" t="s">
        <v>1454</v>
      </c>
      <c r="V2400">
        <v>0</v>
      </c>
      <c r="W2400">
        <v>0</v>
      </c>
      <c r="AF2400">
        <v>0</v>
      </c>
      <c r="AG2400">
        <v>0</v>
      </c>
      <c r="AH2400">
        <v>0</v>
      </c>
      <c r="AI2400">
        <v>12</v>
      </c>
      <c r="AJ2400">
        <v>12</v>
      </c>
      <c r="AM2400">
        <v>0</v>
      </c>
      <c r="AN2400">
        <v>215.09</v>
      </c>
      <c r="AP2400">
        <v>49</v>
      </c>
      <c r="AQ2400">
        <v>49</v>
      </c>
    </row>
    <row r="2401" spans="1:43" x14ac:dyDescent="0.25">
      <c r="A2401" t="s">
        <v>46</v>
      </c>
      <c r="B2401">
        <v>2</v>
      </c>
      <c r="C2401" t="s">
        <v>1439</v>
      </c>
      <c r="D2401" s="39">
        <v>45994</v>
      </c>
      <c r="E2401" t="s">
        <v>486</v>
      </c>
      <c r="F2401" t="s">
        <v>79</v>
      </c>
      <c r="G2401">
        <v>4</v>
      </c>
      <c r="H2401" t="s">
        <v>113</v>
      </c>
      <c r="I2401" t="s">
        <v>79</v>
      </c>
      <c r="J2401">
        <v>1000</v>
      </c>
      <c r="K2401" t="s">
        <v>79</v>
      </c>
      <c r="L2401">
        <v>10</v>
      </c>
      <c r="M2401">
        <v>186.79999999999998</v>
      </c>
      <c r="N2401">
        <v>4</v>
      </c>
      <c r="Q2401">
        <v>182.79999999999998</v>
      </c>
      <c r="R2401" t="s">
        <v>1454</v>
      </c>
      <c r="V2401">
        <v>0</v>
      </c>
      <c r="W2401">
        <v>0</v>
      </c>
      <c r="AF2401">
        <v>0</v>
      </c>
      <c r="AG2401">
        <v>0</v>
      </c>
      <c r="AH2401">
        <v>0</v>
      </c>
      <c r="AI2401">
        <v>12</v>
      </c>
      <c r="AJ2401">
        <v>12</v>
      </c>
      <c r="AM2401">
        <v>0</v>
      </c>
      <c r="AN2401">
        <v>191.8</v>
      </c>
      <c r="AP2401">
        <v>49</v>
      </c>
      <c r="AQ2401">
        <v>49</v>
      </c>
    </row>
    <row r="2402" spans="1:43" x14ac:dyDescent="0.25">
      <c r="A2402" t="s">
        <v>45</v>
      </c>
      <c r="B2402">
        <v>3</v>
      </c>
      <c r="C2402" t="s">
        <v>1442</v>
      </c>
      <c r="D2402" s="39">
        <v>45994</v>
      </c>
      <c r="E2402" t="s">
        <v>486</v>
      </c>
      <c r="F2402" t="s">
        <v>79</v>
      </c>
      <c r="G2402">
        <v>7</v>
      </c>
      <c r="H2402">
        <v>5</v>
      </c>
      <c r="I2402" t="s">
        <v>79</v>
      </c>
      <c r="J2402">
        <v>1000</v>
      </c>
      <c r="K2402" t="s">
        <v>79</v>
      </c>
      <c r="L2402">
        <v>2</v>
      </c>
      <c r="M2402">
        <v>73.099999999999994</v>
      </c>
      <c r="N2402">
        <v>1.8</v>
      </c>
      <c r="Q2402">
        <v>71.3</v>
      </c>
      <c r="R2402" t="s">
        <v>1455</v>
      </c>
      <c r="V2402">
        <v>0</v>
      </c>
      <c r="W2402">
        <v>0</v>
      </c>
      <c r="AF2402">
        <v>0</v>
      </c>
      <c r="AG2402">
        <v>0</v>
      </c>
      <c r="AH2402">
        <v>0</v>
      </c>
      <c r="AI2402">
        <v>12</v>
      </c>
      <c r="AJ2402">
        <v>12</v>
      </c>
      <c r="AM2402">
        <v>0</v>
      </c>
      <c r="AN2402">
        <v>78.099999999999994</v>
      </c>
      <c r="AP2402">
        <v>49</v>
      </c>
      <c r="AQ2402">
        <v>49</v>
      </c>
    </row>
    <row r="2403" spans="1:43" x14ac:dyDescent="0.25">
      <c r="A2403" t="s">
        <v>45</v>
      </c>
      <c r="B2403">
        <v>3</v>
      </c>
      <c r="C2403" t="s">
        <v>1368</v>
      </c>
      <c r="D2403" s="39">
        <v>45994</v>
      </c>
      <c r="E2403" t="s">
        <v>730</v>
      </c>
      <c r="F2403" t="s">
        <v>79</v>
      </c>
      <c r="G2403">
        <v>7</v>
      </c>
      <c r="H2403" t="s">
        <v>1049</v>
      </c>
      <c r="I2403" t="s">
        <v>79</v>
      </c>
      <c r="J2403">
        <v>50</v>
      </c>
      <c r="K2403" t="s">
        <v>79</v>
      </c>
      <c r="L2403">
        <v>6</v>
      </c>
      <c r="M2403">
        <v>170.81</v>
      </c>
      <c r="N2403">
        <v>4.1999999999999993</v>
      </c>
      <c r="Q2403">
        <v>166.61</v>
      </c>
      <c r="R2403" t="s">
        <v>1451</v>
      </c>
      <c r="V2403">
        <v>0</v>
      </c>
      <c r="W2403">
        <v>0</v>
      </c>
      <c r="AF2403">
        <v>0</v>
      </c>
      <c r="AG2403">
        <v>0</v>
      </c>
      <c r="AH2403">
        <v>0</v>
      </c>
      <c r="AI2403">
        <v>12</v>
      </c>
      <c r="AJ2403">
        <v>12</v>
      </c>
      <c r="AM2403">
        <v>0</v>
      </c>
      <c r="AN2403">
        <v>175.81</v>
      </c>
      <c r="AP2403">
        <v>49</v>
      </c>
      <c r="AQ2403">
        <v>49</v>
      </c>
    </row>
    <row r="2404" spans="1:43" x14ac:dyDescent="0.25">
      <c r="A2404" t="s">
        <v>45</v>
      </c>
      <c r="B2404">
        <v>3</v>
      </c>
      <c r="C2404" t="s">
        <v>1465</v>
      </c>
      <c r="D2404" s="39">
        <v>45994</v>
      </c>
      <c r="E2404" t="s">
        <v>1466</v>
      </c>
      <c r="F2404" t="s">
        <v>79</v>
      </c>
      <c r="G2404">
        <v>7</v>
      </c>
      <c r="H2404" t="s">
        <v>578</v>
      </c>
      <c r="I2404" t="s">
        <v>79</v>
      </c>
      <c r="J2404">
        <v>400</v>
      </c>
      <c r="K2404" t="s">
        <v>79</v>
      </c>
      <c r="L2404">
        <v>1</v>
      </c>
      <c r="M2404">
        <v>24.82</v>
      </c>
      <c r="N2404">
        <v>0.9</v>
      </c>
      <c r="Q2404">
        <v>23.92</v>
      </c>
      <c r="R2404" t="s">
        <v>1467</v>
      </c>
      <c r="V2404">
        <v>0</v>
      </c>
      <c r="W2404">
        <v>0</v>
      </c>
      <c r="AF2404">
        <v>0</v>
      </c>
      <c r="AG2404">
        <v>0</v>
      </c>
      <c r="AH2404">
        <v>0</v>
      </c>
      <c r="AI2404">
        <v>12</v>
      </c>
      <c r="AJ2404">
        <v>12</v>
      </c>
      <c r="AM2404">
        <v>0</v>
      </c>
      <c r="AN2404">
        <v>29.82</v>
      </c>
      <c r="AP2404">
        <v>49</v>
      </c>
      <c r="AQ2404">
        <v>49</v>
      </c>
    </row>
    <row r="2405" spans="1:43" x14ac:dyDescent="0.25">
      <c r="A2405" t="s">
        <v>46</v>
      </c>
      <c r="B2405">
        <v>3</v>
      </c>
      <c r="C2405" t="s">
        <v>1465</v>
      </c>
      <c r="D2405" s="39">
        <v>45994</v>
      </c>
      <c r="E2405" t="s">
        <v>1466</v>
      </c>
      <c r="F2405" t="s">
        <v>79</v>
      </c>
      <c r="G2405">
        <v>7</v>
      </c>
      <c r="H2405" t="s">
        <v>578</v>
      </c>
      <c r="I2405" t="s">
        <v>79</v>
      </c>
      <c r="J2405">
        <v>400</v>
      </c>
      <c r="K2405" t="s">
        <v>79</v>
      </c>
      <c r="L2405">
        <v>9</v>
      </c>
      <c r="M2405">
        <v>279.70999999999998</v>
      </c>
      <c r="N2405">
        <v>7.2</v>
      </c>
      <c r="Q2405">
        <v>272.51</v>
      </c>
      <c r="R2405" t="s">
        <v>1467</v>
      </c>
      <c r="V2405">
        <v>0</v>
      </c>
      <c r="W2405">
        <v>0</v>
      </c>
      <c r="AF2405">
        <v>0</v>
      </c>
      <c r="AG2405">
        <v>0</v>
      </c>
      <c r="AH2405">
        <v>0</v>
      </c>
      <c r="AI2405">
        <v>12</v>
      </c>
      <c r="AJ2405">
        <v>12</v>
      </c>
      <c r="AM2405">
        <v>0</v>
      </c>
      <c r="AN2405">
        <v>284.70999999999998</v>
      </c>
      <c r="AP2405">
        <v>49</v>
      </c>
      <c r="AQ2405">
        <v>49</v>
      </c>
    </row>
    <row r="2406" spans="1:43" x14ac:dyDescent="0.25">
      <c r="A2406" t="s">
        <v>45</v>
      </c>
      <c r="B2406">
        <v>4</v>
      </c>
      <c r="C2406" t="s">
        <v>1460</v>
      </c>
      <c r="D2406" s="39">
        <v>45994</v>
      </c>
      <c r="E2406" t="s">
        <v>629</v>
      </c>
      <c r="F2406" t="s">
        <v>79</v>
      </c>
      <c r="G2406">
        <v>15</v>
      </c>
      <c r="H2406" t="s">
        <v>92</v>
      </c>
      <c r="I2406" t="s">
        <v>79</v>
      </c>
      <c r="J2406">
        <v>3000</v>
      </c>
      <c r="K2406" t="s">
        <v>79</v>
      </c>
      <c r="L2406">
        <v>5</v>
      </c>
      <c r="M2406">
        <v>261.41000000000003</v>
      </c>
      <c r="N2406">
        <v>9</v>
      </c>
      <c r="O2406">
        <v>15</v>
      </c>
      <c r="Q2406">
        <v>252.41000000000003</v>
      </c>
      <c r="R2406" t="s">
        <v>1461</v>
      </c>
      <c r="V2406">
        <v>0</v>
      </c>
      <c r="W2406">
        <v>0</v>
      </c>
      <c r="Z2406">
        <v>480</v>
      </c>
      <c r="AF2406">
        <v>480</v>
      </c>
      <c r="AG2406">
        <v>8</v>
      </c>
      <c r="AH2406">
        <v>8</v>
      </c>
      <c r="AI2406">
        <v>4</v>
      </c>
      <c r="AJ2406">
        <v>12</v>
      </c>
      <c r="AM2406">
        <v>0</v>
      </c>
      <c r="AN2406">
        <v>266.41000000000003</v>
      </c>
      <c r="AP2406">
        <v>49</v>
      </c>
      <c r="AQ2406">
        <v>49</v>
      </c>
    </row>
    <row r="2407" spans="1:43" x14ac:dyDescent="0.25">
      <c r="A2407" t="s">
        <v>46</v>
      </c>
      <c r="B2407">
        <v>4</v>
      </c>
      <c r="C2407" t="s">
        <v>1468</v>
      </c>
      <c r="D2407" s="39">
        <v>45994</v>
      </c>
      <c r="E2407" t="s">
        <v>276</v>
      </c>
      <c r="F2407" t="s">
        <v>79</v>
      </c>
      <c r="G2407">
        <v>22</v>
      </c>
      <c r="H2407" t="s">
        <v>113</v>
      </c>
      <c r="I2407" t="s">
        <v>79</v>
      </c>
      <c r="J2407">
        <v>500</v>
      </c>
      <c r="K2407" t="s">
        <v>79</v>
      </c>
      <c r="L2407">
        <v>9</v>
      </c>
      <c r="M2407">
        <v>499.66999999999996</v>
      </c>
      <c r="N2407">
        <v>24.12</v>
      </c>
      <c r="O2407">
        <v>36.5</v>
      </c>
      <c r="Q2407">
        <v>475.54999999999995</v>
      </c>
      <c r="R2407" t="s">
        <v>1469</v>
      </c>
      <c r="S2407">
        <v>30</v>
      </c>
      <c r="T2407">
        <v>135</v>
      </c>
      <c r="V2407">
        <v>165</v>
      </c>
      <c r="W2407">
        <v>2.75</v>
      </c>
      <c r="AF2407">
        <v>0</v>
      </c>
      <c r="AG2407">
        <v>0</v>
      </c>
      <c r="AH2407">
        <v>2.75</v>
      </c>
      <c r="AI2407">
        <v>9.25</v>
      </c>
      <c r="AJ2407">
        <v>12</v>
      </c>
      <c r="AM2407">
        <v>0</v>
      </c>
      <c r="AN2407">
        <v>504.67</v>
      </c>
      <c r="AP2407">
        <v>49</v>
      </c>
      <c r="AQ2407">
        <v>49</v>
      </c>
    </row>
    <row r="2408" spans="1:43" x14ac:dyDescent="0.25">
      <c r="A2408" t="s">
        <v>46</v>
      </c>
      <c r="B2408">
        <v>4</v>
      </c>
      <c r="C2408" t="s">
        <v>1470</v>
      </c>
      <c r="D2408" s="39">
        <v>45994</v>
      </c>
      <c r="E2408" t="s">
        <v>1471</v>
      </c>
      <c r="F2408" t="s">
        <v>79</v>
      </c>
      <c r="G2408">
        <v>15</v>
      </c>
      <c r="H2408" t="s">
        <v>1472</v>
      </c>
      <c r="I2408" t="s">
        <v>79</v>
      </c>
      <c r="J2408">
        <v>500</v>
      </c>
      <c r="K2408" t="s">
        <v>79</v>
      </c>
      <c r="L2408">
        <v>1</v>
      </c>
      <c r="M2408">
        <v>45.56</v>
      </c>
      <c r="N2408">
        <v>1.2</v>
      </c>
      <c r="Q2408">
        <v>44.36</v>
      </c>
      <c r="R2408" t="s">
        <v>1473</v>
      </c>
      <c r="V2408">
        <v>0</v>
      </c>
      <c r="W2408">
        <v>0</v>
      </c>
      <c r="AF2408">
        <v>0</v>
      </c>
      <c r="AG2408">
        <v>0</v>
      </c>
      <c r="AH2408">
        <v>0</v>
      </c>
      <c r="AI2408">
        <v>12</v>
      </c>
      <c r="AJ2408">
        <v>12</v>
      </c>
      <c r="AM2408">
        <v>0</v>
      </c>
      <c r="AN2408">
        <v>50.56</v>
      </c>
      <c r="AP2408">
        <v>49</v>
      </c>
      <c r="AQ2408">
        <v>49</v>
      </c>
    </row>
    <row r="2409" spans="1:43" x14ac:dyDescent="0.25">
      <c r="A2409" t="s">
        <v>46</v>
      </c>
      <c r="B2409">
        <v>4</v>
      </c>
      <c r="C2409" t="s">
        <v>1460</v>
      </c>
      <c r="D2409" s="39">
        <v>45994</v>
      </c>
      <c r="E2409" t="s">
        <v>629</v>
      </c>
      <c r="F2409" t="s">
        <v>79</v>
      </c>
      <c r="G2409">
        <v>15</v>
      </c>
      <c r="H2409" t="s">
        <v>92</v>
      </c>
      <c r="I2409" t="s">
        <v>79</v>
      </c>
      <c r="J2409">
        <v>3000</v>
      </c>
      <c r="K2409" t="s">
        <v>79</v>
      </c>
      <c r="L2409">
        <v>1</v>
      </c>
      <c r="M2409">
        <v>42.22</v>
      </c>
      <c r="N2409">
        <v>1.2</v>
      </c>
      <c r="Q2409">
        <v>41.019999999999996</v>
      </c>
      <c r="R2409" t="s">
        <v>1461</v>
      </c>
      <c r="V2409">
        <v>0</v>
      </c>
      <c r="W2409">
        <v>0</v>
      </c>
      <c r="AF2409">
        <v>0</v>
      </c>
      <c r="AG2409">
        <v>0</v>
      </c>
      <c r="AH2409">
        <v>0</v>
      </c>
      <c r="AI2409">
        <v>12</v>
      </c>
      <c r="AJ2409">
        <v>12</v>
      </c>
      <c r="AM2409">
        <v>0</v>
      </c>
      <c r="AN2409">
        <v>47.22</v>
      </c>
      <c r="AP2409">
        <v>49</v>
      </c>
      <c r="AQ2409">
        <v>49</v>
      </c>
    </row>
    <row r="2410" spans="1:43" x14ac:dyDescent="0.25">
      <c r="A2410" t="s">
        <v>45</v>
      </c>
      <c r="B2410">
        <v>5</v>
      </c>
      <c r="C2410" t="s">
        <v>392</v>
      </c>
      <c r="D2410" s="39">
        <v>45994</v>
      </c>
      <c r="E2410" t="s">
        <v>486</v>
      </c>
      <c r="F2410" t="s">
        <v>79</v>
      </c>
      <c r="G2410">
        <v>12</v>
      </c>
      <c r="H2410">
        <v>5</v>
      </c>
      <c r="I2410" t="s">
        <v>79</v>
      </c>
      <c r="J2410">
        <v>3000</v>
      </c>
      <c r="K2410" t="s">
        <v>79</v>
      </c>
      <c r="L2410">
        <v>10</v>
      </c>
      <c r="M2410">
        <v>597.36999999999989</v>
      </c>
      <c r="N2410">
        <v>14.5</v>
      </c>
      <c r="O2410">
        <v>7.5</v>
      </c>
      <c r="Q2410">
        <v>582.86999999999989</v>
      </c>
      <c r="R2410" t="s">
        <v>1457</v>
      </c>
      <c r="V2410">
        <v>0</v>
      </c>
      <c r="W2410">
        <v>0</v>
      </c>
      <c r="AF2410">
        <v>0</v>
      </c>
      <c r="AG2410">
        <v>0</v>
      </c>
      <c r="AH2410">
        <v>0</v>
      </c>
      <c r="AI2410">
        <v>12</v>
      </c>
      <c r="AJ2410">
        <v>12</v>
      </c>
      <c r="AM2410">
        <v>0</v>
      </c>
      <c r="AN2410">
        <v>602.36999999999989</v>
      </c>
      <c r="AP2410">
        <v>49</v>
      </c>
      <c r="AQ2410">
        <v>49</v>
      </c>
    </row>
    <row r="2411" spans="1:43" x14ac:dyDescent="0.25">
      <c r="A2411" t="s">
        <v>46</v>
      </c>
      <c r="B2411">
        <v>5</v>
      </c>
      <c r="C2411" t="s">
        <v>392</v>
      </c>
      <c r="D2411" s="39">
        <v>45994</v>
      </c>
      <c r="E2411" t="s">
        <v>486</v>
      </c>
      <c r="F2411" t="s">
        <v>79</v>
      </c>
      <c r="G2411">
        <v>12</v>
      </c>
      <c r="H2411">
        <v>5</v>
      </c>
      <c r="I2411" t="s">
        <v>79</v>
      </c>
      <c r="J2411">
        <v>3000</v>
      </c>
      <c r="K2411" t="s">
        <v>79</v>
      </c>
      <c r="L2411">
        <v>9</v>
      </c>
      <c r="M2411">
        <v>557.18000000000006</v>
      </c>
      <c r="N2411">
        <v>10.799999999999999</v>
      </c>
      <c r="O2411">
        <v>7.5</v>
      </c>
      <c r="Q2411">
        <v>546.38000000000011</v>
      </c>
      <c r="R2411" t="s">
        <v>1457</v>
      </c>
      <c r="V2411">
        <v>0</v>
      </c>
      <c r="W2411">
        <v>0</v>
      </c>
      <c r="AF2411">
        <v>0</v>
      </c>
      <c r="AG2411">
        <v>0</v>
      </c>
      <c r="AH2411">
        <v>0</v>
      </c>
      <c r="AI2411">
        <v>12</v>
      </c>
      <c r="AJ2411">
        <v>12</v>
      </c>
      <c r="AM2411">
        <v>0</v>
      </c>
      <c r="AN2411">
        <v>562.18000000000006</v>
      </c>
      <c r="AP2411">
        <v>49</v>
      </c>
      <c r="AQ2411">
        <v>49</v>
      </c>
    </row>
    <row r="2412" spans="1:43" x14ac:dyDescent="0.25">
      <c r="A2412" t="s">
        <v>45</v>
      </c>
      <c r="B2412">
        <v>1</v>
      </c>
      <c r="C2412" t="s">
        <v>1462</v>
      </c>
      <c r="D2412" s="39">
        <v>45995</v>
      </c>
      <c r="E2412" t="s">
        <v>486</v>
      </c>
      <c r="F2412" t="s">
        <v>79</v>
      </c>
      <c r="G2412">
        <v>3</v>
      </c>
      <c r="H2412" t="s">
        <v>92</v>
      </c>
      <c r="I2412" t="s">
        <v>79</v>
      </c>
      <c r="J2412" t="s">
        <v>1463</v>
      </c>
      <c r="K2412" t="s">
        <v>79</v>
      </c>
      <c r="L2412">
        <v>10</v>
      </c>
      <c r="M2412">
        <v>161.76999999999998</v>
      </c>
      <c r="N2412">
        <v>3</v>
      </c>
      <c r="Q2412">
        <v>158.76999999999998</v>
      </c>
      <c r="R2412" t="s">
        <v>1464</v>
      </c>
      <c r="V2412">
        <v>0</v>
      </c>
      <c r="W2412">
        <v>0</v>
      </c>
      <c r="AF2412">
        <v>0</v>
      </c>
      <c r="AG2412">
        <v>0</v>
      </c>
      <c r="AH2412">
        <v>0</v>
      </c>
      <c r="AI2412">
        <v>12</v>
      </c>
      <c r="AJ2412">
        <v>12</v>
      </c>
      <c r="AM2412">
        <v>0</v>
      </c>
      <c r="AN2412">
        <v>166.76999999999998</v>
      </c>
      <c r="AP2412">
        <v>49</v>
      </c>
      <c r="AQ2412">
        <v>49</v>
      </c>
    </row>
    <row r="2413" spans="1:43" x14ac:dyDescent="0.25">
      <c r="A2413" t="s">
        <v>46</v>
      </c>
      <c r="B2413">
        <v>1</v>
      </c>
      <c r="C2413" t="s">
        <v>1462</v>
      </c>
      <c r="D2413" s="39">
        <v>45995</v>
      </c>
      <c r="E2413" t="s">
        <v>486</v>
      </c>
      <c r="F2413" t="s">
        <v>79</v>
      </c>
      <c r="G2413">
        <v>3</v>
      </c>
      <c r="H2413" t="s">
        <v>92</v>
      </c>
      <c r="I2413" t="s">
        <v>79</v>
      </c>
      <c r="J2413" t="s">
        <v>1463</v>
      </c>
      <c r="K2413" t="s">
        <v>79</v>
      </c>
      <c r="L2413">
        <v>1</v>
      </c>
      <c r="M2413">
        <v>15.36</v>
      </c>
      <c r="N2413">
        <v>0.3</v>
      </c>
      <c r="Q2413">
        <v>15.059999999999999</v>
      </c>
      <c r="R2413" t="s">
        <v>1464</v>
      </c>
      <c r="S2413">
        <v>20</v>
      </c>
      <c r="V2413">
        <v>20</v>
      </c>
      <c r="W2413">
        <v>0.33333333333333331</v>
      </c>
      <c r="AF2413">
        <v>0</v>
      </c>
      <c r="AG2413">
        <v>0</v>
      </c>
      <c r="AH2413">
        <v>0.33333333333333331</v>
      </c>
      <c r="AI2413">
        <v>11.666666666666666</v>
      </c>
      <c r="AJ2413">
        <v>12</v>
      </c>
      <c r="AM2413">
        <v>0</v>
      </c>
      <c r="AN2413">
        <v>20.36</v>
      </c>
      <c r="AP2413">
        <v>49</v>
      </c>
      <c r="AQ2413">
        <v>49</v>
      </c>
    </row>
    <row r="2414" spans="1:43" x14ac:dyDescent="0.25">
      <c r="A2414" t="s">
        <v>46</v>
      </c>
      <c r="B2414">
        <v>1</v>
      </c>
      <c r="C2414" t="s">
        <v>1333</v>
      </c>
      <c r="D2414" s="39">
        <v>45995</v>
      </c>
      <c r="E2414" t="s">
        <v>486</v>
      </c>
      <c r="F2414" t="s">
        <v>79</v>
      </c>
      <c r="G2414">
        <v>2</v>
      </c>
      <c r="H2414" t="s">
        <v>92</v>
      </c>
      <c r="I2414" t="s">
        <v>79</v>
      </c>
      <c r="J2414" t="s">
        <v>1346</v>
      </c>
      <c r="K2414" t="s">
        <v>79</v>
      </c>
      <c r="L2414">
        <v>6</v>
      </c>
      <c r="M2414">
        <v>117.13999999999999</v>
      </c>
      <c r="N2414">
        <v>1.2000000000000002</v>
      </c>
      <c r="Q2414">
        <v>115.93999999999998</v>
      </c>
      <c r="R2414" t="s">
        <v>1450</v>
      </c>
      <c r="V2414">
        <v>0</v>
      </c>
      <c r="W2414">
        <v>0</v>
      </c>
      <c r="AF2414">
        <v>0</v>
      </c>
      <c r="AG2414">
        <v>0</v>
      </c>
      <c r="AH2414">
        <v>0</v>
      </c>
      <c r="AI2414">
        <v>12</v>
      </c>
      <c r="AJ2414">
        <v>12</v>
      </c>
      <c r="AM2414">
        <v>0</v>
      </c>
      <c r="AN2414">
        <v>122.14</v>
      </c>
      <c r="AP2414">
        <v>49</v>
      </c>
      <c r="AQ2414">
        <v>49</v>
      </c>
    </row>
    <row r="2415" spans="1:43" x14ac:dyDescent="0.25">
      <c r="A2415" t="s">
        <v>45</v>
      </c>
      <c r="B2415">
        <v>3</v>
      </c>
      <c r="C2415" t="s">
        <v>1465</v>
      </c>
      <c r="D2415" s="39">
        <v>45995</v>
      </c>
      <c r="E2415" t="s">
        <v>1466</v>
      </c>
      <c r="F2415" t="s">
        <v>79</v>
      </c>
      <c r="G2415">
        <v>7</v>
      </c>
      <c r="H2415" t="s">
        <v>578</v>
      </c>
      <c r="I2415" t="s">
        <v>79</v>
      </c>
      <c r="J2415">
        <v>400</v>
      </c>
      <c r="K2415" t="s">
        <v>79</v>
      </c>
      <c r="L2415">
        <v>4</v>
      </c>
      <c r="M2415">
        <v>129.64000000000001</v>
      </c>
      <c r="N2415">
        <v>2.8</v>
      </c>
      <c r="Q2415">
        <v>126.84000000000002</v>
      </c>
      <c r="R2415" t="s">
        <v>1467</v>
      </c>
      <c r="S2415">
        <v>15</v>
      </c>
      <c r="V2415">
        <v>15</v>
      </c>
      <c r="W2415">
        <v>0.25</v>
      </c>
      <c r="AF2415">
        <v>0</v>
      </c>
      <c r="AG2415">
        <v>0</v>
      </c>
      <c r="AH2415">
        <v>0.25</v>
      </c>
      <c r="AI2415">
        <v>11.75</v>
      </c>
      <c r="AJ2415">
        <v>12</v>
      </c>
      <c r="AM2415">
        <v>0</v>
      </c>
      <c r="AN2415">
        <v>134.63999999999999</v>
      </c>
      <c r="AP2415">
        <v>49</v>
      </c>
      <c r="AQ2415">
        <v>49</v>
      </c>
    </row>
    <row r="2416" spans="1:43" x14ac:dyDescent="0.25">
      <c r="A2416" t="s">
        <v>45</v>
      </c>
      <c r="B2416">
        <v>3</v>
      </c>
      <c r="C2416" t="s">
        <v>1474</v>
      </c>
      <c r="D2416" s="39">
        <v>45995</v>
      </c>
      <c r="E2416" t="s">
        <v>486</v>
      </c>
      <c r="F2416" t="s">
        <v>79</v>
      </c>
      <c r="G2416">
        <v>8</v>
      </c>
      <c r="H2416">
        <v>5</v>
      </c>
      <c r="I2416" t="s">
        <v>79</v>
      </c>
      <c r="J2416">
        <v>1000</v>
      </c>
      <c r="K2416" t="s">
        <v>79</v>
      </c>
      <c r="L2416">
        <v>4</v>
      </c>
      <c r="M2416">
        <v>148.19999999999999</v>
      </c>
      <c r="N2416">
        <v>3.2</v>
      </c>
      <c r="Q2416">
        <v>145</v>
      </c>
      <c r="R2416" t="s">
        <v>1475</v>
      </c>
      <c r="V2416">
        <v>0</v>
      </c>
      <c r="W2416">
        <v>0</v>
      </c>
      <c r="AF2416">
        <v>0</v>
      </c>
      <c r="AG2416">
        <v>0</v>
      </c>
      <c r="AH2416">
        <v>0</v>
      </c>
      <c r="AI2416">
        <v>12</v>
      </c>
      <c r="AJ2416">
        <v>12</v>
      </c>
      <c r="AM2416">
        <v>0</v>
      </c>
      <c r="AN2416">
        <v>153.19999999999999</v>
      </c>
      <c r="AP2416">
        <v>49</v>
      </c>
      <c r="AQ2416">
        <v>49</v>
      </c>
    </row>
    <row r="2417" spans="1:43" x14ac:dyDescent="0.25">
      <c r="A2417" t="s">
        <v>46</v>
      </c>
      <c r="B2417">
        <v>3</v>
      </c>
      <c r="C2417" t="s">
        <v>1474</v>
      </c>
      <c r="D2417" s="39">
        <v>45995</v>
      </c>
      <c r="E2417" t="s">
        <v>486</v>
      </c>
      <c r="F2417" t="s">
        <v>79</v>
      </c>
      <c r="G2417">
        <v>8</v>
      </c>
      <c r="H2417">
        <v>5</v>
      </c>
      <c r="I2417" t="s">
        <v>79</v>
      </c>
      <c r="J2417">
        <v>1000</v>
      </c>
      <c r="K2417" t="s">
        <v>79</v>
      </c>
      <c r="L2417">
        <v>7</v>
      </c>
      <c r="M2417">
        <v>283.59999999999997</v>
      </c>
      <c r="N2417">
        <v>5.6000000000000005</v>
      </c>
      <c r="Q2417">
        <v>277.99999999999994</v>
      </c>
      <c r="R2417" t="s">
        <v>1475</v>
      </c>
      <c r="V2417">
        <v>0</v>
      </c>
      <c r="W2417">
        <v>0</v>
      </c>
      <c r="AD2417">
        <v>40</v>
      </c>
      <c r="AF2417">
        <v>40</v>
      </c>
      <c r="AG2417">
        <v>0.66666666666666663</v>
      </c>
      <c r="AH2417">
        <v>0.66666666666666663</v>
      </c>
      <c r="AI2417">
        <v>11.333333333333334</v>
      </c>
      <c r="AJ2417">
        <v>12</v>
      </c>
      <c r="AM2417">
        <v>0</v>
      </c>
      <c r="AN2417">
        <v>288.59999999999997</v>
      </c>
      <c r="AP2417">
        <v>49</v>
      </c>
      <c r="AQ2417">
        <v>49</v>
      </c>
    </row>
    <row r="2418" spans="1:43" x14ac:dyDescent="0.25">
      <c r="A2418" t="s">
        <v>45</v>
      </c>
      <c r="B2418">
        <v>2</v>
      </c>
      <c r="C2418" t="s">
        <v>1439</v>
      </c>
      <c r="D2418" s="39">
        <v>45995</v>
      </c>
      <c r="E2418" t="s">
        <v>486</v>
      </c>
      <c r="F2418" t="s">
        <v>79</v>
      </c>
      <c r="G2418">
        <v>4</v>
      </c>
      <c r="H2418" t="s">
        <v>113</v>
      </c>
      <c r="I2418" t="s">
        <v>79</v>
      </c>
      <c r="J2418">
        <v>1000</v>
      </c>
      <c r="K2418" t="s">
        <v>79</v>
      </c>
      <c r="L2418">
        <v>12</v>
      </c>
      <c r="M2418">
        <v>217.43</v>
      </c>
      <c r="N2418">
        <v>4.8000000000000007</v>
      </c>
      <c r="O2418">
        <v>23</v>
      </c>
      <c r="Q2418">
        <v>212.63</v>
      </c>
      <c r="R2418" t="s">
        <v>1454</v>
      </c>
      <c r="V2418">
        <v>0</v>
      </c>
      <c r="W2418">
        <v>0</v>
      </c>
      <c r="AF2418">
        <v>0</v>
      </c>
      <c r="AG2418">
        <v>0</v>
      </c>
      <c r="AH2418">
        <v>0</v>
      </c>
      <c r="AI2418">
        <v>12</v>
      </c>
      <c r="AJ2418">
        <v>12</v>
      </c>
      <c r="AM2418">
        <v>0</v>
      </c>
      <c r="AN2418">
        <v>222.43</v>
      </c>
      <c r="AP2418">
        <v>49</v>
      </c>
      <c r="AQ2418">
        <v>49</v>
      </c>
    </row>
    <row r="2419" spans="1:43" x14ac:dyDescent="0.25">
      <c r="A2419" t="s">
        <v>46</v>
      </c>
      <c r="B2419">
        <v>2</v>
      </c>
      <c r="C2419" t="s">
        <v>1439</v>
      </c>
      <c r="D2419" s="39">
        <v>45995</v>
      </c>
      <c r="E2419" t="s">
        <v>486</v>
      </c>
      <c r="F2419" t="s">
        <v>79</v>
      </c>
      <c r="G2419">
        <v>4</v>
      </c>
      <c r="H2419" t="s">
        <v>113</v>
      </c>
      <c r="I2419" t="s">
        <v>79</v>
      </c>
      <c r="J2419">
        <v>1000</v>
      </c>
      <c r="K2419" t="s">
        <v>79</v>
      </c>
      <c r="L2419">
        <v>10</v>
      </c>
      <c r="M2419">
        <v>180.97</v>
      </c>
      <c r="N2419">
        <v>4</v>
      </c>
      <c r="O2419">
        <v>26</v>
      </c>
      <c r="Q2419">
        <v>176.97</v>
      </c>
      <c r="R2419" t="s">
        <v>1454</v>
      </c>
      <c r="S2419">
        <v>20</v>
      </c>
      <c r="V2419">
        <v>20</v>
      </c>
      <c r="W2419">
        <v>0.33333333333333331</v>
      </c>
      <c r="AF2419">
        <v>0</v>
      </c>
      <c r="AG2419">
        <v>0</v>
      </c>
      <c r="AH2419">
        <v>0.33333333333333331</v>
      </c>
      <c r="AI2419">
        <v>11.666666666666666</v>
      </c>
      <c r="AJ2419">
        <v>12</v>
      </c>
      <c r="AM2419">
        <v>0</v>
      </c>
      <c r="AN2419">
        <v>185.97</v>
      </c>
      <c r="AP2419">
        <v>49</v>
      </c>
      <c r="AQ2419">
        <v>49</v>
      </c>
    </row>
    <row r="2420" spans="1:43" x14ac:dyDescent="0.25">
      <c r="A2420" t="s">
        <v>46</v>
      </c>
      <c r="B2420">
        <v>2</v>
      </c>
      <c r="C2420" t="s">
        <v>1476</v>
      </c>
      <c r="D2420" s="39">
        <v>45995</v>
      </c>
      <c r="E2420" t="s">
        <v>486</v>
      </c>
      <c r="F2420" t="s">
        <v>79</v>
      </c>
      <c r="G2420">
        <v>5</v>
      </c>
      <c r="H2420" t="s">
        <v>92</v>
      </c>
      <c r="I2420" t="s">
        <v>79</v>
      </c>
      <c r="J2420">
        <v>1000</v>
      </c>
      <c r="K2420" t="s">
        <v>79</v>
      </c>
      <c r="L2420">
        <v>1</v>
      </c>
      <c r="M2420">
        <v>21.4</v>
      </c>
      <c r="N2420">
        <v>0.5</v>
      </c>
      <c r="Q2420">
        <v>20.9</v>
      </c>
      <c r="R2420" t="s">
        <v>1516</v>
      </c>
      <c r="V2420">
        <v>0</v>
      </c>
      <c r="W2420">
        <v>0</v>
      </c>
      <c r="AF2420">
        <v>0</v>
      </c>
      <c r="AG2420">
        <v>0</v>
      </c>
      <c r="AH2420">
        <v>0</v>
      </c>
      <c r="AI2420">
        <v>12</v>
      </c>
      <c r="AJ2420">
        <v>12</v>
      </c>
      <c r="AM2420">
        <v>0</v>
      </c>
      <c r="AN2420">
        <v>26.4</v>
      </c>
      <c r="AP2420">
        <v>49</v>
      </c>
      <c r="AQ2420">
        <v>49</v>
      </c>
    </row>
    <row r="2421" spans="1:43" x14ac:dyDescent="0.25">
      <c r="A2421" t="s">
        <v>45</v>
      </c>
      <c r="B2421">
        <v>4</v>
      </c>
      <c r="C2421" t="s">
        <v>1470</v>
      </c>
      <c r="D2421" s="39">
        <v>45995</v>
      </c>
      <c r="E2421" t="s">
        <v>1471</v>
      </c>
      <c r="F2421" t="s">
        <v>79</v>
      </c>
      <c r="G2421">
        <v>15</v>
      </c>
      <c r="H2421" t="s">
        <v>1472</v>
      </c>
      <c r="I2421" t="s">
        <v>79</v>
      </c>
      <c r="J2421">
        <v>500</v>
      </c>
      <c r="K2421" t="s">
        <v>79</v>
      </c>
      <c r="L2421">
        <v>13</v>
      </c>
      <c r="M2421">
        <v>443.74</v>
      </c>
      <c r="N2421">
        <v>23.400000000000002</v>
      </c>
      <c r="Q2421">
        <v>420.34000000000003</v>
      </c>
      <c r="R2421" t="s">
        <v>1473</v>
      </c>
      <c r="V2421">
        <v>0</v>
      </c>
      <c r="W2421">
        <v>0</v>
      </c>
      <c r="AF2421">
        <v>0</v>
      </c>
      <c r="AG2421">
        <v>0</v>
      </c>
      <c r="AH2421">
        <v>0</v>
      </c>
      <c r="AI2421">
        <v>12</v>
      </c>
      <c r="AJ2421">
        <v>12</v>
      </c>
      <c r="AM2421">
        <v>0</v>
      </c>
      <c r="AN2421">
        <v>448.74</v>
      </c>
      <c r="AP2421">
        <v>49</v>
      </c>
      <c r="AQ2421">
        <v>49</v>
      </c>
    </row>
    <row r="2422" spans="1:43" x14ac:dyDescent="0.25">
      <c r="A2422" t="s">
        <v>45</v>
      </c>
      <c r="B2422">
        <v>4</v>
      </c>
      <c r="C2422" t="s">
        <v>1460</v>
      </c>
      <c r="D2422" s="39">
        <v>45995</v>
      </c>
      <c r="E2422" t="s">
        <v>629</v>
      </c>
      <c r="F2422" t="s">
        <v>79</v>
      </c>
      <c r="G2422">
        <v>15</v>
      </c>
      <c r="H2422" t="s">
        <v>92</v>
      </c>
      <c r="I2422" t="s">
        <v>79</v>
      </c>
      <c r="J2422">
        <v>3000</v>
      </c>
      <c r="K2422" t="s">
        <v>79</v>
      </c>
      <c r="L2422">
        <v>7</v>
      </c>
      <c r="M2422">
        <v>331.98</v>
      </c>
      <c r="N2422">
        <v>8.4</v>
      </c>
      <c r="Q2422">
        <v>323.58000000000004</v>
      </c>
      <c r="R2422" t="s">
        <v>1461</v>
      </c>
      <c r="V2422">
        <v>0</v>
      </c>
      <c r="W2422">
        <v>0</v>
      </c>
      <c r="AF2422">
        <v>0</v>
      </c>
      <c r="AG2422">
        <v>0</v>
      </c>
      <c r="AH2422">
        <v>0</v>
      </c>
      <c r="AI2422">
        <v>12</v>
      </c>
      <c r="AJ2422">
        <v>12</v>
      </c>
      <c r="AM2422">
        <v>0</v>
      </c>
      <c r="AN2422">
        <v>336.98</v>
      </c>
      <c r="AP2422">
        <v>49</v>
      </c>
      <c r="AQ2422">
        <v>49</v>
      </c>
    </row>
    <row r="2423" spans="1:43" x14ac:dyDescent="0.25">
      <c r="A2423" t="s">
        <v>46</v>
      </c>
      <c r="B2423">
        <v>4</v>
      </c>
      <c r="C2423" t="s">
        <v>1460</v>
      </c>
      <c r="D2423" s="39">
        <v>45995</v>
      </c>
      <c r="E2423" t="s">
        <v>629</v>
      </c>
      <c r="F2423" t="s">
        <v>79</v>
      </c>
      <c r="G2423">
        <v>15</v>
      </c>
      <c r="H2423" t="s">
        <v>92</v>
      </c>
      <c r="I2423" t="s">
        <v>79</v>
      </c>
      <c r="J2423">
        <v>3000</v>
      </c>
      <c r="K2423" t="s">
        <v>79</v>
      </c>
      <c r="L2423">
        <v>15</v>
      </c>
      <c r="M2423">
        <v>753.14</v>
      </c>
      <c r="N2423">
        <v>22.5</v>
      </c>
      <c r="Q2423">
        <v>730.64</v>
      </c>
      <c r="R2423" t="s">
        <v>1461</v>
      </c>
      <c r="V2423">
        <v>0</v>
      </c>
      <c r="W2423">
        <v>0</v>
      </c>
      <c r="AF2423">
        <v>0</v>
      </c>
      <c r="AG2423">
        <v>0</v>
      </c>
      <c r="AH2423">
        <v>0</v>
      </c>
      <c r="AI2423">
        <v>12</v>
      </c>
      <c r="AJ2423">
        <v>12</v>
      </c>
      <c r="AM2423">
        <v>0</v>
      </c>
      <c r="AN2423">
        <v>758.14</v>
      </c>
      <c r="AP2423">
        <v>49</v>
      </c>
      <c r="AQ2423">
        <v>49</v>
      </c>
    </row>
    <row r="2424" spans="1:43" x14ac:dyDescent="0.25">
      <c r="A2424" t="s">
        <v>45</v>
      </c>
      <c r="B2424">
        <v>5</v>
      </c>
      <c r="C2424" t="s">
        <v>392</v>
      </c>
      <c r="D2424" s="39">
        <v>45995</v>
      </c>
      <c r="E2424" t="s">
        <v>486</v>
      </c>
      <c r="F2424" t="s">
        <v>79</v>
      </c>
      <c r="G2424">
        <v>12</v>
      </c>
      <c r="H2424">
        <v>5</v>
      </c>
      <c r="I2424" t="s">
        <v>79</v>
      </c>
      <c r="J2424">
        <v>3000</v>
      </c>
      <c r="K2424" t="s">
        <v>79</v>
      </c>
      <c r="L2424">
        <v>2</v>
      </c>
      <c r="M2424">
        <v>85.46</v>
      </c>
      <c r="N2424">
        <v>2.8</v>
      </c>
      <c r="O2424">
        <v>6.5</v>
      </c>
      <c r="Q2424">
        <v>82.66</v>
      </c>
      <c r="R2424" t="s">
        <v>1457</v>
      </c>
      <c r="V2424">
        <v>0</v>
      </c>
      <c r="W2424">
        <v>0</v>
      </c>
      <c r="Z2424">
        <v>600</v>
      </c>
      <c r="AF2424">
        <v>600</v>
      </c>
      <c r="AG2424">
        <v>10</v>
      </c>
      <c r="AH2424">
        <v>10</v>
      </c>
      <c r="AI2424">
        <v>2</v>
      </c>
      <c r="AJ2424">
        <v>12</v>
      </c>
      <c r="AM2424">
        <v>0</v>
      </c>
      <c r="AN2424">
        <v>90.46</v>
      </c>
      <c r="AP2424">
        <v>49</v>
      </c>
      <c r="AQ2424">
        <v>49</v>
      </c>
    </row>
    <row r="2425" spans="1:43" x14ac:dyDescent="0.25">
      <c r="A2425" t="s">
        <v>46</v>
      </c>
      <c r="B2425">
        <v>5</v>
      </c>
      <c r="C2425" t="s">
        <v>1477</v>
      </c>
      <c r="D2425" s="39">
        <v>45995</v>
      </c>
      <c r="E2425" t="s">
        <v>486</v>
      </c>
      <c r="F2425" t="s">
        <v>79</v>
      </c>
      <c r="G2425">
        <v>14</v>
      </c>
      <c r="H2425">
        <v>5</v>
      </c>
      <c r="I2425" t="s">
        <v>79</v>
      </c>
      <c r="J2425">
        <v>2000</v>
      </c>
      <c r="K2425" t="s">
        <v>79</v>
      </c>
      <c r="L2425">
        <v>3</v>
      </c>
      <c r="M2425">
        <v>156.09</v>
      </c>
      <c r="N2425">
        <v>5.6</v>
      </c>
      <c r="O2425">
        <v>6.5</v>
      </c>
      <c r="Q2425">
        <v>150.49</v>
      </c>
      <c r="R2425" t="s">
        <v>1571</v>
      </c>
      <c r="T2425">
        <v>45</v>
      </c>
      <c r="V2425">
        <v>45</v>
      </c>
      <c r="W2425">
        <v>0.75</v>
      </c>
      <c r="AF2425">
        <v>0</v>
      </c>
      <c r="AG2425">
        <v>0</v>
      </c>
      <c r="AH2425">
        <v>0.75</v>
      </c>
      <c r="AI2425">
        <v>11.25</v>
      </c>
      <c r="AJ2425">
        <v>12</v>
      </c>
      <c r="AM2425">
        <v>0</v>
      </c>
      <c r="AN2425">
        <v>161.09</v>
      </c>
      <c r="AP2425">
        <v>49</v>
      </c>
      <c r="AQ2425">
        <v>49</v>
      </c>
    </row>
    <row r="2426" spans="1:43" x14ac:dyDescent="0.25">
      <c r="A2426" t="s">
        <v>46</v>
      </c>
      <c r="B2426">
        <v>5</v>
      </c>
      <c r="C2426" t="s">
        <v>1478</v>
      </c>
      <c r="D2426" s="39">
        <v>45995</v>
      </c>
      <c r="E2426" t="s">
        <v>340</v>
      </c>
      <c r="F2426" t="s">
        <v>79</v>
      </c>
      <c r="G2426">
        <v>14</v>
      </c>
      <c r="H2426" t="s">
        <v>1444</v>
      </c>
      <c r="I2426" t="s">
        <v>79</v>
      </c>
      <c r="J2426">
        <v>50</v>
      </c>
      <c r="K2426" t="s">
        <v>79</v>
      </c>
      <c r="L2426">
        <v>1</v>
      </c>
      <c r="M2426">
        <v>54.45</v>
      </c>
      <c r="N2426">
        <v>1.4</v>
      </c>
      <c r="Q2426">
        <v>53.050000000000004</v>
      </c>
      <c r="R2426" t="s">
        <v>1479</v>
      </c>
      <c r="V2426">
        <v>0</v>
      </c>
      <c r="W2426">
        <v>0</v>
      </c>
      <c r="AF2426">
        <v>0</v>
      </c>
      <c r="AG2426">
        <v>0</v>
      </c>
      <c r="AH2426">
        <v>0</v>
      </c>
      <c r="AI2426">
        <v>12</v>
      </c>
      <c r="AJ2426">
        <v>12</v>
      </c>
      <c r="AM2426">
        <v>0</v>
      </c>
      <c r="AN2426">
        <v>59.45</v>
      </c>
      <c r="AP2426">
        <v>49</v>
      </c>
      <c r="AQ2426">
        <v>49</v>
      </c>
    </row>
    <row r="2427" spans="1:43" x14ac:dyDescent="0.25">
      <c r="A2427" t="s">
        <v>46</v>
      </c>
      <c r="B2427">
        <v>5</v>
      </c>
      <c r="C2427" t="s">
        <v>1480</v>
      </c>
      <c r="D2427" s="39">
        <v>45995</v>
      </c>
      <c r="E2427" t="s">
        <v>1446</v>
      </c>
      <c r="F2427" t="s">
        <v>79</v>
      </c>
      <c r="G2427">
        <v>14</v>
      </c>
      <c r="H2427" t="s">
        <v>98</v>
      </c>
      <c r="I2427" t="s">
        <v>79</v>
      </c>
      <c r="J2427">
        <v>200</v>
      </c>
      <c r="K2427" t="s">
        <v>79</v>
      </c>
      <c r="L2427">
        <v>4</v>
      </c>
      <c r="M2427">
        <v>193.62</v>
      </c>
      <c r="N2427">
        <v>5.6</v>
      </c>
      <c r="Q2427">
        <v>188.02</v>
      </c>
      <c r="R2427" t="s">
        <v>1481</v>
      </c>
      <c r="V2427">
        <v>0</v>
      </c>
      <c r="W2427">
        <v>0</v>
      </c>
      <c r="AF2427">
        <v>0</v>
      </c>
      <c r="AG2427">
        <v>0</v>
      </c>
      <c r="AH2427">
        <v>0</v>
      </c>
      <c r="AI2427">
        <v>12</v>
      </c>
      <c r="AJ2427">
        <v>12</v>
      </c>
      <c r="AM2427">
        <v>0</v>
      </c>
      <c r="AN2427">
        <v>198.62</v>
      </c>
      <c r="AP2427">
        <v>49</v>
      </c>
      <c r="AQ2427">
        <v>49</v>
      </c>
    </row>
    <row r="2428" spans="1:43" x14ac:dyDescent="0.25">
      <c r="A2428" t="s">
        <v>46</v>
      </c>
      <c r="B2428">
        <v>5</v>
      </c>
      <c r="C2428" t="s">
        <v>1482</v>
      </c>
      <c r="D2428" s="39">
        <v>45995</v>
      </c>
      <c r="E2428" t="s">
        <v>1483</v>
      </c>
      <c r="F2428" t="s">
        <v>79</v>
      </c>
      <c r="G2428">
        <v>14</v>
      </c>
      <c r="H2428" t="s">
        <v>127</v>
      </c>
      <c r="I2428" t="s">
        <v>79</v>
      </c>
      <c r="J2428">
        <v>200</v>
      </c>
      <c r="K2428" t="s">
        <v>79</v>
      </c>
      <c r="L2428">
        <v>4</v>
      </c>
      <c r="M2428">
        <v>120.72999999999999</v>
      </c>
      <c r="N2428">
        <v>5.6</v>
      </c>
      <c r="Q2428">
        <v>115.13</v>
      </c>
      <c r="R2428" t="s">
        <v>1484</v>
      </c>
      <c r="V2428">
        <v>0</v>
      </c>
      <c r="W2428">
        <v>0</v>
      </c>
      <c r="AF2428">
        <v>0</v>
      </c>
      <c r="AG2428">
        <v>0</v>
      </c>
      <c r="AH2428">
        <v>0</v>
      </c>
      <c r="AI2428">
        <v>12</v>
      </c>
      <c r="AJ2428">
        <v>12</v>
      </c>
      <c r="AM2428">
        <v>0</v>
      </c>
      <c r="AN2428">
        <v>125.73</v>
      </c>
      <c r="AP2428">
        <v>49</v>
      </c>
      <c r="AQ2428">
        <v>49</v>
      </c>
    </row>
    <row r="2429" spans="1:43" x14ac:dyDescent="0.25">
      <c r="A2429" t="s">
        <v>45</v>
      </c>
      <c r="B2429">
        <v>1</v>
      </c>
      <c r="C2429" t="s">
        <v>1333</v>
      </c>
      <c r="D2429" s="39">
        <v>45996</v>
      </c>
      <c r="E2429" t="s">
        <v>486</v>
      </c>
      <c r="F2429" t="s">
        <v>79</v>
      </c>
      <c r="G2429">
        <v>2</v>
      </c>
      <c r="H2429" t="s">
        <v>92</v>
      </c>
      <c r="I2429" t="s">
        <v>79</v>
      </c>
      <c r="J2429" t="s">
        <v>1346</v>
      </c>
      <c r="K2429" t="s">
        <v>79</v>
      </c>
      <c r="L2429">
        <v>7</v>
      </c>
      <c r="M2429">
        <v>146.26999999999998</v>
      </c>
      <c r="N2429">
        <v>1.4000000000000001</v>
      </c>
      <c r="O2429">
        <v>15</v>
      </c>
      <c r="Q2429">
        <v>144.86999999999998</v>
      </c>
      <c r="R2429" t="s">
        <v>1450</v>
      </c>
      <c r="V2429">
        <v>0</v>
      </c>
      <c r="W2429">
        <v>0</v>
      </c>
      <c r="AF2429">
        <v>0</v>
      </c>
      <c r="AG2429">
        <v>0</v>
      </c>
      <c r="AH2429">
        <v>0</v>
      </c>
      <c r="AI2429">
        <v>12</v>
      </c>
      <c r="AJ2429">
        <v>12</v>
      </c>
      <c r="AM2429">
        <v>0</v>
      </c>
      <c r="AN2429">
        <v>151.26999999999998</v>
      </c>
      <c r="AP2429">
        <v>49</v>
      </c>
      <c r="AQ2429">
        <v>49</v>
      </c>
    </row>
    <row r="2430" spans="1:43" x14ac:dyDescent="0.25">
      <c r="A2430" t="s">
        <v>46</v>
      </c>
      <c r="B2430">
        <v>1</v>
      </c>
      <c r="C2430" t="s">
        <v>1333</v>
      </c>
      <c r="D2430" s="39">
        <v>45996</v>
      </c>
      <c r="E2430" t="s">
        <v>486</v>
      </c>
      <c r="F2430" t="s">
        <v>79</v>
      </c>
      <c r="G2430">
        <v>2</v>
      </c>
      <c r="H2430" t="s">
        <v>92</v>
      </c>
      <c r="I2430" t="s">
        <v>79</v>
      </c>
      <c r="J2430" t="s">
        <v>1346</v>
      </c>
      <c r="K2430" t="s">
        <v>79</v>
      </c>
      <c r="L2430">
        <v>7</v>
      </c>
      <c r="M2430">
        <v>147.44999999999999</v>
      </c>
      <c r="N2430">
        <v>1.4000000000000001</v>
      </c>
      <c r="O2430">
        <v>21.3</v>
      </c>
      <c r="Q2430">
        <v>146.04999999999998</v>
      </c>
      <c r="R2430" t="s">
        <v>1450</v>
      </c>
      <c r="V2430">
        <v>0</v>
      </c>
      <c r="W2430">
        <v>0</v>
      </c>
      <c r="AF2430">
        <v>0</v>
      </c>
      <c r="AG2430">
        <v>0</v>
      </c>
      <c r="AH2430">
        <v>0</v>
      </c>
      <c r="AI2430">
        <v>12</v>
      </c>
      <c r="AJ2430">
        <v>12</v>
      </c>
      <c r="AM2430">
        <v>0</v>
      </c>
      <c r="AN2430">
        <v>152.44999999999999</v>
      </c>
      <c r="AP2430">
        <v>49</v>
      </c>
      <c r="AQ2430">
        <v>49</v>
      </c>
    </row>
    <row r="2431" spans="1:43" x14ac:dyDescent="0.25">
      <c r="A2431" t="s">
        <v>45</v>
      </c>
      <c r="B2431">
        <v>2</v>
      </c>
      <c r="C2431" t="s">
        <v>1476</v>
      </c>
      <c r="D2431" s="39">
        <v>45996</v>
      </c>
      <c r="E2431" t="s">
        <v>486</v>
      </c>
      <c r="F2431" t="s">
        <v>79</v>
      </c>
      <c r="G2431">
        <v>5</v>
      </c>
      <c r="H2431" t="s">
        <v>92</v>
      </c>
      <c r="I2431" t="s">
        <v>79</v>
      </c>
      <c r="J2431">
        <v>1000</v>
      </c>
      <c r="K2431" t="s">
        <v>79</v>
      </c>
      <c r="L2431">
        <v>3</v>
      </c>
      <c r="M2431">
        <v>64.44</v>
      </c>
      <c r="N2431">
        <v>1.5</v>
      </c>
      <c r="O2431">
        <v>5</v>
      </c>
      <c r="Q2431">
        <v>62.94</v>
      </c>
      <c r="R2431" t="s">
        <v>1516</v>
      </c>
      <c r="U2431">
        <v>540</v>
      </c>
      <c r="V2431">
        <v>540</v>
      </c>
      <c r="W2431">
        <v>9</v>
      </c>
      <c r="AF2431">
        <v>0</v>
      </c>
      <c r="AG2431">
        <v>0</v>
      </c>
      <c r="AH2431">
        <v>9</v>
      </c>
      <c r="AI2431">
        <v>3</v>
      </c>
      <c r="AJ2431">
        <v>12</v>
      </c>
      <c r="AM2431">
        <v>0</v>
      </c>
      <c r="AN2431">
        <v>69.44</v>
      </c>
      <c r="AP2431">
        <v>49</v>
      </c>
      <c r="AQ2431">
        <v>49</v>
      </c>
    </row>
    <row r="2432" spans="1:43" x14ac:dyDescent="0.25">
      <c r="A2432" t="s">
        <v>45</v>
      </c>
      <c r="B2432">
        <v>3</v>
      </c>
      <c r="C2432" t="s">
        <v>1474</v>
      </c>
      <c r="D2432" s="39">
        <v>45996</v>
      </c>
      <c r="E2432" t="s">
        <v>486</v>
      </c>
      <c r="F2432" t="s">
        <v>79</v>
      </c>
      <c r="G2432">
        <v>8</v>
      </c>
      <c r="H2432">
        <v>5</v>
      </c>
      <c r="I2432" t="s">
        <v>79</v>
      </c>
      <c r="J2432">
        <v>1000</v>
      </c>
      <c r="K2432" t="s">
        <v>79</v>
      </c>
      <c r="L2432">
        <v>9</v>
      </c>
      <c r="M2432">
        <v>336.28999999999996</v>
      </c>
      <c r="N2432">
        <v>9</v>
      </c>
      <c r="Q2432">
        <v>327.28999999999996</v>
      </c>
      <c r="R2432" t="s">
        <v>1475</v>
      </c>
      <c r="V2432">
        <v>0</v>
      </c>
      <c r="W2432">
        <v>0</v>
      </c>
      <c r="AF2432">
        <v>0</v>
      </c>
      <c r="AG2432">
        <v>0</v>
      </c>
      <c r="AH2432">
        <v>0</v>
      </c>
      <c r="AI2432">
        <v>12</v>
      </c>
      <c r="AJ2432">
        <v>12</v>
      </c>
      <c r="AM2432">
        <v>0</v>
      </c>
      <c r="AN2432">
        <v>341.28999999999996</v>
      </c>
      <c r="AP2432">
        <v>49</v>
      </c>
      <c r="AQ2432">
        <v>49</v>
      </c>
    </row>
    <row r="2433" spans="1:43" x14ac:dyDescent="0.25">
      <c r="A2433" t="s">
        <v>46</v>
      </c>
      <c r="B2433">
        <v>3</v>
      </c>
      <c r="C2433" t="s">
        <v>1474</v>
      </c>
      <c r="D2433" s="39">
        <v>45996</v>
      </c>
      <c r="E2433" t="s">
        <v>486</v>
      </c>
      <c r="F2433" t="s">
        <v>79</v>
      </c>
      <c r="G2433">
        <v>8</v>
      </c>
      <c r="H2433">
        <v>5</v>
      </c>
      <c r="I2433" t="s">
        <v>79</v>
      </c>
      <c r="J2433">
        <v>1000</v>
      </c>
      <c r="K2433" t="s">
        <v>79</v>
      </c>
      <c r="L2433">
        <v>9</v>
      </c>
      <c r="M2433">
        <v>369.21000000000004</v>
      </c>
      <c r="N2433">
        <v>9</v>
      </c>
      <c r="O2433">
        <v>5</v>
      </c>
      <c r="Q2433">
        <v>360.21000000000004</v>
      </c>
      <c r="R2433" t="s">
        <v>1475</v>
      </c>
      <c r="V2433">
        <v>0</v>
      </c>
      <c r="W2433">
        <v>0</v>
      </c>
      <c r="AF2433">
        <v>0</v>
      </c>
      <c r="AG2433">
        <v>0</v>
      </c>
      <c r="AH2433">
        <v>0</v>
      </c>
      <c r="AI2433">
        <v>12</v>
      </c>
      <c r="AJ2433">
        <v>12</v>
      </c>
      <c r="AM2433">
        <v>0</v>
      </c>
      <c r="AN2433">
        <v>374.21</v>
      </c>
      <c r="AP2433">
        <v>49</v>
      </c>
      <c r="AQ2433">
        <v>49</v>
      </c>
    </row>
    <row r="2434" spans="1:43" x14ac:dyDescent="0.25">
      <c r="A2434" t="s">
        <v>45</v>
      </c>
      <c r="B2434">
        <v>4</v>
      </c>
      <c r="C2434" t="s">
        <v>1460</v>
      </c>
      <c r="D2434" s="39">
        <v>45996</v>
      </c>
      <c r="E2434" t="s">
        <v>629</v>
      </c>
      <c r="F2434" t="s">
        <v>79</v>
      </c>
      <c r="G2434">
        <v>15</v>
      </c>
      <c r="H2434" t="s">
        <v>92</v>
      </c>
      <c r="I2434" t="s">
        <v>79</v>
      </c>
      <c r="J2434">
        <v>3000</v>
      </c>
      <c r="K2434" t="s">
        <v>79</v>
      </c>
      <c r="L2434">
        <v>15</v>
      </c>
      <c r="M2434">
        <v>764.23</v>
      </c>
      <c r="N2434">
        <v>25.5</v>
      </c>
      <c r="Q2434">
        <v>738.73</v>
      </c>
      <c r="R2434" t="s">
        <v>1461</v>
      </c>
      <c r="V2434">
        <v>0</v>
      </c>
      <c r="W2434">
        <v>0</v>
      </c>
      <c r="AF2434">
        <v>0</v>
      </c>
      <c r="AG2434">
        <v>0</v>
      </c>
      <c r="AH2434">
        <v>0</v>
      </c>
      <c r="AI2434">
        <v>12</v>
      </c>
      <c r="AJ2434">
        <v>12</v>
      </c>
      <c r="AM2434">
        <v>0</v>
      </c>
      <c r="AN2434">
        <v>769.23</v>
      </c>
      <c r="AP2434">
        <v>49</v>
      </c>
      <c r="AQ2434">
        <v>49</v>
      </c>
    </row>
    <row r="2435" spans="1:43" x14ac:dyDescent="0.25">
      <c r="A2435" t="s">
        <v>46</v>
      </c>
      <c r="B2435">
        <v>4</v>
      </c>
      <c r="C2435" t="s">
        <v>1460</v>
      </c>
      <c r="D2435" s="39">
        <v>45996</v>
      </c>
      <c r="E2435" t="s">
        <v>629</v>
      </c>
      <c r="F2435" t="s">
        <v>79</v>
      </c>
      <c r="G2435">
        <v>15</v>
      </c>
      <c r="H2435" t="s">
        <v>92</v>
      </c>
      <c r="I2435" t="s">
        <v>79</v>
      </c>
      <c r="J2435">
        <v>3000</v>
      </c>
      <c r="K2435" t="s">
        <v>79</v>
      </c>
      <c r="L2435">
        <v>9</v>
      </c>
      <c r="M2435">
        <v>459.68</v>
      </c>
      <c r="N2435">
        <v>13.5</v>
      </c>
      <c r="Q2435">
        <v>446.18</v>
      </c>
      <c r="R2435" t="s">
        <v>1461</v>
      </c>
      <c r="V2435">
        <v>0</v>
      </c>
      <c r="W2435">
        <v>0</v>
      </c>
      <c r="AF2435">
        <v>0</v>
      </c>
      <c r="AG2435">
        <v>0</v>
      </c>
      <c r="AH2435">
        <v>0</v>
      </c>
      <c r="AI2435">
        <v>12</v>
      </c>
      <c r="AJ2435">
        <v>12</v>
      </c>
      <c r="AM2435">
        <v>0</v>
      </c>
      <c r="AN2435">
        <v>464.68</v>
      </c>
      <c r="AP2435">
        <v>49</v>
      </c>
      <c r="AQ2435">
        <v>49</v>
      </c>
    </row>
    <row r="2436" spans="1:43" x14ac:dyDescent="0.25">
      <c r="A2436" t="s">
        <v>46</v>
      </c>
      <c r="B2436">
        <v>4</v>
      </c>
      <c r="C2436" t="s">
        <v>1485</v>
      </c>
      <c r="D2436" s="39">
        <v>45996</v>
      </c>
      <c r="E2436" t="s">
        <v>1486</v>
      </c>
      <c r="F2436" t="s">
        <v>79</v>
      </c>
      <c r="G2436">
        <v>17</v>
      </c>
      <c r="H2436" t="s">
        <v>102</v>
      </c>
      <c r="I2436" t="s">
        <v>79</v>
      </c>
      <c r="J2436">
        <v>100</v>
      </c>
      <c r="K2436" t="s">
        <v>79</v>
      </c>
      <c r="L2436">
        <v>2</v>
      </c>
      <c r="M2436">
        <v>99.66</v>
      </c>
      <c r="N2436">
        <v>3.4</v>
      </c>
      <c r="Q2436">
        <v>96.259999999999991</v>
      </c>
      <c r="R2436" t="s">
        <v>1487</v>
      </c>
      <c r="S2436">
        <v>30</v>
      </c>
      <c r="V2436">
        <v>30</v>
      </c>
      <c r="W2436">
        <v>0.5</v>
      </c>
      <c r="AF2436">
        <v>0</v>
      </c>
      <c r="AG2436">
        <v>0</v>
      </c>
      <c r="AH2436">
        <v>0.5</v>
      </c>
      <c r="AI2436">
        <v>11.5</v>
      </c>
      <c r="AJ2436">
        <v>12</v>
      </c>
      <c r="AM2436">
        <v>0</v>
      </c>
      <c r="AN2436">
        <v>104.66</v>
      </c>
      <c r="AP2436">
        <v>49</v>
      </c>
      <c r="AQ2436">
        <v>49</v>
      </c>
    </row>
    <row r="2437" spans="1:43" x14ac:dyDescent="0.25">
      <c r="A2437" t="s">
        <v>46</v>
      </c>
      <c r="B2437">
        <v>4</v>
      </c>
      <c r="C2437" t="s">
        <v>1488</v>
      </c>
      <c r="D2437" s="39">
        <v>45996</v>
      </c>
      <c r="E2437" t="s">
        <v>243</v>
      </c>
      <c r="F2437" t="s">
        <v>79</v>
      </c>
      <c r="G2437">
        <v>17</v>
      </c>
      <c r="H2437" t="s">
        <v>93</v>
      </c>
      <c r="I2437" t="s">
        <v>79</v>
      </c>
      <c r="J2437">
        <v>300</v>
      </c>
      <c r="K2437" t="s">
        <v>79</v>
      </c>
      <c r="L2437">
        <v>2</v>
      </c>
      <c r="M2437">
        <v>51.57</v>
      </c>
      <c r="N2437">
        <v>1.7</v>
      </c>
      <c r="Q2437">
        <v>49.87</v>
      </c>
      <c r="R2437" t="s">
        <v>1489</v>
      </c>
      <c r="V2437">
        <v>0</v>
      </c>
      <c r="W2437">
        <v>0</v>
      </c>
      <c r="AF2437">
        <v>0</v>
      </c>
      <c r="AG2437">
        <v>0</v>
      </c>
      <c r="AH2437">
        <v>0</v>
      </c>
      <c r="AI2437">
        <v>12</v>
      </c>
      <c r="AJ2437">
        <v>12</v>
      </c>
      <c r="AM2437">
        <v>0</v>
      </c>
      <c r="AN2437">
        <v>56.57</v>
      </c>
      <c r="AP2437">
        <v>49</v>
      </c>
      <c r="AQ2437">
        <v>49</v>
      </c>
    </row>
    <row r="2438" spans="1:43" x14ac:dyDescent="0.25">
      <c r="A2438" t="s">
        <v>46</v>
      </c>
      <c r="B2438">
        <v>4</v>
      </c>
      <c r="C2438" t="s">
        <v>1490</v>
      </c>
      <c r="D2438" s="39">
        <v>45996</v>
      </c>
      <c r="E2438" t="s">
        <v>238</v>
      </c>
      <c r="F2438" t="s">
        <v>79</v>
      </c>
      <c r="G2438">
        <v>17</v>
      </c>
      <c r="H2438" t="s">
        <v>534</v>
      </c>
      <c r="I2438" t="s">
        <v>79</v>
      </c>
      <c r="J2438">
        <v>100</v>
      </c>
      <c r="K2438" t="s">
        <v>79</v>
      </c>
      <c r="L2438">
        <v>1</v>
      </c>
      <c r="M2438">
        <v>105.93</v>
      </c>
      <c r="N2438">
        <v>3.4</v>
      </c>
      <c r="Q2438">
        <v>102.53</v>
      </c>
      <c r="R2438" t="s">
        <v>1491</v>
      </c>
      <c r="V2438">
        <v>0</v>
      </c>
      <c r="W2438">
        <v>0</v>
      </c>
      <c r="AF2438">
        <v>0</v>
      </c>
      <c r="AG2438">
        <v>0</v>
      </c>
      <c r="AH2438">
        <v>0</v>
      </c>
      <c r="AI2438">
        <v>12</v>
      </c>
      <c r="AJ2438">
        <v>12</v>
      </c>
      <c r="AM2438">
        <v>0</v>
      </c>
      <c r="AN2438">
        <v>110.93</v>
      </c>
      <c r="AP2438">
        <v>49</v>
      </c>
      <c r="AQ2438">
        <v>49</v>
      </c>
    </row>
    <row r="2439" spans="1:43" x14ac:dyDescent="0.25">
      <c r="A2439" t="s">
        <v>45</v>
      </c>
      <c r="B2439">
        <v>5</v>
      </c>
      <c r="C2439" t="s">
        <v>1482</v>
      </c>
      <c r="D2439" s="39">
        <v>45996</v>
      </c>
      <c r="E2439" t="s">
        <v>1483</v>
      </c>
      <c r="F2439" t="s">
        <v>79</v>
      </c>
      <c r="G2439">
        <v>14</v>
      </c>
      <c r="H2439" t="s">
        <v>127</v>
      </c>
      <c r="I2439" t="s">
        <v>79</v>
      </c>
      <c r="J2439">
        <v>200</v>
      </c>
      <c r="K2439" t="s">
        <v>79</v>
      </c>
      <c r="L2439">
        <v>4</v>
      </c>
      <c r="M2439">
        <v>223.62</v>
      </c>
      <c r="N2439">
        <v>6.4</v>
      </c>
      <c r="Q2439">
        <v>217.22</v>
      </c>
      <c r="R2439" t="s">
        <v>1484</v>
      </c>
      <c r="V2439">
        <v>0</v>
      </c>
      <c r="W2439">
        <v>0</v>
      </c>
      <c r="AF2439">
        <v>0</v>
      </c>
      <c r="AG2439">
        <v>0</v>
      </c>
      <c r="AH2439">
        <v>0</v>
      </c>
      <c r="AI2439">
        <v>12</v>
      </c>
      <c r="AJ2439">
        <v>12</v>
      </c>
      <c r="AM2439">
        <v>0</v>
      </c>
      <c r="AN2439">
        <v>228.62</v>
      </c>
      <c r="AP2439">
        <v>49</v>
      </c>
      <c r="AQ2439">
        <v>49</v>
      </c>
    </row>
    <row r="2440" spans="1:43" x14ac:dyDescent="0.25">
      <c r="A2440" t="s">
        <v>45</v>
      </c>
      <c r="B2440">
        <v>5</v>
      </c>
      <c r="C2440" t="s">
        <v>1492</v>
      </c>
      <c r="D2440" s="39">
        <v>45996</v>
      </c>
      <c r="E2440" t="s">
        <v>629</v>
      </c>
      <c r="F2440" t="s">
        <v>79</v>
      </c>
      <c r="G2440">
        <v>14</v>
      </c>
      <c r="H2440" t="s">
        <v>92</v>
      </c>
      <c r="I2440" t="s">
        <v>79</v>
      </c>
      <c r="J2440">
        <v>2000</v>
      </c>
      <c r="K2440" t="s">
        <v>79</v>
      </c>
      <c r="L2440">
        <v>3</v>
      </c>
      <c r="M2440">
        <v>191.95999999999998</v>
      </c>
      <c r="N2440">
        <v>4.1999999999999993</v>
      </c>
      <c r="Q2440">
        <v>187.76</v>
      </c>
      <c r="R2440" t="s">
        <v>1493</v>
      </c>
      <c r="V2440">
        <v>0</v>
      </c>
      <c r="W2440">
        <v>0</v>
      </c>
      <c r="AF2440">
        <v>0</v>
      </c>
      <c r="AG2440">
        <v>0</v>
      </c>
      <c r="AH2440">
        <v>0</v>
      </c>
      <c r="AI2440">
        <v>12</v>
      </c>
      <c r="AJ2440">
        <v>12</v>
      </c>
      <c r="AM2440">
        <v>0</v>
      </c>
      <c r="AN2440">
        <v>196.96</v>
      </c>
      <c r="AP2440">
        <v>49</v>
      </c>
      <c r="AQ2440">
        <v>49</v>
      </c>
    </row>
    <row r="2441" spans="1:43" x14ac:dyDescent="0.25">
      <c r="A2441" t="s">
        <v>45</v>
      </c>
      <c r="B2441">
        <v>5</v>
      </c>
      <c r="C2441" t="s">
        <v>1477</v>
      </c>
      <c r="D2441" s="39">
        <v>45996</v>
      </c>
      <c r="E2441" t="s">
        <v>486</v>
      </c>
      <c r="F2441" t="s">
        <v>79</v>
      </c>
      <c r="G2441">
        <v>14</v>
      </c>
      <c r="H2441">
        <v>5</v>
      </c>
      <c r="I2441" t="s">
        <v>79</v>
      </c>
      <c r="J2441">
        <v>2000</v>
      </c>
      <c r="K2441" t="s">
        <v>79</v>
      </c>
      <c r="L2441">
        <v>3</v>
      </c>
      <c r="M2441">
        <v>179.64000000000001</v>
      </c>
      <c r="N2441">
        <v>4.1999999999999993</v>
      </c>
      <c r="Q2441">
        <v>175.44000000000003</v>
      </c>
      <c r="R2441" t="s">
        <v>1571</v>
      </c>
      <c r="V2441">
        <v>0</v>
      </c>
      <c r="W2441">
        <v>0</v>
      </c>
      <c r="AF2441">
        <v>0</v>
      </c>
      <c r="AG2441">
        <v>0</v>
      </c>
      <c r="AH2441">
        <v>0</v>
      </c>
      <c r="AI2441">
        <v>12</v>
      </c>
      <c r="AJ2441">
        <v>12</v>
      </c>
      <c r="AM2441">
        <v>0</v>
      </c>
      <c r="AN2441">
        <v>184.64</v>
      </c>
      <c r="AP2441">
        <v>49</v>
      </c>
      <c r="AQ2441">
        <v>49</v>
      </c>
    </row>
    <row r="2442" spans="1:43" x14ac:dyDescent="0.25">
      <c r="A2442" t="s">
        <v>46</v>
      </c>
      <c r="B2442">
        <v>5</v>
      </c>
      <c r="C2442" t="s">
        <v>1492</v>
      </c>
      <c r="D2442" s="39">
        <v>45996</v>
      </c>
      <c r="E2442" t="s">
        <v>629</v>
      </c>
      <c r="F2442" t="s">
        <v>79</v>
      </c>
      <c r="G2442">
        <v>14</v>
      </c>
      <c r="H2442" t="s">
        <v>92</v>
      </c>
      <c r="I2442" t="s">
        <v>79</v>
      </c>
      <c r="J2442">
        <v>2000</v>
      </c>
      <c r="K2442" t="s">
        <v>79</v>
      </c>
      <c r="L2442">
        <v>8</v>
      </c>
      <c r="M2442">
        <v>459.18999999999994</v>
      </c>
      <c r="N2442">
        <v>11.2</v>
      </c>
      <c r="Q2442">
        <v>447.98999999999995</v>
      </c>
      <c r="R2442" t="s">
        <v>1493</v>
      </c>
      <c r="V2442">
        <v>0</v>
      </c>
      <c r="W2442">
        <v>0</v>
      </c>
      <c r="AF2442">
        <v>0</v>
      </c>
      <c r="AG2442">
        <v>0</v>
      </c>
      <c r="AH2442">
        <v>0</v>
      </c>
      <c r="AI2442">
        <v>12</v>
      </c>
      <c r="AJ2442">
        <v>12</v>
      </c>
      <c r="AM2442">
        <v>0</v>
      </c>
      <c r="AN2442">
        <v>464.18999999999994</v>
      </c>
      <c r="AP2442">
        <v>49</v>
      </c>
      <c r="AQ2442">
        <v>49</v>
      </c>
    </row>
    <row r="2443" spans="1:43" x14ac:dyDescent="0.25">
      <c r="A2443" t="s">
        <v>46</v>
      </c>
      <c r="B2443">
        <v>5</v>
      </c>
      <c r="C2443" t="s">
        <v>1477</v>
      </c>
      <c r="D2443" s="39">
        <v>45996</v>
      </c>
      <c r="E2443" t="s">
        <v>486</v>
      </c>
      <c r="F2443" t="s">
        <v>79</v>
      </c>
      <c r="G2443">
        <v>14</v>
      </c>
      <c r="H2443">
        <v>5</v>
      </c>
      <c r="I2443" t="s">
        <v>79</v>
      </c>
      <c r="J2443">
        <v>2000</v>
      </c>
      <c r="K2443" t="s">
        <v>79</v>
      </c>
      <c r="L2443">
        <v>2</v>
      </c>
      <c r="M2443">
        <v>125.79</v>
      </c>
      <c r="N2443">
        <v>2.8</v>
      </c>
      <c r="Q2443">
        <v>122.99000000000001</v>
      </c>
      <c r="R2443" t="s">
        <v>1571</v>
      </c>
      <c r="V2443">
        <v>0</v>
      </c>
      <c r="W2443">
        <v>0</v>
      </c>
      <c r="AF2443">
        <v>0</v>
      </c>
      <c r="AG2443">
        <v>0</v>
      </c>
      <c r="AH2443">
        <v>0</v>
      </c>
      <c r="AI2443">
        <v>12</v>
      </c>
      <c r="AJ2443">
        <v>12</v>
      </c>
      <c r="AM2443">
        <v>0</v>
      </c>
      <c r="AN2443">
        <v>130.79000000000002</v>
      </c>
      <c r="AP2443">
        <v>49</v>
      </c>
      <c r="AQ2443">
        <v>49</v>
      </c>
    </row>
    <row r="2444" spans="1:43" x14ac:dyDescent="0.25">
      <c r="A2444" t="s">
        <v>45</v>
      </c>
      <c r="B2444">
        <v>1</v>
      </c>
      <c r="C2444" t="s">
        <v>1494</v>
      </c>
      <c r="D2444" s="39">
        <v>45997</v>
      </c>
      <c r="E2444" t="s">
        <v>259</v>
      </c>
      <c r="F2444" t="s">
        <v>79</v>
      </c>
      <c r="G2444">
        <v>2</v>
      </c>
      <c r="H2444" t="s">
        <v>140</v>
      </c>
      <c r="I2444" t="s">
        <v>79</v>
      </c>
      <c r="J2444">
        <v>300</v>
      </c>
      <c r="K2444" t="s">
        <v>79</v>
      </c>
      <c r="L2444">
        <v>12</v>
      </c>
      <c r="M2444">
        <v>130</v>
      </c>
      <c r="N2444">
        <v>1.8</v>
      </c>
      <c r="Q2444">
        <v>128.19999999999999</v>
      </c>
      <c r="R2444" t="s">
        <v>1572</v>
      </c>
      <c r="V2444">
        <v>0</v>
      </c>
      <c r="W2444">
        <v>0</v>
      </c>
      <c r="AF2444">
        <v>0</v>
      </c>
      <c r="AG2444">
        <v>0</v>
      </c>
      <c r="AH2444">
        <v>0</v>
      </c>
      <c r="AI2444">
        <v>25</v>
      </c>
      <c r="AJ2444">
        <v>25</v>
      </c>
      <c r="AM2444">
        <v>0</v>
      </c>
      <c r="AP2444">
        <v>49</v>
      </c>
    </row>
    <row r="2445" spans="1:43" x14ac:dyDescent="0.25">
      <c r="A2445" t="s">
        <v>46</v>
      </c>
      <c r="B2445">
        <v>1</v>
      </c>
      <c r="C2445" t="s">
        <v>1494</v>
      </c>
      <c r="D2445" s="39">
        <v>45997</v>
      </c>
      <c r="E2445" t="s">
        <v>259</v>
      </c>
      <c r="F2445" t="s">
        <v>79</v>
      </c>
      <c r="G2445">
        <v>2</v>
      </c>
      <c r="H2445" t="s">
        <v>140</v>
      </c>
      <c r="I2445" t="s">
        <v>79</v>
      </c>
      <c r="J2445">
        <v>300</v>
      </c>
      <c r="K2445" t="s">
        <v>79</v>
      </c>
      <c r="L2445">
        <v>12</v>
      </c>
      <c r="M2445">
        <v>130</v>
      </c>
      <c r="N2445">
        <v>1.8</v>
      </c>
      <c r="Q2445">
        <v>128.19999999999999</v>
      </c>
      <c r="R2445" t="s">
        <v>1572</v>
      </c>
      <c r="V2445">
        <v>0</v>
      </c>
      <c r="W2445">
        <v>0</v>
      </c>
      <c r="AF2445">
        <v>0</v>
      </c>
      <c r="AG2445">
        <v>0</v>
      </c>
      <c r="AH2445">
        <v>0</v>
      </c>
      <c r="AI2445">
        <v>26</v>
      </c>
      <c r="AJ2445">
        <v>26</v>
      </c>
      <c r="AM2445">
        <v>0</v>
      </c>
      <c r="AP2445">
        <v>49</v>
      </c>
    </row>
    <row r="2446" spans="1:43" x14ac:dyDescent="0.25">
      <c r="A2446" t="s">
        <v>45</v>
      </c>
      <c r="B2446">
        <v>3</v>
      </c>
      <c r="C2446" t="s">
        <v>1496</v>
      </c>
      <c r="D2446" s="39">
        <v>45997</v>
      </c>
      <c r="E2446" t="s">
        <v>486</v>
      </c>
      <c r="F2446" t="s">
        <v>79</v>
      </c>
      <c r="G2446">
        <v>9</v>
      </c>
      <c r="H2446" t="s">
        <v>113</v>
      </c>
      <c r="I2446" t="s">
        <v>79</v>
      </c>
      <c r="J2446">
        <v>1000</v>
      </c>
      <c r="K2446" t="s">
        <v>79</v>
      </c>
      <c r="L2446">
        <v>9</v>
      </c>
      <c r="M2446">
        <v>320</v>
      </c>
      <c r="N2446">
        <v>8.1</v>
      </c>
      <c r="Q2446">
        <v>311.89999999999998</v>
      </c>
      <c r="R2446" t="s">
        <v>1573</v>
      </c>
      <c r="V2446">
        <v>0</v>
      </c>
      <c r="W2446">
        <v>0</v>
      </c>
      <c r="AF2446">
        <v>0</v>
      </c>
      <c r="AG2446">
        <v>0</v>
      </c>
      <c r="AH2446">
        <v>0</v>
      </c>
      <c r="AI2446">
        <v>27</v>
      </c>
      <c r="AJ2446">
        <v>27</v>
      </c>
      <c r="AM2446">
        <v>0</v>
      </c>
      <c r="AP2446">
        <v>49</v>
      </c>
    </row>
    <row r="2447" spans="1:43" x14ac:dyDescent="0.25">
      <c r="A2447" t="s">
        <v>46</v>
      </c>
      <c r="B2447">
        <v>3</v>
      </c>
      <c r="C2447" t="s">
        <v>1496</v>
      </c>
      <c r="D2447" s="39">
        <v>45997</v>
      </c>
      <c r="E2447" t="s">
        <v>486</v>
      </c>
      <c r="F2447" t="s">
        <v>79</v>
      </c>
      <c r="G2447">
        <v>9</v>
      </c>
      <c r="H2447" t="s">
        <v>113</v>
      </c>
      <c r="I2447" t="s">
        <v>79</v>
      </c>
      <c r="J2447">
        <v>1000</v>
      </c>
      <c r="K2447" t="s">
        <v>79</v>
      </c>
      <c r="L2447">
        <v>9</v>
      </c>
      <c r="M2447">
        <v>320</v>
      </c>
      <c r="N2447">
        <v>8.1</v>
      </c>
      <c r="Q2447">
        <v>311.89999999999998</v>
      </c>
      <c r="R2447" t="s">
        <v>1573</v>
      </c>
      <c r="V2447">
        <v>0</v>
      </c>
      <c r="W2447">
        <v>0</v>
      </c>
      <c r="AF2447">
        <v>0</v>
      </c>
      <c r="AG2447">
        <v>0</v>
      </c>
      <c r="AH2447">
        <v>0</v>
      </c>
      <c r="AI2447">
        <v>28</v>
      </c>
      <c r="AJ2447">
        <v>28</v>
      </c>
      <c r="AM2447">
        <v>0</v>
      </c>
      <c r="AP2447">
        <v>49</v>
      </c>
    </row>
    <row r="2448" spans="1:43" x14ac:dyDescent="0.25">
      <c r="A2448" t="s">
        <v>45</v>
      </c>
      <c r="B2448">
        <v>4</v>
      </c>
      <c r="C2448" t="s">
        <v>1499</v>
      </c>
      <c r="D2448" s="39">
        <v>45997</v>
      </c>
      <c r="E2448" t="s">
        <v>276</v>
      </c>
      <c r="F2448" t="s">
        <v>79</v>
      </c>
      <c r="G2448">
        <v>24</v>
      </c>
      <c r="H2448" t="s">
        <v>113</v>
      </c>
      <c r="I2448" t="s">
        <v>79</v>
      </c>
      <c r="J2448">
        <v>1000</v>
      </c>
      <c r="K2448" t="s">
        <v>79</v>
      </c>
      <c r="L2448">
        <v>12</v>
      </c>
      <c r="M2448">
        <v>760</v>
      </c>
      <c r="N2448">
        <v>28.799999999999997</v>
      </c>
      <c r="Q2448">
        <v>731.2</v>
      </c>
      <c r="R2448" t="s">
        <v>1574</v>
      </c>
      <c r="S2448">
        <v>25</v>
      </c>
      <c r="V2448">
        <v>25</v>
      </c>
      <c r="W2448">
        <v>0.41666666666666674</v>
      </c>
      <c r="AF2448">
        <v>0</v>
      </c>
      <c r="AG2448">
        <v>0</v>
      </c>
      <c r="AH2448">
        <v>0.41666666666666674</v>
      </c>
      <c r="AI2448">
        <v>28.583333333333332</v>
      </c>
      <c r="AJ2448">
        <v>29</v>
      </c>
      <c r="AM2448">
        <v>0</v>
      </c>
      <c r="AP2448">
        <v>49</v>
      </c>
    </row>
    <row r="2449" spans="1:43" x14ac:dyDescent="0.25">
      <c r="A2449" t="s">
        <v>46</v>
      </c>
      <c r="B2449">
        <v>4</v>
      </c>
      <c r="C2449" t="s">
        <v>1499</v>
      </c>
      <c r="D2449" s="39">
        <v>45997</v>
      </c>
      <c r="E2449" t="s">
        <v>276</v>
      </c>
      <c r="F2449" t="s">
        <v>79</v>
      </c>
      <c r="G2449">
        <v>24</v>
      </c>
      <c r="H2449" t="s">
        <v>113</v>
      </c>
      <c r="I2449" t="s">
        <v>79</v>
      </c>
      <c r="J2449">
        <v>1000</v>
      </c>
      <c r="K2449" t="s">
        <v>79</v>
      </c>
      <c r="L2449">
        <v>13</v>
      </c>
      <c r="M2449">
        <v>780</v>
      </c>
      <c r="N2449">
        <v>31.2</v>
      </c>
      <c r="Q2449">
        <v>748.8</v>
      </c>
      <c r="R2449" t="s">
        <v>1574</v>
      </c>
      <c r="V2449">
        <v>0</v>
      </c>
      <c r="W2449">
        <v>0</v>
      </c>
      <c r="AF2449">
        <v>0</v>
      </c>
      <c r="AG2449">
        <v>0</v>
      </c>
      <c r="AH2449">
        <v>0</v>
      </c>
      <c r="AI2449">
        <v>30</v>
      </c>
      <c r="AJ2449">
        <v>30</v>
      </c>
      <c r="AM2449">
        <v>0</v>
      </c>
      <c r="AP2449">
        <v>49</v>
      </c>
    </row>
    <row r="2450" spans="1:43" x14ac:dyDescent="0.25">
      <c r="A2450" t="s">
        <v>45</v>
      </c>
      <c r="B2450">
        <v>5</v>
      </c>
      <c r="C2450" t="s">
        <v>1477</v>
      </c>
      <c r="D2450" s="39">
        <v>45997</v>
      </c>
      <c r="E2450" t="s">
        <v>486</v>
      </c>
      <c r="F2450" t="s">
        <v>79</v>
      </c>
      <c r="G2450">
        <v>14</v>
      </c>
      <c r="H2450">
        <v>5</v>
      </c>
      <c r="I2450" t="s">
        <v>79</v>
      </c>
      <c r="J2450">
        <v>2000</v>
      </c>
      <c r="K2450" t="s">
        <v>79</v>
      </c>
      <c r="L2450">
        <v>13</v>
      </c>
      <c r="M2450">
        <v>540</v>
      </c>
      <c r="N2450">
        <v>18.2</v>
      </c>
      <c r="O2450">
        <v>24</v>
      </c>
      <c r="Q2450">
        <v>521.79999999999995</v>
      </c>
      <c r="R2450" t="s">
        <v>1571</v>
      </c>
      <c r="V2450">
        <v>0</v>
      </c>
      <c r="W2450">
        <v>0</v>
      </c>
      <c r="AF2450">
        <v>0</v>
      </c>
      <c r="AG2450">
        <v>0</v>
      </c>
      <c r="AH2450">
        <v>0</v>
      </c>
      <c r="AI2450">
        <v>31</v>
      </c>
      <c r="AJ2450">
        <v>31</v>
      </c>
      <c r="AM2450">
        <v>0</v>
      </c>
      <c r="AP2450">
        <v>49</v>
      </c>
    </row>
    <row r="2451" spans="1:43" x14ac:dyDescent="0.25">
      <c r="A2451" t="s">
        <v>46</v>
      </c>
      <c r="B2451">
        <v>5</v>
      </c>
      <c r="C2451" t="s">
        <v>1477</v>
      </c>
      <c r="D2451" s="39">
        <v>45997</v>
      </c>
      <c r="E2451" t="s">
        <v>486</v>
      </c>
      <c r="F2451" t="s">
        <v>79</v>
      </c>
      <c r="G2451">
        <v>14</v>
      </c>
      <c r="H2451">
        <v>5</v>
      </c>
      <c r="I2451" t="s">
        <v>79</v>
      </c>
      <c r="J2451">
        <v>2000</v>
      </c>
      <c r="K2451" t="s">
        <v>79</v>
      </c>
      <c r="L2451">
        <v>13</v>
      </c>
      <c r="M2451">
        <v>550</v>
      </c>
      <c r="N2451">
        <v>18.2</v>
      </c>
      <c r="O2451">
        <v>22</v>
      </c>
      <c r="Q2451">
        <v>531.79999999999995</v>
      </c>
      <c r="R2451" t="s">
        <v>1571</v>
      </c>
      <c r="V2451">
        <v>0</v>
      </c>
      <c r="W2451">
        <v>0</v>
      </c>
      <c r="AF2451">
        <v>0</v>
      </c>
      <c r="AG2451">
        <v>0</v>
      </c>
      <c r="AH2451">
        <v>0</v>
      </c>
      <c r="AI2451">
        <v>32</v>
      </c>
      <c r="AJ2451">
        <v>32</v>
      </c>
      <c r="AM2451">
        <v>0</v>
      </c>
      <c r="AP2451">
        <v>49</v>
      </c>
    </row>
    <row r="2452" spans="1:43" x14ac:dyDescent="0.25">
      <c r="A2452" t="s">
        <v>45</v>
      </c>
      <c r="B2452">
        <v>1</v>
      </c>
      <c r="C2452" t="s">
        <v>1494</v>
      </c>
      <c r="D2452" s="39">
        <v>45998</v>
      </c>
      <c r="E2452" t="s">
        <v>259</v>
      </c>
      <c r="F2452" t="s">
        <v>79</v>
      </c>
      <c r="G2452">
        <v>2</v>
      </c>
      <c r="H2452" t="s">
        <v>140</v>
      </c>
      <c r="I2452" t="s">
        <v>79</v>
      </c>
      <c r="J2452">
        <v>300</v>
      </c>
      <c r="K2452" t="s">
        <v>79</v>
      </c>
      <c r="L2452">
        <v>4</v>
      </c>
      <c r="M2452">
        <v>42.29</v>
      </c>
      <c r="N2452">
        <v>0.8</v>
      </c>
      <c r="Q2452">
        <v>41.49</v>
      </c>
      <c r="R2452" t="s">
        <v>1572</v>
      </c>
      <c r="V2452">
        <v>0</v>
      </c>
      <c r="W2452">
        <v>0</v>
      </c>
      <c r="AF2452">
        <v>0</v>
      </c>
      <c r="AG2452">
        <v>0</v>
      </c>
      <c r="AH2452">
        <v>0</v>
      </c>
      <c r="AI2452">
        <v>12</v>
      </c>
      <c r="AJ2452">
        <v>12</v>
      </c>
      <c r="AM2452">
        <v>0</v>
      </c>
      <c r="AN2452">
        <v>47.29</v>
      </c>
      <c r="AP2452">
        <v>49</v>
      </c>
      <c r="AQ2452">
        <v>49</v>
      </c>
    </row>
    <row r="2453" spans="1:43" x14ac:dyDescent="0.25">
      <c r="A2453" t="s">
        <v>45</v>
      </c>
      <c r="B2453">
        <v>1</v>
      </c>
      <c r="C2453" t="s">
        <v>1495</v>
      </c>
      <c r="D2453" s="39">
        <v>45998</v>
      </c>
      <c r="E2453" t="s">
        <v>486</v>
      </c>
      <c r="F2453" t="s">
        <v>79</v>
      </c>
      <c r="G2453">
        <v>3</v>
      </c>
      <c r="H2453" t="s">
        <v>92</v>
      </c>
      <c r="I2453" t="s">
        <v>79</v>
      </c>
      <c r="J2453">
        <v>1000</v>
      </c>
      <c r="K2453" t="s">
        <v>79</v>
      </c>
      <c r="L2453">
        <v>7</v>
      </c>
      <c r="M2453">
        <v>110.80999999999999</v>
      </c>
      <c r="N2453">
        <v>2.1</v>
      </c>
      <c r="O2453">
        <v>12</v>
      </c>
      <c r="Q2453">
        <v>108.71</v>
      </c>
      <c r="R2453" t="s">
        <v>1517</v>
      </c>
      <c r="S2453">
        <v>15</v>
      </c>
      <c r="V2453">
        <v>15</v>
      </c>
      <c r="W2453">
        <v>0.25</v>
      </c>
      <c r="AF2453">
        <v>0</v>
      </c>
      <c r="AG2453">
        <v>0</v>
      </c>
      <c r="AH2453">
        <v>0.25</v>
      </c>
      <c r="AI2453">
        <v>11.75</v>
      </c>
      <c r="AJ2453">
        <v>12</v>
      </c>
      <c r="AM2453">
        <v>0</v>
      </c>
      <c r="AN2453">
        <v>115.81</v>
      </c>
      <c r="AP2453">
        <v>49</v>
      </c>
      <c r="AQ2453">
        <v>49</v>
      </c>
    </row>
    <row r="2454" spans="1:43" x14ac:dyDescent="0.25">
      <c r="A2454" t="s">
        <v>46</v>
      </c>
      <c r="B2454">
        <v>1</v>
      </c>
      <c r="C2454" t="s">
        <v>1495</v>
      </c>
      <c r="D2454" s="39">
        <v>45998</v>
      </c>
      <c r="E2454" t="s">
        <v>486</v>
      </c>
      <c r="F2454" t="s">
        <v>79</v>
      </c>
      <c r="G2454">
        <v>3</v>
      </c>
      <c r="H2454" t="s">
        <v>92</v>
      </c>
      <c r="I2454" t="s">
        <v>79</v>
      </c>
      <c r="J2454">
        <v>1000</v>
      </c>
      <c r="K2454" t="s">
        <v>79</v>
      </c>
      <c r="L2454">
        <v>10</v>
      </c>
      <c r="M2454">
        <v>159.17000000000002</v>
      </c>
      <c r="N2454">
        <v>3</v>
      </c>
      <c r="O2454">
        <v>23</v>
      </c>
      <c r="Q2454">
        <v>156.17000000000002</v>
      </c>
      <c r="R2454" t="s">
        <v>1517</v>
      </c>
      <c r="V2454">
        <v>0</v>
      </c>
      <c r="W2454">
        <v>0</v>
      </c>
      <c r="AF2454">
        <v>0</v>
      </c>
      <c r="AG2454">
        <v>0</v>
      </c>
      <c r="AH2454">
        <v>0</v>
      </c>
      <c r="AI2454">
        <v>12</v>
      </c>
      <c r="AJ2454">
        <v>12</v>
      </c>
      <c r="AM2454">
        <v>0</v>
      </c>
      <c r="AN2454">
        <v>164.17000000000002</v>
      </c>
      <c r="AP2454">
        <v>49</v>
      </c>
      <c r="AQ2454">
        <v>49</v>
      </c>
    </row>
    <row r="2455" spans="1:43" x14ac:dyDescent="0.25">
      <c r="A2455" t="s">
        <v>45</v>
      </c>
      <c r="B2455">
        <v>3</v>
      </c>
      <c r="C2455" t="s">
        <v>1496</v>
      </c>
      <c r="D2455" s="39">
        <v>45998</v>
      </c>
      <c r="E2455" t="s">
        <v>486</v>
      </c>
      <c r="F2455" t="s">
        <v>79</v>
      </c>
      <c r="G2455">
        <v>9</v>
      </c>
      <c r="H2455" t="s">
        <v>113</v>
      </c>
      <c r="I2455" t="s">
        <v>79</v>
      </c>
      <c r="J2455">
        <v>1000</v>
      </c>
      <c r="K2455" t="s">
        <v>79</v>
      </c>
      <c r="L2455">
        <v>7</v>
      </c>
      <c r="M2455">
        <v>355.6</v>
      </c>
      <c r="N2455">
        <v>6.3</v>
      </c>
      <c r="Q2455">
        <v>349.3</v>
      </c>
      <c r="R2455" t="s">
        <v>1573</v>
      </c>
      <c r="V2455">
        <v>0</v>
      </c>
      <c r="W2455">
        <v>0</v>
      </c>
      <c r="AF2455">
        <v>0</v>
      </c>
      <c r="AG2455">
        <v>0</v>
      </c>
      <c r="AH2455">
        <v>0</v>
      </c>
      <c r="AI2455">
        <v>12</v>
      </c>
      <c r="AJ2455">
        <v>12</v>
      </c>
      <c r="AM2455">
        <v>0</v>
      </c>
      <c r="AN2455">
        <v>360.6</v>
      </c>
      <c r="AP2455">
        <v>49</v>
      </c>
      <c r="AQ2455">
        <v>49</v>
      </c>
    </row>
    <row r="2456" spans="1:43" x14ac:dyDescent="0.25">
      <c r="A2456" t="s">
        <v>46</v>
      </c>
      <c r="B2456">
        <v>3</v>
      </c>
      <c r="C2456" t="s">
        <v>1496</v>
      </c>
      <c r="D2456" s="39">
        <v>45998</v>
      </c>
      <c r="E2456" t="s">
        <v>486</v>
      </c>
      <c r="F2456" t="s">
        <v>79</v>
      </c>
      <c r="G2456">
        <v>9</v>
      </c>
      <c r="H2456" t="s">
        <v>113</v>
      </c>
      <c r="I2456" t="s">
        <v>79</v>
      </c>
      <c r="J2456">
        <v>1000</v>
      </c>
      <c r="K2456" t="s">
        <v>79</v>
      </c>
      <c r="L2456">
        <v>4</v>
      </c>
      <c r="M2456">
        <v>215.67000000000002</v>
      </c>
      <c r="N2456">
        <v>4.4000000000000004</v>
      </c>
      <c r="Q2456">
        <v>211.27</v>
      </c>
      <c r="R2456" t="s">
        <v>1573</v>
      </c>
      <c r="S2456">
        <v>20</v>
      </c>
      <c r="V2456">
        <v>20</v>
      </c>
      <c r="W2456">
        <v>0.33333333333333331</v>
      </c>
      <c r="AF2456">
        <v>0</v>
      </c>
      <c r="AG2456">
        <v>0</v>
      </c>
      <c r="AH2456">
        <v>0.33333333333333331</v>
      </c>
      <c r="AI2456">
        <v>11.666666666666666</v>
      </c>
      <c r="AJ2456">
        <v>12</v>
      </c>
      <c r="AM2456">
        <v>0</v>
      </c>
      <c r="AN2456">
        <v>220.67</v>
      </c>
      <c r="AP2456">
        <v>49</v>
      </c>
      <c r="AQ2456">
        <v>49</v>
      </c>
    </row>
    <row r="2457" spans="1:43" x14ac:dyDescent="0.25">
      <c r="A2457" t="s">
        <v>46</v>
      </c>
      <c r="B2457">
        <v>3</v>
      </c>
      <c r="C2457" t="s">
        <v>1497</v>
      </c>
      <c r="D2457" s="39">
        <v>45998</v>
      </c>
      <c r="E2457" t="s">
        <v>482</v>
      </c>
      <c r="F2457" t="s">
        <v>79</v>
      </c>
      <c r="G2457">
        <v>10</v>
      </c>
      <c r="H2457">
        <v>7</v>
      </c>
      <c r="I2457" t="s">
        <v>79</v>
      </c>
      <c r="J2457">
        <v>100</v>
      </c>
      <c r="K2457" t="s">
        <v>79</v>
      </c>
      <c r="L2457">
        <v>3</v>
      </c>
      <c r="M2457">
        <v>111.95</v>
      </c>
      <c r="N2457">
        <v>3.9000000000000004</v>
      </c>
      <c r="Q2457">
        <v>108.05</v>
      </c>
      <c r="R2457" t="s">
        <v>1498</v>
      </c>
      <c r="V2457">
        <v>0</v>
      </c>
      <c r="W2457">
        <v>0</v>
      </c>
      <c r="AF2457">
        <v>0</v>
      </c>
      <c r="AG2457">
        <v>0</v>
      </c>
      <c r="AH2457">
        <v>0</v>
      </c>
      <c r="AI2457">
        <v>12</v>
      </c>
      <c r="AJ2457">
        <v>12</v>
      </c>
      <c r="AM2457">
        <v>0</v>
      </c>
      <c r="AN2457">
        <v>116.95</v>
      </c>
      <c r="AP2457">
        <v>49</v>
      </c>
      <c r="AQ2457">
        <v>49</v>
      </c>
    </row>
    <row r="2458" spans="1:43" x14ac:dyDescent="0.25">
      <c r="A2458" t="s">
        <v>45</v>
      </c>
      <c r="B2458">
        <v>4</v>
      </c>
      <c r="C2458" t="s">
        <v>1499</v>
      </c>
      <c r="D2458" s="39">
        <v>45998</v>
      </c>
      <c r="E2458" t="s">
        <v>276</v>
      </c>
      <c r="F2458" t="s">
        <v>79</v>
      </c>
      <c r="G2458">
        <v>24</v>
      </c>
      <c r="H2458" t="s">
        <v>113</v>
      </c>
      <c r="I2458" t="s">
        <v>79</v>
      </c>
      <c r="J2458">
        <v>1000</v>
      </c>
      <c r="K2458" t="s">
        <v>79</v>
      </c>
      <c r="L2458">
        <v>13</v>
      </c>
      <c r="M2458">
        <v>823.35000000000014</v>
      </c>
      <c r="N2458">
        <v>31.2</v>
      </c>
      <c r="Q2458">
        <v>792.15000000000009</v>
      </c>
      <c r="R2458" t="s">
        <v>1574</v>
      </c>
      <c r="S2458">
        <v>35</v>
      </c>
      <c r="V2458">
        <v>35</v>
      </c>
      <c r="W2458">
        <v>0.58333333333333337</v>
      </c>
      <c r="AF2458">
        <v>0</v>
      </c>
      <c r="AG2458">
        <v>0</v>
      </c>
      <c r="AH2458">
        <v>0.58333333333333337</v>
      </c>
      <c r="AI2458">
        <v>11.416666666666666</v>
      </c>
      <c r="AJ2458">
        <v>12</v>
      </c>
      <c r="AM2458">
        <v>0</v>
      </c>
      <c r="AN2458">
        <v>828.35000000000014</v>
      </c>
      <c r="AP2458">
        <v>49</v>
      </c>
      <c r="AQ2458">
        <v>49</v>
      </c>
    </row>
    <row r="2459" spans="1:43" x14ac:dyDescent="0.25">
      <c r="A2459" t="s">
        <v>46</v>
      </c>
      <c r="B2459">
        <v>4</v>
      </c>
      <c r="C2459" t="s">
        <v>1500</v>
      </c>
      <c r="D2459" s="39">
        <v>45998</v>
      </c>
      <c r="E2459" t="s">
        <v>276</v>
      </c>
      <c r="F2459" t="s">
        <v>79</v>
      </c>
      <c r="G2459">
        <v>28</v>
      </c>
      <c r="H2459" t="s">
        <v>113</v>
      </c>
      <c r="I2459" t="s">
        <v>79</v>
      </c>
      <c r="J2459">
        <v>500</v>
      </c>
      <c r="K2459" t="s">
        <v>79</v>
      </c>
      <c r="L2459">
        <v>8</v>
      </c>
      <c r="M2459">
        <v>526.30000000000007</v>
      </c>
      <c r="N2459">
        <v>28</v>
      </c>
      <c r="Q2459">
        <v>498.30000000000007</v>
      </c>
      <c r="R2459" t="s">
        <v>1501</v>
      </c>
      <c r="S2459">
        <v>30</v>
      </c>
      <c r="V2459">
        <v>30</v>
      </c>
      <c r="W2459">
        <v>0.5</v>
      </c>
      <c r="AF2459">
        <v>0</v>
      </c>
      <c r="AG2459">
        <v>0</v>
      </c>
      <c r="AH2459">
        <v>0.5</v>
      </c>
      <c r="AI2459">
        <v>11.5</v>
      </c>
      <c r="AJ2459">
        <v>12</v>
      </c>
      <c r="AM2459">
        <v>0</v>
      </c>
      <c r="AN2459">
        <v>531.30000000000007</v>
      </c>
      <c r="AP2459">
        <v>49</v>
      </c>
      <c r="AQ2459">
        <v>49</v>
      </c>
    </row>
    <row r="2460" spans="1:43" x14ac:dyDescent="0.25">
      <c r="A2460" t="s">
        <v>46</v>
      </c>
      <c r="B2460">
        <v>4</v>
      </c>
      <c r="C2460" t="s">
        <v>1502</v>
      </c>
      <c r="D2460" s="39">
        <v>45998</v>
      </c>
      <c r="E2460" t="s">
        <v>1503</v>
      </c>
      <c r="F2460" t="s">
        <v>79</v>
      </c>
      <c r="G2460">
        <v>20</v>
      </c>
      <c r="H2460" t="s">
        <v>98</v>
      </c>
      <c r="I2460" t="s">
        <v>79</v>
      </c>
      <c r="J2460">
        <v>100</v>
      </c>
      <c r="K2460" t="s">
        <v>79</v>
      </c>
      <c r="L2460">
        <v>2</v>
      </c>
      <c r="M2460">
        <v>104.57</v>
      </c>
      <c r="N2460">
        <v>4</v>
      </c>
      <c r="Q2460">
        <v>100.57</v>
      </c>
      <c r="R2460" t="s">
        <v>1504</v>
      </c>
      <c r="V2460">
        <v>0</v>
      </c>
      <c r="W2460">
        <v>0</v>
      </c>
      <c r="AF2460">
        <v>0</v>
      </c>
      <c r="AG2460">
        <v>0</v>
      </c>
      <c r="AH2460">
        <v>0</v>
      </c>
      <c r="AI2460">
        <v>12</v>
      </c>
      <c r="AJ2460">
        <v>12</v>
      </c>
      <c r="AM2460">
        <v>0</v>
      </c>
      <c r="AN2460">
        <v>109.57</v>
      </c>
      <c r="AP2460">
        <v>49</v>
      </c>
      <c r="AQ2460">
        <v>49</v>
      </c>
    </row>
    <row r="2461" spans="1:43" x14ac:dyDescent="0.25">
      <c r="A2461" t="s">
        <v>46</v>
      </c>
      <c r="B2461">
        <v>4</v>
      </c>
      <c r="C2461" t="s">
        <v>1505</v>
      </c>
      <c r="D2461" s="39">
        <v>45998</v>
      </c>
      <c r="E2461" t="s">
        <v>276</v>
      </c>
      <c r="F2461" t="s">
        <v>79</v>
      </c>
      <c r="G2461">
        <v>20</v>
      </c>
      <c r="H2461" t="s">
        <v>113</v>
      </c>
      <c r="I2461" t="s">
        <v>79</v>
      </c>
      <c r="J2461">
        <v>1000</v>
      </c>
      <c r="K2461" t="s">
        <v>79</v>
      </c>
      <c r="L2461">
        <v>1</v>
      </c>
      <c r="M2461">
        <v>52.41</v>
      </c>
      <c r="N2461">
        <v>1.66</v>
      </c>
      <c r="Q2461">
        <v>50.75</v>
      </c>
      <c r="R2461" t="s">
        <v>1506</v>
      </c>
      <c r="V2461">
        <v>0</v>
      </c>
      <c r="W2461">
        <v>0</v>
      </c>
      <c r="AF2461">
        <v>0</v>
      </c>
      <c r="AG2461">
        <v>0</v>
      </c>
      <c r="AH2461">
        <v>0</v>
      </c>
      <c r="AI2461">
        <v>12</v>
      </c>
      <c r="AJ2461">
        <v>12</v>
      </c>
      <c r="AM2461">
        <v>0</v>
      </c>
      <c r="AN2461">
        <v>57.41</v>
      </c>
      <c r="AP2461">
        <v>49</v>
      </c>
      <c r="AQ2461">
        <v>49</v>
      </c>
    </row>
    <row r="2462" spans="1:43" x14ac:dyDescent="0.25">
      <c r="A2462" t="s">
        <v>45</v>
      </c>
      <c r="B2462">
        <v>5</v>
      </c>
      <c r="C2462" t="s">
        <v>1477</v>
      </c>
      <c r="D2462" s="39">
        <v>45998</v>
      </c>
      <c r="E2462" t="s">
        <v>486</v>
      </c>
      <c r="F2462" t="s">
        <v>79</v>
      </c>
      <c r="G2462">
        <v>14</v>
      </c>
      <c r="H2462">
        <v>5</v>
      </c>
      <c r="I2462" t="s">
        <v>79</v>
      </c>
      <c r="J2462">
        <v>2000</v>
      </c>
      <c r="K2462" t="s">
        <v>79</v>
      </c>
      <c r="L2462">
        <v>6</v>
      </c>
      <c r="M2462">
        <v>472.59</v>
      </c>
      <c r="N2462">
        <v>10.199999999999999</v>
      </c>
      <c r="Q2462">
        <v>462.39</v>
      </c>
      <c r="R2462" t="s">
        <v>1571</v>
      </c>
      <c r="V2462">
        <v>0</v>
      </c>
      <c r="W2462">
        <v>0</v>
      </c>
      <c r="AF2462">
        <v>0</v>
      </c>
      <c r="AG2462">
        <v>0</v>
      </c>
      <c r="AH2462">
        <v>0</v>
      </c>
      <c r="AI2462">
        <v>12</v>
      </c>
      <c r="AJ2462">
        <v>12</v>
      </c>
      <c r="AM2462">
        <v>0</v>
      </c>
      <c r="AN2462">
        <v>477.59</v>
      </c>
      <c r="AP2462">
        <v>49</v>
      </c>
      <c r="AQ2462">
        <v>49</v>
      </c>
    </row>
    <row r="2463" spans="1:43" x14ac:dyDescent="0.25">
      <c r="A2463" t="s">
        <v>45</v>
      </c>
      <c r="B2463">
        <v>5</v>
      </c>
      <c r="C2463" t="s">
        <v>1492</v>
      </c>
      <c r="D2463" s="39">
        <v>45998</v>
      </c>
      <c r="E2463" t="s">
        <v>629</v>
      </c>
      <c r="F2463" t="s">
        <v>79</v>
      </c>
      <c r="G2463">
        <v>14</v>
      </c>
      <c r="H2463" t="s">
        <v>92</v>
      </c>
      <c r="I2463" t="s">
        <v>79</v>
      </c>
      <c r="J2463">
        <v>2000</v>
      </c>
      <c r="K2463" t="s">
        <v>79</v>
      </c>
      <c r="L2463">
        <v>1</v>
      </c>
      <c r="M2463">
        <v>77.94</v>
      </c>
      <c r="N2463">
        <v>1.4</v>
      </c>
      <c r="Q2463">
        <v>76.539999999999992</v>
      </c>
      <c r="R2463" t="s">
        <v>1493</v>
      </c>
      <c r="V2463">
        <v>0</v>
      </c>
      <c r="W2463">
        <v>0</v>
      </c>
      <c r="AF2463">
        <v>0</v>
      </c>
      <c r="AG2463">
        <v>0</v>
      </c>
      <c r="AH2463">
        <v>0</v>
      </c>
      <c r="AI2463">
        <v>12</v>
      </c>
      <c r="AJ2463">
        <v>12</v>
      </c>
      <c r="AM2463">
        <v>0</v>
      </c>
      <c r="AN2463">
        <v>82.94</v>
      </c>
      <c r="AP2463">
        <v>49</v>
      </c>
      <c r="AQ2463">
        <v>49</v>
      </c>
    </row>
    <row r="2464" spans="1:43" x14ac:dyDescent="0.25">
      <c r="A2464" t="s">
        <v>46</v>
      </c>
      <c r="B2464">
        <v>5</v>
      </c>
      <c r="C2464" t="s">
        <v>1492</v>
      </c>
      <c r="D2464" s="39">
        <v>45998</v>
      </c>
      <c r="E2464" t="s">
        <v>629</v>
      </c>
      <c r="F2464" t="s">
        <v>79</v>
      </c>
      <c r="G2464">
        <v>14</v>
      </c>
      <c r="H2464" t="s">
        <v>92</v>
      </c>
      <c r="I2464" t="s">
        <v>79</v>
      </c>
      <c r="J2464">
        <v>2000</v>
      </c>
      <c r="K2464" t="s">
        <v>79</v>
      </c>
      <c r="L2464">
        <v>9</v>
      </c>
      <c r="M2464">
        <v>603.29</v>
      </c>
      <c r="N2464">
        <v>15.299999999999999</v>
      </c>
      <c r="Q2464">
        <v>587.99</v>
      </c>
      <c r="R2464" t="s">
        <v>1493</v>
      </c>
      <c r="V2464">
        <v>0</v>
      </c>
      <c r="W2464">
        <v>0</v>
      </c>
      <c r="AF2464">
        <v>0</v>
      </c>
      <c r="AG2464">
        <v>0</v>
      </c>
      <c r="AH2464">
        <v>0</v>
      </c>
      <c r="AI2464">
        <v>12</v>
      </c>
      <c r="AJ2464">
        <v>12</v>
      </c>
      <c r="AM2464">
        <v>0</v>
      </c>
      <c r="AN2464">
        <v>608.29</v>
      </c>
      <c r="AP2464">
        <v>49</v>
      </c>
      <c r="AQ2464">
        <v>49</v>
      </c>
    </row>
    <row r="2465" spans="1:43" x14ac:dyDescent="0.25">
      <c r="A2465" t="s">
        <v>45</v>
      </c>
      <c r="B2465">
        <v>1</v>
      </c>
      <c r="C2465" t="s">
        <v>1495</v>
      </c>
      <c r="D2465" s="39">
        <v>45999</v>
      </c>
      <c r="E2465" t="s">
        <v>486</v>
      </c>
      <c r="F2465" t="s">
        <v>79</v>
      </c>
      <c r="G2465">
        <v>3</v>
      </c>
      <c r="H2465" t="s">
        <v>92</v>
      </c>
      <c r="I2465" t="s">
        <v>79</v>
      </c>
      <c r="J2465">
        <v>1000</v>
      </c>
      <c r="K2465" t="s">
        <v>79</v>
      </c>
      <c r="L2465">
        <v>10</v>
      </c>
      <c r="M2465">
        <v>148.77999999999997</v>
      </c>
      <c r="N2465">
        <v>3</v>
      </c>
      <c r="O2465">
        <v>19</v>
      </c>
      <c r="Q2465">
        <v>145.77999999999997</v>
      </c>
      <c r="R2465" t="s">
        <v>1517</v>
      </c>
      <c r="V2465">
        <v>0</v>
      </c>
      <c r="W2465">
        <v>0</v>
      </c>
      <c r="AF2465">
        <v>0</v>
      </c>
      <c r="AG2465">
        <v>0</v>
      </c>
      <c r="AH2465">
        <v>0</v>
      </c>
      <c r="AI2465">
        <v>12</v>
      </c>
      <c r="AJ2465">
        <v>12</v>
      </c>
      <c r="AM2465">
        <v>0</v>
      </c>
      <c r="AN2465">
        <v>153.77999999999997</v>
      </c>
      <c r="AP2465">
        <v>50</v>
      </c>
      <c r="AQ2465">
        <v>50</v>
      </c>
    </row>
    <row r="2466" spans="1:43" x14ac:dyDescent="0.25">
      <c r="A2466" t="s">
        <v>46</v>
      </c>
      <c r="B2466">
        <v>1</v>
      </c>
      <c r="C2466" t="s">
        <v>1495</v>
      </c>
      <c r="D2466" s="39">
        <v>45999</v>
      </c>
      <c r="E2466" t="s">
        <v>486</v>
      </c>
      <c r="F2466" t="s">
        <v>79</v>
      </c>
      <c r="G2466">
        <v>3</v>
      </c>
      <c r="H2466" t="s">
        <v>92</v>
      </c>
      <c r="I2466" t="s">
        <v>79</v>
      </c>
      <c r="J2466">
        <v>1000</v>
      </c>
      <c r="K2466" t="s">
        <v>79</v>
      </c>
      <c r="L2466">
        <v>10</v>
      </c>
      <c r="M2466">
        <v>154.94</v>
      </c>
      <c r="N2466">
        <v>3</v>
      </c>
      <c r="O2466">
        <v>21</v>
      </c>
      <c r="Q2466">
        <v>151.94</v>
      </c>
      <c r="R2466" t="s">
        <v>1517</v>
      </c>
      <c r="V2466">
        <v>0</v>
      </c>
      <c r="W2466">
        <v>0</v>
      </c>
      <c r="AF2466">
        <v>0</v>
      </c>
      <c r="AG2466">
        <v>0</v>
      </c>
      <c r="AH2466">
        <v>0</v>
      </c>
      <c r="AI2466">
        <v>12</v>
      </c>
      <c r="AJ2466">
        <v>12</v>
      </c>
      <c r="AM2466">
        <v>0</v>
      </c>
      <c r="AN2466">
        <v>159.94</v>
      </c>
      <c r="AP2466">
        <v>50</v>
      </c>
      <c r="AQ2466">
        <v>50</v>
      </c>
    </row>
    <row r="2467" spans="1:43" x14ac:dyDescent="0.25">
      <c r="A2467" t="s">
        <v>45</v>
      </c>
      <c r="B2467">
        <v>3</v>
      </c>
      <c r="C2467" t="s">
        <v>1507</v>
      </c>
      <c r="D2467" s="39">
        <v>45999</v>
      </c>
      <c r="E2467" t="s">
        <v>420</v>
      </c>
      <c r="F2467" t="s">
        <v>79</v>
      </c>
      <c r="G2467">
        <v>10</v>
      </c>
      <c r="H2467" t="s">
        <v>123</v>
      </c>
      <c r="I2467" t="s">
        <v>79</v>
      </c>
      <c r="J2467">
        <v>100</v>
      </c>
      <c r="K2467" t="s">
        <v>79</v>
      </c>
      <c r="L2467">
        <v>4</v>
      </c>
      <c r="M2467">
        <v>105.03999999999999</v>
      </c>
      <c r="N2467">
        <v>0.4</v>
      </c>
      <c r="Q2467">
        <v>104.63999999999999</v>
      </c>
      <c r="R2467" t="s">
        <v>1508</v>
      </c>
      <c r="V2467">
        <v>0</v>
      </c>
      <c r="W2467">
        <v>0</v>
      </c>
      <c r="AF2467">
        <v>0</v>
      </c>
      <c r="AG2467">
        <v>0</v>
      </c>
      <c r="AH2467">
        <v>0</v>
      </c>
      <c r="AI2467">
        <v>12</v>
      </c>
      <c r="AJ2467">
        <v>12</v>
      </c>
      <c r="AM2467">
        <v>0</v>
      </c>
      <c r="AN2467">
        <v>110.04</v>
      </c>
      <c r="AP2467">
        <v>50</v>
      </c>
      <c r="AQ2467">
        <v>50</v>
      </c>
    </row>
    <row r="2468" spans="1:43" x14ac:dyDescent="0.25">
      <c r="A2468" t="s">
        <v>45</v>
      </c>
      <c r="B2468">
        <v>3</v>
      </c>
      <c r="C2468" t="s">
        <v>1509</v>
      </c>
      <c r="D2468" s="39">
        <v>45999</v>
      </c>
      <c r="E2468" t="s">
        <v>486</v>
      </c>
      <c r="F2468" t="s">
        <v>79</v>
      </c>
      <c r="G2468">
        <v>10</v>
      </c>
      <c r="H2468">
        <v>5</v>
      </c>
      <c r="I2468" t="s">
        <v>79</v>
      </c>
      <c r="J2468">
        <v>1500</v>
      </c>
      <c r="K2468" t="s">
        <v>79</v>
      </c>
      <c r="L2468">
        <v>5</v>
      </c>
      <c r="M2468">
        <v>227.76999999999998</v>
      </c>
      <c r="N2468">
        <v>6.75</v>
      </c>
      <c r="Q2468">
        <v>221.01999999999998</v>
      </c>
      <c r="R2468" t="s">
        <v>1518</v>
      </c>
      <c r="V2468">
        <v>0</v>
      </c>
      <c r="W2468">
        <v>0</v>
      </c>
      <c r="AF2468">
        <v>0</v>
      </c>
      <c r="AG2468">
        <v>0</v>
      </c>
      <c r="AH2468">
        <v>0</v>
      </c>
      <c r="AI2468">
        <v>12</v>
      </c>
      <c r="AJ2468">
        <v>12</v>
      </c>
      <c r="AM2468">
        <v>0</v>
      </c>
      <c r="AN2468">
        <v>232.77</v>
      </c>
      <c r="AP2468">
        <v>50</v>
      </c>
      <c r="AQ2468">
        <v>50</v>
      </c>
    </row>
    <row r="2469" spans="1:43" x14ac:dyDescent="0.25">
      <c r="A2469" t="s">
        <v>46</v>
      </c>
      <c r="B2469">
        <v>3</v>
      </c>
      <c r="C2469" t="s">
        <v>1509</v>
      </c>
      <c r="D2469" s="39">
        <v>45999</v>
      </c>
      <c r="E2469" t="s">
        <v>486</v>
      </c>
      <c r="F2469" t="s">
        <v>79</v>
      </c>
      <c r="G2469">
        <v>10</v>
      </c>
      <c r="H2469">
        <v>5</v>
      </c>
      <c r="I2469" t="s">
        <v>79</v>
      </c>
      <c r="J2469">
        <v>1500</v>
      </c>
      <c r="K2469" t="s">
        <v>79</v>
      </c>
      <c r="L2469">
        <v>7</v>
      </c>
      <c r="M2469">
        <v>325.25</v>
      </c>
      <c r="N2469">
        <v>9.4500000000000011</v>
      </c>
      <c r="Q2469">
        <v>315.8</v>
      </c>
      <c r="R2469" t="s">
        <v>1518</v>
      </c>
      <c r="V2469">
        <v>0</v>
      </c>
      <c r="W2469">
        <v>0</v>
      </c>
      <c r="AF2469">
        <v>0</v>
      </c>
      <c r="AG2469">
        <v>0</v>
      </c>
      <c r="AH2469">
        <v>0</v>
      </c>
      <c r="AI2469">
        <v>12</v>
      </c>
      <c r="AJ2469">
        <v>12</v>
      </c>
      <c r="AM2469">
        <v>0</v>
      </c>
      <c r="AN2469">
        <v>330.25</v>
      </c>
      <c r="AP2469">
        <v>50</v>
      </c>
      <c r="AQ2469">
        <v>50</v>
      </c>
    </row>
    <row r="2470" spans="1:43" x14ac:dyDescent="0.25">
      <c r="A2470" t="s">
        <v>45</v>
      </c>
      <c r="B2470">
        <v>4</v>
      </c>
      <c r="C2470" t="s">
        <v>1505</v>
      </c>
      <c r="D2470" s="39">
        <v>45999</v>
      </c>
      <c r="E2470" t="s">
        <v>276</v>
      </c>
      <c r="F2470" t="s">
        <v>79</v>
      </c>
      <c r="G2470">
        <v>20</v>
      </c>
      <c r="H2470" t="s">
        <v>113</v>
      </c>
      <c r="I2470" t="s">
        <v>79</v>
      </c>
      <c r="J2470">
        <v>1000</v>
      </c>
      <c r="K2470" t="s">
        <v>79</v>
      </c>
      <c r="L2470">
        <v>14</v>
      </c>
      <c r="M2470">
        <v>798.26</v>
      </c>
      <c r="N2470">
        <v>2.8000000000000003</v>
      </c>
      <c r="Q2470">
        <v>795.46</v>
      </c>
      <c r="R2470" t="s">
        <v>1506</v>
      </c>
      <c r="V2470">
        <v>0</v>
      </c>
      <c r="W2470">
        <v>0</v>
      </c>
      <c r="AF2470">
        <v>0</v>
      </c>
      <c r="AG2470">
        <v>0</v>
      </c>
      <c r="AH2470">
        <v>0</v>
      </c>
      <c r="AI2470">
        <v>12</v>
      </c>
      <c r="AJ2470">
        <v>12</v>
      </c>
      <c r="AM2470">
        <v>0</v>
      </c>
      <c r="AN2470">
        <v>803.26</v>
      </c>
      <c r="AP2470">
        <v>50</v>
      </c>
      <c r="AQ2470">
        <v>50</v>
      </c>
    </row>
    <row r="2471" spans="1:43" x14ac:dyDescent="0.25">
      <c r="A2471" t="s">
        <v>46</v>
      </c>
      <c r="B2471">
        <v>4</v>
      </c>
      <c r="C2471" t="s">
        <v>1505</v>
      </c>
      <c r="D2471" s="39">
        <v>45999</v>
      </c>
      <c r="E2471" t="s">
        <v>276</v>
      </c>
      <c r="F2471" t="s">
        <v>79</v>
      </c>
      <c r="G2471">
        <v>20</v>
      </c>
      <c r="H2471" t="s">
        <v>113</v>
      </c>
      <c r="I2471" t="s">
        <v>79</v>
      </c>
      <c r="J2471">
        <v>1000</v>
      </c>
      <c r="K2471" t="s">
        <v>79</v>
      </c>
      <c r="L2471">
        <v>3</v>
      </c>
      <c r="M2471">
        <v>183.17999999999998</v>
      </c>
      <c r="N2471">
        <v>7.5</v>
      </c>
      <c r="Q2471">
        <v>175.67999999999998</v>
      </c>
      <c r="R2471" t="s">
        <v>1506</v>
      </c>
      <c r="V2471">
        <v>0</v>
      </c>
      <c r="W2471">
        <v>0</v>
      </c>
      <c r="AD2471">
        <v>25</v>
      </c>
      <c r="AF2471">
        <v>25</v>
      </c>
      <c r="AG2471">
        <v>0.41666666666666674</v>
      </c>
      <c r="AH2471">
        <v>0.41666666666666674</v>
      </c>
      <c r="AI2471">
        <v>11.583333333333334</v>
      </c>
      <c r="AJ2471">
        <v>12</v>
      </c>
      <c r="AM2471">
        <v>0</v>
      </c>
      <c r="AN2471">
        <v>188.18</v>
      </c>
      <c r="AP2471">
        <v>50</v>
      </c>
      <c r="AQ2471">
        <v>50</v>
      </c>
    </row>
    <row r="2472" spans="1:43" x14ac:dyDescent="0.25">
      <c r="A2472" t="s">
        <v>46</v>
      </c>
      <c r="B2472">
        <v>4</v>
      </c>
      <c r="C2472" t="s">
        <v>1510</v>
      </c>
      <c r="D2472" s="39">
        <v>45999</v>
      </c>
      <c r="E2472" t="s">
        <v>486</v>
      </c>
      <c r="F2472" t="s">
        <v>79</v>
      </c>
      <c r="G2472">
        <v>20</v>
      </c>
      <c r="H2472">
        <v>5</v>
      </c>
      <c r="I2472" t="s">
        <v>79</v>
      </c>
      <c r="J2472">
        <v>500</v>
      </c>
      <c r="K2472" t="s">
        <v>79</v>
      </c>
      <c r="L2472">
        <v>7</v>
      </c>
      <c r="M2472">
        <v>497.31999999999994</v>
      </c>
      <c r="N2472">
        <v>11.62</v>
      </c>
      <c r="Q2472">
        <v>485.69999999999993</v>
      </c>
      <c r="R2472" t="s">
        <v>1519</v>
      </c>
      <c r="V2472">
        <v>0</v>
      </c>
      <c r="W2472">
        <v>0</v>
      </c>
      <c r="AF2472">
        <v>0</v>
      </c>
      <c r="AG2472">
        <v>0</v>
      </c>
      <c r="AH2472">
        <v>0</v>
      </c>
      <c r="AI2472">
        <v>12</v>
      </c>
      <c r="AJ2472">
        <v>12</v>
      </c>
      <c r="AM2472">
        <v>0</v>
      </c>
      <c r="AN2472">
        <v>502.31999999999994</v>
      </c>
      <c r="AP2472">
        <v>50</v>
      </c>
      <c r="AQ2472">
        <v>50</v>
      </c>
    </row>
    <row r="2473" spans="1:43" x14ac:dyDescent="0.25">
      <c r="A2473" t="s">
        <v>45</v>
      </c>
      <c r="B2473">
        <v>5</v>
      </c>
      <c r="C2473" t="s">
        <v>1492</v>
      </c>
      <c r="D2473" s="39">
        <v>45999</v>
      </c>
      <c r="E2473" t="s">
        <v>629</v>
      </c>
      <c r="F2473" t="s">
        <v>79</v>
      </c>
      <c r="G2473">
        <v>14</v>
      </c>
      <c r="H2473" t="s">
        <v>92</v>
      </c>
      <c r="I2473" t="s">
        <v>79</v>
      </c>
      <c r="J2473">
        <v>2000</v>
      </c>
      <c r="K2473" t="s">
        <v>79</v>
      </c>
      <c r="L2473">
        <v>9</v>
      </c>
      <c r="M2473">
        <v>563.62</v>
      </c>
      <c r="N2473">
        <v>12.6</v>
      </c>
      <c r="Q2473">
        <v>551.02</v>
      </c>
      <c r="R2473" t="s">
        <v>1493</v>
      </c>
      <c r="V2473">
        <v>0</v>
      </c>
      <c r="W2473">
        <v>0</v>
      </c>
      <c r="Y2473">
        <v>20</v>
      </c>
      <c r="AF2473">
        <v>20</v>
      </c>
      <c r="AG2473">
        <v>0.33333333333333331</v>
      </c>
      <c r="AH2473">
        <v>0.33333333333333331</v>
      </c>
      <c r="AI2473">
        <v>11.666666666666666</v>
      </c>
      <c r="AJ2473">
        <v>12</v>
      </c>
      <c r="AM2473">
        <v>0</v>
      </c>
      <c r="AN2473">
        <v>568.62</v>
      </c>
      <c r="AP2473">
        <v>50</v>
      </c>
      <c r="AQ2473">
        <v>50</v>
      </c>
    </row>
    <row r="2474" spans="1:43" x14ac:dyDescent="0.25">
      <c r="A2474" t="s">
        <v>46</v>
      </c>
      <c r="B2474">
        <v>5</v>
      </c>
      <c r="C2474" t="s">
        <v>1492</v>
      </c>
      <c r="D2474" s="39">
        <v>45999</v>
      </c>
      <c r="E2474" t="s">
        <v>629</v>
      </c>
      <c r="F2474" t="s">
        <v>79</v>
      </c>
      <c r="G2474">
        <v>14</v>
      </c>
      <c r="H2474" t="s">
        <v>92</v>
      </c>
      <c r="I2474" t="s">
        <v>79</v>
      </c>
      <c r="J2474">
        <v>2000</v>
      </c>
      <c r="K2474" t="s">
        <v>79</v>
      </c>
      <c r="L2474">
        <v>3</v>
      </c>
      <c r="M2474">
        <v>180.24</v>
      </c>
      <c r="N2474">
        <v>5.0999999999999996</v>
      </c>
      <c r="Q2474">
        <v>175.14000000000001</v>
      </c>
      <c r="R2474" t="s">
        <v>1493</v>
      </c>
      <c r="S2474">
        <v>25</v>
      </c>
      <c r="V2474">
        <v>25</v>
      </c>
      <c r="W2474">
        <v>0.41666666666666674</v>
      </c>
      <c r="AF2474">
        <v>0</v>
      </c>
      <c r="AG2474">
        <v>0</v>
      </c>
      <c r="AH2474">
        <v>0.41666666666666674</v>
      </c>
      <c r="AI2474">
        <v>11.583333333333334</v>
      </c>
      <c r="AJ2474">
        <v>12</v>
      </c>
      <c r="AM2474">
        <v>0</v>
      </c>
      <c r="AN2474">
        <v>185.24</v>
      </c>
      <c r="AP2474">
        <v>50</v>
      </c>
      <c r="AQ2474">
        <v>50</v>
      </c>
    </row>
    <row r="2475" spans="1:43" x14ac:dyDescent="0.25">
      <c r="A2475" t="s">
        <v>46</v>
      </c>
      <c r="B2475">
        <v>5</v>
      </c>
      <c r="C2475" t="s">
        <v>1511</v>
      </c>
      <c r="D2475" s="39">
        <v>45999</v>
      </c>
      <c r="E2475" t="s">
        <v>1200</v>
      </c>
      <c r="F2475" t="s">
        <v>79</v>
      </c>
      <c r="G2475">
        <v>14</v>
      </c>
      <c r="H2475" t="s">
        <v>534</v>
      </c>
      <c r="I2475" t="s">
        <v>79</v>
      </c>
      <c r="J2475">
        <v>100</v>
      </c>
      <c r="K2475" t="s">
        <v>79</v>
      </c>
      <c r="L2475">
        <v>2</v>
      </c>
      <c r="M2475">
        <v>110.52</v>
      </c>
      <c r="N2475">
        <v>3.4</v>
      </c>
      <c r="Q2475">
        <v>107.11999999999999</v>
      </c>
      <c r="R2475" t="s">
        <v>1512</v>
      </c>
      <c r="V2475">
        <v>0</v>
      </c>
      <c r="W2475">
        <v>0</v>
      </c>
      <c r="X2475">
        <v>60</v>
      </c>
      <c r="AF2475">
        <v>60</v>
      </c>
      <c r="AG2475">
        <v>1</v>
      </c>
      <c r="AH2475">
        <v>1</v>
      </c>
      <c r="AI2475">
        <v>11</v>
      </c>
      <c r="AJ2475">
        <v>12</v>
      </c>
      <c r="AM2475">
        <v>0</v>
      </c>
      <c r="AN2475">
        <v>115.52</v>
      </c>
      <c r="AP2475">
        <v>50</v>
      </c>
      <c r="AQ2475">
        <v>50</v>
      </c>
    </row>
    <row r="2476" spans="1:43" x14ac:dyDescent="0.25">
      <c r="A2476" t="s">
        <v>46</v>
      </c>
      <c r="B2476">
        <v>5</v>
      </c>
      <c r="C2476" t="s">
        <v>1513</v>
      </c>
      <c r="D2476" s="39">
        <v>45999</v>
      </c>
      <c r="E2476" t="s">
        <v>952</v>
      </c>
      <c r="F2476" t="s">
        <v>79</v>
      </c>
      <c r="G2476">
        <v>11</v>
      </c>
      <c r="H2476" t="s">
        <v>102</v>
      </c>
      <c r="I2476" t="s">
        <v>79</v>
      </c>
      <c r="J2476">
        <v>50</v>
      </c>
      <c r="K2476" t="s">
        <v>79</v>
      </c>
      <c r="L2476">
        <v>4</v>
      </c>
      <c r="M2476">
        <v>211.53000000000003</v>
      </c>
      <c r="N2476">
        <v>5.6</v>
      </c>
      <c r="Q2476">
        <v>205.93000000000004</v>
      </c>
      <c r="R2476" t="s">
        <v>1520</v>
      </c>
      <c r="V2476">
        <v>0</v>
      </c>
      <c r="W2476">
        <v>0</v>
      </c>
      <c r="AF2476">
        <v>0</v>
      </c>
      <c r="AG2476">
        <v>0</v>
      </c>
      <c r="AH2476">
        <v>0</v>
      </c>
      <c r="AI2476">
        <v>12</v>
      </c>
      <c r="AJ2476">
        <v>12</v>
      </c>
      <c r="AM2476">
        <v>0</v>
      </c>
      <c r="AN2476">
        <v>216.53000000000003</v>
      </c>
      <c r="AP2476">
        <v>50</v>
      </c>
      <c r="AQ2476">
        <v>50</v>
      </c>
    </row>
    <row r="2477" spans="1:43" x14ac:dyDescent="0.25">
      <c r="A2477" t="s">
        <v>45</v>
      </c>
      <c r="B2477">
        <v>1</v>
      </c>
      <c r="C2477" t="s">
        <v>1495</v>
      </c>
      <c r="D2477" s="39">
        <v>46000</v>
      </c>
      <c r="E2477" t="s">
        <v>486</v>
      </c>
      <c r="F2477" t="s">
        <v>79</v>
      </c>
      <c r="G2477">
        <v>3</v>
      </c>
      <c r="H2477" t="s">
        <v>92</v>
      </c>
      <c r="I2477" t="s">
        <v>79</v>
      </c>
      <c r="J2477">
        <v>1000</v>
      </c>
      <c r="K2477" t="s">
        <v>79</v>
      </c>
      <c r="L2477">
        <v>10</v>
      </c>
      <c r="M2477">
        <v>137.87</v>
      </c>
      <c r="N2477">
        <v>3</v>
      </c>
      <c r="O2477">
        <v>30</v>
      </c>
      <c r="Q2477">
        <v>134.87</v>
      </c>
      <c r="R2477" t="s">
        <v>1517</v>
      </c>
      <c r="V2477">
        <v>0</v>
      </c>
      <c r="W2477">
        <v>0</v>
      </c>
      <c r="AF2477">
        <v>0</v>
      </c>
      <c r="AG2477">
        <v>0</v>
      </c>
      <c r="AH2477">
        <v>0</v>
      </c>
      <c r="AI2477">
        <v>12</v>
      </c>
      <c r="AJ2477">
        <v>12</v>
      </c>
      <c r="AM2477">
        <v>0</v>
      </c>
      <c r="AN2477">
        <v>142.87</v>
      </c>
      <c r="AP2477">
        <v>50</v>
      </c>
      <c r="AQ2477">
        <v>50</v>
      </c>
    </row>
    <row r="2478" spans="1:43" x14ac:dyDescent="0.25">
      <c r="A2478" t="s">
        <v>46</v>
      </c>
      <c r="B2478">
        <v>1</v>
      </c>
      <c r="C2478" t="s">
        <v>1495</v>
      </c>
      <c r="D2478" s="39">
        <v>46000</v>
      </c>
      <c r="E2478" t="s">
        <v>486</v>
      </c>
      <c r="F2478" t="s">
        <v>79</v>
      </c>
      <c r="G2478">
        <v>3</v>
      </c>
      <c r="H2478" t="s">
        <v>92</v>
      </c>
      <c r="I2478" t="s">
        <v>79</v>
      </c>
      <c r="J2478">
        <v>1000</v>
      </c>
      <c r="K2478" t="s">
        <v>79</v>
      </c>
      <c r="L2478">
        <v>8</v>
      </c>
      <c r="M2478">
        <v>127.18</v>
      </c>
      <c r="N2478">
        <v>2.4</v>
      </c>
      <c r="O2478">
        <v>30</v>
      </c>
      <c r="Q2478">
        <v>124.78</v>
      </c>
      <c r="R2478" t="s">
        <v>1517</v>
      </c>
      <c r="V2478">
        <v>0</v>
      </c>
      <c r="W2478">
        <v>0</v>
      </c>
      <c r="AF2478">
        <v>0</v>
      </c>
      <c r="AG2478">
        <v>0</v>
      </c>
      <c r="AH2478">
        <v>0</v>
      </c>
      <c r="AI2478">
        <v>12</v>
      </c>
      <c r="AJ2478">
        <v>12</v>
      </c>
      <c r="AM2478">
        <v>0</v>
      </c>
      <c r="AN2478">
        <v>132.18</v>
      </c>
      <c r="AP2478">
        <v>50</v>
      </c>
      <c r="AQ2478">
        <v>50</v>
      </c>
    </row>
    <row r="2479" spans="1:43" x14ac:dyDescent="0.25">
      <c r="A2479" t="s">
        <v>46</v>
      </c>
      <c r="B2479">
        <v>2</v>
      </c>
      <c r="C2479" t="s">
        <v>1476</v>
      </c>
      <c r="D2479" s="39">
        <v>46000</v>
      </c>
      <c r="E2479" t="s">
        <v>486</v>
      </c>
      <c r="F2479" t="s">
        <v>79</v>
      </c>
      <c r="G2479">
        <v>5</v>
      </c>
      <c r="H2479" t="s">
        <v>92</v>
      </c>
      <c r="I2479" t="s">
        <v>79</v>
      </c>
      <c r="J2479">
        <v>1000</v>
      </c>
      <c r="K2479" t="s">
        <v>79</v>
      </c>
      <c r="L2479">
        <v>5</v>
      </c>
      <c r="M2479">
        <v>95.99</v>
      </c>
      <c r="N2479">
        <v>2.5</v>
      </c>
      <c r="Q2479">
        <v>93.49</v>
      </c>
      <c r="R2479" t="s">
        <v>1516</v>
      </c>
      <c r="U2479">
        <v>270</v>
      </c>
      <c r="V2479">
        <v>270</v>
      </c>
      <c r="W2479">
        <v>4.5</v>
      </c>
      <c r="X2479">
        <v>80</v>
      </c>
      <c r="AD2479">
        <v>40</v>
      </c>
      <c r="AF2479">
        <v>120</v>
      </c>
      <c r="AG2479">
        <v>2</v>
      </c>
      <c r="AH2479">
        <v>6.5</v>
      </c>
      <c r="AI2479">
        <v>5.5</v>
      </c>
      <c r="AJ2479">
        <v>12</v>
      </c>
      <c r="AM2479">
        <v>0</v>
      </c>
      <c r="AN2479">
        <v>100.99</v>
      </c>
      <c r="AP2479">
        <v>50</v>
      </c>
      <c r="AQ2479">
        <v>50</v>
      </c>
    </row>
    <row r="2480" spans="1:43" x14ac:dyDescent="0.25">
      <c r="A2480" t="s">
        <v>45</v>
      </c>
      <c r="B2480">
        <v>3</v>
      </c>
      <c r="C2480" t="s">
        <v>1509</v>
      </c>
      <c r="D2480" s="39">
        <v>46000</v>
      </c>
      <c r="E2480" t="s">
        <v>486</v>
      </c>
      <c r="F2480" t="s">
        <v>79</v>
      </c>
      <c r="G2480">
        <v>10</v>
      </c>
      <c r="H2480">
        <v>5</v>
      </c>
      <c r="I2480" t="s">
        <v>79</v>
      </c>
      <c r="J2480">
        <v>1500</v>
      </c>
      <c r="K2480" t="s">
        <v>79</v>
      </c>
      <c r="L2480">
        <v>8</v>
      </c>
      <c r="M2480">
        <v>328.34999999999997</v>
      </c>
      <c r="N2480">
        <v>9.6</v>
      </c>
      <c r="Q2480">
        <v>318.74999999999994</v>
      </c>
      <c r="R2480" t="s">
        <v>1518</v>
      </c>
      <c r="V2480">
        <v>0</v>
      </c>
      <c r="W2480">
        <v>0</v>
      </c>
      <c r="AF2480">
        <v>0</v>
      </c>
      <c r="AG2480">
        <v>0</v>
      </c>
      <c r="AH2480">
        <v>0</v>
      </c>
      <c r="AI2480">
        <v>12</v>
      </c>
      <c r="AJ2480">
        <v>12</v>
      </c>
      <c r="AM2480">
        <v>0</v>
      </c>
      <c r="AN2480">
        <v>333.34999999999997</v>
      </c>
      <c r="AP2480">
        <v>50</v>
      </c>
      <c r="AQ2480">
        <v>50</v>
      </c>
    </row>
    <row r="2481" spans="1:43" x14ac:dyDescent="0.25">
      <c r="A2481" t="s">
        <v>46</v>
      </c>
      <c r="B2481">
        <v>3</v>
      </c>
      <c r="C2481" t="s">
        <v>1509</v>
      </c>
      <c r="D2481" s="39">
        <v>46000</v>
      </c>
      <c r="E2481" t="s">
        <v>486</v>
      </c>
      <c r="F2481" t="s">
        <v>79</v>
      </c>
      <c r="G2481">
        <v>10</v>
      </c>
      <c r="H2481">
        <v>5</v>
      </c>
      <c r="I2481" t="s">
        <v>79</v>
      </c>
      <c r="J2481">
        <v>1500</v>
      </c>
      <c r="K2481" t="s">
        <v>79</v>
      </c>
      <c r="L2481">
        <v>6</v>
      </c>
      <c r="M2481">
        <v>303.11</v>
      </c>
      <c r="N2481">
        <v>7.1999999999999993</v>
      </c>
      <c r="Q2481">
        <v>295.91000000000003</v>
      </c>
      <c r="R2481" t="s">
        <v>1518</v>
      </c>
      <c r="V2481">
        <v>0</v>
      </c>
      <c r="W2481">
        <v>0</v>
      </c>
      <c r="AF2481">
        <v>0</v>
      </c>
      <c r="AG2481">
        <v>0</v>
      </c>
      <c r="AH2481">
        <v>0</v>
      </c>
      <c r="AI2481">
        <v>12</v>
      </c>
      <c r="AJ2481">
        <v>12</v>
      </c>
      <c r="AM2481">
        <v>0</v>
      </c>
      <c r="AN2481">
        <v>308.11</v>
      </c>
      <c r="AP2481">
        <v>50</v>
      </c>
      <c r="AQ2481">
        <v>50</v>
      </c>
    </row>
    <row r="2482" spans="1:43" x14ac:dyDescent="0.25">
      <c r="A2482" t="s">
        <v>45</v>
      </c>
      <c r="B2482">
        <v>4</v>
      </c>
      <c r="C2482" t="s">
        <v>1510</v>
      </c>
      <c r="D2482" s="39">
        <v>46000</v>
      </c>
      <c r="E2482" t="s">
        <v>486</v>
      </c>
      <c r="F2482" t="s">
        <v>79</v>
      </c>
      <c r="G2482">
        <v>20</v>
      </c>
      <c r="H2482">
        <v>5</v>
      </c>
      <c r="I2482" t="s">
        <v>79</v>
      </c>
      <c r="J2482">
        <v>500</v>
      </c>
      <c r="K2482" t="s">
        <v>79</v>
      </c>
      <c r="L2482">
        <v>3</v>
      </c>
      <c r="M2482">
        <v>144.15</v>
      </c>
      <c r="N2482">
        <v>6</v>
      </c>
      <c r="Q2482">
        <v>138.15</v>
      </c>
      <c r="R2482" t="s">
        <v>1519</v>
      </c>
      <c r="S2482">
        <v>35</v>
      </c>
      <c r="V2482">
        <v>35</v>
      </c>
      <c r="W2482">
        <v>0.58333333333333337</v>
      </c>
      <c r="AF2482">
        <v>0</v>
      </c>
      <c r="AG2482">
        <v>0</v>
      </c>
      <c r="AH2482">
        <v>0.58333333333333337</v>
      </c>
      <c r="AI2482">
        <v>11.416666666666666</v>
      </c>
      <c r="AJ2482">
        <v>12</v>
      </c>
      <c r="AM2482">
        <v>0</v>
      </c>
      <c r="AN2482">
        <v>149.15</v>
      </c>
      <c r="AP2482">
        <v>50</v>
      </c>
      <c r="AQ2482">
        <v>50</v>
      </c>
    </row>
    <row r="2483" spans="1:43" x14ac:dyDescent="0.25">
      <c r="A2483" t="s">
        <v>45</v>
      </c>
      <c r="B2483">
        <v>4</v>
      </c>
      <c r="C2483" t="s">
        <v>1521</v>
      </c>
      <c r="D2483" s="39">
        <v>46000</v>
      </c>
      <c r="E2483" t="s">
        <v>1048</v>
      </c>
      <c r="F2483" t="s">
        <v>79</v>
      </c>
      <c r="G2483">
        <v>16</v>
      </c>
      <c r="H2483" t="s">
        <v>859</v>
      </c>
      <c r="I2483" t="s">
        <v>79</v>
      </c>
      <c r="J2483">
        <v>50</v>
      </c>
      <c r="K2483" t="s">
        <v>79</v>
      </c>
      <c r="L2483">
        <v>1</v>
      </c>
      <c r="M2483">
        <v>48.57</v>
      </c>
      <c r="N2483">
        <v>1.6</v>
      </c>
      <c r="Q2483">
        <v>46.97</v>
      </c>
      <c r="R2483" t="s">
        <v>1522</v>
      </c>
      <c r="V2483">
        <v>0</v>
      </c>
      <c r="W2483">
        <v>0</v>
      </c>
      <c r="AF2483">
        <v>0</v>
      </c>
      <c r="AG2483">
        <v>0</v>
      </c>
      <c r="AH2483">
        <v>0</v>
      </c>
      <c r="AI2483">
        <v>12</v>
      </c>
      <c r="AJ2483">
        <v>12</v>
      </c>
      <c r="AM2483">
        <v>0</v>
      </c>
      <c r="AN2483">
        <v>53.57</v>
      </c>
      <c r="AP2483">
        <v>50</v>
      </c>
      <c r="AQ2483">
        <v>50</v>
      </c>
    </row>
    <row r="2484" spans="1:43" x14ac:dyDescent="0.25">
      <c r="A2484" t="s">
        <v>45</v>
      </c>
      <c r="B2484">
        <v>4</v>
      </c>
      <c r="C2484" t="s">
        <v>1523</v>
      </c>
      <c r="D2484" s="39">
        <v>46000</v>
      </c>
      <c r="E2484" t="s">
        <v>276</v>
      </c>
      <c r="F2484" t="s">
        <v>79</v>
      </c>
      <c r="G2484">
        <v>16</v>
      </c>
      <c r="H2484" t="s">
        <v>113</v>
      </c>
      <c r="I2484" t="s">
        <v>79</v>
      </c>
      <c r="J2484">
        <v>1000</v>
      </c>
      <c r="K2484" t="s">
        <v>79</v>
      </c>
      <c r="L2484">
        <v>7</v>
      </c>
      <c r="M2484">
        <v>375.04999999999995</v>
      </c>
      <c r="N2484">
        <v>11.200000000000001</v>
      </c>
      <c r="Q2484">
        <v>363.84999999999997</v>
      </c>
      <c r="R2484" t="s">
        <v>1524</v>
      </c>
      <c r="V2484">
        <v>0</v>
      </c>
      <c r="W2484">
        <v>0</v>
      </c>
      <c r="AF2484">
        <v>0</v>
      </c>
      <c r="AG2484">
        <v>0</v>
      </c>
      <c r="AH2484">
        <v>0</v>
      </c>
      <c r="AI2484">
        <v>12</v>
      </c>
      <c r="AJ2484">
        <v>12</v>
      </c>
      <c r="AM2484">
        <v>0</v>
      </c>
      <c r="AN2484">
        <v>380.0499999999999</v>
      </c>
      <c r="AP2484">
        <v>50</v>
      </c>
      <c r="AQ2484">
        <v>50</v>
      </c>
    </row>
    <row r="2485" spans="1:43" x14ac:dyDescent="0.25">
      <c r="A2485" t="s">
        <v>45</v>
      </c>
      <c r="B2485">
        <v>4</v>
      </c>
      <c r="C2485" t="s">
        <v>1525</v>
      </c>
      <c r="D2485" s="39">
        <v>46000</v>
      </c>
      <c r="E2485" t="s">
        <v>1048</v>
      </c>
      <c r="F2485" t="s">
        <v>79</v>
      </c>
      <c r="G2485">
        <v>20</v>
      </c>
      <c r="H2485" t="s">
        <v>859</v>
      </c>
      <c r="I2485" t="s">
        <v>79</v>
      </c>
      <c r="J2485">
        <v>50</v>
      </c>
      <c r="K2485" t="s">
        <v>79</v>
      </c>
      <c r="L2485">
        <v>2</v>
      </c>
      <c r="M2485">
        <v>59.16</v>
      </c>
      <c r="N2485">
        <v>4</v>
      </c>
      <c r="Q2485">
        <v>55.16</v>
      </c>
      <c r="R2485" t="s">
        <v>1526</v>
      </c>
      <c r="V2485">
        <v>0</v>
      </c>
      <c r="W2485">
        <v>0</v>
      </c>
      <c r="AF2485">
        <v>0</v>
      </c>
      <c r="AG2485">
        <v>0</v>
      </c>
      <c r="AH2485">
        <v>0</v>
      </c>
      <c r="AI2485">
        <v>12</v>
      </c>
      <c r="AJ2485">
        <v>12</v>
      </c>
      <c r="AM2485">
        <v>0</v>
      </c>
      <c r="AN2485">
        <v>64.16</v>
      </c>
      <c r="AP2485">
        <v>50</v>
      </c>
      <c r="AQ2485">
        <v>50</v>
      </c>
    </row>
    <row r="2486" spans="1:43" x14ac:dyDescent="0.25">
      <c r="A2486" t="s">
        <v>45</v>
      </c>
      <c r="B2486">
        <v>4</v>
      </c>
      <c r="C2486" t="s">
        <v>1527</v>
      </c>
      <c r="D2486" s="39">
        <v>46000</v>
      </c>
      <c r="E2486" t="s">
        <v>238</v>
      </c>
      <c r="F2486" t="s">
        <v>79</v>
      </c>
      <c r="G2486">
        <v>14</v>
      </c>
      <c r="H2486" t="s">
        <v>87</v>
      </c>
      <c r="I2486" t="s">
        <v>79</v>
      </c>
      <c r="J2486">
        <v>100</v>
      </c>
      <c r="K2486" t="s">
        <v>79</v>
      </c>
      <c r="L2486">
        <v>2</v>
      </c>
      <c r="M2486">
        <v>89.490000000000009</v>
      </c>
      <c r="N2486">
        <v>3.2</v>
      </c>
      <c r="Q2486">
        <v>86.29</v>
      </c>
      <c r="R2486" t="s">
        <v>1528</v>
      </c>
      <c r="V2486">
        <v>0</v>
      </c>
      <c r="W2486">
        <v>0</v>
      </c>
      <c r="AF2486">
        <v>0</v>
      </c>
      <c r="AG2486">
        <v>0</v>
      </c>
      <c r="AH2486">
        <v>0</v>
      </c>
      <c r="AI2486">
        <v>12</v>
      </c>
      <c r="AJ2486">
        <v>12</v>
      </c>
      <c r="AM2486">
        <v>0</v>
      </c>
      <c r="AN2486">
        <v>94.490000000000009</v>
      </c>
      <c r="AP2486">
        <v>50</v>
      </c>
      <c r="AQ2486">
        <v>50</v>
      </c>
    </row>
    <row r="2487" spans="1:43" x14ac:dyDescent="0.25">
      <c r="A2487" t="s">
        <v>46</v>
      </c>
      <c r="B2487">
        <v>4</v>
      </c>
      <c r="C2487" t="s">
        <v>1523</v>
      </c>
      <c r="D2487" s="39">
        <v>46000</v>
      </c>
      <c r="E2487" t="s">
        <v>276</v>
      </c>
      <c r="F2487" t="s">
        <v>79</v>
      </c>
      <c r="G2487">
        <v>16</v>
      </c>
      <c r="H2487" t="s">
        <v>113</v>
      </c>
      <c r="I2487" t="s">
        <v>79</v>
      </c>
      <c r="J2487">
        <v>1000</v>
      </c>
      <c r="K2487" t="s">
        <v>79</v>
      </c>
      <c r="L2487">
        <v>14</v>
      </c>
      <c r="M2487">
        <v>695.52</v>
      </c>
      <c r="N2487">
        <v>22.400000000000002</v>
      </c>
      <c r="Q2487">
        <v>673.12</v>
      </c>
      <c r="R2487" t="s">
        <v>1524</v>
      </c>
      <c r="S2487">
        <v>20</v>
      </c>
      <c r="V2487">
        <v>20</v>
      </c>
      <c r="W2487">
        <v>0.33333333333333331</v>
      </c>
      <c r="AF2487">
        <v>0</v>
      </c>
      <c r="AG2487">
        <v>0</v>
      </c>
      <c r="AH2487">
        <v>0.33333333333333331</v>
      </c>
      <c r="AI2487">
        <v>11.666666666666666</v>
      </c>
      <c r="AJ2487">
        <v>12</v>
      </c>
      <c r="AM2487">
        <v>0</v>
      </c>
      <c r="AN2487">
        <v>700.52</v>
      </c>
      <c r="AP2487">
        <v>50</v>
      </c>
      <c r="AQ2487">
        <v>50</v>
      </c>
    </row>
    <row r="2488" spans="1:43" x14ac:dyDescent="0.25">
      <c r="A2488" t="s">
        <v>46</v>
      </c>
      <c r="B2488">
        <v>4</v>
      </c>
      <c r="C2488" t="s">
        <v>1529</v>
      </c>
      <c r="D2488" s="39">
        <v>46000</v>
      </c>
      <c r="E2488" t="s">
        <v>1530</v>
      </c>
      <c r="F2488" t="s">
        <v>79</v>
      </c>
      <c r="G2488">
        <v>19</v>
      </c>
      <c r="H2488" t="s">
        <v>102</v>
      </c>
      <c r="I2488" t="s">
        <v>79</v>
      </c>
      <c r="J2488">
        <v>50</v>
      </c>
      <c r="K2488" t="s">
        <v>79</v>
      </c>
      <c r="L2488">
        <v>1</v>
      </c>
      <c r="M2488">
        <v>53.69</v>
      </c>
      <c r="N2488">
        <v>2.5</v>
      </c>
      <c r="Q2488">
        <v>51.19</v>
      </c>
      <c r="R2488" t="s">
        <v>1531</v>
      </c>
      <c r="V2488">
        <v>0</v>
      </c>
      <c r="W2488">
        <v>0</v>
      </c>
      <c r="AF2488">
        <v>0</v>
      </c>
      <c r="AG2488">
        <v>0</v>
      </c>
      <c r="AH2488">
        <v>0</v>
      </c>
      <c r="AI2488">
        <v>12</v>
      </c>
      <c r="AJ2488">
        <v>12</v>
      </c>
      <c r="AM2488">
        <v>0</v>
      </c>
      <c r="AN2488">
        <v>58.69</v>
      </c>
      <c r="AP2488">
        <v>50</v>
      </c>
      <c r="AQ2488">
        <v>50</v>
      </c>
    </row>
    <row r="2489" spans="1:43" x14ac:dyDescent="0.25">
      <c r="A2489" t="s">
        <v>45</v>
      </c>
      <c r="B2489">
        <v>5</v>
      </c>
      <c r="C2489" t="s">
        <v>1513</v>
      </c>
      <c r="D2489" s="39">
        <v>46000</v>
      </c>
      <c r="E2489" t="s">
        <v>952</v>
      </c>
      <c r="F2489" t="s">
        <v>79</v>
      </c>
      <c r="G2489">
        <v>11</v>
      </c>
      <c r="H2489" t="s">
        <v>102</v>
      </c>
      <c r="I2489" t="s">
        <v>79</v>
      </c>
      <c r="J2489">
        <v>50</v>
      </c>
      <c r="K2489" t="s">
        <v>79</v>
      </c>
      <c r="L2489">
        <v>1</v>
      </c>
      <c r="M2489">
        <v>54.35</v>
      </c>
      <c r="N2489">
        <v>1.1000000000000001</v>
      </c>
      <c r="Q2489">
        <v>53.25</v>
      </c>
      <c r="R2489" t="s">
        <v>1520</v>
      </c>
      <c r="V2489">
        <v>0</v>
      </c>
      <c r="W2489">
        <v>0</v>
      </c>
      <c r="AF2489">
        <v>0</v>
      </c>
      <c r="AG2489">
        <v>0</v>
      </c>
      <c r="AH2489">
        <v>0</v>
      </c>
      <c r="AI2489">
        <v>12</v>
      </c>
      <c r="AJ2489">
        <v>12</v>
      </c>
      <c r="AM2489">
        <v>0</v>
      </c>
      <c r="AN2489">
        <v>59.35</v>
      </c>
      <c r="AP2489">
        <v>50</v>
      </c>
      <c r="AQ2489">
        <v>50</v>
      </c>
    </row>
    <row r="2490" spans="1:43" x14ac:dyDescent="0.25">
      <c r="A2490" t="s">
        <v>45</v>
      </c>
      <c r="B2490">
        <v>5</v>
      </c>
      <c r="C2490" t="s">
        <v>1532</v>
      </c>
      <c r="D2490" s="39">
        <v>46000</v>
      </c>
      <c r="E2490" t="s">
        <v>486</v>
      </c>
      <c r="F2490" t="s">
        <v>79</v>
      </c>
      <c r="G2490">
        <v>11</v>
      </c>
      <c r="H2490" t="s">
        <v>113</v>
      </c>
      <c r="I2490" t="s">
        <v>79</v>
      </c>
      <c r="J2490">
        <v>2000</v>
      </c>
      <c r="K2490" t="s">
        <v>79</v>
      </c>
      <c r="L2490">
        <v>9</v>
      </c>
      <c r="M2490">
        <v>480.28</v>
      </c>
      <c r="N2490">
        <v>9.9</v>
      </c>
      <c r="O2490">
        <v>4.5</v>
      </c>
      <c r="Q2490">
        <v>470.38</v>
      </c>
      <c r="R2490" t="s">
        <v>1533</v>
      </c>
      <c r="V2490">
        <v>0</v>
      </c>
      <c r="W2490">
        <v>0</v>
      </c>
      <c r="AF2490">
        <v>0</v>
      </c>
      <c r="AG2490">
        <v>0</v>
      </c>
      <c r="AH2490">
        <v>0</v>
      </c>
      <c r="AI2490">
        <v>12</v>
      </c>
      <c r="AJ2490">
        <v>12</v>
      </c>
      <c r="AM2490">
        <v>0</v>
      </c>
      <c r="AN2490">
        <v>485.28</v>
      </c>
      <c r="AP2490">
        <v>50</v>
      </c>
      <c r="AQ2490">
        <v>50</v>
      </c>
    </row>
    <row r="2491" spans="1:43" x14ac:dyDescent="0.25">
      <c r="A2491" t="s">
        <v>46</v>
      </c>
      <c r="B2491">
        <v>5</v>
      </c>
      <c r="C2491" t="s">
        <v>1534</v>
      </c>
      <c r="D2491" s="39">
        <v>46000</v>
      </c>
      <c r="E2491" t="s">
        <v>1048</v>
      </c>
      <c r="F2491" t="s">
        <v>79</v>
      </c>
      <c r="G2491">
        <v>11</v>
      </c>
      <c r="H2491" t="s">
        <v>859</v>
      </c>
      <c r="I2491" t="s">
        <v>79</v>
      </c>
      <c r="J2491">
        <v>50</v>
      </c>
      <c r="K2491" t="s">
        <v>79</v>
      </c>
      <c r="L2491">
        <v>2</v>
      </c>
      <c r="M2491">
        <v>58.01</v>
      </c>
      <c r="N2491">
        <v>2.6</v>
      </c>
      <c r="O2491">
        <v>4.5</v>
      </c>
      <c r="Q2491">
        <v>55.41</v>
      </c>
      <c r="R2491" t="s">
        <v>1535</v>
      </c>
      <c r="V2491">
        <v>0</v>
      </c>
      <c r="W2491">
        <v>0</v>
      </c>
      <c r="AF2491">
        <v>0</v>
      </c>
      <c r="AG2491">
        <v>0</v>
      </c>
      <c r="AH2491">
        <v>0</v>
      </c>
      <c r="AI2491">
        <v>12</v>
      </c>
      <c r="AJ2491">
        <v>12</v>
      </c>
      <c r="AM2491">
        <v>0</v>
      </c>
      <c r="AN2491">
        <v>63.01</v>
      </c>
      <c r="AP2491">
        <v>50</v>
      </c>
      <c r="AQ2491">
        <v>50</v>
      </c>
    </row>
    <row r="2492" spans="1:43" x14ac:dyDescent="0.25">
      <c r="A2492" t="s">
        <v>46</v>
      </c>
      <c r="B2492">
        <v>5</v>
      </c>
      <c r="C2492" t="s">
        <v>1532</v>
      </c>
      <c r="D2492" s="39">
        <v>46000</v>
      </c>
      <c r="E2492" t="s">
        <v>486</v>
      </c>
      <c r="F2492" t="s">
        <v>79</v>
      </c>
      <c r="G2492">
        <v>11</v>
      </c>
      <c r="H2492" t="s">
        <v>113</v>
      </c>
      <c r="I2492" t="s">
        <v>79</v>
      </c>
      <c r="J2492">
        <v>2000</v>
      </c>
      <c r="K2492" t="s">
        <v>79</v>
      </c>
      <c r="L2492">
        <v>8</v>
      </c>
      <c r="M2492">
        <v>488.25000000000006</v>
      </c>
      <c r="N2492">
        <v>10.4</v>
      </c>
      <c r="Q2492">
        <v>477.85000000000008</v>
      </c>
      <c r="R2492" t="s">
        <v>1533</v>
      </c>
      <c r="V2492">
        <v>0</v>
      </c>
      <c r="W2492">
        <v>0</v>
      </c>
      <c r="AF2492">
        <v>0</v>
      </c>
      <c r="AG2492">
        <v>0</v>
      </c>
      <c r="AH2492">
        <v>0</v>
      </c>
      <c r="AI2492">
        <v>12</v>
      </c>
      <c r="AJ2492">
        <v>12</v>
      </c>
      <c r="AM2492">
        <v>0</v>
      </c>
      <c r="AN2492">
        <v>493.25000000000006</v>
      </c>
      <c r="AP2492">
        <v>50</v>
      </c>
      <c r="AQ2492">
        <v>50</v>
      </c>
    </row>
    <row r="2493" spans="1:43" x14ac:dyDescent="0.25">
      <c r="A2493" t="s">
        <v>45</v>
      </c>
      <c r="B2493">
        <v>1</v>
      </c>
      <c r="C2493" t="s">
        <v>1495</v>
      </c>
      <c r="D2493" s="39">
        <v>46001</v>
      </c>
      <c r="E2493" t="s">
        <v>486</v>
      </c>
      <c r="F2493" t="s">
        <v>79</v>
      </c>
      <c r="G2493">
        <v>3</v>
      </c>
      <c r="H2493" t="s">
        <v>92</v>
      </c>
      <c r="I2493" t="s">
        <v>79</v>
      </c>
      <c r="J2493">
        <v>1000</v>
      </c>
      <c r="K2493" t="s">
        <v>79</v>
      </c>
      <c r="L2493">
        <v>9</v>
      </c>
      <c r="M2493">
        <v>135.07999999999998</v>
      </c>
      <c r="N2493">
        <v>2.6999999999999997</v>
      </c>
      <c r="O2493">
        <v>25</v>
      </c>
      <c r="Q2493">
        <v>132.38</v>
      </c>
      <c r="R2493" t="s">
        <v>1517</v>
      </c>
      <c r="V2493">
        <v>0</v>
      </c>
      <c r="W2493">
        <v>0</v>
      </c>
      <c r="AF2493">
        <v>0</v>
      </c>
      <c r="AG2493">
        <v>0</v>
      </c>
      <c r="AH2493">
        <v>0</v>
      </c>
      <c r="AI2493">
        <v>12</v>
      </c>
      <c r="AJ2493">
        <v>12</v>
      </c>
      <c r="AM2493">
        <v>0</v>
      </c>
      <c r="AN2493">
        <v>140.07999999999998</v>
      </c>
      <c r="AP2493">
        <v>50</v>
      </c>
      <c r="AQ2493">
        <v>50</v>
      </c>
    </row>
    <row r="2494" spans="1:43" x14ac:dyDescent="0.25">
      <c r="A2494" t="s">
        <v>46</v>
      </c>
      <c r="B2494">
        <v>1</v>
      </c>
      <c r="C2494" t="s">
        <v>1495</v>
      </c>
      <c r="D2494" s="39">
        <v>46001</v>
      </c>
      <c r="E2494" t="s">
        <v>486</v>
      </c>
      <c r="F2494" t="s">
        <v>79</v>
      </c>
      <c r="G2494">
        <v>3</v>
      </c>
      <c r="H2494" t="s">
        <v>92</v>
      </c>
      <c r="I2494" t="s">
        <v>79</v>
      </c>
      <c r="J2494">
        <v>1000</v>
      </c>
      <c r="K2494" t="s">
        <v>79</v>
      </c>
      <c r="L2494">
        <v>9</v>
      </c>
      <c r="M2494">
        <v>124.24</v>
      </c>
      <c r="N2494">
        <v>2.6999999999999997</v>
      </c>
      <c r="O2494">
        <v>24</v>
      </c>
      <c r="Q2494">
        <v>121.53999999999999</v>
      </c>
      <c r="R2494" t="s">
        <v>1517</v>
      </c>
      <c r="V2494">
        <v>0</v>
      </c>
      <c r="W2494">
        <v>0</v>
      </c>
      <c r="AF2494">
        <v>0</v>
      </c>
      <c r="AG2494">
        <v>0</v>
      </c>
      <c r="AH2494">
        <v>0</v>
      </c>
      <c r="AI2494">
        <v>12</v>
      </c>
      <c r="AJ2494">
        <v>12</v>
      </c>
      <c r="AM2494">
        <v>0</v>
      </c>
      <c r="AN2494">
        <v>129.24</v>
      </c>
      <c r="AP2494">
        <v>50</v>
      </c>
      <c r="AQ2494">
        <v>50</v>
      </c>
    </row>
    <row r="2495" spans="1:43" x14ac:dyDescent="0.25">
      <c r="A2495" t="s">
        <v>45</v>
      </c>
      <c r="B2495">
        <v>2</v>
      </c>
      <c r="C2495" t="s">
        <v>1476</v>
      </c>
      <c r="D2495" s="39">
        <v>46001</v>
      </c>
      <c r="E2495" t="s">
        <v>486</v>
      </c>
      <c r="F2495" t="s">
        <v>79</v>
      </c>
      <c r="G2495">
        <v>5</v>
      </c>
      <c r="H2495" t="s">
        <v>92</v>
      </c>
      <c r="I2495" t="s">
        <v>79</v>
      </c>
      <c r="J2495">
        <v>1000</v>
      </c>
      <c r="K2495" t="s">
        <v>79</v>
      </c>
      <c r="L2495">
        <v>6</v>
      </c>
      <c r="M2495">
        <v>115.76</v>
      </c>
      <c r="N2495">
        <v>3</v>
      </c>
      <c r="O2495">
        <v>3</v>
      </c>
      <c r="Q2495">
        <v>112.76</v>
      </c>
      <c r="R2495" t="s">
        <v>1516</v>
      </c>
      <c r="V2495">
        <v>0</v>
      </c>
      <c r="W2495">
        <v>0</v>
      </c>
      <c r="Z2495">
        <v>240</v>
      </c>
      <c r="AF2495">
        <v>240</v>
      </c>
      <c r="AG2495">
        <v>4</v>
      </c>
      <c r="AH2495">
        <v>4</v>
      </c>
      <c r="AI2495">
        <v>8</v>
      </c>
      <c r="AJ2495">
        <v>12</v>
      </c>
      <c r="AM2495">
        <v>0</v>
      </c>
      <c r="AN2495">
        <v>120.76</v>
      </c>
      <c r="AP2495">
        <v>50</v>
      </c>
      <c r="AQ2495">
        <v>50</v>
      </c>
    </row>
    <row r="2496" spans="1:43" x14ac:dyDescent="0.25">
      <c r="A2496" t="s">
        <v>46</v>
      </c>
      <c r="B2496">
        <v>2</v>
      </c>
      <c r="C2496" t="s">
        <v>1476</v>
      </c>
      <c r="D2496" s="39">
        <v>46001</v>
      </c>
      <c r="E2496" t="s">
        <v>486</v>
      </c>
      <c r="F2496" t="s">
        <v>79</v>
      </c>
      <c r="G2496">
        <v>5</v>
      </c>
      <c r="H2496" t="s">
        <v>92</v>
      </c>
      <c r="I2496" t="s">
        <v>79</v>
      </c>
      <c r="J2496">
        <v>1000</v>
      </c>
      <c r="K2496" t="s">
        <v>79</v>
      </c>
      <c r="L2496">
        <v>9</v>
      </c>
      <c r="M2496">
        <v>191.35</v>
      </c>
      <c r="N2496">
        <v>4.5</v>
      </c>
      <c r="O2496">
        <v>3</v>
      </c>
      <c r="Q2496">
        <v>186.85</v>
      </c>
      <c r="R2496" t="s">
        <v>1516</v>
      </c>
      <c r="V2496">
        <v>0</v>
      </c>
      <c r="W2496">
        <v>0</v>
      </c>
      <c r="AF2496">
        <v>0</v>
      </c>
      <c r="AG2496">
        <v>0</v>
      </c>
      <c r="AH2496">
        <v>0</v>
      </c>
      <c r="AI2496">
        <v>12</v>
      </c>
      <c r="AJ2496">
        <v>12</v>
      </c>
      <c r="AM2496">
        <v>0</v>
      </c>
      <c r="AN2496">
        <v>196.35</v>
      </c>
      <c r="AP2496">
        <v>50</v>
      </c>
      <c r="AQ2496">
        <v>50</v>
      </c>
    </row>
    <row r="2497" spans="1:43" x14ac:dyDescent="0.25">
      <c r="A2497" t="s">
        <v>45</v>
      </c>
      <c r="B2497">
        <v>3</v>
      </c>
      <c r="C2497" t="s">
        <v>1509</v>
      </c>
      <c r="D2497" s="39">
        <v>46001</v>
      </c>
      <c r="E2497" t="s">
        <v>486</v>
      </c>
      <c r="F2497" t="s">
        <v>79</v>
      </c>
      <c r="G2497">
        <v>10</v>
      </c>
      <c r="H2497">
        <v>5</v>
      </c>
      <c r="I2497" t="s">
        <v>79</v>
      </c>
      <c r="J2497">
        <v>1500</v>
      </c>
      <c r="K2497" t="s">
        <v>79</v>
      </c>
      <c r="L2497">
        <v>6</v>
      </c>
      <c r="M2497">
        <v>287.35000000000002</v>
      </c>
      <c r="N2497">
        <v>0.60000000000000009</v>
      </c>
      <c r="Q2497">
        <v>286.75</v>
      </c>
      <c r="R2497" t="s">
        <v>1518</v>
      </c>
      <c r="U2497">
        <v>60</v>
      </c>
      <c r="V2497">
        <v>60</v>
      </c>
      <c r="W2497">
        <v>1</v>
      </c>
      <c r="AF2497">
        <v>0</v>
      </c>
      <c r="AG2497">
        <v>0</v>
      </c>
      <c r="AH2497">
        <v>1</v>
      </c>
      <c r="AI2497">
        <v>11</v>
      </c>
      <c r="AJ2497">
        <v>12</v>
      </c>
      <c r="AM2497">
        <v>0</v>
      </c>
      <c r="AN2497">
        <v>292.35000000000002</v>
      </c>
      <c r="AP2497">
        <v>50</v>
      </c>
      <c r="AQ2497">
        <v>50</v>
      </c>
    </row>
    <row r="2498" spans="1:43" x14ac:dyDescent="0.25">
      <c r="A2498" t="s">
        <v>45</v>
      </c>
      <c r="B2498">
        <v>4</v>
      </c>
      <c r="C2498" t="s">
        <v>1536</v>
      </c>
      <c r="D2498" s="39">
        <v>46001</v>
      </c>
      <c r="E2498" t="s">
        <v>1471</v>
      </c>
      <c r="F2498" t="s">
        <v>79</v>
      </c>
      <c r="G2498">
        <v>19</v>
      </c>
      <c r="H2498" t="s">
        <v>1472</v>
      </c>
      <c r="I2498" t="s">
        <v>79</v>
      </c>
      <c r="J2498">
        <v>1000</v>
      </c>
      <c r="K2498" t="s">
        <v>79</v>
      </c>
      <c r="L2498">
        <v>15</v>
      </c>
      <c r="M2498">
        <v>819.11000000000024</v>
      </c>
      <c r="N2498">
        <v>28.5</v>
      </c>
      <c r="Q2498">
        <v>790.61000000000024</v>
      </c>
      <c r="R2498" t="s">
        <v>1537</v>
      </c>
      <c r="S2498">
        <v>30</v>
      </c>
      <c r="V2498">
        <v>30</v>
      </c>
      <c r="W2498">
        <v>0.5</v>
      </c>
      <c r="AF2498">
        <v>0</v>
      </c>
      <c r="AG2498">
        <v>0</v>
      </c>
      <c r="AH2498">
        <v>0.5</v>
      </c>
      <c r="AI2498">
        <v>11.5</v>
      </c>
      <c r="AJ2498">
        <v>12</v>
      </c>
      <c r="AM2498">
        <v>0</v>
      </c>
      <c r="AN2498">
        <v>824.11000000000035</v>
      </c>
      <c r="AP2498">
        <v>50</v>
      </c>
      <c r="AQ2498">
        <v>50</v>
      </c>
    </row>
    <row r="2499" spans="1:43" x14ac:dyDescent="0.25">
      <c r="A2499" t="s">
        <v>46</v>
      </c>
      <c r="B2499">
        <v>4</v>
      </c>
      <c r="C2499" t="s">
        <v>1536</v>
      </c>
      <c r="D2499" s="39">
        <v>46001</v>
      </c>
      <c r="E2499" t="s">
        <v>1471</v>
      </c>
      <c r="F2499" t="s">
        <v>79</v>
      </c>
      <c r="G2499">
        <v>19</v>
      </c>
      <c r="H2499" t="s">
        <v>1472</v>
      </c>
      <c r="I2499" t="s">
        <v>79</v>
      </c>
      <c r="J2499">
        <v>1000</v>
      </c>
      <c r="K2499" t="s">
        <v>79</v>
      </c>
      <c r="L2499">
        <v>8</v>
      </c>
      <c r="M2499">
        <v>443.38</v>
      </c>
      <c r="N2499">
        <v>14.4</v>
      </c>
      <c r="Q2499">
        <v>428.98</v>
      </c>
      <c r="R2499" t="s">
        <v>1537</v>
      </c>
      <c r="S2499">
        <v>30</v>
      </c>
      <c r="V2499">
        <v>30</v>
      </c>
      <c r="W2499">
        <v>0.5</v>
      </c>
      <c r="AF2499">
        <v>0</v>
      </c>
      <c r="AG2499">
        <v>0</v>
      </c>
      <c r="AH2499">
        <v>0.5</v>
      </c>
      <c r="AI2499">
        <v>11.5</v>
      </c>
      <c r="AJ2499">
        <v>12</v>
      </c>
      <c r="AM2499">
        <v>0</v>
      </c>
      <c r="AN2499">
        <v>448.38</v>
      </c>
      <c r="AP2499">
        <v>50</v>
      </c>
      <c r="AQ2499">
        <v>50</v>
      </c>
    </row>
    <row r="2500" spans="1:43" x14ac:dyDescent="0.25">
      <c r="A2500" t="s">
        <v>46</v>
      </c>
      <c r="B2500">
        <v>4</v>
      </c>
      <c r="C2500" t="s">
        <v>1538</v>
      </c>
      <c r="D2500" s="39">
        <v>46001</v>
      </c>
      <c r="E2500" t="s">
        <v>1471</v>
      </c>
      <c r="F2500" t="s">
        <v>79</v>
      </c>
      <c r="G2500">
        <v>21</v>
      </c>
      <c r="H2500" t="s">
        <v>1472</v>
      </c>
      <c r="I2500" t="s">
        <v>79</v>
      </c>
      <c r="J2500">
        <v>500</v>
      </c>
      <c r="K2500" t="s">
        <v>79</v>
      </c>
      <c r="L2500">
        <v>8</v>
      </c>
      <c r="M2500">
        <v>477.85999999999996</v>
      </c>
      <c r="N2500">
        <v>20</v>
      </c>
      <c r="Q2500">
        <v>457.85999999999996</v>
      </c>
      <c r="R2500" t="s">
        <v>1539</v>
      </c>
      <c r="V2500">
        <v>0</v>
      </c>
      <c r="W2500">
        <v>0</v>
      </c>
      <c r="AF2500">
        <v>0</v>
      </c>
      <c r="AG2500">
        <v>0</v>
      </c>
      <c r="AH2500">
        <v>0</v>
      </c>
      <c r="AI2500">
        <v>12</v>
      </c>
      <c r="AJ2500">
        <v>12</v>
      </c>
      <c r="AM2500">
        <v>0</v>
      </c>
      <c r="AN2500">
        <v>482.86</v>
      </c>
      <c r="AP2500">
        <v>50</v>
      </c>
      <c r="AQ2500">
        <v>50</v>
      </c>
    </row>
    <row r="2501" spans="1:43" x14ac:dyDescent="0.25">
      <c r="A2501" t="s">
        <v>45</v>
      </c>
      <c r="B2501">
        <v>5</v>
      </c>
      <c r="C2501" t="s">
        <v>1532</v>
      </c>
      <c r="D2501" s="39">
        <v>46001</v>
      </c>
      <c r="E2501" t="s">
        <v>486</v>
      </c>
      <c r="F2501" t="s">
        <v>79</v>
      </c>
      <c r="G2501">
        <v>11</v>
      </c>
      <c r="H2501" t="s">
        <v>113</v>
      </c>
      <c r="I2501" t="s">
        <v>79</v>
      </c>
      <c r="J2501">
        <v>2000</v>
      </c>
      <c r="K2501" t="s">
        <v>79</v>
      </c>
      <c r="L2501">
        <v>10</v>
      </c>
      <c r="M2501">
        <v>531.1</v>
      </c>
      <c r="N2501">
        <v>11</v>
      </c>
      <c r="Q2501">
        <v>520.1</v>
      </c>
      <c r="R2501" t="s">
        <v>1533</v>
      </c>
      <c r="V2501">
        <v>0</v>
      </c>
      <c r="W2501">
        <v>0</v>
      </c>
      <c r="AF2501">
        <v>0</v>
      </c>
      <c r="AG2501">
        <v>0</v>
      </c>
      <c r="AH2501">
        <v>0</v>
      </c>
      <c r="AI2501">
        <v>12</v>
      </c>
      <c r="AJ2501">
        <v>12</v>
      </c>
      <c r="AM2501">
        <v>0</v>
      </c>
      <c r="AN2501">
        <v>536.1</v>
      </c>
      <c r="AP2501">
        <v>50</v>
      </c>
      <c r="AQ2501">
        <v>50</v>
      </c>
    </row>
    <row r="2502" spans="1:43" x14ac:dyDescent="0.25">
      <c r="A2502" t="s">
        <v>46</v>
      </c>
      <c r="B2502">
        <v>5</v>
      </c>
      <c r="C2502" t="s">
        <v>1532</v>
      </c>
      <c r="D2502" s="39">
        <v>46001</v>
      </c>
      <c r="E2502" t="s">
        <v>486</v>
      </c>
      <c r="F2502" t="s">
        <v>79</v>
      </c>
      <c r="G2502">
        <v>11</v>
      </c>
      <c r="H2502" t="s">
        <v>113</v>
      </c>
      <c r="I2502" t="s">
        <v>79</v>
      </c>
      <c r="J2502">
        <v>2000</v>
      </c>
      <c r="K2502" t="s">
        <v>79</v>
      </c>
      <c r="L2502">
        <v>9</v>
      </c>
      <c r="M2502">
        <v>526.91</v>
      </c>
      <c r="N2502">
        <v>11.700000000000001</v>
      </c>
      <c r="Q2502">
        <v>515.20999999999992</v>
      </c>
      <c r="R2502" t="s">
        <v>1533</v>
      </c>
      <c r="V2502">
        <v>0</v>
      </c>
      <c r="W2502">
        <v>0</v>
      </c>
      <c r="AF2502">
        <v>0</v>
      </c>
      <c r="AG2502">
        <v>0</v>
      </c>
      <c r="AH2502">
        <v>0</v>
      </c>
      <c r="AI2502">
        <v>12</v>
      </c>
      <c r="AJ2502">
        <v>12</v>
      </c>
      <c r="AM2502">
        <v>0</v>
      </c>
      <c r="AN2502">
        <v>531.91</v>
      </c>
      <c r="AP2502">
        <v>50</v>
      </c>
      <c r="AQ2502">
        <v>50</v>
      </c>
    </row>
    <row r="2503" spans="1:43" x14ac:dyDescent="0.25">
      <c r="A2503" t="s">
        <v>45</v>
      </c>
      <c r="B2503">
        <v>1</v>
      </c>
      <c r="C2503" t="s">
        <v>1495</v>
      </c>
      <c r="D2503" s="39">
        <v>46002</v>
      </c>
      <c r="E2503" t="s">
        <v>486</v>
      </c>
      <c r="F2503" t="s">
        <v>79</v>
      </c>
      <c r="G2503">
        <v>3</v>
      </c>
      <c r="H2503" t="s">
        <v>92</v>
      </c>
      <c r="I2503" t="s">
        <v>79</v>
      </c>
      <c r="J2503">
        <v>1000</v>
      </c>
      <c r="K2503" t="s">
        <v>79</v>
      </c>
      <c r="L2503">
        <v>2</v>
      </c>
      <c r="M2503">
        <v>29.520000000000003</v>
      </c>
      <c r="N2503">
        <v>0.6</v>
      </c>
      <c r="Q2503">
        <v>28.92</v>
      </c>
      <c r="R2503" t="s">
        <v>1517</v>
      </c>
      <c r="V2503">
        <v>0</v>
      </c>
      <c r="W2503">
        <v>0</v>
      </c>
      <c r="AF2503">
        <v>0</v>
      </c>
      <c r="AG2503">
        <v>0</v>
      </c>
      <c r="AH2503">
        <v>0</v>
      </c>
      <c r="AI2503">
        <v>12</v>
      </c>
      <c r="AJ2503">
        <v>12</v>
      </c>
      <c r="AM2503">
        <v>0</v>
      </c>
      <c r="AN2503">
        <v>34.520000000000003</v>
      </c>
      <c r="AP2503">
        <v>50</v>
      </c>
      <c r="AQ2503">
        <v>50</v>
      </c>
    </row>
    <row r="2504" spans="1:43" x14ac:dyDescent="0.25">
      <c r="A2504" t="s">
        <v>45</v>
      </c>
      <c r="B2504">
        <v>1</v>
      </c>
      <c r="C2504" t="s">
        <v>1540</v>
      </c>
      <c r="D2504" s="39">
        <v>46002</v>
      </c>
      <c r="E2504" t="s">
        <v>486</v>
      </c>
      <c r="F2504" t="s">
        <v>79</v>
      </c>
      <c r="G2504">
        <v>4</v>
      </c>
      <c r="H2504" t="s">
        <v>113</v>
      </c>
      <c r="I2504" t="s">
        <v>79</v>
      </c>
      <c r="J2504">
        <v>1000</v>
      </c>
      <c r="K2504" t="s">
        <v>79</v>
      </c>
      <c r="L2504">
        <v>6</v>
      </c>
      <c r="M2504">
        <v>107.21000000000001</v>
      </c>
      <c r="N2504">
        <v>2.4000000000000004</v>
      </c>
      <c r="O2504">
        <v>15</v>
      </c>
      <c r="Q2504">
        <v>104.81</v>
      </c>
      <c r="R2504" t="s">
        <v>1575</v>
      </c>
      <c r="V2504">
        <v>0</v>
      </c>
      <c r="W2504">
        <v>0</v>
      </c>
      <c r="AF2504">
        <v>0</v>
      </c>
      <c r="AG2504">
        <v>0</v>
      </c>
      <c r="AH2504">
        <v>0</v>
      </c>
      <c r="AI2504">
        <v>12</v>
      </c>
      <c r="AJ2504">
        <v>12</v>
      </c>
      <c r="AM2504">
        <v>0</v>
      </c>
      <c r="AN2504">
        <v>112.21</v>
      </c>
      <c r="AP2504">
        <v>50</v>
      </c>
      <c r="AQ2504">
        <v>50</v>
      </c>
    </row>
    <row r="2505" spans="1:43" x14ac:dyDescent="0.25">
      <c r="A2505" t="s">
        <v>46</v>
      </c>
      <c r="B2505">
        <v>1</v>
      </c>
      <c r="C2505" t="s">
        <v>1540</v>
      </c>
      <c r="D2505" s="39">
        <v>46002</v>
      </c>
      <c r="E2505" t="s">
        <v>486</v>
      </c>
      <c r="F2505" t="s">
        <v>79</v>
      </c>
      <c r="G2505">
        <v>4</v>
      </c>
      <c r="H2505" t="s">
        <v>113</v>
      </c>
      <c r="I2505" t="s">
        <v>79</v>
      </c>
      <c r="J2505">
        <v>1000</v>
      </c>
      <c r="K2505" t="s">
        <v>79</v>
      </c>
      <c r="L2505">
        <v>8</v>
      </c>
      <c r="M2505">
        <v>160.37</v>
      </c>
      <c r="N2505">
        <v>3.2</v>
      </c>
      <c r="O2505">
        <v>22</v>
      </c>
      <c r="Q2505">
        <v>157.17000000000002</v>
      </c>
      <c r="R2505" t="s">
        <v>1575</v>
      </c>
      <c r="S2505">
        <v>15</v>
      </c>
      <c r="V2505">
        <v>15</v>
      </c>
      <c r="W2505">
        <v>0.25</v>
      </c>
      <c r="AD2505">
        <v>20</v>
      </c>
      <c r="AF2505">
        <v>20</v>
      </c>
      <c r="AG2505">
        <v>0.33333333333333331</v>
      </c>
      <c r="AH2505">
        <v>0.58333333333333326</v>
      </c>
      <c r="AI2505">
        <v>11.416666666666666</v>
      </c>
      <c r="AJ2505">
        <v>12</v>
      </c>
      <c r="AM2505">
        <v>0</v>
      </c>
      <c r="AN2505">
        <v>165.37</v>
      </c>
      <c r="AP2505">
        <v>50</v>
      </c>
      <c r="AQ2505">
        <v>50</v>
      </c>
    </row>
    <row r="2506" spans="1:43" x14ac:dyDescent="0.25">
      <c r="A2506" t="s">
        <v>45</v>
      </c>
      <c r="B2506">
        <v>2</v>
      </c>
      <c r="C2506" t="s">
        <v>1476</v>
      </c>
      <c r="D2506" s="39">
        <v>46002</v>
      </c>
      <c r="E2506" t="s">
        <v>486</v>
      </c>
      <c r="F2506" t="s">
        <v>79</v>
      </c>
      <c r="G2506">
        <v>5</v>
      </c>
      <c r="H2506" t="s">
        <v>92</v>
      </c>
      <c r="I2506" t="s">
        <v>79</v>
      </c>
      <c r="J2506">
        <v>1000</v>
      </c>
      <c r="K2506" t="s">
        <v>79</v>
      </c>
      <c r="L2506">
        <v>10</v>
      </c>
      <c r="M2506">
        <v>217.2</v>
      </c>
      <c r="N2506">
        <v>5</v>
      </c>
      <c r="Q2506">
        <v>212.2</v>
      </c>
      <c r="R2506" t="s">
        <v>1516</v>
      </c>
      <c r="V2506">
        <v>0</v>
      </c>
      <c r="W2506">
        <v>0</v>
      </c>
      <c r="AF2506">
        <v>0</v>
      </c>
      <c r="AG2506">
        <v>0</v>
      </c>
      <c r="AH2506">
        <v>0</v>
      </c>
      <c r="AI2506">
        <v>12</v>
      </c>
      <c r="AJ2506">
        <v>12</v>
      </c>
      <c r="AM2506">
        <v>0</v>
      </c>
      <c r="AN2506">
        <v>222.2</v>
      </c>
      <c r="AP2506">
        <v>50</v>
      </c>
      <c r="AQ2506">
        <v>50</v>
      </c>
    </row>
    <row r="2507" spans="1:43" x14ac:dyDescent="0.25">
      <c r="A2507" t="s">
        <v>46</v>
      </c>
      <c r="B2507">
        <v>2</v>
      </c>
      <c r="C2507" t="s">
        <v>1476</v>
      </c>
      <c r="D2507" s="39">
        <v>46002</v>
      </c>
      <c r="E2507" t="s">
        <v>486</v>
      </c>
      <c r="F2507" t="s">
        <v>79</v>
      </c>
      <c r="G2507">
        <v>5</v>
      </c>
      <c r="H2507" t="s">
        <v>92</v>
      </c>
      <c r="I2507" t="s">
        <v>79</v>
      </c>
      <c r="J2507">
        <v>1000</v>
      </c>
      <c r="K2507" t="s">
        <v>79</v>
      </c>
      <c r="L2507">
        <v>8</v>
      </c>
      <c r="M2507">
        <v>178.20999999999998</v>
      </c>
      <c r="N2507">
        <v>4</v>
      </c>
      <c r="Q2507">
        <v>174.20999999999998</v>
      </c>
      <c r="R2507" t="s">
        <v>1516</v>
      </c>
      <c r="V2507">
        <v>0</v>
      </c>
      <c r="W2507">
        <v>0</v>
      </c>
      <c r="AF2507">
        <v>0</v>
      </c>
      <c r="AG2507">
        <v>0</v>
      </c>
      <c r="AH2507">
        <v>0</v>
      </c>
      <c r="AI2507">
        <v>12</v>
      </c>
      <c r="AJ2507">
        <v>12</v>
      </c>
      <c r="AM2507">
        <v>0</v>
      </c>
      <c r="AN2507">
        <v>183.21</v>
      </c>
      <c r="AP2507">
        <v>50</v>
      </c>
      <c r="AQ2507">
        <v>50</v>
      </c>
    </row>
    <row r="2508" spans="1:43" x14ac:dyDescent="0.25">
      <c r="A2508" t="s">
        <v>45</v>
      </c>
      <c r="B2508">
        <v>4</v>
      </c>
      <c r="C2508" t="s">
        <v>1538</v>
      </c>
      <c r="D2508" s="39">
        <v>46002</v>
      </c>
      <c r="E2508" t="s">
        <v>1471</v>
      </c>
      <c r="F2508" t="s">
        <v>79</v>
      </c>
      <c r="G2508">
        <v>21</v>
      </c>
      <c r="H2508" t="s">
        <v>1472</v>
      </c>
      <c r="I2508" t="s">
        <v>79</v>
      </c>
      <c r="J2508">
        <v>500</v>
      </c>
      <c r="K2508" t="s">
        <v>79</v>
      </c>
      <c r="L2508">
        <v>1</v>
      </c>
      <c r="M2508">
        <v>60.16</v>
      </c>
      <c r="N2508">
        <v>2.1</v>
      </c>
      <c r="Q2508">
        <v>58.059999999999995</v>
      </c>
      <c r="R2508" t="s">
        <v>1539</v>
      </c>
      <c r="V2508">
        <v>0</v>
      </c>
      <c r="W2508">
        <v>0</v>
      </c>
      <c r="AF2508">
        <v>0</v>
      </c>
      <c r="AG2508">
        <v>0</v>
      </c>
      <c r="AH2508">
        <v>0</v>
      </c>
      <c r="AI2508">
        <v>12</v>
      </c>
      <c r="AJ2508">
        <v>12</v>
      </c>
      <c r="AM2508">
        <v>0</v>
      </c>
      <c r="AN2508">
        <v>65.16</v>
      </c>
      <c r="AP2508">
        <v>50</v>
      </c>
      <c r="AQ2508">
        <v>50</v>
      </c>
    </row>
    <row r="2509" spans="1:43" x14ac:dyDescent="0.25">
      <c r="A2509" t="s">
        <v>45</v>
      </c>
      <c r="B2509">
        <v>4</v>
      </c>
      <c r="C2509" t="s">
        <v>1541</v>
      </c>
      <c r="D2509" s="39">
        <v>46002</v>
      </c>
      <c r="E2509" t="s">
        <v>243</v>
      </c>
      <c r="F2509" t="s">
        <v>79</v>
      </c>
      <c r="G2509">
        <v>18</v>
      </c>
      <c r="H2509" t="s">
        <v>102</v>
      </c>
      <c r="I2509" t="s">
        <v>79</v>
      </c>
      <c r="J2509">
        <v>325</v>
      </c>
      <c r="K2509" t="s">
        <v>79</v>
      </c>
      <c r="L2509">
        <v>7</v>
      </c>
      <c r="M2509">
        <v>352.51</v>
      </c>
      <c r="N2509">
        <v>12.6</v>
      </c>
      <c r="Q2509">
        <v>339.90999999999997</v>
      </c>
      <c r="R2509" t="s">
        <v>1542</v>
      </c>
      <c r="V2509">
        <v>0</v>
      </c>
      <c r="W2509">
        <v>0</v>
      </c>
      <c r="AF2509">
        <v>0</v>
      </c>
      <c r="AG2509">
        <v>0</v>
      </c>
      <c r="AH2509">
        <v>0</v>
      </c>
      <c r="AI2509">
        <v>12</v>
      </c>
      <c r="AJ2509">
        <v>12</v>
      </c>
      <c r="AM2509">
        <v>0</v>
      </c>
      <c r="AN2509">
        <v>357.51</v>
      </c>
      <c r="AP2509">
        <v>50</v>
      </c>
      <c r="AQ2509">
        <v>50</v>
      </c>
    </row>
    <row r="2510" spans="1:43" x14ac:dyDescent="0.25">
      <c r="A2510" t="s">
        <v>45</v>
      </c>
      <c r="B2510">
        <v>4</v>
      </c>
      <c r="C2510" t="s">
        <v>1543</v>
      </c>
      <c r="D2510" s="39">
        <v>46002</v>
      </c>
      <c r="E2510" t="s">
        <v>276</v>
      </c>
      <c r="F2510" t="s">
        <v>79</v>
      </c>
      <c r="G2510">
        <v>18</v>
      </c>
      <c r="H2510" t="s">
        <v>113</v>
      </c>
      <c r="I2510" t="s">
        <v>79</v>
      </c>
      <c r="J2510">
        <v>1000</v>
      </c>
      <c r="K2510" t="s">
        <v>79</v>
      </c>
      <c r="L2510">
        <v>4</v>
      </c>
      <c r="M2510">
        <v>199.91</v>
      </c>
      <c r="N2510">
        <v>7.2</v>
      </c>
      <c r="Q2510">
        <v>192.71</v>
      </c>
      <c r="R2510" t="s">
        <v>1544</v>
      </c>
      <c r="S2510">
        <v>30</v>
      </c>
      <c r="V2510">
        <v>30</v>
      </c>
      <c r="W2510">
        <v>0.5</v>
      </c>
      <c r="AF2510">
        <v>0</v>
      </c>
      <c r="AG2510">
        <v>0</v>
      </c>
      <c r="AH2510">
        <v>0.5</v>
      </c>
      <c r="AI2510">
        <v>11.5</v>
      </c>
      <c r="AJ2510">
        <v>12</v>
      </c>
      <c r="AM2510">
        <v>0</v>
      </c>
      <c r="AN2510">
        <v>204.91</v>
      </c>
      <c r="AP2510">
        <v>50</v>
      </c>
      <c r="AQ2510">
        <v>50</v>
      </c>
    </row>
    <row r="2511" spans="1:43" x14ac:dyDescent="0.25">
      <c r="A2511" t="s">
        <v>45</v>
      </c>
      <c r="B2511">
        <v>4</v>
      </c>
      <c r="C2511" t="s">
        <v>1545</v>
      </c>
      <c r="D2511" s="39">
        <v>46002</v>
      </c>
      <c r="E2511" t="s">
        <v>340</v>
      </c>
      <c r="F2511" t="s">
        <v>79</v>
      </c>
      <c r="G2511">
        <v>18</v>
      </c>
      <c r="H2511" t="s">
        <v>1444</v>
      </c>
      <c r="I2511" t="s">
        <v>79</v>
      </c>
      <c r="J2511">
        <v>50</v>
      </c>
      <c r="K2511" t="s">
        <v>79</v>
      </c>
      <c r="L2511">
        <v>4</v>
      </c>
      <c r="M2511">
        <v>174.31</v>
      </c>
      <c r="N2511">
        <v>7.2</v>
      </c>
      <c r="Q2511">
        <v>167.11</v>
      </c>
      <c r="R2511" t="s">
        <v>1546</v>
      </c>
      <c r="V2511">
        <v>0</v>
      </c>
      <c r="W2511">
        <v>0</v>
      </c>
      <c r="AF2511">
        <v>0</v>
      </c>
      <c r="AG2511">
        <v>0</v>
      </c>
      <c r="AH2511">
        <v>0</v>
      </c>
      <c r="AI2511">
        <v>12</v>
      </c>
      <c r="AJ2511">
        <v>12</v>
      </c>
      <c r="AM2511">
        <v>0</v>
      </c>
      <c r="AN2511">
        <v>179.31</v>
      </c>
      <c r="AP2511">
        <v>50</v>
      </c>
      <c r="AQ2511">
        <v>50</v>
      </c>
    </row>
    <row r="2512" spans="1:43" x14ac:dyDescent="0.25">
      <c r="A2512" t="s">
        <v>46</v>
      </c>
      <c r="B2512">
        <v>4</v>
      </c>
      <c r="C2512" t="s">
        <v>1543</v>
      </c>
      <c r="D2512" s="39">
        <v>46002</v>
      </c>
      <c r="E2512" t="s">
        <v>276</v>
      </c>
      <c r="F2512" t="s">
        <v>79</v>
      </c>
      <c r="G2512">
        <v>18</v>
      </c>
      <c r="H2512" t="s">
        <v>113</v>
      </c>
      <c r="I2512" t="s">
        <v>79</v>
      </c>
      <c r="J2512">
        <v>1000</v>
      </c>
      <c r="K2512" t="s">
        <v>79</v>
      </c>
      <c r="L2512">
        <v>14</v>
      </c>
      <c r="M2512">
        <v>782.72</v>
      </c>
      <c r="N2512">
        <v>25.2</v>
      </c>
      <c r="Q2512">
        <v>757.52</v>
      </c>
      <c r="R2512" t="s">
        <v>1544</v>
      </c>
      <c r="V2512">
        <v>0</v>
      </c>
      <c r="W2512">
        <v>0</v>
      </c>
      <c r="AF2512">
        <v>0</v>
      </c>
      <c r="AG2512">
        <v>0</v>
      </c>
      <c r="AH2512">
        <v>0</v>
      </c>
      <c r="AI2512">
        <v>12</v>
      </c>
      <c r="AJ2512">
        <v>12</v>
      </c>
      <c r="AM2512">
        <v>0</v>
      </c>
      <c r="AN2512">
        <v>787.72</v>
      </c>
      <c r="AP2512">
        <v>50</v>
      </c>
      <c r="AQ2512">
        <v>50</v>
      </c>
    </row>
    <row r="2513" spans="1:43" x14ac:dyDescent="0.25">
      <c r="A2513" t="s">
        <v>45</v>
      </c>
      <c r="B2513">
        <v>5</v>
      </c>
      <c r="C2513" t="s">
        <v>1532</v>
      </c>
      <c r="D2513" s="39">
        <v>46002</v>
      </c>
      <c r="E2513" t="s">
        <v>486</v>
      </c>
      <c r="F2513" t="s">
        <v>79</v>
      </c>
      <c r="G2513">
        <v>11</v>
      </c>
      <c r="H2513" t="s">
        <v>113</v>
      </c>
      <c r="I2513" t="s">
        <v>79</v>
      </c>
      <c r="J2513">
        <v>2000</v>
      </c>
      <c r="K2513" t="s">
        <v>79</v>
      </c>
      <c r="L2513">
        <v>2</v>
      </c>
      <c r="M2513">
        <v>86.960000000000008</v>
      </c>
      <c r="N2513">
        <v>2.2000000000000002</v>
      </c>
      <c r="Q2513">
        <v>84.76</v>
      </c>
      <c r="R2513" t="s">
        <v>1533</v>
      </c>
      <c r="V2513">
        <v>0</v>
      </c>
      <c r="W2513">
        <v>0</v>
      </c>
      <c r="AF2513">
        <v>0</v>
      </c>
      <c r="AG2513">
        <v>0</v>
      </c>
      <c r="AH2513">
        <v>0</v>
      </c>
      <c r="AI2513">
        <v>12</v>
      </c>
      <c r="AJ2513">
        <v>12</v>
      </c>
      <c r="AM2513">
        <v>0</v>
      </c>
      <c r="AN2513">
        <v>91.96</v>
      </c>
      <c r="AP2513">
        <v>50</v>
      </c>
      <c r="AQ2513">
        <v>50</v>
      </c>
    </row>
    <row r="2514" spans="1:43" x14ac:dyDescent="0.25">
      <c r="A2514" t="s">
        <v>45</v>
      </c>
      <c r="B2514">
        <v>5</v>
      </c>
      <c r="C2514" t="s">
        <v>1547</v>
      </c>
      <c r="D2514" s="39">
        <v>46002</v>
      </c>
      <c r="E2514" t="s">
        <v>243</v>
      </c>
      <c r="F2514" t="s">
        <v>79</v>
      </c>
      <c r="G2514">
        <v>13</v>
      </c>
      <c r="H2514" t="s">
        <v>123</v>
      </c>
      <c r="I2514" t="s">
        <v>79</v>
      </c>
      <c r="J2514">
        <v>100</v>
      </c>
      <c r="K2514" t="s">
        <v>79</v>
      </c>
      <c r="L2514">
        <v>4</v>
      </c>
      <c r="M2514">
        <v>216.64999999999998</v>
      </c>
      <c r="N2514">
        <v>5.2</v>
      </c>
      <c r="Q2514">
        <v>211.45</v>
      </c>
      <c r="R2514" t="s">
        <v>1548</v>
      </c>
      <c r="V2514">
        <v>0</v>
      </c>
      <c r="W2514">
        <v>0</v>
      </c>
      <c r="AF2514">
        <v>0</v>
      </c>
      <c r="AG2514">
        <v>0</v>
      </c>
      <c r="AH2514">
        <v>0</v>
      </c>
      <c r="AI2514">
        <v>12</v>
      </c>
      <c r="AJ2514">
        <v>12</v>
      </c>
      <c r="AM2514">
        <v>0</v>
      </c>
      <c r="AN2514">
        <v>221.65</v>
      </c>
      <c r="AP2514">
        <v>50</v>
      </c>
      <c r="AQ2514">
        <v>50</v>
      </c>
    </row>
    <row r="2515" spans="1:43" x14ac:dyDescent="0.25">
      <c r="A2515" t="s">
        <v>45</v>
      </c>
      <c r="B2515">
        <v>5</v>
      </c>
      <c r="C2515" t="s">
        <v>1549</v>
      </c>
      <c r="D2515" s="39">
        <v>46002</v>
      </c>
      <c r="E2515" t="s">
        <v>674</v>
      </c>
      <c r="F2515" t="s">
        <v>79</v>
      </c>
      <c r="G2515">
        <v>13</v>
      </c>
      <c r="H2515" t="s">
        <v>102</v>
      </c>
      <c r="I2515" t="s">
        <v>79</v>
      </c>
      <c r="J2515">
        <v>200</v>
      </c>
      <c r="K2515" t="s">
        <v>79</v>
      </c>
      <c r="L2515">
        <v>4</v>
      </c>
      <c r="M2515">
        <v>251.04000000000002</v>
      </c>
      <c r="N2515">
        <v>11.700000000000001</v>
      </c>
      <c r="O2515">
        <v>4.5</v>
      </c>
      <c r="Q2515">
        <v>239.34000000000003</v>
      </c>
      <c r="R2515" t="s">
        <v>1550</v>
      </c>
      <c r="S2515">
        <v>20</v>
      </c>
      <c r="V2515">
        <v>20</v>
      </c>
      <c r="W2515">
        <v>0.33333333333333331</v>
      </c>
      <c r="AF2515">
        <v>0</v>
      </c>
      <c r="AG2515">
        <v>0</v>
      </c>
      <c r="AH2515">
        <v>0.33333333333333331</v>
      </c>
      <c r="AI2515">
        <v>11.666666666666666</v>
      </c>
      <c r="AJ2515">
        <v>12</v>
      </c>
      <c r="AM2515">
        <v>0</v>
      </c>
      <c r="AN2515">
        <v>256.04000000000002</v>
      </c>
      <c r="AP2515">
        <v>50</v>
      </c>
      <c r="AQ2515">
        <v>50</v>
      </c>
    </row>
    <row r="2516" spans="1:43" x14ac:dyDescent="0.25">
      <c r="A2516" t="s">
        <v>46</v>
      </c>
      <c r="B2516">
        <v>5</v>
      </c>
      <c r="C2516" t="s">
        <v>1549</v>
      </c>
      <c r="D2516" s="39">
        <v>46002</v>
      </c>
      <c r="E2516" t="s">
        <v>674</v>
      </c>
      <c r="F2516" t="s">
        <v>79</v>
      </c>
      <c r="G2516">
        <v>13</v>
      </c>
      <c r="H2516" t="s">
        <v>102</v>
      </c>
      <c r="I2516" t="s">
        <v>79</v>
      </c>
      <c r="J2516">
        <v>200</v>
      </c>
      <c r="K2516" t="s">
        <v>79</v>
      </c>
      <c r="L2516">
        <v>4</v>
      </c>
      <c r="M2516">
        <v>211.28</v>
      </c>
      <c r="N2516">
        <v>6.48</v>
      </c>
      <c r="O2516">
        <v>4.5</v>
      </c>
      <c r="Q2516">
        <v>204.8</v>
      </c>
      <c r="R2516" t="s">
        <v>1550</v>
      </c>
      <c r="S2516">
        <v>20</v>
      </c>
      <c r="V2516">
        <v>20</v>
      </c>
      <c r="W2516">
        <v>0.33333333333333331</v>
      </c>
      <c r="AF2516">
        <v>0</v>
      </c>
      <c r="AG2516">
        <v>0</v>
      </c>
      <c r="AH2516">
        <v>0.33333333333333331</v>
      </c>
      <c r="AI2516">
        <v>11.666666666666666</v>
      </c>
      <c r="AJ2516">
        <v>12</v>
      </c>
      <c r="AM2516">
        <v>0</v>
      </c>
      <c r="AN2516">
        <v>216.28</v>
      </c>
      <c r="AP2516">
        <v>50</v>
      </c>
      <c r="AQ2516">
        <v>50</v>
      </c>
    </row>
    <row r="2517" spans="1:43" x14ac:dyDescent="0.25">
      <c r="A2517" t="s">
        <v>46</v>
      </c>
      <c r="B2517">
        <v>5</v>
      </c>
      <c r="C2517" t="s">
        <v>1551</v>
      </c>
      <c r="D2517" s="39">
        <v>46002</v>
      </c>
      <c r="E2517" t="s">
        <v>1552</v>
      </c>
      <c r="F2517" t="s">
        <v>79</v>
      </c>
      <c r="G2517">
        <v>12</v>
      </c>
      <c r="H2517" t="s">
        <v>1049</v>
      </c>
      <c r="I2517" t="s">
        <v>79</v>
      </c>
      <c r="J2517">
        <v>100</v>
      </c>
      <c r="K2517" t="s">
        <v>79</v>
      </c>
      <c r="L2517">
        <v>3</v>
      </c>
      <c r="M2517">
        <v>196.44</v>
      </c>
      <c r="N2517">
        <v>4.3499999999999996</v>
      </c>
      <c r="Q2517">
        <v>192.09</v>
      </c>
      <c r="R2517" t="s">
        <v>1553</v>
      </c>
      <c r="V2517">
        <v>0</v>
      </c>
      <c r="W2517">
        <v>0</v>
      </c>
      <c r="AF2517">
        <v>0</v>
      </c>
      <c r="AG2517">
        <v>0</v>
      </c>
      <c r="AH2517">
        <v>0</v>
      </c>
      <c r="AI2517">
        <v>12</v>
      </c>
      <c r="AJ2517">
        <v>12</v>
      </c>
      <c r="AM2517">
        <v>0</v>
      </c>
      <c r="AN2517">
        <v>201.44</v>
      </c>
      <c r="AP2517">
        <v>50</v>
      </c>
      <c r="AQ2517">
        <v>50</v>
      </c>
    </row>
    <row r="2518" spans="1:43" x14ac:dyDescent="0.25">
      <c r="A2518" t="s">
        <v>46</v>
      </c>
      <c r="B2518">
        <v>5</v>
      </c>
      <c r="C2518" t="s">
        <v>1554</v>
      </c>
      <c r="D2518" s="39">
        <v>46002</v>
      </c>
      <c r="E2518" t="s">
        <v>1200</v>
      </c>
      <c r="F2518" t="s">
        <v>79</v>
      </c>
      <c r="G2518">
        <v>13</v>
      </c>
      <c r="H2518" t="s">
        <v>1049</v>
      </c>
      <c r="I2518" t="s">
        <v>79</v>
      </c>
      <c r="J2518">
        <v>100</v>
      </c>
      <c r="K2518" t="s">
        <v>79</v>
      </c>
      <c r="L2518">
        <v>2</v>
      </c>
      <c r="M2518">
        <v>112.45</v>
      </c>
      <c r="N2518">
        <v>3.4</v>
      </c>
      <c r="Q2518">
        <v>109.05</v>
      </c>
      <c r="R2518" t="s">
        <v>1555</v>
      </c>
      <c r="V2518">
        <v>0</v>
      </c>
      <c r="W2518">
        <v>0</v>
      </c>
      <c r="AF2518">
        <v>0</v>
      </c>
      <c r="AG2518">
        <v>0</v>
      </c>
      <c r="AH2518">
        <v>0</v>
      </c>
      <c r="AI2518">
        <v>12</v>
      </c>
      <c r="AJ2518">
        <v>12</v>
      </c>
      <c r="AM2518">
        <v>0</v>
      </c>
      <c r="AN2518">
        <v>117.45</v>
      </c>
      <c r="AP2518">
        <v>50</v>
      </c>
      <c r="AQ2518">
        <v>50</v>
      </c>
    </row>
    <row r="2519" spans="1:43" x14ac:dyDescent="0.25">
      <c r="A2519" t="s">
        <v>45</v>
      </c>
      <c r="B2519">
        <v>1</v>
      </c>
      <c r="C2519" t="s">
        <v>1540</v>
      </c>
      <c r="D2519" s="39">
        <v>46003</v>
      </c>
      <c r="E2519" t="s">
        <v>486</v>
      </c>
      <c r="F2519" t="s">
        <v>79</v>
      </c>
      <c r="G2519">
        <v>4</v>
      </c>
      <c r="H2519" t="s">
        <v>113</v>
      </c>
      <c r="I2519" t="s">
        <v>79</v>
      </c>
      <c r="J2519">
        <v>1000</v>
      </c>
      <c r="K2519" t="s">
        <v>79</v>
      </c>
      <c r="L2519">
        <v>9</v>
      </c>
      <c r="M2519">
        <v>153.99</v>
      </c>
      <c r="N2519">
        <v>3.6</v>
      </c>
      <c r="O2519">
        <v>74</v>
      </c>
      <c r="Q2519">
        <v>150.39000000000001</v>
      </c>
      <c r="R2519" t="s">
        <v>1575</v>
      </c>
      <c r="V2519">
        <v>0</v>
      </c>
      <c r="W2519">
        <v>0</v>
      </c>
      <c r="AF2519">
        <v>0</v>
      </c>
      <c r="AG2519">
        <v>0</v>
      </c>
      <c r="AH2519">
        <v>0</v>
      </c>
      <c r="AI2519">
        <v>12</v>
      </c>
      <c r="AJ2519">
        <v>12</v>
      </c>
      <c r="AM2519">
        <v>0</v>
      </c>
      <c r="AN2519">
        <v>158.99</v>
      </c>
      <c r="AP2519">
        <v>50</v>
      </c>
      <c r="AQ2519">
        <v>50</v>
      </c>
    </row>
    <row r="2520" spans="1:43" x14ac:dyDescent="0.25">
      <c r="A2520" t="s">
        <v>46</v>
      </c>
      <c r="B2520">
        <v>1</v>
      </c>
      <c r="C2520" t="s">
        <v>1540</v>
      </c>
      <c r="D2520" s="39">
        <v>46003</v>
      </c>
      <c r="E2520" t="s">
        <v>486</v>
      </c>
      <c r="F2520" t="s">
        <v>79</v>
      </c>
      <c r="G2520">
        <v>4</v>
      </c>
      <c r="H2520" t="s">
        <v>113</v>
      </c>
      <c r="I2520" t="s">
        <v>79</v>
      </c>
      <c r="J2520">
        <v>1000</v>
      </c>
      <c r="K2520" t="s">
        <v>79</v>
      </c>
      <c r="L2520">
        <v>8</v>
      </c>
      <c r="M2520">
        <v>152.62</v>
      </c>
      <c r="N2520">
        <v>3.2</v>
      </c>
      <c r="O2520">
        <v>69</v>
      </c>
      <c r="Q2520">
        <v>149.42000000000002</v>
      </c>
      <c r="R2520" t="s">
        <v>1575</v>
      </c>
      <c r="V2520">
        <v>0</v>
      </c>
      <c r="W2520">
        <v>0</v>
      </c>
      <c r="AF2520">
        <v>0</v>
      </c>
      <c r="AG2520">
        <v>0</v>
      </c>
      <c r="AH2520">
        <v>0</v>
      </c>
      <c r="AI2520">
        <v>12</v>
      </c>
      <c r="AJ2520">
        <v>12</v>
      </c>
      <c r="AM2520">
        <v>0</v>
      </c>
      <c r="AN2520">
        <v>157.62</v>
      </c>
      <c r="AP2520">
        <v>50</v>
      </c>
      <c r="AQ2520">
        <v>50</v>
      </c>
    </row>
    <row r="2521" spans="1:43" x14ac:dyDescent="0.25">
      <c r="A2521" t="s">
        <v>45</v>
      </c>
      <c r="B2521">
        <v>2</v>
      </c>
      <c r="C2521" t="s">
        <v>1476</v>
      </c>
      <c r="D2521" s="39">
        <v>46003</v>
      </c>
      <c r="E2521" t="s">
        <v>486</v>
      </c>
      <c r="F2521" t="s">
        <v>79</v>
      </c>
      <c r="G2521">
        <v>5</v>
      </c>
      <c r="H2521" t="s">
        <v>92</v>
      </c>
      <c r="I2521" t="s">
        <v>79</v>
      </c>
      <c r="J2521">
        <v>1000</v>
      </c>
      <c r="K2521" t="s">
        <v>79</v>
      </c>
      <c r="L2521">
        <v>4</v>
      </c>
      <c r="M2521">
        <v>85.45</v>
      </c>
      <c r="N2521">
        <v>2</v>
      </c>
      <c r="Q2521">
        <v>83.45</v>
      </c>
      <c r="R2521" t="s">
        <v>1516</v>
      </c>
      <c r="V2521">
        <v>0</v>
      </c>
      <c r="W2521">
        <v>0</v>
      </c>
      <c r="X2521">
        <v>240</v>
      </c>
      <c r="AD2521">
        <v>20</v>
      </c>
      <c r="AF2521">
        <v>260</v>
      </c>
      <c r="AG2521">
        <v>4.333333333333333</v>
      </c>
      <c r="AH2521">
        <v>4.333333333333333</v>
      </c>
      <c r="AI2521">
        <v>7.666666666666667</v>
      </c>
      <c r="AJ2521">
        <v>12</v>
      </c>
      <c r="AM2521">
        <v>0</v>
      </c>
      <c r="AN2521">
        <v>90.45</v>
      </c>
      <c r="AP2521">
        <v>50</v>
      </c>
      <c r="AQ2521">
        <v>50</v>
      </c>
    </row>
    <row r="2522" spans="1:43" x14ac:dyDescent="0.25">
      <c r="A2522" t="s">
        <v>46</v>
      </c>
      <c r="B2522">
        <v>2</v>
      </c>
      <c r="C2522" t="s">
        <v>1476</v>
      </c>
      <c r="D2522" s="39">
        <v>46003</v>
      </c>
      <c r="E2522" t="s">
        <v>486</v>
      </c>
      <c r="F2522" t="s">
        <v>79</v>
      </c>
      <c r="G2522">
        <v>5</v>
      </c>
      <c r="H2522" t="s">
        <v>92</v>
      </c>
      <c r="I2522" t="s">
        <v>79</v>
      </c>
      <c r="J2522">
        <v>1000</v>
      </c>
      <c r="K2522" t="s">
        <v>79</v>
      </c>
      <c r="L2522">
        <v>8</v>
      </c>
      <c r="M2522">
        <v>174.79</v>
      </c>
      <c r="N2522">
        <v>4</v>
      </c>
      <c r="Q2522">
        <v>170.79</v>
      </c>
      <c r="R2522" t="s">
        <v>1516</v>
      </c>
      <c r="V2522">
        <v>0</v>
      </c>
      <c r="W2522">
        <v>0</v>
      </c>
      <c r="AF2522">
        <v>0</v>
      </c>
      <c r="AG2522">
        <v>0</v>
      </c>
      <c r="AH2522">
        <v>0</v>
      </c>
      <c r="AI2522">
        <v>12</v>
      </c>
      <c r="AJ2522">
        <v>12</v>
      </c>
      <c r="AM2522">
        <v>0</v>
      </c>
      <c r="AN2522">
        <v>179.79</v>
      </c>
      <c r="AP2522">
        <v>50</v>
      </c>
      <c r="AQ2522">
        <v>50</v>
      </c>
    </row>
    <row r="2523" spans="1:43" x14ac:dyDescent="0.25">
      <c r="A2523" t="s">
        <v>45</v>
      </c>
      <c r="B2523">
        <v>4</v>
      </c>
      <c r="C2523" t="s">
        <v>1543</v>
      </c>
      <c r="D2523" s="39">
        <v>46003</v>
      </c>
      <c r="E2523" t="s">
        <v>276</v>
      </c>
      <c r="F2523" t="s">
        <v>79</v>
      </c>
      <c r="G2523">
        <v>18</v>
      </c>
      <c r="H2523" t="s">
        <v>113</v>
      </c>
      <c r="I2523" t="s">
        <v>79</v>
      </c>
      <c r="J2523">
        <v>1000</v>
      </c>
      <c r="K2523" t="s">
        <v>79</v>
      </c>
      <c r="L2523">
        <v>4</v>
      </c>
      <c r="M2523">
        <v>227.67</v>
      </c>
      <c r="N2523">
        <v>7.2</v>
      </c>
      <c r="Q2523">
        <v>220.47</v>
      </c>
      <c r="R2523" t="s">
        <v>1544</v>
      </c>
      <c r="S2523">
        <v>40</v>
      </c>
      <c r="V2523">
        <v>40</v>
      </c>
      <c r="W2523">
        <v>0.66666666666666663</v>
      </c>
      <c r="X2523">
        <v>20</v>
      </c>
      <c r="AF2523">
        <v>20</v>
      </c>
      <c r="AG2523">
        <v>0.33333333333333331</v>
      </c>
      <c r="AH2523">
        <v>1</v>
      </c>
      <c r="AI2523">
        <v>11</v>
      </c>
      <c r="AJ2523">
        <v>12</v>
      </c>
      <c r="AM2523">
        <v>0</v>
      </c>
      <c r="AN2523">
        <v>232.67</v>
      </c>
      <c r="AP2523">
        <v>50</v>
      </c>
      <c r="AQ2523">
        <v>50</v>
      </c>
    </row>
    <row r="2524" spans="1:43" x14ac:dyDescent="0.25">
      <c r="A2524" t="s">
        <v>45</v>
      </c>
      <c r="B2524">
        <v>4</v>
      </c>
      <c r="C2524" t="s">
        <v>1556</v>
      </c>
      <c r="D2524" s="39">
        <v>46003</v>
      </c>
      <c r="E2524" t="s">
        <v>243</v>
      </c>
      <c r="F2524" t="s">
        <v>79</v>
      </c>
      <c r="G2524">
        <v>19</v>
      </c>
      <c r="H2524" t="s">
        <v>919</v>
      </c>
      <c r="I2524" t="s">
        <v>79</v>
      </c>
      <c r="J2524">
        <v>3000</v>
      </c>
      <c r="K2524" t="s">
        <v>79</v>
      </c>
      <c r="L2524">
        <v>12</v>
      </c>
      <c r="M2524">
        <v>433.92999999999995</v>
      </c>
      <c r="N2524">
        <v>22.799999999999997</v>
      </c>
      <c r="Q2524">
        <v>411.12999999999994</v>
      </c>
      <c r="R2524" t="s">
        <v>1635</v>
      </c>
      <c r="V2524">
        <v>0</v>
      </c>
      <c r="W2524">
        <v>0</v>
      </c>
      <c r="AF2524">
        <v>0</v>
      </c>
      <c r="AG2524">
        <v>0</v>
      </c>
      <c r="AH2524">
        <v>0</v>
      </c>
      <c r="AI2524">
        <v>12</v>
      </c>
      <c r="AJ2524">
        <v>12</v>
      </c>
      <c r="AM2524">
        <v>0</v>
      </c>
      <c r="AN2524">
        <v>438.92999999999989</v>
      </c>
      <c r="AP2524">
        <v>50</v>
      </c>
      <c r="AQ2524">
        <v>50</v>
      </c>
    </row>
    <row r="2525" spans="1:43" x14ac:dyDescent="0.25">
      <c r="A2525" t="s">
        <v>45</v>
      </c>
      <c r="B2525">
        <v>4</v>
      </c>
      <c r="C2525" t="s">
        <v>1557</v>
      </c>
      <c r="D2525" s="39">
        <v>46003</v>
      </c>
      <c r="E2525" t="s">
        <v>1552</v>
      </c>
      <c r="F2525" t="s">
        <v>79</v>
      </c>
      <c r="G2525">
        <v>18</v>
      </c>
      <c r="H2525" t="s">
        <v>1049</v>
      </c>
      <c r="I2525" t="s">
        <v>79</v>
      </c>
      <c r="J2525">
        <v>150</v>
      </c>
      <c r="K2525" t="s">
        <v>79</v>
      </c>
      <c r="L2525">
        <v>4</v>
      </c>
      <c r="M2525">
        <v>105.88000000000001</v>
      </c>
      <c r="N2525">
        <v>7.2</v>
      </c>
      <c r="Q2525">
        <v>98.68</v>
      </c>
      <c r="R2525" t="s">
        <v>1558</v>
      </c>
      <c r="V2525">
        <v>0</v>
      </c>
      <c r="W2525">
        <v>0</v>
      </c>
      <c r="AF2525">
        <v>0</v>
      </c>
      <c r="AG2525">
        <v>0</v>
      </c>
      <c r="AH2525">
        <v>0</v>
      </c>
      <c r="AI2525">
        <v>12</v>
      </c>
      <c r="AJ2525">
        <v>12</v>
      </c>
      <c r="AM2525">
        <v>0</v>
      </c>
      <c r="AN2525">
        <v>110.88</v>
      </c>
      <c r="AP2525">
        <v>50</v>
      </c>
      <c r="AQ2525">
        <v>50</v>
      </c>
    </row>
    <row r="2526" spans="1:43" x14ac:dyDescent="0.25">
      <c r="A2526" t="s">
        <v>46</v>
      </c>
      <c r="B2526">
        <v>4</v>
      </c>
      <c r="C2526" t="s">
        <v>1556</v>
      </c>
      <c r="D2526" s="39">
        <v>46003</v>
      </c>
      <c r="E2526" t="s">
        <v>243</v>
      </c>
      <c r="F2526" t="s">
        <v>79</v>
      </c>
      <c r="G2526">
        <v>19</v>
      </c>
      <c r="H2526" t="s">
        <v>919</v>
      </c>
      <c r="I2526" t="s">
        <v>79</v>
      </c>
      <c r="J2526">
        <v>3000</v>
      </c>
      <c r="K2526" t="s">
        <v>79</v>
      </c>
      <c r="L2526">
        <v>15</v>
      </c>
      <c r="M2526">
        <v>670.13</v>
      </c>
      <c r="N2526">
        <v>34.5</v>
      </c>
      <c r="Q2526">
        <v>635.63</v>
      </c>
      <c r="R2526" t="s">
        <v>1635</v>
      </c>
      <c r="S2526">
        <v>30</v>
      </c>
      <c r="V2526">
        <v>30</v>
      </c>
      <c r="W2526">
        <v>0.5</v>
      </c>
      <c r="AF2526">
        <v>0</v>
      </c>
      <c r="AG2526">
        <v>0</v>
      </c>
      <c r="AH2526">
        <v>0.5</v>
      </c>
      <c r="AI2526">
        <v>11.5</v>
      </c>
      <c r="AJ2526">
        <v>12</v>
      </c>
      <c r="AM2526">
        <v>0</v>
      </c>
      <c r="AN2526">
        <v>675.13</v>
      </c>
      <c r="AP2526">
        <v>50</v>
      </c>
      <c r="AQ2526">
        <v>50</v>
      </c>
    </row>
    <row r="2527" spans="1:43" x14ac:dyDescent="0.25">
      <c r="A2527" t="s">
        <v>46</v>
      </c>
      <c r="B2527">
        <v>4</v>
      </c>
      <c r="C2527" t="s">
        <v>1559</v>
      </c>
      <c r="D2527" s="39">
        <v>46003</v>
      </c>
      <c r="E2527" t="s">
        <v>243</v>
      </c>
      <c r="F2527" t="s">
        <v>79</v>
      </c>
      <c r="G2527">
        <v>20</v>
      </c>
      <c r="H2527" t="s">
        <v>93</v>
      </c>
      <c r="I2527" t="s">
        <v>79</v>
      </c>
      <c r="J2527">
        <v>100</v>
      </c>
      <c r="K2527" t="s">
        <v>79</v>
      </c>
      <c r="L2527">
        <v>4</v>
      </c>
      <c r="M2527">
        <v>196.39</v>
      </c>
      <c r="N2527">
        <v>10</v>
      </c>
      <c r="Q2527">
        <v>186.39</v>
      </c>
      <c r="R2527" t="s">
        <v>1560</v>
      </c>
      <c r="V2527">
        <v>0</v>
      </c>
      <c r="W2527">
        <v>0</v>
      </c>
      <c r="AF2527">
        <v>0</v>
      </c>
      <c r="AG2527">
        <v>0</v>
      </c>
      <c r="AH2527">
        <v>0</v>
      </c>
      <c r="AI2527">
        <v>12</v>
      </c>
      <c r="AJ2527">
        <v>12</v>
      </c>
      <c r="AM2527">
        <v>0</v>
      </c>
      <c r="AN2527">
        <v>201.39</v>
      </c>
      <c r="AP2527">
        <v>50</v>
      </c>
      <c r="AQ2527">
        <v>50</v>
      </c>
    </row>
    <row r="2528" spans="1:43" x14ac:dyDescent="0.25">
      <c r="A2528" t="s">
        <v>45</v>
      </c>
      <c r="B2528">
        <v>5</v>
      </c>
      <c r="C2528" t="s">
        <v>1551</v>
      </c>
      <c r="D2528" s="39">
        <v>46003</v>
      </c>
      <c r="E2528" t="s">
        <v>1552</v>
      </c>
      <c r="F2528" t="s">
        <v>79</v>
      </c>
      <c r="G2528">
        <v>12</v>
      </c>
      <c r="H2528" t="s">
        <v>1049</v>
      </c>
      <c r="I2528" t="s">
        <v>79</v>
      </c>
      <c r="J2528">
        <v>100</v>
      </c>
      <c r="K2528" t="s">
        <v>79</v>
      </c>
      <c r="L2528">
        <v>9</v>
      </c>
      <c r="M2528">
        <v>516.62</v>
      </c>
      <c r="N2528">
        <v>10.799999999999999</v>
      </c>
      <c r="O2528">
        <v>4</v>
      </c>
      <c r="Q2528">
        <v>505.82</v>
      </c>
      <c r="R2528" t="s">
        <v>1553</v>
      </c>
      <c r="V2528">
        <v>0</v>
      </c>
      <c r="W2528">
        <v>0</v>
      </c>
      <c r="AF2528">
        <v>0</v>
      </c>
      <c r="AG2528">
        <v>0</v>
      </c>
      <c r="AH2528">
        <v>0</v>
      </c>
      <c r="AI2528">
        <v>12</v>
      </c>
      <c r="AJ2528">
        <v>12</v>
      </c>
      <c r="AM2528">
        <v>0</v>
      </c>
      <c r="AN2528">
        <v>521.62</v>
      </c>
      <c r="AP2528">
        <v>50</v>
      </c>
      <c r="AQ2528">
        <v>50</v>
      </c>
    </row>
    <row r="2529" spans="1:43" x14ac:dyDescent="0.25">
      <c r="A2529" t="s">
        <v>46</v>
      </c>
      <c r="B2529">
        <v>5</v>
      </c>
      <c r="C2529" t="s">
        <v>1551</v>
      </c>
      <c r="D2529" s="39">
        <v>46003</v>
      </c>
      <c r="E2529" t="s">
        <v>1552</v>
      </c>
      <c r="F2529" t="s">
        <v>79</v>
      </c>
      <c r="G2529">
        <v>12</v>
      </c>
      <c r="H2529" t="s">
        <v>1049</v>
      </c>
      <c r="I2529" t="s">
        <v>79</v>
      </c>
      <c r="J2529">
        <v>100</v>
      </c>
      <c r="K2529" t="s">
        <v>79</v>
      </c>
      <c r="L2529">
        <v>3</v>
      </c>
      <c r="M2529">
        <v>206.95000000000002</v>
      </c>
      <c r="N2529">
        <v>4.1999999999999993</v>
      </c>
      <c r="O2529">
        <v>4</v>
      </c>
      <c r="Q2529">
        <v>202.75000000000003</v>
      </c>
      <c r="R2529" t="s">
        <v>1553</v>
      </c>
      <c r="V2529">
        <v>0</v>
      </c>
      <c r="W2529">
        <v>0</v>
      </c>
      <c r="AF2529">
        <v>0</v>
      </c>
      <c r="AG2529">
        <v>0</v>
      </c>
      <c r="AH2529">
        <v>0</v>
      </c>
      <c r="AI2529">
        <v>12</v>
      </c>
      <c r="AJ2529">
        <v>12</v>
      </c>
      <c r="AM2529">
        <v>0</v>
      </c>
      <c r="AN2529">
        <v>211.95</v>
      </c>
      <c r="AP2529">
        <v>50</v>
      </c>
      <c r="AQ2529">
        <v>50</v>
      </c>
    </row>
    <row r="2530" spans="1:43" x14ac:dyDescent="0.25">
      <c r="A2530" t="s">
        <v>46</v>
      </c>
      <c r="B2530">
        <v>5</v>
      </c>
      <c r="C2530" t="s">
        <v>1561</v>
      </c>
      <c r="D2530" s="39">
        <v>46003</v>
      </c>
      <c r="E2530" t="s">
        <v>486</v>
      </c>
      <c r="F2530" t="s">
        <v>79</v>
      </c>
      <c r="G2530">
        <v>12</v>
      </c>
      <c r="H2530">
        <v>5</v>
      </c>
      <c r="I2530" t="s">
        <v>79</v>
      </c>
      <c r="J2530">
        <v>2000</v>
      </c>
      <c r="K2530" t="s">
        <v>79</v>
      </c>
      <c r="L2530">
        <v>6</v>
      </c>
      <c r="M2530">
        <v>336.79</v>
      </c>
      <c r="N2530">
        <v>8.1000000000000014</v>
      </c>
      <c r="Q2530">
        <v>328.69</v>
      </c>
      <c r="R2530" t="s">
        <v>1576</v>
      </c>
      <c r="V2530">
        <v>0</v>
      </c>
      <c r="W2530">
        <v>0</v>
      </c>
      <c r="AF2530">
        <v>0</v>
      </c>
      <c r="AG2530">
        <v>0</v>
      </c>
      <c r="AH2530">
        <v>0</v>
      </c>
      <c r="AI2530">
        <v>12</v>
      </c>
      <c r="AJ2530">
        <v>12</v>
      </c>
      <c r="AM2530">
        <v>0</v>
      </c>
      <c r="AN2530">
        <v>341.79</v>
      </c>
      <c r="AP2530">
        <v>50</v>
      </c>
      <c r="AQ2530">
        <v>50</v>
      </c>
    </row>
    <row r="2531" spans="1:43" x14ac:dyDescent="0.25">
      <c r="A2531" t="s">
        <v>45</v>
      </c>
      <c r="B2531">
        <v>1</v>
      </c>
      <c r="C2531" t="s">
        <v>1540</v>
      </c>
      <c r="D2531" s="39">
        <v>46004</v>
      </c>
      <c r="E2531" t="s">
        <v>486</v>
      </c>
      <c r="F2531" t="s">
        <v>79</v>
      </c>
      <c r="G2531">
        <v>4</v>
      </c>
      <c r="H2531" t="s">
        <v>113</v>
      </c>
      <c r="I2531" t="s">
        <v>79</v>
      </c>
      <c r="J2531">
        <v>1000</v>
      </c>
      <c r="K2531" t="s">
        <v>79</v>
      </c>
      <c r="L2531">
        <v>9</v>
      </c>
      <c r="M2531">
        <v>157.94</v>
      </c>
      <c r="N2531">
        <v>3.6</v>
      </c>
      <c r="O2531">
        <v>23</v>
      </c>
      <c r="Q2531">
        <v>154.34</v>
      </c>
      <c r="R2531" t="s">
        <v>1575</v>
      </c>
      <c r="V2531">
        <v>0</v>
      </c>
      <c r="W2531">
        <v>0</v>
      </c>
      <c r="AF2531">
        <v>0</v>
      </c>
      <c r="AG2531">
        <v>0</v>
      </c>
      <c r="AH2531">
        <v>0</v>
      </c>
      <c r="AI2531">
        <v>12</v>
      </c>
      <c r="AJ2531">
        <v>12</v>
      </c>
      <c r="AM2531">
        <v>0</v>
      </c>
      <c r="AN2531">
        <v>162.94</v>
      </c>
      <c r="AP2531">
        <v>50</v>
      </c>
      <c r="AQ2531">
        <v>50</v>
      </c>
    </row>
    <row r="2532" spans="1:43" x14ac:dyDescent="0.25">
      <c r="A2532" t="s">
        <v>46</v>
      </c>
      <c r="B2532">
        <v>1</v>
      </c>
      <c r="C2532" t="s">
        <v>1540</v>
      </c>
      <c r="D2532" s="39">
        <v>46004</v>
      </c>
      <c r="E2532" t="s">
        <v>486</v>
      </c>
      <c r="F2532" t="s">
        <v>79</v>
      </c>
      <c r="G2532">
        <v>4</v>
      </c>
      <c r="H2532" t="s">
        <v>113</v>
      </c>
      <c r="I2532" t="s">
        <v>79</v>
      </c>
      <c r="J2532">
        <v>1000</v>
      </c>
      <c r="K2532" t="s">
        <v>79</v>
      </c>
      <c r="L2532">
        <v>6</v>
      </c>
      <c r="M2532">
        <v>114.2</v>
      </c>
      <c r="N2532">
        <v>2.4000000000000004</v>
      </c>
      <c r="Q2532">
        <v>111.8</v>
      </c>
      <c r="R2532" t="s">
        <v>1575</v>
      </c>
      <c r="U2532">
        <v>120</v>
      </c>
      <c r="V2532">
        <v>120</v>
      </c>
      <c r="W2532">
        <v>2</v>
      </c>
      <c r="AF2532">
        <v>0</v>
      </c>
      <c r="AG2532">
        <v>0</v>
      </c>
      <c r="AH2532">
        <v>2</v>
      </c>
      <c r="AI2532">
        <v>10</v>
      </c>
      <c r="AJ2532">
        <v>12</v>
      </c>
      <c r="AM2532">
        <v>0</v>
      </c>
      <c r="AN2532">
        <v>119.2</v>
      </c>
      <c r="AP2532">
        <v>50</v>
      </c>
      <c r="AQ2532">
        <v>50</v>
      </c>
    </row>
    <row r="2533" spans="1:43" x14ac:dyDescent="0.25">
      <c r="A2533" t="s">
        <v>45</v>
      </c>
      <c r="B2533">
        <v>2</v>
      </c>
      <c r="C2533" t="s">
        <v>1476</v>
      </c>
      <c r="D2533" s="39">
        <v>46004</v>
      </c>
      <c r="E2533" t="s">
        <v>486</v>
      </c>
      <c r="F2533" t="s">
        <v>79</v>
      </c>
      <c r="G2533">
        <v>5</v>
      </c>
      <c r="H2533" t="s">
        <v>92</v>
      </c>
      <c r="I2533" t="s">
        <v>79</v>
      </c>
      <c r="J2533">
        <v>1000</v>
      </c>
      <c r="K2533" t="s">
        <v>79</v>
      </c>
      <c r="L2533">
        <v>8</v>
      </c>
      <c r="M2533">
        <v>166.8</v>
      </c>
      <c r="N2533">
        <v>4</v>
      </c>
      <c r="Q2533">
        <v>162.80000000000001</v>
      </c>
      <c r="R2533" t="s">
        <v>1516</v>
      </c>
      <c r="V2533">
        <v>0</v>
      </c>
      <c r="W2533">
        <v>0</v>
      </c>
      <c r="AF2533">
        <v>0</v>
      </c>
      <c r="AG2533">
        <v>0</v>
      </c>
      <c r="AH2533">
        <v>0</v>
      </c>
      <c r="AI2533">
        <v>12</v>
      </c>
      <c r="AJ2533">
        <v>12</v>
      </c>
      <c r="AM2533">
        <v>0</v>
      </c>
      <c r="AN2533">
        <v>171.8</v>
      </c>
      <c r="AP2533">
        <v>50</v>
      </c>
      <c r="AQ2533">
        <v>50</v>
      </c>
    </row>
    <row r="2534" spans="1:43" x14ac:dyDescent="0.25">
      <c r="A2534" t="s">
        <v>46</v>
      </c>
      <c r="B2534">
        <v>2</v>
      </c>
      <c r="C2534" t="s">
        <v>1476</v>
      </c>
      <c r="D2534" s="39">
        <v>46004</v>
      </c>
      <c r="E2534" t="s">
        <v>486</v>
      </c>
      <c r="F2534" t="s">
        <v>79</v>
      </c>
      <c r="G2534">
        <v>5</v>
      </c>
      <c r="H2534" t="s">
        <v>92</v>
      </c>
      <c r="I2534" t="s">
        <v>79</v>
      </c>
      <c r="J2534">
        <v>1000</v>
      </c>
      <c r="K2534" t="s">
        <v>79</v>
      </c>
      <c r="L2534">
        <v>6</v>
      </c>
      <c r="M2534">
        <v>132.5</v>
      </c>
      <c r="N2534">
        <v>3</v>
      </c>
      <c r="Q2534">
        <v>129.5</v>
      </c>
      <c r="R2534" t="s">
        <v>1516</v>
      </c>
      <c r="U2534">
        <v>120</v>
      </c>
      <c r="V2534">
        <v>120</v>
      </c>
      <c r="W2534">
        <v>2</v>
      </c>
      <c r="AF2534">
        <v>0</v>
      </c>
      <c r="AG2534">
        <v>0</v>
      </c>
      <c r="AH2534">
        <v>2</v>
      </c>
      <c r="AI2534">
        <v>10</v>
      </c>
      <c r="AJ2534">
        <v>12</v>
      </c>
      <c r="AM2534">
        <v>0</v>
      </c>
      <c r="AN2534">
        <v>137.5</v>
      </c>
      <c r="AP2534">
        <v>50</v>
      </c>
      <c r="AQ2534">
        <v>50</v>
      </c>
    </row>
    <row r="2535" spans="1:43" x14ac:dyDescent="0.25">
      <c r="A2535" t="s">
        <v>45</v>
      </c>
      <c r="B2535">
        <v>4</v>
      </c>
      <c r="C2535" t="s">
        <v>1559</v>
      </c>
      <c r="D2535" s="39">
        <v>46004</v>
      </c>
      <c r="E2535" t="s">
        <v>243</v>
      </c>
      <c r="F2535" t="s">
        <v>79</v>
      </c>
      <c r="G2535">
        <v>20</v>
      </c>
      <c r="H2535" t="s">
        <v>93</v>
      </c>
      <c r="I2535" t="s">
        <v>79</v>
      </c>
      <c r="J2535">
        <v>100</v>
      </c>
      <c r="K2535" t="s">
        <v>79</v>
      </c>
      <c r="L2535">
        <v>1</v>
      </c>
      <c r="M2535">
        <v>47.57</v>
      </c>
      <c r="N2535">
        <v>2</v>
      </c>
      <c r="Q2535">
        <v>45.57</v>
      </c>
      <c r="R2535" t="s">
        <v>1560</v>
      </c>
      <c r="S2535">
        <v>25</v>
      </c>
      <c r="V2535">
        <v>25</v>
      </c>
      <c r="W2535">
        <v>0.41666666666666674</v>
      </c>
      <c r="Z2535">
        <v>150</v>
      </c>
      <c r="AF2535">
        <v>150</v>
      </c>
      <c r="AG2535">
        <v>2.5</v>
      </c>
      <c r="AH2535">
        <v>2.9166666666666665</v>
      </c>
      <c r="AI2535">
        <v>9.0833333333333339</v>
      </c>
      <c r="AJ2535">
        <v>12</v>
      </c>
      <c r="AM2535">
        <v>0</v>
      </c>
      <c r="AN2535">
        <v>52.57</v>
      </c>
      <c r="AP2535">
        <v>50</v>
      </c>
      <c r="AQ2535">
        <v>50</v>
      </c>
    </row>
    <row r="2536" spans="1:43" x14ac:dyDescent="0.25">
      <c r="A2536" t="s">
        <v>45</v>
      </c>
      <c r="B2536">
        <v>4</v>
      </c>
      <c r="C2536" t="s">
        <v>1562</v>
      </c>
      <c r="D2536" s="39">
        <v>46004</v>
      </c>
      <c r="E2536" t="s">
        <v>674</v>
      </c>
      <c r="F2536" t="s">
        <v>79</v>
      </c>
      <c r="G2536">
        <v>16</v>
      </c>
      <c r="H2536" t="s">
        <v>102</v>
      </c>
      <c r="I2536" t="s">
        <v>79</v>
      </c>
      <c r="J2536">
        <v>125</v>
      </c>
      <c r="K2536" t="s">
        <v>79</v>
      </c>
      <c r="L2536">
        <v>3</v>
      </c>
      <c r="M2536">
        <v>112.36</v>
      </c>
      <c r="N2536">
        <v>4.8000000000000007</v>
      </c>
      <c r="Q2536">
        <v>107.56</v>
      </c>
      <c r="R2536" t="s">
        <v>1563</v>
      </c>
      <c r="S2536">
        <v>25</v>
      </c>
      <c r="V2536">
        <v>25</v>
      </c>
      <c r="W2536">
        <v>0.41666666666666674</v>
      </c>
      <c r="AF2536">
        <v>0</v>
      </c>
      <c r="AG2536">
        <v>0</v>
      </c>
      <c r="AH2536">
        <v>0.41666666666666674</v>
      </c>
      <c r="AI2536">
        <v>11.583333333333334</v>
      </c>
      <c r="AJ2536">
        <v>12</v>
      </c>
      <c r="AM2536">
        <v>0</v>
      </c>
      <c r="AN2536">
        <v>117.36</v>
      </c>
      <c r="AP2536">
        <v>50</v>
      </c>
      <c r="AQ2536">
        <v>50</v>
      </c>
    </row>
    <row r="2537" spans="1:43" x14ac:dyDescent="0.25">
      <c r="A2537" t="s">
        <v>45</v>
      </c>
      <c r="B2537">
        <v>4</v>
      </c>
      <c r="C2537" t="s">
        <v>950</v>
      </c>
      <c r="D2537" s="39">
        <v>46004</v>
      </c>
      <c r="E2537" t="s">
        <v>486</v>
      </c>
      <c r="F2537" t="s">
        <v>79</v>
      </c>
      <c r="G2537">
        <v>16</v>
      </c>
      <c r="H2537">
        <v>5</v>
      </c>
      <c r="I2537" t="s">
        <v>79</v>
      </c>
      <c r="J2537">
        <v>1000</v>
      </c>
      <c r="K2537" t="s">
        <v>79</v>
      </c>
      <c r="L2537">
        <v>1</v>
      </c>
      <c r="M2537">
        <v>49.5</v>
      </c>
      <c r="N2537">
        <v>1.6</v>
      </c>
      <c r="Q2537">
        <v>47.9</v>
      </c>
      <c r="R2537" t="s">
        <v>1515</v>
      </c>
      <c r="V2537">
        <v>0</v>
      </c>
      <c r="W2537">
        <v>0</v>
      </c>
      <c r="AF2537">
        <v>0</v>
      </c>
      <c r="AG2537">
        <v>0</v>
      </c>
      <c r="AH2537">
        <v>0</v>
      </c>
      <c r="AI2537">
        <v>12</v>
      </c>
      <c r="AJ2537">
        <v>12</v>
      </c>
      <c r="AM2537">
        <v>0</v>
      </c>
      <c r="AN2537">
        <v>54.5</v>
      </c>
      <c r="AP2537">
        <v>50</v>
      </c>
      <c r="AQ2537">
        <v>50</v>
      </c>
    </row>
    <row r="2538" spans="1:43" x14ac:dyDescent="0.25">
      <c r="A2538" t="s">
        <v>45</v>
      </c>
      <c r="B2538">
        <v>4</v>
      </c>
      <c r="C2538" t="s">
        <v>1564</v>
      </c>
      <c r="D2538" s="39">
        <v>46004</v>
      </c>
      <c r="E2538" t="s">
        <v>493</v>
      </c>
      <c r="F2538" t="s">
        <v>79</v>
      </c>
      <c r="G2538">
        <v>16</v>
      </c>
      <c r="H2538" t="s">
        <v>122</v>
      </c>
      <c r="I2538" t="s">
        <v>79</v>
      </c>
      <c r="J2538">
        <v>200</v>
      </c>
      <c r="K2538" t="s">
        <v>79</v>
      </c>
      <c r="L2538">
        <v>4</v>
      </c>
      <c r="M2538">
        <v>210.14999999999998</v>
      </c>
      <c r="N2538">
        <v>6.4</v>
      </c>
      <c r="Q2538">
        <v>203.74999999999997</v>
      </c>
      <c r="R2538" t="s">
        <v>1565</v>
      </c>
      <c r="V2538">
        <v>0</v>
      </c>
      <c r="W2538">
        <v>0</v>
      </c>
      <c r="AF2538">
        <v>0</v>
      </c>
      <c r="AG2538">
        <v>0</v>
      </c>
      <c r="AH2538">
        <v>0</v>
      </c>
      <c r="AI2538">
        <v>12</v>
      </c>
      <c r="AJ2538">
        <v>12</v>
      </c>
      <c r="AM2538">
        <v>0</v>
      </c>
      <c r="AN2538">
        <v>215.15</v>
      </c>
      <c r="AP2538">
        <v>50</v>
      </c>
      <c r="AQ2538">
        <v>50</v>
      </c>
    </row>
    <row r="2539" spans="1:43" x14ac:dyDescent="0.25">
      <c r="A2539" t="s">
        <v>45</v>
      </c>
      <c r="B2539">
        <v>4</v>
      </c>
      <c r="C2539" t="s">
        <v>1566</v>
      </c>
      <c r="D2539" s="39">
        <v>46004</v>
      </c>
      <c r="E2539" t="s">
        <v>493</v>
      </c>
      <c r="F2539" t="s">
        <v>79</v>
      </c>
      <c r="G2539">
        <v>10</v>
      </c>
      <c r="H2539" t="s">
        <v>122</v>
      </c>
      <c r="I2539" t="s">
        <v>79</v>
      </c>
      <c r="J2539">
        <v>200</v>
      </c>
      <c r="K2539" t="s">
        <v>79</v>
      </c>
      <c r="L2539">
        <v>2</v>
      </c>
      <c r="M2539">
        <v>115.74</v>
      </c>
      <c r="N2539">
        <v>2.8</v>
      </c>
      <c r="Q2539">
        <v>112.94</v>
      </c>
      <c r="R2539" t="s">
        <v>1567</v>
      </c>
      <c r="V2539">
        <v>0</v>
      </c>
      <c r="W2539">
        <v>0</v>
      </c>
      <c r="AF2539">
        <v>0</v>
      </c>
      <c r="AG2539">
        <v>0</v>
      </c>
      <c r="AH2539">
        <v>0</v>
      </c>
      <c r="AI2539">
        <v>12</v>
      </c>
      <c r="AJ2539">
        <v>12</v>
      </c>
      <c r="AM2539">
        <v>0</v>
      </c>
      <c r="AN2539">
        <v>120.74</v>
      </c>
      <c r="AP2539">
        <v>50</v>
      </c>
      <c r="AQ2539">
        <v>50</v>
      </c>
    </row>
    <row r="2540" spans="1:43" x14ac:dyDescent="0.25">
      <c r="A2540" t="s">
        <v>46</v>
      </c>
      <c r="B2540">
        <v>4</v>
      </c>
      <c r="C2540" t="s">
        <v>1566</v>
      </c>
      <c r="D2540" s="39">
        <v>46004</v>
      </c>
      <c r="E2540" t="s">
        <v>493</v>
      </c>
      <c r="F2540" t="s">
        <v>79</v>
      </c>
      <c r="G2540">
        <v>10</v>
      </c>
      <c r="H2540" t="s">
        <v>122</v>
      </c>
      <c r="I2540" t="s">
        <v>79</v>
      </c>
      <c r="J2540">
        <v>200</v>
      </c>
      <c r="K2540" t="s">
        <v>79</v>
      </c>
      <c r="L2540">
        <v>2</v>
      </c>
      <c r="M2540">
        <v>101.08</v>
      </c>
      <c r="N2540">
        <v>3.4</v>
      </c>
      <c r="Q2540">
        <v>97.679999999999993</v>
      </c>
      <c r="R2540" t="s">
        <v>1567</v>
      </c>
      <c r="U2540">
        <v>120</v>
      </c>
      <c r="V2540">
        <v>120</v>
      </c>
      <c r="W2540">
        <v>2</v>
      </c>
      <c r="AF2540">
        <v>0</v>
      </c>
      <c r="AG2540">
        <v>0</v>
      </c>
      <c r="AH2540">
        <v>2</v>
      </c>
      <c r="AI2540">
        <v>10</v>
      </c>
      <c r="AJ2540">
        <v>12</v>
      </c>
      <c r="AM2540">
        <v>0</v>
      </c>
      <c r="AN2540">
        <v>106.08</v>
      </c>
      <c r="AP2540">
        <v>50</v>
      </c>
      <c r="AQ2540">
        <v>50</v>
      </c>
    </row>
    <row r="2541" spans="1:43" x14ac:dyDescent="0.25">
      <c r="A2541" t="s">
        <v>46</v>
      </c>
      <c r="B2541">
        <v>4</v>
      </c>
      <c r="C2541" t="s">
        <v>1527</v>
      </c>
      <c r="D2541" s="39">
        <v>46004</v>
      </c>
      <c r="E2541" t="s">
        <v>238</v>
      </c>
      <c r="F2541" t="s">
        <v>79</v>
      </c>
      <c r="G2541">
        <v>14</v>
      </c>
      <c r="H2541" t="s">
        <v>87</v>
      </c>
      <c r="I2541" t="s">
        <v>79</v>
      </c>
      <c r="J2541">
        <v>100</v>
      </c>
      <c r="K2541" t="s">
        <v>79</v>
      </c>
      <c r="L2541">
        <v>2</v>
      </c>
      <c r="M2541">
        <v>104.47999999999999</v>
      </c>
      <c r="N2541">
        <v>3.4</v>
      </c>
      <c r="Q2541">
        <v>101.07999999999998</v>
      </c>
      <c r="R2541" t="s">
        <v>1528</v>
      </c>
      <c r="V2541">
        <v>0</v>
      </c>
      <c r="W2541">
        <v>0</v>
      </c>
      <c r="AF2541">
        <v>0</v>
      </c>
      <c r="AG2541">
        <v>0</v>
      </c>
      <c r="AH2541">
        <v>0</v>
      </c>
      <c r="AI2541">
        <v>12</v>
      </c>
      <c r="AJ2541">
        <v>12</v>
      </c>
      <c r="AM2541">
        <v>0</v>
      </c>
      <c r="AN2541">
        <v>109.48</v>
      </c>
      <c r="AP2541">
        <v>50</v>
      </c>
      <c r="AQ2541">
        <v>50</v>
      </c>
    </row>
    <row r="2542" spans="1:43" x14ac:dyDescent="0.25">
      <c r="A2542" t="s">
        <v>46</v>
      </c>
      <c r="B2542">
        <v>4</v>
      </c>
      <c r="C2542" t="s">
        <v>736</v>
      </c>
      <c r="D2542" s="39">
        <v>46004</v>
      </c>
      <c r="E2542" t="s">
        <v>486</v>
      </c>
      <c r="F2542" t="s">
        <v>79</v>
      </c>
      <c r="G2542">
        <v>14</v>
      </c>
      <c r="H2542">
        <v>5</v>
      </c>
      <c r="I2542" t="s">
        <v>79</v>
      </c>
      <c r="J2542">
        <v>1000</v>
      </c>
      <c r="K2542" t="s">
        <v>79</v>
      </c>
      <c r="L2542">
        <v>3</v>
      </c>
      <c r="M2542">
        <v>160.5</v>
      </c>
      <c r="N2542">
        <v>3.9000000000000004</v>
      </c>
      <c r="Q2542">
        <v>156.6</v>
      </c>
      <c r="R2542" t="s">
        <v>1514</v>
      </c>
      <c r="V2542">
        <v>0</v>
      </c>
      <c r="W2542">
        <v>0</v>
      </c>
      <c r="AF2542">
        <v>0</v>
      </c>
      <c r="AG2542">
        <v>0</v>
      </c>
      <c r="AH2542">
        <v>0</v>
      </c>
      <c r="AI2542">
        <v>12</v>
      </c>
      <c r="AJ2542">
        <v>12</v>
      </c>
      <c r="AM2542">
        <v>0</v>
      </c>
      <c r="AN2542">
        <v>165.5</v>
      </c>
      <c r="AP2542">
        <v>50</v>
      </c>
      <c r="AQ2542">
        <v>50</v>
      </c>
    </row>
    <row r="2543" spans="1:43" x14ac:dyDescent="0.25">
      <c r="A2543" t="s">
        <v>46</v>
      </c>
      <c r="B2543">
        <v>4</v>
      </c>
      <c r="C2543" t="s">
        <v>1568</v>
      </c>
      <c r="D2543" s="39">
        <v>46004</v>
      </c>
      <c r="E2543" t="s">
        <v>674</v>
      </c>
      <c r="F2543" t="s">
        <v>79</v>
      </c>
      <c r="G2543">
        <v>14</v>
      </c>
      <c r="H2543" t="s">
        <v>102</v>
      </c>
      <c r="I2543" t="s">
        <v>79</v>
      </c>
      <c r="J2543">
        <v>200</v>
      </c>
      <c r="K2543" t="s">
        <v>79</v>
      </c>
      <c r="L2543">
        <v>5</v>
      </c>
      <c r="M2543">
        <v>212.27</v>
      </c>
      <c r="N2543">
        <v>8.5</v>
      </c>
      <c r="Q2543">
        <v>203.77</v>
      </c>
      <c r="R2543" t="s">
        <v>1569</v>
      </c>
      <c r="V2543">
        <v>0</v>
      </c>
      <c r="W2543">
        <v>0</v>
      </c>
      <c r="AF2543">
        <v>0</v>
      </c>
      <c r="AG2543">
        <v>0</v>
      </c>
      <c r="AH2543">
        <v>0</v>
      </c>
      <c r="AI2543">
        <v>12</v>
      </c>
      <c r="AJ2543">
        <v>12</v>
      </c>
      <c r="AM2543">
        <v>0</v>
      </c>
      <c r="AN2543">
        <v>217.27</v>
      </c>
      <c r="AP2543">
        <v>50</v>
      </c>
      <c r="AQ2543">
        <v>50</v>
      </c>
    </row>
    <row r="2544" spans="1:43" x14ac:dyDescent="0.25">
      <c r="A2544" t="s">
        <v>45</v>
      </c>
      <c r="B2544">
        <v>5</v>
      </c>
      <c r="C2544" t="s">
        <v>1561</v>
      </c>
      <c r="D2544" s="39">
        <v>46004</v>
      </c>
      <c r="E2544" t="s">
        <v>486</v>
      </c>
      <c r="F2544" t="s">
        <v>79</v>
      </c>
      <c r="G2544">
        <v>12</v>
      </c>
      <c r="H2544">
        <v>5</v>
      </c>
      <c r="I2544" t="s">
        <v>79</v>
      </c>
      <c r="J2544">
        <v>2000</v>
      </c>
      <c r="K2544" t="s">
        <v>79</v>
      </c>
      <c r="L2544">
        <v>10</v>
      </c>
      <c r="M2544">
        <v>597.26</v>
      </c>
      <c r="N2544">
        <v>12</v>
      </c>
      <c r="Q2544">
        <v>585.26</v>
      </c>
      <c r="R2544" t="s">
        <v>1576</v>
      </c>
      <c r="V2544">
        <v>0</v>
      </c>
      <c r="W2544">
        <v>0</v>
      </c>
      <c r="AF2544">
        <v>0</v>
      </c>
      <c r="AG2544">
        <v>0</v>
      </c>
      <c r="AH2544">
        <v>0</v>
      </c>
      <c r="AI2544">
        <v>12</v>
      </c>
      <c r="AJ2544">
        <v>12</v>
      </c>
      <c r="AM2544">
        <v>0</v>
      </c>
      <c r="AN2544">
        <v>602.26</v>
      </c>
      <c r="AP2544">
        <v>50</v>
      </c>
      <c r="AQ2544">
        <v>50</v>
      </c>
    </row>
    <row r="2545" spans="1:43" x14ac:dyDescent="0.25">
      <c r="A2545" t="s">
        <v>46</v>
      </c>
      <c r="B2545">
        <v>5</v>
      </c>
      <c r="C2545" t="s">
        <v>1561</v>
      </c>
      <c r="D2545" s="39">
        <v>46004</v>
      </c>
      <c r="E2545" t="s">
        <v>486</v>
      </c>
      <c r="F2545" t="s">
        <v>79</v>
      </c>
      <c r="G2545">
        <v>12</v>
      </c>
      <c r="H2545">
        <v>5</v>
      </c>
      <c r="I2545" t="s">
        <v>79</v>
      </c>
      <c r="J2545">
        <v>2000</v>
      </c>
      <c r="K2545" t="s">
        <v>79</v>
      </c>
      <c r="L2545">
        <v>10</v>
      </c>
      <c r="M2545">
        <v>509.13</v>
      </c>
      <c r="N2545">
        <v>12</v>
      </c>
      <c r="Q2545">
        <v>497.13</v>
      </c>
      <c r="R2545" t="s">
        <v>1576</v>
      </c>
      <c r="U2545">
        <v>120</v>
      </c>
      <c r="V2545">
        <v>120</v>
      </c>
      <c r="W2545">
        <v>2</v>
      </c>
      <c r="AF2545">
        <v>0</v>
      </c>
      <c r="AG2545">
        <v>0</v>
      </c>
      <c r="AH2545">
        <v>2</v>
      </c>
      <c r="AI2545">
        <v>10</v>
      </c>
      <c r="AJ2545">
        <v>12</v>
      </c>
      <c r="AM2545">
        <v>0</v>
      </c>
      <c r="AN2545">
        <v>514.13</v>
      </c>
      <c r="AP2545">
        <v>37</v>
      </c>
      <c r="AQ2545">
        <v>50</v>
      </c>
    </row>
    <row r="2546" spans="1:43" x14ac:dyDescent="0.25">
      <c r="A2546" t="s">
        <v>45</v>
      </c>
      <c r="B2546">
        <v>1</v>
      </c>
      <c r="C2546" t="s">
        <v>1140</v>
      </c>
      <c r="D2546" s="39">
        <v>46006</v>
      </c>
      <c r="E2546" t="s">
        <v>486</v>
      </c>
      <c r="F2546" t="s">
        <v>79</v>
      </c>
      <c r="G2546">
        <v>2.5</v>
      </c>
      <c r="H2546" t="s">
        <v>92</v>
      </c>
      <c r="I2546" t="s">
        <v>79</v>
      </c>
      <c r="J2546">
        <v>1000</v>
      </c>
      <c r="K2546" t="s">
        <v>79</v>
      </c>
      <c r="L2546">
        <v>5</v>
      </c>
      <c r="M2546">
        <v>89.81</v>
      </c>
      <c r="N2546">
        <v>1</v>
      </c>
      <c r="O2546">
        <v>30</v>
      </c>
      <c r="Q2546">
        <v>88.81</v>
      </c>
      <c r="R2546" t="s">
        <v>1570</v>
      </c>
      <c r="T2546">
        <v>230</v>
      </c>
      <c r="V2546">
        <v>230</v>
      </c>
      <c r="W2546">
        <v>3.8333333333333335</v>
      </c>
      <c r="AF2546">
        <v>0</v>
      </c>
      <c r="AG2546">
        <v>0</v>
      </c>
      <c r="AH2546">
        <v>3.8333333333333335</v>
      </c>
      <c r="AI2546">
        <v>8.1666666666666661</v>
      </c>
      <c r="AJ2546">
        <v>12</v>
      </c>
      <c r="AM2546">
        <v>0</v>
      </c>
      <c r="AN2546">
        <v>94.81</v>
      </c>
      <c r="AP2546">
        <v>51</v>
      </c>
      <c r="AQ2546">
        <v>51</v>
      </c>
    </row>
    <row r="2547" spans="1:43" x14ac:dyDescent="0.25">
      <c r="A2547" t="s">
        <v>46</v>
      </c>
      <c r="B2547">
        <v>1</v>
      </c>
      <c r="C2547" t="s">
        <v>1140</v>
      </c>
      <c r="D2547" s="39">
        <v>46006</v>
      </c>
      <c r="E2547" t="s">
        <v>486</v>
      </c>
      <c r="F2547" t="s">
        <v>79</v>
      </c>
      <c r="G2547">
        <v>2.5</v>
      </c>
      <c r="H2547" t="s">
        <v>92</v>
      </c>
      <c r="I2547" t="s">
        <v>79</v>
      </c>
      <c r="J2547">
        <v>1000</v>
      </c>
      <c r="K2547" t="s">
        <v>79</v>
      </c>
      <c r="L2547">
        <v>9</v>
      </c>
      <c r="M2547">
        <v>126.39999999999999</v>
      </c>
      <c r="N2547">
        <v>1.8</v>
      </c>
      <c r="O2547">
        <v>36</v>
      </c>
      <c r="Q2547">
        <v>124.6</v>
      </c>
      <c r="R2547" t="s">
        <v>1570</v>
      </c>
      <c r="V2547">
        <v>0</v>
      </c>
      <c r="W2547">
        <v>0</v>
      </c>
      <c r="Z2547">
        <v>30</v>
      </c>
      <c r="AF2547">
        <v>30</v>
      </c>
      <c r="AG2547">
        <v>0.5</v>
      </c>
      <c r="AH2547">
        <v>0.5</v>
      </c>
      <c r="AI2547">
        <v>11.5</v>
      </c>
      <c r="AJ2547">
        <v>12</v>
      </c>
      <c r="AM2547">
        <v>0</v>
      </c>
      <c r="AN2547">
        <v>131.39999999999998</v>
      </c>
      <c r="AP2547">
        <v>51</v>
      </c>
      <c r="AQ2547">
        <v>51</v>
      </c>
    </row>
    <row r="2548" spans="1:43" x14ac:dyDescent="0.25">
      <c r="A2548" t="s">
        <v>45</v>
      </c>
      <c r="B2548">
        <v>2</v>
      </c>
      <c r="C2548" t="s">
        <v>1540</v>
      </c>
      <c r="D2548" s="39">
        <v>46006</v>
      </c>
      <c r="E2548" t="s">
        <v>486</v>
      </c>
      <c r="F2548" t="s">
        <v>79</v>
      </c>
      <c r="G2548">
        <v>4</v>
      </c>
      <c r="H2548" t="s">
        <v>113</v>
      </c>
      <c r="I2548" t="s">
        <v>79</v>
      </c>
      <c r="J2548">
        <v>1000</v>
      </c>
      <c r="K2548" t="s">
        <v>79</v>
      </c>
      <c r="L2548">
        <v>6</v>
      </c>
      <c r="M2548">
        <v>75.779999999999987</v>
      </c>
      <c r="N2548">
        <v>2.4000000000000004</v>
      </c>
      <c r="Q2548">
        <v>73.379999999999981</v>
      </c>
      <c r="R2548" t="s">
        <v>1575</v>
      </c>
      <c r="T2548">
        <v>230</v>
      </c>
      <c r="V2548">
        <v>230</v>
      </c>
      <c r="W2548">
        <v>3.8333333333333335</v>
      </c>
      <c r="AF2548">
        <v>0</v>
      </c>
      <c r="AG2548">
        <v>0</v>
      </c>
      <c r="AH2548">
        <v>3.8333333333333335</v>
      </c>
      <c r="AI2548">
        <v>8.1666666666666661</v>
      </c>
      <c r="AJ2548">
        <v>12</v>
      </c>
      <c r="AM2548">
        <v>0</v>
      </c>
      <c r="AN2548">
        <v>80.779999999999987</v>
      </c>
      <c r="AP2548">
        <v>51</v>
      </c>
      <c r="AQ2548">
        <v>51</v>
      </c>
    </row>
    <row r="2549" spans="1:43" x14ac:dyDescent="0.25">
      <c r="A2549" t="s">
        <v>46</v>
      </c>
      <c r="B2549">
        <v>2</v>
      </c>
      <c r="C2549" t="s">
        <v>1540</v>
      </c>
      <c r="D2549" s="39">
        <v>46006</v>
      </c>
      <c r="E2549" t="s">
        <v>486</v>
      </c>
      <c r="F2549" t="s">
        <v>79</v>
      </c>
      <c r="G2549">
        <v>4</v>
      </c>
      <c r="H2549" t="s">
        <v>113</v>
      </c>
      <c r="I2549" t="s">
        <v>79</v>
      </c>
      <c r="J2549">
        <v>1000</v>
      </c>
      <c r="K2549" t="s">
        <v>79</v>
      </c>
      <c r="L2549">
        <v>6</v>
      </c>
      <c r="M2549">
        <v>115.97</v>
      </c>
      <c r="N2549">
        <v>2.4000000000000004</v>
      </c>
      <c r="Q2549">
        <v>113.57</v>
      </c>
      <c r="R2549" t="s">
        <v>1575</v>
      </c>
      <c r="S2549">
        <v>30</v>
      </c>
      <c r="V2549">
        <v>30</v>
      </c>
      <c r="W2549">
        <v>0.5</v>
      </c>
      <c r="AF2549">
        <v>0</v>
      </c>
      <c r="AG2549">
        <v>0</v>
      </c>
      <c r="AH2549">
        <v>0.5</v>
      </c>
      <c r="AI2549">
        <v>11.5</v>
      </c>
      <c r="AJ2549">
        <v>12</v>
      </c>
      <c r="AM2549">
        <v>0</v>
      </c>
      <c r="AN2549">
        <v>120.97</v>
      </c>
      <c r="AP2549">
        <v>51</v>
      </c>
      <c r="AQ2549">
        <v>51</v>
      </c>
    </row>
    <row r="2550" spans="1:43" x14ac:dyDescent="0.25">
      <c r="A2550" t="s">
        <v>46</v>
      </c>
      <c r="B2550">
        <v>2</v>
      </c>
      <c r="C2550" t="s">
        <v>1577</v>
      </c>
      <c r="D2550" s="39">
        <v>46006</v>
      </c>
      <c r="E2550" t="s">
        <v>486</v>
      </c>
      <c r="F2550" t="s">
        <v>79</v>
      </c>
      <c r="G2550">
        <v>2</v>
      </c>
      <c r="H2550" t="s">
        <v>92</v>
      </c>
      <c r="I2550" t="s">
        <v>79</v>
      </c>
      <c r="J2550" t="s">
        <v>1578</v>
      </c>
      <c r="K2550" t="s">
        <v>79</v>
      </c>
      <c r="L2550">
        <v>2</v>
      </c>
      <c r="M2550">
        <v>18.22</v>
      </c>
      <c r="N2550">
        <v>0.4</v>
      </c>
      <c r="Q2550">
        <v>17.82</v>
      </c>
      <c r="R2550" t="s">
        <v>1579</v>
      </c>
      <c r="V2550">
        <v>0</v>
      </c>
      <c r="W2550">
        <v>0</v>
      </c>
      <c r="AF2550">
        <v>0</v>
      </c>
      <c r="AG2550">
        <v>0</v>
      </c>
      <c r="AH2550">
        <v>0</v>
      </c>
      <c r="AI2550">
        <v>12</v>
      </c>
      <c r="AJ2550">
        <v>12</v>
      </c>
      <c r="AM2550">
        <v>0</v>
      </c>
      <c r="AN2550">
        <v>23.22</v>
      </c>
      <c r="AP2550">
        <v>51</v>
      </c>
      <c r="AQ2550">
        <v>51</v>
      </c>
    </row>
    <row r="2551" spans="1:43" x14ac:dyDescent="0.25">
      <c r="A2551" t="s">
        <v>45</v>
      </c>
      <c r="B2551">
        <v>4</v>
      </c>
      <c r="C2551" t="s">
        <v>1580</v>
      </c>
      <c r="D2551" s="39">
        <v>46006</v>
      </c>
      <c r="E2551" t="s">
        <v>674</v>
      </c>
      <c r="F2551" t="s">
        <v>79</v>
      </c>
      <c r="G2551">
        <v>28</v>
      </c>
      <c r="H2551" t="s">
        <v>534</v>
      </c>
      <c r="I2551" t="s">
        <v>79</v>
      </c>
      <c r="J2551">
        <v>125</v>
      </c>
      <c r="K2551" t="s">
        <v>79</v>
      </c>
      <c r="L2551">
        <v>8</v>
      </c>
      <c r="M2551">
        <v>425.62</v>
      </c>
      <c r="N2551">
        <v>22.4</v>
      </c>
      <c r="Q2551">
        <v>403.22</v>
      </c>
      <c r="R2551" t="s">
        <v>1581</v>
      </c>
      <c r="T2551">
        <v>230</v>
      </c>
      <c r="V2551">
        <v>230</v>
      </c>
      <c r="W2551">
        <v>3.8333333333333335</v>
      </c>
      <c r="AD2551">
        <v>120</v>
      </c>
      <c r="AF2551">
        <v>120</v>
      </c>
      <c r="AG2551">
        <v>2</v>
      </c>
      <c r="AH2551">
        <v>5.8333333333333339</v>
      </c>
      <c r="AI2551">
        <v>6.1666666666666661</v>
      </c>
      <c r="AJ2551">
        <v>12</v>
      </c>
      <c r="AM2551">
        <v>0</v>
      </c>
      <c r="AN2551">
        <v>430.62</v>
      </c>
      <c r="AP2551">
        <v>51</v>
      </c>
      <c r="AQ2551">
        <v>51</v>
      </c>
    </row>
    <row r="2552" spans="1:43" x14ac:dyDescent="0.25">
      <c r="A2552" t="s">
        <v>46</v>
      </c>
      <c r="B2552">
        <v>4</v>
      </c>
      <c r="C2552" t="s">
        <v>1580</v>
      </c>
      <c r="D2552" s="39">
        <v>46006</v>
      </c>
      <c r="E2552" t="s">
        <v>674</v>
      </c>
      <c r="F2552" t="s">
        <v>79</v>
      </c>
      <c r="G2552">
        <v>28</v>
      </c>
      <c r="H2552" t="s">
        <v>534</v>
      </c>
      <c r="I2552" t="s">
        <v>79</v>
      </c>
      <c r="J2552">
        <v>125</v>
      </c>
      <c r="K2552" t="s">
        <v>79</v>
      </c>
      <c r="L2552">
        <v>10</v>
      </c>
      <c r="M2552">
        <v>678.45</v>
      </c>
      <c r="N2552">
        <v>28</v>
      </c>
      <c r="Q2552">
        <v>650.45000000000005</v>
      </c>
      <c r="R2552" t="s">
        <v>1581</v>
      </c>
      <c r="V2552">
        <v>0</v>
      </c>
      <c r="W2552">
        <v>0</v>
      </c>
      <c r="Z2552">
        <v>105</v>
      </c>
      <c r="AF2552">
        <v>105</v>
      </c>
      <c r="AG2552">
        <v>1.75</v>
      </c>
      <c r="AH2552">
        <v>1.75</v>
      </c>
      <c r="AI2552">
        <v>10.25</v>
      </c>
      <c r="AJ2552">
        <v>12</v>
      </c>
      <c r="AM2552">
        <v>0</v>
      </c>
      <c r="AN2552">
        <v>683.45</v>
      </c>
      <c r="AP2552">
        <v>51</v>
      </c>
      <c r="AQ2552">
        <v>51</v>
      </c>
    </row>
    <row r="2553" spans="1:43" x14ac:dyDescent="0.25">
      <c r="A2553" t="s">
        <v>45</v>
      </c>
      <c r="B2553">
        <v>5</v>
      </c>
      <c r="C2553" t="s">
        <v>1561</v>
      </c>
      <c r="D2553" s="39">
        <v>46006</v>
      </c>
      <c r="E2553" t="s">
        <v>486</v>
      </c>
      <c r="F2553" t="s">
        <v>79</v>
      </c>
      <c r="G2553">
        <v>12</v>
      </c>
      <c r="H2553">
        <v>5</v>
      </c>
      <c r="I2553" t="s">
        <v>79</v>
      </c>
      <c r="J2553">
        <v>2000</v>
      </c>
      <c r="K2553" t="s">
        <v>79</v>
      </c>
      <c r="L2553">
        <v>7</v>
      </c>
      <c r="M2553">
        <v>443.93</v>
      </c>
      <c r="N2553">
        <v>9.7999999999999989</v>
      </c>
      <c r="O2553">
        <v>2</v>
      </c>
      <c r="Q2553">
        <v>434.13</v>
      </c>
      <c r="R2553" t="s">
        <v>1576</v>
      </c>
      <c r="T2553">
        <v>180</v>
      </c>
      <c r="V2553">
        <v>180</v>
      </c>
      <c r="W2553">
        <v>3</v>
      </c>
      <c r="AF2553">
        <v>0</v>
      </c>
      <c r="AG2553">
        <v>0</v>
      </c>
      <c r="AH2553">
        <v>3</v>
      </c>
      <c r="AI2553">
        <v>9</v>
      </c>
      <c r="AJ2553">
        <v>12</v>
      </c>
      <c r="AM2553">
        <v>0</v>
      </c>
      <c r="AN2553">
        <v>448.93</v>
      </c>
      <c r="AP2553">
        <v>51</v>
      </c>
      <c r="AQ2553">
        <v>51</v>
      </c>
    </row>
    <row r="2554" spans="1:43" x14ac:dyDescent="0.25">
      <c r="A2554" t="s">
        <v>46</v>
      </c>
      <c r="B2554">
        <v>5</v>
      </c>
      <c r="C2554" t="s">
        <v>1561</v>
      </c>
      <c r="D2554" s="39">
        <v>46006</v>
      </c>
      <c r="E2554" t="s">
        <v>486</v>
      </c>
      <c r="F2554" t="s">
        <v>79</v>
      </c>
      <c r="G2554">
        <v>12</v>
      </c>
      <c r="H2554">
        <v>5</v>
      </c>
      <c r="I2554" t="s">
        <v>79</v>
      </c>
      <c r="J2554">
        <v>2000</v>
      </c>
      <c r="K2554" t="s">
        <v>79</v>
      </c>
      <c r="L2554">
        <v>4</v>
      </c>
      <c r="M2554">
        <v>263.86</v>
      </c>
      <c r="N2554">
        <v>4.8</v>
      </c>
      <c r="O2554">
        <v>2</v>
      </c>
      <c r="Q2554">
        <v>259.06</v>
      </c>
      <c r="R2554" t="s">
        <v>1576</v>
      </c>
      <c r="S2554">
        <v>25</v>
      </c>
      <c r="V2554">
        <v>25</v>
      </c>
      <c r="W2554">
        <v>0.41666666666666674</v>
      </c>
      <c r="Z2554">
        <v>60</v>
      </c>
      <c r="AF2554">
        <v>60</v>
      </c>
      <c r="AG2554">
        <v>1</v>
      </c>
      <c r="AH2554">
        <v>1.4166666666666667</v>
      </c>
      <c r="AI2554">
        <v>10.583333333333334</v>
      </c>
      <c r="AJ2554">
        <v>12</v>
      </c>
      <c r="AM2554">
        <v>0</v>
      </c>
      <c r="AN2554">
        <v>268.86</v>
      </c>
      <c r="AP2554">
        <v>51</v>
      </c>
      <c r="AQ2554">
        <v>51</v>
      </c>
    </row>
    <row r="2555" spans="1:43" x14ac:dyDescent="0.25">
      <c r="A2555" t="s">
        <v>46</v>
      </c>
      <c r="B2555">
        <v>5</v>
      </c>
      <c r="C2555" t="s">
        <v>1582</v>
      </c>
      <c r="D2555" s="39">
        <v>46006</v>
      </c>
      <c r="E2555" t="s">
        <v>484</v>
      </c>
      <c r="F2555" t="s">
        <v>79</v>
      </c>
      <c r="G2555">
        <v>9</v>
      </c>
      <c r="H2555" t="s">
        <v>102</v>
      </c>
      <c r="I2555" t="s">
        <v>79</v>
      </c>
      <c r="J2555">
        <v>500</v>
      </c>
      <c r="K2555" t="s">
        <v>79</v>
      </c>
      <c r="L2555">
        <v>4</v>
      </c>
      <c r="M2555">
        <v>225.45</v>
      </c>
      <c r="N2555">
        <v>3.6</v>
      </c>
      <c r="Q2555">
        <v>221.85</v>
      </c>
      <c r="R2555" t="s">
        <v>1583</v>
      </c>
      <c r="V2555">
        <v>0</v>
      </c>
      <c r="W2555">
        <v>0</v>
      </c>
      <c r="AF2555">
        <v>0</v>
      </c>
      <c r="AG2555">
        <v>0</v>
      </c>
      <c r="AH2555">
        <v>0</v>
      </c>
      <c r="AI2555">
        <v>12</v>
      </c>
      <c r="AJ2555">
        <v>12</v>
      </c>
      <c r="AM2555">
        <v>0</v>
      </c>
      <c r="AN2555">
        <v>230.45</v>
      </c>
      <c r="AP2555">
        <v>51</v>
      </c>
      <c r="AQ2555">
        <v>51</v>
      </c>
    </row>
    <row r="2556" spans="1:43" x14ac:dyDescent="0.25">
      <c r="A2556" t="s">
        <v>45</v>
      </c>
      <c r="B2556">
        <v>1</v>
      </c>
      <c r="C2556" t="s">
        <v>1584</v>
      </c>
      <c r="D2556" s="39">
        <v>46007</v>
      </c>
      <c r="E2556" t="s">
        <v>486</v>
      </c>
      <c r="F2556" t="s">
        <v>79</v>
      </c>
      <c r="G2556">
        <v>2.5</v>
      </c>
      <c r="H2556" t="s">
        <v>92</v>
      </c>
      <c r="I2556" t="s">
        <v>79</v>
      </c>
      <c r="J2556">
        <v>1500</v>
      </c>
      <c r="K2556" t="s">
        <v>79</v>
      </c>
      <c r="L2556">
        <v>9</v>
      </c>
      <c r="M2556">
        <v>122.88</v>
      </c>
      <c r="N2556">
        <v>1.8</v>
      </c>
      <c r="Q2556">
        <v>121.08</v>
      </c>
      <c r="R2556" t="s">
        <v>1636</v>
      </c>
      <c r="V2556">
        <v>0</v>
      </c>
      <c r="W2556">
        <v>0</v>
      </c>
      <c r="AF2556">
        <v>0</v>
      </c>
      <c r="AG2556">
        <v>0</v>
      </c>
      <c r="AH2556">
        <v>0</v>
      </c>
      <c r="AI2556">
        <v>12</v>
      </c>
      <c r="AJ2556">
        <v>12</v>
      </c>
      <c r="AM2556">
        <v>0</v>
      </c>
      <c r="AN2556">
        <v>127.88</v>
      </c>
      <c r="AP2556">
        <v>51</v>
      </c>
      <c r="AQ2556">
        <v>51</v>
      </c>
    </row>
    <row r="2557" spans="1:43" x14ac:dyDescent="0.25">
      <c r="A2557" t="s">
        <v>46</v>
      </c>
      <c r="B2557">
        <v>1</v>
      </c>
      <c r="C2557" t="s">
        <v>1584</v>
      </c>
      <c r="D2557" s="39">
        <v>46007</v>
      </c>
      <c r="E2557" t="s">
        <v>486</v>
      </c>
      <c r="F2557" t="s">
        <v>79</v>
      </c>
      <c r="G2557">
        <v>2.5</v>
      </c>
      <c r="H2557" t="s">
        <v>92</v>
      </c>
      <c r="I2557" t="s">
        <v>79</v>
      </c>
      <c r="J2557">
        <v>1500</v>
      </c>
      <c r="K2557" t="s">
        <v>79</v>
      </c>
      <c r="L2557">
        <v>10</v>
      </c>
      <c r="M2557">
        <v>137.35999999999999</v>
      </c>
      <c r="N2557">
        <v>2</v>
      </c>
      <c r="Q2557">
        <v>135.35999999999999</v>
      </c>
      <c r="R2557" t="s">
        <v>1636</v>
      </c>
      <c r="V2557">
        <v>0</v>
      </c>
      <c r="W2557">
        <v>0</v>
      </c>
      <c r="AF2557">
        <v>0</v>
      </c>
      <c r="AG2557">
        <v>0</v>
      </c>
      <c r="AH2557">
        <v>0</v>
      </c>
      <c r="AI2557">
        <v>12</v>
      </c>
      <c r="AJ2557">
        <v>12</v>
      </c>
      <c r="AM2557">
        <v>0</v>
      </c>
      <c r="AN2557">
        <v>142.36000000000001</v>
      </c>
      <c r="AP2557">
        <v>51</v>
      </c>
      <c r="AQ2557">
        <v>51</v>
      </c>
    </row>
    <row r="2558" spans="1:43" x14ac:dyDescent="0.25">
      <c r="A2558" t="s">
        <v>45</v>
      </c>
      <c r="B2558">
        <v>2</v>
      </c>
      <c r="C2558" t="s">
        <v>1577</v>
      </c>
      <c r="D2558" s="39">
        <v>46007</v>
      </c>
      <c r="E2558" t="s">
        <v>486</v>
      </c>
      <c r="F2558" t="s">
        <v>79</v>
      </c>
      <c r="G2558">
        <v>2</v>
      </c>
      <c r="H2558" t="s">
        <v>92</v>
      </c>
      <c r="I2558" t="s">
        <v>79</v>
      </c>
      <c r="J2558" t="s">
        <v>1578</v>
      </c>
      <c r="K2558" t="s">
        <v>79</v>
      </c>
      <c r="L2558">
        <v>5</v>
      </c>
      <c r="M2558">
        <v>85.94</v>
      </c>
      <c r="N2558">
        <v>1</v>
      </c>
      <c r="Q2558">
        <v>84.94</v>
      </c>
      <c r="R2558" t="s">
        <v>1579</v>
      </c>
      <c r="S2558">
        <v>40</v>
      </c>
      <c r="V2558">
        <v>40</v>
      </c>
      <c r="W2558">
        <v>0.66666666666666663</v>
      </c>
      <c r="AF2558">
        <v>0</v>
      </c>
      <c r="AG2558">
        <v>0</v>
      </c>
      <c r="AH2558">
        <v>0.66666666666666663</v>
      </c>
      <c r="AI2558">
        <v>11.333333333333334</v>
      </c>
      <c r="AJ2558">
        <v>12</v>
      </c>
      <c r="AM2558">
        <v>0</v>
      </c>
      <c r="AN2558">
        <v>90.94</v>
      </c>
      <c r="AP2558">
        <v>51</v>
      </c>
      <c r="AQ2558">
        <v>51</v>
      </c>
    </row>
    <row r="2559" spans="1:43" x14ac:dyDescent="0.25">
      <c r="A2559" t="s">
        <v>45</v>
      </c>
      <c r="B2559">
        <v>2</v>
      </c>
      <c r="C2559" t="s">
        <v>1585</v>
      </c>
      <c r="D2559" s="39">
        <v>46007</v>
      </c>
      <c r="E2559" t="s">
        <v>486</v>
      </c>
      <c r="F2559" t="s">
        <v>79</v>
      </c>
      <c r="G2559">
        <v>6</v>
      </c>
      <c r="H2559">
        <v>5</v>
      </c>
      <c r="I2559" t="s">
        <v>79</v>
      </c>
      <c r="J2559">
        <v>1000</v>
      </c>
      <c r="K2559" t="s">
        <v>79</v>
      </c>
      <c r="L2559">
        <v>2</v>
      </c>
      <c r="M2559">
        <v>39.43</v>
      </c>
      <c r="N2559">
        <v>1.2</v>
      </c>
      <c r="Q2559">
        <v>38.229999999999997</v>
      </c>
      <c r="R2559" t="s">
        <v>1687</v>
      </c>
      <c r="V2559">
        <v>0</v>
      </c>
      <c r="W2559">
        <v>0</v>
      </c>
      <c r="AF2559">
        <v>0</v>
      </c>
      <c r="AG2559">
        <v>0</v>
      </c>
      <c r="AH2559">
        <v>0</v>
      </c>
      <c r="AI2559">
        <v>12</v>
      </c>
      <c r="AJ2559">
        <v>12</v>
      </c>
      <c r="AM2559">
        <v>0</v>
      </c>
      <c r="AN2559">
        <v>44.43</v>
      </c>
      <c r="AP2559">
        <v>51</v>
      </c>
      <c r="AQ2559">
        <v>51</v>
      </c>
    </row>
    <row r="2560" spans="1:43" x14ac:dyDescent="0.25">
      <c r="A2560" t="s">
        <v>46</v>
      </c>
      <c r="B2560">
        <v>2</v>
      </c>
      <c r="C2560" t="s">
        <v>1585</v>
      </c>
      <c r="D2560" s="39">
        <v>46007</v>
      </c>
      <c r="E2560" t="s">
        <v>486</v>
      </c>
      <c r="F2560" t="s">
        <v>79</v>
      </c>
      <c r="G2560">
        <v>6</v>
      </c>
      <c r="H2560">
        <v>5</v>
      </c>
      <c r="I2560" t="s">
        <v>79</v>
      </c>
      <c r="J2560">
        <v>1000</v>
      </c>
      <c r="K2560" t="s">
        <v>79</v>
      </c>
      <c r="L2560">
        <v>2</v>
      </c>
      <c r="M2560">
        <v>48.5</v>
      </c>
      <c r="N2560">
        <v>1.4</v>
      </c>
      <c r="Q2560">
        <v>47.1</v>
      </c>
      <c r="R2560" t="s">
        <v>1687</v>
      </c>
      <c r="V2560">
        <v>0</v>
      </c>
      <c r="W2560">
        <v>0</v>
      </c>
      <c r="AF2560">
        <v>0</v>
      </c>
      <c r="AG2560">
        <v>0</v>
      </c>
      <c r="AH2560">
        <v>0</v>
      </c>
      <c r="AI2560">
        <v>12</v>
      </c>
      <c r="AJ2560">
        <v>12</v>
      </c>
      <c r="AM2560">
        <v>0</v>
      </c>
      <c r="AN2560">
        <v>53.5</v>
      </c>
      <c r="AP2560">
        <v>51</v>
      </c>
      <c r="AQ2560">
        <v>51</v>
      </c>
    </row>
    <row r="2561" spans="1:43" x14ac:dyDescent="0.25">
      <c r="A2561" t="s">
        <v>46</v>
      </c>
      <c r="B2561">
        <v>2</v>
      </c>
      <c r="C2561" t="s">
        <v>1577</v>
      </c>
      <c r="D2561" s="39">
        <v>46007</v>
      </c>
      <c r="E2561" t="s">
        <v>486</v>
      </c>
      <c r="F2561" t="s">
        <v>79</v>
      </c>
      <c r="G2561">
        <v>2</v>
      </c>
      <c r="H2561" t="s">
        <v>92</v>
      </c>
      <c r="I2561" t="s">
        <v>79</v>
      </c>
      <c r="J2561" t="s">
        <v>1578</v>
      </c>
      <c r="K2561" t="s">
        <v>79</v>
      </c>
      <c r="L2561">
        <v>5</v>
      </c>
      <c r="M2561">
        <v>91.94</v>
      </c>
      <c r="N2561">
        <v>1</v>
      </c>
      <c r="Q2561">
        <v>90.94</v>
      </c>
      <c r="R2561" t="s">
        <v>1579</v>
      </c>
      <c r="S2561">
        <v>30</v>
      </c>
      <c r="V2561">
        <v>30</v>
      </c>
      <c r="W2561">
        <v>0.5</v>
      </c>
      <c r="AF2561">
        <v>0</v>
      </c>
      <c r="AG2561">
        <v>0</v>
      </c>
      <c r="AH2561">
        <v>0.5</v>
      </c>
      <c r="AI2561">
        <v>11.5</v>
      </c>
      <c r="AJ2561">
        <v>12</v>
      </c>
      <c r="AM2561">
        <v>0</v>
      </c>
      <c r="AN2561">
        <v>96.94</v>
      </c>
      <c r="AP2561">
        <v>51</v>
      </c>
      <c r="AQ2561">
        <v>51</v>
      </c>
    </row>
    <row r="2562" spans="1:43" x14ac:dyDescent="0.25">
      <c r="A2562" t="s">
        <v>45</v>
      </c>
      <c r="B2562">
        <v>3</v>
      </c>
      <c r="C2562" t="s">
        <v>1585</v>
      </c>
      <c r="D2562" s="39">
        <v>46007</v>
      </c>
      <c r="E2562" t="s">
        <v>486</v>
      </c>
      <c r="F2562" t="s">
        <v>79</v>
      </c>
      <c r="G2562">
        <v>6</v>
      </c>
      <c r="H2562">
        <v>5</v>
      </c>
      <c r="I2562" t="s">
        <v>79</v>
      </c>
      <c r="J2562">
        <v>1000</v>
      </c>
      <c r="K2562" t="s">
        <v>79</v>
      </c>
      <c r="L2562">
        <v>4</v>
      </c>
      <c r="M2562">
        <v>142.32</v>
      </c>
      <c r="N2562">
        <v>2.4</v>
      </c>
      <c r="Q2562">
        <v>139.91999999999999</v>
      </c>
      <c r="R2562" t="s">
        <v>1687</v>
      </c>
      <c r="V2562">
        <v>0</v>
      </c>
      <c r="W2562">
        <v>0</v>
      </c>
      <c r="AF2562">
        <v>0</v>
      </c>
      <c r="AG2562">
        <v>0</v>
      </c>
      <c r="AH2562">
        <v>0</v>
      </c>
      <c r="AI2562">
        <v>12</v>
      </c>
      <c r="AJ2562">
        <v>12</v>
      </c>
      <c r="AM2562">
        <v>0</v>
      </c>
      <c r="AN2562">
        <v>147.32</v>
      </c>
      <c r="AP2562">
        <v>51</v>
      </c>
      <c r="AQ2562">
        <v>51</v>
      </c>
    </row>
    <row r="2563" spans="1:43" x14ac:dyDescent="0.25">
      <c r="A2563" t="s">
        <v>46</v>
      </c>
      <c r="B2563">
        <v>3</v>
      </c>
      <c r="C2563" t="s">
        <v>1585</v>
      </c>
      <c r="D2563" s="39">
        <v>46007</v>
      </c>
      <c r="E2563" t="s">
        <v>486</v>
      </c>
      <c r="F2563" t="s">
        <v>79</v>
      </c>
      <c r="G2563">
        <v>6</v>
      </c>
      <c r="H2563">
        <v>5</v>
      </c>
      <c r="I2563" t="s">
        <v>79</v>
      </c>
      <c r="J2563">
        <v>1000</v>
      </c>
      <c r="K2563" t="s">
        <v>79</v>
      </c>
      <c r="L2563">
        <v>3</v>
      </c>
      <c r="M2563">
        <v>85.65</v>
      </c>
      <c r="N2563">
        <v>1.7999999999999998</v>
      </c>
      <c r="Q2563">
        <v>83.850000000000009</v>
      </c>
      <c r="R2563" t="s">
        <v>1687</v>
      </c>
      <c r="U2563">
        <v>540</v>
      </c>
      <c r="V2563">
        <v>540</v>
      </c>
      <c r="W2563">
        <v>9</v>
      </c>
      <c r="AF2563">
        <v>0</v>
      </c>
      <c r="AG2563">
        <v>0</v>
      </c>
      <c r="AH2563">
        <v>9</v>
      </c>
      <c r="AI2563">
        <v>3</v>
      </c>
      <c r="AJ2563">
        <v>12</v>
      </c>
      <c r="AM2563">
        <v>0</v>
      </c>
      <c r="AN2563">
        <v>90.65</v>
      </c>
      <c r="AP2563">
        <v>51</v>
      </c>
      <c r="AQ2563">
        <v>51</v>
      </c>
    </row>
    <row r="2564" spans="1:43" x14ac:dyDescent="0.25">
      <c r="A2564" t="s">
        <v>45</v>
      </c>
      <c r="B2564">
        <v>4</v>
      </c>
      <c r="C2564" t="s">
        <v>1580</v>
      </c>
      <c r="D2564" s="39">
        <v>46007</v>
      </c>
      <c r="E2564" t="s">
        <v>674</v>
      </c>
      <c r="F2564" t="s">
        <v>79</v>
      </c>
      <c r="G2564">
        <v>28</v>
      </c>
      <c r="H2564" t="s">
        <v>534</v>
      </c>
      <c r="I2564" t="s">
        <v>79</v>
      </c>
      <c r="J2564">
        <v>125</v>
      </c>
      <c r="K2564" t="s">
        <v>79</v>
      </c>
      <c r="L2564">
        <v>9</v>
      </c>
      <c r="M2564">
        <v>586.29999999999995</v>
      </c>
      <c r="N2564">
        <v>27.53</v>
      </c>
      <c r="O2564">
        <v>30</v>
      </c>
      <c r="Q2564">
        <v>558.77</v>
      </c>
      <c r="R2564" t="s">
        <v>1581</v>
      </c>
      <c r="V2564">
        <v>0</v>
      </c>
      <c r="W2564">
        <v>0</v>
      </c>
      <c r="AF2564">
        <v>0</v>
      </c>
      <c r="AG2564">
        <v>0</v>
      </c>
      <c r="AH2564">
        <v>0</v>
      </c>
      <c r="AI2564">
        <v>12</v>
      </c>
      <c r="AJ2564">
        <v>12</v>
      </c>
      <c r="AM2564">
        <v>0</v>
      </c>
      <c r="AN2564">
        <v>591.29999999999995</v>
      </c>
      <c r="AP2564">
        <v>51</v>
      </c>
      <c r="AQ2564">
        <v>51</v>
      </c>
    </row>
    <row r="2565" spans="1:43" x14ac:dyDescent="0.25">
      <c r="A2565" t="s">
        <v>45</v>
      </c>
      <c r="B2565">
        <v>4</v>
      </c>
      <c r="C2565" t="s">
        <v>1586</v>
      </c>
      <c r="D2565" s="39">
        <v>46007</v>
      </c>
      <c r="E2565" t="s">
        <v>276</v>
      </c>
      <c r="F2565" t="s">
        <v>79</v>
      </c>
      <c r="G2565">
        <v>28</v>
      </c>
      <c r="H2565" t="s">
        <v>113</v>
      </c>
      <c r="I2565" t="s">
        <v>79</v>
      </c>
      <c r="J2565">
        <v>1000</v>
      </c>
      <c r="K2565" t="s">
        <v>79</v>
      </c>
      <c r="L2565">
        <v>3</v>
      </c>
      <c r="M2565">
        <v>164.71</v>
      </c>
      <c r="N2565">
        <v>10.8</v>
      </c>
      <c r="O2565">
        <v>26</v>
      </c>
      <c r="Q2565">
        <v>153.91</v>
      </c>
      <c r="R2565" t="s">
        <v>1587</v>
      </c>
      <c r="V2565">
        <v>0</v>
      </c>
      <c r="W2565">
        <v>0</v>
      </c>
      <c r="AF2565">
        <v>0</v>
      </c>
      <c r="AG2565">
        <v>0</v>
      </c>
      <c r="AH2565">
        <v>0</v>
      </c>
      <c r="AI2565">
        <v>12</v>
      </c>
      <c r="AJ2565">
        <v>12</v>
      </c>
      <c r="AM2565">
        <v>0</v>
      </c>
      <c r="AN2565">
        <v>169.71</v>
      </c>
      <c r="AP2565">
        <v>51</v>
      </c>
      <c r="AQ2565">
        <v>51</v>
      </c>
    </row>
    <row r="2566" spans="1:43" x14ac:dyDescent="0.25">
      <c r="A2566" t="s">
        <v>46</v>
      </c>
      <c r="B2566">
        <v>4</v>
      </c>
      <c r="C2566" t="s">
        <v>1586</v>
      </c>
      <c r="D2566" s="39">
        <v>46007</v>
      </c>
      <c r="E2566" t="s">
        <v>276</v>
      </c>
      <c r="F2566" t="s">
        <v>79</v>
      </c>
      <c r="G2566">
        <v>28</v>
      </c>
      <c r="H2566" t="s">
        <v>113</v>
      </c>
      <c r="I2566" t="s">
        <v>79</v>
      </c>
      <c r="J2566">
        <v>1000</v>
      </c>
      <c r="K2566" t="s">
        <v>79</v>
      </c>
      <c r="L2566">
        <v>12</v>
      </c>
      <c r="M2566">
        <v>794.09999999999991</v>
      </c>
      <c r="N2566">
        <v>42</v>
      </c>
      <c r="Q2566">
        <v>752.09999999999991</v>
      </c>
      <c r="R2566" t="s">
        <v>1587</v>
      </c>
      <c r="V2566">
        <v>0</v>
      </c>
      <c r="W2566">
        <v>0</v>
      </c>
      <c r="AF2566">
        <v>0</v>
      </c>
      <c r="AG2566">
        <v>0</v>
      </c>
      <c r="AH2566">
        <v>0</v>
      </c>
      <c r="AI2566">
        <v>12</v>
      </c>
      <c r="AJ2566">
        <v>12</v>
      </c>
      <c r="AM2566">
        <v>0</v>
      </c>
      <c r="AN2566">
        <v>799.0999999999998</v>
      </c>
      <c r="AP2566">
        <v>51</v>
      </c>
      <c r="AQ2566">
        <v>51</v>
      </c>
    </row>
    <row r="2567" spans="1:43" x14ac:dyDescent="0.25">
      <c r="A2567" t="s">
        <v>45</v>
      </c>
      <c r="B2567">
        <v>5</v>
      </c>
      <c r="C2567" t="s">
        <v>1582</v>
      </c>
      <c r="D2567" s="39">
        <v>46007</v>
      </c>
      <c r="E2567" t="s">
        <v>484</v>
      </c>
      <c r="F2567" t="s">
        <v>79</v>
      </c>
      <c r="G2567">
        <v>9</v>
      </c>
      <c r="H2567" t="s">
        <v>102</v>
      </c>
      <c r="I2567" t="s">
        <v>79</v>
      </c>
      <c r="J2567">
        <v>500</v>
      </c>
      <c r="K2567" t="s">
        <v>79</v>
      </c>
      <c r="L2567">
        <v>6</v>
      </c>
      <c r="M2567">
        <v>311.75</v>
      </c>
      <c r="N2567">
        <v>6.6000000000000005</v>
      </c>
      <c r="Q2567">
        <v>305.14999999999998</v>
      </c>
      <c r="R2567" t="s">
        <v>1583</v>
      </c>
      <c r="V2567">
        <v>0</v>
      </c>
      <c r="W2567">
        <v>0</v>
      </c>
      <c r="AF2567">
        <v>0</v>
      </c>
      <c r="AG2567">
        <v>0</v>
      </c>
      <c r="AH2567">
        <v>0</v>
      </c>
      <c r="AI2567">
        <v>12</v>
      </c>
      <c r="AJ2567">
        <v>12</v>
      </c>
      <c r="AM2567">
        <v>0</v>
      </c>
      <c r="AN2567">
        <v>316.75</v>
      </c>
      <c r="AP2567">
        <v>51</v>
      </c>
      <c r="AQ2567">
        <v>51</v>
      </c>
    </row>
    <row r="2568" spans="1:43" x14ac:dyDescent="0.25">
      <c r="A2568" t="s">
        <v>45</v>
      </c>
      <c r="B2568">
        <v>5</v>
      </c>
      <c r="C2568" t="s">
        <v>1588</v>
      </c>
      <c r="D2568" s="39">
        <v>46007</v>
      </c>
      <c r="E2568" t="s">
        <v>486</v>
      </c>
      <c r="F2568" t="s">
        <v>79</v>
      </c>
      <c r="G2568">
        <v>9</v>
      </c>
      <c r="H2568" t="s">
        <v>113</v>
      </c>
      <c r="I2568" t="s">
        <v>79</v>
      </c>
      <c r="J2568">
        <v>1000</v>
      </c>
      <c r="K2568" t="s">
        <v>79</v>
      </c>
      <c r="L2568">
        <v>4</v>
      </c>
      <c r="M2568">
        <v>206.57</v>
      </c>
      <c r="N2568">
        <v>4.4000000000000004</v>
      </c>
      <c r="Q2568">
        <v>202.17</v>
      </c>
      <c r="R2568" t="s">
        <v>1589</v>
      </c>
      <c r="V2568">
        <v>0</v>
      </c>
      <c r="W2568">
        <v>0</v>
      </c>
      <c r="AF2568">
        <v>0</v>
      </c>
      <c r="AG2568">
        <v>0</v>
      </c>
      <c r="AH2568">
        <v>0</v>
      </c>
      <c r="AI2568">
        <v>12</v>
      </c>
      <c r="AJ2568">
        <v>12</v>
      </c>
      <c r="AM2568">
        <v>0</v>
      </c>
      <c r="AN2568">
        <v>211.57</v>
      </c>
      <c r="AP2568">
        <v>51</v>
      </c>
      <c r="AQ2568">
        <v>51</v>
      </c>
    </row>
    <row r="2569" spans="1:43" x14ac:dyDescent="0.25">
      <c r="A2569" t="s">
        <v>46</v>
      </c>
      <c r="B2569">
        <v>5</v>
      </c>
      <c r="C2569" t="s">
        <v>1588</v>
      </c>
      <c r="D2569" s="39">
        <v>46007</v>
      </c>
      <c r="E2569" t="s">
        <v>486</v>
      </c>
      <c r="F2569" t="s">
        <v>79</v>
      </c>
      <c r="G2569">
        <v>9</v>
      </c>
      <c r="H2569" t="s">
        <v>113</v>
      </c>
      <c r="I2569" t="s">
        <v>79</v>
      </c>
      <c r="J2569">
        <v>1000</v>
      </c>
      <c r="K2569" t="s">
        <v>79</v>
      </c>
      <c r="L2569">
        <v>9</v>
      </c>
      <c r="M2569">
        <v>469.53000000000003</v>
      </c>
      <c r="N2569">
        <v>9.9</v>
      </c>
      <c r="Q2569">
        <v>459.63000000000005</v>
      </c>
      <c r="R2569" t="s">
        <v>1589</v>
      </c>
      <c r="V2569">
        <v>0</v>
      </c>
      <c r="W2569">
        <v>0</v>
      </c>
      <c r="AF2569">
        <v>0</v>
      </c>
      <c r="AG2569">
        <v>0</v>
      </c>
      <c r="AH2569">
        <v>0</v>
      </c>
      <c r="AI2569">
        <v>12</v>
      </c>
      <c r="AJ2569">
        <v>12</v>
      </c>
      <c r="AM2569">
        <v>0</v>
      </c>
      <c r="AN2569">
        <v>474.53</v>
      </c>
      <c r="AP2569">
        <v>51</v>
      </c>
      <c r="AQ2569">
        <v>51</v>
      </c>
    </row>
    <row r="2570" spans="1:43" x14ac:dyDescent="0.25">
      <c r="A2570" t="s">
        <v>45</v>
      </c>
      <c r="B2570">
        <v>1</v>
      </c>
      <c r="C2570" t="s">
        <v>1584</v>
      </c>
      <c r="D2570" s="39">
        <v>46008</v>
      </c>
      <c r="E2570" t="s">
        <v>486</v>
      </c>
      <c r="F2570" t="s">
        <v>79</v>
      </c>
      <c r="G2570">
        <v>2.5</v>
      </c>
      <c r="H2570" t="s">
        <v>92</v>
      </c>
      <c r="I2570" t="s">
        <v>79</v>
      </c>
      <c r="J2570">
        <v>1500</v>
      </c>
      <c r="K2570" t="s">
        <v>79</v>
      </c>
      <c r="L2570">
        <v>10</v>
      </c>
      <c r="M2570">
        <v>136.67000000000002</v>
      </c>
      <c r="N2570">
        <v>2</v>
      </c>
      <c r="Q2570">
        <v>134.67000000000002</v>
      </c>
      <c r="R2570" t="s">
        <v>1636</v>
      </c>
      <c r="V2570">
        <v>0</v>
      </c>
      <c r="W2570">
        <v>0</v>
      </c>
      <c r="AF2570">
        <v>0</v>
      </c>
      <c r="AG2570">
        <v>0</v>
      </c>
      <c r="AH2570">
        <v>0</v>
      </c>
      <c r="AI2570">
        <v>12</v>
      </c>
      <c r="AJ2570">
        <v>12</v>
      </c>
      <c r="AM2570">
        <v>0</v>
      </c>
      <c r="AN2570">
        <v>141.67000000000002</v>
      </c>
      <c r="AP2570">
        <v>51</v>
      </c>
      <c r="AQ2570">
        <v>51</v>
      </c>
    </row>
    <row r="2571" spans="1:43" x14ac:dyDescent="0.25">
      <c r="A2571" t="s">
        <v>46</v>
      </c>
      <c r="B2571">
        <v>1</v>
      </c>
      <c r="C2571" t="s">
        <v>1584</v>
      </c>
      <c r="D2571" s="39">
        <v>46008</v>
      </c>
      <c r="E2571" t="s">
        <v>486</v>
      </c>
      <c r="F2571" t="s">
        <v>79</v>
      </c>
      <c r="G2571">
        <v>2.5</v>
      </c>
      <c r="H2571" t="s">
        <v>92</v>
      </c>
      <c r="I2571" t="s">
        <v>79</v>
      </c>
      <c r="J2571">
        <v>1500</v>
      </c>
      <c r="K2571" t="s">
        <v>79</v>
      </c>
      <c r="L2571">
        <v>10</v>
      </c>
      <c r="M2571">
        <v>136.26</v>
      </c>
      <c r="N2571">
        <v>2</v>
      </c>
      <c r="Q2571">
        <v>134.26</v>
      </c>
      <c r="R2571" t="s">
        <v>1636</v>
      </c>
      <c r="V2571">
        <v>0</v>
      </c>
      <c r="W2571">
        <v>0</v>
      </c>
      <c r="AF2571">
        <v>0</v>
      </c>
      <c r="AG2571">
        <v>0</v>
      </c>
      <c r="AH2571">
        <v>0</v>
      </c>
      <c r="AI2571">
        <v>12</v>
      </c>
      <c r="AJ2571">
        <v>12</v>
      </c>
      <c r="AM2571">
        <v>0</v>
      </c>
      <c r="AN2571">
        <v>141.26</v>
      </c>
      <c r="AP2571">
        <v>51</v>
      </c>
      <c r="AQ2571">
        <v>51</v>
      </c>
    </row>
    <row r="2572" spans="1:43" x14ac:dyDescent="0.25">
      <c r="A2572" t="s">
        <v>45</v>
      </c>
      <c r="B2572">
        <v>2</v>
      </c>
      <c r="C2572" t="s">
        <v>1577</v>
      </c>
      <c r="D2572" s="39">
        <v>46008</v>
      </c>
      <c r="E2572" t="s">
        <v>486</v>
      </c>
      <c r="F2572" t="s">
        <v>79</v>
      </c>
      <c r="G2572">
        <v>2</v>
      </c>
      <c r="H2572" t="s">
        <v>92</v>
      </c>
      <c r="I2572" t="s">
        <v>79</v>
      </c>
      <c r="J2572" t="s">
        <v>1578</v>
      </c>
      <c r="K2572" t="s">
        <v>79</v>
      </c>
      <c r="L2572">
        <v>4</v>
      </c>
      <c r="M2572">
        <v>80.540000000000006</v>
      </c>
      <c r="N2572">
        <v>0.8</v>
      </c>
      <c r="Q2572">
        <v>79.740000000000009</v>
      </c>
      <c r="R2572" t="s">
        <v>1579</v>
      </c>
      <c r="V2572">
        <v>0</v>
      </c>
      <c r="W2572">
        <v>0</v>
      </c>
      <c r="AF2572">
        <v>0</v>
      </c>
      <c r="AG2572">
        <v>0</v>
      </c>
      <c r="AH2572">
        <v>0</v>
      </c>
      <c r="AI2572">
        <v>12</v>
      </c>
      <c r="AJ2572">
        <v>12</v>
      </c>
      <c r="AM2572">
        <v>0</v>
      </c>
      <c r="AN2572">
        <v>85.54</v>
      </c>
      <c r="AP2572">
        <v>51</v>
      </c>
      <c r="AQ2572">
        <v>51</v>
      </c>
    </row>
    <row r="2573" spans="1:43" x14ac:dyDescent="0.25">
      <c r="A2573" t="s">
        <v>45</v>
      </c>
      <c r="B2573">
        <v>2</v>
      </c>
      <c r="C2573" t="s">
        <v>1577</v>
      </c>
      <c r="D2573" s="39">
        <v>46008</v>
      </c>
      <c r="E2573" t="s">
        <v>486</v>
      </c>
      <c r="F2573" t="s">
        <v>79</v>
      </c>
      <c r="G2573">
        <v>2</v>
      </c>
      <c r="H2573" t="s">
        <v>92</v>
      </c>
      <c r="I2573" t="s">
        <v>79</v>
      </c>
      <c r="J2573" t="s">
        <v>1578</v>
      </c>
      <c r="K2573" t="s">
        <v>79</v>
      </c>
      <c r="L2573">
        <v>3</v>
      </c>
      <c r="M2573">
        <v>31.16</v>
      </c>
      <c r="N2573">
        <v>0.60000000000000009</v>
      </c>
      <c r="Q2573">
        <v>30.56</v>
      </c>
      <c r="R2573" t="s">
        <v>1579</v>
      </c>
      <c r="V2573">
        <v>0</v>
      </c>
      <c r="W2573">
        <v>0</v>
      </c>
      <c r="AF2573">
        <v>0</v>
      </c>
      <c r="AG2573">
        <v>0</v>
      </c>
      <c r="AH2573">
        <v>0</v>
      </c>
      <c r="AI2573">
        <v>12</v>
      </c>
      <c r="AJ2573">
        <v>12</v>
      </c>
      <c r="AM2573">
        <v>0</v>
      </c>
      <c r="AN2573">
        <v>36.159999999999997</v>
      </c>
      <c r="AP2573">
        <v>51</v>
      </c>
      <c r="AQ2573">
        <v>51</v>
      </c>
    </row>
    <row r="2574" spans="1:43" x14ac:dyDescent="0.25">
      <c r="A2574" t="s">
        <v>46</v>
      </c>
      <c r="B2574">
        <v>2</v>
      </c>
      <c r="C2574" t="s">
        <v>1577</v>
      </c>
      <c r="D2574" s="39">
        <v>46008</v>
      </c>
      <c r="E2574" t="s">
        <v>486</v>
      </c>
      <c r="F2574" t="s">
        <v>79</v>
      </c>
      <c r="G2574">
        <v>2</v>
      </c>
      <c r="H2574" t="s">
        <v>92</v>
      </c>
      <c r="I2574" t="s">
        <v>79</v>
      </c>
      <c r="J2574" t="s">
        <v>1578</v>
      </c>
      <c r="K2574" t="s">
        <v>79</v>
      </c>
      <c r="L2574">
        <v>6</v>
      </c>
      <c r="M2574">
        <v>91.070000000000007</v>
      </c>
      <c r="N2574">
        <v>1.2000000000000002</v>
      </c>
      <c r="Q2574">
        <v>89.87</v>
      </c>
      <c r="R2574" t="s">
        <v>1579</v>
      </c>
      <c r="S2574">
        <v>25</v>
      </c>
      <c r="V2574">
        <v>25</v>
      </c>
      <c r="W2574">
        <v>0.41666666666666674</v>
      </c>
      <c r="AF2574">
        <v>0</v>
      </c>
      <c r="AG2574">
        <v>0</v>
      </c>
      <c r="AH2574">
        <v>0.41666666666666674</v>
      </c>
      <c r="AI2574">
        <v>11.583333333333334</v>
      </c>
      <c r="AJ2574">
        <v>12</v>
      </c>
      <c r="AM2574">
        <v>0</v>
      </c>
      <c r="AN2574">
        <v>96.07</v>
      </c>
      <c r="AP2574">
        <v>51</v>
      </c>
      <c r="AQ2574">
        <v>51</v>
      </c>
    </row>
    <row r="2575" spans="1:43" x14ac:dyDescent="0.25">
      <c r="A2575" t="s">
        <v>46</v>
      </c>
      <c r="B2575">
        <v>2</v>
      </c>
      <c r="C2575" t="s">
        <v>1590</v>
      </c>
      <c r="D2575" s="39">
        <v>46008</v>
      </c>
      <c r="E2575" t="s">
        <v>229</v>
      </c>
      <c r="F2575" t="s">
        <v>79</v>
      </c>
      <c r="G2575">
        <v>5</v>
      </c>
      <c r="H2575" t="s">
        <v>855</v>
      </c>
      <c r="I2575" t="s">
        <v>79</v>
      </c>
      <c r="J2575">
        <v>1200</v>
      </c>
      <c r="K2575" t="s">
        <v>79</v>
      </c>
      <c r="L2575">
        <v>3</v>
      </c>
      <c r="M2575">
        <v>58.790000000000006</v>
      </c>
      <c r="N2575">
        <v>1.5</v>
      </c>
      <c r="Q2575">
        <v>57.290000000000006</v>
      </c>
      <c r="R2575" t="s">
        <v>1591</v>
      </c>
      <c r="V2575">
        <v>0</v>
      </c>
      <c r="W2575">
        <v>0</v>
      </c>
      <c r="AF2575">
        <v>0</v>
      </c>
      <c r="AG2575">
        <v>0</v>
      </c>
      <c r="AH2575">
        <v>0</v>
      </c>
      <c r="AI2575">
        <v>12</v>
      </c>
      <c r="AJ2575">
        <v>12</v>
      </c>
      <c r="AM2575">
        <v>0</v>
      </c>
      <c r="AN2575">
        <v>63.790000000000006</v>
      </c>
      <c r="AP2575">
        <v>51</v>
      </c>
      <c r="AQ2575">
        <v>51</v>
      </c>
    </row>
    <row r="2576" spans="1:43" x14ac:dyDescent="0.25">
      <c r="A2576" t="s">
        <v>45</v>
      </c>
      <c r="B2576">
        <v>4</v>
      </c>
      <c r="C2576" t="s">
        <v>1586</v>
      </c>
      <c r="D2576" s="39">
        <v>46008</v>
      </c>
      <c r="E2576" t="s">
        <v>276</v>
      </c>
      <c r="F2576" t="s">
        <v>79</v>
      </c>
      <c r="G2576">
        <v>28</v>
      </c>
      <c r="H2576" t="s">
        <v>113</v>
      </c>
      <c r="I2576" t="s">
        <v>79</v>
      </c>
      <c r="J2576">
        <v>1000</v>
      </c>
      <c r="K2576" t="s">
        <v>79</v>
      </c>
      <c r="L2576">
        <v>2</v>
      </c>
      <c r="M2576">
        <v>126.96000000000001</v>
      </c>
      <c r="N2576">
        <v>7.13</v>
      </c>
      <c r="O2576">
        <v>21</v>
      </c>
      <c r="Q2576">
        <v>119.83000000000001</v>
      </c>
      <c r="R2576" t="s">
        <v>1587</v>
      </c>
      <c r="V2576">
        <v>0</v>
      </c>
      <c r="W2576">
        <v>0</v>
      </c>
      <c r="AF2576">
        <v>0</v>
      </c>
      <c r="AG2576">
        <v>0</v>
      </c>
      <c r="AH2576">
        <v>0</v>
      </c>
      <c r="AI2576">
        <v>12</v>
      </c>
      <c r="AJ2576">
        <v>12</v>
      </c>
      <c r="AM2576">
        <v>0</v>
      </c>
      <c r="AN2576">
        <v>131.96</v>
      </c>
      <c r="AP2576">
        <v>51</v>
      </c>
      <c r="AQ2576">
        <v>51</v>
      </c>
    </row>
    <row r="2577" spans="1:43" x14ac:dyDescent="0.25">
      <c r="A2577" t="s">
        <v>45</v>
      </c>
      <c r="B2577">
        <v>4</v>
      </c>
      <c r="C2577" t="s">
        <v>1592</v>
      </c>
      <c r="D2577" s="39">
        <v>46008</v>
      </c>
      <c r="E2577" t="s">
        <v>274</v>
      </c>
      <c r="F2577" t="s">
        <v>79</v>
      </c>
      <c r="G2577">
        <v>28</v>
      </c>
      <c r="H2577" t="s">
        <v>944</v>
      </c>
      <c r="I2577" t="s">
        <v>79</v>
      </c>
      <c r="J2577">
        <v>500</v>
      </c>
      <c r="K2577" t="s">
        <v>79</v>
      </c>
      <c r="L2577">
        <v>11</v>
      </c>
      <c r="M2577">
        <v>683.92</v>
      </c>
      <c r="N2577">
        <v>39.6</v>
      </c>
      <c r="Q2577">
        <v>644.31999999999994</v>
      </c>
      <c r="R2577" t="s">
        <v>1593</v>
      </c>
      <c r="V2577">
        <v>0</v>
      </c>
      <c r="W2577">
        <v>0</v>
      </c>
      <c r="AF2577">
        <v>0</v>
      </c>
      <c r="AG2577">
        <v>0</v>
      </c>
      <c r="AH2577">
        <v>0</v>
      </c>
      <c r="AI2577">
        <v>12</v>
      </c>
      <c r="AJ2577">
        <v>12</v>
      </c>
      <c r="AM2577">
        <v>0</v>
      </c>
      <c r="AN2577">
        <v>688.92</v>
      </c>
      <c r="AP2577">
        <v>51</v>
      </c>
      <c r="AQ2577">
        <v>51</v>
      </c>
    </row>
    <row r="2578" spans="1:43" x14ac:dyDescent="0.25">
      <c r="A2578" t="s">
        <v>46</v>
      </c>
      <c r="B2578">
        <v>4</v>
      </c>
      <c r="C2578" t="s">
        <v>1592</v>
      </c>
      <c r="D2578" s="39">
        <v>46008</v>
      </c>
      <c r="E2578" t="s">
        <v>274</v>
      </c>
      <c r="F2578" t="s">
        <v>79</v>
      </c>
      <c r="G2578">
        <v>28</v>
      </c>
      <c r="H2578" t="s">
        <v>944</v>
      </c>
      <c r="I2578" t="s">
        <v>79</v>
      </c>
      <c r="J2578">
        <v>500</v>
      </c>
      <c r="K2578" t="s">
        <v>79</v>
      </c>
      <c r="L2578">
        <v>3</v>
      </c>
      <c r="M2578">
        <v>162.18</v>
      </c>
      <c r="N2578">
        <v>8.3999999999999986</v>
      </c>
      <c r="Q2578">
        <v>153.78</v>
      </c>
      <c r="R2578" t="s">
        <v>1593</v>
      </c>
      <c r="S2578">
        <v>30</v>
      </c>
      <c r="V2578">
        <v>30</v>
      </c>
      <c r="W2578">
        <v>0.5</v>
      </c>
      <c r="AF2578">
        <v>0</v>
      </c>
      <c r="AG2578">
        <v>0</v>
      </c>
      <c r="AH2578">
        <v>0.5</v>
      </c>
      <c r="AI2578">
        <v>11.5</v>
      </c>
      <c r="AJ2578">
        <v>12</v>
      </c>
      <c r="AM2578">
        <v>0</v>
      </c>
      <c r="AN2578">
        <v>167.18</v>
      </c>
      <c r="AP2578">
        <v>51</v>
      </c>
      <c r="AQ2578">
        <v>51</v>
      </c>
    </row>
    <row r="2579" spans="1:43" x14ac:dyDescent="0.25">
      <c r="A2579" t="s">
        <v>46</v>
      </c>
      <c r="B2579">
        <v>4</v>
      </c>
      <c r="C2579" t="s">
        <v>1594</v>
      </c>
      <c r="D2579" s="39">
        <v>46008</v>
      </c>
      <c r="E2579" t="s">
        <v>276</v>
      </c>
      <c r="F2579" t="s">
        <v>79</v>
      </c>
      <c r="G2579">
        <v>20</v>
      </c>
      <c r="H2579" t="s">
        <v>113</v>
      </c>
      <c r="I2579" t="s">
        <v>79</v>
      </c>
      <c r="J2579">
        <v>1000</v>
      </c>
      <c r="K2579" t="s">
        <v>79</v>
      </c>
      <c r="L2579">
        <v>10</v>
      </c>
      <c r="M2579">
        <v>620.46999999999991</v>
      </c>
      <c r="N2579">
        <v>20</v>
      </c>
      <c r="Q2579">
        <v>600.46999999999991</v>
      </c>
      <c r="R2579" t="s">
        <v>1595</v>
      </c>
      <c r="V2579">
        <v>0</v>
      </c>
      <c r="W2579">
        <v>0</v>
      </c>
      <c r="AF2579">
        <v>0</v>
      </c>
      <c r="AG2579">
        <v>0</v>
      </c>
      <c r="AH2579">
        <v>0</v>
      </c>
      <c r="AI2579">
        <v>12</v>
      </c>
      <c r="AJ2579">
        <v>12</v>
      </c>
      <c r="AM2579">
        <v>0</v>
      </c>
      <c r="AN2579">
        <v>625.46999999999991</v>
      </c>
      <c r="AP2579">
        <v>51</v>
      </c>
      <c r="AQ2579">
        <v>51</v>
      </c>
    </row>
    <row r="2580" spans="1:43" x14ac:dyDescent="0.25">
      <c r="A2580" t="s">
        <v>45</v>
      </c>
      <c r="B2580">
        <v>5</v>
      </c>
      <c r="C2580" t="s">
        <v>1588</v>
      </c>
      <c r="D2580" s="39">
        <v>46008</v>
      </c>
      <c r="E2580" t="s">
        <v>486</v>
      </c>
      <c r="F2580" t="s">
        <v>79</v>
      </c>
      <c r="G2580">
        <v>9</v>
      </c>
      <c r="H2580" t="s">
        <v>113</v>
      </c>
      <c r="I2580" t="s">
        <v>79</v>
      </c>
      <c r="J2580">
        <v>1000</v>
      </c>
      <c r="K2580" t="s">
        <v>79</v>
      </c>
      <c r="L2580">
        <v>7</v>
      </c>
      <c r="M2580">
        <v>384.42</v>
      </c>
      <c r="N2580">
        <v>8.4</v>
      </c>
      <c r="Q2580">
        <v>376.02000000000004</v>
      </c>
      <c r="R2580" t="s">
        <v>1589</v>
      </c>
      <c r="S2580">
        <v>25</v>
      </c>
      <c r="V2580">
        <v>25</v>
      </c>
      <c r="W2580">
        <v>0.41666666666666674</v>
      </c>
      <c r="AF2580">
        <v>0</v>
      </c>
      <c r="AG2580">
        <v>0</v>
      </c>
      <c r="AH2580">
        <v>0.41666666666666674</v>
      </c>
      <c r="AI2580">
        <v>11.583333333333334</v>
      </c>
      <c r="AJ2580">
        <v>12</v>
      </c>
      <c r="AM2580">
        <v>0</v>
      </c>
      <c r="AN2580">
        <v>389.42</v>
      </c>
      <c r="AP2580">
        <v>51</v>
      </c>
      <c r="AQ2580">
        <v>51</v>
      </c>
    </row>
    <row r="2581" spans="1:43" x14ac:dyDescent="0.25">
      <c r="A2581" t="s">
        <v>45</v>
      </c>
      <c r="B2581">
        <v>5</v>
      </c>
      <c r="C2581" t="s">
        <v>1596</v>
      </c>
      <c r="D2581" s="39">
        <v>46008</v>
      </c>
      <c r="E2581" t="s">
        <v>1597</v>
      </c>
      <c r="F2581" t="s">
        <v>79</v>
      </c>
      <c r="G2581">
        <v>9</v>
      </c>
      <c r="H2581" t="s">
        <v>140</v>
      </c>
      <c r="I2581" t="s">
        <v>79</v>
      </c>
      <c r="J2581">
        <v>50</v>
      </c>
      <c r="K2581" t="s">
        <v>79</v>
      </c>
      <c r="L2581">
        <v>1</v>
      </c>
      <c r="M2581">
        <v>55.9</v>
      </c>
      <c r="N2581">
        <v>1.2</v>
      </c>
      <c r="Q2581">
        <v>54.699999999999996</v>
      </c>
      <c r="R2581" t="s">
        <v>1598</v>
      </c>
      <c r="V2581">
        <v>0</v>
      </c>
      <c r="W2581">
        <v>0</v>
      </c>
      <c r="AF2581">
        <v>0</v>
      </c>
      <c r="AG2581">
        <v>0</v>
      </c>
      <c r="AH2581">
        <v>0</v>
      </c>
      <c r="AI2581">
        <v>12</v>
      </c>
      <c r="AJ2581">
        <v>12</v>
      </c>
      <c r="AM2581">
        <v>0</v>
      </c>
      <c r="AN2581">
        <v>60.9</v>
      </c>
      <c r="AP2581">
        <v>51</v>
      </c>
      <c r="AQ2581">
        <v>51</v>
      </c>
    </row>
    <row r="2582" spans="1:43" x14ac:dyDescent="0.25">
      <c r="A2582" t="s">
        <v>46</v>
      </c>
      <c r="B2582">
        <v>5</v>
      </c>
      <c r="C2582" t="s">
        <v>1599</v>
      </c>
      <c r="D2582" s="39">
        <v>46008</v>
      </c>
      <c r="E2582" t="s">
        <v>1552</v>
      </c>
      <c r="F2582" t="s">
        <v>79</v>
      </c>
      <c r="G2582">
        <v>10</v>
      </c>
      <c r="H2582" t="s">
        <v>1049</v>
      </c>
      <c r="I2582" t="s">
        <v>79</v>
      </c>
      <c r="J2582">
        <v>100</v>
      </c>
      <c r="K2582" t="s">
        <v>79</v>
      </c>
      <c r="L2582">
        <v>8</v>
      </c>
      <c r="M2582">
        <v>368.61</v>
      </c>
      <c r="N2582">
        <v>8</v>
      </c>
      <c r="O2582">
        <v>15</v>
      </c>
      <c r="Q2582">
        <v>360.61</v>
      </c>
      <c r="R2582" t="s">
        <v>1600</v>
      </c>
      <c r="V2582">
        <v>0</v>
      </c>
      <c r="W2582">
        <v>0</v>
      </c>
      <c r="AF2582">
        <v>0</v>
      </c>
      <c r="AG2582">
        <v>0</v>
      </c>
      <c r="AH2582">
        <v>0</v>
      </c>
      <c r="AI2582">
        <v>12</v>
      </c>
      <c r="AJ2582">
        <v>12</v>
      </c>
      <c r="AM2582">
        <v>0</v>
      </c>
      <c r="AN2582">
        <v>373.61</v>
      </c>
      <c r="AP2582">
        <v>51</v>
      </c>
      <c r="AQ2582">
        <v>51</v>
      </c>
    </row>
    <row r="2583" spans="1:43" x14ac:dyDescent="0.25">
      <c r="A2583" t="s">
        <v>46</v>
      </c>
      <c r="B2583">
        <v>5</v>
      </c>
      <c r="C2583" t="s">
        <v>1601</v>
      </c>
      <c r="D2583" s="39">
        <v>46008</v>
      </c>
      <c r="E2583" t="s">
        <v>486</v>
      </c>
      <c r="F2583" t="s">
        <v>79</v>
      </c>
      <c r="G2583">
        <v>10</v>
      </c>
      <c r="H2583">
        <v>5</v>
      </c>
      <c r="I2583" t="s">
        <v>79</v>
      </c>
      <c r="J2583">
        <v>1500</v>
      </c>
      <c r="K2583" t="s">
        <v>79</v>
      </c>
      <c r="L2583">
        <v>2</v>
      </c>
      <c r="M2583">
        <v>114.28</v>
      </c>
      <c r="N2583">
        <v>2</v>
      </c>
      <c r="Q2583">
        <v>112.28</v>
      </c>
      <c r="R2583" t="s">
        <v>1772</v>
      </c>
      <c r="V2583">
        <v>0</v>
      </c>
      <c r="W2583">
        <v>0</v>
      </c>
      <c r="AF2583">
        <v>0</v>
      </c>
      <c r="AG2583">
        <v>0</v>
      </c>
      <c r="AH2583">
        <v>0</v>
      </c>
      <c r="AI2583">
        <v>12</v>
      </c>
      <c r="AJ2583">
        <v>12</v>
      </c>
      <c r="AM2583">
        <v>0</v>
      </c>
      <c r="AN2583">
        <v>119.28</v>
      </c>
      <c r="AP2583">
        <v>51</v>
      </c>
      <c r="AQ2583">
        <v>51</v>
      </c>
    </row>
    <row r="2584" spans="1:43" x14ac:dyDescent="0.25">
      <c r="A2584" t="s">
        <v>45</v>
      </c>
      <c r="B2584">
        <v>1</v>
      </c>
      <c r="C2584" t="s">
        <v>1584</v>
      </c>
      <c r="D2584" s="39">
        <v>46009</v>
      </c>
      <c r="E2584" t="s">
        <v>486</v>
      </c>
      <c r="F2584" t="s">
        <v>79</v>
      </c>
      <c r="G2584">
        <v>2.5</v>
      </c>
      <c r="H2584" t="s">
        <v>92</v>
      </c>
      <c r="I2584" t="s">
        <v>79</v>
      </c>
      <c r="J2584">
        <v>1500</v>
      </c>
      <c r="K2584" t="s">
        <v>79</v>
      </c>
      <c r="L2584">
        <v>9</v>
      </c>
      <c r="M2584">
        <v>130.81</v>
      </c>
      <c r="N2584">
        <v>1.8</v>
      </c>
      <c r="Q2584">
        <v>129.01</v>
      </c>
      <c r="R2584" t="s">
        <v>1636</v>
      </c>
      <c r="V2584">
        <v>0</v>
      </c>
      <c r="W2584">
        <v>0</v>
      </c>
      <c r="AF2584">
        <v>0</v>
      </c>
      <c r="AG2584">
        <v>0</v>
      </c>
      <c r="AH2584">
        <v>0</v>
      </c>
      <c r="AI2584">
        <v>12</v>
      </c>
      <c r="AJ2584">
        <v>12</v>
      </c>
      <c r="AM2584">
        <v>0</v>
      </c>
      <c r="AN2584">
        <v>135.81</v>
      </c>
      <c r="AP2584">
        <v>51</v>
      </c>
      <c r="AQ2584">
        <v>51</v>
      </c>
    </row>
    <row r="2585" spans="1:43" x14ac:dyDescent="0.25">
      <c r="A2585" t="s">
        <v>46</v>
      </c>
      <c r="B2585">
        <v>1</v>
      </c>
      <c r="C2585" t="s">
        <v>1584</v>
      </c>
      <c r="D2585" s="39">
        <v>46009</v>
      </c>
      <c r="E2585" t="s">
        <v>486</v>
      </c>
      <c r="F2585" t="s">
        <v>79</v>
      </c>
      <c r="G2585">
        <v>2.5</v>
      </c>
      <c r="H2585" t="s">
        <v>92</v>
      </c>
      <c r="I2585" t="s">
        <v>79</v>
      </c>
      <c r="J2585">
        <v>1500</v>
      </c>
      <c r="K2585" t="s">
        <v>79</v>
      </c>
      <c r="L2585">
        <v>10</v>
      </c>
      <c r="M2585">
        <v>135.29</v>
      </c>
      <c r="N2585">
        <v>2</v>
      </c>
      <c r="Q2585">
        <v>133.29</v>
      </c>
      <c r="R2585" t="s">
        <v>1636</v>
      </c>
      <c r="V2585">
        <v>0</v>
      </c>
      <c r="W2585">
        <v>0</v>
      </c>
      <c r="AF2585">
        <v>0</v>
      </c>
      <c r="AG2585">
        <v>0</v>
      </c>
      <c r="AH2585">
        <v>0</v>
      </c>
      <c r="AI2585">
        <v>12</v>
      </c>
      <c r="AJ2585">
        <v>12</v>
      </c>
      <c r="AM2585">
        <v>0</v>
      </c>
      <c r="AN2585">
        <v>140.29</v>
      </c>
      <c r="AP2585">
        <v>51</v>
      </c>
      <c r="AQ2585">
        <v>51</v>
      </c>
    </row>
    <row r="2586" spans="1:43" x14ac:dyDescent="0.25">
      <c r="A2586" t="s">
        <v>45</v>
      </c>
      <c r="B2586">
        <v>2</v>
      </c>
      <c r="C2586" t="s">
        <v>1590</v>
      </c>
      <c r="D2586" s="39">
        <v>46009</v>
      </c>
      <c r="E2586" t="s">
        <v>229</v>
      </c>
      <c r="F2586" t="s">
        <v>79</v>
      </c>
      <c r="G2586">
        <v>5</v>
      </c>
      <c r="H2586" t="s">
        <v>855</v>
      </c>
      <c r="I2586" t="s">
        <v>79</v>
      </c>
      <c r="J2586">
        <v>1200</v>
      </c>
      <c r="K2586" t="s">
        <v>79</v>
      </c>
      <c r="L2586">
        <v>11</v>
      </c>
      <c r="M2586">
        <v>240.26</v>
      </c>
      <c r="N2586">
        <v>5.5</v>
      </c>
      <c r="Q2586">
        <v>234.76</v>
      </c>
      <c r="R2586" t="s">
        <v>1591</v>
      </c>
      <c r="V2586">
        <v>0</v>
      </c>
      <c r="W2586">
        <v>0</v>
      </c>
      <c r="Z2586">
        <v>25</v>
      </c>
      <c r="AF2586">
        <v>25</v>
      </c>
      <c r="AG2586">
        <v>0.41666666666666674</v>
      </c>
      <c r="AH2586">
        <v>0.41666666666666674</v>
      </c>
      <c r="AI2586">
        <v>11.583333333333334</v>
      </c>
      <c r="AJ2586">
        <v>12</v>
      </c>
      <c r="AM2586">
        <v>0</v>
      </c>
      <c r="AN2586">
        <v>245.26</v>
      </c>
      <c r="AP2586">
        <v>51</v>
      </c>
      <c r="AQ2586">
        <v>51</v>
      </c>
    </row>
    <row r="2587" spans="1:43" x14ac:dyDescent="0.25">
      <c r="A2587" t="s">
        <v>46</v>
      </c>
      <c r="B2587">
        <v>2</v>
      </c>
      <c r="C2587" t="s">
        <v>1590</v>
      </c>
      <c r="D2587" s="39">
        <v>46009</v>
      </c>
      <c r="E2587" t="s">
        <v>229</v>
      </c>
      <c r="F2587" t="s">
        <v>79</v>
      </c>
      <c r="G2587">
        <v>5</v>
      </c>
      <c r="H2587" t="s">
        <v>855</v>
      </c>
      <c r="I2587" t="s">
        <v>79</v>
      </c>
      <c r="J2587">
        <v>1200</v>
      </c>
      <c r="K2587" t="s">
        <v>79</v>
      </c>
      <c r="L2587">
        <v>12</v>
      </c>
      <c r="M2587">
        <v>269.26</v>
      </c>
      <c r="N2587">
        <v>6</v>
      </c>
      <c r="Q2587">
        <v>263.26</v>
      </c>
      <c r="R2587" t="s">
        <v>1591</v>
      </c>
      <c r="V2587">
        <v>0</v>
      </c>
      <c r="W2587">
        <v>0</v>
      </c>
      <c r="AF2587">
        <v>0</v>
      </c>
      <c r="AG2587">
        <v>0</v>
      </c>
      <c r="AH2587">
        <v>0</v>
      </c>
      <c r="AI2587">
        <v>12</v>
      </c>
      <c r="AJ2587">
        <v>12</v>
      </c>
      <c r="AM2587">
        <v>0</v>
      </c>
      <c r="AN2587">
        <v>274.26</v>
      </c>
      <c r="AP2587">
        <v>51</v>
      </c>
      <c r="AQ2587">
        <v>51</v>
      </c>
    </row>
    <row r="2588" spans="1:43" x14ac:dyDescent="0.25">
      <c r="A2588" t="s">
        <v>45</v>
      </c>
      <c r="B2588">
        <v>4</v>
      </c>
      <c r="C2588" t="s">
        <v>1594</v>
      </c>
      <c r="D2588" s="39">
        <v>46009</v>
      </c>
      <c r="E2588" t="s">
        <v>276</v>
      </c>
      <c r="F2588" t="s">
        <v>79</v>
      </c>
      <c r="G2588">
        <v>20</v>
      </c>
      <c r="H2588" t="s">
        <v>113</v>
      </c>
      <c r="I2588" t="s">
        <v>79</v>
      </c>
      <c r="J2588">
        <v>1000</v>
      </c>
      <c r="K2588" t="s">
        <v>79</v>
      </c>
      <c r="L2588">
        <v>10</v>
      </c>
      <c r="M2588">
        <v>533.31000000000006</v>
      </c>
      <c r="N2588">
        <v>24.5</v>
      </c>
      <c r="Q2588">
        <v>508.81000000000006</v>
      </c>
      <c r="R2588" t="s">
        <v>1595</v>
      </c>
      <c r="V2588">
        <v>0</v>
      </c>
      <c r="W2588">
        <v>0</v>
      </c>
      <c r="AF2588">
        <v>0</v>
      </c>
      <c r="AG2588">
        <v>0</v>
      </c>
      <c r="AH2588">
        <v>0</v>
      </c>
      <c r="AI2588">
        <v>12</v>
      </c>
      <c r="AJ2588">
        <v>12</v>
      </c>
      <c r="AM2588">
        <v>0</v>
      </c>
      <c r="AN2588">
        <v>538.31000000000006</v>
      </c>
      <c r="AP2588">
        <v>51</v>
      </c>
      <c r="AQ2588">
        <v>51</v>
      </c>
    </row>
    <row r="2589" spans="1:43" x14ac:dyDescent="0.25">
      <c r="A2589" t="s">
        <v>45</v>
      </c>
      <c r="B2589">
        <v>4</v>
      </c>
      <c r="C2589" t="s">
        <v>1602</v>
      </c>
      <c r="D2589" s="39">
        <v>46009</v>
      </c>
      <c r="E2589" t="s">
        <v>200</v>
      </c>
      <c r="F2589" t="s">
        <v>79</v>
      </c>
      <c r="G2589">
        <v>20</v>
      </c>
      <c r="H2589" t="s">
        <v>944</v>
      </c>
      <c r="I2589" t="s">
        <v>79</v>
      </c>
      <c r="J2589">
        <v>750</v>
      </c>
      <c r="K2589" t="s">
        <v>79</v>
      </c>
      <c r="L2589">
        <v>4</v>
      </c>
      <c r="M2589">
        <v>232.26</v>
      </c>
      <c r="N2589">
        <v>9.6</v>
      </c>
      <c r="O2589">
        <v>22</v>
      </c>
      <c r="Q2589">
        <v>222.66</v>
      </c>
      <c r="R2589" t="s">
        <v>1603</v>
      </c>
      <c r="V2589">
        <v>0</v>
      </c>
      <c r="W2589">
        <v>0</v>
      </c>
      <c r="Z2589">
        <v>20</v>
      </c>
      <c r="AF2589">
        <v>20</v>
      </c>
      <c r="AG2589">
        <v>0.33333333333333331</v>
      </c>
      <c r="AH2589">
        <v>0.33333333333333331</v>
      </c>
      <c r="AI2589">
        <v>11.666666666666666</v>
      </c>
      <c r="AJ2589">
        <v>12</v>
      </c>
      <c r="AM2589">
        <v>0</v>
      </c>
      <c r="AN2589">
        <v>237.26</v>
      </c>
      <c r="AP2589">
        <v>51</v>
      </c>
      <c r="AQ2589">
        <v>51</v>
      </c>
    </row>
    <row r="2590" spans="1:43" x14ac:dyDescent="0.25">
      <c r="A2590" t="s">
        <v>46</v>
      </c>
      <c r="B2590">
        <v>4</v>
      </c>
      <c r="C2590" t="s">
        <v>1602</v>
      </c>
      <c r="D2590" s="39">
        <v>46009</v>
      </c>
      <c r="E2590" t="s">
        <v>200</v>
      </c>
      <c r="F2590" t="s">
        <v>79</v>
      </c>
      <c r="G2590">
        <v>20</v>
      </c>
      <c r="H2590" t="s">
        <v>944</v>
      </c>
      <c r="I2590" t="s">
        <v>79</v>
      </c>
      <c r="J2590">
        <v>750</v>
      </c>
      <c r="K2590" t="s">
        <v>79</v>
      </c>
      <c r="L2590">
        <v>10</v>
      </c>
      <c r="M2590">
        <v>556.2299999999999</v>
      </c>
      <c r="N2590">
        <v>24.5</v>
      </c>
      <c r="O2590">
        <v>24</v>
      </c>
      <c r="Q2590">
        <v>531.7299999999999</v>
      </c>
      <c r="R2590" t="s">
        <v>1603</v>
      </c>
      <c r="S2590">
        <v>30</v>
      </c>
      <c r="V2590">
        <v>30</v>
      </c>
      <c r="W2590">
        <v>0.5</v>
      </c>
      <c r="AF2590">
        <v>0</v>
      </c>
      <c r="AG2590">
        <v>0</v>
      </c>
      <c r="AH2590">
        <v>0.5</v>
      </c>
      <c r="AI2590">
        <v>11.5</v>
      </c>
      <c r="AJ2590">
        <v>12</v>
      </c>
      <c r="AM2590">
        <v>0</v>
      </c>
      <c r="AN2590">
        <v>561.2299999999999</v>
      </c>
      <c r="AP2590">
        <v>51</v>
      </c>
      <c r="AQ2590">
        <v>51</v>
      </c>
    </row>
    <row r="2591" spans="1:43" x14ac:dyDescent="0.25">
      <c r="A2591" t="s">
        <v>46</v>
      </c>
      <c r="B2591">
        <v>4</v>
      </c>
      <c r="C2591" t="s">
        <v>1604</v>
      </c>
      <c r="D2591" s="39">
        <v>46009</v>
      </c>
      <c r="E2591" t="s">
        <v>200</v>
      </c>
      <c r="F2591" t="s">
        <v>79</v>
      </c>
      <c r="G2591">
        <v>16</v>
      </c>
      <c r="H2591" t="s">
        <v>944</v>
      </c>
      <c r="I2591" t="s">
        <v>79</v>
      </c>
      <c r="J2591">
        <v>500</v>
      </c>
      <c r="K2591" t="s">
        <v>79</v>
      </c>
      <c r="L2591">
        <v>3</v>
      </c>
      <c r="M2591">
        <v>120.65</v>
      </c>
      <c r="N2591">
        <v>4.8000000000000007</v>
      </c>
      <c r="Q2591">
        <v>115.85000000000001</v>
      </c>
      <c r="R2591" t="s">
        <v>1605</v>
      </c>
      <c r="V2591">
        <v>0</v>
      </c>
      <c r="W2591">
        <v>0</v>
      </c>
      <c r="AF2591">
        <v>0</v>
      </c>
      <c r="AG2591">
        <v>0</v>
      </c>
      <c r="AH2591">
        <v>0</v>
      </c>
      <c r="AI2591">
        <v>12</v>
      </c>
      <c r="AJ2591">
        <v>12</v>
      </c>
      <c r="AM2591">
        <v>0</v>
      </c>
      <c r="AN2591">
        <v>125.65</v>
      </c>
      <c r="AP2591">
        <v>51</v>
      </c>
      <c r="AQ2591">
        <v>51</v>
      </c>
    </row>
    <row r="2592" spans="1:43" x14ac:dyDescent="0.25">
      <c r="A2592" t="s">
        <v>46</v>
      </c>
      <c r="B2592">
        <v>4</v>
      </c>
      <c r="C2592" t="s">
        <v>1606</v>
      </c>
      <c r="D2592" s="39">
        <v>46009</v>
      </c>
      <c r="E2592" t="s">
        <v>200</v>
      </c>
      <c r="F2592" t="s">
        <v>79</v>
      </c>
      <c r="G2592">
        <v>16</v>
      </c>
      <c r="H2592" t="s">
        <v>578</v>
      </c>
      <c r="I2592" t="s">
        <v>79</v>
      </c>
      <c r="J2592">
        <v>250</v>
      </c>
      <c r="K2592" t="s">
        <v>79</v>
      </c>
      <c r="L2592">
        <v>4</v>
      </c>
      <c r="M2592">
        <v>152.07999999999998</v>
      </c>
      <c r="N2592">
        <v>6.4</v>
      </c>
      <c r="Q2592">
        <v>145.67999999999998</v>
      </c>
      <c r="R2592" t="s">
        <v>1607</v>
      </c>
      <c r="V2592">
        <v>0</v>
      </c>
      <c r="W2592">
        <v>0</v>
      </c>
      <c r="AF2592">
        <v>0</v>
      </c>
      <c r="AG2592">
        <v>0</v>
      </c>
      <c r="AH2592">
        <v>0</v>
      </c>
      <c r="AI2592">
        <v>12</v>
      </c>
      <c r="AJ2592">
        <v>12</v>
      </c>
      <c r="AM2592">
        <v>0</v>
      </c>
      <c r="AN2592">
        <v>157.07999999999998</v>
      </c>
      <c r="AP2592">
        <v>51</v>
      </c>
      <c r="AQ2592">
        <v>51</v>
      </c>
    </row>
    <row r="2593" spans="1:43" x14ac:dyDescent="0.25">
      <c r="A2593" t="s">
        <v>45</v>
      </c>
      <c r="B2593">
        <v>5</v>
      </c>
      <c r="C2593" t="s">
        <v>1601</v>
      </c>
      <c r="D2593" s="39">
        <v>46009</v>
      </c>
      <c r="E2593" t="s">
        <v>486</v>
      </c>
      <c r="F2593" t="s">
        <v>79</v>
      </c>
      <c r="G2593">
        <v>10</v>
      </c>
      <c r="H2593">
        <v>5</v>
      </c>
      <c r="I2593" t="s">
        <v>79</v>
      </c>
      <c r="J2593">
        <v>1500</v>
      </c>
      <c r="K2593" t="s">
        <v>79</v>
      </c>
      <c r="L2593">
        <v>9</v>
      </c>
      <c r="M2593">
        <v>491.71</v>
      </c>
      <c r="N2593">
        <v>11.700000000000001</v>
      </c>
      <c r="O2593">
        <v>2.5</v>
      </c>
      <c r="Q2593">
        <v>480.01</v>
      </c>
      <c r="R2593" t="s">
        <v>1772</v>
      </c>
      <c r="V2593">
        <v>0</v>
      </c>
      <c r="W2593">
        <v>0</v>
      </c>
      <c r="AF2593">
        <v>0</v>
      </c>
      <c r="AG2593">
        <v>0</v>
      </c>
      <c r="AH2593">
        <v>0</v>
      </c>
      <c r="AI2593">
        <v>12</v>
      </c>
      <c r="AJ2593">
        <v>12</v>
      </c>
      <c r="AM2593">
        <v>0</v>
      </c>
      <c r="AN2593">
        <v>496.71</v>
      </c>
      <c r="AP2593">
        <v>51</v>
      </c>
      <c r="AQ2593">
        <v>51</v>
      </c>
    </row>
    <row r="2594" spans="1:43" x14ac:dyDescent="0.25">
      <c r="A2594" t="s">
        <v>46</v>
      </c>
      <c r="B2594">
        <v>5</v>
      </c>
      <c r="C2594" t="s">
        <v>1601</v>
      </c>
      <c r="D2594" s="39">
        <v>46009</v>
      </c>
      <c r="E2594" t="s">
        <v>486</v>
      </c>
      <c r="F2594" t="s">
        <v>79</v>
      </c>
      <c r="G2594">
        <v>10</v>
      </c>
      <c r="H2594">
        <v>5</v>
      </c>
      <c r="I2594" t="s">
        <v>79</v>
      </c>
      <c r="J2594">
        <v>1500</v>
      </c>
      <c r="K2594" t="s">
        <v>79</v>
      </c>
      <c r="L2594">
        <v>9</v>
      </c>
      <c r="M2594">
        <v>512.27</v>
      </c>
      <c r="N2594">
        <v>11.700000000000001</v>
      </c>
      <c r="O2594">
        <v>2.5</v>
      </c>
      <c r="Q2594">
        <v>500.57</v>
      </c>
      <c r="R2594" t="s">
        <v>1772</v>
      </c>
      <c r="V2594">
        <v>0</v>
      </c>
      <c r="W2594">
        <v>0</v>
      </c>
      <c r="AF2594">
        <v>0</v>
      </c>
      <c r="AG2594">
        <v>0</v>
      </c>
      <c r="AH2594">
        <v>0</v>
      </c>
      <c r="AI2594">
        <v>12</v>
      </c>
      <c r="AJ2594">
        <v>12</v>
      </c>
      <c r="AM2594">
        <v>0</v>
      </c>
      <c r="AN2594">
        <v>517.27</v>
      </c>
      <c r="AP2594">
        <v>51</v>
      </c>
      <c r="AQ2594">
        <v>51</v>
      </c>
    </row>
    <row r="2595" spans="1:43" x14ac:dyDescent="0.25">
      <c r="A2595" t="s">
        <v>45</v>
      </c>
      <c r="B2595">
        <v>1</v>
      </c>
      <c r="C2595" t="s">
        <v>1584</v>
      </c>
      <c r="D2595" s="39">
        <v>46010</v>
      </c>
      <c r="E2595" t="s">
        <v>486</v>
      </c>
      <c r="F2595" t="s">
        <v>79</v>
      </c>
      <c r="G2595">
        <v>2.5</v>
      </c>
      <c r="H2595" t="s">
        <v>92</v>
      </c>
      <c r="I2595" t="s">
        <v>79</v>
      </c>
      <c r="J2595">
        <v>1500</v>
      </c>
      <c r="K2595" t="s">
        <v>79</v>
      </c>
      <c r="L2595">
        <v>9</v>
      </c>
      <c r="M2595">
        <v>124.19</v>
      </c>
      <c r="N2595">
        <v>1.8</v>
      </c>
      <c r="Q2595">
        <v>122.39</v>
      </c>
      <c r="R2595" t="s">
        <v>1636</v>
      </c>
      <c r="V2595">
        <v>0</v>
      </c>
      <c r="W2595">
        <v>0</v>
      </c>
      <c r="AF2595">
        <v>0</v>
      </c>
      <c r="AG2595">
        <v>0</v>
      </c>
      <c r="AH2595">
        <v>0</v>
      </c>
      <c r="AI2595">
        <v>12</v>
      </c>
      <c r="AJ2595">
        <v>12</v>
      </c>
      <c r="AM2595">
        <v>0</v>
      </c>
      <c r="AN2595">
        <v>129.19</v>
      </c>
      <c r="AP2595">
        <v>51</v>
      </c>
      <c r="AQ2595">
        <v>51</v>
      </c>
    </row>
    <row r="2596" spans="1:43" x14ac:dyDescent="0.25">
      <c r="A2596" t="s">
        <v>46</v>
      </c>
      <c r="B2596">
        <v>1</v>
      </c>
      <c r="C2596" t="s">
        <v>1584</v>
      </c>
      <c r="D2596" s="39">
        <v>46010</v>
      </c>
      <c r="E2596" t="s">
        <v>486</v>
      </c>
      <c r="F2596" t="s">
        <v>79</v>
      </c>
      <c r="G2596">
        <v>2.5</v>
      </c>
      <c r="H2596" t="s">
        <v>92</v>
      </c>
      <c r="I2596" t="s">
        <v>79</v>
      </c>
      <c r="J2596">
        <v>1500</v>
      </c>
      <c r="K2596" t="s">
        <v>79</v>
      </c>
      <c r="L2596">
        <v>9</v>
      </c>
      <c r="M2596">
        <v>120.05000000000001</v>
      </c>
      <c r="N2596">
        <v>1.8</v>
      </c>
      <c r="Q2596">
        <v>118.25000000000001</v>
      </c>
      <c r="R2596" t="s">
        <v>1636</v>
      </c>
      <c r="V2596">
        <v>0</v>
      </c>
      <c r="W2596">
        <v>0</v>
      </c>
      <c r="AF2596">
        <v>0</v>
      </c>
      <c r="AG2596">
        <v>0</v>
      </c>
      <c r="AH2596">
        <v>0</v>
      </c>
      <c r="AI2596">
        <v>12</v>
      </c>
      <c r="AJ2596">
        <v>12</v>
      </c>
      <c r="AM2596">
        <v>0</v>
      </c>
      <c r="AN2596">
        <v>125.05</v>
      </c>
      <c r="AP2596">
        <v>51</v>
      </c>
      <c r="AQ2596">
        <v>51</v>
      </c>
    </row>
    <row r="2597" spans="1:43" x14ac:dyDescent="0.25">
      <c r="A2597" t="s">
        <v>45</v>
      </c>
      <c r="B2597">
        <v>2</v>
      </c>
      <c r="C2597" t="s">
        <v>1590</v>
      </c>
      <c r="D2597" s="39">
        <v>46010</v>
      </c>
      <c r="E2597" t="s">
        <v>229</v>
      </c>
      <c r="F2597" t="s">
        <v>79</v>
      </c>
      <c r="G2597">
        <v>5</v>
      </c>
      <c r="H2597" t="s">
        <v>855</v>
      </c>
      <c r="I2597" t="s">
        <v>79</v>
      </c>
      <c r="J2597">
        <v>1200</v>
      </c>
      <c r="K2597" t="s">
        <v>79</v>
      </c>
      <c r="L2597">
        <v>11</v>
      </c>
      <c r="M2597">
        <v>251.02999999999997</v>
      </c>
      <c r="N2597">
        <v>5.5</v>
      </c>
      <c r="Q2597">
        <v>245.52999999999997</v>
      </c>
      <c r="R2597" t="s">
        <v>1591</v>
      </c>
      <c r="V2597">
        <v>0</v>
      </c>
      <c r="W2597">
        <v>0</v>
      </c>
      <c r="AF2597">
        <v>0</v>
      </c>
      <c r="AG2597">
        <v>0</v>
      </c>
      <c r="AH2597">
        <v>0</v>
      </c>
      <c r="AI2597">
        <v>12</v>
      </c>
      <c r="AJ2597">
        <v>12</v>
      </c>
      <c r="AM2597">
        <v>0</v>
      </c>
      <c r="AN2597">
        <v>256.02999999999997</v>
      </c>
      <c r="AP2597">
        <v>51</v>
      </c>
      <c r="AQ2597">
        <v>51</v>
      </c>
    </row>
    <row r="2598" spans="1:43" x14ac:dyDescent="0.25">
      <c r="A2598" t="s">
        <v>46</v>
      </c>
      <c r="B2598">
        <v>2</v>
      </c>
      <c r="C2598" t="s">
        <v>1590</v>
      </c>
      <c r="D2598" s="39">
        <v>46010</v>
      </c>
      <c r="E2598" t="s">
        <v>229</v>
      </c>
      <c r="F2598" t="s">
        <v>79</v>
      </c>
      <c r="G2598">
        <v>5</v>
      </c>
      <c r="H2598" t="s">
        <v>855</v>
      </c>
      <c r="I2598" t="s">
        <v>79</v>
      </c>
      <c r="J2598">
        <v>1200</v>
      </c>
      <c r="K2598" t="s">
        <v>79</v>
      </c>
      <c r="L2598">
        <v>11</v>
      </c>
      <c r="M2598">
        <v>247.27999999999997</v>
      </c>
      <c r="N2598">
        <v>5.5</v>
      </c>
      <c r="Q2598">
        <v>241.77999999999997</v>
      </c>
      <c r="R2598" t="s">
        <v>1591</v>
      </c>
      <c r="V2598">
        <v>0</v>
      </c>
      <c r="W2598">
        <v>0</v>
      </c>
      <c r="AF2598">
        <v>0</v>
      </c>
      <c r="AG2598">
        <v>0</v>
      </c>
      <c r="AH2598">
        <v>0</v>
      </c>
      <c r="AI2598">
        <v>12</v>
      </c>
      <c r="AJ2598">
        <v>12</v>
      </c>
      <c r="AM2598">
        <v>0</v>
      </c>
      <c r="AN2598">
        <v>252.27999999999997</v>
      </c>
      <c r="AP2598">
        <v>51</v>
      </c>
      <c r="AQ2598">
        <v>51</v>
      </c>
    </row>
    <row r="2599" spans="1:43" x14ac:dyDescent="0.25">
      <c r="A2599" t="s">
        <v>45</v>
      </c>
      <c r="B2599">
        <v>4</v>
      </c>
      <c r="C2599" t="s">
        <v>1606</v>
      </c>
      <c r="D2599" s="39">
        <v>46010</v>
      </c>
      <c r="E2599" t="s">
        <v>200</v>
      </c>
      <c r="F2599" t="s">
        <v>79</v>
      </c>
      <c r="G2599">
        <v>16</v>
      </c>
      <c r="H2599" t="s">
        <v>578</v>
      </c>
      <c r="I2599" t="s">
        <v>79</v>
      </c>
      <c r="J2599">
        <v>250</v>
      </c>
      <c r="K2599" t="s">
        <v>79</v>
      </c>
      <c r="L2599">
        <v>2</v>
      </c>
      <c r="M2599">
        <v>118.35</v>
      </c>
      <c r="N2599">
        <v>3.9</v>
      </c>
      <c r="Q2599">
        <v>114.44999999999999</v>
      </c>
      <c r="R2599" t="s">
        <v>1607</v>
      </c>
      <c r="V2599">
        <v>0</v>
      </c>
      <c r="W2599">
        <v>0</v>
      </c>
      <c r="AF2599">
        <v>0</v>
      </c>
      <c r="AG2599">
        <v>0</v>
      </c>
      <c r="AH2599">
        <v>0</v>
      </c>
      <c r="AI2599">
        <v>12</v>
      </c>
      <c r="AJ2599">
        <v>12</v>
      </c>
      <c r="AM2599">
        <v>0</v>
      </c>
      <c r="AN2599">
        <v>123.35</v>
      </c>
      <c r="AP2599">
        <v>51</v>
      </c>
      <c r="AQ2599">
        <v>51</v>
      </c>
    </row>
    <row r="2600" spans="1:43" x14ac:dyDescent="0.25">
      <c r="A2600" t="s">
        <v>45</v>
      </c>
      <c r="B2600">
        <v>4</v>
      </c>
      <c r="C2600" t="s">
        <v>1604</v>
      </c>
      <c r="D2600" s="39">
        <v>46010</v>
      </c>
      <c r="E2600" t="s">
        <v>200</v>
      </c>
      <c r="F2600" t="s">
        <v>79</v>
      </c>
      <c r="G2600">
        <v>16</v>
      </c>
      <c r="H2600" t="s">
        <v>944</v>
      </c>
      <c r="I2600" t="s">
        <v>79</v>
      </c>
      <c r="J2600">
        <v>500</v>
      </c>
      <c r="K2600" t="s">
        <v>79</v>
      </c>
      <c r="L2600">
        <v>7</v>
      </c>
      <c r="M2600">
        <v>396.68</v>
      </c>
      <c r="N2600">
        <v>10.5</v>
      </c>
      <c r="Q2600">
        <v>386.18</v>
      </c>
      <c r="R2600" t="s">
        <v>1605</v>
      </c>
      <c r="V2600">
        <v>0</v>
      </c>
      <c r="W2600">
        <v>0</v>
      </c>
      <c r="AF2600">
        <v>0</v>
      </c>
      <c r="AG2600">
        <v>0</v>
      </c>
      <c r="AH2600">
        <v>0</v>
      </c>
      <c r="AI2600">
        <v>12</v>
      </c>
      <c r="AJ2600">
        <v>12</v>
      </c>
      <c r="AM2600">
        <v>0</v>
      </c>
      <c r="AN2600">
        <v>401.68</v>
      </c>
      <c r="AP2600">
        <v>51</v>
      </c>
      <c r="AQ2600">
        <v>51</v>
      </c>
    </row>
    <row r="2601" spans="1:43" x14ac:dyDescent="0.25">
      <c r="A2601" t="s">
        <v>45</v>
      </c>
      <c r="B2601">
        <v>4</v>
      </c>
      <c r="C2601" t="s">
        <v>1608</v>
      </c>
      <c r="D2601" s="39">
        <v>46010</v>
      </c>
      <c r="E2601" t="s">
        <v>276</v>
      </c>
      <c r="F2601" t="s">
        <v>79</v>
      </c>
      <c r="G2601">
        <v>16</v>
      </c>
      <c r="H2601" t="s">
        <v>113</v>
      </c>
      <c r="I2601" t="s">
        <v>79</v>
      </c>
      <c r="J2601">
        <v>1000</v>
      </c>
      <c r="K2601" t="s">
        <v>79</v>
      </c>
      <c r="L2601">
        <v>1</v>
      </c>
      <c r="M2601">
        <v>56.12</v>
      </c>
      <c r="N2601">
        <v>1.9</v>
      </c>
      <c r="Q2601">
        <v>54.22</v>
      </c>
      <c r="R2601" t="s">
        <v>1609</v>
      </c>
      <c r="V2601">
        <v>0</v>
      </c>
      <c r="W2601">
        <v>0</v>
      </c>
      <c r="AF2601">
        <v>0</v>
      </c>
      <c r="AG2601">
        <v>0</v>
      </c>
      <c r="AH2601">
        <v>0</v>
      </c>
      <c r="AI2601">
        <v>12</v>
      </c>
      <c r="AJ2601">
        <v>12</v>
      </c>
      <c r="AM2601">
        <v>0</v>
      </c>
      <c r="AN2601">
        <v>61.12</v>
      </c>
      <c r="AP2601">
        <v>51</v>
      </c>
      <c r="AQ2601">
        <v>51</v>
      </c>
    </row>
    <row r="2602" spans="1:43" x14ac:dyDescent="0.25">
      <c r="A2602" t="s">
        <v>45</v>
      </c>
      <c r="B2602">
        <v>4</v>
      </c>
      <c r="C2602" t="s">
        <v>1610</v>
      </c>
      <c r="D2602" s="39">
        <v>46010</v>
      </c>
      <c r="E2602" t="s">
        <v>308</v>
      </c>
      <c r="F2602" t="s">
        <v>79</v>
      </c>
      <c r="G2602">
        <v>16</v>
      </c>
      <c r="H2602" t="s">
        <v>144</v>
      </c>
      <c r="I2602" t="s">
        <v>79</v>
      </c>
      <c r="J2602">
        <v>100</v>
      </c>
      <c r="K2602" t="s">
        <v>79</v>
      </c>
      <c r="L2602">
        <v>2</v>
      </c>
      <c r="M2602">
        <v>105.07</v>
      </c>
      <c r="N2602">
        <v>3.8</v>
      </c>
      <c r="Q2602">
        <v>101.27</v>
      </c>
      <c r="R2602" t="s">
        <v>1611</v>
      </c>
      <c r="V2602">
        <v>0</v>
      </c>
      <c r="W2602">
        <v>0</v>
      </c>
      <c r="AF2602">
        <v>0</v>
      </c>
      <c r="AG2602">
        <v>0</v>
      </c>
      <c r="AH2602">
        <v>0</v>
      </c>
      <c r="AI2602">
        <v>12</v>
      </c>
      <c r="AJ2602">
        <v>12</v>
      </c>
      <c r="AM2602">
        <v>0</v>
      </c>
      <c r="AN2602">
        <v>110.07</v>
      </c>
      <c r="AP2602">
        <v>51</v>
      </c>
      <c r="AQ2602">
        <v>51</v>
      </c>
    </row>
    <row r="2603" spans="1:43" x14ac:dyDescent="0.25">
      <c r="A2603" t="s">
        <v>45</v>
      </c>
      <c r="B2603">
        <v>4</v>
      </c>
      <c r="C2603" t="s">
        <v>1612</v>
      </c>
      <c r="D2603" s="39">
        <v>46010</v>
      </c>
      <c r="E2603" t="s">
        <v>1613</v>
      </c>
      <c r="F2603" t="s">
        <v>79</v>
      </c>
      <c r="G2603">
        <v>16</v>
      </c>
      <c r="H2603" t="s">
        <v>113</v>
      </c>
      <c r="I2603" t="s">
        <v>79</v>
      </c>
      <c r="J2603">
        <v>100</v>
      </c>
      <c r="K2603" t="s">
        <v>79</v>
      </c>
      <c r="L2603">
        <v>2</v>
      </c>
      <c r="M2603">
        <v>103.49000000000001</v>
      </c>
      <c r="N2603">
        <v>2.78</v>
      </c>
      <c r="O2603">
        <v>23</v>
      </c>
      <c r="Q2603">
        <v>100.71000000000001</v>
      </c>
      <c r="R2603" t="s">
        <v>1614</v>
      </c>
      <c r="V2603">
        <v>0</v>
      </c>
      <c r="W2603">
        <v>0</v>
      </c>
      <c r="AF2603">
        <v>0</v>
      </c>
      <c r="AG2603">
        <v>0</v>
      </c>
      <c r="AH2603">
        <v>0</v>
      </c>
      <c r="AI2603">
        <v>12</v>
      </c>
      <c r="AJ2603">
        <v>12</v>
      </c>
      <c r="AM2603">
        <v>0</v>
      </c>
      <c r="AN2603">
        <v>108.49</v>
      </c>
      <c r="AP2603">
        <v>51</v>
      </c>
      <c r="AQ2603">
        <v>51</v>
      </c>
    </row>
    <row r="2604" spans="1:43" x14ac:dyDescent="0.25">
      <c r="A2604" t="s">
        <v>46</v>
      </c>
      <c r="B2604">
        <v>4</v>
      </c>
      <c r="C2604" t="s">
        <v>1608</v>
      </c>
      <c r="D2604" s="39">
        <v>46010</v>
      </c>
      <c r="E2604" t="s">
        <v>276</v>
      </c>
      <c r="F2604" t="s">
        <v>79</v>
      </c>
      <c r="G2604">
        <v>16</v>
      </c>
      <c r="H2604" t="s">
        <v>113</v>
      </c>
      <c r="I2604" t="s">
        <v>79</v>
      </c>
      <c r="J2604">
        <v>1000</v>
      </c>
      <c r="K2604" t="s">
        <v>79</v>
      </c>
      <c r="L2604">
        <v>12</v>
      </c>
      <c r="M2604">
        <v>719.15000000000009</v>
      </c>
      <c r="N2604">
        <v>19.200000000000003</v>
      </c>
      <c r="O2604">
        <v>24</v>
      </c>
      <c r="Q2604">
        <v>699.95</v>
      </c>
      <c r="R2604" t="s">
        <v>1609</v>
      </c>
      <c r="V2604">
        <v>0</v>
      </c>
      <c r="W2604">
        <v>0</v>
      </c>
      <c r="AF2604">
        <v>0</v>
      </c>
      <c r="AG2604">
        <v>0</v>
      </c>
      <c r="AH2604">
        <v>0</v>
      </c>
      <c r="AI2604">
        <v>12</v>
      </c>
      <c r="AJ2604">
        <v>12</v>
      </c>
      <c r="AM2604">
        <v>0</v>
      </c>
      <c r="AN2604">
        <v>724.1500000000002</v>
      </c>
      <c r="AP2604">
        <v>51</v>
      </c>
      <c r="AQ2604">
        <v>51</v>
      </c>
    </row>
    <row r="2605" spans="1:43" x14ac:dyDescent="0.25">
      <c r="A2605" t="s">
        <v>45</v>
      </c>
      <c r="B2605">
        <v>5</v>
      </c>
      <c r="C2605" t="s">
        <v>1601</v>
      </c>
      <c r="D2605" s="39">
        <v>46010</v>
      </c>
      <c r="E2605" t="s">
        <v>486</v>
      </c>
      <c r="F2605" t="s">
        <v>79</v>
      </c>
      <c r="G2605">
        <v>10</v>
      </c>
      <c r="H2605">
        <v>5</v>
      </c>
      <c r="I2605" t="s">
        <v>79</v>
      </c>
      <c r="J2605">
        <v>1500</v>
      </c>
      <c r="K2605" t="s">
        <v>79</v>
      </c>
      <c r="L2605">
        <v>10</v>
      </c>
      <c r="M2605">
        <v>578.49000000000012</v>
      </c>
      <c r="N2605">
        <v>12.5</v>
      </c>
      <c r="O2605">
        <v>2</v>
      </c>
      <c r="Q2605">
        <v>565.99000000000012</v>
      </c>
      <c r="R2605" t="s">
        <v>1772</v>
      </c>
      <c r="S2605">
        <v>15</v>
      </c>
      <c r="V2605">
        <v>15</v>
      </c>
      <c r="W2605">
        <v>0.25</v>
      </c>
      <c r="AF2605">
        <v>0</v>
      </c>
      <c r="AG2605">
        <v>0</v>
      </c>
      <c r="AH2605">
        <v>0.25</v>
      </c>
      <c r="AI2605">
        <v>11.75</v>
      </c>
      <c r="AJ2605">
        <v>12</v>
      </c>
      <c r="AM2605">
        <v>0</v>
      </c>
      <c r="AN2605">
        <v>583.49000000000012</v>
      </c>
      <c r="AP2605">
        <v>51</v>
      </c>
      <c r="AQ2605">
        <v>51</v>
      </c>
    </row>
    <row r="2606" spans="1:43" x14ac:dyDescent="0.25">
      <c r="A2606" t="s">
        <v>46</v>
      </c>
      <c r="B2606">
        <v>5</v>
      </c>
      <c r="C2606" t="s">
        <v>1615</v>
      </c>
      <c r="D2606" s="39">
        <v>46010</v>
      </c>
      <c r="E2606" t="s">
        <v>1616</v>
      </c>
      <c r="F2606" t="s">
        <v>79</v>
      </c>
      <c r="G2606">
        <v>15</v>
      </c>
      <c r="H2606" t="s">
        <v>1617</v>
      </c>
      <c r="I2606" t="s">
        <v>79</v>
      </c>
      <c r="J2606">
        <v>100</v>
      </c>
      <c r="K2606" t="s">
        <v>79</v>
      </c>
      <c r="L2606">
        <v>2</v>
      </c>
      <c r="M2606">
        <v>117.72</v>
      </c>
      <c r="N2606">
        <v>3</v>
      </c>
      <c r="O2606">
        <v>2</v>
      </c>
      <c r="Q2606">
        <v>114.72</v>
      </c>
      <c r="R2606" t="s">
        <v>1618</v>
      </c>
      <c r="V2606">
        <v>0</v>
      </c>
      <c r="W2606">
        <v>0</v>
      </c>
      <c r="AF2606">
        <v>0</v>
      </c>
      <c r="AG2606">
        <v>0</v>
      </c>
      <c r="AH2606">
        <v>0</v>
      </c>
      <c r="AI2606">
        <v>12</v>
      </c>
      <c r="AJ2606">
        <v>12</v>
      </c>
      <c r="AM2606">
        <v>0</v>
      </c>
      <c r="AN2606">
        <v>122.72</v>
      </c>
      <c r="AP2606">
        <v>51</v>
      </c>
      <c r="AQ2606">
        <v>51</v>
      </c>
    </row>
    <row r="2607" spans="1:43" x14ac:dyDescent="0.25">
      <c r="A2607" t="s">
        <v>46</v>
      </c>
      <c r="B2607">
        <v>5</v>
      </c>
      <c r="C2607" t="s">
        <v>1619</v>
      </c>
      <c r="D2607" s="39">
        <v>46010</v>
      </c>
      <c r="E2607" t="s">
        <v>200</v>
      </c>
      <c r="F2607" t="s">
        <v>79</v>
      </c>
      <c r="G2607">
        <v>14</v>
      </c>
      <c r="H2607" t="s">
        <v>578</v>
      </c>
      <c r="I2607" t="s">
        <v>79</v>
      </c>
      <c r="J2607">
        <v>250</v>
      </c>
      <c r="K2607" t="s">
        <v>79</v>
      </c>
      <c r="L2607">
        <v>3</v>
      </c>
      <c r="M2607">
        <v>155.69999999999999</v>
      </c>
      <c r="N2607">
        <v>4.1999999999999993</v>
      </c>
      <c r="Q2607">
        <v>151.5</v>
      </c>
      <c r="R2607" t="s">
        <v>1620</v>
      </c>
      <c r="V2607">
        <v>0</v>
      </c>
      <c r="W2607">
        <v>0</v>
      </c>
      <c r="AF2607">
        <v>0</v>
      </c>
      <c r="AG2607">
        <v>0</v>
      </c>
      <c r="AH2607">
        <v>0</v>
      </c>
      <c r="AI2607">
        <v>12</v>
      </c>
      <c r="AJ2607">
        <v>12</v>
      </c>
      <c r="AM2607">
        <v>0</v>
      </c>
      <c r="AN2607">
        <v>160.69999999999999</v>
      </c>
      <c r="AP2607">
        <v>51</v>
      </c>
      <c r="AQ2607">
        <v>51</v>
      </c>
    </row>
    <row r="2608" spans="1:43" x14ac:dyDescent="0.25">
      <c r="A2608" t="s">
        <v>46</v>
      </c>
      <c r="B2608">
        <v>5</v>
      </c>
      <c r="C2608" t="s">
        <v>1621</v>
      </c>
      <c r="D2608" s="39">
        <v>46010</v>
      </c>
      <c r="E2608" t="s">
        <v>243</v>
      </c>
      <c r="F2608" t="s">
        <v>79</v>
      </c>
      <c r="G2608">
        <v>15</v>
      </c>
      <c r="H2608" t="s">
        <v>93</v>
      </c>
      <c r="I2608" t="s">
        <v>79</v>
      </c>
      <c r="J2608">
        <v>100</v>
      </c>
      <c r="K2608" t="s">
        <v>79</v>
      </c>
      <c r="L2608">
        <v>2</v>
      </c>
      <c r="M2608">
        <v>112.50999999999999</v>
      </c>
      <c r="N2608">
        <v>1.4</v>
      </c>
      <c r="Q2608">
        <v>111.10999999999999</v>
      </c>
      <c r="R2608" t="s">
        <v>1622</v>
      </c>
      <c r="V2608">
        <v>0</v>
      </c>
      <c r="W2608">
        <v>0</v>
      </c>
      <c r="AF2608">
        <v>0</v>
      </c>
      <c r="AG2608">
        <v>0</v>
      </c>
      <c r="AH2608">
        <v>0</v>
      </c>
      <c r="AI2608">
        <v>12</v>
      </c>
      <c r="AJ2608">
        <v>12</v>
      </c>
      <c r="AM2608">
        <v>0</v>
      </c>
      <c r="AN2608">
        <v>117.51</v>
      </c>
      <c r="AP2608">
        <v>51</v>
      </c>
      <c r="AQ2608">
        <v>51</v>
      </c>
    </row>
    <row r="2609" spans="1:43" x14ac:dyDescent="0.25">
      <c r="A2609" t="s">
        <v>46</v>
      </c>
      <c r="B2609">
        <v>5</v>
      </c>
      <c r="C2609" t="s">
        <v>1623</v>
      </c>
      <c r="D2609" s="39">
        <v>46010</v>
      </c>
      <c r="E2609" t="s">
        <v>674</v>
      </c>
      <c r="F2609" t="s">
        <v>79</v>
      </c>
      <c r="G2609">
        <v>15</v>
      </c>
      <c r="H2609" t="s">
        <v>102</v>
      </c>
      <c r="I2609" t="s">
        <v>79</v>
      </c>
      <c r="J2609">
        <v>200</v>
      </c>
      <c r="K2609" t="s">
        <v>79</v>
      </c>
      <c r="L2609">
        <v>4</v>
      </c>
      <c r="M2609">
        <v>206.72</v>
      </c>
      <c r="N2609">
        <v>6</v>
      </c>
      <c r="Q2609">
        <v>200.72</v>
      </c>
      <c r="R2609" t="s">
        <v>1624</v>
      </c>
      <c r="S2609">
        <v>20</v>
      </c>
      <c r="V2609">
        <v>20</v>
      </c>
      <c r="W2609">
        <v>0.33333333333333331</v>
      </c>
      <c r="AF2609">
        <v>0</v>
      </c>
      <c r="AG2609">
        <v>0</v>
      </c>
      <c r="AH2609">
        <v>0.33333333333333331</v>
      </c>
      <c r="AI2609">
        <v>11.666666666666666</v>
      </c>
      <c r="AJ2609">
        <v>12</v>
      </c>
      <c r="AM2609">
        <v>0</v>
      </c>
      <c r="AN2609">
        <v>211.72</v>
      </c>
      <c r="AP2609">
        <v>51</v>
      </c>
      <c r="AQ2609">
        <v>51</v>
      </c>
    </row>
    <row r="2610" spans="1:43" x14ac:dyDescent="0.25">
      <c r="A2610" t="s">
        <v>45</v>
      </c>
      <c r="B2610">
        <v>1</v>
      </c>
      <c r="C2610" t="s">
        <v>1584</v>
      </c>
      <c r="D2610" s="39">
        <v>46011</v>
      </c>
      <c r="E2610" t="s">
        <v>486</v>
      </c>
      <c r="F2610" t="s">
        <v>79</v>
      </c>
      <c r="G2610">
        <v>2.5</v>
      </c>
      <c r="H2610" t="s">
        <v>92</v>
      </c>
      <c r="I2610" t="s">
        <v>79</v>
      </c>
      <c r="J2610">
        <v>1500</v>
      </c>
      <c r="K2610" t="s">
        <v>79</v>
      </c>
      <c r="L2610">
        <v>9</v>
      </c>
      <c r="M2610">
        <v>124.58999999999999</v>
      </c>
      <c r="N2610">
        <v>1.8</v>
      </c>
      <c r="Q2610">
        <v>122.78999999999999</v>
      </c>
      <c r="R2610" t="s">
        <v>1636</v>
      </c>
      <c r="V2610">
        <v>0</v>
      </c>
      <c r="W2610">
        <v>0</v>
      </c>
      <c r="AF2610">
        <v>0</v>
      </c>
      <c r="AG2610">
        <v>0</v>
      </c>
      <c r="AH2610">
        <v>0</v>
      </c>
      <c r="AI2610">
        <v>12</v>
      </c>
      <c r="AJ2610">
        <v>12</v>
      </c>
      <c r="AM2610">
        <v>0</v>
      </c>
      <c r="AN2610">
        <v>129.58999999999995</v>
      </c>
      <c r="AP2610">
        <v>51</v>
      </c>
      <c r="AQ2610">
        <v>51</v>
      </c>
    </row>
    <row r="2611" spans="1:43" x14ac:dyDescent="0.25">
      <c r="A2611" t="s">
        <v>46</v>
      </c>
      <c r="B2611">
        <v>1</v>
      </c>
      <c r="C2611" t="s">
        <v>1584</v>
      </c>
      <c r="D2611" s="39">
        <v>46011</v>
      </c>
      <c r="E2611" t="s">
        <v>486</v>
      </c>
      <c r="F2611" t="s">
        <v>79</v>
      </c>
      <c r="G2611">
        <v>2.5</v>
      </c>
      <c r="H2611" t="s">
        <v>92</v>
      </c>
      <c r="I2611" t="s">
        <v>79</v>
      </c>
      <c r="J2611">
        <v>1500</v>
      </c>
      <c r="K2611" t="s">
        <v>79</v>
      </c>
      <c r="L2611">
        <v>7</v>
      </c>
      <c r="M2611">
        <v>92.58</v>
      </c>
      <c r="N2611">
        <v>1.4000000000000001</v>
      </c>
      <c r="Q2611">
        <v>91.179999999999993</v>
      </c>
      <c r="R2611" t="s">
        <v>1636</v>
      </c>
      <c r="U2611">
        <v>120</v>
      </c>
      <c r="V2611">
        <v>120</v>
      </c>
      <c r="W2611">
        <v>2</v>
      </c>
      <c r="AF2611">
        <v>0</v>
      </c>
      <c r="AG2611">
        <v>0</v>
      </c>
      <c r="AH2611">
        <v>2</v>
      </c>
      <c r="AI2611">
        <v>10</v>
      </c>
      <c r="AJ2611">
        <v>12</v>
      </c>
      <c r="AM2611">
        <v>0</v>
      </c>
      <c r="AN2611">
        <v>97.58</v>
      </c>
      <c r="AP2611">
        <v>51</v>
      </c>
      <c r="AQ2611">
        <v>51</v>
      </c>
    </row>
    <row r="2612" spans="1:43" x14ac:dyDescent="0.25">
      <c r="A2612" t="s">
        <v>45</v>
      </c>
      <c r="B2612">
        <v>2</v>
      </c>
      <c r="C2612" t="s">
        <v>1590</v>
      </c>
      <c r="D2612" s="39">
        <v>46011</v>
      </c>
      <c r="E2612" t="s">
        <v>229</v>
      </c>
      <c r="F2612" t="s">
        <v>79</v>
      </c>
      <c r="G2612">
        <v>5</v>
      </c>
      <c r="H2612" t="s">
        <v>855</v>
      </c>
      <c r="I2612" t="s">
        <v>79</v>
      </c>
      <c r="J2612">
        <v>1200</v>
      </c>
      <c r="K2612" t="s">
        <v>79</v>
      </c>
      <c r="L2612">
        <v>10</v>
      </c>
      <c r="M2612">
        <v>223.32</v>
      </c>
      <c r="N2612">
        <v>5</v>
      </c>
      <c r="Q2612">
        <v>218.32</v>
      </c>
      <c r="R2612" t="s">
        <v>1591</v>
      </c>
      <c r="S2612">
        <v>15</v>
      </c>
      <c r="V2612">
        <v>15</v>
      </c>
      <c r="W2612">
        <v>0.25</v>
      </c>
      <c r="AF2612">
        <v>0</v>
      </c>
      <c r="AG2612">
        <v>0</v>
      </c>
      <c r="AH2612">
        <v>0.25</v>
      </c>
      <c r="AI2612">
        <v>11.75</v>
      </c>
      <c r="AJ2612">
        <v>12</v>
      </c>
      <c r="AM2612">
        <v>0</v>
      </c>
      <c r="AN2612">
        <v>228.32</v>
      </c>
      <c r="AP2612">
        <v>51</v>
      </c>
      <c r="AQ2612">
        <v>51</v>
      </c>
    </row>
    <row r="2613" spans="1:43" x14ac:dyDescent="0.25">
      <c r="A2613" t="s">
        <v>45</v>
      </c>
      <c r="B2613">
        <v>2</v>
      </c>
      <c r="C2613" t="s">
        <v>1625</v>
      </c>
      <c r="D2613" s="39">
        <v>46011</v>
      </c>
      <c r="E2613" t="s">
        <v>486</v>
      </c>
      <c r="F2613" t="s">
        <v>79</v>
      </c>
      <c r="G2613">
        <v>3</v>
      </c>
      <c r="H2613" t="s">
        <v>92</v>
      </c>
      <c r="I2613" t="s">
        <v>79</v>
      </c>
      <c r="J2613">
        <v>200</v>
      </c>
      <c r="K2613" t="s">
        <v>79</v>
      </c>
      <c r="L2613">
        <v>1</v>
      </c>
      <c r="M2613">
        <v>12.87</v>
      </c>
      <c r="N2613">
        <v>0.3</v>
      </c>
      <c r="Q2613">
        <v>12.569999999999999</v>
      </c>
      <c r="R2613" t="s">
        <v>1626</v>
      </c>
      <c r="V2613">
        <v>0</v>
      </c>
      <c r="W2613">
        <v>0</v>
      </c>
      <c r="AF2613">
        <v>0</v>
      </c>
      <c r="AG2613">
        <v>0</v>
      </c>
      <c r="AH2613">
        <v>0</v>
      </c>
      <c r="AI2613">
        <v>12</v>
      </c>
      <c r="AJ2613">
        <v>12</v>
      </c>
      <c r="AM2613">
        <v>0</v>
      </c>
      <c r="AN2613">
        <v>17.869999999999997</v>
      </c>
      <c r="AP2613">
        <v>51</v>
      </c>
      <c r="AQ2613">
        <v>51</v>
      </c>
    </row>
    <row r="2614" spans="1:43" x14ac:dyDescent="0.25">
      <c r="A2614" t="s">
        <v>46</v>
      </c>
      <c r="B2614">
        <v>2</v>
      </c>
      <c r="C2614" t="s">
        <v>1625</v>
      </c>
      <c r="D2614" s="39">
        <v>46011</v>
      </c>
      <c r="E2614" t="s">
        <v>486</v>
      </c>
      <c r="F2614" t="s">
        <v>79</v>
      </c>
      <c r="G2614">
        <v>3</v>
      </c>
      <c r="H2614" t="s">
        <v>92</v>
      </c>
      <c r="I2614" t="s">
        <v>79</v>
      </c>
      <c r="J2614">
        <v>200</v>
      </c>
      <c r="K2614" t="s">
        <v>79</v>
      </c>
      <c r="L2614">
        <v>7</v>
      </c>
      <c r="M2614">
        <v>97.71</v>
      </c>
      <c r="N2614">
        <v>2.1</v>
      </c>
      <c r="Q2614">
        <v>95.61</v>
      </c>
      <c r="R2614" t="s">
        <v>1626</v>
      </c>
      <c r="U2614">
        <v>120</v>
      </c>
      <c r="V2614">
        <v>120</v>
      </c>
      <c r="W2614">
        <v>2</v>
      </c>
      <c r="AF2614">
        <v>0</v>
      </c>
      <c r="AG2614">
        <v>0</v>
      </c>
      <c r="AH2614">
        <v>2</v>
      </c>
      <c r="AI2614">
        <v>10</v>
      </c>
      <c r="AJ2614">
        <v>12</v>
      </c>
      <c r="AM2614">
        <v>0</v>
      </c>
      <c r="AN2614">
        <v>102.71</v>
      </c>
      <c r="AP2614">
        <v>51</v>
      </c>
      <c r="AQ2614">
        <v>51</v>
      </c>
    </row>
    <row r="2615" spans="1:43" x14ac:dyDescent="0.25">
      <c r="A2615" t="s">
        <v>45</v>
      </c>
      <c r="B2615">
        <v>4</v>
      </c>
      <c r="C2615" t="s">
        <v>1608</v>
      </c>
      <c r="D2615" s="39">
        <v>46011</v>
      </c>
      <c r="E2615" t="s">
        <v>276</v>
      </c>
      <c r="F2615" t="s">
        <v>79</v>
      </c>
      <c r="G2615">
        <v>16</v>
      </c>
      <c r="H2615" t="s">
        <v>113</v>
      </c>
      <c r="I2615" t="s">
        <v>79</v>
      </c>
      <c r="J2615">
        <v>1000</v>
      </c>
      <c r="K2615" t="s">
        <v>79</v>
      </c>
      <c r="L2615">
        <v>8</v>
      </c>
      <c r="M2615">
        <v>433.74</v>
      </c>
      <c r="N2615">
        <v>15.2</v>
      </c>
      <c r="Q2615">
        <v>418.54</v>
      </c>
      <c r="R2615" t="s">
        <v>1609</v>
      </c>
      <c r="S2615">
        <v>25</v>
      </c>
      <c r="V2615">
        <v>25</v>
      </c>
      <c r="W2615">
        <v>0.41666666666666674</v>
      </c>
      <c r="AF2615">
        <v>0</v>
      </c>
      <c r="AG2615">
        <v>0</v>
      </c>
      <c r="AH2615">
        <v>0.41666666666666674</v>
      </c>
      <c r="AI2615">
        <v>11.583333333333334</v>
      </c>
      <c r="AJ2615">
        <v>12</v>
      </c>
      <c r="AM2615">
        <v>0</v>
      </c>
      <c r="AN2615">
        <v>438.74</v>
      </c>
      <c r="AP2615">
        <v>51</v>
      </c>
      <c r="AQ2615">
        <v>51</v>
      </c>
    </row>
    <row r="2616" spans="1:43" x14ac:dyDescent="0.25">
      <c r="A2616" t="s">
        <v>45</v>
      </c>
      <c r="B2616">
        <v>4</v>
      </c>
      <c r="C2616" t="s">
        <v>1627</v>
      </c>
      <c r="D2616" s="39">
        <v>46011</v>
      </c>
      <c r="E2616" t="s">
        <v>1628</v>
      </c>
      <c r="F2616" t="s">
        <v>79</v>
      </c>
      <c r="G2616">
        <v>10.5</v>
      </c>
      <c r="H2616" t="s">
        <v>696</v>
      </c>
      <c r="I2616" t="s">
        <v>79</v>
      </c>
      <c r="J2616">
        <v>450</v>
      </c>
      <c r="K2616" t="s">
        <v>79</v>
      </c>
      <c r="L2616">
        <v>6</v>
      </c>
      <c r="M2616">
        <v>147.59</v>
      </c>
      <c r="N2616">
        <v>4.8000000000000007</v>
      </c>
      <c r="O2616">
        <v>13</v>
      </c>
      <c r="Q2616">
        <v>142.79</v>
      </c>
      <c r="R2616" t="s">
        <v>1629</v>
      </c>
      <c r="V2616">
        <v>0</v>
      </c>
      <c r="W2616">
        <v>0</v>
      </c>
      <c r="AF2616">
        <v>0</v>
      </c>
      <c r="AG2616">
        <v>0</v>
      </c>
      <c r="AH2616">
        <v>0</v>
      </c>
      <c r="AI2616">
        <v>12</v>
      </c>
      <c r="AJ2616">
        <v>12</v>
      </c>
      <c r="AM2616">
        <v>0</v>
      </c>
      <c r="AN2616">
        <v>152.59</v>
      </c>
      <c r="AP2616">
        <v>51</v>
      </c>
      <c r="AQ2616">
        <v>51</v>
      </c>
    </row>
    <row r="2617" spans="1:43" x14ac:dyDescent="0.25">
      <c r="A2617" t="s">
        <v>46</v>
      </c>
      <c r="B2617">
        <v>4</v>
      </c>
      <c r="C2617" t="s">
        <v>1627</v>
      </c>
      <c r="D2617" s="39">
        <v>46011</v>
      </c>
      <c r="E2617" t="s">
        <v>1628</v>
      </c>
      <c r="F2617" t="s">
        <v>79</v>
      </c>
      <c r="G2617">
        <v>10.5</v>
      </c>
      <c r="H2617" t="s">
        <v>696</v>
      </c>
      <c r="I2617" t="s">
        <v>79</v>
      </c>
      <c r="J2617">
        <v>450</v>
      </c>
      <c r="K2617" t="s">
        <v>79</v>
      </c>
      <c r="L2617">
        <v>14</v>
      </c>
      <c r="M2617">
        <v>343.6</v>
      </c>
      <c r="N2617">
        <v>11.200000000000001</v>
      </c>
      <c r="O2617">
        <v>17</v>
      </c>
      <c r="Q2617">
        <v>332.40000000000003</v>
      </c>
      <c r="R2617" t="s">
        <v>1629</v>
      </c>
      <c r="U2617">
        <v>120</v>
      </c>
      <c r="V2617">
        <v>120</v>
      </c>
      <c r="W2617">
        <v>2</v>
      </c>
      <c r="AF2617">
        <v>0</v>
      </c>
      <c r="AG2617">
        <v>0</v>
      </c>
      <c r="AH2617">
        <v>2</v>
      </c>
      <c r="AI2617">
        <v>10</v>
      </c>
      <c r="AJ2617">
        <v>12</v>
      </c>
      <c r="AM2617">
        <v>0</v>
      </c>
      <c r="AN2617">
        <v>348.6</v>
      </c>
      <c r="AP2617">
        <v>51</v>
      </c>
      <c r="AQ2617">
        <v>51</v>
      </c>
    </row>
    <row r="2618" spans="1:43" x14ac:dyDescent="0.25">
      <c r="A2618" t="s">
        <v>45</v>
      </c>
      <c r="B2618">
        <v>5</v>
      </c>
      <c r="C2618" t="s">
        <v>1619</v>
      </c>
      <c r="D2618" s="39">
        <v>46011</v>
      </c>
      <c r="E2618" t="s">
        <v>200</v>
      </c>
      <c r="F2618" t="s">
        <v>79</v>
      </c>
      <c r="G2618">
        <v>14</v>
      </c>
      <c r="H2618" t="s">
        <v>578</v>
      </c>
      <c r="I2618" t="s">
        <v>79</v>
      </c>
      <c r="J2618">
        <v>250</v>
      </c>
      <c r="K2618" t="s">
        <v>79</v>
      </c>
      <c r="L2618">
        <v>3</v>
      </c>
      <c r="M2618">
        <v>112.25999999999999</v>
      </c>
      <c r="N2618">
        <v>5.0999999999999996</v>
      </c>
      <c r="Q2618">
        <v>107.16</v>
      </c>
      <c r="R2618" t="s">
        <v>1620</v>
      </c>
      <c r="V2618">
        <v>0</v>
      </c>
      <c r="W2618">
        <v>0</v>
      </c>
      <c r="AF2618">
        <v>0</v>
      </c>
      <c r="AG2618">
        <v>0</v>
      </c>
      <c r="AH2618">
        <v>0</v>
      </c>
      <c r="AI2618">
        <v>12</v>
      </c>
      <c r="AJ2618">
        <v>12</v>
      </c>
      <c r="AM2618">
        <v>0</v>
      </c>
      <c r="AN2618">
        <v>117.26</v>
      </c>
      <c r="AP2618">
        <v>51</v>
      </c>
      <c r="AQ2618">
        <v>51</v>
      </c>
    </row>
    <row r="2619" spans="1:43" x14ac:dyDescent="0.25">
      <c r="A2619" t="s">
        <v>45</v>
      </c>
      <c r="B2619">
        <v>5</v>
      </c>
      <c r="C2619" t="s">
        <v>1630</v>
      </c>
      <c r="D2619" s="39">
        <v>46011</v>
      </c>
      <c r="E2619" t="s">
        <v>1552</v>
      </c>
      <c r="F2619" t="s">
        <v>79</v>
      </c>
      <c r="G2619">
        <v>14</v>
      </c>
      <c r="H2619" t="s">
        <v>1049</v>
      </c>
      <c r="I2619" t="s">
        <v>79</v>
      </c>
      <c r="J2619">
        <v>100</v>
      </c>
      <c r="K2619" t="s">
        <v>79</v>
      </c>
      <c r="L2619">
        <v>4</v>
      </c>
      <c r="M2619">
        <v>214.23000000000002</v>
      </c>
      <c r="N2619">
        <v>7.2</v>
      </c>
      <c r="Q2619">
        <v>207.03000000000003</v>
      </c>
      <c r="R2619" t="s">
        <v>1631</v>
      </c>
      <c r="V2619">
        <v>0</v>
      </c>
      <c r="W2619">
        <v>0</v>
      </c>
      <c r="AF2619">
        <v>0</v>
      </c>
      <c r="AG2619">
        <v>0</v>
      </c>
      <c r="AH2619">
        <v>0</v>
      </c>
      <c r="AI2619">
        <v>12</v>
      </c>
      <c r="AJ2619">
        <v>12</v>
      </c>
      <c r="AM2619">
        <v>0</v>
      </c>
      <c r="AN2619">
        <v>219.23</v>
      </c>
      <c r="AP2619">
        <v>51</v>
      </c>
      <c r="AQ2619">
        <v>51</v>
      </c>
    </row>
    <row r="2620" spans="1:43" x14ac:dyDescent="0.25">
      <c r="A2620" t="s">
        <v>45</v>
      </c>
      <c r="B2620">
        <v>5</v>
      </c>
      <c r="C2620" t="s">
        <v>1632</v>
      </c>
      <c r="D2620" s="39">
        <v>46011</v>
      </c>
      <c r="E2620" t="s">
        <v>486</v>
      </c>
      <c r="F2620" t="s">
        <v>79</v>
      </c>
      <c r="G2620">
        <v>14</v>
      </c>
      <c r="H2620">
        <v>5</v>
      </c>
      <c r="I2620" t="s">
        <v>79</v>
      </c>
      <c r="J2620">
        <v>1500</v>
      </c>
      <c r="K2620" t="s">
        <v>79</v>
      </c>
      <c r="L2620">
        <v>2</v>
      </c>
      <c r="M2620">
        <v>118.44999999999999</v>
      </c>
      <c r="N2620">
        <v>3.6</v>
      </c>
      <c r="Q2620">
        <v>114.85</v>
      </c>
      <c r="R2620" t="s">
        <v>1637</v>
      </c>
      <c r="V2620">
        <v>0</v>
      </c>
      <c r="W2620">
        <v>0</v>
      </c>
      <c r="AF2620">
        <v>0</v>
      </c>
      <c r="AG2620">
        <v>0</v>
      </c>
      <c r="AH2620">
        <v>0</v>
      </c>
      <c r="AI2620">
        <v>12</v>
      </c>
      <c r="AJ2620">
        <v>12</v>
      </c>
      <c r="AM2620">
        <v>0</v>
      </c>
      <c r="AN2620">
        <v>123.45</v>
      </c>
      <c r="AP2620">
        <v>51</v>
      </c>
      <c r="AQ2620">
        <v>51</v>
      </c>
    </row>
    <row r="2621" spans="1:43" x14ac:dyDescent="0.25">
      <c r="A2621" t="s">
        <v>45</v>
      </c>
      <c r="B2621">
        <v>5</v>
      </c>
      <c r="C2621" t="s">
        <v>1633</v>
      </c>
      <c r="D2621" s="39">
        <v>46011</v>
      </c>
      <c r="E2621" t="s">
        <v>1616</v>
      </c>
      <c r="F2621" t="s">
        <v>79</v>
      </c>
      <c r="G2621">
        <v>14</v>
      </c>
      <c r="H2621" t="s">
        <v>1617</v>
      </c>
      <c r="I2621" t="s">
        <v>79</v>
      </c>
      <c r="J2621">
        <v>100</v>
      </c>
      <c r="K2621" t="s">
        <v>79</v>
      </c>
      <c r="L2621">
        <v>2</v>
      </c>
      <c r="M2621">
        <v>106.03</v>
      </c>
      <c r="N2621">
        <v>3.6</v>
      </c>
      <c r="Q2621">
        <v>102.43</v>
      </c>
      <c r="R2621" t="s">
        <v>1634</v>
      </c>
      <c r="V2621">
        <v>0</v>
      </c>
      <c r="W2621">
        <v>0</v>
      </c>
      <c r="AF2621">
        <v>0</v>
      </c>
      <c r="AG2621">
        <v>0</v>
      </c>
      <c r="AH2621">
        <v>0</v>
      </c>
      <c r="AI2621">
        <v>12</v>
      </c>
      <c r="AJ2621">
        <v>12</v>
      </c>
      <c r="AM2621">
        <v>0</v>
      </c>
      <c r="AN2621">
        <v>111.03</v>
      </c>
      <c r="AP2621">
        <v>51</v>
      </c>
      <c r="AQ2621">
        <v>51</v>
      </c>
    </row>
    <row r="2622" spans="1:43" x14ac:dyDescent="0.25">
      <c r="A2622" t="s">
        <v>46</v>
      </c>
      <c r="B2622">
        <v>5</v>
      </c>
      <c r="C2622" t="s">
        <v>1632</v>
      </c>
      <c r="D2622" s="39">
        <v>46011</v>
      </c>
      <c r="E2622" t="s">
        <v>486</v>
      </c>
      <c r="F2622" t="s">
        <v>79</v>
      </c>
      <c r="G2622">
        <v>14</v>
      </c>
      <c r="H2622">
        <v>5</v>
      </c>
      <c r="I2622" t="s">
        <v>79</v>
      </c>
      <c r="J2622">
        <v>1500</v>
      </c>
      <c r="K2622" t="s">
        <v>79</v>
      </c>
      <c r="L2622">
        <v>8</v>
      </c>
      <c r="M2622">
        <v>440.96999999999997</v>
      </c>
      <c r="N2622">
        <v>11.2</v>
      </c>
      <c r="Q2622">
        <v>429.77</v>
      </c>
      <c r="R2622" t="s">
        <v>1637</v>
      </c>
      <c r="U2622">
        <v>120</v>
      </c>
      <c r="V2622">
        <v>120</v>
      </c>
      <c r="W2622">
        <v>2</v>
      </c>
      <c r="AF2622">
        <v>0</v>
      </c>
      <c r="AG2622">
        <v>0</v>
      </c>
      <c r="AH2622">
        <v>2</v>
      </c>
      <c r="AI2622">
        <v>10</v>
      </c>
      <c r="AJ2622">
        <v>12</v>
      </c>
      <c r="AM2622">
        <v>0</v>
      </c>
      <c r="AN2622">
        <v>445.97</v>
      </c>
      <c r="AP2622">
        <v>51</v>
      </c>
      <c r="AQ2622">
        <v>51</v>
      </c>
    </row>
    <row r="2623" spans="1:43" x14ac:dyDescent="0.25">
      <c r="A2623" t="s">
        <v>45</v>
      </c>
      <c r="B2623">
        <v>1</v>
      </c>
      <c r="C2623" t="s">
        <v>1584</v>
      </c>
      <c r="D2623" s="39">
        <v>46014</v>
      </c>
      <c r="E2623" t="s">
        <v>486</v>
      </c>
      <c r="F2623" t="s">
        <v>79</v>
      </c>
      <c r="G2623">
        <v>2.5</v>
      </c>
      <c r="H2623" t="s">
        <v>92</v>
      </c>
      <c r="I2623" t="s">
        <v>79</v>
      </c>
      <c r="J2623">
        <v>1500</v>
      </c>
      <c r="K2623" t="s">
        <v>79</v>
      </c>
      <c r="L2623">
        <v>6</v>
      </c>
      <c r="M2623">
        <v>82.36</v>
      </c>
      <c r="N2623">
        <v>1.2000000000000002</v>
      </c>
      <c r="Q2623">
        <v>81.16</v>
      </c>
      <c r="R2623" t="s">
        <v>1636</v>
      </c>
      <c r="T2623">
        <v>180</v>
      </c>
      <c r="V2623">
        <v>180</v>
      </c>
      <c r="W2623">
        <v>3</v>
      </c>
      <c r="AF2623">
        <v>0</v>
      </c>
      <c r="AG2623">
        <v>0</v>
      </c>
      <c r="AH2623">
        <v>3</v>
      </c>
      <c r="AI2623">
        <v>9</v>
      </c>
      <c r="AJ2623">
        <v>12</v>
      </c>
      <c r="AM2623">
        <v>0</v>
      </c>
      <c r="AN2623">
        <v>87.36</v>
      </c>
      <c r="AP2623">
        <v>52</v>
      </c>
      <c r="AQ2623">
        <v>52</v>
      </c>
    </row>
    <row r="2624" spans="1:43" x14ac:dyDescent="0.25">
      <c r="A2624" t="s">
        <v>46</v>
      </c>
      <c r="B2624">
        <v>1</v>
      </c>
      <c r="C2624" t="s">
        <v>1584</v>
      </c>
      <c r="D2624" s="39">
        <v>46014</v>
      </c>
      <c r="E2624" t="s">
        <v>486</v>
      </c>
      <c r="F2624" t="s">
        <v>79</v>
      </c>
      <c r="G2624">
        <v>2.5</v>
      </c>
      <c r="H2624" t="s">
        <v>92</v>
      </c>
      <c r="I2624" t="s">
        <v>79</v>
      </c>
      <c r="J2624">
        <v>1500</v>
      </c>
      <c r="K2624" t="s">
        <v>79</v>
      </c>
      <c r="L2624">
        <v>8</v>
      </c>
      <c r="M2624">
        <v>110.19000000000001</v>
      </c>
      <c r="N2624">
        <v>1.6</v>
      </c>
      <c r="Q2624">
        <v>108.59000000000002</v>
      </c>
      <c r="R2624" t="s">
        <v>1636</v>
      </c>
      <c r="V2624">
        <v>0</v>
      </c>
      <c r="W2624">
        <v>0</v>
      </c>
      <c r="AF2624">
        <v>0</v>
      </c>
      <c r="AG2624">
        <v>0</v>
      </c>
      <c r="AH2624">
        <v>0</v>
      </c>
      <c r="AI2624">
        <v>12</v>
      </c>
      <c r="AJ2624">
        <v>12</v>
      </c>
      <c r="AM2624">
        <v>0</v>
      </c>
      <c r="AN2624">
        <v>115.19</v>
      </c>
      <c r="AP2624">
        <v>52</v>
      </c>
      <c r="AQ2624">
        <v>52</v>
      </c>
    </row>
    <row r="2625" spans="1:43" x14ac:dyDescent="0.25">
      <c r="A2625" t="s">
        <v>45</v>
      </c>
      <c r="B2625">
        <v>2</v>
      </c>
      <c r="C2625" t="s">
        <v>1638</v>
      </c>
      <c r="D2625" s="39">
        <v>46014</v>
      </c>
      <c r="E2625" t="s">
        <v>486</v>
      </c>
      <c r="F2625" t="s">
        <v>79</v>
      </c>
      <c r="G2625">
        <v>3</v>
      </c>
      <c r="H2625" t="s">
        <v>92</v>
      </c>
      <c r="I2625" t="s">
        <v>79</v>
      </c>
      <c r="J2625">
        <v>500</v>
      </c>
      <c r="K2625" t="s">
        <v>79</v>
      </c>
      <c r="L2625">
        <v>5</v>
      </c>
      <c r="M2625">
        <v>70.8</v>
      </c>
      <c r="N2625">
        <v>1.5</v>
      </c>
      <c r="Q2625">
        <v>69.3</v>
      </c>
      <c r="R2625" t="s">
        <v>1639</v>
      </c>
      <c r="T2625">
        <v>180</v>
      </c>
      <c r="V2625">
        <v>180</v>
      </c>
      <c r="W2625">
        <v>3</v>
      </c>
      <c r="AF2625">
        <v>0</v>
      </c>
      <c r="AG2625">
        <v>0</v>
      </c>
      <c r="AH2625">
        <v>3</v>
      </c>
      <c r="AI2625">
        <v>9</v>
      </c>
      <c r="AJ2625">
        <v>12</v>
      </c>
      <c r="AM2625">
        <v>0</v>
      </c>
      <c r="AN2625">
        <v>75.8</v>
      </c>
      <c r="AP2625">
        <v>52</v>
      </c>
      <c r="AQ2625">
        <v>52</v>
      </c>
    </row>
    <row r="2626" spans="1:43" x14ac:dyDescent="0.25">
      <c r="A2626" t="s">
        <v>46</v>
      </c>
      <c r="B2626">
        <v>2</v>
      </c>
      <c r="C2626" t="s">
        <v>1638</v>
      </c>
      <c r="D2626" s="39">
        <v>46014</v>
      </c>
      <c r="E2626" t="s">
        <v>486</v>
      </c>
      <c r="F2626" t="s">
        <v>79</v>
      </c>
      <c r="G2626">
        <v>3</v>
      </c>
      <c r="H2626" t="s">
        <v>92</v>
      </c>
      <c r="I2626" t="s">
        <v>79</v>
      </c>
      <c r="J2626">
        <v>500</v>
      </c>
      <c r="K2626" t="s">
        <v>79</v>
      </c>
      <c r="L2626">
        <v>9</v>
      </c>
      <c r="M2626">
        <v>130.89000000000001</v>
      </c>
      <c r="N2626">
        <v>2.6999999999999997</v>
      </c>
      <c r="Q2626">
        <v>128.19000000000003</v>
      </c>
      <c r="R2626" t="s">
        <v>1639</v>
      </c>
      <c r="V2626">
        <v>0</v>
      </c>
      <c r="W2626">
        <v>0</v>
      </c>
      <c r="AF2626">
        <v>0</v>
      </c>
      <c r="AG2626">
        <v>0</v>
      </c>
      <c r="AH2626">
        <v>0</v>
      </c>
      <c r="AI2626">
        <v>12</v>
      </c>
      <c r="AJ2626">
        <v>12</v>
      </c>
      <c r="AM2626">
        <v>0</v>
      </c>
      <c r="AN2626">
        <v>135.88999999999999</v>
      </c>
      <c r="AP2626">
        <v>52</v>
      </c>
      <c r="AQ2626">
        <v>52</v>
      </c>
    </row>
    <row r="2627" spans="1:43" x14ac:dyDescent="0.25">
      <c r="A2627" t="s">
        <v>45</v>
      </c>
      <c r="B2627">
        <v>4</v>
      </c>
      <c r="C2627" t="s">
        <v>1640</v>
      </c>
      <c r="D2627" s="39">
        <v>46014</v>
      </c>
      <c r="E2627" t="s">
        <v>674</v>
      </c>
      <c r="F2627" t="s">
        <v>79</v>
      </c>
      <c r="G2627">
        <v>23</v>
      </c>
      <c r="H2627" t="s">
        <v>102</v>
      </c>
      <c r="I2627" t="s">
        <v>79</v>
      </c>
      <c r="J2627">
        <v>125</v>
      </c>
      <c r="K2627" t="s">
        <v>79</v>
      </c>
      <c r="L2627">
        <v>3</v>
      </c>
      <c r="M2627">
        <v>142.72</v>
      </c>
      <c r="N2627">
        <v>9.3000000000000007</v>
      </c>
      <c r="Q2627">
        <v>133.41999999999999</v>
      </c>
      <c r="R2627" t="s">
        <v>1641</v>
      </c>
      <c r="S2627">
        <v>25</v>
      </c>
      <c r="T2627">
        <v>180</v>
      </c>
      <c r="V2627">
        <v>205</v>
      </c>
      <c r="W2627">
        <v>3.4166666666666665</v>
      </c>
      <c r="AD2627">
        <v>25</v>
      </c>
      <c r="AF2627">
        <v>25</v>
      </c>
      <c r="AG2627">
        <v>0.41666666666666674</v>
      </c>
      <c r="AH2627">
        <v>3.833333333333333</v>
      </c>
      <c r="AI2627">
        <v>8.1666666666666679</v>
      </c>
      <c r="AJ2627">
        <v>12</v>
      </c>
      <c r="AM2627">
        <v>0</v>
      </c>
      <c r="AN2627">
        <v>147.72</v>
      </c>
      <c r="AP2627">
        <v>52</v>
      </c>
      <c r="AQ2627">
        <v>52</v>
      </c>
    </row>
    <row r="2628" spans="1:43" x14ac:dyDescent="0.25">
      <c r="A2628" t="s">
        <v>45</v>
      </c>
      <c r="B2628">
        <v>4</v>
      </c>
      <c r="C2628" t="s">
        <v>1642</v>
      </c>
      <c r="D2628" s="39">
        <v>46014</v>
      </c>
      <c r="E2628" t="s">
        <v>243</v>
      </c>
      <c r="F2628" t="s">
        <v>79</v>
      </c>
      <c r="G2628">
        <v>22</v>
      </c>
      <c r="H2628" t="s">
        <v>93</v>
      </c>
      <c r="I2628" t="s">
        <v>79</v>
      </c>
      <c r="J2628">
        <v>100</v>
      </c>
      <c r="K2628" t="s">
        <v>79</v>
      </c>
      <c r="L2628">
        <v>2</v>
      </c>
      <c r="M2628">
        <v>117.67000000000002</v>
      </c>
      <c r="N2628">
        <v>4.4000000000000004</v>
      </c>
      <c r="Q2628">
        <v>113.27000000000001</v>
      </c>
      <c r="R2628" t="s">
        <v>1643</v>
      </c>
      <c r="T2628">
        <v>210</v>
      </c>
      <c r="V2628">
        <v>210</v>
      </c>
      <c r="W2628">
        <v>3.5</v>
      </c>
      <c r="AF2628">
        <v>0</v>
      </c>
      <c r="AG2628">
        <v>0</v>
      </c>
      <c r="AH2628">
        <v>3.5</v>
      </c>
      <c r="AI2628">
        <v>8.5</v>
      </c>
      <c r="AJ2628">
        <v>12</v>
      </c>
      <c r="AM2628">
        <v>0</v>
      </c>
      <c r="AN2628">
        <v>122.67000000000002</v>
      </c>
      <c r="AP2628">
        <v>52</v>
      </c>
      <c r="AQ2628">
        <v>52</v>
      </c>
    </row>
    <row r="2629" spans="1:43" x14ac:dyDescent="0.25">
      <c r="A2629" t="s">
        <v>45</v>
      </c>
      <c r="B2629">
        <v>4</v>
      </c>
      <c r="C2629" t="s">
        <v>1644</v>
      </c>
      <c r="D2629" s="39">
        <v>46014</v>
      </c>
      <c r="E2629" t="s">
        <v>200</v>
      </c>
      <c r="F2629" t="s">
        <v>79</v>
      </c>
      <c r="G2629">
        <v>22</v>
      </c>
      <c r="H2629" t="s">
        <v>944</v>
      </c>
      <c r="I2629" t="s">
        <v>79</v>
      </c>
      <c r="J2629">
        <v>250</v>
      </c>
      <c r="K2629" t="s">
        <v>79</v>
      </c>
      <c r="L2629">
        <v>5</v>
      </c>
      <c r="M2629">
        <v>238.77</v>
      </c>
      <c r="N2629">
        <v>11</v>
      </c>
      <c r="Q2629">
        <v>227.77</v>
      </c>
      <c r="R2629" t="s">
        <v>1645</v>
      </c>
      <c r="V2629">
        <v>0</v>
      </c>
      <c r="W2629">
        <v>0</v>
      </c>
      <c r="AF2629">
        <v>0</v>
      </c>
      <c r="AG2629">
        <v>0</v>
      </c>
      <c r="AH2629">
        <v>0</v>
      </c>
      <c r="AI2629">
        <v>12</v>
      </c>
      <c r="AJ2629">
        <v>12</v>
      </c>
      <c r="AM2629">
        <v>0</v>
      </c>
      <c r="AN2629">
        <v>243.77</v>
      </c>
      <c r="AP2629">
        <v>52</v>
      </c>
      <c r="AQ2629">
        <v>52</v>
      </c>
    </row>
    <row r="2630" spans="1:43" x14ac:dyDescent="0.25">
      <c r="A2630" t="s">
        <v>46</v>
      </c>
      <c r="B2630">
        <v>4</v>
      </c>
      <c r="C2630" t="s">
        <v>1644</v>
      </c>
      <c r="D2630" s="39">
        <v>46014</v>
      </c>
      <c r="E2630" t="s">
        <v>200</v>
      </c>
      <c r="F2630" t="s">
        <v>79</v>
      </c>
      <c r="G2630">
        <v>22</v>
      </c>
      <c r="H2630" t="s">
        <v>944</v>
      </c>
      <c r="I2630" t="s">
        <v>79</v>
      </c>
      <c r="J2630">
        <v>250</v>
      </c>
      <c r="K2630" t="s">
        <v>79</v>
      </c>
      <c r="L2630">
        <v>1</v>
      </c>
      <c r="M2630">
        <v>33</v>
      </c>
      <c r="N2630">
        <v>3.2</v>
      </c>
      <c r="Q2630">
        <v>29.8</v>
      </c>
      <c r="R2630" t="s">
        <v>1645</v>
      </c>
      <c r="S2630">
        <v>15</v>
      </c>
      <c r="V2630">
        <v>15</v>
      </c>
      <c r="W2630">
        <v>0.25</v>
      </c>
      <c r="AF2630">
        <v>0</v>
      </c>
      <c r="AG2630">
        <v>0</v>
      </c>
      <c r="AH2630">
        <v>0.25</v>
      </c>
      <c r="AI2630">
        <v>11.75</v>
      </c>
      <c r="AJ2630">
        <v>12</v>
      </c>
      <c r="AM2630">
        <v>0</v>
      </c>
      <c r="AN2630">
        <v>38</v>
      </c>
      <c r="AP2630">
        <v>52</v>
      </c>
      <c r="AQ2630">
        <v>52</v>
      </c>
    </row>
    <row r="2631" spans="1:43" x14ac:dyDescent="0.25">
      <c r="A2631" t="s">
        <v>46</v>
      </c>
      <c r="B2631">
        <v>4</v>
      </c>
      <c r="C2631" t="s">
        <v>1646</v>
      </c>
      <c r="D2631" s="39">
        <v>46014</v>
      </c>
      <c r="E2631" t="s">
        <v>1613</v>
      </c>
      <c r="F2631" t="s">
        <v>79</v>
      </c>
      <c r="G2631">
        <v>16</v>
      </c>
      <c r="H2631" t="s">
        <v>98</v>
      </c>
      <c r="I2631" t="s">
        <v>79</v>
      </c>
      <c r="J2631">
        <v>200</v>
      </c>
      <c r="K2631" t="s">
        <v>79</v>
      </c>
      <c r="L2631">
        <v>4</v>
      </c>
      <c r="M2631">
        <v>217.05</v>
      </c>
      <c r="N2631">
        <v>6.4</v>
      </c>
      <c r="Q2631">
        <v>210.65</v>
      </c>
      <c r="R2631" t="s">
        <v>1647</v>
      </c>
      <c r="S2631">
        <v>15</v>
      </c>
      <c r="V2631">
        <v>15</v>
      </c>
      <c r="W2631">
        <v>0.25</v>
      </c>
      <c r="AF2631">
        <v>0</v>
      </c>
      <c r="AG2631">
        <v>0</v>
      </c>
      <c r="AH2631">
        <v>0.25</v>
      </c>
      <c r="AI2631">
        <v>11.75</v>
      </c>
      <c r="AJ2631">
        <v>12</v>
      </c>
      <c r="AM2631">
        <v>0</v>
      </c>
      <c r="AN2631">
        <v>222.05</v>
      </c>
      <c r="AP2631">
        <v>52</v>
      </c>
      <c r="AQ2631">
        <v>52</v>
      </c>
    </row>
    <row r="2632" spans="1:43" x14ac:dyDescent="0.25">
      <c r="A2632" t="s">
        <v>46</v>
      </c>
      <c r="B2632">
        <v>4</v>
      </c>
      <c r="C2632" t="s">
        <v>1648</v>
      </c>
      <c r="D2632" s="39">
        <v>46014</v>
      </c>
      <c r="E2632" t="s">
        <v>200</v>
      </c>
      <c r="F2632" t="s">
        <v>79</v>
      </c>
      <c r="G2632">
        <v>26</v>
      </c>
      <c r="H2632" t="s">
        <v>578</v>
      </c>
      <c r="I2632" t="s">
        <v>79</v>
      </c>
      <c r="J2632">
        <v>100</v>
      </c>
      <c r="K2632" t="s">
        <v>79</v>
      </c>
      <c r="L2632">
        <v>2</v>
      </c>
      <c r="M2632">
        <v>108.38999999999999</v>
      </c>
      <c r="N2632">
        <v>4.2</v>
      </c>
      <c r="Q2632">
        <v>104.18999999999998</v>
      </c>
      <c r="R2632" t="s">
        <v>1649</v>
      </c>
      <c r="S2632">
        <v>20</v>
      </c>
      <c r="V2632">
        <v>20</v>
      </c>
      <c r="W2632">
        <v>0.33333333333333331</v>
      </c>
      <c r="AF2632">
        <v>0</v>
      </c>
      <c r="AG2632">
        <v>0</v>
      </c>
      <c r="AH2632">
        <v>0.33333333333333331</v>
      </c>
      <c r="AI2632">
        <v>11.666666666666666</v>
      </c>
      <c r="AJ2632">
        <v>12</v>
      </c>
      <c r="AM2632">
        <v>0</v>
      </c>
      <c r="AN2632">
        <v>113.39</v>
      </c>
      <c r="AP2632">
        <v>52</v>
      </c>
      <c r="AQ2632">
        <v>52</v>
      </c>
    </row>
    <row r="2633" spans="1:43" x14ac:dyDescent="0.25">
      <c r="A2633" t="s">
        <v>46</v>
      </c>
      <c r="B2633">
        <v>4</v>
      </c>
      <c r="C2633" t="s">
        <v>1650</v>
      </c>
      <c r="D2633" s="39">
        <v>46014</v>
      </c>
      <c r="E2633" t="s">
        <v>674</v>
      </c>
      <c r="F2633" t="s">
        <v>79</v>
      </c>
      <c r="G2633">
        <v>25</v>
      </c>
      <c r="H2633" t="s">
        <v>102</v>
      </c>
      <c r="I2633" t="s">
        <v>79</v>
      </c>
      <c r="J2633">
        <v>125</v>
      </c>
      <c r="K2633" t="s">
        <v>79</v>
      </c>
      <c r="L2633">
        <v>2</v>
      </c>
      <c r="M2633">
        <v>136.55000000000001</v>
      </c>
      <c r="N2633">
        <v>4.2</v>
      </c>
      <c r="Q2633">
        <v>132.35000000000002</v>
      </c>
      <c r="R2633" t="s">
        <v>1651</v>
      </c>
      <c r="S2633">
        <v>20</v>
      </c>
      <c r="V2633">
        <v>20</v>
      </c>
      <c r="W2633">
        <v>0.33333333333333331</v>
      </c>
      <c r="AF2633">
        <v>0</v>
      </c>
      <c r="AG2633">
        <v>0</v>
      </c>
      <c r="AH2633">
        <v>0.33333333333333331</v>
      </c>
      <c r="AI2633">
        <v>11.666666666666666</v>
      </c>
      <c r="AJ2633">
        <v>12</v>
      </c>
      <c r="AM2633">
        <v>0</v>
      </c>
      <c r="AN2633">
        <v>141.55000000000001</v>
      </c>
      <c r="AP2633">
        <v>52</v>
      </c>
      <c r="AQ2633">
        <v>52</v>
      </c>
    </row>
    <row r="2634" spans="1:43" x14ac:dyDescent="0.25">
      <c r="A2634" t="s">
        <v>46</v>
      </c>
      <c r="B2634">
        <v>4</v>
      </c>
      <c r="C2634" t="s">
        <v>1652</v>
      </c>
      <c r="D2634" s="39">
        <v>46014</v>
      </c>
      <c r="E2634" t="s">
        <v>1653</v>
      </c>
      <c r="F2634" t="s">
        <v>79</v>
      </c>
      <c r="G2634">
        <v>17</v>
      </c>
      <c r="H2634" t="s">
        <v>92</v>
      </c>
      <c r="I2634" t="s">
        <v>79</v>
      </c>
      <c r="J2634">
        <v>50</v>
      </c>
      <c r="K2634" t="s">
        <v>79</v>
      </c>
      <c r="L2634">
        <v>1</v>
      </c>
      <c r="M2634">
        <v>52.79</v>
      </c>
      <c r="N2634">
        <v>2</v>
      </c>
      <c r="Q2634">
        <v>50.79</v>
      </c>
      <c r="R2634" t="s">
        <v>1654</v>
      </c>
      <c r="V2634">
        <v>0</v>
      </c>
      <c r="W2634">
        <v>0</v>
      </c>
      <c r="AF2634">
        <v>0</v>
      </c>
      <c r="AG2634">
        <v>0</v>
      </c>
      <c r="AH2634">
        <v>0</v>
      </c>
      <c r="AI2634">
        <v>12</v>
      </c>
      <c r="AJ2634">
        <v>12</v>
      </c>
      <c r="AM2634">
        <v>0</v>
      </c>
      <c r="AN2634">
        <v>57.79</v>
      </c>
      <c r="AP2634">
        <v>52</v>
      </c>
      <c r="AQ2634">
        <v>52</v>
      </c>
    </row>
    <row r="2635" spans="1:43" x14ac:dyDescent="0.25">
      <c r="A2635" t="s">
        <v>46</v>
      </c>
      <c r="B2635">
        <v>4</v>
      </c>
      <c r="C2635" t="s">
        <v>1655</v>
      </c>
      <c r="D2635" s="39">
        <v>46014</v>
      </c>
      <c r="E2635" t="s">
        <v>1653</v>
      </c>
      <c r="F2635" t="s">
        <v>79</v>
      </c>
      <c r="G2635">
        <v>17</v>
      </c>
      <c r="H2635" t="s">
        <v>92</v>
      </c>
      <c r="I2635" t="s">
        <v>79</v>
      </c>
      <c r="J2635">
        <v>50</v>
      </c>
      <c r="K2635" t="s">
        <v>79</v>
      </c>
      <c r="L2635">
        <v>1</v>
      </c>
      <c r="M2635">
        <v>53.12</v>
      </c>
      <c r="N2635">
        <v>1.4</v>
      </c>
      <c r="Q2635">
        <v>51.72</v>
      </c>
      <c r="R2635" t="s">
        <v>1656</v>
      </c>
      <c r="V2635">
        <v>0</v>
      </c>
      <c r="W2635">
        <v>0</v>
      </c>
      <c r="AF2635">
        <v>0</v>
      </c>
      <c r="AG2635">
        <v>0</v>
      </c>
      <c r="AH2635">
        <v>0</v>
      </c>
      <c r="AI2635">
        <v>12</v>
      </c>
      <c r="AJ2635">
        <v>12</v>
      </c>
      <c r="AM2635">
        <v>0</v>
      </c>
      <c r="AN2635">
        <v>58.12</v>
      </c>
      <c r="AP2635">
        <v>52</v>
      </c>
      <c r="AQ2635">
        <v>52</v>
      </c>
    </row>
    <row r="2636" spans="1:43" x14ac:dyDescent="0.25">
      <c r="A2636" t="s">
        <v>46</v>
      </c>
      <c r="B2636">
        <v>4</v>
      </c>
      <c r="C2636" t="s">
        <v>1657</v>
      </c>
      <c r="D2636" s="39">
        <v>46014</v>
      </c>
      <c r="E2636" t="s">
        <v>1653</v>
      </c>
      <c r="F2636" t="s">
        <v>79</v>
      </c>
      <c r="G2636">
        <v>17</v>
      </c>
      <c r="H2636" t="s">
        <v>92</v>
      </c>
      <c r="I2636" t="s">
        <v>79</v>
      </c>
      <c r="J2636">
        <v>50</v>
      </c>
      <c r="K2636" t="s">
        <v>79</v>
      </c>
      <c r="L2636">
        <v>2</v>
      </c>
      <c r="M2636">
        <v>62.43</v>
      </c>
      <c r="N2636">
        <v>1.4</v>
      </c>
      <c r="Q2636">
        <v>61.03</v>
      </c>
      <c r="R2636" t="s">
        <v>1658</v>
      </c>
      <c r="V2636">
        <v>0</v>
      </c>
      <c r="W2636">
        <v>0</v>
      </c>
      <c r="AF2636">
        <v>0</v>
      </c>
      <c r="AG2636">
        <v>0</v>
      </c>
      <c r="AH2636">
        <v>0</v>
      </c>
      <c r="AI2636">
        <v>12</v>
      </c>
      <c r="AJ2636">
        <v>12</v>
      </c>
      <c r="AM2636">
        <v>0</v>
      </c>
      <c r="AN2636">
        <v>67.430000000000007</v>
      </c>
      <c r="AP2636">
        <v>52</v>
      </c>
      <c r="AQ2636">
        <v>52</v>
      </c>
    </row>
    <row r="2637" spans="1:43" x14ac:dyDescent="0.25">
      <c r="A2637" t="s">
        <v>45</v>
      </c>
      <c r="B2637">
        <v>5</v>
      </c>
      <c r="C2637" t="s">
        <v>1632</v>
      </c>
      <c r="D2637" s="39">
        <v>46014</v>
      </c>
      <c r="E2637" t="s">
        <v>486</v>
      </c>
      <c r="F2637" t="s">
        <v>79</v>
      </c>
      <c r="G2637">
        <v>14</v>
      </c>
      <c r="H2637">
        <v>5</v>
      </c>
      <c r="I2637" t="s">
        <v>79</v>
      </c>
      <c r="J2637">
        <v>1500</v>
      </c>
      <c r="K2637" t="s">
        <v>79</v>
      </c>
      <c r="L2637">
        <v>6</v>
      </c>
      <c r="M2637">
        <v>418.73999999999995</v>
      </c>
      <c r="N2637">
        <v>8.3999999999999986</v>
      </c>
      <c r="O2637">
        <v>14</v>
      </c>
      <c r="Q2637">
        <v>410.34</v>
      </c>
      <c r="R2637" t="s">
        <v>1637</v>
      </c>
      <c r="T2637">
        <v>210</v>
      </c>
      <c r="V2637">
        <v>210</v>
      </c>
      <c r="W2637">
        <v>3.5</v>
      </c>
      <c r="AD2637">
        <v>30</v>
      </c>
      <c r="AF2637">
        <v>30</v>
      </c>
      <c r="AG2637">
        <v>0.5</v>
      </c>
      <c r="AH2637">
        <v>4</v>
      </c>
      <c r="AI2637">
        <v>8</v>
      </c>
      <c r="AJ2637">
        <v>12</v>
      </c>
      <c r="AM2637">
        <v>0</v>
      </c>
      <c r="AN2637">
        <v>423.7399999999999</v>
      </c>
      <c r="AP2637">
        <v>52</v>
      </c>
      <c r="AQ2637">
        <v>52</v>
      </c>
    </row>
    <row r="2638" spans="1:43" x14ac:dyDescent="0.25">
      <c r="A2638" t="s">
        <v>46</v>
      </c>
      <c r="B2638">
        <v>5</v>
      </c>
      <c r="C2638" t="s">
        <v>1632</v>
      </c>
      <c r="D2638" s="39">
        <v>46014</v>
      </c>
      <c r="E2638" t="s">
        <v>486</v>
      </c>
      <c r="F2638" t="s">
        <v>79</v>
      </c>
      <c r="G2638">
        <v>14</v>
      </c>
      <c r="H2638">
        <v>5</v>
      </c>
      <c r="I2638" t="s">
        <v>79</v>
      </c>
      <c r="J2638">
        <v>1500</v>
      </c>
      <c r="K2638" t="s">
        <v>79</v>
      </c>
      <c r="L2638">
        <v>10</v>
      </c>
      <c r="M2638">
        <v>601.03000000000009</v>
      </c>
      <c r="N2638">
        <v>17</v>
      </c>
      <c r="O2638">
        <v>24</v>
      </c>
      <c r="Q2638">
        <v>584.03000000000009</v>
      </c>
      <c r="R2638" t="s">
        <v>1637</v>
      </c>
      <c r="V2638">
        <v>0</v>
      </c>
      <c r="W2638">
        <v>0</v>
      </c>
      <c r="AF2638">
        <v>0</v>
      </c>
      <c r="AG2638">
        <v>0</v>
      </c>
      <c r="AH2638">
        <v>0</v>
      </c>
      <c r="AI2638">
        <v>12</v>
      </c>
      <c r="AJ2638">
        <v>12</v>
      </c>
      <c r="AM2638">
        <v>0</v>
      </c>
      <c r="AN2638">
        <v>606.03000000000009</v>
      </c>
      <c r="AP2638">
        <v>52</v>
      </c>
      <c r="AQ2638">
        <v>52</v>
      </c>
    </row>
    <row r="2639" spans="1:43" x14ac:dyDescent="0.25">
      <c r="A2639" t="s">
        <v>45</v>
      </c>
      <c r="B2639">
        <v>1</v>
      </c>
      <c r="C2639" t="s">
        <v>1584</v>
      </c>
      <c r="D2639" s="39">
        <v>46015</v>
      </c>
      <c r="E2639" t="s">
        <v>486</v>
      </c>
      <c r="F2639" t="s">
        <v>79</v>
      </c>
      <c r="G2639">
        <v>2.5</v>
      </c>
      <c r="H2639" t="s">
        <v>92</v>
      </c>
      <c r="I2639" t="s">
        <v>79</v>
      </c>
      <c r="J2639">
        <v>1500</v>
      </c>
      <c r="K2639" t="s">
        <v>79</v>
      </c>
      <c r="L2639">
        <v>9</v>
      </c>
      <c r="M2639">
        <v>127.66000000000001</v>
      </c>
      <c r="N2639">
        <v>1.8</v>
      </c>
      <c r="Q2639">
        <v>125.86000000000001</v>
      </c>
      <c r="R2639" t="s">
        <v>1636</v>
      </c>
      <c r="V2639">
        <v>0</v>
      </c>
      <c r="W2639">
        <v>0</v>
      </c>
      <c r="AF2639">
        <v>0</v>
      </c>
      <c r="AG2639">
        <v>0</v>
      </c>
      <c r="AH2639">
        <v>0</v>
      </c>
      <c r="AI2639">
        <v>12</v>
      </c>
      <c r="AJ2639">
        <v>12</v>
      </c>
      <c r="AM2639">
        <v>0</v>
      </c>
      <c r="AN2639">
        <v>132.66000000000005</v>
      </c>
      <c r="AP2639">
        <v>52</v>
      </c>
      <c r="AQ2639">
        <v>52</v>
      </c>
    </row>
    <row r="2640" spans="1:43" x14ac:dyDescent="0.25">
      <c r="A2640" t="s">
        <v>46</v>
      </c>
      <c r="B2640">
        <v>1</v>
      </c>
      <c r="C2640" t="s">
        <v>1584</v>
      </c>
      <c r="D2640" s="39">
        <v>46015</v>
      </c>
      <c r="E2640" t="s">
        <v>486</v>
      </c>
      <c r="F2640" t="s">
        <v>79</v>
      </c>
      <c r="G2640">
        <v>2.5</v>
      </c>
      <c r="H2640" t="s">
        <v>92</v>
      </c>
      <c r="I2640" t="s">
        <v>79</v>
      </c>
      <c r="J2640">
        <v>1500</v>
      </c>
      <c r="K2640" t="s">
        <v>79</v>
      </c>
      <c r="L2640">
        <v>9</v>
      </c>
      <c r="M2640">
        <v>127.18000000000002</v>
      </c>
      <c r="N2640">
        <v>1.8</v>
      </c>
      <c r="Q2640">
        <v>125.38000000000002</v>
      </c>
      <c r="R2640" t="s">
        <v>1636</v>
      </c>
      <c r="V2640">
        <v>0</v>
      </c>
      <c r="W2640">
        <v>0</v>
      </c>
      <c r="AF2640">
        <v>0</v>
      </c>
      <c r="AG2640">
        <v>0</v>
      </c>
      <c r="AH2640">
        <v>0</v>
      </c>
      <c r="AI2640">
        <v>12</v>
      </c>
      <c r="AJ2640">
        <v>12</v>
      </c>
      <c r="AM2640">
        <v>0</v>
      </c>
      <c r="AN2640">
        <v>132.18</v>
      </c>
      <c r="AP2640">
        <v>52</v>
      </c>
      <c r="AQ2640">
        <v>52</v>
      </c>
    </row>
    <row r="2641" spans="1:43" x14ac:dyDescent="0.25">
      <c r="A2641" t="s">
        <v>45</v>
      </c>
      <c r="B2641">
        <v>2</v>
      </c>
      <c r="C2641" t="s">
        <v>1638</v>
      </c>
      <c r="D2641" s="39">
        <v>46015</v>
      </c>
      <c r="E2641" t="s">
        <v>486</v>
      </c>
      <c r="F2641" t="s">
        <v>79</v>
      </c>
      <c r="G2641">
        <v>3</v>
      </c>
      <c r="H2641" t="s">
        <v>92</v>
      </c>
      <c r="I2641" t="s">
        <v>79</v>
      </c>
      <c r="J2641">
        <v>500</v>
      </c>
      <c r="K2641" t="s">
        <v>79</v>
      </c>
      <c r="L2641">
        <v>10</v>
      </c>
      <c r="M2641">
        <v>142.53</v>
      </c>
      <c r="N2641">
        <v>3</v>
      </c>
      <c r="Q2641">
        <v>139.53</v>
      </c>
      <c r="R2641" t="s">
        <v>1639</v>
      </c>
      <c r="V2641">
        <v>0</v>
      </c>
      <c r="W2641">
        <v>0</v>
      </c>
      <c r="AF2641">
        <v>0</v>
      </c>
      <c r="AG2641">
        <v>0</v>
      </c>
      <c r="AH2641">
        <v>0</v>
      </c>
      <c r="AI2641">
        <v>12</v>
      </c>
      <c r="AJ2641">
        <v>12</v>
      </c>
      <c r="AM2641">
        <v>0</v>
      </c>
      <c r="AN2641">
        <v>147.53</v>
      </c>
      <c r="AP2641">
        <v>52</v>
      </c>
      <c r="AQ2641">
        <v>52</v>
      </c>
    </row>
    <row r="2642" spans="1:43" x14ac:dyDescent="0.25">
      <c r="A2642" t="s">
        <v>46</v>
      </c>
      <c r="B2642">
        <v>2</v>
      </c>
      <c r="C2642" t="s">
        <v>1638</v>
      </c>
      <c r="D2642" s="39">
        <v>46015</v>
      </c>
      <c r="E2642" t="s">
        <v>486</v>
      </c>
      <c r="F2642" t="s">
        <v>79</v>
      </c>
      <c r="G2642">
        <v>3</v>
      </c>
      <c r="H2642" t="s">
        <v>92</v>
      </c>
      <c r="I2642" t="s">
        <v>79</v>
      </c>
      <c r="J2642">
        <v>500</v>
      </c>
      <c r="K2642" t="s">
        <v>79</v>
      </c>
      <c r="L2642">
        <v>10</v>
      </c>
      <c r="M2642">
        <v>139.38</v>
      </c>
      <c r="N2642">
        <v>3</v>
      </c>
      <c r="Q2642">
        <v>136.38</v>
      </c>
      <c r="R2642" t="s">
        <v>1639</v>
      </c>
      <c r="V2642">
        <v>0</v>
      </c>
      <c r="W2642">
        <v>0</v>
      </c>
      <c r="AF2642">
        <v>0</v>
      </c>
      <c r="AG2642">
        <v>0</v>
      </c>
      <c r="AH2642">
        <v>0</v>
      </c>
      <c r="AI2642">
        <v>12</v>
      </c>
      <c r="AJ2642">
        <v>12</v>
      </c>
      <c r="AM2642">
        <v>0</v>
      </c>
      <c r="AN2642">
        <v>144.38</v>
      </c>
      <c r="AP2642">
        <v>52</v>
      </c>
      <c r="AQ2642">
        <v>52</v>
      </c>
    </row>
    <row r="2643" spans="1:43" x14ac:dyDescent="0.25">
      <c r="A2643" t="s">
        <v>45</v>
      </c>
      <c r="B2643">
        <v>4</v>
      </c>
      <c r="C2643" t="s">
        <v>1659</v>
      </c>
      <c r="D2643" s="39">
        <v>46015</v>
      </c>
      <c r="E2643" t="s">
        <v>674</v>
      </c>
      <c r="F2643" t="s">
        <v>79</v>
      </c>
      <c r="G2643">
        <v>17</v>
      </c>
      <c r="H2643" t="s">
        <v>102</v>
      </c>
      <c r="I2643" t="s">
        <v>79</v>
      </c>
      <c r="J2643">
        <v>200</v>
      </c>
      <c r="K2643" t="s">
        <v>79</v>
      </c>
      <c r="L2643">
        <v>7</v>
      </c>
      <c r="M2643">
        <v>422.81</v>
      </c>
      <c r="N2643">
        <v>11.9</v>
      </c>
      <c r="Q2643">
        <v>410.91</v>
      </c>
      <c r="R2643" t="s">
        <v>1660</v>
      </c>
      <c r="V2643">
        <v>0</v>
      </c>
      <c r="W2643">
        <v>0</v>
      </c>
      <c r="AF2643">
        <v>0</v>
      </c>
      <c r="AG2643">
        <v>0</v>
      </c>
      <c r="AH2643">
        <v>0</v>
      </c>
      <c r="AI2643">
        <v>12</v>
      </c>
      <c r="AJ2643">
        <v>12</v>
      </c>
      <c r="AM2643">
        <v>0</v>
      </c>
      <c r="AN2643">
        <v>427.81</v>
      </c>
      <c r="AP2643">
        <v>52</v>
      </c>
      <c r="AQ2643">
        <v>52</v>
      </c>
    </row>
    <row r="2644" spans="1:43" x14ac:dyDescent="0.25">
      <c r="A2644" t="s">
        <v>45</v>
      </c>
      <c r="B2644">
        <v>4</v>
      </c>
      <c r="C2644" t="s">
        <v>1556</v>
      </c>
      <c r="D2644" s="39">
        <v>46015</v>
      </c>
      <c r="E2644" t="s">
        <v>243</v>
      </c>
      <c r="F2644" t="s">
        <v>79</v>
      </c>
      <c r="G2644">
        <v>19</v>
      </c>
      <c r="H2644" t="s">
        <v>919</v>
      </c>
      <c r="I2644" t="s">
        <v>79</v>
      </c>
      <c r="J2644">
        <v>3000</v>
      </c>
      <c r="K2644" t="s">
        <v>79</v>
      </c>
      <c r="L2644">
        <v>8</v>
      </c>
      <c r="M2644">
        <v>363.83000000000004</v>
      </c>
      <c r="N2644">
        <v>15.2</v>
      </c>
      <c r="O2644">
        <v>31</v>
      </c>
      <c r="Q2644">
        <v>348.63000000000005</v>
      </c>
      <c r="R2644" t="s">
        <v>1635</v>
      </c>
      <c r="S2644">
        <v>60</v>
      </c>
      <c r="V2644">
        <v>60</v>
      </c>
      <c r="W2644">
        <v>1</v>
      </c>
      <c r="AF2644">
        <v>0</v>
      </c>
      <c r="AG2644">
        <v>0</v>
      </c>
      <c r="AH2644">
        <v>1</v>
      </c>
      <c r="AI2644">
        <v>11</v>
      </c>
      <c r="AJ2644">
        <v>12</v>
      </c>
      <c r="AM2644">
        <v>0</v>
      </c>
      <c r="AN2644">
        <v>368.83</v>
      </c>
      <c r="AP2644">
        <v>52</v>
      </c>
      <c r="AQ2644">
        <v>52</v>
      </c>
    </row>
    <row r="2645" spans="1:43" x14ac:dyDescent="0.25">
      <c r="A2645" t="s">
        <v>46</v>
      </c>
      <c r="B2645">
        <v>4</v>
      </c>
      <c r="C2645" t="s">
        <v>1556</v>
      </c>
      <c r="D2645" s="39">
        <v>46015</v>
      </c>
      <c r="E2645" t="s">
        <v>243</v>
      </c>
      <c r="F2645" t="s">
        <v>79</v>
      </c>
      <c r="G2645">
        <v>19</v>
      </c>
      <c r="H2645" t="s">
        <v>919</v>
      </c>
      <c r="I2645" t="s">
        <v>79</v>
      </c>
      <c r="J2645">
        <v>3000</v>
      </c>
      <c r="K2645" t="s">
        <v>79</v>
      </c>
      <c r="L2645">
        <v>24</v>
      </c>
      <c r="M2645">
        <v>1100.7699999999998</v>
      </c>
      <c r="N2645">
        <v>55.199999999999996</v>
      </c>
      <c r="O2645">
        <v>55</v>
      </c>
      <c r="Q2645">
        <v>1045.5699999999997</v>
      </c>
      <c r="R2645" t="s">
        <v>1635</v>
      </c>
      <c r="V2645">
        <v>0</v>
      </c>
      <c r="W2645">
        <v>0</v>
      </c>
      <c r="AF2645">
        <v>0</v>
      </c>
      <c r="AG2645">
        <v>0</v>
      </c>
      <c r="AH2645">
        <v>0</v>
      </c>
      <c r="AI2645">
        <v>12</v>
      </c>
      <c r="AJ2645">
        <v>12</v>
      </c>
      <c r="AM2645">
        <v>0</v>
      </c>
      <c r="AN2645">
        <v>1105.7699999999998</v>
      </c>
      <c r="AP2645">
        <v>52</v>
      </c>
      <c r="AQ2645">
        <v>52</v>
      </c>
    </row>
    <row r="2646" spans="1:43" x14ac:dyDescent="0.25">
      <c r="A2646" t="s">
        <v>45</v>
      </c>
      <c r="B2646">
        <v>5</v>
      </c>
      <c r="C2646" t="s">
        <v>1632</v>
      </c>
      <c r="D2646" s="39">
        <v>46015</v>
      </c>
      <c r="E2646" t="s">
        <v>486</v>
      </c>
      <c r="F2646" t="s">
        <v>79</v>
      </c>
      <c r="G2646">
        <v>14</v>
      </c>
      <c r="H2646">
        <v>5</v>
      </c>
      <c r="I2646" t="s">
        <v>79</v>
      </c>
      <c r="J2646">
        <v>1500</v>
      </c>
      <c r="K2646" t="s">
        <v>79</v>
      </c>
      <c r="L2646">
        <v>2</v>
      </c>
      <c r="M2646">
        <v>91.06</v>
      </c>
      <c r="N2646">
        <v>2.8</v>
      </c>
      <c r="Q2646">
        <v>88.26</v>
      </c>
      <c r="R2646" t="s">
        <v>1637</v>
      </c>
      <c r="S2646">
        <v>20</v>
      </c>
      <c r="V2646">
        <v>20</v>
      </c>
      <c r="W2646">
        <v>0.33333333333333331</v>
      </c>
      <c r="AF2646">
        <v>0</v>
      </c>
      <c r="AG2646">
        <v>0</v>
      </c>
      <c r="AH2646">
        <v>0.33333333333333331</v>
      </c>
      <c r="AI2646">
        <v>11.666666666666666</v>
      </c>
      <c r="AJ2646">
        <v>12</v>
      </c>
      <c r="AM2646">
        <v>0</v>
      </c>
      <c r="AN2646">
        <v>96.06</v>
      </c>
      <c r="AP2646">
        <v>52</v>
      </c>
      <c r="AQ2646">
        <v>52</v>
      </c>
    </row>
    <row r="2647" spans="1:43" x14ac:dyDescent="0.25">
      <c r="A2647" t="s">
        <v>45</v>
      </c>
      <c r="B2647">
        <v>5</v>
      </c>
      <c r="C2647" t="s">
        <v>1661</v>
      </c>
      <c r="D2647" s="39">
        <v>46015</v>
      </c>
      <c r="E2647" t="s">
        <v>486</v>
      </c>
      <c r="F2647" t="s">
        <v>79</v>
      </c>
      <c r="G2647">
        <v>12</v>
      </c>
      <c r="H2647">
        <v>5</v>
      </c>
      <c r="I2647" t="s">
        <v>79</v>
      </c>
      <c r="J2647">
        <v>1000</v>
      </c>
      <c r="K2647" t="s">
        <v>79</v>
      </c>
      <c r="L2647">
        <v>2</v>
      </c>
      <c r="M2647">
        <v>147.49</v>
      </c>
      <c r="N2647">
        <v>2.4</v>
      </c>
      <c r="Q2647">
        <v>145.09</v>
      </c>
      <c r="R2647" t="s">
        <v>1662</v>
      </c>
      <c r="V2647">
        <v>0</v>
      </c>
      <c r="W2647">
        <v>0</v>
      </c>
      <c r="AF2647">
        <v>0</v>
      </c>
      <c r="AG2647">
        <v>0</v>
      </c>
      <c r="AH2647">
        <v>0</v>
      </c>
      <c r="AI2647">
        <v>12</v>
      </c>
      <c r="AJ2647">
        <v>12</v>
      </c>
      <c r="AM2647">
        <v>0</v>
      </c>
      <c r="AN2647">
        <v>152.49</v>
      </c>
      <c r="AP2647">
        <v>52</v>
      </c>
      <c r="AQ2647">
        <v>52</v>
      </c>
    </row>
    <row r="2648" spans="1:43" x14ac:dyDescent="0.25">
      <c r="A2648" t="s">
        <v>45</v>
      </c>
      <c r="B2648">
        <v>5</v>
      </c>
      <c r="C2648" t="s">
        <v>1663</v>
      </c>
      <c r="D2648" s="39">
        <v>46015</v>
      </c>
      <c r="E2648" t="s">
        <v>200</v>
      </c>
      <c r="F2648" t="s">
        <v>79</v>
      </c>
      <c r="G2648">
        <v>12</v>
      </c>
      <c r="H2648" t="s">
        <v>578</v>
      </c>
      <c r="I2648" t="s">
        <v>79</v>
      </c>
      <c r="J2648">
        <v>250</v>
      </c>
      <c r="K2648" t="s">
        <v>79</v>
      </c>
      <c r="L2648">
        <v>5</v>
      </c>
      <c r="M2648">
        <v>278.35000000000002</v>
      </c>
      <c r="N2648">
        <v>6</v>
      </c>
      <c r="O2648">
        <v>4.5</v>
      </c>
      <c r="Q2648">
        <v>272.35000000000002</v>
      </c>
      <c r="R2648" t="s">
        <v>1664</v>
      </c>
      <c r="V2648">
        <v>0</v>
      </c>
      <c r="W2648">
        <v>0</v>
      </c>
      <c r="AF2648">
        <v>0</v>
      </c>
      <c r="AG2648">
        <v>0</v>
      </c>
      <c r="AH2648">
        <v>0</v>
      </c>
      <c r="AI2648">
        <v>12</v>
      </c>
      <c r="AJ2648">
        <v>12</v>
      </c>
      <c r="AM2648">
        <v>0</v>
      </c>
      <c r="AN2648">
        <v>283.35000000000002</v>
      </c>
      <c r="AP2648">
        <v>52</v>
      </c>
      <c r="AQ2648">
        <v>52</v>
      </c>
    </row>
    <row r="2649" spans="1:43" x14ac:dyDescent="0.25">
      <c r="A2649" t="s">
        <v>46</v>
      </c>
      <c r="B2649">
        <v>5</v>
      </c>
      <c r="C2649" t="s">
        <v>1661</v>
      </c>
      <c r="D2649" s="39">
        <v>46015</v>
      </c>
      <c r="E2649" t="s">
        <v>486</v>
      </c>
      <c r="F2649" t="s">
        <v>79</v>
      </c>
      <c r="G2649">
        <v>12</v>
      </c>
      <c r="H2649">
        <v>5</v>
      </c>
      <c r="I2649" t="s">
        <v>79</v>
      </c>
      <c r="J2649">
        <v>1000</v>
      </c>
      <c r="K2649" t="s">
        <v>79</v>
      </c>
      <c r="L2649">
        <v>9</v>
      </c>
      <c r="M2649">
        <v>552.11</v>
      </c>
      <c r="N2649">
        <v>11.700000000000001</v>
      </c>
      <c r="O2649">
        <v>4.5</v>
      </c>
      <c r="Q2649">
        <v>540.41</v>
      </c>
      <c r="R2649" t="s">
        <v>1662</v>
      </c>
      <c r="V2649">
        <v>0</v>
      </c>
      <c r="W2649">
        <v>0</v>
      </c>
      <c r="AF2649">
        <v>0</v>
      </c>
      <c r="AG2649">
        <v>0</v>
      </c>
      <c r="AH2649">
        <v>0</v>
      </c>
      <c r="AI2649">
        <v>12</v>
      </c>
      <c r="AJ2649">
        <v>12</v>
      </c>
      <c r="AM2649">
        <v>0</v>
      </c>
      <c r="AN2649">
        <v>557.11</v>
      </c>
      <c r="AP2649">
        <v>52</v>
      </c>
      <c r="AQ2649">
        <v>52</v>
      </c>
    </row>
    <row r="2650" spans="1:43" x14ac:dyDescent="0.25">
      <c r="A2650" t="s">
        <v>45</v>
      </c>
      <c r="B2650">
        <v>1</v>
      </c>
      <c r="C2650" t="s">
        <v>1584</v>
      </c>
      <c r="D2650" s="39">
        <v>46016</v>
      </c>
      <c r="E2650" t="s">
        <v>486</v>
      </c>
      <c r="F2650" t="s">
        <v>79</v>
      </c>
      <c r="G2650">
        <v>2.5</v>
      </c>
      <c r="H2650" t="s">
        <v>92</v>
      </c>
      <c r="I2650" t="s">
        <v>79</v>
      </c>
      <c r="J2650">
        <v>1500</v>
      </c>
      <c r="K2650" t="s">
        <v>79</v>
      </c>
      <c r="L2650">
        <v>7</v>
      </c>
      <c r="M2650">
        <v>93.26</v>
      </c>
      <c r="N2650">
        <v>1.4000000000000001</v>
      </c>
      <c r="Q2650">
        <v>91.86</v>
      </c>
      <c r="R2650" t="s">
        <v>1636</v>
      </c>
      <c r="S2650">
        <v>25</v>
      </c>
      <c r="V2650">
        <v>25</v>
      </c>
      <c r="W2650">
        <v>0.41666666666666674</v>
      </c>
      <c r="AF2650">
        <v>0</v>
      </c>
      <c r="AG2650">
        <v>0</v>
      </c>
      <c r="AH2650">
        <v>0.41666666666666674</v>
      </c>
      <c r="AI2650">
        <v>11.583333333333334</v>
      </c>
      <c r="AJ2650">
        <v>12</v>
      </c>
      <c r="AM2650">
        <v>0</v>
      </c>
      <c r="AN2650">
        <v>98.26</v>
      </c>
      <c r="AP2650">
        <v>52</v>
      </c>
      <c r="AQ2650">
        <v>52</v>
      </c>
    </row>
    <row r="2651" spans="1:43" x14ac:dyDescent="0.25">
      <c r="A2651" t="s">
        <v>46</v>
      </c>
      <c r="B2651">
        <v>1</v>
      </c>
      <c r="C2651" t="s">
        <v>1665</v>
      </c>
      <c r="D2651" s="39">
        <v>46016</v>
      </c>
      <c r="E2651" t="s">
        <v>486</v>
      </c>
      <c r="F2651" t="s">
        <v>79</v>
      </c>
      <c r="G2651">
        <v>4</v>
      </c>
      <c r="H2651" t="s">
        <v>113</v>
      </c>
      <c r="I2651" t="s">
        <v>79</v>
      </c>
      <c r="J2651">
        <v>1500</v>
      </c>
      <c r="K2651" t="s">
        <v>79</v>
      </c>
      <c r="L2651">
        <v>8</v>
      </c>
      <c r="M2651">
        <v>151.57</v>
      </c>
      <c r="N2651">
        <v>3.2</v>
      </c>
      <c r="Q2651">
        <v>148.37</v>
      </c>
      <c r="R2651" t="s">
        <v>1773</v>
      </c>
      <c r="V2651">
        <v>0</v>
      </c>
      <c r="W2651">
        <v>0</v>
      </c>
      <c r="AF2651">
        <v>0</v>
      </c>
      <c r="AG2651">
        <v>0</v>
      </c>
      <c r="AH2651">
        <v>0</v>
      </c>
      <c r="AI2651">
        <v>12</v>
      </c>
      <c r="AJ2651">
        <v>12</v>
      </c>
      <c r="AM2651">
        <v>0</v>
      </c>
      <c r="AN2651">
        <v>156.57</v>
      </c>
      <c r="AP2651">
        <v>52</v>
      </c>
      <c r="AQ2651">
        <v>52</v>
      </c>
    </row>
    <row r="2652" spans="1:43" x14ac:dyDescent="0.25">
      <c r="A2652" t="s">
        <v>45</v>
      </c>
      <c r="B2652">
        <v>2</v>
      </c>
      <c r="C2652" t="s">
        <v>1638</v>
      </c>
      <c r="D2652" s="39">
        <v>46016</v>
      </c>
      <c r="E2652" t="s">
        <v>486</v>
      </c>
      <c r="F2652" t="s">
        <v>79</v>
      </c>
      <c r="G2652">
        <v>3</v>
      </c>
      <c r="H2652" t="s">
        <v>92</v>
      </c>
      <c r="I2652" t="s">
        <v>79</v>
      </c>
      <c r="J2652">
        <v>500</v>
      </c>
      <c r="K2652" t="s">
        <v>79</v>
      </c>
      <c r="L2652">
        <v>10</v>
      </c>
      <c r="M2652">
        <v>141.14000000000001</v>
      </c>
      <c r="N2652">
        <v>3</v>
      </c>
      <c r="Q2652">
        <v>138.14000000000001</v>
      </c>
      <c r="R2652" t="s">
        <v>1639</v>
      </c>
      <c r="V2652">
        <v>0</v>
      </c>
      <c r="W2652">
        <v>0</v>
      </c>
      <c r="AF2652">
        <v>0</v>
      </c>
      <c r="AG2652">
        <v>0</v>
      </c>
      <c r="AH2652">
        <v>0</v>
      </c>
      <c r="AI2652">
        <v>12</v>
      </c>
      <c r="AJ2652">
        <v>12</v>
      </c>
      <c r="AM2652">
        <v>0</v>
      </c>
      <c r="AN2652">
        <v>146.13999999999999</v>
      </c>
      <c r="AP2652">
        <v>52</v>
      </c>
      <c r="AQ2652">
        <v>52</v>
      </c>
    </row>
    <row r="2653" spans="1:43" x14ac:dyDescent="0.25">
      <c r="A2653" t="s">
        <v>46</v>
      </c>
      <c r="B2653">
        <v>2</v>
      </c>
      <c r="C2653" t="s">
        <v>1638</v>
      </c>
      <c r="D2653" s="39">
        <v>46016</v>
      </c>
      <c r="E2653" t="s">
        <v>486</v>
      </c>
      <c r="F2653" t="s">
        <v>79</v>
      </c>
      <c r="G2653">
        <v>3</v>
      </c>
      <c r="H2653" t="s">
        <v>92</v>
      </c>
      <c r="I2653" t="s">
        <v>79</v>
      </c>
      <c r="J2653">
        <v>500</v>
      </c>
      <c r="K2653" t="s">
        <v>79</v>
      </c>
      <c r="L2653">
        <v>3</v>
      </c>
      <c r="M2653">
        <v>40.44</v>
      </c>
      <c r="N2653">
        <v>0.89999999999999991</v>
      </c>
      <c r="Q2653">
        <v>39.54</v>
      </c>
      <c r="R2653" t="s">
        <v>1639</v>
      </c>
      <c r="S2653">
        <v>30</v>
      </c>
      <c r="V2653">
        <v>30</v>
      </c>
      <c r="W2653">
        <v>0.5</v>
      </c>
      <c r="AF2653">
        <v>0</v>
      </c>
      <c r="AG2653">
        <v>0</v>
      </c>
      <c r="AH2653">
        <v>0.5</v>
      </c>
      <c r="AI2653">
        <v>11.5</v>
      </c>
      <c r="AJ2653">
        <v>12</v>
      </c>
      <c r="AM2653">
        <v>0</v>
      </c>
      <c r="AN2653">
        <v>45.44</v>
      </c>
      <c r="AP2653">
        <v>52</v>
      </c>
      <c r="AQ2653">
        <v>52</v>
      </c>
    </row>
    <row r="2654" spans="1:43" x14ac:dyDescent="0.25">
      <c r="A2654" t="s">
        <v>46</v>
      </c>
      <c r="B2654">
        <v>2</v>
      </c>
      <c r="C2654" t="s">
        <v>1666</v>
      </c>
      <c r="D2654" s="39">
        <v>46016</v>
      </c>
      <c r="E2654" t="s">
        <v>229</v>
      </c>
      <c r="F2654" t="s">
        <v>79</v>
      </c>
      <c r="G2654">
        <v>6</v>
      </c>
      <c r="H2654" t="s">
        <v>855</v>
      </c>
      <c r="I2654" t="s">
        <v>79</v>
      </c>
      <c r="J2654">
        <v>300</v>
      </c>
      <c r="K2654" t="s">
        <v>79</v>
      </c>
      <c r="L2654">
        <v>5</v>
      </c>
      <c r="M2654">
        <v>128.66</v>
      </c>
      <c r="N2654">
        <v>3</v>
      </c>
      <c r="Q2654">
        <v>125.66</v>
      </c>
      <c r="R2654" t="s">
        <v>1667</v>
      </c>
      <c r="V2654">
        <v>0</v>
      </c>
      <c r="W2654">
        <v>0</v>
      </c>
      <c r="AF2654">
        <v>0</v>
      </c>
      <c r="AG2654">
        <v>0</v>
      </c>
      <c r="AH2654">
        <v>0</v>
      </c>
      <c r="AI2654">
        <v>12</v>
      </c>
      <c r="AJ2654">
        <v>12</v>
      </c>
      <c r="AM2654">
        <v>0</v>
      </c>
      <c r="AN2654">
        <v>133.66</v>
      </c>
      <c r="AP2654">
        <v>52</v>
      </c>
      <c r="AQ2654">
        <v>52</v>
      </c>
    </row>
    <row r="2655" spans="1:43" x14ac:dyDescent="0.25">
      <c r="A2655" t="s">
        <v>45</v>
      </c>
      <c r="B2655">
        <v>4</v>
      </c>
      <c r="C2655" t="s">
        <v>1556</v>
      </c>
      <c r="D2655" s="39">
        <v>46016</v>
      </c>
      <c r="E2655" t="s">
        <v>243</v>
      </c>
      <c r="F2655" t="s">
        <v>79</v>
      </c>
      <c r="G2655">
        <v>19</v>
      </c>
      <c r="H2655" t="s">
        <v>919</v>
      </c>
      <c r="I2655" t="s">
        <v>79</v>
      </c>
      <c r="J2655">
        <v>3000</v>
      </c>
      <c r="K2655" t="s">
        <v>79</v>
      </c>
      <c r="L2655">
        <v>24</v>
      </c>
      <c r="M2655">
        <v>1038.05</v>
      </c>
      <c r="N2655">
        <v>36</v>
      </c>
      <c r="O2655">
        <v>38</v>
      </c>
      <c r="Q2655">
        <v>1002.05</v>
      </c>
      <c r="R2655" t="s">
        <v>1635</v>
      </c>
      <c r="V2655">
        <v>0</v>
      </c>
      <c r="W2655">
        <v>0</v>
      </c>
      <c r="AF2655">
        <v>0</v>
      </c>
      <c r="AG2655">
        <v>0</v>
      </c>
      <c r="AH2655">
        <v>0</v>
      </c>
      <c r="AI2655">
        <v>12</v>
      </c>
      <c r="AJ2655">
        <v>12</v>
      </c>
      <c r="AM2655">
        <v>0</v>
      </c>
      <c r="AN2655">
        <v>1043.05</v>
      </c>
      <c r="AP2655">
        <v>52</v>
      </c>
      <c r="AQ2655">
        <v>52</v>
      </c>
    </row>
    <row r="2656" spans="1:43" x14ac:dyDescent="0.25">
      <c r="A2656" t="s">
        <v>46</v>
      </c>
      <c r="B2656">
        <v>4</v>
      </c>
      <c r="C2656" t="s">
        <v>1556</v>
      </c>
      <c r="D2656" s="39">
        <v>46016</v>
      </c>
      <c r="E2656" t="s">
        <v>243</v>
      </c>
      <c r="F2656" t="s">
        <v>79</v>
      </c>
      <c r="G2656">
        <v>19</v>
      </c>
      <c r="H2656" t="s">
        <v>919</v>
      </c>
      <c r="I2656" t="s">
        <v>79</v>
      </c>
      <c r="J2656">
        <v>3000</v>
      </c>
      <c r="K2656" t="s">
        <v>79</v>
      </c>
      <c r="L2656">
        <v>13</v>
      </c>
      <c r="M2656">
        <v>596.85</v>
      </c>
      <c r="N2656">
        <v>24.7</v>
      </c>
      <c r="O2656">
        <v>78</v>
      </c>
      <c r="Q2656">
        <v>572.15</v>
      </c>
      <c r="R2656" t="s">
        <v>1635</v>
      </c>
      <c r="S2656">
        <v>25</v>
      </c>
      <c r="V2656">
        <v>25</v>
      </c>
      <c r="W2656">
        <v>0.41666666666666674</v>
      </c>
      <c r="AF2656">
        <v>0</v>
      </c>
      <c r="AG2656">
        <v>0</v>
      </c>
      <c r="AH2656">
        <v>0.41666666666666674</v>
      </c>
      <c r="AI2656">
        <v>11.583333333333334</v>
      </c>
      <c r="AJ2656">
        <v>12</v>
      </c>
      <c r="AM2656">
        <v>0</v>
      </c>
      <c r="AN2656">
        <v>601.85</v>
      </c>
      <c r="AP2656">
        <v>52</v>
      </c>
      <c r="AQ2656">
        <v>52</v>
      </c>
    </row>
    <row r="2657" spans="1:43" x14ac:dyDescent="0.25">
      <c r="A2657" t="s">
        <v>46</v>
      </c>
      <c r="B2657">
        <v>4</v>
      </c>
      <c r="C2657" t="s">
        <v>1668</v>
      </c>
      <c r="D2657" s="39">
        <v>46016</v>
      </c>
      <c r="E2657" t="s">
        <v>276</v>
      </c>
      <c r="F2657" t="s">
        <v>79</v>
      </c>
      <c r="G2657">
        <v>24</v>
      </c>
      <c r="H2657" t="s">
        <v>113</v>
      </c>
      <c r="I2657" t="s">
        <v>79</v>
      </c>
      <c r="J2657">
        <v>1000</v>
      </c>
      <c r="K2657" t="s">
        <v>79</v>
      </c>
      <c r="L2657">
        <v>5</v>
      </c>
      <c r="M2657">
        <v>313.39999999999998</v>
      </c>
      <c r="N2657">
        <v>16</v>
      </c>
      <c r="Q2657">
        <v>297.39999999999998</v>
      </c>
      <c r="R2657" t="s">
        <v>1669</v>
      </c>
      <c r="V2657">
        <v>0</v>
      </c>
      <c r="W2657">
        <v>0</v>
      </c>
      <c r="AF2657">
        <v>0</v>
      </c>
      <c r="AG2657">
        <v>0</v>
      </c>
      <c r="AH2657">
        <v>0</v>
      </c>
      <c r="AI2657">
        <v>12</v>
      </c>
      <c r="AJ2657">
        <v>12</v>
      </c>
      <c r="AM2657">
        <v>0</v>
      </c>
      <c r="AN2657">
        <v>318.39999999999998</v>
      </c>
      <c r="AP2657">
        <v>52</v>
      </c>
      <c r="AQ2657">
        <v>52</v>
      </c>
    </row>
    <row r="2658" spans="1:43" x14ac:dyDescent="0.25">
      <c r="A2658" t="s">
        <v>45</v>
      </c>
      <c r="B2658">
        <v>5</v>
      </c>
      <c r="C2658" t="s">
        <v>1661</v>
      </c>
      <c r="D2658" s="39">
        <v>46016</v>
      </c>
      <c r="E2658" t="s">
        <v>486</v>
      </c>
      <c r="F2658" t="s">
        <v>79</v>
      </c>
      <c r="G2658">
        <v>12</v>
      </c>
      <c r="H2658">
        <v>5</v>
      </c>
      <c r="I2658" t="s">
        <v>79</v>
      </c>
      <c r="J2658">
        <v>1000</v>
      </c>
      <c r="K2658" t="s">
        <v>79</v>
      </c>
      <c r="L2658">
        <v>10</v>
      </c>
      <c r="M2658">
        <v>611.24000000000012</v>
      </c>
      <c r="N2658">
        <v>13</v>
      </c>
      <c r="O2658">
        <v>1</v>
      </c>
      <c r="Q2658">
        <v>598.24000000000012</v>
      </c>
      <c r="R2658" t="s">
        <v>1662</v>
      </c>
      <c r="V2658">
        <v>0</v>
      </c>
      <c r="W2658">
        <v>0</v>
      </c>
      <c r="AF2658">
        <v>0</v>
      </c>
      <c r="AG2658">
        <v>0</v>
      </c>
      <c r="AH2658">
        <v>0</v>
      </c>
      <c r="AI2658">
        <v>12</v>
      </c>
      <c r="AJ2658">
        <v>12</v>
      </c>
      <c r="AM2658">
        <v>0</v>
      </c>
      <c r="AN2658">
        <v>616.24000000000012</v>
      </c>
      <c r="AP2658">
        <v>52</v>
      </c>
      <c r="AQ2658">
        <v>52</v>
      </c>
    </row>
    <row r="2659" spans="1:43" x14ac:dyDescent="0.25">
      <c r="A2659" t="s">
        <v>46</v>
      </c>
      <c r="B2659">
        <v>5</v>
      </c>
      <c r="C2659" t="s">
        <v>1661</v>
      </c>
      <c r="D2659" s="39">
        <v>46016</v>
      </c>
      <c r="E2659" t="s">
        <v>486</v>
      </c>
      <c r="F2659" t="s">
        <v>79</v>
      </c>
      <c r="G2659">
        <v>12</v>
      </c>
      <c r="H2659">
        <v>5</v>
      </c>
      <c r="I2659" t="s">
        <v>79</v>
      </c>
      <c r="J2659">
        <v>1000</v>
      </c>
      <c r="K2659" t="s">
        <v>79</v>
      </c>
      <c r="L2659">
        <v>9</v>
      </c>
      <c r="M2659">
        <v>546.68000000000006</v>
      </c>
      <c r="N2659">
        <v>13.5</v>
      </c>
      <c r="O2659">
        <v>1</v>
      </c>
      <c r="Q2659">
        <v>533.18000000000006</v>
      </c>
      <c r="R2659" t="s">
        <v>1662</v>
      </c>
      <c r="S2659">
        <v>20</v>
      </c>
      <c r="V2659">
        <v>20</v>
      </c>
      <c r="W2659">
        <v>0.33333333333333331</v>
      </c>
      <c r="AF2659">
        <v>0</v>
      </c>
      <c r="AG2659">
        <v>0</v>
      </c>
      <c r="AH2659">
        <v>0.33333333333333331</v>
      </c>
      <c r="AI2659">
        <v>11.666666666666666</v>
      </c>
      <c r="AJ2659">
        <v>12</v>
      </c>
      <c r="AM2659">
        <v>0</v>
      </c>
      <c r="AN2659">
        <v>551.68000000000006</v>
      </c>
      <c r="AP2659">
        <v>52</v>
      </c>
      <c r="AQ2659">
        <v>52</v>
      </c>
    </row>
    <row r="2660" spans="1:43" x14ac:dyDescent="0.25">
      <c r="A2660" t="s">
        <v>45</v>
      </c>
      <c r="B2660">
        <v>1</v>
      </c>
      <c r="C2660" t="s">
        <v>1665</v>
      </c>
      <c r="D2660" s="39">
        <v>46017</v>
      </c>
      <c r="E2660" t="s">
        <v>486</v>
      </c>
      <c r="F2660" t="s">
        <v>79</v>
      </c>
      <c r="G2660">
        <v>4</v>
      </c>
      <c r="H2660" t="s">
        <v>113</v>
      </c>
      <c r="I2660" t="s">
        <v>79</v>
      </c>
      <c r="J2660">
        <v>1500</v>
      </c>
      <c r="K2660" t="s">
        <v>79</v>
      </c>
      <c r="L2660">
        <v>8</v>
      </c>
      <c r="M2660">
        <v>124.02</v>
      </c>
      <c r="N2660">
        <v>3.2</v>
      </c>
      <c r="Q2660">
        <v>120.82</v>
      </c>
      <c r="R2660" t="s">
        <v>1773</v>
      </c>
      <c r="V2660">
        <v>0</v>
      </c>
      <c r="W2660">
        <v>0</v>
      </c>
      <c r="AF2660">
        <v>0</v>
      </c>
      <c r="AG2660">
        <v>0</v>
      </c>
      <c r="AH2660">
        <v>0</v>
      </c>
      <c r="AI2660">
        <v>12</v>
      </c>
      <c r="AJ2660">
        <v>12</v>
      </c>
      <c r="AM2660">
        <v>0</v>
      </c>
      <c r="AN2660">
        <v>129.01999999999998</v>
      </c>
      <c r="AP2660">
        <v>52</v>
      </c>
      <c r="AQ2660">
        <v>52</v>
      </c>
    </row>
    <row r="2661" spans="1:43" x14ac:dyDescent="0.25">
      <c r="A2661" t="s">
        <v>46</v>
      </c>
      <c r="B2661">
        <v>1</v>
      </c>
      <c r="C2661" t="s">
        <v>1665</v>
      </c>
      <c r="D2661" s="39">
        <v>46017</v>
      </c>
      <c r="E2661" t="s">
        <v>486</v>
      </c>
      <c r="F2661" t="s">
        <v>79</v>
      </c>
      <c r="G2661">
        <v>4</v>
      </c>
      <c r="H2661" t="s">
        <v>113</v>
      </c>
      <c r="I2661" t="s">
        <v>79</v>
      </c>
      <c r="J2661">
        <v>1500</v>
      </c>
      <c r="K2661" t="s">
        <v>79</v>
      </c>
      <c r="L2661">
        <v>8</v>
      </c>
      <c r="M2661">
        <v>149.91999999999999</v>
      </c>
      <c r="N2661">
        <v>3.2</v>
      </c>
      <c r="Q2661">
        <v>146.72</v>
      </c>
      <c r="R2661" t="s">
        <v>1773</v>
      </c>
      <c r="S2661">
        <v>30</v>
      </c>
      <c r="V2661">
        <v>30</v>
      </c>
      <c r="W2661">
        <v>0.5</v>
      </c>
      <c r="AF2661">
        <v>0</v>
      </c>
      <c r="AG2661">
        <v>0</v>
      </c>
      <c r="AH2661">
        <v>0.5</v>
      </c>
      <c r="AI2661">
        <v>11.5</v>
      </c>
      <c r="AJ2661">
        <v>12</v>
      </c>
      <c r="AM2661">
        <v>0</v>
      </c>
      <c r="AN2661">
        <v>154.91999999999999</v>
      </c>
      <c r="AP2661">
        <v>52</v>
      </c>
      <c r="AQ2661">
        <v>52</v>
      </c>
    </row>
    <row r="2662" spans="1:43" x14ac:dyDescent="0.25">
      <c r="A2662" t="s">
        <v>45</v>
      </c>
      <c r="B2662">
        <v>2</v>
      </c>
      <c r="C2662" t="s">
        <v>1666</v>
      </c>
      <c r="D2662" s="39">
        <v>46017</v>
      </c>
      <c r="E2662" t="s">
        <v>229</v>
      </c>
      <c r="F2662" t="s">
        <v>79</v>
      </c>
      <c r="G2662">
        <v>6</v>
      </c>
      <c r="H2662" t="s">
        <v>855</v>
      </c>
      <c r="I2662" t="s">
        <v>79</v>
      </c>
      <c r="J2662">
        <v>300</v>
      </c>
      <c r="K2662" t="s">
        <v>79</v>
      </c>
      <c r="L2662">
        <v>9</v>
      </c>
      <c r="M2662">
        <v>199.72</v>
      </c>
      <c r="N2662">
        <v>5.3999999999999995</v>
      </c>
      <c r="Q2662">
        <v>194.32</v>
      </c>
      <c r="R2662" t="s">
        <v>1667</v>
      </c>
      <c r="V2662">
        <v>0</v>
      </c>
      <c r="W2662">
        <v>0</v>
      </c>
      <c r="AF2662">
        <v>0</v>
      </c>
      <c r="AG2662">
        <v>0</v>
      </c>
      <c r="AH2662">
        <v>0</v>
      </c>
      <c r="AI2662">
        <v>12</v>
      </c>
      <c r="AJ2662">
        <v>12</v>
      </c>
      <c r="AM2662">
        <v>0</v>
      </c>
      <c r="AN2662">
        <v>204.72</v>
      </c>
      <c r="AP2662">
        <v>52</v>
      </c>
      <c r="AQ2662">
        <v>52</v>
      </c>
    </row>
    <row r="2663" spans="1:43" x14ac:dyDescent="0.25">
      <c r="A2663" t="s">
        <v>45</v>
      </c>
      <c r="B2663">
        <v>2</v>
      </c>
      <c r="C2663" t="s">
        <v>1670</v>
      </c>
      <c r="D2663" s="39">
        <v>46017</v>
      </c>
      <c r="E2663" t="s">
        <v>427</v>
      </c>
      <c r="F2663" t="s">
        <v>79</v>
      </c>
      <c r="G2663">
        <v>6</v>
      </c>
      <c r="H2663" t="s">
        <v>944</v>
      </c>
      <c r="I2663" t="s">
        <v>79</v>
      </c>
      <c r="J2663">
        <v>100</v>
      </c>
      <c r="K2663" t="s">
        <v>79</v>
      </c>
      <c r="L2663">
        <v>2</v>
      </c>
      <c r="M2663">
        <v>31.549999999999997</v>
      </c>
      <c r="N2663">
        <v>1.2</v>
      </c>
      <c r="Q2663">
        <v>30.349999999999998</v>
      </c>
      <c r="R2663" t="s">
        <v>1671</v>
      </c>
      <c r="V2663">
        <v>0</v>
      </c>
      <c r="W2663">
        <v>0</v>
      </c>
      <c r="AF2663">
        <v>0</v>
      </c>
      <c r="AG2663">
        <v>0</v>
      </c>
      <c r="AH2663">
        <v>0</v>
      </c>
      <c r="AI2663">
        <v>12</v>
      </c>
      <c r="AJ2663">
        <v>12</v>
      </c>
      <c r="AM2663">
        <v>0</v>
      </c>
      <c r="AN2663">
        <v>36.549999999999997</v>
      </c>
      <c r="AP2663">
        <v>52</v>
      </c>
      <c r="AQ2663">
        <v>52</v>
      </c>
    </row>
    <row r="2664" spans="1:43" x14ac:dyDescent="0.25">
      <c r="A2664" t="s">
        <v>45</v>
      </c>
      <c r="B2664">
        <v>2</v>
      </c>
      <c r="C2664" t="s">
        <v>1585</v>
      </c>
      <c r="D2664" s="39">
        <v>46017</v>
      </c>
      <c r="E2664" t="s">
        <v>486</v>
      </c>
      <c r="F2664" t="s">
        <v>79</v>
      </c>
      <c r="G2664">
        <v>6</v>
      </c>
      <c r="H2664">
        <v>5</v>
      </c>
      <c r="I2664" t="s">
        <v>79</v>
      </c>
      <c r="J2664">
        <v>1000</v>
      </c>
      <c r="K2664" t="s">
        <v>79</v>
      </c>
      <c r="L2664">
        <v>1</v>
      </c>
      <c r="M2664">
        <v>15.35</v>
      </c>
      <c r="N2664">
        <v>0.6</v>
      </c>
      <c r="Q2664">
        <v>14.75</v>
      </c>
      <c r="R2664" t="s">
        <v>1687</v>
      </c>
      <c r="V2664">
        <v>0</v>
      </c>
      <c r="W2664">
        <v>0</v>
      </c>
      <c r="AF2664">
        <v>0</v>
      </c>
      <c r="AG2664">
        <v>0</v>
      </c>
      <c r="AH2664">
        <v>0</v>
      </c>
      <c r="AI2664">
        <v>12</v>
      </c>
      <c r="AJ2664">
        <v>12</v>
      </c>
      <c r="AM2664">
        <v>0</v>
      </c>
      <c r="AN2664">
        <v>20.350000000000001</v>
      </c>
      <c r="AP2664">
        <v>52</v>
      </c>
      <c r="AQ2664">
        <v>52</v>
      </c>
    </row>
    <row r="2665" spans="1:43" x14ac:dyDescent="0.25">
      <c r="A2665" t="s">
        <v>46</v>
      </c>
      <c r="B2665">
        <v>2</v>
      </c>
      <c r="C2665" t="s">
        <v>1670</v>
      </c>
      <c r="D2665" s="39">
        <v>46017</v>
      </c>
      <c r="E2665" t="s">
        <v>427</v>
      </c>
      <c r="F2665" t="s">
        <v>79</v>
      </c>
      <c r="G2665">
        <v>6</v>
      </c>
      <c r="H2665" t="s">
        <v>944</v>
      </c>
      <c r="I2665" t="s">
        <v>79</v>
      </c>
      <c r="J2665">
        <v>100</v>
      </c>
      <c r="K2665" t="s">
        <v>79</v>
      </c>
      <c r="L2665">
        <v>4</v>
      </c>
      <c r="M2665">
        <v>98.899999999999991</v>
      </c>
      <c r="N2665">
        <v>2.4</v>
      </c>
      <c r="Q2665">
        <v>96.499999999999986</v>
      </c>
      <c r="R2665" t="s">
        <v>1671</v>
      </c>
      <c r="V2665">
        <v>0</v>
      </c>
      <c r="W2665">
        <v>0</v>
      </c>
      <c r="AF2665">
        <v>0</v>
      </c>
      <c r="AG2665">
        <v>0</v>
      </c>
      <c r="AH2665">
        <v>0</v>
      </c>
      <c r="AI2665">
        <v>12</v>
      </c>
      <c r="AJ2665">
        <v>12</v>
      </c>
      <c r="AM2665">
        <v>0</v>
      </c>
      <c r="AN2665">
        <v>103.9</v>
      </c>
      <c r="AP2665">
        <v>52</v>
      </c>
      <c r="AQ2665">
        <v>52</v>
      </c>
    </row>
    <row r="2666" spans="1:43" x14ac:dyDescent="0.25">
      <c r="A2666" t="s">
        <v>46</v>
      </c>
      <c r="B2666">
        <v>2</v>
      </c>
      <c r="C2666" t="s">
        <v>1585</v>
      </c>
      <c r="D2666" s="39">
        <v>46017</v>
      </c>
      <c r="E2666" t="s">
        <v>486</v>
      </c>
      <c r="F2666" t="s">
        <v>79</v>
      </c>
      <c r="G2666">
        <v>6</v>
      </c>
      <c r="H2666">
        <v>5</v>
      </c>
      <c r="I2666" t="s">
        <v>79</v>
      </c>
      <c r="J2666">
        <v>1000</v>
      </c>
      <c r="K2666" t="s">
        <v>79</v>
      </c>
      <c r="L2666">
        <v>5</v>
      </c>
      <c r="M2666">
        <v>130.82</v>
      </c>
      <c r="N2666">
        <v>3</v>
      </c>
      <c r="Q2666">
        <v>127.82</v>
      </c>
      <c r="R2666" t="s">
        <v>1687</v>
      </c>
      <c r="V2666">
        <v>0</v>
      </c>
      <c r="W2666">
        <v>0</v>
      </c>
      <c r="AF2666">
        <v>0</v>
      </c>
      <c r="AG2666">
        <v>0</v>
      </c>
      <c r="AH2666">
        <v>0</v>
      </c>
      <c r="AI2666">
        <v>12</v>
      </c>
      <c r="AJ2666">
        <v>12</v>
      </c>
      <c r="AM2666">
        <v>0</v>
      </c>
      <c r="AN2666">
        <v>135.82</v>
      </c>
      <c r="AP2666">
        <v>52</v>
      </c>
      <c r="AQ2666">
        <v>52</v>
      </c>
    </row>
    <row r="2667" spans="1:43" x14ac:dyDescent="0.25">
      <c r="A2667" t="s">
        <v>45</v>
      </c>
      <c r="B2667">
        <v>4</v>
      </c>
      <c r="C2667" t="s">
        <v>1668</v>
      </c>
      <c r="D2667" s="39">
        <v>46017</v>
      </c>
      <c r="E2667" t="s">
        <v>276</v>
      </c>
      <c r="F2667" t="s">
        <v>79</v>
      </c>
      <c r="G2667">
        <v>24</v>
      </c>
      <c r="H2667" t="s">
        <v>113</v>
      </c>
      <c r="I2667" t="s">
        <v>79</v>
      </c>
      <c r="J2667">
        <v>1000</v>
      </c>
      <c r="K2667" t="s">
        <v>79</v>
      </c>
      <c r="L2667">
        <v>13</v>
      </c>
      <c r="M2667">
        <v>812.35</v>
      </c>
      <c r="N2667">
        <v>42.9</v>
      </c>
      <c r="O2667">
        <v>33</v>
      </c>
      <c r="Q2667">
        <v>769.45</v>
      </c>
      <c r="R2667" t="s">
        <v>1669</v>
      </c>
      <c r="V2667">
        <v>0</v>
      </c>
      <c r="W2667">
        <v>0</v>
      </c>
      <c r="AF2667">
        <v>0</v>
      </c>
      <c r="AG2667">
        <v>0</v>
      </c>
      <c r="AH2667">
        <v>0</v>
      </c>
      <c r="AI2667">
        <v>12</v>
      </c>
      <c r="AJ2667">
        <v>12</v>
      </c>
      <c r="AM2667">
        <v>0</v>
      </c>
      <c r="AN2667">
        <v>817.35</v>
      </c>
      <c r="AP2667">
        <v>52</v>
      </c>
      <c r="AQ2667">
        <v>52</v>
      </c>
    </row>
    <row r="2668" spans="1:43" x14ac:dyDescent="0.25">
      <c r="A2668" t="s">
        <v>46</v>
      </c>
      <c r="B2668">
        <v>4</v>
      </c>
      <c r="C2668" t="s">
        <v>1668</v>
      </c>
      <c r="D2668" s="39">
        <v>46017</v>
      </c>
      <c r="E2668" t="s">
        <v>276</v>
      </c>
      <c r="F2668" t="s">
        <v>79</v>
      </c>
      <c r="G2668">
        <v>24</v>
      </c>
      <c r="H2668" t="s">
        <v>113</v>
      </c>
      <c r="I2668" t="s">
        <v>79</v>
      </c>
      <c r="J2668">
        <v>1000</v>
      </c>
      <c r="K2668" t="s">
        <v>79</v>
      </c>
      <c r="L2668">
        <v>8</v>
      </c>
      <c r="M2668">
        <v>487.35</v>
      </c>
      <c r="N2668">
        <v>26.4</v>
      </c>
      <c r="O2668">
        <v>22</v>
      </c>
      <c r="Q2668">
        <v>460.95000000000005</v>
      </c>
      <c r="R2668" t="s">
        <v>1669</v>
      </c>
      <c r="V2668">
        <v>0</v>
      </c>
      <c r="W2668">
        <v>0</v>
      </c>
      <c r="AF2668">
        <v>0</v>
      </c>
      <c r="AG2668">
        <v>0</v>
      </c>
      <c r="AH2668">
        <v>0</v>
      </c>
      <c r="AI2668">
        <v>12</v>
      </c>
      <c r="AJ2668">
        <v>12</v>
      </c>
      <c r="AM2668">
        <v>0</v>
      </c>
      <c r="AN2668">
        <v>492.35</v>
      </c>
      <c r="AP2668">
        <v>52</v>
      </c>
      <c r="AQ2668">
        <v>52</v>
      </c>
    </row>
    <row r="2669" spans="1:43" x14ac:dyDescent="0.25">
      <c r="A2669" t="s">
        <v>46</v>
      </c>
      <c r="B2669">
        <v>4</v>
      </c>
      <c r="C2669" t="s">
        <v>1672</v>
      </c>
      <c r="D2669" s="39">
        <v>46017</v>
      </c>
      <c r="E2669" t="s">
        <v>486</v>
      </c>
      <c r="F2669" t="s">
        <v>79</v>
      </c>
      <c r="G2669">
        <v>24</v>
      </c>
      <c r="H2669">
        <v>5</v>
      </c>
      <c r="I2669" t="s">
        <v>79</v>
      </c>
      <c r="J2669">
        <v>1000</v>
      </c>
      <c r="K2669" t="s">
        <v>79</v>
      </c>
      <c r="L2669">
        <v>5</v>
      </c>
      <c r="M2669">
        <v>338.65</v>
      </c>
      <c r="N2669">
        <v>16.5</v>
      </c>
      <c r="Q2669">
        <v>322.14999999999998</v>
      </c>
      <c r="R2669" t="s">
        <v>1673</v>
      </c>
      <c r="V2669">
        <v>0</v>
      </c>
      <c r="W2669">
        <v>0</v>
      </c>
      <c r="AF2669">
        <v>0</v>
      </c>
      <c r="AG2669">
        <v>0</v>
      </c>
      <c r="AH2669">
        <v>0</v>
      </c>
      <c r="AI2669">
        <v>12</v>
      </c>
      <c r="AJ2669">
        <v>12</v>
      </c>
      <c r="AM2669">
        <v>0</v>
      </c>
      <c r="AN2669">
        <v>343.65</v>
      </c>
      <c r="AP2669">
        <v>52</v>
      </c>
      <c r="AQ2669">
        <v>52</v>
      </c>
    </row>
    <row r="2670" spans="1:43" x14ac:dyDescent="0.25">
      <c r="A2670" t="s">
        <v>45</v>
      </c>
      <c r="B2670">
        <v>5</v>
      </c>
      <c r="C2670" t="s">
        <v>1674</v>
      </c>
      <c r="D2670" s="39">
        <v>46017</v>
      </c>
      <c r="E2670" t="s">
        <v>420</v>
      </c>
      <c r="F2670" t="s">
        <v>79</v>
      </c>
      <c r="G2670">
        <v>8</v>
      </c>
      <c r="H2670" t="s">
        <v>944</v>
      </c>
      <c r="I2670" t="s">
        <v>79</v>
      </c>
      <c r="J2670">
        <v>50</v>
      </c>
      <c r="K2670" t="s">
        <v>79</v>
      </c>
      <c r="L2670">
        <v>4</v>
      </c>
      <c r="M2670">
        <v>113.37</v>
      </c>
      <c r="N2670">
        <v>3.2</v>
      </c>
      <c r="Q2670">
        <v>110.17</v>
      </c>
      <c r="R2670" t="s">
        <v>1675</v>
      </c>
      <c r="V2670">
        <v>0</v>
      </c>
      <c r="W2670">
        <v>0</v>
      </c>
      <c r="AF2670">
        <v>0</v>
      </c>
      <c r="AG2670">
        <v>0</v>
      </c>
      <c r="AH2670">
        <v>0</v>
      </c>
      <c r="AI2670">
        <v>12</v>
      </c>
      <c r="AJ2670">
        <v>12</v>
      </c>
      <c r="AM2670">
        <v>0</v>
      </c>
      <c r="AN2670">
        <v>118.37</v>
      </c>
      <c r="AP2670">
        <v>52</v>
      </c>
      <c r="AQ2670">
        <v>52</v>
      </c>
    </row>
    <row r="2671" spans="1:43" x14ac:dyDescent="0.25">
      <c r="A2671" t="s">
        <v>45</v>
      </c>
      <c r="B2671">
        <v>5</v>
      </c>
      <c r="C2671" t="s">
        <v>1676</v>
      </c>
      <c r="D2671" s="39">
        <v>46017</v>
      </c>
      <c r="E2671" t="s">
        <v>486</v>
      </c>
      <c r="F2671" t="s">
        <v>79</v>
      </c>
      <c r="G2671">
        <v>9</v>
      </c>
      <c r="H2671" t="s">
        <v>113</v>
      </c>
      <c r="I2671" t="s">
        <v>79</v>
      </c>
      <c r="J2671">
        <v>500</v>
      </c>
      <c r="K2671" t="s">
        <v>79</v>
      </c>
      <c r="L2671">
        <v>4</v>
      </c>
      <c r="M2671">
        <v>188.07</v>
      </c>
      <c r="N2671">
        <v>3.6</v>
      </c>
      <c r="Q2671">
        <v>184.47</v>
      </c>
      <c r="R2671" t="s">
        <v>1677</v>
      </c>
      <c r="V2671">
        <v>0</v>
      </c>
      <c r="W2671">
        <v>0</v>
      </c>
      <c r="AF2671">
        <v>0</v>
      </c>
      <c r="AG2671">
        <v>0</v>
      </c>
      <c r="AH2671">
        <v>0</v>
      </c>
      <c r="AI2671">
        <v>12</v>
      </c>
      <c r="AJ2671">
        <v>12</v>
      </c>
      <c r="AM2671">
        <v>0</v>
      </c>
      <c r="AN2671">
        <v>193.07</v>
      </c>
      <c r="AP2671">
        <v>52</v>
      </c>
      <c r="AQ2671">
        <v>52</v>
      </c>
    </row>
    <row r="2672" spans="1:43" x14ac:dyDescent="0.25">
      <c r="A2672" t="s">
        <v>45</v>
      </c>
      <c r="B2672">
        <v>5</v>
      </c>
      <c r="C2672" t="s">
        <v>1678</v>
      </c>
      <c r="D2672" s="39">
        <v>46017</v>
      </c>
      <c r="E2672" t="s">
        <v>420</v>
      </c>
      <c r="F2672" t="s">
        <v>79</v>
      </c>
      <c r="G2672">
        <v>9</v>
      </c>
      <c r="H2672" t="s">
        <v>123</v>
      </c>
      <c r="I2672" t="s">
        <v>79</v>
      </c>
      <c r="J2672">
        <v>100</v>
      </c>
      <c r="K2672" t="s">
        <v>79</v>
      </c>
      <c r="L2672">
        <v>4</v>
      </c>
      <c r="M2672">
        <v>116.15</v>
      </c>
      <c r="N2672">
        <v>3.6</v>
      </c>
      <c r="Q2672">
        <v>112.55000000000001</v>
      </c>
      <c r="R2672" t="s">
        <v>1679</v>
      </c>
      <c r="V2672">
        <v>0</v>
      </c>
      <c r="W2672">
        <v>0</v>
      </c>
      <c r="AF2672">
        <v>0</v>
      </c>
      <c r="AG2672">
        <v>0</v>
      </c>
      <c r="AH2672">
        <v>0</v>
      </c>
      <c r="AI2672">
        <v>12</v>
      </c>
      <c r="AJ2672">
        <v>12</v>
      </c>
      <c r="AM2672">
        <v>0</v>
      </c>
      <c r="AN2672">
        <v>121.15</v>
      </c>
      <c r="AP2672">
        <v>52</v>
      </c>
      <c r="AQ2672">
        <v>52</v>
      </c>
    </row>
    <row r="2673" spans="1:43" x14ac:dyDescent="0.25">
      <c r="A2673" t="s">
        <v>46</v>
      </c>
      <c r="B2673">
        <v>5</v>
      </c>
      <c r="C2673" t="s">
        <v>1676</v>
      </c>
      <c r="D2673" s="39">
        <v>46017</v>
      </c>
      <c r="E2673" t="s">
        <v>486</v>
      </c>
      <c r="F2673" t="s">
        <v>79</v>
      </c>
      <c r="G2673">
        <v>9</v>
      </c>
      <c r="H2673" t="s">
        <v>113</v>
      </c>
      <c r="I2673" t="s">
        <v>79</v>
      </c>
      <c r="J2673">
        <v>500</v>
      </c>
      <c r="K2673" t="s">
        <v>79</v>
      </c>
      <c r="L2673">
        <v>10</v>
      </c>
      <c r="M2673">
        <v>483.28</v>
      </c>
      <c r="N2673">
        <v>11.5</v>
      </c>
      <c r="Q2673">
        <v>471.78</v>
      </c>
      <c r="R2673" t="s">
        <v>1677</v>
      </c>
      <c r="V2673">
        <v>0</v>
      </c>
      <c r="W2673">
        <v>0</v>
      </c>
      <c r="AF2673">
        <v>0</v>
      </c>
      <c r="AG2673">
        <v>0</v>
      </c>
      <c r="AH2673">
        <v>0</v>
      </c>
      <c r="AI2673">
        <v>12</v>
      </c>
      <c r="AJ2673">
        <v>12</v>
      </c>
      <c r="AM2673">
        <v>0</v>
      </c>
      <c r="AN2673">
        <v>488.28</v>
      </c>
      <c r="AP2673">
        <v>52</v>
      </c>
      <c r="AQ2673">
        <v>52</v>
      </c>
    </row>
    <row r="2674" spans="1:43" x14ac:dyDescent="0.25">
      <c r="A2674" t="s">
        <v>45</v>
      </c>
      <c r="B2674">
        <v>1</v>
      </c>
      <c r="C2674" t="s">
        <v>1665</v>
      </c>
      <c r="D2674" s="39">
        <v>46018</v>
      </c>
      <c r="E2674" t="s">
        <v>486</v>
      </c>
      <c r="F2674" t="s">
        <v>79</v>
      </c>
      <c r="G2674">
        <v>4</v>
      </c>
      <c r="H2674" t="s">
        <v>113</v>
      </c>
      <c r="I2674" t="s">
        <v>79</v>
      </c>
      <c r="J2674">
        <v>1500</v>
      </c>
      <c r="K2674" t="s">
        <v>79</v>
      </c>
      <c r="L2674">
        <v>8</v>
      </c>
      <c r="M2674">
        <v>153.96</v>
      </c>
      <c r="N2674">
        <v>3.2</v>
      </c>
      <c r="Q2674">
        <v>150.76000000000002</v>
      </c>
      <c r="R2674" t="s">
        <v>1773</v>
      </c>
      <c r="V2674">
        <v>0</v>
      </c>
      <c r="W2674">
        <v>0</v>
      </c>
      <c r="AF2674">
        <v>0</v>
      </c>
      <c r="AG2674">
        <v>0</v>
      </c>
      <c r="AH2674">
        <v>0</v>
      </c>
      <c r="AI2674">
        <v>12</v>
      </c>
      <c r="AJ2674">
        <v>12</v>
      </c>
      <c r="AM2674">
        <v>0</v>
      </c>
      <c r="AN2674">
        <v>158.96</v>
      </c>
      <c r="AP2674">
        <v>52</v>
      </c>
      <c r="AQ2674">
        <v>52</v>
      </c>
    </row>
    <row r="2675" spans="1:43" x14ac:dyDescent="0.25">
      <c r="A2675" t="s">
        <v>46</v>
      </c>
      <c r="B2675">
        <v>1</v>
      </c>
      <c r="C2675" t="s">
        <v>1665</v>
      </c>
      <c r="D2675" s="39">
        <v>46018</v>
      </c>
      <c r="E2675" t="s">
        <v>486</v>
      </c>
      <c r="F2675" t="s">
        <v>79</v>
      </c>
      <c r="G2675">
        <v>4</v>
      </c>
      <c r="H2675" t="s">
        <v>113</v>
      </c>
      <c r="I2675" t="s">
        <v>79</v>
      </c>
      <c r="J2675">
        <v>1500</v>
      </c>
      <c r="K2675" t="s">
        <v>79</v>
      </c>
      <c r="L2675">
        <v>7</v>
      </c>
      <c r="M2675">
        <v>135.76999999999998</v>
      </c>
      <c r="N2675">
        <v>2.8000000000000003</v>
      </c>
      <c r="Q2675">
        <v>132.96999999999997</v>
      </c>
      <c r="R2675" t="s">
        <v>1773</v>
      </c>
      <c r="V2675">
        <v>0</v>
      </c>
      <c r="W2675">
        <v>0</v>
      </c>
      <c r="AF2675">
        <v>0</v>
      </c>
      <c r="AG2675">
        <v>0</v>
      </c>
      <c r="AH2675">
        <v>0</v>
      </c>
      <c r="AI2675">
        <v>12</v>
      </c>
      <c r="AJ2675">
        <v>12</v>
      </c>
      <c r="AM2675">
        <v>0</v>
      </c>
      <c r="AN2675">
        <v>140.76999999999998</v>
      </c>
      <c r="AP2675">
        <v>52</v>
      </c>
      <c r="AQ2675">
        <v>52</v>
      </c>
    </row>
    <row r="2676" spans="1:43" x14ac:dyDescent="0.25">
      <c r="A2676" t="s">
        <v>45</v>
      </c>
      <c r="B2676">
        <v>2</v>
      </c>
      <c r="C2676" t="s">
        <v>1680</v>
      </c>
      <c r="D2676" s="39">
        <v>46018</v>
      </c>
      <c r="E2676" t="s">
        <v>1552</v>
      </c>
      <c r="F2676" t="s">
        <v>79</v>
      </c>
      <c r="G2676">
        <v>6</v>
      </c>
      <c r="H2676" t="s">
        <v>1049</v>
      </c>
      <c r="I2676" t="s">
        <v>79</v>
      </c>
      <c r="J2676">
        <v>100</v>
      </c>
      <c r="K2676" t="s">
        <v>79</v>
      </c>
      <c r="L2676">
        <v>4</v>
      </c>
      <c r="M2676">
        <v>104.94999999999999</v>
      </c>
      <c r="N2676">
        <v>2.4</v>
      </c>
      <c r="Q2676">
        <v>102.54999999999998</v>
      </c>
      <c r="R2676" t="s">
        <v>1681</v>
      </c>
      <c r="V2676">
        <v>0</v>
      </c>
      <c r="W2676">
        <v>0</v>
      </c>
      <c r="AF2676">
        <v>0</v>
      </c>
      <c r="AG2676">
        <v>0</v>
      </c>
      <c r="AH2676">
        <v>0</v>
      </c>
      <c r="AI2676">
        <v>12</v>
      </c>
      <c r="AJ2676">
        <v>12</v>
      </c>
      <c r="AM2676">
        <v>0</v>
      </c>
      <c r="AN2676">
        <v>109.95</v>
      </c>
      <c r="AP2676">
        <v>52</v>
      </c>
      <c r="AQ2676">
        <v>52</v>
      </c>
    </row>
    <row r="2677" spans="1:43" x14ac:dyDescent="0.25">
      <c r="A2677" t="s">
        <v>45</v>
      </c>
      <c r="B2677">
        <v>2</v>
      </c>
      <c r="C2677" t="s">
        <v>1585</v>
      </c>
      <c r="D2677" s="39">
        <v>46018</v>
      </c>
      <c r="E2677" t="s">
        <v>486</v>
      </c>
      <c r="F2677" t="s">
        <v>79</v>
      </c>
      <c r="G2677">
        <v>6</v>
      </c>
      <c r="H2677">
        <v>5</v>
      </c>
      <c r="I2677" t="s">
        <v>79</v>
      </c>
      <c r="J2677">
        <v>1000</v>
      </c>
      <c r="K2677" t="s">
        <v>79</v>
      </c>
      <c r="L2677">
        <v>6</v>
      </c>
      <c r="M2677">
        <v>136.01</v>
      </c>
      <c r="N2677">
        <v>3.5999999999999996</v>
      </c>
      <c r="Q2677">
        <v>132.41</v>
      </c>
      <c r="R2677" t="s">
        <v>1687</v>
      </c>
      <c r="V2677">
        <v>0</v>
      </c>
      <c r="W2677">
        <v>0</v>
      </c>
      <c r="AF2677">
        <v>0</v>
      </c>
      <c r="AG2677">
        <v>0</v>
      </c>
      <c r="AH2677">
        <v>0</v>
      </c>
      <c r="AI2677">
        <v>12</v>
      </c>
      <c r="AJ2677">
        <v>12</v>
      </c>
      <c r="AM2677">
        <v>0</v>
      </c>
      <c r="AN2677">
        <v>141.01</v>
      </c>
      <c r="AP2677">
        <v>52</v>
      </c>
      <c r="AQ2677">
        <v>52</v>
      </c>
    </row>
    <row r="2678" spans="1:43" x14ac:dyDescent="0.25">
      <c r="A2678" t="s">
        <v>46</v>
      </c>
      <c r="B2678">
        <v>2</v>
      </c>
      <c r="C2678" t="s">
        <v>1665</v>
      </c>
      <c r="D2678" s="39">
        <v>46018</v>
      </c>
      <c r="E2678" t="s">
        <v>486</v>
      </c>
      <c r="F2678" t="s">
        <v>79</v>
      </c>
      <c r="G2678">
        <v>4</v>
      </c>
      <c r="H2678" t="s">
        <v>113</v>
      </c>
      <c r="I2678" t="s">
        <v>79</v>
      </c>
      <c r="J2678">
        <v>1500</v>
      </c>
      <c r="K2678" t="s">
        <v>79</v>
      </c>
      <c r="L2678">
        <v>7</v>
      </c>
      <c r="M2678">
        <v>172.45999999999998</v>
      </c>
      <c r="N2678">
        <v>2.8000000000000003</v>
      </c>
      <c r="Q2678">
        <v>169.65999999999997</v>
      </c>
      <c r="R2678" t="s">
        <v>1773</v>
      </c>
      <c r="V2678">
        <v>0</v>
      </c>
      <c r="W2678">
        <v>0</v>
      </c>
      <c r="AF2678">
        <v>0</v>
      </c>
      <c r="AG2678">
        <v>0</v>
      </c>
      <c r="AH2678">
        <v>0</v>
      </c>
      <c r="AI2678">
        <v>12</v>
      </c>
      <c r="AJ2678">
        <v>12</v>
      </c>
      <c r="AM2678">
        <v>0</v>
      </c>
      <c r="AN2678">
        <v>177.45999999999998</v>
      </c>
      <c r="AP2678">
        <v>52</v>
      </c>
      <c r="AQ2678">
        <v>52</v>
      </c>
    </row>
    <row r="2679" spans="1:43" x14ac:dyDescent="0.25">
      <c r="A2679" t="s">
        <v>45</v>
      </c>
      <c r="B2679">
        <v>4</v>
      </c>
      <c r="C2679" t="s">
        <v>1672</v>
      </c>
      <c r="D2679" s="39">
        <v>46018</v>
      </c>
      <c r="E2679" t="s">
        <v>486</v>
      </c>
      <c r="F2679" t="s">
        <v>79</v>
      </c>
      <c r="G2679">
        <v>24</v>
      </c>
      <c r="H2679">
        <v>5</v>
      </c>
      <c r="I2679" t="s">
        <v>79</v>
      </c>
      <c r="J2679">
        <v>1000</v>
      </c>
      <c r="K2679" t="s">
        <v>79</v>
      </c>
      <c r="L2679">
        <v>12</v>
      </c>
      <c r="M2679">
        <v>737.41</v>
      </c>
      <c r="N2679">
        <v>28.799999999999997</v>
      </c>
      <c r="Q2679">
        <v>708.61</v>
      </c>
      <c r="R2679" t="s">
        <v>1673</v>
      </c>
      <c r="V2679">
        <v>0</v>
      </c>
      <c r="W2679">
        <v>0</v>
      </c>
      <c r="AF2679">
        <v>0</v>
      </c>
      <c r="AG2679">
        <v>0</v>
      </c>
      <c r="AH2679">
        <v>0</v>
      </c>
      <c r="AI2679">
        <v>12</v>
      </c>
      <c r="AJ2679">
        <v>12</v>
      </c>
      <c r="AM2679">
        <v>0</v>
      </c>
      <c r="AN2679">
        <v>742.41</v>
      </c>
      <c r="AP2679">
        <v>52</v>
      </c>
      <c r="AQ2679">
        <v>52</v>
      </c>
    </row>
    <row r="2680" spans="1:43" x14ac:dyDescent="0.25">
      <c r="A2680" t="s">
        <v>45</v>
      </c>
      <c r="B2680">
        <v>4</v>
      </c>
      <c r="C2680" t="s">
        <v>1682</v>
      </c>
      <c r="D2680" s="39">
        <v>46018</v>
      </c>
      <c r="E2680" t="s">
        <v>200</v>
      </c>
      <c r="F2680" t="s">
        <v>79</v>
      </c>
      <c r="G2680">
        <v>24</v>
      </c>
      <c r="H2680" t="s">
        <v>578</v>
      </c>
      <c r="I2680" t="s">
        <v>79</v>
      </c>
      <c r="J2680">
        <v>100</v>
      </c>
      <c r="K2680" t="s">
        <v>79</v>
      </c>
      <c r="L2680">
        <v>1</v>
      </c>
      <c r="M2680">
        <v>47.92</v>
      </c>
      <c r="N2680">
        <v>2.4</v>
      </c>
      <c r="Q2680">
        <v>45.52</v>
      </c>
      <c r="R2680" t="s">
        <v>1683</v>
      </c>
      <c r="V2680">
        <v>0</v>
      </c>
      <c r="W2680">
        <v>0</v>
      </c>
      <c r="AF2680">
        <v>0</v>
      </c>
      <c r="AG2680">
        <v>0</v>
      </c>
      <c r="AH2680">
        <v>0</v>
      </c>
      <c r="AI2680">
        <v>12</v>
      </c>
      <c r="AJ2680">
        <v>12</v>
      </c>
      <c r="AM2680">
        <v>0</v>
      </c>
      <c r="AN2680">
        <v>52.92</v>
      </c>
      <c r="AP2680">
        <v>52</v>
      </c>
      <c r="AQ2680">
        <v>52</v>
      </c>
    </row>
    <row r="2681" spans="1:43" x14ac:dyDescent="0.25">
      <c r="A2681" t="s">
        <v>46</v>
      </c>
      <c r="B2681">
        <v>4</v>
      </c>
      <c r="C2681" t="s">
        <v>1682</v>
      </c>
      <c r="D2681" s="39">
        <v>46018</v>
      </c>
      <c r="E2681" t="s">
        <v>200</v>
      </c>
      <c r="F2681" t="s">
        <v>79</v>
      </c>
      <c r="G2681">
        <v>24</v>
      </c>
      <c r="H2681" t="s">
        <v>578</v>
      </c>
      <c r="I2681" t="s">
        <v>79</v>
      </c>
      <c r="J2681">
        <v>100</v>
      </c>
      <c r="K2681" t="s">
        <v>79</v>
      </c>
      <c r="L2681">
        <v>1</v>
      </c>
      <c r="M2681">
        <v>58.93</v>
      </c>
      <c r="N2681">
        <v>3.3</v>
      </c>
      <c r="Q2681">
        <v>55.63</v>
      </c>
      <c r="R2681" t="s">
        <v>1683</v>
      </c>
      <c r="V2681">
        <v>0</v>
      </c>
      <c r="W2681">
        <v>0</v>
      </c>
      <c r="AF2681">
        <v>0</v>
      </c>
      <c r="AG2681">
        <v>0</v>
      </c>
      <c r="AH2681">
        <v>0</v>
      </c>
      <c r="AI2681">
        <v>12</v>
      </c>
      <c r="AJ2681">
        <v>12</v>
      </c>
      <c r="AM2681">
        <v>0</v>
      </c>
      <c r="AN2681">
        <v>63.93</v>
      </c>
      <c r="AP2681">
        <v>52</v>
      </c>
      <c r="AQ2681">
        <v>52</v>
      </c>
    </row>
    <row r="2682" spans="1:43" x14ac:dyDescent="0.25">
      <c r="A2682" t="s">
        <v>46</v>
      </c>
      <c r="B2682">
        <v>4</v>
      </c>
      <c r="C2682" t="s">
        <v>1684</v>
      </c>
      <c r="D2682" s="39">
        <v>46018</v>
      </c>
      <c r="E2682" t="s">
        <v>284</v>
      </c>
      <c r="F2682" t="s">
        <v>79</v>
      </c>
      <c r="G2682">
        <v>20</v>
      </c>
      <c r="H2682" t="s">
        <v>98</v>
      </c>
      <c r="I2682" t="s">
        <v>79</v>
      </c>
      <c r="J2682">
        <v>500</v>
      </c>
      <c r="K2682" t="s">
        <v>79</v>
      </c>
      <c r="L2682">
        <v>8</v>
      </c>
      <c r="M2682">
        <v>489.34</v>
      </c>
      <c r="N2682">
        <v>19.2</v>
      </c>
      <c r="Q2682">
        <v>470.14</v>
      </c>
      <c r="R2682" t="s">
        <v>1685</v>
      </c>
      <c r="V2682">
        <v>0</v>
      </c>
      <c r="W2682">
        <v>0</v>
      </c>
      <c r="AF2682">
        <v>0</v>
      </c>
      <c r="AG2682">
        <v>0</v>
      </c>
      <c r="AH2682">
        <v>0</v>
      </c>
      <c r="AI2682">
        <v>12</v>
      </c>
      <c r="AJ2682">
        <v>12</v>
      </c>
      <c r="AM2682">
        <v>0</v>
      </c>
      <c r="AN2682">
        <v>494.34</v>
      </c>
      <c r="AP2682">
        <v>52</v>
      </c>
      <c r="AQ2682">
        <v>52</v>
      </c>
    </row>
    <row r="2683" spans="1:43" x14ac:dyDescent="0.25">
      <c r="A2683" t="s">
        <v>45</v>
      </c>
      <c r="B2683">
        <v>5</v>
      </c>
      <c r="C2683" t="s">
        <v>1676</v>
      </c>
      <c r="D2683" s="39">
        <v>46018</v>
      </c>
      <c r="E2683" t="s">
        <v>486</v>
      </c>
      <c r="F2683" t="s">
        <v>79</v>
      </c>
      <c r="G2683">
        <v>9</v>
      </c>
      <c r="H2683" t="s">
        <v>113</v>
      </c>
      <c r="I2683" t="s">
        <v>79</v>
      </c>
      <c r="J2683">
        <v>500</v>
      </c>
      <c r="K2683" t="s">
        <v>79</v>
      </c>
      <c r="L2683">
        <v>2</v>
      </c>
      <c r="M2683">
        <v>107.71000000000001</v>
      </c>
      <c r="N2683">
        <v>1.8</v>
      </c>
      <c r="Q2683">
        <v>105.91000000000001</v>
      </c>
      <c r="R2683" t="s">
        <v>1677</v>
      </c>
      <c r="V2683">
        <v>0</v>
      </c>
      <c r="W2683">
        <v>0</v>
      </c>
      <c r="AF2683">
        <v>0</v>
      </c>
      <c r="AG2683">
        <v>0</v>
      </c>
      <c r="AH2683">
        <v>0</v>
      </c>
      <c r="AI2683">
        <v>12</v>
      </c>
      <c r="AJ2683">
        <v>12</v>
      </c>
      <c r="AM2683">
        <v>0</v>
      </c>
      <c r="AN2683">
        <v>112.71</v>
      </c>
      <c r="AP2683">
        <v>52</v>
      </c>
      <c r="AQ2683">
        <v>52</v>
      </c>
    </row>
    <row r="2684" spans="1:43" x14ac:dyDescent="0.25">
      <c r="A2684" t="s">
        <v>45</v>
      </c>
      <c r="B2684">
        <v>5</v>
      </c>
      <c r="C2684" t="s">
        <v>1686</v>
      </c>
      <c r="D2684" s="39">
        <v>46018</v>
      </c>
      <c r="E2684" t="s">
        <v>396</v>
      </c>
      <c r="F2684" t="s">
        <v>79</v>
      </c>
      <c r="G2684">
        <v>17</v>
      </c>
      <c r="H2684" t="s">
        <v>92</v>
      </c>
      <c r="I2684" t="s">
        <v>79</v>
      </c>
      <c r="J2684">
        <v>5000</v>
      </c>
      <c r="K2684" t="s">
        <v>79</v>
      </c>
      <c r="L2684">
        <v>4</v>
      </c>
      <c r="M2684">
        <v>255.18</v>
      </c>
      <c r="N2684">
        <v>6.8</v>
      </c>
      <c r="O2684">
        <v>15</v>
      </c>
      <c r="Q2684">
        <v>248.38</v>
      </c>
      <c r="R2684" t="s">
        <v>1715</v>
      </c>
      <c r="V2684">
        <v>0</v>
      </c>
      <c r="W2684">
        <v>0</v>
      </c>
      <c r="AF2684">
        <v>0</v>
      </c>
      <c r="AG2684">
        <v>0</v>
      </c>
      <c r="AH2684">
        <v>0</v>
      </c>
      <c r="AI2684">
        <v>12</v>
      </c>
      <c r="AJ2684">
        <v>12</v>
      </c>
      <c r="AM2684">
        <v>0</v>
      </c>
      <c r="AN2684">
        <v>260.18</v>
      </c>
      <c r="AP2684">
        <v>52</v>
      </c>
      <c r="AQ2684">
        <v>52</v>
      </c>
    </row>
    <row r="2685" spans="1:43" x14ac:dyDescent="0.25">
      <c r="A2685" t="s">
        <v>46</v>
      </c>
      <c r="B2685">
        <v>5</v>
      </c>
      <c r="C2685" t="s">
        <v>1686</v>
      </c>
      <c r="D2685" s="39">
        <v>46018</v>
      </c>
      <c r="E2685" t="s">
        <v>396</v>
      </c>
      <c r="F2685" t="s">
        <v>79</v>
      </c>
      <c r="G2685">
        <v>17</v>
      </c>
      <c r="H2685" t="s">
        <v>92</v>
      </c>
      <c r="I2685" t="s">
        <v>79</v>
      </c>
      <c r="J2685">
        <v>5000</v>
      </c>
      <c r="K2685" t="s">
        <v>79</v>
      </c>
      <c r="L2685">
        <v>7</v>
      </c>
      <c r="M2685">
        <v>490.72</v>
      </c>
      <c r="N2685">
        <v>14</v>
      </c>
      <c r="O2685">
        <v>12</v>
      </c>
      <c r="Q2685">
        <v>476.72</v>
      </c>
      <c r="R2685" t="s">
        <v>1715</v>
      </c>
      <c r="V2685">
        <v>0</v>
      </c>
      <c r="W2685">
        <v>0</v>
      </c>
      <c r="AF2685">
        <v>0</v>
      </c>
      <c r="AG2685">
        <v>0</v>
      </c>
      <c r="AH2685">
        <v>0</v>
      </c>
      <c r="AI2685">
        <v>12</v>
      </c>
      <c r="AJ2685">
        <v>12</v>
      </c>
      <c r="AM2685">
        <v>0</v>
      </c>
      <c r="AN2685">
        <v>495.72</v>
      </c>
      <c r="AP2685">
        <v>52</v>
      </c>
      <c r="AQ2685">
        <v>52</v>
      </c>
    </row>
    <row r="2686" spans="1:43" x14ac:dyDescent="0.25">
      <c r="D2686" s="39">
        <v>46019</v>
      </c>
      <c r="E2686" t="s">
        <v>936</v>
      </c>
      <c r="K2686" t="s">
        <v>79</v>
      </c>
      <c r="Q2686">
        <v>0</v>
      </c>
      <c r="R2686" t="s">
        <v>468</v>
      </c>
      <c r="V2686">
        <v>0</v>
      </c>
      <c r="W2686">
        <v>0</v>
      </c>
      <c r="AF2686">
        <v>0</v>
      </c>
      <c r="AG2686">
        <v>0</v>
      </c>
      <c r="AH2686">
        <v>0</v>
      </c>
      <c r="AI2686">
        <v>12</v>
      </c>
      <c r="AJ2686">
        <v>12</v>
      </c>
      <c r="AM2686">
        <v>0</v>
      </c>
      <c r="AN2686">
        <v>5</v>
      </c>
      <c r="AP2686">
        <v>52</v>
      </c>
    </row>
    <row r="2687" spans="1:43" x14ac:dyDescent="0.25">
      <c r="A2687" t="s">
        <v>45</v>
      </c>
      <c r="B2687">
        <v>1</v>
      </c>
      <c r="C2687" t="s">
        <v>1665</v>
      </c>
      <c r="D2687" s="39">
        <v>46020</v>
      </c>
      <c r="E2687" t="s">
        <v>486</v>
      </c>
      <c r="F2687" t="s">
        <v>79</v>
      </c>
      <c r="G2687">
        <v>4</v>
      </c>
      <c r="H2687" t="s">
        <v>113</v>
      </c>
      <c r="I2687" t="s">
        <v>79</v>
      </c>
      <c r="J2687">
        <v>1500</v>
      </c>
      <c r="K2687" t="s">
        <v>79</v>
      </c>
      <c r="L2687">
        <v>6</v>
      </c>
      <c r="M2687">
        <v>113.1</v>
      </c>
      <c r="N2687">
        <v>2.4000000000000004</v>
      </c>
      <c r="Q2687">
        <v>110.69999999999999</v>
      </c>
      <c r="R2687" t="s">
        <v>1773</v>
      </c>
      <c r="T2687">
        <v>200</v>
      </c>
      <c r="V2687">
        <v>200</v>
      </c>
      <c r="W2687">
        <v>3.3333333333333335</v>
      </c>
      <c r="AF2687">
        <v>0</v>
      </c>
      <c r="AG2687">
        <v>0</v>
      </c>
      <c r="AH2687">
        <v>3.3333333333333335</v>
      </c>
      <c r="AI2687">
        <v>8.6666666666666661</v>
      </c>
      <c r="AJ2687">
        <v>12</v>
      </c>
      <c r="AM2687">
        <v>0</v>
      </c>
      <c r="AN2687">
        <v>118.1</v>
      </c>
      <c r="AP2687">
        <v>53</v>
      </c>
      <c r="AQ2687">
        <v>52</v>
      </c>
    </row>
    <row r="2688" spans="1:43" x14ac:dyDescent="0.25">
      <c r="A2688" t="s">
        <v>46</v>
      </c>
      <c r="B2688">
        <v>1</v>
      </c>
      <c r="C2688" t="s">
        <v>1665</v>
      </c>
      <c r="D2688" s="39">
        <v>46020</v>
      </c>
      <c r="E2688" t="s">
        <v>486</v>
      </c>
      <c r="F2688" t="s">
        <v>79</v>
      </c>
      <c r="G2688">
        <v>4</v>
      </c>
      <c r="H2688" t="s">
        <v>113</v>
      </c>
      <c r="I2688" t="s">
        <v>79</v>
      </c>
      <c r="J2688">
        <v>1500</v>
      </c>
      <c r="K2688" t="s">
        <v>79</v>
      </c>
      <c r="L2688">
        <v>8</v>
      </c>
      <c r="M2688">
        <v>167.32</v>
      </c>
      <c r="N2688">
        <v>3.2</v>
      </c>
      <c r="Q2688">
        <v>164.12</v>
      </c>
      <c r="R2688" t="s">
        <v>1773</v>
      </c>
      <c r="V2688">
        <v>0</v>
      </c>
      <c r="W2688">
        <v>0</v>
      </c>
      <c r="AF2688">
        <v>0</v>
      </c>
      <c r="AG2688">
        <v>0</v>
      </c>
      <c r="AH2688">
        <v>0</v>
      </c>
      <c r="AI2688">
        <v>12</v>
      </c>
      <c r="AJ2688">
        <v>12</v>
      </c>
      <c r="AM2688">
        <v>0</v>
      </c>
      <c r="AN2688">
        <v>172.32</v>
      </c>
      <c r="AP2688">
        <v>53</v>
      </c>
      <c r="AQ2688">
        <v>52</v>
      </c>
    </row>
    <row r="2689" spans="1:43" x14ac:dyDescent="0.25">
      <c r="A2689" t="s">
        <v>45</v>
      </c>
      <c r="B2689">
        <v>2</v>
      </c>
      <c r="C2689" t="s">
        <v>1585</v>
      </c>
      <c r="D2689" s="39">
        <v>46020</v>
      </c>
      <c r="E2689" t="s">
        <v>486</v>
      </c>
      <c r="F2689" t="s">
        <v>79</v>
      </c>
      <c r="G2689">
        <v>6</v>
      </c>
      <c r="H2689">
        <v>5</v>
      </c>
      <c r="I2689" t="s">
        <v>79</v>
      </c>
      <c r="J2689">
        <v>1000</v>
      </c>
      <c r="K2689" t="s">
        <v>79</v>
      </c>
      <c r="L2689">
        <v>7</v>
      </c>
      <c r="M2689">
        <v>148.35000000000002</v>
      </c>
      <c r="N2689">
        <v>4.2</v>
      </c>
      <c r="Q2689">
        <v>144.15000000000003</v>
      </c>
      <c r="R2689" t="s">
        <v>1687</v>
      </c>
      <c r="T2689">
        <v>180</v>
      </c>
      <c r="V2689">
        <v>180</v>
      </c>
      <c r="W2689">
        <v>3</v>
      </c>
      <c r="AF2689">
        <v>0</v>
      </c>
      <c r="AG2689">
        <v>0</v>
      </c>
      <c r="AH2689">
        <v>3</v>
      </c>
      <c r="AI2689">
        <v>9</v>
      </c>
      <c r="AJ2689">
        <v>12</v>
      </c>
      <c r="AM2689">
        <v>0</v>
      </c>
      <c r="AN2689">
        <v>153.35000000000002</v>
      </c>
      <c r="AP2689">
        <v>53</v>
      </c>
      <c r="AQ2689">
        <v>52</v>
      </c>
    </row>
    <row r="2690" spans="1:43" x14ac:dyDescent="0.25">
      <c r="A2690" t="s">
        <v>46</v>
      </c>
      <c r="B2690">
        <v>2</v>
      </c>
      <c r="C2690" t="s">
        <v>1585</v>
      </c>
      <c r="D2690" s="39">
        <v>46020</v>
      </c>
      <c r="E2690" t="s">
        <v>486</v>
      </c>
      <c r="F2690" t="s">
        <v>79</v>
      </c>
      <c r="G2690">
        <v>6</v>
      </c>
      <c r="H2690">
        <v>5</v>
      </c>
      <c r="I2690" t="s">
        <v>79</v>
      </c>
      <c r="J2690">
        <v>1000</v>
      </c>
      <c r="K2690" t="s">
        <v>79</v>
      </c>
      <c r="L2690">
        <v>10</v>
      </c>
      <c r="M2690">
        <v>228.29</v>
      </c>
      <c r="N2690">
        <v>6</v>
      </c>
      <c r="Q2690">
        <v>222.29</v>
      </c>
      <c r="R2690" t="s">
        <v>1687</v>
      </c>
      <c r="V2690">
        <v>0</v>
      </c>
      <c r="W2690">
        <v>0</v>
      </c>
      <c r="AF2690">
        <v>0</v>
      </c>
      <c r="AG2690">
        <v>0</v>
      </c>
      <c r="AH2690">
        <v>0</v>
      </c>
      <c r="AI2690">
        <v>12</v>
      </c>
      <c r="AJ2690">
        <v>12</v>
      </c>
      <c r="AM2690">
        <v>0</v>
      </c>
      <c r="AN2690">
        <v>233.29</v>
      </c>
      <c r="AP2690">
        <v>53</v>
      </c>
      <c r="AQ2690">
        <v>52</v>
      </c>
    </row>
    <row r="2691" spans="1:43" x14ac:dyDescent="0.25">
      <c r="A2691" t="s">
        <v>45</v>
      </c>
      <c r="B2691">
        <v>4</v>
      </c>
      <c r="C2691" t="s">
        <v>1688</v>
      </c>
      <c r="D2691" s="39">
        <v>46020</v>
      </c>
      <c r="E2691" t="s">
        <v>284</v>
      </c>
      <c r="F2691" t="s">
        <v>79</v>
      </c>
      <c r="G2691">
        <v>20</v>
      </c>
      <c r="H2691" t="s">
        <v>98</v>
      </c>
      <c r="I2691" t="s">
        <v>79</v>
      </c>
      <c r="J2691">
        <v>500</v>
      </c>
      <c r="K2691" t="s">
        <v>79</v>
      </c>
      <c r="L2691">
        <v>10</v>
      </c>
      <c r="M2691">
        <v>558.8900000000001</v>
      </c>
      <c r="N2691">
        <v>24</v>
      </c>
      <c r="O2691">
        <v>23</v>
      </c>
      <c r="Q2691">
        <v>534.8900000000001</v>
      </c>
      <c r="R2691" t="s">
        <v>1689</v>
      </c>
      <c r="T2691">
        <v>180</v>
      </c>
      <c r="V2691">
        <v>180</v>
      </c>
      <c r="W2691">
        <v>3</v>
      </c>
      <c r="AF2691">
        <v>0</v>
      </c>
      <c r="AG2691">
        <v>0</v>
      </c>
      <c r="AH2691">
        <v>3</v>
      </c>
      <c r="AI2691">
        <v>9</v>
      </c>
      <c r="AJ2691">
        <v>12</v>
      </c>
      <c r="AM2691">
        <v>0</v>
      </c>
      <c r="AN2691">
        <v>563.8900000000001</v>
      </c>
      <c r="AP2691">
        <v>53</v>
      </c>
      <c r="AQ2691">
        <v>52</v>
      </c>
    </row>
    <row r="2692" spans="1:43" x14ac:dyDescent="0.25">
      <c r="A2692" t="s">
        <v>46</v>
      </c>
      <c r="B2692">
        <v>4</v>
      </c>
      <c r="C2692" t="s">
        <v>1690</v>
      </c>
      <c r="D2692" s="39">
        <v>46020</v>
      </c>
      <c r="E2692" t="s">
        <v>276</v>
      </c>
      <c r="F2692" t="s">
        <v>79</v>
      </c>
      <c r="G2692">
        <v>20</v>
      </c>
      <c r="H2692" t="s">
        <v>113</v>
      </c>
      <c r="I2692" t="s">
        <v>79</v>
      </c>
      <c r="J2692" t="s">
        <v>81</v>
      </c>
      <c r="K2692" t="s">
        <v>79</v>
      </c>
      <c r="L2692">
        <v>12</v>
      </c>
      <c r="M2692">
        <v>729.15</v>
      </c>
      <c r="N2692">
        <v>28.799999999999997</v>
      </c>
      <c r="O2692">
        <v>16</v>
      </c>
      <c r="Q2692">
        <v>700.35</v>
      </c>
      <c r="R2692" t="s">
        <v>1691</v>
      </c>
      <c r="V2692">
        <v>0</v>
      </c>
      <c r="W2692">
        <v>0</v>
      </c>
      <c r="Z2692">
        <v>10</v>
      </c>
      <c r="AF2692">
        <v>10</v>
      </c>
      <c r="AG2692">
        <v>0.16666666666666666</v>
      </c>
      <c r="AH2692">
        <v>0.16666666666666666</v>
      </c>
      <c r="AI2692">
        <v>11.833333333333334</v>
      </c>
      <c r="AJ2692">
        <v>12</v>
      </c>
      <c r="AM2692">
        <v>0</v>
      </c>
      <c r="AN2692">
        <v>734.15</v>
      </c>
      <c r="AP2692">
        <v>53</v>
      </c>
      <c r="AQ2692">
        <v>52</v>
      </c>
    </row>
    <row r="2693" spans="1:43" x14ac:dyDescent="0.25">
      <c r="A2693" t="s">
        <v>45</v>
      </c>
      <c r="B2693">
        <v>5</v>
      </c>
      <c r="C2693" t="s">
        <v>1686</v>
      </c>
      <c r="D2693" s="39">
        <v>46020</v>
      </c>
      <c r="E2693" t="s">
        <v>396</v>
      </c>
      <c r="F2693" t="s">
        <v>79</v>
      </c>
      <c r="G2693">
        <v>17</v>
      </c>
      <c r="H2693" t="s">
        <v>92</v>
      </c>
      <c r="I2693" t="s">
        <v>79</v>
      </c>
      <c r="J2693">
        <v>5000</v>
      </c>
      <c r="K2693" t="s">
        <v>79</v>
      </c>
      <c r="L2693">
        <v>5</v>
      </c>
      <c r="M2693">
        <v>359.78000000000003</v>
      </c>
      <c r="N2693">
        <v>9.7799999999999994</v>
      </c>
      <c r="O2693">
        <v>5</v>
      </c>
      <c r="Q2693">
        <v>350.00000000000006</v>
      </c>
      <c r="R2693" t="s">
        <v>1715</v>
      </c>
      <c r="T2693">
        <v>210</v>
      </c>
      <c r="V2693">
        <v>210</v>
      </c>
      <c r="W2693">
        <v>3.5</v>
      </c>
      <c r="AF2693">
        <v>0</v>
      </c>
      <c r="AG2693">
        <v>0</v>
      </c>
      <c r="AH2693">
        <v>3.5</v>
      </c>
      <c r="AI2693">
        <v>8.5</v>
      </c>
      <c r="AJ2693">
        <v>12</v>
      </c>
      <c r="AM2693">
        <v>0</v>
      </c>
      <c r="AN2693">
        <v>364.78</v>
      </c>
      <c r="AP2693">
        <v>53</v>
      </c>
      <c r="AQ2693">
        <v>52</v>
      </c>
    </row>
    <row r="2694" spans="1:43" x14ac:dyDescent="0.25">
      <c r="A2694" t="s">
        <v>46</v>
      </c>
      <c r="B2694">
        <v>5</v>
      </c>
      <c r="C2694" t="s">
        <v>1686</v>
      </c>
      <c r="D2694" s="39">
        <v>46020</v>
      </c>
      <c r="E2694" t="s">
        <v>396</v>
      </c>
      <c r="F2694" t="s">
        <v>79</v>
      </c>
      <c r="G2694">
        <v>17</v>
      </c>
      <c r="H2694" t="s">
        <v>92</v>
      </c>
      <c r="I2694" t="s">
        <v>79</v>
      </c>
      <c r="J2694">
        <v>5000</v>
      </c>
      <c r="K2694" t="s">
        <v>79</v>
      </c>
      <c r="L2694">
        <v>8</v>
      </c>
      <c r="M2694">
        <v>595.03</v>
      </c>
      <c r="N2694">
        <v>16</v>
      </c>
      <c r="O2694">
        <v>5</v>
      </c>
      <c r="Q2694">
        <v>579.03</v>
      </c>
      <c r="R2694" t="s">
        <v>1715</v>
      </c>
      <c r="V2694">
        <v>0</v>
      </c>
      <c r="W2694">
        <v>0</v>
      </c>
      <c r="AF2694">
        <v>0</v>
      </c>
      <c r="AG2694">
        <v>0</v>
      </c>
      <c r="AH2694">
        <v>0</v>
      </c>
      <c r="AI2694">
        <v>12</v>
      </c>
      <c r="AJ2694">
        <v>12</v>
      </c>
      <c r="AM2694">
        <v>0</v>
      </c>
      <c r="AN2694">
        <v>600.03</v>
      </c>
      <c r="AP2694">
        <v>53</v>
      </c>
      <c r="AQ2694">
        <v>52</v>
      </c>
    </row>
    <row r="2695" spans="1:43" x14ac:dyDescent="0.25">
      <c r="A2695" t="s">
        <v>45</v>
      </c>
      <c r="B2695">
        <v>1</v>
      </c>
      <c r="C2695" t="s">
        <v>1665</v>
      </c>
      <c r="D2695" s="39">
        <v>46021</v>
      </c>
      <c r="E2695" t="s">
        <v>486</v>
      </c>
      <c r="F2695" t="s">
        <v>79</v>
      </c>
      <c r="G2695">
        <v>4</v>
      </c>
      <c r="H2695" t="s">
        <v>113</v>
      </c>
      <c r="I2695" t="s">
        <v>79</v>
      </c>
      <c r="J2695">
        <v>1500</v>
      </c>
      <c r="K2695" t="s">
        <v>79</v>
      </c>
      <c r="L2695">
        <v>7</v>
      </c>
      <c r="M2695">
        <v>153.16</v>
      </c>
      <c r="N2695">
        <v>2.8000000000000003</v>
      </c>
      <c r="Q2695">
        <v>150.35999999999999</v>
      </c>
      <c r="R2695" t="s">
        <v>1773</v>
      </c>
      <c r="V2695">
        <v>0</v>
      </c>
      <c r="W2695">
        <v>0</v>
      </c>
      <c r="AF2695">
        <v>0</v>
      </c>
      <c r="AG2695">
        <v>0</v>
      </c>
      <c r="AH2695">
        <v>0</v>
      </c>
      <c r="AI2695">
        <v>12</v>
      </c>
      <c r="AJ2695">
        <v>12</v>
      </c>
      <c r="AM2695">
        <v>0</v>
      </c>
      <c r="AN2695">
        <v>158.16</v>
      </c>
      <c r="AP2695">
        <v>53</v>
      </c>
      <c r="AQ2695">
        <v>52</v>
      </c>
    </row>
    <row r="2696" spans="1:43" x14ac:dyDescent="0.25">
      <c r="A2696" t="s">
        <v>46</v>
      </c>
      <c r="B2696">
        <v>1</v>
      </c>
      <c r="C2696" t="s">
        <v>1665</v>
      </c>
      <c r="D2696" s="39">
        <v>46021</v>
      </c>
      <c r="E2696" t="s">
        <v>486</v>
      </c>
      <c r="F2696" t="s">
        <v>79</v>
      </c>
      <c r="G2696">
        <v>4</v>
      </c>
      <c r="H2696" t="s">
        <v>113</v>
      </c>
      <c r="I2696" t="s">
        <v>79</v>
      </c>
      <c r="J2696">
        <v>1500</v>
      </c>
      <c r="K2696" t="s">
        <v>79</v>
      </c>
      <c r="L2696">
        <v>7</v>
      </c>
      <c r="M2696">
        <v>154.63</v>
      </c>
      <c r="N2696">
        <v>2.8000000000000003</v>
      </c>
      <c r="Q2696">
        <v>151.82999999999998</v>
      </c>
      <c r="R2696" t="s">
        <v>1773</v>
      </c>
      <c r="V2696">
        <v>0</v>
      </c>
      <c r="W2696">
        <v>0</v>
      </c>
      <c r="AF2696">
        <v>0</v>
      </c>
      <c r="AG2696">
        <v>0</v>
      </c>
      <c r="AH2696">
        <v>0</v>
      </c>
      <c r="AI2696">
        <v>12</v>
      </c>
      <c r="AJ2696">
        <v>12</v>
      </c>
      <c r="AM2696">
        <v>0</v>
      </c>
      <c r="AN2696">
        <v>159.63</v>
      </c>
      <c r="AP2696">
        <v>53</v>
      </c>
      <c r="AQ2696">
        <v>52</v>
      </c>
    </row>
    <row r="2697" spans="1:43" x14ac:dyDescent="0.25">
      <c r="A2697" t="s">
        <v>45</v>
      </c>
      <c r="B2697">
        <v>2</v>
      </c>
      <c r="C2697" t="s">
        <v>1692</v>
      </c>
      <c r="D2697" s="39">
        <v>46021</v>
      </c>
      <c r="E2697" t="s">
        <v>238</v>
      </c>
      <c r="F2697" t="s">
        <v>79</v>
      </c>
      <c r="G2697">
        <v>6</v>
      </c>
      <c r="H2697" t="s">
        <v>534</v>
      </c>
      <c r="I2697" t="s">
        <v>79</v>
      </c>
      <c r="J2697" t="s">
        <v>1693</v>
      </c>
      <c r="K2697" t="s">
        <v>79</v>
      </c>
      <c r="L2697">
        <v>7</v>
      </c>
      <c r="M2697">
        <v>148.68</v>
      </c>
      <c r="N2697">
        <v>4.2</v>
      </c>
      <c r="Q2697">
        <v>144.48000000000002</v>
      </c>
      <c r="R2697" t="s">
        <v>1694</v>
      </c>
      <c r="V2697">
        <v>0</v>
      </c>
      <c r="W2697">
        <v>0</v>
      </c>
      <c r="AF2697">
        <v>0</v>
      </c>
      <c r="AG2697">
        <v>0</v>
      </c>
      <c r="AH2697">
        <v>0</v>
      </c>
      <c r="AI2697">
        <v>12</v>
      </c>
      <c r="AJ2697">
        <v>12</v>
      </c>
      <c r="AM2697">
        <v>0</v>
      </c>
      <c r="AN2697">
        <v>153.68</v>
      </c>
      <c r="AP2697">
        <v>53</v>
      </c>
      <c r="AQ2697">
        <v>52</v>
      </c>
    </row>
    <row r="2698" spans="1:43" x14ac:dyDescent="0.25">
      <c r="A2698" t="s">
        <v>45</v>
      </c>
      <c r="B2698">
        <v>2</v>
      </c>
      <c r="C2698" t="s">
        <v>1585</v>
      </c>
      <c r="D2698" s="39">
        <v>46021</v>
      </c>
      <c r="E2698" t="s">
        <v>486</v>
      </c>
      <c r="F2698" t="s">
        <v>79</v>
      </c>
      <c r="G2698">
        <v>6</v>
      </c>
      <c r="H2698">
        <v>5</v>
      </c>
      <c r="I2698" t="s">
        <v>79</v>
      </c>
      <c r="J2698">
        <v>1000</v>
      </c>
      <c r="K2698" t="s">
        <v>79</v>
      </c>
      <c r="L2698">
        <v>4</v>
      </c>
      <c r="M2698">
        <v>73.459999999999994</v>
      </c>
      <c r="N2698">
        <v>2.4</v>
      </c>
      <c r="Q2698">
        <v>71.059999999999988</v>
      </c>
      <c r="R2698" t="s">
        <v>1687</v>
      </c>
      <c r="V2698">
        <v>0</v>
      </c>
      <c r="W2698">
        <v>0</v>
      </c>
      <c r="AF2698">
        <v>0</v>
      </c>
      <c r="AG2698">
        <v>0</v>
      </c>
      <c r="AH2698">
        <v>0</v>
      </c>
      <c r="AI2698">
        <v>12</v>
      </c>
      <c r="AJ2698">
        <v>12</v>
      </c>
      <c r="AM2698">
        <v>0</v>
      </c>
      <c r="AN2698">
        <v>78.459999999999994</v>
      </c>
      <c r="AP2698">
        <v>53</v>
      </c>
      <c r="AQ2698">
        <v>52</v>
      </c>
    </row>
    <row r="2699" spans="1:43" x14ac:dyDescent="0.25">
      <c r="A2699" t="s">
        <v>46</v>
      </c>
      <c r="B2699">
        <v>2</v>
      </c>
      <c r="C2699" t="s">
        <v>1585</v>
      </c>
      <c r="D2699" s="39">
        <v>46021</v>
      </c>
      <c r="E2699" t="s">
        <v>486</v>
      </c>
      <c r="F2699" t="s">
        <v>79</v>
      </c>
      <c r="G2699">
        <v>6</v>
      </c>
      <c r="H2699">
        <v>5</v>
      </c>
      <c r="I2699" t="s">
        <v>79</v>
      </c>
      <c r="J2699">
        <v>1000</v>
      </c>
      <c r="K2699" t="s">
        <v>79</v>
      </c>
      <c r="L2699">
        <v>12</v>
      </c>
      <c r="M2699">
        <v>241.56</v>
      </c>
      <c r="N2699">
        <v>7.1999999999999993</v>
      </c>
      <c r="Q2699">
        <v>234.36</v>
      </c>
      <c r="R2699" t="s">
        <v>1687</v>
      </c>
      <c r="V2699">
        <v>0</v>
      </c>
      <c r="W2699">
        <v>0</v>
      </c>
      <c r="AF2699">
        <v>0</v>
      </c>
      <c r="AG2699">
        <v>0</v>
      </c>
      <c r="AH2699">
        <v>0</v>
      </c>
      <c r="AI2699">
        <v>12</v>
      </c>
      <c r="AJ2699">
        <v>12</v>
      </c>
      <c r="AM2699">
        <v>0</v>
      </c>
      <c r="AN2699">
        <v>246.56</v>
      </c>
      <c r="AP2699">
        <v>53</v>
      </c>
      <c r="AQ2699">
        <v>52</v>
      </c>
    </row>
    <row r="2700" spans="1:43" x14ac:dyDescent="0.25">
      <c r="A2700" t="s">
        <v>46</v>
      </c>
      <c r="B2700">
        <v>3</v>
      </c>
      <c r="C2700" t="s">
        <v>1585</v>
      </c>
      <c r="D2700" s="39">
        <v>46021</v>
      </c>
      <c r="E2700" t="s">
        <v>486</v>
      </c>
      <c r="F2700" t="s">
        <v>79</v>
      </c>
      <c r="G2700">
        <v>6</v>
      </c>
      <c r="H2700">
        <v>5</v>
      </c>
      <c r="I2700" t="s">
        <v>79</v>
      </c>
      <c r="J2700">
        <v>1000</v>
      </c>
      <c r="K2700" t="s">
        <v>79</v>
      </c>
      <c r="L2700">
        <v>2</v>
      </c>
      <c r="M2700">
        <v>64.52000000000001</v>
      </c>
      <c r="N2700">
        <v>1.2</v>
      </c>
      <c r="Q2700">
        <v>63.320000000000007</v>
      </c>
      <c r="R2700" t="s">
        <v>1687</v>
      </c>
      <c r="T2700">
        <v>150</v>
      </c>
      <c r="V2700">
        <v>150</v>
      </c>
      <c r="W2700">
        <v>2.5</v>
      </c>
      <c r="AD2700">
        <v>30</v>
      </c>
      <c r="AF2700">
        <v>30</v>
      </c>
      <c r="AG2700">
        <v>0.5</v>
      </c>
      <c r="AH2700">
        <v>3</v>
      </c>
      <c r="AI2700">
        <v>9</v>
      </c>
      <c r="AJ2700">
        <v>12</v>
      </c>
      <c r="AM2700">
        <v>0</v>
      </c>
      <c r="AN2700">
        <v>69.52000000000001</v>
      </c>
      <c r="AP2700">
        <v>53</v>
      </c>
      <c r="AQ2700">
        <v>52</v>
      </c>
    </row>
    <row r="2701" spans="1:43" x14ac:dyDescent="0.25">
      <c r="A2701" t="s">
        <v>46</v>
      </c>
      <c r="B2701">
        <v>3</v>
      </c>
      <c r="C2701" t="s">
        <v>1695</v>
      </c>
      <c r="D2701" s="39">
        <v>46021</v>
      </c>
      <c r="E2701" t="s">
        <v>385</v>
      </c>
      <c r="F2701" t="s">
        <v>79</v>
      </c>
      <c r="G2701">
        <v>6</v>
      </c>
      <c r="H2701" t="s">
        <v>93</v>
      </c>
      <c r="I2701" t="s">
        <v>79</v>
      </c>
      <c r="J2701">
        <v>200</v>
      </c>
      <c r="K2701" t="s">
        <v>79</v>
      </c>
      <c r="L2701">
        <v>4</v>
      </c>
      <c r="M2701">
        <v>125.28999999999999</v>
      </c>
      <c r="N2701">
        <v>3.2</v>
      </c>
      <c r="Q2701">
        <v>122.08999999999999</v>
      </c>
      <c r="R2701" t="s">
        <v>1696</v>
      </c>
      <c r="V2701">
        <v>0</v>
      </c>
      <c r="W2701">
        <v>0</v>
      </c>
      <c r="AF2701">
        <v>0</v>
      </c>
      <c r="AG2701">
        <v>0</v>
      </c>
      <c r="AH2701">
        <v>0</v>
      </c>
      <c r="AI2701">
        <v>12</v>
      </c>
      <c r="AJ2701">
        <v>12</v>
      </c>
      <c r="AM2701">
        <v>0</v>
      </c>
      <c r="AN2701">
        <v>130.29</v>
      </c>
      <c r="AP2701">
        <v>53</v>
      </c>
      <c r="AQ2701">
        <v>52</v>
      </c>
    </row>
    <row r="2702" spans="1:43" x14ac:dyDescent="0.25">
      <c r="A2702" t="s">
        <v>45</v>
      </c>
      <c r="B2702">
        <v>5</v>
      </c>
      <c r="C2702" t="s">
        <v>1686</v>
      </c>
      <c r="D2702" s="39">
        <v>46021</v>
      </c>
      <c r="E2702" t="s">
        <v>396</v>
      </c>
      <c r="F2702" t="s">
        <v>79</v>
      </c>
      <c r="G2702">
        <v>17</v>
      </c>
      <c r="H2702" t="s">
        <v>92</v>
      </c>
      <c r="I2702" t="s">
        <v>79</v>
      </c>
      <c r="J2702">
        <v>5000</v>
      </c>
      <c r="K2702" t="s">
        <v>79</v>
      </c>
      <c r="L2702">
        <v>4</v>
      </c>
      <c r="M2702">
        <v>306.88</v>
      </c>
      <c r="N2702">
        <v>7.8000000000000007</v>
      </c>
      <c r="Q2702">
        <v>299.08</v>
      </c>
      <c r="R2702" t="s">
        <v>1715</v>
      </c>
      <c r="V2702">
        <v>0</v>
      </c>
      <c r="W2702">
        <v>0</v>
      </c>
      <c r="X2702">
        <v>375</v>
      </c>
      <c r="AF2702">
        <v>375</v>
      </c>
      <c r="AG2702">
        <v>6.25</v>
      </c>
      <c r="AH2702">
        <v>6.25</v>
      </c>
      <c r="AI2702">
        <v>5.75</v>
      </c>
      <c r="AJ2702">
        <v>12</v>
      </c>
      <c r="AM2702">
        <v>0</v>
      </c>
      <c r="AN2702">
        <v>311.88</v>
      </c>
      <c r="AP2702">
        <v>53</v>
      </c>
      <c r="AQ2702">
        <v>52</v>
      </c>
    </row>
    <row r="2703" spans="1:43" x14ac:dyDescent="0.25">
      <c r="A2703" t="s">
        <v>46</v>
      </c>
      <c r="B2703">
        <v>5</v>
      </c>
      <c r="C2703" t="s">
        <v>1697</v>
      </c>
      <c r="D2703" s="39">
        <v>46021</v>
      </c>
      <c r="E2703" t="s">
        <v>243</v>
      </c>
      <c r="F2703" t="s">
        <v>79</v>
      </c>
      <c r="G2703">
        <v>17</v>
      </c>
      <c r="H2703" t="s">
        <v>93</v>
      </c>
      <c r="I2703" t="s">
        <v>79</v>
      </c>
      <c r="J2703">
        <v>300</v>
      </c>
      <c r="K2703" t="s">
        <v>79</v>
      </c>
      <c r="L2703">
        <v>6</v>
      </c>
      <c r="M2703">
        <v>326.44</v>
      </c>
      <c r="N2703">
        <v>10.199999999999999</v>
      </c>
      <c r="Q2703">
        <v>316.24</v>
      </c>
      <c r="R2703" t="s">
        <v>1698</v>
      </c>
      <c r="V2703">
        <v>0</v>
      </c>
      <c r="W2703">
        <v>0</v>
      </c>
      <c r="AF2703">
        <v>0</v>
      </c>
      <c r="AG2703">
        <v>0</v>
      </c>
      <c r="AH2703">
        <v>0</v>
      </c>
      <c r="AI2703">
        <v>12</v>
      </c>
      <c r="AJ2703">
        <v>12</v>
      </c>
      <c r="AM2703">
        <v>0</v>
      </c>
      <c r="AN2703">
        <v>331.44</v>
      </c>
      <c r="AP2703">
        <v>53</v>
      </c>
      <c r="AQ2703">
        <v>52</v>
      </c>
    </row>
    <row r="2704" spans="1:43" x14ac:dyDescent="0.25">
      <c r="A2704" t="s">
        <v>46</v>
      </c>
      <c r="B2704">
        <v>5</v>
      </c>
      <c r="C2704" t="s">
        <v>1686</v>
      </c>
      <c r="D2704" s="39">
        <v>46021</v>
      </c>
      <c r="E2704" t="s">
        <v>396</v>
      </c>
      <c r="F2704" t="s">
        <v>79</v>
      </c>
      <c r="G2704">
        <v>17</v>
      </c>
      <c r="H2704" t="s">
        <v>92</v>
      </c>
      <c r="I2704" t="s">
        <v>79</v>
      </c>
      <c r="J2704">
        <v>5000</v>
      </c>
      <c r="K2704" t="s">
        <v>79</v>
      </c>
      <c r="L2704">
        <v>4</v>
      </c>
      <c r="M2704">
        <v>259.83000000000004</v>
      </c>
      <c r="N2704">
        <v>8.8000000000000007</v>
      </c>
      <c r="Q2704">
        <v>251.03000000000003</v>
      </c>
      <c r="R2704" t="s">
        <v>1715</v>
      </c>
      <c r="V2704">
        <v>0</v>
      </c>
      <c r="W2704">
        <v>0</v>
      </c>
      <c r="AF2704">
        <v>0</v>
      </c>
      <c r="AG2704">
        <v>0</v>
      </c>
      <c r="AH2704">
        <v>0</v>
      </c>
      <c r="AI2704">
        <v>12</v>
      </c>
      <c r="AJ2704">
        <v>12</v>
      </c>
      <c r="AM2704">
        <v>0</v>
      </c>
      <c r="AN2704">
        <v>264.83000000000004</v>
      </c>
      <c r="AP2704">
        <v>53</v>
      </c>
      <c r="AQ2704">
        <v>52</v>
      </c>
    </row>
    <row r="2705" spans="1:43" x14ac:dyDescent="0.25">
      <c r="A2705" t="s">
        <v>45</v>
      </c>
      <c r="B2705">
        <v>4</v>
      </c>
      <c r="C2705" t="s">
        <v>1690</v>
      </c>
      <c r="D2705" s="39">
        <v>46021</v>
      </c>
      <c r="E2705" t="s">
        <v>276</v>
      </c>
      <c r="F2705" t="s">
        <v>79</v>
      </c>
      <c r="G2705">
        <v>20</v>
      </c>
      <c r="H2705" t="s">
        <v>113</v>
      </c>
      <c r="I2705" t="s">
        <v>79</v>
      </c>
      <c r="J2705" t="s">
        <v>81</v>
      </c>
      <c r="K2705" t="s">
        <v>79</v>
      </c>
      <c r="L2705">
        <v>4</v>
      </c>
      <c r="M2705">
        <v>240.88</v>
      </c>
      <c r="N2705">
        <v>9.6</v>
      </c>
      <c r="O2705">
        <v>4</v>
      </c>
      <c r="Q2705">
        <v>231.28</v>
      </c>
      <c r="R2705" t="s">
        <v>1691</v>
      </c>
      <c r="V2705">
        <v>0</v>
      </c>
      <c r="W2705">
        <v>0</v>
      </c>
      <c r="X2705">
        <v>480</v>
      </c>
      <c r="Z2705">
        <v>75</v>
      </c>
      <c r="AF2705">
        <v>555</v>
      </c>
      <c r="AG2705">
        <v>9.25</v>
      </c>
      <c r="AH2705">
        <v>9.25</v>
      </c>
      <c r="AI2705">
        <v>2.75</v>
      </c>
      <c r="AJ2705">
        <v>12</v>
      </c>
      <c r="AM2705">
        <v>0</v>
      </c>
      <c r="AN2705">
        <v>245.88</v>
      </c>
      <c r="AP2705">
        <v>53</v>
      </c>
      <c r="AQ2705">
        <v>52</v>
      </c>
    </row>
    <row r="2706" spans="1:43" x14ac:dyDescent="0.25">
      <c r="A2706" t="s">
        <v>46</v>
      </c>
      <c r="B2706">
        <v>4</v>
      </c>
      <c r="C2706" t="s">
        <v>1690</v>
      </c>
      <c r="D2706" s="39">
        <v>46021</v>
      </c>
      <c r="E2706" t="s">
        <v>276</v>
      </c>
      <c r="F2706" t="s">
        <v>79</v>
      </c>
      <c r="G2706">
        <v>20</v>
      </c>
      <c r="H2706" t="s">
        <v>113</v>
      </c>
      <c r="I2706" t="s">
        <v>79</v>
      </c>
      <c r="J2706" t="s">
        <v>81</v>
      </c>
      <c r="K2706" t="s">
        <v>79</v>
      </c>
      <c r="L2706">
        <v>4</v>
      </c>
      <c r="M2706">
        <v>277.15999999999997</v>
      </c>
      <c r="N2706">
        <v>10</v>
      </c>
      <c r="O2706">
        <v>4</v>
      </c>
      <c r="Q2706">
        <v>267.15999999999997</v>
      </c>
      <c r="R2706" t="s">
        <v>1691</v>
      </c>
      <c r="S2706">
        <v>25</v>
      </c>
      <c r="V2706">
        <v>25</v>
      </c>
      <c r="W2706">
        <v>0.41666666666666674</v>
      </c>
      <c r="AF2706">
        <v>0</v>
      </c>
      <c r="AG2706">
        <v>0</v>
      </c>
      <c r="AH2706">
        <v>0.41666666666666674</v>
      </c>
      <c r="AI2706">
        <v>11.583333333333334</v>
      </c>
      <c r="AJ2706">
        <v>12</v>
      </c>
      <c r="AM2706">
        <v>0</v>
      </c>
      <c r="AN2706">
        <v>282.15999999999997</v>
      </c>
      <c r="AP2706">
        <v>53</v>
      </c>
      <c r="AQ2706">
        <v>52</v>
      </c>
    </row>
    <row r="2707" spans="1:43" x14ac:dyDescent="0.25">
      <c r="A2707" t="s">
        <v>46</v>
      </c>
      <c r="B2707">
        <v>4</v>
      </c>
      <c r="C2707" t="s">
        <v>1699</v>
      </c>
      <c r="D2707" s="39">
        <v>46021</v>
      </c>
      <c r="E2707" t="s">
        <v>1312</v>
      </c>
      <c r="F2707" t="s">
        <v>79</v>
      </c>
      <c r="G2707">
        <v>22</v>
      </c>
      <c r="H2707" t="s">
        <v>113</v>
      </c>
      <c r="I2707" t="s">
        <v>79</v>
      </c>
      <c r="J2707">
        <v>300</v>
      </c>
      <c r="K2707" t="s">
        <v>79</v>
      </c>
      <c r="L2707">
        <v>6</v>
      </c>
      <c r="M2707">
        <v>370.21999999999997</v>
      </c>
      <c r="N2707">
        <v>16.799999999999997</v>
      </c>
      <c r="O2707">
        <v>31</v>
      </c>
      <c r="Q2707">
        <v>353.41999999999996</v>
      </c>
      <c r="R2707" t="s">
        <v>1700</v>
      </c>
      <c r="S2707">
        <v>25</v>
      </c>
      <c r="V2707">
        <v>25</v>
      </c>
      <c r="W2707">
        <v>0.41666666666666674</v>
      </c>
      <c r="AF2707">
        <v>0</v>
      </c>
      <c r="AG2707">
        <v>0</v>
      </c>
      <c r="AH2707">
        <v>0.41666666666666674</v>
      </c>
      <c r="AI2707">
        <v>11.583333333333334</v>
      </c>
      <c r="AJ2707">
        <v>12</v>
      </c>
      <c r="AM2707">
        <v>0</v>
      </c>
      <c r="AN2707">
        <v>375.22</v>
      </c>
      <c r="AP2707">
        <v>53</v>
      </c>
      <c r="AQ2707">
        <v>52</v>
      </c>
    </row>
    <row r="2708" spans="1:43" x14ac:dyDescent="0.25">
      <c r="A2708" t="s">
        <v>46</v>
      </c>
      <c r="B2708">
        <v>4</v>
      </c>
      <c r="C2708" t="s">
        <v>1701</v>
      </c>
      <c r="D2708" s="39">
        <v>46021</v>
      </c>
      <c r="E2708" t="s">
        <v>270</v>
      </c>
      <c r="F2708" t="s">
        <v>79</v>
      </c>
      <c r="G2708">
        <v>15</v>
      </c>
      <c r="H2708" t="s">
        <v>98</v>
      </c>
      <c r="I2708" t="s">
        <v>79</v>
      </c>
      <c r="J2708">
        <v>125</v>
      </c>
      <c r="K2708" t="s">
        <v>79</v>
      </c>
      <c r="L2708">
        <v>1</v>
      </c>
      <c r="M2708">
        <v>49.6</v>
      </c>
      <c r="N2708">
        <v>1.9</v>
      </c>
      <c r="O2708">
        <v>32</v>
      </c>
      <c r="Q2708">
        <v>47.7</v>
      </c>
      <c r="R2708" t="s">
        <v>1702</v>
      </c>
      <c r="V2708">
        <v>0</v>
      </c>
      <c r="W2708">
        <v>0</v>
      </c>
      <c r="AF2708">
        <v>0</v>
      </c>
      <c r="AG2708">
        <v>0</v>
      </c>
      <c r="AH2708">
        <v>0</v>
      </c>
      <c r="AI2708">
        <v>12</v>
      </c>
      <c r="AJ2708">
        <v>12</v>
      </c>
      <c r="AM2708">
        <v>0</v>
      </c>
      <c r="AN2708">
        <v>54.6</v>
      </c>
      <c r="AP2708">
        <v>53</v>
      </c>
      <c r="AQ2708">
        <v>52</v>
      </c>
    </row>
    <row r="2709" spans="1:43" x14ac:dyDescent="0.25">
      <c r="A2709" t="s">
        <v>45</v>
      </c>
      <c r="B2709">
        <v>1</v>
      </c>
      <c r="C2709" t="s">
        <v>1665</v>
      </c>
      <c r="D2709" s="39">
        <v>46022</v>
      </c>
      <c r="E2709" t="s">
        <v>486</v>
      </c>
      <c r="F2709" t="s">
        <v>79</v>
      </c>
      <c r="G2709">
        <v>4</v>
      </c>
      <c r="H2709" t="s">
        <v>113</v>
      </c>
      <c r="I2709" t="s">
        <v>79</v>
      </c>
      <c r="J2709">
        <v>1500</v>
      </c>
      <c r="K2709" t="s">
        <v>79</v>
      </c>
      <c r="L2709">
        <v>8</v>
      </c>
      <c r="M2709">
        <v>171.83</v>
      </c>
      <c r="N2709">
        <v>3.2</v>
      </c>
      <c r="Q2709">
        <v>168.63000000000002</v>
      </c>
      <c r="R2709" t="s">
        <v>1773</v>
      </c>
      <c r="V2709">
        <v>0</v>
      </c>
      <c r="W2709">
        <v>0</v>
      </c>
      <c r="AF2709">
        <v>0</v>
      </c>
      <c r="AG2709">
        <v>0</v>
      </c>
      <c r="AH2709">
        <v>0</v>
      </c>
      <c r="AI2709">
        <v>12</v>
      </c>
      <c r="AJ2709">
        <v>12</v>
      </c>
      <c r="AM2709">
        <v>0</v>
      </c>
      <c r="AN2709">
        <v>176.83</v>
      </c>
      <c r="AP2709">
        <v>53</v>
      </c>
      <c r="AQ2709">
        <v>52</v>
      </c>
    </row>
    <row r="2710" spans="1:43" x14ac:dyDescent="0.25">
      <c r="A2710" t="s">
        <v>46</v>
      </c>
      <c r="B2710">
        <v>1</v>
      </c>
      <c r="C2710" t="s">
        <v>1665</v>
      </c>
      <c r="D2710" s="39">
        <v>46022</v>
      </c>
      <c r="E2710" t="s">
        <v>486</v>
      </c>
      <c r="F2710" t="s">
        <v>79</v>
      </c>
      <c r="G2710">
        <v>4</v>
      </c>
      <c r="H2710" t="s">
        <v>113</v>
      </c>
      <c r="I2710" t="s">
        <v>79</v>
      </c>
      <c r="J2710">
        <v>1500</v>
      </c>
      <c r="K2710" t="s">
        <v>79</v>
      </c>
      <c r="L2710">
        <v>8</v>
      </c>
      <c r="M2710">
        <v>156.85</v>
      </c>
      <c r="N2710">
        <v>3.2</v>
      </c>
      <c r="Q2710">
        <v>153.65</v>
      </c>
      <c r="R2710" t="s">
        <v>1773</v>
      </c>
      <c r="V2710">
        <v>0</v>
      </c>
      <c r="W2710">
        <v>0</v>
      </c>
      <c r="AF2710">
        <v>0</v>
      </c>
      <c r="AG2710">
        <v>0</v>
      </c>
      <c r="AH2710">
        <v>0</v>
      </c>
      <c r="AI2710">
        <v>12</v>
      </c>
      <c r="AJ2710">
        <v>12</v>
      </c>
      <c r="AM2710">
        <v>0</v>
      </c>
      <c r="AN2710">
        <v>161.85</v>
      </c>
      <c r="AP2710">
        <v>53</v>
      </c>
      <c r="AQ2710">
        <v>52</v>
      </c>
    </row>
    <row r="2711" spans="1:43" x14ac:dyDescent="0.25">
      <c r="A2711" t="s">
        <v>46</v>
      </c>
      <c r="B2711">
        <v>1</v>
      </c>
      <c r="C2711" t="s">
        <v>1703</v>
      </c>
      <c r="D2711" s="39">
        <v>46022</v>
      </c>
      <c r="E2711" t="s">
        <v>1552</v>
      </c>
      <c r="F2711" t="s">
        <v>79</v>
      </c>
      <c r="G2711">
        <v>4</v>
      </c>
      <c r="H2711" t="s">
        <v>1049</v>
      </c>
      <c r="I2711" t="s">
        <v>79</v>
      </c>
      <c r="J2711">
        <v>250</v>
      </c>
      <c r="K2711" t="s">
        <v>79</v>
      </c>
      <c r="L2711">
        <v>1</v>
      </c>
      <c r="M2711">
        <v>15.5</v>
      </c>
      <c r="N2711">
        <v>0.4</v>
      </c>
      <c r="Q2711">
        <v>15.1</v>
      </c>
      <c r="R2711" t="s">
        <v>1716</v>
      </c>
      <c r="V2711">
        <v>0</v>
      </c>
      <c r="W2711">
        <v>0</v>
      </c>
      <c r="AF2711">
        <v>0</v>
      </c>
      <c r="AG2711">
        <v>0</v>
      </c>
      <c r="AH2711">
        <v>0</v>
      </c>
      <c r="AI2711">
        <v>12</v>
      </c>
      <c r="AJ2711">
        <v>12</v>
      </c>
      <c r="AM2711">
        <v>0</v>
      </c>
      <c r="AN2711">
        <v>20.5</v>
      </c>
      <c r="AP2711">
        <v>53</v>
      </c>
      <c r="AQ2711">
        <v>52</v>
      </c>
    </row>
    <row r="2712" spans="1:43" x14ac:dyDescent="0.25">
      <c r="A2712" t="s">
        <v>45</v>
      </c>
      <c r="B2712">
        <v>2</v>
      </c>
      <c r="C2712" t="s">
        <v>1585</v>
      </c>
      <c r="D2712" s="39">
        <v>46022</v>
      </c>
      <c r="E2712" t="s">
        <v>486</v>
      </c>
      <c r="F2712" t="s">
        <v>79</v>
      </c>
      <c r="G2712">
        <v>6</v>
      </c>
      <c r="H2712">
        <v>5</v>
      </c>
      <c r="I2712" t="s">
        <v>79</v>
      </c>
      <c r="J2712">
        <v>1000</v>
      </c>
      <c r="K2712" t="s">
        <v>79</v>
      </c>
      <c r="L2712">
        <v>3</v>
      </c>
      <c r="M2712">
        <v>70.97</v>
      </c>
      <c r="N2712">
        <v>1.7999999999999998</v>
      </c>
      <c r="Q2712">
        <v>69.17</v>
      </c>
      <c r="R2712" t="s">
        <v>1687</v>
      </c>
      <c r="V2712">
        <v>0</v>
      </c>
      <c r="W2712">
        <v>0</v>
      </c>
      <c r="AF2712">
        <v>0</v>
      </c>
      <c r="AG2712">
        <v>0</v>
      </c>
      <c r="AH2712">
        <v>0</v>
      </c>
      <c r="AI2712">
        <v>12</v>
      </c>
      <c r="AJ2712">
        <v>12</v>
      </c>
      <c r="AM2712">
        <v>0</v>
      </c>
      <c r="AN2712">
        <v>75.97</v>
      </c>
      <c r="AP2712">
        <v>53</v>
      </c>
      <c r="AQ2712">
        <v>52</v>
      </c>
    </row>
    <row r="2713" spans="1:43" x14ac:dyDescent="0.25">
      <c r="A2713" t="s">
        <v>45</v>
      </c>
      <c r="B2713">
        <v>2</v>
      </c>
      <c r="C2713" t="s">
        <v>1704</v>
      </c>
      <c r="D2713" s="39">
        <v>46022</v>
      </c>
      <c r="E2713" t="s">
        <v>486</v>
      </c>
      <c r="F2713" t="s">
        <v>79</v>
      </c>
      <c r="G2713">
        <v>5</v>
      </c>
      <c r="H2713" t="s">
        <v>92</v>
      </c>
      <c r="I2713" t="s">
        <v>79</v>
      </c>
      <c r="J2713" t="s">
        <v>1578</v>
      </c>
      <c r="K2713" t="s">
        <v>79</v>
      </c>
      <c r="L2713">
        <v>7</v>
      </c>
      <c r="M2713">
        <v>152.19999999999999</v>
      </c>
      <c r="N2713">
        <v>3.5</v>
      </c>
      <c r="Q2713">
        <v>148.69999999999999</v>
      </c>
      <c r="R2713" t="s">
        <v>1717</v>
      </c>
      <c r="S2713">
        <v>25</v>
      </c>
      <c r="V2713">
        <v>25</v>
      </c>
      <c r="W2713">
        <v>0.41666666666666674</v>
      </c>
      <c r="AF2713">
        <v>0</v>
      </c>
      <c r="AG2713">
        <v>0</v>
      </c>
      <c r="AH2713">
        <v>0.41666666666666674</v>
      </c>
      <c r="AI2713">
        <v>11.583333333333334</v>
      </c>
      <c r="AJ2713">
        <v>12</v>
      </c>
      <c r="AM2713">
        <v>0</v>
      </c>
      <c r="AN2713">
        <v>157.19999999999999</v>
      </c>
      <c r="AP2713">
        <v>53</v>
      </c>
      <c r="AQ2713">
        <v>52</v>
      </c>
    </row>
    <row r="2714" spans="1:43" x14ac:dyDescent="0.25">
      <c r="A2714" t="s">
        <v>46</v>
      </c>
      <c r="B2714">
        <v>2</v>
      </c>
      <c r="C2714" t="s">
        <v>1704</v>
      </c>
      <c r="D2714" s="39">
        <v>46022</v>
      </c>
      <c r="E2714" t="s">
        <v>486</v>
      </c>
      <c r="F2714" t="s">
        <v>79</v>
      </c>
      <c r="G2714">
        <v>5</v>
      </c>
      <c r="H2714" t="s">
        <v>92</v>
      </c>
      <c r="I2714" t="s">
        <v>79</v>
      </c>
      <c r="J2714" t="s">
        <v>1578</v>
      </c>
      <c r="K2714" t="s">
        <v>79</v>
      </c>
      <c r="L2714">
        <v>9</v>
      </c>
      <c r="M2714">
        <v>225.26</v>
      </c>
      <c r="N2714">
        <v>5</v>
      </c>
      <c r="Q2714">
        <v>220.26</v>
      </c>
      <c r="R2714" t="s">
        <v>1717</v>
      </c>
      <c r="V2714">
        <v>0</v>
      </c>
      <c r="W2714">
        <v>0</v>
      </c>
      <c r="AF2714">
        <v>0</v>
      </c>
      <c r="AG2714">
        <v>0</v>
      </c>
      <c r="AH2714">
        <v>0</v>
      </c>
      <c r="AI2714">
        <v>12</v>
      </c>
      <c r="AJ2714">
        <v>12</v>
      </c>
      <c r="AM2714">
        <v>0</v>
      </c>
      <c r="AN2714">
        <v>230.26</v>
      </c>
      <c r="AP2714">
        <v>53</v>
      </c>
      <c r="AQ2714">
        <v>52</v>
      </c>
    </row>
    <row r="2715" spans="1:43" x14ac:dyDescent="0.25">
      <c r="A2715" t="s">
        <v>45</v>
      </c>
      <c r="B2715">
        <v>3</v>
      </c>
      <c r="C2715" t="s">
        <v>1695</v>
      </c>
      <c r="D2715" s="39">
        <v>46022</v>
      </c>
      <c r="E2715" t="s">
        <v>385</v>
      </c>
      <c r="F2715" t="s">
        <v>79</v>
      </c>
      <c r="G2715">
        <v>6</v>
      </c>
      <c r="H2715" t="s">
        <v>93</v>
      </c>
      <c r="I2715" t="s">
        <v>79</v>
      </c>
      <c r="J2715">
        <v>200</v>
      </c>
      <c r="K2715" t="s">
        <v>79</v>
      </c>
      <c r="L2715">
        <v>3</v>
      </c>
      <c r="M2715">
        <v>90.210000000000008</v>
      </c>
      <c r="N2715">
        <v>2.4000000000000004</v>
      </c>
      <c r="Q2715">
        <v>87.81</v>
      </c>
      <c r="R2715" t="s">
        <v>1696</v>
      </c>
      <c r="V2715">
        <v>0</v>
      </c>
      <c r="W2715">
        <v>0</v>
      </c>
      <c r="AF2715">
        <v>0</v>
      </c>
      <c r="AG2715">
        <v>0</v>
      </c>
      <c r="AH2715">
        <v>0</v>
      </c>
      <c r="AI2715">
        <v>12</v>
      </c>
      <c r="AJ2715">
        <v>12</v>
      </c>
      <c r="AM2715">
        <v>0</v>
      </c>
      <c r="AN2715">
        <v>95.21</v>
      </c>
      <c r="AP2715">
        <v>53</v>
      </c>
      <c r="AQ2715">
        <v>52</v>
      </c>
    </row>
    <row r="2716" spans="1:43" x14ac:dyDescent="0.25">
      <c r="A2716" t="s">
        <v>45</v>
      </c>
      <c r="B2716">
        <v>3</v>
      </c>
      <c r="C2716" t="s">
        <v>1705</v>
      </c>
      <c r="D2716" s="39">
        <v>46022</v>
      </c>
      <c r="E2716" t="s">
        <v>1552</v>
      </c>
      <c r="F2716" t="s">
        <v>79</v>
      </c>
      <c r="G2716">
        <v>7</v>
      </c>
      <c r="H2716" t="s">
        <v>1049</v>
      </c>
      <c r="I2716" t="s">
        <v>79</v>
      </c>
      <c r="J2716">
        <v>100</v>
      </c>
      <c r="K2716" t="s">
        <v>79</v>
      </c>
      <c r="L2716">
        <v>4</v>
      </c>
      <c r="M2716">
        <v>124.51</v>
      </c>
      <c r="N2716">
        <v>3.6</v>
      </c>
      <c r="Q2716">
        <v>120.91000000000001</v>
      </c>
      <c r="R2716" t="s">
        <v>1706</v>
      </c>
      <c r="V2716">
        <v>0</v>
      </c>
      <c r="W2716">
        <v>0</v>
      </c>
      <c r="AF2716">
        <v>0</v>
      </c>
      <c r="AG2716">
        <v>0</v>
      </c>
      <c r="AH2716">
        <v>0</v>
      </c>
      <c r="AI2716">
        <v>12</v>
      </c>
      <c r="AJ2716">
        <v>12</v>
      </c>
      <c r="AM2716">
        <v>0</v>
      </c>
      <c r="AN2716">
        <v>129.51</v>
      </c>
      <c r="AP2716">
        <v>53</v>
      </c>
      <c r="AQ2716">
        <v>52</v>
      </c>
    </row>
    <row r="2717" spans="1:43" x14ac:dyDescent="0.25">
      <c r="A2717" t="s">
        <v>45</v>
      </c>
      <c r="B2717">
        <v>3</v>
      </c>
      <c r="C2717" t="s">
        <v>1707</v>
      </c>
      <c r="D2717" s="39">
        <v>46022</v>
      </c>
      <c r="E2717" t="s">
        <v>229</v>
      </c>
      <c r="F2717" t="s">
        <v>79</v>
      </c>
      <c r="G2717">
        <v>7</v>
      </c>
      <c r="H2717" t="s">
        <v>644</v>
      </c>
      <c r="I2717" t="s">
        <v>79</v>
      </c>
      <c r="J2717">
        <v>150</v>
      </c>
      <c r="K2717" t="s">
        <v>79</v>
      </c>
      <c r="L2717">
        <v>1</v>
      </c>
      <c r="M2717">
        <v>35.200000000000003</v>
      </c>
      <c r="N2717">
        <v>0.9</v>
      </c>
      <c r="Q2717">
        <v>34.300000000000004</v>
      </c>
      <c r="R2717" t="s">
        <v>1708</v>
      </c>
      <c r="S2717">
        <v>20</v>
      </c>
      <c r="V2717">
        <v>20</v>
      </c>
      <c r="W2717">
        <v>0.33333333333333331</v>
      </c>
      <c r="AF2717">
        <v>0</v>
      </c>
      <c r="AG2717">
        <v>0</v>
      </c>
      <c r="AH2717">
        <v>0.33333333333333331</v>
      </c>
      <c r="AI2717">
        <v>11.666666666666666</v>
      </c>
      <c r="AJ2717">
        <v>12</v>
      </c>
      <c r="AM2717">
        <v>0</v>
      </c>
      <c r="AN2717">
        <v>40.200000000000003</v>
      </c>
      <c r="AP2717">
        <v>53</v>
      </c>
      <c r="AQ2717">
        <v>52</v>
      </c>
    </row>
    <row r="2718" spans="1:43" x14ac:dyDescent="0.25">
      <c r="A2718" t="s">
        <v>45</v>
      </c>
      <c r="B2718">
        <v>3</v>
      </c>
      <c r="C2718" t="s">
        <v>1709</v>
      </c>
      <c r="D2718" s="39">
        <v>46022</v>
      </c>
      <c r="E2718" t="s">
        <v>486</v>
      </c>
      <c r="F2718" t="s">
        <v>79</v>
      </c>
      <c r="G2718">
        <v>7</v>
      </c>
      <c r="H2718">
        <v>5</v>
      </c>
      <c r="I2718" t="s">
        <v>79</v>
      </c>
      <c r="J2718">
        <v>1000</v>
      </c>
      <c r="K2718" t="s">
        <v>79</v>
      </c>
      <c r="L2718">
        <v>1</v>
      </c>
      <c r="M2718">
        <v>32.549999999999997</v>
      </c>
      <c r="N2718">
        <v>0.7</v>
      </c>
      <c r="Q2718">
        <v>31.849999999999998</v>
      </c>
      <c r="R2718" t="s">
        <v>1718</v>
      </c>
      <c r="V2718">
        <v>0</v>
      </c>
      <c r="W2718">
        <v>0</v>
      </c>
      <c r="AF2718">
        <v>0</v>
      </c>
      <c r="AG2718">
        <v>0</v>
      </c>
      <c r="AH2718">
        <v>0</v>
      </c>
      <c r="AI2718">
        <v>12</v>
      </c>
      <c r="AJ2718">
        <v>12</v>
      </c>
      <c r="AM2718">
        <v>0</v>
      </c>
      <c r="AN2718">
        <v>37.549999999999997</v>
      </c>
      <c r="AP2718">
        <v>53</v>
      </c>
      <c r="AQ2718">
        <v>52</v>
      </c>
    </row>
    <row r="2719" spans="1:43" x14ac:dyDescent="0.25">
      <c r="A2719" t="s">
        <v>46</v>
      </c>
      <c r="B2719">
        <v>3</v>
      </c>
      <c r="C2719" t="s">
        <v>1707</v>
      </c>
      <c r="D2719" s="39">
        <v>46022</v>
      </c>
      <c r="E2719" t="s">
        <v>229</v>
      </c>
      <c r="F2719" t="s">
        <v>79</v>
      </c>
      <c r="G2719">
        <v>7</v>
      </c>
      <c r="H2719" t="s">
        <v>644</v>
      </c>
      <c r="I2719" t="s">
        <v>79</v>
      </c>
      <c r="J2719">
        <v>150</v>
      </c>
      <c r="K2719" t="s">
        <v>79</v>
      </c>
      <c r="L2719">
        <v>6</v>
      </c>
      <c r="M2719">
        <v>153.44</v>
      </c>
      <c r="N2719">
        <v>5.4</v>
      </c>
      <c r="Q2719">
        <v>148.04</v>
      </c>
      <c r="R2719" t="s">
        <v>1708</v>
      </c>
      <c r="V2719">
        <v>0</v>
      </c>
      <c r="W2719">
        <v>0</v>
      </c>
      <c r="AF2719">
        <v>0</v>
      </c>
      <c r="AG2719">
        <v>0</v>
      </c>
      <c r="AH2719">
        <v>0</v>
      </c>
      <c r="AI2719">
        <v>12</v>
      </c>
      <c r="AJ2719">
        <v>12</v>
      </c>
      <c r="AM2719">
        <v>0</v>
      </c>
      <c r="AN2719">
        <v>158.44</v>
      </c>
      <c r="AP2719">
        <v>53</v>
      </c>
      <c r="AQ2719">
        <v>52</v>
      </c>
    </row>
    <row r="2720" spans="1:43" x14ac:dyDescent="0.25">
      <c r="A2720" t="s">
        <v>46</v>
      </c>
      <c r="B2720">
        <v>3</v>
      </c>
      <c r="C2720" t="s">
        <v>1709</v>
      </c>
      <c r="D2720" s="39">
        <v>46022</v>
      </c>
      <c r="E2720" t="s">
        <v>486</v>
      </c>
      <c r="F2720" t="s">
        <v>79</v>
      </c>
      <c r="G2720">
        <v>7</v>
      </c>
      <c r="H2720">
        <v>5</v>
      </c>
      <c r="I2720" t="s">
        <v>79</v>
      </c>
      <c r="J2720">
        <v>1000</v>
      </c>
      <c r="K2720" t="s">
        <v>79</v>
      </c>
      <c r="L2720">
        <v>6</v>
      </c>
      <c r="M2720">
        <v>198.99</v>
      </c>
      <c r="N2720">
        <v>5.4</v>
      </c>
      <c r="Q2720">
        <v>193.59</v>
      </c>
      <c r="R2720" t="s">
        <v>1718</v>
      </c>
      <c r="V2720">
        <v>0</v>
      </c>
      <c r="W2720">
        <v>0</v>
      </c>
      <c r="AF2720">
        <v>0</v>
      </c>
      <c r="AG2720">
        <v>0</v>
      </c>
      <c r="AH2720">
        <v>0</v>
      </c>
      <c r="AI2720">
        <v>12</v>
      </c>
      <c r="AJ2720">
        <v>12</v>
      </c>
      <c r="AM2720">
        <v>0</v>
      </c>
      <c r="AN2720">
        <v>203.99</v>
      </c>
      <c r="AP2720">
        <v>53</v>
      </c>
      <c r="AQ2720">
        <v>52</v>
      </c>
    </row>
    <row r="2721" spans="1:43" x14ac:dyDescent="0.25">
      <c r="A2721" t="s">
        <v>45</v>
      </c>
      <c r="B2721">
        <v>4</v>
      </c>
      <c r="C2721" t="s">
        <v>1701</v>
      </c>
      <c r="D2721" s="39">
        <v>46022</v>
      </c>
      <c r="E2721" t="s">
        <v>270</v>
      </c>
      <c r="F2721" t="s">
        <v>79</v>
      </c>
      <c r="G2721">
        <v>15</v>
      </c>
      <c r="H2721" t="s">
        <v>98</v>
      </c>
      <c r="I2721" t="s">
        <v>79</v>
      </c>
      <c r="J2721">
        <v>125</v>
      </c>
      <c r="K2721" t="s">
        <v>79</v>
      </c>
      <c r="L2721">
        <v>2</v>
      </c>
      <c r="M2721">
        <v>87.57</v>
      </c>
      <c r="N2721">
        <v>3.5</v>
      </c>
      <c r="Q2721">
        <v>84.07</v>
      </c>
      <c r="R2721" t="s">
        <v>1702</v>
      </c>
      <c r="V2721">
        <v>0</v>
      </c>
      <c r="W2721">
        <v>0</v>
      </c>
      <c r="AF2721">
        <v>0</v>
      </c>
      <c r="AG2721">
        <v>0</v>
      </c>
      <c r="AH2721">
        <v>0</v>
      </c>
      <c r="AI2721">
        <v>12</v>
      </c>
      <c r="AJ2721">
        <v>12</v>
      </c>
      <c r="AM2721">
        <v>0</v>
      </c>
      <c r="AN2721">
        <v>92.57</v>
      </c>
      <c r="AP2721">
        <v>53</v>
      </c>
      <c r="AQ2721">
        <v>52</v>
      </c>
    </row>
    <row r="2722" spans="1:43" x14ac:dyDescent="0.25">
      <c r="A2722" t="s">
        <v>45</v>
      </c>
      <c r="B2722">
        <v>4</v>
      </c>
      <c r="C2722" t="s">
        <v>1710</v>
      </c>
      <c r="D2722" s="39">
        <v>46022</v>
      </c>
      <c r="E2722" t="s">
        <v>200</v>
      </c>
      <c r="F2722" t="s">
        <v>79</v>
      </c>
      <c r="G2722">
        <v>18</v>
      </c>
      <c r="H2722" t="s">
        <v>944</v>
      </c>
      <c r="I2722" t="s">
        <v>79</v>
      </c>
      <c r="J2722">
        <v>250</v>
      </c>
      <c r="K2722" t="s">
        <v>79</v>
      </c>
      <c r="L2722">
        <v>6</v>
      </c>
      <c r="M2722">
        <v>275.25</v>
      </c>
      <c r="N2722">
        <v>12.600000000000001</v>
      </c>
      <c r="Q2722">
        <v>262.64999999999998</v>
      </c>
      <c r="R2722" t="s">
        <v>1711</v>
      </c>
      <c r="S2722">
        <v>25</v>
      </c>
      <c r="V2722">
        <v>25</v>
      </c>
      <c r="W2722">
        <v>0.41666666666666674</v>
      </c>
      <c r="AF2722">
        <v>0</v>
      </c>
      <c r="AG2722">
        <v>0</v>
      </c>
      <c r="AH2722">
        <v>0.41666666666666674</v>
      </c>
      <c r="AI2722">
        <v>11.583333333333334</v>
      </c>
      <c r="AJ2722">
        <v>12</v>
      </c>
      <c r="AM2722">
        <v>0</v>
      </c>
      <c r="AN2722">
        <v>280.25</v>
      </c>
      <c r="AP2722">
        <v>53</v>
      </c>
      <c r="AQ2722">
        <v>52</v>
      </c>
    </row>
    <row r="2723" spans="1:43" x14ac:dyDescent="0.25">
      <c r="A2723" t="s">
        <v>45</v>
      </c>
      <c r="B2723">
        <v>4</v>
      </c>
      <c r="C2723" t="s">
        <v>1712</v>
      </c>
      <c r="D2723" s="39">
        <v>46022</v>
      </c>
      <c r="E2723" t="s">
        <v>486</v>
      </c>
      <c r="F2723" t="s">
        <v>79</v>
      </c>
      <c r="G2723">
        <v>18</v>
      </c>
      <c r="H2723">
        <v>5</v>
      </c>
      <c r="I2723" t="s">
        <v>79</v>
      </c>
      <c r="J2723">
        <v>1500</v>
      </c>
      <c r="K2723" t="s">
        <v>79</v>
      </c>
      <c r="L2723">
        <v>7</v>
      </c>
      <c r="M2723">
        <v>459.4</v>
      </c>
      <c r="N2723">
        <v>15.400000000000002</v>
      </c>
      <c r="O2723">
        <v>20</v>
      </c>
      <c r="Q2723">
        <v>444</v>
      </c>
      <c r="R2723" t="s">
        <v>1774</v>
      </c>
      <c r="V2723">
        <v>0</v>
      </c>
      <c r="W2723">
        <v>0</v>
      </c>
      <c r="AF2723">
        <v>0</v>
      </c>
      <c r="AG2723">
        <v>0</v>
      </c>
      <c r="AH2723">
        <v>0</v>
      </c>
      <c r="AI2723">
        <v>12</v>
      </c>
      <c r="AJ2723">
        <v>12</v>
      </c>
      <c r="AM2723">
        <v>0</v>
      </c>
      <c r="AN2723">
        <v>464.4</v>
      </c>
      <c r="AP2723">
        <v>53</v>
      </c>
      <c r="AQ2723">
        <v>52</v>
      </c>
    </row>
    <row r="2724" spans="1:43" x14ac:dyDescent="0.25">
      <c r="A2724" t="s">
        <v>46</v>
      </c>
      <c r="B2724">
        <v>4</v>
      </c>
      <c r="C2724" t="s">
        <v>1712</v>
      </c>
      <c r="D2724" s="39">
        <v>46022</v>
      </c>
      <c r="E2724" t="s">
        <v>486</v>
      </c>
      <c r="F2724" t="s">
        <v>79</v>
      </c>
      <c r="G2724">
        <v>18</v>
      </c>
      <c r="H2724">
        <v>5</v>
      </c>
      <c r="I2724" t="s">
        <v>79</v>
      </c>
      <c r="J2724">
        <v>1500</v>
      </c>
      <c r="K2724" t="s">
        <v>79</v>
      </c>
      <c r="L2724">
        <v>13</v>
      </c>
      <c r="M2724">
        <v>738.66</v>
      </c>
      <c r="N2724">
        <v>28.6</v>
      </c>
      <c r="O2724">
        <v>44</v>
      </c>
      <c r="Q2724">
        <v>710.06</v>
      </c>
      <c r="R2724" t="s">
        <v>1774</v>
      </c>
      <c r="V2724">
        <v>0</v>
      </c>
      <c r="W2724">
        <v>0</v>
      </c>
      <c r="AF2724">
        <v>0</v>
      </c>
      <c r="AG2724">
        <v>0</v>
      </c>
      <c r="AH2724">
        <v>0</v>
      </c>
      <c r="AI2724">
        <v>12</v>
      </c>
      <c r="AJ2724">
        <v>12</v>
      </c>
      <c r="AM2724">
        <v>0</v>
      </c>
      <c r="AN2724">
        <v>743.66</v>
      </c>
      <c r="AP2724">
        <v>53</v>
      </c>
      <c r="AQ2724">
        <v>52</v>
      </c>
    </row>
    <row r="2725" spans="1:43" x14ac:dyDescent="0.25">
      <c r="A2725" t="s">
        <v>45</v>
      </c>
      <c r="B2725">
        <v>5</v>
      </c>
      <c r="C2725" t="s">
        <v>1686</v>
      </c>
      <c r="D2725" s="39">
        <v>46022</v>
      </c>
      <c r="E2725" t="s">
        <v>396</v>
      </c>
      <c r="F2725" t="s">
        <v>79</v>
      </c>
      <c r="G2725">
        <v>17</v>
      </c>
      <c r="H2725" t="s">
        <v>92</v>
      </c>
      <c r="I2725" t="s">
        <v>79</v>
      </c>
      <c r="J2725">
        <v>5000</v>
      </c>
      <c r="K2725" t="s">
        <v>79</v>
      </c>
      <c r="L2725">
        <v>9</v>
      </c>
      <c r="M2725">
        <v>595.38999999999987</v>
      </c>
      <c r="N2725">
        <v>19.8</v>
      </c>
      <c r="Q2725">
        <v>575.58999999999992</v>
      </c>
      <c r="R2725" t="s">
        <v>1715</v>
      </c>
      <c r="V2725">
        <v>0</v>
      </c>
      <c r="W2725">
        <v>0</v>
      </c>
      <c r="AF2725">
        <v>0</v>
      </c>
      <c r="AG2725">
        <v>0</v>
      </c>
      <c r="AH2725">
        <v>0</v>
      </c>
      <c r="AI2725">
        <v>12</v>
      </c>
      <c r="AJ2725">
        <v>12</v>
      </c>
      <c r="AM2725">
        <v>0</v>
      </c>
      <c r="AN2725">
        <v>600.38999999999987</v>
      </c>
      <c r="AP2725">
        <v>53</v>
      </c>
      <c r="AQ2725">
        <v>52</v>
      </c>
    </row>
    <row r="2726" spans="1:43" x14ac:dyDescent="0.25">
      <c r="A2726" t="s">
        <v>46</v>
      </c>
      <c r="B2726">
        <v>5</v>
      </c>
      <c r="C2726" t="s">
        <v>1686</v>
      </c>
      <c r="D2726" s="39">
        <v>46022</v>
      </c>
      <c r="E2726" t="s">
        <v>396</v>
      </c>
      <c r="F2726" t="s">
        <v>79</v>
      </c>
      <c r="G2726">
        <v>17</v>
      </c>
      <c r="H2726" t="s">
        <v>92</v>
      </c>
      <c r="I2726" t="s">
        <v>79</v>
      </c>
      <c r="J2726">
        <v>5000</v>
      </c>
      <c r="K2726" t="s">
        <v>79</v>
      </c>
      <c r="L2726">
        <v>8</v>
      </c>
      <c r="M2726">
        <v>477.17</v>
      </c>
      <c r="N2726">
        <v>16.8</v>
      </c>
      <c r="Q2726">
        <v>460.37</v>
      </c>
      <c r="R2726" t="s">
        <v>1715</v>
      </c>
      <c r="V2726">
        <v>0</v>
      </c>
      <c r="W2726">
        <v>0</v>
      </c>
      <c r="AF2726">
        <v>0</v>
      </c>
      <c r="AG2726">
        <v>0</v>
      </c>
      <c r="AH2726">
        <v>0</v>
      </c>
      <c r="AI2726">
        <v>12</v>
      </c>
      <c r="AJ2726">
        <v>12</v>
      </c>
      <c r="AM2726">
        <v>0</v>
      </c>
      <c r="AN2726">
        <v>482.17</v>
      </c>
      <c r="AP2726">
        <v>53</v>
      </c>
      <c r="AQ2726">
        <v>52</v>
      </c>
    </row>
    <row r="2727" spans="1:43" x14ac:dyDescent="0.25">
      <c r="A2727" t="s">
        <v>45</v>
      </c>
      <c r="B2727">
        <v>1</v>
      </c>
      <c r="C2727" t="s">
        <v>1703</v>
      </c>
      <c r="D2727" s="39">
        <v>46023</v>
      </c>
      <c r="E2727" t="s">
        <v>1552</v>
      </c>
      <c r="F2727" t="s">
        <v>79</v>
      </c>
      <c r="G2727">
        <v>4</v>
      </c>
      <c r="H2727" t="s">
        <v>1049</v>
      </c>
      <c r="I2727" t="s">
        <v>79</v>
      </c>
      <c r="J2727">
        <v>250</v>
      </c>
      <c r="K2727" t="s">
        <v>79</v>
      </c>
      <c r="L2727">
        <v>9</v>
      </c>
      <c r="M2727">
        <v>173.95</v>
      </c>
      <c r="N2727">
        <v>3.6</v>
      </c>
      <c r="Q2727">
        <v>170.35</v>
      </c>
      <c r="R2727" t="s">
        <v>1716</v>
      </c>
      <c r="V2727">
        <v>0</v>
      </c>
      <c r="W2727">
        <v>0</v>
      </c>
      <c r="AF2727">
        <v>0</v>
      </c>
      <c r="AG2727">
        <v>0</v>
      </c>
      <c r="AH2727">
        <v>0</v>
      </c>
      <c r="AI2727">
        <v>12</v>
      </c>
      <c r="AJ2727">
        <v>12</v>
      </c>
      <c r="AM2727">
        <v>0</v>
      </c>
      <c r="AN2727">
        <v>178.95</v>
      </c>
      <c r="AP2727">
        <v>54</v>
      </c>
      <c r="AQ2727">
        <v>54</v>
      </c>
    </row>
    <row r="2728" spans="1:43" x14ac:dyDescent="0.25">
      <c r="A2728" t="s">
        <v>46</v>
      </c>
      <c r="B2728">
        <v>1</v>
      </c>
      <c r="C2728" t="s">
        <v>1703</v>
      </c>
      <c r="D2728" s="39">
        <v>46023</v>
      </c>
      <c r="E2728" t="s">
        <v>1552</v>
      </c>
      <c r="F2728" t="s">
        <v>79</v>
      </c>
      <c r="G2728">
        <v>4</v>
      </c>
      <c r="H2728" t="s">
        <v>1049</v>
      </c>
      <c r="I2728" t="s">
        <v>79</v>
      </c>
      <c r="J2728">
        <v>250</v>
      </c>
      <c r="K2728" t="s">
        <v>79</v>
      </c>
      <c r="L2728">
        <v>6</v>
      </c>
      <c r="M2728">
        <v>82.44</v>
      </c>
      <c r="N2728">
        <v>2.4000000000000004</v>
      </c>
      <c r="Q2728">
        <v>80.039999999999992</v>
      </c>
      <c r="R2728" t="s">
        <v>1716</v>
      </c>
      <c r="V2728">
        <v>0</v>
      </c>
      <c r="W2728">
        <v>0</v>
      </c>
      <c r="AD2728">
        <v>60</v>
      </c>
      <c r="AF2728">
        <v>60</v>
      </c>
      <c r="AG2728">
        <v>1</v>
      </c>
      <c r="AH2728">
        <v>1</v>
      </c>
      <c r="AI2728">
        <v>11</v>
      </c>
      <c r="AJ2728">
        <v>12</v>
      </c>
      <c r="AM2728">
        <v>0</v>
      </c>
      <c r="AN2728">
        <v>87.44</v>
      </c>
      <c r="AP2728">
        <v>54</v>
      </c>
      <c r="AQ2728">
        <v>53</v>
      </c>
    </row>
    <row r="2729" spans="1:43" x14ac:dyDescent="0.25">
      <c r="A2729" t="s">
        <v>46</v>
      </c>
      <c r="B2729">
        <v>1</v>
      </c>
      <c r="C2729" t="s">
        <v>1665</v>
      </c>
      <c r="D2729" s="39">
        <v>46023</v>
      </c>
      <c r="E2729" t="s">
        <v>486</v>
      </c>
      <c r="F2729" t="s">
        <v>79</v>
      </c>
      <c r="G2729">
        <v>4</v>
      </c>
      <c r="H2729" t="s">
        <v>113</v>
      </c>
      <c r="I2729" t="s">
        <v>79</v>
      </c>
      <c r="J2729">
        <v>1500</v>
      </c>
      <c r="K2729" t="s">
        <v>79</v>
      </c>
      <c r="L2729">
        <v>5</v>
      </c>
      <c r="M2729">
        <v>81.260000000000005</v>
      </c>
      <c r="N2729">
        <v>2</v>
      </c>
      <c r="Q2729">
        <v>79.260000000000005</v>
      </c>
      <c r="R2729" t="s">
        <v>1773</v>
      </c>
      <c r="V2729">
        <v>0</v>
      </c>
      <c r="W2729">
        <v>0</v>
      </c>
      <c r="AF2729">
        <v>0</v>
      </c>
      <c r="AG2729">
        <v>0</v>
      </c>
      <c r="AH2729">
        <v>0</v>
      </c>
      <c r="AI2729">
        <v>12</v>
      </c>
      <c r="AJ2729">
        <v>12</v>
      </c>
      <c r="AM2729">
        <v>0</v>
      </c>
      <c r="AN2729">
        <v>86.26</v>
      </c>
      <c r="AP2729">
        <v>54</v>
      </c>
      <c r="AQ2729">
        <v>53</v>
      </c>
    </row>
    <row r="2730" spans="1:43" x14ac:dyDescent="0.25">
      <c r="A2730" t="s">
        <v>45</v>
      </c>
      <c r="B2730">
        <v>2</v>
      </c>
      <c r="C2730" t="s">
        <v>1704</v>
      </c>
      <c r="D2730" s="39">
        <v>46023</v>
      </c>
      <c r="E2730" t="s">
        <v>486</v>
      </c>
      <c r="F2730" t="s">
        <v>79</v>
      </c>
      <c r="G2730">
        <v>5</v>
      </c>
      <c r="H2730" t="s">
        <v>92</v>
      </c>
      <c r="I2730" t="s">
        <v>79</v>
      </c>
      <c r="J2730" t="s">
        <v>1578</v>
      </c>
      <c r="K2730" t="s">
        <v>79</v>
      </c>
      <c r="L2730">
        <v>6</v>
      </c>
      <c r="M2730">
        <v>153.33999999999997</v>
      </c>
      <c r="N2730">
        <v>3</v>
      </c>
      <c r="Q2730">
        <v>150.33999999999997</v>
      </c>
      <c r="R2730" t="s">
        <v>1717</v>
      </c>
      <c r="V2730">
        <v>0</v>
      </c>
      <c r="W2730">
        <v>0</v>
      </c>
      <c r="AF2730">
        <v>0</v>
      </c>
      <c r="AG2730">
        <v>0</v>
      </c>
      <c r="AH2730">
        <v>0</v>
      </c>
      <c r="AI2730">
        <v>12</v>
      </c>
      <c r="AJ2730">
        <v>12</v>
      </c>
      <c r="AM2730">
        <v>0</v>
      </c>
      <c r="AN2730">
        <v>158.33999999999995</v>
      </c>
      <c r="AP2730">
        <v>54</v>
      </c>
      <c r="AQ2730">
        <v>53</v>
      </c>
    </row>
    <row r="2731" spans="1:43" x14ac:dyDescent="0.25">
      <c r="A2731" t="s">
        <v>45</v>
      </c>
      <c r="B2731">
        <v>2</v>
      </c>
      <c r="C2731" t="s">
        <v>1719</v>
      </c>
      <c r="D2731" s="39">
        <v>46023</v>
      </c>
      <c r="E2731" t="s">
        <v>486</v>
      </c>
      <c r="F2731" t="s">
        <v>79</v>
      </c>
      <c r="G2731">
        <v>5</v>
      </c>
      <c r="H2731" t="s">
        <v>92</v>
      </c>
      <c r="I2731" t="s">
        <v>79</v>
      </c>
      <c r="J2731">
        <v>500</v>
      </c>
      <c r="K2731" t="s">
        <v>79</v>
      </c>
      <c r="L2731">
        <v>3</v>
      </c>
      <c r="M2731">
        <v>71.240000000000009</v>
      </c>
      <c r="N2731">
        <v>1.5</v>
      </c>
      <c r="Q2731">
        <v>69.740000000000009</v>
      </c>
      <c r="R2731" t="s">
        <v>1720</v>
      </c>
      <c r="V2731">
        <v>0</v>
      </c>
      <c r="W2731">
        <v>0</v>
      </c>
      <c r="AF2731">
        <v>0</v>
      </c>
      <c r="AG2731">
        <v>0</v>
      </c>
      <c r="AH2731">
        <v>0</v>
      </c>
      <c r="AI2731">
        <v>12</v>
      </c>
      <c r="AJ2731">
        <v>12</v>
      </c>
      <c r="AM2731">
        <v>0</v>
      </c>
      <c r="AN2731">
        <v>76.240000000000009</v>
      </c>
      <c r="AP2731">
        <v>54</v>
      </c>
      <c r="AQ2731">
        <v>53</v>
      </c>
    </row>
    <row r="2732" spans="1:43" x14ac:dyDescent="0.25">
      <c r="A2732" t="s">
        <v>46</v>
      </c>
      <c r="B2732">
        <v>2</v>
      </c>
      <c r="C2732" t="s">
        <v>1719</v>
      </c>
      <c r="D2732" s="39">
        <v>46023</v>
      </c>
      <c r="E2732" t="s">
        <v>486</v>
      </c>
      <c r="F2732" t="s">
        <v>79</v>
      </c>
      <c r="G2732">
        <v>5</v>
      </c>
      <c r="H2732" t="s">
        <v>92</v>
      </c>
      <c r="I2732" t="s">
        <v>79</v>
      </c>
      <c r="J2732">
        <v>500</v>
      </c>
      <c r="K2732" t="s">
        <v>79</v>
      </c>
      <c r="L2732">
        <v>10</v>
      </c>
      <c r="M2732">
        <v>221.05999999999997</v>
      </c>
      <c r="N2732">
        <v>5</v>
      </c>
      <c r="Q2732">
        <v>216.05999999999997</v>
      </c>
      <c r="R2732" t="s">
        <v>1720</v>
      </c>
      <c r="V2732">
        <v>0</v>
      </c>
      <c r="W2732">
        <v>0</v>
      </c>
      <c r="AF2732">
        <v>0</v>
      </c>
      <c r="AG2732">
        <v>0</v>
      </c>
      <c r="AH2732">
        <v>0</v>
      </c>
      <c r="AI2732">
        <v>12</v>
      </c>
      <c r="AJ2732">
        <v>12</v>
      </c>
      <c r="AM2732">
        <v>0</v>
      </c>
      <c r="AN2732">
        <v>226.05999999999997</v>
      </c>
      <c r="AP2732">
        <v>54</v>
      </c>
      <c r="AQ2732">
        <v>53</v>
      </c>
    </row>
    <row r="2733" spans="1:43" x14ac:dyDescent="0.25">
      <c r="A2733" t="s">
        <v>45</v>
      </c>
      <c r="B2733">
        <v>3</v>
      </c>
      <c r="C2733" t="s">
        <v>1709</v>
      </c>
      <c r="D2733" s="39">
        <v>46023</v>
      </c>
      <c r="E2733" t="s">
        <v>486</v>
      </c>
      <c r="F2733" t="s">
        <v>79</v>
      </c>
      <c r="G2733">
        <v>7</v>
      </c>
      <c r="H2733">
        <v>5</v>
      </c>
      <c r="I2733" t="s">
        <v>79</v>
      </c>
      <c r="J2733">
        <v>1000</v>
      </c>
      <c r="K2733" t="s">
        <v>79</v>
      </c>
      <c r="L2733">
        <v>9</v>
      </c>
      <c r="M2733">
        <v>338.29</v>
      </c>
      <c r="N2733">
        <v>8.1</v>
      </c>
      <c r="Q2733">
        <v>330.19</v>
      </c>
      <c r="R2733" t="s">
        <v>1718</v>
      </c>
      <c r="V2733">
        <v>0</v>
      </c>
      <c r="W2733">
        <v>0</v>
      </c>
      <c r="AF2733">
        <v>0</v>
      </c>
      <c r="AG2733">
        <v>0</v>
      </c>
      <c r="AH2733">
        <v>0</v>
      </c>
      <c r="AI2733">
        <v>12</v>
      </c>
      <c r="AJ2733">
        <v>12</v>
      </c>
      <c r="AM2733">
        <v>0</v>
      </c>
      <c r="AN2733">
        <v>343.29</v>
      </c>
      <c r="AP2733">
        <v>54</v>
      </c>
      <c r="AQ2733">
        <v>53</v>
      </c>
    </row>
    <row r="2734" spans="1:43" x14ac:dyDescent="0.25">
      <c r="A2734" t="s">
        <v>46</v>
      </c>
      <c r="B2734">
        <v>3</v>
      </c>
      <c r="C2734" t="s">
        <v>1709</v>
      </c>
      <c r="D2734" s="39">
        <v>46023</v>
      </c>
      <c r="E2734" t="s">
        <v>486</v>
      </c>
      <c r="F2734" t="s">
        <v>79</v>
      </c>
      <c r="G2734">
        <v>7</v>
      </c>
      <c r="H2734">
        <v>5</v>
      </c>
      <c r="I2734" t="s">
        <v>79</v>
      </c>
      <c r="J2734">
        <v>1000</v>
      </c>
      <c r="K2734" t="s">
        <v>79</v>
      </c>
      <c r="L2734">
        <v>9</v>
      </c>
      <c r="M2734">
        <v>284.95</v>
      </c>
      <c r="N2734">
        <v>8.1</v>
      </c>
      <c r="Q2734">
        <v>276.84999999999997</v>
      </c>
      <c r="R2734" t="s">
        <v>1718</v>
      </c>
      <c r="V2734">
        <v>0</v>
      </c>
      <c r="W2734">
        <v>0</v>
      </c>
      <c r="AF2734">
        <v>0</v>
      </c>
      <c r="AG2734">
        <v>0</v>
      </c>
      <c r="AH2734">
        <v>0</v>
      </c>
      <c r="AI2734">
        <v>12</v>
      </c>
      <c r="AJ2734">
        <v>12</v>
      </c>
      <c r="AM2734">
        <v>0</v>
      </c>
      <c r="AN2734">
        <v>289.95</v>
      </c>
      <c r="AP2734">
        <v>54</v>
      </c>
      <c r="AQ2734">
        <v>53</v>
      </c>
    </row>
    <row r="2735" spans="1:43" x14ac:dyDescent="0.25">
      <c r="A2735" t="s">
        <v>45</v>
      </c>
      <c r="B2735">
        <v>4</v>
      </c>
      <c r="C2735" t="s">
        <v>1712</v>
      </c>
      <c r="D2735" s="39">
        <v>46023</v>
      </c>
      <c r="E2735" t="s">
        <v>486</v>
      </c>
      <c r="F2735" t="s">
        <v>79</v>
      </c>
      <c r="G2735">
        <v>18</v>
      </c>
      <c r="H2735">
        <v>5</v>
      </c>
      <c r="I2735" t="s">
        <v>79</v>
      </c>
      <c r="J2735">
        <v>1500</v>
      </c>
      <c r="K2735" t="s">
        <v>79</v>
      </c>
      <c r="L2735">
        <v>6</v>
      </c>
      <c r="M2735">
        <v>420.61</v>
      </c>
      <c r="N2735">
        <v>17.600000000000001</v>
      </c>
      <c r="Q2735">
        <v>403.01</v>
      </c>
      <c r="R2735" t="s">
        <v>1774</v>
      </c>
      <c r="S2735">
        <v>25</v>
      </c>
      <c r="V2735">
        <v>25</v>
      </c>
      <c r="W2735">
        <v>0.41666666666666674</v>
      </c>
      <c r="Z2735">
        <v>210</v>
      </c>
      <c r="AD2735">
        <v>40</v>
      </c>
      <c r="AF2735">
        <v>250</v>
      </c>
      <c r="AG2735">
        <v>4.166666666666667</v>
      </c>
      <c r="AH2735">
        <v>4.5833333333333339</v>
      </c>
      <c r="AI2735">
        <v>7.4166666666666652</v>
      </c>
      <c r="AJ2735">
        <v>12</v>
      </c>
      <c r="AM2735">
        <v>0</v>
      </c>
      <c r="AN2735">
        <v>425.61</v>
      </c>
      <c r="AP2735">
        <v>54</v>
      </c>
      <c r="AQ2735">
        <v>53</v>
      </c>
    </row>
    <row r="2736" spans="1:43" x14ac:dyDescent="0.25">
      <c r="A2736" t="s">
        <v>45</v>
      </c>
      <c r="B2736">
        <v>4</v>
      </c>
      <c r="C2736" t="s">
        <v>1172</v>
      </c>
      <c r="D2736" s="39">
        <v>46023</v>
      </c>
      <c r="E2736" t="s">
        <v>486</v>
      </c>
      <c r="F2736" t="s">
        <v>79</v>
      </c>
      <c r="G2736">
        <v>16</v>
      </c>
      <c r="H2736">
        <v>5</v>
      </c>
      <c r="I2736" t="s">
        <v>79</v>
      </c>
      <c r="J2736">
        <v>600</v>
      </c>
      <c r="K2736" t="s">
        <v>79</v>
      </c>
      <c r="L2736">
        <v>3</v>
      </c>
      <c r="M2736">
        <v>119.34</v>
      </c>
      <c r="N2736">
        <v>5.6999999999999993</v>
      </c>
      <c r="O2736">
        <v>20</v>
      </c>
      <c r="Q2736">
        <v>113.64</v>
      </c>
      <c r="R2736" t="s">
        <v>1714</v>
      </c>
      <c r="V2736">
        <v>0</v>
      </c>
      <c r="W2736">
        <v>0</v>
      </c>
      <c r="AF2736">
        <v>0</v>
      </c>
      <c r="AG2736">
        <v>0</v>
      </c>
      <c r="AH2736">
        <v>0</v>
      </c>
      <c r="AI2736">
        <v>12</v>
      </c>
      <c r="AJ2736">
        <v>12</v>
      </c>
      <c r="AM2736">
        <v>0</v>
      </c>
      <c r="AN2736">
        <v>124.34</v>
      </c>
      <c r="AP2736">
        <v>54</v>
      </c>
      <c r="AQ2736">
        <v>53</v>
      </c>
    </row>
    <row r="2737" spans="1:43" x14ac:dyDescent="0.25">
      <c r="A2737" t="s">
        <v>46</v>
      </c>
      <c r="B2737">
        <v>4</v>
      </c>
      <c r="C2737" t="s">
        <v>1721</v>
      </c>
      <c r="D2737" s="39">
        <v>46023</v>
      </c>
      <c r="E2737" t="s">
        <v>243</v>
      </c>
      <c r="F2737" t="s">
        <v>79</v>
      </c>
      <c r="G2737">
        <v>16.2</v>
      </c>
      <c r="H2737" t="s">
        <v>81</v>
      </c>
      <c r="I2737" t="s">
        <v>79</v>
      </c>
      <c r="J2737">
        <v>2000</v>
      </c>
      <c r="K2737" t="s">
        <v>79</v>
      </c>
      <c r="L2737">
        <v>9</v>
      </c>
      <c r="M2737">
        <v>518.87</v>
      </c>
      <c r="N2737">
        <v>18</v>
      </c>
      <c r="O2737">
        <v>23</v>
      </c>
      <c r="Q2737">
        <v>500.87</v>
      </c>
      <c r="R2737" t="s">
        <v>1722</v>
      </c>
      <c r="V2737">
        <v>0</v>
      </c>
      <c r="W2737">
        <v>0</v>
      </c>
      <c r="AF2737">
        <v>0</v>
      </c>
      <c r="AG2737">
        <v>0</v>
      </c>
      <c r="AH2737">
        <v>0</v>
      </c>
      <c r="AI2737">
        <v>12</v>
      </c>
      <c r="AJ2737">
        <v>12</v>
      </c>
      <c r="AM2737">
        <v>0</v>
      </c>
      <c r="AN2737">
        <v>523.87</v>
      </c>
      <c r="AP2737">
        <v>54</v>
      </c>
      <c r="AQ2737">
        <v>53</v>
      </c>
    </row>
    <row r="2738" spans="1:43" x14ac:dyDescent="0.25">
      <c r="A2738" t="s">
        <v>46</v>
      </c>
      <c r="B2738">
        <v>4</v>
      </c>
      <c r="C2738" t="s">
        <v>1723</v>
      </c>
      <c r="D2738" s="39">
        <v>46023</v>
      </c>
      <c r="E2738" t="s">
        <v>1724</v>
      </c>
      <c r="F2738" t="s">
        <v>79</v>
      </c>
      <c r="G2738">
        <v>17</v>
      </c>
      <c r="H2738" t="s">
        <v>1725</v>
      </c>
      <c r="I2738" t="s">
        <v>79</v>
      </c>
      <c r="J2738">
        <v>500</v>
      </c>
      <c r="K2738" t="s">
        <v>79</v>
      </c>
      <c r="L2738">
        <v>4</v>
      </c>
      <c r="M2738">
        <v>241.3</v>
      </c>
      <c r="N2738">
        <v>4.8</v>
      </c>
      <c r="Q2738">
        <v>236.5</v>
      </c>
      <c r="R2738" t="s">
        <v>1726</v>
      </c>
      <c r="V2738">
        <v>0</v>
      </c>
      <c r="W2738">
        <v>0</v>
      </c>
      <c r="AF2738">
        <v>0</v>
      </c>
      <c r="AG2738">
        <v>0</v>
      </c>
      <c r="AH2738">
        <v>0</v>
      </c>
      <c r="AI2738">
        <v>12</v>
      </c>
      <c r="AJ2738">
        <v>12</v>
      </c>
      <c r="AM2738">
        <v>0</v>
      </c>
      <c r="AN2738">
        <v>246.3</v>
      </c>
      <c r="AP2738">
        <v>54</v>
      </c>
      <c r="AQ2738">
        <v>53</v>
      </c>
    </row>
    <row r="2739" spans="1:43" x14ac:dyDescent="0.25">
      <c r="A2739" t="s">
        <v>45</v>
      </c>
      <c r="B2739">
        <v>5</v>
      </c>
      <c r="C2739" t="s">
        <v>1686</v>
      </c>
      <c r="D2739" s="39">
        <v>46023</v>
      </c>
      <c r="E2739" t="s">
        <v>396</v>
      </c>
      <c r="F2739" t="s">
        <v>79</v>
      </c>
      <c r="G2739">
        <v>17</v>
      </c>
      <c r="H2739" t="s">
        <v>92</v>
      </c>
      <c r="I2739" t="s">
        <v>79</v>
      </c>
      <c r="J2739">
        <v>5000</v>
      </c>
      <c r="K2739" t="s">
        <v>79</v>
      </c>
      <c r="L2739">
        <v>9</v>
      </c>
      <c r="M2739">
        <v>605.64</v>
      </c>
      <c r="N2739">
        <v>18</v>
      </c>
      <c r="O2739">
        <v>5</v>
      </c>
      <c r="Q2739">
        <v>587.64</v>
      </c>
      <c r="R2739" t="s">
        <v>1715</v>
      </c>
      <c r="V2739">
        <v>0</v>
      </c>
      <c r="W2739">
        <v>0</v>
      </c>
      <c r="AF2739">
        <v>0</v>
      </c>
      <c r="AG2739">
        <v>0</v>
      </c>
      <c r="AH2739">
        <v>0</v>
      </c>
      <c r="AI2739">
        <v>12</v>
      </c>
      <c r="AJ2739">
        <v>12</v>
      </c>
      <c r="AM2739">
        <v>0</v>
      </c>
      <c r="AN2739">
        <v>610.64</v>
      </c>
      <c r="AP2739">
        <v>54</v>
      </c>
      <c r="AQ2739">
        <v>53</v>
      </c>
    </row>
    <row r="2740" spans="1:43" x14ac:dyDescent="0.25">
      <c r="A2740" t="s">
        <v>46</v>
      </c>
      <c r="B2740">
        <v>5</v>
      </c>
      <c r="C2740" t="s">
        <v>1686</v>
      </c>
      <c r="D2740" s="39">
        <v>46023</v>
      </c>
      <c r="E2740" t="s">
        <v>396</v>
      </c>
      <c r="F2740" t="s">
        <v>79</v>
      </c>
      <c r="G2740">
        <v>17</v>
      </c>
      <c r="H2740" t="s">
        <v>92</v>
      </c>
      <c r="I2740" t="s">
        <v>79</v>
      </c>
      <c r="J2740">
        <v>5000</v>
      </c>
      <c r="K2740" t="s">
        <v>79</v>
      </c>
      <c r="L2740">
        <v>10</v>
      </c>
      <c r="M2740">
        <v>579.74</v>
      </c>
      <c r="N2740">
        <v>20</v>
      </c>
      <c r="O2740">
        <v>5</v>
      </c>
      <c r="Q2740">
        <v>559.74</v>
      </c>
      <c r="R2740" t="s">
        <v>1715</v>
      </c>
      <c r="V2740">
        <v>0</v>
      </c>
      <c r="W2740">
        <v>0</v>
      </c>
      <c r="AF2740">
        <v>0</v>
      </c>
      <c r="AG2740">
        <v>0</v>
      </c>
      <c r="AH2740">
        <v>0</v>
      </c>
      <c r="AI2740">
        <v>12</v>
      </c>
      <c r="AJ2740">
        <v>12</v>
      </c>
      <c r="AM2740">
        <v>0</v>
      </c>
      <c r="AN2740">
        <v>584.74</v>
      </c>
      <c r="AP2740">
        <v>54</v>
      </c>
      <c r="AQ2740">
        <v>53</v>
      </c>
    </row>
    <row r="2741" spans="1:43" x14ac:dyDescent="0.25">
      <c r="A2741" t="s">
        <v>45</v>
      </c>
      <c r="B2741">
        <v>1</v>
      </c>
      <c r="C2741" t="s">
        <v>1665</v>
      </c>
      <c r="D2741" s="39">
        <v>46024</v>
      </c>
      <c r="E2741" t="s">
        <v>486</v>
      </c>
      <c r="F2741" t="s">
        <v>79</v>
      </c>
      <c r="G2741">
        <v>4</v>
      </c>
      <c r="H2741" t="s">
        <v>113</v>
      </c>
      <c r="I2741" t="s">
        <v>79</v>
      </c>
      <c r="J2741">
        <v>1500</v>
      </c>
      <c r="K2741" t="s">
        <v>79</v>
      </c>
      <c r="L2741">
        <v>8</v>
      </c>
      <c r="M2741">
        <v>158.31</v>
      </c>
      <c r="N2741">
        <v>3.2</v>
      </c>
      <c r="Q2741">
        <v>155.11000000000001</v>
      </c>
      <c r="R2741" t="s">
        <v>1773</v>
      </c>
      <c r="V2741">
        <v>0</v>
      </c>
      <c r="W2741">
        <v>0</v>
      </c>
      <c r="AF2741">
        <v>0</v>
      </c>
      <c r="AG2741">
        <v>0</v>
      </c>
      <c r="AH2741">
        <v>0</v>
      </c>
      <c r="AI2741">
        <v>12</v>
      </c>
      <c r="AJ2741">
        <v>12</v>
      </c>
      <c r="AM2741">
        <v>0</v>
      </c>
      <c r="AN2741">
        <v>163.31</v>
      </c>
      <c r="AP2741">
        <v>54</v>
      </c>
      <c r="AQ2741">
        <v>53</v>
      </c>
    </row>
    <row r="2742" spans="1:43" x14ac:dyDescent="0.25">
      <c r="A2742" t="s">
        <v>46</v>
      </c>
      <c r="B2742">
        <v>1</v>
      </c>
      <c r="C2742" t="s">
        <v>1665</v>
      </c>
      <c r="D2742" s="39">
        <v>46024</v>
      </c>
      <c r="E2742" t="s">
        <v>486</v>
      </c>
      <c r="F2742" t="s">
        <v>79</v>
      </c>
      <c r="G2742">
        <v>4</v>
      </c>
      <c r="H2742" t="s">
        <v>113</v>
      </c>
      <c r="I2742" t="s">
        <v>79</v>
      </c>
      <c r="J2742">
        <v>1500</v>
      </c>
      <c r="K2742" t="s">
        <v>79</v>
      </c>
      <c r="L2742">
        <v>1</v>
      </c>
      <c r="M2742">
        <v>15.97</v>
      </c>
      <c r="N2742">
        <v>0.4</v>
      </c>
      <c r="Q2742">
        <v>15.57</v>
      </c>
      <c r="R2742" t="s">
        <v>1773</v>
      </c>
      <c r="U2742">
        <v>660</v>
      </c>
      <c r="V2742">
        <v>660</v>
      </c>
      <c r="W2742">
        <v>11</v>
      </c>
      <c r="AF2742">
        <v>0</v>
      </c>
      <c r="AG2742">
        <v>0</v>
      </c>
      <c r="AH2742">
        <v>11</v>
      </c>
      <c r="AI2742">
        <v>1</v>
      </c>
      <c r="AJ2742">
        <v>12</v>
      </c>
      <c r="AM2742">
        <v>0</v>
      </c>
      <c r="AN2742">
        <v>20.97</v>
      </c>
      <c r="AP2742">
        <v>54</v>
      </c>
      <c r="AQ2742">
        <v>53</v>
      </c>
    </row>
    <row r="2743" spans="1:43" x14ac:dyDescent="0.25">
      <c r="A2743" t="s">
        <v>45</v>
      </c>
      <c r="B2743">
        <v>3</v>
      </c>
      <c r="C2743" t="s">
        <v>1709</v>
      </c>
      <c r="D2743" s="39">
        <v>46024</v>
      </c>
      <c r="E2743" t="s">
        <v>486</v>
      </c>
      <c r="F2743" t="s">
        <v>79</v>
      </c>
      <c r="G2743">
        <v>7</v>
      </c>
      <c r="H2743">
        <v>5</v>
      </c>
      <c r="I2743" t="s">
        <v>79</v>
      </c>
      <c r="J2743">
        <v>1000</v>
      </c>
      <c r="K2743" t="s">
        <v>79</v>
      </c>
      <c r="L2743">
        <v>8</v>
      </c>
      <c r="M2743">
        <v>311.35000000000002</v>
      </c>
      <c r="N2743">
        <v>7.2</v>
      </c>
      <c r="Q2743">
        <v>304.15000000000003</v>
      </c>
      <c r="R2743" t="s">
        <v>1718</v>
      </c>
      <c r="S2743">
        <v>30</v>
      </c>
      <c r="V2743">
        <v>30</v>
      </c>
      <c r="W2743">
        <v>0.5</v>
      </c>
      <c r="AF2743">
        <v>0</v>
      </c>
      <c r="AG2743">
        <v>0</v>
      </c>
      <c r="AH2743">
        <v>0.5</v>
      </c>
      <c r="AI2743">
        <v>11.5</v>
      </c>
      <c r="AJ2743">
        <v>12</v>
      </c>
      <c r="AM2743">
        <v>0</v>
      </c>
      <c r="AN2743">
        <v>316.35000000000002</v>
      </c>
      <c r="AP2743">
        <v>54</v>
      </c>
      <c r="AQ2743">
        <v>53</v>
      </c>
    </row>
    <row r="2744" spans="1:43" x14ac:dyDescent="0.25">
      <c r="A2744" t="s">
        <v>46</v>
      </c>
      <c r="B2744">
        <v>3</v>
      </c>
      <c r="C2744" t="s">
        <v>1727</v>
      </c>
      <c r="D2744" s="39">
        <v>46024</v>
      </c>
      <c r="E2744" t="s">
        <v>1552</v>
      </c>
      <c r="F2744" t="s">
        <v>79</v>
      </c>
      <c r="G2744">
        <v>8</v>
      </c>
      <c r="H2744" t="s">
        <v>1049</v>
      </c>
      <c r="I2744" t="s">
        <v>79</v>
      </c>
      <c r="J2744">
        <v>100</v>
      </c>
      <c r="K2744" t="s">
        <v>79</v>
      </c>
      <c r="L2744">
        <v>12</v>
      </c>
      <c r="M2744">
        <v>346.03000000000003</v>
      </c>
      <c r="N2744">
        <v>9.6000000000000014</v>
      </c>
      <c r="Q2744">
        <v>336.43</v>
      </c>
      <c r="R2744" t="s">
        <v>1728</v>
      </c>
      <c r="V2744">
        <v>0</v>
      </c>
      <c r="W2744">
        <v>0</v>
      </c>
      <c r="AF2744">
        <v>0</v>
      </c>
      <c r="AG2744">
        <v>0</v>
      </c>
      <c r="AH2744">
        <v>0</v>
      </c>
      <c r="AI2744">
        <v>12</v>
      </c>
      <c r="AJ2744">
        <v>12</v>
      </c>
      <c r="AM2744">
        <v>0</v>
      </c>
      <c r="AN2744">
        <v>351.03000000000003</v>
      </c>
      <c r="AP2744">
        <v>54</v>
      </c>
      <c r="AQ2744">
        <v>53</v>
      </c>
    </row>
    <row r="2745" spans="1:43" x14ac:dyDescent="0.25">
      <c r="A2745" t="s">
        <v>46</v>
      </c>
      <c r="B2745">
        <v>3</v>
      </c>
      <c r="C2745" t="s">
        <v>504</v>
      </c>
      <c r="D2745" s="39">
        <v>46024</v>
      </c>
      <c r="E2745" t="s">
        <v>486</v>
      </c>
      <c r="F2745" t="s">
        <v>79</v>
      </c>
      <c r="G2745">
        <v>8</v>
      </c>
      <c r="H2745">
        <v>5</v>
      </c>
      <c r="I2745" t="s">
        <v>79</v>
      </c>
      <c r="J2745">
        <v>500</v>
      </c>
      <c r="K2745" t="s">
        <v>79</v>
      </c>
      <c r="L2745">
        <v>1</v>
      </c>
      <c r="M2745">
        <v>42.14</v>
      </c>
      <c r="N2745">
        <v>0.8</v>
      </c>
      <c r="Q2745">
        <v>41.34</v>
      </c>
      <c r="R2745" t="s">
        <v>1729</v>
      </c>
      <c r="V2745">
        <v>0</v>
      </c>
      <c r="W2745">
        <v>0</v>
      </c>
      <c r="AF2745">
        <v>0</v>
      </c>
      <c r="AG2745">
        <v>0</v>
      </c>
      <c r="AH2745">
        <v>0</v>
      </c>
      <c r="AI2745">
        <v>12</v>
      </c>
      <c r="AJ2745">
        <v>12</v>
      </c>
      <c r="AM2745">
        <v>0</v>
      </c>
      <c r="AN2745">
        <v>47.14</v>
      </c>
      <c r="AP2745">
        <v>54</v>
      </c>
      <c r="AQ2745">
        <v>53</v>
      </c>
    </row>
    <row r="2746" spans="1:43" x14ac:dyDescent="0.25">
      <c r="A2746" t="s">
        <v>45</v>
      </c>
      <c r="B2746">
        <v>4</v>
      </c>
      <c r="C2746" t="s">
        <v>1723</v>
      </c>
      <c r="D2746" s="39">
        <v>46024</v>
      </c>
      <c r="E2746" t="s">
        <v>1724</v>
      </c>
      <c r="F2746" t="s">
        <v>79</v>
      </c>
      <c r="G2746">
        <v>17</v>
      </c>
      <c r="H2746" t="s">
        <v>1725</v>
      </c>
      <c r="I2746" t="s">
        <v>79</v>
      </c>
      <c r="J2746">
        <v>500</v>
      </c>
      <c r="K2746" t="s">
        <v>79</v>
      </c>
      <c r="L2746">
        <v>5</v>
      </c>
      <c r="M2746">
        <v>277.51</v>
      </c>
      <c r="N2746">
        <v>9.9400000000000013</v>
      </c>
      <c r="Q2746">
        <v>267.57</v>
      </c>
      <c r="R2746" t="s">
        <v>1726</v>
      </c>
      <c r="V2746">
        <v>0</v>
      </c>
      <c r="W2746">
        <v>0</v>
      </c>
      <c r="AF2746">
        <v>0</v>
      </c>
      <c r="AG2746">
        <v>0</v>
      </c>
      <c r="AH2746">
        <v>0</v>
      </c>
      <c r="AI2746">
        <v>12</v>
      </c>
      <c r="AJ2746">
        <v>12</v>
      </c>
      <c r="AM2746">
        <v>0</v>
      </c>
      <c r="AN2746">
        <v>282.51</v>
      </c>
      <c r="AP2746">
        <v>54</v>
      </c>
      <c r="AQ2746">
        <v>53</v>
      </c>
    </row>
    <row r="2747" spans="1:43" x14ac:dyDescent="0.25">
      <c r="A2747" t="s">
        <v>45</v>
      </c>
      <c r="B2747">
        <v>4</v>
      </c>
      <c r="C2747" t="s">
        <v>1730</v>
      </c>
      <c r="D2747" s="39">
        <v>46024</v>
      </c>
      <c r="E2747" t="s">
        <v>1724</v>
      </c>
      <c r="F2747" t="s">
        <v>79</v>
      </c>
      <c r="G2747">
        <v>17</v>
      </c>
      <c r="H2747" t="s">
        <v>1731</v>
      </c>
      <c r="I2747" t="s">
        <v>79</v>
      </c>
      <c r="J2747">
        <v>700</v>
      </c>
      <c r="K2747" t="s">
        <v>79</v>
      </c>
      <c r="L2747">
        <v>10</v>
      </c>
      <c r="M2747">
        <v>554.79000000000008</v>
      </c>
      <c r="N2747">
        <v>16</v>
      </c>
      <c r="O2747">
        <v>23</v>
      </c>
      <c r="Q2747">
        <v>538.79000000000008</v>
      </c>
      <c r="R2747" t="s">
        <v>1732</v>
      </c>
      <c r="V2747">
        <v>0</v>
      </c>
      <c r="W2747">
        <v>0</v>
      </c>
      <c r="AF2747">
        <v>0</v>
      </c>
      <c r="AG2747">
        <v>0</v>
      </c>
      <c r="AH2747">
        <v>0</v>
      </c>
      <c r="AI2747">
        <v>12</v>
      </c>
      <c r="AJ2747">
        <v>12</v>
      </c>
      <c r="AM2747">
        <v>0</v>
      </c>
      <c r="AN2747">
        <v>559.79000000000008</v>
      </c>
      <c r="AP2747">
        <v>54</v>
      </c>
      <c r="AQ2747">
        <v>53</v>
      </c>
    </row>
    <row r="2748" spans="1:43" x14ac:dyDescent="0.25">
      <c r="A2748" t="s">
        <v>46</v>
      </c>
      <c r="B2748">
        <v>4</v>
      </c>
      <c r="C2748" t="s">
        <v>1730</v>
      </c>
      <c r="D2748" s="39">
        <v>46024</v>
      </c>
      <c r="E2748" t="s">
        <v>1724</v>
      </c>
      <c r="F2748" t="s">
        <v>79</v>
      </c>
      <c r="G2748">
        <v>17</v>
      </c>
      <c r="H2748" t="s">
        <v>1731</v>
      </c>
      <c r="I2748" t="s">
        <v>79</v>
      </c>
      <c r="J2748">
        <v>700</v>
      </c>
      <c r="K2748" t="s">
        <v>79</v>
      </c>
      <c r="L2748">
        <v>3</v>
      </c>
      <c r="M2748">
        <v>176.14999999999998</v>
      </c>
      <c r="N2748">
        <v>5</v>
      </c>
      <c r="O2748">
        <v>22</v>
      </c>
      <c r="Q2748">
        <v>171.14999999999998</v>
      </c>
      <c r="R2748" t="s">
        <v>1732</v>
      </c>
      <c r="V2748">
        <v>0</v>
      </c>
      <c r="W2748">
        <v>0</v>
      </c>
      <c r="AF2748">
        <v>0</v>
      </c>
      <c r="AG2748">
        <v>0</v>
      </c>
      <c r="AH2748">
        <v>0</v>
      </c>
      <c r="AI2748">
        <v>12</v>
      </c>
      <c r="AJ2748">
        <v>12</v>
      </c>
      <c r="AM2748">
        <v>0</v>
      </c>
      <c r="AN2748">
        <v>181.15</v>
      </c>
      <c r="AP2748">
        <v>54</v>
      </c>
      <c r="AQ2748">
        <v>53</v>
      </c>
    </row>
    <row r="2749" spans="1:43" x14ac:dyDescent="0.25">
      <c r="A2749" t="s">
        <v>46</v>
      </c>
      <c r="B2749">
        <v>4</v>
      </c>
      <c r="C2749" t="s">
        <v>1733</v>
      </c>
      <c r="D2749" s="39">
        <v>46024</v>
      </c>
      <c r="E2749" t="s">
        <v>1724</v>
      </c>
      <c r="F2749" t="s">
        <v>79</v>
      </c>
      <c r="G2749">
        <v>17</v>
      </c>
      <c r="H2749" t="s">
        <v>1734</v>
      </c>
      <c r="I2749" t="s">
        <v>79</v>
      </c>
      <c r="J2749">
        <v>800</v>
      </c>
      <c r="K2749" t="s">
        <v>79</v>
      </c>
      <c r="L2749">
        <v>10</v>
      </c>
      <c r="M2749">
        <v>599.05000000000007</v>
      </c>
      <c r="N2749">
        <v>17</v>
      </c>
      <c r="Q2749">
        <v>582.05000000000007</v>
      </c>
      <c r="R2749" t="s">
        <v>1735</v>
      </c>
      <c r="V2749">
        <v>0</v>
      </c>
      <c r="W2749">
        <v>0</v>
      </c>
      <c r="AF2749">
        <v>0</v>
      </c>
      <c r="AG2749">
        <v>0</v>
      </c>
      <c r="AH2749">
        <v>0</v>
      </c>
      <c r="AI2749">
        <v>12</v>
      </c>
      <c r="AJ2749">
        <v>12</v>
      </c>
      <c r="AM2749">
        <v>0</v>
      </c>
      <c r="AN2749">
        <v>604.05000000000007</v>
      </c>
      <c r="AP2749">
        <v>54</v>
      </c>
      <c r="AQ2749">
        <v>53</v>
      </c>
    </row>
    <row r="2750" spans="1:43" x14ac:dyDescent="0.25">
      <c r="A2750" t="s">
        <v>45</v>
      </c>
      <c r="B2750">
        <v>5</v>
      </c>
      <c r="C2750" t="s">
        <v>1686</v>
      </c>
      <c r="D2750" s="39">
        <v>46024</v>
      </c>
      <c r="E2750" t="s">
        <v>396</v>
      </c>
      <c r="F2750" t="s">
        <v>79</v>
      </c>
      <c r="G2750">
        <v>17</v>
      </c>
      <c r="H2750" t="s">
        <v>92</v>
      </c>
      <c r="I2750" t="s">
        <v>79</v>
      </c>
      <c r="J2750">
        <v>5000</v>
      </c>
      <c r="K2750" t="s">
        <v>79</v>
      </c>
      <c r="L2750">
        <v>7</v>
      </c>
      <c r="M2750">
        <v>499.03999999999996</v>
      </c>
      <c r="N2750">
        <v>14</v>
      </c>
      <c r="O2750">
        <v>2</v>
      </c>
      <c r="Q2750">
        <v>485.03999999999996</v>
      </c>
      <c r="R2750" t="s">
        <v>1715</v>
      </c>
      <c r="V2750">
        <v>0</v>
      </c>
      <c r="W2750">
        <v>0</v>
      </c>
      <c r="AF2750">
        <v>0</v>
      </c>
      <c r="AG2750">
        <v>0</v>
      </c>
      <c r="AH2750">
        <v>0</v>
      </c>
      <c r="AI2750">
        <v>12</v>
      </c>
      <c r="AJ2750">
        <v>12</v>
      </c>
      <c r="AM2750">
        <v>0</v>
      </c>
      <c r="AN2750">
        <v>504.04</v>
      </c>
      <c r="AP2750">
        <v>54</v>
      </c>
      <c r="AQ2750">
        <v>53</v>
      </c>
    </row>
    <row r="2751" spans="1:43" x14ac:dyDescent="0.25">
      <c r="A2751" t="s">
        <v>46</v>
      </c>
      <c r="B2751">
        <v>5</v>
      </c>
      <c r="C2751" t="s">
        <v>1686</v>
      </c>
      <c r="D2751" s="39">
        <v>46024</v>
      </c>
      <c r="E2751" t="s">
        <v>396</v>
      </c>
      <c r="F2751" t="s">
        <v>79</v>
      </c>
      <c r="G2751">
        <v>17</v>
      </c>
      <c r="H2751" t="s">
        <v>92</v>
      </c>
      <c r="I2751" t="s">
        <v>79</v>
      </c>
      <c r="J2751">
        <v>5000</v>
      </c>
      <c r="K2751" t="s">
        <v>79</v>
      </c>
      <c r="L2751">
        <v>1</v>
      </c>
      <c r="M2751">
        <v>54.62</v>
      </c>
      <c r="N2751">
        <v>1.8</v>
      </c>
      <c r="O2751">
        <v>2</v>
      </c>
      <c r="Q2751">
        <v>52.82</v>
      </c>
      <c r="R2751" t="s">
        <v>1715</v>
      </c>
      <c r="V2751">
        <v>0</v>
      </c>
      <c r="W2751">
        <v>0</v>
      </c>
      <c r="AF2751">
        <v>0</v>
      </c>
      <c r="AG2751">
        <v>0</v>
      </c>
      <c r="AH2751">
        <v>0</v>
      </c>
      <c r="AI2751">
        <v>12</v>
      </c>
      <c r="AJ2751">
        <v>12</v>
      </c>
      <c r="AM2751">
        <v>0</v>
      </c>
      <c r="AN2751">
        <v>59.62</v>
      </c>
      <c r="AP2751">
        <v>54</v>
      </c>
      <c r="AQ2751">
        <v>53</v>
      </c>
    </row>
    <row r="2752" spans="1:43" x14ac:dyDescent="0.25">
      <c r="A2752" t="s">
        <v>46</v>
      </c>
      <c r="B2752">
        <v>5</v>
      </c>
      <c r="C2752" t="s">
        <v>1736</v>
      </c>
      <c r="D2752" s="39">
        <v>46024</v>
      </c>
      <c r="E2752" t="s">
        <v>1737</v>
      </c>
      <c r="F2752" t="s">
        <v>79</v>
      </c>
      <c r="G2752">
        <v>17</v>
      </c>
      <c r="H2752" t="s">
        <v>102</v>
      </c>
      <c r="I2752" t="s">
        <v>79</v>
      </c>
      <c r="J2752">
        <v>125</v>
      </c>
      <c r="K2752" t="s">
        <v>79</v>
      </c>
      <c r="L2752">
        <v>2</v>
      </c>
      <c r="M2752">
        <v>125.28999999999999</v>
      </c>
      <c r="N2752">
        <v>3.4</v>
      </c>
      <c r="Q2752">
        <v>121.88999999999999</v>
      </c>
      <c r="R2752" t="s">
        <v>1738</v>
      </c>
      <c r="V2752">
        <v>0</v>
      </c>
      <c r="W2752">
        <v>0</v>
      </c>
      <c r="AF2752">
        <v>0</v>
      </c>
      <c r="AG2752">
        <v>0</v>
      </c>
      <c r="AH2752">
        <v>0</v>
      </c>
      <c r="AI2752">
        <v>12</v>
      </c>
      <c r="AJ2752">
        <v>12</v>
      </c>
      <c r="AM2752">
        <v>0</v>
      </c>
      <c r="AN2752">
        <v>130.29</v>
      </c>
      <c r="AP2752">
        <v>54</v>
      </c>
      <c r="AQ2752">
        <v>53</v>
      </c>
    </row>
    <row r="2753" spans="1:43" x14ac:dyDescent="0.25">
      <c r="A2753" t="s">
        <v>46</v>
      </c>
      <c r="B2753">
        <v>5</v>
      </c>
      <c r="C2753" t="s">
        <v>1739</v>
      </c>
      <c r="D2753" s="39">
        <v>46024</v>
      </c>
      <c r="E2753" t="s">
        <v>243</v>
      </c>
      <c r="F2753" t="s">
        <v>79</v>
      </c>
      <c r="G2753">
        <v>17</v>
      </c>
      <c r="H2753" t="s">
        <v>87</v>
      </c>
      <c r="I2753" t="s">
        <v>79</v>
      </c>
      <c r="J2753">
        <v>450</v>
      </c>
      <c r="K2753" t="s">
        <v>79</v>
      </c>
      <c r="L2753">
        <v>6</v>
      </c>
      <c r="M2753">
        <v>404.46000000000004</v>
      </c>
      <c r="N2753">
        <v>12.6</v>
      </c>
      <c r="Q2753">
        <v>391.86</v>
      </c>
      <c r="R2753" t="s">
        <v>1740</v>
      </c>
      <c r="V2753">
        <v>0</v>
      </c>
      <c r="W2753">
        <v>0</v>
      </c>
      <c r="AF2753">
        <v>0</v>
      </c>
      <c r="AG2753">
        <v>0</v>
      </c>
      <c r="AH2753">
        <v>0</v>
      </c>
      <c r="AI2753">
        <v>12</v>
      </c>
      <c r="AJ2753">
        <v>12</v>
      </c>
      <c r="AM2753">
        <v>0</v>
      </c>
      <c r="AN2753">
        <v>409.46</v>
      </c>
      <c r="AP2753">
        <v>54</v>
      </c>
      <c r="AQ2753">
        <v>53</v>
      </c>
    </row>
    <row r="2754" spans="1:43" x14ac:dyDescent="0.25">
      <c r="A2754" t="s">
        <v>45</v>
      </c>
      <c r="B2754">
        <v>1</v>
      </c>
      <c r="C2754" t="s">
        <v>571</v>
      </c>
      <c r="D2754" s="39">
        <v>46025</v>
      </c>
      <c r="E2754" t="s">
        <v>486</v>
      </c>
      <c r="F2754" t="s">
        <v>79</v>
      </c>
      <c r="G2754">
        <v>3.5</v>
      </c>
      <c r="H2754" t="s">
        <v>92</v>
      </c>
      <c r="I2754" t="s">
        <v>79</v>
      </c>
      <c r="J2754">
        <v>500</v>
      </c>
      <c r="K2754" t="s">
        <v>79</v>
      </c>
      <c r="L2754">
        <v>5</v>
      </c>
      <c r="M2754">
        <v>95.200000000000017</v>
      </c>
      <c r="N2754">
        <v>1.75</v>
      </c>
      <c r="Q2754">
        <v>93.450000000000017</v>
      </c>
      <c r="R2754" t="s">
        <v>1741</v>
      </c>
      <c r="T2754">
        <v>210</v>
      </c>
      <c r="V2754">
        <v>210</v>
      </c>
      <c r="W2754">
        <v>3.5</v>
      </c>
      <c r="AF2754">
        <v>0</v>
      </c>
      <c r="AG2754">
        <v>0</v>
      </c>
      <c r="AH2754">
        <v>3.5</v>
      </c>
      <c r="AI2754">
        <v>8.5</v>
      </c>
      <c r="AJ2754">
        <v>12</v>
      </c>
      <c r="AM2754">
        <v>0</v>
      </c>
      <c r="AN2754">
        <v>100.20000000000002</v>
      </c>
      <c r="AP2754">
        <v>54</v>
      </c>
      <c r="AQ2754">
        <v>53</v>
      </c>
    </row>
    <row r="2755" spans="1:43" x14ac:dyDescent="0.25">
      <c r="A2755" t="s">
        <v>46</v>
      </c>
      <c r="B2755">
        <v>1</v>
      </c>
      <c r="C2755" t="s">
        <v>571</v>
      </c>
      <c r="D2755" s="39">
        <v>46025</v>
      </c>
      <c r="E2755" t="s">
        <v>486</v>
      </c>
      <c r="F2755" t="s">
        <v>79</v>
      </c>
      <c r="G2755">
        <v>3.5</v>
      </c>
      <c r="H2755" t="s">
        <v>92</v>
      </c>
      <c r="I2755" t="s">
        <v>79</v>
      </c>
      <c r="J2755">
        <v>500</v>
      </c>
      <c r="K2755" t="s">
        <v>79</v>
      </c>
      <c r="L2755">
        <v>4</v>
      </c>
      <c r="M2755">
        <v>75.38</v>
      </c>
      <c r="N2755">
        <v>1.4</v>
      </c>
      <c r="Q2755">
        <v>73.97999999999999</v>
      </c>
      <c r="R2755" t="s">
        <v>1741</v>
      </c>
      <c r="S2755">
        <v>20</v>
      </c>
      <c r="V2755">
        <v>20</v>
      </c>
      <c r="W2755">
        <v>0.33333333333333331</v>
      </c>
      <c r="AF2755">
        <v>0</v>
      </c>
      <c r="AG2755">
        <v>0</v>
      </c>
      <c r="AH2755">
        <v>0.33333333333333331</v>
      </c>
      <c r="AI2755">
        <v>11.666666666666666</v>
      </c>
      <c r="AJ2755">
        <v>12</v>
      </c>
      <c r="AM2755">
        <v>0</v>
      </c>
      <c r="AN2755">
        <v>80.38</v>
      </c>
      <c r="AP2755">
        <v>54</v>
      </c>
      <c r="AQ2755">
        <v>53</v>
      </c>
    </row>
    <row r="2756" spans="1:43" x14ac:dyDescent="0.25">
      <c r="A2756" t="s">
        <v>46</v>
      </c>
      <c r="B2756">
        <v>1</v>
      </c>
      <c r="C2756" t="s">
        <v>1742</v>
      </c>
      <c r="D2756" s="39">
        <v>46025</v>
      </c>
      <c r="E2756" t="s">
        <v>486</v>
      </c>
      <c r="F2756" t="s">
        <v>79</v>
      </c>
      <c r="G2756">
        <v>2.5</v>
      </c>
      <c r="H2756" t="s">
        <v>92</v>
      </c>
      <c r="I2756" t="s">
        <v>79</v>
      </c>
      <c r="J2756">
        <v>1000</v>
      </c>
      <c r="K2756" t="s">
        <v>79</v>
      </c>
      <c r="L2756">
        <v>5</v>
      </c>
      <c r="M2756">
        <v>66.73</v>
      </c>
      <c r="N2756">
        <v>1.25</v>
      </c>
      <c r="Q2756">
        <v>65.48</v>
      </c>
      <c r="R2756" t="s">
        <v>1775</v>
      </c>
      <c r="V2756">
        <v>0</v>
      </c>
      <c r="W2756">
        <v>0</v>
      </c>
      <c r="AF2756">
        <v>0</v>
      </c>
      <c r="AG2756">
        <v>0</v>
      </c>
      <c r="AH2756">
        <v>0</v>
      </c>
      <c r="AI2756">
        <v>12</v>
      </c>
      <c r="AJ2756">
        <v>12</v>
      </c>
      <c r="AM2756">
        <v>0</v>
      </c>
      <c r="AN2756">
        <v>71.73</v>
      </c>
      <c r="AP2756">
        <v>54</v>
      </c>
      <c r="AQ2756">
        <v>53</v>
      </c>
    </row>
    <row r="2757" spans="1:43" x14ac:dyDescent="0.25">
      <c r="A2757" t="s">
        <v>45</v>
      </c>
      <c r="B2757">
        <v>2</v>
      </c>
      <c r="C2757" t="s">
        <v>1665</v>
      </c>
      <c r="D2757" s="39">
        <v>46025</v>
      </c>
      <c r="E2757" t="s">
        <v>486</v>
      </c>
      <c r="F2757" t="s">
        <v>79</v>
      </c>
      <c r="G2757">
        <v>4</v>
      </c>
      <c r="H2757" t="s">
        <v>113</v>
      </c>
      <c r="I2757" t="s">
        <v>79</v>
      </c>
      <c r="J2757">
        <v>1500</v>
      </c>
      <c r="K2757" t="s">
        <v>79</v>
      </c>
      <c r="L2757">
        <v>8</v>
      </c>
      <c r="M2757">
        <v>150.28</v>
      </c>
      <c r="N2757">
        <v>3.2</v>
      </c>
      <c r="Q2757">
        <v>147.08000000000001</v>
      </c>
      <c r="R2757" t="s">
        <v>1773</v>
      </c>
      <c r="T2757">
        <v>160</v>
      </c>
      <c r="V2757">
        <v>160</v>
      </c>
      <c r="W2757">
        <v>2.6666666666666665</v>
      </c>
      <c r="AF2757">
        <v>0</v>
      </c>
      <c r="AG2757">
        <v>0</v>
      </c>
      <c r="AH2757">
        <v>2.6666666666666665</v>
      </c>
      <c r="AI2757">
        <v>9.3333333333333339</v>
      </c>
      <c r="AJ2757">
        <v>12</v>
      </c>
      <c r="AM2757">
        <v>0</v>
      </c>
      <c r="AN2757">
        <v>155.28</v>
      </c>
      <c r="AP2757">
        <v>54</v>
      </c>
      <c r="AQ2757">
        <v>53</v>
      </c>
    </row>
    <row r="2758" spans="1:43" x14ac:dyDescent="0.25">
      <c r="A2758" t="s">
        <v>46</v>
      </c>
      <c r="B2758">
        <v>2</v>
      </c>
      <c r="C2758" t="s">
        <v>1665</v>
      </c>
      <c r="D2758" s="39">
        <v>46025</v>
      </c>
      <c r="E2758" t="s">
        <v>486</v>
      </c>
      <c r="F2758" t="s">
        <v>79</v>
      </c>
      <c r="G2758">
        <v>4</v>
      </c>
      <c r="H2758" t="s">
        <v>113</v>
      </c>
      <c r="I2758" t="s">
        <v>79</v>
      </c>
      <c r="J2758">
        <v>1500</v>
      </c>
      <c r="K2758" t="s">
        <v>79</v>
      </c>
      <c r="L2758">
        <v>9</v>
      </c>
      <c r="M2758">
        <v>163.72999999999999</v>
      </c>
      <c r="N2758">
        <v>3.6</v>
      </c>
      <c r="Q2758">
        <v>160.13</v>
      </c>
      <c r="R2758" t="s">
        <v>1773</v>
      </c>
      <c r="V2758">
        <v>0</v>
      </c>
      <c r="W2758">
        <v>0</v>
      </c>
      <c r="AF2758">
        <v>0</v>
      </c>
      <c r="AG2758">
        <v>0</v>
      </c>
      <c r="AH2758">
        <v>0</v>
      </c>
      <c r="AI2758">
        <v>12</v>
      </c>
      <c r="AJ2758">
        <v>12</v>
      </c>
      <c r="AM2758">
        <v>0</v>
      </c>
      <c r="AN2758">
        <v>168.73</v>
      </c>
      <c r="AP2758">
        <v>54</v>
      </c>
      <c r="AQ2758">
        <v>53</v>
      </c>
    </row>
    <row r="2759" spans="1:43" x14ac:dyDescent="0.25">
      <c r="A2759" t="s">
        <v>45</v>
      </c>
      <c r="B2759">
        <v>4</v>
      </c>
      <c r="C2759" t="s">
        <v>1733</v>
      </c>
      <c r="D2759" s="39">
        <v>46025</v>
      </c>
      <c r="E2759" t="s">
        <v>1724</v>
      </c>
      <c r="F2759" t="s">
        <v>79</v>
      </c>
      <c r="G2759">
        <v>17</v>
      </c>
      <c r="H2759" t="s">
        <v>1734</v>
      </c>
      <c r="I2759" t="s">
        <v>79</v>
      </c>
      <c r="J2759">
        <v>800</v>
      </c>
      <c r="K2759" t="s">
        <v>79</v>
      </c>
      <c r="L2759">
        <v>16</v>
      </c>
      <c r="M2759">
        <v>767.82</v>
      </c>
      <c r="N2759">
        <v>30.4</v>
      </c>
      <c r="O2759">
        <v>28</v>
      </c>
      <c r="Q2759">
        <v>737.42000000000007</v>
      </c>
      <c r="R2759" t="s">
        <v>1735</v>
      </c>
      <c r="V2759">
        <v>0</v>
      </c>
      <c r="W2759">
        <v>0</v>
      </c>
      <c r="AF2759">
        <v>0</v>
      </c>
      <c r="AG2759">
        <v>0</v>
      </c>
      <c r="AH2759">
        <v>0</v>
      </c>
      <c r="AI2759">
        <v>12</v>
      </c>
      <c r="AJ2759">
        <v>12</v>
      </c>
      <c r="AM2759">
        <v>0</v>
      </c>
      <c r="AN2759">
        <v>772.82</v>
      </c>
      <c r="AP2759">
        <v>54</v>
      </c>
      <c r="AQ2759">
        <v>53</v>
      </c>
    </row>
    <row r="2760" spans="1:43" x14ac:dyDescent="0.25">
      <c r="A2760" t="s">
        <v>46</v>
      </c>
      <c r="B2760">
        <v>4</v>
      </c>
      <c r="C2760" t="s">
        <v>1743</v>
      </c>
      <c r="D2760" s="39">
        <v>46025</v>
      </c>
      <c r="E2760" t="s">
        <v>1744</v>
      </c>
      <c r="F2760" t="s">
        <v>79</v>
      </c>
      <c r="G2760">
        <v>5</v>
      </c>
      <c r="H2760" t="s">
        <v>534</v>
      </c>
      <c r="I2760" t="s">
        <v>79</v>
      </c>
      <c r="J2760">
        <v>50</v>
      </c>
      <c r="K2760" t="s">
        <v>79</v>
      </c>
      <c r="L2760">
        <v>1</v>
      </c>
      <c r="M2760">
        <v>56.79</v>
      </c>
      <c r="N2760">
        <v>1.7</v>
      </c>
      <c r="O2760">
        <v>30</v>
      </c>
      <c r="Q2760">
        <v>55.089999999999996</v>
      </c>
      <c r="R2760" t="s">
        <v>1745</v>
      </c>
      <c r="S2760">
        <v>25</v>
      </c>
      <c r="V2760">
        <v>25</v>
      </c>
      <c r="W2760">
        <v>0.41666666666666674</v>
      </c>
      <c r="AF2760">
        <v>0</v>
      </c>
      <c r="AG2760">
        <v>0</v>
      </c>
      <c r="AH2760">
        <v>0.41666666666666674</v>
      </c>
      <c r="AI2760">
        <v>11.583333333333334</v>
      </c>
      <c r="AJ2760">
        <v>12</v>
      </c>
      <c r="AM2760">
        <v>0</v>
      </c>
      <c r="AN2760">
        <v>61.79</v>
      </c>
      <c r="AP2760">
        <v>54</v>
      </c>
      <c r="AQ2760">
        <v>53</v>
      </c>
    </row>
    <row r="2761" spans="1:43" x14ac:dyDescent="0.25">
      <c r="A2761" t="s">
        <v>46</v>
      </c>
      <c r="B2761">
        <v>4</v>
      </c>
      <c r="C2761" t="s">
        <v>1746</v>
      </c>
      <c r="D2761" s="39">
        <v>46025</v>
      </c>
      <c r="E2761" t="s">
        <v>438</v>
      </c>
      <c r="F2761" t="s">
        <v>79</v>
      </c>
      <c r="G2761">
        <v>22</v>
      </c>
      <c r="H2761" t="s">
        <v>98</v>
      </c>
      <c r="I2761" t="s">
        <v>79</v>
      </c>
      <c r="J2761">
        <v>100</v>
      </c>
      <c r="K2761" t="s">
        <v>79</v>
      </c>
      <c r="L2761">
        <v>2</v>
      </c>
      <c r="M2761">
        <v>102.14</v>
      </c>
      <c r="N2761">
        <v>4.4000000000000004</v>
      </c>
      <c r="Q2761">
        <v>97.74</v>
      </c>
      <c r="R2761" t="s">
        <v>1747</v>
      </c>
      <c r="V2761">
        <v>0</v>
      </c>
      <c r="W2761">
        <v>0</v>
      </c>
      <c r="AF2761">
        <v>0</v>
      </c>
      <c r="AG2761">
        <v>0</v>
      </c>
      <c r="AH2761">
        <v>0</v>
      </c>
      <c r="AI2761">
        <v>12</v>
      </c>
      <c r="AJ2761">
        <v>12</v>
      </c>
      <c r="AM2761">
        <v>0</v>
      </c>
      <c r="AN2761">
        <v>107.14</v>
      </c>
      <c r="AP2761">
        <v>54</v>
      </c>
      <c r="AQ2761">
        <v>53</v>
      </c>
    </row>
    <row r="2762" spans="1:43" x14ac:dyDescent="0.25">
      <c r="A2762" t="s">
        <v>46</v>
      </c>
      <c r="B2762">
        <v>4</v>
      </c>
      <c r="C2762" t="s">
        <v>1748</v>
      </c>
      <c r="D2762" s="39">
        <v>46025</v>
      </c>
      <c r="E2762" t="s">
        <v>276</v>
      </c>
      <c r="F2762" t="s">
        <v>79</v>
      </c>
      <c r="G2762">
        <v>22</v>
      </c>
      <c r="H2762" t="s">
        <v>113</v>
      </c>
      <c r="I2762" t="s">
        <v>79</v>
      </c>
      <c r="J2762" t="s">
        <v>81</v>
      </c>
      <c r="K2762" t="s">
        <v>79</v>
      </c>
      <c r="L2762">
        <v>10</v>
      </c>
      <c r="M2762">
        <v>610.47000000000014</v>
      </c>
      <c r="N2762">
        <v>22</v>
      </c>
      <c r="Q2762">
        <v>588.47000000000014</v>
      </c>
      <c r="R2762" t="s">
        <v>1749</v>
      </c>
      <c r="V2762">
        <v>0</v>
      </c>
      <c r="W2762">
        <v>0</v>
      </c>
      <c r="AF2762">
        <v>0</v>
      </c>
      <c r="AG2762">
        <v>0</v>
      </c>
      <c r="AH2762">
        <v>0</v>
      </c>
      <c r="AI2762">
        <v>12</v>
      </c>
      <c r="AJ2762">
        <v>12</v>
      </c>
      <c r="AM2762">
        <v>0</v>
      </c>
      <c r="AN2762">
        <v>615.47000000000014</v>
      </c>
      <c r="AP2762">
        <v>54</v>
      </c>
      <c r="AQ2762">
        <v>53</v>
      </c>
    </row>
    <row r="2763" spans="1:43" x14ac:dyDescent="0.25">
      <c r="A2763" t="s">
        <v>45</v>
      </c>
      <c r="B2763">
        <v>5</v>
      </c>
      <c r="C2763" t="s">
        <v>1739</v>
      </c>
      <c r="D2763" s="39">
        <v>46025</v>
      </c>
      <c r="E2763" t="s">
        <v>243</v>
      </c>
      <c r="F2763" t="s">
        <v>79</v>
      </c>
      <c r="G2763">
        <v>17</v>
      </c>
      <c r="H2763" t="s">
        <v>87</v>
      </c>
      <c r="I2763" t="s">
        <v>79</v>
      </c>
      <c r="J2763">
        <v>450</v>
      </c>
      <c r="K2763" t="s">
        <v>79</v>
      </c>
      <c r="L2763">
        <v>1</v>
      </c>
      <c r="M2763">
        <v>64.36</v>
      </c>
      <c r="N2763">
        <v>2</v>
      </c>
      <c r="Q2763">
        <v>62.36</v>
      </c>
      <c r="R2763" t="s">
        <v>1740</v>
      </c>
      <c r="V2763">
        <v>0</v>
      </c>
      <c r="W2763">
        <v>0</v>
      </c>
      <c r="AF2763">
        <v>0</v>
      </c>
      <c r="AG2763">
        <v>0</v>
      </c>
      <c r="AH2763">
        <v>0</v>
      </c>
      <c r="AI2763">
        <v>12</v>
      </c>
      <c r="AJ2763">
        <v>12</v>
      </c>
      <c r="AM2763">
        <v>0</v>
      </c>
      <c r="AN2763">
        <v>69.36</v>
      </c>
      <c r="AP2763">
        <v>54</v>
      </c>
      <c r="AQ2763">
        <v>53</v>
      </c>
    </row>
    <row r="2764" spans="1:43" x14ac:dyDescent="0.25">
      <c r="A2764" t="s">
        <v>45</v>
      </c>
      <c r="B2764">
        <v>5</v>
      </c>
      <c r="C2764" t="s">
        <v>1750</v>
      </c>
      <c r="D2764" s="39">
        <v>46025</v>
      </c>
      <c r="E2764" t="s">
        <v>243</v>
      </c>
      <c r="F2764" t="s">
        <v>79</v>
      </c>
      <c r="G2764">
        <v>15</v>
      </c>
      <c r="H2764" t="s">
        <v>87</v>
      </c>
      <c r="I2764" t="s">
        <v>79</v>
      </c>
      <c r="J2764">
        <v>150</v>
      </c>
      <c r="K2764" t="s">
        <v>79</v>
      </c>
      <c r="L2764">
        <v>3</v>
      </c>
      <c r="M2764">
        <v>157.4</v>
      </c>
      <c r="N2764">
        <v>5.4</v>
      </c>
      <c r="Q2764">
        <v>152</v>
      </c>
      <c r="R2764" t="s">
        <v>1751</v>
      </c>
      <c r="V2764">
        <v>0</v>
      </c>
      <c r="W2764">
        <v>0</v>
      </c>
      <c r="AF2764">
        <v>0</v>
      </c>
      <c r="AG2764">
        <v>0</v>
      </c>
      <c r="AH2764">
        <v>0</v>
      </c>
      <c r="AI2764">
        <v>12</v>
      </c>
      <c r="AJ2764">
        <v>12</v>
      </c>
      <c r="AM2764">
        <v>0</v>
      </c>
      <c r="AN2764">
        <v>162.4</v>
      </c>
      <c r="AP2764">
        <v>54</v>
      </c>
      <c r="AQ2764">
        <v>53</v>
      </c>
    </row>
    <row r="2765" spans="1:43" x14ac:dyDescent="0.25">
      <c r="A2765" t="s">
        <v>45</v>
      </c>
      <c r="B2765">
        <v>5</v>
      </c>
      <c r="C2765" t="s">
        <v>1752</v>
      </c>
      <c r="D2765" s="39">
        <v>46025</v>
      </c>
      <c r="E2765" t="s">
        <v>1753</v>
      </c>
      <c r="F2765" t="s">
        <v>79</v>
      </c>
      <c r="G2765">
        <v>13</v>
      </c>
      <c r="H2765">
        <v>7</v>
      </c>
      <c r="I2765" t="s">
        <v>79</v>
      </c>
      <c r="J2765">
        <v>25</v>
      </c>
      <c r="K2765" t="s">
        <v>79</v>
      </c>
      <c r="L2765">
        <v>1</v>
      </c>
      <c r="M2765">
        <v>33.69</v>
      </c>
      <c r="N2765">
        <v>1.55</v>
      </c>
      <c r="Q2765">
        <v>32.14</v>
      </c>
      <c r="R2765" t="s">
        <v>1754</v>
      </c>
      <c r="V2765">
        <v>0</v>
      </c>
      <c r="W2765">
        <v>0</v>
      </c>
      <c r="AF2765">
        <v>0</v>
      </c>
      <c r="AG2765">
        <v>0</v>
      </c>
      <c r="AH2765">
        <v>0</v>
      </c>
      <c r="AI2765">
        <v>12</v>
      </c>
      <c r="AJ2765">
        <v>12</v>
      </c>
      <c r="AM2765">
        <v>0</v>
      </c>
      <c r="AN2765">
        <v>38.69</v>
      </c>
      <c r="AP2765">
        <v>54</v>
      </c>
      <c r="AQ2765">
        <v>53</v>
      </c>
    </row>
    <row r="2766" spans="1:43" x14ac:dyDescent="0.25">
      <c r="A2766" t="s">
        <v>45</v>
      </c>
      <c r="B2766">
        <v>5</v>
      </c>
      <c r="C2766" t="s">
        <v>1755</v>
      </c>
      <c r="D2766" s="39">
        <v>46025</v>
      </c>
      <c r="E2766" t="s">
        <v>1756</v>
      </c>
      <c r="F2766" t="s">
        <v>79</v>
      </c>
      <c r="G2766">
        <v>15</v>
      </c>
      <c r="H2766" t="s">
        <v>102</v>
      </c>
      <c r="I2766" t="s">
        <v>79</v>
      </c>
      <c r="J2766">
        <v>125</v>
      </c>
      <c r="K2766" t="s">
        <v>79</v>
      </c>
      <c r="L2766">
        <v>3</v>
      </c>
      <c r="M2766">
        <v>134.79</v>
      </c>
      <c r="N2766">
        <v>5.0999999999999996</v>
      </c>
      <c r="Q2766">
        <v>129.69</v>
      </c>
      <c r="R2766" t="s">
        <v>1240</v>
      </c>
      <c r="S2766">
        <v>20</v>
      </c>
      <c r="V2766">
        <v>20</v>
      </c>
      <c r="W2766">
        <v>0.33333333333333331</v>
      </c>
      <c r="AF2766">
        <v>0</v>
      </c>
      <c r="AG2766">
        <v>0</v>
      </c>
      <c r="AH2766">
        <v>0.33333333333333331</v>
      </c>
      <c r="AI2766">
        <v>11.666666666666666</v>
      </c>
      <c r="AJ2766">
        <v>12</v>
      </c>
      <c r="AM2766">
        <v>0</v>
      </c>
      <c r="AN2766">
        <v>139.79</v>
      </c>
      <c r="AP2766">
        <v>54</v>
      </c>
      <c r="AQ2766">
        <v>53</v>
      </c>
    </row>
    <row r="2767" spans="1:43" x14ac:dyDescent="0.25">
      <c r="A2767" t="s">
        <v>45</v>
      </c>
      <c r="B2767">
        <v>5</v>
      </c>
      <c r="C2767" t="s">
        <v>1757</v>
      </c>
      <c r="D2767" s="39">
        <v>46025</v>
      </c>
      <c r="E2767" t="s">
        <v>243</v>
      </c>
      <c r="F2767" t="s">
        <v>79</v>
      </c>
      <c r="G2767">
        <v>15</v>
      </c>
      <c r="H2767" t="s">
        <v>87</v>
      </c>
      <c r="I2767" t="s">
        <v>79</v>
      </c>
      <c r="J2767">
        <v>100</v>
      </c>
      <c r="K2767" t="s">
        <v>79</v>
      </c>
      <c r="L2767">
        <v>2</v>
      </c>
      <c r="M2767">
        <v>107.88</v>
      </c>
      <c r="N2767">
        <v>3.4</v>
      </c>
      <c r="O2767">
        <v>3</v>
      </c>
      <c r="Q2767">
        <v>104.47999999999999</v>
      </c>
      <c r="R2767" t="s">
        <v>1758</v>
      </c>
      <c r="S2767">
        <v>20</v>
      </c>
      <c r="V2767">
        <v>20</v>
      </c>
      <c r="W2767">
        <v>0.33333333333333331</v>
      </c>
      <c r="AF2767">
        <v>0</v>
      </c>
      <c r="AG2767">
        <v>0</v>
      </c>
      <c r="AH2767">
        <v>0.33333333333333331</v>
      </c>
      <c r="AI2767">
        <v>11.666666666666666</v>
      </c>
      <c r="AJ2767">
        <v>12</v>
      </c>
      <c r="AM2767">
        <v>0</v>
      </c>
      <c r="AN2767">
        <v>112.88</v>
      </c>
      <c r="AP2767">
        <v>54</v>
      </c>
      <c r="AQ2767">
        <v>53</v>
      </c>
    </row>
    <row r="2768" spans="1:43" x14ac:dyDescent="0.25">
      <c r="A2768" t="s">
        <v>46</v>
      </c>
      <c r="B2768">
        <v>5</v>
      </c>
      <c r="C2768" t="s">
        <v>1759</v>
      </c>
      <c r="D2768" s="39">
        <v>46025</v>
      </c>
      <c r="E2768" t="s">
        <v>639</v>
      </c>
      <c r="F2768" t="s">
        <v>79</v>
      </c>
      <c r="G2768">
        <v>13</v>
      </c>
      <c r="H2768" t="s">
        <v>102</v>
      </c>
      <c r="I2768" t="s">
        <v>79</v>
      </c>
      <c r="J2768">
        <v>300</v>
      </c>
      <c r="K2768" t="s">
        <v>79</v>
      </c>
      <c r="L2768">
        <v>6</v>
      </c>
      <c r="M2768">
        <v>311.63</v>
      </c>
      <c r="N2768">
        <v>7.8000000000000007</v>
      </c>
      <c r="O2768">
        <v>3</v>
      </c>
      <c r="Q2768">
        <v>303.83</v>
      </c>
      <c r="R2768" t="s">
        <v>932</v>
      </c>
      <c r="S2768">
        <v>25</v>
      </c>
      <c r="V2768">
        <v>25</v>
      </c>
      <c r="W2768">
        <v>0.41666666666666674</v>
      </c>
      <c r="AF2768">
        <v>0</v>
      </c>
      <c r="AG2768">
        <v>0</v>
      </c>
      <c r="AH2768">
        <v>0.41666666666666674</v>
      </c>
      <c r="AI2768">
        <v>11.583333333333334</v>
      </c>
      <c r="AJ2768">
        <v>12</v>
      </c>
      <c r="AM2768">
        <v>0</v>
      </c>
      <c r="AN2768">
        <v>316.63</v>
      </c>
      <c r="AP2768">
        <v>54</v>
      </c>
      <c r="AQ2768">
        <v>53</v>
      </c>
    </row>
    <row r="2769" spans="1:43" x14ac:dyDescent="0.25">
      <c r="A2769" t="s">
        <v>46</v>
      </c>
      <c r="B2769">
        <v>5</v>
      </c>
      <c r="C2769" t="s">
        <v>1760</v>
      </c>
      <c r="D2769" s="39">
        <v>46025</v>
      </c>
      <c r="E2769" t="s">
        <v>1761</v>
      </c>
      <c r="F2769" t="s">
        <v>79</v>
      </c>
      <c r="G2769">
        <v>13</v>
      </c>
      <c r="H2769" t="s">
        <v>1049</v>
      </c>
      <c r="I2769" t="s">
        <v>79</v>
      </c>
      <c r="J2769">
        <v>100</v>
      </c>
      <c r="K2769" t="s">
        <v>79</v>
      </c>
      <c r="L2769">
        <v>4</v>
      </c>
      <c r="M2769">
        <v>110.11999999999999</v>
      </c>
      <c r="N2769">
        <v>5.2</v>
      </c>
      <c r="Q2769">
        <v>104.91999999999999</v>
      </c>
      <c r="R2769" t="s">
        <v>1762</v>
      </c>
      <c r="V2769">
        <v>0</v>
      </c>
      <c r="W2769">
        <v>0</v>
      </c>
      <c r="AF2769">
        <v>0</v>
      </c>
      <c r="AG2769">
        <v>0</v>
      </c>
      <c r="AH2769">
        <v>0</v>
      </c>
      <c r="AI2769">
        <v>12</v>
      </c>
      <c r="AJ2769">
        <v>12</v>
      </c>
      <c r="AM2769">
        <v>0</v>
      </c>
      <c r="AN2769">
        <v>115.12</v>
      </c>
      <c r="AP2769">
        <v>54</v>
      </c>
      <c r="AQ2769">
        <v>53</v>
      </c>
    </row>
    <row r="2770" spans="1:43" x14ac:dyDescent="0.25">
      <c r="A2770" t="s">
        <v>46</v>
      </c>
      <c r="B2770">
        <v>5</v>
      </c>
      <c r="C2770" t="s">
        <v>1763</v>
      </c>
      <c r="D2770" s="39">
        <v>46025</v>
      </c>
      <c r="E2770" t="s">
        <v>1764</v>
      </c>
      <c r="F2770" t="s">
        <v>79</v>
      </c>
      <c r="G2770">
        <v>11</v>
      </c>
      <c r="H2770" t="s">
        <v>102</v>
      </c>
      <c r="I2770" t="s">
        <v>79</v>
      </c>
      <c r="J2770">
        <v>100</v>
      </c>
      <c r="K2770" t="s">
        <v>79</v>
      </c>
      <c r="L2770">
        <v>2</v>
      </c>
      <c r="M2770">
        <v>77.88</v>
      </c>
      <c r="N2770">
        <v>2.2000000000000002</v>
      </c>
      <c r="Q2770">
        <v>75.679999999999993</v>
      </c>
      <c r="R2770" t="s">
        <v>1765</v>
      </c>
      <c r="V2770">
        <v>0</v>
      </c>
      <c r="W2770">
        <v>0</v>
      </c>
      <c r="AF2770">
        <v>0</v>
      </c>
      <c r="AG2770">
        <v>0</v>
      </c>
      <c r="AH2770">
        <v>0</v>
      </c>
      <c r="AI2770">
        <v>12</v>
      </c>
      <c r="AJ2770">
        <v>12</v>
      </c>
      <c r="AM2770">
        <v>0</v>
      </c>
      <c r="AN2770">
        <v>82.88</v>
      </c>
      <c r="AP2770">
        <v>54</v>
      </c>
      <c r="AQ2770">
        <v>53</v>
      </c>
    </row>
    <row r="2771" spans="1:43" x14ac:dyDescent="0.25">
      <c r="A2771" t="s">
        <v>45</v>
      </c>
      <c r="B2771">
        <v>1</v>
      </c>
      <c r="C2771" t="s">
        <v>1742</v>
      </c>
      <c r="D2771" s="39">
        <v>46026</v>
      </c>
      <c r="E2771" t="s">
        <v>486</v>
      </c>
      <c r="F2771" t="s">
        <v>79</v>
      </c>
      <c r="G2771">
        <v>2.5</v>
      </c>
      <c r="H2771" t="s">
        <v>92</v>
      </c>
      <c r="I2771" t="s">
        <v>79</v>
      </c>
      <c r="J2771">
        <v>1000</v>
      </c>
      <c r="K2771" t="s">
        <v>79</v>
      </c>
      <c r="L2771">
        <v>10</v>
      </c>
      <c r="M2771">
        <v>131.48000000000002</v>
      </c>
      <c r="N2771">
        <v>2.5</v>
      </c>
      <c r="O2771">
        <v>26</v>
      </c>
      <c r="Q2771">
        <v>128.98000000000002</v>
      </c>
      <c r="R2771" t="s">
        <v>1775</v>
      </c>
      <c r="V2771">
        <v>0</v>
      </c>
      <c r="W2771">
        <v>0</v>
      </c>
      <c r="AF2771">
        <v>0</v>
      </c>
      <c r="AG2771">
        <v>0</v>
      </c>
      <c r="AH2771">
        <v>0</v>
      </c>
      <c r="AI2771">
        <v>12</v>
      </c>
      <c r="AJ2771">
        <v>12</v>
      </c>
      <c r="AM2771">
        <v>0</v>
      </c>
      <c r="AN2771">
        <v>136.48000000000002</v>
      </c>
      <c r="AP2771">
        <v>54</v>
      </c>
      <c r="AQ2771">
        <v>53</v>
      </c>
    </row>
    <row r="2772" spans="1:43" x14ac:dyDescent="0.25">
      <c r="A2772" t="s">
        <v>46</v>
      </c>
      <c r="B2772">
        <v>1</v>
      </c>
      <c r="C2772" t="s">
        <v>1742</v>
      </c>
      <c r="D2772" s="39">
        <v>46026</v>
      </c>
      <c r="E2772" t="s">
        <v>486</v>
      </c>
      <c r="F2772" t="s">
        <v>79</v>
      </c>
      <c r="G2772">
        <v>2.5</v>
      </c>
      <c r="H2772" t="s">
        <v>92</v>
      </c>
      <c r="I2772" t="s">
        <v>79</v>
      </c>
      <c r="J2772">
        <v>1000</v>
      </c>
      <c r="K2772" t="s">
        <v>79</v>
      </c>
      <c r="L2772">
        <v>10</v>
      </c>
      <c r="M2772">
        <v>143.21</v>
      </c>
      <c r="N2772">
        <v>2.5</v>
      </c>
      <c r="O2772">
        <v>23</v>
      </c>
      <c r="Q2772">
        <v>140.71</v>
      </c>
      <c r="R2772" t="s">
        <v>1775</v>
      </c>
      <c r="V2772">
        <v>0</v>
      </c>
      <c r="W2772">
        <v>0</v>
      </c>
      <c r="AF2772">
        <v>0</v>
      </c>
      <c r="AG2772">
        <v>0</v>
      </c>
      <c r="AH2772">
        <v>0</v>
      </c>
      <c r="AI2772">
        <v>12</v>
      </c>
      <c r="AJ2772">
        <v>12</v>
      </c>
      <c r="AM2772">
        <v>0</v>
      </c>
      <c r="AN2772">
        <v>148.21</v>
      </c>
      <c r="AP2772">
        <v>54</v>
      </c>
      <c r="AQ2772">
        <v>53</v>
      </c>
    </row>
    <row r="2773" spans="1:43" x14ac:dyDescent="0.25">
      <c r="A2773" t="s">
        <v>45</v>
      </c>
      <c r="B2773">
        <v>2</v>
      </c>
      <c r="C2773" t="s">
        <v>1665</v>
      </c>
      <c r="D2773" s="39">
        <v>46026</v>
      </c>
      <c r="E2773" t="s">
        <v>486</v>
      </c>
      <c r="F2773" t="s">
        <v>79</v>
      </c>
      <c r="G2773">
        <v>4</v>
      </c>
      <c r="H2773" t="s">
        <v>113</v>
      </c>
      <c r="I2773" t="s">
        <v>79</v>
      </c>
      <c r="J2773">
        <v>1500</v>
      </c>
      <c r="K2773" t="s">
        <v>79</v>
      </c>
      <c r="L2773">
        <v>11</v>
      </c>
      <c r="M2773">
        <v>192.99999999999997</v>
      </c>
      <c r="N2773">
        <v>4.4000000000000004</v>
      </c>
      <c r="Q2773">
        <v>188.59999999999997</v>
      </c>
      <c r="R2773" t="s">
        <v>1773</v>
      </c>
      <c r="V2773">
        <v>0</v>
      </c>
      <c r="W2773">
        <v>0</v>
      </c>
      <c r="AF2773">
        <v>0</v>
      </c>
      <c r="AG2773">
        <v>0</v>
      </c>
      <c r="AH2773">
        <v>0</v>
      </c>
      <c r="AI2773">
        <v>12</v>
      </c>
      <c r="AJ2773">
        <v>12</v>
      </c>
      <c r="AM2773">
        <v>0</v>
      </c>
      <c r="AN2773">
        <v>197.99999999999997</v>
      </c>
      <c r="AP2773">
        <v>54</v>
      </c>
      <c r="AQ2773">
        <v>53</v>
      </c>
    </row>
    <row r="2774" spans="1:43" x14ac:dyDescent="0.25">
      <c r="A2774" t="s">
        <v>46</v>
      </c>
      <c r="B2774">
        <v>2</v>
      </c>
      <c r="C2774" t="s">
        <v>1665</v>
      </c>
      <c r="D2774" s="39">
        <v>46026</v>
      </c>
      <c r="E2774" t="s">
        <v>486</v>
      </c>
      <c r="F2774" t="s">
        <v>79</v>
      </c>
      <c r="G2774">
        <v>4</v>
      </c>
      <c r="H2774" t="s">
        <v>113</v>
      </c>
      <c r="I2774" t="s">
        <v>79</v>
      </c>
      <c r="J2774">
        <v>1500</v>
      </c>
      <c r="K2774" t="s">
        <v>79</v>
      </c>
      <c r="L2774">
        <v>11</v>
      </c>
      <c r="M2774">
        <v>201.29</v>
      </c>
      <c r="N2774">
        <v>4.4000000000000004</v>
      </c>
      <c r="Q2774">
        <v>196.89</v>
      </c>
      <c r="R2774" t="s">
        <v>1773</v>
      </c>
      <c r="V2774">
        <v>0</v>
      </c>
      <c r="W2774">
        <v>0</v>
      </c>
      <c r="AF2774">
        <v>0</v>
      </c>
      <c r="AG2774">
        <v>0</v>
      </c>
      <c r="AH2774">
        <v>0</v>
      </c>
      <c r="AI2774">
        <v>12</v>
      </c>
      <c r="AJ2774">
        <v>12</v>
      </c>
      <c r="AM2774">
        <v>0</v>
      </c>
      <c r="AN2774">
        <v>206.29</v>
      </c>
      <c r="AP2774">
        <v>54</v>
      </c>
      <c r="AQ2774">
        <v>53</v>
      </c>
    </row>
    <row r="2775" spans="1:43" x14ac:dyDescent="0.25">
      <c r="A2775" t="s">
        <v>45</v>
      </c>
      <c r="B2775">
        <v>4</v>
      </c>
      <c r="C2775" t="s">
        <v>1748</v>
      </c>
      <c r="D2775" s="39">
        <v>46026</v>
      </c>
      <c r="E2775" t="s">
        <v>276</v>
      </c>
      <c r="F2775" t="s">
        <v>79</v>
      </c>
      <c r="G2775">
        <v>22</v>
      </c>
      <c r="H2775" t="s">
        <v>113</v>
      </c>
      <c r="I2775" t="s">
        <v>79</v>
      </c>
      <c r="J2775" t="s">
        <v>81</v>
      </c>
      <c r="K2775" t="s">
        <v>79</v>
      </c>
      <c r="L2775">
        <v>13</v>
      </c>
      <c r="M2775">
        <v>768.37500000000011</v>
      </c>
      <c r="N2775">
        <v>28.6</v>
      </c>
      <c r="Q2775">
        <v>739.77500000000009</v>
      </c>
      <c r="R2775" t="s">
        <v>1749</v>
      </c>
      <c r="S2775">
        <v>25</v>
      </c>
      <c r="V2775">
        <v>25</v>
      </c>
      <c r="W2775">
        <v>0.41666666666666674</v>
      </c>
      <c r="AF2775">
        <v>0</v>
      </c>
      <c r="AG2775">
        <v>0</v>
      </c>
      <c r="AH2775">
        <v>0.41666666666666674</v>
      </c>
      <c r="AI2775">
        <v>11.583333333333334</v>
      </c>
      <c r="AJ2775">
        <v>12</v>
      </c>
      <c r="AM2775">
        <v>0</v>
      </c>
      <c r="AN2775">
        <v>773.37500000000011</v>
      </c>
      <c r="AP2775">
        <v>54</v>
      </c>
      <c r="AQ2775">
        <v>53</v>
      </c>
    </row>
    <row r="2776" spans="1:43" x14ac:dyDescent="0.25">
      <c r="A2776" t="s">
        <v>46</v>
      </c>
      <c r="B2776">
        <v>4</v>
      </c>
      <c r="C2776" t="s">
        <v>1766</v>
      </c>
      <c r="D2776" s="39">
        <v>46026</v>
      </c>
      <c r="E2776" t="s">
        <v>276</v>
      </c>
      <c r="F2776" t="s">
        <v>79</v>
      </c>
      <c r="G2776">
        <v>24</v>
      </c>
      <c r="H2776" t="s">
        <v>113</v>
      </c>
      <c r="I2776" t="s">
        <v>79</v>
      </c>
      <c r="J2776" t="s">
        <v>81</v>
      </c>
      <c r="K2776" t="s">
        <v>79</v>
      </c>
      <c r="L2776">
        <v>12</v>
      </c>
      <c r="M2776">
        <v>790.43999999999994</v>
      </c>
      <c r="N2776">
        <v>28.799999999999997</v>
      </c>
      <c r="Q2776">
        <v>761.64</v>
      </c>
      <c r="R2776" t="s">
        <v>1776</v>
      </c>
      <c r="V2776">
        <v>0</v>
      </c>
      <c r="W2776">
        <v>0</v>
      </c>
      <c r="AF2776">
        <v>0</v>
      </c>
      <c r="AG2776">
        <v>0</v>
      </c>
      <c r="AH2776">
        <v>0</v>
      </c>
      <c r="AI2776">
        <v>12</v>
      </c>
      <c r="AJ2776">
        <v>12</v>
      </c>
      <c r="AM2776">
        <v>0</v>
      </c>
      <c r="AN2776">
        <v>795.44</v>
      </c>
      <c r="AP2776">
        <v>54</v>
      </c>
      <c r="AQ2776">
        <v>53</v>
      </c>
    </row>
    <row r="2777" spans="1:43" x14ac:dyDescent="0.25">
      <c r="A2777" t="s">
        <v>46</v>
      </c>
      <c r="B2777">
        <v>4</v>
      </c>
      <c r="C2777" t="s">
        <v>1766</v>
      </c>
      <c r="D2777" s="39">
        <v>46026</v>
      </c>
      <c r="E2777" t="s">
        <v>276</v>
      </c>
      <c r="F2777" t="s">
        <v>79</v>
      </c>
      <c r="G2777">
        <v>24</v>
      </c>
      <c r="H2777" t="s">
        <v>113</v>
      </c>
      <c r="I2777" t="s">
        <v>79</v>
      </c>
      <c r="J2777" t="s">
        <v>81</v>
      </c>
      <c r="K2777" t="s">
        <v>79</v>
      </c>
      <c r="L2777">
        <v>1</v>
      </c>
      <c r="M2777">
        <v>65.400000000000006</v>
      </c>
      <c r="N2777">
        <v>2.4</v>
      </c>
      <c r="Q2777">
        <v>63.000000000000007</v>
      </c>
      <c r="R2777" t="s">
        <v>1776</v>
      </c>
      <c r="V2777">
        <v>0</v>
      </c>
      <c r="W2777">
        <v>0</v>
      </c>
      <c r="AF2777">
        <v>0</v>
      </c>
      <c r="AG2777">
        <v>0</v>
      </c>
      <c r="AH2777">
        <v>0</v>
      </c>
      <c r="AI2777">
        <v>12</v>
      </c>
      <c r="AJ2777">
        <v>12</v>
      </c>
      <c r="AM2777">
        <v>0</v>
      </c>
      <c r="AN2777">
        <v>70.400000000000006</v>
      </c>
      <c r="AP2777">
        <v>54</v>
      </c>
      <c r="AQ2777">
        <v>53</v>
      </c>
    </row>
    <row r="2778" spans="1:43" x14ac:dyDescent="0.25">
      <c r="A2778" t="s">
        <v>45</v>
      </c>
      <c r="B2778">
        <v>5</v>
      </c>
      <c r="C2778" t="s">
        <v>1763</v>
      </c>
      <c r="D2778" s="39">
        <v>46026</v>
      </c>
      <c r="E2778" t="s">
        <v>1764</v>
      </c>
      <c r="F2778" t="s">
        <v>79</v>
      </c>
      <c r="G2778">
        <v>11</v>
      </c>
      <c r="H2778" t="s">
        <v>102</v>
      </c>
      <c r="I2778" t="s">
        <v>79</v>
      </c>
      <c r="J2778">
        <v>100</v>
      </c>
      <c r="K2778" t="s">
        <v>79</v>
      </c>
      <c r="L2778">
        <v>1</v>
      </c>
      <c r="M2778">
        <v>42</v>
      </c>
      <c r="N2778">
        <v>1.1000000000000001</v>
      </c>
      <c r="Q2778">
        <v>40.9</v>
      </c>
      <c r="R2778" t="s">
        <v>1765</v>
      </c>
      <c r="V2778">
        <v>0</v>
      </c>
      <c r="W2778">
        <v>0</v>
      </c>
      <c r="AF2778">
        <v>0</v>
      </c>
      <c r="AG2778">
        <v>0</v>
      </c>
      <c r="AH2778">
        <v>0</v>
      </c>
      <c r="AI2778">
        <v>12</v>
      </c>
      <c r="AJ2778">
        <v>12</v>
      </c>
      <c r="AM2778">
        <v>0</v>
      </c>
      <c r="AN2778">
        <v>47</v>
      </c>
      <c r="AP2778">
        <v>54</v>
      </c>
      <c r="AQ2778">
        <v>53</v>
      </c>
    </row>
    <row r="2779" spans="1:43" x14ac:dyDescent="0.25">
      <c r="A2779" t="s">
        <v>45</v>
      </c>
      <c r="B2779">
        <v>5</v>
      </c>
      <c r="C2779" t="s">
        <v>1767</v>
      </c>
      <c r="D2779" s="39">
        <v>46026</v>
      </c>
      <c r="E2779" t="s">
        <v>486</v>
      </c>
      <c r="F2779" t="s">
        <v>79</v>
      </c>
      <c r="G2779">
        <v>11</v>
      </c>
      <c r="H2779" t="s">
        <v>113</v>
      </c>
      <c r="I2779" t="s">
        <v>79</v>
      </c>
      <c r="J2779">
        <v>1500</v>
      </c>
      <c r="K2779" t="s">
        <v>79</v>
      </c>
      <c r="L2779">
        <v>4</v>
      </c>
      <c r="M2779">
        <v>211.82999999999998</v>
      </c>
      <c r="N2779">
        <v>4.4000000000000004</v>
      </c>
      <c r="Q2779">
        <v>207.42999999999998</v>
      </c>
      <c r="R2779" t="s">
        <v>1777</v>
      </c>
      <c r="V2779">
        <v>0</v>
      </c>
      <c r="W2779">
        <v>0</v>
      </c>
      <c r="AF2779">
        <v>0</v>
      </c>
      <c r="AG2779">
        <v>0</v>
      </c>
      <c r="AH2779">
        <v>0</v>
      </c>
      <c r="AI2779">
        <v>12</v>
      </c>
      <c r="AJ2779">
        <v>12</v>
      </c>
      <c r="AM2779">
        <v>0</v>
      </c>
      <c r="AN2779">
        <v>216.83</v>
      </c>
      <c r="AP2779">
        <v>54</v>
      </c>
      <c r="AQ2779">
        <v>53</v>
      </c>
    </row>
    <row r="2780" spans="1:43" x14ac:dyDescent="0.25">
      <c r="A2780" t="s">
        <v>45</v>
      </c>
      <c r="B2780">
        <v>5</v>
      </c>
      <c r="C2780" t="s">
        <v>1768</v>
      </c>
      <c r="D2780" s="39">
        <v>46026</v>
      </c>
      <c r="E2780" t="s">
        <v>639</v>
      </c>
      <c r="F2780" t="s">
        <v>79</v>
      </c>
      <c r="G2780">
        <v>11</v>
      </c>
      <c r="H2780" t="s">
        <v>102</v>
      </c>
      <c r="I2780" t="s">
        <v>79</v>
      </c>
      <c r="J2780">
        <v>100</v>
      </c>
      <c r="K2780" t="s">
        <v>79</v>
      </c>
      <c r="L2780">
        <v>2</v>
      </c>
      <c r="M2780">
        <v>95.66</v>
      </c>
      <c r="N2780">
        <v>2.2000000000000002</v>
      </c>
      <c r="Q2780">
        <v>93.46</v>
      </c>
      <c r="R2780" t="s">
        <v>1769</v>
      </c>
      <c r="V2780">
        <v>0</v>
      </c>
      <c r="W2780">
        <v>0</v>
      </c>
      <c r="AF2780">
        <v>0</v>
      </c>
      <c r="AG2780">
        <v>0</v>
      </c>
      <c r="AH2780">
        <v>0</v>
      </c>
      <c r="AI2780">
        <v>12</v>
      </c>
      <c r="AJ2780">
        <v>12</v>
      </c>
      <c r="AM2780">
        <v>0</v>
      </c>
      <c r="AN2780">
        <v>100.66</v>
      </c>
      <c r="AP2780">
        <v>54</v>
      </c>
      <c r="AQ2780">
        <v>53</v>
      </c>
    </row>
    <row r="2781" spans="1:43" x14ac:dyDescent="0.25">
      <c r="A2781" t="s">
        <v>45</v>
      </c>
      <c r="B2781">
        <v>5</v>
      </c>
      <c r="C2781" t="s">
        <v>1770</v>
      </c>
      <c r="D2781" s="39">
        <v>46026</v>
      </c>
      <c r="E2781" t="s">
        <v>1552</v>
      </c>
      <c r="F2781" t="s">
        <v>79</v>
      </c>
      <c r="G2781">
        <v>11</v>
      </c>
      <c r="H2781" t="s">
        <v>1049</v>
      </c>
      <c r="I2781" t="s">
        <v>79</v>
      </c>
      <c r="J2781">
        <v>100</v>
      </c>
      <c r="K2781" t="s">
        <v>79</v>
      </c>
      <c r="L2781">
        <v>4</v>
      </c>
      <c r="M2781">
        <v>198.13</v>
      </c>
      <c r="N2781">
        <v>4.4000000000000004</v>
      </c>
      <c r="Q2781">
        <v>193.73</v>
      </c>
      <c r="R2781" t="s">
        <v>1771</v>
      </c>
      <c r="V2781">
        <v>0</v>
      </c>
      <c r="W2781">
        <v>0</v>
      </c>
      <c r="AF2781">
        <v>0</v>
      </c>
      <c r="AG2781">
        <v>0</v>
      </c>
      <c r="AH2781">
        <v>0</v>
      </c>
      <c r="AI2781">
        <v>12</v>
      </c>
      <c r="AJ2781">
        <v>12</v>
      </c>
      <c r="AM2781">
        <v>0</v>
      </c>
      <c r="AN2781">
        <v>203.13</v>
      </c>
      <c r="AP2781">
        <v>54</v>
      </c>
      <c r="AQ2781">
        <v>53</v>
      </c>
    </row>
    <row r="2782" spans="1:43" x14ac:dyDescent="0.25">
      <c r="A2782" t="s">
        <v>46</v>
      </c>
      <c r="B2782">
        <v>5</v>
      </c>
      <c r="C2782" t="s">
        <v>1767</v>
      </c>
      <c r="D2782" s="39">
        <v>46026</v>
      </c>
      <c r="E2782" t="s">
        <v>486</v>
      </c>
      <c r="F2782" t="s">
        <v>79</v>
      </c>
      <c r="G2782">
        <v>11</v>
      </c>
      <c r="H2782" t="s">
        <v>113</v>
      </c>
      <c r="I2782" t="s">
        <v>79</v>
      </c>
      <c r="J2782">
        <v>1500</v>
      </c>
      <c r="K2782" t="s">
        <v>79</v>
      </c>
      <c r="L2782">
        <v>10</v>
      </c>
      <c r="M2782">
        <v>569.64</v>
      </c>
      <c r="N2782">
        <v>12</v>
      </c>
      <c r="Q2782">
        <v>557.64</v>
      </c>
      <c r="R2782" t="s">
        <v>1777</v>
      </c>
      <c r="V2782">
        <v>0</v>
      </c>
      <c r="W2782">
        <v>0</v>
      </c>
      <c r="AF2782">
        <v>0</v>
      </c>
      <c r="AG2782">
        <v>0</v>
      </c>
      <c r="AH2782">
        <v>0</v>
      </c>
      <c r="AI2782">
        <v>12</v>
      </c>
      <c r="AJ2782">
        <v>12</v>
      </c>
      <c r="AM2782">
        <v>0</v>
      </c>
      <c r="AN2782">
        <v>574.64</v>
      </c>
      <c r="AP2782">
        <v>54</v>
      </c>
      <c r="AQ2782">
        <v>53</v>
      </c>
    </row>
    <row r="2783" spans="1:43" x14ac:dyDescent="0.25">
      <c r="A2783" t="s">
        <v>45</v>
      </c>
      <c r="B2783">
        <v>1</v>
      </c>
      <c r="C2783" t="s">
        <v>1742</v>
      </c>
      <c r="D2783" s="39">
        <v>46027</v>
      </c>
      <c r="E2783" t="s">
        <v>486</v>
      </c>
      <c r="F2783" t="s">
        <v>79</v>
      </c>
      <c r="G2783">
        <v>2.5</v>
      </c>
      <c r="H2783" t="s">
        <v>92</v>
      </c>
      <c r="I2783" t="s">
        <v>79</v>
      </c>
      <c r="J2783">
        <v>1000</v>
      </c>
      <c r="K2783" t="s">
        <v>79</v>
      </c>
      <c r="L2783">
        <v>9</v>
      </c>
      <c r="M2783">
        <v>121.55999999999999</v>
      </c>
      <c r="N2783">
        <v>2.25</v>
      </c>
      <c r="O2783">
        <v>23</v>
      </c>
      <c r="Q2783">
        <v>119.30999999999999</v>
      </c>
      <c r="R2783" t="s">
        <v>1775</v>
      </c>
      <c r="V2783">
        <v>0</v>
      </c>
      <c r="W2783">
        <v>0</v>
      </c>
      <c r="X2783">
        <v>60</v>
      </c>
      <c r="AF2783">
        <v>60</v>
      </c>
      <c r="AG2783">
        <v>1</v>
      </c>
      <c r="AH2783">
        <v>1</v>
      </c>
      <c r="AI2783">
        <v>11</v>
      </c>
      <c r="AJ2783">
        <v>12</v>
      </c>
      <c r="AM2783">
        <v>0</v>
      </c>
      <c r="AN2783">
        <v>126.56</v>
      </c>
      <c r="AP2783">
        <v>54</v>
      </c>
      <c r="AQ2783">
        <v>54</v>
      </c>
    </row>
    <row r="2784" spans="1:43" x14ac:dyDescent="0.25">
      <c r="A2784" t="s">
        <v>46</v>
      </c>
      <c r="B2784">
        <v>1</v>
      </c>
      <c r="C2784" t="s">
        <v>1742</v>
      </c>
      <c r="D2784" s="39">
        <v>46027</v>
      </c>
      <c r="E2784" t="s">
        <v>486</v>
      </c>
      <c r="F2784" t="s">
        <v>79</v>
      </c>
      <c r="G2784">
        <v>2.5</v>
      </c>
      <c r="H2784" t="s">
        <v>92</v>
      </c>
      <c r="I2784" t="s">
        <v>79</v>
      </c>
      <c r="J2784">
        <v>1000</v>
      </c>
      <c r="K2784" t="s">
        <v>79</v>
      </c>
      <c r="L2784">
        <v>8</v>
      </c>
      <c r="M2784">
        <v>103.41</v>
      </c>
      <c r="N2784">
        <v>2</v>
      </c>
      <c r="O2784">
        <v>20</v>
      </c>
      <c r="Q2784">
        <v>101.41</v>
      </c>
      <c r="R2784" t="s">
        <v>1775</v>
      </c>
      <c r="V2784">
        <v>0</v>
      </c>
      <c r="W2784">
        <v>0</v>
      </c>
      <c r="Z2784">
        <v>210</v>
      </c>
      <c r="AF2784">
        <v>210</v>
      </c>
      <c r="AG2784">
        <v>3.5</v>
      </c>
      <c r="AH2784">
        <v>3.5</v>
      </c>
      <c r="AI2784">
        <v>8.5</v>
      </c>
      <c r="AJ2784">
        <v>12</v>
      </c>
      <c r="AM2784">
        <v>0</v>
      </c>
      <c r="AN2784">
        <v>108.41</v>
      </c>
      <c r="AP2784">
        <v>54</v>
      </c>
      <c r="AQ2784">
        <v>54</v>
      </c>
    </row>
    <row r="2785" spans="1:43" x14ac:dyDescent="0.25">
      <c r="A2785" t="s">
        <v>45</v>
      </c>
      <c r="B2785">
        <v>2</v>
      </c>
      <c r="C2785" t="s">
        <v>1665</v>
      </c>
      <c r="D2785" s="39">
        <v>46027</v>
      </c>
      <c r="E2785" t="s">
        <v>486</v>
      </c>
      <c r="F2785" t="s">
        <v>79</v>
      </c>
      <c r="G2785">
        <v>4</v>
      </c>
      <c r="H2785" t="s">
        <v>113</v>
      </c>
      <c r="I2785" t="s">
        <v>79</v>
      </c>
      <c r="J2785">
        <v>1500</v>
      </c>
      <c r="K2785" t="s">
        <v>79</v>
      </c>
      <c r="L2785">
        <v>6</v>
      </c>
      <c r="M2785">
        <v>107.47999999999999</v>
      </c>
      <c r="N2785">
        <v>2.4000000000000004</v>
      </c>
      <c r="Q2785">
        <v>105.07999999999998</v>
      </c>
      <c r="R2785" t="s">
        <v>1773</v>
      </c>
      <c r="S2785">
        <v>60</v>
      </c>
      <c r="V2785">
        <v>60</v>
      </c>
      <c r="W2785">
        <v>1</v>
      </c>
      <c r="AF2785">
        <v>0</v>
      </c>
      <c r="AG2785">
        <v>0</v>
      </c>
      <c r="AH2785">
        <v>1</v>
      </c>
      <c r="AI2785">
        <v>11</v>
      </c>
      <c r="AJ2785">
        <v>12</v>
      </c>
      <c r="AM2785">
        <v>0</v>
      </c>
      <c r="AN2785">
        <v>112.48</v>
      </c>
      <c r="AP2785">
        <v>54</v>
      </c>
      <c r="AQ2785">
        <v>54</v>
      </c>
    </row>
    <row r="2786" spans="1:43" x14ac:dyDescent="0.25">
      <c r="A2786" t="s">
        <v>45</v>
      </c>
      <c r="B2786">
        <v>2</v>
      </c>
      <c r="C2786" t="s">
        <v>1778</v>
      </c>
      <c r="D2786" s="39">
        <v>46027</v>
      </c>
      <c r="E2786" t="s">
        <v>1177</v>
      </c>
      <c r="F2786" t="s">
        <v>79</v>
      </c>
      <c r="G2786">
        <v>3.5</v>
      </c>
      <c r="H2786" t="s">
        <v>123</v>
      </c>
      <c r="I2786" t="s">
        <v>79</v>
      </c>
      <c r="J2786">
        <v>1000</v>
      </c>
      <c r="K2786" t="s">
        <v>79</v>
      </c>
      <c r="L2786">
        <v>3</v>
      </c>
      <c r="M2786">
        <v>48</v>
      </c>
      <c r="N2786">
        <v>1.0499999999999998</v>
      </c>
      <c r="Q2786">
        <v>46.95</v>
      </c>
      <c r="R2786" t="s">
        <v>1779</v>
      </c>
      <c r="V2786">
        <v>0</v>
      </c>
      <c r="W2786">
        <v>0</v>
      </c>
      <c r="AF2786">
        <v>0</v>
      </c>
      <c r="AG2786">
        <v>0</v>
      </c>
      <c r="AH2786">
        <v>0</v>
      </c>
      <c r="AI2786">
        <v>12</v>
      </c>
      <c r="AJ2786">
        <v>12</v>
      </c>
      <c r="AM2786">
        <v>0</v>
      </c>
      <c r="AN2786">
        <v>53</v>
      </c>
      <c r="AP2786">
        <v>54</v>
      </c>
      <c r="AQ2786">
        <v>54</v>
      </c>
    </row>
    <row r="2787" spans="1:43" x14ac:dyDescent="0.25">
      <c r="A2787" t="s">
        <v>46</v>
      </c>
      <c r="B2787">
        <v>2</v>
      </c>
      <c r="C2787" t="s">
        <v>1778</v>
      </c>
      <c r="D2787" s="39">
        <v>46027</v>
      </c>
      <c r="E2787" t="s">
        <v>1177</v>
      </c>
      <c r="F2787" t="s">
        <v>79</v>
      </c>
      <c r="G2787">
        <v>3.5</v>
      </c>
      <c r="H2787" t="s">
        <v>123</v>
      </c>
      <c r="I2787" t="s">
        <v>79</v>
      </c>
      <c r="J2787">
        <v>1000</v>
      </c>
      <c r="K2787" t="s">
        <v>79</v>
      </c>
      <c r="L2787">
        <v>11</v>
      </c>
      <c r="M2787">
        <v>171.74000000000004</v>
      </c>
      <c r="N2787">
        <v>4.1999999999999993</v>
      </c>
      <c r="Q2787">
        <v>167.54000000000005</v>
      </c>
      <c r="R2787" t="s">
        <v>1779</v>
      </c>
      <c r="V2787">
        <v>0</v>
      </c>
      <c r="W2787">
        <v>0</v>
      </c>
      <c r="AF2787">
        <v>0</v>
      </c>
      <c r="AG2787">
        <v>0</v>
      </c>
      <c r="AH2787">
        <v>0</v>
      </c>
      <c r="AI2787">
        <v>12</v>
      </c>
      <c r="AJ2787">
        <v>12</v>
      </c>
      <c r="AM2787">
        <v>0</v>
      </c>
      <c r="AN2787">
        <v>176.74000000000004</v>
      </c>
      <c r="AP2787">
        <v>54</v>
      </c>
      <c r="AQ2787">
        <v>54</v>
      </c>
    </row>
    <row r="2788" spans="1:43" x14ac:dyDescent="0.25">
      <c r="A2788" t="s">
        <v>45</v>
      </c>
      <c r="B2788">
        <v>4</v>
      </c>
      <c r="C2788" t="s">
        <v>1766</v>
      </c>
      <c r="D2788" s="39">
        <v>46027</v>
      </c>
      <c r="E2788" t="s">
        <v>276</v>
      </c>
      <c r="F2788" t="s">
        <v>79</v>
      </c>
      <c r="G2788">
        <v>24</v>
      </c>
      <c r="H2788" t="s">
        <v>113</v>
      </c>
      <c r="I2788" t="s">
        <v>79</v>
      </c>
      <c r="J2788" t="s">
        <v>81</v>
      </c>
      <c r="K2788" t="s">
        <v>79</v>
      </c>
      <c r="L2788">
        <v>10</v>
      </c>
      <c r="M2788">
        <v>608.73</v>
      </c>
      <c r="N2788">
        <v>24</v>
      </c>
      <c r="Q2788">
        <v>584.73</v>
      </c>
      <c r="R2788" t="s">
        <v>1776</v>
      </c>
      <c r="S2788">
        <v>25</v>
      </c>
      <c r="V2788">
        <v>25</v>
      </c>
      <c r="W2788">
        <v>0.41666666666666674</v>
      </c>
      <c r="Y2788">
        <v>180</v>
      </c>
      <c r="AF2788">
        <v>180</v>
      </c>
      <c r="AG2788">
        <v>3</v>
      </c>
      <c r="AH2788">
        <v>3.4166666666666665</v>
      </c>
      <c r="AI2788">
        <v>8.5833333333333339</v>
      </c>
      <c r="AJ2788">
        <v>12</v>
      </c>
      <c r="AM2788">
        <v>0</v>
      </c>
      <c r="AN2788">
        <v>613.73</v>
      </c>
      <c r="AP2788">
        <v>54</v>
      </c>
      <c r="AQ2788">
        <v>54</v>
      </c>
    </row>
    <row r="2789" spans="1:43" x14ac:dyDescent="0.25">
      <c r="A2789" t="s">
        <v>45</v>
      </c>
      <c r="B2789">
        <v>4</v>
      </c>
      <c r="C2789" t="s">
        <v>1780</v>
      </c>
      <c r="D2789" s="39">
        <v>46027</v>
      </c>
      <c r="E2789" t="s">
        <v>276</v>
      </c>
      <c r="F2789" t="s">
        <v>79</v>
      </c>
      <c r="G2789">
        <v>16</v>
      </c>
      <c r="H2789" t="s">
        <v>113</v>
      </c>
      <c r="I2789" t="s">
        <v>79</v>
      </c>
      <c r="J2789" t="s">
        <v>81</v>
      </c>
      <c r="K2789" t="s">
        <v>79</v>
      </c>
      <c r="L2789">
        <v>1</v>
      </c>
      <c r="M2789">
        <v>28.67</v>
      </c>
      <c r="N2789">
        <v>1.6</v>
      </c>
      <c r="Q2789">
        <v>27.07</v>
      </c>
      <c r="R2789" t="s">
        <v>1781</v>
      </c>
      <c r="V2789">
        <v>0</v>
      </c>
      <c r="W2789">
        <v>0</v>
      </c>
      <c r="AF2789">
        <v>0</v>
      </c>
      <c r="AG2789">
        <v>0</v>
      </c>
      <c r="AH2789">
        <v>0</v>
      </c>
      <c r="AI2789">
        <v>12</v>
      </c>
      <c r="AJ2789">
        <v>12</v>
      </c>
      <c r="AM2789">
        <v>0</v>
      </c>
      <c r="AN2789">
        <v>33.67</v>
      </c>
      <c r="AP2789">
        <v>54</v>
      </c>
      <c r="AQ2789">
        <v>54</v>
      </c>
    </row>
    <row r="2790" spans="1:43" x14ac:dyDescent="0.25">
      <c r="A2790" t="s">
        <v>46</v>
      </c>
      <c r="B2790">
        <v>4</v>
      </c>
      <c r="C2790" t="s">
        <v>1782</v>
      </c>
      <c r="D2790" s="39">
        <v>46027</v>
      </c>
      <c r="E2790" t="s">
        <v>716</v>
      </c>
      <c r="F2790" t="s">
        <v>79</v>
      </c>
      <c r="G2790">
        <v>16</v>
      </c>
      <c r="H2790" t="s">
        <v>113</v>
      </c>
      <c r="I2790" t="s">
        <v>79</v>
      </c>
      <c r="J2790">
        <v>100</v>
      </c>
      <c r="K2790" t="s">
        <v>79</v>
      </c>
      <c r="L2790">
        <v>2</v>
      </c>
      <c r="M2790">
        <v>111.3</v>
      </c>
      <c r="N2790">
        <v>3.2</v>
      </c>
      <c r="Q2790">
        <v>108.1</v>
      </c>
      <c r="R2790" t="s">
        <v>1783</v>
      </c>
      <c r="V2790">
        <v>0</v>
      </c>
      <c r="W2790">
        <v>0</v>
      </c>
      <c r="AF2790">
        <v>0</v>
      </c>
      <c r="AG2790">
        <v>0</v>
      </c>
      <c r="AH2790">
        <v>0</v>
      </c>
      <c r="AI2790">
        <v>12</v>
      </c>
      <c r="AJ2790">
        <v>12</v>
      </c>
      <c r="AM2790">
        <v>0</v>
      </c>
      <c r="AN2790">
        <v>116.3</v>
      </c>
      <c r="AP2790">
        <v>54</v>
      </c>
      <c r="AQ2790">
        <v>54</v>
      </c>
    </row>
    <row r="2791" spans="1:43" x14ac:dyDescent="0.25">
      <c r="A2791" t="s">
        <v>46</v>
      </c>
      <c r="B2791">
        <v>4</v>
      </c>
      <c r="C2791" t="s">
        <v>1780</v>
      </c>
      <c r="D2791" s="39">
        <v>46027</v>
      </c>
      <c r="E2791" t="s">
        <v>276</v>
      </c>
      <c r="F2791" t="s">
        <v>79</v>
      </c>
      <c r="G2791">
        <v>16</v>
      </c>
      <c r="H2791" t="s">
        <v>113</v>
      </c>
      <c r="I2791" t="s">
        <v>79</v>
      </c>
      <c r="J2791" t="s">
        <v>81</v>
      </c>
      <c r="K2791" t="s">
        <v>79</v>
      </c>
      <c r="L2791">
        <v>13</v>
      </c>
      <c r="M2791">
        <v>627.85</v>
      </c>
      <c r="N2791">
        <v>20.8</v>
      </c>
      <c r="Q2791">
        <v>607.05000000000007</v>
      </c>
      <c r="R2791" t="s">
        <v>1781</v>
      </c>
      <c r="V2791">
        <v>0</v>
      </c>
      <c r="W2791">
        <v>0</v>
      </c>
      <c r="AF2791">
        <v>0</v>
      </c>
      <c r="AG2791">
        <v>0</v>
      </c>
      <c r="AH2791">
        <v>0</v>
      </c>
      <c r="AI2791">
        <v>12</v>
      </c>
      <c r="AJ2791">
        <v>12</v>
      </c>
      <c r="AM2791">
        <v>0</v>
      </c>
      <c r="AN2791">
        <v>632.85</v>
      </c>
      <c r="AP2791">
        <v>54</v>
      </c>
      <c r="AQ2791">
        <v>54</v>
      </c>
    </row>
    <row r="2792" spans="1:43" x14ac:dyDescent="0.25">
      <c r="A2792" t="s">
        <v>45</v>
      </c>
      <c r="B2792">
        <v>5</v>
      </c>
      <c r="C2792" t="s">
        <v>1767</v>
      </c>
      <c r="D2792" s="39">
        <v>46027</v>
      </c>
      <c r="E2792" t="s">
        <v>486</v>
      </c>
      <c r="F2792" t="s">
        <v>79</v>
      </c>
      <c r="G2792">
        <v>11</v>
      </c>
      <c r="H2792" t="s">
        <v>113</v>
      </c>
      <c r="I2792" t="s">
        <v>79</v>
      </c>
      <c r="J2792">
        <v>1500</v>
      </c>
      <c r="K2792" t="s">
        <v>79</v>
      </c>
      <c r="L2792">
        <v>9</v>
      </c>
      <c r="M2792">
        <v>476.51</v>
      </c>
      <c r="N2792">
        <v>9.9</v>
      </c>
      <c r="O2792">
        <v>5.5</v>
      </c>
      <c r="Q2792">
        <v>466.61</v>
      </c>
      <c r="R2792" t="s">
        <v>1777</v>
      </c>
      <c r="V2792">
        <v>0</v>
      </c>
      <c r="W2792">
        <v>0</v>
      </c>
      <c r="X2792">
        <v>75</v>
      </c>
      <c r="AF2792">
        <v>75</v>
      </c>
      <c r="AG2792">
        <v>1.25</v>
      </c>
      <c r="AH2792">
        <v>1.25</v>
      </c>
      <c r="AI2792">
        <v>10.75</v>
      </c>
      <c r="AJ2792">
        <v>12</v>
      </c>
      <c r="AM2792">
        <v>0</v>
      </c>
      <c r="AN2792">
        <v>481.51</v>
      </c>
      <c r="AP2792">
        <v>54</v>
      </c>
      <c r="AQ2792">
        <v>54</v>
      </c>
    </row>
    <row r="2793" spans="1:43" x14ac:dyDescent="0.25">
      <c r="A2793" t="s">
        <v>46</v>
      </c>
      <c r="B2793">
        <v>5</v>
      </c>
      <c r="C2793" t="s">
        <v>1767</v>
      </c>
      <c r="D2793" s="39">
        <v>46027</v>
      </c>
      <c r="E2793" t="s">
        <v>486</v>
      </c>
      <c r="F2793" t="s">
        <v>79</v>
      </c>
      <c r="G2793">
        <v>11</v>
      </c>
      <c r="H2793" t="s">
        <v>113</v>
      </c>
      <c r="I2793" t="s">
        <v>79</v>
      </c>
      <c r="J2793">
        <v>1500</v>
      </c>
      <c r="K2793" t="s">
        <v>79</v>
      </c>
      <c r="L2793">
        <v>7</v>
      </c>
      <c r="M2793">
        <v>430.05000000000007</v>
      </c>
      <c r="N2793">
        <v>8.4</v>
      </c>
      <c r="O2793">
        <v>5.5</v>
      </c>
      <c r="Q2793">
        <v>421.65000000000009</v>
      </c>
      <c r="R2793" t="s">
        <v>1777</v>
      </c>
      <c r="V2793">
        <v>0</v>
      </c>
      <c r="W2793">
        <v>0</v>
      </c>
      <c r="AF2793">
        <v>0</v>
      </c>
      <c r="AG2793">
        <v>0</v>
      </c>
      <c r="AH2793">
        <v>0</v>
      </c>
      <c r="AI2793">
        <v>12</v>
      </c>
      <c r="AJ2793">
        <v>12</v>
      </c>
      <c r="AM2793">
        <v>0</v>
      </c>
      <c r="AN2793">
        <v>435.05000000000007</v>
      </c>
      <c r="AP2793">
        <v>54</v>
      </c>
      <c r="AQ2793">
        <v>54</v>
      </c>
    </row>
    <row r="2794" spans="1:43" x14ac:dyDescent="0.25">
      <c r="A2794" t="s">
        <v>46</v>
      </c>
      <c r="B2794">
        <v>5</v>
      </c>
      <c r="C2794" t="s">
        <v>1784</v>
      </c>
      <c r="D2794" s="39">
        <v>46027</v>
      </c>
      <c r="E2794" t="s">
        <v>1785</v>
      </c>
      <c r="F2794" t="s">
        <v>79</v>
      </c>
      <c r="G2794">
        <v>9</v>
      </c>
      <c r="H2794" t="s">
        <v>135</v>
      </c>
      <c r="I2794" t="s">
        <v>79</v>
      </c>
      <c r="J2794">
        <v>50</v>
      </c>
      <c r="K2794" t="s">
        <v>79</v>
      </c>
      <c r="L2794">
        <v>2</v>
      </c>
      <c r="M2794">
        <v>60.33</v>
      </c>
      <c r="N2794">
        <v>2.6</v>
      </c>
      <c r="Q2794">
        <v>57.73</v>
      </c>
      <c r="R2794" t="s">
        <v>1786</v>
      </c>
      <c r="S2794">
        <v>20</v>
      </c>
      <c r="V2794">
        <v>20</v>
      </c>
      <c r="W2794">
        <v>0.33333333333333331</v>
      </c>
      <c r="AF2794">
        <v>0</v>
      </c>
      <c r="AG2794">
        <v>0</v>
      </c>
      <c r="AH2794">
        <v>0.33333333333333331</v>
      </c>
      <c r="AI2794">
        <v>11.666666666666666</v>
      </c>
      <c r="AJ2794">
        <v>12</v>
      </c>
      <c r="AM2794">
        <v>0</v>
      </c>
      <c r="AN2794">
        <v>65.33</v>
      </c>
      <c r="AP2794">
        <v>54</v>
      </c>
      <c r="AQ2794">
        <v>54</v>
      </c>
    </row>
    <row r="2795" spans="1:43" x14ac:dyDescent="0.25">
      <c r="A2795" t="s">
        <v>45</v>
      </c>
      <c r="B2795">
        <v>1</v>
      </c>
      <c r="C2795" t="s">
        <v>1742</v>
      </c>
      <c r="D2795" s="39">
        <v>46028</v>
      </c>
      <c r="E2795" t="s">
        <v>486</v>
      </c>
      <c r="F2795" t="s">
        <v>79</v>
      </c>
      <c r="G2795">
        <v>2.5</v>
      </c>
      <c r="H2795" t="s">
        <v>92</v>
      </c>
      <c r="I2795" t="s">
        <v>79</v>
      </c>
      <c r="J2795">
        <v>1000</v>
      </c>
      <c r="K2795" t="s">
        <v>79</v>
      </c>
      <c r="L2795">
        <v>11</v>
      </c>
      <c r="M2795">
        <v>146.44</v>
      </c>
      <c r="N2795">
        <v>2.75</v>
      </c>
      <c r="Q2795">
        <v>143.69</v>
      </c>
      <c r="R2795" t="s">
        <v>1775</v>
      </c>
      <c r="V2795">
        <v>0</v>
      </c>
      <c r="W2795">
        <v>0</v>
      </c>
      <c r="AF2795">
        <v>0</v>
      </c>
      <c r="AG2795">
        <v>0</v>
      </c>
      <c r="AH2795">
        <v>0</v>
      </c>
      <c r="AI2795">
        <v>12</v>
      </c>
      <c r="AJ2795">
        <v>12</v>
      </c>
      <c r="AM2795">
        <v>0</v>
      </c>
      <c r="AN2795">
        <v>151.44</v>
      </c>
      <c r="AP2795">
        <v>54</v>
      </c>
      <c r="AQ2795">
        <v>54</v>
      </c>
    </row>
    <row r="2796" spans="1:43" x14ac:dyDescent="0.25">
      <c r="A2796" t="s">
        <v>46</v>
      </c>
      <c r="B2796">
        <v>1</v>
      </c>
      <c r="C2796" t="s">
        <v>1742</v>
      </c>
      <c r="D2796" s="39">
        <v>46028</v>
      </c>
      <c r="E2796" t="s">
        <v>486</v>
      </c>
      <c r="F2796" t="s">
        <v>79</v>
      </c>
      <c r="G2796">
        <v>2.5</v>
      </c>
      <c r="H2796" t="s">
        <v>92</v>
      </c>
      <c r="I2796" t="s">
        <v>79</v>
      </c>
      <c r="J2796">
        <v>1000</v>
      </c>
      <c r="K2796" t="s">
        <v>79</v>
      </c>
      <c r="L2796">
        <v>10</v>
      </c>
      <c r="M2796">
        <v>145.32999999999998</v>
      </c>
      <c r="N2796">
        <v>2.5</v>
      </c>
      <c r="Q2796">
        <v>142.82999999999998</v>
      </c>
      <c r="R2796" t="s">
        <v>1775</v>
      </c>
      <c r="V2796">
        <v>0</v>
      </c>
      <c r="W2796">
        <v>0</v>
      </c>
      <c r="AF2796">
        <v>0</v>
      </c>
      <c r="AG2796">
        <v>0</v>
      </c>
      <c r="AH2796">
        <v>0</v>
      </c>
      <c r="AI2796">
        <v>12</v>
      </c>
      <c r="AJ2796">
        <v>12</v>
      </c>
      <c r="AM2796">
        <v>0</v>
      </c>
      <c r="AN2796">
        <v>150.32999999999998</v>
      </c>
      <c r="AP2796">
        <v>54</v>
      </c>
      <c r="AQ2796">
        <v>54</v>
      </c>
    </row>
    <row r="2797" spans="1:43" x14ac:dyDescent="0.25">
      <c r="A2797" t="s">
        <v>45</v>
      </c>
      <c r="B2797">
        <v>2</v>
      </c>
      <c r="C2797" t="s">
        <v>1778</v>
      </c>
      <c r="D2797" s="39">
        <v>46028</v>
      </c>
      <c r="E2797" t="s">
        <v>1177</v>
      </c>
      <c r="F2797" t="s">
        <v>79</v>
      </c>
      <c r="G2797">
        <v>3.5</v>
      </c>
      <c r="H2797" t="s">
        <v>123</v>
      </c>
      <c r="I2797" t="s">
        <v>79</v>
      </c>
      <c r="J2797">
        <v>1000</v>
      </c>
      <c r="K2797" t="s">
        <v>79</v>
      </c>
      <c r="L2797">
        <v>11</v>
      </c>
      <c r="M2797">
        <v>170.89000000000001</v>
      </c>
      <c r="N2797">
        <v>3.8499999999999996</v>
      </c>
      <c r="Q2797">
        <v>167.04000000000002</v>
      </c>
      <c r="R2797" t="s">
        <v>1779</v>
      </c>
      <c r="V2797">
        <v>0</v>
      </c>
      <c r="W2797">
        <v>0</v>
      </c>
      <c r="AF2797">
        <v>0</v>
      </c>
      <c r="AG2797">
        <v>0</v>
      </c>
      <c r="AH2797">
        <v>0</v>
      </c>
      <c r="AI2797">
        <v>12</v>
      </c>
      <c r="AJ2797">
        <v>12</v>
      </c>
      <c r="AM2797">
        <v>0</v>
      </c>
      <c r="AN2797">
        <v>175.89</v>
      </c>
      <c r="AP2797">
        <v>54</v>
      </c>
      <c r="AQ2797">
        <v>54</v>
      </c>
    </row>
    <row r="2798" spans="1:43" x14ac:dyDescent="0.25">
      <c r="A2798" t="s">
        <v>46</v>
      </c>
      <c r="B2798">
        <v>2</v>
      </c>
      <c r="C2798" t="s">
        <v>1778</v>
      </c>
      <c r="D2798" s="39">
        <v>46028</v>
      </c>
      <c r="E2798" t="s">
        <v>1177</v>
      </c>
      <c r="F2798" t="s">
        <v>79</v>
      </c>
      <c r="G2798">
        <v>3.5</v>
      </c>
      <c r="H2798" t="s">
        <v>123</v>
      </c>
      <c r="I2798" t="s">
        <v>79</v>
      </c>
      <c r="J2798">
        <v>1000</v>
      </c>
      <c r="K2798" t="s">
        <v>79</v>
      </c>
      <c r="L2798">
        <v>11</v>
      </c>
      <c r="M2798">
        <v>174.13</v>
      </c>
      <c r="N2798">
        <v>3.8499999999999996</v>
      </c>
      <c r="Q2798">
        <v>170.28</v>
      </c>
      <c r="R2798" t="s">
        <v>1779</v>
      </c>
      <c r="V2798">
        <v>0</v>
      </c>
      <c r="W2798">
        <v>0</v>
      </c>
      <c r="AF2798">
        <v>0</v>
      </c>
      <c r="AG2798">
        <v>0</v>
      </c>
      <c r="AH2798">
        <v>0</v>
      </c>
      <c r="AI2798">
        <v>12</v>
      </c>
      <c r="AJ2798">
        <v>12</v>
      </c>
      <c r="AM2798">
        <v>0</v>
      </c>
      <c r="AN2798">
        <v>179.13</v>
      </c>
      <c r="AP2798">
        <v>54</v>
      </c>
      <c r="AQ2798">
        <v>54</v>
      </c>
    </row>
    <row r="2799" spans="1:43" x14ac:dyDescent="0.25">
      <c r="A2799" t="s">
        <v>45</v>
      </c>
      <c r="B2799">
        <v>4</v>
      </c>
      <c r="C2799" t="s">
        <v>1780</v>
      </c>
      <c r="D2799" s="39">
        <v>46028</v>
      </c>
      <c r="E2799" t="s">
        <v>276</v>
      </c>
      <c r="F2799" t="s">
        <v>79</v>
      </c>
      <c r="G2799">
        <v>16</v>
      </c>
      <c r="H2799" t="s">
        <v>113</v>
      </c>
      <c r="I2799" t="s">
        <v>79</v>
      </c>
      <c r="J2799" t="s">
        <v>81</v>
      </c>
      <c r="K2799" t="s">
        <v>79</v>
      </c>
      <c r="L2799">
        <v>11</v>
      </c>
      <c r="M2799">
        <v>626.91999999999996</v>
      </c>
      <c r="N2799">
        <v>20.9</v>
      </c>
      <c r="Q2799">
        <v>606.02</v>
      </c>
      <c r="R2799" t="s">
        <v>1781</v>
      </c>
      <c r="S2799">
        <v>50</v>
      </c>
      <c r="V2799">
        <v>50</v>
      </c>
      <c r="W2799">
        <v>0.83333333333333348</v>
      </c>
      <c r="AF2799">
        <v>0</v>
      </c>
      <c r="AG2799">
        <v>0</v>
      </c>
      <c r="AH2799">
        <v>0.83333333333333348</v>
      </c>
      <c r="AI2799">
        <v>11.166666666666666</v>
      </c>
      <c r="AJ2799">
        <v>12</v>
      </c>
      <c r="AM2799">
        <v>0</v>
      </c>
      <c r="AN2799">
        <v>631.91999999999996</v>
      </c>
      <c r="AP2799">
        <v>54</v>
      </c>
      <c r="AQ2799">
        <v>54</v>
      </c>
    </row>
    <row r="2800" spans="1:43" x14ac:dyDescent="0.25">
      <c r="A2800" t="s">
        <v>45</v>
      </c>
      <c r="B2800">
        <v>4</v>
      </c>
      <c r="C2800" t="s">
        <v>1787</v>
      </c>
      <c r="D2800" s="39">
        <v>46028</v>
      </c>
      <c r="E2800" t="s">
        <v>243</v>
      </c>
      <c r="F2800" t="s">
        <v>525</v>
      </c>
      <c r="G2800">
        <v>16</v>
      </c>
      <c r="H2800" t="s">
        <v>919</v>
      </c>
      <c r="I2800" t="s">
        <v>525</v>
      </c>
      <c r="J2800">
        <v>750</v>
      </c>
      <c r="K2800" t="s">
        <v>79</v>
      </c>
      <c r="L2800">
        <v>3</v>
      </c>
      <c r="M2800">
        <v>163.58000000000001</v>
      </c>
      <c r="N2800">
        <v>5.6999999999999993</v>
      </c>
      <c r="O2800">
        <v>97</v>
      </c>
      <c r="Q2800">
        <v>157.88000000000002</v>
      </c>
      <c r="R2800" t="s">
        <v>1788</v>
      </c>
      <c r="V2800">
        <v>0</v>
      </c>
      <c r="W2800">
        <v>0</v>
      </c>
      <c r="AF2800">
        <v>0</v>
      </c>
      <c r="AG2800">
        <v>0</v>
      </c>
      <c r="AH2800">
        <v>0</v>
      </c>
      <c r="AI2800">
        <v>12</v>
      </c>
      <c r="AJ2800">
        <v>12</v>
      </c>
      <c r="AM2800">
        <v>0</v>
      </c>
      <c r="AN2800">
        <v>168.58</v>
      </c>
      <c r="AP2800">
        <v>54</v>
      </c>
      <c r="AQ2800">
        <v>54</v>
      </c>
    </row>
    <row r="2801" spans="1:43" x14ac:dyDescent="0.25">
      <c r="A2801" t="s">
        <v>46</v>
      </c>
      <c r="B2801">
        <v>4</v>
      </c>
      <c r="C2801" t="s">
        <v>1787</v>
      </c>
      <c r="D2801" s="39">
        <v>46028</v>
      </c>
      <c r="E2801" t="s">
        <v>243</v>
      </c>
      <c r="F2801" t="s">
        <v>525</v>
      </c>
      <c r="G2801">
        <v>16</v>
      </c>
      <c r="H2801" t="s">
        <v>919</v>
      </c>
      <c r="I2801" t="s">
        <v>525</v>
      </c>
      <c r="J2801">
        <v>750</v>
      </c>
      <c r="K2801" t="s">
        <v>79</v>
      </c>
      <c r="L2801">
        <v>13</v>
      </c>
      <c r="M2801">
        <v>626.41999999999996</v>
      </c>
      <c r="N2801">
        <v>26</v>
      </c>
      <c r="O2801">
        <v>68</v>
      </c>
      <c r="Q2801">
        <v>600.41999999999996</v>
      </c>
      <c r="R2801" t="s">
        <v>1788</v>
      </c>
      <c r="S2801">
        <v>25</v>
      </c>
      <c r="V2801">
        <v>25</v>
      </c>
      <c r="W2801">
        <v>0.41666666666666674</v>
      </c>
      <c r="AF2801">
        <v>0</v>
      </c>
      <c r="AG2801">
        <v>0</v>
      </c>
      <c r="AH2801">
        <v>0.41666666666666674</v>
      </c>
      <c r="AI2801">
        <v>11.583333333333334</v>
      </c>
      <c r="AJ2801">
        <v>12</v>
      </c>
      <c r="AM2801">
        <v>0</v>
      </c>
      <c r="AN2801">
        <v>631.41999999999996</v>
      </c>
      <c r="AP2801">
        <v>54</v>
      </c>
      <c r="AQ2801">
        <v>54</v>
      </c>
    </row>
    <row r="2802" spans="1:43" x14ac:dyDescent="0.25">
      <c r="A2802" t="s">
        <v>46</v>
      </c>
      <c r="B2802">
        <v>4</v>
      </c>
      <c r="C2802" t="s">
        <v>1789</v>
      </c>
      <c r="D2802" s="39">
        <v>46028</v>
      </c>
      <c r="E2802" t="s">
        <v>243</v>
      </c>
      <c r="F2802" t="s">
        <v>525</v>
      </c>
      <c r="G2802">
        <v>18</v>
      </c>
      <c r="H2802" t="s">
        <v>919</v>
      </c>
      <c r="I2802" t="s">
        <v>525</v>
      </c>
      <c r="J2802">
        <v>910</v>
      </c>
      <c r="K2802" t="s">
        <v>79</v>
      </c>
      <c r="L2802">
        <v>8</v>
      </c>
      <c r="M2802">
        <v>435.90999999999997</v>
      </c>
      <c r="N2802">
        <v>13.52</v>
      </c>
      <c r="Q2802">
        <v>422.39</v>
      </c>
      <c r="R2802" t="s">
        <v>1790</v>
      </c>
      <c r="V2802">
        <v>0</v>
      </c>
      <c r="W2802">
        <v>0</v>
      </c>
      <c r="AF2802">
        <v>0</v>
      </c>
      <c r="AG2802">
        <v>0</v>
      </c>
      <c r="AH2802">
        <v>0</v>
      </c>
      <c r="AI2802">
        <v>12</v>
      </c>
      <c r="AJ2802">
        <v>12</v>
      </c>
      <c r="AM2802">
        <v>0</v>
      </c>
      <c r="AN2802">
        <v>440.91</v>
      </c>
      <c r="AP2802">
        <v>54</v>
      </c>
      <c r="AQ2802">
        <v>54</v>
      </c>
    </row>
    <row r="2803" spans="1:43" x14ac:dyDescent="0.25">
      <c r="A2803" t="s">
        <v>45</v>
      </c>
      <c r="B2803">
        <v>5</v>
      </c>
      <c r="C2803" t="s">
        <v>1791</v>
      </c>
      <c r="D2803" s="39">
        <v>46028</v>
      </c>
      <c r="E2803" t="s">
        <v>484</v>
      </c>
      <c r="F2803" t="s">
        <v>79</v>
      </c>
      <c r="G2803">
        <v>9</v>
      </c>
      <c r="H2803" t="s">
        <v>102</v>
      </c>
      <c r="I2803" t="s">
        <v>79</v>
      </c>
      <c r="J2803">
        <v>100</v>
      </c>
      <c r="K2803" t="s">
        <v>79</v>
      </c>
      <c r="L2803">
        <v>2</v>
      </c>
      <c r="M2803">
        <v>88.93</v>
      </c>
      <c r="N2803">
        <v>1.8</v>
      </c>
      <c r="Q2803">
        <v>87.13000000000001</v>
      </c>
      <c r="R2803" t="s">
        <v>1792</v>
      </c>
      <c r="V2803">
        <v>0</v>
      </c>
      <c r="W2803">
        <v>0</v>
      </c>
      <c r="AF2803">
        <v>0</v>
      </c>
      <c r="AG2803">
        <v>0</v>
      </c>
      <c r="AH2803">
        <v>0</v>
      </c>
      <c r="AI2803">
        <v>12</v>
      </c>
      <c r="AJ2803">
        <v>12</v>
      </c>
      <c r="AM2803">
        <v>0</v>
      </c>
      <c r="AN2803">
        <v>93.93</v>
      </c>
      <c r="AP2803">
        <v>54</v>
      </c>
      <c r="AQ2803">
        <v>54</v>
      </c>
    </row>
    <row r="2804" spans="1:43" x14ac:dyDescent="0.25">
      <c r="A2804" t="s">
        <v>45</v>
      </c>
      <c r="B2804">
        <v>5</v>
      </c>
      <c r="C2804" t="s">
        <v>1793</v>
      </c>
      <c r="D2804" s="39">
        <v>46028</v>
      </c>
      <c r="E2804" t="s">
        <v>819</v>
      </c>
      <c r="F2804" t="s">
        <v>79</v>
      </c>
      <c r="G2804">
        <v>10</v>
      </c>
      <c r="H2804" t="s">
        <v>123</v>
      </c>
      <c r="I2804" t="s">
        <v>79</v>
      </c>
      <c r="J2804">
        <v>50</v>
      </c>
      <c r="K2804" t="s">
        <v>79</v>
      </c>
      <c r="L2804">
        <v>2</v>
      </c>
      <c r="M2804">
        <v>55.5</v>
      </c>
      <c r="N2804">
        <v>2</v>
      </c>
      <c r="Q2804">
        <v>53.5</v>
      </c>
      <c r="R2804" t="s">
        <v>1794</v>
      </c>
      <c r="V2804">
        <v>0</v>
      </c>
      <c r="W2804">
        <v>0</v>
      </c>
      <c r="AF2804">
        <v>0</v>
      </c>
      <c r="AG2804">
        <v>0</v>
      </c>
      <c r="AH2804">
        <v>0</v>
      </c>
      <c r="AI2804">
        <v>12</v>
      </c>
      <c r="AJ2804">
        <v>12</v>
      </c>
      <c r="AM2804">
        <v>0</v>
      </c>
      <c r="AN2804">
        <v>60.5</v>
      </c>
      <c r="AP2804">
        <v>54</v>
      </c>
      <c r="AQ2804">
        <v>54</v>
      </c>
    </row>
    <row r="2805" spans="1:43" x14ac:dyDescent="0.25">
      <c r="A2805" t="s">
        <v>45</v>
      </c>
      <c r="B2805">
        <v>5</v>
      </c>
      <c r="C2805" t="s">
        <v>1795</v>
      </c>
      <c r="D2805" s="39">
        <v>46028</v>
      </c>
      <c r="E2805" t="s">
        <v>1785</v>
      </c>
      <c r="F2805" t="s">
        <v>79</v>
      </c>
      <c r="G2805">
        <v>10</v>
      </c>
      <c r="H2805" t="s">
        <v>135</v>
      </c>
      <c r="I2805" t="s">
        <v>79</v>
      </c>
      <c r="J2805">
        <v>50</v>
      </c>
      <c r="K2805" t="s">
        <v>79</v>
      </c>
      <c r="L2805">
        <v>2</v>
      </c>
      <c r="M2805">
        <v>54.75</v>
      </c>
      <c r="N2805">
        <v>2</v>
      </c>
      <c r="Q2805">
        <v>52.75</v>
      </c>
      <c r="R2805" t="s">
        <v>1796</v>
      </c>
      <c r="S2805">
        <v>25</v>
      </c>
      <c r="V2805">
        <v>25</v>
      </c>
      <c r="W2805">
        <v>0.41666666666666674</v>
      </c>
      <c r="AF2805">
        <v>0</v>
      </c>
      <c r="AG2805">
        <v>0</v>
      </c>
      <c r="AH2805">
        <v>0.41666666666666674</v>
      </c>
      <c r="AI2805">
        <v>11.583333333333334</v>
      </c>
      <c r="AJ2805">
        <v>12</v>
      </c>
      <c r="AM2805">
        <v>0</v>
      </c>
      <c r="AN2805">
        <v>59.75</v>
      </c>
      <c r="AP2805">
        <v>54</v>
      </c>
      <c r="AQ2805">
        <v>54</v>
      </c>
    </row>
    <row r="2806" spans="1:43" x14ac:dyDescent="0.25">
      <c r="A2806" t="s">
        <v>45</v>
      </c>
      <c r="B2806">
        <v>5</v>
      </c>
      <c r="C2806" t="s">
        <v>1797</v>
      </c>
      <c r="D2806" s="39">
        <v>46028</v>
      </c>
      <c r="E2806" t="s">
        <v>229</v>
      </c>
      <c r="F2806" t="s">
        <v>79</v>
      </c>
      <c r="G2806">
        <v>10</v>
      </c>
      <c r="H2806" t="s">
        <v>105</v>
      </c>
      <c r="I2806" t="s">
        <v>79</v>
      </c>
      <c r="J2806">
        <v>1050</v>
      </c>
      <c r="K2806" t="s">
        <v>79</v>
      </c>
      <c r="L2806">
        <v>5</v>
      </c>
      <c r="M2806">
        <v>243.63</v>
      </c>
      <c r="N2806">
        <v>6</v>
      </c>
      <c r="O2806">
        <v>6</v>
      </c>
      <c r="Q2806">
        <v>237.63</v>
      </c>
      <c r="R2806" t="s">
        <v>1798</v>
      </c>
      <c r="V2806">
        <v>0</v>
      </c>
      <c r="W2806">
        <v>0</v>
      </c>
      <c r="AF2806">
        <v>0</v>
      </c>
      <c r="AG2806">
        <v>0</v>
      </c>
      <c r="AH2806">
        <v>0</v>
      </c>
      <c r="AI2806">
        <v>12</v>
      </c>
      <c r="AJ2806">
        <v>12</v>
      </c>
      <c r="AM2806">
        <v>0</v>
      </c>
      <c r="AN2806">
        <v>248.63</v>
      </c>
      <c r="AP2806">
        <v>54</v>
      </c>
      <c r="AQ2806">
        <v>54</v>
      </c>
    </row>
    <row r="2807" spans="1:43" x14ac:dyDescent="0.25">
      <c r="A2807" t="s">
        <v>46</v>
      </c>
      <c r="B2807">
        <v>5</v>
      </c>
      <c r="C2807" t="s">
        <v>1797</v>
      </c>
      <c r="D2807" s="39">
        <v>46028</v>
      </c>
      <c r="E2807" t="s">
        <v>229</v>
      </c>
      <c r="F2807" t="s">
        <v>79</v>
      </c>
      <c r="G2807">
        <v>10</v>
      </c>
      <c r="H2807" t="s">
        <v>105</v>
      </c>
      <c r="I2807" t="s">
        <v>79</v>
      </c>
      <c r="J2807">
        <v>1050</v>
      </c>
      <c r="K2807" t="s">
        <v>79</v>
      </c>
      <c r="L2807">
        <v>11</v>
      </c>
      <c r="M2807">
        <v>584.91</v>
      </c>
      <c r="N2807">
        <v>14.850000000000001</v>
      </c>
      <c r="O2807">
        <v>6</v>
      </c>
      <c r="Q2807">
        <v>570.05999999999995</v>
      </c>
      <c r="R2807" t="s">
        <v>1798</v>
      </c>
      <c r="V2807">
        <v>0</v>
      </c>
      <c r="W2807">
        <v>0</v>
      </c>
      <c r="AF2807">
        <v>0</v>
      </c>
      <c r="AG2807">
        <v>0</v>
      </c>
      <c r="AH2807">
        <v>0</v>
      </c>
      <c r="AI2807">
        <v>12</v>
      </c>
      <c r="AJ2807">
        <v>12</v>
      </c>
      <c r="AM2807">
        <v>0</v>
      </c>
      <c r="AN2807">
        <v>589.91</v>
      </c>
      <c r="AP2807">
        <v>54</v>
      </c>
      <c r="AQ2807">
        <v>54</v>
      </c>
    </row>
    <row r="2808" spans="1:43" x14ac:dyDescent="0.25">
      <c r="A2808" t="s">
        <v>45</v>
      </c>
      <c r="B2808">
        <v>1</v>
      </c>
      <c r="C2808" t="s">
        <v>1742</v>
      </c>
      <c r="D2808" s="39">
        <v>46029</v>
      </c>
      <c r="E2808" t="s">
        <v>486</v>
      </c>
      <c r="F2808" t="s">
        <v>79</v>
      </c>
      <c r="G2808">
        <v>2.5</v>
      </c>
      <c r="H2808" t="s">
        <v>92</v>
      </c>
      <c r="I2808" t="s">
        <v>79</v>
      </c>
      <c r="J2808">
        <v>1000</v>
      </c>
      <c r="K2808" t="s">
        <v>79</v>
      </c>
      <c r="L2808">
        <v>9</v>
      </c>
      <c r="M2808">
        <v>130.49</v>
      </c>
      <c r="N2808">
        <v>2.25</v>
      </c>
      <c r="Q2808">
        <v>128.24</v>
      </c>
      <c r="R2808" t="s">
        <v>1775</v>
      </c>
      <c r="V2808">
        <v>0</v>
      </c>
      <c r="W2808">
        <v>0</v>
      </c>
      <c r="AF2808">
        <v>0</v>
      </c>
      <c r="AG2808">
        <v>0</v>
      </c>
      <c r="AH2808">
        <v>0</v>
      </c>
      <c r="AI2808">
        <v>12</v>
      </c>
      <c r="AJ2808">
        <v>12</v>
      </c>
      <c r="AM2808">
        <v>0</v>
      </c>
      <c r="AN2808">
        <v>135.49</v>
      </c>
      <c r="AP2808">
        <v>54</v>
      </c>
      <c r="AQ2808">
        <v>54</v>
      </c>
    </row>
    <row r="2809" spans="1:43" x14ac:dyDescent="0.25">
      <c r="A2809" t="s">
        <v>46</v>
      </c>
      <c r="B2809">
        <v>1</v>
      </c>
      <c r="C2809" t="s">
        <v>1742</v>
      </c>
      <c r="D2809" s="39">
        <v>46029</v>
      </c>
      <c r="E2809" t="s">
        <v>486</v>
      </c>
      <c r="F2809" t="s">
        <v>79</v>
      </c>
      <c r="G2809">
        <v>2.5</v>
      </c>
      <c r="H2809" t="s">
        <v>92</v>
      </c>
      <c r="I2809" t="s">
        <v>79</v>
      </c>
      <c r="J2809">
        <v>1000</v>
      </c>
      <c r="K2809" t="s">
        <v>79</v>
      </c>
      <c r="L2809">
        <v>7</v>
      </c>
      <c r="M2809">
        <v>100.14</v>
      </c>
      <c r="N2809">
        <v>1.75</v>
      </c>
      <c r="Q2809">
        <v>98.39</v>
      </c>
      <c r="R2809" t="s">
        <v>1775</v>
      </c>
      <c r="S2809">
        <v>20</v>
      </c>
      <c r="V2809">
        <v>20</v>
      </c>
      <c r="W2809">
        <v>0.33333333333333331</v>
      </c>
      <c r="AF2809">
        <v>0</v>
      </c>
      <c r="AG2809">
        <v>0</v>
      </c>
      <c r="AH2809">
        <v>0.33333333333333331</v>
      </c>
      <c r="AI2809">
        <v>11.666666666666666</v>
      </c>
      <c r="AJ2809">
        <v>12</v>
      </c>
      <c r="AM2809">
        <v>0</v>
      </c>
      <c r="AN2809">
        <v>105.14</v>
      </c>
      <c r="AP2809">
        <v>54</v>
      </c>
      <c r="AQ2809">
        <v>54</v>
      </c>
    </row>
    <row r="2810" spans="1:43" x14ac:dyDescent="0.25">
      <c r="A2810" t="s">
        <v>46</v>
      </c>
      <c r="B2810">
        <v>1</v>
      </c>
      <c r="C2810" t="s">
        <v>1799</v>
      </c>
      <c r="D2810" s="39">
        <v>46029</v>
      </c>
      <c r="E2810" t="s">
        <v>238</v>
      </c>
      <c r="F2810" t="s">
        <v>79</v>
      </c>
      <c r="G2810">
        <v>1.5</v>
      </c>
      <c r="H2810" t="s">
        <v>534</v>
      </c>
      <c r="I2810" t="s">
        <v>79</v>
      </c>
      <c r="J2810" t="s">
        <v>1800</v>
      </c>
      <c r="K2810" t="s">
        <v>79</v>
      </c>
      <c r="L2810">
        <v>1</v>
      </c>
      <c r="M2810">
        <v>19.8</v>
      </c>
      <c r="N2810">
        <v>0.15</v>
      </c>
      <c r="Q2810">
        <v>19.650000000000002</v>
      </c>
      <c r="R2810" t="s">
        <v>1801</v>
      </c>
      <c r="V2810">
        <v>0</v>
      </c>
      <c r="W2810">
        <v>0</v>
      </c>
      <c r="AF2810">
        <v>0</v>
      </c>
      <c r="AG2810">
        <v>0</v>
      </c>
      <c r="AH2810">
        <v>0</v>
      </c>
      <c r="AI2810">
        <v>12</v>
      </c>
      <c r="AJ2810">
        <v>12</v>
      </c>
      <c r="AM2810">
        <v>0</v>
      </c>
      <c r="AN2810">
        <v>24.8</v>
      </c>
      <c r="AP2810">
        <v>54</v>
      </c>
      <c r="AQ2810">
        <v>54</v>
      </c>
    </row>
    <row r="2811" spans="1:43" x14ac:dyDescent="0.25">
      <c r="A2811" t="s">
        <v>45</v>
      </c>
      <c r="B2811">
        <v>2</v>
      </c>
      <c r="C2811" t="s">
        <v>1778</v>
      </c>
      <c r="D2811" s="39">
        <v>46029</v>
      </c>
      <c r="E2811" t="s">
        <v>1177</v>
      </c>
      <c r="F2811" t="s">
        <v>79</v>
      </c>
      <c r="G2811">
        <v>3.5</v>
      </c>
      <c r="H2811" t="s">
        <v>123</v>
      </c>
      <c r="I2811" t="s">
        <v>79</v>
      </c>
      <c r="J2811">
        <v>1000</v>
      </c>
      <c r="K2811" t="s">
        <v>79</v>
      </c>
      <c r="L2811">
        <v>10</v>
      </c>
      <c r="M2811">
        <v>150.06</v>
      </c>
      <c r="N2811">
        <v>3.5</v>
      </c>
      <c r="Q2811">
        <v>146.56</v>
      </c>
      <c r="R2811" t="s">
        <v>1779</v>
      </c>
      <c r="V2811">
        <v>0</v>
      </c>
      <c r="W2811">
        <v>0</v>
      </c>
      <c r="Z2811">
        <v>120</v>
      </c>
      <c r="AF2811">
        <v>120</v>
      </c>
      <c r="AG2811">
        <v>2</v>
      </c>
      <c r="AH2811">
        <v>2</v>
      </c>
      <c r="AI2811">
        <v>10</v>
      </c>
      <c r="AJ2811">
        <v>12</v>
      </c>
      <c r="AM2811">
        <v>0</v>
      </c>
      <c r="AN2811">
        <v>155.06</v>
      </c>
      <c r="AP2811">
        <v>54</v>
      </c>
      <c r="AQ2811">
        <v>54</v>
      </c>
    </row>
    <row r="2812" spans="1:43" x14ac:dyDescent="0.25">
      <c r="A2812" t="s">
        <v>46</v>
      </c>
      <c r="B2812">
        <v>2</v>
      </c>
      <c r="C2812" t="s">
        <v>1778</v>
      </c>
      <c r="D2812" s="39">
        <v>46029</v>
      </c>
      <c r="E2812" t="s">
        <v>1177</v>
      </c>
      <c r="F2812" t="s">
        <v>79</v>
      </c>
      <c r="G2812">
        <v>3.5</v>
      </c>
      <c r="H2812" t="s">
        <v>123</v>
      </c>
      <c r="I2812" t="s">
        <v>79</v>
      </c>
      <c r="J2812">
        <v>1000</v>
      </c>
      <c r="K2812" t="s">
        <v>79</v>
      </c>
      <c r="L2812">
        <v>10</v>
      </c>
      <c r="M2812">
        <v>164.1</v>
      </c>
      <c r="N2812">
        <v>3.5</v>
      </c>
      <c r="Q2812">
        <v>160.6</v>
      </c>
      <c r="R2812" t="s">
        <v>1779</v>
      </c>
      <c r="V2812">
        <v>0</v>
      </c>
      <c r="W2812">
        <v>0</v>
      </c>
      <c r="AF2812">
        <v>0</v>
      </c>
      <c r="AG2812">
        <v>0</v>
      </c>
      <c r="AH2812">
        <v>0</v>
      </c>
      <c r="AI2812">
        <v>12</v>
      </c>
      <c r="AJ2812">
        <v>12</v>
      </c>
      <c r="AM2812">
        <v>0</v>
      </c>
      <c r="AN2812">
        <v>169.1</v>
      </c>
      <c r="AP2812">
        <v>54</v>
      </c>
      <c r="AQ2812">
        <v>54</v>
      </c>
    </row>
    <row r="2813" spans="1:43" x14ac:dyDescent="0.25">
      <c r="A2813" t="s">
        <v>45</v>
      </c>
      <c r="B2813">
        <v>4</v>
      </c>
      <c r="C2813" t="s">
        <v>1789</v>
      </c>
      <c r="D2813" s="39">
        <v>46029</v>
      </c>
      <c r="E2813" t="s">
        <v>243</v>
      </c>
      <c r="F2813" t="s">
        <v>525</v>
      </c>
      <c r="G2813">
        <v>18</v>
      </c>
      <c r="H2813" t="s">
        <v>919</v>
      </c>
      <c r="I2813" t="s">
        <v>525</v>
      </c>
      <c r="J2813">
        <v>910</v>
      </c>
      <c r="K2813" t="s">
        <v>79</v>
      </c>
      <c r="L2813">
        <v>14</v>
      </c>
      <c r="M2813">
        <v>680.28999999999985</v>
      </c>
      <c r="N2813">
        <v>25.2</v>
      </c>
      <c r="O2813">
        <v>128</v>
      </c>
      <c r="Q2813">
        <v>655.0899999999998</v>
      </c>
      <c r="R2813" t="s">
        <v>1790</v>
      </c>
      <c r="S2813">
        <v>90</v>
      </c>
      <c r="V2813">
        <v>90</v>
      </c>
      <c r="W2813">
        <v>1.5</v>
      </c>
      <c r="AF2813">
        <v>0</v>
      </c>
      <c r="AG2813">
        <v>0</v>
      </c>
      <c r="AH2813">
        <v>1.5</v>
      </c>
      <c r="AI2813">
        <v>10.5</v>
      </c>
      <c r="AJ2813">
        <v>12</v>
      </c>
      <c r="AM2813">
        <v>0</v>
      </c>
      <c r="AN2813">
        <v>685.28999999999985</v>
      </c>
      <c r="AP2813">
        <v>54</v>
      </c>
      <c r="AQ2813">
        <v>54</v>
      </c>
    </row>
    <row r="2814" spans="1:43" x14ac:dyDescent="0.25">
      <c r="A2814" t="s">
        <v>46</v>
      </c>
      <c r="B2814">
        <v>4</v>
      </c>
      <c r="C2814" t="s">
        <v>1789</v>
      </c>
      <c r="D2814" s="39">
        <v>46029</v>
      </c>
      <c r="E2814" t="s">
        <v>243</v>
      </c>
      <c r="F2814" t="s">
        <v>525</v>
      </c>
      <c r="G2814">
        <v>18</v>
      </c>
      <c r="H2814" t="s">
        <v>919</v>
      </c>
      <c r="I2814" t="s">
        <v>525</v>
      </c>
      <c r="J2814">
        <v>910</v>
      </c>
      <c r="K2814" t="s">
        <v>79</v>
      </c>
      <c r="L2814">
        <v>5</v>
      </c>
      <c r="M2814">
        <v>273.15999999999997</v>
      </c>
      <c r="N2814">
        <v>10.029999999999999</v>
      </c>
      <c r="O2814">
        <v>105</v>
      </c>
      <c r="Q2814">
        <v>263.13</v>
      </c>
      <c r="R2814" t="s">
        <v>1790</v>
      </c>
      <c r="S2814">
        <v>20</v>
      </c>
      <c r="V2814">
        <v>20</v>
      </c>
      <c r="W2814">
        <v>0.33333333333333331</v>
      </c>
      <c r="X2814">
        <v>60</v>
      </c>
      <c r="Z2814">
        <v>60</v>
      </c>
      <c r="AF2814">
        <v>120</v>
      </c>
      <c r="AG2814">
        <v>2</v>
      </c>
      <c r="AH2814">
        <v>2.3333333333333335</v>
      </c>
      <c r="AI2814">
        <v>9.6666666666666661</v>
      </c>
      <c r="AJ2814">
        <v>12</v>
      </c>
      <c r="AM2814">
        <v>0</v>
      </c>
      <c r="AN2814">
        <v>278.15999999999997</v>
      </c>
      <c r="AP2814">
        <v>54</v>
      </c>
      <c r="AQ2814">
        <v>54</v>
      </c>
    </row>
    <row r="2815" spans="1:43" x14ac:dyDescent="0.25">
      <c r="A2815" t="s">
        <v>46</v>
      </c>
      <c r="B2815">
        <v>4</v>
      </c>
      <c r="C2815" t="s">
        <v>1787</v>
      </c>
      <c r="D2815" s="39">
        <v>46029</v>
      </c>
      <c r="E2815" t="s">
        <v>243</v>
      </c>
      <c r="F2815" t="s">
        <v>525</v>
      </c>
      <c r="G2815">
        <v>16</v>
      </c>
      <c r="H2815" t="s">
        <v>919</v>
      </c>
      <c r="I2815" t="s">
        <v>525</v>
      </c>
      <c r="J2815">
        <v>750</v>
      </c>
      <c r="K2815" t="s">
        <v>79</v>
      </c>
      <c r="L2815">
        <v>2</v>
      </c>
      <c r="M2815">
        <v>108.94999999999999</v>
      </c>
      <c r="N2815">
        <v>3.3</v>
      </c>
      <c r="Q2815">
        <v>105.64999999999999</v>
      </c>
      <c r="R2815" t="s">
        <v>1788</v>
      </c>
      <c r="S2815">
        <v>20</v>
      </c>
      <c r="V2815">
        <v>20</v>
      </c>
      <c r="W2815">
        <v>0.33333333333333331</v>
      </c>
      <c r="AF2815">
        <v>0</v>
      </c>
      <c r="AG2815">
        <v>0</v>
      </c>
      <c r="AH2815">
        <v>0.33333333333333331</v>
      </c>
      <c r="AI2815">
        <v>11.666666666666666</v>
      </c>
      <c r="AJ2815">
        <v>12</v>
      </c>
      <c r="AM2815">
        <v>0</v>
      </c>
      <c r="AN2815">
        <v>113.95</v>
      </c>
      <c r="AP2815">
        <v>54</v>
      </c>
      <c r="AQ2815">
        <v>54</v>
      </c>
    </row>
    <row r="2816" spans="1:43" x14ac:dyDescent="0.25">
      <c r="A2816" t="s">
        <v>46</v>
      </c>
      <c r="B2816">
        <v>4</v>
      </c>
      <c r="C2816" t="s">
        <v>1802</v>
      </c>
      <c r="D2816" s="39">
        <v>46029</v>
      </c>
      <c r="E2816" t="s">
        <v>243</v>
      </c>
      <c r="F2816" t="s">
        <v>525</v>
      </c>
      <c r="G2816">
        <v>25</v>
      </c>
      <c r="H2816" t="s">
        <v>1803</v>
      </c>
      <c r="I2816" t="s">
        <v>525</v>
      </c>
      <c r="J2816">
        <v>40</v>
      </c>
      <c r="K2816" t="s">
        <v>79</v>
      </c>
      <c r="L2816">
        <v>1</v>
      </c>
      <c r="M2816">
        <v>24.79</v>
      </c>
      <c r="N2816">
        <v>2.8</v>
      </c>
      <c r="Q2816">
        <v>21.99</v>
      </c>
      <c r="R2816" t="s">
        <v>1804</v>
      </c>
      <c r="S2816">
        <v>20</v>
      </c>
      <c r="V2816">
        <v>20</v>
      </c>
      <c r="W2816">
        <v>0.33333333333333331</v>
      </c>
      <c r="AF2816">
        <v>0</v>
      </c>
      <c r="AG2816">
        <v>0</v>
      </c>
      <c r="AH2816">
        <v>0.33333333333333331</v>
      </c>
      <c r="AI2816">
        <v>11.666666666666666</v>
      </c>
      <c r="AJ2816">
        <v>12</v>
      </c>
      <c r="AM2816">
        <v>0</v>
      </c>
      <c r="AN2816">
        <v>29.79</v>
      </c>
      <c r="AP2816">
        <v>54</v>
      </c>
      <c r="AQ2816">
        <v>54</v>
      </c>
    </row>
    <row r="2817" spans="1:43" x14ac:dyDescent="0.25">
      <c r="A2817" t="s">
        <v>46</v>
      </c>
      <c r="B2817">
        <v>4</v>
      </c>
      <c r="C2817" t="s">
        <v>1805</v>
      </c>
      <c r="D2817" s="39">
        <v>46029</v>
      </c>
      <c r="E2817" t="s">
        <v>243</v>
      </c>
      <c r="F2817" t="s">
        <v>525</v>
      </c>
      <c r="G2817">
        <v>17</v>
      </c>
      <c r="H2817" t="s">
        <v>919</v>
      </c>
      <c r="I2817" t="s">
        <v>525</v>
      </c>
      <c r="J2817">
        <v>100</v>
      </c>
      <c r="K2817" t="s">
        <v>79</v>
      </c>
      <c r="L2817">
        <v>4</v>
      </c>
      <c r="M2817">
        <v>213.69</v>
      </c>
      <c r="N2817">
        <v>7.6</v>
      </c>
      <c r="Q2817">
        <v>206.09</v>
      </c>
      <c r="R2817" t="s">
        <v>1806</v>
      </c>
      <c r="V2817">
        <v>0</v>
      </c>
      <c r="W2817">
        <v>0</v>
      </c>
      <c r="AF2817">
        <v>0</v>
      </c>
      <c r="AG2817">
        <v>0</v>
      </c>
      <c r="AH2817">
        <v>0</v>
      </c>
      <c r="AI2817">
        <v>12</v>
      </c>
      <c r="AJ2817">
        <v>12</v>
      </c>
      <c r="AM2817">
        <v>0</v>
      </c>
      <c r="AN2817">
        <v>218.69</v>
      </c>
      <c r="AP2817">
        <v>54</v>
      </c>
      <c r="AQ2817">
        <v>54</v>
      </c>
    </row>
    <row r="2818" spans="1:43" x14ac:dyDescent="0.25">
      <c r="A2818" t="s">
        <v>45</v>
      </c>
      <c r="B2818">
        <v>5</v>
      </c>
      <c r="C2818" t="s">
        <v>1797</v>
      </c>
      <c r="D2818" s="39">
        <v>46029</v>
      </c>
      <c r="E2818" t="s">
        <v>229</v>
      </c>
      <c r="F2818" t="s">
        <v>79</v>
      </c>
      <c r="G2818">
        <v>10</v>
      </c>
      <c r="H2818" t="s">
        <v>105</v>
      </c>
      <c r="I2818" t="s">
        <v>79</v>
      </c>
      <c r="J2818">
        <v>1050</v>
      </c>
      <c r="K2818" t="s">
        <v>79</v>
      </c>
      <c r="L2818">
        <v>4</v>
      </c>
      <c r="M2818">
        <v>136.17000000000002</v>
      </c>
      <c r="N2818">
        <v>4</v>
      </c>
      <c r="Q2818">
        <v>132.17000000000002</v>
      </c>
      <c r="R2818" t="s">
        <v>1798</v>
      </c>
      <c r="V2818">
        <v>0</v>
      </c>
      <c r="W2818">
        <v>0</v>
      </c>
      <c r="AF2818">
        <v>0</v>
      </c>
      <c r="AG2818">
        <v>0</v>
      </c>
      <c r="AH2818">
        <v>0</v>
      </c>
      <c r="AI2818">
        <v>13</v>
      </c>
      <c r="AJ2818">
        <v>12</v>
      </c>
      <c r="AM2818">
        <v>0</v>
      </c>
      <c r="AN2818">
        <v>141.17000000000002</v>
      </c>
      <c r="AP2818">
        <v>54</v>
      </c>
      <c r="AQ2818">
        <v>54</v>
      </c>
    </row>
    <row r="2819" spans="1:43" x14ac:dyDescent="0.25">
      <c r="A2819" t="s">
        <v>45</v>
      </c>
      <c r="B2819">
        <v>5</v>
      </c>
      <c r="C2819" t="s">
        <v>1807</v>
      </c>
      <c r="D2819" s="39">
        <v>46029</v>
      </c>
      <c r="E2819" t="s">
        <v>420</v>
      </c>
      <c r="F2819" t="s">
        <v>79</v>
      </c>
      <c r="G2819">
        <v>10</v>
      </c>
      <c r="H2819" t="s">
        <v>123</v>
      </c>
      <c r="I2819" t="s">
        <v>79</v>
      </c>
      <c r="J2819">
        <v>100</v>
      </c>
      <c r="K2819" t="s">
        <v>79</v>
      </c>
      <c r="L2819">
        <v>3</v>
      </c>
      <c r="M2819">
        <v>76.5</v>
      </c>
      <c r="N2819">
        <v>3</v>
      </c>
      <c r="Q2819">
        <v>73.5</v>
      </c>
      <c r="R2819" t="s">
        <v>1808</v>
      </c>
      <c r="V2819">
        <v>0</v>
      </c>
      <c r="W2819">
        <v>0</v>
      </c>
      <c r="AF2819">
        <v>0</v>
      </c>
      <c r="AG2819">
        <v>0</v>
      </c>
      <c r="AH2819">
        <v>0</v>
      </c>
      <c r="AI2819">
        <v>14</v>
      </c>
      <c r="AJ2819">
        <v>12</v>
      </c>
      <c r="AM2819">
        <v>0</v>
      </c>
      <c r="AN2819">
        <v>81.5</v>
      </c>
      <c r="AP2819">
        <v>54</v>
      </c>
      <c r="AQ2819">
        <v>54</v>
      </c>
    </row>
    <row r="2820" spans="1:43" x14ac:dyDescent="0.25">
      <c r="A2820" t="s">
        <v>45</v>
      </c>
      <c r="B2820">
        <v>5</v>
      </c>
      <c r="C2820" t="s">
        <v>1809</v>
      </c>
      <c r="D2820" s="39">
        <v>46029</v>
      </c>
      <c r="E2820" t="s">
        <v>1552</v>
      </c>
      <c r="F2820" t="s">
        <v>79</v>
      </c>
      <c r="G2820">
        <v>12</v>
      </c>
      <c r="H2820" t="s">
        <v>1049</v>
      </c>
      <c r="I2820" t="s">
        <v>79</v>
      </c>
      <c r="J2820">
        <v>100</v>
      </c>
      <c r="K2820" t="s">
        <v>79</v>
      </c>
      <c r="L2820">
        <v>2</v>
      </c>
      <c r="M2820">
        <v>99.210000000000008</v>
      </c>
      <c r="N2820">
        <v>2.4</v>
      </c>
      <c r="Q2820">
        <v>96.81</v>
      </c>
      <c r="R2820" t="s">
        <v>1810</v>
      </c>
      <c r="S2820">
        <v>25</v>
      </c>
      <c r="V2820">
        <v>25</v>
      </c>
      <c r="W2820">
        <v>0.41666666666666674</v>
      </c>
      <c r="AD2820">
        <v>60</v>
      </c>
      <c r="AF2820">
        <v>60</v>
      </c>
      <c r="AG2820">
        <v>1</v>
      </c>
      <c r="AH2820">
        <v>1.4166666666666667</v>
      </c>
      <c r="AI2820">
        <v>13.583333333333334</v>
      </c>
      <c r="AJ2820">
        <v>12</v>
      </c>
      <c r="AM2820">
        <v>0</v>
      </c>
      <c r="AN2820">
        <v>104.21</v>
      </c>
      <c r="AP2820">
        <v>54</v>
      </c>
      <c r="AQ2820">
        <v>54</v>
      </c>
    </row>
    <row r="2821" spans="1:43" x14ac:dyDescent="0.25">
      <c r="A2821" t="s">
        <v>45</v>
      </c>
      <c r="B2821">
        <v>5</v>
      </c>
      <c r="C2821" t="s">
        <v>1601</v>
      </c>
      <c r="D2821" s="39">
        <v>46029</v>
      </c>
      <c r="E2821" t="s">
        <v>486</v>
      </c>
      <c r="F2821" t="s">
        <v>79</v>
      </c>
      <c r="G2821">
        <v>10</v>
      </c>
      <c r="H2821">
        <v>5</v>
      </c>
      <c r="I2821" t="s">
        <v>79</v>
      </c>
      <c r="J2821">
        <v>1500</v>
      </c>
      <c r="K2821" t="s">
        <v>79</v>
      </c>
      <c r="L2821">
        <v>3</v>
      </c>
      <c r="M2821">
        <v>110.05</v>
      </c>
      <c r="N2821">
        <v>3</v>
      </c>
      <c r="O2821">
        <v>7.5</v>
      </c>
      <c r="Q2821">
        <v>107.05</v>
      </c>
      <c r="R2821" t="s">
        <v>1772</v>
      </c>
      <c r="V2821">
        <v>0</v>
      </c>
      <c r="W2821">
        <v>0</v>
      </c>
      <c r="AF2821">
        <v>0</v>
      </c>
      <c r="AG2821">
        <v>0</v>
      </c>
      <c r="AH2821">
        <v>0</v>
      </c>
      <c r="AI2821">
        <v>16</v>
      </c>
      <c r="AJ2821">
        <v>12</v>
      </c>
      <c r="AM2821">
        <v>0</v>
      </c>
      <c r="AN2821">
        <v>115.05</v>
      </c>
      <c r="AP2821">
        <v>54</v>
      </c>
      <c r="AQ2821">
        <v>54</v>
      </c>
    </row>
    <row r="2822" spans="1:43" x14ac:dyDescent="0.25">
      <c r="A2822" t="s">
        <v>46</v>
      </c>
      <c r="B2822">
        <v>5</v>
      </c>
      <c r="C2822" t="s">
        <v>1811</v>
      </c>
      <c r="D2822" s="39">
        <v>46029</v>
      </c>
      <c r="E2822" t="s">
        <v>1812</v>
      </c>
      <c r="F2822" t="s">
        <v>79</v>
      </c>
      <c r="G2822">
        <v>12</v>
      </c>
      <c r="H2822" t="s">
        <v>135</v>
      </c>
      <c r="I2822" t="s">
        <v>79</v>
      </c>
      <c r="J2822">
        <v>100</v>
      </c>
      <c r="K2822" t="s">
        <v>79</v>
      </c>
      <c r="L2822">
        <v>2</v>
      </c>
      <c r="M2822">
        <v>125.69</v>
      </c>
      <c r="N2822">
        <v>2.9</v>
      </c>
      <c r="O2822">
        <v>7.5</v>
      </c>
      <c r="Q2822">
        <v>122.78999999999999</v>
      </c>
      <c r="R2822" t="s">
        <v>1813</v>
      </c>
      <c r="S2822">
        <v>30</v>
      </c>
      <c r="V2822">
        <v>30</v>
      </c>
      <c r="W2822">
        <v>0.5</v>
      </c>
      <c r="AF2822">
        <v>0</v>
      </c>
      <c r="AG2822">
        <v>0</v>
      </c>
      <c r="AH2822">
        <v>0.5</v>
      </c>
      <c r="AI2822">
        <v>16.5</v>
      </c>
      <c r="AJ2822">
        <v>12</v>
      </c>
      <c r="AM2822">
        <v>0</v>
      </c>
      <c r="AN2822">
        <v>130.69</v>
      </c>
      <c r="AP2822">
        <v>54</v>
      </c>
      <c r="AQ2822">
        <v>54</v>
      </c>
    </row>
    <row r="2823" spans="1:43" x14ac:dyDescent="0.25">
      <c r="A2823" t="s">
        <v>46</v>
      </c>
      <c r="B2823">
        <v>5</v>
      </c>
      <c r="C2823" t="s">
        <v>1814</v>
      </c>
      <c r="D2823" s="39">
        <v>46029</v>
      </c>
      <c r="E2823" t="s">
        <v>276</v>
      </c>
      <c r="F2823" t="s">
        <v>79</v>
      </c>
      <c r="G2823">
        <v>18</v>
      </c>
      <c r="H2823" t="s">
        <v>113</v>
      </c>
      <c r="I2823" t="s">
        <v>79</v>
      </c>
      <c r="J2823" t="s">
        <v>81</v>
      </c>
      <c r="K2823" t="s">
        <v>79</v>
      </c>
      <c r="L2823">
        <v>3</v>
      </c>
      <c r="M2823">
        <v>211.76999999999998</v>
      </c>
      <c r="N2823">
        <v>6.6000000000000005</v>
      </c>
      <c r="Q2823">
        <v>205.17</v>
      </c>
      <c r="R2823" t="s">
        <v>1815</v>
      </c>
      <c r="V2823">
        <v>0</v>
      </c>
      <c r="W2823">
        <v>0</v>
      </c>
      <c r="AF2823">
        <v>0</v>
      </c>
      <c r="AG2823">
        <v>0</v>
      </c>
      <c r="AH2823">
        <v>0</v>
      </c>
      <c r="AI2823">
        <v>18</v>
      </c>
      <c r="AJ2823">
        <v>12</v>
      </c>
      <c r="AM2823">
        <v>0</v>
      </c>
      <c r="AN2823">
        <v>216.77</v>
      </c>
      <c r="AP2823">
        <v>54</v>
      </c>
      <c r="AQ2823">
        <v>54</v>
      </c>
    </row>
    <row r="2824" spans="1:43" x14ac:dyDescent="0.25">
      <c r="A2824" t="s">
        <v>46</v>
      </c>
      <c r="B2824">
        <v>5</v>
      </c>
      <c r="C2824" t="s">
        <v>1816</v>
      </c>
      <c r="D2824" s="39">
        <v>46029</v>
      </c>
      <c r="E2824" t="s">
        <v>229</v>
      </c>
      <c r="F2824" t="s">
        <v>79</v>
      </c>
      <c r="G2824">
        <v>12</v>
      </c>
      <c r="H2824">
        <v>15</v>
      </c>
      <c r="I2824" t="s">
        <v>79</v>
      </c>
      <c r="J2824">
        <v>150</v>
      </c>
      <c r="K2824" t="s">
        <v>79</v>
      </c>
      <c r="L2824">
        <v>3</v>
      </c>
      <c r="M2824">
        <v>181.62</v>
      </c>
      <c r="N2824">
        <v>4.4399999999999995</v>
      </c>
      <c r="Q2824">
        <v>177.18</v>
      </c>
      <c r="R2824" t="s">
        <v>1817</v>
      </c>
      <c r="V2824">
        <v>0</v>
      </c>
      <c r="W2824">
        <v>0</v>
      </c>
      <c r="AF2824">
        <v>0</v>
      </c>
      <c r="AG2824">
        <v>0</v>
      </c>
      <c r="AH2824">
        <v>0</v>
      </c>
      <c r="AI2824">
        <v>19</v>
      </c>
      <c r="AJ2824">
        <v>12</v>
      </c>
      <c r="AM2824">
        <v>0</v>
      </c>
      <c r="AN2824">
        <v>186.62</v>
      </c>
      <c r="AP2824">
        <v>54</v>
      </c>
      <c r="AQ2824">
        <v>54</v>
      </c>
    </row>
    <row r="2825" spans="1:43" x14ac:dyDescent="0.25">
      <c r="A2825" t="s">
        <v>45</v>
      </c>
      <c r="B2825">
        <v>1</v>
      </c>
      <c r="C2825" t="s">
        <v>1799</v>
      </c>
      <c r="D2825" s="39">
        <v>46030</v>
      </c>
      <c r="E2825" t="s">
        <v>238</v>
      </c>
      <c r="F2825" t="s">
        <v>79</v>
      </c>
      <c r="G2825">
        <v>1.5</v>
      </c>
      <c r="H2825" t="s">
        <v>534</v>
      </c>
      <c r="I2825" t="s">
        <v>79</v>
      </c>
      <c r="J2825" t="s">
        <v>1800</v>
      </c>
      <c r="K2825" t="s">
        <v>79</v>
      </c>
      <c r="L2825">
        <v>5</v>
      </c>
      <c r="M2825">
        <v>96.260000000000019</v>
      </c>
      <c r="N2825">
        <v>0.75</v>
      </c>
      <c r="Q2825">
        <v>95.510000000000019</v>
      </c>
      <c r="R2825" t="s">
        <v>1801</v>
      </c>
      <c r="V2825">
        <v>0</v>
      </c>
      <c r="W2825">
        <v>0</v>
      </c>
      <c r="AF2825">
        <v>0</v>
      </c>
      <c r="AG2825">
        <v>0</v>
      </c>
      <c r="AH2825">
        <v>0</v>
      </c>
      <c r="AI2825">
        <v>20</v>
      </c>
      <c r="AJ2825">
        <v>12</v>
      </c>
      <c r="AM2825">
        <v>0</v>
      </c>
      <c r="AN2825">
        <v>101.26000000000002</v>
      </c>
      <c r="AP2825">
        <v>54</v>
      </c>
      <c r="AQ2825">
        <v>54</v>
      </c>
    </row>
    <row r="2826" spans="1:43" x14ac:dyDescent="0.25">
      <c r="A2826" t="s">
        <v>46</v>
      </c>
      <c r="B2826">
        <v>1</v>
      </c>
      <c r="C2826" t="s">
        <v>1799</v>
      </c>
      <c r="D2826" s="39">
        <v>46030</v>
      </c>
      <c r="E2826" t="s">
        <v>238</v>
      </c>
      <c r="F2826" t="s">
        <v>79</v>
      </c>
      <c r="G2826">
        <v>1.5</v>
      </c>
      <c r="H2826" t="s">
        <v>534</v>
      </c>
      <c r="I2826" t="s">
        <v>79</v>
      </c>
      <c r="J2826" t="s">
        <v>1800</v>
      </c>
      <c r="K2826" t="s">
        <v>79</v>
      </c>
      <c r="L2826">
        <v>2</v>
      </c>
      <c r="M2826">
        <v>39.08</v>
      </c>
      <c r="N2826">
        <v>0.3</v>
      </c>
      <c r="Q2826">
        <v>38.78</v>
      </c>
      <c r="R2826" t="s">
        <v>1801</v>
      </c>
      <c r="S2826">
        <v>30</v>
      </c>
      <c r="V2826">
        <v>30</v>
      </c>
      <c r="W2826">
        <v>0.5</v>
      </c>
      <c r="AF2826">
        <v>0</v>
      </c>
      <c r="AG2826">
        <v>0</v>
      </c>
      <c r="AH2826">
        <v>0.5</v>
      </c>
      <c r="AI2826">
        <v>20.5</v>
      </c>
      <c r="AJ2826">
        <v>12</v>
      </c>
      <c r="AM2826">
        <v>0</v>
      </c>
      <c r="AN2826">
        <v>44.08</v>
      </c>
      <c r="AP2826">
        <v>54</v>
      </c>
      <c r="AQ2826">
        <v>54</v>
      </c>
    </row>
    <row r="2827" spans="1:43" x14ac:dyDescent="0.25">
      <c r="A2827" t="s">
        <v>46</v>
      </c>
      <c r="B2827">
        <v>1</v>
      </c>
      <c r="C2827" t="s">
        <v>1818</v>
      </c>
      <c r="D2827" s="39">
        <v>46030</v>
      </c>
      <c r="E2827" t="s">
        <v>486</v>
      </c>
      <c r="F2827" t="s">
        <v>79</v>
      </c>
      <c r="G2827">
        <v>4</v>
      </c>
      <c r="H2827" t="s">
        <v>113</v>
      </c>
      <c r="I2827" t="s">
        <v>79</v>
      </c>
      <c r="J2827">
        <v>1000</v>
      </c>
      <c r="K2827" t="s">
        <v>79</v>
      </c>
      <c r="L2827">
        <v>4</v>
      </c>
      <c r="M2827">
        <v>77.39</v>
      </c>
      <c r="N2827">
        <v>1.6</v>
      </c>
      <c r="Q2827">
        <v>75.790000000000006</v>
      </c>
      <c r="R2827" t="s">
        <v>1819</v>
      </c>
      <c r="V2827">
        <v>0</v>
      </c>
      <c r="W2827">
        <v>0</v>
      </c>
      <c r="AF2827">
        <v>0</v>
      </c>
      <c r="AG2827">
        <v>0</v>
      </c>
      <c r="AH2827">
        <v>0</v>
      </c>
      <c r="AI2827">
        <v>22</v>
      </c>
      <c r="AJ2827">
        <v>12</v>
      </c>
      <c r="AM2827">
        <v>0</v>
      </c>
      <c r="AN2827">
        <v>82.39</v>
      </c>
      <c r="AP2827">
        <v>54</v>
      </c>
      <c r="AQ2827">
        <v>54</v>
      </c>
    </row>
    <row r="2828" spans="1:43" x14ac:dyDescent="0.25">
      <c r="A2828" t="s">
        <v>45</v>
      </c>
      <c r="B2828">
        <v>2</v>
      </c>
      <c r="C2828" t="s">
        <v>1778</v>
      </c>
      <c r="D2828" s="39">
        <v>46030</v>
      </c>
      <c r="E2828" t="s">
        <v>1177</v>
      </c>
      <c r="F2828" t="s">
        <v>79</v>
      </c>
      <c r="G2828">
        <v>3.5</v>
      </c>
      <c r="H2828" t="s">
        <v>123</v>
      </c>
      <c r="I2828" t="s">
        <v>79</v>
      </c>
      <c r="J2828">
        <v>1000</v>
      </c>
      <c r="K2828" t="s">
        <v>79</v>
      </c>
      <c r="L2828">
        <v>9</v>
      </c>
      <c r="M2828">
        <v>138.13</v>
      </c>
      <c r="N2828">
        <v>31.5</v>
      </c>
      <c r="Q2828">
        <v>106.63</v>
      </c>
      <c r="R2828" t="s">
        <v>1779</v>
      </c>
      <c r="S2828">
        <v>15</v>
      </c>
      <c r="V2828">
        <v>15</v>
      </c>
      <c r="W2828">
        <v>0.25</v>
      </c>
      <c r="AF2828">
        <v>0</v>
      </c>
      <c r="AG2828">
        <v>0</v>
      </c>
      <c r="AH2828">
        <v>0.25</v>
      </c>
      <c r="AI2828">
        <v>22.75</v>
      </c>
      <c r="AJ2828">
        <v>12</v>
      </c>
      <c r="AM2828">
        <v>0</v>
      </c>
      <c r="AN2828">
        <v>143.13</v>
      </c>
      <c r="AP2828">
        <v>54</v>
      </c>
      <c r="AQ2828">
        <v>54</v>
      </c>
    </row>
    <row r="2829" spans="1:43" x14ac:dyDescent="0.25">
      <c r="A2829" t="s">
        <v>46</v>
      </c>
      <c r="B2829">
        <v>2</v>
      </c>
      <c r="C2829" t="s">
        <v>1820</v>
      </c>
      <c r="D2829" s="39">
        <v>46030</v>
      </c>
      <c r="E2829" t="s">
        <v>486</v>
      </c>
      <c r="F2829" t="s">
        <v>79</v>
      </c>
      <c r="G2829">
        <v>6</v>
      </c>
      <c r="H2829">
        <v>5</v>
      </c>
      <c r="I2829" t="s">
        <v>79</v>
      </c>
      <c r="J2829">
        <v>1000</v>
      </c>
      <c r="K2829" t="s">
        <v>79</v>
      </c>
      <c r="L2829">
        <v>10</v>
      </c>
      <c r="M2829">
        <v>249.3</v>
      </c>
      <c r="N2829">
        <v>6</v>
      </c>
      <c r="Q2829">
        <v>243.3</v>
      </c>
      <c r="R2829" t="s">
        <v>1821</v>
      </c>
      <c r="V2829">
        <v>0</v>
      </c>
      <c r="W2829">
        <v>0</v>
      </c>
      <c r="AF2829">
        <v>0</v>
      </c>
      <c r="AG2829">
        <v>0</v>
      </c>
      <c r="AH2829">
        <v>0</v>
      </c>
      <c r="AI2829">
        <v>24</v>
      </c>
      <c r="AJ2829">
        <v>12</v>
      </c>
      <c r="AM2829">
        <v>0</v>
      </c>
      <c r="AN2829">
        <v>254.3</v>
      </c>
      <c r="AP2829">
        <v>54</v>
      </c>
      <c r="AQ2829">
        <v>54</v>
      </c>
    </row>
    <row r="2830" spans="1:43" x14ac:dyDescent="0.25">
      <c r="A2830" t="s">
        <v>45</v>
      </c>
      <c r="B2830">
        <v>4</v>
      </c>
      <c r="C2830" t="s">
        <v>1787</v>
      </c>
      <c r="D2830" s="39">
        <v>46030</v>
      </c>
      <c r="E2830" t="s">
        <v>243</v>
      </c>
      <c r="F2830" t="s">
        <v>525</v>
      </c>
      <c r="G2830">
        <v>16</v>
      </c>
      <c r="H2830" t="s">
        <v>919</v>
      </c>
      <c r="I2830" t="s">
        <v>525</v>
      </c>
      <c r="J2830">
        <v>750</v>
      </c>
      <c r="K2830" t="s">
        <v>79</v>
      </c>
      <c r="L2830">
        <v>4</v>
      </c>
      <c r="M2830">
        <v>185.41</v>
      </c>
      <c r="N2830">
        <v>6.4</v>
      </c>
      <c r="Q2830">
        <v>179.01</v>
      </c>
      <c r="R2830" t="s">
        <v>1788</v>
      </c>
      <c r="V2830">
        <v>0</v>
      </c>
      <c r="W2830">
        <v>0</v>
      </c>
      <c r="AF2830">
        <v>0</v>
      </c>
      <c r="AG2830">
        <v>0</v>
      </c>
      <c r="AH2830">
        <v>0</v>
      </c>
      <c r="AI2830">
        <v>25</v>
      </c>
      <c r="AJ2830">
        <v>12</v>
      </c>
      <c r="AM2830">
        <v>0</v>
      </c>
      <c r="AN2830">
        <v>190.41</v>
      </c>
      <c r="AP2830">
        <v>54</v>
      </c>
      <c r="AQ2830">
        <v>54</v>
      </c>
    </row>
    <row r="2831" spans="1:43" x14ac:dyDescent="0.25">
      <c r="A2831" t="s">
        <v>45</v>
      </c>
      <c r="B2831">
        <v>4</v>
      </c>
      <c r="C2831" t="s">
        <v>1822</v>
      </c>
      <c r="D2831" s="39">
        <v>46030</v>
      </c>
      <c r="E2831" t="s">
        <v>1446</v>
      </c>
      <c r="F2831" t="s">
        <v>79</v>
      </c>
      <c r="G2831">
        <v>16</v>
      </c>
      <c r="H2831" t="s">
        <v>944</v>
      </c>
      <c r="I2831" t="s">
        <v>79</v>
      </c>
      <c r="J2831">
        <v>750</v>
      </c>
      <c r="K2831" t="s">
        <v>79</v>
      </c>
      <c r="L2831">
        <v>11</v>
      </c>
      <c r="M2831">
        <v>524.78000000000009</v>
      </c>
      <c r="N2831">
        <v>17.600000000000001</v>
      </c>
      <c r="O2831">
        <v>60</v>
      </c>
      <c r="Q2831">
        <v>507.18000000000006</v>
      </c>
      <c r="R2831" t="s">
        <v>1823</v>
      </c>
      <c r="S2831">
        <v>25</v>
      </c>
      <c r="V2831">
        <v>25</v>
      </c>
      <c r="W2831">
        <v>0.41666666666666674</v>
      </c>
      <c r="AF2831">
        <v>0</v>
      </c>
      <c r="AG2831">
        <v>0</v>
      </c>
      <c r="AH2831">
        <v>0.41666666666666674</v>
      </c>
      <c r="AI2831">
        <v>25.583333333333332</v>
      </c>
      <c r="AJ2831">
        <v>12</v>
      </c>
      <c r="AM2831">
        <v>0</v>
      </c>
      <c r="AN2831">
        <v>529.78000000000009</v>
      </c>
      <c r="AP2831">
        <v>54</v>
      </c>
      <c r="AQ2831">
        <v>54</v>
      </c>
    </row>
    <row r="2832" spans="1:43" x14ac:dyDescent="0.25">
      <c r="A2832" t="s">
        <v>46</v>
      </c>
      <c r="B2832">
        <v>4</v>
      </c>
      <c r="C2832" t="s">
        <v>1822</v>
      </c>
      <c r="D2832" s="39">
        <v>46030</v>
      </c>
      <c r="E2832" t="s">
        <v>1446</v>
      </c>
      <c r="F2832" t="s">
        <v>79</v>
      </c>
      <c r="G2832">
        <v>16</v>
      </c>
      <c r="H2832" t="s">
        <v>944</v>
      </c>
      <c r="I2832" t="s">
        <v>79</v>
      </c>
      <c r="J2832">
        <v>750</v>
      </c>
      <c r="K2832" t="s">
        <v>79</v>
      </c>
      <c r="L2832">
        <v>4</v>
      </c>
      <c r="M2832">
        <v>198.35</v>
      </c>
      <c r="N2832">
        <v>7.6</v>
      </c>
      <c r="O2832">
        <v>21</v>
      </c>
      <c r="Q2832">
        <v>190.75</v>
      </c>
      <c r="R2832" t="s">
        <v>1823</v>
      </c>
      <c r="S2832">
        <v>15</v>
      </c>
      <c r="V2832">
        <v>15</v>
      </c>
      <c r="W2832">
        <v>0.25</v>
      </c>
      <c r="AD2832">
        <v>30</v>
      </c>
      <c r="AF2832">
        <v>30</v>
      </c>
      <c r="AG2832">
        <v>0.5</v>
      </c>
      <c r="AH2832">
        <v>0.75</v>
      </c>
      <c r="AI2832">
        <v>26.25</v>
      </c>
      <c r="AJ2832">
        <v>12</v>
      </c>
      <c r="AM2832">
        <v>0</v>
      </c>
      <c r="AN2832">
        <v>203.35</v>
      </c>
      <c r="AP2832">
        <v>54</v>
      </c>
      <c r="AQ2832">
        <v>54</v>
      </c>
    </row>
    <row r="2833" spans="1:43" x14ac:dyDescent="0.25">
      <c r="A2833" t="s">
        <v>46</v>
      </c>
      <c r="B2833">
        <v>4</v>
      </c>
      <c r="C2833" t="s">
        <v>1824</v>
      </c>
      <c r="D2833" s="39">
        <v>46030</v>
      </c>
      <c r="E2833" t="s">
        <v>1446</v>
      </c>
      <c r="F2833" t="s">
        <v>79</v>
      </c>
      <c r="G2833">
        <v>14</v>
      </c>
      <c r="H2833" t="s">
        <v>944</v>
      </c>
      <c r="I2833" t="s">
        <v>79</v>
      </c>
      <c r="J2833">
        <v>750</v>
      </c>
      <c r="K2833" t="s">
        <v>79</v>
      </c>
      <c r="L2833">
        <v>9</v>
      </c>
      <c r="M2833">
        <v>403.53</v>
      </c>
      <c r="N2833">
        <v>15.299999999999999</v>
      </c>
      <c r="Q2833">
        <v>388.22999999999996</v>
      </c>
      <c r="R2833" t="s">
        <v>1825</v>
      </c>
      <c r="V2833">
        <v>0</v>
      </c>
      <c r="W2833">
        <v>0</v>
      </c>
      <c r="AF2833">
        <v>0</v>
      </c>
      <c r="AG2833">
        <v>0</v>
      </c>
      <c r="AH2833">
        <v>0</v>
      </c>
      <c r="AI2833">
        <v>12</v>
      </c>
      <c r="AJ2833">
        <v>12</v>
      </c>
      <c r="AM2833">
        <v>0</v>
      </c>
      <c r="AN2833">
        <v>408.53</v>
      </c>
      <c r="AP2833">
        <v>54</v>
      </c>
      <c r="AQ2833">
        <v>54</v>
      </c>
    </row>
    <row r="2834" spans="1:43" x14ac:dyDescent="0.25">
      <c r="A2834" t="s">
        <v>45</v>
      </c>
      <c r="B2834">
        <v>5</v>
      </c>
      <c r="C2834" t="s">
        <v>1712</v>
      </c>
      <c r="D2834" s="39">
        <v>46030</v>
      </c>
      <c r="E2834" t="s">
        <v>486</v>
      </c>
      <c r="F2834" t="s">
        <v>79</v>
      </c>
      <c r="G2834">
        <v>18</v>
      </c>
      <c r="H2834">
        <v>5</v>
      </c>
      <c r="I2834" t="s">
        <v>79</v>
      </c>
      <c r="J2834">
        <v>1500</v>
      </c>
      <c r="K2834" t="s">
        <v>79</v>
      </c>
      <c r="L2834">
        <v>2</v>
      </c>
      <c r="M2834">
        <v>108.85</v>
      </c>
      <c r="N2834">
        <v>3.6</v>
      </c>
      <c r="Q2834">
        <v>105.25</v>
      </c>
      <c r="R2834" t="s">
        <v>1774</v>
      </c>
      <c r="V2834">
        <v>0</v>
      </c>
      <c r="W2834">
        <v>0</v>
      </c>
      <c r="AF2834">
        <v>0</v>
      </c>
      <c r="AG2834">
        <v>0</v>
      </c>
      <c r="AH2834">
        <v>0</v>
      </c>
      <c r="AI2834">
        <v>12</v>
      </c>
      <c r="AJ2834">
        <v>12</v>
      </c>
      <c r="AM2834">
        <v>0</v>
      </c>
      <c r="AN2834">
        <v>113.85</v>
      </c>
      <c r="AP2834">
        <v>54</v>
      </c>
      <c r="AQ2834">
        <v>54</v>
      </c>
    </row>
    <row r="2835" spans="1:43" x14ac:dyDescent="0.25">
      <c r="A2835" t="s">
        <v>45</v>
      </c>
      <c r="B2835">
        <v>5</v>
      </c>
      <c r="C2835" t="s">
        <v>1814</v>
      </c>
      <c r="D2835" s="39">
        <v>46030</v>
      </c>
      <c r="E2835" t="s">
        <v>276</v>
      </c>
      <c r="F2835" t="s">
        <v>79</v>
      </c>
      <c r="G2835">
        <v>18</v>
      </c>
      <c r="H2835" t="s">
        <v>113</v>
      </c>
      <c r="I2835" t="s">
        <v>79</v>
      </c>
      <c r="J2835" t="s">
        <v>81</v>
      </c>
      <c r="K2835" t="s">
        <v>79</v>
      </c>
      <c r="L2835">
        <v>10</v>
      </c>
      <c r="M2835">
        <v>522.1</v>
      </c>
      <c r="N2835">
        <v>18</v>
      </c>
      <c r="O2835">
        <v>4</v>
      </c>
      <c r="Q2835">
        <v>504.1</v>
      </c>
      <c r="R2835" t="s">
        <v>1960</v>
      </c>
      <c r="V2835">
        <v>0</v>
      </c>
      <c r="W2835">
        <v>0</v>
      </c>
      <c r="AF2835">
        <v>0</v>
      </c>
      <c r="AG2835">
        <v>0</v>
      </c>
      <c r="AH2835">
        <v>0</v>
      </c>
      <c r="AI2835">
        <v>12</v>
      </c>
      <c r="AJ2835">
        <v>12</v>
      </c>
      <c r="AM2835">
        <v>0</v>
      </c>
      <c r="AN2835">
        <v>527.1</v>
      </c>
      <c r="AP2835">
        <v>54</v>
      </c>
      <c r="AQ2835">
        <v>54</v>
      </c>
    </row>
    <row r="2836" spans="1:43" x14ac:dyDescent="0.25">
      <c r="A2836" t="s">
        <v>46</v>
      </c>
      <c r="B2836">
        <v>5</v>
      </c>
      <c r="C2836" t="s">
        <v>1814</v>
      </c>
      <c r="D2836" s="39">
        <v>46030</v>
      </c>
      <c r="E2836" t="s">
        <v>276</v>
      </c>
      <c r="F2836" t="s">
        <v>79</v>
      </c>
      <c r="G2836">
        <v>18</v>
      </c>
      <c r="H2836" t="s">
        <v>113</v>
      </c>
      <c r="I2836" t="s">
        <v>79</v>
      </c>
      <c r="J2836" t="s">
        <v>81</v>
      </c>
      <c r="K2836" t="s">
        <v>79</v>
      </c>
      <c r="L2836">
        <v>9</v>
      </c>
      <c r="M2836">
        <v>575.25</v>
      </c>
      <c r="N2836">
        <v>19.8</v>
      </c>
      <c r="O2836">
        <v>4</v>
      </c>
      <c r="Q2836">
        <v>555.45000000000005</v>
      </c>
      <c r="R2836" t="s">
        <v>1960</v>
      </c>
      <c r="V2836">
        <v>0</v>
      </c>
      <c r="W2836">
        <v>0</v>
      </c>
      <c r="AF2836">
        <v>0</v>
      </c>
      <c r="AG2836">
        <v>0</v>
      </c>
      <c r="AH2836">
        <v>0</v>
      </c>
      <c r="AI2836">
        <v>12</v>
      </c>
      <c r="AJ2836">
        <v>12</v>
      </c>
      <c r="AM2836">
        <v>0</v>
      </c>
      <c r="AN2836">
        <v>580.25</v>
      </c>
      <c r="AP2836">
        <v>54</v>
      </c>
      <c r="AQ2836">
        <v>54</v>
      </c>
    </row>
    <row r="2837" spans="1:43" x14ac:dyDescent="0.25">
      <c r="A2837" t="s">
        <v>45</v>
      </c>
      <c r="B2837">
        <v>1</v>
      </c>
      <c r="C2837" t="s">
        <v>1818</v>
      </c>
      <c r="D2837" s="39">
        <v>46031</v>
      </c>
      <c r="E2837" t="s">
        <v>486</v>
      </c>
      <c r="F2837" t="s">
        <v>79</v>
      </c>
      <c r="G2837">
        <v>4</v>
      </c>
      <c r="H2837" t="s">
        <v>113</v>
      </c>
      <c r="I2837" t="s">
        <v>79</v>
      </c>
      <c r="J2837">
        <v>1000</v>
      </c>
      <c r="K2837" t="s">
        <v>79</v>
      </c>
      <c r="L2837">
        <v>8</v>
      </c>
      <c r="M2837">
        <v>173.88</v>
      </c>
      <c r="N2837">
        <v>3.2</v>
      </c>
      <c r="O2837">
        <v>15</v>
      </c>
      <c r="Q2837">
        <v>170.68</v>
      </c>
      <c r="R2837" t="s">
        <v>1882</v>
      </c>
      <c r="V2837">
        <v>0</v>
      </c>
      <c r="W2837">
        <v>0</v>
      </c>
      <c r="AF2837">
        <v>0</v>
      </c>
      <c r="AG2837">
        <v>0</v>
      </c>
      <c r="AH2837">
        <v>0</v>
      </c>
      <c r="AI2837">
        <v>12</v>
      </c>
      <c r="AJ2837">
        <v>12</v>
      </c>
      <c r="AM2837">
        <v>0</v>
      </c>
      <c r="AN2837">
        <v>178.88</v>
      </c>
      <c r="AP2837">
        <v>54</v>
      </c>
      <c r="AQ2837">
        <v>54</v>
      </c>
    </row>
    <row r="2838" spans="1:43" x14ac:dyDescent="0.25">
      <c r="A2838" t="s">
        <v>46</v>
      </c>
      <c r="B2838">
        <v>1</v>
      </c>
      <c r="C2838" t="s">
        <v>1818</v>
      </c>
      <c r="D2838" s="39">
        <v>46031</v>
      </c>
      <c r="E2838" t="s">
        <v>486</v>
      </c>
      <c r="F2838" t="s">
        <v>79</v>
      </c>
      <c r="G2838">
        <v>4</v>
      </c>
      <c r="H2838" t="s">
        <v>113</v>
      </c>
      <c r="I2838" t="s">
        <v>79</v>
      </c>
      <c r="J2838">
        <v>1000</v>
      </c>
      <c r="K2838" t="s">
        <v>79</v>
      </c>
      <c r="L2838">
        <v>7</v>
      </c>
      <c r="M2838">
        <v>169.67000000000002</v>
      </c>
      <c r="N2838">
        <v>2.8000000000000003</v>
      </c>
      <c r="Q2838">
        <v>166.87</v>
      </c>
      <c r="R2838" t="s">
        <v>1882</v>
      </c>
      <c r="V2838">
        <v>0</v>
      </c>
      <c r="W2838">
        <v>0</v>
      </c>
      <c r="AF2838">
        <v>0</v>
      </c>
      <c r="AG2838">
        <v>0</v>
      </c>
      <c r="AH2838">
        <v>0</v>
      </c>
      <c r="AI2838">
        <v>12</v>
      </c>
      <c r="AJ2838">
        <v>12</v>
      </c>
      <c r="AM2838">
        <v>0</v>
      </c>
      <c r="AN2838">
        <v>174.67000000000002</v>
      </c>
      <c r="AP2838">
        <v>54</v>
      </c>
      <c r="AQ2838">
        <v>54</v>
      </c>
    </row>
    <row r="2839" spans="1:43" x14ac:dyDescent="0.25">
      <c r="A2839" t="s">
        <v>45</v>
      </c>
      <c r="B2839">
        <v>2</v>
      </c>
      <c r="C2839" t="s">
        <v>1820</v>
      </c>
      <c r="D2839" s="39">
        <v>46031</v>
      </c>
      <c r="E2839" t="s">
        <v>486</v>
      </c>
      <c r="F2839" t="s">
        <v>79</v>
      </c>
      <c r="G2839">
        <v>6</v>
      </c>
      <c r="H2839">
        <v>5</v>
      </c>
      <c r="I2839" t="s">
        <v>79</v>
      </c>
      <c r="J2839">
        <v>1000</v>
      </c>
      <c r="K2839" t="s">
        <v>79</v>
      </c>
      <c r="L2839">
        <v>10</v>
      </c>
      <c r="M2839">
        <v>244.81</v>
      </c>
      <c r="N2839">
        <v>6</v>
      </c>
      <c r="Q2839">
        <v>238.81</v>
      </c>
      <c r="R2839" t="s">
        <v>1826</v>
      </c>
      <c r="V2839">
        <v>0</v>
      </c>
      <c r="W2839">
        <v>0</v>
      </c>
      <c r="AF2839">
        <v>0</v>
      </c>
      <c r="AG2839">
        <v>0</v>
      </c>
      <c r="AH2839">
        <v>0</v>
      </c>
      <c r="AI2839">
        <v>12</v>
      </c>
      <c r="AJ2839">
        <v>12</v>
      </c>
      <c r="AM2839">
        <v>0</v>
      </c>
      <c r="AN2839">
        <v>249.81</v>
      </c>
      <c r="AP2839">
        <v>54</v>
      </c>
      <c r="AQ2839">
        <v>54</v>
      </c>
    </row>
    <row r="2840" spans="1:43" x14ac:dyDescent="0.25">
      <c r="A2840" t="s">
        <v>46</v>
      </c>
      <c r="B2840">
        <v>2</v>
      </c>
      <c r="C2840" t="s">
        <v>1820</v>
      </c>
      <c r="D2840" s="39">
        <v>46031</v>
      </c>
      <c r="E2840" t="s">
        <v>486</v>
      </c>
      <c r="F2840" t="s">
        <v>79</v>
      </c>
      <c r="G2840">
        <v>6</v>
      </c>
      <c r="H2840">
        <v>5</v>
      </c>
      <c r="I2840" t="s">
        <v>79</v>
      </c>
      <c r="J2840">
        <v>1000</v>
      </c>
      <c r="K2840" t="s">
        <v>79</v>
      </c>
      <c r="L2840">
        <v>10</v>
      </c>
      <c r="M2840">
        <v>246.19999999999996</v>
      </c>
      <c r="N2840">
        <v>6</v>
      </c>
      <c r="Q2840">
        <v>240.19999999999996</v>
      </c>
      <c r="R2840" t="s">
        <v>1826</v>
      </c>
      <c r="V2840">
        <v>0</v>
      </c>
      <c r="W2840">
        <v>0</v>
      </c>
      <c r="AF2840">
        <v>0</v>
      </c>
      <c r="AG2840">
        <v>0</v>
      </c>
      <c r="AH2840">
        <v>0</v>
      </c>
      <c r="AI2840">
        <v>12</v>
      </c>
      <c r="AJ2840">
        <v>12</v>
      </c>
      <c r="AM2840">
        <v>0</v>
      </c>
      <c r="AN2840">
        <v>251.19999999999996</v>
      </c>
      <c r="AP2840">
        <v>54</v>
      </c>
      <c r="AQ2840">
        <v>54</v>
      </c>
    </row>
    <row r="2841" spans="1:43" x14ac:dyDescent="0.25">
      <c r="A2841" t="s">
        <v>45</v>
      </c>
      <c r="B2841">
        <v>4</v>
      </c>
      <c r="C2841" t="s">
        <v>1824</v>
      </c>
      <c r="D2841" s="39">
        <v>46031</v>
      </c>
      <c r="E2841" t="s">
        <v>1446</v>
      </c>
      <c r="F2841" t="s">
        <v>79</v>
      </c>
      <c r="G2841">
        <v>14</v>
      </c>
      <c r="H2841" t="s">
        <v>944</v>
      </c>
      <c r="I2841" t="s">
        <v>79</v>
      </c>
      <c r="J2841">
        <v>750</v>
      </c>
      <c r="K2841" t="s">
        <v>79</v>
      </c>
      <c r="L2841">
        <v>8</v>
      </c>
      <c r="M2841">
        <v>388.64</v>
      </c>
      <c r="N2841">
        <v>13.52</v>
      </c>
      <c r="Q2841">
        <v>375.12</v>
      </c>
      <c r="R2841" t="s">
        <v>1825</v>
      </c>
      <c r="V2841">
        <v>0</v>
      </c>
      <c r="W2841">
        <v>0</v>
      </c>
      <c r="AF2841">
        <v>0</v>
      </c>
      <c r="AG2841">
        <v>0</v>
      </c>
      <c r="AH2841">
        <v>0</v>
      </c>
      <c r="AI2841">
        <v>12</v>
      </c>
      <c r="AJ2841">
        <v>12</v>
      </c>
      <c r="AM2841">
        <v>0</v>
      </c>
      <c r="AN2841">
        <v>393.64</v>
      </c>
      <c r="AP2841">
        <v>54</v>
      </c>
      <c r="AQ2841">
        <v>54</v>
      </c>
    </row>
    <row r="2842" spans="1:43" x14ac:dyDescent="0.25">
      <c r="A2842" t="s">
        <v>45</v>
      </c>
      <c r="B2842">
        <v>4</v>
      </c>
      <c r="C2842" t="s">
        <v>1827</v>
      </c>
      <c r="D2842" s="39">
        <v>46031</v>
      </c>
      <c r="E2842" t="s">
        <v>1483</v>
      </c>
      <c r="F2842" t="s">
        <v>79</v>
      </c>
      <c r="G2842">
        <v>14</v>
      </c>
      <c r="H2842" t="s">
        <v>98</v>
      </c>
      <c r="I2842" t="s">
        <v>79</v>
      </c>
      <c r="J2842">
        <v>100</v>
      </c>
      <c r="K2842" t="s">
        <v>79</v>
      </c>
      <c r="L2842">
        <v>3</v>
      </c>
      <c r="M2842">
        <v>119.75999999999999</v>
      </c>
      <c r="N2842">
        <v>4.1999999999999993</v>
      </c>
      <c r="Q2842">
        <v>115.55999999999999</v>
      </c>
      <c r="R2842" t="s">
        <v>1828</v>
      </c>
      <c r="V2842">
        <v>0</v>
      </c>
      <c r="W2842">
        <v>0</v>
      </c>
      <c r="AF2842">
        <v>0</v>
      </c>
      <c r="AG2842">
        <v>0</v>
      </c>
      <c r="AH2842">
        <v>0</v>
      </c>
      <c r="AI2842">
        <v>12</v>
      </c>
      <c r="AJ2842">
        <v>12</v>
      </c>
      <c r="AM2842">
        <v>0</v>
      </c>
      <c r="AN2842">
        <v>124.76</v>
      </c>
      <c r="AP2842">
        <v>54</v>
      </c>
      <c r="AQ2842">
        <v>54</v>
      </c>
    </row>
    <row r="2843" spans="1:43" x14ac:dyDescent="0.25">
      <c r="A2843" t="s">
        <v>45</v>
      </c>
      <c r="B2843">
        <v>4</v>
      </c>
      <c r="C2843" t="s">
        <v>1829</v>
      </c>
      <c r="D2843" s="39">
        <v>46031</v>
      </c>
      <c r="E2843" t="s">
        <v>326</v>
      </c>
      <c r="F2843" t="s">
        <v>79</v>
      </c>
      <c r="G2843">
        <v>14</v>
      </c>
      <c r="H2843" t="s">
        <v>98</v>
      </c>
      <c r="I2843" t="s">
        <v>79</v>
      </c>
      <c r="J2843">
        <v>100</v>
      </c>
      <c r="K2843" t="s">
        <v>79</v>
      </c>
      <c r="L2843">
        <v>2</v>
      </c>
      <c r="M2843">
        <v>104.66</v>
      </c>
      <c r="N2843">
        <v>2.8</v>
      </c>
      <c r="Q2843">
        <v>101.86</v>
      </c>
      <c r="R2843" t="s">
        <v>1830</v>
      </c>
      <c r="V2843">
        <v>0</v>
      </c>
      <c r="W2843">
        <v>0</v>
      </c>
      <c r="AF2843">
        <v>0</v>
      </c>
      <c r="AG2843">
        <v>0</v>
      </c>
      <c r="AH2843">
        <v>0</v>
      </c>
      <c r="AI2843">
        <v>12</v>
      </c>
      <c r="AJ2843">
        <v>12</v>
      </c>
      <c r="AM2843">
        <v>0</v>
      </c>
      <c r="AN2843">
        <v>109.66</v>
      </c>
      <c r="AP2843">
        <v>54</v>
      </c>
      <c r="AQ2843">
        <v>54</v>
      </c>
    </row>
    <row r="2844" spans="1:43" x14ac:dyDescent="0.25">
      <c r="A2844" t="s">
        <v>45</v>
      </c>
      <c r="B2844">
        <v>4</v>
      </c>
      <c r="C2844" t="s">
        <v>1831</v>
      </c>
      <c r="D2844" s="39">
        <v>46031</v>
      </c>
      <c r="E2844" t="s">
        <v>1483</v>
      </c>
      <c r="F2844" t="s">
        <v>79</v>
      </c>
      <c r="G2844">
        <v>14</v>
      </c>
      <c r="H2844" t="s">
        <v>98</v>
      </c>
      <c r="I2844" t="s">
        <v>79</v>
      </c>
      <c r="J2844">
        <v>100</v>
      </c>
      <c r="K2844" t="s">
        <v>79</v>
      </c>
      <c r="L2844">
        <v>1</v>
      </c>
      <c r="M2844">
        <v>42.17</v>
      </c>
      <c r="N2844">
        <v>1.4</v>
      </c>
      <c r="Q2844">
        <v>40.770000000000003</v>
      </c>
      <c r="R2844" t="s">
        <v>1832</v>
      </c>
      <c r="V2844">
        <v>0</v>
      </c>
      <c r="W2844">
        <v>0</v>
      </c>
      <c r="AF2844">
        <v>0</v>
      </c>
      <c r="AG2844">
        <v>0</v>
      </c>
      <c r="AH2844">
        <v>0</v>
      </c>
      <c r="AI2844">
        <v>12</v>
      </c>
      <c r="AJ2844">
        <v>12</v>
      </c>
      <c r="AM2844">
        <v>0</v>
      </c>
      <c r="AN2844">
        <v>47.17</v>
      </c>
      <c r="AP2844">
        <v>54</v>
      </c>
      <c r="AQ2844">
        <v>54</v>
      </c>
    </row>
    <row r="2845" spans="1:43" x14ac:dyDescent="0.25">
      <c r="A2845" t="s">
        <v>46</v>
      </c>
      <c r="B2845">
        <v>4</v>
      </c>
      <c r="C2845" t="s">
        <v>1831</v>
      </c>
      <c r="D2845" s="39">
        <v>46031</v>
      </c>
      <c r="E2845" t="s">
        <v>1483</v>
      </c>
      <c r="F2845" t="s">
        <v>79</v>
      </c>
      <c r="G2845">
        <v>14</v>
      </c>
      <c r="H2845" t="s">
        <v>98</v>
      </c>
      <c r="I2845" t="s">
        <v>79</v>
      </c>
      <c r="J2845">
        <v>100</v>
      </c>
      <c r="K2845" t="s">
        <v>79</v>
      </c>
      <c r="L2845">
        <v>1</v>
      </c>
      <c r="M2845">
        <v>55.7</v>
      </c>
      <c r="N2845">
        <v>1.65</v>
      </c>
      <c r="Q2845">
        <v>54.050000000000004</v>
      </c>
      <c r="R2845" t="s">
        <v>1832</v>
      </c>
      <c r="V2845">
        <v>0</v>
      </c>
      <c r="W2845">
        <v>0</v>
      </c>
      <c r="AF2845">
        <v>0</v>
      </c>
      <c r="AG2845">
        <v>0</v>
      </c>
      <c r="AH2845">
        <v>0</v>
      </c>
      <c r="AI2845">
        <v>12</v>
      </c>
      <c r="AJ2845">
        <v>12</v>
      </c>
      <c r="AM2845">
        <v>0</v>
      </c>
      <c r="AN2845">
        <v>60.7</v>
      </c>
      <c r="AP2845">
        <v>54</v>
      </c>
      <c r="AQ2845">
        <v>54</v>
      </c>
    </row>
    <row r="2846" spans="1:43" x14ac:dyDescent="0.25">
      <c r="A2846" t="s">
        <v>46</v>
      </c>
      <c r="B2846">
        <v>4</v>
      </c>
      <c r="C2846" t="s">
        <v>1833</v>
      </c>
      <c r="D2846" s="39">
        <v>46031</v>
      </c>
      <c r="E2846" t="s">
        <v>1483</v>
      </c>
      <c r="F2846" t="s">
        <v>79</v>
      </c>
      <c r="G2846">
        <v>14</v>
      </c>
      <c r="H2846" t="s">
        <v>98</v>
      </c>
      <c r="I2846" t="s">
        <v>79</v>
      </c>
      <c r="J2846">
        <v>100</v>
      </c>
      <c r="K2846" t="s">
        <v>79</v>
      </c>
      <c r="L2846">
        <v>2</v>
      </c>
      <c r="M2846">
        <v>104.16999999999999</v>
      </c>
      <c r="N2846">
        <v>3.3</v>
      </c>
      <c r="Q2846">
        <v>100.86999999999999</v>
      </c>
      <c r="R2846" t="s">
        <v>1834</v>
      </c>
      <c r="V2846">
        <v>0</v>
      </c>
      <c r="W2846">
        <v>0</v>
      </c>
      <c r="AF2846">
        <v>0</v>
      </c>
      <c r="AG2846">
        <v>0</v>
      </c>
      <c r="AH2846">
        <v>0</v>
      </c>
      <c r="AI2846">
        <v>12</v>
      </c>
      <c r="AJ2846">
        <v>12</v>
      </c>
      <c r="AM2846">
        <v>0</v>
      </c>
      <c r="AN2846">
        <v>109.17</v>
      </c>
      <c r="AP2846">
        <v>54</v>
      </c>
      <c r="AQ2846">
        <v>54</v>
      </c>
    </row>
    <row r="2847" spans="1:43" x14ac:dyDescent="0.25">
      <c r="A2847" t="s">
        <v>46</v>
      </c>
      <c r="B2847">
        <v>4</v>
      </c>
      <c r="C2847" t="s">
        <v>1835</v>
      </c>
      <c r="D2847" s="39">
        <v>46031</v>
      </c>
      <c r="E2847" t="s">
        <v>276</v>
      </c>
      <c r="F2847" t="s">
        <v>79</v>
      </c>
      <c r="G2847">
        <v>28</v>
      </c>
      <c r="H2847" t="s">
        <v>113</v>
      </c>
      <c r="I2847" t="s">
        <v>79</v>
      </c>
      <c r="J2847" t="s">
        <v>81</v>
      </c>
      <c r="K2847" t="s">
        <v>79</v>
      </c>
      <c r="L2847">
        <v>9</v>
      </c>
      <c r="M2847">
        <v>592.42000000000007</v>
      </c>
      <c r="N2847">
        <v>31.5</v>
      </c>
      <c r="Q2847">
        <v>560.92000000000007</v>
      </c>
      <c r="R2847" t="s">
        <v>1961</v>
      </c>
      <c r="V2847">
        <v>0</v>
      </c>
      <c r="W2847">
        <v>0</v>
      </c>
      <c r="AF2847">
        <v>0</v>
      </c>
      <c r="AG2847">
        <v>0</v>
      </c>
      <c r="AH2847">
        <v>0</v>
      </c>
      <c r="AI2847">
        <v>12</v>
      </c>
      <c r="AJ2847">
        <v>12</v>
      </c>
      <c r="AM2847">
        <v>0</v>
      </c>
      <c r="AN2847">
        <v>597.42000000000007</v>
      </c>
      <c r="AP2847">
        <v>54</v>
      </c>
      <c r="AQ2847">
        <v>54</v>
      </c>
    </row>
    <row r="2848" spans="1:43" x14ac:dyDescent="0.25">
      <c r="A2848" t="s">
        <v>45</v>
      </c>
      <c r="B2848">
        <v>5</v>
      </c>
      <c r="C2848" t="s">
        <v>1814</v>
      </c>
      <c r="D2848" s="39">
        <v>46031</v>
      </c>
      <c r="E2848" t="s">
        <v>276</v>
      </c>
      <c r="F2848" t="s">
        <v>79</v>
      </c>
      <c r="G2848">
        <v>18</v>
      </c>
      <c r="H2848" t="s">
        <v>113</v>
      </c>
      <c r="I2848" t="s">
        <v>79</v>
      </c>
      <c r="J2848" t="s">
        <v>81</v>
      </c>
      <c r="K2848" t="s">
        <v>79</v>
      </c>
      <c r="L2848">
        <v>7</v>
      </c>
      <c r="M2848">
        <v>431.59000000000003</v>
      </c>
      <c r="N2848">
        <v>12.6</v>
      </c>
      <c r="Q2848">
        <v>418.99</v>
      </c>
      <c r="R2848" t="s">
        <v>1960</v>
      </c>
      <c r="S2848">
        <v>30</v>
      </c>
      <c r="V2848">
        <v>30</v>
      </c>
      <c r="W2848">
        <v>0.5</v>
      </c>
      <c r="Z2848">
        <v>90</v>
      </c>
      <c r="AF2848">
        <v>90</v>
      </c>
      <c r="AG2848">
        <v>1.5</v>
      </c>
      <c r="AH2848">
        <v>2</v>
      </c>
      <c r="AI2848">
        <v>10</v>
      </c>
      <c r="AJ2848">
        <v>12</v>
      </c>
      <c r="AM2848">
        <v>0</v>
      </c>
      <c r="AN2848">
        <v>436.59</v>
      </c>
      <c r="AP2848">
        <v>54</v>
      </c>
      <c r="AQ2848">
        <v>54</v>
      </c>
    </row>
    <row r="2849" spans="1:43" x14ac:dyDescent="0.25">
      <c r="A2849" t="s">
        <v>45</v>
      </c>
      <c r="B2849">
        <v>5</v>
      </c>
      <c r="C2849" t="s">
        <v>1836</v>
      </c>
      <c r="D2849" s="39">
        <v>46031</v>
      </c>
      <c r="E2849" t="s">
        <v>1312</v>
      </c>
      <c r="F2849" t="s">
        <v>79</v>
      </c>
      <c r="G2849">
        <v>18</v>
      </c>
      <c r="H2849" t="s">
        <v>113</v>
      </c>
      <c r="I2849" t="s">
        <v>79</v>
      </c>
      <c r="J2849">
        <v>100</v>
      </c>
      <c r="K2849" t="s">
        <v>79</v>
      </c>
      <c r="L2849">
        <v>1</v>
      </c>
      <c r="M2849">
        <v>41.04</v>
      </c>
      <c r="N2849">
        <v>1.8</v>
      </c>
      <c r="O2849">
        <v>5.5</v>
      </c>
      <c r="Q2849">
        <v>39.24</v>
      </c>
      <c r="R2849" t="s">
        <v>1837</v>
      </c>
      <c r="V2849">
        <v>0</v>
      </c>
      <c r="W2849">
        <v>0</v>
      </c>
      <c r="AF2849">
        <v>0</v>
      </c>
      <c r="AG2849">
        <v>0</v>
      </c>
      <c r="AH2849">
        <v>0</v>
      </c>
      <c r="AI2849">
        <v>12</v>
      </c>
      <c r="AJ2849">
        <v>12</v>
      </c>
      <c r="AM2849">
        <v>0</v>
      </c>
      <c r="AN2849">
        <v>46.04</v>
      </c>
      <c r="AP2849">
        <v>54</v>
      </c>
      <c r="AQ2849">
        <v>54</v>
      </c>
    </row>
    <row r="2850" spans="1:43" x14ac:dyDescent="0.25">
      <c r="A2850" t="s">
        <v>46</v>
      </c>
      <c r="B2850">
        <v>5</v>
      </c>
      <c r="C2850" t="s">
        <v>1836</v>
      </c>
      <c r="D2850" s="39">
        <v>46031</v>
      </c>
      <c r="E2850" t="s">
        <v>1312</v>
      </c>
      <c r="F2850" t="s">
        <v>79</v>
      </c>
      <c r="G2850">
        <v>18</v>
      </c>
      <c r="H2850" t="s">
        <v>113</v>
      </c>
      <c r="I2850" t="s">
        <v>79</v>
      </c>
      <c r="J2850">
        <v>100</v>
      </c>
      <c r="K2850" t="s">
        <v>79</v>
      </c>
      <c r="L2850">
        <v>1</v>
      </c>
      <c r="M2850">
        <v>65.03</v>
      </c>
      <c r="N2850">
        <v>2.2000000000000002</v>
      </c>
      <c r="O2850">
        <v>5.5</v>
      </c>
      <c r="Q2850">
        <v>62.83</v>
      </c>
      <c r="R2850" t="s">
        <v>1837</v>
      </c>
      <c r="V2850">
        <v>0</v>
      </c>
      <c r="W2850">
        <v>0</v>
      </c>
      <c r="AF2850">
        <v>0</v>
      </c>
      <c r="AG2850">
        <v>0</v>
      </c>
      <c r="AH2850">
        <v>0</v>
      </c>
      <c r="AI2850">
        <v>12</v>
      </c>
      <c r="AJ2850">
        <v>12</v>
      </c>
      <c r="AM2850">
        <v>0</v>
      </c>
      <c r="AN2850">
        <v>70.03</v>
      </c>
      <c r="AP2850">
        <v>54</v>
      </c>
      <c r="AQ2850">
        <v>54</v>
      </c>
    </row>
    <row r="2851" spans="1:43" x14ac:dyDescent="0.25">
      <c r="A2851" t="s">
        <v>46</v>
      </c>
      <c r="B2851">
        <v>5</v>
      </c>
      <c r="C2851" t="s">
        <v>1838</v>
      </c>
      <c r="D2851" s="39">
        <v>46031</v>
      </c>
      <c r="E2851" t="s">
        <v>1839</v>
      </c>
      <c r="F2851" t="s">
        <v>79</v>
      </c>
      <c r="G2851">
        <v>18</v>
      </c>
      <c r="H2851" t="s">
        <v>113</v>
      </c>
      <c r="I2851" t="s">
        <v>79</v>
      </c>
      <c r="J2851">
        <v>300</v>
      </c>
      <c r="K2851" t="s">
        <v>79</v>
      </c>
      <c r="L2851">
        <v>5</v>
      </c>
      <c r="M2851">
        <v>299.40999999999997</v>
      </c>
      <c r="N2851">
        <v>11</v>
      </c>
      <c r="Q2851">
        <v>288.40999999999997</v>
      </c>
      <c r="R2851" t="s">
        <v>1840</v>
      </c>
      <c r="V2851">
        <v>0</v>
      </c>
      <c r="W2851">
        <v>0</v>
      </c>
      <c r="AF2851">
        <v>0</v>
      </c>
      <c r="AG2851">
        <v>0</v>
      </c>
      <c r="AH2851">
        <v>0</v>
      </c>
      <c r="AI2851">
        <v>12</v>
      </c>
      <c r="AJ2851">
        <v>12</v>
      </c>
      <c r="AM2851">
        <v>0</v>
      </c>
      <c r="AN2851">
        <v>304.40999999999997</v>
      </c>
      <c r="AP2851">
        <v>54</v>
      </c>
      <c r="AQ2851">
        <v>54</v>
      </c>
    </row>
    <row r="2852" spans="1:43" x14ac:dyDescent="0.25">
      <c r="A2852" t="s">
        <v>46</v>
      </c>
      <c r="B2852">
        <v>5</v>
      </c>
      <c r="C2852" t="s">
        <v>1841</v>
      </c>
      <c r="D2852" s="39">
        <v>46031</v>
      </c>
      <c r="E2852" t="s">
        <v>730</v>
      </c>
      <c r="F2852" t="s">
        <v>79</v>
      </c>
      <c r="G2852">
        <v>18</v>
      </c>
      <c r="H2852" t="s">
        <v>1049</v>
      </c>
      <c r="I2852" t="s">
        <v>79</v>
      </c>
      <c r="J2852">
        <v>100</v>
      </c>
      <c r="K2852" t="s">
        <v>79</v>
      </c>
      <c r="L2852">
        <v>2</v>
      </c>
      <c r="M2852">
        <v>90.2</v>
      </c>
      <c r="N2852">
        <v>4.3</v>
      </c>
      <c r="O2852">
        <v>19</v>
      </c>
      <c r="Q2852">
        <v>85.9</v>
      </c>
      <c r="R2852" t="s">
        <v>1842</v>
      </c>
      <c r="V2852">
        <v>0</v>
      </c>
      <c r="W2852">
        <v>0</v>
      </c>
      <c r="AF2852">
        <v>0</v>
      </c>
      <c r="AG2852">
        <v>0</v>
      </c>
      <c r="AH2852">
        <v>0</v>
      </c>
      <c r="AI2852">
        <v>12</v>
      </c>
      <c r="AJ2852">
        <v>12</v>
      </c>
      <c r="AM2852">
        <v>0</v>
      </c>
      <c r="AN2852">
        <v>95.2</v>
      </c>
      <c r="AP2852">
        <v>54</v>
      </c>
      <c r="AQ2852">
        <v>54</v>
      </c>
    </row>
    <row r="2853" spans="1:43" x14ac:dyDescent="0.25">
      <c r="A2853" t="s">
        <v>46</v>
      </c>
      <c r="B2853">
        <v>5</v>
      </c>
      <c r="C2853" t="s">
        <v>1843</v>
      </c>
      <c r="D2853" s="39">
        <v>46031</v>
      </c>
      <c r="E2853" t="s">
        <v>326</v>
      </c>
      <c r="F2853" t="s">
        <v>79</v>
      </c>
      <c r="G2853">
        <v>18</v>
      </c>
      <c r="H2853" t="s">
        <v>98</v>
      </c>
      <c r="I2853" t="s">
        <v>79</v>
      </c>
      <c r="J2853">
        <v>100</v>
      </c>
      <c r="K2853" t="s">
        <v>79</v>
      </c>
      <c r="L2853">
        <v>2</v>
      </c>
      <c r="M2853">
        <v>116.19</v>
      </c>
      <c r="N2853">
        <v>4.4000000000000004</v>
      </c>
      <c r="Q2853">
        <v>111.78999999999999</v>
      </c>
      <c r="R2853" t="s">
        <v>1844</v>
      </c>
      <c r="V2853">
        <v>0</v>
      </c>
      <c r="W2853">
        <v>0</v>
      </c>
      <c r="AF2853">
        <v>0</v>
      </c>
      <c r="AG2853">
        <v>0</v>
      </c>
      <c r="AH2853">
        <v>0</v>
      </c>
      <c r="AI2853">
        <v>12</v>
      </c>
      <c r="AJ2853">
        <v>12</v>
      </c>
      <c r="AM2853">
        <v>0</v>
      </c>
      <c r="AN2853">
        <v>121.19</v>
      </c>
      <c r="AP2853">
        <v>54</v>
      </c>
      <c r="AQ2853">
        <v>54</v>
      </c>
    </row>
    <row r="2854" spans="1:43" x14ac:dyDescent="0.25">
      <c r="A2854" t="s">
        <v>45</v>
      </c>
      <c r="B2854">
        <v>1</v>
      </c>
      <c r="C2854" t="s">
        <v>1818</v>
      </c>
      <c r="D2854" s="39">
        <v>46032</v>
      </c>
      <c r="E2854" t="s">
        <v>486</v>
      </c>
      <c r="F2854" t="s">
        <v>79</v>
      </c>
      <c r="G2854">
        <v>4</v>
      </c>
      <c r="H2854" t="s">
        <v>113</v>
      </c>
      <c r="I2854" t="s">
        <v>79</v>
      </c>
      <c r="J2854">
        <v>1000</v>
      </c>
      <c r="K2854" t="s">
        <v>79</v>
      </c>
      <c r="L2854">
        <v>8</v>
      </c>
      <c r="M2854">
        <v>170.61</v>
      </c>
      <c r="N2854">
        <v>3.2</v>
      </c>
      <c r="Q2854">
        <v>167.41000000000003</v>
      </c>
      <c r="R2854" t="s">
        <v>1882</v>
      </c>
      <c r="V2854">
        <v>0</v>
      </c>
      <c r="W2854">
        <v>0</v>
      </c>
      <c r="AF2854">
        <v>0</v>
      </c>
      <c r="AG2854">
        <v>0</v>
      </c>
      <c r="AH2854">
        <v>0</v>
      </c>
      <c r="AI2854">
        <v>12</v>
      </c>
      <c r="AJ2854">
        <v>12</v>
      </c>
      <c r="AM2854">
        <v>0</v>
      </c>
      <c r="AN2854">
        <v>175.61</v>
      </c>
      <c r="AP2854">
        <v>54</v>
      </c>
      <c r="AQ2854">
        <v>54</v>
      </c>
    </row>
    <row r="2855" spans="1:43" x14ac:dyDescent="0.25">
      <c r="A2855" t="s">
        <v>45</v>
      </c>
      <c r="B2855">
        <v>2</v>
      </c>
      <c r="C2855" t="s">
        <v>1820</v>
      </c>
      <c r="D2855" s="39">
        <v>46032</v>
      </c>
      <c r="E2855" t="s">
        <v>486</v>
      </c>
      <c r="F2855" t="s">
        <v>79</v>
      </c>
      <c r="G2855">
        <v>6</v>
      </c>
      <c r="H2855">
        <v>5</v>
      </c>
      <c r="I2855" t="s">
        <v>79</v>
      </c>
      <c r="J2855">
        <v>1000</v>
      </c>
      <c r="K2855" t="s">
        <v>79</v>
      </c>
      <c r="L2855">
        <v>11</v>
      </c>
      <c r="M2855">
        <v>241.71000000000004</v>
      </c>
      <c r="N2855">
        <v>6.6</v>
      </c>
      <c r="Q2855">
        <v>235.11000000000004</v>
      </c>
      <c r="R2855" t="s">
        <v>1826</v>
      </c>
      <c r="V2855">
        <v>0</v>
      </c>
      <c r="W2855">
        <v>0</v>
      </c>
      <c r="AF2855">
        <v>0</v>
      </c>
      <c r="AG2855">
        <v>0</v>
      </c>
      <c r="AH2855">
        <v>0</v>
      </c>
      <c r="AI2855">
        <v>12</v>
      </c>
      <c r="AJ2855">
        <v>12</v>
      </c>
      <c r="AM2855">
        <v>0</v>
      </c>
      <c r="AN2855">
        <v>246.71000000000004</v>
      </c>
      <c r="AP2855">
        <v>54</v>
      </c>
      <c r="AQ2855">
        <v>54</v>
      </c>
    </row>
    <row r="2856" spans="1:43" x14ac:dyDescent="0.25">
      <c r="A2856" t="s">
        <v>45</v>
      </c>
      <c r="B2856">
        <v>4</v>
      </c>
      <c r="C2856" t="s">
        <v>1835</v>
      </c>
      <c r="D2856" s="39">
        <v>46032</v>
      </c>
      <c r="E2856" t="s">
        <v>276</v>
      </c>
      <c r="F2856" t="s">
        <v>79</v>
      </c>
      <c r="G2856">
        <v>28</v>
      </c>
      <c r="H2856" t="s">
        <v>113</v>
      </c>
      <c r="I2856" t="s">
        <v>79</v>
      </c>
      <c r="J2856" t="s">
        <v>81</v>
      </c>
      <c r="K2856" t="s">
        <v>79</v>
      </c>
      <c r="L2856">
        <v>11</v>
      </c>
      <c r="M2856">
        <v>740.79000000000008</v>
      </c>
      <c r="N2856">
        <v>30.799999999999997</v>
      </c>
      <c r="O2856">
        <v>4</v>
      </c>
      <c r="Q2856">
        <v>709.99000000000012</v>
      </c>
      <c r="R2856" t="s">
        <v>1961</v>
      </c>
      <c r="V2856">
        <v>0</v>
      </c>
      <c r="W2856">
        <v>0</v>
      </c>
      <c r="AF2856">
        <v>0</v>
      </c>
      <c r="AG2856">
        <v>0</v>
      </c>
      <c r="AH2856">
        <v>0</v>
      </c>
      <c r="AI2856">
        <v>12</v>
      </c>
      <c r="AJ2856">
        <v>12</v>
      </c>
      <c r="AM2856">
        <v>0</v>
      </c>
      <c r="AN2856">
        <v>745.79</v>
      </c>
      <c r="AP2856">
        <v>54</v>
      </c>
      <c r="AQ2856">
        <v>54</v>
      </c>
    </row>
    <row r="2857" spans="1:43" x14ac:dyDescent="0.25">
      <c r="A2857" t="s">
        <v>46</v>
      </c>
      <c r="B2857">
        <v>4</v>
      </c>
      <c r="C2857" t="s">
        <v>1835</v>
      </c>
      <c r="D2857" s="39">
        <v>46032</v>
      </c>
      <c r="E2857" t="s">
        <v>276</v>
      </c>
      <c r="F2857" t="s">
        <v>79</v>
      </c>
      <c r="G2857">
        <v>28</v>
      </c>
      <c r="H2857" t="s">
        <v>113</v>
      </c>
      <c r="I2857" t="s">
        <v>79</v>
      </c>
      <c r="J2857" t="s">
        <v>81</v>
      </c>
      <c r="K2857" t="s">
        <v>79</v>
      </c>
      <c r="L2857">
        <v>5</v>
      </c>
      <c r="M2857">
        <v>309.87</v>
      </c>
      <c r="N2857">
        <v>14</v>
      </c>
      <c r="O2857">
        <v>28</v>
      </c>
      <c r="Q2857">
        <v>295.87</v>
      </c>
      <c r="R2857" t="s">
        <v>1961</v>
      </c>
      <c r="V2857">
        <v>0</v>
      </c>
      <c r="W2857">
        <v>0</v>
      </c>
      <c r="Z2857">
        <v>120</v>
      </c>
      <c r="AF2857">
        <v>120</v>
      </c>
      <c r="AG2857">
        <v>2</v>
      </c>
      <c r="AH2857">
        <v>2</v>
      </c>
      <c r="AI2857">
        <v>10</v>
      </c>
      <c r="AJ2857">
        <v>12</v>
      </c>
      <c r="AM2857">
        <v>0</v>
      </c>
      <c r="AN2857">
        <v>314.87</v>
      </c>
      <c r="AP2857">
        <v>54</v>
      </c>
      <c r="AQ2857">
        <v>54</v>
      </c>
    </row>
    <row r="2858" spans="1:43" x14ac:dyDescent="0.25">
      <c r="A2858" t="s">
        <v>46</v>
      </c>
      <c r="B2858">
        <v>4</v>
      </c>
      <c r="C2858" t="s">
        <v>1845</v>
      </c>
      <c r="D2858" s="39">
        <v>46032</v>
      </c>
      <c r="E2858" t="s">
        <v>1846</v>
      </c>
      <c r="F2858" t="s">
        <v>79</v>
      </c>
      <c r="G2858" t="s">
        <v>129</v>
      </c>
      <c r="H2858" t="s">
        <v>122</v>
      </c>
      <c r="I2858" t="s">
        <v>79</v>
      </c>
      <c r="J2858">
        <v>300</v>
      </c>
      <c r="K2858" t="s">
        <v>79</v>
      </c>
      <c r="L2858">
        <v>4</v>
      </c>
      <c r="M2858">
        <v>193.91</v>
      </c>
      <c r="N2858">
        <v>14</v>
      </c>
      <c r="Q2858">
        <v>179.91</v>
      </c>
      <c r="R2858" t="s">
        <v>1847</v>
      </c>
      <c r="V2858">
        <v>0</v>
      </c>
      <c r="W2858">
        <v>0</v>
      </c>
      <c r="Z2858">
        <v>125</v>
      </c>
      <c r="AF2858">
        <v>125</v>
      </c>
      <c r="AG2858">
        <v>2.0833333333333335</v>
      </c>
      <c r="AH2858">
        <v>2.0833333333333335</v>
      </c>
      <c r="AI2858">
        <v>9.9166666666666661</v>
      </c>
      <c r="AJ2858">
        <v>12</v>
      </c>
      <c r="AM2858">
        <v>0</v>
      </c>
      <c r="AN2858">
        <v>198.91</v>
      </c>
      <c r="AP2858">
        <v>54</v>
      </c>
      <c r="AQ2858">
        <v>54</v>
      </c>
    </row>
    <row r="2859" spans="1:43" x14ac:dyDescent="0.25">
      <c r="A2859" t="s">
        <v>45</v>
      </c>
      <c r="B2859">
        <v>5</v>
      </c>
      <c r="C2859" t="s">
        <v>1841</v>
      </c>
      <c r="D2859" s="39">
        <v>46032</v>
      </c>
      <c r="E2859" t="s">
        <v>730</v>
      </c>
      <c r="F2859" t="s">
        <v>79</v>
      </c>
      <c r="G2859">
        <v>18</v>
      </c>
      <c r="H2859" t="s">
        <v>1049</v>
      </c>
      <c r="I2859" t="s">
        <v>79</v>
      </c>
      <c r="J2859">
        <v>100</v>
      </c>
      <c r="K2859" t="s">
        <v>79</v>
      </c>
      <c r="L2859">
        <v>2</v>
      </c>
      <c r="M2859">
        <v>126.5</v>
      </c>
      <c r="N2859">
        <v>3.6</v>
      </c>
      <c r="Q2859">
        <v>122.9</v>
      </c>
      <c r="R2859" t="s">
        <v>1842</v>
      </c>
      <c r="S2859">
        <v>25</v>
      </c>
      <c r="V2859">
        <v>25</v>
      </c>
      <c r="W2859">
        <v>0.41666666666666674</v>
      </c>
      <c r="Z2859">
        <v>480</v>
      </c>
      <c r="AF2859">
        <v>480</v>
      </c>
      <c r="AG2859">
        <v>8</v>
      </c>
      <c r="AH2859">
        <v>8.4166666666666661</v>
      </c>
      <c r="AI2859">
        <v>3.5833333333333339</v>
      </c>
      <c r="AJ2859">
        <v>12</v>
      </c>
      <c r="AM2859">
        <v>0</v>
      </c>
      <c r="AN2859">
        <v>131.5</v>
      </c>
      <c r="AP2859">
        <v>54</v>
      </c>
      <c r="AQ2859">
        <v>54</v>
      </c>
    </row>
    <row r="2860" spans="1:43" x14ac:dyDescent="0.25">
      <c r="A2860" t="s">
        <v>45</v>
      </c>
      <c r="B2860">
        <v>5</v>
      </c>
      <c r="C2860" t="s">
        <v>1848</v>
      </c>
      <c r="D2860" s="39">
        <v>46032</v>
      </c>
      <c r="E2860" t="s">
        <v>674</v>
      </c>
      <c r="F2860" t="s">
        <v>79</v>
      </c>
      <c r="G2860">
        <v>15</v>
      </c>
      <c r="H2860" t="s">
        <v>102</v>
      </c>
      <c r="I2860" t="s">
        <v>79</v>
      </c>
      <c r="J2860">
        <v>375</v>
      </c>
      <c r="K2860" t="s">
        <v>79</v>
      </c>
      <c r="L2860">
        <v>1</v>
      </c>
      <c r="M2860">
        <v>41.7</v>
      </c>
      <c r="N2860">
        <v>1.5</v>
      </c>
      <c r="Q2860">
        <v>40.200000000000003</v>
      </c>
      <c r="R2860" t="s">
        <v>1849</v>
      </c>
      <c r="V2860">
        <v>0</v>
      </c>
      <c r="W2860">
        <v>0</v>
      </c>
      <c r="AF2860">
        <v>0</v>
      </c>
      <c r="AG2860">
        <v>0</v>
      </c>
      <c r="AH2860">
        <v>0</v>
      </c>
      <c r="AI2860">
        <v>12</v>
      </c>
      <c r="AJ2860">
        <v>12</v>
      </c>
      <c r="AM2860">
        <v>0</v>
      </c>
      <c r="AN2860">
        <v>46.7</v>
      </c>
      <c r="AP2860">
        <v>54</v>
      </c>
      <c r="AQ2860">
        <v>54</v>
      </c>
    </row>
    <row r="2861" spans="1:43" x14ac:dyDescent="0.25">
      <c r="A2861" t="s">
        <v>46</v>
      </c>
      <c r="B2861">
        <v>5</v>
      </c>
      <c r="C2861" t="s">
        <v>1848</v>
      </c>
      <c r="D2861" s="39">
        <v>46032</v>
      </c>
      <c r="E2861" t="s">
        <v>674</v>
      </c>
      <c r="F2861" t="s">
        <v>79</v>
      </c>
      <c r="G2861">
        <v>15</v>
      </c>
      <c r="H2861" t="s">
        <v>102</v>
      </c>
      <c r="I2861" t="s">
        <v>79</v>
      </c>
      <c r="J2861">
        <v>375</v>
      </c>
      <c r="K2861" t="s">
        <v>79</v>
      </c>
      <c r="L2861">
        <v>5</v>
      </c>
      <c r="M2861">
        <v>264.65000000000003</v>
      </c>
      <c r="N2861">
        <v>7.5</v>
      </c>
      <c r="Q2861">
        <v>257.15000000000003</v>
      </c>
      <c r="R2861" t="s">
        <v>1849</v>
      </c>
      <c r="T2861">
        <v>90</v>
      </c>
      <c r="V2861">
        <v>90</v>
      </c>
      <c r="W2861">
        <v>1.5</v>
      </c>
      <c r="Z2861">
        <v>120</v>
      </c>
      <c r="AF2861">
        <v>120</v>
      </c>
      <c r="AG2861">
        <v>2</v>
      </c>
      <c r="AH2861">
        <v>3.5</v>
      </c>
      <c r="AI2861">
        <v>8.5</v>
      </c>
      <c r="AJ2861">
        <v>12</v>
      </c>
      <c r="AM2861">
        <v>0</v>
      </c>
      <c r="AN2861">
        <v>269.65000000000003</v>
      </c>
      <c r="AP2861">
        <v>54</v>
      </c>
      <c r="AQ2861">
        <v>54</v>
      </c>
    </row>
    <row r="2862" spans="1:43" x14ac:dyDescent="0.25">
      <c r="A2862" t="s">
        <v>46</v>
      </c>
      <c r="B2862">
        <v>2</v>
      </c>
      <c r="C2862" t="s">
        <v>1820</v>
      </c>
      <c r="D2862" s="39">
        <v>46033</v>
      </c>
      <c r="E2862" t="s">
        <v>486</v>
      </c>
      <c r="F2862" t="s">
        <v>79</v>
      </c>
      <c r="G2862">
        <v>6</v>
      </c>
      <c r="H2862">
        <v>5</v>
      </c>
      <c r="I2862" t="s">
        <v>79</v>
      </c>
      <c r="J2862">
        <v>1000</v>
      </c>
      <c r="K2862" t="s">
        <v>79</v>
      </c>
      <c r="L2862">
        <v>1</v>
      </c>
      <c r="M2862">
        <v>19.28</v>
      </c>
      <c r="N2862">
        <v>0.6</v>
      </c>
      <c r="Q2862">
        <v>18.68</v>
      </c>
      <c r="R2862" t="s">
        <v>1826</v>
      </c>
      <c r="T2862">
        <v>150</v>
      </c>
      <c r="V2862">
        <v>150</v>
      </c>
      <c r="W2862">
        <v>2.5</v>
      </c>
      <c r="AF2862">
        <v>0</v>
      </c>
      <c r="AG2862">
        <v>0</v>
      </c>
      <c r="AH2862">
        <v>2.5</v>
      </c>
      <c r="AI2862">
        <v>9.5</v>
      </c>
      <c r="AJ2862">
        <v>12</v>
      </c>
      <c r="AM2862">
        <v>0</v>
      </c>
      <c r="AN2862">
        <v>24.28</v>
      </c>
      <c r="AP2862">
        <v>54</v>
      </c>
      <c r="AQ2862">
        <v>54</v>
      </c>
    </row>
    <row r="2863" spans="1:43" x14ac:dyDescent="0.25">
      <c r="A2863" t="s">
        <v>46</v>
      </c>
      <c r="B2863">
        <v>2</v>
      </c>
      <c r="C2863" t="s">
        <v>1850</v>
      </c>
      <c r="D2863" s="39">
        <v>46033</v>
      </c>
      <c r="E2863" t="s">
        <v>401</v>
      </c>
      <c r="F2863" t="s">
        <v>79</v>
      </c>
      <c r="G2863">
        <v>4.5</v>
      </c>
      <c r="H2863" t="s">
        <v>1049</v>
      </c>
      <c r="I2863" t="s">
        <v>79</v>
      </c>
      <c r="J2863">
        <v>200</v>
      </c>
      <c r="K2863" t="s">
        <v>79</v>
      </c>
      <c r="L2863">
        <v>7</v>
      </c>
      <c r="M2863">
        <v>118.69000000000001</v>
      </c>
      <c r="N2863">
        <v>31.5</v>
      </c>
      <c r="Q2863">
        <v>87.190000000000012</v>
      </c>
      <c r="R2863" t="s">
        <v>1851</v>
      </c>
      <c r="V2863">
        <v>0</v>
      </c>
      <c r="W2863">
        <v>0</v>
      </c>
      <c r="AF2863">
        <v>0</v>
      </c>
      <c r="AG2863">
        <v>0</v>
      </c>
      <c r="AH2863">
        <v>0</v>
      </c>
      <c r="AI2863">
        <v>12</v>
      </c>
      <c r="AJ2863">
        <v>12</v>
      </c>
      <c r="AM2863">
        <v>0</v>
      </c>
      <c r="AN2863">
        <v>123.69</v>
      </c>
      <c r="AP2863">
        <v>54</v>
      </c>
      <c r="AQ2863">
        <v>54</v>
      </c>
    </row>
    <row r="2864" spans="1:43" x14ac:dyDescent="0.25">
      <c r="A2864" t="s">
        <v>46</v>
      </c>
      <c r="B2864">
        <v>1</v>
      </c>
      <c r="C2864" t="s">
        <v>1818</v>
      </c>
      <c r="D2864" s="39">
        <v>46033</v>
      </c>
      <c r="E2864" t="s">
        <v>486</v>
      </c>
      <c r="F2864" t="s">
        <v>79</v>
      </c>
      <c r="G2864">
        <v>4</v>
      </c>
      <c r="H2864" t="s">
        <v>113</v>
      </c>
      <c r="I2864" t="s">
        <v>79</v>
      </c>
      <c r="J2864">
        <v>1000</v>
      </c>
      <c r="K2864" t="s">
        <v>79</v>
      </c>
      <c r="L2864">
        <v>7</v>
      </c>
      <c r="M2864">
        <v>144.18</v>
      </c>
      <c r="N2864">
        <v>2.8000000000000003</v>
      </c>
      <c r="Q2864">
        <v>141.38</v>
      </c>
      <c r="R2864" t="s">
        <v>1882</v>
      </c>
      <c r="T2864">
        <v>120</v>
      </c>
      <c r="V2864">
        <v>120</v>
      </c>
      <c r="W2864">
        <v>2</v>
      </c>
      <c r="AF2864">
        <v>0</v>
      </c>
      <c r="AG2864">
        <v>0</v>
      </c>
      <c r="AH2864">
        <v>2</v>
      </c>
      <c r="AI2864">
        <v>10</v>
      </c>
      <c r="AJ2864">
        <v>12</v>
      </c>
      <c r="AM2864">
        <v>0</v>
      </c>
      <c r="AN2864">
        <v>149.18</v>
      </c>
      <c r="AP2864">
        <v>54</v>
      </c>
      <c r="AQ2864">
        <v>54</v>
      </c>
    </row>
    <row r="2865" spans="1:43" x14ac:dyDescent="0.25">
      <c r="A2865" t="s">
        <v>45</v>
      </c>
      <c r="B2865">
        <v>4</v>
      </c>
      <c r="C2865" t="s">
        <v>1845</v>
      </c>
      <c r="D2865" s="39">
        <v>46033</v>
      </c>
      <c r="E2865" t="s">
        <v>1846</v>
      </c>
      <c r="F2865" t="s">
        <v>79</v>
      </c>
      <c r="G2865" t="s">
        <v>129</v>
      </c>
      <c r="H2865" t="s">
        <v>122</v>
      </c>
      <c r="I2865" t="s">
        <v>79</v>
      </c>
      <c r="J2865">
        <v>300</v>
      </c>
      <c r="K2865" t="s">
        <v>79</v>
      </c>
      <c r="L2865">
        <v>2</v>
      </c>
      <c r="M2865">
        <v>111.51</v>
      </c>
      <c r="N2865">
        <v>6.93</v>
      </c>
      <c r="Q2865">
        <v>104.58000000000001</v>
      </c>
      <c r="R2865" t="s">
        <v>1847</v>
      </c>
      <c r="V2865">
        <v>0</v>
      </c>
      <c r="W2865">
        <v>0</v>
      </c>
      <c r="AF2865">
        <v>0</v>
      </c>
      <c r="AG2865">
        <v>0</v>
      </c>
      <c r="AH2865">
        <v>0</v>
      </c>
      <c r="AI2865">
        <v>12</v>
      </c>
      <c r="AJ2865">
        <v>12</v>
      </c>
      <c r="AM2865">
        <v>0</v>
      </c>
      <c r="AN2865">
        <v>116.51</v>
      </c>
      <c r="AP2865">
        <v>54</v>
      </c>
      <c r="AQ2865">
        <v>54</v>
      </c>
    </row>
    <row r="2866" spans="1:43" x14ac:dyDescent="0.25">
      <c r="A2866" t="s">
        <v>45</v>
      </c>
      <c r="B2866">
        <v>4</v>
      </c>
      <c r="C2866" t="s">
        <v>1852</v>
      </c>
      <c r="D2866" s="39">
        <v>46033</v>
      </c>
      <c r="E2866" t="s">
        <v>1853</v>
      </c>
      <c r="F2866" t="s">
        <v>79</v>
      </c>
      <c r="G2866" t="s">
        <v>121</v>
      </c>
      <c r="H2866" t="s">
        <v>1854</v>
      </c>
      <c r="I2866" t="s">
        <v>79</v>
      </c>
      <c r="J2866">
        <v>100</v>
      </c>
      <c r="K2866" t="s">
        <v>79</v>
      </c>
      <c r="L2866">
        <v>2</v>
      </c>
      <c r="M2866">
        <v>106.24000000000001</v>
      </c>
      <c r="N2866">
        <v>6.93</v>
      </c>
      <c r="Q2866">
        <v>99.31</v>
      </c>
      <c r="R2866" t="s">
        <v>1855</v>
      </c>
      <c r="V2866">
        <v>0</v>
      </c>
      <c r="W2866">
        <v>0</v>
      </c>
      <c r="AF2866">
        <v>0</v>
      </c>
      <c r="AG2866">
        <v>0</v>
      </c>
      <c r="AH2866">
        <v>0</v>
      </c>
      <c r="AI2866">
        <v>12</v>
      </c>
      <c r="AJ2866">
        <v>12</v>
      </c>
      <c r="AM2866">
        <v>0</v>
      </c>
      <c r="AN2866">
        <v>111.24</v>
      </c>
      <c r="AP2866">
        <v>54</v>
      </c>
      <c r="AQ2866">
        <v>54</v>
      </c>
    </row>
    <row r="2867" spans="1:43" x14ac:dyDescent="0.25">
      <c r="A2867" t="s">
        <v>45</v>
      </c>
      <c r="B2867">
        <v>4</v>
      </c>
      <c r="C2867" t="s">
        <v>1856</v>
      </c>
      <c r="D2867" s="39">
        <v>46033</v>
      </c>
      <c r="E2867" t="s">
        <v>229</v>
      </c>
      <c r="F2867" t="s">
        <v>79</v>
      </c>
      <c r="G2867">
        <v>16</v>
      </c>
      <c r="H2867" t="s">
        <v>644</v>
      </c>
      <c r="I2867" t="s">
        <v>79</v>
      </c>
      <c r="J2867">
        <v>300</v>
      </c>
      <c r="K2867" t="s">
        <v>79</v>
      </c>
      <c r="L2867">
        <v>1</v>
      </c>
      <c r="M2867">
        <v>47.75</v>
      </c>
      <c r="N2867">
        <v>1.9</v>
      </c>
      <c r="Q2867">
        <v>45.85</v>
      </c>
      <c r="R2867" t="s">
        <v>1857</v>
      </c>
      <c r="V2867">
        <v>0</v>
      </c>
      <c r="W2867">
        <v>0</v>
      </c>
      <c r="AF2867">
        <v>0</v>
      </c>
      <c r="AG2867">
        <v>0</v>
      </c>
      <c r="AH2867">
        <v>0</v>
      </c>
      <c r="AI2867">
        <v>12</v>
      </c>
      <c r="AJ2867">
        <v>12</v>
      </c>
      <c r="AM2867">
        <v>0</v>
      </c>
      <c r="AN2867">
        <v>52.75</v>
      </c>
      <c r="AP2867">
        <v>54</v>
      </c>
      <c r="AQ2867">
        <v>54</v>
      </c>
    </row>
    <row r="2868" spans="1:43" x14ac:dyDescent="0.25">
      <c r="A2868" t="s">
        <v>45</v>
      </c>
      <c r="B2868">
        <v>4</v>
      </c>
      <c r="C2868" t="s">
        <v>1858</v>
      </c>
      <c r="D2868" s="39">
        <v>46033</v>
      </c>
      <c r="E2868" t="s">
        <v>1853</v>
      </c>
      <c r="F2868" t="s">
        <v>79</v>
      </c>
      <c r="G2868" t="s">
        <v>121</v>
      </c>
      <c r="H2868" t="s">
        <v>1854</v>
      </c>
      <c r="I2868" t="s">
        <v>79</v>
      </c>
      <c r="J2868">
        <v>100</v>
      </c>
      <c r="K2868" t="s">
        <v>79</v>
      </c>
      <c r="L2868">
        <v>2</v>
      </c>
      <c r="M2868">
        <v>116.69</v>
      </c>
      <c r="N2868">
        <v>6.6999999999999993</v>
      </c>
      <c r="Q2868">
        <v>109.99</v>
      </c>
      <c r="R2868" t="s">
        <v>1859</v>
      </c>
      <c r="V2868">
        <v>0</v>
      </c>
      <c r="W2868">
        <v>0</v>
      </c>
      <c r="AF2868">
        <v>0</v>
      </c>
      <c r="AG2868">
        <v>0</v>
      </c>
      <c r="AH2868">
        <v>0</v>
      </c>
      <c r="AI2868">
        <v>12</v>
      </c>
      <c r="AJ2868">
        <v>12</v>
      </c>
      <c r="AM2868">
        <v>0</v>
      </c>
      <c r="AN2868">
        <v>121.69</v>
      </c>
      <c r="AP2868">
        <v>54</v>
      </c>
      <c r="AQ2868">
        <v>54</v>
      </c>
    </row>
    <row r="2869" spans="1:43" x14ac:dyDescent="0.25">
      <c r="A2869" t="s">
        <v>45</v>
      </c>
      <c r="B2869">
        <v>4</v>
      </c>
      <c r="C2869" t="s">
        <v>1860</v>
      </c>
      <c r="D2869" s="39">
        <v>46033</v>
      </c>
      <c r="E2869" t="s">
        <v>1846</v>
      </c>
      <c r="F2869" t="s">
        <v>79</v>
      </c>
      <c r="G2869" t="s">
        <v>1861</v>
      </c>
      <c r="H2869" t="s">
        <v>122</v>
      </c>
      <c r="I2869" t="s">
        <v>79</v>
      </c>
      <c r="J2869">
        <v>300</v>
      </c>
      <c r="K2869" t="s">
        <v>79</v>
      </c>
      <c r="L2869">
        <v>7</v>
      </c>
      <c r="M2869">
        <v>257.25</v>
      </c>
      <c r="N2869">
        <v>10.310000000000002</v>
      </c>
      <c r="Q2869">
        <v>246.94</v>
      </c>
      <c r="R2869" t="s">
        <v>1862</v>
      </c>
      <c r="V2869">
        <v>0</v>
      </c>
      <c r="W2869">
        <v>0</v>
      </c>
      <c r="AF2869">
        <v>0</v>
      </c>
      <c r="AG2869">
        <v>0</v>
      </c>
      <c r="AH2869">
        <v>0</v>
      </c>
      <c r="AI2869">
        <v>12</v>
      </c>
      <c r="AJ2869">
        <v>12</v>
      </c>
      <c r="AM2869">
        <v>0</v>
      </c>
      <c r="AN2869">
        <v>262.25</v>
      </c>
      <c r="AP2869">
        <v>54</v>
      </c>
      <c r="AQ2869">
        <v>54</v>
      </c>
    </row>
    <row r="2870" spans="1:43" x14ac:dyDescent="0.25">
      <c r="A2870" t="s">
        <v>45</v>
      </c>
      <c r="B2870">
        <v>4</v>
      </c>
      <c r="C2870" t="s">
        <v>1863</v>
      </c>
      <c r="D2870" s="39">
        <v>46033</v>
      </c>
      <c r="E2870" t="s">
        <v>1853</v>
      </c>
      <c r="F2870" t="s">
        <v>79</v>
      </c>
      <c r="G2870" t="s">
        <v>121</v>
      </c>
      <c r="H2870" t="s">
        <v>1854</v>
      </c>
      <c r="I2870" t="s">
        <v>79</v>
      </c>
      <c r="J2870">
        <v>100</v>
      </c>
      <c r="K2870" t="s">
        <v>79</v>
      </c>
      <c r="L2870">
        <v>2</v>
      </c>
      <c r="M2870">
        <v>120.21000000000001</v>
      </c>
      <c r="N2870">
        <v>6.95</v>
      </c>
      <c r="O2870">
        <v>32</v>
      </c>
      <c r="Q2870">
        <v>113.26</v>
      </c>
      <c r="R2870" t="s">
        <v>1962</v>
      </c>
      <c r="S2870">
        <v>20</v>
      </c>
      <c r="V2870">
        <v>20</v>
      </c>
      <c r="W2870">
        <v>0.33333333333333331</v>
      </c>
      <c r="AF2870">
        <v>0</v>
      </c>
      <c r="AG2870">
        <v>0</v>
      </c>
      <c r="AH2870">
        <v>0.33333333333333331</v>
      </c>
      <c r="AI2870">
        <v>11.666666666666666</v>
      </c>
      <c r="AJ2870">
        <v>12</v>
      </c>
      <c r="AM2870">
        <v>0</v>
      </c>
      <c r="AN2870">
        <v>125.21</v>
      </c>
      <c r="AP2870">
        <v>54</v>
      </c>
      <c r="AQ2870">
        <v>54</v>
      </c>
    </row>
    <row r="2871" spans="1:43" x14ac:dyDescent="0.25">
      <c r="A2871" t="s">
        <v>46</v>
      </c>
      <c r="B2871">
        <v>4</v>
      </c>
      <c r="C2871" t="s">
        <v>1856</v>
      </c>
      <c r="D2871" s="39">
        <v>46033</v>
      </c>
      <c r="E2871" t="s">
        <v>229</v>
      </c>
      <c r="F2871" t="s">
        <v>79</v>
      </c>
      <c r="G2871">
        <v>16</v>
      </c>
      <c r="H2871" t="s">
        <v>644</v>
      </c>
      <c r="I2871" t="s">
        <v>79</v>
      </c>
      <c r="J2871">
        <v>300</v>
      </c>
      <c r="K2871" t="s">
        <v>79</v>
      </c>
      <c r="L2871">
        <v>5</v>
      </c>
      <c r="M2871">
        <v>238.8</v>
      </c>
      <c r="N2871">
        <v>8</v>
      </c>
      <c r="O2871">
        <v>55</v>
      </c>
      <c r="Q2871">
        <v>230.8</v>
      </c>
      <c r="R2871" t="s">
        <v>1857</v>
      </c>
      <c r="V2871">
        <v>0</v>
      </c>
      <c r="W2871">
        <v>0</v>
      </c>
      <c r="AF2871">
        <v>0</v>
      </c>
      <c r="AG2871">
        <v>0</v>
      </c>
      <c r="AH2871">
        <v>0</v>
      </c>
      <c r="AI2871">
        <v>12</v>
      </c>
      <c r="AJ2871">
        <v>12</v>
      </c>
      <c r="AM2871">
        <v>0</v>
      </c>
      <c r="AN2871">
        <v>243.8</v>
      </c>
      <c r="AP2871">
        <v>54</v>
      </c>
      <c r="AQ2871">
        <v>54</v>
      </c>
    </row>
    <row r="2872" spans="1:43" x14ac:dyDescent="0.25">
      <c r="A2872" t="s">
        <v>46</v>
      </c>
      <c r="B2872">
        <v>4</v>
      </c>
      <c r="C2872" t="s">
        <v>1864</v>
      </c>
      <c r="D2872" s="39">
        <v>46033</v>
      </c>
      <c r="E2872" t="s">
        <v>486</v>
      </c>
      <c r="F2872" t="s">
        <v>79</v>
      </c>
      <c r="G2872">
        <v>16</v>
      </c>
      <c r="H2872">
        <v>5</v>
      </c>
      <c r="I2872" t="s">
        <v>79</v>
      </c>
      <c r="J2872">
        <v>1000</v>
      </c>
      <c r="K2872" t="s">
        <v>79</v>
      </c>
      <c r="L2872">
        <v>10</v>
      </c>
      <c r="M2872">
        <v>536.64</v>
      </c>
      <c r="N2872">
        <v>16</v>
      </c>
      <c r="Q2872">
        <v>520.64</v>
      </c>
      <c r="R2872" t="s">
        <v>1865</v>
      </c>
      <c r="V2872">
        <v>0</v>
      </c>
      <c r="W2872">
        <v>0</v>
      </c>
      <c r="AF2872">
        <v>0</v>
      </c>
      <c r="AG2872">
        <v>0</v>
      </c>
      <c r="AH2872">
        <v>0</v>
      </c>
      <c r="AI2872">
        <v>12</v>
      </c>
      <c r="AJ2872">
        <v>12</v>
      </c>
      <c r="AM2872">
        <v>0</v>
      </c>
      <c r="AN2872">
        <v>541.64</v>
      </c>
      <c r="AP2872">
        <v>54</v>
      </c>
      <c r="AQ2872">
        <v>54</v>
      </c>
    </row>
    <row r="2873" spans="1:43" x14ac:dyDescent="0.25">
      <c r="A2873" t="s">
        <v>45</v>
      </c>
      <c r="B2873">
        <v>5</v>
      </c>
      <c r="C2873" t="s">
        <v>1848</v>
      </c>
      <c r="D2873" s="39">
        <v>46033</v>
      </c>
      <c r="E2873" t="s">
        <v>674</v>
      </c>
      <c r="F2873" t="s">
        <v>79</v>
      </c>
      <c r="G2873">
        <v>15</v>
      </c>
      <c r="H2873" t="s">
        <v>102</v>
      </c>
      <c r="I2873" t="s">
        <v>79</v>
      </c>
      <c r="J2873">
        <v>375</v>
      </c>
      <c r="K2873" t="s">
        <v>79</v>
      </c>
      <c r="L2873">
        <v>2</v>
      </c>
      <c r="M2873">
        <v>101.50999999999999</v>
      </c>
      <c r="N2873">
        <v>3.38</v>
      </c>
      <c r="Q2873">
        <v>98.13</v>
      </c>
      <c r="R2873" t="s">
        <v>1849</v>
      </c>
      <c r="V2873">
        <v>0</v>
      </c>
      <c r="W2873">
        <v>0</v>
      </c>
      <c r="AF2873">
        <v>0</v>
      </c>
      <c r="AG2873">
        <v>0</v>
      </c>
      <c r="AH2873">
        <v>0</v>
      </c>
      <c r="AI2873">
        <v>12</v>
      </c>
      <c r="AJ2873">
        <v>12</v>
      </c>
      <c r="AM2873">
        <v>0</v>
      </c>
      <c r="AN2873">
        <v>106.51</v>
      </c>
      <c r="AP2873">
        <v>54</v>
      </c>
      <c r="AQ2873">
        <v>54</v>
      </c>
    </row>
    <row r="2874" spans="1:43" x14ac:dyDescent="0.25">
      <c r="A2874" t="s">
        <v>45</v>
      </c>
      <c r="B2874">
        <v>5</v>
      </c>
      <c r="C2874" t="s">
        <v>1866</v>
      </c>
      <c r="D2874" s="39">
        <v>46033</v>
      </c>
      <c r="E2874" t="s">
        <v>229</v>
      </c>
      <c r="F2874" t="s">
        <v>79</v>
      </c>
      <c r="G2874">
        <v>7</v>
      </c>
      <c r="H2874" t="s">
        <v>644</v>
      </c>
      <c r="I2874" t="s">
        <v>79</v>
      </c>
      <c r="J2874">
        <v>750</v>
      </c>
      <c r="K2874" t="s">
        <v>79</v>
      </c>
      <c r="L2874">
        <v>8</v>
      </c>
      <c r="M2874">
        <v>312.84999999999997</v>
      </c>
      <c r="N2874">
        <v>6.7000000000000011</v>
      </c>
      <c r="Q2874">
        <v>306.14999999999998</v>
      </c>
      <c r="R2874" t="s">
        <v>1867</v>
      </c>
      <c r="S2874">
        <v>20</v>
      </c>
      <c r="V2874">
        <v>20</v>
      </c>
      <c r="W2874">
        <v>0.33333333333333331</v>
      </c>
      <c r="AF2874">
        <v>0</v>
      </c>
      <c r="AG2874">
        <v>0</v>
      </c>
      <c r="AH2874">
        <v>0.33333333333333331</v>
      </c>
      <c r="AI2874">
        <v>11.666666666666666</v>
      </c>
      <c r="AJ2874">
        <v>12</v>
      </c>
      <c r="AM2874">
        <v>0</v>
      </c>
      <c r="AN2874">
        <v>317.84999999999997</v>
      </c>
      <c r="AP2874">
        <v>54</v>
      </c>
      <c r="AQ2874">
        <v>54</v>
      </c>
    </row>
    <row r="2875" spans="1:43" x14ac:dyDescent="0.25">
      <c r="A2875" t="s">
        <v>45</v>
      </c>
      <c r="B2875">
        <v>5</v>
      </c>
      <c r="C2875" t="s">
        <v>1868</v>
      </c>
      <c r="D2875" s="39">
        <v>46033</v>
      </c>
      <c r="E2875" t="s">
        <v>482</v>
      </c>
      <c r="F2875" t="s">
        <v>79</v>
      </c>
      <c r="G2875">
        <v>15</v>
      </c>
      <c r="H2875" t="s">
        <v>102</v>
      </c>
      <c r="I2875" t="s">
        <v>79</v>
      </c>
      <c r="J2875">
        <v>50</v>
      </c>
      <c r="K2875" t="s">
        <v>79</v>
      </c>
      <c r="L2875">
        <v>1</v>
      </c>
      <c r="M2875">
        <v>58.03</v>
      </c>
      <c r="N2875">
        <v>1.89</v>
      </c>
      <c r="Q2875">
        <v>56.14</v>
      </c>
      <c r="R2875" t="s">
        <v>1869</v>
      </c>
      <c r="V2875">
        <v>0</v>
      </c>
      <c r="W2875">
        <v>0</v>
      </c>
      <c r="AF2875">
        <v>0</v>
      </c>
      <c r="AG2875">
        <v>0</v>
      </c>
      <c r="AH2875">
        <v>0</v>
      </c>
      <c r="AI2875">
        <v>12</v>
      </c>
      <c r="AJ2875">
        <v>12</v>
      </c>
      <c r="AM2875">
        <v>0</v>
      </c>
      <c r="AN2875">
        <v>63.03</v>
      </c>
      <c r="AP2875">
        <v>54</v>
      </c>
      <c r="AQ2875">
        <v>54</v>
      </c>
    </row>
    <row r="2876" spans="1:43" x14ac:dyDescent="0.25">
      <c r="A2876" t="s">
        <v>45</v>
      </c>
      <c r="B2876">
        <v>5</v>
      </c>
      <c r="C2876" t="s">
        <v>1870</v>
      </c>
      <c r="D2876" s="39">
        <v>46033</v>
      </c>
      <c r="E2876" t="s">
        <v>1871</v>
      </c>
      <c r="F2876" t="s">
        <v>79</v>
      </c>
      <c r="G2876">
        <v>15</v>
      </c>
      <c r="H2876" t="s">
        <v>117</v>
      </c>
      <c r="I2876" t="s">
        <v>79</v>
      </c>
      <c r="J2876">
        <v>100</v>
      </c>
      <c r="K2876" t="s">
        <v>79</v>
      </c>
      <c r="L2876">
        <v>2</v>
      </c>
      <c r="M2876">
        <v>113.07</v>
      </c>
      <c r="N2876">
        <v>3.4699999999999998</v>
      </c>
      <c r="O2876">
        <v>3</v>
      </c>
      <c r="Q2876">
        <v>109.6</v>
      </c>
      <c r="R2876" t="s">
        <v>1872</v>
      </c>
      <c r="V2876">
        <v>0</v>
      </c>
      <c r="W2876">
        <v>0</v>
      </c>
      <c r="AF2876">
        <v>0</v>
      </c>
      <c r="AG2876">
        <v>0</v>
      </c>
      <c r="AH2876">
        <v>0</v>
      </c>
      <c r="AI2876">
        <v>12</v>
      </c>
      <c r="AJ2876">
        <v>12</v>
      </c>
      <c r="AM2876">
        <v>0</v>
      </c>
      <c r="AN2876">
        <v>118.07</v>
      </c>
      <c r="AP2876">
        <v>54</v>
      </c>
      <c r="AQ2876">
        <v>54</v>
      </c>
    </row>
    <row r="2877" spans="1:43" x14ac:dyDescent="0.25">
      <c r="A2877" t="s">
        <v>46</v>
      </c>
      <c r="B2877">
        <v>5</v>
      </c>
      <c r="C2877" t="s">
        <v>1866</v>
      </c>
      <c r="D2877" s="39">
        <v>46033</v>
      </c>
      <c r="E2877" t="s">
        <v>229</v>
      </c>
      <c r="F2877" t="s">
        <v>79</v>
      </c>
      <c r="G2877">
        <v>7</v>
      </c>
      <c r="H2877" t="s">
        <v>644</v>
      </c>
      <c r="I2877" t="s">
        <v>79</v>
      </c>
      <c r="J2877">
        <v>750</v>
      </c>
      <c r="K2877" t="s">
        <v>79</v>
      </c>
      <c r="L2877">
        <v>13</v>
      </c>
      <c r="M2877">
        <v>452.75</v>
      </c>
      <c r="N2877">
        <v>9.1</v>
      </c>
      <c r="O2877">
        <v>3</v>
      </c>
      <c r="Q2877">
        <v>443.65</v>
      </c>
      <c r="R2877" t="s">
        <v>1867</v>
      </c>
      <c r="S2877">
        <v>25</v>
      </c>
      <c r="V2877">
        <v>25</v>
      </c>
      <c r="W2877">
        <v>0.41666666666666674</v>
      </c>
      <c r="AD2877">
        <v>45</v>
      </c>
      <c r="AF2877">
        <v>45</v>
      </c>
      <c r="AG2877">
        <v>0.75</v>
      </c>
      <c r="AH2877">
        <v>1.1666666666666667</v>
      </c>
      <c r="AI2877">
        <v>10.833333333333334</v>
      </c>
      <c r="AJ2877">
        <v>12</v>
      </c>
      <c r="AM2877">
        <v>0</v>
      </c>
      <c r="AN2877">
        <v>457.75</v>
      </c>
      <c r="AP2877">
        <v>54</v>
      </c>
      <c r="AQ2877">
        <v>54</v>
      </c>
    </row>
    <row r="2878" spans="1:43" x14ac:dyDescent="0.25">
      <c r="A2878" t="s">
        <v>45</v>
      </c>
      <c r="B2878">
        <v>1</v>
      </c>
      <c r="C2878" t="s">
        <v>1818</v>
      </c>
      <c r="D2878" s="39">
        <v>46034</v>
      </c>
      <c r="E2878" t="s">
        <v>486</v>
      </c>
      <c r="F2878" t="s">
        <v>79</v>
      </c>
      <c r="G2878">
        <v>4</v>
      </c>
      <c r="H2878" t="s">
        <v>113</v>
      </c>
      <c r="I2878" t="s">
        <v>79</v>
      </c>
      <c r="J2878">
        <v>1000</v>
      </c>
      <c r="K2878" t="s">
        <v>79</v>
      </c>
      <c r="L2878">
        <v>8</v>
      </c>
      <c r="M2878">
        <v>157.56999999999996</v>
      </c>
      <c r="N2878">
        <v>3.2</v>
      </c>
      <c r="Q2878">
        <v>154.36999999999998</v>
      </c>
      <c r="R2878" t="s">
        <v>1882</v>
      </c>
      <c r="S2878">
        <v>20</v>
      </c>
      <c r="V2878">
        <v>20</v>
      </c>
      <c r="W2878">
        <v>0.33333333333333331</v>
      </c>
      <c r="AF2878">
        <v>0</v>
      </c>
      <c r="AG2878">
        <v>0</v>
      </c>
      <c r="AH2878">
        <v>0.33333333333333331</v>
      </c>
      <c r="AI2878">
        <v>11.666666666666666</v>
      </c>
      <c r="AJ2878">
        <v>12</v>
      </c>
      <c r="AM2878">
        <v>0</v>
      </c>
      <c r="AN2878">
        <v>162.56999999999996</v>
      </c>
      <c r="AP2878">
        <v>55</v>
      </c>
      <c r="AQ2878">
        <v>55</v>
      </c>
    </row>
    <row r="2879" spans="1:43" x14ac:dyDescent="0.25">
      <c r="A2879" t="s">
        <v>46</v>
      </c>
      <c r="B2879">
        <v>1</v>
      </c>
      <c r="C2879" t="s">
        <v>1873</v>
      </c>
      <c r="D2879" s="39">
        <v>46034</v>
      </c>
      <c r="E2879" t="s">
        <v>663</v>
      </c>
      <c r="F2879" t="s">
        <v>79</v>
      </c>
      <c r="G2879">
        <v>2</v>
      </c>
      <c r="H2879" t="s">
        <v>140</v>
      </c>
      <c r="I2879" t="s">
        <v>79</v>
      </c>
      <c r="J2879">
        <v>500</v>
      </c>
      <c r="K2879" t="s">
        <v>79</v>
      </c>
      <c r="L2879">
        <v>14</v>
      </c>
      <c r="M2879">
        <v>173.9</v>
      </c>
      <c r="N2879">
        <v>2.8000000000000003</v>
      </c>
      <c r="Q2879">
        <v>171.1</v>
      </c>
      <c r="R2879" t="s">
        <v>1883</v>
      </c>
      <c r="V2879">
        <v>0</v>
      </c>
      <c r="W2879">
        <v>0</v>
      </c>
      <c r="AF2879">
        <v>0</v>
      </c>
      <c r="AG2879">
        <v>0</v>
      </c>
      <c r="AH2879">
        <v>0</v>
      </c>
      <c r="AI2879">
        <v>12</v>
      </c>
      <c r="AJ2879">
        <v>12</v>
      </c>
      <c r="AM2879">
        <v>0</v>
      </c>
      <c r="AN2879">
        <v>178.9</v>
      </c>
      <c r="AP2879">
        <v>55</v>
      </c>
      <c r="AQ2879">
        <v>55</v>
      </c>
    </row>
    <row r="2880" spans="1:43" x14ac:dyDescent="0.25">
      <c r="A2880" t="s">
        <v>45</v>
      </c>
      <c r="B2880">
        <v>2</v>
      </c>
      <c r="C2880" t="s">
        <v>1850</v>
      </c>
      <c r="D2880" s="39">
        <v>46034</v>
      </c>
      <c r="E2880" t="s">
        <v>401</v>
      </c>
      <c r="F2880" t="s">
        <v>79</v>
      </c>
      <c r="G2880">
        <v>4.5</v>
      </c>
      <c r="H2880" t="s">
        <v>1049</v>
      </c>
      <c r="I2880" t="s">
        <v>79</v>
      </c>
      <c r="J2880">
        <v>200</v>
      </c>
      <c r="K2880" t="s">
        <v>79</v>
      </c>
      <c r="L2880">
        <v>10</v>
      </c>
      <c r="M2880">
        <v>186.33</v>
      </c>
      <c r="N2880">
        <v>4.5</v>
      </c>
      <c r="Q2880">
        <v>181.83</v>
      </c>
      <c r="R2880" t="s">
        <v>1851</v>
      </c>
      <c r="S2880">
        <v>20</v>
      </c>
      <c r="V2880">
        <v>20</v>
      </c>
      <c r="W2880">
        <v>0.33333333333333331</v>
      </c>
      <c r="X2880">
        <v>60</v>
      </c>
      <c r="AF2880">
        <v>60</v>
      </c>
      <c r="AG2880">
        <v>1</v>
      </c>
      <c r="AH2880">
        <v>1.3333333333333333</v>
      </c>
      <c r="AI2880">
        <v>10.666666666666666</v>
      </c>
      <c r="AJ2880">
        <v>12</v>
      </c>
      <c r="AM2880">
        <v>0</v>
      </c>
      <c r="AN2880">
        <v>191.33</v>
      </c>
      <c r="AP2880">
        <v>55</v>
      </c>
      <c r="AQ2880">
        <v>55</v>
      </c>
    </row>
    <row r="2881" spans="1:43" x14ac:dyDescent="0.25">
      <c r="A2881" t="s">
        <v>46</v>
      </c>
      <c r="B2881">
        <v>2</v>
      </c>
      <c r="C2881" t="s">
        <v>1874</v>
      </c>
      <c r="D2881" s="39">
        <v>46034</v>
      </c>
      <c r="E2881" t="s">
        <v>486</v>
      </c>
      <c r="F2881" t="s">
        <v>79</v>
      </c>
      <c r="G2881">
        <v>2.5</v>
      </c>
      <c r="H2881" t="s">
        <v>92</v>
      </c>
      <c r="I2881" t="s">
        <v>79</v>
      </c>
      <c r="J2881" t="s">
        <v>1884</v>
      </c>
      <c r="K2881" t="s">
        <v>79</v>
      </c>
      <c r="L2881">
        <v>7</v>
      </c>
      <c r="M2881">
        <v>106.67</v>
      </c>
      <c r="N2881">
        <v>1.75</v>
      </c>
      <c r="Q2881">
        <v>104.92</v>
      </c>
      <c r="R2881" t="s">
        <v>1885</v>
      </c>
      <c r="V2881">
        <v>0</v>
      </c>
      <c r="W2881">
        <v>0</v>
      </c>
      <c r="AF2881">
        <v>0</v>
      </c>
      <c r="AG2881">
        <v>0</v>
      </c>
      <c r="AH2881">
        <v>0</v>
      </c>
      <c r="AI2881">
        <v>12</v>
      </c>
      <c r="AJ2881">
        <v>12</v>
      </c>
      <c r="AM2881">
        <v>0</v>
      </c>
      <c r="AN2881">
        <v>111.67</v>
      </c>
      <c r="AP2881">
        <v>55</v>
      </c>
      <c r="AQ2881">
        <v>55</v>
      </c>
    </row>
    <row r="2882" spans="1:43" x14ac:dyDescent="0.25">
      <c r="A2882" t="s">
        <v>45</v>
      </c>
      <c r="B2882">
        <v>4</v>
      </c>
      <c r="C2882" t="s">
        <v>1864</v>
      </c>
      <c r="D2882" s="39">
        <v>46034</v>
      </c>
      <c r="E2882" t="s">
        <v>486</v>
      </c>
      <c r="F2882" t="s">
        <v>79</v>
      </c>
      <c r="G2882">
        <v>16</v>
      </c>
      <c r="H2882">
        <v>5</v>
      </c>
      <c r="I2882" t="s">
        <v>79</v>
      </c>
      <c r="J2882">
        <v>1000</v>
      </c>
      <c r="K2882" t="s">
        <v>79</v>
      </c>
      <c r="L2882">
        <v>12</v>
      </c>
      <c r="M2882">
        <v>563.23</v>
      </c>
      <c r="N2882">
        <v>19.200000000000003</v>
      </c>
      <c r="Q2882">
        <v>544.03</v>
      </c>
      <c r="R2882" t="s">
        <v>1865</v>
      </c>
      <c r="V2882">
        <v>0</v>
      </c>
      <c r="W2882">
        <v>0</v>
      </c>
      <c r="AF2882">
        <v>0</v>
      </c>
      <c r="AG2882">
        <v>0</v>
      </c>
      <c r="AH2882">
        <v>0</v>
      </c>
      <c r="AI2882">
        <v>12</v>
      </c>
      <c r="AJ2882">
        <v>12</v>
      </c>
      <c r="AM2882">
        <v>0</v>
      </c>
      <c r="AN2882">
        <v>568.23</v>
      </c>
      <c r="AP2882">
        <v>55</v>
      </c>
      <c r="AQ2882">
        <v>55</v>
      </c>
    </row>
    <row r="2883" spans="1:43" x14ac:dyDescent="0.25">
      <c r="A2883" t="s">
        <v>45</v>
      </c>
      <c r="B2883">
        <v>4</v>
      </c>
      <c r="C2883" t="s">
        <v>1721</v>
      </c>
      <c r="D2883" s="39">
        <v>46034</v>
      </c>
      <c r="E2883" t="s">
        <v>243</v>
      </c>
      <c r="F2883" t="s">
        <v>79</v>
      </c>
      <c r="G2883">
        <v>16.2</v>
      </c>
      <c r="H2883" t="s">
        <v>81</v>
      </c>
      <c r="I2883" t="s">
        <v>79</v>
      </c>
      <c r="J2883">
        <v>2000</v>
      </c>
      <c r="K2883" t="s">
        <v>79</v>
      </c>
      <c r="L2883">
        <v>6</v>
      </c>
      <c r="M2883">
        <v>258.61</v>
      </c>
      <c r="N2883">
        <v>12</v>
      </c>
      <c r="Q2883">
        <v>246.61</v>
      </c>
      <c r="R2883" t="s">
        <v>1886</v>
      </c>
      <c r="V2883">
        <v>0</v>
      </c>
      <c r="W2883">
        <v>0</v>
      </c>
      <c r="AF2883">
        <v>0</v>
      </c>
      <c r="AG2883">
        <v>0</v>
      </c>
      <c r="AH2883">
        <v>0</v>
      </c>
      <c r="AI2883">
        <v>12</v>
      </c>
      <c r="AJ2883">
        <v>12</v>
      </c>
      <c r="AM2883">
        <v>0</v>
      </c>
      <c r="AN2883">
        <v>263.61</v>
      </c>
      <c r="AP2883">
        <v>55</v>
      </c>
      <c r="AQ2883">
        <v>55</v>
      </c>
    </row>
    <row r="2884" spans="1:43" x14ac:dyDescent="0.25">
      <c r="A2884" t="s">
        <v>46</v>
      </c>
      <c r="B2884">
        <v>4</v>
      </c>
      <c r="C2884" t="s">
        <v>1721</v>
      </c>
      <c r="D2884" s="39">
        <v>46034</v>
      </c>
      <c r="E2884" t="s">
        <v>243</v>
      </c>
      <c r="F2884" t="s">
        <v>79</v>
      </c>
      <c r="G2884">
        <v>16.2</v>
      </c>
      <c r="H2884" t="s">
        <v>81</v>
      </c>
      <c r="I2884" t="s">
        <v>79</v>
      </c>
      <c r="J2884">
        <v>2000</v>
      </c>
      <c r="K2884" t="s">
        <v>79</v>
      </c>
      <c r="L2884">
        <v>13</v>
      </c>
      <c r="M2884">
        <v>705.53</v>
      </c>
      <c r="N2884">
        <v>20.8</v>
      </c>
      <c r="Q2884">
        <v>684.73</v>
      </c>
      <c r="R2884" t="s">
        <v>1886</v>
      </c>
      <c r="V2884">
        <v>0</v>
      </c>
      <c r="W2884">
        <v>0</v>
      </c>
      <c r="AF2884">
        <v>0</v>
      </c>
      <c r="AG2884">
        <v>0</v>
      </c>
      <c r="AH2884">
        <v>0</v>
      </c>
      <c r="AI2884">
        <v>12</v>
      </c>
      <c r="AJ2884">
        <v>12</v>
      </c>
      <c r="AM2884">
        <v>0</v>
      </c>
      <c r="AN2884">
        <v>710.53</v>
      </c>
      <c r="AP2884">
        <v>55</v>
      </c>
      <c r="AQ2884">
        <v>55</v>
      </c>
    </row>
    <row r="2885" spans="1:43" x14ac:dyDescent="0.25">
      <c r="A2885" t="s">
        <v>45</v>
      </c>
      <c r="B2885">
        <v>5</v>
      </c>
      <c r="C2885" t="s">
        <v>1875</v>
      </c>
      <c r="D2885" s="39">
        <v>46034</v>
      </c>
      <c r="E2885" t="s">
        <v>400</v>
      </c>
      <c r="F2885" t="s">
        <v>79</v>
      </c>
      <c r="G2885">
        <v>14</v>
      </c>
      <c r="H2885">
        <v>10</v>
      </c>
      <c r="I2885" t="s">
        <v>79</v>
      </c>
      <c r="J2885">
        <v>425</v>
      </c>
      <c r="K2885" t="s">
        <v>79</v>
      </c>
      <c r="L2885">
        <v>7</v>
      </c>
      <c r="M2885">
        <v>442.92999999999995</v>
      </c>
      <c r="N2885">
        <v>12.6</v>
      </c>
      <c r="Q2885">
        <v>430.32999999999993</v>
      </c>
      <c r="R2885" t="s">
        <v>1876</v>
      </c>
      <c r="V2885">
        <v>0</v>
      </c>
      <c r="W2885">
        <v>0</v>
      </c>
      <c r="AF2885">
        <v>0</v>
      </c>
      <c r="AG2885">
        <v>0</v>
      </c>
      <c r="AH2885">
        <v>0</v>
      </c>
      <c r="AI2885">
        <v>12</v>
      </c>
      <c r="AJ2885">
        <v>12</v>
      </c>
      <c r="AM2885">
        <v>0</v>
      </c>
      <c r="AN2885">
        <v>447.92999999999989</v>
      </c>
      <c r="AP2885">
        <v>55</v>
      </c>
      <c r="AQ2885">
        <v>55</v>
      </c>
    </row>
    <row r="2886" spans="1:43" x14ac:dyDescent="0.25">
      <c r="A2886" t="s">
        <v>45</v>
      </c>
      <c r="B2886">
        <v>5</v>
      </c>
      <c r="C2886" t="s">
        <v>1877</v>
      </c>
      <c r="D2886" s="39">
        <v>46034</v>
      </c>
      <c r="E2886" t="s">
        <v>1552</v>
      </c>
      <c r="F2886" t="s">
        <v>79</v>
      </c>
      <c r="G2886">
        <v>14</v>
      </c>
      <c r="H2886" t="s">
        <v>1049</v>
      </c>
      <c r="I2886" t="s">
        <v>79</v>
      </c>
      <c r="J2886">
        <v>100</v>
      </c>
      <c r="K2886" t="s">
        <v>79</v>
      </c>
      <c r="L2886">
        <v>1</v>
      </c>
      <c r="M2886">
        <v>49.6</v>
      </c>
      <c r="N2886">
        <v>1.8</v>
      </c>
      <c r="Q2886">
        <v>47.800000000000004</v>
      </c>
      <c r="R2886" t="s">
        <v>1887</v>
      </c>
      <c r="V2886">
        <v>0</v>
      </c>
      <c r="W2886">
        <v>0</v>
      </c>
      <c r="AF2886">
        <v>0</v>
      </c>
      <c r="AG2886">
        <v>0</v>
      </c>
      <c r="AH2886">
        <v>0</v>
      </c>
      <c r="AI2886">
        <v>12</v>
      </c>
      <c r="AJ2886">
        <v>12</v>
      </c>
      <c r="AM2886">
        <v>0</v>
      </c>
      <c r="AN2886">
        <v>54.6</v>
      </c>
      <c r="AP2886">
        <v>55</v>
      </c>
      <c r="AQ2886">
        <v>55</v>
      </c>
    </row>
    <row r="2887" spans="1:43" x14ac:dyDescent="0.25">
      <c r="A2887" t="s">
        <v>45</v>
      </c>
      <c r="B2887">
        <v>5</v>
      </c>
      <c r="C2887" t="s">
        <v>1878</v>
      </c>
      <c r="D2887" s="39">
        <v>46034</v>
      </c>
      <c r="E2887" t="s">
        <v>200</v>
      </c>
      <c r="F2887" t="s">
        <v>79</v>
      </c>
      <c r="G2887">
        <v>14</v>
      </c>
      <c r="H2887" t="s">
        <v>944</v>
      </c>
      <c r="I2887" t="s">
        <v>79</v>
      </c>
      <c r="J2887">
        <v>200</v>
      </c>
      <c r="K2887" t="s">
        <v>79</v>
      </c>
      <c r="L2887">
        <v>1</v>
      </c>
      <c r="M2887">
        <v>49.73</v>
      </c>
      <c r="N2887">
        <v>1.9</v>
      </c>
      <c r="Q2887">
        <v>47.83</v>
      </c>
      <c r="R2887" t="s">
        <v>1879</v>
      </c>
      <c r="V2887">
        <v>0</v>
      </c>
      <c r="W2887">
        <v>0</v>
      </c>
      <c r="AF2887">
        <v>0</v>
      </c>
      <c r="AG2887">
        <v>0</v>
      </c>
      <c r="AH2887">
        <v>0</v>
      </c>
      <c r="AI2887">
        <v>12</v>
      </c>
      <c r="AJ2887">
        <v>12</v>
      </c>
      <c r="AM2887">
        <v>0</v>
      </c>
      <c r="AN2887">
        <v>54.73</v>
      </c>
      <c r="AP2887">
        <v>55</v>
      </c>
      <c r="AQ2887">
        <v>55</v>
      </c>
    </row>
    <row r="2888" spans="1:43" x14ac:dyDescent="0.25">
      <c r="A2888" t="s">
        <v>45</v>
      </c>
      <c r="B2888">
        <v>5</v>
      </c>
      <c r="C2888" t="s">
        <v>1880</v>
      </c>
      <c r="D2888" s="39">
        <v>46034</v>
      </c>
      <c r="E2888" t="s">
        <v>482</v>
      </c>
      <c r="F2888" t="s">
        <v>79</v>
      </c>
      <c r="G2888">
        <v>14</v>
      </c>
      <c r="H2888" t="s">
        <v>102</v>
      </c>
      <c r="I2888" t="s">
        <v>79</v>
      </c>
      <c r="J2888">
        <v>50</v>
      </c>
      <c r="K2888" t="s">
        <v>79</v>
      </c>
      <c r="L2888">
        <v>1</v>
      </c>
      <c r="M2888">
        <v>52.14</v>
      </c>
      <c r="N2888">
        <v>1.8</v>
      </c>
      <c r="O2888">
        <v>14</v>
      </c>
      <c r="Q2888">
        <v>50.34</v>
      </c>
      <c r="R2888" t="s">
        <v>1881</v>
      </c>
      <c r="V2888">
        <v>0</v>
      </c>
      <c r="W2888">
        <v>0</v>
      </c>
      <c r="AF2888">
        <v>0</v>
      </c>
      <c r="AG2888">
        <v>0</v>
      </c>
      <c r="AH2888">
        <v>0</v>
      </c>
      <c r="AI2888">
        <v>12</v>
      </c>
      <c r="AJ2888">
        <v>12</v>
      </c>
      <c r="AM2888">
        <v>0</v>
      </c>
      <c r="AN2888">
        <v>57.14</v>
      </c>
      <c r="AP2888">
        <v>55</v>
      </c>
      <c r="AQ2888">
        <v>55</v>
      </c>
    </row>
    <row r="2889" spans="1:43" x14ac:dyDescent="0.25">
      <c r="A2889" t="s">
        <v>46</v>
      </c>
      <c r="B2889">
        <v>5</v>
      </c>
      <c r="C2889" t="s">
        <v>1878</v>
      </c>
      <c r="D2889" s="39">
        <v>46034</v>
      </c>
      <c r="E2889" t="s">
        <v>200</v>
      </c>
      <c r="F2889" t="s">
        <v>79</v>
      </c>
      <c r="G2889">
        <v>14</v>
      </c>
      <c r="H2889" t="s">
        <v>944</v>
      </c>
      <c r="I2889" t="s">
        <v>79</v>
      </c>
      <c r="J2889">
        <v>200</v>
      </c>
      <c r="K2889" t="s">
        <v>79</v>
      </c>
      <c r="L2889">
        <v>3</v>
      </c>
      <c r="M2889">
        <v>138.71</v>
      </c>
      <c r="N2889">
        <v>4.1999999999999993</v>
      </c>
      <c r="O2889">
        <v>23</v>
      </c>
      <c r="Q2889">
        <v>134.51000000000002</v>
      </c>
      <c r="R2889" t="s">
        <v>1879</v>
      </c>
      <c r="V2889">
        <v>0</v>
      </c>
      <c r="W2889">
        <v>0</v>
      </c>
      <c r="Z2889">
        <v>60</v>
      </c>
      <c r="AF2889">
        <v>60</v>
      </c>
      <c r="AG2889">
        <v>1</v>
      </c>
      <c r="AH2889">
        <v>1</v>
      </c>
      <c r="AI2889">
        <v>11</v>
      </c>
      <c r="AJ2889">
        <v>12</v>
      </c>
      <c r="AM2889">
        <v>0</v>
      </c>
      <c r="AN2889">
        <v>143.71</v>
      </c>
      <c r="AP2889">
        <v>55</v>
      </c>
      <c r="AQ2889">
        <v>55</v>
      </c>
    </row>
    <row r="2890" spans="1:43" x14ac:dyDescent="0.25">
      <c r="A2890" t="s">
        <v>46</v>
      </c>
      <c r="B2890">
        <v>5</v>
      </c>
      <c r="C2890" t="s">
        <v>1877</v>
      </c>
      <c r="D2890" s="39">
        <v>46034</v>
      </c>
      <c r="E2890" t="s">
        <v>1552</v>
      </c>
      <c r="F2890" t="s">
        <v>79</v>
      </c>
      <c r="G2890">
        <v>14</v>
      </c>
      <c r="H2890" t="s">
        <v>1049</v>
      </c>
      <c r="I2890" t="s">
        <v>79</v>
      </c>
      <c r="J2890">
        <v>100</v>
      </c>
      <c r="K2890" t="s">
        <v>79</v>
      </c>
      <c r="L2890">
        <v>1</v>
      </c>
      <c r="M2890">
        <v>50.57</v>
      </c>
      <c r="N2890">
        <v>1.4</v>
      </c>
      <c r="Q2890">
        <v>49.17</v>
      </c>
      <c r="R2890" t="s">
        <v>1887</v>
      </c>
      <c r="V2890">
        <v>0</v>
      </c>
      <c r="W2890">
        <v>0</v>
      </c>
      <c r="AF2890">
        <v>0</v>
      </c>
      <c r="AG2890">
        <v>0</v>
      </c>
      <c r="AH2890">
        <v>0</v>
      </c>
      <c r="AI2890">
        <v>12</v>
      </c>
      <c r="AJ2890">
        <v>12</v>
      </c>
      <c r="AM2890">
        <v>0</v>
      </c>
      <c r="AN2890">
        <v>55.57</v>
      </c>
      <c r="AP2890">
        <v>55</v>
      </c>
      <c r="AQ2890">
        <v>55</v>
      </c>
    </row>
    <row r="2891" spans="1:43" x14ac:dyDescent="0.25">
      <c r="A2891" t="s">
        <v>45</v>
      </c>
      <c r="B2891">
        <v>1</v>
      </c>
      <c r="C2891" t="s">
        <v>1873</v>
      </c>
      <c r="D2891" s="39">
        <v>46035</v>
      </c>
      <c r="E2891" t="s">
        <v>663</v>
      </c>
      <c r="F2891" t="s">
        <v>79</v>
      </c>
      <c r="G2891">
        <v>2</v>
      </c>
      <c r="H2891" t="s">
        <v>140</v>
      </c>
      <c r="I2891" t="s">
        <v>79</v>
      </c>
      <c r="J2891">
        <v>500</v>
      </c>
      <c r="K2891" t="s">
        <v>79</v>
      </c>
      <c r="L2891">
        <v>14</v>
      </c>
      <c r="M2891">
        <v>158</v>
      </c>
      <c r="N2891">
        <v>2.8000000000000003</v>
      </c>
      <c r="Q2891">
        <v>155.19999999999999</v>
      </c>
      <c r="R2891" t="s">
        <v>1883</v>
      </c>
      <c r="V2891">
        <v>0</v>
      </c>
      <c r="W2891">
        <v>0</v>
      </c>
      <c r="AF2891">
        <v>0</v>
      </c>
      <c r="AG2891">
        <v>0</v>
      </c>
      <c r="AH2891">
        <v>0</v>
      </c>
      <c r="AI2891">
        <v>12</v>
      </c>
      <c r="AJ2891">
        <v>12</v>
      </c>
      <c r="AM2891">
        <v>0</v>
      </c>
      <c r="AN2891">
        <v>163</v>
      </c>
      <c r="AP2891">
        <v>55</v>
      </c>
      <c r="AQ2891">
        <v>55</v>
      </c>
    </row>
    <row r="2892" spans="1:43" x14ac:dyDescent="0.25">
      <c r="A2892" t="s">
        <v>46</v>
      </c>
      <c r="B2892">
        <v>1</v>
      </c>
      <c r="C2892" t="s">
        <v>1873</v>
      </c>
      <c r="D2892" s="39">
        <v>46035</v>
      </c>
      <c r="E2892" t="s">
        <v>663</v>
      </c>
      <c r="F2892" t="s">
        <v>79</v>
      </c>
      <c r="G2892">
        <v>2</v>
      </c>
      <c r="H2892" t="s">
        <v>140</v>
      </c>
      <c r="I2892" t="s">
        <v>79</v>
      </c>
      <c r="J2892">
        <v>500</v>
      </c>
      <c r="K2892" t="s">
        <v>79</v>
      </c>
      <c r="L2892">
        <v>12</v>
      </c>
      <c r="M2892">
        <v>154</v>
      </c>
      <c r="N2892">
        <v>2.4000000000000004</v>
      </c>
      <c r="Q2892">
        <v>151.6</v>
      </c>
      <c r="R2892" t="s">
        <v>1883</v>
      </c>
      <c r="V2892">
        <v>0</v>
      </c>
      <c r="W2892">
        <v>0</v>
      </c>
      <c r="AF2892">
        <v>0</v>
      </c>
      <c r="AG2892">
        <v>0</v>
      </c>
      <c r="AH2892">
        <v>0</v>
      </c>
      <c r="AI2892">
        <v>12</v>
      </c>
      <c r="AJ2892">
        <v>12</v>
      </c>
      <c r="AM2892">
        <v>0</v>
      </c>
      <c r="AN2892">
        <v>159</v>
      </c>
      <c r="AP2892">
        <v>55</v>
      </c>
      <c r="AQ2892">
        <v>55</v>
      </c>
    </row>
    <row r="2893" spans="1:43" x14ac:dyDescent="0.25">
      <c r="A2893" t="s">
        <v>45</v>
      </c>
      <c r="B2893">
        <v>2</v>
      </c>
      <c r="C2893" t="s">
        <v>1874</v>
      </c>
      <c r="D2893" s="39">
        <v>46035</v>
      </c>
      <c r="E2893" t="s">
        <v>486</v>
      </c>
      <c r="F2893" t="s">
        <v>79</v>
      </c>
      <c r="G2893">
        <v>2.5</v>
      </c>
      <c r="H2893" t="s">
        <v>92</v>
      </c>
      <c r="I2893" t="s">
        <v>79</v>
      </c>
      <c r="J2893" t="s">
        <v>1884</v>
      </c>
      <c r="K2893" t="s">
        <v>79</v>
      </c>
      <c r="L2893">
        <v>5</v>
      </c>
      <c r="M2893">
        <v>112.76999999999998</v>
      </c>
      <c r="N2893">
        <v>1.25</v>
      </c>
      <c r="Q2893">
        <v>111.51999999999998</v>
      </c>
      <c r="R2893" t="s">
        <v>1885</v>
      </c>
      <c r="V2893">
        <v>0</v>
      </c>
      <c r="W2893">
        <v>0</v>
      </c>
      <c r="AF2893">
        <v>0</v>
      </c>
      <c r="AG2893">
        <v>0</v>
      </c>
      <c r="AH2893">
        <v>0</v>
      </c>
      <c r="AI2893">
        <v>12</v>
      </c>
      <c r="AJ2893">
        <v>12</v>
      </c>
      <c r="AM2893">
        <v>0</v>
      </c>
      <c r="AN2893">
        <v>117.76999999999998</v>
      </c>
      <c r="AP2893">
        <v>55</v>
      </c>
      <c r="AQ2893">
        <v>55</v>
      </c>
    </row>
    <row r="2894" spans="1:43" x14ac:dyDescent="0.25">
      <c r="A2894" t="s">
        <v>45</v>
      </c>
      <c r="B2894">
        <v>2</v>
      </c>
      <c r="C2894" t="s">
        <v>1874</v>
      </c>
      <c r="D2894" s="39">
        <v>46035</v>
      </c>
      <c r="E2894" t="s">
        <v>486</v>
      </c>
      <c r="F2894" t="s">
        <v>79</v>
      </c>
      <c r="G2894">
        <v>2.5</v>
      </c>
      <c r="H2894" t="s">
        <v>92</v>
      </c>
      <c r="I2894" t="s">
        <v>79</v>
      </c>
      <c r="J2894" t="s">
        <v>1884</v>
      </c>
      <c r="K2894" t="s">
        <v>79</v>
      </c>
      <c r="L2894">
        <v>2</v>
      </c>
      <c r="M2894">
        <v>23.43</v>
      </c>
      <c r="N2894">
        <v>0.5</v>
      </c>
      <c r="O2894">
        <v>4.5</v>
      </c>
      <c r="Q2894">
        <v>22.93</v>
      </c>
      <c r="R2894" t="s">
        <v>1885</v>
      </c>
      <c r="V2894">
        <v>0</v>
      </c>
      <c r="W2894">
        <v>0</v>
      </c>
      <c r="AF2894">
        <v>0</v>
      </c>
      <c r="AG2894">
        <v>0</v>
      </c>
      <c r="AH2894">
        <v>0</v>
      </c>
      <c r="AI2894">
        <v>12</v>
      </c>
      <c r="AJ2894">
        <v>12</v>
      </c>
      <c r="AM2894">
        <v>0</v>
      </c>
      <c r="AN2894">
        <v>28.43</v>
      </c>
      <c r="AP2894">
        <v>55</v>
      </c>
      <c r="AQ2894">
        <v>55</v>
      </c>
    </row>
    <row r="2895" spans="1:43" x14ac:dyDescent="0.25">
      <c r="A2895" t="s">
        <v>46</v>
      </c>
      <c r="B2895">
        <v>2</v>
      </c>
      <c r="C2895" t="s">
        <v>1874</v>
      </c>
      <c r="D2895" s="39">
        <v>46035</v>
      </c>
      <c r="E2895" t="s">
        <v>486</v>
      </c>
      <c r="F2895" t="s">
        <v>79</v>
      </c>
      <c r="G2895">
        <v>2.5</v>
      </c>
      <c r="H2895" t="s">
        <v>92</v>
      </c>
      <c r="I2895" t="s">
        <v>79</v>
      </c>
      <c r="J2895" t="s">
        <v>1884</v>
      </c>
      <c r="K2895" t="s">
        <v>79</v>
      </c>
      <c r="L2895">
        <v>9</v>
      </c>
      <c r="M2895">
        <v>123.02000000000002</v>
      </c>
      <c r="N2895">
        <v>2.25</v>
      </c>
      <c r="O2895">
        <v>4.5</v>
      </c>
      <c r="Q2895">
        <v>120.77000000000002</v>
      </c>
      <c r="R2895" t="s">
        <v>1885</v>
      </c>
      <c r="V2895">
        <v>0</v>
      </c>
      <c r="W2895">
        <v>0</v>
      </c>
      <c r="AF2895">
        <v>0</v>
      </c>
      <c r="AG2895">
        <v>0</v>
      </c>
      <c r="AH2895">
        <v>0</v>
      </c>
      <c r="AI2895">
        <v>12</v>
      </c>
      <c r="AJ2895">
        <v>12</v>
      </c>
      <c r="AM2895">
        <v>0</v>
      </c>
      <c r="AN2895">
        <v>128.02000000000004</v>
      </c>
      <c r="AP2895">
        <v>55</v>
      </c>
      <c r="AQ2895">
        <v>55</v>
      </c>
    </row>
    <row r="2896" spans="1:43" x14ac:dyDescent="0.25">
      <c r="A2896" t="s">
        <v>45</v>
      </c>
      <c r="B2896">
        <v>4</v>
      </c>
      <c r="C2896" t="s">
        <v>1721</v>
      </c>
      <c r="D2896" s="39">
        <v>46035</v>
      </c>
      <c r="E2896" t="s">
        <v>243</v>
      </c>
      <c r="F2896" t="s">
        <v>79</v>
      </c>
      <c r="G2896">
        <v>16.2</v>
      </c>
      <c r="H2896" t="s">
        <v>81</v>
      </c>
      <c r="I2896" t="s">
        <v>79</v>
      </c>
      <c r="J2896">
        <v>2000</v>
      </c>
      <c r="K2896" t="s">
        <v>79</v>
      </c>
      <c r="L2896">
        <v>7</v>
      </c>
      <c r="M2896">
        <v>357.72999999999996</v>
      </c>
      <c r="N2896">
        <v>13.299999999999999</v>
      </c>
      <c r="Q2896">
        <v>344.42999999999995</v>
      </c>
      <c r="R2896" t="s">
        <v>1886</v>
      </c>
      <c r="V2896">
        <v>0</v>
      </c>
      <c r="W2896">
        <v>0</v>
      </c>
      <c r="AF2896">
        <v>0</v>
      </c>
      <c r="AG2896">
        <v>0</v>
      </c>
      <c r="AH2896">
        <v>0</v>
      </c>
      <c r="AI2896">
        <v>12</v>
      </c>
      <c r="AJ2896">
        <v>12</v>
      </c>
      <c r="AM2896">
        <v>0</v>
      </c>
      <c r="AN2896">
        <v>362.73</v>
      </c>
      <c r="AP2896">
        <v>55</v>
      </c>
      <c r="AQ2896">
        <v>55</v>
      </c>
    </row>
    <row r="2897" spans="1:43" x14ac:dyDescent="0.25">
      <c r="A2897" t="s">
        <v>45</v>
      </c>
      <c r="B2897">
        <v>4</v>
      </c>
      <c r="C2897" t="s">
        <v>1780</v>
      </c>
      <c r="D2897" s="39">
        <v>46035</v>
      </c>
      <c r="E2897" t="s">
        <v>276</v>
      </c>
      <c r="F2897" t="s">
        <v>79</v>
      </c>
      <c r="G2897">
        <v>16</v>
      </c>
      <c r="H2897" t="s">
        <v>113</v>
      </c>
      <c r="I2897" t="s">
        <v>79</v>
      </c>
      <c r="J2897" t="s">
        <v>81</v>
      </c>
      <c r="K2897" t="s">
        <v>79</v>
      </c>
      <c r="L2897">
        <v>9</v>
      </c>
      <c r="M2897">
        <v>507.53</v>
      </c>
      <c r="N2897">
        <v>17.099999999999998</v>
      </c>
      <c r="O2897">
        <v>21</v>
      </c>
      <c r="Q2897">
        <v>490.42999999999995</v>
      </c>
      <c r="R2897" t="s">
        <v>1963</v>
      </c>
      <c r="V2897">
        <v>0</v>
      </c>
      <c r="W2897">
        <v>0</v>
      </c>
      <c r="AF2897">
        <v>0</v>
      </c>
      <c r="AG2897">
        <v>0</v>
      </c>
      <c r="AH2897">
        <v>0</v>
      </c>
      <c r="AI2897">
        <v>12</v>
      </c>
      <c r="AJ2897">
        <v>12</v>
      </c>
      <c r="AM2897">
        <v>0</v>
      </c>
      <c r="AN2897">
        <v>512.53</v>
      </c>
      <c r="AP2897">
        <v>55</v>
      </c>
      <c r="AQ2897">
        <v>55</v>
      </c>
    </row>
    <row r="2898" spans="1:43" x14ac:dyDescent="0.25">
      <c r="A2898" t="s">
        <v>46</v>
      </c>
      <c r="B2898">
        <v>4</v>
      </c>
      <c r="C2898" t="s">
        <v>1780</v>
      </c>
      <c r="D2898" s="39">
        <v>46035</v>
      </c>
      <c r="E2898" t="s">
        <v>276</v>
      </c>
      <c r="F2898" t="s">
        <v>79</v>
      </c>
      <c r="G2898">
        <v>16</v>
      </c>
      <c r="H2898" t="s">
        <v>113</v>
      </c>
      <c r="I2898" t="s">
        <v>79</v>
      </c>
      <c r="J2898" t="s">
        <v>81</v>
      </c>
      <c r="K2898" t="s">
        <v>79</v>
      </c>
      <c r="L2898">
        <v>11</v>
      </c>
      <c r="M2898">
        <v>525.26</v>
      </c>
      <c r="N2898">
        <v>17.600000000000001</v>
      </c>
      <c r="O2898">
        <v>30</v>
      </c>
      <c r="Q2898">
        <v>507.65999999999997</v>
      </c>
      <c r="R2898" t="s">
        <v>1963</v>
      </c>
      <c r="V2898">
        <v>0</v>
      </c>
      <c r="W2898">
        <v>0</v>
      </c>
      <c r="AF2898">
        <v>0</v>
      </c>
      <c r="AG2898">
        <v>0</v>
      </c>
      <c r="AH2898">
        <v>0</v>
      </c>
      <c r="AI2898">
        <v>12</v>
      </c>
      <c r="AJ2898">
        <v>12</v>
      </c>
      <c r="AM2898">
        <v>0</v>
      </c>
      <c r="AN2898">
        <v>530.26</v>
      </c>
      <c r="AP2898">
        <v>55</v>
      </c>
      <c r="AQ2898">
        <v>55</v>
      </c>
    </row>
    <row r="2899" spans="1:43" x14ac:dyDescent="0.25">
      <c r="A2899" t="s">
        <v>46</v>
      </c>
      <c r="B2899">
        <v>4</v>
      </c>
      <c r="C2899" t="s">
        <v>1888</v>
      </c>
      <c r="D2899" s="39">
        <v>46035</v>
      </c>
      <c r="E2899" t="s">
        <v>400</v>
      </c>
      <c r="F2899" t="s">
        <v>79</v>
      </c>
      <c r="G2899">
        <v>16</v>
      </c>
      <c r="H2899">
        <v>10</v>
      </c>
      <c r="I2899" t="s">
        <v>79</v>
      </c>
      <c r="J2899">
        <v>425</v>
      </c>
      <c r="K2899" t="s">
        <v>79</v>
      </c>
      <c r="L2899">
        <v>6</v>
      </c>
      <c r="M2899">
        <v>309.31</v>
      </c>
      <c r="N2899">
        <v>9.6000000000000014</v>
      </c>
      <c r="Q2899">
        <v>299.70999999999998</v>
      </c>
      <c r="R2899" t="s">
        <v>1889</v>
      </c>
      <c r="V2899">
        <v>0</v>
      </c>
      <c r="W2899">
        <v>0</v>
      </c>
      <c r="AF2899">
        <v>0</v>
      </c>
      <c r="AG2899">
        <v>0</v>
      </c>
      <c r="AH2899">
        <v>0</v>
      </c>
      <c r="AI2899">
        <v>12</v>
      </c>
      <c r="AJ2899">
        <v>12</v>
      </c>
      <c r="AM2899">
        <v>0</v>
      </c>
      <c r="AN2899">
        <v>314.31</v>
      </c>
      <c r="AP2899">
        <v>55</v>
      </c>
      <c r="AQ2899">
        <v>55</v>
      </c>
    </row>
    <row r="2900" spans="1:43" x14ac:dyDescent="0.25">
      <c r="A2900" t="s">
        <v>45</v>
      </c>
      <c r="B2900">
        <v>1</v>
      </c>
      <c r="C2900" t="s">
        <v>1873</v>
      </c>
      <c r="D2900" s="39">
        <v>46036</v>
      </c>
      <c r="E2900" t="s">
        <v>663</v>
      </c>
      <c r="F2900" t="s">
        <v>79</v>
      </c>
      <c r="G2900">
        <v>2</v>
      </c>
      <c r="H2900" t="s">
        <v>140</v>
      </c>
      <c r="I2900" t="s">
        <v>79</v>
      </c>
      <c r="J2900">
        <v>500</v>
      </c>
      <c r="K2900" t="s">
        <v>79</v>
      </c>
      <c r="L2900">
        <v>3</v>
      </c>
      <c r="M2900">
        <v>35.36</v>
      </c>
      <c r="N2900">
        <v>0.60000000000000009</v>
      </c>
      <c r="Q2900">
        <v>34.76</v>
      </c>
      <c r="R2900" t="s">
        <v>1883</v>
      </c>
      <c r="V2900">
        <v>0</v>
      </c>
      <c r="W2900">
        <v>0</v>
      </c>
      <c r="AF2900">
        <v>0</v>
      </c>
      <c r="AG2900">
        <v>0</v>
      </c>
      <c r="AH2900">
        <v>0</v>
      </c>
      <c r="AI2900">
        <v>12</v>
      </c>
      <c r="AJ2900">
        <v>12</v>
      </c>
      <c r="AM2900">
        <v>0</v>
      </c>
      <c r="AN2900">
        <v>40.36</v>
      </c>
      <c r="AP2900">
        <v>55</v>
      </c>
      <c r="AQ2900">
        <v>55</v>
      </c>
    </row>
    <row r="2901" spans="1:43" x14ac:dyDescent="0.25">
      <c r="A2901" t="s">
        <v>45</v>
      </c>
      <c r="B2901">
        <v>1</v>
      </c>
      <c r="C2901" t="s">
        <v>1874</v>
      </c>
      <c r="D2901" s="39">
        <v>46036</v>
      </c>
      <c r="E2901" t="s">
        <v>486</v>
      </c>
      <c r="F2901" t="s">
        <v>79</v>
      </c>
      <c r="G2901">
        <v>2.5</v>
      </c>
      <c r="H2901" t="s">
        <v>92</v>
      </c>
      <c r="I2901" t="s">
        <v>79</v>
      </c>
      <c r="J2901" t="s">
        <v>1884</v>
      </c>
      <c r="K2901" t="s">
        <v>79</v>
      </c>
      <c r="L2901">
        <v>4</v>
      </c>
      <c r="M2901">
        <v>52.31</v>
      </c>
      <c r="N2901">
        <v>1</v>
      </c>
      <c r="Q2901">
        <v>51.31</v>
      </c>
      <c r="R2901" t="s">
        <v>1885</v>
      </c>
      <c r="V2901">
        <v>0</v>
      </c>
      <c r="W2901">
        <v>0</v>
      </c>
      <c r="AF2901">
        <v>0</v>
      </c>
      <c r="AG2901">
        <v>0</v>
      </c>
      <c r="AH2901">
        <v>0</v>
      </c>
      <c r="AI2901">
        <v>12</v>
      </c>
      <c r="AJ2901">
        <v>12</v>
      </c>
      <c r="AM2901">
        <v>0</v>
      </c>
      <c r="AN2901">
        <v>57.31</v>
      </c>
      <c r="AP2901">
        <v>55</v>
      </c>
      <c r="AQ2901">
        <v>55</v>
      </c>
    </row>
    <row r="2902" spans="1:43" x14ac:dyDescent="0.25">
      <c r="A2902" t="s">
        <v>45</v>
      </c>
      <c r="B2902">
        <v>1</v>
      </c>
      <c r="C2902" t="s">
        <v>1874</v>
      </c>
      <c r="D2902" s="39">
        <v>46036</v>
      </c>
      <c r="E2902" t="s">
        <v>486</v>
      </c>
      <c r="F2902" t="s">
        <v>79</v>
      </c>
      <c r="G2902">
        <v>2.5</v>
      </c>
      <c r="H2902" t="s">
        <v>92</v>
      </c>
      <c r="I2902" t="s">
        <v>79</v>
      </c>
      <c r="J2902" t="s">
        <v>1884</v>
      </c>
      <c r="K2902" t="s">
        <v>79</v>
      </c>
      <c r="L2902">
        <v>1</v>
      </c>
      <c r="M2902">
        <v>23.13</v>
      </c>
      <c r="N2902">
        <v>0.25</v>
      </c>
      <c r="Q2902">
        <v>22.88</v>
      </c>
      <c r="R2902" t="s">
        <v>1885</v>
      </c>
      <c r="S2902">
        <v>15</v>
      </c>
      <c r="V2902">
        <v>15</v>
      </c>
      <c r="W2902">
        <v>0.25</v>
      </c>
      <c r="AF2902">
        <v>0</v>
      </c>
      <c r="AG2902">
        <v>0</v>
      </c>
      <c r="AH2902">
        <v>0.25</v>
      </c>
      <c r="AI2902">
        <v>11.75</v>
      </c>
      <c r="AJ2902">
        <v>12</v>
      </c>
      <c r="AM2902">
        <v>0</v>
      </c>
      <c r="AN2902">
        <v>28.13</v>
      </c>
      <c r="AP2902">
        <v>55</v>
      </c>
      <c r="AQ2902">
        <v>55</v>
      </c>
    </row>
    <row r="2903" spans="1:43" x14ac:dyDescent="0.25">
      <c r="A2903" t="s">
        <v>46</v>
      </c>
      <c r="B2903">
        <v>1</v>
      </c>
      <c r="C2903" t="s">
        <v>1890</v>
      </c>
      <c r="D2903" s="39">
        <v>46036</v>
      </c>
      <c r="E2903" t="s">
        <v>486</v>
      </c>
      <c r="F2903" t="s">
        <v>79</v>
      </c>
      <c r="G2903">
        <v>2.5</v>
      </c>
      <c r="H2903" t="s">
        <v>92</v>
      </c>
      <c r="I2903" t="s">
        <v>79</v>
      </c>
      <c r="J2903">
        <v>1000</v>
      </c>
      <c r="K2903" t="s">
        <v>79</v>
      </c>
      <c r="L2903">
        <v>7</v>
      </c>
      <c r="M2903">
        <v>131.37</v>
      </c>
      <c r="N2903">
        <v>1.75</v>
      </c>
      <c r="Q2903">
        <v>129.62</v>
      </c>
      <c r="R2903" t="s">
        <v>1964</v>
      </c>
      <c r="V2903">
        <v>0</v>
      </c>
      <c r="W2903">
        <v>0</v>
      </c>
      <c r="AF2903">
        <v>0</v>
      </c>
      <c r="AG2903">
        <v>0</v>
      </c>
      <c r="AH2903">
        <v>0</v>
      </c>
      <c r="AI2903">
        <v>12</v>
      </c>
      <c r="AJ2903">
        <v>12</v>
      </c>
      <c r="AM2903">
        <v>0</v>
      </c>
      <c r="AN2903">
        <v>136.37</v>
      </c>
      <c r="AP2903">
        <v>55</v>
      </c>
      <c r="AQ2903">
        <v>55</v>
      </c>
    </row>
    <row r="2904" spans="1:43" x14ac:dyDescent="0.25">
      <c r="A2904" t="s">
        <v>45</v>
      </c>
      <c r="B2904">
        <v>2</v>
      </c>
      <c r="C2904" t="s">
        <v>1890</v>
      </c>
      <c r="D2904" s="39">
        <v>46036</v>
      </c>
      <c r="E2904" t="s">
        <v>486</v>
      </c>
      <c r="F2904" t="s">
        <v>79</v>
      </c>
      <c r="G2904">
        <v>2.5</v>
      </c>
      <c r="H2904" t="s">
        <v>92</v>
      </c>
      <c r="I2904" t="s">
        <v>79</v>
      </c>
      <c r="J2904">
        <v>1000</v>
      </c>
      <c r="K2904" t="s">
        <v>79</v>
      </c>
      <c r="L2904">
        <v>2</v>
      </c>
      <c r="M2904">
        <v>24.07</v>
      </c>
      <c r="N2904">
        <v>0.5</v>
      </c>
      <c r="Q2904">
        <v>23.57</v>
      </c>
      <c r="R2904" t="s">
        <v>1964</v>
      </c>
      <c r="V2904">
        <v>0</v>
      </c>
      <c r="W2904">
        <v>0</v>
      </c>
      <c r="AF2904">
        <v>0</v>
      </c>
      <c r="AG2904">
        <v>0</v>
      </c>
      <c r="AH2904">
        <v>0</v>
      </c>
      <c r="AI2904">
        <v>12</v>
      </c>
      <c r="AJ2904">
        <v>12</v>
      </c>
      <c r="AM2904">
        <v>0</v>
      </c>
      <c r="AN2904">
        <v>29.07</v>
      </c>
      <c r="AP2904">
        <v>55</v>
      </c>
      <c r="AQ2904">
        <v>55</v>
      </c>
    </row>
    <row r="2905" spans="1:43" x14ac:dyDescent="0.25">
      <c r="A2905" t="s">
        <v>45</v>
      </c>
      <c r="B2905">
        <v>2</v>
      </c>
      <c r="C2905" t="s">
        <v>1818</v>
      </c>
      <c r="D2905" s="39">
        <v>46036</v>
      </c>
      <c r="E2905" t="s">
        <v>486</v>
      </c>
      <c r="F2905" t="s">
        <v>79</v>
      </c>
      <c r="G2905">
        <v>4</v>
      </c>
      <c r="H2905" t="s">
        <v>113</v>
      </c>
      <c r="I2905" t="s">
        <v>79</v>
      </c>
      <c r="J2905">
        <v>1000</v>
      </c>
      <c r="K2905" t="s">
        <v>79</v>
      </c>
      <c r="L2905">
        <v>5</v>
      </c>
      <c r="M2905">
        <v>88.78</v>
      </c>
      <c r="N2905">
        <v>1.25</v>
      </c>
      <c r="Q2905">
        <v>87.53</v>
      </c>
      <c r="R2905" t="s">
        <v>1882</v>
      </c>
      <c r="V2905">
        <v>0</v>
      </c>
      <c r="W2905">
        <v>0</v>
      </c>
      <c r="AF2905">
        <v>0</v>
      </c>
      <c r="AG2905">
        <v>0</v>
      </c>
      <c r="AH2905">
        <v>0</v>
      </c>
      <c r="AI2905">
        <v>12</v>
      </c>
      <c r="AJ2905">
        <v>12</v>
      </c>
      <c r="AM2905">
        <v>0</v>
      </c>
      <c r="AN2905">
        <v>93.78</v>
      </c>
      <c r="AP2905">
        <v>55</v>
      </c>
      <c r="AQ2905">
        <v>55</v>
      </c>
    </row>
    <row r="2906" spans="1:43" x14ac:dyDescent="0.25">
      <c r="A2906" t="s">
        <v>45</v>
      </c>
      <c r="B2906">
        <v>2</v>
      </c>
      <c r="C2906" t="s">
        <v>1818</v>
      </c>
      <c r="D2906" s="39">
        <v>46036</v>
      </c>
      <c r="E2906" t="s">
        <v>486</v>
      </c>
      <c r="F2906" t="s">
        <v>79</v>
      </c>
      <c r="G2906">
        <v>4</v>
      </c>
      <c r="H2906" t="s">
        <v>113</v>
      </c>
      <c r="I2906" t="s">
        <v>79</v>
      </c>
      <c r="J2906">
        <v>1000</v>
      </c>
      <c r="K2906" t="s">
        <v>79</v>
      </c>
      <c r="L2906">
        <v>2</v>
      </c>
      <c r="M2906">
        <v>42.11</v>
      </c>
      <c r="N2906">
        <v>0.5</v>
      </c>
      <c r="Q2906">
        <v>41.61</v>
      </c>
      <c r="R2906" t="s">
        <v>1882</v>
      </c>
      <c r="S2906">
        <v>25</v>
      </c>
      <c r="V2906">
        <v>25</v>
      </c>
      <c r="W2906">
        <v>0.41666666666666674</v>
      </c>
      <c r="AF2906">
        <v>0</v>
      </c>
      <c r="AG2906">
        <v>0</v>
      </c>
      <c r="AH2906">
        <v>0.41666666666666674</v>
      </c>
      <c r="AI2906">
        <v>11.583333333333334</v>
      </c>
      <c r="AJ2906">
        <v>12</v>
      </c>
      <c r="AM2906">
        <v>0</v>
      </c>
      <c r="AN2906">
        <v>47.11</v>
      </c>
      <c r="AP2906">
        <v>55</v>
      </c>
      <c r="AQ2906">
        <v>55</v>
      </c>
    </row>
    <row r="2907" spans="1:43" x14ac:dyDescent="0.25">
      <c r="A2907" t="s">
        <v>46</v>
      </c>
      <c r="B2907">
        <v>2</v>
      </c>
      <c r="C2907" t="s">
        <v>1818</v>
      </c>
      <c r="D2907" s="39">
        <v>46036</v>
      </c>
      <c r="E2907" t="s">
        <v>486</v>
      </c>
      <c r="F2907" t="s">
        <v>79</v>
      </c>
      <c r="G2907">
        <v>4</v>
      </c>
      <c r="H2907" t="s">
        <v>113</v>
      </c>
      <c r="I2907" t="s">
        <v>79</v>
      </c>
      <c r="J2907">
        <v>1000</v>
      </c>
      <c r="K2907" t="s">
        <v>79</v>
      </c>
      <c r="L2907">
        <v>9</v>
      </c>
      <c r="M2907">
        <v>166.73000000000002</v>
      </c>
      <c r="N2907">
        <v>3.6</v>
      </c>
      <c r="Q2907">
        <v>163.13000000000002</v>
      </c>
      <c r="R2907" t="s">
        <v>1882</v>
      </c>
      <c r="V2907">
        <v>0</v>
      </c>
      <c r="W2907">
        <v>0</v>
      </c>
      <c r="AF2907">
        <v>0</v>
      </c>
      <c r="AG2907">
        <v>0</v>
      </c>
      <c r="AH2907">
        <v>0</v>
      </c>
      <c r="AI2907">
        <v>12</v>
      </c>
      <c r="AJ2907">
        <v>12</v>
      </c>
      <c r="AM2907">
        <v>0</v>
      </c>
      <c r="AN2907">
        <v>171.73000000000002</v>
      </c>
      <c r="AP2907">
        <v>55</v>
      </c>
      <c r="AQ2907">
        <v>55</v>
      </c>
    </row>
    <row r="2908" spans="1:43" x14ac:dyDescent="0.25">
      <c r="A2908" t="s">
        <v>46</v>
      </c>
      <c r="B2908">
        <v>3</v>
      </c>
      <c r="C2908" t="s">
        <v>1891</v>
      </c>
      <c r="D2908" s="39">
        <v>46036</v>
      </c>
      <c r="E2908" t="s">
        <v>401</v>
      </c>
      <c r="F2908" t="s">
        <v>79</v>
      </c>
      <c r="G2908">
        <v>8</v>
      </c>
      <c r="H2908" t="s">
        <v>1049</v>
      </c>
      <c r="I2908" t="s">
        <v>79</v>
      </c>
      <c r="J2908">
        <v>100</v>
      </c>
      <c r="K2908" t="s">
        <v>79</v>
      </c>
      <c r="L2908">
        <v>4</v>
      </c>
      <c r="M2908">
        <v>104.84</v>
      </c>
      <c r="N2908">
        <v>3.2</v>
      </c>
      <c r="Q2908">
        <v>101.64</v>
      </c>
      <c r="R2908" t="s">
        <v>1892</v>
      </c>
      <c r="T2908">
        <v>60</v>
      </c>
      <c r="V2908">
        <v>60</v>
      </c>
      <c r="W2908">
        <v>1</v>
      </c>
      <c r="AD2908">
        <v>40</v>
      </c>
      <c r="AF2908">
        <v>40</v>
      </c>
      <c r="AG2908">
        <v>0.66666666666666663</v>
      </c>
      <c r="AH2908">
        <v>1.6666666666666663</v>
      </c>
      <c r="AI2908">
        <v>10.333333333333334</v>
      </c>
      <c r="AJ2908">
        <v>12</v>
      </c>
      <c r="AM2908">
        <v>0</v>
      </c>
      <c r="AN2908">
        <v>109.84</v>
      </c>
      <c r="AP2908">
        <v>55</v>
      </c>
      <c r="AQ2908">
        <v>55</v>
      </c>
    </row>
    <row r="2909" spans="1:43" x14ac:dyDescent="0.25">
      <c r="A2909" t="s">
        <v>46</v>
      </c>
      <c r="B2909">
        <v>3</v>
      </c>
      <c r="C2909" t="s">
        <v>1893</v>
      </c>
      <c r="D2909" s="39">
        <v>46036</v>
      </c>
      <c r="E2909" t="s">
        <v>420</v>
      </c>
      <c r="F2909" t="s">
        <v>79</v>
      </c>
      <c r="G2909">
        <v>8</v>
      </c>
      <c r="H2909" t="s">
        <v>944</v>
      </c>
      <c r="I2909" t="s">
        <v>79</v>
      </c>
      <c r="J2909">
        <v>100</v>
      </c>
      <c r="K2909" t="s">
        <v>79</v>
      </c>
      <c r="L2909">
        <v>4</v>
      </c>
      <c r="M2909">
        <v>154.69999999999999</v>
      </c>
      <c r="N2909">
        <v>3.2</v>
      </c>
      <c r="Q2909">
        <v>151.5</v>
      </c>
      <c r="R2909" t="s">
        <v>1894</v>
      </c>
      <c r="V2909">
        <v>0</v>
      </c>
      <c r="W2909">
        <v>0</v>
      </c>
      <c r="AF2909">
        <v>0</v>
      </c>
      <c r="AG2909">
        <v>0</v>
      </c>
      <c r="AH2909">
        <v>0</v>
      </c>
      <c r="AI2909">
        <v>12</v>
      </c>
      <c r="AJ2909">
        <v>12</v>
      </c>
      <c r="AM2909">
        <v>0</v>
      </c>
      <c r="AN2909">
        <v>159.69999999999999</v>
      </c>
      <c r="AP2909">
        <v>55</v>
      </c>
      <c r="AQ2909">
        <v>55</v>
      </c>
    </row>
    <row r="2910" spans="1:43" x14ac:dyDescent="0.25">
      <c r="A2910" t="s">
        <v>45</v>
      </c>
      <c r="B2910">
        <v>4</v>
      </c>
      <c r="C2910" t="s">
        <v>1888</v>
      </c>
      <c r="D2910" s="39">
        <v>46036</v>
      </c>
      <c r="E2910" t="s">
        <v>400</v>
      </c>
      <c r="F2910" t="s">
        <v>79</v>
      </c>
      <c r="G2910">
        <v>16</v>
      </c>
      <c r="H2910">
        <v>10</v>
      </c>
      <c r="I2910" t="s">
        <v>79</v>
      </c>
      <c r="J2910">
        <v>425</v>
      </c>
      <c r="K2910" t="s">
        <v>79</v>
      </c>
      <c r="L2910">
        <v>3</v>
      </c>
      <c r="M2910">
        <v>141.9</v>
      </c>
      <c r="N2910">
        <v>5.9</v>
      </c>
      <c r="Q2910">
        <v>136</v>
      </c>
      <c r="R2910" t="s">
        <v>1889</v>
      </c>
      <c r="V2910">
        <v>0</v>
      </c>
      <c r="W2910">
        <v>0</v>
      </c>
      <c r="AF2910">
        <v>0</v>
      </c>
      <c r="AG2910">
        <v>0</v>
      </c>
      <c r="AH2910">
        <v>0</v>
      </c>
      <c r="AI2910">
        <v>12</v>
      </c>
      <c r="AJ2910">
        <v>12</v>
      </c>
      <c r="AM2910">
        <v>0</v>
      </c>
      <c r="AN2910">
        <v>146.9</v>
      </c>
      <c r="AP2910">
        <v>55</v>
      </c>
      <c r="AQ2910">
        <v>55</v>
      </c>
    </row>
    <row r="2911" spans="1:43" x14ac:dyDescent="0.25">
      <c r="A2911" t="s">
        <v>45</v>
      </c>
      <c r="B2911">
        <v>4</v>
      </c>
      <c r="C2911" t="s">
        <v>1895</v>
      </c>
      <c r="D2911" s="39">
        <v>46036</v>
      </c>
      <c r="E2911" t="s">
        <v>1839</v>
      </c>
      <c r="F2911" t="s">
        <v>79</v>
      </c>
      <c r="G2911">
        <v>20</v>
      </c>
      <c r="H2911" t="s">
        <v>113</v>
      </c>
      <c r="I2911" t="s">
        <v>79</v>
      </c>
      <c r="J2911">
        <v>250</v>
      </c>
      <c r="K2911" t="s">
        <v>79</v>
      </c>
      <c r="L2911">
        <v>4</v>
      </c>
      <c r="M2911">
        <v>265.08999999999997</v>
      </c>
      <c r="N2911">
        <v>10</v>
      </c>
      <c r="Q2911">
        <v>255.08999999999997</v>
      </c>
      <c r="R2911" t="s">
        <v>1896</v>
      </c>
      <c r="V2911">
        <v>0</v>
      </c>
      <c r="W2911">
        <v>0</v>
      </c>
      <c r="AF2911">
        <v>0</v>
      </c>
      <c r="AG2911">
        <v>0</v>
      </c>
      <c r="AH2911">
        <v>0</v>
      </c>
      <c r="AI2911">
        <v>12</v>
      </c>
      <c r="AJ2911">
        <v>12</v>
      </c>
      <c r="AM2911">
        <v>0</v>
      </c>
      <c r="AN2911">
        <v>270.08999999999997</v>
      </c>
      <c r="AP2911">
        <v>55</v>
      </c>
      <c r="AQ2911">
        <v>55</v>
      </c>
    </row>
    <row r="2912" spans="1:43" x14ac:dyDescent="0.25">
      <c r="A2912" t="s">
        <v>45</v>
      </c>
      <c r="B2912">
        <v>4</v>
      </c>
      <c r="C2912" t="s">
        <v>1780</v>
      </c>
      <c r="D2912" s="39">
        <v>46036</v>
      </c>
      <c r="E2912" t="s">
        <v>276</v>
      </c>
      <c r="F2912" t="s">
        <v>79</v>
      </c>
      <c r="G2912">
        <v>16</v>
      </c>
      <c r="H2912" t="s">
        <v>113</v>
      </c>
      <c r="I2912" t="s">
        <v>79</v>
      </c>
      <c r="J2912" t="s">
        <v>81</v>
      </c>
      <c r="K2912" t="s">
        <v>79</v>
      </c>
      <c r="L2912">
        <v>5</v>
      </c>
      <c r="M2912">
        <v>265.5</v>
      </c>
      <c r="N2912">
        <v>9.5</v>
      </c>
      <c r="Q2912">
        <v>256</v>
      </c>
      <c r="R2912" t="s">
        <v>1963</v>
      </c>
      <c r="V2912">
        <v>0</v>
      </c>
      <c r="W2912">
        <v>0</v>
      </c>
      <c r="AF2912">
        <v>0</v>
      </c>
      <c r="AG2912">
        <v>0</v>
      </c>
      <c r="AH2912">
        <v>0</v>
      </c>
      <c r="AI2912">
        <v>12</v>
      </c>
      <c r="AJ2912">
        <v>12</v>
      </c>
      <c r="AM2912">
        <v>0</v>
      </c>
      <c r="AN2912">
        <v>270.5</v>
      </c>
      <c r="AP2912">
        <v>55</v>
      </c>
      <c r="AQ2912">
        <v>55</v>
      </c>
    </row>
    <row r="2913" spans="1:43" x14ac:dyDescent="0.25">
      <c r="A2913" t="s">
        <v>45</v>
      </c>
      <c r="B2913">
        <v>4</v>
      </c>
      <c r="C2913" t="s">
        <v>1897</v>
      </c>
      <c r="D2913" s="39">
        <v>46036</v>
      </c>
      <c r="E2913" t="s">
        <v>1312</v>
      </c>
      <c r="F2913" t="s">
        <v>79</v>
      </c>
      <c r="G2913">
        <v>20</v>
      </c>
      <c r="H2913" t="s">
        <v>113</v>
      </c>
      <c r="I2913" t="s">
        <v>79</v>
      </c>
      <c r="J2913">
        <v>250</v>
      </c>
      <c r="K2913" t="s">
        <v>79</v>
      </c>
      <c r="L2913">
        <v>3</v>
      </c>
      <c r="M2913">
        <v>170.31</v>
      </c>
      <c r="N2913">
        <v>7.8000000000000007</v>
      </c>
      <c r="O2913">
        <v>20</v>
      </c>
      <c r="Q2913">
        <v>162.51</v>
      </c>
      <c r="R2913" t="s">
        <v>1898</v>
      </c>
      <c r="S2913">
        <v>25</v>
      </c>
      <c r="V2913">
        <v>25</v>
      </c>
      <c r="W2913">
        <v>0.41666666666666674</v>
      </c>
      <c r="AF2913">
        <v>0</v>
      </c>
      <c r="AG2913">
        <v>0</v>
      </c>
      <c r="AH2913">
        <v>0.41666666666666674</v>
      </c>
      <c r="AI2913">
        <v>11.583333333333334</v>
      </c>
      <c r="AJ2913">
        <v>12</v>
      </c>
      <c r="AM2913">
        <v>0</v>
      </c>
      <c r="AN2913">
        <v>175.31</v>
      </c>
      <c r="AP2913">
        <v>55</v>
      </c>
      <c r="AQ2913">
        <v>55</v>
      </c>
    </row>
    <row r="2914" spans="1:43" x14ac:dyDescent="0.25">
      <c r="A2914" t="s">
        <v>46</v>
      </c>
      <c r="B2914">
        <v>4</v>
      </c>
      <c r="C2914" t="s">
        <v>1897</v>
      </c>
      <c r="D2914" s="39">
        <v>46036</v>
      </c>
      <c r="E2914" t="s">
        <v>1312</v>
      </c>
      <c r="F2914" t="s">
        <v>79</v>
      </c>
      <c r="G2914">
        <v>20</v>
      </c>
      <c r="H2914" t="s">
        <v>113</v>
      </c>
      <c r="I2914" t="s">
        <v>79</v>
      </c>
      <c r="J2914">
        <v>250</v>
      </c>
      <c r="K2914" t="s">
        <v>79</v>
      </c>
      <c r="L2914">
        <v>2</v>
      </c>
      <c r="M2914">
        <v>112.66</v>
      </c>
      <c r="N2914">
        <v>5</v>
      </c>
      <c r="O2914">
        <v>24</v>
      </c>
      <c r="Q2914">
        <v>107.66</v>
      </c>
      <c r="R2914" t="s">
        <v>1898</v>
      </c>
      <c r="V2914">
        <v>0</v>
      </c>
      <c r="W2914">
        <v>0</v>
      </c>
      <c r="AF2914">
        <v>0</v>
      </c>
      <c r="AG2914">
        <v>0</v>
      </c>
      <c r="AH2914">
        <v>0</v>
      </c>
      <c r="AI2914">
        <v>12</v>
      </c>
      <c r="AJ2914">
        <v>12</v>
      </c>
      <c r="AM2914">
        <v>0</v>
      </c>
      <c r="AN2914">
        <v>117.66</v>
      </c>
      <c r="AP2914">
        <v>55</v>
      </c>
      <c r="AQ2914">
        <v>55</v>
      </c>
    </row>
    <row r="2915" spans="1:43" x14ac:dyDescent="0.25">
      <c r="A2915" t="s">
        <v>46</v>
      </c>
      <c r="B2915">
        <v>4</v>
      </c>
      <c r="C2915" t="s">
        <v>1899</v>
      </c>
      <c r="D2915" s="39">
        <v>46036</v>
      </c>
      <c r="E2915" t="s">
        <v>276</v>
      </c>
      <c r="F2915" t="s">
        <v>79</v>
      </c>
      <c r="G2915">
        <v>20</v>
      </c>
      <c r="H2915" t="s">
        <v>113</v>
      </c>
      <c r="I2915" t="s">
        <v>79</v>
      </c>
      <c r="J2915" t="s">
        <v>81</v>
      </c>
      <c r="K2915" t="s">
        <v>79</v>
      </c>
      <c r="L2915">
        <v>13</v>
      </c>
      <c r="M2915">
        <v>785.73</v>
      </c>
      <c r="N2915">
        <v>26</v>
      </c>
      <c r="Q2915">
        <v>759.73</v>
      </c>
      <c r="R2915" t="s">
        <v>1965</v>
      </c>
      <c r="V2915">
        <v>0</v>
      </c>
      <c r="W2915">
        <v>0</v>
      </c>
      <c r="AF2915">
        <v>0</v>
      </c>
      <c r="AG2915">
        <v>0</v>
      </c>
      <c r="AH2915">
        <v>0</v>
      </c>
      <c r="AI2915">
        <v>12</v>
      </c>
      <c r="AJ2915">
        <v>12</v>
      </c>
      <c r="AM2915">
        <v>0</v>
      </c>
      <c r="AN2915">
        <v>790.73</v>
      </c>
      <c r="AP2915">
        <v>55</v>
      </c>
      <c r="AQ2915">
        <v>55</v>
      </c>
    </row>
    <row r="2916" spans="1:43" x14ac:dyDescent="0.25">
      <c r="A2916" t="s">
        <v>45</v>
      </c>
      <c r="B2916">
        <v>5</v>
      </c>
      <c r="C2916" t="s">
        <v>1877</v>
      </c>
      <c r="D2916" s="39">
        <v>46036</v>
      </c>
      <c r="E2916" t="s">
        <v>1552</v>
      </c>
      <c r="F2916" t="s">
        <v>79</v>
      </c>
      <c r="G2916">
        <v>14</v>
      </c>
      <c r="H2916" t="s">
        <v>1049</v>
      </c>
      <c r="I2916" t="s">
        <v>79</v>
      </c>
      <c r="J2916">
        <v>100</v>
      </c>
      <c r="K2916" t="s">
        <v>79</v>
      </c>
      <c r="L2916">
        <v>2</v>
      </c>
      <c r="M2916">
        <v>109.93</v>
      </c>
      <c r="N2916">
        <v>3.4</v>
      </c>
      <c r="O2916">
        <v>4</v>
      </c>
      <c r="Q2916">
        <v>106.53</v>
      </c>
      <c r="R2916" t="s">
        <v>1887</v>
      </c>
      <c r="S2916">
        <v>25</v>
      </c>
      <c r="T2916">
        <v>430</v>
      </c>
      <c r="V2916">
        <v>455</v>
      </c>
      <c r="W2916">
        <v>7.583333333333333</v>
      </c>
      <c r="AF2916">
        <v>0</v>
      </c>
      <c r="AG2916">
        <v>0</v>
      </c>
      <c r="AH2916">
        <v>7.583333333333333</v>
      </c>
      <c r="AI2916">
        <v>4.416666666666667</v>
      </c>
      <c r="AJ2916">
        <v>12</v>
      </c>
      <c r="AM2916">
        <v>0</v>
      </c>
      <c r="AN2916">
        <v>114.93</v>
      </c>
      <c r="AP2916">
        <v>55</v>
      </c>
      <c r="AQ2916">
        <v>55</v>
      </c>
    </row>
    <row r="2917" spans="1:43" x14ac:dyDescent="0.25">
      <c r="A2917" t="s">
        <v>46</v>
      </c>
      <c r="B2917">
        <v>5</v>
      </c>
      <c r="C2917" t="s">
        <v>1900</v>
      </c>
      <c r="D2917" s="39">
        <v>46036</v>
      </c>
      <c r="E2917" t="s">
        <v>238</v>
      </c>
      <c r="F2917" t="s">
        <v>79</v>
      </c>
      <c r="G2917">
        <v>17</v>
      </c>
      <c r="H2917" t="s">
        <v>534</v>
      </c>
      <c r="I2917" t="s">
        <v>79</v>
      </c>
      <c r="J2917">
        <v>100</v>
      </c>
      <c r="K2917" t="s">
        <v>79</v>
      </c>
      <c r="L2917">
        <v>2</v>
      </c>
      <c r="M2917">
        <v>103.13</v>
      </c>
      <c r="N2917">
        <v>3.4</v>
      </c>
      <c r="O2917">
        <v>4</v>
      </c>
      <c r="Q2917">
        <v>99.72999999999999</v>
      </c>
      <c r="R2917" t="s">
        <v>1901</v>
      </c>
      <c r="V2917">
        <v>0</v>
      </c>
      <c r="W2917">
        <v>0</v>
      </c>
      <c r="AD2917">
        <v>45</v>
      </c>
      <c r="AF2917">
        <v>45</v>
      </c>
      <c r="AG2917">
        <v>0.75</v>
      </c>
      <c r="AH2917">
        <v>0.75</v>
      </c>
      <c r="AI2917">
        <v>11.25</v>
      </c>
      <c r="AJ2917">
        <v>12</v>
      </c>
      <c r="AM2917">
        <v>0</v>
      </c>
      <c r="AN2917">
        <v>108.13</v>
      </c>
      <c r="AP2917">
        <v>55</v>
      </c>
      <c r="AQ2917">
        <v>55</v>
      </c>
    </row>
    <row r="2918" spans="1:43" x14ac:dyDescent="0.25">
      <c r="A2918" t="s">
        <v>46</v>
      </c>
      <c r="B2918">
        <v>5</v>
      </c>
      <c r="C2918" t="s">
        <v>1902</v>
      </c>
      <c r="D2918" s="39">
        <v>46036</v>
      </c>
      <c r="E2918" t="s">
        <v>674</v>
      </c>
      <c r="F2918" t="s">
        <v>79</v>
      </c>
      <c r="G2918">
        <v>17</v>
      </c>
      <c r="H2918" t="s">
        <v>102</v>
      </c>
      <c r="I2918" t="s">
        <v>79</v>
      </c>
      <c r="J2918">
        <v>250</v>
      </c>
      <c r="K2918" t="s">
        <v>79</v>
      </c>
      <c r="L2918">
        <v>4</v>
      </c>
      <c r="M2918">
        <v>199.42</v>
      </c>
      <c r="N2918">
        <v>6.8</v>
      </c>
      <c r="Q2918">
        <v>192.61999999999998</v>
      </c>
      <c r="R2918" t="s">
        <v>1903</v>
      </c>
      <c r="V2918">
        <v>0</v>
      </c>
      <c r="W2918">
        <v>0</v>
      </c>
      <c r="AF2918">
        <v>0</v>
      </c>
      <c r="AG2918">
        <v>0</v>
      </c>
      <c r="AH2918">
        <v>0</v>
      </c>
      <c r="AI2918">
        <v>12</v>
      </c>
      <c r="AJ2918">
        <v>12</v>
      </c>
      <c r="AM2918">
        <v>0</v>
      </c>
      <c r="AN2918">
        <v>204.42</v>
      </c>
      <c r="AP2918">
        <v>55</v>
      </c>
      <c r="AQ2918">
        <v>55</v>
      </c>
    </row>
    <row r="2919" spans="1:43" x14ac:dyDescent="0.25">
      <c r="A2919" t="s">
        <v>46</v>
      </c>
      <c r="B2919">
        <v>5</v>
      </c>
      <c r="C2919" t="s">
        <v>1904</v>
      </c>
      <c r="D2919" s="39">
        <v>46036</v>
      </c>
      <c r="E2919" t="s">
        <v>274</v>
      </c>
      <c r="F2919" t="s">
        <v>79</v>
      </c>
      <c r="G2919">
        <v>17</v>
      </c>
      <c r="H2919">
        <v>6</v>
      </c>
      <c r="I2919" t="s">
        <v>79</v>
      </c>
      <c r="J2919">
        <v>200</v>
      </c>
      <c r="K2919" t="s">
        <v>79</v>
      </c>
      <c r="L2919">
        <v>4</v>
      </c>
      <c r="M2919">
        <v>182.09</v>
      </c>
      <c r="N2919">
        <v>6.8</v>
      </c>
      <c r="Q2919">
        <v>175.29</v>
      </c>
      <c r="R2919" t="s">
        <v>1905</v>
      </c>
      <c r="V2919">
        <v>0</v>
      </c>
      <c r="W2919">
        <v>0</v>
      </c>
      <c r="AF2919">
        <v>0</v>
      </c>
      <c r="AG2919">
        <v>0</v>
      </c>
      <c r="AH2919">
        <v>0</v>
      </c>
      <c r="AI2919">
        <v>12</v>
      </c>
      <c r="AJ2919">
        <v>12</v>
      </c>
      <c r="AM2919">
        <v>0</v>
      </c>
      <c r="AN2919">
        <v>187.09</v>
      </c>
      <c r="AP2919">
        <v>55</v>
      </c>
      <c r="AQ2919">
        <v>55</v>
      </c>
    </row>
    <row r="2920" spans="1:43" x14ac:dyDescent="0.25">
      <c r="A2920" t="s">
        <v>45</v>
      </c>
      <c r="B2920">
        <v>1</v>
      </c>
      <c r="C2920" t="s">
        <v>1890</v>
      </c>
      <c r="D2920" s="39">
        <v>46037</v>
      </c>
      <c r="E2920" t="s">
        <v>486</v>
      </c>
      <c r="F2920" t="s">
        <v>79</v>
      </c>
      <c r="G2920">
        <v>2.5</v>
      </c>
      <c r="H2920" t="s">
        <v>92</v>
      </c>
      <c r="I2920" t="s">
        <v>79</v>
      </c>
      <c r="J2920">
        <v>1000</v>
      </c>
      <c r="K2920" t="s">
        <v>79</v>
      </c>
      <c r="L2920">
        <v>9</v>
      </c>
      <c r="M2920">
        <v>120.02000000000001</v>
      </c>
      <c r="N2920">
        <v>13.5</v>
      </c>
      <c r="Q2920">
        <v>106.52000000000001</v>
      </c>
      <c r="R2920" t="s">
        <v>1964</v>
      </c>
      <c r="V2920">
        <v>0</v>
      </c>
      <c r="W2920">
        <v>0</v>
      </c>
      <c r="AF2920">
        <v>0</v>
      </c>
      <c r="AG2920">
        <v>0</v>
      </c>
      <c r="AH2920">
        <v>0</v>
      </c>
      <c r="AI2920">
        <v>12</v>
      </c>
      <c r="AJ2920">
        <v>12</v>
      </c>
      <c r="AM2920">
        <v>0</v>
      </c>
      <c r="AN2920">
        <v>125.02</v>
      </c>
      <c r="AP2920">
        <v>55</v>
      </c>
      <c r="AQ2920">
        <v>55</v>
      </c>
    </row>
    <row r="2921" spans="1:43" x14ac:dyDescent="0.25">
      <c r="A2921" t="s">
        <v>45</v>
      </c>
      <c r="B2921">
        <v>2</v>
      </c>
      <c r="C2921" t="s">
        <v>1906</v>
      </c>
      <c r="D2921" s="39">
        <v>46037</v>
      </c>
      <c r="E2921" t="s">
        <v>486</v>
      </c>
      <c r="F2921" t="s">
        <v>79</v>
      </c>
      <c r="G2921">
        <v>4</v>
      </c>
      <c r="H2921" t="s">
        <v>113</v>
      </c>
      <c r="I2921" t="s">
        <v>79</v>
      </c>
      <c r="J2921">
        <v>1000</v>
      </c>
      <c r="K2921" t="s">
        <v>79</v>
      </c>
      <c r="L2921">
        <v>9</v>
      </c>
      <c r="M2921">
        <v>159.22</v>
      </c>
      <c r="N2921">
        <v>1.8</v>
      </c>
      <c r="Q2921">
        <v>157.41999999999999</v>
      </c>
      <c r="R2921" t="s">
        <v>1907</v>
      </c>
      <c r="V2921">
        <v>0</v>
      </c>
      <c r="W2921">
        <v>0</v>
      </c>
      <c r="AF2921">
        <v>0</v>
      </c>
      <c r="AG2921">
        <v>0</v>
      </c>
      <c r="AH2921">
        <v>0</v>
      </c>
      <c r="AI2921">
        <v>12</v>
      </c>
      <c r="AJ2921">
        <v>12</v>
      </c>
      <c r="AM2921">
        <v>0</v>
      </c>
      <c r="AN2921">
        <v>164.22</v>
      </c>
      <c r="AP2921">
        <v>55</v>
      </c>
      <c r="AQ2921">
        <v>55</v>
      </c>
    </row>
    <row r="2922" spans="1:43" x14ac:dyDescent="0.25">
      <c r="A2922" t="s">
        <v>45</v>
      </c>
      <c r="B2922">
        <v>3</v>
      </c>
      <c r="C2922" t="s">
        <v>1893</v>
      </c>
      <c r="D2922" s="39">
        <v>46037</v>
      </c>
      <c r="E2922" t="s">
        <v>420</v>
      </c>
      <c r="F2922" t="s">
        <v>79</v>
      </c>
      <c r="G2922">
        <v>8</v>
      </c>
      <c r="H2922" t="s">
        <v>944</v>
      </c>
      <c r="I2922" t="s">
        <v>79</v>
      </c>
      <c r="J2922">
        <v>100</v>
      </c>
      <c r="K2922" t="s">
        <v>79</v>
      </c>
      <c r="L2922">
        <v>2</v>
      </c>
      <c r="M2922">
        <v>75.44</v>
      </c>
      <c r="N2922">
        <v>2.15</v>
      </c>
      <c r="Q2922">
        <v>73.289999999999992</v>
      </c>
      <c r="R2922" t="s">
        <v>1894</v>
      </c>
      <c r="V2922">
        <v>0</v>
      </c>
      <c r="W2922">
        <v>0</v>
      </c>
      <c r="AF2922">
        <v>0</v>
      </c>
      <c r="AG2922">
        <v>0</v>
      </c>
      <c r="AH2922">
        <v>0</v>
      </c>
      <c r="AI2922">
        <v>12</v>
      </c>
      <c r="AJ2922">
        <v>12</v>
      </c>
      <c r="AM2922">
        <v>0</v>
      </c>
      <c r="AN2922">
        <v>80.44</v>
      </c>
      <c r="AP2922">
        <v>55</v>
      </c>
      <c r="AQ2922">
        <v>55</v>
      </c>
    </row>
    <row r="2923" spans="1:43" x14ac:dyDescent="0.25">
      <c r="A2923" t="s">
        <v>45</v>
      </c>
      <c r="B2923">
        <v>3</v>
      </c>
      <c r="C2923" t="s">
        <v>1908</v>
      </c>
      <c r="D2923" s="39">
        <v>46037</v>
      </c>
      <c r="E2923" t="s">
        <v>420</v>
      </c>
      <c r="F2923" t="s">
        <v>79</v>
      </c>
      <c r="G2923">
        <v>9</v>
      </c>
      <c r="H2923" t="s">
        <v>944</v>
      </c>
      <c r="I2923" t="s">
        <v>79</v>
      </c>
      <c r="J2923">
        <v>100</v>
      </c>
      <c r="K2923" t="s">
        <v>79</v>
      </c>
      <c r="L2923">
        <v>4</v>
      </c>
      <c r="M2923">
        <v>106.50999999999999</v>
      </c>
      <c r="N2923">
        <v>4.8</v>
      </c>
      <c r="Q2923">
        <v>101.71</v>
      </c>
      <c r="R2923" t="s">
        <v>1909</v>
      </c>
      <c r="V2923">
        <v>0</v>
      </c>
      <c r="W2923">
        <v>0</v>
      </c>
      <c r="AF2923">
        <v>0</v>
      </c>
      <c r="AG2923">
        <v>0</v>
      </c>
      <c r="AH2923">
        <v>0</v>
      </c>
      <c r="AI2923">
        <v>12</v>
      </c>
      <c r="AJ2923">
        <v>12</v>
      </c>
      <c r="AM2923">
        <v>0</v>
      </c>
      <c r="AN2923">
        <v>111.51</v>
      </c>
      <c r="AP2923">
        <v>55</v>
      </c>
      <c r="AQ2923">
        <v>55</v>
      </c>
    </row>
    <row r="2924" spans="1:43" x14ac:dyDescent="0.25">
      <c r="A2924" t="s">
        <v>45</v>
      </c>
      <c r="B2924">
        <v>3</v>
      </c>
      <c r="C2924" t="s">
        <v>1910</v>
      </c>
      <c r="D2924" s="39">
        <v>46037</v>
      </c>
      <c r="E2924" t="s">
        <v>401</v>
      </c>
      <c r="F2924" t="s">
        <v>79</v>
      </c>
      <c r="G2924">
        <v>9</v>
      </c>
      <c r="H2924" t="s">
        <v>1049</v>
      </c>
      <c r="I2924" t="s">
        <v>79</v>
      </c>
      <c r="J2924">
        <v>100</v>
      </c>
      <c r="K2924" t="s">
        <v>79</v>
      </c>
      <c r="L2924">
        <v>2</v>
      </c>
      <c r="M2924">
        <v>63.55</v>
      </c>
      <c r="N2924">
        <v>3.5999999999999996</v>
      </c>
      <c r="Q2924">
        <v>59.949999999999996</v>
      </c>
      <c r="R2924" t="s">
        <v>1911</v>
      </c>
      <c r="V2924">
        <v>0</v>
      </c>
      <c r="W2924">
        <v>0</v>
      </c>
      <c r="AF2924">
        <v>0</v>
      </c>
      <c r="AG2924">
        <v>0</v>
      </c>
      <c r="AH2924">
        <v>0</v>
      </c>
      <c r="AI2924">
        <v>12</v>
      </c>
      <c r="AJ2924">
        <v>12</v>
      </c>
      <c r="AM2924">
        <v>0</v>
      </c>
      <c r="AN2924">
        <v>68.55</v>
      </c>
      <c r="AP2924">
        <v>55</v>
      </c>
      <c r="AQ2924">
        <v>55</v>
      </c>
    </row>
    <row r="2925" spans="1:43" x14ac:dyDescent="0.25">
      <c r="A2925" t="s">
        <v>45</v>
      </c>
      <c r="B2925">
        <v>3</v>
      </c>
      <c r="C2925" t="s">
        <v>1912</v>
      </c>
      <c r="D2925" s="39">
        <v>46037</v>
      </c>
      <c r="E2925" t="s">
        <v>420</v>
      </c>
      <c r="F2925" t="s">
        <v>79</v>
      </c>
      <c r="G2925">
        <v>9</v>
      </c>
      <c r="H2925" t="s">
        <v>123</v>
      </c>
      <c r="I2925" t="s">
        <v>79</v>
      </c>
      <c r="J2925">
        <v>100</v>
      </c>
      <c r="K2925" t="s">
        <v>79</v>
      </c>
      <c r="L2925">
        <v>1</v>
      </c>
      <c r="M2925">
        <v>28.44</v>
      </c>
      <c r="N2925">
        <v>1.2</v>
      </c>
      <c r="Q2925">
        <v>27.240000000000002</v>
      </c>
      <c r="R2925" t="s">
        <v>1913</v>
      </c>
      <c r="S2925">
        <v>20</v>
      </c>
      <c r="V2925">
        <v>20</v>
      </c>
      <c r="W2925">
        <v>0.33333333333333331</v>
      </c>
      <c r="AF2925">
        <v>0</v>
      </c>
      <c r="AG2925">
        <v>0</v>
      </c>
      <c r="AH2925">
        <v>0.33333333333333331</v>
      </c>
      <c r="AI2925">
        <v>11.666666666666666</v>
      </c>
      <c r="AJ2925">
        <v>12</v>
      </c>
      <c r="AM2925">
        <v>0</v>
      </c>
      <c r="AN2925">
        <v>33.44</v>
      </c>
      <c r="AP2925">
        <v>55</v>
      </c>
      <c r="AQ2925">
        <v>55</v>
      </c>
    </row>
    <row r="2926" spans="1:43" x14ac:dyDescent="0.25">
      <c r="A2926" t="s">
        <v>45</v>
      </c>
      <c r="B2926">
        <v>3</v>
      </c>
      <c r="C2926" t="s">
        <v>1912</v>
      </c>
      <c r="D2926" s="39">
        <v>46037</v>
      </c>
      <c r="E2926" t="s">
        <v>420</v>
      </c>
      <c r="F2926" t="s">
        <v>79</v>
      </c>
      <c r="G2926">
        <v>9</v>
      </c>
      <c r="H2926" t="s">
        <v>123</v>
      </c>
      <c r="I2926" t="s">
        <v>79</v>
      </c>
      <c r="J2926">
        <v>100</v>
      </c>
      <c r="K2926" t="s">
        <v>79</v>
      </c>
      <c r="L2926">
        <v>3</v>
      </c>
      <c r="M2926">
        <v>79.740000000000009</v>
      </c>
      <c r="N2926">
        <v>2.7</v>
      </c>
      <c r="Q2926">
        <v>77.040000000000006</v>
      </c>
      <c r="R2926" t="s">
        <v>1913</v>
      </c>
      <c r="V2926">
        <v>0</v>
      </c>
      <c r="W2926">
        <v>0</v>
      </c>
      <c r="AF2926">
        <v>0</v>
      </c>
      <c r="AG2926">
        <v>0</v>
      </c>
      <c r="AH2926">
        <v>0</v>
      </c>
      <c r="AI2926">
        <v>12</v>
      </c>
      <c r="AJ2926">
        <v>12</v>
      </c>
      <c r="AM2926">
        <v>0</v>
      </c>
      <c r="AN2926">
        <v>84.740000000000009</v>
      </c>
      <c r="AP2926">
        <v>55</v>
      </c>
      <c r="AQ2926">
        <v>55</v>
      </c>
    </row>
    <row r="2927" spans="1:43" x14ac:dyDescent="0.25">
      <c r="A2927" t="s">
        <v>46</v>
      </c>
      <c r="B2927">
        <v>3</v>
      </c>
      <c r="C2927" t="s">
        <v>1914</v>
      </c>
      <c r="D2927" s="39">
        <v>46037</v>
      </c>
      <c r="E2927" t="s">
        <v>1446</v>
      </c>
      <c r="F2927" t="s">
        <v>79</v>
      </c>
      <c r="G2927">
        <v>15</v>
      </c>
      <c r="H2927" t="s">
        <v>102</v>
      </c>
      <c r="I2927" t="s">
        <v>79</v>
      </c>
      <c r="J2927">
        <v>300</v>
      </c>
      <c r="K2927" t="s">
        <v>79</v>
      </c>
      <c r="L2927">
        <v>4</v>
      </c>
      <c r="M2927">
        <v>193.45</v>
      </c>
      <c r="N2927">
        <v>6</v>
      </c>
      <c r="Q2927">
        <v>187.45</v>
      </c>
      <c r="R2927" t="s">
        <v>1915</v>
      </c>
      <c r="S2927">
        <v>30</v>
      </c>
      <c r="V2927">
        <v>30</v>
      </c>
      <c r="W2927">
        <v>0.5</v>
      </c>
      <c r="AF2927">
        <v>0</v>
      </c>
      <c r="AG2927">
        <v>0</v>
      </c>
      <c r="AH2927">
        <v>0.5</v>
      </c>
      <c r="AI2927">
        <v>11.5</v>
      </c>
      <c r="AJ2927">
        <v>12</v>
      </c>
      <c r="AM2927">
        <v>0</v>
      </c>
      <c r="AN2927">
        <v>198.45</v>
      </c>
      <c r="AP2927">
        <v>55</v>
      </c>
      <c r="AQ2927">
        <v>55</v>
      </c>
    </row>
    <row r="2928" spans="1:43" x14ac:dyDescent="0.25">
      <c r="A2928" t="s">
        <v>46</v>
      </c>
      <c r="B2928">
        <v>3</v>
      </c>
      <c r="C2928" t="s">
        <v>485</v>
      </c>
      <c r="D2928" s="39">
        <v>46037</v>
      </c>
      <c r="E2928" t="s">
        <v>486</v>
      </c>
      <c r="F2928" t="s">
        <v>79</v>
      </c>
      <c r="G2928">
        <v>10</v>
      </c>
      <c r="H2928">
        <v>5</v>
      </c>
      <c r="I2928" t="s">
        <v>79</v>
      </c>
      <c r="J2928">
        <v>2000</v>
      </c>
      <c r="K2928" t="s">
        <v>79</v>
      </c>
      <c r="L2928">
        <v>1</v>
      </c>
      <c r="M2928">
        <v>31.55</v>
      </c>
      <c r="N2928">
        <v>1</v>
      </c>
      <c r="Q2928">
        <v>30.55</v>
      </c>
      <c r="R2928" t="s">
        <v>1916</v>
      </c>
      <c r="S2928">
        <v>30</v>
      </c>
      <c r="V2928">
        <v>30</v>
      </c>
      <c r="W2928">
        <v>0.5</v>
      </c>
      <c r="AF2928">
        <v>0</v>
      </c>
      <c r="AG2928">
        <v>0</v>
      </c>
      <c r="AH2928">
        <v>0.5</v>
      </c>
      <c r="AI2928">
        <v>11.5</v>
      </c>
      <c r="AJ2928">
        <v>12</v>
      </c>
      <c r="AM2928">
        <v>0</v>
      </c>
      <c r="AN2928">
        <v>36.549999999999997</v>
      </c>
      <c r="AP2928">
        <v>55</v>
      </c>
      <c r="AQ2928">
        <v>55</v>
      </c>
    </row>
    <row r="2929" spans="1:43" x14ac:dyDescent="0.25">
      <c r="A2929" t="s">
        <v>45</v>
      </c>
      <c r="B2929">
        <v>4</v>
      </c>
      <c r="C2929" t="s">
        <v>1899</v>
      </c>
      <c r="D2929" s="39">
        <v>46037</v>
      </c>
      <c r="E2929" t="s">
        <v>276</v>
      </c>
      <c r="F2929" t="s">
        <v>79</v>
      </c>
      <c r="G2929">
        <v>20</v>
      </c>
      <c r="H2929" t="s">
        <v>113</v>
      </c>
      <c r="I2929" t="s">
        <v>79</v>
      </c>
      <c r="J2929" t="s">
        <v>81</v>
      </c>
      <c r="K2929" t="s">
        <v>79</v>
      </c>
      <c r="L2929">
        <v>14</v>
      </c>
      <c r="M2929">
        <v>834.9899999999999</v>
      </c>
      <c r="N2929">
        <v>41.6</v>
      </c>
      <c r="O2929">
        <v>32</v>
      </c>
      <c r="Q2929">
        <v>793.38999999999987</v>
      </c>
      <c r="R2929" t="s">
        <v>1965</v>
      </c>
      <c r="V2929">
        <v>0</v>
      </c>
      <c r="W2929">
        <v>0</v>
      </c>
      <c r="AF2929">
        <v>0</v>
      </c>
      <c r="AG2929">
        <v>0</v>
      </c>
      <c r="AH2929">
        <v>0</v>
      </c>
      <c r="AI2929">
        <v>12</v>
      </c>
      <c r="AJ2929">
        <v>12</v>
      </c>
      <c r="AM2929">
        <v>0</v>
      </c>
      <c r="AN2929">
        <v>839.9899999999999</v>
      </c>
      <c r="AP2929">
        <v>55</v>
      </c>
      <c r="AQ2929">
        <v>55</v>
      </c>
    </row>
    <row r="2930" spans="1:43" x14ac:dyDescent="0.25">
      <c r="A2930" t="s">
        <v>46</v>
      </c>
      <c r="B2930">
        <v>4</v>
      </c>
      <c r="C2930" t="s">
        <v>1899</v>
      </c>
      <c r="D2930" s="39">
        <v>46037</v>
      </c>
      <c r="E2930" t="s">
        <v>276</v>
      </c>
      <c r="F2930" t="s">
        <v>79</v>
      </c>
      <c r="G2930">
        <v>20</v>
      </c>
      <c r="H2930" t="s">
        <v>113</v>
      </c>
      <c r="I2930" t="s">
        <v>79</v>
      </c>
      <c r="J2930" t="s">
        <v>81</v>
      </c>
      <c r="K2930" t="s">
        <v>79</v>
      </c>
      <c r="L2930">
        <v>2</v>
      </c>
      <c r="M2930">
        <v>127.14</v>
      </c>
      <c r="N2930">
        <v>4</v>
      </c>
      <c r="O2930">
        <v>33</v>
      </c>
      <c r="Q2930">
        <v>123.14</v>
      </c>
      <c r="R2930" t="s">
        <v>1965</v>
      </c>
      <c r="S2930">
        <v>45</v>
      </c>
      <c r="V2930">
        <v>45</v>
      </c>
      <c r="W2930">
        <v>0.75</v>
      </c>
      <c r="AF2930">
        <v>0</v>
      </c>
      <c r="AG2930">
        <v>0</v>
      </c>
      <c r="AH2930">
        <v>0.75</v>
      </c>
      <c r="AI2930">
        <v>11.25</v>
      </c>
      <c r="AJ2930">
        <v>12</v>
      </c>
      <c r="AM2930">
        <v>0</v>
      </c>
      <c r="AN2930">
        <v>132.13999999999999</v>
      </c>
      <c r="AP2930">
        <v>55</v>
      </c>
      <c r="AQ2930">
        <v>55</v>
      </c>
    </row>
    <row r="2931" spans="1:43" x14ac:dyDescent="0.25">
      <c r="A2931" t="s">
        <v>46</v>
      </c>
      <c r="B2931">
        <v>4</v>
      </c>
      <c r="C2931" t="s">
        <v>1917</v>
      </c>
      <c r="D2931" s="39">
        <v>46037</v>
      </c>
      <c r="E2931" t="s">
        <v>1853</v>
      </c>
      <c r="F2931" t="s">
        <v>79</v>
      </c>
      <c r="G2931" t="s">
        <v>1918</v>
      </c>
      <c r="H2931" t="s">
        <v>1854</v>
      </c>
      <c r="I2931" t="s">
        <v>79</v>
      </c>
      <c r="J2931">
        <v>100</v>
      </c>
      <c r="K2931" t="s">
        <v>79</v>
      </c>
      <c r="L2931">
        <v>8</v>
      </c>
      <c r="M2931">
        <v>248.99</v>
      </c>
      <c r="N2931">
        <v>16</v>
      </c>
      <c r="Q2931">
        <v>232.99</v>
      </c>
      <c r="R2931" t="s">
        <v>1919</v>
      </c>
      <c r="V2931">
        <v>0</v>
      </c>
      <c r="W2931">
        <v>0</v>
      </c>
      <c r="AF2931">
        <v>0</v>
      </c>
      <c r="AG2931">
        <v>0</v>
      </c>
      <c r="AH2931">
        <v>0</v>
      </c>
      <c r="AI2931">
        <v>12</v>
      </c>
      <c r="AJ2931">
        <v>12</v>
      </c>
      <c r="AM2931">
        <v>0</v>
      </c>
      <c r="AN2931">
        <v>253.99</v>
      </c>
      <c r="AP2931">
        <v>55</v>
      </c>
      <c r="AQ2931">
        <v>55</v>
      </c>
    </row>
    <row r="2932" spans="1:43" x14ac:dyDescent="0.25">
      <c r="A2932" t="s">
        <v>46</v>
      </c>
      <c r="B2932">
        <v>4</v>
      </c>
      <c r="C2932" t="s">
        <v>1920</v>
      </c>
      <c r="D2932" s="39">
        <v>46037</v>
      </c>
      <c r="E2932" t="s">
        <v>400</v>
      </c>
      <c r="F2932" t="s">
        <v>79</v>
      </c>
      <c r="G2932">
        <v>20</v>
      </c>
      <c r="H2932">
        <v>10</v>
      </c>
      <c r="I2932" t="s">
        <v>79</v>
      </c>
      <c r="J2932">
        <v>260</v>
      </c>
      <c r="K2932" t="s">
        <v>79</v>
      </c>
      <c r="L2932">
        <v>5</v>
      </c>
      <c r="M2932">
        <v>274.01</v>
      </c>
      <c r="N2932">
        <v>10</v>
      </c>
      <c r="Q2932">
        <v>264.01</v>
      </c>
      <c r="R2932" t="s">
        <v>1921</v>
      </c>
      <c r="V2932">
        <v>0</v>
      </c>
      <c r="W2932">
        <v>0</v>
      </c>
      <c r="AF2932">
        <v>0</v>
      </c>
      <c r="AG2932">
        <v>0</v>
      </c>
      <c r="AH2932">
        <v>0</v>
      </c>
      <c r="AI2932">
        <v>12</v>
      </c>
      <c r="AJ2932">
        <v>12</v>
      </c>
      <c r="AM2932">
        <v>0</v>
      </c>
      <c r="AN2932">
        <v>279.01</v>
      </c>
      <c r="AP2932">
        <v>55</v>
      </c>
      <c r="AQ2932">
        <v>55</v>
      </c>
    </row>
    <row r="2933" spans="1:43" x14ac:dyDescent="0.25">
      <c r="A2933" t="s">
        <v>45</v>
      </c>
      <c r="B2933">
        <v>5</v>
      </c>
      <c r="C2933" t="s">
        <v>1922</v>
      </c>
      <c r="D2933" s="39">
        <v>46037</v>
      </c>
      <c r="E2933" t="s">
        <v>674</v>
      </c>
      <c r="F2933" t="s">
        <v>79</v>
      </c>
      <c r="G2933">
        <v>10</v>
      </c>
      <c r="H2933" t="s">
        <v>534</v>
      </c>
      <c r="I2933" t="s">
        <v>79</v>
      </c>
      <c r="J2933">
        <v>375</v>
      </c>
      <c r="K2933" t="s">
        <v>79</v>
      </c>
      <c r="L2933">
        <v>5</v>
      </c>
      <c r="M2933">
        <v>295.73</v>
      </c>
      <c r="N2933">
        <v>11</v>
      </c>
      <c r="Q2933">
        <v>284.73</v>
      </c>
      <c r="R2933" t="s">
        <v>1923</v>
      </c>
      <c r="V2933">
        <v>0</v>
      </c>
      <c r="W2933">
        <v>0</v>
      </c>
      <c r="AF2933">
        <v>0</v>
      </c>
      <c r="AG2933">
        <v>0</v>
      </c>
      <c r="AH2933">
        <v>0</v>
      </c>
      <c r="AI2933">
        <v>12</v>
      </c>
      <c r="AJ2933">
        <v>12</v>
      </c>
      <c r="AM2933">
        <v>0</v>
      </c>
      <c r="AN2933">
        <v>300.73</v>
      </c>
      <c r="AP2933">
        <v>55</v>
      </c>
      <c r="AQ2933">
        <v>55</v>
      </c>
    </row>
    <row r="2934" spans="1:43" x14ac:dyDescent="0.25">
      <c r="A2934" t="s">
        <v>45</v>
      </c>
      <c r="B2934">
        <v>5</v>
      </c>
      <c r="C2934" t="s">
        <v>1924</v>
      </c>
      <c r="D2934" s="39">
        <v>46037</v>
      </c>
      <c r="E2934" t="s">
        <v>730</v>
      </c>
      <c r="F2934" t="s">
        <v>79</v>
      </c>
      <c r="G2934">
        <v>12</v>
      </c>
      <c r="H2934" t="s">
        <v>1049</v>
      </c>
      <c r="I2934" t="s">
        <v>79</v>
      </c>
      <c r="J2934">
        <v>400</v>
      </c>
      <c r="K2934" t="s">
        <v>79</v>
      </c>
      <c r="L2934">
        <v>5</v>
      </c>
      <c r="M2934">
        <v>210.82000000000002</v>
      </c>
      <c r="N2934">
        <v>7.5</v>
      </c>
      <c r="O2934">
        <v>3</v>
      </c>
      <c r="Q2934">
        <v>203.32000000000002</v>
      </c>
      <c r="R2934" t="s">
        <v>1925</v>
      </c>
      <c r="S2934">
        <v>30</v>
      </c>
      <c r="V2934">
        <v>30</v>
      </c>
      <c r="W2934">
        <v>0.5</v>
      </c>
      <c r="AF2934">
        <v>0</v>
      </c>
      <c r="AG2934">
        <v>0</v>
      </c>
      <c r="AH2934">
        <v>0.5</v>
      </c>
      <c r="AI2934">
        <v>11.5</v>
      </c>
      <c r="AJ2934">
        <v>12</v>
      </c>
      <c r="AM2934">
        <v>0</v>
      </c>
      <c r="AN2934">
        <v>215.82</v>
      </c>
      <c r="AP2934">
        <v>55</v>
      </c>
      <c r="AQ2934">
        <v>55</v>
      </c>
    </row>
    <row r="2935" spans="1:43" x14ac:dyDescent="0.25">
      <c r="A2935" t="s">
        <v>46</v>
      </c>
      <c r="B2935">
        <v>5</v>
      </c>
      <c r="C2935" t="s">
        <v>1926</v>
      </c>
      <c r="D2935" s="39">
        <v>46037</v>
      </c>
      <c r="E2935" t="s">
        <v>1446</v>
      </c>
      <c r="F2935" t="s">
        <v>79</v>
      </c>
      <c r="G2935">
        <v>12</v>
      </c>
      <c r="H2935" t="s">
        <v>102</v>
      </c>
      <c r="I2935" t="s">
        <v>79</v>
      </c>
      <c r="J2935">
        <v>300</v>
      </c>
      <c r="K2935" t="s">
        <v>79</v>
      </c>
      <c r="L2935">
        <v>10</v>
      </c>
      <c r="M2935">
        <v>580.89</v>
      </c>
      <c r="N2935">
        <v>12</v>
      </c>
      <c r="O2935">
        <v>3</v>
      </c>
      <c r="Q2935">
        <v>568.89</v>
      </c>
      <c r="R2935" t="s">
        <v>1927</v>
      </c>
      <c r="V2935">
        <v>0</v>
      </c>
      <c r="W2935">
        <v>0</v>
      </c>
      <c r="AF2935">
        <v>0</v>
      </c>
      <c r="AG2935">
        <v>0</v>
      </c>
      <c r="AH2935">
        <v>0</v>
      </c>
      <c r="AI2935">
        <v>12</v>
      </c>
      <c r="AJ2935">
        <v>12</v>
      </c>
      <c r="AM2935">
        <v>0</v>
      </c>
      <c r="AN2935">
        <v>585.89</v>
      </c>
      <c r="AP2935">
        <v>55</v>
      </c>
      <c r="AQ2935">
        <v>55</v>
      </c>
    </row>
    <row r="2936" spans="1:43" x14ac:dyDescent="0.25">
      <c r="A2936" t="s">
        <v>45</v>
      </c>
      <c r="B2936">
        <v>1</v>
      </c>
      <c r="C2936" t="s">
        <v>1890</v>
      </c>
      <c r="D2936" s="39">
        <v>46038</v>
      </c>
      <c r="E2936" t="s">
        <v>486</v>
      </c>
      <c r="F2936" t="s">
        <v>79</v>
      </c>
      <c r="G2936">
        <v>2.5</v>
      </c>
      <c r="H2936" t="s">
        <v>92</v>
      </c>
      <c r="I2936" t="s">
        <v>79</v>
      </c>
      <c r="J2936">
        <v>1000</v>
      </c>
      <c r="K2936" t="s">
        <v>79</v>
      </c>
      <c r="L2936">
        <v>6</v>
      </c>
      <c r="M2936">
        <v>83.070000000000007</v>
      </c>
      <c r="N2936">
        <v>1.5</v>
      </c>
      <c r="Q2936">
        <v>81.570000000000007</v>
      </c>
      <c r="R2936" t="s">
        <v>1964</v>
      </c>
      <c r="T2936">
        <v>225</v>
      </c>
      <c r="V2936">
        <v>225</v>
      </c>
      <c r="W2936">
        <v>3.75</v>
      </c>
      <c r="AF2936">
        <v>0</v>
      </c>
      <c r="AG2936">
        <v>0</v>
      </c>
      <c r="AH2936">
        <v>3.75</v>
      </c>
      <c r="AI2936">
        <v>8.25</v>
      </c>
      <c r="AJ2936">
        <v>12</v>
      </c>
      <c r="AM2936">
        <v>0</v>
      </c>
      <c r="AN2936">
        <v>88.07</v>
      </c>
      <c r="AP2936">
        <v>55</v>
      </c>
      <c r="AQ2936">
        <v>55</v>
      </c>
    </row>
    <row r="2937" spans="1:43" x14ac:dyDescent="0.25">
      <c r="A2937" t="s">
        <v>46</v>
      </c>
      <c r="B2937">
        <v>1</v>
      </c>
      <c r="C2937" t="s">
        <v>1890</v>
      </c>
      <c r="D2937" s="39">
        <v>46038</v>
      </c>
      <c r="E2937" t="s">
        <v>486</v>
      </c>
      <c r="F2937" t="s">
        <v>79</v>
      </c>
      <c r="G2937">
        <v>2.5</v>
      </c>
      <c r="H2937" t="s">
        <v>92</v>
      </c>
      <c r="I2937" t="s">
        <v>79</v>
      </c>
      <c r="J2937">
        <v>1000</v>
      </c>
      <c r="K2937" t="s">
        <v>79</v>
      </c>
      <c r="L2937">
        <v>10</v>
      </c>
      <c r="M2937">
        <v>131.47</v>
      </c>
      <c r="N2937">
        <v>2.5</v>
      </c>
      <c r="Q2937">
        <v>128.97</v>
      </c>
      <c r="R2937" t="s">
        <v>1964</v>
      </c>
      <c r="V2937">
        <v>0</v>
      </c>
      <c r="W2937">
        <v>0</v>
      </c>
      <c r="AF2937">
        <v>0</v>
      </c>
      <c r="AG2937">
        <v>0</v>
      </c>
      <c r="AH2937">
        <v>0</v>
      </c>
      <c r="AI2937">
        <v>12</v>
      </c>
      <c r="AJ2937">
        <v>12</v>
      </c>
      <c r="AM2937">
        <v>0</v>
      </c>
      <c r="AN2937">
        <v>136.47</v>
      </c>
      <c r="AP2937">
        <v>55</v>
      </c>
      <c r="AQ2937">
        <v>55</v>
      </c>
    </row>
    <row r="2938" spans="1:43" x14ac:dyDescent="0.25">
      <c r="A2938" t="s">
        <v>45</v>
      </c>
      <c r="B2938">
        <v>2</v>
      </c>
      <c r="C2938" t="s">
        <v>1928</v>
      </c>
      <c r="D2938" s="39">
        <v>46038</v>
      </c>
      <c r="E2938" t="s">
        <v>486</v>
      </c>
      <c r="F2938" t="s">
        <v>79</v>
      </c>
      <c r="G2938">
        <v>4</v>
      </c>
      <c r="H2938" t="s">
        <v>113</v>
      </c>
      <c r="I2938" t="s">
        <v>79</v>
      </c>
      <c r="J2938">
        <v>1000</v>
      </c>
      <c r="K2938" t="s">
        <v>79</v>
      </c>
      <c r="L2938">
        <v>7</v>
      </c>
      <c r="M2938">
        <v>119.77</v>
      </c>
      <c r="N2938">
        <v>2.8000000000000003</v>
      </c>
      <c r="Q2938">
        <v>116.97</v>
      </c>
      <c r="R2938" t="s">
        <v>1966</v>
      </c>
      <c r="T2938">
        <v>210</v>
      </c>
      <c r="V2938">
        <v>210</v>
      </c>
      <c r="W2938">
        <v>3.5</v>
      </c>
      <c r="AF2938">
        <v>0</v>
      </c>
      <c r="AG2938">
        <v>0</v>
      </c>
      <c r="AH2938">
        <v>3.5</v>
      </c>
      <c r="AI2938">
        <v>8.5</v>
      </c>
      <c r="AJ2938">
        <v>12</v>
      </c>
      <c r="AM2938">
        <v>0</v>
      </c>
      <c r="AN2938">
        <v>124.77</v>
      </c>
      <c r="AP2938">
        <v>55</v>
      </c>
      <c r="AQ2938">
        <v>55</v>
      </c>
    </row>
    <row r="2939" spans="1:43" x14ac:dyDescent="0.25">
      <c r="A2939" t="s">
        <v>46</v>
      </c>
      <c r="B2939">
        <v>2</v>
      </c>
      <c r="C2939" t="s">
        <v>1928</v>
      </c>
      <c r="D2939" s="39">
        <v>46038</v>
      </c>
      <c r="E2939" t="s">
        <v>486</v>
      </c>
      <c r="F2939" t="s">
        <v>79</v>
      </c>
      <c r="G2939">
        <v>4</v>
      </c>
      <c r="H2939" t="s">
        <v>113</v>
      </c>
      <c r="I2939" t="s">
        <v>79</v>
      </c>
      <c r="J2939">
        <v>1000</v>
      </c>
      <c r="K2939" t="s">
        <v>79</v>
      </c>
      <c r="L2939">
        <v>10</v>
      </c>
      <c r="M2939">
        <v>161.66999999999999</v>
      </c>
      <c r="N2939">
        <v>4</v>
      </c>
      <c r="Q2939">
        <v>157.66999999999999</v>
      </c>
      <c r="R2939" t="s">
        <v>1966</v>
      </c>
      <c r="V2939">
        <v>0</v>
      </c>
      <c r="W2939">
        <v>0</v>
      </c>
      <c r="AF2939">
        <v>0</v>
      </c>
      <c r="AG2939">
        <v>0</v>
      </c>
      <c r="AH2939">
        <v>0</v>
      </c>
      <c r="AI2939">
        <v>12</v>
      </c>
      <c r="AJ2939">
        <v>12</v>
      </c>
      <c r="AM2939">
        <v>0</v>
      </c>
      <c r="AN2939">
        <v>166.67</v>
      </c>
      <c r="AP2939">
        <v>55</v>
      </c>
      <c r="AQ2939">
        <v>55</v>
      </c>
    </row>
    <row r="2940" spans="1:43" x14ac:dyDescent="0.25">
      <c r="A2940" t="s">
        <v>45</v>
      </c>
      <c r="B2940">
        <v>3</v>
      </c>
      <c r="C2940" t="s">
        <v>1914</v>
      </c>
      <c r="D2940" s="39">
        <v>46038</v>
      </c>
      <c r="E2940" t="s">
        <v>1446</v>
      </c>
      <c r="F2940" t="s">
        <v>79</v>
      </c>
      <c r="G2940">
        <v>15</v>
      </c>
      <c r="H2940" t="s">
        <v>102</v>
      </c>
      <c r="I2940" t="s">
        <v>79</v>
      </c>
      <c r="J2940">
        <v>300</v>
      </c>
      <c r="K2940" t="s">
        <v>79</v>
      </c>
      <c r="L2940">
        <v>2</v>
      </c>
      <c r="M2940">
        <v>116.96</v>
      </c>
      <c r="N2940">
        <v>3.6</v>
      </c>
      <c r="Q2940">
        <v>113.36</v>
      </c>
      <c r="R2940" t="s">
        <v>1915</v>
      </c>
      <c r="V2940">
        <v>0</v>
      </c>
      <c r="W2940">
        <v>0</v>
      </c>
      <c r="AF2940">
        <v>0</v>
      </c>
      <c r="AG2940">
        <v>0</v>
      </c>
      <c r="AH2940">
        <v>0</v>
      </c>
      <c r="AI2940">
        <v>12</v>
      </c>
      <c r="AJ2940">
        <v>12</v>
      </c>
      <c r="AM2940">
        <v>0</v>
      </c>
      <c r="AN2940">
        <v>121.96</v>
      </c>
      <c r="AP2940">
        <v>55</v>
      </c>
      <c r="AQ2940">
        <v>55</v>
      </c>
    </row>
    <row r="2941" spans="1:43" x14ac:dyDescent="0.25">
      <c r="A2941" t="s">
        <v>45</v>
      </c>
      <c r="B2941">
        <v>3</v>
      </c>
      <c r="C2941" t="s">
        <v>1929</v>
      </c>
      <c r="D2941" s="39">
        <v>46038</v>
      </c>
      <c r="E2941" t="s">
        <v>730</v>
      </c>
      <c r="F2941" t="s">
        <v>79</v>
      </c>
      <c r="G2941">
        <v>10</v>
      </c>
      <c r="H2941" t="s">
        <v>1049</v>
      </c>
      <c r="I2941" t="s">
        <v>79</v>
      </c>
      <c r="J2941">
        <v>100</v>
      </c>
      <c r="K2941" t="s">
        <v>79</v>
      </c>
      <c r="L2941">
        <v>4</v>
      </c>
      <c r="M2941">
        <v>133.44999999999999</v>
      </c>
      <c r="N2941">
        <v>5.6</v>
      </c>
      <c r="Q2941">
        <v>127.85</v>
      </c>
      <c r="R2941" t="s">
        <v>1930</v>
      </c>
      <c r="S2941">
        <v>20</v>
      </c>
      <c r="V2941">
        <v>20</v>
      </c>
      <c r="W2941">
        <v>0.33333333333333331</v>
      </c>
      <c r="AF2941">
        <v>0</v>
      </c>
      <c r="AG2941">
        <v>0</v>
      </c>
      <c r="AH2941">
        <v>0.33333333333333331</v>
      </c>
      <c r="AI2941">
        <v>11.666666666666666</v>
      </c>
      <c r="AJ2941">
        <v>12</v>
      </c>
      <c r="AM2941">
        <v>0</v>
      </c>
      <c r="AN2941">
        <v>138.44999999999999</v>
      </c>
      <c r="AP2941">
        <v>55</v>
      </c>
      <c r="AQ2941">
        <v>55</v>
      </c>
    </row>
    <row r="2942" spans="1:43" x14ac:dyDescent="0.25">
      <c r="A2942" t="s">
        <v>45</v>
      </c>
      <c r="B2942">
        <v>3</v>
      </c>
      <c r="C2942" t="s">
        <v>1931</v>
      </c>
      <c r="D2942" s="39">
        <v>46038</v>
      </c>
      <c r="E2942" t="s">
        <v>401</v>
      </c>
      <c r="F2942" t="s">
        <v>79</v>
      </c>
      <c r="G2942">
        <v>11</v>
      </c>
      <c r="H2942" t="s">
        <v>1049</v>
      </c>
      <c r="I2942" t="s">
        <v>79</v>
      </c>
      <c r="J2942">
        <v>100</v>
      </c>
      <c r="K2942" t="s">
        <v>79</v>
      </c>
      <c r="L2942">
        <v>1</v>
      </c>
      <c r="M2942">
        <v>30.58</v>
      </c>
      <c r="N2942">
        <v>1.1000000000000001</v>
      </c>
      <c r="Q2942">
        <v>29.479999999999997</v>
      </c>
      <c r="R2942" t="s">
        <v>1932</v>
      </c>
      <c r="S2942">
        <v>20</v>
      </c>
      <c r="V2942">
        <v>20</v>
      </c>
      <c r="W2942">
        <v>0.33333333333333331</v>
      </c>
      <c r="AF2942">
        <v>0</v>
      </c>
      <c r="AG2942">
        <v>0</v>
      </c>
      <c r="AH2942">
        <v>0.33333333333333331</v>
      </c>
      <c r="AI2942">
        <v>11.666666666666666</v>
      </c>
      <c r="AJ2942">
        <v>12</v>
      </c>
      <c r="AM2942">
        <v>0</v>
      </c>
      <c r="AN2942">
        <v>35.58</v>
      </c>
      <c r="AP2942">
        <v>55</v>
      </c>
      <c r="AQ2942">
        <v>55</v>
      </c>
    </row>
    <row r="2943" spans="1:43" x14ac:dyDescent="0.25">
      <c r="A2943" t="s">
        <v>46</v>
      </c>
      <c r="B2943">
        <v>3</v>
      </c>
      <c r="C2943" t="s">
        <v>1931</v>
      </c>
      <c r="D2943" s="39">
        <v>46038</v>
      </c>
      <c r="E2943" t="s">
        <v>401</v>
      </c>
      <c r="F2943" t="s">
        <v>79</v>
      </c>
      <c r="G2943">
        <v>11</v>
      </c>
      <c r="H2943" t="s">
        <v>1049</v>
      </c>
      <c r="I2943" t="s">
        <v>79</v>
      </c>
      <c r="J2943">
        <v>100</v>
      </c>
      <c r="K2943" t="s">
        <v>79</v>
      </c>
      <c r="L2943">
        <v>3</v>
      </c>
      <c r="M2943">
        <v>95.960000000000008</v>
      </c>
      <c r="N2943">
        <v>3.3000000000000003</v>
      </c>
      <c r="Q2943">
        <v>92.660000000000011</v>
      </c>
      <c r="R2943" t="s">
        <v>1932</v>
      </c>
      <c r="V2943">
        <v>0</v>
      </c>
      <c r="W2943">
        <v>0</v>
      </c>
      <c r="AF2943">
        <v>0</v>
      </c>
      <c r="AG2943">
        <v>0</v>
      </c>
      <c r="AH2943">
        <v>0</v>
      </c>
      <c r="AI2943">
        <v>12</v>
      </c>
      <c r="AJ2943">
        <v>12</v>
      </c>
      <c r="AM2943">
        <v>0</v>
      </c>
      <c r="AN2943">
        <v>100.96</v>
      </c>
      <c r="AP2943">
        <v>55</v>
      </c>
      <c r="AQ2943">
        <v>55</v>
      </c>
    </row>
    <row r="2944" spans="1:43" x14ac:dyDescent="0.25">
      <c r="A2944" t="s">
        <v>46</v>
      </c>
      <c r="B2944">
        <v>3</v>
      </c>
      <c r="C2944" t="s">
        <v>1933</v>
      </c>
      <c r="D2944" s="39">
        <v>46038</v>
      </c>
      <c r="E2944" t="s">
        <v>486</v>
      </c>
      <c r="F2944" t="s">
        <v>79</v>
      </c>
      <c r="G2944">
        <v>7</v>
      </c>
      <c r="H2944">
        <v>5</v>
      </c>
      <c r="I2944" t="s">
        <v>79</v>
      </c>
      <c r="J2944">
        <v>1000</v>
      </c>
      <c r="K2944" t="s">
        <v>79</v>
      </c>
      <c r="L2944">
        <v>2</v>
      </c>
      <c r="M2944">
        <v>64.180000000000007</v>
      </c>
      <c r="N2944">
        <v>1.4</v>
      </c>
      <c r="Q2944">
        <v>62.780000000000008</v>
      </c>
      <c r="R2944" t="s">
        <v>1967</v>
      </c>
      <c r="S2944">
        <v>20</v>
      </c>
      <c r="V2944">
        <v>20</v>
      </c>
      <c r="W2944">
        <v>0.33333333333333331</v>
      </c>
      <c r="Z2944">
        <v>120</v>
      </c>
      <c r="AF2944">
        <v>120</v>
      </c>
      <c r="AG2944">
        <v>2</v>
      </c>
      <c r="AH2944">
        <v>2.3333333333333335</v>
      </c>
      <c r="AI2944">
        <v>9.6666666666666661</v>
      </c>
      <c r="AJ2944">
        <v>12</v>
      </c>
      <c r="AM2944">
        <v>0</v>
      </c>
      <c r="AN2944">
        <v>69.180000000000007</v>
      </c>
      <c r="AP2944">
        <v>55</v>
      </c>
      <c r="AQ2944">
        <v>55</v>
      </c>
    </row>
    <row r="2945" spans="1:43" x14ac:dyDescent="0.25">
      <c r="A2945" t="s">
        <v>45</v>
      </c>
      <c r="B2945">
        <v>4</v>
      </c>
      <c r="C2945" t="s">
        <v>1934</v>
      </c>
      <c r="D2945" s="39">
        <v>46038</v>
      </c>
      <c r="E2945" t="s">
        <v>1853</v>
      </c>
      <c r="F2945" t="s">
        <v>79</v>
      </c>
      <c r="G2945" t="s">
        <v>125</v>
      </c>
      <c r="H2945" t="s">
        <v>1854</v>
      </c>
      <c r="I2945" t="s">
        <v>79</v>
      </c>
      <c r="J2945">
        <v>100</v>
      </c>
      <c r="K2945" t="s">
        <v>79</v>
      </c>
      <c r="L2945">
        <v>5</v>
      </c>
      <c r="M2945">
        <v>242.28000000000003</v>
      </c>
      <c r="N2945">
        <v>12.5</v>
      </c>
      <c r="Q2945">
        <v>229.78000000000003</v>
      </c>
      <c r="R2945" t="s">
        <v>1935</v>
      </c>
      <c r="V2945">
        <v>0</v>
      </c>
      <c r="W2945">
        <v>0</v>
      </c>
      <c r="X2945">
        <v>60</v>
      </c>
      <c r="Z2945">
        <v>220</v>
      </c>
      <c r="AF2945">
        <v>280</v>
      </c>
      <c r="AG2945">
        <v>4.666666666666667</v>
      </c>
      <c r="AH2945">
        <v>4.666666666666667</v>
      </c>
      <c r="AI2945">
        <v>7.333333333333333</v>
      </c>
      <c r="AJ2945">
        <v>12</v>
      </c>
      <c r="AM2945">
        <v>0</v>
      </c>
      <c r="AN2945">
        <v>247.28000000000003</v>
      </c>
      <c r="AP2945">
        <v>55</v>
      </c>
      <c r="AQ2945">
        <v>55</v>
      </c>
    </row>
    <row r="2946" spans="1:43" x14ac:dyDescent="0.25">
      <c r="A2946" t="s">
        <v>45</v>
      </c>
      <c r="B2946">
        <v>4</v>
      </c>
      <c r="C2946" t="s">
        <v>1936</v>
      </c>
      <c r="D2946" s="39">
        <v>46038</v>
      </c>
      <c r="E2946" t="s">
        <v>1853</v>
      </c>
      <c r="F2946" t="s">
        <v>79</v>
      </c>
      <c r="G2946" t="s">
        <v>125</v>
      </c>
      <c r="H2946" t="s">
        <v>1854</v>
      </c>
      <c r="I2946" t="s">
        <v>79</v>
      </c>
      <c r="J2946">
        <v>100</v>
      </c>
      <c r="K2946" t="s">
        <v>79</v>
      </c>
      <c r="L2946">
        <v>5</v>
      </c>
      <c r="M2946">
        <v>246.60999999999999</v>
      </c>
      <c r="N2946">
        <v>13.45</v>
      </c>
      <c r="O2946">
        <v>44</v>
      </c>
      <c r="Q2946">
        <v>233.16</v>
      </c>
      <c r="R2946" t="s">
        <v>1937</v>
      </c>
      <c r="V2946">
        <v>0</v>
      </c>
      <c r="W2946">
        <v>0</v>
      </c>
      <c r="AF2946">
        <v>0</v>
      </c>
      <c r="AG2946">
        <v>0</v>
      </c>
      <c r="AH2946">
        <v>0</v>
      </c>
      <c r="AI2946">
        <v>12</v>
      </c>
      <c r="AJ2946">
        <v>12</v>
      </c>
      <c r="AM2946">
        <v>0</v>
      </c>
      <c r="AN2946">
        <v>251.61</v>
      </c>
      <c r="AP2946">
        <v>55</v>
      </c>
      <c r="AQ2946">
        <v>55</v>
      </c>
    </row>
    <row r="2947" spans="1:43" x14ac:dyDescent="0.25">
      <c r="A2947" t="s">
        <v>46</v>
      </c>
      <c r="B2947">
        <v>4</v>
      </c>
      <c r="C2947" t="s">
        <v>1938</v>
      </c>
      <c r="D2947" s="39">
        <v>46038</v>
      </c>
      <c r="E2947" t="s">
        <v>219</v>
      </c>
      <c r="F2947" t="s">
        <v>79</v>
      </c>
      <c r="G2947">
        <v>23</v>
      </c>
      <c r="H2947" t="s">
        <v>113</v>
      </c>
      <c r="I2947" t="s">
        <v>79</v>
      </c>
      <c r="J2947">
        <v>500</v>
      </c>
      <c r="K2947" t="s">
        <v>79</v>
      </c>
      <c r="L2947">
        <v>8</v>
      </c>
      <c r="M2947">
        <v>473.75999999999988</v>
      </c>
      <c r="N2947">
        <v>18.399999999999999</v>
      </c>
      <c r="O2947">
        <v>41</v>
      </c>
      <c r="Q2947">
        <v>455.3599999999999</v>
      </c>
      <c r="R2947" t="s">
        <v>1939</v>
      </c>
      <c r="T2947">
        <v>90</v>
      </c>
      <c r="V2947">
        <v>90</v>
      </c>
      <c r="W2947">
        <v>1.5</v>
      </c>
      <c r="X2947">
        <v>60</v>
      </c>
      <c r="Z2947">
        <v>60</v>
      </c>
      <c r="AF2947">
        <v>120</v>
      </c>
      <c r="AG2947">
        <v>2</v>
      </c>
      <c r="AH2947">
        <v>3.5</v>
      </c>
      <c r="AI2947">
        <v>8.5</v>
      </c>
      <c r="AJ2947">
        <v>12</v>
      </c>
      <c r="AM2947">
        <v>0</v>
      </c>
      <c r="AN2947">
        <v>478.75999999999982</v>
      </c>
      <c r="AP2947">
        <v>55</v>
      </c>
      <c r="AQ2947">
        <v>55</v>
      </c>
    </row>
    <row r="2948" spans="1:43" x14ac:dyDescent="0.25">
      <c r="A2948" t="s">
        <v>45</v>
      </c>
      <c r="B2948">
        <v>5</v>
      </c>
      <c r="C2948" t="s">
        <v>1940</v>
      </c>
      <c r="D2948" s="39">
        <v>46038</v>
      </c>
      <c r="E2948" t="s">
        <v>1446</v>
      </c>
      <c r="F2948" t="s">
        <v>79</v>
      </c>
      <c r="G2948">
        <v>12</v>
      </c>
      <c r="H2948" t="s">
        <v>102</v>
      </c>
      <c r="I2948" t="s">
        <v>79</v>
      </c>
      <c r="J2948">
        <v>300</v>
      </c>
      <c r="K2948" t="s">
        <v>79</v>
      </c>
      <c r="L2948">
        <v>2</v>
      </c>
      <c r="M2948">
        <v>68.48</v>
      </c>
      <c r="N2948">
        <v>3</v>
      </c>
      <c r="Q2948">
        <v>65.48</v>
      </c>
      <c r="R2948" t="s">
        <v>1941</v>
      </c>
      <c r="V2948">
        <v>0</v>
      </c>
      <c r="W2948">
        <v>0</v>
      </c>
      <c r="AF2948">
        <v>0</v>
      </c>
      <c r="AG2948">
        <v>0</v>
      </c>
      <c r="AH2948">
        <v>0</v>
      </c>
      <c r="AI2948">
        <v>12</v>
      </c>
      <c r="AJ2948">
        <v>12</v>
      </c>
      <c r="AM2948">
        <v>0</v>
      </c>
      <c r="AN2948">
        <v>73.48</v>
      </c>
      <c r="AP2948">
        <v>55</v>
      </c>
      <c r="AQ2948">
        <v>55</v>
      </c>
    </row>
    <row r="2949" spans="1:43" x14ac:dyDescent="0.25">
      <c r="A2949" t="s">
        <v>45</v>
      </c>
      <c r="B2949">
        <v>5</v>
      </c>
      <c r="C2949" t="s">
        <v>1942</v>
      </c>
      <c r="D2949" s="39">
        <v>46038</v>
      </c>
      <c r="E2949" t="s">
        <v>229</v>
      </c>
      <c r="F2949" t="s">
        <v>79</v>
      </c>
      <c r="G2949">
        <v>12</v>
      </c>
      <c r="H2949" t="s">
        <v>105</v>
      </c>
      <c r="I2949" t="s">
        <v>79</v>
      </c>
      <c r="J2949">
        <v>450</v>
      </c>
      <c r="K2949" t="s">
        <v>79</v>
      </c>
      <c r="L2949">
        <v>9</v>
      </c>
      <c r="M2949">
        <v>489.17</v>
      </c>
      <c r="N2949">
        <v>13.5</v>
      </c>
      <c r="O2949">
        <v>1.5</v>
      </c>
      <c r="Q2949">
        <v>475.67</v>
      </c>
      <c r="R2949" t="s">
        <v>1943</v>
      </c>
      <c r="V2949">
        <v>0</v>
      </c>
      <c r="W2949">
        <v>0</v>
      </c>
      <c r="AF2949">
        <v>0</v>
      </c>
      <c r="AG2949">
        <v>0</v>
      </c>
      <c r="AH2949">
        <v>0</v>
      </c>
      <c r="AI2949">
        <v>12</v>
      </c>
      <c r="AJ2949">
        <v>12</v>
      </c>
      <c r="AM2949">
        <v>0</v>
      </c>
      <c r="AN2949">
        <v>494.17</v>
      </c>
      <c r="AP2949">
        <v>55</v>
      </c>
      <c r="AQ2949">
        <v>55</v>
      </c>
    </row>
    <row r="2950" spans="1:43" x14ac:dyDescent="0.25">
      <c r="A2950" t="s">
        <v>46</v>
      </c>
      <c r="B2950">
        <v>5</v>
      </c>
      <c r="C2950" t="s">
        <v>1944</v>
      </c>
      <c r="D2950" s="39">
        <v>46038</v>
      </c>
      <c r="E2950" t="s">
        <v>401</v>
      </c>
      <c r="F2950" t="s">
        <v>79</v>
      </c>
      <c r="G2950">
        <v>12</v>
      </c>
      <c r="H2950" t="s">
        <v>1049</v>
      </c>
      <c r="I2950" t="s">
        <v>79</v>
      </c>
      <c r="J2950">
        <v>100</v>
      </c>
      <c r="K2950" t="s">
        <v>79</v>
      </c>
      <c r="L2950">
        <v>9</v>
      </c>
      <c r="M2950">
        <v>476.96999999999997</v>
      </c>
      <c r="N2950">
        <v>10.799999999999999</v>
      </c>
      <c r="O2950">
        <v>1.5</v>
      </c>
      <c r="Q2950">
        <v>466.16999999999996</v>
      </c>
      <c r="R2950" t="s">
        <v>1945</v>
      </c>
      <c r="V2950">
        <v>0</v>
      </c>
      <c r="W2950">
        <v>0</v>
      </c>
      <c r="AF2950">
        <v>0</v>
      </c>
      <c r="AG2950">
        <v>0</v>
      </c>
      <c r="AH2950">
        <v>0</v>
      </c>
      <c r="AI2950">
        <v>12</v>
      </c>
      <c r="AJ2950">
        <v>12</v>
      </c>
      <c r="AM2950">
        <v>0</v>
      </c>
      <c r="AN2950">
        <v>481.97</v>
      </c>
      <c r="AP2950">
        <v>55</v>
      </c>
      <c r="AQ2950">
        <v>55</v>
      </c>
    </row>
    <row r="2951" spans="1:43" x14ac:dyDescent="0.25">
      <c r="A2951" t="s">
        <v>45</v>
      </c>
      <c r="B2951">
        <v>1</v>
      </c>
      <c r="C2951" t="s">
        <v>1890</v>
      </c>
      <c r="D2951" s="39">
        <v>46039</v>
      </c>
      <c r="E2951" t="s">
        <v>486</v>
      </c>
      <c r="F2951" t="s">
        <v>79</v>
      </c>
      <c r="G2951">
        <v>2.5</v>
      </c>
      <c r="H2951" t="s">
        <v>92</v>
      </c>
      <c r="I2951" t="s">
        <v>79</v>
      </c>
      <c r="J2951">
        <v>1000</v>
      </c>
      <c r="K2951" t="s">
        <v>79</v>
      </c>
      <c r="L2951">
        <v>9</v>
      </c>
      <c r="M2951">
        <v>124.33</v>
      </c>
      <c r="N2951">
        <v>2.25</v>
      </c>
      <c r="O2951">
        <v>26</v>
      </c>
      <c r="Q2951">
        <v>122.08</v>
      </c>
      <c r="R2951" t="s">
        <v>1964</v>
      </c>
      <c r="V2951">
        <v>0</v>
      </c>
      <c r="W2951">
        <v>0</v>
      </c>
      <c r="AF2951">
        <v>0</v>
      </c>
      <c r="AG2951">
        <v>0</v>
      </c>
      <c r="AH2951">
        <v>0</v>
      </c>
      <c r="AI2951">
        <v>12</v>
      </c>
      <c r="AJ2951">
        <v>12</v>
      </c>
      <c r="AM2951">
        <v>0</v>
      </c>
      <c r="AN2951">
        <v>129.32999999999998</v>
      </c>
      <c r="AP2951">
        <v>55</v>
      </c>
      <c r="AQ2951">
        <v>55</v>
      </c>
    </row>
    <row r="2952" spans="1:43" x14ac:dyDescent="0.25">
      <c r="A2952" t="s">
        <v>46</v>
      </c>
      <c r="B2952">
        <v>1</v>
      </c>
      <c r="C2952" t="s">
        <v>1890</v>
      </c>
      <c r="D2952" s="39">
        <v>46039</v>
      </c>
      <c r="E2952" t="s">
        <v>486</v>
      </c>
      <c r="F2952" t="s">
        <v>79</v>
      </c>
      <c r="G2952">
        <v>2.5</v>
      </c>
      <c r="H2952" t="s">
        <v>92</v>
      </c>
      <c r="I2952" t="s">
        <v>79</v>
      </c>
      <c r="J2952">
        <v>1000</v>
      </c>
      <c r="K2952" t="s">
        <v>79</v>
      </c>
      <c r="L2952">
        <v>8</v>
      </c>
      <c r="M2952">
        <v>106</v>
      </c>
      <c r="N2952">
        <v>2</v>
      </c>
      <c r="O2952">
        <v>13</v>
      </c>
      <c r="Q2952">
        <v>104</v>
      </c>
      <c r="R2952" t="s">
        <v>1964</v>
      </c>
      <c r="U2952">
        <v>120</v>
      </c>
      <c r="V2952">
        <v>120</v>
      </c>
      <c r="W2952">
        <v>2</v>
      </c>
      <c r="AF2952">
        <v>0</v>
      </c>
      <c r="AG2952">
        <v>0</v>
      </c>
      <c r="AH2952">
        <v>2</v>
      </c>
      <c r="AI2952">
        <v>10</v>
      </c>
      <c r="AJ2952">
        <v>12</v>
      </c>
      <c r="AM2952">
        <v>0</v>
      </c>
      <c r="AN2952">
        <v>111</v>
      </c>
      <c r="AP2952">
        <v>55</v>
      </c>
      <c r="AQ2952">
        <v>55</v>
      </c>
    </row>
    <row r="2953" spans="1:43" x14ac:dyDescent="0.25">
      <c r="A2953" t="s">
        <v>45</v>
      </c>
      <c r="B2953">
        <v>2</v>
      </c>
      <c r="C2953" t="s">
        <v>1928</v>
      </c>
      <c r="D2953" s="39">
        <v>46039</v>
      </c>
      <c r="E2953" t="s">
        <v>486</v>
      </c>
      <c r="F2953" t="s">
        <v>79</v>
      </c>
      <c r="G2953">
        <v>4</v>
      </c>
      <c r="H2953" t="s">
        <v>113</v>
      </c>
      <c r="I2953" t="s">
        <v>79</v>
      </c>
      <c r="J2953">
        <v>1000</v>
      </c>
      <c r="K2953" t="s">
        <v>79</v>
      </c>
      <c r="L2953">
        <v>9</v>
      </c>
      <c r="M2953">
        <v>151.19</v>
      </c>
      <c r="N2953">
        <v>3.6</v>
      </c>
      <c r="Q2953">
        <v>147.59</v>
      </c>
      <c r="R2953" t="s">
        <v>1966</v>
      </c>
      <c r="V2953">
        <v>0</v>
      </c>
      <c r="W2953">
        <v>0</v>
      </c>
      <c r="AF2953">
        <v>0</v>
      </c>
      <c r="AG2953">
        <v>0</v>
      </c>
      <c r="AH2953">
        <v>0</v>
      </c>
      <c r="AI2953">
        <v>12</v>
      </c>
      <c r="AJ2953">
        <v>12</v>
      </c>
      <c r="AM2953">
        <v>0</v>
      </c>
      <c r="AN2953">
        <v>156.19</v>
      </c>
      <c r="AP2953">
        <v>55</v>
      </c>
      <c r="AQ2953">
        <v>55</v>
      </c>
    </row>
    <row r="2954" spans="1:43" x14ac:dyDescent="0.25">
      <c r="A2954" t="s">
        <v>46</v>
      </c>
      <c r="B2954">
        <v>2</v>
      </c>
      <c r="C2954" t="s">
        <v>1928</v>
      </c>
      <c r="D2954" s="39">
        <v>46039</v>
      </c>
      <c r="E2954" t="s">
        <v>486</v>
      </c>
      <c r="F2954" t="s">
        <v>79</v>
      </c>
      <c r="G2954">
        <v>4</v>
      </c>
      <c r="H2954" t="s">
        <v>113</v>
      </c>
      <c r="I2954" t="s">
        <v>79</v>
      </c>
      <c r="J2954">
        <v>1000</v>
      </c>
      <c r="K2954" t="s">
        <v>79</v>
      </c>
      <c r="L2954">
        <v>9</v>
      </c>
      <c r="M2954">
        <v>144.02999999999997</v>
      </c>
      <c r="N2954">
        <v>3.6</v>
      </c>
      <c r="Q2954">
        <v>140.42999999999998</v>
      </c>
      <c r="R2954" t="s">
        <v>1966</v>
      </c>
      <c r="U2954">
        <v>120</v>
      </c>
      <c r="V2954">
        <v>120</v>
      </c>
      <c r="W2954">
        <v>2</v>
      </c>
      <c r="AF2954">
        <v>0</v>
      </c>
      <c r="AG2954">
        <v>0</v>
      </c>
      <c r="AH2954">
        <v>2</v>
      </c>
      <c r="AI2954">
        <v>10</v>
      </c>
      <c r="AJ2954">
        <v>12</v>
      </c>
      <c r="AM2954">
        <v>0</v>
      </c>
      <c r="AN2954">
        <v>149.02999999999997</v>
      </c>
      <c r="AP2954">
        <v>55</v>
      </c>
      <c r="AQ2954">
        <v>55</v>
      </c>
    </row>
    <row r="2955" spans="1:43" x14ac:dyDescent="0.25">
      <c r="A2955" t="s">
        <v>45</v>
      </c>
      <c r="B2955">
        <v>3</v>
      </c>
      <c r="C2955" t="s">
        <v>1933</v>
      </c>
      <c r="D2955" s="39">
        <v>46039</v>
      </c>
      <c r="E2955" t="s">
        <v>486</v>
      </c>
      <c r="F2955" t="s">
        <v>79</v>
      </c>
      <c r="G2955">
        <v>7</v>
      </c>
      <c r="H2955">
        <v>5</v>
      </c>
      <c r="I2955" t="s">
        <v>79</v>
      </c>
      <c r="J2955">
        <v>1000</v>
      </c>
      <c r="K2955" t="s">
        <v>79</v>
      </c>
      <c r="L2955">
        <v>5</v>
      </c>
      <c r="M2955">
        <v>173.86</v>
      </c>
      <c r="N2955">
        <v>4</v>
      </c>
      <c r="Q2955">
        <v>169.86</v>
      </c>
      <c r="R2955" t="s">
        <v>1967</v>
      </c>
      <c r="V2955">
        <v>0</v>
      </c>
      <c r="W2955">
        <v>0</v>
      </c>
      <c r="Z2955">
        <v>240</v>
      </c>
      <c r="AF2955">
        <v>240</v>
      </c>
      <c r="AG2955">
        <v>4</v>
      </c>
      <c r="AH2955">
        <v>4</v>
      </c>
      <c r="AI2955">
        <v>8</v>
      </c>
      <c r="AJ2955">
        <v>12</v>
      </c>
      <c r="AM2955">
        <v>0</v>
      </c>
      <c r="AN2955">
        <v>178.86</v>
      </c>
      <c r="AP2955">
        <v>55</v>
      </c>
      <c r="AQ2955">
        <v>55</v>
      </c>
    </row>
    <row r="2956" spans="1:43" x14ac:dyDescent="0.25">
      <c r="A2956" t="s">
        <v>46</v>
      </c>
      <c r="B2956">
        <v>3</v>
      </c>
      <c r="C2956" t="s">
        <v>1946</v>
      </c>
      <c r="D2956" s="39">
        <v>46039</v>
      </c>
      <c r="E2956" t="s">
        <v>1947</v>
      </c>
      <c r="F2956" t="s">
        <v>79</v>
      </c>
      <c r="G2956">
        <v>7</v>
      </c>
      <c r="H2956" t="s">
        <v>135</v>
      </c>
      <c r="I2956" t="s">
        <v>79</v>
      </c>
      <c r="J2956">
        <v>100</v>
      </c>
      <c r="K2956" t="s">
        <v>79</v>
      </c>
      <c r="L2956">
        <v>4</v>
      </c>
      <c r="M2956">
        <v>108.86</v>
      </c>
      <c r="N2956">
        <v>2.8</v>
      </c>
      <c r="Q2956">
        <v>106.06</v>
      </c>
      <c r="R2956" t="s">
        <v>1948</v>
      </c>
      <c r="V2956">
        <v>0</v>
      </c>
      <c r="W2956">
        <v>0</v>
      </c>
      <c r="AF2956">
        <v>0</v>
      </c>
      <c r="AG2956">
        <v>0</v>
      </c>
      <c r="AH2956">
        <v>0</v>
      </c>
      <c r="AI2956">
        <v>12</v>
      </c>
      <c r="AJ2956">
        <v>12</v>
      </c>
      <c r="AM2956">
        <v>0</v>
      </c>
      <c r="AN2956">
        <v>113.86</v>
      </c>
      <c r="AP2956">
        <v>55</v>
      </c>
      <c r="AQ2956">
        <v>55</v>
      </c>
    </row>
    <row r="2957" spans="1:43" x14ac:dyDescent="0.25">
      <c r="A2957" t="s">
        <v>46</v>
      </c>
      <c r="B2957">
        <v>3</v>
      </c>
      <c r="C2957" t="s">
        <v>1933</v>
      </c>
      <c r="D2957" s="39">
        <v>46039</v>
      </c>
      <c r="E2957" t="s">
        <v>486</v>
      </c>
      <c r="F2957" t="s">
        <v>79</v>
      </c>
      <c r="G2957">
        <v>7</v>
      </c>
      <c r="H2957">
        <v>5</v>
      </c>
      <c r="I2957" t="s">
        <v>79</v>
      </c>
      <c r="J2957">
        <v>1000</v>
      </c>
      <c r="K2957" t="s">
        <v>79</v>
      </c>
      <c r="L2957">
        <v>2</v>
      </c>
      <c r="M2957">
        <v>67.56</v>
      </c>
      <c r="N2957">
        <v>1.4</v>
      </c>
      <c r="Q2957">
        <v>66.16</v>
      </c>
      <c r="R2957" t="s">
        <v>1967</v>
      </c>
      <c r="U2957">
        <v>120</v>
      </c>
      <c r="V2957">
        <v>120</v>
      </c>
      <c r="W2957">
        <v>2</v>
      </c>
      <c r="AF2957">
        <v>0</v>
      </c>
      <c r="AG2957">
        <v>0</v>
      </c>
      <c r="AH2957">
        <v>2</v>
      </c>
      <c r="AI2957">
        <v>10</v>
      </c>
      <c r="AJ2957">
        <v>12</v>
      </c>
      <c r="AM2957">
        <v>0</v>
      </c>
      <c r="AN2957">
        <v>72.56</v>
      </c>
      <c r="AP2957">
        <v>55</v>
      </c>
      <c r="AQ2957">
        <v>55</v>
      </c>
    </row>
    <row r="2958" spans="1:43" x14ac:dyDescent="0.25">
      <c r="A2958" t="s">
        <v>46</v>
      </c>
      <c r="B2958">
        <v>3</v>
      </c>
      <c r="C2958" t="s">
        <v>1949</v>
      </c>
      <c r="D2958" s="39">
        <v>46039</v>
      </c>
      <c r="E2958" t="s">
        <v>1466</v>
      </c>
      <c r="F2958" t="s">
        <v>79</v>
      </c>
      <c r="G2958">
        <v>7</v>
      </c>
      <c r="H2958" t="s">
        <v>578</v>
      </c>
      <c r="I2958" t="s">
        <v>79</v>
      </c>
      <c r="J2958">
        <v>75</v>
      </c>
      <c r="K2958" t="s">
        <v>79</v>
      </c>
      <c r="L2958">
        <v>5</v>
      </c>
      <c r="M2958">
        <v>110.32</v>
      </c>
      <c r="N2958">
        <v>3.5</v>
      </c>
      <c r="Q2958">
        <v>106.82</v>
      </c>
      <c r="R2958" t="s">
        <v>1950</v>
      </c>
      <c r="V2958">
        <v>0</v>
      </c>
      <c r="W2958">
        <v>0</v>
      </c>
      <c r="AF2958">
        <v>0</v>
      </c>
      <c r="AG2958">
        <v>0</v>
      </c>
      <c r="AH2958">
        <v>0</v>
      </c>
      <c r="AI2958">
        <v>12</v>
      </c>
      <c r="AJ2958">
        <v>12</v>
      </c>
      <c r="AM2958">
        <v>0</v>
      </c>
      <c r="AN2958">
        <v>115.32</v>
      </c>
      <c r="AP2958">
        <v>55</v>
      </c>
      <c r="AQ2958">
        <v>55</v>
      </c>
    </row>
    <row r="2959" spans="1:43" x14ac:dyDescent="0.25">
      <c r="A2959" t="s">
        <v>45</v>
      </c>
      <c r="B2959">
        <v>4</v>
      </c>
      <c r="C2959" t="s">
        <v>1938</v>
      </c>
      <c r="D2959" s="39">
        <v>46039</v>
      </c>
      <c r="E2959" t="s">
        <v>219</v>
      </c>
      <c r="F2959" t="s">
        <v>79</v>
      </c>
      <c r="G2959">
        <v>23</v>
      </c>
      <c r="H2959" t="s">
        <v>113</v>
      </c>
      <c r="I2959" t="s">
        <v>79</v>
      </c>
      <c r="J2959">
        <v>500</v>
      </c>
      <c r="K2959" t="s">
        <v>79</v>
      </c>
      <c r="L2959">
        <v>1</v>
      </c>
      <c r="M2959">
        <v>59.5</v>
      </c>
      <c r="N2959">
        <v>2.8</v>
      </c>
      <c r="Q2959">
        <v>56.7</v>
      </c>
      <c r="R2959" t="s">
        <v>1939</v>
      </c>
      <c r="S2959">
        <v>25</v>
      </c>
      <c r="T2959">
        <v>80</v>
      </c>
      <c r="V2959">
        <v>105</v>
      </c>
      <c r="W2959">
        <v>1.75</v>
      </c>
      <c r="AD2959">
        <v>30</v>
      </c>
      <c r="AF2959">
        <v>30</v>
      </c>
      <c r="AG2959">
        <v>0.5</v>
      </c>
      <c r="AH2959">
        <v>2.25</v>
      </c>
      <c r="AI2959">
        <v>9.75</v>
      </c>
      <c r="AJ2959">
        <v>12</v>
      </c>
      <c r="AM2959">
        <v>0</v>
      </c>
      <c r="AN2959">
        <v>64.5</v>
      </c>
      <c r="AP2959">
        <v>55</v>
      </c>
      <c r="AQ2959">
        <v>55</v>
      </c>
    </row>
    <row r="2960" spans="1:43" x14ac:dyDescent="0.25">
      <c r="A2960" t="s">
        <v>45</v>
      </c>
      <c r="B2960">
        <v>4</v>
      </c>
      <c r="C2960" t="s">
        <v>1951</v>
      </c>
      <c r="D2960" s="39">
        <v>46039</v>
      </c>
      <c r="E2960" t="s">
        <v>243</v>
      </c>
      <c r="F2960" t="s">
        <v>79</v>
      </c>
      <c r="G2960">
        <v>18</v>
      </c>
      <c r="H2960" t="s">
        <v>102</v>
      </c>
      <c r="I2960" t="s">
        <v>79</v>
      </c>
      <c r="J2960">
        <v>105</v>
      </c>
      <c r="K2960" t="s">
        <v>79</v>
      </c>
      <c r="L2960">
        <v>3</v>
      </c>
      <c r="M2960">
        <v>140.55000000000001</v>
      </c>
      <c r="N2960">
        <v>6.6000000000000005</v>
      </c>
      <c r="Q2960">
        <v>133.95000000000002</v>
      </c>
      <c r="R2960" t="s">
        <v>1952</v>
      </c>
      <c r="S2960">
        <v>25</v>
      </c>
      <c r="V2960">
        <v>25</v>
      </c>
      <c r="W2960">
        <v>0.41666666666666674</v>
      </c>
      <c r="AF2960">
        <v>0</v>
      </c>
      <c r="AG2960">
        <v>0</v>
      </c>
      <c r="AH2960">
        <v>0.41666666666666674</v>
      </c>
      <c r="AI2960">
        <v>11.583333333333334</v>
      </c>
      <c r="AJ2960">
        <v>12</v>
      </c>
      <c r="AM2960">
        <v>0</v>
      </c>
      <c r="AN2960">
        <v>145.55000000000001</v>
      </c>
      <c r="AP2960">
        <v>55</v>
      </c>
      <c r="AQ2960">
        <v>55</v>
      </c>
    </row>
    <row r="2961" spans="1:43" x14ac:dyDescent="0.25">
      <c r="A2961" t="s">
        <v>45</v>
      </c>
      <c r="B2961">
        <v>4</v>
      </c>
      <c r="C2961" t="s">
        <v>1953</v>
      </c>
      <c r="D2961" s="39">
        <v>46039</v>
      </c>
      <c r="E2961" t="s">
        <v>1839</v>
      </c>
      <c r="F2961" t="s">
        <v>79</v>
      </c>
      <c r="G2961">
        <v>26</v>
      </c>
      <c r="H2961" t="s">
        <v>113</v>
      </c>
      <c r="I2961" t="s">
        <v>79</v>
      </c>
      <c r="J2961">
        <v>150</v>
      </c>
      <c r="K2961" t="s">
        <v>79</v>
      </c>
      <c r="L2961">
        <v>6</v>
      </c>
      <c r="M2961">
        <v>374.35</v>
      </c>
      <c r="N2961">
        <v>20.399999999999999</v>
      </c>
      <c r="Q2961">
        <v>353.95000000000005</v>
      </c>
      <c r="R2961" t="s">
        <v>2180</v>
      </c>
      <c r="V2961">
        <v>0</v>
      </c>
      <c r="W2961">
        <v>0</v>
      </c>
      <c r="AF2961">
        <v>0</v>
      </c>
      <c r="AG2961">
        <v>0</v>
      </c>
      <c r="AH2961">
        <v>0</v>
      </c>
      <c r="AI2961">
        <v>12</v>
      </c>
      <c r="AJ2961">
        <v>12</v>
      </c>
      <c r="AM2961">
        <v>0</v>
      </c>
      <c r="AN2961">
        <v>379.35</v>
      </c>
      <c r="AP2961">
        <v>55</v>
      </c>
      <c r="AQ2961">
        <v>55</v>
      </c>
    </row>
    <row r="2962" spans="1:43" x14ac:dyDescent="0.25">
      <c r="A2962" t="s">
        <v>46</v>
      </c>
      <c r="B2962">
        <v>4</v>
      </c>
      <c r="C2962" t="s">
        <v>1814</v>
      </c>
      <c r="D2962" s="39">
        <v>46039</v>
      </c>
      <c r="E2962" t="s">
        <v>276</v>
      </c>
      <c r="F2962" t="s">
        <v>79</v>
      </c>
      <c r="G2962">
        <v>18</v>
      </c>
      <c r="H2962" t="s">
        <v>113</v>
      </c>
      <c r="I2962" t="s">
        <v>79</v>
      </c>
      <c r="J2962" t="s">
        <v>81</v>
      </c>
      <c r="K2962" t="s">
        <v>79</v>
      </c>
      <c r="L2962">
        <v>13</v>
      </c>
      <c r="M2962">
        <v>773.91</v>
      </c>
      <c r="N2962">
        <v>23.400000000000002</v>
      </c>
      <c r="Q2962">
        <v>750.51</v>
      </c>
      <c r="R2962" t="s">
        <v>1960</v>
      </c>
      <c r="U2962">
        <v>120</v>
      </c>
      <c r="V2962">
        <v>120</v>
      </c>
      <c r="W2962">
        <v>2</v>
      </c>
      <c r="AF2962">
        <v>0</v>
      </c>
      <c r="AG2962">
        <v>0</v>
      </c>
      <c r="AH2962">
        <v>2</v>
      </c>
      <c r="AI2962">
        <v>10</v>
      </c>
      <c r="AJ2962">
        <v>12</v>
      </c>
      <c r="AM2962">
        <v>0</v>
      </c>
      <c r="AN2962">
        <v>778.91</v>
      </c>
      <c r="AP2962">
        <v>55</v>
      </c>
      <c r="AQ2962">
        <v>55</v>
      </c>
    </row>
    <row r="2963" spans="1:43" x14ac:dyDescent="0.25">
      <c r="A2963" t="s">
        <v>45</v>
      </c>
      <c r="B2963">
        <v>5</v>
      </c>
      <c r="C2963" t="s">
        <v>1924</v>
      </c>
      <c r="D2963" s="39">
        <v>46039</v>
      </c>
      <c r="E2963" t="s">
        <v>730</v>
      </c>
      <c r="F2963" t="s">
        <v>79</v>
      </c>
      <c r="G2963">
        <v>12</v>
      </c>
      <c r="H2963" t="s">
        <v>1049</v>
      </c>
      <c r="I2963" t="s">
        <v>79</v>
      </c>
      <c r="J2963">
        <v>400</v>
      </c>
      <c r="K2963" t="s">
        <v>79</v>
      </c>
      <c r="L2963">
        <v>6</v>
      </c>
      <c r="M2963">
        <v>303.74</v>
      </c>
      <c r="N2963">
        <v>9</v>
      </c>
      <c r="Q2963">
        <v>294.74</v>
      </c>
      <c r="R2963" t="s">
        <v>1925</v>
      </c>
      <c r="V2963">
        <v>0</v>
      </c>
      <c r="W2963">
        <v>0</v>
      </c>
      <c r="AF2963">
        <v>0</v>
      </c>
      <c r="AG2963">
        <v>0</v>
      </c>
      <c r="AH2963">
        <v>0</v>
      </c>
      <c r="AI2963">
        <v>12</v>
      </c>
      <c r="AJ2963">
        <v>12</v>
      </c>
      <c r="AM2963">
        <v>0</v>
      </c>
      <c r="AN2963">
        <v>308.74</v>
      </c>
      <c r="AP2963">
        <v>55</v>
      </c>
      <c r="AQ2963">
        <v>55</v>
      </c>
    </row>
    <row r="2964" spans="1:43" x14ac:dyDescent="0.25">
      <c r="A2964" t="s">
        <v>45</v>
      </c>
      <c r="B2964">
        <v>5</v>
      </c>
      <c r="C2964" t="s">
        <v>1954</v>
      </c>
      <c r="D2964" s="39">
        <v>46039</v>
      </c>
      <c r="E2964" t="s">
        <v>200</v>
      </c>
      <c r="F2964" t="s">
        <v>79</v>
      </c>
      <c r="G2964">
        <v>12</v>
      </c>
      <c r="H2964" t="s">
        <v>944</v>
      </c>
      <c r="I2964" t="s">
        <v>79</v>
      </c>
      <c r="J2964">
        <v>250</v>
      </c>
      <c r="K2964" t="s">
        <v>79</v>
      </c>
      <c r="L2964">
        <v>2</v>
      </c>
      <c r="M2964">
        <v>114.68</v>
      </c>
      <c r="N2964">
        <v>3</v>
      </c>
      <c r="Q2964">
        <v>111.68</v>
      </c>
      <c r="R2964" t="s">
        <v>1955</v>
      </c>
      <c r="V2964">
        <v>0</v>
      </c>
      <c r="W2964">
        <v>0</v>
      </c>
      <c r="AF2964">
        <v>0</v>
      </c>
      <c r="AG2964">
        <v>0</v>
      </c>
      <c r="AH2964">
        <v>0</v>
      </c>
      <c r="AI2964">
        <v>12</v>
      </c>
      <c r="AJ2964">
        <v>12</v>
      </c>
      <c r="AM2964">
        <v>0</v>
      </c>
      <c r="AN2964">
        <v>119.68</v>
      </c>
      <c r="AP2964">
        <v>55</v>
      </c>
      <c r="AQ2964">
        <v>55</v>
      </c>
    </row>
    <row r="2965" spans="1:43" x14ac:dyDescent="0.25">
      <c r="A2965" t="s">
        <v>45</v>
      </c>
      <c r="B2965">
        <v>5</v>
      </c>
      <c r="C2965" t="s">
        <v>1956</v>
      </c>
      <c r="D2965" s="39">
        <v>46039</v>
      </c>
      <c r="E2965" t="s">
        <v>1613</v>
      </c>
      <c r="F2965" t="s">
        <v>79</v>
      </c>
      <c r="G2965">
        <v>12</v>
      </c>
      <c r="H2965" t="s">
        <v>113</v>
      </c>
      <c r="I2965" t="s">
        <v>79</v>
      </c>
      <c r="J2965">
        <v>100</v>
      </c>
      <c r="K2965" t="s">
        <v>79</v>
      </c>
      <c r="L2965">
        <v>2</v>
      </c>
      <c r="M2965">
        <v>112.14</v>
      </c>
      <c r="N2965">
        <v>3</v>
      </c>
      <c r="O2965">
        <v>1.5</v>
      </c>
      <c r="Q2965">
        <v>109.14</v>
      </c>
      <c r="R2965" t="s">
        <v>1957</v>
      </c>
      <c r="V2965">
        <v>0</v>
      </c>
      <c r="W2965">
        <v>0</v>
      </c>
      <c r="AF2965">
        <v>0</v>
      </c>
      <c r="AG2965">
        <v>0</v>
      </c>
      <c r="AH2965">
        <v>0</v>
      </c>
      <c r="AI2965">
        <v>12</v>
      </c>
      <c r="AJ2965">
        <v>12</v>
      </c>
      <c r="AM2965">
        <v>0</v>
      </c>
      <c r="AN2965">
        <v>117.14</v>
      </c>
      <c r="AP2965">
        <v>55</v>
      </c>
      <c r="AQ2965">
        <v>55</v>
      </c>
    </row>
    <row r="2966" spans="1:43" x14ac:dyDescent="0.25">
      <c r="A2966" t="s">
        <v>46</v>
      </c>
      <c r="B2966">
        <v>5</v>
      </c>
      <c r="C2966" t="s">
        <v>1954</v>
      </c>
      <c r="D2966" s="39">
        <v>46039</v>
      </c>
      <c r="E2966" t="s">
        <v>200</v>
      </c>
      <c r="F2966" t="s">
        <v>79</v>
      </c>
      <c r="G2966">
        <v>12</v>
      </c>
      <c r="H2966" t="s">
        <v>944</v>
      </c>
      <c r="I2966" t="s">
        <v>79</v>
      </c>
      <c r="J2966">
        <v>250</v>
      </c>
      <c r="K2966" t="s">
        <v>79</v>
      </c>
      <c r="L2966">
        <v>4</v>
      </c>
      <c r="M2966">
        <v>152.94</v>
      </c>
      <c r="N2966">
        <v>4.8</v>
      </c>
      <c r="O2966">
        <v>1.5</v>
      </c>
      <c r="Q2966">
        <v>148.13999999999999</v>
      </c>
      <c r="R2966" t="s">
        <v>1955</v>
      </c>
      <c r="V2966">
        <v>0</v>
      </c>
      <c r="W2966">
        <v>0</v>
      </c>
      <c r="AF2966">
        <v>0</v>
      </c>
      <c r="AG2966">
        <v>0</v>
      </c>
      <c r="AH2966">
        <v>0</v>
      </c>
      <c r="AI2966">
        <v>12</v>
      </c>
      <c r="AJ2966">
        <v>12</v>
      </c>
      <c r="AM2966">
        <v>0</v>
      </c>
      <c r="AN2966">
        <v>157.94</v>
      </c>
      <c r="AP2966">
        <v>55</v>
      </c>
      <c r="AQ2966">
        <v>55</v>
      </c>
    </row>
    <row r="2967" spans="1:43" x14ac:dyDescent="0.25">
      <c r="A2967" t="s">
        <v>46</v>
      </c>
      <c r="B2967">
        <v>5</v>
      </c>
      <c r="C2967" t="s">
        <v>1958</v>
      </c>
      <c r="D2967" s="39">
        <v>46039</v>
      </c>
      <c r="E2967" t="s">
        <v>200</v>
      </c>
      <c r="F2967" t="s">
        <v>79</v>
      </c>
      <c r="G2967">
        <v>12</v>
      </c>
      <c r="H2967" t="s">
        <v>578</v>
      </c>
      <c r="I2967" t="s">
        <v>79</v>
      </c>
      <c r="J2967">
        <v>250</v>
      </c>
      <c r="K2967" t="s">
        <v>79</v>
      </c>
      <c r="L2967">
        <v>10</v>
      </c>
      <c r="M2967">
        <v>272.35999999999996</v>
      </c>
      <c r="N2967">
        <v>13</v>
      </c>
      <c r="Q2967">
        <v>259.35999999999996</v>
      </c>
      <c r="R2967" t="s">
        <v>1959</v>
      </c>
      <c r="U2967">
        <v>120</v>
      </c>
      <c r="V2967">
        <v>120</v>
      </c>
      <c r="W2967">
        <v>2</v>
      </c>
      <c r="AF2967">
        <v>0</v>
      </c>
      <c r="AG2967">
        <v>0</v>
      </c>
      <c r="AH2967">
        <v>2</v>
      </c>
      <c r="AI2967">
        <v>10</v>
      </c>
      <c r="AJ2967">
        <v>12</v>
      </c>
      <c r="AM2967">
        <v>0</v>
      </c>
      <c r="AN2967">
        <v>277.35999999999996</v>
      </c>
      <c r="AP2967">
        <v>55</v>
      </c>
      <c r="AQ2967">
        <v>55</v>
      </c>
    </row>
    <row r="2968" spans="1:43" x14ac:dyDescent="0.25">
      <c r="D2968" s="39">
        <v>46040</v>
      </c>
      <c r="E2968" t="s">
        <v>936</v>
      </c>
      <c r="Q2968">
        <v>0</v>
      </c>
      <c r="R2968" t="s">
        <v>468</v>
      </c>
      <c r="V2968">
        <v>0</v>
      </c>
      <c r="W2968">
        <v>0</v>
      </c>
      <c r="AF2968">
        <v>0</v>
      </c>
      <c r="AG2968">
        <v>0</v>
      </c>
      <c r="AH2968">
        <v>0</v>
      </c>
      <c r="AI2968">
        <v>12</v>
      </c>
      <c r="AJ2968">
        <v>12</v>
      </c>
      <c r="AM2968">
        <v>0</v>
      </c>
    </row>
    <row r="2969" spans="1:43" x14ac:dyDescent="0.25">
      <c r="A2969" t="s">
        <v>45</v>
      </c>
      <c r="B2969">
        <v>1</v>
      </c>
      <c r="C2969" t="s">
        <v>1890</v>
      </c>
      <c r="D2969" s="39">
        <v>46041</v>
      </c>
      <c r="E2969" t="s">
        <v>486</v>
      </c>
      <c r="F2969" t="s">
        <v>79</v>
      </c>
      <c r="G2969">
        <v>2.5</v>
      </c>
      <c r="H2969" t="s">
        <v>92</v>
      </c>
      <c r="I2969" t="s">
        <v>79</v>
      </c>
      <c r="J2969">
        <v>1000</v>
      </c>
      <c r="K2969" t="s">
        <v>79</v>
      </c>
      <c r="L2969">
        <v>8</v>
      </c>
      <c r="M2969">
        <v>115.27999999999999</v>
      </c>
      <c r="N2969">
        <v>2</v>
      </c>
      <c r="O2969">
        <v>40</v>
      </c>
      <c r="Q2969">
        <v>113.27999999999999</v>
      </c>
      <c r="R2969" t="s">
        <v>1964</v>
      </c>
      <c r="T2969">
        <v>120</v>
      </c>
      <c r="V2969">
        <v>120</v>
      </c>
      <c r="W2969">
        <v>2</v>
      </c>
      <c r="AF2969">
        <v>0</v>
      </c>
      <c r="AG2969">
        <v>0</v>
      </c>
      <c r="AH2969">
        <v>2</v>
      </c>
      <c r="AI2969">
        <v>10</v>
      </c>
      <c r="AJ2969">
        <v>12</v>
      </c>
      <c r="AM2969">
        <v>0</v>
      </c>
      <c r="AN2969">
        <v>120.28</v>
      </c>
      <c r="AP2969">
        <v>56</v>
      </c>
      <c r="AQ2969">
        <v>56</v>
      </c>
    </row>
    <row r="2970" spans="1:43" x14ac:dyDescent="0.25">
      <c r="A2970" t="s">
        <v>46</v>
      </c>
      <c r="B2970">
        <v>1</v>
      </c>
      <c r="C2970" t="s">
        <v>1890</v>
      </c>
      <c r="D2970" s="39">
        <v>46041</v>
      </c>
      <c r="E2970" t="s">
        <v>486</v>
      </c>
      <c r="F2970" t="s">
        <v>79</v>
      </c>
      <c r="G2970">
        <v>2.5</v>
      </c>
      <c r="H2970" t="s">
        <v>92</v>
      </c>
      <c r="I2970" t="s">
        <v>79</v>
      </c>
      <c r="J2970">
        <v>1000</v>
      </c>
      <c r="K2970" t="s">
        <v>79</v>
      </c>
      <c r="L2970">
        <v>10</v>
      </c>
      <c r="M2970">
        <v>136.1</v>
      </c>
      <c r="N2970">
        <v>2.5</v>
      </c>
      <c r="O2970">
        <v>22</v>
      </c>
      <c r="Q2970">
        <v>133.6</v>
      </c>
      <c r="R2970" t="s">
        <v>1964</v>
      </c>
      <c r="V2970">
        <v>0</v>
      </c>
      <c r="W2970">
        <v>0</v>
      </c>
      <c r="AF2970">
        <v>0</v>
      </c>
      <c r="AG2970">
        <v>0</v>
      </c>
      <c r="AH2970">
        <v>0</v>
      </c>
      <c r="AI2970">
        <v>12</v>
      </c>
      <c r="AJ2970">
        <v>12</v>
      </c>
      <c r="AM2970">
        <v>0</v>
      </c>
      <c r="AN2970">
        <v>141.1</v>
      </c>
      <c r="AP2970">
        <v>56</v>
      </c>
      <c r="AQ2970">
        <v>56</v>
      </c>
    </row>
    <row r="2971" spans="1:43" x14ac:dyDescent="0.25">
      <c r="A2971" t="s">
        <v>45</v>
      </c>
      <c r="B2971">
        <v>2</v>
      </c>
      <c r="C2971" t="s">
        <v>1928</v>
      </c>
      <c r="D2971" s="39">
        <v>46041</v>
      </c>
      <c r="E2971" t="s">
        <v>486</v>
      </c>
      <c r="F2971" t="s">
        <v>79</v>
      </c>
      <c r="G2971">
        <v>4</v>
      </c>
      <c r="H2971" t="s">
        <v>113</v>
      </c>
      <c r="I2971" t="s">
        <v>79</v>
      </c>
      <c r="J2971">
        <v>1000</v>
      </c>
      <c r="K2971" t="s">
        <v>79</v>
      </c>
      <c r="L2971">
        <v>9</v>
      </c>
      <c r="M2971">
        <v>147.18</v>
      </c>
      <c r="N2971">
        <v>3.6</v>
      </c>
      <c r="Q2971">
        <v>143.58000000000001</v>
      </c>
      <c r="R2971" t="s">
        <v>1966</v>
      </c>
      <c r="T2971">
        <v>120</v>
      </c>
      <c r="V2971">
        <v>120</v>
      </c>
      <c r="W2971">
        <v>2</v>
      </c>
      <c r="AF2971">
        <v>0</v>
      </c>
      <c r="AG2971">
        <v>0</v>
      </c>
      <c r="AH2971">
        <v>2</v>
      </c>
      <c r="AI2971">
        <v>10</v>
      </c>
      <c r="AJ2971">
        <v>12</v>
      </c>
      <c r="AM2971">
        <v>0</v>
      </c>
      <c r="AN2971">
        <v>152.18</v>
      </c>
      <c r="AP2971">
        <v>56</v>
      </c>
      <c r="AQ2971">
        <v>56</v>
      </c>
    </row>
    <row r="2972" spans="1:43" x14ac:dyDescent="0.25">
      <c r="A2972" t="s">
        <v>46</v>
      </c>
      <c r="B2972">
        <v>2</v>
      </c>
      <c r="C2972" t="s">
        <v>1928</v>
      </c>
      <c r="D2972" s="39">
        <v>46041</v>
      </c>
      <c r="E2972" t="s">
        <v>486</v>
      </c>
      <c r="F2972" t="s">
        <v>79</v>
      </c>
      <c r="G2972">
        <v>4</v>
      </c>
      <c r="H2972" t="s">
        <v>113</v>
      </c>
      <c r="I2972" t="s">
        <v>79</v>
      </c>
      <c r="J2972">
        <v>1000</v>
      </c>
      <c r="K2972" t="s">
        <v>79</v>
      </c>
      <c r="L2972">
        <v>11</v>
      </c>
      <c r="M2972">
        <v>177.75</v>
      </c>
      <c r="N2972">
        <v>4.4000000000000004</v>
      </c>
      <c r="Q2972">
        <v>173.35</v>
      </c>
      <c r="R2972" t="s">
        <v>1966</v>
      </c>
      <c r="V2972">
        <v>0</v>
      </c>
      <c r="W2972">
        <v>0</v>
      </c>
      <c r="AF2972">
        <v>0</v>
      </c>
      <c r="AG2972">
        <v>0</v>
      </c>
      <c r="AH2972">
        <v>0</v>
      </c>
      <c r="AI2972">
        <v>12</v>
      </c>
      <c r="AJ2972">
        <v>12</v>
      </c>
      <c r="AM2972">
        <v>0</v>
      </c>
      <c r="AN2972">
        <v>182.75</v>
      </c>
      <c r="AP2972">
        <v>56</v>
      </c>
      <c r="AQ2972">
        <v>56</v>
      </c>
    </row>
    <row r="2973" spans="1:43" x14ac:dyDescent="0.25">
      <c r="A2973" t="s">
        <v>45</v>
      </c>
      <c r="B2973">
        <v>3</v>
      </c>
      <c r="C2973" t="s">
        <v>1933</v>
      </c>
      <c r="D2973" s="39">
        <v>46041</v>
      </c>
      <c r="E2973" t="s">
        <v>486</v>
      </c>
      <c r="F2973" t="s">
        <v>79</v>
      </c>
      <c r="G2973">
        <v>7</v>
      </c>
      <c r="H2973">
        <v>5</v>
      </c>
      <c r="I2973" t="s">
        <v>79</v>
      </c>
      <c r="J2973">
        <v>1000</v>
      </c>
      <c r="K2973" t="s">
        <v>79</v>
      </c>
      <c r="L2973">
        <v>5</v>
      </c>
      <c r="M2973">
        <v>200.90999999999997</v>
      </c>
      <c r="N2973">
        <v>3.5</v>
      </c>
      <c r="Q2973">
        <v>197.40999999999997</v>
      </c>
      <c r="R2973" t="s">
        <v>1967</v>
      </c>
      <c r="T2973">
        <v>180</v>
      </c>
      <c r="V2973">
        <v>180</v>
      </c>
      <c r="W2973">
        <v>3</v>
      </c>
      <c r="AF2973">
        <v>0</v>
      </c>
      <c r="AG2973">
        <v>0</v>
      </c>
      <c r="AH2973">
        <v>3</v>
      </c>
      <c r="AI2973">
        <v>9</v>
      </c>
      <c r="AJ2973">
        <v>12</v>
      </c>
      <c r="AM2973">
        <v>0</v>
      </c>
      <c r="AN2973">
        <v>205.90999999999997</v>
      </c>
      <c r="AP2973">
        <v>56</v>
      </c>
      <c r="AQ2973">
        <v>56</v>
      </c>
    </row>
    <row r="2974" spans="1:43" x14ac:dyDescent="0.25">
      <c r="A2974" t="s">
        <v>46</v>
      </c>
      <c r="B2974">
        <v>3</v>
      </c>
      <c r="C2974" t="s">
        <v>1933</v>
      </c>
      <c r="D2974" s="39">
        <v>46041</v>
      </c>
      <c r="E2974" t="s">
        <v>486</v>
      </c>
      <c r="F2974" t="s">
        <v>79</v>
      </c>
      <c r="G2974">
        <v>7</v>
      </c>
      <c r="H2974">
        <v>5</v>
      </c>
      <c r="I2974" t="s">
        <v>79</v>
      </c>
      <c r="J2974">
        <v>1000</v>
      </c>
      <c r="K2974" t="s">
        <v>79</v>
      </c>
      <c r="L2974">
        <v>7</v>
      </c>
      <c r="M2974">
        <v>259.57</v>
      </c>
      <c r="N2974">
        <v>6.3</v>
      </c>
      <c r="Q2974">
        <v>253.26999999999998</v>
      </c>
      <c r="R2974" t="s">
        <v>1967</v>
      </c>
      <c r="V2974">
        <v>0</v>
      </c>
      <c r="W2974">
        <v>0</v>
      </c>
      <c r="AF2974">
        <v>0</v>
      </c>
      <c r="AG2974">
        <v>0</v>
      </c>
      <c r="AH2974">
        <v>0</v>
      </c>
      <c r="AI2974">
        <v>12</v>
      </c>
      <c r="AJ2974">
        <v>12</v>
      </c>
      <c r="AM2974">
        <v>0</v>
      </c>
      <c r="AN2974">
        <v>264.57</v>
      </c>
      <c r="AP2974">
        <v>56</v>
      </c>
      <c r="AQ2974">
        <v>56</v>
      </c>
    </row>
    <row r="2975" spans="1:43" x14ac:dyDescent="0.25">
      <c r="A2975" t="s">
        <v>45</v>
      </c>
      <c r="B2975">
        <v>4</v>
      </c>
      <c r="C2975" t="s">
        <v>1814</v>
      </c>
      <c r="D2975" s="39">
        <v>46041</v>
      </c>
      <c r="E2975" t="s">
        <v>276</v>
      </c>
      <c r="F2975" t="s">
        <v>79</v>
      </c>
      <c r="G2975">
        <v>18</v>
      </c>
      <c r="H2975" t="s">
        <v>113</v>
      </c>
      <c r="I2975" t="s">
        <v>79</v>
      </c>
      <c r="J2975" t="s">
        <v>81</v>
      </c>
      <c r="K2975" t="s">
        <v>79</v>
      </c>
      <c r="L2975">
        <v>8</v>
      </c>
      <c r="M2975">
        <v>318.77999999999997</v>
      </c>
      <c r="N2975">
        <v>24</v>
      </c>
      <c r="Q2975">
        <v>294.77999999999997</v>
      </c>
      <c r="R2975" t="s">
        <v>1960</v>
      </c>
      <c r="S2975">
        <v>15</v>
      </c>
      <c r="V2975">
        <v>15</v>
      </c>
      <c r="W2975">
        <v>0.25</v>
      </c>
      <c r="AF2975">
        <v>0</v>
      </c>
      <c r="AG2975">
        <v>0</v>
      </c>
      <c r="AH2975">
        <v>0.25</v>
      </c>
      <c r="AI2975">
        <v>11.75</v>
      </c>
      <c r="AJ2975">
        <v>12</v>
      </c>
      <c r="AM2975">
        <v>0</v>
      </c>
      <c r="AN2975">
        <v>323.77999999999997</v>
      </c>
      <c r="AP2975">
        <v>56</v>
      </c>
      <c r="AQ2975">
        <v>56</v>
      </c>
    </row>
    <row r="2976" spans="1:43" x14ac:dyDescent="0.25">
      <c r="A2976" t="s">
        <v>45</v>
      </c>
      <c r="B2976">
        <v>4</v>
      </c>
      <c r="C2976" t="s">
        <v>1863</v>
      </c>
      <c r="D2976" s="39">
        <v>46041</v>
      </c>
      <c r="E2976" t="s">
        <v>1853</v>
      </c>
      <c r="F2976" t="s">
        <v>79</v>
      </c>
      <c r="G2976" t="s">
        <v>121</v>
      </c>
      <c r="H2976" t="s">
        <v>1854</v>
      </c>
      <c r="I2976" t="s">
        <v>79</v>
      </c>
      <c r="J2976">
        <v>100</v>
      </c>
      <c r="K2976" t="s">
        <v>79</v>
      </c>
      <c r="L2976">
        <v>2</v>
      </c>
      <c r="M2976">
        <v>76.92</v>
      </c>
      <c r="N2976">
        <v>5.6</v>
      </c>
      <c r="Q2976">
        <v>71.320000000000007</v>
      </c>
      <c r="R2976" t="s">
        <v>1962</v>
      </c>
      <c r="S2976">
        <v>15</v>
      </c>
      <c r="V2976">
        <v>15</v>
      </c>
      <c r="W2976">
        <v>0.25</v>
      </c>
      <c r="AD2976">
        <v>30</v>
      </c>
      <c r="AF2976">
        <v>30</v>
      </c>
      <c r="AG2976">
        <v>0.5</v>
      </c>
      <c r="AH2976">
        <v>0.75</v>
      </c>
      <c r="AI2976">
        <v>11.25</v>
      </c>
      <c r="AJ2976">
        <v>12</v>
      </c>
      <c r="AM2976">
        <v>0</v>
      </c>
      <c r="AN2976">
        <v>81.92</v>
      </c>
      <c r="AP2976">
        <v>56</v>
      </c>
      <c r="AQ2976">
        <v>56</v>
      </c>
    </row>
    <row r="2977" spans="1:43" x14ac:dyDescent="0.25">
      <c r="A2977" t="s">
        <v>45</v>
      </c>
      <c r="B2977">
        <v>4</v>
      </c>
      <c r="C2977" t="s">
        <v>1814</v>
      </c>
      <c r="D2977" s="39">
        <v>46041</v>
      </c>
      <c r="E2977" t="s">
        <v>276</v>
      </c>
      <c r="F2977" t="s">
        <v>79</v>
      </c>
      <c r="G2977">
        <v>18</v>
      </c>
      <c r="H2977" t="s">
        <v>113</v>
      </c>
      <c r="I2977" t="s">
        <v>79</v>
      </c>
      <c r="J2977" t="s">
        <v>81</v>
      </c>
      <c r="K2977" t="s">
        <v>79</v>
      </c>
      <c r="L2977">
        <v>1</v>
      </c>
      <c r="M2977">
        <v>62.7</v>
      </c>
      <c r="N2977">
        <v>1.8</v>
      </c>
      <c r="Q2977">
        <v>60.900000000000006</v>
      </c>
      <c r="R2977" t="s">
        <v>1960</v>
      </c>
      <c r="S2977">
        <v>15</v>
      </c>
      <c r="V2977">
        <v>15</v>
      </c>
      <c r="W2977">
        <v>0.25</v>
      </c>
      <c r="AF2977">
        <v>0</v>
      </c>
      <c r="AG2977">
        <v>0</v>
      </c>
      <c r="AH2977">
        <v>0.25</v>
      </c>
      <c r="AI2977">
        <v>11.75</v>
      </c>
      <c r="AJ2977">
        <v>12</v>
      </c>
      <c r="AM2977">
        <v>0</v>
      </c>
      <c r="AN2977">
        <v>67.7</v>
      </c>
      <c r="AP2977">
        <v>56</v>
      </c>
      <c r="AQ2977">
        <v>56</v>
      </c>
    </row>
    <row r="2978" spans="1:43" x14ac:dyDescent="0.25">
      <c r="A2978" t="s">
        <v>46</v>
      </c>
      <c r="B2978">
        <v>4</v>
      </c>
      <c r="C2978" t="s">
        <v>1863</v>
      </c>
      <c r="D2978" s="39">
        <v>46041</v>
      </c>
      <c r="E2978" t="s">
        <v>1853</v>
      </c>
      <c r="F2978" t="s">
        <v>79</v>
      </c>
      <c r="G2978" t="s">
        <v>121</v>
      </c>
      <c r="H2978" t="s">
        <v>1854</v>
      </c>
      <c r="I2978" t="s">
        <v>79</v>
      </c>
      <c r="J2978">
        <v>100</v>
      </c>
      <c r="K2978" t="s">
        <v>79</v>
      </c>
      <c r="L2978">
        <v>6</v>
      </c>
      <c r="M2978">
        <v>271.67</v>
      </c>
      <c r="N2978">
        <v>21</v>
      </c>
      <c r="Q2978">
        <v>250.67000000000002</v>
      </c>
      <c r="R2978" t="s">
        <v>1962</v>
      </c>
      <c r="V2978">
        <v>0</v>
      </c>
      <c r="W2978">
        <v>0</v>
      </c>
      <c r="AF2978">
        <v>0</v>
      </c>
      <c r="AG2978">
        <v>0</v>
      </c>
      <c r="AH2978">
        <v>0</v>
      </c>
      <c r="AI2978">
        <v>12</v>
      </c>
      <c r="AJ2978">
        <v>12</v>
      </c>
      <c r="AM2978">
        <v>0</v>
      </c>
      <c r="AN2978">
        <v>276.67</v>
      </c>
      <c r="AP2978">
        <v>56</v>
      </c>
      <c r="AQ2978">
        <v>56</v>
      </c>
    </row>
    <row r="2979" spans="1:43" x14ac:dyDescent="0.25">
      <c r="A2979" t="s">
        <v>46</v>
      </c>
      <c r="B2979">
        <v>4</v>
      </c>
      <c r="C2979" t="s">
        <v>1814</v>
      </c>
      <c r="D2979" s="39">
        <v>46041</v>
      </c>
      <c r="E2979" t="s">
        <v>276</v>
      </c>
      <c r="F2979" t="s">
        <v>79</v>
      </c>
      <c r="G2979">
        <v>18</v>
      </c>
      <c r="H2979" t="s">
        <v>113</v>
      </c>
      <c r="I2979" t="s">
        <v>79</v>
      </c>
      <c r="J2979" t="s">
        <v>81</v>
      </c>
      <c r="K2979" t="s">
        <v>79</v>
      </c>
      <c r="L2979">
        <v>9</v>
      </c>
      <c r="M2979">
        <v>506.5200000000001</v>
      </c>
      <c r="N2979">
        <v>19.8</v>
      </c>
      <c r="Q2979">
        <v>486.72000000000008</v>
      </c>
      <c r="R2979" t="s">
        <v>1960</v>
      </c>
      <c r="S2979">
        <v>20</v>
      </c>
      <c r="V2979">
        <v>20</v>
      </c>
      <c r="W2979">
        <v>0.33333333333333331</v>
      </c>
      <c r="AF2979">
        <v>0</v>
      </c>
      <c r="AG2979">
        <v>0</v>
      </c>
      <c r="AH2979">
        <v>0.33333333333333331</v>
      </c>
      <c r="AI2979">
        <v>11.666666666666666</v>
      </c>
      <c r="AJ2979">
        <v>12</v>
      </c>
      <c r="AM2979">
        <v>0</v>
      </c>
      <c r="AN2979">
        <v>511.5200000000001</v>
      </c>
      <c r="AP2979">
        <v>56</v>
      </c>
      <c r="AQ2979">
        <v>56</v>
      </c>
    </row>
    <row r="2980" spans="1:43" x14ac:dyDescent="0.25">
      <c r="A2980" t="s">
        <v>45</v>
      </c>
      <c r="B2980">
        <v>5</v>
      </c>
      <c r="C2980" t="s">
        <v>1968</v>
      </c>
      <c r="D2980" s="39">
        <v>46041</v>
      </c>
      <c r="E2980" t="s">
        <v>200</v>
      </c>
      <c r="F2980" t="s">
        <v>79</v>
      </c>
      <c r="G2980">
        <v>16</v>
      </c>
      <c r="H2980" t="s">
        <v>944</v>
      </c>
      <c r="I2980" t="s">
        <v>79</v>
      </c>
      <c r="J2980">
        <v>1000</v>
      </c>
      <c r="K2980" t="s">
        <v>79</v>
      </c>
      <c r="L2980">
        <v>3</v>
      </c>
      <c r="M2980">
        <v>158.03</v>
      </c>
      <c r="N2980">
        <v>6</v>
      </c>
      <c r="O2980">
        <v>1.5</v>
      </c>
      <c r="Q2980">
        <v>152.03</v>
      </c>
      <c r="R2980" t="s">
        <v>1969</v>
      </c>
      <c r="T2980">
        <v>210</v>
      </c>
      <c r="V2980">
        <v>210</v>
      </c>
      <c r="W2980">
        <v>3.5</v>
      </c>
      <c r="Z2980">
        <v>120</v>
      </c>
      <c r="AF2980">
        <v>120</v>
      </c>
      <c r="AG2980">
        <v>2</v>
      </c>
      <c r="AH2980">
        <v>5.5</v>
      </c>
      <c r="AI2980">
        <v>6.5</v>
      </c>
      <c r="AJ2980">
        <v>12</v>
      </c>
      <c r="AM2980">
        <v>0</v>
      </c>
      <c r="AN2980">
        <v>163.03</v>
      </c>
      <c r="AP2980">
        <v>56</v>
      </c>
      <c r="AQ2980">
        <v>56</v>
      </c>
    </row>
    <row r="2981" spans="1:43" x14ac:dyDescent="0.25">
      <c r="A2981" t="s">
        <v>46</v>
      </c>
      <c r="B2981">
        <v>5</v>
      </c>
      <c r="C2981" t="s">
        <v>1968</v>
      </c>
      <c r="D2981" s="39">
        <v>46041</v>
      </c>
      <c r="E2981" t="s">
        <v>200</v>
      </c>
      <c r="F2981" t="s">
        <v>79</v>
      </c>
      <c r="G2981">
        <v>16</v>
      </c>
      <c r="H2981" t="s">
        <v>944</v>
      </c>
      <c r="I2981" t="s">
        <v>79</v>
      </c>
      <c r="J2981">
        <v>1000</v>
      </c>
      <c r="K2981" t="s">
        <v>79</v>
      </c>
      <c r="L2981">
        <v>7</v>
      </c>
      <c r="M2981">
        <v>481.13999999999993</v>
      </c>
      <c r="N2981">
        <v>14</v>
      </c>
      <c r="O2981">
        <v>1.5</v>
      </c>
      <c r="Q2981">
        <v>467.13999999999993</v>
      </c>
      <c r="R2981" t="s">
        <v>1969</v>
      </c>
      <c r="V2981">
        <v>0</v>
      </c>
      <c r="W2981">
        <v>0</v>
      </c>
      <c r="AF2981">
        <v>0</v>
      </c>
      <c r="AG2981">
        <v>0</v>
      </c>
      <c r="AH2981">
        <v>0</v>
      </c>
      <c r="AI2981">
        <v>12</v>
      </c>
      <c r="AJ2981">
        <v>12</v>
      </c>
      <c r="AM2981">
        <v>0</v>
      </c>
      <c r="AN2981">
        <v>486.13999999999993</v>
      </c>
      <c r="AP2981">
        <v>56</v>
      </c>
      <c r="AQ2981">
        <v>56</v>
      </c>
    </row>
    <row r="2982" spans="1:43" x14ac:dyDescent="0.25">
      <c r="A2982" t="s">
        <v>45</v>
      </c>
      <c r="B2982">
        <v>1</v>
      </c>
      <c r="C2982" t="s">
        <v>1890</v>
      </c>
      <c r="D2982" s="39">
        <v>46042</v>
      </c>
      <c r="E2982" t="s">
        <v>486</v>
      </c>
      <c r="F2982" t="s">
        <v>79</v>
      </c>
      <c r="G2982">
        <v>2.5</v>
      </c>
      <c r="H2982" t="s">
        <v>92</v>
      </c>
      <c r="I2982" t="s">
        <v>79</v>
      </c>
      <c r="J2982">
        <v>1000</v>
      </c>
      <c r="K2982" t="s">
        <v>79</v>
      </c>
      <c r="L2982">
        <v>8</v>
      </c>
      <c r="M2982">
        <v>111.25999999999999</v>
      </c>
      <c r="N2982">
        <v>2</v>
      </c>
      <c r="Q2982">
        <v>109.25999999999999</v>
      </c>
      <c r="R2982" t="s">
        <v>1964</v>
      </c>
      <c r="U2982">
        <v>240</v>
      </c>
      <c r="V2982">
        <v>240</v>
      </c>
      <c r="W2982">
        <v>4</v>
      </c>
      <c r="AF2982">
        <v>0</v>
      </c>
      <c r="AG2982">
        <v>0</v>
      </c>
      <c r="AH2982">
        <v>4</v>
      </c>
      <c r="AI2982">
        <v>8</v>
      </c>
      <c r="AJ2982">
        <v>12</v>
      </c>
      <c r="AM2982">
        <v>0</v>
      </c>
      <c r="AN2982">
        <v>116.26</v>
      </c>
      <c r="AP2982">
        <v>56</v>
      </c>
      <c r="AQ2982">
        <v>56</v>
      </c>
    </row>
    <row r="2983" spans="1:43" x14ac:dyDescent="0.25">
      <c r="A2983" t="s">
        <v>45</v>
      </c>
      <c r="B2983">
        <v>2</v>
      </c>
      <c r="C2983" t="s">
        <v>1928</v>
      </c>
      <c r="D2983" s="39">
        <v>46042</v>
      </c>
      <c r="E2983" t="s">
        <v>486</v>
      </c>
      <c r="F2983" t="s">
        <v>79</v>
      </c>
      <c r="G2983">
        <v>4</v>
      </c>
      <c r="H2983" t="s">
        <v>113</v>
      </c>
      <c r="I2983" t="s">
        <v>79</v>
      </c>
      <c r="J2983">
        <v>1000</v>
      </c>
      <c r="K2983" t="s">
        <v>79</v>
      </c>
      <c r="L2983">
        <v>6</v>
      </c>
      <c r="M2983">
        <v>89.79</v>
      </c>
      <c r="N2983">
        <v>2.4000000000000004</v>
      </c>
      <c r="Q2983">
        <v>87.39</v>
      </c>
      <c r="R2983" t="s">
        <v>1966</v>
      </c>
      <c r="S2983">
        <v>25</v>
      </c>
      <c r="V2983">
        <v>25</v>
      </c>
      <c r="W2983">
        <v>0.41666666666666674</v>
      </c>
      <c r="AF2983">
        <v>0</v>
      </c>
      <c r="AG2983">
        <v>0</v>
      </c>
      <c r="AH2983">
        <v>0.41666666666666674</v>
      </c>
      <c r="AI2983">
        <v>11.583333333333334</v>
      </c>
      <c r="AJ2983">
        <v>12</v>
      </c>
      <c r="AM2983">
        <v>0</v>
      </c>
      <c r="AN2983">
        <v>94.79</v>
      </c>
      <c r="AP2983">
        <v>56</v>
      </c>
      <c r="AQ2983">
        <v>56</v>
      </c>
    </row>
    <row r="2984" spans="1:43" x14ac:dyDescent="0.25">
      <c r="A2984" t="s">
        <v>45</v>
      </c>
      <c r="B2984">
        <v>2</v>
      </c>
      <c r="C2984" t="s">
        <v>1970</v>
      </c>
      <c r="D2984" s="39">
        <v>46042</v>
      </c>
      <c r="E2984" t="s">
        <v>486</v>
      </c>
      <c r="F2984" t="s">
        <v>79</v>
      </c>
      <c r="G2984">
        <v>3</v>
      </c>
      <c r="H2984" t="s">
        <v>92</v>
      </c>
      <c r="I2984" t="s">
        <v>79</v>
      </c>
      <c r="J2984">
        <v>1000</v>
      </c>
      <c r="K2984" t="s">
        <v>79</v>
      </c>
      <c r="L2984">
        <v>4</v>
      </c>
      <c r="M2984">
        <v>51.21</v>
      </c>
      <c r="N2984">
        <v>1.2</v>
      </c>
      <c r="Q2984">
        <v>50.01</v>
      </c>
      <c r="R2984" t="s">
        <v>2024</v>
      </c>
      <c r="V2984">
        <v>0</v>
      </c>
      <c r="W2984">
        <v>0</v>
      </c>
      <c r="AF2984">
        <v>0</v>
      </c>
      <c r="AG2984">
        <v>0</v>
      </c>
      <c r="AH2984">
        <v>0</v>
      </c>
      <c r="AI2984">
        <v>12</v>
      </c>
      <c r="AJ2984">
        <v>12</v>
      </c>
      <c r="AM2984">
        <v>0</v>
      </c>
      <c r="AN2984">
        <v>56.21</v>
      </c>
      <c r="AP2984">
        <v>56</v>
      </c>
      <c r="AQ2984">
        <v>56</v>
      </c>
    </row>
    <row r="2985" spans="1:43" x14ac:dyDescent="0.25">
      <c r="A2985" t="s">
        <v>46</v>
      </c>
      <c r="B2985">
        <v>2</v>
      </c>
      <c r="C2985" t="s">
        <v>1970</v>
      </c>
      <c r="D2985" s="39">
        <v>46042</v>
      </c>
      <c r="E2985" t="s">
        <v>486</v>
      </c>
      <c r="F2985" t="s">
        <v>79</v>
      </c>
      <c r="G2985">
        <v>3</v>
      </c>
      <c r="H2985" t="s">
        <v>92</v>
      </c>
      <c r="I2985" t="s">
        <v>79</v>
      </c>
      <c r="J2985">
        <v>1000</v>
      </c>
      <c r="K2985" t="s">
        <v>79</v>
      </c>
      <c r="L2985">
        <v>9</v>
      </c>
      <c r="M2985">
        <v>119.67</v>
      </c>
      <c r="N2985">
        <v>2.6999999999999997</v>
      </c>
      <c r="Q2985">
        <v>116.97</v>
      </c>
      <c r="R2985" t="s">
        <v>2024</v>
      </c>
      <c r="V2985">
        <v>0</v>
      </c>
      <c r="W2985">
        <v>0</v>
      </c>
      <c r="AF2985">
        <v>0</v>
      </c>
      <c r="AG2985">
        <v>0</v>
      </c>
      <c r="AH2985">
        <v>0</v>
      </c>
      <c r="AI2985">
        <v>12</v>
      </c>
      <c r="AJ2985">
        <v>12</v>
      </c>
      <c r="AM2985">
        <v>0</v>
      </c>
      <c r="AN2985">
        <v>124.67</v>
      </c>
      <c r="AP2985">
        <v>56</v>
      </c>
      <c r="AQ2985">
        <v>56</v>
      </c>
    </row>
    <row r="2986" spans="1:43" x14ac:dyDescent="0.25">
      <c r="A2986" t="s">
        <v>45</v>
      </c>
      <c r="B2986">
        <v>3</v>
      </c>
      <c r="C2986" t="s">
        <v>1933</v>
      </c>
      <c r="D2986" s="39">
        <v>46042</v>
      </c>
      <c r="E2986" t="s">
        <v>486</v>
      </c>
      <c r="F2986" t="s">
        <v>79</v>
      </c>
      <c r="G2986">
        <v>7</v>
      </c>
      <c r="H2986">
        <v>5</v>
      </c>
      <c r="I2986" t="s">
        <v>79</v>
      </c>
      <c r="J2986">
        <v>1000</v>
      </c>
      <c r="K2986" t="s">
        <v>79</v>
      </c>
      <c r="L2986">
        <v>5</v>
      </c>
      <c r="M2986">
        <v>220.11</v>
      </c>
      <c r="N2986">
        <v>3.5</v>
      </c>
      <c r="Q2986">
        <v>216.61</v>
      </c>
      <c r="R2986" t="s">
        <v>1967</v>
      </c>
      <c r="U2986">
        <v>180</v>
      </c>
      <c r="V2986">
        <v>180</v>
      </c>
      <c r="W2986">
        <v>3</v>
      </c>
      <c r="AF2986">
        <v>0</v>
      </c>
      <c r="AG2986">
        <v>0</v>
      </c>
      <c r="AH2986">
        <v>3</v>
      </c>
      <c r="AI2986">
        <v>9</v>
      </c>
      <c r="AJ2986">
        <v>12</v>
      </c>
      <c r="AM2986">
        <v>0</v>
      </c>
      <c r="AN2986">
        <v>225.11</v>
      </c>
      <c r="AP2986">
        <v>56</v>
      </c>
      <c r="AQ2986">
        <v>56</v>
      </c>
    </row>
    <row r="2987" spans="1:43" x14ac:dyDescent="0.25">
      <c r="A2987" t="s">
        <v>45</v>
      </c>
      <c r="B2987">
        <v>4</v>
      </c>
      <c r="C2987" t="s">
        <v>1814</v>
      </c>
      <c r="D2987" s="39">
        <v>46042</v>
      </c>
      <c r="E2987" t="s">
        <v>276</v>
      </c>
      <c r="F2987" t="s">
        <v>79</v>
      </c>
      <c r="G2987">
        <v>18</v>
      </c>
      <c r="H2987" t="s">
        <v>113</v>
      </c>
      <c r="I2987" t="s">
        <v>79</v>
      </c>
      <c r="J2987" t="s">
        <v>81</v>
      </c>
      <c r="K2987" t="s">
        <v>79</v>
      </c>
      <c r="L2987">
        <v>5</v>
      </c>
      <c r="M2987">
        <v>314.46000000000004</v>
      </c>
      <c r="N2987">
        <v>9</v>
      </c>
      <c r="Q2987">
        <v>305.46000000000004</v>
      </c>
      <c r="R2987" t="s">
        <v>1960</v>
      </c>
      <c r="V2987">
        <v>0</v>
      </c>
      <c r="W2987">
        <v>0</v>
      </c>
      <c r="AF2987">
        <v>0</v>
      </c>
      <c r="AG2987">
        <v>0</v>
      </c>
      <c r="AH2987">
        <v>0</v>
      </c>
      <c r="AI2987">
        <v>12</v>
      </c>
      <c r="AJ2987">
        <v>12</v>
      </c>
      <c r="AM2987">
        <v>0</v>
      </c>
      <c r="AN2987">
        <v>319.46000000000004</v>
      </c>
      <c r="AP2987">
        <v>56</v>
      </c>
      <c r="AQ2987">
        <v>56</v>
      </c>
    </row>
    <row r="2988" spans="1:43" x14ac:dyDescent="0.25">
      <c r="A2988" t="s">
        <v>45</v>
      </c>
      <c r="B2988">
        <v>4</v>
      </c>
      <c r="C2988" t="s">
        <v>1971</v>
      </c>
      <c r="D2988" s="39">
        <v>46042</v>
      </c>
      <c r="E2988" t="s">
        <v>1947</v>
      </c>
      <c r="F2988" t="s">
        <v>79</v>
      </c>
      <c r="G2988">
        <v>18</v>
      </c>
      <c r="H2988" t="s">
        <v>1049</v>
      </c>
      <c r="I2988" t="s">
        <v>79</v>
      </c>
      <c r="J2988">
        <v>100</v>
      </c>
      <c r="K2988" t="s">
        <v>79</v>
      </c>
      <c r="L2988">
        <v>4</v>
      </c>
      <c r="M2988">
        <v>189.54000000000002</v>
      </c>
      <c r="N2988">
        <v>7.2</v>
      </c>
      <c r="Q2988">
        <v>182.34000000000003</v>
      </c>
      <c r="R2988" t="s">
        <v>1972</v>
      </c>
      <c r="V2988">
        <v>0</v>
      </c>
      <c r="W2988">
        <v>0</v>
      </c>
      <c r="AF2988">
        <v>0</v>
      </c>
      <c r="AG2988">
        <v>0</v>
      </c>
      <c r="AH2988">
        <v>0</v>
      </c>
      <c r="AI2988">
        <v>12</v>
      </c>
      <c r="AJ2988">
        <v>12</v>
      </c>
      <c r="AM2988">
        <v>0</v>
      </c>
      <c r="AN2988">
        <v>194.54</v>
      </c>
      <c r="AP2988">
        <v>56</v>
      </c>
      <c r="AQ2988">
        <v>56</v>
      </c>
    </row>
    <row r="2989" spans="1:43" x14ac:dyDescent="0.25">
      <c r="A2989" t="s">
        <v>45</v>
      </c>
      <c r="B2989">
        <v>4</v>
      </c>
      <c r="C2989" t="s">
        <v>1973</v>
      </c>
      <c r="D2989" s="39">
        <v>46042</v>
      </c>
      <c r="E2989" t="s">
        <v>200</v>
      </c>
      <c r="F2989" t="s">
        <v>79</v>
      </c>
      <c r="G2989">
        <v>18</v>
      </c>
      <c r="H2989" t="s">
        <v>944</v>
      </c>
      <c r="I2989" t="s">
        <v>79</v>
      </c>
      <c r="J2989">
        <v>500</v>
      </c>
      <c r="K2989" t="s">
        <v>79</v>
      </c>
      <c r="L2989">
        <v>2</v>
      </c>
      <c r="M2989">
        <v>122.66</v>
      </c>
      <c r="N2989">
        <v>3.6</v>
      </c>
      <c r="Q2989">
        <v>119.06</v>
      </c>
      <c r="R2989" t="s">
        <v>1974</v>
      </c>
      <c r="V2989">
        <v>0</v>
      </c>
      <c r="W2989">
        <v>0</v>
      </c>
      <c r="AF2989">
        <v>0</v>
      </c>
      <c r="AG2989">
        <v>0</v>
      </c>
      <c r="AH2989">
        <v>0</v>
      </c>
      <c r="AI2989">
        <v>12</v>
      </c>
      <c r="AJ2989">
        <v>12</v>
      </c>
      <c r="AM2989">
        <v>0</v>
      </c>
      <c r="AN2989">
        <v>127.66</v>
      </c>
      <c r="AP2989">
        <v>56</v>
      </c>
      <c r="AQ2989">
        <v>56</v>
      </c>
    </row>
    <row r="2990" spans="1:43" x14ac:dyDescent="0.25">
      <c r="A2990" t="s">
        <v>45</v>
      </c>
      <c r="B2990">
        <v>4</v>
      </c>
      <c r="C2990" t="s">
        <v>1975</v>
      </c>
      <c r="D2990" s="39">
        <v>46042</v>
      </c>
      <c r="E2990" t="s">
        <v>1947</v>
      </c>
      <c r="F2990" t="s">
        <v>79</v>
      </c>
      <c r="G2990">
        <v>18</v>
      </c>
      <c r="H2990" t="s">
        <v>135</v>
      </c>
      <c r="I2990" t="s">
        <v>79</v>
      </c>
      <c r="J2990">
        <v>50</v>
      </c>
      <c r="K2990" t="s">
        <v>79</v>
      </c>
      <c r="L2990">
        <v>1</v>
      </c>
      <c r="M2990">
        <v>47.29</v>
      </c>
      <c r="N2990">
        <v>1.8</v>
      </c>
      <c r="Q2990">
        <v>45.49</v>
      </c>
      <c r="R2990" t="s">
        <v>1976</v>
      </c>
      <c r="V2990">
        <v>0</v>
      </c>
      <c r="W2990">
        <v>0</v>
      </c>
      <c r="AF2990">
        <v>0</v>
      </c>
      <c r="AG2990">
        <v>0</v>
      </c>
      <c r="AH2990">
        <v>0</v>
      </c>
      <c r="AI2990">
        <v>12</v>
      </c>
      <c r="AJ2990">
        <v>12</v>
      </c>
      <c r="AM2990">
        <v>0</v>
      </c>
      <c r="AN2990">
        <v>52.29</v>
      </c>
      <c r="AP2990">
        <v>56</v>
      </c>
      <c r="AQ2990">
        <v>56</v>
      </c>
    </row>
    <row r="2991" spans="1:43" x14ac:dyDescent="0.25">
      <c r="A2991" t="s">
        <v>45</v>
      </c>
      <c r="B2991">
        <v>4</v>
      </c>
      <c r="C2991" t="s">
        <v>1971</v>
      </c>
      <c r="D2991" s="39">
        <v>46042</v>
      </c>
      <c r="E2991" t="s">
        <v>1947</v>
      </c>
      <c r="F2991" t="s">
        <v>79</v>
      </c>
      <c r="G2991">
        <v>18</v>
      </c>
      <c r="H2991" t="s">
        <v>1049</v>
      </c>
      <c r="I2991" t="s">
        <v>79</v>
      </c>
      <c r="J2991">
        <v>100</v>
      </c>
      <c r="K2991" t="s">
        <v>79</v>
      </c>
      <c r="L2991">
        <v>2</v>
      </c>
      <c r="M2991">
        <v>83.02000000000001</v>
      </c>
      <c r="N2991">
        <v>3.6</v>
      </c>
      <c r="O2991">
        <v>20</v>
      </c>
      <c r="Q2991">
        <v>79.420000000000016</v>
      </c>
      <c r="R2991" t="s">
        <v>1972</v>
      </c>
      <c r="V2991">
        <v>0</v>
      </c>
      <c r="W2991">
        <v>0</v>
      </c>
      <c r="AF2991">
        <v>0</v>
      </c>
      <c r="AG2991">
        <v>0</v>
      </c>
      <c r="AH2991">
        <v>0</v>
      </c>
      <c r="AI2991">
        <v>12</v>
      </c>
      <c r="AJ2991">
        <v>12</v>
      </c>
      <c r="AM2991">
        <v>0</v>
      </c>
      <c r="AN2991">
        <v>88.02000000000001</v>
      </c>
      <c r="AP2991">
        <v>56</v>
      </c>
      <c r="AQ2991">
        <v>56</v>
      </c>
    </row>
    <row r="2992" spans="1:43" x14ac:dyDescent="0.25">
      <c r="A2992" t="s">
        <v>46</v>
      </c>
      <c r="B2992">
        <v>4</v>
      </c>
      <c r="C2992" t="s">
        <v>1973</v>
      </c>
      <c r="D2992" s="39">
        <v>46042</v>
      </c>
      <c r="E2992" t="s">
        <v>200</v>
      </c>
      <c r="F2992" t="s">
        <v>79</v>
      </c>
      <c r="G2992">
        <v>18</v>
      </c>
      <c r="H2992" t="s">
        <v>944</v>
      </c>
      <c r="I2992" t="s">
        <v>79</v>
      </c>
      <c r="J2992">
        <v>500</v>
      </c>
      <c r="K2992" t="s">
        <v>79</v>
      </c>
      <c r="L2992">
        <v>14</v>
      </c>
      <c r="M2992">
        <v>719.59999999999991</v>
      </c>
      <c r="N2992">
        <v>28</v>
      </c>
      <c r="O2992">
        <v>7</v>
      </c>
      <c r="Q2992">
        <v>691.59999999999991</v>
      </c>
      <c r="R2992" t="s">
        <v>1974</v>
      </c>
      <c r="V2992">
        <v>0</v>
      </c>
      <c r="W2992">
        <v>0</v>
      </c>
      <c r="AF2992">
        <v>0</v>
      </c>
      <c r="AG2992">
        <v>0</v>
      </c>
      <c r="AH2992">
        <v>0</v>
      </c>
      <c r="AI2992">
        <v>12</v>
      </c>
      <c r="AJ2992">
        <v>12</v>
      </c>
      <c r="AM2992">
        <v>0</v>
      </c>
      <c r="AN2992">
        <v>724.5999999999998</v>
      </c>
      <c r="AP2992">
        <v>56</v>
      </c>
      <c r="AQ2992">
        <v>56</v>
      </c>
    </row>
    <row r="2993" spans="1:43" x14ac:dyDescent="0.25">
      <c r="A2993" t="s">
        <v>46</v>
      </c>
      <c r="B2993">
        <v>4</v>
      </c>
      <c r="C2993" t="s">
        <v>1977</v>
      </c>
      <c r="D2993" s="39">
        <v>46042</v>
      </c>
      <c r="E2993" t="s">
        <v>674</v>
      </c>
      <c r="F2993" t="s">
        <v>79</v>
      </c>
      <c r="G2993">
        <v>18</v>
      </c>
      <c r="H2993" t="s">
        <v>102</v>
      </c>
      <c r="I2993" t="s">
        <v>79</v>
      </c>
      <c r="J2993">
        <v>50</v>
      </c>
      <c r="K2993" t="s">
        <v>79</v>
      </c>
      <c r="L2993">
        <v>1</v>
      </c>
      <c r="M2993">
        <v>55.89</v>
      </c>
      <c r="N2993">
        <v>1.8</v>
      </c>
      <c r="Q2993">
        <v>54.09</v>
      </c>
      <c r="R2993" t="s">
        <v>1978</v>
      </c>
      <c r="V2993">
        <v>0</v>
      </c>
      <c r="W2993">
        <v>0</v>
      </c>
      <c r="AF2993">
        <v>0</v>
      </c>
      <c r="AG2993">
        <v>0</v>
      </c>
      <c r="AH2993">
        <v>0</v>
      </c>
      <c r="AI2993">
        <v>12</v>
      </c>
      <c r="AJ2993">
        <v>12</v>
      </c>
      <c r="AM2993">
        <v>0</v>
      </c>
      <c r="AN2993">
        <v>60.89</v>
      </c>
      <c r="AP2993">
        <v>56</v>
      </c>
      <c r="AQ2993">
        <v>56</v>
      </c>
    </row>
    <row r="2994" spans="1:43" x14ac:dyDescent="0.25">
      <c r="A2994" t="s">
        <v>46</v>
      </c>
      <c r="B2994">
        <v>4</v>
      </c>
      <c r="C2994" t="s">
        <v>1979</v>
      </c>
      <c r="D2994" s="39">
        <v>46042</v>
      </c>
      <c r="E2994" t="s">
        <v>200</v>
      </c>
      <c r="F2994" t="s">
        <v>79</v>
      </c>
      <c r="G2994">
        <v>18</v>
      </c>
      <c r="H2994" t="s">
        <v>578</v>
      </c>
      <c r="I2994" t="s">
        <v>79</v>
      </c>
      <c r="J2994">
        <v>150</v>
      </c>
      <c r="K2994" t="s">
        <v>79</v>
      </c>
      <c r="L2994">
        <v>2</v>
      </c>
      <c r="M2994">
        <v>81.789999999999992</v>
      </c>
      <c r="N2994">
        <v>3.4</v>
      </c>
      <c r="Q2994">
        <v>78.389999999999986</v>
      </c>
      <c r="R2994" t="s">
        <v>1980</v>
      </c>
      <c r="V2994">
        <v>0</v>
      </c>
      <c r="W2994">
        <v>0</v>
      </c>
      <c r="AF2994">
        <v>0</v>
      </c>
      <c r="AG2994">
        <v>0</v>
      </c>
      <c r="AH2994">
        <v>0</v>
      </c>
      <c r="AI2994">
        <v>12</v>
      </c>
      <c r="AJ2994">
        <v>12</v>
      </c>
      <c r="AM2994">
        <v>0</v>
      </c>
      <c r="AN2994">
        <v>86.79</v>
      </c>
      <c r="AP2994">
        <v>56</v>
      </c>
      <c r="AQ2994">
        <v>56</v>
      </c>
    </row>
    <row r="2995" spans="1:43" x14ac:dyDescent="0.25">
      <c r="A2995" t="s">
        <v>45</v>
      </c>
      <c r="B2995">
        <v>5</v>
      </c>
      <c r="C2995" t="s">
        <v>1968</v>
      </c>
      <c r="D2995" s="39">
        <v>46042</v>
      </c>
      <c r="E2995" t="s">
        <v>200</v>
      </c>
      <c r="F2995" t="s">
        <v>79</v>
      </c>
      <c r="G2995">
        <v>16</v>
      </c>
      <c r="H2995" t="s">
        <v>944</v>
      </c>
      <c r="I2995" t="s">
        <v>79</v>
      </c>
      <c r="J2995">
        <v>1000</v>
      </c>
      <c r="K2995" t="s">
        <v>79</v>
      </c>
      <c r="L2995">
        <v>5</v>
      </c>
      <c r="M2995">
        <v>307.37</v>
      </c>
      <c r="N2995">
        <v>8</v>
      </c>
      <c r="Q2995">
        <v>299.37</v>
      </c>
      <c r="R2995" t="s">
        <v>1969</v>
      </c>
      <c r="V2995">
        <v>0</v>
      </c>
      <c r="W2995">
        <v>0</v>
      </c>
      <c r="AF2995">
        <v>0</v>
      </c>
      <c r="AG2995">
        <v>0</v>
      </c>
      <c r="AH2995">
        <v>0</v>
      </c>
      <c r="AI2995">
        <v>12</v>
      </c>
      <c r="AJ2995">
        <v>12</v>
      </c>
      <c r="AM2995">
        <v>0</v>
      </c>
      <c r="AN2995">
        <v>312.37</v>
      </c>
      <c r="AP2995">
        <v>56</v>
      </c>
      <c r="AQ2995">
        <v>56</v>
      </c>
    </row>
    <row r="2996" spans="1:43" x14ac:dyDescent="0.25">
      <c r="A2996" t="s">
        <v>45</v>
      </c>
      <c r="B2996">
        <v>5</v>
      </c>
      <c r="C2996" t="s">
        <v>1981</v>
      </c>
      <c r="D2996" s="39">
        <v>46042</v>
      </c>
      <c r="E2996" t="s">
        <v>200</v>
      </c>
      <c r="F2996" t="s">
        <v>79</v>
      </c>
      <c r="G2996">
        <v>16</v>
      </c>
      <c r="H2996" t="s">
        <v>578</v>
      </c>
      <c r="I2996" t="s">
        <v>79</v>
      </c>
      <c r="J2996">
        <v>250</v>
      </c>
      <c r="K2996" t="s">
        <v>79</v>
      </c>
      <c r="L2996">
        <v>6</v>
      </c>
      <c r="M2996">
        <v>250.18</v>
      </c>
      <c r="N2996">
        <v>9.6000000000000014</v>
      </c>
      <c r="O2996">
        <v>2</v>
      </c>
      <c r="Q2996">
        <v>240.58</v>
      </c>
      <c r="R2996" t="s">
        <v>1982</v>
      </c>
      <c r="S2996">
        <v>25</v>
      </c>
      <c r="V2996">
        <v>25</v>
      </c>
      <c r="W2996">
        <v>0.41666666666666674</v>
      </c>
      <c r="AF2996">
        <v>0</v>
      </c>
      <c r="AG2996">
        <v>0</v>
      </c>
      <c r="AH2996">
        <v>0.41666666666666674</v>
      </c>
      <c r="AI2996">
        <v>11.583333333333334</v>
      </c>
      <c r="AJ2996">
        <v>12</v>
      </c>
      <c r="AM2996">
        <v>0</v>
      </c>
      <c r="AN2996">
        <v>255.18</v>
      </c>
      <c r="AP2996">
        <v>56</v>
      </c>
      <c r="AQ2996">
        <v>56</v>
      </c>
    </row>
    <row r="2997" spans="1:43" x14ac:dyDescent="0.25">
      <c r="A2997" t="s">
        <v>46</v>
      </c>
      <c r="B2997">
        <v>5</v>
      </c>
      <c r="C2997" t="s">
        <v>1983</v>
      </c>
      <c r="D2997" s="39">
        <v>46042</v>
      </c>
      <c r="E2997" t="s">
        <v>1984</v>
      </c>
      <c r="F2997" t="s">
        <v>79</v>
      </c>
      <c r="G2997">
        <v>17</v>
      </c>
      <c r="H2997" t="s">
        <v>113</v>
      </c>
      <c r="I2997" t="s">
        <v>79</v>
      </c>
      <c r="J2997">
        <v>1500</v>
      </c>
      <c r="K2997" t="s">
        <v>79</v>
      </c>
      <c r="L2997">
        <v>10</v>
      </c>
      <c r="M2997">
        <v>554.22</v>
      </c>
      <c r="N2997">
        <v>17</v>
      </c>
      <c r="O2997">
        <v>2</v>
      </c>
      <c r="Q2997">
        <v>537.22</v>
      </c>
      <c r="R2997" t="s">
        <v>1985</v>
      </c>
      <c r="V2997">
        <v>0</v>
      </c>
      <c r="W2997">
        <v>0</v>
      </c>
      <c r="AF2997">
        <v>0</v>
      </c>
      <c r="AG2997">
        <v>0</v>
      </c>
      <c r="AH2997">
        <v>0</v>
      </c>
      <c r="AI2997">
        <v>12</v>
      </c>
      <c r="AJ2997">
        <v>12</v>
      </c>
      <c r="AM2997">
        <v>0</v>
      </c>
      <c r="AN2997">
        <v>559.22</v>
      </c>
      <c r="AP2997">
        <v>56</v>
      </c>
      <c r="AQ2997">
        <v>56</v>
      </c>
    </row>
    <row r="2998" spans="1:43" x14ac:dyDescent="0.25">
      <c r="A2998" t="s">
        <v>45</v>
      </c>
      <c r="B2998">
        <v>2</v>
      </c>
      <c r="C2998" t="s">
        <v>1970</v>
      </c>
      <c r="D2998" s="39">
        <v>46043</v>
      </c>
      <c r="E2998" t="s">
        <v>486</v>
      </c>
      <c r="F2998" t="s">
        <v>79</v>
      </c>
      <c r="G2998">
        <v>3</v>
      </c>
      <c r="H2998" t="s">
        <v>92</v>
      </c>
      <c r="I2998" t="s">
        <v>79</v>
      </c>
      <c r="J2998">
        <v>1000</v>
      </c>
      <c r="K2998" t="s">
        <v>79</v>
      </c>
      <c r="L2998">
        <v>9</v>
      </c>
      <c r="M2998">
        <v>114.55</v>
      </c>
      <c r="N2998">
        <v>2.6999999999999997</v>
      </c>
      <c r="Q2998">
        <v>111.85</v>
      </c>
      <c r="R2998" t="s">
        <v>2024</v>
      </c>
      <c r="V2998">
        <v>0</v>
      </c>
      <c r="W2998">
        <v>0</v>
      </c>
      <c r="AF2998">
        <v>0</v>
      </c>
      <c r="AG2998">
        <v>0</v>
      </c>
      <c r="AH2998">
        <v>0</v>
      </c>
      <c r="AI2998">
        <v>12</v>
      </c>
      <c r="AJ2998">
        <v>12</v>
      </c>
      <c r="AM2998">
        <v>0</v>
      </c>
      <c r="AN2998">
        <v>119.55</v>
      </c>
      <c r="AP2998">
        <v>56</v>
      </c>
      <c r="AQ2998">
        <v>56</v>
      </c>
    </row>
    <row r="2999" spans="1:43" x14ac:dyDescent="0.25">
      <c r="A2999" t="s">
        <v>46</v>
      </c>
      <c r="B2999">
        <v>2</v>
      </c>
      <c r="C2999" t="s">
        <v>1970</v>
      </c>
      <c r="D2999" s="39">
        <v>46043</v>
      </c>
      <c r="E2999" t="s">
        <v>486</v>
      </c>
      <c r="F2999" t="s">
        <v>79</v>
      </c>
      <c r="G2999">
        <v>3</v>
      </c>
      <c r="H2999" t="s">
        <v>92</v>
      </c>
      <c r="I2999" t="s">
        <v>79</v>
      </c>
      <c r="J2999">
        <v>1000</v>
      </c>
      <c r="K2999" t="s">
        <v>79</v>
      </c>
      <c r="L2999">
        <v>10</v>
      </c>
      <c r="M2999">
        <v>142.74</v>
      </c>
      <c r="N2999">
        <v>3</v>
      </c>
      <c r="Q2999">
        <v>139.74</v>
      </c>
      <c r="R2999" t="s">
        <v>2024</v>
      </c>
      <c r="V2999">
        <v>0</v>
      </c>
      <c r="W2999">
        <v>0</v>
      </c>
      <c r="AF2999">
        <v>0</v>
      </c>
      <c r="AG2999">
        <v>0</v>
      </c>
      <c r="AH2999">
        <v>0</v>
      </c>
      <c r="AI2999">
        <v>12</v>
      </c>
      <c r="AJ2999">
        <v>12</v>
      </c>
      <c r="AM2999">
        <v>0</v>
      </c>
      <c r="AN2999">
        <v>147.74</v>
      </c>
      <c r="AP2999">
        <v>56</v>
      </c>
      <c r="AQ2999">
        <v>56</v>
      </c>
    </row>
    <row r="3000" spans="1:43" x14ac:dyDescent="0.25">
      <c r="A3000" t="s">
        <v>45</v>
      </c>
      <c r="B3000">
        <v>4</v>
      </c>
      <c r="C3000" t="s">
        <v>1979</v>
      </c>
      <c r="D3000" s="39">
        <v>46043</v>
      </c>
      <c r="E3000" t="s">
        <v>200</v>
      </c>
      <c r="F3000" t="s">
        <v>79</v>
      </c>
      <c r="G3000">
        <v>18</v>
      </c>
      <c r="H3000" t="s">
        <v>578</v>
      </c>
      <c r="I3000" t="s">
        <v>79</v>
      </c>
      <c r="J3000">
        <v>150</v>
      </c>
      <c r="K3000" t="s">
        <v>79</v>
      </c>
      <c r="L3000">
        <v>2</v>
      </c>
      <c r="M3000">
        <v>94.02000000000001</v>
      </c>
      <c r="N3000">
        <v>3.6</v>
      </c>
      <c r="Q3000">
        <v>90.420000000000016</v>
      </c>
      <c r="R3000" t="s">
        <v>1980</v>
      </c>
      <c r="V3000">
        <v>0</v>
      </c>
      <c r="W3000">
        <v>0</v>
      </c>
      <c r="AF3000">
        <v>0</v>
      </c>
      <c r="AG3000">
        <v>0</v>
      </c>
      <c r="AH3000">
        <v>0</v>
      </c>
      <c r="AI3000">
        <v>12</v>
      </c>
      <c r="AJ3000">
        <v>12</v>
      </c>
      <c r="AM3000">
        <v>0</v>
      </c>
      <c r="AN3000">
        <v>99.02</v>
      </c>
      <c r="AP3000">
        <v>56</v>
      </c>
      <c r="AQ3000">
        <v>56</v>
      </c>
    </row>
    <row r="3001" spans="1:43" x14ac:dyDescent="0.25">
      <c r="A3001" t="s">
        <v>45</v>
      </c>
      <c r="B3001">
        <v>4</v>
      </c>
      <c r="C3001" t="s">
        <v>1986</v>
      </c>
      <c r="D3001" s="39">
        <v>46043</v>
      </c>
      <c r="E3001" t="s">
        <v>200</v>
      </c>
      <c r="F3001" t="s">
        <v>79</v>
      </c>
      <c r="G3001">
        <v>24</v>
      </c>
      <c r="H3001" t="s">
        <v>578</v>
      </c>
      <c r="I3001" t="s">
        <v>79</v>
      </c>
      <c r="J3001">
        <v>100</v>
      </c>
      <c r="K3001" t="s">
        <v>79</v>
      </c>
      <c r="L3001">
        <v>2</v>
      </c>
      <c r="M3001">
        <v>107.28</v>
      </c>
      <c r="N3001">
        <v>4.8</v>
      </c>
      <c r="Q3001">
        <v>102.48</v>
      </c>
      <c r="R3001" t="s">
        <v>1987</v>
      </c>
      <c r="V3001">
        <v>0</v>
      </c>
      <c r="W3001">
        <v>0</v>
      </c>
      <c r="AF3001">
        <v>0</v>
      </c>
      <c r="AG3001">
        <v>0</v>
      </c>
      <c r="AH3001">
        <v>0</v>
      </c>
      <c r="AI3001">
        <v>12</v>
      </c>
      <c r="AJ3001">
        <v>12</v>
      </c>
      <c r="AM3001">
        <v>0</v>
      </c>
      <c r="AN3001">
        <v>112.28</v>
      </c>
      <c r="AP3001">
        <v>56</v>
      </c>
      <c r="AQ3001">
        <v>56</v>
      </c>
    </row>
    <row r="3002" spans="1:43" x14ac:dyDescent="0.25">
      <c r="A3002" t="s">
        <v>45</v>
      </c>
      <c r="B3002">
        <v>4</v>
      </c>
      <c r="C3002" t="s">
        <v>1988</v>
      </c>
      <c r="D3002" s="39">
        <v>46043</v>
      </c>
      <c r="E3002" t="s">
        <v>400</v>
      </c>
      <c r="F3002" t="s">
        <v>79</v>
      </c>
      <c r="G3002">
        <v>24</v>
      </c>
      <c r="H3002">
        <v>10</v>
      </c>
      <c r="I3002" t="s">
        <v>79</v>
      </c>
      <c r="J3002">
        <v>210</v>
      </c>
      <c r="K3002" t="s">
        <v>79</v>
      </c>
      <c r="L3002">
        <v>2</v>
      </c>
      <c r="M3002">
        <v>119.93</v>
      </c>
      <c r="N3002">
        <v>4.8</v>
      </c>
      <c r="Q3002">
        <v>115.13000000000001</v>
      </c>
      <c r="R3002" t="s">
        <v>1989</v>
      </c>
      <c r="S3002">
        <v>25</v>
      </c>
      <c r="V3002">
        <v>25</v>
      </c>
      <c r="W3002">
        <v>0.41666666666666674</v>
      </c>
      <c r="AF3002">
        <v>0</v>
      </c>
      <c r="AG3002">
        <v>0</v>
      </c>
      <c r="AH3002">
        <v>0.41666666666666674</v>
      </c>
      <c r="AI3002">
        <v>11.583333333333334</v>
      </c>
      <c r="AJ3002">
        <v>12</v>
      </c>
      <c r="AM3002">
        <v>0</v>
      </c>
      <c r="AN3002">
        <v>124.93</v>
      </c>
      <c r="AP3002">
        <v>56</v>
      </c>
      <c r="AQ3002">
        <v>56</v>
      </c>
    </row>
    <row r="3003" spans="1:43" x14ac:dyDescent="0.25">
      <c r="A3003" t="s">
        <v>45</v>
      </c>
      <c r="B3003">
        <v>4</v>
      </c>
      <c r="C3003" t="s">
        <v>1990</v>
      </c>
      <c r="D3003" s="39">
        <v>46043</v>
      </c>
      <c r="E3003" t="s">
        <v>730</v>
      </c>
      <c r="F3003" t="s">
        <v>79</v>
      </c>
      <c r="G3003">
        <v>24</v>
      </c>
      <c r="H3003" t="s">
        <v>1049</v>
      </c>
      <c r="I3003" t="s">
        <v>79</v>
      </c>
      <c r="J3003">
        <v>200</v>
      </c>
      <c r="K3003" t="s">
        <v>79</v>
      </c>
      <c r="L3003">
        <v>7</v>
      </c>
      <c r="M3003">
        <v>431.95</v>
      </c>
      <c r="N3003">
        <v>16.8</v>
      </c>
      <c r="O3003">
        <v>48</v>
      </c>
      <c r="Q3003">
        <v>415.15</v>
      </c>
      <c r="R3003" t="s">
        <v>1991</v>
      </c>
      <c r="V3003">
        <v>0</v>
      </c>
      <c r="W3003">
        <v>0</v>
      </c>
      <c r="AF3003">
        <v>0</v>
      </c>
      <c r="AG3003">
        <v>0</v>
      </c>
      <c r="AH3003">
        <v>0</v>
      </c>
      <c r="AI3003">
        <v>12</v>
      </c>
      <c r="AJ3003">
        <v>12</v>
      </c>
      <c r="AM3003">
        <v>0</v>
      </c>
      <c r="AN3003">
        <v>436.95</v>
      </c>
      <c r="AP3003">
        <v>56</v>
      </c>
      <c r="AQ3003">
        <v>56</v>
      </c>
    </row>
    <row r="3004" spans="1:43" x14ac:dyDescent="0.25">
      <c r="A3004" t="s">
        <v>46</v>
      </c>
      <c r="B3004">
        <v>4</v>
      </c>
      <c r="C3004" t="s">
        <v>1988</v>
      </c>
      <c r="D3004" s="39">
        <v>46043</v>
      </c>
      <c r="E3004" t="s">
        <v>400</v>
      </c>
      <c r="F3004" t="s">
        <v>79</v>
      </c>
      <c r="G3004">
        <v>24</v>
      </c>
      <c r="H3004">
        <v>10</v>
      </c>
      <c r="I3004" t="s">
        <v>79</v>
      </c>
      <c r="J3004">
        <v>210</v>
      </c>
      <c r="K3004" t="s">
        <v>79</v>
      </c>
      <c r="L3004">
        <v>2</v>
      </c>
      <c r="M3004">
        <v>112.9</v>
      </c>
      <c r="N3004">
        <v>5.85</v>
      </c>
      <c r="O3004">
        <v>15</v>
      </c>
      <c r="Q3004">
        <v>107.05000000000001</v>
      </c>
      <c r="R3004" t="s">
        <v>1989</v>
      </c>
      <c r="V3004">
        <v>0</v>
      </c>
      <c r="W3004">
        <v>0</v>
      </c>
      <c r="AF3004">
        <v>0</v>
      </c>
      <c r="AG3004">
        <v>0</v>
      </c>
      <c r="AH3004">
        <v>0</v>
      </c>
      <c r="AI3004">
        <v>12</v>
      </c>
      <c r="AJ3004">
        <v>12</v>
      </c>
      <c r="AM3004">
        <v>0</v>
      </c>
      <c r="AN3004">
        <v>117.9</v>
      </c>
      <c r="AP3004">
        <v>56</v>
      </c>
      <c r="AQ3004">
        <v>56</v>
      </c>
    </row>
    <row r="3005" spans="1:43" x14ac:dyDescent="0.25">
      <c r="A3005" t="s">
        <v>46</v>
      </c>
      <c r="B3005">
        <v>4</v>
      </c>
      <c r="C3005" t="s">
        <v>1835</v>
      </c>
      <c r="D3005" s="39">
        <v>46043</v>
      </c>
      <c r="E3005" t="s">
        <v>276</v>
      </c>
      <c r="F3005" t="s">
        <v>79</v>
      </c>
      <c r="G3005">
        <v>28</v>
      </c>
      <c r="H3005" t="s">
        <v>113</v>
      </c>
      <c r="I3005" t="s">
        <v>79</v>
      </c>
      <c r="J3005" t="s">
        <v>81</v>
      </c>
      <c r="K3005" t="s">
        <v>79</v>
      </c>
      <c r="L3005">
        <v>9</v>
      </c>
      <c r="M3005">
        <v>602.04</v>
      </c>
      <c r="N3005">
        <v>31.5</v>
      </c>
      <c r="Q3005">
        <v>570.54</v>
      </c>
      <c r="R3005" t="s">
        <v>1961</v>
      </c>
      <c r="S3005">
        <v>25</v>
      </c>
      <c r="V3005">
        <v>25</v>
      </c>
      <c r="W3005">
        <v>0.41666666666666674</v>
      </c>
      <c r="AF3005">
        <v>0</v>
      </c>
      <c r="AG3005">
        <v>0</v>
      </c>
      <c r="AH3005">
        <v>0.41666666666666674</v>
      </c>
      <c r="AI3005">
        <v>11.583333333333334</v>
      </c>
      <c r="AJ3005">
        <v>12</v>
      </c>
      <c r="AM3005">
        <v>0</v>
      </c>
      <c r="AN3005">
        <v>607.04</v>
      </c>
      <c r="AP3005">
        <v>56</v>
      </c>
      <c r="AQ3005">
        <v>56</v>
      </c>
    </row>
    <row r="3006" spans="1:43" x14ac:dyDescent="0.25">
      <c r="A3006" t="s">
        <v>45</v>
      </c>
      <c r="B3006">
        <v>5</v>
      </c>
      <c r="C3006" t="s">
        <v>1983</v>
      </c>
      <c r="D3006" s="39">
        <v>46043</v>
      </c>
      <c r="E3006" t="s">
        <v>1984</v>
      </c>
      <c r="F3006" t="s">
        <v>79</v>
      </c>
      <c r="G3006">
        <v>17</v>
      </c>
      <c r="H3006" t="s">
        <v>113</v>
      </c>
      <c r="I3006" t="s">
        <v>79</v>
      </c>
      <c r="J3006">
        <v>1500</v>
      </c>
      <c r="K3006" t="s">
        <v>79</v>
      </c>
      <c r="L3006">
        <v>8</v>
      </c>
      <c r="M3006">
        <v>471.53000000000003</v>
      </c>
      <c r="N3006">
        <v>13.6</v>
      </c>
      <c r="O3006">
        <v>2.5</v>
      </c>
      <c r="Q3006">
        <v>457.93</v>
      </c>
      <c r="R3006" t="s">
        <v>1985</v>
      </c>
      <c r="V3006">
        <v>0</v>
      </c>
      <c r="W3006">
        <v>0</v>
      </c>
      <c r="AD3006">
        <v>40</v>
      </c>
      <c r="AF3006">
        <v>40</v>
      </c>
      <c r="AG3006">
        <v>0.66666666666666663</v>
      </c>
      <c r="AH3006">
        <v>0.66666666666666663</v>
      </c>
      <c r="AI3006">
        <v>11.333333333333334</v>
      </c>
      <c r="AJ3006">
        <v>12</v>
      </c>
      <c r="AM3006">
        <v>0</v>
      </c>
      <c r="AN3006">
        <v>476.53</v>
      </c>
      <c r="AP3006">
        <v>56</v>
      </c>
      <c r="AQ3006">
        <v>56</v>
      </c>
    </row>
    <row r="3007" spans="1:43" x14ac:dyDescent="0.25">
      <c r="A3007" t="s">
        <v>46</v>
      </c>
      <c r="B3007">
        <v>5</v>
      </c>
      <c r="C3007" t="s">
        <v>1983</v>
      </c>
      <c r="D3007" s="39">
        <v>46043</v>
      </c>
      <c r="E3007" t="s">
        <v>1984</v>
      </c>
      <c r="F3007" t="s">
        <v>79</v>
      </c>
      <c r="G3007">
        <v>17</v>
      </c>
      <c r="H3007" t="s">
        <v>113</v>
      </c>
      <c r="I3007" t="s">
        <v>79</v>
      </c>
      <c r="J3007">
        <v>1500</v>
      </c>
      <c r="K3007" t="s">
        <v>79</v>
      </c>
      <c r="L3007">
        <v>9</v>
      </c>
      <c r="M3007">
        <v>592.79</v>
      </c>
      <c r="N3007">
        <v>17.099999999999998</v>
      </c>
      <c r="O3007">
        <v>2.5</v>
      </c>
      <c r="Q3007">
        <v>575.68999999999994</v>
      </c>
      <c r="R3007" t="s">
        <v>1985</v>
      </c>
      <c r="V3007">
        <v>0</v>
      </c>
      <c r="W3007">
        <v>0</v>
      </c>
      <c r="AF3007">
        <v>0</v>
      </c>
      <c r="AG3007">
        <v>0</v>
      </c>
      <c r="AH3007">
        <v>0</v>
      </c>
      <c r="AI3007">
        <v>12</v>
      </c>
      <c r="AJ3007">
        <v>12</v>
      </c>
      <c r="AM3007">
        <v>0</v>
      </c>
      <c r="AN3007">
        <v>597.79</v>
      </c>
      <c r="AP3007">
        <v>56</v>
      </c>
      <c r="AQ3007">
        <v>56</v>
      </c>
    </row>
    <row r="3008" spans="1:43" x14ac:dyDescent="0.25">
      <c r="A3008" t="s">
        <v>45</v>
      </c>
      <c r="B3008">
        <v>2</v>
      </c>
      <c r="C3008" t="s">
        <v>1970</v>
      </c>
      <c r="D3008" s="39">
        <v>46044</v>
      </c>
      <c r="E3008" t="s">
        <v>486</v>
      </c>
      <c r="F3008" t="s">
        <v>79</v>
      </c>
      <c r="G3008">
        <v>3</v>
      </c>
      <c r="H3008" t="s">
        <v>92</v>
      </c>
      <c r="I3008" t="s">
        <v>79</v>
      </c>
      <c r="J3008">
        <v>1000</v>
      </c>
      <c r="K3008" t="s">
        <v>79</v>
      </c>
      <c r="L3008">
        <v>9</v>
      </c>
      <c r="M3008">
        <v>108.69000000000001</v>
      </c>
      <c r="N3008">
        <v>2.6999999999999997</v>
      </c>
      <c r="Q3008">
        <v>105.99000000000001</v>
      </c>
      <c r="R3008" t="s">
        <v>2024</v>
      </c>
      <c r="V3008">
        <v>0</v>
      </c>
      <c r="W3008">
        <v>0</v>
      </c>
      <c r="AF3008">
        <v>0</v>
      </c>
      <c r="AG3008">
        <v>0</v>
      </c>
      <c r="AH3008">
        <v>0</v>
      </c>
      <c r="AI3008">
        <v>12</v>
      </c>
      <c r="AJ3008">
        <v>12</v>
      </c>
      <c r="AM3008">
        <v>0</v>
      </c>
      <c r="AN3008">
        <v>113.69</v>
      </c>
      <c r="AP3008">
        <v>56</v>
      </c>
      <c r="AQ3008">
        <v>56</v>
      </c>
    </row>
    <row r="3009" spans="1:43" x14ac:dyDescent="0.25">
      <c r="A3009" t="s">
        <v>45</v>
      </c>
      <c r="B3009">
        <v>2</v>
      </c>
      <c r="C3009" t="s">
        <v>1992</v>
      </c>
      <c r="D3009" s="39">
        <v>46044</v>
      </c>
      <c r="E3009" t="s">
        <v>1947</v>
      </c>
      <c r="F3009" t="s">
        <v>79</v>
      </c>
      <c r="G3009">
        <v>6</v>
      </c>
      <c r="H3009" t="s">
        <v>135</v>
      </c>
      <c r="I3009" t="s">
        <v>79</v>
      </c>
      <c r="J3009">
        <v>100</v>
      </c>
      <c r="K3009" t="s">
        <v>79</v>
      </c>
      <c r="L3009">
        <v>1</v>
      </c>
      <c r="M3009">
        <v>21.12</v>
      </c>
      <c r="N3009">
        <v>0.6</v>
      </c>
      <c r="O3009">
        <v>20</v>
      </c>
      <c r="Q3009">
        <v>20.52</v>
      </c>
      <c r="R3009" t="s">
        <v>1993</v>
      </c>
      <c r="S3009">
        <v>15</v>
      </c>
      <c r="V3009">
        <v>15</v>
      </c>
      <c r="W3009">
        <v>0.25</v>
      </c>
      <c r="AF3009">
        <v>0</v>
      </c>
      <c r="AG3009">
        <v>0</v>
      </c>
      <c r="AH3009">
        <v>0.25</v>
      </c>
      <c r="AI3009">
        <v>11.75</v>
      </c>
      <c r="AJ3009">
        <v>12</v>
      </c>
      <c r="AM3009">
        <v>0</v>
      </c>
      <c r="AN3009">
        <v>26.12</v>
      </c>
      <c r="AP3009">
        <v>56</v>
      </c>
      <c r="AQ3009">
        <v>56</v>
      </c>
    </row>
    <row r="3010" spans="1:43" x14ac:dyDescent="0.25">
      <c r="A3010" t="s">
        <v>46</v>
      </c>
      <c r="B3010">
        <v>2</v>
      </c>
      <c r="C3010" t="s">
        <v>1992</v>
      </c>
      <c r="D3010" s="39">
        <v>46044</v>
      </c>
      <c r="E3010" t="s">
        <v>1947</v>
      </c>
      <c r="F3010" t="s">
        <v>79</v>
      </c>
      <c r="G3010">
        <v>6</v>
      </c>
      <c r="H3010" t="s">
        <v>135</v>
      </c>
      <c r="I3010" t="s">
        <v>79</v>
      </c>
      <c r="J3010">
        <v>100</v>
      </c>
      <c r="K3010" t="s">
        <v>79</v>
      </c>
      <c r="L3010">
        <v>7</v>
      </c>
      <c r="M3010">
        <v>88.210000000000008</v>
      </c>
      <c r="N3010">
        <v>4.2</v>
      </c>
      <c r="O3010">
        <v>22</v>
      </c>
      <c r="Q3010">
        <v>84.01</v>
      </c>
      <c r="R3010" t="s">
        <v>1993</v>
      </c>
      <c r="S3010">
        <v>15</v>
      </c>
      <c r="V3010">
        <v>15</v>
      </c>
      <c r="W3010">
        <v>0.25</v>
      </c>
      <c r="AF3010">
        <v>0</v>
      </c>
      <c r="AG3010">
        <v>0</v>
      </c>
      <c r="AH3010">
        <v>0.25</v>
      </c>
      <c r="AI3010">
        <v>11.75</v>
      </c>
      <c r="AJ3010">
        <v>12</v>
      </c>
      <c r="AM3010">
        <v>0</v>
      </c>
      <c r="AN3010">
        <v>93.21</v>
      </c>
      <c r="AP3010">
        <v>56</v>
      </c>
      <c r="AQ3010">
        <v>56</v>
      </c>
    </row>
    <row r="3011" spans="1:43" x14ac:dyDescent="0.25">
      <c r="A3011" t="s">
        <v>46</v>
      </c>
      <c r="B3011">
        <v>2</v>
      </c>
      <c r="C3011" t="s">
        <v>1994</v>
      </c>
      <c r="D3011" s="39">
        <v>46044</v>
      </c>
      <c r="E3011" t="s">
        <v>486</v>
      </c>
      <c r="F3011" t="s">
        <v>79</v>
      </c>
      <c r="G3011">
        <v>2.5</v>
      </c>
      <c r="H3011" t="s">
        <v>92</v>
      </c>
      <c r="I3011" t="s">
        <v>79</v>
      </c>
      <c r="J3011" t="s">
        <v>1884</v>
      </c>
      <c r="K3011" t="s">
        <v>79</v>
      </c>
      <c r="L3011">
        <v>2</v>
      </c>
      <c r="M3011">
        <v>39.299999999999997</v>
      </c>
      <c r="N3011">
        <v>0.5</v>
      </c>
      <c r="Q3011">
        <v>38.799999999999997</v>
      </c>
      <c r="R3011" t="s">
        <v>2025</v>
      </c>
      <c r="V3011">
        <v>0</v>
      </c>
      <c r="W3011">
        <v>0</v>
      </c>
      <c r="AF3011">
        <v>0</v>
      </c>
      <c r="AG3011">
        <v>0</v>
      </c>
      <c r="AH3011">
        <v>0</v>
      </c>
      <c r="AI3011">
        <v>12</v>
      </c>
      <c r="AJ3011">
        <v>12</v>
      </c>
      <c r="AM3011">
        <v>0</v>
      </c>
      <c r="AN3011">
        <v>44.3</v>
      </c>
      <c r="AP3011">
        <v>56</v>
      </c>
      <c r="AQ3011">
        <v>56</v>
      </c>
    </row>
    <row r="3012" spans="1:43" x14ac:dyDescent="0.25">
      <c r="A3012" t="s">
        <v>45</v>
      </c>
      <c r="B3012">
        <v>4</v>
      </c>
      <c r="C3012" t="s">
        <v>1835</v>
      </c>
      <c r="D3012" s="39">
        <v>46044</v>
      </c>
      <c r="E3012" t="s">
        <v>276</v>
      </c>
      <c r="F3012" t="s">
        <v>79</v>
      </c>
      <c r="G3012">
        <v>28</v>
      </c>
      <c r="H3012" t="s">
        <v>113</v>
      </c>
      <c r="I3012" t="s">
        <v>79</v>
      </c>
      <c r="J3012" t="s">
        <v>81</v>
      </c>
      <c r="K3012" t="s">
        <v>79</v>
      </c>
      <c r="L3012">
        <v>9</v>
      </c>
      <c r="M3012">
        <v>591.41</v>
      </c>
      <c r="N3012">
        <v>25.2</v>
      </c>
      <c r="Q3012">
        <v>566.20999999999992</v>
      </c>
      <c r="R3012" t="s">
        <v>1961</v>
      </c>
      <c r="V3012">
        <v>0</v>
      </c>
      <c r="W3012">
        <v>0</v>
      </c>
      <c r="AF3012">
        <v>0</v>
      </c>
      <c r="AG3012">
        <v>0</v>
      </c>
      <c r="AH3012">
        <v>0</v>
      </c>
      <c r="AI3012">
        <v>12</v>
      </c>
      <c r="AJ3012">
        <v>12</v>
      </c>
      <c r="AM3012">
        <v>0</v>
      </c>
      <c r="AN3012">
        <v>596.41</v>
      </c>
      <c r="AP3012">
        <v>56</v>
      </c>
      <c r="AQ3012">
        <v>56</v>
      </c>
    </row>
    <row r="3013" spans="1:43" x14ac:dyDescent="0.25">
      <c r="A3013" t="s">
        <v>45</v>
      </c>
      <c r="B3013">
        <v>4</v>
      </c>
      <c r="C3013" t="s">
        <v>1780</v>
      </c>
      <c r="D3013" s="39">
        <v>46044</v>
      </c>
      <c r="E3013" t="s">
        <v>276</v>
      </c>
      <c r="F3013" t="s">
        <v>79</v>
      </c>
      <c r="G3013">
        <v>16</v>
      </c>
      <c r="H3013" t="s">
        <v>113</v>
      </c>
      <c r="I3013" t="s">
        <v>79</v>
      </c>
      <c r="J3013" t="s">
        <v>81</v>
      </c>
      <c r="K3013" t="s">
        <v>79</v>
      </c>
      <c r="L3013">
        <v>2</v>
      </c>
      <c r="M3013">
        <v>109.44</v>
      </c>
      <c r="N3013">
        <v>3.2</v>
      </c>
      <c r="Q3013">
        <v>106.24</v>
      </c>
      <c r="R3013" t="s">
        <v>1963</v>
      </c>
      <c r="S3013">
        <v>25</v>
      </c>
      <c r="V3013">
        <v>25</v>
      </c>
      <c r="W3013">
        <v>0.41666666666666674</v>
      </c>
      <c r="AF3013">
        <v>0</v>
      </c>
      <c r="AG3013">
        <v>0</v>
      </c>
      <c r="AH3013">
        <v>0.41666666666666674</v>
      </c>
      <c r="AI3013">
        <v>11.583333333333334</v>
      </c>
      <c r="AJ3013">
        <v>12</v>
      </c>
      <c r="AM3013">
        <v>0</v>
      </c>
      <c r="AN3013">
        <v>114.44</v>
      </c>
      <c r="AP3013">
        <v>56</v>
      </c>
      <c r="AQ3013">
        <v>56</v>
      </c>
    </row>
    <row r="3014" spans="1:43" x14ac:dyDescent="0.25">
      <c r="A3014" t="s">
        <v>46</v>
      </c>
      <c r="B3014">
        <v>4</v>
      </c>
      <c r="C3014" t="s">
        <v>1780</v>
      </c>
      <c r="D3014" s="39">
        <v>46044</v>
      </c>
      <c r="E3014" t="s">
        <v>276</v>
      </c>
      <c r="F3014" t="s">
        <v>79</v>
      </c>
      <c r="G3014">
        <v>16</v>
      </c>
      <c r="H3014" t="s">
        <v>113</v>
      </c>
      <c r="I3014" t="s">
        <v>79</v>
      </c>
      <c r="J3014" t="s">
        <v>81</v>
      </c>
      <c r="K3014" t="s">
        <v>79</v>
      </c>
      <c r="L3014">
        <v>13</v>
      </c>
      <c r="M3014">
        <v>759.99</v>
      </c>
      <c r="N3014">
        <v>24.7</v>
      </c>
      <c r="Q3014">
        <v>735.29</v>
      </c>
      <c r="R3014" t="s">
        <v>1963</v>
      </c>
      <c r="V3014">
        <v>0</v>
      </c>
      <c r="W3014">
        <v>0</v>
      </c>
      <c r="AF3014">
        <v>0</v>
      </c>
      <c r="AG3014">
        <v>0</v>
      </c>
      <c r="AH3014">
        <v>0</v>
      </c>
      <c r="AI3014">
        <v>12</v>
      </c>
      <c r="AJ3014">
        <v>12</v>
      </c>
      <c r="AM3014">
        <v>0</v>
      </c>
      <c r="AN3014">
        <v>764.99</v>
      </c>
      <c r="AP3014">
        <v>56</v>
      </c>
      <c r="AQ3014">
        <v>56</v>
      </c>
    </row>
    <row r="3015" spans="1:43" x14ac:dyDescent="0.25">
      <c r="A3015" t="s">
        <v>45</v>
      </c>
      <c r="B3015">
        <v>5</v>
      </c>
      <c r="C3015" t="s">
        <v>1983</v>
      </c>
      <c r="D3015" s="39">
        <v>46044</v>
      </c>
      <c r="E3015" t="s">
        <v>1984</v>
      </c>
      <c r="F3015" t="s">
        <v>79</v>
      </c>
      <c r="G3015">
        <v>17</v>
      </c>
      <c r="H3015" t="s">
        <v>113</v>
      </c>
      <c r="I3015" t="s">
        <v>79</v>
      </c>
      <c r="J3015">
        <v>1500</v>
      </c>
      <c r="K3015" t="s">
        <v>79</v>
      </c>
      <c r="L3015">
        <v>9</v>
      </c>
      <c r="M3015">
        <v>489.96</v>
      </c>
      <c r="N3015">
        <v>15.299999999999999</v>
      </c>
      <c r="Q3015">
        <v>474.65999999999997</v>
      </c>
      <c r="R3015" t="s">
        <v>1985</v>
      </c>
      <c r="S3015">
        <v>20</v>
      </c>
      <c r="V3015">
        <v>20</v>
      </c>
      <c r="W3015">
        <v>0.33333333333333331</v>
      </c>
      <c r="AF3015">
        <v>0</v>
      </c>
      <c r="AG3015">
        <v>0</v>
      </c>
      <c r="AH3015">
        <v>0.33333333333333331</v>
      </c>
      <c r="AI3015">
        <v>11.666666666666666</v>
      </c>
      <c r="AJ3015">
        <v>12</v>
      </c>
      <c r="AM3015">
        <v>0</v>
      </c>
      <c r="AN3015">
        <v>494.96</v>
      </c>
      <c r="AP3015">
        <v>56</v>
      </c>
      <c r="AQ3015">
        <v>56</v>
      </c>
    </row>
    <row r="3016" spans="1:43" x14ac:dyDescent="0.25">
      <c r="A3016" t="s">
        <v>45</v>
      </c>
      <c r="B3016">
        <v>5</v>
      </c>
      <c r="C3016" t="s">
        <v>1995</v>
      </c>
      <c r="D3016" s="39">
        <v>46044</v>
      </c>
      <c r="E3016" t="s">
        <v>1996</v>
      </c>
      <c r="F3016" t="s">
        <v>79</v>
      </c>
      <c r="G3016">
        <v>15</v>
      </c>
      <c r="H3016" t="s">
        <v>102</v>
      </c>
      <c r="I3016" t="s">
        <v>79</v>
      </c>
      <c r="J3016">
        <v>200</v>
      </c>
      <c r="K3016" t="s">
        <v>79</v>
      </c>
      <c r="L3016">
        <v>1</v>
      </c>
      <c r="M3016">
        <v>47.7</v>
      </c>
      <c r="N3016">
        <v>1.5</v>
      </c>
      <c r="O3016">
        <v>3</v>
      </c>
      <c r="Q3016">
        <v>46.2</v>
      </c>
      <c r="R3016" t="s">
        <v>1997</v>
      </c>
      <c r="V3016">
        <v>0</v>
      </c>
      <c r="W3016">
        <v>0</v>
      </c>
      <c r="AF3016">
        <v>0</v>
      </c>
      <c r="AG3016">
        <v>0</v>
      </c>
      <c r="AH3016">
        <v>0</v>
      </c>
      <c r="AI3016">
        <v>12</v>
      </c>
      <c r="AJ3016">
        <v>12</v>
      </c>
      <c r="AM3016">
        <v>0</v>
      </c>
      <c r="AN3016">
        <v>52.7</v>
      </c>
      <c r="AP3016">
        <v>56</v>
      </c>
      <c r="AQ3016">
        <v>56</v>
      </c>
    </row>
    <row r="3017" spans="1:43" x14ac:dyDescent="0.25">
      <c r="A3017" t="s">
        <v>46</v>
      </c>
      <c r="B3017">
        <v>5</v>
      </c>
      <c r="C3017" t="s">
        <v>1995</v>
      </c>
      <c r="D3017" s="39">
        <v>46044</v>
      </c>
      <c r="E3017" t="s">
        <v>1996</v>
      </c>
      <c r="F3017" t="s">
        <v>79</v>
      </c>
      <c r="G3017">
        <v>15</v>
      </c>
      <c r="H3017" t="s">
        <v>102</v>
      </c>
      <c r="I3017" t="s">
        <v>79</v>
      </c>
      <c r="J3017">
        <v>200</v>
      </c>
      <c r="K3017" t="s">
        <v>79</v>
      </c>
      <c r="L3017">
        <v>5</v>
      </c>
      <c r="M3017">
        <v>245.54999999999998</v>
      </c>
      <c r="N3017">
        <v>8.1999999999999993</v>
      </c>
      <c r="O3017">
        <v>3</v>
      </c>
      <c r="Q3017">
        <v>237.35</v>
      </c>
      <c r="R3017" t="s">
        <v>1997</v>
      </c>
      <c r="S3017">
        <v>20</v>
      </c>
      <c r="V3017">
        <v>20</v>
      </c>
      <c r="W3017">
        <v>0.33333333333333331</v>
      </c>
      <c r="AF3017">
        <v>0</v>
      </c>
      <c r="AG3017">
        <v>0</v>
      </c>
      <c r="AH3017">
        <v>0.33333333333333331</v>
      </c>
      <c r="AI3017">
        <v>11.666666666666666</v>
      </c>
      <c r="AJ3017">
        <v>12</v>
      </c>
      <c r="AM3017">
        <v>0</v>
      </c>
      <c r="AN3017">
        <v>250.55</v>
      </c>
      <c r="AP3017">
        <v>56</v>
      </c>
      <c r="AQ3017">
        <v>56</v>
      </c>
    </row>
    <row r="3018" spans="1:43" x14ac:dyDescent="0.25">
      <c r="A3018" t="s">
        <v>46</v>
      </c>
      <c r="B3018">
        <v>5</v>
      </c>
      <c r="C3018" t="s">
        <v>1998</v>
      </c>
      <c r="D3018" s="39">
        <v>46044</v>
      </c>
      <c r="E3018" t="s">
        <v>1466</v>
      </c>
      <c r="F3018" t="s">
        <v>79</v>
      </c>
      <c r="G3018">
        <v>8</v>
      </c>
      <c r="H3018" t="s">
        <v>578</v>
      </c>
      <c r="I3018" t="s">
        <v>79</v>
      </c>
      <c r="J3018">
        <v>200</v>
      </c>
      <c r="K3018" t="s">
        <v>79</v>
      </c>
      <c r="L3018">
        <v>8</v>
      </c>
      <c r="M3018">
        <v>220.70999999999998</v>
      </c>
      <c r="N3018">
        <v>8</v>
      </c>
      <c r="Q3018">
        <v>212.70999999999998</v>
      </c>
      <c r="R3018" t="s">
        <v>1999</v>
      </c>
      <c r="S3018">
        <v>20</v>
      </c>
      <c r="V3018">
        <v>20</v>
      </c>
      <c r="W3018">
        <v>0.33333333333333331</v>
      </c>
      <c r="AF3018">
        <v>0</v>
      </c>
      <c r="AG3018">
        <v>0</v>
      </c>
      <c r="AH3018">
        <v>0.33333333333333331</v>
      </c>
      <c r="AI3018">
        <v>11.666666666666666</v>
      </c>
      <c r="AJ3018">
        <v>12</v>
      </c>
      <c r="AM3018">
        <v>0</v>
      </c>
      <c r="AN3018">
        <v>225.71</v>
      </c>
      <c r="AP3018">
        <v>56</v>
      </c>
      <c r="AQ3018">
        <v>56</v>
      </c>
    </row>
    <row r="3019" spans="1:43" x14ac:dyDescent="0.25">
      <c r="A3019" t="s">
        <v>46</v>
      </c>
      <c r="B3019">
        <v>5</v>
      </c>
      <c r="C3019" t="s">
        <v>1983</v>
      </c>
      <c r="D3019" s="39">
        <v>46044</v>
      </c>
      <c r="E3019" t="s">
        <v>1984</v>
      </c>
      <c r="F3019" t="s">
        <v>79</v>
      </c>
      <c r="G3019">
        <v>17</v>
      </c>
      <c r="H3019" t="s">
        <v>113</v>
      </c>
      <c r="I3019" t="s">
        <v>79</v>
      </c>
      <c r="J3019">
        <v>1500</v>
      </c>
      <c r="K3019" t="s">
        <v>79</v>
      </c>
      <c r="L3019">
        <v>1</v>
      </c>
      <c r="M3019">
        <v>61.96</v>
      </c>
      <c r="N3019">
        <v>1.9</v>
      </c>
      <c r="Q3019">
        <v>60.06</v>
      </c>
      <c r="R3019" t="s">
        <v>1985</v>
      </c>
      <c r="V3019">
        <v>0</v>
      </c>
      <c r="W3019">
        <v>0</v>
      </c>
      <c r="AF3019">
        <v>0</v>
      </c>
      <c r="AG3019">
        <v>0</v>
      </c>
      <c r="AH3019">
        <v>0</v>
      </c>
      <c r="AI3019">
        <v>12</v>
      </c>
      <c r="AJ3019">
        <v>12</v>
      </c>
      <c r="AM3019">
        <v>0</v>
      </c>
      <c r="AN3019">
        <v>66.960000000000008</v>
      </c>
      <c r="AP3019">
        <v>56</v>
      </c>
      <c r="AQ3019">
        <v>56</v>
      </c>
    </row>
    <row r="3020" spans="1:43" x14ac:dyDescent="0.25">
      <c r="A3020" t="s">
        <v>45</v>
      </c>
      <c r="B3020">
        <v>1</v>
      </c>
      <c r="C3020" t="s">
        <v>1994</v>
      </c>
      <c r="D3020" s="39">
        <v>46045</v>
      </c>
      <c r="E3020" t="s">
        <v>486</v>
      </c>
      <c r="F3020" t="s">
        <v>79</v>
      </c>
      <c r="G3020">
        <v>2.5</v>
      </c>
      <c r="H3020" t="s">
        <v>92</v>
      </c>
      <c r="I3020" t="s">
        <v>79</v>
      </c>
      <c r="J3020" t="s">
        <v>1884</v>
      </c>
      <c r="K3020" t="s">
        <v>79</v>
      </c>
      <c r="L3020">
        <v>7</v>
      </c>
      <c r="M3020">
        <v>136.66</v>
      </c>
      <c r="N3020">
        <v>1.75</v>
      </c>
      <c r="O3020">
        <v>20</v>
      </c>
      <c r="Q3020">
        <v>134.91</v>
      </c>
      <c r="R3020" t="s">
        <v>2025</v>
      </c>
      <c r="V3020">
        <v>0</v>
      </c>
      <c r="W3020">
        <v>0</v>
      </c>
      <c r="AD3020">
        <v>40</v>
      </c>
      <c r="AF3020">
        <v>40</v>
      </c>
      <c r="AG3020">
        <v>0.66666666666666663</v>
      </c>
      <c r="AH3020">
        <v>0.66666666666666663</v>
      </c>
      <c r="AI3020">
        <v>11.333333333333334</v>
      </c>
      <c r="AJ3020">
        <v>12</v>
      </c>
      <c r="AM3020">
        <v>0</v>
      </c>
      <c r="AN3020">
        <v>141.66</v>
      </c>
      <c r="AP3020">
        <v>56</v>
      </c>
      <c r="AQ3020">
        <v>56</v>
      </c>
    </row>
    <row r="3021" spans="1:43" x14ac:dyDescent="0.25">
      <c r="A3021" t="s">
        <v>46</v>
      </c>
      <c r="B3021">
        <v>1</v>
      </c>
      <c r="C3021" t="s">
        <v>1994</v>
      </c>
      <c r="D3021" s="39">
        <v>46045</v>
      </c>
      <c r="E3021" t="s">
        <v>486</v>
      </c>
      <c r="F3021" t="s">
        <v>79</v>
      </c>
      <c r="G3021">
        <v>2.5</v>
      </c>
      <c r="H3021" t="s">
        <v>92</v>
      </c>
      <c r="I3021" t="s">
        <v>79</v>
      </c>
      <c r="J3021" t="s">
        <v>1884</v>
      </c>
      <c r="K3021" t="s">
        <v>79</v>
      </c>
      <c r="L3021">
        <v>7</v>
      </c>
      <c r="M3021">
        <v>137.55000000000001</v>
      </c>
      <c r="N3021">
        <v>1.75</v>
      </c>
      <c r="O3021">
        <v>23</v>
      </c>
      <c r="Q3021">
        <v>135.80000000000001</v>
      </c>
      <c r="R3021" t="s">
        <v>2025</v>
      </c>
      <c r="V3021">
        <v>0</v>
      </c>
      <c r="W3021">
        <v>0</v>
      </c>
      <c r="AF3021">
        <v>0</v>
      </c>
      <c r="AG3021">
        <v>0</v>
      </c>
      <c r="AH3021">
        <v>0</v>
      </c>
      <c r="AI3021">
        <v>12</v>
      </c>
      <c r="AJ3021">
        <v>12</v>
      </c>
      <c r="AM3021">
        <v>0</v>
      </c>
      <c r="AN3021">
        <v>142.55000000000001</v>
      </c>
      <c r="AP3021">
        <v>56</v>
      </c>
      <c r="AQ3021">
        <v>56</v>
      </c>
    </row>
    <row r="3022" spans="1:43" x14ac:dyDescent="0.25">
      <c r="A3022" t="s">
        <v>45</v>
      </c>
      <c r="B3022">
        <v>4</v>
      </c>
      <c r="C3022" t="s">
        <v>1835</v>
      </c>
      <c r="D3022" s="39">
        <v>46045</v>
      </c>
      <c r="E3022" t="s">
        <v>276</v>
      </c>
      <c r="F3022" t="s">
        <v>79</v>
      </c>
      <c r="G3022">
        <v>28</v>
      </c>
      <c r="H3022" t="s">
        <v>113</v>
      </c>
      <c r="I3022" t="s">
        <v>79</v>
      </c>
      <c r="J3022" t="s">
        <v>81</v>
      </c>
      <c r="K3022" t="s">
        <v>79</v>
      </c>
      <c r="L3022">
        <v>4</v>
      </c>
      <c r="M3022">
        <v>206.44</v>
      </c>
      <c r="N3022">
        <v>11.2</v>
      </c>
      <c r="Q3022">
        <v>195.24</v>
      </c>
      <c r="R3022" t="s">
        <v>1961</v>
      </c>
      <c r="V3022">
        <v>0</v>
      </c>
      <c r="W3022">
        <v>0</v>
      </c>
      <c r="AF3022">
        <v>0</v>
      </c>
      <c r="AG3022">
        <v>0</v>
      </c>
      <c r="AH3022">
        <v>0</v>
      </c>
      <c r="AI3022">
        <v>12</v>
      </c>
      <c r="AJ3022">
        <v>12</v>
      </c>
      <c r="AM3022">
        <v>0</v>
      </c>
      <c r="AN3022">
        <v>211.44</v>
      </c>
      <c r="AP3022">
        <v>56</v>
      </c>
      <c r="AQ3022">
        <v>56</v>
      </c>
    </row>
    <row r="3023" spans="1:43" x14ac:dyDescent="0.25">
      <c r="A3023" t="s">
        <v>45</v>
      </c>
      <c r="B3023">
        <v>4</v>
      </c>
      <c r="C3023" t="s">
        <v>1899</v>
      </c>
      <c r="D3023" s="39">
        <v>46045</v>
      </c>
      <c r="E3023" t="s">
        <v>276</v>
      </c>
      <c r="F3023" t="s">
        <v>79</v>
      </c>
      <c r="G3023">
        <v>20</v>
      </c>
      <c r="H3023" t="s">
        <v>113</v>
      </c>
      <c r="I3023" t="s">
        <v>79</v>
      </c>
      <c r="J3023" t="s">
        <v>81</v>
      </c>
      <c r="K3023" t="s">
        <v>79</v>
      </c>
      <c r="L3023">
        <v>6</v>
      </c>
      <c r="M3023">
        <v>350.48</v>
      </c>
      <c r="N3023">
        <v>12</v>
      </c>
      <c r="Q3023">
        <v>338.48</v>
      </c>
      <c r="R3023" t="s">
        <v>1965</v>
      </c>
      <c r="S3023">
        <v>25</v>
      </c>
      <c r="V3023">
        <v>25</v>
      </c>
      <c r="W3023">
        <v>0.41666666666666674</v>
      </c>
      <c r="AF3023">
        <v>0</v>
      </c>
      <c r="AG3023">
        <v>0</v>
      </c>
      <c r="AH3023">
        <v>0.41666666666666674</v>
      </c>
      <c r="AI3023">
        <v>11.583333333333334</v>
      </c>
      <c r="AJ3023">
        <v>12</v>
      </c>
      <c r="AM3023">
        <v>0</v>
      </c>
      <c r="AN3023">
        <v>355.48</v>
      </c>
      <c r="AP3023">
        <v>56</v>
      </c>
      <c r="AQ3023">
        <v>56</v>
      </c>
    </row>
    <row r="3024" spans="1:43" x14ac:dyDescent="0.25">
      <c r="A3024" t="s">
        <v>45</v>
      </c>
      <c r="B3024">
        <v>4</v>
      </c>
      <c r="C3024" t="s">
        <v>1968</v>
      </c>
      <c r="D3024" s="39">
        <v>46045</v>
      </c>
      <c r="E3024" t="s">
        <v>200</v>
      </c>
      <c r="F3024" t="s">
        <v>79</v>
      </c>
      <c r="G3024">
        <v>16</v>
      </c>
      <c r="H3024" t="s">
        <v>944</v>
      </c>
      <c r="I3024" t="s">
        <v>79</v>
      </c>
      <c r="J3024">
        <v>1000</v>
      </c>
      <c r="K3024" t="s">
        <v>79</v>
      </c>
      <c r="L3024">
        <v>1</v>
      </c>
      <c r="M3024">
        <v>39.53</v>
      </c>
      <c r="N3024">
        <v>1.6</v>
      </c>
      <c r="Q3024">
        <v>37.93</v>
      </c>
      <c r="R3024" t="s">
        <v>1969</v>
      </c>
      <c r="V3024">
        <v>0</v>
      </c>
      <c r="W3024">
        <v>0</v>
      </c>
      <c r="AF3024">
        <v>0</v>
      </c>
      <c r="AG3024">
        <v>0</v>
      </c>
      <c r="AH3024">
        <v>0</v>
      </c>
      <c r="AI3024">
        <v>12</v>
      </c>
      <c r="AJ3024">
        <v>12</v>
      </c>
      <c r="AM3024">
        <v>0</v>
      </c>
      <c r="AN3024">
        <v>44.53</v>
      </c>
      <c r="AP3024">
        <v>56</v>
      </c>
      <c r="AQ3024">
        <v>56</v>
      </c>
    </row>
    <row r="3025" spans="1:43" x14ac:dyDescent="0.25">
      <c r="A3025" t="s">
        <v>45</v>
      </c>
      <c r="B3025">
        <v>4</v>
      </c>
      <c r="C3025" t="s">
        <v>2000</v>
      </c>
      <c r="D3025" s="39">
        <v>46045</v>
      </c>
      <c r="E3025" t="s">
        <v>243</v>
      </c>
      <c r="F3025" t="s">
        <v>79</v>
      </c>
      <c r="G3025">
        <v>16</v>
      </c>
      <c r="H3025" t="s">
        <v>123</v>
      </c>
      <c r="I3025" t="s">
        <v>79</v>
      </c>
      <c r="J3025">
        <v>50</v>
      </c>
      <c r="K3025" t="s">
        <v>79</v>
      </c>
      <c r="L3025">
        <v>3</v>
      </c>
      <c r="M3025">
        <v>160.78</v>
      </c>
      <c r="N3025">
        <v>4.8000000000000007</v>
      </c>
      <c r="Q3025">
        <v>155.97999999999999</v>
      </c>
      <c r="R3025" t="s">
        <v>2001</v>
      </c>
      <c r="V3025">
        <v>0</v>
      </c>
      <c r="W3025">
        <v>0</v>
      </c>
      <c r="AF3025">
        <v>0</v>
      </c>
      <c r="AG3025">
        <v>0</v>
      </c>
      <c r="AH3025">
        <v>0</v>
      </c>
      <c r="AI3025">
        <v>12</v>
      </c>
      <c r="AJ3025">
        <v>12</v>
      </c>
      <c r="AM3025">
        <v>0</v>
      </c>
      <c r="AN3025">
        <v>165.78</v>
      </c>
      <c r="AP3025">
        <v>56</v>
      </c>
      <c r="AQ3025">
        <v>56</v>
      </c>
    </row>
    <row r="3026" spans="1:43" x14ac:dyDescent="0.25">
      <c r="A3026" t="s">
        <v>46</v>
      </c>
      <c r="B3026">
        <v>4</v>
      </c>
      <c r="C3026" t="s">
        <v>1899</v>
      </c>
      <c r="D3026" s="39">
        <v>46045</v>
      </c>
      <c r="E3026" t="s">
        <v>276</v>
      </c>
      <c r="F3026" t="s">
        <v>79</v>
      </c>
      <c r="G3026">
        <v>20</v>
      </c>
      <c r="H3026" t="s">
        <v>113</v>
      </c>
      <c r="I3026" t="s">
        <v>79</v>
      </c>
      <c r="J3026" t="s">
        <v>81</v>
      </c>
      <c r="K3026" t="s">
        <v>79</v>
      </c>
      <c r="L3026">
        <v>11</v>
      </c>
      <c r="M3026">
        <v>717.47</v>
      </c>
      <c r="N3026">
        <v>26.4</v>
      </c>
      <c r="Q3026">
        <v>691.07</v>
      </c>
      <c r="R3026" t="s">
        <v>1965</v>
      </c>
      <c r="V3026">
        <v>0</v>
      </c>
      <c r="W3026">
        <v>0</v>
      </c>
      <c r="AF3026">
        <v>0</v>
      </c>
      <c r="AG3026">
        <v>0</v>
      </c>
      <c r="AH3026">
        <v>0</v>
      </c>
      <c r="AI3026">
        <v>12</v>
      </c>
      <c r="AJ3026">
        <v>12</v>
      </c>
      <c r="AM3026">
        <v>0</v>
      </c>
      <c r="AN3026">
        <v>722.47</v>
      </c>
      <c r="AP3026">
        <v>56</v>
      </c>
      <c r="AQ3026">
        <v>56</v>
      </c>
    </row>
    <row r="3027" spans="1:43" x14ac:dyDescent="0.25">
      <c r="A3027" t="s">
        <v>46</v>
      </c>
      <c r="B3027">
        <v>4</v>
      </c>
      <c r="C3027" t="s">
        <v>2002</v>
      </c>
      <c r="D3027" s="39">
        <v>46045</v>
      </c>
      <c r="E3027" t="s">
        <v>243</v>
      </c>
      <c r="F3027" t="s">
        <v>79</v>
      </c>
      <c r="G3027">
        <v>20</v>
      </c>
      <c r="H3027" t="s">
        <v>123</v>
      </c>
      <c r="I3027" t="s">
        <v>79</v>
      </c>
      <c r="J3027">
        <v>50</v>
      </c>
      <c r="K3027" t="s">
        <v>79</v>
      </c>
      <c r="L3027">
        <v>1</v>
      </c>
      <c r="M3027">
        <v>55.64</v>
      </c>
      <c r="N3027">
        <v>2</v>
      </c>
      <c r="Q3027">
        <v>53.64</v>
      </c>
      <c r="R3027" t="s">
        <v>2003</v>
      </c>
      <c r="V3027">
        <v>0</v>
      </c>
      <c r="W3027">
        <v>0</v>
      </c>
      <c r="AF3027">
        <v>0</v>
      </c>
      <c r="AG3027">
        <v>0</v>
      </c>
      <c r="AH3027">
        <v>0</v>
      </c>
      <c r="AI3027">
        <v>12</v>
      </c>
      <c r="AJ3027">
        <v>12</v>
      </c>
      <c r="AM3027">
        <v>0</v>
      </c>
      <c r="AN3027">
        <v>60.64</v>
      </c>
      <c r="AP3027">
        <v>56</v>
      </c>
      <c r="AQ3027">
        <v>56</v>
      </c>
    </row>
    <row r="3028" spans="1:43" x14ac:dyDescent="0.25">
      <c r="A3028" t="s">
        <v>46</v>
      </c>
      <c r="B3028">
        <v>4</v>
      </c>
      <c r="C3028" t="s">
        <v>2004</v>
      </c>
      <c r="D3028" s="39">
        <v>46045</v>
      </c>
      <c r="E3028" t="s">
        <v>200</v>
      </c>
      <c r="F3028" t="s">
        <v>79</v>
      </c>
      <c r="G3028">
        <v>20</v>
      </c>
      <c r="H3028" t="s">
        <v>944</v>
      </c>
      <c r="I3028" t="s">
        <v>79</v>
      </c>
      <c r="J3028">
        <v>1000</v>
      </c>
      <c r="K3028" t="s">
        <v>79</v>
      </c>
      <c r="L3028">
        <v>1</v>
      </c>
      <c r="M3028">
        <v>65.61</v>
      </c>
      <c r="N3028">
        <v>2</v>
      </c>
      <c r="Q3028">
        <v>63.61</v>
      </c>
      <c r="R3028" t="s">
        <v>2005</v>
      </c>
      <c r="V3028">
        <v>0</v>
      </c>
      <c r="W3028">
        <v>0</v>
      </c>
      <c r="AF3028">
        <v>0</v>
      </c>
      <c r="AG3028">
        <v>0</v>
      </c>
      <c r="AH3028">
        <v>0</v>
      </c>
      <c r="AI3028">
        <v>12</v>
      </c>
      <c r="AJ3028">
        <v>12</v>
      </c>
      <c r="AM3028">
        <v>0</v>
      </c>
      <c r="AN3028">
        <v>70.61</v>
      </c>
      <c r="AP3028">
        <v>56</v>
      </c>
      <c r="AQ3028">
        <v>56</v>
      </c>
    </row>
    <row r="3029" spans="1:43" x14ac:dyDescent="0.25">
      <c r="A3029" t="s">
        <v>45</v>
      </c>
      <c r="B3029">
        <v>5</v>
      </c>
      <c r="C3029" t="s">
        <v>1983</v>
      </c>
      <c r="D3029" s="39">
        <v>46045</v>
      </c>
      <c r="E3029" t="s">
        <v>1984</v>
      </c>
      <c r="F3029" t="s">
        <v>79</v>
      </c>
      <c r="G3029">
        <v>17</v>
      </c>
      <c r="H3029" t="s">
        <v>113</v>
      </c>
      <c r="I3029" t="s">
        <v>79</v>
      </c>
      <c r="J3029">
        <v>1500</v>
      </c>
      <c r="K3029" t="s">
        <v>79</v>
      </c>
      <c r="L3029">
        <v>11</v>
      </c>
      <c r="M3029">
        <v>600.8599999999999</v>
      </c>
      <c r="N3029">
        <v>20.9</v>
      </c>
      <c r="O3029">
        <v>4</v>
      </c>
      <c r="Q3029">
        <v>579.95999999999992</v>
      </c>
      <c r="R3029" t="s">
        <v>1985</v>
      </c>
      <c r="V3029">
        <v>0</v>
      </c>
      <c r="W3029">
        <v>0</v>
      </c>
      <c r="AF3029">
        <v>0</v>
      </c>
      <c r="AG3029">
        <v>0</v>
      </c>
      <c r="AH3029">
        <v>0</v>
      </c>
      <c r="AI3029">
        <v>12</v>
      </c>
      <c r="AJ3029">
        <v>12</v>
      </c>
      <c r="AM3029">
        <v>0</v>
      </c>
      <c r="AN3029">
        <v>605.8599999999999</v>
      </c>
      <c r="AP3029">
        <v>56</v>
      </c>
      <c r="AQ3029">
        <v>56</v>
      </c>
    </row>
    <row r="3030" spans="1:43" x14ac:dyDescent="0.25">
      <c r="A3030" t="s">
        <v>46</v>
      </c>
      <c r="B3030">
        <v>5</v>
      </c>
      <c r="C3030" t="s">
        <v>1983</v>
      </c>
      <c r="D3030" s="39">
        <v>46045</v>
      </c>
      <c r="E3030" t="s">
        <v>1984</v>
      </c>
      <c r="F3030" t="s">
        <v>79</v>
      </c>
      <c r="G3030">
        <v>17</v>
      </c>
      <c r="H3030" t="s">
        <v>113</v>
      </c>
      <c r="I3030" t="s">
        <v>79</v>
      </c>
      <c r="J3030">
        <v>1500</v>
      </c>
      <c r="K3030" t="s">
        <v>79</v>
      </c>
      <c r="L3030">
        <v>11</v>
      </c>
      <c r="M3030">
        <v>567.78000000000009</v>
      </c>
      <c r="N3030">
        <v>20.9</v>
      </c>
      <c r="O3030">
        <v>4</v>
      </c>
      <c r="Q3030">
        <v>546.88000000000011</v>
      </c>
      <c r="R3030" t="s">
        <v>1985</v>
      </c>
      <c r="S3030">
        <v>15</v>
      </c>
      <c r="V3030">
        <v>15</v>
      </c>
      <c r="W3030">
        <v>0.25</v>
      </c>
      <c r="AF3030">
        <v>0</v>
      </c>
      <c r="AG3030">
        <v>0</v>
      </c>
      <c r="AH3030">
        <v>0.25</v>
      </c>
      <c r="AI3030">
        <v>11.75</v>
      </c>
      <c r="AJ3030">
        <v>12</v>
      </c>
      <c r="AM3030">
        <v>0</v>
      </c>
      <c r="AN3030">
        <v>572.78000000000009</v>
      </c>
      <c r="AP3030">
        <v>56</v>
      </c>
      <c r="AQ3030">
        <v>56</v>
      </c>
    </row>
    <row r="3031" spans="1:43" x14ac:dyDescent="0.25">
      <c r="A3031" t="s">
        <v>45</v>
      </c>
      <c r="B3031">
        <v>1</v>
      </c>
      <c r="C3031" t="s">
        <v>1994</v>
      </c>
      <c r="D3031" s="39">
        <v>46046</v>
      </c>
      <c r="E3031" t="s">
        <v>486</v>
      </c>
      <c r="F3031" t="s">
        <v>79</v>
      </c>
      <c r="G3031">
        <v>2.5</v>
      </c>
      <c r="H3031" t="s">
        <v>92</v>
      </c>
      <c r="I3031" t="s">
        <v>79</v>
      </c>
      <c r="J3031" t="s">
        <v>1884</v>
      </c>
      <c r="K3031" t="s">
        <v>79</v>
      </c>
      <c r="L3031">
        <v>8</v>
      </c>
      <c r="M3031">
        <v>148.44</v>
      </c>
      <c r="N3031">
        <v>20</v>
      </c>
      <c r="O3031">
        <v>25</v>
      </c>
      <c r="Q3031">
        <v>128.44</v>
      </c>
      <c r="R3031" t="s">
        <v>2025</v>
      </c>
      <c r="V3031">
        <v>0</v>
      </c>
      <c r="W3031">
        <v>0</v>
      </c>
      <c r="AF3031">
        <v>0</v>
      </c>
      <c r="AG3031">
        <v>0</v>
      </c>
      <c r="AH3031">
        <v>0</v>
      </c>
      <c r="AI3031">
        <v>12</v>
      </c>
      <c r="AJ3031">
        <v>12</v>
      </c>
      <c r="AM3031">
        <v>0</v>
      </c>
      <c r="AN3031">
        <v>153.44</v>
      </c>
      <c r="AP3031">
        <v>56</v>
      </c>
      <c r="AQ3031">
        <v>56</v>
      </c>
    </row>
    <row r="3032" spans="1:43" x14ac:dyDescent="0.25">
      <c r="A3032" t="s">
        <v>46</v>
      </c>
      <c r="B3032">
        <v>1</v>
      </c>
      <c r="C3032" t="s">
        <v>1994</v>
      </c>
      <c r="D3032" s="39">
        <v>46046</v>
      </c>
      <c r="E3032" t="s">
        <v>486</v>
      </c>
      <c r="F3032" t="s">
        <v>79</v>
      </c>
      <c r="G3032">
        <v>2.5</v>
      </c>
      <c r="H3032" t="s">
        <v>92</v>
      </c>
      <c r="I3032" t="s">
        <v>79</v>
      </c>
      <c r="J3032" t="s">
        <v>1884</v>
      </c>
      <c r="K3032" t="s">
        <v>79</v>
      </c>
      <c r="L3032">
        <v>5</v>
      </c>
      <c r="M3032">
        <v>97.75</v>
      </c>
      <c r="N3032">
        <v>12.5</v>
      </c>
      <c r="Q3032">
        <v>85.25</v>
      </c>
      <c r="R3032" t="s">
        <v>2025</v>
      </c>
      <c r="V3032">
        <v>0</v>
      </c>
      <c r="W3032">
        <v>0</v>
      </c>
      <c r="AF3032">
        <v>0</v>
      </c>
      <c r="AG3032">
        <v>0</v>
      </c>
      <c r="AH3032">
        <v>0</v>
      </c>
      <c r="AI3032">
        <v>12</v>
      </c>
      <c r="AJ3032">
        <v>12</v>
      </c>
      <c r="AM3032">
        <v>0</v>
      </c>
      <c r="AN3032">
        <v>102.75</v>
      </c>
      <c r="AP3032">
        <v>56</v>
      </c>
      <c r="AQ3032">
        <v>56</v>
      </c>
    </row>
    <row r="3033" spans="1:43" x14ac:dyDescent="0.25">
      <c r="A3033" t="s">
        <v>45</v>
      </c>
      <c r="B3033">
        <v>4</v>
      </c>
      <c r="C3033" t="s">
        <v>2004</v>
      </c>
      <c r="D3033" s="39">
        <v>46046</v>
      </c>
      <c r="E3033" t="s">
        <v>200</v>
      </c>
      <c r="F3033" t="s">
        <v>79</v>
      </c>
      <c r="G3033">
        <v>20</v>
      </c>
      <c r="H3033" t="s">
        <v>944</v>
      </c>
      <c r="I3033" t="s">
        <v>79</v>
      </c>
      <c r="J3033">
        <v>1000</v>
      </c>
      <c r="K3033" t="s">
        <v>79</v>
      </c>
      <c r="L3033">
        <v>12</v>
      </c>
      <c r="M3033">
        <v>790.00999999999976</v>
      </c>
      <c r="N3033">
        <v>30</v>
      </c>
      <c r="Q3033">
        <v>760.00999999999976</v>
      </c>
      <c r="R3033" t="s">
        <v>2005</v>
      </c>
      <c r="V3033">
        <v>0</v>
      </c>
      <c r="W3033">
        <v>0</v>
      </c>
      <c r="AF3033">
        <v>0</v>
      </c>
      <c r="AG3033">
        <v>0</v>
      </c>
      <c r="AH3033">
        <v>0</v>
      </c>
      <c r="AI3033">
        <v>12</v>
      </c>
      <c r="AJ3033">
        <v>12</v>
      </c>
      <c r="AM3033">
        <v>0</v>
      </c>
      <c r="AN3033">
        <v>795.00999999999965</v>
      </c>
      <c r="AP3033">
        <v>56</v>
      </c>
      <c r="AQ3033">
        <v>56</v>
      </c>
    </row>
    <row r="3034" spans="1:43" x14ac:dyDescent="0.25">
      <c r="A3034" t="s">
        <v>46</v>
      </c>
      <c r="B3034">
        <v>4</v>
      </c>
      <c r="C3034" t="s">
        <v>2004</v>
      </c>
      <c r="D3034" s="39">
        <v>46046</v>
      </c>
      <c r="E3034" t="s">
        <v>200</v>
      </c>
      <c r="F3034" t="s">
        <v>79</v>
      </c>
      <c r="G3034">
        <v>20</v>
      </c>
      <c r="H3034" t="s">
        <v>944</v>
      </c>
      <c r="I3034" t="s">
        <v>79</v>
      </c>
      <c r="J3034">
        <v>1000</v>
      </c>
      <c r="K3034" t="s">
        <v>79</v>
      </c>
      <c r="L3034">
        <v>2</v>
      </c>
      <c r="M3034">
        <v>119.44999999999999</v>
      </c>
      <c r="N3034">
        <v>4.9000000000000004</v>
      </c>
      <c r="O3034">
        <v>30</v>
      </c>
      <c r="Q3034">
        <v>114.54999999999998</v>
      </c>
      <c r="R3034" t="s">
        <v>2005</v>
      </c>
      <c r="V3034">
        <v>0</v>
      </c>
      <c r="W3034">
        <v>0</v>
      </c>
      <c r="AF3034">
        <v>0</v>
      </c>
      <c r="AG3034">
        <v>0</v>
      </c>
      <c r="AH3034">
        <v>0</v>
      </c>
      <c r="AI3034">
        <v>12</v>
      </c>
      <c r="AJ3034">
        <v>12</v>
      </c>
      <c r="AM3034">
        <v>0</v>
      </c>
      <c r="AN3034">
        <v>124.45</v>
      </c>
      <c r="AP3034">
        <v>56</v>
      </c>
      <c r="AQ3034">
        <v>56</v>
      </c>
    </row>
    <row r="3035" spans="1:43" x14ac:dyDescent="0.25">
      <c r="A3035" t="s">
        <v>46</v>
      </c>
      <c r="B3035">
        <v>4</v>
      </c>
      <c r="C3035" t="s">
        <v>2006</v>
      </c>
      <c r="D3035" s="39">
        <v>46046</v>
      </c>
      <c r="E3035" t="s">
        <v>200</v>
      </c>
      <c r="F3035" t="s">
        <v>79</v>
      </c>
      <c r="G3035">
        <v>22</v>
      </c>
      <c r="H3035" t="s">
        <v>578</v>
      </c>
      <c r="I3035" t="s">
        <v>79</v>
      </c>
      <c r="J3035">
        <v>150</v>
      </c>
      <c r="K3035" t="s">
        <v>79</v>
      </c>
      <c r="L3035">
        <v>4</v>
      </c>
      <c r="M3035">
        <v>171.25</v>
      </c>
      <c r="N3035">
        <v>6.8</v>
      </c>
      <c r="Q3035">
        <v>164.45</v>
      </c>
      <c r="R3035" t="s">
        <v>2007</v>
      </c>
      <c r="V3035">
        <v>0</v>
      </c>
      <c r="W3035">
        <v>0</v>
      </c>
      <c r="AF3035">
        <v>0</v>
      </c>
      <c r="AG3035">
        <v>0</v>
      </c>
      <c r="AH3035">
        <v>0</v>
      </c>
      <c r="AI3035">
        <v>12</v>
      </c>
      <c r="AJ3035">
        <v>12</v>
      </c>
      <c r="AM3035">
        <v>0</v>
      </c>
      <c r="AN3035">
        <v>176.25</v>
      </c>
      <c r="AP3035">
        <v>56</v>
      </c>
      <c r="AQ3035">
        <v>56</v>
      </c>
    </row>
    <row r="3036" spans="1:43" x14ac:dyDescent="0.25">
      <c r="A3036" t="s">
        <v>46</v>
      </c>
      <c r="B3036">
        <v>4</v>
      </c>
      <c r="C3036" t="s">
        <v>2008</v>
      </c>
      <c r="D3036" s="39">
        <v>46046</v>
      </c>
      <c r="E3036" t="s">
        <v>200</v>
      </c>
      <c r="F3036" t="s">
        <v>79</v>
      </c>
      <c r="G3036">
        <v>22</v>
      </c>
      <c r="H3036" t="s">
        <v>944</v>
      </c>
      <c r="I3036" t="s">
        <v>79</v>
      </c>
      <c r="J3036">
        <v>250</v>
      </c>
      <c r="K3036" t="s">
        <v>79</v>
      </c>
      <c r="L3036">
        <v>4</v>
      </c>
      <c r="M3036">
        <v>260.05</v>
      </c>
      <c r="N3036">
        <v>6.8</v>
      </c>
      <c r="Q3036">
        <v>253.25</v>
      </c>
      <c r="R3036" t="s">
        <v>2009</v>
      </c>
      <c r="V3036">
        <v>0</v>
      </c>
      <c r="W3036">
        <v>0</v>
      </c>
      <c r="AF3036">
        <v>0</v>
      </c>
      <c r="AG3036">
        <v>0</v>
      </c>
      <c r="AH3036">
        <v>0</v>
      </c>
      <c r="AI3036">
        <v>12</v>
      </c>
      <c r="AJ3036">
        <v>12</v>
      </c>
      <c r="AM3036">
        <v>0</v>
      </c>
      <c r="AN3036">
        <v>265.05</v>
      </c>
      <c r="AP3036">
        <v>56</v>
      </c>
      <c r="AQ3036">
        <v>56</v>
      </c>
    </row>
    <row r="3037" spans="1:43" x14ac:dyDescent="0.25">
      <c r="A3037" t="s">
        <v>46</v>
      </c>
      <c r="B3037">
        <v>4</v>
      </c>
      <c r="C3037" t="s">
        <v>2010</v>
      </c>
      <c r="D3037" s="39">
        <v>46046</v>
      </c>
      <c r="E3037" t="s">
        <v>200</v>
      </c>
      <c r="F3037" t="s">
        <v>79</v>
      </c>
      <c r="G3037">
        <v>20</v>
      </c>
      <c r="H3037" t="s">
        <v>578</v>
      </c>
      <c r="I3037" t="s">
        <v>79</v>
      </c>
      <c r="J3037">
        <v>150</v>
      </c>
      <c r="K3037" t="s">
        <v>79</v>
      </c>
      <c r="L3037">
        <v>4</v>
      </c>
      <c r="M3037">
        <v>171.45999999999998</v>
      </c>
      <c r="N3037">
        <v>10</v>
      </c>
      <c r="Q3037">
        <v>161.45999999999998</v>
      </c>
      <c r="R3037" t="s">
        <v>2011</v>
      </c>
      <c r="V3037">
        <v>0</v>
      </c>
      <c r="W3037">
        <v>0</v>
      </c>
      <c r="AF3037">
        <v>0</v>
      </c>
      <c r="AG3037">
        <v>0</v>
      </c>
      <c r="AH3037">
        <v>0</v>
      </c>
      <c r="AI3037">
        <v>12</v>
      </c>
      <c r="AJ3037">
        <v>12</v>
      </c>
      <c r="AM3037">
        <v>0</v>
      </c>
      <c r="AN3037">
        <v>176.45999999999998</v>
      </c>
      <c r="AP3037">
        <v>56</v>
      </c>
      <c r="AQ3037">
        <v>56</v>
      </c>
    </row>
    <row r="3038" spans="1:43" x14ac:dyDescent="0.25">
      <c r="A3038" t="s">
        <v>45</v>
      </c>
      <c r="B3038">
        <v>5</v>
      </c>
      <c r="C3038" t="s">
        <v>2012</v>
      </c>
      <c r="D3038" s="39">
        <v>46046</v>
      </c>
      <c r="E3038" t="s">
        <v>200</v>
      </c>
      <c r="F3038" t="s">
        <v>79</v>
      </c>
      <c r="G3038">
        <v>14</v>
      </c>
      <c r="H3038" t="s">
        <v>944</v>
      </c>
      <c r="I3038" t="s">
        <v>79</v>
      </c>
      <c r="J3038">
        <v>250</v>
      </c>
      <c r="K3038" t="s">
        <v>79</v>
      </c>
      <c r="L3038">
        <v>8</v>
      </c>
      <c r="M3038">
        <v>409.03000000000003</v>
      </c>
      <c r="N3038">
        <v>11.2</v>
      </c>
      <c r="Q3038">
        <v>397.83000000000004</v>
      </c>
      <c r="R3038" t="s">
        <v>2013</v>
      </c>
      <c r="V3038">
        <v>0</v>
      </c>
      <c r="W3038">
        <v>0</v>
      </c>
      <c r="AF3038">
        <v>0</v>
      </c>
      <c r="AG3038">
        <v>0</v>
      </c>
      <c r="AH3038">
        <v>0</v>
      </c>
      <c r="AI3038">
        <v>12</v>
      </c>
      <c r="AJ3038">
        <v>12</v>
      </c>
      <c r="AM3038">
        <v>0</v>
      </c>
      <c r="AN3038">
        <v>414.03</v>
      </c>
      <c r="AP3038">
        <v>56</v>
      </c>
      <c r="AQ3038">
        <v>56</v>
      </c>
    </row>
    <row r="3039" spans="1:43" x14ac:dyDescent="0.25">
      <c r="A3039" t="s">
        <v>45</v>
      </c>
      <c r="B3039">
        <v>5</v>
      </c>
      <c r="C3039" t="s">
        <v>2014</v>
      </c>
      <c r="D3039" s="39">
        <v>46046</v>
      </c>
      <c r="E3039" t="s">
        <v>200</v>
      </c>
      <c r="F3039" t="s">
        <v>79</v>
      </c>
      <c r="G3039">
        <v>14</v>
      </c>
      <c r="H3039" t="s">
        <v>578</v>
      </c>
      <c r="I3039" t="s">
        <v>79</v>
      </c>
      <c r="J3039">
        <v>250</v>
      </c>
      <c r="K3039" t="s">
        <v>79</v>
      </c>
      <c r="L3039">
        <v>4</v>
      </c>
      <c r="M3039">
        <v>169.31</v>
      </c>
      <c r="N3039">
        <v>5.6</v>
      </c>
      <c r="Q3039">
        <v>163.71</v>
      </c>
      <c r="R3039" t="s">
        <v>2015</v>
      </c>
      <c r="V3039">
        <v>0</v>
      </c>
      <c r="W3039">
        <v>0</v>
      </c>
      <c r="AF3039">
        <v>0</v>
      </c>
      <c r="AG3039">
        <v>0</v>
      </c>
      <c r="AH3039">
        <v>0</v>
      </c>
      <c r="AI3039">
        <v>12</v>
      </c>
      <c r="AJ3039">
        <v>12</v>
      </c>
      <c r="AM3039">
        <v>0</v>
      </c>
      <c r="AN3039">
        <v>174.31</v>
      </c>
      <c r="AP3039">
        <v>56</v>
      </c>
      <c r="AQ3039">
        <v>56</v>
      </c>
    </row>
    <row r="3040" spans="1:43" x14ac:dyDescent="0.25">
      <c r="A3040" t="s">
        <v>46</v>
      </c>
      <c r="B3040">
        <v>5</v>
      </c>
      <c r="C3040" t="s">
        <v>2014</v>
      </c>
      <c r="D3040" s="39">
        <v>46046</v>
      </c>
      <c r="E3040" t="s">
        <v>200</v>
      </c>
      <c r="F3040" t="s">
        <v>79</v>
      </c>
      <c r="G3040">
        <v>14</v>
      </c>
      <c r="H3040" t="s">
        <v>578</v>
      </c>
      <c r="I3040" t="s">
        <v>79</v>
      </c>
      <c r="J3040">
        <v>250</v>
      </c>
      <c r="K3040" t="s">
        <v>79</v>
      </c>
      <c r="L3040">
        <v>2</v>
      </c>
      <c r="M3040">
        <v>139.63999999999999</v>
      </c>
      <c r="N3040">
        <v>3.6</v>
      </c>
      <c r="Q3040">
        <v>136.04</v>
      </c>
      <c r="R3040" t="s">
        <v>2015</v>
      </c>
      <c r="V3040">
        <v>0</v>
      </c>
      <c r="W3040">
        <v>0</v>
      </c>
      <c r="AF3040">
        <v>0</v>
      </c>
      <c r="AG3040">
        <v>0</v>
      </c>
      <c r="AH3040">
        <v>0</v>
      </c>
      <c r="AI3040">
        <v>12</v>
      </c>
      <c r="AJ3040">
        <v>12</v>
      </c>
      <c r="AM3040">
        <v>0</v>
      </c>
      <c r="AN3040">
        <v>144.63999999999999</v>
      </c>
      <c r="AP3040">
        <v>56</v>
      </c>
      <c r="AQ3040">
        <v>56</v>
      </c>
    </row>
    <row r="3041" spans="1:43" x14ac:dyDescent="0.25">
      <c r="A3041" t="s">
        <v>46</v>
      </c>
      <c r="B3041">
        <v>5</v>
      </c>
      <c r="C3041" t="s">
        <v>2016</v>
      </c>
      <c r="D3041" s="39">
        <v>46046</v>
      </c>
      <c r="E3041" t="s">
        <v>486</v>
      </c>
      <c r="F3041" t="s">
        <v>79</v>
      </c>
      <c r="G3041">
        <v>14</v>
      </c>
      <c r="H3041">
        <v>5</v>
      </c>
      <c r="I3041" t="s">
        <v>79</v>
      </c>
      <c r="J3041">
        <v>1000</v>
      </c>
      <c r="K3041" t="s">
        <v>79</v>
      </c>
      <c r="L3041">
        <v>6</v>
      </c>
      <c r="M3041">
        <v>392.82999999999993</v>
      </c>
      <c r="N3041">
        <v>10.8</v>
      </c>
      <c r="Q3041">
        <v>382.02999999999992</v>
      </c>
      <c r="R3041" t="s">
        <v>2113</v>
      </c>
      <c r="V3041">
        <v>0</v>
      </c>
      <c r="W3041">
        <v>0</v>
      </c>
      <c r="AF3041">
        <v>0</v>
      </c>
      <c r="AG3041">
        <v>0</v>
      </c>
      <c r="AH3041">
        <v>0</v>
      </c>
      <c r="AI3041">
        <v>12</v>
      </c>
      <c r="AJ3041">
        <v>12</v>
      </c>
      <c r="AM3041">
        <v>0</v>
      </c>
      <c r="AN3041">
        <v>397.82999999999993</v>
      </c>
      <c r="AP3041">
        <v>56</v>
      </c>
      <c r="AQ3041">
        <v>56</v>
      </c>
    </row>
    <row r="3042" spans="1:43" x14ac:dyDescent="0.25">
      <c r="A3042" t="s">
        <v>45</v>
      </c>
      <c r="B3042">
        <v>2</v>
      </c>
      <c r="C3042" t="s">
        <v>2017</v>
      </c>
      <c r="D3042" s="39">
        <v>46049</v>
      </c>
      <c r="E3042" t="s">
        <v>1466</v>
      </c>
      <c r="F3042" t="s">
        <v>79</v>
      </c>
      <c r="G3042">
        <v>6</v>
      </c>
      <c r="H3042" t="s">
        <v>578</v>
      </c>
      <c r="I3042" t="s">
        <v>79</v>
      </c>
      <c r="J3042">
        <v>500</v>
      </c>
      <c r="K3042" t="s">
        <v>79</v>
      </c>
      <c r="L3042">
        <v>6</v>
      </c>
      <c r="M3042">
        <v>102.17999999999999</v>
      </c>
      <c r="N3042">
        <v>3.5999999999999996</v>
      </c>
      <c r="Q3042">
        <v>98.58</v>
      </c>
      <c r="R3042" t="s">
        <v>2026</v>
      </c>
      <c r="T3042">
        <v>300</v>
      </c>
      <c r="V3042">
        <v>300</v>
      </c>
      <c r="W3042">
        <v>5</v>
      </c>
      <c r="AF3042">
        <v>0</v>
      </c>
      <c r="AG3042">
        <v>0</v>
      </c>
      <c r="AH3042">
        <v>5</v>
      </c>
      <c r="AI3042">
        <v>7</v>
      </c>
      <c r="AJ3042">
        <v>12</v>
      </c>
      <c r="AM3042">
        <v>0</v>
      </c>
      <c r="AN3042">
        <v>107.18</v>
      </c>
      <c r="AP3042">
        <v>57</v>
      </c>
      <c r="AQ3042">
        <v>57</v>
      </c>
    </row>
    <row r="3043" spans="1:43" x14ac:dyDescent="0.25">
      <c r="A3043" t="s">
        <v>46</v>
      </c>
      <c r="B3043">
        <v>2</v>
      </c>
      <c r="C3043" t="s">
        <v>2017</v>
      </c>
      <c r="D3043" s="39">
        <v>46049</v>
      </c>
      <c r="E3043" t="s">
        <v>1466</v>
      </c>
      <c r="F3043" t="s">
        <v>79</v>
      </c>
      <c r="G3043">
        <v>6</v>
      </c>
      <c r="H3043" t="s">
        <v>578</v>
      </c>
      <c r="I3043" t="s">
        <v>79</v>
      </c>
      <c r="J3043">
        <v>500</v>
      </c>
      <c r="K3043" t="s">
        <v>79</v>
      </c>
      <c r="L3043">
        <v>11</v>
      </c>
      <c r="M3043">
        <v>186.48</v>
      </c>
      <c r="N3043">
        <v>6.6</v>
      </c>
      <c r="Q3043">
        <v>179.88</v>
      </c>
      <c r="R3043" t="s">
        <v>2026</v>
      </c>
      <c r="V3043">
        <v>0</v>
      </c>
      <c r="W3043">
        <v>0</v>
      </c>
      <c r="AF3043">
        <v>0</v>
      </c>
      <c r="AG3043">
        <v>0</v>
      </c>
      <c r="AH3043">
        <v>0</v>
      </c>
      <c r="AI3043">
        <v>12</v>
      </c>
      <c r="AJ3043">
        <v>12</v>
      </c>
      <c r="AM3043">
        <v>0</v>
      </c>
      <c r="AN3043">
        <v>191.48</v>
      </c>
      <c r="AP3043">
        <v>57</v>
      </c>
      <c r="AQ3043">
        <v>57</v>
      </c>
    </row>
    <row r="3044" spans="1:43" x14ac:dyDescent="0.25">
      <c r="A3044" t="s">
        <v>45</v>
      </c>
      <c r="B3044">
        <v>4</v>
      </c>
      <c r="C3044" t="s">
        <v>2018</v>
      </c>
      <c r="D3044" s="39">
        <v>46049</v>
      </c>
      <c r="E3044" t="s">
        <v>1471</v>
      </c>
      <c r="F3044" t="s">
        <v>79</v>
      </c>
      <c r="G3044">
        <v>17</v>
      </c>
      <c r="H3044" t="s">
        <v>1472</v>
      </c>
      <c r="I3044" t="s">
        <v>79</v>
      </c>
      <c r="J3044">
        <v>1000</v>
      </c>
      <c r="K3044" t="s">
        <v>79</v>
      </c>
      <c r="L3044">
        <v>10</v>
      </c>
      <c r="M3044">
        <v>556.42999999999995</v>
      </c>
      <c r="N3044">
        <v>15.07</v>
      </c>
      <c r="O3044">
        <v>13</v>
      </c>
      <c r="Q3044">
        <v>541.3599999999999</v>
      </c>
      <c r="R3044" t="s">
        <v>2019</v>
      </c>
      <c r="T3044">
        <v>240</v>
      </c>
      <c r="V3044">
        <v>240</v>
      </c>
      <c r="W3044">
        <v>4</v>
      </c>
      <c r="AF3044">
        <v>0</v>
      </c>
      <c r="AG3044">
        <v>0</v>
      </c>
      <c r="AH3044">
        <v>4</v>
      </c>
      <c r="AI3044">
        <v>8</v>
      </c>
      <c r="AJ3044">
        <v>12</v>
      </c>
      <c r="AM3044">
        <v>0</v>
      </c>
      <c r="AN3044">
        <v>561.42999999999995</v>
      </c>
      <c r="AP3044">
        <v>57</v>
      </c>
      <c r="AQ3044">
        <v>57</v>
      </c>
    </row>
    <row r="3045" spans="1:43" x14ac:dyDescent="0.25">
      <c r="A3045" t="s">
        <v>46</v>
      </c>
      <c r="B3045">
        <v>4</v>
      </c>
      <c r="C3045" t="s">
        <v>2018</v>
      </c>
      <c r="D3045" s="39">
        <v>46049</v>
      </c>
      <c r="E3045" t="s">
        <v>1471</v>
      </c>
      <c r="F3045" t="s">
        <v>79</v>
      </c>
      <c r="G3045">
        <v>17</v>
      </c>
      <c r="H3045" t="s">
        <v>1472</v>
      </c>
      <c r="I3045" t="s">
        <v>79</v>
      </c>
      <c r="J3045">
        <v>1000</v>
      </c>
      <c r="K3045" t="s">
        <v>79</v>
      </c>
      <c r="L3045">
        <v>9</v>
      </c>
      <c r="M3045">
        <v>469.45</v>
      </c>
      <c r="N3045">
        <v>15.299999999999999</v>
      </c>
      <c r="O3045">
        <v>23</v>
      </c>
      <c r="Q3045">
        <v>454.15</v>
      </c>
      <c r="R3045" t="s">
        <v>2019</v>
      </c>
      <c r="V3045">
        <v>0</v>
      </c>
      <c r="W3045">
        <v>0</v>
      </c>
      <c r="AF3045">
        <v>0</v>
      </c>
      <c r="AG3045">
        <v>0</v>
      </c>
      <c r="AH3045">
        <v>0</v>
      </c>
      <c r="AI3045">
        <v>12</v>
      </c>
      <c r="AJ3045">
        <v>12</v>
      </c>
      <c r="AM3045">
        <v>0</v>
      </c>
      <c r="AN3045">
        <v>474.45</v>
      </c>
      <c r="AP3045">
        <v>57</v>
      </c>
      <c r="AQ3045">
        <v>57</v>
      </c>
    </row>
    <row r="3046" spans="1:43" x14ac:dyDescent="0.25">
      <c r="A3046" t="s">
        <v>46</v>
      </c>
      <c r="B3046">
        <v>4</v>
      </c>
      <c r="C3046" t="s">
        <v>2020</v>
      </c>
      <c r="D3046" s="39">
        <v>46049</v>
      </c>
      <c r="E3046" t="s">
        <v>1471</v>
      </c>
      <c r="F3046" t="s">
        <v>79</v>
      </c>
      <c r="G3046">
        <v>17</v>
      </c>
      <c r="H3046" t="s">
        <v>1472</v>
      </c>
      <c r="I3046" t="s">
        <v>79</v>
      </c>
      <c r="J3046">
        <v>2500</v>
      </c>
      <c r="K3046" t="s">
        <v>79</v>
      </c>
      <c r="L3046">
        <v>9</v>
      </c>
      <c r="M3046">
        <v>472.86</v>
      </c>
      <c r="N3046">
        <v>15.299999999999999</v>
      </c>
      <c r="Q3046">
        <v>457.56</v>
      </c>
      <c r="R3046" t="s">
        <v>2027</v>
      </c>
      <c r="V3046">
        <v>0</v>
      </c>
      <c r="W3046">
        <v>0</v>
      </c>
      <c r="AF3046">
        <v>0</v>
      </c>
      <c r="AG3046">
        <v>0</v>
      </c>
      <c r="AH3046">
        <v>0</v>
      </c>
      <c r="AI3046">
        <v>12</v>
      </c>
      <c r="AJ3046">
        <v>12</v>
      </c>
      <c r="AM3046">
        <v>0</v>
      </c>
      <c r="AN3046">
        <v>477.86</v>
      </c>
      <c r="AP3046">
        <v>57</v>
      </c>
      <c r="AQ3046">
        <v>57</v>
      </c>
    </row>
    <row r="3047" spans="1:43" x14ac:dyDescent="0.25">
      <c r="A3047" t="s">
        <v>45</v>
      </c>
      <c r="B3047">
        <v>5</v>
      </c>
      <c r="C3047" t="s">
        <v>2016</v>
      </c>
      <c r="D3047" s="39">
        <v>46049</v>
      </c>
      <c r="E3047" t="s">
        <v>486</v>
      </c>
      <c r="F3047" t="s">
        <v>79</v>
      </c>
      <c r="G3047">
        <v>14</v>
      </c>
      <c r="H3047">
        <v>5</v>
      </c>
      <c r="I3047" t="s">
        <v>79</v>
      </c>
      <c r="J3047">
        <v>1000</v>
      </c>
      <c r="K3047" t="s">
        <v>79</v>
      </c>
      <c r="L3047">
        <v>6</v>
      </c>
      <c r="M3047">
        <v>306.58999999999997</v>
      </c>
      <c r="N3047">
        <v>10.8</v>
      </c>
      <c r="Q3047">
        <v>295.78999999999996</v>
      </c>
      <c r="R3047" t="s">
        <v>2113</v>
      </c>
      <c r="T3047">
        <v>265</v>
      </c>
      <c r="V3047">
        <v>265</v>
      </c>
      <c r="W3047">
        <v>4.416666666666667</v>
      </c>
      <c r="AF3047">
        <v>0</v>
      </c>
      <c r="AG3047">
        <v>0</v>
      </c>
      <c r="AH3047">
        <v>4.416666666666667</v>
      </c>
      <c r="AI3047">
        <v>7.583333333333333</v>
      </c>
      <c r="AJ3047">
        <v>12</v>
      </c>
      <c r="AM3047">
        <v>0</v>
      </c>
      <c r="AN3047">
        <v>311.58999999999997</v>
      </c>
      <c r="AP3047">
        <v>57</v>
      </c>
      <c r="AQ3047">
        <v>57</v>
      </c>
    </row>
    <row r="3048" spans="1:43" x14ac:dyDescent="0.25">
      <c r="A3048" t="s">
        <v>45</v>
      </c>
      <c r="B3048">
        <v>5</v>
      </c>
      <c r="C3048" t="s">
        <v>2021</v>
      </c>
      <c r="D3048" s="39">
        <v>46049</v>
      </c>
      <c r="E3048" t="s">
        <v>243</v>
      </c>
      <c r="F3048" t="s">
        <v>79</v>
      </c>
      <c r="G3048">
        <v>14</v>
      </c>
      <c r="H3048" t="s">
        <v>123</v>
      </c>
      <c r="I3048" t="s">
        <v>79</v>
      </c>
      <c r="J3048">
        <v>50</v>
      </c>
      <c r="K3048" t="s">
        <v>79</v>
      </c>
      <c r="L3048">
        <v>1</v>
      </c>
      <c r="M3048">
        <v>50.34</v>
      </c>
      <c r="N3048">
        <v>1.8</v>
      </c>
      <c r="Q3048">
        <v>48.540000000000006</v>
      </c>
      <c r="R3048" t="s">
        <v>2022</v>
      </c>
      <c r="V3048">
        <v>0</v>
      </c>
      <c r="W3048">
        <v>0</v>
      </c>
      <c r="AF3048">
        <v>0</v>
      </c>
      <c r="AG3048">
        <v>0</v>
      </c>
      <c r="AH3048">
        <v>0</v>
      </c>
      <c r="AI3048">
        <v>12</v>
      </c>
      <c r="AJ3048">
        <v>12</v>
      </c>
      <c r="AM3048">
        <v>0</v>
      </c>
      <c r="AN3048">
        <v>55.34</v>
      </c>
      <c r="AP3048">
        <v>57</v>
      </c>
      <c r="AQ3048">
        <v>57</v>
      </c>
    </row>
    <row r="3049" spans="1:43" x14ac:dyDescent="0.25">
      <c r="A3049" t="s">
        <v>46</v>
      </c>
      <c r="B3049">
        <v>5</v>
      </c>
      <c r="C3049" t="s">
        <v>2021</v>
      </c>
      <c r="D3049" s="39">
        <v>46049</v>
      </c>
      <c r="E3049" t="s">
        <v>243</v>
      </c>
      <c r="F3049" t="s">
        <v>79</v>
      </c>
      <c r="G3049">
        <v>14</v>
      </c>
      <c r="H3049" t="s">
        <v>123</v>
      </c>
      <c r="I3049" t="s">
        <v>79</v>
      </c>
      <c r="J3049">
        <v>50</v>
      </c>
      <c r="K3049" t="s">
        <v>79</v>
      </c>
      <c r="L3049">
        <v>2</v>
      </c>
      <c r="M3049">
        <v>60.55</v>
      </c>
      <c r="N3049">
        <v>2.8</v>
      </c>
      <c r="Q3049">
        <v>57.75</v>
      </c>
      <c r="R3049" t="s">
        <v>2022</v>
      </c>
      <c r="V3049">
        <v>0</v>
      </c>
      <c r="W3049">
        <v>0</v>
      </c>
      <c r="AF3049">
        <v>0</v>
      </c>
      <c r="AG3049">
        <v>0</v>
      </c>
      <c r="AH3049">
        <v>0</v>
      </c>
      <c r="AI3049">
        <v>12</v>
      </c>
      <c r="AJ3049">
        <v>12</v>
      </c>
      <c r="AM3049">
        <v>0</v>
      </c>
      <c r="AN3049">
        <v>65.55</v>
      </c>
      <c r="AP3049">
        <v>57</v>
      </c>
      <c r="AQ3049">
        <v>57</v>
      </c>
    </row>
    <row r="3050" spans="1:43" x14ac:dyDescent="0.25">
      <c r="A3050" t="s">
        <v>46</v>
      </c>
      <c r="B3050">
        <v>5</v>
      </c>
      <c r="C3050" t="s">
        <v>2023</v>
      </c>
      <c r="D3050" s="39">
        <v>46049</v>
      </c>
      <c r="E3050" t="s">
        <v>674</v>
      </c>
      <c r="F3050" t="s">
        <v>79</v>
      </c>
      <c r="G3050">
        <v>13</v>
      </c>
      <c r="H3050" t="s">
        <v>102</v>
      </c>
      <c r="I3050" t="s">
        <v>79</v>
      </c>
      <c r="J3050">
        <v>250</v>
      </c>
      <c r="K3050" t="s">
        <v>79</v>
      </c>
      <c r="L3050">
        <v>3</v>
      </c>
      <c r="M3050">
        <v>138.30000000000001</v>
      </c>
      <c r="N3050">
        <v>3.9000000000000004</v>
      </c>
      <c r="Q3050">
        <v>134.4</v>
      </c>
      <c r="R3050" t="s">
        <v>2028</v>
      </c>
      <c r="S3050">
        <v>25</v>
      </c>
      <c r="V3050">
        <v>25</v>
      </c>
      <c r="W3050">
        <v>0.41666666666666674</v>
      </c>
      <c r="AF3050">
        <v>0</v>
      </c>
      <c r="AG3050">
        <v>0</v>
      </c>
      <c r="AH3050">
        <v>0.41666666666666674</v>
      </c>
      <c r="AI3050">
        <v>11.583333333333334</v>
      </c>
      <c r="AJ3050">
        <v>12</v>
      </c>
      <c r="AM3050">
        <v>0</v>
      </c>
      <c r="AN3050">
        <v>143.30000000000001</v>
      </c>
      <c r="AP3050">
        <v>57</v>
      </c>
      <c r="AQ3050">
        <v>57</v>
      </c>
    </row>
    <row r="3051" spans="1:43" x14ac:dyDescent="0.25">
      <c r="A3051" t="s">
        <v>46</v>
      </c>
      <c r="B3051">
        <v>5</v>
      </c>
      <c r="C3051" t="s">
        <v>2016</v>
      </c>
      <c r="D3051" s="39">
        <v>46049</v>
      </c>
      <c r="E3051" t="s">
        <v>486</v>
      </c>
      <c r="F3051" t="s">
        <v>79</v>
      </c>
      <c r="G3051">
        <v>14</v>
      </c>
      <c r="H3051">
        <v>5</v>
      </c>
      <c r="I3051" t="s">
        <v>79</v>
      </c>
      <c r="J3051">
        <v>1000</v>
      </c>
      <c r="K3051" t="s">
        <v>79</v>
      </c>
      <c r="L3051">
        <v>7</v>
      </c>
      <c r="M3051">
        <v>337.87</v>
      </c>
      <c r="N3051">
        <v>9.7999999999999989</v>
      </c>
      <c r="Q3051">
        <v>328.07</v>
      </c>
      <c r="R3051" t="s">
        <v>2113</v>
      </c>
      <c r="V3051">
        <v>0</v>
      </c>
      <c r="W3051">
        <v>0</v>
      </c>
      <c r="AF3051">
        <v>0</v>
      </c>
      <c r="AG3051">
        <v>0</v>
      </c>
      <c r="AH3051">
        <v>0</v>
      </c>
      <c r="AI3051">
        <v>12</v>
      </c>
      <c r="AJ3051">
        <v>12</v>
      </c>
      <c r="AM3051">
        <v>0</v>
      </c>
      <c r="AN3051">
        <v>342.87</v>
      </c>
      <c r="AP3051">
        <v>57</v>
      </c>
      <c r="AQ3051">
        <v>57</v>
      </c>
    </row>
    <row r="3052" spans="1:43" x14ac:dyDescent="0.25">
      <c r="A3052" t="s">
        <v>45</v>
      </c>
      <c r="B3052">
        <v>2</v>
      </c>
      <c r="C3052" t="s">
        <v>2017</v>
      </c>
      <c r="D3052" s="39">
        <v>46050</v>
      </c>
      <c r="E3052" t="s">
        <v>1466</v>
      </c>
      <c r="F3052" t="s">
        <v>79</v>
      </c>
      <c r="G3052">
        <v>6</v>
      </c>
      <c r="H3052" t="s">
        <v>578</v>
      </c>
      <c r="I3052" t="s">
        <v>79</v>
      </c>
      <c r="J3052">
        <v>500</v>
      </c>
      <c r="K3052" t="s">
        <v>79</v>
      </c>
      <c r="L3052">
        <v>8</v>
      </c>
      <c r="M3052">
        <v>177.16000000000003</v>
      </c>
      <c r="N3052">
        <v>4.8</v>
      </c>
      <c r="Q3052">
        <v>172.36</v>
      </c>
      <c r="R3052" t="s">
        <v>2026</v>
      </c>
      <c r="V3052">
        <v>0</v>
      </c>
      <c r="W3052">
        <v>0</v>
      </c>
      <c r="AF3052">
        <v>0</v>
      </c>
      <c r="AG3052">
        <v>0</v>
      </c>
      <c r="AH3052">
        <v>0</v>
      </c>
      <c r="AI3052">
        <v>12</v>
      </c>
      <c r="AJ3052">
        <v>12</v>
      </c>
      <c r="AM3052">
        <v>0</v>
      </c>
      <c r="AN3052">
        <v>182.16000000000005</v>
      </c>
      <c r="AP3052">
        <v>57</v>
      </c>
      <c r="AQ3052">
        <v>57</v>
      </c>
    </row>
    <row r="3053" spans="1:43" x14ac:dyDescent="0.25">
      <c r="A3053" t="s">
        <v>46</v>
      </c>
      <c r="B3053">
        <v>2</v>
      </c>
      <c r="C3053" t="s">
        <v>2017</v>
      </c>
      <c r="D3053" s="39">
        <v>46050</v>
      </c>
      <c r="E3053" t="s">
        <v>1466</v>
      </c>
      <c r="F3053" t="s">
        <v>79</v>
      </c>
      <c r="G3053">
        <v>6</v>
      </c>
      <c r="H3053" t="s">
        <v>578</v>
      </c>
      <c r="I3053" t="s">
        <v>79</v>
      </c>
      <c r="J3053">
        <v>500</v>
      </c>
      <c r="K3053" t="s">
        <v>79</v>
      </c>
      <c r="L3053">
        <v>9</v>
      </c>
      <c r="M3053">
        <v>160.62</v>
      </c>
      <c r="N3053">
        <v>5.3999999999999995</v>
      </c>
      <c r="Q3053">
        <v>155.22</v>
      </c>
      <c r="R3053" t="s">
        <v>2026</v>
      </c>
      <c r="S3053">
        <v>15</v>
      </c>
      <c r="V3053">
        <v>15</v>
      </c>
      <c r="W3053">
        <v>0.25</v>
      </c>
      <c r="AF3053">
        <v>0</v>
      </c>
      <c r="AG3053">
        <v>0</v>
      </c>
      <c r="AH3053">
        <v>0.25</v>
      </c>
      <c r="AI3053">
        <v>11.75</v>
      </c>
      <c r="AJ3053">
        <v>12</v>
      </c>
      <c r="AM3053">
        <v>0</v>
      </c>
      <c r="AN3053">
        <v>165.62</v>
      </c>
      <c r="AP3053">
        <v>57</v>
      </c>
      <c r="AQ3053">
        <v>57</v>
      </c>
    </row>
    <row r="3054" spans="1:43" x14ac:dyDescent="0.25">
      <c r="A3054" t="s">
        <v>46</v>
      </c>
      <c r="B3054">
        <v>2</v>
      </c>
      <c r="C3054" t="s">
        <v>1970</v>
      </c>
      <c r="D3054" s="39">
        <v>46050</v>
      </c>
      <c r="E3054" t="s">
        <v>486</v>
      </c>
      <c r="F3054" t="s">
        <v>79</v>
      </c>
      <c r="G3054">
        <v>3</v>
      </c>
      <c r="H3054" t="s">
        <v>92</v>
      </c>
      <c r="I3054" t="s">
        <v>79</v>
      </c>
      <c r="J3054">
        <v>1000</v>
      </c>
      <c r="K3054" t="s">
        <v>79</v>
      </c>
      <c r="L3054">
        <v>1</v>
      </c>
      <c r="M3054">
        <v>13.59</v>
      </c>
      <c r="N3054">
        <v>0.3</v>
      </c>
      <c r="Q3054">
        <v>13.29</v>
      </c>
      <c r="R3054" t="s">
        <v>2024</v>
      </c>
      <c r="V3054">
        <v>0</v>
      </c>
      <c r="W3054">
        <v>0</v>
      </c>
      <c r="AF3054">
        <v>0</v>
      </c>
      <c r="AG3054">
        <v>0</v>
      </c>
      <c r="AH3054">
        <v>0</v>
      </c>
      <c r="AI3054">
        <v>12</v>
      </c>
      <c r="AJ3054">
        <v>12</v>
      </c>
      <c r="AM3054">
        <v>0</v>
      </c>
      <c r="AN3054">
        <v>18.59</v>
      </c>
      <c r="AP3054">
        <v>57</v>
      </c>
      <c r="AQ3054">
        <v>57</v>
      </c>
    </row>
    <row r="3055" spans="1:43" x14ac:dyDescent="0.25">
      <c r="A3055" t="s">
        <v>45</v>
      </c>
      <c r="B3055">
        <v>4</v>
      </c>
      <c r="C3055" t="s">
        <v>2020</v>
      </c>
      <c r="D3055" s="39">
        <v>46050</v>
      </c>
      <c r="E3055" t="s">
        <v>1471</v>
      </c>
      <c r="F3055" t="s">
        <v>79</v>
      </c>
      <c r="G3055">
        <v>17</v>
      </c>
      <c r="H3055" t="s">
        <v>1472</v>
      </c>
      <c r="I3055" t="s">
        <v>79</v>
      </c>
      <c r="J3055">
        <v>2500</v>
      </c>
      <c r="K3055" t="s">
        <v>79</v>
      </c>
      <c r="L3055">
        <v>8</v>
      </c>
      <c r="M3055">
        <v>482.15999999999997</v>
      </c>
      <c r="N3055">
        <v>16</v>
      </c>
      <c r="Q3055">
        <v>466.15999999999997</v>
      </c>
      <c r="R3055" t="s">
        <v>2027</v>
      </c>
      <c r="V3055">
        <v>0</v>
      </c>
      <c r="W3055">
        <v>0</v>
      </c>
      <c r="AF3055">
        <v>0</v>
      </c>
      <c r="AG3055">
        <v>0</v>
      </c>
      <c r="AH3055">
        <v>0</v>
      </c>
      <c r="AI3055">
        <v>12</v>
      </c>
      <c r="AJ3055">
        <v>12</v>
      </c>
      <c r="AM3055">
        <v>0</v>
      </c>
      <c r="AN3055">
        <v>487.16</v>
      </c>
      <c r="AP3055">
        <v>57</v>
      </c>
      <c r="AQ3055">
        <v>57</v>
      </c>
    </row>
    <row r="3056" spans="1:43" x14ac:dyDescent="0.25">
      <c r="A3056" t="s">
        <v>45</v>
      </c>
      <c r="B3056">
        <v>4</v>
      </c>
      <c r="C3056" t="s">
        <v>1766</v>
      </c>
      <c r="D3056" s="39">
        <v>46050</v>
      </c>
      <c r="E3056" t="s">
        <v>276</v>
      </c>
      <c r="F3056" t="s">
        <v>79</v>
      </c>
      <c r="G3056">
        <v>24</v>
      </c>
      <c r="H3056" t="s">
        <v>113</v>
      </c>
      <c r="I3056" t="s">
        <v>79</v>
      </c>
      <c r="J3056" t="s">
        <v>81</v>
      </c>
      <c r="K3056" t="s">
        <v>79</v>
      </c>
      <c r="L3056">
        <v>5</v>
      </c>
      <c r="M3056">
        <v>314.78000000000003</v>
      </c>
      <c r="N3056">
        <v>9.629999999999999</v>
      </c>
      <c r="O3056">
        <v>18</v>
      </c>
      <c r="Q3056">
        <v>305.15000000000003</v>
      </c>
      <c r="R3056" t="s">
        <v>2029</v>
      </c>
      <c r="S3056">
        <v>25</v>
      </c>
      <c r="V3056">
        <v>25</v>
      </c>
      <c r="W3056">
        <v>0.41666666666666674</v>
      </c>
      <c r="AF3056">
        <v>0</v>
      </c>
      <c r="AG3056">
        <v>0</v>
      </c>
      <c r="AH3056">
        <v>0.41666666666666674</v>
      </c>
      <c r="AI3056">
        <v>11.583333333333334</v>
      </c>
      <c r="AJ3056">
        <v>12</v>
      </c>
      <c r="AM3056">
        <v>0</v>
      </c>
      <c r="AN3056">
        <v>319.78000000000003</v>
      </c>
      <c r="AP3056">
        <v>57</v>
      </c>
      <c r="AQ3056">
        <v>57</v>
      </c>
    </row>
    <row r="3057" spans="1:43" x14ac:dyDescent="0.25">
      <c r="A3057" t="s">
        <v>46</v>
      </c>
      <c r="B3057">
        <v>4</v>
      </c>
      <c r="C3057" t="s">
        <v>1766</v>
      </c>
      <c r="D3057" s="39">
        <v>46050</v>
      </c>
      <c r="E3057" t="s">
        <v>276</v>
      </c>
      <c r="F3057" t="s">
        <v>79</v>
      </c>
      <c r="G3057">
        <v>24</v>
      </c>
      <c r="H3057" t="s">
        <v>113</v>
      </c>
      <c r="I3057" t="s">
        <v>79</v>
      </c>
      <c r="J3057" t="s">
        <v>81</v>
      </c>
      <c r="K3057" t="s">
        <v>79</v>
      </c>
      <c r="L3057">
        <v>11</v>
      </c>
      <c r="M3057">
        <v>726.63000000000011</v>
      </c>
      <c r="N3057">
        <v>26.4</v>
      </c>
      <c r="O3057">
        <v>18</v>
      </c>
      <c r="Q3057">
        <v>700.23000000000013</v>
      </c>
      <c r="R3057" t="s">
        <v>2029</v>
      </c>
      <c r="V3057">
        <v>0</v>
      </c>
      <c r="W3057">
        <v>0</v>
      </c>
      <c r="AF3057">
        <v>0</v>
      </c>
      <c r="AG3057">
        <v>0</v>
      </c>
      <c r="AH3057">
        <v>0</v>
      </c>
      <c r="AI3057">
        <v>12</v>
      </c>
      <c r="AJ3057">
        <v>12</v>
      </c>
      <c r="AM3057">
        <v>0</v>
      </c>
      <c r="AN3057">
        <v>731.63000000000011</v>
      </c>
      <c r="AP3057">
        <v>57</v>
      </c>
      <c r="AQ3057">
        <v>57</v>
      </c>
    </row>
    <row r="3058" spans="1:43" x14ac:dyDescent="0.25">
      <c r="A3058" t="s">
        <v>46</v>
      </c>
      <c r="B3058">
        <v>4</v>
      </c>
      <c r="C3058" t="s">
        <v>2030</v>
      </c>
      <c r="D3058" s="39">
        <v>46050</v>
      </c>
      <c r="E3058" t="s">
        <v>200</v>
      </c>
      <c r="F3058" t="s">
        <v>79</v>
      </c>
      <c r="G3058">
        <v>24</v>
      </c>
      <c r="H3058" t="s">
        <v>944</v>
      </c>
      <c r="I3058" t="s">
        <v>79</v>
      </c>
      <c r="J3058">
        <v>150</v>
      </c>
      <c r="K3058" t="s">
        <v>79</v>
      </c>
      <c r="L3058">
        <v>2</v>
      </c>
      <c r="M3058">
        <v>81.89</v>
      </c>
      <c r="N3058">
        <v>4.8</v>
      </c>
      <c r="Q3058">
        <v>77.09</v>
      </c>
      <c r="R3058" t="s">
        <v>2031</v>
      </c>
      <c r="V3058">
        <v>0</v>
      </c>
      <c r="W3058">
        <v>0</v>
      </c>
      <c r="AF3058">
        <v>0</v>
      </c>
      <c r="AG3058">
        <v>0</v>
      </c>
      <c r="AH3058">
        <v>0</v>
      </c>
      <c r="AI3058">
        <v>12</v>
      </c>
      <c r="AJ3058">
        <v>12</v>
      </c>
      <c r="AM3058">
        <v>0</v>
      </c>
      <c r="AN3058">
        <v>86.89</v>
      </c>
      <c r="AP3058">
        <v>57</v>
      </c>
      <c r="AQ3058">
        <v>57</v>
      </c>
    </row>
    <row r="3059" spans="1:43" x14ac:dyDescent="0.25">
      <c r="A3059" t="s">
        <v>45</v>
      </c>
      <c r="B3059">
        <v>5</v>
      </c>
      <c r="C3059" t="s">
        <v>2023</v>
      </c>
      <c r="D3059" s="39">
        <v>46050</v>
      </c>
      <c r="E3059" t="s">
        <v>674</v>
      </c>
      <c r="F3059" t="s">
        <v>79</v>
      </c>
      <c r="G3059">
        <v>13</v>
      </c>
      <c r="H3059" t="s">
        <v>102</v>
      </c>
      <c r="I3059" t="s">
        <v>79</v>
      </c>
      <c r="J3059">
        <v>250</v>
      </c>
      <c r="K3059" t="s">
        <v>79</v>
      </c>
      <c r="L3059">
        <v>3</v>
      </c>
      <c r="M3059">
        <v>149.46</v>
      </c>
      <c r="N3059">
        <v>4.8000000000000007</v>
      </c>
      <c r="Q3059">
        <v>144.66</v>
      </c>
      <c r="R3059" t="s">
        <v>2028</v>
      </c>
      <c r="V3059">
        <v>0</v>
      </c>
      <c r="W3059">
        <v>0</v>
      </c>
      <c r="AF3059">
        <v>0</v>
      </c>
      <c r="AG3059">
        <v>0</v>
      </c>
      <c r="AH3059">
        <v>0</v>
      </c>
      <c r="AI3059">
        <v>12</v>
      </c>
      <c r="AJ3059">
        <v>12</v>
      </c>
      <c r="AM3059">
        <v>0</v>
      </c>
      <c r="AN3059">
        <v>154.46</v>
      </c>
      <c r="AP3059">
        <v>57</v>
      </c>
      <c r="AQ3059">
        <v>57</v>
      </c>
    </row>
    <row r="3060" spans="1:43" x14ac:dyDescent="0.25">
      <c r="A3060" t="s">
        <v>45</v>
      </c>
      <c r="B3060">
        <v>5</v>
      </c>
      <c r="C3060" t="s">
        <v>2032</v>
      </c>
      <c r="D3060" s="39">
        <v>46050</v>
      </c>
      <c r="E3060" t="s">
        <v>674</v>
      </c>
      <c r="F3060" t="s">
        <v>79</v>
      </c>
      <c r="G3060">
        <v>15</v>
      </c>
      <c r="H3060" t="s">
        <v>102</v>
      </c>
      <c r="I3060" t="s">
        <v>79</v>
      </c>
      <c r="J3060">
        <v>375</v>
      </c>
      <c r="K3060" t="s">
        <v>79</v>
      </c>
      <c r="L3060">
        <v>3</v>
      </c>
      <c r="M3060">
        <v>164.92000000000002</v>
      </c>
      <c r="N3060">
        <v>5.4</v>
      </c>
      <c r="Q3060">
        <v>159.52000000000001</v>
      </c>
      <c r="R3060" t="s">
        <v>2033</v>
      </c>
      <c r="S3060">
        <v>20</v>
      </c>
      <c r="V3060">
        <v>20</v>
      </c>
      <c r="W3060">
        <v>0.33333333333333331</v>
      </c>
      <c r="X3060">
        <v>135</v>
      </c>
      <c r="AF3060">
        <v>135</v>
      </c>
      <c r="AG3060">
        <v>2.25</v>
      </c>
      <c r="AH3060">
        <v>2.5833333333333335</v>
      </c>
      <c r="AI3060">
        <v>9.4166666666666661</v>
      </c>
      <c r="AJ3060">
        <v>12</v>
      </c>
      <c r="AM3060">
        <v>0</v>
      </c>
      <c r="AN3060">
        <v>169.92000000000002</v>
      </c>
      <c r="AP3060">
        <v>57</v>
      </c>
      <c r="AQ3060">
        <v>57</v>
      </c>
    </row>
    <row r="3061" spans="1:43" x14ac:dyDescent="0.25">
      <c r="A3061" t="s">
        <v>45</v>
      </c>
      <c r="B3061">
        <v>5</v>
      </c>
      <c r="C3061" t="s">
        <v>2034</v>
      </c>
      <c r="D3061" s="39">
        <v>46050</v>
      </c>
      <c r="E3061" t="s">
        <v>2035</v>
      </c>
      <c r="F3061" t="s">
        <v>79</v>
      </c>
      <c r="G3061">
        <v>13</v>
      </c>
      <c r="H3061" t="s">
        <v>2036</v>
      </c>
      <c r="I3061" t="s">
        <v>79</v>
      </c>
      <c r="J3061">
        <v>100</v>
      </c>
      <c r="K3061" t="s">
        <v>79</v>
      </c>
      <c r="L3061">
        <v>2</v>
      </c>
      <c r="M3061">
        <v>110.00999999999999</v>
      </c>
      <c r="N3061">
        <v>3.2</v>
      </c>
      <c r="Q3061">
        <v>106.80999999999999</v>
      </c>
      <c r="R3061" t="s">
        <v>2037</v>
      </c>
      <c r="V3061">
        <v>0</v>
      </c>
      <c r="W3061">
        <v>0</v>
      </c>
      <c r="AF3061">
        <v>0</v>
      </c>
      <c r="AG3061">
        <v>0</v>
      </c>
      <c r="AH3061">
        <v>0</v>
      </c>
      <c r="AI3061">
        <v>12</v>
      </c>
      <c r="AJ3061">
        <v>12</v>
      </c>
      <c r="AM3061">
        <v>0</v>
      </c>
      <c r="AN3061">
        <v>115.01</v>
      </c>
      <c r="AP3061">
        <v>57</v>
      </c>
      <c r="AQ3061">
        <v>57</v>
      </c>
    </row>
    <row r="3062" spans="1:43" x14ac:dyDescent="0.25">
      <c r="A3062" t="s">
        <v>46</v>
      </c>
      <c r="B3062">
        <v>5</v>
      </c>
      <c r="C3062" t="s">
        <v>2032</v>
      </c>
      <c r="D3062" s="39">
        <v>46050</v>
      </c>
      <c r="E3062" t="s">
        <v>674</v>
      </c>
      <c r="F3062" t="s">
        <v>79</v>
      </c>
      <c r="G3062">
        <v>15</v>
      </c>
      <c r="H3062" t="s">
        <v>102</v>
      </c>
      <c r="I3062" t="s">
        <v>79</v>
      </c>
      <c r="J3062">
        <v>375</v>
      </c>
      <c r="K3062" t="s">
        <v>79</v>
      </c>
      <c r="L3062">
        <v>11</v>
      </c>
      <c r="M3062">
        <v>516.28</v>
      </c>
      <c r="N3062">
        <v>19.8</v>
      </c>
      <c r="Q3062">
        <v>496.47999999999996</v>
      </c>
      <c r="R3062" t="s">
        <v>2033</v>
      </c>
      <c r="S3062">
        <v>25</v>
      </c>
      <c r="V3062">
        <v>25</v>
      </c>
      <c r="W3062">
        <v>0.41666666666666674</v>
      </c>
      <c r="AD3062">
        <v>35</v>
      </c>
      <c r="AF3062">
        <v>35</v>
      </c>
      <c r="AG3062">
        <v>0.58333333333333337</v>
      </c>
      <c r="AH3062">
        <v>1</v>
      </c>
      <c r="AI3062">
        <v>11</v>
      </c>
      <c r="AJ3062">
        <v>12</v>
      </c>
      <c r="AM3062">
        <v>0</v>
      </c>
      <c r="AN3062">
        <v>521.28</v>
      </c>
      <c r="AP3062">
        <v>57</v>
      </c>
      <c r="AQ3062">
        <v>57</v>
      </c>
    </row>
    <row r="3063" spans="1:43" x14ac:dyDescent="0.25">
      <c r="A3063" t="s">
        <v>45</v>
      </c>
      <c r="B3063">
        <v>1</v>
      </c>
      <c r="C3063" t="s">
        <v>1994</v>
      </c>
      <c r="D3063" s="39">
        <v>46051</v>
      </c>
      <c r="E3063" t="s">
        <v>486</v>
      </c>
      <c r="F3063" t="s">
        <v>79</v>
      </c>
      <c r="G3063">
        <v>2.5</v>
      </c>
      <c r="H3063" t="s">
        <v>92</v>
      </c>
      <c r="I3063" t="s">
        <v>79</v>
      </c>
      <c r="J3063" t="s">
        <v>1884</v>
      </c>
      <c r="K3063" t="s">
        <v>79</v>
      </c>
      <c r="L3063">
        <v>3</v>
      </c>
      <c r="M3063">
        <v>62.419999999999995</v>
      </c>
      <c r="N3063">
        <v>0.60000000000000009</v>
      </c>
      <c r="Q3063">
        <v>61.819999999999993</v>
      </c>
      <c r="R3063" t="s">
        <v>2025</v>
      </c>
      <c r="T3063">
        <v>360</v>
      </c>
      <c r="V3063">
        <v>360</v>
      </c>
      <c r="W3063">
        <v>6</v>
      </c>
      <c r="AF3063">
        <v>0</v>
      </c>
      <c r="AG3063">
        <v>0</v>
      </c>
      <c r="AH3063">
        <v>6</v>
      </c>
      <c r="AI3063">
        <v>6</v>
      </c>
      <c r="AJ3063">
        <v>12</v>
      </c>
      <c r="AM3063">
        <v>0</v>
      </c>
      <c r="AN3063">
        <v>67.419999999999987</v>
      </c>
      <c r="AP3063">
        <v>57</v>
      </c>
      <c r="AQ3063">
        <v>57</v>
      </c>
    </row>
    <row r="3064" spans="1:43" x14ac:dyDescent="0.25">
      <c r="A3064" t="s">
        <v>46</v>
      </c>
      <c r="B3064">
        <v>1</v>
      </c>
      <c r="C3064" t="s">
        <v>1994</v>
      </c>
      <c r="D3064" s="39">
        <v>46051</v>
      </c>
      <c r="E3064" t="s">
        <v>486</v>
      </c>
      <c r="F3064" t="s">
        <v>79</v>
      </c>
      <c r="G3064">
        <v>2.5</v>
      </c>
      <c r="H3064" t="s">
        <v>92</v>
      </c>
      <c r="I3064" t="s">
        <v>79</v>
      </c>
      <c r="J3064" t="s">
        <v>1884</v>
      </c>
      <c r="K3064" t="s">
        <v>79</v>
      </c>
      <c r="L3064">
        <v>6</v>
      </c>
      <c r="M3064">
        <v>127.43</v>
      </c>
      <c r="N3064">
        <v>1.2000000000000002</v>
      </c>
      <c r="Q3064">
        <v>126.23</v>
      </c>
      <c r="R3064" t="s">
        <v>2025</v>
      </c>
      <c r="V3064">
        <v>0</v>
      </c>
      <c r="W3064">
        <v>0</v>
      </c>
      <c r="AF3064">
        <v>0</v>
      </c>
      <c r="AG3064">
        <v>0</v>
      </c>
      <c r="AH3064">
        <v>0</v>
      </c>
      <c r="AI3064">
        <v>12</v>
      </c>
      <c r="AJ3064">
        <v>12</v>
      </c>
      <c r="AM3064">
        <v>0</v>
      </c>
      <c r="AN3064">
        <v>132.43</v>
      </c>
      <c r="AP3064">
        <v>57</v>
      </c>
      <c r="AQ3064">
        <v>57</v>
      </c>
    </row>
    <row r="3065" spans="1:43" x14ac:dyDescent="0.25">
      <c r="A3065" t="s">
        <v>45</v>
      </c>
      <c r="B3065">
        <v>2</v>
      </c>
      <c r="C3065" t="s">
        <v>1970</v>
      </c>
      <c r="D3065" s="39">
        <v>46051</v>
      </c>
      <c r="E3065" t="s">
        <v>486</v>
      </c>
      <c r="F3065" t="s">
        <v>79</v>
      </c>
      <c r="G3065">
        <v>3</v>
      </c>
      <c r="H3065" t="s">
        <v>92</v>
      </c>
      <c r="I3065" t="s">
        <v>79</v>
      </c>
      <c r="J3065">
        <v>1000</v>
      </c>
      <c r="K3065" t="s">
        <v>79</v>
      </c>
      <c r="L3065">
        <v>11</v>
      </c>
      <c r="M3065">
        <v>143.97999999999999</v>
      </c>
      <c r="N3065">
        <v>3.3</v>
      </c>
      <c r="Q3065">
        <v>140.67999999999998</v>
      </c>
      <c r="R3065" t="s">
        <v>2024</v>
      </c>
      <c r="V3065">
        <v>0</v>
      </c>
      <c r="W3065">
        <v>0</v>
      </c>
      <c r="AF3065">
        <v>0</v>
      </c>
      <c r="AG3065">
        <v>0</v>
      </c>
      <c r="AH3065">
        <v>0</v>
      </c>
      <c r="AI3065">
        <v>12</v>
      </c>
      <c r="AJ3065">
        <v>12</v>
      </c>
      <c r="AM3065">
        <v>0</v>
      </c>
      <c r="AN3065">
        <v>148.97999999999999</v>
      </c>
      <c r="AP3065">
        <v>57</v>
      </c>
      <c r="AQ3065">
        <v>57</v>
      </c>
    </row>
    <row r="3066" spans="1:43" x14ac:dyDescent="0.25">
      <c r="A3066" t="s">
        <v>46</v>
      </c>
      <c r="B3066">
        <v>2</v>
      </c>
      <c r="C3066" t="s">
        <v>1970</v>
      </c>
      <c r="D3066" s="39">
        <v>46051</v>
      </c>
      <c r="E3066" t="s">
        <v>486</v>
      </c>
      <c r="F3066" t="s">
        <v>79</v>
      </c>
      <c r="G3066">
        <v>3</v>
      </c>
      <c r="H3066" t="s">
        <v>92</v>
      </c>
      <c r="I3066" t="s">
        <v>79</v>
      </c>
      <c r="J3066">
        <v>1000</v>
      </c>
      <c r="K3066" t="s">
        <v>79</v>
      </c>
      <c r="L3066">
        <v>11</v>
      </c>
      <c r="M3066">
        <v>139.44</v>
      </c>
      <c r="N3066">
        <v>3.3</v>
      </c>
      <c r="Q3066">
        <v>136.13999999999999</v>
      </c>
      <c r="R3066" t="s">
        <v>2024</v>
      </c>
      <c r="V3066">
        <v>0</v>
      </c>
      <c r="W3066">
        <v>0</v>
      </c>
      <c r="AF3066">
        <v>0</v>
      </c>
      <c r="AG3066">
        <v>0</v>
      </c>
      <c r="AH3066">
        <v>0</v>
      </c>
      <c r="AI3066">
        <v>12</v>
      </c>
      <c r="AJ3066">
        <v>12</v>
      </c>
      <c r="AM3066">
        <v>0</v>
      </c>
      <c r="AN3066">
        <v>144.44</v>
      </c>
      <c r="AP3066">
        <v>57</v>
      </c>
      <c r="AQ3066">
        <v>57</v>
      </c>
    </row>
    <row r="3067" spans="1:43" x14ac:dyDescent="0.25">
      <c r="A3067" t="s">
        <v>45</v>
      </c>
      <c r="B3067">
        <v>4</v>
      </c>
      <c r="C3067" t="s">
        <v>2030</v>
      </c>
      <c r="D3067" s="39">
        <v>46051</v>
      </c>
      <c r="E3067" t="s">
        <v>200</v>
      </c>
      <c r="F3067" t="s">
        <v>79</v>
      </c>
      <c r="G3067">
        <v>24</v>
      </c>
      <c r="H3067" t="s">
        <v>944</v>
      </c>
      <c r="I3067" t="s">
        <v>79</v>
      </c>
      <c r="J3067">
        <v>150</v>
      </c>
      <c r="K3067" t="s">
        <v>79</v>
      </c>
      <c r="L3067">
        <v>2</v>
      </c>
      <c r="M3067">
        <v>87.19</v>
      </c>
      <c r="N3067">
        <v>5.3000000000000007</v>
      </c>
      <c r="Q3067">
        <v>81.89</v>
      </c>
      <c r="R3067" t="s">
        <v>2031</v>
      </c>
      <c r="S3067">
        <v>25</v>
      </c>
      <c r="V3067">
        <v>25</v>
      </c>
      <c r="W3067">
        <v>0.41666666666666674</v>
      </c>
      <c r="AF3067">
        <v>0</v>
      </c>
      <c r="AG3067">
        <v>0</v>
      </c>
      <c r="AH3067">
        <v>0.41666666666666674</v>
      </c>
      <c r="AI3067">
        <v>11.583333333333334</v>
      </c>
      <c r="AJ3067">
        <v>12</v>
      </c>
      <c r="AM3067">
        <v>0</v>
      </c>
      <c r="AN3067">
        <v>92.19</v>
      </c>
      <c r="AP3067">
        <v>57</v>
      </c>
      <c r="AQ3067">
        <v>57</v>
      </c>
    </row>
    <row r="3068" spans="1:43" x14ac:dyDescent="0.25">
      <c r="A3068" t="s">
        <v>45</v>
      </c>
      <c r="B3068">
        <v>4</v>
      </c>
      <c r="C3068" t="s">
        <v>2020</v>
      </c>
      <c r="D3068" s="39">
        <v>46051</v>
      </c>
      <c r="E3068" t="s">
        <v>1471</v>
      </c>
      <c r="F3068" t="s">
        <v>79</v>
      </c>
      <c r="G3068">
        <v>17</v>
      </c>
      <c r="H3068" t="s">
        <v>1472</v>
      </c>
      <c r="I3068" t="s">
        <v>79</v>
      </c>
      <c r="J3068">
        <v>2500</v>
      </c>
      <c r="K3068" t="s">
        <v>79</v>
      </c>
      <c r="L3068">
        <v>14</v>
      </c>
      <c r="M3068">
        <v>847.51999999999987</v>
      </c>
      <c r="N3068">
        <v>24.53</v>
      </c>
      <c r="O3068">
        <v>19</v>
      </c>
      <c r="Q3068">
        <v>822.9899999999999</v>
      </c>
      <c r="R3068" t="s">
        <v>2027</v>
      </c>
      <c r="V3068">
        <v>0</v>
      </c>
      <c r="W3068">
        <v>0</v>
      </c>
      <c r="AF3068">
        <v>0</v>
      </c>
      <c r="AG3068">
        <v>0</v>
      </c>
      <c r="AH3068">
        <v>0</v>
      </c>
      <c r="AI3068">
        <v>12</v>
      </c>
      <c r="AJ3068">
        <v>12</v>
      </c>
      <c r="AM3068">
        <v>0</v>
      </c>
      <c r="AN3068">
        <v>852.51999999999987</v>
      </c>
      <c r="AP3068">
        <v>57</v>
      </c>
      <c r="AQ3068">
        <v>57</v>
      </c>
    </row>
    <row r="3069" spans="1:43" x14ac:dyDescent="0.25">
      <c r="A3069" t="s">
        <v>46</v>
      </c>
      <c r="B3069">
        <v>4</v>
      </c>
      <c r="C3069" t="s">
        <v>2020</v>
      </c>
      <c r="D3069" s="39">
        <v>46051</v>
      </c>
      <c r="E3069" t="s">
        <v>1471</v>
      </c>
      <c r="F3069" t="s">
        <v>79</v>
      </c>
      <c r="G3069">
        <v>17</v>
      </c>
      <c r="H3069" t="s">
        <v>1472</v>
      </c>
      <c r="I3069" t="s">
        <v>79</v>
      </c>
      <c r="J3069">
        <v>2500</v>
      </c>
      <c r="K3069" t="s">
        <v>79</v>
      </c>
      <c r="L3069">
        <v>12</v>
      </c>
      <c r="M3069">
        <v>688.03</v>
      </c>
      <c r="N3069">
        <v>22.72</v>
      </c>
      <c r="O3069">
        <v>13</v>
      </c>
      <c r="Q3069">
        <v>665.31</v>
      </c>
      <c r="R3069" t="s">
        <v>2027</v>
      </c>
      <c r="V3069">
        <v>0</v>
      </c>
      <c r="W3069">
        <v>0</v>
      </c>
      <c r="AF3069">
        <v>0</v>
      </c>
      <c r="AG3069">
        <v>0</v>
      </c>
      <c r="AH3069">
        <v>0</v>
      </c>
      <c r="AI3069">
        <v>12</v>
      </c>
      <c r="AJ3069">
        <v>12</v>
      </c>
      <c r="AM3069">
        <v>0</v>
      </c>
      <c r="AN3069">
        <v>693.03</v>
      </c>
      <c r="AP3069">
        <v>57</v>
      </c>
      <c r="AQ3069">
        <v>57</v>
      </c>
    </row>
    <row r="3070" spans="1:43" x14ac:dyDescent="0.25">
      <c r="A3070" t="s">
        <v>46</v>
      </c>
      <c r="B3070">
        <v>4</v>
      </c>
      <c r="C3070" t="s">
        <v>2038</v>
      </c>
      <c r="D3070" s="39">
        <v>46051</v>
      </c>
      <c r="E3070" t="s">
        <v>674</v>
      </c>
      <c r="F3070" t="s">
        <v>79</v>
      </c>
      <c r="G3070">
        <v>17</v>
      </c>
      <c r="H3070" t="s">
        <v>102</v>
      </c>
      <c r="I3070" t="s">
        <v>79</v>
      </c>
      <c r="J3070">
        <v>375</v>
      </c>
      <c r="K3070" t="s">
        <v>79</v>
      </c>
      <c r="L3070">
        <v>4</v>
      </c>
      <c r="M3070">
        <v>263.78000000000003</v>
      </c>
      <c r="N3070">
        <v>6.8</v>
      </c>
      <c r="Q3070">
        <v>256.98</v>
      </c>
      <c r="R3070" t="s">
        <v>2039</v>
      </c>
      <c r="V3070">
        <v>0</v>
      </c>
      <c r="W3070">
        <v>0</v>
      </c>
      <c r="AF3070">
        <v>0</v>
      </c>
      <c r="AG3070">
        <v>0</v>
      </c>
      <c r="AH3070">
        <v>0</v>
      </c>
      <c r="AI3070">
        <v>12</v>
      </c>
      <c r="AJ3070">
        <v>12</v>
      </c>
      <c r="AM3070">
        <v>0</v>
      </c>
      <c r="AN3070">
        <v>268.78000000000003</v>
      </c>
      <c r="AP3070">
        <v>57</v>
      </c>
      <c r="AQ3070">
        <v>57</v>
      </c>
    </row>
    <row r="3071" spans="1:43" x14ac:dyDescent="0.25">
      <c r="A3071" t="s">
        <v>45</v>
      </c>
      <c r="B3071">
        <v>5</v>
      </c>
      <c r="C3071" t="s">
        <v>2040</v>
      </c>
      <c r="D3071" s="39">
        <v>46051</v>
      </c>
      <c r="E3071" t="s">
        <v>2041</v>
      </c>
      <c r="F3071" t="s">
        <v>79</v>
      </c>
      <c r="G3071">
        <v>9</v>
      </c>
      <c r="H3071" t="s">
        <v>944</v>
      </c>
      <c r="I3071" t="s">
        <v>79</v>
      </c>
      <c r="J3071">
        <v>100</v>
      </c>
      <c r="K3071" t="s">
        <v>79</v>
      </c>
      <c r="L3071">
        <v>8</v>
      </c>
      <c r="M3071">
        <v>329.42</v>
      </c>
      <c r="N3071">
        <v>4.0999999999999996</v>
      </c>
      <c r="Q3071">
        <v>325.32</v>
      </c>
      <c r="R3071" t="s">
        <v>2042</v>
      </c>
      <c r="V3071">
        <v>0</v>
      </c>
      <c r="W3071">
        <v>0</v>
      </c>
      <c r="AF3071">
        <v>0</v>
      </c>
      <c r="AG3071">
        <v>0</v>
      </c>
      <c r="AH3071">
        <v>0</v>
      </c>
      <c r="AI3071">
        <v>12</v>
      </c>
      <c r="AJ3071">
        <v>12</v>
      </c>
      <c r="AM3071">
        <v>0</v>
      </c>
      <c r="AN3071">
        <v>334.42</v>
      </c>
      <c r="AP3071">
        <v>57</v>
      </c>
      <c r="AQ3071">
        <v>57</v>
      </c>
    </row>
    <row r="3072" spans="1:43" x14ac:dyDescent="0.25">
      <c r="A3072" t="s">
        <v>45</v>
      </c>
      <c r="B3072">
        <v>5</v>
      </c>
      <c r="C3072" t="s">
        <v>2043</v>
      </c>
      <c r="D3072" s="39">
        <v>46051</v>
      </c>
      <c r="E3072" t="s">
        <v>2044</v>
      </c>
      <c r="F3072" t="s">
        <v>79</v>
      </c>
      <c r="G3072">
        <v>9</v>
      </c>
      <c r="H3072" t="s">
        <v>135</v>
      </c>
      <c r="I3072" t="s">
        <v>79</v>
      </c>
      <c r="J3072">
        <v>100</v>
      </c>
      <c r="K3072" t="s">
        <v>79</v>
      </c>
      <c r="L3072">
        <v>2</v>
      </c>
      <c r="M3072">
        <v>61.4</v>
      </c>
      <c r="N3072">
        <v>1.8</v>
      </c>
      <c r="O3072">
        <v>3</v>
      </c>
      <c r="Q3072">
        <v>59.6</v>
      </c>
      <c r="R3072" t="s">
        <v>2045</v>
      </c>
      <c r="V3072">
        <v>0</v>
      </c>
      <c r="W3072">
        <v>0</v>
      </c>
      <c r="AF3072">
        <v>0</v>
      </c>
      <c r="AG3072">
        <v>0</v>
      </c>
      <c r="AH3072">
        <v>0</v>
      </c>
      <c r="AI3072">
        <v>12</v>
      </c>
      <c r="AJ3072">
        <v>12</v>
      </c>
      <c r="AM3072">
        <v>0</v>
      </c>
      <c r="AN3072">
        <v>66.400000000000006</v>
      </c>
      <c r="AP3072">
        <v>57</v>
      </c>
      <c r="AQ3072">
        <v>57</v>
      </c>
    </row>
    <row r="3073" spans="1:43" x14ac:dyDescent="0.25">
      <c r="A3073" t="s">
        <v>46</v>
      </c>
      <c r="B3073">
        <v>5</v>
      </c>
      <c r="C3073" t="s">
        <v>2043</v>
      </c>
      <c r="D3073" s="39">
        <v>46051</v>
      </c>
      <c r="E3073" t="s">
        <v>2044</v>
      </c>
      <c r="F3073" t="s">
        <v>79</v>
      </c>
      <c r="G3073">
        <v>9</v>
      </c>
      <c r="H3073" t="s">
        <v>135</v>
      </c>
      <c r="I3073" t="s">
        <v>79</v>
      </c>
      <c r="J3073">
        <v>100</v>
      </c>
      <c r="K3073" t="s">
        <v>79</v>
      </c>
      <c r="L3073">
        <v>2</v>
      </c>
      <c r="M3073">
        <v>61.1</v>
      </c>
      <c r="N3073">
        <v>2.4</v>
      </c>
      <c r="O3073">
        <v>3</v>
      </c>
      <c r="Q3073">
        <v>58.7</v>
      </c>
      <c r="R3073" t="s">
        <v>2045</v>
      </c>
      <c r="S3073">
        <v>20</v>
      </c>
      <c r="V3073">
        <v>20</v>
      </c>
      <c r="W3073">
        <v>0.33333333333333331</v>
      </c>
      <c r="AF3073">
        <v>0</v>
      </c>
      <c r="AG3073">
        <v>0</v>
      </c>
      <c r="AH3073">
        <v>0.33333333333333331</v>
      </c>
      <c r="AI3073">
        <v>11.666666666666666</v>
      </c>
      <c r="AJ3073">
        <v>12</v>
      </c>
      <c r="AM3073">
        <v>0</v>
      </c>
      <c r="AN3073">
        <v>66.099999999999994</v>
      </c>
      <c r="AP3073">
        <v>57</v>
      </c>
      <c r="AQ3073">
        <v>57</v>
      </c>
    </row>
    <row r="3074" spans="1:43" x14ac:dyDescent="0.25">
      <c r="A3074" t="s">
        <v>46</v>
      </c>
      <c r="B3074">
        <v>5</v>
      </c>
      <c r="C3074" t="s">
        <v>2046</v>
      </c>
      <c r="D3074" s="39">
        <v>46051</v>
      </c>
      <c r="E3074" t="s">
        <v>2041</v>
      </c>
      <c r="F3074" t="s">
        <v>79</v>
      </c>
      <c r="G3074">
        <v>10</v>
      </c>
      <c r="H3074" t="s">
        <v>123</v>
      </c>
      <c r="I3074" t="s">
        <v>79</v>
      </c>
      <c r="J3074">
        <v>100</v>
      </c>
      <c r="K3074" t="s">
        <v>79</v>
      </c>
      <c r="L3074">
        <v>4</v>
      </c>
      <c r="M3074">
        <v>107.12</v>
      </c>
      <c r="N3074">
        <v>4.92</v>
      </c>
      <c r="Q3074">
        <v>102.2</v>
      </c>
      <c r="R3074" t="s">
        <v>2047</v>
      </c>
      <c r="S3074">
        <v>25</v>
      </c>
      <c r="V3074">
        <v>25</v>
      </c>
      <c r="W3074">
        <v>0.41666666666666674</v>
      </c>
      <c r="AF3074">
        <v>0</v>
      </c>
      <c r="AG3074">
        <v>0</v>
      </c>
      <c r="AH3074">
        <v>0.41666666666666674</v>
      </c>
      <c r="AI3074">
        <v>11.583333333333334</v>
      </c>
      <c r="AJ3074">
        <v>12</v>
      </c>
      <c r="AM3074">
        <v>0</v>
      </c>
      <c r="AN3074">
        <v>112.12</v>
      </c>
      <c r="AP3074">
        <v>57</v>
      </c>
      <c r="AQ3074">
        <v>57</v>
      </c>
    </row>
    <row r="3075" spans="1:43" x14ac:dyDescent="0.25">
      <c r="A3075" t="s">
        <v>46</v>
      </c>
      <c r="B3075">
        <v>5</v>
      </c>
      <c r="C3075" t="s">
        <v>2048</v>
      </c>
      <c r="D3075" s="39">
        <v>46051</v>
      </c>
      <c r="E3075" t="s">
        <v>1048</v>
      </c>
      <c r="F3075" t="s">
        <v>79</v>
      </c>
      <c r="G3075">
        <v>10</v>
      </c>
      <c r="H3075" t="s">
        <v>859</v>
      </c>
      <c r="I3075" t="s">
        <v>79</v>
      </c>
      <c r="J3075">
        <v>100</v>
      </c>
      <c r="K3075" t="s">
        <v>79</v>
      </c>
      <c r="L3075">
        <v>4</v>
      </c>
      <c r="M3075">
        <v>159.66</v>
      </c>
      <c r="N3075">
        <v>4</v>
      </c>
      <c r="Q3075">
        <v>155.66</v>
      </c>
      <c r="R3075" t="s">
        <v>2049</v>
      </c>
      <c r="V3075">
        <v>0</v>
      </c>
      <c r="W3075">
        <v>0</v>
      </c>
      <c r="AF3075">
        <v>0</v>
      </c>
      <c r="AG3075">
        <v>0</v>
      </c>
      <c r="AH3075">
        <v>0</v>
      </c>
      <c r="AI3075">
        <v>12</v>
      </c>
      <c r="AJ3075">
        <v>12</v>
      </c>
      <c r="AM3075">
        <v>0</v>
      </c>
      <c r="AN3075">
        <v>164.66</v>
      </c>
      <c r="AP3075">
        <v>57</v>
      </c>
      <c r="AQ3075">
        <v>57</v>
      </c>
    </row>
    <row r="3076" spans="1:43" x14ac:dyDescent="0.25">
      <c r="A3076" t="s">
        <v>46</v>
      </c>
      <c r="B3076">
        <v>5</v>
      </c>
      <c r="C3076" t="s">
        <v>2050</v>
      </c>
      <c r="D3076" s="39">
        <v>46051</v>
      </c>
      <c r="E3076" t="s">
        <v>1048</v>
      </c>
      <c r="F3076" t="s">
        <v>79</v>
      </c>
      <c r="G3076">
        <v>12</v>
      </c>
      <c r="H3076" t="s">
        <v>859</v>
      </c>
      <c r="I3076" t="s">
        <v>79</v>
      </c>
      <c r="J3076">
        <v>75</v>
      </c>
      <c r="K3076" t="s">
        <v>79</v>
      </c>
      <c r="L3076">
        <v>1</v>
      </c>
      <c r="M3076">
        <v>50.7</v>
      </c>
      <c r="N3076">
        <v>1.2</v>
      </c>
      <c r="Q3076">
        <v>49.5</v>
      </c>
      <c r="R3076" t="s">
        <v>2051</v>
      </c>
      <c r="V3076">
        <v>0</v>
      </c>
      <c r="W3076">
        <v>0</v>
      </c>
      <c r="AF3076">
        <v>0</v>
      </c>
      <c r="AG3076">
        <v>0</v>
      </c>
      <c r="AH3076">
        <v>0</v>
      </c>
      <c r="AI3076">
        <v>12</v>
      </c>
      <c r="AJ3076">
        <v>12</v>
      </c>
      <c r="AM3076">
        <v>0</v>
      </c>
      <c r="AN3076">
        <v>55.7</v>
      </c>
      <c r="AP3076">
        <v>57</v>
      </c>
      <c r="AQ3076">
        <v>57</v>
      </c>
    </row>
    <row r="3077" spans="1:43" x14ac:dyDescent="0.25">
      <c r="A3077" t="s">
        <v>45</v>
      </c>
      <c r="B3077">
        <v>1</v>
      </c>
      <c r="C3077" t="s">
        <v>2052</v>
      </c>
      <c r="D3077" s="39">
        <v>46052</v>
      </c>
      <c r="E3077" t="s">
        <v>486</v>
      </c>
      <c r="F3077" t="s">
        <v>79</v>
      </c>
      <c r="G3077">
        <v>2</v>
      </c>
      <c r="H3077" t="s">
        <v>92</v>
      </c>
      <c r="I3077" t="s">
        <v>79</v>
      </c>
      <c r="J3077" t="s">
        <v>2074</v>
      </c>
      <c r="K3077" t="s">
        <v>79</v>
      </c>
      <c r="L3077">
        <v>5</v>
      </c>
      <c r="M3077">
        <v>105.16</v>
      </c>
      <c r="N3077">
        <v>1</v>
      </c>
      <c r="Q3077">
        <v>104.16</v>
      </c>
      <c r="R3077" t="s">
        <v>2181</v>
      </c>
      <c r="V3077">
        <v>0</v>
      </c>
      <c r="W3077">
        <v>0</v>
      </c>
      <c r="AF3077">
        <v>0</v>
      </c>
      <c r="AG3077">
        <v>0</v>
      </c>
      <c r="AH3077">
        <v>0</v>
      </c>
      <c r="AI3077">
        <v>12</v>
      </c>
      <c r="AJ3077">
        <v>12</v>
      </c>
      <c r="AM3077">
        <v>0</v>
      </c>
      <c r="AN3077">
        <v>110.16</v>
      </c>
      <c r="AP3077">
        <v>57</v>
      </c>
      <c r="AQ3077">
        <v>57</v>
      </c>
    </row>
    <row r="3078" spans="1:43" x14ac:dyDescent="0.25">
      <c r="A3078" t="s">
        <v>45</v>
      </c>
      <c r="B3078">
        <v>1</v>
      </c>
      <c r="C3078" t="s">
        <v>2052</v>
      </c>
      <c r="D3078" s="39">
        <v>46052</v>
      </c>
      <c r="E3078" t="s">
        <v>486</v>
      </c>
      <c r="F3078" t="s">
        <v>79</v>
      </c>
      <c r="G3078">
        <v>2</v>
      </c>
      <c r="H3078" t="s">
        <v>92</v>
      </c>
      <c r="I3078" t="s">
        <v>79</v>
      </c>
      <c r="J3078" t="s">
        <v>2074</v>
      </c>
      <c r="K3078" t="s">
        <v>79</v>
      </c>
      <c r="L3078">
        <v>2</v>
      </c>
      <c r="M3078">
        <v>23.06</v>
      </c>
      <c r="N3078">
        <v>0.4</v>
      </c>
      <c r="Q3078">
        <v>22.66</v>
      </c>
      <c r="R3078" t="s">
        <v>2181</v>
      </c>
      <c r="V3078">
        <v>0</v>
      </c>
      <c r="W3078">
        <v>0</v>
      </c>
      <c r="AF3078">
        <v>0</v>
      </c>
      <c r="AG3078">
        <v>0</v>
      </c>
      <c r="AH3078">
        <v>0</v>
      </c>
      <c r="AI3078">
        <v>12</v>
      </c>
      <c r="AJ3078">
        <v>12</v>
      </c>
      <c r="AM3078">
        <v>0</v>
      </c>
      <c r="AN3078">
        <v>28.06</v>
      </c>
      <c r="AP3078">
        <v>57</v>
      </c>
      <c r="AQ3078">
        <v>57</v>
      </c>
    </row>
    <row r="3079" spans="1:43" x14ac:dyDescent="0.25">
      <c r="A3079" t="s">
        <v>46</v>
      </c>
      <c r="B3079">
        <v>1</v>
      </c>
      <c r="C3079" t="s">
        <v>2052</v>
      </c>
      <c r="D3079" s="39">
        <v>46052</v>
      </c>
      <c r="E3079" t="s">
        <v>486</v>
      </c>
      <c r="F3079" t="s">
        <v>79</v>
      </c>
      <c r="G3079">
        <v>2</v>
      </c>
      <c r="H3079" t="s">
        <v>92</v>
      </c>
      <c r="I3079" t="s">
        <v>79</v>
      </c>
      <c r="J3079" t="s">
        <v>2074</v>
      </c>
      <c r="K3079" t="s">
        <v>79</v>
      </c>
      <c r="L3079">
        <v>7</v>
      </c>
      <c r="M3079">
        <v>131.97</v>
      </c>
      <c r="N3079">
        <v>1.4000000000000001</v>
      </c>
      <c r="Q3079">
        <v>130.57</v>
      </c>
      <c r="R3079" t="s">
        <v>2181</v>
      </c>
      <c r="V3079">
        <v>0</v>
      </c>
      <c r="W3079">
        <v>0</v>
      </c>
      <c r="AF3079">
        <v>0</v>
      </c>
      <c r="AG3079">
        <v>0</v>
      </c>
      <c r="AH3079">
        <v>0</v>
      </c>
      <c r="AI3079">
        <v>12</v>
      </c>
      <c r="AJ3079">
        <v>12</v>
      </c>
      <c r="AM3079">
        <v>0</v>
      </c>
      <c r="AN3079">
        <v>136.97</v>
      </c>
      <c r="AP3079">
        <v>57</v>
      </c>
      <c r="AQ3079">
        <v>57</v>
      </c>
    </row>
    <row r="3080" spans="1:43" x14ac:dyDescent="0.25">
      <c r="A3080" t="s">
        <v>45</v>
      </c>
      <c r="B3080">
        <v>2</v>
      </c>
      <c r="C3080" t="s">
        <v>1970</v>
      </c>
      <c r="D3080" s="39">
        <v>46052</v>
      </c>
      <c r="E3080" t="s">
        <v>486</v>
      </c>
      <c r="F3080" t="s">
        <v>79</v>
      </c>
      <c r="G3080">
        <v>3</v>
      </c>
      <c r="H3080" t="s">
        <v>92</v>
      </c>
      <c r="I3080" t="s">
        <v>79</v>
      </c>
      <c r="J3080">
        <v>1000</v>
      </c>
      <c r="K3080" t="s">
        <v>79</v>
      </c>
      <c r="L3080">
        <v>10</v>
      </c>
      <c r="M3080">
        <v>132.63999999999999</v>
      </c>
      <c r="N3080">
        <v>3</v>
      </c>
      <c r="Q3080">
        <v>129.63999999999999</v>
      </c>
      <c r="R3080" t="s">
        <v>2024</v>
      </c>
      <c r="V3080">
        <v>0</v>
      </c>
      <c r="W3080">
        <v>0</v>
      </c>
      <c r="AF3080">
        <v>0</v>
      </c>
      <c r="AG3080">
        <v>0</v>
      </c>
      <c r="AH3080">
        <v>0</v>
      </c>
      <c r="AI3080">
        <v>12</v>
      </c>
      <c r="AJ3080">
        <v>12</v>
      </c>
      <c r="AM3080">
        <v>0</v>
      </c>
      <c r="AN3080">
        <v>137.63999999999999</v>
      </c>
      <c r="AP3080">
        <v>57</v>
      </c>
      <c r="AQ3080">
        <v>57</v>
      </c>
    </row>
    <row r="3081" spans="1:43" x14ac:dyDescent="0.25">
      <c r="A3081" t="s">
        <v>46</v>
      </c>
      <c r="B3081">
        <v>2</v>
      </c>
      <c r="C3081" t="s">
        <v>1970</v>
      </c>
      <c r="D3081" s="39">
        <v>46052</v>
      </c>
      <c r="E3081" t="s">
        <v>486</v>
      </c>
      <c r="F3081" t="s">
        <v>79</v>
      </c>
      <c r="G3081">
        <v>3</v>
      </c>
      <c r="H3081" t="s">
        <v>92</v>
      </c>
      <c r="I3081" t="s">
        <v>79</v>
      </c>
      <c r="J3081">
        <v>1000</v>
      </c>
      <c r="K3081" t="s">
        <v>79</v>
      </c>
      <c r="L3081">
        <v>8</v>
      </c>
      <c r="M3081">
        <v>103.99000000000001</v>
      </c>
      <c r="N3081">
        <v>2.4</v>
      </c>
      <c r="Q3081">
        <v>101.59</v>
      </c>
      <c r="R3081" t="s">
        <v>2024</v>
      </c>
      <c r="V3081">
        <v>0</v>
      </c>
      <c r="W3081">
        <v>0</v>
      </c>
      <c r="AF3081">
        <v>0</v>
      </c>
      <c r="AG3081">
        <v>0</v>
      </c>
      <c r="AH3081">
        <v>0</v>
      </c>
      <c r="AI3081">
        <v>12</v>
      </c>
      <c r="AJ3081">
        <v>12</v>
      </c>
      <c r="AM3081">
        <v>0</v>
      </c>
      <c r="AN3081">
        <v>108.99</v>
      </c>
      <c r="AP3081">
        <v>57</v>
      </c>
      <c r="AQ3081">
        <v>57</v>
      </c>
    </row>
    <row r="3082" spans="1:43" x14ac:dyDescent="0.25">
      <c r="A3082" t="s">
        <v>46</v>
      </c>
      <c r="B3082">
        <v>2</v>
      </c>
      <c r="C3082" t="s">
        <v>2053</v>
      </c>
      <c r="D3082" s="39">
        <v>46052</v>
      </c>
      <c r="E3082" t="s">
        <v>486</v>
      </c>
      <c r="F3082" t="s">
        <v>79</v>
      </c>
      <c r="G3082">
        <v>4</v>
      </c>
      <c r="H3082" t="s">
        <v>113</v>
      </c>
      <c r="I3082" t="s">
        <v>79</v>
      </c>
      <c r="J3082">
        <v>1000</v>
      </c>
      <c r="K3082" t="s">
        <v>79</v>
      </c>
      <c r="L3082">
        <v>2</v>
      </c>
      <c r="M3082">
        <v>36.26</v>
      </c>
      <c r="N3082">
        <v>0.8</v>
      </c>
      <c r="Q3082">
        <v>35.46</v>
      </c>
      <c r="R3082" t="s">
        <v>2091</v>
      </c>
      <c r="V3082">
        <v>0</v>
      </c>
      <c r="W3082">
        <v>0</v>
      </c>
      <c r="AF3082">
        <v>0</v>
      </c>
      <c r="AG3082">
        <v>0</v>
      </c>
      <c r="AH3082">
        <v>0</v>
      </c>
      <c r="AI3082">
        <v>12</v>
      </c>
      <c r="AJ3082">
        <v>12</v>
      </c>
      <c r="AM3082">
        <v>0</v>
      </c>
      <c r="AN3082">
        <v>41.26</v>
      </c>
      <c r="AP3082">
        <v>57</v>
      </c>
      <c r="AQ3082">
        <v>57</v>
      </c>
    </row>
    <row r="3083" spans="1:43" x14ac:dyDescent="0.25">
      <c r="A3083" t="s">
        <v>45</v>
      </c>
      <c r="B3083">
        <v>4</v>
      </c>
      <c r="C3083" t="s">
        <v>2038</v>
      </c>
      <c r="D3083" s="39">
        <v>46052</v>
      </c>
      <c r="E3083" t="s">
        <v>674</v>
      </c>
      <c r="F3083" t="s">
        <v>79</v>
      </c>
      <c r="G3083">
        <v>17</v>
      </c>
      <c r="H3083" t="s">
        <v>102</v>
      </c>
      <c r="I3083" t="s">
        <v>79</v>
      </c>
      <c r="J3083">
        <v>375</v>
      </c>
      <c r="K3083" t="s">
        <v>79</v>
      </c>
      <c r="L3083">
        <v>2</v>
      </c>
      <c r="M3083">
        <v>125.47</v>
      </c>
      <c r="N3083">
        <v>3.7</v>
      </c>
      <c r="Q3083">
        <v>121.77</v>
      </c>
      <c r="R3083" t="s">
        <v>2039</v>
      </c>
      <c r="V3083">
        <v>0</v>
      </c>
      <c r="W3083">
        <v>0</v>
      </c>
      <c r="AF3083">
        <v>0</v>
      </c>
      <c r="AG3083">
        <v>0</v>
      </c>
      <c r="AH3083">
        <v>0</v>
      </c>
      <c r="AI3083">
        <v>12</v>
      </c>
      <c r="AJ3083">
        <v>12</v>
      </c>
      <c r="AM3083">
        <v>0</v>
      </c>
      <c r="AN3083">
        <v>130.47</v>
      </c>
      <c r="AP3083">
        <v>57</v>
      </c>
      <c r="AQ3083">
        <v>57</v>
      </c>
    </row>
    <row r="3084" spans="1:43" x14ac:dyDescent="0.25">
      <c r="A3084" t="s">
        <v>45</v>
      </c>
      <c r="B3084">
        <v>4</v>
      </c>
      <c r="C3084" t="s">
        <v>2054</v>
      </c>
      <c r="D3084" s="39">
        <v>46052</v>
      </c>
      <c r="E3084" t="s">
        <v>486</v>
      </c>
      <c r="F3084" t="s">
        <v>79</v>
      </c>
      <c r="G3084">
        <v>28</v>
      </c>
      <c r="H3084">
        <v>5</v>
      </c>
      <c r="I3084" t="s">
        <v>79</v>
      </c>
      <c r="J3084">
        <v>500</v>
      </c>
      <c r="K3084" t="s">
        <v>79</v>
      </c>
      <c r="L3084">
        <v>9</v>
      </c>
      <c r="M3084">
        <v>590.42999999999995</v>
      </c>
      <c r="N3084">
        <v>21.599999999999998</v>
      </c>
      <c r="Q3084">
        <v>568.82999999999993</v>
      </c>
      <c r="R3084" t="s">
        <v>2055</v>
      </c>
      <c r="V3084">
        <v>0</v>
      </c>
      <c r="W3084">
        <v>0</v>
      </c>
      <c r="AF3084">
        <v>0</v>
      </c>
      <c r="AG3084">
        <v>0</v>
      </c>
      <c r="AH3084">
        <v>0</v>
      </c>
      <c r="AI3084">
        <v>12</v>
      </c>
      <c r="AJ3084">
        <v>12</v>
      </c>
      <c r="AM3084">
        <v>0</v>
      </c>
      <c r="AN3084">
        <v>595.42999999999995</v>
      </c>
      <c r="AP3084">
        <v>57</v>
      </c>
      <c r="AQ3084">
        <v>57</v>
      </c>
    </row>
    <row r="3085" spans="1:43" x14ac:dyDescent="0.25">
      <c r="A3085" t="s">
        <v>45</v>
      </c>
      <c r="B3085">
        <v>4</v>
      </c>
      <c r="C3085" t="s">
        <v>2056</v>
      </c>
      <c r="D3085" s="39">
        <v>46052</v>
      </c>
      <c r="E3085" t="s">
        <v>276</v>
      </c>
      <c r="F3085" t="s">
        <v>79</v>
      </c>
      <c r="G3085">
        <v>28</v>
      </c>
      <c r="H3085" t="s">
        <v>113</v>
      </c>
      <c r="I3085" t="s">
        <v>79</v>
      </c>
      <c r="J3085" t="s">
        <v>81</v>
      </c>
      <c r="K3085" t="s">
        <v>79</v>
      </c>
      <c r="L3085">
        <v>1</v>
      </c>
      <c r="M3085">
        <v>62.47</v>
      </c>
      <c r="N3085">
        <v>2.5</v>
      </c>
      <c r="O3085">
        <v>14</v>
      </c>
      <c r="Q3085">
        <v>59.97</v>
      </c>
      <c r="R3085" t="s">
        <v>2057</v>
      </c>
      <c r="S3085">
        <v>20</v>
      </c>
      <c r="V3085">
        <v>20</v>
      </c>
      <c r="W3085">
        <v>0.33333333333333331</v>
      </c>
      <c r="AF3085">
        <v>0</v>
      </c>
      <c r="AG3085">
        <v>0</v>
      </c>
      <c r="AH3085">
        <v>0.33333333333333331</v>
      </c>
      <c r="AI3085">
        <v>11.666666666666666</v>
      </c>
      <c r="AJ3085">
        <v>12</v>
      </c>
      <c r="AM3085">
        <v>0</v>
      </c>
      <c r="AN3085">
        <v>67.47</v>
      </c>
      <c r="AP3085">
        <v>57</v>
      </c>
      <c r="AQ3085">
        <v>57</v>
      </c>
    </row>
    <row r="3086" spans="1:43" x14ac:dyDescent="0.25">
      <c r="A3086" t="s">
        <v>46</v>
      </c>
      <c r="B3086">
        <v>4</v>
      </c>
      <c r="C3086" t="s">
        <v>2056</v>
      </c>
      <c r="D3086" s="39">
        <v>46052</v>
      </c>
      <c r="E3086" t="s">
        <v>276</v>
      </c>
      <c r="F3086" t="s">
        <v>79</v>
      </c>
      <c r="G3086">
        <v>28</v>
      </c>
      <c r="H3086" t="s">
        <v>113</v>
      </c>
      <c r="I3086" t="s">
        <v>79</v>
      </c>
      <c r="J3086" t="s">
        <v>81</v>
      </c>
      <c r="K3086" t="s">
        <v>79</v>
      </c>
      <c r="L3086">
        <v>11</v>
      </c>
      <c r="M3086">
        <v>750.5</v>
      </c>
      <c r="N3086">
        <v>30.799999999999997</v>
      </c>
      <c r="O3086">
        <v>16</v>
      </c>
      <c r="Q3086">
        <v>719.7</v>
      </c>
      <c r="R3086" t="s">
        <v>2057</v>
      </c>
      <c r="V3086">
        <v>0</v>
      </c>
      <c r="W3086">
        <v>0</v>
      </c>
      <c r="AF3086">
        <v>0</v>
      </c>
      <c r="AG3086">
        <v>0</v>
      </c>
      <c r="AH3086">
        <v>0</v>
      </c>
      <c r="AI3086">
        <v>12</v>
      </c>
      <c r="AJ3086">
        <v>12</v>
      </c>
      <c r="AM3086">
        <v>0</v>
      </c>
      <c r="AN3086">
        <v>755.5</v>
      </c>
      <c r="AP3086">
        <v>57</v>
      </c>
      <c r="AQ3086">
        <v>57</v>
      </c>
    </row>
    <row r="3087" spans="1:43" x14ac:dyDescent="0.25">
      <c r="A3087" t="s">
        <v>45</v>
      </c>
      <c r="B3087">
        <v>5</v>
      </c>
      <c r="C3087" t="s">
        <v>2050</v>
      </c>
      <c r="D3087" s="39">
        <v>46052</v>
      </c>
      <c r="E3087" t="s">
        <v>1048</v>
      </c>
      <c r="F3087" t="s">
        <v>79</v>
      </c>
      <c r="G3087">
        <v>12</v>
      </c>
      <c r="H3087" t="s">
        <v>859</v>
      </c>
      <c r="I3087" t="s">
        <v>79</v>
      </c>
      <c r="J3087">
        <v>75</v>
      </c>
      <c r="K3087" t="s">
        <v>79</v>
      </c>
      <c r="L3087">
        <v>4</v>
      </c>
      <c r="M3087">
        <v>223.82</v>
      </c>
      <c r="N3087">
        <v>5.7200000000000006</v>
      </c>
      <c r="Q3087">
        <v>218.1</v>
      </c>
      <c r="R3087" t="s">
        <v>2051</v>
      </c>
      <c r="V3087">
        <v>0</v>
      </c>
      <c r="W3087">
        <v>0</v>
      </c>
      <c r="AF3087">
        <v>0</v>
      </c>
      <c r="AG3087">
        <v>0</v>
      </c>
      <c r="AH3087">
        <v>0</v>
      </c>
      <c r="AI3087">
        <v>12</v>
      </c>
      <c r="AJ3087">
        <v>12</v>
      </c>
      <c r="AM3087">
        <v>0</v>
      </c>
      <c r="AN3087">
        <v>228.82</v>
      </c>
      <c r="AP3087">
        <v>57</v>
      </c>
      <c r="AQ3087">
        <v>57</v>
      </c>
    </row>
    <row r="3088" spans="1:43" x14ac:dyDescent="0.25">
      <c r="A3088" t="s">
        <v>45</v>
      </c>
      <c r="B3088">
        <v>5</v>
      </c>
      <c r="C3088" t="s">
        <v>2058</v>
      </c>
      <c r="D3088" s="39">
        <v>46052</v>
      </c>
      <c r="E3088" t="s">
        <v>486</v>
      </c>
      <c r="F3088" t="s">
        <v>79</v>
      </c>
      <c r="G3088">
        <v>12</v>
      </c>
      <c r="H3088">
        <v>5</v>
      </c>
      <c r="I3088" t="s">
        <v>79</v>
      </c>
      <c r="J3088">
        <v>1000</v>
      </c>
      <c r="K3088" t="s">
        <v>79</v>
      </c>
      <c r="L3088">
        <v>4</v>
      </c>
      <c r="M3088">
        <v>254.39000000000004</v>
      </c>
      <c r="N3088">
        <v>5.6199999999999992</v>
      </c>
      <c r="O3088">
        <v>5</v>
      </c>
      <c r="Q3088">
        <v>248.77000000000004</v>
      </c>
      <c r="R3088" t="s">
        <v>2059</v>
      </c>
      <c r="V3088">
        <v>0</v>
      </c>
      <c r="W3088">
        <v>0</v>
      </c>
      <c r="AF3088">
        <v>0</v>
      </c>
      <c r="AG3088">
        <v>0</v>
      </c>
      <c r="AH3088">
        <v>0</v>
      </c>
      <c r="AI3088">
        <v>12</v>
      </c>
      <c r="AJ3088">
        <v>12</v>
      </c>
      <c r="AM3088">
        <v>0</v>
      </c>
      <c r="AN3088">
        <v>259.39000000000004</v>
      </c>
      <c r="AP3088">
        <v>57</v>
      </c>
      <c r="AQ3088">
        <v>57</v>
      </c>
    </row>
    <row r="3089" spans="1:43" x14ac:dyDescent="0.25">
      <c r="A3089" t="s">
        <v>46</v>
      </c>
      <c r="B3089">
        <v>5</v>
      </c>
      <c r="C3089" t="s">
        <v>2058</v>
      </c>
      <c r="D3089" s="39">
        <v>46052</v>
      </c>
      <c r="E3089" t="s">
        <v>486</v>
      </c>
      <c r="F3089" t="s">
        <v>79</v>
      </c>
      <c r="G3089">
        <v>12</v>
      </c>
      <c r="H3089">
        <v>5</v>
      </c>
      <c r="I3089" t="s">
        <v>79</v>
      </c>
      <c r="J3089">
        <v>1000</v>
      </c>
      <c r="K3089" t="s">
        <v>79</v>
      </c>
      <c r="L3089">
        <v>6</v>
      </c>
      <c r="M3089">
        <v>342.73</v>
      </c>
      <c r="N3089">
        <v>7.1999999999999993</v>
      </c>
      <c r="O3089">
        <v>5</v>
      </c>
      <c r="Q3089">
        <v>335.53000000000003</v>
      </c>
      <c r="R3089" t="s">
        <v>2059</v>
      </c>
      <c r="V3089">
        <v>0</v>
      </c>
      <c r="W3089">
        <v>0</v>
      </c>
      <c r="AF3089">
        <v>0</v>
      </c>
      <c r="AG3089">
        <v>0</v>
      </c>
      <c r="AH3089">
        <v>0</v>
      </c>
      <c r="AI3089">
        <v>12</v>
      </c>
      <c r="AJ3089">
        <v>12</v>
      </c>
      <c r="AM3089">
        <v>0</v>
      </c>
      <c r="AN3089">
        <v>347.73</v>
      </c>
      <c r="AP3089">
        <v>57</v>
      </c>
      <c r="AQ3089">
        <v>57</v>
      </c>
    </row>
    <row r="3090" spans="1:43" x14ac:dyDescent="0.25">
      <c r="A3090" t="s">
        <v>46</v>
      </c>
      <c r="B3090">
        <v>5</v>
      </c>
      <c r="C3090" t="s">
        <v>2060</v>
      </c>
      <c r="D3090" s="39">
        <v>46052</v>
      </c>
      <c r="E3090" t="s">
        <v>716</v>
      </c>
      <c r="F3090" t="s">
        <v>79</v>
      </c>
      <c r="G3090">
        <v>12</v>
      </c>
      <c r="H3090" t="s">
        <v>2061</v>
      </c>
      <c r="I3090" t="s">
        <v>79</v>
      </c>
      <c r="J3090">
        <v>100</v>
      </c>
      <c r="K3090" t="s">
        <v>79</v>
      </c>
      <c r="L3090">
        <v>3</v>
      </c>
      <c r="M3090">
        <v>104.99000000000001</v>
      </c>
      <c r="N3090">
        <v>3.5999999999999996</v>
      </c>
      <c r="Q3090">
        <v>101.39000000000001</v>
      </c>
      <c r="R3090" t="s">
        <v>2062</v>
      </c>
      <c r="V3090">
        <v>0</v>
      </c>
      <c r="W3090">
        <v>0</v>
      </c>
      <c r="AF3090">
        <v>0</v>
      </c>
      <c r="AG3090">
        <v>0</v>
      </c>
      <c r="AH3090">
        <v>0</v>
      </c>
      <c r="AI3090">
        <v>12</v>
      </c>
      <c r="AJ3090">
        <v>12</v>
      </c>
      <c r="AM3090">
        <v>0</v>
      </c>
      <c r="AN3090">
        <v>109.99</v>
      </c>
      <c r="AP3090">
        <v>57</v>
      </c>
      <c r="AQ3090">
        <v>57</v>
      </c>
    </row>
    <row r="3091" spans="1:43" x14ac:dyDescent="0.25">
      <c r="A3091" t="s">
        <v>45</v>
      </c>
      <c r="B3091">
        <v>1</v>
      </c>
      <c r="C3091" t="s">
        <v>2052</v>
      </c>
      <c r="D3091" s="39">
        <v>46053</v>
      </c>
      <c r="E3091" t="s">
        <v>486</v>
      </c>
      <c r="F3091" t="s">
        <v>79</v>
      </c>
      <c r="G3091">
        <v>2</v>
      </c>
      <c r="H3091" t="s">
        <v>92</v>
      </c>
      <c r="I3091" t="s">
        <v>79</v>
      </c>
      <c r="J3091" t="s">
        <v>2074</v>
      </c>
      <c r="K3091" t="s">
        <v>79</v>
      </c>
      <c r="L3091">
        <v>5</v>
      </c>
      <c r="M3091">
        <v>90.96</v>
      </c>
      <c r="N3091">
        <v>1</v>
      </c>
      <c r="Q3091">
        <v>89.96</v>
      </c>
      <c r="R3091" t="s">
        <v>2181</v>
      </c>
      <c r="V3091">
        <v>0</v>
      </c>
      <c r="W3091">
        <v>0</v>
      </c>
      <c r="AF3091">
        <v>0</v>
      </c>
      <c r="AG3091">
        <v>0</v>
      </c>
      <c r="AH3091">
        <v>0</v>
      </c>
      <c r="AI3091">
        <v>12</v>
      </c>
      <c r="AJ3091">
        <v>12</v>
      </c>
      <c r="AM3091">
        <v>0</v>
      </c>
      <c r="AN3091">
        <v>95.96</v>
      </c>
      <c r="AP3091">
        <v>57</v>
      </c>
      <c r="AQ3091">
        <v>57</v>
      </c>
    </row>
    <row r="3092" spans="1:43" x14ac:dyDescent="0.25">
      <c r="A3092" t="s">
        <v>45</v>
      </c>
      <c r="B3092">
        <v>1</v>
      </c>
      <c r="C3092" t="s">
        <v>726</v>
      </c>
      <c r="D3092" s="39">
        <v>46053</v>
      </c>
      <c r="E3092" t="s">
        <v>486</v>
      </c>
      <c r="F3092" t="s">
        <v>79</v>
      </c>
      <c r="G3092">
        <v>2.5</v>
      </c>
      <c r="H3092" t="s">
        <v>92</v>
      </c>
      <c r="I3092" t="s">
        <v>79</v>
      </c>
      <c r="J3092">
        <v>1000</v>
      </c>
      <c r="K3092" t="s">
        <v>79</v>
      </c>
      <c r="L3092">
        <v>3</v>
      </c>
      <c r="M3092">
        <v>40.799999999999997</v>
      </c>
      <c r="N3092">
        <v>0.75</v>
      </c>
      <c r="O3092">
        <v>12</v>
      </c>
      <c r="Q3092">
        <v>40.049999999999997</v>
      </c>
      <c r="R3092" t="s">
        <v>2063</v>
      </c>
      <c r="V3092">
        <v>0</v>
      </c>
      <c r="W3092">
        <v>0</v>
      </c>
      <c r="AF3092">
        <v>0</v>
      </c>
      <c r="AG3092">
        <v>0</v>
      </c>
      <c r="AH3092">
        <v>0</v>
      </c>
      <c r="AI3092">
        <v>12</v>
      </c>
      <c r="AJ3092">
        <v>12</v>
      </c>
      <c r="AM3092">
        <v>0</v>
      </c>
      <c r="AN3092">
        <v>45.8</v>
      </c>
      <c r="AP3092">
        <v>57</v>
      </c>
      <c r="AQ3092">
        <v>57</v>
      </c>
    </row>
    <row r="3093" spans="1:43" x14ac:dyDescent="0.25">
      <c r="A3093" t="s">
        <v>46</v>
      </c>
      <c r="B3093">
        <v>1</v>
      </c>
      <c r="C3093" t="s">
        <v>726</v>
      </c>
      <c r="D3093" s="39">
        <v>46053</v>
      </c>
      <c r="E3093" t="s">
        <v>486</v>
      </c>
      <c r="F3093" t="s">
        <v>79</v>
      </c>
      <c r="G3093">
        <v>2.5</v>
      </c>
      <c r="H3093" t="s">
        <v>92</v>
      </c>
      <c r="I3093" t="s">
        <v>79</v>
      </c>
      <c r="J3093">
        <v>1000</v>
      </c>
      <c r="K3093" t="s">
        <v>79</v>
      </c>
      <c r="L3093">
        <v>9</v>
      </c>
      <c r="M3093">
        <v>125.69</v>
      </c>
      <c r="N3093">
        <v>1.8</v>
      </c>
      <c r="O3093">
        <v>12</v>
      </c>
      <c r="Q3093">
        <v>123.89</v>
      </c>
      <c r="R3093" t="s">
        <v>2063</v>
      </c>
      <c r="U3093">
        <v>120</v>
      </c>
      <c r="V3093">
        <v>120</v>
      </c>
      <c r="W3093">
        <v>2</v>
      </c>
      <c r="AF3093">
        <v>0</v>
      </c>
      <c r="AG3093">
        <v>0</v>
      </c>
      <c r="AH3093">
        <v>2</v>
      </c>
      <c r="AI3093">
        <v>10</v>
      </c>
      <c r="AJ3093">
        <v>12</v>
      </c>
      <c r="AM3093">
        <v>0</v>
      </c>
      <c r="AN3093">
        <v>130.69</v>
      </c>
      <c r="AP3093">
        <v>57</v>
      </c>
      <c r="AQ3093">
        <v>57</v>
      </c>
    </row>
    <row r="3094" spans="1:43" x14ac:dyDescent="0.25">
      <c r="A3094" t="s">
        <v>45</v>
      </c>
      <c r="B3094">
        <v>2</v>
      </c>
      <c r="C3094" t="s">
        <v>2053</v>
      </c>
      <c r="D3094" s="39">
        <v>46053</v>
      </c>
      <c r="E3094" t="s">
        <v>486</v>
      </c>
      <c r="F3094" t="s">
        <v>79</v>
      </c>
      <c r="G3094">
        <v>4</v>
      </c>
      <c r="H3094" t="s">
        <v>113</v>
      </c>
      <c r="I3094" t="s">
        <v>79</v>
      </c>
      <c r="J3094">
        <v>1000</v>
      </c>
      <c r="K3094" t="s">
        <v>79</v>
      </c>
      <c r="L3094">
        <v>8</v>
      </c>
      <c r="M3094">
        <v>137.85</v>
      </c>
      <c r="N3094">
        <v>3.2</v>
      </c>
      <c r="Q3094">
        <v>134.65</v>
      </c>
      <c r="R3094" t="s">
        <v>2091</v>
      </c>
      <c r="V3094">
        <v>0</v>
      </c>
      <c r="W3094">
        <v>0</v>
      </c>
      <c r="AF3094">
        <v>0</v>
      </c>
      <c r="AG3094">
        <v>0</v>
      </c>
      <c r="AH3094">
        <v>0</v>
      </c>
      <c r="AI3094">
        <v>12</v>
      </c>
      <c r="AJ3094">
        <v>12</v>
      </c>
      <c r="AM3094">
        <v>0</v>
      </c>
      <c r="AN3094">
        <v>142.85</v>
      </c>
      <c r="AP3094">
        <v>57</v>
      </c>
      <c r="AQ3094">
        <v>57</v>
      </c>
    </row>
    <row r="3095" spans="1:43" x14ac:dyDescent="0.25">
      <c r="A3095" t="s">
        <v>46</v>
      </c>
      <c r="B3095">
        <v>2</v>
      </c>
      <c r="C3095" t="s">
        <v>2053</v>
      </c>
      <c r="D3095" s="39">
        <v>46053</v>
      </c>
      <c r="E3095" t="s">
        <v>486</v>
      </c>
      <c r="F3095" t="s">
        <v>79</v>
      </c>
      <c r="G3095">
        <v>4</v>
      </c>
      <c r="H3095" t="s">
        <v>113</v>
      </c>
      <c r="I3095" t="s">
        <v>79</v>
      </c>
      <c r="J3095">
        <v>1000</v>
      </c>
      <c r="K3095" t="s">
        <v>79</v>
      </c>
      <c r="L3095">
        <v>8</v>
      </c>
      <c r="M3095">
        <v>127.77000000000001</v>
      </c>
      <c r="N3095">
        <v>3.2</v>
      </c>
      <c r="Q3095">
        <v>124.57000000000001</v>
      </c>
      <c r="R3095" t="s">
        <v>2091</v>
      </c>
      <c r="U3095">
        <v>120</v>
      </c>
      <c r="V3095">
        <v>120</v>
      </c>
      <c r="W3095">
        <v>2</v>
      </c>
      <c r="AF3095">
        <v>0</v>
      </c>
      <c r="AG3095">
        <v>0</v>
      </c>
      <c r="AH3095">
        <v>2</v>
      </c>
      <c r="AI3095">
        <v>10</v>
      </c>
      <c r="AJ3095">
        <v>12</v>
      </c>
      <c r="AM3095">
        <v>0</v>
      </c>
      <c r="AN3095">
        <v>132.77000000000001</v>
      </c>
      <c r="AP3095">
        <v>57</v>
      </c>
      <c r="AQ3095">
        <v>57</v>
      </c>
    </row>
    <row r="3096" spans="1:43" x14ac:dyDescent="0.25">
      <c r="A3096" t="s">
        <v>45</v>
      </c>
      <c r="B3096">
        <v>5</v>
      </c>
      <c r="C3096" t="s">
        <v>2058</v>
      </c>
      <c r="D3096" s="39">
        <v>46053</v>
      </c>
      <c r="E3096" t="s">
        <v>486</v>
      </c>
      <c r="F3096" t="s">
        <v>79</v>
      </c>
      <c r="G3096">
        <v>12</v>
      </c>
      <c r="H3096">
        <v>5</v>
      </c>
      <c r="I3096" t="s">
        <v>79</v>
      </c>
      <c r="J3096">
        <v>1000</v>
      </c>
      <c r="K3096" t="s">
        <v>79</v>
      </c>
      <c r="L3096">
        <v>8</v>
      </c>
      <c r="M3096">
        <v>500.83</v>
      </c>
      <c r="N3096">
        <v>11.2</v>
      </c>
      <c r="Q3096">
        <v>489.63</v>
      </c>
      <c r="R3096" t="s">
        <v>2059</v>
      </c>
      <c r="V3096">
        <v>0</v>
      </c>
      <c r="W3096">
        <v>0</v>
      </c>
      <c r="AF3096">
        <v>0</v>
      </c>
      <c r="AG3096">
        <v>0</v>
      </c>
      <c r="AH3096">
        <v>0</v>
      </c>
      <c r="AI3096">
        <v>12</v>
      </c>
      <c r="AJ3096">
        <v>12</v>
      </c>
      <c r="AM3096">
        <v>0</v>
      </c>
      <c r="AN3096">
        <v>505.83</v>
      </c>
      <c r="AP3096">
        <v>57</v>
      </c>
      <c r="AQ3096">
        <v>57</v>
      </c>
    </row>
    <row r="3097" spans="1:43" x14ac:dyDescent="0.25">
      <c r="A3097" t="s">
        <v>46</v>
      </c>
      <c r="B3097">
        <v>5</v>
      </c>
      <c r="C3097" t="s">
        <v>2058</v>
      </c>
      <c r="D3097" s="39">
        <v>46053</v>
      </c>
      <c r="E3097" t="s">
        <v>486</v>
      </c>
      <c r="F3097" t="s">
        <v>79</v>
      </c>
      <c r="G3097">
        <v>12</v>
      </c>
      <c r="H3097">
        <v>5</v>
      </c>
      <c r="I3097" t="s">
        <v>79</v>
      </c>
      <c r="J3097">
        <v>1000</v>
      </c>
      <c r="K3097" t="s">
        <v>79</v>
      </c>
      <c r="L3097">
        <v>8</v>
      </c>
      <c r="M3097">
        <v>446.1</v>
      </c>
      <c r="N3097">
        <v>11.2</v>
      </c>
      <c r="Q3097">
        <v>434.90000000000003</v>
      </c>
      <c r="R3097" t="s">
        <v>2059</v>
      </c>
      <c r="U3097">
        <v>120</v>
      </c>
      <c r="V3097">
        <v>120</v>
      </c>
      <c r="W3097">
        <v>2</v>
      </c>
      <c r="AF3097">
        <v>0</v>
      </c>
      <c r="AG3097">
        <v>0</v>
      </c>
      <c r="AH3097">
        <v>2</v>
      </c>
      <c r="AI3097">
        <v>10</v>
      </c>
      <c r="AJ3097">
        <v>12</v>
      </c>
      <c r="AM3097">
        <v>0</v>
      </c>
      <c r="AN3097">
        <v>451.1</v>
      </c>
      <c r="AP3097">
        <v>57</v>
      </c>
      <c r="AQ3097">
        <v>57</v>
      </c>
    </row>
    <row r="3098" spans="1:43" x14ac:dyDescent="0.25">
      <c r="A3098" t="s">
        <v>45</v>
      </c>
      <c r="B3098">
        <v>4</v>
      </c>
      <c r="C3098" t="s">
        <v>2056</v>
      </c>
      <c r="D3098" s="39">
        <v>46053</v>
      </c>
      <c r="E3098" t="s">
        <v>276</v>
      </c>
      <c r="F3098" t="s">
        <v>79</v>
      </c>
      <c r="G3098">
        <v>28</v>
      </c>
      <c r="H3098" t="s">
        <v>113</v>
      </c>
      <c r="I3098" t="s">
        <v>79</v>
      </c>
      <c r="J3098" t="s">
        <v>81</v>
      </c>
      <c r="K3098" t="s">
        <v>79</v>
      </c>
      <c r="L3098">
        <v>10</v>
      </c>
      <c r="M3098">
        <v>683.46</v>
      </c>
      <c r="N3098">
        <v>24</v>
      </c>
      <c r="O3098">
        <v>7</v>
      </c>
      <c r="Q3098">
        <v>659.46</v>
      </c>
      <c r="R3098" t="s">
        <v>2057</v>
      </c>
      <c r="V3098">
        <v>0</v>
      </c>
      <c r="W3098">
        <v>0</v>
      </c>
      <c r="AF3098">
        <v>0</v>
      </c>
      <c r="AG3098">
        <v>0</v>
      </c>
      <c r="AH3098">
        <v>0</v>
      </c>
      <c r="AI3098">
        <v>12</v>
      </c>
      <c r="AJ3098">
        <v>12</v>
      </c>
      <c r="AM3098">
        <v>0</v>
      </c>
      <c r="AN3098">
        <v>688.46</v>
      </c>
      <c r="AP3098">
        <v>57</v>
      </c>
      <c r="AQ3098">
        <v>57</v>
      </c>
    </row>
    <row r="3099" spans="1:43" x14ac:dyDescent="0.25">
      <c r="A3099" t="s">
        <v>46</v>
      </c>
      <c r="B3099">
        <v>4</v>
      </c>
      <c r="C3099" t="s">
        <v>2056</v>
      </c>
      <c r="D3099" s="39">
        <v>46053</v>
      </c>
      <c r="E3099" t="s">
        <v>276</v>
      </c>
      <c r="F3099" t="s">
        <v>79</v>
      </c>
      <c r="G3099">
        <v>28</v>
      </c>
      <c r="H3099" t="s">
        <v>113</v>
      </c>
      <c r="I3099" t="s">
        <v>79</v>
      </c>
      <c r="J3099" t="s">
        <v>81</v>
      </c>
      <c r="K3099" t="s">
        <v>79</v>
      </c>
      <c r="L3099">
        <v>2</v>
      </c>
      <c r="M3099">
        <v>121</v>
      </c>
      <c r="N3099">
        <v>5.6</v>
      </c>
      <c r="O3099">
        <v>4</v>
      </c>
      <c r="Q3099">
        <v>115.4</v>
      </c>
      <c r="R3099" t="s">
        <v>2057</v>
      </c>
      <c r="V3099">
        <v>0</v>
      </c>
      <c r="W3099">
        <v>0</v>
      </c>
      <c r="AF3099">
        <v>0</v>
      </c>
      <c r="AG3099">
        <v>0</v>
      </c>
      <c r="AH3099">
        <v>0</v>
      </c>
      <c r="AI3099">
        <v>12</v>
      </c>
      <c r="AJ3099">
        <v>12</v>
      </c>
      <c r="AM3099">
        <v>0</v>
      </c>
      <c r="AN3099">
        <v>126</v>
      </c>
      <c r="AP3099">
        <v>57</v>
      </c>
      <c r="AQ3099">
        <v>57</v>
      </c>
    </row>
    <row r="3100" spans="1:43" x14ac:dyDescent="0.25">
      <c r="A3100" t="s">
        <v>46</v>
      </c>
      <c r="B3100">
        <v>4</v>
      </c>
      <c r="C3100" t="s">
        <v>2064</v>
      </c>
      <c r="D3100" s="39">
        <v>46053</v>
      </c>
      <c r="E3100" t="s">
        <v>276</v>
      </c>
      <c r="F3100" t="s">
        <v>79</v>
      </c>
      <c r="G3100">
        <v>18</v>
      </c>
      <c r="H3100" t="s">
        <v>113</v>
      </c>
      <c r="I3100" t="s">
        <v>79</v>
      </c>
      <c r="J3100" t="s">
        <v>81</v>
      </c>
      <c r="K3100" t="s">
        <v>79</v>
      </c>
      <c r="L3100">
        <v>5</v>
      </c>
      <c r="M3100">
        <v>305.85999999999996</v>
      </c>
      <c r="N3100">
        <v>10.8</v>
      </c>
      <c r="Q3100">
        <v>295.05999999999995</v>
      </c>
      <c r="R3100" t="s">
        <v>2075</v>
      </c>
      <c r="V3100">
        <v>0</v>
      </c>
      <c r="W3100">
        <v>0</v>
      </c>
      <c r="AF3100">
        <v>0</v>
      </c>
      <c r="AG3100">
        <v>0</v>
      </c>
      <c r="AH3100">
        <v>0</v>
      </c>
      <c r="AI3100">
        <v>12</v>
      </c>
      <c r="AJ3100">
        <v>12</v>
      </c>
      <c r="AM3100">
        <v>0</v>
      </c>
      <c r="AN3100">
        <v>310.85999999999996</v>
      </c>
      <c r="AP3100">
        <v>57</v>
      </c>
      <c r="AQ3100">
        <v>57</v>
      </c>
    </row>
    <row r="3101" spans="1:43" x14ac:dyDescent="0.25">
      <c r="A3101" t="s">
        <v>46</v>
      </c>
      <c r="B3101">
        <v>4</v>
      </c>
      <c r="C3101" t="s">
        <v>2065</v>
      </c>
      <c r="D3101" s="39">
        <v>46053</v>
      </c>
      <c r="E3101" t="s">
        <v>2066</v>
      </c>
      <c r="F3101" t="s">
        <v>79</v>
      </c>
      <c r="G3101">
        <v>28</v>
      </c>
      <c r="H3101" t="s">
        <v>2036</v>
      </c>
      <c r="I3101" t="s">
        <v>79</v>
      </c>
      <c r="J3101">
        <v>100</v>
      </c>
      <c r="K3101" t="s">
        <v>79</v>
      </c>
      <c r="L3101">
        <v>3</v>
      </c>
      <c r="M3101">
        <v>109.50000000000001</v>
      </c>
      <c r="N3101">
        <v>8.3999999999999986</v>
      </c>
      <c r="Q3101">
        <v>101.10000000000002</v>
      </c>
      <c r="R3101" t="s">
        <v>2067</v>
      </c>
      <c r="V3101">
        <v>0</v>
      </c>
      <c r="W3101">
        <v>0</v>
      </c>
      <c r="AF3101">
        <v>0</v>
      </c>
      <c r="AG3101">
        <v>0</v>
      </c>
      <c r="AH3101">
        <v>0</v>
      </c>
      <c r="AI3101">
        <v>12</v>
      </c>
      <c r="AJ3101">
        <v>12</v>
      </c>
      <c r="AM3101">
        <v>0</v>
      </c>
      <c r="AN3101">
        <v>114.5</v>
      </c>
      <c r="AP3101">
        <v>57</v>
      </c>
      <c r="AQ3101">
        <v>57</v>
      </c>
    </row>
    <row r="3102" spans="1:43" x14ac:dyDescent="0.25">
      <c r="A3102" t="s">
        <v>46</v>
      </c>
      <c r="B3102">
        <v>4</v>
      </c>
      <c r="C3102" t="s">
        <v>2068</v>
      </c>
      <c r="D3102" s="39">
        <v>46053</v>
      </c>
      <c r="E3102" t="s">
        <v>1048</v>
      </c>
      <c r="F3102" t="s">
        <v>79</v>
      </c>
      <c r="G3102">
        <v>18</v>
      </c>
      <c r="H3102" t="s">
        <v>859</v>
      </c>
      <c r="I3102" t="s">
        <v>79</v>
      </c>
      <c r="J3102">
        <v>75</v>
      </c>
      <c r="K3102" t="s">
        <v>79</v>
      </c>
      <c r="L3102">
        <v>2</v>
      </c>
      <c r="M3102">
        <v>82.12</v>
      </c>
      <c r="N3102">
        <v>3.6</v>
      </c>
      <c r="Q3102">
        <v>78.52000000000001</v>
      </c>
      <c r="R3102" t="s">
        <v>2069</v>
      </c>
      <c r="V3102">
        <v>0</v>
      </c>
      <c r="W3102">
        <v>0</v>
      </c>
      <c r="AF3102">
        <v>0</v>
      </c>
      <c r="AG3102">
        <v>0</v>
      </c>
      <c r="AH3102">
        <v>0</v>
      </c>
      <c r="AI3102">
        <v>12</v>
      </c>
      <c r="AJ3102">
        <v>12</v>
      </c>
      <c r="AM3102">
        <v>0</v>
      </c>
      <c r="AN3102">
        <v>87.12</v>
      </c>
      <c r="AP3102">
        <v>57</v>
      </c>
      <c r="AQ3102">
        <v>57</v>
      </c>
    </row>
    <row r="3103" spans="1:43" x14ac:dyDescent="0.25">
      <c r="A3103" t="s">
        <v>45</v>
      </c>
      <c r="B3103">
        <v>1</v>
      </c>
      <c r="C3103" t="s">
        <v>726</v>
      </c>
      <c r="D3103" s="39">
        <v>46055</v>
      </c>
      <c r="E3103" t="s">
        <v>486</v>
      </c>
      <c r="F3103" t="s">
        <v>79</v>
      </c>
      <c r="G3103">
        <v>2.5</v>
      </c>
      <c r="H3103" t="s">
        <v>92</v>
      </c>
      <c r="I3103" t="s">
        <v>79</v>
      </c>
      <c r="J3103">
        <v>1000</v>
      </c>
      <c r="K3103" t="s">
        <v>79</v>
      </c>
      <c r="L3103">
        <v>7</v>
      </c>
      <c r="M3103">
        <v>97.149999999999991</v>
      </c>
      <c r="N3103">
        <v>1.75</v>
      </c>
      <c r="O3103">
        <v>4</v>
      </c>
      <c r="Q3103">
        <v>95.399999999999991</v>
      </c>
      <c r="R3103" t="s">
        <v>2063</v>
      </c>
      <c r="T3103">
        <v>120</v>
      </c>
      <c r="V3103">
        <v>120</v>
      </c>
      <c r="W3103">
        <v>2</v>
      </c>
      <c r="AF3103">
        <v>0</v>
      </c>
      <c r="AG3103">
        <v>0</v>
      </c>
      <c r="AH3103">
        <v>2</v>
      </c>
      <c r="AI3103">
        <v>10</v>
      </c>
      <c r="AJ3103">
        <v>12</v>
      </c>
      <c r="AM3103">
        <v>0</v>
      </c>
      <c r="AN3103">
        <v>102.15</v>
      </c>
      <c r="AP3103">
        <v>6</v>
      </c>
    </row>
    <row r="3104" spans="1:43" x14ac:dyDescent="0.25">
      <c r="A3104" t="s">
        <v>46</v>
      </c>
      <c r="B3104">
        <v>1</v>
      </c>
      <c r="C3104" t="s">
        <v>726</v>
      </c>
      <c r="D3104" s="39">
        <v>46055</v>
      </c>
      <c r="E3104" t="s">
        <v>486</v>
      </c>
      <c r="F3104" t="s">
        <v>79</v>
      </c>
      <c r="G3104">
        <v>2.5</v>
      </c>
      <c r="H3104" t="s">
        <v>92</v>
      </c>
      <c r="I3104" t="s">
        <v>79</v>
      </c>
      <c r="J3104">
        <v>1000</v>
      </c>
      <c r="K3104" t="s">
        <v>79</v>
      </c>
      <c r="L3104">
        <v>10</v>
      </c>
      <c r="M3104">
        <v>133.59</v>
      </c>
      <c r="N3104">
        <v>2.5</v>
      </c>
      <c r="O3104">
        <v>4</v>
      </c>
      <c r="Q3104">
        <v>131.09</v>
      </c>
      <c r="R3104" t="s">
        <v>2063</v>
      </c>
      <c r="V3104">
        <v>0</v>
      </c>
      <c r="W3104">
        <v>0</v>
      </c>
      <c r="AF3104">
        <v>0</v>
      </c>
      <c r="AG3104">
        <v>0</v>
      </c>
      <c r="AH3104">
        <v>0</v>
      </c>
      <c r="AI3104">
        <v>12</v>
      </c>
      <c r="AJ3104">
        <v>12</v>
      </c>
      <c r="AM3104">
        <v>0</v>
      </c>
      <c r="AN3104">
        <v>138.59</v>
      </c>
      <c r="AP3104">
        <v>6</v>
      </c>
    </row>
    <row r="3105" spans="1:42" x14ac:dyDescent="0.25">
      <c r="A3105" t="s">
        <v>45</v>
      </c>
      <c r="B3105">
        <v>2</v>
      </c>
      <c r="C3105" t="s">
        <v>2053</v>
      </c>
      <c r="D3105" s="39">
        <v>46055</v>
      </c>
      <c r="E3105" t="s">
        <v>486</v>
      </c>
      <c r="F3105" t="s">
        <v>79</v>
      </c>
      <c r="G3105">
        <v>4</v>
      </c>
      <c r="H3105" t="s">
        <v>113</v>
      </c>
      <c r="I3105" t="s">
        <v>79</v>
      </c>
      <c r="J3105">
        <v>1000</v>
      </c>
      <c r="K3105" t="s">
        <v>79</v>
      </c>
      <c r="L3105">
        <v>8</v>
      </c>
      <c r="M3105">
        <v>139.20000000000002</v>
      </c>
      <c r="N3105">
        <v>3.2</v>
      </c>
      <c r="Q3105">
        <v>136.00000000000003</v>
      </c>
      <c r="R3105" t="s">
        <v>2091</v>
      </c>
      <c r="T3105">
        <v>180</v>
      </c>
      <c r="V3105">
        <v>180</v>
      </c>
      <c r="W3105">
        <v>3</v>
      </c>
      <c r="AF3105">
        <v>0</v>
      </c>
      <c r="AG3105">
        <v>0</v>
      </c>
      <c r="AH3105">
        <v>3</v>
      </c>
      <c r="AI3105">
        <v>9</v>
      </c>
      <c r="AJ3105">
        <v>12</v>
      </c>
      <c r="AM3105">
        <v>0</v>
      </c>
      <c r="AN3105">
        <v>144.20000000000002</v>
      </c>
      <c r="AP3105">
        <v>6</v>
      </c>
    </row>
    <row r="3106" spans="1:42" x14ac:dyDescent="0.25">
      <c r="A3106" t="s">
        <v>46</v>
      </c>
      <c r="B3106">
        <v>2</v>
      </c>
      <c r="C3106" t="s">
        <v>2053</v>
      </c>
      <c r="D3106" s="39">
        <v>46055</v>
      </c>
      <c r="E3106" t="s">
        <v>486</v>
      </c>
      <c r="F3106" t="s">
        <v>79</v>
      </c>
      <c r="G3106">
        <v>4</v>
      </c>
      <c r="H3106" t="s">
        <v>113</v>
      </c>
      <c r="I3106" t="s">
        <v>79</v>
      </c>
      <c r="J3106">
        <v>1000</v>
      </c>
      <c r="K3106" t="s">
        <v>79</v>
      </c>
      <c r="L3106">
        <v>11</v>
      </c>
      <c r="M3106">
        <v>189.10999999999999</v>
      </c>
      <c r="N3106">
        <v>8.8000000000000007</v>
      </c>
      <c r="Q3106">
        <v>180.30999999999997</v>
      </c>
      <c r="R3106" t="s">
        <v>2091</v>
      </c>
      <c r="V3106">
        <v>0</v>
      </c>
      <c r="W3106">
        <v>0</v>
      </c>
      <c r="AF3106">
        <v>0</v>
      </c>
      <c r="AG3106">
        <v>0</v>
      </c>
      <c r="AH3106">
        <v>0</v>
      </c>
      <c r="AI3106">
        <v>12</v>
      </c>
      <c r="AJ3106">
        <v>12</v>
      </c>
      <c r="AM3106">
        <v>0</v>
      </c>
      <c r="AN3106">
        <v>194.11</v>
      </c>
      <c r="AP3106">
        <v>6</v>
      </c>
    </row>
    <row r="3107" spans="1:42" x14ac:dyDescent="0.25">
      <c r="A3107" t="s">
        <v>45</v>
      </c>
      <c r="B3107">
        <v>4</v>
      </c>
      <c r="C3107" t="s">
        <v>2064</v>
      </c>
      <c r="D3107" s="39">
        <v>46055</v>
      </c>
      <c r="E3107" t="s">
        <v>276</v>
      </c>
      <c r="F3107" t="s">
        <v>79</v>
      </c>
      <c r="G3107">
        <v>18</v>
      </c>
      <c r="H3107" t="s">
        <v>113</v>
      </c>
      <c r="I3107" t="s">
        <v>79</v>
      </c>
      <c r="J3107" t="s">
        <v>81</v>
      </c>
      <c r="K3107" t="s">
        <v>79</v>
      </c>
      <c r="L3107">
        <v>7</v>
      </c>
      <c r="M3107">
        <v>404.84</v>
      </c>
      <c r="N3107">
        <v>12.6</v>
      </c>
      <c r="Q3107">
        <v>392.23999999999995</v>
      </c>
      <c r="R3107" t="s">
        <v>2075</v>
      </c>
      <c r="V3107">
        <v>0</v>
      </c>
      <c r="W3107">
        <v>0</v>
      </c>
      <c r="X3107">
        <v>300</v>
      </c>
      <c r="AD3107">
        <v>120</v>
      </c>
      <c r="AF3107">
        <v>420</v>
      </c>
      <c r="AG3107">
        <v>7</v>
      </c>
      <c r="AH3107">
        <v>7</v>
      </c>
      <c r="AI3107">
        <v>5</v>
      </c>
      <c r="AJ3107">
        <v>12</v>
      </c>
      <c r="AM3107">
        <v>0</v>
      </c>
      <c r="AN3107">
        <v>409.84</v>
      </c>
      <c r="AP3107">
        <v>6</v>
      </c>
    </row>
    <row r="3108" spans="1:42" x14ac:dyDescent="0.25">
      <c r="A3108" t="s">
        <v>45</v>
      </c>
      <c r="B3108">
        <v>4</v>
      </c>
      <c r="C3108" t="s">
        <v>2070</v>
      </c>
      <c r="D3108" s="39">
        <v>46055</v>
      </c>
      <c r="E3108" t="s">
        <v>486</v>
      </c>
      <c r="F3108" t="s">
        <v>79</v>
      </c>
      <c r="G3108">
        <v>18</v>
      </c>
      <c r="H3108">
        <v>5</v>
      </c>
      <c r="I3108" t="s">
        <v>79</v>
      </c>
      <c r="J3108">
        <v>1000</v>
      </c>
      <c r="K3108" t="s">
        <v>79</v>
      </c>
      <c r="L3108">
        <v>2</v>
      </c>
      <c r="M3108">
        <v>89.36</v>
      </c>
      <c r="N3108">
        <v>3.6</v>
      </c>
      <c r="Q3108">
        <v>85.76</v>
      </c>
      <c r="R3108" t="s">
        <v>2076</v>
      </c>
      <c r="V3108">
        <v>0</v>
      </c>
      <c r="W3108">
        <v>0</v>
      </c>
      <c r="AF3108">
        <v>0</v>
      </c>
      <c r="AG3108">
        <v>0</v>
      </c>
      <c r="AH3108">
        <v>0</v>
      </c>
      <c r="AI3108">
        <v>12</v>
      </c>
      <c r="AJ3108">
        <v>12</v>
      </c>
      <c r="AM3108">
        <v>0</v>
      </c>
      <c r="AN3108">
        <v>94.36</v>
      </c>
      <c r="AP3108">
        <v>6</v>
      </c>
    </row>
    <row r="3109" spans="1:42" x14ac:dyDescent="0.25">
      <c r="A3109" t="s">
        <v>46</v>
      </c>
      <c r="B3109">
        <v>4</v>
      </c>
      <c r="C3109" t="s">
        <v>2070</v>
      </c>
      <c r="D3109" s="39">
        <v>46055</v>
      </c>
      <c r="E3109" t="s">
        <v>486</v>
      </c>
      <c r="F3109" t="s">
        <v>79</v>
      </c>
      <c r="G3109">
        <v>18</v>
      </c>
      <c r="H3109">
        <v>5</v>
      </c>
      <c r="I3109" t="s">
        <v>79</v>
      </c>
      <c r="J3109">
        <v>1000</v>
      </c>
      <c r="K3109" t="s">
        <v>79</v>
      </c>
      <c r="L3109">
        <v>14</v>
      </c>
      <c r="M3109">
        <v>726.37000000000012</v>
      </c>
      <c r="N3109">
        <v>29.400000000000002</v>
      </c>
      <c r="Q3109">
        <v>696.97000000000014</v>
      </c>
      <c r="R3109" t="s">
        <v>2076</v>
      </c>
      <c r="V3109">
        <v>0</v>
      </c>
      <c r="W3109">
        <v>0</v>
      </c>
      <c r="AF3109">
        <v>0</v>
      </c>
      <c r="AG3109">
        <v>0</v>
      </c>
      <c r="AH3109">
        <v>0</v>
      </c>
      <c r="AI3109">
        <v>12</v>
      </c>
      <c r="AJ3109">
        <v>12</v>
      </c>
      <c r="AM3109">
        <v>0</v>
      </c>
      <c r="AN3109">
        <v>731.37000000000012</v>
      </c>
      <c r="AP3109">
        <v>6</v>
      </c>
    </row>
    <row r="3110" spans="1:42" x14ac:dyDescent="0.25">
      <c r="A3110" t="s">
        <v>45</v>
      </c>
      <c r="B3110">
        <v>5</v>
      </c>
      <c r="C3110" t="s">
        <v>2071</v>
      </c>
      <c r="D3110" s="39">
        <v>46055</v>
      </c>
      <c r="E3110" t="s">
        <v>674</v>
      </c>
      <c r="F3110" t="s">
        <v>79</v>
      </c>
      <c r="G3110">
        <v>11</v>
      </c>
      <c r="H3110" t="s">
        <v>102</v>
      </c>
      <c r="I3110" t="s">
        <v>79</v>
      </c>
      <c r="J3110">
        <v>200</v>
      </c>
      <c r="K3110" t="s">
        <v>79</v>
      </c>
      <c r="L3110">
        <v>4</v>
      </c>
      <c r="M3110">
        <v>229.52</v>
      </c>
      <c r="N3110">
        <v>4.4000000000000004</v>
      </c>
      <c r="Q3110">
        <v>225.12</v>
      </c>
      <c r="R3110" t="s">
        <v>2072</v>
      </c>
      <c r="S3110">
        <v>20</v>
      </c>
      <c r="T3110">
        <v>270</v>
      </c>
      <c r="V3110">
        <v>290</v>
      </c>
      <c r="W3110">
        <v>4.833333333333333</v>
      </c>
      <c r="AF3110">
        <v>0</v>
      </c>
      <c r="AG3110">
        <v>0</v>
      </c>
      <c r="AH3110">
        <v>4.833333333333333</v>
      </c>
      <c r="AI3110">
        <v>7.166666666666667</v>
      </c>
      <c r="AJ3110">
        <v>12</v>
      </c>
      <c r="AM3110">
        <v>0</v>
      </c>
      <c r="AN3110">
        <v>234.52</v>
      </c>
      <c r="AP3110">
        <v>6</v>
      </c>
    </row>
    <row r="3111" spans="1:42" x14ac:dyDescent="0.25">
      <c r="A3111" t="s">
        <v>45</v>
      </c>
      <c r="B3111">
        <v>5</v>
      </c>
      <c r="C3111" t="s">
        <v>2073</v>
      </c>
      <c r="D3111" s="39">
        <v>46055</v>
      </c>
      <c r="E3111" t="s">
        <v>486</v>
      </c>
      <c r="F3111" t="s">
        <v>79</v>
      </c>
      <c r="G3111">
        <v>10</v>
      </c>
      <c r="H3111">
        <v>5</v>
      </c>
      <c r="I3111" t="s">
        <v>79</v>
      </c>
      <c r="J3111">
        <v>1000</v>
      </c>
      <c r="K3111" t="s">
        <v>79</v>
      </c>
      <c r="L3111">
        <v>3</v>
      </c>
      <c r="M3111">
        <v>134.5</v>
      </c>
      <c r="N3111">
        <v>3</v>
      </c>
      <c r="O3111">
        <v>30</v>
      </c>
      <c r="Q3111">
        <v>131.5</v>
      </c>
      <c r="R3111" t="s">
        <v>2077</v>
      </c>
      <c r="V3111">
        <v>0</v>
      </c>
      <c r="W3111">
        <v>0</v>
      </c>
      <c r="AF3111">
        <v>0</v>
      </c>
      <c r="AG3111">
        <v>0</v>
      </c>
      <c r="AH3111">
        <v>0</v>
      </c>
      <c r="AI3111">
        <v>12</v>
      </c>
      <c r="AJ3111">
        <v>12</v>
      </c>
      <c r="AM3111">
        <v>0</v>
      </c>
      <c r="AN3111">
        <v>139.5</v>
      </c>
      <c r="AP3111">
        <v>6</v>
      </c>
    </row>
    <row r="3112" spans="1:42" x14ac:dyDescent="0.25">
      <c r="A3112" t="s">
        <v>46</v>
      </c>
      <c r="B3112">
        <v>5</v>
      </c>
      <c r="C3112" t="s">
        <v>2073</v>
      </c>
      <c r="D3112" s="39">
        <v>46055</v>
      </c>
      <c r="E3112" t="s">
        <v>486</v>
      </c>
      <c r="F3112" t="s">
        <v>79</v>
      </c>
      <c r="G3112">
        <v>10</v>
      </c>
      <c r="H3112">
        <v>5</v>
      </c>
      <c r="I3112" t="s">
        <v>79</v>
      </c>
      <c r="J3112">
        <v>1000</v>
      </c>
      <c r="K3112" t="s">
        <v>79</v>
      </c>
      <c r="L3112">
        <v>10</v>
      </c>
      <c r="M3112">
        <v>503.42</v>
      </c>
      <c r="N3112">
        <v>12</v>
      </c>
      <c r="O3112">
        <v>20</v>
      </c>
      <c r="Q3112">
        <v>491.42</v>
      </c>
      <c r="R3112" t="s">
        <v>2077</v>
      </c>
      <c r="V3112">
        <v>0</v>
      </c>
      <c r="W3112">
        <v>0</v>
      </c>
      <c r="AF3112">
        <v>0</v>
      </c>
      <c r="AG3112">
        <v>0</v>
      </c>
      <c r="AH3112">
        <v>0</v>
      </c>
      <c r="AI3112">
        <v>12</v>
      </c>
      <c r="AJ3112">
        <v>12</v>
      </c>
      <c r="AM3112">
        <v>0</v>
      </c>
      <c r="AN3112">
        <v>508.42</v>
      </c>
      <c r="AP3112">
        <v>6</v>
      </c>
    </row>
    <row r="3113" spans="1:42" x14ac:dyDescent="0.25">
      <c r="A3113" t="s">
        <v>45</v>
      </c>
      <c r="B3113">
        <v>1</v>
      </c>
      <c r="C3113" t="s">
        <v>2078</v>
      </c>
      <c r="D3113" s="39">
        <v>46056</v>
      </c>
      <c r="E3113" t="s">
        <v>486</v>
      </c>
      <c r="F3113" t="s">
        <v>79</v>
      </c>
      <c r="G3113">
        <v>2.5</v>
      </c>
      <c r="H3113" t="s">
        <v>92</v>
      </c>
      <c r="I3113" t="s">
        <v>79</v>
      </c>
      <c r="J3113">
        <v>1500</v>
      </c>
      <c r="K3113" t="s">
        <v>79</v>
      </c>
      <c r="L3113">
        <v>9</v>
      </c>
      <c r="M3113">
        <v>126.58000000000001</v>
      </c>
      <c r="N3113">
        <v>2.25</v>
      </c>
      <c r="Q3113">
        <v>124.33000000000001</v>
      </c>
      <c r="R3113" t="s">
        <v>2106</v>
      </c>
      <c r="V3113">
        <v>0</v>
      </c>
      <c r="W3113">
        <v>0</v>
      </c>
      <c r="AF3113">
        <v>0</v>
      </c>
      <c r="AG3113">
        <v>0</v>
      </c>
      <c r="AH3113">
        <v>0</v>
      </c>
      <c r="AI3113">
        <v>12</v>
      </c>
      <c r="AJ3113">
        <v>12</v>
      </c>
      <c r="AM3113">
        <v>0</v>
      </c>
      <c r="AN3113">
        <v>131.58000000000001</v>
      </c>
      <c r="AP3113">
        <v>6</v>
      </c>
    </row>
    <row r="3114" spans="1:42" x14ac:dyDescent="0.25">
      <c r="A3114" t="s">
        <v>46</v>
      </c>
      <c r="B3114">
        <v>1</v>
      </c>
      <c r="C3114" t="s">
        <v>2078</v>
      </c>
      <c r="D3114" s="39">
        <v>46056</v>
      </c>
      <c r="E3114" t="s">
        <v>486</v>
      </c>
      <c r="F3114" t="s">
        <v>79</v>
      </c>
      <c r="G3114">
        <v>2.5</v>
      </c>
      <c r="H3114" t="s">
        <v>92</v>
      </c>
      <c r="I3114" t="s">
        <v>79</v>
      </c>
      <c r="J3114">
        <v>1500</v>
      </c>
      <c r="K3114" t="s">
        <v>79</v>
      </c>
      <c r="L3114">
        <v>6</v>
      </c>
      <c r="M3114">
        <v>121.97999999999999</v>
      </c>
      <c r="N3114">
        <v>1.5</v>
      </c>
      <c r="O3114">
        <v>47</v>
      </c>
      <c r="Q3114">
        <v>120.47999999999999</v>
      </c>
      <c r="R3114" t="s">
        <v>2106</v>
      </c>
      <c r="V3114">
        <v>0</v>
      </c>
      <c r="W3114">
        <v>0</v>
      </c>
      <c r="AF3114">
        <v>0</v>
      </c>
      <c r="AG3114">
        <v>0</v>
      </c>
      <c r="AH3114">
        <v>0</v>
      </c>
      <c r="AI3114">
        <v>12</v>
      </c>
      <c r="AJ3114">
        <v>12</v>
      </c>
      <c r="AM3114">
        <v>0</v>
      </c>
      <c r="AN3114">
        <v>126.98</v>
      </c>
      <c r="AP3114">
        <v>6</v>
      </c>
    </row>
    <row r="3115" spans="1:42" x14ac:dyDescent="0.25">
      <c r="A3115" t="s">
        <v>45</v>
      </c>
      <c r="B3115">
        <v>2</v>
      </c>
      <c r="C3115" t="s">
        <v>2053</v>
      </c>
      <c r="D3115" s="39">
        <v>46056</v>
      </c>
      <c r="E3115" t="s">
        <v>486</v>
      </c>
      <c r="F3115" t="s">
        <v>79</v>
      </c>
      <c r="G3115">
        <v>4</v>
      </c>
      <c r="H3115" t="s">
        <v>113</v>
      </c>
      <c r="I3115" t="s">
        <v>79</v>
      </c>
      <c r="J3115">
        <v>1000</v>
      </c>
      <c r="K3115" t="s">
        <v>79</v>
      </c>
      <c r="L3115">
        <v>10</v>
      </c>
      <c r="M3115">
        <v>164.06</v>
      </c>
      <c r="N3115">
        <v>4</v>
      </c>
      <c r="Q3115">
        <v>160.06</v>
      </c>
      <c r="R3115" t="s">
        <v>2091</v>
      </c>
      <c r="V3115">
        <v>0</v>
      </c>
      <c r="W3115">
        <v>0</v>
      </c>
      <c r="AF3115">
        <v>0</v>
      </c>
      <c r="AG3115">
        <v>0</v>
      </c>
      <c r="AH3115">
        <v>0</v>
      </c>
      <c r="AI3115">
        <v>12</v>
      </c>
      <c r="AJ3115">
        <v>12</v>
      </c>
      <c r="AM3115">
        <v>0</v>
      </c>
      <c r="AN3115">
        <v>169.06</v>
      </c>
      <c r="AP3115">
        <v>6</v>
      </c>
    </row>
    <row r="3116" spans="1:42" x14ac:dyDescent="0.25">
      <c r="A3116" t="s">
        <v>46</v>
      </c>
      <c r="B3116">
        <v>2</v>
      </c>
      <c r="C3116" t="s">
        <v>2053</v>
      </c>
      <c r="D3116" s="39">
        <v>46056</v>
      </c>
      <c r="E3116" t="s">
        <v>486</v>
      </c>
      <c r="F3116" t="s">
        <v>79</v>
      </c>
      <c r="G3116">
        <v>4</v>
      </c>
      <c r="H3116" t="s">
        <v>113</v>
      </c>
      <c r="I3116" t="s">
        <v>79</v>
      </c>
      <c r="J3116">
        <v>1000</v>
      </c>
      <c r="K3116" t="s">
        <v>79</v>
      </c>
      <c r="L3116">
        <v>10</v>
      </c>
      <c r="M3116">
        <v>165.62</v>
      </c>
      <c r="N3116">
        <v>4</v>
      </c>
      <c r="Q3116">
        <v>161.62</v>
      </c>
      <c r="R3116" t="s">
        <v>2091</v>
      </c>
      <c r="V3116">
        <v>0</v>
      </c>
      <c r="W3116">
        <v>0</v>
      </c>
      <c r="AF3116">
        <v>0</v>
      </c>
      <c r="AG3116">
        <v>0</v>
      </c>
      <c r="AH3116">
        <v>0</v>
      </c>
      <c r="AI3116">
        <v>12</v>
      </c>
      <c r="AJ3116">
        <v>12</v>
      </c>
      <c r="AM3116">
        <v>0</v>
      </c>
      <c r="AN3116">
        <v>170.62</v>
      </c>
      <c r="AP3116">
        <v>6</v>
      </c>
    </row>
    <row r="3117" spans="1:42" x14ac:dyDescent="0.25">
      <c r="A3117" t="s">
        <v>45</v>
      </c>
      <c r="B3117">
        <v>4</v>
      </c>
      <c r="C3117" t="s">
        <v>2070</v>
      </c>
      <c r="D3117" s="39">
        <v>46056</v>
      </c>
      <c r="E3117" t="s">
        <v>486</v>
      </c>
      <c r="F3117" t="s">
        <v>79</v>
      </c>
      <c r="G3117">
        <v>18</v>
      </c>
      <c r="H3117">
        <v>5</v>
      </c>
      <c r="I3117" t="s">
        <v>79</v>
      </c>
      <c r="J3117">
        <v>1000</v>
      </c>
      <c r="K3117" t="s">
        <v>79</v>
      </c>
      <c r="L3117">
        <v>5</v>
      </c>
      <c r="M3117">
        <v>323.8</v>
      </c>
      <c r="N3117">
        <v>9</v>
      </c>
      <c r="Q3117">
        <v>314.8</v>
      </c>
      <c r="R3117" t="s">
        <v>2076</v>
      </c>
      <c r="S3117">
        <v>25</v>
      </c>
      <c r="V3117">
        <v>25</v>
      </c>
      <c r="W3117">
        <v>0.41666666666666674</v>
      </c>
      <c r="AF3117">
        <v>0</v>
      </c>
      <c r="AG3117">
        <v>0</v>
      </c>
      <c r="AH3117">
        <v>0.41666666666666674</v>
      </c>
      <c r="AI3117">
        <v>11.583333333333334</v>
      </c>
      <c r="AJ3117">
        <v>12</v>
      </c>
      <c r="AM3117">
        <v>0</v>
      </c>
      <c r="AN3117">
        <v>328.8</v>
      </c>
      <c r="AP3117">
        <v>6</v>
      </c>
    </row>
    <row r="3118" spans="1:42" x14ac:dyDescent="0.25">
      <c r="A3118" t="s">
        <v>45</v>
      </c>
      <c r="B3118">
        <v>4</v>
      </c>
      <c r="C3118" t="s">
        <v>2064</v>
      </c>
      <c r="D3118" s="39">
        <v>46056</v>
      </c>
      <c r="E3118" t="s">
        <v>276</v>
      </c>
      <c r="F3118" t="s">
        <v>79</v>
      </c>
      <c r="G3118">
        <v>18</v>
      </c>
      <c r="H3118" t="s">
        <v>113</v>
      </c>
      <c r="I3118" t="s">
        <v>79</v>
      </c>
      <c r="J3118" t="s">
        <v>81</v>
      </c>
      <c r="K3118" t="s">
        <v>79</v>
      </c>
      <c r="L3118">
        <v>6</v>
      </c>
      <c r="M3118">
        <v>398</v>
      </c>
      <c r="N3118">
        <v>10.8</v>
      </c>
      <c r="Q3118">
        <v>387.2</v>
      </c>
      <c r="R3118" t="s">
        <v>2075</v>
      </c>
      <c r="V3118">
        <v>0</v>
      </c>
      <c r="W3118">
        <v>0</v>
      </c>
      <c r="AF3118">
        <v>0</v>
      </c>
      <c r="AG3118">
        <v>0</v>
      </c>
      <c r="AH3118">
        <v>0</v>
      </c>
      <c r="AI3118">
        <v>12</v>
      </c>
      <c r="AJ3118">
        <v>12</v>
      </c>
      <c r="AM3118">
        <v>0</v>
      </c>
      <c r="AN3118">
        <v>403</v>
      </c>
      <c r="AP3118">
        <v>6</v>
      </c>
    </row>
    <row r="3119" spans="1:42" x14ac:dyDescent="0.25">
      <c r="A3119" t="s">
        <v>45</v>
      </c>
      <c r="B3119">
        <v>4</v>
      </c>
      <c r="C3119" t="s">
        <v>2079</v>
      </c>
      <c r="D3119" s="39">
        <v>46056</v>
      </c>
      <c r="E3119" t="s">
        <v>357</v>
      </c>
      <c r="F3119" t="s">
        <v>79</v>
      </c>
      <c r="G3119">
        <v>22</v>
      </c>
      <c r="H3119" t="s">
        <v>534</v>
      </c>
      <c r="I3119" t="s">
        <v>79</v>
      </c>
      <c r="J3119">
        <v>400</v>
      </c>
      <c r="K3119" t="s">
        <v>79</v>
      </c>
      <c r="L3119">
        <v>1</v>
      </c>
      <c r="M3119">
        <v>62.15</v>
      </c>
      <c r="N3119">
        <v>2.2000000000000002</v>
      </c>
      <c r="Q3119">
        <v>59.949999999999996</v>
      </c>
      <c r="R3119" t="s">
        <v>2080</v>
      </c>
      <c r="V3119">
        <v>0</v>
      </c>
      <c r="W3119">
        <v>0</v>
      </c>
      <c r="AF3119">
        <v>0</v>
      </c>
      <c r="AG3119">
        <v>0</v>
      </c>
      <c r="AH3119">
        <v>0</v>
      </c>
      <c r="AI3119">
        <v>12</v>
      </c>
      <c r="AJ3119">
        <v>12</v>
      </c>
      <c r="AM3119">
        <v>0</v>
      </c>
      <c r="AN3119">
        <v>67.150000000000006</v>
      </c>
      <c r="AP3119">
        <v>6</v>
      </c>
    </row>
    <row r="3120" spans="1:42" x14ac:dyDescent="0.25">
      <c r="A3120" t="s">
        <v>46</v>
      </c>
      <c r="B3120">
        <v>4</v>
      </c>
      <c r="C3120" t="s">
        <v>2079</v>
      </c>
      <c r="D3120" s="39">
        <v>46056</v>
      </c>
      <c r="E3120" t="s">
        <v>357</v>
      </c>
      <c r="F3120" t="s">
        <v>79</v>
      </c>
      <c r="G3120">
        <v>22</v>
      </c>
      <c r="H3120" t="s">
        <v>534</v>
      </c>
      <c r="I3120" t="s">
        <v>79</v>
      </c>
      <c r="J3120">
        <v>400</v>
      </c>
      <c r="K3120" t="s">
        <v>79</v>
      </c>
      <c r="L3120">
        <v>6</v>
      </c>
      <c r="M3120">
        <v>354.83</v>
      </c>
      <c r="N3120">
        <v>15</v>
      </c>
      <c r="Q3120">
        <v>339.83</v>
      </c>
      <c r="R3120" t="s">
        <v>2080</v>
      </c>
      <c r="S3120">
        <v>25</v>
      </c>
      <c r="V3120">
        <v>25</v>
      </c>
      <c r="W3120">
        <v>0.41666666666666674</v>
      </c>
      <c r="AF3120">
        <v>0</v>
      </c>
      <c r="AG3120">
        <v>0</v>
      </c>
      <c r="AH3120">
        <v>0.41666666666666674</v>
      </c>
      <c r="AI3120">
        <v>11.583333333333334</v>
      </c>
      <c r="AJ3120">
        <v>12</v>
      </c>
      <c r="AM3120">
        <v>0</v>
      </c>
      <c r="AN3120">
        <v>359.83</v>
      </c>
      <c r="AP3120">
        <v>6</v>
      </c>
    </row>
    <row r="3121" spans="1:42" x14ac:dyDescent="0.25">
      <c r="A3121" t="s">
        <v>46</v>
      </c>
      <c r="B3121">
        <v>4</v>
      </c>
      <c r="C3121" t="s">
        <v>2081</v>
      </c>
      <c r="D3121" s="39">
        <v>46056</v>
      </c>
      <c r="E3121" t="s">
        <v>674</v>
      </c>
      <c r="F3121" t="s">
        <v>79</v>
      </c>
      <c r="G3121">
        <v>19</v>
      </c>
      <c r="H3121" t="s">
        <v>102</v>
      </c>
      <c r="I3121" t="s">
        <v>79</v>
      </c>
      <c r="J3121">
        <v>200</v>
      </c>
      <c r="K3121" t="s">
        <v>79</v>
      </c>
      <c r="L3121">
        <v>4</v>
      </c>
      <c r="M3121">
        <v>207.99</v>
      </c>
      <c r="N3121">
        <v>9</v>
      </c>
      <c r="Q3121">
        <v>198.99</v>
      </c>
      <c r="R3121" t="s">
        <v>2082</v>
      </c>
      <c r="S3121">
        <v>22</v>
      </c>
      <c r="V3121">
        <v>22</v>
      </c>
      <c r="W3121">
        <v>0.36666666666666664</v>
      </c>
      <c r="AF3121">
        <v>0</v>
      </c>
      <c r="AG3121">
        <v>0</v>
      </c>
      <c r="AH3121">
        <v>0.36666666666666664</v>
      </c>
      <c r="AI3121">
        <v>11.633333333333333</v>
      </c>
      <c r="AJ3121">
        <v>12</v>
      </c>
      <c r="AM3121">
        <v>0</v>
      </c>
      <c r="AN3121">
        <v>212.99</v>
      </c>
      <c r="AP3121">
        <v>6</v>
      </c>
    </row>
    <row r="3122" spans="1:42" x14ac:dyDescent="0.25">
      <c r="A3122" t="s">
        <v>46</v>
      </c>
      <c r="B3122">
        <v>4</v>
      </c>
      <c r="C3122" t="s">
        <v>2083</v>
      </c>
      <c r="D3122" s="39">
        <v>46056</v>
      </c>
      <c r="E3122" t="s">
        <v>486</v>
      </c>
      <c r="F3122" t="s">
        <v>79</v>
      </c>
      <c r="G3122">
        <v>24</v>
      </c>
      <c r="H3122">
        <v>5</v>
      </c>
      <c r="I3122" t="s">
        <v>79</v>
      </c>
      <c r="J3122">
        <v>1500</v>
      </c>
      <c r="K3122" t="s">
        <v>79</v>
      </c>
      <c r="L3122">
        <v>2</v>
      </c>
      <c r="M3122">
        <v>127.19</v>
      </c>
      <c r="N3122">
        <v>5.6</v>
      </c>
      <c r="Q3122">
        <v>121.59</v>
      </c>
      <c r="R3122" t="s">
        <v>2092</v>
      </c>
      <c r="V3122">
        <v>0</v>
      </c>
      <c r="W3122">
        <v>0</v>
      </c>
      <c r="AF3122">
        <v>0</v>
      </c>
      <c r="AG3122">
        <v>0</v>
      </c>
      <c r="AH3122">
        <v>0</v>
      </c>
      <c r="AI3122">
        <v>12</v>
      </c>
      <c r="AJ3122">
        <v>12</v>
      </c>
      <c r="AM3122">
        <v>0</v>
      </c>
      <c r="AN3122">
        <v>132.19</v>
      </c>
      <c r="AP3122">
        <v>6</v>
      </c>
    </row>
    <row r="3123" spans="1:42" x14ac:dyDescent="0.25">
      <c r="A3123" t="s">
        <v>45</v>
      </c>
      <c r="B3123">
        <v>5</v>
      </c>
      <c r="C3123" t="s">
        <v>2073</v>
      </c>
      <c r="D3123" s="39">
        <v>46056</v>
      </c>
      <c r="E3123" t="s">
        <v>486</v>
      </c>
      <c r="F3123" t="s">
        <v>79</v>
      </c>
      <c r="G3123">
        <v>10</v>
      </c>
      <c r="H3123">
        <v>5</v>
      </c>
      <c r="I3123" t="s">
        <v>79</v>
      </c>
      <c r="J3123">
        <v>1000</v>
      </c>
      <c r="K3123" t="s">
        <v>79</v>
      </c>
      <c r="L3123">
        <v>9</v>
      </c>
      <c r="M3123">
        <v>419.22</v>
      </c>
      <c r="N3123">
        <v>10</v>
      </c>
      <c r="Q3123">
        <v>409.22</v>
      </c>
      <c r="R3123" t="s">
        <v>2077</v>
      </c>
      <c r="V3123">
        <v>0</v>
      </c>
      <c r="W3123">
        <v>0</v>
      </c>
      <c r="AF3123">
        <v>0</v>
      </c>
      <c r="AG3123">
        <v>0</v>
      </c>
      <c r="AH3123">
        <v>0</v>
      </c>
      <c r="AI3123">
        <v>12</v>
      </c>
      <c r="AJ3123">
        <v>12</v>
      </c>
      <c r="AM3123">
        <v>0</v>
      </c>
      <c r="AN3123">
        <v>424.22</v>
      </c>
      <c r="AP3123">
        <v>6</v>
      </c>
    </row>
    <row r="3124" spans="1:42" x14ac:dyDescent="0.25">
      <c r="A3124" t="s">
        <v>45</v>
      </c>
      <c r="B3124">
        <v>5</v>
      </c>
      <c r="C3124" t="s">
        <v>2084</v>
      </c>
      <c r="D3124" s="39">
        <v>46056</v>
      </c>
      <c r="E3124" t="s">
        <v>1552</v>
      </c>
      <c r="F3124" t="s">
        <v>79</v>
      </c>
      <c r="G3124">
        <v>10</v>
      </c>
      <c r="H3124" t="s">
        <v>1049</v>
      </c>
      <c r="I3124" t="s">
        <v>79</v>
      </c>
      <c r="J3124">
        <v>200</v>
      </c>
      <c r="K3124" t="s">
        <v>79</v>
      </c>
      <c r="L3124">
        <v>2</v>
      </c>
      <c r="M3124">
        <v>82.7</v>
      </c>
      <c r="N3124">
        <v>2</v>
      </c>
      <c r="Q3124">
        <v>80.7</v>
      </c>
      <c r="R3124" t="s">
        <v>2085</v>
      </c>
      <c r="V3124">
        <v>0</v>
      </c>
      <c r="W3124">
        <v>0</v>
      </c>
      <c r="AF3124">
        <v>0</v>
      </c>
      <c r="AG3124">
        <v>0</v>
      </c>
      <c r="AH3124">
        <v>0</v>
      </c>
      <c r="AI3124">
        <v>12</v>
      </c>
      <c r="AJ3124">
        <v>12</v>
      </c>
      <c r="AM3124">
        <v>0</v>
      </c>
      <c r="AN3124">
        <v>87.7</v>
      </c>
      <c r="AP3124">
        <v>6</v>
      </c>
    </row>
    <row r="3125" spans="1:42" x14ac:dyDescent="0.25">
      <c r="A3125" t="s">
        <v>46</v>
      </c>
      <c r="B3125">
        <v>5</v>
      </c>
      <c r="C3125" t="s">
        <v>2084</v>
      </c>
      <c r="D3125" s="39">
        <v>46056</v>
      </c>
      <c r="E3125" t="s">
        <v>1552</v>
      </c>
      <c r="F3125" t="s">
        <v>79</v>
      </c>
      <c r="G3125">
        <v>10</v>
      </c>
      <c r="H3125" t="s">
        <v>1049</v>
      </c>
      <c r="I3125" t="s">
        <v>79</v>
      </c>
      <c r="J3125">
        <v>200</v>
      </c>
      <c r="K3125" t="s">
        <v>79</v>
      </c>
      <c r="L3125">
        <v>4</v>
      </c>
      <c r="M3125">
        <v>226.84</v>
      </c>
      <c r="N3125">
        <v>4.8</v>
      </c>
      <c r="Q3125">
        <v>222.04</v>
      </c>
      <c r="R3125" t="s">
        <v>2085</v>
      </c>
      <c r="V3125">
        <v>0</v>
      </c>
      <c r="W3125">
        <v>0</v>
      </c>
      <c r="AF3125">
        <v>0</v>
      </c>
      <c r="AG3125">
        <v>0</v>
      </c>
      <c r="AH3125">
        <v>0</v>
      </c>
      <c r="AI3125">
        <v>12</v>
      </c>
      <c r="AJ3125">
        <v>12</v>
      </c>
      <c r="AM3125">
        <v>0</v>
      </c>
      <c r="AN3125">
        <v>231.84</v>
      </c>
      <c r="AP3125">
        <v>6</v>
      </c>
    </row>
    <row r="3126" spans="1:42" x14ac:dyDescent="0.25">
      <c r="A3126" t="s">
        <v>46</v>
      </c>
      <c r="B3126">
        <v>5</v>
      </c>
      <c r="C3126" t="s">
        <v>2086</v>
      </c>
      <c r="D3126" s="39">
        <v>46056</v>
      </c>
      <c r="E3126" t="s">
        <v>1048</v>
      </c>
      <c r="F3126" t="s">
        <v>79</v>
      </c>
      <c r="G3126">
        <v>16</v>
      </c>
      <c r="H3126" t="s">
        <v>859</v>
      </c>
      <c r="I3126" t="s">
        <v>79</v>
      </c>
      <c r="J3126">
        <v>100</v>
      </c>
      <c r="K3126" t="s">
        <v>79</v>
      </c>
      <c r="L3126">
        <v>2</v>
      </c>
      <c r="M3126">
        <v>109.71000000000001</v>
      </c>
      <c r="N3126">
        <v>3.8</v>
      </c>
      <c r="Q3126">
        <v>105.91000000000001</v>
      </c>
      <c r="R3126" t="s">
        <v>2087</v>
      </c>
      <c r="S3126">
        <v>25</v>
      </c>
      <c r="V3126">
        <v>25</v>
      </c>
      <c r="W3126">
        <v>0.41666666666666674</v>
      </c>
      <c r="AF3126">
        <v>0</v>
      </c>
      <c r="AG3126">
        <v>0</v>
      </c>
      <c r="AH3126">
        <v>0.41666666666666674</v>
      </c>
      <c r="AI3126">
        <v>11.583333333333334</v>
      </c>
      <c r="AJ3126">
        <v>12</v>
      </c>
      <c r="AM3126">
        <v>0</v>
      </c>
      <c r="AN3126">
        <v>114.71</v>
      </c>
      <c r="AP3126">
        <v>6</v>
      </c>
    </row>
    <row r="3127" spans="1:42" x14ac:dyDescent="0.25">
      <c r="A3127" t="s">
        <v>46</v>
      </c>
      <c r="B3127">
        <v>5</v>
      </c>
      <c r="C3127" t="s">
        <v>2088</v>
      </c>
      <c r="D3127" s="39">
        <v>46056</v>
      </c>
      <c r="E3127" t="s">
        <v>486</v>
      </c>
      <c r="F3127" t="s">
        <v>79</v>
      </c>
      <c r="G3127">
        <v>16</v>
      </c>
      <c r="H3127">
        <v>5</v>
      </c>
      <c r="I3127" t="s">
        <v>79</v>
      </c>
      <c r="J3127">
        <v>1000</v>
      </c>
      <c r="K3127" t="s">
        <v>79</v>
      </c>
      <c r="L3127">
        <v>2</v>
      </c>
      <c r="M3127">
        <v>110.42</v>
      </c>
      <c r="N3127">
        <v>3.8</v>
      </c>
      <c r="Q3127">
        <v>106.62</v>
      </c>
      <c r="R3127" t="s">
        <v>2569</v>
      </c>
      <c r="V3127">
        <v>0</v>
      </c>
      <c r="W3127">
        <v>0</v>
      </c>
      <c r="AF3127">
        <v>0</v>
      </c>
      <c r="AG3127">
        <v>0</v>
      </c>
      <c r="AH3127">
        <v>0</v>
      </c>
      <c r="AI3127">
        <v>12</v>
      </c>
      <c r="AJ3127">
        <v>12</v>
      </c>
      <c r="AM3127">
        <v>0</v>
      </c>
      <c r="AN3127">
        <v>115.42</v>
      </c>
      <c r="AP3127">
        <v>6</v>
      </c>
    </row>
    <row r="3128" spans="1:42" x14ac:dyDescent="0.25">
      <c r="A3128" t="s">
        <v>46</v>
      </c>
      <c r="B3128">
        <v>5</v>
      </c>
      <c r="C3128" t="s">
        <v>2089</v>
      </c>
      <c r="D3128" s="39">
        <v>46056</v>
      </c>
      <c r="E3128" t="s">
        <v>1552</v>
      </c>
      <c r="F3128" t="s">
        <v>79</v>
      </c>
      <c r="G3128">
        <v>16</v>
      </c>
      <c r="H3128" t="s">
        <v>1049</v>
      </c>
      <c r="I3128" t="s">
        <v>79</v>
      </c>
      <c r="J3128">
        <v>50</v>
      </c>
      <c r="K3128" t="s">
        <v>79</v>
      </c>
      <c r="L3128">
        <v>2</v>
      </c>
      <c r="M3128">
        <v>52.209999999999994</v>
      </c>
      <c r="N3128">
        <v>3.8</v>
      </c>
      <c r="Q3128">
        <v>48.41</v>
      </c>
      <c r="R3128" t="s">
        <v>2090</v>
      </c>
      <c r="V3128">
        <v>0</v>
      </c>
      <c r="W3128">
        <v>0</v>
      </c>
      <c r="AF3128">
        <v>0</v>
      </c>
      <c r="AG3128">
        <v>0</v>
      </c>
      <c r="AH3128">
        <v>0</v>
      </c>
      <c r="AI3128">
        <v>12</v>
      </c>
      <c r="AJ3128">
        <v>12</v>
      </c>
      <c r="AM3128">
        <v>0</v>
      </c>
      <c r="AN3128">
        <v>57.209999999999994</v>
      </c>
      <c r="AP3128">
        <v>6</v>
      </c>
    </row>
    <row r="3129" spans="1:42" x14ac:dyDescent="0.25">
      <c r="A3129" t="s">
        <v>45</v>
      </c>
      <c r="B3129">
        <v>1</v>
      </c>
      <c r="C3129" t="s">
        <v>2078</v>
      </c>
      <c r="D3129" s="39">
        <v>46057</v>
      </c>
      <c r="E3129" t="s">
        <v>486</v>
      </c>
      <c r="F3129" t="s">
        <v>79</v>
      </c>
      <c r="G3129">
        <v>2.5</v>
      </c>
      <c r="H3129" t="s">
        <v>92</v>
      </c>
      <c r="I3129" t="s">
        <v>79</v>
      </c>
      <c r="J3129">
        <v>1500</v>
      </c>
      <c r="K3129" t="s">
        <v>79</v>
      </c>
      <c r="L3129">
        <v>7</v>
      </c>
      <c r="M3129">
        <v>132.28</v>
      </c>
      <c r="N3129">
        <v>1.75</v>
      </c>
      <c r="O3129">
        <v>24</v>
      </c>
      <c r="Q3129">
        <v>130.53</v>
      </c>
      <c r="R3129" t="s">
        <v>2106</v>
      </c>
      <c r="V3129">
        <v>0</v>
      </c>
      <c r="W3129">
        <v>0</v>
      </c>
      <c r="AF3129">
        <v>0</v>
      </c>
      <c r="AG3129">
        <v>0</v>
      </c>
      <c r="AH3129">
        <v>0</v>
      </c>
      <c r="AI3129">
        <v>12</v>
      </c>
      <c r="AJ3129">
        <v>12</v>
      </c>
      <c r="AM3129">
        <v>0</v>
      </c>
      <c r="AN3129">
        <v>137.28</v>
      </c>
      <c r="AP3129">
        <v>6</v>
      </c>
    </row>
    <row r="3130" spans="1:42" x14ac:dyDescent="0.25">
      <c r="A3130" t="s">
        <v>46</v>
      </c>
      <c r="B3130">
        <v>1</v>
      </c>
      <c r="C3130" t="s">
        <v>2078</v>
      </c>
      <c r="D3130" s="39">
        <v>46057</v>
      </c>
      <c r="E3130" t="s">
        <v>486</v>
      </c>
      <c r="F3130" t="s">
        <v>79</v>
      </c>
      <c r="G3130">
        <v>2.5</v>
      </c>
      <c r="H3130" t="s">
        <v>92</v>
      </c>
      <c r="I3130" t="s">
        <v>79</v>
      </c>
      <c r="J3130">
        <v>1500</v>
      </c>
      <c r="K3130" t="s">
        <v>79</v>
      </c>
      <c r="L3130">
        <v>9</v>
      </c>
      <c r="M3130">
        <v>118.69</v>
      </c>
      <c r="N3130">
        <v>2.25</v>
      </c>
      <c r="O3130">
        <v>23</v>
      </c>
      <c r="Q3130">
        <v>116.44</v>
      </c>
      <c r="R3130" t="s">
        <v>2106</v>
      </c>
      <c r="V3130">
        <v>0</v>
      </c>
      <c r="W3130">
        <v>0</v>
      </c>
      <c r="AF3130">
        <v>0</v>
      </c>
      <c r="AG3130">
        <v>0</v>
      </c>
      <c r="AH3130">
        <v>0</v>
      </c>
      <c r="AI3130">
        <v>12</v>
      </c>
      <c r="AJ3130">
        <v>12</v>
      </c>
      <c r="AM3130">
        <v>0</v>
      </c>
      <c r="AN3130">
        <v>123.69</v>
      </c>
      <c r="AP3130">
        <v>6</v>
      </c>
    </row>
    <row r="3131" spans="1:42" x14ac:dyDescent="0.25">
      <c r="A3131" t="s">
        <v>45</v>
      </c>
      <c r="B3131">
        <v>2</v>
      </c>
      <c r="C3131" t="s">
        <v>2053</v>
      </c>
      <c r="D3131" s="39">
        <v>46057</v>
      </c>
      <c r="E3131" t="s">
        <v>486</v>
      </c>
      <c r="F3131" t="s">
        <v>79</v>
      </c>
      <c r="G3131">
        <v>4</v>
      </c>
      <c r="H3131" t="s">
        <v>113</v>
      </c>
      <c r="I3131" t="s">
        <v>79</v>
      </c>
      <c r="J3131">
        <v>1000</v>
      </c>
      <c r="K3131" t="s">
        <v>79</v>
      </c>
      <c r="L3131">
        <v>7</v>
      </c>
      <c r="M3131">
        <v>123.61999999999998</v>
      </c>
      <c r="N3131">
        <v>2.8000000000000003</v>
      </c>
      <c r="Q3131">
        <v>120.81999999999998</v>
      </c>
      <c r="R3131" t="s">
        <v>2091</v>
      </c>
      <c r="V3131">
        <v>0</v>
      </c>
      <c r="W3131">
        <v>0</v>
      </c>
      <c r="AF3131">
        <v>0</v>
      </c>
      <c r="AG3131">
        <v>0</v>
      </c>
      <c r="AH3131">
        <v>0</v>
      </c>
      <c r="AI3131">
        <v>12</v>
      </c>
      <c r="AJ3131">
        <v>12</v>
      </c>
      <c r="AM3131">
        <v>0</v>
      </c>
      <c r="AN3131">
        <v>128.61999999999998</v>
      </c>
      <c r="AP3131">
        <v>6</v>
      </c>
    </row>
    <row r="3132" spans="1:42" x14ac:dyDescent="0.25">
      <c r="A3132" t="s">
        <v>45</v>
      </c>
      <c r="B3132">
        <v>2</v>
      </c>
      <c r="C3132" t="s">
        <v>2093</v>
      </c>
      <c r="D3132" s="39">
        <v>46057</v>
      </c>
      <c r="E3132" t="s">
        <v>1552</v>
      </c>
      <c r="F3132" t="s">
        <v>79</v>
      </c>
      <c r="G3132">
        <v>4</v>
      </c>
      <c r="H3132" t="s">
        <v>1049</v>
      </c>
      <c r="I3132" t="s">
        <v>79</v>
      </c>
      <c r="J3132">
        <v>200</v>
      </c>
      <c r="K3132" t="s">
        <v>79</v>
      </c>
      <c r="L3132">
        <v>4</v>
      </c>
      <c r="M3132">
        <v>62.69</v>
      </c>
      <c r="N3132">
        <v>1.6</v>
      </c>
      <c r="Q3132">
        <v>61.089999999999996</v>
      </c>
      <c r="R3132" t="s">
        <v>2094</v>
      </c>
      <c r="V3132">
        <v>0</v>
      </c>
      <c r="W3132">
        <v>0</v>
      </c>
      <c r="AF3132">
        <v>0</v>
      </c>
      <c r="AG3132">
        <v>0</v>
      </c>
      <c r="AH3132">
        <v>0</v>
      </c>
      <c r="AI3132">
        <v>12</v>
      </c>
      <c r="AJ3132">
        <v>12</v>
      </c>
      <c r="AM3132">
        <v>0</v>
      </c>
      <c r="AN3132">
        <v>67.69</v>
      </c>
      <c r="AP3132">
        <v>6</v>
      </c>
    </row>
    <row r="3133" spans="1:42" x14ac:dyDescent="0.25">
      <c r="A3133" t="s">
        <v>46</v>
      </c>
      <c r="B3133">
        <v>2</v>
      </c>
      <c r="C3133" t="s">
        <v>2093</v>
      </c>
      <c r="D3133" s="39">
        <v>46057</v>
      </c>
      <c r="E3133" t="s">
        <v>1552</v>
      </c>
      <c r="F3133" t="s">
        <v>79</v>
      </c>
      <c r="G3133">
        <v>4</v>
      </c>
      <c r="H3133" t="s">
        <v>1049</v>
      </c>
      <c r="I3133" t="s">
        <v>79</v>
      </c>
      <c r="J3133">
        <v>200</v>
      </c>
      <c r="K3133" t="s">
        <v>79</v>
      </c>
      <c r="L3133">
        <v>10</v>
      </c>
      <c r="M3133">
        <v>163.62</v>
      </c>
      <c r="N3133">
        <v>4</v>
      </c>
      <c r="Q3133">
        <v>159.62</v>
      </c>
      <c r="R3133" t="s">
        <v>2094</v>
      </c>
      <c r="V3133">
        <v>0</v>
      </c>
      <c r="W3133">
        <v>0</v>
      </c>
      <c r="AF3133">
        <v>0</v>
      </c>
      <c r="AG3133">
        <v>0</v>
      </c>
      <c r="AH3133">
        <v>0</v>
      </c>
      <c r="AI3133">
        <v>12</v>
      </c>
      <c r="AJ3133">
        <v>12</v>
      </c>
      <c r="AM3133">
        <v>0</v>
      </c>
      <c r="AN3133">
        <v>168.62</v>
      </c>
      <c r="AP3133">
        <v>6</v>
      </c>
    </row>
    <row r="3134" spans="1:42" x14ac:dyDescent="0.25">
      <c r="A3134" t="s">
        <v>46</v>
      </c>
      <c r="B3134">
        <v>2</v>
      </c>
      <c r="C3134" t="s">
        <v>2053</v>
      </c>
      <c r="D3134" s="39">
        <v>46057</v>
      </c>
      <c r="E3134" t="s">
        <v>486</v>
      </c>
      <c r="F3134" t="s">
        <v>79</v>
      </c>
      <c r="G3134">
        <v>4</v>
      </c>
      <c r="H3134" t="s">
        <v>113</v>
      </c>
      <c r="I3134" t="s">
        <v>79</v>
      </c>
      <c r="J3134">
        <v>1000</v>
      </c>
      <c r="K3134" t="s">
        <v>79</v>
      </c>
      <c r="L3134">
        <v>1</v>
      </c>
      <c r="M3134">
        <v>20.6</v>
      </c>
      <c r="N3134">
        <v>0.4</v>
      </c>
      <c r="Q3134">
        <v>20.200000000000003</v>
      </c>
      <c r="R3134" t="s">
        <v>2091</v>
      </c>
      <c r="V3134">
        <v>0</v>
      </c>
      <c r="W3134">
        <v>0</v>
      </c>
      <c r="AF3134">
        <v>0</v>
      </c>
      <c r="AG3134">
        <v>0</v>
      </c>
      <c r="AH3134">
        <v>0</v>
      </c>
      <c r="AI3134">
        <v>12</v>
      </c>
      <c r="AJ3134">
        <v>12</v>
      </c>
      <c r="AM3134">
        <v>0</v>
      </c>
      <c r="AN3134">
        <v>25.6</v>
      </c>
      <c r="AP3134">
        <v>6</v>
      </c>
    </row>
    <row r="3135" spans="1:42" x14ac:dyDescent="0.25">
      <c r="A3135" t="s">
        <v>45</v>
      </c>
      <c r="B3135">
        <v>4</v>
      </c>
      <c r="C3135" t="s">
        <v>2083</v>
      </c>
      <c r="D3135" s="39">
        <v>46057</v>
      </c>
      <c r="E3135" t="s">
        <v>486</v>
      </c>
      <c r="F3135" t="s">
        <v>79</v>
      </c>
      <c r="G3135">
        <v>24</v>
      </c>
      <c r="H3135">
        <v>5</v>
      </c>
      <c r="I3135" t="s">
        <v>79</v>
      </c>
      <c r="J3135">
        <v>1500</v>
      </c>
      <c r="K3135" t="s">
        <v>79</v>
      </c>
      <c r="L3135">
        <v>11</v>
      </c>
      <c r="M3135">
        <v>785.30000000000018</v>
      </c>
      <c r="N3135">
        <v>30.799999999999997</v>
      </c>
      <c r="Q3135">
        <v>754.50000000000023</v>
      </c>
      <c r="R3135" t="s">
        <v>2092</v>
      </c>
      <c r="V3135">
        <v>0</v>
      </c>
      <c r="W3135">
        <v>0</v>
      </c>
      <c r="AF3135">
        <v>0</v>
      </c>
      <c r="AG3135">
        <v>0</v>
      </c>
      <c r="AH3135">
        <v>0</v>
      </c>
      <c r="AI3135">
        <v>12</v>
      </c>
      <c r="AJ3135">
        <v>12</v>
      </c>
      <c r="AM3135">
        <v>0</v>
      </c>
      <c r="AN3135">
        <v>790.30000000000018</v>
      </c>
      <c r="AP3135">
        <v>6</v>
      </c>
    </row>
    <row r="3136" spans="1:42" x14ac:dyDescent="0.25">
      <c r="A3136" t="s">
        <v>46</v>
      </c>
      <c r="B3136">
        <v>4</v>
      </c>
      <c r="C3136" t="s">
        <v>2083</v>
      </c>
      <c r="D3136" s="39">
        <v>46057</v>
      </c>
      <c r="E3136" t="s">
        <v>486</v>
      </c>
      <c r="F3136" t="s">
        <v>79</v>
      </c>
      <c r="G3136">
        <v>24</v>
      </c>
      <c r="H3136">
        <v>5</v>
      </c>
      <c r="I3136" t="s">
        <v>79</v>
      </c>
      <c r="J3136">
        <v>1500</v>
      </c>
      <c r="K3136" t="s">
        <v>79</v>
      </c>
      <c r="L3136">
        <v>11</v>
      </c>
      <c r="M3136">
        <v>709.56999999999994</v>
      </c>
      <c r="N3136">
        <v>30.799999999999997</v>
      </c>
      <c r="Q3136">
        <v>678.77</v>
      </c>
      <c r="R3136" t="s">
        <v>2092</v>
      </c>
      <c r="S3136">
        <v>25</v>
      </c>
      <c r="V3136">
        <v>25</v>
      </c>
      <c r="W3136">
        <v>0.41666666666666674</v>
      </c>
      <c r="AF3136">
        <v>0</v>
      </c>
      <c r="AG3136">
        <v>0</v>
      </c>
      <c r="AH3136">
        <v>0.41666666666666674</v>
      </c>
      <c r="AI3136">
        <v>11.583333333333334</v>
      </c>
      <c r="AJ3136">
        <v>12</v>
      </c>
      <c r="AM3136">
        <v>0</v>
      </c>
      <c r="AN3136">
        <v>714.56999999999994</v>
      </c>
      <c r="AP3136">
        <v>6</v>
      </c>
    </row>
    <row r="3137" spans="1:42" x14ac:dyDescent="0.25">
      <c r="A3137" t="s">
        <v>46</v>
      </c>
      <c r="B3137">
        <v>4</v>
      </c>
      <c r="C3137" t="s">
        <v>2088</v>
      </c>
      <c r="D3137" s="39">
        <v>46057</v>
      </c>
      <c r="E3137" t="s">
        <v>486</v>
      </c>
      <c r="F3137" t="s">
        <v>79</v>
      </c>
      <c r="G3137">
        <v>16</v>
      </c>
      <c r="H3137">
        <v>5</v>
      </c>
      <c r="I3137" t="s">
        <v>79</v>
      </c>
      <c r="J3137">
        <v>1000</v>
      </c>
      <c r="K3137" t="s">
        <v>79</v>
      </c>
      <c r="L3137">
        <v>1</v>
      </c>
      <c r="M3137">
        <v>54.75</v>
      </c>
      <c r="N3137">
        <v>1.9</v>
      </c>
      <c r="Q3137">
        <v>52.85</v>
      </c>
      <c r="R3137" t="s">
        <v>2569</v>
      </c>
      <c r="V3137">
        <v>0</v>
      </c>
      <c r="W3137">
        <v>0</v>
      </c>
      <c r="AF3137">
        <v>0</v>
      </c>
      <c r="AG3137">
        <v>0</v>
      </c>
      <c r="AH3137">
        <v>0</v>
      </c>
      <c r="AI3137">
        <v>12</v>
      </c>
      <c r="AJ3137">
        <v>12</v>
      </c>
      <c r="AM3137">
        <v>0</v>
      </c>
      <c r="AN3137">
        <v>59.75</v>
      </c>
      <c r="AP3137">
        <v>6</v>
      </c>
    </row>
    <row r="3138" spans="1:42" x14ac:dyDescent="0.25">
      <c r="A3138" t="s">
        <v>45</v>
      </c>
      <c r="B3138">
        <v>5</v>
      </c>
      <c r="C3138" t="s">
        <v>2088</v>
      </c>
      <c r="D3138" s="39">
        <v>46057</v>
      </c>
      <c r="E3138" t="s">
        <v>486</v>
      </c>
      <c r="F3138" t="s">
        <v>79</v>
      </c>
      <c r="G3138">
        <v>16</v>
      </c>
      <c r="H3138">
        <v>5</v>
      </c>
      <c r="I3138" t="s">
        <v>79</v>
      </c>
      <c r="J3138">
        <v>1000</v>
      </c>
      <c r="K3138" t="s">
        <v>79</v>
      </c>
      <c r="L3138">
        <v>2</v>
      </c>
      <c r="M3138">
        <v>121.92</v>
      </c>
      <c r="N3138">
        <v>4.8000000000000007</v>
      </c>
      <c r="Q3138">
        <v>117.12</v>
      </c>
      <c r="R3138" t="s">
        <v>2569</v>
      </c>
      <c r="V3138">
        <v>0</v>
      </c>
      <c r="W3138">
        <v>0</v>
      </c>
      <c r="AF3138">
        <v>0</v>
      </c>
      <c r="AG3138">
        <v>0</v>
      </c>
      <c r="AH3138">
        <v>0</v>
      </c>
      <c r="AI3138">
        <v>12</v>
      </c>
      <c r="AJ3138">
        <v>12</v>
      </c>
      <c r="AM3138">
        <v>0</v>
      </c>
      <c r="AN3138">
        <v>126.92</v>
      </c>
      <c r="AP3138">
        <v>6</v>
      </c>
    </row>
    <row r="3139" spans="1:42" x14ac:dyDescent="0.25">
      <c r="A3139" t="s">
        <v>45</v>
      </c>
      <c r="B3139">
        <v>5</v>
      </c>
      <c r="C3139" t="s">
        <v>2095</v>
      </c>
      <c r="D3139" s="39">
        <v>46057</v>
      </c>
      <c r="E3139" t="s">
        <v>2044</v>
      </c>
      <c r="F3139" t="s">
        <v>79</v>
      </c>
      <c r="G3139">
        <v>14</v>
      </c>
      <c r="H3139" t="s">
        <v>135</v>
      </c>
      <c r="I3139" t="s">
        <v>79</v>
      </c>
      <c r="J3139">
        <v>100</v>
      </c>
      <c r="K3139" t="s">
        <v>79</v>
      </c>
      <c r="L3139">
        <v>1</v>
      </c>
      <c r="M3139">
        <v>42.66</v>
      </c>
      <c r="N3139">
        <v>1.4</v>
      </c>
      <c r="O3139">
        <v>6</v>
      </c>
      <c r="Q3139">
        <v>41.26</v>
      </c>
      <c r="R3139" t="s">
        <v>2096</v>
      </c>
      <c r="S3139">
        <v>30</v>
      </c>
      <c r="V3139">
        <v>30</v>
      </c>
      <c r="W3139">
        <v>0.5</v>
      </c>
      <c r="Z3139">
        <v>330</v>
      </c>
      <c r="AD3139">
        <v>30</v>
      </c>
      <c r="AF3139">
        <v>360</v>
      </c>
      <c r="AG3139">
        <v>6</v>
      </c>
      <c r="AH3139">
        <v>6.5</v>
      </c>
      <c r="AI3139">
        <v>5.5</v>
      </c>
      <c r="AJ3139">
        <v>12</v>
      </c>
      <c r="AM3139">
        <v>0</v>
      </c>
      <c r="AN3139">
        <v>47.66</v>
      </c>
      <c r="AP3139">
        <v>6</v>
      </c>
    </row>
    <row r="3140" spans="1:42" x14ac:dyDescent="0.25">
      <c r="A3140" t="s">
        <v>46</v>
      </c>
      <c r="B3140">
        <v>5</v>
      </c>
      <c r="C3140" t="s">
        <v>2095</v>
      </c>
      <c r="D3140" s="39">
        <v>46057</v>
      </c>
      <c r="E3140" t="s">
        <v>2044</v>
      </c>
      <c r="F3140" t="s">
        <v>79</v>
      </c>
      <c r="G3140">
        <v>14</v>
      </c>
      <c r="H3140" t="s">
        <v>135</v>
      </c>
      <c r="I3140" t="s">
        <v>79</v>
      </c>
      <c r="J3140">
        <v>100</v>
      </c>
      <c r="K3140" t="s">
        <v>79</v>
      </c>
      <c r="L3140">
        <v>3</v>
      </c>
      <c r="M3140">
        <v>166.01</v>
      </c>
      <c r="N3140">
        <v>4.8000000000000007</v>
      </c>
      <c r="O3140">
        <v>6</v>
      </c>
      <c r="Q3140">
        <v>161.20999999999998</v>
      </c>
      <c r="R3140" t="s">
        <v>2096</v>
      </c>
      <c r="S3140">
        <v>20</v>
      </c>
      <c r="V3140">
        <v>20</v>
      </c>
      <c r="W3140">
        <v>0.33333333333333331</v>
      </c>
      <c r="AF3140">
        <v>0</v>
      </c>
      <c r="AG3140">
        <v>0</v>
      </c>
      <c r="AH3140">
        <v>0.33333333333333331</v>
      </c>
      <c r="AI3140">
        <v>11.666666666666666</v>
      </c>
      <c r="AJ3140">
        <v>12</v>
      </c>
      <c r="AM3140">
        <v>0</v>
      </c>
      <c r="AN3140">
        <v>171.01</v>
      </c>
      <c r="AP3140">
        <v>6</v>
      </c>
    </row>
    <row r="3141" spans="1:42" x14ac:dyDescent="0.25">
      <c r="A3141" t="s">
        <v>46</v>
      </c>
      <c r="B3141">
        <v>5</v>
      </c>
      <c r="C3141" t="s">
        <v>2097</v>
      </c>
      <c r="D3141" s="39">
        <v>46057</v>
      </c>
      <c r="E3141" t="s">
        <v>1552</v>
      </c>
      <c r="F3141" t="s">
        <v>79</v>
      </c>
      <c r="G3141">
        <v>12</v>
      </c>
      <c r="H3141" t="s">
        <v>1049</v>
      </c>
      <c r="I3141" t="s">
        <v>79</v>
      </c>
      <c r="J3141">
        <v>300</v>
      </c>
      <c r="K3141" t="s">
        <v>79</v>
      </c>
      <c r="L3141">
        <v>5</v>
      </c>
      <c r="M3141">
        <v>289.70999999999998</v>
      </c>
      <c r="N3141">
        <v>6.75</v>
      </c>
      <c r="Q3141">
        <v>282.95999999999998</v>
      </c>
      <c r="R3141" t="s">
        <v>2098</v>
      </c>
      <c r="V3141">
        <v>0</v>
      </c>
      <c r="W3141">
        <v>0</v>
      </c>
      <c r="AF3141">
        <v>0</v>
      </c>
      <c r="AG3141">
        <v>0</v>
      </c>
      <c r="AH3141">
        <v>0</v>
      </c>
      <c r="AI3141">
        <v>12</v>
      </c>
      <c r="AJ3141">
        <v>12</v>
      </c>
      <c r="AM3141">
        <v>0</v>
      </c>
      <c r="AN3141">
        <v>294.70999999999998</v>
      </c>
      <c r="AP3141">
        <v>6</v>
      </c>
    </row>
    <row r="3142" spans="1:42" x14ac:dyDescent="0.25">
      <c r="A3142" t="s">
        <v>46</v>
      </c>
      <c r="B3142">
        <v>5</v>
      </c>
      <c r="C3142" t="s">
        <v>2099</v>
      </c>
      <c r="D3142" s="39">
        <v>46057</v>
      </c>
      <c r="E3142" t="s">
        <v>486</v>
      </c>
      <c r="F3142" t="s">
        <v>79</v>
      </c>
      <c r="G3142">
        <v>12</v>
      </c>
      <c r="H3142">
        <v>5</v>
      </c>
      <c r="I3142" t="s">
        <v>79</v>
      </c>
      <c r="J3142">
        <v>1500</v>
      </c>
      <c r="K3142" t="s">
        <v>79</v>
      </c>
      <c r="L3142">
        <v>1</v>
      </c>
      <c r="M3142">
        <v>59.84</v>
      </c>
      <c r="N3142">
        <v>1.35</v>
      </c>
      <c r="Q3142">
        <v>58.49</v>
      </c>
      <c r="R3142" t="s">
        <v>2107</v>
      </c>
      <c r="V3142">
        <v>0</v>
      </c>
      <c r="W3142">
        <v>0</v>
      </c>
      <c r="AF3142">
        <v>0</v>
      </c>
      <c r="AG3142">
        <v>0</v>
      </c>
      <c r="AH3142">
        <v>0</v>
      </c>
      <c r="AI3142">
        <v>12</v>
      </c>
      <c r="AJ3142">
        <v>12</v>
      </c>
      <c r="AM3142">
        <v>0</v>
      </c>
      <c r="AN3142">
        <v>64.84</v>
      </c>
      <c r="AP3142">
        <v>6</v>
      </c>
    </row>
    <row r="3143" spans="1:42" x14ac:dyDescent="0.25">
      <c r="A3143" t="s">
        <v>45</v>
      </c>
      <c r="B3143">
        <v>1</v>
      </c>
      <c r="C3143" t="s">
        <v>2078</v>
      </c>
      <c r="D3143" s="39">
        <v>46058</v>
      </c>
      <c r="E3143" t="s">
        <v>486</v>
      </c>
      <c r="F3143" t="s">
        <v>79</v>
      </c>
      <c r="G3143">
        <v>2.5</v>
      </c>
      <c r="H3143" t="s">
        <v>92</v>
      </c>
      <c r="I3143" t="s">
        <v>79</v>
      </c>
      <c r="J3143">
        <v>1500</v>
      </c>
      <c r="K3143" t="s">
        <v>79</v>
      </c>
      <c r="L3143">
        <v>8</v>
      </c>
      <c r="M3143">
        <v>116.46</v>
      </c>
      <c r="N3143">
        <v>2</v>
      </c>
      <c r="Q3143">
        <v>114.46</v>
      </c>
      <c r="R3143" t="s">
        <v>2106</v>
      </c>
      <c r="V3143">
        <v>0</v>
      </c>
      <c r="W3143">
        <v>0</v>
      </c>
      <c r="AF3143">
        <v>0</v>
      </c>
      <c r="AG3143">
        <v>0</v>
      </c>
      <c r="AH3143">
        <v>0</v>
      </c>
      <c r="AI3143">
        <v>12</v>
      </c>
      <c r="AJ3143">
        <v>12</v>
      </c>
      <c r="AM3143">
        <v>0</v>
      </c>
      <c r="AN3143">
        <v>121.46</v>
      </c>
      <c r="AP3143">
        <v>6</v>
      </c>
    </row>
    <row r="3144" spans="1:42" x14ac:dyDescent="0.25">
      <c r="A3144" t="s">
        <v>46</v>
      </c>
      <c r="B3144">
        <v>1</v>
      </c>
      <c r="C3144" t="s">
        <v>2078</v>
      </c>
      <c r="D3144" s="39">
        <v>46058</v>
      </c>
      <c r="E3144" t="s">
        <v>486</v>
      </c>
      <c r="F3144" t="s">
        <v>79</v>
      </c>
      <c r="G3144">
        <v>2.5</v>
      </c>
      <c r="H3144" t="s">
        <v>92</v>
      </c>
      <c r="I3144" t="s">
        <v>79</v>
      </c>
      <c r="J3144">
        <v>1500</v>
      </c>
      <c r="K3144" t="s">
        <v>79</v>
      </c>
      <c r="L3144">
        <v>7</v>
      </c>
      <c r="M3144">
        <v>99.800000000000011</v>
      </c>
      <c r="N3144">
        <v>1.75</v>
      </c>
      <c r="Q3144">
        <v>98.050000000000011</v>
      </c>
      <c r="R3144" t="s">
        <v>2106</v>
      </c>
      <c r="U3144">
        <v>120</v>
      </c>
      <c r="V3144">
        <v>120</v>
      </c>
      <c r="W3144">
        <v>2</v>
      </c>
      <c r="AF3144">
        <v>0</v>
      </c>
      <c r="AG3144">
        <v>0</v>
      </c>
      <c r="AH3144">
        <v>2</v>
      </c>
      <c r="AI3144">
        <v>10</v>
      </c>
      <c r="AJ3144">
        <v>12</v>
      </c>
      <c r="AM3144">
        <v>0</v>
      </c>
      <c r="AN3144">
        <v>104.8</v>
      </c>
      <c r="AP3144">
        <v>6</v>
      </c>
    </row>
    <row r="3145" spans="1:42" x14ac:dyDescent="0.25">
      <c r="A3145" t="s">
        <v>45</v>
      </c>
      <c r="B3145">
        <v>2</v>
      </c>
      <c r="C3145" t="s">
        <v>2100</v>
      </c>
      <c r="D3145" s="39">
        <v>46058</v>
      </c>
      <c r="E3145" t="s">
        <v>486</v>
      </c>
      <c r="F3145" t="s">
        <v>79</v>
      </c>
      <c r="G3145">
        <v>4</v>
      </c>
      <c r="H3145" t="s">
        <v>113</v>
      </c>
      <c r="I3145" t="s">
        <v>79</v>
      </c>
      <c r="J3145" t="s">
        <v>1884</v>
      </c>
      <c r="K3145" t="s">
        <v>79</v>
      </c>
      <c r="L3145">
        <v>9</v>
      </c>
      <c r="M3145">
        <v>180.52</v>
      </c>
      <c r="N3145">
        <v>3.6</v>
      </c>
      <c r="Q3145">
        <v>176.92000000000002</v>
      </c>
      <c r="R3145" t="s">
        <v>2101</v>
      </c>
      <c r="V3145">
        <v>0</v>
      </c>
      <c r="W3145">
        <v>0</v>
      </c>
      <c r="AF3145">
        <v>0</v>
      </c>
      <c r="AG3145">
        <v>0</v>
      </c>
      <c r="AH3145">
        <v>0</v>
      </c>
      <c r="AI3145">
        <v>12</v>
      </c>
      <c r="AJ3145">
        <v>12</v>
      </c>
      <c r="AM3145">
        <v>0</v>
      </c>
      <c r="AN3145">
        <v>185.52</v>
      </c>
      <c r="AP3145">
        <v>6</v>
      </c>
    </row>
    <row r="3146" spans="1:42" x14ac:dyDescent="0.25">
      <c r="A3146" t="s">
        <v>46</v>
      </c>
      <c r="B3146">
        <v>2</v>
      </c>
      <c r="C3146" t="s">
        <v>2100</v>
      </c>
      <c r="D3146" s="39">
        <v>46058</v>
      </c>
      <c r="E3146" t="s">
        <v>486</v>
      </c>
      <c r="F3146" t="s">
        <v>79</v>
      </c>
      <c r="G3146">
        <v>4</v>
      </c>
      <c r="H3146" t="s">
        <v>113</v>
      </c>
      <c r="I3146" t="s">
        <v>79</v>
      </c>
      <c r="J3146" t="s">
        <v>1884</v>
      </c>
      <c r="K3146" t="s">
        <v>79</v>
      </c>
      <c r="L3146">
        <v>6</v>
      </c>
      <c r="M3146">
        <v>129.76000000000002</v>
      </c>
      <c r="N3146">
        <v>2.4000000000000004</v>
      </c>
      <c r="Q3146">
        <v>127.36000000000001</v>
      </c>
      <c r="R3146" t="s">
        <v>2101</v>
      </c>
      <c r="U3146">
        <v>120</v>
      </c>
      <c r="V3146">
        <v>120</v>
      </c>
      <c r="W3146">
        <v>2</v>
      </c>
      <c r="AF3146">
        <v>0</v>
      </c>
      <c r="AG3146">
        <v>0</v>
      </c>
      <c r="AH3146">
        <v>2</v>
      </c>
      <c r="AI3146">
        <v>10</v>
      </c>
      <c r="AJ3146">
        <v>12</v>
      </c>
      <c r="AM3146">
        <v>0</v>
      </c>
      <c r="AN3146">
        <v>134.76000000000002</v>
      </c>
      <c r="AP3146">
        <v>6</v>
      </c>
    </row>
    <row r="3147" spans="1:42" x14ac:dyDescent="0.25">
      <c r="A3147" t="s">
        <v>45</v>
      </c>
      <c r="B3147">
        <v>4</v>
      </c>
      <c r="C3147" t="s">
        <v>2097</v>
      </c>
      <c r="D3147" s="39">
        <v>46058</v>
      </c>
      <c r="E3147" t="s">
        <v>1552</v>
      </c>
      <c r="F3147" t="s">
        <v>79</v>
      </c>
      <c r="G3147">
        <v>12</v>
      </c>
      <c r="H3147" t="s">
        <v>1049</v>
      </c>
      <c r="I3147" t="s">
        <v>79</v>
      </c>
      <c r="J3147">
        <v>300</v>
      </c>
      <c r="K3147" t="s">
        <v>79</v>
      </c>
      <c r="L3147">
        <v>4</v>
      </c>
      <c r="M3147">
        <v>179.94</v>
      </c>
      <c r="N3147">
        <v>4.8</v>
      </c>
      <c r="Q3147">
        <v>175.14</v>
      </c>
      <c r="R3147" t="s">
        <v>2098</v>
      </c>
      <c r="V3147">
        <v>0</v>
      </c>
      <c r="W3147">
        <v>0</v>
      </c>
      <c r="AF3147">
        <v>0</v>
      </c>
      <c r="AG3147">
        <v>0</v>
      </c>
      <c r="AH3147">
        <v>0</v>
      </c>
      <c r="AI3147">
        <v>12</v>
      </c>
      <c r="AJ3147">
        <v>12</v>
      </c>
      <c r="AM3147">
        <v>0</v>
      </c>
      <c r="AN3147">
        <v>184.94</v>
      </c>
      <c r="AP3147">
        <v>6</v>
      </c>
    </row>
    <row r="3148" spans="1:42" x14ac:dyDescent="0.25">
      <c r="A3148" t="s">
        <v>45</v>
      </c>
      <c r="B3148">
        <v>4</v>
      </c>
      <c r="C3148" t="s">
        <v>2099</v>
      </c>
      <c r="D3148" s="39">
        <v>46058</v>
      </c>
      <c r="E3148" t="s">
        <v>486</v>
      </c>
      <c r="F3148" t="s">
        <v>79</v>
      </c>
      <c r="G3148">
        <v>12</v>
      </c>
      <c r="H3148">
        <v>5</v>
      </c>
      <c r="I3148" t="s">
        <v>79</v>
      </c>
      <c r="J3148">
        <v>1500</v>
      </c>
      <c r="K3148" t="s">
        <v>79</v>
      </c>
      <c r="L3148">
        <v>7</v>
      </c>
      <c r="M3148">
        <v>388.12</v>
      </c>
      <c r="N3148">
        <v>8.4</v>
      </c>
      <c r="Q3148">
        <v>379.72</v>
      </c>
      <c r="R3148" t="s">
        <v>2107</v>
      </c>
      <c r="V3148">
        <v>0</v>
      </c>
      <c r="W3148">
        <v>0</v>
      </c>
      <c r="AF3148">
        <v>0</v>
      </c>
      <c r="AG3148">
        <v>0</v>
      </c>
      <c r="AH3148">
        <v>0</v>
      </c>
      <c r="AI3148">
        <v>12</v>
      </c>
      <c r="AJ3148">
        <v>12</v>
      </c>
      <c r="AM3148">
        <v>0</v>
      </c>
      <c r="AN3148">
        <v>393.12</v>
      </c>
      <c r="AP3148">
        <v>6</v>
      </c>
    </row>
    <row r="3149" spans="1:42" x14ac:dyDescent="0.25">
      <c r="A3149" t="s">
        <v>46</v>
      </c>
      <c r="B3149">
        <v>4</v>
      </c>
      <c r="C3149" t="s">
        <v>2099</v>
      </c>
      <c r="D3149" s="39">
        <v>46058</v>
      </c>
      <c r="E3149" t="s">
        <v>486</v>
      </c>
      <c r="F3149" t="s">
        <v>79</v>
      </c>
      <c r="G3149">
        <v>12</v>
      </c>
      <c r="H3149">
        <v>5</v>
      </c>
      <c r="I3149" t="s">
        <v>79</v>
      </c>
      <c r="J3149">
        <v>1500</v>
      </c>
      <c r="K3149" t="s">
        <v>79</v>
      </c>
      <c r="L3149">
        <v>7</v>
      </c>
      <c r="M3149">
        <v>418.32999999999993</v>
      </c>
      <c r="N3149">
        <v>9.4500000000000011</v>
      </c>
      <c r="Q3149">
        <v>408.87999999999994</v>
      </c>
      <c r="R3149" t="s">
        <v>2107</v>
      </c>
      <c r="U3149">
        <v>120</v>
      </c>
      <c r="V3149">
        <v>120</v>
      </c>
      <c r="W3149">
        <v>2</v>
      </c>
      <c r="AF3149">
        <v>0</v>
      </c>
      <c r="AG3149">
        <v>0</v>
      </c>
      <c r="AH3149">
        <v>2</v>
      </c>
      <c r="AI3149">
        <v>10</v>
      </c>
      <c r="AJ3149">
        <v>12</v>
      </c>
      <c r="AM3149">
        <v>0</v>
      </c>
      <c r="AN3149">
        <v>423.32999999999993</v>
      </c>
      <c r="AP3149">
        <v>6</v>
      </c>
    </row>
    <row r="3150" spans="1:42" x14ac:dyDescent="0.25">
      <c r="A3150" t="s">
        <v>45</v>
      </c>
      <c r="B3150">
        <v>5</v>
      </c>
      <c r="C3150" t="s">
        <v>2088</v>
      </c>
      <c r="D3150" s="39">
        <v>46058</v>
      </c>
      <c r="E3150" t="s">
        <v>486</v>
      </c>
      <c r="F3150" t="s">
        <v>79</v>
      </c>
      <c r="G3150">
        <v>16</v>
      </c>
      <c r="H3150">
        <v>5</v>
      </c>
      <c r="I3150" t="s">
        <v>79</v>
      </c>
      <c r="J3150">
        <v>1000</v>
      </c>
      <c r="K3150" t="s">
        <v>79</v>
      </c>
      <c r="L3150">
        <v>1</v>
      </c>
      <c r="M3150">
        <v>55.6</v>
      </c>
      <c r="N3150">
        <v>1.6</v>
      </c>
      <c r="Q3150">
        <v>54</v>
      </c>
      <c r="R3150" t="s">
        <v>2569</v>
      </c>
      <c r="V3150">
        <v>0</v>
      </c>
      <c r="W3150">
        <v>0</v>
      </c>
      <c r="AF3150">
        <v>0</v>
      </c>
      <c r="AG3150">
        <v>0</v>
      </c>
      <c r="AH3150">
        <v>0</v>
      </c>
      <c r="AI3150">
        <v>12</v>
      </c>
      <c r="AJ3150">
        <v>12</v>
      </c>
      <c r="AM3150">
        <v>0</v>
      </c>
      <c r="AN3150">
        <v>60.6</v>
      </c>
      <c r="AP3150">
        <v>6</v>
      </c>
    </row>
    <row r="3151" spans="1:42" x14ac:dyDescent="0.25">
      <c r="A3151" t="s">
        <v>45</v>
      </c>
      <c r="B3151">
        <v>5</v>
      </c>
      <c r="C3151" t="s">
        <v>2102</v>
      </c>
      <c r="D3151" s="39">
        <v>46058</v>
      </c>
      <c r="E3151" t="s">
        <v>1744</v>
      </c>
      <c r="F3151" t="s">
        <v>79</v>
      </c>
      <c r="G3151">
        <v>16</v>
      </c>
      <c r="H3151">
        <v>5</v>
      </c>
      <c r="I3151" t="s">
        <v>79</v>
      </c>
      <c r="J3151">
        <v>100</v>
      </c>
      <c r="K3151" t="s">
        <v>79</v>
      </c>
      <c r="L3151">
        <v>12</v>
      </c>
      <c r="M3151">
        <v>661.29999999999984</v>
      </c>
      <c r="N3151">
        <v>19.200000000000003</v>
      </c>
      <c r="O3151">
        <v>13.5</v>
      </c>
      <c r="Q3151">
        <v>642.0999999999998</v>
      </c>
      <c r="R3151" t="s">
        <v>2103</v>
      </c>
      <c r="V3151">
        <v>0</v>
      </c>
      <c r="W3151">
        <v>0</v>
      </c>
      <c r="AF3151">
        <v>0</v>
      </c>
      <c r="AG3151">
        <v>0</v>
      </c>
      <c r="AH3151">
        <v>0</v>
      </c>
      <c r="AI3151">
        <v>12</v>
      </c>
      <c r="AJ3151">
        <v>12</v>
      </c>
      <c r="AM3151">
        <v>0</v>
      </c>
      <c r="AN3151">
        <v>666.29999999999984</v>
      </c>
      <c r="AP3151">
        <v>6</v>
      </c>
    </row>
    <row r="3152" spans="1:42" x14ac:dyDescent="0.25">
      <c r="A3152" t="s">
        <v>46</v>
      </c>
      <c r="B3152">
        <v>5</v>
      </c>
      <c r="C3152" t="s">
        <v>2104</v>
      </c>
      <c r="D3152" s="39">
        <v>46058</v>
      </c>
      <c r="E3152" t="s">
        <v>276</v>
      </c>
      <c r="F3152" t="s">
        <v>79</v>
      </c>
      <c r="G3152">
        <v>16</v>
      </c>
      <c r="H3152" t="s">
        <v>113</v>
      </c>
      <c r="I3152" t="s">
        <v>79</v>
      </c>
      <c r="J3152" t="s">
        <v>81</v>
      </c>
      <c r="K3152" t="s">
        <v>79</v>
      </c>
      <c r="L3152">
        <v>10</v>
      </c>
      <c r="M3152">
        <v>596.93999999999994</v>
      </c>
      <c r="N3152">
        <v>16</v>
      </c>
      <c r="O3152">
        <v>13.5</v>
      </c>
      <c r="Q3152">
        <v>580.93999999999994</v>
      </c>
      <c r="R3152" t="s">
        <v>2105</v>
      </c>
      <c r="U3152">
        <v>120</v>
      </c>
      <c r="V3152">
        <v>120</v>
      </c>
      <c r="W3152">
        <v>2</v>
      </c>
      <c r="AF3152">
        <v>0</v>
      </c>
      <c r="AG3152">
        <v>0</v>
      </c>
      <c r="AH3152">
        <v>2</v>
      </c>
      <c r="AI3152">
        <v>10</v>
      </c>
      <c r="AJ3152">
        <v>12</v>
      </c>
      <c r="AM3152">
        <v>0</v>
      </c>
      <c r="AN3152">
        <v>601.93999999999994</v>
      </c>
      <c r="AP3152">
        <v>6</v>
      </c>
    </row>
    <row r="3153" spans="1:42" x14ac:dyDescent="0.25">
      <c r="D3153" s="39"/>
      <c r="E3153" t="s">
        <v>2108</v>
      </c>
      <c r="Q3153">
        <v>0</v>
      </c>
      <c r="R3153" t="s">
        <v>468</v>
      </c>
    </row>
    <row r="3154" spans="1:42" x14ac:dyDescent="0.25">
      <c r="A3154" t="s">
        <v>45</v>
      </c>
      <c r="B3154">
        <v>1</v>
      </c>
      <c r="C3154" t="s">
        <v>2078</v>
      </c>
      <c r="D3154" s="39">
        <v>46062</v>
      </c>
      <c r="E3154" t="s">
        <v>486</v>
      </c>
      <c r="F3154" t="s">
        <v>79</v>
      </c>
      <c r="G3154">
        <v>2.5</v>
      </c>
      <c r="H3154" t="s">
        <v>92</v>
      </c>
      <c r="I3154" t="s">
        <v>79</v>
      </c>
      <c r="J3154">
        <v>1500</v>
      </c>
      <c r="K3154" t="s">
        <v>79</v>
      </c>
      <c r="L3154">
        <v>6</v>
      </c>
      <c r="M3154">
        <v>84.25</v>
      </c>
      <c r="N3154">
        <v>1.75</v>
      </c>
      <c r="Q3154">
        <v>82.5</v>
      </c>
      <c r="R3154" t="s">
        <v>2106</v>
      </c>
      <c r="T3154">
        <v>180</v>
      </c>
      <c r="V3154">
        <v>180</v>
      </c>
      <c r="W3154">
        <v>3</v>
      </c>
      <c r="X3154">
        <v>10</v>
      </c>
      <c r="AF3154">
        <v>10</v>
      </c>
      <c r="AG3154">
        <v>0.16666666666666666</v>
      </c>
      <c r="AH3154">
        <v>3.1666666666666665</v>
      </c>
      <c r="AI3154">
        <v>8.8333333333333339</v>
      </c>
      <c r="AJ3154">
        <v>12</v>
      </c>
      <c r="AM3154">
        <v>0</v>
      </c>
      <c r="AN3154">
        <v>89.25</v>
      </c>
      <c r="AP3154">
        <v>7</v>
      </c>
    </row>
    <row r="3155" spans="1:42" x14ac:dyDescent="0.25">
      <c r="A3155" t="s">
        <v>46</v>
      </c>
      <c r="B3155">
        <v>1</v>
      </c>
      <c r="C3155" t="s">
        <v>2078</v>
      </c>
      <c r="D3155" s="39">
        <v>46062</v>
      </c>
      <c r="E3155" t="s">
        <v>486</v>
      </c>
      <c r="F3155" t="s">
        <v>79</v>
      </c>
      <c r="G3155">
        <v>2.5</v>
      </c>
      <c r="H3155" t="s">
        <v>92</v>
      </c>
      <c r="I3155" t="s">
        <v>79</v>
      </c>
      <c r="J3155">
        <v>1500</v>
      </c>
      <c r="K3155" t="s">
        <v>79</v>
      </c>
      <c r="L3155">
        <v>2</v>
      </c>
      <c r="M3155">
        <v>28.259999999999998</v>
      </c>
      <c r="N3155">
        <v>0.5</v>
      </c>
      <c r="Q3155">
        <v>27.759999999999998</v>
      </c>
      <c r="R3155" t="s">
        <v>2106</v>
      </c>
      <c r="S3155">
        <v>15</v>
      </c>
      <c r="V3155">
        <v>15</v>
      </c>
      <c r="W3155">
        <v>0.25</v>
      </c>
      <c r="AF3155">
        <v>0</v>
      </c>
      <c r="AG3155">
        <v>0</v>
      </c>
      <c r="AH3155">
        <v>0.25</v>
      </c>
      <c r="AI3155">
        <v>11.75</v>
      </c>
      <c r="AJ3155">
        <v>12</v>
      </c>
      <c r="AM3155">
        <v>0</v>
      </c>
      <c r="AN3155">
        <v>33.26</v>
      </c>
      <c r="AP3155">
        <v>7</v>
      </c>
    </row>
    <row r="3156" spans="1:42" x14ac:dyDescent="0.25">
      <c r="A3156" t="s">
        <v>46</v>
      </c>
      <c r="B3156">
        <v>1</v>
      </c>
      <c r="C3156" t="s">
        <v>2109</v>
      </c>
      <c r="D3156" s="39">
        <v>46062</v>
      </c>
      <c r="E3156" t="s">
        <v>486</v>
      </c>
      <c r="F3156" t="s">
        <v>79</v>
      </c>
      <c r="G3156">
        <v>3</v>
      </c>
      <c r="H3156" t="s">
        <v>92</v>
      </c>
      <c r="I3156" t="s">
        <v>79</v>
      </c>
      <c r="J3156">
        <v>1000</v>
      </c>
      <c r="K3156" t="s">
        <v>79</v>
      </c>
      <c r="L3156">
        <v>6</v>
      </c>
      <c r="M3156">
        <v>114.94999999999999</v>
      </c>
      <c r="N3156">
        <v>1.7999999999999998</v>
      </c>
      <c r="Q3156">
        <v>113.14999999999999</v>
      </c>
      <c r="R3156" t="s">
        <v>2114</v>
      </c>
      <c r="V3156">
        <v>0</v>
      </c>
      <c r="W3156">
        <v>0</v>
      </c>
      <c r="AF3156">
        <v>0</v>
      </c>
      <c r="AG3156">
        <v>0</v>
      </c>
      <c r="AH3156">
        <v>0</v>
      </c>
      <c r="AI3156">
        <v>12</v>
      </c>
      <c r="AJ3156">
        <v>12</v>
      </c>
      <c r="AM3156">
        <v>0</v>
      </c>
      <c r="AN3156">
        <v>119.95</v>
      </c>
      <c r="AP3156">
        <v>7</v>
      </c>
    </row>
    <row r="3157" spans="1:42" x14ac:dyDescent="0.25">
      <c r="A3157" t="s">
        <v>45</v>
      </c>
      <c r="B3157">
        <v>2</v>
      </c>
      <c r="C3157" t="s">
        <v>2110</v>
      </c>
      <c r="D3157" s="39">
        <v>46062</v>
      </c>
      <c r="E3157" t="s">
        <v>486</v>
      </c>
      <c r="F3157" t="s">
        <v>79</v>
      </c>
      <c r="G3157">
        <v>6</v>
      </c>
      <c r="H3157">
        <v>5</v>
      </c>
      <c r="I3157" t="s">
        <v>79</v>
      </c>
      <c r="J3157">
        <v>1500</v>
      </c>
      <c r="K3157" t="s">
        <v>79</v>
      </c>
      <c r="L3157">
        <v>9</v>
      </c>
      <c r="M3157">
        <v>139.15</v>
      </c>
      <c r="N3157">
        <v>5.3999999999999995</v>
      </c>
      <c r="Q3157">
        <v>133.75</v>
      </c>
      <c r="R3157" t="s">
        <v>2115</v>
      </c>
      <c r="T3157">
        <v>200</v>
      </c>
      <c r="V3157">
        <v>200</v>
      </c>
      <c r="W3157">
        <v>3.3333333333333335</v>
      </c>
      <c r="X3157">
        <v>10</v>
      </c>
      <c r="AF3157">
        <v>10</v>
      </c>
      <c r="AG3157">
        <v>0.16666666666666666</v>
      </c>
      <c r="AH3157">
        <v>3.5</v>
      </c>
      <c r="AI3157">
        <v>8.5</v>
      </c>
      <c r="AJ3157">
        <v>12</v>
      </c>
      <c r="AM3157">
        <v>0</v>
      </c>
      <c r="AN3157">
        <v>144.15</v>
      </c>
      <c r="AP3157">
        <v>7</v>
      </c>
    </row>
    <row r="3158" spans="1:42" x14ac:dyDescent="0.25">
      <c r="A3158" t="s">
        <v>46</v>
      </c>
      <c r="B3158">
        <v>2</v>
      </c>
      <c r="C3158" t="s">
        <v>2110</v>
      </c>
      <c r="D3158" s="39">
        <v>46062</v>
      </c>
      <c r="E3158" t="s">
        <v>486</v>
      </c>
      <c r="F3158" t="s">
        <v>79</v>
      </c>
      <c r="G3158">
        <v>6</v>
      </c>
      <c r="H3158">
        <v>5</v>
      </c>
      <c r="I3158" t="s">
        <v>79</v>
      </c>
      <c r="J3158">
        <v>1500</v>
      </c>
      <c r="K3158" t="s">
        <v>79</v>
      </c>
      <c r="L3158">
        <v>10</v>
      </c>
      <c r="M3158">
        <v>212.99</v>
      </c>
      <c r="N3158">
        <v>6</v>
      </c>
      <c r="Q3158">
        <v>206.99</v>
      </c>
      <c r="R3158" t="s">
        <v>2115</v>
      </c>
      <c r="V3158">
        <v>0</v>
      </c>
      <c r="W3158">
        <v>0</v>
      </c>
      <c r="AF3158">
        <v>0</v>
      </c>
      <c r="AG3158">
        <v>0</v>
      </c>
      <c r="AH3158">
        <v>0</v>
      </c>
      <c r="AI3158">
        <v>12</v>
      </c>
      <c r="AJ3158">
        <v>12</v>
      </c>
      <c r="AM3158">
        <v>0</v>
      </c>
      <c r="AN3158">
        <v>217.99</v>
      </c>
      <c r="AP3158">
        <v>7</v>
      </c>
    </row>
    <row r="3159" spans="1:42" x14ac:dyDescent="0.25">
      <c r="A3159" t="s">
        <v>45</v>
      </c>
      <c r="B3159">
        <v>4</v>
      </c>
      <c r="C3159" t="s">
        <v>2088</v>
      </c>
      <c r="D3159" s="39">
        <v>46062</v>
      </c>
      <c r="E3159" t="s">
        <v>486</v>
      </c>
      <c r="F3159" t="s">
        <v>79</v>
      </c>
      <c r="G3159">
        <v>16</v>
      </c>
      <c r="H3159">
        <v>5</v>
      </c>
      <c r="I3159" t="s">
        <v>79</v>
      </c>
      <c r="J3159">
        <v>1000</v>
      </c>
      <c r="K3159" t="s">
        <v>79</v>
      </c>
      <c r="L3159">
        <v>8</v>
      </c>
      <c r="M3159">
        <v>464.39</v>
      </c>
      <c r="N3159">
        <v>15.2</v>
      </c>
      <c r="O3159">
        <v>6</v>
      </c>
      <c r="Q3159">
        <v>449.19</v>
      </c>
      <c r="R3159" t="s">
        <v>2569</v>
      </c>
      <c r="T3159">
        <v>195</v>
      </c>
      <c r="V3159">
        <v>195</v>
      </c>
      <c r="W3159">
        <v>3.25</v>
      </c>
      <c r="X3159">
        <v>10</v>
      </c>
      <c r="AF3159">
        <v>10</v>
      </c>
      <c r="AG3159">
        <v>0.16666666666666666</v>
      </c>
      <c r="AH3159">
        <v>3.4166666666666665</v>
      </c>
      <c r="AI3159">
        <v>8.5833333333333339</v>
      </c>
      <c r="AJ3159">
        <v>12</v>
      </c>
      <c r="AM3159">
        <v>0</v>
      </c>
      <c r="AN3159">
        <v>469.39</v>
      </c>
      <c r="AP3159">
        <v>7</v>
      </c>
    </row>
    <row r="3160" spans="1:42" x14ac:dyDescent="0.25">
      <c r="A3160" t="s">
        <v>46</v>
      </c>
      <c r="B3160">
        <v>4</v>
      </c>
      <c r="C3160" t="s">
        <v>2088</v>
      </c>
      <c r="D3160" s="39">
        <v>46062</v>
      </c>
      <c r="E3160" t="s">
        <v>486</v>
      </c>
      <c r="F3160" t="s">
        <v>79</v>
      </c>
      <c r="G3160">
        <v>16</v>
      </c>
      <c r="H3160">
        <v>5</v>
      </c>
      <c r="I3160" t="s">
        <v>79</v>
      </c>
      <c r="J3160">
        <v>1000</v>
      </c>
      <c r="K3160" t="s">
        <v>79</v>
      </c>
      <c r="L3160">
        <v>5</v>
      </c>
      <c r="M3160">
        <v>318.44000000000005</v>
      </c>
      <c r="N3160">
        <v>9.5</v>
      </c>
      <c r="O3160">
        <v>6</v>
      </c>
      <c r="Q3160">
        <v>308.94000000000005</v>
      </c>
      <c r="R3160" t="s">
        <v>2569</v>
      </c>
      <c r="S3160">
        <v>25</v>
      </c>
      <c r="V3160">
        <v>25</v>
      </c>
      <c r="W3160">
        <v>0.41666666666666674</v>
      </c>
      <c r="AF3160">
        <v>0</v>
      </c>
      <c r="AG3160">
        <v>0</v>
      </c>
      <c r="AH3160">
        <v>0.41666666666666674</v>
      </c>
      <c r="AI3160">
        <v>11.583333333333334</v>
      </c>
      <c r="AJ3160">
        <v>12</v>
      </c>
      <c r="AM3160">
        <v>0</v>
      </c>
      <c r="AN3160">
        <v>323.44000000000005</v>
      </c>
      <c r="AP3160">
        <v>7</v>
      </c>
    </row>
    <row r="3161" spans="1:42" x14ac:dyDescent="0.25">
      <c r="A3161" t="s">
        <v>46</v>
      </c>
      <c r="B3161">
        <v>4</v>
      </c>
      <c r="C3161" t="s">
        <v>2111</v>
      </c>
      <c r="D3161" s="39">
        <v>46062</v>
      </c>
      <c r="E3161" t="s">
        <v>276</v>
      </c>
      <c r="F3161" t="s">
        <v>79</v>
      </c>
      <c r="G3161">
        <v>20</v>
      </c>
      <c r="H3161" t="s">
        <v>113</v>
      </c>
      <c r="I3161" t="s">
        <v>79</v>
      </c>
      <c r="J3161" t="s">
        <v>81</v>
      </c>
      <c r="K3161" t="s">
        <v>79</v>
      </c>
      <c r="L3161">
        <v>6</v>
      </c>
      <c r="M3161">
        <v>388.02000000000004</v>
      </c>
      <c r="N3161">
        <v>12</v>
      </c>
      <c r="Q3161">
        <v>376.02000000000004</v>
      </c>
      <c r="R3161" t="s">
        <v>2116</v>
      </c>
      <c r="V3161">
        <v>0</v>
      </c>
      <c r="W3161">
        <v>0</v>
      </c>
      <c r="AF3161">
        <v>0</v>
      </c>
      <c r="AG3161">
        <v>0</v>
      </c>
      <c r="AH3161">
        <v>0</v>
      </c>
      <c r="AI3161">
        <v>12</v>
      </c>
      <c r="AJ3161">
        <v>12</v>
      </c>
      <c r="AM3161">
        <v>0</v>
      </c>
      <c r="AN3161">
        <v>393.02</v>
      </c>
      <c r="AP3161">
        <v>7</v>
      </c>
    </row>
    <row r="3162" spans="1:42" x14ac:dyDescent="0.25">
      <c r="A3162" t="s">
        <v>45</v>
      </c>
      <c r="B3162">
        <v>5</v>
      </c>
      <c r="C3162" t="s">
        <v>2099</v>
      </c>
      <c r="D3162" s="39">
        <v>46062</v>
      </c>
      <c r="E3162" t="s">
        <v>486</v>
      </c>
      <c r="F3162" t="s">
        <v>79</v>
      </c>
      <c r="G3162">
        <v>12</v>
      </c>
      <c r="H3162">
        <v>5</v>
      </c>
      <c r="I3162" t="s">
        <v>79</v>
      </c>
      <c r="J3162">
        <v>1500</v>
      </c>
      <c r="K3162" t="s">
        <v>79</v>
      </c>
      <c r="L3162">
        <v>6</v>
      </c>
      <c r="M3162">
        <v>280.41999999999996</v>
      </c>
      <c r="N3162">
        <v>8.1000000000000014</v>
      </c>
      <c r="O3162">
        <v>43</v>
      </c>
      <c r="Q3162">
        <v>272.31999999999994</v>
      </c>
      <c r="R3162" t="s">
        <v>2107</v>
      </c>
      <c r="T3162">
        <v>150</v>
      </c>
      <c r="V3162">
        <v>150</v>
      </c>
      <c r="W3162">
        <v>2.5</v>
      </c>
      <c r="X3162">
        <v>10</v>
      </c>
      <c r="AD3162">
        <v>60</v>
      </c>
      <c r="AF3162">
        <v>70</v>
      </c>
      <c r="AG3162">
        <v>1.1666666666666667</v>
      </c>
      <c r="AH3162">
        <v>3.666666666666667</v>
      </c>
      <c r="AI3162">
        <v>8.3333333333333321</v>
      </c>
      <c r="AJ3162">
        <v>12</v>
      </c>
      <c r="AM3162">
        <v>0</v>
      </c>
      <c r="AN3162">
        <v>285.41999999999996</v>
      </c>
      <c r="AP3162">
        <v>7</v>
      </c>
    </row>
    <row r="3163" spans="1:42" x14ac:dyDescent="0.25">
      <c r="A3163" t="s">
        <v>46</v>
      </c>
      <c r="B3163">
        <v>5</v>
      </c>
      <c r="C3163" t="s">
        <v>2099</v>
      </c>
      <c r="D3163" s="39">
        <v>46062</v>
      </c>
      <c r="E3163" t="s">
        <v>486</v>
      </c>
      <c r="F3163" t="s">
        <v>79</v>
      </c>
      <c r="G3163">
        <v>12</v>
      </c>
      <c r="H3163">
        <v>5</v>
      </c>
      <c r="I3163" t="s">
        <v>79</v>
      </c>
      <c r="J3163">
        <v>1500</v>
      </c>
      <c r="K3163" t="s">
        <v>79</v>
      </c>
      <c r="L3163">
        <v>6</v>
      </c>
      <c r="M3163">
        <v>399.30999999999995</v>
      </c>
      <c r="N3163">
        <v>7.1999999999999993</v>
      </c>
      <c r="Q3163">
        <v>392.10999999999996</v>
      </c>
      <c r="R3163" t="s">
        <v>2107</v>
      </c>
      <c r="S3163">
        <v>20</v>
      </c>
      <c r="V3163">
        <v>20</v>
      </c>
      <c r="W3163">
        <v>0.33333333333333331</v>
      </c>
      <c r="AF3163">
        <v>0</v>
      </c>
      <c r="AG3163">
        <v>0</v>
      </c>
      <c r="AH3163">
        <v>0.33333333333333331</v>
      </c>
      <c r="AI3163">
        <v>11.666666666666666</v>
      </c>
      <c r="AJ3163">
        <v>12</v>
      </c>
      <c r="AM3163">
        <v>0</v>
      </c>
      <c r="AN3163">
        <v>404.30999999999995</v>
      </c>
      <c r="AP3163">
        <v>7</v>
      </c>
    </row>
    <row r="3164" spans="1:42" x14ac:dyDescent="0.25">
      <c r="A3164" t="s">
        <v>46</v>
      </c>
      <c r="B3164">
        <v>5</v>
      </c>
      <c r="C3164" t="s">
        <v>2112</v>
      </c>
      <c r="D3164" s="39">
        <v>46062</v>
      </c>
      <c r="E3164" t="s">
        <v>1466</v>
      </c>
      <c r="F3164" t="s">
        <v>79</v>
      </c>
      <c r="G3164">
        <v>13</v>
      </c>
      <c r="H3164" t="s">
        <v>578</v>
      </c>
      <c r="I3164" t="s">
        <v>79</v>
      </c>
      <c r="J3164">
        <v>560</v>
      </c>
      <c r="K3164" t="s">
        <v>79</v>
      </c>
      <c r="L3164">
        <v>4</v>
      </c>
      <c r="M3164">
        <v>194.87</v>
      </c>
      <c r="N3164">
        <v>5.2</v>
      </c>
      <c r="O3164">
        <v>12</v>
      </c>
      <c r="Q3164">
        <v>189.67000000000002</v>
      </c>
      <c r="R3164" t="s">
        <v>2117</v>
      </c>
      <c r="V3164">
        <v>0</v>
      </c>
      <c r="W3164">
        <v>0</v>
      </c>
      <c r="AF3164">
        <v>0</v>
      </c>
      <c r="AG3164">
        <v>0</v>
      </c>
      <c r="AH3164">
        <v>0</v>
      </c>
      <c r="AI3164">
        <v>12</v>
      </c>
      <c r="AJ3164">
        <v>12</v>
      </c>
      <c r="AM3164">
        <v>0</v>
      </c>
      <c r="AN3164">
        <v>199.87</v>
      </c>
      <c r="AP3164">
        <v>7</v>
      </c>
    </row>
    <row r="3165" spans="1:42" x14ac:dyDescent="0.25">
      <c r="A3165" t="s">
        <v>45</v>
      </c>
      <c r="B3165">
        <v>1</v>
      </c>
      <c r="C3165" t="s">
        <v>2109</v>
      </c>
      <c r="D3165" s="39">
        <v>46063</v>
      </c>
      <c r="E3165" t="s">
        <v>486</v>
      </c>
      <c r="F3165" t="s">
        <v>79</v>
      </c>
      <c r="G3165">
        <v>3</v>
      </c>
      <c r="H3165" t="s">
        <v>92</v>
      </c>
      <c r="I3165" t="s">
        <v>79</v>
      </c>
      <c r="J3165">
        <v>1000</v>
      </c>
      <c r="K3165" t="s">
        <v>79</v>
      </c>
      <c r="L3165">
        <v>8</v>
      </c>
      <c r="M3165">
        <v>135.65</v>
      </c>
      <c r="N3165">
        <v>2.4</v>
      </c>
      <c r="Q3165">
        <v>133.25</v>
      </c>
      <c r="R3165" t="s">
        <v>2114</v>
      </c>
      <c r="V3165">
        <v>0</v>
      </c>
      <c r="W3165">
        <v>0</v>
      </c>
      <c r="X3165">
        <v>10</v>
      </c>
      <c r="AF3165">
        <v>10</v>
      </c>
      <c r="AG3165">
        <v>0.16666666666666666</v>
      </c>
      <c r="AH3165">
        <v>0.16666666666666666</v>
      </c>
      <c r="AI3165">
        <v>11.833333333333334</v>
      </c>
      <c r="AJ3165">
        <v>12</v>
      </c>
      <c r="AM3165">
        <v>0</v>
      </c>
      <c r="AN3165">
        <v>140.65</v>
      </c>
      <c r="AP3165">
        <v>7</v>
      </c>
    </row>
    <row r="3166" spans="1:42" x14ac:dyDescent="0.25">
      <c r="A3166" t="s">
        <v>46</v>
      </c>
      <c r="B3166">
        <v>1</v>
      </c>
      <c r="C3166" t="s">
        <v>2109</v>
      </c>
      <c r="D3166" s="39">
        <v>46063</v>
      </c>
      <c r="E3166" t="s">
        <v>486</v>
      </c>
      <c r="F3166" t="s">
        <v>79</v>
      </c>
      <c r="G3166">
        <v>3</v>
      </c>
      <c r="H3166" t="s">
        <v>92</v>
      </c>
      <c r="I3166" t="s">
        <v>79</v>
      </c>
      <c r="J3166">
        <v>1000</v>
      </c>
      <c r="K3166" t="s">
        <v>79</v>
      </c>
      <c r="L3166">
        <v>7</v>
      </c>
      <c r="M3166">
        <v>133.30000000000001</v>
      </c>
      <c r="N3166">
        <v>2.1</v>
      </c>
      <c r="Q3166">
        <v>131.20000000000002</v>
      </c>
      <c r="R3166" t="s">
        <v>2114</v>
      </c>
      <c r="V3166">
        <v>0</v>
      </c>
      <c r="W3166">
        <v>0</v>
      </c>
      <c r="AF3166">
        <v>0</v>
      </c>
      <c r="AG3166">
        <v>0</v>
      </c>
      <c r="AH3166">
        <v>0</v>
      </c>
      <c r="AI3166">
        <v>12</v>
      </c>
      <c r="AJ3166">
        <v>12</v>
      </c>
      <c r="AM3166">
        <v>0</v>
      </c>
      <c r="AN3166">
        <v>138.30000000000001</v>
      </c>
      <c r="AP3166">
        <v>7</v>
      </c>
    </row>
    <row r="3167" spans="1:42" x14ac:dyDescent="0.25">
      <c r="A3167" t="s">
        <v>45</v>
      </c>
      <c r="B3167">
        <v>2</v>
      </c>
      <c r="C3167" t="s">
        <v>2110</v>
      </c>
      <c r="D3167" s="39">
        <v>46063</v>
      </c>
      <c r="E3167" t="s">
        <v>486</v>
      </c>
      <c r="F3167" t="s">
        <v>79</v>
      </c>
      <c r="G3167">
        <v>6</v>
      </c>
      <c r="H3167">
        <v>5</v>
      </c>
      <c r="I3167" t="s">
        <v>79</v>
      </c>
      <c r="J3167">
        <v>1500</v>
      </c>
      <c r="K3167" t="s">
        <v>79</v>
      </c>
      <c r="L3167">
        <v>9</v>
      </c>
      <c r="M3167">
        <v>218.77</v>
      </c>
      <c r="N3167">
        <v>5.3999999999999995</v>
      </c>
      <c r="Q3167">
        <v>213.37</v>
      </c>
      <c r="R3167" t="s">
        <v>2115</v>
      </c>
      <c r="V3167">
        <v>0</v>
      </c>
      <c r="W3167">
        <v>0</v>
      </c>
      <c r="X3167">
        <v>10</v>
      </c>
      <c r="AD3167">
        <v>60</v>
      </c>
      <c r="AF3167">
        <v>70</v>
      </c>
      <c r="AG3167">
        <v>1.1666666666666667</v>
      </c>
      <c r="AH3167">
        <v>1.1666666666666667</v>
      </c>
      <c r="AI3167">
        <v>10.833333333333334</v>
      </c>
      <c r="AJ3167">
        <v>12</v>
      </c>
      <c r="AM3167">
        <v>0</v>
      </c>
      <c r="AN3167">
        <v>223.77</v>
      </c>
      <c r="AP3167">
        <v>7</v>
      </c>
    </row>
    <row r="3168" spans="1:42" x14ac:dyDescent="0.25">
      <c r="A3168" t="s">
        <v>46</v>
      </c>
      <c r="B3168">
        <v>2</v>
      </c>
      <c r="C3168" t="s">
        <v>2110</v>
      </c>
      <c r="D3168" s="39">
        <v>46063</v>
      </c>
      <c r="E3168" t="s">
        <v>486</v>
      </c>
      <c r="F3168" t="s">
        <v>79</v>
      </c>
      <c r="G3168">
        <v>6</v>
      </c>
      <c r="H3168">
        <v>5</v>
      </c>
      <c r="I3168" t="s">
        <v>79</v>
      </c>
      <c r="J3168">
        <v>1500</v>
      </c>
      <c r="K3168" t="s">
        <v>79</v>
      </c>
      <c r="L3168">
        <v>9</v>
      </c>
      <c r="M3168">
        <v>228.89999999999998</v>
      </c>
      <c r="N3168">
        <v>5.3999999999999995</v>
      </c>
      <c r="Q3168">
        <v>223.49999999999997</v>
      </c>
      <c r="R3168" t="s">
        <v>2115</v>
      </c>
      <c r="V3168">
        <v>0</v>
      </c>
      <c r="W3168">
        <v>0</v>
      </c>
      <c r="AF3168">
        <v>0</v>
      </c>
      <c r="AG3168">
        <v>0</v>
      </c>
      <c r="AH3168">
        <v>0</v>
      </c>
      <c r="AI3168">
        <v>12</v>
      </c>
      <c r="AJ3168">
        <v>12</v>
      </c>
      <c r="AM3168">
        <v>0</v>
      </c>
      <c r="AN3168">
        <v>233.9</v>
      </c>
      <c r="AP3168">
        <v>7</v>
      </c>
    </row>
    <row r="3169" spans="1:42" x14ac:dyDescent="0.25">
      <c r="A3169" t="s">
        <v>45</v>
      </c>
      <c r="B3169">
        <v>4</v>
      </c>
      <c r="C3169" t="s">
        <v>2111</v>
      </c>
      <c r="D3169" s="39">
        <v>46063</v>
      </c>
      <c r="E3169" t="s">
        <v>276</v>
      </c>
      <c r="F3169" t="s">
        <v>79</v>
      </c>
      <c r="G3169">
        <v>20</v>
      </c>
      <c r="H3169" t="s">
        <v>113</v>
      </c>
      <c r="I3169" t="s">
        <v>79</v>
      </c>
      <c r="J3169" t="s">
        <v>81</v>
      </c>
      <c r="K3169" t="s">
        <v>79</v>
      </c>
      <c r="L3169">
        <v>10</v>
      </c>
      <c r="M3169">
        <v>627.59</v>
      </c>
      <c r="N3169">
        <v>25</v>
      </c>
      <c r="Q3169">
        <v>602.59</v>
      </c>
      <c r="R3169" t="s">
        <v>2116</v>
      </c>
      <c r="V3169">
        <v>0</v>
      </c>
      <c r="W3169">
        <v>0</v>
      </c>
      <c r="X3169">
        <v>20</v>
      </c>
      <c r="AF3169">
        <v>20</v>
      </c>
      <c r="AG3169">
        <v>0.33333333333333331</v>
      </c>
      <c r="AH3169">
        <v>0.33333333333333331</v>
      </c>
      <c r="AI3169">
        <v>11.666666666666666</v>
      </c>
      <c r="AJ3169">
        <v>12</v>
      </c>
      <c r="AM3169">
        <v>0</v>
      </c>
      <c r="AN3169">
        <v>632.59</v>
      </c>
      <c r="AP3169">
        <v>7</v>
      </c>
    </row>
    <row r="3170" spans="1:42" x14ac:dyDescent="0.25">
      <c r="A3170" t="s">
        <v>45</v>
      </c>
      <c r="B3170">
        <v>4</v>
      </c>
      <c r="C3170" t="s">
        <v>2118</v>
      </c>
      <c r="D3170" s="39">
        <v>46063</v>
      </c>
      <c r="E3170" t="s">
        <v>243</v>
      </c>
      <c r="F3170" t="s">
        <v>79</v>
      </c>
      <c r="G3170">
        <v>20</v>
      </c>
      <c r="H3170" t="s">
        <v>113</v>
      </c>
      <c r="I3170" t="s">
        <v>79</v>
      </c>
      <c r="J3170">
        <v>300</v>
      </c>
      <c r="K3170" t="s">
        <v>79</v>
      </c>
      <c r="L3170">
        <v>2</v>
      </c>
      <c r="M3170">
        <v>117.21000000000001</v>
      </c>
      <c r="N3170">
        <v>4</v>
      </c>
      <c r="O3170">
        <v>34</v>
      </c>
      <c r="Q3170">
        <v>113.21000000000001</v>
      </c>
      <c r="R3170" t="s">
        <v>2119</v>
      </c>
      <c r="V3170">
        <v>0</v>
      </c>
      <c r="W3170">
        <v>0</v>
      </c>
      <c r="AF3170">
        <v>0</v>
      </c>
      <c r="AG3170">
        <v>0</v>
      </c>
      <c r="AH3170">
        <v>0</v>
      </c>
      <c r="AI3170">
        <v>12</v>
      </c>
      <c r="AJ3170">
        <v>12</v>
      </c>
      <c r="AM3170">
        <v>0</v>
      </c>
      <c r="AN3170">
        <v>122.21</v>
      </c>
      <c r="AP3170">
        <v>7</v>
      </c>
    </row>
    <row r="3171" spans="1:42" x14ac:dyDescent="0.25">
      <c r="A3171" t="s">
        <v>46</v>
      </c>
      <c r="B3171">
        <v>4</v>
      </c>
      <c r="C3171" t="s">
        <v>2118</v>
      </c>
      <c r="D3171" s="39">
        <v>46063</v>
      </c>
      <c r="E3171" t="s">
        <v>243</v>
      </c>
      <c r="F3171" t="s">
        <v>79</v>
      </c>
      <c r="G3171">
        <v>20</v>
      </c>
      <c r="H3171" t="s">
        <v>113</v>
      </c>
      <c r="I3171" t="s">
        <v>79</v>
      </c>
      <c r="J3171">
        <v>300</v>
      </c>
      <c r="K3171" t="s">
        <v>79</v>
      </c>
      <c r="L3171">
        <v>4</v>
      </c>
      <c r="M3171">
        <v>233.39999999999998</v>
      </c>
      <c r="N3171">
        <v>8</v>
      </c>
      <c r="O3171">
        <v>40</v>
      </c>
      <c r="Q3171">
        <v>225.39999999999998</v>
      </c>
      <c r="R3171" t="s">
        <v>2119</v>
      </c>
      <c r="S3171">
        <v>25</v>
      </c>
      <c r="V3171">
        <v>25</v>
      </c>
      <c r="W3171">
        <v>0.41666666666666674</v>
      </c>
      <c r="AF3171">
        <v>0</v>
      </c>
      <c r="AG3171">
        <v>0</v>
      </c>
      <c r="AH3171">
        <v>0.41666666666666674</v>
      </c>
      <c r="AI3171">
        <v>11.583333333333334</v>
      </c>
      <c r="AJ3171">
        <v>12</v>
      </c>
      <c r="AM3171">
        <v>0</v>
      </c>
      <c r="AN3171">
        <v>238.4</v>
      </c>
      <c r="AP3171">
        <v>7</v>
      </c>
    </row>
    <row r="3172" spans="1:42" x14ac:dyDescent="0.25">
      <c r="A3172" t="s">
        <v>46</v>
      </c>
      <c r="B3172">
        <v>4</v>
      </c>
      <c r="C3172" t="s">
        <v>2120</v>
      </c>
      <c r="D3172" s="39">
        <v>46063</v>
      </c>
      <c r="E3172" t="s">
        <v>276</v>
      </c>
      <c r="F3172" t="s">
        <v>79</v>
      </c>
      <c r="G3172">
        <v>24</v>
      </c>
      <c r="H3172" t="s">
        <v>113</v>
      </c>
      <c r="I3172" t="s">
        <v>79</v>
      </c>
      <c r="J3172" t="s">
        <v>81</v>
      </c>
      <c r="K3172" t="s">
        <v>79</v>
      </c>
      <c r="L3172">
        <v>7</v>
      </c>
      <c r="M3172">
        <v>485.7600000000001</v>
      </c>
      <c r="N3172">
        <v>16.8</v>
      </c>
      <c r="Q3172">
        <v>468.96000000000009</v>
      </c>
      <c r="R3172" t="s">
        <v>2121</v>
      </c>
      <c r="V3172">
        <v>0</v>
      </c>
      <c r="W3172">
        <v>0</v>
      </c>
      <c r="Z3172">
        <v>25</v>
      </c>
      <c r="AF3172">
        <v>25</v>
      </c>
      <c r="AG3172">
        <v>0.41666666666666674</v>
      </c>
      <c r="AH3172">
        <v>0.41666666666666674</v>
      </c>
      <c r="AI3172">
        <v>11.583333333333334</v>
      </c>
      <c r="AJ3172">
        <v>12</v>
      </c>
      <c r="AM3172">
        <v>0</v>
      </c>
      <c r="AN3172">
        <v>490.7600000000001</v>
      </c>
      <c r="AP3172">
        <v>7</v>
      </c>
    </row>
    <row r="3173" spans="1:42" x14ac:dyDescent="0.25">
      <c r="A3173" t="s">
        <v>45</v>
      </c>
      <c r="B3173">
        <v>5</v>
      </c>
      <c r="C3173" t="s">
        <v>2112</v>
      </c>
      <c r="D3173" s="39">
        <v>46063</v>
      </c>
      <c r="E3173" t="s">
        <v>1466</v>
      </c>
      <c r="F3173" t="s">
        <v>79</v>
      </c>
      <c r="G3173">
        <v>13</v>
      </c>
      <c r="H3173" t="s">
        <v>578</v>
      </c>
      <c r="I3173" t="s">
        <v>79</v>
      </c>
      <c r="J3173">
        <v>560</v>
      </c>
      <c r="K3173" t="s">
        <v>79</v>
      </c>
      <c r="L3173">
        <v>7</v>
      </c>
      <c r="M3173">
        <v>401.39</v>
      </c>
      <c r="N3173">
        <v>10.5</v>
      </c>
      <c r="Q3173">
        <v>390.89</v>
      </c>
      <c r="R3173" t="s">
        <v>2117</v>
      </c>
      <c r="S3173">
        <v>20</v>
      </c>
      <c r="V3173">
        <v>20</v>
      </c>
      <c r="W3173">
        <v>0.33333333333333331</v>
      </c>
      <c r="X3173">
        <v>20</v>
      </c>
      <c r="AF3173">
        <v>20</v>
      </c>
      <c r="AG3173">
        <v>0.33333333333333331</v>
      </c>
      <c r="AH3173">
        <v>0.66666666666666663</v>
      </c>
      <c r="AI3173">
        <v>11.333333333333334</v>
      </c>
      <c r="AJ3173">
        <v>12</v>
      </c>
      <c r="AM3173">
        <v>0</v>
      </c>
      <c r="AN3173">
        <v>406.39</v>
      </c>
      <c r="AP3173">
        <v>7</v>
      </c>
    </row>
    <row r="3174" spans="1:42" x14ac:dyDescent="0.25">
      <c r="A3174" t="s">
        <v>45</v>
      </c>
      <c r="B3174">
        <v>5</v>
      </c>
      <c r="C3174" t="s">
        <v>2122</v>
      </c>
      <c r="D3174" s="39">
        <v>46063</v>
      </c>
      <c r="E3174" t="s">
        <v>486</v>
      </c>
      <c r="F3174" t="s">
        <v>79</v>
      </c>
      <c r="G3174">
        <v>10</v>
      </c>
      <c r="H3174">
        <v>5</v>
      </c>
      <c r="I3174" t="s">
        <v>79</v>
      </c>
      <c r="J3174">
        <v>1000</v>
      </c>
      <c r="K3174" t="s">
        <v>79</v>
      </c>
      <c r="L3174">
        <v>3</v>
      </c>
      <c r="M3174">
        <v>146.72</v>
      </c>
      <c r="N3174">
        <v>3.5999999999999996</v>
      </c>
      <c r="O3174">
        <v>3.5</v>
      </c>
      <c r="Q3174">
        <v>143.12</v>
      </c>
      <c r="R3174" t="s">
        <v>2123</v>
      </c>
      <c r="V3174">
        <v>0</v>
      </c>
      <c r="W3174">
        <v>0</v>
      </c>
      <c r="AF3174">
        <v>0</v>
      </c>
      <c r="AG3174">
        <v>0</v>
      </c>
      <c r="AH3174">
        <v>0</v>
      </c>
      <c r="AI3174">
        <v>12</v>
      </c>
      <c r="AJ3174">
        <v>12</v>
      </c>
      <c r="AM3174">
        <v>0</v>
      </c>
      <c r="AN3174">
        <v>151.72</v>
      </c>
      <c r="AP3174">
        <v>7</v>
      </c>
    </row>
    <row r="3175" spans="1:42" x14ac:dyDescent="0.25">
      <c r="A3175" t="s">
        <v>46</v>
      </c>
      <c r="B3175">
        <v>5</v>
      </c>
      <c r="C3175" t="s">
        <v>2122</v>
      </c>
      <c r="D3175" s="39">
        <v>46063</v>
      </c>
      <c r="E3175" t="s">
        <v>486</v>
      </c>
      <c r="F3175" t="s">
        <v>79</v>
      </c>
      <c r="G3175">
        <v>10</v>
      </c>
      <c r="H3175">
        <v>5</v>
      </c>
      <c r="I3175" t="s">
        <v>79</v>
      </c>
      <c r="J3175">
        <v>1000</v>
      </c>
      <c r="K3175" t="s">
        <v>79</v>
      </c>
      <c r="L3175">
        <v>6</v>
      </c>
      <c r="M3175">
        <v>251.3</v>
      </c>
      <c r="N3175">
        <v>6</v>
      </c>
      <c r="O3175">
        <v>3.5</v>
      </c>
      <c r="Q3175">
        <v>245.3</v>
      </c>
      <c r="R3175" t="s">
        <v>2123</v>
      </c>
      <c r="S3175">
        <v>20</v>
      </c>
      <c r="V3175">
        <v>20</v>
      </c>
      <c r="W3175">
        <v>0.33333333333333331</v>
      </c>
      <c r="Z3175">
        <v>25</v>
      </c>
      <c r="AF3175">
        <v>25</v>
      </c>
      <c r="AG3175">
        <v>0.41666666666666674</v>
      </c>
      <c r="AH3175">
        <v>0.75</v>
      </c>
      <c r="AI3175">
        <v>11.25</v>
      </c>
      <c r="AJ3175">
        <v>12</v>
      </c>
      <c r="AM3175">
        <v>0</v>
      </c>
      <c r="AN3175">
        <v>256.3</v>
      </c>
      <c r="AP3175">
        <v>7</v>
      </c>
    </row>
    <row r="3176" spans="1:42" x14ac:dyDescent="0.25">
      <c r="A3176" t="s">
        <v>46</v>
      </c>
      <c r="B3176">
        <v>5</v>
      </c>
      <c r="C3176" t="s">
        <v>2124</v>
      </c>
      <c r="D3176" s="39">
        <v>46063</v>
      </c>
      <c r="E3176" t="s">
        <v>253</v>
      </c>
      <c r="F3176" t="s">
        <v>79</v>
      </c>
      <c r="G3176">
        <v>14</v>
      </c>
      <c r="H3176" t="s">
        <v>116</v>
      </c>
      <c r="I3176" t="s">
        <v>79</v>
      </c>
      <c r="J3176">
        <v>1000</v>
      </c>
      <c r="K3176" t="s">
        <v>79</v>
      </c>
      <c r="L3176">
        <v>4</v>
      </c>
      <c r="M3176">
        <v>217.84000000000003</v>
      </c>
      <c r="N3176">
        <v>5.6</v>
      </c>
      <c r="Q3176">
        <v>212.24000000000004</v>
      </c>
      <c r="R3176" t="s">
        <v>2125</v>
      </c>
      <c r="V3176">
        <v>0</v>
      </c>
      <c r="W3176">
        <v>0</v>
      </c>
      <c r="AF3176">
        <v>0</v>
      </c>
      <c r="AG3176">
        <v>0</v>
      </c>
      <c r="AH3176">
        <v>0</v>
      </c>
      <c r="AI3176">
        <v>12</v>
      </c>
      <c r="AJ3176">
        <v>12</v>
      </c>
      <c r="AM3176">
        <v>0</v>
      </c>
      <c r="AN3176">
        <v>222.84000000000003</v>
      </c>
      <c r="AP3176">
        <v>7</v>
      </c>
    </row>
    <row r="3177" spans="1:42" x14ac:dyDescent="0.25">
      <c r="A3177" t="s">
        <v>45</v>
      </c>
      <c r="B3177">
        <v>1</v>
      </c>
      <c r="C3177" t="s">
        <v>2109</v>
      </c>
      <c r="D3177" s="39">
        <v>46064</v>
      </c>
      <c r="E3177" t="s">
        <v>486</v>
      </c>
      <c r="F3177" t="s">
        <v>79</v>
      </c>
      <c r="G3177">
        <v>3</v>
      </c>
      <c r="H3177" t="s">
        <v>92</v>
      </c>
      <c r="I3177" t="s">
        <v>79</v>
      </c>
      <c r="J3177">
        <v>1000</v>
      </c>
      <c r="K3177" t="s">
        <v>79</v>
      </c>
      <c r="L3177">
        <v>7</v>
      </c>
      <c r="M3177">
        <v>130.75</v>
      </c>
      <c r="N3177">
        <v>2.1</v>
      </c>
      <c r="O3177">
        <v>5</v>
      </c>
      <c r="Q3177">
        <v>128.65</v>
      </c>
      <c r="R3177" t="s">
        <v>2114</v>
      </c>
      <c r="V3177">
        <v>0</v>
      </c>
      <c r="W3177">
        <v>0</v>
      </c>
      <c r="AF3177">
        <v>0</v>
      </c>
      <c r="AG3177">
        <v>0</v>
      </c>
      <c r="AH3177">
        <v>0</v>
      </c>
      <c r="AI3177">
        <v>12</v>
      </c>
      <c r="AJ3177">
        <v>12</v>
      </c>
      <c r="AM3177">
        <v>0</v>
      </c>
      <c r="AN3177">
        <v>135.75</v>
      </c>
      <c r="AP3177">
        <v>7</v>
      </c>
    </row>
    <row r="3178" spans="1:42" x14ac:dyDescent="0.25">
      <c r="A3178" t="s">
        <v>46</v>
      </c>
      <c r="B3178">
        <v>1</v>
      </c>
      <c r="C3178" t="s">
        <v>2109</v>
      </c>
      <c r="D3178" s="39">
        <v>46064</v>
      </c>
      <c r="E3178" t="s">
        <v>486</v>
      </c>
      <c r="F3178" t="s">
        <v>79</v>
      </c>
      <c r="G3178">
        <v>3</v>
      </c>
      <c r="H3178" t="s">
        <v>92</v>
      </c>
      <c r="I3178" t="s">
        <v>79</v>
      </c>
      <c r="J3178">
        <v>1000</v>
      </c>
      <c r="K3178" t="s">
        <v>79</v>
      </c>
      <c r="L3178">
        <v>8</v>
      </c>
      <c r="M3178">
        <v>149.72999999999999</v>
      </c>
      <c r="N3178">
        <v>2.4</v>
      </c>
      <c r="O3178">
        <v>5</v>
      </c>
      <c r="Q3178">
        <v>147.32999999999998</v>
      </c>
      <c r="R3178" t="s">
        <v>2114</v>
      </c>
      <c r="V3178">
        <v>0</v>
      </c>
      <c r="W3178">
        <v>0</v>
      </c>
      <c r="AF3178">
        <v>0</v>
      </c>
      <c r="AG3178">
        <v>0</v>
      </c>
      <c r="AH3178">
        <v>0</v>
      </c>
      <c r="AI3178">
        <v>12</v>
      </c>
      <c r="AJ3178">
        <v>12</v>
      </c>
      <c r="AM3178">
        <v>0</v>
      </c>
      <c r="AN3178">
        <v>154.72999999999999</v>
      </c>
      <c r="AP3178">
        <v>7</v>
      </c>
    </row>
    <row r="3179" spans="1:42" x14ac:dyDescent="0.25">
      <c r="A3179" t="s">
        <v>45</v>
      </c>
      <c r="B3179">
        <v>2</v>
      </c>
      <c r="C3179" t="s">
        <v>2110</v>
      </c>
      <c r="D3179" s="39">
        <v>46064</v>
      </c>
      <c r="E3179" t="s">
        <v>486</v>
      </c>
      <c r="F3179" t="s">
        <v>79</v>
      </c>
      <c r="G3179">
        <v>6</v>
      </c>
      <c r="H3179">
        <v>5</v>
      </c>
      <c r="I3179" t="s">
        <v>79</v>
      </c>
      <c r="J3179">
        <v>1500</v>
      </c>
      <c r="K3179" t="s">
        <v>79</v>
      </c>
      <c r="L3179">
        <v>10</v>
      </c>
      <c r="M3179">
        <v>229.48</v>
      </c>
      <c r="N3179">
        <v>6</v>
      </c>
      <c r="Q3179">
        <v>223.48</v>
      </c>
      <c r="R3179" t="s">
        <v>2115</v>
      </c>
      <c r="V3179">
        <v>0</v>
      </c>
      <c r="W3179">
        <v>0</v>
      </c>
      <c r="AF3179">
        <v>0</v>
      </c>
      <c r="AG3179">
        <v>0</v>
      </c>
      <c r="AH3179">
        <v>0</v>
      </c>
      <c r="AI3179">
        <v>12</v>
      </c>
      <c r="AJ3179">
        <v>12</v>
      </c>
      <c r="AM3179">
        <v>0</v>
      </c>
      <c r="AN3179">
        <v>234.48</v>
      </c>
      <c r="AP3179">
        <v>7</v>
      </c>
    </row>
    <row r="3180" spans="1:42" x14ac:dyDescent="0.25">
      <c r="A3180" t="s">
        <v>46</v>
      </c>
      <c r="B3180">
        <v>2</v>
      </c>
      <c r="C3180" t="s">
        <v>2110</v>
      </c>
      <c r="D3180" s="39">
        <v>46064</v>
      </c>
      <c r="E3180" t="s">
        <v>486</v>
      </c>
      <c r="F3180" t="s">
        <v>79</v>
      </c>
      <c r="G3180">
        <v>6</v>
      </c>
      <c r="H3180">
        <v>5</v>
      </c>
      <c r="I3180" t="s">
        <v>79</v>
      </c>
      <c r="J3180">
        <v>1500</v>
      </c>
      <c r="K3180" t="s">
        <v>79</v>
      </c>
      <c r="L3180">
        <v>10</v>
      </c>
      <c r="M3180">
        <v>224.41000000000003</v>
      </c>
      <c r="N3180">
        <v>6</v>
      </c>
      <c r="Q3180">
        <v>218.41000000000003</v>
      </c>
      <c r="R3180" t="s">
        <v>2115</v>
      </c>
      <c r="V3180">
        <v>0</v>
      </c>
      <c r="W3180">
        <v>0</v>
      </c>
      <c r="AF3180">
        <v>0</v>
      </c>
      <c r="AG3180">
        <v>0</v>
      </c>
      <c r="AH3180">
        <v>0</v>
      </c>
      <c r="AI3180">
        <v>12</v>
      </c>
      <c r="AJ3180">
        <v>12</v>
      </c>
      <c r="AM3180">
        <v>0</v>
      </c>
      <c r="AN3180">
        <v>229.41000000000005</v>
      </c>
      <c r="AP3180">
        <v>7</v>
      </c>
    </row>
    <row r="3181" spans="1:42" x14ac:dyDescent="0.25">
      <c r="A3181" t="s">
        <v>45</v>
      </c>
      <c r="B3181">
        <v>4</v>
      </c>
      <c r="C3181" t="s">
        <v>2120</v>
      </c>
      <c r="D3181" s="39">
        <v>46064</v>
      </c>
      <c r="E3181" t="s">
        <v>276</v>
      </c>
      <c r="F3181" t="s">
        <v>79</v>
      </c>
      <c r="G3181">
        <v>24</v>
      </c>
      <c r="H3181" t="s">
        <v>113</v>
      </c>
      <c r="I3181" t="s">
        <v>79</v>
      </c>
      <c r="J3181" t="s">
        <v>81</v>
      </c>
      <c r="K3181" t="s">
        <v>79</v>
      </c>
      <c r="L3181">
        <v>11</v>
      </c>
      <c r="M3181">
        <v>732.14999999999986</v>
      </c>
      <c r="N3181">
        <v>33.599999999999994</v>
      </c>
      <c r="O3181">
        <v>25</v>
      </c>
      <c r="Q3181">
        <v>698.54999999999984</v>
      </c>
      <c r="R3181" t="s">
        <v>2121</v>
      </c>
      <c r="V3181">
        <v>0</v>
      </c>
      <c r="W3181">
        <v>0</v>
      </c>
      <c r="AF3181">
        <v>0</v>
      </c>
      <c r="AG3181">
        <v>0</v>
      </c>
      <c r="AH3181">
        <v>0</v>
      </c>
      <c r="AI3181">
        <v>12</v>
      </c>
      <c r="AJ3181">
        <v>12</v>
      </c>
      <c r="AM3181">
        <v>0</v>
      </c>
      <c r="AN3181">
        <v>737.14999999999986</v>
      </c>
      <c r="AP3181">
        <v>7</v>
      </c>
    </row>
    <row r="3182" spans="1:42" x14ac:dyDescent="0.25">
      <c r="A3182" t="s">
        <v>45</v>
      </c>
      <c r="B3182">
        <v>4</v>
      </c>
      <c r="C3182" t="s">
        <v>2126</v>
      </c>
      <c r="D3182" s="39">
        <v>46064</v>
      </c>
      <c r="E3182" t="s">
        <v>2127</v>
      </c>
      <c r="F3182" t="s">
        <v>79</v>
      </c>
      <c r="G3182">
        <v>24</v>
      </c>
      <c r="H3182" t="s">
        <v>92</v>
      </c>
      <c r="I3182" t="s">
        <v>79</v>
      </c>
      <c r="J3182">
        <v>100</v>
      </c>
      <c r="K3182" t="s">
        <v>79</v>
      </c>
      <c r="L3182">
        <v>1</v>
      </c>
      <c r="M3182">
        <v>56.29</v>
      </c>
      <c r="N3182">
        <v>2.8</v>
      </c>
      <c r="Q3182">
        <v>53.49</v>
      </c>
      <c r="R3182" t="s">
        <v>2128</v>
      </c>
      <c r="V3182">
        <v>0</v>
      </c>
      <c r="W3182">
        <v>0</v>
      </c>
      <c r="AF3182">
        <v>0</v>
      </c>
      <c r="AG3182">
        <v>0</v>
      </c>
      <c r="AH3182">
        <v>0</v>
      </c>
      <c r="AI3182">
        <v>12</v>
      </c>
      <c r="AJ3182">
        <v>12</v>
      </c>
      <c r="AM3182">
        <v>0</v>
      </c>
      <c r="AN3182">
        <v>61.29</v>
      </c>
      <c r="AP3182">
        <v>7</v>
      </c>
    </row>
    <row r="3183" spans="1:42" x14ac:dyDescent="0.25">
      <c r="A3183" t="s">
        <v>46</v>
      </c>
      <c r="B3183">
        <v>4</v>
      </c>
      <c r="C3183" t="s">
        <v>2126</v>
      </c>
      <c r="D3183" s="39">
        <v>46064</v>
      </c>
      <c r="E3183" t="s">
        <v>2127</v>
      </c>
      <c r="F3183" t="s">
        <v>79</v>
      </c>
      <c r="G3183">
        <v>24</v>
      </c>
      <c r="H3183" t="s">
        <v>92</v>
      </c>
      <c r="I3183" t="s">
        <v>79</v>
      </c>
      <c r="J3183">
        <v>100</v>
      </c>
      <c r="K3183" t="s">
        <v>79</v>
      </c>
      <c r="L3183">
        <v>1</v>
      </c>
      <c r="M3183">
        <v>68.180000000000007</v>
      </c>
      <c r="N3183">
        <v>2.4</v>
      </c>
      <c r="O3183">
        <v>16</v>
      </c>
      <c r="Q3183">
        <v>65.78</v>
      </c>
      <c r="R3183" t="s">
        <v>2128</v>
      </c>
      <c r="V3183">
        <v>0</v>
      </c>
      <c r="W3183">
        <v>0</v>
      </c>
      <c r="Z3183">
        <v>660</v>
      </c>
      <c r="AF3183">
        <v>660</v>
      </c>
      <c r="AG3183">
        <v>11</v>
      </c>
      <c r="AH3183">
        <v>11</v>
      </c>
      <c r="AI3183">
        <v>1</v>
      </c>
      <c r="AJ3183">
        <v>12</v>
      </c>
      <c r="AM3183">
        <v>0</v>
      </c>
      <c r="AN3183">
        <v>73.180000000000007</v>
      </c>
      <c r="AP3183">
        <v>7</v>
      </c>
    </row>
    <row r="3184" spans="1:42" x14ac:dyDescent="0.25">
      <c r="A3184" t="s">
        <v>45</v>
      </c>
      <c r="B3184">
        <v>5</v>
      </c>
      <c r="C3184" t="s">
        <v>2124</v>
      </c>
      <c r="D3184" s="39">
        <v>46064</v>
      </c>
      <c r="E3184" t="s">
        <v>253</v>
      </c>
      <c r="F3184" t="s">
        <v>79</v>
      </c>
      <c r="G3184">
        <v>14</v>
      </c>
      <c r="H3184" t="s">
        <v>116</v>
      </c>
      <c r="I3184" t="s">
        <v>79</v>
      </c>
      <c r="J3184">
        <v>1000</v>
      </c>
      <c r="K3184" t="s">
        <v>79</v>
      </c>
      <c r="L3184">
        <v>5</v>
      </c>
      <c r="M3184">
        <v>240.48</v>
      </c>
      <c r="N3184">
        <v>8</v>
      </c>
      <c r="Q3184">
        <v>232.48</v>
      </c>
      <c r="R3184" t="s">
        <v>2125</v>
      </c>
      <c r="V3184">
        <v>0</v>
      </c>
      <c r="W3184">
        <v>0</v>
      </c>
      <c r="X3184">
        <v>60</v>
      </c>
      <c r="AF3184">
        <v>60</v>
      </c>
      <c r="AG3184">
        <v>1</v>
      </c>
      <c r="AH3184">
        <v>1</v>
      </c>
      <c r="AI3184">
        <v>11</v>
      </c>
      <c r="AJ3184">
        <v>12</v>
      </c>
      <c r="AM3184">
        <v>0</v>
      </c>
      <c r="AN3184">
        <v>245.48</v>
      </c>
      <c r="AP3184">
        <v>7</v>
      </c>
    </row>
    <row r="3185" spans="1:42" x14ac:dyDescent="0.25">
      <c r="A3185" t="s">
        <v>45</v>
      </c>
      <c r="B3185">
        <v>5</v>
      </c>
      <c r="C3185" t="s">
        <v>2016</v>
      </c>
      <c r="D3185" s="39">
        <v>46064</v>
      </c>
      <c r="E3185" t="s">
        <v>486</v>
      </c>
      <c r="F3185" t="s">
        <v>79</v>
      </c>
      <c r="G3185">
        <v>14</v>
      </c>
      <c r="H3185">
        <v>5</v>
      </c>
      <c r="I3185" t="s">
        <v>79</v>
      </c>
      <c r="J3185">
        <v>1000</v>
      </c>
      <c r="K3185" t="s">
        <v>79</v>
      </c>
      <c r="L3185">
        <v>4</v>
      </c>
      <c r="M3185">
        <v>243.62</v>
      </c>
      <c r="N3185">
        <v>6.4</v>
      </c>
      <c r="Q3185">
        <v>237.22</v>
      </c>
      <c r="R3185" t="s">
        <v>2113</v>
      </c>
      <c r="S3185">
        <v>20</v>
      </c>
      <c r="V3185">
        <v>20</v>
      </c>
      <c r="W3185">
        <v>0.33333333333333331</v>
      </c>
      <c r="AF3185">
        <v>0</v>
      </c>
      <c r="AG3185">
        <v>0</v>
      </c>
      <c r="AH3185">
        <v>0.33333333333333331</v>
      </c>
      <c r="AI3185">
        <v>11.666666666666666</v>
      </c>
      <c r="AJ3185">
        <v>12</v>
      </c>
      <c r="AM3185">
        <v>0</v>
      </c>
      <c r="AN3185">
        <v>248.62</v>
      </c>
      <c r="AP3185">
        <v>7</v>
      </c>
    </row>
    <row r="3186" spans="1:42" x14ac:dyDescent="0.25">
      <c r="A3186" t="s">
        <v>46</v>
      </c>
      <c r="B3186">
        <v>5</v>
      </c>
      <c r="C3186" t="s">
        <v>2016</v>
      </c>
      <c r="D3186" s="39">
        <v>46064</v>
      </c>
      <c r="E3186" t="s">
        <v>486</v>
      </c>
      <c r="F3186" t="s">
        <v>79</v>
      </c>
      <c r="G3186">
        <v>14</v>
      </c>
      <c r="H3186">
        <v>5</v>
      </c>
      <c r="I3186" t="s">
        <v>79</v>
      </c>
      <c r="J3186">
        <v>1000</v>
      </c>
      <c r="K3186" t="s">
        <v>79</v>
      </c>
      <c r="L3186">
        <v>1</v>
      </c>
      <c r="M3186">
        <v>62.7</v>
      </c>
      <c r="N3186">
        <v>1.4</v>
      </c>
      <c r="Q3186">
        <v>61.300000000000004</v>
      </c>
      <c r="R3186" t="s">
        <v>2113</v>
      </c>
      <c r="S3186">
        <v>20</v>
      </c>
      <c r="V3186">
        <v>20</v>
      </c>
      <c r="W3186">
        <v>0.33333333333333331</v>
      </c>
      <c r="AF3186">
        <v>0</v>
      </c>
      <c r="AG3186">
        <v>0</v>
      </c>
      <c r="AH3186">
        <v>0.33333333333333331</v>
      </c>
      <c r="AI3186">
        <v>11.666666666666666</v>
      </c>
      <c r="AJ3186">
        <v>12</v>
      </c>
      <c r="AM3186">
        <v>0</v>
      </c>
      <c r="AN3186">
        <v>67.7</v>
      </c>
      <c r="AP3186">
        <v>7</v>
      </c>
    </row>
    <row r="3187" spans="1:42" x14ac:dyDescent="0.25">
      <c r="A3187" t="s">
        <v>46</v>
      </c>
      <c r="B3187">
        <v>5</v>
      </c>
      <c r="C3187" t="s">
        <v>2129</v>
      </c>
      <c r="D3187" s="39">
        <v>46064</v>
      </c>
      <c r="E3187" t="s">
        <v>255</v>
      </c>
      <c r="F3187" t="s">
        <v>79</v>
      </c>
      <c r="G3187">
        <v>7</v>
      </c>
      <c r="H3187" t="s">
        <v>135</v>
      </c>
      <c r="I3187" t="s">
        <v>79</v>
      </c>
      <c r="J3187">
        <v>100</v>
      </c>
      <c r="K3187" t="s">
        <v>79</v>
      </c>
      <c r="L3187">
        <v>4</v>
      </c>
      <c r="M3187">
        <v>99.28</v>
      </c>
      <c r="N3187">
        <v>2.8</v>
      </c>
      <c r="Q3187">
        <v>96.48</v>
      </c>
      <c r="R3187" t="s">
        <v>2130</v>
      </c>
      <c r="V3187">
        <v>0</v>
      </c>
      <c r="W3187">
        <v>0</v>
      </c>
      <c r="AF3187">
        <v>0</v>
      </c>
      <c r="AG3187">
        <v>0</v>
      </c>
      <c r="AH3187">
        <v>0</v>
      </c>
      <c r="AI3187">
        <v>12</v>
      </c>
      <c r="AJ3187">
        <v>12</v>
      </c>
      <c r="AM3187">
        <v>0</v>
      </c>
      <c r="AN3187">
        <v>104.28</v>
      </c>
      <c r="AP3187">
        <v>7</v>
      </c>
    </row>
    <row r="3188" spans="1:42" x14ac:dyDescent="0.25">
      <c r="A3188" t="s">
        <v>46</v>
      </c>
      <c r="B3188">
        <v>5</v>
      </c>
      <c r="C3188" t="s">
        <v>602</v>
      </c>
      <c r="D3188" s="39">
        <v>46064</v>
      </c>
      <c r="E3188" t="s">
        <v>486</v>
      </c>
      <c r="F3188" t="s">
        <v>79</v>
      </c>
      <c r="G3188">
        <v>10</v>
      </c>
      <c r="H3188">
        <v>5</v>
      </c>
      <c r="I3188" t="s">
        <v>79</v>
      </c>
      <c r="J3188">
        <v>1000</v>
      </c>
      <c r="K3188" t="s">
        <v>79</v>
      </c>
      <c r="L3188">
        <v>3</v>
      </c>
      <c r="M3188">
        <v>133.99</v>
      </c>
      <c r="N3188">
        <v>3</v>
      </c>
      <c r="Q3188">
        <v>130.99</v>
      </c>
      <c r="R3188" t="s">
        <v>2131</v>
      </c>
      <c r="V3188">
        <v>0</v>
      </c>
      <c r="W3188">
        <v>0</v>
      </c>
      <c r="AF3188">
        <v>0</v>
      </c>
      <c r="AG3188">
        <v>0</v>
      </c>
      <c r="AH3188">
        <v>0</v>
      </c>
      <c r="AI3188">
        <v>12</v>
      </c>
      <c r="AJ3188">
        <v>12</v>
      </c>
      <c r="AM3188">
        <v>0</v>
      </c>
      <c r="AN3188">
        <v>138.99</v>
      </c>
      <c r="AP3188">
        <v>7</v>
      </c>
    </row>
    <row r="3189" spans="1:42" x14ac:dyDescent="0.25">
      <c r="A3189" t="s">
        <v>46</v>
      </c>
      <c r="B3189">
        <v>5</v>
      </c>
      <c r="C3189" t="s">
        <v>2132</v>
      </c>
      <c r="D3189" s="39">
        <v>46064</v>
      </c>
      <c r="E3189" t="s">
        <v>1466</v>
      </c>
      <c r="F3189" t="s">
        <v>79</v>
      </c>
      <c r="G3189">
        <v>7</v>
      </c>
      <c r="H3189" t="s">
        <v>578</v>
      </c>
      <c r="I3189" t="s">
        <v>79</v>
      </c>
      <c r="J3189">
        <v>100</v>
      </c>
      <c r="K3189" t="s">
        <v>79</v>
      </c>
      <c r="L3189">
        <v>4</v>
      </c>
      <c r="M3189">
        <v>108.11999999999999</v>
      </c>
      <c r="N3189">
        <v>2.8</v>
      </c>
      <c r="Q3189">
        <v>105.32</v>
      </c>
      <c r="R3189" t="s">
        <v>2133</v>
      </c>
      <c r="V3189">
        <v>0</v>
      </c>
      <c r="W3189">
        <v>0</v>
      </c>
      <c r="AF3189">
        <v>0</v>
      </c>
      <c r="AG3189">
        <v>0</v>
      </c>
      <c r="AH3189">
        <v>0</v>
      </c>
      <c r="AI3189">
        <v>12</v>
      </c>
      <c r="AJ3189">
        <v>12</v>
      </c>
      <c r="AM3189">
        <v>0</v>
      </c>
      <c r="AN3189">
        <v>113.12</v>
      </c>
      <c r="AP3189">
        <v>7</v>
      </c>
    </row>
    <row r="3190" spans="1:42" x14ac:dyDescent="0.25">
      <c r="A3190" t="s">
        <v>46</v>
      </c>
      <c r="B3190">
        <v>5</v>
      </c>
      <c r="C3190" t="s">
        <v>736</v>
      </c>
      <c r="D3190" s="39">
        <v>46064</v>
      </c>
      <c r="E3190" t="s">
        <v>486</v>
      </c>
      <c r="F3190" t="s">
        <v>79</v>
      </c>
      <c r="G3190">
        <v>14</v>
      </c>
      <c r="H3190">
        <v>5</v>
      </c>
      <c r="I3190" t="s">
        <v>79</v>
      </c>
      <c r="J3190">
        <v>1000</v>
      </c>
      <c r="K3190" t="s">
        <v>79</v>
      </c>
      <c r="L3190">
        <v>1</v>
      </c>
      <c r="M3190">
        <v>15.17</v>
      </c>
      <c r="N3190">
        <v>1.4</v>
      </c>
      <c r="Q3190">
        <v>13.77</v>
      </c>
      <c r="R3190" t="s">
        <v>2134</v>
      </c>
      <c r="V3190">
        <v>0</v>
      </c>
      <c r="W3190">
        <v>0</v>
      </c>
      <c r="AF3190">
        <v>0</v>
      </c>
      <c r="AG3190">
        <v>0</v>
      </c>
      <c r="AH3190">
        <v>0</v>
      </c>
      <c r="AI3190">
        <v>12</v>
      </c>
      <c r="AJ3190">
        <v>12</v>
      </c>
      <c r="AM3190">
        <v>0</v>
      </c>
      <c r="AN3190">
        <v>20.170000000000002</v>
      </c>
      <c r="AP3190">
        <v>7</v>
      </c>
    </row>
    <row r="3191" spans="1:42" x14ac:dyDescent="0.25">
      <c r="A3191" t="s">
        <v>45</v>
      </c>
      <c r="B3191">
        <v>1</v>
      </c>
      <c r="C3191" t="s">
        <v>2109</v>
      </c>
      <c r="D3191" s="39">
        <v>46065</v>
      </c>
      <c r="E3191" t="s">
        <v>486</v>
      </c>
      <c r="F3191" t="s">
        <v>79</v>
      </c>
      <c r="G3191">
        <v>3</v>
      </c>
      <c r="H3191" t="s">
        <v>92</v>
      </c>
      <c r="I3191" t="s">
        <v>79</v>
      </c>
      <c r="J3191">
        <v>1000</v>
      </c>
      <c r="K3191" t="s">
        <v>79</v>
      </c>
      <c r="L3191">
        <v>7</v>
      </c>
      <c r="M3191">
        <v>132.09</v>
      </c>
      <c r="N3191">
        <v>2.1</v>
      </c>
      <c r="O3191">
        <v>18</v>
      </c>
      <c r="Q3191">
        <v>129.99</v>
      </c>
      <c r="R3191" t="s">
        <v>2114</v>
      </c>
      <c r="V3191">
        <v>0</v>
      </c>
      <c r="W3191">
        <v>0</v>
      </c>
      <c r="AF3191">
        <v>0</v>
      </c>
      <c r="AG3191">
        <v>0</v>
      </c>
      <c r="AH3191">
        <v>0</v>
      </c>
      <c r="AI3191">
        <v>12</v>
      </c>
      <c r="AJ3191">
        <v>12</v>
      </c>
      <c r="AM3191">
        <v>0</v>
      </c>
      <c r="AN3191">
        <v>137.09</v>
      </c>
      <c r="AP3191">
        <v>7</v>
      </c>
    </row>
    <row r="3192" spans="1:42" x14ac:dyDescent="0.25">
      <c r="A3192" t="s">
        <v>46</v>
      </c>
      <c r="B3192">
        <v>1</v>
      </c>
      <c r="C3192" t="s">
        <v>2109</v>
      </c>
      <c r="D3192" s="39">
        <v>46065</v>
      </c>
      <c r="E3192" t="s">
        <v>486</v>
      </c>
      <c r="F3192" t="s">
        <v>79</v>
      </c>
      <c r="G3192">
        <v>3</v>
      </c>
      <c r="H3192" t="s">
        <v>92</v>
      </c>
      <c r="I3192" t="s">
        <v>79</v>
      </c>
      <c r="J3192">
        <v>1000</v>
      </c>
      <c r="K3192" t="s">
        <v>79</v>
      </c>
      <c r="L3192">
        <v>6</v>
      </c>
      <c r="M3192">
        <v>118.04</v>
      </c>
      <c r="N3192">
        <v>1.7999999999999998</v>
      </c>
      <c r="O3192">
        <v>33</v>
      </c>
      <c r="Q3192">
        <v>116.24000000000001</v>
      </c>
      <c r="R3192" t="s">
        <v>2114</v>
      </c>
      <c r="V3192">
        <v>0</v>
      </c>
      <c r="W3192">
        <v>0</v>
      </c>
      <c r="X3192">
        <v>60</v>
      </c>
      <c r="AF3192">
        <v>60</v>
      </c>
      <c r="AG3192">
        <v>1</v>
      </c>
      <c r="AH3192">
        <v>1</v>
      </c>
      <c r="AI3192">
        <v>11</v>
      </c>
      <c r="AJ3192">
        <v>12</v>
      </c>
      <c r="AM3192">
        <v>0</v>
      </c>
      <c r="AN3192">
        <v>123.04</v>
      </c>
      <c r="AP3192">
        <v>7</v>
      </c>
    </row>
    <row r="3193" spans="1:42" x14ac:dyDescent="0.25">
      <c r="A3193" t="s">
        <v>45</v>
      </c>
      <c r="B3193">
        <v>2</v>
      </c>
      <c r="C3193" t="s">
        <v>2110</v>
      </c>
      <c r="D3193" s="39">
        <v>46065</v>
      </c>
      <c r="E3193" t="s">
        <v>486</v>
      </c>
      <c r="F3193" t="s">
        <v>79</v>
      </c>
      <c r="G3193">
        <v>6</v>
      </c>
      <c r="H3193">
        <v>5</v>
      </c>
      <c r="I3193" t="s">
        <v>79</v>
      </c>
      <c r="J3193">
        <v>1500</v>
      </c>
      <c r="K3193" t="s">
        <v>79</v>
      </c>
      <c r="L3193">
        <v>9</v>
      </c>
      <c r="M3193">
        <v>215.63</v>
      </c>
      <c r="N3193">
        <v>5.3999999999999995</v>
      </c>
      <c r="Q3193">
        <v>210.23</v>
      </c>
      <c r="R3193" t="s">
        <v>2115</v>
      </c>
      <c r="V3193">
        <v>0</v>
      </c>
      <c r="W3193">
        <v>0</v>
      </c>
      <c r="AF3193">
        <v>0</v>
      </c>
      <c r="AG3193">
        <v>0</v>
      </c>
      <c r="AH3193">
        <v>0</v>
      </c>
      <c r="AI3193">
        <v>12</v>
      </c>
      <c r="AJ3193">
        <v>12</v>
      </c>
      <c r="AM3193">
        <v>0</v>
      </c>
      <c r="AN3193">
        <v>220.63</v>
      </c>
      <c r="AP3193">
        <v>7</v>
      </c>
    </row>
    <row r="3194" spans="1:42" x14ac:dyDescent="0.25">
      <c r="A3194" t="s">
        <v>46</v>
      </c>
      <c r="B3194">
        <v>2</v>
      </c>
      <c r="C3194" t="s">
        <v>2110</v>
      </c>
      <c r="D3194" s="39">
        <v>46065</v>
      </c>
      <c r="E3194" t="s">
        <v>486</v>
      </c>
      <c r="F3194" t="s">
        <v>79</v>
      </c>
      <c r="G3194">
        <v>6</v>
      </c>
      <c r="H3194">
        <v>5</v>
      </c>
      <c r="I3194" t="s">
        <v>79</v>
      </c>
      <c r="J3194">
        <v>1500</v>
      </c>
      <c r="K3194" t="s">
        <v>79</v>
      </c>
      <c r="L3194">
        <v>6</v>
      </c>
      <c r="M3194">
        <v>117.72999999999999</v>
      </c>
      <c r="N3194">
        <v>3.5999999999999996</v>
      </c>
      <c r="Q3194">
        <v>114.13</v>
      </c>
      <c r="R3194" t="s">
        <v>2115</v>
      </c>
      <c r="V3194">
        <v>0</v>
      </c>
      <c r="W3194">
        <v>0</v>
      </c>
      <c r="AF3194">
        <v>0</v>
      </c>
      <c r="AG3194">
        <v>0</v>
      </c>
      <c r="AH3194">
        <v>0</v>
      </c>
      <c r="AI3194">
        <v>12</v>
      </c>
      <c r="AJ3194">
        <v>12</v>
      </c>
      <c r="AM3194">
        <v>0</v>
      </c>
      <c r="AN3194">
        <v>122.73</v>
      </c>
      <c r="AP3194">
        <v>7</v>
      </c>
    </row>
    <row r="3195" spans="1:42" x14ac:dyDescent="0.25">
      <c r="A3195" t="s">
        <v>46</v>
      </c>
      <c r="B3195">
        <v>2</v>
      </c>
      <c r="C3195" t="s">
        <v>2135</v>
      </c>
      <c r="D3195" s="39">
        <v>46065</v>
      </c>
      <c r="E3195" t="s">
        <v>486</v>
      </c>
      <c r="F3195" t="s">
        <v>79</v>
      </c>
      <c r="G3195">
        <v>5</v>
      </c>
      <c r="H3195" t="s">
        <v>92</v>
      </c>
      <c r="I3195" t="s">
        <v>79</v>
      </c>
      <c r="J3195">
        <v>1000</v>
      </c>
      <c r="K3195" t="s">
        <v>79</v>
      </c>
      <c r="L3195">
        <v>3</v>
      </c>
      <c r="M3195">
        <v>50.72</v>
      </c>
      <c r="N3195">
        <v>1.5</v>
      </c>
      <c r="Q3195">
        <v>49.22</v>
      </c>
      <c r="R3195" t="s">
        <v>2136</v>
      </c>
      <c r="S3195">
        <v>15</v>
      </c>
      <c r="V3195">
        <v>15</v>
      </c>
      <c r="W3195">
        <v>0.25</v>
      </c>
      <c r="X3195">
        <v>60</v>
      </c>
      <c r="AF3195">
        <v>60</v>
      </c>
      <c r="AG3195">
        <v>1</v>
      </c>
      <c r="AH3195">
        <v>1.25</v>
      </c>
      <c r="AI3195">
        <v>10.75</v>
      </c>
      <c r="AJ3195">
        <v>12</v>
      </c>
      <c r="AM3195">
        <v>0</v>
      </c>
      <c r="AN3195">
        <v>55.72</v>
      </c>
      <c r="AP3195">
        <v>7</v>
      </c>
    </row>
    <row r="3196" spans="1:42" x14ac:dyDescent="0.25">
      <c r="A3196" t="s">
        <v>45</v>
      </c>
      <c r="B3196">
        <v>5</v>
      </c>
      <c r="C3196" t="s">
        <v>2122</v>
      </c>
      <c r="D3196" s="39">
        <v>46065</v>
      </c>
      <c r="E3196" t="s">
        <v>486</v>
      </c>
      <c r="F3196" t="s">
        <v>79</v>
      </c>
      <c r="G3196">
        <v>10</v>
      </c>
      <c r="H3196">
        <v>5</v>
      </c>
      <c r="I3196" t="s">
        <v>79</v>
      </c>
      <c r="J3196">
        <v>1000</v>
      </c>
      <c r="K3196" t="s">
        <v>79</v>
      </c>
      <c r="L3196">
        <v>5</v>
      </c>
      <c r="M3196">
        <v>230.94</v>
      </c>
      <c r="N3196">
        <v>5</v>
      </c>
      <c r="Q3196">
        <v>225.94</v>
      </c>
      <c r="R3196" t="s">
        <v>2123</v>
      </c>
      <c r="S3196">
        <v>20</v>
      </c>
      <c r="V3196">
        <v>20</v>
      </c>
      <c r="W3196">
        <v>0.33333333333333331</v>
      </c>
      <c r="AF3196">
        <v>0</v>
      </c>
      <c r="AG3196">
        <v>0</v>
      </c>
      <c r="AH3196">
        <v>0.33333333333333331</v>
      </c>
      <c r="AI3196">
        <v>11.666666666666666</v>
      </c>
      <c r="AJ3196">
        <v>12</v>
      </c>
      <c r="AM3196">
        <v>0</v>
      </c>
      <c r="AN3196">
        <v>235.94</v>
      </c>
      <c r="AP3196">
        <v>7</v>
      </c>
    </row>
    <row r="3197" spans="1:42" x14ac:dyDescent="0.25">
      <c r="A3197" t="s">
        <v>45</v>
      </c>
      <c r="B3197">
        <v>5</v>
      </c>
      <c r="C3197" t="s">
        <v>2124</v>
      </c>
      <c r="D3197" s="39">
        <v>46065</v>
      </c>
      <c r="E3197" t="s">
        <v>253</v>
      </c>
      <c r="F3197" t="s">
        <v>79</v>
      </c>
      <c r="G3197">
        <v>14</v>
      </c>
      <c r="H3197" t="s">
        <v>116</v>
      </c>
      <c r="I3197" t="s">
        <v>79</v>
      </c>
      <c r="J3197">
        <v>1000</v>
      </c>
      <c r="K3197" t="s">
        <v>79</v>
      </c>
      <c r="L3197">
        <v>5</v>
      </c>
      <c r="M3197">
        <v>274.77</v>
      </c>
      <c r="N3197">
        <v>8</v>
      </c>
      <c r="O3197">
        <v>5</v>
      </c>
      <c r="Q3197">
        <v>266.77</v>
      </c>
      <c r="R3197" t="s">
        <v>2125</v>
      </c>
      <c r="V3197">
        <v>0</v>
      </c>
      <c r="W3197">
        <v>0</v>
      </c>
      <c r="AF3197">
        <v>0</v>
      </c>
      <c r="AG3197">
        <v>0</v>
      </c>
      <c r="AH3197">
        <v>0</v>
      </c>
      <c r="AI3197">
        <v>12</v>
      </c>
      <c r="AJ3197">
        <v>12</v>
      </c>
      <c r="AM3197">
        <v>0</v>
      </c>
      <c r="AN3197">
        <v>279.77</v>
      </c>
      <c r="AP3197">
        <v>7</v>
      </c>
    </row>
    <row r="3198" spans="1:42" x14ac:dyDescent="0.25">
      <c r="A3198" t="s">
        <v>46</v>
      </c>
      <c r="B3198">
        <v>5</v>
      </c>
      <c r="C3198" t="s">
        <v>2124</v>
      </c>
      <c r="D3198" s="39">
        <v>46065</v>
      </c>
      <c r="E3198" t="s">
        <v>253</v>
      </c>
      <c r="F3198" t="s">
        <v>79</v>
      </c>
      <c r="G3198">
        <v>14</v>
      </c>
      <c r="H3198" t="s">
        <v>116</v>
      </c>
      <c r="I3198" t="s">
        <v>79</v>
      </c>
      <c r="J3198">
        <v>1000</v>
      </c>
      <c r="K3198" t="s">
        <v>79</v>
      </c>
      <c r="L3198">
        <v>5</v>
      </c>
      <c r="M3198">
        <v>275.15999999999997</v>
      </c>
      <c r="N3198">
        <v>7</v>
      </c>
      <c r="O3198">
        <v>5</v>
      </c>
      <c r="Q3198">
        <v>268.15999999999997</v>
      </c>
      <c r="R3198" t="s">
        <v>2125</v>
      </c>
      <c r="V3198">
        <v>0</v>
      </c>
      <c r="W3198">
        <v>0</v>
      </c>
      <c r="AF3198">
        <v>0</v>
      </c>
      <c r="AG3198">
        <v>0</v>
      </c>
      <c r="AH3198">
        <v>0</v>
      </c>
      <c r="AI3198">
        <v>12</v>
      </c>
      <c r="AJ3198">
        <v>12</v>
      </c>
      <c r="AM3198">
        <v>0</v>
      </c>
      <c r="AN3198">
        <v>280.15999999999997</v>
      </c>
      <c r="AP3198">
        <v>7</v>
      </c>
    </row>
    <row r="3199" spans="1:42" x14ac:dyDescent="0.25">
      <c r="A3199" t="s">
        <v>46</v>
      </c>
      <c r="B3199">
        <v>5</v>
      </c>
      <c r="C3199" t="s">
        <v>2122</v>
      </c>
      <c r="D3199" s="39">
        <v>46065</v>
      </c>
      <c r="E3199" t="s">
        <v>486</v>
      </c>
      <c r="F3199" t="s">
        <v>79</v>
      </c>
      <c r="G3199">
        <v>10</v>
      </c>
      <c r="H3199">
        <v>5</v>
      </c>
      <c r="I3199" t="s">
        <v>79</v>
      </c>
      <c r="J3199">
        <v>1000</v>
      </c>
      <c r="K3199" t="s">
        <v>79</v>
      </c>
      <c r="L3199">
        <v>5</v>
      </c>
      <c r="M3199">
        <v>206.25</v>
      </c>
      <c r="N3199">
        <v>5</v>
      </c>
      <c r="Q3199">
        <v>201.25</v>
      </c>
      <c r="R3199" t="s">
        <v>2123</v>
      </c>
      <c r="S3199">
        <v>20</v>
      </c>
      <c r="V3199">
        <v>20</v>
      </c>
      <c r="W3199">
        <v>0.33333333333333331</v>
      </c>
      <c r="X3199">
        <v>80</v>
      </c>
      <c r="AF3199">
        <v>80</v>
      </c>
      <c r="AG3199">
        <v>1.3333333333333333</v>
      </c>
      <c r="AH3199">
        <v>1.6666666666666663</v>
      </c>
      <c r="AI3199">
        <v>10.333333333333334</v>
      </c>
      <c r="AJ3199">
        <v>12</v>
      </c>
      <c r="AM3199">
        <v>0</v>
      </c>
      <c r="AN3199">
        <v>211.25</v>
      </c>
      <c r="AP3199">
        <v>7</v>
      </c>
    </row>
    <row r="3200" spans="1:42" x14ac:dyDescent="0.25">
      <c r="A3200" t="s">
        <v>46</v>
      </c>
      <c r="B3200">
        <v>4</v>
      </c>
      <c r="C3200" t="s">
        <v>2137</v>
      </c>
      <c r="D3200" s="39">
        <v>46065</v>
      </c>
      <c r="E3200" t="s">
        <v>276</v>
      </c>
      <c r="F3200" t="s">
        <v>79</v>
      </c>
      <c r="G3200">
        <v>28</v>
      </c>
      <c r="H3200" t="s">
        <v>113</v>
      </c>
      <c r="I3200" t="s">
        <v>79</v>
      </c>
      <c r="J3200" t="s">
        <v>81</v>
      </c>
      <c r="K3200" t="s">
        <v>79</v>
      </c>
      <c r="L3200">
        <v>3</v>
      </c>
      <c r="M3200">
        <v>182.88</v>
      </c>
      <c r="N3200">
        <v>8.3999999999999986</v>
      </c>
      <c r="Q3200">
        <v>174.48</v>
      </c>
      <c r="R3200" t="s">
        <v>2138</v>
      </c>
      <c r="V3200">
        <v>0</v>
      </c>
      <c r="W3200">
        <v>0</v>
      </c>
      <c r="AF3200">
        <v>0</v>
      </c>
      <c r="AG3200">
        <v>0</v>
      </c>
      <c r="AH3200">
        <v>0</v>
      </c>
      <c r="AI3200">
        <v>12</v>
      </c>
      <c r="AJ3200">
        <v>12</v>
      </c>
      <c r="AM3200">
        <v>0</v>
      </c>
      <c r="AN3200">
        <v>187.88</v>
      </c>
      <c r="AP3200">
        <v>7</v>
      </c>
    </row>
    <row r="3201" spans="1:42" x14ac:dyDescent="0.25">
      <c r="A3201" t="s">
        <v>46</v>
      </c>
      <c r="B3201">
        <v>4</v>
      </c>
      <c r="C3201" t="s">
        <v>2137</v>
      </c>
      <c r="D3201" s="39">
        <v>46065</v>
      </c>
      <c r="E3201" t="s">
        <v>276</v>
      </c>
      <c r="F3201" t="s">
        <v>79</v>
      </c>
      <c r="G3201">
        <v>28</v>
      </c>
      <c r="H3201" t="s">
        <v>113</v>
      </c>
      <c r="I3201" t="s">
        <v>79</v>
      </c>
      <c r="J3201" t="s">
        <v>81</v>
      </c>
      <c r="K3201" t="s">
        <v>79</v>
      </c>
      <c r="L3201">
        <v>4</v>
      </c>
      <c r="M3201">
        <v>248.64</v>
      </c>
      <c r="N3201">
        <v>11.2</v>
      </c>
      <c r="Q3201">
        <v>237.44</v>
      </c>
      <c r="R3201" t="s">
        <v>2138</v>
      </c>
      <c r="T3201">
        <v>240</v>
      </c>
      <c r="V3201">
        <v>240</v>
      </c>
      <c r="W3201">
        <v>4</v>
      </c>
      <c r="X3201">
        <v>80</v>
      </c>
      <c r="AF3201">
        <v>80</v>
      </c>
      <c r="AG3201">
        <v>1.3333333333333333</v>
      </c>
      <c r="AH3201">
        <v>5.333333333333333</v>
      </c>
      <c r="AI3201">
        <v>6.666666666666667</v>
      </c>
      <c r="AJ3201">
        <v>12</v>
      </c>
      <c r="AM3201">
        <v>0</v>
      </c>
      <c r="AN3201">
        <v>253.64</v>
      </c>
      <c r="AP3201">
        <v>7</v>
      </c>
    </row>
    <row r="3202" spans="1:42" x14ac:dyDescent="0.25">
      <c r="A3202" t="s">
        <v>45</v>
      </c>
      <c r="B3202">
        <v>1</v>
      </c>
      <c r="C3202" t="s">
        <v>2109</v>
      </c>
      <c r="D3202" s="39">
        <v>46066</v>
      </c>
      <c r="E3202" t="s">
        <v>486</v>
      </c>
      <c r="F3202" t="s">
        <v>79</v>
      </c>
      <c r="G3202">
        <v>3</v>
      </c>
      <c r="H3202" t="s">
        <v>92</v>
      </c>
      <c r="I3202" t="s">
        <v>79</v>
      </c>
      <c r="J3202">
        <v>1000</v>
      </c>
      <c r="K3202" t="s">
        <v>79</v>
      </c>
      <c r="L3202">
        <v>7</v>
      </c>
      <c r="M3202">
        <v>136</v>
      </c>
      <c r="N3202">
        <v>2.1</v>
      </c>
      <c r="Q3202">
        <v>133.9</v>
      </c>
      <c r="R3202" t="s">
        <v>2114</v>
      </c>
      <c r="V3202">
        <v>0</v>
      </c>
      <c r="W3202">
        <v>0</v>
      </c>
      <c r="AF3202">
        <v>0</v>
      </c>
      <c r="AG3202">
        <v>0</v>
      </c>
      <c r="AH3202">
        <v>0</v>
      </c>
      <c r="AI3202">
        <v>12</v>
      </c>
      <c r="AJ3202">
        <v>12</v>
      </c>
      <c r="AM3202">
        <v>0</v>
      </c>
      <c r="AN3202">
        <v>141</v>
      </c>
      <c r="AP3202">
        <v>7</v>
      </c>
    </row>
    <row r="3203" spans="1:42" x14ac:dyDescent="0.25">
      <c r="A3203" t="s">
        <v>46</v>
      </c>
      <c r="B3203">
        <v>1</v>
      </c>
      <c r="C3203" t="s">
        <v>2109</v>
      </c>
      <c r="D3203" s="39">
        <v>46066</v>
      </c>
      <c r="E3203" t="s">
        <v>486</v>
      </c>
      <c r="F3203" t="s">
        <v>79</v>
      </c>
      <c r="G3203">
        <v>3</v>
      </c>
      <c r="H3203" t="s">
        <v>92</v>
      </c>
      <c r="I3203" t="s">
        <v>79</v>
      </c>
      <c r="J3203">
        <v>1000</v>
      </c>
      <c r="K3203" t="s">
        <v>79</v>
      </c>
      <c r="L3203">
        <v>7</v>
      </c>
      <c r="M3203">
        <v>135.60000000000002</v>
      </c>
      <c r="N3203">
        <v>2.1</v>
      </c>
      <c r="Q3203">
        <v>133.50000000000003</v>
      </c>
      <c r="R3203" t="s">
        <v>2114</v>
      </c>
      <c r="V3203">
        <v>0</v>
      </c>
      <c r="W3203">
        <v>0</v>
      </c>
      <c r="AF3203">
        <v>0</v>
      </c>
      <c r="AG3203">
        <v>0</v>
      </c>
      <c r="AH3203">
        <v>0</v>
      </c>
      <c r="AI3203">
        <v>12</v>
      </c>
      <c r="AJ3203">
        <v>12</v>
      </c>
      <c r="AM3203">
        <v>0</v>
      </c>
      <c r="AN3203">
        <v>140.60000000000002</v>
      </c>
      <c r="AP3203">
        <v>7</v>
      </c>
    </row>
    <row r="3204" spans="1:42" x14ac:dyDescent="0.25">
      <c r="A3204" t="s">
        <v>45</v>
      </c>
      <c r="B3204">
        <v>2</v>
      </c>
      <c r="C3204" t="s">
        <v>2135</v>
      </c>
      <c r="D3204" s="39">
        <v>46066</v>
      </c>
      <c r="E3204" t="s">
        <v>486</v>
      </c>
      <c r="F3204" t="s">
        <v>79</v>
      </c>
      <c r="G3204">
        <v>5</v>
      </c>
      <c r="H3204" t="s">
        <v>92</v>
      </c>
      <c r="I3204" t="s">
        <v>79</v>
      </c>
      <c r="J3204">
        <v>1000</v>
      </c>
      <c r="K3204" t="s">
        <v>79</v>
      </c>
      <c r="L3204">
        <v>9</v>
      </c>
      <c r="M3204">
        <v>193.60999999999999</v>
      </c>
      <c r="N3204">
        <v>4.5</v>
      </c>
      <c r="Q3204">
        <v>189.10999999999999</v>
      </c>
      <c r="R3204" t="s">
        <v>2136</v>
      </c>
      <c r="V3204">
        <v>0</v>
      </c>
      <c r="W3204">
        <v>0</v>
      </c>
      <c r="AF3204">
        <v>0</v>
      </c>
      <c r="AG3204">
        <v>0</v>
      </c>
      <c r="AH3204">
        <v>0</v>
      </c>
      <c r="AI3204">
        <v>12</v>
      </c>
      <c r="AJ3204">
        <v>12</v>
      </c>
      <c r="AM3204">
        <v>0</v>
      </c>
      <c r="AN3204">
        <v>198.61</v>
      </c>
      <c r="AP3204">
        <v>7</v>
      </c>
    </row>
    <row r="3205" spans="1:42" x14ac:dyDescent="0.25">
      <c r="A3205" t="s">
        <v>46</v>
      </c>
      <c r="B3205">
        <v>2</v>
      </c>
      <c r="C3205" t="s">
        <v>2135</v>
      </c>
      <c r="D3205" s="39">
        <v>46066</v>
      </c>
      <c r="E3205" t="s">
        <v>486</v>
      </c>
      <c r="F3205" t="s">
        <v>79</v>
      </c>
      <c r="G3205">
        <v>5</v>
      </c>
      <c r="H3205" t="s">
        <v>92</v>
      </c>
      <c r="I3205" t="s">
        <v>79</v>
      </c>
      <c r="J3205">
        <v>1000</v>
      </c>
      <c r="K3205" t="s">
        <v>79</v>
      </c>
      <c r="L3205">
        <v>10</v>
      </c>
      <c r="M3205">
        <v>195.41000000000003</v>
      </c>
      <c r="N3205">
        <v>5</v>
      </c>
      <c r="Q3205">
        <v>190.41000000000003</v>
      </c>
      <c r="R3205" t="s">
        <v>2136</v>
      </c>
      <c r="V3205">
        <v>0</v>
      </c>
      <c r="W3205">
        <v>0</v>
      </c>
      <c r="AF3205">
        <v>0</v>
      </c>
      <c r="AG3205">
        <v>0</v>
      </c>
      <c r="AH3205">
        <v>0</v>
      </c>
      <c r="AI3205">
        <v>12</v>
      </c>
      <c r="AJ3205">
        <v>12</v>
      </c>
      <c r="AM3205">
        <v>0</v>
      </c>
      <c r="AN3205">
        <v>200.41000000000005</v>
      </c>
      <c r="AP3205">
        <v>7</v>
      </c>
    </row>
    <row r="3206" spans="1:42" x14ac:dyDescent="0.25">
      <c r="A3206" t="s">
        <v>45</v>
      </c>
      <c r="B3206">
        <v>4</v>
      </c>
      <c r="C3206" t="s">
        <v>2137</v>
      </c>
      <c r="D3206" s="39">
        <v>46066</v>
      </c>
      <c r="E3206" t="s">
        <v>276</v>
      </c>
      <c r="F3206" t="s">
        <v>79</v>
      </c>
      <c r="G3206">
        <v>28</v>
      </c>
      <c r="H3206" t="s">
        <v>113</v>
      </c>
      <c r="I3206" t="s">
        <v>79</v>
      </c>
      <c r="J3206" t="s">
        <v>81</v>
      </c>
      <c r="K3206" t="s">
        <v>79</v>
      </c>
      <c r="L3206">
        <v>8</v>
      </c>
      <c r="M3206">
        <v>601.99</v>
      </c>
      <c r="N3206">
        <v>28</v>
      </c>
      <c r="Q3206">
        <v>573.99</v>
      </c>
      <c r="R3206" t="s">
        <v>2138</v>
      </c>
      <c r="V3206">
        <v>0</v>
      </c>
      <c r="W3206">
        <v>0</v>
      </c>
      <c r="AF3206">
        <v>0</v>
      </c>
      <c r="AG3206">
        <v>0</v>
      </c>
      <c r="AH3206">
        <v>0</v>
      </c>
      <c r="AI3206">
        <v>12</v>
      </c>
      <c r="AJ3206">
        <v>12</v>
      </c>
      <c r="AM3206">
        <v>0</v>
      </c>
      <c r="AN3206">
        <v>606.99</v>
      </c>
      <c r="AP3206">
        <v>7</v>
      </c>
    </row>
    <row r="3207" spans="1:42" x14ac:dyDescent="0.25">
      <c r="A3207" t="s">
        <v>45</v>
      </c>
      <c r="B3207">
        <v>4</v>
      </c>
      <c r="C3207" t="s">
        <v>2139</v>
      </c>
      <c r="D3207" s="39">
        <v>46066</v>
      </c>
      <c r="E3207" t="s">
        <v>243</v>
      </c>
      <c r="F3207" t="s">
        <v>525</v>
      </c>
      <c r="G3207">
        <v>22</v>
      </c>
      <c r="H3207" t="s">
        <v>524</v>
      </c>
      <c r="I3207" t="s">
        <v>525</v>
      </c>
      <c r="J3207">
        <v>1000</v>
      </c>
      <c r="K3207" t="s">
        <v>79</v>
      </c>
      <c r="L3207">
        <v>2</v>
      </c>
      <c r="M3207">
        <v>80.36</v>
      </c>
      <c r="N3207">
        <v>4.4000000000000004</v>
      </c>
      <c r="O3207">
        <v>115</v>
      </c>
      <c r="Q3207">
        <v>75.959999999999994</v>
      </c>
      <c r="R3207" t="s">
        <v>2140</v>
      </c>
      <c r="S3207">
        <v>60</v>
      </c>
      <c r="V3207">
        <v>60</v>
      </c>
      <c r="W3207">
        <v>1</v>
      </c>
      <c r="Z3207">
        <v>60</v>
      </c>
      <c r="AF3207">
        <v>60</v>
      </c>
      <c r="AG3207">
        <v>1</v>
      </c>
      <c r="AH3207">
        <v>2</v>
      </c>
      <c r="AI3207">
        <v>10</v>
      </c>
      <c r="AJ3207">
        <v>12</v>
      </c>
      <c r="AM3207">
        <v>0</v>
      </c>
      <c r="AN3207">
        <v>85.36</v>
      </c>
      <c r="AP3207">
        <v>7</v>
      </c>
    </row>
    <row r="3208" spans="1:42" x14ac:dyDescent="0.25">
      <c r="A3208" t="s">
        <v>46</v>
      </c>
      <c r="B3208">
        <v>4</v>
      </c>
      <c r="C3208" t="s">
        <v>2139</v>
      </c>
      <c r="D3208" s="39">
        <v>46066</v>
      </c>
      <c r="E3208" t="s">
        <v>243</v>
      </c>
      <c r="F3208" t="s">
        <v>525</v>
      </c>
      <c r="G3208">
        <v>22</v>
      </c>
      <c r="H3208" t="s">
        <v>524</v>
      </c>
      <c r="I3208" t="s">
        <v>525</v>
      </c>
      <c r="J3208">
        <v>1000</v>
      </c>
      <c r="K3208" t="s">
        <v>79</v>
      </c>
      <c r="L3208">
        <v>29</v>
      </c>
      <c r="M3208">
        <v>1152.7699999999998</v>
      </c>
      <c r="N3208">
        <v>63.800000000000004</v>
      </c>
      <c r="O3208">
        <v>112</v>
      </c>
      <c r="Q3208">
        <v>1088.9699999999998</v>
      </c>
      <c r="R3208" t="s">
        <v>2140</v>
      </c>
      <c r="S3208">
        <v>45</v>
      </c>
      <c r="V3208">
        <v>45</v>
      </c>
      <c r="W3208">
        <v>0.75</v>
      </c>
      <c r="AF3208">
        <v>0</v>
      </c>
      <c r="AG3208">
        <v>0</v>
      </c>
      <c r="AH3208">
        <v>0.75</v>
      </c>
      <c r="AI3208">
        <v>11.25</v>
      </c>
      <c r="AJ3208">
        <v>12</v>
      </c>
      <c r="AM3208">
        <v>0</v>
      </c>
      <c r="AN3208">
        <v>1157.7699999999998</v>
      </c>
      <c r="AP3208">
        <v>7</v>
      </c>
    </row>
    <row r="3209" spans="1:42" x14ac:dyDescent="0.25">
      <c r="A3209" t="s">
        <v>45</v>
      </c>
      <c r="B3209">
        <v>5</v>
      </c>
      <c r="C3209" t="s">
        <v>2122</v>
      </c>
      <c r="D3209" s="39">
        <v>46066</v>
      </c>
      <c r="E3209" t="s">
        <v>486</v>
      </c>
      <c r="F3209" t="s">
        <v>79</v>
      </c>
      <c r="G3209">
        <v>10</v>
      </c>
      <c r="H3209">
        <v>5</v>
      </c>
      <c r="I3209" t="s">
        <v>79</v>
      </c>
      <c r="J3209">
        <v>1000</v>
      </c>
      <c r="K3209" t="s">
        <v>79</v>
      </c>
      <c r="L3209">
        <v>1</v>
      </c>
      <c r="M3209">
        <v>48.57</v>
      </c>
      <c r="N3209">
        <v>1.2</v>
      </c>
      <c r="Q3209">
        <v>47.37</v>
      </c>
      <c r="R3209" t="s">
        <v>2123</v>
      </c>
      <c r="V3209">
        <v>0</v>
      </c>
      <c r="W3209">
        <v>0</v>
      </c>
      <c r="AF3209">
        <v>0</v>
      </c>
      <c r="AG3209">
        <v>0</v>
      </c>
      <c r="AH3209">
        <v>0</v>
      </c>
      <c r="AI3209">
        <v>12</v>
      </c>
      <c r="AJ3209">
        <v>12</v>
      </c>
      <c r="AM3209">
        <v>0</v>
      </c>
      <c r="AN3209">
        <v>53.57</v>
      </c>
      <c r="AP3209">
        <v>7</v>
      </c>
    </row>
    <row r="3210" spans="1:42" x14ac:dyDescent="0.25">
      <c r="A3210" t="s">
        <v>45</v>
      </c>
      <c r="B3210">
        <v>5</v>
      </c>
      <c r="C3210" t="s">
        <v>2141</v>
      </c>
      <c r="D3210" s="39">
        <v>46066</v>
      </c>
      <c r="E3210" t="s">
        <v>2142</v>
      </c>
      <c r="F3210" t="s">
        <v>79</v>
      </c>
      <c r="G3210">
        <v>15</v>
      </c>
      <c r="H3210" t="s">
        <v>102</v>
      </c>
      <c r="I3210" t="s">
        <v>79</v>
      </c>
      <c r="J3210">
        <v>200</v>
      </c>
      <c r="K3210" t="s">
        <v>79</v>
      </c>
      <c r="L3210">
        <v>4</v>
      </c>
      <c r="M3210">
        <v>219.03999999999996</v>
      </c>
      <c r="N3210">
        <v>7.2</v>
      </c>
      <c r="Q3210">
        <v>211.83999999999997</v>
      </c>
      <c r="R3210" t="s">
        <v>2143</v>
      </c>
      <c r="V3210">
        <v>0</v>
      </c>
      <c r="W3210">
        <v>0</v>
      </c>
      <c r="AF3210">
        <v>0</v>
      </c>
      <c r="AG3210">
        <v>0</v>
      </c>
      <c r="AH3210">
        <v>0</v>
      </c>
      <c r="AI3210">
        <v>12</v>
      </c>
      <c r="AJ3210">
        <v>12</v>
      </c>
      <c r="AM3210">
        <v>0</v>
      </c>
      <c r="AN3210">
        <v>224.03999999999996</v>
      </c>
      <c r="AP3210">
        <v>7</v>
      </c>
    </row>
    <row r="3211" spans="1:42" x14ac:dyDescent="0.25">
      <c r="A3211" t="s">
        <v>45</v>
      </c>
      <c r="B3211">
        <v>5</v>
      </c>
      <c r="C3211" t="s">
        <v>2144</v>
      </c>
      <c r="D3211" s="39">
        <v>46066</v>
      </c>
      <c r="E3211" t="s">
        <v>482</v>
      </c>
      <c r="F3211" t="s">
        <v>79</v>
      </c>
      <c r="G3211">
        <v>10</v>
      </c>
      <c r="H3211" t="s">
        <v>102</v>
      </c>
      <c r="I3211" t="s">
        <v>79</v>
      </c>
      <c r="J3211">
        <v>150</v>
      </c>
      <c r="K3211" t="s">
        <v>79</v>
      </c>
      <c r="L3211">
        <v>3</v>
      </c>
      <c r="M3211">
        <v>156.63999999999999</v>
      </c>
      <c r="N3211">
        <v>3.5999999999999996</v>
      </c>
      <c r="Q3211">
        <v>153.04</v>
      </c>
      <c r="R3211" t="s">
        <v>2145</v>
      </c>
      <c r="V3211">
        <v>0</v>
      </c>
      <c r="W3211">
        <v>0</v>
      </c>
      <c r="AF3211">
        <v>0</v>
      </c>
      <c r="AG3211">
        <v>0</v>
      </c>
      <c r="AH3211">
        <v>0</v>
      </c>
      <c r="AI3211">
        <v>12</v>
      </c>
      <c r="AJ3211">
        <v>12</v>
      </c>
      <c r="AM3211">
        <v>0</v>
      </c>
      <c r="AN3211">
        <v>161.63999999999999</v>
      </c>
      <c r="AP3211">
        <v>7</v>
      </c>
    </row>
    <row r="3212" spans="1:42" x14ac:dyDescent="0.25">
      <c r="A3212" t="s">
        <v>45</v>
      </c>
      <c r="B3212">
        <v>5</v>
      </c>
      <c r="C3212" t="s">
        <v>2146</v>
      </c>
      <c r="D3212" s="39">
        <v>46066</v>
      </c>
      <c r="E3212" t="s">
        <v>411</v>
      </c>
      <c r="F3212" t="s">
        <v>79</v>
      </c>
      <c r="G3212">
        <v>15</v>
      </c>
      <c r="H3212" t="s">
        <v>123</v>
      </c>
      <c r="I3212" t="s">
        <v>79</v>
      </c>
      <c r="J3212">
        <v>100</v>
      </c>
      <c r="K3212" t="s">
        <v>79</v>
      </c>
      <c r="L3212">
        <v>1</v>
      </c>
      <c r="M3212">
        <v>50.1</v>
      </c>
      <c r="N3212">
        <v>1.8</v>
      </c>
      <c r="O3212">
        <v>3</v>
      </c>
      <c r="Q3212">
        <v>48.300000000000004</v>
      </c>
      <c r="R3212" t="s">
        <v>2147</v>
      </c>
      <c r="S3212">
        <v>20</v>
      </c>
      <c r="V3212">
        <v>20</v>
      </c>
      <c r="W3212">
        <v>0.33333333333333331</v>
      </c>
      <c r="AF3212">
        <v>0</v>
      </c>
      <c r="AG3212">
        <v>0</v>
      </c>
      <c r="AH3212">
        <v>0.33333333333333331</v>
      </c>
      <c r="AI3212">
        <v>11.666666666666666</v>
      </c>
      <c r="AJ3212">
        <v>12</v>
      </c>
      <c r="AM3212">
        <v>0</v>
      </c>
      <c r="AN3212">
        <v>55.1</v>
      </c>
      <c r="AP3212">
        <v>7</v>
      </c>
    </row>
    <row r="3213" spans="1:42" x14ac:dyDescent="0.25">
      <c r="A3213" t="s">
        <v>46</v>
      </c>
      <c r="B3213">
        <v>5</v>
      </c>
      <c r="C3213" t="s">
        <v>2146</v>
      </c>
      <c r="D3213" s="39">
        <v>46066</v>
      </c>
      <c r="E3213" t="s">
        <v>411</v>
      </c>
      <c r="F3213" t="s">
        <v>79</v>
      </c>
      <c r="G3213">
        <v>15</v>
      </c>
      <c r="H3213" t="s">
        <v>123</v>
      </c>
      <c r="I3213" t="s">
        <v>79</v>
      </c>
      <c r="J3213">
        <v>100</v>
      </c>
      <c r="K3213" t="s">
        <v>79</v>
      </c>
      <c r="L3213">
        <v>1</v>
      </c>
      <c r="M3213">
        <v>54.7</v>
      </c>
      <c r="N3213">
        <v>1.5</v>
      </c>
      <c r="O3213">
        <v>3</v>
      </c>
      <c r="Q3213">
        <v>53.2</v>
      </c>
      <c r="R3213" t="s">
        <v>2147</v>
      </c>
      <c r="S3213">
        <v>25</v>
      </c>
      <c r="V3213">
        <v>25</v>
      </c>
      <c r="W3213">
        <v>0.41666666666666674</v>
      </c>
      <c r="AF3213">
        <v>0</v>
      </c>
      <c r="AG3213">
        <v>0</v>
      </c>
      <c r="AH3213">
        <v>0.41666666666666674</v>
      </c>
      <c r="AI3213">
        <v>11.583333333333334</v>
      </c>
      <c r="AJ3213">
        <v>12</v>
      </c>
      <c r="AM3213">
        <v>0</v>
      </c>
      <c r="AN3213">
        <v>59.7</v>
      </c>
      <c r="AP3213">
        <v>7</v>
      </c>
    </row>
    <row r="3214" spans="1:42" x14ac:dyDescent="0.25">
      <c r="A3214" t="s">
        <v>46</v>
      </c>
      <c r="B3214">
        <v>5</v>
      </c>
      <c r="C3214" t="s">
        <v>2148</v>
      </c>
      <c r="D3214" s="39">
        <v>46066</v>
      </c>
      <c r="E3214" t="s">
        <v>639</v>
      </c>
      <c r="F3214" t="s">
        <v>79</v>
      </c>
      <c r="G3214">
        <v>13</v>
      </c>
      <c r="H3214" t="s">
        <v>102</v>
      </c>
      <c r="I3214" t="s">
        <v>79</v>
      </c>
      <c r="J3214">
        <v>500</v>
      </c>
      <c r="K3214" t="s">
        <v>79</v>
      </c>
      <c r="L3214">
        <v>7</v>
      </c>
      <c r="M3214">
        <v>371.34</v>
      </c>
      <c r="N3214">
        <v>9.1</v>
      </c>
      <c r="Q3214">
        <v>362.23999999999995</v>
      </c>
      <c r="R3214" t="s">
        <v>2149</v>
      </c>
      <c r="V3214">
        <v>0</v>
      </c>
      <c r="W3214">
        <v>0</v>
      </c>
      <c r="AF3214">
        <v>0</v>
      </c>
      <c r="AG3214">
        <v>0</v>
      </c>
      <c r="AH3214">
        <v>0</v>
      </c>
      <c r="AI3214">
        <v>12</v>
      </c>
      <c r="AJ3214">
        <v>12</v>
      </c>
      <c r="AM3214">
        <v>0</v>
      </c>
      <c r="AN3214">
        <v>376.34</v>
      </c>
      <c r="AP3214">
        <v>7</v>
      </c>
    </row>
    <row r="3215" spans="1:42" x14ac:dyDescent="0.25">
      <c r="A3215" t="s">
        <v>46</v>
      </c>
      <c r="B3215">
        <v>5</v>
      </c>
      <c r="C3215" t="s">
        <v>2150</v>
      </c>
      <c r="D3215" s="39">
        <v>46066</v>
      </c>
      <c r="E3215" t="s">
        <v>2151</v>
      </c>
      <c r="F3215" t="s">
        <v>79</v>
      </c>
      <c r="G3215">
        <v>15</v>
      </c>
      <c r="H3215" t="s">
        <v>353</v>
      </c>
      <c r="I3215" t="s">
        <v>79</v>
      </c>
      <c r="J3215">
        <v>100</v>
      </c>
      <c r="K3215" t="s">
        <v>79</v>
      </c>
      <c r="L3215">
        <v>2</v>
      </c>
      <c r="M3215">
        <v>106.53</v>
      </c>
      <c r="N3215">
        <v>3</v>
      </c>
      <c r="Q3215">
        <v>103.53</v>
      </c>
      <c r="R3215" t="s">
        <v>2152</v>
      </c>
      <c r="V3215">
        <v>0</v>
      </c>
      <c r="W3215">
        <v>0</v>
      </c>
      <c r="AF3215">
        <v>0</v>
      </c>
      <c r="AG3215">
        <v>0</v>
      </c>
      <c r="AH3215">
        <v>0</v>
      </c>
      <c r="AI3215">
        <v>12</v>
      </c>
      <c r="AJ3215">
        <v>12</v>
      </c>
      <c r="AM3215">
        <v>0</v>
      </c>
      <c r="AN3215">
        <v>111.53</v>
      </c>
      <c r="AP3215">
        <v>7</v>
      </c>
    </row>
    <row r="3216" spans="1:42" x14ac:dyDescent="0.25">
      <c r="A3216" t="s">
        <v>45</v>
      </c>
      <c r="B3216">
        <v>1</v>
      </c>
      <c r="C3216" t="s">
        <v>2109</v>
      </c>
      <c r="D3216" s="39">
        <v>46067</v>
      </c>
      <c r="E3216" t="s">
        <v>486</v>
      </c>
      <c r="F3216" t="s">
        <v>79</v>
      </c>
      <c r="G3216">
        <v>3</v>
      </c>
      <c r="H3216" t="s">
        <v>92</v>
      </c>
      <c r="I3216" t="s">
        <v>79</v>
      </c>
      <c r="J3216">
        <v>1000</v>
      </c>
      <c r="K3216" t="s">
        <v>79</v>
      </c>
      <c r="L3216">
        <v>7</v>
      </c>
      <c r="M3216">
        <v>129.17000000000002</v>
      </c>
      <c r="N3216">
        <v>2.1</v>
      </c>
      <c r="O3216">
        <v>19</v>
      </c>
      <c r="Q3216">
        <v>127.07000000000002</v>
      </c>
      <c r="R3216" t="s">
        <v>2114</v>
      </c>
      <c r="V3216">
        <v>0</v>
      </c>
      <c r="W3216">
        <v>0</v>
      </c>
      <c r="AF3216">
        <v>0</v>
      </c>
      <c r="AG3216">
        <v>0</v>
      </c>
      <c r="AH3216">
        <v>0</v>
      </c>
      <c r="AI3216">
        <v>12</v>
      </c>
      <c r="AJ3216">
        <v>12</v>
      </c>
      <c r="AM3216">
        <v>0</v>
      </c>
      <c r="AN3216">
        <v>134.17000000000002</v>
      </c>
      <c r="AP3216">
        <v>7</v>
      </c>
    </row>
    <row r="3217" spans="1:42" x14ac:dyDescent="0.25">
      <c r="A3217" t="s">
        <v>46</v>
      </c>
      <c r="B3217">
        <v>1</v>
      </c>
      <c r="C3217" t="s">
        <v>2109</v>
      </c>
      <c r="D3217" s="39">
        <v>46067</v>
      </c>
      <c r="E3217" t="s">
        <v>486</v>
      </c>
      <c r="F3217" t="s">
        <v>79</v>
      </c>
      <c r="G3217">
        <v>3</v>
      </c>
      <c r="H3217" t="s">
        <v>92</v>
      </c>
      <c r="I3217" t="s">
        <v>79</v>
      </c>
      <c r="J3217">
        <v>1000</v>
      </c>
      <c r="K3217" t="s">
        <v>79</v>
      </c>
      <c r="L3217">
        <v>7</v>
      </c>
      <c r="M3217">
        <v>127.07</v>
      </c>
      <c r="N3217">
        <v>2.1</v>
      </c>
      <c r="O3217">
        <v>29</v>
      </c>
      <c r="Q3217">
        <v>124.97</v>
      </c>
      <c r="R3217" t="s">
        <v>2114</v>
      </c>
      <c r="V3217">
        <v>0</v>
      </c>
      <c r="W3217">
        <v>0</v>
      </c>
      <c r="X3217">
        <v>60</v>
      </c>
      <c r="AF3217">
        <v>60</v>
      </c>
      <c r="AG3217">
        <v>1</v>
      </c>
      <c r="AH3217">
        <v>1</v>
      </c>
      <c r="AI3217">
        <v>11</v>
      </c>
      <c r="AJ3217">
        <v>12</v>
      </c>
      <c r="AM3217">
        <v>0</v>
      </c>
      <c r="AN3217">
        <v>132.07</v>
      </c>
      <c r="AP3217">
        <v>7</v>
      </c>
    </row>
    <row r="3218" spans="1:42" x14ac:dyDescent="0.25">
      <c r="A3218" t="s">
        <v>45</v>
      </c>
      <c r="B3218">
        <v>2</v>
      </c>
      <c r="C3218" t="s">
        <v>2135</v>
      </c>
      <c r="D3218" s="39">
        <v>46067</v>
      </c>
      <c r="E3218" t="s">
        <v>486</v>
      </c>
      <c r="F3218" t="s">
        <v>79</v>
      </c>
      <c r="G3218">
        <v>5</v>
      </c>
      <c r="H3218" t="s">
        <v>92</v>
      </c>
      <c r="I3218" t="s">
        <v>79</v>
      </c>
      <c r="J3218">
        <v>1000</v>
      </c>
      <c r="K3218" t="s">
        <v>79</v>
      </c>
      <c r="L3218">
        <v>9</v>
      </c>
      <c r="M3218">
        <v>190.15</v>
      </c>
      <c r="N3218">
        <v>4.5</v>
      </c>
      <c r="Q3218">
        <v>185.65</v>
      </c>
      <c r="R3218" t="s">
        <v>2136</v>
      </c>
      <c r="V3218">
        <v>0</v>
      </c>
      <c r="W3218">
        <v>0</v>
      </c>
      <c r="AF3218">
        <v>0</v>
      </c>
      <c r="AG3218">
        <v>0</v>
      </c>
      <c r="AH3218">
        <v>0</v>
      </c>
      <c r="AI3218">
        <v>12</v>
      </c>
      <c r="AJ3218">
        <v>12</v>
      </c>
      <c r="AM3218">
        <v>0</v>
      </c>
      <c r="AN3218">
        <v>195.15</v>
      </c>
      <c r="AP3218">
        <v>7</v>
      </c>
    </row>
    <row r="3219" spans="1:42" x14ac:dyDescent="0.25">
      <c r="A3219" t="s">
        <v>46</v>
      </c>
      <c r="B3219">
        <v>2</v>
      </c>
      <c r="C3219" t="s">
        <v>2135</v>
      </c>
      <c r="D3219" s="39">
        <v>46067</v>
      </c>
      <c r="E3219" t="s">
        <v>486</v>
      </c>
      <c r="F3219" t="s">
        <v>79</v>
      </c>
      <c r="G3219">
        <v>5</v>
      </c>
      <c r="H3219" t="s">
        <v>92</v>
      </c>
      <c r="I3219" t="s">
        <v>79</v>
      </c>
      <c r="J3219">
        <v>1000</v>
      </c>
      <c r="K3219" t="s">
        <v>79</v>
      </c>
      <c r="L3219">
        <v>9</v>
      </c>
      <c r="M3219">
        <v>178.5</v>
      </c>
      <c r="N3219">
        <v>4.5</v>
      </c>
      <c r="Q3219">
        <v>174</v>
      </c>
      <c r="R3219" t="s">
        <v>2136</v>
      </c>
      <c r="V3219">
        <v>0</v>
      </c>
      <c r="W3219">
        <v>0</v>
      </c>
      <c r="X3219">
        <v>60</v>
      </c>
      <c r="AF3219">
        <v>60</v>
      </c>
      <c r="AG3219">
        <v>1</v>
      </c>
      <c r="AH3219">
        <v>1</v>
      </c>
      <c r="AI3219">
        <v>11</v>
      </c>
      <c r="AJ3219">
        <v>12</v>
      </c>
      <c r="AM3219">
        <v>0</v>
      </c>
      <c r="AN3219">
        <v>183.5</v>
      </c>
      <c r="AP3219">
        <v>7</v>
      </c>
    </row>
    <row r="3220" spans="1:42" x14ac:dyDescent="0.25">
      <c r="A3220" t="s">
        <v>45</v>
      </c>
      <c r="B3220">
        <v>4</v>
      </c>
      <c r="C3220" t="s">
        <v>2153</v>
      </c>
      <c r="D3220" s="39">
        <v>46067</v>
      </c>
      <c r="E3220" t="s">
        <v>276</v>
      </c>
      <c r="F3220" t="s">
        <v>79</v>
      </c>
      <c r="G3220">
        <v>18</v>
      </c>
      <c r="H3220" t="s">
        <v>113</v>
      </c>
      <c r="I3220" t="s">
        <v>79</v>
      </c>
      <c r="J3220" t="s">
        <v>81</v>
      </c>
      <c r="K3220" t="s">
        <v>79</v>
      </c>
      <c r="L3220">
        <v>9</v>
      </c>
      <c r="M3220">
        <v>573.89</v>
      </c>
      <c r="N3220">
        <v>10.799999999999999</v>
      </c>
      <c r="Q3220">
        <v>563.09</v>
      </c>
      <c r="R3220" t="s">
        <v>2154</v>
      </c>
      <c r="V3220">
        <v>0</v>
      </c>
      <c r="W3220">
        <v>0</v>
      </c>
      <c r="AF3220">
        <v>0</v>
      </c>
      <c r="AG3220">
        <v>0</v>
      </c>
      <c r="AH3220">
        <v>0</v>
      </c>
      <c r="AI3220">
        <v>12</v>
      </c>
      <c r="AJ3220">
        <v>12</v>
      </c>
      <c r="AM3220">
        <v>0</v>
      </c>
      <c r="AN3220">
        <v>578.89</v>
      </c>
      <c r="AP3220">
        <v>7</v>
      </c>
    </row>
    <row r="3221" spans="1:42" x14ac:dyDescent="0.25">
      <c r="A3221" t="s">
        <v>45</v>
      </c>
      <c r="B3221">
        <v>4</v>
      </c>
      <c r="C3221" t="s">
        <v>2155</v>
      </c>
      <c r="D3221" s="39">
        <v>46067</v>
      </c>
      <c r="E3221" t="s">
        <v>486</v>
      </c>
      <c r="F3221" t="s">
        <v>79</v>
      </c>
      <c r="G3221">
        <v>18</v>
      </c>
      <c r="H3221">
        <v>5</v>
      </c>
      <c r="I3221" t="s">
        <v>79</v>
      </c>
      <c r="J3221">
        <v>1000</v>
      </c>
      <c r="K3221" t="s">
        <v>79</v>
      </c>
      <c r="L3221">
        <v>2</v>
      </c>
      <c r="M3221">
        <v>102.09</v>
      </c>
      <c r="N3221">
        <v>3.6</v>
      </c>
      <c r="Q3221">
        <v>98.490000000000009</v>
      </c>
      <c r="R3221" t="s">
        <v>2156</v>
      </c>
      <c r="V3221">
        <v>0</v>
      </c>
      <c r="W3221">
        <v>0</v>
      </c>
      <c r="AF3221">
        <v>0</v>
      </c>
      <c r="AG3221">
        <v>0</v>
      </c>
      <c r="AH3221">
        <v>0</v>
      </c>
      <c r="AI3221">
        <v>12</v>
      </c>
      <c r="AJ3221">
        <v>12</v>
      </c>
      <c r="AM3221">
        <v>0</v>
      </c>
      <c r="AN3221">
        <v>107.09</v>
      </c>
      <c r="AP3221">
        <v>7</v>
      </c>
    </row>
    <row r="3222" spans="1:42" x14ac:dyDescent="0.25">
      <c r="A3222" t="s">
        <v>46</v>
      </c>
      <c r="B3222">
        <v>4</v>
      </c>
      <c r="C3222" t="s">
        <v>2153</v>
      </c>
      <c r="D3222" s="39">
        <v>46067</v>
      </c>
      <c r="E3222" t="s">
        <v>276</v>
      </c>
      <c r="F3222" t="s">
        <v>79</v>
      </c>
      <c r="G3222">
        <v>18</v>
      </c>
      <c r="H3222" t="s">
        <v>113</v>
      </c>
      <c r="I3222" t="s">
        <v>79</v>
      </c>
      <c r="J3222" t="s">
        <v>81</v>
      </c>
      <c r="K3222" t="s">
        <v>79</v>
      </c>
      <c r="L3222">
        <v>13</v>
      </c>
      <c r="M3222">
        <v>772.70999999999992</v>
      </c>
      <c r="N3222">
        <v>23.400000000000002</v>
      </c>
      <c r="Q3222">
        <v>749.31</v>
      </c>
      <c r="R3222" t="s">
        <v>2154</v>
      </c>
      <c r="V3222">
        <v>0</v>
      </c>
      <c r="W3222">
        <v>0</v>
      </c>
      <c r="X3222">
        <v>60</v>
      </c>
      <c r="AF3222">
        <v>60</v>
      </c>
      <c r="AG3222">
        <v>1</v>
      </c>
      <c r="AH3222">
        <v>1</v>
      </c>
      <c r="AI3222">
        <v>11</v>
      </c>
      <c r="AJ3222">
        <v>12</v>
      </c>
      <c r="AM3222">
        <v>0</v>
      </c>
      <c r="AN3222">
        <v>777.71</v>
      </c>
      <c r="AP3222">
        <v>7</v>
      </c>
    </row>
    <row r="3223" spans="1:42" x14ac:dyDescent="0.25">
      <c r="A3223" t="s">
        <v>45</v>
      </c>
      <c r="B3223">
        <v>5</v>
      </c>
      <c r="C3223" t="s">
        <v>2148</v>
      </c>
      <c r="D3223" s="39">
        <v>46067</v>
      </c>
      <c r="E3223" t="s">
        <v>639</v>
      </c>
      <c r="F3223" t="s">
        <v>79</v>
      </c>
      <c r="G3223">
        <v>13</v>
      </c>
      <c r="H3223" t="s">
        <v>102</v>
      </c>
      <c r="I3223" t="s">
        <v>79</v>
      </c>
      <c r="J3223">
        <v>500</v>
      </c>
      <c r="K3223" t="s">
        <v>79</v>
      </c>
      <c r="L3223">
        <v>4</v>
      </c>
      <c r="M3223">
        <v>207.87</v>
      </c>
      <c r="N3223">
        <v>6</v>
      </c>
      <c r="Q3223">
        <v>201.87</v>
      </c>
      <c r="R3223" t="s">
        <v>2149</v>
      </c>
      <c r="V3223">
        <v>0</v>
      </c>
      <c r="W3223">
        <v>0</v>
      </c>
      <c r="AF3223">
        <v>0</v>
      </c>
      <c r="AG3223">
        <v>0</v>
      </c>
      <c r="AH3223">
        <v>0</v>
      </c>
      <c r="AI3223">
        <v>12</v>
      </c>
      <c r="AJ3223">
        <v>12</v>
      </c>
      <c r="AM3223">
        <v>0</v>
      </c>
      <c r="AN3223">
        <v>212.87</v>
      </c>
      <c r="AP3223">
        <v>7</v>
      </c>
    </row>
    <row r="3224" spans="1:42" x14ac:dyDescent="0.25">
      <c r="A3224" t="s">
        <v>45</v>
      </c>
      <c r="B3224">
        <v>5</v>
      </c>
      <c r="C3224" t="s">
        <v>2157</v>
      </c>
      <c r="D3224" s="39">
        <v>46067</v>
      </c>
      <c r="E3224" t="s">
        <v>1552</v>
      </c>
      <c r="F3224" t="s">
        <v>79</v>
      </c>
      <c r="G3224">
        <v>9</v>
      </c>
      <c r="H3224" t="s">
        <v>1049</v>
      </c>
      <c r="I3224" t="s">
        <v>79</v>
      </c>
      <c r="J3224">
        <v>100</v>
      </c>
      <c r="K3224" t="s">
        <v>79</v>
      </c>
      <c r="L3224">
        <v>5</v>
      </c>
      <c r="M3224">
        <v>246.27</v>
      </c>
      <c r="N3224">
        <v>5.5</v>
      </c>
      <c r="Q3224">
        <v>240.77</v>
      </c>
      <c r="R3224" t="s">
        <v>2158</v>
      </c>
      <c r="S3224">
        <v>20</v>
      </c>
      <c r="V3224">
        <v>20</v>
      </c>
      <c r="W3224">
        <v>0.33333333333333331</v>
      </c>
      <c r="AF3224">
        <v>0</v>
      </c>
      <c r="AG3224">
        <v>0</v>
      </c>
      <c r="AH3224">
        <v>0.33333333333333331</v>
      </c>
      <c r="AI3224">
        <v>11.666666666666666</v>
      </c>
      <c r="AJ3224">
        <v>12</v>
      </c>
      <c r="AM3224">
        <v>0</v>
      </c>
      <c r="AN3224">
        <v>251.27</v>
      </c>
      <c r="AP3224">
        <v>7</v>
      </c>
    </row>
    <row r="3225" spans="1:42" x14ac:dyDescent="0.25">
      <c r="A3225" t="s">
        <v>46</v>
      </c>
      <c r="B3225">
        <v>5</v>
      </c>
      <c r="C3225" t="s">
        <v>2159</v>
      </c>
      <c r="D3225" s="39">
        <v>46067</v>
      </c>
      <c r="E3225" t="s">
        <v>486</v>
      </c>
      <c r="F3225" t="s">
        <v>79</v>
      </c>
      <c r="G3225">
        <v>9</v>
      </c>
      <c r="H3225" t="s">
        <v>113</v>
      </c>
      <c r="I3225" t="s">
        <v>79</v>
      </c>
      <c r="J3225">
        <v>1000</v>
      </c>
      <c r="K3225" t="s">
        <v>79</v>
      </c>
      <c r="L3225">
        <v>9</v>
      </c>
      <c r="M3225">
        <v>367.71</v>
      </c>
      <c r="N3225">
        <v>8.1</v>
      </c>
      <c r="Q3225">
        <v>359.60999999999996</v>
      </c>
      <c r="R3225" t="s">
        <v>2160</v>
      </c>
      <c r="V3225">
        <v>0</v>
      </c>
      <c r="W3225">
        <v>0</v>
      </c>
      <c r="X3225">
        <v>60</v>
      </c>
      <c r="AF3225">
        <v>60</v>
      </c>
      <c r="AG3225">
        <v>1</v>
      </c>
      <c r="AH3225">
        <v>1</v>
      </c>
      <c r="AI3225">
        <v>11</v>
      </c>
      <c r="AJ3225">
        <v>12</v>
      </c>
      <c r="AM3225">
        <v>0</v>
      </c>
      <c r="AN3225">
        <v>372.71</v>
      </c>
      <c r="AP3225">
        <v>7</v>
      </c>
    </row>
    <row r="3226" spans="1:42" x14ac:dyDescent="0.25">
      <c r="A3226" t="s">
        <v>46</v>
      </c>
      <c r="B3226">
        <v>5</v>
      </c>
      <c r="C3226" t="s">
        <v>2157</v>
      </c>
      <c r="D3226" s="39">
        <v>46067</v>
      </c>
      <c r="E3226" t="s">
        <v>1552</v>
      </c>
      <c r="F3226" t="s">
        <v>79</v>
      </c>
      <c r="G3226">
        <v>9</v>
      </c>
      <c r="H3226" t="s">
        <v>1049</v>
      </c>
      <c r="I3226" t="s">
        <v>79</v>
      </c>
      <c r="J3226">
        <v>100</v>
      </c>
      <c r="K3226" t="s">
        <v>79</v>
      </c>
      <c r="L3226">
        <v>1</v>
      </c>
      <c r="M3226">
        <v>39.9</v>
      </c>
      <c r="N3226">
        <v>0.9</v>
      </c>
      <c r="Q3226">
        <v>39</v>
      </c>
      <c r="R3226" t="s">
        <v>2158</v>
      </c>
      <c r="V3226">
        <v>0</v>
      </c>
      <c r="W3226">
        <v>0</v>
      </c>
      <c r="AF3226">
        <v>0</v>
      </c>
      <c r="AG3226">
        <v>0</v>
      </c>
      <c r="AH3226">
        <v>0</v>
      </c>
      <c r="AI3226">
        <v>12</v>
      </c>
      <c r="AJ3226">
        <v>12</v>
      </c>
      <c r="AM3226">
        <v>0</v>
      </c>
      <c r="AN3226">
        <v>44.9</v>
      </c>
      <c r="AP3226">
        <v>7</v>
      </c>
    </row>
    <row r="3227" spans="1:42" x14ac:dyDescent="0.25">
      <c r="A3227" t="s">
        <v>45</v>
      </c>
      <c r="B3227">
        <v>1</v>
      </c>
      <c r="C3227" t="s">
        <v>2109</v>
      </c>
      <c r="D3227" s="39">
        <v>46068</v>
      </c>
      <c r="E3227" t="s">
        <v>486</v>
      </c>
      <c r="F3227" t="s">
        <v>79</v>
      </c>
      <c r="G3227">
        <v>3</v>
      </c>
      <c r="H3227" t="s">
        <v>92</v>
      </c>
      <c r="I3227" t="s">
        <v>79</v>
      </c>
      <c r="J3227">
        <v>1000</v>
      </c>
      <c r="K3227" t="s">
        <v>79</v>
      </c>
      <c r="L3227">
        <v>8</v>
      </c>
      <c r="M3227">
        <v>153.26000000000002</v>
      </c>
      <c r="N3227">
        <v>2.4</v>
      </c>
      <c r="O3227">
        <v>27</v>
      </c>
      <c r="Q3227">
        <v>150.86000000000001</v>
      </c>
      <c r="R3227" t="s">
        <v>2114</v>
      </c>
      <c r="V3227">
        <v>0</v>
      </c>
      <c r="W3227">
        <v>0</v>
      </c>
      <c r="AF3227">
        <v>0</v>
      </c>
      <c r="AG3227">
        <v>0</v>
      </c>
      <c r="AH3227">
        <v>0</v>
      </c>
      <c r="AI3227">
        <v>12</v>
      </c>
      <c r="AJ3227">
        <v>12</v>
      </c>
      <c r="AM3227">
        <v>0</v>
      </c>
      <c r="AN3227">
        <v>158.26000000000002</v>
      </c>
      <c r="AP3227">
        <v>7</v>
      </c>
    </row>
    <row r="3228" spans="1:42" x14ac:dyDescent="0.25">
      <c r="A3228" t="s">
        <v>46</v>
      </c>
      <c r="B3228">
        <v>1</v>
      </c>
      <c r="C3228" t="s">
        <v>2109</v>
      </c>
      <c r="D3228" s="39">
        <v>46068</v>
      </c>
      <c r="E3228" t="s">
        <v>486</v>
      </c>
      <c r="F3228" t="s">
        <v>79</v>
      </c>
      <c r="G3228">
        <v>3</v>
      </c>
      <c r="H3228" t="s">
        <v>92</v>
      </c>
      <c r="I3228" t="s">
        <v>79</v>
      </c>
      <c r="J3228">
        <v>1000</v>
      </c>
      <c r="K3228" t="s">
        <v>79</v>
      </c>
      <c r="L3228">
        <v>6</v>
      </c>
      <c r="M3228">
        <v>111.11</v>
      </c>
      <c r="N3228">
        <v>1.7999999999999998</v>
      </c>
      <c r="O3228">
        <v>13</v>
      </c>
      <c r="Q3228">
        <v>109.31</v>
      </c>
      <c r="R3228" t="s">
        <v>2114</v>
      </c>
      <c r="V3228">
        <v>0</v>
      </c>
      <c r="W3228">
        <v>0</v>
      </c>
      <c r="AF3228">
        <v>0</v>
      </c>
      <c r="AG3228">
        <v>0</v>
      </c>
      <c r="AH3228">
        <v>0</v>
      </c>
      <c r="AI3228">
        <v>12</v>
      </c>
      <c r="AJ3228">
        <v>12</v>
      </c>
      <c r="AM3228">
        <v>0</v>
      </c>
      <c r="AN3228">
        <v>116.11</v>
      </c>
      <c r="AP3228">
        <v>7</v>
      </c>
    </row>
    <row r="3229" spans="1:42" x14ac:dyDescent="0.25">
      <c r="A3229" t="s">
        <v>46</v>
      </c>
      <c r="B3229">
        <v>1</v>
      </c>
      <c r="C3229" t="s">
        <v>2052</v>
      </c>
      <c r="D3229" s="39">
        <v>46068</v>
      </c>
      <c r="E3229" t="s">
        <v>486</v>
      </c>
      <c r="F3229" t="s">
        <v>79</v>
      </c>
      <c r="G3229">
        <v>2</v>
      </c>
      <c r="H3229" t="s">
        <v>92</v>
      </c>
      <c r="I3229" t="s">
        <v>79</v>
      </c>
      <c r="J3229" t="s">
        <v>2074</v>
      </c>
      <c r="K3229" t="s">
        <v>79</v>
      </c>
      <c r="L3229">
        <v>1</v>
      </c>
      <c r="M3229">
        <v>16.36</v>
      </c>
      <c r="N3229">
        <v>0.2</v>
      </c>
      <c r="Q3229">
        <v>16.16</v>
      </c>
      <c r="R3229" t="s">
        <v>2181</v>
      </c>
      <c r="V3229">
        <v>0</v>
      </c>
      <c r="W3229">
        <v>0</v>
      </c>
      <c r="AF3229">
        <v>0</v>
      </c>
      <c r="AG3229">
        <v>0</v>
      </c>
      <c r="AH3229">
        <v>0</v>
      </c>
      <c r="AI3229">
        <v>12</v>
      </c>
      <c r="AJ3229">
        <v>12</v>
      </c>
      <c r="AM3229">
        <v>0</v>
      </c>
      <c r="AN3229">
        <v>21.36</v>
      </c>
      <c r="AP3229">
        <v>7</v>
      </c>
    </row>
    <row r="3230" spans="1:42" x14ac:dyDescent="0.25">
      <c r="A3230" t="s">
        <v>45</v>
      </c>
      <c r="B3230">
        <v>2</v>
      </c>
      <c r="C3230" t="s">
        <v>2135</v>
      </c>
      <c r="D3230" s="39">
        <v>46068</v>
      </c>
      <c r="E3230" t="s">
        <v>486</v>
      </c>
      <c r="F3230" t="s">
        <v>79</v>
      </c>
      <c r="G3230">
        <v>5</v>
      </c>
      <c r="H3230" t="s">
        <v>92</v>
      </c>
      <c r="I3230" t="s">
        <v>79</v>
      </c>
      <c r="J3230">
        <v>1000</v>
      </c>
      <c r="K3230" t="s">
        <v>79</v>
      </c>
      <c r="L3230">
        <v>9</v>
      </c>
      <c r="M3230">
        <v>178.33</v>
      </c>
      <c r="N3230">
        <v>4.5</v>
      </c>
      <c r="Q3230">
        <v>173.83</v>
      </c>
      <c r="R3230" t="s">
        <v>2136</v>
      </c>
      <c r="V3230">
        <v>0</v>
      </c>
      <c r="W3230">
        <v>0</v>
      </c>
      <c r="AF3230">
        <v>0</v>
      </c>
      <c r="AG3230">
        <v>0</v>
      </c>
      <c r="AH3230">
        <v>0</v>
      </c>
      <c r="AI3230">
        <v>12</v>
      </c>
      <c r="AJ3230">
        <v>12</v>
      </c>
      <c r="AM3230">
        <v>0</v>
      </c>
      <c r="AN3230">
        <v>183.33</v>
      </c>
      <c r="AP3230">
        <v>7</v>
      </c>
    </row>
    <row r="3231" spans="1:42" x14ac:dyDescent="0.25">
      <c r="A3231" t="s">
        <v>46</v>
      </c>
      <c r="B3231">
        <v>2</v>
      </c>
      <c r="C3231" t="s">
        <v>2135</v>
      </c>
      <c r="D3231" s="39">
        <v>46068</v>
      </c>
      <c r="E3231" t="s">
        <v>486</v>
      </c>
      <c r="F3231" t="s">
        <v>79</v>
      </c>
      <c r="G3231">
        <v>5</v>
      </c>
      <c r="H3231" t="s">
        <v>92</v>
      </c>
      <c r="I3231" t="s">
        <v>79</v>
      </c>
      <c r="J3231">
        <v>1000</v>
      </c>
      <c r="K3231" t="s">
        <v>79</v>
      </c>
      <c r="L3231">
        <v>8</v>
      </c>
      <c r="M3231">
        <v>175.2</v>
      </c>
      <c r="N3231">
        <v>4</v>
      </c>
      <c r="Q3231">
        <v>171.2</v>
      </c>
      <c r="R3231" t="s">
        <v>2136</v>
      </c>
      <c r="S3231">
        <v>15</v>
      </c>
      <c r="V3231">
        <v>15</v>
      </c>
      <c r="W3231">
        <v>0.25</v>
      </c>
      <c r="AF3231">
        <v>0</v>
      </c>
      <c r="AG3231">
        <v>0</v>
      </c>
      <c r="AH3231">
        <v>0.25</v>
      </c>
      <c r="AI3231">
        <v>11.75</v>
      </c>
      <c r="AJ3231">
        <v>12</v>
      </c>
      <c r="AM3231">
        <v>0</v>
      </c>
      <c r="AN3231">
        <v>180.2</v>
      </c>
      <c r="AP3231">
        <v>7</v>
      </c>
    </row>
    <row r="3232" spans="1:42" x14ac:dyDescent="0.25">
      <c r="A3232" t="s">
        <v>46</v>
      </c>
      <c r="B3232">
        <v>2</v>
      </c>
      <c r="C3232" t="s">
        <v>2109</v>
      </c>
      <c r="D3232" s="39">
        <v>46068</v>
      </c>
      <c r="E3232" t="s">
        <v>486</v>
      </c>
      <c r="F3232" t="s">
        <v>79</v>
      </c>
      <c r="G3232">
        <v>3</v>
      </c>
      <c r="H3232" t="s">
        <v>92</v>
      </c>
      <c r="I3232" t="s">
        <v>79</v>
      </c>
      <c r="J3232">
        <v>1000</v>
      </c>
      <c r="K3232" t="s">
        <v>79</v>
      </c>
      <c r="L3232">
        <v>1</v>
      </c>
      <c r="M3232">
        <v>12.36</v>
      </c>
      <c r="N3232">
        <v>0.3</v>
      </c>
      <c r="Q3232">
        <v>12.059999999999999</v>
      </c>
      <c r="R3232" t="s">
        <v>2114</v>
      </c>
      <c r="V3232">
        <v>0</v>
      </c>
      <c r="W3232">
        <v>0</v>
      </c>
      <c r="AF3232">
        <v>0</v>
      </c>
      <c r="AG3232">
        <v>0</v>
      </c>
      <c r="AH3232">
        <v>0</v>
      </c>
      <c r="AI3232">
        <v>12</v>
      </c>
      <c r="AJ3232">
        <v>12</v>
      </c>
      <c r="AM3232">
        <v>0</v>
      </c>
      <c r="AN3232">
        <v>17.36</v>
      </c>
      <c r="AP3232">
        <v>7</v>
      </c>
    </row>
    <row r="3233" spans="1:42" x14ac:dyDescent="0.25">
      <c r="A3233" t="s">
        <v>45</v>
      </c>
      <c r="B3233">
        <v>4</v>
      </c>
      <c r="C3233" t="s">
        <v>2153</v>
      </c>
      <c r="D3233" s="39">
        <v>46068</v>
      </c>
      <c r="E3233" t="s">
        <v>276</v>
      </c>
      <c r="F3233" t="s">
        <v>79</v>
      </c>
      <c r="G3233">
        <v>18</v>
      </c>
      <c r="H3233" t="s">
        <v>113</v>
      </c>
      <c r="I3233" t="s">
        <v>79</v>
      </c>
      <c r="J3233" t="s">
        <v>81</v>
      </c>
      <c r="K3233" t="s">
        <v>79</v>
      </c>
      <c r="L3233">
        <v>5</v>
      </c>
      <c r="M3233">
        <v>269.47000000000003</v>
      </c>
      <c r="N3233">
        <v>9</v>
      </c>
      <c r="Q3233">
        <v>260.47000000000003</v>
      </c>
      <c r="R3233" t="s">
        <v>2154</v>
      </c>
      <c r="V3233">
        <v>0</v>
      </c>
      <c r="W3233">
        <v>0</v>
      </c>
      <c r="AF3233">
        <v>0</v>
      </c>
      <c r="AG3233">
        <v>0</v>
      </c>
      <c r="AH3233">
        <v>0</v>
      </c>
      <c r="AI3233">
        <v>12</v>
      </c>
      <c r="AJ3233">
        <v>12</v>
      </c>
      <c r="AM3233">
        <v>0</v>
      </c>
      <c r="AN3233">
        <v>274.47000000000003</v>
      </c>
      <c r="AP3233">
        <v>7</v>
      </c>
    </row>
    <row r="3234" spans="1:42" x14ac:dyDescent="0.25">
      <c r="A3234" t="s">
        <v>45</v>
      </c>
      <c r="B3234">
        <v>4</v>
      </c>
      <c r="C3234" t="s">
        <v>2155</v>
      </c>
      <c r="D3234" s="39">
        <v>46068</v>
      </c>
      <c r="E3234" t="s">
        <v>486</v>
      </c>
      <c r="F3234" t="s">
        <v>79</v>
      </c>
      <c r="G3234">
        <v>18</v>
      </c>
      <c r="H3234">
        <v>5</v>
      </c>
      <c r="I3234" t="s">
        <v>79</v>
      </c>
      <c r="J3234">
        <v>1000</v>
      </c>
      <c r="K3234" t="s">
        <v>79</v>
      </c>
      <c r="L3234">
        <v>10</v>
      </c>
      <c r="M3234">
        <v>525.26</v>
      </c>
      <c r="N3234">
        <v>18</v>
      </c>
      <c r="Q3234">
        <v>507.26</v>
      </c>
      <c r="R3234" t="s">
        <v>2156</v>
      </c>
      <c r="V3234">
        <v>0</v>
      </c>
      <c r="W3234">
        <v>0</v>
      </c>
      <c r="AF3234">
        <v>0</v>
      </c>
      <c r="AG3234">
        <v>0</v>
      </c>
      <c r="AH3234">
        <v>0</v>
      </c>
      <c r="AI3234">
        <v>12</v>
      </c>
      <c r="AJ3234">
        <v>12</v>
      </c>
      <c r="AM3234">
        <v>0</v>
      </c>
      <c r="AN3234">
        <v>530.26</v>
      </c>
      <c r="AP3234">
        <v>7</v>
      </c>
    </row>
    <row r="3235" spans="1:42" x14ac:dyDescent="0.25">
      <c r="A3235" t="s">
        <v>46</v>
      </c>
      <c r="B3235">
        <v>4</v>
      </c>
      <c r="C3235" t="s">
        <v>2155</v>
      </c>
      <c r="D3235" s="39">
        <v>46068</v>
      </c>
      <c r="E3235" t="s">
        <v>486</v>
      </c>
      <c r="F3235" t="s">
        <v>79</v>
      </c>
      <c r="G3235">
        <v>18</v>
      </c>
      <c r="H3235">
        <v>5</v>
      </c>
      <c r="I3235" t="s">
        <v>79</v>
      </c>
      <c r="J3235">
        <v>1000</v>
      </c>
      <c r="K3235" t="s">
        <v>79</v>
      </c>
      <c r="L3235">
        <v>9</v>
      </c>
      <c r="M3235">
        <v>567.34</v>
      </c>
      <c r="N3235">
        <v>16.2</v>
      </c>
      <c r="Q3235">
        <v>551.14</v>
      </c>
      <c r="R3235" t="s">
        <v>2156</v>
      </c>
      <c r="V3235">
        <v>0</v>
      </c>
      <c r="W3235">
        <v>0</v>
      </c>
      <c r="AF3235">
        <v>0</v>
      </c>
      <c r="AG3235">
        <v>0</v>
      </c>
      <c r="AH3235">
        <v>0</v>
      </c>
      <c r="AI3235">
        <v>12</v>
      </c>
      <c r="AJ3235">
        <v>12</v>
      </c>
      <c r="AM3235">
        <v>0</v>
      </c>
      <c r="AN3235">
        <v>572.34</v>
      </c>
      <c r="AP3235">
        <v>7</v>
      </c>
    </row>
    <row r="3236" spans="1:42" x14ac:dyDescent="0.25">
      <c r="A3236" t="s">
        <v>46</v>
      </c>
      <c r="B3236">
        <v>4</v>
      </c>
      <c r="C3236" t="s">
        <v>2137</v>
      </c>
      <c r="D3236" s="39">
        <v>46068</v>
      </c>
      <c r="E3236" t="s">
        <v>276</v>
      </c>
      <c r="F3236" t="s">
        <v>79</v>
      </c>
      <c r="G3236">
        <v>28</v>
      </c>
      <c r="H3236" t="s">
        <v>113</v>
      </c>
      <c r="I3236" t="s">
        <v>79</v>
      </c>
      <c r="J3236" t="s">
        <v>81</v>
      </c>
      <c r="K3236" t="s">
        <v>79</v>
      </c>
      <c r="L3236">
        <v>3</v>
      </c>
      <c r="M3236">
        <v>172.79</v>
      </c>
      <c r="N3236">
        <v>8.3999999999999986</v>
      </c>
      <c r="Q3236">
        <v>164.39</v>
      </c>
      <c r="R3236" t="s">
        <v>2138</v>
      </c>
      <c r="S3236">
        <v>30</v>
      </c>
      <c r="V3236">
        <v>30</v>
      </c>
      <c r="W3236">
        <v>0.5</v>
      </c>
      <c r="AF3236">
        <v>0</v>
      </c>
      <c r="AG3236">
        <v>0</v>
      </c>
      <c r="AH3236">
        <v>0.5</v>
      </c>
      <c r="AI3236">
        <v>11.5</v>
      </c>
      <c r="AJ3236">
        <v>12</v>
      </c>
      <c r="AM3236">
        <v>0</v>
      </c>
      <c r="AN3236">
        <v>177.79</v>
      </c>
      <c r="AP3236">
        <v>7</v>
      </c>
    </row>
    <row r="3237" spans="1:42" x14ac:dyDescent="0.25">
      <c r="A3237" t="s">
        <v>45</v>
      </c>
      <c r="B3237">
        <v>5</v>
      </c>
      <c r="C3237" t="s">
        <v>2159</v>
      </c>
      <c r="D3237" s="39">
        <v>46068</v>
      </c>
      <c r="E3237" t="s">
        <v>486</v>
      </c>
      <c r="F3237" t="s">
        <v>79</v>
      </c>
      <c r="G3237">
        <v>9</v>
      </c>
      <c r="H3237" t="s">
        <v>113</v>
      </c>
      <c r="I3237" t="s">
        <v>79</v>
      </c>
      <c r="J3237">
        <v>1000</v>
      </c>
      <c r="K3237" t="s">
        <v>79</v>
      </c>
      <c r="L3237">
        <v>4</v>
      </c>
      <c r="M3237">
        <v>188.04000000000002</v>
      </c>
      <c r="N3237">
        <v>3.6</v>
      </c>
      <c r="O3237">
        <v>4.5</v>
      </c>
      <c r="Q3237">
        <v>184.44000000000003</v>
      </c>
      <c r="R3237" t="s">
        <v>2160</v>
      </c>
      <c r="V3237">
        <v>0</v>
      </c>
      <c r="W3237">
        <v>0</v>
      </c>
      <c r="Z3237">
        <v>420</v>
      </c>
      <c r="AF3237">
        <v>420</v>
      </c>
      <c r="AG3237">
        <v>7</v>
      </c>
      <c r="AH3237">
        <v>7</v>
      </c>
      <c r="AI3237">
        <v>5</v>
      </c>
      <c r="AJ3237">
        <v>12</v>
      </c>
      <c r="AM3237">
        <v>0</v>
      </c>
      <c r="AN3237">
        <v>193.04</v>
      </c>
      <c r="AP3237">
        <v>7</v>
      </c>
    </row>
    <row r="3238" spans="1:42" x14ac:dyDescent="0.25">
      <c r="A3238" t="s">
        <v>46</v>
      </c>
      <c r="B3238">
        <v>5</v>
      </c>
      <c r="C3238" t="s">
        <v>2159</v>
      </c>
      <c r="D3238" s="39">
        <v>46068</v>
      </c>
      <c r="E3238" t="s">
        <v>486</v>
      </c>
      <c r="F3238" t="s">
        <v>79</v>
      </c>
      <c r="G3238">
        <v>9</v>
      </c>
      <c r="H3238" t="s">
        <v>113</v>
      </c>
      <c r="I3238" t="s">
        <v>79</v>
      </c>
      <c r="J3238">
        <v>1000</v>
      </c>
      <c r="K3238" t="s">
        <v>79</v>
      </c>
      <c r="L3238">
        <v>7</v>
      </c>
      <c r="M3238">
        <v>329.09000000000003</v>
      </c>
      <c r="N3238">
        <v>6.3</v>
      </c>
      <c r="O3238">
        <v>4.5</v>
      </c>
      <c r="Q3238">
        <v>322.79000000000002</v>
      </c>
      <c r="R3238" t="s">
        <v>2160</v>
      </c>
      <c r="T3238">
        <v>70</v>
      </c>
      <c r="V3238">
        <v>70</v>
      </c>
      <c r="W3238">
        <v>1.1666666666666667</v>
      </c>
      <c r="AF3238">
        <v>0</v>
      </c>
      <c r="AG3238">
        <v>0</v>
      </c>
      <c r="AH3238">
        <v>1.1666666666666667</v>
      </c>
      <c r="AI3238">
        <v>10.833333333333334</v>
      </c>
      <c r="AJ3238">
        <v>12</v>
      </c>
      <c r="AM3238">
        <v>0</v>
      </c>
      <c r="AN3238">
        <v>334.09000000000003</v>
      </c>
      <c r="AP3238">
        <v>7</v>
      </c>
    </row>
    <row r="3239" spans="1:42" x14ac:dyDescent="0.25">
      <c r="A3239" t="s">
        <v>46</v>
      </c>
      <c r="B3239">
        <v>5</v>
      </c>
      <c r="C3239" t="s">
        <v>2161</v>
      </c>
      <c r="D3239" s="39">
        <v>46068</v>
      </c>
      <c r="E3239" t="s">
        <v>716</v>
      </c>
      <c r="F3239" t="s">
        <v>79</v>
      </c>
      <c r="G3239">
        <v>9</v>
      </c>
      <c r="H3239">
        <v>6.5</v>
      </c>
      <c r="I3239" t="s">
        <v>79</v>
      </c>
      <c r="J3239">
        <v>40</v>
      </c>
      <c r="K3239" t="s">
        <v>79</v>
      </c>
      <c r="L3239">
        <v>1</v>
      </c>
      <c r="M3239">
        <v>55.18</v>
      </c>
      <c r="N3239">
        <v>1.1000000000000001</v>
      </c>
      <c r="Q3239">
        <v>54.08</v>
      </c>
      <c r="R3239" t="s">
        <v>2162</v>
      </c>
      <c r="V3239">
        <v>0</v>
      </c>
      <c r="W3239">
        <v>0</v>
      </c>
      <c r="AF3239">
        <v>0</v>
      </c>
      <c r="AG3239">
        <v>0</v>
      </c>
      <c r="AH3239">
        <v>0</v>
      </c>
      <c r="AI3239">
        <v>12</v>
      </c>
      <c r="AJ3239">
        <v>12</v>
      </c>
      <c r="AM3239">
        <v>0</v>
      </c>
      <c r="AN3239">
        <v>60.18</v>
      </c>
      <c r="AP3239">
        <v>7</v>
      </c>
    </row>
    <row r="3240" spans="1:42" x14ac:dyDescent="0.25">
      <c r="A3240" t="s">
        <v>45</v>
      </c>
      <c r="B3240">
        <v>1</v>
      </c>
      <c r="C3240" t="s">
        <v>2052</v>
      </c>
      <c r="D3240" s="39">
        <v>46069</v>
      </c>
      <c r="E3240" t="s">
        <v>486</v>
      </c>
      <c r="F3240" t="s">
        <v>79</v>
      </c>
      <c r="G3240">
        <v>2</v>
      </c>
      <c r="H3240" t="s">
        <v>92</v>
      </c>
      <c r="I3240" t="s">
        <v>79</v>
      </c>
      <c r="J3240" t="s">
        <v>2074</v>
      </c>
      <c r="K3240" t="s">
        <v>79</v>
      </c>
      <c r="L3240">
        <v>5</v>
      </c>
      <c r="M3240">
        <v>86.95</v>
      </c>
      <c r="N3240">
        <v>1</v>
      </c>
      <c r="Q3240">
        <v>85.95</v>
      </c>
      <c r="R3240" t="s">
        <v>2181</v>
      </c>
      <c r="V3240">
        <v>0</v>
      </c>
      <c r="W3240">
        <v>0</v>
      </c>
      <c r="AF3240">
        <v>0</v>
      </c>
      <c r="AG3240">
        <v>0</v>
      </c>
      <c r="AH3240">
        <v>0</v>
      </c>
      <c r="AI3240">
        <v>12</v>
      </c>
      <c r="AJ3240">
        <v>12</v>
      </c>
      <c r="AM3240">
        <v>0</v>
      </c>
      <c r="AN3240">
        <v>91.95</v>
      </c>
      <c r="AP3240">
        <v>8</v>
      </c>
    </row>
    <row r="3241" spans="1:42" x14ac:dyDescent="0.25">
      <c r="A3241" t="s">
        <v>45</v>
      </c>
      <c r="B3241">
        <v>1</v>
      </c>
      <c r="C3241" t="s">
        <v>2163</v>
      </c>
      <c r="D3241" s="39">
        <v>46069</v>
      </c>
      <c r="E3241" t="s">
        <v>663</v>
      </c>
      <c r="F3241" t="s">
        <v>79</v>
      </c>
      <c r="G3241">
        <v>2</v>
      </c>
      <c r="H3241" t="s">
        <v>140</v>
      </c>
      <c r="I3241" t="s">
        <v>79</v>
      </c>
      <c r="J3241">
        <v>600</v>
      </c>
      <c r="K3241" t="s">
        <v>79</v>
      </c>
      <c r="L3241">
        <v>1</v>
      </c>
      <c r="M3241">
        <v>15.7</v>
      </c>
      <c r="N3241">
        <v>0.2</v>
      </c>
      <c r="Q3241">
        <v>15.5</v>
      </c>
      <c r="R3241" t="s">
        <v>2243</v>
      </c>
      <c r="V3241">
        <v>0</v>
      </c>
      <c r="W3241">
        <v>0</v>
      </c>
      <c r="AF3241">
        <v>0</v>
      </c>
      <c r="AG3241">
        <v>0</v>
      </c>
      <c r="AH3241">
        <v>0</v>
      </c>
      <c r="AI3241">
        <v>12</v>
      </c>
      <c r="AJ3241">
        <v>12</v>
      </c>
      <c r="AM3241">
        <v>0</v>
      </c>
      <c r="AN3241">
        <v>20.7</v>
      </c>
      <c r="AP3241">
        <v>8</v>
      </c>
    </row>
    <row r="3242" spans="1:42" x14ac:dyDescent="0.25">
      <c r="A3242" t="s">
        <v>46</v>
      </c>
      <c r="B3242">
        <v>1</v>
      </c>
      <c r="C3242" t="s">
        <v>2163</v>
      </c>
      <c r="D3242" s="39">
        <v>46069</v>
      </c>
      <c r="E3242" t="s">
        <v>663</v>
      </c>
      <c r="F3242" t="s">
        <v>79</v>
      </c>
      <c r="G3242">
        <v>2</v>
      </c>
      <c r="H3242" t="s">
        <v>140</v>
      </c>
      <c r="I3242" t="s">
        <v>79</v>
      </c>
      <c r="J3242">
        <v>600</v>
      </c>
      <c r="K3242" t="s">
        <v>79</v>
      </c>
      <c r="L3242">
        <v>12</v>
      </c>
      <c r="M3242">
        <v>161.22</v>
      </c>
      <c r="N3242">
        <v>2.4000000000000004</v>
      </c>
      <c r="Q3242">
        <v>158.82</v>
      </c>
      <c r="R3242" t="s">
        <v>2243</v>
      </c>
      <c r="V3242">
        <v>0</v>
      </c>
      <c r="W3242">
        <v>0</v>
      </c>
      <c r="AF3242">
        <v>0</v>
      </c>
      <c r="AG3242">
        <v>0</v>
      </c>
      <c r="AH3242">
        <v>0</v>
      </c>
      <c r="AI3242">
        <v>12</v>
      </c>
      <c r="AJ3242">
        <v>12</v>
      </c>
      <c r="AM3242">
        <v>0</v>
      </c>
      <c r="AN3242">
        <v>166.22</v>
      </c>
      <c r="AP3242">
        <v>8</v>
      </c>
    </row>
    <row r="3243" spans="1:42" x14ac:dyDescent="0.25">
      <c r="A3243" t="s">
        <v>45</v>
      </c>
      <c r="B3243">
        <v>2</v>
      </c>
      <c r="C3243" t="s">
        <v>2135</v>
      </c>
      <c r="D3243" s="39">
        <v>46069</v>
      </c>
      <c r="E3243" t="s">
        <v>486</v>
      </c>
      <c r="F3243" t="s">
        <v>79</v>
      </c>
      <c r="G3243">
        <v>5</v>
      </c>
      <c r="H3243" t="s">
        <v>92</v>
      </c>
      <c r="I3243" t="s">
        <v>79</v>
      </c>
      <c r="J3243">
        <v>1000</v>
      </c>
      <c r="K3243" t="s">
        <v>79</v>
      </c>
      <c r="L3243">
        <v>8</v>
      </c>
      <c r="M3243">
        <v>116.46000000000001</v>
      </c>
      <c r="N3243">
        <v>4</v>
      </c>
      <c r="Q3243">
        <v>112.46000000000001</v>
      </c>
      <c r="R3243" t="s">
        <v>2136</v>
      </c>
      <c r="V3243">
        <v>0</v>
      </c>
      <c r="W3243">
        <v>0</v>
      </c>
      <c r="AF3243">
        <v>0</v>
      </c>
      <c r="AG3243">
        <v>0</v>
      </c>
      <c r="AH3243">
        <v>0</v>
      </c>
      <c r="AI3243">
        <v>12</v>
      </c>
      <c r="AJ3243">
        <v>12</v>
      </c>
      <c r="AM3243">
        <v>0</v>
      </c>
      <c r="AN3243">
        <v>121.46</v>
      </c>
      <c r="AP3243">
        <v>8</v>
      </c>
    </row>
    <row r="3244" spans="1:42" x14ac:dyDescent="0.25">
      <c r="A3244" t="s">
        <v>46</v>
      </c>
      <c r="B3244">
        <v>2</v>
      </c>
      <c r="C3244" t="s">
        <v>2164</v>
      </c>
      <c r="D3244" s="39">
        <v>46069</v>
      </c>
      <c r="E3244" t="s">
        <v>486</v>
      </c>
      <c r="F3244" t="s">
        <v>79</v>
      </c>
      <c r="G3244">
        <v>3</v>
      </c>
      <c r="H3244" t="s">
        <v>92</v>
      </c>
      <c r="I3244" t="s">
        <v>79</v>
      </c>
      <c r="J3244" t="s">
        <v>2165</v>
      </c>
      <c r="K3244" t="s">
        <v>79</v>
      </c>
      <c r="L3244">
        <v>7</v>
      </c>
      <c r="M3244">
        <v>151.69</v>
      </c>
      <c r="N3244">
        <v>2.1</v>
      </c>
      <c r="Q3244">
        <v>149.59</v>
      </c>
      <c r="R3244" t="s">
        <v>2182</v>
      </c>
      <c r="V3244">
        <v>0</v>
      </c>
      <c r="W3244">
        <v>0</v>
      </c>
      <c r="AF3244">
        <v>0</v>
      </c>
      <c r="AG3244">
        <v>0</v>
      </c>
      <c r="AH3244">
        <v>0</v>
      </c>
      <c r="AI3244">
        <v>12</v>
      </c>
      <c r="AJ3244">
        <v>12</v>
      </c>
      <c r="AM3244">
        <v>0</v>
      </c>
      <c r="AN3244">
        <v>156.69</v>
      </c>
      <c r="AP3244">
        <v>8</v>
      </c>
    </row>
    <row r="3245" spans="1:42" x14ac:dyDescent="0.25">
      <c r="A3245" t="s">
        <v>45</v>
      </c>
      <c r="B3245">
        <v>4</v>
      </c>
      <c r="C3245" t="s">
        <v>2137</v>
      </c>
      <c r="D3245" s="39">
        <v>46069</v>
      </c>
      <c r="E3245" t="s">
        <v>276</v>
      </c>
      <c r="F3245" t="s">
        <v>79</v>
      </c>
      <c r="G3245">
        <v>28</v>
      </c>
      <c r="H3245" t="s">
        <v>113</v>
      </c>
      <c r="I3245" t="s">
        <v>79</v>
      </c>
      <c r="J3245" t="s">
        <v>81</v>
      </c>
      <c r="K3245" t="s">
        <v>79</v>
      </c>
      <c r="L3245">
        <v>9</v>
      </c>
      <c r="M3245">
        <v>644.08000000000004</v>
      </c>
      <c r="N3245">
        <v>25.2</v>
      </c>
      <c r="Q3245">
        <v>618.88</v>
      </c>
      <c r="R3245" t="s">
        <v>2138</v>
      </c>
      <c r="V3245">
        <v>0</v>
      </c>
      <c r="W3245">
        <v>0</v>
      </c>
      <c r="AF3245">
        <v>0</v>
      </c>
      <c r="AG3245">
        <v>0</v>
      </c>
      <c r="AH3245">
        <v>0</v>
      </c>
      <c r="AI3245">
        <v>12</v>
      </c>
      <c r="AJ3245">
        <v>12</v>
      </c>
      <c r="AM3245">
        <v>0</v>
      </c>
      <c r="AN3245">
        <v>649.08000000000004</v>
      </c>
      <c r="AP3245">
        <v>8</v>
      </c>
    </row>
    <row r="3246" spans="1:42" x14ac:dyDescent="0.25">
      <c r="A3246" t="s">
        <v>45</v>
      </c>
      <c r="B3246">
        <v>4</v>
      </c>
      <c r="C3246" t="s">
        <v>2166</v>
      </c>
      <c r="D3246" s="39">
        <v>46069</v>
      </c>
      <c r="E3246" t="s">
        <v>486</v>
      </c>
      <c r="F3246" t="s">
        <v>79</v>
      </c>
      <c r="G3246">
        <v>28</v>
      </c>
      <c r="H3246">
        <v>5</v>
      </c>
      <c r="I3246" t="s">
        <v>79</v>
      </c>
      <c r="J3246">
        <v>500</v>
      </c>
      <c r="K3246" t="s">
        <v>79</v>
      </c>
      <c r="L3246">
        <v>2</v>
      </c>
      <c r="M3246">
        <v>111.22</v>
      </c>
      <c r="N3246">
        <v>5.6</v>
      </c>
      <c r="O3246">
        <v>23</v>
      </c>
      <c r="Q3246">
        <v>105.62</v>
      </c>
      <c r="R3246" t="s">
        <v>2167</v>
      </c>
      <c r="V3246">
        <v>0</v>
      </c>
      <c r="W3246">
        <v>0</v>
      </c>
      <c r="AF3246">
        <v>0</v>
      </c>
      <c r="AG3246">
        <v>0</v>
      </c>
      <c r="AH3246">
        <v>0</v>
      </c>
      <c r="AI3246">
        <v>12</v>
      </c>
      <c r="AJ3246">
        <v>12</v>
      </c>
      <c r="AM3246">
        <v>0</v>
      </c>
      <c r="AN3246">
        <v>116.22</v>
      </c>
      <c r="AP3246">
        <v>8</v>
      </c>
    </row>
    <row r="3247" spans="1:42" x14ac:dyDescent="0.25">
      <c r="A3247" t="s">
        <v>46</v>
      </c>
      <c r="B3247">
        <v>4</v>
      </c>
      <c r="C3247" t="s">
        <v>2166</v>
      </c>
      <c r="D3247" s="39">
        <v>46069</v>
      </c>
      <c r="E3247" t="s">
        <v>486</v>
      </c>
      <c r="F3247" t="s">
        <v>79</v>
      </c>
      <c r="G3247">
        <v>28</v>
      </c>
      <c r="H3247">
        <v>5</v>
      </c>
      <c r="I3247" t="s">
        <v>79</v>
      </c>
      <c r="J3247">
        <v>500</v>
      </c>
      <c r="K3247" t="s">
        <v>79</v>
      </c>
      <c r="L3247">
        <v>6</v>
      </c>
      <c r="M3247">
        <v>424.66000000000008</v>
      </c>
      <c r="N3247">
        <v>21</v>
      </c>
      <c r="O3247">
        <v>10</v>
      </c>
      <c r="Q3247">
        <v>403.66000000000008</v>
      </c>
      <c r="R3247" t="s">
        <v>2167</v>
      </c>
      <c r="S3247">
        <v>15</v>
      </c>
      <c r="V3247">
        <v>15</v>
      </c>
      <c r="W3247">
        <v>0.25</v>
      </c>
      <c r="AF3247">
        <v>0</v>
      </c>
      <c r="AG3247">
        <v>0</v>
      </c>
      <c r="AH3247">
        <v>0.25</v>
      </c>
      <c r="AI3247">
        <v>11.75</v>
      </c>
      <c r="AJ3247">
        <v>12</v>
      </c>
      <c r="AM3247">
        <v>0</v>
      </c>
      <c r="AN3247">
        <v>429.66000000000008</v>
      </c>
      <c r="AP3247">
        <v>8</v>
      </c>
    </row>
    <row r="3248" spans="1:42" x14ac:dyDescent="0.25">
      <c r="A3248" t="s">
        <v>46</v>
      </c>
      <c r="B3248">
        <v>4</v>
      </c>
      <c r="C3248" t="s">
        <v>2168</v>
      </c>
      <c r="D3248" s="39">
        <v>46069</v>
      </c>
      <c r="E3248" t="s">
        <v>2127</v>
      </c>
      <c r="F3248" t="s">
        <v>79</v>
      </c>
      <c r="G3248">
        <v>30</v>
      </c>
      <c r="H3248" t="s">
        <v>92</v>
      </c>
      <c r="I3248" t="s">
        <v>79</v>
      </c>
      <c r="J3248">
        <v>100</v>
      </c>
      <c r="K3248" t="s">
        <v>79</v>
      </c>
      <c r="L3248">
        <v>2</v>
      </c>
      <c r="M3248">
        <v>111.53</v>
      </c>
      <c r="N3248">
        <v>7</v>
      </c>
      <c r="Q3248">
        <v>104.53</v>
      </c>
      <c r="R3248" t="s">
        <v>1993</v>
      </c>
      <c r="S3248">
        <v>15</v>
      </c>
      <c r="V3248">
        <v>15</v>
      </c>
      <c r="W3248">
        <v>0.25</v>
      </c>
      <c r="Z3248">
        <v>20</v>
      </c>
      <c r="AF3248">
        <v>20</v>
      </c>
      <c r="AG3248">
        <v>0.33333333333333331</v>
      </c>
      <c r="AH3248">
        <v>0.58333333333333326</v>
      </c>
      <c r="AI3248">
        <v>11.416666666666666</v>
      </c>
      <c r="AJ3248">
        <v>12</v>
      </c>
      <c r="AM3248">
        <v>0</v>
      </c>
      <c r="AN3248">
        <v>116.53</v>
      </c>
      <c r="AP3248">
        <v>8</v>
      </c>
    </row>
    <row r="3249" spans="1:42" x14ac:dyDescent="0.25">
      <c r="A3249" t="s">
        <v>46</v>
      </c>
      <c r="B3249">
        <v>4</v>
      </c>
      <c r="C3249" t="s">
        <v>2169</v>
      </c>
      <c r="D3249" s="39">
        <v>46069</v>
      </c>
      <c r="E3249" t="s">
        <v>276</v>
      </c>
      <c r="F3249" t="s">
        <v>79</v>
      </c>
      <c r="G3249">
        <v>20</v>
      </c>
      <c r="H3249" t="s">
        <v>113</v>
      </c>
      <c r="I3249" t="s">
        <v>79</v>
      </c>
      <c r="J3249" t="s">
        <v>81</v>
      </c>
      <c r="K3249" t="s">
        <v>79</v>
      </c>
      <c r="L3249">
        <v>3</v>
      </c>
      <c r="M3249">
        <v>161.72</v>
      </c>
      <c r="N3249">
        <v>7.5</v>
      </c>
      <c r="Q3249">
        <v>154.22</v>
      </c>
      <c r="R3249" t="s">
        <v>2183</v>
      </c>
      <c r="V3249">
        <v>0</v>
      </c>
      <c r="W3249">
        <v>0</v>
      </c>
      <c r="AF3249">
        <v>0</v>
      </c>
      <c r="AG3249">
        <v>0</v>
      </c>
      <c r="AH3249">
        <v>0</v>
      </c>
      <c r="AI3249">
        <v>12</v>
      </c>
      <c r="AJ3249">
        <v>12</v>
      </c>
      <c r="AM3249">
        <v>0</v>
      </c>
      <c r="AN3249">
        <v>166.72</v>
      </c>
      <c r="AP3249">
        <v>8</v>
      </c>
    </row>
    <row r="3250" spans="1:42" x14ac:dyDescent="0.25">
      <c r="A3250" t="s">
        <v>45</v>
      </c>
      <c r="B3250">
        <v>5</v>
      </c>
      <c r="C3250" t="s">
        <v>2159</v>
      </c>
      <c r="D3250" s="39">
        <v>46069</v>
      </c>
      <c r="E3250" t="s">
        <v>486</v>
      </c>
      <c r="F3250" t="s">
        <v>79</v>
      </c>
      <c r="G3250">
        <v>9</v>
      </c>
      <c r="H3250" t="s">
        <v>113</v>
      </c>
      <c r="I3250" t="s">
        <v>79</v>
      </c>
      <c r="J3250">
        <v>1000</v>
      </c>
      <c r="K3250" t="s">
        <v>79</v>
      </c>
      <c r="L3250">
        <v>5</v>
      </c>
      <c r="M3250">
        <v>239.45</v>
      </c>
      <c r="N3250">
        <v>4.5</v>
      </c>
      <c r="Q3250">
        <v>234.95</v>
      </c>
      <c r="R3250" t="s">
        <v>2160</v>
      </c>
      <c r="V3250">
        <v>0</v>
      </c>
      <c r="W3250">
        <v>0</v>
      </c>
      <c r="AF3250">
        <v>0</v>
      </c>
      <c r="AG3250">
        <v>0</v>
      </c>
      <c r="AH3250">
        <v>0</v>
      </c>
      <c r="AI3250">
        <v>12</v>
      </c>
      <c r="AJ3250">
        <v>12</v>
      </c>
      <c r="AM3250">
        <v>0</v>
      </c>
      <c r="AN3250">
        <v>244.45</v>
      </c>
      <c r="AP3250">
        <v>8</v>
      </c>
    </row>
    <row r="3251" spans="1:42" x14ac:dyDescent="0.25">
      <c r="A3251" t="s">
        <v>45</v>
      </c>
      <c r="B3251">
        <v>5</v>
      </c>
      <c r="C3251" t="s">
        <v>2170</v>
      </c>
      <c r="D3251" s="39">
        <v>46069</v>
      </c>
      <c r="E3251" t="s">
        <v>2171</v>
      </c>
      <c r="F3251" t="s">
        <v>79</v>
      </c>
      <c r="G3251">
        <v>14</v>
      </c>
      <c r="H3251" t="s">
        <v>98</v>
      </c>
      <c r="I3251" t="s">
        <v>79</v>
      </c>
      <c r="J3251">
        <v>100</v>
      </c>
      <c r="K3251" t="s">
        <v>79</v>
      </c>
      <c r="L3251">
        <v>1</v>
      </c>
      <c r="M3251">
        <v>47.4</v>
      </c>
      <c r="N3251">
        <v>1.4</v>
      </c>
      <c r="Q3251">
        <v>46</v>
      </c>
      <c r="R3251" t="s">
        <v>2172</v>
      </c>
      <c r="V3251">
        <v>0</v>
      </c>
      <c r="W3251">
        <v>0</v>
      </c>
      <c r="AF3251">
        <v>0</v>
      </c>
      <c r="AG3251">
        <v>0</v>
      </c>
      <c r="AH3251">
        <v>0</v>
      </c>
      <c r="AI3251">
        <v>12</v>
      </c>
      <c r="AJ3251">
        <v>12</v>
      </c>
      <c r="AM3251">
        <v>0</v>
      </c>
      <c r="AN3251">
        <v>52.4</v>
      </c>
      <c r="AP3251">
        <v>8</v>
      </c>
    </row>
    <row r="3252" spans="1:42" x14ac:dyDescent="0.25">
      <c r="A3252" t="s">
        <v>45</v>
      </c>
      <c r="B3252">
        <v>5</v>
      </c>
      <c r="C3252" t="s">
        <v>2173</v>
      </c>
      <c r="D3252" s="39">
        <v>46069</v>
      </c>
      <c r="E3252" t="s">
        <v>2174</v>
      </c>
      <c r="F3252" t="s">
        <v>79</v>
      </c>
      <c r="G3252">
        <v>9</v>
      </c>
      <c r="H3252" t="s">
        <v>123</v>
      </c>
      <c r="I3252" t="s">
        <v>79</v>
      </c>
      <c r="J3252">
        <v>50</v>
      </c>
      <c r="K3252" t="s">
        <v>79</v>
      </c>
      <c r="L3252">
        <v>2</v>
      </c>
      <c r="M3252">
        <v>72.12</v>
      </c>
      <c r="N3252">
        <v>1.8</v>
      </c>
      <c r="Q3252">
        <v>70.320000000000007</v>
      </c>
      <c r="R3252" t="s">
        <v>2175</v>
      </c>
      <c r="V3252">
        <v>0</v>
      </c>
      <c r="W3252">
        <v>0</v>
      </c>
      <c r="AF3252">
        <v>0</v>
      </c>
      <c r="AG3252">
        <v>0</v>
      </c>
      <c r="AH3252">
        <v>0</v>
      </c>
      <c r="AI3252">
        <v>12</v>
      </c>
      <c r="AJ3252">
        <v>12</v>
      </c>
      <c r="AM3252">
        <v>0</v>
      </c>
      <c r="AN3252">
        <v>77.12</v>
      </c>
      <c r="AP3252">
        <v>8</v>
      </c>
    </row>
    <row r="3253" spans="1:42" x14ac:dyDescent="0.25">
      <c r="A3253" t="s">
        <v>45</v>
      </c>
      <c r="B3253">
        <v>5</v>
      </c>
      <c r="C3253" t="s">
        <v>2170</v>
      </c>
      <c r="D3253" s="39">
        <v>46069</v>
      </c>
      <c r="E3253" t="s">
        <v>2171</v>
      </c>
      <c r="F3253" t="s">
        <v>79</v>
      </c>
      <c r="G3253">
        <v>14</v>
      </c>
      <c r="H3253" t="s">
        <v>98</v>
      </c>
      <c r="I3253" t="s">
        <v>79</v>
      </c>
      <c r="J3253">
        <v>100</v>
      </c>
      <c r="K3253" t="s">
        <v>79</v>
      </c>
      <c r="L3253">
        <v>2</v>
      </c>
      <c r="M3253">
        <v>102</v>
      </c>
      <c r="N3253">
        <v>2.8</v>
      </c>
      <c r="O3253">
        <v>4</v>
      </c>
      <c r="Q3253">
        <v>99.2</v>
      </c>
      <c r="R3253" t="s">
        <v>2172</v>
      </c>
      <c r="V3253">
        <v>0</v>
      </c>
      <c r="W3253">
        <v>0</v>
      </c>
      <c r="AF3253">
        <v>0</v>
      </c>
      <c r="AG3253">
        <v>0</v>
      </c>
      <c r="AH3253">
        <v>0</v>
      </c>
      <c r="AI3253">
        <v>12</v>
      </c>
      <c r="AJ3253">
        <v>12</v>
      </c>
      <c r="AM3253">
        <v>0</v>
      </c>
      <c r="AN3253">
        <v>107</v>
      </c>
      <c r="AP3253">
        <v>8</v>
      </c>
    </row>
    <row r="3254" spans="1:42" x14ac:dyDescent="0.25">
      <c r="A3254" t="s">
        <v>46</v>
      </c>
      <c r="B3254">
        <v>5</v>
      </c>
      <c r="C3254" t="s">
        <v>2170</v>
      </c>
      <c r="D3254" s="39">
        <v>46069</v>
      </c>
      <c r="E3254" t="s">
        <v>2171</v>
      </c>
      <c r="F3254" t="s">
        <v>79</v>
      </c>
      <c r="G3254">
        <v>14</v>
      </c>
      <c r="H3254" t="s">
        <v>98</v>
      </c>
      <c r="I3254" t="s">
        <v>79</v>
      </c>
      <c r="J3254">
        <v>100</v>
      </c>
      <c r="K3254" t="s">
        <v>79</v>
      </c>
      <c r="L3254">
        <v>1</v>
      </c>
      <c r="M3254">
        <v>60.59</v>
      </c>
      <c r="N3254">
        <v>1.4</v>
      </c>
      <c r="O3254">
        <v>4</v>
      </c>
      <c r="Q3254">
        <v>59.190000000000005</v>
      </c>
      <c r="R3254" t="s">
        <v>2172</v>
      </c>
      <c r="V3254">
        <v>0</v>
      </c>
      <c r="W3254">
        <v>0</v>
      </c>
      <c r="AF3254">
        <v>0</v>
      </c>
      <c r="AG3254">
        <v>0</v>
      </c>
      <c r="AH3254">
        <v>0</v>
      </c>
      <c r="AI3254">
        <v>12</v>
      </c>
      <c r="AJ3254">
        <v>12</v>
      </c>
      <c r="AM3254">
        <v>0</v>
      </c>
      <c r="AN3254">
        <v>65.59</v>
      </c>
      <c r="AP3254">
        <v>8</v>
      </c>
    </row>
    <row r="3255" spans="1:42" x14ac:dyDescent="0.25">
      <c r="A3255" t="s">
        <v>46</v>
      </c>
      <c r="B3255">
        <v>5</v>
      </c>
      <c r="C3255" t="s">
        <v>2176</v>
      </c>
      <c r="D3255" s="39">
        <v>46069</v>
      </c>
      <c r="E3255" t="s">
        <v>411</v>
      </c>
      <c r="F3255" t="s">
        <v>79</v>
      </c>
      <c r="G3255">
        <v>14</v>
      </c>
      <c r="H3255">
        <v>8</v>
      </c>
      <c r="I3255" t="s">
        <v>79</v>
      </c>
      <c r="J3255">
        <v>100</v>
      </c>
      <c r="K3255" t="s">
        <v>79</v>
      </c>
      <c r="L3255">
        <v>2</v>
      </c>
      <c r="M3255">
        <v>104.34</v>
      </c>
      <c r="N3255">
        <v>3</v>
      </c>
      <c r="Q3255">
        <v>101.34</v>
      </c>
      <c r="R3255" t="s">
        <v>2177</v>
      </c>
      <c r="S3255">
        <v>20</v>
      </c>
      <c r="V3255">
        <v>20</v>
      </c>
      <c r="W3255">
        <v>0.33333333333333331</v>
      </c>
      <c r="AF3255">
        <v>0</v>
      </c>
      <c r="AG3255">
        <v>0</v>
      </c>
      <c r="AH3255">
        <v>0.33333333333333331</v>
      </c>
      <c r="AI3255">
        <v>11.666666666666666</v>
      </c>
      <c r="AJ3255">
        <v>12</v>
      </c>
      <c r="AM3255">
        <v>0</v>
      </c>
      <c r="AN3255">
        <v>109.34</v>
      </c>
      <c r="AP3255">
        <v>8</v>
      </c>
    </row>
    <row r="3256" spans="1:42" x14ac:dyDescent="0.25">
      <c r="A3256" t="s">
        <v>46</v>
      </c>
      <c r="B3256">
        <v>5</v>
      </c>
      <c r="C3256" t="s">
        <v>2178</v>
      </c>
      <c r="D3256" s="39">
        <v>46069</v>
      </c>
      <c r="E3256" t="s">
        <v>255</v>
      </c>
      <c r="F3256" t="s">
        <v>79</v>
      </c>
      <c r="G3256">
        <v>12</v>
      </c>
      <c r="H3256" t="s">
        <v>135</v>
      </c>
      <c r="I3256" t="s">
        <v>79</v>
      </c>
      <c r="J3256">
        <v>100</v>
      </c>
      <c r="K3256" t="s">
        <v>79</v>
      </c>
      <c r="L3256">
        <v>6</v>
      </c>
      <c r="M3256">
        <v>343.97</v>
      </c>
      <c r="N3256">
        <v>7.1999999999999993</v>
      </c>
      <c r="Q3256">
        <v>336.77000000000004</v>
      </c>
      <c r="R3256" t="s">
        <v>2179</v>
      </c>
      <c r="V3256">
        <v>0</v>
      </c>
      <c r="W3256">
        <v>0</v>
      </c>
      <c r="AF3256">
        <v>0</v>
      </c>
      <c r="AG3256">
        <v>0</v>
      </c>
      <c r="AH3256">
        <v>0</v>
      </c>
      <c r="AI3256">
        <v>12</v>
      </c>
      <c r="AJ3256">
        <v>12</v>
      </c>
      <c r="AM3256">
        <v>0</v>
      </c>
      <c r="AN3256">
        <v>348.97</v>
      </c>
      <c r="AP3256">
        <v>8</v>
      </c>
    </row>
    <row r="3257" spans="1:42" x14ac:dyDescent="0.25">
      <c r="A3257" t="s">
        <v>45</v>
      </c>
      <c r="B3257">
        <v>1</v>
      </c>
      <c r="C3257" t="s">
        <v>2163</v>
      </c>
      <c r="D3257" s="39">
        <v>46070</v>
      </c>
      <c r="E3257" t="s">
        <v>663</v>
      </c>
      <c r="F3257" t="s">
        <v>79</v>
      </c>
      <c r="G3257">
        <v>2</v>
      </c>
      <c r="H3257" t="s">
        <v>140</v>
      </c>
      <c r="I3257" t="s">
        <v>79</v>
      </c>
      <c r="J3257">
        <v>600</v>
      </c>
      <c r="K3257" t="s">
        <v>79</v>
      </c>
      <c r="L3257">
        <v>12</v>
      </c>
      <c r="M3257">
        <v>150.27000000000004</v>
      </c>
      <c r="N3257">
        <v>2.4000000000000004</v>
      </c>
      <c r="Q3257">
        <v>147.87000000000003</v>
      </c>
      <c r="R3257" t="s">
        <v>2243</v>
      </c>
      <c r="V3257">
        <v>0</v>
      </c>
      <c r="W3257">
        <v>0</v>
      </c>
      <c r="AF3257">
        <v>0</v>
      </c>
      <c r="AG3257">
        <v>0</v>
      </c>
      <c r="AH3257">
        <v>0</v>
      </c>
      <c r="AI3257">
        <v>12</v>
      </c>
      <c r="AJ3257">
        <v>12</v>
      </c>
      <c r="AM3257">
        <v>0</v>
      </c>
      <c r="AN3257">
        <v>155.27000000000004</v>
      </c>
      <c r="AP3257">
        <v>8</v>
      </c>
    </row>
    <row r="3258" spans="1:42" x14ac:dyDescent="0.25">
      <c r="A3258" t="s">
        <v>46</v>
      </c>
      <c r="B3258">
        <v>1</v>
      </c>
      <c r="C3258" t="s">
        <v>2163</v>
      </c>
      <c r="D3258" s="39">
        <v>46070</v>
      </c>
      <c r="E3258" t="s">
        <v>663</v>
      </c>
      <c r="F3258" t="s">
        <v>79</v>
      </c>
      <c r="G3258">
        <v>2</v>
      </c>
      <c r="H3258" t="s">
        <v>140</v>
      </c>
      <c r="I3258" t="s">
        <v>79</v>
      </c>
      <c r="J3258">
        <v>600</v>
      </c>
      <c r="K3258" t="s">
        <v>79</v>
      </c>
      <c r="L3258">
        <v>11</v>
      </c>
      <c r="M3258">
        <v>152.27999999999997</v>
      </c>
      <c r="N3258">
        <v>2.2000000000000002</v>
      </c>
      <c r="Q3258">
        <v>150.07999999999998</v>
      </c>
      <c r="R3258" t="s">
        <v>2243</v>
      </c>
      <c r="V3258">
        <v>0</v>
      </c>
      <c r="W3258">
        <v>0</v>
      </c>
      <c r="AF3258">
        <v>0</v>
      </c>
      <c r="AG3258">
        <v>0</v>
      </c>
      <c r="AH3258">
        <v>0</v>
      </c>
      <c r="AI3258">
        <v>12</v>
      </c>
      <c r="AJ3258">
        <v>12</v>
      </c>
      <c r="AM3258">
        <v>0</v>
      </c>
      <c r="AN3258">
        <v>157.27999999999997</v>
      </c>
      <c r="AP3258">
        <v>8</v>
      </c>
    </row>
    <row r="3259" spans="1:42" x14ac:dyDescent="0.25">
      <c r="A3259" t="s">
        <v>45</v>
      </c>
      <c r="B3259">
        <v>2</v>
      </c>
      <c r="C3259" t="s">
        <v>2164</v>
      </c>
      <c r="D3259" s="39">
        <v>46070</v>
      </c>
      <c r="E3259" t="s">
        <v>486</v>
      </c>
      <c r="F3259" t="s">
        <v>79</v>
      </c>
      <c r="G3259">
        <v>3</v>
      </c>
      <c r="H3259" t="s">
        <v>92</v>
      </c>
      <c r="I3259" t="s">
        <v>79</v>
      </c>
      <c r="J3259" t="s">
        <v>2165</v>
      </c>
      <c r="K3259" t="s">
        <v>79</v>
      </c>
      <c r="L3259">
        <v>8</v>
      </c>
      <c r="M3259">
        <v>153.95999999999998</v>
      </c>
      <c r="N3259">
        <v>2.4</v>
      </c>
      <c r="Q3259">
        <v>151.55999999999997</v>
      </c>
      <c r="R3259" t="s">
        <v>2182</v>
      </c>
      <c r="V3259">
        <v>0</v>
      </c>
      <c r="W3259">
        <v>0</v>
      </c>
      <c r="AF3259">
        <v>0</v>
      </c>
      <c r="AG3259">
        <v>0</v>
      </c>
      <c r="AH3259">
        <v>0</v>
      </c>
      <c r="AI3259">
        <v>12</v>
      </c>
      <c r="AJ3259">
        <v>12</v>
      </c>
      <c r="AM3259">
        <v>0</v>
      </c>
      <c r="AN3259">
        <v>158.95999999999998</v>
      </c>
      <c r="AP3259">
        <v>8</v>
      </c>
    </row>
    <row r="3260" spans="1:42" x14ac:dyDescent="0.25">
      <c r="A3260" t="s">
        <v>46</v>
      </c>
      <c r="B3260">
        <v>2</v>
      </c>
      <c r="C3260" t="s">
        <v>2164</v>
      </c>
      <c r="D3260" s="39">
        <v>46070</v>
      </c>
      <c r="E3260" t="s">
        <v>486</v>
      </c>
      <c r="F3260" t="s">
        <v>79</v>
      </c>
      <c r="G3260">
        <v>3</v>
      </c>
      <c r="H3260" t="s">
        <v>92</v>
      </c>
      <c r="I3260" t="s">
        <v>79</v>
      </c>
      <c r="J3260" t="s">
        <v>2165</v>
      </c>
      <c r="K3260" t="s">
        <v>79</v>
      </c>
      <c r="L3260">
        <v>7</v>
      </c>
      <c r="M3260">
        <v>141.20000000000002</v>
      </c>
      <c r="N3260">
        <v>2.1</v>
      </c>
      <c r="Q3260">
        <v>139.10000000000002</v>
      </c>
      <c r="R3260" t="s">
        <v>2182</v>
      </c>
      <c r="V3260">
        <v>0</v>
      </c>
      <c r="W3260">
        <v>0</v>
      </c>
      <c r="AF3260">
        <v>0</v>
      </c>
      <c r="AG3260">
        <v>0</v>
      </c>
      <c r="AH3260">
        <v>0</v>
      </c>
      <c r="AI3260">
        <v>12</v>
      </c>
      <c r="AJ3260">
        <v>12</v>
      </c>
      <c r="AM3260">
        <v>0</v>
      </c>
      <c r="AN3260">
        <v>146.20000000000002</v>
      </c>
      <c r="AP3260">
        <v>8</v>
      </c>
    </row>
    <row r="3261" spans="1:42" x14ac:dyDescent="0.25">
      <c r="A3261" t="s">
        <v>45</v>
      </c>
      <c r="B3261">
        <v>4</v>
      </c>
      <c r="C3261" t="s">
        <v>2169</v>
      </c>
      <c r="D3261" s="39">
        <v>46070</v>
      </c>
      <c r="E3261" t="s">
        <v>276</v>
      </c>
      <c r="F3261" t="s">
        <v>79</v>
      </c>
      <c r="G3261">
        <v>20</v>
      </c>
      <c r="H3261" t="s">
        <v>113</v>
      </c>
      <c r="I3261" t="s">
        <v>79</v>
      </c>
      <c r="J3261" t="s">
        <v>81</v>
      </c>
      <c r="K3261" t="s">
        <v>79</v>
      </c>
      <c r="L3261">
        <v>13</v>
      </c>
      <c r="M3261">
        <v>782.86999999999989</v>
      </c>
      <c r="N3261">
        <v>26</v>
      </c>
      <c r="O3261">
        <v>3</v>
      </c>
      <c r="Q3261">
        <v>756.86999999999989</v>
      </c>
      <c r="R3261" t="s">
        <v>2183</v>
      </c>
      <c r="V3261">
        <v>0</v>
      </c>
      <c r="W3261">
        <v>0</v>
      </c>
      <c r="AF3261">
        <v>0</v>
      </c>
      <c r="AG3261">
        <v>0</v>
      </c>
      <c r="AH3261">
        <v>0</v>
      </c>
      <c r="AI3261">
        <v>12</v>
      </c>
      <c r="AJ3261">
        <v>12</v>
      </c>
      <c r="AM3261">
        <v>0</v>
      </c>
      <c r="AN3261">
        <v>787.86999999999989</v>
      </c>
      <c r="AP3261">
        <v>8</v>
      </c>
    </row>
    <row r="3262" spans="1:42" x14ac:dyDescent="0.25">
      <c r="A3262" t="s">
        <v>46</v>
      </c>
      <c r="B3262">
        <v>4</v>
      </c>
      <c r="C3262" t="s">
        <v>2169</v>
      </c>
      <c r="D3262" s="39">
        <v>46070</v>
      </c>
      <c r="E3262" t="s">
        <v>276</v>
      </c>
      <c r="F3262" t="s">
        <v>79</v>
      </c>
      <c r="G3262">
        <v>20</v>
      </c>
      <c r="H3262" t="s">
        <v>113</v>
      </c>
      <c r="I3262" t="s">
        <v>79</v>
      </c>
      <c r="J3262" t="s">
        <v>81</v>
      </c>
      <c r="K3262" t="s">
        <v>79</v>
      </c>
      <c r="L3262">
        <v>9</v>
      </c>
      <c r="M3262">
        <v>610.69000000000005</v>
      </c>
      <c r="N3262">
        <v>22.95</v>
      </c>
      <c r="O3262">
        <v>3</v>
      </c>
      <c r="Q3262">
        <v>587.74</v>
      </c>
      <c r="R3262" t="s">
        <v>2183</v>
      </c>
      <c r="S3262">
        <v>35</v>
      </c>
      <c r="V3262">
        <v>35</v>
      </c>
      <c r="W3262">
        <v>0.58333333333333337</v>
      </c>
      <c r="AF3262">
        <v>0</v>
      </c>
      <c r="AG3262">
        <v>0</v>
      </c>
      <c r="AH3262">
        <v>0.58333333333333337</v>
      </c>
      <c r="AI3262">
        <v>11.416666666666666</v>
      </c>
      <c r="AJ3262">
        <v>12</v>
      </c>
      <c r="AM3262">
        <v>0</v>
      </c>
      <c r="AN3262">
        <v>615.69000000000005</v>
      </c>
      <c r="AP3262">
        <v>8</v>
      </c>
    </row>
    <row r="3263" spans="1:42" x14ac:dyDescent="0.25">
      <c r="A3263" t="s">
        <v>46</v>
      </c>
      <c r="B3263">
        <v>4</v>
      </c>
      <c r="C3263" t="s">
        <v>2184</v>
      </c>
      <c r="D3263" s="39">
        <v>46070</v>
      </c>
      <c r="E3263" t="s">
        <v>243</v>
      </c>
      <c r="F3263" t="s">
        <v>79</v>
      </c>
      <c r="G3263">
        <v>17</v>
      </c>
      <c r="H3263" t="s">
        <v>93</v>
      </c>
      <c r="I3263" t="s">
        <v>79</v>
      </c>
      <c r="J3263">
        <v>250</v>
      </c>
      <c r="K3263" t="s">
        <v>79</v>
      </c>
      <c r="L3263">
        <v>3</v>
      </c>
      <c r="M3263">
        <v>156.66999999999999</v>
      </c>
      <c r="N3263">
        <v>5.0999999999999996</v>
      </c>
      <c r="Q3263">
        <v>151.57</v>
      </c>
      <c r="R3263" t="s">
        <v>2185</v>
      </c>
      <c r="V3263">
        <v>0</v>
      </c>
      <c r="W3263">
        <v>0</v>
      </c>
      <c r="AF3263">
        <v>0</v>
      </c>
      <c r="AG3263">
        <v>0</v>
      </c>
      <c r="AH3263">
        <v>0</v>
      </c>
      <c r="AI3263">
        <v>12</v>
      </c>
      <c r="AJ3263">
        <v>12</v>
      </c>
      <c r="AM3263">
        <v>0</v>
      </c>
      <c r="AN3263">
        <v>161.66999999999999</v>
      </c>
      <c r="AP3263">
        <v>8</v>
      </c>
    </row>
    <row r="3264" spans="1:42" x14ac:dyDescent="0.25">
      <c r="A3264" t="s">
        <v>45</v>
      </c>
      <c r="B3264">
        <v>5</v>
      </c>
      <c r="C3264" t="s">
        <v>2186</v>
      </c>
      <c r="D3264" s="39">
        <v>46070</v>
      </c>
      <c r="E3264" t="s">
        <v>2187</v>
      </c>
      <c r="F3264" t="s">
        <v>79</v>
      </c>
      <c r="G3264">
        <v>12</v>
      </c>
      <c r="H3264" t="s">
        <v>534</v>
      </c>
      <c r="I3264" t="s">
        <v>79</v>
      </c>
      <c r="J3264">
        <v>25</v>
      </c>
      <c r="K3264" t="s">
        <v>79</v>
      </c>
      <c r="L3264">
        <v>2</v>
      </c>
      <c r="M3264">
        <v>69.990000000000009</v>
      </c>
      <c r="N3264">
        <v>2.4</v>
      </c>
      <c r="Q3264">
        <v>67.59</v>
      </c>
      <c r="R3264" t="s">
        <v>2188</v>
      </c>
      <c r="V3264">
        <v>0</v>
      </c>
      <c r="W3264">
        <v>0</v>
      </c>
      <c r="AF3264">
        <v>0</v>
      </c>
      <c r="AG3264">
        <v>0</v>
      </c>
      <c r="AH3264">
        <v>0</v>
      </c>
      <c r="AI3264">
        <v>12</v>
      </c>
      <c r="AJ3264">
        <v>12</v>
      </c>
      <c r="AM3264">
        <v>0</v>
      </c>
      <c r="AN3264">
        <v>74.990000000000009</v>
      </c>
      <c r="AP3264">
        <v>8</v>
      </c>
    </row>
    <row r="3265" spans="1:42" x14ac:dyDescent="0.25">
      <c r="A3265" t="s">
        <v>45</v>
      </c>
      <c r="B3265">
        <v>5</v>
      </c>
      <c r="C3265" t="s">
        <v>2189</v>
      </c>
      <c r="D3265" s="39">
        <v>46070</v>
      </c>
      <c r="E3265" t="s">
        <v>486</v>
      </c>
      <c r="F3265" t="s">
        <v>79</v>
      </c>
      <c r="G3265">
        <v>12</v>
      </c>
      <c r="H3265">
        <v>5</v>
      </c>
      <c r="I3265" t="s">
        <v>79</v>
      </c>
      <c r="J3265">
        <v>1500</v>
      </c>
      <c r="K3265" t="s">
        <v>79</v>
      </c>
      <c r="L3265">
        <v>7</v>
      </c>
      <c r="M3265">
        <v>354.20000000000005</v>
      </c>
      <c r="N3265">
        <v>8.4</v>
      </c>
      <c r="Q3265">
        <v>345.80000000000007</v>
      </c>
      <c r="R3265" t="s">
        <v>2190</v>
      </c>
      <c r="V3265">
        <v>0</v>
      </c>
      <c r="W3265">
        <v>0</v>
      </c>
      <c r="AF3265">
        <v>0</v>
      </c>
      <c r="AG3265">
        <v>0</v>
      </c>
      <c r="AH3265">
        <v>0</v>
      </c>
      <c r="AI3265">
        <v>12</v>
      </c>
      <c r="AJ3265">
        <v>12</v>
      </c>
      <c r="AM3265">
        <v>0</v>
      </c>
      <c r="AN3265">
        <v>359.20000000000005</v>
      </c>
      <c r="AP3265">
        <v>8</v>
      </c>
    </row>
    <row r="3266" spans="1:42" x14ac:dyDescent="0.25">
      <c r="A3266" t="s">
        <v>45</v>
      </c>
      <c r="B3266">
        <v>5</v>
      </c>
      <c r="C3266" t="s">
        <v>2191</v>
      </c>
      <c r="D3266" s="39">
        <v>46070</v>
      </c>
      <c r="E3266" t="s">
        <v>482</v>
      </c>
      <c r="F3266" t="s">
        <v>79</v>
      </c>
      <c r="G3266">
        <v>12</v>
      </c>
      <c r="H3266" t="s">
        <v>102</v>
      </c>
      <c r="I3266" t="s">
        <v>79</v>
      </c>
      <c r="J3266">
        <v>150</v>
      </c>
      <c r="K3266" t="s">
        <v>79</v>
      </c>
      <c r="L3266">
        <v>2</v>
      </c>
      <c r="M3266">
        <v>95.78</v>
      </c>
      <c r="N3266">
        <v>2.4</v>
      </c>
      <c r="O3266">
        <v>21</v>
      </c>
      <c r="Q3266">
        <v>93.38</v>
      </c>
      <c r="R3266" t="s">
        <v>2192</v>
      </c>
      <c r="V3266">
        <v>0</v>
      </c>
      <c r="W3266">
        <v>0</v>
      </c>
      <c r="AF3266">
        <v>0</v>
      </c>
      <c r="AG3266">
        <v>0</v>
      </c>
      <c r="AH3266">
        <v>0</v>
      </c>
      <c r="AI3266">
        <v>12</v>
      </c>
      <c r="AJ3266">
        <v>12</v>
      </c>
      <c r="AM3266">
        <v>0</v>
      </c>
      <c r="AN3266">
        <v>100.78</v>
      </c>
      <c r="AP3266">
        <v>8</v>
      </c>
    </row>
    <row r="3267" spans="1:42" x14ac:dyDescent="0.25">
      <c r="A3267" t="s">
        <v>46</v>
      </c>
      <c r="B3267">
        <v>5</v>
      </c>
      <c r="C3267" t="s">
        <v>2189</v>
      </c>
      <c r="D3267" s="39">
        <v>46070</v>
      </c>
      <c r="E3267" t="s">
        <v>486</v>
      </c>
      <c r="F3267" t="s">
        <v>79</v>
      </c>
      <c r="G3267">
        <v>12</v>
      </c>
      <c r="H3267">
        <v>5</v>
      </c>
      <c r="I3267" t="s">
        <v>79</v>
      </c>
      <c r="J3267">
        <v>1500</v>
      </c>
      <c r="K3267" t="s">
        <v>79</v>
      </c>
      <c r="L3267">
        <v>9</v>
      </c>
      <c r="M3267">
        <v>525.79</v>
      </c>
      <c r="N3267">
        <v>11.700000000000001</v>
      </c>
      <c r="O3267">
        <v>29</v>
      </c>
      <c r="Q3267">
        <v>514.08999999999992</v>
      </c>
      <c r="R3267" t="s">
        <v>2190</v>
      </c>
      <c r="V3267">
        <v>0</v>
      </c>
      <c r="W3267">
        <v>0</v>
      </c>
      <c r="AF3267">
        <v>0</v>
      </c>
      <c r="AG3267">
        <v>0</v>
      </c>
      <c r="AH3267">
        <v>0</v>
      </c>
      <c r="AI3267">
        <v>12</v>
      </c>
      <c r="AJ3267">
        <v>12</v>
      </c>
      <c r="AM3267">
        <v>0</v>
      </c>
      <c r="AN3267">
        <v>530.79</v>
      </c>
      <c r="AP3267">
        <v>8</v>
      </c>
    </row>
    <row r="3268" spans="1:42" x14ac:dyDescent="0.25">
      <c r="A3268" t="s">
        <v>45</v>
      </c>
      <c r="B3268">
        <v>1</v>
      </c>
      <c r="C3268" t="s">
        <v>2163</v>
      </c>
      <c r="D3268" s="39">
        <v>46071</v>
      </c>
      <c r="E3268" t="s">
        <v>663</v>
      </c>
      <c r="F3268" t="s">
        <v>79</v>
      </c>
      <c r="G3268">
        <v>2</v>
      </c>
      <c r="H3268" t="s">
        <v>140</v>
      </c>
      <c r="I3268" t="s">
        <v>79</v>
      </c>
      <c r="J3268">
        <v>600</v>
      </c>
      <c r="K3268" t="s">
        <v>79</v>
      </c>
      <c r="L3268">
        <v>10</v>
      </c>
      <c r="M3268">
        <v>139.62</v>
      </c>
      <c r="N3268">
        <v>2</v>
      </c>
      <c r="O3268">
        <v>46</v>
      </c>
      <c r="Q3268">
        <v>137.62</v>
      </c>
      <c r="R3268" t="s">
        <v>2243</v>
      </c>
      <c r="V3268">
        <v>0</v>
      </c>
      <c r="W3268">
        <v>0</v>
      </c>
      <c r="X3268">
        <v>60</v>
      </c>
      <c r="Z3268">
        <v>60</v>
      </c>
      <c r="AF3268">
        <v>120</v>
      </c>
      <c r="AG3268">
        <v>2</v>
      </c>
      <c r="AH3268">
        <v>2</v>
      </c>
      <c r="AI3268">
        <v>10</v>
      </c>
      <c r="AJ3268">
        <v>12</v>
      </c>
      <c r="AM3268">
        <v>0</v>
      </c>
      <c r="AN3268">
        <v>144.62</v>
      </c>
      <c r="AP3268">
        <v>8</v>
      </c>
    </row>
    <row r="3269" spans="1:42" x14ac:dyDescent="0.25">
      <c r="A3269" t="s">
        <v>46</v>
      </c>
      <c r="B3269">
        <v>1</v>
      </c>
      <c r="C3269" t="s">
        <v>2163</v>
      </c>
      <c r="D3269" s="39">
        <v>46071</v>
      </c>
      <c r="E3269" t="s">
        <v>663</v>
      </c>
      <c r="F3269" t="s">
        <v>79</v>
      </c>
      <c r="G3269">
        <v>2</v>
      </c>
      <c r="H3269" t="s">
        <v>140</v>
      </c>
      <c r="I3269" t="s">
        <v>79</v>
      </c>
      <c r="J3269">
        <v>600</v>
      </c>
      <c r="K3269" t="s">
        <v>79</v>
      </c>
      <c r="L3269">
        <v>3</v>
      </c>
      <c r="M3269">
        <v>39.510000000000005</v>
      </c>
      <c r="N3269">
        <v>0.60000000000000009</v>
      </c>
      <c r="O3269">
        <v>34</v>
      </c>
      <c r="Q3269">
        <v>38.910000000000004</v>
      </c>
      <c r="R3269" t="s">
        <v>2243</v>
      </c>
      <c r="V3269">
        <v>0</v>
      </c>
      <c r="W3269">
        <v>0</v>
      </c>
      <c r="AF3269">
        <v>0</v>
      </c>
      <c r="AG3269">
        <v>0</v>
      </c>
      <c r="AH3269">
        <v>0</v>
      </c>
      <c r="AI3269">
        <v>12</v>
      </c>
      <c r="AJ3269">
        <v>12</v>
      </c>
      <c r="AM3269">
        <v>0</v>
      </c>
      <c r="AN3269">
        <v>44.510000000000005</v>
      </c>
      <c r="AP3269">
        <v>8</v>
      </c>
    </row>
    <row r="3270" spans="1:42" x14ac:dyDescent="0.25">
      <c r="A3270" t="s">
        <v>46</v>
      </c>
      <c r="B3270">
        <v>1</v>
      </c>
      <c r="C3270" t="s">
        <v>2052</v>
      </c>
      <c r="D3270" s="39">
        <v>46071</v>
      </c>
      <c r="E3270" t="s">
        <v>486</v>
      </c>
      <c r="F3270" t="s">
        <v>79</v>
      </c>
      <c r="G3270">
        <v>2</v>
      </c>
      <c r="H3270" t="s">
        <v>92</v>
      </c>
      <c r="I3270" t="s">
        <v>79</v>
      </c>
      <c r="J3270" t="s">
        <v>2074</v>
      </c>
      <c r="K3270" t="s">
        <v>79</v>
      </c>
      <c r="L3270">
        <v>3</v>
      </c>
      <c r="M3270">
        <v>64.62</v>
      </c>
      <c r="N3270">
        <v>0.60000000000000009</v>
      </c>
      <c r="Q3270">
        <v>64.02000000000001</v>
      </c>
      <c r="R3270" t="s">
        <v>2181</v>
      </c>
      <c r="V3270">
        <v>0</v>
      </c>
      <c r="W3270">
        <v>0</v>
      </c>
      <c r="AF3270">
        <v>0</v>
      </c>
      <c r="AG3270">
        <v>0</v>
      </c>
      <c r="AH3270">
        <v>0</v>
      </c>
      <c r="AI3270">
        <v>12</v>
      </c>
      <c r="AJ3270">
        <v>12</v>
      </c>
      <c r="AM3270">
        <v>0</v>
      </c>
      <c r="AN3270">
        <v>69.62</v>
      </c>
      <c r="AP3270">
        <v>8</v>
      </c>
    </row>
    <row r="3271" spans="1:42" x14ac:dyDescent="0.25">
      <c r="A3271" t="s">
        <v>45</v>
      </c>
      <c r="B3271">
        <v>2</v>
      </c>
      <c r="C3271" t="s">
        <v>2164</v>
      </c>
      <c r="D3271" s="39">
        <v>46071</v>
      </c>
      <c r="E3271" t="s">
        <v>486</v>
      </c>
      <c r="F3271" t="s">
        <v>79</v>
      </c>
      <c r="G3271">
        <v>3</v>
      </c>
      <c r="H3271" t="s">
        <v>92</v>
      </c>
      <c r="I3271" t="s">
        <v>79</v>
      </c>
      <c r="J3271" t="s">
        <v>2165</v>
      </c>
      <c r="K3271" t="s">
        <v>79</v>
      </c>
      <c r="L3271">
        <v>9</v>
      </c>
      <c r="M3271">
        <v>155.44</v>
      </c>
      <c r="N3271">
        <v>2.6999999999999997</v>
      </c>
      <c r="Q3271">
        <v>152.74</v>
      </c>
      <c r="R3271" t="s">
        <v>2182</v>
      </c>
      <c r="S3271">
        <v>15</v>
      </c>
      <c r="V3271">
        <v>15</v>
      </c>
      <c r="W3271">
        <v>0.25</v>
      </c>
      <c r="X3271">
        <v>60</v>
      </c>
      <c r="AF3271">
        <v>60</v>
      </c>
      <c r="AG3271">
        <v>1</v>
      </c>
      <c r="AH3271">
        <v>1.25</v>
      </c>
      <c r="AI3271">
        <v>10.75</v>
      </c>
      <c r="AJ3271">
        <v>12</v>
      </c>
      <c r="AM3271">
        <v>0</v>
      </c>
      <c r="AN3271">
        <v>160.44</v>
      </c>
      <c r="AP3271">
        <v>8</v>
      </c>
    </row>
    <row r="3272" spans="1:42" x14ac:dyDescent="0.25">
      <c r="A3272" t="s">
        <v>46</v>
      </c>
      <c r="B3272">
        <v>2</v>
      </c>
      <c r="C3272" t="s">
        <v>2193</v>
      </c>
      <c r="D3272" s="39">
        <v>46071</v>
      </c>
      <c r="E3272" t="s">
        <v>486</v>
      </c>
      <c r="F3272" t="s">
        <v>79</v>
      </c>
      <c r="G3272">
        <v>6</v>
      </c>
      <c r="H3272">
        <v>5</v>
      </c>
      <c r="I3272" t="s">
        <v>79</v>
      </c>
      <c r="J3272">
        <v>1500</v>
      </c>
      <c r="K3272" t="s">
        <v>79</v>
      </c>
      <c r="L3272">
        <v>8</v>
      </c>
      <c r="M3272">
        <v>167.65</v>
      </c>
      <c r="N3272">
        <v>4.8</v>
      </c>
      <c r="Q3272">
        <v>162.85</v>
      </c>
      <c r="R3272" t="s">
        <v>2194</v>
      </c>
      <c r="V3272">
        <v>0</v>
      </c>
      <c r="W3272">
        <v>0</v>
      </c>
      <c r="AF3272">
        <v>0</v>
      </c>
      <c r="AG3272">
        <v>0</v>
      </c>
      <c r="AH3272">
        <v>0</v>
      </c>
      <c r="AI3272">
        <v>12</v>
      </c>
      <c r="AJ3272">
        <v>12</v>
      </c>
      <c r="AM3272">
        <v>0</v>
      </c>
      <c r="AN3272">
        <v>172.65</v>
      </c>
      <c r="AP3272">
        <v>8</v>
      </c>
    </row>
    <row r="3273" spans="1:42" x14ac:dyDescent="0.25">
      <c r="A3273" t="s">
        <v>45</v>
      </c>
      <c r="B3273">
        <v>4</v>
      </c>
      <c r="C3273" t="s">
        <v>2184</v>
      </c>
      <c r="D3273" s="39">
        <v>46071</v>
      </c>
      <c r="E3273" t="s">
        <v>243</v>
      </c>
      <c r="F3273" t="s">
        <v>79</v>
      </c>
      <c r="G3273">
        <v>17</v>
      </c>
      <c r="H3273" t="s">
        <v>93</v>
      </c>
      <c r="I3273" t="s">
        <v>79</v>
      </c>
      <c r="J3273">
        <v>250</v>
      </c>
      <c r="K3273" t="s">
        <v>79</v>
      </c>
      <c r="L3273">
        <v>3</v>
      </c>
      <c r="M3273">
        <v>155.57</v>
      </c>
      <c r="N3273">
        <v>5.0999999999999996</v>
      </c>
      <c r="Q3273">
        <v>150.47</v>
      </c>
      <c r="R3273" t="s">
        <v>2185</v>
      </c>
      <c r="S3273">
        <v>20</v>
      </c>
      <c r="V3273">
        <v>20</v>
      </c>
      <c r="W3273">
        <v>0.33333333333333331</v>
      </c>
      <c r="AF3273">
        <v>0</v>
      </c>
      <c r="AG3273">
        <v>0</v>
      </c>
      <c r="AH3273">
        <v>0.33333333333333331</v>
      </c>
      <c r="AI3273">
        <v>11.666666666666666</v>
      </c>
      <c r="AJ3273">
        <v>12</v>
      </c>
      <c r="AM3273">
        <v>0</v>
      </c>
      <c r="AN3273">
        <v>160.57</v>
      </c>
      <c r="AP3273">
        <v>8</v>
      </c>
    </row>
    <row r="3274" spans="1:42" x14ac:dyDescent="0.25">
      <c r="A3274" t="s">
        <v>45</v>
      </c>
      <c r="B3274">
        <v>4</v>
      </c>
      <c r="C3274" t="s">
        <v>2195</v>
      </c>
      <c r="D3274" s="39">
        <v>46071</v>
      </c>
      <c r="E3274" t="s">
        <v>2196</v>
      </c>
      <c r="F3274" t="s">
        <v>79</v>
      </c>
      <c r="G3274" t="s">
        <v>2197</v>
      </c>
      <c r="H3274" t="s">
        <v>2198</v>
      </c>
      <c r="I3274" t="s">
        <v>79</v>
      </c>
      <c r="J3274">
        <v>250</v>
      </c>
      <c r="K3274" t="s">
        <v>79</v>
      </c>
      <c r="L3274">
        <v>6</v>
      </c>
      <c r="M3274">
        <v>245.54999999999998</v>
      </c>
      <c r="N3274">
        <v>14.399999999999999</v>
      </c>
      <c r="Q3274">
        <v>231.14999999999998</v>
      </c>
      <c r="R3274" t="s">
        <v>2199</v>
      </c>
      <c r="S3274">
        <v>20</v>
      </c>
      <c r="V3274">
        <v>20</v>
      </c>
      <c r="W3274">
        <v>0.33333333333333331</v>
      </c>
      <c r="AF3274">
        <v>0</v>
      </c>
      <c r="AG3274">
        <v>0</v>
      </c>
      <c r="AH3274">
        <v>0.33333333333333331</v>
      </c>
      <c r="AI3274">
        <v>11.666666666666666</v>
      </c>
      <c r="AJ3274">
        <v>12</v>
      </c>
      <c r="AM3274">
        <v>0</v>
      </c>
      <c r="AN3274">
        <v>250.55</v>
      </c>
      <c r="AP3274">
        <v>8</v>
      </c>
    </row>
    <row r="3275" spans="1:42" x14ac:dyDescent="0.25">
      <c r="A3275" t="s">
        <v>45</v>
      </c>
      <c r="B3275">
        <v>4</v>
      </c>
      <c r="C3275" t="s">
        <v>2200</v>
      </c>
      <c r="D3275" s="39">
        <v>46071</v>
      </c>
      <c r="E3275" t="s">
        <v>276</v>
      </c>
      <c r="F3275" t="s">
        <v>79</v>
      </c>
      <c r="G3275">
        <v>24</v>
      </c>
      <c r="H3275" t="s">
        <v>113</v>
      </c>
      <c r="I3275" t="s">
        <v>79</v>
      </c>
      <c r="J3275" t="s">
        <v>81</v>
      </c>
      <c r="K3275" t="s">
        <v>79</v>
      </c>
      <c r="L3275">
        <v>4</v>
      </c>
      <c r="M3275">
        <v>287.44</v>
      </c>
      <c r="N3275">
        <v>9.6</v>
      </c>
      <c r="Q3275">
        <v>277.83999999999997</v>
      </c>
      <c r="R3275" t="s">
        <v>2201</v>
      </c>
      <c r="S3275">
        <v>25</v>
      </c>
      <c r="V3275">
        <v>25</v>
      </c>
      <c r="W3275">
        <v>0.41666666666666674</v>
      </c>
      <c r="X3275">
        <v>60</v>
      </c>
      <c r="Z3275">
        <v>60</v>
      </c>
      <c r="AF3275">
        <v>120</v>
      </c>
      <c r="AG3275">
        <v>2</v>
      </c>
      <c r="AH3275">
        <v>2.4166666666666665</v>
      </c>
      <c r="AI3275">
        <v>9.5833333333333339</v>
      </c>
      <c r="AJ3275">
        <v>12</v>
      </c>
      <c r="AM3275">
        <v>0</v>
      </c>
      <c r="AN3275">
        <v>292.44</v>
      </c>
      <c r="AP3275">
        <v>8</v>
      </c>
    </row>
    <row r="3276" spans="1:42" x14ac:dyDescent="0.25">
      <c r="A3276" t="s">
        <v>46</v>
      </c>
      <c r="B3276">
        <v>4</v>
      </c>
      <c r="C3276" t="s">
        <v>2202</v>
      </c>
      <c r="D3276" s="39">
        <v>46071</v>
      </c>
      <c r="E3276" t="s">
        <v>2196</v>
      </c>
      <c r="F3276" t="s">
        <v>79</v>
      </c>
      <c r="G3276" t="s">
        <v>2203</v>
      </c>
      <c r="H3276" t="s">
        <v>2198</v>
      </c>
      <c r="I3276" t="s">
        <v>79</v>
      </c>
      <c r="J3276">
        <v>250</v>
      </c>
      <c r="K3276" t="s">
        <v>79</v>
      </c>
      <c r="L3276">
        <v>6</v>
      </c>
      <c r="M3276">
        <v>303.72000000000003</v>
      </c>
      <c r="N3276">
        <v>19.200000000000003</v>
      </c>
      <c r="Q3276">
        <v>284.52000000000004</v>
      </c>
      <c r="R3276" t="s">
        <v>2204</v>
      </c>
      <c r="S3276">
        <v>20</v>
      </c>
      <c r="T3276">
        <v>75</v>
      </c>
      <c r="V3276">
        <v>95</v>
      </c>
      <c r="W3276">
        <v>1.5833333333333333</v>
      </c>
      <c r="AF3276">
        <v>0</v>
      </c>
      <c r="AG3276">
        <v>0</v>
      </c>
      <c r="AH3276">
        <v>1.5833333333333333</v>
      </c>
      <c r="AI3276">
        <v>10.416666666666666</v>
      </c>
      <c r="AJ3276">
        <v>12</v>
      </c>
      <c r="AM3276">
        <v>0</v>
      </c>
      <c r="AN3276">
        <v>308.72000000000003</v>
      </c>
      <c r="AP3276">
        <v>8</v>
      </c>
    </row>
    <row r="3277" spans="1:42" x14ac:dyDescent="0.25">
      <c r="A3277" t="s">
        <v>46</v>
      </c>
      <c r="B3277">
        <v>4</v>
      </c>
      <c r="C3277" t="s">
        <v>2200</v>
      </c>
      <c r="D3277" s="39">
        <v>46071</v>
      </c>
      <c r="E3277" t="s">
        <v>276</v>
      </c>
      <c r="F3277" t="s">
        <v>79</v>
      </c>
      <c r="G3277">
        <v>24</v>
      </c>
      <c r="H3277" t="s">
        <v>113</v>
      </c>
      <c r="I3277" t="s">
        <v>79</v>
      </c>
      <c r="J3277" t="s">
        <v>81</v>
      </c>
      <c r="K3277" t="s">
        <v>79</v>
      </c>
      <c r="L3277">
        <v>7</v>
      </c>
      <c r="M3277">
        <v>431.25999999999993</v>
      </c>
      <c r="N3277">
        <v>16.8</v>
      </c>
      <c r="Q3277">
        <v>414.45999999999992</v>
      </c>
      <c r="R3277" t="s">
        <v>2201</v>
      </c>
      <c r="V3277">
        <v>0</v>
      </c>
      <c r="W3277">
        <v>0</v>
      </c>
      <c r="AF3277">
        <v>0</v>
      </c>
      <c r="AG3277">
        <v>0</v>
      </c>
      <c r="AH3277">
        <v>0</v>
      </c>
      <c r="AI3277">
        <v>12</v>
      </c>
      <c r="AJ3277">
        <v>12</v>
      </c>
      <c r="AM3277">
        <v>0</v>
      </c>
      <c r="AN3277">
        <v>436.25999999999993</v>
      </c>
      <c r="AP3277">
        <v>8</v>
      </c>
    </row>
    <row r="3278" spans="1:42" x14ac:dyDescent="0.25">
      <c r="A3278" t="s">
        <v>45</v>
      </c>
      <c r="B3278">
        <v>5</v>
      </c>
      <c r="C3278" t="s">
        <v>821</v>
      </c>
      <c r="D3278" s="39">
        <v>46071</v>
      </c>
      <c r="E3278" t="s">
        <v>486</v>
      </c>
      <c r="F3278" t="s">
        <v>79</v>
      </c>
      <c r="G3278">
        <v>12</v>
      </c>
      <c r="H3278">
        <v>5</v>
      </c>
      <c r="I3278" t="s">
        <v>79</v>
      </c>
      <c r="J3278">
        <v>500</v>
      </c>
      <c r="K3278" t="s">
        <v>79</v>
      </c>
      <c r="L3278">
        <v>4</v>
      </c>
      <c r="M3278">
        <v>240.82999999999998</v>
      </c>
      <c r="N3278">
        <v>4.8</v>
      </c>
      <c r="Q3278">
        <v>236.02999999999997</v>
      </c>
      <c r="R3278" t="s">
        <v>2205</v>
      </c>
      <c r="V3278">
        <v>0</v>
      </c>
      <c r="W3278">
        <v>0</v>
      </c>
      <c r="AF3278">
        <v>0</v>
      </c>
      <c r="AG3278">
        <v>0</v>
      </c>
      <c r="AH3278">
        <v>0</v>
      </c>
      <c r="AI3278">
        <v>12</v>
      </c>
      <c r="AJ3278">
        <v>12</v>
      </c>
      <c r="AM3278">
        <v>0</v>
      </c>
      <c r="AN3278">
        <v>245.83</v>
      </c>
      <c r="AP3278">
        <v>8</v>
      </c>
    </row>
    <row r="3279" spans="1:42" x14ac:dyDescent="0.25">
      <c r="A3279" t="s">
        <v>45</v>
      </c>
      <c r="B3279">
        <v>5</v>
      </c>
      <c r="C3279" t="s">
        <v>2206</v>
      </c>
      <c r="D3279" s="39">
        <v>46071</v>
      </c>
      <c r="E3279" t="s">
        <v>401</v>
      </c>
      <c r="F3279" t="s">
        <v>79</v>
      </c>
      <c r="G3279">
        <v>12</v>
      </c>
      <c r="H3279" t="s">
        <v>1049</v>
      </c>
      <c r="I3279" t="s">
        <v>79</v>
      </c>
      <c r="J3279">
        <v>300</v>
      </c>
      <c r="K3279" t="s">
        <v>79</v>
      </c>
      <c r="L3279">
        <v>4</v>
      </c>
      <c r="M3279">
        <v>202.61</v>
      </c>
      <c r="N3279">
        <v>4.8</v>
      </c>
      <c r="O3279">
        <v>3</v>
      </c>
      <c r="Q3279">
        <v>197.81</v>
      </c>
      <c r="R3279" t="s">
        <v>2207</v>
      </c>
      <c r="V3279">
        <v>0</v>
      </c>
      <c r="W3279">
        <v>0</v>
      </c>
      <c r="X3279">
        <v>60</v>
      </c>
      <c r="AD3279">
        <v>45</v>
      </c>
      <c r="AF3279">
        <v>105</v>
      </c>
      <c r="AG3279">
        <v>1.75</v>
      </c>
      <c r="AH3279">
        <v>1.75</v>
      </c>
      <c r="AI3279">
        <v>10.25</v>
      </c>
      <c r="AJ3279">
        <v>12</v>
      </c>
      <c r="AM3279">
        <v>0</v>
      </c>
      <c r="AN3279">
        <v>207.61</v>
      </c>
      <c r="AP3279">
        <v>8</v>
      </c>
    </row>
    <row r="3280" spans="1:42" x14ac:dyDescent="0.25">
      <c r="A3280" t="s">
        <v>46</v>
      </c>
      <c r="B3280">
        <v>5</v>
      </c>
      <c r="C3280" t="s">
        <v>2206</v>
      </c>
      <c r="D3280" s="39">
        <v>46071</v>
      </c>
      <c r="E3280" t="s">
        <v>401</v>
      </c>
      <c r="F3280" t="s">
        <v>79</v>
      </c>
      <c r="G3280">
        <v>12</v>
      </c>
      <c r="H3280" t="s">
        <v>1049</v>
      </c>
      <c r="I3280" t="s">
        <v>79</v>
      </c>
      <c r="J3280">
        <v>300</v>
      </c>
      <c r="K3280" t="s">
        <v>79</v>
      </c>
      <c r="L3280">
        <v>2</v>
      </c>
      <c r="M3280">
        <v>116.25</v>
      </c>
      <c r="N3280">
        <v>2.6500000000000004</v>
      </c>
      <c r="O3280">
        <v>3</v>
      </c>
      <c r="Q3280">
        <v>113.6</v>
      </c>
      <c r="R3280" t="s">
        <v>2207</v>
      </c>
      <c r="V3280">
        <v>0</v>
      </c>
      <c r="W3280">
        <v>0</v>
      </c>
      <c r="AF3280">
        <v>0</v>
      </c>
      <c r="AG3280">
        <v>0</v>
      </c>
      <c r="AH3280">
        <v>0</v>
      </c>
      <c r="AI3280">
        <v>12</v>
      </c>
      <c r="AJ3280">
        <v>12</v>
      </c>
      <c r="AM3280">
        <v>0</v>
      </c>
      <c r="AN3280">
        <v>121.25</v>
      </c>
      <c r="AP3280">
        <v>8</v>
      </c>
    </row>
    <row r="3281" spans="1:42" x14ac:dyDescent="0.25">
      <c r="A3281" t="s">
        <v>46</v>
      </c>
      <c r="B3281">
        <v>5</v>
      </c>
      <c r="C3281" t="s">
        <v>2189</v>
      </c>
      <c r="D3281" s="39">
        <v>46071</v>
      </c>
      <c r="E3281" t="s">
        <v>486</v>
      </c>
      <c r="F3281" t="s">
        <v>79</v>
      </c>
      <c r="G3281">
        <v>12</v>
      </c>
      <c r="H3281">
        <v>5</v>
      </c>
      <c r="I3281" t="s">
        <v>79</v>
      </c>
      <c r="J3281">
        <v>1500</v>
      </c>
      <c r="K3281" t="s">
        <v>79</v>
      </c>
      <c r="L3281">
        <v>8</v>
      </c>
      <c r="M3281">
        <v>447.90000000000003</v>
      </c>
      <c r="N3281">
        <v>10.4</v>
      </c>
      <c r="Q3281">
        <v>437.50000000000006</v>
      </c>
      <c r="R3281" t="s">
        <v>2190</v>
      </c>
      <c r="V3281">
        <v>0</v>
      </c>
      <c r="W3281">
        <v>0</v>
      </c>
      <c r="AF3281">
        <v>0</v>
      </c>
      <c r="AG3281">
        <v>0</v>
      </c>
      <c r="AH3281">
        <v>0</v>
      </c>
      <c r="AI3281">
        <v>12</v>
      </c>
      <c r="AJ3281">
        <v>12</v>
      </c>
      <c r="AM3281">
        <v>0</v>
      </c>
      <c r="AN3281">
        <v>452.9</v>
      </c>
      <c r="AP3281">
        <v>8</v>
      </c>
    </row>
    <row r="3282" spans="1:42" x14ac:dyDescent="0.25">
      <c r="A3282" t="s">
        <v>45</v>
      </c>
      <c r="B3282">
        <v>1</v>
      </c>
      <c r="C3282" t="s">
        <v>2052</v>
      </c>
      <c r="D3282" s="39">
        <v>46072</v>
      </c>
      <c r="E3282" t="s">
        <v>486</v>
      </c>
      <c r="F3282" t="s">
        <v>79</v>
      </c>
      <c r="G3282">
        <v>2</v>
      </c>
      <c r="H3282" t="s">
        <v>92</v>
      </c>
      <c r="I3282" t="s">
        <v>79</v>
      </c>
      <c r="J3282" t="s">
        <v>2074</v>
      </c>
      <c r="K3282" t="s">
        <v>79</v>
      </c>
      <c r="L3282">
        <v>7</v>
      </c>
      <c r="M3282">
        <v>112.58000000000001</v>
      </c>
      <c r="N3282">
        <v>1.4000000000000001</v>
      </c>
      <c r="O3282">
        <v>19</v>
      </c>
      <c r="Q3282">
        <v>111.18</v>
      </c>
      <c r="R3282" t="s">
        <v>2181</v>
      </c>
      <c r="V3282">
        <v>0</v>
      </c>
      <c r="W3282">
        <v>0</v>
      </c>
      <c r="AF3282">
        <v>0</v>
      </c>
      <c r="AG3282">
        <v>0</v>
      </c>
      <c r="AH3282">
        <v>0</v>
      </c>
      <c r="AI3282">
        <v>12</v>
      </c>
      <c r="AJ3282">
        <v>12</v>
      </c>
      <c r="AM3282">
        <v>0</v>
      </c>
      <c r="AN3282">
        <v>117.58</v>
      </c>
      <c r="AP3282">
        <v>8</v>
      </c>
    </row>
    <row r="3283" spans="1:42" x14ac:dyDescent="0.25">
      <c r="A3283" t="s">
        <v>46</v>
      </c>
      <c r="B3283">
        <v>1</v>
      </c>
      <c r="C3283" t="s">
        <v>2208</v>
      </c>
      <c r="D3283" s="39">
        <v>46072</v>
      </c>
      <c r="E3283" t="s">
        <v>486</v>
      </c>
      <c r="F3283" t="s">
        <v>79</v>
      </c>
      <c r="G3283">
        <v>2.5</v>
      </c>
      <c r="H3283" t="s">
        <v>92</v>
      </c>
      <c r="I3283" t="s">
        <v>79</v>
      </c>
      <c r="J3283" t="s">
        <v>1884</v>
      </c>
      <c r="K3283" t="s">
        <v>79</v>
      </c>
      <c r="L3283">
        <v>7</v>
      </c>
      <c r="M3283">
        <v>107.03999999999999</v>
      </c>
      <c r="N3283">
        <v>1.4000000000000001</v>
      </c>
      <c r="O3283">
        <v>20</v>
      </c>
      <c r="Q3283">
        <v>105.63999999999999</v>
      </c>
      <c r="R3283" t="s">
        <v>2209</v>
      </c>
      <c r="V3283">
        <v>0</v>
      </c>
      <c r="W3283">
        <v>0</v>
      </c>
      <c r="AF3283">
        <v>0</v>
      </c>
      <c r="AG3283">
        <v>0</v>
      </c>
      <c r="AH3283">
        <v>0</v>
      </c>
      <c r="AI3283">
        <v>12</v>
      </c>
      <c r="AJ3283">
        <v>12</v>
      </c>
      <c r="AM3283">
        <v>0</v>
      </c>
      <c r="AN3283">
        <v>112.04</v>
      </c>
      <c r="AP3283">
        <v>8</v>
      </c>
    </row>
    <row r="3284" spans="1:42" x14ac:dyDescent="0.25">
      <c r="A3284" t="s">
        <v>45</v>
      </c>
      <c r="B3284">
        <v>2</v>
      </c>
      <c r="C3284" t="s">
        <v>2193</v>
      </c>
      <c r="D3284" s="39">
        <v>46072</v>
      </c>
      <c r="E3284" t="s">
        <v>486</v>
      </c>
      <c r="F3284" t="s">
        <v>79</v>
      </c>
      <c r="G3284">
        <v>6</v>
      </c>
      <c r="H3284">
        <v>5</v>
      </c>
      <c r="I3284" t="s">
        <v>79</v>
      </c>
      <c r="J3284">
        <v>1500</v>
      </c>
      <c r="K3284" t="s">
        <v>79</v>
      </c>
      <c r="L3284">
        <v>8</v>
      </c>
      <c r="M3284">
        <v>199.08000000000004</v>
      </c>
      <c r="N3284">
        <v>4.8</v>
      </c>
      <c r="Q3284">
        <v>194.28000000000003</v>
      </c>
      <c r="R3284" t="s">
        <v>2194</v>
      </c>
      <c r="V3284">
        <v>0</v>
      </c>
      <c r="W3284">
        <v>0</v>
      </c>
      <c r="AF3284">
        <v>0</v>
      </c>
      <c r="AG3284">
        <v>0</v>
      </c>
      <c r="AH3284">
        <v>0</v>
      </c>
      <c r="AI3284">
        <v>12</v>
      </c>
      <c r="AJ3284">
        <v>12</v>
      </c>
      <c r="AM3284">
        <v>0</v>
      </c>
      <c r="AN3284">
        <v>204.08000000000004</v>
      </c>
      <c r="AP3284">
        <v>8</v>
      </c>
    </row>
    <row r="3285" spans="1:42" x14ac:dyDescent="0.25">
      <c r="A3285" t="s">
        <v>46</v>
      </c>
      <c r="B3285">
        <v>2</v>
      </c>
      <c r="C3285" t="s">
        <v>2193</v>
      </c>
      <c r="D3285" s="39">
        <v>46072</v>
      </c>
      <c r="E3285" t="s">
        <v>486</v>
      </c>
      <c r="F3285" t="s">
        <v>79</v>
      </c>
      <c r="G3285">
        <v>6</v>
      </c>
      <c r="H3285">
        <v>5</v>
      </c>
      <c r="I3285" t="s">
        <v>79</v>
      </c>
      <c r="J3285">
        <v>1500</v>
      </c>
      <c r="K3285" t="s">
        <v>79</v>
      </c>
      <c r="L3285">
        <v>8</v>
      </c>
      <c r="M3285">
        <v>179.87000000000003</v>
      </c>
      <c r="N3285">
        <v>4.8</v>
      </c>
      <c r="Q3285">
        <v>175.07000000000002</v>
      </c>
      <c r="R3285" t="s">
        <v>2194</v>
      </c>
      <c r="V3285">
        <v>0</v>
      </c>
      <c r="W3285">
        <v>0</v>
      </c>
      <c r="AF3285">
        <v>0</v>
      </c>
      <c r="AG3285">
        <v>0</v>
      </c>
      <c r="AH3285">
        <v>0</v>
      </c>
      <c r="AI3285">
        <v>12</v>
      </c>
      <c r="AJ3285">
        <v>12</v>
      </c>
      <c r="AM3285">
        <v>0</v>
      </c>
      <c r="AN3285">
        <v>184.87000000000003</v>
      </c>
      <c r="AP3285">
        <v>8</v>
      </c>
    </row>
    <row r="3286" spans="1:42" x14ac:dyDescent="0.25">
      <c r="A3286" t="s">
        <v>45</v>
      </c>
      <c r="B3286">
        <v>4</v>
      </c>
      <c r="C3286" t="s">
        <v>2200</v>
      </c>
      <c r="D3286" s="39">
        <v>46072</v>
      </c>
      <c r="E3286" t="s">
        <v>276</v>
      </c>
      <c r="F3286" t="s">
        <v>79</v>
      </c>
      <c r="G3286">
        <v>24</v>
      </c>
      <c r="H3286" t="s">
        <v>113</v>
      </c>
      <c r="I3286" t="s">
        <v>79</v>
      </c>
      <c r="J3286" t="s">
        <v>81</v>
      </c>
      <c r="K3286" t="s">
        <v>79</v>
      </c>
      <c r="L3286">
        <v>10</v>
      </c>
      <c r="M3286">
        <v>776.78</v>
      </c>
      <c r="N3286">
        <v>24</v>
      </c>
      <c r="Q3286">
        <v>752.78</v>
      </c>
      <c r="R3286" t="s">
        <v>2201</v>
      </c>
      <c r="V3286">
        <v>0</v>
      </c>
      <c r="W3286">
        <v>0</v>
      </c>
      <c r="AF3286">
        <v>0</v>
      </c>
      <c r="AG3286">
        <v>0</v>
      </c>
      <c r="AH3286">
        <v>0</v>
      </c>
      <c r="AI3286">
        <v>12</v>
      </c>
      <c r="AJ3286">
        <v>12</v>
      </c>
      <c r="AM3286">
        <v>0</v>
      </c>
      <c r="AN3286">
        <v>781.78</v>
      </c>
      <c r="AP3286">
        <v>8</v>
      </c>
    </row>
    <row r="3287" spans="1:42" x14ac:dyDescent="0.25">
      <c r="A3287" t="s">
        <v>46</v>
      </c>
      <c r="B3287">
        <v>4</v>
      </c>
      <c r="C3287" t="s">
        <v>2200</v>
      </c>
      <c r="D3287" s="39">
        <v>46072</v>
      </c>
      <c r="E3287" t="s">
        <v>276</v>
      </c>
      <c r="F3287" t="s">
        <v>79</v>
      </c>
      <c r="G3287">
        <v>24</v>
      </c>
      <c r="H3287" t="s">
        <v>113</v>
      </c>
      <c r="I3287" t="s">
        <v>79</v>
      </c>
      <c r="J3287" t="s">
        <v>81</v>
      </c>
      <c r="K3287" t="s">
        <v>79</v>
      </c>
      <c r="L3287">
        <v>3</v>
      </c>
      <c r="M3287">
        <v>211.25</v>
      </c>
      <c r="N3287">
        <v>7.1999999999999993</v>
      </c>
      <c r="Q3287">
        <v>204.05</v>
      </c>
      <c r="R3287" t="s">
        <v>2201</v>
      </c>
      <c r="S3287">
        <v>25</v>
      </c>
      <c r="V3287">
        <v>25</v>
      </c>
      <c r="W3287">
        <v>0.41666666666666674</v>
      </c>
      <c r="AF3287">
        <v>0</v>
      </c>
      <c r="AG3287">
        <v>0</v>
      </c>
      <c r="AH3287">
        <v>0.41666666666666674</v>
      </c>
      <c r="AI3287">
        <v>11.583333333333334</v>
      </c>
      <c r="AJ3287">
        <v>12</v>
      </c>
      <c r="AM3287">
        <v>0</v>
      </c>
      <c r="AN3287">
        <v>216.25</v>
      </c>
      <c r="AP3287">
        <v>8</v>
      </c>
    </row>
    <row r="3288" spans="1:42" x14ac:dyDescent="0.25">
      <c r="A3288" t="s">
        <v>46</v>
      </c>
      <c r="B3288">
        <v>4</v>
      </c>
      <c r="C3288" t="s">
        <v>1953</v>
      </c>
      <c r="D3288" s="39">
        <v>46072</v>
      </c>
      <c r="E3288" t="s">
        <v>1839</v>
      </c>
      <c r="F3288" t="s">
        <v>79</v>
      </c>
      <c r="G3288">
        <v>26</v>
      </c>
      <c r="H3288" t="s">
        <v>113</v>
      </c>
      <c r="I3288" t="s">
        <v>79</v>
      </c>
      <c r="J3288">
        <v>150</v>
      </c>
      <c r="K3288" t="s">
        <v>79</v>
      </c>
      <c r="L3288">
        <v>8</v>
      </c>
      <c r="M3288">
        <v>521.08000000000004</v>
      </c>
      <c r="N3288">
        <v>20.8</v>
      </c>
      <c r="Q3288">
        <v>500.28000000000003</v>
      </c>
      <c r="R3288" t="s">
        <v>2180</v>
      </c>
      <c r="S3288">
        <v>25</v>
      </c>
      <c r="V3288">
        <v>25</v>
      </c>
      <c r="W3288">
        <v>0.41666666666666674</v>
      </c>
      <c r="AF3288">
        <v>0</v>
      </c>
      <c r="AG3288">
        <v>0</v>
      </c>
      <c r="AH3288">
        <v>0.41666666666666674</v>
      </c>
      <c r="AI3288">
        <v>11.583333333333334</v>
      </c>
      <c r="AJ3288">
        <v>12</v>
      </c>
      <c r="AM3288">
        <v>0</v>
      </c>
      <c r="AN3288">
        <v>526.08000000000004</v>
      </c>
      <c r="AP3288">
        <v>8</v>
      </c>
    </row>
    <row r="3289" spans="1:42" x14ac:dyDescent="0.25">
      <c r="A3289" t="s">
        <v>45</v>
      </c>
      <c r="B3289">
        <v>5</v>
      </c>
      <c r="C3289" t="s">
        <v>821</v>
      </c>
      <c r="D3289" s="39">
        <v>46072</v>
      </c>
      <c r="E3289" t="s">
        <v>486</v>
      </c>
      <c r="F3289" t="s">
        <v>79</v>
      </c>
      <c r="G3289">
        <v>12</v>
      </c>
      <c r="H3289">
        <v>5</v>
      </c>
      <c r="I3289" t="s">
        <v>79</v>
      </c>
      <c r="J3289">
        <v>500</v>
      </c>
      <c r="K3289" t="s">
        <v>79</v>
      </c>
      <c r="L3289">
        <v>2</v>
      </c>
      <c r="M3289">
        <v>88.240000000000009</v>
      </c>
      <c r="N3289">
        <v>2.4</v>
      </c>
      <c r="Q3289">
        <v>85.84</v>
      </c>
      <c r="R3289" t="s">
        <v>2205</v>
      </c>
      <c r="V3289">
        <v>0</v>
      </c>
      <c r="W3289">
        <v>0</v>
      </c>
      <c r="AF3289">
        <v>0</v>
      </c>
      <c r="AG3289">
        <v>0</v>
      </c>
      <c r="AH3289">
        <v>0</v>
      </c>
      <c r="AI3289">
        <v>12</v>
      </c>
      <c r="AJ3289">
        <v>12</v>
      </c>
      <c r="AM3289">
        <v>0</v>
      </c>
      <c r="AN3289">
        <v>93.240000000000009</v>
      </c>
      <c r="AP3289">
        <v>8</v>
      </c>
    </row>
    <row r="3290" spans="1:42" x14ac:dyDescent="0.25">
      <c r="A3290" t="s">
        <v>45</v>
      </c>
      <c r="B3290">
        <v>5</v>
      </c>
      <c r="C3290" t="s">
        <v>2210</v>
      </c>
      <c r="D3290" s="39">
        <v>46072</v>
      </c>
      <c r="E3290" t="s">
        <v>730</v>
      </c>
      <c r="F3290" t="s">
        <v>79</v>
      </c>
      <c r="G3290">
        <v>10</v>
      </c>
      <c r="H3290" t="s">
        <v>1049</v>
      </c>
      <c r="I3290" t="s">
        <v>79</v>
      </c>
      <c r="J3290">
        <v>100</v>
      </c>
      <c r="K3290" t="s">
        <v>79</v>
      </c>
      <c r="L3290">
        <v>4</v>
      </c>
      <c r="M3290">
        <v>132.88</v>
      </c>
      <c r="N3290">
        <v>4</v>
      </c>
      <c r="Q3290">
        <v>128.88</v>
      </c>
      <c r="R3290" t="s">
        <v>2211</v>
      </c>
      <c r="V3290">
        <v>0</v>
      </c>
      <c r="W3290">
        <v>0</v>
      </c>
      <c r="AF3290">
        <v>0</v>
      </c>
      <c r="AG3290">
        <v>0</v>
      </c>
      <c r="AH3290">
        <v>0</v>
      </c>
      <c r="AI3290">
        <v>12</v>
      </c>
      <c r="AJ3290">
        <v>12</v>
      </c>
      <c r="AM3290">
        <v>0</v>
      </c>
      <c r="AN3290">
        <v>137.88</v>
      </c>
      <c r="AP3290">
        <v>8</v>
      </c>
    </row>
    <row r="3291" spans="1:42" x14ac:dyDescent="0.25">
      <c r="A3291" t="s">
        <v>45</v>
      </c>
      <c r="B3291">
        <v>5</v>
      </c>
      <c r="C3291" t="s">
        <v>2212</v>
      </c>
      <c r="D3291" s="39">
        <v>46072</v>
      </c>
      <c r="E3291" t="s">
        <v>486</v>
      </c>
      <c r="F3291" t="s">
        <v>79</v>
      </c>
      <c r="G3291">
        <v>10</v>
      </c>
      <c r="H3291">
        <v>5</v>
      </c>
      <c r="I3291" t="s">
        <v>79</v>
      </c>
      <c r="J3291">
        <v>1500</v>
      </c>
      <c r="K3291" t="s">
        <v>79</v>
      </c>
      <c r="L3291">
        <v>4</v>
      </c>
      <c r="M3291">
        <v>212.04</v>
      </c>
      <c r="N3291">
        <v>4</v>
      </c>
      <c r="Q3291">
        <v>208.04</v>
      </c>
      <c r="R3291" t="s">
        <v>2213</v>
      </c>
      <c r="S3291">
        <v>20</v>
      </c>
      <c r="V3291">
        <v>20</v>
      </c>
      <c r="W3291">
        <v>0.33333333333333331</v>
      </c>
      <c r="AF3291">
        <v>0</v>
      </c>
      <c r="AG3291">
        <v>0</v>
      </c>
      <c r="AH3291">
        <v>0.33333333333333331</v>
      </c>
      <c r="AI3291">
        <v>11.666666666666666</v>
      </c>
      <c r="AJ3291">
        <v>12</v>
      </c>
      <c r="AM3291">
        <v>0</v>
      </c>
      <c r="AN3291">
        <v>217.04</v>
      </c>
      <c r="AP3291">
        <v>8</v>
      </c>
    </row>
    <row r="3292" spans="1:42" x14ac:dyDescent="0.25">
      <c r="A3292" t="s">
        <v>45</v>
      </c>
      <c r="B3292">
        <v>5</v>
      </c>
      <c r="C3292" t="s">
        <v>2214</v>
      </c>
      <c r="D3292" s="39">
        <v>46072</v>
      </c>
      <c r="E3292" t="s">
        <v>2174</v>
      </c>
      <c r="F3292" t="s">
        <v>79</v>
      </c>
      <c r="G3292">
        <v>10</v>
      </c>
      <c r="H3292" t="s">
        <v>123</v>
      </c>
      <c r="I3292" t="s">
        <v>79</v>
      </c>
      <c r="J3292">
        <v>50</v>
      </c>
      <c r="K3292" t="s">
        <v>79</v>
      </c>
      <c r="L3292">
        <v>2</v>
      </c>
      <c r="M3292">
        <v>55.370000000000005</v>
      </c>
      <c r="N3292">
        <v>2</v>
      </c>
      <c r="O3292">
        <v>5</v>
      </c>
      <c r="Q3292">
        <v>53.370000000000005</v>
      </c>
      <c r="R3292" t="s">
        <v>2215</v>
      </c>
      <c r="V3292">
        <v>0</v>
      </c>
      <c r="W3292">
        <v>0</v>
      </c>
      <c r="AF3292">
        <v>0</v>
      </c>
      <c r="AG3292">
        <v>0</v>
      </c>
      <c r="AH3292">
        <v>0</v>
      </c>
      <c r="AI3292">
        <v>12</v>
      </c>
      <c r="AJ3292">
        <v>12</v>
      </c>
      <c r="AM3292">
        <v>0</v>
      </c>
      <c r="AN3292">
        <v>60.370000000000005</v>
      </c>
      <c r="AP3292">
        <v>8</v>
      </c>
    </row>
    <row r="3293" spans="1:42" x14ac:dyDescent="0.25">
      <c r="A3293" t="s">
        <v>46</v>
      </c>
      <c r="B3293">
        <v>5</v>
      </c>
      <c r="C3293" t="s">
        <v>2212</v>
      </c>
      <c r="D3293" s="39">
        <v>46072</v>
      </c>
      <c r="E3293" t="s">
        <v>486</v>
      </c>
      <c r="F3293" t="s">
        <v>79</v>
      </c>
      <c r="G3293">
        <v>10</v>
      </c>
      <c r="H3293">
        <v>5</v>
      </c>
      <c r="I3293" t="s">
        <v>79</v>
      </c>
      <c r="J3293">
        <v>1500</v>
      </c>
      <c r="K3293" t="s">
        <v>79</v>
      </c>
      <c r="L3293">
        <v>9</v>
      </c>
      <c r="M3293">
        <v>496.75000000000006</v>
      </c>
      <c r="N3293">
        <v>9</v>
      </c>
      <c r="O3293">
        <v>5</v>
      </c>
      <c r="Q3293">
        <v>487.75000000000006</v>
      </c>
      <c r="R3293" t="s">
        <v>2213</v>
      </c>
      <c r="V3293">
        <v>0</v>
      </c>
      <c r="W3293">
        <v>0</v>
      </c>
      <c r="AF3293">
        <v>0</v>
      </c>
      <c r="AG3293">
        <v>0</v>
      </c>
      <c r="AH3293">
        <v>0</v>
      </c>
      <c r="AI3293">
        <v>12</v>
      </c>
      <c r="AJ3293">
        <v>12</v>
      </c>
      <c r="AM3293">
        <v>0</v>
      </c>
      <c r="AN3293">
        <v>501.75000000000006</v>
      </c>
      <c r="AP3293">
        <v>8</v>
      </c>
    </row>
    <row r="3294" spans="1:42" x14ac:dyDescent="0.25">
      <c r="A3294" t="s">
        <v>45</v>
      </c>
      <c r="B3294">
        <v>1</v>
      </c>
      <c r="C3294" t="s">
        <v>2052</v>
      </c>
      <c r="D3294" s="39">
        <v>46073</v>
      </c>
      <c r="E3294" t="s">
        <v>486</v>
      </c>
      <c r="F3294" t="s">
        <v>79</v>
      </c>
      <c r="G3294">
        <v>2</v>
      </c>
      <c r="H3294" t="s">
        <v>92</v>
      </c>
      <c r="I3294" t="s">
        <v>79</v>
      </c>
      <c r="J3294" t="s">
        <v>2074</v>
      </c>
      <c r="K3294" t="s">
        <v>79</v>
      </c>
      <c r="L3294">
        <v>4</v>
      </c>
      <c r="M3294">
        <v>63.650000000000006</v>
      </c>
      <c r="N3294">
        <v>0.8</v>
      </c>
      <c r="Q3294">
        <v>62.850000000000009</v>
      </c>
      <c r="R3294" t="s">
        <v>2181</v>
      </c>
      <c r="V3294">
        <v>0</v>
      </c>
      <c r="W3294">
        <v>0</v>
      </c>
      <c r="AF3294">
        <v>0</v>
      </c>
      <c r="AG3294">
        <v>0</v>
      </c>
      <c r="AH3294">
        <v>0</v>
      </c>
      <c r="AI3294">
        <v>12</v>
      </c>
      <c r="AJ3294">
        <v>12</v>
      </c>
      <c r="AM3294">
        <v>0</v>
      </c>
      <c r="AN3294">
        <v>68.650000000000006</v>
      </c>
      <c r="AP3294">
        <v>8</v>
      </c>
    </row>
    <row r="3295" spans="1:42" x14ac:dyDescent="0.25">
      <c r="A3295" t="s">
        <v>45</v>
      </c>
      <c r="B3295">
        <v>1</v>
      </c>
      <c r="C3295" t="s">
        <v>2208</v>
      </c>
      <c r="D3295" s="39">
        <v>46073</v>
      </c>
      <c r="E3295" t="s">
        <v>486</v>
      </c>
      <c r="F3295" t="s">
        <v>79</v>
      </c>
      <c r="G3295">
        <v>2.5</v>
      </c>
      <c r="H3295" t="s">
        <v>92</v>
      </c>
      <c r="I3295" t="s">
        <v>79</v>
      </c>
      <c r="J3295" t="s">
        <v>1884</v>
      </c>
      <c r="K3295" t="s">
        <v>79</v>
      </c>
      <c r="L3295">
        <v>3</v>
      </c>
      <c r="M3295">
        <v>49.129999999999995</v>
      </c>
      <c r="N3295">
        <v>0.75</v>
      </c>
      <c r="Q3295">
        <v>48.379999999999995</v>
      </c>
      <c r="R3295" t="s">
        <v>2209</v>
      </c>
      <c r="V3295">
        <v>0</v>
      </c>
      <c r="W3295">
        <v>0</v>
      </c>
      <c r="AF3295">
        <v>0</v>
      </c>
      <c r="AG3295">
        <v>0</v>
      </c>
      <c r="AH3295">
        <v>0</v>
      </c>
      <c r="AI3295">
        <v>12</v>
      </c>
      <c r="AJ3295">
        <v>12</v>
      </c>
      <c r="AM3295">
        <v>0</v>
      </c>
      <c r="AN3295">
        <v>54.129999999999995</v>
      </c>
      <c r="AP3295">
        <v>8</v>
      </c>
    </row>
    <row r="3296" spans="1:42" x14ac:dyDescent="0.25">
      <c r="A3296" t="s">
        <v>46</v>
      </c>
      <c r="B3296">
        <v>1</v>
      </c>
      <c r="C3296" t="s">
        <v>2208</v>
      </c>
      <c r="D3296" s="39">
        <v>46073</v>
      </c>
      <c r="E3296" t="s">
        <v>486</v>
      </c>
      <c r="F3296" t="s">
        <v>79</v>
      </c>
      <c r="G3296">
        <v>2.5</v>
      </c>
      <c r="H3296" t="s">
        <v>92</v>
      </c>
      <c r="I3296" t="s">
        <v>79</v>
      </c>
      <c r="J3296" t="s">
        <v>1884</v>
      </c>
      <c r="K3296" t="s">
        <v>79</v>
      </c>
      <c r="L3296">
        <v>6</v>
      </c>
      <c r="M3296">
        <v>117.92000000000002</v>
      </c>
      <c r="N3296">
        <v>1.5</v>
      </c>
      <c r="Q3296">
        <v>116.42000000000002</v>
      </c>
      <c r="R3296" t="s">
        <v>2209</v>
      </c>
      <c r="V3296">
        <v>0</v>
      </c>
      <c r="W3296">
        <v>0</v>
      </c>
      <c r="AF3296">
        <v>0</v>
      </c>
      <c r="AG3296">
        <v>0</v>
      </c>
      <c r="AH3296">
        <v>0</v>
      </c>
      <c r="AI3296">
        <v>12</v>
      </c>
      <c r="AJ3296">
        <v>12</v>
      </c>
      <c r="AM3296">
        <v>0</v>
      </c>
      <c r="AN3296">
        <v>122.92000000000002</v>
      </c>
      <c r="AP3296">
        <v>8</v>
      </c>
    </row>
    <row r="3297" spans="1:42" x14ac:dyDescent="0.25">
      <c r="A3297" t="s">
        <v>45</v>
      </c>
      <c r="B3297">
        <v>2</v>
      </c>
      <c r="C3297" t="s">
        <v>2193</v>
      </c>
      <c r="D3297" s="39">
        <v>46073</v>
      </c>
      <c r="E3297" t="s">
        <v>486</v>
      </c>
      <c r="F3297" t="s">
        <v>79</v>
      </c>
      <c r="G3297">
        <v>6</v>
      </c>
      <c r="H3297">
        <v>5</v>
      </c>
      <c r="I3297" t="s">
        <v>79</v>
      </c>
      <c r="J3297">
        <v>1500</v>
      </c>
      <c r="K3297" t="s">
        <v>79</v>
      </c>
      <c r="L3297">
        <v>8</v>
      </c>
      <c r="M3297">
        <v>176.18</v>
      </c>
      <c r="N3297">
        <v>4.8</v>
      </c>
      <c r="Q3297">
        <v>171.38</v>
      </c>
      <c r="R3297" t="s">
        <v>2194</v>
      </c>
      <c r="V3297">
        <v>0</v>
      </c>
      <c r="W3297">
        <v>0</v>
      </c>
      <c r="AF3297">
        <v>0</v>
      </c>
      <c r="AG3297">
        <v>0</v>
      </c>
      <c r="AH3297">
        <v>0</v>
      </c>
      <c r="AI3297">
        <v>12</v>
      </c>
      <c r="AJ3297">
        <v>12</v>
      </c>
      <c r="AM3297">
        <v>0</v>
      </c>
      <c r="AN3297">
        <v>181.18</v>
      </c>
      <c r="AP3297">
        <v>8</v>
      </c>
    </row>
    <row r="3298" spans="1:42" x14ac:dyDescent="0.25">
      <c r="A3298" t="s">
        <v>46</v>
      </c>
      <c r="B3298">
        <v>2</v>
      </c>
      <c r="C3298" t="s">
        <v>2193</v>
      </c>
      <c r="D3298" s="39">
        <v>46073</v>
      </c>
      <c r="E3298" t="s">
        <v>486</v>
      </c>
      <c r="F3298" t="s">
        <v>79</v>
      </c>
      <c r="G3298">
        <v>6</v>
      </c>
      <c r="H3298">
        <v>5</v>
      </c>
      <c r="I3298" t="s">
        <v>79</v>
      </c>
      <c r="J3298">
        <v>1500</v>
      </c>
      <c r="K3298" t="s">
        <v>79</v>
      </c>
      <c r="L3298">
        <v>8</v>
      </c>
      <c r="M3298">
        <v>161.30000000000001</v>
      </c>
      <c r="N3298">
        <v>4.8</v>
      </c>
      <c r="Q3298">
        <v>156.5</v>
      </c>
      <c r="R3298" t="s">
        <v>2194</v>
      </c>
      <c r="V3298">
        <v>0</v>
      </c>
      <c r="W3298">
        <v>0</v>
      </c>
      <c r="AF3298">
        <v>0</v>
      </c>
      <c r="AG3298">
        <v>0</v>
      </c>
      <c r="AH3298">
        <v>0</v>
      </c>
      <c r="AI3298">
        <v>12</v>
      </c>
      <c r="AJ3298">
        <v>12</v>
      </c>
      <c r="AM3298">
        <v>0</v>
      </c>
      <c r="AN3298">
        <v>166.3</v>
      </c>
      <c r="AP3298">
        <v>8</v>
      </c>
    </row>
    <row r="3299" spans="1:42" x14ac:dyDescent="0.25">
      <c r="A3299" t="s">
        <v>45</v>
      </c>
      <c r="B3299">
        <v>4</v>
      </c>
      <c r="C3299" t="s">
        <v>2216</v>
      </c>
      <c r="D3299" s="39">
        <v>46073</v>
      </c>
      <c r="E3299" t="s">
        <v>486</v>
      </c>
      <c r="F3299" t="s">
        <v>79</v>
      </c>
      <c r="G3299">
        <v>16</v>
      </c>
      <c r="H3299">
        <v>5</v>
      </c>
      <c r="I3299" t="s">
        <v>79</v>
      </c>
      <c r="J3299">
        <v>1000</v>
      </c>
      <c r="K3299" t="s">
        <v>79</v>
      </c>
      <c r="L3299">
        <v>5</v>
      </c>
      <c r="M3299">
        <v>298.74</v>
      </c>
      <c r="N3299">
        <v>8</v>
      </c>
      <c r="Q3299">
        <v>290.74</v>
      </c>
      <c r="R3299" t="s">
        <v>2217</v>
      </c>
      <c r="V3299">
        <v>0</v>
      </c>
      <c r="W3299">
        <v>0</v>
      </c>
      <c r="AF3299">
        <v>0</v>
      </c>
      <c r="AG3299">
        <v>0</v>
      </c>
      <c r="AH3299">
        <v>0</v>
      </c>
      <c r="AI3299">
        <v>12</v>
      </c>
      <c r="AJ3299">
        <v>12</v>
      </c>
      <c r="AM3299">
        <v>0</v>
      </c>
      <c r="AN3299">
        <v>303.74</v>
      </c>
      <c r="AP3299">
        <v>8</v>
      </c>
    </row>
    <row r="3300" spans="1:42" x14ac:dyDescent="0.25">
      <c r="A3300" t="s">
        <v>45</v>
      </c>
      <c r="B3300">
        <v>4</v>
      </c>
      <c r="C3300" t="s">
        <v>2216</v>
      </c>
      <c r="D3300" s="39">
        <v>46073</v>
      </c>
      <c r="E3300" t="s">
        <v>486</v>
      </c>
      <c r="F3300" t="s">
        <v>79</v>
      </c>
      <c r="G3300">
        <v>16</v>
      </c>
      <c r="H3300">
        <v>5</v>
      </c>
      <c r="I3300" t="s">
        <v>79</v>
      </c>
      <c r="J3300">
        <v>1000</v>
      </c>
      <c r="K3300" t="s">
        <v>79</v>
      </c>
      <c r="L3300">
        <v>4</v>
      </c>
      <c r="M3300">
        <v>274.81000000000006</v>
      </c>
      <c r="N3300">
        <v>6.4</v>
      </c>
      <c r="O3300">
        <v>12</v>
      </c>
      <c r="Q3300">
        <v>268.41000000000008</v>
      </c>
      <c r="R3300" t="s">
        <v>2217</v>
      </c>
      <c r="V3300">
        <v>0</v>
      </c>
      <c r="W3300">
        <v>0</v>
      </c>
      <c r="AF3300">
        <v>0</v>
      </c>
      <c r="AG3300">
        <v>0</v>
      </c>
      <c r="AH3300">
        <v>0</v>
      </c>
      <c r="AI3300">
        <v>12</v>
      </c>
      <c r="AJ3300">
        <v>12</v>
      </c>
      <c r="AM3300">
        <v>0</v>
      </c>
      <c r="AN3300">
        <v>279.81000000000006</v>
      </c>
      <c r="AP3300">
        <v>8</v>
      </c>
    </row>
    <row r="3301" spans="1:42" x14ac:dyDescent="0.25">
      <c r="A3301" t="s">
        <v>46</v>
      </c>
      <c r="B3301">
        <v>4</v>
      </c>
      <c r="C3301" t="s">
        <v>2216</v>
      </c>
      <c r="D3301" s="39">
        <v>46073</v>
      </c>
      <c r="E3301" t="s">
        <v>486</v>
      </c>
      <c r="F3301" t="s">
        <v>79</v>
      </c>
      <c r="G3301">
        <v>16</v>
      </c>
      <c r="H3301">
        <v>5</v>
      </c>
      <c r="I3301" t="s">
        <v>79</v>
      </c>
      <c r="J3301">
        <v>1000</v>
      </c>
      <c r="K3301" t="s">
        <v>79</v>
      </c>
      <c r="L3301">
        <v>9</v>
      </c>
      <c r="M3301">
        <v>545.82999999999993</v>
      </c>
      <c r="N3301">
        <v>17.099999999999998</v>
      </c>
      <c r="O3301">
        <v>15</v>
      </c>
      <c r="Q3301">
        <v>528.7299999999999</v>
      </c>
      <c r="R3301" t="s">
        <v>2217</v>
      </c>
      <c r="V3301">
        <v>0</v>
      </c>
      <c r="W3301">
        <v>0</v>
      </c>
      <c r="AF3301">
        <v>0</v>
      </c>
      <c r="AG3301">
        <v>0</v>
      </c>
      <c r="AH3301">
        <v>0</v>
      </c>
      <c r="AI3301">
        <v>12</v>
      </c>
      <c r="AJ3301">
        <v>12</v>
      </c>
      <c r="AM3301">
        <v>0</v>
      </c>
      <c r="AN3301">
        <v>550.82999999999993</v>
      </c>
      <c r="AP3301">
        <v>8</v>
      </c>
    </row>
    <row r="3302" spans="1:42" x14ac:dyDescent="0.25">
      <c r="A3302" t="s">
        <v>46</v>
      </c>
      <c r="B3302">
        <v>4</v>
      </c>
      <c r="C3302" t="s">
        <v>2218</v>
      </c>
      <c r="D3302" s="39">
        <v>46073</v>
      </c>
      <c r="E3302" t="s">
        <v>730</v>
      </c>
      <c r="F3302" t="s">
        <v>79</v>
      </c>
      <c r="G3302">
        <v>16</v>
      </c>
      <c r="H3302" t="s">
        <v>1049</v>
      </c>
      <c r="I3302" t="s">
        <v>79</v>
      </c>
      <c r="J3302">
        <v>100</v>
      </c>
      <c r="K3302" t="s">
        <v>79</v>
      </c>
      <c r="L3302">
        <v>2</v>
      </c>
      <c r="M3302">
        <v>107.00999999999999</v>
      </c>
      <c r="N3302">
        <v>3.8</v>
      </c>
      <c r="Q3302">
        <v>103.21</v>
      </c>
      <c r="R3302" t="s">
        <v>2219</v>
      </c>
      <c r="V3302">
        <v>0</v>
      </c>
      <c r="W3302">
        <v>0</v>
      </c>
      <c r="AF3302">
        <v>0</v>
      </c>
      <c r="AG3302">
        <v>0</v>
      </c>
      <c r="AH3302">
        <v>0</v>
      </c>
      <c r="AI3302">
        <v>12</v>
      </c>
      <c r="AJ3302">
        <v>12</v>
      </c>
      <c r="AM3302">
        <v>0</v>
      </c>
      <c r="AN3302">
        <v>112.01</v>
      </c>
      <c r="AP3302">
        <v>8</v>
      </c>
    </row>
    <row r="3303" spans="1:42" x14ac:dyDescent="0.25">
      <c r="A3303" t="s">
        <v>46</v>
      </c>
      <c r="B3303">
        <v>4</v>
      </c>
      <c r="C3303" t="s">
        <v>2220</v>
      </c>
      <c r="D3303" s="39">
        <v>46073</v>
      </c>
      <c r="E3303" t="s">
        <v>276</v>
      </c>
      <c r="F3303" t="s">
        <v>79</v>
      </c>
      <c r="G3303">
        <v>16</v>
      </c>
      <c r="H3303" t="s">
        <v>113</v>
      </c>
      <c r="I3303" t="s">
        <v>79</v>
      </c>
      <c r="J3303" t="s">
        <v>81</v>
      </c>
      <c r="K3303" t="s">
        <v>79</v>
      </c>
      <c r="L3303">
        <v>1</v>
      </c>
      <c r="M3303">
        <v>57.36</v>
      </c>
      <c r="N3303">
        <v>1.6</v>
      </c>
      <c r="Q3303">
        <v>55.76</v>
      </c>
      <c r="R3303" t="s">
        <v>2221</v>
      </c>
      <c r="V3303">
        <v>0</v>
      </c>
      <c r="W3303">
        <v>0</v>
      </c>
      <c r="AF3303">
        <v>0</v>
      </c>
      <c r="AG3303">
        <v>0</v>
      </c>
      <c r="AH3303">
        <v>0</v>
      </c>
      <c r="AI3303">
        <v>12</v>
      </c>
      <c r="AJ3303">
        <v>12</v>
      </c>
      <c r="AM3303">
        <v>0</v>
      </c>
      <c r="AN3303">
        <v>62.36</v>
      </c>
      <c r="AP3303">
        <v>8</v>
      </c>
    </row>
    <row r="3304" spans="1:42" x14ac:dyDescent="0.25">
      <c r="A3304" t="s">
        <v>45</v>
      </c>
      <c r="B3304">
        <v>5</v>
      </c>
      <c r="C3304" t="s">
        <v>2212</v>
      </c>
      <c r="D3304" s="39">
        <v>46073</v>
      </c>
      <c r="E3304" t="s">
        <v>486</v>
      </c>
      <c r="F3304" t="s">
        <v>79</v>
      </c>
      <c r="G3304">
        <v>10</v>
      </c>
      <c r="H3304">
        <v>5</v>
      </c>
      <c r="I3304" t="s">
        <v>79</v>
      </c>
      <c r="J3304">
        <v>1500</v>
      </c>
      <c r="K3304" t="s">
        <v>79</v>
      </c>
      <c r="L3304">
        <v>9</v>
      </c>
      <c r="M3304">
        <v>460.90000000000003</v>
      </c>
      <c r="N3304">
        <v>9</v>
      </c>
      <c r="Q3304">
        <v>451.90000000000003</v>
      </c>
      <c r="R3304" t="s">
        <v>2213</v>
      </c>
      <c r="V3304">
        <v>0</v>
      </c>
      <c r="W3304">
        <v>0</v>
      </c>
      <c r="AF3304">
        <v>0</v>
      </c>
      <c r="AG3304">
        <v>0</v>
      </c>
      <c r="AH3304">
        <v>0</v>
      </c>
      <c r="AI3304">
        <v>12</v>
      </c>
      <c r="AJ3304">
        <v>12</v>
      </c>
      <c r="AM3304">
        <v>0</v>
      </c>
      <c r="AN3304">
        <v>465.9</v>
      </c>
      <c r="AP3304">
        <v>8</v>
      </c>
    </row>
    <row r="3305" spans="1:42" x14ac:dyDescent="0.25">
      <c r="A3305" t="s">
        <v>46</v>
      </c>
      <c r="B3305">
        <v>5</v>
      </c>
      <c r="C3305" t="s">
        <v>2212</v>
      </c>
      <c r="D3305" s="39">
        <v>46073</v>
      </c>
      <c r="E3305" t="s">
        <v>486</v>
      </c>
      <c r="F3305" t="s">
        <v>79</v>
      </c>
      <c r="G3305">
        <v>10</v>
      </c>
      <c r="H3305">
        <v>5</v>
      </c>
      <c r="I3305" t="s">
        <v>79</v>
      </c>
      <c r="J3305">
        <v>1500</v>
      </c>
      <c r="K3305" t="s">
        <v>79</v>
      </c>
      <c r="L3305">
        <v>7</v>
      </c>
      <c r="M3305">
        <v>382.53999999999996</v>
      </c>
      <c r="N3305">
        <v>8.4</v>
      </c>
      <c r="Q3305">
        <v>374.14</v>
      </c>
      <c r="R3305" t="s">
        <v>2213</v>
      </c>
      <c r="S3305">
        <v>25</v>
      </c>
      <c r="V3305">
        <v>25</v>
      </c>
      <c r="W3305">
        <v>0.41666666666666674</v>
      </c>
      <c r="AF3305">
        <v>0</v>
      </c>
      <c r="AG3305">
        <v>0</v>
      </c>
      <c r="AH3305">
        <v>0.41666666666666674</v>
      </c>
      <c r="AI3305">
        <v>11.583333333333334</v>
      </c>
      <c r="AJ3305">
        <v>12</v>
      </c>
      <c r="AM3305">
        <v>0</v>
      </c>
      <c r="AN3305">
        <v>387.54</v>
      </c>
      <c r="AP3305">
        <v>8</v>
      </c>
    </row>
    <row r="3306" spans="1:42" x14ac:dyDescent="0.25">
      <c r="A3306" t="s">
        <v>46</v>
      </c>
      <c r="B3306">
        <v>5</v>
      </c>
      <c r="C3306" t="s">
        <v>2222</v>
      </c>
      <c r="D3306" s="39">
        <v>46073</v>
      </c>
      <c r="E3306" t="s">
        <v>229</v>
      </c>
      <c r="F3306" t="s">
        <v>79</v>
      </c>
      <c r="G3306">
        <v>7</v>
      </c>
      <c r="H3306" t="s">
        <v>644</v>
      </c>
      <c r="I3306" t="s">
        <v>79</v>
      </c>
      <c r="J3306">
        <v>600</v>
      </c>
      <c r="K3306" t="s">
        <v>79</v>
      </c>
      <c r="L3306">
        <v>3</v>
      </c>
      <c r="M3306">
        <v>107.42</v>
      </c>
      <c r="N3306">
        <v>2.7</v>
      </c>
      <c r="Q3306">
        <v>104.72</v>
      </c>
      <c r="R3306" t="s">
        <v>2223</v>
      </c>
      <c r="V3306">
        <v>0</v>
      </c>
      <c r="W3306">
        <v>0</v>
      </c>
      <c r="AF3306">
        <v>0</v>
      </c>
      <c r="AG3306">
        <v>0</v>
      </c>
      <c r="AH3306">
        <v>0</v>
      </c>
      <c r="AI3306">
        <v>12</v>
      </c>
      <c r="AJ3306">
        <v>12</v>
      </c>
      <c r="AM3306">
        <v>0</v>
      </c>
      <c r="AN3306">
        <v>112.42</v>
      </c>
      <c r="AP3306">
        <v>8</v>
      </c>
    </row>
    <row r="3307" spans="1:42" x14ac:dyDescent="0.25">
      <c r="A3307" t="s">
        <v>45</v>
      </c>
      <c r="B3307">
        <v>1</v>
      </c>
      <c r="C3307" t="s">
        <v>2208</v>
      </c>
      <c r="D3307" s="39">
        <v>46074</v>
      </c>
      <c r="E3307" t="s">
        <v>486</v>
      </c>
      <c r="F3307" t="s">
        <v>79</v>
      </c>
      <c r="G3307">
        <v>2.5</v>
      </c>
      <c r="H3307" t="s">
        <v>92</v>
      </c>
      <c r="I3307" t="s">
        <v>79</v>
      </c>
      <c r="J3307" t="s">
        <v>1884</v>
      </c>
      <c r="K3307" t="s">
        <v>79</v>
      </c>
      <c r="L3307">
        <v>7</v>
      </c>
      <c r="M3307">
        <v>128.04999999999998</v>
      </c>
      <c r="N3307">
        <v>1.75</v>
      </c>
      <c r="Q3307">
        <v>126.29999999999998</v>
      </c>
      <c r="R3307" t="s">
        <v>2209</v>
      </c>
      <c r="V3307">
        <v>0</v>
      </c>
      <c r="W3307">
        <v>0</v>
      </c>
      <c r="AF3307">
        <v>0</v>
      </c>
      <c r="AG3307">
        <v>0</v>
      </c>
      <c r="AH3307">
        <v>0</v>
      </c>
      <c r="AI3307">
        <v>12</v>
      </c>
      <c r="AJ3307">
        <v>12</v>
      </c>
      <c r="AM3307">
        <v>0</v>
      </c>
      <c r="AN3307">
        <v>133.04999999999998</v>
      </c>
      <c r="AP3307">
        <v>8</v>
      </c>
    </row>
    <row r="3308" spans="1:42" x14ac:dyDescent="0.25">
      <c r="A3308" t="s">
        <v>46</v>
      </c>
      <c r="B3308">
        <v>1</v>
      </c>
      <c r="C3308" t="s">
        <v>2208</v>
      </c>
      <c r="D3308" s="39">
        <v>46074</v>
      </c>
      <c r="E3308" t="s">
        <v>486</v>
      </c>
      <c r="F3308" t="s">
        <v>79</v>
      </c>
      <c r="G3308">
        <v>2.5</v>
      </c>
      <c r="H3308" t="s">
        <v>92</v>
      </c>
      <c r="I3308" t="s">
        <v>79</v>
      </c>
      <c r="J3308" t="s">
        <v>1884</v>
      </c>
      <c r="K3308" t="s">
        <v>79</v>
      </c>
      <c r="L3308">
        <v>8</v>
      </c>
      <c r="M3308">
        <v>131.07000000000002</v>
      </c>
      <c r="N3308">
        <v>2</v>
      </c>
      <c r="Q3308">
        <v>129.07000000000002</v>
      </c>
      <c r="R3308" t="s">
        <v>2209</v>
      </c>
      <c r="V3308">
        <v>0</v>
      </c>
      <c r="W3308">
        <v>0</v>
      </c>
      <c r="AF3308">
        <v>0</v>
      </c>
      <c r="AG3308">
        <v>0</v>
      </c>
      <c r="AH3308">
        <v>0</v>
      </c>
      <c r="AI3308">
        <v>12</v>
      </c>
      <c r="AJ3308">
        <v>12</v>
      </c>
      <c r="AM3308">
        <v>0</v>
      </c>
      <c r="AN3308">
        <v>136.07000000000002</v>
      </c>
      <c r="AP3308">
        <v>8</v>
      </c>
    </row>
    <row r="3309" spans="1:42" x14ac:dyDescent="0.25">
      <c r="A3309" t="s">
        <v>45</v>
      </c>
      <c r="B3309">
        <v>2</v>
      </c>
      <c r="C3309" t="s">
        <v>2193</v>
      </c>
      <c r="D3309" s="39">
        <v>46074</v>
      </c>
      <c r="E3309" t="s">
        <v>486</v>
      </c>
      <c r="F3309" t="s">
        <v>79</v>
      </c>
      <c r="G3309">
        <v>6</v>
      </c>
      <c r="H3309">
        <v>5</v>
      </c>
      <c r="I3309" t="s">
        <v>79</v>
      </c>
      <c r="J3309">
        <v>1500</v>
      </c>
      <c r="K3309" t="s">
        <v>79</v>
      </c>
      <c r="L3309">
        <v>6</v>
      </c>
      <c r="M3309">
        <v>147.15</v>
      </c>
      <c r="N3309">
        <v>3.5999999999999996</v>
      </c>
      <c r="Q3309">
        <v>143.55000000000001</v>
      </c>
      <c r="R3309" t="s">
        <v>2194</v>
      </c>
      <c r="V3309">
        <v>0</v>
      </c>
      <c r="W3309">
        <v>0</v>
      </c>
      <c r="AF3309">
        <v>0</v>
      </c>
      <c r="AG3309">
        <v>0</v>
      </c>
      <c r="AH3309">
        <v>0</v>
      </c>
      <c r="AI3309">
        <v>12</v>
      </c>
      <c r="AJ3309">
        <v>12</v>
      </c>
      <c r="AM3309">
        <v>0</v>
      </c>
      <c r="AN3309">
        <v>152.15</v>
      </c>
      <c r="AP3309">
        <v>8</v>
      </c>
    </row>
    <row r="3310" spans="1:42" x14ac:dyDescent="0.25">
      <c r="A3310" t="s">
        <v>46</v>
      </c>
      <c r="B3310">
        <v>2</v>
      </c>
      <c r="C3310" t="s">
        <v>2193</v>
      </c>
      <c r="D3310" s="39">
        <v>46074</v>
      </c>
      <c r="E3310" t="s">
        <v>486</v>
      </c>
      <c r="F3310" t="s">
        <v>79</v>
      </c>
      <c r="G3310">
        <v>6</v>
      </c>
      <c r="H3310">
        <v>5</v>
      </c>
      <c r="I3310" t="s">
        <v>79</v>
      </c>
      <c r="J3310">
        <v>1500</v>
      </c>
      <c r="K3310" t="s">
        <v>79</v>
      </c>
      <c r="L3310">
        <v>7</v>
      </c>
      <c r="M3310">
        <v>169.91</v>
      </c>
      <c r="N3310">
        <v>4.2</v>
      </c>
      <c r="Q3310">
        <v>165.71</v>
      </c>
      <c r="R3310" t="s">
        <v>2194</v>
      </c>
      <c r="V3310">
        <v>0</v>
      </c>
      <c r="W3310">
        <v>0</v>
      </c>
      <c r="AF3310">
        <v>0</v>
      </c>
      <c r="AG3310">
        <v>0</v>
      </c>
      <c r="AH3310">
        <v>0</v>
      </c>
      <c r="AI3310">
        <v>12</v>
      </c>
      <c r="AJ3310">
        <v>12</v>
      </c>
      <c r="AM3310">
        <v>0</v>
      </c>
      <c r="AN3310">
        <v>174.91</v>
      </c>
      <c r="AP3310">
        <v>8</v>
      </c>
    </row>
    <row r="3311" spans="1:42" x14ac:dyDescent="0.25">
      <c r="A3311" t="s">
        <v>45</v>
      </c>
      <c r="B3311">
        <v>4</v>
      </c>
      <c r="C3311" t="s">
        <v>2220</v>
      </c>
      <c r="D3311" s="39">
        <v>46074</v>
      </c>
      <c r="E3311" t="s">
        <v>276</v>
      </c>
      <c r="F3311" t="s">
        <v>79</v>
      </c>
      <c r="G3311">
        <v>16</v>
      </c>
      <c r="H3311" t="s">
        <v>113</v>
      </c>
      <c r="I3311" t="s">
        <v>79</v>
      </c>
      <c r="J3311" t="s">
        <v>81</v>
      </c>
      <c r="K3311" t="s">
        <v>79</v>
      </c>
      <c r="L3311">
        <v>11</v>
      </c>
      <c r="M3311">
        <v>699.56</v>
      </c>
      <c r="N3311">
        <v>17.600000000000001</v>
      </c>
      <c r="O3311">
        <v>6</v>
      </c>
      <c r="Q3311">
        <v>681.95999999999992</v>
      </c>
      <c r="R3311" t="s">
        <v>2221</v>
      </c>
      <c r="V3311">
        <v>0</v>
      </c>
      <c r="W3311">
        <v>0</v>
      </c>
      <c r="AF3311">
        <v>0</v>
      </c>
      <c r="AG3311">
        <v>0</v>
      </c>
      <c r="AH3311">
        <v>0</v>
      </c>
      <c r="AI3311">
        <v>12</v>
      </c>
      <c r="AJ3311">
        <v>12</v>
      </c>
      <c r="AM3311">
        <v>0</v>
      </c>
      <c r="AN3311">
        <v>704.56</v>
      </c>
      <c r="AP3311">
        <v>8</v>
      </c>
    </row>
    <row r="3312" spans="1:42" x14ac:dyDescent="0.25">
      <c r="A3312" t="s">
        <v>46</v>
      </c>
      <c r="B3312">
        <v>4</v>
      </c>
      <c r="C3312" t="s">
        <v>2220</v>
      </c>
      <c r="D3312" s="39">
        <v>46074</v>
      </c>
      <c r="E3312" t="s">
        <v>276</v>
      </c>
      <c r="F3312" t="s">
        <v>79</v>
      </c>
      <c r="G3312">
        <v>16</v>
      </c>
      <c r="H3312" t="s">
        <v>113</v>
      </c>
      <c r="I3312" t="s">
        <v>79</v>
      </c>
      <c r="J3312" t="s">
        <v>81</v>
      </c>
      <c r="K3312" t="s">
        <v>79</v>
      </c>
      <c r="L3312">
        <v>11</v>
      </c>
      <c r="M3312">
        <v>676.22</v>
      </c>
      <c r="N3312">
        <v>17.600000000000001</v>
      </c>
      <c r="Q3312">
        <v>658.62</v>
      </c>
      <c r="R3312" t="s">
        <v>2221</v>
      </c>
      <c r="V3312">
        <v>0</v>
      </c>
      <c r="W3312">
        <v>0</v>
      </c>
      <c r="AF3312">
        <v>0</v>
      </c>
      <c r="AG3312">
        <v>0</v>
      </c>
      <c r="AH3312">
        <v>0</v>
      </c>
      <c r="AI3312">
        <v>12</v>
      </c>
      <c r="AJ3312">
        <v>12</v>
      </c>
      <c r="AM3312">
        <v>0</v>
      </c>
      <c r="AN3312">
        <v>681.22</v>
      </c>
      <c r="AP3312">
        <v>8</v>
      </c>
    </row>
    <row r="3313" spans="1:42" x14ac:dyDescent="0.25">
      <c r="A3313" t="s">
        <v>45</v>
      </c>
      <c r="B3313">
        <v>5</v>
      </c>
      <c r="C3313" t="s">
        <v>2222</v>
      </c>
      <c r="D3313" s="39">
        <v>46074</v>
      </c>
      <c r="E3313" t="s">
        <v>229</v>
      </c>
      <c r="F3313" t="s">
        <v>79</v>
      </c>
      <c r="G3313">
        <v>7</v>
      </c>
      <c r="H3313" t="s">
        <v>644</v>
      </c>
      <c r="I3313" t="s">
        <v>79</v>
      </c>
      <c r="J3313">
        <v>600</v>
      </c>
      <c r="K3313" t="s">
        <v>79</v>
      </c>
      <c r="L3313">
        <v>13</v>
      </c>
      <c r="M3313">
        <v>440.56</v>
      </c>
      <c r="N3313">
        <v>9.1</v>
      </c>
      <c r="O3313">
        <v>4</v>
      </c>
      <c r="Q3313">
        <v>431.46</v>
      </c>
      <c r="R3313" t="s">
        <v>2223</v>
      </c>
      <c r="V3313">
        <v>0</v>
      </c>
      <c r="W3313">
        <v>0</v>
      </c>
      <c r="AF3313">
        <v>0</v>
      </c>
      <c r="AG3313">
        <v>0</v>
      </c>
      <c r="AH3313">
        <v>0</v>
      </c>
      <c r="AI3313">
        <v>12</v>
      </c>
      <c r="AJ3313">
        <v>12</v>
      </c>
      <c r="AM3313">
        <v>0</v>
      </c>
      <c r="AN3313">
        <v>445.56</v>
      </c>
      <c r="AP3313">
        <v>8</v>
      </c>
    </row>
    <row r="3314" spans="1:42" x14ac:dyDescent="0.25">
      <c r="A3314" t="s">
        <v>46</v>
      </c>
      <c r="B3314">
        <v>5</v>
      </c>
      <c r="C3314" t="s">
        <v>2222</v>
      </c>
      <c r="D3314" s="39">
        <v>46074</v>
      </c>
      <c r="E3314" t="s">
        <v>229</v>
      </c>
      <c r="F3314" t="s">
        <v>79</v>
      </c>
      <c r="G3314">
        <v>7</v>
      </c>
      <c r="H3314" t="s">
        <v>644</v>
      </c>
      <c r="I3314" t="s">
        <v>79</v>
      </c>
      <c r="J3314">
        <v>600</v>
      </c>
      <c r="K3314" t="s">
        <v>79</v>
      </c>
      <c r="L3314">
        <v>2</v>
      </c>
      <c r="M3314">
        <v>85.639999999999986</v>
      </c>
      <c r="N3314">
        <v>1.4</v>
      </c>
      <c r="O3314">
        <v>24</v>
      </c>
      <c r="Q3314">
        <v>84.239999999999981</v>
      </c>
      <c r="R3314" t="s">
        <v>2223</v>
      </c>
      <c r="S3314">
        <v>30</v>
      </c>
      <c r="V3314">
        <v>30</v>
      </c>
      <c r="W3314">
        <v>0.5</v>
      </c>
      <c r="AD3314">
        <v>20</v>
      </c>
      <c r="AF3314">
        <v>20</v>
      </c>
      <c r="AG3314">
        <v>0.33333333333333331</v>
      </c>
      <c r="AH3314">
        <v>0.83333333333333326</v>
      </c>
      <c r="AI3314">
        <v>11.166666666666666</v>
      </c>
      <c r="AJ3314">
        <v>12</v>
      </c>
      <c r="AM3314">
        <v>0</v>
      </c>
      <c r="AN3314">
        <v>90.639999999999986</v>
      </c>
      <c r="AP3314">
        <v>8</v>
      </c>
    </row>
    <row r="3315" spans="1:42" x14ac:dyDescent="0.25">
      <c r="A3315" t="s">
        <v>46</v>
      </c>
      <c r="B3315">
        <v>5</v>
      </c>
      <c r="C3315" t="s">
        <v>2224</v>
      </c>
      <c r="D3315" s="39">
        <v>46074</v>
      </c>
      <c r="E3315" t="s">
        <v>229</v>
      </c>
      <c r="F3315" t="s">
        <v>79</v>
      </c>
      <c r="G3315">
        <v>9</v>
      </c>
      <c r="H3315" t="s">
        <v>644</v>
      </c>
      <c r="I3315" t="s">
        <v>79</v>
      </c>
      <c r="J3315">
        <v>600</v>
      </c>
      <c r="K3315" t="s">
        <v>79</v>
      </c>
      <c r="L3315">
        <v>9</v>
      </c>
      <c r="M3315">
        <v>405.56</v>
      </c>
      <c r="N3315">
        <v>8.1</v>
      </c>
      <c r="Q3315">
        <v>397.46</v>
      </c>
      <c r="R3315" t="s">
        <v>2225</v>
      </c>
      <c r="V3315">
        <v>0</v>
      </c>
      <c r="W3315">
        <v>0</v>
      </c>
      <c r="AF3315">
        <v>0</v>
      </c>
      <c r="AG3315">
        <v>0</v>
      </c>
      <c r="AH3315">
        <v>0</v>
      </c>
      <c r="AI3315">
        <v>12</v>
      </c>
      <c r="AJ3315">
        <v>12</v>
      </c>
      <c r="AM3315">
        <v>0</v>
      </c>
      <c r="AN3315">
        <v>410.56</v>
      </c>
      <c r="AP3315">
        <v>8</v>
      </c>
    </row>
    <row r="3316" spans="1:42" x14ac:dyDescent="0.25">
      <c r="A3316" t="s">
        <v>45</v>
      </c>
      <c r="B3316">
        <v>1</v>
      </c>
      <c r="C3316" t="s">
        <v>2208</v>
      </c>
      <c r="D3316" s="39">
        <v>46075</v>
      </c>
      <c r="E3316" t="s">
        <v>486</v>
      </c>
      <c r="F3316" t="s">
        <v>79</v>
      </c>
      <c r="G3316">
        <v>2.5</v>
      </c>
      <c r="H3316" t="s">
        <v>92</v>
      </c>
      <c r="I3316" t="s">
        <v>79</v>
      </c>
      <c r="J3316" t="s">
        <v>1884</v>
      </c>
      <c r="K3316" t="s">
        <v>79</v>
      </c>
      <c r="L3316">
        <v>7</v>
      </c>
      <c r="M3316">
        <v>137.55000000000001</v>
      </c>
      <c r="N3316">
        <v>1.75</v>
      </c>
      <c r="Q3316">
        <v>135.80000000000001</v>
      </c>
      <c r="R3316" t="s">
        <v>2209</v>
      </c>
      <c r="V3316">
        <v>0</v>
      </c>
      <c r="W3316">
        <v>0</v>
      </c>
      <c r="AF3316">
        <v>0</v>
      </c>
      <c r="AG3316">
        <v>0</v>
      </c>
      <c r="AH3316">
        <v>0</v>
      </c>
      <c r="AI3316">
        <v>12</v>
      </c>
      <c r="AJ3316">
        <v>12</v>
      </c>
      <c r="AM3316">
        <v>0</v>
      </c>
      <c r="AN3316">
        <v>142.55000000000001</v>
      </c>
      <c r="AP3316">
        <v>8</v>
      </c>
    </row>
    <row r="3317" spans="1:42" x14ac:dyDescent="0.25">
      <c r="A3317" t="s">
        <v>46</v>
      </c>
      <c r="B3317">
        <v>1</v>
      </c>
      <c r="C3317" t="s">
        <v>2208</v>
      </c>
      <c r="D3317" s="39">
        <v>46075</v>
      </c>
      <c r="E3317" t="s">
        <v>486</v>
      </c>
      <c r="F3317" t="s">
        <v>79</v>
      </c>
      <c r="G3317">
        <v>2.5</v>
      </c>
      <c r="H3317" t="s">
        <v>92</v>
      </c>
      <c r="I3317" t="s">
        <v>79</v>
      </c>
      <c r="J3317" t="s">
        <v>1884</v>
      </c>
      <c r="K3317" t="s">
        <v>79</v>
      </c>
      <c r="L3317">
        <v>3</v>
      </c>
      <c r="M3317">
        <v>52.47</v>
      </c>
      <c r="N3317">
        <v>0.75</v>
      </c>
      <c r="Q3317">
        <v>51.72</v>
      </c>
      <c r="R3317" t="s">
        <v>2209</v>
      </c>
      <c r="V3317">
        <v>0</v>
      </c>
      <c r="W3317">
        <v>0</v>
      </c>
      <c r="AF3317">
        <v>0</v>
      </c>
      <c r="AG3317">
        <v>0</v>
      </c>
      <c r="AH3317">
        <v>0</v>
      </c>
      <c r="AI3317">
        <v>12</v>
      </c>
      <c r="AJ3317">
        <v>12</v>
      </c>
      <c r="AM3317">
        <v>0</v>
      </c>
      <c r="AN3317">
        <v>57.47</v>
      </c>
      <c r="AP3317">
        <v>8</v>
      </c>
    </row>
    <row r="3318" spans="1:42" x14ac:dyDescent="0.25">
      <c r="A3318" t="s">
        <v>46</v>
      </c>
      <c r="B3318">
        <v>1</v>
      </c>
      <c r="C3318" t="s">
        <v>2163</v>
      </c>
      <c r="D3318" s="39">
        <v>46075</v>
      </c>
      <c r="E3318" t="s">
        <v>663</v>
      </c>
      <c r="F3318" t="s">
        <v>79</v>
      </c>
      <c r="G3318">
        <v>2</v>
      </c>
      <c r="H3318" t="s">
        <v>140</v>
      </c>
      <c r="I3318" t="s">
        <v>79</v>
      </c>
      <c r="J3318">
        <v>600</v>
      </c>
      <c r="K3318" t="s">
        <v>79</v>
      </c>
      <c r="L3318">
        <v>6</v>
      </c>
      <c r="M3318">
        <v>80.02000000000001</v>
      </c>
      <c r="N3318">
        <v>1.2000000000000002</v>
      </c>
      <c r="Q3318">
        <v>78.820000000000007</v>
      </c>
      <c r="R3318" t="s">
        <v>2243</v>
      </c>
      <c r="S3318">
        <v>25</v>
      </c>
      <c r="V3318">
        <v>25</v>
      </c>
      <c r="W3318">
        <v>0.41666666666666674</v>
      </c>
      <c r="AF3318">
        <v>0</v>
      </c>
      <c r="AG3318">
        <v>0</v>
      </c>
      <c r="AH3318">
        <v>0.41666666666666674</v>
      </c>
      <c r="AI3318">
        <v>11.583333333333334</v>
      </c>
      <c r="AJ3318">
        <v>12</v>
      </c>
      <c r="AM3318">
        <v>0</v>
      </c>
      <c r="AN3318">
        <v>85.02000000000001</v>
      </c>
      <c r="AP3318">
        <v>8</v>
      </c>
    </row>
    <row r="3319" spans="1:42" x14ac:dyDescent="0.25">
      <c r="A3319" t="s">
        <v>45</v>
      </c>
      <c r="B3319">
        <v>2</v>
      </c>
      <c r="C3319" t="s">
        <v>2193</v>
      </c>
      <c r="D3319" s="39">
        <v>46075</v>
      </c>
      <c r="E3319" t="s">
        <v>486</v>
      </c>
      <c r="F3319" t="s">
        <v>79</v>
      </c>
      <c r="G3319">
        <v>6</v>
      </c>
      <c r="H3319">
        <v>5</v>
      </c>
      <c r="I3319" t="s">
        <v>79</v>
      </c>
      <c r="J3319">
        <v>1500</v>
      </c>
      <c r="K3319" t="s">
        <v>79</v>
      </c>
      <c r="L3319">
        <v>7</v>
      </c>
      <c r="M3319">
        <v>187.98000000000002</v>
      </c>
      <c r="N3319">
        <v>4.2</v>
      </c>
      <c r="Q3319">
        <v>183.78000000000003</v>
      </c>
      <c r="R3319" t="s">
        <v>2194</v>
      </c>
      <c r="V3319">
        <v>0</v>
      </c>
      <c r="W3319">
        <v>0</v>
      </c>
      <c r="AF3319">
        <v>0</v>
      </c>
      <c r="AG3319">
        <v>0</v>
      </c>
      <c r="AH3319">
        <v>0</v>
      </c>
      <c r="AI3319">
        <v>12</v>
      </c>
      <c r="AJ3319">
        <v>12</v>
      </c>
      <c r="AM3319">
        <v>0</v>
      </c>
      <c r="AN3319">
        <v>192.98</v>
      </c>
      <c r="AP3319">
        <v>8</v>
      </c>
    </row>
    <row r="3320" spans="1:42" x14ac:dyDescent="0.25">
      <c r="A3320" t="s">
        <v>46</v>
      </c>
      <c r="B3320">
        <v>2</v>
      </c>
      <c r="C3320" t="s">
        <v>2193</v>
      </c>
      <c r="D3320" s="39">
        <v>46075</v>
      </c>
      <c r="E3320" t="s">
        <v>486</v>
      </c>
      <c r="F3320" t="s">
        <v>79</v>
      </c>
      <c r="G3320">
        <v>6</v>
      </c>
      <c r="H3320">
        <v>5</v>
      </c>
      <c r="I3320" t="s">
        <v>79</v>
      </c>
      <c r="J3320">
        <v>1500</v>
      </c>
      <c r="K3320" t="s">
        <v>79</v>
      </c>
      <c r="L3320">
        <v>7</v>
      </c>
      <c r="M3320">
        <v>152.86999999999998</v>
      </c>
      <c r="N3320">
        <v>4.2</v>
      </c>
      <c r="Q3320">
        <v>148.66999999999999</v>
      </c>
      <c r="R3320" t="s">
        <v>2194</v>
      </c>
      <c r="V3320">
        <v>0</v>
      </c>
      <c r="W3320">
        <v>0</v>
      </c>
      <c r="AF3320">
        <v>0</v>
      </c>
      <c r="AG3320">
        <v>0</v>
      </c>
      <c r="AH3320">
        <v>0</v>
      </c>
      <c r="AI3320">
        <v>12</v>
      </c>
      <c r="AJ3320">
        <v>12</v>
      </c>
      <c r="AM3320">
        <v>0</v>
      </c>
      <c r="AN3320">
        <v>157.86999999999998</v>
      </c>
      <c r="AP3320">
        <v>8</v>
      </c>
    </row>
    <row r="3321" spans="1:42" x14ac:dyDescent="0.25">
      <c r="A3321" t="s">
        <v>45</v>
      </c>
      <c r="B3321">
        <v>4</v>
      </c>
      <c r="C3321" t="s">
        <v>2220</v>
      </c>
      <c r="D3321" s="39">
        <v>46075</v>
      </c>
      <c r="E3321" t="s">
        <v>276</v>
      </c>
      <c r="F3321" t="s">
        <v>79</v>
      </c>
      <c r="G3321">
        <v>16</v>
      </c>
      <c r="H3321" t="s">
        <v>113</v>
      </c>
      <c r="I3321" t="s">
        <v>79</v>
      </c>
      <c r="J3321" t="s">
        <v>81</v>
      </c>
      <c r="K3321" t="s">
        <v>79</v>
      </c>
      <c r="L3321">
        <v>1</v>
      </c>
      <c r="M3321">
        <v>48.14</v>
      </c>
      <c r="N3321">
        <v>1.6</v>
      </c>
      <c r="Q3321">
        <v>46.54</v>
      </c>
      <c r="R3321" t="s">
        <v>2221</v>
      </c>
      <c r="V3321">
        <v>0</v>
      </c>
      <c r="W3321">
        <v>0</v>
      </c>
      <c r="AF3321">
        <v>0</v>
      </c>
      <c r="AG3321">
        <v>0</v>
      </c>
      <c r="AH3321">
        <v>0</v>
      </c>
      <c r="AI3321">
        <v>12</v>
      </c>
      <c r="AJ3321">
        <v>12</v>
      </c>
      <c r="AM3321">
        <v>0</v>
      </c>
      <c r="AN3321">
        <v>53.14</v>
      </c>
      <c r="AP3321">
        <v>8</v>
      </c>
    </row>
    <row r="3322" spans="1:42" x14ac:dyDescent="0.25">
      <c r="A3322" t="s">
        <v>45</v>
      </c>
      <c r="B3322">
        <v>4</v>
      </c>
      <c r="C3322" t="s">
        <v>2226</v>
      </c>
      <c r="D3322" s="39">
        <v>46075</v>
      </c>
      <c r="E3322" t="s">
        <v>243</v>
      </c>
      <c r="F3322" t="s">
        <v>79</v>
      </c>
      <c r="G3322">
        <v>16.2</v>
      </c>
      <c r="H3322" t="s">
        <v>81</v>
      </c>
      <c r="I3322" t="s">
        <v>79</v>
      </c>
      <c r="J3322">
        <v>3000</v>
      </c>
      <c r="K3322" t="s">
        <v>79</v>
      </c>
      <c r="L3322">
        <v>12</v>
      </c>
      <c r="M3322">
        <v>664.24</v>
      </c>
      <c r="N3322">
        <v>21.089999999999996</v>
      </c>
      <c r="Q3322">
        <v>643.15</v>
      </c>
      <c r="R3322" t="s">
        <v>2445</v>
      </c>
      <c r="V3322">
        <v>0</v>
      </c>
      <c r="W3322">
        <v>0</v>
      </c>
      <c r="AF3322">
        <v>0</v>
      </c>
      <c r="AG3322">
        <v>0</v>
      </c>
      <c r="AH3322">
        <v>0</v>
      </c>
      <c r="AI3322">
        <v>12</v>
      </c>
      <c r="AJ3322">
        <v>12</v>
      </c>
      <c r="AM3322">
        <v>0</v>
      </c>
      <c r="AN3322">
        <v>669.24</v>
      </c>
      <c r="AP3322">
        <v>8</v>
      </c>
    </row>
    <row r="3323" spans="1:42" x14ac:dyDescent="0.25">
      <c r="A3323" t="s">
        <v>46</v>
      </c>
      <c r="B3323">
        <v>4</v>
      </c>
      <c r="C3323" t="s">
        <v>2226</v>
      </c>
      <c r="D3323" s="39">
        <v>46075</v>
      </c>
      <c r="E3323" t="s">
        <v>243</v>
      </c>
      <c r="F3323" t="s">
        <v>79</v>
      </c>
      <c r="G3323">
        <v>16.2</v>
      </c>
      <c r="H3323" t="s">
        <v>81</v>
      </c>
      <c r="I3323" t="s">
        <v>79</v>
      </c>
      <c r="J3323">
        <v>3000</v>
      </c>
      <c r="K3323" t="s">
        <v>79</v>
      </c>
      <c r="L3323">
        <v>11</v>
      </c>
      <c r="M3323">
        <v>683.88999999999987</v>
      </c>
      <c r="N3323">
        <v>20.9</v>
      </c>
      <c r="Q3323">
        <v>662.9899999999999</v>
      </c>
      <c r="R3323" t="s">
        <v>2445</v>
      </c>
      <c r="V3323">
        <v>0</v>
      </c>
      <c r="W3323">
        <v>0</v>
      </c>
      <c r="AF3323">
        <v>0</v>
      </c>
      <c r="AG3323">
        <v>0</v>
      </c>
      <c r="AH3323">
        <v>0</v>
      </c>
      <c r="AI3323">
        <v>12</v>
      </c>
      <c r="AJ3323">
        <v>12</v>
      </c>
      <c r="AM3323">
        <v>0</v>
      </c>
      <c r="AN3323">
        <v>688.88999999999987</v>
      </c>
      <c r="AP3323">
        <v>8</v>
      </c>
    </row>
    <row r="3324" spans="1:42" x14ac:dyDescent="0.25">
      <c r="A3324" t="s">
        <v>45</v>
      </c>
      <c r="B3324">
        <v>5</v>
      </c>
      <c r="C3324" t="s">
        <v>2224</v>
      </c>
      <c r="D3324" s="39">
        <v>46075</v>
      </c>
      <c r="E3324" t="s">
        <v>229</v>
      </c>
      <c r="F3324" t="s">
        <v>79</v>
      </c>
      <c r="G3324">
        <v>9</v>
      </c>
      <c r="H3324" t="s">
        <v>644</v>
      </c>
      <c r="I3324" t="s">
        <v>79</v>
      </c>
      <c r="J3324">
        <v>600</v>
      </c>
      <c r="K3324" t="s">
        <v>79</v>
      </c>
      <c r="L3324">
        <v>4</v>
      </c>
      <c r="M3324">
        <v>219.64</v>
      </c>
      <c r="N3324">
        <v>4.8</v>
      </c>
      <c r="Q3324">
        <v>214.83999999999997</v>
      </c>
      <c r="R3324" t="s">
        <v>2225</v>
      </c>
      <c r="V3324">
        <v>0</v>
      </c>
      <c r="W3324">
        <v>0</v>
      </c>
      <c r="AF3324">
        <v>0</v>
      </c>
      <c r="AG3324">
        <v>0</v>
      </c>
      <c r="AH3324">
        <v>0</v>
      </c>
      <c r="AI3324">
        <v>12</v>
      </c>
      <c r="AJ3324">
        <v>12</v>
      </c>
      <c r="AM3324">
        <v>0</v>
      </c>
      <c r="AN3324">
        <v>224.64</v>
      </c>
      <c r="AP3324">
        <v>8</v>
      </c>
    </row>
    <row r="3325" spans="1:42" x14ac:dyDescent="0.25">
      <c r="A3325" t="s">
        <v>45</v>
      </c>
      <c r="B3325">
        <v>5</v>
      </c>
      <c r="C3325" t="s">
        <v>2227</v>
      </c>
      <c r="D3325" s="39">
        <v>46075</v>
      </c>
      <c r="E3325" t="s">
        <v>401</v>
      </c>
      <c r="F3325" t="s">
        <v>79</v>
      </c>
      <c r="G3325">
        <v>9</v>
      </c>
      <c r="H3325" t="s">
        <v>1049</v>
      </c>
      <c r="I3325" t="s">
        <v>79</v>
      </c>
      <c r="J3325">
        <v>100</v>
      </c>
      <c r="K3325" t="s">
        <v>79</v>
      </c>
      <c r="L3325">
        <v>4</v>
      </c>
      <c r="M3325">
        <v>116.38</v>
      </c>
      <c r="N3325">
        <v>4.4000000000000004</v>
      </c>
      <c r="Q3325">
        <v>111.97999999999999</v>
      </c>
      <c r="R3325" t="s">
        <v>2244</v>
      </c>
      <c r="S3325">
        <v>30</v>
      </c>
      <c r="V3325">
        <v>30</v>
      </c>
      <c r="W3325">
        <v>0.5</v>
      </c>
      <c r="AF3325">
        <v>0</v>
      </c>
      <c r="AG3325">
        <v>0</v>
      </c>
      <c r="AH3325">
        <v>0.5</v>
      </c>
      <c r="AI3325">
        <v>11.5</v>
      </c>
      <c r="AJ3325">
        <v>12</v>
      </c>
      <c r="AM3325">
        <v>0</v>
      </c>
      <c r="AN3325">
        <v>121.38</v>
      </c>
      <c r="AP3325">
        <v>8</v>
      </c>
    </row>
    <row r="3326" spans="1:42" x14ac:dyDescent="0.25">
      <c r="A3326" t="s">
        <v>45</v>
      </c>
      <c r="B3326">
        <v>5</v>
      </c>
      <c r="C3326" t="s">
        <v>2228</v>
      </c>
      <c r="D3326" s="39">
        <v>46075</v>
      </c>
      <c r="E3326" t="s">
        <v>639</v>
      </c>
      <c r="F3326" t="s">
        <v>79</v>
      </c>
      <c r="G3326">
        <v>11</v>
      </c>
      <c r="H3326" t="s">
        <v>102</v>
      </c>
      <c r="I3326" t="s">
        <v>79</v>
      </c>
      <c r="J3326">
        <v>100</v>
      </c>
      <c r="K3326" t="s">
        <v>79</v>
      </c>
      <c r="L3326">
        <v>3</v>
      </c>
      <c r="M3326">
        <v>146.97999999999999</v>
      </c>
      <c r="N3326">
        <v>3.3000000000000003</v>
      </c>
      <c r="O3326">
        <v>20</v>
      </c>
      <c r="Q3326">
        <v>143.67999999999998</v>
      </c>
      <c r="R3326" t="s">
        <v>2229</v>
      </c>
      <c r="V3326">
        <v>0</v>
      </c>
      <c r="W3326">
        <v>0</v>
      </c>
      <c r="AF3326">
        <v>0</v>
      </c>
      <c r="AG3326">
        <v>0</v>
      </c>
      <c r="AH3326">
        <v>0</v>
      </c>
      <c r="AI3326">
        <v>12</v>
      </c>
      <c r="AJ3326">
        <v>12</v>
      </c>
      <c r="AM3326">
        <v>0</v>
      </c>
      <c r="AN3326">
        <v>151.97999999999999</v>
      </c>
      <c r="AP3326">
        <v>8</v>
      </c>
    </row>
    <row r="3327" spans="1:42" x14ac:dyDescent="0.25">
      <c r="A3327" t="s">
        <v>46</v>
      </c>
      <c r="B3327">
        <v>5</v>
      </c>
      <c r="C3327" t="s">
        <v>2230</v>
      </c>
      <c r="D3327" s="39">
        <v>46075</v>
      </c>
      <c r="E3327" t="s">
        <v>486</v>
      </c>
      <c r="F3327" t="s">
        <v>79</v>
      </c>
      <c r="G3327">
        <v>11</v>
      </c>
      <c r="H3327" t="s">
        <v>113</v>
      </c>
      <c r="I3327" t="s">
        <v>79</v>
      </c>
      <c r="J3327">
        <v>1000</v>
      </c>
      <c r="K3327" t="s">
        <v>79</v>
      </c>
      <c r="L3327">
        <v>10</v>
      </c>
      <c r="M3327">
        <v>485.57000000000005</v>
      </c>
      <c r="N3327">
        <v>11</v>
      </c>
      <c r="O3327">
        <v>23</v>
      </c>
      <c r="Q3327">
        <v>474.57000000000005</v>
      </c>
      <c r="R3327" t="s">
        <v>2231</v>
      </c>
      <c r="V3327">
        <v>0</v>
      </c>
      <c r="W3327">
        <v>0</v>
      </c>
      <c r="AF3327">
        <v>0</v>
      </c>
      <c r="AG3327">
        <v>0</v>
      </c>
      <c r="AH3327">
        <v>0</v>
      </c>
      <c r="AI3327">
        <v>12</v>
      </c>
      <c r="AJ3327">
        <v>12</v>
      </c>
      <c r="AM3327">
        <v>0</v>
      </c>
      <c r="AN3327">
        <v>490.57000000000011</v>
      </c>
      <c r="AP3327">
        <v>8</v>
      </c>
    </row>
    <row r="3328" spans="1:42" x14ac:dyDescent="0.25">
      <c r="A3328" t="s">
        <v>45</v>
      </c>
      <c r="B3328">
        <v>1</v>
      </c>
      <c r="C3328" t="s">
        <v>2163</v>
      </c>
      <c r="D3328" s="39">
        <v>46076</v>
      </c>
      <c r="E3328" t="s">
        <v>663</v>
      </c>
      <c r="F3328" t="s">
        <v>79</v>
      </c>
      <c r="G3328">
        <v>2</v>
      </c>
      <c r="H3328" t="s">
        <v>140</v>
      </c>
      <c r="I3328" t="s">
        <v>79</v>
      </c>
      <c r="J3328">
        <v>600</v>
      </c>
      <c r="K3328" t="s">
        <v>79</v>
      </c>
      <c r="L3328">
        <v>11</v>
      </c>
      <c r="M3328">
        <v>148.44</v>
      </c>
      <c r="N3328">
        <v>2.2000000000000002</v>
      </c>
      <c r="Q3328">
        <v>146.24</v>
      </c>
      <c r="R3328" t="s">
        <v>2243</v>
      </c>
      <c r="V3328">
        <v>0</v>
      </c>
      <c r="W3328">
        <v>0</v>
      </c>
      <c r="AF3328">
        <v>0</v>
      </c>
      <c r="AG3328">
        <v>0</v>
      </c>
      <c r="AH3328">
        <v>0</v>
      </c>
      <c r="AI3328">
        <v>12</v>
      </c>
      <c r="AJ3328">
        <v>12</v>
      </c>
      <c r="AM3328">
        <v>0</v>
      </c>
      <c r="AN3328">
        <v>153.44</v>
      </c>
      <c r="AP3328">
        <v>9</v>
      </c>
    </row>
    <row r="3329" spans="1:42" x14ac:dyDescent="0.25">
      <c r="A3329" t="s">
        <v>46</v>
      </c>
      <c r="B3329">
        <v>1</v>
      </c>
      <c r="C3329" t="s">
        <v>2163</v>
      </c>
      <c r="D3329" s="39">
        <v>46076</v>
      </c>
      <c r="E3329" t="s">
        <v>663</v>
      </c>
      <c r="F3329" t="s">
        <v>79</v>
      </c>
      <c r="G3329">
        <v>2</v>
      </c>
      <c r="H3329" t="s">
        <v>140</v>
      </c>
      <c r="I3329" t="s">
        <v>79</v>
      </c>
      <c r="J3329">
        <v>600</v>
      </c>
      <c r="K3329" t="s">
        <v>79</v>
      </c>
      <c r="L3329">
        <v>12</v>
      </c>
      <c r="M3329">
        <v>160.05000000000001</v>
      </c>
      <c r="N3329">
        <v>2.4000000000000004</v>
      </c>
      <c r="Q3329">
        <v>157.65</v>
      </c>
      <c r="R3329" t="s">
        <v>2243</v>
      </c>
      <c r="V3329">
        <v>0</v>
      </c>
      <c r="W3329">
        <v>0</v>
      </c>
      <c r="AF3329">
        <v>0</v>
      </c>
      <c r="AG3329">
        <v>0</v>
      </c>
      <c r="AH3329">
        <v>0</v>
      </c>
      <c r="AI3329">
        <v>12</v>
      </c>
      <c r="AJ3329">
        <v>12</v>
      </c>
      <c r="AM3329">
        <v>0</v>
      </c>
      <c r="AN3329">
        <v>165.05</v>
      </c>
      <c r="AP3329">
        <v>9</v>
      </c>
    </row>
    <row r="3330" spans="1:42" x14ac:dyDescent="0.25">
      <c r="A3330" t="s">
        <v>45</v>
      </c>
      <c r="B3330">
        <v>2</v>
      </c>
      <c r="C3330" t="s">
        <v>2193</v>
      </c>
      <c r="D3330" s="39">
        <v>46076</v>
      </c>
      <c r="E3330" t="s">
        <v>486</v>
      </c>
      <c r="F3330" t="s">
        <v>79</v>
      </c>
      <c r="G3330">
        <v>6</v>
      </c>
      <c r="H3330">
        <v>5</v>
      </c>
      <c r="I3330" t="s">
        <v>79</v>
      </c>
      <c r="J3330">
        <v>1500</v>
      </c>
      <c r="K3330" t="s">
        <v>79</v>
      </c>
      <c r="L3330">
        <v>3</v>
      </c>
      <c r="M3330">
        <v>76.989999999999995</v>
      </c>
      <c r="N3330">
        <v>1.7999999999999998</v>
      </c>
      <c r="Q3330">
        <v>75.19</v>
      </c>
      <c r="R3330" t="s">
        <v>2194</v>
      </c>
      <c r="V3330">
        <v>0</v>
      </c>
      <c r="W3330">
        <v>0</v>
      </c>
      <c r="AF3330">
        <v>0</v>
      </c>
      <c r="AG3330">
        <v>0</v>
      </c>
      <c r="AH3330">
        <v>0</v>
      </c>
      <c r="AI3330">
        <v>12</v>
      </c>
      <c r="AJ3330">
        <v>12</v>
      </c>
      <c r="AM3330">
        <v>0</v>
      </c>
      <c r="AN3330">
        <v>81.99</v>
      </c>
      <c r="AP3330">
        <v>9</v>
      </c>
    </row>
    <row r="3331" spans="1:42" x14ac:dyDescent="0.25">
      <c r="A3331" t="s">
        <v>45</v>
      </c>
      <c r="B3331">
        <v>2</v>
      </c>
      <c r="C3331" t="s">
        <v>2232</v>
      </c>
      <c r="D3331" s="39">
        <v>46076</v>
      </c>
      <c r="E3331" t="s">
        <v>401</v>
      </c>
      <c r="F3331" t="s">
        <v>79</v>
      </c>
      <c r="G3331">
        <v>4.5</v>
      </c>
      <c r="H3331" t="s">
        <v>1049</v>
      </c>
      <c r="I3331" t="s">
        <v>79</v>
      </c>
      <c r="J3331">
        <v>150</v>
      </c>
      <c r="K3331" t="s">
        <v>79</v>
      </c>
      <c r="L3331">
        <v>3</v>
      </c>
      <c r="M3331">
        <v>53.22</v>
      </c>
      <c r="N3331">
        <v>1.35</v>
      </c>
      <c r="Q3331">
        <v>51.87</v>
      </c>
      <c r="R3331" t="s">
        <v>2233</v>
      </c>
      <c r="S3331">
        <v>20</v>
      </c>
      <c r="V3331">
        <v>20</v>
      </c>
      <c r="W3331">
        <v>0.33333333333333331</v>
      </c>
      <c r="AF3331">
        <v>0</v>
      </c>
      <c r="AG3331">
        <v>0</v>
      </c>
      <c r="AH3331">
        <v>0.33333333333333331</v>
      </c>
      <c r="AI3331">
        <v>11.666666666666666</v>
      </c>
      <c r="AJ3331">
        <v>12</v>
      </c>
      <c r="AM3331">
        <v>0</v>
      </c>
      <c r="AN3331">
        <v>58.22</v>
      </c>
      <c r="AP3331">
        <v>9</v>
      </c>
    </row>
    <row r="3332" spans="1:42" x14ac:dyDescent="0.25">
      <c r="A3332" t="s">
        <v>46</v>
      </c>
      <c r="B3332">
        <v>2</v>
      </c>
      <c r="C3332" t="s">
        <v>2232</v>
      </c>
      <c r="D3332" s="39">
        <v>46076</v>
      </c>
      <c r="E3332" t="s">
        <v>401</v>
      </c>
      <c r="F3332" t="s">
        <v>79</v>
      </c>
      <c r="G3332">
        <v>4.5</v>
      </c>
      <c r="H3332" t="s">
        <v>1049</v>
      </c>
      <c r="I3332" t="s">
        <v>79</v>
      </c>
      <c r="J3332">
        <v>150</v>
      </c>
      <c r="K3332" t="s">
        <v>79</v>
      </c>
      <c r="L3332">
        <v>6</v>
      </c>
      <c r="M3332">
        <v>104.36999999999999</v>
      </c>
      <c r="N3332">
        <v>2.7</v>
      </c>
      <c r="Q3332">
        <v>101.66999999999999</v>
      </c>
      <c r="R3332" t="s">
        <v>2233</v>
      </c>
      <c r="S3332">
        <v>20</v>
      </c>
      <c r="V3332">
        <v>20</v>
      </c>
      <c r="W3332">
        <v>0.33333333333333331</v>
      </c>
      <c r="AD3332">
        <v>25</v>
      </c>
      <c r="AF3332">
        <v>25</v>
      </c>
      <c r="AG3332">
        <v>0.41666666666666674</v>
      </c>
      <c r="AH3332">
        <v>0.75</v>
      </c>
      <c r="AI3332">
        <v>11.25</v>
      </c>
      <c r="AJ3332">
        <v>12</v>
      </c>
      <c r="AM3332">
        <v>0</v>
      </c>
      <c r="AN3332">
        <v>109.37</v>
      </c>
      <c r="AP3332">
        <v>9</v>
      </c>
    </row>
    <row r="3333" spans="1:42" x14ac:dyDescent="0.25">
      <c r="A3333" t="s">
        <v>46</v>
      </c>
      <c r="B3333">
        <v>2</v>
      </c>
      <c r="C3333" t="s">
        <v>2234</v>
      </c>
      <c r="D3333" s="39">
        <v>46076</v>
      </c>
      <c r="E3333" t="s">
        <v>401</v>
      </c>
      <c r="F3333" t="s">
        <v>79</v>
      </c>
      <c r="G3333">
        <v>3.5</v>
      </c>
      <c r="H3333" t="s">
        <v>1049</v>
      </c>
      <c r="I3333" t="s">
        <v>79</v>
      </c>
      <c r="J3333">
        <v>250</v>
      </c>
      <c r="K3333" t="s">
        <v>79</v>
      </c>
      <c r="L3333">
        <v>2</v>
      </c>
      <c r="M3333">
        <v>30.91</v>
      </c>
      <c r="N3333">
        <v>0.7</v>
      </c>
      <c r="Q3333">
        <v>30.21</v>
      </c>
      <c r="R3333" t="s">
        <v>2235</v>
      </c>
      <c r="V3333">
        <v>0</v>
      </c>
      <c r="W3333">
        <v>0</v>
      </c>
      <c r="AF3333">
        <v>0</v>
      </c>
      <c r="AG3333">
        <v>0</v>
      </c>
      <c r="AH3333">
        <v>0</v>
      </c>
      <c r="AI3333">
        <v>12</v>
      </c>
      <c r="AJ3333">
        <v>12</v>
      </c>
      <c r="AM3333">
        <v>0</v>
      </c>
      <c r="AN3333">
        <v>35.909999999999997</v>
      </c>
      <c r="AP3333">
        <v>9</v>
      </c>
    </row>
    <row r="3334" spans="1:42" x14ac:dyDescent="0.25">
      <c r="A3334" t="s">
        <v>45</v>
      </c>
      <c r="B3334">
        <v>4</v>
      </c>
      <c r="C3334" t="s">
        <v>2226</v>
      </c>
      <c r="D3334" s="39">
        <v>46076</v>
      </c>
      <c r="E3334" t="s">
        <v>243</v>
      </c>
      <c r="F3334" t="s">
        <v>79</v>
      </c>
      <c r="G3334">
        <v>16.2</v>
      </c>
      <c r="H3334" t="s">
        <v>81</v>
      </c>
      <c r="I3334" t="s">
        <v>79</v>
      </c>
      <c r="J3334">
        <v>3000</v>
      </c>
      <c r="K3334" t="s">
        <v>79</v>
      </c>
      <c r="L3334">
        <v>13</v>
      </c>
      <c r="M3334">
        <v>747.29000000000008</v>
      </c>
      <c r="N3334">
        <v>24.7</v>
      </c>
      <c r="O3334">
        <v>13</v>
      </c>
      <c r="Q3334">
        <v>722.59</v>
      </c>
      <c r="R3334" t="s">
        <v>2445</v>
      </c>
      <c r="V3334">
        <v>0</v>
      </c>
      <c r="W3334">
        <v>0</v>
      </c>
      <c r="AF3334">
        <v>0</v>
      </c>
      <c r="AG3334">
        <v>0</v>
      </c>
      <c r="AH3334">
        <v>0</v>
      </c>
      <c r="AI3334">
        <v>12</v>
      </c>
      <c r="AJ3334">
        <v>12</v>
      </c>
      <c r="AM3334">
        <v>0</v>
      </c>
      <c r="AN3334">
        <v>752.29</v>
      </c>
      <c r="AP3334">
        <v>9</v>
      </c>
    </row>
    <row r="3335" spans="1:42" x14ac:dyDescent="0.25">
      <c r="A3335" t="s">
        <v>46</v>
      </c>
      <c r="B3335">
        <v>4</v>
      </c>
      <c r="C3335" t="s">
        <v>2226</v>
      </c>
      <c r="D3335" s="39">
        <v>46076</v>
      </c>
      <c r="E3335" t="s">
        <v>243</v>
      </c>
      <c r="F3335" t="s">
        <v>79</v>
      </c>
      <c r="G3335">
        <v>16.2</v>
      </c>
      <c r="H3335" t="s">
        <v>81</v>
      </c>
      <c r="I3335" t="s">
        <v>79</v>
      </c>
      <c r="J3335">
        <v>3000</v>
      </c>
      <c r="K3335" t="s">
        <v>79</v>
      </c>
      <c r="L3335">
        <v>13</v>
      </c>
      <c r="M3335">
        <v>758.21</v>
      </c>
      <c r="N3335">
        <v>26</v>
      </c>
      <c r="O3335">
        <v>23</v>
      </c>
      <c r="Q3335">
        <v>732.21</v>
      </c>
      <c r="R3335" t="s">
        <v>2445</v>
      </c>
      <c r="V3335">
        <v>0</v>
      </c>
      <c r="W3335">
        <v>0</v>
      </c>
      <c r="AF3335">
        <v>0</v>
      </c>
      <c r="AG3335">
        <v>0</v>
      </c>
      <c r="AH3335">
        <v>0</v>
      </c>
      <c r="AI3335">
        <v>12</v>
      </c>
      <c r="AJ3335">
        <v>12</v>
      </c>
      <c r="AM3335">
        <v>0</v>
      </c>
      <c r="AN3335">
        <v>763.21</v>
      </c>
      <c r="AP3335">
        <v>9</v>
      </c>
    </row>
    <row r="3336" spans="1:42" x14ac:dyDescent="0.25">
      <c r="A3336" t="s">
        <v>45</v>
      </c>
      <c r="B3336">
        <v>5</v>
      </c>
      <c r="C3336" t="s">
        <v>2230</v>
      </c>
      <c r="D3336" s="39">
        <v>46076</v>
      </c>
      <c r="E3336" t="s">
        <v>486</v>
      </c>
      <c r="F3336" t="s">
        <v>79</v>
      </c>
      <c r="G3336">
        <v>11</v>
      </c>
      <c r="H3336" t="s">
        <v>113</v>
      </c>
      <c r="I3336" t="s">
        <v>79</v>
      </c>
      <c r="J3336">
        <v>1000</v>
      </c>
      <c r="K3336" t="s">
        <v>79</v>
      </c>
      <c r="L3336">
        <v>12</v>
      </c>
      <c r="M3336">
        <v>591.12</v>
      </c>
      <c r="N3336">
        <v>15.600000000000001</v>
      </c>
      <c r="O3336">
        <v>2.5</v>
      </c>
      <c r="Q3336">
        <v>575.52</v>
      </c>
      <c r="R3336" t="s">
        <v>2231</v>
      </c>
      <c r="V3336">
        <v>0</v>
      </c>
      <c r="W3336">
        <v>0</v>
      </c>
      <c r="AF3336">
        <v>0</v>
      </c>
      <c r="AG3336">
        <v>0</v>
      </c>
      <c r="AH3336">
        <v>0</v>
      </c>
      <c r="AI3336">
        <v>12</v>
      </c>
      <c r="AJ3336">
        <v>12</v>
      </c>
      <c r="AM3336">
        <v>0</v>
      </c>
      <c r="AN3336">
        <v>596.12</v>
      </c>
      <c r="AP3336">
        <v>9</v>
      </c>
    </row>
    <row r="3337" spans="1:42" x14ac:dyDescent="0.25">
      <c r="A3337" t="s">
        <v>46</v>
      </c>
      <c r="B3337">
        <v>5</v>
      </c>
      <c r="C3337" t="s">
        <v>2230</v>
      </c>
      <c r="D3337" s="39">
        <v>46076</v>
      </c>
      <c r="E3337" t="s">
        <v>486</v>
      </c>
      <c r="F3337" t="s">
        <v>79</v>
      </c>
      <c r="G3337">
        <v>11</v>
      </c>
      <c r="H3337" t="s">
        <v>113</v>
      </c>
      <c r="I3337" t="s">
        <v>79</v>
      </c>
      <c r="J3337">
        <v>1000</v>
      </c>
      <c r="K3337" t="s">
        <v>79</v>
      </c>
      <c r="L3337">
        <v>5</v>
      </c>
      <c r="M3337">
        <v>255.52999999999997</v>
      </c>
      <c r="N3337">
        <v>6.5</v>
      </c>
      <c r="O3337">
        <v>2.5</v>
      </c>
      <c r="Q3337">
        <v>249.02999999999997</v>
      </c>
      <c r="R3337" t="s">
        <v>2231</v>
      </c>
      <c r="V3337">
        <v>0</v>
      </c>
      <c r="W3337">
        <v>0</v>
      </c>
      <c r="AF3337">
        <v>0</v>
      </c>
      <c r="AG3337">
        <v>0</v>
      </c>
      <c r="AH3337">
        <v>0</v>
      </c>
      <c r="AI3337">
        <v>12</v>
      </c>
      <c r="AJ3337">
        <v>12</v>
      </c>
      <c r="AM3337">
        <v>0</v>
      </c>
      <c r="AN3337">
        <v>260.52999999999997</v>
      </c>
      <c r="AP3337">
        <v>9</v>
      </c>
    </row>
    <row r="3338" spans="1:42" x14ac:dyDescent="0.25">
      <c r="A3338" t="s">
        <v>46</v>
      </c>
      <c r="B3338">
        <v>5</v>
      </c>
      <c r="C3338" t="s">
        <v>2236</v>
      </c>
      <c r="D3338" s="39">
        <v>46076</v>
      </c>
      <c r="E3338" t="s">
        <v>229</v>
      </c>
      <c r="F3338" t="s">
        <v>79</v>
      </c>
      <c r="G3338">
        <v>10</v>
      </c>
      <c r="H3338" t="s">
        <v>688</v>
      </c>
      <c r="I3338" t="s">
        <v>79</v>
      </c>
      <c r="J3338">
        <v>150</v>
      </c>
      <c r="K3338" t="s">
        <v>79</v>
      </c>
      <c r="L3338">
        <v>4</v>
      </c>
      <c r="M3338">
        <v>168.10000000000002</v>
      </c>
      <c r="N3338">
        <v>4</v>
      </c>
      <c r="Q3338">
        <v>164.10000000000002</v>
      </c>
      <c r="R3338" t="s">
        <v>2237</v>
      </c>
      <c r="V3338">
        <v>0</v>
      </c>
      <c r="W3338">
        <v>0</v>
      </c>
      <c r="AF3338">
        <v>0</v>
      </c>
      <c r="AG3338">
        <v>0</v>
      </c>
      <c r="AH3338">
        <v>0</v>
      </c>
      <c r="AI3338">
        <v>12</v>
      </c>
      <c r="AJ3338">
        <v>12</v>
      </c>
      <c r="AM3338">
        <v>0</v>
      </c>
      <c r="AN3338">
        <v>173.10000000000002</v>
      </c>
      <c r="AP3338">
        <v>9</v>
      </c>
    </row>
    <row r="3339" spans="1:42" x14ac:dyDescent="0.25">
      <c r="A3339" t="s">
        <v>46</v>
      </c>
      <c r="B3339">
        <v>5</v>
      </c>
      <c r="C3339" t="s">
        <v>2238</v>
      </c>
      <c r="D3339" s="39">
        <v>46076</v>
      </c>
      <c r="E3339" t="s">
        <v>2239</v>
      </c>
      <c r="F3339" t="s">
        <v>79</v>
      </c>
      <c r="G3339">
        <v>11</v>
      </c>
      <c r="H3339" t="s">
        <v>942</v>
      </c>
      <c r="I3339" t="s">
        <v>79</v>
      </c>
      <c r="J3339">
        <v>100</v>
      </c>
      <c r="K3339" t="s">
        <v>79</v>
      </c>
      <c r="L3339">
        <v>4</v>
      </c>
      <c r="M3339">
        <v>131.05000000000001</v>
      </c>
      <c r="N3339">
        <v>5.3000000000000007</v>
      </c>
      <c r="Q3339">
        <v>125.75000000000001</v>
      </c>
      <c r="R3339" t="s">
        <v>2240</v>
      </c>
      <c r="S3339">
        <v>25</v>
      </c>
      <c r="V3339">
        <v>25</v>
      </c>
      <c r="W3339">
        <v>0.41666666666666674</v>
      </c>
      <c r="AF3339">
        <v>0</v>
      </c>
      <c r="AG3339">
        <v>0</v>
      </c>
      <c r="AH3339">
        <v>0.41666666666666674</v>
      </c>
      <c r="AI3339">
        <v>11.583333333333334</v>
      </c>
      <c r="AJ3339">
        <v>12</v>
      </c>
      <c r="AM3339">
        <v>0</v>
      </c>
      <c r="AN3339">
        <v>136.05000000000001</v>
      </c>
      <c r="AP3339">
        <v>9</v>
      </c>
    </row>
    <row r="3340" spans="1:42" x14ac:dyDescent="0.25">
      <c r="A3340" t="s">
        <v>46</v>
      </c>
      <c r="B3340">
        <v>5</v>
      </c>
      <c r="C3340" t="s">
        <v>2241</v>
      </c>
      <c r="D3340" s="39">
        <v>46076</v>
      </c>
      <c r="E3340" t="s">
        <v>81</v>
      </c>
      <c r="K3340" t="s">
        <v>79</v>
      </c>
      <c r="L3340">
        <v>2</v>
      </c>
      <c r="M3340">
        <v>79.199999999999989</v>
      </c>
      <c r="N3340">
        <v>2</v>
      </c>
      <c r="Q3340">
        <v>77.199999999999989</v>
      </c>
      <c r="R3340" t="s">
        <v>2242</v>
      </c>
      <c r="V3340">
        <v>0</v>
      </c>
      <c r="W3340">
        <v>0</v>
      </c>
      <c r="AF3340">
        <v>0</v>
      </c>
      <c r="AG3340">
        <v>0</v>
      </c>
      <c r="AH3340">
        <v>0</v>
      </c>
      <c r="AI3340">
        <v>12</v>
      </c>
      <c r="AJ3340">
        <v>12</v>
      </c>
      <c r="AM3340">
        <v>0</v>
      </c>
      <c r="AN3340">
        <v>84.199999999999989</v>
      </c>
      <c r="AP3340">
        <v>9</v>
      </c>
    </row>
    <row r="3341" spans="1:42" x14ac:dyDescent="0.25">
      <c r="A3341" t="s">
        <v>45</v>
      </c>
      <c r="B3341">
        <v>1</v>
      </c>
      <c r="C3341" t="s">
        <v>2163</v>
      </c>
      <c r="D3341" s="39">
        <v>46077</v>
      </c>
      <c r="E3341" t="s">
        <v>663</v>
      </c>
      <c r="F3341" t="s">
        <v>79</v>
      </c>
      <c r="G3341">
        <v>2</v>
      </c>
      <c r="H3341" t="s">
        <v>140</v>
      </c>
      <c r="I3341" t="s">
        <v>79</v>
      </c>
      <c r="J3341">
        <v>600</v>
      </c>
      <c r="K3341" t="s">
        <v>79</v>
      </c>
      <c r="L3341">
        <v>5</v>
      </c>
      <c r="M3341">
        <v>63.99</v>
      </c>
      <c r="N3341">
        <v>1</v>
      </c>
      <c r="Q3341">
        <v>62.99</v>
      </c>
      <c r="R3341" t="s">
        <v>2243</v>
      </c>
      <c r="S3341">
        <v>20</v>
      </c>
      <c r="V3341">
        <v>20</v>
      </c>
      <c r="W3341">
        <v>0.33333333333333331</v>
      </c>
      <c r="AF3341">
        <v>0</v>
      </c>
      <c r="AG3341">
        <v>0</v>
      </c>
      <c r="AH3341">
        <v>0.33333333333333331</v>
      </c>
      <c r="AI3341">
        <v>11.666666666666666</v>
      </c>
      <c r="AJ3341">
        <v>12</v>
      </c>
      <c r="AM3341">
        <v>0</v>
      </c>
      <c r="AN3341">
        <v>68.990000000000009</v>
      </c>
      <c r="AP3341">
        <v>9</v>
      </c>
    </row>
    <row r="3342" spans="1:42" x14ac:dyDescent="0.25">
      <c r="A3342" t="s">
        <v>45</v>
      </c>
      <c r="B3342">
        <v>1</v>
      </c>
      <c r="C3342" t="s">
        <v>2245</v>
      </c>
      <c r="D3342" s="39">
        <v>46077</v>
      </c>
      <c r="E3342" t="s">
        <v>486</v>
      </c>
      <c r="F3342" t="s">
        <v>79</v>
      </c>
      <c r="G3342">
        <v>2.5</v>
      </c>
      <c r="H3342" t="s">
        <v>92</v>
      </c>
      <c r="I3342" t="s">
        <v>79</v>
      </c>
      <c r="J3342">
        <v>1000</v>
      </c>
      <c r="K3342" t="s">
        <v>79</v>
      </c>
      <c r="L3342">
        <v>4</v>
      </c>
      <c r="M3342">
        <v>63</v>
      </c>
      <c r="N3342">
        <v>1.25</v>
      </c>
      <c r="Q3342">
        <v>61.75</v>
      </c>
      <c r="R3342" t="s">
        <v>2246</v>
      </c>
      <c r="V3342">
        <v>0</v>
      </c>
      <c r="W3342">
        <v>0</v>
      </c>
      <c r="AF3342">
        <v>0</v>
      </c>
      <c r="AG3342">
        <v>0</v>
      </c>
      <c r="AH3342">
        <v>0</v>
      </c>
      <c r="AI3342">
        <v>12</v>
      </c>
      <c r="AJ3342">
        <v>12</v>
      </c>
      <c r="AM3342">
        <v>0</v>
      </c>
      <c r="AN3342">
        <v>68</v>
      </c>
      <c r="AP3342">
        <v>9</v>
      </c>
    </row>
    <row r="3343" spans="1:42" x14ac:dyDescent="0.25">
      <c r="A3343" t="s">
        <v>46</v>
      </c>
      <c r="B3343">
        <v>1</v>
      </c>
      <c r="C3343" t="s">
        <v>2245</v>
      </c>
      <c r="D3343" s="39">
        <v>46077</v>
      </c>
      <c r="E3343" t="s">
        <v>486</v>
      </c>
      <c r="F3343" t="s">
        <v>79</v>
      </c>
      <c r="G3343">
        <v>2.5</v>
      </c>
      <c r="H3343" t="s">
        <v>92</v>
      </c>
      <c r="I3343" t="s">
        <v>79</v>
      </c>
      <c r="J3343">
        <v>1000</v>
      </c>
      <c r="K3343" t="s">
        <v>79</v>
      </c>
      <c r="L3343">
        <v>9</v>
      </c>
      <c r="M3343">
        <v>127.76</v>
      </c>
      <c r="N3343">
        <v>2.25</v>
      </c>
      <c r="Q3343">
        <v>125.51</v>
      </c>
      <c r="R3343" t="s">
        <v>2246</v>
      </c>
      <c r="V3343">
        <v>0</v>
      </c>
      <c r="W3343">
        <v>0</v>
      </c>
      <c r="AF3343">
        <v>0</v>
      </c>
      <c r="AG3343">
        <v>0</v>
      </c>
      <c r="AH3343">
        <v>0</v>
      </c>
      <c r="AI3343">
        <v>12</v>
      </c>
      <c r="AJ3343">
        <v>12</v>
      </c>
      <c r="AM3343">
        <v>0</v>
      </c>
      <c r="AN3343">
        <v>132.76</v>
      </c>
      <c r="AP3343">
        <v>9</v>
      </c>
    </row>
    <row r="3344" spans="1:42" x14ac:dyDescent="0.25">
      <c r="A3344" t="s">
        <v>45</v>
      </c>
      <c r="B3344">
        <v>2</v>
      </c>
      <c r="C3344" t="s">
        <v>2227</v>
      </c>
      <c r="D3344" s="39">
        <v>46077</v>
      </c>
      <c r="E3344" t="s">
        <v>401</v>
      </c>
      <c r="F3344" t="s">
        <v>79</v>
      </c>
      <c r="G3344">
        <v>9</v>
      </c>
      <c r="H3344" t="s">
        <v>1049</v>
      </c>
      <c r="I3344" t="s">
        <v>79</v>
      </c>
      <c r="J3344">
        <v>100</v>
      </c>
      <c r="K3344" t="s">
        <v>79</v>
      </c>
      <c r="L3344">
        <v>11</v>
      </c>
      <c r="M3344">
        <v>167.20999999999998</v>
      </c>
      <c r="N3344">
        <v>3.8499999999999996</v>
      </c>
      <c r="Q3344">
        <v>163.35999999999999</v>
      </c>
      <c r="R3344" t="s">
        <v>2244</v>
      </c>
      <c r="V3344">
        <v>0</v>
      </c>
      <c r="W3344">
        <v>0</v>
      </c>
      <c r="AF3344">
        <v>0</v>
      </c>
      <c r="AG3344">
        <v>0</v>
      </c>
      <c r="AH3344">
        <v>0</v>
      </c>
      <c r="AI3344">
        <v>12</v>
      </c>
      <c r="AJ3344">
        <v>12</v>
      </c>
      <c r="AM3344">
        <v>0</v>
      </c>
      <c r="AN3344">
        <v>172.20999999999998</v>
      </c>
      <c r="AP3344">
        <v>9</v>
      </c>
    </row>
    <row r="3345" spans="1:42" x14ac:dyDescent="0.25">
      <c r="A3345" t="s">
        <v>46</v>
      </c>
      <c r="B3345">
        <v>2</v>
      </c>
      <c r="C3345" t="s">
        <v>2227</v>
      </c>
      <c r="D3345" s="39">
        <v>46077</v>
      </c>
      <c r="E3345" t="s">
        <v>401</v>
      </c>
      <c r="F3345" t="s">
        <v>79</v>
      </c>
      <c r="G3345">
        <v>9</v>
      </c>
      <c r="H3345" t="s">
        <v>1049</v>
      </c>
      <c r="I3345" t="s">
        <v>79</v>
      </c>
      <c r="J3345">
        <v>100</v>
      </c>
      <c r="K3345" t="s">
        <v>79</v>
      </c>
      <c r="L3345">
        <v>5</v>
      </c>
      <c r="M3345">
        <v>74.13</v>
      </c>
      <c r="N3345">
        <v>1.75</v>
      </c>
      <c r="Q3345">
        <v>72.38</v>
      </c>
      <c r="R3345" t="s">
        <v>2244</v>
      </c>
      <c r="V3345">
        <v>0</v>
      </c>
      <c r="W3345">
        <v>0</v>
      </c>
      <c r="AF3345">
        <v>0</v>
      </c>
      <c r="AG3345">
        <v>0</v>
      </c>
      <c r="AH3345">
        <v>0</v>
      </c>
      <c r="AI3345">
        <v>12</v>
      </c>
      <c r="AJ3345">
        <v>12</v>
      </c>
      <c r="AM3345">
        <v>0</v>
      </c>
      <c r="AN3345">
        <v>79.13</v>
      </c>
      <c r="AP3345">
        <v>9</v>
      </c>
    </row>
    <row r="3346" spans="1:42" x14ac:dyDescent="0.25">
      <c r="A3346" t="s">
        <v>46</v>
      </c>
      <c r="B3346">
        <v>2</v>
      </c>
      <c r="C3346" t="s">
        <v>2247</v>
      </c>
      <c r="D3346" s="39">
        <v>46077</v>
      </c>
      <c r="E3346" t="s">
        <v>486</v>
      </c>
      <c r="F3346" t="s">
        <v>79</v>
      </c>
      <c r="G3346">
        <v>4</v>
      </c>
      <c r="H3346" t="s">
        <v>113</v>
      </c>
      <c r="I3346" t="s">
        <v>79</v>
      </c>
      <c r="J3346">
        <v>1000</v>
      </c>
      <c r="K3346" t="s">
        <v>79</v>
      </c>
      <c r="L3346">
        <v>5</v>
      </c>
      <c r="M3346">
        <v>76.410000000000011</v>
      </c>
      <c r="N3346">
        <v>2</v>
      </c>
      <c r="Q3346">
        <v>74.410000000000011</v>
      </c>
      <c r="R3346" t="s">
        <v>2248</v>
      </c>
      <c r="S3346">
        <v>20</v>
      </c>
      <c r="V3346">
        <v>20</v>
      </c>
      <c r="W3346">
        <v>0.33333333333333331</v>
      </c>
      <c r="AF3346">
        <v>0</v>
      </c>
      <c r="AG3346">
        <v>0</v>
      </c>
      <c r="AH3346">
        <v>0.33333333333333331</v>
      </c>
      <c r="AI3346">
        <v>11.666666666666666</v>
      </c>
      <c r="AJ3346">
        <v>12</v>
      </c>
      <c r="AM3346">
        <v>0</v>
      </c>
      <c r="AN3346">
        <v>81.410000000000011</v>
      </c>
      <c r="AP3346">
        <v>9</v>
      </c>
    </row>
    <row r="3347" spans="1:42" x14ac:dyDescent="0.25">
      <c r="A3347" t="s">
        <v>45</v>
      </c>
      <c r="B3347">
        <v>4</v>
      </c>
      <c r="C3347" t="s">
        <v>2226</v>
      </c>
      <c r="D3347" s="39">
        <v>46077</v>
      </c>
      <c r="E3347" t="s">
        <v>243</v>
      </c>
      <c r="F3347" t="s">
        <v>79</v>
      </c>
      <c r="G3347">
        <v>16.2</v>
      </c>
      <c r="H3347" t="s">
        <v>81</v>
      </c>
      <c r="I3347" t="s">
        <v>79</v>
      </c>
      <c r="J3347">
        <v>3000</v>
      </c>
      <c r="K3347" t="s">
        <v>79</v>
      </c>
      <c r="L3347">
        <v>13</v>
      </c>
      <c r="M3347">
        <v>766.06999999999994</v>
      </c>
      <c r="N3347">
        <v>24.7</v>
      </c>
      <c r="O3347">
        <v>18</v>
      </c>
      <c r="Q3347">
        <v>741.36999999999989</v>
      </c>
      <c r="R3347" t="s">
        <v>2445</v>
      </c>
      <c r="V3347">
        <v>0</v>
      </c>
      <c r="W3347">
        <v>0</v>
      </c>
      <c r="AF3347">
        <v>0</v>
      </c>
      <c r="AG3347">
        <v>0</v>
      </c>
      <c r="AH3347">
        <v>0</v>
      </c>
      <c r="AI3347">
        <v>12</v>
      </c>
      <c r="AJ3347">
        <v>12</v>
      </c>
      <c r="AM3347">
        <v>0</v>
      </c>
      <c r="AN3347">
        <v>771.07</v>
      </c>
      <c r="AP3347">
        <v>9</v>
      </c>
    </row>
    <row r="3348" spans="1:42" x14ac:dyDescent="0.25">
      <c r="A3348" t="s">
        <v>46</v>
      </c>
      <c r="B3348">
        <v>4</v>
      </c>
      <c r="C3348" t="s">
        <v>2226</v>
      </c>
      <c r="D3348" s="39">
        <v>46077</v>
      </c>
      <c r="E3348" t="s">
        <v>243</v>
      </c>
      <c r="F3348" t="s">
        <v>79</v>
      </c>
      <c r="G3348">
        <v>16.2</v>
      </c>
      <c r="H3348" t="s">
        <v>81</v>
      </c>
      <c r="I3348" t="s">
        <v>79</v>
      </c>
      <c r="J3348">
        <v>3000</v>
      </c>
      <c r="K3348" t="s">
        <v>79</v>
      </c>
      <c r="L3348">
        <v>13</v>
      </c>
      <c r="M3348">
        <v>718.11999999999989</v>
      </c>
      <c r="N3348">
        <v>24.7</v>
      </c>
      <c r="O3348">
        <v>26</v>
      </c>
      <c r="Q3348">
        <v>693.41999999999985</v>
      </c>
      <c r="R3348" t="s">
        <v>2445</v>
      </c>
      <c r="V3348">
        <v>0</v>
      </c>
      <c r="W3348">
        <v>0</v>
      </c>
      <c r="AF3348">
        <v>0</v>
      </c>
      <c r="AG3348">
        <v>0</v>
      </c>
      <c r="AH3348">
        <v>0</v>
      </c>
      <c r="AI3348">
        <v>12</v>
      </c>
      <c r="AJ3348">
        <v>12</v>
      </c>
      <c r="AM3348">
        <v>0</v>
      </c>
      <c r="AN3348">
        <v>723.11999999999989</v>
      </c>
      <c r="AP3348">
        <v>9</v>
      </c>
    </row>
    <row r="3349" spans="1:42" x14ac:dyDescent="0.25">
      <c r="A3349" t="s">
        <v>45</v>
      </c>
      <c r="B3349">
        <v>5</v>
      </c>
      <c r="C3349" t="s">
        <v>2249</v>
      </c>
      <c r="D3349" s="39">
        <v>46077</v>
      </c>
      <c r="E3349" t="s">
        <v>229</v>
      </c>
      <c r="F3349" t="s">
        <v>79</v>
      </c>
      <c r="G3349">
        <v>10</v>
      </c>
      <c r="H3349" t="s">
        <v>644</v>
      </c>
      <c r="I3349" t="s">
        <v>79</v>
      </c>
      <c r="J3349">
        <v>150</v>
      </c>
      <c r="K3349" t="s">
        <v>79</v>
      </c>
      <c r="L3349">
        <v>2</v>
      </c>
      <c r="M3349">
        <v>89.38</v>
      </c>
      <c r="N3349">
        <v>0.2</v>
      </c>
      <c r="Q3349">
        <v>89.179999999999993</v>
      </c>
      <c r="R3349" t="s">
        <v>2250</v>
      </c>
      <c r="V3349">
        <v>0</v>
      </c>
      <c r="W3349">
        <v>0</v>
      </c>
      <c r="AF3349">
        <v>0</v>
      </c>
      <c r="AG3349">
        <v>0</v>
      </c>
      <c r="AH3349">
        <v>0</v>
      </c>
      <c r="AI3349">
        <v>12</v>
      </c>
      <c r="AJ3349">
        <v>12</v>
      </c>
      <c r="AM3349">
        <v>0</v>
      </c>
      <c r="AN3349">
        <v>94.38</v>
      </c>
      <c r="AP3349">
        <v>9</v>
      </c>
    </row>
    <row r="3350" spans="1:42" x14ac:dyDescent="0.25">
      <c r="A3350" t="s">
        <v>45</v>
      </c>
      <c r="B3350">
        <v>5</v>
      </c>
      <c r="C3350" t="s">
        <v>2251</v>
      </c>
      <c r="D3350" s="39">
        <v>46077</v>
      </c>
      <c r="E3350" t="s">
        <v>229</v>
      </c>
      <c r="F3350" t="s">
        <v>79</v>
      </c>
      <c r="G3350">
        <v>7</v>
      </c>
      <c r="H3350" t="s">
        <v>644</v>
      </c>
      <c r="I3350" t="s">
        <v>79</v>
      </c>
      <c r="J3350">
        <v>600</v>
      </c>
      <c r="K3350" t="s">
        <v>79</v>
      </c>
      <c r="L3350">
        <v>11</v>
      </c>
      <c r="M3350">
        <v>436.96999999999991</v>
      </c>
      <c r="N3350">
        <v>7.6999999999999993</v>
      </c>
      <c r="O3350">
        <v>3</v>
      </c>
      <c r="Q3350">
        <v>429.26999999999992</v>
      </c>
      <c r="R3350" t="s">
        <v>2252</v>
      </c>
      <c r="S3350">
        <v>30</v>
      </c>
      <c r="V3350">
        <v>30</v>
      </c>
      <c r="W3350">
        <v>0.5</v>
      </c>
      <c r="AF3350">
        <v>0</v>
      </c>
      <c r="AG3350">
        <v>0</v>
      </c>
      <c r="AH3350">
        <v>0.5</v>
      </c>
      <c r="AI3350">
        <v>11.5</v>
      </c>
      <c r="AJ3350">
        <v>12</v>
      </c>
      <c r="AM3350">
        <v>0</v>
      </c>
      <c r="AN3350">
        <v>441.96999999999991</v>
      </c>
      <c r="AP3350">
        <v>9</v>
      </c>
    </row>
    <row r="3351" spans="1:42" x14ac:dyDescent="0.25">
      <c r="A3351" t="s">
        <v>46</v>
      </c>
      <c r="B3351">
        <v>5</v>
      </c>
      <c r="C3351" t="s">
        <v>2251</v>
      </c>
      <c r="D3351" s="39">
        <v>46077</v>
      </c>
      <c r="E3351" t="s">
        <v>229</v>
      </c>
      <c r="F3351" t="s">
        <v>79</v>
      </c>
      <c r="G3351">
        <v>7</v>
      </c>
      <c r="H3351" t="s">
        <v>644</v>
      </c>
      <c r="I3351" t="s">
        <v>79</v>
      </c>
      <c r="J3351">
        <v>600</v>
      </c>
      <c r="K3351" t="s">
        <v>79</v>
      </c>
      <c r="L3351">
        <v>5</v>
      </c>
      <c r="M3351">
        <v>156.05000000000001</v>
      </c>
      <c r="N3351">
        <v>3.5</v>
      </c>
      <c r="O3351">
        <v>3</v>
      </c>
      <c r="Q3351">
        <v>152.55000000000001</v>
      </c>
      <c r="R3351" t="s">
        <v>2252</v>
      </c>
      <c r="S3351">
        <v>20</v>
      </c>
      <c r="V3351">
        <v>20</v>
      </c>
      <c r="W3351">
        <v>0.33333333333333331</v>
      </c>
      <c r="AD3351">
        <v>30</v>
      </c>
      <c r="AF3351">
        <v>30</v>
      </c>
      <c r="AG3351">
        <v>0.5</v>
      </c>
      <c r="AH3351">
        <v>0.83333333333333326</v>
      </c>
      <c r="AI3351">
        <v>11.166666666666666</v>
      </c>
      <c r="AJ3351">
        <v>12</v>
      </c>
      <c r="AM3351">
        <v>0</v>
      </c>
      <c r="AN3351">
        <v>161.05000000000001</v>
      </c>
      <c r="AP3351">
        <v>9</v>
      </c>
    </row>
    <row r="3352" spans="1:42" x14ac:dyDescent="0.25">
      <c r="A3352" t="s">
        <v>46</v>
      </c>
      <c r="B3352">
        <v>5</v>
      </c>
      <c r="C3352" t="s">
        <v>2253</v>
      </c>
      <c r="D3352" s="39">
        <v>46077</v>
      </c>
      <c r="E3352" t="s">
        <v>229</v>
      </c>
      <c r="F3352" t="s">
        <v>79</v>
      </c>
      <c r="G3352">
        <v>7</v>
      </c>
      <c r="H3352" t="s">
        <v>644</v>
      </c>
      <c r="I3352" t="s">
        <v>79</v>
      </c>
      <c r="J3352">
        <v>150</v>
      </c>
      <c r="K3352" t="s">
        <v>79</v>
      </c>
      <c r="L3352">
        <v>4</v>
      </c>
      <c r="M3352">
        <v>121.91999999999999</v>
      </c>
      <c r="N3352">
        <v>3.5</v>
      </c>
      <c r="Q3352">
        <v>118.41999999999999</v>
      </c>
      <c r="R3352" t="s">
        <v>2254</v>
      </c>
      <c r="V3352">
        <v>0</v>
      </c>
      <c r="W3352">
        <v>0</v>
      </c>
      <c r="AF3352">
        <v>0</v>
      </c>
      <c r="AG3352">
        <v>0</v>
      </c>
      <c r="AH3352">
        <v>0</v>
      </c>
      <c r="AI3352">
        <v>12</v>
      </c>
      <c r="AJ3352">
        <v>12</v>
      </c>
      <c r="AM3352">
        <v>0</v>
      </c>
      <c r="AN3352">
        <v>126.92</v>
      </c>
      <c r="AP3352">
        <v>9</v>
      </c>
    </row>
    <row r="3353" spans="1:42" x14ac:dyDescent="0.25">
      <c r="A3353" t="s">
        <v>46</v>
      </c>
      <c r="B3353">
        <v>5</v>
      </c>
      <c r="C3353" t="s">
        <v>2255</v>
      </c>
      <c r="D3353" s="39">
        <v>46077</v>
      </c>
      <c r="E3353" t="s">
        <v>229</v>
      </c>
      <c r="F3353" t="s">
        <v>79</v>
      </c>
      <c r="G3353">
        <v>8</v>
      </c>
      <c r="H3353" t="s">
        <v>644</v>
      </c>
      <c r="I3353" t="s">
        <v>79</v>
      </c>
      <c r="J3353">
        <v>300</v>
      </c>
      <c r="K3353" t="s">
        <v>79</v>
      </c>
      <c r="L3353">
        <v>3</v>
      </c>
      <c r="M3353">
        <v>120.74000000000001</v>
      </c>
      <c r="N3353">
        <v>2.4000000000000004</v>
      </c>
      <c r="Q3353">
        <v>118.34</v>
      </c>
      <c r="R3353" t="s">
        <v>2256</v>
      </c>
      <c r="V3353">
        <v>0</v>
      </c>
      <c r="W3353">
        <v>0</v>
      </c>
      <c r="AF3353">
        <v>0</v>
      </c>
      <c r="AG3353">
        <v>0</v>
      </c>
      <c r="AH3353">
        <v>0</v>
      </c>
      <c r="AI3353">
        <v>12</v>
      </c>
      <c r="AJ3353">
        <v>12</v>
      </c>
      <c r="AM3353">
        <v>0</v>
      </c>
      <c r="AN3353">
        <v>125.74</v>
      </c>
      <c r="AP3353">
        <v>9</v>
      </c>
    </row>
    <row r="3354" spans="1:42" x14ac:dyDescent="0.25">
      <c r="A3354" t="s">
        <v>45</v>
      </c>
      <c r="B3354">
        <v>1</v>
      </c>
      <c r="C3354" t="s">
        <v>2245</v>
      </c>
      <c r="D3354" s="39">
        <v>46078</v>
      </c>
      <c r="E3354" t="s">
        <v>486</v>
      </c>
      <c r="F3354" t="s">
        <v>79</v>
      </c>
      <c r="G3354">
        <v>2.5</v>
      </c>
      <c r="H3354" t="s">
        <v>92</v>
      </c>
      <c r="I3354" t="s">
        <v>79</v>
      </c>
      <c r="J3354">
        <v>1000</v>
      </c>
      <c r="K3354" t="s">
        <v>79</v>
      </c>
      <c r="L3354">
        <v>8</v>
      </c>
      <c r="M3354">
        <v>121.67</v>
      </c>
      <c r="N3354">
        <v>2</v>
      </c>
      <c r="Q3354">
        <v>119.67</v>
      </c>
      <c r="R3354" t="s">
        <v>2246</v>
      </c>
      <c r="V3354">
        <v>0</v>
      </c>
      <c r="W3354">
        <v>0</v>
      </c>
      <c r="AF3354">
        <v>0</v>
      </c>
      <c r="AG3354">
        <v>0</v>
      </c>
      <c r="AH3354">
        <v>0</v>
      </c>
      <c r="AI3354">
        <v>12</v>
      </c>
      <c r="AJ3354">
        <v>12</v>
      </c>
      <c r="AM3354">
        <v>0</v>
      </c>
      <c r="AN3354">
        <v>126.67</v>
      </c>
      <c r="AP3354">
        <v>9</v>
      </c>
    </row>
    <row r="3355" spans="1:42" x14ac:dyDescent="0.25">
      <c r="A3355" t="s">
        <v>46</v>
      </c>
      <c r="B3355">
        <v>1</v>
      </c>
      <c r="C3355" t="s">
        <v>2245</v>
      </c>
      <c r="D3355" s="39">
        <v>46078</v>
      </c>
      <c r="E3355" t="s">
        <v>486</v>
      </c>
      <c r="F3355" t="s">
        <v>79</v>
      </c>
      <c r="G3355">
        <v>2.5</v>
      </c>
      <c r="H3355" t="s">
        <v>92</v>
      </c>
      <c r="I3355" t="s">
        <v>79</v>
      </c>
      <c r="J3355">
        <v>1000</v>
      </c>
      <c r="K3355" t="s">
        <v>79</v>
      </c>
      <c r="L3355">
        <v>9</v>
      </c>
      <c r="M3355">
        <v>117.28</v>
      </c>
      <c r="N3355">
        <v>2.25</v>
      </c>
      <c r="Q3355">
        <v>115.03</v>
      </c>
      <c r="R3355" t="s">
        <v>2246</v>
      </c>
      <c r="V3355">
        <v>0</v>
      </c>
      <c r="W3355">
        <v>0</v>
      </c>
      <c r="AF3355">
        <v>0</v>
      </c>
      <c r="AG3355">
        <v>0</v>
      </c>
      <c r="AH3355">
        <v>0</v>
      </c>
      <c r="AI3355">
        <v>12</v>
      </c>
      <c r="AJ3355">
        <v>12</v>
      </c>
      <c r="AM3355">
        <v>0</v>
      </c>
      <c r="AN3355">
        <v>122.28</v>
      </c>
      <c r="AP3355">
        <v>9</v>
      </c>
    </row>
    <row r="3356" spans="1:42" x14ac:dyDescent="0.25">
      <c r="A3356" t="s">
        <v>45</v>
      </c>
      <c r="B3356">
        <v>2</v>
      </c>
      <c r="C3356" t="s">
        <v>2257</v>
      </c>
      <c r="D3356" s="39">
        <v>46078</v>
      </c>
      <c r="E3356" t="s">
        <v>401</v>
      </c>
      <c r="F3356" t="s">
        <v>79</v>
      </c>
      <c r="G3356">
        <v>4</v>
      </c>
      <c r="H3356" t="s">
        <v>1049</v>
      </c>
      <c r="I3356" t="s">
        <v>79</v>
      </c>
      <c r="J3356">
        <v>375</v>
      </c>
      <c r="K3356" t="s">
        <v>79</v>
      </c>
      <c r="L3356">
        <v>11</v>
      </c>
      <c r="M3356">
        <v>190.74</v>
      </c>
      <c r="N3356">
        <v>4.4000000000000004</v>
      </c>
      <c r="Q3356">
        <v>186.34</v>
      </c>
      <c r="R3356" t="s">
        <v>2258</v>
      </c>
      <c r="V3356">
        <v>0</v>
      </c>
      <c r="W3356">
        <v>0</v>
      </c>
      <c r="AF3356">
        <v>0</v>
      </c>
      <c r="AG3356">
        <v>0</v>
      </c>
      <c r="AH3356">
        <v>0</v>
      </c>
      <c r="AI3356">
        <v>12</v>
      </c>
      <c r="AJ3356">
        <v>12</v>
      </c>
      <c r="AM3356">
        <v>0</v>
      </c>
      <c r="AN3356">
        <v>195.74</v>
      </c>
      <c r="AP3356">
        <v>9</v>
      </c>
    </row>
    <row r="3357" spans="1:42" x14ac:dyDescent="0.25">
      <c r="A3357" t="s">
        <v>46</v>
      </c>
      <c r="B3357">
        <v>2</v>
      </c>
      <c r="C3357" t="s">
        <v>2257</v>
      </c>
      <c r="D3357" s="39">
        <v>46078</v>
      </c>
      <c r="E3357" t="s">
        <v>401</v>
      </c>
      <c r="F3357" t="s">
        <v>79</v>
      </c>
      <c r="G3357">
        <v>4</v>
      </c>
      <c r="H3357" t="s">
        <v>1049</v>
      </c>
      <c r="I3357" t="s">
        <v>79</v>
      </c>
      <c r="J3357">
        <v>375</v>
      </c>
      <c r="K3357" t="s">
        <v>79</v>
      </c>
      <c r="L3357">
        <v>7</v>
      </c>
      <c r="M3357">
        <v>124.00999999999999</v>
      </c>
      <c r="N3357">
        <v>2.8000000000000003</v>
      </c>
      <c r="Q3357">
        <v>121.21</v>
      </c>
      <c r="R3357" t="s">
        <v>2258</v>
      </c>
      <c r="V3357">
        <v>0</v>
      </c>
      <c r="W3357">
        <v>0</v>
      </c>
      <c r="AD3357">
        <v>30</v>
      </c>
      <c r="AF3357">
        <v>30</v>
      </c>
      <c r="AG3357">
        <v>0.5</v>
      </c>
      <c r="AH3357">
        <v>0.5</v>
      </c>
      <c r="AI3357">
        <v>11.5</v>
      </c>
      <c r="AJ3357">
        <v>12</v>
      </c>
      <c r="AM3357">
        <v>0</v>
      </c>
      <c r="AN3357">
        <v>129.01</v>
      </c>
      <c r="AP3357">
        <v>9</v>
      </c>
    </row>
    <row r="3358" spans="1:42" x14ac:dyDescent="0.25">
      <c r="A3358" t="s">
        <v>46</v>
      </c>
      <c r="B3358">
        <v>2</v>
      </c>
      <c r="C3358" t="s">
        <v>2247</v>
      </c>
      <c r="D3358" s="39">
        <v>46078</v>
      </c>
      <c r="E3358" t="s">
        <v>486</v>
      </c>
      <c r="F3358" t="s">
        <v>79</v>
      </c>
      <c r="G3358">
        <v>4</v>
      </c>
      <c r="H3358" t="s">
        <v>113</v>
      </c>
      <c r="I3358" t="s">
        <v>79</v>
      </c>
      <c r="J3358">
        <v>1000</v>
      </c>
      <c r="K3358" t="s">
        <v>79</v>
      </c>
      <c r="L3358">
        <v>3</v>
      </c>
      <c r="M3358">
        <v>45.66</v>
      </c>
      <c r="N3358">
        <v>1.2000000000000002</v>
      </c>
      <c r="Q3358">
        <v>44.459999999999994</v>
      </c>
      <c r="R3358" t="s">
        <v>2248</v>
      </c>
      <c r="V3358">
        <v>0</v>
      </c>
      <c r="W3358">
        <v>0</v>
      </c>
      <c r="AF3358">
        <v>0</v>
      </c>
      <c r="AG3358">
        <v>0</v>
      </c>
      <c r="AH3358">
        <v>0</v>
      </c>
      <c r="AI3358">
        <v>12</v>
      </c>
      <c r="AJ3358">
        <v>12</v>
      </c>
      <c r="AM3358">
        <v>0</v>
      </c>
      <c r="AN3358">
        <v>50.66</v>
      </c>
      <c r="AP3358">
        <v>9</v>
      </c>
    </row>
    <row r="3359" spans="1:42" x14ac:dyDescent="0.25">
      <c r="A3359" t="s">
        <v>45</v>
      </c>
      <c r="B3359">
        <v>4</v>
      </c>
      <c r="C3359" t="s">
        <v>2226</v>
      </c>
      <c r="D3359" s="39">
        <v>46078</v>
      </c>
      <c r="E3359" t="s">
        <v>243</v>
      </c>
      <c r="F3359" t="s">
        <v>79</v>
      </c>
      <c r="G3359">
        <v>16.2</v>
      </c>
      <c r="H3359" t="s">
        <v>81</v>
      </c>
      <c r="I3359" t="s">
        <v>79</v>
      </c>
      <c r="J3359">
        <v>3000</v>
      </c>
      <c r="K3359" t="s">
        <v>79</v>
      </c>
      <c r="L3359">
        <v>7</v>
      </c>
      <c r="M3359">
        <v>406.85999999999996</v>
      </c>
      <c r="N3359">
        <v>13.93</v>
      </c>
      <c r="Q3359">
        <v>392.92999999999995</v>
      </c>
      <c r="R3359" t="s">
        <v>2445</v>
      </c>
      <c r="V3359">
        <v>0</v>
      </c>
      <c r="W3359">
        <v>0</v>
      </c>
      <c r="AF3359">
        <v>0</v>
      </c>
      <c r="AG3359">
        <v>0</v>
      </c>
      <c r="AH3359">
        <v>0</v>
      </c>
      <c r="AI3359">
        <v>12</v>
      </c>
      <c r="AJ3359">
        <v>12</v>
      </c>
      <c r="AM3359">
        <v>0</v>
      </c>
      <c r="AN3359">
        <v>411.86</v>
      </c>
      <c r="AP3359">
        <v>9</v>
      </c>
    </row>
    <row r="3360" spans="1:42" x14ac:dyDescent="0.25">
      <c r="A3360" t="s">
        <v>45</v>
      </c>
      <c r="B3360">
        <v>4</v>
      </c>
      <c r="C3360" t="s">
        <v>2259</v>
      </c>
      <c r="D3360" s="39">
        <v>46078</v>
      </c>
      <c r="E3360" t="s">
        <v>243</v>
      </c>
      <c r="F3360" t="s">
        <v>525</v>
      </c>
      <c r="G3360">
        <v>21</v>
      </c>
      <c r="H3360" t="s">
        <v>919</v>
      </c>
      <c r="I3360" t="s">
        <v>525</v>
      </c>
      <c r="J3360">
        <v>500</v>
      </c>
      <c r="K3360" t="s">
        <v>79</v>
      </c>
      <c r="L3360">
        <v>7</v>
      </c>
      <c r="M3360">
        <v>411.15999999999997</v>
      </c>
      <c r="N3360">
        <v>23.52</v>
      </c>
      <c r="Q3360">
        <v>387.64</v>
      </c>
      <c r="R3360" t="s">
        <v>2260</v>
      </c>
      <c r="V3360">
        <v>0</v>
      </c>
      <c r="W3360">
        <v>0</v>
      </c>
      <c r="AF3360">
        <v>0</v>
      </c>
      <c r="AG3360">
        <v>0</v>
      </c>
      <c r="AH3360">
        <v>0</v>
      </c>
      <c r="AI3360">
        <v>12</v>
      </c>
      <c r="AJ3360">
        <v>12</v>
      </c>
      <c r="AM3360">
        <v>0</v>
      </c>
      <c r="AN3360">
        <v>416.16</v>
      </c>
      <c r="AP3360">
        <v>9</v>
      </c>
    </row>
    <row r="3361" spans="1:42" x14ac:dyDescent="0.25">
      <c r="A3361" t="s">
        <v>45</v>
      </c>
      <c r="B3361">
        <v>4</v>
      </c>
      <c r="C3361" t="s">
        <v>2261</v>
      </c>
      <c r="D3361" s="39">
        <v>46078</v>
      </c>
      <c r="E3361" t="s">
        <v>1466</v>
      </c>
      <c r="F3361" t="s">
        <v>79</v>
      </c>
      <c r="G3361">
        <v>21</v>
      </c>
      <c r="H3361" t="s">
        <v>578</v>
      </c>
      <c r="I3361" t="s">
        <v>79</v>
      </c>
      <c r="J3361">
        <v>100</v>
      </c>
      <c r="K3361" t="s">
        <v>79</v>
      </c>
      <c r="L3361">
        <v>1</v>
      </c>
      <c r="M3361">
        <v>48</v>
      </c>
      <c r="N3361">
        <v>2.63</v>
      </c>
      <c r="O3361">
        <v>21</v>
      </c>
      <c r="Q3361">
        <v>45.37</v>
      </c>
      <c r="R3361" t="s">
        <v>2262</v>
      </c>
      <c r="S3361">
        <v>25</v>
      </c>
      <c r="V3361">
        <v>25</v>
      </c>
      <c r="W3361">
        <v>0.41666666666666674</v>
      </c>
      <c r="AF3361">
        <v>0</v>
      </c>
      <c r="AG3361">
        <v>0</v>
      </c>
      <c r="AH3361">
        <v>0.41666666666666674</v>
      </c>
      <c r="AI3361">
        <v>11.583333333333334</v>
      </c>
      <c r="AJ3361">
        <v>12</v>
      </c>
      <c r="AM3361">
        <v>0</v>
      </c>
      <c r="AN3361">
        <v>53</v>
      </c>
      <c r="AP3361">
        <v>9</v>
      </c>
    </row>
    <row r="3362" spans="1:42" x14ac:dyDescent="0.25">
      <c r="A3362" t="s">
        <v>46</v>
      </c>
      <c r="B3362">
        <v>4</v>
      </c>
      <c r="C3362" t="s">
        <v>2261</v>
      </c>
      <c r="D3362" s="39">
        <v>46078</v>
      </c>
      <c r="E3362" t="s">
        <v>1466</v>
      </c>
      <c r="F3362" t="s">
        <v>79</v>
      </c>
      <c r="G3362">
        <v>21</v>
      </c>
      <c r="H3362" t="s">
        <v>578</v>
      </c>
      <c r="I3362" t="s">
        <v>79</v>
      </c>
      <c r="J3362">
        <v>100</v>
      </c>
      <c r="K3362" t="s">
        <v>79</v>
      </c>
      <c r="L3362">
        <v>2</v>
      </c>
      <c r="M3362">
        <v>75.949999999999989</v>
      </c>
      <c r="N3362">
        <v>4.2</v>
      </c>
      <c r="O3362">
        <v>43</v>
      </c>
      <c r="Q3362">
        <v>71.749999999999986</v>
      </c>
      <c r="R3362" t="s">
        <v>2262</v>
      </c>
      <c r="S3362">
        <v>25</v>
      </c>
      <c r="V3362">
        <v>25</v>
      </c>
      <c r="W3362">
        <v>0.41666666666666674</v>
      </c>
      <c r="AD3362">
        <v>45</v>
      </c>
      <c r="AF3362">
        <v>45</v>
      </c>
      <c r="AG3362">
        <v>0.75</v>
      </c>
      <c r="AH3362">
        <v>1.1666666666666667</v>
      </c>
      <c r="AI3362">
        <v>10.833333333333334</v>
      </c>
      <c r="AJ3362">
        <v>12</v>
      </c>
      <c r="AM3362">
        <v>0</v>
      </c>
      <c r="AN3362">
        <v>80.949999999999989</v>
      </c>
      <c r="AP3362">
        <v>9</v>
      </c>
    </row>
    <row r="3363" spans="1:42" x14ac:dyDescent="0.25">
      <c r="A3363" t="s">
        <v>46</v>
      </c>
      <c r="B3363">
        <v>4</v>
      </c>
      <c r="C3363" t="s">
        <v>2263</v>
      </c>
      <c r="D3363" s="39">
        <v>46078</v>
      </c>
      <c r="E3363" t="s">
        <v>200</v>
      </c>
      <c r="F3363" t="s">
        <v>79</v>
      </c>
      <c r="G3363">
        <v>22</v>
      </c>
      <c r="H3363" t="s">
        <v>534</v>
      </c>
      <c r="I3363" t="s">
        <v>79</v>
      </c>
      <c r="J3363">
        <v>150</v>
      </c>
      <c r="K3363" t="s">
        <v>79</v>
      </c>
      <c r="L3363">
        <v>6</v>
      </c>
      <c r="M3363">
        <v>313.54000000000002</v>
      </c>
      <c r="N3363">
        <v>13.200000000000001</v>
      </c>
      <c r="Q3363">
        <v>300.34000000000003</v>
      </c>
      <c r="R3363" t="s">
        <v>2264</v>
      </c>
      <c r="S3363">
        <v>25</v>
      </c>
      <c r="V3363">
        <v>25</v>
      </c>
      <c r="W3363">
        <v>0.41666666666666674</v>
      </c>
      <c r="AF3363">
        <v>0</v>
      </c>
      <c r="AG3363">
        <v>0</v>
      </c>
      <c r="AH3363">
        <v>0.41666666666666674</v>
      </c>
      <c r="AI3363">
        <v>11.583333333333334</v>
      </c>
      <c r="AJ3363">
        <v>12</v>
      </c>
      <c r="AM3363">
        <v>0</v>
      </c>
      <c r="AN3363">
        <v>318.54000000000002</v>
      </c>
      <c r="AP3363">
        <v>9</v>
      </c>
    </row>
    <row r="3364" spans="1:42" x14ac:dyDescent="0.25">
      <c r="A3364" t="s">
        <v>46</v>
      </c>
      <c r="B3364">
        <v>4</v>
      </c>
      <c r="C3364" t="s">
        <v>2263</v>
      </c>
      <c r="D3364" s="39">
        <v>46078</v>
      </c>
      <c r="E3364" t="s">
        <v>200</v>
      </c>
      <c r="F3364" t="s">
        <v>79</v>
      </c>
      <c r="G3364">
        <v>22</v>
      </c>
      <c r="H3364" t="s">
        <v>534</v>
      </c>
      <c r="I3364" t="s">
        <v>79</v>
      </c>
      <c r="J3364">
        <v>150</v>
      </c>
      <c r="K3364" t="s">
        <v>79</v>
      </c>
      <c r="L3364">
        <v>2</v>
      </c>
      <c r="M3364">
        <v>109.4</v>
      </c>
      <c r="N3364">
        <v>4.4000000000000004</v>
      </c>
      <c r="Q3364">
        <v>105</v>
      </c>
      <c r="R3364" t="s">
        <v>2264</v>
      </c>
      <c r="V3364">
        <v>0</v>
      </c>
      <c r="W3364">
        <v>0</v>
      </c>
      <c r="AF3364">
        <v>0</v>
      </c>
      <c r="AG3364">
        <v>0</v>
      </c>
      <c r="AH3364">
        <v>0</v>
      </c>
      <c r="AI3364">
        <v>12</v>
      </c>
      <c r="AJ3364">
        <v>12</v>
      </c>
      <c r="AM3364">
        <v>0</v>
      </c>
      <c r="AN3364">
        <v>114.4</v>
      </c>
      <c r="AP3364">
        <v>9</v>
      </c>
    </row>
    <row r="3365" spans="1:42" x14ac:dyDescent="0.25">
      <c r="A3365" t="s">
        <v>46</v>
      </c>
      <c r="B3365">
        <v>4</v>
      </c>
      <c r="C3365" t="s">
        <v>2265</v>
      </c>
      <c r="D3365" s="39">
        <v>46078</v>
      </c>
      <c r="E3365" t="s">
        <v>401</v>
      </c>
      <c r="F3365" t="s">
        <v>79</v>
      </c>
      <c r="G3365">
        <v>8</v>
      </c>
      <c r="H3365" t="s">
        <v>1049</v>
      </c>
      <c r="I3365" t="s">
        <v>79</v>
      </c>
      <c r="J3365">
        <v>50</v>
      </c>
      <c r="K3365" t="s">
        <v>79</v>
      </c>
      <c r="L3365">
        <v>2</v>
      </c>
      <c r="M3365">
        <v>100.47</v>
      </c>
      <c r="N3365">
        <v>3.2</v>
      </c>
      <c r="Q3365">
        <v>97.27</v>
      </c>
      <c r="R3365" t="s">
        <v>2266</v>
      </c>
      <c r="V3365">
        <v>0</v>
      </c>
      <c r="W3365">
        <v>0</v>
      </c>
      <c r="AF3365">
        <v>0</v>
      </c>
      <c r="AG3365">
        <v>0</v>
      </c>
      <c r="AH3365">
        <v>0</v>
      </c>
      <c r="AI3365">
        <v>12</v>
      </c>
      <c r="AJ3365">
        <v>12</v>
      </c>
      <c r="AM3365">
        <v>0</v>
      </c>
      <c r="AN3365">
        <v>105.47</v>
      </c>
      <c r="AP3365">
        <v>9</v>
      </c>
    </row>
    <row r="3366" spans="1:42" x14ac:dyDescent="0.25">
      <c r="A3366" t="s">
        <v>45</v>
      </c>
      <c r="B3366">
        <v>5</v>
      </c>
      <c r="C3366" t="s">
        <v>2255</v>
      </c>
      <c r="D3366" s="39">
        <v>46078</v>
      </c>
      <c r="E3366" t="s">
        <v>229</v>
      </c>
      <c r="F3366" t="s">
        <v>79</v>
      </c>
      <c r="G3366">
        <v>8</v>
      </c>
      <c r="H3366" t="s">
        <v>644</v>
      </c>
      <c r="I3366" t="s">
        <v>79</v>
      </c>
      <c r="J3366">
        <v>300</v>
      </c>
      <c r="K3366" t="s">
        <v>79</v>
      </c>
      <c r="L3366">
        <v>4</v>
      </c>
      <c r="M3366">
        <v>152.85000000000002</v>
      </c>
      <c r="N3366">
        <v>4.5</v>
      </c>
      <c r="Q3366">
        <v>148.35000000000002</v>
      </c>
      <c r="R3366" t="s">
        <v>2256</v>
      </c>
      <c r="V3366">
        <v>0</v>
      </c>
      <c r="W3366">
        <v>0</v>
      </c>
      <c r="AF3366">
        <v>0</v>
      </c>
      <c r="AG3366">
        <v>0</v>
      </c>
      <c r="AH3366">
        <v>0</v>
      </c>
      <c r="AI3366">
        <v>12</v>
      </c>
      <c r="AJ3366">
        <v>12</v>
      </c>
      <c r="AM3366">
        <v>0</v>
      </c>
      <c r="AN3366">
        <v>157.85000000000002</v>
      </c>
      <c r="AP3366">
        <v>9</v>
      </c>
    </row>
    <row r="3367" spans="1:42" x14ac:dyDescent="0.25">
      <c r="A3367" t="s">
        <v>45</v>
      </c>
      <c r="B3367">
        <v>5</v>
      </c>
      <c r="C3367" t="s">
        <v>2265</v>
      </c>
      <c r="D3367" s="39">
        <v>46078</v>
      </c>
      <c r="E3367" t="s">
        <v>401</v>
      </c>
      <c r="F3367" t="s">
        <v>79</v>
      </c>
      <c r="G3367">
        <v>8</v>
      </c>
      <c r="H3367" t="s">
        <v>1049</v>
      </c>
      <c r="I3367" t="s">
        <v>79</v>
      </c>
      <c r="J3367">
        <v>50</v>
      </c>
      <c r="K3367" t="s">
        <v>79</v>
      </c>
      <c r="L3367">
        <v>8</v>
      </c>
      <c r="M3367">
        <v>208.32</v>
      </c>
      <c r="N3367">
        <v>60</v>
      </c>
      <c r="Q3367">
        <v>148.32</v>
      </c>
      <c r="R3367" t="s">
        <v>2266</v>
      </c>
      <c r="V3367">
        <v>0</v>
      </c>
      <c r="W3367">
        <v>0</v>
      </c>
      <c r="AF3367">
        <v>0</v>
      </c>
      <c r="AG3367">
        <v>0</v>
      </c>
      <c r="AH3367">
        <v>0</v>
      </c>
      <c r="AI3367">
        <v>12</v>
      </c>
      <c r="AJ3367">
        <v>12</v>
      </c>
      <c r="AM3367">
        <v>0</v>
      </c>
      <c r="AN3367">
        <v>213.32</v>
      </c>
      <c r="AP3367">
        <v>9</v>
      </c>
    </row>
    <row r="3368" spans="1:42" x14ac:dyDescent="0.25">
      <c r="A3368" t="s">
        <v>46</v>
      </c>
      <c r="B3368">
        <v>5</v>
      </c>
      <c r="C3368" t="s">
        <v>2265</v>
      </c>
      <c r="D3368" s="39">
        <v>46078</v>
      </c>
      <c r="E3368" t="s">
        <v>401</v>
      </c>
      <c r="F3368" t="s">
        <v>79</v>
      </c>
      <c r="G3368">
        <v>8</v>
      </c>
      <c r="H3368" t="s">
        <v>1049</v>
      </c>
      <c r="I3368" t="s">
        <v>79</v>
      </c>
      <c r="J3368">
        <v>50</v>
      </c>
      <c r="K3368" t="s">
        <v>79</v>
      </c>
      <c r="L3368">
        <v>9</v>
      </c>
      <c r="M3368">
        <v>218.75000000000003</v>
      </c>
      <c r="N3368">
        <v>63</v>
      </c>
      <c r="Q3368">
        <v>155.75000000000003</v>
      </c>
      <c r="R3368" t="s">
        <v>2266</v>
      </c>
      <c r="V3368">
        <v>0</v>
      </c>
      <c r="W3368">
        <v>0</v>
      </c>
      <c r="Y3368">
        <v>30</v>
      </c>
      <c r="AF3368">
        <v>30</v>
      </c>
      <c r="AG3368">
        <v>0.5</v>
      </c>
      <c r="AH3368">
        <v>0.5</v>
      </c>
      <c r="AI3368">
        <v>11.5</v>
      </c>
      <c r="AJ3368">
        <v>12</v>
      </c>
      <c r="AM3368">
        <v>0</v>
      </c>
      <c r="AN3368">
        <v>223.75000000000003</v>
      </c>
      <c r="AP3368">
        <v>9</v>
      </c>
    </row>
    <row r="3369" spans="1:42" x14ac:dyDescent="0.25">
      <c r="A3369" t="s">
        <v>46</v>
      </c>
      <c r="B3369">
        <v>5</v>
      </c>
      <c r="C3369" t="s">
        <v>2267</v>
      </c>
      <c r="D3369" s="39">
        <v>46078</v>
      </c>
      <c r="E3369" t="s">
        <v>486</v>
      </c>
      <c r="F3369" t="s">
        <v>79</v>
      </c>
      <c r="G3369">
        <v>8</v>
      </c>
      <c r="H3369">
        <v>5</v>
      </c>
      <c r="I3369" t="s">
        <v>79</v>
      </c>
      <c r="J3369">
        <v>1500</v>
      </c>
      <c r="K3369" t="s">
        <v>79</v>
      </c>
      <c r="L3369">
        <v>2</v>
      </c>
      <c r="M3369">
        <v>74.319999999999993</v>
      </c>
      <c r="N3369">
        <v>1.6</v>
      </c>
      <c r="Q3369">
        <v>72.72</v>
      </c>
      <c r="R3369" t="s">
        <v>2268</v>
      </c>
      <c r="V3369">
        <v>0</v>
      </c>
      <c r="W3369">
        <v>0</v>
      </c>
      <c r="AF3369">
        <v>0</v>
      </c>
      <c r="AG3369">
        <v>0</v>
      </c>
      <c r="AH3369">
        <v>0</v>
      </c>
      <c r="AI3369">
        <v>12</v>
      </c>
      <c r="AJ3369">
        <v>12</v>
      </c>
      <c r="AM3369">
        <v>0</v>
      </c>
      <c r="AN3369">
        <v>79.319999999999993</v>
      </c>
      <c r="AP3369">
        <v>9</v>
      </c>
    </row>
    <row r="3370" spans="1:42" x14ac:dyDescent="0.25">
      <c r="A3370" t="s">
        <v>45</v>
      </c>
      <c r="B3370">
        <v>1</v>
      </c>
      <c r="C3370" t="s">
        <v>2245</v>
      </c>
      <c r="D3370" s="39">
        <v>46079</v>
      </c>
      <c r="E3370" t="s">
        <v>486</v>
      </c>
      <c r="F3370" t="s">
        <v>79</v>
      </c>
      <c r="G3370">
        <v>2.5</v>
      </c>
      <c r="H3370" t="s">
        <v>92</v>
      </c>
      <c r="I3370" t="s">
        <v>79</v>
      </c>
      <c r="J3370">
        <v>1000</v>
      </c>
      <c r="K3370" t="s">
        <v>79</v>
      </c>
      <c r="L3370">
        <v>9</v>
      </c>
      <c r="M3370">
        <v>122.92</v>
      </c>
      <c r="N3370">
        <v>2.25</v>
      </c>
      <c r="Q3370">
        <v>120.67</v>
      </c>
      <c r="R3370" t="s">
        <v>2246</v>
      </c>
      <c r="V3370">
        <v>0</v>
      </c>
      <c r="W3370">
        <v>0</v>
      </c>
      <c r="AF3370">
        <v>0</v>
      </c>
      <c r="AG3370">
        <v>0</v>
      </c>
      <c r="AH3370">
        <v>0</v>
      </c>
      <c r="AI3370">
        <v>12</v>
      </c>
      <c r="AJ3370">
        <v>12</v>
      </c>
      <c r="AM3370">
        <v>0</v>
      </c>
      <c r="AN3370">
        <v>127.92</v>
      </c>
      <c r="AP3370">
        <v>9</v>
      </c>
    </row>
    <row r="3371" spans="1:42" x14ac:dyDescent="0.25">
      <c r="A3371" t="s">
        <v>46</v>
      </c>
      <c r="B3371">
        <v>1</v>
      </c>
      <c r="C3371" t="s">
        <v>2245</v>
      </c>
      <c r="D3371" s="39">
        <v>46079</v>
      </c>
      <c r="E3371" t="s">
        <v>486</v>
      </c>
      <c r="F3371" t="s">
        <v>79</v>
      </c>
      <c r="G3371">
        <v>2.5</v>
      </c>
      <c r="H3371" t="s">
        <v>92</v>
      </c>
      <c r="I3371" t="s">
        <v>79</v>
      </c>
      <c r="J3371">
        <v>1000</v>
      </c>
      <c r="K3371" t="s">
        <v>79</v>
      </c>
      <c r="L3371">
        <v>7</v>
      </c>
      <c r="M3371">
        <v>104.99000000000001</v>
      </c>
      <c r="N3371">
        <v>1.75</v>
      </c>
      <c r="Q3371">
        <v>103.24000000000001</v>
      </c>
      <c r="R3371" t="s">
        <v>2246</v>
      </c>
      <c r="V3371">
        <v>0</v>
      </c>
      <c r="W3371">
        <v>0</v>
      </c>
      <c r="AF3371">
        <v>0</v>
      </c>
      <c r="AG3371">
        <v>0</v>
      </c>
      <c r="AH3371">
        <v>0</v>
      </c>
      <c r="AI3371">
        <v>12</v>
      </c>
      <c r="AJ3371">
        <v>12</v>
      </c>
      <c r="AM3371">
        <v>0</v>
      </c>
      <c r="AN3371">
        <v>109.99</v>
      </c>
      <c r="AP3371">
        <v>9</v>
      </c>
    </row>
    <row r="3372" spans="1:42" x14ac:dyDescent="0.25">
      <c r="A3372" t="s">
        <v>45</v>
      </c>
      <c r="B3372">
        <v>2</v>
      </c>
      <c r="C3372" t="s">
        <v>2247</v>
      </c>
      <c r="D3372" s="39">
        <v>46079</v>
      </c>
      <c r="E3372" t="s">
        <v>486</v>
      </c>
      <c r="F3372" t="s">
        <v>79</v>
      </c>
      <c r="G3372">
        <v>4</v>
      </c>
      <c r="H3372" t="s">
        <v>113</v>
      </c>
      <c r="I3372" t="s">
        <v>79</v>
      </c>
      <c r="J3372">
        <v>1000</v>
      </c>
      <c r="K3372" t="s">
        <v>79</v>
      </c>
      <c r="L3372">
        <v>2</v>
      </c>
      <c r="M3372">
        <v>27.54</v>
      </c>
      <c r="N3372">
        <v>0.8</v>
      </c>
      <c r="Q3372">
        <v>26.74</v>
      </c>
      <c r="R3372" t="s">
        <v>2248</v>
      </c>
      <c r="V3372">
        <v>0</v>
      </c>
      <c r="W3372">
        <v>0</v>
      </c>
      <c r="AF3372">
        <v>0</v>
      </c>
      <c r="AG3372">
        <v>0</v>
      </c>
      <c r="AH3372">
        <v>0</v>
      </c>
      <c r="AI3372">
        <v>12</v>
      </c>
      <c r="AJ3372">
        <v>12</v>
      </c>
      <c r="AM3372">
        <v>0</v>
      </c>
      <c r="AN3372">
        <v>32.54</v>
      </c>
      <c r="AP3372">
        <v>9</v>
      </c>
    </row>
    <row r="3373" spans="1:42" x14ac:dyDescent="0.25">
      <c r="A3373" t="s">
        <v>45</v>
      </c>
      <c r="B3373">
        <v>2</v>
      </c>
      <c r="C3373" t="s">
        <v>2269</v>
      </c>
      <c r="D3373" s="39">
        <v>46079</v>
      </c>
      <c r="E3373" t="s">
        <v>401</v>
      </c>
      <c r="F3373" t="s">
        <v>79</v>
      </c>
      <c r="G3373">
        <v>5</v>
      </c>
      <c r="H3373" t="s">
        <v>1049</v>
      </c>
      <c r="I3373" t="s">
        <v>79</v>
      </c>
      <c r="J3373">
        <v>150</v>
      </c>
      <c r="K3373" t="s">
        <v>79</v>
      </c>
      <c r="L3373">
        <v>2</v>
      </c>
      <c r="M3373">
        <v>36.840000000000003</v>
      </c>
      <c r="N3373">
        <v>1</v>
      </c>
      <c r="Q3373">
        <v>35.840000000000003</v>
      </c>
      <c r="R3373" t="s">
        <v>2270</v>
      </c>
      <c r="V3373">
        <v>0</v>
      </c>
      <c r="W3373">
        <v>0</v>
      </c>
      <c r="Z3373">
        <v>420</v>
      </c>
      <c r="AF3373">
        <v>420</v>
      </c>
      <c r="AG3373">
        <v>7</v>
      </c>
      <c r="AH3373">
        <v>7</v>
      </c>
      <c r="AI3373">
        <v>5</v>
      </c>
      <c r="AJ3373">
        <v>12</v>
      </c>
      <c r="AM3373">
        <v>0</v>
      </c>
      <c r="AN3373">
        <v>41.84</v>
      </c>
      <c r="AP3373">
        <v>9</v>
      </c>
    </row>
    <row r="3374" spans="1:42" x14ac:dyDescent="0.25">
      <c r="A3374" t="s">
        <v>46</v>
      </c>
      <c r="B3374">
        <v>2</v>
      </c>
      <c r="C3374" t="s">
        <v>2269</v>
      </c>
      <c r="D3374" s="39">
        <v>46079</v>
      </c>
      <c r="E3374" t="s">
        <v>401</v>
      </c>
      <c r="F3374" t="s">
        <v>79</v>
      </c>
      <c r="G3374">
        <v>5</v>
      </c>
      <c r="H3374" t="s">
        <v>1049</v>
      </c>
      <c r="I3374" t="s">
        <v>79</v>
      </c>
      <c r="J3374">
        <v>150</v>
      </c>
      <c r="K3374" t="s">
        <v>79</v>
      </c>
      <c r="L3374">
        <v>6</v>
      </c>
      <c r="M3374">
        <v>120.78000000000002</v>
      </c>
      <c r="N3374">
        <v>3</v>
      </c>
      <c r="Q3374">
        <v>117.78000000000002</v>
      </c>
      <c r="R3374" t="s">
        <v>2270</v>
      </c>
      <c r="V3374">
        <v>0</v>
      </c>
      <c r="W3374">
        <v>0</v>
      </c>
      <c r="AF3374">
        <v>0</v>
      </c>
      <c r="AG3374">
        <v>0</v>
      </c>
      <c r="AH3374">
        <v>0</v>
      </c>
      <c r="AI3374">
        <v>12</v>
      </c>
      <c r="AJ3374">
        <v>12</v>
      </c>
      <c r="AM3374">
        <v>0</v>
      </c>
      <c r="AN3374">
        <v>125.78000000000002</v>
      </c>
      <c r="AP3374">
        <v>9</v>
      </c>
    </row>
    <row r="3375" spans="1:42" x14ac:dyDescent="0.25">
      <c r="A3375" t="s">
        <v>46</v>
      </c>
      <c r="B3375">
        <v>2</v>
      </c>
      <c r="C3375" t="s">
        <v>2247</v>
      </c>
      <c r="D3375" s="39">
        <v>46079</v>
      </c>
      <c r="E3375" t="s">
        <v>486</v>
      </c>
      <c r="F3375" t="s">
        <v>79</v>
      </c>
      <c r="G3375">
        <v>4</v>
      </c>
      <c r="H3375" t="s">
        <v>113</v>
      </c>
      <c r="I3375" t="s">
        <v>79</v>
      </c>
      <c r="J3375">
        <v>1000</v>
      </c>
      <c r="K3375" t="s">
        <v>79</v>
      </c>
      <c r="L3375">
        <v>4</v>
      </c>
      <c r="M3375">
        <v>70.899999999999991</v>
      </c>
      <c r="N3375">
        <v>1.6</v>
      </c>
      <c r="Q3375">
        <v>69.3</v>
      </c>
      <c r="R3375" t="s">
        <v>2248</v>
      </c>
      <c r="S3375">
        <v>25</v>
      </c>
      <c r="V3375">
        <v>25</v>
      </c>
      <c r="W3375">
        <v>0.41666666666666674</v>
      </c>
      <c r="AF3375">
        <v>0</v>
      </c>
      <c r="AG3375">
        <v>0</v>
      </c>
      <c r="AH3375">
        <v>0.41666666666666674</v>
      </c>
      <c r="AI3375">
        <v>11.583333333333334</v>
      </c>
      <c r="AJ3375">
        <v>12</v>
      </c>
      <c r="AM3375">
        <v>0</v>
      </c>
      <c r="AN3375">
        <v>75.899999999999977</v>
      </c>
      <c r="AP3375">
        <v>9</v>
      </c>
    </row>
    <row r="3376" spans="1:42" x14ac:dyDescent="0.25">
      <c r="A3376" t="s">
        <v>45</v>
      </c>
      <c r="B3376">
        <v>4</v>
      </c>
      <c r="C3376" t="s">
        <v>2271</v>
      </c>
      <c r="D3376" s="39">
        <v>46079</v>
      </c>
      <c r="E3376" t="s">
        <v>1486</v>
      </c>
      <c r="F3376" t="s">
        <v>79</v>
      </c>
      <c r="G3376">
        <v>17</v>
      </c>
      <c r="H3376" t="s">
        <v>102</v>
      </c>
      <c r="I3376" t="s">
        <v>79</v>
      </c>
      <c r="J3376">
        <v>150</v>
      </c>
      <c r="K3376" t="s">
        <v>79</v>
      </c>
      <c r="L3376">
        <v>3</v>
      </c>
      <c r="M3376">
        <v>183.25</v>
      </c>
      <c r="N3376">
        <v>6.3000000000000007</v>
      </c>
      <c r="Q3376">
        <v>176.95</v>
      </c>
      <c r="R3376" t="s">
        <v>2272</v>
      </c>
      <c r="V3376">
        <v>0</v>
      </c>
      <c r="W3376">
        <v>0</v>
      </c>
      <c r="AF3376">
        <v>0</v>
      </c>
      <c r="AG3376">
        <v>0</v>
      </c>
      <c r="AH3376">
        <v>0</v>
      </c>
      <c r="AI3376">
        <v>12</v>
      </c>
      <c r="AJ3376">
        <v>12</v>
      </c>
      <c r="AM3376">
        <v>0</v>
      </c>
      <c r="AN3376">
        <v>188.25</v>
      </c>
      <c r="AP3376">
        <v>9</v>
      </c>
    </row>
    <row r="3377" spans="1:42" x14ac:dyDescent="0.25">
      <c r="A3377" t="s">
        <v>45</v>
      </c>
      <c r="B3377">
        <v>4</v>
      </c>
      <c r="C3377" t="s">
        <v>2273</v>
      </c>
      <c r="D3377" s="39">
        <v>46079</v>
      </c>
      <c r="E3377" t="s">
        <v>2274</v>
      </c>
      <c r="F3377" t="s">
        <v>79</v>
      </c>
      <c r="G3377">
        <v>17</v>
      </c>
      <c r="H3377" t="s">
        <v>113</v>
      </c>
      <c r="I3377" t="s">
        <v>79</v>
      </c>
      <c r="J3377">
        <v>300</v>
      </c>
      <c r="K3377" t="s">
        <v>79</v>
      </c>
      <c r="L3377">
        <v>6</v>
      </c>
      <c r="M3377">
        <v>326.53999999999996</v>
      </c>
      <c r="N3377">
        <v>12.600000000000001</v>
      </c>
      <c r="Q3377">
        <v>313.93999999999994</v>
      </c>
      <c r="R3377" t="s">
        <v>2275</v>
      </c>
      <c r="V3377">
        <v>0</v>
      </c>
      <c r="W3377">
        <v>0</v>
      </c>
      <c r="AF3377">
        <v>0</v>
      </c>
      <c r="AG3377">
        <v>0</v>
      </c>
      <c r="AH3377">
        <v>0</v>
      </c>
      <c r="AI3377">
        <v>12</v>
      </c>
      <c r="AJ3377">
        <v>12</v>
      </c>
      <c r="AM3377">
        <v>0</v>
      </c>
      <c r="AN3377">
        <v>331.53999999999996</v>
      </c>
      <c r="AP3377">
        <v>9</v>
      </c>
    </row>
    <row r="3378" spans="1:42" x14ac:dyDescent="0.25">
      <c r="A3378" t="s">
        <v>45</v>
      </c>
      <c r="B3378">
        <v>4</v>
      </c>
      <c r="C3378" t="s">
        <v>2276</v>
      </c>
      <c r="D3378" s="39">
        <v>46079</v>
      </c>
      <c r="E3378" t="s">
        <v>243</v>
      </c>
      <c r="F3378" t="s">
        <v>79</v>
      </c>
      <c r="G3378">
        <v>17</v>
      </c>
      <c r="H3378" t="s">
        <v>117</v>
      </c>
      <c r="I3378" t="s">
        <v>79</v>
      </c>
      <c r="J3378">
        <v>150</v>
      </c>
      <c r="K3378" t="s">
        <v>79</v>
      </c>
      <c r="L3378">
        <v>3</v>
      </c>
      <c r="M3378">
        <v>193.98000000000002</v>
      </c>
      <c r="N3378">
        <v>5.0999999999999996</v>
      </c>
      <c r="O3378">
        <v>8</v>
      </c>
      <c r="Q3378">
        <v>188.88000000000002</v>
      </c>
      <c r="R3378" t="s">
        <v>2277</v>
      </c>
      <c r="V3378">
        <v>0</v>
      </c>
      <c r="W3378">
        <v>0</v>
      </c>
      <c r="AF3378">
        <v>0</v>
      </c>
      <c r="AG3378">
        <v>0</v>
      </c>
      <c r="AH3378">
        <v>0</v>
      </c>
      <c r="AI3378">
        <v>12</v>
      </c>
      <c r="AJ3378">
        <v>12</v>
      </c>
      <c r="AM3378">
        <v>0</v>
      </c>
      <c r="AN3378">
        <v>198.98</v>
      </c>
      <c r="AP3378">
        <v>9</v>
      </c>
    </row>
    <row r="3379" spans="1:42" x14ac:dyDescent="0.25">
      <c r="A3379" t="s">
        <v>46</v>
      </c>
      <c r="B3379">
        <v>4</v>
      </c>
      <c r="C3379" t="s">
        <v>2278</v>
      </c>
      <c r="D3379" s="39">
        <v>46079</v>
      </c>
      <c r="E3379" t="s">
        <v>243</v>
      </c>
      <c r="F3379" t="s">
        <v>79</v>
      </c>
      <c r="G3379">
        <v>19</v>
      </c>
      <c r="H3379" t="s">
        <v>2279</v>
      </c>
      <c r="I3379" t="s">
        <v>79</v>
      </c>
      <c r="J3379">
        <v>50</v>
      </c>
      <c r="K3379" t="s">
        <v>79</v>
      </c>
      <c r="L3379">
        <v>1</v>
      </c>
      <c r="M3379">
        <v>55.48</v>
      </c>
      <c r="N3379">
        <v>1.9</v>
      </c>
      <c r="O3379">
        <v>13</v>
      </c>
      <c r="Q3379">
        <v>53.58</v>
      </c>
      <c r="R3379" t="s">
        <v>2280</v>
      </c>
      <c r="V3379">
        <v>0</v>
      </c>
      <c r="W3379">
        <v>0</v>
      </c>
      <c r="AF3379">
        <v>0</v>
      </c>
      <c r="AG3379">
        <v>0</v>
      </c>
      <c r="AH3379">
        <v>0</v>
      </c>
      <c r="AI3379">
        <v>12</v>
      </c>
      <c r="AJ3379">
        <v>12</v>
      </c>
      <c r="AM3379">
        <v>0</v>
      </c>
      <c r="AN3379">
        <v>60.48</v>
      </c>
      <c r="AP3379">
        <v>9</v>
      </c>
    </row>
    <row r="3380" spans="1:42" x14ac:dyDescent="0.25">
      <c r="A3380" t="s">
        <v>46</v>
      </c>
      <c r="B3380">
        <v>4</v>
      </c>
      <c r="C3380" t="s">
        <v>2281</v>
      </c>
      <c r="D3380" s="39">
        <v>46079</v>
      </c>
      <c r="E3380" t="s">
        <v>243</v>
      </c>
      <c r="F3380" t="s">
        <v>79</v>
      </c>
      <c r="G3380">
        <v>19</v>
      </c>
      <c r="H3380" t="s">
        <v>2279</v>
      </c>
      <c r="I3380" t="s">
        <v>79</v>
      </c>
      <c r="J3380">
        <v>50</v>
      </c>
      <c r="K3380" t="s">
        <v>79</v>
      </c>
      <c r="L3380">
        <v>1</v>
      </c>
      <c r="M3380">
        <v>54.22</v>
      </c>
      <c r="N3380">
        <v>1.9</v>
      </c>
      <c r="Q3380">
        <v>52.32</v>
      </c>
      <c r="R3380" t="s">
        <v>2282</v>
      </c>
      <c r="V3380">
        <v>0</v>
      </c>
      <c r="W3380">
        <v>0</v>
      </c>
      <c r="AF3380">
        <v>0</v>
      </c>
      <c r="AG3380">
        <v>0</v>
      </c>
      <c r="AH3380">
        <v>0</v>
      </c>
      <c r="AI3380">
        <v>12</v>
      </c>
      <c r="AJ3380">
        <v>12</v>
      </c>
      <c r="AM3380">
        <v>0</v>
      </c>
      <c r="AN3380">
        <v>59.22</v>
      </c>
      <c r="AP3380">
        <v>9</v>
      </c>
    </row>
    <row r="3381" spans="1:42" x14ac:dyDescent="0.25">
      <c r="A3381" t="s">
        <v>46</v>
      </c>
      <c r="B3381">
        <v>4</v>
      </c>
      <c r="C3381" t="s">
        <v>2283</v>
      </c>
      <c r="D3381" s="39">
        <v>46079</v>
      </c>
      <c r="E3381" t="s">
        <v>276</v>
      </c>
      <c r="F3381" t="s">
        <v>79</v>
      </c>
      <c r="G3381">
        <v>18</v>
      </c>
      <c r="H3381" t="s">
        <v>113</v>
      </c>
      <c r="I3381" t="s">
        <v>79</v>
      </c>
      <c r="J3381" t="s">
        <v>81</v>
      </c>
      <c r="K3381" t="s">
        <v>79</v>
      </c>
      <c r="L3381">
        <v>10</v>
      </c>
      <c r="M3381">
        <v>539.39</v>
      </c>
      <c r="N3381">
        <v>18</v>
      </c>
      <c r="Q3381">
        <v>521.39</v>
      </c>
      <c r="R3381" t="s">
        <v>2284</v>
      </c>
      <c r="V3381">
        <v>0</v>
      </c>
      <c r="W3381">
        <v>0</v>
      </c>
      <c r="AF3381">
        <v>0</v>
      </c>
      <c r="AG3381">
        <v>0</v>
      </c>
      <c r="AH3381">
        <v>0</v>
      </c>
      <c r="AI3381">
        <v>12</v>
      </c>
      <c r="AJ3381">
        <v>12</v>
      </c>
      <c r="AM3381">
        <v>0</v>
      </c>
      <c r="AN3381">
        <v>544.39</v>
      </c>
      <c r="AP3381">
        <v>9</v>
      </c>
    </row>
    <row r="3382" spans="1:42" x14ac:dyDescent="0.25">
      <c r="A3382" t="s">
        <v>46</v>
      </c>
      <c r="B3382">
        <v>4</v>
      </c>
      <c r="C3382" t="s">
        <v>2285</v>
      </c>
      <c r="D3382" s="39">
        <v>46079</v>
      </c>
      <c r="E3382" t="s">
        <v>2286</v>
      </c>
      <c r="F3382" t="s">
        <v>79</v>
      </c>
      <c r="G3382">
        <v>18</v>
      </c>
      <c r="H3382" t="s">
        <v>98</v>
      </c>
      <c r="I3382" t="s">
        <v>79</v>
      </c>
      <c r="J3382">
        <v>100</v>
      </c>
      <c r="K3382" t="s">
        <v>79</v>
      </c>
      <c r="L3382">
        <v>2</v>
      </c>
      <c r="M3382">
        <v>114.21000000000001</v>
      </c>
      <c r="N3382">
        <v>3.6</v>
      </c>
      <c r="Q3382">
        <v>110.61000000000001</v>
      </c>
      <c r="R3382" t="s">
        <v>2287</v>
      </c>
      <c r="V3382">
        <v>0</v>
      </c>
      <c r="W3382">
        <v>0</v>
      </c>
      <c r="AF3382">
        <v>0</v>
      </c>
      <c r="AG3382">
        <v>0</v>
      </c>
      <c r="AH3382">
        <v>0</v>
      </c>
      <c r="AI3382">
        <v>12</v>
      </c>
      <c r="AJ3382">
        <v>12</v>
      </c>
      <c r="AM3382">
        <v>0</v>
      </c>
      <c r="AN3382">
        <v>119.21</v>
      </c>
      <c r="AP3382">
        <v>9</v>
      </c>
    </row>
    <row r="3383" spans="1:42" x14ac:dyDescent="0.25">
      <c r="A3383" t="s">
        <v>45</v>
      </c>
      <c r="B3383">
        <v>5</v>
      </c>
      <c r="C3383" t="s">
        <v>2267</v>
      </c>
      <c r="D3383" s="39">
        <v>46079</v>
      </c>
      <c r="E3383" t="s">
        <v>486</v>
      </c>
      <c r="F3383" t="s">
        <v>79</v>
      </c>
      <c r="G3383">
        <v>8</v>
      </c>
      <c r="H3383">
        <v>5</v>
      </c>
      <c r="I3383" t="s">
        <v>79</v>
      </c>
      <c r="J3383">
        <v>1500</v>
      </c>
      <c r="K3383" t="s">
        <v>79</v>
      </c>
      <c r="L3383">
        <v>10</v>
      </c>
      <c r="M3383">
        <v>364.04999999999995</v>
      </c>
      <c r="N3383">
        <v>10</v>
      </c>
      <c r="O3383">
        <v>4.5</v>
      </c>
      <c r="Q3383">
        <v>354.04999999999995</v>
      </c>
      <c r="R3383" t="s">
        <v>2268</v>
      </c>
      <c r="V3383">
        <v>0</v>
      </c>
      <c r="W3383">
        <v>0</v>
      </c>
      <c r="AF3383">
        <v>0</v>
      </c>
      <c r="AG3383">
        <v>0</v>
      </c>
      <c r="AH3383">
        <v>0</v>
      </c>
      <c r="AI3383">
        <v>12</v>
      </c>
      <c r="AJ3383">
        <v>12</v>
      </c>
      <c r="AM3383">
        <v>0</v>
      </c>
      <c r="AN3383">
        <v>369.0499999999999</v>
      </c>
      <c r="AP3383">
        <v>9</v>
      </c>
    </row>
    <row r="3384" spans="1:42" x14ac:dyDescent="0.25">
      <c r="A3384" t="s">
        <v>46</v>
      </c>
      <c r="B3384">
        <v>5</v>
      </c>
      <c r="C3384" t="s">
        <v>2267</v>
      </c>
      <c r="D3384" s="39">
        <v>46079</v>
      </c>
      <c r="E3384" t="s">
        <v>486</v>
      </c>
      <c r="F3384" t="s">
        <v>79</v>
      </c>
      <c r="G3384">
        <v>8</v>
      </c>
      <c r="H3384">
        <v>5</v>
      </c>
      <c r="I3384" t="s">
        <v>79</v>
      </c>
      <c r="J3384">
        <v>1500</v>
      </c>
      <c r="K3384" t="s">
        <v>79</v>
      </c>
      <c r="L3384">
        <v>8</v>
      </c>
      <c r="M3384">
        <v>357.78000000000003</v>
      </c>
      <c r="N3384">
        <v>6.4</v>
      </c>
      <c r="O3384">
        <v>4.5</v>
      </c>
      <c r="Q3384">
        <v>351.38000000000005</v>
      </c>
      <c r="R3384" t="s">
        <v>2268</v>
      </c>
      <c r="V3384">
        <v>0</v>
      </c>
      <c r="W3384">
        <v>0</v>
      </c>
      <c r="AF3384">
        <v>0</v>
      </c>
      <c r="AG3384">
        <v>0</v>
      </c>
      <c r="AH3384">
        <v>0</v>
      </c>
      <c r="AI3384">
        <v>12</v>
      </c>
      <c r="AJ3384">
        <v>12</v>
      </c>
      <c r="AM3384">
        <v>0</v>
      </c>
      <c r="AN3384">
        <v>362.78</v>
      </c>
      <c r="AP3384">
        <v>9</v>
      </c>
    </row>
    <row r="3385" spans="1:42" x14ac:dyDescent="0.25">
      <c r="A3385" t="s">
        <v>45</v>
      </c>
      <c r="B3385">
        <v>1</v>
      </c>
      <c r="C3385" t="s">
        <v>2245</v>
      </c>
      <c r="D3385" s="39">
        <v>46080</v>
      </c>
      <c r="E3385" t="s">
        <v>486</v>
      </c>
      <c r="F3385" t="s">
        <v>79</v>
      </c>
      <c r="G3385">
        <v>2.5</v>
      </c>
      <c r="H3385" t="s">
        <v>92</v>
      </c>
      <c r="I3385" t="s">
        <v>79</v>
      </c>
      <c r="J3385">
        <v>1000</v>
      </c>
      <c r="K3385" t="s">
        <v>79</v>
      </c>
      <c r="L3385">
        <v>7</v>
      </c>
      <c r="M3385">
        <v>111.29000000000002</v>
      </c>
      <c r="N3385">
        <v>2.25</v>
      </c>
      <c r="Q3385">
        <v>109.04000000000002</v>
      </c>
      <c r="R3385" t="s">
        <v>2246</v>
      </c>
      <c r="V3385">
        <v>0</v>
      </c>
      <c r="W3385">
        <v>0</v>
      </c>
      <c r="AD3385">
        <v>30</v>
      </c>
      <c r="AF3385">
        <v>30</v>
      </c>
      <c r="AG3385">
        <v>0.5</v>
      </c>
      <c r="AH3385">
        <v>0.5</v>
      </c>
      <c r="AI3385">
        <v>11.5</v>
      </c>
      <c r="AJ3385">
        <v>12</v>
      </c>
      <c r="AM3385">
        <v>0</v>
      </c>
      <c r="AN3385">
        <v>116.29000000000002</v>
      </c>
      <c r="AP3385">
        <v>9</v>
      </c>
    </row>
    <row r="3386" spans="1:42" x14ac:dyDescent="0.25">
      <c r="A3386" t="s">
        <v>46</v>
      </c>
      <c r="B3386">
        <v>1</v>
      </c>
      <c r="C3386" t="s">
        <v>2245</v>
      </c>
      <c r="D3386" s="39">
        <v>46080</v>
      </c>
      <c r="E3386" t="s">
        <v>486</v>
      </c>
      <c r="F3386" t="s">
        <v>79</v>
      </c>
      <c r="G3386">
        <v>2.5</v>
      </c>
      <c r="H3386" t="s">
        <v>92</v>
      </c>
      <c r="I3386" t="s">
        <v>79</v>
      </c>
      <c r="J3386">
        <v>1000</v>
      </c>
      <c r="K3386" t="s">
        <v>79</v>
      </c>
      <c r="L3386">
        <v>8</v>
      </c>
      <c r="M3386">
        <v>128.19999999999999</v>
      </c>
      <c r="N3386">
        <v>2</v>
      </c>
      <c r="Q3386">
        <v>126.19999999999999</v>
      </c>
      <c r="R3386" t="s">
        <v>2246</v>
      </c>
      <c r="V3386">
        <v>0</v>
      </c>
      <c r="W3386">
        <v>0</v>
      </c>
      <c r="AF3386">
        <v>0</v>
      </c>
      <c r="AG3386">
        <v>0</v>
      </c>
      <c r="AH3386">
        <v>0</v>
      </c>
      <c r="AI3386">
        <v>12</v>
      </c>
      <c r="AJ3386">
        <v>12</v>
      </c>
      <c r="AM3386">
        <v>0</v>
      </c>
      <c r="AN3386">
        <v>133.19999999999999</v>
      </c>
      <c r="AP3386">
        <v>9</v>
      </c>
    </row>
    <row r="3387" spans="1:42" x14ac:dyDescent="0.25">
      <c r="A3387" t="s">
        <v>45</v>
      </c>
      <c r="B3387">
        <v>2</v>
      </c>
      <c r="C3387" t="s">
        <v>2247</v>
      </c>
      <c r="D3387" s="39">
        <v>46080</v>
      </c>
      <c r="E3387" t="s">
        <v>486</v>
      </c>
      <c r="F3387" t="s">
        <v>79</v>
      </c>
      <c r="G3387">
        <v>4</v>
      </c>
      <c r="H3387" t="s">
        <v>113</v>
      </c>
      <c r="I3387" t="s">
        <v>79</v>
      </c>
      <c r="J3387">
        <v>1000</v>
      </c>
      <c r="K3387" t="s">
        <v>79</v>
      </c>
      <c r="L3387">
        <v>11</v>
      </c>
      <c r="M3387">
        <v>193.6</v>
      </c>
      <c r="N3387">
        <v>4.4000000000000004</v>
      </c>
      <c r="Q3387">
        <v>189.2</v>
      </c>
      <c r="R3387" t="s">
        <v>2248</v>
      </c>
      <c r="V3387">
        <v>0</v>
      </c>
      <c r="W3387">
        <v>0</v>
      </c>
      <c r="AF3387">
        <v>0</v>
      </c>
      <c r="AG3387">
        <v>0</v>
      </c>
      <c r="AH3387">
        <v>0</v>
      </c>
      <c r="AI3387">
        <v>12</v>
      </c>
      <c r="AJ3387">
        <v>12</v>
      </c>
      <c r="AM3387">
        <v>0</v>
      </c>
      <c r="AN3387">
        <v>198.6</v>
      </c>
      <c r="AP3387">
        <v>9</v>
      </c>
    </row>
    <row r="3388" spans="1:42" x14ac:dyDescent="0.25">
      <c r="A3388" t="s">
        <v>46</v>
      </c>
      <c r="B3388">
        <v>2</v>
      </c>
      <c r="C3388" t="s">
        <v>2247</v>
      </c>
      <c r="D3388" s="39">
        <v>46080</v>
      </c>
      <c r="E3388" t="s">
        <v>486</v>
      </c>
      <c r="F3388" t="s">
        <v>79</v>
      </c>
      <c r="G3388">
        <v>4</v>
      </c>
      <c r="H3388" t="s">
        <v>113</v>
      </c>
      <c r="I3388" t="s">
        <v>79</v>
      </c>
      <c r="J3388">
        <v>1000</v>
      </c>
      <c r="K3388" t="s">
        <v>79</v>
      </c>
      <c r="L3388">
        <v>9</v>
      </c>
      <c r="M3388">
        <v>162.04</v>
      </c>
      <c r="N3388">
        <v>3.6</v>
      </c>
      <c r="Q3388">
        <v>158.44</v>
      </c>
      <c r="R3388" t="s">
        <v>2248</v>
      </c>
      <c r="V3388">
        <v>0</v>
      </c>
      <c r="W3388">
        <v>0</v>
      </c>
      <c r="AF3388">
        <v>0</v>
      </c>
      <c r="AG3388">
        <v>0</v>
      </c>
      <c r="AH3388">
        <v>0</v>
      </c>
      <c r="AI3388">
        <v>12</v>
      </c>
      <c r="AJ3388">
        <v>12</v>
      </c>
      <c r="AM3388">
        <v>0</v>
      </c>
      <c r="AN3388">
        <v>167.04</v>
      </c>
      <c r="AP3388">
        <v>9</v>
      </c>
    </row>
    <row r="3389" spans="1:42" x14ac:dyDescent="0.25">
      <c r="A3389" t="s">
        <v>45</v>
      </c>
      <c r="B3389">
        <v>4</v>
      </c>
      <c r="C3389" t="s">
        <v>2283</v>
      </c>
      <c r="D3389" s="39">
        <v>46080</v>
      </c>
      <c r="E3389" t="s">
        <v>276</v>
      </c>
      <c r="F3389" t="s">
        <v>79</v>
      </c>
      <c r="G3389">
        <v>18</v>
      </c>
      <c r="H3389" t="s">
        <v>113</v>
      </c>
      <c r="I3389" t="s">
        <v>79</v>
      </c>
      <c r="J3389" t="s">
        <v>81</v>
      </c>
      <c r="K3389" t="s">
        <v>79</v>
      </c>
      <c r="L3389">
        <v>9</v>
      </c>
      <c r="M3389">
        <v>480.98999999999995</v>
      </c>
      <c r="N3389">
        <v>19.8</v>
      </c>
      <c r="Q3389">
        <v>461.18999999999994</v>
      </c>
      <c r="R3389" t="s">
        <v>2284</v>
      </c>
      <c r="V3389">
        <v>0</v>
      </c>
      <c r="W3389">
        <v>0</v>
      </c>
      <c r="AF3389">
        <v>0</v>
      </c>
      <c r="AG3389">
        <v>0</v>
      </c>
      <c r="AH3389">
        <v>0</v>
      </c>
      <c r="AI3389">
        <v>12</v>
      </c>
      <c r="AJ3389">
        <v>12</v>
      </c>
      <c r="AM3389">
        <v>0</v>
      </c>
      <c r="AN3389">
        <v>485.9899999999999</v>
      </c>
      <c r="AP3389">
        <v>9</v>
      </c>
    </row>
    <row r="3390" spans="1:42" x14ac:dyDescent="0.25">
      <c r="A3390" t="s">
        <v>45</v>
      </c>
      <c r="B3390">
        <v>4</v>
      </c>
      <c r="C3390" t="s">
        <v>2288</v>
      </c>
      <c r="D3390" s="39">
        <v>46080</v>
      </c>
      <c r="E3390" t="s">
        <v>486</v>
      </c>
      <c r="F3390" t="s">
        <v>79</v>
      </c>
      <c r="G3390">
        <v>18</v>
      </c>
      <c r="H3390">
        <v>5</v>
      </c>
      <c r="I3390" t="s">
        <v>79</v>
      </c>
      <c r="J3390">
        <v>1000</v>
      </c>
      <c r="K3390" t="s">
        <v>79</v>
      </c>
      <c r="L3390">
        <v>4</v>
      </c>
      <c r="M3390">
        <v>219.72000000000003</v>
      </c>
      <c r="N3390">
        <v>7.2</v>
      </c>
      <c r="O3390">
        <v>25</v>
      </c>
      <c r="Q3390">
        <v>212.52000000000004</v>
      </c>
      <c r="R3390" t="s">
        <v>2289</v>
      </c>
      <c r="V3390">
        <v>0</v>
      </c>
      <c r="W3390">
        <v>0</v>
      </c>
      <c r="AF3390">
        <v>0</v>
      </c>
      <c r="AG3390">
        <v>0</v>
      </c>
      <c r="AH3390">
        <v>0</v>
      </c>
      <c r="AI3390">
        <v>12</v>
      </c>
      <c r="AJ3390">
        <v>12</v>
      </c>
      <c r="AM3390">
        <v>0</v>
      </c>
      <c r="AN3390">
        <v>224.72000000000003</v>
      </c>
      <c r="AP3390">
        <v>9</v>
      </c>
    </row>
    <row r="3391" spans="1:42" x14ac:dyDescent="0.25">
      <c r="A3391" t="s">
        <v>46</v>
      </c>
      <c r="B3391">
        <v>4</v>
      </c>
      <c r="C3391" t="s">
        <v>2288</v>
      </c>
      <c r="D3391" s="39">
        <v>46080</v>
      </c>
      <c r="E3391" t="s">
        <v>486</v>
      </c>
      <c r="F3391" t="s">
        <v>79</v>
      </c>
      <c r="G3391">
        <v>18</v>
      </c>
      <c r="H3391">
        <v>5</v>
      </c>
      <c r="I3391" t="s">
        <v>79</v>
      </c>
      <c r="J3391">
        <v>1000</v>
      </c>
      <c r="K3391" t="s">
        <v>79</v>
      </c>
      <c r="L3391">
        <v>11</v>
      </c>
      <c r="M3391">
        <v>738.89</v>
      </c>
      <c r="N3391">
        <v>19.8</v>
      </c>
      <c r="O3391">
        <v>20</v>
      </c>
      <c r="Q3391">
        <v>719.09</v>
      </c>
      <c r="R3391" t="s">
        <v>2289</v>
      </c>
      <c r="V3391">
        <v>0</v>
      </c>
      <c r="W3391">
        <v>0</v>
      </c>
      <c r="AF3391">
        <v>0</v>
      </c>
      <c r="AG3391">
        <v>0</v>
      </c>
      <c r="AH3391">
        <v>0</v>
      </c>
      <c r="AI3391">
        <v>12</v>
      </c>
      <c r="AJ3391">
        <v>12</v>
      </c>
      <c r="AM3391">
        <v>0</v>
      </c>
      <c r="AN3391">
        <v>743.89</v>
      </c>
      <c r="AP3391">
        <v>9</v>
      </c>
    </row>
    <row r="3392" spans="1:42" x14ac:dyDescent="0.25">
      <c r="A3392" t="s">
        <v>45</v>
      </c>
      <c r="B3392">
        <v>5</v>
      </c>
      <c r="C3392" t="s">
        <v>2267</v>
      </c>
      <c r="D3392" s="39">
        <v>46080</v>
      </c>
      <c r="E3392" t="s">
        <v>486</v>
      </c>
      <c r="F3392" t="s">
        <v>79</v>
      </c>
      <c r="G3392">
        <v>8</v>
      </c>
      <c r="H3392">
        <v>5</v>
      </c>
      <c r="I3392" t="s">
        <v>79</v>
      </c>
      <c r="J3392">
        <v>1500</v>
      </c>
      <c r="K3392" t="s">
        <v>79</v>
      </c>
      <c r="L3392">
        <v>4</v>
      </c>
      <c r="M3392">
        <v>145.86000000000001</v>
      </c>
      <c r="N3392">
        <v>4</v>
      </c>
      <c r="Q3392">
        <v>141.86000000000001</v>
      </c>
      <c r="R3392" t="s">
        <v>2268</v>
      </c>
      <c r="V3392">
        <v>0</v>
      </c>
      <c r="W3392">
        <v>0</v>
      </c>
      <c r="AF3392">
        <v>0</v>
      </c>
      <c r="AG3392">
        <v>0</v>
      </c>
      <c r="AH3392">
        <v>0</v>
      </c>
      <c r="AI3392">
        <v>12</v>
      </c>
      <c r="AJ3392">
        <v>12</v>
      </c>
      <c r="AM3392">
        <v>0</v>
      </c>
      <c r="AN3392">
        <v>150.86000000000001</v>
      </c>
      <c r="AP3392">
        <v>9</v>
      </c>
    </row>
    <row r="3393" spans="1:42" x14ac:dyDescent="0.25">
      <c r="A3393" t="s">
        <v>45</v>
      </c>
      <c r="B3393">
        <v>5</v>
      </c>
      <c r="C3393" t="s">
        <v>2290</v>
      </c>
      <c r="D3393" s="39">
        <v>46080</v>
      </c>
      <c r="E3393" t="s">
        <v>1466</v>
      </c>
      <c r="F3393" t="s">
        <v>79</v>
      </c>
      <c r="G3393">
        <v>14</v>
      </c>
      <c r="H3393" t="s">
        <v>578</v>
      </c>
      <c r="I3393" t="s">
        <v>79</v>
      </c>
      <c r="J3393">
        <v>100</v>
      </c>
      <c r="K3393" t="s">
        <v>79</v>
      </c>
      <c r="L3393">
        <v>2</v>
      </c>
      <c r="M3393">
        <v>110.65</v>
      </c>
      <c r="N3393">
        <v>3.2</v>
      </c>
      <c r="Q3393">
        <v>107.45</v>
      </c>
      <c r="R3393" t="s">
        <v>2291</v>
      </c>
      <c r="V3393">
        <v>0</v>
      </c>
      <c r="W3393">
        <v>0</v>
      </c>
      <c r="AF3393">
        <v>0</v>
      </c>
      <c r="AG3393">
        <v>0</v>
      </c>
      <c r="AH3393">
        <v>0</v>
      </c>
      <c r="AI3393">
        <v>12</v>
      </c>
      <c r="AJ3393">
        <v>12</v>
      </c>
      <c r="AM3393">
        <v>0</v>
      </c>
      <c r="AN3393">
        <v>115.65</v>
      </c>
      <c r="AP3393">
        <v>9</v>
      </c>
    </row>
    <row r="3394" spans="1:42" x14ac:dyDescent="0.25">
      <c r="A3394" t="s">
        <v>45</v>
      </c>
      <c r="B3394">
        <v>5</v>
      </c>
      <c r="C3394" t="s">
        <v>2292</v>
      </c>
      <c r="D3394" s="39">
        <v>46080</v>
      </c>
      <c r="E3394" t="s">
        <v>647</v>
      </c>
      <c r="F3394" t="s">
        <v>79</v>
      </c>
      <c r="G3394">
        <v>13</v>
      </c>
      <c r="H3394" t="s">
        <v>534</v>
      </c>
      <c r="I3394" t="s">
        <v>79</v>
      </c>
      <c r="J3394">
        <v>300</v>
      </c>
      <c r="K3394" t="s">
        <v>79</v>
      </c>
      <c r="L3394">
        <v>1</v>
      </c>
      <c r="M3394">
        <v>41.97</v>
      </c>
      <c r="N3394">
        <v>1.5</v>
      </c>
      <c r="Q3394">
        <v>40.47</v>
      </c>
      <c r="R3394" t="s">
        <v>2293</v>
      </c>
      <c r="S3394">
        <v>20</v>
      </c>
      <c r="V3394">
        <v>20</v>
      </c>
      <c r="W3394">
        <v>0.33333333333333331</v>
      </c>
      <c r="AF3394">
        <v>0</v>
      </c>
      <c r="AG3394">
        <v>0</v>
      </c>
      <c r="AH3394">
        <v>0.33333333333333331</v>
      </c>
      <c r="AI3394">
        <v>11.666666666666666</v>
      </c>
      <c r="AJ3394">
        <v>12</v>
      </c>
      <c r="AM3394">
        <v>0</v>
      </c>
      <c r="AN3394">
        <v>46.97</v>
      </c>
      <c r="AP3394">
        <v>9</v>
      </c>
    </row>
    <row r="3395" spans="1:42" x14ac:dyDescent="0.25">
      <c r="A3395" t="s">
        <v>45</v>
      </c>
      <c r="B3395">
        <v>5</v>
      </c>
      <c r="C3395" t="s">
        <v>2294</v>
      </c>
      <c r="D3395" s="39">
        <v>46080</v>
      </c>
      <c r="E3395" t="s">
        <v>1761</v>
      </c>
      <c r="F3395" t="s">
        <v>79</v>
      </c>
      <c r="G3395">
        <v>13</v>
      </c>
      <c r="H3395" t="s">
        <v>135</v>
      </c>
      <c r="I3395" t="s">
        <v>79</v>
      </c>
      <c r="J3395">
        <v>100</v>
      </c>
      <c r="K3395" t="s">
        <v>79</v>
      </c>
      <c r="L3395">
        <v>2</v>
      </c>
      <c r="M3395">
        <v>100.52000000000001</v>
      </c>
      <c r="N3395">
        <v>3</v>
      </c>
      <c r="O3395">
        <v>6</v>
      </c>
      <c r="Q3395">
        <v>97.52000000000001</v>
      </c>
      <c r="R3395" t="s">
        <v>2295</v>
      </c>
      <c r="S3395">
        <v>25</v>
      </c>
      <c r="V3395">
        <v>25</v>
      </c>
      <c r="W3395">
        <v>0.41666666666666674</v>
      </c>
      <c r="AF3395">
        <v>0</v>
      </c>
      <c r="AG3395">
        <v>0</v>
      </c>
      <c r="AH3395">
        <v>0.41666666666666674</v>
      </c>
      <c r="AI3395">
        <v>11.583333333333334</v>
      </c>
      <c r="AJ3395">
        <v>12</v>
      </c>
      <c r="AM3395">
        <v>0</v>
      </c>
      <c r="AN3395">
        <v>105.52</v>
      </c>
      <c r="AP3395">
        <v>9</v>
      </c>
    </row>
    <row r="3396" spans="1:42" x14ac:dyDescent="0.25">
      <c r="A3396" t="s">
        <v>46</v>
      </c>
      <c r="B3396">
        <v>5</v>
      </c>
      <c r="C3396" t="s">
        <v>2292</v>
      </c>
      <c r="D3396" s="39">
        <v>46080</v>
      </c>
      <c r="E3396" t="s">
        <v>647</v>
      </c>
      <c r="F3396" t="s">
        <v>79</v>
      </c>
      <c r="G3396">
        <v>13</v>
      </c>
      <c r="H3396" t="s">
        <v>534</v>
      </c>
      <c r="I3396" t="s">
        <v>79</v>
      </c>
      <c r="J3396">
        <v>300</v>
      </c>
      <c r="K3396" t="s">
        <v>79</v>
      </c>
      <c r="L3396">
        <v>8</v>
      </c>
      <c r="M3396">
        <v>443.14</v>
      </c>
      <c r="N3396">
        <v>10.4</v>
      </c>
      <c r="O3396">
        <v>6</v>
      </c>
      <c r="Q3396">
        <v>432.74</v>
      </c>
      <c r="R3396" t="s">
        <v>2293</v>
      </c>
      <c r="V3396">
        <v>0</v>
      </c>
      <c r="W3396">
        <v>0</v>
      </c>
      <c r="AF3396">
        <v>0</v>
      </c>
      <c r="AG3396">
        <v>0</v>
      </c>
      <c r="AH3396">
        <v>0</v>
      </c>
      <c r="AI3396">
        <v>12</v>
      </c>
      <c r="AJ3396">
        <v>12</v>
      </c>
      <c r="AM3396">
        <v>0</v>
      </c>
      <c r="AN3396">
        <v>448.14</v>
      </c>
      <c r="AP3396">
        <v>9</v>
      </c>
    </row>
    <row r="3397" spans="1:42" x14ac:dyDescent="0.25">
      <c r="A3397" t="s">
        <v>45</v>
      </c>
      <c r="B3397">
        <v>1</v>
      </c>
      <c r="C3397" t="s">
        <v>2245</v>
      </c>
      <c r="D3397" s="39">
        <v>46081</v>
      </c>
      <c r="E3397" t="s">
        <v>486</v>
      </c>
      <c r="F3397" t="s">
        <v>79</v>
      </c>
      <c r="G3397">
        <v>2.5</v>
      </c>
      <c r="H3397" t="s">
        <v>92</v>
      </c>
      <c r="I3397" t="s">
        <v>79</v>
      </c>
      <c r="J3397">
        <v>1000</v>
      </c>
      <c r="K3397" t="s">
        <v>79</v>
      </c>
      <c r="L3397">
        <v>8</v>
      </c>
      <c r="M3397">
        <v>114.41</v>
      </c>
      <c r="N3397">
        <v>2</v>
      </c>
      <c r="Q3397">
        <v>112.41</v>
      </c>
      <c r="R3397" t="s">
        <v>2246</v>
      </c>
      <c r="V3397">
        <v>0</v>
      </c>
      <c r="W3397">
        <v>0</v>
      </c>
      <c r="AF3397">
        <v>0</v>
      </c>
      <c r="AG3397">
        <v>0</v>
      </c>
      <c r="AH3397">
        <v>0</v>
      </c>
      <c r="AI3397">
        <v>12</v>
      </c>
      <c r="AJ3397">
        <v>12</v>
      </c>
      <c r="AM3397">
        <v>0</v>
      </c>
      <c r="AN3397">
        <v>119.41</v>
      </c>
      <c r="AP3397">
        <v>9</v>
      </c>
    </row>
    <row r="3398" spans="1:42" x14ac:dyDescent="0.25">
      <c r="A3398" t="s">
        <v>46</v>
      </c>
      <c r="B3398">
        <v>1</v>
      </c>
      <c r="C3398" t="s">
        <v>2245</v>
      </c>
      <c r="D3398" s="39">
        <v>46081</v>
      </c>
      <c r="E3398" t="s">
        <v>486</v>
      </c>
      <c r="F3398" t="s">
        <v>79</v>
      </c>
      <c r="G3398">
        <v>2.5</v>
      </c>
      <c r="H3398" t="s">
        <v>92</v>
      </c>
      <c r="I3398" t="s">
        <v>79</v>
      </c>
      <c r="J3398">
        <v>1000</v>
      </c>
      <c r="K3398" t="s">
        <v>79</v>
      </c>
      <c r="L3398">
        <v>9</v>
      </c>
      <c r="M3398">
        <v>151.32999999999998</v>
      </c>
      <c r="N3398">
        <v>2.25</v>
      </c>
      <c r="Q3398">
        <v>149.07999999999998</v>
      </c>
      <c r="R3398" t="s">
        <v>2246</v>
      </c>
      <c r="V3398">
        <v>0</v>
      </c>
      <c r="W3398">
        <v>0</v>
      </c>
      <c r="AF3398">
        <v>0</v>
      </c>
      <c r="AG3398">
        <v>0</v>
      </c>
      <c r="AH3398">
        <v>0</v>
      </c>
      <c r="AI3398">
        <v>12</v>
      </c>
      <c r="AJ3398">
        <v>12</v>
      </c>
      <c r="AM3398">
        <v>0</v>
      </c>
      <c r="AN3398">
        <v>156.32999999999998</v>
      </c>
      <c r="AP3398">
        <v>9</v>
      </c>
    </row>
    <row r="3399" spans="1:42" x14ac:dyDescent="0.25">
      <c r="A3399" t="s">
        <v>45</v>
      </c>
      <c r="B3399">
        <v>2</v>
      </c>
      <c r="C3399" t="s">
        <v>2247</v>
      </c>
      <c r="D3399" s="39">
        <v>46081</v>
      </c>
      <c r="E3399" t="s">
        <v>486</v>
      </c>
      <c r="F3399" t="s">
        <v>79</v>
      </c>
      <c r="G3399">
        <v>4</v>
      </c>
      <c r="H3399" t="s">
        <v>113</v>
      </c>
      <c r="I3399" t="s">
        <v>79</v>
      </c>
      <c r="J3399">
        <v>1000</v>
      </c>
      <c r="K3399" t="s">
        <v>79</v>
      </c>
      <c r="L3399">
        <v>7</v>
      </c>
      <c r="M3399">
        <v>125.44</v>
      </c>
      <c r="N3399">
        <v>2.8000000000000003</v>
      </c>
      <c r="Q3399">
        <v>122.64</v>
      </c>
      <c r="R3399" t="s">
        <v>2248</v>
      </c>
      <c r="V3399">
        <v>0</v>
      </c>
      <c r="W3399">
        <v>0</v>
      </c>
      <c r="Z3399">
        <v>150</v>
      </c>
      <c r="AF3399">
        <v>150</v>
      </c>
      <c r="AG3399">
        <v>2.5</v>
      </c>
      <c r="AH3399">
        <v>2.5</v>
      </c>
      <c r="AI3399">
        <v>9.5</v>
      </c>
      <c r="AJ3399">
        <v>12</v>
      </c>
      <c r="AM3399">
        <v>0</v>
      </c>
      <c r="AN3399">
        <v>130.44</v>
      </c>
      <c r="AP3399">
        <v>9</v>
      </c>
    </row>
    <row r="3400" spans="1:42" x14ac:dyDescent="0.25">
      <c r="A3400" t="s">
        <v>46</v>
      </c>
      <c r="B3400">
        <v>2</v>
      </c>
      <c r="C3400" t="s">
        <v>2247</v>
      </c>
      <c r="D3400" s="39">
        <v>46081</v>
      </c>
      <c r="E3400" t="s">
        <v>486</v>
      </c>
      <c r="F3400" t="s">
        <v>79</v>
      </c>
      <c r="G3400">
        <v>4</v>
      </c>
      <c r="H3400" t="s">
        <v>113</v>
      </c>
      <c r="I3400" t="s">
        <v>79</v>
      </c>
      <c r="J3400">
        <v>1000</v>
      </c>
      <c r="K3400" t="s">
        <v>79</v>
      </c>
      <c r="L3400">
        <v>8</v>
      </c>
      <c r="M3400">
        <v>138.68</v>
      </c>
      <c r="N3400">
        <v>3.2</v>
      </c>
      <c r="Q3400">
        <v>135.48000000000002</v>
      </c>
      <c r="R3400" t="s">
        <v>2248</v>
      </c>
      <c r="V3400">
        <v>0</v>
      </c>
      <c r="W3400">
        <v>0</v>
      </c>
      <c r="AF3400">
        <v>0</v>
      </c>
      <c r="AG3400">
        <v>0</v>
      </c>
      <c r="AH3400">
        <v>0</v>
      </c>
      <c r="AI3400">
        <v>12</v>
      </c>
      <c r="AJ3400">
        <v>12</v>
      </c>
      <c r="AM3400">
        <v>0</v>
      </c>
      <c r="AN3400">
        <v>143.68</v>
      </c>
      <c r="AP3400">
        <v>9</v>
      </c>
    </row>
    <row r="3401" spans="1:42" x14ac:dyDescent="0.25">
      <c r="A3401" t="s">
        <v>45</v>
      </c>
      <c r="B3401">
        <v>4</v>
      </c>
      <c r="C3401" t="s">
        <v>2288</v>
      </c>
      <c r="D3401" s="39">
        <v>46081</v>
      </c>
      <c r="E3401" t="s">
        <v>486</v>
      </c>
      <c r="F3401" t="s">
        <v>79</v>
      </c>
      <c r="G3401">
        <v>18</v>
      </c>
      <c r="H3401">
        <v>5</v>
      </c>
      <c r="I3401" t="s">
        <v>79</v>
      </c>
      <c r="J3401">
        <v>1000</v>
      </c>
      <c r="K3401" t="s">
        <v>79</v>
      </c>
      <c r="L3401">
        <v>11</v>
      </c>
      <c r="M3401">
        <v>681.53000000000009</v>
      </c>
      <c r="N3401">
        <v>24.200000000000003</v>
      </c>
      <c r="Q3401">
        <v>657.33</v>
      </c>
      <c r="R3401" t="s">
        <v>2289</v>
      </c>
      <c r="V3401">
        <v>0</v>
      </c>
      <c r="W3401">
        <v>0</v>
      </c>
      <c r="AF3401">
        <v>0</v>
      </c>
      <c r="AG3401">
        <v>0</v>
      </c>
      <c r="AH3401">
        <v>0</v>
      </c>
      <c r="AI3401">
        <v>12</v>
      </c>
      <c r="AJ3401">
        <v>12</v>
      </c>
      <c r="AM3401">
        <v>0</v>
      </c>
      <c r="AN3401">
        <v>686.53000000000009</v>
      </c>
      <c r="AP3401">
        <v>9</v>
      </c>
    </row>
    <row r="3402" spans="1:42" x14ac:dyDescent="0.25">
      <c r="A3402" t="s">
        <v>45</v>
      </c>
      <c r="B3402">
        <v>4</v>
      </c>
      <c r="C3402" t="s">
        <v>2296</v>
      </c>
      <c r="D3402" s="39">
        <v>46081</v>
      </c>
      <c r="E3402" t="s">
        <v>200</v>
      </c>
      <c r="F3402" t="s">
        <v>79</v>
      </c>
      <c r="G3402">
        <v>18</v>
      </c>
      <c r="H3402" t="s">
        <v>944</v>
      </c>
      <c r="I3402" t="s">
        <v>79</v>
      </c>
      <c r="J3402">
        <v>100</v>
      </c>
      <c r="K3402" t="s">
        <v>79</v>
      </c>
      <c r="L3402">
        <v>1</v>
      </c>
      <c r="M3402">
        <v>69.209999999999994</v>
      </c>
      <c r="N3402">
        <v>2.2000000000000002</v>
      </c>
      <c r="Q3402">
        <v>67.009999999999991</v>
      </c>
      <c r="R3402" t="s">
        <v>2297</v>
      </c>
      <c r="V3402">
        <v>0</v>
      </c>
      <c r="W3402">
        <v>0</v>
      </c>
      <c r="AF3402">
        <v>0</v>
      </c>
      <c r="AG3402">
        <v>0</v>
      </c>
      <c r="AH3402">
        <v>0</v>
      </c>
      <c r="AI3402">
        <v>12</v>
      </c>
      <c r="AJ3402">
        <v>12</v>
      </c>
      <c r="AM3402">
        <v>0</v>
      </c>
      <c r="AN3402">
        <v>74.209999999999994</v>
      </c>
      <c r="AP3402">
        <v>9</v>
      </c>
    </row>
    <row r="3403" spans="1:42" x14ac:dyDescent="0.25">
      <c r="A3403" t="s">
        <v>46</v>
      </c>
      <c r="B3403">
        <v>4</v>
      </c>
      <c r="C3403" t="s">
        <v>2296</v>
      </c>
      <c r="D3403" s="39">
        <v>46081</v>
      </c>
      <c r="E3403" t="s">
        <v>200</v>
      </c>
      <c r="F3403" t="s">
        <v>79</v>
      </c>
      <c r="G3403">
        <v>18</v>
      </c>
      <c r="H3403" t="s">
        <v>944</v>
      </c>
      <c r="I3403" t="s">
        <v>79</v>
      </c>
      <c r="J3403">
        <v>100</v>
      </c>
      <c r="K3403" t="s">
        <v>79</v>
      </c>
      <c r="L3403">
        <v>1</v>
      </c>
      <c r="M3403">
        <v>60.3</v>
      </c>
      <c r="N3403">
        <v>1.8</v>
      </c>
      <c r="Q3403">
        <v>58.5</v>
      </c>
      <c r="R3403" t="s">
        <v>2297</v>
      </c>
      <c r="V3403">
        <v>0</v>
      </c>
      <c r="W3403">
        <v>0</v>
      </c>
      <c r="AF3403">
        <v>0</v>
      </c>
      <c r="AG3403">
        <v>0</v>
      </c>
      <c r="AH3403">
        <v>0</v>
      </c>
      <c r="AI3403">
        <v>12</v>
      </c>
      <c r="AJ3403">
        <v>12</v>
      </c>
      <c r="AM3403">
        <v>0</v>
      </c>
      <c r="AN3403">
        <v>65.3</v>
      </c>
      <c r="AP3403">
        <v>9</v>
      </c>
    </row>
    <row r="3404" spans="1:42" x14ac:dyDescent="0.25">
      <c r="A3404" t="s">
        <v>46</v>
      </c>
      <c r="B3404">
        <v>4</v>
      </c>
      <c r="C3404" t="s">
        <v>2298</v>
      </c>
      <c r="D3404" s="39">
        <v>46081</v>
      </c>
      <c r="E3404" t="s">
        <v>200</v>
      </c>
      <c r="F3404" t="s">
        <v>79</v>
      </c>
      <c r="G3404">
        <v>18</v>
      </c>
      <c r="H3404" t="s">
        <v>578</v>
      </c>
      <c r="I3404" t="s">
        <v>79</v>
      </c>
      <c r="J3404">
        <v>200</v>
      </c>
      <c r="K3404" t="s">
        <v>79</v>
      </c>
      <c r="L3404">
        <v>6</v>
      </c>
      <c r="M3404">
        <v>217.73999999999998</v>
      </c>
      <c r="N3404">
        <v>10.8</v>
      </c>
      <c r="Q3404">
        <v>206.93999999999997</v>
      </c>
      <c r="R3404" t="s">
        <v>2299</v>
      </c>
      <c r="V3404">
        <v>0</v>
      </c>
      <c r="W3404">
        <v>0</v>
      </c>
      <c r="AF3404">
        <v>0</v>
      </c>
      <c r="AG3404">
        <v>0</v>
      </c>
      <c r="AH3404">
        <v>0</v>
      </c>
      <c r="AI3404">
        <v>12</v>
      </c>
      <c r="AJ3404">
        <v>12</v>
      </c>
      <c r="AM3404">
        <v>0</v>
      </c>
      <c r="AN3404">
        <v>222.74</v>
      </c>
      <c r="AP3404">
        <v>9</v>
      </c>
    </row>
    <row r="3405" spans="1:42" x14ac:dyDescent="0.25">
      <c r="A3405" t="s">
        <v>46</v>
      </c>
      <c r="B3405">
        <v>4</v>
      </c>
      <c r="C3405" t="s">
        <v>2300</v>
      </c>
      <c r="D3405" s="39">
        <v>46081</v>
      </c>
      <c r="E3405" t="s">
        <v>253</v>
      </c>
      <c r="F3405" t="s">
        <v>79</v>
      </c>
      <c r="G3405">
        <v>14</v>
      </c>
      <c r="H3405" t="s">
        <v>116</v>
      </c>
      <c r="I3405" t="s">
        <v>79</v>
      </c>
      <c r="J3405">
        <v>1100</v>
      </c>
      <c r="K3405" t="s">
        <v>79</v>
      </c>
      <c r="L3405">
        <v>4</v>
      </c>
      <c r="M3405">
        <v>256.86</v>
      </c>
      <c r="N3405">
        <v>5.6</v>
      </c>
      <c r="Q3405">
        <v>251.26000000000002</v>
      </c>
      <c r="R3405" t="s">
        <v>2301</v>
      </c>
      <c r="V3405">
        <v>0</v>
      </c>
      <c r="W3405">
        <v>0</v>
      </c>
      <c r="AF3405">
        <v>0</v>
      </c>
      <c r="AG3405">
        <v>0</v>
      </c>
      <c r="AH3405">
        <v>0</v>
      </c>
      <c r="AI3405">
        <v>12</v>
      </c>
      <c r="AJ3405">
        <v>12</v>
      </c>
      <c r="AM3405">
        <v>0</v>
      </c>
      <c r="AN3405">
        <v>261.86</v>
      </c>
      <c r="AP3405">
        <v>9</v>
      </c>
    </row>
    <row r="3406" spans="1:42" x14ac:dyDescent="0.25">
      <c r="A3406" t="s">
        <v>46</v>
      </c>
      <c r="B3406">
        <v>4</v>
      </c>
      <c r="C3406" t="s">
        <v>2302</v>
      </c>
      <c r="D3406" s="39">
        <v>46081</v>
      </c>
      <c r="E3406" t="s">
        <v>243</v>
      </c>
      <c r="F3406" t="s">
        <v>79</v>
      </c>
      <c r="G3406">
        <v>14</v>
      </c>
      <c r="H3406" t="s">
        <v>2279</v>
      </c>
      <c r="I3406" t="s">
        <v>79</v>
      </c>
      <c r="J3406">
        <v>100</v>
      </c>
      <c r="K3406" t="s">
        <v>79</v>
      </c>
      <c r="L3406">
        <v>2</v>
      </c>
      <c r="M3406">
        <v>107.44</v>
      </c>
      <c r="N3406">
        <v>2.8</v>
      </c>
      <c r="Q3406">
        <v>104.64</v>
      </c>
      <c r="R3406" t="s">
        <v>2303</v>
      </c>
      <c r="S3406">
        <v>30</v>
      </c>
      <c r="V3406">
        <v>30</v>
      </c>
      <c r="W3406">
        <v>0.5</v>
      </c>
      <c r="AF3406">
        <v>0</v>
      </c>
      <c r="AG3406">
        <v>0</v>
      </c>
      <c r="AH3406">
        <v>0.5</v>
      </c>
      <c r="AI3406">
        <v>11.5</v>
      </c>
      <c r="AJ3406">
        <v>12</v>
      </c>
      <c r="AM3406">
        <v>0</v>
      </c>
      <c r="AN3406">
        <v>112.44</v>
      </c>
      <c r="AP3406">
        <v>9</v>
      </c>
    </row>
    <row r="3407" spans="1:42" x14ac:dyDescent="0.25">
      <c r="A3407" t="s">
        <v>46</v>
      </c>
      <c r="B3407">
        <v>4</v>
      </c>
      <c r="C3407" t="s">
        <v>2288</v>
      </c>
      <c r="D3407" s="39">
        <v>46081</v>
      </c>
      <c r="E3407" t="s">
        <v>486</v>
      </c>
      <c r="F3407" t="s">
        <v>79</v>
      </c>
      <c r="G3407">
        <v>18</v>
      </c>
      <c r="H3407">
        <v>5</v>
      </c>
      <c r="I3407" t="s">
        <v>79</v>
      </c>
      <c r="J3407">
        <v>1000</v>
      </c>
      <c r="K3407" t="s">
        <v>79</v>
      </c>
      <c r="L3407">
        <v>3</v>
      </c>
      <c r="M3407">
        <v>160.93</v>
      </c>
      <c r="N3407">
        <v>5.4</v>
      </c>
      <c r="Q3407">
        <v>155.53</v>
      </c>
      <c r="R3407" t="s">
        <v>2289</v>
      </c>
      <c r="V3407">
        <v>0</v>
      </c>
      <c r="W3407">
        <v>0</v>
      </c>
      <c r="AF3407">
        <v>0</v>
      </c>
      <c r="AG3407">
        <v>0</v>
      </c>
      <c r="AH3407">
        <v>0</v>
      </c>
      <c r="AI3407">
        <v>12</v>
      </c>
      <c r="AJ3407">
        <v>12</v>
      </c>
      <c r="AM3407">
        <v>0</v>
      </c>
      <c r="AN3407">
        <v>165.93</v>
      </c>
      <c r="AP3407">
        <v>9</v>
      </c>
    </row>
    <row r="3408" spans="1:42" x14ac:dyDescent="0.25">
      <c r="A3408" t="s">
        <v>45</v>
      </c>
      <c r="B3408">
        <v>5</v>
      </c>
      <c r="C3408" t="s">
        <v>2292</v>
      </c>
      <c r="D3408" s="39">
        <v>46081</v>
      </c>
      <c r="E3408" t="s">
        <v>647</v>
      </c>
      <c r="F3408" t="s">
        <v>79</v>
      </c>
      <c r="G3408">
        <v>13</v>
      </c>
      <c r="H3408" t="s">
        <v>534</v>
      </c>
      <c r="I3408" t="s">
        <v>79</v>
      </c>
      <c r="J3408">
        <v>300</v>
      </c>
      <c r="K3408" t="s">
        <v>79</v>
      </c>
      <c r="L3408">
        <v>1</v>
      </c>
      <c r="M3408">
        <v>53.2</v>
      </c>
      <c r="N3408">
        <v>1.3</v>
      </c>
      <c r="Q3408">
        <v>51.900000000000006</v>
      </c>
      <c r="R3408" t="s">
        <v>2293</v>
      </c>
      <c r="V3408">
        <v>0</v>
      </c>
      <c r="W3408">
        <v>0</v>
      </c>
      <c r="AF3408">
        <v>0</v>
      </c>
      <c r="AG3408">
        <v>0</v>
      </c>
      <c r="AH3408">
        <v>0</v>
      </c>
      <c r="AI3408">
        <v>12</v>
      </c>
      <c r="AJ3408">
        <v>12</v>
      </c>
      <c r="AM3408">
        <v>0</v>
      </c>
      <c r="AN3408">
        <v>58.2</v>
      </c>
      <c r="AP3408">
        <v>9</v>
      </c>
    </row>
    <row r="3409" spans="1:42" x14ac:dyDescent="0.25">
      <c r="A3409" t="s">
        <v>45</v>
      </c>
      <c r="B3409">
        <v>5</v>
      </c>
      <c r="C3409" t="s">
        <v>2304</v>
      </c>
      <c r="D3409" s="39">
        <v>46081</v>
      </c>
      <c r="E3409" t="s">
        <v>639</v>
      </c>
      <c r="F3409" t="s">
        <v>79</v>
      </c>
      <c r="G3409">
        <v>13</v>
      </c>
      <c r="H3409" t="s">
        <v>102</v>
      </c>
      <c r="I3409" t="s">
        <v>79</v>
      </c>
      <c r="J3409">
        <v>500</v>
      </c>
      <c r="K3409" t="s">
        <v>79</v>
      </c>
      <c r="L3409">
        <v>7</v>
      </c>
      <c r="M3409">
        <v>414.42</v>
      </c>
      <c r="N3409">
        <v>9.1</v>
      </c>
      <c r="Q3409">
        <v>405.32</v>
      </c>
      <c r="R3409" t="s">
        <v>2305</v>
      </c>
      <c r="V3409">
        <v>0</v>
      </c>
      <c r="W3409">
        <v>0</v>
      </c>
      <c r="AF3409">
        <v>0</v>
      </c>
      <c r="AG3409">
        <v>0</v>
      </c>
      <c r="AH3409">
        <v>0</v>
      </c>
      <c r="AI3409">
        <v>12</v>
      </c>
      <c r="AJ3409">
        <v>12</v>
      </c>
      <c r="AM3409">
        <v>0</v>
      </c>
      <c r="AN3409">
        <v>419.42</v>
      </c>
      <c r="AP3409">
        <v>9</v>
      </c>
    </row>
    <row r="3410" spans="1:42" x14ac:dyDescent="0.25">
      <c r="A3410" t="s">
        <v>46</v>
      </c>
      <c r="B3410">
        <v>5</v>
      </c>
      <c r="C3410" t="s">
        <v>2306</v>
      </c>
      <c r="D3410" s="39">
        <v>46081</v>
      </c>
      <c r="E3410" t="s">
        <v>2239</v>
      </c>
      <c r="F3410" t="s">
        <v>79</v>
      </c>
      <c r="G3410">
        <v>12</v>
      </c>
      <c r="H3410" t="s">
        <v>942</v>
      </c>
      <c r="I3410" t="s">
        <v>79</v>
      </c>
      <c r="J3410">
        <v>100</v>
      </c>
      <c r="K3410" t="s">
        <v>79</v>
      </c>
      <c r="L3410">
        <v>6</v>
      </c>
      <c r="M3410">
        <v>325.27999999999997</v>
      </c>
      <c r="N3410">
        <v>7.1999999999999993</v>
      </c>
      <c r="Q3410">
        <v>318.08</v>
      </c>
      <c r="R3410" t="s">
        <v>2307</v>
      </c>
      <c r="V3410">
        <v>0</v>
      </c>
      <c r="W3410">
        <v>0</v>
      </c>
      <c r="AF3410">
        <v>0</v>
      </c>
      <c r="AG3410">
        <v>0</v>
      </c>
      <c r="AH3410">
        <v>0</v>
      </c>
      <c r="AI3410">
        <v>12</v>
      </c>
      <c r="AJ3410">
        <v>12</v>
      </c>
      <c r="AM3410">
        <v>0</v>
      </c>
      <c r="AN3410">
        <v>330.28</v>
      </c>
      <c r="AP3410">
        <v>9</v>
      </c>
    </row>
    <row r="3411" spans="1:42" x14ac:dyDescent="0.25">
      <c r="A3411" t="s">
        <v>46</v>
      </c>
      <c r="B3411">
        <v>5</v>
      </c>
      <c r="C3411" t="s">
        <v>2304</v>
      </c>
      <c r="D3411" s="39">
        <v>46081</v>
      </c>
      <c r="E3411" t="s">
        <v>639</v>
      </c>
      <c r="F3411" t="s">
        <v>79</v>
      </c>
      <c r="G3411">
        <v>13</v>
      </c>
      <c r="H3411" t="s">
        <v>102</v>
      </c>
      <c r="I3411" t="s">
        <v>79</v>
      </c>
      <c r="J3411">
        <v>500</v>
      </c>
      <c r="K3411" t="s">
        <v>79</v>
      </c>
      <c r="L3411">
        <v>2</v>
      </c>
      <c r="M3411">
        <v>101.30000000000001</v>
      </c>
      <c r="N3411">
        <v>2.6</v>
      </c>
      <c r="Q3411">
        <v>98.700000000000017</v>
      </c>
      <c r="R3411" t="s">
        <v>2305</v>
      </c>
      <c r="S3411">
        <v>30</v>
      </c>
      <c r="V3411">
        <v>30</v>
      </c>
      <c r="W3411">
        <v>0.5</v>
      </c>
      <c r="AF3411">
        <v>0</v>
      </c>
      <c r="AG3411">
        <v>0</v>
      </c>
      <c r="AH3411">
        <v>0.5</v>
      </c>
      <c r="AI3411">
        <v>11.5</v>
      </c>
      <c r="AJ3411">
        <v>12</v>
      </c>
      <c r="AM3411">
        <v>0</v>
      </c>
      <c r="AN3411">
        <v>106.3</v>
      </c>
      <c r="AP3411">
        <v>9</v>
      </c>
    </row>
    <row r="3412" spans="1:42" x14ac:dyDescent="0.25">
      <c r="A3412" t="s">
        <v>45</v>
      </c>
      <c r="B3412">
        <v>1</v>
      </c>
      <c r="C3412" t="s">
        <v>2308</v>
      </c>
      <c r="D3412" s="39">
        <v>46082</v>
      </c>
      <c r="E3412" t="s">
        <v>486</v>
      </c>
      <c r="F3412" t="s">
        <v>79</v>
      </c>
      <c r="G3412">
        <v>2.5</v>
      </c>
      <c r="H3412" t="s">
        <v>92</v>
      </c>
      <c r="I3412" t="s">
        <v>79</v>
      </c>
      <c r="J3412" t="s">
        <v>1884</v>
      </c>
      <c r="K3412" t="s">
        <v>79</v>
      </c>
      <c r="L3412">
        <v>6</v>
      </c>
      <c r="M3412">
        <v>124.85000000000001</v>
      </c>
      <c r="N3412">
        <v>1.5</v>
      </c>
      <c r="O3412">
        <v>30</v>
      </c>
      <c r="Q3412">
        <v>123.35000000000001</v>
      </c>
      <c r="R3412" t="s">
        <v>2309</v>
      </c>
      <c r="V3412">
        <v>0</v>
      </c>
      <c r="W3412">
        <v>0</v>
      </c>
      <c r="AF3412">
        <v>0</v>
      </c>
      <c r="AG3412">
        <v>0</v>
      </c>
      <c r="AH3412">
        <v>0</v>
      </c>
      <c r="AI3412">
        <v>12</v>
      </c>
      <c r="AJ3412">
        <v>12</v>
      </c>
      <c r="AM3412">
        <v>0</v>
      </c>
      <c r="AN3412">
        <v>129.85000000000002</v>
      </c>
      <c r="AP3412">
        <v>10</v>
      </c>
    </row>
    <row r="3413" spans="1:42" x14ac:dyDescent="0.25">
      <c r="A3413" t="s">
        <v>46</v>
      </c>
      <c r="B3413">
        <v>1</v>
      </c>
      <c r="C3413" t="s">
        <v>2308</v>
      </c>
      <c r="D3413" s="39">
        <v>46082</v>
      </c>
      <c r="E3413" t="s">
        <v>486</v>
      </c>
      <c r="F3413" t="s">
        <v>79</v>
      </c>
      <c r="G3413">
        <v>2.5</v>
      </c>
      <c r="H3413" t="s">
        <v>92</v>
      </c>
      <c r="I3413" t="s">
        <v>79</v>
      </c>
      <c r="J3413" t="s">
        <v>1884</v>
      </c>
      <c r="K3413" t="s">
        <v>79</v>
      </c>
      <c r="L3413">
        <v>7</v>
      </c>
      <c r="M3413">
        <v>137.18</v>
      </c>
      <c r="N3413">
        <v>1.75</v>
      </c>
      <c r="O3413">
        <v>16</v>
      </c>
      <c r="Q3413">
        <v>135.43</v>
      </c>
      <c r="R3413" t="s">
        <v>2309</v>
      </c>
      <c r="V3413">
        <v>0</v>
      </c>
      <c r="W3413">
        <v>0</v>
      </c>
      <c r="AF3413">
        <v>0</v>
      </c>
      <c r="AG3413">
        <v>0</v>
      </c>
      <c r="AH3413">
        <v>0</v>
      </c>
      <c r="AI3413">
        <v>12</v>
      </c>
      <c r="AJ3413">
        <v>12</v>
      </c>
      <c r="AM3413">
        <v>0</v>
      </c>
      <c r="AN3413">
        <v>142.18</v>
      </c>
      <c r="AP3413">
        <v>10</v>
      </c>
    </row>
    <row r="3414" spans="1:42" x14ac:dyDescent="0.25">
      <c r="A3414" t="s">
        <v>45</v>
      </c>
      <c r="B3414">
        <v>2</v>
      </c>
      <c r="C3414" t="s">
        <v>2247</v>
      </c>
      <c r="D3414" s="39">
        <v>46082</v>
      </c>
      <c r="E3414" t="s">
        <v>486</v>
      </c>
      <c r="F3414" t="s">
        <v>79</v>
      </c>
      <c r="G3414">
        <v>4</v>
      </c>
      <c r="H3414" t="s">
        <v>113</v>
      </c>
      <c r="I3414" t="s">
        <v>79</v>
      </c>
      <c r="J3414">
        <v>1000</v>
      </c>
      <c r="K3414" t="s">
        <v>79</v>
      </c>
      <c r="L3414">
        <v>11</v>
      </c>
      <c r="M3414">
        <v>166.64999999999998</v>
      </c>
      <c r="N3414">
        <v>4.4000000000000004</v>
      </c>
      <c r="Q3414">
        <v>162.24999999999997</v>
      </c>
      <c r="R3414" t="s">
        <v>2248</v>
      </c>
      <c r="V3414">
        <v>0</v>
      </c>
      <c r="W3414">
        <v>0</v>
      </c>
      <c r="AF3414">
        <v>0</v>
      </c>
      <c r="AG3414">
        <v>0</v>
      </c>
      <c r="AH3414">
        <v>0</v>
      </c>
      <c r="AI3414">
        <v>12</v>
      </c>
      <c r="AJ3414">
        <v>12</v>
      </c>
      <c r="AM3414">
        <v>0</v>
      </c>
      <c r="AN3414">
        <v>171.64999999999998</v>
      </c>
      <c r="AP3414">
        <v>10</v>
      </c>
    </row>
    <row r="3415" spans="1:42" x14ac:dyDescent="0.25">
      <c r="A3415" t="s">
        <v>46</v>
      </c>
      <c r="B3415">
        <v>2</v>
      </c>
      <c r="C3415" t="s">
        <v>2247</v>
      </c>
      <c r="D3415" s="39">
        <v>46082</v>
      </c>
      <c r="E3415" t="s">
        <v>486</v>
      </c>
      <c r="F3415" t="s">
        <v>79</v>
      </c>
      <c r="G3415">
        <v>4</v>
      </c>
      <c r="H3415" t="s">
        <v>113</v>
      </c>
      <c r="I3415" t="s">
        <v>79</v>
      </c>
      <c r="J3415">
        <v>1000</v>
      </c>
      <c r="K3415" t="s">
        <v>79</v>
      </c>
      <c r="L3415">
        <v>9</v>
      </c>
      <c r="M3415">
        <v>156.07999999999998</v>
      </c>
      <c r="N3415">
        <v>3.6</v>
      </c>
      <c r="Q3415">
        <v>152.47999999999999</v>
      </c>
      <c r="R3415" t="s">
        <v>2248</v>
      </c>
      <c r="S3415">
        <v>20</v>
      </c>
      <c r="V3415">
        <v>20</v>
      </c>
      <c r="W3415">
        <v>0.33333333333333331</v>
      </c>
      <c r="AF3415">
        <v>0</v>
      </c>
      <c r="AG3415">
        <v>0</v>
      </c>
      <c r="AH3415">
        <v>0.33333333333333331</v>
      </c>
      <c r="AI3415">
        <v>11.666666666666666</v>
      </c>
      <c r="AJ3415">
        <v>12</v>
      </c>
      <c r="AM3415">
        <v>0</v>
      </c>
      <c r="AN3415">
        <v>161.07999999999998</v>
      </c>
      <c r="AP3415">
        <v>10</v>
      </c>
    </row>
    <row r="3416" spans="1:42" x14ac:dyDescent="0.25">
      <c r="A3416" t="s">
        <v>45</v>
      </c>
      <c r="B3416">
        <v>4</v>
      </c>
      <c r="C3416" t="s">
        <v>2300</v>
      </c>
      <c r="D3416" s="39">
        <v>46082</v>
      </c>
      <c r="E3416" t="s">
        <v>253</v>
      </c>
      <c r="F3416" t="s">
        <v>79</v>
      </c>
      <c r="G3416">
        <v>14</v>
      </c>
      <c r="H3416" t="s">
        <v>116</v>
      </c>
      <c r="I3416" t="s">
        <v>79</v>
      </c>
      <c r="J3416">
        <v>1100</v>
      </c>
      <c r="K3416" t="s">
        <v>79</v>
      </c>
      <c r="L3416">
        <v>12</v>
      </c>
      <c r="M3416">
        <v>731.1400000000001</v>
      </c>
      <c r="N3416">
        <v>16.799999999999997</v>
      </c>
      <c r="O3416">
        <v>43</v>
      </c>
      <c r="Q3416">
        <v>714.34000000000015</v>
      </c>
      <c r="R3416" t="s">
        <v>2301</v>
      </c>
      <c r="V3416">
        <v>0</v>
      </c>
      <c r="W3416">
        <v>0</v>
      </c>
      <c r="AF3416">
        <v>0</v>
      </c>
      <c r="AG3416">
        <v>0</v>
      </c>
      <c r="AH3416">
        <v>0</v>
      </c>
      <c r="AI3416">
        <v>12</v>
      </c>
      <c r="AJ3416">
        <v>12</v>
      </c>
      <c r="AM3416">
        <v>0</v>
      </c>
      <c r="AN3416">
        <v>736.1400000000001</v>
      </c>
      <c r="AP3416">
        <v>10</v>
      </c>
    </row>
    <row r="3417" spans="1:42" x14ac:dyDescent="0.25">
      <c r="A3417" t="s">
        <v>46</v>
      </c>
      <c r="B3417">
        <v>4</v>
      </c>
      <c r="C3417" t="s">
        <v>2300</v>
      </c>
      <c r="D3417" s="39">
        <v>46082</v>
      </c>
      <c r="E3417" t="s">
        <v>253</v>
      </c>
      <c r="F3417" t="s">
        <v>79</v>
      </c>
      <c r="G3417">
        <v>14</v>
      </c>
      <c r="H3417" t="s">
        <v>116</v>
      </c>
      <c r="I3417" t="s">
        <v>79</v>
      </c>
      <c r="J3417">
        <v>1100</v>
      </c>
      <c r="K3417" t="s">
        <v>79</v>
      </c>
      <c r="L3417">
        <v>4</v>
      </c>
      <c r="M3417">
        <v>229.43</v>
      </c>
      <c r="N3417">
        <v>6.4</v>
      </c>
      <c r="Q3417">
        <v>223.03</v>
      </c>
      <c r="R3417" t="s">
        <v>2301</v>
      </c>
      <c r="V3417">
        <v>0</v>
      </c>
      <c r="W3417">
        <v>0</v>
      </c>
      <c r="AF3417">
        <v>0</v>
      </c>
      <c r="AG3417">
        <v>0</v>
      </c>
      <c r="AH3417">
        <v>0</v>
      </c>
      <c r="AI3417">
        <v>12</v>
      </c>
      <c r="AJ3417">
        <v>12</v>
      </c>
      <c r="AM3417">
        <v>0</v>
      </c>
      <c r="AN3417">
        <v>234.43</v>
      </c>
      <c r="AP3417">
        <v>10</v>
      </c>
    </row>
    <row r="3418" spans="1:42" x14ac:dyDescent="0.25">
      <c r="A3418" t="s">
        <v>46</v>
      </c>
      <c r="B3418">
        <v>4</v>
      </c>
      <c r="C3418" t="s">
        <v>2310</v>
      </c>
      <c r="D3418" s="39">
        <v>46082</v>
      </c>
      <c r="E3418" t="s">
        <v>486</v>
      </c>
      <c r="F3418" t="s">
        <v>79</v>
      </c>
      <c r="G3418">
        <v>28</v>
      </c>
      <c r="H3418">
        <v>5</v>
      </c>
      <c r="I3418" t="s">
        <v>79</v>
      </c>
      <c r="J3418">
        <v>1000</v>
      </c>
      <c r="K3418" t="s">
        <v>79</v>
      </c>
      <c r="L3418">
        <v>7</v>
      </c>
      <c r="M3418">
        <v>490.28</v>
      </c>
      <c r="N3418">
        <v>24.5</v>
      </c>
      <c r="Q3418">
        <v>465.78</v>
      </c>
      <c r="R3418" t="s">
        <v>2311</v>
      </c>
      <c r="S3418">
        <v>35</v>
      </c>
      <c r="V3418">
        <v>35</v>
      </c>
      <c r="W3418">
        <v>0.58333333333333337</v>
      </c>
      <c r="AF3418">
        <v>0</v>
      </c>
      <c r="AG3418">
        <v>0</v>
      </c>
      <c r="AH3418">
        <v>0.58333333333333337</v>
      </c>
      <c r="AI3418">
        <v>11.416666666666666</v>
      </c>
      <c r="AJ3418">
        <v>12</v>
      </c>
      <c r="AM3418">
        <v>0</v>
      </c>
      <c r="AN3418">
        <v>495.28</v>
      </c>
      <c r="AP3418">
        <v>10</v>
      </c>
    </row>
    <row r="3419" spans="1:42" x14ac:dyDescent="0.25">
      <c r="A3419" t="s">
        <v>45</v>
      </c>
      <c r="B3419">
        <v>5</v>
      </c>
      <c r="C3419" t="s">
        <v>2306</v>
      </c>
      <c r="D3419" s="39">
        <v>46082</v>
      </c>
      <c r="E3419" t="s">
        <v>2239</v>
      </c>
      <c r="F3419" t="s">
        <v>79</v>
      </c>
      <c r="G3419">
        <v>12</v>
      </c>
      <c r="H3419" t="s">
        <v>942</v>
      </c>
      <c r="I3419" t="s">
        <v>79</v>
      </c>
      <c r="J3419">
        <v>100</v>
      </c>
      <c r="K3419" t="s">
        <v>79</v>
      </c>
      <c r="L3419">
        <v>2</v>
      </c>
      <c r="M3419">
        <v>90.789999999999992</v>
      </c>
      <c r="N3419">
        <v>2.4</v>
      </c>
      <c r="Q3419">
        <v>88.389999999999986</v>
      </c>
      <c r="R3419" t="s">
        <v>2307</v>
      </c>
      <c r="V3419">
        <v>0</v>
      </c>
      <c r="W3419">
        <v>0</v>
      </c>
      <c r="AF3419">
        <v>0</v>
      </c>
      <c r="AG3419">
        <v>0</v>
      </c>
      <c r="AH3419">
        <v>0</v>
      </c>
      <c r="AI3419">
        <v>12</v>
      </c>
      <c r="AJ3419">
        <v>12</v>
      </c>
      <c r="AM3419">
        <v>0</v>
      </c>
      <c r="AN3419">
        <v>95.79</v>
      </c>
      <c r="AP3419">
        <v>10</v>
      </c>
    </row>
    <row r="3420" spans="1:42" x14ac:dyDescent="0.25">
      <c r="A3420" t="s">
        <v>45</v>
      </c>
      <c r="B3420">
        <v>5</v>
      </c>
      <c r="C3420" t="s">
        <v>2312</v>
      </c>
      <c r="D3420" s="39">
        <v>46082</v>
      </c>
      <c r="E3420" t="s">
        <v>486</v>
      </c>
      <c r="F3420" t="s">
        <v>79</v>
      </c>
      <c r="G3420">
        <v>12</v>
      </c>
      <c r="H3420">
        <v>5</v>
      </c>
      <c r="I3420" t="s">
        <v>79</v>
      </c>
      <c r="J3420">
        <v>1500</v>
      </c>
      <c r="K3420" t="s">
        <v>79</v>
      </c>
      <c r="L3420">
        <v>3</v>
      </c>
      <c r="M3420">
        <v>137.25</v>
      </c>
      <c r="N3420">
        <v>3.5999999999999996</v>
      </c>
      <c r="Q3420">
        <v>133.65</v>
      </c>
      <c r="R3420" t="s">
        <v>2313</v>
      </c>
      <c r="V3420">
        <v>0</v>
      </c>
      <c r="W3420">
        <v>0</v>
      </c>
      <c r="AF3420">
        <v>0</v>
      </c>
      <c r="AG3420">
        <v>0</v>
      </c>
      <c r="AH3420">
        <v>0</v>
      </c>
      <c r="AI3420">
        <v>12</v>
      </c>
      <c r="AJ3420">
        <v>12</v>
      </c>
      <c r="AM3420">
        <v>0</v>
      </c>
      <c r="AN3420">
        <v>142.25</v>
      </c>
      <c r="AP3420">
        <v>10</v>
      </c>
    </row>
    <row r="3421" spans="1:42" x14ac:dyDescent="0.25">
      <c r="A3421" t="s">
        <v>45</v>
      </c>
      <c r="B3421">
        <v>5</v>
      </c>
      <c r="C3421" t="s">
        <v>2314</v>
      </c>
      <c r="D3421" s="39">
        <v>46082</v>
      </c>
      <c r="E3421" t="s">
        <v>229</v>
      </c>
      <c r="F3421" t="s">
        <v>79</v>
      </c>
      <c r="G3421">
        <v>12</v>
      </c>
      <c r="H3421" t="s">
        <v>644</v>
      </c>
      <c r="I3421" t="s">
        <v>79</v>
      </c>
      <c r="J3421">
        <v>150</v>
      </c>
      <c r="K3421" t="s">
        <v>79</v>
      </c>
      <c r="L3421">
        <v>3</v>
      </c>
      <c r="M3421">
        <v>159.77000000000001</v>
      </c>
      <c r="N3421">
        <v>3.5999999999999996</v>
      </c>
      <c r="Q3421">
        <v>156.17000000000002</v>
      </c>
      <c r="R3421" t="s">
        <v>2315</v>
      </c>
      <c r="V3421">
        <v>0</v>
      </c>
      <c r="W3421">
        <v>0</v>
      </c>
      <c r="AF3421">
        <v>0</v>
      </c>
      <c r="AG3421">
        <v>0</v>
      </c>
      <c r="AH3421">
        <v>0</v>
      </c>
      <c r="AI3421">
        <v>12</v>
      </c>
      <c r="AJ3421">
        <v>12</v>
      </c>
      <c r="AM3421">
        <v>0</v>
      </c>
      <c r="AN3421">
        <v>164.77</v>
      </c>
      <c r="AP3421">
        <v>10</v>
      </c>
    </row>
    <row r="3422" spans="1:42" x14ac:dyDescent="0.25">
      <c r="A3422" t="s">
        <v>45</v>
      </c>
      <c r="B3422">
        <v>5</v>
      </c>
      <c r="C3422" t="s">
        <v>2316</v>
      </c>
      <c r="D3422" s="39">
        <v>46082</v>
      </c>
      <c r="E3422" t="s">
        <v>482</v>
      </c>
      <c r="F3422" t="s">
        <v>79</v>
      </c>
      <c r="G3422">
        <v>12</v>
      </c>
      <c r="H3422" t="s">
        <v>102</v>
      </c>
      <c r="I3422" t="s">
        <v>79</v>
      </c>
      <c r="J3422">
        <v>50</v>
      </c>
      <c r="K3422" t="s">
        <v>79</v>
      </c>
      <c r="L3422">
        <v>1</v>
      </c>
      <c r="M3422">
        <v>54.2</v>
      </c>
      <c r="N3422">
        <v>1.2</v>
      </c>
      <c r="Q3422">
        <v>53</v>
      </c>
      <c r="R3422" t="s">
        <v>2317</v>
      </c>
      <c r="V3422">
        <v>0</v>
      </c>
      <c r="W3422">
        <v>0</v>
      </c>
      <c r="AF3422">
        <v>0</v>
      </c>
      <c r="AG3422">
        <v>0</v>
      </c>
      <c r="AH3422">
        <v>0</v>
      </c>
      <c r="AI3422">
        <v>12</v>
      </c>
      <c r="AJ3422">
        <v>12</v>
      </c>
      <c r="AM3422">
        <v>0</v>
      </c>
      <c r="AN3422">
        <v>59.2</v>
      </c>
      <c r="AP3422">
        <v>10</v>
      </c>
    </row>
    <row r="3423" spans="1:42" x14ac:dyDescent="0.25">
      <c r="A3423" t="s">
        <v>46</v>
      </c>
      <c r="B3423">
        <v>5</v>
      </c>
      <c r="C3423" t="s">
        <v>2312</v>
      </c>
      <c r="D3423" s="39">
        <v>46082</v>
      </c>
      <c r="E3423" t="s">
        <v>486</v>
      </c>
      <c r="F3423" t="s">
        <v>79</v>
      </c>
      <c r="G3423">
        <v>12</v>
      </c>
      <c r="H3423">
        <v>5</v>
      </c>
      <c r="I3423" t="s">
        <v>79</v>
      </c>
      <c r="J3423">
        <v>1500</v>
      </c>
      <c r="K3423" t="s">
        <v>79</v>
      </c>
      <c r="L3423">
        <v>10</v>
      </c>
      <c r="M3423">
        <v>531.65000000000009</v>
      </c>
      <c r="N3423">
        <v>13.5</v>
      </c>
      <c r="Q3423">
        <v>518.15000000000009</v>
      </c>
      <c r="R3423" t="s">
        <v>2313</v>
      </c>
      <c r="V3423">
        <v>0</v>
      </c>
      <c r="W3423">
        <v>0</v>
      </c>
      <c r="AF3423">
        <v>0</v>
      </c>
      <c r="AG3423">
        <v>0</v>
      </c>
      <c r="AH3423">
        <v>0</v>
      </c>
      <c r="AI3423">
        <v>12</v>
      </c>
      <c r="AJ3423">
        <v>12</v>
      </c>
      <c r="AM3423">
        <v>0</v>
      </c>
      <c r="AN3423">
        <v>536.65000000000009</v>
      </c>
      <c r="AP3423">
        <v>10</v>
      </c>
    </row>
    <row r="3424" spans="1:42" x14ac:dyDescent="0.25">
      <c r="A3424" t="s">
        <v>45</v>
      </c>
      <c r="B3424">
        <v>1</v>
      </c>
      <c r="C3424" t="s">
        <v>2308</v>
      </c>
      <c r="D3424" s="39">
        <v>46083</v>
      </c>
      <c r="E3424" t="s">
        <v>486</v>
      </c>
      <c r="F3424" t="s">
        <v>79</v>
      </c>
      <c r="G3424">
        <v>2.5</v>
      </c>
      <c r="H3424" t="s">
        <v>92</v>
      </c>
      <c r="I3424" t="s">
        <v>79</v>
      </c>
      <c r="J3424" t="s">
        <v>1884</v>
      </c>
      <c r="K3424" t="s">
        <v>79</v>
      </c>
      <c r="L3424">
        <v>7</v>
      </c>
      <c r="M3424">
        <v>126.21</v>
      </c>
      <c r="N3424">
        <v>1.75</v>
      </c>
      <c r="O3424">
        <v>26</v>
      </c>
      <c r="Q3424">
        <v>124.46</v>
      </c>
      <c r="R3424" t="s">
        <v>2309</v>
      </c>
      <c r="V3424">
        <v>0</v>
      </c>
      <c r="W3424">
        <v>0</v>
      </c>
      <c r="AF3424">
        <v>0</v>
      </c>
      <c r="AG3424">
        <v>0</v>
      </c>
      <c r="AH3424">
        <v>0</v>
      </c>
      <c r="AI3424">
        <v>12</v>
      </c>
      <c r="AJ3424">
        <v>12</v>
      </c>
      <c r="AM3424">
        <v>0</v>
      </c>
      <c r="AN3424">
        <v>131.20999999999998</v>
      </c>
      <c r="AP3424">
        <v>10</v>
      </c>
    </row>
    <row r="3425" spans="1:42" x14ac:dyDescent="0.25">
      <c r="A3425" t="s">
        <v>46</v>
      </c>
      <c r="B3425">
        <v>1</v>
      </c>
      <c r="C3425" t="s">
        <v>2308</v>
      </c>
      <c r="D3425" s="39">
        <v>46083</v>
      </c>
      <c r="E3425" t="s">
        <v>486</v>
      </c>
      <c r="F3425" t="s">
        <v>79</v>
      </c>
      <c r="G3425">
        <v>2.5</v>
      </c>
      <c r="H3425" t="s">
        <v>92</v>
      </c>
      <c r="I3425" t="s">
        <v>79</v>
      </c>
      <c r="J3425" t="s">
        <v>1884</v>
      </c>
      <c r="K3425" t="s">
        <v>79</v>
      </c>
      <c r="L3425">
        <v>5</v>
      </c>
      <c r="M3425">
        <v>74.22</v>
      </c>
      <c r="N3425">
        <v>1.25</v>
      </c>
      <c r="O3425">
        <v>31</v>
      </c>
      <c r="Q3425">
        <v>72.97</v>
      </c>
      <c r="R3425" t="s">
        <v>2309</v>
      </c>
      <c r="S3425">
        <v>10</v>
      </c>
      <c r="V3425">
        <v>10</v>
      </c>
      <c r="W3425">
        <v>0.16666666666666666</v>
      </c>
      <c r="AF3425">
        <v>0</v>
      </c>
      <c r="AG3425">
        <v>0</v>
      </c>
      <c r="AH3425">
        <v>0.16666666666666666</v>
      </c>
      <c r="AI3425">
        <v>11.833333333333334</v>
      </c>
      <c r="AJ3425">
        <v>12</v>
      </c>
      <c r="AM3425">
        <v>0</v>
      </c>
      <c r="AN3425">
        <v>79.22</v>
      </c>
      <c r="AP3425">
        <v>10</v>
      </c>
    </row>
    <row r="3426" spans="1:42" x14ac:dyDescent="0.25">
      <c r="A3426" t="s">
        <v>46</v>
      </c>
      <c r="B3426">
        <v>1</v>
      </c>
      <c r="C3426" t="s">
        <v>2318</v>
      </c>
      <c r="D3426" s="39">
        <v>46083</v>
      </c>
      <c r="E3426" t="s">
        <v>486</v>
      </c>
      <c r="F3426" t="s">
        <v>79</v>
      </c>
      <c r="G3426">
        <v>2</v>
      </c>
      <c r="H3426" t="s">
        <v>92</v>
      </c>
      <c r="I3426" t="s">
        <v>79</v>
      </c>
      <c r="J3426" t="s">
        <v>1884</v>
      </c>
      <c r="K3426" t="s">
        <v>79</v>
      </c>
      <c r="L3426">
        <v>2</v>
      </c>
      <c r="M3426">
        <v>39.81</v>
      </c>
      <c r="N3426">
        <v>0.4</v>
      </c>
      <c r="Q3426">
        <v>39.410000000000004</v>
      </c>
      <c r="R3426" t="s">
        <v>2322</v>
      </c>
      <c r="V3426">
        <v>0</v>
      </c>
      <c r="W3426">
        <v>0</v>
      </c>
      <c r="AF3426">
        <v>0</v>
      </c>
      <c r="AG3426">
        <v>0</v>
      </c>
      <c r="AH3426">
        <v>0</v>
      </c>
      <c r="AI3426">
        <v>12</v>
      </c>
      <c r="AJ3426">
        <v>12</v>
      </c>
      <c r="AM3426">
        <v>0</v>
      </c>
      <c r="AN3426">
        <v>44.81</v>
      </c>
      <c r="AP3426">
        <v>10</v>
      </c>
    </row>
    <row r="3427" spans="1:42" x14ac:dyDescent="0.25">
      <c r="A3427" t="s">
        <v>45</v>
      </c>
      <c r="B3427">
        <v>2</v>
      </c>
      <c r="C3427" t="s">
        <v>2319</v>
      </c>
      <c r="D3427" s="39">
        <v>46083</v>
      </c>
      <c r="E3427" t="s">
        <v>486</v>
      </c>
      <c r="F3427" t="s">
        <v>79</v>
      </c>
      <c r="G3427">
        <v>3</v>
      </c>
      <c r="H3427" t="s">
        <v>92</v>
      </c>
      <c r="I3427" t="s">
        <v>79</v>
      </c>
      <c r="J3427">
        <v>1000</v>
      </c>
      <c r="K3427" t="s">
        <v>79</v>
      </c>
      <c r="L3427">
        <v>11</v>
      </c>
      <c r="M3427">
        <v>146.28</v>
      </c>
      <c r="N3427">
        <v>3.3</v>
      </c>
      <c r="Q3427">
        <v>142.97999999999999</v>
      </c>
      <c r="R3427" t="s">
        <v>2376</v>
      </c>
      <c r="V3427">
        <v>0</v>
      </c>
      <c r="W3427">
        <v>0</v>
      </c>
      <c r="Z3427">
        <v>30</v>
      </c>
      <c r="AF3427">
        <v>30</v>
      </c>
      <c r="AG3427">
        <v>0.5</v>
      </c>
      <c r="AH3427">
        <v>0.5</v>
      </c>
      <c r="AI3427">
        <v>11.5</v>
      </c>
      <c r="AJ3427">
        <v>12</v>
      </c>
      <c r="AM3427">
        <v>0</v>
      </c>
      <c r="AN3427">
        <v>151.28</v>
      </c>
      <c r="AP3427">
        <v>10</v>
      </c>
    </row>
    <row r="3428" spans="1:42" x14ac:dyDescent="0.25">
      <c r="A3428" t="s">
        <v>46</v>
      </c>
      <c r="B3428">
        <v>2</v>
      </c>
      <c r="C3428" t="s">
        <v>2319</v>
      </c>
      <c r="D3428" s="39">
        <v>46083</v>
      </c>
      <c r="E3428" t="s">
        <v>486</v>
      </c>
      <c r="F3428" t="s">
        <v>79</v>
      </c>
      <c r="G3428">
        <v>3</v>
      </c>
      <c r="H3428" t="s">
        <v>92</v>
      </c>
      <c r="I3428" t="s">
        <v>79</v>
      </c>
      <c r="J3428">
        <v>1000</v>
      </c>
      <c r="K3428" t="s">
        <v>79</v>
      </c>
      <c r="L3428">
        <v>12</v>
      </c>
      <c r="M3428">
        <v>141.43</v>
      </c>
      <c r="N3428">
        <v>3.5999999999999996</v>
      </c>
      <c r="Q3428">
        <v>137.83000000000001</v>
      </c>
      <c r="R3428" t="s">
        <v>2376</v>
      </c>
      <c r="V3428">
        <v>0</v>
      </c>
      <c r="W3428">
        <v>0</v>
      </c>
      <c r="AF3428">
        <v>0</v>
      </c>
      <c r="AG3428">
        <v>0</v>
      </c>
      <c r="AH3428">
        <v>0</v>
      </c>
      <c r="AI3428">
        <v>12</v>
      </c>
      <c r="AJ3428">
        <v>12</v>
      </c>
      <c r="AM3428">
        <v>0</v>
      </c>
      <c r="AN3428">
        <v>146.43</v>
      </c>
      <c r="AP3428">
        <v>10</v>
      </c>
    </row>
    <row r="3429" spans="1:42" x14ac:dyDescent="0.25">
      <c r="A3429" t="s">
        <v>45</v>
      </c>
      <c r="B3429">
        <v>4</v>
      </c>
      <c r="C3429" t="s">
        <v>2310</v>
      </c>
      <c r="D3429" s="39">
        <v>46083</v>
      </c>
      <c r="E3429" t="s">
        <v>486</v>
      </c>
      <c r="F3429" t="s">
        <v>79</v>
      </c>
      <c r="G3429">
        <v>28</v>
      </c>
      <c r="H3429">
        <v>5</v>
      </c>
      <c r="I3429" t="s">
        <v>79</v>
      </c>
      <c r="J3429">
        <v>1000</v>
      </c>
      <c r="K3429" t="s">
        <v>79</v>
      </c>
      <c r="L3429">
        <v>9</v>
      </c>
      <c r="M3429">
        <v>614.7700000000001</v>
      </c>
      <c r="N3429">
        <v>25.2</v>
      </c>
      <c r="Q3429">
        <v>589.57000000000005</v>
      </c>
      <c r="R3429" t="s">
        <v>2311</v>
      </c>
      <c r="V3429">
        <v>0</v>
      </c>
      <c r="W3429">
        <v>0</v>
      </c>
      <c r="AF3429">
        <v>0</v>
      </c>
      <c r="AG3429">
        <v>0</v>
      </c>
      <c r="AH3429">
        <v>0</v>
      </c>
      <c r="AI3429">
        <v>12</v>
      </c>
      <c r="AJ3429">
        <v>12</v>
      </c>
      <c r="AM3429">
        <v>0</v>
      </c>
      <c r="AN3429">
        <v>619.7700000000001</v>
      </c>
      <c r="AP3429">
        <v>10</v>
      </c>
    </row>
    <row r="3430" spans="1:42" x14ac:dyDescent="0.25">
      <c r="A3430" t="s">
        <v>45</v>
      </c>
      <c r="B3430">
        <v>4</v>
      </c>
      <c r="C3430" t="s">
        <v>2320</v>
      </c>
      <c r="D3430" s="39">
        <v>46083</v>
      </c>
      <c r="E3430" t="s">
        <v>276</v>
      </c>
      <c r="F3430" t="s">
        <v>79</v>
      </c>
      <c r="G3430">
        <v>28</v>
      </c>
      <c r="H3430" t="s">
        <v>113</v>
      </c>
      <c r="I3430" t="s">
        <v>79</v>
      </c>
      <c r="J3430" t="s">
        <v>81</v>
      </c>
      <c r="K3430" t="s">
        <v>79</v>
      </c>
      <c r="L3430">
        <v>2</v>
      </c>
      <c r="M3430">
        <v>120.11</v>
      </c>
      <c r="N3430">
        <v>5.6</v>
      </c>
      <c r="Q3430">
        <v>114.51</v>
      </c>
      <c r="R3430" t="s">
        <v>2323</v>
      </c>
      <c r="V3430">
        <v>0</v>
      </c>
      <c r="W3430">
        <v>0</v>
      </c>
      <c r="AF3430">
        <v>0</v>
      </c>
      <c r="AG3430">
        <v>0</v>
      </c>
      <c r="AH3430">
        <v>0</v>
      </c>
      <c r="AI3430">
        <v>12</v>
      </c>
      <c r="AJ3430">
        <v>12</v>
      </c>
      <c r="AM3430">
        <v>0</v>
      </c>
      <c r="AN3430">
        <v>125.11</v>
      </c>
      <c r="AP3430">
        <v>10</v>
      </c>
    </row>
    <row r="3431" spans="1:42" x14ac:dyDescent="0.25">
      <c r="A3431" t="s">
        <v>46</v>
      </c>
      <c r="B3431">
        <v>4</v>
      </c>
      <c r="C3431" t="s">
        <v>2320</v>
      </c>
      <c r="D3431" s="39">
        <v>46083</v>
      </c>
      <c r="E3431" t="s">
        <v>276</v>
      </c>
      <c r="F3431" t="s">
        <v>79</v>
      </c>
      <c r="G3431">
        <v>28</v>
      </c>
      <c r="H3431" t="s">
        <v>113</v>
      </c>
      <c r="I3431" t="s">
        <v>79</v>
      </c>
      <c r="J3431" t="s">
        <v>81</v>
      </c>
      <c r="K3431" t="s">
        <v>79</v>
      </c>
      <c r="L3431">
        <v>10</v>
      </c>
      <c r="M3431">
        <v>753.74</v>
      </c>
      <c r="N3431">
        <v>28</v>
      </c>
      <c r="Q3431">
        <v>725.74</v>
      </c>
      <c r="R3431" t="s">
        <v>2323</v>
      </c>
      <c r="V3431">
        <v>0</v>
      </c>
      <c r="W3431">
        <v>0</v>
      </c>
      <c r="AF3431">
        <v>0</v>
      </c>
      <c r="AG3431">
        <v>0</v>
      </c>
      <c r="AH3431">
        <v>0</v>
      </c>
      <c r="AI3431">
        <v>12</v>
      </c>
      <c r="AJ3431">
        <v>12</v>
      </c>
      <c r="AM3431">
        <v>0</v>
      </c>
      <c r="AN3431">
        <v>758.74</v>
      </c>
      <c r="AP3431">
        <v>10</v>
      </c>
    </row>
    <row r="3432" spans="1:42" x14ac:dyDescent="0.25">
      <c r="A3432" t="s">
        <v>45</v>
      </c>
      <c r="B3432">
        <v>5</v>
      </c>
      <c r="C3432" t="s">
        <v>875</v>
      </c>
      <c r="D3432" s="39">
        <v>46083</v>
      </c>
      <c r="E3432" t="s">
        <v>486</v>
      </c>
      <c r="F3432" t="s">
        <v>79</v>
      </c>
      <c r="G3432">
        <v>12</v>
      </c>
      <c r="H3432">
        <v>5</v>
      </c>
      <c r="I3432" t="s">
        <v>79</v>
      </c>
      <c r="J3432">
        <v>1000</v>
      </c>
      <c r="K3432" t="s">
        <v>79</v>
      </c>
      <c r="L3432">
        <v>10</v>
      </c>
      <c r="M3432">
        <v>517.99</v>
      </c>
      <c r="N3432">
        <v>12</v>
      </c>
      <c r="Q3432">
        <v>505.99</v>
      </c>
      <c r="R3432" t="s">
        <v>2321</v>
      </c>
      <c r="V3432">
        <v>0</v>
      </c>
      <c r="W3432">
        <v>0</v>
      </c>
      <c r="AF3432">
        <v>0</v>
      </c>
      <c r="AG3432">
        <v>0</v>
      </c>
      <c r="AH3432">
        <v>0</v>
      </c>
      <c r="AI3432">
        <v>12</v>
      </c>
      <c r="AJ3432">
        <v>12</v>
      </c>
      <c r="AM3432">
        <v>0</v>
      </c>
      <c r="AN3432">
        <v>522.99</v>
      </c>
      <c r="AP3432">
        <v>10</v>
      </c>
    </row>
    <row r="3433" spans="1:42" x14ac:dyDescent="0.25">
      <c r="A3433" t="s">
        <v>46</v>
      </c>
      <c r="B3433">
        <v>5</v>
      </c>
      <c r="C3433" t="s">
        <v>875</v>
      </c>
      <c r="D3433" s="39">
        <v>46083</v>
      </c>
      <c r="E3433" t="s">
        <v>486</v>
      </c>
      <c r="F3433" t="s">
        <v>79</v>
      </c>
      <c r="G3433">
        <v>12</v>
      </c>
      <c r="H3433">
        <v>5</v>
      </c>
      <c r="I3433" t="s">
        <v>79</v>
      </c>
      <c r="J3433">
        <v>1000</v>
      </c>
      <c r="K3433" t="s">
        <v>79</v>
      </c>
      <c r="L3433">
        <v>9</v>
      </c>
      <c r="M3433">
        <v>475.86</v>
      </c>
      <c r="N3433">
        <v>10.799999999999999</v>
      </c>
      <c r="Q3433">
        <v>465.06</v>
      </c>
      <c r="R3433" t="s">
        <v>2321</v>
      </c>
      <c r="S3433">
        <v>25</v>
      </c>
      <c r="V3433">
        <v>25</v>
      </c>
      <c r="W3433">
        <v>0.41666666666666674</v>
      </c>
      <c r="AF3433">
        <v>0</v>
      </c>
      <c r="AG3433">
        <v>0</v>
      </c>
      <c r="AH3433">
        <v>0.41666666666666674</v>
      </c>
      <c r="AI3433">
        <v>11.583333333333334</v>
      </c>
      <c r="AJ3433">
        <v>12</v>
      </c>
      <c r="AM3433">
        <v>0</v>
      </c>
      <c r="AN3433">
        <v>480.86</v>
      </c>
      <c r="AP3433">
        <v>10</v>
      </c>
    </row>
    <row r="3434" spans="1:42" x14ac:dyDescent="0.25">
      <c r="A3434" t="s">
        <v>45</v>
      </c>
      <c r="B3434">
        <v>1</v>
      </c>
      <c r="C3434" t="s">
        <v>2318</v>
      </c>
      <c r="D3434" s="39">
        <v>46084</v>
      </c>
      <c r="E3434" t="s">
        <v>486</v>
      </c>
      <c r="F3434" t="s">
        <v>79</v>
      </c>
      <c r="G3434">
        <v>2</v>
      </c>
      <c r="H3434" t="s">
        <v>92</v>
      </c>
      <c r="I3434" t="s">
        <v>79</v>
      </c>
      <c r="J3434" t="s">
        <v>1884</v>
      </c>
      <c r="K3434" t="s">
        <v>79</v>
      </c>
      <c r="L3434">
        <v>6</v>
      </c>
      <c r="M3434">
        <v>90.11999999999999</v>
      </c>
      <c r="N3434">
        <v>1.2000000000000002</v>
      </c>
      <c r="O3434">
        <v>15</v>
      </c>
      <c r="Q3434">
        <v>88.919999999999987</v>
      </c>
      <c r="R3434" t="s">
        <v>2322</v>
      </c>
      <c r="V3434">
        <v>0</v>
      </c>
      <c r="W3434">
        <v>0</v>
      </c>
      <c r="AF3434">
        <v>0</v>
      </c>
      <c r="AG3434">
        <v>0</v>
      </c>
      <c r="AH3434">
        <v>0</v>
      </c>
      <c r="AI3434">
        <v>12</v>
      </c>
      <c r="AJ3434">
        <v>12</v>
      </c>
      <c r="AM3434">
        <v>0</v>
      </c>
      <c r="AN3434">
        <v>95.12</v>
      </c>
      <c r="AP3434">
        <v>10</v>
      </c>
    </row>
    <row r="3435" spans="1:42" x14ac:dyDescent="0.25">
      <c r="A3435" t="s">
        <v>46</v>
      </c>
      <c r="B3435">
        <v>1</v>
      </c>
      <c r="C3435" t="s">
        <v>2318</v>
      </c>
      <c r="D3435" s="39">
        <v>46084</v>
      </c>
      <c r="E3435" t="s">
        <v>486</v>
      </c>
      <c r="F3435" t="s">
        <v>79</v>
      </c>
      <c r="G3435">
        <v>2</v>
      </c>
      <c r="H3435" t="s">
        <v>92</v>
      </c>
      <c r="I3435" t="s">
        <v>79</v>
      </c>
      <c r="J3435" t="s">
        <v>1884</v>
      </c>
      <c r="K3435" t="s">
        <v>79</v>
      </c>
      <c r="L3435">
        <v>6</v>
      </c>
      <c r="M3435">
        <v>107.24</v>
      </c>
      <c r="N3435">
        <v>1.2000000000000002</v>
      </c>
      <c r="O3435">
        <v>20</v>
      </c>
      <c r="Q3435">
        <v>106.03999999999999</v>
      </c>
      <c r="R3435" t="s">
        <v>2322</v>
      </c>
      <c r="V3435">
        <v>0</v>
      </c>
      <c r="W3435">
        <v>0</v>
      </c>
      <c r="AF3435">
        <v>0</v>
      </c>
      <c r="AG3435">
        <v>0</v>
      </c>
      <c r="AH3435">
        <v>0</v>
      </c>
      <c r="AI3435">
        <v>12</v>
      </c>
      <c r="AJ3435">
        <v>12</v>
      </c>
      <c r="AM3435">
        <v>0</v>
      </c>
      <c r="AN3435">
        <v>112.24</v>
      </c>
      <c r="AP3435">
        <v>10</v>
      </c>
    </row>
    <row r="3436" spans="1:42" x14ac:dyDescent="0.25">
      <c r="A3436" t="s">
        <v>45</v>
      </c>
      <c r="B3436">
        <v>2</v>
      </c>
      <c r="C3436" t="s">
        <v>2319</v>
      </c>
      <c r="D3436" s="39">
        <v>46084</v>
      </c>
      <c r="E3436" t="s">
        <v>486</v>
      </c>
      <c r="F3436" t="s">
        <v>79</v>
      </c>
      <c r="G3436">
        <v>3</v>
      </c>
      <c r="H3436" t="s">
        <v>92</v>
      </c>
      <c r="I3436" t="s">
        <v>79</v>
      </c>
      <c r="J3436">
        <v>1000</v>
      </c>
      <c r="K3436" t="s">
        <v>79</v>
      </c>
      <c r="L3436">
        <v>4</v>
      </c>
      <c r="M3436">
        <v>46.52</v>
      </c>
      <c r="N3436">
        <v>1.2</v>
      </c>
      <c r="Q3436">
        <v>45.32</v>
      </c>
      <c r="R3436" t="s">
        <v>2376</v>
      </c>
      <c r="S3436">
        <v>25</v>
      </c>
      <c r="V3436">
        <v>25</v>
      </c>
      <c r="W3436">
        <v>0.41666666666666674</v>
      </c>
      <c r="Z3436">
        <v>330</v>
      </c>
      <c r="AD3436">
        <v>35</v>
      </c>
      <c r="AF3436">
        <v>365</v>
      </c>
      <c r="AG3436">
        <v>6.083333333333333</v>
      </c>
      <c r="AH3436">
        <v>6.5</v>
      </c>
      <c r="AI3436">
        <v>5.5</v>
      </c>
      <c r="AJ3436">
        <v>12</v>
      </c>
      <c r="AM3436">
        <v>0</v>
      </c>
      <c r="AN3436">
        <v>51.52</v>
      </c>
      <c r="AP3436">
        <v>10</v>
      </c>
    </row>
    <row r="3437" spans="1:42" x14ac:dyDescent="0.25">
      <c r="A3437" t="s">
        <v>46</v>
      </c>
      <c r="B3437">
        <v>2</v>
      </c>
      <c r="C3437" t="s">
        <v>2324</v>
      </c>
      <c r="D3437" s="39">
        <v>46084</v>
      </c>
      <c r="E3437" t="s">
        <v>2325</v>
      </c>
      <c r="F3437" t="s">
        <v>79</v>
      </c>
      <c r="G3437">
        <v>3.5</v>
      </c>
      <c r="H3437" t="s">
        <v>942</v>
      </c>
      <c r="I3437" t="s">
        <v>79</v>
      </c>
      <c r="J3437">
        <v>300</v>
      </c>
      <c r="K3437" t="s">
        <v>79</v>
      </c>
      <c r="L3437">
        <v>9</v>
      </c>
      <c r="M3437">
        <v>136.45999999999998</v>
      </c>
      <c r="N3437">
        <v>3.15</v>
      </c>
      <c r="Q3437">
        <v>133.30999999999997</v>
      </c>
      <c r="R3437" t="s">
        <v>2326</v>
      </c>
      <c r="V3437">
        <v>0</v>
      </c>
      <c r="W3437">
        <v>0</v>
      </c>
      <c r="AF3437">
        <v>0</v>
      </c>
      <c r="AG3437">
        <v>0</v>
      </c>
      <c r="AH3437">
        <v>0</v>
      </c>
      <c r="AI3437">
        <v>12</v>
      </c>
      <c r="AJ3437">
        <v>12</v>
      </c>
      <c r="AM3437">
        <v>0</v>
      </c>
      <c r="AN3437">
        <v>141.45999999999998</v>
      </c>
      <c r="AP3437">
        <v>10</v>
      </c>
    </row>
    <row r="3438" spans="1:42" x14ac:dyDescent="0.25">
      <c r="A3438" t="s">
        <v>45</v>
      </c>
      <c r="B3438">
        <v>4</v>
      </c>
      <c r="C3438" t="s">
        <v>2320</v>
      </c>
      <c r="D3438" s="39">
        <v>46084</v>
      </c>
      <c r="E3438" t="s">
        <v>276</v>
      </c>
      <c r="F3438" t="s">
        <v>79</v>
      </c>
      <c r="G3438">
        <v>28</v>
      </c>
      <c r="H3438" t="s">
        <v>113</v>
      </c>
      <c r="I3438" t="s">
        <v>79</v>
      </c>
      <c r="J3438" t="s">
        <v>81</v>
      </c>
      <c r="K3438" t="s">
        <v>79</v>
      </c>
      <c r="L3438">
        <v>9</v>
      </c>
      <c r="M3438">
        <v>699.89</v>
      </c>
      <c r="N3438">
        <v>31.41</v>
      </c>
      <c r="Q3438">
        <v>668.48</v>
      </c>
      <c r="R3438" t="s">
        <v>2323</v>
      </c>
      <c r="V3438">
        <v>0</v>
      </c>
      <c r="W3438">
        <v>0</v>
      </c>
      <c r="X3438">
        <v>60</v>
      </c>
      <c r="AF3438">
        <v>60</v>
      </c>
      <c r="AG3438">
        <v>1</v>
      </c>
      <c r="AH3438">
        <v>1</v>
      </c>
      <c r="AI3438">
        <v>11</v>
      </c>
      <c r="AJ3438">
        <v>12</v>
      </c>
      <c r="AM3438">
        <v>0</v>
      </c>
      <c r="AN3438">
        <v>704.89</v>
      </c>
      <c r="AP3438">
        <v>10</v>
      </c>
    </row>
    <row r="3439" spans="1:42" x14ac:dyDescent="0.25">
      <c r="A3439" t="s">
        <v>46</v>
      </c>
      <c r="B3439">
        <v>4</v>
      </c>
      <c r="C3439" t="s">
        <v>2320</v>
      </c>
      <c r="D3439" s="39">
        <v>46084</v>
      </c>
      <c r="E3439" t="s">
        <v>276</v>
      </c>
      <c r="F3439" t="s">
        <v>79</v>
      </c>
      <c r="G3439">
        <v>28</v>
      </c>
      <c r="H3439" t="s">
        <v>113</v>
      </c>
      <c r="I3439" t="s">
        <v>79</v>
      </c>
      <c r="J3439" t="s">
        <v>81</v>
      </c>
      <c r="K3439" t="s">
        <v>79</v>
      </c>
      <c r="L3439">
        <v>2</v>
      </c>
      <c r="M3439">
        <v>152.07999999999998</v>
      </c>
      <c r="N3439">
        <v>7</v>
      </c>
      <c r="Q3439">
        <v>145.07999999999998</v>
      </c>
      <c r="R3439" t="s">
        <v>2323</v>
      </c>
      <c r="V3439">
        <v>0</v>
      </c>
      <c r="W3439">
        <v>0</v>
      </c>
      <c r="AF3439">
        <v>0</v>
      </c>
      <c r="AG3439">
        <v>0</v>
      </c>
      <c r="AH3439">
        <v>0</v>
      </c>
      <c r="AI3439">
        <v>12</v>
      </c>
      <c r="AJ3439">
        <v>12</v>
      </c>
      <c r="AM3439">
        <v>0</v>
      </c>
      <c r="AN3439">
        <v>157.07999999999998</v>
      </c>
      <c r="AP3439">
        <v>10</v>
      </c>
    </row>
    <row r="3440" spans="1:42" x14ac:dyDescent="0.25">
      <c r="A3440" t="s">
        <v>46</v>
      </c>
      <c r="B3440">
        <v>4</v>
      </c>
      <c r="C3440" t="s">
        <v>2327</v>
      </c>
      <c r="D3440" s="39">
        <v>46084</v>
      </c>
      <c r="E3440" t="s">
        <v>2328</v>
      </c>
      <c r="F3440" t="s">
        <v>79</v>
      </c>
      <c r="G3440">
        <v>19</v>
      </c>
      <c r="H3440" t="s">
        <v>98</v>
      </c>
      <c r="I3440" t="s">
        <v>79</v>
      </c>
      <c r="J3440">
        <v>100</v>
      </c>
      <c r="K3440" t="s">
        <v>79</v>
      </c>
      <c r="L3440">
        <v>2</v>
      </c>
      <c r="M3440">
        <v>129.12</v>
      </c>
      <c r="N3440">
        <v>4.4000000000000004</v>
      </c>
      <c r="Q3440">
        <v>124.72</v>
      </c>
      <c r="R3440" t="s">
        <v>2329</v>
      </c>
      <c r="V3440">
        <v>0</v>
      </c>
      <c r="W3440">
        <v>0</v>
      </c>
      <c r="AF3440">
        <v>0</v>
      </c>
      <c r="AG3440">
        <v>0</v>
      </c>
      <c r="AH3440">
        <v>0</v>
      </c>
      <c r="AI3440">
        <v>12</v>
      </c>
      <c r="AJ3440">
        <v>12</v>
      </c>
      <c r="AM3440">
        <v>0</v>
      </c>
      <c r="AN3440">
        <v>134.12</v>
      </c>
      <c r="AP3440">
        <v>10</v>
      </c>
    </row>
    <row r="3441" spans="1:42" x14ac:dyDescent="0.25">
      <c r="A3441" t="s">
        <v>46</v>
      </c>
      <c r="B3441">
        <v>4</v>
      </c>
      <c r="C3441" t="s">
        <v>2330</v>
      </c>
      <c r="D3441" s="39">
        <v>46084</v>
      </c>
      <c r="E3441" t="s">
        <v>2325</v>
      </c>
      <c r="F3441" t="s">
        <v>79</v>
      </c>
      <c r="G3441">
        <v>16</v>
      </c>
      <c r="H3441" t="s">
        <v>942</v>
      </c>
      <c r="I3441" t="s">
        <v>79</v>
      </c>
      <c r="J3441">
        <v>200</v>
      </c>
      <c r="K3441" t="s">
        <v>79</v>
      </c>
      <c r="L3441">
        <v>4</v>
      </c>
      <c r="M3441">
        <v>203.97</v>
      </c>
      <c r="N3441">
        <v>7.6</v>
      </c>
      <c r="Q3441">
        <v>196.37</v>
      </c>
      <c r="R3441" t="s">
        <v>2331</v>
      </c>
      <c r="V3441">
        <v>0</v>
      </c>
      <c r="W3441">
        <v>0</v>
      </c>
      <c r="AF3441">
        <v>0</v>
      </c>
      <c r="AG3441">
        <v>0</v>
      </c>
      <c r="AH3441">
        <v>0</v>
      </c>
      <c r="AI3441">
        <v>12</v>
      </c>
      <c r="AJ3441">
        <v>12</v>
      </c>
      <c r="AM3441">
        <v>0</v>
      </c>
      <c r="AN3441">
        <v>208.97</v>
      </c>
      <c r="AP3441">
        <v>10</v>
      </c>
    </row>
    <row r="3442" spans="1:42" x14ac:dyDescent="0.25">
      <c r="A3442" t="s">
        <v>46</v>
      </c>
      <c r="B3442">
        <v>4</v>
      </c>
      <c r="C3442" t="s">
        <v>2332</v>
      </c>
      <c r="D3442" s="39">
        <v>46084</v>
      </c>
      <c r="E3442" t="s">
        <v>2333</v>
      </c>
      <c r="F3442" t="s">
        <v>79</v>
      </c>
      <c r="G3442">
        <v>16</v>
      </c>
      <c r="H3442">
        <v>9</v>
      </c>
      <c r="I3442" t="s">
        <v>79</v>
      </c>
      <c r="J3442">
        <v>100</v>
      </c>
      <c r="K3442" t="s">
        <v>79</v>
      </c>
      <c r="L3442">
        <v>2</v>
      </c>
      <c r="M3442">
        <v>115.06</v>
      </c>
      <c r="N3442">
        <v>3.8</v>
      </c>
      <c r="Q3442">
        <v>111.26</v>
      </c>
      <c r="R3442" t="s">
        <v>2334</v>
      </c>
      <c r="V3442">
        <v>0</v>
      </c>
      <c r="W3442">
        <v>0</v>
      </c>
      <c r="AF3442">
        <v>0</v>
      </c>
      <c r="AG3442">
        <v>0</v>
      </c>
      <c r="AH3442">
        <v>0</v>
      </c>
      <c r="AI3442">
        <v>12</v>
      </c>
      <c r="AJ3442">
        <v>12</v>
      </c>
      <c r="AM3442">
        <v>0</v>
      </c>
      <c r="AN3442">
        <v>120.06</v>
      </c>
      <c r="AP3442">
        <v>10</v>
      </c>
    </row>
    <row r="3443" spans="1:42" x14ac:dyDescent="0.25">
      <c r="A3443" t="s">
        <v>45</v>
      </c>
      <c r="B3443">
        <v>5</v>
      </c>
      <c r="C3443" t="s">
        <v>2335</v>
      </c>
      <c r="D3443" s="39">
        <v>46084</v>
      </c>
      <c r="E3443" t="s">
        <v>486</v>
      </c>
      <c r="F3443" t="s">
        <v>79</v>
      </c>
      <c r="G3443">
        <v>8</v>
      </c>
      <c r="H3443">
        <v>5</v>
      </c>
      <c r="I3443" t="s">
        <v>79</v>
      </c>
      <c r="J3443">
        <v>1500</v>
      </c>
      <c r="K3443" t="s">
        <v>79</v>
      </c>
      <c r="L3443">
        <v>8</v>
      </c>
      <c r="M3443">
        <v>318.73</v>
      </c>
      <c r="N3443">
        <v>6.4</v>
      </c>
      <c r="O3443">
        <v>2</v>
      </c>
      <c r="Q3443">
        <v>312.33000000000004</v>
      </c>
      <c r="R3443" t="s">
        <v>2336</v>
      </c>
      <c r="V3443">
        <v>0</v>
      </c>
      <c r="W3443">
        <v>0</v>
      </c>
      <c r="AF3443">
        <v>0</v>
      </c>
      <c r="AG3443">
        <v>0</v>
      </c>
      <c r="AH3443">
        <v>0</v>
      </c>
      <c r="AI3443">
        <v>12</v>
      </c>
      <c r="AJ3443">
        <v>12</v>
      </c>
      <c r="AM3443">
        <v>0</v>
      </c>
      <c r="AN3443">
        <v>323.73</v>
      </c>
      <c r="AP3443">
        <v>10</v>
      </c>
    </row>
    <row r="3444" spans="1:42" x14ac:dyDescent="0.25">
      <c r="A3444" t="s">
        <v>46</v>
      </c>
      <c r="B3444">
        <v>5</v>
      </c>
      <c r="C3444" t="s">
        <v>2335</v>
      </c>
      <c r="D3444" s="39">
        <v>46084</v>
      </c>
      <c r="E3444" t="s">
        <v>486</v>
      </c>
      <c r="F3444" t="s">
        <v>79</v>
      </c>
      <c r="G3444">
        <v>8</v>
      </c>
      <c r="H3444">
        <v>5</v>
      </c>
      <c r="I3444" t="s">
        <v>79</v>
      </c>
      <c r="J3444">
        <v>1500</v>
      </c>
      <c r="K3444" t="s">
        <v>79</v>
      </c>
      <c r="L3444">
        <v>7</v>
      </c>
      <c r="M3444">
        <v>300.95000000000005</v>
      </c>
      <c r="N3444">
        <v>5.6000000000000005</v>
      </c>
      <c r="O3444">
        <v>2</v>
      </c>
      <c r="Q3444">
        <v>295.35000000000002</v>
      </c>
      <c r="R3444" t="s">
        <v>2336</v>
      </c>
      <c r="V3444">
        <v>0</v>
      </c>
      <c r="W3444">
        <v>0</v>
      </c>
      <c r="AF3444">
        <v>0</v>
      </c>
      <c r="AG3444">
        <v>0</v>
      </c>
      <c r="AH3444">
        <v>0</v>
      </c>
      <c r="AI3444">
        <v>12</v>
      </c>
      <c r="AJ3444">
        <v>12</v>
      </c>
      <c r="AM3444">
        <v>0</v>
      </c>
      <c r="AN3444">
        <v>305.95000000000005</v>
      </c>
      <c r="AP3444">
        <v>10</v>
      </c>
    </row>
    <row r="3445" spans="1:42" x14ac:dyDescent="0.25">
      <c r="A3445" t="s">
        <v>45</v>
      </c>
      <c r="B3445">
        <v>1</v>
      </c>
      <c r="C3445" t="s">
        <v>2318</v>
      </c>
      <c r="D3445" s="39">
        <v>46085</v>
      </c>
      <c r="E3445" t="s">
        <v>486</v>
      </c>
      <c r="F3445" t="s">
        <v>79</v>
      </c>
      <c r="G3445">
        <v>2</v>
      </c>
      <c r="H3445" t="s">
        <v>92</v>
      </c>
      <c r="I3445" t="s">
        <v>79</v>
      </c>
      <c r="J3445" t="s">
        <v>1884</v>
      </c>
      <c r="K3445" t="s">
        <v>79</v>
      </c>
      <c r="L3445">
        <v>6</v>
      </c>
      <c r="M3445">
        <v>105.17</v>
      </c>
      <c r="N3445">
        <v>1.2000000000000002</v>
      </c>
      <c r="O3445">
        <v>22</v>
      </c>
      <c r="Q3445">
        <v>103.97</v>
      </c>
      <c r="R3445" t="s">
        <v>2322</v>
      </c>
      <c r="V3445">
        <v>0</v>
      </c>
      <c r="W3445">
        <v>0</v>
      </c>
      <c r="AF3445">
        <v>0</v>
      </c>
      <c r="AG3445">
        <v>0</v>
      </c>
      <c r="AH3445">
        <v>0</v>
      </c>
      <c r="AI3445">
        <v>12</v>
      </c>
      <c r="AJ3445">
        <v>12</v>
      </c>
      <c r="AM3445">
        <v>0</v>
      </c>
      <c r="AN3445">
        <v>110.17</v>
      </c>
      <c r="AP3445">
        <v>10</v>
      </c>
    </row>
    <row r="3446" spans="1:42" x14ac:dyDescent="0.25">
      <c r="A3446" t="s">
        <v>46</v>
      </c>
      <c r="B3446">
        <v>1</v>
      </c>
      <c r="C3446" t="s">
        <v>2318</v>
      </c>
      <c r="D3446" s="39">
        <v>46085</v>
      </c>
      <c r="E3446" t="s">
        <v>486</v>
      </c>
      <c r="F3446" t="s">
        <v>79</v>
      </c>
      <c r="G3446">
        <v>2</v>
      </c>
      <c r="H3446" t="s">
        <v>92</v>
      </c>
      <c r="I3446" t="s">
        <v>79</v>
      </c>
      <c r="J3446" t="s">
        <v>1884</v>
      </c>
      <c r="K3446" t="s">
        <v>79</v>
      </c>
      <c r="L3446">
        <v>6</v>
      </c>
      <c r="M3446">
        <v>86.050000000000011</v>
      </c>
      <c r="N3446">
        <v>1.2000000000000002</v>
      </c>
      <c r="O3446">
        <v>32</v>
      </c>
      <c r="Q3446">
        <v>84.850000000000009</v>
      </c>
      <c r="R3446" t="s">
        <v>2322</v>
      </c>
      <c r="V3446">
        <v>0</v>
      </c>
      <c r="W3446">
        <v>0</v>
      </c>
      <c r="AF3446">
        <v>0</v>
      </c>
      <c r="AG3446">
        <v>0</v>
      </c>
      <c r="AH3446">
        <v>0</v>
      </c>
      <c r="AI3446">
        <v>12</v>
      </c>
      <c r="AJ3446">
        <v>12</v>
      </c>
      <c r="AM3446">
        <v>0</v>
      </c>
      <c r="AN3446">
        <v>91.050000000000011</v>
      </c>
      <c r="AP3446">
        <v>10</v>
      </c>
    </row>
    <row r="3447" spans="1:42" x14ac:dyDescent="0.25">
      <c r="A3447" t="s">
        <v>46</v>
      </c>
      <c r="B3447">
        <v>1</v>
      </c>
      <c r="C3447" t="s">
        <v>2319</v>
      </c>
      <c r="D3447" s="39">
        <v>46085</v>
      </c>
      <c r="E3447" t="s">
        <v>486</v>
      </c>
      <c r="F3447" t="s">
        <v>79</v>
      </c>
      <c r="G3447">
        <v>3</v>
      </c>
      <c r="H3447" t="s">
        <v>92</v>
      </c>
      <c r="I3447" t="s">
        <v>79</v>
      </c>
      <c r="J3447">
        <v>1000</v>
      </c>
      <c r="K3447" t="s">
        <v>79</v>
      </c>
      <c r="L3447">
        <v>1</v>
      </c>
      <c r="M3447">
        <v>15</v>
      </c>
      <c r="N3447">
        <v>0.3</v>
      </c>
      <c r="Q3447">
        <v>14.7</v>
      </c>
      <c r="R3447" t="s">
        <v>2376</v>
      </c>
      <c r="S3447">
        <v>25</v>
      </c>
      <c r="V3447">
        <v>25</v>
      </c>
      <c r="W3447">
        <v>0.41666666666666674</v>
      </c>
      <c r="AF3447">
        <v>0</v>
      </c>
      <c r="AG3447">
        <v>0</v>
      </c>
      <c r="AH3447">
        <v>0.41666666666666674</v>
      </c>
      <c r="AI3447">
        <v>11.583333333333334</v>
      </c>
      <c r="AJ3447">
        <v>12</v>
      </c>
      <c r="AM3447">
        <v>0</v>
      </c>
      <c r="AN3447">
        <v>20</v>
      </c>
      <c r="AP3447">
        <v>10</v>
      </c>
    </row>
    <row r="3448" spans="1:42" x14ac:dyDescent="0.25">
      <c r="A3448" t="s">
        <v>45</v>
      </c>
      <c r="B3448">
        <v>2</v>
      </c>
      <c r="C3448" t="s">
        <v>2324</v>
      </c>
      <c r="D3448" s="39">
        <v>46085</v>
      </c>
      <c r="E3448" t="s">
        <v>2325</v>
      </c>
      <c r="F3448" t="s">
        <v>79</v>
      </c>
      <c r="G3448">
        <v>3.5</v>
      </c>
      <c r="H3448" t="s">
        <v>942</v>
      </c>
      <c r="I3448" t="s">
        <v>79</v>
      </c>
      <c r="J3448">
        <v>300</v>
      </c>
      <c r="K3448" t="s">
        <v>79</v>
      </c>
      <c r="L3448">
        <v>8</v>
      </c>
      <c r="M3448">
        <v>114.72</v>
      </c>
      <c r="N3448">
        <v>2.8</v>
      </c>
      <c r="Q3448">
        <v>111.92</v>
      </c>
      <c r="R3448" t="s">
        <v>2326</v>
      </c>
      <c r="V3448">
        <v>0</v>
      </c>
      <c r="W3448">
        <v>0</v>
      </c>
      <c r="AF3448">
        <v>0</v>
      </c>
      <c r="AG3448">
        <v>0</v>
      </c>
      <c r="AH3448">
        <v>0</v>
      </c>
      <c r="AI3448">
        <v>12</v>
      </c>
      <c r="AJ3448">
        <v>12</v>
      </c>
      <c r="AM3448">
        <v>0</v>
      </c>
      <c r="AN3448">
        <v>119.72</v>
      </c>
      <c r="AP3448">
        <v>10</v>
      </c>
    </row>
    <row r="3449" spans="1:42" x14ac:dyDescent="0.25">
      <c r="A3449" t="s">
        <v>46</v>
      </c>
      <c r="B3449">
        <v>2</v>
      </c>
      <c r="C3449" t="s">
        <v>2324</v>
      </c>
      <c r="D3449" s="39">
        <v>46085</v>
      </c>
      <c r="E3449" t="s">
        <v>2325</v>
      </c>
      <c r="F3449" t="s">
        <v>79</v>
      </c>
      <c r="G3449">
        <v>3.5</v>
      </c>
      <c r="H3449" t="s">
        <v>942</v>
      </c>
      <c r="I3449" t="s">
        <v>79</v>
      </c>
      <c r="J3449">
        <v>300</v>
      </c>
      <c r="K3449" t="s">
        <v>79</v>
      </c>
      <c r="L3449">
        <v>8</v>
      </c>
      <c r="M3449">
        <v>119.67</v>
      </c>
      <c r="N3449">
        <v>2.8</v>
      </c>
      <c r="Q3449">
        <v>116.87</v>
      </c>
      <c r="R3449" t="s">
        <v>2326</v>
      </c>
      <c r="V3449">
        <v>0</v>
      </c>
      <c r="W3449">
        <v>0</v>
      </c>
      <c r="AF3449">
        <v>0</v>
      </c>
      <c r="AG3449">
        <v>0</v>
      </c>
      <c r="AH3449">
        <v>0</v>
      </c>
      <c r="AI3449">
        <v>12</v>
      </c>
      <c r="AJ3449">
        <v>12</v>
      </c>
      <c r="AM3449">
        <v>0</v>
      </c>
      <c r="AN3449">
        <v>124.67</v>
      </c>
      <c r="AP3449">
        <v>10</v>
      </c>
    </row>
    <row r="3450" spans="1:42" x14ac:dyDescent="0.25">
      <c r="A3450" t="s">
        <v>46</v>
      </c>
      <c r="B3450">
        <v>2</v>
      </c>
      <c r="C3450" t="s">
        <v>2337</v>
      </c>
      <c r="D3450" s="39">
        <v>46085</v>
      </c>
      <c r="E3450" t="s">
        <v>2325</v>
      </c>
      <c r="F3450" t="s">
        <v>79</v>
      </c>
      <c r="G3450">
        <v>4</v>
      </c>
      <c r="H3450" t="s">
        <v>942</v>
      </c>
      <c r="I3450" t="s">
        <v>79</v>
      </c>
      <c r="J3450">
        <v>200</v>
      </c>
      <c r="K3450" t="s">
        <v>79</v>
      </c>
      <c r="L3450">
        <v>1</v>
      </c>
      <c r="M3450">
        <v>15.87</v>
      </c>
      <c r="N3450">
        <v>0.4</v>
      </c>
      <c r="Q3450">
        <v>15.469999999999999</v>
      </c>
      <c r="R3450" t="s">
        <v>2338</v>
      </c>
      <c r="S3450">
        <v>20</v>
      </c>
      <c r="V3450">
        <v>20</v>
      </c>
      <c r="W3450">
        <v>0.33333333333333331</v>
      </c>
      <c r="AF3450">
        <v>0</v>
      </c>
      <c r="AG3450">
        <v>0</v>
      </c>
      <c r="AH3450">
        <v>0.33333333333333331</v>
      </c>
      <c r="AI3450">
        <v>11.666666666666666</v>
      </c>
      <c r="AJ3450">
        <v>12</v>
      </c>
      <c r="AM3450">
        <v>0</v>
      </c>
      <c r="AN3450">
        <v>20.869999999999997</v>
      </c>
      <c r="AP3450">
        <v>10</v>
      </c>
    </row>
    <row r="3451" spans="1:42" x14ac:dyDescent="0.25">
      <c r="A3451" t="s">
        <v>45</v>
      </c>
      <c r="B3451">
        <v>4</v>
      </c>
      <c r="C3451" t="s">
        <v>2339</v>
      </c>
      <c r="D3451" s="39">
        <v>46085</v>
      </c>
      <c r="E3451" t="s">
        <v>2340</v>
      </c>
      <c r="F3451" t="s">
        <v>79</v>
      </c>
      <c r="G3451">
        <v>16</v>
      </c>
      <c r="H3451" t="s">
        <v>944</v>
      </c>
      <c r="I3451" t="s">
        <v>79</v>
      </c>
      <c r="J3451" t="s">
        <v>2341</v>
      </c>
      <c r="K3451" t="s">
        <v>79</v>
      </c>
      <c r="L3451">
        <v>2</v>
      </c>
      <c r="M3451">
        <v>133.34</v>
      </c>
      <c r="N3451">
        <v>3.2</v>
      </c>
      <c r="Q3451">
        <v>130.14000000000001</v>
      </c>
      <c r="R3451" t="s">
        <v>2342</v>
      </c>
      <c r="V3451">
        <v>0</v>
      </c>
      <c r="W3451">
        <v>0</v>
      </c>
      <c r="AF3451">
        <v>0</v>
      </c>
      <c r="AG3451">
        <v>0</v>
      </c>
      <c r="AH3451">
        <v>0</v>
      </c>
      <c r="AI3451">
        <v>12</v>
      </c>
      <c r="AJ3451">
        <v>12</v>
      </c>
      <c r="AM3451">
        <v>0</v>
      </c>
      <c r="AN3451">
        <v>138.34</v>
      </c>
      <c r="AP3451">
        <v>10</v>
      </c>
    </row>
    <row r="3452" spans="1:42" x14ac:dyDescent="0.25">
      <c r="A3452" t="s">
        <v>45</v>
      </c>
      <c r="B3452">
        <v>4</v>
      </c>
      <c r="C3452" t="s">
        <v>2343</v>
      </c>
      <c r="D3452" s="39">
        <v>46085</v>
      </c>
      <c r="E3452" t="s">
        <v>200</v>
      </c>
      <c r="F3452" t="s">
        <v>79</v>
      </c>
      <c r="G3452">
        <v>16</v>
      </c>
      <c r="H3452" t="s">
        <v>944</v>
      </c>
      <c r="I3452" t="s">
        <v>79</v>
      </c>
      <c r="J3452">
        <v>500</v>
      </c>
      <c r="K3452" t="s">
        <v>79</v>
      </c>
      <c r="L3452">
        <v>11</v>
      </c>
      <c r="M3452">
        <v>571.34</v>
      </c>
      <c r="N3452">
        <v>17.600000000000001</v>
      </c>
      <c r="Q3452">
        <v>553.74</v>
      </c>
      <c r="R3452" t="s">
        <v>2344</v>
      </c>
      <c r="V3452">
        <v>0</v>
      </c>
      <c r="W3452">
        <v>0</v>
      </c>
      <c r="AF3452">
        <v>0</v>
      </c>
      <c r="AG3452">
        <v>0</v>
      </c>
      <c r="AH3452">
        <v>0</v>
      </c>
      <c r="AI3452">
        <v>12</v>
      </c>
      <c r="AJ3452">
        <v>12</v>
      </c>
      <c r="AM3452">
        <v>0</v>
      </c>
      <c r="AN3452">
        <v>576.34</v>
      </c>
      <c r="AP3452">
        <v>10</v>
      </c>
    </row>
    <row r="3453" spans="1:42" x14ac:dyDescent="0.25">
      <c r="A3453" t="s">
        <v>46</v>
      </c>
      <c r="B3453">
        <v>4</v>
      </c>
      <c r="C3453" t="s">
        <v>2345</v>
      </c>
      <c r="D3453" s="39">
        <v>46085</v>
      </c>
      <c r="E3453" t="s">
        <v>276</v>
      </c>
      <c r="F3453" t="s">
        <v>79</v>
      </c>
      <c r="G3453">
        <v>16</v>
      </c>
      <c r="H3453" t="s">
        <v>113</v>
      </c>
      <c r="I3453" t="s">
        <v>79</v>
      </c>
      <c r="J3453" t="s">
        <v>81</v>
      </c>
      <c r="K3453" t="s">
        <v>79</v>
      </c>
      <c r="L3453">
        <v>12</v>
      </c>
      <c r="M3453">
        <v>720.70999999999992</v>
      </c>
      <c r="N3453">
        <v>19.200000000000003</v>
      </c>
      <c r="Q3453">
        <v>701.50999999999988</v>
      </c>
      <c r="R3453" t="s">
        <v>2346</v>
      </c>
      <c r="V3453">
        <v>0</v>
      </c>
      <c r="W3453">
        <v>0</v>
      </c>
      <c r="AF3453">
        <v>0</v>
      </c>
      <c r="AG3453">
        <v>0</v>
      </c>
      <c r="AH3453">
        <v>0</v>
      </c>
      <c r="AI3453">
        <v>12</v>
      </c>
      <c r="AJ3453">
        <v>12</v>
      </c>
      <c r="AM3453">
        <v>0</v>
      </c>
      <c r="AN3453">
        <v>725.71</v>
      </c>
      <c r="AP3453">
        <v>10</v>
      </c>
    </row>
    <row r="3454" spans="1:42" x14ac:dyDescent="0.25">
      <c r="A3454" t="s">
        <v>45</v>
      </c>
      <c r="B3454">
        <v>5</v>
      </c>
      <c r="C3454" t="s">
        <v>2335</v>
      </c>
      <c r="D3454" s="39">
        <v>46085</v>
      </c>
      <c r="E3454" t="s">
        <v>486</v>
      </c>
      <c r="F3454" t="s">
        <v>79</v>
      </c>
      <c r="G3454">
        <v>8</v>
      </c>
      <c r="H3454">
        <v>5</v>
      </c>
      <c r="I3454" t="s">
        <v>79</v>
      </c>
      <c r="J3454">
        <v>1500</v>
      </c>
      <c r="K3454" t="s">
        <v>79</v>
      </c>
      <c r="L3454">
        <v>4</v>
      </c>
      <c r="M3454">
        <v>164.43</v>
      </c>
      <c r="N3454">
        <v>3.2</v>
      </c>
      <c r="Q3454">
        <v>161.23000000000002</v>
      </c>
      <c r="R3454" t="s">
        <v>2336</v>
      </c>
      <c r="V3454">
        <v>0</v>
      </c>
      <c r="W3454">
        <v>0</v>
      </c>
      <c r="AF3454">
        <v>0</v>
      </c>
      <c r="AG3454">
        <v>0</v>
      </c>
      <c r="AH3454">
        <v>0</v>
      </c>
      <c r="AI3454">
        <v>12</v>
      </c>
      <c r="AJ3454">
        <v>12</v>
      </c>
      <c r="AM3454">
        <v>0</v>
      </c>
      <c r="AN3454">
        <v>169.43</v>
      </c>
      <c r="AP3454">
        <v>10</v>
      </c>
    </row>
    <row r="3455" spans="1:42" x14ac:dyDescent="0.25">
      <c r="A3455" t="s">
        <v>45</v>
      </c>
      <c r="B3455">
        <v>5</v>
      </c>
      <c r="C3455" t="s">
        <v>2347</v>
      </c>
      <c r="D3455" s="39">
        <v>46085</v>
      </c>
      <c r="E3455" t="s">
        <v>2325</v>
      </c>
      <c r="F3455" t="s">
        <v>79</v>
      </c>
      <c r="G3455">
        <v>8</v>
      </c>
      <c r="H3455" t="s">
        <v>942</v>
      </c>
      <c r="I3455" t="s">
        <v>79</v>
      </c>
      <c r="J3455">
        <v>150</v>
      </c>
      <c r="K3455" t="s">
        <v>79</v>
      </c>
      <c r="L3455">
        <v>4</v>
      </c>
      <c r="M3455">
        <v>159.88</v>
      </c>
      <c r="N3455">
        <v>3.2</v>
      </c>
      <c r="O3455">
        <v>7</v>
      </c>
      <c r="Q3455">
        <v>156.68</v>
      </c>
      <c r="R3455" t="s">
        <v>2348</v>
      </c>
      <c r="V3455">
        <v>0</v>
      </c>
      <c r="W3455">
        <v>0</v>
      </c>
      <c r="AF3455">
        <v>0</v>
      </c>
      <c r="AG3455">
        <v>0</v>
      </c>
      <c r="AH3455">
        <v>0</v>
      </c>
      <c r="AI3455">
        <v>12</v>
      </c>
      <c r="AJ3455">
        <v>12</v>
      </c>
      <c r="AM3455">
        <v>0</v>
      </c>
      <c r="AN3455">
        <v>164.88</v>
      </c>
      <c r="AP3455">
        <v>10</v>
      </c>
    </row>
    <row r="3456" spans="1:42" x14ac:dyDescent="0.25">
      <c r="A3456" t="s">
        <v>46</v>
      </c>
      <c r="B3456">
        <v>5</v>
      </c>
      <c r="C3456" t="s">
        <v>2347</v>
      </c>
      <c r="D3456" s="39">
        <v>46085</v>
      </c>
      <c r="E3456" t="s">
        <v>2325</v>
      </c>
      <c r="F3456" t="s">
        <v>79</v>
      </c>
      <c r="G3456">
        <v>8</v>
      </c>
      <c r="H3456" t="s">
        <v>942</v>
      </c>
      <c r="I3456" t="s">
        <v>79</v>
      </c>
      <c r="J3456">
        <v>150</v>
      </c>
      <c r="K3456" t="s">
        <v>79</v>
      </c>
      <c r="L3456">
        <v>6</v>
      </c>
      <c r="M3456">
        <v>255.87</v>
      </c>
      <c r="N3456">
        <v>6</v>
      </c>
      <c r="O3456">
        <v>7</v>
      </c>
      <c r="Q3456">
        <v>249.87</v>
      </c>
      <c r="R3456" t="s">
        <v>2348</v>
      </c>
      <c r="V3456">
        <v>0</v>
      </c>
      <c r="W3456">
        <v>0</v>
      </c>
      <c r="AF3456">
        <v>0</v>
      </c>
      <c r="AG3456">
        <v>0</v>
      </c>
      <c r="AH3456">
        <v>0</v>
      </c>
      <c r="AI3456">
        <v>12</v>
      </c>
      <c r="AJ3456">
        <v>12</v>
      </c>
      <c r="AM3456">
        <v>0</v>
      </c>
      <c r="AN3456">
        <v>260.87</v>
      </c>
      <c r="AP3456">
        <v>10</v>
      </c>
    </row>
    <row r="3457" spans="1:42" x14ac:dyDescent="0.25">
      <c r="A3457" t="s">
        <v>46</v>
      </c>
      <c r="B3457">
        <v>5</v>
      </c>
      <c r="C3457" t="s">
        <v>2335</v>
      </c>
      <c r="D3457" s="39">
        <v>46085</v>
      </c>
      <c r="E3457" t="s">
        <v>486</v>
      </c>
      <c r="F3457" t="s">
        <v>79</v>
      </c>
      <c r="G3457">
        <v>8</v>
      </c>
      <c r="H3457">
        <v>5</v>
      </c>
      <c r="I3457" t="s">
        <v>79</v>
      </c>
      <c r="J3457">
        <v>1500</v>
      </c>
      <c r="K3457" t="s">
        <v>79</v>
      </c>
      <c r="L3457">
        <v>2</v>
      </c>
      <c r="M3457">
        <v>74.63</v>
      </c>
      <c r="N3457">
        <v>1.6</v>
      </c>
      <c r="Q3457">
        <v>73.03</v>
      </c>
      <c r="R3457" t="s">
        <v>2336</v>
      </c>
      <c r="V3457">
        <v>0</v>
      </c>
      <c r="W3457">
        <v>0</v>
      </c>
      <c r="AF3457">
        <v>0</v>
      </c>
      <c r="AG3457">
        <v>0</v>
      </c>
      <c r="AH3457">
        <v>0</v>
      </c>
      <c r="AI3457">
        <v>12</v>
      </c>
      <c r="AJ3457">
        <v>12</v>
      </c>
      <c r="AM3457">
        <v>0</v>
      </c>
      <c r="AN3457">
        <v>79.63</v>
      </c>
      <c r="AP3457">
        <v>10</v>
      </c>
    </row>
    <row r="3458" spans="1:42" x14ac:dyDescent="0.25">
      <c r="A3458" t="s">
        <v>45</v>
      </c>
      <c r="B3458">
        <v>1</v>
      </c>
      <c r="C3458" t="s">
        <v>2349</v>
      </c>
      <c r="D3458" s="39">
        <v>46086</v>
      </c>
      <c r="E3458" t="s">
        <v>486</v>
      </c>
      <c r="F3458" t="s">
        <v>79</v>
      </c>
      <c r="G3458">
        <v>3</v>
      </c>
      <c r="H3458" t="s">
        <v>92</v>
      </c>
      <c r="I3458" t="s">
        <v>79</v>
      </c>
      <c r="J3458" t="s">
        <v>1884</v>
      </c>
      <c r="K3458" t="s">
        <v>79</v>
      </c>
      <c r="L3458">
        <v>2</v>
      </c>
      <c r="M3458">
        <v>23.5</v>
      </c>
      <c r="N3458">
        <v>0.6</v>
      </c>
      <c r="Q3458">
        <v>22.9</v>
      </c>
      <c r="R3458" t="s">
        <v>2350</v>
      </c>
      <c r="V3458">
        <v>0</v>
      </c>
      <c r="W3458">
        <v>0</v>
      </c>
      <c r="AF3458">
        <v>0</v>
      </c>
      <c r="AG3458">
        <v>0</v>
      </c>
      <c r="AH3458">
        <v>0</v>
      </c>
      <c r="AI3458">
        <v>12</v>
      </c>
      <c r="AJ3458">
        <v>12</v>
      </c>
      <c r="AM3458">
        <v>0</v>
      </c>
      <c r="AN3458">
        <v>28.5</v>
      </c>
      <c r="AP3458">
        <v>10</v>
      </c>
    </row>
    <row r="3459" spans="1:42" x14ac:dyDescent="0.25">
      <c r="A3459" t="s">
        <v>45</v>
      </c>
      <c r="B3459">
        <v>1</v>
      </c>
      <c r="C3459" t="s">
        <v>2351</v>
      </c>
      <c r="D3459" s="39">
        <v>46086</v>
      </c>
      <c r="E3459" t="s">
        <v>1177</v>
      </c>
      <c r="F3459" t="s">
        <v>79</v>
      </c>
      <c r="G3459">
        <v>3.5</v>
      </c>
      <c r="H3459" t="s">
        <v>123</v>
      </c>
      <c r="I3459" t="s">
        <v>79</v>
      </c>
      <c r="J3459">
        <v>1000</v>
      </c>
      <c r="K3459" t="s">
        <v>79</v>
      </c>
      <c r="L3459">
        <v>5</v>
      </c>
      <c r="M3459">
        <v>96.539999999999992</v>
      </c>
      <c r="N3459">
        <v>1.75</v>
      </c>
      <c r="O3459">
        <v>36</v>
      </c>
      <c r="Q3459">
        <v>94.789999999999992</v>
      </c>
      <c r="R3459" t="s">
        <v>2377</v>
      </c>
      <c r="V3459">
        <v>0</v>
      </c>
      <c r="W3459">
        <v>0</v>
      </c>
      <c r="AF3459">
        <v>0</v>
      </c>
      <c r="AG3459">
        <v>0</v>
      </c>
      <c r="AH3459">
        <v>0</v>
      </c>
      <c r="AI3459">
        <v>12</v>
      </c>
      <c r="AJ3459">
        <v>12</v>
      </c>
      <c r="AM3459">
        <v>0</v>
      </c>
      <c r="AN3459">
        <v>101.54</v>
      </c>
      <c r="AP3459">
        <v>10</v>
      </c>
    </row>
    <row r="3460" spans="1:42" x14ac:dyDescent="0.25">
      <c r="A3460" t="s">
        <v>46</v>
      </c>
      <c r="B3460">
        <v>1</v>
      </c>
      <c r="C3460" t="s">
        <v>2351</v>
      </c>
      <c r="D3460" s="39">
        <v>46086</v>
      </c>
      <c r="E3460" t="s">
        <v>1177</v>
      </c>
      <c r="F3460" t="s">
        <v>79</v>
      </c>
      <c r="G3460">
        <v>3.5</v>
      </c>
      <c r="H3460" t="s">
        <v>123</v>
      </c>
      <c r="I3460" t="s">
        <v>79</v>
      </c>
      <c r="J3460">
        <v>1000</v>
      </c>
      <c r="K3460" t="s">
        <v>79</v>
      </c>
      <c r="L3460">
        <v>8</v>
      </c>
      <c r="M3460">
        <v>163.87</v>
      </c>
      <c r="N3460">
        <v>2.8</v>
      </c>
      <c r="Q3460">
        <v>161.07</v>
      </c>
      <c r="R3460" t="s">
        <v>2377</v>
      </c>
      <c r="V3460">
        <v>0</v>
      </c>
      <c r="W3460">
        <v>0</v>
      </c>
      <c r="AF3460">
        <v>0</v>
      </c>
      <c r="AG3460">
        <v>0</v>
      </c>
      <c r="AH3460">
        <v>0</v>
      </c>
      <c r="AI3460">
        <v>12</v>
      </c>
      <c r="AJ3460">
        <v>12</v>
      </c>
      <c r="AM3460">
        <v>0</v>
      </c>
      <c r="AN3460">
        <v>168.87</v>
      </c>
      <c r="AP3460">
        <v>10</v>
      </c>
    </row>
    <row r="3461" spans="1:42" x14ac:dyDescent="0.25">
      <c r="A3461" t="s">
        <v>45</v>
      </c>
      <c r="B3461">
        <v>2</v>
      </c>
      <c r="C3461" t="s">
        <v>2352</v>
      </c>
      <c r="D3461" s="39">
        <v>46086</v>
      </c>
      <c r="E3461" t="s">
        <v>2325</v>
      </c>
      <c r="F3461" t="s">
        <v>79</v>
      </c>
      <c r="G3461">
        <v>4</v>
      </c>
      <c r="H3461" t="s">
        <v>942</v>
      </c>
      <c r="I3461" t="s">
        <v>79</v>
      </c>
      <c r="J3461">
        <v>375</v>
      </c>
      <c r="K3461" t="s">
        <v>79</v>
      </c>
      <c r="L3461">
        <v>12</v>
      </c>
      <c r="M3461">
        <v>155.19999999999999</v>
      </c>
      <c r="N3461">
        <v>4.8000000000000007</v>
      </c>
      <c r="Q3461">
        <v>150.39999999999998</v>
      </c>
      <c r="R3461" t="s">
        <v>2353</v>
      </c>
      <c r="V3461">
        <v>0</v>
      </c>
      <c r="W3461">
        <v>0</v>
      </c>
      <c r="AF3461">
        <v>0</v>
      </c>
      <c r="AG3461">
        <v>0</v>
      </c>
      <c r="AH3461">
        <v>0</v>
      </c>
      <c r="AI3461">
        <v>12</v>
      </c>
      <c r="AJ3461">
        <v>12</v>
      </c>
      <c r="AM3461">
        <v>0</v>
      </c>
      <c r="AN3461">
        <v>160.19999999999999</v>
      </c>
      <c r="AP3461">
        <v>10</v>
      </c>
    </row>
    <row r="3462" spans="1:42" x14ac:dyDescent="0.25">
      <c r="A3462" t="s">
        <v>46</v>
      </c>
      <c r="B3462">
        <v>2</v>
      </c>
      <c r="C3462" t="s">
        <v>2352</v>
      </c>
      <c r="D3462" s="39">
        <v>46086</v>
      </c>
      <c r="E3462" t="s">
        <v>2325</v>
      </c>
      <c r="F3462" t="s">
        <v>79</v>
      </c>
      <c r="G3462">
        <v>4</v>
      </c>
      <c r="H3462" t="s">
        <v>942</v>
      </c>
      <c r="I3462" t="s">
        <v>79</v>
      </c>
      <c r="J3462">
        <v>375</v>
      </c>
      <c r="K3462" t="s">
        <v>79</v>
      </c>
      <c r="L3462">
        <v>9</v>
      </c>
      <c r="M3462">
        <v>152.18999999999997</v>
      </c>
      <c r="N3462">
        <v>3.6</v>
      </c>
      <c r="Q3462">
        <v>148.58999999999997</v>
      </c>
      <c r="R3462" t="s">
        <v>2353</v>
      </c>
      <c r="V3462">
        <v>0</v>
      </c>
      <c r="W3462">
        <v>0</v>
      </c>
      <c r="AF3462">
        <v>0</v>
      </c>
      <c r="AG3462">
        <v>0</v>
      </c>
      <c r="AH3462">
        <v>0</v>
      </c>
      <c r="AI3462">
        <v>12</v>
      </c>
      <c r="AJ3462">
        <v>12</v>
      </c>
      <c r="AM3462">
        <v>0</v>
      </c>
      <c r="AN3462">
        <v>157.18999999999997</v>
      </c>
      <c r="AP3462">
        <v>10</v>
      </c>
    </row>
    <row r="3463" spans="1:42" x14ac:dyDescent="0.25">
      <c r="A3463" t="s">
        <v>45</v>
      </c>
      <c r="B3463">
        <v>4</v>
      </c>
      <c r="C3463" t="s">
        <v>2345</v>
      </c>
      <c r="D3463" s="39">
        <v>46086</v>
      </c>
      <c r="E3463" t="s">
        <v>276</v>
      </c>
      <c r="F3463" t="s">
        <v>79</v>
      </c>
      <c r="G3463">
        <v>16</v>
      </c>
      <c r="H3463" t="s">
        <v>113</v>
      </c>
      <c r="I3463" t="s">
        <v>79</v>
      </c>
      <c r="J3463" t="s">
        <v>81</v>
      </c>
      <c r="K3463" t="s">
        <v>79</v>
      </c>
      <c r="L3463">
        <v>12</v>
      </c>
      <c r="M3463">
        <v>734.16</v>
      </c>
      <c r="N3463">
        <v>19.200000000000003</v>
      </c>
      <c r="Q3463">
        <v>714.95999999999992</v>
      </c>
      <c r="R3463" t="s">
        <v>2346</v>
      </c>
      <c r="V3463">
        <v>0</v>
      </c>
      <c r="W3463">
        <v>0</v>
      </c>
      <c r="AF3463">
        <v>0</v>
      </c>
      <c r="AG3463">
        <v>0</v>
      </c>
      <c r="AH3463">
        <v>0</v>
      </c>
      <c r="AI3463">
        <v>12</v>
      </c>
      <c r="AJ3463">
        <v>12</v>
      </c>
      <c r="AM3463">
        <v>0</v>
      </c>
      <c r="AN3463">
        <v>739.16</v>
      </c>
      <c r="AP3463">
        <v>10</v>
      </c>
    </row>
    <row r="3464" spans="1:42" x14ac:dyDescent="0.25">
      <c r="A3464" t="s">
        <v>46</v>
      </c>
      <c r="B3464">
        <v>4</v>
      </c>
      <c r="C3464" t="s">
        <v>2345</v>
      </c>
      <c r="D3464" s="39">
        <v>46086</v>
      </c>
      <c r="E3464" t="s">
        <v>276</v>
      </c>
      <c r="F3464" t="s">
        <v>79</v>
      </c>
      <c r="G3464">
        <v>16</v>
      </c>
      <c r="H3464" t="s">
        <v>113</v>
      </c>
      <c r="I3464" t="s">
        <v>79</v>
      </c>
      <c r="J3464" t="s">
        <v>81</v>
      </c>
      <c r="K3464" t="s">
        <v>79</v>
      </c>
      <c r="L3464">
        <v>3</v>
      </c>
      <c r="M3464">
        <v>168.93</v>
      </c>
      <c r="N3464">
        <v>5.6999999999999993</v>
      </c>
      <c r="Q3464">
        <v>163.23000000000002</v>
      </c>
      <c r="R3464" t="s">
        <v>2346</v>
      </c>
      <c r="V3464">
        <v>0</v>
      </c>
      <c r="W3464">
        <v>0</v>
      </c>
      <c r="AF3464">
        <v>0</v>
      </c>
      <c r="AG3464">
        <v>0</v>
      </c>
      <c r="AH3464">
        <v>0</v>
      </c>
      <c r="AI3464">
        <v>12</v>
      </c>
      <c r="AJ3464">
        <v>12</v>
      </c>
      <c r="AM3464">
        <v>0</v>
      </c>
      <c r="AN3464">
        <v>173.93</v>
      </c>
      <c r="AP3464">
        <v>10</v>
      </c>
    </row>
    <row r="3465" spans="1:42" x14ac:dyDescent="0.25">
      <c r="A3465" t="s">
        <v>46</v>
      </c>
      <c r="B3465">
        <v>4</v>
      </c>
      <c r="C3465" t="s">
        <v>2354</v>
      </c>
      <c r="D3465" s="39">
        <v>46086</v>
      </c>
      <c r="E3465" t="s">
        <v>1846</v>
      </c>
      <c r="F3465" t="s">
        <v>79</v>
      </c>
      <c r="G3465" t="s">
        <v>1861</v>
      </c>
      <c r="H3465" t="s">
        <v>122</v>
      </c>
      <c r="I3465" t="s">
        <v>79</v>
      </c>
      <c r="J3465">
        <v>100</v>
      </c>
      <c r="K3465" t="s">
        <v>79</v>
      </c>
      <c r="L3465">
        <v>4</v>
      </c>
      <c r="M3465">
        <v>115.47999999999999</v>
      </c>
      <c r="N3465">
        <v>7.6</v>
      </c>
      <c r="Q3465">
        <v>107.88</v>
      </c>
      <c r="R3465" t="s">
        <v>2355</v>
      </c>
      <c r="V3465">
        <v>0</v>
      </c>
      <c r="W3465">
        <v>0</v>
      </c>
      <c r="AF3465">
        <v>0</v>
      </c>
      <c r="AG3465">
        <v>0</v>
      </c>
      <c r="AH3465">
        <v>0</v>
      </c>
      <c r="AI3465">
        <v>12</v>
      </c>
      <c r="AJ3465">
        <v>12</v>
      </c>
      <c r="AM3465">
        <v>0</v>
      </c>
      <c r="AN3465">
        <v>120.48</v>
      </c>
      <c r="AP3465">
        <v>10</v>
      </c>
    </row>
    <row r="3466" spans="1:42" x14ac:dyDescent="0.25">
      <c r="A3466" t="s">
        <v>46</v>
      </c>
      <c r="B3466">
        <v>4</v>
      </c>
      <c r="C3466" t="s">
        <v>2356</v>
      </c>
      <c r="D3466" s="39">
        <v>46086</v>
      </c>
      <c r="E3466" t="s">
        <v>200</v>
      </c>
      <c r="F3466" t="s">
        <v>79</v>
      </c>
      <c r="G3466">
        <v>20</v>
      </c>
      <c r="H3466" t="s">
        <v>944</v>
      </c>
      <c r="I3466" t="s">
        <v>79</v>
      </c>
      <c r="J3466">
        <v>500</v>
      </c>
      <c r="K3466" t="s">
        <v>79</v>
      </c>
      <c r="L3466">
        <v>3</v>
      </c>
      <c r="M3466">
        <v>216.87</v>
      </c>
      <c r="N3466">
        <v>7.5</v>
      </c>
      <c r="Q3466">
        <v>209.37</v>
      </c>
      <c r="R3466" t="s">
        <v>2357</v>
      </c>
      <c r="V3466">
        <v>0</v>
      </c>
      <c r="W3466">
        <v>0</v>
      </c>
      <c r="AF3466">
        <v>0</v>
      </c>
      <c r="AG3466">
        <v>0</v>
      </c>
      <c r="AH3466">
        <v>0</v>
      </c>
      <c r="AI3466">
        <v>12</v>
      </c>
      <c r="AJ3466">
        <v>12</v>
      </c>
      <c r="AM3466">
        <v>0</v>
      </c>
      <c r="AN3466">
        <v>221.87</v>
      </c>
      <c r="AP3466">
        <v>10</v>
      </c>
    </row>
    <row r="3467" spans="1:42" x14ac:dyDescent="0.25">
      <c r="A3467" t="s">
        <v>46</v>
      </c>
      <c r="B3467">
        <v>4</v>
      </c>
      <c r="C3467" t="s">
        <v>2358</v>
      </c>
      <c r="D3467" s="39">
        <v>46086</v>
      </c>
      <c r="E3467" t="s">
        <v>2325</v>
      </c>
      <c r="F3467" t="s">
        <v>79</v>
      </c>
      <c r="G3467">
        <v>20</v>
      </c>
      <c r="H3467" t="s">
        <v>942</v>
      </c>
      <c r="I3467" t="s">
        <v>79</v>
      </c>
      <c r="J3467">
        <v>150</v>
      </c>
      <c r="K3467" t="s">
        <v>79</v>
      </c>
      <c r="L3467">
        <v>3</v>
      </c>
      <c r="M3467">
        <v>174.62</v>
      </c>
      <c r="N3467">
        <v>6</v>
      </c>
      <c r="Q3467">
        <v>168.62</v>
      </c>
      <c r="R3467" t="s">
        <v>2359</v>
      </c>
      <c r="V3467">
        <v>0</v>
      </c>
      <c r="W3467">
        <v>0</v>
      </c>
      <c r="AF3467">
        <v>0</v>
      </c>
      <c r="AG3467">
        <v>0</v>
      </c>
      <c r="AH3467">
        <v>0</v>
      </c>
      <c r="AI3467">
        <v>12</v>
      </c>
      <c r="AJ3467">
        <v>12</v>
      </c>
      <c r="AM3467">
        <v>0</v>
      </c>
      <c r="AN3467">
        <v>179.62</v>
      </c>
      <c r="AP3467">
        <v>10</v>
      </c>
    </row>
    <row r="3468" spans="1:42" x14ac:dyDescent="0.25">
      <c r="A3468" t="s">
        <v>45</v>
      </c>
      <c r="B3468">
        <v>5</v>
      </c>
      <c r="C3468" t="s">
        <v>2335</v>
      </c>
      <c r="D3468" s="39">
        <v>46086</v>
      </c>
      <c r="E3468" t="s">
        <v>486</v>
      </c>
      <c r="F3468" t="s">
        <v>79</v>
      </c>
      <c r="G3468">
        <v>8</v>
      </c>
      <c r="H3468">
        <v>5</v>
      </c>
      <c r="I3468" t="s">
        <v>79</v>
      </c>
      <c r="J3468">
        <v>1500</v>
      </c>
      <c r="K3468" t="s">
        <v>79</v>
      </c>
      <c r="L3468">
        <v>8</v>
      </c>
      <c r="M3468">
        <v>319.28999999999996</v>
      </c>
      <c r="N3468">
        <v>6.4</v>
      </c>
      <c r="O3468">
        <v>7</v>
      </c>
      <c r="Q3468">
        <v>312.89</v>
      </c>
      <c r="R3468" t="s">
        <v>2336</v>
      </c>
      <c r="V3468">
        <v>0</v>
      </c>
      <c r="W3468">
        <v>0</v>
      </c>
      <c r="AF3468">
        <v>0</v>
      </c>
      <c r="AG3468">
        <v>0</v>
      </c>
      <c r="AH3468">
        <v>0</v>
      </c>
      <c r="AI3468">
        <v>12</v>
      </c>
      <c r="AJ3468">
        <v>12</v>
      </c>
      <c r="AM3468">
        <v>0</v>
      </c>
      <c r="AN3468">
        <v>324.28999999999996</v>
      </c>
      <c r="AP3468">
        <v>10</v>
      </c>
    </row>
    <row r="3469" spans="1:42" x14ac:dyDescent="0.25">
      <c r="A3469" t="s">
        <v>46</v>
      </c>
      <c r="B3469">
        <v>5</v>
      </c>
      <c r="C3469" t="s">
        <v>2335</v>
      </c>
      <c r="D3469" s="39">
        <v>46086</v>
      </c>
      <c r="E3469" t="s">
        <v>486</v>
      </c>
      <c r="F3469" t="s">
        <v>79</v>
      </c>
      <c r="G3469">
        <v>8</v>
      </c>
      <c r="H3469">
        <v>5</v>
      </c>
      <c r="I3469" t="s">
        <v>79</v>
      </c>
      <c r="J3469">
        <v>1500</v>
      </c>
      <c r="K3469" t="s">
        <v>79</v>
      </c>
      <c r="L3469">
        <v>8</v>
      </c>
      <c r="M3469">
        <v>295.42</v>
      </c>
      <c r="N3469">
        <v>6.4</v>
      </c>
      <c r="O3469">
        <v>7</v>
      </c>
      <c r="Q3469">
        <v>289.02000000000004</v>
      </c>
      <c r="R3469" t="s">
        <v>2336</v>
      </c>
      <c r="V3469">
        <v>0</v>
      </c>
      <c r="W3469">
        <v>0</v>
      </c>
      <c r="AF3469">
        <v>0</v>
      </c>
      <c r="AG3469">
        <v>0</v>
      </c>
      <c r="AH3469">
        <v>0</v>
      </c>
      <c r="AI3469">
        <v>12</v>
      </c>
      <c r="AJ3469">
        <v>12</v>
      </c>
      <c r="AM3469">
        <v>0</v>
      </c>
      <c r="AN3469">
        <v>300.42</v>
      </c>
      <c r="AP3469">
        <v>10</v>
      </c>
    </row>
    <row r="3470" spans="1:42" x14ac:dyDescent="0.25">
      <c r="A3470" t="s">
        <v>45</v>
      </c>
      <c r="B3470">
        <v>1</v>
      </c>
      <c r="C3470" t="s">
        <v>2351</v>
      </c>
      <c r="D3470" s="39">
        <v>46087</v>
      </c>
      <c r="E3470" t="s">
        <v>1177</v>
      </c>
      <c r="F3470" t="s">
        <v>79</v>
      </c>
      <c r="G3470">
        <v>3.5</v>
      </c>
      <c r="H3470" t="s">
        <v>123</v>
      </c>
      <c r="I3470" t="s">
        <v>79</v>
      </c>
      <c r="J3470">
        <v>1000</v>
      </c>
      <c r="K3470" t="s">
        <v>79</v>
      </c>
      <c r="L3470">
        <v>8</v>
      </c>
      <c r="M3470">
        <v>150.4</v>
      </c>
      <c r="N3470">
        <v>2.8</v>
      </c>
      <c r="O3470">
        <v>5</v>
      </c>
      <c r="Q3470">
        <v>147.6</v>
      </c>
      <c r="R3470" t="s">
        <v>2377</v>
      </c>
      <c r="V3470">
        <v>0</v>
      </c>
      <c r="W3470">
        <v>0</v>
      </c>
      <c r="AF3470">
        <v>0</v>
      </c>
      <c r="AG3470">
        <v>0</v>
      </c>
      <c r="AH3470">
        <v>0</v>
      </c>
      <c r="AI3470">
        <v>12</v>
      </c>
      <c r="AJ3470">
        <v>12</v>
      </c>
      <c r="AM3470">
        <v>0</v>
      </c>
      <c r="AN3470">
        <v>155.4</v>
      </c>
      <c r="AP3470">
        <v>10</v>
      </c>
    </row>
    <row r="3471" spans="1:42" x14ac:dyDescent="0.25">
      <c r="A3471" t="s">
        <v>46</v>
      </c>
      <c r="B3471">
        <v>1</v>
      </c>
      <c r="C3471" t="s">
        <v>2351</v>
      </c>
      <c r="D3471" s="39">
        <v>46087</v>
      </c>
      <c r="E3471" t="s">
        <v>1177</v>
      </c>
      <c r="F3471" t="s">
        <v>79</v>
      </c>
      <c r="G3471">
        <v>3.5</v>
      </c>
      <c r="H3471" t="s">
        <v>123</v>
      </c>
      <c r="I3471" t="s">
        <v>79</v>
      </c>
      <c r="J3471">
        <v>1000</v>
      </c>
      <c r="K3471" t="s">
        <v>79</v>
      </c>
      <c r="L3471">
        <v>8</v>
      </c>
      <c r="M3471">
        <v>152.54000000000002</v>
      </c>
      <c r="N3471">
        <v>2.8</v>
      </c>
      <c r="O3471">
        <v>5</v>
      </c>
      <c r="Q3471">
        <v>149.74</v>
      </c>
      <c r="R3471" t="s">
        <v>2377</v>
      </c>
      <c r="V3471">
        <v>0</v>
      </c>
      <c r="W3471">
        <v>0</v>
      </c>
      <c r="AF3471">
        <v>0</v>
      </c>
      <c r="AG3471">
        <v>0</v>
      </c>
      <c r="AH3471">
        <v>0</v>
      </c>
      <c r="AI3471">
        <v>12</v>
      </c>
      <c r="AJ3471">
        <v>12</v>
      </c>
      <c r="AM3471">
        <v>0</v>
      </c>
      <c r="AN3471">
        <v>157.54000000000002</v>
      </c>
      <c r="AP3471">
        <v>10</v>
      </c>
    </row>
    <row r="3472" spans="1:42" x14ac:dyDescent="0.25">
      <c r="A3472" t="s">
        <v>45</v>
      </c>
      <c r="B3472">
        <v>2</v>
      </c>
      <c r="C3472" t="s">
        <v>2352</v>
      </c>
      <c r="D3472" s="39">
        <v>46087</v>
      </c>
      <c r="E3472" t="s">
        <v>2325</v>
      </c>
      <c r="F3472" t="s">
        <v>79</v>
      </c>
      <c r="G3472">
        <v>4</v>
      </c>
      <c r="H3472" t="s">
        <v>942</v>
      </c>
      <c r="I3472" t="s">
        <v>79</v>
      </c>
      <c r="J3472">
        <v>375</v>
      </c>
      <c r="K3472" t="s">
        <v>79</v>
      </c>
      <c r="L3472">
        <v>5</v>
      </c>
      <c r="M3472">
        <v>71.75</v>
      </c>
      <c r="N3472">
        <v>2</v>
      </c>
      <c r="Q3472">
        <v>69.75</v>
      </c>
      <c r="R3472" t="s">
        <v>2353</v>
      </c>
      <c r="V3472">
        <v>0</v>
      </c>
      <c r="W3472">
        <v>0</v>
      </c>
      <c r="AF3472">
        <v>0</v>
      </c>
      <c r="AG3472">
        <v>0</v>
      </c>
      <c r="AH3472">
        <v>0</v>
      </c>
      <c r="AI3472">
        <v>12</v>
      </c>
      <c r="AJ3472">
        <v>12</v>
      </c>
      <c r="AM3472">
        <v>0</v>
      </c>
      <c r="AN3472">
        <v>76.75</v>
      </c>
      <c r="AP3472">
        <v>10</v>
      </c>
    </row>
    <row r="3473" spans="1:42" x14ac:dyDescent="0.25">
      <c r="A3473" t="s">
        <v>45</v>
      </c>
      <c r="B3473">
        <v>2</v>
      </c>
      <c r="C3473" t="s">
        <v>799</v>
      </c>
      <c r="D3473" s="39">
        <v>46087</v>
      </c>
      <c r="E3473" t="s">
        <v>486</v>
      </c>
      <c r="F3473" t="s">
        <v>79</v>
      </c>
      <c r="G3473">
        <v>4</v>
      </c>
      <c r="H3473" t="s">
        <v>113</v>
      </c>
      <c r="I3473" t="s">
        <v>79</v>
      </c>
      <c r="J3473">
        <v>500</v>
      </c>
      <c r="K3473" t="s">
        <v>79</v>
      </c>
      <c r="L3473">
        <v>5</v>
      </c>
      <c r="M3473">
        <v>84.68</v>
      </c>
      <c r="N3473">
        <v>2</v>
      </c>
      <c r="Q3473">
        <v>82.68</v>
      </c>
      <c r="R3473" t="s">
        <v>2360</v>
      </c>
      <c r="V3473">
        <v>0</v>
      </c>
      <c r="W3473">
        <v>0</v>
      </c>
      <c r="AF3473">
        <v>0</v>
      </c>
      <c r="AG3473">
        <v>0</v>
      </c>
      <c r="AH3473">
        <v>0</v>
      </c>
      <c r="AI3473">
        <v>12</v>
      </c>
      <c r="AJ3473">
        <v>12</v>
      </c>
      <c r="AM3473">
        <v>0</v>
      </c>
      <c r="AN3473">
        <v>89.68</v>
      </c>
      <c r="AP3473">
        <v>10</v>
      </c>
    </row>
    <row r="3474" spans="1:42" x14ac:dyDescent="0.25">
      <c r="A3474" t="s">
        <v>45</v>
      </c>
      <c r="B3474">
        <v>2</v>
      </c>
      <c r="C3474" t="s">
        <v>2361</v>
      </c>
      <c r="D3474" s="39">
        <v>46087</v>
      </c>
      <c r="E3474" t="s">
        <v>2325</v>
      </c>
      <c r="F3474" t="s">
        <v>79</v>
      </c>
      <c r="G3474">
        <v>5</v>
      </c>
      <c r="H3474" t="s">
        <v>942</v>
      </c>
      <c r="I3474" t="s">
        <v>79</v>
      </c>
      <c r="J3474">
        <v>50</v>
      </c>
      <c r="K3474" t="s">
        <v>79</v>
      </c>
      <c r="L3474">
        <v>1</v>
      </c>
      <c r="M3474">
        <v>5.31</v>
      </c>
      <c r="N3474">
        <v>0.5</v>
      </c>
      <c r="O3474">
        <v>22</v>
      </c>
      <c r="Q3474">
        <v>4.8099999999999996</v>
      </c>
      <c r="R3474" t="s">
        <v>2362</v>
      </c>
      <c r="S3474">
        <v>20</v>
      </c>
      <c r="V3474">
        <v>20</v>
      </c>
      <c r="W3474">
        <v>0.33333333333333331</v>
      </c>
      <c r="AD3474">
        <v>40</v>
      </c>
      <c r="AF3474">
        <v>40</v>
      </c>
      <c r="AG3474">
        <v>0.66666666666666663</v>
      </c>
      <c r="AH3474">
        <v>1</v>
      </c>
      <c r="AI3474">
        <v>11</v>
      </c>
      <c r="AJ3474">
        <v>12</v>
      </c>
      <c r="AM3474">
        <v>0</v>
      </c>
      <c r="AN3474">
        <v>10.31</v>
      </c>
      <c r="AP3474">
        <v>10</v>
      </c>
    </row>
    <row r="3475" spans="1:42" x14ac:dyDescent="0.25">
      <c r="A3475" t="s">
        <v>46</v>
      </c>
      <c r="B3475">
        <v>2</v>
      </c>
      <c r="C3475" t="s">
        <v>2361</v>
      </c>
      <c r="D3475" s="39">
        <v>46087</v>
      </c>
      <c r="E3475" t="s">
        <v>2325</v>
      </c>
      <c r="F3475" t="s">
        <v>79</v>
      </c>
      <c r="G3475">
        <v>5</v>
      </c>
      <c r="H3475" t="s">
        <v>942</v>
      </c>
      <c r="I3475" t="s">
        <v>79</v>
      </c>
      <c r="J3475">
        <v>50</v>
      </c>
      <c r="K3475" t="s">
        <v>79</v>
      </c>
      <c r="L3475">
        <v>9</v>
      </c>
      <c r="M3475">
        <v>164.51</v>
      </c>
      <c r="N3475">
        <v>4.5</v>
      </c>
      <c r="O3475">
        <v>26</v>
      </c>
      <c r="Q3475">
        <v>160.01</v>
      </c>
      <c r="R3475" t="s">
        <v>2362</v>
      </c>
      <c r="V3475">
        <v>0</v>
      </c>
      <c r="W3475">
        <v>0</v>
      </c>
      <c r="AF3475">
        <v>0</v>
      </c>
      <c r="AG3475">
        <v>0</v>
      </c>
      <c r="AH3475">
        <v>0</v>
      </c>
      <c r="AI3475">
        <v>12</v>
      </c>
      <c r="AJ3475">
        <v>12</v>
      </c>
      <c r="AM3475">
        <v>0</v>
      </c>
      <c r="AN3475">
        <v>169.51</v>
      </c>
      <c r="AP3475">
        <v>10</v>
      </c>
    </row>
    <row r="3476" spans="1:42" x14ac:dyDescent="0.25">
      <c r="A3476" t="s">
        <v>45</v>
      </c>
      <c r="B3476">
        <v>4</v>
      </c>
      <c r="C3476" t="s">
        <v>2356</v>
      </c>
      <c r="D3476" s="39">
        <v>46087</v>
      </c>
      <c r="E3476" t="s">
        <v>200</v>
      </c>
      <c r="F3476" t="s">
        <v>79</v>
      </c>
      <c r="G3476">
        <v>20</v>
      </c>
      <c r="H3476" t="s">
        <v>944</v>
      </c>
      <c r="I3476" t="s">
        <v>79</v>
      </c>
      <c r="J3476">
        <v>500</v>
      </c>
      <c r="K3476" t="s">
        <v>79</v>
      </c>
      <c r="L3476">
        <v>5</v>
      </c>
      <c r="M3476">
        <v>300.2</v>
      </c>
      <c r="N3476">
        <v>10</v>
      </c>
      <c r="Q3476">
        <v>290.2</v>
      </c>
      <c r="R3476" t="s">
        <v>2357</v>
      </c>
      <c r="V3476">
        <v>0</v>
      </c>
      <c r="W3476">
        <v>0</v>
      </c>
      <c r="AF3476">
        <v>0</v>
      </c>
      <c r="AG3476">
        <v>0</v>
      </c>
      <c r="AH3476">
        <v>0</v>
      </c>
      <c r="AI3476">
        <v>12</v>
      </c>
      <c r="AJ3476">
        <v>12</v>
      </c>
      <c r="AM3476">
        <v>0</v>
      </c>
      <c r="AN3476">
        <v>305.2</v>
      </c>
      <c r="AP3476">
        <v>10</v>
      </c>
    </row>
    <row r="3477" spans="1:42" x14ac:dyDescent="0.25">
      <c r="A3477" t="s">
        <v>45</v>
      </c>
      <c r="B3477">
        <v>4</v>
      </c>
      <c r="C3477" t="s">
        <v>2363</v>
      </c>
      <c r="D3477" s="39">
        <v>46087</v>
      </c>
      <c r="E3477" t="s">
        <v>276</v>
      </c>
      <c r="F3477" t="s">
        <v>79</v>
      </c>
      <c r="G3477">
        <v>20</v>
      </c>
      <c r="H3477" t="s">
        <v>113</v>
      </c>
      <c r="I3477" t="s">
        <v>79</v>
      </c>
      <c r="J3477" t="s">
        <v>81</v>
      </c>
      <c r="K3477" t="s">
        <v>79</v>
      </c>
      <c r="L3477">
        <v>5</v>
      </c>
      <c r="M3477">
        <v>359.9</v>
      </c>
      <c r="N3477">
        <v>10</v>
      </c>
      <c r="Q3477">
        <v>349.9</v>
      </c>
      <c r="R3477" t="s">
        <v>2364</v>
      </c>
      <c r="V3477">
        <v>0</v>
      </c>
      <c r="W3477">
        <v>0</v>
      </c>
      <c r="AF3477">
        <v>0</v>
      </c>
      <c r="AG3477">
        <v>0</v>
      </c>
      <c r="AH3477">
        <v>0</v>
      </c>
      <c r="AI3477">
        <v>12</v>
      </c>
      <c r="AJ3477">
        <v>12</v>
      </c>
      <c r="AM3477">
        <v>0</v>
      </c>
      <c r="AN3477">
        <v>364.9</v>
      </c>
      <c r="AP3477">
        <v>10</v>
      </c>
    </row>
    <row r="3478" spans="1:42" x14ac:dyDescent="0.25">
      <c r="A3478" t="s">
        <v>45</v>
      </c>
      <c r="B3478">
        <v>4</v>
      </c>
      <c r="C3478" t="s">
        <v>1510</v>
      </c>
      <c r="D3478" s="39">
        <v>46087</v>
      </c>
      <c r="E3478" t="s">
        <v>486</v>
      </c>
      <c r="F3478" t="s">
        <v>79</v>
      </c>
      <c r="G3478">
        <v>20</v>
      </c>
      <c r="H3478">
        <v>5</v>
      </c>
      <c r="I3478" t="s">
        <v>79</v>
      </c>
      <c r="J3478">
        <v>500</v>
      </c>
      <c r="K3478" t="s">
        <v>79</v>
      </c>
      <c r="L3478">
        <v>2</v>
      </c>
      <c r="M3478">
        <v>130.03</v>
      </c>
      <c r="N3478">
        <v>4</v>
      </c>
      <c r="Q3478">
        <v>126.03</v>
      </c>
      <c r="R3478" t="s">
        <v>2365</v>
      </c>
      <c r="V3478">
        <v>0</v>
      </c>
      <c r="W3478">
        <v>0</v>
      </c>
      <c r="AF3478">
        <v>0</v>
      </c>
      <c r="AG3478">
        <v>0</v>
      </c>
      <c r="AH3478">
        <v>0</v>
      </c>
      <c r="AI3478">
        <v>12</v>
      </c>
      <c r="AJ3478">
        <v>12</v>
      </c>
      <c r="AM3478">
        <v>0</v>
      </c>
      <c r="AN3478">
        <v>135.03</v>
      </c>
      <c r="AP3478">
        <v>10</v>
      </c>
    </row>
    <row r="3479" spans="1:42" x14ac:dyDescent="0.25">
      <c r="A3479" t="s">
        <v>46</v>
      </c>
      <c r="B3479">
        <v>4</v>
      </c>
      <c r="C3479" t="s">
        <v>2366</v>
      </c>
      <c r="D3479" s="39">
        <v>46087</v>
      </c>
      <c r="E3479" t="s">
        <v>200</v>
      </c>
      <c r="F3479" t="s">
        <v>79</v>
      </c>
      <c r="G3479">
        <v>20</v>
      </c>
      <c r="H3479" t="s">
        <v>578</v>
      </c>
      <c r="I3479" t="s">
        <v>79</v>
      </c>
      <c r="J3479">
        <v>200</v>
      </c>
      <c r="K3479" t="s">
        <v>79</v>
      </c>
      <c r="L3479">
        <v>4</v>
      </c>
      <c r="M3479">
        <v>231.89000000000001</v>
      </c>
      <c r="N3479">
        <v>8</v>
      </c>
      <c r="Q3479">
        <v>223.89000000000001</v>
      </c>
      <c r="R3479" t="s">
        <v>2367</v>
      </c>
      <c r="V3479">
        <v>0</v>
      </c>
      <c r="W3479">
        <v>0</v>
      </c>
      <c r="AF3479">
        <v>0</v>
      </c>
      <c r="AG3479">
        <v>0</v>
      </c>
      <c r="AH3479">
        <v>0</v>
      </c>
      <c r="AI3479">
        <v>12</v>
      </c>
      <c r="AJ3479">
        <v>12</v>
      </c>
      <c r="AM3479">
        <v>0</v>
      </c>
      <c r="AN3479">
        <v>236.89</v>
      </c>
      <c r="AP3479">
        <v>10</v>
      </c>
    </row>
    <row r="3480" spans="1:42" x14ac:dyDescent="0.25">
      <c r="A3480" t="s">
        <v>46</v>
      </c>
      <c r="B3480">
        <v>4</v>
      </c>
      <c r="C3480" t="s">
        <v>2363</v>
      </c>
      <c r="D3480" s="39">
        <v>46087</v>
      </c>
      <c r="E3480" t="s">
        <v>276</v>
      </c>
      <c r="F3480" t="s">
        <v>79</v>
      </c>
      <c r="G3480">
        <v>20</v>
      </c>
      <c r="H3480" t="s">
        <v>113</v>
      </c>
      <c r="I3480" t="s">
        <v>79</v>
      </c>
      <c r="J3480" t="s">
        <v>81</v>
      </c>
      <c r="K3480" t="s">
        <v>79</v>
      </c>
      <c r="L3480">
        <v>10</v>
      </c>
      <c r="M3480">
        <v>670.2600000000001</v>
      </c>
      <c r="N3480">
        <v>20</v>
      </c>
      <c r="Q3480">
        <v>650.2600000000001</v>
      </c>
      <c r="R3480" t="s">
        <v>2364</v>
      </c>
      <c r="V3480">
        <v>0</v>
      </c>
      <c r="W3480">
        <v>0</v>
      </c>
      <c r="AF3480">
        <v>0</v>
      </c>
      <c r="AG3480">
        <v>0</v>
      </c>
      <c r="AH3480">
        <v>0</v>
      </c>
      <c r="AI3480">
        <v>12</v>
      </c>
      <c r="AJ3480">
        <v>12</v>
      </c>
      <c r="AM3480">
        <v>0</v>
      </c>
      <c r="AN3480">
        <v>675.2600000000001</v>
      </c>
      <c r="AP3480">
        <v>10</v>
      </c>
    </row>
    <row r="3481" spans="1:42" x14ac:dyDescent="0.25">
      <c r="A3481" t="s">
        <v>45</v>
      </c>
      <c r="B3481">
        <v>5</v>
      </c>
      <c r="C3481" t="s">
        <v>2335</v>
      </c>
      <c r="D3481" s="39">
        <v>46087</v>
      </c>
      <c r="E3481" t="s">
        <v>486</v>
      </c>
      <c r="F3481" t="s">
        <v>79</v>
      </c>
      <c r="G3481">
        <v>8</v>
      </c>
      <c r="H3481">
        <v>5</v>
      </c>
      <c r="I3481" t="s">
        <v>79</v>
      </c>
      <c r="J3481">
        <v>1500</v>
      </c>
      <c r="K3481" t="s">
        <v>79</v>
      </c>
      <c r="L3481">
        <v>6</v>
      </c>
      <c r="M3481">
        <v>236.89</v>
      </c>
      <c r="N3481">
        <v>4.8000000000000007</v>
      </c>
      <c r="Q3481">
        <v>232.08999999999997</v>
      </c>
      <c r="R3481" t="s">
        <v>2336</v>
      </c>
      <c r="V3481">
        <v>0</v>
      </c>
      <c r="W3481">
        <v>0</v>
      </c>
      <c r="AF3481">
        <v>0</v>
      </c>
      <c r="AG3481">
        <v>0</v>
      </c>
      <c r="AH3481">
        <v>0</v>
      </c>
      <c r="AI3481">
        <v>12</v>
      </c>
      <c r="AJ3481">
        <v>12</v>
      </c>
      <c r="AM3481">
        <v>0</v>
      </c>
      <c r="AN3481">
        <v>241.89</v>
      </c>
      <c r="AP3481">
        <v>10</v>
      </c>
    </row>
    <row r="3482" spans="1:42" x14ac:dyDescent="0.25">
      <c r="A3482" t="s">
        <v>45</v>
      </c>
      <c r="B3482">
        <v>5</v>
      </c>
      <c r="C3482" t="s">
        <v>2368</v>
      </c>
      <c r="D3482" s="39">
        <v>46087</v>
      </c>
      <c r="E3482" t="s">
        <v>212</v>
      </c>
      <c r="F3482" t="s">
        <v>79</v>
      </c>
      <c r="G3482">
        <v>8</v>
      </c>
      <c r="H3482" t="s">
        <v>944</v>
      </c>
      <c r="I3482" t="s">
        <v>79</v>
      </c>
      <c r="J3482">
        <v>100</v>
      </c>
      <c r="K3482" t="s">
        <v>79</v>
      </c>
      <c r="L3482">
        <v>4</v>
      </c>
      <c r="M3482">
        <v>101.91</v>
      </c>
      <c r="N3482">
        <v>3.2</v>
      </c>
      <c r="Q3482">
        <v>98.71</v>
      </c>
      <c r="R3482" t="s">
        <v>2369</v>
      </c>
      <c r="V3482">
        <v>0</v>
      </c>
      <c r="W3482">
        <v>0</v>
      </c>
      <c r="AF3482">
        <v>0</v>
      </c>
      <c r="AG3482">
        <v>0</v>
      </c>
      <c r="AH3482">
        <v>0</v>
      </c>
      <c r="AI3482">
        <v>12</v>
      </c>
      <c r="AJ3482">
        <v>12</v>
      </c>
      <c r="AM3482">
        <v>0</v>
      </c>
      <c r="AN3482">
        <v>106.91</v>
      </c>
      <c r="AP3482">
        <v>10</v>
      </c>
    </row>
    <row r="3483" spans="1:42" x14ac:dyDescent="0.25">
      <c r="A3483" t="s">
        <v>46</v>
      </c>
      <c r="B3483">
        <v>5</v>
      </c>
      <c r="C3483" t="s">
        <v>2335</v>
      </c>
      <c r="D3483" s="39">
        <v>46087</v>
      </c>
      <c r="E3483" t="s">
        <v>486</v>
      </c>
      <c r="F3483" t="s">
        <v>79</v>
      </c>
      <c r="G3483">
        <v>8</v>
      </c>
      <c r="H3483">
        <v>5</v>
      </c>
      <c r="I3483" t="s">
        <v>79</v>
      </c>
      <c r="J3483">
        <v>1500</v>
      </c>
      <c r="K3483" t="s">
        <v>79</v>
      </c>
      <c r="L3483">
        <v>8</v>
      </c>
      <c r="M3483">
        <v>374.5</v>
      </c>
      <c r="N3483">
        <v>6.4</v>
      </c>
      <c r="Q3483">
        <v>368.1</v>
      </c>
      <c r="R3483" t="s">
        <v>2336</v>
      </c>
      <c r="V3483">
        <v>0</v>
      </c>
      <c r="W3483">
        <v>0</v>
      </c>
      <c r="AF3483">
        <v>0</v>
      </c>
      <c r="AG3483">
        <v>0</v>
      </c>
      <c r="AH3483">
        <v>0</v>
      </c>
      <c r="AI3483">
        <v>12</v>
      </c>
      <c r="AJ3483">
        <v>12</v>
      </c>
      <c r="AM3483">
        <v>0</v>
      </c>
      <c r="AN3483">
        <v>379.5</v>
      </c>
      <c r="AP3483">
        <v>10</v>
      </c>
    </row>
    <row r="3484" spans="1:42" x14ac:dyDescent="0.25">
      <c r="A3484" t="s">
        <v>45</v>
      </c>
      <c r="B3484">
        <v>1</v>
      </c>
      <c r="C3484" t="s">
        <v>2351</v>
      </c>
      <c r="D3484" s="39">
        <v>46088</v>
      </c>
      <c r="E3484" t="s">
        <v>1177</v>
      </c>
      <c r="F3484" t="s">
        <v>79</v>
      </c>
      <c r="G3484">
        <v>3.5</v>
      </c>
      <c r="H3484" t="s">
        <v>123</v>
      </c>
      <c r="I3484" t="s">
        <v>79</v>
      </c>
      <c r="J3484">
        <v>1000</v>
      </c>
      <c r="K3484" t="s">
        <v>79</v>
      </c>
      <c r="L3484">
        <v>7</v>
      </c>
      <c r="M3484">
        <v>150</v>
      </c>
      <c r="N3484">
        <v>2.4499999999999997</v>
      </c>
      <c r="Q3484">
        <v>147.55000000000001</v>
      </c>
      <c r="R3484" t="s">
        <v>2377</v>
      </c>
      <c r="V3484">
        <v>0</v>
      </c>
      <c r="W3484">
        <v>0</v>
      </c>
      <c r="AF3484">
        <v>0</v>
      </c>
      <c r="AG3484">
        <v>0</v>
      </c>
      <c r="AH3484">
        <v>0</v>
      </c>
      <c r="AI3484">
        <v>12</v>
      </c>
      <c r="AJ3484">
        <v>12</v>
      </c>
      <c r="AM3484">
        <v>0</v>
      </c>
      <c r="AN3484">
        <v>155</v>
      </c>
      <c r="AP3484">
        <v>10</v>
      </c>
    </row>
    <row r="3485" spans="1:42" x14ac:dyDescent="0.25">
      <c r="A3485" t="s">
        <v>46</v>
      </c>
      <c r="B3485">
        <v>1</v>
      </c>
      <c r="C3485" t="s">
        <v>2351</v>
      </c>
      <c r="D3485" s="39">
        <v>46088</v>
      </c>
      <c r="E3485" t="s">
        <v>1177</v>
      </c>
      <c r="F3485" t="s">
        <v>79</v>
      </c>
      <c r="G3485">
        <v>3.5</v>
      </c>
      <c r="H3485" t="s">
        <v>123</v>
      </c>
      <c r="I3485" t="s">
        <v>79</v>
      </c>
      <c r="J3485">
        <v>1000</v>
      </c>
      <c r="K3485" t="s">
        <v>79</v>
      </c>
      <c r="L3485">
        <v>6</v>
      </c>
      <c r="M3485">
        <v>125.42</v>
      </c>
      <c r="N3485">
        <v>2.0999999999999996</v>
      </c>
      <c r="Q3485">
        <v>123.32000000000001</v>
      </c>
      <c r="R3485" t="s">
        <v>2377</v>
      </c>
      <c r="V3485">
        <v>0</v>
      </c>
      <c r="W3485">
        <v>0</v>
      </c>
      <c r="AF3485">
        <v>0</v>
      </c>
      <c r="AG3485">
        <v>0</v>
      </c>
      <c r="AH3485">
        <v>0</v>
      </c>
      <c r="AI3485">
        <v>12</v>
      </c>
      <c r="AJ3485">
        <v>12</v>
      </c>
      <c r="AM3485">
        <v>0</v>
      </c>
      <c r="AN3485">
        <v>130.42000000000002</v>
      </c>
      <c r="AP3485">
        <v>10</v>
      </c>
    </row>
    <row r="3486" spans="1:42" x14ac:dyDescent="0.25">
      <c r="A3486" t="s">
        <v>45</v>
      </c>
      <c r="B3486">
        <v>2</v>
      </c>
      <c r="C3486" t="s">
        <v>2370</v>
      </c>
      <c r="D3486" s="39">
        <v>46088</v>
      </c>
      <c r="E3486" t="s">
        <v>81</v>
      </c>
      <c r="K3486" t="s">
        <v>79</v>
      </c>
      <c r="L3486">
        <v>8</v>
      </c>
      <c r="M3486">
        <v>148.97999999999999</v>
      </c>
      <c r="N3486">
        <v>4</v>
      </c>
      <c r="Q3486">
        <v>144.97999999999999</v>
      </c>
      <c r="R3486" t="s">
        <v>2371</v>
      </c>
      <c r="V3486">
        <v>0</v>
      </c>
      <c r="W3486">
        <v>0</v>
      </c>
      <c r="AF3486">
        <v>0</v>
      </c>
      <c r="AG3486">
        <v>0</v>
      </c>
      <c r="AH3486">
        <v>0</v>
      </c>
      <c r="AI3486">
        <v>12</v>
      </c>
      <c r="AJ3486">
        <v>12</v>
      </c>
      <c r="AM3486">
        <v>0</v>
      </c>
      <c r="AN3486">
        <v>153.97999999999999</v>
      </c>
      <c r="AP3486">
        <v>10</v>
      </c>
    </row>
    <row r="3487" spans="1:42" x14ac:dyDescent="0.25">
      <c r="A3487" t="s">
        <v>46</v>
      </c>
      <c r="B3487">
        <v>2</v>
      </c>
      <c r="C3487" t="s">
        <v>2370</v>
      </c>
      <c r="D3487" s="39">
        <v>46088</v>
      </c>
      <c r="E3487" t="s">
        <v>81</v>
      </c>
      <c r="K3487" t="s">
        <v>79</v>
      </c>
      <c r="L3487">
        <v>1</v>
      </c>
      <c r="M3487">
        <v>21.98</v>
      </c>
      <c r="N3487">
        <v>0.5</v>
      </c>
      <c r="Q3487">
        <v>21.48</v>
      </c>
      <c r="R3487" t="s">
        <v>2371</v>
      </c>
      <c r="V3487">
        <v>0</v>
      </c>
      <c r="W3487">
        <v>0</v>
      </c>
      <c r="AF3487">
        <v>0</v>
      </c>
      <c r="AG3487">
        <v>0</v>
      </c>
      <c r="AH3487">
        <v>0</v>
      </c>
      <c r="AI3487">
        <v>12</v>
      </c>
      <c r="AJ3487">
        <v>12</v>
      </c>
      <c r="AM3487">
        <v>0</v>
      </c>
      <c r="AN3487">
        <v>26.98</v>
      </c>
      <c r="AP3487">
        <v>10</v>
      </c>
    </row>
    <row r="3488" spans="1:42" x14ac:dyDescent="0.25">
      <c r="A3488" t="s">
        <v>46</v>
      </c>
      <c r="B3488">
        <v>2</v>
      </c>
      <c r="C3488" t="s">
        <v>2319</v>
      </c>
      <c r="D3488" s="39">
        <v>46088</v>
      </c>
      <c r="E3488" t="s">
        <v>486</v>
      </c>
      <c r="F3488" t="s">
        <v>79</v>
      </c>
      <c r="G3488">
        <v>3</v>
      </c>
      <c r="H3488" t="s">
        <v>92</v>
      </c>
      <c r="I3488" t="s">
        <v>79</v>
      </c>
      <c r="J3488">
        <v>1000</v>
      </c>
      <c r="K3488" t="s">
        <v>79</v>
      </c>
      <c r="L3488">
        <v>5</v>
      </c>
      <c r="M3488">
        <v>67.92</v>
      </c>
      <c r="N3488">
        <v>1.5</v>
      </c>
      <c r="Q3488">
        <v>66.42</v>
      </c>
      <c r="R3488" t="s">
        <v>2376</v>
      </c>
      <c r="V3488">
        <v>0</v>
      </c>
      <c r="W3488">
        <v>0</v>
      </c>
      <c r="AF3488">
        <v>0</v>
      </c>
      <c r="AG3488">
        <v>0</v>
      </c>
      <c r="AH3488">
        <v>0</v>
      </c>
      <c r="AI3488">
        <v>12</v>
      </c>
      <c r="AJ3488">
        <v>12</v>
      </c>
      <c r="AM3488">
        <v>0</v>
      </c>
      <c r="AN3488">
        <v>72.92</v>
      </c>
      <c r="AP3488">
        <v>10</v>
      </c>
    </row>
    <row r="3489" spans="1:42" x14ac:dyDescent="0.25">
      <c r="A3489" t="s">
        <v>45</v>
      </c>
      <c r="B3489">
        <v>4</v>
      </c>
      <c r="C3489" t="s">
        <v>2363</v>
      </c>
      <c r="D3489" s="39">
        <v>46088</v>
      </c>
      <c r="E3489" t="s">
        <v>276</v>
      </c>
      <c r="F3489" t="s">
        <v>79</v>
      </c>
      <c r="G3489">
        <v>20</v>
      </c>
      <c r="H3489" t="s">
        <v>113</v>
      </c>
      <c r="I3489" t="s">
        <v>79</v>
      </c>
      <c r="J3489" t="s">
        <v>81</v>
      </c>
      <c r="K3489" t="s">
        <v>79</v>
      </c>
      <c r="L3489">
        <v>4</v>
      </c>
      <c r="M3489">
        <v>298.24</v>
      </c>
      <c r="N3489">
        <v>8</v>
      </c>
      <c r="Q3489">
        <v>290.24</v>
      </c>
      <c r="R3489" t="s">
        <v>2364</v>
      </c>
      <c r="V3489">
        <v>0</v>
      </c>
      <c r="W3489">
        <v>0</v>
      </c>
      <c r="AF3489">
        <v>0</v>
      </c>
      <c r="AG3489">
        <v>0</v>
      </c>
      <c r="AH3489">
        <v>0</v>
      </c>
      <c r="AI3489">
        <v>12</v>
      </c>
      <c r="AJ3489">
        <v>12</v>
      </c>
      <c r="AM3489">
        <v>0</v>
      </c>
      <c r="AN3489">
        <v>303.24</v>
      </c>
      <c r="AP3489">
        <v>10</v>
      </c>
    </row>
    <row r="3490" spans="1:42" x14ac:dyDescent="0.25">
      <c r="A3490" t="s">
        <v>45</v>
      </c>
      <c r="B3490">
        <v>4</v>
      </c>
      <c r="C3490" t="s">
        <v>2356</v>
      </c>
      <c r="D3490" s="39">
        <v>46088</v>
      </c>
      <c r="E3490" t="s">
        <v>200</v>
      </c>
      <c r="F3490" t="s">
        <v>79</v>
      </c>
      <c r="G3490">
        <v>20</v>
      </c>
      <c r="H3490" t="s">
        <v>944</v>
      </c>
      <c r="I3490" t="s">
        <v>79</v>
      </c>
      <c r="J3490">
        <v>500</v>
      </c>
      <c r="K3490" t="s">
        <v>79</v>
      </c>
      <c r="L3490">
        <v>1</v>
      </c>
      <c r="M3490">
        <v>61.91</v>
      </c>
      <c r="N3490">
        <v>2</v>
      </c>
      <c r="Q3490">
        <v>59.91</v>
      </c>
      <c r="R3490" t="s">
        <v>2357</v>
      </c>
      <c r="S3490">
        <v>30</v>
      </c>
      <c r="V3490">
        <v>30</v>
      </c>
      <c r="W3490">
        <v>0.5</v>
      </c>
      <c r="AF3490">
        <v>0</v>
      </c>
      <c r="AG3490">
        <v>0</v>
      </c>
      <c r="AH3490">
        <v>0.5</v>
      </c>
      <c r="AI3490">
        <v>11.5</v>
      </c>
      <c r="AJ3490">
        <v>12</v>
      </c>
      <c r="AM3490">
        <v>0</v>
      </c>
      <c r="AN3490">
        <v>66.91</v>
      </c>
      <c r="AP3490">
        <v>10</v>
      </c>
    </row>
    <row r="3491" spans="1:42" x14ac:dyDescent="0.25">
      <c r="A3491" t="s">
        <v>45</v>
      </c>
      <c r="B3491">
        <v>4</v>
      </c>
      <c r="C3491" t="s">
        <v>2372</v>
      </c>
      <c r="D3491" s="39">
        <v>46088</v>
      </c>
      <c r="E3491" t="s">
        <v>1846</v>
      </c>
      <c r="F3491" t="s">
        <v>79</v>
      </c>
      <c r="G3491" t="s">
        <v>129</v>
      </c>
      <c r="H3491" t="s">
        <v>122</v>
      </c>
      <c r="I3491" t="s">
        <v>79</v>
      </c>
      <c r="J3491">
        <v>100</v>
      </c>
      <c r="K3491" t="s">
        <v>79</v>
      </c>
      <c r="L3491">
        <v>5</v>
      </c>
      <c r="M3491">
        <v>221.82</v>
      </c>
      <c r="N3491">
        <v>14</v>
      </c>
      <c r="O3491">
        <v>62</v>
      </c>
      <c r="Q3491">
        <v>207.82</v>
      </c>
      <c r="R3491" t="s">
        <v>2373</v>
      </c>
      <c r="S3491">
        <v>30</v>
      </c>
      <c r="V3491">
        <v>30</v>
      </c>
      <c r="W3491">
        <v>0.5</v>
      </c>
      <c r="AF3491">
        <v>0</v>
      </c>
      <c r="AG3491">
        <v>0</v>
      </c>
      <c r="AH3491">
        <v>0.5</v>
      </c>
      <c r="AI3491">
        <v>11.5</v>
      </c>
      <c r="AJ3491">
        <v>12</v>
      </c>
      <c r="AM3491">
        <v>0</v>
      </c>
      <c r="AN3491">
        <v>226.82</v>
      </c>
      <c r="AP3491">
        <v>10</v>
      </c>
    </row>
    <row r="3492" spans="1:42" x14ac:dyDescent="0.25">
      <c r="A3492" t="s">
        <v>46</v>
      </c>
      <c r="B3492">
        <v>4</v>
      </c>
      <c r="C3492" t="s">
        <v>2226</v>
      </c>
      <c r="D3492" s="39">
        <v>46088</v>
      </c>
      <c r="E3492" t="s">
        <v>243</v>
      </c>
      <c r="F3492" t="s">
        <v>79</v>
      </c>
      <c r="G3492">
        <v>16.2</v>
      </c>
      <c r="H3492" t="s">
        <v>81</v>
      </c>
      <c r="I3492" t="s">
        <v>79</v>
      </c>
      <c r="J3492">
        <v>3000</v>
      </c>
      <c r="K3492" t="s">
        <v>79</v>
      </c>
      <c r="L3492">
        <v>9</v>
      </c>
      <c r="M3492">
        <v>548.11999999999989</v>
      </c>
      <c r="N3492">
        <v>14.4</v>
      </c>
      <c r="Q3492">
        <v>533.71999999999991</v>
      </c>
      <c r="R3492" t="s">
        <v>2445</v>
      </c>
      <c r="V3492">
        <v>0</v>
      </c>
      <c r="W3492">
        <v>0</v>
      </c>
      <c r="AF3492">
        <v>0</v>
      </c>
      <c r="AG3492">
        <v>0</v>
      </c>
      <c r="AH3492">
        <v>0</v>
      </c>
      <c r="AI3492">
        <v>12</v>
      </c>
      <c r="AJ3492">
        <v>12</v>
      </c>
      <c r="AM3492">
        <v>0</v>
      </c>
      <c r="AN3492">
        <v>553.11999999999989</v>
      </c>
      <c r="AP3492">
        <v>10</v>
      </c>
    </row>
    <row r="3493" spans="1:42" x14ac:dyDescent="0.25">
      <c r="A3493" t="s">
        <v>45</v>
      </c>
      <c r="B3493">
        <v>5</v>
      </c>
      <c r="C3493" t="s">
        <v>2335</v>
      </c>
      <c r="D3493" s="39">
        <v>46088</v>
      </c>
      <c r="E3493" t="s">
        <v>486</v>
      </c>
      <c r="F3493" t="s">
        <v>79</v>
      </c>
      <c r="G3493">
        <v>8</v>
      </c>
      <c r="H3493">
        <v>5</v>
      </c>
      <c r="I3493" t="s">
        <v>79</v>
      </c>
      <c r="J3493">
        <v>1500</v>
      </c>
      <c r="K3493" t="s">
        <v>79</v>
      </c>
      <c r="L3493">
        <v>2</v>
      </c>
      <c r="M3493">
        <v>67.83</v>
      </c>
      <c r="N3493">
        <v>1.6</v>
      </c>
      <c r="O3493">
        <v>4</v>
      </c>
      <c r="Q3493">
        <v>66.23</v>
      </c>
      <c r="R3493" t="s">
        <v>2336</v>
      </c>
      <c r="T3493">
        <v>60</v>
      </c>
      <c r="V3493">
        <v>60</v>
      </c>
      <c r="W3493">
        <v>1</v>
      </c>
      <c r="Z3493">
        <v>480</v>
      </c>
      <c r="AA3493">
        <v>20</v>
      </c>
      <c r="AD3493">
        <v>40</v>
      </c>
      <c r="AF3493">
        <v>540</v>
      </c>
      <c r="AG3493">
        <v>9</v>
      </c>
      <c r="AH3493">
        <v>10</v>
      </c>
      <c r="AI3493">
        <v>2</v>
      </c>
      <c r="AJ3493">
        <v>12</v>
      </c>
      <c r="AM3493">
        <v>0</v>
      </c>
      <c r="AN3493">
        <v>72.83</v>
      </c>
      <c r="AP3493">
        <v>10</v>
      </c>
    </row>
    <row r="3494" spans="1:42" x14ac:dyDescent="0.25">
      <c r="A3494" t="s">
        <v>46</v>
      </c>
      <c r="B3494">
        <v>5</v>
      </c>
      <c r="C3494" t="s">
        <v>2374</v>
      </c>
      <c r="D3494" s="39">
        <v>46088</v>
      </c>
      <c r="E3494" t="s">
        <v>486</v>
      </c>
      <c r="F3494" t="s">
        <v>79</v>
      </c>
      <c r="G3494">
        <v>14</v>
      </c>
      <c r="H3494">
        <v>5</v>
      </c>
      <c r="I3494" t="s">
        <v>79</v>
      </c>
      <c r="J3494">
        <v>1000</v>
      </c>
      <c r="K3494" t="s">
        <v>79</v>
      </c>
      <c r="L3494">
        <v>3</v>
      </c>
      <c r="M3494">
        <v>181.54</v>
      </c>
      <c r="N3494">
        <v>4.1999999999999993</v>
      </c>
      <c r="O3494">
        <v>4</v>
      </c>
      <c r="Q3494">
        <v>177.34</v>
      </c>
      <c r="R3494" t="s">
        <v>2378</v>
      </c>
      <c r="V3494">
        <v>0</v>
      </c>
      <c r="W3494">
        <v>0</v>
      </c>
      <c r="AF3494">
        <v>0</v>
      </c>
      <c r="AG3494">
        <v>0</v>
      </c>
      <c r="AH3494">
        <v>0</v>
      </c>
      <c r="AI3494">
        <v>12</v>
      </c>
      <c r="AJ3494">
        <v>12</v>
      </c>
      <c r="AM3494">
        <v>0</v>
      </c>
      <c r="AN3494">
        <v>186.54</v>
      </c>
      <c r="AP3494">
        <v>10</v>
      </c>
    </row>
    <row r="3495" spans="1:42" x14ac:dyDescent="0.25">
      <c r="A3495" t="s">
        <v>46</v>
      </c>
      <c r="B3495">
        <v>5</v>
      </c>
      <c r="C3495" t="s">
        <v>2375</v>
      </c>
      <c r="D3495" s="39">
        <v>46088</v>
      </c>
      <c r="E3495" t="s">
        <v>2325</v>
      </c>
      <c r="F3495" t="s">
        <v>79</v>
      </c>
      <c r="G3495">
        <v>14</v>
      </c>
      <c r="H3495" t="s">
        <v>942</v>
      </c>
      <c r="I3495" t="s">
        <v>79</v>
      </c>
      <c r="J3495">
        <v>150</v>
      </c>
      <c r="K3495" t="s">
        <v>79</v>
      </c>
      <c r="L3495">
        <v>4</v>
      </c>
      <c r="M3495">
        <v>208.37</v>
      </c>
      <c r="N3495">
        <v>5.6</v>
      </c>
      <c r="Q3495">
        <v>202.77</v>
      </c>
      <c r="R3495" t="s">
        <v>2379</v>
      </c>
      <c r="V3495">
        <v>0</v>
      </c>
      <c r="W3495">
        <v>0</v>
      </c>
      <c r="AF3495">
        <v>0</v>
      </c>
      <c r="AG3495">
        <v>0</v>
      </c>
      <c r="AH3495">
        <v>0</v>
      </c>
      <c r="AI3495">
        <v>12</v>
      </c>
      <c r="AJ3495">
        <v>12</v>
      </c>
      <c r="AM3495">
        <v>0</v>
      </c>
      <c r="AN3495">
        <v>213.37</v>
      </c>
      <c r="AP3495">
        <v>10</v>
      </c>
    </row>
    <row r="3496" spans="1:42" x14ac:dyDescent="0.25">
      <c r="D3496" s="39">
        <v>46089</v>
      </c>
      <c r="E3496" t="s">
        <v>936</v>
      </c>
      <c r="K3496" t="s">
        <v>79</v>
      </c>
      <c r="Q3496">
        <v>0</v>
      </c>
      <c r="R3496" t="s">
        <v>468</v>
      </c>
      <c r="V3496">
        <v>0</v>
      </c>
      <c r="W3496">
        <v>0</v>
      </c>
      <c r="AF3496">
        <v>0</v>
      </c>
      <c r="AG3496">
        <v>0</v>
      </c>
      <c r="AH3496">
        <v>0</v>
      </c>
      <c r="AI3496">
        <v>12</v>
      </c>
      <c r="AJ3496">
        <v>12</v>
      </c>
      <c r="AM3496">
        <v>0</v>
      </c>
      <c r="AP3496">
        <v>10</v>
      </c>
    </row>
    <row r="3497" spans="1:42" x14ac:dyDescent="0.25">
      <c r="A3497" t="s">
        <v>45</v>
      </c>
      <c r="B3497">
        <v>1</v>
      </c>
      <c r="C3497" t="s">
        <v>2351</v>
      </c>
      <c r="D3497" s="39">
        <v>46090</v>
      </c>
      <c r="E3497" t="s">
        <v>1177</v>
      </c>
      <c r="F3497" t="s">
        <v>79</v>
      </c>
      <c r="G3497">
        <v>3.5</v>
      </c>
      <c r="H3497" t="s">
        <v>123</v>
      </c>
      <c r="I3497" t="s">
        <v>79</v>
      </c>
      <c r="J3497">
        <v>1000</v>
      </c>
      <c r="K3497" t="s">
        <v>79</v>
      </c>
      <c r="L3497">
        <v>7</v>
      </c>
      <c r="M3497">
        <v>119.79999999999998</v>
      </c>
      <c r="N3497">
        <v>2.4499999999999997</v>
      </c>
      <c r="Q3497">
        <v>117.34999999999998</v>
      </c>
      <c r="R3497" t="s">
        <v>2377</v>
      </c>
      <c r="T3497">
        <v>160</v>
      </c>
      <c r="V3497">
        <v>160</v>
      </c>
      <c r="W3497">
        <v>2.6666666666666665</v>
      </c>
      <c r="AF3497">
        <v>0</v>
      </c>
      <c r="AG3497">
        <v>0</v>
      </c>
      <c r="AH3497">
        <v>2.6666666666666665</v>
      </c>
      <c r="AI3497">
        <v>9.3333333333333339</v>
      </c>
      <c r="AJ3497">
        <v>12</v>
      </c>
      <c r="AM3497">
        <v>0</v>
      </c>
      <c r="AN3497">
        <v>124.79999999999998</v>
      </c>
      <c r="AP3497">
        <v>11</v>
      </c>
    </row>
    <row r="3498" spans="1:42" x14ac:dyDescent="0.25">
      <c r="A3498" t="s">
        <v>46</v>
      </c>
      <c r="B3498">
        <v>1</v>
      </c>
      <c r="C3498" t="s">
        <v>2351</v>
      </c>
      <c r="D3498" s="39">
        <v>46090</v>
      </c>
      <c r="E3498" t="s">
        <v>1177</v>
      </c>
      <c r="F3498" t="s">
        <v>79</v>
      </c>
      <c r="G3498">
        <v>3.5</v>
      </c>
      <c r="H3498" t="s">
        <v>123</v>
      </c>
      <c r="I3498" t="s">
        <v>79</v>
      </c>
      <c r="J3498">
        <v>1000</v>
      </c>
      <c r="K3498" t="s">
        <v>79</v>
      </c>
      <c r="L3498">
        <v>3</v>
      </c>
      <c r="M3498">
        <v>79.069999999999993</v>
      </c>
      <c r="N3498">
        <v>1.0499999999999998</v>
      </c>
      <c r="Q3498">
        <v>78.02</v>
      </c>
      <c r="R3498" t="s">
        <v>2377</v>
      </c>
      <c r="S3498">
        <v>20</v>
      </c>
      <c r="V3498">
        <v>20</v>
      </c>
      <c r="W3498">
        <v>0.33333333333333331</v>
      </c>
      <c r="AF3498">
        <v>0</v>
      </c>
      <c r="AG3498">
        <v>0</v>
      </c>
      <c r="AH3498">
        <v>0.33333333333333331</v>
      </c>
      <c r="AI3498">
        <v>11.666666666666666</v>
      </c>
      <c r="AJ3498">
        <v>12</v>
      </c>
      <c r="AM3498">
        <v>0</v>
      </c>
      <c r="AN3498">
        <v>84.07</v>
      </c>
      <c r="AP3498">
        <v>11</v>
      </c>
    </row>
    <row r="3499" spans="1:42" x14ac:dyDescent="0.25">
      <c r="A3499" t="s">
        <v>46</v>
      </c>
      <c r="B3499">
        <v>1</v>
      </c>
      <c r="C3499" t="s">
        <v>2380</v>
      </c>
      <c r="D3499" s="39">
        <v>46090</v>
      </c>
      <c r="E3499" t="s">
        <v>486</v>
      </c>
      <c r="F3499" t="s">
        <v>79</v>
      </c>
      <c r="G3499">
        <v>2.5</v>
      </c>
      <c r="H3499" t="s">
        <v>92</v>
      </c>
      <c r="I3499" t="s">
        <v>79</v>
      </c>
      <c r="J3499">
        <v>1000</v>
      </c>
      <c r="K3499" t="s">
        <v>79</v>
      </c>
      <c r="L3499">
        <v>4</v>
      </c>
      <c r="M3499">
        <v>57.44</v>
      </c>
      <c r="N3499">
        <v>1</v>
      </c>
      <c r="Q3499">
        <v>56.44</v>
      </c>
      <c r="R3499" t="s">
        <v>2381</v>
      </c>
      <c r="V3499">
        <v>0</v>
      </c>
      <c r="W3499">
        <v>0</v>
      </c>
      <c r="AF3499">
        <v>0</v>
      </c>
      <c r="AG3499">
        <v>0</v>
      </c>
      <c r="AH3499">
        <v>0</v>
      </c>
      <c r="AI3499">
        <v>12</v>
      </c>
      <c r="AJ3499">
        <v>12</v>
      </c>
      <c r="AM3499">
        <v>0</v>
      </c>
      <c r="AN3499">
        <v>62.44</v>
      </c>
      <c r="AP3499">
        <v>11</v>
      </c>
    </row>
    <row r="3500" spans="1:42" x14ac:dyDescent="0.25">
      <c r="A3500" t="s">
        <v>45</v>
      </c>
      <c r="B3500">
        <v>2</v>
      </c>
      <c r="C3500" t="s">
        <v>2319</v>
      </c>
      <c r="D3500" s="39">
        <v>46090</v>
      </c>
      <c r="E3500" t="s">
        <v>486</v>
      </c>
      <c r="F3500" t="s">
        <v>79</v>
      </c>
      <c r="G3500">
        <v>3</v>
      </c>
      <c r="H3500" t="s">
        <v>92</v>
      </c>
      <c r="I3500" t="s">
        <v>79</v>
      </c>
      <c r="J3500">
        <v>1000</v>
      </c>
      <c r="K3500" t="s">
        <v>79</v>
      </c>
      <c r="L3500">
        <v>6</v>
      </c>
      <c r="M3500">
        <v>84.1</v>
      </c>
      <c r="N3500">
        <v>1.7999999999999998</v>
      </c>
      <c r="Q3500">
        <v>82.3</v>
      </c>
      <c r="R3500" t="s">
        <v>2376</v>
      </c>
      <c r="T3500">
        <v>150</v>
      </c>
      <c r="V3500">
        <v>150</v>
      </c>
      <c r="W3500">
        <v>2.5</v>
      </c>
      <c r="AF3500">
        <v>0</v>
      </c>
      <c r="AG3500">
        <v>0</v>
      </c>
      <c r="AH3500">
        <v>2.5</v>
      </c>
      <c r="AI3500">
        <v>9.5</v>
      </c>
      <c r="AJ3500">
        <v>12</v>
      </c>
      <c r="AM3500">
        <v>0</v>
      </c>
      <c r="AN3500">
        <v>89.1</v>
      </c>
      <c r="AP3500">
        <v>11</v>
      </c>
    </row>
    <row r="3501" spans="1:42" x14ac:dyDescent="0.25">
      <c r="A3501" t="s">
        <v>46</v>
      </c>
      <c r="B3501">
        <v>2</v>
      </c>
      <c r="C3501" t="s">
        <v>2319</v>
      </c>
      <c r="D3501" s="39">
        <v>46090</v>
      </c>
      <c r="E3501" t="s">
        <v>486</v>
      </c>
      <c r="F3501" t="s">
        <v>79</v>
      </c>
      <c r="G3501">
        <v>3</v>
      </c>
      <c r="H3501" t="s">
        <v>92</v>
      </c>
      <c r="I3501" t="s">
        <v>79</v>
      </c>
      <c r="J3501">
        <v>1000</v>
      </c>
      <c r="K3501" t="s">
        <v>79</v>
      </c>
      <c r="L3501">
        <v>8</v>
      </c>
      <c r="M3501">
        <v>110.33999999999999</v>
      </c>
      <c r="N3501">
        <v>2.4</v>
      </c>
      <c r="Q3501">
        <v>107.93999999999998</v>
      </c>
      <c r="R3501" t="s">
        <v>2376</v>
      </c>
      <c r="V3501">
        <v>0</v>
      </c>
      <c r="W3501">
        <v>0</v>
      </c>
      <c r="AF3501">
        <v>0</v>
      </c>
      <c r="AG3501">
        <v>0</v>
      </c>
      <c r="AH3501">
        <v>0</v>
      </c>
      <c r="AI3501">
        <v>12</v>
      </c>
      <c r="AJ3501">
        <v>12</v>
      </c>
      <c r="AM3501">
        <v>0</v>
      </c>
      <c r="AN3501">
        <v>115.34</v>
      </c>
      <c r="AP3501">
        <v>11</v>
      </c>
    </row>
    <row r="3502" spans="1:42" x14ac:dyDescent="0.25">
      <c r="A3502" t="s">
        <v>45</v>
      </c>
      <c r="B3502">
        <v>4</v>
      </c>
      <c r="C3502" t="s">
        <v>2226</v>
      </c>
      <c r="D3502" s="39">
        <v>46090</v>
      </c>
      <c r="E3502" t="s">
        <v>243</v>
      </c>
      <c r="F3502" t="s">
        <v>79</v>
      </c>
      <c r="G3502">
        <v>16.2</v>
      </c>
      <c r="H3502" t="s">
        <v>81</v>
      </c>
      <c r="I3502" t="s">
        <v>79</v>
      </c>
      <c r="J3502">
        <v>3000</v>
      </c>
      <c r="K3502" t="s">
        <v>79</v>
      </c>
      <c r="L3502">
        <v>8</v>
      </c>
      <c r="M3502">
        <v>474.09000000000003</v>
      </c>
      <c r="N3502">
        <v>1.28</v>
      </c>
      <c r="O3502">
        <v>35</v>
      </c>
      <c r="Q3502">
        <v>472.81000000000006</v>
      </c>
      <c r="R3502" t="s">
        <v>2445</v>
      </c>
      <c r="T3502">
        <v>180</v>
      </c>
      <c r="V3502">
        <v>180</v>
      </c>
      <c r="W3502">
        <v>3</v>
      </c>
      <c r="AF3502">
        <v>0</v>
      </c>
      <c r="AG3502">
        <v>0</v>
      </c>
      <c r="AH3502">
        <v>3</v>
      </c>
      <c r="AI3502">
        <v>9</v>
      </c>
      <c r="AJ3502">
        <v>12</v>
      </c>
      <c r="AM3502">
        <v>0</v>
      </c>
      <c r="AN3502">
        <v>479.09</v>
      </c>
      <c r="AP3502">
        <v>11</v>
      </c>
    </row>
    <row r="3503" spans="1:42" x14ac:dyDescent="0.25">
      <c r="A3503" t="s">
        <v>46</v>
      </c>
      <c r="B3503">
        <v>4</v>
      </c>
      <c r="C3503" t="s">
        <v>2226</v>
      </c>
      <c r="D3503" s="39">
        <v>46090</v>
      </c>
      <c r="E3503" t="s">
        <v>243</v>
      </c>
      <c r="F3503" t="s">
        <v>79</v>
      </c>
      <c r="G3503">
        <v>16.2</v>
      </c>
      <c r="H3503" t="s">
        <v>81</v>
      </c>
      <c r="I3503" t="s">
        <v>79</v>
      </c>
      <c r="J3503">
        <v>3000</v>
      </c>
      <c r="K3503" t="s">
        <v>79</v>
      </c>
      <c r="L3503">
        <v>11</v>
      </c>
      <c r="M3503">
        <v>654.15</v>
      </c>
      <c r="N3503">
        <v>1.76</v>
      </c>
      <c r="O3503">
        <v>46</v>
      </c>
      <c r="Q3503">
        <v>652.39</v>
      </c>
      <c r="R3503" t="s">
        <v>2445</v>
      </c>
      <c r="V3503">
        <v>0</v>
      </c>
      <c r="W3503">
        <v>0</v>
      </c>
      <c r="AF3503">
        <v>0</v>
      </c>
      <c r="AG3503">
        <v>0</v>
      </c>
      <c r="AH3503">
        <v>0</v>
      </c>
      <c r="AI3503">
        <v>12</v>
      </c>
      <c r="AJ3503">
        <v>12</v>
      </c>
      <c r="AM3503">
        <v>0</v>
      </c>
      <c r="AN3503">
        <v>659.15</v>
      </c>
      <c r="AP3503">
        <v>11</v>
      </c>
    </row>
    <row r="3504" spans="1:42" x14ac:dyDescent="0.25">
      <c r="A3504" t="s">
        <v>45</v>
      </c>
      <c r="B3504">
        <v>5</v>
      </c>
      <c r="C3504" t="s">
        <v>2375</v>
      </c>
      <c r="D3504" s="39">
        <v>46090</v>
      </c>
      <c r="E3504" t="s">
        <v>2325</v>
      </c>
      <c r="F3504" t="s">
        <v>79</v>
      </c>
      <c r="G3504">
        <v>14</v>
      </c>
      <c r="H3504" t="s">
        <v>942</v>
      </c>
      <c r="I3504" t="s">
        <v>79</v>
      </c>
      <c r="J3504">
        <v>150</v>
      </c>
      <c r="K3504" t="s">
        <v>79</v>
      </c>
      <c r="L3504">
        <v>1</v>
      </c>
      <c r="M3504">
        <v>56.26</v>
      </c>
      <c r="N3504">
        <v>1.4</v>
      </c>
      <c r="Q3504">
        <v>54.86</v>
      </c>
      <c r="R3504" t="s">
        <v>2379</v>
      </c>
      <c r="V3504">
        <v>0</v>
      </c>
      <c r="W3504">
        <v>0</v>
      </c>
      <c r="AF3504">
        <v>0</v>
      </c>
      <c r="AG3504">
        <v>0</v>
      </c>
      <c r="AH3504">
        <v>0</v>
      </c>
      <c r="AI3504">
        <v>12</v>
      </c>
      <c r="AJ3504">
        <v>12</v>
      </c>
      <c r="AM3504">
        <v>0</v>
      </c>
      <c r="AN3504">
        <v>61.26</v>
      </c>
      <c r="AP3504">
        <v>11</v>
      </c>
    </row>
    <row r="3505" spans="1:42" x14ac:dyDescent="0.25">
      <c r="A3505" t="s">
        <v>45</v>
      </c>
      <c r="B3505">
        <v>5</v>
      </c>
      <c r="C3505" t="s">
        <v>2382</v>
      </c>
      <c r="D3505" s="39">
        <v>46090</v>
      </c>
      <c r="E3505" t="s">
        <v>200</v>
      </c>
      <c r="F3505" t="s">
        <v>79</v>
      </c>
      <c r="G3505">
        <v>14</v>
      </c>
      <c r="H3505" t="s">
        <v>944</v>
      </c>
      <c r="I3505" t="s">
        <v>79</v>
      </c>
      <c r="J3505">
        <v>250</v>
      </c>
      <c r="K3505" t="s">
        <v>79</v>
      </c>
      <c r="L3505">
        <v>2</v>
      </c>
      <c r="M3505">
        <v>88.68</v>
      </c>
      <c r="N3505">
        <v>2.8</v>
      </c>
      <c r="O3505">
        <v>2.5</v>
      </c>
      <c r="Q3505">
        <v>85.88000000000001</v>
      </c>
      <c r="R3505" t="s">
        <v>2383</v>
      </c>
      <c r="T3505">
        <v>480</v>
      </c>
      <c r="V3505">
        <v>480</v>
      </c>
      <c r="W3505">
        <v>8</v>
      </c>
      <c r="AF3505">
        <v>0</v>
      </c>
      <c r="AG3505">
        <v>0</v>
      </c>
      <c r="AH3505">
        <v>8</v>
      </c>
      <c r="AI3505">
        <v>4</v>
      </c>
      <c r="AJ3505">
        <v>12</v>
      </c>
      <c r="AM3505">
        <v>0</v>
      </c>
      <c r="AN3505">
        <v>93.68</v>
      </c>
      <c r="AP3505">
        <v>11</v>
      </c>
    </row>
    <row r="3506" spans="1:42" x14ac:dyDescent="0.25">
      <c r="A3506" t="s">
        <v>46</v>
      </c>
      <c r="B3506">
        <v>5</v>
      </c>
      <c r="C3506" t="s">
        <v>2382</v>
      </c>
      <c r="D3506" s="39">
        <v>46090</v>
      </c>
      <c r="E3506" t="s">
        <v>200</v>
      </c>
      <c r="F3506" t="s">
        <v>79</v>
      </c>
      <c r="G3506">
        <v>14</v>
      </c>
      <c r="H3506" t="s">
        <v>944</v>
      </c>
      <c r="I3506" t="s">
        <v>79</v>
      </c>
      <c r="J3506">
        <v>250</v>
      </c>
      <c r="K3506" t="s">
        <v>79</v>
      </c>
      <c r="L3506">
        <v>6</v>
      </c>
      <c r="M3506">
        <v>338.47</v>
      </c>
      <c r="N3506">
        <v>8.3999999999999986</v>
      </c>
      <c r="O3506">
        <v>2.5</v>
      </c>
      <c r="Q3506">
        <v>330.07000000000005</v>
      </c>
      <c r="R3506" t="s">
        <v>2383</v>
      </c>
      <c r="V3506">
        <v>0</v>
      </c>
      <c r="W3506">
        <v>0</v>
      </c>
      <c r="AF3506">
        <v>0</v>
      </c>
      <c r="AG3506">
        <v>0</v>
      </c>
      <c r="AH3506">
        <v>0</v>
      </c>
      <c r="AI3506">
        <v>12</v>
      </c>
      <c r="AJ3506">
        <v>12</v>
      </c>
      <c r="AM3506">
        <v>0</v>
      </c>
      <c r="AN3506">
        <v>343.47</v>
      </c>
      <c r="AP3506">
        <v>11</v>
      </c>
    </row>
    <row r="3507" spans="1:42" x14ac:dyDescent="0.25">
      <c r="A3507" t="s">
        <v>46</v>
      </c>
      <c r="B3507">
        <v>5</v>
      </c>
      <c r="C3507" t="s">
        <v>2384</v>
      </c>
      <c r="D3507" s="39">
        <v>46090</v>
      </c>
      <c r="E3507" t="s">
        <v>200</v>
      </c>
      <c r="F3507" t="s">
        <v>79</v>
      </c>
      <c r="G3507">
        <v>14</v>
      </c>
      <c r="H3507" t="s">
        <v>578</v>
      </c>
      <c r="I3507" t="s">
        <v>79</v>
      </c>
      <c r="J3507">
        <v>100</v>
      </c>
      <c r="K3507" t="s">
        <v>79</v>
      </c>
      <c r="L3507">
        <v>2</v>
      </c>
      <c r="M3507">
        <v>100.58</v>
      </c>
      <c r="N3507">
        <v>2</v>
      </c>
      <c r="Q3507">
        <v>98.58</v>
      </c>
      <c r="R3507" t="s">
        <v>2385</v>
      </c>
      <c r="V3507">
        <v>0</v>
      </c>
      <c r="W3507">
        <v>0</v>
      </c>
      <c r="AF3507">
        <v>0</v>
      </c>
      <c r="AG3507">
        <v>0</v>
      </c>
      <c r="AH3507">
        <v>0</v>
      </c>
      <c r="AI3507">
        <v>12</v>
      </c>
      <c r="AJ3507">
        <v>12</v>
      </c>
      <c r="AM3507">
        <v>0</v>
      </c>
      <c r="AN3507">
        <v>105.58</v>
      </c>
      <c r="AP3507">
        <v>11</v>
      </c>
    </row>
    <row r="3508" spans="1:42" x14ac:dyDescent="0.25">
      <c r="A3508" t="s">
        <v>45</v>
      </c>
      <c r="B3508">
        <v>1</v>
      </c>
      <c r="C3508" t="s">
        <v>2380</v>
      </c>
      <c r="D3508" s="39">
        <v>46091</v>
      </c>
      <c r="E3508" t="s">
        <v>486</v>
      </c>
      <c r="F3508" t="s">
        <v>79</v>
      </c>
      <c r="G3508">
        <v>2.5</v>
      </c>
      <c r="H3508" t="s">
        <v>92</v>
      </c>
      <c r="I3508" t="s">
        <v>79</v>
      </c>
      <c r="J3508">
        <v>1000</v>
      </c>
      <c r="K3508" t="s">
        <v>79</v>
      </c>
      <c r="L3508">
        <v>4</v>
      </c>
      <c r="M3508">
        <v>56.72</v>
      </c>
      <c r="N3508">
        <v>1</v>
      </c>
      <c r="Q3508">
        <v>55.72</v>
      </c>
      <c r="R3508" t="s">
        <v>2381</v>
      </c>
      <c r="S3508">
        <v>15</v>
      </c>
      <c r="V3508">
        <v>15</v>
      </c>
      <c r="W3508">
        <v>0.25</v>
      </c>
      <c r="AF3508">
        <v>0</v>
      </c>
      <c r="AG3508">
        <v>0</v>
      </c>
      <c r="AH3508">
        <v>0.25</v>
      </c>
      <c r="AI3508">
        <v>11.75</v>
      </c>
      <c r="AJ3508">
        <v>12</v>
      </c>
      <c r="AM3508">
        <v>0</v>
      </c>
      <c r="AN3508">
        <v>61.72</v>
      </c>
      <c r="AP3508">
        <v>11</v>
      </c>
    </row>
    <row r="3509" spans="1:42" x14ac:dyDescent="0.25">
      <c r="A3509" t="s">
        <v>45</v>
      </c>
      <c r="B3509">
        <v>1</v>
      </c>
      <c r="C3509" t="s">
        <v>2386</v>
      </c>
      <c r="D3509" s="39">
        <v>46091</v>
      </c>
      <c r="E3509" t="s">
        <v>2387</v>
      </c>
      <c r="F3509" t="s">
        <v>79</v>
      </c>
      <c r="G3509">
        <v>3.5</v>
      </c>
      <c r="H3509" t="s">
        <v>534</v>
      </c>
      <c r="I3509" t="s">
        <v>79</v>
      </c>
      <c r="J3509">
        <v>150</v>
      </c>
      <c r="K3509" t="s">
        <v>79</v>
      </c>
      <c r="L3509">
        <v>2</v>
      </c>
      <c r="M3509">
        <v>37.24</v>
      </c>
      <c r="N3509">
        <v>0.7</v>
      </c>
      <c r="Q3509">
        <v>36.54</v>
      </c>
      <c r="R3509" t="s">
        <v>2388</v>
      </c>
      <c r="V3509">
        <v>0</v>
      </c>
      <c r="W3509">
        <v>0</v>
      </c>
      <c r="AF3509">
        <v>0</v>
      </c>
      <c r="AG3509">
        <v>0</v>
      </c>
      <c r="AH3509">
        <v>0</v>
      </c>
      <c r="AI3509">
        <v>12</v>
      </c>
      <c r="AJ3509">
        <v>12</v>
      </c>
      <c r="AM3509">
        <v>0</v>
      </c>
      <c r="AN3509">
        <v>42.24</v>
      </c>
      <c r="AP3509">
        <v>11</v>
      </c>
    </row>
    <row r="3510" spans="1:42" x14ac:dyDescent="0.25">
      <c r="A3510" t="s">
        <v>46</v>
      </c>
      <c r="B3510">
        <v>1</v>
      </c>
      <c r="C3510" t="s">
        <v>2386</v>
      </c>
      <c r="D3510" s="39">
        <v>46091</v>
      </c>
      <c r="E3510" t="s">
        <v>2387</v>
      </c>
      <c r="F3510" t="s">
        <v>79</v>
      </c>
      <c r="G3510">
        <v>3.5</v>
      </c>
      <c r="H3510" t="s">
        <v>534</v>
      </c>
      <c r="I3510" t="s">
        <v>79</v>
      </c>
      <c r="J3510">
        <v>150</v>
      </c>
      <c r="K3510" t="s">
        <v>79</v>
      </c>
      <c r="L3510">
        <v>6</v>
      </c>
      <c r="M3510">
        <v>124.36999999999998</v>
      </c>
      <c r="N3510">
        <v>2.0999999999999996</v>
      </c>
      <c r="Q3510">
        <v>122.26999999999998</v>
      </c>
      <c r="R3510" t="s">
        <v>2388</v>
      </c>
      <c r="V3510">
        <v>0</v>
      </c>
      <c r="W3510">
        <v>0</v>
      </c>
      <c r="AF3510">
        <v>0</v>
      </c>
      <c r="AG3510">
        <v>0</v>
      </c>
      <c r="AH3510">
        <v>0</v>
      </c>
      <c r="AI3510">
        <v>12</v>
      </c>
      <c r="AJ3510">
        <v>12</v>
      </c>
      <c r="AM3510">
        <v>0</v>
      </c>
      <c r="AN3510">
        <v>129.36999999999998</v>
      </c>
      <c r="AP3510">
        <v>11</v>
      </c>
    </row>
    <row r="3511" spans="1:42" x14ac:dyDescent="0.25">
      <c r="A3511" t="s">
        <v>45</v>
      </c>
      <c r="B3511">
        <v>2</v>
      </c>
      <c r="C3511" t="s">
        <v>2319</v>
      </c>
      <c r="D3511" s="39">
        <v>46091</v>
      </c>
      <c r="E3511" t="s">
        <v>486</v>
      </c>
      <c r="F3511" t="s">
        <v>79</v>
      </c>
      <c r="G3511">
        <v>3</v>
      </c>
      <c r="H3511" t="s">
        <v>92</v>
      </c>
      <c r="I3511" t="s">
        <v>79</v>
      </c>
      <c r="J3511">
        <v>1000</v>
      </c>
      <c r="K3511" t="s">
        <v>79</v>
      </c>
      <c r="L3511">
        <v>9</v>
      </c>
      <c r="M3511">
        <v>127.74000000000001</v>
      </c>
      <c r="N3511">
        <v>2.6999999999999997</v>
      </c>
      <c r="Q3511">
        <v>125.04</v>
      </c>
      <c r="R3511" t="s">
        <v>2376</v>
      </c>
      <c r="S3511">
        <v>20</v>
      </c>
      <c r="V3511">
        <v>20</v>
      </c>
      <c r="W3511">
        <v>0.33333333333333331</v>
      </c>
      <c r="AF3511">
        <v>0</v>
      </c>
      <c r="AG3511">
        <v>0</v>
      </c>
      <c r="AH3511">
        <v>0.33333333333333331</v>
      </c>
      <c r="AI3511">
        <v>11.666666666666666</v>
      </c>
      <c r="AJ3511">
        <v>12</v>
      </c>
      <c r="AM3511">
        <v>0</v>
      </c>
      <c r="AN3511">
        <v>132.74</v>
      </c>
      <c r="AP3511">
        <v>11</v>
      </c>
    </row>
    <row r="3512" spans="1:42" x14ac:dyDescent="0.25">
      <c r="A3512" t="s">
        <v>46</v>
      </c>
      <c r="B3512">
        <v>2</v>
      </c>
      <c r="C3512" t="s">
        <v>2389</v>
      </c>
      <c r="D3512" s="39">
        <v>46091</v>
      </c>
      <c r="E3512" t="s">
        <v>2387</v>
      </c>
      <c r="F3512" t="s">
        <v>79</v>
      </c>
      <c r="G3512">
        <v>6</v>
      </c>
      <c r="H3512" t="s">
        <v>1049</v>
      </c>
      <c r="I3512" t="s">
        <v>79</v>
      </c>
      <c r="J3512">
        <v>100</v>
      </c>
      <c r="K3512" t="s">
        <v>79</v>
      </c>
      <c r="L3512">
        <v>6</v>
      </c>
      <c r="M3512">
        <v>109.64999999999999</v>
      </c>
      <c r="N3512">
        <v>3.5999999999999996</v>
      </c>
      <c r="Q3512">
        <v>106.05</v>
      </c>
      <c r="R3512" t="s">
        <v>2390</v>
      </c>
      <c r="V3512">
        <v>0</v>
      </c>
      <c r="W3512">
        <v>0</v>
      </c>
      <c r="AF3512">
        <v>0</v>
      </c>
      <c r="AG3512">
        <v>0</v>
      </c>
      <c r="AH3512">
        <v>0</v>
      </c>
      <c r="AI3512">
        <v>12</v>
      </c>
      <c r="AJ3512">
        <v>12</v>
      </c>
      <c r="AM3512">
        <v>0</v>
      </c>
      <c r="AN3512">
        <v>114.65</v>
      </c>
      <c r="AP3512">
        <v>11</v>
      </c>
    </row>
    <row r="3513" spans="1:42" x14ac:dyDescent="0.25">
      <c r="A3513" t="s">
        <v>46</v>
      </c>
      <c r="B3513">
        <v>2</v>
      </c>
      <c r="C3513" t="s">
        <v>2391</v>
      </c>
      <c r="D3513" s="39">
        <v>46091</v>
      </c>
      <c r="E3513" t="s">
        <v>486</v>
      </c>
      <c r="F3513" t="s">
        <v>79</v>
      </c>
      <c r="G3513">
        <v>6</v>
      </c>
      <c r="H3513">
        <v>5</v>
      </c>
      <c r="I3513" t="s">
        <v>79</v>
      </c>
      <c r="J3513">
        <v>400</v>
      </c>
      <c r="K3513" t="s">
        <v>79</v>
      </c>
      <c r="L3513">
        <v>5</v>
      </c>
      <c r="M3513">
        <v>96.86</v>
      </c>
      <c r="N3513">
        <v>3</v>
      </c>
      <c r="Q3513">
        <v>93.86</v>
      </c>
      <c r="R3513" t="s">
        <v>2570</v>
      </c>
      <c r="V3513">
        <v>0</v>
      </c>
      <c r="W3513">
        <v>0</v>
      </c>
      <c r="AF3513">
        <v>0</v>
      </c>
      <c r="AG3513">
        <v>0</v>
      </c>
      <c r="AH3513">
        <v>0</v>
      </c>
      <c r="AI3513">
        <v>12</v>
      </c>
      <c r="AJ3513">
        <v>12</v>
      </c>
      <c r="AM3513">
        <v>0</v>
      </c>
      <c r="AN3513">
        <v>101.86</v>
      </c>
      <c r="AP3513">
        <v>11</v>
      </c>
    </row>
    <row r="3514" spans="1:42" x14ac:dyDescent="0.25">
      <c r="A3514" t="s">
        <v>45</v>
      </c>
      <c r="B3514">
        <v>4</v>
      </c>
      <c r="C3514" t="s">
        <v>2226</v>
      </c>
      <c r="D3514" s="39">
        <v>46091</v>
      </c>
      <c r="E3514" t="s">
        <v>243</v>
      </c>
      <c r="F3514" t="s">
        <v>79</v>
      </c>
      <c r="G3514">
        <v>16.2</v>
      </c>
      <c r="H3514" t="s">
        <v>81</v>
      </c>
      <c r="I3514" t="s">
        <v>79</v>
      </c>
      <c r="J3514">
        <v>3000</v>
      </c>
      <c r="K3514" t="s">
        <v>79</v>
      </c>
      <c r="L3514">
        <v>4</v>
      </c>
      <c r="M3514">
        <v>180.67000000000002</v>
      </c>
      <c r="N3514">
        <v>7.6</v>
      </c>
      <c r="Q3514">
        <v>173.07000000000002</v>
      </c>
      <c r="R3514" t="s">
        <v>2445</v>
      </c>
      <c r="V3514">
        <v>0</v>
      </c>
      <c r="W3514">
        <v>0</v>
      </c>
      <c r="AF3514">
        <v>0</v>
      </c>
      <c r="AG3514">
        <v>0</v>
      </c>
      <c r="AH3514">
        <v>0</v>
      </c>
      <c r="AI3514">
        <v>12</v>
      </c>
      <c r="AJ3514">
        <v>12</v>
      </c>
      <c r="AM3514">
        <v>0</v>
      </c>
      <c r="AN3514">
        <v>185.67</v>
      </c>
      <c r="AP3514">
        <v>11</v>
      </c>
    </row>
    <row r="3515" spans="1:42" x14ac:dyDescent="0.25">
      <c r="A3515" t="s">
        <v>45</v>
      </c>
      <c r="B3515">
        <v>4</v>
      </c>
      <c r="C3515" t="s">
        <v>2392</v>
      </c>
      <c r="D3515" s="39">
        <v>46091</v>
      </c>
      <c r="E3515" t="s">
        <v>2393</v>
      </c>
      <c r="F3515" t="s">
        <v>79</v>
      </c>
      <c r="G3515">
        <v>17</v>
      </c>
      <c r="H3515" t="s">
        <v>1734</v>
      </c>
      <c r="I3515" t="s">
        <v>79</v>
      </c>
      <c r="J3515">
        <v>800</v>
      </c>
      <c r="K3515" t="s">
        <v>79</v>
      </c>
      <c r="L3515">
        <v>7</v>
      </c>
      <c r="M3515">
        <v>408.13</v>
      </c>
      <c r="N3515">
        <v>11.9</v>
      </c>
      <c r="Q3515">
        <v>396.23</v>
      </c>
      <c r="R3515" t="s">
        <v>2394</v>
      </c>
      <c r="S3515">
        <v>35</v>
      </c>
      <c r="V3515">
        <v>35</v>
      </c>
      <c r="W3515">
        <v>0.58333333333333337</v>
      </c>
      <c r="AD3515">
        <v>40</v>
      </c>
      <c r="AF3515">
        <v>40</v>
      </c>
      <c r="AG3515">
        <v>0.66666666666666663</v>
      </c>
      <c r="AH3515">
        <v>1.25</v>
      </c>
      <c r="AI3515">
        <v>10.75</v>
      </c>
      <c r="AJ3515">
        <v>12</v>
      </c>
      <c r="AM3515">
        <v>0</v>
      </c>
      <c r="AN3515">
        <v>413.13</v>
      </c>
      <c r="AP3515">
        <v>11</v>
      </c>
    </row>
    <row r="3516" spans="1:42" x14ac:dyDescent="0.25">
      <c r="A3516" t="s">
        <v>46</v>
      </c>
      <c r="B3516">
        <v>4</v>
      </c>
      <c r="C3516" t="s">
        <v>2392</v>
      </c>
      <c r="D3516" s="39">
        <v>46091</v>
      </c>
      <c r="E3516" t="s">
        <v>2393</v>
      </c>
      <c r="F3516" t="s">
        <v>79</v>
      </c>
      <c r="G3516">
        <v>17</v>
      </c>
      <c r="H3516" t="s">
        <v>1734</v>
      </c>
      <c r="I3516" t="s">
        <v>79</v>
      </c>
      <c r="J3516">
        <v>800</v>
      </c>
      <c r="K3516" t="s">
        <v>79</v>
      </c>
      <c r="L3516">
        <v>6</v>
      </c>
      <c r="M3516">
        <v>426.34000000000003</v>
      </c>
      <c r="N3516">
        <v>10.199999999999999</v>
      </c>
      <c r="Q3516">
        <v>416.14000000000004</v>
      </c>
      <c r="R3516" t="s">
        <v>2394</v>
      </c>
      <c r="V3516">
        <v>0</v>
      </c>
      <c r="W3516">
        <v>0</v>
      </c>
      <c r="AF3516">
        <v>0</v>
      </c>
      <c r="AG3516">
        <v>0</v>
      </c>
      <c r="AH3516">
        <v>0</v>
      </c>
      <c r="AI3516">
        <v>12</v>
      </c>
      <c r="AJ3516">
        <v>12</v>
      </c>
      <c r="AM3516">
        <v>0</v>
      </c>
      <c r="AN3516">
        <v>431.34</v>
      </c>
      <c r="AP3516">
        <v>11</v>
      </c>
    </row>
    <row r="3517" spans="1:42" x14ac:dyDescent="0.25">
      <c r="A3517" t="s">
        <v>46</v>
      </c>
      <c r="B3517">
        <v>4</v>
      </c>
      <c r="C3517" t="s">
        <v>2395</v>
      </c>
      <c r="D3517" s="39">
        <v>46091</v>
      </c>
      <c r="E3517" t="s">
        <v>396</v>
      </c>
      <c r="F3517" t="s">
        <v>79</v>
      </c>
      <c r="G3517">
        <v>15</v>
      </c>
      <c r="H3517" t="s">
        <v>92</v>
      </c>
      <c r="I3517" t="s">
        <v>79</v>
      </c>
      <c r="J3517">
        <v>5000</v>
      </c>
      <c r="K3517" t="s">
        <v>79</v>
      </c>
      <c r="L3517">
        <v>2</v>
      </c>
      <c r="M3517">
        <v>105.63</v>
      </c>
      <c r="N3517">
        <v>3</v>
      </c>
      <c r="Q3517">
        <v>102.63</v>
      </c>
      <c r="R3517" t="s">
        <v>2396</v>
      </c>
      <c r="V3517">
        <v>0</v>
      </c>
      <c r="W3517">
        <v>0</v>
      </c>
      <c r="AF3517">
        <v>0</v>
      </c>
      <c r="AG3517">
        <v>0</v>
      </c>
      <c r="AH3517">
        <v>0</v>
      </c>
      <c r="AI3517">
        <v>12</v>
      </c>
      <c r="AJ3517">
        <v>12</v>
      </c>
      <c r="AM3517">
        <v>0</v>
      </c>
      <c r="AN3517">
        <v>110.63</v>
      </c>
      <c r="AP3517">
        <v>11</v>
      </c>
    </row>
    <row r="3518" spans="1:42" x14ac:dyDescent="0.25">
      <c r="A3518" t="s">
        <v>46</v>
      </c>
      <c r="B3518">
        <v>4</v>
      </c>
      <c r="C3518" t="s">
        <v>2397</v>
      </c>
      <c r="D3518" s="39">
        <v>46091</v>
      </c>
      <c r="E3518" t="s">
        <v>200</v>
      </c>
      <c r="F3518" t="s">
        <v>79</v>
      </c>
      <c r="G3518">
        <v>15</v>
      </c>
      <c r="H3518" t="s">
        <v>578</v>
      </c>
      <c r="I3518" t="s">
        <v>79</v>
      </c>
      <c r="J3518">
        <v>200</v>
      </c>
      <c r="K3518" t="s">
        <v>79</v>
      </c>
      <c r="L3518">
        <v>3</v>
      </c>
      <c r="M3518">
        <v>191.7</v>
      </c>
      <c r="N3518">
        <v>4.5</v>
      </c>
      <c r="Q3518">
        <v>187.2</v>
      </c>
      <c r="R3518" t="s">
        <v>2398</v>
      </c>
      <c r="V3518">
        <v>0</v>
      </c>
      <c r="W3518">
        <v>0</v>
      </c>
      <c r="AF3518">
        <v>0</v>
      </c>
      <c r="AG3518">
        <v>0</v>
      </c>
      <c r="AH3518">
        <v>0</v>
      </c>
      <c r="AI3518">
        <v>12</v>
      </c>
      <c r="AJ3518">
        <v>12</v>
      </c>
      <c r="AM3518">
        <v>0</v>
      </c>
      <c r="AN3518">
        <v>196.7</v>
      </c>
      <c r="AP3518">
        <v>11</v>
      </c>
    </row>
    <row r="3519" spans="1:42" x14ac:dyDescent="0.25">
      <c r="A3519" t="s">
        <v>45</v>
      </c>
      <c r="B3519">
        <v>5</v>
      </c>
      <c r="C3519" t="s">
        <v>2384</v>
      </c>
      <c r="D3519" s="39">
        <v>46091</v>
      </c>
      <c r="E3519" t="s">
        <v>200</v>
      </c>
      <c r="F3519" t="s">
        <v>79</v>
      </c>
      <c r="G3519">
        <v>14</v>
      </c>
      <c r="H3519" t="s">
        <v>578</v>
      </c>
      <c r="I3519" t="s">
        <v>79</v>
      </c>
      <c r="J3519">
        <v>100</v>
      </c>
      <c r="K3519" t="s">
        <v>79</v>
      </c>
      <c r="L3519">
        <v>1</v>
      </c>
      <c r="M3519">
        <v>26.73</v>
      </c>
      <c r="N3519">
        <v>1.4</v>
      </c>
      <c r="Q3519">
        <v>25.330000000000002</v>
      </c>
      <c r="R3519" t="s">
        <v>2385</v>
      </c>
      <c r="V3519">
        <v>0</v>
      </c>
      <c r="W3519">
        <v>0</v>
      </c>
      <c r="AF3519">
        <v>0</v>
      </c>
      <c r="AG3519">
        <v>0</v>
      </c>
      <c r="AH3519">
        <v>0</v>
      </c>
      <c r="AI3519">
        <v>12</v>
      </c>
      <c r="AJ3519">
        <v>12</v>
      </c>
      <c r="AM3519">
        <v>0</v>
      </c>
      <c r="AN3519">
        <v>31.73</v>
      </c>
      <c r="AP3519">
        <v>11</v>
      </c>
    </row>
    <row r="3520" spans="1:42" x14ac:dyDescent="0.25">
      <c r="A3520" t="s">
        <v>45</v>
      </c>
      <c r="B3520">
        <v>5</v>
      </c>
      <c r="C3520" t="s">
        <v>2374</v>
      </c>
      <c r="D3520" s="39">
        <v>46091</v>
      </c>
      <c r="E3520" t="s">
        <v>486</v>
      </c>
      <c r="F3520" t="s">
        <v>79</v>
      </c>
      <c r="G3520">
        <v>14</v>
      </c>
      <c r="H3520">
        <v>5</v>
      </c>
      <c r="I3520" t="s">
        <v>79</v>
      </c>
      <c r="J3520">
        <v>1000</v>
      </c>
      <c r="K3520" t="s">
        <v>79</v>
      </c>
      <c r="L3520">
        <v>9</v>
      </c>
      <c r="M3520">
        <v>519.46999999999991</v>
      </c>
      <c r="N3520">
        <v>12.6</v>
      </c>
      <c r="O3520">
        <v>42</v>
      </c>
      <c r="Q3520">
        <v>506.86999999999989</v>
      </c>
      <c r="R3520" t="s">
        <v>2378</v>
      </c>
      <c r="V3520">
        <v>0</v>
      </c>
      <c r="W3520">
        <v>0</v>
      </c>
      <c r="AF3520">
        <v>0</v>
      </c>
      <c r="AG3520">
        <v>0</v>
      </c>
      <c r="AH3520">
        <v>0</v>
      </c>
      <c r="AI3520">
        <v>12</v>
      </c>
      <c r="AJ3520">
        <v>12</v>
      </c>
      <c r="AM3520">
        <v>0</v>
      </c>
      <c r="AN3520">
        <v>524.46999999999991</v>
      </c>
      <c r="AP3520">
        <v>11</v>
      </c>
    </row>
    <row r="3521" spans="1:42" x14ac:dyDescent="0.25">
      <c r="A3521" t="s">
        <v>46</v>
      </c>
      <c r="B3521">
        <v>5</v>
      </c>
      <c r="C3521" t="s">
        <v>2374</v>
      </c>
      <c r="D3521" s="39">
        <v>46091</v>
      </c>
      <c r="E3521" t="s">
        <v>486</v>
      </c>
      <c r="F3521" t="s">
        <v>79</v>
      </c>
      <c r="G3521">
        <v>14</v>
      </c>
      <c r="H3521">
        <v>5</v>
      </c>
      <c r="I3521" t="s">
        <v>79</v>
      </c>
      <c r="J3521">
        <v>1000</v>
      </c>
      <c r="K3521" t="s">
        <v>79</v>
      </c>
      <c r="L3521">
        <v>4</v>
      </c>
      <c r="M3521">
        <v>233.87</v>
      </c>
      <c r="N3521">
        <v>5.6</v>
      </c>
      <c r="O3521">
        <v>34</v>
      </c>
      <c r="Q3521">
        <v>228.27</v>
      </c>
      <c r="R3521" t="s">
        <v>2378</v>
      </c>
      <c r="V3521">
        <v>0</v>
      </c>
      <c r="W3521">
        <v>0</v>
      </c>
      <c r="AF3521">
        <v>0</v>
      </c>
      <c r="AG3521">
        <v>0</v>
      </c>
      <c r="AH3521">
        <v>0</v>
      </c>
      <c r="AI3521">
        <v>12</v>
      </c>
      <c r="AJ3521">
        <v>12</v>
      </c>
      <c r="AM3521">
        <v>0</v>
      </c>
      <c r="AN3521">
        <v>238.87</v>
      </c>
      <c r="AP3521">
        <v>11</v>
      </c>
    </row>
    <row r="3522" spans="1:42" x14ac:dyDescent="0.25">
      <c r="A3522" t="s">
        <v>46</v>
      </c>
      <c r="B3522">
        <v>5</v>
      </c>
      <c r="C3522" t="s">
        <v>2399</v>
      </c>
      <c r="D3522" s="39">
        <v>46091</v>
      </c>
      <c r="E3522" t="s">
        <v>2325</v>
      </c>
      <c r="F3522" t="s">
        <v>79</v>
      </c>
      <c r="G3522">
        <v>10</v>
      </c>
      <c r="H3522" t="s">
        <v>942</v>
      </c>
      <c r="I3522" t="s">
        <v>79</v>
      </c>
      <c r="J3522">
        <v>200</v>
      </c>
      <c r="K3522" t="s">
        <v>79</v>
      </c>
      <c r="L3522">
        <v>5</v>
      </c>
      <c r="M3522">
        <v>242.9</v>
      </c>
      <c r="N3522">
        <v>5</v>
      </c>
      <c r="Q3522">
        <v>237.9</v>
      </c>
      <c r="R3522" t="s">
        <v>2400</v>
      </c>
      <c r="V3522">
        <v>0</v>
      </c>
      <c r="W3522">
        <v>0</v>
      </c>
      <c r="AF3522">
        <v>0</v>
      </c>
      <c r="AG3522">
        <v>0</v>
      </c>
      <c r="AH3522">
        <v>0</v>
      </c>
      <c r="AI3522">
        <v>12</v>
      </c>
      <c r="AJ3522">
        <v>12</v>
      </c>
      <c r="AM3522">
        <v>0</v>
      </c>
      <c r="AN3522">
        <v>247.9</v>
      </c>
      <c r="AP3522">
        <v>11</v>
      </c>
    </row>
    <row r="3523" spans="1:42" x14ac:dyDescent="0.25">
      <c r="A3523" t="s">
        <v>45</v>
      </c>
      <c r="B3523">
        <v>1</v>
      </c>
      <c r="C3523" t="s">
        <v>2386</v>
      </c>
      <c r="D3523" s="39">
        <v>46092</v>
      </c>
      <c r="E3523" t="s">
        <v>2387</v>
      </c>
      <c r="F3523" t="s">
        <v>79</v>
      </c>
      <c r="G3523">
        <v>3.5</v>
      </c>
      <c r="H3523" t="s">
        <v>534</v>
      </c>
      <c r="I3523" t="s">
        <v>79</v>
      </c>
      <c r="J3523">
        <v>150</v>
      </c>
      <c r="K3523" t="s">
        <v>79</v>
      </c>
      <c r="L3523">
        <v>4</v>
      </c>
      <c r="M3523">
        <v>84.65</v>
      </c>
      <c r="N3523">
        <v>14</v>
      </c>
      <c r="Q3523">
        <v>70.650000000000006</v>
      </c>
      <c r="R3523" t="s">
        <v>2388</v>
      </c>
      <c r="S3523">
        <v>20</v>
      </c>
      <c r="V3523">
        <v>20</v>
      </c>
      <c r="W3523">
        <v>0.33333333333333331</v>
      </c>
      <c r="AF3523">
        <v>0</v>
      </c>
      <c r="AG3523">
        <v>0</v>
      </c>
      <c r="AH3523">
        <v>0.33333333333333331</v>
      </c>
      <c r="AI3523">
        <v>11.666666666666666</v>
      </c>
      <c r="AJ3523">
        <v>12</v>
      </c>
      <c r="AM3523">
        <v>0</v>
      </c>
      <c r="AN3523">
        <v>89.65</v>
      </c>
      <c r="AP3523">
        <v>11</v>
      </c>
    </row>
    <row r="3524" spans="1:42" x14ac:dyDescent="0.25">
      <c r="A3524" t="s">
        <v>45</v>
      </c>
      <c r="B3524">
        <v>1</v>
      </c>
      <c r="C3524" t="s">
        <v>2380</v>
      </c>
      <c r="D3524" s="39">
        <v>46092</v>
      </c>
      <c r="E3524" t="s">
        <v>486</v>
      </c>
      <c r="F3524" t="s">
        <v>79</v>
      </c>
      <c r="G3524">
        <v>2.5</v>
      </c>
      <c r="H3524" t="s">
        <v>92</v>
      </c>
      <c r="I3524" t="s">
        <v>79</v>
      </c>
      <c r="J3524">
        <v>1000</v>
      </c>
      <c r="K3524" t="s">
        <v>79</v>
      </c>
      <c r="L3524">
        <v>4</v>
      </c>
      <c r="M3524">
        <v>52.540000000000006</v>
      </c>
      <c r="N3524">
        <v>1</v>
      </c>
      <c r="Q3524">
        <v>51.540000000000006</v>
      </c>
      <c r="R3524" t="s">
        <v>2381</v>
      </c>
      <c r="V3524">
        <v>0</v>
      </c>
      <c r="W3524">
        <v>0</v>
      </c>
      <c r="AF3524">
        <v>0</v>
      </c>
      <c r="AG3524">
        <v>0</v>
      </c>
      <c r="AH3524">
        <v>0</v>
      </c>
      <c r="AI3524">
        <v>12</v>
      </c>
      <c r="AJ3524">
        <v>12</v>
      </c>
      <c r="AM3524">
        <v>0</v>
      </c>
      <c r="AN3524">
        <v>57.540000000000006</v>
      </c>
      <c r="AP3524">
        <v>11</v>
      </c>
    </row>
    <row r="3525" spans="1:42" x14ac:dyDescent="0.25">
      <c r="A3525" t="s">
        <v>46</v>
      </c>
      <c r="B3525">
        <v>1</v>
      </c>
      <c r="C3525" t="s">
        <v>2380</v>
      </c>
      <c r="D3525" s="39">
        <v>46092</v>
      </c>
      <c r="E3525" t="s">
        <v>486</v>
      </c>
      <c r="F3525" t="s">
        <v>79</v>
      </c>
      <c r="G3525">
        <v>2.5</v>
      </c>
      <c r="H3525" t="s">
        <v>92</v>
      </c>
      <c r="I3525" t="s">
        <v>79</v>
      </c>
      <c r="J3525">
        <v>1000</v>
      </c>
      <c r="K3525" t="s">
        <v>79</v>
      </c>
      <c r="L3525">
        <v>7</v>
      </c>
      <c r="M3525">
        <v>108.95000000000002</v>
      </c>
      <c r="N3525">
        <v>1.75</v>
      </c>
      <c r="Q3525">
        <v>107.20000000000002</v>
      </c>
      <c r="R3525" t="s">
        <v>2381</v>
      </c>
      <c r="V3525">
        <v>0</v>
      </c>
      <c r="W3525">
        <v>0</v>
      </c>
      <c r="AF3525">
        <v>0</v>
      </c>
      <c r="AG3525">
        <v>0</v>
      </c>
      <c r="AH3525">
        <v>0</v>
      </c>
      <c r="AI3525">
        <v>12</v>
      </c>
      <c r="AJ3525">
        <v>12</v>
      </c>
      <c r="AM3525">
        <v>0</v>
      </c>
      <c r="AN3525">
        <v>113.95000000000002</v>
      </c>
      <c r="AP3525">
        <v>11</v>
      </c>
    </row>
    <row r="3526" spans="1:42" x14ac:dyDescent="0.25">
      <c r="A3526" t="s">
        <v>45</v>
      </c>
      <c r="B3526">
        <v>2</v>
      </c>
      <c r="C3526" t="s">
        <v>2401</v>
      </c>
      <c r="D3526" s="39">
        <v>46092</v>
      </c>
      <c r="E3526" t="s">
        <v>2402</v>
      </c>
      <c r="F3526" t="s">
        <v>79</v>
      </c>
      <c r="G3526">
        <v>6</v>
      </c>
      <c r="H3526" t="s">
        <v>944</v>
      </c>
      <c r="I3526" t="s">
        <v>79</v>
      </c>
      <c r="J3526">
        <v>100</v>
      </c>
      <c r="K3526" t="s">
        <v>79</v>
      </c>
      <c r="L3526">
        <v>2</v>
      </c>
      <c r="M3526">
        <v>43.510000000000005</v>
      </c>
      <c r="N3526">
        <v>1.2</v>
      </c>
      <c r="Q3526">
        <v>42.31</v>
      </c>
      <c r="R3526" t="s">
        <v>2403</v>
      </c>
      <c r="V3526">
        <v>0</v>
      </c>
      <c r="W3526">
        <v>0</v>
      </c>
      <c r="AF3526">
        <v>0</v>
      </c>
      <c r="AG3526">
        <v>0</v>
      </c>
      <c r="AH3526">
        <v>0</v>
      </c>
      <c r="AI3526">
        <v>12</v>
      </c>
      <c r="AJ3526">
        <v>12</v>
      </c>
      <c r="AM3526">
        <v>0</v>
      </c>
      <c r="AN3526">
        <v>48.510000000000005</v>
      </c>
      <c r="AP3526">
        <v>11</v>
      </c>
    </row>
    <row r="3527" spans="1:42" x14ac:dyDescent="0.25">
      <c r="A3527" t="s">
        <v>45</v>
      </c>
      <c r="B3527">
        <v>2</v>
      </c>
      <c r="C3527" t="s">
        <v>2404</v>
      </c>
      <c r="D3527" s="39">
        <v>46092</v>
      </c>
      <c r="E3527" t="s">
        <v>2387</v>
      </c>
      <c r="F3527" t="s">
        <v>79</v>
      </c>
      <c r="G3527">
        <v>5</v>
      </c>
      <c r="H3527" t="s">
        <v>1049</v>
      </c>
      <c r="I3527" t="s">
        <v>79</v>
      </c>
      <c r="J3527">
        <v>100</v>
      </c>
      <c r="K3527" t="s">
        <v>79</v>
      </c>
      <c r="L3527">
        <v>6</v>
      </c>
      <c r="M3527">
        <v>119.08999999999999</v>
      </c>
      <c r="N3527">
        <v>3</v>
      </c>
      <c r="Q3527">
        <v>116.08999999999999</v>
      </c>
      <c r="R3527" t="s">
        <v>2405</v>
      </c>
      <c r="S3527">
        <v>20</v>
      </c>
      <c r="V3527">
        <v>20</v>
      </c>
      <c r="W3527">
        <v>0.33333333333333331</v>
      </c>
      <c r="AF3527">
        <v>0</v>
      </c>
      <c r="AG3527">
        <v>0</v>
      </c>
      <c r="AH3527">
        <v>0.33333333333333331</v>
      </c>
      <c r="AI3527">
        <v>11.666666666666666</v>
      </c>
      <c r="AJ3527">
        <v>12</v>
      </c>
      <c r="AM3527">
        <v>0</v>
      </c>
      <c r="AN3527">
        <v>124.09</v>
      </c>
      <c r="AP3527">
        <v>11</v>
      </c>
    </row>
    <row r="3528" spans="1:42" x14ac:dyDescent="0.25">
      <c r="A3528" t="s">
        <v>45</v>
      </c>
      <c r="B3528">
        <v>2</v>
      </c>
      <c r="C3528" t="s">
        <v>2406</v>
      </c>
      <c r="D3528" s="39">
        <v>46092</v>
      </c>
      <c r="E3528" t="s">
        <v>486</v>
      </c>
      <c r="F3528" t="s">
        <v>79</v>
      </c>
      <c r="G3528">
        <v>5</v>
      </c>
      <c r="H3528" t="s">
        <v>92</v>
      </c>
      <c r="I3528" t="s">
        <v>79</v>
      </c>
      <c r="J3528">
        <v>500</v>
      </c>
      <c r="K3528" t="s">
        <v>79</v>
      </c>
      <c r="L3528">
        <v>1</v>
      </c>
      <c r="M3528">
        <v>17.88</v>
      </c>
      <c r="N3528">
        <v>0.5</v>
      </c>
      <c r="Q3528">
        <v>17.38</v>
      </c>
      <c r="R3528" t="s">
        <v>2407</v>
      </c>
      <c r="V3528">
        <v>0</v>
      </c>
      <c r="W3528">
        <v>0</v>
      </c>
      <c r="AF3528">
        <v>0</v>
      </c>
      <c r="AG3528">
        <v>0</v>
      </c>
      <c r="AH3528">
        <v>0</v>
      </c>
      <c r="AI3528">
        <v>12</v>
      </c>
      <c r="AJ3528">
        <v>12</v>
      </c>
      <c r="AM3528">
        <v>0</v>
      </c>
      <c r="AN3528">
        <v>22.88</v>
      </c>
      <c r="AP3528">
        <v>11</v>
      </c>
    </row>
    <row r="3529" spans="1:42" x14ac:dyDescent="0.25">
      <c r="A3529" t="s">
        <v>46</v>
      </c>
      <c r="B3529">
        <v>2</v>
      </c>
      <c r="C3529" t="s">
        <v>2406</v>
      </c>
      <c r="D3529" s="39">
        <v>46092</v>
      </c>
      <c r="E3529" t="s">
        <v>486</v>
      </c>
      <c r="F3529" t="s">
        <v>79</v>
      </c>
      <c r="G3529">
        <v>5</v>
      </c>
      <c r="H3529" t="s">
        <v>92</v>
      </c>
      <c r="I3529" t="s">
        <v>79</v>
      </c>
      <c r="J3529">
        <v>500</v>
      </c>
      <c r="K3529" t="s">
        <v>79</v>
      </c>
      <c r="L3529">
        <v>9</v>
      </c>
      <c r="M3529">
        <v>179.12999999999997</v>
      </c>
      <c r="N3529">
        <v>4.5</v>
      </c>
      <c r="Q3529">
        <v>174.62999999999997</v>
      </c>
      <c r="R3529" t="s">
        <v>2407</v>
      </c>
      <c r="V3529">
        <v>0</v>
      </c>
      <c r="W3529">
        <v>0</v>
      </c>
      <c r="AF3529">
        <v>0</v>
      </c>
      <c r="AG3529">
        <v>0</v>
      </c>
      <c r="AH3529">
        <v>0</v>
      </c>
      <c r="AI3529">
        <v>12</v>
      </c>
      <c r="AJ3529">
        <v>12</v>
      </c>
      <c r="AM3529">
        <v>0</v>
      </c>
      <c r="AN3529">
        <v>184.12999999999997</v>
      </c>
      <c r="AP3529">
        <v>11</v>
      </c>
    </row>
    <row r="3530" spans="1:42" x14ac:dyDescent="0.25">
      <c r="A3530" t="s">
        <v>45</v>
      </c>
      <c r="B3530">
        <v>4</v>
      </c>
      <c r="C3530" t="s">
        <v>2397</v>
      </c>
      <c r="D3530" s="39">
        <v>46092</v>
      </c>
      <c r="E3530" t="s">
        <v>200</v>
      </c>
      <c r="F3530" t="s">
        <v>79</v>
      </c>
      <c r="G3530">
        <v>15</v>
      </c>
      <c r="H3530" t="s">
        <v>578</v>
      </c>
      <c r="I3530" t="s">
        <v>79</v>
      </c>
      <c r="J3530">
        <v>200</v>
      </c>
      <c r="K3530" t="s">
        <v>79</v>
      </c>
      <c r="L3530">
        <v>1</v>
      </c>
      <c r="M3530">
        <v>67.819999999999993</v>
      </c>
      <c r="N3530">
        <v>1.65</v>
      </c>
      <c r="Q3530">
        <v>66.169999999999987</v>
      </c>
      <c r="R3530" t="s">
        <v>2398</v>
      </c>
      <c r="V3530">
        <v>0</v>
      </c>
      <c r="W3530">
        <v>0</v>
      </c>
      <c r="AF3530">
        <v>0</v>
      </c>
      <c r="AG3530">
        <v>0</v>
      </c>
      <c r="AH3530">
        <v>0</v>
      </c>
      <c r="AI3530">
        <v>12</v>
      </c>
      <c r="AJ3530">
        <v>12</v>
      </c>
      <c r="AM3530">
        <v>0</v>
      </c>
      <c r="AN3530">
        <v>72.819999999999993</v>
      </c>
      <c r="AP3530">
        <v>11</v>
      </c>
    </row>
    <row r="3531" spans="1:42" x14ac:dyDescent="0.25">
      <c r="A3531" t="s">
        <v>45</v>
      </c>
      <c r="B3531">
        <v>4</v>
      </c>
      <c r="C3531" t="s">
        <v>2395</v>
      </c>
      <c r="D3531" s="39">
        <v>46092</v>
      </c>
      <c r="E3531" t="s">
        <v>396</v>
      </c>
      <c r="F3531" t="s">
        <v>79</v>
      </c>
      <c r="G3531">
        <v>15</v>
      </c>
      <c r="H3531" t="s">
        <v>92</v>
      </c>
      <c r="I3531" t="s">
        <v>79</v>
      </c>
      <c r="J3531">
        <v>5000</v>
      </c>
      <c r="K3531" t="s">
        <v>79</v>
      </c>
      <c r="L3531">
        <v>11</v>
      </c>
      <c r="M3531">
        <v>663.75</v>
      </c>
      <c r="N3531">
        <v>16.5</v>
      </c>
      <c r="O3531">
        <v>18</v>
      </c>
      <c r="Q3531">
        <v>647.25</v>
      </c>
      <c r="R3531" t="s">
        <v>2396</v>
      </c>
      <c r="V3531">
        <v>0</v>
      </c>
      <c r="W3531">
        <v>0</v>
      </c>
      <c r="AF3531">
        <v>0</v>
      </c>
      <c r="AG3531">
        <v>0</v>
      </c>
      <c r="AH3531">
        <v>0</v>
      </c>
      <c r="AI3531">
        <v>12</v>
      </c>
      <c r="AJ3531">
        <v>12</v>
      </c>
      <c r="AM3531">
        <v>0</v>
      </c>
      <c r="AN3531">
        <v>668.75</v>
      </c>
      <c r="AP3531">
        <v>11</v>
      </c>
    </row>
    <row r="3532" spans="1:42" x14ac:dyDescent="0.25">
      <c r="A3532" t="s">
        <v>46</v>
      </c>
      <c r="B3532">
        <v>4</v>
      </c>
      <c r="C3532" t="s">
        <v>2395</v>
      </c>
      <c r="D3532" s="39">
        <v>46092</v>
      </c>
      <c r="E3532" t="s">
        <v>396</v>
      </c>
      <c r="F3532" t="s">
        <v>79</v>
      </c>
      <c r="G3532">
        <v>15</v>
      </c>
      <c r="H3532" t="s">
        <v>92</v>
      </c>
      <c r="I3532" t="s">
        <v>79</v>
      </c>
      <c r="J3532">
        <v>5000</v>
      </c>
      <c r="K3532" t="s">
        <v>79</v>
      </c>
      <c r="L3532">
        <v>12</v>
      </c>
      <c r="M3532">
        <v>731.04</v>
      </c>
      <c r="N3532">
        <v>18</v>
      </c>
      <c r="O3532">
        <v>32</v>
      </c>
      <c r="Q3532">
        <v>713.04</v>
      </c>
      <c r="R3532" t="s">
        <v>2396</v>
      </c>
      <c r="V3532">
        <v>0</v>
      </c>
      <c r="W3532">
        <v>0</v>
      </c>
      <c r="AF3532">
        <v>0</v>
      </c>
      <c r="AG3532">
        <v>0</v>
      </c>
      <c r="AH3532">
        <v>0</v>
      </c>
      <c r="AI3532">
        <v>12</v>
      </c>
      <c r="AJ3532">
        <v>12</v>
      </c>
      <c r="AM3532">
        <v>0</v>
      </c>
      <c r="AN3532">
        <v>736.04</v>
      </c>
      <c r="AP3532">
        <v>11</v>
      </c>
    </row>
    <row r="3533" spans="1:42" x14ac:dyDescent="0.25">
      <c r="A3533" t="s">
        <v>45</v>
      </c>
      <c r="B3533">
        <v>5</v>
      </c>
      <c r="C3533" t="s">
        <v>2399</v>
      </c>
      <c r="D3533" s="39">
        <v>46092</v>
      </c>
      <c r="E3533" t="s">
        <v>2325</v>
      </c>
      <c r="F3533" t="s">
        <v>79</v>
      </c>
      <c r="G3533">
        <v>10</v>
      </c>
      <c r="H3533" t="s">
        <v>942</v>
      </c>
      <c r="I3533" t="s">
        <v>79</v>
      </c>
      <c r="J3533">
        <v>200</v>
      </c>
      <c r="K3533" t="s">
        <v>79</v>
      </c>
      <c r="L3533">
        <v>9</v>
      </c>
      <c r="M3533">
        <v>437.84000000000003</v>
      </c>
      <c r="N3533">
        <v>9</v>
      </c>
      <c r="O3533">
        <v>3.5</v>
      </c>
      <c r="Q3533">
        <v>428.84000000000003</v>
      </c>
      <c r="R3533" t="s">
        <v>2400</v>
      </c>
      <c r="V3533">
        <v>0</v>
      </c>
      <c r="W3533">
        <v>0</v>
      </c>
      <c r="AF3533">
        <v>0</v>
      </c>
      <c r="AG3533">
        <v>0</v>
      </c>
      <c r="AH3533">
        <v>0</v>
      </c>
      <c r="AI3533">
        <v>12</v>
      </c>
      <c r="AJ3533">
        <v>12</v>
      </c>
      <c r="AM3533">
        <v>0</v>
      </c>
      <c r="AN3533">
        <v>442.84</v>
      </c>
      <c r="AP3533">
        <v>11</v>
      </c>
    </row>
    <row r="3534" spans="1:42" x14ac:dyDescent="0.25">
      <c r="A3534" t="s">
        <v>46</v>
      </c>
      <c r="B3534">
        <v>5</v>
      </c>
      <c r="C3534" t="s">
        <v>2408</v>
      </c>
      <c r="D3534" s="39">
        <v>46092</v>
      </c>
      <c r="E3534" t="s">
        <v>482</v>
      </c>
      <c r="F3534" t="s">
        <v>79</v>
      </c>
      <c r="G3534">
        <v>10</v>
      </c>
      <c r="H3534" t="s">
        <v>102</v>
      </c>
      <c r="I3534" t="s">
        <v>79</v>
      </c>
      <c r="J3534">
        <v>150</v>
      </c>
      <c r="K3534" t="s">
        <v>79</v>
      </c>
      <c r="L3534">
        <v>4</v>
      </c>
      <c r="M3534">
        <v>175.79999999999998</v>
      </c>
      <c r="N3534">
        <v>4</v>
      </c>
      <c r="O3534">
        <v>3.5</v>
      </c>
      <c r="Q3534">
        <v>171.79999999999998</v>
      </c>
      <c r="R3534" t="s">
        <v>2409</v>
      </c>
      <c r="V3534">
        <v>0</v>
      </c>
      <c r="W3534">
        <v>0</v>
      </c>
      <c r="AF3534">
        <v>0</v>
      </c>
      <c r="AG3534">
        <v>0</v>
      </c>
      <c r="AH3534">
        <v>0</v>
      </c>
      <c r="AI3534">
        <v>12</v>
      </c>
      <c r="AJ3534">
        <v>12</v>
      </c>
      <c r="AM3534">
        <v>0</v>
      </c>
      <c r="AN3534">
        <v>180.8</v>
      </c>
      <c r="AP3534">
        <v>11</v>
      </c>
    </row>
    <row r="3535" spans="1:42" x14ac:dyDescent="0.25">
      <c r="A3535" t="s">
        <v>46</v>
      </c>
      <c r="B3535">
        <v>5</v>
      </c>
      <c r="C3535" t="s">
        <v>2410</v>
      </c>
      <c r="D3535" s="39">
        <v>46092</v>
      </c>
      <c r="E3535" t="s">
        <v>212</v>
      </c>
      <c r="F3535" t="s">
        <v>79</v>
      </c>
      <c r="G3535">
        <v>10</v>
      </c>
      <c r="H3535" t="s">
        <v>944</v>
      </c>
      <c r="I3535" t="s">
        <v>79</v>
      </c>
      <c r="J3535">
        <v>100</v>
      </c>
      <c r="K3535" t="s">
        <v>79</v>
      </c>
      <c r="L3535">
        <v>4</v>
      </c>
      <c r="M3535">
        <v>115.82999999999998</v>
      </c>
      <c r="N3535">
        <v>9.1999999999999993</v>
      </c>
      <c r="Q3535">
        <v>106.62999999999998</v>
      </c>
      <c r="R3535" t="s">
        <v>2411</v>
      </c>
      <c r="V3535">
        <v>0</v>
      </c>
      <c r="W3535">
        <v>0</v>
      </c>
      <c r="AF3535">
        <v>0</v>
      </c>
      <c r="AG3535">
        <v>0</v>
      </c>
      <c r="AH3535">
        <v>0</v>
      </c>
      <c r="AI3535">
        <v>12</v>
      </c>
      <c r="AJ3535">
        <v>12</v>
      </c>
      <c r="AM3535">
        <v>0</v>
      </c>
      <c r="AN3535">
        <v>120.82999999999998</v>
      </c>
      <c r="AP3535">
        <v>11</v>
      </c>
    </row>
    <row r="3536" spans="1:42" x14ac:dyDescent="0.25">
      <c r="A3536" t="s">
        <v>46</v>
      </c>
      <c r="B3536">
        <v>5</v>
      </c>
      <c r="C3536" t="s">
        <v>2412</v>
      </c>
      <c r="D3536" s="39">
        <v>46092</v>
      </c>
      <c r="E3536" t="s">
        <v>2325</v>
      </c>
      <c r="F3536" t="s">
        <v>79</v>
      </c>
      <c r="G3536">
        <v>12</v>
      </c>
      <c r="H3536" t="s">
        <v>942</v>
      </c>
      <c r="I3536" t="s">
        <v>79</v>
      </c>
      <c r="J3536">
        <v>500</v>
      </c>
      <c r="K3536" t="s">
        <v>79</v>
      </c>
      <c r="L3536">
        <v>1</v>
      </c>
      <c r="M3536">
        <v>50.1</v>
      </c>
      <c r="N3536">
        <v>1.2</v>
      </c>
      <c r="Q3536">
        <v>48.9</v>
      </c>
      <c r="R3536" t="s">
        <v>2413</v>
      </c>
      <c r="V3536">
        <v>0</v>
      </c>
      <c r="W3536">
        <v>0</v>
      </c>
      <c r="AF3536">
        <v>0</v>
      </c>
      <c r="AG3536">
        <v>0</v>
      </c>
      <c r="AH3536">
        <v>0</v>
      </c>
      <c r="AI3536">
        <v>12</v>
      </c>
      <c r="AJ3536">
        <v>12</v>
      </c>
      <c r="AM3536">
        <v>0</v>
      </c>
      <c r="AN3536">
        <v>55.1</v>
      </c>
      <c r="AP3536">
        <v>11</v>
      </c>
    </row>
    <row r="3537" spans="1:42" x14ac:dyDescent="0.25">
      <c r="A3537" t="s">
        <v>46</v>
      </c>
      <c r="B3537">
        <v>5</v>
      </c>
      <c r="C3537" t="s">
        <v>2414</v>
      </c>
      <c r="D3537" s="39">
        <v>46092</v>
      </c>
      <c r="E3537" t="s">
        <v>2174</v>
      </c>
      <c r="F3537" t="s">
        <v>79</v>
      </c>
      <c r="G3537">
        <v>10</v>
      </c>
      <c r="H3537" t="s">
        <v>123</v>
      </c>
      <c r="I3537" t="s">
        <v>79</v>
      </c>
      <c r="J3537">
        <v>50</v>
      </c>
      <c r="K3537" t="s">
        <v>79</v>
      </c>
      <c r="L3537">
        <v>2</v>
      </c>
      <c r="M3537">
        <v>26.18</v>
      </c>
      <c r="N3537">
        <v>1</v>
      </c>
      <c r="Q3537">
        <v>25.18</v>
      </c>
      <c r="R3537" t="s">
        <v>2415</v>
      </c>
      <c r="V3537">
        <v>0</v>
      </c>
      <c r="W3537">
        <v>0</v>
      </c>
      <c r="AF3537">
        <v>0</v>
      </c>
      <c r="AG3537">
        <v>0</v>
      </c>
      <c r="AH3537">
        <v>0</v>
      </c>
      <c r="AI3537">
        <v>12</v>
      </c>
      <c r="AJ3537">
        <v>12</v>
      </c>
      <c r="AM3537">
        <v>0</v>
      </c>
      <c r="AN3537">
        <v>31.18</v>
      </c>
      <c r="AP3537">
        <v>11</v>
      </c>
    </row>
    <row r="3538" spans="1:42" x14ac:dyDescent="0.25">
      <c r="A3538" t="s">
        <v>46</v>
      </c>
      <c r="B3538">
        <v>5</v>
      </c>
      <c r="C3538" t="s">
        <v>2416</v>
      </c>
      <c r="D3538" s="39">
        <v>46092</v>
      </c>
      <c r="E3538" t="s">
        <v>482</v>
      </c>
      <c r="F3538" t="s">
        <v>79</v>
      </c>
      <c r="G3538">
        <v>12</v>
      </c>
      <c r="H3538" t="s">
        <v>102</v>
      </c>
      <c r="I3538" t="s">
        <v>79</v>
      </c>
      <c r="J3538">
        <v>150</v>
      </c>
      <c r="K3538" t="s">
        <v>79</v>
      </c>
      <c r="L3538">
        <v>2</v>
      </c>
      <c r="M3538">
        <v>108.5</v>
      </c>
      <c r="N3538">
        <v>2.4</v>
      </c>
      <c r="Q3538">
        <v>106.1</v>
      </c>
      <c r="R3538" t="s">
        <v>2417</v>
      </c>
      <c r="V3538">
        <v>0</v>
      </c>
      <c r="W3538">
        <v>0</v>
      </c>
      <c r="AF3538">
        <v>0</v>
      </c>
      <c r="AG3538">
        <v>0</v>
      </c>
      <c r="AH3538">
        <v>0</v>
      </c>
      <c r="AI3538">
        <v>12</v>
      </c>
      <c r="AJ3538">
        <v>12</v>
      </c>
      <c r="AM3538">
        <v>0</v>
      </c>
      <c r="AN3538">
        <v>113.5</v>
      </c>
      <c r="AP3538">
        <v>11</v>
      </c>
    </row>
    <row r="3539" spans="1:42" x14ac:dyDescent="0.25">
      <c r="A3539" t="s">
        <v>45</v>
      </c>
      <c r="B3539">
        <v>1</v>
      </c>
      <c r="C3539" t="s">
        <v>2380</v>
      </c>
      <c r="D3539" s="39">
        <v>46093</v>
      </c>
      <c r="E3539" t="s">
        <v>486</v>
      </c>
      <c r="F3539" t="s">
        <v>79</v>
      </c>
      <c r="G3539">
        <v>2.5</v>
      </c>
      <c r="H3539" t="s">
        <v>92</v>
      </c>
      <c r="I3539" t="s">
        <v>79</v>
      </c>
      <c r="J3539">
        <v>1000</v>
      </c>
      <c r="K3539" t="s">
        <v>79</v>
      </c>
      <c r="L3539">
        <v>7</v>
      </c>
      <c r="M3539">
        <v>107.21</v>
      </c>
      <c r="N3539">
        <v>1.75</v>
      </c>
      <c r="Q3539">
        <v>105.46</v>
      </c>
      <c r="R3539" t="s">
        <v>2381</v>
      </c>
      <c r="V3539">
        <v>0</v>
      </c>
      <c r="W3539">
        <v>0</v>
      </c>
      <c r="AF3539">
        <v>0</v>
      </c>
      <c r="AG3539">
        <v>0</v>
      </c>
      <c r="AH3539">
        <v>0</v>
      </c>
      <c r="AI3539">
        <v>12</v>
      </c>
      <c r="AJ3539">
        <v>12</v>
      </c>
      <c r="AM3539">
        <v>0</v>
      </c>
      <c r="AN3539">
        <v>112.21</v>
      </c>
      <c r="AP3539">
        <v>11</v>
      </c>
    </row>
    <row r="3540" spans="1:42" x14ac:dyDescent="0.25">
      <c r="A3540" t="s">
        <v>46</v>
      </c>
      <c r="B3540">
        <v>1</v>
      </c>
      <c r="C3540" t="s">
        <v>2380</v>
      </c>
      <c r="D3540" s="39">
        <v>46093</v>
      </c>
      <c r="E3540" t="s">
        <v>486</v>
      </c>
      <c r="F3540" t="s">
        <v>79</v>
      </c>
      <c r="G3540">
        <v>2.5</v>
      </c>
      <c r="H3540" t="s">
        <v>92</v>
      </c>
      <c r="I3540" t="s">
        <v>79</v>
      </c>
      <c r="J3540">
        <v>1000</v>
      </c>
      <c r="K3540" t="s">
        <v>79</v>
      </c>
      <c r="L3540">
        <v>7</v>
      </c>
      <c r="M3540">
        <v>103.4</v>
      </c>
      <c r="N3540">
        <v>1.75</v>
      </c>
      <c r="Q3540">
        <v>101.65</v>
      </c>
      <c r="R3540" t="s">
        <v>2381</v>
      </c>
      <c r="V3540">
        <v>0</v>
      </c>
      <c r="W3540">
        <v>0</v>
      </c>
      <c r="AF3540">
        <v>0</v>
      </c>
      <c r="AG3540">
        <v>0</v>
      </c>
      <c r="AH3540">
        <v>0</v>
      </c>
      <c r="AI3540">
        <v>12</v>
      </c>
      <c r="AJ3540">
        <v>12</v>
      </c>
      <c r="AM3540">
        <v>0</v>
      </c>
      <c r="AN3540">
        <v>108.4</v>
      </c>
      <c r="AP3540">
        <v>11</v>
      </c>
    </row>
    <row r="3541" spans="1:42" x14ac:dyDescent="0.25">
      <c r="A3541" t="s">
        <v>45</v>
      </c>
      <c r="B3541">
        <v>2</v>
      </c>
      <c r="C3541" t="s">
        <v>2406</v>
      </c>
      <c r="D3541" s="39">
        <v>46093</v>
      </c>
      <c r="E3541" t="s">
        <v>486</v>
      </c>
      <c r="F3541" t="s">
        <v>79</v>
      </c>
      <c r="G3541">
        <v>5</v>
      </c>
      <c r="H3541" t="s">
        <v>92</v>
      </c>
      <c r="I3541" t="s">
        <v>79</v>
      </c>
      <c r="J3541">
        <v>500</v>
      </c>
      <c r="K3541" t="s">
        <v>79</v>
      </c>
      <c r="L3541">
        <v>8</v>
      </c>
      <c r="M3541">
        <v>155.9</v>
      </c>
      <c r="N3541">
        <v>4</v>
      </c>
      <c r="Q3541">
        <v>151.9</v>
      </c>
      <c r="R3541" t="s">
        <v>2407</v>
      </c>
      <c r="V3541">
        <v>0</v>
      </c>
      <c r="W3541">
        <v>0</v>
      </c>
      <c r="AF3541">
        <v>0</v>
      </c>
      <c r="AG3541">
        <v>0</v>
      </c>
      <c r="AH3541">
        <v>0</v>
      </c>
      <c r="AI3541">
        <v>12</v>
      </c>
      <c r="AJ3541">
        <v>12</v>
      </c>
      <c r="AM3541">
        <v>0</v>
      </c>
      <c r="AN3541">
        <v>160.9</v>
      </c>
      <c r="AP3541">
        <v>11</v>
      </c>
    </row>
    <row r="3542" spans="1:42" x14ac:dyDescent="0.25">
      <c r="A3542" t="s">
        <v>46</v>
      </c>
      <c r="B3542">
        <v>2</v>
      </c>
      <c r="C3542" t="s">
        <v>2406</v>
      </c>
      <c r="D3542" s="39">
        <v>46093</v>
      </c>
      <c r="E3542" t="s">
        <v>486</v>
      </c>
      <c r="F3542" t="s">
        <v>79</v>
      </c>
      <c r="G3542">
        <v>5</v>
      </c>
      <c r="H3542" t="s">
        <v>92</v>
      </c>
      <c r="I3542" t="s">
        <v>79</v>
      </c>
      <c r="J3542">
        <v>500</v>
      </c>
      <c r="K3542" t="s">
        <v>79</v>
      </c>
      <c r="L3542">
        <v>8</v>
      </c>
      <c r="M3542">
        <v>164.07000000000002</v>
      </c>
      <c r="N3542">
        <v>4</v>
      </c>
      <c r="Q3542">
        <v>160.07000000000002</v>
      </c>
      <c r="R3542" t="s">
        <v>2407</v>
      </c>
      <c r="V3542">
        <v>0</v>
      </c>
      <c r="W3542">
        <v>0</v>
      </c>
      <c r="AF3542">
        <v>0</v>
      </c>
      <c r="AG3542">
        <v>0</v>
      </c>
      <c r="AH3542">
        <v>0</v>
      </c>
      <c r="AI3542">
        <v>12</v>
      </c>
      <c r="AJ3542">
        <v>12</v>
      </c>
      <c r="AM3542">
        <v>0</v>
      </c>
      <c r="AN3542">
        <v>169.07000000000002</v>
      </c>
      <c r="AP3542">
        <v>11</v>
      </c>
    </row>
    <row r="3543" spans="1:42" x14ac:dyDescent="0.25">
      <c r="A3543" t="s">
        <v>45</v>
      </c>
      <c r="B3543">
        <v>4</v>
      </c>
      <c r="C3543" t="s">
        <v>2395</v>
      </c>
      <c r="D3543" s="39">
        <v>46093</v>
      </c>
      <c r="E3543" t="s">
        <v>396</v>
      </c>
      <c r="F3543" t="s">
        <v>79</v>
      </c>
      <c r="G3543">
        <v>15</v>
      </c>
      <c r="H3543" t="s">
        <v>92</v>
      </c>
      <c r="I3543" t="s">
        <v>79</v>
      </c>
      <c r="J3543">
        <v>5000</v>
      </c>
      <c r="K3543" t="s">
        <v>79</v>
      </c>
      <c r="L3543">
        <v>14</v>
      </c>
      <c r="M3543">
        <v>710.06000000000017</v>
      </c>
      <c r="N3543">
        <v>23.099999999999998</v>
      </c>
      <c r="O3543">
        <v>30</v>
      </c>
      <c r="Q3543">
        <v>686.96000000000015</v>
      </c>
      <c r="R3543" t="s">
        <v>2396</v>
      </c>
      <c r="V3543">
        <v>0</v>
      </c>
      <c r="W3543">
        <v>0</v>
      </c>
      <c r="AF3543">
        <v>0</v>
      </c>
      <c r="AG3543">
        <v>0</v>
      </c>
      <c r="AH3543">
        <v>0</v>
      </c>
      <c r="AI3543">
        <v>12</v>
      </c>
      <c r="AJ3543">
        <v>12</v>
      </c>
      <c r="AM3543">
        <v>0</v>
      </c>
      <c r="AN3543">
        <v>715.06000000000017</v>
      </c>
      <c r="AP3543">
        <v>11</v>
      </c>
    </row>
    <row r="3544" spans="1:42" x14ac:dyDescent="0.25">
      <c r="A3544" t="s">
        <v>45</v>
      </c>
      <c r="B3544">
        <v>4</v>
      </c>
      <c r="D3544" s="39">
        <v>46093</v>
      </c>
      <c r="E3544" t="s">
        <v>81</v>
      </c>
      <c r="K3544" t="s">
        <v>79</v>
      </c>
      <c r="L3544">
        <v>1</v>
      </c>
      <c r="M3544">
        <v>63.08</v>
      </c>
      <c r="N3544">
        <v>1.65</v>
      </c>
      <c r="Q3544">
        <v>61.43</v>
      </c>
      <c r="R3544" t="s">
        <v>468</v>
      </c>
      <c r="V3544">
        <v>0</v>
      </c>
      <c r="W3544">
        <v>0</v>
      </c>
      <c r="AF3544">
        <v>0</v>
      </c>
      <c r="AG3544">
        <v>0</v>
      </c>
      <c r="AH3544">
        <v>0</v>
      </c>
      <c r="AI3544">
        <v>12</v>
      </c>
      <c r="AJ3544">
        <v>12</v>
      </c>
      <c r="AM3544">
        <v>0</v>
      </c>
      <c r="AN3544">
        <v>68.08</v>
      </c>
      <c r="AP3544">
        <v>11</v>
      </c>
    </row>
    <row r="3545" spans="1:42" x14ac:dyDescent="0.25">
      <c r="A3545" t="s">
        <v>46</v>
      </c>
      <c r="B3545">
        <v>4</v>
      </c>
      <c r="C3545" t="s">
        <v>2395</v>
      </c>
      <c r="D3545" s="39">
        <v>46093</v>
      </c>
      <c r="E3545" t="s">
        <v>396</v>
      </c>
      <c r="F3545" t="s">
        <v>79</v>
      </c>
      <c r="G3545">
        <v>15</v>
      </c>
      <c r="H3545" t="s">
        <v>92</v>
      </c>
      <c r="I3545" t="s">
        <v>79</v>
      </c>
      <c r="J3545">
        <v>5000</v>
      </c>
      <c r="K3545" t="s">
        <v>79</v>
      </c>
      <c r="L3545">
        <v>13</v>
      </c>
      <c r="M3545">
        <v>768.46</v>
      </c>
      <c r="N3545">
        <v>21.45</v>
      </c>
      <c r="O3545">
        <v>36</v>
      </c>
      <c r="Q3545">
        <v>747.01</v>
      </c>
      <c r="R3545" t="s">
        <v>2396</v>
      </c>
      <c r="V3545">
        <v>0</v>
      </c>
      <c r="W3545">
        <v>0</v>
      </c>
      <c r="AF3545">
        <v>0</v>
      </c>
      <c r="AG3545">
        <v>0</v>
      </c>
      <c r="AH3545">
        <v>0</v>
      </c>
      <c r="AI3545">
        <v>12</v>
      </c>
      <c r="AJ3545">
        <v>12</v>
      </c>
      <c r="AM3545">
        <v>0</v>
      </c>
      <c r="AN3545">
        <v>773.46</v>
      </c>
      <c r="AP3545">
        <v>11</v>
      </c>
    </row>
    <row r="3546" spans="1:42" x14ac:dyDescent="0.25">
      <c r="A3546" t="s">
        <v>45</v>
      </c>
      <c r="B3546">
        <v>5</v>
      </c>
      <c r="C3546" t="s">
        <v>2412</v>
      </c>
      <c r="D3546" s="39">
        <v>46093</v>
      </c>
      <c r="E3546" t="s">
        <v>2325</v>
      </c>
      <c r="F3546" t="s">
        <v>79</v>
      </c>
      <c r="G3546">
        <v>12</v>
      </c>
      <c r="H3546" t="s">
        <v>942</v>
      </c>
      <c r="I3546" t="s">
        <v>79</v>
      </c>
      <c r="J3546">
        <v>500</v>
      </c>
      <c r="K3546" t="s">
        <v>79</v>
      </c>
      <c r="L3546">
        <v>12</v>
      </c>
      <c r="M3546">
        <v>555.99</v>
      </c>
      <c r="N3546">
        <v>14.399999999999999</v>
      </c>
      <c r="O3546">
        <v>4.5</v>
      </c>
      <c r="Q3546">
        <v>541.59</v>
      </c>
      <c r="R3546" t="s">
        <v>2413</v>
      </c>
      <c r="V3546">
        <v>0</v>
      </c>
      <c r="W3546">
        <v>0</v>
      </c>
      <c r="AF3546">
        <v>0</v>
      </c>
      <c r="AG3546">
        <v>0</v>
      </c>
      <c r="AH3546">
        <v>0</v>
      </c>
      <c r="AI3546">
        <v>12</v>
      </c>
      <c r="AJ3546">
        <v>12</v>
      </c>
      <c r="AM3546">
        <v>0</v>
      </c>
      <c r="AN3546">
        <v>560.99</v>
      </c>
      <c r="AP3546">
        <v>11</v>
      </c>
    </row>
    <row r="3547" spans="1:42" x14ac:dyDescent="0.25">
      <c r="A3547" t="s">
        <v>46</v>
      </c>
      <c r="B3547">
        <v>5</v>
      </c>
      <c r="C3547" t="s">
        <v>2412</v>
      </c>
      <c r="D3547" s="39">
        <v>46093</v>
      </c>
      <c r="E3547" t="s">
        <v>2325</v>
      </c>
      <c r="F3547" t="s">
        <v>79</v>
      </c>
      <c r="G3547">
        <v>12</v>
      </c>
      <c r="H3547" t="s">
        <v>942</v>
      </c>
      <c r="I3547" t="s">
        <v>79</v>
      </c>
      <c r="J3547">
        <v>500</v>
      </c>
      <c r="K3547" t="s">
        <v>79</v>
      </c>
      <c r="L3547">
        <v>8</v>
      </c>
      <c r="M3547">
        <v>417.64</v>
      </c>
      <c r="N3547">
        <v>9.7000000000000011</v>
      </c>
      <c r="O3547">
        <v>4.5</v>
      </c>
      <c r="Q3547">
        <v>407.94</v>
      </c>
      <c r="R3547" t="s">
        <v>2413</v>
      </c>
      <c r="S3547">
        <v>25</v>
      </c>
      <c r="V3547">
        <v>25</v>
      </c>
      <c r="W3547">
        <v>0.41666666666666674</v>
      </c>
      <c r="AF3547">
        <v>0</v>
      </c>
      <c r="AG3547">
        <v>0</v>
      </c>
      <c r="AH3547">
        <v>0.41666666666666674</v>
      </c>
      <c r="AI3547">
        <v>11.583333333333334</v>
      </c>
      <c r="AJ3547">
        <v>12</v>
      </c>
      <c r="AM3547">
        <v>0</v>
      </c>
      <c r="AN3547">
        <v>422.64</v>
      </c>
      <c r="AP3547">
        <v>11</v>
      </c>
    </row>
    <row r="3548" spans="1:42" x14ac:dyDescent="0.25">
      <c r="A3548" t="s">
        <v>46</v>
      </c>
      <c r="B3548">
        <v>5</v>
      </c>
      <c r="C3548" t="s">
        <v>2418</v>
      </c>
      <c r="D3548" s="39">
        <v>46093</v>
      </c>
      <c r="E3548" t="s">
        <v>2325</v>
      </c>
      <c r="F3548" t="s">
        <v>79</v>
      </c>
      <c r="G3548">
        <v>9</v>
      </c>
      <c r="H3548" t="s">
        <v>942</v>
      </c>
      <c r="I3548" t="s">
        <v>79</v>
      </c>
      <c r="J3548">
        <v>150</v>
      </c>
      <c r="K3548" t="s">
        <v>79</v>
      </c>
      <c r="L3548">
        <v>4</v>
      </c>
      <c r="M3548">
        <v>100.78</v>
      </c>
      <c r="N3548">
        <v>3.6</v>
      </c>
      <c r="Q3548">
        <v>97.18</v>
      </c>
      <c r="R3548" t="s">
        <v>2419</v>
      </c>
      <c r="V3548">
        <v>0</v>
      </c>
      <c r="W3548">
        <v>0</v>
      </c>
      <c r="AF3548">
        <v>0</v>
      </c>
      <c r="AG3548">
        <v>0</v>
      </c>
      <c r="AH3548">
        <v>0</v>
      </c>
      <c r="AI3548">
        <v>12</v>
      </c>
      <c r="AJ3548">
        <v>12</v>
      </c>
      <c r="AM3548">
        <v>0</v>
      </c>
      <c r="AN3548">
        <v>105.78</v>
      </c>
      <c r="AP3548">
        <v>11</v>
      </c>
    </row>
    <row r="3549" spans="1:42" x14ac:dyDescent="0.25">
      <c r="A3549" t="s">
        <v>45</v>
      </c>
      <c r="B3549">
        <v>1</v>
      </c>
      <c r="C3549" t="s">
        <v>2380</v>
      </c>
      <c r="D3549" s="39">
        <v>46094</v>
      </c>
      <c r="E3549" t="s">
        <v>486</v>
      </c>
      <c r="F3549" t="s">
        <v>79</v>
      </c>
      <c r="G3549">
        <v>2.5</v>
      </c>
      <c r="H3549" t="s">
        <v>92</v>
      </c>
      <c r="I3549" t="s">
        <v>79</v>
      </c>
      <c r="J3549">
        <v>1000</v>
      </c>
      <c r="K3549" t="s">
        <v>79</v>
      </c>
      <c r="L3549">
        <v>7</v>
      </c>
      <c r="M3549">
        <v>105.88999999999999</v>
      </c>
      <c r="N3549">
        <v>1.75</v>
      </c>
      <c r="Q3549">
        <v>104.13999999999999</v>
      </c>
      <c r="R3549" t="s">
        <v>2381</v>
      </c>
      <c r="V3549">
        <v>0</v>
      </c>
      <c r="W3549">
        <v>0</v>
      </c>
      <c r="AF3549">
        <v>0</v>
      </c>
      <c r="AG3549">
        <v>0</v>
      </c>
      <c r="AH3549">
        <v>0</v>
      </c>
      <c r="AI3549">
        <v>12</v>
      </c>
      <c r="AJ3549">
        <v>12</v>
      </c>
      <c r="AM3549">
        <v>0</v>
      </c>
      <c r="AN3549">
        <v>110.89</v>
      </c>
      <c r="AP3549">
        <v>11</v>
      </c>
    </row>
    <row r="3550" spans="1:42" x14ac:dyDescent="0.25">
      <c r="A3550" t="s">
        <v>46</v>
      </c>
      <c r="B3550">
        <v>1</v>
      </c>
      <c r="C3550" t="s">
        <v>2380</v>
      </c>
      <c r="D3550" s="39">
        <v>46094</v>
      </c>
      <c r="E3550" t="s">
        <v>486</v>
      </c>
      <c r="F3550" t="s">
        <v>79</v>
      </c>
      <c r="G3550">
        <v>2.5</v>
      </c>
      <c r="H3550" t="s">
        <v>92</v>
      </c>
      <c r="I3550" t="s">
        <v>79</v>
      </c>
      <c r="J3550">
        <v>1000</v>
      </c>
      <c r="K3550" t="s">
        <v>79</v>
      </c>
      <c r="L3550">
        <v>7</v>
      </c>
      <c r="M3550">
        <v>113.76000000000002</v>
      </c>
      <c r="N3550">
        <v>1.75</v>
      </c>
      <c r="Q3550">
        <v>112.01000000000002</v>
      </c>
      <c r="R3550" t="s">
        <v>2381</v>
      </c>
      <c r="V3550">
        <v>0</v>
      </c>
      <c r="W3550">
        <v>0</v>
      </c>
      <c r="AF3550">
        <v>0</v>
      </c>
      <c r="AG3550">
        <v>0</v>
      </c>
      <c r="AH3550">
        <v>0</v>
      </c>
      <c r="AI3550">
        <v>12</v>
      </c>
      <c r="AJ3550">
        <v>12</v>
      </c>
      <c r="AM3550">
        <v>0</v>
      </c>
      <c r="AN3550">
        <v>118.76000000000002</v>
      </c>
      <c r="AP3550">
        <v>11</v>
      </c>
    </row>
    <row r="3551" spans="1:42" x14ac:dyDescent="0.25">
      <c r="A3551" t="s">
        <v>45</v>
      </c>
      <c r="B3551">
        <v>2</v>
      </c>
      <c r="C3551" t="s">
        <v>2406</v>
      </c>
      <c r="D3551" s="39">
        <v>46094</v>
      </c>
      <c r="E3551" t="s">
        <v>486</v>
      </c>
      <c r="F3551" t="s">
        <v>79</v>
      </c>
      <c r="G3551">
        <v>5</v>
      </c>
      <c r="H3551" t="s">
        <v>92</v>
      </c>
      <c r="I3551" t="s">
        <v>79</v>
      </c>
      <c r="J3551">
        <v>500</v>
      </c>
      <c r="K3551" t="s">
        <v>79</v>
      </c>
      <c r="L3551">
        <v>5</v>
      </c>
      <c r="M3551">
        <v>104.63</v>
      </c>
      <c r="N3551">
        <v>2.5</v>
      </c>
      <c r="Q3551">
        <v>102.13</v>
      </c>
      <c r="R3551" t="s">
        <v>2407</v>
      </c>
      <c r="V3551">
        <v>0</v>
      </c>
      <c r="W3551">
        <v>0</v>
      </c>
      <c r="AF3551">
        <v>0</v>
      </c>
      <c r="AG3551">
        <v>0</v>
      </c>
      <c r="AH3551">
        <v>0</v>
      </c>
      <c r="AI3551">
        <v>12</v>
      </c>
      <c r="AJ3551">
        <v>12</v>
      </c>
      <c r="AM3551">
        <v>0</v>
      </c>
      <c r="AN3551">
        <v>109.63</v>
      </c>
      <c r="AP3551">
        <v>11</v>
      </c>
    </row>
    <row r="3552" spans="1:42" x14ac:dyDescent="0.25">
      <c r="A3552" t="s">
        <v>45</v>
      </c>
      <c r="B3552">
        <v>2</v>
      </c>
      <c r="C3552" t="s">
        <v>2420</v>
      </c>
      <c r="D3552" s="39">
        <v>46094</v>
      </c>
      <c r="E3552" t="s">
        <v>486</v>
      </c>
      <c r="F3552" t="s">
        <v>79</v>
      </c>
      <c r="G3552">
        <v>4</v>
      </c>
      <c r="H3552" t="s">
        <v>113</v>
      </c>
      <c r="I3552" t="s">
        <v>79</v>
      </c>
      <c r="J3552">
        <v>1000</v>
      </c>
      <c r="K3552" t="s">
        <v>79</v>
      </c>
      <c r="L3552">
        <v>1</v>
      </c>
      <c r="M3552">
        <v>13.15</v>
      </c>
      <c r="N3552">
        <v>0.4</v>
      </c>
      <c r="Q3552">
        <v>12.75</v>
      </c>
      <c r="R3552" t="s">
        <v>2446</v>
      </c>
      <c r="S3552">
        <v>15</v>
      </c>
      <c r="V3552">
        <v>15</v>
      </c>
      <c r="W3552">
        <v>0.25</v>
      </c>
      <c r="Z3552">
        <v>330</v>
      </c>
      <c r="AF3552">
        <v>330</v>
      </c>
      <c r="AG3552">
        <v>5.5</v>
      </c>
      <c r="AH3552">
        <v>5.75</v>
      </c>
      <c r="AI3552">
        <v>6.25</v>
      </c>
      <c r="AJ3552">
        <v>12</v>
      </c>
      <c r="AM3552">
        <v>0</v>
      </c>
      <c r="AN3552">
        <v>18.149999999999999</v>
      </c>
      <c r="AP3552">
        <v>11</v>
      </c>
    </row>
    <row r="3553" spans="1:42" x14ac:dyDescent="0.25">
      <c r="A3553" t="s">
        <v>46</v>
      </c>
      <c r="B3553">
        <v>2</v>
      </c>
      <c r="C3553" t="s">
        <v>2420</v>
      </c>
      <c r="D3553" s="39">
        <v>46094</v>
      </c>
      <c r="E3553" t="s">
        <v>486</v>
      </c>
      <c r="F3553" t="s">
        <v>79</v>
      </c>
      <c r="G3553">
        <v>4</v>
      </c>
      <c r="H3553" t="s">
        <v>113</v>
      </c>
      <c r="I3553" t="s">
        <v>79</v>
      </c>
      <c r="J3553">
        <v>1000</v>
      </c>
      <c r="K3553" t="s">
        <v>79</v>
      </c>
      <c r="L3553">
        <v>9</v>
      </c>
      <c r="M3553">
        <v>154.54</v>
      </c>
      <c r="N3553">
        <v>3.6</v>
      </c>
      <c r="Q3553">
        <v>150.94</v>
      </c>
      <c r="R3553" t="s">
        <v>2446</v>
      </c>
      <c r="V3553">
        <v>0</v>
      </c>
      <c r="W3553">
        <v>0</v>
      </c>
      <c r="AF3553">
        <v>0</v>
      </c>
      <c r="AG3553">
        <v>0</v>
      </c>
      <c r="AH3553">
        <v>0</v>
      </c>
      <c r="AI3553">
        <v>12</v>
      </c>
      <c r="AJ3553">
        <v>12</v>
      </c>
      <c r="AM3553">
        <v>0</v>
      </c>
      <c r="AN3553">
        <v>159.54</v>
      </c>
      <c r="AP3553">
        <v>11</v>
      </c>
    </row>
    <row r="3554" spans="1:42" x14ac:dyDescent="0.25">
      <c r="A3554" t="s">
        <v>45</v>
      </c>
      <c r="B3554">
        <v>4</v>
      </c>
      <c r="C3554" t="s">
        <v>2395</v>
      </c>
      <c r="D3554" s="39">
        <v>46094</v>
      </c>
      <c r="E3554" t="s">
        <v>396</v>
      </c>
      <c r="F3554" t="s">
        <v>79</v>
      </c>
      <c r="G3554">
        <v>15</v>
      </c>
      <c r="H3554" t="s">
        <v>92</v>
      </c>
      <c r="I3554" t="s">
        <v>79</v>
      </c>
      <c r="J3554">
        <v>5000</v>
      </c>
      <c r="K3554" t="s">
        <v>79</v>
      </c>
      <c r="L3554">
        <v>13</v>
      </c>
      <c r="M3554">
        <v>761.08</v>
      </c>
      <c r="N3554">
        <v>20.8</v>
      </c>
      <c r="O3554">
        <v>19</v>
      </c>
      <c r="Q3554">
        <v>740.28000000000009</v>
      </c>
      <c r="R3554" t="s">
        <v>2396</v>
      </c>
      <c r="V3554">
        <v>0</v>
      </c>
      <c r="W3554">
        <v>0</v>
      </c>
      <c r="AF3554">
        <v>0</v>
      </c>
      <c r="AG3554">
        <v>0</v>
      </c>
      <c r="AH3554">
        <v>0</v>
      </c>
      <c r="AI3554">
        <v>12</v>
      </c>
      <c r="AJ3554">
        <v>12</v>
      </c>
      <c r="AM3554">
        <v>0</v>
      </c>
      <c r="AN3554">
        <v>766.08</v>
      </c>
      <c r="AP3554">
        <v>11</v>
      </c>
    </row>
    <row r="3555" spans="1:42" x14ac:dyDescent="0.25">
      <c r="A3555" t="s">
        <v>46</v>
      </c>
      <c r="B3555">
        <v>4</v>
      </c>
      <c r="C3555" t="s">
        <v>2395</v>
      </c>
      <c r="D3555" s="39">
        <v>46094</v>
      </c>
      <c r="E3555" t="s">
        <v>396</v>
      </c>
      <c r="F3555" t="s">
        <v>79</v>
      </c>
      <c r="G3555">
        <v>15</v>
      </c>
      <c r="H3555" t="s">
        <v>92</v>
      </c>
      <c r="I3555" t="s">
        <v>79</v>
      </c>
      <c r="J3555">
        <v>5000</v>
      </c>
      <c r="K3555" t="s">
        <v>79</v>
      </c>
      <c r="L3555">
        <v>12</v>
      </c>
      <c r="M3555">
        <v>736.5</v>
      </c>
      <c r="N3555">
        <v>18</v>
      </c>
      <c r="O3555">
        <v>20</v>
      </c>
      <c r="Q3555">
        <v>718.5</v>
      </c>
      <c r="R3555" t="s">
        <v>2396</v>
      </c>
      <c r="V3555">
        <v>0</v>
      </c>
      <c r="W3555">
        <v>0</v>
      </c>
      <c r="AF3555">
        <v>0</v>
      </c>
      <c r="AG3555">
        <v>0</v>
      </c>
      <c r="AH3555">
        <v>0</v>
      </c>
      <c r="AI3555">
        <v>12</v>
      </c>
      <c r="AJ3555">
        <v>12</v>
      </c>
      <c r="AM3555">
        <v>0</v>
      </c>
      <c r="AN3555">
        <v>741.5</v>
      </c>
      <c r="AP3555">
        <v>11</v>
      </c>
    </row>
    <row r="3556" spans="1:42" x14ac:dyDescent="0.25">
      <c r="A3556" t="s">
        <v>45</v>
      </c>
      <c r="B3556">
        <v>5</v>
      </c>
      <c r="C3556" t="s">
        <v>2421</v>
      </c>
      <c r="D3556" s="39">
        <v>46094</v>
      </c>
      <c r="E3556" t="s">
        <v>2325</v>
      </c>
      <c r="F3556" t="s">
        <v>79</v>
      </c>
      <c r="G3556">
        <v>12</v>
      </c>
      <c r="H3556" t="s">
        <v>942</v>
      </c>
      <c r="I3556" t="s">
        <v>79</v>
      </c>
      <c r="J3556">
        <v>150</v>
      </c>
      <c r="K3556" t="s">
        <v>79</v>
      </c>
      <c r="L3556">
        <v>2</v>
      </c>
      <c r="M3556">
        <v>61.19</v>
      </c>
      <c r="N3556">
        <v>2.2000000000000002</v>
      </c>
      <c r="Q3556">
        <v>58.989999999999995</v>
      </c>
      <c r="R3556" t="s">
        <v>2422</v>
      </c>
      <c r="V3556">
        <v>0</v>
      </c>
      <c r="W3556">
        <v>0</v>
      </c>
      <c r="AF3556">
        <v>0</v>
      </c>
      <c r="AG3556">
        <v>0</v>
      </c>
      <c r="AH3556">
        <v>0</v>
      </c>
      <c r="AI3556">
        <v>12</v>
      </c>
      <c r="AJ3556">
        <v>12</v>
      </c>
      <c r="AM3556">
        <v>0</v>
      </c>
      <c r="AN3556">
        <v>66.19</v>
      </c>
      <c r="AP3556">
        <v>11</v>
      </c>
    </row>
    <row r="3557" spans="1:42" x14ac:dyDescent="0.25">
      <c r="A3557" t="s">
        <v>45</v>
      </c>
      <c r="B3557">
        <v>5</v>
      </c>
      <c r="C3557" t="s">
        <v>2423</v>
      </c>
      <c r="D3557" s="39">
        <v>46094</v>
      </c>
      <c r="E3557" t="s">
        <v>200</v>
      </c>
      <c r="F3557" t="s">
        <v>79</v>
      </c>
      <c r="G3557">
        <v>9</v>
      </c>
      <c r="H3557" t="s">
        <v>578</v>
      </c>
      <c r="I3557" t="s">
        <v>79</v>
      </c>
      <c r="J3557">
        <v>100</v>
      </c>
      <c r="K3557" t="s">
        <v>79</v>
      </c>
      <c r="L3557">
        <v>6</v>
      </c>
      <c r="M3557">
        <v>170.2</v>
      </c>
      <c r="N3557">
        <v>6.6000000000000005</v>
      </c>
      <c r="Q3557">
        <v>163.6</v>
      </c>
      <c r="R3557" t="s">
        <v>2424</v>
      </c>
      <c r="V3557">
        <v>0</v>
      </c>
      <c r="W3557">
        <v>0</v>
      </c>
      <c r="AF3557">
        <v>0</v>
      </c>
      <c r="AG3557">
        <v>0</v>
      </c>
      <c r="AH3557">
        <v>0</v>
      </c>
      <c r="AI3557">
        <v>12</v>
      </c>
      <c r="AJ3557">
        <v>12</v>
      </c>
      <c r="AM3557">
        <v>0</v>
      </c>
      <c r="AN3557">
        <v>175.2</v>
      </c>
      <c r="AP3557">
        <v>11</v>
      </c>
    </row>
    <row r="3558" spans="1:42" x14ac:dyDescent="0.25">
      <c r="A3558" t="s">
        <v>45</v>
      </c>
      <c r="B3558">
        <v>5</v>
      </c>
      <c r="C3558" t="s">
        <v>2425</v>
      </c>
      <c r="D3558" s="39">
        <v>46094</v>
      </c>
      <c r="E3558" t="s">
        <v>2426</v>
      </c>
      <c r="F3558" t="s">
        <v>79</v>
      </c>
      <c r="G3558" t="s">
        <v>81</v>
      </c>
      <c r="H3558">
        <v>0</v>
      </c>
      <c r="I3558" t="s">
        <v>79</v>
      </c>
      <c r="J3558">
        <v>0</v>
      </c>
      <c r="K3558" t="s">
        <v>79</v>
      </c>
      <c r="L3558">
        <v>1</v>
      </c>
      <c r="M3558">
        <v>34.56</v>
      </c>
      <c r="N3558">
        <v>1.3</v>
      </c>
      <c r="Q3558">
        <v>33.260000000000005</v>
      </c>
      <c r="R3558" t="s">
        <v>2427</v>
      </c>
      <c r="V3558">
        <v>0</v>
      </c>
      <c r="W3558">
        <v>0</v>
      </c>
      <c r="AF3558">
        <v>0</v>
      </c>
      <c r="AG3558">
        <v>0</v>
      </c>
      <c r="AH3558">
        <v>0</v>
      </c>
      <c r="AI3558">
        <v>12</v>
      </c>
      <c r="AJ3558">
        <v>12</v>
      </c>
      <c r="AM3558">
        <v>0</v>
      </c>
      <c r="AN3558">
        <v>39.56</v>
      </c>
      <c r="AP3558">
        <v>11</v>
      </c>
    </row>
    <row r="3559" spans="1:42" x14ac:dyDescent="0.25">
      <c r="A3559" t="s">
        <v>45</v>
      </c>
      <c r="B3559">
        <v>5</v>
      </c>
      <c r="C3559" t="s">
        <v>2428</v>
      </c>
      <c r="D3559" s="39">
        <v>46094</v>
      </c>
      <c r="E3559" t="s">
        <v>212</v>
      </c>
      <c r="F3559" t="s">
        <v>79</v>
      </c>
      <c r="G3559">
        <v>9</v>
      </c>
      <c r="H3559" t="s">
        <v>944</v>
      </c>
      <c r="I3559" t="s">
        <v>79</v>
      </c>
      <c r="J3559">
        <v>100</v>
      </c>
      <c r="K3559" t="s">
        <v>79</v>
      </c>
      <c r="L3559">
        <v>4</v>
      </c>
      <c r="M3559">
        <v>115.64999999999999</v>
      </c>
      <c r="N3559">
        <v>4.4000000000000004</v>
      </c>
      <c r="O3559">
        <v>2.5</v>
      </c>
      <c r="Q3559">
        <v>111.24999999999999</v>
      </c>
      <c r="R3559" t="s">
        <v>2429</v>
      </c>
      <c r="S3559">
        <v>25</v>
      </c>
      <c r="V3559">
        <v>25</v>
      </c>
      <c r="W3559">
        <v>0.41666666666666674</v>
      </c>
      <c r="AF3559">
        <v>0</v>
      </c>
      <c r="AG3559">
        <v>0</v>
      </c>
      <c r="AH3559">
        <v>0.41666666666666674</v>
      </c>
      <c r="AI3559">
        <v>11.583333333333334</v>
      </c>
      <c r="AJ3559">
        <v>12</v>
      </c>
      <c r="AM3559">
        <v>0</v>
      </c>
      <c r="AN3559">
        <v>120.65</v>
      </c>
      <c r="AP3559">
        <v>11</v>
      </c>
    </row>
    <row r="3560" spans="1:42" x14ac:dyDescent="0.25">
      <c r="A3560" t="s">
        <v>46</v>
      </c>
      <c r="B3560">
        <v>5</v>
      </c>
      <c r="C3560" t="s">
        <v>2430</v>
      </c>
      <c r="D3560" s="39">
        <v>46094</v>
      </c>
      <c r="E3560" t="s">
        <v>2325</v>
      </c>
      <c r="F3560" t="s">
        <v>79</v>
      </c>
      <c r="G3560">
        <v>11</v>
      </c>
      <c r="H3560" t="s">
        <v>942</v>
      </c>
      <c r="I3560" t="s">
        <v>79</v>
      </c>
      <c r="J3560">
        <v>150</v>
      </c>
      <c r="K3560" t="s">
        <v>79</v>
      </c>
      <c r="L3560">
        <v>2</v>
      </c>
      <c r="M3560">
        <v>83.03</v>
      </c>
      <c r="N3560">
        <v>2.2000000000000002</v>
      </c>
      <c r="O3560">
        <v>2.5</v>
      </c>
      <c r="Q3560">
        <v>80.83</v>
      </c>
      <c r="R3560" t="s">
        <v>2431</v>
      </c>
      <c r="V3560">
        <v>0</v>
      </c>
      <c r="W3560">
        <v>0</v>
      </c>
      <c r="AF3560">
        <v>0</v>
      </c>
      <c r="AG3560">
        <v>0</v>
      </c>
      <c r="AH3560">
        <v>0</v>
      </c>
      <c r="AI3560">
        <v>12</v>
      </c>
      <c r="AJ3560">
        <v>12</v>
      </c>
      <c r="AM3560">
        <v>0</v>
      </c>
      <c r="AN3560">
        <v>88.03</v>
      </c>
      <c r="AP3560">
        <v>11</v>
      </c>
    </row>
    <row r="3561" spans="1:42" x14ac:dyDescent="0.25">
      <c r="A3561" t="s">
        <v>46</v>
      </c>
      <c r="B3561">
        <v>5</v>
      </c>
      <c r="C3561" t="s">
        <v>2432</v>
      </c>
      <c r="D3561" s="39">
        <v>46094</v>
      </c>
      <c r="E3561" t="s">
        <v>486</v>
      </c>
      <c r="F3561" t="s">
        <v>79</v>
      </c>
      <c r="G3561">
        <v>11</v>
      </c>
      <c r="H3561" t="s">
        <v>113</v>
      </c>
      <c r="I3561" t="s">
        <v>79</v>
      </c>
      <c r="J3561">
        <v>1000</v>
      </c>
      <c r="K3561" t="s">
        <v>79</v>
      </c>
      <c r="L3561">
        <v>5</v>
      </c>
      <c r="M3561">
        <v>368.03999999999996</v>
      </c>
      <c r="N3561">
        <v>5.5</v>
      </c>
      <c r="Q3561">
        <v>362.53999999999996</v>
      </c>
      <c r="R3561" t="s">
        <v>2433</v>
      </c>
      <c r="V3561">
        <v>0</v>
      </c>
      <c r="W3561">
        <v>0</v>
      </c>
      <c r="AF3561">
        <v>0</v>
      </c>
      <c r="AG3561">
        <v>0</v>
      </c>
      <c r="AH3561">
        <v>0</v>
      </c>
      <c r="AI3561">
        <v>12</v>
      </c>
      <c r="AJ3561">
        <v>12</v>
      </c>
      <c r="AM3561">
        <v>0</v>
      </c>
      <c r="AN3561">
        <v>373.04</v>
      </c>
      <c r="AP3561">
        <v>11</v>
      </c>
    </row>
    <row r="3562" spans="1:42" x14ac:dyDescent="0.25">
      <c r="A3562" t="s">
        <v>46</v>
      </c>
      <c r="B3562">
        <v>5</v>
      </c>
      <c r="C3562" t="s">
        <v>2434</v>
      </c>
      <c r="D3562" s="39">
        <v>46094</v>
      </c>
      <c r="E3562" t="s">
        <v>200</v>
      </c>
      <c r="F3562" t="s">
        <v>79</v>
      </c>
      <c r="G3562">
        <v>11</v>
      </c>
      <c r="H3562" t="s">
        <v>578</v>
      </c>
      <c r="I3562" t="s">
        <v>79</v>
      </c>
      <c r="J3562">
        <v>100</v>
      </c>
      <c r="K3562" t="s">
        <v>79</v>
      </c>
      <c r="L3562">
        <v>4</v>
      </c>
      <c r="M3562">
        <v>126.88000000000001</v>
      </c>
      <c r="N3562">
        <v>4.4000000000000004</v>
      </c>
      <c r="Q3562">
        <v>122.48</v>
      </c>
      <c r="R3562" t="s">
        <v>2435</v>
      </c>
      <c r="V3562">
        <v>0</v>
      </c>
      <c r="W3562">
        <v>0</v>
      </c>
      <c r="AF3562">
        <v>0</v>
      </c>
      <c r="AG3562">
        <v>0</v>
      </c>
      <c r="AH3562">
        <v>0</v>
      </c>
      <c r="AI3562">
        <v>12</v>
      </c>
      <c r="AJ3562">
        <v>12</v>
      </c>
      <c r="AM3562">
        <v>0</v>
      </c>
      <c r="AN3562">
        <v>131.88</v>
      </c>
      <c r="AP3562">
        <v>11</v>
      </c>
    </row>
    <row r="3563" spans="1:42" x14ac:dyDescent="0.25">
      <c r="A3563" t="s">
        <v>45</v>
      </c>
      <c r="B3563">
        <v>1</v>
      </c>
      <c r="C3563" t="s">
        <v>2380</v>
      </c>
      <c r="D3563" s="39">
        <v>46095</v>
      </c>
      <c r="E3563" t="s">
        <v>486</v>
      </c>
      <c r="F3563" t="s">
        <v>79</v>
      </c>
      <c r="G3563">
        <v>2.5</v>
      </c>
      <c r="H3563" t="s">
        <v>92</v>
      </c>
      <c r="I3563" t="s">
        <v>79</v>
      </c>
      <c r="J3563">
        <v>1000</v>
      </c>
      <c r="K3563" t="s">
        <v>79</v>
      </c>
      <c r="L3563">
        <v>7</v>
      </c>
      <c r="M3563">
        <v>109.33000000000001</v>
      </c>
      <c r="N3563">
        <v>1.75</v>
      </c>
      <c r="O3563">
        <v>23</v>
      </c>
      <c r="Q3563">
        <v>107.58000000000001</v>
      </c>
      <c r="R3563" t="s">
        <v>2381</v>
      </c>
      <c r="V3563">
        <v>0</v>
      </c>
      <c r="W3563">
        <v>0</v>
      </c>
      <c r="AF3563">
        <v>0</v>
      </c>
      <c r="AG3563">
        <v>0</v>
      </c>
      <c r="AH3563">
        <v>0</v>
      </c>
      <c r="AI3563">
        <v>12</v>
      </c>
      <c r="AJ3563">
        <v>12</v>
      </c>
      <c r="AM3563">
        <v>0</v>
      </c>
      <c r="AN3563">
        <v>114.33</v>
      </c>
      <c r="AP3563">
        <v>11</v>
      </c>
    </row>
    <row r="3564" spans="1:42" x14ac:dyDescent="0.25">
      <c r="A3564" t="s">
        <v>46</v>
      </c>
      <c r="B3564">
        <v>1</v>
      </c>
      <c r="C3564" t="s">
        <v>2380</v>
      </c>
      <c r="D3564" s="39">
        <v>46095</v>
      </c>
      <c r="E3564" t="s">
        <v>486</v>
      </c>
      <c r="F3564" t="s">
        <v>79</v>
      </c>
      <c r="G3564">
        <v>2.5</v>
      </c>
      <c r="H3564" t="s">
        <v>92</v>
      </c>
      <c r="I3564" t="s">
        <v>79</v>
      </c>
      <c r="J3564">
        <v>1000</v>
      </c>
      <c r="K3564" t="s">
        <v>79</v>
      </c>
      <c r="L3564">
        <v>4</v>
      </c>
      <c r="M3564">
        <v>66.63</v>
      </c>
      <c r="N3564">
        <v>1</v>
      </c>
      <c r="O3564">
        <v>20</v>
      </c>
      <c r="Q3564">
        <v>65.63</v>
      </c>
      <c r="R3564" t="s">
        <v>2381</v>
      </c>
      <c r="V3564">
        <v>0</v>
      </c>
      <c r="W3564">
        <v>0</v>
      </c>
      <c r="AF3564">
        <v>0</v>
      </c>
      <c r="AG3564">
        <v>0</v>
      </c>
      <c r="AH3564">
        <v>0</v>
      </c>
      <c r="AI3564">
        <v>12</v>
      </c>
      <c r="AJ3564">
        <v>12</v>
      </c>
      <c r="AM3564">
        <v>0</v>
      </c>
      <c r="AN3564">
        <v>71.63</v>
      </c>
      <c r="AP3564">
        <v>11</v>
      </c>
    </row>
    <row r="3565" spans="1:42" x14ac:dyDescent="0.25">
      <c r="A3565" t="s">
        <v>46</v>
      </c>
      <c r="B3565">
        <v>1</v>
      </c>
      <c r="C3565" t="s">
        <v>2436</v>
      </c>
      <c r="D3565" s="39">
        <v>46095</v>
      </c>
      <c r="E3565" t="s">
        <v>486</v>
      </c>
      <c r="F3565" t="s">
        <v>79</v>
      </c>
      <c r="G3565">
        <v>3</v>
      </c>
      <c r="H3565" t="s">
        <v>92</v>
      </c>
      <c r="I3565" t="s">
        <v>79</v>
      </c>
      <c r="J3565">
        <v>1000</v>
      </c>
      <c r="K3565" t="s">
        <v>79</v>
      </c>
      <c r="L3565">
        <v>2</v>
      </c>
      <c r="M3565">
        <v>43.3</v>
      </c>
      <c r="N3565">
        <v>0.6</v>
      </c>
      <c r="Q3565">
        <v>42.699999999999996</v>
      </c>
      <c r="R3565" t="s">
        <v>2447</v>
      </c>
      <c r="V3565">
        <v>0</v>
      </c>
      <c r="W3565">
        <v>0</v>
      </c>
      <c r="AF3565">
        <v>0</v>
      </c>
      <c r="AG3565">
        <v>0</v>
      </c>
      <c r="AH3565">
        <v>0</v>
      </c>
      <c r="AI3565">
        <v>12</v>
      </c>
      <c r="AJ3565">
        <v>12</v>
      </c>
      <c r="AM3565">
        <v>0</v>
      </c>
      <c r="AN3565">
        <v>48.3</v>
      </c>
      <c r="AP3565">
        <v>11</v>
      </c>
    </row>
    <row r="3566" spans="1:42" x14ac:dyDescent="0.25">
      <c r="A3566" t="s">
        <v>45</v>
      </c>
      <c r="B3566">
        <v>2</v>
      </c>
      <c r="C3566" t="s">
        <v>2420</v>
      </c>
      <c r="D3566" s="39">
        <v>46095</v>
      </c>
      <c r="E3566" t="s">
        <v>486</v>
      </c>
      <c r="F3566" t="s">
        <v>79</v>
      </c>
      <c r="G3566">
        <v>4</v>
      </c>
      <c r="H3566" t="s">
        <v>113</v>
      </c>
      <c r="I3566" t="s">
        <v>79</v>
      </c>
      <c r="J3566">
        <v>1000</v>
      </c>
      <c r="K3566" t="s">
        <v>79</v>
      </c>
      <c r="L3566">
        <v>13</v>
      </c>
      <c r="M3566">
        <v>201.26999999999998</v>
      </c>
      <c r="N3566">
        <v>5.2</v>
      </c>
      <c r="Q3566">
        <v>196.07</v>
      </c>
      <c r="R3566" t="s">
        <v>2446</v>
      </c>
      <c r="V3566">
        <v>0</v>
      </c>
      <c r="W3566">
        <v>0</v>
      </c>
      <c r="AF3566">
        <v>0</v>
      </c>
      <c r="AG3566">
        <v>0</v>
      </c>
      <c r="AH3566">
        <v>0</v>
      </c>
      <c r="AI3566">
        <v>12</v>
      </c>
      <c r="AJ3566">
        <v>12</v>
      </c>
      <c r="AM3566">
        <v>0</v>
      </c>
      <c r="AN3566">
        <v>206.27</v>
      </c>
      <c r="AP3566">
        <v>11</v>
      </c>
    </row>
    <row r="3567" spans="1:42" x14ac:dyDescent="0.25">
      <c r="A3567" t="s">
        <v>46</v>
      </c>
      <c r="B3567">
        <v>2</v>
      </c>
      <c r="C3567" t="s">
        <v>2420</v>
      </c>
      <c r="D3567" s="39">
        <v>46095</v>
      </c>
      <c r="E3567" t="s">
        <v>486</v>
      </c>
      <c r="F3567" t="s">
        <v>79</v>
      </c>
      <c r="G3567">
        <v>4</v>
      </c>
      <c r="H3567" t="s">
        <v>113</v>
      </c>
      <c r="I3567" t="s">
        <v>79</v>
      </c>
      <c r="J3567">
        <v>1000</v>
      </c>
      <c r="K3567" t="s">
        <v>79</v>
      </c>
      <c r="L3567">
        <v>8</v>
      </c>
      <c r="M3567">
        <v>151.31</v>
      </c>
      <c r="N3567">
        <v>3.2</v>
      </c>
      <c r="Q3567">
        <v>148.11000000000001</v>
      </c>
      <c r="R3567" t="s">
        <v>2446</v>
      </c>
      <c r="V3567">
        <v>0</v>
      </c>
      <c r="W3567">
        <v>0</v>
      </c>
      <c r="AF3567">
        <v>0</v>
      </c>
      <c r="AG3567">
        <v>0</v>
      </c>
      <c r="AH3567">
        <v>0</v>
      </c>
      <c r="AI3567">
        <v>12</v>
      </c>
      <c r="AJ3567">
        <v>12</v>
      </c>
      <c r="AM3567">
        <v>0</v>
      </c>
      <c r="AN3567">
        <v>156.31</v>
      </c>
      <c r="AP3567">
        <v>11</v>
      </c>
    </row>
    <row r="3568" spans="1:42" x14ac:dyDescent="0.25">
      <c r="A3568" t="s">
        <v>45</v>
      </c>
      <c r="B3568">
        <v>4</v>
      </c>
      <c r="C3568" t="s">
        <v>2395</v>
      </c>
      <c r="D3568" s="39">
        <v>46095</v>
      </c>
      <c r="E3568" t="s">
        <v>396</v>
      </c>
      <c r="F3568" t="s">
        <v>79</v>
      </c>
      <c r="G3568">
        <v>15</v>
      </c>
      <c r="H3568" t="s">
        <v>92</v>
      </c>
      <c r="I3568" t="s">
        <v>79</v>
      </c>
      <c r="J3568">
        <v>5000</v>
      </c>
      <c r="K3568" t="s">
        <v>79</v>
      </c>
      <c r="L3568">
        <v>13</v>
      </c>
      <c r="M3568">
        <v>766.74</v>
      </c>
      <c r="N3568">
        <v>21.45</v>
      </c>
      <c r="Q3568">
        <v>745.29</v>
      </c>
      <c r="R3568" t="s">
        <v>2396</v>
      </c>
      <c r="V3568">
        <v>0</v>
      </c>
      <c r="W3568">
        <v>0</v>
      </c>
      <c r="AF3568">
        <v>0</v>
      </c>
      <c r="AG3568">
        <v>0</v>
      </c>
      <c r="AH3568">
        <v>0</v>
      </c>
      <c r="AI3568">
        <v>12</v>
      </c>
      <c r="AJ3568">
        <v>12</v>
      </c>
      <c r="AM3568">
        <v>0</v>
      </c>
      <c r="AN3568">
        <v>771.74</v>
      </c>
      <c r="AP3568">
        <v>11</v>
      </c>
    </row>
    <row r="3569" spans="1:42" x14ac:dyDescent="0.25">
      <c r="A3569" t="s">
        <v>46</v>
      </c>
      <c r="B3569">
        <v>4</v>
      </c>
      <c r="C3569" t="s">
        <v>2395</v>
      </c>
      <c r="D3569" s="39">
        <v>46095</v>
      </c>
      <c r="E3569" t="s">
        <v>396</v>
      </c>
      <c r="F3569" t="s">
        <v>79</v>
      </c>
      <c r="G3569">
        <v>15</v>
      </c>
      <c r="H3569" t="s">
        <v>92</v>
      </c>
      <c r="I3569" t="s">
        <v>79</v>
      </c>
      <c r="J3569">
        <v>5000</v>
      </c>
      <c r="K3569" t="s">
        <v>79</v>
      </c>
      <c r="L3569">
        <v>2</v>
      </c>
      <c r="M3569">
        <v>89.37</v>
      </c>
      <c r="N3569">
        <v>3</v>
      </c>
      <c r="Q3569">
        <v>86.37</v>
      </c>
      <c r="R3569" t="s">
        <v>2396</v>
      </c>
      <c r="V3569">
        <v>0</v>
      </c>
      <c r="W3569">
        <v>0</v>
      </c>
      <c r="AF3569">
        <v>0</v>
      </c>
      <c r="AG3569">
        <v>0</v>
      </c>
      <c r="AH3569">
        <v>0</v>
      </c>
      <c r="AI3569">
        <v>12</v>
      </c>
      <c r="AJ3569">
        <v>12</v>
      </c>
      <c r="AM3569">
        <v>0</v>
      </c>
      <c r="AN3569">
        <v>94.37</v>
      </c>
      <c r="AP3569">
        <v>11</v>
      </c>
    </row>
    <row r="3570" spans="1:42" x14ac:dyDescent="0.25">
      <c r="A3570" t="s">
        <v>46</v>
      </c>
      <c r="B3570">
        <v>4</v>
      </c>
      <c r="C3570" t="s">
        <v>2437</v>
      </c>
      <c r="D3570" s="39">
        <v>46095</v>
      </c>
      <c r="E3570" t="s">
        <v>828</v>
      </c>
      <c r="F3570" t="s">
        <v>79</v>
      </c>
      <c r="G3570">
        <v>15</v>
      </c>
      <c r="H3570" t="s">
        <v>102</v>
      </c>
      <c r="I3570" t="s">
        <v>79</v>
      </c>
      <c r="J3570">
        <v>250</v>
      </c>
      <c r="K3570" t="s">
        <v>79</v>
      </c>
      <c r="L3570">
        <v>11</v>
      </c>
      <c r="M3570">
        <v>677.64</v>
      </c>
      <c r="N3570">
        <v>16.5</v>
      </c>
      <c r="Q3570">
        <v>661.14</v>
      </c>
      <c r="R3570" t="s">
        <v>2438</v>
      </c>
      <c r="V3570">
        <v>0</v>
      </c>
      <c r="W3570">
        <v>0</v>
      </c>
      <c r="AF3570">
        <v>0</v>
      </c>
      <c r="AG3570">
        <v>0</v>
      </c>
      <c r="AH3570">
        <v>0</v>
      </c>
      <c r="AI3570">
        <v>12</v>
      </c>
      <c r="AJ3570">
        <v>12</v>
      </c>
      <c r="AM3570">
        <v>0</v>
      </c>
      <c r="AN3570">
        <v>682.64</v>
      </c>
      <c r="AP3570">
        <v>11</v>
      </c>
    </row>
    <row r="3571" spans="1:42" x14ac:dyDescent="0.25">
      <c r="A3571" t="s">
        <v>45</v>
      </c>
      <c r="B3571">
        <v>5</v>
      </c>
      <c r="C3571" t="s">
        <v>392</v>
      </c>
      <c r="D3571" s="39">
        <v>46095</v>
      </c>
      <c r="E3571" t="s">
        <v>486</v>
      </c>
      <c r="F3571" t="s">
        <v>79</v>
      </c>
      <c r="G3571">
        <v>12</v>
      </c>
      <c r="H3571">
        <v>5</v>
      </c>
      <c r="I3571" t="s">
        <v>79</v>
      </c>
      <c r="J3571">
        <v>3000</v>
      </c>
      <c r="K3571" t="s">
        <v>79</v>
      </c>
      <c r="L3571">
        <v>11</v>
      </c>
      <c r="M3571">
        <v>599.13</v>
      </c>
      <c r="N3571">
        <v>13.2</v>
      </c>
      <c r="O3571">
        <v>3.5</v>
      </c>
      <c r="Q3571">
        <v>585.92999999999995</v>
      </c>
      <c r="R3571" t="s">
        <v>2439</v>
      </c>
      <c r="V3571">
        <v>0</v>
      </c>
      <c r="W3571">
        <v>0</v>
      </c>
      <c r="AF3571">
        <v>0</v>
      </c>
      <c r="AG3571">
        <v>0</v>
      </c>
      <c r="AH3571">
        <v>0</v>
      </c>
      <c r="AI3571">
        <v>12</v>
      </c>
      <c r="AJ3571">
        <v>12</v>
      </c>
      <c r="AM3571">
        <v>0</v>
      </c>
      <c r="AN3571">
        <v>604.13</v>
      </c>
      <c r="AP3571">
        <v>11</v>
      </c>
    </row>
    <row r="3572" spans="1:42" x14ac:dyDescent="0.25">
      <c r="A3572" t="s">
        <v>46</v>
      </c>
      <c r="B3572">
        <v>5</v>
      </c>
      <c r="C3572" t="s">
        <v>2432</v>
      </c>
      <c r="D3572" s="39">
        <v>46095</v>
      </c>
      <c r="E3572" t="s">
        <v>486</v>
      </c>
      <c r="F3572" t="s">
        <v>79</v>
      </c>
      <c r="G3572">
        <v>11</v>
      </c>
      <c r="H3572" t="s">
        <v>113</v>
      </c>
      <c r="I3572" t="s">
        <v>79</v>
      </c>
      <c r="J3572">
        <v>1000</v>
      </c>
      <c r="K3572" t="s">
        <v>79</v>
      </c>
      <c r="L3572">
        <v>1</v>
      </c>
      <c r="M3572">
        <v>70.3</v>
      </c>
      <c r="N3572">
        <v>1.1000000000000001</v>
      </c>
      <c r="O3572">
        <v>3.5</v>
      </c>
      <c r="Q3572">
        <v>69.2</v>
      </c>
      <c r="R3572" t="s">
        <v>2433</v>
      </c>
      <c r="V3572">
        <v>0</v>
      </c>
      <c r="W3572">
        <v>0</v>
      </c>
      <c r="AF3572">
        <v>0</v>
      </c>
      <c r="AG3572">
        <v>0</v>
      </c>
      <c r="AH3572">
        <v>0</v>
      </c>
      <c r="AI3572">
        <v>12</v>
      </c>
      <c r="AJ3572">
        <v>12</v>
      </c>
      <c r="AM3572">
        <v>0</v>
      </c>
      <c r="AN3572">
        <v>75.3</v>
      </c>
      <c r="AP3572">
        <v>11</v>
      </c>
    </row>
    <row r="3573" spans="1:42" x14ac:dyDescent="0.25">
      <c r="A3573" t="s">
        <v>46</v>
      </c>
      <c r="B3573">
        <v>5</v>
      </c>
      <c r="C3573" t="s">
        <v>2440</v>
      </c>
      <c r="D3573" s="39">
        <v>46095</v>
      </c>
      <c r="E3573" t="s">
        <v>486</v>
      </c>
      <c r="F3573" t="s">
        <v>79</v>
      </c>
      <c r="G3573">
        <v>12</v>
      </c>
      <c r="H3573">
        <v>5</v>
      </c>
      <c r="I3573" t="s">
        <v>79</v>
      </c>
      <c r="J3573">
        <v>1500</v>
      </c>
      <c r="K3573" t="s">
        <v>79</v>
      </c>
      <c r="L3573">
        <v>7</v>
      </c>
      <c r="M3573">
        <v>473.89000000000004</v>
      </c>
      <c r="N3573">
        <v>8.4</v>
      </c>
      <c r="Q3573">
        <v>465.49000000000007</v>
      </c>
      <c r="R3573" t="s">
        <v>2448</v>
      </c>
      <c r="V3573">
        <v>0</v>
      </c>
      <c r="W3573">
        <v>0</v>
      </c>
      <c r="AF3573">
        <v>0</v>
      </c>
      <c r="AG3573">
        <v>0</v>
      </c>
      <c r="AH3573">
        <v>0</v>
      </c>
      <c r="AI3573">
        <v>12</v>
      </c>
      <c r="AJ3573">
        <v>12</v>
      </c>
      <c r="AM3573">
        <v>0</v>
      </c>
      <c r="AN3573">
        <v>478.89</v>
      </c>
      <c r="AP3573">
        <v>11</v>
      </c>
    </row>
    <row r="3574" spans="1:42" x14ac:dyDescent="0.25">
      <c r="A3574" t="s">
        <v>45</v>
      </c>
      <c r="B3574">
        <v>1</v>
      </c>
      <c r="C3574" t="s">
        <v>2436</v>
      </c>
      <c r="D3574" s="39">
        <v>46096</v>
      </c>
      <c r="E3574" t="s">
        <v>486</v>
      </c>
      <c r="F3574" t="s">
        <v>79</v>
      </c>
      <c r="G3574">
        <v>3</v>
      </c>
      <c r="H3574" t="s">
        <v>92</v>
      </c>
      <c r="I3574" t="s">
        <v>79</v>
      </c>
      <c r="J3574">
        <v>1000</v>
      </c>
      <c r="K3574" t="s">
        <v>79</v>
      </c>
      <c r="L3574">
        <v>7</v>
      </c>
      <c r="M3574">
        <v>126.68</v>
      </c>
      <c r="N3574">
        <v>2.1</v>
      </c>
      <c r="O3574">
        <v>32</v>
      </c>
      <c r="Q3574">
        <v>124.58000000000001</v>
      </c>
      <c r="R3574" t="s">
        <v>2447</v>
      </c>
      <c r="V3574">
        <v>0</v>
      </c>
      <c r="W3574">
        <v>0</v>
      </c>
      <c r="AF3574">
        <v>0</v>
      </c>
      <c r="AG3574">
        <v>0</v>
      </c>
      <c r="AH3574">
        <v>0</v>
      </c>
      <c r="AI3574">
        <v>12</v>
      </c>
      <c r="AJ3574">
        <v>12</v>
      </c>
      <c r="AM3574">
        <v>0</v>
      </c>
      <c r="AN3574">
        <v>131.68</v>
      </c>
      <c r="AP3574">
        <v>11</v>
      </c>
    </row>
    <row r="3575" spans="1:42" x14ac:dyDescent="0.25">
      <c r="A3575" t="s">
        <v>46</v>
      </c>
      <c r="B3575">
        <v>1</v>
      </c>
      <c r="C3575" t="s">
        <v>2436</v>
      </c>
      <c r="D3575" s="39">
        <v>46096</v>
      </c>
      <c r="E3575" t="s">
        <v>486</v>
      </c>
      <c r="F3575" t="s">
        <v>79</v>
      </c>
      <c r="G3575">
        <v>3</v>
      </c>
      <c r="H3575" t="s">
        <v>92</v>
      </c>
      <c r="I3575" t="s">
        <v>79</v>
      </c>
      <c r="J3575">
        <v>1000</v>
      </c>
      <c r="K3575" t="s">
        <v>79</v>
      </c>
      <c r="L3575">
        <v>7</v>
      </c>
      <c r="M3575">
        <v>129.23000000000002</v>
      </c>
      <c r="N3575">
        <v>2.1</v>
      </c>
      <c r="O3575">
        <v>31</v>
      </c>
      <c r="Q3575">
        <v>127.13000000000002</v>
      </c>
      <c r="R3575" t="s">
        <v>2447</v>
      </c>
      <c r="V3575">
        <v>0</v>
      </c>
      <c r="W3575">
        <v>0</v>
      </c>
      <c r="AF3575">
        <v>0</v>
      </c>
      <c r="AG3575">
        <v>0</v>
      </c>
      <c r="AH3575">
        <v>0</v>
      </c>
      <c r="AI3575">
        <v>12</v>
      </c>
      <c r="AJ3575">
        <v>12</v>
      </c>
      <c r="AM3575">
        <v>0</v>
      </c>
      <c r="AN3575">
        <v>134.23000000000002</v>
      </c>
      <c r="AP3575">
        <v>11</v>
      </c>
    </row>
    <row r="3576" spans="1:42" x14ac:dyDescent="0.25">
      <c r="A3576" t="s">
        <v>45</v>
      </c>
      <c r="B3576">
        <v>2</v>
      </c>
      <c r="C3576" t="s">
        <v>2420</v>
      </c>
      <c r="D3576" s="39">
        <v>46096</v>
      </c>
      <c r="E3576" t="s">
        <v>486</v>
      </c>
      <c r="F3576" t="s">
        <v>79</v>
      </c>
      <c r="G3576">
        <v>4</v>
      </c>
      <c r="H3576" t="s">
        <v>113</v>
      </c>
      <c r="I3576" t="s">
        <v>79</v>
      </c>
      <c r="J3576">
        <v>1000</v>
      </c>
      <c r="K3576" t="s">
        <v>79</v>
      </c>
      <c r="L3576">
        <v>9</v>
      </c>
      <c r="M3576">
        <v>154.73999999999998</v>
      </c>
      <c r="N3576">
        <v>3.6</v>
      </c>
      <c r="Q3576">
        <v>151.13999999999999</v>
      </c>
      <c r="R3576" t="s">
        <v>2446</v>
      </c>
      <c r="V3576">
        <v>0</v>
      </c>
      <c r="W3576">
        <v>0</v>
      </c>
      <c r="AF3576">
        <v>0</v>
      </c>
      <c r="AG3576">
        <v>0</v>
      </c>
      <c r="AH3576">
        <v>0</v>
      </c>
      <c r="AI3576">
        <v>12</v>
      </c>
      <c r="AJ3576">
        <v>12</v>
      </c>
      <c r="AM3576">
        <v>0</v>
      </c>
      <c r="AN3576">
        <v>159.73999999999998</v>
      </c>
      <c r="AP3576">
        <v>11</v>
      </c>
    </row>
    <row r="3577" spans="1:42" x14ac:dyDescent="0.25">
      <c r="A3577" t="s">
        <v>46</v>
      </c>
      <c r="B3577">
        <v>2</v>
      </c>
      <c r="C3577" t="s">
        <v>2420</v>
      </c>
      <c r="D3577" s="39">
        <v>46096</v>
      </c>
      <c r="E3577" t="s">
        <v>486</v>
      </c>
      <c r="F3577" t="s">
        <v>79</v>
      </c>
      <c r="G3577">
        <v>4</v>
      </c>
      <c r="H3577" t="s">
        <v>113</v>
      </c>
      <c r="I3577" t="s">
        <v>79</v>
      </c>
      <c r="J3577">
        <v>1000</v>
      </c>
      <c r="K3577" t="s">
        <v>79</v>
      </c>
      <c r="L3577">
        <v>8</v>
      </c>
      <c r="M3577">
        <v>147.89000000000001</v>
      </c>
      <c r="N3577">
        <v>3.2</v>
      </c>
      <c r="Q3577">
        <v>144.69000000000003</v>
      </c>
      <c r="R3577" t="s">
        <v>2446</v>
      </c>
      <c r="V3577">
        <v>0</v>
      </c>
      <c r="W3577">
        <v>0</v>
      </c>
      <c r="AF3577">
        <v>0</v>
      </c>
      <c r="AG3577">
        <v>0</v>
      </c>
      <c r="AH3577">
        <v>0</v>
      </c>
      <c r="AI3577">
        <v>12</v>
      </c>
      <c r="AJ3577">
        <v>12</v>
      </c>
      <c r="AM3577">
        <v>0</v>
      </c>
      <c r="AN3577">
        <v>152.88999999999999</v>
      </c>
      <c r="AP3577">
        <v>11</v>
      </c>
    </row>
    <row r="3578" spans="1:42" x14ac:dyDescent="0.25">
      <c r="A3578" t="s">
        <v>45</v>
      </c>
      <c r="B3578">
        <v>4</v>
      </c>
      <c r="C3578" t="s">
        <v>2437</v>
      </c>
      <c r="D3578" s="39">
        <v>46096</v>
      </c>
      <c r="E3578" t="s">
        <v>828</v>
      </c>
      <c r="F3578" t="s">
        <v>79</v>
      </c>
      <c r="G3578">
        <v>15</v>
      </c>
      <c r="H3578" t="s">
        <v>102</v>
      </c>
      <c r="I3578" t="s">
        <v>79</v>
      </c>
      <c r="J3578">
        <v>250</v>
      </c>
      <c r="K3578" t="s">
        <v>79</v>
      </c>
      <c r="L3578">
        <v>4</v>
      </c>
      <c r="M3578">
        <v>259.33999999999997</v>
      </c>
      <c r="N3578">
        <v>6</v>
      </c>
      <c r="Q3578">
        <v>253.33999999999997</v>
      </c>
      <c r="R3578" t="s">
        <v>2438</v>
      </c>
      <c r="S3578">
        <v>25</v>
      </c>
      <c r="V3578">
        <v>25</v>
      </c>
      <c r="W3578">
        <v>0.41666666666666674</v>
      </c>
      <c r="AF3578">
        <v>0</v>
      </c>
      <c r="AG3578">
        <v>0</v>
      </c>
      <c r="AH3578">
        <v>0.41666666666666674</v>
      </c>
      <c r="AI3578">
        <v>11.583333333333334</v>
      </c>
      <c r="AJ3578">
        <v>12</v>
      </c>
      <c r="AM3578">
        <v>0</v>
      </c>
      <c r="AN3578">
        <v>264.33999999999997</v>
      </c>
      <c r="AP3578">
        <v>11</v>
      </c>
    </row>
    <row r="3579" spans="1:42" x14ac:dyDescent="0.25">
      <c r="A3579" t="s">
        <v>45</v>
      </c>
      <c r="B3579">
        <v>4</v>
      </c>
      <c r="C3579" t="s">
        <v>2441</v>
      </c>
      <c r="D3579" s="39">
        <v>46096</v>
      </c>
      <c r="E3579" t="s">
        <v>200</v>
      </c>
      <c r="F3579" t="s">
        <v>79</v>
      </c>
      <c r="G3579">
        <v>15</v>
      </c>
      <c r="H3579" t="s">
        <v>578</v>
      </c>
      <c r="I3579" t="s">
        <v>79</v>
      </c>
      <c r="J3579">
        <v>100</v>
      </c>
      <c r="K3579" t="s">
        <v>79</v>
      </c>
      <c r="L3579">
        <v>2</v>
      </c>
      <c r="M3579">
        <v>112.49</v>
      </c>
      <c r="N3579">
        <v>3</v>
      </c>
      <c r="Q3579">
        <v>109.49</v>
      </c>
      <c r="R3579" t="s">
        <v>2442</v>
      </c>
      <c r="V3579">
        <v>0</v>
      </c>
      <c r="W3579">
        <v>0</v>
      </c>
      <c r="AF3579">
        <v>0</v>
      </c>
      <c r="AG3579">
        <v>0</v>
      </c>
      <c r="AH3579">
        <v>0</v>
      </c>
      <c r="AI3579">
        <v>12</v>
      </c>
      <c r="AJ3579">
        <v>12</v>
      </c>
      <c r="AM3579">
        <v>0</v>
      </c>
      <c r="AN3579">
        <v>117.49</v>
      </c>
      <c r="AP3579">
        <v>11</v>
      </c>
    </row>
    <row r="3580" spans="1:42" x14ac:dyDescent="0.25">
      <c r="A3580" t="s">
        <v>45</v>
      </c>
      <c r="B3580">
        <v>4</v>
      </c>
      <c r="C3580" t="s">
        <v>2226</v>
      </c>
      <c r="D3580" s="39">
        <v>46096</v>
      </c>
      <c r="E3580" t="s">
        <v>243</v>
      </c>
      <c r="F3580" t="s">
        <v>79</v>
      </c>
      <c r="G3580">
        <v>16.2</v>
      </c>
      <c r="H3580" t="s">
        <v>81</v>
      </c>
      <c r="I3580" t="s">
        <v>79</v>
      </c>
      <c r="J3580">
        <v>3000</v>
      </c>
      <c r="K3580" t="s">
        <v>79</v>
      </c>
      <c r="L3580">
        <v>6</v>
      </c>
      <c r="M3580">
        <v>344.11999999999995</v>
      </c>
      <c r="N3580">
        <v>9.6000000000000014</v>
      </c>
      <c r="Q3580">
        <v>334.51999999999992</v>
      </c>
      <c r="R3580" t="s">
        <v>2445</v>
      </c>
      <c r="V3580">
        <v>0</v>
      </c>
      <c r="W3580">
        <v>0</v>
      </c>
      <c r="AF3580">
        <v>0</v>
      </c>
      <c r="AG3580">
        <v>0</v>
      </c>
      <c r="AH3580">
        <v>0</v>
      </c>
      <c r="AI3580">
        <v>12</v>
      </c>
      <c r="AJ3580">
        <v>12</v>
      </c>
      <c r="AM3580">
        <v>0</v>
      </c>
      <c r="AN3580">
        <v>349.11999999999995</v>
      </c>
      <c r="AP3580">
        <v>11</v>
      </c>
    </row>
    <row r="3581" spans="1:42" x14ac:dyDescent="0.25">
      <c r="A3581" t="s">
        <v>46</v>
      </c>
      <c r="B3581">
        <v>4</v>
      </c>
      <c r="C3581" t="s">
        <v>2226</v>
      </c>
      <c r="D3581" s="39">
        <v>46096</v>
      </c>
      <c r="E3581" t="s">
        <v>243</v>
      </c>
      <c r="F3581" t="s">
        <v>79</v>
      </c>
      <c r="G3581">
        <v>16.2</v>
      </c>
      <c r="H3581" t="s">
        <v>81</v>
      </c>
      <c r="I3581" t="s">
        <v>79</v>
      </c>
      <c r="J3581">
        <v>3000</v>
      </c>
      <c r="K3581" t="s">
        <v>79</v>
      </c>
      <c r="L3581">
        <v>12</v>
      </c>
      <c r="M3581">
        <v>695.2</v>
      </c>
      <c r="N3581">
        <v>19.200000000000003</v>
      </c>
      <c r="Q3581">
        <v>676</v>
      </c>
      <c r="R3581" t="s">
        <v>2445</v>
      </c>
      <c r="V3581">
        <v>0</v>
      </c>
      <c r="W3581">
        <v>0</v>
      </c>
      <c r="AF3581">
        <v>0</v>
      </c>
      <c r="AG3581">
        <v>0</v>
      </c>
      <c r="AH3581">
        <v>0</v>
      </c>
      <c r="AI3581">
        <v>12</v>
      </c>
      <c r="AJ3581">
        <v>12</v>
      </c>
      <c r="AM3581">
        <v>0</v>
      </c>
      <c r="AN3581">
        <v>700.2</v>
      </c>
      <c r="AP3581">
        <v>11</v>
      </c>
    </row>
    <row r="3582" spans="1:42" x14ac:dyDescent="0.25">
      <c r="A3582" t="s">
        <v>45</v>
      </c>
      <c r="B3582">
        <v>5</v>
      </c>
      <c r="C3582" t="s">
        <v>2440</v>
      </c>
      <c r="D3582" s="39">
        <v>46096</v>
      </c>
      <c r="E3582" t="s">
        <v>486</v>
      </c>
      <c r="F3582" t="s">
        <v>79</v>
      </c>
      <c r="G3582">
        <v>12</v>
      </c>
      <c r="H3582">
        <v>5</v>
      </c>
      <c r="I3582" t="s">
        <v>79</v>
      </c>
      <c r="J3582">
        <v>1500</v>
      </c>
      <c r="K3582" t="s">
        <v>79</v>
      </c>
      <c r="L3582">
        <v>9</v>
      </c>
      <c r="M3582">
        <v>579.32999999999993</v>
      </c>
      <c r="N3582">
        <v>10.799999999999999</v>
      </c>
      <c r="Q3582">
        <v>568.53</v>
      </c>
      <c r="R3582" t="s">
        <v>2448</v>
      </c>
      <c r="V3582">
        <v>0</v>
      </c>
      <c r="W3582">
        <v>0</v>
      </c>
      <c r="Y3582">
        <v>25</v>
      </c>
      <c r="AF3582">
        <v>25</v>
      </c>
      <c r="AG3582">
        <v>0.41666666666666674</v>
      </c>
      <c r="AH3582">
        <v>0.41666666666666674</v>
      </c>
      <c r="AI3582">
        <v>11.583333333333334</v>
      </c>
      <c r="AJ3582">
        <v>12</v>
      </c>
      <c r="AM3582">
        <v>0</v>
      </c>
      <c r="AN3582">
        <v>584.32999999999993</v>
      </c>
      <c r="AP3582">
        <v>11</v>
      </c>
    </row>
    <row r="3583" spans="1:42" x14ac:dyDescent="0.25">
      <c r="A3583" t="s">
        <v>45</v>
      </c>
      <c r="B3583">
        <v>5</v>
      </c>
      <c r="C3583" t="s">
        <v>2443</v>
      </c>
      <c r="D3583" s="39">
        <v>46096</v>
      </c>
      <c r="E3583" t="s">
        <v>200</v>
      </c>
      <c r="F3583" t="s">
        <v>79</v>
      </c>
      <c r="G3583">
        <v>12</v>
      </c>
      <c r="H3583" t="s">
        <v>578</v>
      </c>
      <c r="I3583" t="s">
        <v>79</v>
      </c>
      <c r="J3583">
        <v>100</v>
      </c>
      <c r="K3583" t="s">
        <v>79</v>
      </c>
      <c r="L3583">
        <v>4</v>
      </c>
      <c r="M3583">
        <v>119.32</v>
      </c>
      <c r="N3583">
        <v>4.8</v>
      </c>
      <c r="Q3583">
        <v>114.52</v>
      </c>
      <c r="R3583" t="s">
        <v>2444</v>
      </c>
      <c r="V3583">
        <v>0</v>
      </c>
      <c r="W3583">
        <v>0</v>
      </c>
      <c r="AF3583">
        <v>0</v>
      </c>
      <c r="AG3583">
        <v>0</v>
      </c>
      <c r="AH3583">
        <v>0</v>
      </c>
      <c r="AI3583">
        <v>12</v>
      </c>
      <c r="AJ3583">
        <v>12</v>
      </c>
      <c r="AM3583">
        <v>0</v>
      </c>
      <c r="AN3583">
        <v>124.32</v>
      </c>
      <c r="AP3583">
        <v>11</v>
      </c>
    </row>
    <row r="3584" spans="1:42" x14ac:dyDescent="0.25">
      <c r="A3584" t="s">
        <v>46</v>
      </c>
      <c r="B3584">
        <v>5</v>
      </c>
      <c r="C3584" t="s">
        <v>2440</v>
      </c>
      <c r="D3584" s="39">
        <v>46096</v>
      </c>
      <c r="E3584" t="s">
        <v>486</v>
      </c>
      <c r="F3584" t="s">
        <v>79</v>
      </c>
      <c r="G3584">
        <v>12</v>
      </c>
      <c r="H3584">
        <v>5</v>
      </c>
      <c r="I3584" t="s">
        <v>79</v>
      </c>
      <c r="J3584">
        <v>1500</v>
      </c>
      <c r="K3584" t="s">
        <v>79</v>
      </c>
      <c r="L3584">
        <v>9</v>
      </c>
      <c r="M3584">
        <v>555.02</v>
      </c>
      <c r="N3584">
        <v>13.5</v>
      </c>
      <c r="Q3584">
        <v>541.52</v>
      </c>
      <c r="R3584" t="s">
        <v>2448</v>
      </c>
      <c r="V3584">
        <v>0</v>
      </c>
      <c r="W3584">
        <v>0</v>
      </c>
      <c r="AF3584">
        <v>0</v>
      </c>
      <c r="AG3584">
        <v>0</v>
      </c>
      <c r="AH3584">
        <v>0</v>
      </c>
      <c r="AI3584">
        <v>12</v>
      </c>
      <c r="AJ3584">
        <v>12</v>
      </c>
      <c r="AM3584">
        <v>0</v>
      </c>
      <c r="AN3584">
        <v>560.02</v>
      </c>
      <c r="AP3584">
        <v>11</v>
      </c>
    </row>
    <row r="3585" spans="1:42" x14ac:dyDescent="0.25">
      <c r="A3585" t="s">
        <v>45</v>
      </c>
      <c r="B3585">
        <v>1</v>
      </c>
      <c r="C3585" t="s">
        <v>2436</v>
      </c>
      <c r="D3585" s="39">
        <v>46097</v>
      </c>
      <c r="E3585" t="s">
        <v>486</v>
      </c>
      <c r="F3585" t="s">
        <v>79</v>
      </c>
      <c r="G3585">
        <v>3</v>
      </c>
      <c r="H3585" t="s">
        <v>92</v>
      </c>
      <c r="I3585" t="s">
        <v>79</v>
      </c>
      <c r="J3585">
        <v>1000</v>
      </c>
      <c r="K3585" t="s">
        <v>79</v>
      </c>
      <c r="L3585">
        <v>7</v>
      </c>
      <c r="M3585">
        <v>121.32000000000001</v>
      </c>
      <c r="N3585">
        <v>2.1</v>
      </c>
      <c r="Q3585">
        <v>119.22000000000001</v>
      </c>
      <c r="R3585" t="s">
        <v>2447</v>
      </c>
      <c r="V3585">
        <v>0</v>
      </c>
      <c r="W3585">
        <v>0</v>
      </c>
      <c r="AF3585">
        <v>0</v>
      </c>
      <c r="AG3585">
        <v>0</v>
      </c>
      <c r="AH3585">
        <v>0</v>
      </c>
      <c r="AI3585">
        <v>12</v>
      </c>
      <c r="AJ3585">
        <v>12</v>
      </c>
      <c r="AM3585">
        <v>0</v>
      </c>
      <c r="AN3585">
        <v>126.32</v>
      </c>
      <c r="AP3585">
        <v>11</v>
      </c>
    </row>
    <row r="3586" spans="1:42" x14ac:dyDescent="0.25">
      <c r="A3586" t="s">
        <v>46</v>
      </c>
      <c r="B3586">
        <v>1</v>
      </c>
      <c r="C3586" t="s">
        <v>2436</v>
      </c>
      <c r="D3586" s="39">
        <v>46097</v>
      </c>
      <c r="E3586" t="s">
        <v>486</v>
      </c>
      <c r="F3586" t="s">
        <v>79</v>
      </c>
      <c r="G3586">
        <v>3</v>
      </c>
      <c r="H3586" t="s">
        <v>92</v>
      </c>
      <c r="I3586" t="s">
        <v>79</v>
      </c>
      <c r="J3586">
        <v>1000</v>
      </c>
      <c r="K3586" t="s">
        <v>79</v>
      </c>
      <c r="L3586">
        <v>6</v>
      </c>
      <c r="M3586">
        <v>113.73999999999998</v>
      </c>
      <c r="N3586">
        <v>1.7999999999999998</v>
      </c>
      <c r="Q3586">
        <v>111.93999999999998</v>
      </c>
      <c r="R3586" t="s">
        <v>2447</v>
      </c>
      <c r="V3586">
        <v>0</v>
      </c>
      <c r="W3586">
        <v>0</v>
      </c>
      <c r="AF3586">
        <v>0</v>
      </c>
      <c r="AG3586">
        <v>0</v>
      </c>
      <c r="AH3586">
        <v>0</v>
      </c>
      <c r="AI3586">
        <v>12</v>
      </c>
      <c r="AJ3586">
        <v>12</v>
      </c>
      <c r="AM3586">
        <v>0</v>
      </c>
      <c r="AN3586">
        <v>118.73999999999998</v>
      </c>
      <c r="AP3586">
        <v>11</v>
      </c>
    </row>
    <row r="3587" spans="1:42" x14ac:dyDescent="0.25">
      <c r="A3587" t="s">
        <v>45</v>
      </c>
      <c r="B3587">
        <v>2</v>
      </c>
      <c r="C3587" t="s">
        <v>2420</v>
      </c>
      <c r="D3587" s="39">
        <v>46097</v>
      </c>
      <c r="E3587" t="s">
        <v>486</v>
      </c>
      <c r="F3587" t="s">
        <v>79</v>
      </c>
      <c r="G3587">
        <v>4</v>
      </c>
      <c r="H3587" t="s">
        <v>113</v>
      </c>
      <c r="I3587" t="s">
        <v>79</v>
      </c>
      <c r="J3587">
        <v>1000</v>
      </c>
      <c r="K3587" t="s">
        <v>79</v>
      </c>
      <c r="L3587">
        <v>9</v>
      </c>
      <c r="M3587">
        <v>157.49999999999997</v>
      </c>
      <c r="N3587">
        <v>3.6</v>
      </c>
      <c r="Q3587">
        <v>153.89999999999998</v>
      </c>
      <c r="R3587" t="s">
        <v>2446</v>
      </c>
      <c r="V3587">
        <v>0</v>
      </c>
      <c r="W3587">
        <v>0</v>
      </c>
      <c r="AF3587">
        <v>0</v>
      </c>
      <c r="AG3587">
        <v>0</v>
      </c>
      <c r="AH3587">
        <v>0</v>
      </c>
      <c r="AI3587">
        <v>12</v>
      </c>
      <c r="AJ3587">
        <v>12</v>
      </c>
      <c r="AM3587">
        <v>0</v>
      </c>
      <c r="AN3587">
        <v>162.49999999999997</v>
      </c>
      <c r="AP3587">
        <v>11</v>
      </c>
    </row>
    <row r="3588" spans="1:42" x14ac:dyDescent="0.25">
      <c r="A3588" t="s">
        <v>46</v>
      </c>
      <c r="B3588">
        <v>2</v>
      </c>
      <c r="C3588" t="s">
        <v>2420</v>
      </c>
      <c r="D3588" s="39">
        <v>46097</v>
      </c>
      <c r="E3588" t="s">
        <v>486</v>
      </c>
      <c r="F3588" t="s">
        <v>79</v>
      </c>
      <c r="G3588">
        <v>4</v>
      </c>
      <c r="H3588" t="s">
        <v>113</v>
      </c>
      <c r="I3588" t="s">
        <v>79</v>
      </c>
      <c r="J3588">
        <v>1000</v>
      </c>
      <c r="K3588" t="s">
        <v>79</v>
      </c>
      <c r="L3588">
        <v>9</v>
      </c>
      <c r="M3588">
        <v>163.29999999999998</v>
      </c>
      <c r="N3588">
        <v>3.6</v>
      </c>
      <c r="Q3588">
        <v>159.69999999999999</v>
      </c>
      <c r="R3588" t="s">
        <v>2446</v>
      </c>
      <c r="V3588">
        <v>0</v>
      </c>
      <c r="W3588">
        <v>0</v>
      </c>
      <c r="AF3588">
        <v>0</v>
      </c>
      <c r="AG3588">
        <v>0</v>
      </c>
      <c r="AH3588">
        <v>0</v>
      </c>
      <c r="AI3588">
        <v>12</v>
      </c>
      <c r="AJ3588">
        <v>12</v>
      </c>
      <c r="AM3588">
        <v>0</v>
      </c>
      <c r="AN3588">
        <v>168.29999999999998</v>
      </c>
      <c r="AP3588">
        <v>11</v>
      </c>
    </row>
    <row r="3589" spans="1:42" x14ac:dyDescent="0.25">
      <c r="A3589" t="s">
        <v>45</v>
      </c>
      <c r="B3589">
        <v>4</v>
      </c>
      <c r="C3589" t="s">
        <v>2226</v>
      </c>
      <c r="D3589" s="39">
        <v>46097</v>
      </c>
      <c r="E3589" t="s">
        <v>243</v>
      </c>
      <c r="F3589" t="s">
        <v>79</v>
      </c>
      <c r="G3589">
        <v>16.2</v>
      </c>
      <c r="H3589" t="s">
        <v>81</v>
      </c>
      <c r="I3589" t="s">
        <v>79</v>
      </c>
      <c r="J3589">
        <v>3000</v>
      </c>
      <c r="K3589" t="s">
        <v>79</v>
      </c>
      <c r="L3589">
        <v>8</v>
      </c>
      <c r="M3589">
        <v>516.24</v>
      </c>
      <c r="N3589">
        <v>12.8</v>
      </c>
      <c r="Q3589">
        <v>503.44</v>
      </c>
      <c r="R3589" t="s">
        <v>2445</v>
      </c>
      <c r="V3589">
        <v>0</v>
      </c>
      <c r="W3589">
        <v>0</v>
      </c>
      <c r="AF3589">
        <v>0</v>
      </c>
      <c r="AG3589">
        <v>0</v>
      </c>
      <c r="AH3589">
        <v>0</v>
      </c>
      <c r="AI3589">
        <v>12</v>
      </c>
      <c r="AJ3589">
        <v>12</v>
      </c>
      <c r="AM3589">
        <v>0</v>
      </c>
      <c r="AN3589">
        <v>521.24</v>
      </c>
      <c r="AP3589">
        <v>11</v>
      </c>
    </row>
    <row r="3590" spans="1:42" x14ac:dyDescent="0.25">
      <c r="A3590" t="s">
        <v>45</v>
      </c>
      <c r="B3590">
        <v>4</v>
      </c>
      <c r="C3590" t="s">
        <v>2449</v>
      </c>
      <c r="D3590" s="39">
        <v>46097</v>
      </c>
      <c r="E3590" t="s">
        <v>828</v>
      </c>
      <c r="F3590" t="s">
        <v>79</v>
      </c>
      <c r="G3590">
        <v>17</v>
      </c>
      <c r="H3590" t="s">
        <v>102</v>
      </c>
      <c r="I3590" t="s">
        <v>79</v>
      </c>
      <c r="J3590">
        <v>375</v>
      </c>
      <c r="K3590" t="s">
        <v>79</v>
      </c>
      <c r="L3590">
        <v>1</v>
      </c>
      <c r="M3590">
        <v>56.09</v>
      </c>
      <c r="N3590">
        <v>1.6</v>
      </c>
      <c r="O3590">
        <v>4.5</v>
      </c>
      <c r="Q3590">
        <v>54.49</v>
      </c>
      <c r="R3590" t="s">
        <v>2450</v>
      </c>
      <c r="V3590">
        <v>0</v>
      </c>
      <c r="W3590">
        <v>0</v>
      </c>
      <c r="AF3590">
        <v>0</v>
      </c>
      <c r="AG3590">
        <v>0</v>
      </c>
      <c r="AH3590">
        <v>0</v>
      </c>
      <c r="AI3590">
        <v>12</v>
      </c>
      <c r="AJ3590">
        <v>12</v>
      </c>
      <c r="AM3590">
        <v>0</v>
      </c>
      <c r="AN3590">
        <v>61.09</v>
      </c>
      <c r="AP3590">
        <v>11</v>
      </c>
    </row>
    <row r="3591" spans="1:42" x14ac:dyDescent="0.25">
      <c r="A3591" t="s">
        <v>46</v>
      </c>
      <c r="B3591">
        <v>4</v>
      </c>
      <c r="C3591" t="s">
        <v>2451</v>
      </c>
      <c r="D3591" s="39">
        <v>46097</v>
      </c>
      <c r="E3591" t="s">
        <v>828</v>
      </c>
      <c r="F3591" t="s">
        <v>79</v>
      </c>
      <c r="G3591">
        <v>16</v>
      </c>
      <c r="H3591" t="s">
        <v>102</v>
      </c>
      <c r="I3591" t="s">
        <v>79</v>
      </c>
      <c r="J3591">
        <v>200</v>
      </c>
      <c r="K3591" t="s">
        <v>79</v>
      </c>
      <c r="L3591">
        <v>2</v>
      </c>
      <c r="M3591">
        <v>127.92000000000002</v>
      </c>
      <c r="N3591">
        <v>3.2</v>
      </c>
      <c r="O3591">
        <v>4.5</v>
      </c>
      <c r="Q3591">
        <v>124.72000000000001</v>
      </c>
      <c r="R3591" t="s">
        <v>2452</v>
      </c>
      <c r="V3591">
        <v>0</v>
      </c>
      <c r="W3591">
        <v>0</v>
      </c>
      <c r="AF3591">
        <v>0</v>
      </c>
      <c r="AG3591">
        <v>0</v>
      </c>
      <c r="AH3591">
        <v>0</v>
      </c>
      <c r="AI3591">
        <v>12</v>
      </c>
      <c r="AJ3591">
        <v>12</v>
      </c>
      <c r="AM3591">
        <v>0</v>
      </c>
      <c r="AN3591">
        <v>132.92000000000002</v>
      </c>
      <c r="AP3591">
        <v>11</v>
      </c>
    </row>
    <row r="3592" spans="1:42" x14ac:dyDescent="0.25">
      <c r="A3592" t="s">
        <v>46</v>
      </c>
      <c r="B3592">
        <v>4</v>
      </c>
      <c r="C3592" t="s">
        <v>2453</v>
      </c>
      <c r="D3592" s="39">
        <v>46097</v>
      </c>
      <c r="E3592" t="s">
        <v>2387</v>
      </c>
      <c r="F3592" t="s">
        <v>79</v>
      </c>
      <c r="G3592">
        <v>16</v>
      </c>
      <c r="H3592" t="s">
        <v>1049</v>
      </c>
      <c r="I3592" t="s">
        <v>79</v>
      </c>
      <c r="J3592">
        <v>100</v>
      </c>
      <c r="K3592" t="s">
        <v>79</v>
      </c>
      <c r="L3592">
        <v>2</v>
      </c>
      <c r="M3592">
        <v>116.72999999999999</v>
      </c>
      <c r="N3592">
        <v>3.8</v>
      </c>
      <c r="Q3592">
        <v>112.92999999999999</v>
      </c>
      <c r="R3592" t="s">
        <v>2454</v>
      </c>
      <c r="V3592">
        <v>0</v>
      </c>
      <c r="W3592">
        <v>0</v>
      </c>
      <c r="AF3592">
        <v>0</v>
      </c>
      <c r="AG3592">
        <v>0</v>
      </c>
      <c r="AH3592">
        <v>0</v>
      </c>
      <c r="AI3592">
        <v>12</v>
      </c>
      <c r="AJ3592">
        <v>12</v>
      </c>
      <c r="AM3592">
        <v>0</v>
      </c>
      <c r="AN3592">
        <v>121.73</v>
      </c>
      <c r="AP3592">
        <v>11</v>
      </c>
    </row>
    <row r="3593" spans="1:42" x14ac:dyDescent="0.25">
      <c r="A3593" t="s">
        <v>46</v>
      </c>
      <c r="B3593">
        <v>4</v>
      </c>
      <c r="C3593" t="s">
        <v>2451</v>
      </c>
      <c r="D3593" s="39">
        <v>46097</v>
      </c>
      <c r="E3593" t="s">
        <v>828</v>
      </c>
      <c r="F3593" t="s">
        <v>79</v>
      </c>
      <c r="G3593">
        <v>16</v>
      </c>
      <c r="H3593" t="s">
        <v>102</v>
      </c>
      <c r="I3593" t="s">
        <v>79</v>
      </c>
      <c r="J3593">
        <v>200</v>
      </c>
      <c r="K3593" t="s">
        <v>79</v>
      </c>
      <c r="L3593">
        <v>3</v>
      </c>
      <c r="M3593">
        <v>173.69</v>
      </c>
      <c r="N3593">
        <v>4.8000000000000007</v>
      </c>
      <c r="Q3593">
        <v>168.89</v>
      </c>
      <c r="R3593" t="s">
        <v>2452</v>
      </c>
      <c r="V3593">
        <v>0</v>
      </c>
      <c r="W3593">
        <v>0</v>
      </c>
      <c r="AF3593">
        <v>0</v>
      </c>
      <c r="AG3593">
        <v>0</v>
      </c>
      <c r="AH3593">
        <v>0</v>
      </c>
      <c r="AI3593">
        <v>12</v>
      </c>
      <c r="AJ3593">
        <v>12</v>
      </c>
      <c r="AM3593">
        <v>0</v>
      </c>
      <c r="AN3593">
        <v>178.69</v>
      </c>
      <c r="AP3593">
        <v>11</v>
      </c>
    </row>
    <row r="3594" spans="1:42" x14ac:dyDescent="0.25">
      <c r="A3594" t="s">
        <v>46</v>
      </c>
      <c r="B3594">
        <v>4</v>
      </c>
      <c r="C3594" t="s">
        <v>2455</v>
      </c>
      <c r="D3594" s="39">
        <v>46097</v>
      </c>
      <c r="E3594" t="s">
        <v>200</v>
      </c>
      <c r="F3594" t="s">
        <v>79</v>
      </c>
      <c r="G3594">
        <v>16</v>
      </c>
      <c r="H3594" t="s">
        <v>123</v>
      </c>
      <c r="I3594" t="s">
        <v>79</v>
      </c>
      <c r="J3594">
        <v>250</v>
      </c>
      <c r="K3594" t="s">
        <v>79</v>
      </c>
      <c r="L3594">
        <v>4</v>
      </c>
      <c r="M3594">
        <v>270.65999999999997</v>
      </c>
      <c r="N3594">
        <v>6.4</v>
      </c>
      <c r="Q3594">
        <v>264.26</v>
      </c>
      <c r="R3594" t="s">
        <v>2456</v>
      </c>
      <c r="V3594">
        <v>0</v>
      </c>
      <c r="W3594">
        <v>0</v>
      </c>
      <c r="AF3594">
        <v>0</v>
      </c>
      <c r="AG3594">
        <v>0</v>
      </c>
      <c r="AH3594">
        <v>0</v>
      </c>
      <c r="AI3594">
        <v>12</v>
      </c>
      <c r="AJ3594">
        <v>12</v>
      </c>
      <c r="AM3594">
        <v>0</v>
      </c>
      <c r="AN3594">
        <v>275.65999999999997</v>
      </c>
      <c r="AP3594">
        <v>11</v>
      </c>
    </row>
    <row r="3595" spans="1:42" x14ac:dyDescent="0.25">
      <c r="A3595" t="s">
        <v>45</v>
      </c>
      <c r="B3595">
        <v>5</v>
      </c>
      <c r="C3595" t="s">
        <v>2440</v>
      </c>
      <c r="D3595" s="39">
        <v>46097</v>
      </c>
      <c r="E3595" t="s">
        <v>486</v>
      </c>
      <c r="F3595" t="s">
        <v>79</v>
      </c>
      <c r="G3595">
        <v>12</v>
      </c>
      <c r="H3595">
        <v>5</v>
      </c>
      <c r="I3595" t="s">
        <v>79</v>
      </c>
      <c r="J3595">
        <v>1500</v>
      </c>
      <c r="K3595" t="s">
        <v>79</v>
      </c>
      <c r="L3595">
        <v>4</v>
      </c>
      <c r="M3595">
        <v>314.75</v>
      </c>
      <c r="N3595">
        <v>4.8</v>
      </c>
      <c r="Q3595">
        <v>309.95</v>
      </c>
      <c r="R3595" t="s">
        <v>2448</v>
      </c>
      <c r="V3595">
        <v>0</v>
      </c>
      <c r="W3595">
        <v>0</v>
      </c>
      <c r="AF3595">
        <v>0</v>
      </c>
      <c r="AG3595">
        <v>0</v>
      </c>
      <c r="AH3595">
        <v>0</v>
      </c>
      <c r="AI3595">
        <v>12</v>
      </c>
      <c r="AJ3595">
        <v>12</v>
      </c>
      <c r="AM3595">
        <v>0</v>
      </c>
      <c r="AN3595">
        <v>319.75</v>
      </c>
      <c r="AP3595">
        <v>11</v>
      </c>
    </row>
    <row r="3596" spans="1:42" x14ac:dyDescent="0.25">
      <c r="A3596" t="s">
        <v>45</v>
      </c>
      <c r="B3596">
        <v>5</v>
      </c>
      <c r="C3596" t="s">
        <v>2457</v>
      </c>
      <c r="D3596" s="39">
        <v>46097</v>
      </c>
      <c r="E3596" t="s">
        <v>200</v>
      </c>
      <c r="F3596" t="s">
        <v>79</v>
      </c>
      <c r="G3596">
        <v>14</v>
      </c>
      <c r="H3596" t="s">
        <v>123</v>
      </c>
      <c r="I3596" t="s">
        <v>79</v>
      </c>
      <c r="J3596">
        <v>150</v>
      </c>
      <c r="K3596" t="s">
        <v>79</v>
      </c>
      <c r="L3596">
        <v>3</v>
      </c>
      <c r="M3596">
        <v>127.36000000000001</v>
      </c>
      <c r="N3596">
        <v>4.1999999999999993</v>
      </c>
      <c r="Q3596">
        <v>123.16000000000001</v>
      </c>
      <c r="R3596" t="s">
        <v>2458</v>
      </c>
      <c r="V3596">
        <v>0</v>
      </c>
      <c r="W3596">
        <v>0</v>
      </c>
      <c r="AF3596">
        <v>0</v>
      </c>
      <c r="AG3596">
        <v>0</v>
      </c>
      <c r="AH3596">
        <v>0</v>
      </c>
      <c r="AI3596">
        <v>12</v>
      </c>
      <c r="AJ3596">
        <v>12</v>
      </c>
      <c r="AM3596">
        <v>0</v>
      </c>
      <c r="AN3596">
        <v>132.36000000000001</v>
      </c>
      <c r="AP3596">
        <v>11</v>
      </c>
    </row>
    <row r="3597" spans="1:42" x14ac:dyDescent="0.25">
      <c r="A3597" t="s">
        <v>45</v>
      </c>
      <c r="B3597">
        <v>5</v>
      </c>
      <c r="C3597" t="s">
        <v>2459</v>
      </c>
      <c r="D3597" s="39">
        <v>46097</v>
      </c>
      <c r="E3597" t="s">
        <v>200</v>
      </c>
      <c r="F3597" t="s">
        <v>79</v>
      </c>
      <c r="G3597">
        <v>14</v>
      </c>
      <c r="H3597" t="s">
        <v>578</v>
      </c>
      <c r="I3597" t="s">
        <v>79</v>
      </c>
      <c r="J3597">
        <v>100</v>
      </c>
      <c r="K3597" t="s">
        <v>79</v>
      </c>
      <c r="L3597">
        <v>1</v>
      </c>
      <c r="M3597">
        <v>59.04</v>
      </c>
      <c r="N3597">
        <v>1.4</v>
      </c>
      <c r="O3597">
        <v>25</v>
      </c>
      <c r="Q3597">
        <v>57.64</v>
      </c>
      <c r="R3597" t="s">
        <v>2460</v>
      </c>
      <c r="V3597">
        <v>0</v>
      </c>
      <c r="W3597">
        <v>0</v>
      </c>
      <c r="AF3597">
        <v>0</v>
      </c>
      <c r="AG3597">
        <v>0</v>
      </c>
      <c r="AH3597">
        <v>0</v>
      </c>
      <c r="AI3597">
        <v>12</v>
      </c>
      <c r="AJ3597">
        <v>12</v>
      </c>
      <c r="AM3597">
        <v>0</v>
      </c>
      <c r="AN3597">
        <v>64.039999999999992</v>
      </c>
      <c r="AP3597">
        <v>11</v>
      </c>
    </row>
    <row r="3598" spans="1:42" x14ac:dyDescent="0.25">
      <c r="A3598" t="s">
        <v>46</v>
      </c>
      <c r="B3598">
        <v>5</v>
      </c>
      <c r="C3598" t="s">
        <v>2459</v>
      </c>
      <c r="D3598" s="39">
        <v>46097</v>
      </c>
      <c r="E3598" t="s">
        <v>200</v>
      </c>
      <c r="F3598" t="s">
        <v>79</v>
      </c>
      <c r="G3598">
        <v>14</v>
      </c>
      <c r="H3598" t="s">
        <v>578</v>
      </c>
      <c r="I3598" t="s">
        <v>79</v>
      </c>
      <c r="J3598">
        <v>100</v>
      </c>
      <c r="K3598" t="s">
        <v>79</v>
      </c>
      <c r="L3598">
        <v>1</v>
      </c>
      <c r="M3598">
        <v>58.55</v>
      </c>
      <c r="N3598">
        <v>1.7</v>
      </c>
      <c r="Q3598">
        <v>56.849999999999994</v>
      </c>
      <c r="R3598" t="s">
        <v>2460</v>
      </c>
      <c r="V3598">
        <v>0</v>
      </c>
      <c r="W3598">
        <v>0</v>
      </c>
      <c r="AF3598">
        <v>0</v>
      </c>
      <c r="AG3598">
        <v>0</v>
      </c>
      <c r="AH3598">
        <v>0</v>
      </c>
      <c r="AI3598">
        <v>12</v>
      </c>
      <c r="AJ3598">
        <v>12</v>
      </c>
      <c r="AM3598">
        <v>0</v>
      </c>
      <c r="AN3598">
        <v>63.55</v>
      </c>
      <c r="AP3598">
        <v>11</v>
      </c>
    </row>
    <row r="3599" spans="1:42" x14ac:dyDescent="0.25">
      <c r="A3599" t="s">
        <v>46</v>
      </c>
      <c r="B3599">
        <v>5</v>
      </c>
      <c r="C3599" t="s">
        <v>2461</v>
      </c>
      <c r="D3599" s="39">
        <v>46097</v>
      </c>
      <c r="E3599" t="s">
        <v>828</v>
      </c>
      <c r="F3599" t="s">
        <v>79</v>
      </c>
      <c r="G3599">
        <v>4</v>
      </c>
      <c r="H3599" t="s">
        <v>534</v>
      </c>
      <c r="I3599" t="s">
        <v>79</v>
      </c>
      <c r="J3599">
        <v>250</v>
      </c>
      <c r="K3599" t="s">
        <v>79</v>
      </c>
      <c r="L3599">
        <v>7</v>
      </c>
      <c r="M3599">
        <v>451.55000000000007</v>
      </c>
      <c r="N3599">
        <v>10.85</v>
      </c>
      <c r="Q3599">
        <v>440.70000000000005</v>
      </c>
      <c r="R3599" t="s">
        <v>2462</v>
      </c>
      <c r="V3599">
        <v>0</v>
      </c>
      <c r="W3599">
        <v>0</v>
      </c>
      <c r="AF3599">
        <v>0</v>
      </c>
      <c r="AG3599">
        <v>0</v>
      </c>
      <c r="AH3599">
        <v>0</v>
      </c>
      <c r="AI3599">
        <v>12</v>
      </c>
      <c r="AJ3599">
        <v>12</v>
      </c>
      <c r="AM3599">
        <v>0</v>
      </c>
      <c r="AN3599">
        <v>456.55000000000007</v>
      </c>
      <c r="AP3599">
        <v>11</v>
      </c>
    </row>
    <row r="3600" spans="1:42" x14ac:dyDescent="0.25">
      <c r="D3600" s="39"/>
      <c r="E3600" t="s">
        <v>2463</v>
      </c>
      <c r="K3600" t="s">
        <v>79</v>
      </c>
      <c r="Q3600">
        <v>0</v>
      </c>
      <c r="R3600" t="s">
        <v>468</v>
      </c>
    </row>
    <row r="3601" spans="1:42" x14ac:dyDescent="0.25">
      <c r="A3601" t="s">
        <v>45</v>
      </c>
      <c r="B3601">
        <v>4</v>
      </c>
      <c r="C3601" t="s">
        <v>2088</v>
      </c>
      <c r="D3601" s="39">
        <v>46113</v>
      </c>
      <c r="E3601" t="s">
        <v>486</v>
      </c>
      <c r="F3601" t="s">
        <v>79</v>
      </c>
      <c r="G3601">
        <v>16</v>
      </c>
      <c r="H3601">
        <v>5</v>
      </c>
      <c r="I3601" t="s">
        <v>79</v>
      </c>
      <c r="J3601">
        <v>1000</v>
      </c>
      <c r="K3601" t="s">
        <v>79</v>
      </c>
      <c r="L3601">
        <v>2</v>
      </c>
      <c r="M3601">
        <v>96.84</v>
      </c>
      <c r="N3601">
        <v>3.2</v>
      </c>
      <c r="Q3601">
        <v>93.64</v>
      </c>
      <c r="R3601" t="s">
        <v>2569</v>
      </c>
      <c r="V3601">
        <v>0</v>
      </c>
      <c r="W3601">
        <v>0</v>
      </c>
      <c r="AF3601">
        <v>0</v>
      </c>
      <c r="AG3601">
        <v>0</v>
      </c>
      <c r="AH3601">
        <v>0</v>
      </c>
      <c r="AI3601">
        <v>12</v>
      </c>
      <c r="AJ3601">
        <v>12</v>
      </c>
      <c r="AM3601">
        <v>0</v>
      </c>
      <c r="AN3601">
        <v>101.84</v>
      </c>
      <c r="AP3601">
        <v>14</v>
      </c>
    </row>
    <row r="3602" spans="1:42" x14ac:dyDescent="0.25">
      <c r="A3602" t="s">
        <v>45</v>
      </c>
      <c r="B3602">
        <v>4</v>
      </c>
      <c r="C3602" t="s">
        <v>2464</v>
      </c>
      <c r="D3602" s="39">
        <v>46113</v>
      </c>
      <c r="E3602" t="s">
        <v>200</v>
      </c>
      <c r="F3602" t="s">
        <v>79</v>
      </c>
      <c r="G3602">
        <v>16</v>
      </c>
      <c r="H3602" t="s">
        <v>578</v>
      </c>
      <c r="I3602" t="s">
        <v>79</v>
      </c>
      <c r="J3602">
        <v>150</v>
      </c>
      <c r="K3602" t="s">
        <v>79</v>
      </c>
      <c r="L3602">
        <v>4</v>
      </c>
      <c r="M3602">
        <v>170.61</v>
      </c>
      <c r="N3602">
        <v>6.4</v>
      </c>
      <c r="Q3602">
        <v>164.21</v>
      </c>
      <c r="R3602" t="s">
        <v>2465</v>
      </c>
      <c r="V3602">
        <v>0</v>
      </c>
      <c r="W3602">
        <v>0</v>
      </c>
      <c r="AF3602">
        <v>0</v>
      </c>
      <c r="AG3602">
        <v>0</v>
      </c>
      <c r="AH3602">
        <v>0</v>
      </c>
      <c r="AI3602">
        <v>12</v>
      </c>
      <c r="AJ3602">
        <v>12</v>
      </c>
      <c r="AM3602">
        <v>0</v>
      </c>
      <c r="AN3602">
        <v>175.61</v>
      </c>
      <c r="AP3602">
        <v>14</v>
      </c>
    </row>
    <row r="3603" spans="1:42" x14ac:dyDescent="0.25">
      <c r="A3603" t="s">
        <v>45</v>
      </c>
      <c r="B3603">
        <v>4</v>
      </c>
      <c r="C3603" t="s">
        <v>2453</v>
      </c>
      <c r="D3603" s="39">
        <v>46113</v>
      </c>
      <c r="E3603" t="s">
        <v>2387</v>
      </c>
      <c r="F3603" t="s">
        <v>79</v>
      </c>
      <c r="G3603">
        <v>16</v>
      </c>
      <c r="H3603" t="s">
        <v>1049</v>
      </c>
      <c r="I3603" t="s">
        <v>79</v>
      </c>
      <c r="J3603">
        <v>100</v>
      </c>
      <c r="K3603" t="s">
        <v>79</v>
      </c>
      <c r="L3603">
        <v>2</v>
      </c>
      <c r="M3603">
        <v>105.25</v>
      </c>
      <c r="N3603">
        <v>3.2</v>
      </c>
      <c r="Q3603">
        <v>102.05</v>
      </c>
      <c r="R3603" t="s">
        <v>2454</v>
      </c>
      <c r="V3603">
        <v>0</v>
      </c>
      <c r="W3603">
        <v>0</v>
      </c>
      <c r="AF3603">
        <v>0</v>
      </c>
      <c r="AG3603">
        <v>0</v>
      </c>
      <c r="AH3603">
        <v>0</v>
      </c>
      <c r="AI3603">
        <v>12</v>
      </c>
      <c r="AJ3603">
        <v>12</v>
      </c>
      <c r="AM3603">
        <v>0</v>
      </c>
      <c r="AN3603">
        <v>110.25</v>
      </c>
      <c r="AP3603">
        <v>14</v>
      </c>
    </row>
    <row r="3604" spans="1:42" x14ac:dyDescent="0.25">
      <c r="A3604" t="s">
        <v>45</v>
      </c>
      <c r="B3604">
        <v>4</v>
      </c>
      <c r="C3604" t="s">
        <v>2466</v>
      </c>
      <c r="D3604" s="39">
        <v>46113</v>
      </c>
      <c r="E3604" t="s">
        <v>243</v>
      </c>
      <c r="F3604" t="s">
        <v>79</v>
      </c>
      <c r="G3604">
        <v>26</v>
      </c>
      <c r="H3604" t="s">
        <v>113</v>
      </c>
      <c r="I3604" t="s">
        <v>79</v>
      </c>
      <c r="J3604">
        <v>400</v>
      </c>
      <c r="K3604" t="s">
        <v>79</v>
      </c>
      <c r="L3604">
        <v>3</v>
      </c>
      <c r="M3604">
        <v>111.88</v>
      </c>
      <c r="N3604">
        <v>7.8000000000000007</v>
      </c>
      <c r="Q3604">
        <v>104.08</v>
      </c>
      <c r="R3604" t="s">
        <v>2467</v>
      </c>
      <c r="S3604">
        <v>25</v>
      </c>
      <c r="T3604">
        <v>180</v>
      </c>
      <c r="V3604">
        <v>205</v>
      </c>
      <c r="W3604">
        <v>3.4166666666666665</v>
      </c>
      <c r="AD3604">
        <v>30</v>
      </c>
      <c r="AF3604">
        <v>30</v>
      </c>
      <c r="AG3604">
        <v>0.5</v>
      </c>
      <c r="AH3604">
        <v>3.9166666666666665</v>
      </c>
      <c r="AI3604">
        <v>8.0833333333333339</v>
      </c>
      <c r="AJ3604">
        <v>12</v>
      </c>
      <c r="AM3604">
        <v>0</v>
      </c>
      <c r="AN3604">
        <v>116.88</v>
      </c>
      <c r="AP3604">
        <v>14</v>
      </c>
    </row>
    <row r="3605" spans="1:42" x14ac:dyDescent="0.25">
      <c r="A3605" t="s">
        <v>46</v>
      </c>
      <c r="B3605">
        <v>4</v>
      </c>
      <c r="C3605" t="s">
        <v>2466</v>
      </c>
      <c r="D3605" s="39">
        <v>46113</v>
      </c>
      <c r="E3605" t="s">
        <v>243</v>
      </c>
      <c r="F3605" t="s">
        <v>79</v>
      </c>
      <c r="G3605">
        <v>26</v>
      </c>
      <c r="H3605" t="s">
        <v>113</v>
      </c>
      <c r="I3605" t="s">
        <v>79</v>
      </c>
      <c r="J3605">
        <v>400</v>
      </c>
      <c r="K3605" t="s">
        <v>79</v>
      </c>
      <c r="L3605">
        <v>9</v>
      </c>
      <c r="M3605">
        <v>335.58999999999992</v>
      </c>
      <c r="N3605">
        <v>27.900000000000002</v>
      </c>
      <c r="Q3605">
        <v>307.68999999999994</v>
      </c>
      <c r="R3605" t="s">
        <v>2467</v>
      </c>
      <c r="S3605">
        <v>25</v>
      </c>
      <c r="V3605">
        <v>25</v>
      </c>
      <c r="W3605">
        <v>0.41666666666666674</v>
      </c>
      <c r="AF3605">
        <v>0</v>
      </c>
      <c r="AG3605">
        <v>0</v>
      </c>
      <c r="AH3605">
        <v>0.41666666666666674</v>
      </c>
      <c r="AI3605">
        <v>11.583333333333334</v>
      </c>
      <c r="AJ3605">
        <v>12</v>
      </c>
      <c r="AM3605">
        <v>0</v>
      </c>
      <c r="AN3605">
        <v>340.58999999999992</v>
      </c>
      <c r="AP3605">
        <v>14</v>
      </c>
    </row>
    <row r="3606" spans="1:42" x14ac:dyDescent="0.25">
      <c r="A3606" t="s">
        <v>46</v>
      </c>
      <c r="B3606">
        <v>4</v>
      </c>
      <c r="C3606" t="s">
        <v>2468</v>
      </c>
      <c r="D3606" s="39">
        <v>46113</v>
      </c>
      <c r="E3606" t="s">
        <v>238</v>
      </c>
      <c r="F3606" t="s">
        <v>79</v>
      </c>
      <c r="G3606">
        <v>17</v>
      </c>
      <c r="H3606" t="s">
        <v>534</v>
      </c>
      <c r="I3606" t="s">
        <v>79</v>
      </c>
      <c r="J3606">
        <v>150</v>
      </c>
      <c r="K3606" t="s">
        <v>79</v>
      </c>
      <c r="L3606">
        <v>3</v>
      </c>
      <c r="M3606">
        <v>164.14</v>
      </c>
      <c r="N3606">
        <v>5.6999999999999993</v>
      </c>
      <c r="Q3606">
        <v>158.44</v>
      </c>
      <c r="R3606" t="s">
        <v>2469</v>
      </c>
      <c r="V3606">
        <v>0</v>
      </c>
      <c r="W3606">
        <v>0</v>
      </c>
      <c r="AF3606">
        <v>0</v>
      </c>
      <c r="AG3606">
        <v>0</v>
      </c>
      <c r="AH3606">
        <v>0</v>
      </c>
      <c r="AI3606">
        <v>12</v>
      </c>
      <c r="AJ3606">
        <v>12</v>
      </c>
      <c r="AM3606">
        <v>0</v>
      </c>
      <c r="AN3606">
        <v>169.14</v>
      </c>
      <c r="AP3606">
        <v>14</v>
      </c>
    </row>
    <row r="3607" spans="1:42" x14ac:dyDescent="0.25">
      <c r="A3607" t="s">
        <v>46</v>
      </c>
      <c r="B3607">
        <v>4</v>
      </c>
      <c r="C3607" t="s">
        <v>2449</v>
      </c>
      <c r="D3607" s="39">
        <v>46113</v>
      </c>
      <c r="E3607" t="s">
        <v>828</v>
      </c>
      <c r="F3607" t="s">
        <v>79</v>
      </c>
      <c r="G3607">
        <v>17</v>
      </c>
      <c r="H3607" t="s">
        <v>102</v>
      </c>
      <c r="I3607" t="s">
        <v>79</v>
      </c>
      <c r="J3607">
        <v>375</v>
      </c>
      <c r="K3607" t="s">
        <v>79</v>
      </c>
      <c r="L3607">
        <v>2</v>
      </c>
      <c r="M3607">
        <v>129.88999999999999</v>
      </c>
      <c r="N3607">
        <v>3.8</v>
      </c>
      <c r="Q3607">
        <v>126.08999999999999</v>
      </c>
      <c r="R3607" t="s">
        <v>2450</v>
      </c>
      <c r="V3607">
        <v>0</v>
      </c>
      <c r="W3607">
        <v>0</v>
      </c>
      <c r="AF3607">
        <v>0</v>
      </c>
      <c r="AG3607">
        <v>0</v>
      </c>
      <c r="AH3607">
        <v>0</v>
      </c>
      <c r="AI3607">
        <v>12</v>
      </c>
      <c r="AJ3607">
        <v>12</v>
      </c>
      <c r="AM3607">
        <v>0</v>
      </c>
      <c r="AN3607">
        <v>134.88999999999999</v>
      </c>
      <c r="AP3607">
        <v>14</v>
      </c>
    </row>
    <row r="3608" spans="1:42" x14ac:dyDescent="0.25">
      <c r="A3608" t="s">
        <v>45</v>
      </c>
      <c r="B3608">
        <v>5</v>
      </c>
      <c r="C3608" t="s">
        <v>2470</v>
      </c>
      <c r="D3608" s="39">
        <v>46113</v>
      </c>
      <c r="E3608" t="s">
        <v>828</v>
      </c>
      <c r="F3608" t="s">
        <v>79</v>
      </c>
      <c r="G3608">
        <v>13</v>
      </c>
      <c r="H3608" t="s">
        <v>102</v>
      </c>
      <c r="I3608" t="s">
        <v>79</v>
      </c>
      <c r="J3608">
        <v>375</v>
      </c>
      <c r="K3608" t="s">
        <v>79</v>
      </c>
      <c r="L3608">
        <v>6</v>
      </c>
      <c r="M3608">
        <v>326.54999999999995</v>
      </c>
      <c r="N3608">
        <v>7.8000000000000007</v>
      </c>
      <c r="Q3608">
        <v>318.74999999999994</v>
      </c>
      <c r="R3608" t="s">
        <v>2471</v>
      </c>
      <c r="V3608">
        <v>0</v>
      </c>
      <c r="W3608">
        <v>0</v>
      </c>
      <c r="AF3608">
        <v>0</v>
      </c>
      <c r="AG3608">
        <v>0</v>
      </c>
      <c r="AH3608">
        <v>0</v>
      </c>
      <c r="AI3608">
        <v>12</v>
      </c>
      <c r="AJ3608">
        <v>12</v>
      </c>
      <c r="AM3608">
        <v>0</v>
      </c>
      <c r="AN3608">
        <v>331.54999999999995</v>
      </c>
      <c r="AP3608">
        <v>14</v>
      </c>
    </row>
    <row r="3609" spans="1:42" x14ac:dyDescent="0.25">
      <c r="A3609" t="s">
        <v>45</v>
      </c>
      <c r="B3609">
        <v>5</v>
      </c>
      <c r="C3609" t="s">
        <v>2472</v>
      </c>
      <c r="D3609" s="39">
        <v>46113</v>
      </c>
      <c r="E3609" t="s">
        <v>486</v>
      </c>
      <c r="F3609" t="s">
        <v>79</v>
      </c>
      <c r="G3609">
        <v>14</v>
      </c>
      <c r="H3609">
        <v>5</v>
      </c>
      <c r="I3609" t="s">
        <v>79</v>
      </c>
      <c r="J3609">
        <v>1500</v>
      </c>
      <c r="K3609" t="s">
        <v>79</v>
      </c>
      <c r="L3609">
        <v>2</v>
      </c>
      <c r="M3609">
        <v>88.06</v>
      </c>
      <c r="N3609">
        <v>2.8</v>
      </c>
      <c r="O3609">
        <v>53</v>
      </c>
      <c r="Q3609">
        <v>85.26</v>
      </c>
      <c r="R3609" t="s">
        <v>2473</v>
      </c>
      <c r="S3609">
        <v>20</v>
      </c>
      <c r="T3609">
        <v>180</v>
      </c>
      <c r="V3609">
        <v>200</v>
      </c>
      <c r="W3609">
        <v>3.3333333333333335</v>
      </c>
      <c r="AF3609">
        <v>0</v>
      </c>
      <c r="AG3609">
        <v>0</v>
      </c>
      <c r="AH3609">
        <v>3.3333333333333335</v>
      </c>
      <c r="AI3609">
        <v>8.6666666666666661</v>
      </c>
      <c r="AJ3609">
        <v>12</v>
      </c>
      <c r="AM3609">
        <v>0</v>
      </c>
      <c r="AN3609">
        <v>93.06</v>
      </c>
      <c r="AP3609">
        <v>14</v>
      </c>
    </row>
    <row r="3610" spans="1:42" x14ac:dyDescent="0.25">
      <c r="A3610" t="s">
        <v>46</v>
      </c>
      <c r="B3610">
        <v>5</v>
      </c>
      <c r="C3610" t="s">
        <v>2472</v>
      </c>
      <c r="D3610" s="39">
        <v>46113</v>
      </c>
      <c r="E3610" t="s">
        <v>486</v>
      </c>
      <c r="F3610" t="s">
        <v>79</v>
      </c>
      <c r="G3610">
        <v>14</v>
      </c>
      <c r="H3610">
        <v>5</v>
      </c>
      <c r="I3610" t="s">
        <v>79</v>
      </c>
      <c r="J3610">
        <v>1500</v>
      </c>
      <c r="K3610" t="s">
        <v>79</v>
      </c>
      <c r="L3610">
        <v>10</v>
      </c>
      <c r="M3610">
        <v>634.32000000000016</v>
      </c>
      <c r="N3610">
        <v>16</v>
      </c>
      <c r="O3610">
        <v>13</v>
      </c>
      <c r="Q3610">
        <v>618.32000000000016</v>
      </c>
      <c r="R3610" t="s">
        <v>2473</v>
      </c>
      <c r="V3610">
        <v>0</v>
      </c>
      <c r="W3610">
        <v>0</v>
      </c>
      <c r="AF3610">
        <v>0</v>
      </c>
      <c r="AG3610">
        <v>0</v>
      </c>
      <c r="AH3610">
        <v>0</v>
      </c>
      <c r="AI3610">
        <v>12</v>
      </c>
      <c r="AJ3610">
        <v>12</v>
      </c>
      <c r="AM3610">
        <v>0</v>
      </c>
      <c r="AN3610">
        <v>639.32000000000016</v>
      </c>
      <c r="AP3610">
        <v>14</v>
      </c>
    </row>
    <row r="3611" spans="1:42" x14ac:dyDescent="0.25">
      <c r="A3611" t="s">
        <v>46</v>
      </c>
      <c r="B3611">
        <v>1</v>
      </c>
      <c r="C3611" t="s">
        <v>2474</v>
      </c>
      <c r="D3611" s="39">
        <v>46114</v>
      </c>
      <c r="E3611" t="s">
        <v>486</v>
      </c>
      <c r="F3611" t="s">
        <v>79</v>
      </c>
      <c r="G3611">
        <v>3</v>
      </c>
      <c r="H3611" t="s">
        <v>92</v>
      </c>
      <c r="I3611" t="s">
        <v>79</v>
      </c>
      <c r="J3611">
        <v>1000</v>
      </c>
      <c r="K3611" t="s">
        <v>79</v>
      </c>
      <c r="L3611">
        <v>5</v>
      </c>
      <c r="M3611">
        <v>94.79</v>
      </c>
      <c r="N3611">
        <v>1.5</v>
      </c>
      <c r="Q3611">
        <v>93.29</v>
      </c>
      <c r="R3611" t="s">
        <v>2513</v>
      </c>
      <c r="T3611">
        <v>180</v>
      </c>
      <c r="V3611">
        <v>180</v>
      </c>
      <c r="W3611">
        <v>3</v>
      </c>
      <c r="AF3611">
        <v>0</v>
      </c>
      <c r="AG3611">
        <v>0</v>
      </c>
      <c r="AH3611">
        <v>3</v>
      </c>
      <c r="AI3611">
        <v>9</v>
      </c>
      <c r="AJ3611">
        <v>12</v>
      </c>
      <c r="AM3611">
        <v>0</v>
      </c>
      <c r="AN3611">
        <v>99.79</v>
      </c>
      <c r="AP3611">
        <v>14</v>
      </c>
    </row>
    <row r="3612" spans="1:42" x14ac:dyDescent="0.25">
      <c r="A3612" t="s">
        <v>46</v>
      </c>
      <c r="B3612">
        <v>2</v>
      </c>
      <c r="C3612" t="s">
        <v>2475</v>
      </c>
      <c r="D3612" s="39">
        <v>46114</v>
      </c>
      <c r="E3612" t="s">
        <v>486</v>
      </c>
      <c r="F3612" t="s">
        <v>79</v>
      </c>
      <c r="G3612">
        <v>4</v>
      </c>
      <c r="H3612" t="s">
        <v>113</v>
      </c>
      <c r="I3612" t="s">
        <v>79</v>
      </c>
      <c r="J3612">
        <v>2000</v>
      </c>
      <c r="K3612" t="s">
        <v>79</v>
      </c>
      <c r="L3612">
        <v>6</v>
      </c>
      <c r="M3612">
        <v>114.09</v>
      </c>
      <c r="N3612">
        <v>2.4000000000000004</v>
      </c>
      <c r="O3612">
        <v>17</v>
      </c>
      <c r="Q3612">
        <v>111.69</v>
      </c>
      <c r="R3612" t="s">
        <v>2514</v>
      </c>
      <c r="T3612">
        <v>150</v>
      </c>
      <c r="V3612">
        <v>150</v>
      </c>
      <c r="W3612">
        <v>2.5</v>
      </c>
      <c r="AF3612">
        <v>0</v>
      </c>
      <c r="AG3612">
        <v>0</v>
      </c>
      <c r="AH3612">
        <v>2.5</v>
      </c>
      <c r="AI3612">
        <v>9.5</v>
      </c>
      <c r="AJ3612">
        <v>12</v>
      </c>
      <c r="AM3612">
        <v>0</v>
      </c>
      <c r="AN3612">
        <v>119.09</v>
      </c>
      <c r="AP3612">
        <v>14</v>
      </c>
    </row>
    <row r="3613" spans="1:42" x14ac:dyDescent="0.25">
      <c r="A3613" t="s">
        <v>45</v>
      </c>
      <c r="B3613">
        <v>4</v>
      </c>
      <c r="C3613" t="s">
        <v>2449</v>
      </c>
      <c r="D3613" s="39">
        <v>46114</v>
      </c>
      <c r="E3613" t="s">
        <v>828</v>
      </c>
      <c r="F3613" t="s">
        <v>79</v>
      </c>
      <c r="G3613">
        <v>17</v>
      </c>
      <c r="H3613" t="s">
        <v>102</v>
      </c>
      <c r="I3613" t="s">
        <v>79</v>
      </c>
      <c r="J3613">
        <v>375</v>
      </c>
      <c r="K3613" t="s">
        <v>79</v>
      </c>
      <c r="L3613">
        <v>5</v>
      </c>
      <c r="M3613">
        <v>264.37</v>
      </c>
      <c r="N3613">
        <v>8.5</v>
      </c>
      <c r="Q3613">
        <v>255.87</v>
      </c>
      <c r="R3613" t="s">
        <v>2450</v>
      </c>
      <c r="V3613">
        <v>0</v>
      </c>
      <c r="W3613">
        <v>0</v>
      </c>
      <c r="AF3613">
        <v>0</v>
      </c>
      <c r="AG3613">
        <v>0</v>
      </c>
      <c r="AH3613">
        <v>0</v>
      </c>
      <c r="AI3613">
        <v>12</v>
      </c>
      <c r="AJ3613">
        <v>12</v>
      </c>
      <c r="AM3613">
        <v>0</v>
      </c>
      <c r="AN3613">
        <v>269.37</v>
      </c>
      <c r="AP3613">
        <v>14</v>
      </c>
    </row>
    <row r="3614" spans="1:42" x14ac:dyDescent="0.25">
      <c r="A3614" t="s">
        <v>45</v>
      </c>
      <c r="B3614">
        <v>4</v>
      </c>
      <c r="C3614" t="s">
        <v>2476</v>
      </c>
      <c r="D3614" s="39">
        <v>46114</v>
      </c>
      <c r="E3614" t="s">
        <v>243</v>
      </c>
      <c r="F3614" t="s">
        <v>79</v>
      </c>
      <c r="G3614">
        <v>20</v>
      </c>
      <c r="H3614" t="s">
        <v>113</v>
      </c>
      <c r="I3614" t="s">
        <v>79</v>
      </c>
      <c r="J3614">
        <v>300</v>
      </c>
      <c r="K3614" t="s">
        <v>79</v>
      </c>
      <c r="L3614">
        <v>5</v>
      </c>
      <c r="M3614">
        <v>327.03999999999996</v>
      </c>
      <c r="N3614">
        <v>10</v>
      </c>
      <c r="Q3614">
        <v>317.03999999999996</v>
      </c>
      <c r="R3614" t="s">
        <v>2477</v>
      </c>
      <c r="V3614">
        <v>0</v>
      </c>
      <c r="W3614">
        <v>0</v>
      </c>
      <c r="AF3614">
        <v>0</v>
      </c>
      <c r="AG3614">
        <v>0</v>
      </c>
      <c r="AH3614">
        <v>0</v>
      </c>
      <c r="AI3614">
        <v>12</v>
      </c>
      <c r="AJ3614">
        <v>12</v>
      </c>
      <c r="AM3614">
        <v>0</v>
      </c>
      <c r="AN3614">
        <v>332.03999999999996</v>
      </c>
      <c r="AP3614">
        <v>14</v>
      </c>
    </row>
    <row r="3615" spans="1:42" x14ac:dyDescent="0.25">
      <c r="A3615" t="s">
        <v>45</v>
      </c>
      <c r="B3615">
        <v>4</v>
      </c>
      <c r="C3615" t="s">
        <v>2478</v>
      </c>
      <c r="D3615" s="39">
        <v>46114</v>
      </c>
      <c r="E3615" t="s">
        <v>200</v>
      </c>
      <c r="F3615" t="s">
        <v>79</v>
      </c>
      <c r="G3615">
        <v>20</v>
      </c>
      <c r="H3615" t="s">
        <v>123</v>
      </c>
      <c r="I3615" t="s">
        <v>79</v>
      </c>
      <c r="J3615">
        <v>250</v>
      </c>
      <c r="K3615" t="s">
        <v>79</v>
      </c>
      <c r="L3615">
        <v>2</v>
      </c>
      <c r="M3615">
        <v>117.53</v>
      </c>
      <c r="N3615">
        <v>4</v>
      </c>
      <c r="Q3615">
        <v>113.53</v>
      </c>
      <c r="R3615" t="s">
        <v>2479</v>
      </c>
      <c r="V3615">
        <v>0</v>
      </c>
      <c r="W3615">
        <v>0</v>
      </c>
      <c r="AF3615">
        <v>0</v>
      </c>
      <c r="AG3615">
        <v>0</v>
      </c>
      <c r="AH3615">
        <v>0</v>
      </c>
      <c r="AI3615">
        <v>12</v>
      </c>
      <c r="AJ3615">
        <v>12</v>
      </c>
      <c r="AM3615">
        <v>0</v>
      </c>
      <c r="AN3615">
        <v>122.53</v>
      </c>
      <c r="AP3615">
        <v>14</v>
      </c>
    </row>
    <row r="3616" spans="1:42" x14ac:dyDescent="0.25">
      <c r="A3616" t="s">
        <v>46</v>
      </c>
      <c r="B3616">
        <v>4</v>
      </c>
      <c r="C3616" t="s">
        <v>2478</v>
      </c>
      <c r="D3616" s="39">
        <v>46114</v>
      </c>
      <c r="E3616" t="s">
        <v>200</v>
      </c>
      <c r="F3616" t="s">
        <v>79</v>
      </c>
      <c r="G3616">
        <v>20</v>
      </c>
      <c r="H3616" t="s">
        <v>123</v>
      </c>
      <c r="I3616" t="s">
        <v>79</v>
      </c>
      <c r="J3616">
        <v>250</v>
      </c>
      <c r="K3616" t="s">
        <v>79</v>
      </c>
      <c r="L3616">
        <v>2</v>
      </c>
      <c r="M3616">
        <v>138.91</v>
      </c>
      <c r="N3616">
        <v>5</v>
      </c>
      <c r="Q3616">
        <v>133.91</v>
      </c>
      <c r="R3616" t="s">
        <v>2479</v>
      </c>
      <c r="S3616">
        <v>25</v>
      </c>
      <c r="V3616">
        <v>25</v>
      </c>
      <c r="W3616">
        <v>0.41666666666666674</v>
      </c>
      <c r="AF3616">
        <v>0</v>
      </c>
      <c r="AG3616">
        <v>0</v>
      </c>
      <c r="AH3616">
        <v>0.41666666666666674</v>
      </c>
      <c r="AI3616">
        <v>11.583333333333334</v>
      </c>
      <c r="AJ3616">
        <v>12</v>
      </c>
      <c r="AM3616">
        <v>0</v>
      </c>
      <c r="AN3616">
        <v>143.91</v>
      </c>
      <c r="AP3616">
        <v>14</v>
      </c>
    </row>
    <row r="3617" spans="1:42" x14ac:dyDescent="0.25">
      <c r="A3617" t="s">
        <v>46</v>
      </c>
      <c r="B3617">
        <v>4</v>
      </c>
      <c r="C3617" t="s">
        <v>2480</v>
      </c>
      <c r="D3617" s="39">
        <v>46114</v>
      </c>
      <c r="E3617" t="s">
        <v>200</v>
      </c>
      <c r="F3617" t="s">
        <v>79</v>
      </c>
      <c r="G3617">
        <v>20</v>
      </c>
      <c r="H3617" t="s">
        <v>578</v>
      </c>
      <c r="I3617" t="s">
        <v>79</v>
      </c>
      <c r="J3617">
        <v>150</v>
      </c>
      <c r="K3617" t="s">
        <v>79</v>
      </c>
      <c r="L3617">
        <v>3</v>
      </c>
      <c r="M3617">
        <v>180.67</v>
      </c>
      <c r="N3617">
        <v>7.5</v>
      </c>
      <c r="Q3617">
        <v>173.17</v>
      </c>
      <c r="R3617" t="s">
        <v>2481</v>
      </c>
      <c r="S3617">
        <v>15</v>
      </c>
      <c r="V3617">
        <v>15</v>
      </c>
      <c r="W3617">
        <v>0.25</v>
      </c>
      <c r="AF3617">
        <v>0</v>
      </c>
      <c r="AG3617">
        <v>0</v>
      </c>
      <c r="AH3617">
        <v>0.25</v>
      </c>
      <c r="AI3617">
        <v>11.75</v>
      </c>
      <c r="AJ3617">
        <v>12</v>
      </c>
      <c r="AM3617">
        <v>0</v>
      </c>
      <c r="AN3617">
        <v>185.67</v>
      </c>
      <c r="AP3617">
        <v>14</v>
      </c>
    </row>
    <row r="3618" spans="1:42" x14ac:dyDescent="0.25">
      <c r="A3618" t="s">
        <v>46</v>
      </c>
      <c r="B3618">
        <v>4</v>
      </c>
      <c r="C3618" t="s">
        <v>2482</v>
      </c>
      <c r="D3618" s="39">
        <v>46114</v>
      </c>
      <c r="E3618" t="s">
        <v>200</v>
      </c>
      <c r="F3618" t="s">
        <v>79</v>
      </c>
      <c r="G3618">
        <v>22</v>
      </c>
      <c r="H3618" t="s">
        <v>123</v>
      </c>
      <c r="I3618" t="s">
        <v>79</v>
      </c>
      <c r="J3618">
        <v>250</v>
      </c>
      <c r="K3618" t="s">
        <v>79</v>
      </c>
      <c r="L3618">
        <v>4</v>
      </c>
      <c r="M3618">
        <v>252.78</v>
      </c>
      <c r="N3618">
        <v>10.8</v>
      </c>
      <c r="Q3618">
        <v>241.98</v>
      </c>
      <c r="R3618" t="s">
        <v>2483</v>
      </c>
      <c r="V3618">
        <v>0</v>
      </c>
      <c r="W3618">
        <v>0</v>
      </c>
      <c r="AF3618">
        <v>0</v>
      </c>
      <c r="AG3618">
        <v>0</v>
      </c>
      <c r="AH3618">
        <v>0</v>
      </c>
      <c r="AI3618">
        <v>12</v>
      </c>
      <c r="AJ3618">
        <v>12</v>
      </c>
      <c r="AM3618">
        <v>0</v>
      </c>
      <c r="AN3618">
        <v>257.77999999999997</v>
      </c>
      <c r="AP3618">
        <v>14</v>
      </c>
    </row>
    <row r="3619" spans="1:42" x14ac:dyDescent="0.25">
      <c r="A3619" t="s">
        <v>46</v>
      </c>
      <c r="B3619">
        <v>4</v>
      </c>
      <c r="C3619" t="s">
        <v>2484</v>
      </c>
      <c r="D3619" s="39">
        <v>46114</v>
      </c>
      <c r="E3619" t="s">
        <v>828</v>
      </c>
      <c r="F3619" t="s">
        <v>79</v>
      </c>
      <c r="G3619">
        <v>22</v>
      </c>
      <c r="H3619" t="s">
        <v>534</v>
      </c>
      <c r="I3619" t="s">
        <v>79</v>
      </c>
      <c r="J3619">
        <v>125</v>
      </c>
      <c r="K3619" t="s">
        <v>79</v>
      </c>
      <c r="L3619">
        <v>3</v>
      </c>
      <c r="M3619">
        <v>137.45000000000002</v>
      </c>
      <c r="N3619">
        <v>8.1000000000000014</v>
      </c>
      <c r="Q3619">
        <v>129.35000000000002</v>
      </c>
      <c r="R3619" t="s">
        <v>2485</v>
      </c>
      <c r="V3619">
        <v>0</v>
      </c>
      <c r="W3619">
        <v>0</v>
      </c>
      <c r="AF3619">
        <v>0</v>
      </c>
      <c r="AG3619">
        <v>0</v>
      </c>
      <c r="AH3619">
        <v>0</v>
      </c>
      <c r="AI3619">
        <v>12</v>
      </c>
      <c r="AJ3619">
        <v>12</v>
      </c>
      <c r="AM3619">
        <v>0</v>
      </c>
      <c r="AN3619">
        <v>142.45000000000002</v>
      </c>
      <c r="AP3619">
        <v>14</v>
      </c>
    </row>
    <row r="3620" spans="1:42" x14ac:dyDescent="0.25">
      <c r="A3620" t="s">
        <v>45</v>
      </c>
      <c r="B3620">
        <v>5</v>
      </c>
      <c r="C3620" t="s">
        <v>2472</v>
      </c>
      <c r="D3620" s="39">
        <v>46114</v>
      </c>
      <c r="E3620" t="s">
        <v>486</v>
      </c>
      <c r="F3620" t="s">
        <v>79</v>
      </c>
      <c r="G3620">
        <v>14</v>
      </c>
      <c r="H3620">
        <v>5</v>
      </c>
      <c r="I3620" t="s">
        <v>79</v>
      </c>
      <c r="J3620">
        <v>1500</v>
      </c>
      <c r="K3620" t="s">
        <v>79</v>
      </c>
      <c r="L3620">
        <v>10</v>
      </c>
      <c r="M3620">
        <v>600.70000000000005</v>
      </c>
      <c r="N3620">
        <v>14</v>
      </c>
      <c r="O3620">
        <v>8</v>
      </c>
      <c r="Q3620">
        <v>586.70000000000005</v>
      </c>
      <c r="R3620" t="s">
        <v>2473</v>
      </c>
      <c r="V3620">
        <v>0</v>
      </c>
      <c r="W3620">
        <v>0</v>
      </c>
      <c r="AF3620">
        <v>0</v>
      </c>
      <c r="AG3620">
        <v>0</v>
      </c>
      <c r="AH3620">
        <v>0</v>
      </c>
      <c r="AI3620">
        <v>12</v>
      </c>
      <c r="AJ3620">
        <v>12</v>
      </c>
      <c r="AM3620">
        <v>0</v>
      </c>
      <c r="AN3620">
        <v>605.70000000000005</v>
      </c>
      <c r="AP3620">
        <v>14</v>
      </c>
    </row>
    <row r="3621" spans="1:42" x14ac:dyDescent="0.25">
      <c r="A3621" t="s">
        <v>46</v>
      </c>
      <c r="B3621">
        <v>5</v>
      </c>
      <c r="C3621" t="s">
        <v>2472</v>
      </c>
      <c r="D3621" s="39">
        <v>46114</v>
      </c>
      <c r="E3621" t="s">
        <v>486</v>
      </c>
      <c r="F3621" t="s">
        <v>79</v>
      </c>
      <c r="G3621">
        <v>14</v>
      </c>
      <c r="H3621">
        <v>5</v>
      </c>
      <c r="I3621" t="s">
        <v>79</v>
      </c>
      <c r="J3621">
        <v>1500</v>
      </c>
      <c r="K3621" t="s">
        <v>79</v>
      </c>
      <c r="L3621">
        <v>4</v>
      </c>
      <c r="M3621">
        <v>243.67999999999998</v>
      </c>
      <c r="N3621">
        <v>6.4</v>
      </c>
      <c r="Q3621">
        <v>237.27999999999997</v>
      </c>
      <c r="R3621" t="s">
        <v>2473</v>
      </c>
      <c r="S3621">
        <v>20</v>
      </c>
      <c r="V3621">
        <v>20</v>
      </c>
      <c r="W3621">
        <v>0.33333333333333331</v>
      </c>
      <c r="AF3621">
        <v>0</v>
      </c>
      <c r="AG3621">
        <v>0</v>
      </c>
      <c r="AH3621">
        <v>0.33333333333333331</v>
      </c>
      <c r="AI3621">
        <v>11.666666666666666</v>
      </c>
      <c r="AJ3621">
        <v>12</v>
      </c>
      <c r="AM3621">
        <v>0</v>
      </c>
      <c r="AN3621">
        <v>248.68</v>
      </c>
      <c r="AP3621">
        <v>14</v>
      </c>
    </row>
    <row r="3622" spans="1:42" x14ac:dyDescent="0.25">
      <c r="A3622" t="s">
        <v>46</v>
      </c>
      <c r="B3622">
        <v>5</v>
      </c>
      <c r="C3622" t="s">
        <v>2486</v>
      </c>
      <c r="D3622" s="39">
        <v>46114</v>
      </c>
      <c r="E3622" t="s">
        <v>486</v>
      </c>
      <c r="F3622" t="s">
        <v>79</v>
      </c>
      <c r="G3622">
        <v>9</v>
      </c>
      <c r="H3622" t="s">
        <v>113</v>
      </c>
      <c r="I3622" t="s">
        <v>79</v>
      </c>
      <c r="J3622">
        <v>1500</v>
      </c>
      <c r="K3622" t="s">
        <v>79</v>
      </c>
      <c r="L3622">
        <v>4</v>
      </c>
      <c r="M3622">
        <v>169.20000000000002</v>
      </c>
      <c r="N3622">
        <v>4.4000000000000004</v>
      </c>
      <c r="Q3622">
        <v>164.8</v>
      </c>
      <c r="R3622" t="s">
        <v>2487</v>
      </c>
      <c r="V3622">
        <v>0</v>
      </c>
      <c r="W3622">
        <v>0</v>
      </c>
      <c r="AF3622">
        <v>0</v>
      </c>
      <c r="AG3622">
        <v>0</v>
      </c>
      <c r="AH3622">
        <v>0</v>
      </c>
      <c r="AI3622">
        <v>12</v>
      </c>
      <c r="AJ3622">
        <v>12</v>
      </c>
      <c r="AM3622">
        <v>0</v>
      </c>
      <c r="AN3622">
        <v>174.20000000000002</v>
      </c>
      <c r="AP3622">
        <v>14</v>
      </c>
    </row>
    <row r="3623" spans="1:42" x14ac:dyDescent="0.25">
      <c r="A3623" t="s">
        <v>45</v>
      </c>
      <c r="B3623">
        <v>1</v>
      </c>
      <c r="C3623" t="s">
        <v>2474</v>
      </c>
      <c r="D3623" s="39">
        <v>46115</v>
      </c>
      <c r="E3623" t="s">
        <v>486</v>
      </c>
      <c r="F3623" t="s">
        <v>79</v>
      </c>
      <c r="G3623">
        <v>3</v>
      </c>
      <c r="H3623" t="s">
        <v>92</v>
      </c>
      <c r="I3623" t="s">
        <v>79</v>
      </c>
      <c r="J3623">
        <v>1000</v>
      </c>
      <c r="K3623" t="s">
        <v>79</v>
      </c>
      <c r="L3623">
        <v>7</v>
      </c>
      <c r="M3623">
        <v>134.52999999999997</v>
      </c>
      <c r="N3623">
        <v>2.1</v>
      </c>
      <c r="O3623">
        <v>13</v>
      </c>
      <c r="Q3623">
        <v>132.42999999999998</v>
      </c>
      <c r="R3623" t="s">
        <v>2513</v>
      </c>
      <c r="V3623">
        <v>0</v>
      </c>
      <c r="W3623">
        <v>0</v>
      </c>
      <c r="AF3623">
        <v>0</v>
      </c>
      <c r="AG3623">
        <v>0</v>
      </c>
      <c r="AH3623">
        <v>0</v>
      </c>
      <c r="AI3623">
        <v>12</v>
      </c>
      <c r="AJ3623">
        <v>12</v>
      </c>
      <c r="AM3623">
        <v>0</v>
      </c>
      <c r="AN3623">
        <v>139.52999999999997</v>
      </c>
      <c r="AP3623">
        <v>14</v>
      </c>
    </row>
    <row r="3624" spans="1:42" x14ac:dyDescent="0.25">
      <c r="A3624" t="s">
        <v>46</v>
      </c>
      <c r="B3624">
        <v>1</v>
      </c>
      <c r="C3624" t="s">
        <v>2474</v>
      </c>
      <c r="D3624" s="39">
        <v>46115</v>
      </c>
      <c r="E3624" t="s">
        <v>486</v>
      </c>
      <c r="F3624" t="s">
        <v>79</v>
      </c>
      <c r="G3624">
        <v>3</v>
      </c>
      <c r="H3624" t="s">
        <v>92</v>
      </c>
      <c r="I3624" t="s">
        <v>79</v>
      </c>
      <c r="J3624">
        <v>1000</v>
      </c>
      <c r="K3624" t="s">
        <v>79</v>
      </c>
      <c r="L3624">
        <v>7</v>
      </c>
      <c r="M3624">
        <v>132.35999999999999</v>
      </c>
      <c r="N3624">
        <v>2.1</v>
      </c>
      <c r="O3624">
        <v>5</v>
      </c>
      <c r="Q3624">
        <v>130.26</v>
      </c>
      <c r="R3624" t="s">
        <v>2513</v>
      </c>
      <c r="V3624">
        <v>0</v>
      </c>
      <c r="W3624">
        <v>0</v>
      </c>
      <c r="AF3624">
        <v>0</v>
      </c>
      <c r="AG3624">
        <v>0</v>
      </c>
      <c r="AH3624">
        <v>0</v>
      </c>
      <c r="AI3624">
        <v>12</v>
      </c>
      <c r="AJ3624">
        <v>12</v>
      </c>
      <c r="AM3624">
        <v>0</v>
      </c>
      <c r="AN3624">
        <v>137.36000000000001</v>
      </c>
      <c r="AP3624">
        <v>14</v>
      </c>
    </row>
    <row r="3625" spans="1:42" x14ac:dyDescent="0.25">
      <c r="A3625" t="s">
        <v>45</v>
      </c>
      <c r="B3625">
        <v>2</v>
      </c>
      <c r="C3625" t="s">
        <v>2475</v>
      </c>
      <c r="D3625" s="39">
        <v>46115</v>
      </c>
      <c r="E3625" t="s">
        <v>486</v>
      </c>
      <c r="F3625" t="s">
        <v>79</v>
      </c>
      <c r="G3625">
        <v>4</v>
      </c>
      <c r="H3625" t="s">
        <v>113</v>
      </c>
      <c r="I3625" t="s">
        <v>79</v>
      </c>
      <c r="J3625">
        <v>2000</v>
      </c>
      <c r="L3625">
        <v>9</v>
      </c>
      <c r="M3625">
        <v>168.61999999999998</v>
      </c>
      <c r="N3625">
        <v>3.6</v>
      </c>
      <c r="Q3625">
        <v>165.01999999999998</v>
      </c>
      <c r="R3625" t="s">
        <v>2514</v>
      </c>
      <c r="V3625">
        <v>0</v>
      </c>
      <c r="W3625">
        <v>0</v>
      </c>
      <c r="AF3625">
        <v>0</v>
      </c>
      <c r="AG3625">
        <v>0</v>
      </c>
      <c r="AH3625">
        <v>0</v>
      </c>
      <c r="AI3625">
        <v>12</v>
      </c>
      <c r="AJ3625">
        <v>12</v>
      </c>
      <c r="AM3625">
        <v>0</v>
      </c>
      <c r="AN3625">
        <v>173.61999999999998</v>
      </c>
      <c r="AP3625">
        <v>14</v>
      </c>
    </row>
    <row r="3626" spans="1:42" x14ac:dyDescent="0.25">
      <c r="A3626" t="s">
        <v>46</v>
      </c>
      <c r="B3626">
        <v>2</v>
      </c>
      <c r="C3626" t="s">
        <v>2475</v>
      </c>
      <c r="D3626" s="39">
        <v>46115</v>
      </c>
      <c r="E3626" t="s">
        <v>486</v>
      </c>
      <c r="F3626" t="s">
        <v>79</v>
      </c>
      <c r="G3626">
        <v>4</v>
      </c>
      <c r="H3626" t="s">
        <v>113</v>
      </c>
      <c r="I3626" t="s">
        <v>79</v>
      </c>
      <c r="J3626">
        <v>2000</v>
      </c>
      <c r="L3626">
        <v>9</v>
      </c>
      <c r="M3626">
        <v>172.6</v>
      </c>
      <c r="N3626">
        <v>3.6</v>
      </c>
      <c r="Q3626">
        <v>169</v>
      </c>
      <c r="R3626" t="s">
        <v>2514</v>
      </c>
      <c r="V3626">
        <v>0</v>
      </c>
      <c r="W3626">
        <v>0</v>
      </c>
      <c r="AF3626">
        <v>0</v>
      </c>
      <c r="AG3626">
        <v>0</v>
      </c>
      <c r="AH3626">
        <v>0</v>
      </c>
      <c r="AI3626">
        <v>12</v>
      </c>
      <c r="AJ3626">
        <v>12</v>
      </c>
      <c r="AM3626">
        <v>0</v>
      </c>
      <c r="AN3626">
        <v>177.6</v>
      </c>
      <c r="AP3626">
        <v>14</v>
      </c>
    </row>
    <row r="3627" spans="1:42" x14ac:dyDescent="0.25">
      <c r="A3627" t="s">
        <v>45</v>
      </c>
      <c r="B3627">
        <v>4</v>
      </c>
      <c r="C3627" t="s">
        <v>2488</v>
      </c>
      <c r="D3627" s="39">
        <v>46115</v>
      </c>
      <c r="E3627" t="s">
        <v>276</v>
      </c>
      <c r="F3627" t="s">
        <v>79</v>
      </c>
      <c r="G3627">
        <v>24</v>
      </c>
      <c r="H3627" t="s">
        <v>113</v>
      </c>
      <c r="I3627" t="s">
        <v>79</v>
      </c>
      <c r="J3627" t="s">
        <v>81</v>
      </c>
      <c r="L3627">
        <v>12</v>
      </c>
      <c r="M3627">
        <v>780.40999999999985</v>
      </c>
      <c r="N3627">
        <v>36</v>
      </c>
      <c r="Q3627">
        <v>744.40999999999985</v>
      </c>
      <c r="R3627" t="s">
        <v>2489</v>
      </c>
      <c r="V3627">
        <v>0</v>
      </c>
      <c r="W3627">
        <v>0</v>
      </c>
      <c r="AF3627">
        <v>0</v>
      </c>
      <c r="AG3627">
        <v>0</v>
      </c>
      <c r="AH3627">
        <v>0</v>
      </c>
      <c r="AI3627">
        <v>12</v>
      </c>
      <c r="AJ3627">
        <v>12</v>
      </c>
      <c r="AM3627">
        <v>0</v>
      </c>
      <c r="AN3627">
        <v>785.40999999999985</v>
      </c>
      <c r="AP3627">
        <v>14</v>
      </c>
    </row>
    <row r="3628" spans="1:42" x14ac:dyDescent="0.25">
      <c r="A3628" t="s">
        <v>46</v>
      </c>
      <c r="B3628">
        <v>4</v>
      </c>
      <c r="C3628" t="s">
        <v>2488</v>
      </c>
      <c r="D3628" s="39">
        <v>46115</v>
      </c>
      <c r="E3628" t="s">
        <v>276</v>
      </c>
      <c r="F3628" t="s">
        <v>79</v>
      </c>
      <c r="G3628">
        <v>24</v>
      </c>
      <c r="H3628" t="s">
        <v>113</v>
      </c>
      <c r="I3628" t="s">
        <v>79</v>
      </c>
      <c r="J3628" t="s">
        <v>81</v>
      </c>
      <c r="L3628">
        <v>11</v>
      </c>
      <c r="M3628">
        <v>746.55999999999983</v>
      </c>
      <c r="N3628">
        <v>33</v>
      </c>
      <c r="Q3628">
        <v>713.55999999999983</v>
      </c>
      <c r="R3628" t="s">
        <v>2489</v>
      </c>
      <c r="V3628">
        <v>0</v>
      </c>
      <c r="W3628">
        <v>0</v>
      </c>
      <c r="AF3628">
        <v>0</v>
      </c>
      <c r="AG3628">
        <v>0</v>
      </c>
      <c r="AH3628">
        <v>0</v>
      </c>
      <c r="AI3628">
        <v>12</v>
      </c>
      <c r="AJ3628">
        <v>12</v>
      </c>
      <c r="AM3628">
        <v>0</v>
      </c>
      <c r="AN3628">
        <v>751.55999999999983</v>
      </c>
      <c r="AP3628">
        <v>14</v>
      </c>
    </row>
    <row r="3629" spans="1:42" x14ac:dyDescent="0.25">
      <c r="A3629" t="s">
        <v>45</v>
      </c>
      <c r="B3629">
        <v>5</v>
      </c>
      <c r="C3629" t="s">
        <v>2486</v>
      </c>
      <c r="D3629" s="39">
        <v>46115</v>
      </c>
      <c r="E3629" t="s">
        <v>486</v>
      </c>
      <c r="F3629" t="s">
        <v>79</v>
      </c>
      <c r="G3629">
        <v>9</v>
      </c>
      <c r="H3629" t="s">
        <v>113</v>
      </c>
      <c r="I3629" t="s">
        <v>79</v>
      </c>
      <c r="J3629">
        <v>1500</v>
      </c>
      <c r="L3629">
        <v>9</v>
      </c>
      <c r="M3629">
        <v>424.49</v>
      </c>
      <c r="N3629">
        <v>8.1</v>
      </c>
      <c r="Q3629">
        <v>416.39</v>
      </c>
      <c r="R3629" t="s">
        <v>2487</v>
      </c>
      <c r="V3629">
        <v>0</v>
      </c>
      <c r="W3629">
        <v>0</v>
      </c>
      <c r="AF3629">
        <v>0</v>
      </c>
      <c r="AG3629">
        <v>0</v>
      </c>
      <c r="AH3629">
        <v>0</v>
      </c>
      <c r="AI3629">
        <v>12</v>
      </c>
      <c r="AJ3629">
        <v>12</v>
      </c>
      <c r="AM3629">
        <v>0</v>
      </c>
      <c r="AN3629">
        <v>429.49</v>
      </c>
      <c r="AP3629">
        <v>14</v>
      </c>
    </row>
    <row r="3630" spans="1:42" x14ac:dyDescent="0.25">
      <c r="A3630" t="s">
        <v>46</v>
      </c>
      <c r="B3630">
        <v>5</v>
      </c>
      <c r="C3630" t="s">
        <v>2486</v>
      </c>
      <c r="D3630" s="39">
        <v>46115</v>
      </c>
      <c r="E3630" t="s">
        <v>486</v>
      </c>
      <c r="F3630" t="s">
        <v>79</v>
      </c>
      <c r="G3630">
        <v>9</v>
      </c>
      <c r="H3630" t="s">
        <v>113</v>
      </c>
      <c r="I3630" t="s">
        <v>79</v>
      </c>
      <c r="J3630">
        <v>1500</v>
      </c>
      <c r="L3630">
        <v>9</v>
      </c>
      <c r="M3630">
        <v>424.43999999999994</v>
      </c>
      <c r="N3630">
        <v>8.1</v>
      </c>
      <c r="Q3630">
        <v>416.33999999999992</v>
      </c>
      <c r="R3630" t="s">
        <v>2487</v>
      </c>
      <c r="V3630">
        <v>0</v>
      </c>
      <c r="W3630">
        <v>0</v>
      </c>
      <c r="AF3630">
        <v>0</v>
      </c>
      <c r="AG3630">
        <v>0</v>
      </c>
      <c r="AH3630">
        <v>0</v>
      </c>
      <c r="AI3630">
        <v>12</v>
      </c>
      <c r="AJ3630">
        <v>12</v>
      </c>
      <c r="AM3630">
        <v>0</v>
      </c>
      <c r="AN3630">
        <v>429.43999999999994</v>
      </c>
      <c r="AP3630">
        <v>14</v>
      </c>
    </row>
    <row r="3631" spans="1:42" x14ac:dyDescent="0.25">
      <c r="A3631" t="s">
        <v>45</v>
      </c>
      <c r="B3631">
        <v>1</v>
      </c>
      <c r="C3631" t="s">
        <v>2474</v>
      </c>
      <c r="D3631" s="39">
        <v>46116</v>
      </c>
      <c r="E3631" t="s">
        <v>486</v>
      </c>
      <c r="F3631" t="s">
        <v>79</v>
      </c>
      <c r="G3631">
        <v>3</v>
      </c>
      <c r="H3631" t="s">
        <v>92</v>
      </c>
      <c r="I3631" t="s">
        <v>79</v>
      </c>
      <c r="J3631">
        <v>1000</v>
      </c>
      <c r="L3631">
        <v>7</v>
      </c>
      <c r="M3631">
        <v>115.81</v>
      </c>
      <c r="N3631">
        <v>2.1</v>
      </c>
      <c r="Q3631">
        <v>113.71000000000001</v>
      </c>
      <c r="R3631" t="s">
        <v>2513</v>
      </c>
      <c r="V3631">
        <v>0</v>
      </c>
      <c r="W3631">
        <v>0</v>
      </c>
      <c r="AD3631">
        <v>30</v>
      </c>
      <c r="AF3631">
        <v>30</v>
      </c>
      <c r="AG3631">
        <v>0.5</v>
      </c>
      <c r="AH3631">
        <v>0.5</v>
      </c>
      <c r="AI3631">
        <v>11.5</v>
      </c>
      <c r="AJ3631">
        <v>12</v>
      </c>
      <c r="AM3631">
        <v>0</v>
      </c>
      <c r="AN3631">
        <v>120.81</v>
      </c>
      <c r="AP3631">
        <v>14</v>
      </c>
    </row>
    <row r="3632" spans="1:42" x14ac:dyDescent="0.25">
      <c r="A3632" t="s">
        <v>46</v>
      </c>
      <c r="B3632">
        <v>1</v>
      </c>
      <c r="C3632" t="s">
        <v>2474</v>
      </c>
      <c r="D3632" s="39">
        <v>46116</v>
      </c>
      <c r="E3632" t="s">
        <v>486</v>
      </c>
      <c r="F3632" t="s">
        <v>79</v>
      </c>
      <c r="G3632">
        <v>3</v>
      </c>
      <c r="H3632" t="s">
        <v>92</v>
      </c>
      <c r="I3632" t="s">
        <v>79</v>
      </c>
      <c r="J3632">
        <v>1000</v>
      </c>
      <c r="L3632">
        <v>6</v>
      </c>
      <c r="M3632">
        <v>115.41999999999999</v>
      </c>
      <c r="N3632">
        <v>1.7999999999999998</v>
      </c>
      <c r="Q3632">
        <v>113.61999999999999</v>
      </c>
      <c r="R3632" t="s">
        <v>2513</v>
      </c>
      <c r="V3632">
        <v>0</v>
      </c>
      <c r="W3632">
        <v>0</v>
      </c>
      <c r="AF3632">
        <v>0</v>
      </c>
      <c r="AG3632">
        <v>0</v>
      </c>
      <c r="AH3632">
        <v>0</v>
      </c>
      <c r="AI3632">
        <v>12</v>
      </c>
      <c r="AJ3632">
        <v>12</v>
      </c>
      <c r="AM3632">
        <v>0</v>
      </c>
      <c r="AN3632">
        <v>120.42</v>
      </c>
      <c r="AP3632">
        <v>14</v>
      </c>
    </row>
    <row r="3633" spans="1:42" x14ac:dyDescent="0.25">
      <c r="A3633" t="s">
        <v>45</v>
      </c>
      <c r="B3633">
        <v>2</v>
      </c>
      <c r="C3633" t="s">
        <v>2475</v>
      </c>
      <c r="D3633" s="39">
        <v>46116</v>
      </c>
      <c r="E3633" t="s">
        <v>486</v>
      </c>
      <c r="F3633" t="s">
        <v>79</v>
      </c>
      <c r="G3633">
        <v>4</v>
      </c>
      <c r="H3633" t="s">
        <v>113</v>
      </c>
      <c r="I3633" t="s">
        <v>79</v>
      </c>
      <c r="J3633">
        <v>2000</v>
      </c>
      <c r="L3633">
        <v>9</v>
      </c>
      <c r="M3633">
        <v>165.52</v>
      </c>
      <c r="N3633">
        <v>3.6</v>
      </c>
      <c r="Q3633">
        <v>161.92000000000002</v>
      </c>
      <c r="R3633" t="s">
        <v>2514</v>
      </c>
      <c r="V3633">
        <v>0</v>
      </c>
      <c r="W3633">
        <v>0</v>
      </c>
      <c r="AF3633">
        <v>0</v>
      </c>
      <c r="AG3633">
        <v>0</v>
      </c>
      <c r="AH3633">
        <v>0</v>
      </c>
      <c r="AI3633">
        <v>12</v>
      </c>
      <c r="AJ3633">
        <v>12</v>
      </c>
      <c r="AM3633">
        <v>0</v>
      </c>
      <c r="AN3633">
        <v>170.52</v>
      </c>
      <c r="AP3633">
        <v>14</v>
      </c>
    </row>
    <row r="3634" spans="1:42" x14ac:dyDescent="0.25">
      <c r="A3634" t="s">
        <v>46</v>
      </c>
      <c r="B3634">
        <v>2</v>
      </c>
      <c r="C3634" t="s">
        <v>2475</v>
      </c>
      <c r="D3634" s="39">
        <v>46116</v>
      </c>
      <c r="E3634" t="s">
        <v>486</v>
      </c>
      <c r="F3634" t="s">
        <v>79</v>
      </c>
      <c r="G3634">
        <v>4</v>
      </c>
      <c r="H3634" t="s">
        <v>113</v>
      </c>
      <c r="I3634" t="s">
        <v>79</v>
      </c>
      <c r="J3634">
        <v>2000</v>
      </c>
      <c r="L3634">
        <v>9</v>
      </c>
      <c r="M3634">
        <v>172.7</v>
      </c>
      <c r="N3634">
        <v>3.2</v>
      </c>
      <c r="Q3634">
        <v>169.5</v>
      </c>
      <c r="R3634" t="s">
        <v>2514</v>
      </c>
      <c r="V3634">
        <v>0</v>
      </c>
      <c r="W3634">
        <v>0</v>
      </c>
      <c r="AD3634">
        <v>20</v>
      </c>
      <c r="AF3634">
        <v>20</v>
      </c>
      <c r="AG3634">
        <v>0.33333333333333331</v>
      </c>
      <c r="AH3634">
        <v>0.33333333333333331</v>
      </c>
      <c r="AI3634">
        <v>11.666666666666666</v>
      </c>
      <c r="AJ3634">
        <v>12</v>
      </c>
      <c r="AM3634">
        <v>0</v>
      </c>
      <c r="AN3634">
        <v>177.7</v>
      </c>
      <c r="AP3634">
        <v>14</v>
      </c>
    </row>
    <row r="3635" spans="1:42" x14ac:dyDescent="0.25">
      <c r="A3635" t="s">
        <v>45</v>
      </c>
      <c r="B3635">
        <v>4</v>
      </c>
      <c r="C3635" t="s">
        <v>2488</v>
      </c>
      <c r="D3635" s="39">
        <v>46116</v>
      </c>
      <c r="E3635" t="s">
        <v>276</v>
      </c>
      <c r="F3635" t="s">
        <v>79</v>
      </c>
      <c r="G3635">
        <v>24</v>
      </c>
      <c r="H3635" t="s">
        <v>113</v>
      </c>
      <c r="I3635" t="s">
        <v>79</v>
      </c>
      <c r="J3635" t="s">
        <v>81</v>
      </c>
      <c r="L3635">
        <v>4</v>
      </c>
      <c r="M3635">
        <v>270.97000000000003</v>
      </c>
      <c r="N3635">
        <v>9.6</v>
      </c>
      <c r="Q3635">
        <v>261.37</v>
      </c>
      <c r="R3635" t="s">
        <v>2489</v>
      </c>
      <c r="V3635">
        <v>0</v>
      </c>
      <c r="W3635">
        <v>0</v>
      </c>
      <c r="AF3635">
        <v>0</v>
      </c>
      <c r="AG3635">
        <v>0</v>
      </c>
      <c r="AH3635">
        <v>0</v>
      </c>
      <c r="AI3635">
        <v>12</v>
      </c>
      <c r="AJ3635">
        <v>12</v>
      </c>
      <c r="AM3635">
        <v>0</v>
      </c>
      <c r="AN3635">
        <v>275.97000000000003</v>
      </c>
      <c r="AP3635">
        <v>14</v>
      </c>
    </row>
    <row r="3636" spans="1:42" x14ac:dyDescent="0.25">
      <c r="A3636" t="s">
        <v>45</v>
      </c>
      <c r="B3636">
        <v>4</v>
      </c>
      <c r="C3636" t="s">
        <v>2490</v>
      </c>
      <c r="D3636" s="39">
        <v>46116</v>
      </c>
      <c r="E3636" t="s">
        <v>952</v>
      </c>
      <c r="F3636" t="s">
        <v>79</v>
      </c>
      <c r="G3636">
        <v>15</v>
      </c>
      <c r="H3636" t="s">
        <v>102</v>
      </c>
      <c r="I3636" t="s">
        <v>79</v>
      </c>
      <c r="J3636">
        <v>100</v>
      </c>
      <c r="L3636">
        <v>6</v>
      </c>
      <c r="M3636">
        <v>268.25</v>
      </c>
      <c r="N3636">
        <v>9</v>
      </c>
      <c r="Q3636">
        <v>259.25</v>
      </c>
      <c r="R3636" t="s">
        <v>2491</v>
      </c>
      <c r="V3636">
        <v>0</v>
      </c>
      <c r="W3636">
        <v>0</v>
      </c>
      <c r="AF3636">
        <v>0</v>
      </c>
      <c r="AG3636">
        <v>0</v>
      </c>
      <c r="AH3636">
        <v>0</v>
      </c>
      <c r="AI3636">
        <v>12</v>
      </c>
      <c r="AJ3636">
        <v>12</v>
      </c>
      <c r="AM3636">
        <v>0</v>
      </c>
      <c r="AN3636">
        <v>273.25</v>
      </c>
      <c r="AP3636">
        <v>14</v>
      </c>
    </row>
    <row r="3637" spans="1:42" x14ac:dyDescent="0.25">
      <c r="A3637" t="s">
        <v>45</v>
      </c>
      <c r="B3637">
        <v>4</v>
      </c>
      <c r="C3637" t="s">
        <v>2492</v>
      </c>
      <c r="D3637" s="39">
        <v>46116</v>
      </c>
      <c r="E3637" t="s">
        <v>2493</v>
      </c>
      <c r="F3637" t="s">
        <v>79</v>
      </c>
      <c r="G3637">
        <v>15</v>
      </c>
      <c r="H3637" t="s">
        <v>534</v>
      </c>
      <c r="I3637" t="s">
        <v>79</v>
      </c>
      <c r="J3637">
        <v>125</v>
      </c>
      <c r="L3637">
        <v>3</v>
      </c>
      <c r="M3637">
        <v>151.94999999999999</v>
      </c>
      <c r="N3637">
        <v>4.5</v>
      </c>
      <c r="O3637">
        <v>10</v>
      </c>
      <c r="Q3637">
        <v>147.44999999999999</v>
      </c>
      <c r="R3637" t="s">
        <v>2494</v>
      </c>
      <c r="S3637">
        <v>30</v>
      </c>
      <c r="V3637">
        <v>30</v>
      </c>
      <c r="W3637">
        <v>0.5</v>
      </c>
      <c r="AF3637">
        <v>0</v>
      </c>
      <c r="AG3637">
        <v>0</v>
      </c>
      <c r="AH3637">
        <v>0.5</v>
      </c>
      <c r="AI3637">
        <v>11.5</v>
      </c>
      <c r="AJ3637">
        <v>12</v>
      </c>
      <c r="AM3637">
        <v>0</v>
      </c>
      <c r="AN3637">
        <v>156.94999999999999</v>
      </c>
      <c r="AP3637">
        <v>14</v>
      </c>
    </row>
    <row r="3638" spans="1:42" x14ac:dyDescent="0.25">
      <c r="A3638" t="s">
        <v>46</v>
      </c>
      <c r="B3638">
        <v>4</v>
      </c>
      <c r="C3638" t="s">
        <v>2492</v>
      </c>
      <c r="D3638" s="39">
        <v>46116</v>
      </c>
      <c r="E3638" t="s">
        <v>2493</v>
      </c>
      <c r="F3638" t="s">
        <v>79</v>
      </c>
      <c r="G3638">
        <v>15</v>
      </c>
      <c r="H3638" t="s">
        <v>534</v>
      </c>
      <c r="I3638" t="s">
        <v>79</v>
      </c>
      <c r="J3638">
        <v>125</v>
      </c>
      <c r="L3638">
        <v>2</v>
      </c>
      <c r="M3638">
        <v>130.81</v>
      </c>
      <c r="N3638">
        <v>3.4</v>
      </c>
      <c r="O3638">
        <v>14</v>
      </c>
      <c r="Q3638">
        <v>127.41</v>
      </c>
      <c r="R3638" t="s">
        <v>2494</v>
      </c>
      <c r="V3638">
        <v>0</v>
      </c>
      <c r="W3638">
        <v>0</v>
      </c>
      <c r="AF3638">
        <v>0</v>
      </c>
      <c r="AG3638">
        <v>0</v>
      </c>
      <c r="AH3638">
        <v>0</v>
      </c>
      <c r="AI3638">
        <v>12</v>
      </c>
      <c r="AJ3638">
        <v>12</v>
      </c>
      <c r="AM3638">
        <v>0</v>
      </c>
      <c r="AN3638">
        <v>135.81</v>
      </c>
      <c r="AP3638">
        <v>14</v>
      </c>
    </row>
    <row r="3639" spans="1:42" x14ac:dyDescent="0.25">
      <c r="A3639" t="s">
        <v>46</v>
      </c>
      <c r="B3639">
        <v>4</v>
      </c>
      <c r="C3639" t="s">
        <v>2495</v>
      </c>
      <c r="D3639" s="39">
        <v>46116</v>
      </c>
      <c r="E3639" t="s">
        <v>396</v>
      </c>
      <c r="F3639" t="s">
        <v>79</v>
      </c>
      <c r="G3639">
        <v>15</v>
      </c>
      <c r="H3639" t="s">
        <v>92</v>
      </c>
      <c r="I3639" t="s">
        <v>79</v>
      </c>
      <c r="J3639">
        <v>3000</v>
      </c>
      <c r="L3639">
        <v>11</v>
      </c>
      <c r="M3639">
        <v>612.53</v>
      </c>
      <c r="N3639">
        <v>16.5</v>
      </c>
      <c r="Q3639">
        <v>596.03</v>
      </c>
      <c r="R3639" t="s">
        <v>2515</v>
      </c>
      <c r="V3639">
        <v>0</v>
      </c>
      <c r="W3639">
        <v>0</v>
      </c>
      <c r="AF3639">
        <v>0</v>
      </c>
      <c r="AG3639">
        <v>0</v>
      </c>
      <c r="AH3639">
        <v>0</v>
      </c>
      <c r="AI3639">
        <v>12</v>
      </c>
      <c r="AJ3639">
        <v>12</v>
      </c>
      <c r="AM3639">
        <v>0</v>
      </c>
      <c r="AN3639">
        <v>617.53</v>
      </c>
      <c r="AP3639">
        <v>14</v>
      </c>
    </row>
    <row r="3640" spans="1:42" x14ac:dyDescent="0.25">
      <c r="A3640" t="s">
        <v>45</v>
      </c>
      <c r="B3640">
        <v>5</v>
      </c>
      <c r="C3640" t="s">
        <v>2486</v>
      </c>
      <c r="D3640" s="39">
        <v>46116</v>
      </c>
      <c r="E3640" t="s">
        <v>486</v>
      </c>
      <c r="F3640" t="s">
        <v>79</v>
      </c>
      <c r="G3640">
        <v>9</v>
      </c>
      <c r="H3640" t="s">
        <v>113</v>
      </c>
      <c r="I3640" t="s">
        <v>79</v>
      </c>
      <c r="J3640">
        <v>1500</v>
      </c>
      <c r="L3640">
        <v>6</v>
      </c>
      <c r="M3640">
        <v>285.53999999999996</v>
      </c>
      <c r="N3640">
        <v>5.4</v>
      </c>
      <c r="Q3640">
        <v>280.14</v>
      </c>
      <c r="R3640" t="s">
        <v>2487</v>
      </c>
      <c r="V3640">
        <v>0</v>
      </c>
      <c r="W3640">
        <v>0</v>
      </c>
      <c r="AF3640">
        <v>0</v>
      </c>
      <c r="AG3640">
        <v>0</v>
      </c>
      <c r="AH3640">
        <v>0</v>
      </c>
      <c r="AI3640">
        <v>12</v>
      </c>
      <c r="AJ3640">
        <v>12</v>
      </c>
      <c r="AM3640">
        <v>0</v>
      </c>
      <c r="AN3640">
        <v>290.53999999999996</v>
      </c>
      <c r="AP3640">
        <v>14</v>
      </c>
    </row>
    <row r="3641" spans="1:42" x14ac:dyDescent="0.25">
      <c r="A3641" t="s">
        <v>46</v>
      </c>
      <c r="B3641">
        <v>5</v>
      </c>
      <c r="C3641" t="s">
        <v>2486</v>
      </c>
      <c r="D3641" s="39">
        <v>46116</v>
      </c>
      <c r="E3641" t="s">
        <v>486</v>
      </c>
      <c r="F3641" t="s">
        <v>79</v>
      </c>
      <c r="G3641">
        <v>9</v>
      </c>
      <c r="H3641" t="s">
        <v>113</v>
      </c>
      <c r="I3641" t="s">
        <v>79</v>
      </c>
      <c r="J3641">
        <v>1500</v>
      </c>
      <c r="L3641">
        <v>7</v>
      </c>
      <c r="M3641">
        <v>334.74</v>
      </c>
      <c r="N3641">
        <v>7.7000000000000011</v>
      </c>
      <c r="Q3641">
        <v>327.04000000000002</v>
      </c>
      <c r="R3641" t="s">
        <v>2487</v>
      </c>
      <c r="V3641">
        <v>0</v>
      </c>
      <c r="W3641">
        <v>0</v>
      </c>
      <c r="Z3641">
        <v>180</v>
      </c>
      <c r="AF3641">
        <v>180</v>
      </c>
      <c r="AG3641">
        <v>3</v>
      </c>
      <c r="AH3641">
        <v>3</v>
      </c>
      <c r="AI3641">
        <v>9</v>
      </c>
      <c r="AJ3641">
        <v>12</v>
      </c>
      <c r="AM3641">
        <v>0</v>
      </c>
      <c r="AN3641">
        <v>339.74</v>
      </c>
      <c r="AP3641">
        <v>14</v>
      </c>
    </row>
    <row r="3642" spans="1:42" x14ac:dyDescent="0.25">
      <c r="A3642" t="s">
        <v>45</v>
      </c>
      <c r="B3642">
        <v>1</v>
      </c>
      <c r="C3642" t="s">
        <v>2474</v>
      </c>
      <c r="D3642" s="39">
        <v>46117</v>
      </c>
      <c r="E3642" t="s">
        <v>486</v>
      </c>
      <c r="F3642" t="s">
        <v>79</v>
      </c>
      <c r="G3642">
        <v>3</v>
      </c>
      <c r="H3642" t="s">
        <v>92</v>
      </c>
      <c r="I3642" t="s">
        <v>79</v>
      </c>
      <c r="J3642">
        <v>1000</v>
      </c>
      <c r="L3642">
        <v>7</v>
      </c>
      <c r="M3642">
        <v>131.51999999999998</v>
      </c>
      <c r="N3642">
        <v>2.1</v>
      </c>
      <c r="Q3642">
        <v>129.41999999999999</v>
      </c>
      <c r="R3642" t="s">
        <v>2513</v>
      </c>
      <c r="V3642">
        <v>0</v>
      </c>
      <c r="W3642">
        <v>0</v>
      </c>
      <c r="AF3642">
        <v>0</v>
      </c>
      <c r="AG3642">
        <v>0</v>
      </c>
      <c r="AH3642">
        <v>0</v>
      </c>
      <c r="AI3642">
        <v>12</v>
      </c>
      <c r="AJ3642">
        <v>12</v>
      </c>
      <c r="AM3642">
        <v>0</v>
      </c>
      <c r="AN3642">
        <v>136.51999999999998</v>
      </c>
      <c r="AP3642">
        <v>14</v>
      </c>
    </row>
    <row r="3643" spans="1:42" x14ac:dyDescent="0.25">
      <c r="A3643" t="s">
        <v>46</v>
      </c>
      <c r="B3643">
        <v>1</v>
      </c>
      <c r="C3643" t="s">
        <v>2474</v>
      </c>
      <c r="D3643" s="39">
        <v>46117</v>
      </c>
      <c r="E3643" t="s">
        <v>486</v>
      </c>
      <c r="F3643" t="s">
        <v>79</v>
      </c>
      <c r="G3643">
        <v>3</v>
      </c>
      <c r="H3643" t="s">
        <v>92</v>
      </c>
      <c r="I3643" t="s">
        <v>79</v>
      </c>
      <c r="J3643">
        <v>1000</v>
      </c>
      <c r="L3643">
        <v>7</v>
      </c>
      <c r="M3643">
        <v>123.69</v>
      </c>
      <c r="N3643">
        <v>2.1</v>
      </c>
      <c r="Q3643">
        <v>121.59</v>
      </c>
      <c r="R3643" t="s">
        <v>2513</v>
      </c>
      <c r="V3643">
        <v>0</v>
      </c>
      <c r="W3643">
        <v>0</v>
      </c>
      <c r="AF3643">
        <v>0</v>
      </c>
      <c r="AG3643">
        <v>0</v>
      </c>
      <c r="AH3643">
        <v>0</v>
      </c>
      <c r="AI3643">
        <v>12</v>
      </c>
      <c r="AJ3643">
        <v>12</v>
      </c>
      <c r="AM3643">
        <v>0</v>
      </c>
      <c r="AN3643">
        <v>128.69</v>
      </c>
      <c r="AP3643">
        <v>14</v>
      </c>
    </row>
    <row r="3644" spans="1:42" x14ac:dyDescent="0.25">
      <c r="A3644" t="s">
        <v>45</v>
      </c>
      <c r="B3644">
        <v>2</v>
      </c>
      <c r="C3644" t="s">
        <v>2475</v>
      </c>
      <c r="D3644" s="39">
        <v>46117</v>
      </c>
      <c r="E3644" t="s">
        <v>486</v>
      </c>
      <c r="F3644" t="s">
        <v>79</v>
      </c>
      <c r="G3644">
        <v>4</v>
      </c>
      <c r="H3644" t="s">
        <v>113</v>
      </c>
      <c r="I3644" t="s">
        <v>79</v>
      </c>
      <c r="J3644">
        <v>2000</v>
      </c>
      <c r="L3644">
        <v>10</v>
      </c>
      <c r="M3644">
        <v>182.03</v>
      </c>
      <c r="N3644">
        <v>4</v>
      </c>
      <c r="Q3644">
        <v>178.03</v>
      </c>
      <c r="R3644" t="s">
        <v>2514</v>
      </c>
      <c r="V3644">
        <v>0</v>
      </c>
      <c r="W3644">
        <v>0</v>
      </c>
      <c r="AF3644">
        <v>0</v>
      </c>
      <c r="AG3644">
        <v>0</v>
      </c>
      <c r="AH3644">
        <v>0</v>
      </c>
      <c r="AI3644">
        <v>12</v>
      </c>
      <c r="AJ3644">
        <v>12</v>
      </c>
      <c r="AM3644">
        <v>0</v>
      </c>
      <c r="AN3644">
        <v>187.03</v>
      </c>
      <c r="AP3644">
        <v>14</v>
      </c>
    </row>
    <row r="3645" spans="1:42" x14ac:dyDescent="0.25">
      <c r="A3645" t="s">
        <v>46</v>
      </c>
      <c r="B3645">
        <v>2</v>
      </c>
      <c r="C3645" t="s">
        <v>2475</v>
      </c>
      <c r="D3645" s="39">
        <v>46117</v>
      </c>
      <c r="E3645" t="s">
        <v>486</v>
      </c>
      <c r="F3645" t="s">
        <v>79</v>
      </c>
      <c r="G3645">
        <v>4</v>
      </c>
      <c r="H3645" t="s">
        <v>113</v>
      </c>
      <c r="I3645" t="s">
        <v>79</v>
      </c>
      <c r="J3645">
        <v>2000</v>
      </c>
      <c r="L3645">
        <v>10</v>
      </c>
      <c r="M3645">
        <v>179.20999999999998</v>
      </c>
      <c r="N3645">
        <v>4</v>
      </c>
      <c r="Q3645">
        <v>175.20999999999998</v>
      </c>
      <c r="R3645" t="s">
        <v>2514</v>
      </c>
      <c r="V3645">
        <v>0</v>
      </c>
      <c r="W3645">
        <v>0</v>
      </c>
      <c r="AF3645">
        <v>0</v>
      </c>
      <c r="AG3645">
        <v>0</v>
      </c>
      <c r="AH3645">
        <v>0</v>
      </c>
      <c r="AI3645">
        <v>12</v>
      </c>
      <c r="AJ3645">
        <v>12</v>
      </c>
      <c r="AM3645">
        <v>0</v>
      </c>
      <c r="AN3645">
        <v>184.21</v>
      </c>
      <c r="AP3645">
        <v>14</v>
      </c>
    </row>
    <row r="3646" spans="1:42" x14ac:dyDescent="0.25">
      <c r="A3646" t="s">
        <v>45</v>
      </c>
      <c r="B3646">
        <v>4</v>
      </c>
      <c r="C3646" t="s">
        <v>2495</v>
      </c>
      <c r="D3646" s="39">
        <v>46117</v>
      </c>
      <c r="E3646" t="s">
        <v>396</v>
      </c>
      <c r="F3646" t="s">
        <v>79</v>
      </c>
      <c r="G3646">
        <v>15</v>
      </c>
      <c r="H3646" t="s">
        <v>92</v>
      </c>
      <c r="I3646" t="s">
        <v>79</v>
      </c>
      <c r="J3646">
        <v>3000</v>
      </c>
      <c r="L3646">
        <v>8</v>
      </c>
      <c r="M3646">
        <v>442.96</v>
      </c>
      <c r="N3646">
        <v>13.6</v>
      </c>
      <c r="O3646">
        <v>7</v>
      </c>
      <c r="Q3646">
        <v>429.35999999999996</v>
      </c>
      <c r="R3646" t="s">
        <v>2515</v>
      </c>
      <c r="V3646">
        <v>0</v>
      </c>
      <c r="W3646">
        <v>0</v>
      </c>
      <c r="AF3646">
        <v>0</v>
      </c>
      <c r="AG3646">
        <v>0</v>
      </c>
      <c r="AH3646">
        <v>0</v>
      </c>
      <c r="AI3646">
        <v>12</v>
      </c>
      <c r="AJ3646">
        <v>12</v>
      </c>
      <c r="AM3646">
        <v>0</v>
      </c>
      <c r="AN3646">
        <v>447.96</v>
      </c>
      <c r="AP3646">
        <v>14</v>
      </c>
    </row>
    <row r="3647" spans="1:42" x14ac:dyDescent="0.25">
      <c r="A3647" t="s">
        <v>46</v>
      </c>
      <c r="B3647">
        <v>4</v>
      </c>
      <c r="C3647" t="s">
        <v>2495</v>
      </c>
      <c r="D3647" s="39">
        <v>46117</v>
      </c>
      <c r="E3647" t="s">
        <v>396</v>
      </c>
      <c r="F3647" t="s">
        <v>79</v>
      </c>
      <c r="G3647">
        <v>15</v>
      </c>
      <c r="H3647" t="s">
        <v>92</v>
      </c>
      <c r="I3647" t="s">
        <v>79</v>
      </c>
      <c r="J3647">
        <v>3000</v>
      </c>
      <c r="L3647">
        <v>10</v>
      </c>
      <c r="M3647">
        <v>528.7299999999999</v>
      </c>
      <c r="N3647">
        <v>17</v>
      </c>
      <c r="O3647">
        <v>19</v>
      </c>
      <c r="Q3647">
        <v>511.7299999999999</v>
      </c>
      <c r="R3647" t="s">
        <v>2515</v>
      </c>
      <c r="V3647">
        <v>0</v>
      </c>
      <c r="W3647">
        <v>0</v>
      </c>
      <c r="AF3647">
        <v>0</v>
      </c>
      <c r="AG3647">
        <v>0</v>
      </c>
      <c r="AH3647">
        <v>0</v>
      </c>
      <c r="AI3647">
        <v>12</v>
      </c>
      <c r="AJ3647">
        <v>12</v>
      </c>
      <c r="AM3647">
        <v>0</v>
      </c>
      <c r="AN3647">
        <v>533.7299999999999</v>
      </c>
      <c r="AP3647">
        <v>14</v>
      </c>
    </row>
    <row r="3648" spans="1:42" x14ac:dyDescent="0.25">
      <c r="A3648" t="s">
        <v>45</v>
      </c>
      <c r="B3648">
        <v>5</v>
      </c>
      <c r="C3648" t="s">
        <v>2486</v>
      </c>
      <c r="D3648" s="39">
        <v>46117</v>
      </c>
      <c r="E3648" t="s">
        <v>486</v>
      </c>
      <c r="F3648" t="s">
        <v>79</v>
      </c>
      <c r="G3648">
        <v>9</v>
      </c>
      <c r="H3648" t="s">
        <v>113</v>
      </c>
      <c r="I3648" t="s">
        <v>79</v>
      </c>
      <c r="J3648">
        <v>1500</v>
      </c>
      <c r="L3648">
        <v>3</v>
      </c>
      <c r="M3648">
        <v>145.66</v>
      </c>
      <c r="N3648">
        <v>2.7</v>
      </c>
      <c r="Q3648">
        <v>142.96</v>
      </c>
      <c r="R3648" t="s">
        <v>2487</v>
      </c>
      <c r="V3648">
        <v>0</v>
      </c>
      <c r="W3648">
        <v>0</v>
      </c>
      <c r="AF3648">
        <v>0</v>
      </c>
      <c r="AG3648">
        <v>0</v>
      </c>
      <c r="AH3648">
        <v>0</v>
      </c>
      <c r="AI3648">
        <v>12</v>
      </c>
      <c r="AJ3648">
        <v>12</v>
      </c>
      <c r="AM3648">
        <v>0</v>
      </c>
      <c r="AN3648">
        <v>150.66</v>
      </c>
      <c r="AP3648">
        <v>14</v>
      </c>
    </row>
    <row r="3649" spans="1:42" x14ac:dyDescent="0.25">
      <c r="A3649" t="s">
        <v>45</v>
      </c>
      <c r="B3649">
        <v>5</v>
      </c>
      <c r="C3649" t="s">
        <v>2496</v>
      </c>
      <c r="D3649" s="39">
        <v>46117</v>
      </c>
      <c r="E3649" t="s">
        <v>282</v>
      </c>
      <c r="F3649" t="s">
        <v>79</v>
      </c>
      <c r="G3649">
        <v>14</v>
      </c>
      <c r="H3649" t="s">
        <v>2497</v>
      </c>
      <c r="I3649" t="s">
        <v>79</v>
      </c>
      <c r="J3649">
        <v>200</v>
      </c>
      <c r="L3649">
        <v>5</v>
      </c>
      <c r="M3649">
        <v>251.2</v>
      </c>
      <c r="N3649">
        <v>7</v>
      </c>
      <c r="Q3649">
        <v>244.2</v>
      </c>
      <c r="R3649" t="s">
        <v>2498</v>
      </c>
      <c r="S3649">
        <v>30</v>
      </c>
      <c r="V3649">
        <v>30</v>
      </c>
      <c r="W3649">
        <v>0.5</v>
      </c>
      <c r="AF3649">
        <v>0</v>
      </c>
      <c r="AG3649">
        <v>0</v>
      </c>
      <c r="AH3649">
        <v>0.5</v>
      </c>
      <c r="AI3649">
        <v>11.5</v>
      </c>
      <c r="AJ3649">
        <v>12</v>
      </c>
      <c r="AM3649">
        <v>0</v>
      </c>
      <c r="AN3649">
        <v>256.2</v>
      </c>
      <c r="AP3649">
        <v>14</v>
      </c>
    </row>
    <row r="3650" spans="1:42" x14ac:dyDescent="0.25">
      <c r="A3650" t="s">
        <v>46</v>
      </c>
      <c r="B3650">
        <v>5</v>
      </c>
      <c r="C3650" t="s">
        <v>2499</v>
      </c>
      <c r="D3650" s="39">
        <v>46117</v>
      </c>
      <c r="E3650" t="s">
        <v>2500</v>
      </c>
      <c r="F3650" t="s">
        <v>79</v>
      </c>
      <c r="G3650">
        <v>14</v>
      </c>
      <c r="H3650" t="s">
        <v>1049</v>
      </c>
      <c r="I3650" t="s">
        <v>79</v>
      </c>
      <c r="J3650">
        <v>100</v>
      </c>
      <c r="L3650">
        <v>3</v>
      </c>
      <c r="M3650">
        <v>104.50999999999999</v>
      </c>
      <c r="N3650">
        <v>4.1999999999999993</v>
      </c>
      <c r="Q3650">
        <v>100.30999999999999</v>
      </c>
      <c r="R3650" t="s">
        <v>2516</v>
      </c>
      <c r="V3650">
        <v>0</v>
      </c>
      <c r="W3650">
        <v>0</v>
      </c>
      <c r="AF3650">
        <v>0</v>
      </c>
      <c r="AG3650">
        <v>0</v>
      </c>
      <c r="AH3650">
        <v>0</v>
      </c>
      <c r="AI3650">
        <v>12</v>
      </c>
      <c r="AJ3650">
        <v>12</v>
      </c>
      <c r="AM3650">
        <v>0</v>
      </c>
      <c r="AN3650">
        <v>109.51</v>
      </c>
      <c r="AP3650">
        <v>14</v>
      </c>
    </row>
    <row r="3651" spans="1:42" x14ac:dyDescent="0.25">
      <c r="A3651" t="s">
        <v>46</v>
      </c>
      <c r="B3651">
        <v>5</v>
      </c>
      <c r="C3651" t="s">
        <v>2501</v>
      </c>
      <c r="D3651" s="39">
        <v>46117</v>
      </c>
      <c r="E3651" t="s">
        <v>2502</v>
      </c>
      <c r="F3651" t="s">
        <v>79</v>
      </c>
      <c r="G3651">
        <v>14</v>
      </c>
      <c r="H3651" t="s">
        <v>1617</v>
      </c>
      <c r="I3651" t="s">
        <v>79</v>
      </c>
      <c r="J3651">
        <v>150</v>
      </c>
      <c r="L3651">
        <v>3</v>
      </c>
      <c r="M3651">
        <v>155.56</v>
      </c>
      <c r="N3651">
        <v>4.1999999999999993</v>
      </c>
      <c r="Q3651">
        <v>151.36000000000001</v>
      </c>
      <c r="R3651" t="s">
        <v>2503</v>
      </c>
      <c r="V3651">
        <v>0</v>
      </c>
      <c r="W3651">
        <v>0</v>
      </c>
      <c r="AF3651">
        <v>0</v>
      </c>
      <c r="AG3651">
        <v>0</v>
      </c>
      <c r="AH3651">
        <v>0</v>
      </c>
      <c r="AI3651">
        <v>12</v>
      </c>
      <c r="AJ3651">
        <v>12</v>
      </c>
      <c r="AM3651">
        <v>0</v>
      </c>
      <c r="AN3651">
        <v>160.56</v>
      </c>
      <c r="AP3651">
        <v>14</v>
      </c>
    </row>
    <row r="3652" spans="1:42" x14ac:dyDescent="0.25">
      <c r="A3652" t="s">
        <v>46</v>
      </c>
      <c r="B3652">
        <v>5</v>
      </c>
      <c r="C3652" t="s">
        <v>2504</v>
      </c>
      <c r="D3652" s="39">
        <v>46117</v>
      </c>
      <c r="E3652" t="s">
        <v>2505</v>
      </c>
      <c r="F3652" t="s">
        <v>79</v>
      </c>
      <c r="G3652">
        <v>14</v>
      </c>
      <c r="H3652">
        <v>8</v>
      </c>
      <c r="I3652" t="s">
        <v>79</v>
      </c>
      <c r="J3652">
        <v>100</v>
      </c>
      <c r="L3652">
        <v>2</v>
      </c>
      <c r="M3652">
        <v>102.38</v>
      </c>
      <c r="N3652">
        <v>2.8</v>
      </c>
      <c r="Q3652">
        <v>99.58</v>
      </c>
      <c r="R3652" t="s">
        <v>2506</v>
      </c>
      <c r="V3652">
        <v>0</v>
      </c>
      <c r="W3652">
        <v>0</v>
      </c>
      <c r="AF3652">
        <v>0</v>
      </c>
      <c r="AG3652">
        <v>0</v>
      </c>
      <c r="AH3652">
        <v>0</v>
      </c>
      <c r="AI3652">
        <v>12</v>
      </c>
      <c r="AJ3652">
        <v>12</v>
      </c>
      <c r="AM3652">
        <v>0</v>
      </c>
      <c r="AN3652">
        <v>107.38</v>
      </c>
      <c r="AP3652">
        <v>14</v>
      </c>
    </row>
    <row r="3653" spans="1:42" x14ac:dyDescent="0.25">
      <c r="A3653" t="s">
        <v>46</v>
      </c>
      <c r="B3653">
        <v>5</v>
      </c>
      <c r="C3653" t="s">
        <v>2507</v>
      </c>
      <c r="D3653" s="39">
        <v>46117</v>
      </c>
      <c r="E3653" t="s">
        <v>253</v>
      </c>
      <c r="F3653" t="s">
        <v>79</v>
      </c>
      <c r="G3653">
        <v>14</v>
      </c>
      <c r="H3653" t="s">
        <v>116</v>
      </c>
      <c r="I3653" t="s">
        <v>79</v>
      </c>
      <c r="J3653">
        <v>1000</v>
      </c>
      <c r="L3653">
        <v>3</v>
      </c>
      <c r="M3653">
        <v>182.45</v>
      </c>
      <c r="N3653">
        <v>4.1999999999999993</v>
      </c>
      <c r="Q3653">
        <v>178.25</v>
      </c>
      <c r="R3653" t="s">
        <v>2517</v>
      </c>
      <c r="V3653">
        <v>0</v>
      </c>
      <c r="W3653">
        <v>0</v>
      </c>
      <c r="AF3653">
        <v>0</v>
      </c>
      <c r="AG3653">
        <v>0</v>
      </c>
      <c r="AH3653">
        <v>0</v>
      </c>
      <c r="AI3653">
        <v>12</v>
      </c>
      <c r="AJ3653">
        <v>12</v>
      </c>
      <c r="AM3653">
        <v>0</v>
      </c>
      <c r="AN3653">
        <v>187.45</v>
      </c>
      <c r="AP3653">
        <v>14</v>
      </c>
    </row>
    <row r="3654" spans="1:42" x14ac:dyDescent="0.25">
      <c r="A3654" t="s">
        <v>46</v>
      </c>
      <c r="B3654">
        <v>5</v>
      </c>
      <c r="C3654" t="s">
        <v>2508</v>
      </c>
      <c r="D3654" s="39">
        <v>46117</v>
      </c>
      <c r="E3654" t="s">
        <v>2502</v>
      </c>
      <c r="F3654" t="s">
        <v>79</v>
      </c>
      <c r="G3654">
        <v>14</v>
      </c>
      <c r="H3654" t="s">
        <v>1617</v>
      </c>
      <c r="I3654" t="s">
        <v>79</v>
      </c>
      <c r="J3654">
        <v>60</v>
      </c>
      <c r="L3654">
        <v>2</v>
      </c>
      <c r="M3654">
        <v>83.22999999999999</v>
      </c>
      <c r="N3654">
        <v>2.8</v>
      </c>
      <c r="Q3654">
        <v>80.429999999999993</v>
      </c>
      <c r="R3654" t="s">
        <v>2509</v>
      </c>
      <c r="V3654">
        <v>0</v>
      </c>
      <c r="W3654">
        <v>0</v>
      </c>
      <c r="AF3654">
        <v>0</v>
      </c>
      <c r="AG3654">
        <v>0</v>
      </c>
      <c r="AH3654">
        <v>0</v>
      </c>
      <c r="AI3654">
        <v>12</v>
      </c>
      <c r="AJ3654">
        <v>12</v>
      </c>
      <c r="AM3654">
        <v>0</v>
      </c>
      <c r="AN3654">
        <v>88.22999999999999</v>
      </c>
      <c r="AP3654">
        <v>14</v>
      </c>
    </row>
    <row r="3655" spans="1:42" x14ac:dyDescent="0.25">
      <c r="A3655" t="s">
        <v>45</v>
      </c>
      <c r="B3655">
        <v>1</v>
      </c>
      <c r="C3655" t="s">
        <v>2474</v>
      </c>
      <c r="D3655" s="39">
        <v>46118</v>
      </c>
      <c r="E3655" t="s">
        <v>486</v>
      </c>
      <c r="F3655" t="s">
        <v>79</v>
      </c>
      <c r="G3655">
        <v>3</v>
      </c>
      <c r="H3655" t="s">
        <v>92</v>
      </c>
      <c r="I3655" t="s">
        <v>79</v>
      </c>
      <c r="J3655">
        <v>1000</v>
      </c>
      <c r="L3655">
        <v>7</v>
      </c>
      <c r="M3655">
        <v>136.35999999999999</v>
      </c>
      <c r="N3655">
        <v>2.1</v>
      </c>
      <c r="Q3655">
        <v>134.26</v>
      </c>
      <c r="R3655" t="s">
        <v>2513</v>
      </c>
      <c r="V3655">
        <v>0</v>
      </c>
      <c r="W3655">
        <v>0</v>
      </c>
      <c r="AF3655">
        <v>0</v>
      </c>
      <c r="AG3655">
        <v>0</v>
      </c>
      <c r="AH3655">
        <v>0</v>
      </c>
      <c r="AI3655">
        <v>12</v>
      </c>
      <c r="AJ3655">
        <v>12</v>
      </c>
      <c r="AM3655">
        <v>0</v>
      </c>
      <c r="AN3655">
        <v>141.36000000000001</v>
      </c>
      <c r="AP3655">
        <v>15</v>
      </c>
    </row>
    <row r="3656" spans="1:42" x14ac:dyDescent="0.25">
      <c r="A3656" t="s">
        <v>46</v>
      </c>
      <c r="B3656">
        <v>1</v>
      </c>
      <c r="C3656" t="s">
        <v>2474</v>
      </c>
      <c r="D3656" s="39">
        <v>46118</v>
      </c>
      <c r="E3656" t="s">
        <v>486</v>
      </c>
      <c r="F3656" t="s">
        <v>79</v>
      </c>
      <c r="G3656">
        <v>3</v>
      </c>
      <c r="H3656" t="s">
        <v>92</v>
      </c>
      <c r="I3656" t="s">
        <v>79</v>
      </c>
      <c r="J3656">
        <v>1000</v>
      </c>
      <c r="L3656">
        <v>7</v>
      </c>
      <c r="M3656">
        <v>130.52000000000001</v>
      </c>
      <c r="N3656">
        <v>2.1</v>
      </c>
      <c r="Q3656">
        <v>128.42000000000002</v>
      </c>
      <c r="R3656" t="s">
        <v>2513</v>
      </c>
      <c r="V3656">
        <v>0</v>
      </c>
      <c r="W3656">
        <v>0</v>
      </c>
      <c r="AF3656">
        <v>0</v>
      </c>
      <c r="AG3656">
        <v>0</v>
      </c>
      <c r="AH3656">
        <v>0</v>
      </c>
      <c r="AI3656">
        <v>12</v>
      </c>
      <c r="AJ3656">
        <v>12</v>
      </c>
      <c r="AM3656">
        <v>0</v>
      </c>
      <c r="AN3656">
        <v>135.52000000000001</v>
      </c>
      <c r="AP3656">
        <v>15</v>
      </c>
    </row>
    <row r="3657" spans="1:42" x14ac:dyDescent="0.25">
      <c r="A3657" t="s">
        <v>45</v>
      </c>
      <c r="B3657">
        <v>2</v>
      </c>
      <c r="C3657" t="s">
        <v>2475</v>
      </c>
      <c r="D3657" s="39">
        <v>46118</v>
      </c>
      <c r="E3657" t="s">
        <v>486</v>
      </c>
      <c r="F3657" t="s">
        <v>79</v>
      </c>
      <c r="G3657">
        <v>4</v>
      </c>
      <c r="H3657" t="s">
        <v>113</v>
      </c>
      <c r="I3657" t="s">
        <v>79</v>
      </c>
      <c r="J3657">
        <v>2000</v>
      </c>
      <c r="L3657">
        <v>10</v>
      </c>
      <c r="M3657">
        <v>198.37</v>
      </c>
      <c r="N3657">
        <v>4</v>
      </c>
      <c r="Q3657">
        <v>194.37</v>
      </c>
      <c r="R3657" t="s">
        <v>2514</v>
      </c>
      <c r="V3657">
        <v>0</v>
      </c>
      <c r="W3657">
        <v>0</v>
      </c>
      <c r="AF3657">
        <v>0</v>
      </c>
      <c r="AG3657">
        <v>0</v>
      </c>
      <c r="AH3657">
        <v>0</v>
      </c>
      <c r="AI3657">
        <v>12</v>
      </c>
      <c r="AJ3657">
        <v>12</v>
      </c>
      <c r="AM3657">
        <v>0</v>
      </c>
      <c r="AN3657">
        <v>203.37</v>
      </c>
      <c r="AP3657">
        <v>15</v>
      </c>
    </row>
    <row r="3658" spans="1:42" x14ac:dyDescent="0.25">
      <c r="A3658" t="s">
        <v>46</v>
      </c>
      <c r="B3658">
        <v>2</v>
      </c>
      <c r="C3658" t="s">
        <v>2475</v>
      </c>
      <c r="D3658" s="39">
        <v>46118</v>
      </c>
      <c r="E3658" t="s">
        <v>486</v>
      </c>
      <c r="F3658" t="s">
        <v>79</v>
      </c>
      <c r="G3658">
        <v>4</v>
      </c>
      <c r="H3658" t="s">
        <v>113</v>
      </c>
      <c r="I3658" t="s">
        <v>79</v>
      </c>
      <c r="J3658">
        <v>2000</v>
      </c>
      <c r="L3658">
        <v>10</v>
      </c>
      <c r="M3658">
        <v>182.6</v>
      </c>
      <c r="N3658">
        <v>4</v>
      </c>
      <c r="Q3658">
        <v>178.6</v>
      </c>
      <c r="R3658" t="s">
        <v>2514</v>
      </c>
      <c r="V3658">
        <v>0</v>
      </c>
      <c r="W3658">
        <v>0</v>
      </c>
      <c r="AF3658">
        <v>0</v>
      </c>
      <c r="AG3658">
        <v>0</v>
      </c>
      <c r="AH3658">
        <v>0</v>
      </c>
      <c r="AI3658">
        <v>12</v>
      </c>
      <c r="AJ3658">
        <v>12</v>
      </c>
      <c r="AM3658">
        <v>0</v>
      </c>
      <c r="AN3658">
        <v>187.6</v>
      </c>
      <c r="AP3658">
        <v>15</v>
      </c>
    </row>
    <row r="3659" spans="1:42" x14ac:dyDescent="0.25">
      <c r="A3659" t="s">
        <v>45</v>
      </c>
      <c r="B3659">
        <v>5</v>
      </c>
      <c r="C3659" t="s">
        <v>2507</v>
      </c>
      <c r="D3659" s="39">
        <v>46118</v>
      </c>
      <c r="E3659" t="s">
        <v>253</v>
      </c>
      <c r="F3659" t="s">
        <v>79</v>
      </c>
      <c r="G3659">
        <v>14</v>
      </c>
      <c r="H3659" t="s">
        <v>116</v>
      </c>
      <c r="I3659" t="s">
        <v>79</v>
      </c>
      <c r="J3659">
        <v>1000</v>
      </c>
      <c r="L3659">
        <v>11</v>
      </c>
      <c r="M3659">
        <v>603.21999999999991</v>
      </c>
      <c r="N3659">
        <v>15.399999999999999</v>
      </c>
      <c r="O3659">
        <v>15</v>
      </c>
      <c r="Q3659">
        <v>587.81999999999994</v>
      </c>
      <c r="R3659" t="s">
        <v>2517</v>
      </c>
      <c r="V3659">
        <v>0</v>
      </c>
      <c r="W3659">
        <v>0</v>
      </c>
      <c r="AF3659">
        <v>0</v>
      </c>
      <c r="AG3659">
        <v>0</v>
      </c>
      <c r="AH3659">
        <v>0</v>
      </c>
      <c r="AI3659">
        <v>12</v>
      </c>
      <c r="AJ3659">
        <v>12</v>
      </c>
      <c r="AM3659">
        <v>0</v>
      </c>
      <c r="AN3659">
        <v>608.21999999999991</v>
      </c>
      <c r="AP3659">
        <v>15</v>
      </c>
    </row>
    <row r="3660" spans="1:42" x14ac:dyDescent="0.25">
      <c r="A3660" t="s">
        <v>46</v>
      </c>
      <c r="B3660">
        <v>5</v>
      </c>
      <c r="C3660" t="s">
        <v>2507</v>
      </c>
      <c r="D3660" s="39">
        <v>46118</v>
      </c>
      <c r="E3660" t="s">
        <v>253</v>
      </c>
      <c r="F3660" t="s">
        <v>79</v>
      </c>
      <c r="G3660">
        <v>14</v>
      </c>
      <c r="H3660" t="s">
        <v>116</v>
      </c>
      <c r="I3660" t="s">
        <v>79</v>
      </c>
      <c r="J3660">
        <v>1000</v>
      </c>
      <c r="L3660">
        <v>6</v>
      </c>
      <c r="M3660">
        <v>363.62</v>
      </c>
      <c r="N3660">
        <v>8.3999999999999986</v>
      </c>
      <c r="O3660">
        <v>14</v>
      </c>
      <c r="Q3660">
        <v>355.22</v>
      </c>
      <c r="R3660" t="s">
        <v>2517</v>
      </c>
      <c r="S3660">
        <v>25</v>
      </c>
      <c r="V3660">
        <v>25</v>
      </c>
      <c r="W3660">
        <v>0.41666666666666674</v>
      </c>
      <c r="AF3660">
        <v>0</v>
      </c>
      <c r="AG3660">
        <v>0</v>
      </c>
      <c r="AH3660">
        <v>0.41666666666666674</v>
      </c>
      <c r="AI3660">
        <v>11.583333333333334</v>
      </c>
      <c r="AJ3660">
        <v>12</v>
      </c>
      <c r="AM3660">
        <v>0</v>
      </c>
      <c r="AN3660">
        <v>368.62</v>
      </c>
      <c r="AP3660">
        <v>15</v>
      </c>
    </row>
    <row r="3661" spans="1:42" x14ac:dyDescent="0.25">
      <c r="A3661" t="s">
        <v>46</v>
      </c>
      <c r="B3661">
        <v>5</v>
      </c>
      <c r="C3661" t="s">
        <v>2518</v>
      </c>
      <c r="D3661" s="39">
        <v>46118</v>
      </c>
      <c r="E3661" t="s">
        <v>259</v>
      </c>
      <c r="F3661" t="s">
        <v>79</v>
      </c>
      <c r="G3661">
        <v>7</v>
      </c>
      <c r="H3661" t="s">
        <v>113</v>
      </c>
      <c r="I3661" t="s">
        <v>79</v>
      </c>
      <c r="J3661">
        <v>4500</v>
      </c>
      <c r="L3661">
        <v>3</v>
      </c>
      <c r="M3661">
        <v>114.84</v>
      </c>
      <c r="N3661">
        <v>2.0999999999999996</v>
      </c>
      <c r="Q3661">
        <v>112.74000000000001</v>
      </c>
      <c r="R3661" t="s">
        <v>2571</v>
      </c>
      <c r="V3661">
        <v>0</v>
      </c>
      <c r="W3661">
        <v>0</v>
      </c>
      <c r="AF3661">
        <v>0</v>
      </c>
      <c r="AG3661">
        <v>0</v>
      </c>
      <c r="AH3661">
        <v>0</v>
      </c>
      <c r="AI3661">
        <v>12</v>
      </c>
      <c r="AJ3661">
        <v>12</v>
      </c>
      <c r="AM3661">
        <v>0</v>
      </c>
      <c r="AN3661">
        <v>119.84</v>
      </c>
      <c r="AP3661">
        <v>15</v>
      </c>
    </row>
    <row r="3662" spans="1:42" x14ac:dyDescent="0.25">
      <c r="A3662" t="s">
        <v>46</v>
      </c>
      <c r="B3662">
        <v>5</v>
      </c>
      <c r="C3662" t="s">
        <v>2499</v>
      </c>
      <c r="D3662" s="39">
        <v>46118</v>
      </c>
      <c r="E3662" t="s">
        <v>2500</v>
      </c>
      <c r="F3662" t="s">
        <v>79</v>
      </c>
      <c r="G3662">
        <v>14</v>
      </c>
      <c r="H3662" t="s">
        <v>1049</v>
      </c>
      <c r="I3662" t="s">
        <v>79</v>
      </c>
      <c r="J3662">
        <v>100</v>
      </c>
      <c r="L3662">
        <v>1</v>
      </c>
      <c r="M3662">
        <v>54.87</v>
      </c>
      <c r="N3662">
        <v>1.4</v>
      </c>
      <c r="Q3662">
        <v>53.47</v>
      </c>
      <c r="R3662" t="s">
        <v>2516</v>
      </c>
      <c r="V3662">
        <v>0</v>
      </c>
      <c r="W3662">
        <v>0</v>
      </c>
      <c r="AF3662">
        <v>0</v>
      </c>
      <c r="AG3662">
        <v>0</v>
      </c>
      <c r="AH3662">
        <v>0</v>
      </c>
      <c r="AI3662">
        <v>12</v>
      </c>
      <c r="AJ3662">
        <v>12</v>
      </c>
      <c r="AM3662">
        <v>0</v>
      </c>
      <c r="AN3662">
        <v>59.87</v>
      </c>
      <c r="AP3662">
        <v>15</v>
      </c>
    </row>
    <row r="3663" spans="1:42" x14ac:dyDescent="0.25">
      <c r="A3663" t="s">
        <v>45</v>
      </c>
      <c r="B3663">
        <v>4</v>
      </c>
      <c r="C3663" t="s">
        <v>2495</v>
      </c>
      <c r="D3663" s="39">
        <v>46118</v>
      </c>
      <c r="E3663" t="s">
        <v>396</v>
      </c>
      <c r="F3663" t="s">
        <v>79</v>
      </c>
      <c r="G3663">
        <v>15</v>
      </c>
      <c r="H3663" t="s">
        <v>92</v>
      </c>
      <c r="I3663" t="s">
        <v>79</v>
      </c>
      <c r="J3663">
        <v>3000</v>
      </c>
      <c r="L3663">
        <v>9</v>
      </c>
      <c r="M3663">
        <v>517.35</v>
      </c>
      <c r="N3663">
        <v>13.5</v>
      </c>
      <c r="Q3663">
        <v>503.85</v>
      </c>
      <c r="R3663" t="s">
        <v>2515</v>
      </c>
      <c r="V3663">
        <v>0</v>
      </c>
      <c r="W3663">
        <v>0</v>
      </c>
      <c r="AF3663">
        <v>0</v>
      </c>
      <c r="AG3663">
        <v>0</v>
      </c>
      <c r="AH3663">
        <v>0</v>
      </c>
      <c r="AI3663">
        <v>12</v>
      </c>
      <c r="AJ3663">
        <v>12</v>
      </c>
      <c r="AM3663">
        <v>0</v>
      </c>
      <c r="AN3663">
        <v>522.35</v>
      </c>
      <c r="AP3663">
        <v>15</v>
      </c>
    </row>
    <row r="3664" spans="1:42" x14ac:dyDescent="0.25">
      <c r="A3664" t="s">
        <v>46</v>
      </c>
      <c r="B3664">
        <v>4</v>
      </c>
      <c r="C3664" t="s">
        <v>2495</v>
      </c>
      <c r="D3664" s="39">
        <v>46118</v>
      </c>
      <c r="E3664" t="s">
        <v>396</v>
      </c>
      <c r="F3664" t="s">
        <v>79</v>
      </c>
      <c r="G3664">
        <v>15</v>
      </c>
      <c r="H3664" t="s">
        <v>92</v>
      </c>
      <c r="I3664" t="s">
        <v>79</v>
      </c>
      <c r="J3664">
        <v>3000</v>
      </c>
      <c r="L3664">
        <v>10</v>
      </c>
      <c r="M3664">
        <v>543.02</v>
      </c>
      <c r="N3664">
        <v>14</v>
      </c>
      <c r="Q3664">
        <v>529.02</v>
      </c>
      <c r="R3664" t="s">
        <v>2515</v>
      </c>
      <c r="V3664">
        <v>0</v>
      </c>
      <c r="W3664">
        <v>0</v>
      </c>
      <c r="AF3664">
        <v>0</v>
      </c>
      <c r="AG3664">
        <v>0</v>
      </c>
      <c r="AH3664">
        <v>0</v>
      </c>
      <c r="AI3664">
        <v>12</v>
      </c>
      <c r="AJ3664">
        <v>12</v>
      </c>
      <c r="AM3664">
        <v>0</v>
      </c>
      <c r="AN3664">
        <v>548.02</v>
      </c>
      <c r="AP3664">
        <v>15</v>
      </c>
    </row>
    <row r="3665" spans="1:42" x14ac:dyDescent="0.25">
      <c r="A3665" t="s">
        <v>45</v>
      </c>
      <c r="B3665">
        <v>1</v>
      </c>
      <c r="C3665" t="s">
        <v>2474</v>
      </c>
      <c r="D3665" s="39">
        <v>46119</v>
      </c>
      <c r="E3665" t="s">
        <v>486</v>
      </c>
      <c r="F3665" t="s">
        <v>79</v>
      </c>
      <c r="G3665">
        <v>3</v>
      </c>
      <c r="H3665" t="s">
        <v>92</v>
      </c>
      <c r="I3665" t="s">
        <v>79</v>
      </c>
      <c r="J3665">
        <v>1000</v>
      </c>
      <c r="L3665">
        <v>6</v>
      </c>
      <c r="M3665">
        <v>96.259999999999991</v>
      </c>
      <c r="N3665">
        <v>1.7999999999999998</v>
      </c>
      <c r="Q3665">
        <v>94.46</v>
      </c>
      <c r="R3665" t="s">
        <v>2513</v>
      </c>
      <c r="V3665">
        <v>0</v>
      </c>
      <c r="W3665">
        <v>0</v>
      </c>
      <c r="AF3665">
        <v>0</v>
      </c>
      <c r="AG3665">
        <v>0</v>
      </c>
      <c r="AH3665">
        <v>0</v>
      </c>
      <c r="AI3665">
        <v>12</v>
      </c>
      <c r="AJ3665">
        <v>12</v>
      </c>
      <c r="AM3665">
        <v>0</v>
      </c>
      <c r="AN3665">
        <v>101.26</v>
      </c>
      <c r="AP3665">
        <v>15</v>
      </c>
    </row>
    <row r="3666" spans="1:42" x14ac:dyDescent="0.25">
      <c r="A3666" t="s">
        <v>45</v>
      </c>
      <c r="B3666">
        <v>2</v>
      </c>
      <c r="C3666" t="s">
        <v>2475</v>
      </c>
      <c r="D3666" s="39">
        <v>46119</v>
      </c>
      <c r="E3666" t="s">
        <v>486</v>
      </c>
      <c r="F3666" t="s">
        <v>79</v>
      </c>
      <c r="G3666">
        <v>4</v>
      </c>
      <c r="H3666" t="s">
        <v>113</v>
      </c>
      <c r="I3666" t="s">
        <v>79</v>
      </c>
      <c r="J3666">
        <v>2000</v>
      </c>
      <c r="L3666">
        <v>10</v>
      </c>
      <c r="M3666">
        <v>180.07000000000002</v>
      </c>
      <c r="N3666">
        <v>4</v>
      </c>
      <c r="Q3666">
        <v>176.07000000000002</v>
      </c>
      <c r="R3666" t="s">
        <v>2514</v>
      </c>
      <c r="V3666">
        <v>0</v>
      </c>
      <c r="W3666">
        <v>0</v>
      </c>
      <c r="AF3666">
        <v>0</v>
      </c>
      <c r="AG3666">
        <v>0</v>
      </c>
      <c r="AH3666">
        <v>0</v>
      </c>
      <c r="AI3666">
        <v>12</v>
      </c>
      <c r="AJ3666">
        <v>12</v>
      </c>
      <c r="AM3666">
        <v>0</v>
      </c>
      <c r="AN3666">
        <v>185.07</v>
      </c>
      <c r="AP3666">
        <v>15</v>
      </c>
    </row>
    <row r="3667" spans="1:42" x14ac:dyDescent="0.25">
      <c r="A3667" t="s">
        <v>46</v>
      </c>
      <c r="B3667">
        <v>2</v>
      </c>
      <c r="C3667" t="s">
        <v>2475</v>
      </c>
      <c r="D3667" s="39">
        <v>46119</v>
      </c>
      <c r="E3667" t="s">
        <v>486</v>
      </c>
      <c r="F3667" t="s">
        <v>79</v>
      </c>
      <c r="G3667">
        <v>4</v>
      </c>
      <c r="H3667" t="s">
        <v>113</v>
      </c>
      <c r="I3667" t="s">
        <v>79</v>
      </c>
      <c r="J3667">
        <v>2000</v>
      </c>
      <c r="L3667">
        <v>9</v>
      </c>
      <c r="M3667">
        <v>173.92</v>
      </c>
      <c r="N3667">
        <v>3.6</v>
      </c>
      <c r="Q3667">
        <v>170.32</v>
      </c>
      <c r="R3667" t="s">
        <v>2514</v>
      </c>
      <c r="V3667">
        <v>0</v>
      </c>
      <c r="W3667">
        <v>0</v>
      </c>
      <c r="AF3667">
        <v>0</v>
      </c>
      <c r="AG3667">
        <v>0</v>
      </c>
      <c r="AH3667">
        <v>0</v>
      </c>
      <c r="AI3667">
        <v>12</v>
      </c>
      <c r="AJ3667">
        <v>12</v>
      </c>
      <c r="AM3667">
        <v>0</v>
      </c>
      <c r="AN3667">
        <v>178.92</v>
      </c>
      <c r="AP3667">
        <v>15</v>
      </c>
    </row>
    <row r="3668" spans="1:42" x14ac:dyDescent="0.25">
      <c r="A3668" t="s">
        <v>45</v>
      </c>
      <c r="B3668">
        <v>4</v>
      </c>
      <c r="C3668" t="s">
        <v>2495</v>
      </c>
      <c r="D3668" s="39">
        <v>46119</v>
      </c>
      <c r="E3668" t="s">
        <v>396</v>
      </c>
      <c r="F3668" t="s">
        <v>79</v>
      </c>
      <c r="G3668">
        <v>15</v>
      </c>
      <c r="H3668" t="s">
        <v>92</v>
      </c>
      <c r="I3668" t="s">
        <v>79</v>
      </c>
      <c r="J3668">
        <v>3000</v>
      </c>
      <c r="L3668">
        <v>8</v>
      </c>
      <c r="M3668">
        <v>459.26</v>
      </c>
      <c r="N3668">
        <v>12</v>
      </c>
      <c r="Q3668">
        <v>447.26</v>
      </c>
      <c r="R3668" t="s">
        <v>2515</v>
      </c>
      <c r="S3668">
        <v>30</v>
      </c>
      <c r="V3668">
        <v>30</v>
      </c>
      <c r="W3668">
        <v>0.5</v>
      </c>
      <c r="AF3668">
        <v>0</v>
      </c>
      <c r="AG3668">
        <v>0</v>
      </c>
      <c r="AH3668">
        <v>0.5</v>
      </c>
      <c r="AI3668">
        <v>11.5</v>
      </c>
      <c r="AJ3668">
        <v>12</v>
      </c>
      <c r="AM3668">
        <v>0</v>
      </c>
      <c r="AN3668">
        <v>464.26</v>
      </c>
      <c r="AP3668">
        <v>15</v>
      </c>
    </row>
    <row r="3669" spans="1:42" x14ac:dyDescent="0.25">
      <c r="A3669" t="s">
        <v>45</v>
      </c>
      <c r="B3669">
        <v>4</v>
      </c>
      <c r="C3669" t="s">
        <v>2519</v>
      </c>
      <c r="D3669" s="39">
        <v>46119</v>
      </c>
      <c r="E3669" t="s">
        <v>243</v>
      </c>
      <c r="F3669" t="s">
        <v>79</v>
      </c>
      <c r="G3669">
        <v>26</v>
      </c>
      <c r="H3669">
        <v>5</v>
      </c>
      <c r="I3669" t="s">
        <v>79</v>
      </c>
      <c r="J3669">
        <v>325</v>
      </c>
      <c r="L3669">
        <v>1</v>
      </c>
      <c r="M3669">
        <v>43.45</v>
      </c>
      <c r="N3669">
        <v>3.3</v>
      </c>
      <c r="Q3669">
        <v>40.150000000000006</v>
      </c>
      <c r="R3669" t="s">
        <v>2520</v>
      </c>
      <c r="V3669">
        <v>0</v>
      </c>
      <c r="W3669">
        <v>0</v>
      </c>
      <c r="AF3669">
        <v>0</v>
      </c>
      <c r="AG3669">
        <v>0</v>
      </c>
      <c r="AH3669">
        <v>0</v>
      </c>
      <c r="AI3669">
        <v>12</v>
      </c>
      <c r="AJ3669">
        <v>12</v>
      </c>
      <c r="AM3669">
        <v>0</v>
      </c>
      <c r="AN3669">
        <v>48.45</v>
      </c>
      <c r="AP3669">
        <v>15</v>
      </c>
    </row>
    <row r="3670" spans="1:42" x14ac:dyDescent="0.25">
      <c r="A3670" t="s">
        <v>46</v>
      </c>
      <c r="B3670">
        <v>4</v>
      </c>
      <c r="C3670" t="s">
        <v>2519</v>
      </c>
      <c r="D3670" s="39">
        <v>46119</v>
      </c>
      <c r="E3670" t="s">
        <v>243</v>
      </c>
      <c r="F3670" t="s">
        <v>79</v>
      </c>
      <c r="G3670">
        <v>26</v>
      </c>
      <c r="H3670">
        <v>5</v>
      </c>
      <c r="I3670" t="s">
        <v>79</v>
      </c>
      <c r="J3670">
        <v>325</v>
      </c>
      <c r="L3670">
        <v>5</v>
      </c>
      <c r="M3670">
        <v>293.28000000000003</v>
      </c>
      <c r="N3670">
        <v>13</v>
      </c>
      <c r="Q3670">
        <v>280.28000000000003</v>
      </c>
      <c r="R3670" t="s">
        <v>2520</v>
      </c>
      <c r="S3670">
        <v>20</v>
      </c>
      <c r="V3670">
        <v>20</v>
      </c>
      <c r="W3670">
        <v>0.33333333333333331</v>
      </c>
      <c r="Z3670">
        <v>120</v>
      </c>
      <c r="AF3670">
        <v>120</v>
      </c>
      <c r="AG3670">
        <v>2</v>
      </c>
      <c r="AH3670">
        <v>2.3333333333333335</v>
      </c>
      <c r="AI3670">
        <v>9.6666666666666661</v>
      </c>
      <c r="AJ3670">
        <v>12</v>
      </c>
      <c r="AM3670">
        <v>0</v>
      </c>
      <c r="AN3670">
        <v>298.28000000000003</v>
      </c>
      <c r="AP3670">
        <v>15</v>
      </c>
    </row>
    <row r="3671" spans="1:42" x14ac:dyDescent="0.25">
      <c r="A3671" t="s">
        <v>46</v>
      </c>
      <c r="B3671">
        <v>4</v>
      </c>
      <c r="C3671" t="s">
        <v>2521</v>
      </c>
      <c r="D3671" s="39">
        <v>46119</v>
      </c>
      <c r="E3671" t="s">
        <v>493</v>
      </c>
      <c r="F3671" t="s">
        <v>79</v>
      </c>
      <c r="G3671" t="s">
        <v>125</v>
      </c>
      <c r="H3671" t="s">
        <v>122</v>
      </c>
      <c r="I3671" t="s">
        <v>79</v>
      </c>
      <c r="J3671">
        <v>150</v>
      </c>
      <c r="L3671">
        <v>3</v>
      </c>
      <c r="M3671">
        <v>158.45000000000002</v>
      </c>
      <c r="N3671">
        <v>6.6000000000000005</v>
      </c>
      <c r="Q3671">
        <v>151.85000000000002</v>
      </c>
      <c r="R3671" t="s">
        <v>2522</v>
      </c>
      <c r="V3671">
        <v>0</v>
      </c>
      <c r="W3671">
        <v>0</v>
      </c>
      <c r="AF3671">
        <v>0</v>
      </c>
      <c r="AG3671">
        <v>0</v>
      </c>
      <c r="AH3671">
        <v>0</v>
      </c>
      <c r="AI3671">
        <v>12</v>
      </c>
      <c r="AJ3671">
        <v>12</v>
      </c>
      <c r="AM3671">
        <v>0</v>
      </c>
      <c r="AN3671">
        <v>163.45000000000002</v>
      </c>
      <c r="AP3671">
        <v>15</v>
      </c>
    </row>
    <row r="3672" spans="1:42" x14ac:dyDescent="0.25">
      <c r="A3672" t="s">
        <v>46</v>
      </c>
      <c r="B3672">
        <v>4</v>
      </c>
      <c r="C3672" t="s">
        <v>2521</v>
      </c>
      <c r="D3672" s="39">
        <v>46119</v>
      </c>
      <c r="E3672" t="s">
        <v>493</v>
      </c>
      <c r="F3672" t="s">
        <v>79</v>
      </c>
      <c r="G3672" t="s">
        <v>125</v>
      </c>
      <c r="H3672" t="s">
        <v>122</v>
      </c>
      <c r="I3672" t="s">
        <v>79</v>
      </c>
      <c r="J3672">
        <v>150</v>
      </c>
      <c r="L3672">
        <v>4</v>
      </c>
      <c r="M3672">
        <v>160.82000000000002</v>
      </c>
      <c r="N3672">
        <v>8.8000000000000007</v>
      </c>
      <c r="Q3672">
        <v>152.02000000000001</v>
      </c>
      <c r="R3672" t="s">
        <v>2522</v>
      </c>
      <c r="V3672">
        <v>0</v>
      </c>
      <c r="W3672">
        <v>0</v>
      </c>
      <c r="AF3672">
        <v>0</v>
      </c>
      <c r="AG3672">
        <v>0</v>
      </c>
      <c r="AH3672">
        <v>0</v>
      </c>
      <c r="AI3672">
        <v>12</v>
      </c>
      <c r="AJ3672">
        <v>12</v>
      </c>
      <c r="AM3672">
        <v>0</v>
      </c>
      <c r="AN3672">
        <v>165.82000000000002</v>
      </c>
      <c r="AP3672">
        <v>15</v>
      </c>
    </row>
    <row r="3673" spans="1:42" x14ac:dyDescent="0.25">
      <c r="A3673" t="s">
        <v>45</v>
      </c>
      <c r="B3673">
        <v>5</v>
      </c>
      <c r="C3673" t="s">
        <v>2518</v>
      </c>
      <c r="D3673" s="39">
        <v>46119</v>
      </c>
      <c r="E3673" t="s">
        <v>259</v>
      </c>
      <c r="F3673" t="s">
        <v>79</v>
      </c>
      <c r="G3673">
        <v>7</v>
      </c>
      <c r="H3673" t="s">
        <v>113</v>
      </c>
      <c r="I3673" t="s">
        <v>79</v>
      </c>
      <c r="J3673">
        <v>4500</v>
      </c>
      <c r="L3673">
        <v>10</v>
      </c>
      <c r="M3673">
        <v>390.04</v>
      </c>
      <c r="N3673">
        <v>7</v>
      </c>
      <c r="O3673">
        <v>15</v>
      </c>
      <c r="Q3673">
        <v>383.04</v>
      </c>
      <c r="R3673" t="s">
        <v>2571</v>
      </c>
      <c r="V3673">
        <v>0</v>
      </c>
      <c r="W3673">
        <v>0</v>
      </c>
      <c r="AF3673">
        <v>0</v>
      </c>
      <c r="AG3673">
        <v>0</v>
      </c>
      <c r="AH3673">
        <v>0</v>
      </c>
      <c r="AI3673">
        <v>12</v>
      </c>
      <c r="AJ3673">
        <v>12</v>
      </c>
      <c r="AM3673">
        <v>0</v>
      </c>
      <c r="AN3673">
        <v>395.04</v>
      </c>
      <c r="AP3673">
        <v>15</v>
      </c>
    </row>
    <row r="3674" spans="1:42" x14ac:dyDescent="0.25">
      <c r="A3674" t="s">
        <v>46</v>
      </c>
      <c r="B3674">
        <v>5</v>
      </c>
      <c r="C3674" t="s">
        <v>2518</v>
      </c>
      <c r="D3674" s="39">
        <v>46119</v>
      </c>
      <c r="E3674" t="s">
        <v>259</v>
      </c>
      <c r="F3674" t="s">
        <v>79</v>
      </c>
      <c r="G3674">
        <v>7</v>
      </c>
      <c r="H3674" t="s">
        <v>113</v>
      </c>
      <c r="I3674" t="s">
        <v>79</v>
      </c>
      <c r="J3674">
        <v>4500</v>
      </c>
      <c r="L3674">
        <v>2</v>
      </c>
      <c r="M3674">
        <v>80.12</v>
      </c>
      <c r="N3674">
        <v>1.4</v>
      </c>
      <c r="O3674">
        <v>18</v>
      </c>
      <c r="Q3674">
        <v>78.72</v>
      </c>
      <c r="R3674" t="s">
        <v>2571</v>
      </c>
      <c r="V3674">
        <v>0</v>
      </c>
      <c r="W3674">
        <v>0</v>
      </c>
      <c r="AF3674">
        <v>0</v>
      </c>
      <c r="AG3674">
        <v>0</v>
      </c>
      <c r="AH3674">
        <v>0</v>
      </c>
      <c r="AI3674">
        <v>12</v>
      </c>
      <c r="AJ3674">
        <v>12</v>
      </c>
      <c r="AM3674">
        <v>0</v>
      </c>
      <c r="AN3674">
        <v>85.12</v>
      </c>
      <c r="AP3674">
        <v>15</v>
      </c>
    </row>
    <row r="3675" spans="1:42" x14ac:dyDescent="0.25">
      <c r="A3675" t="s">
        <v>46</v>
      </c>
      <c r="B3675">
        <v>5</v>
      </c>
      <c r="C3675" t="s">
        <v>2495</v>
      </c>
      <c r="D3675" s="39">
        <v>46119</v>
      </c>
      <c r="E3675" t="s">
        <v>396</v>
      </c>
      <c r="F3675" t="s">
        <v>79</v>
      </c>
      <c r="G3675">
        <v>15</v>
      </c>
      <c r="H3675" t="s">
        <v>92</v>
      </c>
      <c r="I3675" t="s">
        <v>79</v>
      </c>
      <c r="J3675">
        <v>3000</v>
      </c>
      <c r="L3675">
        <v>9</v>
      </c>
      <c r="M3675">
        <v>480.76</v>
      </c>
      <c r="N3675">
        <v>13.5</v>
      </c>
      <c r="Q3675">
        <v>467.26</v>
      </c>
      <c r="R3675" t="s">
        <v>2515</v>
      </c>
      <c r="S3675">
        <v>20</v>
      </c>
      <c r="V3675">
        <v>20</v>
      </c>
      <c r="W3675">
        <v>0.33333333333333331</v>
      </c>
      <c r="AF3675">
        <v>0</v>
      </c>
      <c r="AG3675">
        <v>0</v>
      </c>
      <c r="AH3675">
        <v>0.33333333333333331</v>
      </c>
      <c r="AI3675">
        <v>11.666666666666666</v>
      </c>
      <c r="AJ3675">
        <v>12</v>
      </c>
      <c r="AM3675">
        <v>0</v>
      </c>
      <c r="AN3675">
        <v>485.76</v>
      </c>
      <c r="AP3675">
        <v>15</v>
      </c>
    </row>
    <row r="3676" spans="1:42" x14ac:dyDescent="0.25">
      <c r="A3676" t="s">
        <v>45</v>
      </c>
      <c r="B3676">
        <v>2</v>
      </c>
      <c r="C3676" t="s">
        <v>2475</v>
      </c>
      <c r="D3676" s="39">
        <v>46120</v>
      </c>
      <c r="E3676" t="s">
        <v>486</v>
      </c>
      <c r="F3676" t="s">
        <v>79</v>
      </c>
      <c r="G3676">
        <v>4</v>
      </c>
      <c r="H3676" t="s">
        <v>113</v>
      </c>
      <c r="I3676" t="s">
        <v>79</v>
      </c>
      <c r="J3676">
        <v>2000</v>
      </c>
      <c r="L3676">
        <v>10</v>
      </c>
      <c r="M3676">
        <v>186.96</v>
      </c>
      <c r="N3676">
        <v>4</v>
      </c>
      <c r="O3676">
        <v>30</v>
      </c>
      <c r="Q3676">
        <v>182.96</v>
      </c>
      <c r="R3676" t="s">
        <v>2514</v>
      </c>
      <c r="V3676">
        <v>0</v>
      </c>
      <c r="W3676">
        <v>0</v>
      </c>
      <c r="AF3676">
        <v>0</v>
      </c>
      <c r="AG3676">
        <v>0</v>
      </c>
      <c r="AH3676">
        <v>0</v>
      </c>
      <c r="AI3676">
        <v>12</v>
      </c>
      <c r="AJ3676">
        <v>12</v>
      </c>
      <c r="AM3676">
        <v>0</v>
      </c>
      <c r="AN3676">
        <v>191.96</v>
      </c>
      <c r="AP3676">
        <v>15</v>
      </c>
    </row>
    <row r="3677" spans="1:42" x14ac:dyDescent="0.25">
      <c r="A3677" t="s">
        <v>46</v>
      </c>
      <c r="B3677">
        <v>2</v>
      </c>
      <c r="C3677" t="s">
        <v>2475</v>
      </c>
      <c r="D3677" s="39">
        <v>46120</v>
      </c>
      <c r="E3677" t="s">
        <v>486</v>
      </c>
      <c r="F3677" t="s">
        <v>79</v>
      </c>
      <c r="G3677">
        <v>4</v>
      </c>
      <c r="H3677" t="s">
        <v>113</v>
      </c>
      <c r="I3677" t="s">
        <v>79</v>
      </c>
      <c r="J3677">
        <v>2000</v>
      </c>
      <c r="L3677">
        <v>11</v>
      </c>
      <c r="M3677">
        <v>206.20000000000002</v>
      </c>
      <c r="N3677">
        <v>4.4000000000000004</v>
      </c>
      <c r="O3677">
        <v>15</v>
      </c>
      <c r="Q3677">
        <v>201.8</v>
      </c>
      <c r="R3677" t="s">
        <v>2514</v>
      </c>
      <c r="V3677">
        <v>0</v>
      </c>
      <c r="W3677">
        <v>0</v>
      </c>
      <c r="AF3677">
        <v>0</v>
      </c>
      <c r="AG3677">
        <v>0</v>
      </c>
      <c r="AH3677">
        <v>0</v>
      </c>
      <c r="AI3677">
        <v>12</v>
      </c>
      <c r="AJ3677">
        <v>12</v>
      </c>
      <c r="AM3677">
        <v>0</v>
      </c>
      <c r="AN3677">
        <v>211.2</v>
      </c>
      <c r="AP3677">
        <v>15</v>
      </c>
    </row>
    <row r="3678" spans="1:42" x14ac:dyDescent="0.25">
      <c r="A3678" t="s">
        <v>45</v>
      </c>
      <c r="B3678">
        <v>4</v>
      </c>
      <c r="C3678" t="s">
        <v>2523</v>
      </c>
      <c r="D3678" s="39">
        <v>46120</v>
      </c>
      <c r="E3678" t="s">
        <v>493</v>
      </c>
      <c r="F3678" t="s">
        <v>79</v>
      </c>
      <c r="G3678" t="s">
        <v>125</v>
      </c>
      <c r="H3678" t="s">
        <v>122</v>
      </c>
      <c r="I3678" t="s">
        <v>79</v>
      </c>
      <c r="J3678">
        <v>100</v>
      </c>
      <c r="L3678">
        <v>3</v>
      </c>
      <c r="M3678">
        <v>118.24000000000001</v>
      </c>
      <c r="N3678">
        <v>5.3900000000000006</v>
      </c>
      <c r="Q3678">
        <v>112.85000000000001</v>
      </c>
      <c r="R3678" t="s">
        <v>2524</v>
      </c>
      <c r="V3678">
        <v>0</v>
      </c>
      <c r="W3678">
        <v>0</v>
      </c>
      <c r="AF3678">
        <v>0</v>
      </c>
      <c r="AG3678">
        <v>0</v>
      </c>
      <c r="AH3678">
        <v>0</v>
      </c>
      <c r="AI3678">
        <v>12</v>
      </c>
      <c r="AJ3678">
        <v>12</v>
      </c>
      <c r="AM3678">
        <v>0</v>
      </c>
      <c r="AN3678">
        <v>123.24</v>
      </c>
      <c r="AP3678">
        <v>15</v>
      </c>
    </row>
    <row r="3679" spans="1:42" x14ac:dyDescent="0.25">
      <c r="A3679" t="s">
        <v>45</v>
      </c>
      <c r="B3679">
        <v>4</v>
      </c>
      <c r="C3679" t="s">
        <v>2519</v>
      </c>
      <c r="D3679" s="39">
        <v>46120</v>
      </c>
      <c r="E3679" t="s">
        <v>243</v>
      </c>
      <c r="F3679" t="s">
        <v>79</v>
      </c>
      <c r="G3679">
        <v>26</v>
      </c>
      <c r="H3679">
        <v>5</v>
      </c>
      <c r="I3679" t="s">
        <v>79</v>
      </c>
      <c r="J3679">
        <v>325</v>
      </c>
      <c r="L3679">
        <v>3</v>
      </c>
      <c r="M3679">
        <v>171.93</v>
      </c>
      <c r="N3679">
        <v>5.3900000000000006</v>
      </c>
      <c r="Q3679">
        <v>166.54000000000002</v>
      </c>
      <c r="R3679" t="s">
        <v>2520</v>
      </c>
      <c r="V3679">
        <v>0</v>
      </c>
      <c r="W3679">
        <v>0</v>
      </c>
      <c r="AF3679">
        <v>0</v>
      </c>
      <c r="AG3679">
        <v>0</v>
      </c>
      <c r="AH3679">
        <v>0</v>
      </c>
      <c r="AI3679">
        <v>12</v>
      </c>
      <c r="AJ3679">
        <v>12</v>
      </c>
      <c r="AM3679">
        <v>0</v>
      </c>
      <c r="AN3679">
        <v>176.93</v>
      </c>
      <c r="AP3679">
        <v>15</v>
      </c>
    </row>
    <row r="3680" spans="1:42" x14ac:dyDescent="0.25">
      <c r="A3680" t="s">
        <v>45</v>
      </c>
      <c r="B3680">
        <v>4</v>
      </c>
      <c r="C3680" t="s">
        <v>2525</v>
      </c>
      <c r="D3680" s="39">
        <v>46120</v>
      </c>
      <c r="E3680" t="s">
        <v>828</v>
      </c>
      <c r="F3680" t="s">
        <v>79</v>
      </c>
      <c r="G3680">
        <v>19</v>
      </c>
      <c r="H3680" t="s">
        <v>102</v>
      </c>
      <c r="I3680" t="s">
        <v>79</v>
      </c>
      <c r="J3680">
        <v>200</v>
      </c>
      <c r="L3680">
        <v>3</v>
      </c>
      <c r="M3680">
        <v>159.55000000000001</v>
      </c>
      <c r="N3680">
        <v>6.3</v>
      </c>
      <c r="Q3680">
        <v>153.25</v>
      </c>
      <c r="R3680" t="s">
        <v>2526</v>
      </c>
      <c r="S3680">
        <v>30</v>
      </c>
      <c r="V3680">
        <v>30</v>
      </c>
      <c r="W3680">
        <v>0.5</v>
      </c>
      <c r="AF3680">
        <v>0</v>
      </c>
      <c r="AG3680">
        <v>0</v>
      </c>
      <c r="AH3680">
        <v>0.5</v>
      </c>
      <c r="AI3680">
        <v>11.5</v>
      </c>
      <c r="AJ3680">
        <v>12</v>
      </c>
      <c r="AM3680">
        <v>0</v>
      </c>
      <c r="AN3680">
        <v>164.55</v>
      </c>
      <c r="AP3680">
        <v>15</v>
      </c>
    </row>
    <row r="3681" spans="1:42" x14ac:dyDescent="0.25">
      <c r="A3681" t="s">
        <v>45</v>
      </c>
      <c r="B3681">
        <v>4</v>
      </c>
      <c r="C3681" t="s">
        <v>2527</v>
      </c>
      <c r="D3681" s="39">
        <v>46120</v>
      </c>
      <c r="E3681" t="s">
        <v>2528</v>
      </c>
      <c r="F3681" t="s">
        <v>79</v>
      </c>
      <c r="G3681">
        <v>22</v>
      </c>
      <c r="H3681" t="s">
        <v>124</v>
      </c>
      <c r="I3681" t="s">
        <v>79</v>
      </c>
      <c r="J3681">
        <v>150</v>
      </c>
      <c r="L3681">
        <v>3</v>
      </c>
      <c r="M3681">
        <v>160.43</v>
      </c>
      <c r="N3681">
        <v>5.3599999999999994</v>
      </c>
      <c r="Q3681">
        <v>155.07</v>
      </c>
      <c r="R3681" t="s">
        <v>2529</v>
      </c>
      <c r="S3681">
        <v>30</v>
      </c>
      <c r="V3681">
        <v>30</v>
      </c>
      <c r="W3681">
        <v>0.5</v>
      </c>
      <c r="AF3681">
        <v>0</v>
      </c>
      <c r="AG3681">
        <v>0</v>
      </c>
      <c r="AH3681">
        <v>0.5</v>
      </c>
      <c r="AI3681">
        <v>11.5</v>
      </c>
      <c r="AJ3681">
        <v>12</v>
      </c>
      <c r="AM3681">
        <v>0</v>
      </c>
      <c r="AN3681">
        <v>165.43</v>
      </c>
      <c r="AP3681">
        <v>15</v>
      </c>
    </row>
    <row r="3682" spans="1:42" x14ac:dyDescent="0.25">
      <c r="A3682" t="s">
        <v>46</v>
      </c>
      <c r="B3682">
        <v>4</v>
      </c>
      <c r="C3682" t="s">
        <v>2525</v>
      </c>
      <c r="D3682" s="39">
        <v>46120</v>
      </c>
      <c r="E3682" t="s">
        <v>828</v>
      </c>
      <c r="F3682" t="s">
        <v>79</v>
      </c>
      <c r="G3682">
        <v>19</v>
      </c>
      <c r="H3682" t="s">
        <v>102</v>
      </c>
      <c r="I3682" t="s">
        <v>79</v>
      </c>
      <c r="J3682">
        <v>200</v>
      </c>
      <c r="L3682">
        <v>1</v>
      </c>
      <c r="M3682">
        <v>50.17</v>
      </c>
      <c r="N3682">
        <v>1.9</v>
      </c>
      <c r="Q3682">
        <v>48.27</v>
      </c>
      <c r="R3682" t="s">
        <v>2526</v>
      </c>
      <c r="S3682">
        <v>30</v>
      </c>
      <c r="V3682">
        <v>30</v>
      </c>
      <c r="W3682">
        <v>0.5</v>
      </c>
      <c r="AF3682">
        <v>0</v>
      </c>
      <c r="AG3682">
        <v>0</v>
      </c>
      <c r="AH3682">
        <v>0.5</v>
      </c>
      <c r="AI3682">
        <v>11.5</v>
      </c>
      <c r="AJ3682">
        <v>12</v>
      </c>
      <c r="AM3682">
        <v>0</v>
      </c>
      <c r="AN3682">
        <v>55.17</v>
      </c>
      <c r="AP3682">
        <v>15</v>
      </c>
    </row>
    <row r="3683" spans="1:42" x14ac:dyDescent="0.25">
      <c r="A3683" t="s">
        <v>46</v>
      </c>
      <c r="B3683">
        <v>4</v>
      </c>
      <c r="C3683" t="s">
        <v>2530</v>
      </c>
      <c r="D3683" s="39">
        <v>46120</v>
      </c>
      <c r="E3683" t="s">
        <v>2500</v>
      </c>
      <c r="F3683" t="s">
        <v>79</v>
      </c>
      <c r="G3683">
        <v>18</v>
      </c>
      <c r="H3683" t="s">
        <v>1049</v>
      </c>
      <c r="I3683" t="s">
        <v>79</v>
      </c>
      <c r="J3683">
        <v>100</v>
      </c>
      <c r="L3683">
        <v>5</v>
      </c>
      <c r="M3683">
        <v>259.44</v>
      </c>
      <c r="N3683">
        <v>5.6999999999999993</v>
      </c>
      <c r="Q3683">
        <v>253.74</v>
      </c>
      <c r="R3683" t="s">
        <v>2531</v>
      </c>
      <c r="V3683">
        <v>0</v>
      </c>
      <c r="W3683">
        <v>0</v>
      </c>
      <c r="AF3683">
        <v>0</v>
      </c>
      <c r="AG3683">
        <v>0</v>
      </c>
      <c r="AH3683">
        <v>0</v>
      </c>
      <c r="AI3683">
        <v>12</v>
      </c>
      <c r="AJ3683">
        <v>12</v>
      </c>
      <c r="AM3683">
        <v>0</v>
      </c>
      <c r="AN3683">
        <v>264.44</v>
      </c>
      <c r="AP3683">
        <v>15</v>
      </c>
    </row>
    <row r="3684" spans="1:42" x14ac:dyDescent="0.25">
      <c r="A3684" t="s">
        <v>46</v>
      </c>
      <c r="B3684">
        <v>4</v>
      </c>
      <c r="C3684" t="s">
        <v>2532</v>
      </c>
      <c r="D3684" s="39">
        <v>46120</v>
      </c>
      <c r="E3684" t="s">
        <v>2533</v>
      </c>
      <c r="F3684" t="s">
        <v>79</v>
      </c>
      <c r="G3684">
        <v>18</v>
      </c>
      <c r="H3684" t="s">
        <v>135</v>
      </c>
      <c r="I3684" t="s">
        <v>79</v>
      </c>
      <c r="J3684">
        <v>100</v>
      </c>
      <c r="L3684">
        <v>1</v>
      </c>
      <c r="M3684">
        <v>53.56</v>
      </c>
      <c r="N3684">
        <v>5.6999999999999993</v>
      </c>
      <c r="Q3684">
        <v>47.86</v>
      </c>
      <c r="R3684" t="s">
        <v>2534</v>
      </c>
      <c r="V3684">
        <v>0</v>
      </c>
      <c r="W3684">
        <v>0</v>
      </c>
      <c r="AF3684">
        <v>0</v>
      </c>
      <c r="AG3684">
        <v>0</v>
      </c>
      <c r="AH3684">
        <v>0</v>
      </c>
      <c r="AI3684">
        <v>12</v>
      </c>
      <c r="AJ3684">
        <v>12</v>
      </c>
      <c r="AM3684">
        <v>0</v>
      </c>
      <c r="AN3684">
        <v>58.56</v>
      </c>
      <c r="AP3684">
        <v>15</v>
      </c>
    </row>
    <row r="3685" spans="1:42" x14ac:dyDescent="0.25">
      <c r="A3685" t="s">
        <v>46</v>
      </c>
      <c r="B3685">
        <v>4</v>
      </c>
      <c r="C3685" t="s">
        <v>2535</v>
      </c>
      <c r="D3685" s="39">
        <v>46120</v>
      </c>
      <c r="E3685" t="s">
        <v>2528</v>
      </c>
      <c r="F3685" t="s">
        <v>79</v>
      </c>
      <c r="G3685">
        <v>19</v>
      </c>
      <c r="H3685" t="s">
        <v>124</v>
      </c>
      <c r="I3685" t="s">
        <v>79</v>
      </c>
      <c r="J3685">
        <v>150</v>
      </c>
      <c r="L3685">
        <v>3</v>
      </c>
      <c r="M3685">
        <v>151.68</v>
      </c>
      <c r="N3685">
        <v>9</v>
      </c>
      <c r="Q3685">
        <v>142.68</v>
      </c>
      <c r="R3685" t="s">
        <v>2536</v>
      </c>
      <c r="V3685">
        <v>0</v>
      </c>
      <c r="W3685">
        <v>0</v>
      </c>
      <c r="AF3685">
        <v>0</v>
      </c>
      <c r="AG3685">
        <v>0</v>
      </c>
      <c r="AH3685">
        <v>0</v>
      </c>
      <c r="AI3685">
        <v>12</v>
      </c>
      <c r="AJ3685">
        <v>12</v>
      </c>
      <c r="AM3685">
        <v>0</v>
      </c>
      <c r="AN3685">
        <v>156.68</v>
      </c>
      <c r="AP3685">
        <v>15</v>
      </c>
    </row>
    <row r="3686" spans="1:42" x14ac:dyDescent="0.25">
      <c r="A3686" t="s">
        <v>46</v>
      </c>
      <c r="B3686">
        <v>4</v>
      </c>
      <c r="C3686" t="s">
        <v>2537</v>
      </c>
      <c r="D3686" s="39">
        <v>46120</v>
      </c>
      <c r="E3686" t="s">
        <v>2528</v>
      </c>
      <c r="F3686" t="s">
        <v>79</v>
      </c>
      <c r="G3686">
        <v>19</v>
      </c>
      <c r="H3686" t="s">
        <v>124</v>
      </c>
      <c r="I3686" t="s">
        <v>79</v>
      </c>
      <c r="J3686">
        <v>150</v>
      </c>
      <c r="L3686">
        <v>2</v>
      </c>
      <c r="M3686">
        <v>108.87</v>
      </c>
      <c r="N3686">
        <v>1.8</v>
      </c>
      <c r="Q3686">
        <v>107.07000000000001</v>
      </c>
      <c r="R3686" t="s">
        <v>2538</v>
      </c>
      <c r="V3686">
        <v>0</v>
      </c>
      <c r="W3686">
        <v>0</v>
      </c>
      <c r="AF3686">
        <v>0</v>
      </c>
      <c r="AG3686">
        <v>0</v>
      </c>
      <c r="AH3686">
        <v>0</v>
      </c>
      <c r="AI3686">
        <v>12</v>
      </c>
      <c r="AJ3686">
        <v>12</v>
      </c>
      <c r="AM3686">
        <v>0</v>
      </c>
      <c r="AN3686">
        <v>113.87</v>
      </c>
      <c r="AP3686">
        <v>15</v>
      </c>
    </row>
    <row r="3687" spans="1:42" x14ac:dyDescent="0.25">
      <c r="A3687" t="s">
        <v>45</v>
      </c>
      <c r="B3687">
        <v>5</v>
      </c>
      <c r="C3687" t="s">
        <v>2495</v>
      </c>
      <c r="D3687" s="39">
        <v>46120</v>
      </c>
      <c r="E3687" t="s">
        <v>396</v>
      </c>
      <c r="F3687" t="s">
        <v>79</v>
      </c>
      <c r="G3687">
        <v>15</v>
      </c>
      <c r="H3687" t="s">
        <v>92</v>
      </c>
      <c r="I3687" t="s">
        <v>79</v>
      </c>
      <c r="J3687">
        <v>3000</v>
      </c>
      <c r="L3687">
        <v>5</v>
      </c>
      <c r="M3687">
        <v>293.76</v>
      </c>
      <c r="N3687">
        <v>8.5</v>
      </c>
      <c r="Q3687">
        <v>285.26</v>
      </c>
      <c r="R3687" t="s">
        <v>2515</v>
      </c>
      <c r="V3687">
        <v>0</v>
      </c>
      <c r="W3687">
        <v>0</v>
      </c>
      <c r="AD3687">
        <v>120</v>
      </c>
      <c r="AF3687">
        <v>120</v>
      </c>
      <c r="AG3687">
        <v>2</v>
      </c>
      <c r="AH3687">
        <v>2</v>
      </c>
      <c r="AI3687">
        <v>10</v>
      </c>
      <c r="AJ3687">
        <v>12</v>
      </c>
      <c r="AM3687">
        <v>0</v>
      </c>
      <c r="AN3687">
        <v>298.76</v>
      </c>
      <c r="AP3687">
        <v>15</v>
      </c>
    </row>
    <row r="3688" spans="1:42" x14ac:dyDescent="0.25">
      <c r="A3688" t="s">
        <v>45</v>
      </c>
      <c r="B3688">
        <v>5</v>
      </c>
      <c r="C3688" t="s">
        <v>2539</v>
      </c>
      <c r="D3688" s="39">
        <v>46120</v>
      </c>
      <c r="E3688" t="s">
        <v>282</v>
      </c>
      <c r="F3688" t="s">
        <v>79</v>
      </c>
      <c r="G3688">
        <v>15</v>
      </c>
      <c r="H3688" t="s">
        <v>2497</v>
      </c>
      <c r="I3688" t="s">
        <v>79</v>
      </c>
      <c r="J3688">
        <v>500</v>
      </c>
      <c r="L3688">
        <v>4</v>
      </c>
      <c r="M3688">
        <v>224.60999999999999</v>
      </c>
      <c r="N3688">
        <v>6.8</v>
      </c>
      <c r="Q3688">
        <v>217.80999999999997</v>
      </c>
      <c r="R3688" t="s">
        <v>2540</v>
      </c>
      <c r="V3688">
        <v>0</v>
      </c>
      <c r="W3688">
        <v>0</v>
      </c>
      <c r="AF3688">
        <v>0</v>
      </c>
      <c r="AG3688">
        <v>0</v>
      </c>
      <c r="AH3688">
        <v>0</v>
      </c>
      <c r="AI3688">
        <v>12</v>
      </c>
      <c r="AJ3688">
        <v>12</v>
      </c>
      <c r="AM3688">
        <v>0</v>
      </c>
      <c r="AN3688">
        <v>229.61</v>
      </c>
      <c r="AP3688">
        <v>15</v>
      </c>
    </row>
    <row r="3689" spans="1:42" x14ac:dyDescent="0.25">
      <c r="A3689" t="s">
        <v>46</v>
      </c>
      <c r="B3689">
        <v>5</v>
      </c>
      <c r="C3689" t="s">
        <v>2539</v>
      </c>
      <c r="D3689" s="39">
        <v>46120</v>
      </c>
      <c r="E3689" t="s">
        <v>282</v>
      </c>
      <c r="F3689" t="s">
        <v>79</v>
      </c>
      <c r="G3689">
        <v>15</v>
      </c>
      <c r="H3689" t="s">
        <v>2497</v>
      </c>
      <c r="I3689" t="s">
        <v>79</v>
      </c>
      <c r="J3689">
        <v>500</v>
      </c>
      <c r="L3689">
        <v>5</v>
      </c>
      <c r="M3689">
        <v>301.64999999999998</v>
      </c>
      <c r="N3689">
        <v>7.5</v>
      </c>
      <c r="Q3689">
        <v>294.14999999999998</v>
      </c>
      <c r="R3689" t="s">
        <v>2540</v>
      </c>
      <c r="S3689">
        <v>20</v>
      </c>
      <c r="V3689">
        <v>20</v>
      </c>
      <c r="W3689">
        <v>0.33333333333333331</v>
      </c>
      <c r="AF3689">
        <v>0</v>
      </c>
      <c r="AG3689">
        <v>0</v>
      </c>
      <c r="AH3689">
        <v>0.33333333333333331</v>
      </c>
      <c r="AI3689">
        <v>11.666666666666666</v>
      </c>
      <c r="AJ3689">
        <v>12</v>
      </c>
      <c r="AM3689">
        <v>0</v>
      </c>
      <c r="AN3689">
        <v>306.64999999999998</v>
      </c>
      <c r="AP3689">
        <v>15</v>
      </c>
    </row>
    <row r="3690" spans="1:42" x14ac:dyDescent="0.25">
      <c r="A3690" t="s">
        <v>46</v>
      </c>
      <c r="B3690">
        <v>5</v>
      </c>
      <c r="C3690" t="s">
        <v>2495</v>
      </c>
      <c r="D3690" s="39">
        <v>46120</v>
      </c>
      <c r="E3690" t="s">
        <v>396</v>
      </c>
      <c r="F3690" t="s">
        <v>79</v>
      </c>
      <c r="G3690">
        <v>15</v>
      </c>
      <c r="H3690" t="s">
        <v>92</v>
      </c>
      <c r="I3690" t="s">
        <v>79</v>
      </c>
      <c r="J3690">
        <v>3000</v>
      </c>
      <c r="L3690">
        <v>1</v>
      </c>
      <c r="M3690">
        <v>37.64</v>
      </c>
      <c r="N3690">
        <v>1.5</v>
      </c>
      <c r="Q3690">
        <v>36.14</v>
      </c>
      <c r="R3690" t="s">
        <v>2515</v>
      </c>
      <c r="S3690">
        <v>20</v>
      </c>
      <c r="V3690">
        <v>20</v>
      </c>
      <c r="W3690">
        <v>0.33333333333333331</v>
      </c>
      <c r="AF3690">
        <v>0</v>
      </c>
      <c r="AG3690">
        <v>0</v>
      </c>
      <c r="AH3690">
        <v>0.33333333333333331</v>
      </c>
      <c r="AI3690">
        <v>11.666666666666666</v>
      </c>
      <c r="AJ3690">
        <v>12</v>
      </c>
      <c r="AM3690">
        <v>0</v>
      </c>
      <c r="AN3690">
        <v>42.64</v>
      </c>
      <c r="AP3690">
        <v>15</v>
      </c>
    </row>
    <row r="3691" spans="1:42" x14ac:dyDescent="0.25">
      <c r="A3691" t="s">
        <v>46</v>
      </c>
      <c r="B3691">
        <v>5</v>
      </c>
      <c r="C3691" t="s">
        <v>2541</v>
      </c>
      <c r="D3691" s="39">
        <v>46120</v>
      </c>
      <c r="E3691" t="s">
        <v>282</v>
      </c>
      <c r="F3691" t="s">
        <v>79</v>
      </c>
      <c r="G3691">
        <v>13</v>
      </c>
      <c r="H3691" t="s">
        <v>2497</v>
      </c>
      <c r="I3691" t="s">
        <v>79</v>
      </c>
      <c r="J3691">
        <v>300</v>
      </c>
      <c r="L3691">
        <v>6</v>
      </c>
      <c r="M3691">
        <v>313.24</v>
      </c>
      <c r="N3691">
        <v>7.8000000000000007</v>
      </c>
      <c r="Q3691">
        <v>305.44</v>
      </c>
      <c r="R3691" t="s">
        <v>2542</v>
      </c>
      <c r="S3691">
        <v>20</v>
      </c>
      <c r="V3691">
        <v>20</v>
      </c>
      <c r="W3691">
        <v>0.33333333333333331</v>
      </c>
      <c r="AF3691">
        <v>0</v>
      </c>
      <c r="AG3691">
        <v>0</v>
      </c>
      <c r="AH3691">
        <v>0.33333333333333331</v>
      </c>
      <c r="AI3691">
        <v>11.666666666666666</v>
      </c>
      <c r="AJ3691">
        <v>12</v>
      </c>
      <c r="AM3691">
        <v>0</v>
      </c>
      <c r="AN3691">
        <v>318.24</v>
      </c>
      <c r="AP3691">
        <v>15</v>
      </c>
    </row>
    <row r="3692" spans="1:42" x14ac:dyDescent="0.25">
      <c r="A3692" t="s">
        <v>45</v>
      </c>
      <c r="B3692">
        <v>2</v>
      </c>
      <c r="C3692" t="s">
        <v>2475</v>
      </c>
      <c r="D3692" s="39">
        <v>46121</v>
      </c>
      <c r="E3692" t="s">
        <v>486</v>
      </c>
      <c r="F3692" t="s">
        <v>79</v>
      </c>
      <c r="G3692">
        <v>4</v>
      </c>
      <c r="H3692" t="s">
        <v>113</v>
      </c>
      <c r="I3692" t="s">
        <v>79</v>
      </c>
      <c r="J3692">
        <v>2000</v>
      </c>
      <c r="L3692">
        <v>7</v>
      </c>
      <c r="M3692">
        <v>132.71</v>
      </c>
      <c r="N3692">
        <v>2.8000000000000003</v>
      </c>
      <c r="O3692">
        <v>17</v>
      </c>
      <c r="Q3692">
        <v>129.91</v>
      </c>
      <c r="R3692" t="s">
        <v>2514</v>
      </c>
      <c r="S3692">
        <v>20</v>
      </c>
      <c r="V3692">
        <v>20</v>
      </c>
      <c r="W3692">
        <v>0.33333333333333331</v>
      </c>
      <c r="AF3692">
        <v>0</v>
      </c>
      <c r="AG3692">
        <v>0</v>
      </c>
      <c r="AH3692">
        <v>0.33333333333333331</v>
      </c>
      <c r="AI3692">
        <v>11.666666666666666</v>
      </c>
      <c r="AJ3692">
        <v>12</v>
      </c>
      <c r="AM3692">
        <v>0</v>
      </c>
      <c r="AN3692">
        <v>137.71</v>
      </c>
      <c r="AP3692">
        <v>15</v>
      </c>
    </row>
    <row r="3693" spans="1:42" x14ac:dyDescent="0.25">
      <c r="A3693" t="s">
        <v>45</v>
      </c>
      <c r="B3693">
        <v>2</v>
      </c>
      <c r="C3693" t="s">
        <v>2543</v>
      </c>
      <c r="D3693" s="39">
        <v>46121</v>
      </c>
      <c r="E3693" t="s">
        <v>259</v>
      </c>
      <c r="F3693" t="s">
        <v>79</v>
      </c>
      <c r="G3693">
        <v>6</v>
      </c>
      <c r="H3693" t="s">
        <v>113</v>
      </c>
      <c r="I3693" t="s">
        <v>79</v>
      </c>
      <c r="J3693">
        <v>4500</v>
      </c>
      <c r="L3693">
        <v>3</v>
      </c>
      <c r="M3693">
        <v>48.88</v>
      </c>
      <c r="N3693">
        <v>1.7999999999999998</v>
      </c>
      <c r="Q3693">
        <v>47.080000000000005</v>
      </c>
      <c r="R3693" t="s">
        <v>2572</v>
      </c>
      <c r="V3693">
        <v>0</v>
      </c>
      <c r="W3693">
        <v>0</v>
      </c>
      <c r="AF3693">
        <v>0</v>
      </c>
      <c r="AG3693">
        <v>0</v>
      </c>
      <c r="AH3693">
        <v>0</v>
      </c>
      <c r="AI3693">
        <v>12</v>
      </c>
      <c r="AJ3693">
        <v>12</v>
      </c>
      <c r="AM3693">
        <v>0</v>
      </c>
      <c r="AN3693">
        <v>53.88</v>
      </c>
      <c r="AP3693">
        <v>15</v>
      </c>
    </row>
    <row r="3694" spans="1:42" x14ac:dyDescent="0.25">
      <c r="A3694" t="s">
        <v>46</v>
      </c>
      <c r="B3694">
        <v>2</v>
      </c>
      <c r="C3694" t="s">
        <v>2543</v>
      </c>
      <c r="D3694" s="39">
        <v>46121</v>
      </c>
      <c r="E3694" t="s">
        <v>259</v>
      </c>
      <c r="F3694" t="s">
        <v>79</v>
      </c>
      <c r="G3694">
        <v>6</v>
      </c>
      <c r="H3694" t="s">
        <v>113</v>
      </c>
      <c r="I3694" t="s">
        <v>79</v>
      </c>
      <c r="J3694">
        <v>4500</v>
      </c>
      <c r="L3694">
        <v>10</v>
      </c>
      <c r="M3694">
        <v>237.4</v>
      </c>
      <c r="N3694">
        <v>6</v>
      </c>
      <c r="O3694">
        <v>4</v>
      </c>
      <c r="Q3694">
        <v>231.4</v>
      </c>
      <c r="R3694" t="s">
        <v>2572</v>
      </c>
      <c r="V3694">
        <v>0</v>
      </c>
      <c r="W3694">
        <v>0</v>
      </c>
      <c r="AF3694">
        <v>0</v>
      </c>
      <c r="AG3694">
        <v>0</v>
      </c>
      <c r="AH3694">
        <v>0</v>
      </c>
      <c r="AI3694">
        <v>12</v>
      </c>
      <c r="AJ3694">
        <v>12</v>
      </c>
      <c r="AM3694">
        <v>0</v>
      </c>
      <c r="AN3694">
        <v>242.4</v>
      </c>
      <c r="AP3694">
        <v>15</v>
      </c>
    </row>
    <row r="3695" spans="1:42" x14ac:dyDescent="0.25">
      <c r="A3695" t="s">
        <v>45</v>
      </c>
      <c r="B3695">
        <v>4</v>
      </c>
      <c r="C3695" t="s">
        <v>2532</v>
      </c>
      <c r="D3695" s="39">
        <v>46121</v>
      </c>
      <c r="E3695" t="s">
        <v>2533</v>
      </c>
      <c r="F3695" t="s">
        <v>79</v>
      </c>
      <c r="G3695">
        <v>18</v>
      </c>
      <c r="H3695" t="s">
        <v>135</v>
      </c>
      <c r="I3695" t="s">
        <v>79</v>
      </c>
      <c r="J3695">
        <v>100</v>
      </c>
      <c r="L3695">
        <v>2</v>
      </c>
      <c r="M3695">
        <v>98.289999999999992</v>
      </c>
      <c r="N3695">
        <v>3.8</v>
      </c>
      <c r="Q3695">
        <v>94.49</v>
      </c>
      <c r="R3695" t="s">
        <v>2534</v>
      </c>
      <c r="S3695">
        <v>20</v>
      </c>
      <c r="V3695">
        <v>20</v>
      </c>
      <c r="W3695">
        <v>0.33333333333333331</v>
      </c>
      <c r="AF3695">
        <v>0</v>
      </c>
      <c r="AG3695">
        <v>0</v>
      </c>
      <c r="AH3695">
        <v>0.33333333333333331</v>
      </c>
      <c r="AI3695">
        <v>11.666666666666666</v>
      </c>
      <c r="AJ3695">
        <v>12</v>
      </c>
      <c r="AM3695">
        <v>0</v>
      </c>
      <c r="AN3695">
        <v>103.29</v>
      </c>
      <c r="AP3695">
        <v>15</v>
      </c>
    </row>
    <row r="3696" spans="1:42" x14ac:dyDescent="0.25">
      <c r="A3696" t="s">
        <v>45</v>
      </c>
      <c r="B3696">
        <v>4</v>
      </c>
      <c r="C3696" t="s">
        <v>2544</v>
      </c>
      <c r="D3696" s="39">
        <v>46121</v>
      </c>
      <c r="E3696" t="s">
        <v>200</v>
      </c>
      <c r="F3696" t="s">
        <v>79</v>
      </c>
      <c r="G3696">
        <v>18</v>
      </c>
      <c r="H3696" t="s">
        <v>123</v>
      </c>
      <c r="I3696" t="s">
        <v>79</v>
      </c>
      <c r="J3696">
        <v>250</v>
      </c>
      <c r="L3696">
        <v>4</v>
      </c>
      <c r="M3696">
        <v>262.65999999999997</v>
      </c>
      <c r="N3696">
        <v>8.2000000000000011</v>
      </c>
      <c r="Q3696">
        <v>254.45999999999998</v>
      </c>
      <c r="R3696" t="s">
        <v>2545</v>
      </c>
      <c r="V3696">
        <v>0</v>
      </c>
      <c r="W3696">
        <v>0</v>
      </c>
      <c r="AF3696">
        <v>0</v>
      </c>
      <c r="AG3696">
        <v>0</v>
      </c>
      <c r="AH3696">
        <v>0</v>
      </c>
      <c r="AI3696">
        <v>12</v>
      </c>
      <c r="AJ3696">
        <v>12</v>
      </c>
      <c r="AM3696">
        <v>0</v>
      </c>
      <c r="AN3696">
        <v>267.65999999999997</v>
      </c>
      <c r="AP3696">
        <v>15</v>
      </c>
    </row>
    <row r="3697" spans="1:42" x14ac:dyDescent="0.25">
      <c r="A3697" t="s">
        <v>45</v>
      </c>
      <c r="B3697">
        <v>4</v>
      </c>
      <c r="C3697" t="s">
        <v>2546</v>
      </c>
      <c r="D3697" s="39">
        <v>46121</v>
      </c>
      <c r="E3697" t="s">
        <v>400</v>
      </c>
      <c r="F3697" t="s">
        <v>79</v>
      </c>
      <c r="G3697">
        <v>16</v>
      </c>
      <c r="H3697" t="s">
        <v>127</v>
      </c>
      <c r="I3697" t="s">
        <v>79</v>
      </c>
      <c r="J3697">
        <v>525</v>
      </c>
      <c r="L3697">
        <v>2</v>
      </c>
      <c r="M3697">
        <v>100.62</v>
      </c>
      <c r="N3697">
        <v>4</v>
      </c>
      <c r="Q3697">
        <v>96.62</v>
      </c>
      <c r="R3697" t="s">
        <v>2547</v>
      </c>
      <c r="V3697">
        <v>0</v>
      </c>
      <c r="W3697">
        <v>0</v>
      </c>
      <c r="AF3697">
        <v>0</v>
      </c>
      <c r="AG3697">
        <v>0</v>
      </c>
      <c r="AH3697">
        <v>0</v>
      </c>
      <c r="AI3697">
        <v>12</v>
      </c>
      <c r="AJ3697">
        <v>12</v>
      </c>
      <c r="AM3697">
        <v>0</v>
      </c>
      <c r="AN3697">
        <v>105.62</v>
      </c>
      <c r="AP3697">
        <v>15</v>
      </c>
    </row>
    <row r="3698" spans="1:42" x14ac:dyDescent="0.25">
      <c r="A3698" t="s">
        <v>45</v>
      </c>
      <c r="B3698">
        <v>4</v>
      </c>
      <c r="C3698" t="s">
        <v>2530</v>
      </c>
      <c r="D3698" s="39">
        <v>46121</v>
      </c>
      <c r="E3698" t="s">
        <v>2500</v>
      </c>
      <c r="F3698" t="s">
        <v>79</v>
      </c>
      <c r="G3698">
        <v>18</v>
      </c>
      <c r="H3698" t="s">
        <v>1049</v>
      </c>
      <c r="I3698" t="s">
        <v>79</v>
      </c>
      <c r="J3698">
        <v>100</v>
      </c>
      <c r="L3698">
        <v>3</v>
      </c>
      <c r="M3698">
        <v>166.79</v>
      </c>
      <c r="N3698">
        <v>6</v>
      </c>
      <c r="Q3698">
        <v>160.79</v>
      </c>
      <c r="R3698" t="s">
        <v>2531</v>
      </c>
      <c r="V3698">
        <v>0</v>
      </c>
      <c r="W3698">
        <v>0</v>
      </c>
      <c r="AF3698">
        <v>0</v>
      </c>
      <c r="AG3698">
        <v>0</v>
      </c>
      <c r="AH3698">
        <v>0</v>
      </c>
      <c r="AI3698">
        <v>12</v>
      </c>
      <c r="AJ3698">
        <v>12</v>
      </c>
      <c r="AM3698">
        <v>0</v>
      </c>
      <c r="AN3698">
        <v>171.79</v>
      </c>
      <c r="AP3698">
        <v>15</v>
      </c>
    </row>
    <row r="3699" spans="1:42" x14ac:dyDescent="0.25">
      <c r="A3699" t="s">
        <v>45</v>
      </c>
      <c r="B3699">
        <v>4</v>
      </c>
      <c r="C3699" t="s">
        <v>2548</v>
      </c>
      <c r="D3699" s="39">
        <v>46121</v>
      </c>
      <c r="E3699" t="s">
        <v>200</v>
      </c>
      <c r="F3699" t="s">
        <v>79</v>
      </c>
      <c r="G3699">
        <v>18</v>
      </c>
      <c r="H3699" t="s">
        <v>578</v>
      </c>
      <c r="I3699" t="s">
        <v>79</v>
      </c>
      <c r="J3699">
        <v>100</v>
      </c>
      <c r="L3699">
        <v>2</v>
      </c>
      <c r="M3699">
        <v>114.25</v>
      </c>
      <c r="N3699">
        <v>4.0999999999999996</v>
      </c>
      <c r="Q3699">
        <v>110.15</v>
      </c>
      <c r="R3699" t="s">
        <v>2549</v>
      </c>
      <c r="V3699">
        <v>0</v>
      </c>
      <c r="W3699">
        <v>0</v>
      </c>
      <c r="AF3699">
        <v>0</v>
      </c>
      <c r="AG3699">
        <v>0</v>
      </c>
      <c r="AH3699">
        <v>0</v>
      </c>
      <c r="AI3699">
        <v>12</v>
      </c>
      <c r="AJ3699">
        <v>12</v>
      </c>
      <c r="AM3699">
        <v>0</v>
      </c>
      <c r="AN3699">
        <v>119.25</v>
      </c>
      <c r="AP3699">
        <v>15</v>
      </c>
    </row>
    <row r="3700" spans="1:42" x14ac:dyDescent="0.25">
      <c r="A3700" t="s">
        <v>46</v>
      </c>
      <c r="B3700">
        <v>4</v>
      </c>
      <c r="C3700" t="s">
        <v>2546</v>
      </c>
      <c r="D3700" s="39">
        <v>46121</v>
      </c>
      <c r="E3700" t="s">
        <v>400</v>
      </c>
      <c r="F3700" t="s">
        <v>79</v>
      </c>
      <c r="G3700">
        <v>16</v>
      </c>
      <c r="H3700" t="s">
        <v>127</v>
      </c>
      <c r="I3700" t="s">
        <v>79</v>
      </c>
      <c r="J3700">
        <v>525</v>
      </c>
      <c r="L3700">
        <v>11</v>
      </c>
      <c r="M3700">
        <v>551.31000000000006</v>
      </c>
      <c r="N3700">
        <v>22</v>
      </c>
      <c r="Q3700">
        <v>529.31000000000006</v>
      </c>
      <c r="R3700" t="s">
        <v>2547</v>
      </c>
      <c r="V3700">
        <v>0</v>
      </c>
      <c r="W3700">
        <v>0</v>
      </c>
      <c r="AF3700">
        <v>0</v>
      </c>
      <c r="AG3700">
        <v>0</v>
      </c>
      <c r="AH3700">
        <v>0</v>
      </c>
      <c r="AI3700">
        <v>12</v>
      </c>
      <c r="AJ3700">
        <v>12</v>
      </c>
      <c r="AM3700">
        <v>0</v>
      </c>
      <c r="AN3700">
        <v>556.31000000000006</v>
      </c>
      <c r="AP3700">
        <v>15</v>
      </c>
    </row>
    <row r="3701" spans="1:42" x14ac:dyDescent="0.25">
      <c r="A3701" t="s">
        <v>45</v>
      </c>
      <c r="B3701">
        <v>5</v>
      </c>
      <c r="C3701" t="s">
        <v>2495</v>
      </c>
      <c r="D3701" s="39">
        <v>46121</v>
      </c>
      <c r="E3701" t="s">
        <v>396</v>
      </c>
      <c r="F3701" t="s">
        <v>79</v>
      </c>
      <c r="G3701">
        <v>15</v>
      </c>
      <c r="H3701" t="s">
        <v>92</v>
      </c>
      <c r="I3701" t="s">
        <v>79</v>
      </c>
      <c r="J3701">
        <v>3000</v>
      </c>
      <c r="L3701">
        <v>9</v>
      </c>
      <c r="M3701">
        <v>624.46</v>
      </c>
      <c r="N3701">
        <v>15.299999999999999</v>
      </c>
      <c r="Q3701">
        <v>609.16000000000008</v>
      </c>
      <c r="R3701" t="s">
        <v>2515</v>
      </c>
      <c r="V3701">
        <v>0</v>
      </c>
      <c r="W3701">
        <v>0</v>
      </c>
      <c r="AF3701">
        <v>0</v>
      </c>
      <c r="AG3701">
        <v>0</v>
      </c>
      <c r="AH3701">
        <v>0</v>
      </c>
      <c r="AI3701">
        <v>12</v>
      </c>
      <c r="AJ3701">
        <v>12</v>
      </c>
      <c r="AM3701">
        <v>0</v>
      </c>
      <c r="AN3701">
        <v>629.46</v>
      </c>
      <c r="AP3701">
        <v>15</v>
      </c>
    </row>
    <row r="3702" spans="1:42" x14ac:dyDescent="0.25">
      <c r="A3702" t="s">
        <v>46</v>
      </c>
      <c r="B3702">
        <v>5</v>
      </c>
      <c r="C3702" t="s">
        <v>2495</v>
      </c>
      <c r="D3702" s="39">
        <v>46121</v>
      </c>
      <c r="E3702" t="s">
        <v>396</v>
      </c>
      <c r="F3702" t="s">
        <v>79</v>
      </c>
      <c r="G3702">
        <v>15</v>
      </c>
      <c r="H3702" t="s">
        <v>92</v>
      </c>
      <c r="I3702" t="s">
        <v>79</v>
      </c>
      <c r="J3702">
        <v>3000</v>
      </c>
      <c r="L3702">
        <v>11</v>
      </c>
      <c r="M3702">
        <v>637.4</v>
      </c>
      <c r="N3702">
        <v>18.7</v>
      </c>
      <c r="Q3702">
        <v>618.69999999999993</v>
      </c>
      <c r="R3702" t="s">
        <v>2515</v>
      </c>
      <c r="V3702">
        <v>0</v>
      </c>
      <c r="W3702">
        <v>0</v>
      </c>
      <c r="AF3702">
        <v>0</v>
      </c>
      <c r="AG3702">
        <v>0</v>
      </c>
      <c r="AH3702">
        <v>0</v>
      </c>
      <c r="AI3702">
        <v>12</v>
      </c>
      <c r="AJ3702">
        <v>12</v>
      </c>
      <c r="AM3702">
        <v>0</v>
      </c>
      <c r="AN3702">
        <v>642.4</v>
      </c>
      <c r="AP3702">
        <v>15</v>
      </c>
    </row>
    <row r="3703" spans="1:42" x14ac:dyDescent="0.25">
      <c r="A3703" t="s">
        <v>45</v>
      </c>
      <c r="B3703">
        <v>2</v>
      </c>
      <c r="C3703" t="s">
        <v>2543</v>
      </c>
      <c r="D3703" s="39">
        <v>46122</v>
      </c>
      <c r="E3703" t="s">
        <v>259</v>
      </c>
      <c r="F3703" t="s">
        <v>79</v>
      </c>
      <c r="G3703">
        <v>6</v>
      </c>
      <c r="H3703" t="s">
        <v>113</v>
      </c>
      <c r="I3703" t="s">
        <v>79</v>
      </c>
      <c r="J3703">
        <v>4500</v>
      </c>
      <c r="L3703">
        <v>10</v>
      </c>
      <c r="M3703">
        <v>236.37</v>
      </c>
      <c r="N3703">
        <v>6</v>
      </c>
      <c r="Q3703">
        <v>230.37</v>
      </c>
      <c r="R3703" t="s">
        <v>2572</v>
      </c>
      <c r="V3703">
        <v>0</v>
      </c>
      <c r="W3703">
        <v>0</v>
      </c>
      <c r="AF3703">
        <v>0</v>
      </c>
      <c r="AG3703">
        <v>0</v>
      </c>
      <c r="AH3703">
        <v>0</v>
      </c>
      <c r="AI3703">
        <v>12</v>
      </c>
      <c r="AJ3703">
        <v>12</v>
      </c>
      <c r="AM3703">
        <v>0</v>
      </c>
      <c r="AN3703">
        <v>241.37</v>
      </c>
      <c r="AP3703">
        <v>15</v>
      </c>
    </row>
    <row r="3704" spans="1:42" x14ac:dyDescent="0.25">
      <c r="A3704" t="s">
        <v>46</v>
      </c>
      <c r="B3704">
        <v>2</v>
      </c>
      <c r="C3704" t="s">
        <v>2543</v>
      </c>
      <c r="D3704" s="39">
        <v>46122</v>
      </c>
      <c r="E3704" t="s">
        <v>259</v>
      </c>
      <c r="F3704" t="s">
        <v>79</v>
      </c>
      <c r="G3704">
        <v>6</v>
      </c>
      <c r="H3704" t="s">
        <v>113</v>
      </c>
      <c r="I3704" t="s">
        <v>79</v>
      </c>
      <c r="J3704">
        <v>4500</v>
      </c>
      <c r="L3704">
        <v>10</v>
      </c>
      <c r="M3704">
        <v>233.82999999999998</v>
      </c>
      <c r="N3704">
        <v>6</v>
      </c>
      <c r="Q3704">
        <v>227.82999999999998</v>
      </c>
      <c r="R3704" t="s">
        <v>2572</v>
      </c>
      <c r="V3704">
        <v>0</v>
      </c>
      <c r="W3704">
        <v>0</v>
      </c>
      <c r="AF3704">
        <v>0</v>
      </c>
      <c r="AG3704">
        <v>0</v>
      </c>
      <c r="AH3704">
        <v>0</v>
      </c>
      <c r="AI3704">
        <v>12</v>
      </c>
      <c r="AJ3704">
        <v>12</v>
      </c>
      <c r="AM3704">
        <v>0</v>
      </c>
      <c r="AN3704">
        <v>238.83</v>
      </c>
      <c r="AP3704">
        <v>15</v>
      </c>
    </row>
    <row r="3705" spans="1:42" x14ac:dyDescent="0.25">
      <c r="A3705" t="s">
        <v>45</v>
      </c>
      <c r="B3705">
        <v>4</v>
      </c>
      <c r="C3705" t="s">
        <v>2546</v>
      </c>
      <c r="D3705" s="39">
        <v>46122</v>
      </c>
      <c r="E3705" t="s">
        <v>400</v>
      </c>
      <c r="F3705" t="s">
        <v>79</v>
      </c>
      <c r="G3705">
        <v>16</v>
      </c>
      <c r="H3705" t="s">
        <v>127</v>
      </c>
      <c r="I3705" t="s">
        <v>79</v>
      </c>
      <c r="J3705">
        <v>525</v>
      </c>
      <c r="L3705">
        <v>8</v>
      </c>
      <c r="M3705">
        <v>436.38000000000005</v>
      </c>
      <c r="N3705">
        <v>15.2</v>
      </c>
      <c r="O3705">
        <v>52</v>
      </c>
      <c r="Q3705">
        <v>421.18000000000006</v>
      </c>
      <c r="R3705" t="s">
        <v>2547</v>
      </c>
      <c r="S3705">
        <v>35</v>
      </c>
      <c r="V3705">
        <v>35</v>
      </c>
      <c r="W3705">
        <v>0.58333333333333337</v>
      </c>
      <c r="AF3705">
        <v>0</v>
      </c>
      <c r="AG3705">
        <v>0</v>
      </c>
      <c r="AH3705">
        <v>0.58333333333333337</v>
      </c>
      <c r="AI3705">
        <v>11.416666666666666</v>
      </c>
      <c r="AJ3705">
        <v>12</v>
      </c>
      <c r="AM3705">
        <v>0</v>
      </c>
      <c r="AN3705">
        <v>441.38000000000005</v>
      </c>
      <c r="AP3705">
        <v>15</v>
      </c>
    </row>
    <row r="3706" spans="1:42" x14ac:dyDescent="0.25">
      <c r="A3706" t="s">
        <v>45</v>
      </c>
      <c r="B3706">
        <v>4</v>
      </c>
      <c r="C3706" t="s">
        <v>2550</v>
      </c>
      <c r="D3706" s="39">
        <v>46122</v>
      </c>
      <c r="E3706" t="s">
        <v>2196</v>
      </c>
      <c r="F3706" t="s">
        <v>79</v>
      </c>
      <c r="G3706" t="s">
        <v>2551</v>
      </c>
      <c r="H3706" t="s">
        <v>1854</v>
      </c>
      <c r="I3706" t="s">
        <v>79</v>
      </c>
      <c r="J3706">
        <v>200</v>
      </c>
      <c r="L3706">
        <v>3</v>
      </c>
      <c r="M3706">
        <v>75.83</v>
      </c>
      <c r="N3706">
        <v>7.1999999999999993</v>
      </c>
      <c r="Q3706">
        <v>68.63</v>
      </c>
      <c r="R3706" t="s">
        <v>2552</v>
      </c>
      <c r="V3706">
        <v>0</v>
      </c>
      <c r="W3706">
        <v>0</v>
      </c>
      <c r="AF3706">
        <v>0</v>
      </c>
      <c r="AG3706">
        <v>0</v>
      </c>
      <c r="AH3706">
        <v>0</v>
      </c>
      <c r="AI3706">
        <v>12</v>
      </c>
      <c r="AJ3706">
        <v>12</v>
      </c>
      <c r="AM3706">
        <v>0</v>
      </c>
      <c r="AN3706">
        <v>80.83</v>
      </c>
      <c r="AP3706">
        <v>15</v>
      </c>
    </row>
    <row r="3707" spans="1:42" x14ac:dyDescent="0.25">
      <c r="A3707" t="s">
        <v>46</v>
      </c>
      <c r="B3707">
        <v>4</v>
      </c>
      <c r="C3707" t="s">
        <v>2550</v>
      </c>
      <c r="D3707" s="39">
        <v>46122</v>
      </c>
      <c r="E3707" t="s">
        <v>2196</v>
      </c>
      <c r="F3707" t="s">
        <v>79</v>
      </c>
      <c r="G3707" t="s">
        <v>2551</v>
      </c>
      <c r="H3707" t="s">
        <v>1854</v>
      </c>
      <c r="I3707" t="s">
        <v>79</v>
      </c>
      <c r="J3707">
        <v>200</v>
      </c>
      <c r="L3707">
        <v>3</v>
      </c>
      <c r="M3707">
        <v>149.91999999999999</v>
      </c>
      <c r="N3707">
        <v>7.1999999999999993</v>
      </c>
      <c r="O3707">
        <v>72</v>
      </c>
      <c r="Q3707">
        <v>142.72</v>
      </c>
      <c r="R3707" t="s">
        <v>2552</v>
      </c>
      <c r="S3707">
        <v>30</v>
      </c>
      <c r="V3707">
        <v>30</v>
      </c>
      <c r="W3707">
        <v>0.5</v>
      </c>
      <c r="AF3707">
        <v>0</v>
      </c>
      <c r="AG3707">
        <v>0</v>
      </c>
      <c r="AH3707">
        <v>0.5</v>
      </c>
      <c r="AI3707">
        <v>11.5</v>
      </c>
      <c r="AJ3707">
        <v>12</v>
      </c>
      <c r="AM3707">
        <v>0</v>
      </c>
      <c r="AN3707">
        <v>154.91999999999999</v>
      </c>
      <c r="AP3707">
        <v>15</v>
      </c>
    </row>
    <row r="3708" spans="1:42" x14ac:dyDescent="0.25">
      <c r="A3708" t="s">
        <v>46</v>
      </c>
      <c r="B3708">
        <v>4</v>
      </c>
      <c r="C3708" t="s">
        <v>2553</v>
      </c>
      <c r="D3708" s="39">
        <v>46122</v>
      </c>
      <c r="E3708" t="s">
        <v>276</v>
      </c>
      <c r="F3708" t="s">
        <v>79</v>
      </c>
      <c r="G3708">
        <v>22</v>
      </c>
      <c r="H3708" t="s">
        <v>113</v>
      </c>
      <c r="I3708" t="s">
        <v>79</v>
      </c>
      <c r="J3708">
        <v>1000</v>
      </c>
      <c r="L3708">
        <v>9</v>
      </c>
      <c r="M3708">
        <v>579.66999999999996</v>
      </c>
      <c r="N3708">
        <v>18</v>
      </c>
      <c r="Q3708">
        <v>561.66999999999996</v>
      </c>
      <c r="R3708" t="s">
        <v>2554</v>
      </c>
      <c r="V3708">
        <v>0</v>
      </c>
      <c r="W3708">
        <v>0</v>
      </c>
      <c r="AF3708">
        <v>0</v>
      </c>
      <c r="AG3708">
        <v>0</v>
      </c>
      <c r="AH3708">
        <v>0</v>
      </c>
      <c r="AI3708">
        <v>12</v>
      </c>
      <c r="AJ3708">
        <v>12</v>
      </c>
      <c r="AM3708">
        <v>0</v>
      </c>
      <c r="AN3708">
        <v>584.66999999999996</v>
      </c>
      <c r="AP3708">
        <v>15</v>
      </c>
    </row>
    <row r="3709" spans="1:42" x14ac:dyDescent="0.25">
      <c r="A3709" t="s">
        <v>45</v>
      </c>
      <c r="B3709">
        <v>5</v>
      </c>
      <c r="C3709" t="s">
        <v>2495</v>
      </c>
      <c r="D3709" s="39">
        <v>46122</v>
      </c>
      <c r="E3709" t="s">
        <v>396</v>
      </c>
      <c r="F3709" t="s">
        <v>79</v>
      </c>
      <c r="G3709">
        <v>15</v>
      </c>
      <c r="H3709" t="s">
        <v>92</v>
      </c>
      <c r="I3709" t="s">
        <v>79</v>
      </c>
      <c r="J3709">
        <v>3000</v>
      </c>
      <c r="L3709">
        <v>6</v>
      </c>
      <c r="M3709">
        <v>369.67</v>
      </c>
      <c r="N3709">
        <v>10.199999999999999</v>
      </c>
      <c r="Q3709">
        <v>359.47</v>
      </c>
      <c r="R3709" t="s">
        <v>2515</v>
      </c>
      <c r="S3709">
        <v>25</v>
      </c>
      <c r="V3709">
        <v>25</v>
      </c>
      <c r="W3709">
        <v>0.41666666666666674</v>
      </c>
      <c r="AD3709">
        <v>60</v>
      </c>
      <c r="AF3709">
        <v>60</v>
      </c>
      <c r="AG3709">
        <v>1</v>
      </c>
      <c r="AH3709">
        <v>1.4166666666666667</v>
      </c>
      <c r="AI3709">
        <v>10.583333333333334</v>
      </c>
      <c r="AJ3709">
        <v>12</v>
      </c>
      <c r="AM3709">
        <v>0</v>
      </c>
      <c r="AN3709">
        <v>374.67</v>
      </c>
      <c r="AP3709">
        <v>15</v>
      </c>
    </row>
    <row r="3710" spans="1:42" x14ac:dyDescent="0.25">
      <c r="A3710" t="s">
        <v>45</v>
      </c>
      <c r="B3710">
        <v>5</v>
      </c>
      <c r="C3710" t="s">
        <v>2555</v>
      </c>
      <c r="D3710" s="39">
        <v>46122</v>
      </c>
      <c r="E3710" t="s">
        <v>396</v>
      </c>
      <c r="F3710" t="s">
        <v>79</v>
      </c>
      <c r="G3710">
        <v>17</v>
      </c>
      <c r="H3710" t="s">
        <v>92</v>
      </c>
      <c r="I3710" t="s">
        <v>79</v>
      </c>
      <c r="J3710">
        <v>5000</v>
      </c>
      <c r="L3710">
        <v>2</v>
      </c>
      <c r="M3710">
        <v>136.76</v>
      </c>
      <c r="N3710">
        <v>3.7</v>
      </c>
      <c r="Q3710">
        <v>133.06</v>
      </c>
      <c r="R3710" t="s">
        <v>2573</v>
      </c>
      <c r="V3710">
        <v>0</v>
      </c>
      <c r="W3710">
        <v>0</v>
      </c>
      <c r="AF3710">
        <v>0</v>
      </c>
      <c r="AG3710">
        <v>0</v>
      </c>
      <c r="AH3710">
        <v>0</v>
      </c>
      <c r="AI3710">
        <v>12</v>
      </c>
      <c r="AJ3710">
        <v>12</v>
      </c>
      <c r="AM3710">
        <v>0</v>
      </c>
      <c r="AN3710">
        <v>141.76</v>
      </c>
      <c r="AP3710">
        <v>15</v>
      </c>
    </row>
    <row r="3711" spans="1:42" x14ac:dyDescent="0.25">
      <c r="A3711" t="s">
        <v>46</v>
      </c>
      <c r="B3711">
        <v>5</v>
      </c>
      <c r="C3711" t="s">
        <v>2555</v>
      </c>
      <c r="D3711" s="39">
        <v>46122</v>
      </c>
      <c r="E3711" t="s">
        <v>396</v>
      </c>
      <c r="F3711" t="s">
        <v>79</v>
      </c>
      <c r="G3711">
        <v>17</v>
      </c>
      <c r="H3711" t="s">
        <v>92</v>
      </c>
      <c r="I3711" t="s">
        <v>79</v>
      </c>
      <c r="J3711">
        <v>5000</v>
      </c>
      <c r="L3711">
        <v>9</v>
      </c>
      <c r="M3711">
        <v>605.47</v>
      </c>
      <c r="N3711">
        <v>17.099999999999998</v>
      </c>
      <c r="Q3711">
        <v>588.37</v>
      </c>
      <c r="R3711" t="s">
        <v>2573</v>
      </c>
      <c r="V3711">
        <v>0</v>
      </c>
      <c r="W3711">
        <v>0</v>
      </c>
      <c r="AF3711">
        <v>0</v>
      </c>
      <c r="AG3711">
        <v>0</v>
      </c>
      <c r="AH3711">
        <v>0</v>
      </c>
      <c r="AI3711">
        <v>12</v>
      </c>
      <c r="AJ3711">
        <v>12</v>
      </c>
      <c r="AM3711">
        <v>0</v>
      </c>
      <c r="AN3711">
        <v>610.47</v>
      </c>
      <c r="AP3711">
        <v>15</v>
      </c>
    </row>
    <row r="3712" spans="1:42" x14ac:dyDescent="0.25">
      <c r="A3712" t="s">
        <v>45</v>
      </c>
      <c r="B3712">
        <v>2</v>
      </c>
      <c r="C3712" t="s">
        <v>2543</v>
      </c>
      <c r="D3712" s="39">
        <v>46123</v>
      </c>
      <c r="E3712" t="s">
        <v>259</v>
      </c>
      <c r="F3712" t="s">
        <v>79</v>
      </c>
      <c r="G3712">
        <v>6</v>
      </c>
      <c r="H3712" t="s">
        <v>113</v>
      </c>
      <c r="I3712" t="s">
        <v>79</v>
      </c>
      <c r="J3712">
        <v>4500</v>
      </c>
      <c r="L3712">
        <v>14</v>
      </c>
      <c r="M3712">
        <v>234.79</v>
      </c>
      <c r="N3712">
        <v>8.4</v>
      </c>
      <c r="Q3712">
        <v>226.39</v>
      </c>
      <c r="R3712" t="s">
        <v>2572</v>
      </c>
      <c r="V3712">
        <v>0</v>
      </c>
      <c r="W3712">
        <v>0</v>
      </c>
      <c r="AF3712">
        <v>0</v>
      </c>
      <c r="AG3712">
        <v>0</v>
      </c>
      <c r="AH3712">
        <v>0</v>
      </c>
      <c r="AI3712">
        <v>12</v>
      </c>
      <c r="AJ3712">
        <v>12</v>
      </c>
      <c r="AM3712">
        <v>0</v>
      </c>
      <c r="AN3712">
        <v>239.79</v>
      </c>
      <c r="AP3712">
        <v>15</v>
      </c>
    </row>
    <row r="3713" spans="1:42" x14ac:dyDescent="0.25">
      <c r="A3713" t="s">
        <v>46</v>
      </c>
      <c r="B3713">
        <v>2</v>
      </c>
      <c r="C3713" t="s">
        <v>2543</v>
      </c>
      <c r="D3713" s="39">
        <v>46123</v>
      </c>
      <c r="E3713" t="s">
        <v>259</v>
      </c>
      <c r="F3713" t="s">
        <v>79</v>
      </c>
      <c r="G3713">
        <v>6</v>
      </c>
      <c r="H3713" t="s">
        <v>113</v>
      </c>
      <c r="I3713" t="s">
        <v>79</v>
      </c>
      <c r="J3713">
        <v>4500</v>
      </c>
      <c r="L3713">
        <v>9</v>
      </c>
      <c r="M3713">
        <v>194.51</v>
      </c>
      <c r="N3713">
        <v>5.3999999999999995</v>
      </c>
      <c r="Q3713">
        <v>189.10999999999999</v>
      </c>
      <c r="R3713" t="s">
        <v>2572</v>
      </c>
      <c r="V3713">
        <v>0</v>
      </c>
      <c r="W3713">
        <v>0</v>
      </c>
      <c r="AF3713">
        <v>0</v>
      </c>
      <c r="AG3713">
        <v>0</v>
      </c>
      <c r="AH3713">
        <v>0</v>
      </c>
      <c r="AI3713">
        <v>12</v>
      </c>
      <c r="AJ3713">
        <v>12</v>
      </c>
      <c r="AM3713">
        <v>0</v>
      </c>
      <c r="AN3713">
        <v>199.51</v>
      </c>
      <c r="AP3713">
        <v>15</v>
      </c>
    </row>
    <row r="3714" spans="1:42" x14ac:dyDescent="0.25">
      <c r="A3714" t="s">
        <v>45</v>
      </c>
      <c r="B3714">
        <v>4</v>
      </c>
      <c r="C3714" t="s">
        <v>2553</v>
      </c>
      <c r="D3714" s="39">
        <v>46123</v>
      </c>
      <c r="E3714" t="s">
        <v>276</v>
      </c>
      <c r="F3714" t="s">
        <v>79</v>
      </c>
      <c r="G3714">
        <v>22</v>
      </c>
      <c r="H3714" t="s">
        <v>113</v>
      </c>
      <c r="I3714" t="s">
        <v>79</v>
      </c>
      <c r="J3714">
        <v>1000</v>
      </c>
      <c r="L3714">
        <v>9</v>
      </c>
      <c r="M3714">
        <v>535.85</v>
      </c>
      <c r="N3714">
        <v>19.8</v>
      </c>
      <c r="O3714">
        <v>20</v>
      </c>
      <c r="Q3714">
        <v>516.05000000000007</v>
      </c>
      <c r="R3714" t="s">
        <v>2554</v>
      </c>
      <c r="V3714">
        <v>0</v>
      </c>
      <c r="W3714">
        <v>0</v>
      </c>
      <c r="AF3714">
        <v>0</v>
      </c>
      <c r="AG3714">
        <v>0</v>
      </c>
      <c r="AH3714">
        <v>0</v>
      </c>
      <c r="AI3714">
        <v>12</v>
      </c>
      <c r="AJ3714">
        <v>12</v>
      </c>
      <c r="AM3714">
        <v>0</v>
      </c>
      <c r="AN3714">
        <v>540.85</v>
      </c>
      <c r="AP3714">
        <v>15</v>
      </c>
    </row>
    <row r="3715" spans="1:42" x14ac:dyDescent="0.25">
      <c r="A3715" t="s">
        <v>45</v>
      </c>
      <c r="B3715">
        <v>4</v>
      </c>
      <c r="C3715" t="s">
        <v>2556</v>
      </c>
      <c r="D3715" s="39">
        <v>46123</v>
      </c>
      <c r="E3715" t="s">
        <v>238</v>
      </c>
      <c r="F3715" t="s">
        <v>79</v>
      </c>
      <c r="G3715">
        <v>22</v>
      </c>
      <c r="H3715" t="s">
        <v>123</v>
      </c>
      <c r="I3715" t="s">
        <v>79</v>
      </c>
      <c r="J3715">
        <v>500</v>
      </c>
      <c r="L3715">
        <v>4</v>
      </c>
      <c r="M3715">
        <v>261.41999999999996</v>
      </c>
      <c r="N3715">
        <v>11.6</v>
      </c>
      <c r="Q3715">
        <v>249.81999999999996</v>
      </c>
      <c r="R3715" t="s">
        <v>2557</v>
      </c>
      <c r="V3715">
        <v>0</v>
      </c>
      <c r="W3715">
        <v>0</v>
      </c>
      <c r="AF3715">
        <v>0</v>
      </c>
      <c r="AG3715">
        <v>0</v>
      </c>
      <c r="AH3715">
        <v>0</v>
      </c>
      <c r="AI3715">
        <v>12</v>
      </c>
      <c r="AJ3715">
        <v>12</v>
      </c>
      <c r="AM3715">
        <v>0</v>
      </c>
      <c r="AN3715">
        <v>266.41999999999996</v>
      </c>
      <c r="AP3715">
        <v>15</v>
      </c>
    </row>
    <row r="3716" spans="1:42" x14ac:dyDescent="0.25">
      <c r="A3716" t="s">
        <v>46</v>
      </c>
      <c r="B3716">
        <v>4</v>
      </c>
      <c r="C3716" t="s">
        <v>2556</v>
      </c>
      <c r="D3716" s="39">
        <v>46123</v>
      </c>
      <c r="E3716" t="s">
        <v>238</v>
      </c>
      <c r="F3716" t="s">
        <v>79</v>
      </c>
      <c r="G3716">
        <v>22</v>
      </c>
      <c r="H3716" t="s">
        <v>123</v>
      </c>
      <c r="I3716" t="s">
        <v>79</v>
      </c>
      <c r="J3716">
        <v>500</v>
      </c>
      <c r="L3716">
        <v>5</v>
      </c>
      <c r="M3716">
        <v>321.82</v>
      </c>
      <c r="N3716">
        <v>14.5</v>
      </c>
      <c r="O3716">
        <v>25</v>
      </c>
      <c r="Q3716">
        <v>307.32</v>
      </c>
      <c r="R3716" t="s">
        <v>2557</v>
      </c>
      <c r="S3716">
        <v>30</v>
      </c>
      <c r="V3716">
        <v>30</v>
      </c>
      <c r="W3716">
        <v>0.5</v>
      </c>
      <c r="AF3716">
        <v>0</v>
      </c>
      <c r="AG3716">
        <v>0</v>
      </c>
      <c r="AH3716">
        <v>0.5</v>
      </c>
      <c r="AI3716">
        <v>11.5</v>
      </c>
      <c r="AJ3716">
        <v>12</v>
      </c>
      <c r="AM3716">
        <v>0</v>
      </c>
      <c r="AN3716">
        <v>326.82</v>
      </c>
      <c r="AP3716">
        <v>15</v>
      </c>
    </row>
    <row r="3717" spans="1:42" x14ac:dyDescent="0.25">
      <c r="A3717" t="s">
        <v>46</v>
      </c>
      <c r="B3717">
        <v>4</v>
      </c>
      <c r="C3717" t="s">
        <v>2558</v>
      </c>
      <c r="D3717" s="39">
        <v>46123</v>
      </c>
      <c r="E3717" t="s">
        <v>238</v>
      </c>
      <c r="F3717" t="s">
        <v>79</v>
      </c>
      <c r="G3717">
        <v>20</v>
      </c>
      <c r="H3717" t="s">
        <v>123</v>
      </c>
      <c r="I3717" t="s">
        <v>79</v>
      </c>
      <c r="J3717">
        <v>500</v>
      </c>
      <c r="L3717">
        <v>7</v>
      </c>
      <c r="M3717">
        <v>466.08000000000004</v>
      </c>
      <c r="N3717">
        <v>11.9</v>
      </c>
      <c r="Q3717">
        <v>454.18000000000006</v>
      </c>
      <c r="R3717" t="s">
        <v>2559</v>
      </c>
      <c r="V3717">
        <v>0</v>
      </c>
      <c r="W3717">
        <v>0</v>
      </c>
      <c r="AF3717">
        <v>0</v>
      </c>
      <c r="AG3717">
        <v>0</v>
      </c>
      <c r="AH3717">
        <v>0</v>
      </c>
      <c r="AI3717">
        <v>12</v>
      </c>
      <c r="AJ3717">
        <v>12</v>
      </c>
      <c r="AM3717">
        <v>0</v>
      </c>
      <c r="AN3717">
        <v>471.08</v>
      </c>
      <c r="AP3717">
        <v>15</v>
      </c>
    </row>
    <row r="3718" spans="1:42" x14ac:dyDescent="0.25">
      <c r="A3718" t="s">
        <v>45</v>
      </c>
      <c r="B3718">
        <v>5</v>
      </c>
      <c r="C3718" t="s">
        <v>2555</v>
      </c>
      <c r="D3718" s="39">
        <v>46123</v>
      </c>
      <c r="E3718" t="s">
        <v>396</v>
      </c>
      <c r="F3718" t="s">
        <v>79</v>
      </c>
      <c r="G3718">
        <v>17</v>
      </c>
      <c r="H3718" t="s">
        <v>92</v>
      </c>
      <c r="I3718" t="s">
        <v>79</v>
      </c>
      <c r="J3718">
        <v>5000</v>
      </c>
      <c r="L3718">
        <v>7</v>
      </c>
      <c r="M3718">
        <v>441.34000000000003</v>
      </c>
      <c r="N3718">
        <v>13.299999999999999</v>
      </c>
      <c r="Q3718">
        <v>428.04</v>
      </c>
      <c r="R3718" t="s">
        <v>2573</v>
      </c>
      <c r="V3718">
        <v>0</v>
      </c>
      <c r="W3718">
        <v>0</v>
      </c>
      <c r="AF3718">
        <v>0</v>
      </c>
      <c r="AG3718">
        <v>0</v>
      </c>
      <c r="AH3718">
        <v>0</v>
      </c>
      <c r="AI3718">
        <v>12</v>
      </c>
      <c r="AJ3718">
        <v>12</v>
      </c>
      <c r="AM3718">
        <v>0</v>
      </c>
      <c r="AN3718">
        <v>446.34</v>
      </c>
      <c r="AP3718">
        <v>15</v>
      </c>
    </row>
    <row r="3719" spans="1:42" x14ac:dyDescent="0.25">
      <c r="A3719" t="s">
        <v>46</v>
      </c>
      <c r="B3719">
        <v>5</v>
      </c>
      <c r="C3719" t="s">
        <v>2555</v>
      </c>
      <c r="D3719" s="39">
        <v>46123</v>
      </c>
      <c r="E3719" t="s">
        <v>396</v>
      </c>
      <c r="F3719" t="s">
        <v>79</v>
      </c>
      <c r="G3719">
        <v>17</v>
      </c>
      <c r="H3719" t="s">
        <v>92</v>
      </c>
      <c r="I3719" t="s">
        <v>79</v>
      </c>
      <c r="J3719">
        <v>5000</v>
      </c>
      <c r="L3719">
        <v>10</v>
      </c>
      <c r="M3719">
        <v>653.52</v>
      </c>
      <c r="N3719">
        <v>19</v>
      </c>
      <c r="Q3719">
        <v>634.52</v>
      </c>
      <c r="R3719" t="s">
        <v>2573</v>
      </c>
      <c r="V3719">
        <v>0</v>
      </c>
      <c r="W3719">
        <v>0</v>
      </c>
      <c r="AF3719">
        <v>0</v>
      </c>
      <c r="AG3719">
        <v>0</v>
      </c>
      <c r="AH3719">
        <v>0</v>
      </c>
      <c r="AI3719">
        <v>12</v>
      </c>
      <c r="AJ3719">
        <v>12</v>
      </c>
      <c r="AM3719">
        <v>0</v>
      </c>
      <c r="AN3719">
        <v>658.52</v>
      </c>
      <c r="AP3719">
        <v>15</v>
      </c>
    </row>
    <row r="3720" spans="1:42" x14ac:dyDescent="0.25">
      <c r="A3720" t="s">
        <v>45</v>
      </c>
      <c r="B3720">
        <v>2</v>
      </c>
      <c r="C3720" t="s">
        <v>2543</v>
      </c>
      <c r="D3720" s="39">
        <v>46124</v>
      </c>
      <c r="E3720" t="s">
        <v>259</v>
      </c>
      <c r="F3720" t="s">
        <v>79</v>
      </c>
      <c r="G3720">
        <v>6</v>
      </c>
      <c r="H3720" t="s">
        <v>113</v>
      </c>
      <c r="I3720" t="s">
        <v>79</v>
      </c>
      <c r="J3720">
        <v>4500</v>
      </c>
      <c r="L3720">
        <v>9</v>
      </c>
      <c r="M3720">
        <v>221.26000000000002</v>
      </c>
      <c r="N3720">
        <v>5.3999999999999995</v>
      </c>
      <c r="O3720">
        <v>27</v>
      </c>
      <c r="Q3720">
        <v>215.86</v>
      </c>
      <c r="R3720" t="s">
        <v>2572</v>
      </c>
      <c r="V3720">
        <v>0</v>
      </c>
      <c r="W3720">
        <v>0</v>
      </c>
      <c r="AD3720">
        <v>25</v>
      </c>
      <c r="AF3720">
        <v>25</v>
      </c>
      <c r="AG3720">
        <v>0.41666666666666674</v>
      </c>
      <c r="AH3720">
        <v>0.41666666666666674</v>
      </c>
      <c r="AI3720">
        <v>11.583333333333334</v>
      </c>
      <c r="AJ3720">
        <v>12</v>
      </c>
      <c r="AM3720">
        <v>0</v>
      </c>
      <c r="AN3720">
        <v>226.26</v>
      </c>
      <c r="AP3720">
        <v>15</v>
      </c>
    </row>
    <row r="3721" spans="1:42" x14ac:dyDescent="0.25">
      <c r="A3721" t="s">
        <v>46</v>
      </c>
      <c r="B3721">
        <v>2</v>
      </c>
      <c r="C3721" t="s">
        <v>2543</v>
      </c>
      <c r="D3721" s="39">
        <v>46124</v>
      </c>
      <c r="E3721" t="s">
        <v>259</v>
      </c>
      <c r="F3721" t="s">
        <v>79</v>
      </c>
      <c r="G3721">
        <v>6</v>
      </c>
      <c r="H3721" t="s">
        <v>113</v>
      </c>
      <c r="I3721" t="s">
        <v>79</v>
      </c>
      <c r="J3721">
        <v>4500</v>
      </c>
      <c r="L3721">
        <v>11</v>
      </c>
      <c r="M3721">
        <v>231.07000000000002</v>
      </c>
      <c r="N3721">
        <v>6.6</v>
      </c>
      <c r="O3721">
        <v>6</v>
      </c>
      <c r="Q3721">
        <v>224.47000000000003</v>
      </c>
      <c r="R3721" t="s">
        <v>2572</v>
      </c>
      <c r="V3721">
        <v>0</v>
      </c>
      <c r="W3721">
        <v>0</v>
      </c>
      <c r="AF3721">
        <v>0</v>
      </c>
      <c r="AG3721">
        <v>0</v>
      </c>
      <c r="AH3721">
        <v>0</v>
      </c>
      <c r="AI3721">
        <v>12</v>
      </c>
      <c r="AJ3721">
        <v>12</v>
      </c>
      <c r="AM3721">
        <v>0</v>
      </c>
      <c r="AN3721">
        <v>236.07</v>
      </c>
      <c r="AP3721">
        <v>15</v>
      </c>
    </row>
    <row r="3722" spans="1:42" x14ac:dyDescent="0.25">
      <c r="A3722" t="s">
        <v>45</v>
      </c>
      <c r="B3722">
        <v>4</v>
      </c>
      <c r="C3722" t="s">
        <v>2558</v>
      </c>
      <c r="D3722" s="39">
        <v>46124</v>
      </c>
      <c r="E3722" t="s">
        <v>238</v>
      </c>
      <c r="F3722" t="s">
        <v>79</v>
      </c>
      <c r="G3722">
        <v>20</v>
      </c>
      <c r="H3722" t="s">
        <v>123</v>
      </c>
      <c r="I3722" t="s">
        <v>79</v>
      </c>
      <c r="J3722">
        <v>500</v>
      </c>
      <c r="L3722">
        <v>1</v>
      </c>
      <c r="M3722">
        <v>53.44</v>
      </c>
      <c r="N3722">
        <v>2</v>
      </c>
      <c r="Q3722">
        <v>51.44</v>
      </c>
      <c r="R3722" t="s">
        <v>2559</v>
      </c>
      <c r="S3722">
        <v>25</v>
      </c>
      <c r="V3722">
        <v>25</v>
      </c>
      <c r="W3722">
        <v>0.41666666666666674</v>
      </c>
      <c r="AF3722">
        <v>0</v>
      </c>
      <c r="AG3722">
        <v>0</v>
      </c>
      <c r="AH3722">
        <v>0.41666666666666674</v>
      </c>
      <c r="AI3722">
        <v>11.583333333333334</v>
      </c>
      <c r="AJ3722">
        <v>12</v>
      </c>
      <c r="AM3722">
        <v>0</v>
      </c>
      <c r="AN3722">
        <v>58.44</v>
      </c>
      <c r="AP3722">
        <v>15</v>
      </c>
    </row>
    <row r="3723" spans="1:42" x14ac:dyDescent="0.25">
      <c r="A3723" t="s">
        <v>45</v>
      </c>
      <c r="B3723">
        <v>4</v>
      </c>
      <c r="C3723" t="s">
        <v>2560</v>
      </c>
      <c r="D3723" s="39">
        <v>46124</v>
      </c>
      <c r="E3723" t="s">
        <v>2528</v>
      </c>
      <c r="F3723" t="s">
        <v>79</v>
      </c>
      <c r="G3723">
        <v>20</v>
      </c>
      <c r="H3723" t="s">
        <v>124</v>
      </c>
      <c r="I3723" t="s">
        <v>79</v>
      </c>
      <c r="J3723">
        <v>150</v>
      </c>
      <c r="L3723">
        <v>3</v>
      </c>
      <c r="M3723">
        <v>160.47999999999999</v>
      </c>
      <c r="N3723">
        <v>6</v>
      </c>
      <c r="Q3723">
        <v>154.47999999999999</v>
      </c>
      <c r="R3723" t="s">
        <v>2561</v>
      </c>
      <c r="V3723">
        <v>0</v>
      </c>
      <c r="W3723">
        <v>0</v>
      </c>
      <c r="AF3723">
        <v>0</v>
      </c>
      <c r="AG3723">
        <v>0</v>
      </c>
      <c r="AH3723">
        <v>0</v>
      </c>
      <c r="AI3723">
        <v>12</v>
      </c>
      <c r="AJ3723">
        <v>12</v>
      </c>
      <c r="AM3723">
        <v>0</v>
      </c>
      <c r="AN3723">
        <v>165.48</v>
      </c>
      <c r="AP3723">
        <v>15</v>
      </c>
    </row>
    <row r="3724" spans="1:42" x14ac:dyDescent="0.25">
      <c r="A3724" t="s">
        <v>45</v>
      </c>
      <c r="B3724">
        <v>4</v>
      </c>
      <c r="C3724" t="s">
        <v>2562</v>
      </c>
      <c r="D3724" s="39">
        <v>46124</v>
      </c>
      <c r="E3724" t="s">
        <v>2528</v>
      </c>
      <c r="F3724" t="s">
        <v>79</v>
      </c>
      <c r="G3724">
        <v>20</v>
      </c>
      <c r="H3724" t="s">
        <v>124</v>
      </c>
      <c r="I3724" t="s">
        <v>79</v>
      </c>
      <c r="J3724">
        <v>150</v>
      </c>
      <c r="L3724">
        <v>3</v>
      </c>
      <c r="M3724">
        <v>152.76</v>
      </c>
      <c r="N3724">
        <v>6</v>
      </c>
      <c r="Q3724">
        <v>146.76</v>
      </c>
      <c r="R3724" t="s">
        <v>2563</v>
      </c>
      <c r="V3724">
        <v>0</v>
      </c>
      <c r="W3724">
        <v>0</v>
      </c>
      <c r="AF3724">
        <v>0</v>
      </c>
      <c r="AG3724">
        <v>0</v>
      </c>
      <c r="AH3724">
        <v>0</v>
      </c>
      <c r="AI3724">
        <v>12</v>
      </c>
      <c r="AJ3724">
        <v>12</v>
      </c>
      <c r="AM3724">
        <v>0</v>
      </c>
      <c r="AN3724">
        <v>157.76</v>
      </c>
      <c r="AP3724">
        <v>15</v>
      </c>
    </row>
    <row r="3725" spans="1:42" x14ac:dyDescent="0.25">
      <c r="A3725" t="s">
        <v>45</v>
      </c>
      <c r="B3725">
        <v>4</v>
      </c>
      <c r="C3725" t="s">
        <v>2555</v>
      </c>
      <c r="D3725" s="39">
        <v>46124</v>
      </c>
      <c r="E3725" t="s">
        <v>396</v>
      </c>
      <c r="F3725" t="s">
        <v>79</v>
      </c>
      <c r="G3725">
        <v>17</v>
      </c>
      <c r="H3725" t="s">
        <v>92</v>
      </c>
      <c r="I3725" t="s">
        <v>79</v>
      </c>
      <c r="J3725">
        <v>5000</v>
      </c>
      <c r="L3725">
        <v>4</v>
      </c>
      <c r="M3725">
        <v>244.5</v>
      </c>
      <c r="N3725">
        <v>6.8</v>
      </c>
      <c r="Q3725">
        <v>237.7</v>
      </c>
      <c r="R3725" t="s">
        <v>2573</v>
      </c>
      <c r="V3725">
        <v>0</v>
      </c>
      <c r="W3725">
        <v>0</v>
      </c>
      <c r="AF3725">
        <v>0</v>
      </c>
      <c r="AG3725">
        <v>0</v>
      </c>
      <c r="AH3725">
        <v>0</v>
      </c>
      <c r="AI3725">
        <v>12</v>
      </c>
      <c r="AJ3725">
        <v>12</v>
      </c>
      <c r="AM3725">
        <v>0</v>
      </c>
      <c r="AN3725">
        <v>249.5</v>
      </c>
      <c r="AP3725">
        <v>15</v>
      </c>
    </row>
    <row r="3726" spans="1:42" x14ac:dyDescent="0.25">
      <c r="A3726" t="s">
        <v>46</v>
      </c>
      <c r="B3726">
        <v>4</v>
      </c>
      <c r="C3726" t="s">
        <v>2564</v>
      </c>
      <c r="D3726" s="39">
        <v>46124</v>
      </c>
      <c r="E3726" t="s">
        <v>282</v>
      </c>
      <c r="F3726" t="s">
        <v>79</v>
      </c>
      <c r="G3726">
        <v>17</v>
      </c>
      <c r="H3726" t="s">
        <v>2497</v>
      </c>
      <c r="I3726" t="s">
        <v>79</v>
      </c>
      <c r="J3726">
        <v>200</v>
      </c>
      <c r="L3726">
        <v>5</v>
      </c>
      <c r="M3726">
        <v>209.04000000000002</v>
      </c>
      <c r="N3726">
        <v>8.5</v>
      </c>
      <c r="Q3726">
        <v>200.54000000000002</v>
      </c>
      <c r="R3726" t="s">
        <v>2565</v>
      </c>
      <c r="V3726">
        <v>0</v>
      </c>
      <c r="W3726">
        <v>0</v>
      </c>
      <c r="AF3726">
        <v>0</v>
      </c>
      <c r="AG3726">
        <v>0</v>
      </c>
      <c r="AH3726">
        <v>0</v>
      </c>
      <c r="AI3726">
        <v>12</v>
      </c>
      <c r="AJ3726">
        <v>12</v>
      </c>
      <c r="AM3726">
        <v>0</v>
      </c>
      <c r="AN3726">
        <v>214.04</v>
      </c>
      <c r="AP3726">
        <v>15</v>
      </c>
    </row>
    <row r="3727" spans="1:42" x14ac:dyDescent="0.25">
      <c r="A3727" t="s">
        <v>46</v>
      </c>
      <c r="B3727">
        <v>4</v>
      </c>
      <c r="C3727" t="s">
        <v>2555</v>
      </c>
      <c r="D3727" s="39">
        <v>46124</v>
      </c>
      <c r="E3727" t="s">
        <v>396</v>
      </c>
      <c r="F3727" t="s">
        <v>79</v>
      </c>
      <c r="G3727">
        <v>17</v>
      </c>
      <c r="H3727" t="s">
        <v>92</v>
      </c>
      <c r="I3727" t="s">
        <v>79</v>
      </c>
      <c r="J3727">
        <v>5000</v>
      </c>
      <c r="L3727">
        <v>5</v>
      </c>
      <c r="M3727">
        <v>323.74</v>
      </c>
      <c r="N3727">
        <v>8.5</v>
      </c>
      <c r="Q3727">
        <v>315.24</v>
      </c>
      <c r="R3727" t="s">
        <v>2573</v>
      </c>
      <c r="V3727">
        <v>0</v>
      </c>
      <c r="W3727">
        <v>0</v>
      </c>
      <c r="AF3727">
        <v>0</v>
      </c>
      <c r="AG3727">
        <v>0</v>
      </c>
      <c r="AH3727">
        <v>0</v>
      </c>
      <c r="AI3727">
        <v>12</v>
      </c>
      <c r="AJ3727">
        <v>12</v>
      </c>
      <c r="AM3727">
        <v>0</v>
      </c>
      <c r="AN3727">
        <v>328.74</v>
      </c>
      <c r="AP3727">
        <v>15</v>
      </c>
    </row>
    <row r="3728" spans="1:42" x14ac:dyDescent="0.25">
      <c r="A3728" t="s">
        <v>45</v>
      </c>
      <c r="B3728">
        <v>5</v>
      </c>
      <c r="C3728" t="s">
        <v>2555</v>
      </c>
      <c r="D3728" s="39">
        <v>46124</v>
      </c>
      <c r="E3728" t="s">
        <v>396</v>
      </c>
      <c r="F3728" t="s">
        <v>79</v>
      </c>
      <c r="G3728">
        <v>17</v>
      </c>
      <c r="H3728" t="s">
        <v>92</v>
      </c>
      <c r="I3728" t="s">
        <v>79</v>
      </c>
      <c r="J3728">
        <v>5000</v>
      </c>
      <c r="L3728">
        <v>7</v>
      </c>
      <c r="M3728">
        <v>435.57000000000005</v>
      </c>
      <c r="N3728">
        <v>11.9</v>
      </c>
      <c r="Q3728">
        <v>423.67000000000007</v>
      </c>
      <c r="R3728" t="s">
        <v>2573</v>
      </c>
      <c r="S3728">
        <v>20</v>
      </c>
      <c r="V3728">
        <v>20</v>
      </c>
      <c r="W3728">
        <v>0.33333333333333331</v>
      </c>
      <c r="AF3728">
        <v>0</v>
      </c>
      <c r="AG3728">
        <v>0</v>
      </c>
      <c r="AH3728">
        <v>0.33333333333333331</v>
      </c>
      <c r="AI3728">
        <v>11.666666666666666</v>
      </c>
      <c r="AJ3728">
        <v>12</v>
      </c>
      <c r="AM3728">
        <v>0</v>
      </c>
      <c r="AN3728">
        <v>440.57000000000011</v>
      </c>
      <c r="AP3728">
        <v>15</v>
      </c>
    </row>
    <row r="3729" spans="1:42" x14ac:dyDescent="0.25">
      <c r="A3729" t="s">
        <v>45</v>
      </c>
      <c r="B3729">
        <v>5</v>
      </c>
      <c r="C3729" t="s">
        <v>2518</v>
      </c>
      <c r="D3729" s="39">
        <v>46124</v>
      </c>
      <c r="E3729" t="s">
        <v>259</v>
      </c>
      <c r="F3729" t="s">
        <v>79</v>
      </c>
      <c r="G3729">
        <v>7</v>
      </c>
      <c r="H3729" t="s">
        <v>113</v>
      </c>
      <c r="I3729" t="s">
        <v>79</v>
      </c>
      <c r="J3729">
        <v>4500</v>
      </c>
      <c r="L3729">
        <v>1</v>
      </c>
      <c r="M3729">
        <v>40</v>
      </c>
      <c r="N3729">
        <v>0.7</v>
      </c>
      <c r="Q3729">
        <v>39.299999999999997</v>
      </c>
      <c r="R3729" t="s">
        <v>2571</v>
      </c>
      <c r="V3729">
        <v>0</v>
      </c>
      <c r="W3729">
        <v>0</v>
      </c>
      <c r="AF3729">
        <v>0</v>
      </c>
      <c r="AG3729">
        <v>0</v>
      </c>
      <c r="AH3729">
        <v>0</v>
      </c>
      <c r="AI3729">
        <v>12</v>
      </c>
      <c r="AJ3729">
        <v>12</v>
      </c>
      <c r="AM3729">
        <v>0</v>
      </c>
      <c r="AN3729">
        <v>45</v>
      </c>
      <c r="AP3729">
        <v>15</v>
      </c>
    </row>
    <row r="3730" spans="1:42" x14ac:dyDescent="0.25">
      <c r="A3730" t="s">
        <v>46</v>
      </c>
      <c r="B3730">
        <v>5</v>
      </c>
      <c r="C3730" t="s">
        <v>2566</v>
      </c>
      <c r="D3730" s="39">
        <v>46124</v>
      </c>
      <c r="E3730" t="s">
        <v>2387</v>
      </c>
      <c r="F3730" t="s">
        <v>79</v>
      </c>
      <c r="G3730">
        <v>7</v>
      </c>
      <c r="H3730" t="s">
        <v>1049</v>
      </c>
      <c r="I3730" t="s">
        <v>79</v>
      </c>
      <c r="J3730">
        <v>100</v>
      </c>
      <c r="L3730">
        <v>6</v>
      </c>
      <c r="M3730">
        <v>228.32000000000002</v>
      </c>
      <c r="N3730">
        <v>4.1999999999999993</v>
      </c>
      <c r="Q3730">
        <v>224.12000000000003</v>
      </c>
      <c r="R3730" t="s">
        <v>2567</v>
      </c>
      <c r="V3730">
        <v>0</v>
      </c>
      <c r="W3730">
        <v>0</v>
      </c>
      <c r="AF3730">
        <v>0</v>
      </c>
      <c r="AG3730">
        <v>0</v>
      </c>
      <c r="AH3730">
        <v>0</v>
      </c>
      <c r="AI3730">
        <v>12</v>
      </c>
      <c r="AJ3730">
        <v>12</v>
      </c>
      <c r="AM3730">
        <v>0</v>
      </c>
      <c r="AN3730">
        <v>233.32</v>
      </c>
      <c r="AP3730">
        <v>15</v>
      </c>
    </row>
    <row r="3731" spans="1:42" x14ac:dyDescent="0.25">
      <c r="A3731" t="s">
        <v>46</v>
      </c>
      <c r="B3731">
        <v>5</v>
      </c>
      <c r="C3731" t="s">
        <v>2518</v>
      </c>
      <c r="D3731" s="39">
        <v>46124</v>
      </c>
      <c r="E3731" t="s">
        <v>259</v>
      </c>
      <c r="F3731" t="s">
        <v>79</v>
      </c>
      <c r="G3731">
        <v>7</v>
      </c>
      <c r="H3731" t="s">
        <v>113</v>
      </c>
      <c r="I3731" t="s">
        <v>79</v>
      </c>
      <c r="J3731">
        <v>4500</v>
      </c>
      <c r="L3731">
        <v>2</v>
      </c>
      <c r="M3731">
        <v>81.78</v>
      </c>
      <c r="N3731">
        <v>1.6</v>
      </c>
      <c r="Q3731">
        <v>80.180000000000007</v>
      </c>
      <c r="R3731" t="s">
        <v>2571</v>
      </c>
      <c r="V3731">
        <v>0</v>
      </c>
      <c r="W3731">
        <v>0</v>
      </c>
      <c r="AF3731">
        <v>0</v>
      </c>
      <c r="AG3731">
        <v>0</v>
      </c>
      <c r="AH3731">
        <v>0</v>
      </c>
      <c r="AI3731">
        <v>12</v>
      </c>
      <c r="AJ3731">
        <v>12</v>
      </c>
      <c r="AM3731">
        <v>0</v>
      </c>
      <c r="AN3731">
        <v>86.78</v>
      </c>
      <c r="AP3731">
        <v>15</v>
      </c>
    </row>
    <row r="3732" spans="1:42" x14ac:dyDescent="0.25">
      <c r="A3732" t="s">
        <v>45</v>
      </c>
      <c r="B3732">
        <v>2</v>
      </c>
      <c r="C3732" t="s">
        <v>2543</v>
      </c>
      <c r="D3732" s="39">
        <v>46125</v>
      </c>
      <c r="E3732" t="s">
        <v>259</v>
      </c>
      <c r="F3732" t="s">
        <v>79</v>
      </c>
      <c r="G3732">
        <v>6</v>
      </c>
      <c r="H3732" t="s">
        <v>113</v>
      </c>
      <c r="I3732" t="s">
        <v>79</v>
      </c>
      <c r="J3732">
        <v>4500</v>
      </c>
      <c r="L3732">
        <v>8</v>
      </c>
      <c r="M3732">
        <v>207.56</v>
      </c>
      <c r="N3732">
        <v>4.8</v>
      </c>
      <c r="Q3732">
        <v>202.76</v>
      </c>
      <c r="R3732" t="s">
        <v>2572</v>
      </c>
      <c r="V3732">
        <v>0</v>
      </c>
      <c r="W3732">
        <v>0</v>
      </c>
      <c r="AF3732">
        <v>0</v>
      </c>
      <c r="AG3732">
        <v>0</v>
      </c>
      <c r="AH3732">
        <v>0</v>
      </c>
      <c r="AI3732">
        <v>12</v>
      </c>
      <c r="AJ3732">
        <v>12</v>
      </c>
      <c r="AM3732">
        <v>0</v>
      </c>
      <c r="AN3732">
        <v>212.56</v>
      </c>
      <c r="AP3732">
        <v>16</v>
      </c>
    </row>
    <row r="3733" spans="1:42" x14ac:dyDescent="0.25">
      <c r="A3733" t="s">
        <v>46</v>
      </c>
      <c r="B3733">
        <v>2</v>
      </c>
      <c r="C3733" t="s">
        <v>2543</v>
      </c>
      <c r="D3733" s="39">
        <v>46125</v>
      </c>
      <c r="E3733" t="s">
        <v>259</v>
      </c>
      <c r="F3733" t="s">
        <v>79</v>
      </c>
      <c r="G3733">
        <v>6</v>
      </c>
      <c r="H3733" t="s">
        <v>113</v>
      </c>
      <c r="I3733" t="s">
        <v>79</v>
      </c>
      <c r="J3733">
        <v>4500</v>
      </c>
      <c r="L3733">
        <v>8</v>
      </c>
      <c r="M3733">
        <v>215.46</v>
      </c>
      <c r="N3733">
        <v>4.8</v>
      </c>
      <c r="Q3733">
        <v>210.66</v>
      </c>
      <c r="R3733" t="s">
        <v>2572</v>
      </c>
      <c r="V3733">
        <v>0</v>
      </c>
      <c r="W3733">
        <v>0</v>
      </c>
      <c r="AF3733">
        <v>0</v>
      </c>
      <c r="AG3733">
        <v>0</v>
      </c>
      <c r="AH3733">
        <v>0</v>
      </c>
      <c r="AI3733">
        <v>12</v>
      </c>
      <c r="AJ3733">
        <v>12</v>
      </c>
      <c r="AM3733">
        <v>0</v>
      </c>
      <c r="AN3733">
        <v>220.46</v>
      </c>
      <c r="AP3733">
        <v>16</v>
      </c>
    </row>
    <row r="3734" spans="1:42" x14ac:dyDescent="0.25">
      <c r="A3734" t="s">
        <v>45</v>
      </c>
      <c r="B3734">
        <v>4</v>
      </c>
      <c r="C3734" t="s">
        <v>2555</v>
      </c>
      <c r="D3734" s="39">
        <v>46125</v>
      </c>
      <c r="E3734" t="s">
        <v>396</v>
      </c>
      <c r="F3734" t="s">
        <v>79</v>
      </c>
      <c r="G3734">
        <v>17</v>
      </c>
      <c r="H3734" t="s">
        <v>92</v>
      </c>
      <c r="I3734" t="s">
        <v>79</v>
      </c>
      <c r="J3734">
        <v>5000</v>
      </c>
      <c r="L3734">
        <v>8</v>
      </c>
      <c r="M3734">
        <v>511.94000000000005</v>
      </c>
      <c r="N3734">
        <v>15.2</v>
      </c>
      <c r="Q3734">
        <v>496.74000000000007</v>
      </c>
      <c r="R3734" t="s">
        <v>2573</v>
      </c>
      <c r="V3734">
        <v>0</v>
      </c>
      <c r="W3734">
        <v>0</v>
      </c>
      <c r="AF3734">
        <v>0</v>
      </c>
      <c r="AG3734">
        <v>0</v>
      </c>
      <c r="AH3734">
        <v>0</v>
      </c>
      <c r="AI3734">
        <v>12</v>
      </c>
      <c r="AJ3734">
        <v>12</v>
      </c>
      <c r="AM3734">
        <v>0</v>
      </c>
      <c r="AN3734">
        <v>516.94000000000005</v>
      </c>
      <c r="AP3734">
        <v>16</v>
      </c>
    </row>
    <row r="3735" spans="1:42" x14ac:dyDescent="0.25">
      <c r="A3735" t="s">
        <v>46</v>
      </c>
      <c r="B3735">
        <v>4</v>
      </c>
      <c r="C3735" t="s">
        <v>2555</v>
      </c>
      <c r="D3735" s="39">
        <v>46125</v>
      </c>
      <c r="E3735" t="s">
        <v>396</v>
      </c>
      <c r="F3735" t="s">
        <v>79</v>
      </c>
      <c r="G3735">
        <v>17</v>
      </c>
      <c r="H3735" t="s">
        <v>92</v>
      </c>
      <c r="I3735" t="s">
        <v>79</v>
      </c>
      <c r="J3735">
        <v>5000</v>
      </c>
      <c r="L3735">
        <v>9</v>
      </c>
      <c r="M3735">
        <v>542.4799999999999</v>
      </c>
      <c r="N3735">
        <v>17.099999999999998</v>
      </c>
      <c r="Q3735">
        <v>525.37999999999988</v>
      </c>
      <c r="R3735" t="s">
        <v>2573</v>
      </c>
      <c r="V3735">
        <v>0</v>
      </c>
      <c r="W3735">
        <v>0</v>
      </c>
      <c r="AF3735">
        <v>0</v>
      </c>
      <c r="AG3735">
        <v>0</v>
      </c>
      <c r="AH3735">
        <v>0</v>
      </c>
      <c r="AI3735">
        <v>12</v>
      </c>
      <c r="AJ3735">
        <v>12</v>
      </c>
      <c r="AM3735">
        <v>0</v>
      </c>
      <c r="AN3735">
        <v>547.4799999999999</v>
      </c>
      <c r="AP3735">
        <v>16</v>
      </c>
    </row>
    <row r="3736" spans="1:42" x14ac:dyDescent="0.25">
      <c r="A3736" t="s">
        <v>45</v>
      </c>
      <c r="B3736">
        <v>5</v>
      </c>
      <c r="C3736" t="s">
        <v>2518</v>
      </c>
      <c r="D3736" s="39">
        <v>46125</v>
      </c>
      <c r="E3736" t="s">
        <v>259</v>
      </c>
      <c r="F3736" t="s">
        <v>79</v>
      </c>
      <c r="G3736">
        <v>7</v>
      </c>
      <c r="H3736" t="s">
        <v>113</v>
      </c>
      <c r="I3736" t="s">
        <v>79</v>
      </c>
      <c r="J3736">
        <v>4500</v>
      </c>
      <c r="L3736">
        <v>8</v>
      </c>
      <c r="M3736">
        <v>288.77999999999997</v>
      </c>
      <c r="N3736">
        <v>5.6</v>
      </c>
      <c r="Q3736">
        <v>283.17999999999995</v>
      </c>
      <c r="R3736" t="s">
        <v>2571</v>
      </c>
      <c r="V3736">
        <v>0</v>
      </c>
      <c r="W3736">
        <v>0</v>
      </c>
      <c r="AF3736">
        <v>0</v>
      </c>
      <c r="AG3736">
        <v>0</v>
      </c>
      <c r="AH3736">
        <v>0</v>
      </c>
      <c r="AI3736">
        <v>12</v>
      </c>
      <c r="AJ3736">
        <v>12</v>
      </c>
      <c r="AM3736">
        <v>0</v>
      </c>
      <c r="AN3736">
        <v>293.77999999999997</v>
      </c>
      <c r="AP3736">
        <v>16</v>
      </c>
    </row>
    <row r="3737" spans="1:42" x14ac:dyDescent="0.25">
      <c r="A3737" t="s">
        <v>46</v>
      </c>
      <c r="B3737">
        <v>5</v>
      </c>
      <c r="C3737" t="s">
        <v>2518</v>
      </c>
      <c r="D3737" s="39">
        <v>46125</v>
      </c>
      <c r="E3737" t="s">
        <v>259</v>
      </c>
      <c r="F3737" t="s">
        <v>79</v>
      </c>
      <c r="G3737">
        <v>7</v>
      </c>
      <c r="H3737" t="s">
        <v>113</v>
      </c>
      <c r="I3737" t="s">
        <v>79</v>
      </c>
      <c r="J3737">
        <v>4500</v>
      </c>
      <c r="L3737">
        <v>8</v>
      </c>
      <c r="M3737">
        <v>309.76</v>
      </c>
      <c r="N3737">
        <v>5.6</v>
      </c>
      <c r="Q3737">
        <v>304.15999999999997</v>
      </c>
      <c r="R3737" t="s">
        <v>2571</v>
      </c>
      <c r="V3737">
        <v>0</v>
      </c>
      <c r="W3737">
        <v>0</v>
      </c>
      <c r="AF3737">
        <v>0</v>
      </c>
      <c r="AG3737">
        <v>0</v>
      </c>
      <c r="AH3737">
        <v>0</v>
      </c>
      <c r="AI3737">
        <v>12</v>
      </c>
      <c r="AJ3737">
        <v>12</v>
      </c>
      <c r="AM3737">
        <v>0</v>
      </c>
      <c r="AN3737">
        <v>314.76</v>
      </c>
      <c r="AP3737">
        <v>16</v>
      </c>
    </row>
    <row r="3738" spans="1:42" x14ac:dyDescent="0.25">
      <c r="A3738" t="s">
        <v>45</v>
      </c>
      <c r="B3738">
        <v>2</v>
      </c>
      <c r="C3738" t="s">
        <v>2543</v>
      </c>
      <c r="D3738" s="39">
        <v>46126</v>
      </c>
      <c r="E3738" t="s">
        <v>259</v>
      </c>
      <c r="F3738" t="s">
        <v>79</v>
      </c>
      <c r="G3738">
        <v>6</v>
      </c>
      <c r="H3738" t="s">
        <v>113</v>
      </c>
      <c r="I3738" t="s">
        <v>79</v>
      </c>
      <c r="J3738">
        <v>4500</v>
      </c>
      <c r="L3738">
        <v>7</v>
      </c>
      <c r="M3738">
        <v>179.20999999999998</v>
      </c>
      <c r="N3738">
        <v>4.2</v>
      </c>
      <c r="O3738">
        <v>3</v>
      </c>
      <c r="Q3738">
        <v>175.01</v>
      </c>
      <c r="R3738" t="s">
        <v>2572</v>
      </c>
      <c r="V3738">
        <v>0</v>
      </c>
      <c r="W3738">
        <v>0</v>
      </c>
      <c r="AF3738">
        <v>0</v>
      </c>
      <c r="AG3738">
        <v>0</v>
      </c>
      <c r="AH3738">
        <v>0</v>
      </c>
      <c r="AI3738">
        <v>12</v>
      </c>
      <c r="AJ3738">
        <v>12</v>
      </c>
      <c r="AM3738">
        <v>0</v>
      </c>
      <c r="AN3738">
        <v>184.21</v>
      </c>
      <c r="AP3738">
        <v>16</v>
      </c>
    </row>
    <row r="3739" spans="1:42" x14ac:dyDescent="0.25">
      <c r="A3739" t="s">
        <v>46</v>
      </c>
      <c r="B3739">
        <v>2</v>
      </c>
      <c r="C3739" t="s">
        <v>2543</v>
      </c>
      <c r="D3739" s="39">
        <v>46126</v>
      </c>
      <c r="E3739" t="s">
        <v>259</v>
      </c>
      <c r="F3739" t="s">
        <v>79</v>
      </c>
      <c r="G3739">
        <v>6</v>
      </c>
      <c r="H3739" t="s">
        <v>113</v>
      </c>
      <c r="I3739" t="s">
        <v>79</v>
      </c>
      <c r="J3739">
        <v>4500</v>
      </c>
      <c r="L3739">
        <v>8</v>
      </c>
      <c r="M3739">
        <v>203.63</v>
      </c>
      <c r="N3739">
        <v>4.8</v>
      </c>
      <c r="O3739">
        <v>5</v>
      </c>
      <c r="Q3739">
        <v>198.82999999999998</v>
      </c>
      <c r="R3739" t="s">
        <v>2572</v>
      </c>
      <c r="V3739">
        <v>0</v>
      </c>
      <c r="W3739">
        <v>0</v>
      </c>
      <c r="AF3739">
        <v>0</v>
      </c>
      <c r="AG3739">
        <v>0</v>
      </c>
      <c r="AH3739">
        <v>0</v>
      </c>
      <c r="AI3739">
        <v>12</v>
      </c>
      <c r="AJ3739">
        <v>12</v>
      </c>
      <c r="AM3739">
        <v>0</v>
      </c>
      <c r="AN3739">
        <v>208.63</v>
      </c>
      <c r="AP3739">
        <v>16</v>
      </c>
    </row>
    <row r="3740" spans="1:42" x14ac:dyDescent="0.25">
      <c r="A3740" t="s">
        <v>45</v>
      </c>
      <c r="B3740">
        <v>4</v>
      </c>
      <c r="C3740" t="s">
        <v>2555</v>
      </c>
      <c r="D3740" s="39">
        <v>46126</v>
      </c>
      <c r="E3740" t="s">
        <v>396</v>
      </c>
      <c r="F3740" t="s">
        <v>79</v>
      </c>
      <c r="G3740">
        <v>17</v>
      </c>
      <c r="H3740" t="s">
        <v>92</v>
      </c>
      <c r="I3740" t="s">
        <v>79</v>
      </c>
      <c r="J3740">
        <v>5000</v>
      </c>
      <c r="L3740">
        <v>8</v>
      </c>
      <c r="M3740">
        <v>516.68000000000006</v>
      </c>
      <c r="N3740">
        <v>15.2</v>
      </c>
      <c r="Q3740">
        <v>501.48000000000008</v>
      </c>
      <c r="R3740" t="s">
        <v>2573</v>
      </c>
      <c r="V3740">
        <v>0</v>
      </c>
      <c r="W3740">
        <v>0</v>
      </c>
      <c r="AF3740">
        <v>0</v>
      </c>
      <c r="AG3740">
        <v>0</v>
      </c>
      <c r="AH3740">
        <v>0</v>
      </c>
      <c r="AI3740">
        <v>12</v>
      </c>
      <c r="AJ3740">
        <v>12</v>
      </c>
      <c r="AM3740">
        <v>0</v>
      </c>
      <c r="AN3740">
        <v>521.68000000000006</v>
      </c>
      <c r="AP3740">
        <v>16</v>
      </c>
    </row>
    <row r="3741" spans="1:42" x14ac:dyDescent="0.25">
      <c r="A3741" t="s">
        <v>46</v>
      </c>
      <c r="B3741">
        <v>4</v>
      </c>
      <c r="C3741" t="s">
        <v>2555</v>
      </c>
      <c r="D3741" s="39">
        <v>46126</v>
      </c>
      <c r="E3741" t="s">
        <v>396</v>
      </c>
      <c r="F3741" t="s">
        <v>79</v>
      </c>
      <c r="G3741">
        <v>17</v>
      </c>
      <c r="H3741" t="s">
        <v>92</v>
      </c>
      <c r="I3741" t="s">
        <v>79</v>
      </c>
      <c r="J3741">
        <v>5000</v>
      </c>
      <c r="L3741">
        <v>8</v>
      </c>
      <c r="M3741">
        <v>512.22</v>
      </c>
      <c r="N3741">
        <v>15.2</v>
      </c>
      <c r="Q3741">
        <v>497.02000000000004</v>
      </c>
      <c r="R3741" t="s">
        <v>2573</v>
      </c>
      <c r="V3741">
        <v>0</v>
      </c>
      <c r="W3741">
        <v>0</v>
      </c>
      <c r="AF3741">
        <v>0</v>
      </c>
      <c r="AG3741">
        <v>0</v>
      </c>
      <c r="AH3741">
        <v>0</v>
      </c>
      <c r="AI3741">
        <v>12</v>
      </c>
      <c r="AJ3741">
        <v>12</v>
      </c>
      <c r="AM3741">
        <v>0</v>
      </c>
      <c r="AN3741">
        <v>517.22</v>
      </c>
      <c r="AP3741">
        <v>16</v>
      </c>
    </row>
    <row r="3742" spans="1:42" x14ac:dyDescent="0.25">
      <c r="A3742" t="s">
        <v>45</v>
      </c>
      <c r="B3742">
        <v>5</v>
      </c>
      <c r="C3742" t="s">
        <v>2518</v>
      </c>
      <c r="D3742" s="39">
        <v>46126</v>
      </c>
      <c r="E3742" t="s">
        <v>259</v>
      </c>
      <c r="F3742" t="s">
        <v>79</v>
      </c>
      <c r="G3742">
        <v>7</v>
      </c>
      <c r="H3742" t="s">
        <v>113</v>
      </c>
      <c r="I3742" t="s">
        <v>79</v>
      </c>
      <c r="J3742">
        <v>4500</v>
      </c>
      <c r="L3742">
        <v>6</v>
      </c>
      <c r="M3742">
        <v>211.22000000000003</v>
      </c>
      <c r="N3742">
        <v>4.1999999999999993</v>
      </c>
      <c r="Q3742">
        <v>207.02000000000004</v>
      </c>
      <c r="R3742" t="s">
        <v>2571</v>
      </c>
      <c r="V3742">
        <v>0</v>
      </c>
      <c r="W3742">
        <v>0</v>
      </c>
      <c r="AF3742">
        <v>0</v>
      </c>
      <c r="AG3742">
        <v>0</v>
      </c>
      <c r="AH3742">
        <v>0</v>
      </c>
      <c r="AI3742">
        <v>12</v>
      </c>
      <c r="AJ3742">
        <v>12</v>
      </c>
      <c r="AM3742">
        <v>0</v>
      </c>
      <c r="AN3742">
        <v>216.22000000000003</v>
      </c>
      <c r="AP3742">
        <v>16</v>
      </c>
    </row>
    <row r="3743" spans="1:42" x14ac:dyDescent="0.25">
      <c r="A3743" t="s">
        <v>46</v>
      </c>
      <c r="B3743">
        <v>5</v>
      </c>
      <c r="C3743" t="s">
        <v>2518</v>
      </c>
      <c r="D3743" s="39">
        <v>46126</v>
      </c>
      <c r="E3743" t="s">
        <v>259</v>
      </c>
      <c r="F3743" t="s">
        <v>79</v>
      </c>
      <c r="G3743">
        <v>7</v>
      </c>
      <c r="H3743" t="s">
        <v>113</v>
      </c>
      <c r="I3743" t="s">
        <v>79</v>
      </c>
      <c r="J3743">
        <v>4500</v>
      </c>
      <c r="L3743">
        <v>7</v>
      </c>
      <c r="M3743">
        <v>264.66000000000003</v>
      </c>
      <c r="N3743">
        <v>4.8999999999999995</v>
      </c>
      <c r="Q3743">
        <v>259.76000000000005</v>
      </c>
      <c r="R3743" t="s">
        <v>2571</v>
      </c>
      <c r="V3743">
        <v>0</v>
      </c>
      <c r="W3743">
        <v>0</v>
      </c>
      <c r="AF3743">
        <v>0</v>
      </c>
      <c r="AG3743">
        <v>0</v>
      </c>
      <c r="AH3743">
        <v>0</v>
      </c>
      <c r="AI3743">
        <v>12</v>
      </c>
      <c r="AJ3743">
        <v>12</v>
      </c>
      <c r="AM3743">
        <v>0</v>
      </c>
      <c r="AN3743">
        <v>269.66000000000003</v>
      </c>
      <c r="AP3743">
        <v>16</v>
      </c>
    </row>
    <row r="3744" spans="1:42" x14ac:dyDescent="0.25">
      <c r="A3744" t="s">
        <v>45</v>
      </c>
      <c r="B3744">
        <v>2</v>
      </c>
      <c r="C3744" t="s">
        <v>2574</v>
      </c>
      <c r="D3744" s="39">
        <v>46127</v>
      </c>
      <c r="E3744" t="s">
        <v>385</v>
      </c>
      <c r="F3744" t="s">
        <v>79</v>
      </c>
      <c r="G3744">
        <v>6</v>
      </c>
      <c r="H3744" t="s">
        <v>93</v>
      </c>
      <c r="I3744" t="s">
        <v>79</v>
      </c>
      <c r="J3744">
        <v>100</v>
      </c>
      <c r="L3744">
        <v>4</v>
      </c>
      <c r="M3744">
        <v>103.05000000000001</v>
      </c>
      <c r="N3744">
        <v>2.4</v>
      </c>
      <c r="Q3744">
        <v>100.65</v>
      </c>
      <c r="R3744" t="s">
        <v>2575</v>
      </c>
      <c r="V3744">
        <v>0</v>
      </c>
      <c r="W3744">
        <v>0</v>
      </c>
      <c r="AF3744">
        <v>0</v>
      </c>
      <c r="AG3744">
        <v>0</v>
      </c>
      <c r="AH3744">
        <v>0</v>
      </c>
      <c r="AI3744">
        <v>12</v>
      </c>
      <c r="AJ3744">
        <v>12</v>
      </c>
      <c r="AM3744">
        <v>0</v>
      </c>
      <c r="AN3744">
        <v>108.05</v>
      </c>
      <c r="AP3744">
        <v>16</v>
      </c>
    </row>
    <row r="3745" spans="1:42" x14ac:dyDescent="0.25">
      <c r="A3745" t="s">
        <v>45</v>
      </c>
      <c r="B3745">
        <v>2</v>
      </c>
      <c r="C3745" t="s">
        <v>2391</v>
      </c>
      <c r="D3745" s="39">
        <v>46127</v>
      </c>
      <c r="E3745" t="s">
        <v>486</v>
      </c>
      <c r="F3745" t="s">
        <v>79</v>
      </c>
      <c r="G3745">
        <v>6</v>
      </c>
      <c r="H3745">
        <v>5</v>
      </c>
      <c r="I3745" t="s">
        <v>79</v>
      </c>
      <c r="J3745">
        <v>400</v>
      </c>
      <c r="L3745">
        <v>5</v>
      </c>
      <c r="M3745">
        <v>111.56</v>
      </c>
      <c r="N3745">
        <v>3</v>
      </c>
      <c r="O3745">
        <v>33</v>
      </c>
      <c r="Q3745">
        <v>108.56</v>
      </c>
      <c r="R3745" t="s">
        <v>2570</v>
      </c>
      <c r="V3745">
        <v>0</v>
      </c>
      <c r="W3745">
        <v>0</v>
      </c>
      <c r="AD3745">
        <v>30</v>
      </c>
      <c r="AF3745">
        <v>30</v>
      </c>
      <c r="AG3745">
        <v>0.5</v>
      </c>
      <c r="AH3745">
        <v>0.5</v>
      </c>
      <c r="AI3745">
        <v>11.5</v>
      </c>
      <c r="AJ3745">
        <v>12</v>
      </c>
      <c r="AM3745">
        <v>0</v>
      </c>
      <c r="AN3745">
        <v>116.56</v>
      </c>
      <c r="AP3745">
        <v>16</v>
      </c>
    </row>
    <row r="3746" spans="1:42" x14ac:dyDescent="0.25">
      <c r="A3746" t="s">
        <v>46</v>
      </c>
      <c r="B3746">
        <v>2</v>
      </c>
      <c r="C3746" t="s">
        <v>2543</v>
      </c>
      <c r="D3746" s="39">
        <v>46127</v>
      </c>
      <c r="E3746" t="s">
        <v>259</v>
      </c>
      <c r="F3746" t="s">
        <v>79</v>
      </c>
      <c r="G3746">
        <v>6</v>
      </c>
      <c r="H3746" t="s">
        <v>113</v>
      </c>
      <c r="I3746" t="s">
        <v>79</v>
      </c>
      <c r="J3746">
        <v>4500</v>
      </c>
      <c r="L3746">
        <v>8</v>
      </c>
      <c r="M3746">
        <v>173.25</v>
      </c>
      <c r="N3746">
        <v>4.8</v>
      </c>
      <c r="O3746">
        <v>22</v>
      </c>
      <c r="Q3746">
        <v>168.45</v>
      </c>
      <c r="R3746" t="s">
        <v>2572</v>
      </c>
      <c r="V3746">
        <v>0</v>
      </c>
      <c r="W3746">
        <v>0</v>
      </c>
      <c r="Z3746">
        <v>60</v>
      </c>
      <c r="AF3746">
        <v>60</v>
      </c>
      <c r="AG3746">
        <v>1</v>
      </c>
      <c r="AH3746">
        <v>1</v>
      </c>
      <c r="AI3746">
        <v>11</v>
      </c>
      <c r="AJ3746">
        <v>12</v>
      </c>
      <c r="AM3746">
        <v>0</v>
      </c>
      <c r="AN3746">
        <v>178.25</v>
      </c>
      <c r="AP3746">
        <v>16</v>
      </c>
    </row>
    <row r="3747" spans="1:42" x14ac:dyDescent="0.25">
      <c r="A3747" t="s">
        <v>45</v>
      </c>
      <c r="B3747">
        <v>4</v>
      </c>
      <c r="C3747" t="s">
        <v>2555</v>
      </c>
      <c r="D3747" s="39">
        <v>46127</v>
      </c>
      <c r="E3747" t="s">
        <v>396</v>
      </c>
      <c r="F3747" t="s">
        <v>79</v>
      </c>
      <c r="G3747">
        <v>17</v>
      </c>
      <c r="H3747" t="s">
        <v>92</v>
      </c>
      <c r="I3747" t="s">
        <v>79</v>
      </c>
      <c r="J3747">
        <v>5000</v>
      </c>
      <c r="L3747">
        <v>5</v>
      </c>
      <c r="M3747">
        <v>316.66000000000003</v>
      </c>
      <c r="N3747">
        <v>8.5</v>
      </c>
      <c r="Q3747">
        <v>308.16000000000003</v>
      </c>
      <c r="R3747" t="s">
        <v>2573</v>
      </c>
      <c r="V3747">
        <v>0</v>
      </c>
      <c r="W3747">
        <v>0</v>
      </c>
      <c r="AF3747">
        <v>0</v>
      </c>
      <c r="AG3747">
        <v>0</v>
      </c>
      <c r="AH3747">
        <v>0</v>
      </c>
      <c r="AI3747">
        <v>12</v>
      </c>
      <c r="AJ3747">
        <v>12</v>
      </c>
      <c r="AM3747">
        <v>0</v>
      </c>
      <c r="AN3747">
        <v>321.66000000000003</v>
      </c>
      <c r="AP3747">
        <v>16</v>
      </c>
    </row>
    <row r="3748" spans="1:42" x14ac:dyDescent="0.25">
      <c r="A3748" t="s">
        <v>45</v>
      </c>
      <c r="B3748">
        <v>4</v>
      </c>
      <c r="C3748" t="s">
        <v>2576</v>
      </c>
      <c r="D3748" s="39">
        <v>46127</v>
      </c>
      <c r="E3748" t="s">
        <v>2577</v>
      </c>
      <c r="F3748" t="s">
        <v>79</v>
      </c>
      <c r="G3748">
        <v>14</v>
      </c>
      <c r="H3748" t="s">
        <v>117</v>
      </c>
      <c r="I3748" t="s">
        <v>79</v>
      </c>
      <c r="J3748">
        <v>100</v>
      </c>
      <c r="L3748">
        <v>1</v>
      </c>
      <c r="M3748">
        <v>40.4</v>
      </c>
      <c r="N3748">
        <v>1.4</v>
      </c>
      <c r="Q3748">
        <v>39</v>
      </c>
      <c r="R3748" t="s">
        <v>2578</v>
      </c>
      <c r="V3748">
        <v>0</v>
      </c>
      <c r="W3748">
        <v>0</v>
      </c>
      <c r="AF3748">
        <v>0</v>
      </c>
      <c r="AG3748">
        <v>0</v>
      </c>
      <c r="AH3748">
        <v>0</v>
      </c>
      <c r="AI3748">
        <v>12</v>
      </c>
      <c r="AJ3748">
        <v>12</v>
      </c>
      <c r="AM3748">
        <v>0</v>
      </c>
      <c r="AN3748">
        <v>45.4</v>
      </c>
      <c r="AP3748">
        <v>16</v>
      </c>
    </row>
    <row r="3749" spans="1:42" x14ac:dyDescent="0.25">
      <c r="A3749" t="s">
        <v>45</v>
      </c>
      <c r="B3749">
        <v>4</v>
      </c>
      <c r="C3749" t="s">
        <v>2579</v>
      </c>
      <c r="D3749" s="39">
        <v>46127</v>
      </c>
      <c r="E3749" t="s">
        <v>2580</v>
      </c>
      <c r="F3749" t="s">
        <v>79</v>
      </c>
      <c r="G3749">
        <v>17</v>
      </c>
      <c r="H3749" t="s">
        <v>102</v>
      </c>
      <c r="I3749" t="s">
        <v>79</v>
      </c>
      <c r="J3749">
        <v>25</v>
      </c>
      <c r="L3749">
        <v>2</v>
      </c>
      <c r="M3749">
        <v>113.6</v>
      </c>
      <c r="N3749">
        <v>3.4</v>
      </c>
      <c r="Q3749">
        <v>110.19999999999999</v>
      </c>
      <c r="R3749" t="s">
        <v>2581</v>
      </c>
      <c r="V3749">
        <v>0</v>
      </c>
      <c r="W3749">
        <v>0</v>
      </c>
      <c r="AF3749">
        <v>0</v>
      </c>
      <c r="AG3749">
        <v>0</v>
      </c>
      <c r="AH3749">
        <v>0</v>
      </c>
      <c r="AI3749">
        <v>12</v>
      </c>
      <c r="AJ3749">
        <v>12</v>
      </c>
      <c r="AM3749">
        <v>0</v>
      </c>
      <c r="AN3749">
        <v>118.6</v>
      </c>
      <c r="AP3749">
        <v>16</v>
      </c>
    </row>
    <row r="3750" spans="1:42" x14ac:dyDescent="0.25">
      <c r="A3750" t="s">
        <v>45</v>
      </c>
      <c r="B3750">
        <v>4</v>
      </c>
      <c r="C3750" t="s">
        <v>2582</v>
      </c>
      <c r="D3750" s="39">
        <v>46127</v>
      </c>
      <c r="E3750" t="s">
        <v>2493</v>
      </c>
      <c r="F3750" t="s">
        <v>79</v>
      </c>
      <c r="G3750">
        <v>17</v>
      </c>
      <c r="H3750" t="s">
        <v>534</v>
      </c>
      <c r="I3750" t="s">
        <v>79</v>
      </c>
      <c r="J3750">
        <v>1000</v>
      </c>
      <c r="L3750">
        <v>2</v>
      </c>
      <c r="M3750">
        <v>98.32</v>
      </c>
      <c r="N3750">
        <v>3.4</v>
      </c>
      <c r="Q3750">
        <v>94.919999999999987</v>
      </c>
      <c r="R3750" t="s">
        <v>2583</v>
      </c>
      <c r="S3750">
        <v>30</v>
      </c>
      <c r="V3750">
        <v>30</v>
      </c>
      <c r="W3750">
        <v>0.5</v>
      </c>
      <c r="AF3750">
        <v>0</v>
      </c>
      <c r="AG3750">
        <v>0</v>
      </c>
      <c r="AH3750">
        <v>0.5</v>
      </c>
      <c r="AI3750">
        <v>11.5</v>
      </c>
      <c r="AJ3750">
        <v>12</v>
      </c>
      <c r="AM3750">
        <v>0</v>
      </c>
      <c r="AN3750">
        <v>103.32</v>
      </c>
      <c r="AP3750">
        <v>16</v>
      </c>
    </row>
    <row r="3751" spans="1:42" x14ac:dyDescent="0.25">
      <c r="A3751" t="s">
        <v>46</v>
      </c>
      <c r="B3751">
        <v>4</v>
      </c>
      <c r="C3751" t="s">
        <v>2576</v>
      </c>
      <c r="D3751" s="39">
        <v>46127</v>
      </c>
      <c r="E3751" t="s">
        <v>2577</v>
      </c>
      <c r="F3751" t="s">
        <v>79</v>
      </c>
      <c r="G3751">
        <v>14</v>
      </c>
      <c r="H3751" t="s">
        <v>117</v>
      </c>
      <c r="I3751" t="s">
        <v>79</v>
      </c>
      <c r="J3751">
        <v>100</v>
      </c>
      <c r="L3751">
        <v>2</v>
      </c>
      <c r="M3751">
        <v>67.02</v>
      </c>
      <c r="N3751">
        <v>2.8</v>
      </c>
      <c r="Q3751">
        <v>64.22</v>
      </c>
      <c r="R3751" t="s">
        <v>2578</v>
      </c>
      <c r="S3751">
        <v>20</v>
      </c>
      <c r="V3751">
        <v>20</v>
      </c>
      <c r="W3751">
        <v>0.33333333333333331</v>
      </c>
      <c r="AF3751">
        <v>0</v>
      </c>
      <c r="AG3751">
        <v>0</v>
      </c>
      <c r="AH3751">
        <v>0.33333333333333331</v>
      </c>
      <c r="AI3751">
        <v>11.666666666666666</v>
      </c>
      <c r="AJ3751">
        <v>12</v>
      </c>
      <c r="AM3751">
        <v>0</v>
      </c>
      <c r="AN3751">
        <v>72.02</v>
      </c>
      <c r="AP3751">
        <v>16</v>
      </c>
    </row>
    <row r="3752" spans="1:42" x14ac:dyDescent="0.25">
      <c r="A3752" t="s">
        <v>46</v>
      </c>
      <c r="B3752">
        <v>4</v>
      </c>
      <c r="C3752" t="s">
        <v>2584</v>
      </c>
      <c r="D3752" s="39">
        <v>46127</v>
      </c>
      <c r="E3752" t="s">
        <v>2585</v>
      </c>
      <c r="F3752" t="s">
        <v>79</v>
      </c>
      <c r="G3752">
        <v>24</v>
      </c>
      <c r="H3752" t="s">
        <v>113</v>
      </c>
      <c r="I3752" t="s">
        <v>79</v>
      </c>
      <c r="J3752">
        <v>200</v>
      </c>
      <c r="L3752">
        <v>4</v>
      </c>
      <c r="M3752">
        <v>224.28</v>
      </c>
      <c r="N3752">
        <v>11.6</v>
      </c>
      <c r="Q3752">
        <v>212.68</v>
      </c>
      <c r="R3752" t="s">
        <v>2586</v>
      </c>
      <c r="V3752">
        <v>0</v>
      </c>
      <c r="W3752">
        <v>0</v>
      </c>
      <c r="AF3752">
        <v>0</v>
      </c>
      <c r="AG3752">
        <v>0</v>
      </c>
      <c r="AH3752">
        <v>0</v>
      </c>
      <c r="AI3752">
        <v>12</v>
      </c>
      <c r="AJ3752">
        <v>12</v>
      </c>
      <c r="AM3752">
        <v>0</v>
      </c>
      <c r="AN3752">
        <v>229.28</v>
      </c>
      <c r="AP3752">
        <v>16</v>
      </c>
    </row>
    <row r="3753" spans="1:42" x14ac:dyDescent="0.25">
      <c r="A3753" t="s">
        <v>46</v>
      </c>
      <c r="B3753">
        <v>4</v>
      </c>
      <c r="C3753" t="s">
        <v>2587</v>
      </c>
      <c r="D3753" s="39">
        <v>46127</v>
      </c>
      <c r="E3753" t="s">
        <v>2528</v>
      </c>
      <c r="F3753" t="s">
        <v>79</v>
      </c>
      <c r="G3753">
        <v>24</v>
      </c>
      <c r="H3753" t="s">
        <v>124</v>
      </c>
      <c r="I3753" t="s">
        <v>79</v>
      </c>
      <c r="J3753">
        <v>100</v>
      </c>
      <c r="L3753">
        <v>2</v>
      </c>
      <c r="M3753">
        <v>114.78</v>
      </c>
      <c r="N3753">
        <v>5.8</v>
      </c>
      <c r="Q3753">
        <v>108.98</v>
      </c>
      <c r="R3753" t="s">
        <v>2588</v>
      </c>
      <c r="V3753">
        <v>0</v>
      </c>
      <c r="W3753">
        <v>0</v>
      </c>
      <c r="AF3753">
        <v>0</v>
      </c>
      <c r="AG3753">
        <v>0</v>
      </c>
      <c r="AH3753">
        <v>0</v>
      </c>
      <c r="AI3753">
        <v>12</v>
      </c>
      <c r="AJ3753">
        <v>12</v>
      </c>
      <c r="AM3753">
        <v>0</v>
      </c>
      <c r="AN3753">
        <v>119.78</v>
      </c>
      <c r="AP3753">
        <v>16</v>
      </c>
    </row>
    <row r="3754" spans="1:42" x14ac:dyDescent="0.25">
      <c r="A3754" t="s">
        <v>46</v>
      </c>
      <c r="B3754">
        <v>4</v>
      </c>
      <c r="C3754" t="s">
        <v>2589</v>
      </c>
      <c r="D3754" s="39">
        <v>46127</v>
      </c>
      <c r="E3754" t="s">
        <v>2528</v>
      </c>
      <c r="F3754" t="s">
        <v>79</v>
      </c>
      <c r="G3754">
        <v>24</v>
      </c>
      <c r="H3754" t="s">
        <v>124</v>
      </c>
      <c r="I3754" t="s">
        <v>79</v>
      </c>
      <c r="J3754">
        <v>100</v>
      </c>
      <c r="L3754">
        <v>2</v>
      </c>
      <c r="M3754">
        <v>115.34</v>
      </c>
      <c r="N3754">
        <v>5.8</v>
      </c>
      <c r="Q3754">
        <v>109.54</v>
      </c>
      <c r="R3754" t="s">
        <v>2590</v>
      </c>
      <c r="V3754">
        <v>0</v>
      </c>
      <c r="W3754">
        <v>0</v>
      </c>
      <c r="AF3754">
        <v>0</v>
      </c>
      <c r="AG3754">
        <v>0</v>
      </c>
      <c r="AH3754">
        <v>0</v>
      </c>
      <c r="AI3754">
        <v>12</v>
      </c>
      <c r="AJ3754">
        <v>12</v>
      </c>
      <c r="AM3754">
        <v>0</v>
      </c>
      <c r="AN3754">
        <v>120.34</v>
      </c>
      <c r="AP3754">
        <v>16</v>
      </c>
    </row>
    <row r="3755" spans="1:42" x14ac:dyDescent="0.25">
      <c r="A3755" t="s">
        <v>45</v>
      </c>
      <c r="B3755">
        <v>5</v>
      </c>
      <c r="C3755" t="s">
        <v>2518</v>
      </c>
      <c r="D3755" s="39">
        <v>46127</v>
      </c>
      <c r="E3755" t="s">
        <v>259</v>
      </c>
      <c r="F3755" t="s">
        <v>79</v>
      </c>
      <c r="G3755">
        <v>7</v>
      </c>
      <c r="H3755" t="s">
        <v>113</v>
      </c>
      <c r="I3755" t="s">
        <v>79</v>
      </c>
      <c r="J3755">
        <v>4500</v>
      </c>
      <c r="L3755">
        <v>6</v>
      </c>
      <c r="M3755">
        <v>213.82</v>
      </c>
      <c r="N3755">
        <v>4.1999999999999993</v>
      </c>
      <c r="Q3755">
        <v>209.62</v>
      </c>
      <c r="R3755" t="s">
        <v>2571</v>
      </c>
      <c r="V3755">
        <v>0</v>
      </c>
      <c r="W3755">
        <v>0</v>
      </c>
      <c r="AE3755">
        <v>180</v>
      </c>
      <c r="AF3755">
        <v>180</v>
      </c>
      <c r="AG3755">
        <v>3</v>
      </c>
      <c r="AH3755">
        <v>3</v>
      </c>
      <c r="AI3755">
        <v>9</v>
      </c>
      <c r="AJ3755">
        <v>12</v>
      </c>
      <c r="AM3755">
        <v>0</v>
      </c>
      <c r="AN3755">
        <v>218.82</v>
      </c>
      <c r="AP3755">
        <v>16</v>
      </c>
    </row>
    <row r="3756" spans="1:42" x14ac:dyDescent="0.25">
      <c r="A3756" t="s">
        <v>46</v>
      </c>
      <c r="B3756">
        <v>5</v>
      </c>
      <c r="C3756" t="s">
        <v>2591</v>
      </c>
      <c r="D3756" s="39">
        <v>46127</v>
      </c>
      <c r="E3756" t="s">
        <v>385</v>
      </c>
      <c r="F3756" t="s">
        <v>79</v>
      </c>
      <c r="G3756">
        <v>7</v>
      </c>
      <c r="H3756" t="s">
        <v>93</v>
      </c>
      <c r="I3756" t="s">
        <v>79</v>
      </c>
      <c r="J3756">
        <v>100</v>
      </c>
      <c r="L3756">
        <v>3</v>
      </c>
      <c r="M3756">
        <v>99.399999999999991</v>
      </c>
      <c r="N3756">
        <v>2.7</v>
      </c>
      <c r="Q3756">
        <v>96.699999999999989</v>
      </c>
      <c r="R3756" t="s">
        <v>2592</v>
      </c>
      <c r="S3756">
        <v>15</v>
      </c>
      <c r="V3756">
        <v>15</v>
      </c>
      <c r="W3756">
        <v>0.25</v>
      </c>
      <c r="AE3756">
        <v>150</v>
      </c>
      <c r="AF3756">
        <v>150</v>
      </c>
      <c r="AG3756">
        <v>2.5</v>
      </c>
      <c r="AH3756">
        <v>2.75</v>
      </c>
      <c r="AI3756">
        <v>9.25</v>
      </c>
      <c r="AJ3756">
        <v>12</v>
      </c>
      <c r="AM3756">
        <v>0</v>
      </c>
      <c r="AN3756">
        <v>104.4</v>
      </c>
      <c r="AP3756">
        <v>16</v>
      </c>
    </row>
    <row r="3757" spans="1:42" x14ac:dyDescent="0.25">
      <c r="A3757" t="s">
        <v>46</v>
      </c>
      <c r="B3757">
        <v>5</v>
      </c>
      <c r="C3757" t="s">
        <v>2593</v>
      </c>
      <c r="D3757" s="39">
        <v>46127</v>
      </c>
      <c r="E3757" t="s">
        <v>2500</v>
      </c>
      <c r="F3757" t="s">
        <v>79</v>
      </c>
      <c r="G3757">
        <v>8</v>
      </c>
      <c r="H3757" t="s">
        <v>1049</v>
      </c>
      <c r="I3757" t="s">
        <v>79</v>
      </c>
      <c r="J3757">
        <v>100</v>
      </c>
      <c r="L3757">
        <v>1</v>
      </c>
      <c r="M3757">
        <v>25.16</v>
      </c>
      <c r="N3757">
        <v>0.7</v>
      </c>
      <c r="Q3757">
        <v>24.46</v>
      </c>
      <c r="R3757" t="s">
        <v>2594</v>
      </c>
      <c r="V3757">
        <v>0</v>
      </c>
      <c r="W3757">
        <v>0</v>
      </c>
      <c r="AF3757">
        <v>0</v>
      </c>
      <c r="AG3757">
        <v>0</v>
      </c>
      <c r="AH3757">
        <v>0</v>
      </c>
      <c r="AI3757">
        <v>12</v>
      </c>
      <c r="AJ3757">
        <v>12</v>
      </c>
      <c r="AM3757">
        <v>0</v>
      </c>
      <c r="AN3757">
        <v>30.16</v>
      </c>
      <c r="AP3757">
        <v>16</v>
      </c>
    </row>
    <row r="3758" spans="1:42" x14ac:dyDescent="0.25">
      <c r="A3758" t="s">
        <v>46</v>
      </c>
      <c r="B3758">
        <v>5</v>
      </c>
      <c r="C3758" t="s">
        <v>2595</v>
      </c>
      <c r="D3758" s="39">
        <v>46127</v>
      </c>
      <c r="E3758" t="s">
        <v>385</v>
      </c>
      <c r="F3758" t="s">
        <v>79</v>
      </c>
      <c r="G3758">
        <v>8</v>
      </c>
      <c r="H3758" t="s">
        <v>93</v>
      </c>
      <c r="I3758" t="s">
        <v>79</v>
      </c>
      <c r="J3758">
        <v>100</v>
      </c>
      <c r="L3758">
        <v>3</v>
      </c>
      <c r="M3758">
        <v>104.80000000000001</v>
      </c>
      <c r="N3758">
        <v>3</v>
      </c>
      <c r="Q3758">
        <v>101.80000000000001</v>
      </c>
      <c r="R3758" t="s">
        <v>2596</v>
      </c>
      <c r="V3758">
        <v>0</v>
      </c>
      <c r="W3758">
        <v>0</v>
      </c>
      <c r="AF3758">
        <v>0</v>
      </c>
      <c r="AG3758">
        <v>0</v>
      </c>
      <c r="AH3758">
        <v>0</v>
      </c>
      <c r="AI3758">
        <v>12</v>
      </c>
      <c r="AJ3758">
        <v>12</v>
      </c>
      <c r="AM3758">
        <v>0</v>
      </c>
      <c r="AN3758">
        <v>109.8</v>
      </c>
      <c r="AP3758">
        <v>16</v>
      </c>
    </row>
    <row r="3759" spans="1:42" x14ac:dyDescent="0.25">
      <c r="A3759" t="s">
        <v>45</v>
      </c>
      <c r="B3759">
        <v>2</v>
      </c>
      <c r="C3759" t="s">
        <v>2391</v>
      </c>
      <c r="D3759" s="39">
        <v>46128</v>
      </c>
      <c r="E3759" t="s">
        <v>486</v>
      </c>
      <c r="F3759" t="s">
        <v>79</v>
      </c>
      <c r="G3759">
        <v>6</v>
      </c>
      <c r="H3759">
        <v>5</v>
      </c>
      <c r="I3759" t="s">
        <v>79</v>
      </c>
      <c r="J3759">
        <v>400</v>
      </c>
      <c r="L3759">
        <v>7</v>
      </c>
      <c r="M3759">
        <v>175.82</v>
      </c>
      <c r="N3759">
        <v>4.2</v>
      </c>
      <c r="Q3759">
        <v>171.62</v>
      </c>
      <c r="R3759" t="s">
        <v>2570</v>
      </c>
      <c r="V3759">
        <v>0</v>
      </c>
      <c r="W3759">
        <v>0</v>
      </c>
      <c r="AF3759">
        <v>0</v>
      </c>
      <c r="AG3759">
        <v>0</v>
      </c>
      <c r="AH3759">
        <v>0</v>
      </c>
      <c r="AI3759">
        <v>12</v>
      </c>
      <c r="AJ3759">
        <v>12</v>
      </c>
      <c r="AM3759">
        <v>0</v>
      </c>
      <c r="AN3759">
        <v>180.82</v>
      </c>
      <c r="AP3759">
        <v>16</v>
      </c>
    </row>
    <row r="3760" spans="1:42" x14ac:dyDescent="0.25">
      <c r="A3760" t="s">
        <v>45</v>
      </c>
      <c r="B3760">
        <v>2</v>
      </c>
      <c r="C3760" t="s">
        <v>2597</v>
      </c>
      <c r="D3760" s="39">
        <v>46128</v>
      </c>
      <c r="E3760" t="s">
        <v>2500</v>
      </c>
      <c r="F3760" t="s">
        <v>79</v>
      </c>
      <c r="G3760">
        <v>6</v>
      </c>
      <c r="H3760" t="s">
        <v>1049</v>
      </c>
      <c r="I3760" t="s">
        <v>79</v>
      </c>
      <c r="J3760">
        <v>100</v>
      </c>
      <c r="L3760">
        <v>2</v>
      </c>
      <c r="M3760">
        <v>39.42</v>
      </c>
      <c r="N3760">
        <v>1.2</v>
      </c>
      <c r="Q3760">
        <v>38.22</v>
      </c>
      <c r="R3760" t="s">
        <v>2598</v>
      </c>
      <c r="V3760">
        <v>0</v>
      </c>
      <c r="W3760">
        <v>0</v>
      </c>
      <c r="AF3760">
        <v>0</v>
      </c>
      <c r="AG3760">
        <v>0</v>
      </c>
      <c r="AH3760">
        <v>0</v>
      </c>
      <c r="AI3760">
        <v>12</v>
      </c>
      <c r="AJ3760">
        <v>12</v>
      </c>
      <c r="AM3760">
        <v>0</v>
      </c>
      <c r="AN3760">
        <v>44.42</v>
      </c>
      <c r="AP3760">
        <v>16</v>
      </c>
    </row>
    <row r="3761" spans="1:42" x14ac:dyDescent="0.25">
      <c r="A3761" t="s">
        <v>46</v>
      </c>
      <c r="B3761">
        <v>2</v>
      </c>
      <c r="C3761" t="s">
        <v>2597</v>
      </c>
      <c r="D3761" s="39">
        <v>46128</v>
      </c>
      <c r="E3761" t="s">
        <v>2500</v>
      </c>
      <c r="F3761" t="s">
        <v>79</v>
      </c>
      <c r="G3761">
        <v>6</v>
      </c>
      <c r="H3761" t="s">
        <v>1049</v>
      </c>
      <c r="I3761" t="s">
        <v>79</v>
      </c>
      <c r="J3761">
        <v>100</v>
      </c>
      <c r="L3761">
        <v>4</v>
      </c>
      <c r="M3761">
        <v>95.77000000000001</v>
      </c>
      <c r="N3761">
        <v>2.4</v>
      </c>
      <c r="Q3761">
        <v>93.37</v>
      </c>
      <c r="R3761" t="s">
        <v>2598</v>
      </c>
      <c r="S3761">
        <v>25</v>
      </c>
      <c r="V3761">
        <v>25</v>
      </c>
      <c r="W3761">
        <v>0.41666666666666674</v>
      </c>
      <c r="Z3761">
        <v>35</v>
      </c>
      <c r="AF3761">
        <v>35</v>
      </c>
      <c r="AG3761">
        <v>0.58333333333333337</v>
      </c>
      <c r="AH3761">
        <v>1</v>
      </c>
      <c r="AI3761">
        <v>11</v>
      </c>
      <c r="AJ3761">
        <v>12</v>
      </c>
      <c r="AM3761">
        <v>0</v>
      </c>
      <c r="AN3761">
        <v>100.77</v>
      </c>
      <c r="AP3761">
        <v>16</v>
      </c>
    </row>
    <row r="3762" spans="1:42" x14ac:dyDescent="0.25">
      <c r="A3762" t="s">
        <v>46</v>
      </c>
      <c r="B3762">
        <v>2</v>
      </c>
      <c r="C3762" t="s">
        <v>2599</v>
      </c>
      <c r="D3762" s="39">
        <v>46128</v>
      </c>
      <c r="E3762" t="s">
        <v>1486</v>
      </c>
      <c r="F3762" t="s">
        <v>79</v>
      </c>
      <c r="G3762">
        <v>3.5</v>
      </c>
      <c r="H3762" t="s">
        <v>534</v>
      </c>
      <c r="I3762" t="s">
        <v>79</v>
      </c>
      <c r="J3762">
        <v>75</v>
      </c>
      <c r="L3762">
        <v>3</v>
      </c>
      <c r="M3762">
        <v>42.97</v>
      </c>
      <c r="N3762">
        <v>1.0499999999999998</v>
      </c>
      <c r="Q3762">
        <v>41.92</v>
      </c>
      <c r="R3762" t="s">
        <v>2600</v>
      </c>
      <c r="V3762">
        <v>0</v>
      </c>
      <c r="W3762">
        <v>0</v>
      </c>
      <c r="AF3762">
        <v>0</v>
      </c>
      <c r="AG3762">
        <v>0</v>
      </c>
      <c r="AH3762">
        <v>0</v>
      </c>
      <c r="AI3762">
        <v>12</v>
      </c>
      <c r="AJ3762">
        <v>12</v>
      </c>
      <c r="AM3762">
        <v>0</v>
      </c>
      <c r="AN3762">
        <v>47.97</v>
      </c>
      <c r="AP3762">
        <v>16</v>
      </c>
    </row>
    <row r="3763" spans="1:42" x14ac:dyDescent="0.25">
      <c r="A3763" t="s">
        <v>45</v>
      </c>
      <c r="B3763">
        <v>4</v>
      </c>
      <c r="C3763" t="s">
        <v>2601</v>
      </c>
      <c r="D3763" s="39">
        <v>46128</v>
      </c>
      <c r="E3763" t="s">
        <v>2585</v>
      </c>
      <c r="F3763" t="s">
        <v>79</v>
      </c>
      <c r="G3763">
        <v>20</v>
      </c>
      <c r="H3763" t="s">
        <v>113</v>
      </c>
      <c r="I3763" t="s">
        <v>79</v>
      </c>
      <c r="J3763">
        <v>400</v>
      </c>
      <c r="L3763">
        <v>8</v>
      </c>
      <c r="M3763">
        <v>416.08000000000004</v>
      </c>
      <c r="N3763">
        <v>16</v>
      </c>
      <c r="Q3763">
        <v>400.08000000000004</v>
      </c>
      <c r="R3763" t="s">
        <v>2602</v>
      </c>
      <c r="V3763">
        <v>0</v>
      </c>
      <c r="W3763">
        <v>0</v>
      </c>
      <c r="AF3763">
        <v>0</v>
      </c>
      <c r="AG3763">
        <v>0</v>
      </c>
      <c r="AH3763">
        <v>0</v>
      </c>
      <c r="AI3763">
        <v>12</v>
      </c>
      <c r="AJ3763">
        <v>12</v>
      </c>
      <c r="AM3763">
        <v>0</v>
      </c>
      <c r="AN3763">
        <v>421.08</v>
      </c>
      <c r="AP3763">
        <v>16</v>
      </c>
    </row>
    <row r="3764" spans="1:42" x14ac:dyDescent="0.25">
      <c r="A3764" t="s">
        <v>45</v>
      </c>
      <c r="B3764">
        <v>4</v>
      </c>
      <c r="C3764" t="s">
        <v>2603</v>
      </c>
      <c r="D3764" s="39">
        <v>46128</v>
      </c>
      <c r="E3764" t="s">
        <v>2585</v>
      </c>
      <c r="F3764" t="s">
        <v>79</v>
      </c>
      <c r="G3764">
        <v>16</v>
      </c>
      <c r="H3764" t="s">
        <v>113</v>
      </c>
      <c r="I3764" t="s">
        <v>79</v>
      </c>
      <c r="J3764">
        <v>300</v>
      </c>
      <c r="L3764">
        <v>1</v>
      </c>
      <c r="M3764">
        <v>45.66</v>
      </c>
      <c r="N3764">
        <v>1.6</v>
      </c>
      <c r="O3764">
        <v>2</v>
      </c>
      <c r="Q3764">
        <v>44.059999999999995</v>
      </c>
      <c r="R3764" t="s">
        <v>2604</v>
      </c>
      <c r="S3764">
        <v>90</v>
      </c>
      <c r="V3764">
        <v>90</v>
      </c>
      <c r="W3764">
        <v>1.5</v>
      </c>
      <c r="AF3764">
        <v>0</v>
      </c>
      <c r="AG3764">
        <v>0</v>
      </c>
      <c r="AH3764">
        <v>1.5</v>
      </c>
      <c r="AI3764">
        <v>10.5</v>
      </c>
      <c r="AJ3764">
        <v>12</v>
      </c>
      <c r="AM3764">
        <v>0</v>
      </c>
      <c r="AN3764">
        <v>50.66</v>
      </c>
      <c r="AP3764">
        <v>16</v>
      </c>
    </row>
    <row r="3765" spans="1:42" x14ac:dyDescent="0.25">
      <c r="A3765" t="s">
        <v>46</v>
      </c>
      <c r="B3765">
        <v>4</v>
      </c>
      <c r="C3765" t="s">
        <v>2603</v>
      </c>
      <c r="D3765" s="39">
        <v>46128</v>
      </c>
      <c r="E3765" t="s">
        <v>2585</v>
      </c>
      <c r="F3765" t="s">
        <v>79</v>
      </c>
      <c r="G3765">
        <v>16</v>
      </c>
      <c r="H3765" t="s">
        <v>113</v>
      </c>
      <c r="I3765" t="s">
        <v>79</v>
      </c>
      <c r="J3765">
        <v>300</v>
      </c>
      <c r="L3765">
        <v>5</v>
      </c>
      <c r="M3765">
        <v>284.76</v>
      </c>
      <c r="N3765">
        <v>6.8</v>
      </c>
      <c r="O3765">
        <v>2</v>
      </c>
      <c r="Q3765">
        <v>277.95999999999998</v>
      </c>
      <c r="R3765" t="s">
        <v>2604</v>
      </c>
      <c r="V3765">
        <v>0</v>
      </c>
      <c r="W3765">
        <v>0</v>
      </c>
      <c r="AF3765">
        <v>0</v>
      </c>
      <c r="AG3765">
        <v>0</v>
      </c>
      <c r="AH3765">
        <v>0</v>
      </c>
      <c r="AI3765">
        <v>12</v>
      </c>
      <c r="AJ3765">
        <v>12</v>
      </c>
      <c r="AM3765">
        <v>0</v>
      </c>
      <c r="AN3765">
        <v>289.76</v>
      </c>
      <c r="AP3765">
        <v>16</v>
      </c>
    </row>
    <row r="3766" spans="1:42" x14ac:dyDescent="0.25">
      <c r="A3766" t="s">
        <v>46</v>
      </c>
      <c r="B3766">
        <v>4</v>
      </c>
      <c r="C3766" t="s">
        <v>2605</v>
      </c>
      <c r="D3766" s="39">
        <v>46128</v>
      </c>
      <c r="E3766" t="s">
        <v>243</v>
      </c>
      <c r="F3766" t="s">
        <v>79</v>
      </c>
      <c r="G3766">
        <v>16</v>
      </c>
      <c r="H3766" t="s">
        <v>93</v>
      </c>
      <c r="I3766" t="s">
        <v>79</v>
      </c>
      <c r="J3766">
        <v>100</v>
      </c>
      <c r="L3766">
        <v>3</v>
      </c>
      <c r="M3766">
        <v>169.38</v>
      </c>
      <c r="N3766">
        <v>5.6</v>
      </c>
      <c r="Q3766">
        <v>163.78</v>
      </c>
      <c r="R3766" t="s">
        <v>2606</v>
      </c>
      <c r="V3766">
        <v>0</v>
      </c>
      <c r="W3766">
        <v>0</v>
      </c>
      <c r="AF3766">
        <v>0</v>
      </c>
      <c r="AG3766">
        <v>0</v>
      </c>
      <c r="AH3766">
        <v>0</v>
      </c>
      <c r="AI3766">
        <v>12</v>
      </c>
      <c r="AJ3766">
        <v>12</v>
      </c>
      <c r="AM3766">
        <v>0</v>
      </c>
      <c r="AN3766">
        <v>174.38</v>
      </c>
      <c r="AP3766">
        <v>16</v>
      </c>
    </row>
    <row r="3767" spans="1:42" x14ac:dyDescent="0.25">
      <c r="A3767" t="s">
        <v>46</v>
      </c>
      <c r="B3767">
        <v>4</v>
      </c>
      <c r="C3767" t="s">
        <v>2607</v>
      </c>
      <c r="D3767" s="39">
        <v>46128</v>
      </c>
      <c r="E3767" t="s">
        <v>243</v>
      </c>
      <c r="F3767" t="s">
        <v>79</v>
      </c>
      <c r="G3767">
        <v>16.2</v>
      </c>
      <c r="H3767" t="s">
        <v>81</v>
      </c>
      <c r="I3767" t="s">
        <v>79</v>
      </c>
      <c r="J3767">
        <v>5000</v>
      </c>
      <c r="L3767">
        <v>2</v>
      </c>
      <c r="M3767">
        <v>106.64</v>
      </c>
      <c r="N3767">
        <v>3.7</v>
      </c>
      <c r="Q3767">
        <v>102.94</v>
      </c>
      <c r="R3767" t="s">
        <v>2703</v>
      </c>
      <c r="V3767">
        <v>0</v>
      </c>
      <c r="W3767">
        <v>0</v>
      </c>
      <c r="AF3767">
        <v>0</v>
      </c>
      <c r="AG3767">
        <v>0</v>
      </c>
      <c r="AH3767">
        <v>0</v>
      </c>
      <c r="AI3767">
        <v>12</v>
      </c>
      <c r="AJ3767">
        <v>12</v>
      </c>
      <c r="AM3767">
        <v>0</v>
      </c>
      <c r="AN3767">
        <v>111.64</v>
      </c>
      <c r="AP3767">
        <v>16</v>
      </c>
    </row>
    <row r="3768" spans="1:42" x14ac:dyDescent="0.25">
      <c r="A3768" t="s">
        <v>45</v>
      </c>
      <c r="B3768">
        <v>5</v>
      </c>
      <c r="C3768" t="s">
        <v>2593</v>
      </c>
      <c r="D3768" s="39">
        <v>46128</v>
      </c>
      <c r="E3768" t="s">
        <v>2500</v>
      </c>
      <c r="F3768" t="s">
        <v>79</v>
      </c>
      <c r="G3768">
        <v>8</v>
      </c>
      <c r="H3768" t="s">
        <v>1049</v>
      </c>
      <c r="I3768" t="s">
        <v>79</v>
      </c>
      <c r="J3768">
        <v>100</v>
      </c>
      <c r="L3768">
        <v>3</v>
      </c>
      <c r="M3768">
        <v>81.319999999999993</v>
      </c>
      <c r="N3768">
        <v>2.4000000000000004</v>
      </c>
      <c r="Q3768">
        <v>78.919999999999987</v>
      </c>
      <c r="R3768" t="s">
        <v>2594</v>
      </c>
      <c r="S3768">
        <v>30</v>
      </c>
      <c r="V3768">
        <v>30</v>
      </c>
      <c r="W3768">
        <v>0.5</v>
      </c>
      <c r="X3768">
        <v>120</v>
      </c>
      <c r="AF3768">
        <v>120</v>
      </c>
      <c r="AG3768">
        <v>2</v>
      </c>
      <c r="AH3768">
        <v>2.5</v>
      </c>
      <c r="AI3768">
        <v>9.5</v>
      </c>
      <c r="AJ3768">
        <v>12</v>
      </c>
      <c r="AM3768">
        <v>0</v>
      </c>
      <c r="AN3768">
        <v>86.32</v>
      </c>
      <c r="AP3768">
        <v>16</v>
      </c>
    </row>
    <row r="3769" spans="1:42" x14ac:dyDescent="0.25">
      <c r="A3769" t="s">
        <v>45</v>
      </c>
      <c r="B3769">
        <v>5</v>
      </c>
      <c r="C3769" t="s">
        <v>2582</v>
      </c>
      <c r="D3769" s="39">
        <v>46128</v>
      </c>
      <c r="E3769" t="s">
        <v>2493</v>
      </c>
      <c r="F3769" t="s">
        <v>79</v>
      </c>
      <c r="G3769">
        <v>17</v>
      </c>
      <c r="H3769" t="s">
        <v>534</v>
      </c>
      <c r="I3769" t="s">
        <v>79</v>
      </c>
      <c r="J3769">
        <v>1000</v>
      </c>
      <c r="L3769">
        <v>6</v>
      </c>
      <c r="M3769">
        <v>317.96000000000004</v>
      </c>
      <c r="N3769">
        <v>10.199999999999999</v>
      </c>
      <c r="O3769">
        <v>23</v>
      </c>
      <c r="Q3769">
        <v>307.76000000000005</v>
      </c>
      <c r="R3769" t="s">
        <v>2583</v>
      </c>
      <c r="V3769">
        <v>0</v>
      </c>
      <c r="W3769">
        <v>0</v>
      </c>
      <c r="AF3769">
        <v>0</v>
      </c>
      <c r="AG3769">
        <v>0</v>
      </c>
      <c r="AH3769">
        <v>0</v>
      </c>
      <c r="AI3769">
        <v>12</v>
      </c>
      <c r="AJ3769">
        <v>12</v>
      </c>
      <c r="AM3769">
        <v>0</v>
      </c>
      <c r="AN3769">
        <v>322.96000000000004</v>
      </c>
      <c r="AP3769">
        <v>16</v>
      </c>
    </row>
    <row r="3770" spans="1:42" x14ac:dyDescent="0.25">
      <c r="A3770" t="s">
        <v>46</v>
      </c>
      <c r="B3770">
        <v>5</v>
      </c>
      <c r="C3770" t="s">
        <v>2582</v>
      </c>
      <c r="D3770" s="39">
        <v>46128</v>
      </c>
      <c r="E3770" t="s">
        <v>2493</v>
      </c>
      <c r="F3770" t="s">
        <v>79</v>
      </c>
      <c r="G3770">
        <v>17</v>
      </c>
      <c r="H3770" t="s">
        <v>534</v>
      </c>
      <c r="I3770" t="s">
        <v>79</v>
      </c>
      <c r="J3770">
        <v>1000</v>
      </c>
      <c r="L3770">
        <v>9</v>
      </c>
      <c r="M3770">
        <v>570.21999999999991</v>
      </c>
      <c r="N3770">
        <v>15.299999999999999</v>
      </c>
      <c r="O3770">
        <v>24</v>
      </c>
      <c r="Q3770">
        <v>554.91999999999996</v>
      </c>
      <c r="R3770" t="s">
        <v>2583</v>
      </c>
      <c r="V3770">
        <v>0</v>
      </c>
      <c r="W3770">
        <v>0</v>
      </c>
      <c r="AF3770">
        <v>0</v>
      </c>
      <c r="AG3770">
        <v>0</v>
      </c>
      <c r="AH3770">
        <v>0</v>
      </c>
      <c r="AI3770">
        <v>12</v>
      </c>
      <c r="AJ3770">
        <v>12</v>
      </c>
      <c r="AM3770">
        <v>0</v>
      </c>
      <c r="AN3770">
        <v>575.21999999999991</v>
      </c>
      <c r="AP3770">
        <v>16</v>
      </c>
    </row>
    <row r="3771" spans="1:42" x14ac:dyDescent="0.25">
      <c r="A3771" t="s">
        <v>45</v>
      </c>
      <c r="B3771">
        <v>5</v>
      </c>
      <c r="C3771" t="s">
        <v>2582</v>
      </c>
      <c r="D3771" s="39">
        <v>46129</v>
      </c>
      <c r="E3771" t="s">
        <v>2493</v>
      </c>
      <c r="F3771" t="s">
        <v>79</v>
      </c>
      <c r="G3771">
        <v>17</v>
      </c>
      <c r="H3771" t="s">
        <v>534</v>
      </c>
      <c r="I3771" t="s">
        <v>79</v>
      </c>
      <c r="J3771">
        <v>1000</v>
      </c>
      <c r="L3771">
        <v>5</v>
      </c>
      <c r="M3771">
        <v>291.62</v>
      </c>
      <c r="N3771">
        <v>8.5</v>
      </c>
      <c r="Q3771">
        <v>283.12</v>
      </c>
      <c r="R3771" t="s">
        <v>2583</v>
      </c>
      <c r="V3771">
        <v>0</v>
      </c>
      <c r="W3771">
        <v>0</v>
      </c>
      <c r="AF3771">
        <v>0</v>
      </c>
      <c r="AG3771">
        <v>0</v>
      </c>
      <c r="AH3771">
        <v>0</v>
      </c>
      <c r="AI3771">
        <v>12</v>
      </c>
      <c r="AJ3771">
        <v>12</v>
      </c>
      <c r="AM3771">
        <v>0</v>
      </c>
      <c r="AN3771">
        <v>296.62</v>
      </c>
      <c r="AP3771">
        <v>16</v>
      </c>
    </row>
    <row r="3772" spans="1:42" x14ac:dyDescent="0.25">
      <c r="A3772" t="s">
        <v>45</v>
      </c>
      <c r="B3772">
        <v>5</v>
      </c>
      <c r="C3772" t="s">
        <v>2608</v>
      </c>
      <c r="D3772" s="39">
        <v>46129</v>
      </c>
      <c r="E3772" t="s">
        <v>243</v>
      </c>
      <c r="F3772" t="s">
        <v>79</v>
      </c>
      <c r="G3772">
        <v>17</v>
      </c>
      <c r="H3772" t="s">
        <v>93</v>
      </c>
      <c r="I3772" t="s">
        <v>79</v>
      </c>
      <c r="J3772">
        <v>370</v>
      </c>
      <c r="L3772">
        <v>4</v>
      </c>
      <c r="M3772">
        <v>223.00000000000003</v>
      </c>
      <c r="N3772">
        <v>6.8</v>
      </c>
      <c r="O3772">
        <v>47</v>
      </c>
      <c r="Q3772">
        <v>216.20000000000002</v>
      </c>
      <c r="R3772" t="s">
        <v>2609</v>
      </c>
      <c r="V3772">
        <v>0</v>
      </c>
      <c r="W3772">
        <v>0</v>
      </c>
      <c r="Z3772">
        <v>90</v>
      </c>
      <c r="AF3772">
        <v>90</v>
      </c>
      <c r="AG3772">
        <v>1.5</v>
      </c>
      <c r="AH3772">
        <v>1.5</v>
      </c>
      <c r="AI3772">
        <v>10.5</v>
      </c>
      <c r="AJ3772">
        <v>12</v>
      </c>
      <c r="AM3772">
        <v>0</v>
      </c>
      <c r="AN3772">
        <v>228.00000000000003</v>
      </c>
      <c r="AP3772">
        <v>16</v>
      </c>
    </row>
    <row r="3773" spans="1:42" x14ac:dyDescent="0.25">
      <c r="A3773" t="s">
        <v>46</v>
      </c>
      <c r="B3773">
        <v>5</v>
      </c>
      <c r="C3773" t="s">
        <v>2608</v>
      </c>
      <c r="D3773" s="39">
        <v>46129</v>
      </c>
      <c r="E3773" t="s">
        <v>243</v>
      </c>
      <c r="F3773" t="s">
        <v>79</v>
      </c>
      <c r="G3773">
        <v>17</v>
      </c>
      <c r="H3773" t="s">
        <v>93</v>
      </c>
      <c r="I3773" t="s">
        <v>79</v>
      </c>
      <c r="J3773">
        <v>370</v>
      </c>
      <c r="L3773">
        <v>3</v>
      </c>
      <c r="M3773">
        <v>168.12</v>
      </c>
      <c r="N3773">
        <v>5.0999999999999996</v>
      </c>
      <c r="O3773">
        <v>38</v>
      </c>
      <c r="Q3773">
        <v>163.02000000000001</v>
      </c>
      <c r="R3773" t="s">
        <v>2609</v>
      </c>
      <c r="S3773">
        <v>25</v>
      </c>
      <c r="V3773">
        <v>25</v>
      </c>
      <c r="W3773">
        <v>0.41666666666666674</v>
      </c>
      <c r="AF3773">
        <v>0</v>
      </c>
      <c r="AG3773">
        <v>0</v>
      </c>
      <c r="AH3773">
        <v>0.41666666666666674</v>
      </c>
      <c r="AI3773">
        <v>11.583333333333334</v>
      </c>
      <c r="AJ3773">
        <v>12</v>
      </c>
      <c r="AM3773">
        <v>0</v>
      </c>
      <c r="AN3773">
        <v>173.12</v>
      </c>
      <c r="AP3773">
        <v>16</v>
      </c>
    </row>
    <row r="3774" spans="1:42" x14ac:dyDescent="0.25">
      <c r="A3774" t="s">
        <v>46</v>
      </c>
      <c r="B3774">
        <v>5</v>
      </c>
      <c r="C3774" t="s">
        <v>2610</v>
      </c>
      <c r="D3774" s="39">
        <v>46129</v>
      </c>
      <c r="E3774" t="s">
        <v>2611</v>
      </c>
      <c r="F3774" t="s">
        <v>79</v>
      </c>
      <c r="G3774">
        <v>12</v>
      </c>
      <c r="H3774" t="s">
        <v>1049</v>
      </c>
      <c r="I3774" t="s">
        <v>79</v>
      </c>
      <c r="J3774">
        <v>250</v>
      </c>
      <c r="L3774">
        <v>4</v>
      </c>
      <c r="M3774">
        <v>174.92000000000002</v>
      </c>
      <c r="N3774">
        <v>4.8</v>
      </c>
      <c r="Q3774">
        <v>170.12</v>
      </c>
      <c r="R3774" t="s">
        <v>2612</v>
      </c>
      <c r="V3774">
        <v>0</v>
      </c>
      <c r="W3774">
        <v>0</v>
      </c>
      <c r="AF3774">
        <v>0</v>
      </c>
      <c r="AG3774">
        <v>0</v>
      </c>
      <c r="AH3774">
        <v>0</v>
      </c>
      <c r="AI3774">
        <v>12</v>
      </c>
      <c r="AJ3774">
        <v>12</v>
      </c>
      <c r="AM3774">
        <v>0</v>
      </c>
      <c r="AN3774">
        <v>179.92000000000002</v>
      </c>
      <c r="AP3774">
        <v>16</v>
      </c>
    </row>
    <row r="3775" spans="1:42" x14ac:dyDescent="0.25">
      <c r="A3775" t="s">
        <v>46</v>
      </c>
      <c r="B3775">
        <v>5</v>
      </c>
      <c r="C3775" t="s">
        <v>2613</v>
      </c>
      <c r="D3775" s="39">
        <v>46129</v>
      </c>
      <c r="E3775" t="s">
        <v>229</v>
      </c>
      <c r="F3775" t="s">
        <v>79</v>
      </c>
      <c r="G3775">
        <v>12</v>
      </c>
      <c r="H3775" t="s">
        <v>644</v>
      </c>
      <c r="I3775" t="s">
        <v>79</v>
      </c>
      <c r="J3775">
        <v>150</v>
      </c>
      <c r="L3775">
        <v>4</v>
      </c>
      <c r="M3775">
        <v>158.88</v>
      </c>
      <c r="N3775">
        <v>4.8</v>
      </c>
      <c r="Q3775">
        <v>154.07999999999998</v>
      </c>
      <c r="R3775" t="s">
        <v>2614</v>
      </c>
      <c r="V3775">
        <v>0</v>
      </c>
      <c r="W3775">
        <v>0</v>
      </c>
      <c r="AF3775">
        <v>0</v>
      </c>
      <c r="AG3775">
        <v>0</v>
      </c>
      <c r="AH3775">
        <v>0</v>
      </c>
      <c r="AI3775">
        <v>12</v>
      </c>
      <c r="AJ3775">
        <v>12</v>
      </c>
      <c r="AM3775">
        <v>0</v>
      </c>
      <c r="AN3775">
        <v>163.88</v>
      </c>
      <c r="AP3775">
        <v>16</v>
      </c>
    </row>
    <row r="3776" spans="1:42" x14ac:dyDescent="0.25">
      <c r="A3776" t="s">
        <v>45</v>
      </c>
      <c r="B3776">
        <v>4</v>
      </c>
      <c r="C3776" t="s">
        <v>2607</v>
      </c>
      <c r="D3776" s="39">
        <v>46129</v>
      </c>
      <c r="E3776" t="s">
        <v>243</v>
      </c>
      <c r="F3776" t="s">
        <v>79</v>
      </c>
      <c r="G3776">
        <v>16.2</v>
      </c>
      <c r="H3776" t="s">
        <v>81</v>
      </c>
      <c r="I3776" t="s">
        <v>79</v>
      </c>
      <c r="J3776">
        <v>5000</v>
      </c>
      <c r="L3776">
        <v>11</v>
      </c>
      <c r="M3776">
        <v>528.34</v>
      </c>
      <c r="N3776">
        <v>17.600000000000001</v>
      </c>
      <c r="Q3776">
        <v>510.74</v>
      </c>
      <c r="R3776" t="s">
        <v>2703</v>
      </c>
      <c r="V3776">
        <v>0</v>
      </c>
      <c r="W3776">
        <v>0</v>
      </c>
      <c r="X3776">
        <v>120</v>
      </c>
      <c r="AD3776">
        <v>45</v>
      </c>
      <c r="AF3776">
        <v>165</v>
      </c>
      <c r="AG3776">
        <v>2.75</v>
      </c>
      <c r="AH3776">
        <v>2.75</v>
      </c>
      <c r="AI3776">
        <v>9.25</v>
      </c>
      <c r="AJ3776">
        <v>12</v>
      </c>
      <c r="AM3776">
        <v>0</v>
      </c>
      <c r="AN3776">
        <v>533.34</v>
      </c>
      <c r="AP3776">
        <v>16</v>
      </c>
    </row>
    <row r="3777" spans="1:42" x14ac:dyDescent="0.25">
      <c r="A3777" t="s">
        <v>46</v>
      </c>
      <c r="B3777">
        <v>4</v>
      </c>
      <c r="C3777" t="s">
        <v>2088</v>
      </c>
      <c r="D3777" s="39">
        <v>46129</v>
      </c>
      <c r="E3777" t="s">
        <v>486</v>
      </c>
      <c r="F3777" t="s">
        <v>79</v>
      </c>
      <c r="G3777">
        <v>16</v>
      </c>
      <c r="H3777">
        <v>5</v>
      </c>
      <c r="I3777" t="s">
        <v>79</v>
      </c>
      <c r="J3777">
        <v>1000</v>
      </c>
      <c r="L3777">
        <v>12</v>
      </c>
      <c r="M3777">
        <v>617.06000000000006</v>
      </c>
      <c r="N3777">
        <v>19.200000000000003</v>
      </c>
      <c r="Q3777">
        <v>597.86</v>
      </c>
      <c r="R3777" t="s">
        <v>2569</v>
      </c>
      <c r="V3777">
        <v>0</v>
      </c>
      <c r="W3777">
        <v>0</v>
      </c>
      <c r="AF3777">
        <v>0</v>
      </c>
      <c r="AG3777">
        <v>0</v>
      </c>
      <c r="AH3777">
        <v>0</v>
      </c>
      <c r="AI3777">
        <v>12</v>
      </c>
      <c r="AJ3777">
        <v>12</v>
      </c>
      <c r="AM3777">
        <v>0</v>
      </c>
      <c r="AN3777">
        <v>622.06000000000006</v>
      </c>
      <c r="AP3777">
        <v>16</v>
      </c>
    </row>
    <row r="3778" spans="1:42" x14ac:dyDescent="0.25">
      <c r="A3778" t="s">
        <v>45</v>
      </c>
      <c r="B3778">
        <v>2</v>
      </c>
      <c r="C3778" t="s">
        <v>2599</v>
      </c>
      <c r="D3778" s="39">
        <v>46129</v>
      </c>
      <c r="E3778" t="s">
        <v>1486</v>
      </c>
      <c r="F3778" t="s">
        <v>79</v>
      </c>
      <c r="G3778">
        <v>3.5</v>
      </c>
      <c r="H3778" t="s">
        <v>534</v>
      </c>
      <c r="I3778" t="s">
        <v>79</v>
      </c>
      <c r="J3778">
        <v>75</v>
      </c>
      <c r="L3778">
        <v>6</v>
      </c>
      <c r="M3778">
        <v>93.32</v>
      </c>
      <c r="N3778">
        <v>2.0999999999999996</v>
      </c>
      <c r="Q3778">
        <v>91.22</v>
      </c>
      <c r="R3778" t="s">
        <v>2600</v>
      </c>
      <c r="V3778">
        <v>0</v>
      </c>
      <c r="W3778">
        <v>0</v>
      </c>
      <c r="Z3778">
        <v>60</v>
      </c>
      <c r="AF3778">
        <v>60</v>
      </c>
      <c r="AG3778">
        <v>1</v>
      </c>
      <c r="AH3778">
        <v>1</v>
      </c>
      <c r="AI3778">
        <v>11</v>
      </c>
      <c r="AJ3778">
        <v>12</v>
      </c>
      <c r="AM3778">
        <v>0</v>
      </c>
      <c r="AN3778">
        <v>98.32</v>
      </c>
      <c r="AP3778">
        <v>16</v>
      </c>
    </row>
    <row r="3779" spans="1:42" x14ac:dyDescent="0.25">
      <c r="A3779" t="s">
        <v>46</v>
      </c>
      <c r="B3779">
        <v>2</v>
      </c>
      <c r="C3779" t="s">
        <v>2599</v>
      </c>
      <c r="D3779" s="39">
        <v>46129</v>
      </c>
      <c r="E3779" t="s">
        <v>1486</v>
      </c>
      <c r="F3779" t="s">
        <v>79</v>
      </c>
      <c r="G3779">
        <v>3.5</v>
      </c>
      <c r="H3779" t="s">
        <v>534</v>
      </c>
      <c r="I3779" t="s">
        <v>79</v>
      </c>
      <c r="J3779">
        <v>75</v>
      </c>
      <c r="L3779">
        <v>7</v>
      </c>
      <c r="M3779">
        <v>109.21999999999998</v>
      </c>
      <c r="N3779">
        <v>2.4499999999999997</v>
      </c>
      <c r="Q3779">
        <v>106.76999999999998</v>
      </c>
      <c r="R3779" t="s">
        <v>2600</v>
      </c>
      <c r="V3779">
        <v>0</v>
      </c>
      <c r="W3779">
        <v>0</v>
      </c>
      <c r="AF3779">
        <v>0</v>
      </c>
      <c r="AG3779">
        <v>0</v>
      </c>
      <c r="AH3779">
        <v>0</v>
      </c>
      <c r="AI3779">
        <v>12</v>
      </c>
      <c r="AJ3779">
        <v>12</v>
      </c>
      <c r="AM3779">
        <v>0</v>
      </c>
      <c r="AN3779">
        <v>114.21999999999998</v>
      </c>
      <c r="AP3779">
        <v>16</v>
      </c>
    </row>
    <row r="3780" spans="1:42" x14ac:dyDescent="0.25">
      <c r="A3780" t="s">
        <v>45</v>
      </c>
      <c r="B3780">
        <v>2</v>
      </c>
      <c r="C3780" t="s">
        <v>2599</v>
      </c>
      <c r="D3780" s="39">
        <v>46130</v>
      </c>
      <c r="E3780" t="s">
        <v>1486</v>
      </c>
      <c r="F3780" t="s">
        <v>79</v>
      </c>
      <c r="G3780">
        <v>3.5</v>
      </c>
      <c r="H3780" t="s">
        <v>534</v>
      </c>
      <c r="I3780" t="s">
        <v>79</v>
      </c>
      <c r="J3780">
        <v>75</v>
      </c>
      <c r="L3780">
        <v>7</v>
      </c>
      <c r="M3780">
        <v>120.77000000000001</v>
      </c>
      <c r="N3780">
        <v>2.4499999999999997</v>
      </c>
      <c r="Q3780">
        <v>118.32000000000001</v>
      </c>
      <c r="R3780" t="s">
        <v>2600</v>
      </c>
      <c r="V3780">
        <v>0</v>
      </c>
      <c r="W3780">
        <v>0</v>
      </c>
      <c r="AD3780">
        <v>30</v>
      </c>
      <c r="AF3780">
        <v>30</v>
      </c>
      <c r="AG3780">
        <v>0.5</v>
      </c>
      <c r="AH3780">
        <v>0.5</v>
      </c>
      <c r="AI3780">
        <v>11.5</v>
      </c>
      <c r="AJ3780">
        <v>12</v>
      </c>
      <c r="AM3780">
        <v>0</v>
      </c>
      <c r="AN3780">
        <v>125.77</v>
      </c>
      <c r="AP3780">
        <v>16</v>
      </c>
    </row>
    <row r="3781" spans="1:42" x14ac:dyDescent="0.25">
      <c r="A3781" t="s">
        <v>46</v>
      </c>
      <c r="B3781">
        <v>2</v>
      </c>
      <c r="C3781" t="s">
        <v>2599</v>
      </c>
      <c r="D3781" s="39">
        <v>46130</v>
      </c>
      <c r="E3781" t="s">
        <v>1486</v>
      </c>
      <c r="F3781" t="s">
        <v>79</v>
      </c>
      <c r="G3781">
        <v>3.5</v>
      </c>
      <c r="H3781" t="s">
        <v>534</v>
      </c>
      <c r="I3781" t="s">
        <v>79</v>
      </c>
      <c r="J3781">
        <v>75</v>
      </c>
      <c r="L3781">
        <v>8</v>
      </c>
      <c r="M3781">
        <v>128.5</v>
      </c>
      <c r="N3781">
        <v>2.8</v>
      </c>
      <c r="Q3781">
        <v>125.7</v>
      </c>
      <c r="R3781" t="s">
        <v>2600</v>
      </c>
      <c r="V3781">
        <v>0</v>
      </c>
      <c r="W3781">
        <v>0</v>
      </c>
      <c r="AF3781">
        <v>0</v>
      </c>
      <c r="AG3781">
        <v>0</v>
      </c>
      <c r="AH3781">
        <v>0</v>
      </c>
      <c r="AI3781">
        <v>12</v>
      </c>
      <c r="AJ3781">
        <v>12</v>
      </c>
      <c r="AM3781">
        <v>0</v>
      </c>
      <c r="AN3781">
        <v>133.5</v>
      </c>
      <c r="AP3781">
        <v>16</v>
      </c>
    </row>
    <row r="3782" spans="1:42" x14ac:dyDescent="0.25">
      <c r="A3782" t="s">
        <v>45</v>
      </c>
      <c r="B3782">
        <v>4</v>
      </c>
      <c r="C3782" t="s">
        <v>2607</v>
      </c>
      <c r="D3782" s="39">
        <v>46130</v>
      </c>
      <c r="E3782" t="s">
        <v>243</v>
      </c>
      <c r="F3782" t="s">
        <v>79</v>
      </c>
      <c r="G3782">
        <v>16.2</v>
      </c>
      <c r="H3782" t="s">
        <v>81</v>
      </c>
      <c r="I3782" t="s">
        <v>79</v>
      </c>
      <c r="J3782">
        <v>5000</v>
      </c>
      <c r="L3782">
        <v>12</v>
      </c>
      <c r="M3782">
        <v>735.86</v>
      </c>
      <c r="N3782">
        <v>19.200000000000003</v>
      </c>
      <c r="Q3782">
        <v>716.66</v>
      </c>
      <c r="R3782" t="s">
        <v>2703</v>
      </c>
      <c r="V3782">
        <v>0</v>
      </c>
      <c r="W3782">
        <v>0</v>
      </c>
      <c r="AF3782">
        <v>0</v>
      </c>
      <c r="AG3782">
        <v>0</v>
      </c>
      <c r="AH3782">
        <v>0</v>
      </c>
      <c r="AI3782">
        <v>12</v>
      </c>
      <c r="AJ3782">
        <v>12</v>
      </c>
      <c r="AM3782">
        <v>0</v>
      </c>
      <c r="AN3782">
        <v>740.86</v>
      </c>
      <c r="AP3782">
        <v>16</v>
      </c>
    </row>
    <row r="3783" spans="1:42" x14ac:dyDescent="0.25">
      <c r="A3783" t="s">
        <v>46</v>
      </c>
      <c r="B3783">
        <v>4</v>
      </c>
      <c r="C3783" t="s">
        <v>2607</v>
      </c>
      <c r="D3783" s="39">
        <v>46130</v>
      </c>
      <c r="E3783" t="s">
        <v>243</v>
      </c>
      <c r="F3783" t="s">
        <v>79</v>
      </c>
      <c r="G3783">
        <v>16.2</v>
      </c>
      <c r="H3783" t="s">
        <v>81</v>
      </c>
      <c r="I3783" t="s">
        <v>79</v>
      </c>
      <c r="J3783">
        <v>5000</v>
      </c>
      <c r="L3783">
        <v>15</v>
      </c>
      <c r="M3783">
        <v>722.26</v>
      </c>
      <c r="N3783">
        <v>24</v>
      </c>
      <c r="Q3783">
        <v>698.26</v>
      </c>
      <c r="R3783" t="s">
        <v>2703</v>
      </c>
      <c r="V3783">
        <v>0</v>
      </c>
      <c r="W3783">
        <v>0</v>
      </c>
      <c r="AF3783">
        <v>0</v>
      </c>
      <c r="AG3783">
        <v>0</v>
      </c>
      <c r="AH3783">
        <v>0</v>
      </c>
      <c r="AI3783">
        <v>12</v>
      </c>
      <c r="AJ3783">
        <v>12</v>
      </c>
      <c r="AM3783">
        <v>0</v>
      </c>
      <c r="AN3783">
        <v>727.26</v>
      </c>
      <c r="AP3783">
        <v>16</v>
      </c>
    </row>
    <row r="3784" spans="1:42" x14ac:dyDescent="0.25">
      <c r="A3784" t="s">
        <v>45</v>
      </c>
      <c r="B3784">
        <v>5</v>
      </c>
      <c r="C3784" t="s">
        <v>2610</v>
      </c>
      <c r="D3784" s="39">
        <v>46130</v>
      </c>
      <c r="E3784" t="s">
        <v>2611</v>
      </c>
      <c r="F3784" t="s">
        <v>79</v>
      </c>
      <c r="G3784">
        <v>12</v>
      </c>
      <c r="H3784" t="s">
        <v>1049</v>
      </c>
      <c r="I3784" t="s">
        <v>79</v>
      </c>
      <c r="J3784">
        <v>250</v>
      </c>
      <c r="L3784">
        <v>2</v>
      </c>
      <c r="M3784">
        <v>97.039999999999992</v>
      </c>
      <c r="N3784">
        <v>2.4</v>
      </c>
      <c r="Q3784">
        <v>94.639999999999986</v>
      </c>
      <c r="R3784" t="s">
        <v>2612</v>
      </c>
      <c r="V3784">
        <v>0</v>
      </c>
      <c r="W3784">
        <v>0</v>
      </c>
      <c r="AF3784">
        <v>0</v>
      </c>
      <c r="AG3784">
        <v>0</v>
      </c>
      <c r="AH3784">
        <v>0</v>
      </c>
      <c r="AI3784">
        <v>12</v>
      </c>
      <c r="AJ3784">
        <v>12</v>
      </c>
      <c r="AM3784">
        <v>0</v>
      </c>
      <c r="AN3784">
        <v>102.04</v>
      </c>
      <c r="AP3784">
        <v>16</v>
      </c>
    </row>
    <row r="3785" spans="1:42" x14ac:dyDescent="0.25">
      <c r="A3785" t="s">
        <v>45</v>
      </c>
      <c r="B3785">
        <v>5</v>
      </c>
      <c r="C3785" t="s">
        <v>2615</v>
      </c>
      <c r="D3785" s="39">
        <v>46130</v>
      </c>
      <c r="E3785" t="s">
        <v>243</v>
      </c>
      <c r="F3785" t="s">
        <v>79</v>
      </c>
      <c r="G3785">
        <v>13</v>
      </c>
      <c r="H3785" t="s">
        <v>93</v>
      </c>
      <c r="I3785" t="s">
        <v>79</v>
      </c>
      <c r="J3785">
        <v>220</v>
      </c>
      <c r="L3785">
        <v>5</v>
      </c>
      <c r="M3785">
        <v>259.14</v>
      </c>
      <c r="N3785">
        <v>6.5</v>
      </c>
      <c r="O3785">
        <v>30</v>
      </c>
      <c r="Q3785">
        <v>252.64</v>
      </c>
      <c r="R3785" t="s">
        <v>2616</v>
      </c>
      <c r="S3785">
        <v>25</v>
      </c>
      <c r="V3785">
        <v>25</v>
      </c>
      <c r="W3785">
        <v>0.41666666666666674</v>
      </c>
      <c r="Z3785">
        <v>15</v>
      </c>
      <c r="AF3785">
        <v>15</v>
      </c>
      <c r="AG3785">
        <v>0.25</v>
      </c>
      <c r="AH3785">
        <v>0.66666666666666674</v>
      </c>
      <c r="AI3785">
        <v>11.333333333333334</v>
      </c>
      <c r="AJ3785">
        <v>12</v>
      </c>
      <c r="AM3785">
        <v>0</v>
      </c>
      <c r="AN3785">
        <v>264.14</v>
      </c>
      <c r="AP3785">
        <v>16</v>
      </c>
    </row>
    <row r="3786" spans="1:42" x14ac:dyDescent="0.25">
      <c r="A3786" t="s">
        <v>46</v>
      </c>
      <c r="B3786">
        <v>5</v>
      </c>
      <c r="C3786" t="s">
        <v>2615</v>
      </c>
      <c r="D3786" s="39">
        <v>46130</v>
      </c>
      <c r="E3786" t="s">
        <v>243</v>
      </c>
      <c r="F3786" t="s">
        <v>79</v>
      </c>
      <c r="G3786">
        <v>13</v>
      </c>
      <c r="H3786" t="s">
        <v>93</v>
      </c>
      <c r="I3786" t="s">
        <v>79</v>
      </c>
      <c r="J3786">
        <v>220</v>
      </c>
      <c r="L3786">
        <v>4</v>
      </c>
      <c r="M3786">
        <v>222.46</v>
      </c>
      <c r="N3786">
        <v>7</v>
      </c>
      <c r="O3786">
        <v>28</v>
      </c>
      <c r="Q3786">
        <v>215.46</v>
      </c>
      <c r="R3786" t="s">
        <v>2616</v>
      </c>
      <c r="V3786">
        <v>0</v>
      </c>
      <c r="W3786">
        <v>0</v>
      </c>
      <c r="AF3786">
        <v>0</v>
      </c>
      <c r="AG3786">
        <v>0</v>
      </c>
      <c r="AH3786">
        <v>0</v>
      </c>
      <c r="AI3786">
        <v>12</v>
      </c>
      <c r="AJ3786">
        <v>12</v>
      </c>
      <c r="AM3786">
        <v>0</v>
      </c>
      <c r="AN3786">
        <v>227.46</v>
      </c>
      <c r="AP3786">
        <v>16</v>
      </c>
    </row>
    <row r="3787" spans="1:42" x14ac:dyDescent="0.25">
      <c r="A3787" t="s">
        <v>46</v>
      </c>
      <c r="B3787">
        <v>5</v>
      </c>
      <c r="C3787" t="s">
        <v>2617</v>
      </c>
      <c r="D3787" s="39">
        <v>46130</v>
      </c>
      <c r="E3787" t="s">
        <v>828</v>
      </c>
      <c r="F3787" t="s">
        <v>79</v>
      </c>
      <c r="G3787">
        <v>13</v>
      </c>
      <c r="H3787" t="s">
        <v>102</v>
      </c>
      <c r="I3787" t="s">
        <v>79</v>
      </c>
      <c r="J3787">
        <v>200</v>
      </c>
      <c r="L3787">
        <v>3</v>
      </c>
      <c r="M3787">
        <v>155.28</v>
      </c>
      <c r="N3787">
        <v>3.9000000000000004</v>
      </c>
      <c r="Q3787">
        <v>151.38</v>
      </c>
      <c r="R3787" t="s">
        <v>2618</v>
      </c>
      <c r="V3787">
        <v>0</v>
      </c>
      <c r="W3787">
        <v>0</v>
      </c>
      <c r="AF3787">
        <v>0</v>
      </c>
      <c r="AG3787">
        <v>0</v>
      </c>
      <c r="AH3787">
        <v>0</v>
      </c>
      <c r="AI3787">
        <v>12</v>
      </c>
      <c r="AJ3787">
        <v>12</v>
      </c>
      <c r="AM3787">
        <v>0</v>
      </c>
      <c r="AN3787">
        <v>160.28</v>
      </c>
      <c r="AP3787">
        <v>16</v>
      </c>
    </row>
    <row r="3788" spans="1:42" x14ac:dyDescent="0.25">
      <c r="A3788" t="s">
        <v>45</v>
      </c>
      <c r="B3788">
        <v>2</v>
      </c>
      <c r="C3788" t="s">
        <v>2599</v>
      </c>
      <c r="D3788" s="39">
        <v>46131</v>
      </c>
      <c r="E3788" t="s">
        <v>1486</v>
      </c>
      <c r="F3788" t="s">
        <v>79</v>
      </c>
      <c r="G3788">
        <v>3.5</v>
      </c>
      <c r="H3788" t="s">
        <v>534</v>
      </c>
      <c r="I3788" t="s">
        <v>79</v>
      </c>
      <c r="J3788">
        <v>75</v>
      </c>
      <c r="L3788">
        <v>4</v>
      </c>
      <c r="M3788">
        <v>62.26</v>
      </c>
      <c r="N3788">
        <v>1.4</v>
      </c>
      <c r="Q3788">
        <v>60.86</v>
      </c>
      <c r="R3788" t="s">
        <v>2600</v>
      </c>
      <c r="V3788">
        <v>0</v>
      </c>
      <c r="W3788">
        <v>0</v>
      </c>
      <c r="AF3788">
        <v>0</v>
      </c>
      <c r="AG3788">
        <v>0</v>
      </c>
      <c r="AH3788">
        <v>0</v>
      </c>
      <c r="AI3788">
        <v>12</v>
      </c>
      <c r="AJ3788">
        <v>12</v>
      </c>
      <c r="AM3788">
        <v>0</v>
      </c>
      <c r="AN3788">
        <v>67.259999999999991</v>
      </c>
      <c r="AP3788">
        <v>16</v>
      </c>
    </row>
    <row r="3789" spans="1:42" x14ac:dyDescent="0.25">
      <c r="A3789" t="s">
        <v>45</v>
      </c>
      <c r="B3789">
        <v>2</v>
      </c>
      <c r="C3789" t="s">
        <v>2619</v>
      </c>
      <c r="D3789" s="39">
        <v>46131</v>
      </c>
      <c r="E3789" t="s">
        <v>238</v>
      </c>
      <c r="F3789" t="s">
        <v>79</v>
      </c>
      <c r="G3789">
        <v>1.5</v>
      </c>
      <c r="H3789" t="s">
        <v>534</v>
      </c>
      <c r="I3789" t="s">
        <v>79</v>
      </c>
      <c r="J3789" t="s">
        <v>2631</v>
      </c>
      <c r="L3789">
        <v>2</v>
      </c>
      <c r="M3789">
        <v>41.47</v>
      </c>
      <c r="N3789">
        <v>0.3</v>
      </c>
      <c r="Q3789">
        <v>41.17</v>
      </c>
      <c r="R3789" t="s">
        <v>2620</v>
      </c>
      <c r="S3789">
        <v>25</v>
      </c>
      <c r="V3789">
        <v>25</v>
      </c>
      <c r="W3789">
        <v>0.41666666666666674</v>
      </c>
      <c r="AF3789">
        <v>0</v>
      </c>
      <c r="AG3789">
        <v>0</v>
      </c>
      <c r="AH3789">
        <v>0.41666666666666674</v>
      </c>
      <c r="AI3789">
        <v>11.583333333333334</v>
      </c>
      <c r="AJ3789">
        <v>12</v>
      </c>
      <c r="AM3789">
        <v>0</v>
      </c>
      <c r="AN3789">
        <v>46.47</v>
      </c>
      <c r="AP3789">
        <v>16</v>
      </c>
    </row>
    <row r="3790" spans="1:42" x14ac:dyDescent="0.25">
      <c r="A3790" t="s">
        <v>46</v>
      </c>
      <c r="B3790">
        <v>2</v>
      </c>
      <c r="C3790" t="s">
        <v>2619</v>
      </c>
      <c r="D3790" s="39">
        <v>46131</v>
      </c>
      <c r="E3790" t="s">
        <v>238</v>
      </c>
      <c r="F3790" t="s">
        <v>79</v>
      </c>
      <c r="G3790">
        <v>1.5</v>
      </c>
      <c r="H3790" t="s">
        <v>534</v>
      </c>
      <c r="I3790" t="s">
        <v>79</v>
      </c>
      <c r="J3790" t="s">
        <v>2631</v>
      </c>
      <c r="L3790">
        <v>3</v>
      </c>
      <c r="M3790">
        <v>57.43</v>
      </c>
      <c r="N3790">
        <v>0.44999999999999996</v>
      </c>
      <c r="Q3790">
        <v>56.98</v>
      </c>
      <c r="R3790" t="s">
        <v>2620</v>
      </c>
      <c r="S3790">
        <v>25</v>
      </c>
      <c r="V3790">
        <v>25</v>
      </c>
      <c r="W3790">
        <v>0.41666666666666674</v>
      </c>
      <c r="AF3790">
        <v>0</v>
      </c>
      <c r="AG3790">
        <v>0</v>
      </c>
      <c r="AH3790">
        <v>0.41666666666666674</v>
      </c>
      <c r="AI3790">
        <v>11.583333333333334</v>
      </c>
      <c r="AJ3790">
        <v>12</v>
      </c>
      <c r="AM3790">
        <v>0</v>
      </c>
      <c r="AN3790">
        <v>62.43</v>
      </c>
      <c r="AP3790">
        <v>16</v>
      </c>
    </row>
    <row r="3791" spans="1:42" x14ac:dyDescent="0.25">
      <c r="A3791" t="s">
        <v>46</v>
      </c>
      <c r="B3791">
        <v>2</v>
      </c>
      <c r="C3791" t="s">
        <v>2621</v>
      </c>
      <c r="D3791" s="39">
        <v>46131</v>
      </c>
      <c r="E3791" t="s">
        <v>2611</v>
      </c>
      <c r="F3791" t="s">
        <v>79</v>
      </c>
      <c r="G3791">
        <v>5</v>
      </c>
      <c r="H3791" t="s">
        <v>1049</v>
      </c>
      <c r="I3791" t="s">
        <v>79</v>
      </c>
      <c r="J3791">
        <v>100</v>
      </c>
      <c r="L3791">
        <v>3</v>
      </c>
      <c r="M3791">
        <v>51.78</v>
      </c>
      <c r="N3791">
        <v>1.5</v>
      </c>
      <c r="Q3791">
        <v>50.28</v>
      </c>
      <c r="R3791" t="s">
        <v>2704</v>
      </c>
      <c r="V3791">
        <v>0</v>
      </c>
      <c r="W3791">
        <v>0</v>
      </c>
      <c r="AF3791">
        <v>0</v>
      </c>
      <c r="AG3791">
        <v>0</v>
      </c>
      <c r="AH3791">
        <v>0</v>
      </c>
      <c r="AI3791">
        <v>12</v>
      </c>
      <c r="AJ3791">
        <v>12</v>
      </c>
      <c r="AM3791">
        <v>0</v>
      </c>
      <c r="AN3791">
        <v>56.78</v>
      </c>
      <c r="AP3791">
        <v>16</v>
      </c>
    </row>
    <row r="3792" spans="1:42" x14ac:dyDescent="0.25">
      <c r="A3792" t="s">
        <v>45</v>
      </c>
      <c r="B3792">
        <v>4</v>
      </c>
      <c r="C3792" t="s">
        <v>2607</v>
      </c>
      <c r="D3792" s="39">
        <v>46131</v>
      </c>
      <c r="E3792" t="s">
        <v>243</v>
      </c>
      <c r="F3792" t="s">
        <v>79</v>
      </c>
      <c r="G3792">
        <v>16.2</v>
      </c>
      <c r="H3792" t="s">
        <v>81</v>
      </c>
      <c r="I3792" t="s">
        <v>79</v>
      </c>
      <c r="J3792">
        <v>5000</v>
      </c>
      <c r="L3792">
        <v>14</v>
      </c>
      <c r="M3792">
        <v>735.63999999999987</v>
      </c>
      <c r="N3792">
        <v>26.599999999999998</v>
      </c>
      <c r="O3792">
        <v>18</v>
      </c>
      <c r="Q3792">
        <v>709.03999999999985</v>
      </c>
      <c r="R3792" t="s">
        <v>2703</v>
      </c>
      <c r="V3792">
        <v>0</v>
      </c>
      <c r="W3792">
        <v>0</v>
      </c>
      <c r="AF3792">
        <v>0</v>
      </c>
      <c r="AG3792">
        <v>0</v>
      </c>
      <c r="AH3792">
        <v>0</v>
      </c>
      <c r="AI3792">
        <v>12</v>
      </c>
      <c r="AJ3792">
        <v>12</v>
      </c>
      <c r="AM3792">
        <v>0</v>
      </c>
      <c r="AN3792">
        <v>740.63999999999987</v>
      </c>
      <c r="AP3792">
        <v>16</v>
      </c>
    </row>
    <row r="3793" spans="1:42" x14ac:dyDescent="0.25">
      <c r="A3793" t="s">
        <v>46</v>
      </c>
      <c r="B3793">
        <v>4</v>
      </c>
      <c r="C3793" t="s">
        <v>2607</v>
      </c>
      <c r="D3793" s="39">
        <v>46131</v>
      </c>
      <c r="E3793" t="s">
        <v>243</v>
      </c>
      <c r="F3793" t="s">
        <v>79</v>
      </c>
      <c r="G3793">
        <v>16.2</v>
      </c>
      <c r="H3793" t="s">
        <v>81</v>
      </c>
      <c r="I3793" t="s">
        <v>79</v>
      </c>
      <c r="J3793">
        <v>5000</v>
      </c>
      <c r="L3793">
        <v>11</v>
      </c>
      <c r="M3793">
        <v>629.93999999999994</v>
      </c>
      <c r="N3793">
        <v>20.9</v>
      </c>
      <c r="O3793">
        <v>13</v>
      </c>
      <c r="Q3793">
        <v>609.04</v>
      </c>
      <c r="R3793" t="s">
        <v>2703</v>
      </c>
      <c r="V3793">
        <v>0</v>
      </c>
      <c r="W3793">
        <v>0</v>
      </c>
      <c r="AD3793">
        <v>60</v>
      </c>
      <c r="AF3793">
        <v>60</v>
      </c>
      <c r="AG3793">
        <v>1</v>
      </c>
      <c r="AH3793">
        <v>1</v>
      </c>
      <c r="AI3793">
        <v>11</v>
      </c>
      <c r="AJ3793">
        <v>12</v>
      </c>
      <c r="AM3793">
        <v>0</v>
      </c>
      <c r="AN3793">
        <v>634.93999999999994</v>
      </c>
      <c r="AP3793">
        <v>16</v>
      </c>
    </row>
    <row r="3794" spans="1:42" x14ac:dyDescent="0.25">
      <c r="A3794" t="s">
        <v>45</v>
      </c>
      <c r="B3794">
        <v>5</v>
      </c>
      <c r="C3794" t="s">
        <v>2617</v>
      </c>
      <c r="D3794" s="39">
        <v>46131</v>
      </c>
      <c r="E3794" t="s">
        <v>828</v>
      </c>
      <c r="F3794" t="s">
        <v>79</v>
      </c>
      <c r="G3794">
        <v>13</v>
      </c>
      <c r="H3794" t="s">
        <v>102</v>
      </c>
      <c r="I3794" t="s">
        <v>79</v>
      </c>
      <c r="J3794">
        <v>200</v>
      </c>
      <c r="L3794">
        <v>1</v>
      </c>
      <c r="M3794">
        <v>54.36</v>
      </c>
      <c r="N3794">
        <v>1.3</v>
      </c>
      <c r="Q3794">
        <v>53.06</v>
      </c>
      <c r="R3794" t="s">
        <v>2618</v>
      </c>
      <c r="V3794">
        <v>0</v>
      </c>
      <c r="W3794">
        <v>0</v>
      </c>
      <c r="AF3794">
        <v>0</v>
      </c>
      <c r="AG3794">
        <v>0</v>
      </c>
      <c r="AH3794">
        <v>0</v>
      </c>
      <c r="AI3794">
        <v>12</v>
      </c>
      <c r="AJ3794">
        <v>12</v>
      </c>
      <c r="AM3794">
        <v>0</v>
      </c>
      <c r="AN3794">
        <v>59.36</v>
      </c>
      <c r="AP3794">
        <v>16</v>
      </c>
    </row>
    <row r="3795" spans="1:42" x14ac:dyDescent="0.25">
      <c r="A3795" t="s">
        <v>45</v>
      </c>
      <c r="B3795">
        <v>5</v>
      </c>
      <c r="C3795" t="s">
        <v>2622</v>
      </c>
      <c r="D3795" s="39">
        <v>46131</v>
      </c>
      <c r="E3795" t="s">
        <v>282</v>
      </c>
      <c r="F3795" t="s">
        <v>79</v>
      </c>
      <c r="G3795">
        <v>13</v>
      </c>
      <c r="H3795" t="s">
        <v>2497</v>
      </c>
      <c r="I3795" t="s">
        <v>79</v>
      </c>
      <c r="J3795">
        <v>500</v>
      </c>
      <c r="L3795">
        <v>6</v>
      </c>
      <c r="M3795">
        <v>241.8</v>
      </c>
      <c r="N3795">
        <v>9.6000000000000014</v>
      </c>
      <c r="Q3795">
        <v>232.20000000000002</v>
      </c>
      <c r="R3795" t="s">
        <v>2623</v>
      </c>
      <c r="V3795">
        <v>0</v>
      </c>
      <c r="W3795">
        <v>0</v>
      </c>
      <c r="AF3795">
        <v>0</v>
      </c>
      <c r="AG3795">
        <v>0</v>
      </c>
      <c r="AH3795">
        <v>0</v>
      </c>
      <c r="AI3795">
        <v>12</v>
      </c>
      <c r="AJ3795">
        <v>12</v>
      </c>
      <c r="AM3795">
        <v>0</v>
      </c>
      <c r="AN3795">
        <v>246.8</v>
      </c>
      <c r="AP3795">
        <v>16</v>
      </c>
    </row>
    <row r="3796" spans="1:42" x14ac:dyDescent="0.25">
      <c r="A3796" t="s">
        <v>45</v>
      </c>
      <c r="B3796">
        <v>5</v>
      </c>
      <c r="C3796" t="s">
        <v>2624</v>
      </c>
      <c r="D3796" s="39">
        <v>46131</v>
      </c>
      <c r="E3796" t="s">
        <v>1756</v>
      </c>
      <c r="F3796" t="s">
        <v>79</v>
      </c>
      <c r="G3796">
        <v>13</v>
      </c>
      <c r="H3796">
        <v>7</v>
      </c>
      <c r="I3796" t="s">
        <v>79</v>
      </c>
      <c r="J3796">
        <v>50</v>
      </c>
      <c r="L3796">
        <v>2</v>
      </c>
      <c r="M3796">
        <v>114.58</v>
      </c>
      <c r="N3796">
        <v>3.1</v>
      </c>
      <c r="Q3796">
        <v>111.48</v>
      </c>
      <c r="R3796" t="s">
        <v>2625</v>
      </c>
      <c r="V3796">
        <v>0</v>
      </c>
      <c r="W3796">
        <v>0</v>
      </c>
      <c r="AF3796">
        <v>0</v>
      </c>
      <c r="AG3796">
        <v>0</v>
      </c>
      <c r="AH3796">
        <v>0</v>
      </c>
      <c r="AI3796">
        <v>12</v>
      </c>
      <c r="AJ3796">
        <v>12</v>
      </c>
      <c r="AM3796">
        <v>0</v>
      </c>
      <c r="AN3796">
        <v>119.58</v>
      </c>
      <c r="AP3796">
        <v>16</v>
      </c>
    </row>
    <row r="3797" spans="1:42" x14ac:dyDescent="0.25">
      <c r="A3797" t="s">
        <v>46</v>
      </c>
      <c r="B3797">
        <v>5</v>
      </c>
      <c r="C3797" t="s">
        <v>2622</v>
      </c>
      <c r="D3797" s="39">
        <v>46131</v>
      </c>
      <c r="E3797" t="s">
        <v>282</v>
      </c>
      <c r="F3797" t="s">
        <v>79</v>
      </c>
      <c r="G3797">
        <v>13</v>
      </c>
      <c r="H3797" t="s">
        <v>2497</v>
      </c>
      <c r="I3797" t="s">
        <v>79</v>
      </c>
      <c r="J3797">
        <v>500</v>
      </c>
      <c r="L3797">
        <v>6</v>
      </c>
      <c r="M3797">
        <v>272.64</v>
      </c>
      <c r="N3797">
        <v>7.8000000000000007</v>
      </c>
      <c r="Q3797">
        <v>264.83999999999997</v>
      </c>
      <c r="R3797" t="s">
        <v>2623</v>
      </c>
      <c r="V3797">
        <v>0</v>
      </c>
      <c r="W3797">
        <v>0</v>
      </c>
      <c r="AF3797">
        <v>0</v>
      </c>
      <c r="AG3797">
        <v>0</v>
      </c>
      <c r="AH3797">
        <v>0</v>
      </c>
      <c r="AI3797">
        <v>12</v>
      </c>
      <c r="AJ3797">
        <v>12</v>
      </c>
      <c r="AM3797">
        <v>0</v>
      </c>
      <c r="AN3797">
        <v>277.64</v>
      </c>
      <c r="AP3797">
        <v>16</v>
      </c>
    </row>
    <row r="3798" spans="1:42" x14ac:dyDescent="0.25">
      <c r="A3798" t="s">
        <v>46</v>
      </c>
      <c r="B3798">
        <v>5</v>
      </c>
      <c r="C3798" t="s">
        <v>2626</v>
      </c>
      <c r="D3798" s="39">
        <v>46131</v>
      </c>
      <c r="E3798" t="s">
        <v>828</v>
      </c>
      <c r="F3798" t="s">
        <v>79</v>
      </c>
      <c r="G3798">
        <v>14</v>
      </c>
      <c r="H3798" t="s">
        <v>102</v>
      </c>
      <c r="I3798" t="s">
        <v>79</v>
      </c>
      <c r="J3798">
        <v>200</v>
      </c>
      <c r="L3798">
        <v>3</v>
      </c>
      <c r="M3798">
        <v>146.18</v>
      </c>
      <c r="N3798">
        <v>4.1999999999999993</v>
      </c>
      <c r="Q3798">
        <v>141.98000000000002</v>
      </c>
      <c r="R3798" t="s">
        <v>2627</v>
      </c>
      <c r="S3798">
        <v>25</v>
      </c>
      <c r="V3798">
        <v>25</v>
      </c>
      <c r="W3798">
        <v>0.41666666666666674</v>
      </c>
      <c r="AF3798">
        <v>0</v>
      </c>
      <c r="AG3798">
        <v>0</v>
      </c>
      <c r="AH3798">
        <v>0.41666666666666674</v>
      </c>
      <c r="AI3798">
        <v>11.583333333333334</v>
      </c>
      <c r="AJ3798">
        <v>12</v>
      </c>
      <c r="AM3798">
        <v>0</v>
      </c>
      <c r="AN3798">
        <v>151.18</v>
      </c>
      <c r="AP3798">
        <v>16</v>
      </c>
    </row>
    <row r="3799" spans="1:42" x14ac:dyDescent="0.25">
      <c r="A3799" t="s">
        <v>45</v>
      </c>
      <c r="B3799">
        <v>2</v>
      </c>
      <c r="C3799" t="s">
        <v>2621</v>
      </c>
      <c r="D3799" s="39">
        <v>46132</v>
      </c>
      <c r="E3799" t="s">
        <v>2611</v>
      </c>
      <c r="F3799" t="s">
        <v>79</v>
      </c>
      <c r="G3799">
        <v>5</v>
      </c>
      <c r="H3799" t="s">
        <v>1049</v>
      </c>
      <c r="I3799" t="s">
        <v>79</v>
      </c>
      <c r="J3799">
        <v>100</v>
      </c>
      <c r="L3799">
        <v>7</v>
      </c>
      <c r="M3799">
        <v>149.33000000000001</v>
      </c>
      <c r="N3799">
        <v>3.5</v>
      </c>
      <c r="Q3799">
        <v>145.83000000000001</v>
      </c>
      <c r="R3799" t="s">
        <v>2704</v>
      </c>
      <c r="V3799">
        <v>0</v>
      </c>
      <c r="W3799">
        <v>0</v>
      </c>
      <c r="AF3799">
        <v>0</v>
      </c>
      <c r="AG3799">
        <v>0</v>
      </c>
      <c r="AH3799">
        <v>0</v>
      </c>
      <c r="AI3799">
        <v>12</v>
      </c>
      <c r="AJ3799">
        <v>12</v>
      </c>
      <c r="AM3799">
        <v>0</v>
      </c>
      <c r="AN3799">
        <v>154.33000000000001</v>
      </c>
      <c r="AP3799">
        <v>17</v>
      </c>
    </row>
    <row r="3800" spans="1:42" x14ac:dyDescent="0.25">
      <c r="A3800" t="s">
        <v>45</v>
      </c>
      <c r="B3800">
        <v>2</v>
      </c>
      <c r="C3800" t="s">
        <v>2628</v>
      </c>
      <c r="D3800" s="39">
        <v>46132</v>
      </c>
      <c r="E3800" t="s">
        <v>486</v>
      </c>
      <c r="F3800" t="s">
        <v>79</v>
      </c>
      <c r="G3800">
        <v>5</v>
      </c>
      <c r="H3800" t="s">
        <v>92</v>
      </c>
      <c r="I3800" t="s">
        <v>79</v>
      </c>
      <c r="J3800">
        <v>500</v>
      </c>
      <c r="L3800">
        <v>1</v>
      </c>
      <c r="M3800">
        <v>21.38</v>
      </c>
      <c r="N3800">
        <v>0.5</v>
      </c>
      <c r="Q3800">
        <v>20.88</v>
      </c>
      <c r="R3800" t="s">
        <v>2705</v>
      </c>
      <c r="V3800">
        <v>0</v>
      </c>
      <c r="W3800">
        <v>0</v>
      </c>
      <c r="AF3800">
        <v>0</v>
      </c>
      <c r="AG3800">
        <v>0</v>
      </c>
      <c r="AH3800">
        <v>0</v>
      </c>
      <c r="AI3800">
        <v>12</v>
      </c>
      <c r="AJ3800">
        <v>12</v>
      </c>
      <c r="AM3800">
        <v>0</v>
      </c>
      <c r="AN3800">
        <v>26.38</v>
      </c>
      <c r="AP3800">
        <v>17</v>
      </c>
    </row>
    <row r="3801" spans="1:42" x14ac:dyDescent="0.25">
      <c r="A3801" t="s">
        <v>46</v>
      </c>
      <c r="B3801">
        <v>2</v>
      </c>
      <c r="C3801" t="s">
        <v>2628</v>
      </c>
      <c r="D3801" s="39">
        <v>46132</v>
      </c>
      <c r="E3801" t="s">
        <v>486</v>
      </c>
      <c r="F3801" t="s">
        <v>79</v>
      </c>
      <c r="G3801">
        <v>5</v>
      </c>
      <c r="H3801" t="s">
        <v>92</v>
      </c>
      <c r="I3801" t="s">
        <v>79</v>
      </c>
      <c r="J3801">
        <v>500</v>
      </c>
      <c r="L3801">
        <v>8</v>
      </c>
      <c r="M3801">
        <v>173.59</v>
      </c>
      <c r="N3801">
        <v>4</v>
      </c>
      <c r="Q3801">
        <v>169.59</v>
      </c>
      <c r="R3801" t="s">
        <v>2705</v>
      </c>
      <c r="V3801">
        <v>0</v>
      </c>
      <c r="W3801">
        <v>0</v>
      </c>
      <c r="AF3801">
        <v>0</v>
      </c>
      <c r="AG3801">
        <v>0</v>
      </c>
      <c r="AH3801">
        <v>0</v>
      </c>
      <c r="AI3801">
        <v>12</v>
      </c>
      <c r="AJ3801">
        <v>12</v>
      </c>
      <c r="AM3801">
        <v>0</v>
      </c>
      <c r="AN3801">
        <v>178.59</v>
      </c>
      <c r="AP3801">
        <v>17</v>
      </c>
    </row>
    <row r="3802" spans="1:42" x14ac:dyDescent="0.25">
      <c r="A3802" t="s">
        <v>45</v>
      </c>
      <c r="B3802">
        <v>4</v>
      </c>
      <c r="C3802" t="s">
        <v>2607</v>
      </c>
      <c r="D3802" s="39">
        <v>46132</v>
      </c>
      <c r="E3802" t="s">
        <v>243</v>
      </c>
      <c r="F3802" t="s">
        <v>79</v>
      </c>
      <c r="G3802">
        <v>16.2</v>
      </c>
      <c r="H3802" t="s">
        <v>81</v>
      </c>
      <c r="I3802" t="s">
        <v>79</v>
      </c>
      <c r="J3802">
        <v>5000</v>
      </c>
      <c r="L3802">
        <v>13</v>
      </c>
      <c r="M3802">
        <v>708.34</v>
      </c>
      <c r="N3802">
        <v>24.81</v>
      </c>
      <c r="O3802">
        <v>12</v>
      </c>
      <c r="Q3802">
        <v>683.53000000000009</v>
      </c>
      <c r="R3802" t="s">
        <v>2703</v>
      </c>
      <c r="V3802">
        <v>0</v>
      </c>
      <c r="W3802">
        <v>0</v>
      </c>
      <c r="AF3802">
        <v>0</v>
      </c>
      <c r="AG3802">
        <v>0</v>
      </c>
      <c r="AH3802">
        <v>0</v>
      </c>
      <c r="AI3802">
        <v>12</v>
      </c>
      <c r="AJ3802">
        <v>12</v>
      </c>
      <c r="AM3802">
        <v>0</v>
      </c>
      <c r="AN3802">
        <v>713.34</v>
      </c>
      <c r="AP3802">
        <v>17</v>
      </c>
    </row>
    <row r="3803" spans="1:42" x14ac:dyDescent="0.25">
      <c r="A3803" t="s">
        <v>46</v>
      </c>
      <c r="B3803">
        <v>4</v>
      </c>
      <c r="C3803" t="s">
        <v>2607</v>
      </c>
      <c r="D3803" s="39">
        <v>46132</v>
      </c>
      <c r="E3803" t="s">
        <v>243</v>
      </c>
      <c r="F3803" t="s">
        <v>79</v>
      </c>
      <c r="G3803">
        <v>16.2</v>
      </c>
      <c r="H3803" t="s">
        <v>81</v>
      </c>
      <c r="I3803" t="s">
        <v>79</v>
      </c>
      <c r="J3803">
        <v>5000</v>
      </c>
      <c r="L3803">
        <v>12</v>
      </c>
      <c r="M3803">
        <v>743.3599999999999</v>
      </c>
      <c r="N3803">
        <v>22.799999999999997</v>
      </c>
      <c r="O3803">
        <v>18</v>
      </c>
      <c r="Q3803">
        <v>720.56</v>
      </c>
      <c r="R3803" t="s">
        <v>2703</v>
      </c>
      <c r="V3803">
        <v>0</v>
      </c>
      <c r="W3803">
        <v>0</v>
      </c>
      <c r="AF3803">
        <v>0</v>
      </c>
      <c r="AG3803">
        <v>0</v>
      </c>
      <c r="AH3803">
        <v>0</v>
      </c>
      <c r="AI3803">
        <v>12</v>
      </c>
      <c r="AJ3803">
        <v>12</v>
      </c>
      <c r="AM3803">
        <v>0</v>
      </c>
      <c r="AN3803">
        <v>748.3599999999999</v>
      </c>
      <c r="AP3803">
        <v>17</v>
      </c>
    </row>
    <row r="3804" spans="1:42" x14ac:dyDescent="0.25">
      <c r="A3804" t="s">
        <v>45</v>
      </c>
      <c r="B3804">
        <v>5</v>
      </c>
      <c r="C3804" t="s">
        <v>2626</v>
      </c>
      <c r="D3804" s="39">
        <v>46132</v>
      </c>
      <c r="E3804" t="s">
        <v>828</v>
      </c>
      <c r="F3804" t="s">
        <v>79</v>
      </c>
      <c r="G3804">
        <v>14</v>
      </c>
      <c r="H3804" t="s">
        <v>102</v>
      </c>
      <c r="I3804" t="s">
        <v>79</v>
      </c>
      <c r="J3804">
        <v>200</v>
      </c>
      <c r="L3804">
        <v>2</v>
      </c>
      <c r="M3804">
        <v>108</v>
      </c>
      <c r="N3804">
        <v>3.3</v>
      </c>
      <c r="Q3804">
        <v>104.7</v>
      </c>
      <c r="R3804" t="s">
        <v>2627</v>
      </c>
      <c r="V3804">
        <v>0</v>
      </c>
      <c r="W3804">
        <v>0</v>
      </c>
      <c r="AF3804">
        <v>0</v>
      </c>
      <c r="AG3804">
        <v>0</v>
      </c>
      <c r="AH3804">
        <v>0</v>
      </c>
      <c r="AI3804">
        <v>12</v>
      </c>
      <c r="AJ3804">
        <v>12</v>
      </c>
      <c r="AM3804">
        <v>0</v>
      </c>
      <c r="AN3804">
        <v>113</v>
      </c>
      <c r="AP3804">
        <v>17</v>
      </c>
    </row>
    <row r="3805" spans="1:42" x14ac:dyDescent="0.25">
      <c r="A3805" t="s">
        <v>45</v>
      </c>
      <c r="B3805">
        <v>5</v>
      </c>
      <c r="C3805" t="s">
        <v>2629</v>
      </c>
      <c r="D3805" s="39">
        <v>46132</v>
      </c>
      <c r="E3805" t="s">
        <v>200</v>
      </c>
      <c r="F3805" t="s">
        <v>79</v>
      </c>
      <c r="G3805">
        <v>14</v>
      </c>
      <c r="H3805" t="s">
        <v>944</v>
      </c>
      <c r="I3805" t="s">
        <v>79</v>
      </c>
      <c r="J3805">
        <v>500</v>
      </c>
      <c r="L3805">
        <v>7</v>
      </c>
      <c r="M3805">
        <v>339.92999999999995</v>
      </c>
      <c r="N3805">
        <v>11.9</v>
      </c>
      <c r="Q3805">
        <v>328.03</v>
      </c>
      <c r="R3805" t="s">
        <v>2632</v>
      </c>
      <c r="V3805">
        <v>0</v>
      </c>
      <c r="W3805">
        <v>0</v>
      </c>
      <c r="AF3805">
        <v>0</v>
      </c>
      <c r="AG3805">
        <v>0</v>
      </c>
      <c r="AH3805">
        <v>0</v>
      </c>
      <c r="AI3805">
        <v>12</v>
      </c>
      <c r="AJ3805">
        <v>12</v>
      </c>
      <c r="AM3805">
        <v>0</v>
      </c>
      <c r="AN3805">
        <v>344.92999999999995</v>
      </c>
      <c r="AP3805">
        <v>17</v>
      </c>
    </row>
    <row r="3806" spans="1:42" x14ac:dyDescent="0.25">
      <c r="A3806" t="s">
        <v>46</v>
      </c>
      <c r="B3806">
        <v>5</v>
      </c>
      <c r="C3806" t="s">
        <v>2629</v>
      </c>
      <c r="D3806" s="39">
        <v>46132</v>
      </c>
      <c r="E3806" t="s">
        <v>200</v>
      </c>
      <c r="F3806" t="s">
        <v>79</v>
      </c>
      <c r="G3806">
        <v>14</v>
      </c>
      <c r="H3806" t="s">
        <v>944</v>
      </c>
      <c r="I3806" t="s">
        <v>79</v>
      </c>
      <c r="J3806">
        <v>500</v>
      </c>
      <c r="L3806">
        <v>8</v>
      </c>
      <c r="M3806">
        <v>380.26</v>
      </c>
      <c r="N3806">
        <v>11.2</v>
      </c>
      <c r="P3806" t="s">
        <v>2630</v>
      </c>
      <c r="Q3806">
        <v>369.06</v>
      </c>
      <c r="R3806" t="s">
        <v>2632</v>
      </c>
      <c r="V3806">
        <v>0</v>
      </c>
      <c r="W3806">
        <v>0</v>
      </c>
      <c r="AF3806">
        <v>0</v>
      </c>
      <c r="AG3806">
        <v>0</v>
      </c>
      <c r="AH3806">
        <v>0</v>
      </c>
      <c r="AI3806">
        <v>12</v>
      </c>
      <c r="AJ3806">
        <v>12</v>
      </c>
      <c r="AM3806">
        <v>0</v>
      </c>
      <c r="AN3806">
        <v>385.26</v>
      </c>
      <c r="AP3806">
        <v>17</v>
      </c>
    </row>
    <row r="3807" spans="1:42" x14ac:dyDescent="0.25">
      <c r="A3807" t="s">
        <v>45</v>
      </c>
      <c r="B3807">
        <v>2</v>
      </c>
      <c r="C3807" t="s">
        <v>2628</v>
      </c>
      <c r="D3807" s="39">
        <v>46133</v>
      </c>
      <c r="E3807" t="s">
        <v>486</v>
      </c>
      <c r="F3807" t="s">
        <v>79</v>
      </c>
      <c r="G3807">
        <v>5</v>
      </c>
      <c r="H3807" t="s">
        <v>92</v>
      </c>
      <c r="I3807" t="s">
        <v>79</v>
      </c>
      <c r="J3807">
        <v>500</v>
      </c>
      <c r="L3807">
        <v>8</v>
      </c>
      <c r="M3807">
        <v>161.27000000000001</v>
      </c>
      <c r="N3807">
        <v>4</v>
      </c>
      <c r="P3807" t="s">
        <v>34</v>
      </c>
      <c r="Q3807">
        <v>157.27000000000001</v>
      </c>
      <c r="R3807" t="s">
        <v>2705</v>
      </c>
      <c r="V3807">
        <v>0</v>
      </c>
      <c r="W3807">
        <v>0</v>
      </c>
      <c r="AD3807">
        <v>30</v>
      </c>
      <c r="AF3807">
        <v>30</v>
      </c>
      <c r="AG3807">
        <v>0.5</v>
      </c>
      <c r="AH3807">
        <v>0.5</v>
      </c>
      <c r="AI3807">
        <v>11.5</v>
      </c>
      <c r="AJ3807">
        <v>12</v>
      </c>
      <c r="AM3807">
        <v>0</v>
      </c>
      <c r="AN3807">
        <v>166.27</v>
      </c>
      <c r="AP3807">
        <v>17</v>
      </c>
    </row>
    <row r="3808" spans="1:42" x14ac:dyDescent="0.25">
      <c r="A3808" t="s">
        <v>45</v>
      </c>
      <c r="B3808">
        <v>2</v>
      </c>
      <c r="C3808" t="s">
        <v>2633</v>
      </c>
      <c r="D3808" s="39">
        <v>46133</v>
      </c>
      <c r="E3808" t="s">
        <v>238</v>
      </c>
      <c r="F3808" t="s">
        <v>79</v>
      </c>
      <c r="G3808">
        <v>5</v>
      </c>
      <c r="H3808" t="s">
        <v>534</v>
      </c>
      <c r="I3808" t="s">
        <v>79</v>
      </c>
      <c r="J3808" t="s">
        <v>2634</v>
      </c>
      <c r="L3808">
        <v>1</v>
      </c>
      <c r="M3808">
        <v>16.21</v>
      </c>
      <c r="N3808">
        <v>0.5</v>
      </c>
      <c r="P3808" t="s">
        <v>34</v>
      </c>
      <c r="Q3808">
        <v>15.71</v>
      </c>
      <c r="R3808" t="s">
        <v>2635</v>
      </c>
      <c r="V3808">
        <v>0</v>
      </c>
      <c r="W3808">
        <v>0</v>
      </c>
      <c r="AF3808">
        <v>0</v>
      </c>
      <c r="AG3808">
        <v>0</v>
      </c>
      <c r="AH3808">
        <v>0</v>
      </c>
      <c r="AI3808">
        <v>12</v>
      </c>
      <c r="AJ3808">
        <v>12</v>
      </c>
      <c r="AM3808">
        <v>0</v>
      </c>
      <c r="AN3808">
        <v>21.21</v>
      </c>
      <c r="AP3808">
        <v>17</v>
      </c>
    </row>
    <row r="3809" spans="1:42" x14ac:dyDescent="0.25">
      <c r="A3809" t="s">
        <v>46</v>
      </c>
      <c r="B3809">
        <v>2</v>
      </c>
      <c r="C3809" t="s">
        <v>2633</v>
      </c>
      <c r="D3809" s="39">
        <v>46133</v>
      </c>
      <c r="E3809" t="s">
        <v>238</v>
      </c>
      <c r="F3809" t="s">
        <v>79</v>
      </c>
      <c r="G3809">
        <v>5</v>
      </c>
      <c r="H3809" t="s">
        <v>534</v>
      </c>
      <c r="I3809" t="s">
        <v>79</v>
      </c>
      <c r="J3809" t="s">
        <v>2634</v>
      </c>
      <c r="L3809">
        <v>8</v>
      </c>
      <c r="M3809">
        <v>186.29999999999998</v>
      </c>
      <c r="N3809">
        <v>4</v>
      </c>
      <c r="P3809" t="s">
        <v>34</v>
      </c>
      <c r="Q3809">
        <v>182.29999999999998</v>
      </c>
      <c r="R3809" t="s">
        <v>2635</v>
      </c>
      <c r="V3809">
        <v>0</v>
      </c>
      <c r="W3809">
        <v>0</v>
      </c>
      <c r="AF3809">
        <v>0</v>
      </c>
      <c r="AG3809">
        <v>0</v>
      </c>
      <c r="AH3809">
        <v>0</v>
      </c>
      <c r="AI3809">
        <v>12</v>
      </c>
      <c r="AJ3809">
        <v>12</v>
      </c>
      <c r="AM3809">
        <v>0</v>
      </c>
      <c r="AN3809">
        <v>191.3</v>
      </c>
      <c r="AP3809">
        <v>17</v>
      </c>
    </row>
    <row r="3810" spans="1:42" x14ac:dyDescent="0.25">
      <c r="A3810" t="s">
        <v>45</v>
      </c>
      <c r="B3810">
        <v>4</v>
      </c>
      <c r="C3810" t="s">
        <v>2636</v>
      </c>
      <c r="D3810" s="39">
        <v>46133</v>
      </c>
      <c r="E3810" t="s">
        <v>2505</v>
      </c>
      <c r="F3810" t="s">
        <v>79</v>
      </c>
      <c r="G3810">
        <v>16</v>
      </c>
      <c r="H3810" t="s">
        <v>123</v>
      </c>
      <c r="I3810" t="s">
        <v>79</v>
      </c>
      <c r="J3810">
        <v>100</v>
      </c>
      <c r="L3810">
        <v>2</v>
      </c>
      <c r="M3810">
        <v>106.88</v>
      </c>
      <c r="N3810">
        <v>4</v>
      </c>
      <c r="P3810" t="s">
        <v>34</v>
      </c>
      <c r="Q3810">
        <v>102.88</v>
      </c>
      <c r="R3810" t="s">
        <v>2637</v>
      </c>
      <c r="V3810">
        <v>0</v>
      </c>
      <c r="W3810">
        <v>0</v>
      </c>
      <c r="AF3810">
        <v>0</v>
      </c>
      <c r="AG3810">
        <v>0</v>
      </c>
      <c r="AH3810">
        <v>0</v>
      </c>
      <c r="AI3810">
        <v>12</v>
      </c>
      <c r="AJ3810">
        <v>12</v>
      </c>
      <c r="AM3810">
        <v>0</v>
      </c>
      <c r="AN3810">
        <v>111.88</v>
      </c>
      <c r="AP3810">
        <v>17</v>
      </c>
    </row>
    <row r="3811" spans="1:42" x14ac:dyDescent="0.25">
      <c r="A3811" t="s">
        <v>45</v>
      </c>
      <c r="B3811">
        <v>4</v>
      </c>
      <c r="C3811" t="s">
        <v>2638</v>
      </c>
      <c r="D3811" s="39">
        <v>46133</v>
      </c>
      <c r="E3811" t="s">
        <v>200</v>
      </c>
      <c r="F3811" t="s">
        <v>79</v>
      </c>
      <c r="G3811">
        <v>16</v>
      </c>
      <c r="H3811" t="s">
        <v>944</v>
      </c>
      <c r="I3811" t="s">
        <v>79</v>
      </c>
      <c r="J3811">
        <v>1000</v>
      </c>
      <c r="L3811">
        <v>8</v>
      </c>
      <c r="M3811">
        <v>424.49999999999994</v>
      </c>
      <c r="N3811">
        <v>15.2</v>
      </c>
      <c r="O3811">
        <v>10</v>
      </c>
      <c r="P3811" t="s">
        <v>34</v>
      </c>
      <c r="Q3811">
        <v>409.29999999999995</v>
      </c>
      <c r="R3811" t="s">
        <v>2639</v>
      </c>
      <c r="V3811">
        <v>0</v>
      </c>
      <c r="W3811">
        <v>0</v>
      </c>
      <c r="AF3811">
        <v>0</v>
      </c>
      <c r="AG3811">
        <v>0</v>
      </c>
      <c r="AH3811">
        <v>0</v>
      </c>
      <c r="AI3811">
        <v>12</v>
      </c>
      <c r="AJ3811">
        <v>12</v>
      </c>
      <c r="AM3811">
        <v>0</v>
      </c>
      <c r="AN3811">
        <v>429.49999999999994</v>
      </c>
      <c r="AP3811">
        <v>17</v>
      </c>
    </row>
    <row r="3812" spans="1:42" x14ac:dyDescent="0.25">
      <c r="A3812" t="s">
        <v>46</v>
      </c>
      <c r="B3812">
        <v>4</v>
      </c>
      <c r="C3812" t="s">
        <v>2638</v>
      </c>
      <c r="D3812" s="39">
        <v>46133</v>
      </c>
      <c r="E3812" t="s">
        <v>200</v>
      </c>
      <c r="F3812" t="s">
        <v>79</v>
      </c>
      <c r="G3812">
        <v>16</v>
      </c>
      <c r="H3812" t="s">
        <v>944</v>
      </c>
      <c r="I3812" t="s">
        <v>79</v>
      </c>
      <c r="J3812">
        <v>1000</v>
      </c>
      <c r="L3812">
        <v>8</v>
      </c>
      <c r="M3812">
        <v>496.76</v>
      </c>
      <c r="N3812">
        <v>12.8</v>
      </c>
      <c r="O3812">
        <v>8</v>
      </c>
      <c r="P3812" t="s">
        <v>34</v>
      </c>
      <c r="Q3812">
        <v>483.96</v>
      </c>
      <c r="R3812" t="s">
        <v>2639</v>
      </c>
      <c r="V3812">
        <v>0</v>
      </c>
      <c r="W3812">
        <v>0</v>
      </c>
      <c r="AF3812">
        <v>0</v>
      </c>
      <c r="AG3812">
        <v>0</v>
      </c>
      <c r="AH3812">
        <v>0</v>
      </c>
      <c r="AI3812">
        <v>12</v>
      </c>
      <c r="AJ3812">
        <v>12</v>
      </c>
      <c r="AM3812">
        <v>0</v>
      </c>
      <c r="AN3812">
        <v>501.76</v>
      </c>
      <c r="AP3812">
        <v>17</v>
      </c>
    </row>
    <row r="3813" spans="1:42" x14ac:dyDescent="0.25">
      <c r="A3813" t="s">
        <v>45</v>
      </c>
      <c r="B3813">
        <v>5</v>
      </c>
      <c r="C3813" t="s">
        <v>2629</v>
      </c>
      <c r="D3813" s="39">
        <v>46133</v>
      </c>
      <c r="E3813" t="s">
        <v>200</v>
      </c>
      <c r="F3813" t="s">
        <v>79</v>
      </c>
      <c r="G3813">
        <v>14</v>
      </c>
      <c r="H3813" t="s">
        <v>944</v>
      </c>
      <c r="I3813" t="s">
        <v>79</v>
      </c>
      <c r="J3813">
        <v>500</v>
      </c>
      <c r="L3813">
        <v>2</v>
      </c>
      <c r="M3813">
        <v>100.03999999999999</v>
      </c>
      <c r="N3813">
        <v>2.8</v>
      </c>
      <c r="P3813" t="s">
        <v>34</v>
      </c>
      <c r="Q3813">
        <v>97.24</v>
      </c>
      <c r="R3813" t="s">
        <v>2632</v>
      </c>
      <c r="V3813">
        <v>0</v>
      </c>
      <c r="W3813">
        <v>0</v>
      </c>
      <c r="AF3813">
        <v>0</v>
      </c>
      <c r="AG3813">
        <v>0</v>
      </c>
      <c r="AH3813">
        <v>0</v>
      </c>
      <c r="AI3813">
        <v>12</v>
      </c>
      <c r="AJ3813">
        <v>12</v>
      </c>
      <c r="AM3813">
        <v>0</v>
      </c>
      <c r="AN3813">
        <v>105.04</v>
      </c>
      <c r="AP3813">
        <v>17</v>
      </c>
    </row>
    <row r="3814" spans="1:42" x14ac:dyDescent="0.25">
      <c r="A3814" t="s">
        <v>45</v>
      </c>
      <c r="B3814">
        <v>5</v>
      </c>
      <c r="C3814" t="s">
        <v>2640</v>
      </c>
      <c r="D3814" s="39">
        <v>46133</v>
      </c>
      <c r="E3814" t="s">
        <v>243</v>
      </c>
      <c r="F3814" t="s">
        <v>79</v>
      </c>
      <c r="G3814">
        <v>18</v>
      </c>
      <c r="H3814" t="s">
        <v>93</v>
      </c>
      <c r="I3814" t="s">
        <v>79</v>
      </c>
      <c r="J3814">
        <v>125</v>
      </c>
      <c r="L3814">
        <v>3</v>
      </c>
      <c r="M3814">
        <v>168.07999999999998</v>
      </c>
      <c r="N3814">
        <v>5.4</v>
      </c>
      <c r="P3814" t="s">
        <v>34</v>
      </c>
      <c r="Q3814">
        <v>162.67999999999998</v>
      </c>
      <c r="R3814" t="s">
        <v>2641</v>
      </c>
      <c r="V3814">
        <v>0</v>
      </c>
      <c r="W3814">
        <v>0</v>
      </c>
      <c r="AF3814">
        <v>0</v>
      </c>
      <c r="AG3814">
        <v>0</v>
      </c>
      <c r="AH3814">
        <v>0</v>
      </c>
      <c r="AI3814">
        <v>12</v>
      </c>
      <c r="AJ3814">
        <v>12</v>
      </c>
      <c r="AM3814">
        <v>0</v>
      </c>
      <c r="AN3814">
        <v>173.07999999999998</v>
      </c>
      <c r="AP3814">
        <v>17</v>
      </c>
    </row>
    <row r="3815" spans="1:42" x14ac:dyDescent="0.25">
      <c r="A3815" t="s">
        <v>45</v>
      </c>
      <c r="B3815">
        <v>5</v>
      </c>
      <c r="C3815" t="s">
        <v>2642</v>
      </c>
      <c r="D3815" s="39">
        <v>46133</v>
      </c>
      <c r="E3815" t="s">
        <v>229</v>
      </c>
      <c r="F3815" t="s">
        <v>79</v>
      </c>
      <c r="G3815">
        <v>14</v>
      </c>
      <c r="H3815" t="s">
        <v>644</v>
      </c>
      <c r="I3815" t="s">
        <v>79</v>
      </c>
      <c r="J3815">
        <v>150</v>
      </c>
      <c r="L3815">
        <v>3</v>
      </c>
      <c r="M3815">
        <v>162.38</v>
      </c>
      <c r="N3815">
        <v>5.4</v>
      </c>
      <c r="P3815" t="s">
        <v>34</v>
      </c>
      <c r="Q3815">
        <v>156.97999999999999</v>
      </c>
      <c r="R3815" t="s">
        <v>2643</v>
      </c>
      <c r="S3815">
        <v>25</v>
      </c>
      <c r="V3815">
        <v>25</v>
      </c>
      <c r="W3815">
        <v>0.41666666666666674</v>
      </c>
      <c r="AF3815">
        <v>0</v>
      </c>
      <c r="AG3815">
        <v>0</v>
      </c>
      <c r="AH3815">
        <v>0.41666666666666674</v>
      </c>
      <c r="AI3815">
        <v>11.583333333333334</v>
      </c>
      <c r="AJ3815">
        <v>12</v>
      </c>
      <c r="AM3815">
        <v>0</v>
      </c>
      <c r="AN3815">
        <v>167.38</v>
      </c>
      <c r="AP3815">
        <v>17</v>
      </c>
    </row>
    <row r="3816" spans="1:42" x14ac:dyDescent="0.25">
      <c r="A3816" t="s">
        <v>46</v>
      </c>
      <c r="B3816">
        <v>5</v>
      </c>
      <c r="C3816" t="s">
        <v>2640</v>
      </c>
      <c r="D3816" s="39">
        <v>46133</v>
      </c>
      <c r="E3816" t="s">
        <v>243</v>
      </c>
      <c r="F3816" t="s">
        <v>79</v>
      </c>
      <c r="G3816">
        <v>18</v>
      </c>
      <c r="H3816" t="s">
        <v>93</v>
      </c>
      <c r="I3816" t="s">
        <v>79</v>
      </c>
      <c r="J3816">
        <v>125</v>
      </c>
      <c r="L3816">
        <v>5</v>
      </c>
      <c r="M3816">
        <v>229.00000000000003</v>
      </c>
      <c r="N3816">
        <v>9</v>
      </c>
      <c r="P3816" t="s">
        <v>34</v>
      </c>
      <c r="Q3816">
        <v>220.00000000000003</v>
      </c>
      <c r="R3816" t="s">
        <v>2641</v>
      </c>
      <c r="V3816">
        <v>0</v>
      </c>
      <c r="W3816">
        <v>0</v>
      </c>
      <c r="AF3816">
        <v>0</v>
      </c>
      <c r="AG3816">
        <v>0</v>
      </c>
      <c r="AH3816">
        <v>0</v>
      </c>
      <c r="AI3816">
        <v>12</v>
      </c>
      <c r="AJ3816">
        <v>12</v>
      </c>
      <c r="AM3816">
        <v>0</v>
      </c>
      <c r="AN3816">
        <v>234.00000000000003</v>
      </c>
      <c r="AP3816">
        <v>17</v>
      </c>
    </row>
    <row r="3817" spans="1:42" x14ac:dyDescent="0.25">
      <c r="A3817" t="s">
        <v>46</v>
      </c>
      <c r="B3817">
        <v>5</v>
      </c>
      <c r="C3817" t="s">
        <v>2644</v>
      </c>
      <c r="D3817" s="39">
        <v>46133</v>
      </c>
      <c r="E3817" t="s">
        <v>200</v>
      </c>
      <c r="F3817" t="s">
        <v>79</v>
      </c>
      <c r="G3817">
        <v>18</v>
      </c>
      <c r="H3817" t="s">
        <v>944</v>
      </c>
      <c r="I3817" t="s">
        <v>79</v>
      </c>
      <c r="J3817">
        <v>500</v>
      </c>
      <c r="L3817">
        <v>4</v>
      </c>
      <c r="M3817">
        <v>199.58</v>
      </c>
      <c r="N3817">
        <v>7.2</v>
      </c>
      <c r="P3817" t="s">
        <v>34</v>
      </c>
      <c r="Q3817">
        <v>192.38000000000002</v>
      </c>
      <c r="R3817" t="s">
        <v>2645</v>
      </c>
      <c r="V3817">
        <v>0</v>
      </c>
      <c r="W3817">
        <v>0</v>
      </c>
      <c r="AF3817">
        <v>0</v>
      </c>
      <c r="AG3817">
        <v>0</v>
      </c>
      <c r="AH3817">
        <v>0</v>
      </c>
      <c r="AI3817">
        <v>12</v>
      </c>
      <c r="AJ3817">
        <v>12</v>
      </c>
      <c r="AM3817">
        <v>0</v>
      </c>
      <c r="AN3817">
        <v>204.58</v>
      </c>
      <c r="AP3817">
        <v>17</v>
      </c>
    </row>
    <row r="3818" spans="1:42" x14ac:dyDescent="0.25">
      <c r="A3818" t="s">
        <v>45</v>
      </c>
      <c r="B3818">
        <v>2</v>
      </c>
      <c r="C3818" t="s">
        <v>2646</v>
      </c>
      <c r="D3818" s="39">
        <v>46134</v>
      </c>
      <c r="E3818" t="s">
        <v>238</v>
      </c>
      <c r="F3818" t="s">
        <v>79</v>
      </c>
      <c r="G3818">
        <v>4</v>
      </c>
      <c r="H3818" t="s">
        <v>534</v>
      </c>
      <c r="I3818" t="s">
        <v>79</v>
      </c>
      <c r="J3818" t="s">
        <v>2634</v>
      </c>
      <c r="L3818">
        <v>7</v>
      </c>
      <c r="M3818">
        <v>116.54</v>
      </c>
      <c r="N3818">
        <v>2.8000000000000003</v>
      </c>
      <c r="O3818">
        <v>13</v>
      </c>
      <c r="P3818" t="s">
        <v>34</v>
      </c>
      <c r="Q3818">
        <v>113.74000000000001</v>
      </c>
      <c r="R3818" t="s">
        <v>2647</v>
      </c>
      <c r="T3818">
        <v>200</v>
      </c>
      <c r="V3818">
        <v>200</v>
      </c>
      <c r="W3818">
        <v>3.3333333333333335</v>
      </c>
      <c r="Z3818">
        <v>70</v>
      </c>
      <c r="AF3818">
        <v>70</v>
      </c>
      <c r="AG3818">
        <v>1.1666666666666667</v>
      </c>
      <c r="AH3818">
        <v>4.5</v>
      </c>
      <c r="AI3818">
        <v>7.5</v>
      </c>
      <c r="AJ3818">
        <v>12</v>
      </c>
      <c r="AM3818">
        <v>0</v>
      </c>
      <c r="AN3818">
        <v>121.54</v>
      </c>
      <c r="AP3818">
        <v>17</v>
      </c>
    </row>
    <row r="3819" spans="1:42" x14ac:dyDescent="0.25">
      <c r="A3819" t="s">
        <v>46</v>
      </c>
      <c r="B3819">
        <v>2</v>
      </c>
      <c r="C3819" t="s">
        <v>2646</v>
      </c>
      <c r="D3819" s="39">
        <v>46134</v>
      </c>
      <c r="E3819" t="s">
        <v>238</v>
      </c>
      <c r="F3819" t="s">
        <v>79</v>
      </c>
      <c r="G3819">
        <v>4</v>
      </c>
      <c r="H3819" t="s">
        <v>534</v>
      </c>
      <c r="I3819" t="s">
        <v>79</v>
      </c>
      <c r="J3819" t="s">
        <v>2634</v>
      </c>
      <c r="L3819">
        <v>7</v>
      </c>
      <c r="M3819">
        <v>144.41</v>
      </c>
      <c r="N3819">
        <v>2.8000000000000003</v>
      </c>
      <c r="O3819">
        <v>18</v>
      </c>
      <c r="P3819" t="s">
        <v>34</v>
      </c>
      <c r="Q3819">
        <v>141.60999999999999</v>
      </c>
      <c r="R3819" t="s">
        <v>2647</v>
      </c>
      <c r="V3819">
        <v>0</v>
      </c>
      <c r="W3819">
        <v>0</v>
      </c>
      <c r="AF3819">
        <v>0</v>
      </c>
      <c r="AG3819">
        <v>0</v>
      </c>
      <c r="AH3819">
        <v>0</v>
      </c>
      <c r="AI3819">
        <v>12</v>
      </c>
      <c r="AJ3819">
        <v>12</v>
      </c>
      <c r="AM3819">
        <v>0</v>
      </c>
      <c r="AN3819">
        <v>149.41</v>
      </c>
      <c r="AP3819">
        <v>17</v>
      </c>
    </row>
    <row r="3820" spans="1:42" x14ac:dyDescent="0.25">
      <c r="A3820" t="s">
        <v>45</v>
      </c>
      <c r="B3820">
        <v>4</v>
      </c>
      <c r="C3820" t="s">
        <v>2638</v>
      </c>
      <c r="D3820" s="39">
        <v>46134</v>
      </c>
      <c r="E3820" t="s">
        <v>200</v>
      </c>
      <c r="F3820" t="s">
        <v>79</v>
      </c>
      <c r="G3820">
        <v>16</v>
      </c>
      <c r="H3820" t="s">
        <v>944</v>
      </c>
      <c r="I3820" t="s">
        <v>79</v>
      </c>
      <c r="J3820">
        <v>1000</v>
      </c>
      <c r="L3820">
        <v>3</v>
      </c>
      <c r="M3820">
        <v>169.24</v>
      </c>
      <c r="N3820">
        <v>4.8000000000000007</v>
      </c>
      <c r="P3820" t="s">
        <v>34</v>
      </c>
      <c r="Q3820">
        <v>164.44</v>
      </c>
      <c r="R3820" t="s">
        <v>2639</v>
      </c>
      <c r="V3820">
        <v>0</v>
      </c>
      <c r="W3820">
        <v>0</v>
      </c>
      <c r="AF3820">
        <v>0</v>
      </c>
      <c r="AG3820">
        <v>0</v>
      </c>
      <c r="AH3820">
        <v>0</v>
      </c>
      <c r="AI3820">
        <v>12</v>
      </c>
      <c r="AJ3820">
        <v>12</v>
      </c>
      <c r="AM3820">
        <v>0</v>
      </c>
      <c r="AN3820">
        <v>174.24</v>
      </c>
      <c r="AP3820">
        <v>17</v>
      </c>
    </row>
    <row r="3821" spans="1:42" x14ac:dyDescent="0.25">
      <c r="A3821" t="s">
        <v>45</v>
      </c>
      <c r="B3821">
        <v>4</v>
      </c>
      <c r="C3821" t="s">
        <v>2648</v>
      </c>
      <c r="D3821" s="39">
        <v>46134</v>
      </c>
      <c r="E3821" t="s">
        <v>229</v>
      </c>
      <c r="F3821" t="s">
        <v>79</v>
      </c>
      <c r="G3821">
        <v>16</v>
      </c>
      <c r="H3821" t="s">
        <v>644</v>
      </c>
      <c r="I3821" t="s">
        <v>79</v>
      </c>
      <c r="J3821">
        <v>150</v>
      </c>
      <c r="L3821">
        <v>6</v>
      </c>
      <c r="M3821">
        <v>307.92</v>
      </c>
      <c r="N3821">
        <v>9.6000000000000014</v>
      </c>
      <c r="P3821" t="s">
        <v>34</v>
      </c>
      <c r="Q3821">
        <v>298.32</v>
      </c>
      <c r="R3821" t="s">
        <v>2649</v>
      </c>
      <c r="S3821">
        <v>25</v>
      </c>
      <c r="V3821">
        <v>25</v>
      </c>
      <c r="W3821">
        <v>0.41666666666666674</v>
      </c>
      <c r="AF3821">
        <v>0</v>
      </c>
      <c r="AG3821">
        <v>0</v>
      </c>
      <c r="AH3821">
        <v>0.41666666666666674</v>
      </c>
      <c r="AI3821">
        <v>11.583333333333334</v>
      </c>
      <c r="AJ3821">
        <v>12</v>
      </c>
      <c r="AM3821">
        <v>0</v>
      </c>
      <c r="AN3821">
        <v>312.92</v>
      </c>
      <c r="AP3821">
        <v>17</v>
      </c>
    </row>
    <row r="3822" spans="1:42" x14ac:dyDescent="0.25">
      <c r="A3822" t="s">
        <v>46</v>
      </c>
      <c r="B3822">
        <v>4</v>
      </c>
      <c r="C3822" t="s">
        <v>2650</v>
      </c>
      <c r="D3822" s="39">
        <v>46134</v>
      </c>
      <c r="E3822" t="s">
        <v>2505</v>
      </c>
      <c r="F3822" t="s">
        <v>79</v>
      </c>
      <c r="G3822">
        <v>15</v>
      </c>
      <c r="H3822" t="s">
        <v>123</v>
      </c>
      <c r="I3822" t="s">
        <v>79</v>
      </c>
      <c r="J3822">
        <v>100</v>
      </c>
      <c r="L3822">
        <v>1</v>
      </c>
      <c r="M3822">
        <v>23.6</v>
      </c>
      <c r="N3822">
        <v>1.5</v>
      </c>
      <c r="P3822" t="s">
        <v>34</v>
      </c>
      <c r="Q3822">
        <v>22.1</v>
      </c>
      <c r="R3822" t="s">
        <v>2651</v>
      </c>
      <c r="V3822">
        <v>0</v>
      </c>
      <c r="W3822">
        <v>0</v>
      </c>
      <c r="AF3822">
        <v>0</v>
      </c>
      <c r="AG3822">
        <v>0</v>
      </c>
      <c r="AH3822">
        <v>0</v>
      </c>
      <c r="AI3822">
        <v>12</v>
      </c>
      <c r="AJ3822">
        <v>12</v>
      </c>
      <c r="AM3822">
        <v>0</v>
      </c>
      <c r="AN3822">
        <v>28.6</v>
      </c>
      <c r="AP3822">
        <v>17</v>
      </c>
    </row>
    <row r="3823" spans="1:42" x14ac:dyDescent="0.25">
      <c r="A3823" t="s">
        <v>46</v>
      </c>
      <c r="B3823">
        <v>4</v>
      </c>
      <c r="C3823" t="s">
        <v>2652</v>
      </c>
      <c r="D3823" s="39">
        <v>46134</v>
      </c>
      <c r="E3823" t="s">
        <v>282</v>
      </c>
      <c r="F3823" t="s">
        <v>79</v>
      </c>
      <c r="G3823">
        <v>15</v>
      </c>
      <c r="H3823" t="s">
        <v>2497</v>
      </c>
      <c r="I3823" t="s">
        <v>79</v>
      </c>
      <c r="J3823">
        <v>500</v>
      </c>
      <c r="L3823">
        <v>14</v>
      </c>
      <c r="M3823">
        <v>478.38000000000005</v>
      </c>
      <c r="N3823">
        <v>21</v>
      </c>
      <c r="P3823" t="s">
        <v>34</v>
      </c>
      <c r="Q3823">
        <v>457.38000000000005</v>
      </c>
      <c r="R3823" t="s">
        <v>2653</v>
      </c>
      <c r="V3823">
        <v>0</v>
      </c>
      <c r="W3823">
        <v>0</v>
      </c>
      <c r="AF3823">
        <v>0</v>
      </c>
      <c r="AG3823">
        <v>0</v>
      </c>
      <c r="AH3823">
        <v>0</v>
      </c>
      <c r="AI3823">
        <v>12</v>
      </c>
      <c r="AJ3823">
        <v>12</v>
      </c>
      <c r="AM3823">
        <v>0</v>
      </c>
      <c r="AN3823">
        <v>483.38000000000005</v>
      </c>
      <c r="AP3823">
        <v>17</v>
      </c>
    </row>
    <row r="3824" spans="1:42" x14ac:dyDescent="0.25">
      <c r="A3824" t="s">
        <v>45</v>
      </c>
      <c r="B3824">
        <v>5</v>
      </c>
      <c r="C3824" t="s">
        <v>2644</v>
      </c>
      <c r="D3824" s="39">
        <v>46134</v>
      </c>
      <c r="E3824" t="s">
        <v>200</v>
      </c>
      <c r="F3824" t="s">
        <v>79</v>
      </c>
      <c r="G3824">
        <v>18</v>
      </c>
      <c r="H3824" t="s">
        <v>944</v>
      </c>
      <c r="I3824" t="s">
        <v>79</v>
      </c>
      <c r="J3824">
        <v>500</v>
      </c>
      <c r="L3824">
        <v>7</v>
      </c>
      <c r="M3824">
        <v>413.94</v>
      </c>
      <c r="N3824">
        <v>12.6</v>
      </c>
      <c r="P3824" t="s">
        <v>34</v>
      </c>
      <c r="Q3824">
        <v>401.34</v>
      </c>
      <c r="R3824" t="s">
        <v>2645</v>
      </c>
      <c r="V3824">
        <v>0</v>
      </c>
      <c r="W3824">
        <v>0</v>
      </c>
      <c r="AF3824">
        <v>0</v>
      </c>
      <c r="AG3824">
        <v>0</v>
      </c>
      <c r="AH3824">
        <v>0</v>
      </c>
      <c r="AI3824">
        <v>12</v>
      </c>
      <c r="AJ3824">
        <v>12</v>
      </c>
      <c r="AM3824">
        <v>0</v>
      </c>
      <c r="AN3824">
        <v>418.94</v>
      </c>
      <c r="AP3824">
        <v>17</v>
      </c>
    </row>
    <row r="3825" spans="1:42" x14ac:dyDescent="0.25">
      <c r="A3825" t="s">
        <v>46</v>
      </c>
      <c r="B3825">
        <v>5</v>
      </c>
      <c r="C3825" t="s">
        <v>2644</v>
      </c>
      <c r="D3825" s="39">
        <v>46134</v>
      </c>
      <c r="E3825" t="s">
        <v>200</v>
      </c>
      <c r="F3825" t="s">
        <v>79</v>
      </c>
      <c r="G3825">
        <v>18</v>
      </c>
      <c r="H3825" t="s">
        <v>944</v>
      </c>
      <c r="I3825" t="s">
        <v>79</v>
      </c>
      <c r="J3825">
        <v>500</v>
      </c>
      <c r="L3825">
        <v>4</v>
      </c>
      <c r="M3825">
        <v>208.45999999999998</v>
      </c>
      <c r="N3825">
        <v>7.2</v>
      </c>
      <c r="P3825" t="s">
        <v>34</v>
      </c>
      <c r="Q3825">
        <v>201.26</v>
      </c>
      <c r="R3825" t="s">
        <v>2645</v>
      </c>
      <c r="S3825">
        <v>25</v>
      </c>
      <c r="V3825">
        <v>25</v>
      </c>
      <c r="W3825">
        <v>0.41666666666666674</v>
      </c>
      <c r="AF3825">
        <v>0</v>
      </c>
      <c r="AG3825">
        <v>0</v>
      </c>
      <c r="AH3825">
        <v>0.41666666666666674</v>
      </c>
      <c r="AI3825">
        <v>11.583333333333334</v>
      </c>
      <c r="AJ3825">
        <v>12</v>
      </c>
      <c r="AM3825">
        <v>0</v>
      </c>
      <c r="AN3825">
        <v>213.46</v>
      </c>
      <c r="AP3825">
        <v>17</v>
      </c>
    </row>
    <row r="3826" spans="1:42" x14ac:dyDescent="0.25">
      <c r="A3826" t="s">
        <v>46</v>
      </c>
      <c r="B3826">
        <v>5</v>
      </c>
      <c r="C3826" t="s">
        <v>2654</v>
      </c>
      <c r="D3826" s="39">
        <v>46134</v>
      </c>
      <c r="E3826" t="s">
        <v>486</v>
      </c>
      <c r="F3826" t="s">
        <v>79</v>
      </c>
      <c r="G3826">
        <v>12</v>
      </c>
      <c r="H3826">
        <v>5</v>
      </c>
      <c r="I3826" t="s">
        <v>79</v>
      </c>
      <c r="J3826">
        <v>1500</v>
      </c>
      <c r="L3826">
        <v>4</v>
      </c>
      <c r="M3826">
        <v>183.78</v>
      </c>
      <c r="N3826">
        <v>4.8</v>
      </c>
      <c r="P3826" t="s">
        <v>34</v>
      </c>
      <c r="Q3826">
        <v>178.98</v>
      </c>
      <c r="R3826" t="s">
        <v>2655</v>
      </c>
      <c r="V3826">
        <v>0</v>
      </c>
      <c r="W3826">
        <v>0</v>
      </c>
      <c r="AF3826">
        <v>0</v>
      </c>
      <c r="AG3826">
        <v>0</v>
      </c>
      <c r="AH3826">
        <v>0</v>
      </c>
      <c r="AI3826">
        <v>12</v>
      </c>
      <c r="AJ3826">
        <v>12</v>
      </c>
      <c r="AM3826">
        <v>0</v>
      </c>
      <c r="AN3826">
        <v>188.78</v>
      </c>
      <c r="AP3826">
        <v>17</v>
      </c>
    </row>
    <row r="3827" spans="1:42" x14ac:dyDescent="0.25">
      <c r="A3827" t="s">
        <v>45</v>
      </c>
      <c r="B3827">
        <v>2</v>
      </c>
      <c r="C3827" t="s">
        <v>2646</v>
      </c>
      <c r="D3827" s="39">
        <v>46135</v>
      </c>
      <c r="E3827" t="s">
        <v>238</v>
      </c>
      <c r="F3827" t="s">
        <v>79</v>
      </c>
      <c r="G3827">
        <v>4</v>
      </c>
      <c r="H3827" t="s">
        <v>534</v>
      </c>
      <c r="I3827" t="s">
        <v>79</v>
      </c>
      <c r="J3827" t="s">
        <v>2634</v>
      </c>
      <c r="L3827">
        <v>6</v>
      </c>
      <c r="M3827">
        <v>122.82999999999998</v>
      </c>
      <c r="N3827">
        <v>2.4000000000000004</v>
      </c>
      <c r="P3827" t="s">
        <v>34</v>
      </c>
      <c r="Q3827">
        <v>120.42999999999998</v>
      </c>
      <c r="R3827" t="s">
        <v>2647</v>
      </c>
      <c r="V3827">
        <v>0</v>
      </c>
      <c r="W3827">
        <v>0</v>
      </c>
      <c r="AF3827">
        <v>0</v>
      </c>
      <c r="AG3827">
        <v>0</v>
      </c>
      <c r="AH3827">
        <v>0</v>
      </c>
      <c r="AI3827">
        <v>12</v>
      </c>
      <c r="AJ3827">
        <v>12</v>
      </c>
      <c r="AM3827">
        <v>0</v>
      </c>
      <c r="AN3827">
        <v>127.82999999999998</v>
      </c>
      <c r="AP3827">
        <v>17</v>
      </c>
    </row>
    <row r="3828" spans="1:42" x14ac:dyDescent="0.25">
      <c r="A3828" t="s">
        <v>45</v>
      </c>
      <c r="B3828">
        <v>2</v>
      </c>
      <c r="C3828" t="s">
        <v>2656</v>
      </c>
      <c r="D3828" s="39">
        <v>46135</v>
      </c>
      <c r="E3828" t="s">
        <v>486</v>
      </c>
      <c r="F3828" t="s">
        <v>79</v>
      </c>
      <c r="G3828">
        <v>3</v>
      </c>
      <c r="H3828" t="s">
        <v>92</v>
      </c>
      <c r="I3828" t="s">
        <v>79</v>
      </c>
      <c r="J3828" t="s">
        <v>2634</v>
      </c>
      <c r="L3828">
        <v>1</v>
      </c>
      <c r="M3828">
        <v>22.06</v>
      </c>
      <c r="N3828">
        <v>0.3</v>
      </c>
      <c r="P3828" t="s">
        <v>34</v>
      </c>
      <c r="Q3828">
        <v>21.759999999999998</v>
      </c>
      <c r="R3828" t="s">
        <v>2657</v>
      </c>
      <c r="S3828">
        <v>20</v>
      </c>
      <c r="V3828">
        <v>20</v>
      </c>
      <c r="W3828">
        <v>0.33333333333333331</v>
      </c>
      <c r="AF3828">
        <v>0</v>
      </c>
      <c r="AG3828">
        <v>0</v>
      </c>
      <c r="AH3828">
        <v>0.33333333333333331</v>
      </c>
      <c r="AI3828">
        <v>11.666666666666666</v>
      </c>
      <c r="AJ3828">
        <v>12</v>
      </c>
      <c r="AM3828">
        <v>0</v>
      </c>
      <c r="AN3828">
        <v>27.06</v>
      </c>
      <c r="AP3828">
        <v>17</v>
      </c>
    </row>
    <row r="3829" spans="1:42" x14ac:dyDescent="0.25">
      <c r="A3829" t="s">
        <v>46</v>
      </c>
      <c r="B3829">
        <v>2</v>
      </c>
      <c r="C3829" t="s">
        <v>2656</v>
      </c>
      <c r="D3829" s="39">
        <v>46135</v>
      </c>
      <c r="E3829" t="s">
        <v>486</v>
      </c>
      <c r="F3829" t="s">
        <v>79</v>
      </c>
      <c r="G3829">
        <v>3</v>
      </c>
      <c r="H3829" t="s">
        <v>92</v>
      </c>
      <c r="I3829" t="s">
        <v>79</v>
      </c>
      <c r="J3829" t="s">
        <v>2634</v>
      </c>
      <c r="L3829">
        <v>6</v>
      </c>
      <c r="M3829">
        <v>117.82000000000001</v>
      </c>
      <c r="N3829">
        <v>1.7999999999999998</v>
      </c>
      <c r="P3829" t="s">
        <v>34</v>
      </c>
      <c r="Q3829">
        <v>116.02000000000001</v>
      </c>
      <c r="R3829" t="s">
        <v>2657</v>
      </c>
      <c r="V3829">
        <v>0</v>
      </c>
      <c r="W3829">
        <v>0</v>
      </c>
      <c r="AF3829">
        <v>0</v>
      </c>
      <c r="AG3829">
        <v>0</v>
      </c>
      <c r="AH3829">
        <v>0</v>
      </c>
      <c r="AI3829">
        <v>12</v>
      </c>
      <c r="AJ3829">
        <v>12</v>
      </c>
      <c r="AM3829">
        <v>0</v>
      </c>
      <c r="AN3829">
        <v>122.82</v>
      </c>
      <c r="AP3829">
        <v>17</v>
      </c>
    </row>
    <row r="3830" spans="1:42" x14ac:dyDescent="0.25">
      <c r="A3830" t="s">
        <v>45</v>
      </c>
      <c r="B3830">
        <v>4</v>
      </c>
      <c r="C3830" t="s">
        <v>2652</v>
      </c>
      <c r="D3830" s="39">
        <v>46135</v>
      </c>
      <c r="E3830" t="s">
        <v>282</v>
      </c>
      <c r="F3830" t="s">
        <v>79</v>
      </c>
      <c r="G3830">
        <v>15</v>
      </c>
      <c r="H3830" t="s">
        <v>2497</v>
      </c>
      <c r="I3830" t="s">
        <v>79</v>
      </c>
      <c r="J3830">
        <v>500</v>
      </c>
      <c r="L3830">
        <v>2</v>
      </c>
      <c r="M3830">
        <v>95.38</v>
      </c>
      <c r="N3830">
        <v>3.7</v>
      </c>
      <c r="P3830" t="s">
        <v>34</v>
      </c>
      <c r="Q3830">
        <v>91.679999999999993</v>
      </c>
      <c r="R3830" t="s">
        <v>2653</v>
      </c>
      <c r="V3830">
        <v>0</v>
      </c>
      <c r="W3830">
        <v>0</v>
      </c>
      <c r="AF3830">
        <v>0</v>
      </c>
      <c r="AG3830">
        <v>0</v>
      </c>
      <c r="AH3830">
        <v>0</v>
      </c>
      <c r="AI3830">
        <v>12</v>
      </c>
      <c r="AJ3830">
        <v>12</v>
      </c>
      <c r="AM3830">
        <v>0</v>
      </c>
      <c r="AN3830">
        <v>100.38</v>
      </c>
      <c r="AP3830">
        <v>17</v>
      </c>
    </row>
    <row r="3831" spans="1:42" x14ac:dyDescent="0.25">
      <c r="A3831" t="s">
        <v>45</v>
      </c>
      <c r="B3831">
        <v>4</v>
      </c>
      <c r="C3831" t="s">
        <v>2658</v>
      </c>
      <c r="D3831" s="39">
        <v>46135</v>
      </c>
      <c r="E3831" t="s">
        <v>828</v>
      </c>
      <c r="F3831" t="s">
        <v>79</v>
      </c>
      <c r="G3831">
        <v>15</v>
      </c>
      <c r="H3831" t="s">
        <v>102</v>
      </c>
      <c r="I3831" t="s">
        <v>79</v>
      </c>
      <c r="J3831">
        <v>200</v>
      </c>
      <c r="L3831">
        <v>8</v>
      </c>
      <c r="M3831">
        <v>422.52</v>
      </c>
      <c r="N3831">
        <v>14.4</v>
      </c>
      <c r="O3831">
        <v>8</v>
      </c>
      <c r="P3831" t="s">
        <v>34</v>
      </c>
      <c r="Q3831">
        <v>408.12</v>
      </c>
      <c r="R3831" t="s">
        <v>2659</v>
      </c>
      <c r="S3831">
        <v>20</v>
      </c>
      <c r="V3831">
        <v>20</v>
      </c>
      <c r="W3831">
        <v>0.33333333333333331</v>
      </c>
      <c r="AF3831">
        <v>0</v>
      </c>
      <c r="AG3831">
        <v>0</v>
      </c>
      <c r="AH3831">
        <v>0.33333333333333331</v>
      </c>
      <c r="AI3831">
        <v>11.666666666666666</v>
      </c>
      <c r="AJ3831">
        <v>12</v>
      </c>
      <c r="AM3831">
        <v>0</v>
      </c>
      <c r="AN3831">
        <v>427.52</v>
      </c>
      <c r="AP3831">
        <v>17</v>
      </c>
    </row>
    <row r="3832" spans="1:42" x14ac:dyDescent="0.25">
      <c r="A3832" t="s">
        <v>46</v>
      </c>
      <c r="B3832">
        <v>4</v>
      </c>
      <c r="C3832" t="s">
        <v>2660</v>
      </c>
      <c r="D3832" s="39">
        <v>46135</v>
      </c>
      <c r="E3832" t="s">
        <v>270</v>
      </c>
      <c r="F3832" t="s">
        <v>79</v>
      </c>
      <c r="G3832">
        <v>14</v>
      </c>
      <c r="H3832" t="s">
        <v>98</v>
      </c>
      <c r="I3832" t="s">
        <v>79</v>
      </c>
      <c r="J3832">
        <v>100</v>
      </c>
      <c r="L3832">
        <v>2</v>
      </c>
      <c r="M3832">
        <v>112.62</v>
      </c>
      <c r="N3832">
        <v>2.8</v>
      </c>
      <c r="O3832">
        <v>19</v>
      </c>
      <c r="P3832" t="s">
        <v>34</v>
      </c>
      <c r="Q3832">
        <v>109.82000000000001</v>
      </c>
      <c r="R3832" t="s">
        <v>2661</v>
      </c>
      <c r="V3832">
        <v>0</v>
      </c>
      <c r="W3832">
        <v>0</v>
      </c>
      <c r="AF3832">
        <v>0</v>
      </c>
      <c r="AG3832">
        <v>0</v>
      </c>
      <c r="AH3832">
        <v>0</v>
      </c>
      <c r="AI3832">
        <v>12</v>
      </c>
      <c r="AJ3832">
        <v>12</v>
      </c>
      <c r="AM3832">
        <v>0</v>
      </c>
      <c r="AN3832">
        <v>117.62</v>
      </c>
      <c r="AP3832">
        <v>17</v>
      </c>
    </row>
    <row r="3833" spans="1:42" x14ac:dyDescent="0.25">
      <c r="A3833" t="s">
        <v>46</v>
      </c>
      <c r="B3833">
        <v>4</v>
      </c>
      <c r="C3833" t="s">
        <v>2662</v>
      </c>
      <c r="D3833" s="39">
        <v>46135</v>
      </c>
      <c r="E3833" t="s">
        <v>203</v>
      </c>
      <c r="F3833" t="s">
        <v>79</v>
      </c>
      <c r="G3833">
        <v>14</v>
      </c>
      <c r="H3833" t="s">
        <v>1049</v>
      </c>
      <c r="I3833" t="s">
        <v>79</v>
      </c>
      <c r="J3833">
        <v>150</v>
      </c>
      <c r="L3833">
        <v>4</v>
      </c>
      <c r="M3833">
        <v>163.14000000000001</v>
      </c>
      <c r="N3833">
        <v>5.0999999999999996</v>
      </c>
      <c r="P3833" t="s">
        <v>34</v>
      </c>
      <c r="Q3833">
        <v>158.04000000000002</v>
      </c>
      <c r="R3833" t="s">
        <v>2663</v>
      </c>
      <c r="S3833">
        <v>30</v>
      </c>
      <c r="V3833">
        <v>30</v>
      </c>
      <c r="W3833">
        <v>0.5</v>
      </c>
      <c r="AF3833">
        <v>0</v>
      </c>
      <c r="AG3833">
        <v>0</v>
      </c>
      <c r="AH3833">
        <v>0.5</v>
      </c>
      <c r="AI3833">
        <v>11.5</v>
      </c>
      <c r="AJ3833">
        <v>12</v>
      </c>
      <c r="AM3833">
        <v>0</v>
      </c>
      <c r="AN3833">
        <v>168.14</v>
      </c>
      <c r="AP3833">
        <v>17</v>
      </c>
    </row>
    <row r="3834" spans="1:42" x14ac:dyDescent="0.25">
      <c r="A3834" t="s">
        <v>46</v>
      </c>
      <c r="B3834">
        <v>4</v>
      </c>
      <c r="C3834" t="s">
        <v>2664</v>
      </c>
      <c r="D3834" s="39">
        <v>46135</v>
      </c>
      <c r="E3834" t="s">
        <v>493</v>
      </c>
      <c r="F3834" t="s">
        <v>79</v>
      </c>
      <c r="G3834" t="s">
        <v>141</v>
      </c>
      <c r="H3834" t="s">
        <v>122</v>
      </c>
      <c r="I3834" t="s">
        <v>79</v>
      </c>
      <c r="J3834">
        <v>100</v>
      </c>
      <c r="L3834">
        <v>3</v>
      </c>
      <c r="M3834">
        <v>102.34</v>
      </c>
      <c r="N3834">
        <v>5.4</v>
      </c>
      <c r="P3834" t="s">
        <v>34</v>
      </c>
      <c r="Q3834">
        <v>96.94</v>
      </c>
      <c r="R3834" t="s">
        <v>2665</v>
      </c>
      <c r="V3834">
        <v>0</v>
      </c>
      <c r="W3834">
        <v>0</v>
      </c>
      <c r="AF3834">
        <v>0</v>
      </c>
      <c r="AG3834">
        <v>0</v>
      </c>
      <c r="AH3834">
        <v>0</v>
      </c>
      <c r="AI3834">
        <v>12</v>
      </c>
      <c r="AJ3834">
        <v>12</v>
      </c>
      <c r="AM3834">
        <v>0</v>
      </c>
      <c r="AN3834">
        <v>107.34</v>
      </c>
      <c r="AP3834">
        <v>17</v>
      </c>
    </row>
    <row r="3835" spans="1:42" x14ac:dyDescent="0.25">
      <c r="A3835" t="s">
        <v>46</v>
      </c>
      <c r="B3835">
        <v>4</v>
      </c>
      <c r="C3835" t="s">
        <v>2666</v>
      </c>
      <c r="D3835" s="39">
        <v>46135</v>
      </c>
      <c r="E3835" t="s">
        <v>2505</v>
      </c>
      <c r="F3835" t="s">
        <v>79</v>
      </c>
      <c r="G3835">
        <v>18</v>
      </c>
      <c r="H3835" t="s">
        <v>123</v>
      </c>
      <c r="I3835" t="s">
        <v>79</v>
      </c>
      <c r="J3835">
        <v>100</v>
      </c>
      <c r="L3835">
        <v>1</v>
      </c>
      <c r="M3835">
        <v>58.84</v>
      </c>
      <c r="N3835">
        <v>1.8</v>
      </c>
      <c r="P3835" t="s">
        <v>34</v>
      </c>
      <c r="Q3835">
        <v>57.040000000000006</v>
      </c>
      <c r="R3835" t="s">
        <v>2667</v>
      </c>
      <c r="V3835">
        <v>0</v>
      </c>
      <c r="W3835">
        <v>0</v>
      </c>
      <c r="AF3835">
        <v>0</v>
      </c>
      <c r="AG3835">
        <v>0</v>
      </c>
      <c r="AH3835">
        <v>0</v>
      </c>
      <c r="AI3835">
        <v>12</v>
      </c>
      <c r="AJ3835">
        <v>12</v>
      </c>
      <c r="AM3835">
        <v>0</v>
      </c>
      <c r="AN3835">
        <v>63.84</v>
      </c>
      <c r="AP3835">
        <v>17</v>
      </c>
    </row>
    <row r="3836" spans="1:42" x14ac:dyDescent="0.25">
      <c r="A3836" t="s">
        <v>45</v>
      </c>
      <c r="B3836">
        <v>5</v>
      </c>
      <c r="C3836" t="s">
        <v>2654</v>
      </c>
      <c r="D3836" s="39">
        <v>46135</v>
      </c>
      <c r="E3836" t="s">
        <v>486</v>
      </c>
      <c r="F3836" t="s">
        <v>79</v>
      </c>
      <c r="G3836">
        <v>12</v>
      </c>
      <c r="H3836">
        <v>5</v>
      </c>
      <c r="I3836" t="s">
        <v>79</v>
      </c>
      <c r="J3836">
        <v>1500</v>
      </c>
      <c r="L3836">
        <v>8</v>
      </c>
      <c r="M3836">
        <v>448.29999999999995</v>
      </c>
      <c r="N3836">
        <v>9.6</v>
      </c>
      <c r="P3836" t="s">
        <v>34</v>
      </c>
      <c r="Q3836">
        <v>438.69999999999993</v>
      </c>
      <c r="R3836" t="s">
        <v>2655</v>
      </c>
      <c r="V3836">
        <v>0</v>
      </c>
      <c r="W3836">
        <v>0</v>
      </c>
      <c r="AF3836">
        <v>0</v>
      </c>
      <c r="AG3836">
        <v>0</v>
      </c>
      <c r="AH3836">
        <v>0</v>
      </c>
      <c r="AI3836">
        <v>12</v>
      </c>
      <c r="AJ3836">
        <v>12</v>
      </c>
      <c r="AM3836">
        <v>0</v>
      </c>
      <c r="AN3836">
        <v>453.2999999999999</v>
      </c>
      <c r="AP3836">
        <v>17</v>
      </c>
    </row>
    <row r="3837" spans="1:42" x14ac:dyDescent="0.25">
      <c r="A3837" t="s">
        <v>46</v>
      </c>
      <c r="B3837">
        <v>5</v>
      </c>
      <c r="C3837" t="s">
        <v>2654</v>
      </c>
      <c r="D3837" s="39">
        <v>46135</v>
      </c>
      <c r="E3837" t="s">
        <v>486</v>
      </c>
      <c r="F3837" t="s">
        <v>79</v>
      </c>
      <c r="G3837">
        <v>12</v>
      </c>
      <c r="H3837">
        <v>5</v>
      </c>
      <c r="I3837" t="s">
        <v>79</v>
      </c>
      <c r="J3837">
        <v>1500</v>
      </c>
      <c r="L3837">
        <v>8</v>
      </c>
      <c r="M3837">
        <v>395.96000000000004</v>
      </c>
      <c r="N3837">
        <v>9.6</v>
      </c>
      <c r="P3837" t="s">
        <v>34</v>
      </c>
      <c r="Q3837">
        <v>386.36</v>
      </c>
      <c r="R3837" t="s">
        <v>2655</v>
      </c>
      <c r="V3837">
        <v>0</v>
      </c>
      <c r="W3837">
        <v>0</v>
      </c>
      <c r="AF3837">
        <v>0</v>
      </c>
      <c r="AG3837">
        <v>0</v>
      </c>
      <c r="AH3837">
        <v>0</v>
      </c>
      <c r="AI3837">
        <v>12</v>
      </c>
      <c r="AJ3837">
        <v>12</v>
      </c>
      <c r="AM3837">
        <v>0</v>
      </c>
      <c r="AN3837">
        <v>400.96</v>
      </c>
      <c r="AP3837">
        <v>17</v>
      </c>
    </row>
    <row r="3838" spans="1:42" x14ac:dyDescent="0.25">
      <c r="A3838" t="s">
        <v>45</v>
      </c>
      <c r="B3838">
        <v>2</v>
      </c>
      <c r="C3838" t="s">
        <v>2656</v>
      </c>
      <c r="D3838" s="39">
        <v>46136</v>
      </c>
      <c r="E3838" t="s">
        <v>486</v>
      </c>
      <c r="F3838" t="s">
        <v>79</v>
      </c>
      <c r="G3838">
        <v>3</v>
      </c>
      <c r="H3838" t="s">
        <v>92</v>
      </c>
      <c r="I3838" t="s">
        <v>79</v>
      </c>
      <c r="J3838" t="s">
        <v>2634</v>
      </c>
      <c r="L3838">
        <v>6</v>
      </c>
      <c r="M3838">
        <v>109.17</v>
      </c>
      <c r="N3838">
        <v>1.7999999999999998</v>
      </c>
      <c r="P3838" t="s">
        <v>34</v>
      </c>
      <c r="Q3838">
        <v>107.37</v>
      </c>
      <c r="R3838" t="s">
        <v>2657</v>
      </c>
      <c r="V3838">
        <v>0</v>
      </c>
      <c r="W3838">
        <v>0</v>
      </c>
      <c r="AF3838">
        <v>0</v>
      </c>
      <c r="AG3838">
        <v>0</v>
      </c>
      <c r="AH3838">
        <v>0</v>
      </c>
      <c r="AI3838">
        <v>12</v>
      </c>
      <c r="AJ3838">
        <v>12</v>
      </c>
      <c r="AM3838">
        <v>0</v>
      </c>
      <c r="AN3838">
        <v>114.17</v>
      </c>
      <c r="AP3838">
        <v>17</v>
      </c>
    </row>
    <row r="3839" spans="1:42" x14ac:dyDescent="0.25">
      <c r="A3839" t="s">
        <v>45</v>
      </c>
      <c r="B3839">
        <v>2</v>
      </c>
      <c r="C3839" t="s">
        <v>2668</v>
      </c>
      <c r="D3839" s="39">
        <v>46136</v>
      </c>
      <c r="E3839" t="s">
        <v>486</v>
      </c>
      <c r="F3839" t="s">
        <v>79</v>
      </c>
      <c r="G3839">
        <v>5</v>
      </c>
      <c r="H3839" t="s">
        <v>92</v>
      </c>
      <c r="I3839" t="s">
        <v>79</v>
      </c>
      <c r="J3839">
        <v>1000</v>
      </c>
      <c r="L3839">
        <v>2</v>
      </c>
      <c r="M3839">
        <v>25.049999999999997</v>
      </c>
      <c r="N3839">
        <v>1</v>
      </c>
      <c r="O3839">
        <v>5</v>
      </c>
      <c r="P3839" t="s">
        <v>34</v>
      </c>
      <c r="Q3839">
        <v>24.049999999999997</v>
      </c>
      <c r="R3839" t="s">
        <v>2669</v>
      </c>
      <c r="S3839">
        <v>30</v>
      </c>
      <c r="V3839">
        <v>30</v>
      </c>
      <c r="W3839">
        <v>0.5</v>
      </c>
      <c r="AF3839">
        <v>0</v>
      </c>
      <c r="AG3839">
        <v>0</v>
      </c>
      <c r="AH3839">
        <v>0.5</v>
      </c>
      <c r="AI3839">
        <v>11.5</v>
      </c>
      <c r="AJ3839">
        <v>12</v>
      </c>
      <c r="AM3839">
        <v>0</v>
      </c>
      <c r="AN3839">
        <v>30.049999999999997</v>
      </c>
      <c r="AP3839">
        <v>17</v>
      </c>
    </row>
    <row r="3840" spans="1:42" x14ac:dyDescent="0.25">
      <c r="A3840" t="s">
        <v>46</v>
      </c>
      <c r="B3840">
        <v>2</v>
      </c>
      <c r="C3840" t="s">
        <v>2668</v>
      </c>
      <c r="D3840" s="39">
        <v>46136</v>
      </c>
      <c r="E3840" t="s">
        <v>486</v>
      </c>
      <c r="F3840" t="s">
        <v>79</v>
      </c>
      <c r="G3840">
        <v>5</v>
      </c>
      <c r="H3840" t="s">
        <v>92</v>
      </c>
      <c r="I3840" t="s">
        <v>79</v>
      </c>
      <c r="J3840">
        <v>1000</v>
      </c>
      <c r="L3840">
        <v>7</v>
      </c>
      <c r="M3840">
        <v>137.84</v>
      </c>
      <c r="N3840">
        <v>3.5</v>
      </c>
      <c r="O3840">
        <v>3</v>
      </c>
      <c r="P3840" t="s">
        <v>34</v>
      </c>
      <c r="Q3840">
        <v>134.34</v>
      </c>
      <c r="R3840" t="s">
        <v>2669</v>
      </c>
      <c r="V3840">
        <v>0</v>
      </c>
      <c r="W3840">
        <v>0</v>
      </c>
      <c r="AF3840">
        <v>0</v>
      </c>
      <c r="AG3840">
        <v>0</v>
      </c>
      <c r="AH3840">
        <v>0</v>
      </c>
      <c r="AI3840">
        <v>12</v>
      </c>
      <c r="AJ3840">
        <v>12</v>
      </c>
      <c r="AM3840">
        <v>0</v>
      </c>
      <c r="AN3840">
        <v>142.84</v>
      </c>
      <c r="AP3840">
        <v>17</v>
      </c>
    </row>
    <row r="3841" spans="1:42" x14ac:dyDescent="0.25">
      <c r="A3841" t="s">
        <v>45</v>
      </c>
      <c r="B3841">
        <v>4</v>
      </c>
      <c r="C3841" t="s">
        <v>2666</v>
      </c>
      <c r="D3841" s="39">
        <v>46136</v>
      </c>
      <c r="E3841" t="s">
        <v>2505</v>
      </c>
      <c r="F3841" t="s">
        <v>79</v>
      </c>
      <c r="G3841">
        <v>18</v>
      </c>
      <c r="H3841" t="s">
        <v>123</v>
      </c>
      <c r="I3841" t="s">
        <v>79</v>
      </c>
      <c r="J3841">
        <v>100</v>
      </c>
      <c r="L3841">
        <v>1</v>
      </c>
      <c r="M3841">
        <v>50.2</v>
      </c>
      <c r="N3841">
        <v>2.1</v>
      </c>
      <c r="P3841" t="s">
        <v>34</v>
      </c>
      <c r="Q3841">
        <v>48.1</v>
      </c>
      <c r="R3841" t="s">
        <v>2667</v>
      </c>
      <c r="V3841">
        <v>0</v>
      </c>
      <c r="W3841">
        <v>0</v>
      </c>
      <c r="AC3841">
        <v>540</v>
      </c>
      <c r="AF3841">
        <v>540</v>
      </c>
      <c r="AG3841">
        <v>9</v>
      </c>
      <c r="AH3841">
        <v>9</v>
      </c>
      <c r="AI3841">
        <v>3</v>
      </c>
      <c r="AJ3841">
        <v>12</v>
      </c>
      <c r="AM3841">
        <v>0</v>
      </c>
      <c r="AN3841">
        <v>55.2</v>
      </c>
      <c r="AP3841">
        <v>17</v>
      </c>
    </row>
    <row r="3842" spans="1:42" x14ac:dyDescent="0.25">
      <c r="A3842" t="s">
        <v>45</v>
      </c>
      <c r="B3842">
        <v>5</v>
      </c>
      <c r="C3842" t="s">
        <v>2654</v>
      </c>
      <c r="D3842" s="39">
        <v>46136</v>
      </c>
      <c r="E3842" t="s">
        <v>486</v>
      </c>
      <c r="F3842" t="s">
        <v>79</v>
      </c>
      <c r="G3842">
        <v>12</v>
      </c>
      <c r="H3842">
        <v>5</v>
      </c>
      <c r="I3842" t="s">
        <v>79</v>
      </c>
      <c r="J3842">
        <v>1500</v>
      </c>
      <c r="L3842">
        <v>8</v>
      </c>
      <c r="M3842">
        <v>484.68</v>
      </c>
      <c r="N3842">
        <v>10.299999999999999</v>
      </c>
      <c r="O3842">
        <v>1</v>
      </c>
      <c r="P3842" t="s">
        <v>34</v>
      </c>
      <c r="Q3842">
        <v>474.38</v>
      </c>
      <c r="R3842" t="s">
        <v>2655</v>
      </c>
      <c r="V3842">
        <v>0</v>
      </c>
      <c r="W3842">
        <v>0</v>
      </c>
      <c r="AF3842">
        <v>0</v>
      </c>
      <c r="AG3842">
        <v>0</v>
      </c>
      <c r="AH3842">
        <v>0</v>
      </c>
      <c r="AI3842">
        <v>12</v>
      </c>
      <c r="AJ3842">
        <v>12</v>
      </c>
      <c r="AM3842">
        <v>0</v>
      </c>
      <c r="AN3842">
        <v>489.68</v>
      </c>
      <c r="AP3842">
        <v>17</v>
      </c>
    </row>
    <row r="3843" spans="1:42" x14ac:dyDescent="0.25">
      <c r="A3843" t="s">
        <v>46</v>
      </c>
      <c r="B3843">
        <v>5</v>
      </c>
      <c r="C3843" t="s">
        <v>2654</v>
      </c>
      <c r="D3843" s="39">
        <v>46136</v>
      </c>
      <c r="E3843" t="s">
        <v>486</v>
      </c>
      <c r="F3843" t="s">
        <v>79</v>
      </c>
      <c r="G3843">
        <v>12</v>
      </c>
      <c r="H3843">
        <v>5</v>
      </c>
      <c r="I3843" t="s">
        <v>79</v>
      </c>
      <c r="J3843">
        <v>1500</v>
      </c>
      <c r="L3843">
        <v>3</v>
      </c>
      <c r="M3843">
        <v>154.28</v>
      </c>
      <c r="N3843">
        <v>3.5999999999999996</v>
      </c>
      <c r="O3843">
        <v>1</v>
      </c>
      <c r="P3843" t="s">
        <v>34</v>
      </c>
      <c r="Q3843">
        <v>150.68</v>
      </c>
      <c r="R3843" t="s">
        <v>2655</v>
      </c>
      <c r="V3843">
        <v>0</v>
      </c>
      <c r="W3843">
        <v>0</v>
      </c>
      <c r="AF3843">
        <v>0</v>
      </c>
      <c r="AG3843">
        <v>0</v>
      </c>
      <c r="AH3843">
        <v>0</v>
      </c>
      <c r="AI3843">
        <v>12</v>
      </c>
      <c r="AJ3843">
        <v>12</v>
      </c>
      <c r="AM3843">
        <v>0</v>
      </c>
      <c r="AN3843">
        <v>159.28</v>
      </c>
      <c r="AP3843">
        <v>17</v>
      </c>
    </row>
    <row r="3844" spans="1:42" x14ac:dyDescent="0.25">
      <c r="A3844" t="s">
        <v>46</v>
      </c>
      <c r="B3844">
        <v>5</v>
      </c>
      <c r="C3844" t="s">
        <v>2670</v>
      </c>
      <c r="D3844" s="39">
        <v>46136</v>
      </c>
      <c r="E3844" t="s">
        <v>203</v>
      </c>
      <c r="F3844" t="s">
        <v>79</v>
      </c>
      <c r="G3844">
        <v>12</v>
      </c>
      <c r="H3844" t="s">
        <v>1049</v>
      </c>
      <c r="I3844" t="s">
        <v>79</v>
      </c>
      <c r="J3844">
        <v>300</v>
      </c>
      <c r="L3844">
        <v>5</v>
      </c>
      <c r="M3844">
        <v>249.04</v>
      </c>
      <c r="N3844">
        <v>6</v>
      </c>
      <c r="P3844" t="s">
        <v>34</v>
      </c>
      <c r="Q3844">
        <v>243.04</v>
      </c>
      <c r="R3844" t="s">
        <v>2671</v>
      </c>
      <c r="V3844">
        <v>0</v>
      </c>
      <c r="W3844">
        <v>0</v>
      </c>
      <c r="AF3844">
        <v>0</v>
      </c>
      <c r="AG3844">
        <v>0</v>
      </c>
      <c r="AH3844">
        <v>0</v>
      </c>
      <c r="AI3844">
        <v>12</v>
      </c>
      <c r="AJ3844">
        <v>12</v>
      </c>
      <c r="AM3844">
        <v>0</v>
      </c>
      <c r="AN3844">
        <v>254.04</v>
      </c>
      <c r="AP3844">
        <v>17</v>
      </c>
    </row>
    <row r="3845" spans="1:42" x14ac:dyDescent="0.25">
      <c r="A3845" t="s">
        <v>45</v>
      </c>
      <c r="B3845">
        <v>2</v>
      </c>
      <c r="C3845" t="s">
        <v>2668</v>
      </c>
      <c r="D3845" s="39">
        <v>46137</v>
      </c>
      <c r="E3845" t="s">
        <v>486</v>
      </c>
      <c r="F3845" t="s">
        <v>79</v>
      </c>
      <c r="G3845">
        <v>5</v>
      </c>
      <c r="H3845" t="s">
        <v>92</v>
      </c>
      <c r="I3845" t="s">
        <v>79</v>
      </c>
      <c r="J3845">
        <v>1000</v>
      </c>
      <c r="L3845">
        <v>9</v>
      </c>
      <c r="M3845">
        <v>177.89000000000001</v>
      </c>
      <c r="N3845">
        <v>4.5</v>
      </c>
      <c r="P3845" t="s">
        <v>34</v>
      </c>
      <c r="Q3845">
        <v>173.39000000000001</v>
      </c>
      <c r="R3845" t="s">
        <v>2669</v>
      </c>
      <c r="V3845">
        <v>0</v>
      </c>
      <c r="W3845">
        <v>0</v>
      </c>
      <c r="AF3845">
        <v>0</v>
      </c>
      <c r="AG3845">
        <v>0</v>
      </c>
      <c r="AH3845">
        <v>0</v>
      </c>
      <c r="AI3845">
        <v>12</v>
      </c>
      <c r="AJ3845">
        <v>12</v>
      </c>
      <c r="AM3845">
        <v>0</v>
      </c>
      <c r="AN3845">
        <v>182.89</v>
      </c>
      <c r="AP3845">
        <v>17</v>
      </c>
    </row>
    <row r="3846" spans="1:42" x14ac:dyDescent="0.25">
      <c r="A3846" t="s">
        <v>46</v>
      </c>
      <c r="B3846">
        <v>2</v>
      </c>
      <c r="C3846" t="s">
        <v>2668</v>
      </c>
      <c r="D3846" s="39">
        <v>46137</v>
      </c>
      <c r="E3846" t="s">
        <v>486</v>
      </c>
      <c r="F3846" t="s">
        <v>79</v>
      </c>
      <c r="G3846">
        <v>5</v>
      </c>
      <c r="H3846" t="s">
        <v>92</v>
      </c>
      <c r="I3846" t="s">
        <v>79</v>
      </c>
      <c r="J3846">
        <v>1000</v>
      </c>
      <c r="L3846">
        <v>8</v>
      </c>
      <c r="M3846">
        <v>158.19</v>
      </c>
      <c r="N3846">
        <v>7.2</v>
      </c>
      <c r="P3846" t="s">
        <v>34</v>
      </c>
      <c r="Q3846">
        <v>150.99</v>
      </c>
      <c r="R3846" t="s">
        <v>2669</v>
      </c>
      <c r="V3846">
        <v>0</v>
      </c>
      <c r="W3846">
        <v>0</v>
      </c>
      <c r="AF3846">
        <v>0</v>
      </c>
      <c r="AG3846">
        <v>0</v>
      </c>
      <c r="AH3846">
        <v>0</v>
      </c>
      <c r="AI3846">
        <v>12</v>
      </c>
      <c r="AJ3846">
        <v>12</v>
      </c>
      <c r="AM3846">
        <v>0</v>
      </c>
      <c r="AN3846">
        <v>163.19</v>
      </c>
      <c r="AP3846">
        <v>17</v>
      </c>
    </row>
    <row r="3847" spans="1:42" x14ac:dyDescent="0.25">
      <c r="A3847" t="s">
        <v>45</v>
      </c>
      <c r="B3847">
        <v>5</v>
      </c>
      <c r="C3847" t="s">
        <v>2670</v>
      </c>
      <c r="D3847" s="39">
        <v>46137</v>
      </c>
      <c r="E3847" t="s">
        <v>203</v>
      </c>
      <c r="F3847" t="s">
        <v>79</v>
      </c>
      <c r="G3847">
        <v>12</v>
      </c>
      <c r="H3847" t="s">
        <v>1049</v>
      </c>
      <c r="I3847" t="s">
        <v>79</v>
      </c>
      <c r="J3847">
        <v>300</v>
      </c>
      <c r="L3847">
        <v>8</v>
      </c>
      <c r="M3847">
        <v>411.4</v>
      </c>
      <c r="N3847">
        <v>9.6</v>
      </c>
      <c r="O3847">
        <v>1.5</v>
      </c>
      <c r="P3847" t="s">
        <v>34</v>
      </c>
      <c r="Q3847">
        <v>401.79999999999995</v>
      </c>
      <c r="R3847" t="s">
        <v>2671</v>
      </c>
      <c r="S3847">
        <v>20</v>
      </c>
      <c r="V3847">
        <v>20</v>
      </c>
      <c r="W3847">
        <v>0.33333333333333331</v>
      </c>
      <c r="AF3847">
        <v>0</v>
      </c>
      <c r="AG3847">
        <v>0</v>
      </c>
      <c r="AH3847">
        <v>0.33333333333333331</v>
      </c>
      <c r="AI3847">
        <v>11.666666666666666</v>
      </c>
      <c r="AJ3847">
        <v>12</v>
      </c>
      <c r="AM3847">
        <v>0</v>
      </c>
      <c r="AN3847">
        <v>416.4</v>
      </c>
      <c r="AP3847">
        <v>17</v>
      </c>
    </row>
    <row r="3848" spans="1:42" x14ac:dyDescent="0.25">
      <c r="A3848" t="s">
        <v>46</v>
      </c>
      <c r="B3848">
        <v>5</v>
      </c>
      <c r="C3848" t="s">
        <v>2672</v>
      </c>
      <c r="D3848" s="39">
        <v>46137</v>
      </c>
      <c r="E3848" t="s">
        <v>2611</v>
      </c>
      <c r="F3848" t="s">
        <v>79</v>
      </c>
      <c r="G3848">
        <v>9</v>
      </c>
      <c r="H3848" t="s">
        <v>1049</v>
      </c>
      <c r="I3848" t="s">
        <v>79</v>
      </c>
      <c r="J3848">
        <v>100</v>
      </c>
      <c r="L3848">
        <v>9</v>
      </c>
      <c r="M3848">
        <v>386.92</v>
      </c>
      <c r="N3848">
        <v>10.799999999999999</v>
      </c>
      <c r="O3848">
        <v>1.5</v>
      </c>
      <c r="P3848" t="s">
        <v>34</v>
      </c>
      <c r="Q3848">
        <v>376.12</v>
      </c>
      <c r="R3848" t="s">
        <v>2673</v>
      </c>
      <c r="V3848">
        <v>0</v>
      </c>
      <c r="W3848">
        <v>0</v>
      </c>
      <c r="AF3848">
        <v>0</v>
      </c>
      <c r="AG3848">
        <v>0</v>
      </c>
      <c r="AH3848">
        <v>0</v>
      </c>
      <c r="AI3848">
        <v>12</v>
      </c>
      <c r="AJ3848">
        <v>12</v>
      </c>
      <c r="AM3848">
        <v>0</v>
      </c>
      <c r="AN3848">
        <v>391.92</v>
      </c>
      <c r="AP3848">
        <v>17</v>
      </c>
    </row>
    <row r="3849" spans="1:42" x14ac:dyDescent="0.25">
      <c r="A3849" t="s">
        <v>45</v>
      </c>
      <c r="B3849">
        <v>4</v>
      </c>
      <c r="C3849" t="s">
        <v>2674</v>
      </c>
      <c r="D3849" s="39">
        <v>46137</v>
      </c>
      <c r="E3849" t="s">
        <v>200</v>
      </c>
      <c r="F3849" t="s">
        <v>79</v>
      </c>
      <c r="G3849">
        <v>22</v>
      </c>
      <c r="H3849" t="s">
        <v>944</v>
      </c>
      <c r="I3849" t="s">
        <v>79</v>
      </c>
      <c r="J3849">
        <v>250</v>
      </c>
      <c r="L3849">
        <v>4</v>
      </c>
      <c r="M3849">
        <v>249.57</v>
      </c>
      <c r="N3849">
        <v>8.65</v>
      </c>
      <c r="P3849" t="s">
        <v>34</v>
      </c>
      <c r="Q3849">
        <v>240.92</v>
      </c>
      <c r="R3849" t="s">
        <v>2675</v>
      </c>
      <c r="V3849">
        <v>0</v>
      </c>
      <c r="W3849">
        <v>0</v>
      </c>
      <c r="AF3849">
        <v>0</v>
      </c>
      <c r="AG3849">
        <v>0</v>
      </c>
      <c r="AH3849">
        <v>0</v>
      </c>
      <c r="AI3849">
        <v>12</v>
      </c>
      <c r="AJ3849">
        <v>12</v>
      </c>
      <c r="AM3849">
        <v>0</v>
      </c>
      <c r="AN3849">
        <v>254.57</v>
      </c>
      <c r="AP3849">
        <v>17</v>
      </c>
    </row>
    <row r="3850" spans="1:42" x14ac:dyDescent="0.25">
      <c r="A3850" t="s">
        <v>45</v>
      </c>
      <c r="B3850">
        <v>4</v>
      </c>
      <c r="C3850" t="s">
        <v>2676</v>
      </c>
      <c r="D3850" s="39">
        <v>46137</v>
      </c>
      <c r="E3850" t="s">
        <v>438</v>
      </c>
      <c r="F3850" t="s">
        <v>79</v>
      </c>
      <c r="G3850">
        <v>22</v>
      </c>
      <c r="H3850" t="s">
        <v>98</v>
      </c>
      <c r="I3850" t="s">
        <v>79</v>
      </c>
      <c r="J3850">
        <v>100</v>
      </c>
      <c r="L3850">
        <v>2</v>
      </c>
      <c r="M3850">
        <v>109</v>
      </c>
      <c r="N3850">
        <v>5.6999999999999993</v>
      </c>
      <c r="O3850">
        <v>14</v>
      </c>
      <c r="P3850" t="s">
        <v>34</v>
      </c>
      <c r="Q3850">
        <v>103.3</v>
      </c>
      <c r="R3850" t="s">
        <v>2677</v>
      </c>
      <c r="S3850">
        <v>30</v>
      </c>
      <c r="T3850">
        <v>180</v>
      </c>
      <c r="V3850">
        <v>210</v>
      </c>
      <c r="W3850">
        <v>3.5</v>
      </c>
      <c r="AF3850">
        <v>0</v>
      </c>
      <c r="AG3850">
        <v>0</v>
      </c>
      <c r="AH3850">
        <v>3.5</v>
      </c>
      <c r="AI3850">
        <v>8.5</v>
      </c>
      <c r="AJ3850">
        <v>12</v>
      </c>
      <c r="AM3850">
        <v>0</v>
      </c>
      <c r="AN3850">
        <v>114</v>
      </c>
      <c r="AP3850">
        <v>17</v>
      </c>
    </row>
    <row r="3851" spans="1:42" x14ac:dyDescent="0.25">
      <c r="A3851" t="s">
        <v>46</v>
      </c>
      <c r="B3851">
        <v>4</v>
      </c>
      <c r="C3851" t="s">
        <v>2678</v>
      </c>
      <c r="D3851" s="39">
        <v>46137</v>
      </c>
      <c r="E3851" t="s">
        <v>396</v>
      </c>
      <c r="F3851" t="s">
        <v>79</v>
      </c>
      <c r="G3851">
        <v>17</v>
      </c>
      <c r="H3851" t="s">
        <v>92</v>
      </c>
      <c r="I3851" t="s">
        <v>79</v>
      </c>
      <c r="J3851">
        <v>500</v>
      </c>
      <c r="L3851">
        <v>9</v>
      </c>
      <c r="M3851">
        <v>475.41999999999996</v>
      </c>
      <c r="N3851">
        <v>15.299999999999999</v>
      </c>
      <c r="O3851">
        <v>17</v>
      </c>
      <c r="P3851" t="s">
        <v>34</v>
      </c>
      <c r="Q3851">
        <v>460.11999999999995</v>
      </c>
      <c r="R3851" t="s">
        <v>2679</v>
      </c>
      <c r="V3851">
        <v>0</v>
      </c>
      <c r="W3851">
        <v>0</v>
      </c>
      <c r="AF3851">
        <v>0</v>
      </c>
      <c r="AG3851">
        <v>0</v>
      </c>
      <c r="AH3851">
        <v>0</v>
      </c>
      <c r="AI3851">
        <v>12</v>
      </c>
      <c r="AJ3851">
        <v>12</v>
      </c>
      <c r="AM3851">
        <v>0</v>
      </c>
      <c r="AN3851">
        <v>480.42</v>
      </c>
      <c r="AP3851">
        <v>17</v>
      </c>
    </row>
    <row r="3852" spans="1:42" x14ac:dyDescent="0.25">
      <c r="A3852" t="s">
        <v>45</v>
      </c>
      <c r="B3852">
        <v>2</v>
      </c>
      <c r="C3852" t="s">
        <v>2668</v>
      </c>
      <c r="D3852" s="39">
        <v>46138</v>
      </c>
      <c r="E3852" t="s">
        <v>486</v>
      </c>
      <c r="F3852" t="s">
        <v>79</v>
      </c>
      <c r="G3852">
        <v>5</v>
      </c>
      <c r="H3852" t="s">
        <v>92</v>
      </c>
      <c r="I3852" t="s">
        <v>79</v>
      </c>
      <c r="J3852">
        <v>1000</v>
      </c>
      <c r="L3852">
        <v>9</v>
      </c>
      <c r="M3852">
        <v>163.74</v>
      </c>
      <c r="N3852">
        <v>4</v>
      </c>
      <c r="O3852">
        <v>19</v>
      </c>
      <c r="P3852" t="s">
        <v>34</v>
      </c>
      <c r="Q3852">
        <v>159.74</v>
      </c>
      <c r="R3852" t="s">
        <v>2669</v>
      </c>
      <c r="V3852">
        <v>0</v>
      </c>
      <c r="W3852">
        <v>0</v>
      </c>
      <c r="AF3852">
        <v>0</v>
      </c>
      <c r="AG3852">
        <v>0</v>
      </c>
      <c r="AH3852">
        <v>0</v>
      </c>
      <c r="AI3852">
        <v>12</v>
      </c>
      <c r="AJ3852">
        <v>12</v>
      </c>
      <c r="AM3852">
        <v>0</v>
      </c>
      <c r="AN3852">
        <v>168.74</v>
      </c>
      <c r="AP3852">
        <v>17</v>
      </c>
    </row>
    <row r="3853" spans="1:42" x14ac:dyDescent="0.25">
      <c r="A3853" t="s">
        <v>46</v>
      </c>
      <c r="B3853">
        <v>2</v>
      </c>
      <c r="C3853" t="s">
        <v>2628</v>
      </c>
      <c r="D3853" s="39">
        <v>46138</v>
      </c>
      <c r="E3853" t="s">
        <v>486</v>
      </c>
      <c r="F3853" t="s">
        <v>79</v>
      </c>
      <c r="G3853">
        <v>5</v>
      </c>
      <c r="H3853" t="s">
        <v>92</v>
      </c>
      <c r="I3853" t="s">
        <v>79</v>
      </c>
      <c r="J3853">
        <v>500</v>
      </c>
      <c r="L3853">
        <v>8</v>
      </c>
      <c r="M3853">
        <v>168.17999999999998</v>
      </c>
      <c r="N3853">
        <v>4</v>
      </c>
      <c r="O3853">
        <v>6</v>
      </c>
      <c r="P3853" t="s">
        <v>34</v>
      </c>
      <c r="Q3853">
        <v>164.17999999999998</v>
      </c>
      <c r="R3853" t="s">
        <v>2705</v>
      </c>
      <c r="V3853">
        <v>0</v>
      </c>
      <c r="W3853">
        <v>0</v>
      </c>
      <c r="AF3853">
        <v>0</v>
      </c>
      <c r="AG3853">
        <v>0</v>
      </c>
      <c r="AH3853">
        <v>0</v>
      </c>
      <c r="AI3853">
        <v>12</v>
      </c>
      <c r="AJ3853">
        <v>12</v>
      </c>
      <c r="AM3853">
        <v>0</v>
      </c>
      <c r="AN3853">
        <v>173.17999999999998</v>
      </c>
      <c r="AP3853">
        <v>17</v>
      </c>
    </row>
    <row r="3854" spans="1:42" x14ac:dyDescent="0.25">
      <c r="A3854" t="s">
        <v>45</v>
      </c>
      <c r="B3854">
        <v>4</v>
      </c>
      <c r="C3854" t="s">
        <v>2678</v>
      </c>
      <c r="D3854" s="39">
        <v>46138</v>
      </c>
      <c r="E3854" t="s">
        <v>396</v>
      </c>
      <c r="F3854" t="s">
        <v>79</v>
      </c>
      <c r="G3854">
        <v>17</v>
      </c>
      <c r="H3854" t="s">
        <v>92</v>
      </c>
      <c r="I3854" t="s">
        <v>79</v>
      </c>
      <c r="J3854">
        <v>500</v>
      </c>
      <c r="L3854">
        <v>5</v>
      </c>
      <c r="M3854">
        <v>272.74</v>
      </c>
      <c r="N3854">
        <v>8.5</v>
      </c>
      <c r="P3854" t="s">
        <v>34</v>
      </c>
      <c r="Q3854">
        <v>264.24</v>
      </c>
      <c r="R3854" t="s">
        <v>2679</v>
      </c>
      <c r="V3854">
        <v>0</v>
      </c>
      <c r="W3854">
        <v>0</v>
      </c>
      <c r="AF3854">
        <v>0</v>
      </c>
      <c r="AG3854">
        <v>0</v>
      </c>
      <c r="AH3854">
        <v>0</v>
      </c>
      <c r="AI3854">
        <v>12</v>
      </c>
      <c r="AJ3854">
        <v>12</v>
      </c>
      <c r="AM3854">
        <v>0</v>
      </c>
      <c r="AN3854">
        <v>277.74</v>
      </c>
      <c r="AP3854">
        <v>17</v>
      </c>
    </row>
    <row r="3855" spans="1:42" x14ac:dyDescent="0.25">
      <c r="A3855" t="s">
        <v>45</v>
      </c>
      <c r="B3855">
        <v>4</v>
      </c>
      <c r="C3855" t="s">
        <v>2680</v>
      </c>
      <c r="D3855" s="39">
        <v>46138</v>
      </c>
      <c r="E3855" t="s">
        <v>2393</v>
      </c>
      <c r="F3855" t="s">
        <v>79</v>
      </c>
      <c r="G3855">
        <v>17</v>
      </c>
      <c r="H3855" t="s">
        <v>1725</v>
      </c>
      <c r="I3855" t="s">
        <v>79</v>
      </c>
      <c r="J3855">
        <v>750</v>
      </c>
      <c r="L3855">
        <v>5</v>
      </c>
      <c r="M3855">
        <v>249</v>
      </c>
      <c r="N3855">
        <v>8.5</v>
      </c>
      <c r="P3855" t="s">
        <v>34</v>
      </c>
      <c r="Q3855">
        <v>240.5</v>
      </c>
      <c r="R3855" t="s">
        <v>2681</v>
      </c>
      <c r="V3855">
        <v>0</v>
      </c>
      <c r="W3855">
        <v>0</v>
      </c>
      <c r="AF3855">
        <v>0</v>
      </c>
      <c r="AG3855">
        <v>0</v>
      </c>
      <c r="AH3855">
        <v>0</v>
      </c>
      <c r="AI3855">
        <v>12</v>
      </c>
      <c r="AJ3855">
        <v>12</v>
      </c>
      <c r="AM3855">
        <v>0</v>
      </c>
      <c r="AN3855">
        <v>254</v>
      </c>
      <c r="AP3855">
        <v>17</v>
      </c>
    </row>
    <row r="3856" spans="1:42" x14ac:dyDescent="0.25">
      <c r="A3856" t="s">
        <v>46</v>
      </c>
      <c r="B3856">
        <v>4</v>
      </c>
      <c r="C3856" t="s">
        <v>2680</v>
      </c>
      <c r="D3856" s="39">
        <v>46138</v>
      </c>
      <c r="E3856" t="s">
        <v>2393</v>
      </c>
      <c r="F3856" t="s">
        <v>79</v>
      </c>
      <c r="G3856">
        <v>17</v>
      </c>
      <c r="H3856" t="s">
        <v>1725</v>
      </c>
      <c r="I3856" t="s">
        <v>79</v>
      </c>
      <c r="J3856">
        <v>750</v>
      </c>
      <c r="L3856">
        <v>11</v>
      </c>
      <c r="M3856">
        <v>507.10000000000008</v>
      </c>
      <c r="N3856">
        <v>18.7</v>
      </c>
      <c r="P3856" t="s">
        <v>34</v>
      </c>
      <c r="Q3856">
        <v>488.40000000000009</v>
      </c>
      <c r="R3856" t="s">
        <v>2681</v>
      </c>
      <c r="S3856">
        <v>25</v>
      </c>
      <c r="V3856">
        <v>25</v>
      </c>
      <c r="W3856">
        <v>0.41666666666666674</v>
      </c>
      <c r="AF3856">
        <v>0</v>
      </c>
      <c r="AG3856">
        <v>0</v>
      </c>
      <c r="AH3856">
        <v>0.41666666666666674</v>
      </c>
      <c r="AI3856">
        <v>11.583333333333334</v>
      </c>
      <c r="AJ3856">
        <v>12</v>
      </c>
      <c r="AM3856">
        <v>0</v>
      </c>
      <c r="AN3856">
        <v>512.10000000000014</v>
      </c>
      <c r="AP3856">
        <v>17</v>
      </c>
    </row>
    <row r="3857" spans="1:42" x14ac:dyDescent="0.25">
      <c r="A3857" t="s">
        <v>46</v>
      </c>
      <c r="B3857">
        <v>4</v>
      </c>
      <c r="C3857" t="s">
        <v>2682</v>
      </c>
      <c r="D3857" s="39">
        <v>46138</v>
      </c>
      <c r="E3857" t="s">
        <v>396</v>
      </c>
      <c r="F3857" t="s">
        <v>79</v>
      </c>
      <c r="G3857">
        <v>16</v>
      </c>
      <c r="H3857" t="s">
        <v>92</v>
      </c>
      <c r="I3857" t="s">
        <v>79</v>
      </c>
      <c r="J3857">
        <v>500</v>
      </c>
      <c r="L3857">
        <v>1</v>
      </c>
      <c r="M3857">
        <v>62.6</v>
      </c>
      <c r="N3857">
        <v>1.6</v>
      </c>
      <c r="P3857" t="s">
        <v>34</v>
      </c>
      <c r="Q3857">
        <v>61</v>
      </c>
      <c r="R3857" t="s">
        <v>2683</v>
      </c>
      <c r="V3857">
        <v>0</v>
      </c>
      <c r="W3857">
        <v>0</v>
      </c>
      <c r="AF3857">
        <v>0</v>
      </c>
      <c r="AG3857">
        <v>0</v>
      </c>
      <c r="AH3857">
        <v>0</v>
      </c>
      <c r="AI3857">
        <v>12</v>
      </c>
      <c r="AJ3857">
        <v>12</v>
      </c>
      <c r="AM3857">
        <v>0</v>
      </c>
      <c r="AN3857">
        <v>67.599999999999994</v>
      </c>
      <c r="AP3857">
        <v>17</v>
      </c>
    </row>
    <row r="3858" spans="1:42" x14ac:dyDescent="0.25">
      <c r="A3858" t="s">
        <v>45</v>
      </c>
      <c r="B3858">
        <v>5</v>
      </c>
      <c r="C3858" t="s">
        <v>2672</v>
      </c>
      <c r="D3858" s="39">
        <v>46138</v>
      </c>
      <c r="E3858" t="s">
        <v>2611</v>
      </c>
      <c r="F3858" t="s">
        <v>79</v>
      </c>
      <c r="G3858">
        <v>9</v>
      </c>
      <c r="H3858" t="s">
        <v>1049</v>
      </c>
      <c r="I3858" t="s">
        <v>79</v>
      </c>
      <c r="J3858">
        <v>100</v>
      </c>
      <c r="L3858">
        <v>2</v>
      </c>
      <c r="M3858">
        <v>80.14</v>
      </c>
      <c r="N3858">
        <v>1.8</v>
      </c>
      <c r="P3858" t="s">
        <v>34</v>
      </c>
      <c r="Q3858">
        <v>78.34</v>
      </c>
      <c r="R3858" t="s">
        <v>2673</v>
      </c>
      <c r="V3858">
        <v>0</v>
      </c>
      <c r="W3858">
        <v>0</v>
      </c>
      <c r="AF3858">
        <v>0</v>
      </c>
      <c r="AG3858">
        <v>0</v>
      </c>
      <c r="AH3858">
        <v>0</v>
      </c>
      <c r="AI3858">
        <v>12</v>
      </c>
      <c r="AJ3858">
        <v>12</v>
      </c>
      <c r="AM3858">
        <v>0</v>
      </c>
      <c r="AN3858">
        <v>85.14</v>
      </c>
      <c r="AP3858">
        <v>17</v>
      </c>
    </row>
    <row r="3859" spans="1:42" x14ac:dyDescent="0.25">
      <c r="A3859" t="s">
        <v>45</v>
      </c>
      <c r="B3859">
        <v>5</v>
      </c>
      <c r="C3859" t="s">
        <v>2684</v>
      </c>
      <c r="D3859" s="39">
        <v>46138</v>
      </c>
      <c r="E3859" t="s">
        <v>684</v>
      </c>
      <c r="F3859" t="s">
        <v>79</v>
      </c>
      <c r="G3859">
        <v>9</v>
      </c>
      <c r="H3859" t="s">
        <v>944</v>
      </c>
      <c r="I3859" t="s">
        <v>79</v>
      </c>
      <c r="J3859">
        <v>50</v>
      </c>
      <c r="L3859">
        <v>4</v>
      </c>
      <c r="M3859">
        <v>54.32</v>
      </c>
      <c r="N3859">
        <v>3.6</v>
      </c>
      <c r="P3859" t="s">
        <v>34</v>
      </c>
      <c r="Q3859">
        <v>50.72</v>
      </c>
      <c r="R3859" t="s">
        <v>2685</v>
      </c>
      <c r="V3859">
        <v>0</v>
      </c>
      <c r="W3859">
        <v>0</v>
      </c>
      <c r="AF3859">
        <v>0</v>
      </c>
      <c r="AG3859">
        <v>0</v>
      </c>
      <c r="AH3859">
        <v>0</v>
      </c>
      <c r="AI3859">
        <v>12</v>
      </c>
      <c r="AJ3859">
        <v>12</v>
      </c>
      <c r="AM3859">
        <v>0</v>
      </c>
      <c r="AN3859">
        <v>59.32</v>
      </c>
      <c r="AP3859">
        <v>17</v>
      </c>
    </row>
    <row r="3860" spans="1:42" x14ac:dyDescent="0.25">
      <c r="A3860" t="s">
        <v>45</v>
      </c>
      <c r="B3860">
        <v>5</v>
      </c>
      <c r="C3860" t="s">
        <v>2686</v>
      </c>
      <c r="D3860" s="39">
        <v>46138</v>
      </c>
      <c r="E3860" t="s">
        <v>486</v>
      </c>
      <c r="F3860" t="s">
        <v>79</v>
      </c>
      <c r="G3860">
        <v>8</v>
      </c>
      <c r="H3860">
        <v>5</v>
      </c>
      <c r="I3860" t="s">
        <v>79</v>
      </c>
      <c r="J3860">
        <v>1500</v>
      </c>
      <c r="L3860">
        <v>4</v>
      </c>
      <c r="M3860">
        <v>135.01999999999998</v>
      </c>
      <c r="N3860">
        <v>3.2</v>
      </c>
      <c r="P3860" t="s">
        <v>34</v>
      </c>
      <c r="Q3860">
        <v>131.82</v>
      </c>
      <c r="R3860" t="s">
        <v>2706</v>
      </c>
      <c r="V3860">
        <v>0</v>
      </c>
      <c r="W3860">
        <v>0</v>
      </c>
      <c r="AF3860">
        <v>0</v>
      </c>
      <c r="AG3860">
        <v>0</v>
      </c>
      <c r="AH3860">
        <v>0</v>
      </c>
      <c r="AI3860">
        <v>12</v>
      </c>
      <c r="AJ3860">
        <v>12</v>
      </c>
      <c r="AM3860">
        <v>0</v>
      </c>
      <c r="AN3860">
        <v>140.01999999999998</v>
      </c>
      <c r="AP3860">
        <v>17</v>
      </c>
    </row>
    <row r="3861" spans="1:42" x14ac:dyDescent="0.25">
      <c r="A3861" t="s">
        <v>45</v>
      </c>
      <c r="B3861">
        <v>5</v>
      </c>
      <c r="C3861" t="s">
        <v>2687</v>
      </c>
      <c r="D3861" s="39">
        <v>46138</v>
      </c>
      <c r="E3861" t="s">
        <v>684</v>
      </c>
      <c r="F3861" t="s">
        <v>79</v>
      </c>
      <c r="G3861">
        <v>9</v>
      </c>
      <c r="H3861" t="s">
        <v>123</v>
      </c>
      <c r="I3861" t="s">
        <v>79</v>
      </c>
      <c r="J3861">
        <v>50</v>
      </c>
      <c r="L3861">
        <v>4</v>
      </c>
      <c r="M3861">
        <v>58.1</v>
      </c>
      <c r="N3861">
        <v>3.6</v>
      </c>
      <c r="P3861" t="s">
        <v>34</v>
      </c>
      <c r="Q3861">
        <v>54.5</v>
      </c>
      <c r="R3861" t="s">
        <v>2688</v>
      </c>
      <c r="S3861">
        <v>25</v>
      </c>
      <c r="V3861">
        <v>25</v>
      </c>
      <c r="W3861">
        <v>0.41666666666666674</v>
      </c>
      <c r="AF3861">
        <v>0</v>
      </c>
      <c r="AG3861">
        <v>0</v>
      </c>
      <c r="AH3861">
        <v>0.41666666666666674</v>
      </c>
      <c r="AI3861">
        <v>11.583333333333334</v>
      </c>
      <c r="AJ3861">
        <v>12</v>
      </c>
      <c r="AM3861">
        <v>0</v>
      </c>
      <c r="AN3861">
        <v>63.1</v>
      </c>
      <c r="AP3861">
        <v>17</v>
      </c>
    </row>
    <row r="3862" spans="1:42" x14ac:dyDescent="0.25">
      <c r="A3862" t="s">
        <v>45</v>
      </c>
      <c r="B3862">
        <v>5</v>
      </c>
      <c r="C3862" t="s">
        <v>2689</v>
      </c>
      <c r="D3862" s="39">
        <v>46138</v>
      </c>
      <c r="E3862" t="s">
        <v>684</v>
      </c>
      <c r="F3862" t="s">
        <v>79</v>
      </c>
      <c r="G3862">
        <v>8</v>
      </c>
      <c r="H3862" t="s">
        <v>944</v>
      </c>
      <c r="I3862" t="s">
        <v>79</v>
      </c>
      <c r="J3862">
        <v>50</v>
      </c>
      <c r="L3862">
        <v>4</v>
      </c>
      <c r="M3862">
        <v>56.980000000000004</v>
      </c>
      <c r="N3862">
        <v>3.2</v>
      </c>
      <c r="P3862" t="s">
        <v>34</v>
      </c>
      <c r="Q3862">
        <v>53.78</v>
      </c>
      <c r="R3862" t="s">
        <v>2690</v>
      </c>
      <c r="V3862">
        <v>0</v>
      </c>
      <c r="W3862">
        <v>0</v>
      </c>
      <c r="AF3862">
        <v>0</v>
      </c>
      <c r="AG3862">
        <v>0</v>
      </c>
      <c r="AH3862">
        <v>0</v>
      </c>
      <c r="AI3862">
        <v>12</v>
      </c>
      <c r="AJ3862">
        <v>12</v>
      </c>
      <c r="AM3862">
        <v>0</v>
      </c>
      <c r="AN3862">
        <v>61.98</v>
      </c>
      <c r="AP3862">
        <v>17</v>
      </c>
    </row>
    <row r="3863" spans="1:42" x14ac:dyDescent="0.25">
      <c r="A3863" t="s">
        <v>46</v>
      </c>
      <c r="B3863">
        <v>5</v>
      </c>
      <c r="C3863" t="s">
        <v>2686</v>
      </c>
      <c r="D3863" s="39">
        <v>46138</v>
      </c>
      <c r="E3863" t="s">
        <v>486</v>
      </c>
      <c r="F3863" t="s">
        <v>79</v>
      </c>
      <c r="G3863">
        <v>8</v>
      </c>
      <c r="H3863">
        <v>5</v>
      </c>
      <c r="I3863" t="s">
        <v>79</v>
      </c>
      <c r="J3863">
        <v>1500</v>
      </c>
      <c r="L3863">
        <v>9</v>
      </c>
      <c r="M3863">
        <v>322.14</v>
      </c>
      <c r="N3863">
        <v>8.6</v>
      </c>
      <c r="P3863" t="s">
        <v>34</v>
      </c>
      <c r="Q3863">
        <v>313.53999999999996</v>
      </c>
      <c r="R3863" t="s">
        <v>2706</v>
      </c>
      <c r="V3863">
        <v>0</v>
      </c>
      <c r="W3863">
        <v>0</v>
      </c>
      <c r="AF3863">
        <v>0</v>
      </c>
      <c r="AG3863">
        <v>0</v>
      </c>
      <c r="AH3863">
        <v>0</v>
      </c>
      <c r="AI3863">
        <v>12</v>
      </c>
      <c r="AJ3863">
        <v>12</v>
      </c>
      <c r="AM3863">
        <v>0</v>
      </c>
      <c r="AN3863">
        <v>327.14</v>
      </c>
      <c r="AP3863">
        <v>17</v>
      </c>
    </row>
    <row r="3864" spans="1:42" x14ac:dyDescent="0.25">
      <c r="A3864" t="s">
        <v>45</v>
      </c>
      <c r="B3864">
        <v>1</v>
      </c>
      <c r="C3864" t="s">
        <v>2691</v>
      </c>
      <c r="D3864" s="39">
        <v>46139</v>
      </c>
      <c r="E3864" t="s">
        <v>486</v>
      </c>
      <c r="F3864" t="s">
        <v>79</v>
      </c>
      <c r="G3864">
        <v>4</v>
      </c>
      <c r="H3864" t="s">
        <v>113</v>
      </c>
      <c r="I3864" t="s">
        <v>79</v>
      </c>
      <c r="J3864">
        <v>1000</v>
      </c>
      <c r="L3864">
        <v>4</v>
      </c>
      <c r="M3864">
        <v>69.37</v>
      </c>
      <c r="N3864">
        <v>1.6</v>
      </c>
      <c r="P3864" t="s">
        <v>34</v>
      </c>
      <c r="Q3864">
        <v>67.77000000000001</v>
      </c>
      <c r="R3864" t="s">
        <v>2707</v>
      </c>
      <c r="T3864">
        <v>330</v>
      </c>
      <c r="V3864">
        <v>330</v>
      </c>
      <c r="W3864">
        <v>5.5</v>
      </c>
      <c r="AD3864">
        <v>30</v>
      </c>
      <c r="AF3864">
        <v>30</v>
      </c>
      <c r="AG3864">
        <v>0.5</v>
      </c>
      <c r="AH3864">
        <v>6</v>
      </c>
      <c r="AI3864">
        <v>6</v>
      </c>
      <c r="AJ3864">
        <v>12</v>
      </c>
      <c r="AM3864">
        <v>0</v>
      </c>
      <c r="AN3864">
        <v>74.37</v>
      </c>
      <c r="AP3864">
        <v>18</v>
      </c>
    </row>
    <row r="3865" spans="1:42" x14ac:dyDescent="0.25">
      <c r="A3865" t="s">
        <v>46</v>
      </c>
      <c r="B3865">
        <v>1</v>
      </c>
      <c r="C3865" t="s">
        <v>2691</v>
      </c>
      <c r="D3865" s="39">
        <v>46139</v>
      </c>
      <c r="E3865" t="s">
        <v>486</v>
      </c>
      <c r="F3865" t="s">
        <v>79</v>
      </c>
      <c r="G3865">
        <v>4</v>
      </c>
      <c r="H3865" t="s">
        <v>113</v>
      </c>
      <c r="I3865" t="s">
        <v>79</v>
      </c>
      <c r="J3865">
        <v>1000</v>
      </c>
      <c r="L3865">
        <v>7</v>
      </c>
      <c r="M3865">
        <v>142.01999999999998</v>
      </c>
      <c r="N3865">
        <v>2.8000000000000003</v>
      </c>
      <c r="P3865" t="s">
        <v>34</v>
      </c>
      <c r="Q3865">
        <v>139.21999999999997</v>
      </c>
      <c r="R3865" t="s">
        <v>2707</v>
      </c>
      <c r="V3865">
        <v>0</v>
      </c>
      <c r="W3865">
        <v>0</v>
      </c>
      <c r="AF3865">
        <v>0</v>
      </c>
      <c r="AG3865">
        <v>0</v>
      </c>
      <c r="AH3865">
        <v>0</v>
      </c>
      <c r="AI3865">
        <v>12</v>
      </c>
      <c r="AJ3865">
        <v>12</v>
      </c>
      <c r="AM3865">
        <v>0</v>
      </c>
      <c r="AN3865">
        <v>147.01999999999998</v>
      </c>
      <c r="AP3865">
        <v>18</v>
      </c>
    </row>
    <row r="3866" spans="1:42" x14ac:dyDescent="0.25">
      <c r="A3866" t="s">
        <v>45</v>
      </c>
      <c r="B3866">
        <v>2</v>
      </c>
      <c r="C3866" t="s">
        <v>2628</v>
      </c>
      <c r="D3866" s="39">
        <v>46139</v>
      </c>
      <c r="E3866" t="s">
        <v>486</v>
      </c>
      <c r="F3866" t="s">
        <v>79</v>
      </c>
      <c r="G3866">
        <v>5</v>
      </c>
      <c r="H3866" t="s">
        <v>92</v>
      </c>
      <c r="I3866" t="s">
        <v>79</v>
      </c>
      <c r="J3866">
        <v>500</v>
      </c>
      <c r="L3866">
        <v>11</v>
      </c>
      <c r="M3866">
        <v>190.07</v>
      </c>
      <c r="N3866">
        <v>5.5</v>
      </c>
      <c r="O3866">
        <v>15</v>
      </c>
      <c r="P3866" t="s">
        <v>34</v>
      </c>
      <c r="Q3866">
        <v>184.57</v>
      </c>
      <c r="R3866" t="s">
        <v>2705</v>
      </c>
      <c r="V3866">
        <v>0</v>
      </c>
      <c r="W3866">
        <v>0</v>
      </c>
      <c r="AF3866">
        <v>0</v>
      </c>
      <c r="AG3866">
        <v>0</v>
      </c>
      <c r="AH3866">
        <v>0</v>
      </c>
      <c r="AI3866">
        <v>12</v>
      </c>
      <c r="AJ3866">
        <v>12</v>
      </c>
      <c r="AM3866">
        <v>0</v>
      </c>
      <c r="AN3866">
        <v>195.07</v>
      </c>
      <c r="AP3866">
        <v>18</v>
      </c>
    </row>
    <row r="3867" spans="1:42" x14ac:dyDescent="0.25">
      <c r="A3867" t="s">
        <v>46</v>
      </c>
      <c r="B3867">
        <v>2</v>
      </c>
      <c r="C3867" t="s">
        <v>2628</v>
      </c>
      <c r="D3867" s="39">
        <v>46139</v>
      </c>
      <c r="E3867" t="s">
        <v>486</v>
      </c>
      <c r="F3867" t="s">
        <v>79</v>
      </c>
      <c r="G3867">
        <v>5</v>
      </c>
      <c r="H3867" t="s">
        <v>92</v>
      </c>
      <c r="I3867" t="s">
        <v>79</v>
      </c>
      <c r="J3867">
        <v>500</v>
      </c>
      <c r="L3867">
        <v>8</v>
      </c>
      <c r="M3867">
        <v>157.96</v>
      </c>
      <c r="N3867">
        <v>4</v>
      </c>
      <c r="O3867">
        <v>15</v>
      </c>
      <c r="P3867" t="s">
        <v>34</v>
      </c>
      <c r="Q3867">
        <v>153.96</v>
      </c>
      <c r="R3867" t="s">
        <v>2705</v>
      </c>
      <c r="V3867">
        <v>0</v>
      </c>
      <c r="W3867">
        <v>0</v>
      </c>
      <c r="AF3867">
        <v>0</v>
      </c>
      <c r="AG3867">
        <v>0</v>
      </c>
      <c r="AH3867">
        <v>0</v>
      </c>
      <c r="AI3867">
        <v>12</v>
      </c>
      <c r="AJ3867">
        <v>12</v>
      </c>
      <c r="AM3867">
        <v>0</v>
      </c>
      <c r="AN3867">
        <v>162.96</v>
      </c>
      <c r="AP3867">
        <v>18</v>
      </c>
    </row>
    <row r="3868" spans="1:42" x14ac:dyDescent="0.25">
      <c r="A3868" t="s">
        <v>45</v>
      </c>
      <c r="B3868">
        <v>4</v>
      </c>
      <c r="C3868" t="s">
        <v>2682</v>
      </c>
      <c r="D3868" s="39">
        <v>46139</v>
      </c>
      <c r="E3868" t="s">
        <v>396</v>
      </c>
      <c r="F3868" t="s">
        <v>79</v>
      </c>
      <c r="G3868">
        <v>16</v>
      </c>
      <c r="H3868" t="s">
        <v>92</v>
      </c>
      <c r="I3868" t="s">
        <v>79</v>
      </c>
      <c r="J3868">
        <v>500</v>
      </c>
      <c r="L3868">
        <v>10</v>
      </c>
      <c r="M3868">
        <v>486.45000000000005</v>
      </c>
      <c r="N3868">
        <v>16</v>
      </c>
      <c r="P3868" t="s">
        <v>34</v>
      </c>
      <c r="Q3868">
        <v>470.45000000000005</v>
      </c>
      <c r="R3868" t="s">
        <v>2683</v>
      </c>
      <c r="V3868">
        <v>0</v>
      </c>
      <c r="W3868">
        <v>0</v>
      </c>
      <c r="AF3868">
        <v>0</v>
      </c>
      <c r="AG3868">
        <v>0</v>
      </c>
      <c r="AH3868">
        <v>0</v>
      </c>
      <c r="AI3868">
        <v>12</v>
      </c>
      <c r="AJ3868">
        <v>12</v>
      </c>
      <c r="AM3868">
        <v>0</v>
      </c>
      <c r="AN3868">
        <v>491.4500000000001</v>
      </c>
      <c r="AP3868">
        <v>18</v>
      </c>
    </row>
    <row r="3869" spans="1:42" x14ac:dyDescent="0.25">
      <c r="A3869" t="s">
        <v>46</v>
      </c>
      <c r="B3869">
        <v>4</v>
      </c>
      <c r="C3869" t="s">
        <v>2682</v>
      </c>
      <c r="D3869" s="39">
        <v>46139</v>
      </c>
      <c r="E3869" t="s">
        <v>396</v>
      </c>
      <c r="F3869" t="s">
        <v>79</v>
      </c>
      <c r="G3869">
        <v>16</v>
      </c>
      <c r="H3869" t="s">
        <v>92</v>
      </c>
      <c r="I3869" t="s">
        <v>79</v>
      </c>
      <c r="J3869">
        <v>500</v>
      </c>
      <c r="L3869">
        <v>1</v>
      </c>
      <c r="M3869">
        <v>59.7</v>
      </c>
      <c r="N3869">
        <v>1.6</v>
      </c>
      <c r="P3869" t="s">
        <v>34</v>
      </c>
      <c r="Q3869">
        <v>58.1</v>
      </c>
      <c r="R3869" t="s">
        <v>2683</v>
      </c>
      <c r="V3869">
        <v>0</v>
      </c>
      <c r="W3869">
        <v>0</v>
      </c>
      <c r="AF3869">
        <v>0</v>
      </c>
      <c r="AG3869">
        <v>0</v>
      </c>
      <c r="AH3869">
        <v>0</v>
      </c>
      <c r="AI3869">
        <v>12</v>
      </c>
      <c r="AJ3869">
        <v>12</v>
      </c>
      <c r="AM3869">
        <v>0</v>
      </c>
      <c r="AN3869">
        <v>64.7</v>
      </c>
      <c r="AP3869">
        <v>18</v>
      </c>
    </row>
    <row r="3870" spans="1:42" x14ac:dyDescent="0.25">
      <c r="A3870" t="s">
        <v>46</v>
      </c>
      <c r="B3870">
        <v>4</v>
      </c>
      <c r="C3870" t="s">
        <v>2692</v>
      </c>
      <c r="D3870" s="39">
        <v>46139</v>
      </c>
      <c r="E3870" t="s">
        <v>1446</v>
      </c>
      <c r="F3870" t="s">
        <v>79</v>
      </c>
      <c r="G3870">
        <v>16</v>
      </c>
      <c r="H3870" t="s">
        <v>102</v>
      </c>
      <c r="I3870" t="s">
        <v>79</v>
      </c>
      <c r="J3870">
        <v>500</v>
      </c>
      <c r="L3870">
        <v>7</v>
      </c>
      <c r="M3870">
        <v>414.93999999999994</v>
      </c>
      <c r="N3870">
        <v>11.200000000000001</v>
      </c>
      <c r="P3870" t="s">
        <v>34</v>
      </c>
      <c r="Q3870">
        <v>403.73999999999995</v>
      </c>
      <c r="R3870" t="s">
        <v>2708</v>
      </c>
      <c r="V3870">
        <v>0</v>
      </c>
      <c r="W3870">
        <v>0</v>
      </c>
      <c r="AF3870">
        <v>0</v>
      </c>
      <c r="AG3870">
        <v>0</v>
      </c>
      <c r="AH3870">
        <v>0</v>
      </c>
      <c r="AI3870">
        <v>12</v>
      </c>
      <c r="AJ3870">
        <v>12</v>
      </c>
      <c r="AM3870">
        <v>0</v>
      </c>
      <c r="AN3870">
        <v>419.93999999999994</v>
      </c>
      <c r="AP3870">
        <v>18</v>
      </c>
    </row>
    <row r="3871" spans="1:42" x14ac:dyDescent="0.25">
      <c r="A3871" t="s">
        <v>45</v>
      </c>
      <c r="B3871">
        <v>5</v>
      </c>
      <c r="C3871" t="s">
        <v>2686</v>
      </c>
      <c r="D3871" s="39">
        <v>46139</v>
      </c>
      <c r="E3871" t="s">
        <v>486</v>
      </c>
      <c r="F3871" t="s">
        <v>79</v>
      </c>
      <c r="G3871">
        <v>8</v>
      </c>
      <c r="H3871">
        <v>5</v>
      </c>
      <c r="I3871" t="s">
        <v>79</v>
      </c>
      <c r="J3871">
        <v>1500</v>
      </c>
      <c r="L3871">
        <v>11</v>
      </c>
      <c r="M3871">
        <v>375.88</v>
      </c>
      <c r="N3871">
        <v>8.8000000000000007</v>
      </c>
      <c r="P3871" t="s">
        <v>34</v>
      </c>
      <c r="Q3871">
        <v>367.08</v>
      </c>
      <c r="R3871" t="s">
        <v>2706</v>
      </c>
      <c r="V3871">
        <v>0</v>
      </c>
      <c r="W3871">
        <v>0</v>
      </c>
      <c r="AF3871">
        <v>0</v>
      </c>
      <c r="AG3871">
        <v>0</v>
      </c>
      <c r="AH3871">
        <v>0</v>
      </c>
      <c r="AI3871">
        <v>12</v>
      </c>
      <c r="AJ3871">
        <v>12</v>
      </c>
      <c r="AM3871">
        <v>0</v>
      </c>
      <c r="AN3871">
        <v>380.88</v>
      </c>
      <c r="AP3871">
        <v>18</v>
      </c>
    </row>
    <row r="3872" spans="1:42" x14ac:dyDescent="0.25">
      <c r="A3872" t="s">
        <v>46</v>
      </c>
      <c r="B3872">
        <v>5</v>
      </c>
      <c r="C3872" t="s">
        <v>2686</v>
      </c>
      <c r="D3872" s="39">
        <v>46139</v>
      </c>
      <c r="E3872" t="s">
        <v>486</v>
      </c>
      <c r="F3872" t="s">
        <v>79</v>
      </c>
      <c r="G3872">
        <v>8</v>
      </c>
      <c r="H3872">
        <v>5</v>
      </c>
      <c r="I3872" t="s">
        <v>79</v>
      </c>
      <c r="J3872">
        <v>1500</v>
      </c>
      <c r="L3872">
        <v>8</v>
      </c>
      <c r="M3872">
        <v>337.55999999999995</v>
      </c>
      <c r="N3872">
        <v>6.4</v>
      </c>
      <c r="P3872" t="s">
        <v>34</v>
      </c>
      <c r="Q3872">
        <v>331.15999999999997</v>
      </c>
      <c r="R3872" t="s">
        <v>2706</v>
      </c>
      <c r="V3872">
        <v>0</v>
      </c>
      <c r="W3872">
        <v>0</v>
      </c>
      <c r="AF3872">
        <v>0</v>
      </c>
      <c r="AG3872">
        <v>0</v>
      </c>
      <c r="AH3872">
        <v>0</v>
      </c>
      <c r="AI3872">
        <v>12</v>
      </c>
      <c r="AJ3872">
        <v>12</v>
      </c>
      <c r="AM3872">
        <v>0</v>
      </c>
      <c r="AN3872">
        <v>342.55999999999995</v>
      </c>
      <c r="AP3872">
        <v>18</v>
      </c>
    </row>
    <row r="3873" spans="1:42" x14ac:dyDescent="0.25">
      <c r="A3873" t="s">
        <v>45</v>
      </c>
      <c r="B3873">
        <v>1</v>
      </c>
      <c r="C3873" t="s">
        <v>2691</v>
      </c>
      <c r="D3873" s="39">
        <v>46140</v>
      </c>
      <c r="E3873" t="s">
        <v>486</v>
      </c>
      <c r="F3873" t="s">
        <v>79</v>
      </c>
      <c r="G3873">
        <v>4</v>
      </c>
      <c r="H3873" t="s">
        <v>113</v>
      </c>
      <c r="I3873" t="s">
        <v>79</v>
      </c>
      <c r="J3873">
        <v>1000</v>
      </c>
      <c r="L3873">
        <v>8</v>
      </c>
      <c r="M3873">
        <v>165.19</v>
      </c>
      <c r="N3873">
        <v>3.2</v>
      </c>
      <c r="P3873" t="s">
        <v>34</v>
      </c>
      <c r="Q3873">
        <v>161.99</v>
      </c>
      <c r="R3873" t="s">
        <v>2707</v>
      </c>
      <c r="V3873">
        <v>0</v>
      </c>
      <c r="W3873">
        <v>0</v>
      </c>
      <c r="AF3873">
        <v>0</v>
      </c>
      <c r="AG3873">
        <v>0</v>
      </c>
      <c r="AH3873">
        <v>0</v>
      </c>
      <c r="AI3873">
        <v>12</v>
      </c>
      <c r="AJ3873">
        <v>12</v>
      </c>
      <c r="AM3873">
        <v>0</v>
      </c>
      <c r="AN3873">
        <v>170.19</v>
      </c>
      <c r="AP3873">
        <v>18</v>
      </c>
    </row>
    <row r="3874" spans="1:42" x14ac:dyDescent="0.25">
      <c r="A3874" t="s">
        <v>46</v>
      </c>
      <c r="B3874">
        <v>1</v>
      </c>
      <c r="C3874" t="s">
        <v>2709</v>
      </c>
      <c r="D3874" s="39">
        <v>46140</v>
      </c>
      <c r="E3874" t="s">
        <v>2710</v>
      </c>
      <c r="F3874" t="s">
        <v>79</v>
      </c>
      <c r="G3874">
        <v>4</v>
      </c>
      <c r="H3874" t="s">
        <v>123</v>
      </c>
      <c r="I3874" t="s">
        <v>79</v>
      </c>
      <c r="J3874">
        <v>50</v>
      </c>
      <c r="L3874">
        <v>4</v>
      </c>
      <c r="M3874">
        <v>49.66</v>
      </c>
      <c r="N3874">
        <v>1.6</v>
      </c>
      <c r="P3874" t="s">
        <v>34</v>
      </c>
      <c r="Q3874">
        <v>48.059999999999995</v>
      </c>
      <c r="R3874" t="s">
        <v>2711</v>
      </c>
      <c r="V3874">
        <v>0</v>
      </c>
      <c r="W3874">
        <v>0</v>
      </c>
      <c r="AF3874">
        <v>0</v>
      </c>
      <c r="AG3874">
        <v>0</v>
      </c>
      <c r="AH3874">
        <v>0</v>
      </c>
      <c r="AI3874">
        <v>12</v>
      </c>
      <c r="AJ3874">
        <v>12</v>
      </c>
      <c r="AM3874">
        <v>0</v>
      </c>
      <c r="AN3874">
        <v>54.66</v>
      </c>
      <c r="AP3874">
        <v>18</v>
      </c>
    </row>
    <row r="3875" spans="1:42" x14ac:dyDescent="0.25">
      <c r="A3875" t="s">
        <v>46</v>
      </c>
      <c r="B3875">
        <v>1</v>
      </c>
      <c r="C3875" t="s">
        <v>2691</v>
      </c>
      <c r="D3875" s="39">
        <v>46140</v>
      </c>
      <c r="E3875" t="s">
        <v>486</v>
      </c>
      <c r="F3875" t="s">
        <v>79</v>
      </c>
      <c r="G3875">
        <v>4</v>
      </c>
      <c r="H3875" t="s">
        <v>113</v>
      </c>
      <c r="I3875" t="s">
        <v>79</v>
      </c>
      <c r="J3875">
        <v>1000</v>
      </c>
      <c r="L3875">
        <v>6</v>
      </c>
      <c r="M3875">
        <v>119.25</v>
      </c>
      <c r="N3875">
        <v>2.4000000000000004</v>
      </c>
      <c r="P3875" t="s">
        <v>34</v>
      </c>
      <c r="Q3875">
        <v>116.85</v>
      </c>
      <c r="R3875" t="s">
        <v>2707</v>
      </c>
      <c r="V3875">
        <v>0</v>
      </c>
      <c r="W3875">
        <v>0</v>
      </c>
      <c r="AF3875">
        <v>0</v>
      </c>
      <c r="AG3875">
        <v>0</v>
      </c>
      <c r="AH3875">
        <v>0</v>
      </c>
      <c r="AI3875">
        <v>12</v>
      </c>
      <c r="AJ3875">
        <v>12</v>
      </c>
      <c r="AM3875">
        <v>0</v>
      </c>
      <c r="AN3875">
        <v>124.25</v>
      </c>
      <c r="AP3875">
        <v>18</v>
      </c>
    </row>
    <row r="3876" spans="1:42" x14ac:dyDescent="0.25">
      <c r="A3876" t="s">
        <v>45</v>
      </c>
      <c r="B3876">
        <v>2</v>
      </c>
      <c r="C3876" t="s">
        <v>2628</v>
      </c>
      <c r="D3876" s="39">
        <v>46140</v>
      </c>
      <c r="E3876" t="s">
        <v>486</v>
      </c>
      <c r="F3876" t="s">
        <v>79</v>
      </c>
      <c r="G3876">
        <v>5</v>
      </c>
      <c r="H3876" t="s">
        <v>92</v>
      </c>
      <c r="I3876" t="s">
        <v>79</v>
      </c>
      <c r="J3876">
        <v>500</v>
      </c>
      <c r="L3876">
        <v>8</v>
      </c>
      <c r="M3876">
        <v>145.38</v>
      </c>
      <c r="N3876">
        <v>4</v>
      </c>
      <c r="P3876" t="s">
        <v>34</v>
      </c>
      <c r="Q3876">
        <v>141.38</v>
      </c>
      <c r="R3876" t="s">
        <v>2705</v>
      </c>
      <c r="V3876">
        <v>0</v>
      </c>
      <c r="W3876">
        <v>0</v>
      </c>
      <c r="AF3876">
        <v>0</v>
      </c>
      <c r="AG3876">
        <v>0</v>
      </c>
      <c r="AH3876">
        <v>0</v>
      </c>
      <c r="AI3876">
        <v>12</v>
      </c>
      <c r="AJ3876">
        <v>12</v>
      </c>
      <c r="AM3876">
        <v>0</v>
      </c>
      <c r="AN3876">
        <v>150.38</v>
      </c>
      <c r="AP3876">
        <v>18</v>
      </c>
    </row>
    <row r="3877" spans="1:42" x14ac:dyDescent="0.25">
      <c r="A3877" t="s">
        <v>45</v>
      </c>
      <c r="B3877">
        <v>2</v>
      </c>
      <c r="C3877" t="s">
        <v>2621</v>
      </c>
      <c r="D3877" s="39">
        <v>46140</v>
      </c>
      <c r="E3877" t="s">
        <v>2611</v>
      </c>
      <c r="F3877" t="s">
        <v>79</v>
      </c>
      <c r="G3877">
        <v>5</v>
      </c>
      <c r="H3877" t="s">
        <v>1049</v>
      </c>
      <c r="I3877" t="s">
        <v>79</v>
      </c>
      <c r="J3877">
        <v>100</v>
      </c>
      <c r="L3877">
        <v>1</v>
      </c>
      <c r="M3877">
        <v>12.75</v>
      </c>
      <c r="N3877">
        <v>0.5</v>
      </c>
      <c r="P3877" t="s">
        <v>34</v>
      </c>
      <c r="Q3877">
        <v>12.25</v>
      </c>
      <c r="R3877" t="s">
        <v>2704</v>
      </c>
      <c r="V3877">
        <v>0</v>
      </c>
      <c r="W3877">
        <v>0</v>
      </c>
      <c r="AF3877">
        <v>0</v>
      </c>
      <c r="AG3877">
        <v>0</v>
      </c>
      <c r="AH3877">
        <v>0</v>
      </c>
      <c r="AI3877">
        <v>12</v>
      </c>
      <c r="AJ3877">
        <v>12</v>
      </c>
      <c r="AM3877">
        <v>0</v>
      </c>
      <c r="AN3877">
        <v>17.75</v>
      </c>
      <c r="AP3877">
        <v>18</v>
      </c>
    </row>
    <row r="3878" spans="1:42" x14ac:dyDescent="0.25">
      <c r="A3878" t="s">
        <v>46</v>
      </c>
      <c r="B3878">
        <v>2</v>
      </c>
      <c r="C3878" t="s">
        <v>2621</v>
      </c>
      <c r="D3878" s="39">
        <v>46140</v>
      </c>
      <c r="E3878" t="s">
        <v>2611</v>
      </c>
      <c r="F3878" t="s">
        <v>79</v>
      </c>
      <c r="G3878">
        <v>5</v>
      </c>
      <c r="H3878" t="s">
        <v>1049</v>
      </c>
      <c r="I3878" t="s">
        <v>79</v>
      </c>
      <c r="J3878">
        <v>100</v>
      </c>
      <c r="L3878">
        <v>8</v>
      </c>
      <c r="M3878">
        <v>100.49000000000001</v>
      </c>
      <c r="N3878">
        <v>4</v>
      </c>
      <c r="P3878" t="s">
        <v>34</v>
      </c>
      <c r="Q3878">
        <v>96.490000000000009</v>
      </c>
      <c r="R3878" t="s">
        <v>2704</v>
      </c>
      <c r="V3878">
        <v>0</v>
      </c>
      <c r="W3878">
        <v>0</v>
      </c>
      <c r="AF3878">
        <v>0</v>
      </c>
      <c r="AG3878">
        <v>0</v>
      </c>
      <c r="AH3878">
        <v>0</v>
      </c>
      <c r="AI3878">
        <v>12</v>
      </c>
      <c r="AJ3878">
        <v>12</v>
      </c>
      <c r="AM3878">
        <v>0</v>
      </c>
      <c r="AN3878">
        <v>105.49</v>
      </c>
      <c r="AP3878">
        <v>18</v>
      </c>
    </row>
    <row r="3879" spans="1:42" x14ac:dyDescent="0.25">
      <c r="A3879" t="s">
        <v>46</v>
      </c>
      <c r="B3879">
        <v>2</v>
      </c>
      <c r="C3879" t="s">
        <v>2712</v>
      </c>
      <c r="D3879" s="39">
        <v>46140</v>
      </c>
      <c r="E3879" t="s">
        <v>1177</v>
      </c>
      <c r="F3879" t="s">
        <v>79</v>
      </c>
      <c r="G3879">
        <v>3.5</v>
      </c>
      <c r="H3879" t="s">
        <v>123</v>
      </c>
      <c r="I3879" t="s">
        <v>79</v>
      </c>
      <c r="J3879">
        <v>100</v>
      </c>
      <c r="L3879">
        <v>2</v>
      </c>
      <c r="M3879">
        <v>31.4</v>
      </c>
      <c r="N3879">
        <v>0.7</v>
      </c>
      <c r="P3879" t="s">
        <v>34</v>
      </c>
      <c r="Q3879">
        <v>30.7</v>
      </c>
      <c r="R3879" t="s">
        <v>2713</v>
      </c>
      <c r="S3879">
        <v>25</v>
      </c>
      <c r="V3879">
        <v>25</v>
      </c>
      <c r="W3879">
        <v>0.41666666666666674</v>
      </c>
      <c r="AF3879">
        <v>0</v>
      </c>
      <c r="AG3879">
        <v>0</v>
      </c>
      <c r="AH3879">
        <v>0.41666666666666674</v>
      </c>
      <c r="AI3879">
        <v>11.583333333333334</v>
      </c>
      <c r="AJ3879">
        <v>12</v>
      </c>
      <c r="AM3879">
        <v>0</v>
      </c>
      <c r="AN3879">
        <v>36.4</v>
      </c>
      <c r="AP3879">
        <v>18</v>
      </c>
    </row>
    <row r="3880" spans="1:42" x14ac:dyDescent="0.25">
      <c r="A3880" t="s">
        <v>46</v>
      </c>
      <c r="B3880">
        <v>2</v>
      </c>
      <c r="C3880" t="s">
        <v>2628</v>
      </c>
      <c r="D3880" s="39">
        <v>46140</v>
      </c>
      <c r="E3880" t="s">
        <v>486</v>
      </c>
      <c r="F3880" t="s">
        <v>79</v>
      </c>
      <c r="G3880">
        <v>5</v>
      </c>
      <c r="H3880" t="s">
        <v>92</v>
      </c>
      <c r="I3880" t="s">
        <v>79</v>
      </c>
      <c r="J3880">
        <v>500</v>
      </c>
      <c r="L3880">
        <v>1</v>
      </c>
      <c r="M3880">
        <v>13.3</v>
      </c>
      <c r="N3880">
        <v>0.5</v>
      </c>
      <c r="P3880" t="s">
        <v>34</v>
      </c>
      <c r="Q3880">
        <v>12.8</v>
      </c>
      <c r="R3880" t="s">
        <v>2705</v>
      </c>
      <c r="V3880">
        <v>0</v>
      </c>
      <c r="W3880">
        <v>0</v>
      </c>
      <c r="AF3880">
        <v>0</v>
      </c>
      <c r="AG3880">
        <v>0</v>
      </c>
      <c r="AH3880">
        <v>0</v>
      </c>
      <c r="AI3880">
        <v>12</v>
      </c>
      <c r="AJ3880">
        <v>12</v>
      </c>
      <c r="AM3880">
        <v>0</v>
      </c>
      <c r="AN3880">
        <v>18.3</v>
      </c>
      <c r="AP3880">
        <v>18</v>
      </c>
    </row>
    <row r="3881" spans="1:42" x14ac:dyDescent="0.25">
      <c r="A3881" t="s">
        <v>45</v>
      </c>
      <c r="B3881">
        <v>4</v>
      </c>
      <c r="C3881" t="s">
        <v>2692</v>
      </c>
      <c r="D3881" s="39">
        <v>46140</v>
      </c>
      <c r="E3881" t="s">
        <v>1446</v>
      </c>
      <c r="F3881" t="s">
        <v>79</v>
      </c>
      <c r="G3881">
        <v>16</v>
      </c>
      <c r="H3881" t="s">
        <v>102</v>
      </c>
      <c r="I3881" t="s">
        <v>79</v>
      </c>
      <c r="J3881">
        <v>500</v>
      </c>
      <c r="L3881">
        <v>3</v>
      </c>
      <c r="M3881">
        <v>138.76</v>
      </c>
      <c r="N3881">
        <v>4.8000000000000007</v>
      </c>
      <c r="P3881" t="s">
        <v>34</v>
      </c>
      <c r="Q3881">
        <v>133.95999999999998</v>
      </c>
      <c r="R3881" t="s">
        <v>2708</v>
      </c>
      <c r="V3881">
        <v>0</v>
      </c>
      <c r="W3881">
        <v>0</v>
      </c>
      <c r="AF3881">
        <v>0</v>
      </c>
      <c r="AG3881">
        <v>0</v>
      </c>
      <c r="AH3881">
        <v>0</v>
      </c>
      <c r="AI3881">
        <v>12</v>
      </c>
      <c r="AJ3881">
        <v>12</v>
      </c>
      <c r="AM3881">
        <v>0</v>
      </c>
      <c r="AN3881">
        <v>143.76</v>
      </c>
      <c r="AP3881">
        <v>18</v>
      </c>
    </row>
    <row r="3882" spans="1:42" x14ac:dyDescent="0.25">
      <c r="A3882" t="s">
        <v>45</v>
      </c>
      <c r="B3882">
        <v>4</v>
      </c>
      <c r="C3882" t="s">
        <v>2714</v>
      </c>
      <c r="D3882" s="39">
        <v>46140</v>
      </c>
      <c r="E3882" t="s">
        <v>200</v>
      </c>
      <c r="F3882" t="s">
        <v>79</v>
      </c>
      <c r="G3882">
        <v>20</v>
      </c>
      <c r="H3882" t="s">
        <v>944</v>
      </c>
      <c r="I3882" t="s">
        <v>79</v>
      </c>
      <c r="J3882">
        <v>1000</v>
      </c>
      <c r="L3882">
        <v>8</v>
      </c>
      <c r="M3882">
        <v>406.64000000000004</v>
      </c>
      <c r="N3882">
        <v>16</v>
      </c>
      <c r="O3882">
        <v>14</v>
      </c>
      <c r="P3882" t="s">
        <v>34</v>
      </c>
      <c r="Q3882">
        <v>390.64000000000004</v>
      </c>
      <c r="R3882" t="s">
        <v>2715</v>
      </c>
      <c r="S3882">
        <v>30</v>
      </c>
      <c r="V3882">
        <v>30</v>
      </c>
      <c r="W3882">
        <v>0.5</v>
      </c>
      <c r="AF3882">
        <v>0</v>
      </c>
      <c r="AG3882">
        <v>0</v>
      </c>
      <c r="AH3882">
        <v>0.5</v>
      </c>
      <c r="AI3882">
        <v>11.5</v>
      </c>
      <c r="AJ3882">
        <v>12</v>
      </c>
      <c r="AM3882">
        <v>0</v>
      </c>
      <c r="AN3882">
        <v>411.64</v>
      </c>
      <c r="AP3882">
        <v>18</v>
      </c>
    </row>
    <row r="3883" spans="1:42" x14ac:dyDescent="0.25">
      <c r="A3883" t="s">
        <v>46</v>
      </c>
      <c r="B3883">
        <v>4</v>
      </c>
      <c r="C3883" t="s">
        <v>2714</v>
      </c>
      <c r="D3883" s="39">
        <v>46140</v>
      </c>
      <c r="E3883" t="s">
        <v>200</v>
      </c>
      <c r="F3883" t="s">
        <v>79</v>
      </c>
      <c r="G3883">
        <v>20</v>
      </c>
      <c r="H3883" t="s">
        <v>944</v>
      </c>
      <c r="I3883" t="s">
        <v>79</v>
      </c>
      <c r="J3883">
        <v>1000</v>
      </c>
      <c r="L3883">
        <v>7</v>
      </c>
      <c r="M3883">
        <v>423.96</v>
      </c>
      <c r="N3883">
        <v>14</v>
      </c>
      <c r="O3883">
        <v>21</v>
      </c>
      <c r="P3883" t="s">
        <v>34</v>
      </c>
      <c r="Q3883">
        <v>409.96</v>
      </c>
      <c r="R3883" t="s">
        <v>2715</v>
      </c>
      <c r="V3883">
        <v>0</v>
      </c>
      <c r="W3883">
        <v>0</v>
      </c>
      <c r="Z3883">
        <v>60</v>
      </c>
      <c r="AF3883">
        <v>60</v>
      </c>
      <c r="AG3883">
        <v>1</v>
      </c>
      <c r="AH3883">
        <v>1</v>
      </c>
      <c r="AI3883">
        <v>11</v>
      </c>
      <c r="AJ3883">
        <v>12</v>
      </c>
      <c r="AM3883">
        <v>0</v>
      </c>
      <c r="AN3883">
        <v>428.96</v>
      </c>
      <c r="AP3883">
        <v>18</v>
      </c>
    </row>
    <row r="3884" spans="1:42" x14ac:dyDescent="0.25">
      <c r="A3884" t="s">
        <v>45</v>
      </c>
      <c r="B3884">
        <v>5</v>
      </c>
      <c r="C3884" t="s">
        <v>2686</v>
      </c>
      <c r="D3884" s="39">
        <v>46140</v>
      </c>
      <c r="E3884" t="s">
        <v>486</v>
      </c>
      <c r="F3884" t="s">
        <v>79</v>
      </c>
      <c r="G3884">
        <v>8</v>
      </c>
      <c r="H3884">
        <v>5</v>
      </c>
      <c r="I3884" t="s">
        <v>79</v>
      </c>
      <c r="J3884">
        <v>1500</v>
      </c>
      <c r="L3884">
        <v>9</v>
      </c>
      <c r="M3884">
        <v>348.02</v>
      </c>
      <c r="N3884">
        <v>7.2</v>
      </c>
      <c r="P3884" t="s">
        <v>34</v>
      </c>
      <c r="Q3884">
        <v>340.82</v>
      </c>
      <c r="R3884" t="s">
        <v>2706</v>
      </c>
      <c r="V3884">
        <v>0</v>
      </c>
      <c r="W3884">
        <v>0</v>
      </c>
      <c r="AF3884">
        <v>0</v>
      </c>
      <c r="AG3884">
        <v>0</v>
      </c>
      <c r="AH3884">
        <v>0</v>
      </c>
      <c r="AI3884">
        <v>12</v>
      </c>
      <c r="AJ3884">
        <v>12</v>
      </c>
      <c r="AM3884">
        <v>0</v>
      </c>
      <c r="AN3884">
        <v>353.02</v>
      </c>
      <c r="AP3884">
        <v>18</v>
      </c>
    </row>
    <row r="3885" spans="1:42" x14ac:dyDescent="0.25">
      <c r="A3885" t="s">
        <v>46</v>
      </c>
      <c r="B3885">
        <v>5</v>
      </c>
      <c r="C3885" t="s">
        <v>2686</v>
      </c>
      <c r="D3885" s="39">
        <v>46140</v>
      </c>
      <c r="E3885" t="s">
        <v>486</v>
      </c>
      <c r="F3885" t="s">
        <v>79</v>
      </c>
      <c r="G3885">
        <v>8</v>
      </c>
      <c r="H3885">
        <v>5</v>
      </c>
      <c r="I3885" t="s">
        <v>79</v>
      </c>
      <c r="J3885">
        <v>1500</v>
      </c>
      <c r="L3885">
        <v>6</v>
      </c>
      <c r="M3885">
        <v>271.2</v>
      </c>
      <c r="N3885">
        <v>4.8000000000000007</v>
      </c>
      <c r="P3885" t="s">
        <v>34</v>
      </c>
      <c r="Q3885">
        <v>266.39999999999998</v>
      </c>
      <c r="R3885" t="s">
        <v>2706</v>
      </c>
      <c r="V3885">
        <v>0</v>
      </c>
      <c r="W3885">
        <v>0</v>
      </c>
      <c r="Z3885">
        <v>60</v>
      </c>
      <c r="AF3885">
        <v>60</v>
      </c>
      <c r="AG3885">
        <v>1</v>
      </c>
      <c r="AH3885">
        <v>1</v>
      </c>
      <c r="AI3885">
        <v>11</v>
      </c>
      <c r="AJ3885">
        <v>12</v>
      </c>
      <c r="AM3885">
        <v>0</v>
      </c>
      <c r="AN3885">
        <v>276.2</v>
      </c>
      <c r="AP3885">
        <v>18</v>
      </c>
    </row>
    <row r="3886" spans="1:42" x14ac:dyDescent="0.25">
      <c r="A3886" t="s">
        <v>46</v>
      </c>
      <c r="B3886">
        <v>5</v>
      </c>
      <c r="C3886" t="s">
        <v>2716</v>
      </c>
      <c r="D3886" s="39">
        <v>46140</v>
      </c>
      <c r="E3886" t="s">
        <v>203</v>
      </c>
      <c r="F3886" t="s">
        <v>79</v>
      </c>
      <c r="G3886">
        <v>10</v>
      </c>
      <c r="H3886" t="s">
        <v>1049</v>
      </c>
      <c r="I3886" t="s">
        <v>79</v>
      </c>
      <c r="J3886">
        <v>100</v>
      </c>
      <c r="L3886">
        <v>1</v>
      </c>
      <c r="M3886">
        <v>55.26</v>
      </c>
      <c r="N3886">
        <v>1.3</v>
      </c>
      <c r="P3886" t="s">
        <v>34</v>
      </c>
      <c r="Q3886">
        <v>53.96</v>
      </c>
      <c r="R3886" t="s">
        <v>2717</v>
      </c>
      <c r="V3886">
        <v>0</v>
      </c>
      <c r="W3886">
        <v>0</v>
      </c>
      <c r="AF3886">
        <v>0</v>
      </c>
      <c r="AG3886">
        <v>0</v>
      </c>
      <c r="AH3886">
        <v>0</v>
      </c>
      <c r="AI3886">
        <v>12</v>
      </c>
      <c r="AJ3886">
        <v>12</v>
      </c>
      <c r="AM3886">
        <v>0</v>
      </c>
      <c r="AN3886">
        <v>60.26</v>
      </c>
      <c r="AP3886">
        <v>18</v>
      </c>
    </row>
    <row r="3887" spans="1:42" x14ac:dyDescent="0.25">
      <c r="A3887" t="s">
        <v>45</v>
      </c>
      <c r="B3887">
        <v>1</v>
      </c>
      <c r="C3887" t="s">
        <v>2691</v>
      </c>
      <c r="D3887" s="39">
        <v>46141</v>
      </c>
      <c r="E3887" t="s">
        <v>486</v>
      </c>
      <c r="F3887" t="s">
        <v>79</v>
      </c>
      <c r="G3887">
        <v>4</v>
      </c>
      <c r="H3887" t="s">
        <v>113</v>
      </c>
      <c r="I3887" t="s">
        <v>79</v>
      </c>
      <c r="J3887">
        <v>1000</v>
      </c>
      <c r="L3887">
        <v>6</v>
      </c>
      <c r="M3887">
        <v>138.58000000000001</v>
      </c>
      <c r="N3887">
        <v>2.4000000000000004</v>
      </c>
      <c r="O3887">
        <v>12</v>
      </c>
      <c r="P3887" t="s">
        <v>34</v>
      </c>
      <c r="Q3887">
        <v>136.18</v>
      </c>
      <c r="R3887" t="s">
        <v>2707</v>
      </c>
      <c r="S3887">
        <v>20</v>
      </c>
      <c r="V3887">
        <v>20</v>
      </c>
      <c r="W3887">
        <v>0.33333333333333331</v>
      </c>
      <c r="AF3887">
        <v>0</v>
      </c>
      <c r="AG3887">
        <v>0</v>
      </c>
      <c r="AH3887">
        <v>0.33333333333333331</v>
      </c>
      <c r="AI3887">
        <v>11.666666666666666</v>
      </c>
      <c r="AJ3887">
        <v>12</v>
      </c>
      <c r="AM3887">
        <v>0</v>
      </c>
      <c r="AN3887">
        <v>143.58000000000001</v>
      </c>
      <c r="AP3887">
        <v>18</v>
      </c>
    </row>
    <row r="3888" spans="1:42" x14ac:dyDescent="0.25">
      <c r="A3888" t="s">
        <v>46</v>
      </c>
      <c r="B3888">
        <v>1</v>
      </c>
      <c r="C3888" t="s">
        <v>2718</v>
      </c>
      <c r="D3888" s="39">
        <v>46141</v>
      </c>
      <c r="E3888" t="s">
        <v>486</v>
      </c>
      <c r="F3888" t="s">
        <v>79</v>
      </c>
      <c r="G3888">
        <v>2</v>
      </c>
      <c r="H3888" t="s">
        <v>92</v>
      </c>
      <c r="I3888" t="s">
        <v>79</v>
      </c>
      <c r="J3888" t="s">
        <v>2719</v>
      </c>
      <c r="L3888">
        <v>5</v>
      </c>
      <c r="M3888">
        <v>104.09</v>
      </c>
      <c r="N3888">
        <v>1</v>
      </c>
      <c r="O3888">
        <v>24</v>
      </c>
      <c r="P3888" t="s">
        <v>34</v>
      </c>
      <c r="Q3888">
        <v>103.09</v>
      </c>
      <c r="R3888" t="s">
        <v>2720</v>
      </c>
      <c r="V3888">
        <v>0</v>
      </c>
      <c r="W3888">
        <v>0</v>
      </c>
      <c r="AF3888">
        <v>0</v>
      </c>
      <c r="AG3888">
        <v>0</v>
      </c>
      <c r="AH3888">
        <v>0</v>
      </c>
      <c r="AI3888">
        <v>12</v>
      </c>
      <c r="AJ3888">
        <v>12</v>
      </c>
      <c r="AM3888">
        <v>0</v>
      </c>
      <c r="AN3888">
        <v>109.09</v>
      </c>
      <c r="AP3888">
        <v>18</v>
      </c>
    </row>
    <row r="3889" spans="1:42" x14ac:dyDescent="0.25">
      <c r="A3889" t="s">
        <v>45</v>
      </c>
      <c r="B3889">
        <v>2</v>
      </c>
      <c r="C3889" t="s">
        <v>2712</v>
      </c>
      <c r="D3889" s="39">
        <v>46141</v>
      </c>
      <c r="E3889" t="s">
        <v>1177</v>
      </c>
      <c r="F3889" t="s">
        <v>79</v>
      </c>
      <c r="G3889">
        <v>3.5</v>
      </c>
      <c r="H3889" t="s">
        <v>123</v>
      </c>
      <c r="I3889" t="s">
        <v>79</v>
      </c>
      <c r="J3889">
        <v>100</v>
      </c>
      <c r="L3889">
        <v>8</v>
      </c>
      <c r="M3889">
        <v>111.85000000000001</v>
      </c>
      <c r="N3889">
        <v>2.8</v>
      </c>
      <c r="P3889" t="s">
        <v>34</v>
      </c>
      <c r="Q3889">
        <v>109.05000000000001</v>
      </c>
      <c r="R3889" t="s">
        <v>2713</v>
      </c>
      <c r="S3889">
        <v>20</v>
      </c>
      <c r="V3889">
        <v>20</v>
      </c>
      <c r="W3889">
        <v>0.33333333333333331</v>
      </c>
      <c r="AF3889">
        <v>0</v>
      </c>
      <c r="AG3889">
        <v>0</v>
      </c>
      <c r="AH3889">
        <v>0.33333333333333331</v>
      </c>
      <c r="AI3889">
        <v>11.666666666666666</v>
      </c>
      <c r="AJ3889">
        <v>12</v>
      </c>
      <c r="AM3889">
        <v>0</v>
      </c>
      <c r="AN3889">
        <v>116.85</v>
      </c>
      <c r="AP3889">
        <v>18</v>
      </c>
    </row>
    <row r="3890" spans="1:42" x14ac:dyDescent="0.25">
      <c r="A3890" t="s">
        <v>46</v>
      </c>
      <c r="B3890">
        <v>2</v>
      </c>
      <c r="C3890" t="s">
        <v>2691</v>
      </c>
      <c r="D3890" s="39">
        <v>46141</v>
      </c>
      <c r="E3890" t="s">
        <v>486</v>
      </c>
      <c r="F3890" t="s">
        <v>79</v>
      </c>
      <c r="G3890">
        <v>4</v>
      </c>
      <c r="H3890" t="s">
        <v>113</v>
      </c>
      <c r="I3890" t="s">
        <v>79</v>
      </c>
      <c r="J3890">
        <v>1000</v>
      </c>
      <c r="L3890">
        <v>9</v>
      </c>
      <c r="M3890">
        <v>155.29</v>
      </c>
      <c r="N3890">
        <v>3.6</v>
      </c>
      <c r="P3890" t="s">
        <v>34</v>
      </c>
      <c r="Q3890">
        <v>151.69</v>
      </c>
      <c r="R3890" t="s">
        <v>2707</v>
      </c>
      <c r="V3890">
        <v>0</v>
      </c>
      <c r="W3890">
        <v>0</v>
      </c>
      <c r="AF3890">
        <v>0</v>
      </c>
      <c r="AG3890">
        <v>0</v>
      </c>
      <c r="AH3890">
        <v>0</v>
      </c>
      <c r="AI3890">
        <v>12</v>
      </c>
      <c r="AJ3890">
        <v>12</v>
      </c>
      <c r="AM3890">
        <v>0</v>
      </c>
      <c r="AN3890">
        <v>160.29</v>
      </c>
      <c r="AP3890">
        <v>18</v>
      </c>
    </row>
    <row r="3891" spans="1:42" x14ac:dyDescent="0.25">
      <c r="A3891" t="s">
        <v>45</v>
      </c>
      <c r="B3891">
        <v>5</v>
      </c>
      <c r="C3891" t="s">
        <v>2716</v>
      </c>
      <c r="D3891" s="39">
        <v>46141</v>
      </c>
      <c r="E3891" t="s">
        <v>203</v>
      </c>
      <c r="F3891" t="s">
        <v>79</v>
      </c>
      <c r="G3891">
        <v>10</v>
      </c>
      <c r="H3891" t="s">
        <v>1049</v>
      </c>
      <c r="I3891" t="s">
        <v>79</v>
      </c>
      <c r="J3891">
        <v>100</v>
      </c>
      <c r="L3891">
        <v>6</v>
      </c>
      <c r="M3891">
        <v>263</v>
      </c>
      <c r="N3891">
        <v>6</v>
      </c>
      <c r="P3891" t="s">
        <v>34</v>
      </c>
      <c r="Q3891">
        <v>257</v>
      </c>
      <c r="R3891" t="s">
        <v>2717</v>
      </c>
      <c r="V3891">
        <v>0</v>
      </c>
      <c r="W3891">
        <v>0</v>
      </c>
      <c r="AF3891">
        <v>0</v>
      </c>
      <c r="AG3891">
        <v>0</v>
      </c>
      <c r="AH3891">
        <v>0</v>
      </c>
      <c r="AI3891">
        <v>12</v>
      </c>
      <c r="AJ3891">
        <v>12</v>
      </c>
      <c r="AM3891">
        <v>0</v>
      </c>
      <c r="AN3891">
        <v>268</v>
      </c>
      <c r="AP3891">
        <v>18</v>
      </c>
    </row>
    <row r="3892" spans="1:42" x14ac:dyDescent="0.25">
      <c r="A3892" t="s">
        <v>45</v>
      </c>
      <c r="B3892">
        <v>5</v>
      </c>
      <c r="C3892" t="s">
        <v>2721</v>
      </c>
      <c r="D3892" s="39">
        <v>46141</v>
      </c>
      <c r="E3892" t="s">
        <v>2500</v>
      </c>
      <c r="F3892" t="s">
        <v>79</v>
      </c>
      <c r="G3892">
        <v>11</v>
      </c>
      <c r="H3892" t="s">
        <v>1049</v>
      </c>
      <c r="I3892" t="s">
        <v>79</v>
      </c>
      <c r="J3892">
        <v>100</v>
      </c>
      <c r="L3892">
        <v>4</v>
      </c>
      <c r="M3892">
        <v>116.97999999999999</v>
      </c>
      <c r="N3892">
        <v>4.4000000000000004</v>
      </c>
      <c r="P3892" t="s">
        <v>34</v>
      </c>
      <c r="Q3892">
        <v>112.57999999999998</v>
      </c>
      <c r="R3892" t="s">
        <v>2722</v>
      </c>
      <c r="S3892">
        <v>25</v>
      </c>
      <c r="V3892">
        <v>25</v>
      </c>
      <c r="W3892">
        <v>0.41666666666666674</v>
      </c>
      <c r="AF3892">
        <v>0</v>
      </c>
      <c r="AG3892">
        <v>0</v>
      </c>
      <c r="AH3892">
        <v>0.41666666666666674</v>
      </c>
      <c r="AI3892">
        <v>11.583333333333334</v>
      </c>
      <c r="AJ3892">
        <v>12</v>
      </c>
      <c r="AM3892">
        <v>0</v>
      </c>
      <c r="AN3892">
        <v>121.98</v>
      </c>
      <c r="AP3892">
        <v>18</v>
      </c>
    </row>
    <row r="3893" spans="1:42" x14ac:dyDescent="0.25">
      <c r="A3893" t="s">
        <v>46</v>
      </c>
      <c r="B3893">
        <v>5</v>
      </c>
      <c r="C3893" t="s">
        <v>2723</v>
      </c>
      <c r="D3893" s="39">
        <v>46141</v>
      </c>
      <c r="E3893" t="s">
        <v>2724</v>
      </c>
      <c r="F3893" t="s">
        <v>79</v>
      </c>
      <c r="G3893">
        <v>11</v>
      </c>
      <c r="H3893" t="s">
        <v>102</v>
      </c>
      <c r="I3893" t="s">
        <v>79</v>
      </c>
      <c r="J3893">
        <v>200</v>
      </c>
      <c r="L3893">
        <v>7</v>
      </c>
      <c r="M3893">
        <v>317.39999999999998</v>
      </c>
      <c r="N3893">
        <v>9.1</v>
      </c>
      <c r="P3893" t="s">
        <v>34</v>
      </c>
      <c r="Q3893">
        <v>308.29999999999995</v>
      </c>
      <c r="R3893" t="s">
        <v>2725</v>
      </c>
      <c r="V3893">
        <v>0</v>
      </c>
      <c r="W3893">
        <v>0</v>
      </c>
      <c r="AF3893">
        <v>0</v>
      </c>
      <c r="AG3893">
        <v>0</v>
      </c>
      <c r="AH3893">
        <v>0</v>
      </c>
      <c r="AI3893">
        <v>12</v>
      </c>
      <c r="AJ3893">
        <v>12</v>
      </c>
      <c r="AM3893">
        <v>0</v>
      </c>
      <c r="AN3893">
        <v>322.39999999999998</v>
      </c>
      <c r="AP3893">
        <v>18</v>
      </c>
    </row>
    <row r="3894" spans="1:42" x14ac:dyDescent="0.25">
      <c r="A3894" t="s">
        <v>46</v>
      </c>
      <c r="B3894">
        <v>5</v>
      </c>
      <c r="C3894" t="s">
        <v>2726</v>
      </c>
      <c r="D3894" s="39">
        <v>46141</v>
      </c>
      <c r="E3894" t="s">
        <v>911</v>
      </c>
      <c r="F3894" t="s">
        <v>79</v>
      </c>
      <c r="G3894">
        <v>17</v>
      </c>
      <c r="H3894" t="s">
        <v>102</v>
      </c>
      <c r="I3894" t="s">
        <v>79</v>
      </c>
      <c r="J3894">
        <v>200</v>
      </c>
      <c r="L3894">
        <v>3</v>
      </c>
      <c r="M3894">
        <v>105.06</v>
      </c>
      <c r="N3894">
        <v>3.5999999999999996</v>
      </c>
      <c r="P3894" t="s">
        <v>34</v>
      </c>
      <c r="Q3894">
        <v>101.46000000000001</v>
      </c>
      <c r="R3894" t="s">
        <v>2727</v>
      </c>
      <c r="V3894">
        <v>0</v>
      </c>
      <c r="W3894">
        <v>0</v>
      </c>
      <c r="AF3894">
        <v>0</v>
      </c>
      <c r="AG3894">
        <v>0</v>
      </c>
      <c r="AH3894">
        <v>0</v>
      </c>
      <c r="AI3894">
        <v>12</v>
      </c>
      <c r="AJ3894">
        <v>12</v>
      </c>
      <c r="AM3894">
        <v>0</v>
      </c>
      <c r="AN3894">
        <v>110.06</v>
      </c>
      <c r="AP3894">
        <v>18</v>
      </c>
    </row>
    <row r="3895" spans="1:42" x14ac:dyDescent="0.25">
      <c r="A3895" t="s">
        <v>45</v>
      </c>
      <c r="B3895">
        <v>4</v>
      </c>
      <c r="C3895" t="s">
        <v>2714</v>
      </c>
      <c r="D3895" s="39">
        <v>46141</v>
      </c>
      <c r="E3895" t="s">
        <v>200</v>
      </c>
      <c r="F3895" t="s">
        <v>79</v>
      </c>
      <c r="G3895">
        <v>20</v>
      </c>
      <c r="H3895" t="s">
        <v>944</v>
      </c>
      <c r="I3895" t="s">
        <v>79</v>
      </c>
      <c r="J3895">
        <v>1000</v>
      </c>
      <c r="L3895">
        <v>3</v>
      </c>
      <c r="M3895">
        <v>181.92</v>
      </c>
      <c r="N3895">
        <v>6</v>
      </c>
      <c r="P3895" t="s">
        <v>34</v>
      </c>
      <c r="Q3895">
        <v>175.92</v>
      </c>
      <c r="R3895" t="s">
        <v>2715</v>
      </c>
      <c r="V3895">
        <v>0</v>
      </c>
      <c r="W3895">
        <v>0</v>
      </c>
      <c r="AF3895">
        <v>0</v>
      </c>
      <c r="AG3895">
        <v>0</v>
      </c>
      <c r="AH3895">
        <v>0</v>
      </c>
      <c r="AI3895">
        <v>12</v>
      </c>
      <c r="AJ3895">
        <v>12</v>
      </c>
      <c r="AM3895">
        <v>0</v>
      </c>
      <c r="AN3895">
        <v>186.92</v>
      </c>
      <c r="AP3895">
        <v>18</v>
      </c>
    </row>
    <row r="3896" spans="1:42" x14ac:dyDescent="0.25">
      <c r="A3896" t="s">
        <v>45</v>
      </c>
      <c r="B3896">
        <v>4</v>
      </c>
      <c r="C3896" t="s">
        <v>2728</v>
      </c>
      <c r="D3896" s="39">
        <v>46141</v>
      </c>
      <c r="E3896" t="s">
        <v>1446</v>
      </c>
      <c r="F3896" t="s">
        <v>79</v>
      </c>
      <c r="G3896">
        <v>14</v>
      </c>
      <c r="H3896" t="s">
        <v>102</v>
      </c>
      <c r="I3896" t="s">
        <v>79</v>
      </c>
      <c r="J3896">
        <v>500</v>
      </c>
      <c r="L3896">
        <v>6</v>
      </c>
      <c r="M3896">
        <v>245.55999999999997</v>
      </c>
      <c r="N3896">
        <v>8.3999999999999986</v>
      </c>
      <c r="P3896" t="s">
        <v>34</v>
      </c>
      <c r="Q3896">
        <v>237.15999999999997</v>
      </c>
      <c r="R3896" t="s">
        <v>2729</v>
      </c>
      <c r="V3896">
        <v>0</v>
      </c>
      <c r="W3896">
        <v>0</v>
      </c>
      <c r="AF3896">
        <v>0</v>
      </c>
      <c r="AG3896">
        <v>0</v>
      </c>
      <c r="AH3896">
        <v>0</v>
      </c>
      <c r="AI3896">
        <v>12</v>
      </c>
      <c r="AJ3896">
        <v>12</v>
      </c>
      <c r="AM3896">
        <v>0</v>
      </c>
      <c r="AN3896">
        <v>250.55999999999997</v>
      </c>
      <c r="AP3896">
        <v>18</v>
      </c>
    </row>
    <row r="3897" spans="1:42" x14ac:dyDescent="0.25">
      <c r="A3897" t="s">
        <v>46</v>
      </c>
      <c r="B3897">
        <v>4</v>
      </c>
      <c r="C3897" t="s">
        <v>2728</v>
      </c>
      <c r="D3897" s="39">
        <v>46141</v>
      </c>
      <c r="E3897" t="s">
        <v>1446</v>
      </c>
      <c r="F3897" t="s">
        <v>79</v>
      </c>
      <c r="G3897">
        <v>14</v>
      </c>
      <c r="H3897" t="s">
        <v>102</v>
      </c>
      <c r="I3897" t="s">
        <v>79</v>
      </c>
      <c r="J3897">
        <v>500</v>
      </c>
      <c r="L3897">
        <v>5</v>
      </c>
      <c r="M3897">
        <v>276.94</v>
      </c>
      <c r="N3897">
        <v>8</v>
      </c>
      <c r="P3897" t="s">
        <v>34</v>
      </c>
      <c r="Q3897">
        <v>268.94</v>
      </c>
      <c r="R3897" t="s">
        <v>2729</v>
      </c>
      <c r="S3897">
        <v>25</v>
      </c>
      <c r="V3897">
        <v>25</v>
      </c>
      <c r="W3897">
        <v>0.41666666666666674</v>
      </c>
      <c r="AD3897">
        <v>60</v>
      </c>
      <c r="AF3897">
        <v>60</v>
      </c>
      <c r="AG3897">
        <v>1</v>
      </c>
      <c r="AH3897">
        <v>1.4166666666666667</v>
      </c>
      <c r="AI3897">
        <v>10.583333333333334</v>
      </c>
      <c r="AJ3897">
        <v>12</v>
      </c>
      <c r="AM3897">
        <v>0</v>
      </c>
      <c r="AN3897">
        <v>281.94</v>
      </c>
      <c r="AP3897">
        <v>18</v>
      </c>
    </row>
    <row r="3898" spans="1:42" x14ac:dyDescent="0.25">
      <c r="A3898" t="s">
        <v>45</v>
      </c>
      <c r="B3898">
        <v>1</v>
      </c>
      <c r="C3898" t="s">
        <v>2718</v>
      </c>
      <c r="D3898" s="39">
        <v>46142</v>
      </c>
      <c r="E3898" t="s">
        <v>486</v>
      </c>
      <c r="F3898" t="s">
        <v>79</v>
      </c>
      <c r="G3898">
        <v>2</v>
      </c>
      <c r="H3898" t="s">
        <v>92</v>
      </c>
      <c r="I3898" t="s">
        <v>79</v>
      </c>
      <c r="J3898" t="s">
        <v>2719</v>
      </c>
      <c r="L3898">
        <v>6</v>
      </c>
      <c r="M3898">
        <v>108.43</v>
      </c>
      <c r="N3898">
        <v>1.2000000000000002</v>
      </c>
      <c r="P3898" t="s">
        <v>34</v>
      </c>
      <c r="Q3898">
        <v>107.23</v>
      </c>
      <c r="R3898" t="s">
        <v>2720</v>
      </c>
      <c r="V3898">
        <v>0</v>
      </c>
      <c r="W3898">
        <v>0</v>
      </c>
      <c r="AF3898">
        <v>0</v>
      </c>
      <c r="AG3898">
        <v>0</v>
      </c>
      <c r="AH3898">
        <v>0</v>
      </c>
      <c r="AI3898">
        <v>12</v>
      </c>
      <c r="AJ3898">
        <v>12</v>
      </c>
      <c r="AM3898">
        <v>0</v>
      </c>
      <c r="AN3898">
        <v>113.43</v>
      </c>
      <c r="AP3898">
        <v>18</v>
      </c>
    </row>
    <row r="3899" spans="1:42" x14ac:dyDescent="0.25">
      <c r="A3899" t="s">
        <v>46</v>
      </c>
      <c r="B3899">
        <v>1</v>
      </c>
      <c r="C3899" t="s">
        <v>2718</v>
      </c>
      <c r="D3899" s="39">
        <v>46142</v>
      </c>
      <c r="E3899" t="s">
        <v>486</v>
      </c>
      <c r="F3899" t="s">
        <v>79</v>
      </c>
      <c r="G3899">
        <v>2</v>
      </c>
      <c r="H3899" t="s">
        <v>92</v>
      </c>
      <c r="I3899" t="s">
        <v>79</v>
      </c>
      <c r="J3899" t="s">
        <v>2719</v>
      </c>
      <c r="L3899">
        <v>2</v>
      </c>
      <c r="M3899">
        <v>45.24</v>
      </c>
      <c r="N3899">
        <v>0.4</v>
      </c>
      <c r="P3899" t="s">
        <v>34</v>
      </c>
      <c r="Q3899">
        <v>44.84</v>
      </c>
      <c r="R3899" t="s">
        <v>2720</v>
      </c>
      <c r="V3899">
        <v>0</v>
      </c>
      <c r="W3899">
        <v>0</v>
      </c>
      <c r="AF3899">
        <v>0</v>
      </c>
      <c r="AG3899">
        <v>0</v>
      </c>
      <c r="AH3899">
        <v>0</v>
      </c>
      <c r="AI3899">
        <v>12</v>
      </c>
      <c r="AJ3899">
        <v>12</v>
      </c>
      <c r="AM3899">
        <v>0</v>
      </c>
      <c r="AN3899">
        <v>50.24</v>
      </c>
      <c r="AP3899">
        <v>18</v>
      </c>
    </row>
    <row r="3900" spans="1:42" x14ac:dyDescent="0.25">
      <c r="A3900" t="s">
        <v>46</v>
      </c>
      <c r="B3900">
        <v>1</v>
      </c>
      <c r="C3900" t="s">
        <v>2712</v>
      </c>
      <c r="D3900" s="39">
        <v>46142</v>
      </c>
      <c r="E3900" t="s">
        <v>1177</v>
      </c>
      <c r="F3900" t="s">
        <v>79</v>
      </c>
      <c r="G3900">
        <v>3.5</v>
      </c>
      <c r="H3900" t="s">
        <v>123</v>
      </c>
      <c r="I3900" t="s">
        <v>79</v>
      </c>
      <c r="J3900">
        <v>100</v>
      </c>
      <c r="L3900">
        <v>3</v>
      </c>
      <c r="M3900">
        <v>42</v>
      </c>
      <c r="N3900">
        <v>0.60000000000000009</v>
      </c>
      <c r="P3900" t="s">
        <v>34</v>
      </c>
      <c r="Q3900">
        <v>41.4</v>
      </c>
      <c r="R3900" t="s">
        <v>2713</v>
      </c>
      <c r="V3900">
        <v>0</v>
      </c>
      <c r="W3900">
        <v>0</v>
      </c>
      <c r="AF3900">
        <v>0</v>
      </c>
      <c r="AG3900">
        <v>0</v>
      </c>
      <c r="AH3900">
        <v>0</v>
      </c>
      <c r="AI3900">
        <v>12</v>
      </c>
      <c r="AJ3900">
        <v>12</v>
      </c>
      <c r="AM3900">
        <v>0</v>
      </c>
      <c r="AN3900">
        <v>47</v>
      </c>
      <c r="AP3900">
        <v>18</v>
      </c>
    </row>
    <row r="3901" spans="1:42" x14ac:dyDescent="0.25">
      <c r="A3901" t="s">
        <v>45</v>
      </c>
      <c r="B3901">
        <v>2</v>
      </c>
      <c r="C3901" t="s">
        <v>2691</v>
      </c>
      <c r="D3901" s="39">
        <v>46142</v>
      </c>
      <c r="E3901" t="s">
        <v>486</v>
      </c>
      <c r="F3901" t="s">
        <v>79</v>
      </c>
      <c r="G3901">
        <v>4</v>
      </c>
      <c r="H3901" t="s">
        <v>113</v>
      </c>
      <c r="I3901" t="s">
        <v>79</v>
      </c>
      <c r="J3901">
        <v>1000</v>
      </c>
      <c r="L3901">
        <v>4</v>
      </c>
      <c r="M3901">
        <v>58.49</v>
      </c>
      <c r="N3901">
        <v>1.6</v>
      </c>
      <c r="P3901" t="s">
        <v>34</v>
      </c>
      <c r="Q3901">
        <v>56.89</v>
      </c>
      <c r="R3901" t="s">
        <v>2707</v>
      </c>
      <c r="V3901">
        <v>0</v>
      </c>
      <c r="W3901">
        <v>0</v>
      </c>
      <c r="AF3901">
        <v>0</v>
      </c>
      <c r="AG3901">
        <v>0</v>
      </c>
      <c r="AH3901">
        <v>0</v>
      </c>
      <c r="AI3901">
        <v>12</v>
      </c>
      <c r="AJ3901">
        <v>12</v>
      </c>
      <c r="AM3901">
        <v>0</v>
      </c>
      <c r="AN3901">
        <v>63.49</v>
      </c>
      <c r="AP3901">
        <v>18</v>
      </c>
    </row>
    <row r="3902" spans="1:42" x14ac:dyDescent="0.25">
      <c r="A3902" t="s">
        <v>45</v>
      </c>
      <c r="B3902">
        <v>2</v>
      </c>
      <c r="C3902" t="s">
        <v>2730</v>
      </c>
      <c r="D3902" s="39">
        <v>46142</v>
      </c>
      <c r="E3902" t="s">
        <v>2731</v>
      </c>
      <c r="F3902" t="s">
        <v>79</v>
      </c>
      <c r="G3902">
        <v>7</v>
      </c>
      <c r="H3902">
        <v>6.5</v>
      </c>
      <c r="I3902" t="s">
        <v>79</v>
      </c>
      <c r="J3902">
        <v>200</v>
      </c>
      <c r="L3902">
        <v>4</v>
      </c>
      <c r="M3902">
        <v>74.78</v>
      </c>
      <c r="N3902">
        <v>2.8</v>
      </c>
      <c r="P3902" t="s">
        <v>34</v>
      </c>
      <c r="Q3902">
        <v>71.98</v>
      </c>
      <c r="R3902" t="s">
        <v>2732</v>
      </c>
      <c r="V3902">
        <v>0</v>
      </c>
      <c r="W3902">
        <v>0</v>
      </c>
      <c r="AF3902">
        <v>0</v>
      </c>
      <c r="AG3902">
        <v>0</v>
      </c>
      <c r="AH3902">
        <v>0</v>
      </c>
      <c r="AI3902">
        <v>12</v>
      </c>
      <c r="AJ3902">
        <v>12</v>
      </c>
      <c r="AM3902">
        <v>0</v>
      </c>
      <c r="AN3902">
        <v>79.78</v>
      </c>
      <c r="AP3902">
        <v>18</v>
      </c>
    </row>
    <row r="3903" spans="1:42" x14ac:dyDescent="0.25">
      <c r="A3903" t="s">
        <v>45</v>
      </c>
      <c r="B3903">
        <v>2</v>
      </c>
      <c r="C3903" t="s">
        <v>2733</v>
      </c>
      <c r="D3903" s="39">
        <v>46142</v>
      </c>
      <c r="E3903" t="s">
        <v>486</v>
      </c>
      <c r="F3903" t="s">
        <v>79</v>
      </c>
      <c r="G3903">
        <v>7</v>
      </c>
      <c r="H3903">
        <v>5</v>
      </c>
      <c r="I3903" t="s">
        <v>79</v>
      </c>
      <c r="J3903">
        <v>1000</v>
      </c>
      <c r="L3903">
        <v>3</v>
      </c>
      <c r="M3903">
        <v>68.819999999999993</v>
      </c>
      <c r="N3903">
        <v>2.0999999999999996</v>
      </c>
      <c r="P3903" t="s">
        <v>34</v>
      </c>
      <c r="Q3903">
        <v>66.72</v>
      </c>
      <c r="R3903" t="s">
        <v>2734</v>
      </c>
      <c r="S3903">
        <v>40</v>
      </c>
      <c r="V3903">
        <v>40</v>
      </c>
      <c r="W3903">
        <v>0.66666666666666663</v>
      </c>
      <c r="AF3903">
        <v>0</v>
      </c>
      <c r="AG3903">
        <v>0</v>
      </c>
      <c r="AH3903">
        <v>0.66666666666666663</v>
      </c>
      <c r="AI3903">
        <v>11.333333333333334</v>
      </c>
      <c r="AJ3903">
        <v>12</v>
      </c>
      <c r="AM3903">
        <v>0</v>
      </c>
      <c r="AN3903">
        <v>73.819999999999993</v>
      </c>
      <c r="AP3903">
        <v>18</v>
      </c>
    </row>
    <row r="3904" spans="1:42" x14ac:dyDescent="0.25">
      <c r="A3904" t="s">
        <v>46</v>
      </c>
      <c r="B3904">
        <v>2</v>
      </c>
      <c r="C3904" t="s">
        <v>2730</v>
      </c>
      <c r="D3904" s="39">
        <v>46142</v>
      </c>
      <c r="E3904" t="s">
        <v>2731</v>
      </c>
      <c r="F3904" t="s">
        <v>79</v>
      </c>
      <c r="G3904">
        <v>7</v>
      </c>
      <c r="H3904">
        <v>6.5</v>
      </c>
      <c r="I3904" t="s">
        <v>79</v>
      </c>
      <c r="J3904">
        <v>200</v>
      </c>
      <c r="L3904">
        <v>6</v>
      </c>
      <c r="M3904">
        <v>126.53</v>
      </c>
      <c r="N3904">
        <v>4.1999999999999993</v>
      </c>
      <c r="P3904" t="s">
        <v>34</v>
      </c>
      <c r="Q3904">
        <v>122.33</v>
      </c>
      <c r="R3904" t="s">
        <v>2732</v>
      </c>
      <c r="S3904">
        <v>20</v>
      </c>
      <c r="V3904">
        <v>20</v>
      </c>
      <c r="W3904">
        <v>0.33333333333333331</v>
      </c>
      <c r="AF3904">
        <v>0</v>
      </c>
      <c r="AG3904">
        <v>0</v>
      </c>
      <c r="AH3904">
        <v>0.33333333333333331</v>
      </c>
      <c r="AI3904">
        <v>11.666666666666666</v>
      </c>
      <c r="AJ3904">
        <v>12</v>
      </c>
      <c r="AM3904">
        <v>0</v>
      </c>
      <c r="AN3904">
        <v>131.53</v>
      </c>
      <c r="AP3904">
        <v>18</v>
      </c>
    </row>
    <row r="3905" spans="1:42" x14ac:dyDescent="0.25">
      <c r="A3905" t="s">
        <v>46</v>
      </c>
      <c r="B3905">
        <v>2</v>
      </c>
      <c r="C3905" t="s">
        <v>2735</v>
      </c>
      <c r="D3905" s="39">
        <v>46142</v>
      </c>
      <c r="E3905" t="s">
        <v>655</v>
      </c>
      <c r="F3905" t="s">
        <v>79</v>
      </c>
      <c r="G3905">
        <v>6</v>
      </c>
      <c r="H3905" t="s">
        <v>944</v>
      </c>
      <c r="I3905" t="s">
        <v>79</v>
      </c>
      <c r="J3905">
        <v>100</v>
      </c>
      <c r="L3905">
        <v>3</v>
      </c>
      <c r="M3905">
        <v>70.7</v>
      </c>
      <c r="N3905">
        <v>1.7999999999999998</v>
      </c>
      <c r="P3905" t="s">
        <v>34</v>
      </c>
      <c r="Q3905">
        <v>68.900000000000006</v>
      </c>
      <c r="R3905" t="s">
        <v>2736</v>
      </c>
      <c r="V3905">
        <v>0</v>
      </c>
      <c r="W3905">
        <v>0</v>
      </c>
      <c r="AF3905">
        <v>0</v>
      </c>
      <c r="AG3905">
        <v>0</v>
      </c>
      <c r="AH3905">
        <v>0</v>
      </c>
      <c r="AI3905">
        <v>12</v>
      </c>
      <c r="AJ3905">
        <v>12</v>
      </c>
      <c r="AM3905">
        <v>0</v>
      </c>
      <c r="AN3905">
        <v>75.7</v>
      </c>
      <c r="AP3905">
        <v>18</v>
      </c>
    </row>
    <row r="3906" spans="1:42" x14ac:dyDescent="0.25">
      <c r="A3906" t="s">
        <v>45</v>
      </c>
      <c r="B3906">
        <v>4</v>
      </c>
      <c r="C3906" t="s">
        <v>2607</v>
      </c>
      <c r="D3906" s="39">
        <v>46142</v>
      </c>
      <c r="E3906" t="s">
        <v>243</v>
      </c>
      <c r="F3906" t="s">
        <v>79</v>
      </c>
      <c r="G3906">
        <v>16.2</v>
      </c>
      <c r="H3906" t="s">
        <v>81</v>
      </c>
      <c r="I3906" t="s">
        <v>79</v>
      </c>
      <c r="J3906">
        <v>5000</v>
      </c>
      <c r="L3906">
        <v>6</v>
      </c>
      <c r="M3906">
        <v>305</v>
      </c>
      <c r="N3906">
        <v>9.6000000000000014</v>
      </c>
      <c r="P3906" t="s">
        <v>34</v>
      </c>
      <c r="Q3906">
        <v>295.39999999999998</v>
      </c>
      <c r="R3906" t="s">
        <v>2703</v>
      </c>
      <c r="V3906">
        <v>0</v>
      </c>
      <c r="W3906">
        <v>0</v>
      </c>
      <c r="AF3906">
        <v>0</v>
      </c>
      <c r="AG3906">
        <v>0</v>
      </c>
      <c r="AH3906">
        <v>0</v>
      </c>
      <c r="AI3906">
        <v>12</v>
      </c>
      <c r="AJ3906">
        <v>12</v>
      </c>
      <c r="AM3906">
        <v>0</v>
      </c>
      <c r="AN3906">
        <v>310</v>
      </c>
      <c r="AP3906">
        <v>18</v>
      </c>
    </row>
    <row r="3907" spans="1:42" x14ac:dyDescent="0.25">
      <c r="A3907" t="s">
        <v>45</v>
      </c>
      <c r="B3907">
        <v>4</v>
      </c>
      <c r="C3907" t="s">
        <v>2737</v>
      </c>
      <c r="D3907" s="39">
        <v>46142</v>
      </c>
      <c r="E3907" t="s">
        <v>639</v>
      </c>
      <c r="F3907" t="s">
        <v>79</v>
      </c>
      <c r="G3907">
        <v>13</v>
      </c>
      <c r="H3907" t="s">
        <v>102</v>
      </c>
      <c r="I3907" t="s">
        <v>79</v>
      </c>
      <c r="J3907">
        <v>400</v>
      </c>
      <c r="L3907">
        <v>4</v>
      </c>
      <c r="M3907">
        <v>164.78</v>
      </c>
      <c r="N3907">
        <v>5.2</v>
      </c>
      <c r="P3907" t="s">
        <v>34</v>
      </c>
      <c r="Q3907">
        <v>159.58000000000001</v>
      </c>
      <c r="R3907" t="s">
        <v>2738</v>
      </c>
      <c r="V3907">
        <v>0</v>
      </c>
      <c r="W3907">
        <v>0</v>
      </c>
      <c r="AF3907">
        <v>0</v>
      </c>
      <c r="AG3907">
        <v>0</v>
      </c>
      <c r="AH3907">
        <v>0</v>
      </c>
      <c r="AI3907">
        <v>12</v>
      </c>
      <c r="AJ3907">
        <v>12</v>
      </c>
      <c r="AM3907">
        <v>0</v>
      </c>
      <c r="AN3907">
        <v>169.78</v>
      </c>
      <c r="AP3907">
        <v>18</v>
      </c>
    </row>
    <row r="3908" spans="1:42" x14ac:dyDescent="0.25">
      <c r="A3908" t="s">
        <v>45</v>
      </c>
      <c r="B3908">
        <v>4</v>
      </c>
      <c r="C3908" t="s">
        <v>2216</v>
      </c>
      <c r="D3908" s="39">
        <v>46142</v>
      </c>
      <c r="E3908" t="s">
        <v>486</v>
      </c>
      <c r="F3908" t="s">
        <v>79</v>
      </c>
      <c r="G3908">
        <v>16</v>
      </c>
      <c r="H3908">
        <v>5</v>
      </c>
      <c r="I3908" t="s">
        <v>79</v>
      </c>
      <c r="J3908">
        <v>1000</v>
      </c>
      <c r="L3908">
        <v>2</v>
      </c>
      <c r="M3908">
        <v>87.240000000000009</v>
      </c>
      <c r="N3908">
        <v>3.2</v>
      </c>
      <c r="O3908">
        <v>33</v>
      </c>
      <c r="P3908" t="s">
        <v>34</v>
      </c>
      <c r="Q3908">
        <v>84.04</v>
      </c>
      <c r="R3908" t="s">
        <v>2739</v>
      </c>
      <c r="S3908">
        <v>25</v>
      </c>
      <c r="V3908">
        <v>25</v>
      </c>
      <c r="W3908">
        <v>0.41666666666666674</v>
      </c>
      <c r="AF3908">
        <v>0</v>
      </c>
      <c r="AG3908">
        <v>0</v>
      </c>
      <c r="AH3908">
        <v>0.41666666666666674</v>
      </c>
      <c r="AI3908">
        <v>11.583333333333334</v>
      </c>
      <c r="AJ3908">
        <v>12</v>
      </c>
      <c r="AM3908">
        <v>0</v>
      </c>
      <c r="AN3908">
        <v>92.240000000000009</v>
      </c>
      <c r="AP3908">
        <v>18</v>
      </c>
    </row>
    <row r="3909" spans="1:42" x14ac:dyDescent="0.25">
      <c r="A3909" t="s">
        <v>46</v>
      </c>
      <c r="B3909">
        <v>4</v>
      </c>
      <c r="C3909" t="s">
        <v>2737</v>
      </c>
      <c r="D3909" s="39">
        <v>46142</v>
      </c>
      <c r="E3909" t="s">
        <v>639</v>
      </c>
      <c r="F3909" t="s">
        <v>79</v>
      </c>
      <c r="G3909">
        <v>13</v>
      </c>
      <c r="H3909" t="s">
        <v>102</v>
      </c>
      <c r="I3909" t="s">
        <v>79</v>
      </c>
      <c r="J3909">
        <v>400</v>
      </c>
      <c r="L3909">
        <v>10</v>
      </c>
      <c r="M3909">
        <v>565.17999999999995</v>
      </c>
      <c r="N3909">
        <v>13</v>
      </c>
      <c r="O3909">
        <v>30</v>
      </c>
      <c r="P3909" t="s">
        <v>34</v>
      </c>
      <c r="Q3909">
        <v>552.17999999999995</v>
      </c>
      <c r="R3909" t="s">
        <v>2738</v>
      </c>
      <c r="V3909">
        <v>0</v>
      </c>
      <c r="W3909">
        <v>0</v>
      </c>
      <c r="AF3909">
        <v>0</v>
      </c>
      <c r="AG3909">
        <v>0</v>
      </c>
      <c r="AH3909">
        <v>0</v>
      </c>
      <c r="AI3909">
        <v>12</v>
      </c>
      <c r="AJ3909">
        <v>12</v>
      </c>
      <c r="AM3909">
        <v>0</v>
      </c>
      <c r="AN3909">
        <v>570.17999999999995</v>
      </c>
      <c r="AP3909">
        <v>18</v>
      </c>
    </row>
    <row r="3910" spans="1:42" x14ac:dyDescent="0.25">
      <c r="A3910" t="s">
        <v>45</v>
      </c>
      <c r="B3910">
        <v>5</v>
      </c>
      <c r="C3910" t="s">
        <v>2740</v>
      </c>
      <c r="D3910" s="39">
        <v>46142</v>
      </c>
      <c r="E3910" t="s">
        <v>2731</v>
      </c>
      <c r="F3910" t="s">
        <v>79</v>
      </c>
      <c r="G3910">
        <v>11</v>
      </c>
      <c r="H3910">
        <v>6.5</v>
      </c>
      <c r="I3910" t="s">
        <v>79</v>
      </c>
      <c r="J3910">
        <v>300</v>
      </c>
      <c r="L3910">
        <v>8</v>
      </c>
      <c r="M3910">
        <v>218.76</v>
      </c>
      <c r="N3910">
        <v>8.8000000000000007</v>
      </c>
      <c r="P3910" t="s">
        <v>34</v>
      </c>
      <c r="Q3910">
        <v>209.95999999999998</v>
      </c>
      <c r="R3910" t="s">
        <v>2741</v>
      </c>
      <c r="V3910">
        <v>0</v>
      </c>
      <c r="W3910">
        <v>0</v>
      </c>
      <c r="AF3910">
        <v>0</v>
      </c>
      <c r="AG3910">
        <v>0</v>
      </c>
      <c r="AH3910">
        <v>0</v>
      </c>
      <c r="AI3910">
        <v>12</v>
      </c>
      <c r="AJ3910">
        <v>12</v>
      </c>
      <c r="AM3910">
        <v>0</v>
      </c>
      <c r="AN3910">
        <v>223.76</v>
      </c>
      <c r="AP3910">
        <v>18</v>
      </c>
    </row>
    <row r="3911" spans="1:42" x14ac:dyDescent="0.25">
      <c r="A3911" t="s">
        <v>45</v>
      </c>
      <c r="B3911">
        <v>5</v>
      </c>
      <c r="C3911" t="s">
        <v>821</v>
      </c>
      <c r="D3911" s="39">
        <v>46142</v>
      </c>
      <c r="E3911" t="s">
        <v>486</v>
      </c>
      <c r="F3911" t="s">
        <v>79</v>
      </c>
      <c r="G3911">
        <v>12</v>
      </c>
      <c r="H3911">
        <v>5</v>
      </c>
      <c r="I3911" t="s">
        <v>79</v>
      </c>
      <c r="J3911">
        <v>500</v>
      </c>
      <c r="L3911">
        <v>1</v>
      </c>
      <c r="M3911">
        <v>18.8</v>
      </c>
      <c r="N3911">
        <v>1.2</v>
      </c>
      <c r="P3911" t="s">
        <v>34</v>
      </c>
      <c r="Q3911">
        <v>17.600000000000001</v>
      </c>
      <c r="R3911" t="s">
        <v>2742</v>
      </c>
      <c r="S3911">
        <v>25</v>
      </c>
      <c r="V3911">
        <v>25</v>
      </c>
      <c r="W3911">
        <v>0.41666666666666674</v>
      </c>
      <c r="AD3911">
        <v>30</v>
      </c>
      <c r="AF3911">
        <v>30</v>
      </c>
      <c r="AG3911">
        <v>0.5</v>
      </c>
      <c r="AH3911">
        <v>0.91666666666666674</v>
      </c>
      <c r="AI3911">
        <v>11.083333333333334</v>
      </c>
      <c r="AJ3911">
        <v>12</v>
      </c>
      <c r="AM3911">
        <v>0</v>
      </c>
      <c r="AN3911">
        <v>23.8</v>
      </c>
      <c r="AP3911">
        <v>18</v>
      </c>
    </row>
    <row r="3912" spans="1:42" x14ac:dyDescent="0.25">
      <c r="A3912" t="s">
        <v>45</v>
      </c>
      <c r="B3912">
        <v>5</v>
      </c>
      <c r="C3912" t="s">
        <v>2743</v>
      </c>
      <c r="D3912" s="39">
        <v>46142</v>
      </c>
      <c r="E3912" t="s">
        <v>2744</v>
      </c>
      <c r="F3912" t="s">
        <v>79</v>
      </c>
      <c r="G3912">
        <v>12</v>
      </c>
      <c r="H3912" t="s">
        <v>102</v>
      </c>
      <c r="I3912" t="s">
        <v>79</v>
      </c>
      <c r="J3912">
        <v>300</v>
      </c>
      <c r="L3912">
        <v>3</v>
      </c>
      <c r="M3912">
        <v>128.1</v>
      </c>
      <c r="N3912">
        <v>3.5999999999999996</v>
      </c>
      <c r="P3912" t="s">
        <v>34</v>
      </c>
      <c r="Q3912">
        <v>124.5</v>
      </c>
      <c r="R3912" t="s">
        <v>2745</v>
      </c>
      <c r="V3912">
        <v>0</v>
      </c>
      <c r="W3912">
        <v>0</v>
      </c>
      <c r="AF3912">
        <v>0</v>
      </c>
      <c r="AG3912">
        <v>0</v>
      </c>
      <c r="AH3912">
        <v>0</v>
      </c>
      <c r="AI3912">
        <v>12</v>
      </c>
      <c r="AJ3912">
        <v>12</v>
      </c>
      <c r="AM3912">
        <v>0</v>
      </c>
      <c r="AN3912">
        <v>133.1</v>
      </c>
      <c r="AP3912">
        <v>18</v>
      </c>
    </row>
    <row r="3913" spans="1:42" x14ac:dyDescent="0.25">
      <c r="A3913" t="s">
        <v>46</v>
      </c>
      <c r="B3913">
        <v>5</v>
      </c>
      <c r="C3913" t="s">
        <v>2743</v>
      </c>
      <c r="D3913" s="39">
        <v>46142</v>
      </c>
      <c r="E3913" t="s">
        <v>2744</v>
      </c>
      <c r="F3913" t="s">
        <v>79</v>
      </c>
      <c r="G3913">
        <v>12</v>
      </c>
      <c r="H3913" t="s">
        <v>102</v>
      </c>
      <c r="I3913" t="s">
        <v>79</v>
      </c>
      <c r="J3913">
        <v>300</v>
      </c>
      <c r="L3913">
        <v>7</v>
      </c>
      <c r="M3913">
        <v>362.1</v>
      </c>
      <c r="N3913">
        <v>8.4</v>
      </c>
      <c r="P3913" t="s">
        <v>34</v>
      </c>
      <c r="Q3913">
        <v>353.70000000000005</v>
      </c>
      <c r="R3913" t="s">
        <v>2745</v>
      </c>
      <c r="V3913">
        <v>0</v>
      </c>
      <c r="W3913">
        <v>0</v>
      </c>
      <c r="AF3913">
        <v>0</v>
      </c>
      <c r="AG3913">
        <v>0</v>
      </c>
      <c r="AH3913">
        <v>0</v>
      </c>
      <c r="AI3913">
        <v>12</v>
      </c>
      <c r="AJ3913">
        <v>12</v>
      </c>
      <c r="AM3913">
        <v>0</v>
      </c>
      <c r="AN3913">
        <v>367.1</v>
      </c>
      <c r="AP3913">
        <v>18</v>
      </c>
    </row>
    <row r="3914" spans="1:42" x14ac:dyDescent="0.25">
      <c r="A3914" t="s">
        <v>45</v>
      </c>
      <c r="B3914">
        <v>1</v>
      </c>
      <c r="C3914" t="s">
        <v>2718</v>
      </c>
      <c r="D3914" s="39">
        <v>46143</v>
      </c>
      <c r="E3914" t="s">
        <v>486</v>
      </c>
      <c r="F3914" t="s">
        <v>79</v>
      </c>
      <c r="G3914">
        <v>2</v>
      </c>
      <c r="H3914" t="s">
        <v>92</v>
      </c>
      <c r="I3914" t="s">
        <v>79</v>
      </c>
      <c r="J3914" t="s">
        <v>2719</v>
      </c>
      <c r="L3914">
        <v>5</v>
      </c>
      <c r="M3914">
        <v>96.11999999999999</v>
      </c>
      <c r="N3914">
        <v>1</v>
      </c>
      <c r="P3914" t="s">
        <v>34</v>
      </c>
      <c r="Q3914">
        <v>95.11999999999999</v>
      </c>
      <c r="R3914" t="s">
        <v>2720</v>
      </c>
      <c r="V3914">
        <v>0</v>
      </c>
      <c r="W3914">
        <v>0</v>
      </c>
      <c r="AF3914">
        <v>0</v>
      </c>
      <c r="AG3914">
        <v>0</v>
      </c>
      <c r="AH3914">
        <v>0</v>
      </c>
      <c r="AI3914">
        <v>12</v>
      </c>
      <c r="AJ3914">
        <v>12</v>
      </c>
      <c r="AM3914">
        <v>0</v>
      </c>
      <c r="AN3914">
        <v>101.12</v>
      </c>
    </row>
    <row r="3915" spans="1:42" x14ac:dyDescent="0.25">
      <c r="A3915" t="s">
        <v>46</v>
      </c>
      <c r="B3915">
        <v>1</v>
      </c>
      <c r="C3915" t="s">
        <v>2718</v>
      </c>
      <c r="D3915" s="39">
        <v>46143</v>
      </c>
      <c r="E3915" t="s">
        <v>486</v>
      </c>
      <c r="F3915" t="s">
        <v>79</v>
      </c>
      <c r="G3915">
        <v>2</v>
      </c>
      <c r="H3915" t="s">
        <v>92</v>
      </c>
      <c r="I3915" t="s">
        <v>79</v>
      </c>
      <c r="J3915" t="s">
        <v>2719</v>
      </c>
      <c r="L3915">
        <v>5</v>
      </c>
      <c r="M3915">
        <v>93.89</v>
      </c>
      <c r="N3915">
        <v>1</v>
      </c>
      <c r="P3915" t="s">
        <v>34</v>
      </c>
      <c r="Q3915">
        <v>92.89</v>
      </c>
      <c r="R3915" t="s">
        <v>2720</v>
      </c>
      <c r="V3915">
        <v>0</v>
      </c>
      <c r="W3915">
        <v>0</v>
      </c>
      <c r="AF3915">
        <v>0</v>
      </c>
      <c r="AG3915">
        <v>0</v>
      </c>
      <c r="AH3915">
        <v>0</v>
      </c>
      <c r="AI3915">
        <v>12</v>
      </c>
      <c r="AJ3915">
        <v>12</v>
      </c>
      <c r="AM3915">
        <v>0</v>
      </c>
      <c r="AN3915">
        <v>98.89</v>
      </c>
    </row>
    <row r="3916" spans="1:42" x14ac:dyDescent="0.25">
      <c r="A3916" t="s">
        <v>45</v>
      </c>
      <c r="B3916">
        <v>2</v>
      </c>
      <c r="C3916" t="s">
        <v>811</v>
      </c>
      <c r="D3916" s="39">
        <v>46143</v>
      </c>
      <c r="E3916" t="s">
        <v>486</v>
      </c>
      <c r="F3916" t="s">
        <v>79</v>
      </c>
      <c r="G3916">
        <v>6</v>
      </c>
      <c r="H3916">
        <v>5</v>
      </c>
      <c r="I3916" t="s">
        <v>79</v>
      </c>
      <c r="J3916">
        <v>1000</v>
      </c>
      <c r="L3916">
        <v>2</v>
      </c>
      <c r="M3916">
        <v>33.81</v>
      </c>
      <c r="N3916">
        <v>1.2</v>
      </c>
      <c r="P3916" t="s">
        <v>34</v>
      </c>
      <c r="Q3916">
        <v>32.61</v>
      </c>
      <c r="R3916" t="s">
        <v>2746</v>
      </c>
      <c r="V3916">
        <v>0</v>
      </c>
      <c r="W3916">
        <v>0</v>
      </c>
      <c r="AF3916">
        <v>0</v>
      </c>
      <c r="AG3916">
        <v>0</v>
      </c>
      <c r="AH3916">
        <v>0</v>
      </c>
      <c r="AI3916">
        <v>12</v>
      </c>
      <c r="AJ3916">
        <v>12</v>
      </c>
      <c r="AM3916">
        <v>0</v>
      </c>
      <c r="AN3916">
        <v>38.81</v>
      </c>
    </row>
    <row r="3917" spans="1:42" x14ac:dyDescent="0.25">
      <c r="A3917" t="s">
        <v>45</v>
      </c>
      <c r="B3917">
        <v>2</v>
      </c>
      <c r="C3917" t="s">
        <v>2747</v>
      </c>
      <c r="D3917" s="39">
        <v>46143</v>
      </c>
      <c r="E3917" t="s">
        <v>385</v>
      </c>
      <c r="F3917" t="s">
        <v>79</v>
      </c>
      <c r="G3917">
        <v>6</v>
      </c>
      <c r="H3917" t="s">
        <v>93</v>
      </c>
      <c r="I3917" t="s">
        <v>79</v>
      </c>
      <c r="J3917">
        <v>200</v>
      </c>
      <c r="L3917">
        <v>4</v>
      </c>
      <c r="M3917">
        <v>65.58</v>
      </c>
      <c r="N3917">
        <v>2.4</v>
      </c>
      <c r="P3917" t="s">
        <v>34</v>
      </c>
      <c r="Q3917">
        <v>63.18</v>
      </c>
      <c r="R3917" t="s">
        <v>2748</v>
      </c>
      <c r="V3917">
        <v>0</v>
      </c>
      <c r="W3917">
        <v>0</v>
      </c>
      <c r="AF3917">
        <v>0</v>
      </c>
      <c r="AG3917">
        <v>0</v>
      </c>
      <c r="AH3917">
        <v>0</v>
      </c>
      <c r="AI3917">
        <v>12</v>
      </c>
      <c r="AJ3917">
        <v>12</v>
      </c>
      <c r="AM3917">
        <v>0</v>
      </c>
      <c r="AN3917">
        <v>70.58</v>
      </c>
    </row>
    <row r="3918" spans="1:42" x14ac:dyDescent="0.25">
      <c r="A3918" t="s">
        <v>45</v>
      </c>
      <c r="B3918">
        <v>2</v>
      </c>
      <c r="C3918" t="s">
        <v>2735</v>
      </c>
      <c r="D3918" s="39">
        <v>46143</v>
      </c>
      <c r="E3918" t="s">
        <v>655</v>
      </c>
      <c r="F3918" t="s">
        <v>79</v>
      </c>
      <c r="G3918">
        <v>6</v>
      </c>
      <c r="H3918" t="s">
        <v>944</v>
      </c>
      <c r="I3918" t="s">
        <v>79</v>
      </c>
      <c r="J3918">
        <v>100</v>
      </c>
      <c r="L3918">
        <v>4</v>
      </c>
      <c r="M3918">
        <v>90.350000000000009</v>
      </c>
      <c r="N3918">
        <v>2.4</v>
      </c>
      <c r="P3918" t="s">
        <v>34</v>
      </c>
      <c r="Q3918">
        <v>87.95</v>
      </c>
      <c r="R3918" t="s">
        <v>2736</v>
      </c>
      <c r="V3918">
        <v>0</v>
      </c>
      <c r="W3918">
        <v>0</v>
      </c>
      <c r="AD3918">
        <v>25</v>
      </c>
      <c r="AF3918">
        <v>25</v>
      </c>
      <c r="AG3918">
        <v>0.41666666666666674</v>
      </c>
      <c r="AH3918">
        <v>0.41666666666666674</v>
      </c>
      <c r="AI3918">
        <v>11.583333333333334</v>
      </c>
      <c r="AJ3918">
        <v>12</v>
      </c>
      <c r="AM3918">
        <v>0</v>
      </c>
      <c r="AN3918">
        <v>95.350000000000023</v>
      </c>
    </row>
    <row r="3919" spans="1:42" x14ac:dyDescent="0.25">
      <c r="A3919" t="s">
        <v>46</v>
      </c>
      <c r="B3919">
        <v>2</v>
      </c>
      <c r="C3919" t="s">
        <v>2747</v>
      </c>
      <c r="D3919" s="39">
        <v>46143</v>
      </c>
      <c r="E3919" t="s">
        <v>385</v>
      </c>
      <c r="F3919" t="s">
        <v>79</v>
      </c>
      <c r="G3919">
        <v>6</v>
      </c>
      <c r="H3919" t="s">
        <v>93</v>
      </c>
      <c r="I3919" t="s">
        <v>79</v>
      </c>
      <c r="J3919">
        <v>200</v>
      </c>
      <c r="L3919">
        <v>8</v>
      </c>
      <c r="M3919">
        <v>146.58000000000001</v>
      </c>
      <c r="N3919">
        <v>6.6000000000000005</v>
      </c>
      <c r="P3919" t="s">
        <v>34</v>
      </c>
      <c r="Q3919">
        <v>139.98000000000002</v>
      </c>
      <c r="R3919" t="s">
        <v>2748</v>
      </c>
      <c r="S3919">
        <v>20</v>
      </c>
      <c r="V3919">
        <v>20</v>
      </c>
      <c r="W3919">
        <v>0.33333333333333331</v>
      </c>
      <c r="AF3919">
        <v>0</v>
      </c>
      <c r="AG3919">
        <v>0</v>
      </c>
      <c r="AH3919">
        <v>0.33333333333333331</v>
      </c>
      <c r="AI3919">
        <v>11.666666666666666</v>
      </c>
      <c r="AJ3919">
        <v>12</v>
      </c>
      <c r="AM3919">
        <v>0</v>
      </c>
      <c r="AN3919">
        <v>151.58000000000001</v>
      </c>
    </row>
    <row r="3920" spans="1:42" x14ac:dyDescent="0.25">
      <c r="A3920" t="s">
        <v>46</v>
      </c>
      <c r="B3920">
        <v>2</v>
      </c>
      <c r="C3920" t="s">
        <v>2749</v>
      </c>
      <c r="D3920" s="39">
        <v>46143</v>
      </c>
      <c r="E3920" t="s">
        <v>255</v>
      </c>
      <c r="F3920" t="s">
        <v>79</v>
      </c>
      <c r="G3920">
        <v>6</v>
      </c>
      <c r="H3920" t="s">
        <v>578</v>
      </c>
      <c r="I3920" t="s">
        <v>79</v>
      </c>
      <c r="J3920">
        <v>50</v>
      </c>
      <c r="L3920">
        <v>4</v>
      </c>
      <c r="M3920">
        <v>60.649999999999991</v>
      </c>
      <c r="N3920">
        <v>3.5</v>
      </c>
      <c r="P3920" t="s">
        <v>34</v>
      </c>
      <c r="Q3920">
        <v>57.149999999999991</v>
      </c>
      <c r="R3920" t="s">
        <v>2750</v>
      </c>
      <c r="V3920">
        <v>0</v>
      </c>
      <c r="W3920">
        <v>0</v>
      </c>
      <c r="AF3920">
        <v>0</v>
      </c>
      <c r="AG3920">
        <v>0</v>
      </c>
      <c r="AH3920">
        <v>0</v>
      </c>
      <c r="AI3920">
        <v>12</v>
      </c>
      <c r="AJ3920">
        <v>12</v>
      </c>
      <c r="AM3920">
        <v>0</v>
      </c>
      <c r="AN3920">
        <v>65.649999999999991</v>
      </c>
    </row>
    <row r="3921" spans="1:40" x14ac:dyDescent="0.25">
      <c r="A3921" t="s">
        <v>45</v>
      </c>
      <c r="B3921">
        <v>4</v>
      </c>
      <c r="C3921" t="s">
        <v>2737</v>
      </c>
      <c r="D3921" s="39">
        <v>46143</v>
      </c>
      <c r="E3921" t="s">
        <v>639</v>
      </c>
      <c r="F3921" t="s">
        <v>79</v>
      </c>
      <c r="G3921">
        <v>13</v>
      </c>
      <c r="H3921" t="s">
        <v>102</v>
      </c>
      <c r="I3921" t="s">
        <v>79</v>
      </c>
      <c r="J3921">
        <v>400</v>
      </c>
      <c r="L3921">
        <v>3</v>
      </c>
      <c r="M3921">
        <v>141.22</v>
      </c>
      <c r="N3921">
        <v>3.9000000000000004</v>
      </c>
      <c r="P3921" t="s">
        <v>34</v>
      </c>
      <c r="Q3921">
        <v>137.32</v>
      </c>
      <c r="R3921" t="s">
        <v>2738</v>
      </c>
      <c r="V3921">
        <v>0</v>
      </c>
      <c r="W3921">
        <v>0</v>
      </c>
      <c r="AF3921">
        <v>0</v>
      </c>
      <c r="AG3921">
        <v>0</v>
      </c>
      <c r="AH3921">
        <v>0</v>
      </c>
      <c r="AI3921">
        <v>12</v>
      </c>
      <c r="AJ3921">
        <v>12</v>
      </c>
      <c r="AM3921">
        <v>0</v>
      </c>
      <c r="AN3921">
        <v>146.22</v>
      </c>
    </row>
    <row r="3922" spans="1:40" x14ac:dyDescent="0.25">
      <c r="A3922" t="s">
        <v>45</v>
      </c>
      <c r="B3922">
        <v>4</v>
      </c>
      <c r="C3922" t="s">
        <v>2751</v>
      </c>
      <c r="D3922" s="39">
        <v>46143</v>
      </c>
      <c r="E3922" t="s">
        <v>194</v>
      </c>
      <c r="F3922" t="s">
        <v>79</v>
      </c>
      <c r="G3922">
        <v>13</v>
      </c>
      <c r="H3922">
        <v>5</v>
      </c>
      <c r="I3922" t="s">
        <v>79</v>
      </c>
      <c r="J3922">
        <v>500</v>
      </c>
      <c r="L3922">
        <v>8</v>
      </c>
      <c r="M3922">
        <v>346.1</v>
      </c>
      <c r="N3922">
        <v>10.4</v>
      </c>
      <c r="O3922">
        <v>27</v>
      </c>
      <c r="P3922" t="s">
        <v>34</v>
      </c>
      <c r="Q3922">
        <v>335.70000000000005</v>
      </c>
      <c r="R3922" t="s">
        <v>2752</v>
      </c>
      <c r="V3922">
        <v>0</v>
      </c>
      <c r="W3922">
        <v>0</v>
      </c>
      <c r="Z3922">
        <v>60</v>
      </c>
      <c r="AD3922">
        <v>30</v>
      </c>
      <c r="AF3922">
        <v>90</v>
      </c>
      <c r="AG3922">
        <v>1.5</v>
      </c>
      <c r="AH3922">
        <v>1.5</v>
      </c>
      <c r="AI3922">
        <v>10.5</v>
      </c>
      <c r="AJ3922">
        <v>12</v>
      </c>
      <c r="AM3922">
        <v>0</v>
      </c>
      <c r="AN3922">
        <v>351.1</v>
      </c>
    </row>
    <row r="3923" spans="1:40" x14ac:dyDescent="0.25">
      <c r="A3923" t="s">
        <v>46</v>
      </c>
      <c r="B3923">
        <v>4</v>
      </c>
      <c r="C3923" t="s">
        <v>548</v>
      </c>
      <c r="D3923" s="39">
        <v>46143</v>
      </c>
      <c r="E3923" t="s">
        <v>486</v>
      </c>
      <c r="F3923" t="s">
        <v>79</v>
      </c>
      <c r="G3923">
        <v>12</v>
      </c>
      <c r="H3923">
        <v>5</v>
      </c>
      <c r="I3923" t="s">
        <v>79</v>
      </c>
      <c r="J3923">
        <v>1000</v>
      </c>
      <c r="L3923">
        <v>3</v>
      </c>
      <c r="M3923">
        <v>183.4</v>
      </c>
      <c r="N3923">
        <v>3.9000000000000004</v>
      </c>
      <c r="O3923">
        <v>21</v>
      </c>
      <c r="P3923" t="s">
        <v>34</v>
      </c>
      <c r="Q3923">
        <v>179.5</v>
      </c>
      <c r="R3923" t="s">
        <v>2753</v>
      </c>
      <c r="V3923">
        <v>0</v>
      </c>
      <c r="W3923">
        <v>0</v>
      </c>
      <c r="AF3923">
        <v>0</v>
      </c>
      <c r="AG3923">
        <v>0</v>
      </c>
      <c r="AH3923">
        <v>0</v>
      </c>
      <c r="AI3923">
        <v>12</v>
      </c>
      <c r="AJ3923">
        <v>12</v>
      </c>
      <c r="AM3923">
        <v>0</v>
      </c>
      <c r="AN3923">
        <v>188.4</v>
      </c>
    </row>
    <row r="3924" spans="1:40" x14ac:dyDescent="0.25">
      <c r="A3924" t="s">
        <v>46</v>
      </c>
      <c r="B3924">
        <v>4</v>
      </c>
      <c r="C3924" t="s">
        <v>2754</v>
      </c>
      <c r="D3924" s="39">
        <v>46143</v>
      </c>
      <c r="E3924" t="s">
        <v>486</v>
      </c>
      <c r="F3924" t="s">
        <v>79</v>
      </c>
      <c r="G3924">
        <v>14</v>
      </c>
      <c r="H3924">
        <v>5</v>
      </c>
      <c r="I3924" t="s">
        <v>79</v>
      </c>
      <c r="J3924">
        <v>2000</v>
      </c>
      <c r="L3924">
        <v>5</v>
      </c>
      <c r="M3924">
        <v>290.7</v>
      </c>
      <c r="N3924">
        <v>7</v>
      </c>
      <c r="P3924" t="s">
        <v>34</v>
      </c>
      <c r="Q3924">
        <v>283.7</v>
      </c>
      <c r="R3924" t="s">
        <v>2755</v>
      </c>
      <c r="S3924">
        <v>25</v>
      </c>
      <c r="V3924">
        <v>25</v>
      </c>
      <c r="W3924">
        <v>0.41666666666666674</v>
      </c>
      <c r="AF3924">
        <v>0</v>
      </c>
      <c r="AG3924">
        <v>0</v>
      </c>
      <c r="AH3924">
        <v>0.41666666666666674</v>
      </c>
      <c r="AI3924">
        <v>11.583333333333334</v>
      </c>
      <c r="AJ3924">
        <v>12</v>
      </c>
      <c r="AM3924">
        <v>0</v>
      </c>
      <c r="AN3924">
        <v>295.7</v>
      </c>
    </row>
    <row r="3925" spans="1:40" x14ac:dyDescent="0.25">
      <c r="A3925" t="s">
        <v>45</v>
      </c>
      <c r="B3925">
        <v>5</v>
      </c>
      <c r="C3925" t="s">
        <v>2743</v>
      </c>
      <c r="D3925" s="39">
        <v>46143</v>
      </c>
      <c r="E3925" t="s">
        <v>2744</v>
      </c>
      <c r="F3925" t="s">
        <v>79</v>
      </c>
      <c r="G3925">
        <v>12</v>
      </c>
      <c r="H3925" t="s">
        <v>102</v>
      </c>
      <c r="I3925" t="s">
        <v>79</v>
      </c>
      <c r="J3925">
        <v>300</v>
      </c>
      <c r="L3925">
        <v>2</v>
      </c>
      <c r="M3925">
        <v>99.66</v>
      </c>
      <c r="N3925">
        <v>2.4</v>
      </c>
      <c r="P3925" t="s">
        <v>34</v>
      </c>
      <c r="Q3925">
        <v>97.259999999999991</v>
      </c>
      <c r="R3925" t="s">
        <v>2745</v>
      </c>
      <c r="V3925">
        <v>0</v>
      </c>
      <c r="W3925">
        <v>0</v>
      </c>
      <c r="AF3925">
        <v>0</v>
      </c>
      <c r="AG3925">
        <v>0</v>
      </c>
      <c r="AH3925">
        <v>0</v>
      </c>
      <c r="AI3925">
        <v>12</v>
      </c>
      <c r="AJ3925">
        <v>12</v>
      </c>
      <c r="AM3925">
        <v>0</v>
      </c>
      <c r="AN3925">
        <v>104.66</v>
      </c>
    </row>
    <row r="3926" spans="1:40" x14ac:dyDescent="0.25">
      <c r="A3926" t="s">
        <v>45</v>
      </c>
      <c r="B3926">
        <v>5</v>
      </c>
      <c r="C3926" t="s">
        <v>2756</v>
      </c>
      <c r="D3926" s="39">
        <v>46143</v>
      </c>
      <c r="E3926" t="s">
        <v>229</v>
      </c>
      <c r="F3926" t="s">
        <v>79</v>
      </c>
      <c r="G3926">
        <v>8</v>
      </c>
      <c r="H3926" t="s">
        <v>688</v>
      </c>
      <c r="I3926" t="s">
        <v>79</v>
      </c>
      <c r="J3926">
        <v>450</v>
      </c>
      <c r="L3926">
        <v>8</v>
      </c>
      <c r="M3926">
        <v>288.08</v>
      </c>
      <c r="N3926">
        <v>6.4</v>
      </c>
      <c r="P3926" t="s">
        <v>34</v>
      </c>
      <c r="Q3926">
        <v>281.68</v>
      </c>
      <c r="R3926" t="s">
        <v>2757</v>
      </c>
      <c r="S3926">
        <v>25</v>
      </c>
      <c r="V3926">
        <v>25</v>
      </c>
      <c r="W3926">
        <v>0.41666666666666674</v>
      </c>
      <c r="AF3926">
        <v>0</v>
      </c>
      <c r="AG3926">
        <v>0</v>
      </c>
      <c r="AH3926">
        <v>0.41666666666666674</v>
      </c>
      <c r="AI3926">
        <v>11.583333333333334</v>
      </c>
      <c r="AJ3926">
        <v>12</v>
      </c>
      <c r="AM3926">
        <v>0</v>
      </c>
      <c r="AN3926">
        <v>293.08</v>
      </c>
    </row>
    <row r="3927" spans="1:40" x14ac:dyDescent="0.25">
      <c r="A3927" t="s">
        <v>46</v>
      </c>
      <c r="B3927">
        <v>5</v>
      </c>
      <c r="C3927" t="s">
        <v>2756</v>
      </c>
      <c r="D3927" s="39">
        <v>46143</v>
      </c>
      <c r="E3927" t="s">
        <v>229</v>
      </c>
      <c r="F3927" t="s">
        <v>79</v>
      </c>
      <c r="G3927">
        <v>8</v>
      </c>
      <c r="H3927" t="s">
        <v>688</v>
      </c>
      <c r="I3927" t="s">
        <v>79</v>
      </c>
      <c r="J3927">
        <v>450</v>
      </c>
      <c r="L3927">
        <v>4</v>
      </c>
      <c r="M3927">
        <v>190.7</v>
      </c>
      <c r="N3927">
        <v>3.2</v>
      </c>
      <c r="P3927" t="s">
        <v>34</v>
      </c>
      <c r="Q3927">
        <v>187.5</v>
      </c>
      <c r="R3927" t="s">
        <v>2757</v>
      </c>
      <c r="V3927">
        <v>0</v>
      </c>
      <c r="W3927">
        <v>0</v>
      </c>
      <c r="AF3927">
        <v>0</v>
      </c>
      <c r="AG3927">
        <v>0</v>
      </c>
      <c r="AH3927">
        <v>0</v>
      </c>
      <c r="AI3927">
        <v>12</v>
      </c>
      <c r="AJ3927">
        <v>12</v>
      </c>
      <c r="AM3927">
        <v>0</v>
      </c>
      <c r="AN3927">
        <v>195.7</v>
      </c>
    </row>
    <row r="3928" spans="1:40" x14ac:dyDescent="0.25">
      <c r="A3928" t="s">
        <v>46</v>
      </c>
      <c r="B3928">
        <v>5</v>
      </c>
      <c r="C3928" t="s">
        <v>2758</v>
      </c>
      <c r="D3928" s="39">
        <v>46143</v>
      </c>
      <c r="E3928" t="s">
        <v>486</v>
      </c>
      <c r="F3928" t="s">
        <v>79</v>
      </c>
      <c r="G3928">
        <v>8</v>
      </c>
      <c r="H3928">
        <v>5</v>
      </c>
      <c r="I3928" t="s">
        <v>79</v>
      </c>
      <c r="J3928">
        <v>1500</v>
      </c>
      <c r="L3928">
        <v>4</v>
      </c>
      <c r="M3928">
        <v>175.46</v>
      </c>
      <c r="N3928">
        <v>3.2</v>
      </c>
      <c r="P3928" t="s">
        <v>34</v>
      </c>
      <c r="Q3928">
        <v>172.26000000000002</v>
      </c>
      <c r="R3928" t="s">
        <v>2759</v>
      </c>
      <c r="V3928">
        <v>0</v>
      </c>
      <c r="W3928">
        <v>0</v>
      </c>
      <c r="AF3928">
        <v>0</v>
      </c>
      <c r="AG3928">
        <v>0</v>
      </c>
      <c r="AH3928">
        <v>0</v>
      </c>
      <c r="AI3928">
        <v>12</v>
      </c>
      <c r="AJ3928">
        <v>12</v>
      </c>
      <c r="AM3928">
        <v>0</v>
      </c>
      <c r="AN3928">
        <v>180.46</v>
      </c>
    </row>
    <row r="3929" spans="1:40" x14ac:dyDescent="0.25">
      <c r="A3929" t="s">
        <v>45</v>
      </c>
      <c r="B3929">
        <v>1</v>
      </c>
      <c r="C3929" t="s">
        <v>2718</v>
      </c>
      <c r="D3929" s="39">
        <v>46144</v>
      </c>
      <c r="E3929" t="s">
        <v>486</v>
      </c>
      <c r="F3929" t="s">
        <v>79</v>
      </c>
      <c r="G3929">
        <v>2</v>
      </c>
      <c r="H3929" t="s">
        <v>92</v>
      </c>
      <c r="I3929" t="s">
        <v>79</v>
      </c>
      <c r="J3929" t="s">
        <v>2719</v>
      </c>
      <c r="L3929">
        <v>4</v>
      </c>
      <c r="M3929">
        <v>59.17</v>
      </c>
      <c r="N3929">
        <v>0.8</v>
      </c>
      <c r="P3929" t="s">
        <v>34</v>
      </c>
      <c r="Q3929">
        <v>58.370000000000005</v>
      </c>
      <c r="R3929" t="s">
        <v>2720</v>
      </c>
      <c r="V3929">
        <v>0</v>
      </c>
      <c r="W3929">
        <v>0</v>
      </c>
      <c r="AF3929">
        <v>0</v>
      </c>
      <c r="AG3929">
        <v>0</v>
      </c>
      <c r="AH3929">
        <v>0</v>
      </c>
      <c r="AI3929">
        <v>12</v>
      </c>
      <c r="AJ3929">
        <v>12</v>
      </c>
      <c r="AM3929">
        <v>0</v>
      </c>
      <c r="AN3929">
        <v>64.17</v>
      </c>
    </row>
    <row r="3930" spans="1:40" x14ac:dyDescent="0.25">
      <c r="A3930" t="s">
        <v>45</v>
      </c>
      <c r="B3930">
        <v>1</v>
      </c>
      <c r="C3930" t="s">
        <v>2760</v>
      </c>
      <c r="D3930" s="39">
        <v>46144</v>
      </c>
      <c r="E3930" t="s">
        <v>238</v>
      </c>
      <c r="F3930" t="s">
        <v>79</v>
      </c>
      <c r="G3930">
        <v>1.5</v>
      </c>
      <c r="H3930" t="s">
        <v>534</v>
      </c>
      <c r="I3930" t="s">
        <v>79</v>
      </c>
      <c r="J3930">
        <v>100</v>
      </c>
      <c r="L3930">
        <v>3</v>
      </c>
      <c r="M3930">
        <v>29.86</v>
      </c>
      <c r="N3930">
        <v>0.3</v>
      </c>
      <c r="O3930">
        <v>26</v>
      </c>
      <c r="P3930" t="s">
        <v>34</v>
      </c>
      <c r="Q3930">
        <v>29.56</v>
      </c>
      <c r="R3930" t="s">
        <v>2761</v>
      </c>
      <c r="S3930">
        <v>25</v>
      </c>
      <c r="V3930">
        <v>25</v>
      </c>
      <c r="W3930">
        <v>0.41666666666666674</v>
      </c>
      <c r="AF3930">
        <v>0</v>
      </c>
      <c r="AG3930">
        <v>0</v>
      </c>
      <c r="AH3930">
        <v>0.41666666666666674</v>
      </c>
      <c r="AI3930">
        <v>11.583333333333334</v>
      </c>
      <c r="AJ3930">
        <v>12</v>
      </c>
      <c r="AM3930">
        <v>0</v>
      </c>
      <c r="AN3930">
        <v>34.86</v>
      </c>
    </row>
    <row r="3931" spans="1:40" x14ac:dyDescent="0.25">
      <c r="A3931" t="s">
        <v>46</v>
      </c>
      <c r="B3931">
        <v>1</v>
      </c>
      <c r="C3931" t="s">
        <v>2760</v>
      </c>
      <c r="D3931" s="39">
        <v>46144</v>
      </c>
      <c r="E3931" t="s">
        <v>238</v>
      </c>
      <c r="F3931" t="s">
        <v>79</v>
      </c>
      <c r="G3931">
        <v>1.5</v>
      </c>
      <c r="H3931" t="s">
        <v>534</v>
      </c>
      <c r="I3931" t="s">
        <v>79</v>
      </c>
      <c r="J3931">
        <v>100</v>
      </c>
      <c r="L3931">
        <v>7</v>
      </c>
      <c r="M3931">
        <v>57.960000000000008</v>
      </c>
      <c r="N3931">
        <v>1.05</v>
      </c>
      <c r="O3931">
        <v>30</v>
      </c>
      <c r="P3931" t="s">
        <v>34</v>
      </c>
      <c r="Q3931">
        <v>56.910000000000011</v>
      </c>
      <c r="R3931" t="s">
        <v>2761</v>
      </c>
      <c r="V3931">
        <v>0</v>
      </c>
      <c r="W3931">
        <v>0</v>
      </c>
      <c r="X3931">
        <v>20</v>
      </c>
      <c r="AF3931">
        <v>20</v>
      </c>
      <c r="AG3931">
        <v>0.33333333333333331</v>
      </c>
      <c r="AH3931">
        <v>0.33333333333333331</v>
      </c>
      <c r="AI3931">
        <v>11.666666666666666</v>
      </c>
      <c r="AJ3931">
        <v>12</v>
      </c>
      <c r="AM3931">
        <v>0</v>
      </c>
      <c r="AN3931">
        <v>62.960000000000008</v>
      </c>
    </row>
    <row r="3932" spans="1:40" x14ac:dyDescent="0.25">
      <c r="A3932" t="s">
        <v>45</v>
      </c>
      <c r="B3932">
        <v>2</v>
      </c>
      <c r="C3932" t="s">
        <v>2733</v>
      </c>
      <c r="D3932" s="39">
        <v>46144</v>
      </c>
      <c r="E3932" t="s">
        <v>486</v>
      </c>
      <c r="F3932" t="s">
        <v>79</v>
      </c>
      <c r="G3932">
        <v>7</v>
      </c>
      <c r="H3932">
        <v>5</v>
      </c>
      <c r="I3932" t="s">
        <v>79</v>
      </c>
      <c r="J3932">
        <v>1000</v>
      </c>
      <c r="L3932">
        <v>8</v>
      </c>
      <c r="M3932">
        <v>165.54999999999998</v>
      </c>
      <c r="N3932">
        <v>5.6</v>
      </c>
      <c r="P3932" t="s">
        <v>34</v>
      </c>
      <c r="Q3932">
        <v>159.94999999999999</v>
      </c>
      <c r="R3932" t="s">
        <v>2734</v>
      </c>
      <c r="V3932">
        <v>0</v>
      </c>
      <c r="W3932">
        <v>0</v>
      </c>
      <c r="AF3932">
        <v>0</v>
      </c>
      <c r="AG3932">
        <v>0</v>
      </c>
      <c r="AH3932">
        <v>0</v>
      </c>
      <c r="AI3932">
        <v>12</v>
      </c>
      <c r="AJ3932">
        <v>12</v>
      </c>
      <c r="AM3932">
        <v>0</v>
      </c>
      <c r="AN3932">
        <v>170.54999999999998</v>
      </c>
    </row>
    <row r="3933" spans="1:40" x14ac:dyDescent="0.25">
      <c r="A3933" t="s">
        <v>46</v>
      </c>
      <c r="B3933">
        <v>2</v>
      </c>
      <c r="C3933" t="s">
        <v>2733</v>
      </c>
      <c r="D3933" s="39">
        <v>46144</v>
      </c>
      <c r="E3933" t="s">
        <v>486</v>
      </c>
      <c r="F3933" t="s">
        <v>79</v>
      </c>
      <c r="G3933">
        <v>7</v>
      </c>
      <c r="H3933">
        <v>5</v>
      </c>
      <c r="I3933" t="s">
        <v>79</v>
      </c>
      <c r="J3933">
        <v>1000</v>
      </c>
      <c r="L3933">
        <v>6</v>
      </c>
      <c r="M3933">
        <v>163.15</v>
      </c>
      <c r="N3933">
        <v>4.1999999999999993</v>
      </c>
      <c r="P3933" t="s">
        <v>34</v>
      </c>
      <c r="Q3933">
        <v>158.95000000000002</v>
      </c>
      <c r="R3933" t="s">
        <v>2734</v>
      </c>
      <c r="V3933">
        <v>0</v>
      </c>
      <c r="W3933">
        <v>0</v>
      </c>
      <c r="X3933">
        <v>20</v>
      </c>
      <c r="AF3933">
        <v>20</v>
      </c>
      <c r="AG3933">
        <v>0.33333333333333331</v>
      </c>
      <c r="AH3933">
        <v>0.33333333333333331</v>
      </c>
      <c r="AI3933">
        <v>11.666666666666666</v>
      </c>
      <c r="AJ3933">
        <v>12</v>
      </c>
      <c r="AM3933">
        <v>0</v>
      </c>
      <c r="AN3933">
        <v>168.15</v>
      </c>
    </row>
    <row r="3934" spans="1:40" x14ac:dyDescent="0.25">
      <c r="A3934" t="s">
        <v>45</v>
      </c>
      <c r="B3934">
        <v>4</v>
      </c>
      <c r="C3934" t="s">
        <v>2754</v>
      </c>
      <c r="D3934" s="39">
        <v>46144</v>
      </c>
      <c r="E3934" t="s">
        <v>486</v>
      </c>
      <c r="F3934" t="s">
        <v>79</v>
      </c>
      <c r="G3934">
        <v>14</v>
      </c>
      <c r="H3934">
        <v>5</v>
      </c>
      <c r="I3934" t="s">
        <v>79</v>
      </c>
      <c r="J3934">
        <v>2000</v>
      </c>
      <c r="L3934">
        <v>9</v>
      </c>
      <c r="M3934">
        <v>509.69999999999993</v>
      </c>
      <c r="N3934">
        <v>12.6</v>
      </c>
      <c r="P3934" t="s">
        <v>34</v>
      </c>
      <c r="Q3934">
        <v>497.09999999999991</v>
      </c>
      <c r="R3934" t="s">
        <v>2755</v>
      </c>
      <c r="V3934">
        <v>0</v>
      </c>
      <c r="W3934">
        <v>0</v>
      </c>
      <c r="AF3934">
        <v>0</v>
      </c>
      <c r="AG3934">
        <v>0</v>
      </c>
      <c r="AH3934">
        <v>0</v>
      </c>
      <c r="AI3934">
        <v>12</v>
      </c>
      <c r="AJ3934">
        <v>12</v>
      </c>
      <c r="AM3934">
        <v>0</v>
      </c>
      <c r="AN3934">
        <v>514.69999999999993</v>
      </c>
    </row>
    <row r="3935" spans="1:40" x14ac:dyDescent="0.25">
      <c r="A3935" t="s">
        <v>46</v>
      </c>
      <c r="B3935">
        <v>4</v>
      </c>
      <c r="C3935" t="s">
        <v>2754</v>
      </c>
      <c r="D3935" s="39">
        <v>46144</v>
      </c>
      <c r="E3935" t="s">
        <v>486</v>
      </c>
      <c r="F3935" t="s">
        <v>79</v>
      </c>
      <c r="G3935">
        <v>14</v>
      </c>
      <c r="H3935">
        <v>5</v>
      </c>
      <c r="I3935" t="s">
        <v>79</v>
      </c>
      <c r="J3935">
        <v>2000</v>
      </c>
      <c r="L3935">
        <v>11</v>
      </c>
      <c r="M3935">
        <v>497.56</v>
      </c>
      <c r="N3935">
        <v>15.399999999999999</v>
      </c>
      <c r="P3935" t="s">
        <v>34</v>
      </c>
      <c r="Q3935">
        <v>482.16</v>
      </c>
      <c r="R3935" t="s">
        <v>2755</v>
      </c>
      <c r="V3935">
        <v>0</v>
      </c>
      <c r="W3935">
        <v>0</v>
      </c>
      <c r="X3935">
        <v>20</v>
      </c>
      <c r="AF3935">
        <v>20</v>
      </c>
      <c r="AG3935">
        <v>0.33333333333333331</v>
      </c>
      <c r="AH3935">
        <v>0.33333333333333331</v>
      </c>
      <c r="AI3935">
        <v>11.666666666666666</v>
      </c>
      <c r="AJ3935">
        <v>12</v>
      </c>
      <c r="AM3935">
        <v>0</v>
      </c>
      <c r="AN3935">
        <v>502.56</v>
      </c>
    </row>
    <row r="3936" spans="1:40" x14ac:dyDescent="0.25">
      <c r="A3936" t="s">
        <v>45</v>
      </c>
      <c r="B3936">
        <v>5</v>
      </c>
      <c r="C3936" t="s">
        <v>2758</v>
      </c>
      <c r="D3936" s="39">
        <v>46144</v>
      </c>
      <c r="E3936" t="s">
        <v>486</v>
      </c>
      <c r="F3936" t="s">
        <v>79</v>
      </c>
      <c r="G3936">
        <v>8</v>
      </c>
      <c r="H3936">
        <v>5</v>
      </c>
      <c r="I3936" t="s">
        <v>79</v>
      </c>
      <c r="J3936">
        <v>1500</v>
      </c>
      <c r="L3936">
        <v>7</v>
      </c>
      <c r="M3936">
        <v>272.90000000000003</v>
      </c>
      <c r="N3936">
        <v>5.6000000000000005</v>
      </c>
      <c r="P3936" t="s">
        <v>34</v>
      </c>
      <c r="Q3936">
        <v>267.3</v>
      </c>
      <c r="R3936" t="s">
        <v>2759</v>
      </c>
      <c r="V3936">
        <v>0</v>
      </c>
      <c r="W3936">
        <v>0</v>
      </c>
      <c r="AF3936">
        <v>0</v>
      </c>
      <c r="AG3936">
        <v>0</v>
      </c>
      <c r="AH3936">
        <v>0</v>
      </c>
      <c r="AI3936">
        <v>12</v>
      </c>
      <c r="AJ3936">
        <v>12</v>
      </c>
      <c r="AM3936">
        <v>0</v>
      </c>
      <c r="AN3936">
        <v>277.90000000000003</v>
      </c>
    </row>
    <row r="3937" spans="1:40" x14ac:dyDescent="0.25">
      <c r="A3937" t="s">
        <v>46</v>
      </c>
      <c r="B3937">
        <v>5</v>
      </c>
      <c r="C3937" t="s">
        <v>2758</v>
      </c>
      <c r="D3937" s="39">
        <v>46144</v>
      </c>
      <c r="E3937" t="s">
        <v>486</v>
      </c>
      <c r="F3937" t="s">
        <v>79</v>
      </c>
      <c r="G3937">
        <v>8</v>
      </c>
      <c r="H3937">
        <v>5</v>
      </c>
      <c r="I3937" t="s">
        <v>79</v>
      </c>
      <c r="J3937">
        <v>1500</v>
      </c>
      <c r="L3937">
        <v>9</v>
      </c>
      <c r="M3937">
        <v>318.32</v>
      </c>
      <c r="N3937">
        <v>7.2</v>
      </c>
      <c r="P3937" t="s">
        <v>34</v>
      </c>
      <c r="Q3937">
        <v>311.12</v>
      </c>
      <c r="R3937" t="s">
        <v>2759</v>
      </c>
      <c r="V3937">
        <v>0</v>
      </c>
      <c r="W3937">
        <v>0</v>
      </c>
      <c r="X3937">
        <v>25</v>
      </c>
      <c r="AF3937">
        <v>25</v>
      </c>
      <c r="AG3937">
        <v>0.41666666666666674</v>
      </c>
      <c r="AH3937">
        <v>0.41666666666666674</v>
      </c>
      <c r="AI3937">
        <v>11.583333333333334</v>
      </c>
      <c r="AJ3937">
        <v>12</v>
      </c>
      <c r="AM3937">
        <v>0</v>
      </c>
      <c r="AN3937">
        <v>323.32</v>
      </c>
    </row>
    <row r="3938" spans="1:40" x14ac:dyDescent="0.25">
      <c r="A3938" t="s">
        <v>45</v>
      </c>
      <c r="B3938">
        <v>1</v>
      </c>
      <c r="C3938" t="s">
        <v>2760</v>
      </c>
      <c r="D3938" s="39">
        <v>46145</v>
      </c>
      <c r="E3938" t="s">
        <v>238</v>
      </c>
      <c r="F3938" t="s">
        <v>79</v>
      </c>
      <c r="G3938">
        <v>1.5</v>
      </c>
      <c r="H3938" t="s">
        <v>534</v>
      </c>
      <c r="I3938" t="s">
        <v>79</v>
      </c>
      <c r="J3938">
        <v>100</v>
      </c>
      <c r="L3938">
        <v>4</v>
      </c>
      <c r="M3938">
        <v>45.05</v>
      </c>
      <c r="N3938">
        <v>0.6</v>
      </c>
      <c r="P3938" t="s">
        <v>34</v>
      </c>
      <c r="Q3938">
        <v>44.449999999999996</v>
      </c>
      <c r="R3938" t="s">
        <v>2761</v>
      </c>
      <c r="V3938">
        <v>0</v>
      </c>
      <c r="W3938">
        <v>0</v>
      </c>
      <c r="AF3938">
        <v>0</v>
      </c>
      <c r="AG3938">
        <v>0</v>
      </c>
      <c r="AH3938">
        <v>0</v>
      </c>
      <c r="AI3938">
        <v>12</v>
      </c>
      <c r="AJ3938">
        <v>12</v>
      </c>
      <c r="AM3938">
        <v>0</v>
      </c>
      <c r="AN3938">
        <v>50.05</v>
      </c>
    </row>
    <row r="3939" spans="1:40" x14ac:dyDescent="0.25">
      <c r="A3939" t="s">
        <v>45</v>
      </c>
      <c r="B3939">
        <v>1</v>
      </c>
      <c r="C3939" t="s">
        <v>2762</v>
      </c>
      <c r="D3939" s="39">
        <v>46145</v>
      </c>
      <c r="E3939" t="s">
        <v>200</v>
      </c>
      <c r="F3939" t="s">
        <v>79</v>
      </c>
      <c r="G3939">
        <v>1.5</v>
      </c>
      <c r="H3939" t="s">
        <v>534</v>
      </c>
      <c r="I3939" t="s">
        <v>79</v>
      </c>
      <c r="J3939" t="s">
        <v>2763</v>
      </c>
      <c r="L3939">
        <v>2</v>
      </c>
      <c r="M3939">
        <v>34.450000000000003</v>
      </c>
      <c r="N3939">
        <v>0.3</v>
      </c>
      <c r="O3939">
        <v>21</v>
      </c>
      <c r="P3939" t="s">
        <v>34</v>
      </c>
      <c r="Q3939">
        <v>34.150000000000006</v>
      </c>
      <c r="R3939" t="s">
        <v>2764</v>
      </c>
      <c r="V3939">
        <v>0</v>
      </c>
      <c r="W3939">
        <v>0</v>
      </c>
      <c r="AF3939">
        <v>0</v>
      </c>
      <c r="AG3939">
        <v>0</v>
      </c>
      <c r="AH3939">
        <v>0</v>
      </c>
      <c r="AI3939">
        <v>12</v>
      </c>
      <c r="AJ3939">
        <v>12</v>
      </c>
      <c r="AM3939">
        <v>0</v>
      </c>
      <c r="AN3939">
        <v>39.450000000000003</v>
      </c>
    </row>
    <row r="3940" spans="1:40" x14ac:dyDescent="0.25">
      <c r="A3940" t="s">
        <v>46</v>
      </c>
      <c r="B3940">
        <v>1</v>
      </c>
      <c r="C3940" t="s">
        <v>2762</v>
      </c>
      <c r="D3940" s="39">
        <v>46145</v>
      </c>
      <c r="E3940" t="s">
        <v>200</v>
      </c>
      <c r="F3940" t="s">
        <v>79</v>
      </c>
      <c r="G3940">
        <v>1.5</v>
      </c>
      <c r="H3940" t="s">
        <v>534</v>
      </c>
      <c r="I3940" t="s">
        <v>79</v>
      </c>
      <c r="J3940" t="s">
        <v>2763</v>
      </c>
      <c r="L3940">
        <v>6</v>
      </c>
      <c r="M3940">
        <v>78.53</v>
      </c>
      <c r="N3940">
        <v>0.89999999999999991</v>
      </c>
      <c r="O3940">
        <v>31</v>
      </c>
      <c r="P3940" t="s">
        <v>34</v>
      </c>
      <c r="Q3940">
        <v>77.63</v>
      </c>
      <c r="R3940" t="s">
        <v>2764</v>
      </c>
      <c r="V3940">
        <v>0</v>
      </c>
      <c r="W3940">
        <v>0</v>
      </c>
      <c r="AF3940">
        <v>0</v>
      </c>
      <c r="AG3940">
        <v>0</v>
      </c>
      <c r="AH3940">
        <v>0</v>
      </c>
      <c r="AI3940">
        <v>12</v>
      </c>
      <c r="AJ3940">
        <v>12</v>
      </c>
      <c r="AM3940">
        <v>0</v>
      </c>
      <c r="AN3940">
        <v>83.53</v>
      </c>
    </row>
    <row r="3941" spans="1:40" x14ac:dyDescent="0.25">
      <c r="A3941" t="s">
        <v>45</v>
      </c>
      <c r="B3941">
        <v>2</v>
      </c>
      <c r="C3941" t="s">
        <v>2733</v>
      </c>
      <c r="D3941" s="39">
        <v>46145</v>
      </c>
      <c r="E3941" t="s">
        <v>486</v>
      </c>
      <c r="F3941" t="s">
        <v>79</v>
      </c>
      <c r="G3941">
        <v>7</v>
      </c>
      <c r="H3941">
        <v>5</v>
      </c>
      <c r="I3941" t="s">
        <v>79</v>
      </c>
      <c r="J3941">
        <v>1000</v>
      </c>
      <c r="L3941">
        <v>9</v>
      </c>
      <c r="M3941">
        <v>203.58</v>
      </c>
      <c r="N3941">
        <v>6.3</v>
      </c>
      <c r="P3941" t="s">
        <v>34</v>
      </c>
      <c r="Q3941">
        <v>197.28</v>
      </c>
      <c r="R3941" t="s">
        <v>2734</v>
      </c>
      <c r="V3941">
        <v>0</v>
      </c>
      <c r="W3941">
        <v>0</v>
      </c>
      <c r="AF3941">
        <v>0</v>
      </c>
      <c r="AG3941">
        <v>0</v>
      </c>
      <c r="AH3941">
        <v>0</v>
      </c>
      <c r="AI3941">
        <v>12</v>
      </c>
      <c r="AJ3941">
        <v>12</v>
      </c>
      <c r="AM3941">
        <v>0</v>
      </c>
      <c r="AN3941">
        <v>208.58</v>
      </c>
    </row>
    <row r="3942" spans="1:40" x14ac:dyDescent="0.25">
      <c r="A3942" t="s">
        <v>46</v>
      </c>
      <c r="B3942">
        <v>2</v>
      </c>
      <c r="C3942" t="s">
        <v>2733</v>
      </c>
      <c r="D3942" s="39">
        <v>46145</v>
      </c>
      <c r="E3942" t="s">
        <v>486</v>
      </c>
      <c r="F3942" t="s">
        <v>79</v>
      </c>
      <c r="G3942">
        <v>7</v>
      </c>
      <c r="H3942">
        <v>5</v>
      </c>
      <c r="I3942" t="s">
        <v>79</v>
      </c>
      <c r="J3942">
        <v>1000</v>
      </c>
      <c r="L3942">
        <v>8</v>
      </c>
      <c r="M3942">
        <v>187.13</v>
      </c>
      <c r="N3942">
        <v>5.6</v>
      </c>
      <c r="P3942" t="s">
        <v>34</v>
      </c>
      <c r="Q3942">
        <v>181.53</v>
      </c>
      <c r="R3942" t="s">
        <v>2734</v>
      </c>
      <c r="V3942">
        <v>0</v>
      </c>
      <c r="W3942">
        <v>0</v>
      </c>
      <c r="AF3942">
        <v>0</v>
      </c>
      <c r="AG3942">
        <v>0</v>
      </c>
      <c r="AH3942">
        <v>0</v>
      </c>
      <c r="AI3942">
        <v>12</v>
      </c>
      <c r="AJ3942">
        <v>12</v>
      </c>
      <c r="AM3942">
        <v>0</v>
      </c>
      <c r="AN3942">
        <v>192.13</v>
      </c>
    </row>
    <row r="3943" spans="1:40" x14ac:dyDescent="0.25">
      <c r="A3943" t="s">
        <v>45</v>
      </c>
      <c r="B3943">
        <v>4</v>
      </c>
      <c r="C3943" t="s">
        <v>2754</v>
      </c>
      <c r="D3943" s="39">
        <v>46145</v>
      </c>
      <c r="E3943" t="s">
        <v>486</v>
      </c>
      <c r="F3943" t="s">
        <v>79</v>
      </c>
      <c r="G3943">
        <v>14</v>
      </c>
      <c r="H3943">
        <v>5</v>
      </c>
      <c r="I3943" t="s">
        <v>79</v>
      </c>
      <c r="J3943">
        <v>2000</v>
      </c>
      <c r="L3943">
        <v>9</v>
      </c>
      <c r="M3943">
        <v>478.03999999999996</v>
      </c>
      <c r="N3943">
        <v>12.6</v>
      </c>
      <c r="P3943" t="s">
        <v>34</v>
      </c>
      <c r="Q3943">
        <v>465.43999999999994</v>
      </c>
      <c r="R3943" t="s">
        <v>2755</v>
      </c>
      <c r="V3943">
        <v>0</v>
      </c>
      <c r="W3943">
        <v>0</v>
      </c>
      <c r="AF3943">
        <v>0</v>
      </c>
      <c r="AG3943">
        <v>0</v>
      </c>
      <c r="AH3943">
        <v>0</v>
      </c>
      <c r="AI3943">
        <v>12</v>
      </c>
      <c r="AJ3943">
        <v>12</v>
      </c>
      <c r="AM3943">
        <v>0</v>
      </c>
      <c r="AN3943">
        <v>483.04</v>
      </c>
    </row>
    <row r="3944" spans="1:40" x14ac:dyDescent="0.25">
      <c r="A3944" t="s">
        <v>46</v>
      </c>
      <c r="B3944">
        <v>4</v>
      </c>
      <c r="C3944" t="s">
        <v>2754</v>
      </c>
      <c r="D3944" s="39">
        <v>46145</v>
      </c>
      <c r="E3944" t="s">
        <v>486</v>
      </c>
      <c r="F3944" t="s">
        <v>79</v>
      </c>
      <c r="G3944">
        <v>14</v>
      </c>
      <c r="H3944">
        <v>5</v>
      </c>
      <c r="I3944" t="s">
        <v>79</v>
      </c>
      <c r="J3944">
        <v>2000</v>
      </c>
      <c r="L3944">
        <v>5</v>
      </c>
      <c r="M3944">
        <v>269.92</v>
      </c>
      <c r="N3944">
        <v>7</v>
      </c>
      <c r="P3944" t="s">
        <v>34</v>
      </c>
      <c r="Q3944">
        <v>262.92</v>
      </c>
      <c r="R3944" t="s">
        <v>2755</v>
      </c>
      <c r="V3944">
        <v>0</v>
      </c>
      <c r="W3944">
        <v>0</v>
      </c>
      <c r="AF3944">
        <v>0</v>
      </c>
      <c r="AG3944">
        <v>0</v>
      </c>
      <c r="AH3944">
        <v>0</v>
      </c>
      <c r="AI3944">
        <v>12</v>
      </c>
      <c r="AJ3944">
        <v>12</v>
      </c>
      <c r="AM3944">
        <v>0</v>
      </c>
      <c r="AN3944">
        <v>274.92</v>
      </c>
    </row>
    <row r="3945" spans="1:40" x14ac:dyDescent="0.25">
      <c r="A3945" t="s">
        <v>46</v>
      </c>
      <c r="B3945">
        <v>4</v>
      </c>
      <c r="C3945" t="s">
        <v>2765</v>
      </c>
      <c r="D3945" s="39">
        <v>46145</v>
      </c>
      <c r="E3945" t="s">
        <v>282</v>
      </c>
      <c r="F3945" t="s">
        <v>79</v>
      </c>
      <c r="G3945">
        <v>14</v>
      </c>
      <c r="H3945" t="s">
        <v>2497</v>
      </c>
      <c r="I3945" t="s">
        <v>79</v>
      </c>
      <c r="J3945">
        <v>250</v>
      </c>
      <c r="L3945">
        <v>4</v>
      </c>
      <c r="M3945">
        <v>220.9</v>
      </c>
      <c r="N3945">
        <v>5.6</v>
      </c>
      <c r="P3945" t="s">
        <v>34</v>
      </c>
      <c r="Q3945">
        <v>215.3</v>
      </c>
      <c r="R3945" t="s">
        <v>2766</v>
      </c>
      <c r="V3945">
        <v>0</v>
      </c>
      <c r="W3945">
        <v>0</v>
      </c>
      <c r="AF3945">
        <v>0</v>
      </c>
      <c r="AG3945">
        <v>0</v>
      </c>
      <c r="AH3945">
        <v>0</v>
      </c>
      <c r="AI3945">
        <v>12</v>
      </c>
      <c r="AJ3945">
        <v>12</v>
      </c>
      <c r="AM3945">
        <v>0</v>
      </c>
      <c r="AN3945">
        <v>225.9</v>
      </c>
    </row>
    <row r="3946" spans="1:40" x14ac:dyDescent="0.25">
      <c r="A3946" t="s">
        <v>45</v>
      </c>
      <c r="B3946">
        <v>5</v>
      </c>
      <c r="C3946" t="s">
        <v>2758</v>
      </c>
      <c r="D3946" s="39">
        <v>46145</v>
      </c>
      <c r="E3946" t="s">
        <v>486</v>
      </c>
      <c r="F3946" t="s">
        <v>79</v>
      </c>
      <c r="G3946">
        <v>8</v>
      </c>
      <c r="H3946">
        <v>5</v>
      </c>
      <c r="I3946" t="s">
        <v>79</v>
      </c>
      <c r="J3946">
        <v>1500</v>
      </c>
      <c r="L3946">
        <v>8</v>
      </c>
      <c r="M3946">
        <v>335.4</v>
      </c>
      <c r="N3946">
        <v>6.4</v>
      </c>
      <c r="P3946" t="s">
        <v>34</v>
      </c>
      <c r="Q3946">
        <v>329</v>
      </c>
      <c r="R3946" t="s">
        <v>2759</v>
      </c>
      <c r="V3946">
        <v>0</v>
      </c>
      <c r="W3946">
        <v>0</v>
      </c>
      <c r="AF3946">
        <v>0</v>
      </c>
      <c r="AG3946">
        <v>0</v>
      </c>
      <c r="AH3946">
        <v>0</v>
      </c>
      <c r="AI3946">
        <v>12</v>
      </c>
      <c r="AJ3946">
        <v>12</v>
      </c>
      <c r="AM3946">
        <v>0</v>
      </c>
      <c r="AN3946">
        <v>340.4</v>
      </c>
    </row>
    <row r="3947" spans="1:40" x14ac:dyDescent="0.25">
      <c r="A3947" t="s">
        <v>46</v>
      </c>
      <c r="B3947">
        <v>5</v>
      </c>
      <c r="C3947" t="s">
        <v>2758</v>
      </c>
      <c r="D3947" s="39">
        <v>46145</v>
      </c>
      <c r="E3947" t="s">
        <v>486</v>
      </c>
      <c r="F3947" t="s">
        <v>79</v>
      </c>
      <c r="G3947">
        <v>8</v>
      </c>
      <c r="H3947">
        <v>5</v>
      </c>
      <c r="I3947" t="s">
        <v>79</v>
      </c>
      <c r="J3947">
        <v>1500</v>
      </c>
      <c r="L3947">
        <v>9</v>
      </c>
      <c r="M3947">
        <v>327.14000000000004</v>
      </c>
      <c r="N3947">
        <v>7.2</v>
      </c>
      <c r="P3947" t="s">
        <v>34</v>
      </c>
      <c r="Q3947">
        <v>319.94000000000005</v>
      </c>
      <c r="R3947" t="s">
        <v>2759</v>
      </c>
      <c r="V3947">
        <v>0</v>
      </c>
      <c r="W3947">
        <v>0</v>
      </c>
      <c r="AF3947">
        <v>0</v>
      </c>
      <c r="AG3947">
        <v>0</v>
      </c>
      <c r="AH3947">
        <v>0</v>
      </c>
      <c r="AI3947">
        <v>12</v>
      </c>
      <c r="AJ3947">
        <v>12</v>
      </c>
      <c r="AM3947">
        <v>0</v>
      </c>
      <c r="AN3947">
        <v>332.14000000000004</v>
      </c>
    </row>
    <row r="3948" spans="1:40" x14ac:dyDescent="0.25">
      <c r="D3948" s="39"/>
      <c r="E3948" t="s">
        <v>81</v>
      </c>
      <c r="P3948" t="s">
        <v>34</v>
      </c>
      <c r="R3948" t="s">
        <v>468</v>
      </c>
      <c r="V3948">
        <v>0</v>
      </c>
      <c r="W3948">
        <v>0</v>
      </c>
      <c r="AF3948">
        <v>0</v>
      </c>
      <c r="AG3948">
        <v>0</v>
      </c>
      <c r="AH3948">
        <v>0</v>
      </c>
      <c r="AI3948">
        <v>12</v>
      </c>
      <c r="AJ3948">
        <v>12</v>
      </c>
      <c r="AM3948">
        <v>0</v>
      </c>
    </row>
    <row r="3949" spans="1:40" x14ac:dyDescent="0.25">
      <c r="D3949" s="39"/>
      <c r="E3949" t="s">
        <v>81</v>
      </c>
      <c r="P3949" t="s">
        <v>34</v>
      </c>
      <c r="R3949" t="s">
        <v>468</v>
      </c>
      <c r="V3949">
        <v>0</v>
      </c>
      <c r="W3949">
        <v>0</v>
      </c>
      <c r="AF3949">
        <v>0</v>
      </c>
      <c r="AG3949">
        <v>0</v>
      </c>
      <c r="AH3949">
        <v>0</v>
      </c>
      <c r="AI3949">
        <v>12</v>
      </c>
      <c r="AJ3949">
        <v>12</v>
      </c>
      <c r="AM3949">
        <v>0</v>
      </c>
    </row>
    <row r="3950" spans="1:40" x14ac:dyDescent="0.25">
      <c r="D3950" s="39"/>
      <c r="E3950" t="s">
        <v>81</v>
      </c>
      <c r="P3950" t="s">
        <v>34</v>
      </c>
      <c r="R3950" t="s">
        <v>468</v>
      </c>
      <c r="V3950">
        <v>0</v>
      </c>
      <c r="W3950">
        <v>0</v>
      </c>
      <c r="AF3950">
        <v>0</v>
      </c>
      <c r="AG3950">
        <v>0</v>
      </c>
      <c r="AH3950">
        <v>0</v>
      </c>
      <c r="AI3950">
        <v>12</v>
      </c>
      <c r="AJ3950">
        <v>12</v>
      </c>
      <c r="AM3950">
        <v>0</v>
      </c>
    </row>
  </sheetData>
  <phoneticPr fontId="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F19EC-B4BF-4A63-B991-4AF4B49E65AA}">
  <dimension ref="A1:AG202"/>
  <sheetViews>
    <sheetView topLeftCell="F1" workbookViewId="0">
      <pane ySplit="1200" topLeftCell="A169" activePane="bottomLeft"/>
      <selection activeCell="E1" sqref="E1:E1048576"/>
      <selection pane="bottomLeft" activeCell="T198" sqref="T198"/>
    </sheetView>
  </sheetViews>
  <sheetFormatPr defaultRowHeight="15" x14ac:dyDescent="0.25"/>
  <cols>
    <col min="1" max="1" width="13.140625" bestFit="1" customWidth="1"/>
    <col min="2" max="2" width="20.140625" bestFit="1" customWidth="1"/>
    <col min="3" max="3" width="8.5703125" bestFit="1" customWidth="1"/>
    <col min="4" max="4" width="8.140625" bestFit="1" customWidth="1"/>
    <col min="5" max="5" width="19.5703125" bestFit="1" customWidth="1"/>
    <col min="6" max="6" width="17.7109375" bestFit="1" customWidth="1"/>
    <col min="7" max="7" width="19.7109375" bestFit="1" customWidth="1"/>
    <col min="8" max="8" width="17.28515625" bestFit="1" customWidth="1"/>
    <col min="9" max="9" width="12.7109375" bestFit="1" customWidth="1"/>
    <col min="10" max="10" width="16.7109375" bestFit="1" customWidth="1"/>
    <col min="11" max="11" width="18.7109375" bestFit="1" customWidth="1"/>
    <col min="12" max="12" width="16" bestFit="1" customWidth="1"/>
    <col min="13" max="13" width="21.42578125" bestFit="1" customWidth="1"/>
    <col min="14" max="14" width="20" bestFit="1" customWidth="1"/>
    <col min="15" max="15" width="12.42578125" bestFit="1" customWidth="1"/>
    <col min="16" max="16" width="19.5703125" bestFit="1" customWidth="1"/>
    <col min="17" max="17" width="17.5703125" bestFit="1" customWidth="1"/>
    <col min="18" max="18" width="18" bestFit="1" customWidth="1"/>
    <col min="19" max="19" width="14" bestFit="1" customWidth="1"/>
    <col min="20" max="20" width="15.28515625" bestFit="1" customWidth="1"/>
    <col min="21" max="21" width="13.42578125" bestFit="1" customWidth="1"/>
    <col min="22" max="23" width="13.5703125" bestFit="1" customWidth="1"/>
    <col min="24" max="24" width="15.85546875" bestFit="1" customWidth="1"/>
    <col min="25" max="25" width="19.5703125" bestFit="1" customWidth="1"/>
    <col min="26" max="26" width="19" bestFit="1" customWidth="1"/>
    <col min="27" max="27" width="16.85546875" bestFit="1" customWidth="1"/>
    <col min="28" max="28" width="16.28515625" bestFit="1" customWidth="1"/>
    <col min="29" max="29" width="20.7109375" bestFit="1" customWidth="1"/>
    <col min="30" max="30" width="26" bestFit="1" customWidth="1"/>
    <col min="31" max="31" width="14.42578125" bestFit="1" customWidth="1"/>
    <col min="32" max="32" width="13.7109375" bestFit="1" customWidth="1"/>
    <col min="33" max="33" width="16.140625" bestFit="1" customWidth="1"/>
    <col min="34" max="61" width="26.140625" bestFit="1" customWidth="1"/>
    <col min="62" max="62" width="24.85546875" bestFit="1" customWidth="1"/>
    <col min="63" max="63" width="22.85546875" bestFit="1" customWidth="1"/>
    <col min="64" max="64" width="24.85546875" bestFit="1" customWidth="1"/>
    <col min="65" max="65" width="24.42578125" bestFit="1" customWidth="1"/>
    <col min="66" max="66" width="19.28515625" bestFit="1" customWidth="1"/>
    <col min="67" max="67" width="22.140625" bestFit="1" customWidth="1"/>
    <col min="68" max="68" width="24" bestFit="1" customWidth="1"/>
    <col min="69" max="69" width="21" bestFit="1" customWidth="1"/>
    <col min="70" max="70" width="26.42578125" bestFit="1" customWidth="1"/>
    <col min="71" max="71" width="25.28515625" bestFit="1" customWidth="1"/>
    <col min="72" max="72" width="17.85546875" bestFit="1" customWidth="1"/>
    <col min="73" max="73" width="24.7109375" bestFit="1" customWidth="1"/>
    <col min="74" max="74" width="22.7109375" bestFit="1" customWidth="1"/>
    <col min="75" max="75" width="23.140625" bestFit="1" customWidth="1"/>
    <col min="76" max="76" width="19.28515625" bestFit="1" customWidth="1"/>
    <col min="77" max="77" width="20.42578125" bestFit="1" customWidth="1"/>
    <col min="78" max="79" width="18.7109375" bestFit="1" customWidth="1"/>
    <col min="80" max="80" width="18.5703125" bestFit="1" customWidth="1"/>
    <col min="81" max="81" width="21.140625" bestFit="1" customWidth="1"/>
    <col min="82" max="82" width="24.7109375" bestFit="1" customWidth="1"/>
    <col min="83" max="83" width="24.28515625" bestFit="1" customWidth="1"/>
    <col min="84" max="84" width="22.140625" bestFit="1" customWidth="1"/>
    <col min="85" max="85" width="21.7109375" bestFit="1" customWidth="1"/>
    <col min="86" max="86" width="26.28515625" bestFit="1" customWidth="1"/>
    <col min="87" max="87" width="31.140625" bestFit="1" customWidth="1"/>
    <col min="88" max="88" width="19.5703125" bestFit="1" customWidth="1"/>
    <col min="89" max="89" width="18.7109375" bestFit="1" customWidth="1"/>
    <col min="90" max="90" width="21.85546875" bestFit="1" customWidth="1"/>
  </cols>
  <sheetData>
    <row r="1" spans="1:33" x14ac:dyDescent="0.25">
      <c r="A1" s="74" t="s">
        <v>1</v>
      </c>
      <c r="B1" s="74" t="s">
        <v>744</v>
      </c>
      <c r="C1" s="74" t="s">
        <v>56</v>
      </c>
      <c r="D1" s="74" t="s">
        <v>39</v>
      </c>
      <c r="E1" s="74" t="s">
        <v>769</v>
      </c>
      <c r="F1" s="74" t="s">
        <v>766</v>
      </c>
      <c r="G1" s="74" t="s">
        <v>768</v>
      </c>
      <c r="H1" s="74" t="s">
        <v>865</v>
      </c>
      <c r="I1" s="74" t="s">
        <v>866</v>
      </c>
      <c r="J1" s="74" t="s">
        <v>767</v>
      </c>
      <c r="K1" s="74" t="s">
        <v>745</v>
      </c>
      <c r="L1" s="74" t="s">
        <v>765</v>
      </c>
      <c r="M1" s="74" t="s">
        <v>764</v>
      </c>
      <c r="N1" s="74" t="s">
        <v>746</v>
      </c>
      <c r="O1" s="74" t="s">
        <v>747</v>
      </c>
      <c r="P1" s="74" t="s">
        <v>748</v>
      </c>
      <c r="Q1" s="74" t="s">
        <v>749</v>
      </c>
      <c r="R1" s="74" t="s">
        <v>750</v>
      </c>
      <c r="S1" s="74" t="s">
        <v>751</v>
      </c>
      <c r="T1" s="74" t="s">
        <v>752</v>
      </c>
      <c r="U1" s="74" t="s">
        <v>753</v>
      </c>
      <c r="V1" s="74" t="s">
        <v>754</v>
      </c>
      <c r="W1" s="74" t="s">
        <v>755</v>
      </c>
      <c r="X1" s="74" t="s">
        <v>756</v>
      </c>
      <c r="Y1" s="74" t="s">
        <v>757</v>
      </c>
      <c r="Z1" s="74" t="s">
        <v>758</v>
      </c>
      <c r="AA1" s="74" t="s">
        <v>743</v>
      </c>
      <c r="AB1" s="74" t="s">
        <v>759</v>
      </c>
      <c r="AC1" s="74" t="s">
        <v>760</v>
      </c>
      <c r="AD1" s="74" t="s">
        <v>761</v>
      </c>
      <c r="AE1" s="74" t="s">
        <v>762</v>
      </c>
      <c r="AF1" s="74" t="s">
        <v>763</v>
      </c>
      <c r="AG1" s="74" t="s">
        <v>770</v>
      </c>
    </row>
    <row r="3" spans="1:33" x14ac:dyDescent="0.25">
      <c r="A3" s="42" t="s">
        <v>1</v>
      </c>
      <c r="B3" s="42" t="s">
        <v>744</v>
      </c>
      <c r="C3" s="42" t="s">
        <v>56</v>
      </c>
      <c r="D3" s="42" t="s">
        <v>39</v>
      </c>
      <c r="E3" t="s">
        <v>769</v>
      </c>
      <c r="F3" t="s">
        <v>766</v>
      </c>
      <c r="G3" t="s">
        <v>768</v>
      </c>
      <c r="H3" t="s">
        <v>865</v>
      </c>
      <c r="I3" t="s">
        <v>866</v>
      </c>
      <c r="J3" t="s">
        <v>767</v>
      </c>
      <c r="K3" t="s">
        <v>745</v>
      </c>
      <c r="L3" t="s">
        <v>765</v>
      </c>
      <c r="M3" t="s">
        <v>764</v>
      </c>
      <c r="N3" t="s">
        <v>746</v>
      </c>
      <c r="O3" t="s">
        <v>747</v>
      </c>
      <c r="P3" t="s">
        <v>748</v>
      </c>
      <c r="Q3" t="s">
        <v>749</v>
      </c>
      <c r="R3" t="s">
        <v>750</v>
      </c>
      <c r="S3" t="s">
        <v>751</v>
      </c>
      <c r="T3" t="s">
        <v>752</v>
      </c>
      <c r="U3" t="s">
        <v>753</v>
      </c>
      <c r="V3" t="s">
        <v>754</v>
      </c>
      <c r="W3" t="s">
        <v>755</v>
      </c>
      <c r="X3" t="s">
        <v>756</v>
      </c>
      <c r="Y3" t="s">
        <v>757</v>
      </c>
      <c r="Z3" t="s">
        <v>758</v>
      </c>
      <c r="AA3" t="s">
        <v>743</v>
      </c>
      <c r="AB3" t="s">
        <v>759</v>
      </c>
      <c r="AC3" t="s">
        <v>760</v>
      </c>
      <c r="AD3" t="s">
        <v>761</v>
      </c>
      <c r="AE3" t="s">
        <v>762</v>
      </c>
      <c r="AF3" t="s">
        <v>763</v>
      </c>
      <c r="AG3" t="s">
        <v>770</v>
      </c>
    </row>
    <row r="4" spans="1:33" x14ac:dyDescent="0.25">
      <c r="A4" t="s">
        <v>2771</v>
      </c>
      <c r="B4" t="s">
        <v>2510</v>
      </c>
      <c r="C4">
        <v>4</v>
      </c>
      <c r="D4" t="s">
        <v>45</v>
      </c>
      <c r="E4">
        <v>12</v>
      </c>
      <c r="K4">
        <v>463.98</v>
      </c>
      <c r="N4">
        <v>25</v>
      </c>
      <c r="O4">
        <v>180</v>
      </c>
      <c r="Q4">
        <v>205</v>
      </c>
      <c r="R4">
        <v>3.4166666666666665</v>
      </c>
      <c r="X4">
        <v>30</v>
      </c>
      <c r="Y4">
        <v>30</v>
      </c>
      <c r="Z4">
        <v>0.5</v>
      </c>
      <c r="AA4">
        <v>3.9166666666666665</v>
      </c>
      <c r="AB4">
        <v>44.083333333333336</v>
      </c>
      <c r="AD4">
        <v>0</v>
      </c>
      <c r="AE4">
        <v>504.58000000000004</v>
      </c>
      <c r="AG4">
        <v>14</v>
      </c>
    </row>
    <row r="5" spans="1:33" x14ac:dyDescent="0.25">
      <c r="A5" t="s">
        <v>2771</v>
      </c>
      <c r="B5" t="s">
        <v>2510</v>
      </c>
      <c r="C5">
        <v>4</v>
      </c>
      <c r="D5" t="s">
        <v>46</v>
      </c>
      <c r="E5">
        <v>12</v>
      </c>
      <c r="K5">
        <v>592.21999999999991</v>
      </c>
      <c r="N5">
        <v>25</v>
      </c>
      <c r="Q5">
        <v>25</v>
      </c>
      <c r="R5">
        <v>0.41666666666666674</v>
      </c>
      <c r="Y5">
        <v>0</v>
      </c>
      <c r="Z5">
        <v>0</v>
      </c>
      <c r="AA5">
        <v>0.41666666666666674</v>
      </c>
      <c r="AB5">
        <v>35.583333333333336</v>
      </c>
      <c r="AD5">
        <v>0</v>
      </c>
      <c r="AE5">
        <v>644.61999999999989</v>
      </c>
      <c r="AG5">
        <v>14</v>
      </c>
    </row>
    <row r="6" spans="1:33" x14ac:dyDescent="0.25">
      <c r="A6" t="s">
        <v>2771</v>
      </c>
      <c r="B6" t="s">
        <v>2510</v>
      </c>
      <c r="C6">
        <v>5</v>
      </c>
      <c r="D6" t="s">
        <v>45</v>
      </c>
      <c r="E6">
        <v>12</v>
      </c>
      <c r="K6">
        <v>404.00999999999993</v>
      </c>
      <c r="N6">
        <v>20</v>
      </c>
      <c r="O6">
        <v>180</v>
      </c>
      <c r="Q6">
        <v>200</v>
      </c>
      <c r="R6">
        <v>3.3333333333333335</v>
      </c>
      <c r="Y6">
        <v>0</v>
      </c>
      <c r="Z6">
        <v>0</v>
      </c>
      <c r="AA6">
        <v>3.3333333333333335</v>
      </c>
      <c r="AB6">
        <v>20.666666666666664</v>
      </c>
      <c r="AD6">
        <v>0</v>
      </c>
      <c r="AE6">
        <v>424.60999999999996</v>
      </c>
      <c r="AG6">
        <v>14</v>
      </c>
    </row>
    <row r="7" spans="1:33" x14ac:dyDescent="0.25">
      <c r="A7" t="s">
        <v>2771</v>
      </c>
      <c r="B7" t="s">
        <v>2510</v>
      </c>
      <c r="C7">
        <v>5</v>
      </c>
      <c r="D7" t="s">
        <v>46</v>
      </c>
      <c r="E7">
        <v>12</v>
      </c>
      <c r="K7">
        <v>618.32000000000016</v>
      </c>
      <c r="Q7">
        <v>0</v>
      </c>
      <c r="R7">
        <v>0</v>
      </c>
      <c r="Y7">
        <v>0</v>
      </c>
      <c r="Z7">
        <v>0</v>
      </c>
      <c r="AA7">
        <v>0</v>
      </c>
      <c r="AB7">
        <v>12</v>
      </c>
      <c r="AD7">
        <v>0</v>
      </c>
      <c r="AE7">
        <v>639.32000000000016</v>
      </c>
      <c r="AG7">
        <v>14</v>
      </c>
    </row>
    <row r="8" spans="1:33" x14ac:dyDescent="0.25">
      <c r="A8" t="s">
        <v>2772</v>
      </c>
      <c r="B8" t="s">
        <v>2510</v>
      </c>
      <c r="C8">
        <v>1</v>
      </c>
      <c r="D8" t="s">
        <v>46</v>
      </c>
      <c r="E8">
        <v>12</v>
      </c>
      <c r="K8">
        <v>93.29</v>
      </c>
      <c r="O8">
        <v>180</v>
      </c>
      <c r="Q8">
        <v>180</v>
      </c>
      <c r="R8">
        <v>3</v>
      </c>
      <c r="Y8">
        <v>0</v>
      </c>
      <c r="Z8">
        <v>0</v>
      </c>
      <c r="AA8">
        <v>3</v>
      </c>
      <c r="AB8">
        <v>9</v>
      </c>
      <c r="AD8">
        <v>0</v>
      </c>
      <c r="AE8">
        <v>99.79</v>
      </c>
      <c r="AG8">
        <v>14</v>
      </c>
    </row>
    <row r="9" spans="1:33" x14ac:dyDescent="0.25">
      <c r="A9" t="s">
        <v>2772</v>
      </c>
      <c r="B9" t="s">
        <v>2510</v>
      </c>
      <c r="C9">
        <v>2</v>
      </c>
      <c r="D9" t="s">
        <v>46</v>
      </c>
      <c r="E9">
        <v>12</v>
      </c>
      <c r="K9">
        <v>111.69</v>
      </c>
      <c r="O9">
        <v>150</v>
      </c>
      <c r="Q9">
        <v>150</v>
      </c>
      <c r="R9">
        <v>2.5</v>
      </c>
      <c r="Y9">
        <v>0</v>
      </c>
      <c r="Z9">
        <v>0</v>
      </c>
      <c r="AA9">
        <v>2.5</v>
      </c>
      <c r="AB9">
        <v>9.5</v>
      </c>
      <c r="AD9">
        <v>0</v>
      </c>
      <c r="AE9">
        <v>119.09</v>
      </c>
      <c r="AG9">
        <v>14</v>
      </c>
    </row>
    <row r="10" spans="1:33" x14ac:dyDescent="0.25">
      <c r="A10" t="s">
        <v>2772</v>
      </c>
      <c r="B10" t="s">
        <v>2510</v>
      </c>
      <c r="C10">
        <v>4</v>
      </c>
      <c r="D10" t="s">
        <v>45</v>
      </c>
      <c r="E10">
        <v>12</v>
      </c>
      <c r="K10">
        <v>686.43999999999994</v>
      </c>
      <c r="Q10">
        <v>0</v>
      </c>
      <c r="R10">
        <v>0</v>
      </c>
      <c r="Y10">
        <v>0</v>
      </c>
      <c r="Z10">
        <v>0</v>
      </c>
      <c r="AA10">
        <v>0</v>
      </c>
      <c r="AB10">
        <v>36</v>
      </c>
      <c r="AD10">
        <v>0</v>
      </c>
      <c r="AE10">
        <v>723.93999999999994</v>
      </c>
      <c r="AG10">
        <v>14</v>
      </c>
    </row>
    <row r="11" spans="1:33" x14ac:dyDescent="0.25">
      <c r="A11" t="s">
        <v>2772</v>
      </c>
      <c r="B11" t="s">
        <v>2510</v>
      </c>
      <c r="C11">
        <v>4</v>
      </c>
      <c r="D11" t="s">
        <v>46</v>
      </c>
      <c r="E11">
        <v>12</v>
      </c>
      <c r="K11">
        <v>678.41</v>
      </c>
      <c r="N11">
        <v>40</v>
      </c>
      <c r="Q11">
        <v>40</v>
      </c>
      <c r="R11">
        <v>0.66666666666666674</v>
      </c>
      <c r="Y11">
        <v>0</v>
      </c>
      <c r="Z11">
        <v>0</v>
      </c>
      <c r="AA11">
        <v>0.66666666666666674</v>
      </c>
      <c r="AB11">
        <v>47.333333333333336</v>
      </c>
      <c r="AD11">
        <v>0</v>
      </c>
      <c r="AE11">
        <v>729.81</v>
      </c>
      <c r="AG11">
        <v>14</v>
      </c>
    </row>
    <row r="12" spans="1:33" x14ac:dyDescent="0.25">
      <c r="A12" t="s">
        <v>2772</v>
      </c>
      <c r="B12" t="s">
        <v>2510</v>
      </c>
      <c r="C12">
        <v>5</v>
      </c>
      <c r="D12" t="s">
        <v>45</v>
      </c>
      <c r="E12">
        <v>12</v>
      </c>
      <c r="K12">
        <v>586.70000000000005</v>
      </c>
      <c r="Q12">
        <v>0</v>
      </c>
      <c r="R12">
        <v>0</v>
      </c>
      <c r="Y12">
        <v>0</v>
      </c>
      <c r="Z12">
        <v>0</v>
      </c>
      <c r="AA12">
        <v>0</v>
      </c>
      <c r="AB12">
        <v>12</v>
      </c>
      <c r="AD12">
        <v>0</v>
      </c>
      <c r="AE12">
        <v>605.70000000000005</v>
      </c>
      <c r="AG12">
        <v>14</v>
      </c>
    </row>
    <row r="13" spans="1:33" x14ac:dyDescent="0.25">
      <c r="A13" t="s">
        <v>2772</v>
      </c>
      <c r="B13" t="s">
        <v>2510</v>
      </c>
      <c r="C13">
        <v>5</v>
      </c>
      <c r="D13" t="s">
        <v>46</v>
      </c>
      <c r="E13">
        <v>12</v>
      </c>
      <c r="K13">
        <v>402.08</v>
      </c>
      <c r="N13">
        <v>20</v>
      </c>
      <c r="Q13">
        <v>20</v>
      </c>
      <c r="R13">
        <v>0.33333333333333331</v>
      </c>
      <c r="Y13">
        <v>0</v>
      </c>
      <c r="Z13">
        <v>0</v>
      </c>
      <c r="AA13">
        <v>0.33333333333333331</v>
      </c>
      <c r="AB13">
        <v>23.666666666666664</v>
      </c>
      <c r="AD13">
        <v>0</v>
      </c>
      <c r="AE13">
        <v>422.88</v>
      </c>
      <c r="AG13">
        <v>14</v>
      </c>
    </row>
    <row r="14" spans="1:33" x14ac:dyDescent="0.25">
      <c r="A14" t="s">
        <v>2773</v>
      </c>
      <c r="B14" t="s">
        <v>2510</v>
      </c>
      <c r="C14">
        <v>1</v>
      </c>
      <c r="D14" t="s">
        <v>45</v>
      </c>
      <c r="E14">
        <v>12</v>
      </c>
      <c r="K14">
        <v>132.42999999999998</v>
      </c>
      <c r="Q14">
        <v>0</v>
      </c>
      <c r="R14">
        <v>0</v>
      </c>
      <c r="Y14">
        <v>0</v>
      </c>
      <c r="Z14">
        <v>0</v>
      </c>
      <c r="AA14">
        <v>0</v>
      </c>
      <c r="AB14">
        <v>12</v>
      </c>
      <c r="AD14">
        <v>0</v>
      </c>
      <c r="AE14">
        <v>139.52999999999997</v>
      </c>
      <c r="AG14">
        <v>14</v>
      </c>
    </row>
    <row r="15" spans="1:33" x14ac:dyDescent="0.25">
      <c r="A15" t="s">
        <v>2773</v>
      </c>
      <c r="B15" t="s">
        <v>2510</v>
      </c>
      <c r="C15">
        <v>1</v>
      </c>
      <c r="D15" t="s">
        <v>46</v>
      </c>
      <c r="E15">
        <v>12</v>
      </c>
      <c r="K15">
        <v>130.26</v>
      </c>
      <c r="Q15">
        <v>0</v>
      </c>
      <c r="R15">
        <v>0</v>
      </c>
      <c r="Y15">
        <v>0</v>
      </c>
      <c r="Z15">
        <v>0</v>
      </c>
      <c r="AA15">
        <v>0</v>
      </c>
      <c r="AB15">
        <v>12</v>
      </c>
      <c r="AD15">
        <v>0</v>
      </c>
      <c r="AE15">
        <v>137.36000000000001</v>
      </c>
      <c r="AG15">
        <v>14</v>
      </c>
    </row>
    <row r="16" spans="1:33" x14ac:dyDescent="0.25">
      <c r="A16" t="s">
        <v>2773</v>
      </c>
      <c r="B16" t="s">
        <v>2510</v>
      </c>
      <c r="C16">
        <v>2</v>
      </c>
      <c r="D16" t="s">
        <v>45</v>
      </c>
      <c r="E16">
        <v>12</v>
      </c>
      <c r="K16">
        <v>165.01999999999998</v>
      </c>
      <c r="Q16">
        <v>0</v>
      </c>
      <c r="R16">
        <v>0</v>
      </c>
      <c r="Y16">
        <v>0</v>
      </c>
      <c r="Z16">
        <v>0</v>
      </c>
      <c r="AA16">
        <v>0</v>
      </c>
      <c r="AB16">
        <v>12</v>
      </c>
      <c r="AD16">
        <v>0</v>
      </c>
      <c r="AE16">
        <v>173.61999999999998</v>
      </c>
      <c r="AG16">
        <v>14</v>
      </c>
    </row>
    <row r="17" spans="1:33" x14ac:dyDescent="0.25">
      <c r="A17" t="s">
        <v>2773</v>
      </c>
      <c r="B17" t="s">
        <v>2510</v>
      </c>
      <c r="C17">
        <v>2</v>
      </c>
      <c r="D17" t="s">
        <v>46</v>
      </c>
      <c r="E17">
        <v>12</v>
      </c>
      <c r="K17">
        <v>169</v>
      </c>
      <c r="Q17">
        <v>0</v>
      </c>
      <c r="R17">
        <v>0</v>
      </c>
      <c r="Y17">
        <v>0</v>
      </c>
      <c r="Z17">
        <v>0</v>
      </c>
      <c r="AA17">
        <v>0</v>
      </c>
      <c r="AB17">
        <v>12</v>
      </c>
      <c r="AD17">
        <v>0</v>
      </c>
      <c r="AE17">
        <v>177.6</v>
      </c>
      <c r="AG17">
        <v>14</v>
      </c>
    </row>
    <row r="18" spans="1:33" x14ac:dyDescent="0.25">
      <c r="A18" t="s">
        <v>2773</v>
      </c>
      <c r="B18" t="s">
        <v>2510</v>
      </c>
      <c r="C18">
        <v>4</v>
      </c>
      <c r="D18" t="s">
        <v>45</v>
      </c>
      <c r="E18">
        <v>12</v>
      </c>
      <c r="K18">
        <v>744.40999999999985</v>
      </c>
      <c r="Q18">
        <v>0</v>
      </c>
      <c r="R18">
        <v>0</v>
      </c>
      <c r="Y18">
        <v>0</v>
      </c>
      <c r="Z18">
        <v>0</v>
      </c>
      <c r="AA18">
        <v>0</v>
      </c>
      <c r="AB18">
        <v>12</v>
      </c>
      <c r="AD18">
        <v>0</v>
      </c>
      <c r="AE18">
        <v>785.40999999999985</v>
      </c>
      <c r="AG18">
        <v>14</v>
      </c>
    </row>
    <row r="19" spans="1:33" x14ac:dyDescent="0.25">
      <c r="A19" t="s">
        <v>2773</v>
      </c>
      <c r="B19" t="s">
        <v>2510</v>
      </c>
      <c r="C19">
        <v>4</v>
      </c>
      <c r="D19" t="s">
        <v>46</v>
      </c>
      <c r="E19">
        <v>12</v>
      </c>
      <c r="K19">
        <v>713.55999999999983</v>
      </c>
      <c r="Q19">
        <v>0</v>
      </c>
      <c r="R19">
        <v>0</v>
      </c>
      <c r="Y19">
        <v>0</v>
      </c>
      <c r="Z19">
        <v>0</v>
      </c>
      <c r="AA19">
        <v>0</v>
      </c>
      <c r="AB19">
        <v>12</v>
      </c>
      <c r="AD19">
        <v>0</v>
      </c>
      <c r="AE19">
        <v>751.55999999999983</v>
      </c>
      <c r="AG19">
        <v>14</v>
      </c>
    </row>
    <row r="20" spans="1:33" x14ac:dyDescent="0.25">
      <c r="A20" t="s">
        <v>2773</v>
      </c>
      <c r="B20" t="s">
        <v>2510</v>
      </c>
      <c r="C20">
        <v>5</v>
      </c>
      <c r="D20" t="s">
        <v>45</v>
      </c>
      <c r="E20">
        <v>12</v>
      </c>
      <c r="K20">
        <v>416.39</v>
      </c>
      <c r="Q20">
        <v>0</v>
      </c>
      <c r="R20">
        <v>0</v>
      </c>
      <c r="Y20">
        <v>0</v>
      </c>
      <c r="Z20">
        <v>0</v>
      </c>
      <c r="AA20">
        <v>0</v>
      </c>
      <c r="AB20">
        <v>12</v>
      </c>
      <c r="AD20">
        <v>0</v>
      </c>
      <c r="AE20">
        <v>429.49</v>
      </c>
      <c r="AG20">
        <v>14</v>
      </c>
    </row>
    <row r="21" spans="1:33" x14ac:dyDescent="0.25">
      <c r="A21" t="s">
        <v>2773</v>
      </c>
      <c r="B21" t="s">
        <v>2510</v>
      </c>
      <c r="C21">
        <v>5</v>
      </c>
      <c r="D21" t="s">
        <v>46</v>
      </c>
      <c r="E21">
        <v>12</v>
      </c>
      <c r="K21">
        <v>416.33999999999992</v>
      </c>
      <c r="Q21">
        <v>0</v>
      </c>
      <c r="R21">
        <v>0</v>
      </c>
      <c r="Y21">
        <v>0</v>
      </c>
      <c r="Z21">
        <v>0</v>
      </c>
      <c r="AA21">
        <v>0</v>
      </c>
      <c r="AB21">
        <v>12</v>
      </c>
      <c r="AD21">
        <v>0</v>
      </c>
      <c r="AE21">
        <v>429.43999999999994</v>
      </c>
      <c r="AG21">
        <v>14</v>
      </c>
    </row>
    <row r="22" spans="1:33" x14ac:dyDescent="0.25">
      <c r="A22" t="s">
        <v>2774</v>
      </c>
      <c r="B22" t="s">
        <v>2510</v>
      </c>
      <c r="C22">
        <v>1</v>
      </c>
      <c r="D22" t="s">
        <v>45</v>
      </c>
      <c r="E22">
        <v>12</v>
      </c>
      <c r="K22">
        <v>113.71000000000001</v>
      </c>
      <c r="Q22">
        <v>0</v>
      </c>
      <c r="R22">
        <v>0</v>
      </c>
      <c r="X22">
        <v>30</v>
      </c>
      <c r="Y22">
        <v>30</v>
      </c>
      <c r="Z22">
        <v>0.5</v>
      </c>
      <c r="AA22">
        <v>0.5</v>
      </c>
      <c r="AB22">
        <v>11.5</v>
      </c>
      <c r="AD22">
        <v>0</v>
      </c>
      <c r="AE22">
        <v>120.81</v>
      </c>
      <c r="AG22">
        <v>14</v>
      </c>
    </row>
    <row r="23" spans="1:33" x14ac:dyDescent="0.25">
      <c r="A23" t="s">
        <v>2774</v>
      </c>
      <c r="B23" t="s">
        <v>2510</v>
      </c>
      <c r="C23">
        <v>1</v>
      </c>
      <c r="D23" t="s">
        <v>46</v>
      </c>
      <c r="E23">
        <v>12</v>
      </c>
      <c r="K23">
        <v>113.61999999999999</v>
      </c>
      <c r="Q23">
        <v>0</v>
      </c>
      <c r="R23">
        <v>0</v>
      </c>
      <c r="Y23">
        <v>0</v>
      </c>
      <c r="Z23">
        <v>0</v>
      </c>
      <c r="AA23">
        <v>0</v>
      </c>
      <c r="AB23">
        <v>12</v>
      </c>
      <c r="AD23">
        <v>0</v>
      </c>
      <c r="AE23">
        <v>120.42</v>
      </c>
      <c r="AG23">
        <v>14</v>
      </c>
    </row>
    <row r="24" spans="1:33" x14ac:dyDescent="0.25">
      <c r="A24" t="s">
        <v>2774</v>
      </c>
      <c r="B24" t="s">
        <v>2510</v>
      </c>
      <c r="C24">
        <v>2</v>
      </c>
      <c r="D24" t="s">
        <v>45</v>
      </c>
      <c r="E24">
        <v>12</v>
      </c>
      <c r="K24">
        <v>161.92000000000002</v>
      </c>
      <c r="Q24">
        <v>0</v>
      </c>
      <c r="R24">
        <v>0</v>
      </c>
      <c r="Y24">
        <v>0</v>
      </c>
      <c r="Z24">
        <v>0</v>
      </c>
      <c r="AA24">
        <v>0</v>
      </c>
      <c r="AB24">
        <v>12</v>
      </c>
      <c r="AD24">
        <v>0</v>
      </c>
      <c r="AE24">
        <v>170.52</v>
      </c>
      <c r="AG24">
        <v>14</v>
      </c>
    </row>
    <row r="25" spans="1:33" x14ac:dyDescent="0.25">
      <c r="A25" t="s">
        <v>2774</v>
      </c>
      <c r="B25" t="s">
        <v>2510</v>
      </c>
      <c r="C25">
        <v>2</v>
      </c>
      <c r="D25" t="s">
        <v>46</v>
      </c>
      <c r="E25">
        <v>12</v>
      </c>
      <c r="K25">
        <v>169.5</v>
      </c>
      <c r="Q25">
        <v>0</v>
      </c>
      <c r="R25">
        <v>0</v>
      </c>
      <c r="X25">
        <v>20</v>
      </c>
      <c r="Y25">
        <v>20</v>
      </c>
      <c r="Z25">
        <v>0.33333333333333331</v>
      </c>
      <c r="AA25">
        <v>0.33333333333333331</v>
      </c>
      <c r="AB25">
        <v>11.666666666666666</v>
      </c>
      <c r="AD25">
        <v>0</v>
      </c>
      <c r="AE25">
        <v>177.7</v>
      </c>
      <c r="AG25">
        <v>14</v>
      </c>
    </row>
    <row r="26" spans="1:33" x14ac:dyDescent="0.25">
      <c r="A26" t="s">
        <v>2774</v>
      </c>
      <c r="B26" t="s">
        <v>2510</v>
      </c>
      <c r="C26">
        <v>4</v>
      </c>
      <c r="D26" t="s">
        <v>45</v>
      </c>
      <c r="E26">
        <v>12</v>
      </c>
      <c r="K26">
        <v>668.06999999999994</v>
      </c>
      <c r="N26">
        <v>30</v>
      </c>
      <c r="Q26">
        <v>30</v>
      </c>
      <c r="R26">
        <v>0.5</v>
      </c>
      <c r="Y26">
        <v>0</v>
      </c>
      <c r="Z26">
        <v>0</v>
      </c>
      <c r="AA26">
        <v>0.5</v>
      </c>
      <c r="AB26">
        <v>35.5</v>
      </c>
      <c r="AD26">
        <v>0</v>
      </c>
      <c r="AE26">
        <v>706.17000000000007</v>
      </c>
      <c r="AG26">
        <v>14</v>
      </c>
    </row>
    <row r="27" spans="1:33" x14ac:dyDescent="0.25">
      <c r="A27" t="s">
        <v>2774</v>
      </c>
      <c r="B27" t="s">
        <v>2510</v>
      </c>
      <c r="C27">
        <v>4</v>
      </c>
      <c r="D27" t="s">
        <v>46</v>
      </c>
      <c r="E27">
        <v>12</v>
      </c>
      <c r="K27">
        <v>723.43999999999994</v>
      </c>
      <c r="Q27">
        <v>0</v>
      </c>
      <c r="R27">
        <v>0</v>
      </c>
      <c r="Y27">
        <v>0</v>
      </c>
      <c r="Z27">
        <v>0</v>
      </c>
      <c r="AA27">
        <v>0</v>
      </c>
      <c r="AB27">
        <v>24</v>
      </c>
      <c r="AD27">
        <v>0</v>
      </c>
      <c r="AE27">
        <v>753.33999999999992</v>
      </c>
      <c r="AG27">
        <v>14</v>
      </c>
    </row>
    <row r="28" spans="1:33" x14ac:dyDescent="0.25">
      <c r="A28" t="s">
        <v>2774</v>
      </c>
      <c r="B28" t="s">
        <v>2510</v>
      </c>
      <c r="C28">
        <v>5</v>
      </c>
      <c r="D28" t="s">
        <v>45</v>
      </c>
      <c r="E28">
        <v>12</v>
      </c>
      <c r="K28">
        <v>280.14</v>
      </c>
      <c r="Q28">
        <v>0</v>
      </c>
      <c r="R28">
        <v>0</v>
      </c>
      <c r="Y28">
        <v>0</v>
      </c>
      <c r="Z28">
        <v>0</v>
      </c>
      <c r="AA28">
        <v>0</v>
      </c>
      <c r="AB28">
        <v>12</v>
      </c>
      <c r="AD28">
        <v>0</v>
      </c>
      <c r="AE28">
        <v>290.53999999999996</v>
      </c>
      <c r="AG28">
        <v>14</v>
      </c>
    </row>
    <row r="29" spans="1:33" x14ac:dyDescent="0.25">
      <c r="A29" t="s">
        <v>2774</v>
      </c>
      <c r="B29" t="s">
        <v>2510</v>
      </c>
      <c r="C29">
        <v>5</v>
      </c>
      <c r="D29" t="s">
        <v>46</v>
      </c>
      <c r="E29">
        <v>12</v>
      </c>
      <c r="K29">
        <v>327.04000000000002</v>
      </c>
      <c r="Q29">
        <v>0</v>
      </c>
      <c r="R29">
        <v>0</v>
      </c>
      <c r="U29">
        <v>180</v>
      </c>
      <c r="Y29">
        <v>180</v>
      </c>
      <c r="Z29">
        <v>3</v>
      </c>
      <c r="AA29">
        <v>3</v>
      </c>
      <c r="AB29">
        <v>9</v>
      </c>
      <c r="AD29">
        <v>0</v>
      </c>
      <c r="AE29">
        <v>339.74</v>
      </c>
      <c r="AG29">
        <v>14</v>
      </c>
    </row>
    <row r="30" spans="1:33" x14ac:dyDescent="0.25">
      <c r="A30" t="s">
        <v>2775</v>
      </c>
      <c r="B30" t="s">
        <v>2510</v>
      </c>
      <c r="C30">
        <v>1</v>
      </c>
      <c r="D30" t="s">
        <v>45</v>
      </c>
      <c r="E30">
        <v>12</v>
      </c>
      <c r="K30">
        <v>129.41999999999999</v>
      </c>
      <c r="Q30">
        <v>0</v>
      </c>
      <c r="R30">
        <v>0</v>
      </c>
      <c r="Y30">
        <v>0</v>
      </c>
      <c r="Z30">
        <v>0</v>
      </c>
      <c r="AA30">
        <v>0</v>
      </c>
      <c r="AB30">
        <v>12</v>
      </c>
      <c r="AD30">
        <v>0</v>
      </c>
      <c r="AE30">
        <v>136.51999999999998</v>
      </c>
      <c r="AG30">
        <v>14</v>
      </c>
    </row>
    <row r="31" spans="1:33" x14ac:dyDescent="0.25">
      <c r="A31" t="s">
        <v>2775</v>
      </c>
      <c r="B31" t="s">
        <v>2510</v>
      </c>
      <c r="C31">
        <v>1</v>
      </c>
      <c r="D31" t="s">
        <v>46</v>
      </c>
      <c r="E31">
        <v>12</v>
      </c>
      <c r="K31">
        <v>121.59</v>
      </c>
      <c r="Q31">
        <v>0</v>
      </c>
      <c r="R31">
        <v>0</v>
      </c>
      <c r="Y31">
        <v>0</v>
      </c>
      <c r="Z31">
        <v>0</v>
      </c>
      <c r="AA31">
        <v>0</v>
      </c>
      <c r="AB31">
        <v>12</v>
      </c>
      <c r="AD31">
        <v>0</v>
      </c>
      <c r="AE31">
        <v>128.69</v>
      </c>
      <c r="AG31">
        <v>14</v>
      </c>
    </row>
    <row r="32" spans="1:33" x14ac:dyDescent="0.25">
      <c r="A32" t="s">
        <v>2775</v>
      </c>
      <c r="B32" t="s">
        <v>2510</v>
      </c>
      <c r="C32">
        <v>2</v>
      </c>
      <c r="D32" t="s">
        <v>45</v>
      </c>
      <c r="E32">
        <v>12</v>
      </c>
      <c r="K32">
        <v>178.03</v>
      </c>
      <c r="Q32">
        <v>0</v>
      </c>
      <c r="R32">
        <v>0</v>
      </c>
      <c r="Y32">
        <v>0</v>
      </c>
      <c r="Z32">
        <v>0</v>
      </c>
      <c r="AA32">
        <v>0</v>
      </c>
      <c r="AB32">
        <v>12</v>
      </c>
      <c r="AD32">
        <v>0</v>
      </c>
      <c r="AE32">
        <v>187.03</v>
      </c>
      <c r="AG32">
        <v>14</v>
      </c>
    </row>
    <row r="33" spans="1:33" x14ac:dyDescent="0.25">
      <c r="A33" t="s">
        <v>2775</v>
      </c>
      <c r="B33" t="s">
        <v>2510</v>
      </c>
      <c r="C33">
        <v>2</v>
      </c>
      <c r="D33" t="s">
        <v>46</v>
      </c>
      <c r="E33">
        <v>12</v>
      </c>
      <c r="K33">
        <v>175.20999999999998</v>
      </c>
      <c r="Q33">
        <v>0</v>
      </c>
      <c r="R33">
        <v>0</v>
      </c>
      <c r="Y33">
        <v>0</v>
      </c>
      <c r="Z33">
        <v>0</v>
      </c>
      <c r="AA33">
        <v>0</v>
      </c>
      <c r="AB33">
        <v>12</v>
      </c>
      <c r="AD33">
        <v>0</v>
      </c>
      <c r="AE33">
        <v>184.21</v>
      </c>
      <c r="AG33">
        <v>14</v>
      </c>
    </row>
    <row r="34" spans="1:33" x14ac:dyDescent="0.25">
      <c r="A34" t="s">
        <v>2775</v>
      </c>
      <c r="B34" t="s">
        <v>2510</v>
      </c>
      <c r="C34">
        <v>4</v>
      </c>
      <c r="D34" t="s">
        <v>45</v>
      </c>
      <c r="E34">
        <v>12</v>
      </c>
      <c r="K34">
        <v>429.35999999999996</v>
      </c>
      <c r="Q34">
        <v>0</v>
      </c>
      <c r="R34">
        <v>0</v>
      </c>
      <c r="Y34">
        <v>0</v>
      </c>
      <c r="Z34">
        <v>0</v>
      </c>
      <c r="AA34">
        <v>0</v>
      </c>
      <c r="AB34">
        <v>12</v>
      </c>
      <c r="AD34">
        <v>0</v>
      </c>
      <c r="AE34">
        <v>447.96</v>
      </c>
      <c r="AG34">
        <v>14</v>
      </c>
    </row>
    <row r="35" spans="1:33" x14ac:dyDescent="0.25">
      <c r="A35" t="s">
        <v>2775</v>
      </c>
      <c r="B35" t="s">
        <v>2510</v>
      </c>
      <c r="C35">
        <v>4</v>
      </c>
      <c r="D35" t="s">
        <v>46</v>
      </c>
      <c r="E35">
        <v>12</v>
      </c>
      <c r="K35">
        <v>511.7299999999999</v>
      </c>
      <c r="Q35">
        <v>0</v>
      </c>
      <c r="R35">
        <v>0</v>
      </c>
      <c r="Y35">
        <v>0</v>
      </c>
      <c r="Z35">
        <v>0</v>
      </c>
      <c r="AA35">
        <v>0</v>
      </c>
      <c r="AB35">
        <v>12</v>
      </c>
      <c r="AD35">
        <v>0</v>
      </c>
      <c r="AE35">
        <v>533.7299999999999</v>
      </c>
      <c r="AG35">
        <v>14</v>
      </c>
    </row>
    <row r="36" spans="1:33" x14ac:dyDescent="0.25">
      <c r="A36" t="s">
        <v>2775</v>
      </c>
      <c r="B36" t="s">
        <v>2510</v>
      </c>
      <c r="C36">
        <v>5</v>
      </c>
      <c r="D36" t="s">
        <v>45</v>
      </c>
      <c r="E36">
        <v>12</v>
      </c>
      <c r="K36">
        <v>387.15999999999997</v>
      </c>
      <c r="N36">
        <v>30</v>
      </c>
      <c r="Q36">
        <v>30</v>
      </c>
      <c r="R36">
        <v>0.5</v>
      </c>
      <c r="Y36">
        <v>0</v>
      </c>
      <c r="Z36">
        <v>0</v>
      </c>
      <c r="AA36">
        <v>0.5</v>
      </c>
      <c r="AB36">
        <v>23.5</v>
      </c>
      <c r="AD36">
        <v>0</v>
      </c>
      <c r="AE36">
        <v>406.86</v>
      </c>
      <c r="AG36">
        <v>14</v>
      </c>
    </row>
    <row r="37" spans="1:33" x14ac:dyDescent="0.25">
      <c r="A37" t="s">
        <v>2775</v>
      </c>
      <c r="B37" t="s">
        <v>2510</v>
      </c>
      <c r="C37">
        <v>5</v>
      </c>
      <c r="D37" t="s">
        <v>46</v>
      </c>
      <c r="E37">
        <v>12</v>
      </c>
      <c r="K37">
        <v>609.92999999999995</v>
      </c>
      <c r="Q37">
        <v>0</v>
      </c>
      <c r="R37">
        <v>0</v>
      </c>
      <c r="Y37">
        <v>0</v>
      </c>
      <c r="Z37">
        <v>0</v>
      </c>
      <c r="AA37">
        <v>0</v>
      </c>
      <c r="AB37">
        <v>60</v>
      </c>
      <c r="AD37">
        <v>0</v>
      </c>
      <c r="AE37">
        <v>653.12999999999988</v>
      </c>
      <c r="AG37">
        <v>14</v>
      </c>
    </row>
    <row r="38" spans="1:33" x14ac:dyDescent="0.25">
      <c r="A38" t="s">
        <v>2776</v>
      </c>
      <c r="B38" t="s">
        <v>2510</v>
      </c>
      <c r="C38">
        <v>1</v>
      </c>
      <c r="D38" t="s">
        <v>45</v>
      </c>
      <c r="E38">
        <v>12</v>
      </c>
      <c r="K38">
        <v>134.26</v>
      </c>
      <c r="Q38">
        <v>0</v>
      </c>
      <c r="R38">
        <v>0</v>
      </c>
      <c r="Y38">
        <v>0</v>
      </c>
      <c r="Z38">
        <v>0</v>
      </c>
      <c r="AA38">
        <v>0</v>
      </c>
      <c r="AB38">
        <v>12</v>
      </c>
      <c r="AD38">
        <v>0</v>
      </c>
      <c r="AE38">
        <v>141.36000000000001</v>
      </c>
      <c r="AG38">
        <v>15</v>
      </c>
    </row>
    <row r="39" spans="1:33" x14ac:dyDescent="0.25">
      <c r="A39" t="s">
        <v>2776</v>
      </c>
      <c r="B39" t="s">
        <v>2510</v>
      </c>
      <c r="C39">
        <v>1</v>
      </c>
      <c r="D39" t="s">
        <v>46</v>
      </c>
      <c r="E39">
        <v>12</v>
      </c>
      <c r="K39">
        <v>128.42000000000002</v>
      </c>
      <c r="Q39">
        <v>0</v>
      </c>
      <c r="R39">
        <v>0</v>
      </c>
      <c r="Y39">
        <v>0</v>
      </c>
      <c r="Z39">
        <v>0</v>
      </c>
      <c r="AA39">
        <v>0</v>
      </c>
      <c r="AB39">
        <v>12</v>
      </c>
      <c r="AD39">
        <v>0</v>
      </c>
      <c r="AE39">
        <v>135.52000000000001</v>
      </c>
      <c r="AG39">
        <v>15</v>
      </c>
    </row>
    <row r="40" spans="1:33" x14ac:dyDescent="0.25">
      <c r="A40" t="s">
        <v>2776</v>
      </c>
      <c r="B40" t="s">
        <v>2510</v>
      </c>
      <c r="C40">
        <v>2</v>
      </c>
      <c r="D40" t="s">
        <v>45</v>
      </c>
      <c r="E40">
        <v>12</v>
      </c>
      <c r="K40">
        <v>194.37</v>
      </c>
      <c r="Q40">
        <v>0</v>
      </c>
      <c r="R40">
        <v>0</v>
      </c>
      <c r="Y40">
        <v>0</v>
      </c>
      <c r="Z40">
        <v>0</v>
      </c>
      <c r="AA40">
        <v>0</v>
      </c>
      <c r="AB40">
        <v>12</v>
      </c>
      <c r="AD40">
        <v>0</v>
      </c>
      <c r="AE40">
        <v>203.37</v>
      </c>
      <c r="AG40">
        <v>15</v>
      </c>
    </row>
    <row r="41" spans="1:33" x14ac:dyDescent="0.25">
      <c r="A41" t="s">
        <v>2776</v>
      </c>
      <c r="B41" t="s">
        <v>2510</v>
      </c>
      <c r="C41">
        <v>2</v>
      </c>
      <c r="D41" t="s">
        <v>46</v>
      </c>
      <c r="E41">
        <v>12</v>
      </c>
      <c r="K41">
        <v>178.6</v>
      </c>
      <c r="Q41">
        <v>0</v>
      </c>
      <c r="R41">
        <v>0</v>
      </c>
      <c r="Y41">
        <v>0</v>
      </c>
      <c r="Z41">
        <v>0</v>
      </c>
      <c r="AA41">
        <v>0</v>
      </c>
      <c r="AB41">
        <v>12</v>
      </c>
      <c r="AD41">
        <v>0</v>
      </c>
      <c r="AE41">
        <v>187.6</v>
      </c>
      <c r="AG41">
        <v>15</v>
      </c>
    </row>
    <row r="42" spans="1:33" x14ac:dyDescent="0.25">
      <c r="A42" t="s">
        <v>2776</v>
      </c>
      <c r="B42" t="s">
        <v>2510</v>
      </c>
      <c r="C42">
        <v>4</v>
      </c>
      <c r="D42" t="s">
        <v>45</v>
      </c>
      <c r="E42">
        <v>12</v>
      </c>
      <c r="K42">
        <v>503.85</v>
      </c>
      <c r="Q42">
        <v>0</v>
      </c>
      <c r="R42">
        <v>0</v>
      </c>
      <c r="Y42">
        <v>0</v>
      </c>
      <c r="Z42">
        <v>0</v>
      </c>
      <c r="AA42">
        <v>0</v>
      </c>
      <c r="AB42">
        <v>12</v>
      </c>
      <c r="AD42">
        <v>0</v>
      </c>
      <c r="AE42">
        <v>522.35</v>
      </c>
      <c r="AG42">
        <v>15</v>
      </c>
    </row>
    <row r="43" spans="1:33" x14ac:dyDescent="0.25">
      <c r="A43" t="s">
        <v>2776</v>
      </c>
      <c r="B43" t="s">
        <v>2510</v>
      </c>
      <c r="C43">
        <v>4</v>
      </c>
      <c r="D43" t="s">
        <v>46</v>
      </c>
      <c r="E43">
        <v>12</v>
      </c>
      <c r="K43">
        <v>529.02</v>
      </c>
      <c r="Q43">
        <v>0</v>
      </c>
      <c r="R43">
        <v>0</v>
      </c>
      <c r="Y43">
        <v>0</v>
      </c>
      <c r="Z43">
        <v>0</v>
      </c>
      <c r="AA43">
        <v>0</v>
      </c>
      <c r="AB43">
        <v>12</v>
      </c>
      <c r="AD43">
        <v>0</v>
      </c>
      <c r="AE43">
        <v>548.02</v>
      </c>
      <c r="AG43">
        <v>15</v>
      </c>
    </row>
    <row r="44" spans="1:33" x14ac:dyDescent="0.25">
      <c r="A44" t="s">
        <v>2776</v>
      </c>
      <c r="B44" t="s">
        <v>2510</v>
      </c>
      <c r="C44">
        <v>5</v>
      </c>
      <c r="D44" t="s">
        <v>45</v>
      </c>
      <c r="E44">
        <v>12</v>
      </c>
      <c r="K44">
        <v>587.81999999999994</v>
      </c>
      <c r="Q44">
        <v>0</v>
      </c>
      <c r="R44">
        <v>0</v>
      </c>
      <c r="Y44">
        <v>0</v>
      </c>
      <c r="Z44">
        <v>0</v>
      </c>
      <c r="AA44">
        <v>0</v>
      </c>
      <c r="AB44">
        <v>12</v>
      </c>
      <c r="AD44">
        <v>0</v>
      </c>
      <c r="AE44">
        <v>608.21999999999991</v>
      </c>
      <c r="AG44">
        <v>15</v>
      </c>
    </row>
    <row r="45" spans="1:33" x14ac:dyDescent="0.25">
      <c r="A45" t="s">
        <v>2776</v>
      </c>
      <c r="B45" t="s">
        <v>2510</v>
      </c>
      <c r="C45">
        <v>5</v>
      </c>
      <c r="D45" t="s">
        <v>46</v>
      </c>
      <c r="E45">
        <v>12</v>
      </c>
      <c r="K45">
        <v>521.43000000000006</v>
      </c>
      <c r="N45">
        <v>25</v>
      </c>
      <c r="Q45">
        <v>25</v>
      </c>
      <c r="R45">
        <v>0.41666666666666674</v>
      </c>
      <c r="Y45">
        <v>0</v>
      </c>
      <c r="Z45">
        <v>0</v>
      </c>
      <c r="AA45">
        <v>0.41666666666666674</v>
      </c>
      <c r="AB45">
        <v>35.583333333333336</v>
      </c>
      <c r="AD45">
        <v>0</v>
      </c>
      <c r="AE45">
        <v>548.33000000000004</v>
      </c>
      <c r="AG45">
        <v>15</v>
      </c>
    </row>
    <row r="46" spans="1:33" x14ac:dyDescent="0.25">
      <c r="A46" t="s">
        <v>2777</v>
      </c>
      <c r="B46" t="s">
        <v>2510</v>
      </c>
      <c r="C46">
        <v>1</v>
      </c>
      <c r="D46" t="s">
        <v>45</v>
      </c>
      <c r="E46">
        <v>12</v>
      </c>
      <c r="K46">
        <v>94.46</v>
      </c>
      <c r="Q46">
        <v>0</v>
      </c>
      <c r="R46">
        <v>0</v>
      </c>
      <c r="Y46">
        <v>0</v>
      </c>
      <c r="Z46">
        <v>0</v>
      </c>
      <c r="AA46">
        <v>0</v>
      </c>
      <c r="AB46">
        <v>12</v>
      </c>
      <c r="AD46">
        <v>0</v>
      </c>
      <c r="AE46">
        <v>101.26</v>
      </c>
      <c r="AG46">
        <v>15</v>
      </c>
    </row>
    <row r="47" spans="1:33" x14ac:dyDescent="0.25">
      <c r="A47" t="s">
        <v>2777</v>
      </c>
      <c r="B47" t="s">
        <v>2510</v>
      </c>
      <c r="C47">
        <v>2</v>
      </c>
      <c r="D47" t="s">
        <v>45</v>
      </c>
      <c r="E47">
        <v>12</v>
      </c>
      <c r="K47">
        <v>176.07000000000002</v>
      </c>
      <c r="Q47">
        <v>0</v>
      </c>
      <c r="R47">
        <v>0</v>
      </c>
      <c r="Y47">
        <v>0</v>
      </c>
      <c r="Z47">
        <v>0</v>
      </c>
      <c r="AA47">
        <v>0</v>
      </c>
      <c r="AB47">
        <v>12</v>
      </c>
      <c r="AD47">
        <v>0</v>
      </c>
      <c r="AE47">
        <v>185.07</v>
      </c>
      <c r="AG47">
        <v>15</v>
      </c>
    </row>
    <row r="48" spans="1:33" x14ac:dyDescent="0.25">
      <c r="A48" t="s">
        <v>2777</v>
      </c>
      <c r="B48" t="s">
        <v>2510</v>
      </c>
      <c r="C48">
        <v>2</v>
      </c>
      <c r="D48" t="s">
        <v>46</v>
      </c>
      <c r="E48">
        <v>12</v>
      </c>
      <c r="K48">
        <v>170.32</v>
      </c>
      <c r="Q48">
        <v>0</v>
      </c>
      <c r="R48">
        <v>0</v>
      </c>
      <c r="Y48">
        <v>0</v>
      </c>
      <c r="Z48">
        <v>0</v>
      </c>
      <c r="AA48">
        <v>0</v>
      </c>
      <c r="AB48">
        <v>12</v>
      </c>
      <c r="AD48">
        <v>0</v>
      </c>
      <c r="AE48">
        <v>178.92</v>
      </c>
      <c r="AG48">
        <v>15</v>
      </c>
    </row>
    <row r="49" spans="1:33" x14ac:dyDescent="0.25">
      <c r="A49" t="s">
        <v>2777</v>
      </c>
      <c r="B49" t="s">
        <v>2510</v>
      </c>
      <c r="C49">
        <v>4</v>
      </c>
      <c r="D49" t="s">
        <v>45</v>
      </c>
      <c r="E49">
        <v>12</v>
      </c>
      <c r="K49">
        <v>487.40999999999997</v>
      </c>
      <c r="N49">
        <v>30</v>
      </c>
      <c r="Q49">
        <v>30</v>
      </c>
      <c r="R49">
        <v>0.5</v>
      </c>
      <c r="Y49">
        <v>0</v>
      </c>
      <c r="Z49">
        <v>0</v>
      </c>
      <c r="AA49">
        <v>0.5</v>
      </c>
      <c r="AB49">
        <v>23.5</v>
      </c>
      <c r="AD49">
        <v>0</v>
      </c>
      <c r="AE49">
        <v>512.71</v>
      </c>
      <c r="AG49">
        <v>15</v>
      </c>
    </row>
    <row r="50" spans="1:33" x14ac:dyDescent="0.25">
      <c r="A50" t="s">
        <v>2777</v>
      </c>
      <c r="B50" t="s">
        <v>2510</v>
      </c>
      <c r="C50">
        <v>4</v>
      </c>
      <c r="D50" t="s">
        <v>46</v>
      </c>
      <c r="E50">
        <v>12</v>
      </c>
      <c r="K50">
        <v>584.15000000000009</v>
      </c>
      <c r="N50">
        <v>20</v>
      </c>
      <c r="Q50">
        <v>20</v>
      </c>
      <c r="R50">
        <v>0.33333333333333331</v>
      </c>
      <c r="U50">
        <v>120</v>
      </c>
      <c r="Y50">
        <v>120</v>
      </c>
      <c r="Z50">
        <v>2</v>
      </c>
      <c r="AA50">
        <v>2.3333333333333335</v>
      </c>
      <c r="AB50">
        <v>33.666666666666664</v>
      </c>
      <c r="AD50">
        <v>0</v>
      </c>
      <c r="AE50">
        <v>627.55000000000007</v>
      </c>
      <c r="AG50">
        <v>15</v>
      </c>
    </row>
    <row r="51" spans="1:33" x14ac:dyDescent="0.25">
      <c r="A51" t="s">
        <v>2777</v>
      </c>
      <c r="B51" t="s">
        <v>2510</v>
      </c>
      <c r="C51">
        <v>5</v>
      </c>
      <c r="D51" t="s">
        <v>45</v>
      </c>
      <c r="E51">
        <v>12</v>
      </c>
      <c r="K51">
        <v>383.04</v>
      </c>
      <c r="Q51">
        <v>0</v>
      </c>
      <c r="R51">
        <v>0</v>
      </c>
      <c r="Y51">
        <v>0</v>
      </c>
      <c r="Z51">
        <v>0</v>
      </c>
      <c r="AA51">
        <v>0</v>
      </c>
      <c r="AB51">
        <v>12</v>
      </c>
      <c r="AD51">
        <v>0</v>
      </c>
      <c r="AE51">
        <v>395.04</v>
      </c>
      <c r="AG51">
        <v>15</v>
      </c>
    </row>
    <row r="52" spans="1:33" x14ac:dyDescent="0.25">
      <c r="A52" t="s">
        <v>2777</v>
      </c>
      <c r="B52" t="s">
        <v>2510</v>
      </c>
      <c r="C52">
        <v>5</v>
      </c>
      <c r="D52" t="s">
        <v>46</v>
      </c>
      <c r="E52">
        <v>12</v>
      </c>
      <c r="K52">
        <v>545.98</v>
      </c>
      <c r="N52">
        <v>20</v>
      </c>
      <c r="Q52">
        <v>20</v>
      </c>
      <c r="R52">
        <v>0.33333333333333331</v>
      </c>
      <c r="Y52">
        <v>0</v>
      </c>
      <c r="Z52">
        <v>0</v>
      </c>
      <c r="AA52">
        <v>0.33333333333333331</v>
      </c>
      <c r="AB52">
        <v>23.666666666666664</v>
      </c>
      <c r="AD52">
        <v>0</v>
      </c>
      <c r="AE52">
        <v>570.88</v>
      </c>
      <c r="AG52">
        <v>15</v>
      </c>
    </row>
    <row r="53" spans="1:33" x14ac:dyDescent="0.25">
      <c r="A53" t="s">
        <v>2778</v>
      </c>
      <c r="B53" t="s">
        <v>2510</v>
      </c>
      <c r="C53">
        <v>2</v>
      </c>
      <c r="D53" t="s">
        <v>45</v>
      </c>
      <c r="E53">
        <v>12</v>
      </c>
      <c r="K53">
        <v>182.96</v>
      </c>
      <c r="Q53">
        <v>0</v>
      </c>
      <c r="R53">
        <v>0</v>
      </c>
      <c r="Y53">
        <v>0</v>
      </c>
      <c r="Z53">
        <v>0</v>
      </c>
      <c r="AA53">
        <v>0</v>
      </c>
      <c r="AB53">
        <v>12</v>
      </c>
      <c r="AD53">
        <v>0</v>
      </c>
      <c r="AE53">
        <v>191.96</v>
      </c>
      <c r="AG53">
        <v>15</v>
      </c>
    </row>
    <row r="54" spans="1:33" x14ac:dyDescent="0.25">
      <c r="A54" t="s">
        <v>2778</v>
      </c>
      <c r="B54" t="s">
        <v>2510</v>
      </c>
      <c r="C54">
        <v>2</v>
      </c>
      <c r="D54" t="s">
        <v>46</v>
      </c>
      <c r="E54">
        <v>12</v>
      </c>
      <c r="K54">
        <v>201.8</v>
      </c>
      <c r="Q54">
        <v>0</v>
      </c>
      <c r="R54">
        <v>0</v>
      </c>
      <c r="Y54">
        <v>0</v>
      </c>
      <c r="Z54">
        <v>0</v>
      </c>
      <c r="AA54">
        <v>0</v>
      </c>
      <c r="AB54">
        <v>12</v>
      </c>
      <c r="AD54">
        <v>0</v>
      </c>
      <c r="AE54">
        <v>211.2</v>
      </c>
      <c r="AG54">
        <v>15</v>
      </c>
    </row>
    <row r="55" spans="1:33" s="37" customFormat="1" x14ac:dyDescent="0.25">
      <c r="A55" t="s">
        <v>2778</v>
      </c>
      <c r="B55" t="s">
        <v>2510</v>
      </c>
      <c r="C55">
        <v>4</v>
      </c>
      <c r="D55" t="s">
        <v>45</v>
      </c>
      <c r="E55">
        <v>12</v>
      </c>
      <c r="F55"/>
      <c r="G55"/>
      <c r="H55"/>
      <c r="I55"/>
      <c r="J55"/>
      <c r="K55">
        <v>587.71</v>
      </c>
      <c r="L55"/>
      <c r="M55"/>
      <c r="N55">
        <v>60</v>
      </c>
      <c r="O55"/>
      <c r="P55"/>
      <c r="Q55">
        <v>60</v>
      </c>
      <c r="R55">
        <v>1</v>
      </c>
      <c r="S55"/>
      <c r="T55"/>
      <c r="U55"/>
      <c r="V55"/>
      <c r="W55"/>
      <c r="X55"/>
      <c r="Y55">
        <v>0</v>
      </c>
      <c r="Z55">
        <v>0</v>
      </c>
      <c r="AA55">
        <v>1</v>
      </c>
      <c r="AB55">
        <v>47</v>
      </c>
      <c r="AC55"/>
      <c r="AD55">
        <v>0</v>
      </c>
      <c r="AE55">
        <v>630.15</v>
      </c>
      <c r="AF55"/>
      <c r="AG55">
        <v>15</v>
      </c>
    </row>
    <row r="56" spans="1:33" x14ac:dyDescent="0.25">
      <c r="A56" t="s">
        <v>2778</v>
      </c>
      <c r="B56" t="s">
        <v>2510</v>
      </c>
      <c r="C56">
        <v>4</v>
      </c>
      <c r="D56" t="s">
        <v>46</v>
      </c>
      <c r="E56">
        <v>12</v>
      </c>
      <c r="K56">
        <v>599.62</v>
      </c>
      <c r="N56">
        <v>30</v>
      </c>
      <c r="Q56">
        <v>30</v>
      </c>
      <c r="R56">
        <v>0.5</v>
      </c>
      <c r="Y56">
        <v>0</v>
      </c>
      <c r="Z56">
        <v>0</v>
      </c>
      <c r="AA56">
        <v>0.5</v>
      </c>
      <c r="AB56">
        <v>59.5</v>
      </c>
      <c r="AD56">
        <v>0</v>
      </c>
      <c r="AE56">
        <v>648.71999999999991</v>
      </c>
      <c r="AG56">
        <v>15</v>
      </c>
    </row>
    <row r="57" spans="1:33" x14ac:dyDescent="0.25">
      <c r="A57" t="s">
        <v>2778</v>
      </c>
      <c r="B57" t="s">
        <v>2510</v>
      </c>
      <c r="C57">
        <v>5</v>
      </c>
      <c r="D57" t="s">
        <v>45</v>
      </c>
      <c r="E57">
        <v>12</v>
      </c>
      <c r="K57">
        <v>503.06999999999994</v>
      </c>
      <c r="Q57">
        <v>0</v>
      </c>
      <c r="R57">
        <v>0</v>
      </c>
      <c r="X57">
        <v>120</v>
      </c>
      <c r="Y57">
        <v>120</v>
      </c>
      <c r="Z57">
        <v>2</v>
      </c>
      <c r="AA57">
        <v>2</v>
      </c>
      <c r="AB57">
        <v>22</v>
      </c>
      <c r="AD57">
        <v>0</v>
      </c>
      <c r="AE57">
        <v>528.37</v>
      </c>
      <c r="AG57">
        <v>15</v>
      </c>
    </row>
    <row r="58" spans="1:33" x14ac:dyDescent="0.25">
      <c r="A58" t="s">
        <v>2778</v>
      </c>
      <c r="B58" t="s">
        <v>2510</v>
      </c>
      <c r="C58">
        <v>5</v>
      </c>
      <c r="D58" t="s">
        <v>46</v>
      </c>
      <c r="E58">
        <v>12</v>
      </c>
      <c r="K58">
        <v>635.73</v>
      </c>
      <c r="N58">
        <v>60</v>
      </c>
      <c r="Q58">
        <v>60</v>
      </c>
      <c r="R58">
        <v>1</v>
      </c>
      <c r="Y58">
        <v>0</v>
      </c>
      <c r="Z58">
        <v>0</v>
      </c>
      <c r="AA58">
        <v>1</v>
      </c>
      <c r="AB58">
        <v>35</v>
      </c>
      <c r="AD58">
        <v>0</v>
      </c>
      <c r="AE58">
        <v>667.53</v>
      </c>
      <c r="AG58">
        <v>15</v>
      </c>
    </row>
    <row r="59" spans="1:33" x14ac:dyDescent="0.25">
      <c r="A59" t="s">
        <v>2779</v>
      </c>
      <c r="B59" t="s">
        <v>2510</v>
      </c>
      <c r="C59">
        <v>2</v>
      </c>
      <c r="D59" t="s">
        <v>45</v>
      </c>
      <c r="E59">
        <v>12</v>
      </c>
      <c r="K59">
        <v>176.99</v>
      </c>
      <c r="N59">
        <v>20</v>
      </c>
      <c r="Q59">
        <v>20</v>
      </c>
      <c r="R59">
        <v>0.33333333333333331</v>
      </c>
      <c r="Y59">
        <v>0</v>
      </c>
      <c r="Z59">
        <v>0</v>
      </c>
      <c r="AA59">
        <v>0.33333333333333331</v>
      </c>
      <c r="AB59">
        <v>23.666666666666664</v>
      </c>
      <c r="AD59">
        <v>0</v>
      </c>
      <c r="AE59">
        <v>191.59</v>
      </c>
      <c r="AG59">
        <v>15</v>
      </c>
    </row>
    <row r="60" spans="1:33" x14ac:dyDescent="0.25">
      <c r="A60" t="s">
        <v>2779</v>
      </c>
      <c r="B60" t="s">
        <v>2510</v>
      </c>
      <c r="C60">
        <v>2</v>
      </c>
      <c r="D60" t="s">
        <v>46</v>
      </c>
      <c r="E60">
        <v>12</v>
      </c>
      <c r="K60">
        <v>231.4</v>
      </c>
      <c r="Q60">
        <v>0</v>
      </c>
      <c r="R60">
        <v>0</v>
      </c>
      <c r="Y60">
        <v>0</v>
      </c>
      <c r="Z60">
        <v>0</v>
      </c>
      <c r="AA60">
        <v>0</v>
      </c>
      <c r="AB60">
        <v>12</v>
      </c>
      <c r="AD60">
        <v>0</v>
      </c>
      <c r="AE60">
        <v>242.4</v>
      </c>
      <c r="AG60">
        <v>15</v>
      </c>
    </row>
    <row r="61" spans="1:33" x14ac:dyDescent="0.25">
      <c r="A61" t="s">
        <v>2779</v>
      </c>
      <c r="B61" t="s">
        <v>2510</v>
      </c>
      <c r="C61">
        <v>4</v>
      </c>
      <c r="D61" t="s">
        <v>45</v>
      </c>
      <c r="E61">
        <v>12</v>
      </c>
      <c r="K61">
        <v>716.51</v>
      </c>
      <c r="N61">
        <v>20</v>
      </c>
      <c r="Q61">
        <v>20</v>
      </c>
      <c r="R61">
        <v>0.33333333333333331</v>
      </c>
      <c r="Y61">
        <v>0</v>
      </c>
      <c r="Z61">
        <v>0</v>
      </c>
      <c r="AA61">
        <v>0.33333333333333331</v>
      </c>
      <c r="AB61">
        <v>59.666666666666664</v>
      </c>
      <c r="AD61">
        <v>0</v>
      </c>
      <c r="AE61">
        <v>767.6099999999999</v>
      </c>
      <c r="AG61">
        <v>15</v>
      </c>
    </row>
    <row r="62" spans="1:33" x14ac:dyDescent="0.25">
      <c r="A62" t="s">
        <v>2779</v>
      </c>
      <c r="B62" t="s">
        <v>2510</v>
      </c>
      <c r="C62">
        <v>4</v>
      </c>
      <c r="D62" t="s">
        <v>46</v>
      </c>
      <c r="E62">
        <v>12</v>
      </c>
      <c r="K62">
        <v>529.31000000000006</v>
      </c>
      <c r="Q62">
        <v>0</v>
      </c>
      <c r="R62">
        <v>0</v>
      </c>
      <c r="Y62">
        <v>0</v>
      </c>
      <c r="Z62">
        <v>0</v>
      </c>
      <c r="AA62">
        <v>0</v>
      </c>
      <c r="AB62">
        <v>12</v>
      </c>
      <c r="AD62">
        <v>0</v>
      </c>
      <c r="AE62">
        <v>556.31000000000006</v>
      </c>
      <c r="AG62">
        <v>15</v>
      </c>
    </row>
    <row r="63" spans="1:33" x14ac:dyDescent="0.25">
      <c r="A63" t="s">
        <v>2779</v>
      </c>
      <c r="B63" t="s">
        <v>2510</v>
      </c>
      <c r="C63">
        <v>5</v>
      </c>
      <c r="D63" t="s">
        <v>45</v>
      </c>
      <c r="E63">
        <v>12</v>
      </c>
      <c r="K63">
        <v>609.16000000000008</v>
      </c>
      <c r="Q63">
        <v>0</v>
      </c>
      <c r="R63">
        <v>0</v>
      </c>
      <c r="Y63">
        <v>0</v>
      </c>
      <c r="Z63">
        <v>0</v>
      </c>
      <c r="AA63">
        <v>0</v>
      </c>
      <c r="AB63">
        <v>12</v>
      </c>
      <c r="AD63">
        <v>0</v>
      </c>
      <c r="AE63">
        <v>629.46</v>
      </c>
      <c r="AG63">
        <v>15</v>
      </c>
    </row>
    <row r="64" spans="1:33" x14ac:dyDescent="0.25">
      <c r="A64" t="s">
        <v>2779</v>
      </c>
      <c r="B64" t="s">
        <v>2510</v>
      </c>
      <c r="C64">
        <v>5</v>
      </c>
      <c r="D64" t="s">
        <v>46</v>
      </c>
      <c r="E64">
        <v>12</v>
      </c>
      <c r="K64">
        <v>618.69999999999993</v>
      </c>
      <c r="Q64">
        <v>0</v>
      </c>
      <c r="R64">
        <v>0</v>
      </c>
      <c r="Y64">
        <v>0</v>
      </c>
      <c r="Z64">
        <v>0</v>
      </c>
      <c r="AA64">
        <v>0</v>
      </c>
      <c r="AB64">
        <v>12</v>
      </c>
      <c r="AD64">
        <v>0</v>
      </c>
      <c r="AE64">
        <v>642.4</v>
      </c>
      <c r="AG64">
        <v>15</v>
      </c>
    </row>
    <row r="65" spans="1:33" x14ac:dyDescent="0.25">
      <c r="A65" t="s">
        <v>2780</v>
      </c>
      <c r="B65" t="s">
        <v>2510</v>
      </c>
      <c r="C65">
        <v>2</v>
      </c>
      <c r="D65" t="s">
        <v>45</v>
      </c>
      <c r="E65">
        <v>12</v>
      </c>
      <c r="K65">
        <v>230.37</v>
      </c>
      <c r="Q65">
        <v>0</v>
      </c>
      <c r="R65">
        <v>0</v>
      </c>
      <c r="Y65">
        <v>0</v>
      </c>
      <c r="Z65">
        <v>0</v>
      </c>
      <c r="AA65">
        <v>0</v>
      </c>
      <c r="AB65">
        <v>12</v>
      </c>
      <c r="AD65">
        <v>0</v>
      </c>
      <c r="AE65">
        <v>241.37</v>
      </c>
      <c r="AG65">
        <v>15</v>
      </c>
    </row>
    <row r="66" spans="1:33" x14ac:dyDescent="0.25">
      <c r="A66" t="s">
        <v>2780</v>
      </c>
      <c r="B66" t="s">
        <v>2510</v>
      </c>
      <c r="C66">
        <v>2</v>
      </c>
      <c r="D66" t="s">
        <v>46</v>
      </c>
      <c r="E66">
        <v>12</v>
      </c>
      <c r="K66">
        <v>227.82999999999998</v>
      </c>
      <c r="Q66">
        <v>0</v>
      </c>
      <c r="R66">
        <v>0</v>
      </c>
      <c r="Y66">
        <v>0</v>
      </c>
      <c r="Z66">
        <v>0</v>
      </c>
      <c r="AA66">
        <v>0</v>
      </c>
      <c r="AB66">
        <v>12</v>
      </c>
      <c r="AD66">
        <v>0</v>
      </c>
      <c r="AE66">
        <v>238.83</v>
      </c>
      <c r="AG66">
        <v>15</v>
      </c>
    </row>
    <row r="67" spans="1:33" x14ac:dyDescent="0.25">
      <c r="A67" t="s">
        <v>2780</v>
      </c>
      <c r="B67" t="s">
        <v>2510</v>
      </c>
      <c r="C67">
        <v>4</v>
      </c>
      <c r="D67" t="s">
        <v>45</v>
      </c>
      <c r="E67">
        <v>12</v>
      </c>
      <c r="K67">
        <v>489.81000000000006</v>
      </c>
      <c r="N67">
        <v>35</v>
      </c>
      <c r="Q67">
        <v>35</v>
      </c>
      <c r="R67">
        <v>0.58333333333333337</v>
      </c>
      <c r="Y67">
        <v>0</v>
      </c>
      <c r="Z67">
        <v>0</v>
      </c>
      <c r="AA67">
        <v>0.58333333333333337</v>
      </c>
      <c r="AB67">
        <v>23.416666666666664</v>
      </c>
      <c r="AD67">
        <v>0</v>
      </c>
      <c r="AE67">
        <v>522.21</v>
      </c>
      <c r="AG67">
        <v>15</v>
      </c>
    </row>
    <row r="68" spans="1:33" x14ac:dyDescent="0.25">
      <c r="A68" t="s">
        <v>2780</v>
      </c>
      <c r="B68" t="s">
        <v>2510</v>
      </c>
      <c r="C68">
        <v>4</v>
      </c>
      <c r="D68" t="s">
        <v>46</v>
      </c>
      <c r="E68">
        <v>12</v>
      </c>
      <c r="K68">
        <v>704.39</v>
      </c>
      <c r="N68">
        <v>30</v>
      </c>
      <c r="Q68">
        <v>30</v>
      </c>
      <c r="R68">
        <v>0.5</v>
      </c>
      <c r="Y68">
        <v>0</v>
      </c>
      <c r="Z68">
        <v>0</v>
      </c>
      <c r="AA68">
        <v>0.5</v>
      </c>
      <c r="AB68">
        <v>23.5</v>
      </c>
      <c r="AD68">
        <v>0</v>
      </c>
      <c r="AE68">
        <v>739.58999999999992</v>
      </c>
      <c r="AG68">
        <v>15</v>
      </c>
    </row>
    <row r="69" spans="1:33" x14ac:dyDescent="0.25">
      <c r="A69" t="s">
        <v>2780</v>
      </c>
      <c r="B69" t="s">
        <v>2510</v>
      </c>
      <c r="C69">
        <v>5</v>
      </c>
      <c r="D69" t="s">
        <v>45</v>
      </c>
      <c r="E69">
        <v>12</v>
      </c>
      <c r="K69">
        <v>492.53000000000003</v>
      </c>
      <c r="N69">
        <v>25</v>
      </c>
      <c r="Q69">
        <v>25</v>
      </c>
      <c r="R69">
        <v>0.41666666666666674</v>
      </c>
      <c r="X69">
        <v>60</v>
      </c>
      <c r="Y69">
        <v>60</v>
      </c>
      <c r="Z69">
        <v>1</v>
      </c>
      <c r="AA69">
        <v>1.4166666666666667</v>
      </c>
      <c r="AB69">
        <v>22.583333333333336</v>
      </c>
      <c r="AD69">
        <v>0</v>
      </c>
      <c r="AE69">
        <v>516.43000000000006</v>
      </c>
      <c r="AG69">
        <v>15</v>
      </c>
    </row>
    <row r="70" spans="1:33" x14ac:dyDescent="0.25">
      <c r="A70" t="s">
        <v>2780</v>
      </c>
      <c r="B70" t="s">
        <v>2510</v>
      </c>
      <c r="C70">
        <v>5</v>
      </c>
      <c r="D70" t="s">
        <v>46</v>
      </c>
      <c r="E70">
        <v>12</v>
      </c>
      <c r="K70">
        <v>588.37</v>
      </c>
      <c r="Q70">
        <v>0</v>
      </c>
      <c r="R70">
        <v>0</v>
      </c>
      <c r="Y70">
        <v>0</v>
      </c>
      <c r="Z70">
        <v>0</v>
      </c>
      <c r="AA70">
        <v>0</v>
      </c>
      <c r="AB70">
        <v>12</v>
      </c>
      <c r="AD70">
        <v>0</v>
      </c>
      <c r="AE70">
        <v>610.47</v>
      </c>
      <c r="AG70">
        <v>15</v>
      </c>
    </row>
    <row r="71" spans="1:33" x14ac:dyDescent="0.25">
      <c r="A71" t="s">
        <v>2781</v>
      </c>
      <c r="B71" t="s">
        <v>2510</v>
      </c>
      <c r="C71">
        <v>2</v>
      </c>
      <c r="D71" t="s">
        <v>45</v>
      </c>
      <c r="E71">
        <v>12</v>
      </c>
      <c r="K71">
        <v>226.39</v>
      </c>
      <c r="Q71">
        <v>0</v>
      </c>
      <c r="R71">
        <v>0</v>
      </c>
      <c r="Y71">
        <v>0</v>
      </c>
      <c r="Z71">
        <v>0</v>
      </c>
      <c r="AA71">
        <v>0</v>
      </c>
      <c r="AB71">
        <v>12</v>
      </c>
      <c r="AD71">
        <v>0</v>
      </c>
      <c r="AE71">
        <v>239.79</v>
      </c>
      <c r="AG71">
        <v>15</v>
      </c>
    </row>
    <row r="72" spans="1:33" x14ac:dyDescent="0.25">
      <c r="A72" t="s">
        <v>2781</v>
      </c>
      <c r="B72" t="s">
        <v>2510</v>
      </c>
      <c r="C72">
        <v>2</v>
      </c>
      <c r="D72" t="s">
        <v>46</v>
      </c>
      <c r="E72">
        <v>12</v>
      </c>
      <c r="K72">
        <v>189.10999999999999</v>
      </c>
      <c r="Q72">
        <v>0</v>
      </c>
      <c r="R72">
        <v>0</v>
      </c>
      <c r="Y72">
        <v>0</v>
      </c>
      <c r="Z72">
        <v>0</v>
      </c>
      <c r="AA72">
        <v>0</v>
      </c>
      <c r="AB72">
        <v>12</v>
      </c>
      <c r="AD72">
        <v>0</v>
      </c>
      <c r="AE72">
        <v>199.51</v>
      </c>
      <c r="AG72">
        <v>15</v>
      </c>
    </row>
    <row r="73" spans="1:33" x14ac:dyDescent="0.25">
      <c r="A73" t="s">
        <v>2781</v>
      </c>
      <c r="B73" t="s">
        <v>2510</v>
      </c>
      <c r="C73">
        <v>4</v>
      </c>
      <c r="D73" t="s">
        <v>45</v>
      </c>
      <c r="E73">
        <v>12</v>
      </c>
      <c r="K73">
        <v>765.87</v>
      </c>
      <c r="Q73">
        <v>0</v>
      </c>
      <c r="R73">
        <v>0</v>
      </c>
      <c r="Y73">
        <v>0</v>
      </c>
      <c r="Z73">
        <v>0</v>
      </c>
      <c r="AA73">
        <v>0</v>
      </c>
      <c r="AB73">
        <v>24</v>
      </c>
      <c r="AD73">
        <v>0</v>
      </c>
      <c r="AE73">
        <v>807.27</v>
      </c>
      <c r="AG73">
        <v>15</v>
      </c>
    </row>
    <row r="74" spans="1:33" x14ac:dyDescent="0.25">
      <c r="A74" t="s">
        <v>2781</v>
      </c>
      <c r="B74" t="s">
        <v>2510</v>
      </c>
      <c r="C74">
        <v>4</v>
      </c>
      <c r="D74" t="s">
        <v>46</v>
      </c>
      <c r="E74">
        <v>12</v>
      </c>
      <c r="K74">
        <v>761.5</v>
      </c>
      <c r="N74">
        <v>30</v>
      </c>
      <c r="Q74">
        <v>30</v>
      </c>
      <c r="R74">
        <v>0.5</v>
      </c>
      <c r="Y74">
        <v>0</v>
      </c>
      <c r="Z74">
        <v>0</v>
      </c>
      <c r="AA74">
        <v>0.5</v>
      </c>
      <c r="AB74">
        <v>23.5</v>
      </c>
      <c r="AD74">
        <v>0</v>
      </c>
      <c r="AE74">
        <v>797.9</v>
      </c>
      <c r="AG74">
        <v>15</v>
      </c>
    </row>
    <row r="75" spans="1:33" x14ac:dyDescent="0.25">
      <c r="A75" t="s">
        <v>2781</v>
      </c>
      <c r="B75" t="s">
        <v>2510</v>
      </c>
      <c r="C75">
        <v>5</v>
      </c>
      <c r="D75" t="s">
        <v>45</v>
      </c>
      <c r="E75">
        <v>12</v>
      </c>
      <c r="K75">
        <v>428.04</v>
      </c>
      <c r="Q75">
        <v>0</v>
      </c>
      <c r="R75">
        <v>0</v>
      </c>
      <c r="Y75">
        <v>0</v>
      </c>
      <c r="Z75">
        <v>0</v>
      </c>
      <c r="AA75">
        <v>0</v>
      </c>
      <c r="AB75">
        <v>12</v>
      </c>
      <c r="AD75">
        <v>0</v>
      </c>
      <c r="AE75">
        <v>446.34</v>
      </c>
      <c r="AG75">
        <v>15</v>
      </c>
    </row>
    <row r="76" spans="1:33" x14ac:dyDescent="0.25">
      <c r="A76" t="s">
        <v>2781</v>
      </c>
      <c r="B76" t="s">
        <v>2510</v>
      </c>
      <c r="C76">
        <v>5</v>
      </c>
      <c r="D76" t="s">
        <v>46</v>
      </c>
      <c r="E76">
        <v>12</v>
      </c>
      <c r="K76">
        <v>634.52</v>
      </c>
      <c r="Q76">
        <v>0</v>
      </c>
      <c r="R76">
        <v>0</v>
      </c>
      <c r="Y76">
        <v>0</v>
      </c>
      <c r="Z76">
        <v>0</v>
      </c>
      <c r="AA76">
        <v>0</v>
      </c>
      <c r="AB76">
        <v>12</v>
      </c>
      <c r="AD76">
        <v>0</v>
      </c>
      <c r="AE76">
        <v>658.52</v>
      </c>
      <c r="AG76">
        <v>15</v>
      </c>
    </row>
    <row r="77" spans="1:33" x14ac:dyDescent="0.25">
      <c r="A77" t="s">
        <v>2782</v>
      </c>
      <c r="B77" t="s">
        <v>2510</v>
      </c>
      <c r="C77">
        <v>2</v>
      </c>
      <c r="D77" t="s">
        <v>45</v>
      </c>
      <c r="E77">
        <v>12</v>
      </c>
      <c r="K77">
        <v>215.86</v>
      </c>
      <c r="Q77">
        <v>0</v>
      </c>
      <c r="R77">
        <v>0</v>
      </c>
      <c r="X77">
        <v>25</v>
      </c>
      <c r="Y77">
        <v>25</v>
      </c>
      <c r="Z77">
        <v>0.41666666666666674</v>
      </c>
      <c r="AA77">
        <v>0.41666666666666674</v>
      </c>
      <c r="AB77">
        <v>11.583333333333334</v>
      </c>
      <c r="AD77">
        <v>0</v>
      </c>
      <c r="AE77">
        <v>226.26</v>
      </c>
      <c r="AG77">
        <v>15</v>
      </c>
    </row>
    <row r="78" spans="1:33" x14ac:dyDescent="0.25">
      <c r="A78" t="s">
        <v>2782</v>
      </c>
      <c r="B78" t="s">
        <v>2510</v>
      </c>
      <c r="C78">
        <v>2</v>
      </c>
      <c r="D78" t="s">
        <v>46</v>
      </c>
      <c r="E78">
        <v>12</v>
      </c>
      <c r="K78">
        <v>224.47000000000003</v>
      </c>
      <c r="Q78">
        <v>0</v>
      </c>
      <c r="R78">
        <v>0</v>
      </c>
      <c r="Y78">
        <v>0</v>
      </c>
      <c r="Z78">
        <v>0</v>
      </c>
      <c r="AA78">
        <v>0</v>
      </c>
      <c r="AB78">
        <v>12</v>
      </c>
      <c r="AD78">
        <v>0</v>
      </c>
      <c r="AE78">
        <v>236.07</v>
      </c>
      <c r="AG78">
        <v>15</v>
      </c>
    </row>
    <row r="79" spans="1:33" x14ac:dyDescent="0.25">
      <c r="A79" t="s">
        <v>2782</v>
      </c>
      <c r="B79" t="s">
        <v>2510</v>
      </c>
      <c r="C79">
        <v>4</v>
      </c>
      <c r="D79" t="s">
        <v>45</v>
      </c>
      <c r="E79">
        <v>12</v>
      </c>
      <c r="K79">
        <v>590.37999999999988</v>
      </c>
      <c r="N79">
        <v>25</v>
      </c>
      <c r="Q79">
        <v>25</v>
      </c>
      <c r="R79">
        <v>0.41666666666666674</v>
      </c>
      <c r="Y79">
        <v>0</v>
      </c>
      <c r="Z79">
        <v>0</v>
      </c>
      <c r="AA79">
        <v>0.41666666666666674</v>
      </c>
      <c r="AB79">
        <v>47.583333333333336</v>
      </c>
      <c r="AD79">
        <v>0</v>
      </c>
      <c r="AE79">
        <v>631.18000000000006</v>
      </c>
      <c r="AG79">
        <v>15</v>
      </c>
    </row>
    <row r="80" spans="1:33" x14ac:dyDescent="0.25">
      <c r="A80" t="s">
        <v>2782</v>
      </c>
      <c r="B80" t="s">
        <v>2510</v>
      </c>
      <c r="C80">
        <v>4</v>
      </c>
      <c r="D80" t="s">
        <v>46</v>
      </c>
      <c r="E80">
        <v>12</v>
      </c>
      <c r="K80">
        <v>515.78</v>
      </c>
      <c r="Q80">
        <v>0</v>
      </c>
      <c r="R80">
        <v>0</v>
      </c>
      <c r="Y80">
        <v>0</v>
      </c>
      <c r="Z80">
        <v>0</v>
      </c>
      <c r="AA80">
        <v>0</v>
      </c>
      <c r="AB80">
        <v>24</v>
      </c>
      <c r="AD80">
        <v>0</v>
      </c>
      <c r="AE80">
        <v>542.78</v>
      </c>
      <c r="AG80">
        <v>15</v>
      </c>
    </row>
    <row r="81" spans="1:33" x14ac:dyDescent="0.25">
      <c r="A81" t="s">
        <v>2782</v>
      </c>
      <c r="B81" t="s">
        <v>2510</v>
      </c>
      <c r="C81">
        <v>5</v>
      </c>
      <c r="D81" t="s">
        <v>45</v>
      </c>
      <c r="E81">
        <v>12</v>
      </c>
      <c r="K81">
        <v>462.97000000000008</v>
      </c>
      <c r="N81">
        <v>20</v>
      </c>
      <c r="Q81">
        <v>20</v>
      </c>
      <c r="R81">
        <v>0.33333333333333331</v>
      </c>
      <c r="Y81">
        <v>0</v>
      </c>
      <c r="Z81">
        <v>0</v>
      </c>
      <c r="AA81">
        <v>0.33333333333333331</v>
      </c>
      <c r="AB81">
        <v>23.666666666666664</v>
      </c>
      <c r="AD81">
        <v>0</v>
      </c>
      <c r="AE81">
        <v>485.57000000000011</v>
      </c>
      <c r="AG81">
        <v>15</v>
      </c>
    </row>
    <row r="82" spans="1:33" x14ac:dyDescent="0.25">
      <c r="A82" t="s">
        <v>2782</v>
      </c>
      <c r="B82" t="s">
        <v>2510</v>
      </c>
      <c r="C82">
        <v>5</v>
      </c>
      <c r="D82" t="s">
        <v>46</v>
      </c>
      <c r="E82">
        <v>12</v>
      </c>
      <c r="K82">
        <v>304.30000000000007</v>
      </c>
      <c r="Q82">
        <v>0</v>
      </c>
      <c r="R82">
        <v>0</v>
      </c>
      <c r="Y82">
        <v>0</v>
      </c>
      <c r="Z82">
        <v>0</v>
      </c>
      <c r="AA82">
        <v>0</v>
      </c>
      <c r="AB82">
        <v>24</v>
      </c>
      <c r="AD82">
        <v>0</v>
      </c>
      <c r="AE82">
        <v>320.10000000000002</v>
      </c>
      <c r="AG82">
        <v>15</v>
      </c>
    </row>
    <row r="83" spans="1:33" x14ac:dyDescent="0.25">
      <c r="A83" t="s">
        <v>2783</v>
      </c>
      <c r="B83" t="s">
        <v>2510</v>
      </c>
      <c r="C83">
        <v>2</v>
      </c>
      <c r="D83" t="s">
        <v>45</v>
      </c>
      <c r="E83">
        <v>12</v>
      </c>
      <c r="K83">
        <v>202.76</v>
      </c>
      <c r="Q83">
        <v>0</v>
      </c>
      <c r="R83">
        <v>0</v>
      </c>
      <c r="Y83">
        <v>0</v>
      </c>
      <c r="Z83">
        <v>0</v>
      </c>
      <c r="AA83">
        <v>0</v>
      </c>
      <c r="AB83">
        <v>12</v>
      </c>
      <c r="AD83">
        <v>0</v>
      </c>
      <c r="AE83">
        <v>212.56</v>
      </c>
      <c r="AG83">
        <v>16</v>
      </c>
    </row>
    <row r="84" spans="1:33" x14ac:dyDescent="0.25">
      <c r="A84" t="s">
        <v>2783</v>
      </c>
      <c r="B84" t="s">
        <v>2510</v>
      </c>
      <c r="C84">
        <v>2</v>
      </c>
      <c r="D84" t="s">
        <v>46</v>
      </c>
      <c r="E84">
        <v>12</v>
      </c>
      <c r="K84">
        <v>210.66</v>
      </c>
      <c r="Q84">
        <v>0</v>
      </c>
      <c r="R84">
        <v>0</v>
      </c>
      <c r="Y84">
        <v>0</v>
      </c>
      <c r="Z84">
        <v>0</v>
      </c>
      <c r="AA84">
        <v>0</v>
      </c>
      <c r="AB84">
        <v>12</v>
      </c>
      <c r="AD84">
        <v>0</v>
      </c>
      <c r="AE84">
        <v>220.46</v>
      </c>
      <c r="AG84">
        <v>16</v>
      </c>
    </row>
    <row r="85" spans="1:33" x14ac:dyDescent="0.25">
      <c r="A85" t="s">
        <v>2783</v>
      </c>
      <c r="B85" t="s">
        <v>2510</v>
      </c>
      <c r="C85">
        <v>4</v>
      </c>
      <c r="D85" t="s">
        <v>45</v>
      </c>
      <c r="E85">
        <v>12</v>
      </c>
      <c r="K85">
        <v>496.74000000000007</v>
      </c>
      <c r="Q85">
        <v>0</v>
      </c>
      <c r="R85">
        <v>0</v>
      </c>
      <c r="Y85">
        <v>0</v>
      </c>
      <c r="Z85">
        <v>0</v>
      </c>
      <c r="AA85">
        <v>0</v>
      </c>
      <c r="AB85">
        <v>12</v>
      </c>
      <c r="AD85">
        <v>0</v>
      </c>
      <c r="AE85">
        <v>516.94000000000005</v>
      </c>
      <c r="AG85">
        <v>16</v>
      </c>
    </row>
    <row r="86" spans="1:33" x14ac:dyDescent="0.25">
      <c r="A86" t="s">
        <v>2783</v>
      </c>
      <c r="B86" t="s">
        <v>2510</v>
      </c>
      <c r="C86">
        <v>4</v>
      </c>
      <c r="D86" t="s">
        <v>46</v>
      </c>
      <c r="E86">
        <v>12</v>
      </c>
      <c r="K86">
        <v>525.37999999999988</v>
      </c>
      <c r="Q86">
        <v>0</v>
      </c>
      <c r="R86">
        <v>0</v>
      </c>
      <c r="Y86">
        <v>0</v>
      </c>
      <c r="Z86">
        <v>0</v>
      </c>
      <c r="AA86">
        <v>0</v>
      </c>
      <c r="AB86">
        <v>12</v>
      </c>
      <c r="AD86">
        <v>0</v>
      </c>
      <c r="AE86">
        <v>547.4799999999999</v>
      </c>
      <c r="AG86">
        <v>16</v>
      </c>
    </row>
    <row r="87" spans="1:33" x14ac:dyDescent="0.25">
      <c r="A87" t="s">
        <v>2783</v>
      </c>
      <c r="B87" t="s">
        <v>2510</v>
      </c>
      <c r="C87">
        <v>5</v>
      </c>
      <c r="D87" t="s">
        <v>45</v>
      </c>
      <c r="E87">
        <v>12</v>
      </c>
      <c r="K87">
        <v>283.17999999999995</v>
      </c>
      <c r="Q87">
        <v>0</v>
      </c>
      <c r="R87">
        <v>0</v>
      </c>
      <c r="Y87">
        <v>0</v>
      </c>
      <c r="Z87">
        <v>0</v>
      </c>
      <c r="AA87">
        <v>0</v>
      </c>
      <c r="AB87">
        <v>12</v>
      </c>
      <c r="AD87">
        <v>0</v>
      </c>
      <c r="AE87">
        <v>293.77999999999997</v>
      </c>
      <c r="AG87">
        <v>16</v>
      </c>
    </row>
    <row r="88" spans="1:33" x14ac:dyDescent="0.25">
      <c r="A88" t="s">
        <v>2783</v>
      </c>
      <c r="B88" t="s">
        <v>2510</v>
      </c>
      <c r="C88">
        <v>5</v>
      </c>
      <c r="D88" t="s">
        <v>46</v>
      </c>
      <c r="E88">
        <v>12</v>
      </c>
      <c r="K88">
        <v>304.15999999999997</v>
      </c>
      <c r="Q88">
        <v>0</v>
      </c>
      <c r="R88">
        <v>0</v>
      </c>
      <c r="Y88">
        <v>0</v>
      </c>
      <c r="Z88">
        <v>0</v>
      </c>
      <c r="AA88">
        <v>0</v>
      </c>
      <c r="AB88">
        <v>12</v>
      </c>
      <c r="AD88">
        <v>0</v>
      </c>
      <c r="AE88">
        <v>314.76</v>
      </c>
      <c r="AG88">
        <v>16</v>
      </c>
    </row>
    <row r="89" spans="1:33" x14ac:dyDescent="0.25">
      <c r="A89" t="s">
        <v>2784</v>
      </c>
      <c r="B89" t="s">
        <v>2510</v>
      </c>
      <c r="C89">
        <v>2</v>
      </c>
      <c r="D89" t="s">
        <v>45</v>
      </c>
      <c r="E89">
        <v>12</v>
      </c>
      <c r="K89">
        <v>175.01</v>
      </c>
      <c r="Q89">
        <v>0</v>
      </c>
      <c r="R89">
        <v>0</v>
      </c>
      <c r="Y89">
        <v>0</v>
      </c>
      <c r="Z89">
        <v>0</v>
      </c>
      <c r="AA89">
        <v>0</v>
      </c>
      <c r="AB89">
        <v>12</v>
      </c>
      <c r="AD89">
        <v>0</v>
      </c>
      <c r="AE89">
        <v>184.21</v>
      </c>
      <c r="AG89">
        <v>16</v>
      </c>
    </row>
    <row r="90" spans="1:33" x14ac:dyDescent="0.25">
      <c r="A90" t="s">
        <v>2784</v>
      </c>
      <c r="B90" t="s">
        <v>2510</v>
      </c>
      <c r="C90">
        <v>2</v>
      </c>
      <c r="D90" t="s">
        <v>46</v>
      </c>
      <c r="E90">
        <v>12</v>
      </c>
      <c r="K90">
        <v>198.82999999999998</v>
      </c>
      <c r="Q90">
        <v>0</v>
      </c>
      <c r="R90">
        <v>0</v>
      </c>
      <c r="Y90">
        <v>0</v>
      </c>
      <c r="Z90">
        <v>0</v>
      </c>
      <c r="AA90">
        <v>0</v>
      </c>
      <c r="AB90">
        <v>12</v>
      </c>
      <c r="AD90">
        <v>0</v>
      </c>
      <c r="AE90">
        <v>208.63</v>
      </c>
      <c r="AG90">
        <v>16</v>
      </c>
    </row>
    <row r="91" spans="1:33" x14ac:dyDescent="0.25">
      <c r="A91" t="s">
        <v>2784</v>
      </c>
      <c r="B91" t="s">
        <v>2510</v>
      </c>
      <c r="C91">
        <v>4</v>
      </c>
      <c r="D91" t="s">
        <v>45</v>
      </c>
      <c r="E91">
        <v>12</v>
      </c>
      <c r="K91">
        <v>501.48000000000008</v>
      </c>
      <c r="Q91">
        <v>0</v>
      </c>
      <c r="R91">
        <v>0</v>
      </c>
      <c r="Y91">
        <v>0</v>
      </c>
      <c r="Z91">
        <v>0</v>
      </c>
      <c r="AA91">
        <v>0</v>
      </c>
      <c r="AB91">
        <v>12</v>
      </c>
      <c r="AD91">
        <v>0</v>
      </c>
      <c r="AE91">
        <v>521.68000000000006</v>
      </c>
      <c r="AG91">
        <v>16</v>
      </c>
    </row>
    <row r="92" spans="1:33" x14ac:dyDescent="0.25">
      <c r="A92" t="s">
        <v>2784</v>
      </c>
      <c r="B92" t="s">
        <v>2510</v>
      </c>
      <c r="C92">
        <v>4</v>
      </c>
      <c r="D92" t="s">
        <v>46</v>
      </c>
      <c r="E92">
        <v>12</v>
      </c>
      <c r="K92">
        <v>497.02000000000004</v>
      </c>
      <c r="Q92">
        <v>0</v>
      </c>
      <c r="R92">
        <v>0</v>
      </c>
      <c r="Y92">
        <v>0</v>
      </c>
      <c r="Z92">
        <v>0</v>
      </c>
      <c r="AA92">
        <v>0</v>
      </c>
      <c r="AB92">
        <v>12</v>
      </c>
      <c r="AD92">
        <v>0</v>
      </c>
      <c r="AE92">
        <v>517.22</v>
      </c>
      <c r="AG92">
        <v>16</v>
      </c>
    </row>
    <row r="93" spans="1:33" x14ac:dyDescent="0.25">
      <c r="A93" t="s">
        <v>2784</v>
      </c>
      <c r="B93" t="s">
        <v>2510</v>
      </c>
      <c r="C93">
        <v>5</v>
      </c>
      <c r="D93" t="s">
        <v>45</v>
      </c>
      <c r="E93">
        <v>12</v>
      </c>
      <c r="K93">
        <v>207.02000000000004</v>
      </c>
      <c r="Q93">
        <v>0</v>
      </c>
      <c r="R93">
        <v>0</v>
      </c>
      <c r="Y93">
        <v>0</v>
      </c>
      <c r="Z93">
        <v>0</v>
      </c>
      <c r="AA93">
        <v>0</v>
      </c>
      <c r="AB93">
        <v>12</v>
      </c>
      <c r="AD93">
        <v>0</v>
      </c>
      <c r="AE93">
        <v>216.22000000000003</v>
      </c>
      <c r="AG93">
        <v>16</v>
      </c>
    </row>
    <row r="94" spans="1:33" x14ac:dyDescent="0.25">
      <c r="A94" t="s">
        <v>2784</v>
      </c>
      <c r="B94" t="s">
        <v>2510</v>
      </c>
      <c r="C94">
        <v>5</v>
      </c>
      <c r="D94" t="s">
        <v>46</v>
      </c>
      <c r="E94">
        <v>12</v>
      </c>
      <c r="K94">
        <v>259.76000000000005</v>
      </c>
      <c r="Q94">
        <v>0</v>
      </c>
      <c r="R94">
        <v>0</v>
      </c>
      <c r="Y94">
        <v>0</v>
      </c>
      <c r="Z94">
        <v>0</v>
      </c>
      <c r="AA94">
        <v>0</v>
      </c>
      <c r="AB94">
        <v>12</v>
      </c>
      <c r="AD94">
        <v>0</v>
      </c>
      <c r="AE94">
        <v>269.66000000000003</v>
      </c>
      <c r="AG94">
        <v>16</v>
      </c>
    </row>
    <row r="95" spans="1:33" x14ac:dyDescent="0.25">
      <c r="A95" t="s">
        <v>2785</v>
      </c>
      <c r="B95" t="s">
        <v>2510</v>
      </c>
      <c r="C95">
        <v>2</v>
      </c>
      <c r="D95" t="s">
        <v>45</v>
      </c>
      <c r="E95">
        <v>12</v>
      </c>
      <c r="K95">
        <v>209.21</v>
      </c>
      <c r="Q95">
        <v>0</v>
      </c>
      <c r="R95">
        <v>0</v>
      </c>
      <c r="X95">
        <v>30</v>
      </c>
      <c r="Y95">
        <v>30</v>
      </c>
      <c r="Z95">
        <v>0.5</v>
      </c>
      <c r="AA95">
        <v>0.5</v>
      </c>
      <c r="AB95">
        <v>23.5</v>
      </c>
      <c r="AD95">
        <v>0</v>
      </c>
      <c r="AE95">
        <v>224.61</v>
      </c>
      <c r="AG95">
        <v>16</v>
      </c>
    </row>
    <row r="96" spans="1:33" x14ac:dyDescent="0.25">
      <c r="A96" t="s">
        <v>2785</v>
      </c>
      <c r="B96" t="s">
        <v>2510</v>
      </c>
      <c r="C96">
        <v>2</v>
      </c>
      <c r="D96" t="s">
        <v>46</v>
      </c>
      <c r="E96">
        <v>12</v>
      </c>
      <c r="K96">
        <v>168.45</v>
      </c>
      <c r="Q96">
        <v>0</v>
      </c>
      <c r="R96">
        <v>0</v>
      </c>
      <c r="U96">
        <v>60</v>
      </c>
      <c r="Y96">
        <v>60</v>
      </c>
      <c r="Z96">
        <v>1</v>
      </c>
      <c r="AA96">
        <v>1</v>
      </c>
      <c r="AB96">
        <v>11</v>
      </c>
      <c r="AD96">
        <v>0</v>
      </c>
      <c r="AE96">
        <v>178.25</v>
      </c>
      <c r="AG96">
        <v>16</v>
      </c>
    </row>
    <row r="97" spans="1:33" x14ac:dyDescent="0.25">
      <c r="A97" t="s">
        <v>2785</v>
      </c>
      <c r="B97" t="s">
        <v>2510</v>
      </c>
      <c r="C97">
        <v>4</v>
      </c>
      <c r="D97" t="s">
        <v>45</v>
      </c>
      <c r="E97">
        <v>12</v>
      </c>
      <c r="K97">
        <v>552.28</v>
      </c>
      <c r="N97">
        <v>30</v>
      </c>
      <c r="Q97">
        <v>30</v>
      </c>
      <c r="R97">
        <v>0.5</v>
      </c>
      <c r="Y97">
        <v>0</v>
      </c>
      <c r="Z97">
        <v>0</v>
      </c>
      <c r="AA97">
        <v>0.5</v>
      </c>
      <c r="AB97">
        <v>47.5</v>
      </c>
      <c r="AD97">
        <v>0</v>
      </c>
      <c r="AE97">
        <v>588.98</v>
      </c>
      <c r="AG97">
        <v>16</v>
      </c>
    </row>
    <row r="98" spans="1:33" x14ac:dyDescent="0.25">
      <c r="A98" t="s">
        <v>2785</v>
      </c>
      <c r="B98" t="s">
        <v>2510</v>
      </c>
      <c r="C98">
        <v>4</v>
      </c>
      <c r="D98" t="s">
        <v>46</v>
      </c>
      <c r="E98">
        <v>12</v>
      </c>
      <c r="K98">
        <v>495.42000000000007</v>
      </c>
      <c r="N98">
        <v>20</v>
      </c>
      <c r="Q98">
        <v>20</v>
      </c>
      <c r="R98">
        <v>0.33333333333333331</v>
      </c>
      <c r="Y98">
        <v>0</v>
      </c>
      <c r="Z98">
        <v>0</v>
      </c>
      <c r="AA98">
        <v>0.33333333333333331</v>
      </c>
      <c r="AB98">
        <v>47.666666666666664</v>
      </c>
      <c r="AD98">
        <v>0</v>
      </c>
      <c r="AE98">
        <v>541.41999999999996</v>
      </c>
      <c r="AG98">
        <v>16</v>
      </c>
    </row>
    <row r="99" spans="1:33" x14ac:dyDescent="0.25">
      <c r="A99" t="s">
        <v>2785</v>
      </c>
      <c r="B99" t="s">
        <v>2510</v>
      </c>
      <c r="C99">
        <v>5</v>
      </c>
      <c r="D99" t="s">
        <v>45</v>
      </c>
      <c r="E99">
        <v>12</v>
      </c>
      <c r="I99">
        <v>180</v>
      </c>
      <c r="K99">
        <v>209.62</v>
      </c>
      <c r="Q99">
        <v>0</v>
      </c>
      <c r="R99">
        <v>0</v>
      </c>
      <c r="Y99">
        <v>180</v>
      </c>
      <c r="Z99">
        <v>3</v>
      </c>
      <c r="AA99">
        <v>3</v>
      </c>
      <c r="AB99">
        <v>9</v>
      </c>
      <c r="AD99">
        <v>0</v>
      </c>
      <c r="AE99">
        <v>218.82</v>
      </c>
      <c r="AG99">
        <v>16</v>
      </c>
    </row>
    <row r="100" spans="1:33" x14ac:dyDescent="0.25">
      <c r="A100" t="s">
        <v>2785</v>
      </c>
      <c r="B100" t="s">
        <v>2510</v>
      </c>
      <c r="C100">
        <v>5</v>
      </c>
      <c r="D100" t="s">
        <v>46</v>
      </c>
      <c r="E100">
        <v>12</v>
      </c>
      <c r="I100">
        <v>150</v>
      </c>
      <c r="K100">
        <v>222.96</v>
      </c>
      <c r="N100">
        <v>15</v>
      </c>
      <c r="Q100">
        <v>15</v>
      </c>
      <c r="R100">
        <v>0.25</v>
      </c>
      <c r="Y100">
        <v>150</v>
      </c>
      <c r="Z100">
        <v>2.5</v>
      </c>
      <c r="AA100">
        <v>2.75</v>
      </c>
      <c r="AB100">
        <v>33.25</v>
      </c>
      <c r="AD100">
        <v>0</v>
      </c>
      <c r="AE100">
        <v>244.36</v>
      </c>
      <c r="AG100">
        <v>16</v>
      </c>
    </row>
    <row r="101" spans="1:33" x14ac:dyDescent="0.25">
      <c r="A101" t="s">
        <v>2786</v>
      </c>
      <c r="B101" t="s">
        <v>2510</v>
      </c>
      <c r="C101">
        <v>2</v>
      </c>
      <c r="D101" t="s">
        <v>45</v>
      </c>
      <c r="E101">
        <v>12</v>
      </c>
      <c r="K101">
        <v>209.84</v>
      </c>
      <c r="Q101">
        <v>0</v>
      </c>
      <c r="R101">
        <v>0</v>
      </c>
      <c r="Y101">
        <v>0</v>
      </c>
      <c r="Z101">
        <v>0</v>
      </c>
      <c r="AA101">
        <v>0</v>
      </c>
      <c r="AB101">
        <v>24</v>
      </c>
      <c r="AD101">
        <v>0</v>
      </c>
      <c r="AE101">
        <v>225.24</v>
      </c>
      <c r="AG101">
        <v>16</v>
      </c>
    </row>
    <row r="102" spans="1:33" x14ac:dyDescent="0.25">
      <c r="A102" t="s">
        <v>2786</v>
      </c>
      <c r="B102" t="s">
        <v>2510</v>
      </c>
      <c r="C102">
        <v>2</v>
      </c>
      <c r="D102" t="s">
        <v>46</v>
      </c>
      <c r="E102">
        <v>12</v>
      </c>
      <c r="K102">
        <v>135.29000000000002</v>
      </c>
      <c r="N102">
        <v>25</v>
      </c>
      <c r="Q102">
        <v>25</v>
      </c>
      <c r="R102">
        <v>0.41666666666666674</v>
      </c>
      <c r="U102">
        <v>35</v>
      </c>
      <c r="Y102">
        <v>35</v>
      </c>
      <c r="Z102">
        <v>0.58333333333333337</v>
      </c>
      <c r="AA102">
        <v>1</v>
      </c>
      <c r="AB102">
        <v>23</v>
      </c>
      <c r="AD102">
        <v>0</v>
      </c>
      <c r="AE102">
        <v>148.74</v>
      </c>
      <c r="AG102">
        <v>16</v>
      </c>
    </row>
    <row r="103" spans="1:33" x14ac:dyDescent="0.25">
      <c r="A103" t="s">
        <v>2786</v>
      </c>
      <c r="B103" t="s">
        <v>2510</v>
      </c>
      <c r="C103">
        <v>4</v>
      </c>
      <c r="D103" t="s">
        <v>45</v>
      </c>
      <c r="E103">
        <v>12</v>
      </c>
      <c r="K103">
        <v>444.14000000000004</v>
      </c>
      <c r="N103">
        <v>90</v>
      </c>
      <c r="Q103">
        <v>90</v>
      </c>
      <c r="R103">
        <v>1.5</v>
      </c>
      <c r="Y103">
        <v>0</v>
      </c>
      <c r="Z103">
        <v>0</v>
      </c>
      <c r="AA103">
        <v>1.5</v>
      </c>
      <c r="AB103">
        <v>22.5</v>
      </c>
      <c r="AD103">
        <v>0</v>
      </c>
      <c r="AE103">
        <v>471.74</v>
      </c>
      <c r="AG103">
        <v>16</v>
      </c>
    </row>
    <row r="104" spans="1:33" x14ac:dyDescent="0.25">
      <c r="A104" t="s">
        <v>2786</v>
      </c>
      <c r="B104" t="s">
        <v>2510</v>
      </c>
      <c r="C104">
        <v>4</v>
      </c>
      <c r="D104" t="s">
        <v>46</v>
      </c>
      <c r="E104">
        <v>12</v>
      </c>
      <c r="K104">
        <v>544.68000000000006</v>
      </c>
      <c r="Q104">
        <v>0</v>
      </c>
      <c r="R104">
        <v>0</v>
      </c>
      <c r="Y104">
        <v>0</v>
      </c>
      <c r="Z104">
        <v>0</v>
      </c>
      <c r="AA104">
        <v>0</v>
      </c>
      <c r="AB104">
        <v>36</v>
      </c>
      <c r="AD104">
        <v>0</v>
      </c>
      <c r="AE104">
        <v>575.78</v>
      </c>
      <c r="AG104">
        <v>16</v>
      </c>
    </row>
    <row r="105" spans="1:33" x14ac:dyDescent="0.25">
      <c r="A105" t="s">
        <v>2786</v>
      </c>
      <c r="B105" t="s">
        <v>2510</v>
      </c>
      <c r="C105">
        <v>5</v>
      </c>
      <c r="D105" t="s">
        <v>45</v>
      </c>
      <c r="E105">
        <v>12</v>
      </c>
      <c r="K105">
        <v>386.68000000000006</v>
      </c>
      <c r="N105">
        <v>30</v>
      </c>
      <c r="Q105">
        <v>30</v>
      </c>
      <c r="R105">
        <v>0.5</v>
      </c>
      <c r="S105">
        <v>120</v>
      </c>
      <c r="Y105">
        <v>120</v>
      </c>
      <c r="Z105">
        <v>2</v>
      </c>
      <c r="AA105">
        <v>2.5</v>
      </c>
      <c r="AB105">
        <v>21.5</v>
      </c>
      <c r="AD105">
        <v>0</v>
      </c>
      <c r="AE105">
        <v>409.28000000000003</v>
      </c>
      <c r="AG105">
        <v>16</v>
      </c>
    </row>
    <row r="106" spans="1:33" x14ac:dyDescent="0.25">
      <c r="A106" t="s">
        <v>2786</v>
      </c>
      <c r="B106" t="s">
        <v>2510</v>
      </c>
      <c r="C106">
        <v>5</v>
      </c>
      <c r="D106" t="s">
        <v>46</v>
      </c>
      <c r="E106">
        <v>12</v>
      </c>
      <c r="K106">
        <v>554.91999999999996</v>
      </c>
      <c r="Q106">
        <v>0</v>
      </c>
      <c r="R106">
        <v>0</v>
      </c>
      <c r="Y106">
        <v>0</v>
      </c>
      <c r="Z106">
        <v>0</v>
      </c>
      <c r="AA106">
        <v>0</v>
      </c>
      <c r="AB106">
        <v>12</v>
      </c>
      <c r="AD106">
        <v>0</v>
      </c>
      <c r="AE106">
        <v>575.21999999999991</v>
      </c>
      <c r="AG106">
        <v>16</v>
      </c>
    </row>
    <row r="107" spans="1:33" x14ac:dyDescent="0.25">
      <c r="A107" t="s">
        <v>2787</v>
      </c>
      <c r="B107" t="s">
        <v>2510</v>
      </c>
      <c r="C107">
        <v>2</v>
      </c>
      <c r="D107" t="s">
        <v>45</v>
      </c>
      <c r="E107">
        <v>12</v>
      </c>
      <c r="K107">
        <v>91.22</v>
      </c>
      <c r="Q107">
        <v>0</v>
      </c>
      <c r="R107">
        <v>0</v>
      </c>
      <c r="U107">
        <v>60</v>
      </c>
      <c r="Y107">
        <v>60</v>
      </c>
      <c r="Z107">
        <v>1</v>
      </c>
      <c r="AA107">
        <v>1</v>
      </c>
      <c r="AB107">
        <v>11</v>
      </c>
      <c r="AD107">
        <v>0</v>
      </c>
      <c r="AE107">
        <v>98.32</v>
      </c>
      <c r="AG107">
        <v>16</v>
      </c>
    </row>
    <row r="108" spans="1:33" x14ac:dyDescent="0.25">
      <c r="A108" t="s">
        <v>2787</v>
      </c>
      <c r="B108" t="s">
        <v>2510</v>
      </c>
      <c r="C108">
        <v>2</v>
      </c>
      <c r="D108" t="s">
        <v>46</v>
      </c>
      <c r="E108">
        <v>12</v>
      </c>
      <c r="K108">
        <v>106.76999999999998</v>
      </c>
      <c r="Q108">
        <v>0</v>
      </c>
      <c r="R108">
        <v>0</v>
      </c>
      <c r="Y108">
        <v>0</v>
      </c>
      <c r="Z108">
        <v>0</v>
      </c>
      <c r="AA108">
        <v>0</v>
      </c>
      <c r="AB108">
        <v>12</v>
      </c>
      <c r="AD108">
        <v>0</v>
      </c>
      <c r="AE108">
        <v>114.21999999999998</v>
      </c>
      <c r="AG108">
        <v>16</v>
      </c>
    </row>
    <row r="109" spans="1:33" x14ac:dyDescent="0.25">
      <c r="A109" t="s">
        <v>2787</v>
      </c>
      <c r="B109" t="s">
        <v>2510</v>
      </c>
      <c r="C109">
        <v>4</v>
      </c>
      <c r="D109" t="s">
        <v>45</v>
      </c>
      <c r="E109">
        <v>12</v>
      </c>
      <c r="K109">
        <v>510.74</v>
      </c>
      <c r="Q109">
        <v>0</v>
      </c>
      <c r="R109">
        <v>0</v>
      </c>
      <c r="S109">
        <v>120</v>
      </c>
      <c r="X109">
        <v>45</v>
      </c>
      <c r="Y109">
        <v>165</v>
      </c>
      <c r="Z109">
        <v>2.75</v>
      </c>
      <c r="AA109">
        <v>2.75</v>
      </c>
      <c r="AB109">
        <v>9.25</v>
      </c>
      <c r="AD109">
        <v>0</v>
      </c>
      <c r="AE109">
        <v>533.34</v>
      </c>
      <c r="AG109">
        <v>16</v>
      </c>
    </row>
    <row r="110" spans="1:33" x14ac:dyDescent="0.25">
      <c r="A110" t="s">
        <v>2787</v>
      </c>
      <c r="B110" t="s">
        <v>2510</v>
      </c>
      <c r="C110">
        <v>4</v>
      </c>
      <c r="D110" t="s">
        <v>46</v>
      </c>
      <c r="E110">
        <v>12</v>
      </c>
      <c r="K110">
        <v>597.86</v>
      </c>
      <c r="Q110">
        <v>0</v>
      </c>
      <c r="R110">
        <v>0</v>
      </c>
      <c r="Y110">
        <v>0</v>
      </c>
      <c r="Z110">
        <v>0</v>
      </c>
      <c r="AA110">
        <v>0</v>
      </c>
      <c r="AB110">
        <v>12</v>
      </c>
      <c r="AD110">
        <v>0</v>
      </c>
      <c r="AE110">
        <v>622.06000000000006</v>
      </c>
      <c r="AG110">
        <v>16</v>
      </c>
    </row>
    <row r="111" spans="1:33" x14ac:dyDescent="0.25">
      <c r="A111" t="s">
        <v>2787</v>
      </c>
      <c r="B111" t="s">
        <v>2510</v>
      </c>
      <c r="C111">
        <v>5</v>
      </c>
      <c r="D111" t="s">
        <v>45</v>
      </c>
      <c r="E111">
        <v>12</v>
      </c>
      <c r="K111">
        <v>499.32000000000005</v>
      </c>
      <c r="Q111">
        <v>0</v>
      </c>
      <c r="R111">
        <v>0</v>
      </c>
      <c r="U111">
        <v>90</v>
      </c>
      <c r="Y111">
        <v>90</v>
      </c>
      <c r="Z111">
        <v>1.5</v>
      </c>
      <c r="AA111">
        <v>1.5</v>
      </c>
      <c r="AB111">
        <v>22.5</v>
      </c>
      <c r="AD111">
        <v>0</v>
      </c>
      <c r="AE111">
        <v>524.62</v>
      </c>
      <c r="AG111">
        <v>16</v>
      </c>
    </row>
    <row r="112" spans="1:33" x14ac:dyDescent="0.25">
      <c r="A112" t="s">
        <v>2787</v>
      </c>
      <c r="B112" t="s">
        <v>2510</v>
      </c>
      <c r="C112">
        <v>5</v>
      </c>
      <c r="D112" t="s">
        <v>46</v>
      </c>
      <c r="E112">
        <v>12</v>
      </c>
      <c r="K112">
        <v>487.22</v>
      </c>
      <c r="N112">
        <v>25</v>
      </c>
      <c r="Q112">
        <v>25</v>
      </c>
      <c r="R112">
        <v>0.41666666666666674</v>
      </c>
      <c r="Y112">
        <v>0</v>
      </c>
      <c r="Z112">
        <v>0</v>
      </c>
      <c r="AA112">
        <v>0.41666666666666674</v>
      </c>
      <c r="AB112">
        <v>35.583333333333336</v>
      </c>
      <c r="AD112">
        <v>0</v>
      </c>
      <c r="AE112">
        <v>516.92000000000007</v>
      </c>
      <c r="AG112">
        <v>16</v>
      </c>
    </row>
    <row r="113" spans="1:33" x14ac:dyDescent="0.25">
      <c r="A113" t="s">
        <v>2788</v>
      </c>
      <c r="B113" t="s">
        <v>2510</v>
      </c>
      <c r="C113">
        <v>2</v>
      </c>
      <c r="D113" t="s">
        <v>45</v>
      </c>
      <c r="E113">
        <v>12</v>
      </c>
      <c r="K113">
        <v>118.32000000000001</v>
      </c>
      <c r="Q113">
        <v>0</v>
      </c>
      <c r="R113">
        <v>0</v>
      </c>
      <c r="X113">
        <v>30</v>
      </c>
      <c r="Y113">
        <v>30</v>
      </c>
      <c r="Z113">
        <v>0.5</v>
      </c>
      <c r="AA113">
        <v>0.5</v>
      </c>
      <c r="AB113">
        <v>11.5</v>
      </c>
      <c r="AD113">
        <v>0</v>
      </c>
      <c r="AE113">
        <v>125.77</v>
      </c>
      <c r="AG113">
        <v>16</v>
      </c>
    </row>
    <row r="114" spans="1:33" x14ac:dyDescent="0.25">
      <c r="A114" t="s">
        <v>2788</v>
      </c>
      <c r="B114" t="s">
        <v>2510</v>
      </c>
      <c r="C114">
        <v>2</v>
      </c>
      <c r="D114" t="s">
        <v>46</v>
      </c>
      <c r="E114">
        <v>12</v>
      </c>
      <c r="K114">
        <v>125.7</v>
      </c>
      <c r="Q114">
        <v>0</v>
      </c>
      <c r="R114">
        <v>0</v>
      </c>
      <c r="Y114">
        <v>0</v>
      </c>
      <c r="Z114">
        <v>0</v>
      </c>
      <c r="AA114">
        <v>0</v>
      </c>
      <c r="AB114">
        <v>12</v>
      </c>
      <c r="AD114">
        <v>0</v>
      </c>
      <c r="AE114">
        <v>133.5</v>
      </c>
      <c r="AG114">
        <v>16</v>
      </c>
    </row>
    <row r="115" spans="1:33" x14ac:dyDescent="0.25">
      <c r="A115" t="s">
        <v>2788</v>
      </c>
      <c r="B115" t="s">
        <v>2510</v>
      </c>
      <c r="C115">
        <v>4</v>
      </c>
      <c r="D115" t="s">
        <v>45</v>
      </c>
      <c r="E115">
        <v>12</v>
      </c>
      <c r="K115">
        <v>716.66</v>
      </c>
      <c r="Q115">
        <v>0</v>
      </c>
      <c r="R115">
        <v>0</v>
      </c>
      <c r="Y115">
        <v>0</v>
      </c>
      <c r="Z115">
        <v>0</v>
      </c>
      <c r="AA115">
        <v>0</v>
      </c>
      <c r="AB115">
        <v>12</v>
      </c>
      <c r="AD115">
        <v>0</v>
      </c>
      <c r="AE115">
        <v>740.86</v>
      </c>
      <c r="AG115">
        <v>16</v>
      </c>
    </row>
    <row r="116" spans="1:33" x14ac:dyDescent="0.25">
      <c r="A116" t="s">
        <v>2788</v>
      </c>
      <c r="B116" t="s">
        <v>2510</v>
      </c>
      <c r="C116">
        <v>4</v>
      </c>
      <c r="D116" t="s">
        <v>46</v>
      </c>
      <c r="E116">
        <v>12</v>
      </c>
      <c r="K116">
        <v>698.26</v>
      </c>
      <c r="Q116">
        <v>0</v>
      </c>
      <c r="R116">
        <v>0</v>
      </c>
      <c r="Y116">
        <v>0</v>
      </c>
      <c r="Z116">
        <v>0</v>
      </c>
      <c r="AA116">
        <v>0</v>
      </c>
      <c r="AB116">
        <v>12</v>
      </c>
      <c r="AD116">
        <v>0</v>
      </c>
      <c r="AE116">
        <v>727.26</v>
      </c>
      <c r="AG116">
        <v>16</v>
      </c>
    </row>
    <row r="117" spans="1:33" x14ac:dyDescent="0.25">
      <c r="A117" t="s">
        <v>2788</v>
      </c>
      <c r="B117" t="s">
        <v>2510</v>
      </c>
      <c r="C117">
        <v>5</v>
      </c>
      <c r="D117" t="s">
        <v>45</v>
      </c>
      <c r="E117">
        <v>12</v>
      </c>
      <c r="K117">
        <v>347.28</v>
      </c>
      <c r="N117">
        <v>25</v>
      </c>
      <c r="Q117">
        <v>25</v>
      </c>
      <c r="R117">
        <v>0.41666666666666674</v>
      </c>
      <c r="U117">
        <v>15</v>
      </c>
      <c r="Y117">
        <v>15</v>
      </c>
      <c r="Z117">
        <v>0.25</v>
      </c>
      <c r="AA117">
        <v>0.66666666666666674</v>
      </c>
      <c r="AB117">
        <v>23.333333333333336</v>
      </c>
      <c r="AD117">
        <v>0</v>
      </c>
      <c r="AE117">
        <v>366.18</v>
      </c>
      <c r="AG117">
        <v>16</v>
      </c>
    </row>
    <row r="118" spans="1:33" x14ac:dyDescent="0.25">
      <c r="A118" t="s">
        <v>2788</v>
      </c>
      <c r="B118" t="s">
        <v>2510</v>
      </c>
      <c r="C118">
        <v>5</v>
      </c>
      <c r="D118" t="s">
        <v>46</v>
      </c>
      <c r="E118">
        <v>12</v>
      </c>
      <c r="K118">
        <v>366.84000000000003</v>
      </c>
      <c r="Q118">
        <v>0</v>
      </c>
      <c r="R118">
        <v>0</v>
      </c>
      <c r="Y118">
        <v>0</v>
      </c>
      <c r="Z118">
        <v>0</v>
      </c>
      <c r="AA118">
        <v>0</v>
      </c>
      <c r="AB118">
        <v>24</v>
      </c>
      <c r="AD118">
        <v>0</v>
      </c>
      <c r="AE118">
        <v>387.74</v>
      </c>
      <c r="AG118">
        <v>16</v>
      </c>
    </row>
    <row r="119" spans="1:33" x14ac:dyDescent="0.25">
      <c r="A119" t="s">
        <v>2789</v>
      </c>
      <c r="B119" t="s">
        <v>2510</v>
      </c>
      <c r="C119">
        <v>2</v>
      </c>
      <c r="D119" t="s">
        <v>45</v>
      </c>
      <c r="E119">
        <v>12</v>
      </c>
      <c r="K119">
        <v>102.03</v>
      </c>
      <c r="N119">
        <v>25</v>
      </c>
      <c r="Q119">
        <v>25</v>
      </c>
      <c r="R119">
        <v>0.41666666666666674</v>
      </c>
      <c r="Y119">
        <v>0</v>
      </c>
      <c r="Z119">
        <v>0</v>
      </c>
      <c r="AA119">
        <v>0.41666666666666674</v>
      </c>
      <c r="AB119">
        <v>23.583333333333336</v>
      </c>
      <c r="AD119">
        <v>0</v>
      </c>
      <c r="AE119">
        <v>113.72999999999999</v>
      </c>
      <c r="AG119">
        <v>16</v>
      </c>
    </row>
    <row r="120" spans="1:33" x14ac:dyDescent="0.25">
      <c r="A120" t="s">
        <v>2789</v>
      </c>
      <c r="B120" t="s">
        <v>2510</v>
      </c>
      <c r="C120">
        <v>2</v>
      </c>
      <c r="D120" t="s">
        <v>46</v>
      </c>
      <c r="E120">
        <v>12</v>
      </c>
      <c r="K120">
        <v>107.25999999999999</v>
      </c>
      <c r="N120">
        <v>25</v>
      </c>
      <c r="Q120">
        <v>25</v>
      </c>
      <c r="R120">
        <v>0.41666666666666674</v>
      </c>
      <c r="Y120">
        <v>0</v>
      </c>
      <c r="Z120">
        <v>0</v>
      </c>
      <c r="AA120">
        <v>0.41666666666666674</v>
      </c>
      <c r="AB120">
        <v>23.583333333333336</v>
      </c>
      <c r="AD120">
        <v>0</v>
      </c>
      <c r="AE120">
        <v>119.21000000000001</v>
      </c>
      <c r="AG120">
        <v>16</v>
      </c>
    </row>
    <row r="121" spans="1:33" x14ac:dyDescent="0.25">
      <c r="A121" t="s">
        <v>2789</v>
      </c>
      <c r="B121" t="s">
        <v>2510</v>
      </c>
      <c r="C121">
        <v>4</v>
      </c>
      <c r="D121" t="s">
        <v>45</v>
      </c>
      <c r="E121">
        <v>12</v>
      </c>
      <c r="K121">
        <v>709.03999999999985</v>
      </c>
      <c r="Q121">
        <v>0</v>
      </c>
      <c r="R121">
        <v>0</v>
      </c>
      <c r="Y121">
        <v>0</v>
      </c>
      <c r="Z121">
        <v>0</v>
      </c>
      <c r="AA121">
        <v>0</v>
      </c>
      <c r="AB121">
        <v>12</v>
      </c>
      <c r="AD121">
        <v>0</v>
      </c>
      <c r="AE121">
        <v>740.63999999999987</v>
      </c>
      <c r="AG121">
        <v>16</v>
      </c>
    </row>
    <row r="122" spans="1:33" x14ac:dyDescent="0.25">
      <c r="A122" t="s">
        <v>2789</v>
      </c>
      <c r="B122" t="s">
        <v>2510</v>
      </c>
      <c r="C122">
        <v>4</v>
      </c>
      <c r="D122" t="s">
        <v>46</v>
      </c>
      <c r="E122">
        <v>12</v>
      </c>
      <c r="K122">
        <v>609.04</v>
      </c>
      <c r="Q122">
        <v>0</v>
      </c>
      <c r="R122">
        <v>0</v>
      </c>
      <c r="X122">
        <v>60</v>
      </c>
      <c r="Y122">
        <v>60</v>
      </c>
      <c r="Z122">
        <v>1</v>
      </c>
      <c r="AA122">
        <v>1</v>
      </c>
      <c r="AB122">
        <v>11</v>
      </c>
      <c r="AD122">
        <v>0</v>
      </c>
      <c r="AE122">
        <v>634.93999999999994</v>
      </c>
      <c r="AG122">
        <v>16</v>
      </c>
    </row>
    <row r="123" spans="1:33" x14ac:dyDescent="0.25">
      <c r="A123" t="s">
        <v>2789</v>
      </c>
      <c r="B123" t="s">
        <v>2510</v>
      </c>
      <c r="C123">
        <v>5</v>
      </c>
      <c r="D123" t="s">
        <v>45</v>
      </c>
      <c r="E123">
        <v>12</v>
      </c>
      <c r="K123">
        <v>396.74</v>
      </c>
      <c r="Q123">
        <v>0</v>
      </c>
      <c r="R123">
        <v>0</v>
      </c>
      <c r="Y123">
        <v>0</v>
      </c>
      <c r="Z123">
        <v>0</v>
      </c>
      <c r="AA123">
        <v>0</v>
      </c>
      <c r="AB123">
        <v>36</v>
      </c>
      <c r="AD123">
        <v>0</v>
      </c>
      <c r="AE123">
        <v>425.74</v>
      </c>
      <c r="AG123">
        <v>16</v>
      </c>
    </row>
    <row r="124" spans="1:33" x14ac:dyDescent="0.25">
      <c r="A124" t="s">
        <v>2789</v>
      </c>
      <c r="B124" t="s">
        <v>2510</v>
      </c>
      <c r="C124">
        <v>5</v>
      </c>
      <c r="D124" t="s">
        <v>46</v>
      </c>
      <c r="E124">
        <v>12</v>
      </c>
      <c r="K124">
        <v>406.82</v>
      </c>
      <c r="N124">
        <v>25</v>
      </c>
      <c r="Q124">
        <v>25</v>
      </c>
      <c r="R124">
        <v>0.41666666666666674</v>
      </c>
      <c r="Y124">
        <v>0</v>
      </c>
      <c r="Z124">
        <v>0</v>
      </c>
      <c r="AA124">
        <v>0.41666666666666674</v>
      </c>
      <c r="AB124">
        <v>23.583333333333336</v>
      </c>
      <c r="AD124">
        <v>0</v>
      </c>
      <c r="AE124">
        <v>428.82</v>
      </c>
      <c r="AG124">
        <v>16</v>
      </c>
    </row>
    <row r="125" spans="1:33" x14ac:dyDescent="0.25">
      <c r="A125" t="s">
        <v>2693</v>
      </c>
      <c r="B125" t="s">
        <v>2510</v>
      </c>
      <c r="C125">
        <v>2</v>
      </c>
      <c r="D125" t="s">
        <v>45</v>
      </c>
      <c r="E125">
        <v>12</v>
      </c>
      <c r="K125">
        <v>166.71</v>
      </c>
      <c r="Q125">
        <v>0</v>
      </c>
      <c r="R125">
        <v>0</v>
      </c>
      <c r="Y125">
        <v>0</v>
      </c>
      <c r="Z125">
        <v>0</v>
      </c>
      <c r="AA125">
        <v>0</v>
      </c>
      <c r="AB125">
        <v>24</v>
      </c>
      <c r="AD125">
        <v>0</v>
      </c>
      <c r="AE125">
        <v>180.71</v>
      </c>
      <c r="AG125">
        <v>17</v>
      </c>
    </row>
    <row r="126" spans="1:33" x14ac:dyDescent="0.25">
      <c r="A126" t="s">
        <v>2693</v>
      </c>
      <c r="B126" t="s">
        <v>2510</v>
      </c>
      <c r="C126">
        <v>2</v>
      </c>
      <c r="D126" t="s">
        <v>46</v>
      </c>
      <c r="E126">
        <v>12</v>
      </c>
      <c r="K126">
        <v>169.59</v>
      </c>
      <c r="Q126">
        <v>0</v>
      </c>
      <c r="R126">
        <v>0</v>
      </c>
      <c r="Y126">
        <v>0</v>
      </c>
      <c r="Z126">
        <v>0</v>
      </c>
      <c r="AA126">
        <v>0</v>
      </c>
      <c r="AB126">
        <v>12</v>
      </c>
      <c r="AD126">
        <v>0</v>
      </c>
      <c r="AE126">
        <v>178.59</v>
      </c>
      <c r="AG126">
        <v>17</v>
      </c>
    </row>
    <row r="127" spans="1:33" x14ac:dyDescent="0.25">
      <c r="A127" t="s">
        <v>2693</v>
      </c>
      <c r="B127" t="s">
        <v>2510</v>
      </c>
      <c r="C127">
        <v>4</v>
      </c>
      <c r="D127" t="s">
        <v>45</v>
      </c>
      <c r="E127">
        <v>12</v>
      </c>
      <c r="K127">
        <v>683.53000000000009</v>
      </c>
      <c r="Q127">
        <v>0</v>
      </c>
      <c r="R127">
        <v>0</v>
      </c>
      <c r="Y127">
        <v>0</v>
      </c>
      <c r="Z127">
        <v>0</v>
      </c>
      <c r="AA127">
        <v>0</v>
      </c>
      <c r="AB127">
        <v>12</v>
      </c>
      <c r="AD127">
        <v>0</v>
      </c>
      <c r="AE127">
        <v>713.34</v>
      </c>
      <c r="AG127">
        <v>17</v>
      </c>
    </row>
    <row r="128" spans="1:33" x14ac:dyDescent="0.25">
      <c r="A128" t="s">
        <v>2693</v>
      </c>
      <c r="B128" t="s">
        <v>2510</v>
      </c>
      <c r="C128">
        <v>4</v>
      </c>
      <c r="D128" t="s">
        <v>46</v>
      </c>
      <c r="E128">
        <v>12</v>
      </c>
      <c r="K128">
        <v>720.56</v>
      </c>
      <c r="Q128">
        <v>0</v>
      </c>
      <c r="R128">
        <v>0</v>
      </c>
      <c r="Y128">
        <v>0</v>
      </c>
      <c r="Z128">
        <v>0</v>
      </c>
      <c r="AA128">
        <v>0</v>
      </c>
      <c r="AB128">
        <v>12</v>
      </c>
      <c r="AD128">
        <v>0</v>
      </c>
      <c r="AE128">
        <v>748.3599999999999</v>
      </c>
      <c r="AG128">
        <v>17</v>
      </c>
    </row>
    <row r="129" spans="1:33" x14ac:dyDescent="0.25">
      <c r="A129" t="s">
        <v>2693</v>
      </c>
      <c r="B129" t="s">
        <v>2510</v>
      </c>
      <c r="C129">
        <v>5</v>
      </c>
      <c r="D129" t="s">
        <v>45</v>
      </c>
      <c r="E129">
        <v>12</v>
      </c>
      <c r="K129">
        <v>432.72999999999996</v>
      </c>
      <c r="Q129">
        <v>0</v>
      </c>
      <c r="R129">
        <v>0</v>
      </c>
      <c r="Y129">
        <v>0</v>
      </c>
      <c r="Z129">
        <v>0</v>
      </c>
      <c r="AA129">
        <v>0</v>
      </c>
      <c r="AB129">
        <v>24</v>
      </c>
      <c r="AD129">
        <v>0</v>
      </c>
      <c r="AE129">
        <v>457.92999999999995</v>
      </c>
      <c r="AG129">
        <v>17</v>
      </c>
    </row>
    <row r="130" spans="1:33" x14ac:dyDescent="0.25">
      <c r="A130" t="s">
        <v>2693</v>
      </c>
      <c r="B130" t="s">
        <v>2510</v>
      </c>
      <c r="C130">
        <v>5</v>
      </c>
      <c r="D130" t="s">
        <v>46</v>
      </c>
      <c r="E130">
        <v>12</v>
      </c>
      <c r="K130">
        <v>369.06</v>
      </c>
      <c r="Q130">
        <v>0</v>
      </c>
      <c r="R130">
        <v>0</v>
      </c>
      <c r="Y130">
        <v>0</v>
      </c>
      <c r="Z130">
        <v>0</v>
      </c>
      <c r="AA130">
        <v>0</v>
      </c>
      <c r="AB130">
        <v>12</v>
      </c>
      <c r="AD130">
        <v>0</v>
      </c>
      <c r="AE130">
        <v>385.26</v>
      </c>
      <c r="AG130">
        <v>17</v>
      </c>
    </row>
    <row r="131" spans="1:33" x14ac:dyDescent="0.25">
      <c r="A131" t="s">
        <v>2694</v>
      </c>
      <c r="B131" t="s">
        <v>2510</v>
      </c>
      <c r="C131">
        <v>2</v>
      </c>
      <c r="D131" t="s">
        <v>45</v>
      </c>
      <c r="E131">
        <v>12</v>
      </c>
      <c r="K131">
        <v>172.98000000000002</v>
      </c>
      <c r="Q131">
        <v>0</v>
      </c>
      <c r="R131">
        <v>0</v>
      </c>
      <c r="X131">
        <v>30</v>
      </c>
      <c r="Y131">
        <v>30</v>
      </c>
      <c r="Z131">
        <v>0.5</v>
      </c>
      <c r="AA131">
        <v>0.5</v>
      </c>
      <c r="AB131">
        <v>23.5</v>
      </c>
      <c r="AD131">
        <v>0</v>
      </c>
      <c r="AE131">
        <v>187.48000000000002</v>
      </c>
      <c r="AG131">
        <v>17</v>
      </c>
    </row>
    <row r="132" spans="1:33" x14ac:dyDescent="0.25">
      <c r="A132" t="s">
        <v>2694</v>
      </c>
      <c r="B132" t="s">
        <v>2510</v>
      </c>
      <c r="C132">
        <v>2</v>
      </c>
      <c r="D132" t="s">
        <v>46</v>
      </c>
      <c r="E132">
        <v>12</v>
      </c>
      <c r="K132">
        <v>182.29999999999998</v>
      </c>
      <c r="Q132">
        <v>0</v>
      </c>
      <c r="R132">
        <v>0</v>
      </c>
      <c r="Y132">
        <v>0</v>
      </c>
      <c r="Z132">
        <v>0</v>
      </c>
      <c r="AA132">
        <v>0</v>
      </c>
      <c r="AB132">
        <v>12</v>
      </c>
      <c r="AD132">
        <v>0</v>
      </c>
      <c r="AE132">
        <v>191.3</v>
      </c>
      <c r="AG132">
        <v>17</v>
      </c>
    </row>
    <row r="133" spans="1:33" x14ac:dyDescent="0.25">
      <c r="A133" t="s">
        <v>2694</v>
      </c>
      <c r="B133" t="s">
        <v>2510</v>
      </c>
      <c r="C133">
        <v>4</v>
      </c>
      <c r="D133" t="s">
        <v>45</v>
      </c>
      <c r="E133">
        <v>12</v>
      </c>
      <c r="K133">
        <v>512.17999999999995</v>
      </c>
      <c r="Q133">
        <v>0</v>
      </c>
      <c r="R133">
        <v>0</v>
      </c>
      <c r="Y133">
        <v>0</v>
      </c>
      <c r="Z133">
        <v>0</v>
      </c>
      <c r="AA133">
        <v>0</v>
      </c>
      <c r="AB133">
        <v>24</v>
      </c>
      <c r="AD133">
        <v>0</v>
      </c>
      <c r="AE133">
        <v>541.37999999999988</v>
      </c>
      <c r="AG133">
        <v>17</v>
      </c>
    </row>
    <row r="134" spans="1:33" x14ac:dyDescent="0.25">
      <c r="A134" t="s">
        <v>2694</v>
      </c>
      <c r="B134" t="s">
        <v>2510</v>
      </c>
      <c r="C134">
        <v>4</v>
      </c>
      <c r="D134" t="s">
        <v>46</v>
      </c>
      <c r="E134">
        <v>12</v>
      </c>
      <c r="K134">
        <v>483.96</v>
      </c>
      <c r="Q134">
        <v>0</v>
      </c>
      <c r="R134">
        <v>0</v>
      </c>
      <c r="Y134">
        <v>0</v>
      </c>
      <c r="Z134">
        <v>0</v>
      </c>
      <c r="AA134">
        <v>0</v>
      </c>
      <c r="AB134">
        <v>12</v>
      </c>
      <c r="AD134">
        <v>0</v>
      </c>
      <c r="AE134">
        <v>501.76</v>
      </c>
      <c r="AG134">
        <v>17</v>
      </c>
    </row>
    <row r="135" spans="1:33" x14ac:dyDescent="0.25">
      <c r="A135" t="s">
        <v>2694</v>
      </c>
      <c r="B135" t="s">
        <v>2510</v>
      </c>
      <c r="C135">
        <v>5</v>
      </c>
      <c r="D135" t="s">
        <v>45</v>
      </c>
      <c r="E135">
        <v>12</v>
      </c>
      <c r="K135">
        <v>416.9</v>
      </c>
      <c r="N135">
        <v>25</v>
      </c>
      <c r="Q135">
        <v>25</v>
      </c>
      <c r="R135">
        <v>0.41666666666666674</v>
      </c>
      <c r="Y135">
        <v>0</v>
      </c>
      <c r="Z135">
        <v>0</v>
      </c>
      <c r="AA135">
        <v>0.41666666666666674</v>
      </c>
      <c r="AB135">
        <v>35.583333333333336</v>
      </c>
      <c r="AD135">
        <v>0</v>
      </c>
      <c r="AE135">
        <v>445.5</v>
      </c>
      <c r="AG135">
        <v>17</v>
      </c>
    </row>
    <row r="136" spans="1:33" x14ac:dyDescent="0.25">
      <c r="A136" t="s">
        <v>2694</v>
      </c>
      <c r="B136" t="s">
        <v>2510</v>
      </c>
      <c r="C136">
        <v>5</v>
      </c>
      <c r="D136" t="s">
        <v>46</v>
      </c>
      <c r="E136">
        <v>12</v>
      </c>
      <c r="K136">
        <v>412.38000000000005</v>
      </c>
      <c r="Q136">
        <v>0</v>
      </c>
      <c r="R136">
        <v>0</v>
      </c>
      <c r="Y136">
        <v>0</v>
      </c>
      <c r="Z136">
        <v>0</v>
      </c>
      <c r="AA136">
        <v>0</v>
      </c>
      <c r="AB136">
        <v>24</v>
      </c>
      <c r="AD136">
        <v>0</v>
      </c>
      <c r="AE136">
        <v>438.58000000000004</v>
      </c>
      <c r="AG136">
        <v>17</v>
      </c>
    </row>
    <row r="137" spans="1:33" x14ac:dyDescent="0.25">
      <c r="A137" t="s">
        <v>2695</v>
      </c>
      <c r="B137" t="s">
        <v>2510</v>
      </c>
      <c r="C137">
        <v>2</v>
      </c>
      <c r="D137" t="s">
        <v>45</v>
      </c>
      <c r="E137">
        <v>12</v>
      </c>
      <c r="K137">
        <v>113.74000000000001</v>
      </c>
      <c r="O137">
        <v>200</v>
      </c>
      <c r="Q137">
        <v>200</v>
      </c>
      <c r="R137">
        <v>3.3333333333333335</v>
      </c>
      <c r="U137">
        <v>70</v>
      </c>
      <c r="Y137">
        <v>70</v>
      </c>
      <c r="Z137">
        <v>1.1666666666666667</v>
      </c>
      <c r="AA137">
        <v>4.5</v>
      </c>
      <c r="AB137">
        <v>7.5</v>
      </c>
      <c r="AD137">
        <v>0</v>
      </c>
      <c r="AE137">
        <v>121.54</v>
      </c>
      <c r="AG137">
        <v>17</v>
      </c>
    </row>
    <row r="138" spans="1:33" x14ac:dyDescent="0.25">
      <c r="A138" t="s">
        <v>2695</v>
      </c>
      <c r="B138" t="s">
        <v>2510</v>
      </c>
      <c r="C138">
        <v>2</v>
      </c>
      <c r="D138" t="s">
        <v>46</v>
      </c>
      <c r="E138">
        <v>12</v>
      </c>
      <c r="K138">
        <v>141.60999999999999</v>
      </c>
      <c r="Q138">
        <v>0</v>
      </c>
      <c r="R138">
        <v>0</v>
      </c>
      <c r="Y138">
        <v>0</v>
      </c>
      <c r="Z138">
        <v>0</v>
      </c>
      <c r="AA138">
        <v>0</v>
      </c>
      <c r="AB138">
        <v>12</v>
      </c>
      <c r="AD138">
        <v>0</v>
      </c>
      <c r="AE138">
        <v>149.41</v>
      </c>
      <c r="AG138">
        <v>17</v>
      </c>
    </row>
    <row r="139" spans="1:33" x14ac:dyDescent="0.25">
      <c r="A139" t="s">
        <v>2695</v>
      </c>
      <c r="B139" t="s">
        <v>2510</v>
      </c>
      <c r="C139">
        <v>4</v>
      </c>
      <c r="D139" t="s">
        <v>45</v>
      </c>
      <c r="E139">
        <v>12</v>
      </c>
      <c r="K139">
        <v>462.76</v>
      </c>
      <c r="N139">
        <v>25</v>
      </c>
      <c r="Q139">
        <v>25</v>
      </c>
      <c r="R139">
        <v>0.41666666666666674</v>
      </c>
      <c r="Y139">
        <v>0</v>
      </c>
      <c r="Z139">
        <v>0</v>
      </c>
      <c r="AA139">
        <v>0.41666666666666674</v>
      </c>
      <c r="AB139">
        <v>23.583333333333336</v>
      </c>
      <c r="AD139">
        <v>0</v>
      </c>
      <c r="AE139">
        <v>487.16</v>
      </c>
      <c r="AG139">
        <v>17</v>
      </c>
    </row>
    <row r="140" spans="1:33" x14ac:dyDescent="0.25">
      <c r="A140" t="s">
        <v>2695</v>
      </c>
      <c r="B140" t="s">
        <v>2510</v>
      </c>
      <c r="C140">
        <v>4</v>
      </c>
      <c r="D140" t="s">
        <v>46</v>
      </c>
      <c r="E140">
        <v>12</v>
      </c>
      <c r="K140">
        <v>479.48000000000008</v>
      </c>
      <c r="Q140">
        <v>0</v>
      </c>
      <c r="R140">
        <v>0</v>
      </c>
      <c r="Y140">
        <v>0</v>
      </c>
      <c r="Z140">
        <v>0</v>
      </c>
      <c r="AA140">
        <v>0</v>
      </c>
      <c r="AB140">
        <v>24</v>
      </c>
      <c r="AD140">
        <v>0</v>
      </c>
      <c r="AE140">
        <v>511.98000000000008</v>
      </c>
      <c r="AG140">
        <v>17</v>
      </c>
    </row>
    <row r="141" spans="1:33" x14ac:dyDescent="0.25">
      <c r="A141" t="s">
        <v>2695</v>
      </c>
      <c r="B141" t="s">
        <v>2510</v>
      </c>
      <c r="C141">
        <v>5</v>
      </c>
      <c r="D141" t="s">
        <v>45</v>
      </c>
      <c r="E141">
        <v>12</v>
      </c>
      <c r="K141">
        <v>401.34</v>
      </c>
      <c r="Q141">
        <v>0</v>
      </c>
      <c r="R141">
        <v>0</v>
      </c>
      <c r="Y141">
        <v>0</v>
      </c>
      <c r="Z141">
        <v>0</v>
      </c>
      <c r="AA141">
        <v>0</v>
      </c>
      <c r="AB141">
        <v>12</v>
      </c>
      <c r="AD141">
        <v>0</v>
      </c>
      <c r="AE141">
        <v>418.94</v>
      </c>
      <c r="AG141">
        <v>17</v>
      </c>
    </row>
    <row r="142" spans="1:33" x14ac:dyDescent="0.25">
      <c r="A142" t="s">
        <v>2695</v>
      </c>
      <c r="B142" t="s">
        <v>2510</v>
      </c>
      <c r="C142">
        <v>5</v>
      </c>
      <c r="D142" t="s">
        <v>46</v>
      </c>
      <c r="E142">
        <v>12</v>
      </c>
      <c r="K142">
        <v>380.24</v>
      </c>
      <c r="N142">
        <v>25</v>
      </c>
      <c r="Q142">
        <v>25</v>
      </c>
      <c r="R142">
        <v>0.41666666666666674</v>
      </c>
      <c r="Y142">
        <v>0</v>
      </c>
      <c r="Z142">
        <v>0</v>
      </c>
      <c r="AA142">
        <v>0.41666666666666674</v>
      </c>
      <c r="AB142">
        <v>23.583333333333336</v>
      </c>
      <c r="AD142">
        <v>0</v>
      </c>
      <c r="AE142">
        <v>402.24</v>
      </c>
      <c r="AG142">
        <v>17</v>
      </c>
    </row>
    <row r="143" spans="1:33" x14ac:dyDescent="0.25">
      <c r="A143" t="s">
        <v>2696</v>
      </c>
      <c r="B143" t="s">
        <v>2510</v>
      </c>
      <c r="C143">
        <v>2</v>
      </c>
      <c r="D143" t="s">
        <v>45</v>
      </c>
      <c r="E143">
        <v>12</v>
      </c>
      <c r="K143">
        <v>142.18999999999997</v>
      </c>
      <c r="N143">
        <v>20</v>
      </c>
      <c r="Q143">
        <v>20</v>
      </c>
      <c r="R143">
        <v>0.33333333333333331</v>
      </c>
      <c r="Y143">
        <v>0</v>
      </c>
      <c r="Z143">
        <v>0</v>
      </c>
      <c r="AA143">
        <v>0.33333333333333331</v>
      </c>
      <c r="AB143">
        <v>23.666666666666664</v>
      </c>
      <c r="AD143">
        <v>0</v>
      </c>
      <c r="AE143">
        <v>154.88999999999999</v>
      </c>
      <c r="AG143">
        <v>17</v>
      </c>
    </row>
    <row r="144" spans="1:33" x14ac:dyDescent="0.25">
      <c r="A144" t="s">
        <v>2696</v>
      </c>
      <c r="B144" t="s">
        <v>2510</v>
      </c>
      <c r="C144">
        <v>2</v>
      </c>
      <c r="D144" t="s">
        <v>46</v>
      </c>
      <c r="E144">
        <v>12</v>
      </c>
      <c r="K144">
        <v>116.02000000000001</v>
      </c>
      <c r="Q144">
        <v>0</v>
      </c>
      <c r="R144">
        <v>0</v>
      </c>
      <c r="Y144">
        <v>0</v>
      </c>
      <c r="Z144">
        <v>0</v>
      </c>
      <c r="AA144">
        <v>0</v>
      </c>
      <c r="AB144">
        <v>12</v>
      </c>
      <c r="AD144">
        <v>0</v>
      </c>
      <c r="AE144">
        <v>122.82</v>
      </c>
      <c r="AG144">
        <v>17</v>
      </c>
    </row>
    <row r="145" spans="1:33" x14ac:dyDescent="0.25">
      <c r="A145" t="s">
        <v>2696</v>
      </c>
      <c r="B145" t="s">
        <v>2510</v>
      </c>
      <c r="C145">
        <v>4</v>
      </c>
      <c r="D145" t="s">
        <v>45</v>
      </c>
      <c r="E145">
        <v>12</v>
      </c>
      <c r="K145">
        <v>499.8</v>
      </c>
      <c r="N145">
        <v>20</v>
      </c>
      <c r="Q145">
        <v>20</v>
      </c>
      <c r="R145">
        <v>0.33333333333333331</v>
      </c>
      <c r="Y145">
        <v>0</v>
      </c>
      <c r="Z145">
        <v>0</v>
      </c>
      <c r="AA145">
        <v>0.33333333333333331</v>
      </c>
      <c r="AB145">
        <v>23.666666666666664</v>
      </c>
      <c r="AD145">
        <v>0</v>
      </c>
      <c r="AE145">
        <v>527.9</v>
      </c>
      <c r="AG145">
        <v>17</v>
      </c>
    </row>
    <row r="146" spans="1:33" x14ac:dyDescent="0.25">
      <c r="A146" t="s">
        <v>2696</v>
      </c>
      <c r="B146" t="s">
        <v>2510</v>
      </c>
      <c r="C146">
        <v>4</v>
      </c>
      <c r="D146" t="s">
        <v>46</v>
      </c>
      <c r="E146">
        <v>12</v>
      </c>
      <c r="K146">
        <v>421.84000000000003</v>
      </c>
      <c r="N146">
        <v>30</v>
      </c>
      <c r="Q146">
        <v>30</v>
      </c>
      <c r="R146">
        <v>0.5</v>
      </c>
      <c r="Y146">
        <v>0</v>
      </c>
      <c r="Z146">
        <v>0</v>
      </c>
      <c r="AA146">
        <v>0.5</v>
      </c>
      <c r="AB146">
        <v>47.5</v>
      </c>
      <c r="AD146">
        <v>0</v>
      </c>
      <c r="AE146">
        <v>456.94</v>
      </c>
      <c r="AG146">
        <v>17</v>
      </c>
    </row>
    <row r="147" spans="1:33" x14ac:dyDescent="0.25">
      <c r="A147" t="s">
        <v>2696</v>
      </c>
      <c r="B147" t="s">
        <v>2510</v>
      </c>
      <c r="C147">
        <v>5</v>
      </c>
      <c r="D147" t="s">
        <v>45</v>
      </c>
      <c r="E147">
        <v>12</v>
      </c>
      <c r="K147">
        <v>438.69999999999993</v>
      </c>
      <c r="Q147">
        <v>0</v>
      </c>
      <c r="R147">
        <v>0</v>
      </c>
      <c r="Y147">
        <v>0</v>
      </c>
      <c r="Z147">
        <v>0</v>
      </c>
      <c r="AA147">
        <v>0</v>
      </c>
      <c r="AB147">
        <v>12</v>
      </c>
      <c r="AD147">
        <v>0</v>
      </c>
      <c r="AE147">
        <v>453.2999999999999</v>
      </c>
      <c r="AG147">
        <v>17</v>
      </c>
    </row>
    <row r="148" spans="1:33" x14ac:dyDescent="0.25">
      <c r="A148" t="s">
        <v>2696</v>
      </c>
      <c r="B148" t="s">
        <v>2510</v>
      </c>
      <c r="C148">
        <v>5</v>
      </c>
      <c r="D148" t="s">
        <v>46</v>
      </c>
      <c r="E148">
        <v>12</v>
      </c>
      <c r="K148">
        <v>386.36</v>
      </c>
      <c r="Q148">
        <v>0</v>
      </c>
      <c r="R148">
        <v>0</v>
      </c>
      <c r="Y148">
        <v>0</v>
      </c>
      <c r="Z148">
        <v>0</v>
      </c>
      <c r="AA148">
        <v>0</v>
      </c>
      <c r="AB148">
        <v>12</v>
      </c>
      <c r="AD148">
        <v>0</v>
      </c>
      <c r="AE148">
        <v>400.96</v>
      </c>
      <c r="AG148">
        <v>17</v>
      </c>
    </row>
    <row r="149" spans="1:33" x14ac:dyDescent="0.25">
      <c r="A149" t="s">
        <v>2697</v>
      </c>
      <c r="B149" t="s">
        <v>2510</v>
      </c>
      <c r="C149">
        <v>2</v>
      </c>
      <c r="D149" t="s">
        <v>45</v>
      </c>
      <c r="E149">
        <v>12</v>
      </c>
      <c r="K149">
        <v>131.42000000000002</v>
      </c>
      <c r="N149">
        <v>30</v>
      </c>
      <c r="Q149">
        <v>30</v>
      </c>
      <c r="R149">
        <v>0.5</v>
      </c>
      <c r="Y149">
        <v>0</v>
      </c>
      <c r="Z149">
        <v>0</v>
      </c>
      <c r="AA149">
        <v>0.5</v>
      </c>
      <c r="AB149">
        <v>23.5</v>
      </c>
      <c r="AD149">
        <v>0</v>
      </c>
      <c r="AE149">
        <v>144.22</v>
      </c>
      <c r="AG149">
        <v>17</v>
      </c>
    </row>
    <row r="150" spans="1:33" x14ac:dyDescent="0.25">
      <c r="A150" t="s">
        <v>2697</v>
      </c>
      <c r="B150" t="s">
        <v>2510</v>
      </c>
      <c r="C150">
        <v>2</v>
      </c>
      <c r="D150" t="s">
        <v>46</v>
      </c>
      <c r="E150">
        <v>12</v>
      </c>
      <c r="K150">
        <v>134.34</v>
      </c>
      <c r="Q150">
        <v>0</v>
      </c>
      <c r="R150">
        <v>0</v>
      </c>
      <c r="Y150">
        <v>0</v>
      </c>
      <c r="Z150">
        <v>0</v>
      </c>
      <c r="AA150">
        <v>0</v>
      </c>
      <c r="AB150">
        <v>12</v>
      </c>
      <c r="AD150">
        <v>0</v>
      </c>
      <c r="AE150">
        <v>142.84</v>
      </c>
      <c r="AG150">
        <v>17</v>
      </c>
    </row>
    <row r="151" spans="1:33" x14ac:dyDescent="0.25">
      <c r="A151" t="s">
        <v>2697</v>
      </c>
      <c r="B151" t="s">
        <v>2510</v>
      </c>
      <c r="C151">
        <v>4</v>
      </c>
      <c r="D151" t="s">
        <v>45</v>
      </c>
      <c r="E151">
        <v>12</v>
      </c>
      <c r="K151">
        <v>48.1</v>
      </c>
      <c r="Q151">
        <v>0</v>
      </c>
      <c r="R151">
        <v>0</v>
      </c>
      <c r="W151">
        <v>540</v>
      </c>
      <c r="Y151">
        <v>540</v>
      </c>
      <c r="Z151">
        <v>9</v>
      </c>
      <c r="AA151">
        <v>9</v>
      </c>
      <c r="AB151">
        <v>3</v>
      </c>
      <c r="AD151">
        <v>0</v>
      </c>
      <c r="AE151">
        <v>55.2</v>
      </c>
      <c r="AG151">
        <v>17</v>
      </c>
    </row>
    <row r="152" spans="1:33" x14ac:dyDescent="0.25">
      <c r="A152" t="s">
        <v>2697</v>
      </c>
      <c r="B152" t="s">
        <v>2510</v>
      </c>
      <c r="C152">
        <v>5</v>
      </c>
      <c r="D152" t="s">
        <v>45</v>
      </c>
      <c r="E152">
        <v>12</v>
      </c>
      <c r="K152">
        <v>474.38</v>
      </c>
      <c r="Q152">
        <v>0</v>
      </c>
      <c r="R152">
        <v>0</v>
      </c>
      <c r="Y152">
        <v>0</v>
      </c>
      <c r="Z152">
        <v>0</v>
      </c>
      <c r="AA152">
        <v>0</v>
      </c>
      <c r="AB152">
        <v>12</v>
      </c>
      <c r="AD152">
        <v>0</v>
      </c>
      <c r="AE152">
        <v>489.68</v>
      </c>
      <c r="AG152">
        <v>17</v>
      </c>
    </row>
    <row r="153" spans="1:33" x14ac:dyDescent="0.25">
      <c r="A153" t="s">
        <v>2697</v>
      </c>
      <c r="B153" t="s">
        <v>2510</v>
      </c>
      <c r="C153">
        <v>5</v>
      </c>
      <c r="D153" t="s">
        <v>46</v>
      </c>
      <c r="E153">
        <v>12</v>
      </c>
      <c r="K153">
        <v>393.72</v>
      </c>
      <c r="Q153">
        <v>0</v>
      </c>
      <c r="R153">
        <v>0</v>
      </c>
      <c r="Y153">
        <v>0</v>
      </c>
      <c r="Z153">
        <v>0</v>
      </c>
      <c r="AA153">
        <v>0</v>
      </c>
      <c r="AB153">
        <v>24</v>
      </c>
      <c r="AD153">
        <v>0</v>
      </c>
      <c r="AE153">
        <v>413.32</v>
      </c>
      <c r="AG153">
        <v>17</v>
      </c>
    </row>
    <row r="154" spans="1:33" x14ac:dyDescent="0.25">
      <c r="A154" t="s">
        <v>2698</v>
      </c>
      <c r="B154" t="s">
        <v>2510</v>
      </c>
      <c r="C154">
        <v>2</v>
      </c>
      <c r="D154" t="s">
        <v>45</v>
      </c>
      <c r="E154">
        <v>12</v>
      </c>
      <c r="K154">
        <v>173.39000000000001</v>
      </c>
      <c r="Q154">
        <v>0</v>
      </c>
      <c r="R154">
        <v>0</v>
      </c>
      <c r="Y154">
        <v>0</v>
      </c>
      <c r="Z154">
        <v>0</v>
      </c>
      <c r="AA154">
        <v>0</v>
      </c>
      <c r="AB154">
        <v>12</v>
      </c>
      <c r="AD154">
        <v>0</v>
      </c>
      <c r="AE154">
        <v>182.89</v>
      </c>
      <c r="AG154">
        <v>17</v>
      </c>
    </row>
    <row r="155" spans="1:33" x14ac:dyDescent="0.25">
      <c r="A155" t="s">
        <v>2698</v>
      </c>
      <c r="B155" t="s">
        <v>2510</v>
      </c>
      <c r="C155">
        <v>2</v>
      </c>
      <c r="D155" t="s">
        <v>46</v>
      </c>
      <c r="E155">
        <v>12</v>
      </c>
      <c r="K155">
        <v>150.99</v>
      </c>
      <c r="Q155">
        <v>0</v>
      </c>
      <c r="R155">
        <v>0</v>
      </c>
      <c r="Y155">
        <v>0</v>
      </c>
      <c r="Z155">
        <v>0</v>
      </c>
      <c r="AA155">
        <v>0</v>
      </c>
      <c r="AB155">
        <v>12</v>
      </c>
      <c r="AD155">
        <v>0</v>
      </c>
      <c r="AE155">
        <v>163.19</v>
      </c>
      <c r="AG155">
        <v>17</v>
      </c>
    </row>
    <row r="156" spans="1:33" x14ac:dyDescent="0.25">
      <c r="A156" t="s">
        <v>2698</v>
      </c>
      <c r="B156" t="s">
        <v>2510</v>
      </c>
      <c r="C156">
        <v>4</v>
      </c>
      <c r="D156" t="s">
        <v>45</v>
      </c>
      <c r="E156">
        <v>12</v>
      </c>
      <c r="K156">
        <v>344.21999999999997</v>
      </c>
      <c r="N156">
        <v>30</v>
      </c>
      <c r="O156">
        <v>180</v>
      </c>
      <c r="Q156">
        <v>210</v>
      </c>
      <c r="R156">
        <v>3.5</v>
      </c>
      <c r="Y156">
        <v>0</v>
      </c>
      <c r="Z156">
        <v>0</v>
      </c>
      <c r="AA156">
        <v>3.5</v>
      </c>
      <c r="AB156">
        <v>20.5</v>
      </c>
      <c r="AD156">
        <v>0</v>
      </c>
      <c r="AE156">
        <v>368.57</v>
      </c>
      <c r="AG156">
        <v>17</v>
      </c>
    </row>
    <row r="157" spans="1:33" x14ac:dyDescent="0.25">
      <c r="A157" t="s">
        <v>2698</v>
      </c>
      <c r="B157" t="s">
        <v>2510</v>
      </c>
      <c r="C157">
        <v>4</v>
      </c>
      <c r="D157" t="s">
        <v>46</v>
      </c>
      <c r="E157">
        <v>12</v>
      </c>
      <c r="K157">
        <v>460.11999999999995</v>
      </c>
      <c r="Q157">
        <v>0</v>
      </c>
      <c r="R157">
        <v>0</v>
      </c>
      <c r="Y157">
        <v>0</v>
      </c>
      <c r="Z157">
        <v>0</v>
      </c>
      <c r="AA157">
        <v>0</v>
      </c>
      <c r="AB157">
        <v>12</v>
      </c>
      <c r="AD157">
        <v>0</v>
      </c>
      <c r="AE157">
        <v>480.42</v>
      </c>
      <c r="AG157">
        <v>17</v>
      </c>
    </row>
    <row r="158" spans="1:33" x14ac:dyDescent="0.25">
      <c r="A158" t="s">
        <v>2698</v>
      </c>
      <c r="B158" t="s">
        <v>2510</v>
      </c>
      <c r="C158">
        <v>5</v>
      </c>
      <c r="D158" t="s">
        <v>45</v>
      </c>
      <c r="E158">
        <v>12</v>
      </c>
      <c r="K158">
        <v>401.79999999999995</v>
      </c>
      <c r="N158">
        <v>20</v>
      </c>
      <c r="Q158">
        <v>20</v>
      </c>
      <c r="R158">
        <v>0.33333333333333331</v>
      </c>
      <c r="Y158">
        <v>0</v>
      </c>
      <c r="Z158">
        <v>0</v>
      </c>
      <c r="AA158">
        <v>0.33333333333333331</v>
      </c>
      <c r="AB158">
        <v>11.666666666666666</v>
      </c>
      <c r="AD158">
        <v>0</v>
      </c>
      <c r="AE158">
        <v>416.4</v>
      </c>
      <c r="AG158">
        <v>17</v>
      </c>
    </row>
    <row r="159" spans="1:33" x14ac:dyDescent="0.25">
      <c r="A159" t="s">
        <v>2698</v>
      </c>
      <c r="B159" t="s">
        <v>2510</v>
      </c>
      <c r="C159">
        <v>5</v>
      </c>
      <c r="D159" t="s">
        <v>46</v>
      </c>
      <c r="E159">
        <v>12</v>
      </c>
      <c r="K159">
        <v>376.12</v>
      </c>
      <c r="Q159">
        <v>0</v>
      </c>
      <c r="R159">
        <v>0</v>
      </c>
      <c r="Y159">
        <v>0</v>
      </c>
      <c r="Z159">
        <v>0</v>
      </c>
      <c r="AA159">
        <v>0</v>
      </c>
      <c r="AB159">
        <v>12</v>
      </c>
      <c r="AD159">
        <v>0</v>
      </c>
      <c r="AE159">
        <v>391.92</v>
      </c>
      <c r="AG159">
        <v>17</v>
      </c>
    </row>
    <row r="160" spans="1:33" x14ac:dyDescent="0.25">
      <c r="A160" t="s">
        <v>2699</v>
      </c>
      <c r="B160" t="s">
        <v>2510</v>
      </c>
      <c r="C160">
        <v>2</v>
      </c>
      <c r="D160" t="s">
        <v>45</v>
      </c>
      <c r="E160">
        <v>12</v>
      </c>
      <c r="K160">
        <v>159.74</v>
      </c>
      <c r="Q160">
        <v>0</v>
      </c>
      <c r="R160">
        <v>0</v>
      </c>
      <c r="Y160">
        <v>0</v>
      </c>
      <c r="Z160">
        <v>0</v>
      </c>
      <c r="AA160">
        <v>0</v>
      </c>
      <c r="AB160">
        <v>12</v>
      </c>
      <c r="AD160">
        <v>0</v>
      </c>
      <c r="AE160">
        <v>168.74</v>
      </c>
      <c r="AG160">
        <v>17</v>
      </c>
    </row>
    <row r="161" spans="1:33" x14ac:dyDescent="0.25">
      <c r="A161" t="s">
        <v>2699</v>
      </c>
      <c r="B161" t="s">
        <v>2510</v>
      </c>
      <c r="C161">
        <v>2</v>
      </c>
      <c r="D161" t="s">
        <v>46</v>
      </c>
      <c r="E161">
        <v>12</v>
      </c>
      <c r="K161">
        <v>164.17999999999998</v>
      </c>
      <c r="Q161">
        <v>0</v>
      </c>
      <c r="R161">
        <v>0</v>
      </c>
      <c r="Y161">
        <v>0</v>
      </c>
      <c r="Z161">
        <v>0</v>
      </c>
      <c r="AA161">
        <v>0</v>
      </c>
      <c r="AB161">
        <v>12</v>
      </c>
      <c r="AD161">
        <v>0</v>
      </c>
      <c r="AE161">
        <v>173.17999999999998</v>
      </c>
      <c r="AG161">
        <v>17</v>
      </c>
    </row>
    <row r="162" spans="1:33" x14ac:dyDescent="0.25">
      <c r="A162" t="s">
        <v>2699</v>
      </c>
      <c r="B162" t="s">
        <v>2510</v>
      </c>
      <c r="C162">
        <v>4</v>
      </c>
      <c r="D162" t="s">
        <v>45</v>
      </c>
      <c r="E162">
        <v>12</v>
      </c>
      <c r="K162">
        <v>504.74</v>
      </c>
      <c r="Q162">
        <v>0</v>
      </c>
      <c r="R162">
        <v>0</v>
      </c>
      <c r="Y162">
        <v>0</v>
      </c>
      <c r="Z162">
        <v>0</v>
      </c>
      <c r="AA162">
        <v>0</v>
      </c>
      <c r="AB162">
        <v>24</v>
      </c>
      <c r="AD162">
        <v>0</v>
      </c>
      <c r="AE162">
        <v>531.74</v>
      </c>
      <c r="AG162">
        <v>17</v>
      </c>
    </row>
    <row r="163" spans="1:33" x14ac:dyDescent="0.25">
      <c r="A163" t="s">
        <v>2699</v>
      </c>
      <c r="B163" t="s">
        <v>2510</v>
      </c>
      <c r="C163">
        <v>4</v>
      </c>
      <c r="D163" t="s">
        <v>46</v>
      </c>
      <c r="E163">
        <v>12</v>
      </c>
      <c r="K163">
        <v>549.40000000000009</v>
      </c>
      <c r="N163">
        <v>25</v>
      </c>
      <c r="Q163">
        <v>25</v>
      </c>
      <c r="R163">
        <v>0.41666666666666674</v>
      </c>
      <c r="Y163">
        <v>0</v>
      </c>
      <c r="Z163">
        <v>0</v>
      </c>
      <c r="AA163">
        <v>0.41666666666666674</v>
      </c>
      <c r="AB163">
        <v>23.583333333333336</v>
      </c>
      <c r="AD163">
        <v>0</v>
      </c>
      <c r="AE163">
        <v>579.70000000000016</v>
      </c>
      <c r="AG163">
        <v>17</v>
      </c>
    </row>
    <row r="164" spans="1:33" x14ac:dyDescent="0.25">
      <c r="A164" t="s">
        <v>2699</v>
      </c>
      <c r="B164" t="s">
        <v>2510</v>
      </c>
      <c r="C164">
        <v>5</v>
      </c>
      <c r="D164" t="s">
        <v>45</v>
      </c>
      <c r="E164">
        <v>12</v>
      </c>
      <c r="K164">
        <v>369.15999999999997</v>
      </c>
      <c r="N164">
        <v>25</v>
      </c>
      <c r="Q164">
        <v>25</v>
      </c>
      <c r="R164">
        <v>0.41666666666666674</v>
      </c>
      <c r="Y164">
        <v>0</v>
      </c>
      <c r="Z164">
        <v>0</v>
      </c>
      <c r="AA164">
        <v>0.41666666666666674</v>
      </c>
      <c r="AB164">
        <v>59.583333333333336</v>
      </c>
      <c r="AD164">
        <v>0</v>
      </c>
      <c r="AE164">
        <v>409.55999999999995</v>
      </c>
      <c r="AG164">
        <v>17</v>
      </c>
    </row>
    <row r="165" spans="1:33" x14ac:dyDescent="0.25">
      <c r="A165" t="s">
        <v>2699</v>
      </c>
      <c r="B165" t="s">
        <v>2510</v>
      </c>
      <c r="C165">
        <v>5</v>
      </c>
      <c r="D165" t="s">
        <v>46</v>
      </c>
      <c r="E165">
        <v>12</v>
      </c>
      <c r="K165">
        <v>313.53999999999996</v>
      </c>
      <c r="Q165">
        <v>0</v>
      </c>
      <c r="R165">
        <v>0</v>
      </c>
      <c r="Y165">
        <v>0</v>
      </c>
      <c r="Z165">
        <v>0</v>
      </c>
      <c r="AA165">
        <v>0</v>
      </c>
      <c r="AB165">
        <v>12</v>
      </c>
      <c r="AD165">
        <v>0</v>
      </c>
      <c r="AE165">
        <v>327.14</v>
      </c>
      <c r="AG165">
        <v>17</v>
      </c>
    </row>
    <row r="166" spans="1:33" x14ac:dyDescent="0.25">
      <c r="A166" t="s">
        <v>2767</v>
      </c>
      <c r="B166" t="s">
        <v>2510</v>
      </c>
      <c r="C166">
        <v>1</v>
      </c>
      <c r="D166" t="s">
        <v>45</v>
      </c>
      <c r="E166">
        <v>12</v>
      </c>
      <c r="K166">
        <v>67.77000000000001</v>
      </c>
      <c r="O166">
        <v>330</v>
      </c>
      <c r="Q166">
        <v>330</v>
      </c>
      <c r="R166">
        <v>5.5</v>
      </c>
      <c r="X166">
        <v>30</v>
      </c>
      <c r="Y166">
        <v>30</v>
      </c>
      <c r="Z166">
        <v>0.5</v>
      </c>
      <c r="AA166">
        <v>6</v>
      </c>
      <c r="AB166">
        <v>6</v>
      </c>
      <c r="AD166">
        <v>0</v>
      </c>
      <c r="AE166">
        <v>74.37</v>
      </c>
      <c r="AG166">
        <v>18</v>
      </c>
    </row>
    <row r="167" spans="1:33" x14ac:dyDescent="0.25">
      <c r="A167" t="s">
        <v>2767</v>
      </c>
      <c r="B167" t="s">
        <v>2510</v>
      </c>
      <c r="C167">
        <v>1</v>
      </c>
      <c r="D167" t="s">
        <v>46</v>
      </c>
      <c r="E167">
        <v>12</v>
      </c>
      <c r="K167">
        <v>139.21999999999997</v>
      </c>
      <c r="Q167">
        <v>0</v>
      </c>
      <c r="R167">
        <v>0</v>
      </c>
      <c r="Y167">
        <v>0</v>
      </c>
      <c r="Z167">
        <v>0</v>
      </c>
      <c r="AA167">
        <v>0</v>
      </c>
      <c r="AB167">
        <v>12</v>
      </c>
      <c r="AD167">
        <v>0</v>
      </c>
      <c r="AE167">
        <v>147.01999999999998</v>
      </c>
      <c r="AG167">
        <v>18</v>
      </c>
    </row>
    <row r="168" spans="1:33" x14ac:dyDescent="0.25">
      <c r="A168" t="s">
        <v>2767</v>
      </c>
      <c r="B168" t="s">
        <v>2510</v>
      </c>
      <c r="C168">
        <v>2</v>
      </c>
      <c r="D168" t="s">
        <v>45</v>
      </c>
      <c r="E168">
        <v>12</v>
      </c>
      <c r="K168">
        <v>184.57</v>
      </c>
      <c r="Q168">
        <v>0</v>
      </c>
      <c r="R168">
        <v>0</v>
      </c>
      <c r="Y168">
        <v>0</v>
      </c>
      <c r="Z168">
        <v>0</v>
      </c>
      <c r="AA168">
        <v>0</v>
      </c>
      <c r="AB168">
        <v>12</v>
      </c>
      <c r="AD168">
        <v>0</v>
      </c>
      <c r="AE168">
        <v>195.07</v>
      </c>
      <c r="AG168">
        <v>18</v>
      </c>
    </row>
    <row r="169" spans="1:33" x14ac:dyDescent="0.25">
      <c r="A169" t="s">
        <v>2767</v>
      </c>
      <c r="B169" t="s">
        <v>2510</v>
      </c>
      <c r="C169">
        <v>2</v>
      </c>
      <c r="D169" t="s">
        <v>46</v>
      </c>
      <c r="E169">
        <v>12</v>
      </c>
      <c r="K169">
        <v>153.96</v>
      </c>
      <c r="Q169">
        <v>0</v>
      </c>
      <c r="R169">
        <v>0</v>
      </c>
      <c r="Y169">
        <v>0</v>
      </c>
      <c r="Z169">
        <v>0</v>
      </c>
      <c r="AA169">
        <v>0</v>
      </c>
      <c r="AB169">
        <v>12</v>
      </c>
      <c r="AD169">
        <v>0</v>
      </c>
      <c r="AE169">
        <v>162.96</v>
      </c>
      <c r="AG169">
        <v>18</v>
      </c>
    </row>
    <row r="170" spans="1:33" x14ac:dyDescent="0.25">
      <c r="A170" t="s">
        <v>2767</v>
      </c>
      <c r="B170" t="s">
        <v>2510</v>
      </c>
      <c r="C170">
        <v>4</v>
      </c>
      <c r="D170" t="s">
        <v>45</v>
      </c>
      <c r="E170">
        <v>12</v>
      </c>
      <c r="K170">
        <v>470.45000000000005</v>
      </c>
      <c r="Q170">
        <v>0</v>
      </c>
      <c r="R170">
        <v>0</v>
      </c>
      <c r="Y170">
        <v>0</v>
      </c>
      <c r="Z170">
        <v>0</v>
      </c>
      <c r="AA170">
        <v>0</v>
      </c>
      <c r="AB170">
        <v>12</v>
      </c>
      <c r="AD170">
        <v>0</v>
      </c>
      <c r="AE170">
        <v>491.4500000000001</v>
      </c>
      <c r="AG170">
        <v>18</v>
      </c>
    </row>
    <row r="171" spans="1:33" x14ac:dyDescent="0.25">
      <c r="A171" t="s">
        <v>2767</v>
      </c>
      <c r="B171" t="s">
        <v>2510</v>
      </c>
      <c r="C171">
        <v>4</v>
      </c>
      <c r="D171" t="s">
        <v>46</v>
      </c>
      <c r="E171">
        <v>12</v>
      </c>
      <c r="K171">
        <v>461.84</v>
      </c>
      <c r="Q171">
        <v>0</v>
      </c>
      <c r="R171">
        <v>0</v>
      </c>
      <c r="Y171">
        <v>0</v>
      </c>
      <c r="Z171">
        <v>0</v>
      </c>
      <c r="AA171">
        <v>0</v>
      </c>
      <c r="AB171">
        <v>24</v>
      </c>
      <c r="AD171">
        <v>0</v>
      </c>
      <c r="AE171">
        <v>484.63999999999993</v>
      </c>
      <c r="AG171">
        <v>18</v>
      </c>
    </row>
    <row r="172" spans="1:33" x14ac:dyDescent="0.25">
      <c r="A172" t="s">
        <v>2767</v>
      </c>
      <c r="B172" t="s">
        <v>2510</v>
      </c>
      <c r="C172">
        <v>5</v>
      </c>
      <c r="D172" t="s">
        <v>45</v>
      </c>
      <c r="E172">
        <v>12</v>
      </c>
      <c r="K172">
        <v>367.08</v>
      </c>
      <c r="Q172">
        <v>0</v>
      </c>
      <c r="R172">
        <v>0</v>
      </c>
      <c r="Y172">
        <v>0</v>
      </c>
      <c r="Z172">
        <v>0</v>
      </c>
      <c r="AA172">
        <v>0</v>
      </c>
      <c r="AB172">
        <v>12</v>
      </c>
      <c r="AD172">
        <v>0</v>
      </c>
      <c r="AE172">
        <v>380.88</v>
      </c>
      <c r="AG172">
        <v>18</v>
      </c>
    </row>
    <row r="173" spans="1:33" x14ac:dyDescent="0.25">
      <c r="A173" t="s">
        <v>2767</v>
      </c>
      <c r="B173" t="s">
        <v>2510</v>
      </c>
      <c r="C173">
        <v>5</v>
      </c>
      <c r="D173" t="s">
        <v>46</v>
      </c>
      <c r="E173">
        <v>12</v>
      </c>
      <c r="K173">
        <v>331.15999999999997</v>
      </c>
      <c r="Q173">
        <v>0</v>
      </c>
      <c r="R173">
        <v>0</v>
      </c>
      <c r="Y173">
        <v>0</v>
      </c>
      <c r="Z173">
        <v>0</v>
      </c>
      <c r="AA173">
        <v>0</v>
      </c>
      <c r="AB173">
        <v>12</v>
      </c>
      <c r="AD173">
        <v>0</v>
      </c>
      <c r="AE173">
        <v>342.55999999999995</v>
      </c>
      <c r="AG173">
        <v>18</v>
      </c>
    </row>
    <row r="174" spans="1:33" x14ac:dyDescent="0.25">
      <c r="A174" t="s">
        <v>2768</v>
      </c>
      <c r="B174" t="s">
        <v>2510</v>
      </c>
      <c r="C174">
        <v>1</v>
      </c>
      <c r="D174" t="s">
        <v>45</v>
      </c>
      <c r="E174">
        <v>12</v>
      </c>
      <c r="K174">
        <v>161.99</v>
      </c>
      <c r="Q174">
        <v>0</v>
      </c>
      <c r="R174">
        <v>0</v>
      </c>
      <c r="Y174">
        <v>0</v>
      </c>
      <c r="Z174">
        <v>0</v>
      </c>
      <c r="AA174">
        <v>0</v>
      </c>
      <c r="AB174">
        <v>12</v>
      </c>
      <c r="AD174">
        <v>0</v>
      </c>
      <c r="AE174">
        <v>170.19</v>
      </c>
      <c r="AG174">
        <v>18</v>
      </c>
    </row>
    <row r="175" spans="1:33" x14ac:dyDescent="0.25">
      <c r="A175" t="s">
        <v>2768</v>
      </c>
      <c r="B175" t="s">
        <v>2510</v>
      </c>
      <c r="C175">
        <v>1</v>
      </c>
      <c r="D175" t="s">
        <v>46</v>
      </c>
      <c r="E175">
        <v>12</v>
      </c>
      <c r="K175">
        <v>164.91</v>
      </c>
      <c r="Q175">
        <v>0</v>
      </c>
      <c r="R175">
        <v>0</v>
      </c>
      <c r="Y175">
        <v>0</v>
      </c>
      <c r="Z175">
        <v>0</v>
      </c>
      <c r="AA175">
        <v>0</v>
      </c>
      <c r="AB175">
        <v>24</v>
      </c>
      <c r="AD175">
        <v>0</v>
      </c>
      <c r="AE175">
        <v>178.91</v>
      </c>
      <c r="AG175">
        <v>18</v>
      </c>
    </row>
    <row r="176" spans="1:33" x14ac:dyDescent="0.25">
      <c r="A176" t="s">
        <v>2768</v>
      </c>
      <c r="B176" t="s">
        <v>2510</v>
      </c>
      <c r="C176">
        <v>2</v>
      </c>
      <c r="D176" t="s">
        <v>45</v>
      </c>
      <c r="E176">
        <v>12</v>
      </c>
      <c r="K176">
        <v>153.63</v>
      </c>
      <c r="Q176">
        <v>0</v>
      </c>
      <c r="R176">
        <v>0</v>
      </c>
      <c r="Y176">
        <v>0</v>
      </c>
      <c r="Z176">
        <v>0</v>
      </c>
      <c r="AA176">
        <v>0</v>
      </c>
      <c r="AB176">
        <v>24</v>
      </c>
      <c r="AD176">
        <v>0</v>
      </c>
      <c r="AE176">
        <v>168.13</v>
      </c>
      <c r="AG176">
        <v>18</v>
      </c>
    </row>
    <row r="177" spans="1:33" x14ac:dyDescent="0.25">
      <c r="A177" t="s">
        <v>2768</v>
      </c>
      <c r="B177" t="s">
        <v>2510</v>
      </c>
      <c r="C177">
        <v>2</v>
      </c>
      <c r="D177" t="s">
        <v>46</v>
      </c>
      <c r="E177">
        <v>12</v>
      </c>
      <c r="K177">
        <v>139.99</v>
      </c>
      <c r="N177">
        <v>25</v>
      </c>
      <c r="Q177">
        <v>25</v>
      </c>
      <c r="R177">
        <v>0.41666666666666674</v>
      </c>
      <c r="Y177">
        <v>0</v>
      </c>
      <c r="Z177">
        <v>0</v>
      </c>
      <c r="AA177">
        <v>0.41666666666666674</v>
      </c>
      <c r="AB177">
        <v>35.583333333333336</v>
      </c>
      <c r="AD177">
        <v>0</v>
      </c>
      <c r="AE177">
        <v>160.19</v>
      </c>
      <c r="AG177">
        <v>18</v>
      </c>
    </row>
    <row r="178" spans="1:33" x14ac:dyDescent="0.25">
      <c r="A178" t="s">
        <v>2768</v>
      </c>
      <c r="B178" t="s">
        <v>2510</v>
      </c>
      <c r="C178">
        <v>4</v>
      </c>
      <c r="D178" t="s">
        <v>45</v>
      </c>
      <c r="E178">
        <v>12</v>
      </c>
      <c r="K178">
        <v>524.6</v>
      </c>
      <c r="N178">
        <v>30</v>
      </c>
      <c r="Q178">
        <v>30</v>
      </c>
      <c r="R178">
        <v>0.5</v>
      </c>
      <c r="Y178">
        <v>0</v>
      </c>
      <c r="Z178">
        <v>0</v>
      </c>
      <c r="AA178">
        <v>0.5</v>
      </c>
      <c r="AB178">
        <v>23.5</v>
      </c>
      <c r="AD178">
        <v>0</v>
      </c>
      <c r="AE178">
        <v>555.4</v>
      </c>
      <c r="AG178">
        <v>18</v>
      </c>
    </row>
    <row r="179" spans="1:33" x14ac:dyDescent="0.25">
      <c r="A179" t="s">
        <v>2768</v>
      </c>
      <c r="B179" t="s">
        <v>2510</v>
      </c>
      <c r="C179">
        <v>4</v>
      </c>
      <c r="D179" t="s">
        <v>46</v>
      </c>
      <c r="E179">
        <v>12</v>
      </c>
      <c r="K179">
        <v>409.96</v>
      </c>
      <c r="Q179">
        <v>0</v>
      </c>
      <c r="R179">
        <v>0</v>
      </c>
      <c r="U179">
        <v>60</v>
      </c>
      <c r="Y179">
        <v>60</v>
      </c>
      <c r="Z179">
        <v>1</v>
      </c>
      <c r="AA179">
        <v>1</v>
      </c>
      <c r="AB179">
        <v>11</v>
      </c>
      <c r="AD179">
        <v>0</v>
      </c>
      <c r="AE179">
        <v>428.96</v>
      </c>
      <c r="AG179">
        <v>18</v>
      </c>
    </row>
    <row r="180" spans="1:33" x14ac:dyDescent="0.25">
      <c r="A180" t="s">
        <v>2768</v>
      </c>
      <c r="B180" t="s">
        <v>2510</v>
      </c>
      <c r="C180">
        <v>5</v>
      </c>
      <c r="D180" t="s">
        <v>45</v>
      </c>
      <c r="E180">
        <v>12</v>
      </c>
      <c r="K180">
        <v>340.82</v>
      </c>
      <c r="Q180">
        <v>0</v>
      </c>
      <c r="R180">
        <v>0</v>
      </c>
      <c r="Y180">
        <v>0</v>
      </c>
      <c r="Z180">
        <v>0</v>
      </c>
      <c r="AA180">
        <v>0</v>
      </c>
      <c r="AB180">
        <v>12</v>
      </c>
      <c r="AD180">
        <v>0</v>
      </c>
      <c r="AE180">
        <v>353.02</v>
      </c>
      <c r="AG180">
        <v>18</v>
      </c>
    </row>
    <row r="181" spans="1:33" x14ac:dyDescent="0.25">
      <c r="A181" t="s">
        <v>2768</v>
      </c>
      <c r="B181" t="s">
        <v>2510</v>
      </c>
      <c r="C181">
        <v>5</v>
      </c>
      <c r="D181" t="s">
        <v>46</v>
      </c>
      <c r="E181">
        <v>12</v>
      </c>
      <c r="K181">
        <v>320.35999999999996</v>
      </c>
      <c r="Q181">
        <v>0</v>
      </c>
      <c r="R181">
        <v>0</v>
      </c>
      <c r="U181">
        <v>60</v>
      </c>
      <c r="Y181">
        <v>60</v>
      </c>
      <c r="Z181">
        <v>1</v>
      </c>
      <c r="AA181">
        <v>1</v>
      </c>
      <c r="AB181">
        <v>23</v>
      </c>
      <c r="AD181">
        <v>0</v>
      </c>
      <c r="AE181">
        <v>336.46</v>
      </c>
      <c r="AG181">
        <v>18</v>
      </c>
    </row>
    <row r="182" spans="1:33" x14ac:dyDescent="0.25">
      <c r="A182" t="s">
        <v>2769</v>
      </c>
      <c r="B182" t="s">
        <v>2510</v>
      </c>
      <c r="C182">
        <v>1</v>
      </c>
      <c r="D182" t="s">
        <v>45</v>
      </c>
      <c r="E182">
        <v>12</v>
      </c>
      <c r="K182">
        <v>136.18</v>
      </c>
      <c r="N182">
        <v>20</v>
      </c>
      <c r="Q182">
        <v>20</v>
      </c>
      <c r="R182">
        <v>0.33333333333333331</v>
      </c>
      <c r="Y182">
        <v>0</v>
      </c>
      <c r="Z182">
        <v>0</v>
      </c>
      <c r="AA182">
        <v>0.33333333333333331</v>
      </c>
      <c r="AB182">
        <v>11.666666666666666</v>
      </c>
      <c r="AD182">
        <v>0</v>
      </c>
      <c r="AE182">
        <v>143.58000000000001</v>
      </c>
      <c r="AG182">
        <v>18</v>
      </c>
    </row>
    <row r="183" spans="1:33" x14ac:dyDescent="0.25">
      <c r="A183" t="s">
        <v>2769</v>
      </c>
      <c r="B183" t="s">
        <v>2510</v>
      </c>
      <c r="C183">
        <v>1</v>
      </c>
      <c r="D183" t="s">
        <v>46</v>
      </c>
      <c r="E183">
        <v>12</v>
      </c>
      <c r="K183">
        <v>103.09</v>
      </c>
      <c r="Q183">
        <v>0</v>
      </c>
      <c r="R183">
        <v>0</v>
      </c>
      <c r="Y183">
        <v>0</v>
      </c>
      <c r="Z183">
        <v>0</v>
      </c>
      <c r="AA183">
        <v>0</v>
      </c>
      <c r="AB183">
        <v>12</v>
      </c>
      <c r="AD183">
        <v>0</v>
      </c>
      <c r="AE183">
        <v>109.09</v>
      </c>
      <c r="AG183">
        <v>18</v>
      </c>
    </row>
    <row r="184" spans="1:33" x14ac:dyDescent="0.25">
      <c r="A184" t="s">
        <v>2769</v>
      </c>
      <c r="B184" t="s">
        <v>2510</v>
      </c>
      <c r="C184">
        <v>2</v>
      </c>
      <c r="D184" t="s">
        <v>45</v>
      </c>
      <c r="E184">
        <v>12</v>
      </c>
      <c r="K184">
        <v>109.05000000000001</v>
      </c>
      <c r="N184">
        <v>20</v>
      </c>
      <c r="Q184">
        <v>20</v>
      </c>
      <c r="R184">
        <v>0.33333333333333331</v>
      </c>
      <c r="Y184">
        <v>0</v>
      </c>
      <c r="Z184">
        <v>0</v>
      </c>
      <c r="AA184">
        <v>0.33333333333333331</v>
      </c>
      <c r="AB184">
        <v>11.666666666666666</v>
      </c>
      <c r="AD184">
        <v>0</v>
      </c>
      <c r="AE184">
        <v>116.85</v>
      </c>
      <c r="AG184">
        <v>18</v>
      </c>
    </row>
    <row r="185" spans="1:33" x14ac:dyDescent="0.25">
      <c r="A185" t="s">
        <v>2769</v>
      </c>
      <c r="B185" t="s">
        <v>2510</v>
      </c>
      <c r="C185">
        <v>2</v>
      </c>
      <c r="D185" t="s">
        <v>46</v>
      </c>
      <c r="E185">
        <v>12</v>
      </c>
      <c r="K185">
        <v>151.69</v>
      </c>
      <c r="Q185">
        <v>0</v>
      </c>
      <c r="R185">
        <v>0</v>
      </c>
      <c r="Y185">
        <v>0</v>
      </c>
      <c r="Z185">
        <v>0</v>
      </c>
      <c r="AA185">
        <v>0</v>
      </c>
      <c r="AB185">
        <v>12</v>
      </c>
      <c r="AD185">
        <v>0</v>
      </c>
      <c r="AE185">
        <v>160.29</v>
      </c>
      <c r="AG185">
        <v>18</v>
      </c>
    </row>
    <row r="186" spans="1:33" x14ac:dyDescent="0.25">
      <c r="A186" t="s">
        <v>2769</v>
      </c>
      <c r="B186" t="s">
        <v>2510</v>
      </c>
      <c r="C186">
        <v>4</v>
      </c>
      <c r="D186" t="s">
        <v>45</v>
      </c>
      <c r="E186">
        <v>12</v>
      </c>
      <c r="K186">
        <v>413.07999999999993</v>
      </c>
      <c r="Q186">
        <v>0</v>
      </c>
      <c r="R186">
        <v>0</v>
      </c>
      <c r="Y186">
        <v>0</v>
      </c>
      <c r="Z186">
        <v>0</v>
      </c>
      <c r="AA186">
        <v>0</v>
      </c>
      <c r="AB186">
        <v>24</v>
      </c>
      <c r="AD186">
        <v>0</v>
      </c>
      <c r="AE186">
        <v>437.47999999999996</v>
      </c>
      <c r="AG186">
        <v>18</v>
      </c>
    </row>
    <row r="187" spans="1:33" x14ac:dyDescent="0.25">
      <c r="A187" t="s">
        <v>2769</v>
      </c>
      <c r="B187" t="s">
        <v>2510</v>
      </c>
      <c r="C187">
        <v>4</v>
      </c>
      <c r="D187" t="s">
        <v>46</v>
      </c>
      <c r="E187">
        <v>12</v>
      </c>
      <c r="K187">
        <v>268.94</v>
      </c>
      <c r="N187">
        <v>25</v>
      </c>
      <c r="Q187">
        <v>25</v>
      </c>
      <c r="R187">
        <v>0.41666666666666674</v>
      </c>
      <c r="X187">
        <v>60</v>
      </c>
      <c r="Y187">
        <v>60</v>
      </c>
      <c r="Z187">
        <v>1</v>
      </c>
      <c r="AA187">
        <v>1.4166666666666667</v>
      </c>
      <c r="AB187">
        <v>10.583333333333334</v>
      </c>
      <c r="AD187">
        <v>0</v>
      </c>
      <c r="AE187">
        <v>281.94</v>
      </c>
      <c r="AG187">
        <v>18</v>
      </c>
    </row>
    <row r="188" spans="1:33" x14ac:dyDescent="0.25">
      <c r="A188" t="s">
        <v>2769</v>
      </c>
      <c r="B188" t="s">
        <v>2510</v>
      </c>
      <c r="C188">
        <v>5</v>
      </c>
      <c r="D188" t="s">
        <v>45</v>
      </c>
      <c r="E188">
        <v>12</v>
      </c>
      <c r="K188">
        <v>369.58</v>
      </c>
      <c r="N188">
        <v>25</v>
      </c>
      <c r="Q188">
        <v>25</v>
      </c>
      <c r="R188">
        <v>0.41666666666666674</v>
      </c>
      <c r="Y188">
        <v>0</v>
      </c>
      <c r="Z188">
        <v>0</v>
      </c>
      <c r="AA188">
        <v>0.41666666666666674</v>
      </c>
      <c r="AB188">
        <v>23.583333333333336</v>
      </c>
      <c r="AD188">
        <v>0</v>
      </c>
      <c r="AE188">
        <v>389.98</v>
      </c>
      <c r="AG188">
        <v>18</v>
      </c>
    </row>
    <row r="189" spans="1:33" x14ac:dyDescent="0.25">
      <c r="A189" t="s">
        <v>2769</v>
      </c>
      <c r="B189" t="s">
        <v>2510</v>
      </c>
      <c r="C189">
        <v>5</v>
      </c>
      <c r="D189" t="s">
        <v>46</v>
      </c>
      <c r="E189">
        <v>12</v>
      </c>
      <c r="K189">
        <v>409.76</v>
      </c>
      <c r="Q189">
        <v>0</v>
      </c>
      <c r="R189">
        <v>0</v>
      </c>
      <c r="Y189">
        <v>0</v>
      </c>
      <c r="Z189">
        <v>0</v>
      </c>
      <c r="AA189">
        <v>0</v>
      </c>
      <c r="AB189">
        <v>24</v>
      </c>
      <c r="AD189">
        <v>0</v>
      </c>
      <c r="AE189">
        <v>432.46</v>
      </c>
      <c r="AG189">
        <v>18</v>
      </c>
    </row>
    <row r="190" spans="1:33" x14ac:dyDescent="0.25">
      <c r="A190" t="s">
        <v>2770</v>
      </c>
      <c r="B190" t="s">
        <v>2510</v>
      </c>
      <c r="C190">
        <v>1</v>
      </c>
      <c r="D190" t="s">
        <v>45</v>
      </c>
      <c r="E190">
        <v>12</v>
      </c>
      <c r="K190">
        <v>107.23</v>
      </c>
      <c r="Q190">
        <v>0</v>
      </c>
      <c r="R190">
        <v>0</v>
      </c>
      <c r="Y190">
        <v>0</v>
      </c>
      <c r="Z190">
        <v>0</v>
      </c>
      <c r="AA190">
        <v>0</v>
      </c>
      <c r="AB190">
        <v>12</v>
      </c>
      <c r="AD190">
        <v>0</v>
      </c>
      <c r="AE190">
        <v>113.43</v>
      </c>
      <c r="AG190">
        <v>18</v>
      </c>
    </row>
    <row r="191" spans="1:33" x14ac:dyDescent="0.25">
      <c r="A191" t="s">
        <v>2770</v>
      </c>
      <c r="B191" t="s">
        <v>2510</v>
      </c>
      <c r="C191">
        <v>1</v>
      </c>
      <c r="D191" t="s">
        <v>46</v>
      </c>
      <c r="E191">
        <v>12</v>
      </c>
      <c r="K191">
        <v>86.240000000000009</v>
      </c>
      <c r="Q191">
        <v>0</v>
      </c>
      <c r="R191">
        <v>0</v>
      </c>
      <c r="Y191">
        <v>0</v>
      </c>
      <c r="Z191">
        <v>0</v>
      </c>
      <c r="AA191">
        <v>0</v>
      </c>
      <c r="AB191">
        <v>24</v>
      </c>
      <c r="AD191">
        <v>0</v>
      </c>
      <c r="AE191">
        <v>97.240000000000009</v>
      </c>
      <c r="AG191">
        <v>18</v>
      </c>
    </row>
    <row r="192" spans="1:33" x14ac:dyDescent="0.25">
      <c r="A192" t="s">
        <v>2770</v>
      </c>
      <c r="B192" t="s">
        <v>2510</v>
      </c>
      <c r="C192">
        <v>2</v>
      </c>
      <c r="D192" t="s">
        <v>45</v>
      </c>
      <c r="E192">
        <v>12</v>
      </c>
      <c r="K192">
        <v>195.58999999999997</v>
      </c>
      <c r="N192">
        <v>40</v>
      </c>
      <c r="Q192">
        <v>40</v>
      </c>
      <c r="R192">
        <v>0.66666666666666663</v>
      </c>
      <c r="Y192">
        <v>0</v>
      </c>
      <c r="Z192">
        <v>0</v>
      </c>
      <c r="AA192">
        <v>0.66666666666666663</v>
      </c>
      <c r="AB192">
        <v>35.333333333333336</v>
      </c>
      <c r="AD192">
        <v>0</v>
      </c>
      <c r="AE192">
        <v>217.09</v>
      </c>
      <c r="AG192">
        <v>18</v>
      </c>
    </row>
    <row r="193" spans="1:33" x14ac:dyDescent="0.25">
      <c r="A193" t="s">
        <v>2770</v>
      </c>
      <c r="B193" t="s">
        <v>2510</v>
      </c>
      <c r="C193">
        <v>2</v>
      </c>
      <c r="D193" t="s">
        <v>46</v>
      </c>
      <c r="E193">
        <v>12</v>
      </c>
      <c r="K193">
        <v>191.23000000000002</v>
      </c>
      <c r="N193">
        <v>20</v>
      </c>
      <c r="Q193">
        <v>20</v>
      </c>
      <c r="R193">
        <v>0.33333333333333331</v>
      </c>
      <c r="Y193">
        <v>0</v>
      </c>
      <c r="Z193">
        <v>0</v>
      </c>
      <c r="AA193">
        <v>0.33333333333333331</v>
      </c>
      <c r="AB193">
        <v>23.666666666666664</v>
      </c>
      <c r="AD193">
        <v>0</v>
      </c>
      <c r="AE193">
        <v>207.23000000000002</v>
      </c>
      <c r="AG193">
        <v>18</v>
      </c>
    </row>
    <row r="194" spans="1:33" x14ac:dyDescent="0.25">
      <c r="A194" t="s">
        <v>2770</v>
      </c>
      <c r="B194" t="s">
        <v>2510</v>
      </c>
      <c r="C194">
        <v>4</v>
      </c>
      <c r="D194" t="s">
        <v>45</v>
      </c>
      <c r="E194">
        <v>12</v>
      </c>
      <c r="K194">
        <v>539.02</v>
      </c>
      <c r="N194">
        <v>25</v>
      </c>
      <c r="Q194">
        <v>25</v>
      </c>
      <c r="R194">
        <v>0.41666666666666674</v>
      </c>
      <c r="Y194">
        <v>0</v>
      </c>
      <c r="Z194">
        <v>0</v>
      </c>
      <c r="AA194">
        <v>0.41666666666666674</v>
      </c>
      <c r="AB194">
        <v>35.583333333333336</v>
      </c>
      <c r="AD194">
        <v>0</v>
      </c>
      <c r="AE194">
        <v>572.02</v>
      </c>
      <c r="AG194">
        <v>18</v>
      </c>
    </row>
    <row r="195" spans="1:33" x14ac:dyDescent="0.25">
      <c r="A195" t="s">
        <v>2770</v>
      </c>
      <c r="B195" t="s">
        <v>2510</v>
      </c>
      <c r="C195">
        <v>4</v>
      </c>
      <c r="D195" t="s">
        <v>46</v>
      </c>
      <c r="E195">
        <v>12</v>
      </c>
      <c r="K195">
        <v>552.17999999999995</v>
      </c>
      <c r="Q195">
        <v>0</v>
      </c>
      <c r="R195">
        <v>0</v>
      </c>
      <c r="Y195">
        <v>0</v>
      </c>
      <c r="Z195">
        <v>0</v>
      </c>
      <c r="AA195">
        <v>0</v>
      </c>
      <c r="AB195">
        <v>12</v>
      </c>
      <c r="AD195">
        <v>0</v>
      </c>
      <c r="AE195">
        <v>570.17999999999995</v>
      </c>
      <c r="AG195">
        <v>18</v>
      </c>
    </row>
    <row r="196" spans="1:33" x14ac:dyDescent="0.25">
      <c r="A196" t="s">
        <v>2770</v>
      </c>
      <c r="B196" t="s">
        <v>2510</v>
      </c>
      <c r="C196">
        <v>5</v>
      </c>
      <c r="D196" t="s">
        <v>45</v>
      </c>
      <c r="E196">
        <v>12</v>
      </c>
      <c r="K196">
        <v>352.05999999999995</v>
      </c>
      <c r="N196">
        <v>25</v>
      </c>
      <c r="Q196">
        <v>25</v>
      </c>
      <c r="R196">
        <v>0.41666666666666674</v>
      </c>
      <c r="X196">
        <v>30</v>
      </c>
      <c r="Y196">
        <v>30</v>
      </c>
      <c r="Z196">
        <v>0.5</v>
      </c>
      <c r="AA196">
        <v>0.91666666666666674</v>
      </c>
      <c r="AB196">
        <v>35.083333333333336</v>
      </c>
      <c r="AD196">
        <v>0</v>
      </c>
      <c r="AE196">
        <v>380.65999999999997</v>
      </c>
      <c r="AG196">
        <v>18</v>
      </c>
    </row>
    <row r="197" spans="1:33" x14ac:dyDescent="0.25">
      <c r="A197" t="s">
        <v>2770</v>
      </c>
      <c r="B197" t="s">
        <v>2510</v>
      </c>
      <c r="C197">
        <v>5</v>
      </c>
      <c r="D197" t="s">
        <v>46</v>
      </c>
      <c r="E197">
        <v>12</v>
      </c>
      <c r="K197">
        <v>353.70000000000005</v>
      </c>
      <c r="Q197">
        <v>0</v>
      </c>
      <c r="R197">
        <v>0</v>
      </c>
      <c r="Y197">
        <v>0</v>
      </c>
      <c r="Z197">
        <v>0</v>
      </c>
      <c r="AA197">
        <v>0</v>
      </c>
      <c r="AB197">
        <v>12</v>
      </c>
      <c r="AD197">
        <v>0</v>
      </c>
      <c r="AE197">
        <v>367.1</v>
      </c>
      <c r="AG197">
        <v>18</v>
      </c>
    </row>
    <row r="198" spans="1:33" x14ac:dyDescent="0.25">
      <c r="F198">
        <f t="shared" ref="F198:X198" si="0">SUM(F4:F197)</f>
        <v>0</v>
      </c>
      <c r="G198">
        <f t="shared" si="0"/>
        <v>0</v>
      </c>
      <c r="H198">
        <f t="shared" si="0"/>
        <v>0</v>
      </c>
      <c r="I198">
        <f t="shared" si="0"/>
        <v>330</v>
      </c>
      <c r="J198">
        <f t="shared" si="0"/>
        <v>0</v>
      </c>
      <c r="L198">
        <f t="shared" si="0"/>
        <v>0</v>
      </c>
      <c r="M198">
        <f t="shared" si="0"/>
        <v>0</v>
      </c>
      <c r="N198">
        <f t="shared" si="0"/>
        <v>1505</v>
      </c>
      <c r="O198">
        <f t="shared" si="0"/>
        <v>1400</v>
      </c>
      <c r="P198">
        <f t="shared" si="0"/>
        <v>0</v>
      </c>
      <c r="S198">
        <f t="shared" si="0"/>
        <v>240</v>
      </c>
      <c r="T198">
        <f t="shared" si="0"/>
        <v>0</v>
      </c>
      <c r="U198">
        <f t="shared" si="0"/>
        <v>750</v>
      </c>
      <c r="V198">
        <f t="shared" si="0"/>
        <v>0</v>
      </c>
      <c r="W198">
        <f t="shared" si="0"/>
        <v>540</v>
      </c>
      <c r="X198">
        <f t="shared" si="0"/>
        <v>600</v>
      </c>
    </row>
    <row r="199" spans="1:33" x14ac:dyDescent="0.25">
      <c r="F199">
        <f t="shared" ref="F199:X199" si="1">+F198/60</f>
        <v>0</v>
      </c>
      <c r="G199">
        <f t="shared" si="1"/>
        <v>0</v>
      </c>
      <c r="H199">
        <f t="shared" si="1"/>
        <v>0</v>
      </c>
      <c r="I199">
        <f t="shared" si="1"/>
        <v>5.5</v>
      </c>
      <c r="J199">
        <f t="shared" si="1"/>
        <v>0</v>
      </c>
      <c r="L199">
        <f t="shared" si="1"/>
        <v>0</v>
      </c>
      <c r="M199">
        <f t="shared" si="1"/>
        <v>0</v>
      </c>
      <c r="N199">
        <f t="shared" si="1"/>
        <v>25.083333333333332</v>
      </c>
      <c r="O199">
        <f t="shared" si="1"/>
        <v>23.333333333333332</v>
      </c>
      <c r="P199">
        <f t="shared" si="1"/>
        <v>0</v>
      </c>
      <c r="S199">
        <f t="shared" si="1"/>
        <v>4</v>
      </c>
      <c r="T199">
        <f t="shared" si="1"/>
        <v>0</v>
      </c>
      <c r="U199">
        <f t="shared" si="1"/>
        <v>12.5</v>
      </c>
      <c r="V199">
        <f t="shared" si="1"/>
        <v>0</v>
      </c>
      <c r="W199">
        <f t="shared" si="1"/>
        <v>9</v>
      </c>
      <c r="X199">
        <f t="shared" si="1"/>
        <v>10</v>
      </c>
    </row>
    <row r="200" spans="1:33" x14ac:dyDescent="0.25">
      <c r="E200" s="37"/>
      <c r="F200" s="37">
        <f t="shared" ref="F200:X200" si="2">+F199/2328</f>
        <v>0</v>
      </c>
      <c r="G200" s="37">
        <f t="shared" si="2"/>
        <v>0</v>
      </c>
      <c r="H200" s="37">
        <f t="shared" si="2"/>
        <v>0</v>
      </c>
      <c r="I200" s="37">
        <f t="shared" si="2"/>
        <v>2.3625429553264603E-3</v>
      </c>
      <c r="J200" s="37">
        <f t="shared" si="2"/>
        <v>0</v>
      </c>
      <c r="K200" s="37"/>
      <c r="L200" s="37">
        <f t="shared" si="2"/>
        <v>0</v>
      </c>
      <c r="M200" s="37">
        <f t="shared" si="2"/>
        <v>0</v>
      </c>
      <c r="N200" s="37">
        <f t="shared" si="2"/>
        <v>1.0774627720504009E-2</v>
      </c>
      <c r="O200" s="37">
        <f t="shared" si="2"/>
        <v>1.0022909507445589E-2</v>
      </c>
      <c r="P200" s="37">
        <f t="shared" si="2"/>
        <v>0</v>
      </c>
      <c r="Q200" s="37"/>
      <c r="R200" s="37"/>
      <c r="S200" s="37">
        <f t="shared" si="2"/>
        <v>1.718213058419244E-3</v>
      </c>
      <c r="T200" s="37">
        <f t="shared" si="2"/>
        <v>0</v>
      </c>
      <c r="U200" s="37">
        <f t="shared" si="2"/>
        <v>5.3694158075601375E-3</v>
      </c>
      <c r="V200" s="37">
        <f t="shared" si="2"/>
        <v>0</v>
      </c>
      <c r="W200" s="37">
        <f t="shared" si="2"/>
        <v>3.8659793814432991E-3</v>
      </c>
      <c r="X200" s="37">
        <f t="shared" si="2"/>
        <v>4.2955326460481103E-3</v>
      </c>
    </row>
    <row r="202" spans="1:33" x14ac:dyDescent="0.25">
      <c r="E202" s="37"/>
      <c r="F202" s="37"/>
      <c r="G202" s="37"/>
      <c r="H202" s="37"/>
      <c r="I202" s="37"/>
      <c r="J202" s="37"/>
      <c r="K202" s="37"/>
      <c r="L202" s="37"/>
      <c r="M202" s="37"/>
      <c r="N202" s="37"/>
      <c r="O202" s="37"/>
      <c r="P202" s="37"/>
      <c r="Q202" s="37"/>
      <c r="R202" s="37"/>
      <c r="S202" s="37"/>
      <c r="T202" s="37"/>
      <c r="U202" s="37"/>
      <c r="V202" s="37"/>
      <c r="W202" s="37"/>
      <c r="X202" s="37"/>
    </row>
  </sheetData>
  <pageMargins left="0.7" right="0.7" top="0.75" bottom="0.75" header="0.3" footer="0.3"/>
  <pageSetup orientation="portrait" horizontalDpi="4294967295" verticalDpi="4294967295"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072E-DD21-4271-A520-528954498CE0}">
  <dimension ref="A1:T28"/>
  <sheetViews>
    <sheetView zoomScale="72" zoomScaleNormal="72" workbookViewId="0">
      <selection activeCell="N6" sqref="N6"/>
    </sheetView>
  </sheetViews>
  <sheetFormatPr defaultRowHeight="22.5" customHeight="1" x14ac:dyDescent="0.25"/>
  <cols>
    <col min="1" max="1" width="28.85546875" customWidth="1"/>
    <col min="2" max="2" width="17.42578125" customWidth="1"/>
    <col min="3" max="4" width="13.85546875" customWidth="1"/>
    <col min="5" max="5" width="18" customWidth="1"/>
    <col min="6" max="6" width="13.85546875" customWidth="1"/>
    <col min="7" max="7" width="15" bestFit="1" customWidth="1"/>
    <col min="8" max="8" width="17.42578125" customWidth="1"/>
    <col min="9" max="9" width="13.85546875" hidden="1" customWidth="1"/>
    <col min="10" max="10" width="17.140625" bestFit="1" customWidth="1"/>
    <col min="11" max="11" width="20.42578125" bestFit="1" customWidth="1"/>
    <col min="12" max="12" width="17.140625" bestFit="1" customWidth="1"/>
    <col min="13" max="13" width="58.5703125" customWidth="1"/>
    <col min="14" max="14" width="12.140625" customWidth="1"/>
    <col min="15" max="15" width="17.140625" bestFit="1" customWidth="1"/>
    <col min="16" max="16" width="13.28515625" bestFit="1" customWidth="1"/>
    <col min="19" max="19" width="17.140625" bestFit="1" customWidth="1"/>
    <col min="20" max="20" width="9.85546875" bestFit="1" customWidth="1"/>
  </cols>
  <sheetData>
    <row r="1" spans="1:20" ht="30" customHeight="1" thickBot="1" x14ac:dyDescent="0.3">
      <c r="A1" s="176" t="s">
        <v>47</v>
      </c>
      <c r="B1" s="177"/>
      <c r="C1" s="177"/>
      <c r="D1" s="177"/>
      <c r="E1" s="177"/>
      <c r="F1" s="177"/>
      <c r="G1" s="177"/>
      <c r="H1" s="177"/>
      <c r="I1" s="177"/>
      <c r="J1" s="177"/>
      <c r="K1" s="177"/>
      <c r="L1" s="147"/>
      <c r="M1" s="178">
        <v>46139</v>
      </c>
      <c r="N1" s="12">
        <v>17</v>
      </c>
    </row>
    <row r="2" spans="1:20" ht="22.5" customHeight="1" thickBot="1" x14ac:dyDescent="0.3">
      <c r="A2" s="180" t="s">
        <v>20</v>
      </c>
      <c r="B2" s="181"/>
      <c r="C2" s="188" t="s">
        <v>2</v>
      </c>
      <c r="D2" s="189"/>
      <c r="E2" s="189"/>
      <c r="F2" s="189"/>
      <c r="G2" s="189"/>
      <c r="H2" s="189"/>
      <c r="I2" s="189"/>
      <c r="J2" s="184" t="s">
        <v>2702</v>
      </c>
      <c r="K2" s="186" t="s">
        <v>21</v>
      </c>
      <c r="L2" s="184" t="s">
        <v>2568</v>
      </c>
      <c r="M2" s="179"/>
      <c r="O2" s="37"/>
    </row>
    <row r="3" spans="1:20" ht="22.5" customHeight="1" thickBot="1" x14ac:dyDescent="0.3">
      <c r="A3" s="182"/>
      <c r="B3" s="183"/>
      <c r="C3" s="118">
        <v>1</v>
      </c>
      <c r="D3" s="118">
        <f>+C3+1</f>
        <v>2</v>
      </c>
      <c r="E3" s="118">
        <f t="shared" ref="E3:H3" si="0">+D3+1</f>
        <v>3</v>
      </c>
      <c r="F3" s="118">
        <f t="shared" si="0"/>
        <v>4</v>
      </c>
      <c r="G3" s="118">
        <f t="shared" si="0"/>
        <v>5</v>
      </c>
      <c r="H3" s="118">
        <f t="shared" si="0"/>
        <v>6</v>
      </c>
      <c r="I3" s="118"/>
      <c r="J3" s="185"/>
      <c r="K3" s="187"/>
      <c r="L3" s="185"/>
      <c r="M3" s="139" t="s">
        <v>16</v>
      </c>
    </row>
    <row r="4" spans="1:20" ht="32.25" customHeight="1" thickBot="1" x14ac:dyDescent="0.3">
      <c r="A4" s="171" t="s">
        <v>22</v>
      </c>
      <c r="B4" s="172"/>
      <c r="C4" s="121">
        <f>SUMIFS('PP PRD'!$W:$W,'PP PRD'!$B:$B,C$3,'PP PRD'!$AP:$AP,WOR!$N$1)</f>
        <v>0</v>
      </c>
      <c r="D4" s="122">
        <f>SUMIFS('PP PRD'!$W:$W,'PP PRD'!$B:$B,D$3,'PP PRD'!$AP:$AP,WOR!$N$1)</f>
        <v>4.166666666666667</v>
      </c>
      <c r="E4" s="122">
        <f>SUMIFS('PP PRD'!$W:$W,'PP PRD'!$B:$B,E$3,'PP PRD'!$AP:$AP,WOR!$N$1)</f>
        <v>0</v>
      </c>
      <c r="F4" s="122">
        <f>SUMIFS('PP PRD'!$W:$W,'PP PRD'!$B:$B,F$3,'PP PRD'!$AP:$AP,WOR!$N$1)</f>
        <v>5.166666666666667</v>
      </c>
      <c r="G4" s="122">
        <f>SUMIFS('PP PRD'!$W:$W,'PP PRD'!$B:$B,G$3,'PP PRD'!$AP:$AP,WOR!$N$1)</f>
        <v>1.5833333333333335</v>
      </c>
      <c r="H4" s="122">
        <f>SUMIFS('PP PRD'!$W:$W,'PP PRD'!$B:$B,H$3,'PP PRD'!$AP:$AP,WOR!$N$1)</f>
        <v>0</v>
      </c>
      <c r="I4" s="122"/>
      <c r="J4" s="123">
        <f>SUM(C4:I4)</f>
        <v>10.916666666666668</v>
      </c>
      <c r="K4" s="173">
        <f>J4/SUMIFS('PP PRO PIVOTE'!E:E,'PP PRO PIVOTE'!AG:AG,WOR!N1)</f>
        <v>2.2188346883468837E-2</v>
      </c>
      <c r="L4" s="148">
        <v>5.58</v>
      </c>
      <c r="M4" s="169" t="s">
        <v>2700</v>
      </c>
      <c r="O4" s="37"/>
      <c r="P4" s="37"/>
      <c r="Q4" s="37"/>
      <c r="R4" s="37"/>
      <c r="S4" s="37"/>
      <c r="T4" s="37"/>
    </row>
    <row r="5" spans="1:20" ht="32.25" customHeight="1" thickBot="1" x14ac:dyDescent="0.4">
      <c r="A5" s="171" t="s">
        <v>863</v>
      </c>
      <c r="B5" s="172"/>
      <c r="C5" s="124" t="str">
        <f>IFERROR(+C4/SUMIFS('PP PRO PIVOTE'!$E:$E,'PP PRO PIVOTE'!$AG:$AG,WOR!$N$1,'PP PRO PIVOTE'!$C:$C,WOR!C3),"-")</f>
        <v>-</v>
      </c>
      <c r="D5" s="44">
        <f>IFERROR(+D4/SUMIFS('PP PRO PIVOTE'!$E:$E,'PP PRO PIVOTE'!$AG:$AG,WOR!$N$1,'PP PRO PIVOTE'!$C:$C,WOR!D3),"-")</f>
        <v>2.4801587301587304E-2</v>
      </c>
      <c r="E5" s="44" t="str">
        <f>IFERROR(+E4/SUMIFS('PP PRO PIVOTE'!$E:$E,'PP PRO PIVOTE'!$AG:$AG,WOR!$N$1,'PP PRO PIVOTE'!$C:$C,WOR!E3),"-")</f>
        <v>-</v>
      </c>
      <c r="F5" s="44">
        <f>IFERROR(+F4/SUMIFS('PP PRO PIVOTE'!$E:$E,'PP PRO PIVOTE'!$AG:$AG,WOR!$N$1,'PP PRO PIVOTE'!$C:$C,WOR!F3),"-")</f>
        <v>3.311965811965812E-2</v>
      </c>
      <c r="G5" s="44">
        <f>IFERROR(+G4/SUMIFS('PP PRO PIVOTE'!$E:$E,'PP PRO PIVOTE'!$AG:$AG,WOR!$N$1,'PP PRO PIVOTE'!$C:$C,WOR!G3),"-")</f>
        <v>9.4246031746031758E-3</v>
      </c>
      <c r="H5" s="44" t="str">
        <f>IFERROR(+H4/SUMIFS('PP PRO PIVOTE'!$E:$E,'PP PRO PIVOTE'!$AG:$AG,WOR!$N$1,'PP PRO PIVOTE'!$C:$C,WOR!H3),"-")</f>
        <v>-</v>
      </c>
      <c r="I5" s="44"/>
      <c r="J5" s="125"/>
      <c r="K5" s="174"/>
      <c r="L5" s="149">
        <v>1.11E-2</v>
      </c>
      <c r="M5" s="169"/>
      <c r="N5" s="165"/>
      <c r="S5" s="37"/>
      <c r="T5" s="37"/>
    </row>
    <row r="6" spans="1:20" ht="32.25" customHeight="1" thickBot="1" x14ac:dyDescent="0.3">
      <c r="A6" s="171" t="s">
        <v>23</v>
      </c>
      <c r="B6" s="172"/>
      <c r="C6" s="126">
        <f>SUMIFS('PP PRD'!$AG:$AG,'PP PRD'!$B:$B,C3,'PP PRD'!$AP:$AP,WOR!$N$1)</f>
        <v>0</v>
      </c>
      <c r="D6" s="120">
        <f>SUMIFS('PP PRD'!$AG:$AG,'PP PRD'!$B:$B,D3,'PP PRD'!$AP:$AP,WOR!$N$1)</f>
        <v>1.6666666666666667</v>
      </c>
      <c r="E6" s="120">
        <f>SUMIFS('PP PRD'!$AG:$AG,'PP PRD'!$B:$B,E3,'PP PRD'!$AP:$AP,WOR!$N$1)</f>
        <v>0</v>
      </c>
      <c r="F6" s="120">
        <f>SUMIFS('PP PRD'!$AG:$AG,'PP PRD'!$B:$B,F3,'PP PRD'!$AP:$AP,WOR!$N$1)</f>
        <v>9</v>
      </c>
      <c r="G6" s="120">
        <f>SUMIFS('PP PRD'!$AG:$AG,'PP PRD'!$B:$B,G3,'PP PRD'!$AP:$AP,WOR!$N$1)</f>
        <v>0</v>
      </c>
      <c r="H6" s="120">
        <f>SUMIFS('PP PRD'!$AG:$AG,'PP PRD'!$B:$B,H3,'PP PRD'!$AP:$AP,WOR!$N$1)</f>
        <v>0</v>
      </c>
      <c r="I6" s="120"/>
      <c r="J6" s="125">
        <f>SUM(C6:I6)</f>
        <v>10.666666666666666</v>
      </c>
      <c r="K6" s="175">
        <f>J6/SUMIFS('PP PRO PIVOTE'!E:E,'PP PRO PIVOTE'!AG:AG,WOR!N1)</f>
        <v>2.1680216802168022E-2</v>
      </c>
      <c r="L6" s="150">
        <v>16.579999999999998</v>
      </c>
      <c r="M6" s="170" t="s">
        <v>2701</v>
      </c>
      <c r="N6" s="76"/>
      <c r="O6" s="31">
        <f>+J8-L8</f>
        <v>-1136.2899999999991</v>
      </c>
      <c r="S6" s="37"/>
      <c r="T6" s="37"/>
    </row>
    <row r="7" spans="1:20" ht="32.25" customHeight="1" thickBot="1" x14ac:dyDescent="0.3">
      <c r="A7" s="171" t="s">
        <v>864</v>
      </c>
      <c r="B7" s="172"/>
      <c r="C7" s="124" t="str">
        <f>IFERROR(+C6/SUMIFS('PP PRO PIVOTE'!$E:$E,'PP PRO PIVOTE'!$AG:$AG,WOR!$N$1,'PP PRO PIVOTE'!$C:$C,WOR!C3),"-")</f>
        <v>-</v>
      </c>
      <c r="D7" s="44">
        <f>IFERROR(+D6/SUMIFS('PP PRO PIVOTE'!$E:$E,'PP PRO PIVOTE'!$AG:$AG,WOR!$N$1,'PP PRO PIVOTE'!$C:$C,WOR!D3),"-")</f>
        <v>9.9206349206349218E-3</v>
      </c>
      <c r="E7" s="44" t="str">
        <f>IFERROR(+E6/SUMIFS('PP PRO PIVOTE'!$E:$E,'PP PRO PIVOTE'!$AG:$AG,WOR!$N$1,'PP PRO PIVOTE'!$C:$C,WOR!E3),"-")</f>
        <v>-</v>
      </c>
      <c r="F7" s="44">
        <f>IFERROR(+F6/SUMIFS('PP PRO PIVOTE'!$E:$E,'PP PRO PIVOTE'!$AG:$AG,WOR!$N$1,'PP PRO PIVOTE'!$C:$C,WOR!F3),"-")</f>
        <v>5.7692307692307696E-2</v>
      </c>
      <c r="G7" s="44">
        <f>IFERROR(+G6/SUMIFS('PP PRO PIVOTE'!$E:$E,'PP PRO PIVOTE'!$AG:$AG,WOR!$N$1,'PP PRO PIVOTE'!$C:$C,WOR!G3),"-")</f>
        <v>0</v>
      </c>
      <c r="H7" s="44" t="str">
        <f>IFERROR(+H6/SUMIFS('PP PRO PIVOTE'!$E:$E,'PP PRO PIVOTE'!$AG:$AG,WOR!$N$1,'PP PRO PIVOTE'!$C:$C,WOR!H3),"-")</f>
        <v>-</v>
      </c>
      <c r="I7" s="45"/>
      <c r="J7" s="125"/>
      <c r="K7" s="174"/>
      <c r="L7" s="149">
        <v>3.2899999999999999E-2</v>
      </c>
      <c r="M7" s="170"/>
      <c r="S7" s="37" t="s">
        <v>2512</v>
      </c>
      <c r="T7" s="37"/>
    </row>
    <row r="8" spans="1:20" ht="32.25" customHeight="1" thickBot="1" x14ac:dyDescent="0.35">
      <c r="A8" s="171" t="s">
        <v>24</v>
      </c>
      <c r="B8" s="172"/>
      <c r="C8" s="126">
        <f>SUMIFS('PP PRD'!$Q:$Q,'PP PRD'!$B:$B,C3,'PP PRD'!$AP:$AP,WOR!$N$1)</f>
        <v>0</v>
      </c>
      <c r="D8" s="120">
        <f>SUMIFS('PP PRD'!$Q:$Q,'PP PRD'!$B:$B,D3,'PP PRD'!$AP:$AP,WOR!$N$1)</f>
        <v>2119.2000000000003</v>
      </c>
      <c r="E8" s="120">
        <f>SUMIFS('PP PRD'!$Q:$Q,'PP PRD'!$B:$B,E3,'PP PRD'!$AP:$AP,WOR!$N$1)</f>
        <v>0</v>
      </c>
      <c r="F8" s="120">
        <f>SUMIFS('PP PRD'!$Q:$Q,'PP PRD'!$B:$B,F3,'PP PRD'!$AP:$AP,WOR!$N$1)</f>
        <v>6170.6900000000005</v>
      </c>
      <c r="G8" s="120">
        <f>SUMIFS('PP PRD'!$Q:$Q,'PP PRD'!$B:$B,G3,'PP PRD'!$AP:$AP,WOR!$N$1)</f>
        <v>5566.43</v>
      </c>
      <c r="H8" s="120">
        <f>SUMIFS('PP PRD'!$Q:$Q,'PP PRD'!$B:$B,H3,'PP PRD'!$AP:$AP,WOR!$N$1)</f>
        <v>0</v>
      </c>
      <c r="I8" s="120"/>
      <c r="J8" s="125">
        <f>SUM(C8:I8)</f>
        <v>13856.320000000002</v>
      </c>
      <c r="K8" s="175">
        <f>+$J$8/$J$9</f>
        <v>0.9479605226250567</v>
      </c>
      <c r="L8" s="151">
        <v>14992.61</v>
      </c>
      <c r="M8" s="140"/>
      <c r="N8" s="31"/>
      <c r="O8" t="s">
        <v>50</v>
      </c>
      <c r="P8">
        <v>200</v>
      </c>
      <c r="S8" t="s">
        <v>50</v>
      </c>
      <c r="T8">
        <v>200</v>
      </c>
    </row>
    <row r="9" spans="1:20" ht="32.25" customHeight="1" thickBot="1" x14ac:dyDescent="0.35">
      <c r="A9" s="171" t="s">
        <v>25</v>
      </c>
      <c r="B9" s="172"/>
      <c r="C9" s="127">
        <f>SUMIFS('PP PRD'!$AN:$AN,'PP PRD'!$B:$B,C3,'PP PRD'!$AP:$AP,WOR!$N$1)</f>
        <v>0</v>
      </c>
      <c r="D9" s="79">
        <f>SUMIFS('PP PRD'!$AN:$AN,'PP PRD'!$B:$B,D3,'PP PRD'!$AP:$AP,WOR!$N$1)</f>
        <v>2261.7999999999997</v>
      </c>
      <c r="E9" s="79">
        <f>SUMIFS('PP PRD'!$AN:$AN,'PP PRD'!$B:$B,E3,'PP PRD'!$AP:$AP,WOR!$N$1)</f>
        <v>0</v>
      </c>
      <c r="F9" s="79">
        <f>SUMIFS('PP PRD'!$AN:$AN,'PP PRD'!$B:$B,F3,'PP PRD'!$AP:$AP,WOR!$N$1)</f>
        <v>6504.4500000000007</v>
      </c>
      <c r="G9" s="79">
        <f>SUMIFS('PP PRD'!$AN:$AN,'PP PRD'!$B:$B,G3,'PP PRD'!$AP:$AP,WOR!$N$1)</f>
        <v>5850.7300000000005</v>
      </c>
      <c r="H9" s="79">
        <f>SUMIFS('PP PRD'!$AN:$AN,'PP PRD'!$B:$B,H3,'PP PRD'!$AP:$AP,WOR!$N$1)</f>
        <v>0</v>
      </c>
      <c r="I9" s="79"/>
      <c r="J9" s="128">
        <f>SUM(C9:I9)</f>
        <v>14616.98</v>
      </c>
      <c r="K9" s="173"/>
      <c r="L9" s="151">
        <v>15880</v>
      </c>
      <c r="M9" s="141"/>
      <c r="P9">
        <f>+J11*P8</f>
        <v>80000</v>
      </c>
      <c r="T9">
        <f>+J14*T8</f>
        <v>0</v>
      </c>
    </row>
    <row r="10" spans="1:20" ht="32.25" customHeight="1" thickBot="1" x14ac:dyDescent="0.35">
      <c r="A10" s="171" t="s">
        <v>48</v>
      </c>
      <c r="B10" s="172"/>
      <c r="C10" s="124" t="str">
        <f>IFERROR((C$8/C$9),"--")</f>
        <v>--</v>
      </c>
      <c r="D10" s="44">
        <f t="shared" ref="D10:H10" si="1">IFERROR((D$8/D$9),"--")</f>
        <v>0.93695286939605649</v>
      </c>
      <c r="E10" s="44" t="str">
        <f t="shared" si="1"/>
        <v>--</v>
      </c>
      <c r="F10" s="44">
        <f t="shared" si="1"/>
        <v>0.94868743706231884</v>
      </c>
      <c r="G10" s="44">
        <f t="shared" si="1"/>
        <v>0.95140777304712398</v>
      </c>
      <c r="H10" s="44" t="str">
        <f t="shared" si="1"/>
        <v>--</v>
      </c>
      <c r="I10" s="30"/>
      <c r="J10" s="125"/>
      <c r="K10" s="174"/>
      <c r="L10" s="149">
        <v>0.94410000000000005</v>
      </c>
      <c r="M10" s="141"/>
      <c r="P10" s="13">
        <f>+J13-P9</f>
        <v>79200</v>
      </c>
      <c r="T10" s="13">
        <f>+T9-J14</f>
        <v>0</v>
      </c>
    </row>
    <row r="11" spans="1:20" ht="32.25" customHeight="1" thickBot="1" x14ac:dyDescent="0.3">
      <c r="A11" s="171" t="s">
        <v>26</v>
      </c>
      <c r="B11" s="172"/>
      <c r="C11" s="201">
        <f>SUMIFS('PP PRD'!O:O,'PP PRD'!AP:AP,WOR!$N$1)+M26</f>
        <v>400</v>
      </c>
      <c r="D11" s="202"/>
      <c r="E11" s="202"/>
      <c r="F11" s="202"/>
      <c r="G11" s="202"/>
      <c r="H11" s="202"/>
      <c r="I11" s="202"/>
      <c r="J11" s="125">
        <f>SUM(C11:I11)</f>
        <v>400</v>
      </c>
      <c r="K11" s="196">
        <f>+$J$11/$J$8</f>
        <v>2.8867693586753191E-2</v>
      </c>
      <c r="L11" s="153">
        <v>709</v>
      </c>
      <c r="M11" s="159"/>
      <c r="O11" t="s">
        <v>51</v>
      </c>
      <c r="P11">
        <f>+P10/J8</f>
        <v>5.7158033301771312</v>
      </c>
      <c r="S11" t="s">
        <v>51</v>
      </c>
      <c r="T11">
        <f>+T10/J8</f>
        <v>0</v>
      </c>
    </row>
    <row r="12" spans="1:20" ht="32.25" customHeight="1" thickBot="1" x14ac:dyDescent="0.3">
      <c r="A12" s="171" t="s">
        <v>862</v>
      </c>
      <c r="B12" s="172"/>
      <c r="C12" s="210">
        <f>IFERROR((C$11/J$8),"--")</f>
        <v>2.8867693586753191E-2</v>
      </c>
      <c r="D12" s="211"/>
      <c r="E12" s="211"/>
      <c r="F12" s="211"/>
      <c r="G12" s="211"/>
      <c r="H12" s="211"/>
      <c r="I12" s="211"/>
      <c r="J12" s="129"/>
      <c r="K12" s="196"/>
      <c r="L12" s="158">
        <v>4.7300000000000002E-2</v>
      </c>
      <c r="M12" s="143"/>
      <c r="S12" s="37"/>
      <c r="T12" s="37"/>
    </row>
    <row r="13" spans="1:20" ht="32.25" customHeight="1" thickBot="1" x14ac:dyDescent="0.3">
      <c r="A13" s="171" t="s">
        <v>27</v>
      </c>
      <c r="B13" s="172"/>
      <c r="C13" s="205" cm="1">
        <f t="array" ref="C13">(SUMIFS(KWH!D:D,KWH!E:E,WOR!$N$1)/(COUNT(_xlfn._xlws.FILTER(_xlfn._xlws.FILTER(KWH!A:E,KWH!E:E=WOR!$N$1),{0,0,1,0,0})))*C11)</f>
        <v>159200</v>
      </c>
      <c r="D13" s="206"/>
      <c r="E13" s="206"/>
      <c r="F13" s="206"/>
      <c r="G13" s="206"/>
      <c r="H13" s="206"/>
      <c r="I13" s="206"/>
      <c r="J13" s="130" cm="1">
        <f t="array" ref="J13">(SUMIFS(KWH!D:D,KWH!E:E,WOR!$N$1)/(COUNT(_xlfn._xlws.FILTER(_xlfn._xlws.FILTER(KWH!A:E,KWH!E:E=WOR!$N$1),{0,0,1,0,0}))))*J11</f>
        <v>159200</v>
      </c>
      <c r="K13" s="136">
        <f>+$P$11</f>
        <v>5.7158033301771312</v>
      </c>
      <c r="L13" s="152">
        <v>9.36</v>
      </c>
      <c r="M13" s="144"/>
      <c r="O13">
        <v>160394</v>
      </c>
      <c r="S13" s="37"/>
      <c r="T13" s="37"/>
    </row>
    <row r="14" spans="1:20" ht="32.25" hidden="1" customHeight="1" thickBot="1" x14ac:dyDescent="0.3">
      <c r="A14" s="171" t="s">
        <v>2511</v>
      </c>
      <c r="B14" s="172"/>
      <c r="C14" s="201">
        <v>0</v>
      </c>
      <c r="D14" s="202"/>
      <c r="E14" s="202"/>
      <c r="F14" s="202"/>
      <c r="G14" s="202"/>
      <c r="H14" s="202"/>
      <c r="I14" s="166"/>
      <c r="J14" s="125">
        <f>+C14</f>
        <v>0</v>
      </c>
      <c r="K14" s="196">
        <f>+$J$14/$J$8</f>
        <v>0</v>
      </c>
      <c r="L14" s="152"/>
      <c r="M14" s="159"/>
      <c r="S14" s="37"/>
      <c r="T14" s="37"/>
    </row>
    <row r="15" spans="1:20" ht="32.25" hidden="1" customHeight="1" thickBot="1" x14ac:dyDescent="0.3">
      <c r="A15" s="171" t="s">
        <v>862</v>
      </c>
      <c r="B15" s="172"/>
      <c r="C15" s="203">
        <f>IFERROR((C$14/J$8),"--")</f>
        <v>0</v>
      </c>
      <c r="D15" s="204"/>
      <c r="E15" s="204"/>
      <c r="F15" s="204"/>
      <c r="G15" s="204"/>
      <c r="H15" s="204"/>
      <c r="I15" s="166"/>
      <c r="J15" s="130"/>
      <c r="K15" s="196"/>
      <c r="L15" s="152"/>
      <c r="M15" s="144"/>
      <c r="S15" s="37"/>
      <c r="T15" s="37"/>
    </row>
    <row r="16" spans="1:20" ht="32.25" hidden="1" customHeight="1" thickBot="1" x14ac:dyDescent="0.3">
      <c r="A16" s="171" t="s">
        <v>27</v>
      </c>
      <c r="B16" s="172"/>
      <c r="C16" s="205" cm="1">
        <f t="array" ref="C16">(SUMIFS(KWH!D:D,KWH!E:E,WOR!$N$1)/(COUNT(_xlfn._xlws.FILTER(_xlfn._xlws.FILTER(KWH!A:E,KWH!E:E=WOR!$N$1),{0,0,1,0,0})))*C14)</f>
        <v>0</v>
      </c>
      <c r="D16" s="206"/>
      <c r="E16" s="206"/>
      <c r="F16" s="206"/>
      <c r="G16" s="206"/>
      <c r="H16" s="206"/>
      <c r="I16" s="166"/>
      <c r="J16" s="130" cm="1">
        <f t="array" ref="J16">(SUMIFS(KWH!D:D,KWH!E:E,WOR!$N$1)/(COUNT(_xlfn._xlws.FILTER(_xlfn._xlws.FILTER(KWH!A:E,KWH!E:E=WOR!$N$1),{0,0,1,0,0}))))*J14</f>
        <v>0</v>
      </c>
      <c r="K16" s="136">
        <f>+T11</f>
        <v>0</v>
      </c>
      <c r="L16" s="152"/>
      <c r="M16" s="144"/>
      <c r="S16" s="37"/>
      <c r="T16" s="37"/>
    </row>
    <row r="17" spans="1:16" ht="32.25" customHeight="1" thickBot="1" x14ac:dyDescent="0.35">
      <c r="A17" s="171" t="s">
        <v>54</v>
      </c>
      <c r="B17" s="172"/>
      <c r="C17" s="201">
        <f>SUMIFS(KWH!B:B,KWH!E:E,WOR!$N$1)</f>
        <v>8149.5000000000009</v>
      </c>
      <c r="D17" s="202"/>
      <c r="E17" s="202"/>
      <c r="F17" s="202"/>
      <c r="G17" s="202"/>
      <c r="H17" s="202"/>
      <c r="I17" s="202"/>
      <c r="J17" s="130"/>
      <c r="K17" s="137"/>
      <c r="L17" s="153"/>
      <c r="M17" s="140"/>
    </row>
    <row r="18" spans="1:16" ht="32.25" customHeight="1" thickBot="1" x14ac:dyDescent="0.35">
      <c r="A18" s="171" t="s">
        <v>49</v>
      </c>
      <c r="B18" s="172"/>
      <c r="C18" s="208">
        <f>+C17*44</f>
        <v>358578.00000000006</v>
      </c>
      <c r="D18" s="209"/>
      <c r="E18" s="209"/>
      <c r="F18" s="209"/>
      <c r="G18" s="209"/>
      <c r="H18" s="209"/>
      <c r="I18" s="209"/>
      <c r="J18" s="131"/>
      <c r="K18" s="138">
        <f>+$C$18/$J$8</f>
        <v>25.878299577376968</v>
      </c>
      <c r="L18" s="154">
        <v>28.49</v>
      </c>
      <c r="M18" s="140"/>
      <c r="P18" s="13"/>
    </row>
    <row r="19" spans="1:16" ht="32.25" customHeight="1" thickBot="1" x14ac:dyDescent="0.3">
      <c r="A19" s="190" t="s">
        <v>12</v>
      </c>
      <c r="B19" s="29" t="s">
        <v>29</v>
      </c>
      <c r="C19" s="214">
        <f>236000+28320</f>
        <v>264320</v>
      </c>
      <c r="D19" s="215"/>
      <c r="E19" s="132">
        <f>(((C19/26)*7)/J8)</f>
        <v>5.1357847482648289</v>
      </c>
      <c r="F19" s="29" t="s">
        <v>788</v>
      </c>
      <c r="G19" s="133">
        <f>150000+18000</f>
        <v>168000</v>
      </c>
      <c r="H19" s="132">
        <f>(((G19/26)*7)/J8)</f>
        <v>3.2642699671174764</v>
      </c>
      <c r="I19" s="134"/>
      <c r="J19" s="135"/>
      <c r="K19" s="212">
        <f>+E19+H20+H19</f>
        <v>14.107086707892693</v>
      </c>
      <c r="L19" s="207">
        <v>13.04</v>
      </c>
      <c r="M19" s="142"/>
      <c r="O19">
        <f>266000/2</f>
        <v>133000</v>
      </c>
    </row>
    <row r="20" spans="1:16" ht="32.25" customHeight="1" thickBot="1" x14ac:dyDescent="0.3">
      <c r="A20" s="191"/>
      <c r="B20" s="29" t="s">
        <v>30</v>
      </c>
      <c r="C20" s="171" t="s">
        <v>31</v>
      </c>
      <c r="D20" s="172"/>
      <c r="E20" s="197">
        <f>((123200/26)*7)/$J$8</f>
        <v>2.393797975886149</v>
      </c>
      <c r="F20" s="198"/>
      <c r="G20" s="29" t="s">
        <v>32</v>
      </c>
      <c r="H20" s="43">
        <f>(((170520/26)*7)/J8)+E20</f>
        <v>5.7070319925103874</v>
      </c>
      <c r="K20" s="213"/>
      <c r="L20" s="207"/>
      <c r="M20" s="145">
        <f>+L21+L19+L18+L13</f>
        <v>53.269999999999996</v>
      </c>
    </row>
    <row r="21" spans="1:16" ht="32.25" customHeight="1" thickBot="1" x14ac:dyDescent="0.3">
      <c r="A21" s="171" t="s">
        <v>38</v>
      </c>
      <c r="B21" s="172"/>
      <c r="C21" s="192">
        <f>+[1]WOR!$Q$18</f>
        <v>79090.129836869834</v>
      </c>
      <c r="D21" s="193"/>
      <c r="E21" s="194"/>
      <c r="F21" s="195" t="s">
        <v>53</v>
      </c>
      <c r="G21" s="172"/>
      <c r="H21" s="73"/>
      <c r="I21" s="75"/>
      <c r="J21" s="199">
        <f>+(C21+H21)/J8</f>
        <v>5.7078740846682106</v>
      </c>
      <c r="K21" s="200"/>
      <c r="L21" s="155">
        <v>2.38</v>
      </c>
      <c r="M21" s="146">
        <f>+J21+K19+K18+K13+K16</f>
        <v>51.409063700115006</v>
      </c>
    </row>
    <row r="24" spans="1:16" ht="22.5" customHeight="1" x14ac:dyDescent="0.35">
      <c r="H24" s="119"/>
      <c r="L24" s="77" t="s">
        <v>1044</v>
      </c>
      <c r="M24" s="77">
        <v>400</v>
      </c>
    </row>
    <row r="25" spans="1:16" ht="22.5" customHeight="1" x14ac:dyDescent="0.25">
      <c r="J25" s="32"/>
      <c r="K25" s="32"/>
      <c r="L25" s="32"/>
      <c r="M25" s="31">
        <f>+M24-J11</f>
        <v>0</v>
      </c>
    </row>
    <row r="26" spans="1:16" ht="22.5" customHeight="1" x14ac:dyDescent="0.25">
      <c r="J26" s="33"/>
      <c r="K26" s="32"/>
      <c r="L26" s="33" t="s">
        <v>1045</v>
      </c>
      <c r="M26" s="31">
        <v>225</v>
      </c>
    </row>
    <row r="27" spans="1:16" ht="22.5" customHeight="1" x14ac:dyDescent="0.25">
      <c r="M27" s="31">
        <f>+M24-M25</f>
        <v>400</v>
      </c>
    </row>
    <row r="28" spans="1:16" ht="22.5" customHeight="1" x14ac:dyDescent="0.25">
      <c r="K28" s="31"/>
    </row>
  </sheetData>
  <mergeCells count="47">
    <mergeCell ref="L19:L20"/>
    <mergeCell ref="C18:I18"/>
    <mergeCell ref="C11:I11"/>
    <mergeCell ref="C12:I12"/>
    <mergeCell ref="C13:I13"/>
    <mergeCell ref="C17:I17"/>
    <mergeCell ref="K19:K20"/>
    <mergeCell ref="C20:D20"/>
    <mergeCell ref="C19:D19"/>
    <mergeCell ref="C21:E21"/>
    <mergeCell ref="F21:G21"/>
    <mergeCell ref="K8:K10"/>
    <mergeCell ref="K11:K12"/>
    <mergeCell ref="E20:F20"/>
    <mergeCell ref="J21:K21"/>
    <mergeCell ref="C14:H14"/>
    <mergeCell ref="C15:H15"/>
    <mergeCell ref="C16:H16"/>
    <mergeCell ref="K14:K15"/>
    <mergeCell ref="A21:B21"/>
    <mergeCell ref="A8:B8"/>
    <mergeCell ref="A13:B13"/>
    <mergeCell ref="A17:B17"/>
    <mergeCell ref="A18:B18"/>
    <mergeCell ref="A19:A20"/>
    <mergeCell ref="A9:B9"/>
    <mergeCell ref="A10:B10"/>
    <mergeCell ref="A11:B11"/>
    <mergeCell ref="A12:B12"/>
    <mergeCell ref="A14:B14"/>
    <mergeCell ref="A15:B15"/>
    <mergeCell ref="A16:B16"/>
    <mergeCell ref="A1:K1"/>
    <mergeCell ref="M1:M2"/>
    <mergeCell ref="A2:B3"/>
    <mergeCell ref="J2:J3"/>
    <mergeCell ref="K2:K3"/>
    <mergeCell ref="L2:L3"/>
    <mergeCell ref="C2:I2"/>
    <mergeCell ref="M4:M5"/>
    <mergeCell ref="M6:M7"/>
    <mergeCell ref="A4:B4"/>
    <mergeCell ref="K4:K5"/>
    <mergeCell ref="A5:B5"/>
    <mergeCell ref="A6:B6"/>
    <mergeCell ref="K6:K7"/>
    <mergeCell ref="A7:B7"/>
  </mergeCells>
  <phoneticPr fontId="9" type="noConversion"/>
  <conditionalFormatting sqref="C5:H5">
    <cfRule type="cellIs" dxfId="31" priority="22" operator="lessThan">
      <formula>0.02</formula>
    </cfRule>
    <cfRule type="cellIs" dxfId="30" priority="23" operator="greaterThan">
      <formula>0.02</formula>
    </cfRule>
  </conditionalFormatting>
  <conditionalFormatting sqref="C7:H7">
    <cfRule type="cellIs" dxfId="29" priority="18" operator="lessThan">
      <formula>3%</formula>
    </cfRule>
    <cfRule type="cellIs" dxfId="28" priority="19" operator="greaterThan">
      <formula>3%</formula>
    </cfRule>
  </conditionalFormatting>
  <conditionalFormatting sqref="C10:H10">
    <cfRule type="cellIs" dxfId="27" priority="14" operator="lessThan">
      <formula>95%</formula>
    </cfRule>
    <cfRule type="cellIs" dxfId="26" priority="15" operator="greaterThan">
      <formula>95%</formula>
    </cfRule>
  </conditionalFormatting>
  <conditionalFormatting sqref="C12:I12">
    <cfRule type="cellIs" dxfId="25" priority="5" operator="greaterThan">
      <formula>0.04</formula>
    </cfRule>
  </conditionalFormatting>
  <conditionalFormatting sqref="K4">
    <cfRule type="cellIs" dxfId="24" priority="20" operator="lessThan">
      <formula>0.02</formula>
    </cfRule>
    <cfRule type="cellIs" dxfId="23" priority="21" operator="greaterThan">
      <formula>0.02</formula>
    </cfRule>
  </conditionalFormatting>
  <conditionalFormatting sqref="K6">
    <cfRule type="cellIs" dxfId="22" priority="16" operator="lessThan">
      <formula>3%</formula>
    </cfRule>
    <cfRule type="cellIs" dxfId="21" priority="17" operator="greaterThan">
      <formula>3%</formula>
    </cfRule>
  </conditionalFormatting>
  <conditionalFormatting sqref="K8">
    <cfRule type="cellIs" dxfId="20" priority="12" operator="lessThan">
      <formula>95%</formula>
    </cfRule>
    <cfRule type="cellIs" dxfId="19" priority="13" operator="greaterThan">
      <formula>95%</formula>
    </cfRule>
  </conditionalFormatting>
  <conditionalFormatting sqref="K11:K12">
    <cfRule type="cellIs" dxfId="18" priority="4" operator="greaterThan">
      <formula>4%</formula>
    </cfRule>
  </conditionalFormatting>
  <conditionalFormatting sqref="K14:K15">
    <cfRule type="cellIs" dxfId="17" priority="1" operator="greaterThan">
      <formula>4%</formula>
    </cfRule>
  </conditionalFormatting>
  <conditionalFormatting sqref="K18">
    <cfRule type="cellIs" dxfId="16" priority="2" operator="greaterThan">
      <formula>26</formula>
    </cfRule>
  </conditionalFormatting>
  <conditionalFormatting sqref="L5">
    <cfRule type="cellIs" dxfId="15" priority="6" operator="lessThan">
      <formula>0.02</formula>
    </cfRule>
    <cfRule type="cellIs" dxfId="14" priority="7" operator="greaterThan">
      <formula>0.02</formula>
    </cfRule>
  </conditionalFormatting>
  <conditionalFormatting sqref="L7">
    <cfRule type="cellIs" dxfId="13" priority="8" operator="lessThan">
      <formula>3%</formula>
    </cfRule>
    <cfRule type="cellIs" dxfId="12" priority="9" operator="greaterThan">
      <formula>3%</formula>
    </cfRule>
  </conditionalFormatting>
  <conditionalFormatting sqref="L10">
    <cfRule type="cellIs" dxfId="11" priority="10" operator="lessThan">
      <formula>95%</formula>
    </cfRule>
    <cfRule type="cellIs" dxfId="10" priority="11" operator="greaterThan">
      <formula>95%</formula>
    </cfRule>
  </conditionalFormatting>
  <conditionalFormatting sqref="L12">
    <cfRule type="cellIs" dxfId="9" priority="3" operator="greaterThan">
      <formula>4%</formula>
    </cfRule>
  </conditionalFormatting>
  <pageMargins left="0.7" right="0.7" top="0.75" bottom="0.75" header="0.3" footer="0.3"/>
  <pageSetup scale="6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BECD2-D41C-4C2D-B165-2B0C4D578F54}">
  <sheetPr>
    <pageSetUpPr fitToPage="1"/>
  </sheetPr>
  <dimension ref="A1:AR35"/>
  <sheetViews>
    <sheetView tabSelected="1" topLeftCell="A2" zoomScale="60" zoomScaleNormal="60" workbookViewId="0">
      <selection sqref="A1:Y25"/>
    </sheetView>
  </sheetViews>
  <sheetFormatPr defaultRowHeight="35.25" customHeight="1" x14ac:dyDescent="0.25"/>
  <cols>
    <col min="1" max="1" width="19" bestFit="1" customWidth="1"/>
    <col min="2" max="2" width="43.42578125" customWidth="1"/>
    <col min="3" max="3" width="26.140625" bestFit="1" customWidth="1"/>
    <col min="4" max="4" width="22.85546875" bestFit="1" customWidth="1"/>
    <col min="5" max="5" width="29.7109375" bestFit="1" customWidth="1"/>
    <col min="6" max="7" width="22.85546875" bestFit="1" customWidth="1"/>
    <col min="8" max="9" width="24.85546875" bestFit="1" customWidth="1"/>
    <col min="10" max="11" width="24.85546875" customWidth="1"/>
    <col min="12" max="16" width="24.85546875" hidden="1" customWidth="1"/>
    <col min="17" max="17" width="25" hidden="1" customWidth="1"/>
    <col min="18" max="18" width="23.28515625" hidden="1" customWidth="1"/>
    <col min="19" max="19" width="24.140625" hidden="1" customWidth="1"/>
    <col min="20" max="20" width="25.28515625" hidden="1" customWidth="1"/>
    <col min="21" max="21" width="19.7109375" hidden="1" customWidth="1"/>
    <col min="22" max="22" width="20.7109375" hidden="1" customWidth="1"/>
    <col min="23" max="23" width="19.140625" hidden="1" customWidth="1"/>
    <col min="24" max="24" width="19.42578125" hidden="1" customWidth="1"/>
    <col min="25" max="25" width="61.85546875" customWidth="1"/>
  </cols>
  <sheetData>
    <row r="1" spans="1:44" ht="35.25" customHeight="1" thickBot="1" x14ac:dyDescent="0.3">
      <c r="A1" s="262" t="s">
        <v>52</v>
      </c>
      <c r="B1" s="263"/>
      <c r="C1" s="263"/>
      <c r="D1" s="263"/>
      <c r="E1" s="263"/>
      <c r="F1" s="263"/>
      <c r="G1" s="263"/>
      <c r="H1" s="263"/>
      <c r="I1" s="264"/>
      <c r="J1" s="47"/>
      <c r="K1" s="47"/>
      <c r="L1" s="47"/>
      <c r="M1" s="47"/>
      <c r="N1" s="47"/>
      <c r="O1" s="47"/>
      <c r="P1" s="47"/>
      <c r="Q1" s="47"/>
      <c r="R1" s="47"/>
      <c r="S1" s="47"/>
      <c r="T1" s="47"/>
      <c r="U1" s="47"/>
      <c r="V1" s="47"/>
      <c r="W1" s="47"/>
      <c r="X1" s="47"/>
      <c r="Y1" s="256">
        <v>46113</v>
      </c>
    </row>
    <row r="2" spans="1:44" ht="35.25" customHeight="1" thickBot="1" x14ac:dyDescent="0.3">
      <c r="A2" s="265" t="s">
        <v>20</v>
      </c>
      <c r="B2" s="266"/>
      <c r="C2" s="269" t="s">
        <v>2</v>
      </c>
      <c r="D2" s="270"/>
      <c r="E2" s="270"/>
      <c r="F2" s="270"/>
      <c r="G2" s="270"/>
      <c r="H2" s="216" t="s">
        <v>775</v>
      </c>
      <c r="I2" s="271" t="s">
        <v>21</v>
      </c>
      <c r="J2" s="216" t="s">
        <v>776</v>
      </c>
      <c r="K2" s="216" t="s">
        <v>777</v>
      </c>
      <c r="L2" s="216" t="s">
        <v>778</v>
      </c>
      <c r="M2" s="226" t="s">
        <v>1713</v>
      </c>
      <c r="N2" s="226" t="s">
        <v>1435</v>
      </c>
      <c r="O2" s="224" t="s">
        <v>795</v>
      </c>
      <c r="P2" s="224" t="s">
        <v>1124</v>
      </c>
      <c r="Q2" s="258" t="s">
        <v>771</v>
      </c>
      <c r="R2" s="258" t="s">
        <v>772</v>
      </c>
      <c r="S2" s="258" t="s">
        <v>773</v>
      </c>
      <c r="T2" s="258" t="s">
        <v>774</v>
      </c>
      <c r="U2" s="260" t="s">
        <v>775</v>
      </c>
      <c r="V2" s="260" t="s">
        <v>776</v>
      </c>
      <c r="W2" s="260" t="s">
        <v>777</v>
      </c>
      <c r="X2" s="260" t="s">
        <v>778</v>
      </c>
      <c r="Y2" s="257"/>
    </row>
    <row r="3" spans="1:44" ht="35.25" customHeight="1" thickBot="1" x14ac:dyDescent="0.3">
      <c r="A3" s="267"/>
      <c r="B3" s="268"/>
      <c r="C3" s="111">
        <v>14</v>
      </c>
      <c r="D3" s="112">
        <f>+C3+1</f>
        <v>15</v>
      </c>
      <c r="E3" s="112">
        <f t="shared" ref="E3:G3" si="0">+D3+1</f>
        <v>16</v>
      </c>
      <c r="F3" s="112">
        <f t="shared" si="0"/>
        <v>17</v>
      </c>
      <c r="G3" s="112">
        <f t="shared" si="0"/>
        <v>18</v>
      </c>
      <c r="H3" s="217"/>
      <c r="I3" s="272"/>
      <c r="J3" s="217"/>
      <c r="K3" s="217"/>
      <c r="L3" s="217"/>
      <c r="M3" s="227"/>
      <c r="N3" s="227"/>
      <c r="O3" s="225"/>
      <c r="P3" s="225"/>
      <c r="Q3" s="259"/>
      <c r="R3" s="259"/>
      <c r="S3" s="259"/>
      <c r="T3" s="259"/>
      <c r="U3" s="261"/>
      <c r="V3" s="261"/>
      <c r="W3" s="261"/>
      <c r="X3" s="261"/>
      <c r="Y3" s="48" t="s">
        <v>16</v>
      </c>
    </row>
    <row r="4" spans="1:44" ht="35.25" customHeight="1" thickBot="1" x14ac:dyDescent="0.3">
      <c r="A4" s="228" t="s">
        <v>22</v>
      </c>
      <c r="B4" s="229"/>
      <c r="C4" s="88">
        <f>SUMIFS(PP_PRD[P.S   HOURS],PP_PRD[WEEK NO.],MOR!C3)</f>
        <v>14.666666666666666</v>
      </c>
      <c r="D4" s="49">
        <f>SUMIFS(PP_PRD[P.S   HOURS],PP_PRD[WEEK NO.],MOR!D3)</f>
        <v>7.4999999999999991</v>
      </c>
      <c r="E4" s="49">
        <f>SUMIFS(PP_PRD[P.S   HOURS],PP_PRD[WEEK NO.],MOR!E3)</f>
        <v>5.5833333333333348</v>
      </c>
      <c r="F4" s="49">
        <f>SUMIFS(PP_PRD[P.S   HOURS],PP_PRD[WEEK NO.],MOR!F3)</f>
        <v>10.916666666666664</v>
      </c>
      <c r="G4" s="49">
        <f>SUMIFS(PP_PRD[P.S   HOURS],PP_PRD[WEEK NO.],MOR!G3)</f>
        <v>9.75</v>
      </c>
      <c r="H4" s="49">
        <f>SUM(C4:G4)</f>
        <v>48.416666666666664</v>
      </c>
      <c r="I4" s="273">
        <f>+H4/(SUMIFS('PP PRO PIVOTE'!E:E,'PP PRO PIVOTE'!AG:AG,MOR!C3)+SUMIFS('PP PRO PIVOTE'!E:E,'PP PRO PIVOTE'!AG:AG,D3)+SUMIFS('PP PRO PIVOTE'!E:E,'PP PRO PIVOTE'!AG:AG,E3)+SUMIFS('PP PRO PIVOTE'!E:E,'PP PRO PIVOTE'!AG:AG,F3)+SUMIFS('PP PRO PIVOTE'!E:E,'PP PRO PIVOTE'!AG:AG,G3))</f>
        <v>2.0797537227949598E-2</v>
      </c>
      <c r="J4" s="85">
        <v>24.83</v>
      </c>
      <c r="K4" s="85">
        <v>58.53</v>
      </c>
      <c r="L4" s="85">
        <v>123.33</v>
      </c>
      <c r="M4" s="85">
        <v>110.92</v>
      </c>
      <c r="N4" s="85">
        <v>134.66999999999999</v>
      </c>
      <c r="O4" s="84">
        <v>96.18</v>
      </c>
      <c r="P4" s="84">
        <v>78.48</v>
      </c>
      <c r="Q4" s="50">
        <v>51.57</v>
      </c>
      <c r="R4" s="50">
        <v>83.17</v>
      </c>
      <c r="S4" s="50">
        <v>72.33</v>
      </c>
      <c r="T4" s="50">
        <v>63.67</v>
      </c>
      <c r="U4" s="51">
        <v>37.08</v>
      </c>
      <c r="V4" s="51">
        <v>25.75</v>
      </c>
      <c r="W4" s="51">
        <v>21.58</v>
      </c>
      <c r="X4" s="51">
        <v>18.670000000000002</v>
      </c>
      <c r="Y4" s="234" t="s">
        <v>2790</v>
      </c>
    </row>
    <row r="5" spans="1:44" ht="35.25" customHeight="1" thickBot="1" x14ac:dyDescent="0.3">
      <c r="A5" s="228" t="s">
        <v>779</v>
      </c>
      <c r="B5" s="229"/>
      <c r="C5" s="89">
        <f>IFERROR((C4/(SUMIFS('PP PRO PIVOTE'!$E:$E,'PP PRO PIVOTE'!$AG:$AG,MOR!C3))),"--")</f>
        <v>3.5947712418300651E-2</v>
      </c>
      <c r="D5" s="82">
        <f>IFERROR((D4/(SUMIFS('PP PRO PIVOTE'!$E:$E,'PP PRO PIVOTE'!$AG:$AG,MOR!D3))),"--")</f>
        <v>1.3888888888888886E-2</v>
      </c>
      <c r="E5" s="82">
        <f>IFERROR((E4/(SUMIFS('PP PRO PIVOTE'!$E:$E,'PP PRO PIVOTE'!$AG:$AG,MOR!E3))),"--")</f>
        <v>1.1078042328042331E-2</v>
      </c>
      <c r="F5" s="82">
        <f>IFERROR((F4/(SUMIFS('PP PRO PIVOTE'!$E:$E,'PP PRO PIVOTE'!$AG:$AG,MOR!F3))),"--")</f>
        <v>2.218834688346883E-2</v>
      </c>
      <c r="G5" s="82">
        <f>IFERROR((G4/(SUMIFS('PP PRO PIVOTE'!$E:$E,'PP PRO PIVOTE'!$AG:$AG,MOR!G3))),"--")</f>
        <v>2.5390625E-2</v>
      </c>
      <c r="H5" s="55"/>
      <c r="I5" s="274"/>
      <c r="J5" s="116">
        <v>1.7100000000000001E-2</v>
      </c>
      <c r="K5" s="115">
        <v>2.5499999999999998E-2</v>
      </c>
      <c r="L5" s="115">
        <v>4.7800000000000002E-2</v>
      </c>
      <c r="M5" s="115">
        <v>3.7999999999999999E-2</v>
      </c>
      <c r="N5" s="115">
        <v>4.8399999999999999E-2</v>
      </c>
      <c r="O5" s="115">
        <v>3.1399999999999997E-2</v>
      </c>
      <c r="P5" s="78">
        <v>2.1899999999999999E-2</v>
      </c>
      <c r="Q5" s="52">
        <v>1.17E-2</v>
      </c>
      <c r="R5" s="52">
        <v>2.75E-2</v>
      </c>
      <c r="S5" s="52">
        <v>3.0099999999999998E-2</v>
      </c>
      <c r="T5" s="53">
        <v>2.1100000000000001E-2</v>
      </c>
      <c r="U5" s="54">
        <v>1.8700000000000001E-2</v>
      </c>
      <c r="V5" s="54">
        <v>7.4000000000000003E-3</v>
      </c>
      <c r="W5" s="54">
        <v>7.3000000000000001E-3</v>
      </c>
      <c r="X5" s="54">
        <v>5.5999999999999999E-3</v>
      </c>
      <c r="Y5" s="235"/>
    </row>
    <row r="6" spans="1:44" ht="35.25" customHeight="1" thickBot="1" x14ac:dyDescent="0.3">
      <c r="A6" s="228" t="s">
        <v>23</v>
      </c>
      <c r="B6" s="229"/>
      <c r="C6" s="90">
        <f>SUMIFS(PP_PRD[U.P.S HOURS],PP_PRD[WEEK NO.],MOR!C3)</f>
        <v>4.333333333333333</v>
      </c>
      <c r="D6" s="55">
        <f>SUMIFS(PP_PRD[U.P.S HOURS],PP_PRD[WEEK NO.],MOR!D3)</f>
        <v>5.416666666666667</v>
      </c>
      <c r="E6" s="55">
        <f>SUMIFS(PP_PRD[U.P.S HOURS],PP_PRD[WEEK NO.],MOR!E3)</f>
        <v>16.583333333333332</v>
      </c>
      <c r="F6" s="55">
        <f>SUMIFS(PP_PRD[U.P.S HOURS],PP_PRD[WEEK NO.],MOR!F3)</f>
        <v>10.666666666666666</v>
      </c>
      <c r="G6" s="55">
        <f>SUMIFS(PP_PRD[U.P.S HOURS],PP_PRD[WEEK NO.],MOR!G3)</f>
        <v>4</v>
      </c>
      <c r="H6" s="55">
        <f>SUM(C6:G6)</f>
        <v>41</v>
      </c>
      <c r="I6" s="274">
        <f>+H6/(SUMIFS('PP PRO PIVOTE'!E:E,'PP PRO PIVOTE'!AG:AG,MOR!C3)+SUMIFS('PP PRO PIVOTE'!E:E,'PP PRO PIVOTE'!AG:AG,D3)+SUMIFS('PP PRO PIVOTE'!E:E,'PP PRO PIVOTE'!AG:AG,E3)+SUMIFS('PP PRO PIVOTE'!E:E,'PP PRO PIVOTE'!AG:AG,F3)+SUMIFS('PP PRO PIVOTE'!E:E,'PP PRO PIVOTE'!AG:AG,G3))</f>
        <v>1.7611683848797251E-2</v>
      </c>
      <c r="J6" s="85">
        <v>23.83</v>
      </c>
      <c r="K6" s="85">
        <v>66.25</v>
      </c>
      <c r="L6" s="85">
        <v>59</v>
      </c>
      <c r="M6" s="85">
        <v>60.17</v>
      </c>
      <c r="N6" s="85">
        <v>76.83</v>
      </c>
      <c r="O6" s="85">
        <v>76.83</v>
      </c>
      <c r="P6" s="55">
        <v>108.58</v>
      </c>
      <c r="Q6" s="56">
        <v>80</v>
      </c>
      <c r="R6" s="56">
        <v>69.42</v>
      </c>
      <c r="S6" s="56">
        <v>88</v>
      </c>
      <c r="T6" s="56">
        <v>59.83</v>
      </c>
      <c r="U6" s="46">
        <v>18</v>
      </c>
      <c r="V6" s="46">
        <v>39.92</v>
      </c>
      <c r="W6" s="46">
        <v>14.67</v>
      </c>
      <c r="X6" s="46">
        <v>77.08</v>
      </c>
      <c r="Y6" s="236" t="s">
        <v>2791</v>
      </c>
      <c r="AB6" s="37"/>
      <c r="AC6" s="37"/>
      <c r="AD6" s="37"/>
      <c r="AE6" s="37"/>
      <c r="AF6" s="37"/>
      <c r="AG6" s="37"/>
      <c r="AH6" s="37"/>
      <c r="AI6" s="37"/>
      <c r="AJ6" s="37"/>
      <c r="AK6" s="37"/>
      <c r="AL6" s="37"/>
      <c r="AM6" s="37"/>
      <c r="AN6" s="37"/>
      <c r="AO6" s="37"/>
      <c r="AP6" s="37"/>
      <c r="AQ6" s="37"/>
      <c r="AR6" s="37"/>
    </row>
    <row r="7" spans="1:44" ht="35.25" customHeight="1" thickBot="1" x14ac:dyDescent="0.3">
      <c r="A7" s="228" t="s">
        <v>780</v>
      </c>
      <c r="B7" s="229"/>
      <c r="C7" s="89">
        <f>IFERROR((C6/(SUMIFS('PP PRO PIVOTE'!$E:$E,'PP PRO PIVOTE'!$AG:$AG,MOR!C3))),"--")</f>
        <v>1.0620915032679737E-2</v>
      </c>
      <c r="D7" s="82">
        <f>IFERROR((D6/(SUMIFS('PP PRO PIVOTE'!$E:$E,'PP PRO PIVOTE'!$AG:$AG,MOR!D3))),"--")</f>
        <v>1.0030864197530865E-2</v>
      </c>
      <c r="E7" s="82">
        <f>IFERROR((E6/(SUMIFS('PP PRO PIVOTE'!$E:$E,'PP PRO PIVOTE'!$AG:$AG,MOR!E3))),"--")</f>
        <v>3.290343915343915E-2</v>
      </c>
      <c r="F7" s="82">
        <f>IFERROR((F6/(SUMIFS('PP PRO PIVOTE'!$E:$E,'PP PRO PIVOTE'!$AG:$AG,MOR!F3))),"--")</f>
        <v>2.1680216802168022E-2</v>
      </c>
      <c r="G7" s="82">
        <f>IFERROR((G6/(SUMIFS('PP PRO PIVOTE'!$E:$E,'PP PRO PIVOTE'!$AG:$AG,MOR!G3))),"--")</f>
        <v>1.0416666666666666E-2</v>
      </c>
      <c r="H7" s="55"/>
      <c r="I7" s="274"/>
      <c r="J7" s="116">
        <v>1.6400000000000001E-2</v>
      </c>
      <c r="K7" s="116">
        <v>2.8899999999999999E-2</v>
      </c>
      <c r="L7" s="116">
        <v>2.29E-2</v>
      </c>
      <c r="M7" s="116">
        <v>2.06E-2</v>
      </c>
      <c r="N7" s="116">
        <v>1.2999999999999999E-2</v>
      </c>
      <c r="O7" s="116">
        <v>2.5100000000000001E-2</v>
      </c>
      <c r="P7" s="78">
        <v>3.04E-2</v>
      </c>
      <c r="Q7" s="57">
        <v>1.8100000000000002E-2</v>
      </c>
      <c r="R7" s="57">
        <v>2.3E-2</v>
      </c>
      <c r="S7" s="58">
        <v>3.6700000000000003E-2</v>
      </c>
      <c r="T7" s="57">
        <v>1.9800000000000002E-2</v>
      </c>
      <c r="U7" s="54">
        <v>9.1000000000000004E-3</v>
      </c>
      <c r="V7" s="54">
        <v>1.15E-2</v>
      </c>
      <c r="W7" s="54">
        <v>4.8999999999999998E-3</v>
      </c>
      <c r="X7" s="54">
        <v>2.29E-2</v>
      </c>
      <c r="Y7" s="237"/>
    </row>
    <row r="8" spans="1:44" ht="35.25" customHeight="1" thickBot="1" x14ac:dyDescent="0.3">
      <c r="A8" s="228" t="s">
        <v>24</v>
      </c>
      <c r="B8" s="229"/>
      <c r="C8" s="91">
        <f>SUMIFS(PP_PRD[NET WEIGHT],PP_PRD[WEEK NO.],MOR!C3)</f>
        <v>12624.420000000002</v>
      </c>
      <c r="D8" s="59">
        <f>SUMIFS(PP_PRD[NET WEIGHT],PP_PRD[WEEK NO.],MOR!D3)</f>
        <v>18864.650000000001</v>
      </c>
      <c r="E8" s="59">
        <f>SUMIFS(PP_PRD[NET WEIGHT],PP_PRD[WEEK NO.],MOR!E3)</f>
        <v>14992.609999999999</v>
      </c>
      <c r="F8" s="59">
        <f>SUMIFS(PP_PRD[NET WEIGHT],PP_PRD[WEEK NO.],MOR!F3)</f>
        <v>13856.32</v>
      </c>
      <c r="G8" s="59">
        <f>SUMIFS(PP_PRD[NET WEIGHT],PP_PRD[WEEK NO.],MOR!G3)</f>
        <v>8730.9299999999985</v>
      </c>
      <c r="H8" s="59">
        <f>SUM(C8:G8)</f>
        <v>69068.929999999993</v>
      </c>
      <c r="I8" s="275">
        <f>+$H$8/$H$9</f>
        <v>0.94805193379099129</v>
      </c>
      <c r="J8" s="86">
        <v>40944</v>
      </c>
      <c r="K8" s="86">
        <v>67240.399999999994</v>
      </c>
      <c r="L8" s="86">
        <v>81891</v>
      </c>
      <c r="M8" s="86">
        <v>85912</v>
      </c>
      <c r="N8" s="86">
        <v>78685</v>
      </c>
      <c r="O8" s="86">
        <v>83296.76999999999</v>
      </c>
      <c r="P8" s="59">
        <v>101702</v>
      </c>
      <c r="Q8" s="59">
        <v>124628</v>
      </c>
      <c r="R8" s="59">
        <v>78393</v>
      </c>
      <c r="S8" s="59">
        <v>58995</v>
      </c>
      <c r="T8" s="59">
        <v>78391</v>
      </c>
      <c r="U8" s="60">
        <v>53727</v>
      </c>
      <c r="V8" s="60">
        <v>103091.48</v>
      </c>
      <c r="W8" s="60">
        <v>88615.86</v>
      </c>
      <c r="X8" s="60">
        <v>104314.84</v>
      </c>
      <c r="Y8" s="237"/>
    </row>
    <row r="9" spans="1:44" ht="35.25" customHeight="1" thickBot="1" x14ac:dyDescent="0.3">
      <c r="A9" s="228" t="s">
        <v>781</v>
      </c>
      <c r="B9" s="229"/>
      <c r="C9" s="91">
        <f>SUMIFS(PP_PRD[TARGET],PP_PRD[WEEK NO.],MOR!C3)</f>
        <v>13295.719999999998</v>
      </c>
      <c r="D9" s="59">
        <f>SUMIFS(PP_PRD[TARGET],PP_PRD[WEEK NO.],MOR!D3)</f>
        <v>19834.089999999997</v>
      </c>
      <c r="E9" s="59">
        <f>SUMIFS(PP_PRD[TARGET],PP_PRD[WEEK NO.],MOR!E3)+100</f>
        <v>15879.910000000002</v>
      </c>
      <c r="F9" s="59">
        <f>SUMIFS(PP_PRD[TARGET],PP_PRD[WEEK NO.],MOR!F3)</f>
        <v>14616.98</v>
      </c>
      <c r="G9" s="59">
        <f>SUMIFS(PP_PRD[TARGET],PP_PRD[WEEK NO.],MOR!G3)</f>
        <v>9226.8299999999981</v>
      </c>
      <c r="H9" s="59">
        <f>SUM(C9:G9)</f>
        <v>72853.53</v>
      </c>
      <c r="I9" s="275"/>
      <c r="J9" s="86">
        <v>43274</v>
      </c>
      <c r="K9" s="86">
        <v>70965</v>
      </c>
      <c r="L9" s="86">
        <v>86398</v>
      </c>
      <c r="M9" s="86">
        <v>89984</v>
      </c>
      <c r="N9" s="86">
        <v>82656</v>
      </c>
      <c r="O9" s="86">
        <v>87222.1</v>
      </c>
      <c r="P9" s="59">
        <v>103702</v>
      </c>
      <c r="Q9" s="59">
        <v>125538</v>
      </c>
      <c r="R9" s="59">
        <v>81300</v>
      </c>
      <c r="S9" s="59">
        <v>61250</v>
      </c>
      <c r="T9" s="59">
        <v>81050</v>
      </c>
      <c r="U9" s="60">
        <v>55350</v>
      </c>
      <c r="V9" s="60">
        <v>104750</v>
      </c>
      <c r="W9" s="60">
        <v>90380</v>
      </c>
      <c r="X9" s="60">
        <v>105050</v>
      </c>
      <c r="Y9" s="238"/>
    </row>
    <row r="10" spans="1:44" ht="35.25" customHeight="1" thickBot="1" x14ac:dyDescent="0.35">
      <c r="A10" s="228" t="s">
        <v>782</v>
      </c>
      <c r="B10" s="229"/>
      <c r="C10" s="92">
        <f>IFERROR((C$8/C$9),"--")</f>
        <v>0.94951006790155057</v>
      </c>
      <c r="D10" s="83">
        <f t="shared" ref="D10:F10" si="1">IFERROR((D$8/D$9),"--")</f>
        <v>0.95112253700573124</v>
      </c>
      <c r="E10" s="83">
        <f t="shared" si="1"/>
        <v>0.94412436846304526</v>
      </c>
      <c r="F10" s="83">
        <f t="shared" si="1"/>
        <v>0.94796052262505659</v>
      </c>
      <c r="G10" s="83">
        <f>IFERROR((G$8/G$9),"--")</f>
        <v>0.94625456413524478</v>
      </c>
      <c r="H10" s="55"/>
      <c r="I10" s="275"/>
      <c r="J10" s="115">
        <v>0.94610000000000005</v>
      </c>
      <c r="K10" s="115">
        <v>0.94750000000000001</v>
      </c>
      <c r="L10" s="115">
        <v>0.94779999999999998</v>
      </c>
      <c r="M10" s="116">
        <v>0.95469999999999999</v>
      </c>
      <c r="N10" s="116">
        <v>0.95199999999999996</v>
      </c>
      <c r="O10" s="116">
        <v>0.95499999999999996</v>
      </c>
      <c r="P10" s="61">
        <v>0.98070000000000002</v>
      </c>
      <c r="Q10" s="52">
        <v>0.99270000000000003</v>
      </c>
      <c r="R10" s="52">
        <v>0.96419999999999995</v>
      </c>
      <c r="S10" s="52">
        <v>0.96319999999999995</v>
      </c>
      <c r="T10" s="52">
        <v>0.96719999999999995</v>
      </c>
      <c r="U10" s="54">
        <v>0.97070000000000001</v>
      </c>
      <c r="V10" s="54">
        <f>+V8/V9</f>
        <v>0.98416687350835319</v>
      </c>
      <c r="W10" s="54">
        <f>+W8/W9</f>
        <v>0.98048085859703471</v>
      </c>
      <c r="X10" s="54">
        <f>+X8/X9</f>
        <v>0.99300180866254162</v>
      </c>
      <c r="Y10" s="62"/>
    </row>
    <row r="11" spans="1:44" ht="35.25" customHeight="1" thickBot="1" x14ac:dyDescent="0.4">
      <c r="A11" s="228" t="s">
        <v>26</v>
      </c>
      <c r="B11" s="229"/>
      <c r="C11" s="91">
        <f>SUMIFS(PP_PRD[PRD WATSE],PP_PRD[WEEK NO.],MOR!C3)+C26</f>
        <v>358.96133543693242</v>
      </c>
      <c r="D11" s="59">
        <f>SUMIFS(PP_PRD[PRD WATSE],PP_PRD[WEEK NO.],MOR!D3)+D26</f>
        <v>628.80189399198753</v>
      </c>
      <c r="E11" s="59">
        <f>SUMIFS(PP_PRD[PRD WATSE],PP_PRD[WEEK NO.],MOR!E3)+E26</f>
        <v>525.47168719712329</v>
      </c>
      <c r="F11" s="59">
        <f>SUMIFS(PP_PRD[PRD WATSE],PP_PRD[WEEK NO.],MOR!F3)+F26</f>
        <v>394.4737066290154</v>
      </c>
      <c r="G11" s="59">
        <f>SUMIFS(PP_PRD[PRD WATSE],PP_PRD[WEEK NO.],MOR!G3)+G26</f>
        <v>302.2913767449416</v>
      </c>
      <c r="H11" s="96">
        <f>SUM(C11:G11)</f>
        <v>2210.0000000000005</v>
      </c>
      <c r="I11" s="274">
        <f>+$H$11/$H$8</f>
        <v>3.1997020947045228E-2</v>
      </c>
      <c r="J11" s="86">
        <v>1868</v>
      </c>
      <c r="K11" s="86">
        <v>1884</v>
      </c>
      <c r="L11" s="86">
        <v>2760</v>
      </c>
      <c r="M11" s="86">
        <v>3091</v>
      </c>
      <c r="N11" s="86">
        <v>3425</v>
      </c>
      <c r="O11" s="86">
        <v>3760</v>
      </c>
      <c r="P11" s="59">
        <v>3347</v>
      </c>
      <c r="Q11" s="59">
        <v>3146</v>
      </c>
      <c r="R11" s="59">
        <v>2534</v>
      </c>
      <c r="S11" s="59">
        <v>2421</v>
      </c>
      <c r="T11" s="59">
        <v>3497</v>
      </c>
      <c r="U11" s="60">
        <v>1962</v>
      </c>
      <c r="V11" s="60">
        <v>2894.76</v>
      </c>
      <c r="W11" s="60">
        <v>2888</v>
      </c>
      <c r="X11" s="60">
        <v>2548</v>
      </c>
      <c r="Y11" s="81"/>
    </row>
    <row r="12" spans="1:44" ht="35.25" customHeight="1" thickBot="1" x14ac:dyDescent="0.4">
      <c r="A12" s="228" t="s">
        <v>783</v>
      </c>
      <c r="B12" s="229"/>
      <c r="C12" s="93">
        <f t="shared" ref="C12:D12" si="2">IFERROR((C$11/C$8),"--")</f>
        <v>2.8433887294381236E-2</v>
      </c>
      <c r="D12" s="61">
        <f t="shared" si="2"/>
        <v>3.3332285199671741E-2</v>
      </c>
      <c r="E12" s="61">
        <f>IFERROR((E$11/E$8),"--")</f>
        <v>3.5048713145818061E-2</v>
      </c>
      <c r="F12" s="61">
        <f t="shared" ref="F12" si="3">IFERROR((F$11/F$8),"--")</f>
        <v>2.8468865227492972E-2</v>
      </c>
      <c r="G12" s="61">
        <f>IFERROR((G$11/G$8),"--")</f>
        <v>3.4623044365828345E-2</v>
      </c>
      <c r="H12" s="113"/>
      <c r="I12" s="274"/>
      <c r="J12" s="115">
        <v>4.5600000000000002E-2</v>
      </c>
      <c r="K12" s="116">
        <v>2.8000000000000001E-2</v>
      </c>
      <c r="L12" s="116">
        <v>3.3700000000000001E-2</v>
      </c>
      <c r="M12" s="116">
        <v>3.5999999999999997E-2</v>
      </c>
      <c r="N12" s="115">
        <v>4.3499999999999997E-2</v>
      </c>
      <c r="O12" s="115">
        <v>4.5100000000000001E-2</v>
      </c>
      <c r="P12" s="61">
        <v>3.2899999999999999E-2</v>
      </c>
      <c r="Q12" s="63">
        <v>2.52E-2</v>
      </c>
      <c r="R12" s="63">
        <v>3.2300000000000002E-2</v>
      </c>
      <c r="S12" s="64">
        <v>4.1000000000000002E-2</v>
      </c>
      <c r="T12" s="64">
        <v>4.4600000000000001E-2</v>
      </c>
      <c r="U12" s="45">
        <v>3.6499999999999998E-2</v>
      </c>
      <c r="V12" s="45">
        <v>2.81E-2</v>
      </c>
      <c r="W12" s="45">
        <v>3.2599999999999997E-2</v>
      </c>
      <c r="X12" s="45">
        <v>2.4400000000000002E-2</v>
      </c>
      <c r="Y12" s="81"/>
    </row>
    <row r="13" spans="1:44" ht="35.25" customHeight="1" thickBot="1" x14ac:dyDescent="0.35">
      <c r="A13" s="228" t="s">
        <v>2792</v>
      </c>
      <c r="B13" s="229"/>
      <c r="C13" s="276">
        <v>5039.95</v>
      </c>
      <c r="D13" s="277"/>
      <c r="E13" s="277"/>
      <c r="F13" s="277"/>
      <c r="G13" s="277"/>
      <c r="H13" s="278">
        <f>+R29</f>
        <v>14.448031842971941</v>
      </c>
      <c r="I13" s="274">
        <f>+$C$13/$H$8</f>
        <v>7.2969857792787585E-2</v>
      </c>
      <c r="J13" s="218" t="s">
        <v>81</v>
      </c>
      <c r="K13" s="218">
        <v>1.0500000000000001E-2</v>
      </c>
      <c r="L13" s="218">
        <v>1.0500000000000001E-2</v>
      </c>
      <c r="M13" s="218">
        <v>1.0500000000000001E-2</v>
      </c>
      <c r="N13" s="218">
        <v>1.0500000000000001E-2</v>
      </c>
      <c r="O13" s="116"/>
      <c r="P13" s="61"/>
      <c r="Q13" s="63"/>
      <c r="R13" s="63"/>
      <c r="S13" s="64"/>
      <c r="T13" s="64"/>
      <c r="U13" s="45"/>
      <c r="V13" s="45"/>
      <c r="W13" s="45"/>
      <c r="X13" s="45"/>
      <c r="Y13" s="62"/>
    </row>
    <row r="14" spans="1:44" ht="35.25" customHeight="1" thickBot="1" x14ac:dyDescent="0.35">
      <c r="A14" s="228" t="s">
        <v>2793</v>
      </c>
      <c r="B14" s="229"/>
      <c r="C14" s="276" cm="1">
        <f t="array" ref="C14">IFERROR((((SUMIFS(KWH!$D:$D,KWH!$E:$E,MOR!F3)/(COUNT(_xlfn._xlws.FILTER(_xlfn._xlws.FILTER(KWH!$A:$F,KWH!$E:$E=F$3),{0,0,0,1,0,0})))))*C13),"0")</f>
        <v>2005900.0999999999</v>
      </c>
      <c r="D14" s="277"/>
      <c r="E14" s="277"/>
      <c r="F14" s="277"/>
      <c r="G14" s="277"/>
      <c r="H14" s="278"/>
      <c r="I14" s="274"/>
      <c r="J14" s="218"/>
      <c r="K14" s="218"/>
      <c r="L14" s="218"/>
      <c r="M14" s="218"/>
      <c r="N14" s="218"/>
      <c r="O14" s="116"/>
      <c r="P14" s="61"/>
      <c r="Q14" s="63"/>
      <c r="R14" s="63"/>
      <c r="S14" s="64"/>
      <c r="T14" s="64"/>
      <c r="U14" s="45"/>
      <c r="V14" s="45"/>
      <c r="W14" s="45"/>
      <c r="X14" s="45"/>
      <c r="Y14" s="62"/>
    </row>
    <row r="15" spans="1:44" ht="35.25" customHeight="1" thickBot="1" x14ac:dyDescent="0.35">
      <c r="A15" s="228" t="s">
        <v>27</v>
      </c>
      <c r="B15" s="229"/>
      <c r="C15" s="91" cm="1">
        <f t="array" ref="C15">IFERROR((((SUMIFS(KWH!$D:$D,KWH!$E:$E,MOR!C3)/(COUNT(_xlfn._xlws.FILTER(_xlfn._xlws.FILTER(KWH!$A:$F,KWH!$E:$E=C$3),{0,0,0,1,0,0})))))*C11),"0")</f>
        <v>142866.6115038991</v>
      </c>
      <c r="D15" s="59" cm="1">
        <f t="array" ref="D15">IFERROR((((SUMIFS(KWH!$D:$D,KWH!$E:$E,MOR!D3)/(COUNT(_xlfn._xlws.FILTER(_xlfn._xlws.FILTER(KWH!$A:$F,KWH!$E:$E=D$3),{0,0,0,1,0,0})))))*D11),"0")</f>
        <v>250263.15380881104</v>
      </c>
      <c r="E15" s="59" cm="1">
        <f t="array" ref="E15">IFERROR((((SUMIFS(KWH!$D:$D,KWH!$E:$E,MOR!E3)/(COUNT(_xlfn._xlws.FILTER(_xlfn._xlws.FILTER(KWH!$A:$F,KWH!$E:$E=E$3),{0,0,0,1,0,0})))))*E11),"0")</f>
        <v>209137.73150445506</v>
      </c>
      <c r="F15" s="59" cm="1">
        <f t="array" ref="F15">IFERROR((((SUMIFS(KWH!$D:$D,KWH!$E:$E,MOR!F3)/(COUNT(_xlfn._xlws.FILTER(_xlfn._xlws.FILTER(KWH!$A:$F,KWH!$E:$E=F$3),{0,0,0,1,0,0})))))*F11),"0")</f>
        <v>157000.53523834812</v>
      </c>
      <c r="G15" s="59" cm="1">
        <f t="array" ref="G15">IFERROR((((SUMIFS(KWH!$D:$D,KWH!$E:$E,MOR!G3)/(COUNT(_xlfn._xlws.FILTER(_xlfn._xlws.FILTER(KWH!$A:$F,KWH!$E:$E=G$3),{0,0,0,1,0,0})))))*G11),"0")</f>
        <v>120311.96794448675</v>
      </c>
      <c r="H15" s="59">
        <f>SUM(C15:G15)</f>
        <v>879580</v>
      </c>
      <c r="I15" s="94">
        <f>+P29</f>
        <v>6.3354101475149527</v>
      </c>
      <c r="J15" s="117">
        <v>9.0299999999999994</v>
      </c>
      <c r="K15" s="117">
        <v>5.7</v>
      </c>
      <c r="L15" s="117">
        <v>6.67</v>
      </c>
      <c r="M15" s="117">
        <v>7.12</v>
      </c>
      <c r="N15" s="117">
        <v>9.09</v>
      </c>
      <c r="O15" s="117">
        <v>9.74</v>
      </c>
      <c r="P15" s="117">
        <v>7.96</v>
      </c>
      <c r="Q15" s="66">
        <v>4.1100000000000003</v>
      </c>
      <c r="R15" s="66">
        <v>5.27</v>
      </c>
      <c r="S15" s="66">
        <v>8.1300000000000008</v>
      </c>
      <c r="T15" s="66">
        <v>8.83</v>
      </c>
      <c r="U15" s="38">
        <v>8.4</v>
      </c>
      <c r="V15" s="38">
        <v>5.56</v>
      </c>
      <c r="W15" s="38">
        <v>4.6500000000000004</v>
      </c>
      <c r="X15" s="38">
        <v>5.62</v>
      </c>
      <c r="Y15" s="62"/>
    </row>
    <row r="16" spans="1:44" ht="35.25" customHeight="1" thickBot="1" x14ac:dyDescent="0.35">
      <c r="A16" s="228" t="s">
        <v>28</v>
      </c>
      <c r="B16" s="229"/>
      <c r="C16" s="59">
        <f>SUMIFS(KWH!$B:$B,KWH!$E:$E,MOR!C3)-255.6</f>
        <v>7789</v>
      </c>
      <c r="D16" s="59">
        <f>SUMIFS(KWH!$B:$B,KWH!$E:$E,MOR!D3)-255.6</f>
        <v>9399.4</v>
      </c>
      <c r="E16" s="59">
        <f>SUMIFS(KWH!$B:$B,KWH!$E:$E,MOR!E3)-255.6</f>
        <v>9453.66</v>
      </c>
      <c r="F16" s="59">
        <f>SUMIFS(KWH!$B:$B,KWH!$E:$E,MOR!F3)-255.6</f>
        <v>7893.9000000000005</v>
      </c>
      <c r="G16" s="59">
        <f>SUMIFS(KWH!$B:$B,KWH!$E:$E,MOR!G3)-255.6</f>
        <v>5811.16</v>
      </c>
      <c r="H16" s="59">
        <f>SUM(C16:G16)</f>
        <v>40347.119999999995</v>
      </c>
      <c r="I16" s="95"/>
      <c r="J16" s="86">
        <v>28174</v>
      </c>
      <c r="K16" s="86">
        <v>43331.51</v>
      </c>
      <c r="L16" s="86">
        <v>51278</v>
      </c>
      <c r="M16" s="86">
        <v>50078</v>
      </c>
      <c r="N16" s="86">
        <v>48350</v>
      </c>
      <c r="O16" s="86">
        <v>55045</v>
      </c>
      <c r="P16" s="59">
        <v>66102</v>
      </c>
      <c r="Q16" s="67">
        <v>77770</v>
      </c>
      <c r="R16" s="67">
        <v>50056</v>
      </c>
      <c r="S16" s="67">
        <v>38552</v>
      </c>
      <c r="T16" s="67">
        <v>45080</v>
      </c>
      <c r="U16" s="60">
        <v>28908</v>
      </c>
      <c r="V16" s="60">
        <v>53581</v>
      </c>
      <c r="W16" s="60">
        <v>47356</v>
      </c>
      <c r="X16" s="60">
        <v>57191</v>
      </c>
      <c r="Y16" s="62"/>
    </row>
    <row r="17" spans="1:25" ht="35.25" customHeight="1" thickBot="1" x14ac:dyDescent="0.3">
      <c r="A17" s="228" t="s">
        <v>49</v>
      </c>
      <c r="B17" s="229"/>
      <c r="C17" s="91">
        <f>+C16*44</f>
        <v>342716</v>
      </c>
      <c r="D17" s="59">
        <f t="shared" ref="D17:F17" si="4">+D16*44</f>
        <v>413573.6</v>
      </c>
      <c r="E17" s="59">
        <f t="shared" si="4"/>
        <v>415961.04</v>
      </c>
      <c r="F17" s="59">
        <f t="shared" si="4"/>
        <v>347331.60000000003</v>
      </c>
      <c r="G17" s="59">
        <f t="shared" ref="G17" si="5">+G16*44</f>
        <v>255691.03999999998</v>
      </c>
      <c r="H17" s="59">
        <f>SUM(C17:G17)</f>
        <v>1775273.28</v>
      </c>
      <c r="I17" s="95"/>
      <c r="J17" s="86">
        <f>+J16*44</f>
        <v>1239656</v>
      </c>
      <c r="K17" s="86">
        <f>+K16*44</f>
        <v>1906586.4400000002</v>
      </c>
      <c r="L17" s="86">
        <f>+L16*44</f>
        <v>2256232</v>
      </c>
      <c r="M17" s="86">
        <v>2203418</v>
      </c>
      <c r="N17" s="86">
        <v>2127383</v>
      </c>
      <c r="O17" s="86">
        <v>2421965</v>
      </c>
      <c r="P17" s="59">
        <v>2904528</v>
      </c>
      <c r="Q17" s="67">
        <v>3421858</v>
      </c>
      <c r="R17" s="67">
        <v>2202464</v>
      </c>
      <c r="S17" s="67">
        <v>1696266</v>
      </c>
      <c r="T17" s="67">
        <v>1983520</v>
      </c>
      <c r="U17" s="60">
        <v>1271952</v>
      </c>
      <c r="V17" s="60">
        <v>2357564</v>
      </c>
      <c r="W17" s="60">
        <f t="shared" ref="W17" si="6">+W16*44</f>
        <v>2083664</v>
      </c>
      <c r="X17" s="60">
        <v>2516404</v>
      </c>
      <c r="Y17" s="10"/>
    </row>
    <row r="18" spans="1:25" ht="35.25" customHeight="1" thickBot="1" x14ac:dyDescent="0.3">
      <c r="A18" s="228" t="s">
        <v>784</v>
      </c>
      <c r="B18" s="229"/>
      <c r="C18" s="167">
        <f>IFERROR((C17/C8),"0")</f>
        <v>27.147068934652044</v>
      </c>
      <c r="D18" s="168">
        <f t="shared" ref="D18:F18" si="7">IFERROR((D17/D8),"0")</f>
        <v>21.923205572327074</v>
      </c>
      <c r="E18" s="114">
        <f t="shared" si="7"/>
        <v>27.744404743403585</v>
      </c>
      <c r="F18" s="168">
        <f t="shared" si="7"/>
        <v>25.066655504491816</v>
      </c>
      <c r="G18" s="114">
        <f t="shared" ref="G18" si="8">IFERROR((G17/G8),"0")</f>
        <v>29.285659145131163</v>
      </c>
      <c r="H18" s="99"/>
      <c r="I18" s="168">
        <f>+H17/H8</f>
        <v>25.702921414882208</v>
      </c>
      <c r="J18" s="94">
        <v>30.28</v>
      </c>
      <c r="K18" s="94">
        <v>28.36</v>
      </c>
      <c r="L18" s="94">
        <f>+L17/L8</f>
        <v>27.551647922238097</v>
      </c>
      <c r="M18" s="160">
        <v>25.65</v>
      </c>
      <c r="N18" s="117">
        <v>27.04</v>
      </c>
      <c r="O18" s="117">
        <v>29.08</v>
      </c>
      <c r="P18" s="114">
        <v>28.56</v>
      </c>
      <c r="Q18" s="65">
        <v>27.46</v>
      </c>
      <c r="R18" s="65">
        <v>28.1</v>
      </c>
      <c r="S18" s="65">
        <v>28.75</v>
      </c>
      <c r="T18" s="65">
        <v>25.3</v>
      </c>
      <c r="U18" s="68">
        <v>23.67</v>
      </c>
      <c r="V18" s="68">
        <v>22.87</v>
      </c>
      <c r="W18" s="68">
        <f t="shared" ref="W18" si="9">+W17/W8</f>
        <v>23.513443304618384</v>
      </c>
      <c r="X18" s="69">
        <v>24.12</v>
      </c>
      <c r="Y18" s="10"/>
    </row>
    <row r="19" spans="1:25" ht="35.25" customHeight="1" thickBot="1" x14ac:dyDescent="0.3">
      <c r="A19" s="239" t="s">
        <v>12</v>
      </c>
      <c r="B19" s="156" t="s">
        <v>29</v>
      </c>
      <c r="C19" s="106">
        <v>5.9167797462255098</v>
      </c>
      <c r="D19" s="56">
        <v>5.6032271625422077</v>
      </c>
      <c r="E19" s="56">
        <v>6.6596508669271142</v>
      </c>
      <c r="F19" s="56">
        <v>9.6115060327396318</v>
      </c>
      <c r="G19" s="56">
        <v>11.119670394176886</v>
      </c>
      <c r="H19" s="100">
        <v>7.17</v>
      </c>
      <c r="I19" s="241">
        <f>+D20+D21+F20+H19</f>
        <v>11.54</v>
      </c>
      <c r="J19" s="219">
        <v>16.239999999999998</v>
      </c>
      <c r="K19" s="219">
        <v>12.03</v>
      </c>
      <c r="L19" s="219">
        <v>8.86</v>
      </c>
      <c r="M19" s="219">
        <v>8.86</v>
      </c>
      <c r="N19" s="219">
        <v>9.23</v>
      </c>
      <c r="O19" s="219">
        <v>9.1999999999999993</v>
      </c>
      <c r="P19" s="219">
        <v>10.33</v>
      </c>
      <c r="Q19" s="242">
        <v>9.0597551116206052</v>
      </c>
      <c r="R19" s="230">
        <v>9.92</v>
      </c>
      <c r="S19" s="230">
        <v>10.78</v>
      </c>
      <c r="T19" s="230">
        <v>10.130000000000001</v>
      </c>
      <c r="U19" s="221">
        <v>8.6</v>
      </c>
      <c r="V19" s="221">
        <v>8.09</v>
      </c>
      <c r="W19" s="221">
        <v>7.03</v>
      </c>
      <c r="X19" s="221">
        <v>7.15</v>
      </c>
      <c r="Y19" s="10"/>
    </row>
    <row r="20" spans="1:25" ht="35.25" customHeight="1" thickBot="1" x14ac:dyDescent="0.3">
      <c r="A20" s="240"/>
      <c r="B20" s="156" t="s">
        <v>30</v>
      </c>
      <c r="C20" s="107" t="s">
        <v>785</v>
      </c>
      <c r="D20" s="102">
        <v>1.67</v>
      </c>
      <c r="E20" s="101" t="s">
        <v>786</v>
      </c>
      <c r="F20" s="102">
        <v>0.31</v>
      </c>
      <c r="G20" s="97"/>
      <c r="H20" s="97"/>
      <c r="I20" s="241"/>
      <c r="J20" s="219"/>
      <c r="K20" s="219"/>
      <c r="L20" s="219"/>
      <c r="M20" s="219"/>
      <c r="N20" s="219"/>
      <c r="O20" s="219"/>
      <c r="P20" s="219"/>
      <c r="Q20" s="243"/>
      <c r="R20" s="231"/>
      <c r="S20" s="231"/>
      <c r="T20" s="231"/>
      <c r="U20" s="222"/>
      <c r="V20" s="222"/>
      <c r="W20" s="222"/>
      <c r="X20" s="222"/>
      <c r="Y20" s="10"/>
    </row>
    <row r="21" spans="1:25" ht="35.25" customHeight="1" x14ac:dyDescent="0.25">
      <c r="A21" s="247" t="s">
        <v>787</v>
      </c>
      <c r="B21" s="248"/>
      <c r="C21" s="107" t="s">
        <v>788</v>
      </c>
      <c r="D21" s="102">
        <v>2.39</v>
      </c>
      <c r="E21" s="101" t="s">
        <v>329</v>
      </c>
      <c r="F21" s="103">
        <v>0.76</v>
      </c>
      <c r="G21" s="97"/>
      <c r="H21" s="97"/>
      <c r="I21" s="241"/>
      <c r="J21" s="219"/>
      <c r="K21" s="219"/>
      <c r="L21" s="219"/>
      <c r="M21" s="219"/>
      <c r="N21" s="219"/>
      <c r="O21" s="219"/>
      <c r="P21" s="219"/>
      <c r="Q21" s="244"/>
      <c r="R21" s="245"/>
      <c r="S21" s="245"/>
      <c r="T21" s="245"/>
      <c r="U21" s="246"/>
      <c r="V21" s="246"/>
      <c r="W21" s="246"/>
      <c r="X21" s="246"/>
      <c r="Y21" s="10"/>
    </row>
    <row r="22" spans="1:25" ht="35.25" customHeight="1" x14ac:dyDescent="0.25">
      <c r="A22" s="249"/>
      <c r="B22" s="250"/>
      <c r="C22" s="107" t="s">
        <v>53</v>
      </c>
      <c r="D22" s="103">
        <v>0.86</v>
      </c>
      <c r="E22" s="101" t="s">
        <v>789</v>
      </c>
      <c r="F22" s="104">
        <v>1.17</v>
      </c>
      <c r="G22" s="97"/>
      <c r="H22" s="97"/>
      <c r="I22" s="253">
        <f>+D24+F21+D23+D22+F22+F23</f>
        <v>3.36</v>
      </c>
      <c r="J22" s="220">
        <v>6</v>
      </c>
      <c r="K22" s="220">
        <v>3.32</v>
      </c>
      <c r="L22" s="220">
        <v>4.08</v>
      </c>
      <c r="M22" s="220">
        <v>4.08</v>
      </c>
      <c r="N22" s="220">
        <v>2.0499999999999998</v>
      </c>
      <c r="O22" s="220">
        <v>5.7</v>
      </c>
      <c r="P22" s="220">
        <v>6.97</v>
      </c>
      <c r="Q22" s="254">
        <v>4.84</v>
      </c>
      <c r="R22" s="230">
        <v>5.73</v>
      </c>
      <c r="S22" s="230">
        <v>7.14</v>
      </c>
      <c r="T22" s="230">
        <v>10.26</v>
      </c>
      <c r="U22" s="221">
        <v>4.8600000000000003</v>
      </c>
      <c r="V22" s="221">
        <v>4.6399999999999997</v>
      </c>
      <c r="W22" s="221">
        <f t="shared" ref="W22" si="10">0.01+0.11+0.01+0.59+0.05</f>
        <v>0.77</v>
      </c>
      <c r="X22" s="221">
        <v>1.1100000000000001</v>
      </c>
      <c r="Y22" s="10"/>
    </row>
    <row r="23" spans="1:25" ht="35.25" customHeight="1" x14ac:dyDescent="0.25">
      <c r="A23" s="249"/>
      <c r="B23" s="250"/>
      <c r="C23" s="107" t="s">
        <v>790</v>
      </c>
      <c r="D23" s="103"/>
      <c r="E23" s="101" t="s">
        <v>791</v>
      </c>
      <c r="F23" s="103">
        <v>0.56999999999999995</v>
      </c>
      <c r="G23" s="97"/>
      <c r="H23" s="97"/>
      <c r="I23" s="253"/>
      <c r="J23" s="220"/>
      <c r="K23" s="220"/>
      <c r="L23" s="220"/>
      <c r="M23" s="220"/>
      <c r="N23" s="220"/>
      <c r="O23" s="220"/>
      <c r="P23" s="220"/>
      <c r="Q23" s="254"/>
      <c r="R23" s="231"/>
      <c r="S23" s="231"/>
      <c r="T23" s="231"/>
      <c r="U23" s="222"/>
      <c r="V23" s="222"/>
      <c r="W23" s="222"/>
      <c r="X23" s="222"/>
      <c r="Y23" s="10"/>
    </row>
    <row r="24" spans="1:25" ht="35.25" customHeight="1" thickBot="1" x14ac:dyDescent="0.3">
      <c r="A24" s="251"/>
      <c r="B24" s="252"/>
      <c r="C24" s="107" t="s">
        <v>792</v>
      </c>
      <c r="D24" s="103"/>
      <c r="E24" s="101" t="s">
        <v>793</v>
      </c>
      <c r="F24" s="105"/>
      <c r="G24" s="97"/>
      <c r="H24" s="97"/>
      <c r="I24" s="253"/>
      <c r="J24" s="220"/>
      <c r="K24" s="220"/>
      <c r="L24" s="220"/>
      <c r="M24" s="220"/>
      <c r="N24" s="220"/>
      <c r="O24" s="233"/>
      <c r="P24" s="233"/>
      <c r="Q24" s="255"/>
      <c r="R24" s="232"/>
      <c r="S24" s="232"/>
      <c r="T24" s="232"/>
      <c r="U24" s="223"/>
      <c r="V24" s="223"/>
      <c r="W24" s="223"/>
      <c r="X24" s="223"/>
      <c r="Y24" s="10"/>
    </row>
    <row r="25" spans="1:25" ht="35.25" customHeight="1" thickBot="1" x14ac:dyDescent="0.3">
      <c r="A25" s="228" t="s">
        <v>794</v>
      </c>
      <c r="B25" s="229"/>
      <c r="C25" s="108"/>
      <c r="D25" s="109"/>
      <c r="E25" s="109"/>
      <c r="F25" s="109"/>
      <c r="G25" s="109"/>
      <c r="H25" s="109"/>
      <c r="I25" s="110">
        <f>+I22+I19+I18+I15</f>
        <v>46.938331562397153</v>
      </c>
      <c r="J25" s="157">
        <v>61.55</v>
      </c>
      <c r="K25" s="157">
        <v>49.25</v>
      </c>
      <c r="L25" s="157">
        <f>+L22+L19+L18+L15</f>
        <v>47.161647922238096</v>
      </c>
      <c r="M25" s="157">
        <f>+M22+M19+M18+M15</f>
        <v>45.709999999999994</v>
      </c>
      <c r="N25" s="157">
        <f>+N22+N19+N18+N15</f>
        <v>47.41</v>
      </c>
      <c r="O25" s="87">
        <v>60.31</v>
      </c>
      <c r="P25" s="87">
        <v>51.22</v>
      </c>
      <c r="Q25" s="70">
        <v>45.47</v>
      </c>
      <c r="R25" s="70">
        <v>49.02</v>
      </c>
      <c r="S25" s="70">
        <v>54.8</v>
      </c>
      <c r="T25" s="71">
        <v>54.52</v>
      </c>
      <c r="U25" s="72">
        <v>45.53</v>
      </c>
      <c r="V25" s="72">
        <f>+V22+V19+V18+V15</f>
        <v>41.160000000000004</v>
      </c>
      <c r="W25" s="72">
        <f>+W22+W19+W18+W15</f>
        <v>35.963443304618387</v>
      </c>
      <c r="X25" s="72">
        <f>+X22+X19+X18+X15</f>
        <v>38</v>
      </c>
      <c r="Y25" s="11"/>
    </row>
    <row r="26" spans="1:25" ht="35.25" customHeight="1" x14ac:dyDescent="0.25">
      <c r="C26">
        <f>$G$28/$H$8*C8</f>
        <v>199.96133543693242</v>
      </c>
      <c r="D26">
        <f>$G$28/$H$8*D8</f>
        <v>298.80189399198753</v>
      </c>
      <c r="E26">
        <f t="shared" ref="E26:G26" si="11">$G$28/$H$8*E8</f>
        <v>237.47168719712326</v>
      </c>
      <c r="F26">
        <f t="shared" si="11"/>
        <v>219.47370662901542</v>
      </c>
      <c r="G26">
        <f t="shared" si="11"/>
        <v>138.2913767449416</v>
      </c>
      <c r="I26" t="s">
        <v>50</v>
      </c>
      <c r="P26">
        <v>200</v>
      </c>
      <c r="Q26" t="s">
        <v>50</v>
      </c>
      <c r="R26">
        <v>200</v>
      </c>
    </row>
    <row r="27" spans="1:25" ht="35.25" customHeight="1" x14ac:dyDescent="0.35">
      <c r="E27" s="98">
        <f>2210-H11</f>
        <v>0</v>
      </c>
      <c r="F27">
        <f>3091/H8*C8</f>
        <v>564.9730236156837</v>
      </c>
      <c r="G27" s="162">
        <f>+H11-2210</f>
        <v>0</v>
      </c>
      <c r="H27" s="80">
        <v>2210</v>
      </c>
      <c r="P27">
        <f>+H11*P26</f>
        <v>442000.00000000012</v>
      </c>
      <c r="R27">
        <f>+C13*R26</f>
        <v>1007990</v>
      </c>
    </row>
    <row r="28" spans="1:25" ht="35.25" customHeight="1" x14ac:dyDescent="0.35">
      <c r="C28" s="80"/>
      <c r="D28" s="80"/>
      <c r="E28" s="80"/>
      <c r="F28" s="80"/>
      <c r="G28" s="161">
        <v>1094</v>
      </c>
      <c r="P28" s="13">
        <f>+H15-P27</f>
        <v>437579.99999999988</v>
      </c>
      <c r="R28" s="13">
        <f>+C14-R27</f>
        <v>997910.09999999986</v>
      </c>
    </row>
    <row r="29" spans="1:25" ht="35.25" customHeight="1" x14ac:dyDescent="0.25">
      <c r="I29" t="s">
        <v>51</v>
      </c>
      <c r="O29" s="98"/>
      <c r="P29" s="98">
        <f>+P28/H8</f>
        <v>6.3354101475149527</v>
      </c>
      <c r="Q29" t="s">
        <v>51</v>
      </c>
      <c r="R29" s="98">
        <f>+R28/$H$8</f>
        <v>14.448031842971941</v>
      </c>
    </row>
    <row r="32" spans="1:25" ht="35.25" customHeight="1" x14ac:dyDescent="0.25">
      <c r="F32">
        <v>805</v>
      </c>
      <c r="G32">
        <v>1076.4000000000001</v>
      </c>
    </row>
    <row r="33" spans="7:7" ht="35.25" customHeight="1" x14ac:dyDescent="0.25">
      <c r="G33">
        <v>738.55</v>
      </c>
    </row>
    <row r="34" spans="7:7" ht="35.25" customHeight="1" x14ac:dyDescent="0.25">
      <c r="G34">
        <v>949.4</v>
      </c>
    </row>
    <row r="35" spans="7:7" ht="35.25" customHeight="1" x14ac:dyDescent="0.25">
      <c r="G35">
        <v>1035</v>
      </c>
    </row>
  </sheetData>
  <mergeCells count="86">
    <mergeCell ref="J2:J3"/>
    <mergeCell ref="J13:J14"/>
    <mergeCell ref="J19:J21"/>
    <mergeCell ref="J22:J24"/>
    <mergeCell ref="K2:K3"/>
    <mergeCell ref="K13:K14"/>
    <mergeCell ref="K19:K21"/>
    <mergeCell ref="K22:K24"/>
    <mergeCell ref="A15:B15"/>
    <mergeCell ref="A16:B16"/>
    <mergeCell ref="A17:B17"/>
    <mergeCell ref="A8:B8"/>
    <mergeCell ref="I8:I10"/>
    <mergeCell ref="A9:B9"/>
    <mergeCell ref="A10:B10"/>
    <mergeCell ref="A11:B11"/>
    <mergeCell ref="I11:I12"/>
    <mergeCell ref="A12:B12"/>
    <mergeCell ref="A13:B13"/>
    <mergeCell ref="C13:G13"/>
    <mergeCell ref="A14:B14"/>
    <mergeCell ref="C14:G14"/>
    <mergeCell ref="I13:I14"/>
    <mergeCell ref="H13:H14"/>
    <mergeCell ref="A4:B4"/>
    <mergeCell ref="I4:I5"/>
    <mergeCell ref="A5:B5"/>
    <mergeCell ref="A6:B6"/>
    <mergeCell ref="I6:I7"/>
    <mergeCell ref="A7:B7"/>
    <mergeCell ref="A1:I1"/>
    <mergeCell ref="A2:B3"/>
    <mergeCell ref="C2:G2"/>
    <mergeCell ref="H2:H3"/>
    <mergeCell ref="I2:I3"/>
    <mergeCell ref="Y1:Y2"/>
    <mergeCell ref="Q2:Q3"/>
    <mergeCell ref="R2:R3"/>
    <mergeCell ref="S2:S3"/>
    <mergeCell ref="T2:T3"/>
    <mergeCell ref="U2:U3"/>
    <mergeCell ref="V2:V3"/>
    <mergeCell ref="W2:W3"/>
    <mergeCell ref="X2:X3"/>
    <mergeCell ref="Y4:Y5"/>
    <mergeCell ref="Y6:Y9"/>
    <mergeCell ref="A18:B18"/>
    <mergeCell ref="A19:A20"/>
    <mergeCell ref="I19:I21"/>
    <mergeCell ref="Q19:Q21"/>
    <mergeCell ref="R19:R21"/>
    <mergeCell ref="S19:S21"/>
    <mergeCell ref="T19:T21"/>
    <mergeCell ref="U19:U21"/>
    <mergeCell ref="V19:V21"/>
    <mergeCell ref="W19:W21"/>
    <mergeCell ref="X19:X21"/>
    <mergeCell ref="A21:B24"/>
    <mergeCell ref="I22:I24"/>
    <mergeCell ref="Q22:Q24"/>
    <mergeCell ref="X22:X24"/>
    <mergeCell ref="A25:B25"/>
    <mergeCell ref="R22:R24"/>
    <mergeCell ref="S22:S24"/>
    <mergeCell ref="T22:T24"/>
    <mergeCell ref="U22:U24"/>
    <mergeCell ref="V22:V24"/>
    <mergeCell ref="O22:O24"/>
    <mergeCell ref="P22:P24"/>
    <mergeCell ref="M22:M24"/>
    <mergeCell ref="N22:N24"/>
    <mergeCell ref="L2:L3"/>
    <mergeCell ref="L13:L14"/>
    <mergeCell ref="L19:L21"/>
    <mergeCell ref="L22:L24"/>
    <mergeCell ref="W22:W24"/>
    <mergeCell ref="O2:O3"/>
    <mergeCell ref="O19:O21"/>
    <mergeCell ref="P2:P3"/>
    <mergeCell ref="P19:P21"/>
    <mergeCell ref="M2:M3"/>
    <mergeCell ref="M13:M14"/>
    <mergeCell ref="M19:M21"/>
    <mergeCell ref="N2:N3"/>
    <mergeCell ref="N13:N14"/>
    <mergeCell ref="N19:N21"/>
  </mergeCells>
  <conditionalFormatting sqref="C5:G5">
    <cfRule type="cellIs" dxfId="8" priority="6" operator="lessThan">
      <formula>0.02</formula>
    </cfRule>
    <cfRule type="cellIs" dxfId="7" priority="7" operator="greaterThan">
      <formula>0.02</formula>
    </cfRule>
  </conditionalFormatting>
  <conditionalFormatting sqref="C7:G7">
    <cfRule type="cellIs" dxfId="6" priority="4" operator="lessThan">
      <formula>3%</formula>
    </cfRule>
    <cfRule type="cellIs" dxfId="5" priority="5" operator="greaterThan">
      <formula>3%</formula>
    </cfRule>
  </conditionalFormatting>
  <conditionalFormatting sqref="C10:G10">
    <cfRule type="cellIs" dxfId="4" priority="2" operator="lessThan">
      <formula>95%</formula>
    </cfRule>
    <cfRule type="cellIs" dxfId="3" priority="3" operator="greaterThan">
      <formula>95%</formula>
    </cfRule>
  </conditionalFormatting>
  <conditionalFormatting sqref="C12:G12">
    <cfRule type="cellIs" dxfId="2" priority="1" operator="greaterThan">
      <formula>0.04</formula>
    </cfRule>
  </conditionalFormatting>
  <conditionalFormatting sqref="I11">
    <cfRule type="cellIs" dxfId="1" priority="16" operator="greaterThan">
      <formula>0.04</formula>
    </cfRule>
  </conditionalFormatting>
  <conditionalFormatting sqref="I13:N13">
    <cfRule type="cellIs" dxfId="0" priority="8" operator="greaterThan">
      <formula>0.04</formula>
    </cfRule>
  </conditionalFormatting>
  <pageMargins left="0.7" right="0.7" top="1.4" bottom="0.75" header="0.3" footer="0.3"/>
  <pageSetup paperSize="5" scale="46"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089E2-C2E5-4A48-9090-1648B7BD1C98}">
  <dimension ref="A1:G202"/>
  <sheetViews>
    <sheetView workbookViewId="0">
      <pane ySplit="1" topLeftCell="A169" activePane="bottomLeft" state="frozen"/>
      <selection pane="bottomLeft" activeCell="E202" sqref="E202"/>
    </sheetView>
  </sheetViews>
  <sheetFormatPr defaultRowHeight="15" x14ac:dyDescent="0.25"/>
  <cols>
    <col min="1" max="1" width="9.42578125" style="39" bestFit="1" customWidth="1"/>
    <col min="13" max="13" width="9" customWidth="1"/>
  </cols>
  <sheetData>
    <row r="1" spans="1:7" x14ac:dyDescent="0.25">
      <c r="A1" s="39" t="s">
        <v>1</v>
      </c>
      <c r="B1" t="s">
        <v>79</v>
      </c>
      <c r="C1" t="s">
        <v>1042</v>
      </c>
      <c r="D1" t="s">
        <v>15</v>
      </c>
      <c r="E1" t="s">
        <v>1041</v>
      </c>
      <c r="F1" t="s">
        <v>1043</v>
      </c>
    </row>
    <row r="2" spans="1:7" x14ac:dyDescent="0.25">
      <c r="A2" s="39" t="s">
        <v>1022</v>
      </c>
      <c r="B2">
        <v>1945</v>
      </c>
      <c r="C2">
        <v>2272</v>
      </c>
      <c r="D2">
        <v>398</v>
      </c>
      <c r="E2">
        <v>40</v>
      </c>
      <c r="F2">
        <v>372</v>
      </c>
      <c r="G2">
        <v>49</v>
      </c>
    </row>
    <row r="3" spans="1:7" x14ac:dyDescent="0.25">
      <c r="A3" s="39" t="s">
        <v>1023</v>
      </c>
      <c r="B3">
        <v>2087</v>
      </c>
      <c r="C3">
        <v>2567</v>
      </c>
      <c r="D3">
        <v>398</v>
      </c>
      <c r="E3">
        <v>40</v>
      </c>
      <c r="F3">
        <v>372</v>
      </c>
    </row>
    <row r="4" spans="1:7" x14ac:dyDescent="0.25">
      <c r="A4" s="39" t="s">
        <v>1024</v>
      </c>
      <c r="B4">
        <v>2040</v>
      </c>
      <c r="C4">
        <v>2864</v>
      </c>
      <c r="D4">
        <v>398</v>
      </c>
      <c r="E4">
        <v>40</v>
      </c>
      <c r="F4">
        <v>372</v>
      </c>
    </row>
    <row r="5" spans="1:7" x14ac:dyDescent="0.25">
      <c r="A5" s="39" t="s">
        <v>1025</v>
      </c>
      <c r="B5">
        <v>2041</v>
      </c>
      <c r="C5">
        <v>2931</v>
      </c>
      <c r="D5">
        <v>398</v>
      </c>
      <c r="E5">
        <v>40</v>
      </c>
      <c r="F5">
        <v>372</v>
      </c>
    </row>
    <row r="6" spans="1:7" x14ac:dyDescent="0.25">
      <c r="A6" s="39" t="s">
        <v>1026</v>
      </c>
      <c r="B6">
        <v>2044.5</v>
      </c>
      <c r="C6">
        <v>2856.5</v>
      </c>
      <c r="D6">
        <v>398</v>
      </c>
      <c r="E6">
        <v>40</v>
      </c>
      <c r="F6">
        <v>372</v>
      </c>
    </row>
    <row r="7" spans="1:7" x14ac:dyDescent="0.25">
      <c r="A7" s="39" t="s">
        <v>1027</v>
      </c>
      <c r="B7">
        <v>2021.5</v>
      </c>
      <c r="C7">
        <v>2836.5</v>
      </c>
      <c r="D7">
        <v>398</v>
      </c>
      <c r="E7">
        <v>41</v>
      </c>
      <c r="F7">
        <v>372</v>
      </c>
    </row>
    <row r="8" spans="1:7" x14ac:dyDescent="0.25">
      <c r="A8" s="39" t="s">
        <v>1028</v>
      </c>
      <c r="B8">
        <v>2048</v>
      </c>
      <c r="C8">
        <v>3082</v>
      </c>
      <c r="D8">
        <v>398</v>
      </c>
      <c r="E8">
        <v>41</v>
      </c>
      <c r="F8">
        <v>372</v>
      </c>
    </row>
    <row r="9" spans="1:7" x14ac:dyDescent="0.25">
      <c r="A9" s="39" t="s">
        <v>1029</v>
      </c>
      <c r="B9">
        <v>1996.5</v>
      </c>
      <c r="C9">
        <v>2762.5</v>
      </c>
      <c r="D9">
        <v>398</v>
      </c>
      <c r="E9">
        <v>41</v>
      </c>
      <c r="F9">
        <v>372</v>
      </c>
    </row>
    <row r="10" spans="1:7" x14ac:dyDescent="0.25">
      <c r="A10" s="39" t="s">
        <v>1030</v>
      </c>
      <c r="B10">
        <v>2129</v>
      </c>
      <c r="C10">
        <v>2361</v>
      </c>
      <c r="D10">
        <v>398</v>
      </c>
      <c r="E10">
        <v>41</v>
      </c>
      <c r="F10">
        <v>372</v>
      </c>
    </row>
    <row r="11" spans="1:7" x14ac:dyDescent="0.25">
      <c r="A11" s="39" t="s">
        <v>1031</v>
      </c>
      <c r="B11">
        <v>2141.5</v>
      </c>
      <c r="C11">
        <v>2543.5</v>
      </c>
      <c r="D11">
        <v>398</v>
      </c>
      <c r="E11">
        <v>41</v>
      </c>
      <c r="F11">
        <v>372</v>
      </c>
    </row>
    <row r="12" spans="1:7" x14ac:dyDescent="0.25">
      <c r="A12" s="39" t="s">
        <v>1032</v>
      </c>
      <c r="B12">
        <v>2009</v>
      </c>
      <c r="C12">
        <v>2336</v>
      </c>
      <c r="D12">
        <v>398</v>
      </c>
      <c r="E12">
        <v>41</v>
      </c>
      <c r="F12">
        <v>372</v>
      </c>
    </row>
    <row r="13" spans="1:7" x14ac:dyDescent="0.25">
      <c r="A13" s="39" t="s">
        <v>1033</v>
      </c>
      <c r="B13">
        <v>1625</v>
      </c>
      <c r="C13">
        <v>2339</v>
      </c>
      <c r="D13">
        <v>398</v>
      </c>
      <c r="E13">
        <v>41</v>
      </c>
      <c r="F13">
        <v>372</v>
      </c>
    </row>
    <row r="14" spans="1:7" x14ac:dyDescent="0.25">
      <c r="A14" s="39" t="s">
        <v>1034</v>
      </c>
      <c r="B14">
        <v>200.5</v>
      </c>
      <c r="C14">
        <v>2155.5</v>
      </c>
      <c r="D14">
        <v>398</v>
      </c>
      <c r="E14">
        <v>42</v>
      </c>
      <c r="F14">
        <v>372</v>
      </c>
    </row>
    <row r="15" spans="1:7" x14ac:dyDescent="0.25">
      <c r="A15" s="39" t="s">
        <v>1035</v>
      </c>
      <c r="B15">
        <v>1530.5</v>
      </c>
      <c r="C15">
        <v>2409.5</v>
      </c>
      <c r="D15">
        <v>398</v>
      </c>
      <c r="E15">
        <v>42</v>
      </c>
      <c r="F15">
        <v>372</v>
      </c>
    </row>
    <row r="16" spans="1:7" x14ac:dyDescent="0.25">
      <c r="A16" s="39" t="s">
        <v>1036</v>
      </c>
      <c r="B16">
        <v>2040.5</v>
      </c>
      <c r="C16">
        <v>2382.5</v>
      </c>
      <c r="D16">
        <v>398</v>
      </c>
      <c r="E16">
        <v>42</v>
      </c>
      <c r="F16">
        <v>372</v>
      </c>
    </row>
    <row r="17" spans="1:6" x14ac:dyDescent="0.25">
      <c r="A17" s="39" t="s">
        <v>1037</v>
      </c>
      <c r="B17">
        <v>1997.5</v>
      </c>
      <c r="C17">
        <v>2258.5</v>
      </c>
      <c r="D17">
        <v>398</v>
      </c>
      <c r="E17">
        <v>42</v>
      </c>
      <c r="F17">
        <v>372</v>
      </c>
    </row>
    <row r="18" spans="1:6" x14ac:dyDescent="0.25">
      <c r="A18" s="39" t="s">
        <v>1038</v>
      </c>
      <c r="B18">
        <v>2188.5</v>
      </c>
      <c r="C18">
        <v>2343.5</v>
      </c>
      <c r="D18">
        <v>398</v>
      </c>
      <c r="E18">
        <v>42</v>
      </c>
      <c r="F18">
        <v>372</v>
      </c>
    </row>
    <row r="19" spans="1:6" x14ac:dyDescent="0.25">
      <c r="A19" s="39" t="s">
        <v>1039</v>
      </c>
      <c r="B19">
        <v>2082</v>
      </c>
      <c r="C19">
        <v>2460</v>
      </c>
      <c r="D19">
        <v>398</v>
      </c>
      <c r="E19">
        <v>42</v>
      </c>
      <c r="F19">
        <v>372</v>
      </c>
    </row>
    <row r="20" spans="1:6" x14ac:dyDescent="0.25">
      <c r="A20" s="39" t="s">
        <v>1040</v>
      </c>
      <c r="B20">
        <v>1295.5</v>
      </c>
      <c r="C20">
        <v>1945.5</v>
      </c>
      <c r="D20">
        <v>398</v>
      </c>
      <c r="E20">
        <v>42</v>
      </c>
      <c r="F20">
        <v>372</v>
      </c>
    </row>
    <row r="21" spans="1:6" x14ac:dyDescent="0.25">
      <c r="A21" s="39">
        <v>45950</v>
      </c>
      <c r="B21">
        <v>268.74</v>
      </c>
      <c r="C21">
        <v>2841.74</v>
      </c>
      <c r="D21">
        <v>398</v>
      </c>
      <c r="E21">
        <v>43</v>
      </c>
      <c r="F21">
        <v>372</v>
      </c>
    </row>
    <row r="22" spans="1:6" x14ac:dyDescent="0.25">
      <c r="A22" s="39">
        <v>45951</v>
      </c>
      <c r="B22">
        <v>1401.58</v>
      </c>
      <c r="C22">
        <v>3008.58</v>
      </c>
      <c r="D22">
        <v>398</v>
      </c>
      <c r="E22">
        <v>43</v>
      </c>
      <c r="F22">
        <v>372</v>
      </c>
    </row>
    <row r="23" spans="1:6" x14ac:dyDescent="0.25">
      <c r="A23" s="39">
        <v>45952</v>
      </c>
      <c r="B23">
        <v>2077.08</v>
      </c>
      <c r="C23">
        <v>2827.08</v>
      </c>
      <c r="D23">
        <v>398</v>
      </c>
      <c r="E23">
        <v>43</v>
      </c>
      <c r="F23">
        <v>372</v>
      </c>
    </row>
    <row r="24" spans="1:6" x14ac:dyDescent="0.25">
      <c r="A24" s="39">
        <v>45953</v>
      </c>
      <c r="B24">
        <v>2136.2800000000002</v>
      </c>
      <c r="C24">
        <v>3083.28</v>
      </c>
      <c r="D24">
        <v>398</v>
      </c>
      <c r="E24">
        <v>43</v>
      </c>
      <c r="F24">
        <v>372</v>
      </c>
    </row>
    <row r="25" spans="1:6" x14ac:dyDescent="0.25">
      <c r="A25" s="39">
        <v>45954</v>
      </c>
      <c r="B25">
        <v>2195.44</v>
      </c>
      <c r="C25">
        <v>3140.44</v>
      </c>
      <c r="D25">
        <v>398</v>
      </c>
      <c r="E25">
        <v>43</v>
      </c>
      <c r="F25">
        <v>372</v>
      </c>
    </row>
    <row r="26" spans="1:6" x14ac:dyDescent="0.25">
      <c r="A26" s="39">
        <v>45955</v>
      </c>
      <c r="B26">
        <v>1812.82</v>
      </c>
      <c r="C26">
        <v>2870.82</v>
      </c>
      <c r="D26">
        <v>398</v>
      </c>
      <c r="E26">
        <v>43</v>
      </c>
      <c r="F26">
        <v>372</v>
      </c>
    </row>
    <row r="27" spans="1:6" x14ac:dyDescent="0.25">
      <c r="A27" s="39">
        <v>45956</v>
      </c>
      <c r="B27">
        <v>378.12</v>
      </c>
      <c r="C27">
        <v>3051.12</v>
      </c>
      <c r="D27">
        <v>398</v>
      </c>
      <c r="E27">
        <v>43</v>
      </c>
      <c r="F27">
        <v>372</v>
      </c>
    </row>
    <row r="28" spans="1:6" x14ac:dyDescent="0.25">
      <c r="A28" s="39">
        <v>45957</v>
      </c>
      <c r="B28">
        <v>1323.38</v>
      </c>
      <c r="C28">
        <v>3086.38</v>
      </c>
      <c r="D28">
        <v>398</v>
      </c>
      <c r="E28">
        <v>44</v>
      </c>
      <c r="F28">
        <v>372</v>
      </c>
    </row>
    <row r="29" spans="1:6" x14ac:dyDescent="0.25">
      <c r="A29" s="39">
        <v>45958</v>
      </c>
      <c r="B29">
        <v>1463.7</v>
      </c>
      <c r="C29">
        <v>2527.6999999999998</v>
      </c>
      <c r="D29">
        <v>398</v>
      </c>
      <c r="E29">
        <v>44</v>
      </c>
      <c r="F29">
        <v>372</v>
      </c>
    </row>
    <row r="30" spans="1:6" x14ac:dyDescent="0.25">
      <c r="A30" s="39">
        <v>45959</v>
      </c>
      <c r="B30">
        <v>1974.3</v>
      </c>
      <c r="C30">
        <v>2304.3000000000002</v>
      </c>
      <c r="D30">
        <v>398</v>
      </c>
      <c r="E30">
        <v>44</v>
      </c>
      <c r="F30">
        <v>372</v>
      </c>
    </row>
    <row r="31" spans="1:6" x14ac:dyDescent="0.25">
      <c r="A31" s="39">
        <v>45960</v>
      </c>
      <c r="B31">
        <v>2147.7199999999998</v>
      </c>
      <c r="C31">
        <v>2998.72</v>
      </c>
      <c r="D31">
        <v>398</v>
      </c>
      <c r="E31">
        <v>44</v>
      </c>
      <c r="F31">
        <v>372</v>
      </c>
    </row>
    <row r="32" spans="1:6" x14ac:dyDescent="0.25">
      <c r="A32" s="39">
        <v>45961</v>
      </c>
      <c r="B32">
        <v>1924.84</v>
      </c>
      <c r="C32">
        <v>3020.84</v>
      </c>
      <c r="D32">
        <v>398</v>
      </c>
      <c r="E32">
        <v>44</v>
      </c>
      <c r="F32">
        <v>372</v>
      </c>
    </row>
    <row r="33" spans="1:6" x14ac:dyDescent="0.25">
      <c r="A33" s="39">
        <v>45962</v>
      </c>
      <c r="B33">
        <v>1200.3599999999999</v>
      </c>
      <c r="C33">
        <v>2704.36</v>
      </c>
      <c r="D33">
        <v>398</v>
      </c>
      <c r="E33">
        <v>44</v>
      </c>
      <c r="F33">
        <v>372</v>
      </c>
    </row>
    <row r="34" spans="1:6" x14ac:dyDescent="0.25">
      <c r="A34" s="39">
        <v>45963</v>
      </c>
      <c r="B34">
        <v>225.8</v>
      </c>
      <c r="C34">
        <v>2304.8000000000002</v>
      </c>
      <c r="D34">
        <v>398</v>
      </c>
      <c r="E34">
        <v>44</v>
      </c>
      <c r="F34">
        <v>372</v>
      </c>
    </row>
    <row r="35" spans="1:6" x14ac:dyDescent="0.25">
      <c r="A35" s="39">
        <v>45964</v>
      </c>
      <c r="B35">
        <v>233</v>
      </c>
      <c r="C35">
        <v>2046</v>
      </c>
      <c r="D35">
        <v>398</v>
      </c>
      <c r="E35">
        <v>45</v>
      </c>
      <c r="F35">
        <v>372</v>
      </c>
    </row>
    <row r="36" spans="1:6" x14ac:dyDescent="0.25">
      <c r="A36" s="39">
        <v>45965</v>
      </c>
      <c r="B36">
        <v>266.18</v>
      </c>
      <c r="C36">
        <v>1187.18</v>
      </c>
      <c r="D36">
        <v>398</v>
      </c>
      <c r="E36">
        <v>45</v>
      </c>
      <c r="F36">
        <v>372</v>
      </c>
    </row>
    <row r="37" spans="1:6" x14ac:dyDescent="0.25">
      <c r="A37" s="39">
        <v>45966</v>
      </c>
      <c r="B37">
        <v>1396.74</v>
      </c>
      <c r="C37">
        <v>2453.7399999999998</v>
      </c>
      <c r="D37">
        <v>398</v>
      </c>
      <c r="E37">
        <v>45</v>
      </c>
      <c r="F37">
        <v>372</v>
      </c>
    </row>
    <row r="38" spans="1:6" x14ac:dyDescent="0.25">
      <c r="A38" s="39">
        <v>45967</v>
      </c>
      <c r="B38">
        <v>1221.56</v>
      </c>
      <c r="C38">
        <v>2719.56</v>
      </c>
      <c r="D38">
        <v>398</v>
      </c>
      <c r="E38">
        <v>45</v>
      </c>
      <c r="F38">
        <v>372</v>
      </c>
    </row>
    <row r="39" spans="1:6" x14ac:dyDescent="0.25">
      <c r="A39" s="39">
        <v>45968</v>
      </c>
      <c r="B39">
        <v>2062.7800000000002</v>
      </c>
      <c r="C39">
        <v>2717.78</v>
      </c>
      <c r="D39">
        <v>398</v>
      </c>
      <c r="E39">
        <v>45</v>
      </c>
      <c r="F39">
        <v>372</v>
      </c>
    </row>
    <row r="40" spans="1:6" x14ac:dyDescent="0.25">
      <c r="A40" s="39">
        <v>45969</v>
      </c>
      <c r="B40">
        <v>2001.68</v>
      </c>
      <c r="C40">
        <v>2516.6799999999998</v>
      </c>
      <c r="D40">
        <v>398</v>
      </c>
      <c r="E40">
        <v>45</v>
      </c>
      <c r="F40">
        <v>372</v>
      </c>
    </row>
    <row r="41" spans="1:6" x14ac:dyDescent="0.25">
      <c r="A41" s="39">
        <v>45970</v>
      </c>
      <c r="B41">
        <v>2129.06</v>
      </c>
      <c r="C41">
        <v>2508.06</v>
      </c>
      <c r="D41">
        <v>398</v>
      </c>
      <c r="E41">
        <v>45</v>
      </c>
      <c r="F41">
        <v>372</v>
      </c>
    </row>
    <row r="42" spans="1:6" x14ac:dyDescent="0.25">
      <c r="A42" s="39">
        <v>45971</v>
      </c>
      <c r="B42">
        <v>1979.22</v>
      </c>
      <c r="C42">
        <v>2370.2199999999998</v>
      </c>
      <c r="D42">
        <v>398</v>
      </c>
      <c r="E42">
        <v>46</v>
      </c>
      <c r="F42">
        <v>372</v>
      </c>
    </row>
    <row r="43" spans="1:6" x14ac:dyDescent="0.25">
      <c r="A43" s="39">
        <v>45972</v>
      </c>
      <c r="B43">
        <v>256.08</v>
      </c>
      <c r="C43">
        <v>1918.08</v>
      </c>
      <c r="D43">
        <v>398</v>
      </c>
      <c r="E43">
        <v>46</v>
      </c>
      <c r="F43">
        <v>372</v>
      </c>
    </row>
    <row r="44" spans="1:6" x14ac:dyDescent="0.25">
      <c r="A44" s="39">
        <v>45973</v>
      </c>
      <c r="B44">
        <v>2092.7600000000002</v>
      </c>
      <c r="C44">
        <v>2773.76</v>
      </c>
      <c r="D44">
        <v>398</v>
      </c>
      <c r="E44">
        <v>46</v>
      </c>
      <c r="F44">
        <v>372</v>
      </c>
    </row>
    <row r="45" spans="1:6" x14ac:dyDescent="0.25">
      <c r="A45" s="39">
        <v>45974</v>
      </c>
      <c r="B45">
        <v>2263.1799999999998</v>
      </c>
      <c r="C45">
        <v>2899.18</v>
      </c>
      <c r="D45">
        <v>398</v>
      </c>
      <c r="E45">
        <v>46</v>
      </c>
      <c r="F45">
        <v>372</v>
      </c>
    </row>
    <row r="46" spans="1:6" x14ac:dyDescent="0.25">
      <c r="A46" s="39">
        <v>45975</v>
      </c>
      <c r="B46">
        <v>2144.2399999999998</v>
      </c>
      <c r="C46">
        <v>2774.24</v>
      </c>
      <c r="D46">
        <v>398</v>
      </c>
      <c r="E46">
        <v>46</v>
      </c>
      <c r="F46">
        <v>372</v>
      </c>
    </row>
    <row r="47" spans="1:6" x14ac:dyDescent="0.25">
      <c r="A47" s="39">
        <v>45976</v>
      </c>
      <c r="B47">
        <v>2153.9</v>
      </c>
      <c r="C47">
        <v>2631.9</v>
      </c>
      <c r="D47">
        <v>398</v>
      </c>
      <c r="E47">
        <v>46</v>
      </c>
      <c r="F47">
        <v>372</v>
      </c>
    </row>
    <row r="48" spans="1:6" x14ac:dyDescent="0.25">
      <c r="A48" s="39">
        <v>45977</v>
      </c>
      <c r="B48">
        <v>2211.6</v>
      </c>
      <c r="C48">
        <v>2320.6</v>
      </c>
      <c r="D48">
        <v>398</v>
      </c>
      <c r="E48">
        <v>46</v>
      </c>
      <c r="F48">
        <v>372</v>
      </c>
    </row>
    <row r="49" spans="1:6" x14ac:dyDescent="0.25">
      <c r="A49" s="39">
        <v>45978</v>
      </c>
      <c r="B49">
        <v>2215.1999999999998</v>
      </c>
      <c r="C49">
        <v>2420.1999999999998</v>
      </c>
      <c r="D49">
        <v>398</v>
      </c>
      <c r="E49">
        <v>47</v>
      </c>
      <c r="F49">
        <v>372</v>
      </c>
    </row>
    <row r="50" spans="1:6" x14ac:dyDescent="0.25">
      <c r="A50" s="39">
        <v>45979</v>
      </c>
      <c r="B50">
        <v>1807.84</v>
      </c>
      <c r="C50">
        <v>2564.84</v>
      </c>
      <c r="D50">
        <v>398</v>
      </c>
      <c r="E50">
        <v>47</v>
      </c>
      <c r="F50">
        <v>372</v>
      </c>
    </row>
    <row r="51" spans="1:6" x14ac:dyDescent="0.25">
      <c r="A51" s="39">
        <v>45980</v>
      </c>
      <c r="B51">
        <v>1816.28</v>
      </c>
      <c r="C51">
        <v>2637.28</v>
      </c>
      <c r="D51">
        <v>398</v>
      </c>
      <c r="E51">
        <v>47</v>
      </c>
      <c r="F51">
        <v>372</v>
      </c>
    </row>
    <row r="52" spans="1:6" x14ac:dyDescent="0.25">
      <c r="A52" s="39">
        <v>45981</v>
      </c>
      <c r="B52">
        <v>227.84</v>
      </c>
      <c r="C52">
        <v>1440.84</v>
      </c>
      <c r="D52">
        <v>398</v>
      </c>
      <c r="E52">
        <v>47</v>
      </c>
      <c r="F52">
        <v>372</v>
      </c>
    </row>
    <row r="53" spans="1:6" x14ac:dyDescent="0.25">
      <c r="A53" s="39">
        <v>45982</v>
      </c>
      <c r="B53">
        <v>1843.14</v>
      </c>
      <c r="C53">
        <v>2102.14</v>
      </c>
      <c r="D53">
        <v>398</v>
      </c>
      <c r="E53">
        <v>47</v>
      </c>
      <c r="F53">
        <v>372</v>
      </c>
    </row>
    <row r="54" spans="1:6" x14ac:dyDescent="0.25">
      <c r="A54" s="39">
        <v>45983</v>
      </c>
      <c r="B54">
        <v>1794.04</v>
      </c>
      <c r="C54">
        <v>2587.04</v>
      </c>
      <c r="D54">
        <v>398</v>
      </c>
      <c r="E54">
        <v>47</v>
      </c>
      <c r="F54">
        <v>372</v>
      </c>
    </row>
    <row r="55" spans="1:6" x14ac:dyDescent="0.25">
      <c r="A55" s="39">
        <v>45984</v>
      </c>
      <c r="B55">
        <v>1857.9</v>
      </c>
      <c r="C55">
        <v>2326.9</v>
      </c>
      <c r="D55">
        <v>398</v>
      </c>
      <c r="E55">
        <v>47</v>
      </c>
      <c r="F55">
        <v>372</v>
      </c>
    </row>
    <row r="56" spans="1:6" x14ac:dyDescent="0.25">
      <c r="A56" s="39">
        <v>45985</v>
      </c>
      <c r="B56">
        <v>1893.08</v>
      </c>
      <c r="C56">
        <v>2463.08</v>
      </c>
      <c r="D56">
        <v>398</v>
      </c>
      <c r="E56">
        <v>48</v>
      </c>
      <c r="F56">
        <v>372</v>
      </c>
    </row>
    <row r="57" spans="1:6" x14ac:dyDescent="0.25">
      <c r="A57" s="39">
        <v>45986</v>
      </c>
      <c r="B57">
        <v>1764.96</v>
      </c>
      <c r="C57">
        <v>2925.96</v>
      </c>
      <c r="D57">
        <v>398</v>
      </c>
      <c r="E57">
        <v>48</v>
      </c>
      <c r="F57">
        <v>372</v>
      </c>
    </row>
    <row r="58" spans="1:6" x14ac:dyDescent="0.25">
      <c r="A58" s="39">
        <v>45987</v>
      </c>
      <c r="B58">
        <v>1872.06</v>
      </c>
      <c r="C58">
        <v>2981.06</v>
      </c>
      <c r="D58">
        <v>398</v>
      </c>
      <c r="E58">
        <v>48</v>
      </c>
      <c r="F58">
        <v>372</v>
      </c>
    </row>
    <row r="59" spans="1:6" x14ac:dyDescent="0.25">
      <c r="A59" s="39">
        <v>45988</v>
      </c>
      <c r="B59">
        <v>2210.8000000000002</v>
      </c>
      <c r="C59">
        <v>2979.8</v>
      </c>
      <c r="D59">
        <v>398</v>
      </c>
      <c r="E59">
        <v>48</v>
      </c>
      <c r="F59">
        <v>372</v>
      </c>
    </row>
    <row r="60" spans="1:6" x14ac:dyDescent="0.25">
      <c r="A60" s="39">
        <v>45989</v>
      </c>
      <c r="B60">
        <v>2237.38</v>
      </c>
      <c r="C60">
        <v>3262.38</v>
      </c>
      <c r="D60">
        <v>398</v>
      </c>
      <c r="E60">
        <v>48</v>
      </c>
      <c r="F60">
        <v>372</v>
      </c>
    </row>
    <row r="61" spans="1:6" x14ac:dyDescent="0.25">
      <c r="A61" s="39">
        <v>45990</v>
      </c>
      <c r="B61">
        <v>2300.44</v>
      </c>
      <c r="C61">
        <v>3021.44</v>
      </c>
      <c r="D61">
        <v>398</v>
      </c>
      <c r="E61">
        <v>48</v>
      </c>
      <c r="F61">
        <v>372</v>
      </c>
    </row>
    <row r="62" spans="1:6" x14ac:dyDescent="0.25">
      <c r="A62" s="39">
        <v>45991</v>
      </c>
      <c r="B62">
        <v>2096.6799999999998</v>
      </c>
      <c r="C62">
        <v>2934.68</v>
      </c>
      <c r="D62">
        <v>398</v>
      </c>
      <c r="E62">
        <v>48</v>
      </c>
      <c r="F62">
        <v>372</v>
      </c>
    </row>
    <row r="63" spans="1:6" x14ac:dyDescent="0.25">
      <c r="A63" s="39">
        <v>45992</v>
      </c>
      <c r="B63">
        <v>2210.02</v>
      </c>
      <c r="C63">
        <v>2722.02</v>
      </c>
      <c r="D63">
        <v>398</v>
      </c>
      <c r="E63">
        <v>49</v>
      </c>
      <c r="F63">
        <v>372</v>
      </c>
    </row>
    <row r="64" spans="1:6" x14ac:dyDescent="0.25">
      <c r="A64" s="39">
        <v>45993</v>
      </c>
      <c r="B64">
        <v>2217.8200000000002</v>
      </c>
      <c r="C64">
        <v>3048.82</v>
      </c>
      <c r="D64">
        <v>398</v>
      </c>
      <c r="E64">
        <v>49</v>
      </c>
      <c r="F64">
        <v>372</v>
      </c>
    </row>
    <row r="65" spans="1:6" x14ac:dyDescent="0.25">
      <c r="A65" s="39">
        <v>45994</v>
      </c>
      <c r="B65">
        <v>2000.08</v>
      </c>
      <c r="C65">
        <v>3095.08</v>
      </c>
      <c r="D65">
        <v>398</v>
      </c>
      <c r="E65">
        <v>49</v>
      </c>
      <c r="F65">
        <v>372</v>
      </c>
    </row>
    <row r="66" spans="1:6" x14ac:dyDescent="0.25">
      <c r="A66" s="39">
        <v>45995</v>
      </c>
      <c r="B66">
        <v>2060.58</v>
      </c>
      <c r="C66">
        <v>3082.58</v>
      </c>
      <c r="D66">
        <v>398</v>
      </c>
      <c r="E66">
        <v>49</v>
      </c>
      <c r="F66">
        <v>372</v>
      </c>
    </row>
    <row r="67" spans="1:6" x14ac:dyDescent="0.25">
      <c r="A67" s="39">
        <v>45996</v>
      </c>
      <c r="B67">
        <v>2104.14</v>
      </c>
      <c r="C67">
        <v>3094.14</v>
      </c>
      <c r="D67">
        <v>398</v>
      </c>
      <c r="E67">
        <v>49</v>
      </c>
      <c r="F67">
        <v>372</v>
      </c>
    </row>
    <row r="68" spans="1:6" x14ac:dyDescent="0.25">
      <c r="A68" s="39">
        <v>45997</v>
      </c>
      <c r="B68">
        <v>2258.58</v>
      </c>
      <c r="C68">
        <v>3113.58</v>
      </c>
      <c r="D68">
        <v>398</v>
      </c>
      <c r="E68">
        <v>49</v>
      </c>
      <c r="F68">
        <v>372</v>
      </c>
    </row>
    <row r="69" spans="1:6" x14ac:dyDescent="0.25">
      <c r="A69" s="39">
        <v>45998</v>
      </c>
      <c r="B69">
        <v>2163.06</v>
      </c>
      <c r="C69">
        <v>2978.06</v>
      </c>
      <c r="D69">
        <v>398</v>
      </c>
      <c r="E69">
        <v>49</v>
      </c>
      <c r="F69">
        <v>372</v>
      </c>
    </row>
    <row r="70" spans="1:6" x14ac:dyDescent="0.25">
      <c r="A70" s="39">
        <v>45999</v>
      </c>
      <c r="B70">
        <v>2091.9</v>
      </c>
      <c r="C70">
        <v>2251.9</v>
      </c>
      <c r="D70">
        <v>398</v>
      </c>
      <c r="E70">
        <v>50</v>
      </c>
      <c r="F70">
        <v>372</v>
      </c>
    </row>
    <row r="71" spans="1:6" x14ac:dyDescent="0.25">
      <c r="A71" s="39">
        <v>46000</v>
      </c>
      <c r="B71">
        <v>2112.46</v>
      </c>
      <c r="C71">
        <v>1920.46</v>
      </c>
      <c r="D71">
        <v>398</v>
      </c>
      <c r="E71">
        <v>50</v>
      </c>
      <c r="F71">
        <v>372</v>
      </c>
    </row>
    <row r="72" spans="1:6" x14ac:dyDescent="0.25">
      <c r="A72" s="39">
        <v>46001</v>
      </c>
      <c r="B72">
        <v>2064.08</v>
      </c>
      <c r="C72">
        <v>2278.08</v>
      </c>
      <c r="D72">
        <v>398</v>
      </c>
      <c r="E72">
        <v>50</v>
      </c>
      <c r="F72">
        <v>372</v>
      </c>
    </row>
    <row r="73" spans="1:6" x14ac:dyDescent="0.25">
      <c r="A73" s="39">
        <v>46002</v>
      </c>
      <c r="B73">
        <v>1906.12</v>
      </c>
      <c r="C73">
        <v>2404.12</v>
      </c>
      <c r="D73">
        <v>398</v>
      </c>
      <c r="E73">
        <v>50</v>
      </c>
      <c r="F73">
        <v>372</v>
      </c>
    </row>
    <row r="74" spans="1:6" x14ac:dyDescent="0.25">
      <c r="A74" s="39">
        <v>46003</v>
      </c>
      <c r="B74">
        <v>1809.38</v>
      </c>
      <c r="C74">
        <v>2406.38</v>
      </c>
      <c r="D74">
        <v>398</v>
      </c>
      <c r="E74">
        <v>50</v>
      </c>
      <c r="F74">
        <v>372</v>
      </c>
    </row>
    <row r="75" spans="1:6" x14ac:dyDescent="0.25">
      <c r="A75" s="39">
        <v>46004</v>
      </c>
      <c r="B75">
        <v>1672.62</v>
      </c>
      <c r="C75">
        <v>2373.62</v>
      </c>
      <c r="D75">
        <v>398</v>
      </c>
      <c r="E75">
        <v>50</v>
      </c>
      <c r="F75">
        <v>372</v>
      </c>
    </row>
    <row r="76" spans="1:6" x14ac:dyDescent="0.25">
      <c r="A76" s="39">
        <v>46005</v>
      </c>
      <c r="B76">
        <v>220.36</v>
      </c>
      <c r="C76">
        <v>2486.36</v>
      </c>
      <c r="D76">
        <v>398</v>
      </c>
      <c r="E76">
        <v>50</v>
      </c>
      <c r="F76">
        <v>372</v>
      </c>
    </row>
    <row r="77" spans="1:6" x14ac:dyDescent="0.25">
      <c r="A77" s="39">
        <v>46006</v>
      </c>
      <c r="B77">
        <v>1715.14</v>
      </c>
      <c r="C77">
        <v>2347.14</v>
      </c>
      <c r="D77">
        <v>398</v>
      </c>
      <c r="E77">
        <v>51</v>
      </c>
      <c r="F77">
        <v>372</v>
      </c>
    </row>
    <row r="78" spans="1:6" x14ac:dyDescent="0.25">
      <c r="A78" s="39">
        <v>46007</v>
      </c>
      <c r="B78">
        <v>1888.12</v>
      </c>
      <c r="C78">
        <v>2365.12</v>
      </c>
      <c r="D78">
        <v>398</v>
      </c>
      <c r="E78">
        <v>51</v>
      </c>
      <c r="F78">
        <v>372</v>
      </c>
    </row>
    <row r="79" spans="1:6" x14ac:dyDescent="0.25">
      <c r="A79" s="39">
        <v>46008</v>
      </c>
      <c r="B79">
        <v>1879.56</v>
      </c>
      <c r="C79">
        <v>2819.56</v>
      </c>
      <c r="D79">
        <v>398</v>
      </c>
      <c r="E79">
        <v>51</v>
      </c>
      <c r="F79">
        <v>372</v>
      </c>
    </row>
    <row r="80" spans="1:6" x14ac:dyDescent="0.25">
      <c r="A80" s="39">
        <v>46009</v>
      </c>
      <c r="B80">
        <v>1802.72</v>
      </c>
      <c r="C80">
        <v>2805.72</v>
      </c>
      <c r="D80">
        <v>398</v>
      </c>
      <c r="E80">
        <v>51</v>
      </c>
      <c r="F80">
        <v>372</v>
      </c>
    </row>
    <row r="81" spans="1:7" x14ac:dyDescent="0.25">
      <c r="A81" s="39">
        <v>46010</v>
      </c>
      <c r="B81">
        <v>1914.42</v>
      </c>
      <c r="C81">
        <v>2635.42</v>
      </c>
      <c r="D81">
        <v>398</v>
      </c>
      <c r="E81">
        <v>51</v>
      </c>
      <c r="F81">
        <v>372</v>
      </c>
    </row>
    <row r="82" spans="1:7" x14ac:dyDescent="0.25">
      <c r="A82" s="39">
        <v>46011</v>
      </c>
      <c r="B82">
        <v>1542.96</v>
      </c>
      <c r="C82">
        <v>2260.96</v>
      </c>
      <c r="D82">
        <v>398</v>
      </c>
      <c r="E82">
        <v>51</v>
      </c>
      <c r="F82">
        <v>372</v>
      </c>
    </row>
    <row r="83" spans="1:7" x14ac:dyDescent="0.25">
      <c r="A83" s="39">
        <v>46012</v>
      </c>
      <c r="B83">
        <v>134.32</v>
      </c>
      <c r="C83">
        <v>1345.32</v>
      </c>
      <c r="D83">
        <v>398</v>
      </c>
      <c r="E83">
        <v>51</v>
      </c>
      <c r="F83">
        <v>372</v>
      </c>
    </row>
    <row r="84" spans="1:7" x14ac:dyDescent="0.25">
      <c r="A84" s="39">
        <v>46013</v>
      </c>
      <c r="B84">
        <v>291.7</v>
      </c>
      <c r="C84">
        <v>1742.7</v>
      </c>
      <c r="D84">
        <v>398</v>
      </c>
      <c r="E84">
        <v>52</v>
      </c>
      <c r="F84">
        <v>372</v>
      </c>
    </row>
    <row r="85" spans="1:7" x14ac:dyDescent="0.25">
      <c r="A85" s="39">
        <v>46014</v>
      </c>
      <c r="B85">
        <v>1794.96</v>
      </c>
      <c r="C85">
        <v>2583.96</v>
      </c>
      <c r="D85">
        <v>398</v>
      </c>
      <c r="E85">
        <v>52</v>
      </c>
      <c r="F85">
        <v>372</v>
      </c>
    </row>
    <row r="86" spans="1:7" x14ac:dyDescent="0.25">
      <c r="A86" s="39">
        <v>46015</v>
      </c>
      <c r="B86">
        <v>1889.06</v>
      </c>
      <c r="C86">
        <v>2348.06</v>
      </c>
      <c r="D86">
        <v>398</v>
      </c>
      <c r="E86">
        <v>52</v>
      </c>
      <c r="F86">
        <v>372</v>
      </c>
    </row>
    <row r="87" spans="1:7" x14ac:dyDescent="0.25">
      <c r="A87" s="39">
        <v>46016</v>
      </c>
      <c r="B87">
        <v>1807.24</v>
      </c>
      <c r="C87">
        <v>2427.2399999999998</v>
      </c>
      <c r="D87">
        <v>398</v>
      </c>
      <c r="E87">
        <v>52</v>
      </c>
      <c r="F87">
        <v>372</v>
      </c>
    </row>
    <row r="88" spans="1:7" x14ac:dyDescent="0.25">
      <c r="A88" s="39">
        <v>46017</v>
      </c>
      <c r="B88">
        <v>1852.76</v>
      </c>
      <c r="C88">
        <v>2303.7600000000002</v>
      </c>
      <c r="D88">
        <v>398</v>
      </c>
      <c r="E88">
        <v>52</v>
      </c>
      <c r="F88">
        <v>372</v>
      </c>
    </row>
    <row r="89" spans="1:7" x14ac:dyDescent="0.25">
      <c r="A89" s="39">
        <v>46018</v>
      </c>
      <c r="B89">
        <v>1625.66</v>
      </c>
      <c r="C89">
        <v>2325.66</v>
      </c>
      <c r="D89">
        <v>398</v>
      </c>
      <c r="E89">
        <v>52</v>
      </c>
      <c r="F89">
        <v>372</v>
      </c>
    </row>
    <row r="90" spans="1:7" x14ac:dyDescent="0.25">
      <c r="A90" s="39">
        <v>46019</v>
      </c>
      <c r="B90">
        <v>218.88</v>
      </c>
      <c r="C90">
        <v>2213.88</v>
      </c>
      <c r="D90">
        <v>398</v>
      </c>
      <c r="E90">
        <v>52</v>
      </c>
      <c r="F90">
        <v>372</v>
      </c>
    </row>
    <row r="91" spans="1:7" x14ac:dyDescent="0.25">
      <c r="A91" s="39">
        <v>46020</v>
      </c>
      <c r="B91">
        <v>1828.32</v>
      </c>
      <c r="C91">
        <v>2212.3200000000002</v>
      </c>
      <c r="D91">
        <v>398</v>
      </c>
      <c r="E91">
        <v>53</v>
      </c>
      <c r="F91">
        <v>372</v>
      </c>
    </row>
    <row r="92" spans="1:7" x14ac:dyDescent="0.25">
      <c r="A92" s="39">
        <v>46021</v>
      </c>
      <c r="B92">
        <v>1775.84</v>
      </c>
      <c r="C92">
        <v>2095.84</v>
      </c>
      <c r="D92">
        <v>398</v>
      </c>
      <c r="E92">
        <v>53</v>
      </c>
      <c r="F92">
        <v>372</v>
      </c>
    </row>
    <row r="93" spans="1:7" x14ac:dyDescent="0.25">
      <c r="A93" s="39">
        <v>46022</v>
      </c>
      <c r="B93">
        <v>2267.8200000000002</v>
      </c>
      <c r="C93">
        <v>2234.8200000000002</v>
      </c>
      <c r="D93">
        <v>398</v>
      </c>
      <c r="E93">
        <v>53</v>
      </c>
      <c r="F93">
        <v>372</v>
      </c>
    </row>
    <row r="94" spans="1:7" x14ac:dyDescent="0.25">
      <c r="A94" s="39">
        <v>46023</v>
      </c>
      <c r="B94">
        <v>2239.92</v>
      </c>
      <c r="C94">
        <v>2232.92</v>
      </c>
      <c r="D94">
        <v>398</v>
      </c>
      <c r="E94">
        <v>54</v>
      </c>
      <c r="F94">
        <v>372</v>
      </c>
      <c r="G94">
        <v>53</v>
      </c>
    </row>
    <row r="95" spans="1:7" x14ac:dyDescent="0.25">
      <c r="A95" s="39">
        <v>46024</v>
      </c>
      <c r="B95">
        <v>2093.3000000000002</v>
      </c>
      <c r="C95">
        <v>2310.3000000000002</v>
      </c>
      <c r="D95">
        <v>398</v>
      </c>
      <c r="E95">
        <v>54</v>
      </c>
      <c r="F95">
        <v>372</v>
      </c>
      <c r="G95">
        <v>53</v>
      </c>
    </row>
    <row r="96" spans="1:7" x14ac:dyDescent="0.25">
      <c r="A96" s="39">
        <v>46025</v>
      </c>
      <c r="B96">
        <v>1923.86</v>
      </c>
      <c r="C96">
        <v>1799.86</v>
      </c>
      <c r="D96">
        <v>398</v>
      </c>
      <c r="E96">
        <v>54</v>
      </c>
      <c r="F96">
        <v>372</v>
      </c>
      <c r="G96">
        <v>53</v>
      </c>
    </row>
    <row r="97" spans="1:7" x14ac:dyDescent="0.25">
      <c r="A97" s="39">
        <v>46026</v>
      </c>
      <c r="B97">
        <v>1907.04</v>
      </c>
      <c r="C97">
        <v>162.04000000000002</v>
      </c>
      <c r="D97">
        <v>398</v>
      </c>
      <c r="E97">
        <v>54</v>
      </c>
      <c r="F97">
        <v>372</v>
      </c>
      <c r="G97">
        <v>53</v>
      </c>
    </row>
    <row r="98" spans="1:7" x14ac:dyDescent="0.25">
      <c r="A98" s="39">
        <v>46027</v>
      </c>
      <c r="B98">
        <v>1806.04</v>
      </c>
      <c r="C98">
        <v>1676.04</v>
      </c>
      <c r="D98">
        <v>398</v>
      </c>
      <c r="E98">
        <v>54</v>
      </c>
      <c r="F98">
        <v>372</v>
      </c>
      <c r="G98">
        <v>54</v>
      </c>
    </row>
    <row r="99" spans="1:7" x14ac:dyDescent="0.25">
      <c r="A99" s="39">
        <v>46028</v>
      </c>
      <c r="B99">
        <v>1905.56</v>
      </c>
      <c r="C99">
        <v>2311.56</v>
      </c>
      <c r="D99">
        <v>398</v>
      </c>
      <c r="E99">
        <v>54</v>
      </c>
      <c r="F99">
        <v>372</v>
      </c>
      <c r="G99">
        <v>54</v>
      </c>
    </row>
    <row r="100" spans="1:7" x14ac:dyDescent="0.25">
      <c r="A100" s="39">
        <v>46029</v>
      </c>
      <c r="B100">
        <v>1738.06</v>
      </c>
      <c r="C100">
        <v>2359.06</v>
      </c>
      <c r="D100">
        <v>398</v>
      </c>
      <c r="E100">
        <v>54</v>
      </c>
      <c r="F100">
        <v>372</v>
      </c>
      <c r="G100">
        <v>54</v>
      </c>
    </row>
    <row r="101" spans="1:7" x14ac:dyDescent="0.25">
      <c r="A101" s="39">
        <v>46030</v>
      </c>
      <c r="B101">
        <v>1793.72</v>
      </c>
      <c r="C101">
        <v>2433.7199999999998</v>
      </c>
      <c r="D101">
        <v>398</v>
      </c>
      <c r="E101">
        <v>54</v>
      </c>
      <c r="F101">
        <v>372</v>
      </c>
      <c r="G101">
        <v>54</v>
      </c>
    </row>
    <row r="102" spans="1:7" x14ac:dyDescent="0.25">
      <c r="A102" s="39">
        <v>46031</v>
      </c>
      <c r="B102">
        <v>1906.28</v>
      </c>
      <c r="C102">
        <v>2899.28</v>
      </c>
      <c r="D102">
        <v>398</v>
      </c>
      <c r="E102">
        <v>54</v>
      </c>
      <c r="F102">
        <v>372</v>
      </c>
      <c r="G102">
        <v>54</v>
      </c>
    </row>
    <row r="103" spans="1:7" x14ac:dyDescent="0.25">
      <c r="A103" s="39">
        <v>46032</v>
      </c>
      <c r="B103">
        <v>1535.72</v>
      </c>
      <c r="C103">
        <v>2712.72</v>
      </c>
      <c r="D103">
        <v>398</v>
      </c>
      <c r="E103">
        <v>54</v>
      </c>
      <c r="F103">
        <v>372</v>
      </c>
      <c r="G103">
        <v>54</v>
      </c>
    </row>
    <row r="104" spans="1:7" x14ac:dyDescent="0.25">
      <c r="A104" s="39">
        <v>46033</v>
      </c>
      <c r="B104">
        <v>1681.52</v>
      </c>
      <c r="C104">
        <v>2715.52</v>
      </c>
      <c r="D104">
        <v>398</v>
      </c>
      <c r="E104">
        <v>54</v>
      </c>
      <c r="F104">
        <v>372</v>
      </c>
      <c r="G104">
        <v>54</v>
      </c>
    </row>
    <row r="105" spans="1:7" x14ac:dyDescent="0.25">
      <c r="A105" s="39">
        <v>46034</v>
      </c>
      <c r="B105">
        <v>1906.4</v>
      </c>
      <c r="C105">
        <v>2725.4</v>
      </c>
      <c r="D105">
        <v>398</v>
      </c>
      <c r="E105">
        <v>55</v>
      </c>
      <c r="F105">
        <v>372</v>
      </c>
      <c r="G105">
        <v>55</v>
      </c>
    </row>
    <row r="106" spans="1:7" x14ac:dyDescent="0.25">
      <c r="A106" s="39">
        <v>46035</v>
      </c>
      <c r="B106">
        <v>1528.84</v>
      </c>
      <c r="C106">
        <v>2636.84</v>
      </c>
      <c r="D106">
        <v>398</v>
      </c>
      <c r="E106">
        <v>55</v>
      </c>
      <c r="F106">
        <v>372</v>
      </c>
      <c r="G106">
        <v>55</v>
      </c>
    </row>
    <row r="107" spans="1:7" x14ac:dyDescent="0.25">
      <c r="A107" s="39">
        <v>46036</v>
      </c>
      <c r="B107">
        <v>2125.6799999999998</v>
      </c>
      <c r="C107">
        <v>2512.6799999999998</v>
      </c>
      <c r="D107">
        <v>398</v>
      </c>
      <c r="E107">
        <v>55</v>
      </c>
      <c r="F107">
        <v>372</v>
      </c>
      <c r="G107">
        <v>55</v>
      </c>
    </row>
    <row r="108" spans="1:7" x14ac:dyDescent="0.25">
      <c r="A108" s="39">
        <v>46037</v>
      </c>
      <c r="B108">
        <v>2154.88</v>
      </c>
      <c r="C108">
        <v>2674.88</v>
      </c>
      <c r="D108">
        <v>398</v>
      </c>
      <c r="E108">
        <v>55</v>
      </c>
      <c r="F108">
        <v>372</v>
      </c>
      <c r="G108">
        <v>55</v>
      </c>
    </row>
    <row r="109" spans="1:7" x14ac:dyDescent="0.25">
      <c r="A109" s="39">
        <v>46038</v>
      </c>
      <c r="B109">
        <v>2030.22</v>
      </c>
      <c r="C109">
        <v>2689.22</v>
      </c>
      <c r="D109">
        <v>398</v>
      </c>
      <c r="E109">
        <v>55</v>
      </c>
      <c r="F109">
        <v>372</v>
      </c>
      <c r="G109">
        <v>55</v>
      </c>
    </row>
    <row r="110" spans="1:7" x14ac:dyDescent="0.25">
      <c r="A110" s="39">
        <v>46039</v>
      </c>
      <c r="B110">
        <v>1955.14</v>
      </c>
      <c r="C110">
        <v>2103.14</v>
      </c>
      <c r="D110">
        <v>398</v>
      </c>
      <c r="E110">
        <v>55</v>
      </c>
      <c r="F110">
        <v>372</v>
      </c>
      <c r="G110">
        <v>55</v>
      </c>
    </row>
    <row r="111" spans="1:7" x14ac:dyDescent="0.25">
      <c r="A111" s="39">
        <v>46040</v>
      </c>
      <c r="B111">
        <v>238.56</v>
      </c>
      <c r="C111">
        <v>1163.56</v>
      </c>
      <c r="D111">
        <v>398</v>
      </c>
      <c r="E111">
        <v>55</v>
      </c>
      <c r="F111">
        <v>372</v>
      </c>
      <c r="G111">
        <v>55</v>
      </c>
    </row>
    <row r="112" spans="1:7" x14ac:dyDescent="0.25">
      <c r="A112" s="39">
        <v>46041</v>
      </c>
      <c r="B112">
        <v>1554.22</v>
      </c>
      <c r="C112">
        <v>1999.22</v>
      </c>
      <c r="D112">
        <v>398</v>
      </c>
      <c r="E112">
        <v>56</v>
      </c>
      <c r="F112">
        <v>372</v>
      </c>
      <c r="G112">
        <v>56</v>
      </c>
    </row>
    <row r="113" spans="1:7" x14ac:dyDescent="0.25">
      <c r="A113" s="39">
        <v>46042</v>
      </c>
      <c r="B113">
        <v>1843.34</v>
      </c>
      <c r="C113">
        <v>2146.34</v>
      </c>
      <c r="D113">
        <v>398</v>
      </c>
      <c r="E113">
        <v>56</v>
      </c>
      <c r="F113">
        <v>372</v>
      </c>
      <c r="G113">
        <v>56</v>
      </c>
    </row>
    <row r="114" spans="1:7" x14ac:dyDescent="0.25">
      <c r="A114" s="39">
        <v>46043</v>
      </c>
      <c r="B114">
        <v>1718.4</v>
      </c>
      <c r="C114">
        <v>2183.4</v>
      </c>
      <c r="D114">
        <v>398</v>
      </c>
      <c r="E114">
        <v>56</v>
      </c>
      <c r="F114">
        <v>372</v>
      </c>
      <c r="G114">
        <v>56</v>
      </c>
    </row>
    <row r="115" spans="1:7" x14ac:dyDescent="0.25">
      <c r="A115" s="39">
        <v>46044</v>
      </c>
      <c r="B115">
        <v>1667.1</v>
      </c>
      <c r="C115">
        <v>2147.1</v>
      </c>
      <c r="D115">
        <v>398</v>
      </c>
      <c r="E115">
        <v>56</v>
      </c>
      <c r="F115">
        <v>372</v>
      </c>
      <c r="G115">
        <v>56</v>
      </c>
    </row>
    <row r="116" spans="1:7" x14ac:dyDescent="0.25">
      <c r="A116" s="39">
        <v>46045</v>
      </c>
      <c r="B116">
        <v>1783.72</v>
      </c>
      <c r="C116">
        <v>2205.7199999999998</v>
      </c>
      <c r="D116">
        <v>398</v>
      </c>
      <c r="E116">
        <v>56</v>
      </c>
      <c r="F116">
        <v>372</v>
      </c>
      <c r="G116">
        <v>56</v>
      </c>
    </row>
    <row r="117" spans="1:7" x14ac:dyDescent="0.25">
      <c r="A117" s="39">
        <v>46046</v>
      </c>
      <c r="B117">
        <v>1512.14</v>
      </c>
      <c r="C117">
        <v>2163.14</v>
      </c>
      <c r="D117">
        <v>398</v>
      </c>
      <c r="E117">
        <v>56</v>
      </c>
      <c r="F117">
        <v>372</v>
      </c>
      <c r="G117">
        <v>56</v>
      </c>
    </row>
    <row r="118" spans="1:7" x14ac:dyDescent="0.25">
      <c r="A118" s="39">
        <v>46047</v>
      </c>
      <c r="B118">
        <v>157.28</v>
      </c>
      <c r="C118">
        <v>2071.2800000000002</v>
      </c>
      <c r="D118">
        <v>398</v>
      </c>
      <c r="E118">
        <v>56</v>
      </c>
      <c r="F118">
        <v>372</v>
      </c>
      <c r="G118">
        <v>56</v>
      </c>
    </row>
    <row r="119" spans="1:7" x14ac:dyDescent="0.25">
      <c r="A119" s="39">
        <v>46048</v>
      </c>
      <c r="B119">
        <v>237.78</v>
      </c>
      <c r="C119">
        <v>2047.78</v>
      </c>
      <c r="D119">
        <v>398</v>
      </c>
      <c r="E119">
        <v>57</v>
      </c>
      <c r="F119">
        <v>372</v>
      </c>
      <c r="G119">
        <v>57</v>
      </c>
    </row>
    <row r="120" spans="1:7" x14ac:dyDescent="0.25">
      <c r="A120" s="39">
        <v>46049</v>
      </c>
      <c r="B120">
        <v>1779.36</v>
      </c>
      <c r="C120">
        <v>2191.36</v>
      </c>
      <c r="D120">
        <v>398</v>
      </c>
      <c r="E120">
        <v>57</v>
      </c>
      <c r="F120">
        <v>372</v>
      </c>
      <c r="G120">
        <v>57</v>
      </c>
    </row>
    <row r="121" spans="1:7" x14ac:dyDescent="0.25">
      <c r="A121" s="39">
        <v>46050</v>
      </c>
      <c r="B121">
        <v>1720.08</v>
      </c>
      <c r="C121">
        <v>2221.08</v>
      </c>
      <c r="D121">
        <v>398</v>
      </c>
      <c r="E121">
        <v>57</v>
      </c>
      <c r="F121">
        <v>372</v>
      </c>
      <c r="G121">
        <v>57</v>
      </c>
    </row>
    <row r="122" spans="1:7" x14ac:dyDescent="0.25">
      <c r="A122" s="39">
        <v>46051</v>
      </c>
      <c r="B122">
        <v>1922</v>
      </c>
      <c r="C122">
        <v>2267</v>
      </c>
      <c r="D122">
        <v>398</v>
      </c>
      <c r="E122">
        <v>57</v>
      </c>
      <c r="F122">
        <v>372</v>
      </c>
      <c r="G122">
        <v>57</v>
      </c>
    </row>
    <row r="123" spans="1:7" x14ac:dyDescent="0.25">
      <c r="A123" s="39">
        <v>46052</v>
      </c>
      <c r="B123">
        <v>1813.82</v>
      </c>
      <c r="C123">
        <v>2234.8200000000002</v>
      </c>
      <c r="D123">
        <v>398</v>
      </c>
      <c r="E123">
        <v>57</v>
      </c>
      <c r="F123">
        <v>372</v>
      </c>
      <c r="G123">
        <v>57</v>
      </c>
    </row>
    <row r="124" spans="1:7" x14ac:dyDescent="0.25">
      <c r="A124" s="39">
        <v>46053</v>
      </c>
      <c r="B124">
        <v>1588.22</v>
      </c>
      <c r="C124">
        <v>2220.2199999999998</v>
      </c>
      <c r="D124">
        <v>398</v>
      </c>
      <c r="E124">
        <v>57</v>
      </c>
      <c r="F124">
        <v>372</v>
      </c>
      <c r="G124">
        <v>57</v>
      </c>
    </row>
    <row r="125" spans="1:7" x14ac:dyDescent="0.25">
      <c r="A125" s="39">
        <v>46054</v>
      </c>
      <c r="B125">
        <v>163.80000000000001</v>
      </c>
      <c r="C125">
        <v>2275.8000000000002</v>
      </c>
      <c r="D125">
        <v>398</v>
      </c>
      <c r="F125">
        <v>372</v>
      </c>
      <c r="G125">
        <v>57</v>
      </c>
    </row>
    <row r="126" spans="1:7" x14ac:dyDescent="0.25">
      <c r="A126" s="39">
        <v>46055</v>
      </c>
      <c r="B126">
        <v>1886.22</v>
      </c>
      <c r="C126">
        <v>2077.2199999999998</v>
      </c>
      <c r="D126">
        <v>398</v>
      </c>
      <c r="E126">
        <v>6</v>
      </c>
      <c r="F126">
        <v>372</v>
      </c>
    </row>
    <row r="127" spans="1:7" x14ac:dyDescent="0.25">
      <c r="A127" s="39">
        <v>46056</v>
      </c>
      <c r="B127">
        <v>1923.62</v>
      </c>
      <c r="C127">
        <v>2132.62</v>
      </c>
      <c r="D127">
        <v>398</v>
      </c>
      <c r="E127">
        <v>6</v>
      </c>
      <c r="F127">
        <v>372</v>
      </c>
    </row>
    <row r="128" spans="1:7" x14ac:dyDescent="0.25">
      <c r="A128" s="39">
        <v>46057</v>
      </c>
      <c r="B128">
        <v>1701.78</v>
      </c>
      <c r="C128">
        <v>2122.7800000000002</v>
      </c>
      <c r="D128">
        <v>398</v>
      </c>
      <c r="E128">
        <v>6</v>
      </c>
      <c r="F128">
        <v>372</v>
      </c>
    </row>
    <row r="129" spans="1:6" x14ac:dyDescent="0.25">
      <c r="A129" s="39">
        <v>46058</v>
      </c>
      <c r="B129">
        <v>1638.92</v>
      </c>
      <c r="C129">
        <v>1828.92</v>
      </c>
      <c r="D129">
        <v>398</v>
      </c>
      <c r="E129">
        <v>6</v>
      </c>
      <c r="F129">
        <v>372</v>
      </c>
    </row>
    <row r="130" spans="1:6" x14ac:dyDescent="0.25">
      <c r="A130" s="39">
        <v>46059</v>
      </c>
      <c r="B130">
        <v>132.84</v>
      </c>
      <c r="C130">
        <v>86.84</v>
      </c>
      <c r="D130">
        <v>398</v>
      </c>
      <c r="E130">
        <v>6</v>
      </c>
      <c r="F130">
        <v>372</v>
      </c>
    </row>
    <row r="131" spans="1:6" x14ac:dyDescent="0.25">
      <c r="A131" s="39">
        <v>46060</v>
      </c>
      <c r="B131">
        <v>178.2</v>
      </c>
      <c r="C131">
        <v>77.2</v>
      </c>
      <c r="D131">
        <v>398</v>
      </c>
      <c r="E131">
        <v>6</v>
      </c>
      <c r="F131">
        <v>372</v>
      </c>
    </row>
    <row r="132" spans="1:6" x14ac:dyDescent="0.25">
      <c r="A132" s="39">
        <v>46061</v>
      </c>
      <c r="B132">
        <v>125.4</v>
      </c>
      <c r="C132">
        <v>88.4</v>
      </c>
      <c r="D132">
        <v>398</v>
      </c>
      <c r="E132">
        <v>6</v>
      </c>
      <c r="F132">
        <v>372</v>
      </c>
    </row>
    <row r="133" spans="1:6" x14ac:dyDescent="0.25">
      <c r="A133" s="39">
        <v>46062</v>
      </c>
      <c r="B133">
        <v>1739.66</v>
      </c>
      <c r="C133">
        <v>1924.66</v>
      </c>
      <c r="D133">
        <v>398</v>
      </c>
      <c r="E133">
        <v>7</v>
      </c>
      <c r="F133">
        <v>372</v>
      </c>
    </row>
    <row r="134" spans="1:6" x14ac:dyDescent="0.25">
      <c r="A134" s="39">
        <v>46063</v>
      </c>
      <c r="B134">
        <v>1893.98</v>
      </c>
      <c r="C134">
        <v>2722.98</v>
      </c>
      <c r="D134">
        <v>398</v>
      </c>
      <c r="E134">
        <v>7</v>
      </c>
      <c r="F134">
        <v>372</v>
      </c>
    </row>
    <row r="135" spans="1:6" x14ac:dyDescent="0.25">
      <c r="A135" s="39">
        <v>46064</v>
      </c>
      <c r="B135">
        <v>1582.24</v>
      </c>
      <c r="C135">
        <v>3184.24</v>
      </c>
      <c r="D135">
        <v>398</v>
      </c>
      <c r="E135">
        <v>7</v>
      </c>
      <c r="F135">
        <v>372</v>
      </c>
    </row>
    <row r="136" spans="1:6" x14ac:dyDescent="0.25">
      <c r="A136" s="39">
        <v>46065</v>
      </c>
      <c r="B136">
        <v>1478.88</v>
      </c>
      <c r="C136">
        <v>3255.88</v>
      </c>
      <c r="D136">
        <v>398</v>
      </c>
      <c r="E136">
        <v>7</v>
      </c>
      <c r="F136">
        <v>372</v>
      </c>
    </row>
    <row r="137" spans="1:6" x14ac:dyDescent="0.25">
      <c r="A137" s="39">
        <v>46066</v>
      </c>
      <c r="B137">
        <v>1954.78</v>
      </c>
      <c r="C137">
        <v>3290.78</v>
      </c>
      <c r="D137">
        <v>398</v>
      </c>
      <c r="E137">
        <v>7</v>
      </c>
      <c r="F137">
        <v>372</v>
      </c>
    </row>
    <row r="138" spans="1:6" x14ac:dyDescent="0.25">
      <c r="A138" s="39">
        <v>46067</v>
      </c>
      <c r="B138">
        <v>1903.62</v>
      </c>
      <c r="C138">
        <v>3108.62</v>
      </c>
      <c r="D138">
        <v>398</v>
      </c>
      <c r="E138">
        <v>7</v>
      </c>
      <c r="F138">
        <v>372</v>
      </c>
    </row>
    <row r="139" spans="1:6" x14ac:dyDescent="0.25">
      <c r="A139" s="39">
        <v>46068</v>
      </c>
      <c r="B139">
        <v>1746.54</v>
      </c>
      <c r="C139">
        <v>3156.54</v>
      </c>
      <c r="D139">
        <v>398</v>
      </c>
      <c r="E139">
        <v>7</v>
      </c>
      <c r="F139">
        <v>372</v>
      </c>
    </row>
    <row r="140" spans="1:6" x14ac:dyDescent="0.25">
      <c r="A140" s="39">
        <v>46069</v>
      </c>
      <c r="B140">
        <v>1837.66</v>
      </c>
      <c r="C140">
        <v>2598.66</v>
      </c>
      <c r="D140">
        <v>398</v>
      </c>
      <c r="E140">
        <v>8</v>
      </c>
      <c r="F140">
        <v>372</v>
      </c>
    </row>
    <row r="141" spans="1:6" x14ac:dyDescent="0.25">
      <c r="A141" s="39">
        <v>46070</v>
      </c>
      <c r="B141">
        <v>1969.52</v>
      </c>
      <c r="C141">
        <v>3313.52</v>
      </c>
      <c r="D141">
        <v>398</v>
      </c>
      <c r="E141">
        <v>8</v>
      </c>
      <c r="F141">
        <v>372</v>
      </c>
    </row>
    <row r="142" spans="1:6" x14ac:dyDescent="0.25">
      <c r="A142" s="39">
        <v>46071</v>
      </c>
      <c r="B142">
        <v>1891.36</v>
      </c>
      <c r="C142">
        <v>3120.36</v>
      </c>
      <c r="D142">
        <v>398</v>
      </c>
      <c r="E142">
        <v>8</v>
      </c>
      <c r="F142">
        <v>372</v>
      </c>
    </row>
    <row r="143" spans="1:6" x14ac:dyDescent="0.25">
      <c r="A143" s="39">
        <v>46072</v>
      </c>
      <c r="B143">
        <v>1885.68</v>
      </c>
      <c r="C143">
        <v>2967.68</v>
      </c>
      <c r="D143">
        <v>398</v>
      </c>
      <c r="E143">
        <v>8</v>
      </c>
      <c r="F143">
        <v>372</v>
      </c>
    </row>
    <row r="144" spans="1:6" x14ac:dyDescent="0.25">
      <c r="A144" s="39">
        <v>46073</v>
      </c>
      <c r="B144">
        <v>1823.72</v>
      </c>
      <c r="C144">
        <v>2717.72</v>
      </c>
      <c r="D144">
        <v>398</v>
      </c>
      <c r="E144">
        <v>8</v>
      </c>
      <c r="F144">
        <v>372</v>
      </c>
    </row>
    <row r="145" spans="1:6" x14ac:dyDescent="0.25">
      <c r="A145" s="39">
        <v>46074</v>
      </c>
      <c r="B145">
        <v>1923</v>
      </c>
      <c r="C145">
        <v>2657</v>
      </c>
      <c r="D145">
        <v>398</v>
      </c>
      <c r="E145">
        <v>8</v>
      </c>
      <c r="F145">
        <v>372</v>
      </c>
    </row>
    <row r="146" spans="1:6" x14ac:dyDescent="0.25">
      <c r="A146" s="39">
        <v>46075</v>
      </c>
      <c r="B146">
        <v>1719.9</v>
      </c>
      <c r="C146">
        <v>2612.9</v>
      </c>
      <c r="D146">
        <v>398</v>
      </c>
      <c r="E146">
        <v>8</v>
      </c>
      <c r="F146">
        <v>372</v>
      </c>
    </row>
    <row r="147" spans="1:6" x14ac:dyDescent="0.25">
      <c r="A147" s="39">
        <v>46076</v>
      </c>
      <c r="B147">
        <v>1848.3</v>
      </c>
      <c r="C147">
        <v>2523.3000000000002</v>
      </c>
      <c r="D147">
        <v>398</v>
      </c>
      <c r="E147">
        <v>9</v>
      </c>
      <c r="F147">
        <v>372</v>
      </c>
    </row>
    <row r="148" spans="1:6" x14ac:dyDescent="0.25">
      <c r="A148" s="39">
        <v>46077</v>
      </c>
      <c r="B148">
        <v>1893.22</v>
      </c>
      <c r="C148">
        <v>2658.22</v>
      </c>
      <c r="D148">
        <v>398</v>
      </c>
      <c r="E148">
        <v>9</v>
      </c>
      <c r="F148">
        <v>372</v>
      </c>
    </row>
    <row r="149" spans="1:6" x14ac:dyDescent="0.25">
      <c r="A149" s="39">
        <v>46078</v>
      </c>
      <c r="B149">
        <v>1771.88</v>
      </c>
      <c r="C149">
        <v>2366.88</v>
      </c>
      <c r="D149">
        <v>398</v>
      </c>
      <c r="E149">
        <v>9</v>
      </c>
      <c r="F149">
        <v>372</v>
      </c>
    </row>
    <row r="150" spans="1:6" x14ac:dyDescent="0.25">
      <c r="A150" s="39">
        <v>46079</v>
      </c>
      <c r="B150">
        <v>1747.82</v>
      </c>
      <c r="C150">
        <v>2614.8200000000002</v>
      </c>
      <c r="D150">
        <v>398</v>
      </c>
      <c r="E150">
        <v>9</v>
      </c>
      <c r="F150">
        <v>372</v>
      </c>
    </row>
    <row r="151" spans="1:6" x14ac:dyDescent="0.25">
      <c r="A151" s="39">
        <v>46080</v>
      </c>
      <c r="B151">
        <v>1845.92</v>
      </c>
      <c r="C151">
        <v>2711.92</v>
      </c>
      <c r="D151">
        <v>398</v>
      </c>
      <c r="E151">
        <v>9</v>
      </c>
      <c r="F151">
        <v>372</v>
      </c>
    </row>
    <row r="152" spans="1:6" x14ac:dyDescent="0.25">
      <c r="A152" s="39">
        <v>46081</v>
      </c>
      <c r="B152">
        <v>1821.24</v>
      </c>
      <c r="C152">
        <v>2779.24</v>
      </c>
      <c r="D152">
        <v>398</v>
      </c>
      <c r="E152">
        <v>9</v>
      </c>
      <c r="F152">
        <v>372</v>
      </c>
    </row>
    <row r="153" spans="1:6" x14ac:dyDescent="0.25">
      <c r="A153" s="39">
        <v>46082</v>
      </c>
      <c r="B153">
        <v>1753.6</v>
      </c>
      <c r="C153">
        <v>2834.6</v>
      </c>
      <c r="D153">
        <v>398</v>
      </c>
      <c r="E153">
        <v>9</v>
      </c>
      <c r="F153">
        <v>372</v>
      </c>
    </row>
    <row r="154" spans="1:6" x14ac:dyDescent="0.25">
      <c r="A154" s="39">
        <v>46083</v>
      </c>
      <c r="B154">
        <v>1819</v>
      </c>
      <c r="C154">
        <v>2946</v>
      </c>
      <c r="D154">
        <v>398</v>
      </c>
      <c r="E154">
        <v>10</v>
      </c>
      <c r="F154">
        <v>372</v>
      </c>
    </row>
    <row r="155" spans="1:6" x14ac:dyDescent="0.25">
      <c r="A155" s="39">
        <v>46084</v>
      </c>
      <c r="B155">
        <v>1652.42</v>
      </c>
      <c r="C155">
        <v>2812.42</v>
      </c>
      <c r="D155">
        <v>398</v>
      </c>
      <c r="E155">
        <v>10</v>
      </c>
      <c r="F155">
        <v>372</v>
      </c>
    </row>
    <row r="156" spans="1:6" x14ac:dyDescent="0.25">
      <c r="A156" s="39">
        <v>46085</v>
      </c>
      <c r="B156">
        <v>1748.26</v>
      </c>
      <c r="C156">
        <v>3178.26</v>
      </c>
      <c r="D156">
        <v>398</v>
      </c>
      <c r="E156">
        <v>10</v>
      </c>
      <c r="F156">
        <v>372</v>
      </c>
    </row>
    <row r="157" spans="1:6" x14ac:dyDescent="0.25">
      <c r="A157" s="39">
        <v>46086</v>
      </c>
      <c r="B157">
        <v>1756.5</v>
      </c>
      <c r="C157">
        <v>3398.5</v>
      </c>
      <c r="D157">
        <v>398</v>
      </c>
      <c r="E157">
        <v>10</v>
      </c>
      <c r="F157">
        <v>372</v>
      </c>
    </row>
    <row r="158" spans="1:6" x14ac:dyDescent="0.25">
      <c r="A158" s="39">
        <v>46087</v>
      </c>
      <c r="B158">
        <v>1763.14</v>
      </c>
      <c r="C158">
        <v>3236.14</v>
      </c>
      <c r="D158">
        <v>398</v>
      </c>
      <c r="E158">
        <v>10</v>
      </c>
      <c r="F158">
        <v>372</v>
      </c>
    </row>
    <row r="159" spans="1:6" x14ac:dyDescent="0.25">
      <c r="A159" s="39">
        <v>46088</v>
      </c>
      <c r="B159">
        <v>1457.44</v>
      </c>
      <c r="C159">
        <v>3219.44</v>
      </c>
      <c r="D159">
        <v>398</v>
      </c>
      <c r="E159">
        <v>10</v>
      </c>
      <c r="F159">
        <v>372</v>
      </c>
    </row>
    <row r="160" spans="1:6" x14ac:dyDescent="0.25">
      <c r="A160" s="39">
        <v>46089</v>
      </c>
      <c r="B160">
        <v>195.44</v>
      </c>
      <c r="C160">
        <v>2946.44</v>
      </c>
      <c r="D160">
        <v>398</v>
      </c>
      <c r="E160">
        <v>10</v>
      </c>
      <c r="F160">
        <v>372</v>
      </c>
    </row>
    <row r="161" spans="1:7" x14ac:dyDescent="0.25">
      <c r="A161" s="39">
        <v>46090</v>
      </c>
      <c r="B161">
        <v>1696.04</v>
      </c>
      <c r="C161">
        <v>2805.04</v>
      </c>
      <c r="D161">
        <v>398</v>
      </c>
      <c r="E161">
        <f>WEEKNUM(A161,2)</f>
        <v>11</v>
      </c>
      <c r="F161">
        <v>372</v>
      </c>
    </row>
    <row r="162" spans="1:7" x14ac:dyDescent="0.25">
      <c r="A162" s="39">
        <v>46091</v>
      </c>
      <c r="B162">
        <v>1801.54</v>
      </c>
      <c r="C162">
        <v>3005.54</v>
      </c>
      <c r="D162">
        <v>398</v>
      </c>
      <c r="E162">
        <f t="shared" ref="E162:E167" si="0">WEEKNUM(A162,2)</f>
        <v>11</v>
      </c>
      <c r="F162">
        <v>372</v>
      </c>
    </row>
    <row r="163" spans="1:7" x14ac:dyDescent="0.25">
      <c r="A163" s="39">
        <v>46092</v>
      </c>
      <c r="B163">
        <v>1803.26</v>
      </c>
      <c r="C163">
        <v>2534.2600000000002</v>
      </c>
      <c r="D163">
        <v>398</v>
      </c>
      <c r="E163">
        <f t="shared" si="0"/>
        <v>11</v>
      </c>
      <c r="F163">
        <v>372</v>
      </c>
    </row>
    <row r="164" spans="1:7" x14ac:dyDescent="0.25">
      <c r="A164" s="39">
        <v>46093</v>
      </c>
      <c r="B164">
        <v>1886.5</v>
      </c>
      <c r="C164">
        <v>2797.5</v>
      </c>
      <c r="D164">
        <v>398</v>
      </c>
      <c r="E164">
        <f t="shared" si="0"/>
        <v>11</v>
      </c>
      <c r="F164">
        <v>372</v>
      </c>
    </row>
    <row r="165" spans="1:7" x14ac:dyDescent="0.25">
      <c r="A165" s="39">
        <v>46094</v>
      </c>
      <c r="B165">
        <v>1812.58</v>
      </c>
      <c r="C165">
        <v>3021.58</v>
      </c>
      <c r="D165">
        <v>398</v>
      </c>
      <c r="E165">
        <f t="shared" si="0"/>
        <v>11</v>
      </c>
      <c r="F165">
        <v>372</v>
      </c>
    </row>
    <row r="166" spans="1:7" x14ac:dyDescent="0.25">
      <c r="A166" s="39">
        <v>46095</v>
      </c>
      <c r="B166">
        <v>1968.22</v>
      </c>
      <c r="C166">
        <v>3091.22</v>
      </c>
      <c r="D166">
        <v>398</v>
      </c>
      <c r="E166">
        <f t="shared" si="0"/>
        <v>11</v>
      </c>
      <c r="F166">
        <v>372</v>
      </c>
    </row>
    <row r="167" spans="1:7" x14ac:dyDescent="0.25">
      <c r="A167" s="39">
        <v>46096</v>
      </c>
      <c r="B167">
        <v>1812.2</v>
      </c>
      <c r="C167">
        <v>2899.2</v>
      </c>
      <c r="D167">
        <v>398</v>
      </c>
      <c r="E167">
        <f t="shared" si="0"/>
        <v>11</v>
      </c>
      <c r="F167">
        <v>372</v>
      </c>
    </row>
    <row r="168" spans="1:7" x14ac:dyDescent="0.25">
      <c r="A168" s="39">
        <v>46097</v>
      </c>
      <c r="B168">
        <v>1745.06</v>
      </c>
      <c r="C168">
        <v>2572.06</v>
      </c>
      <c r="D168">
        <v>398</v>
      </c>
      <c r="E168">
        <v>11</v>
      </c>
      <c r="F168">
        <v>372</v>
      </c>
    </row>
    <row r="169" spans="1:7" x14ac:dyDescent="0.25">
      <c r="A169" s="39">
        <v>46098</v>
      </c>
      <c r="C169">
        <v>1081</v>
      </c>
      <c r="E169">
        <v>11</v>
      </c>
      <c r="F169">
        <v>372</v>
      </c>
      <c r="G169">
        <v>11</v>
      </c>
    </row>
    <row r="170" spans="1:7" x14ac:dyDescent="0.25">
      <c r="A170" s="39">
        <v>46099</v>
      </c>
      <c r="C170">
        <v>186.64</v>
      </c>
      <c r="E170">
        <v>11</v>
      </c>
      <c r="F170">
        <v>372</v>
      </c>
      <c r="G170">
        <v>11</v>
      </c>
    </row>
    <row r="171" spans="1:7" x14ac:dyDescent="0.25">
      <c r="A171" s="39">
        <v>46111</v>
      </c>
      <c r="C171">
        <v>1598.18</v>
      </c>
      <c r="E171">
        <f t="shared" ref="E171:E172" si="1">WEEKNUM(A171,2)</f>
        <v>14</v>
      </c>
      <c r="F171">
        <v>372</v>
      </c>
      <c r="G171">
        <v>11</v>
      </c>
    </row>
    <row r="172" spans="1:7" x14ac:dyDescent="0.25">
      <c r="A172" s="39">
        <v>46112</v>
      </c>
      <c r="C172">
        <v>2207.6999999999998</v>
      </c>
      <c r="E172">
        <f t="shared" si="1"/>
        <v>14</v>
      </c>
      <c r="F172">
        <v>372</v>
      </c>
      <c r="G172">
        <v>11</v>
      </c>
    </row>
    <row r="173" spans="1:7" x14ac:dyDescent="0.25">
      <c r="A173" s="39">
        <v>46113</v>
      </c>
      <c r="B173">
        <v>1453.42</v>
      </c>
      <c r="C173">
        <v>2678.42</v>
      </c>
      <c r="D173">
        <v>398</v>
      </c>
      <c r="E173">
        <f>WEEKNUM(A173,2)</f>
        <v>14</v>
      </c>
      <c r="F173">
        <v>372</v>
      </c>
    </row>
    <row r="174" spans="1:7" x14ac:dyDescent="0.25">
      <c r="A174" s="39">
        <v>46114</v>
      </c>
      <c r="B174">
        <v>1635.4</v>
      </c>
      <c r="C174">
        <v>2809.4</v>
      </c>
      <c r="D174">
        <v>398</v>
      </c>
      <c r="E174">
        <f t="shared" ref="E174:E202" si="2">WEEKNUM(A174,2)</f>
        <v>14</v>
      </c>
      <c r="F174">
        <v>372</v>
      </c>
    </row>
    <row r="175" spans="1:7" x14ac:dyDescent="0.25">
      <c r="A175" s="39">
        <v>46115</v>
      </c>
      <c r="B175">
        <v>1688.58</v>
      </c>
      <c r="C175">
        <v>2748.58</v>
      </c>
      <c r="D175">
        <v>398</v>
      </c>
      <c r="E175">
        <f t="shared" si="2"/>
        <v>14</v>
      </c>
      <c r="F175">
        <v>372</v>
      </c>
    </row>
    <row r="176" spans="1:7" x14ac:dyDescent="0.25">
      <c r="A176" s="39">
        <v>46116</v>
      </c>
      <c r="B176">
        <v>1705.1</v>
      </c>
      <c r="C176">
        <v>2814.1</v>
      </c>
      <c r="D176">
        <v>398</v>
      </c>
      <c r="E176">
        <f t="shared" si="2"/>
        <v>14</v>
      </c>
      <c r="F176">
        <v>372</v>
      </c>
    </row>
    <row r="177" spans="1:6" x14ac:dyDescent="0.25">
      <c r="A177" s="39">
        <v>46117</v>
      </c>
      <c r="B177">
        <v>1562.1</v>
      </c>
      <c r="C177">
        <v>2913.1</v>
      </c>
      <c r="D177">
        <v>398</v>
      </c>
      <c r="E177">
        <f t="shared" si="2"/>
        <v>14</v>
      </c>
      <c r="F177">
        <v>372</v>
      </c>
    </row>
    <row r="178" spans="1:6" x14ac:dyDescent="0.25">
      <c r="A178" s="39">
        <f>+A177+1</f>
        <v>46118</v>
      </c>
      <c r="B178">
        <v>1396</v>
      </c>
      <c r="C178">
        <v>2733</v>
      </c>
      <c r="D178">
        <v>398</v>
      </c>
      <c r="E178">
        <f t="shared" si="2"/>
        <v>15</v>
      </c>
      <c r="F178">
        <v>372</v>
      </c>
    </row>
    <row r="179" spans="1:6" x14ac:dyDescent="0.25">
      <c r="A179" s="39">
        <f t="shared" ref="A179:A184" si="3">+A178+1</f>
        <v>46119</v>
      </c>
      <c r="B179">
        <v>1371</v>
      </c>
      <c r="C179">
        <v>2984</v>
      </c>
      <c r="D179">
        <v>398</v>
      </c>
      <c r="E179">
        <f t="shared" si="2"/>
        <v>15</v>
      </c>
      <c r="F179">
        <v>372</v>
      </c>
    </row>
    <row r="180" spans="1:6" x14ac:dyDescent="0.25">
      <c r="A180" s="39">
        <f t="shared" si="3"/>
        <v>46120</v>
      </c>
      <c r="B180">
        <v>1404</v>
      </c>
      <c r="C180">
        <v>2928</v>
      </c>
      <c r="D180">
        <v>398</v>
      </c>
      <c r="E180">
        <f t="shared" si="2"/>
        <v>15</v>
      </c>
      <c r="F180">
        <v>372</v>
      </c>
    </row>
    <row r="181" spans="1:6" x14ac:dyDescent="0.25">
      <c r="A181" s="39">
        <f t="shared" si="3"/>
        <v>46121</v>
      </c>
      <c r="B181">
        <v>1451</v>
      </c>
      <c r="C181">
        <v>2686</v>
      </c>
      <c r="D181">
        <v>398</v>
      </c>
      <c r="E181">
        <f t="shared" si="2"/>
        <v>15</v>
      </c>
      <c r="F181">
        <v>372</v>
      </c>
    </row>
    <row r="182" spans="1:6" x14ac:dyDescent="0.25">
      <c r="A182" s="39">
        <f t="shared" si="3"/>
        <v>46122</v>
      </c>
      <c r="B182">
        <v>1445</v>
      </c>
      <c r="C182">
        <v>2385</v>
      </c>
      <c r="D182">
        <v>398</v>
      </c>
      <c r="E182">
        <f t="shared" si="2"/>
        <v>15</v>
      </c>
      <c r="F182">
        <v>372</v>
      </c>
    </row>
    <row r="183" spans="1:6" x14ac:dyDescent="0.25">
      <c r="A183" s="39">
        <f t="shared" si="3"/>
        <v>46123</v>
      </c>
      <c r="B183">
        <v>1545</v>
      </c>
      <c r="C183">
        <v>2379</v>
      </c>
      <c r="D183">
        <v>398</v>
      </c>
      <c r="E183">
        <f t="shared" si="2"/>
        <v>15</v>
      </c>
      <c r="F183">
        <v>372</v>
      </c>
    </row>
    <row r="184" spans="1:6" x14ac:dyDescent="0.25">
      <c r="A184" s="39">
        <f t="shared" si="3"/>
        <v>46124</v>
      </c>
      <c r="B184">
        <v>1043</v>
      </c>
      <c r="C184">
        <v>2343</v>
      </c>
      <c r="D184">
        <v>398</v>
      </c>
      <c r="E184">
        <f t="shared" si="2"/>
        <v>15</v>
      </c>
      <c r="F184">
        <v>372</v>
      </c>
    </row>
    <row r="185" spans="1:6" x14ac:dyDescent="0.25">
      <c r="A185" s="39">
        <v>46125</v>
      </c>
      <c r="B185">
        <v>1235.92</v>
      </c>
      <c r="C185">
        <v>2587.92</v>
      </c>
      <c r="D185">
        <v>398</v>
      </c>
      <c r="E185">
        <f t="shared" si="2"/>
        <v>16</v>
      </c>
      <c r="F185">
        <v>372</v>
      </c>
    </row>
    <row r="186" spans="1:6" x14ac:dyDescent="0.25">
      <c r="A186" s="39">
        <v>46126</v>
      </c>
      <c r="B186">
        <v>1196.2</v>
      </c>
      <c r="C186">
        <v>2697.2</v>
      </c>
      <c r="D186">
        <v>398</v>
      </c>
      <c r="E186">
        <f t="shared" si="2"/>
        <v>16</v>
      </c>
      <c r="F186">
        <v>372</v>
      </c>
    </row>
    <row r="187" spans="1:6" x14ac:dyDescent="0.25">
      <c r="A187" s="39">
        <v>46127</v>
      </c>
      <c r="B187">
        <v>1220.26</v>
      </c>
      <c r="C187">
        <v>2634.26</v>
      </c>
      <c r="D187">
        <v>398</v>
      </c>
      <c r="E187">
        <f t="shared" si="2"/>
        <v>16</v>
      </c>
      <c r="F187">
        <v>372</v>
      </c>
    </row>
    <row r="188" spans="1:6" x14ac:dyDescent="0.25">
      <c r="A188" s="39">
        <v>46128</v>
      </c>
      <c r="B188">
        <v>1637.06</v>
      </c>
      <c r="C188">
        <v>2719.06</v>
      </c>
      <c r="D188">
        <v>398</v>
      </c>
      <c r="E188">
        <f t="shared" si="2"/>
        <v>16</v>
      </c>
      <c r="F188">
        <v>372</v>
      </c>
    </row>
    <row r="189" spans="1:6" x14ac:dyDescent="0.25">
      <c r="A189" s="39">
        <v>46129</v>
      </c>
      <c r="B189">
        <v>1685.1</v>
      </c>
      <c r="C189">
        <v>2803.1</v>
      </c>
      <c r="D189">
        <v>398</v>
      </c>
      <c r="E189">
        <f t="shared" si="2"/>
        <v>16</v>
      </c>
      <c r="F189">
        <v>372</v>
      </c>
    </row>
    <row r="190" spans="1:6" x14ac:dyDescent="0.25">
      <c r="A190" s="39">
        <v>46130</v>
      </c>
      <c r="B190">
        <v>1498.06</v>
      </c>
      <c r="C190">
        <v>2500.06</v>
      </c>
      <c r="D190">
        <v>398</v>
      </c>
      <c r="E190">
        <f t="shared" si="2"/>
        <v>16</v>
      </c>
      <c r="F190">
        <v>372</v>
      </c>
    </row>
    <row r="191" spans="1:6" x14ac:dyDescent="0.25">
      <c r="A191" s="39">
        <v>46131</v>
      </c>
      <c r="B191">
        <v>1236.6600000000001</v>
      </c>
      <c r="C191">
        <v>1658.66</v>
      </c>
      <c r="D191">
        <v>398</v>
      </c>
      <c r="E191">
        <f t="shared" si="2"/>
        <v>16</v>
      </c>
      <c r="F191">
        <v>372</v>
      </c>
    </row>
    <row r="192" spans="1:6" x14ac:dyDescent="0.25">
      <c r="A192" s="39">
        <v>46132</v>
      </c>
      <c r="B192">
        <v>1557.4</v>
      </c>
      <c r="C192">
        <v>1658.4</v>
      </c>
      <c r="D192">
        <v>398</v>
      </c>
      <c r="E192">
        <f t="shared" si="2"/>
        <v>17</v>
      </c>
      <c r="F192">
        <v>372</v>
      </c>
    </row>
    <row r="193" spans="1:6" x14ac:dyDescent="0.25">
      <c r="A193" s="39">
        <v>46133</v>
      </c>
      <c r="B193">
        <v>1155.74</v>
      </c>
      <c r="C193">
        <v>1477.74</v>
      </c>
      <c r="D193">
        <v>398</v>
      </c>
      <c r="E193">
        <f t="shared" si="2"/>
        <v>17</v>
      </c>
      <c r="F193">
        <v>372</v>
      </c>
    </row>
    <row r="194" spans="1:6" x14ac:dyDescent="0.25">
      <c r="A194" s="39">
        <v>46134</v>
      </c>
      <c r="B194">
        <v>1181.6400000000001</v>
      </c>
      <c r="C194">
        <v>1499.64</v>
      </c>
      <c r="D194">
        <v>398</v>
      </c>
      <c r="E194">
        <f t="shared" si="2"/>
        <v>17</v>
      </c>
      <c r="F194">
        <v>372</v>
      </c>
    </row>
    <row r="195" spans="1:6" x14ac:dyDescent="0.25">
      <c r="A195" s="39">
        <v>46135</v>
      </c>
      <c r="B195">
        <v>1124.8</v>
      </c>
      <c r="C195">
        <v>1736.8</v>
      </c>
      <c r="D195">
        <v>398</v>
      </c>
      <c r="E195">
        <f t="shared" si="2"/>
        <v>17</v>
      </c>
      <c r="F195">
        <v>372</v>
      </c>
    </row>
    <row r="196" spans="1:6" x14ac:dyDescent="0.25">
      <c r="A196" s="39">
        <v>46136</v>
      </c>
      <c r="B196">
        <v>797.36</v>
      </c>
      <c r="C196">
        <v>1854.36</v>
      </c>
      <c r="D196">
        <v>398</v>
      </c>
      <c r="E196">
        <f t="shared" si="2"/>
        <v>17</v>
      </c>
      <c r="F196">
        <v>372</v>
      </c>
    </row>
    <row r="197" spans="1:6" x14ac:dyDescent="0.25">
      <c r="A197" s="39">
        <v>46137</v>
      </c>
      <c r="B197">
        <v>1299.44</v>
      </c>
      <c r="C197">
        <v>1765.44</v>
      </c>
      <c r="D197">
        <v>398</v>
      </c>
      <c r="E197">
        <f t="shared" si="2"/>
        <v>17</v>
      </c>
      <c r="F197">
        <v>372</v>
      </c>
    </row>
    <row r="198" spans="1:6" x14ac:dyDescent="0.25">
      <c r="A198" s="39">
        <v>46138</v>
      </c>
      <c r="B198">
        <v>1033.1199999999999</v>
      </c>
      <c r="C198">
        <v>1351.12</v>
      </c>
      <c r="D198">
        <v>398</v>
      </c>
      <c r="E198">
        <f t="shared" si="2"/>
        <v>17</v>
      </c>
      <c r="F198">
        <v>372</v>
      </c>
    </row>
    <row r="199" spans="1:6" x14ac:dyDescent="0.25">
      <c r="A199" s="39">
        <v>46139</v>
      </c>
      <c r="B199">
        <v>1503.04</v>
      </c>
      <c r="C199">
        <v>1732.04</v>
      </c>
      <c r="D199">
        <v>398</v>
      </c>
      <c r="E199">
        <f t="shared" si="2"/>
        <v>18</v>
      </c>
      <c r="F199">
        <v>372</v>
      </c>
    </row>
    <row r="200" spans="1:6" x14ac:dyDescent="0.25">
      <c r="A200" s="39">
        <v>46140</v>
      </c>
      <c r="B200">
        <v>1383.18</v>
      </c>
      <c r="C200">
        <v>1847.18</v>
      </c>
      <c r="D200">
        <v>398</v>
      </c>
      <c r="E200">
        <f t="shared" si="2"/>
        <v>18</v>
      </c>
      <c r="F200">
        <v>372</v>
      </c>
    </row>
    <row r="201" spans="1:6" x14ac:dyDescent="0.25">
      <c r="A201" s="39">
        <v>46141</v>
      </c>
      <c r="B201">
        <v>1489.78</v>
      </c>
      <c r="C201">
        <v>1969.78</v>
      </c>
      <c r="D201">
        <v>398</v>
      </c>
      <c r="E201">
        <f t="shared" si="2"/>
        <v>18</v>
      </c>
      <c r="F201">
        <v>372</v>
      </c>
    </row>
    <row r="202" spans="1:6" x14ac:dyDescent="0.25">
      <c r="A202" s="39">
        <v>46142</v>
      </c>
      <c r="B202">
        <v>1690.76</v>
      </c>
      <c r="C202">
        <v>1578.76</v>
      </c>
      <c r="D202">
        <v>398</v>
      </c>
      <c r="E202">
        <f t="shared" si="2"/>
        <v>18</v>
      </c>
      <c r="F202">
        <v>372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85DB3-BBD8-450C-B5D1-8549F9E80B09}">
  <dimension ref="A1:AG15"/>
  <sheetViews>
    <sheetView workbookViewId="0">
      <selection activeCell="A9" sqref="A9"/>
    </sheetView>
  </sheetViews>
  <sheetFormatPr defaultRowHeight="15" x14ac:dyDescent="0.25"/>
  <cols>
    <col min="1" max="1" width="9.140625" style="39"/>
  </cols>
  <sheetData>
    <row r="1" spans="1:33" x14ac:dyDescent="0.25">
      <c r="A1" s="39" t="s">
        <v>79</v>
      </c>
      <c r="Q1" t="s">
        <v>1042</v>
      </c>
    </row>
    <row r="2" spans="1:33" ht="15.75" x14ac:dyDescent="0.25">
      <c r="A2" s="163"/>
      <c r="B2" s="164">
        <v>1</v>
      </c>
      <c r="C2" s="164">
        <v>1</v>
      </c>
      <c r="D2" s="164">
        <v>2</v>
      </c>
      <c r="E2" s="164">
        <v>2</v>
      </c>
      <c r="F2" s="164">
        <v>3</v>
      </c>
      <c r="G2" s="164">
        <v>3</v>
      </c>
      <c r="H2" s="164">
        <v>4</v>
      </c>
      <c r="I2" s="164">
        <v>4</v>
      </c>
      <c r="J2" s="164">
        <v>5</v>
      </c>
      <c r="K2" s="164">
        <v>5</v>
      </c>
      <c r="L2" s="164">
        <v>6</v>
      </c>
      <c r="M2" s="164">
        <v>6</v>
      </c>
      <c r="N2" s="164"/>
      <c r="O2" s="164"/>
      <c r="P2" s="164"/>
      <c r="Q2" s="164">
        <v>1</v>
      </c>
      <c r="R2" s="164">
        <v>1</v>
      </c>
      <c r="S2" s="164">
        <v>2</v>
      </c>
      <c r="T2" s="164">
        <v>2</v>
      </c>
      <c r="U2" s="164">
        <v>3</v>
      </c>
      <c r="V2" s="164">
        <v>3</v>
      </c>
      <c r="W2" s="164">
        <v>4</v>
      </c>
      <c r="X2" s="164">
        <v>4</v>
      </c>
      <c r="Y2" s="164">
        <v>5</v>
      </c>
      <c r="Z2" s="164">
        <v>5</v>
      </c>
      <c r="AA2" s="164">
        <v>6</v>
      </c>
      <c r="AB2" s="164">
        <v>6</v>
      </c>
      <c r="AC2" s="164">
        <v>7</v>
      </c>
      <c r="AD2" s="164">
        <v>7</v>
      </c>
      <c r="AE2" s="164">
        <v>8</v>
      </c>
      <c r="AF2" s="164">
        <v>8</v>
      </c>
    </row>
    <row r="3" spans="1:33" ht="15.75" x14ac:dyDescent="0.25">
      <c r="A3" s="163" t="s">
        <v>1</v>
      </c>
      <c r="B3" s="164" t="s">
        <v>45</v>
      </c>
      <c r="C3" s="164" t="s">
        <v>46</v>
      </c>
      <c r="D3" s="164" t="s">
        <v>45</v>
      </c>
      <c r="E3" s="164" t="s">
        <v>46</v>
      </c>
      <c r="F3" s="164" t="s">
        <v>45</v>
      </c>
      <c r="G3" s="164" t="s">
        <v>46</v>
      </c>
      <c r="H3" s="164" t="s">
        <v>45</v>
      </c>
      <c r="I3" s="164" t="s">
        <v>46</v>
      </c>
      <c r="J3" s="164" t="s">
        <v>45</v>
      </c>
      <c r="K3" s="164" t="s">
        <v>46</v>
      </c>
      <c r="L3" s="164"/>
      <c r="M3" s="164"/>
      <c r="N3" s="164"/>
      <c r="O3" s="164" t="s">
        <v>1041</v>
      </c>
      <c r="P3" s="164"/>
      <c r="Q3" s="164" t="s">
        <v>45</v>
      </c>
      <c r="R3" s="164" t="s">
        <v>46</v>
      </c>
      <c r="S3" s="164" t="s">
        <v>45</v>
      </c>
      <c r="T3" s="164" t="s">
        <v>46</v>
      </c>
      <c r="U3" s="164" t="s">
        <v>45</v>
      </c>
      <c r="V3" s="164" t="s">
        <v>46</v>
      </c>
      <c r="W3" s="164" t="s">
        <v>45</v>
      </c>
      <c r="X3" s="164" t="s">
        <v>46</v>
      </c>
      <c r="Y3" s="164" t="s">
        <v>45</v>
      </c>
      <c r="Z3" s="164" t="s">
        <v>46</v>
      </c>
      <c r="AA3" s="164" t="s">
        <v>45</v>
      </c>
      <c r="AB3" s="164" t="s">
        <v>46</v>
      </c>
      <c r="AC3" s="164" t="s">
        <v>45</v>
      </c>
      <c r="AD3" s="164" t="s">
        <v>46</v>
      </c>
      <c r="AE3" s="164" t="s">
        <v>45</v>
      </c>
      <c r="AF3" s="164" t="s">
        <v>46</v>
      </c>
    </row>
    <row r="4" spans="1:33" x14ac:dyDescent="0.25">
      <c r="A4" s="39">
        <v>46054</v>
      </c>
      <c r="N4">
        <v>0</v>
      </c>
      <c r="O4">
        <v>6</v>
      </c>
      <c r="Q4">
        <v>210</v>
      </c>
      <c r="R4">
        <v>220</v>
      </c>
      <c r="S4">
        <v>140</v>
      </c>
      <c r="T4">
        <v>170</v>
      </c>
      <c r="U4">
        <v>0</v>
      </c>
      <c r="V4">
        <v>0</v>
      </c>
      <c r="W4">
        <v>390</v>
      </c>
      <c r="X4">
        <v>390</v>
      </c>
      <c r="Y4">
        <v>0</v>
      </c>
      <c r="Z4">
        <v>0</v>
      </c>
      <c r="AA4">
        <v>0</v>
      </c>
      <c r="AB4">
        <v>0</v>
      </c>
      <c r="AC4">
        <v>500</v>
      </c>
      <c r="AD4">
        <v>800</v>
      </c>
      <c r="AE4">
        <v>500</v>
      </c>
      <c r="AF4">
        <v>500</v>
      </c>
      <c r="AG4">
        <v>3820</v>
      </c>
    </row>
    <row r="5" spans="1:33" x14ac:dyDescent="0.25">
      <c r="A5" s="39">
        <v>46055</v>
      </c>
      <c r="B5">
        <v>90</v>
      </c>
      <c r="C5">
        <v>125</v>
      </c>
      <c r="D5">
        <v>140</v>
      </c>
      <c r="E5">
        <v>180</v>
      </c>
      <c r="F5">
        <v>0</v>
      </c>
      <c r="G5">
        <v>0</v>
      </c>
      <c r="H5">
        <v>450</v>
      </c>
      <c r="I5">
        <v>800</v>
      </c>
      <c r="J5">
        <v>350</v>
      </c>
      <c r="K5">
        <v>500</v>
      </c>
      <c r="L5">
        <v>0</v>
      </c>
      <c r="M5">
        <v>0</v>
      </c>
      <c r="N5">
        <v>2635</v>
      </c>
      <c r="O5">
        <v>6</v>
      </c>
      <c r="Q5">
        <v>185</v>
      </c>
      <c r="R5">
        <v>185</v>
      </c>
      <c r="S5">
        <v>0</v>
      </c>
      <c r="T5">
        <v>0</v>
      </c>
      <c r="U5">
        <v>0</v>
      </c>
      <c r="V5">
        <v>0</v>
      </c>
      <c r="W5">
        <v>480</v>
      </c>
      <c r="X5">
        <v>480</v>
      </c>
      <c r="Y5">
        <v>0</v>
      </c>
      <c r="Z5">
        <v>0</v>
      </c>
      <c r="AA5">
        <v>0</v>
      </c>
      <c r="AB5">
        <v>0</v>
      </c>
      <c r="AC5">
        <v>850</v>
      </c>
      <c r="AD5">
        <v>700</v>
      </c>
      <c r="AE5">
        <v>400</v>
      </c>
      <c r="AF5">
        <v>400</v>
      </c>
      <c r="AG5">
        <v>3680</v>
      </c>
    </row>
    <row r="6" spans="1:33" x14ac:dyDescent="0.25">
      <c r="A6" s="39">
        <v>46056</v>
      </c>
      <c r="B6">
        <v>120</v>
      </c>
      <c r="C6">
        <v>120</v>
      </c>
      <c r="D6">
        <v>160</v>
      </c>
      <c r="E6">
        <v>160</v>
      </c>
      <c r="F6">
        <v>0</v>
      </c>
      <c r="G6">
        <v>0</v>
      </c>
      <c r="H6">
        <v>780</v>
      </c>
      <c r="I6">
        <v>750</v>
      </c>
      <c r="J6">
        <v>480</v>
      </c>
      <c r="K6">
        <v>500</v>
      </c>
      <c r="L6">
        <v>0</v>
      </c>
      <c r="M6">
        <v>0</v>
      </c>
      <c r="N6">
        <v>3070</v>
      </c>
      <c r="O6">
        <v>6</v>
      </c>
      <c r="Q6">
        <v>180</v>
      </c>
      <c r="R6">
        <v>180</v>
      </c>
      <c r="S6">
        <v>100</v>
      </c>
      <c r="T6">
        <v>0</v>
      </c>
      <c r="U6">
        <v>0</v>
      </c>
      <c r="V6">
        <v>0</v>
      </c>
      <c r="W6">
        <v>430</v>
      </c>
      <c r="X6">
        <v>430</v>
      </c>
      <c r="Y6">
        <v>0</v>
      </c>
      <c r="Z6">
        <v>0</v>
      </c>
      <c r="AA6">
        <v>0</v>
      </c>
      <c r="AB6">
        <v>0</v>
      </c>
      <c r="AC6">
        <v>720</v>
      </c>
      <c r="AD6">
        <v>720</v>
      </c>
      <c r="AE6">
        <v>410</v>
      </c>
      <c r="AF6">
        <v>340</v>
      </c>
      <c r="AG6">
        <v>3510</v>
      </c>
    </row>
    <row r="7" spans="1:33" x14ac:dyDescent="0.25">
      <c r="A7" s="39">
        <v>46057</v>
      </c>
      <c r="B7">
        <v>120</v>
      </c>
      <c r="C7">
        <v>120</v>
      </c>
      <c r="D7">
        <v>180</v>
      </c>
      <c r="E7">
        <v>180</v>
      </c>
      <c r="F7">
        <v>0</v>
      </c>
      <c r="G7">
        <v>0</v>
      </c>
      <c r="H7">
        <v>750</v>
      </c>
      <c r="I7">
        <v>750</v>
      </c>
      <c r="J7">
        <v>500</v>
      </c>
      <c r="K7">
        <v>500</v>
      </c>
      <c r="L7">
        <v>0</v>
      </c>
      <c r="M7">
        <v>0</v>
      </c>
      <c r="N7">
        <v>3100</v>
      </c>
      <c r="O7">
        <v>6</v>
      </c>
      <c r="Q7">
        <v>160</v>
      </c>
      <c r="R7">
        <v>160</v>
      </c>
      <c r="S7">
        <v>160</v>
      </c>
      <c r="T7">
        <v>180</v>
      </c>
      <c r="U7">
        <v>0</v>
      </c>
      <c r="V7">
        <v>0</v>
      </c>
      <c r="W7">
        <v>320</v>
      </c>
      <c r="X7">
        <v>400</v>
      </c>
      <c r="Y7">
        <v>0</v>
      </c>
      <c r="Z7">
        <v>0</v>
      </c>
      <c r="AA7">
        <v>0</v>
      </c>
      <c r="AB7">
        <v>0</v>
      </c>
      <c r="AC7">
        <v>700</v>
      </c>
      <c r="AD7">
        <v>700</v>
      </c>
      <c r="AE7">
        <v>300</v>
      </c>
      <c r="AF7">
        <v>330</v>
      </c>
      <c r="AG7">
        <v>3410</v>
      </c>
    </row>
    <row r="8" spans="1:33" x14ac:dyDescent="0.25">
      <c r="A8" s="39">
        <v>46058</v>
      </c>
      <c r="B8">
        <v>120</v>
      </c>
      <c r="C8">
        <v>120</v>
      </c>
      <c r="D8">
        <v>180</v>
      </c>
      <c r="E8">
        <v>180</v>
      </c>
      <c r="F8">
        <v>0</v>
      </c>
      <c r="G8">
        <v>0</v>
      </c>
      <c r="H8">
        <v>550</v>
      </c>
      <c r="I8">
        <v>500</v>
      </c>
      <c r="J8">
        <v>700</v>
      </c>
      <c r="K8">
        <v>620</v>
      </c>
      <c r="L8">
        <v>0</v>
      </c>
      <c r="M8">
        <v>0</v>
      </c>
      <c r="N8">
        <v>2970</v>
      </c>
      <c r="O8">
        <v>6</v>
      </c>
      <c r="Q8">
        <v>120</v>
      </c>
      <c r="R8">
        <v>150</v>
      </c>
      <c r="S8">
        <v>130</v>
      </c>
      <c r="T8">
        <v>130</v>
      </c>
      <c r="U8">
        <v>0</v>
      </c>
      <c r="V8">
        <v>0</v>
      </c>
      <c r="W8">
        <v>420</v>
      </c>
      <c r="X8">
        <v>400</v>
      </c>
      <c r="Y8">
        <v>0</v>
      </c>
      <c r="Z8">
        <v>0</v>
      </c>
      <c r="AA8">
        <v>0</v>
      </c>
      <c r="AB8">
        <v>0</v>
      </c>
      <c r="AC8">
        <v>530</v>
      </c>
      <c r="AD8">
        <v>460</v>
      </c>
      <c r="AE8">
        <v>500</v>
      </c>
      <c r="AF8">
        <v>430</v>
      </c>
      <c r="AG8">
        <v>3270</v>
      </c>
    </row>
    <row r="9" spans="1:33" x14ac:dyDescent="0.25">
      <c r="A9" s="39">
        <v>46062</v>
      </c>
      <c r="B9">
        <v>90</v>
      </c>
      <c r="C9">
        <v>150</v>
      </c>
      <c r="D9">
        <v>150</v>
      </c>
      <c r="E9">
        <v>210</v>
      </c>
      <c r="F9">
        <v>0</v>
      </c>
      <c r="G9">
        <v>0</v>
      </c>
      <c r="H9">
        <v>480</v>
      </c>
      <c r="I9">
        <v>700</v>
      </c>
      <c r="J9">
        <v>300</v>
      </c>
      <c r="K9">
        <v>600</v>
      </c>
      <c r="L9">
        <v>0</v>
      </c>
      <c r="M9">
        <v>0</v>
      </c>
      <c r="N9">
        <v>2680</v>
      </c>
      <c r="O9">
        <v>7</v>
      </c>
      <c r="Q9">
        <v>100</v>
      </c>
      <c r="R9">
        <v>140</v>
      </c>
      <c r="S9">
        <v>0</v>
      </c>
      <c r="T9">
        <v>0</v>
      </c>
      <c r="U9">
        <v>0</v>
      </c>
      <c r="V9">
        <v>0</v>
      </c>
      <c r="W9">
        <v>270</v>
      </c>
      <c r="X9">
        <v>420</v>
      </c>
      <c r="Y9">
        <v>0</v>
      </c>
      <c r="Z9">
        <v>450</v>
      </c>
      <c r="AA9">
        <v>0</v>
      </c>
      <c r="AB9">
        <v>0</v>
      </c>
      <c r="AC9">
        <v>0</v>
      </c>
      <c r="AD9">
        <v>450</v>
      </c>
      <c r="AE9">
        <v>360</v>
      </c>
      <c r="AF9">
        <v>550</v>
      </c>
      <c r="AG9">
        <v>2740</v>
      </c>
    </row>
    <row r="10" spans="1:33" x14ac:dyDescent="0.25">
      <c r="A10" s="39">
        <v>46063</v>
      </c>
      <c r="B10">
        <v>135</v>
      </c>
      <c r="C10">
        <v>135</v>
      </c>
      <c r="D10">
        <v>230</v>
      </c>
      <c r="E10">
        <v>230</v>
      </c>
      <c r="F10">
        <v>0</v>
      </c>
      <c r="G10">
        <v>0</v>
      </c>
      <c r="H10">
        <v>740</v>
      </c>
      <c r="I10">
        <v>740</v>
      </c>
      <c r="J10">
        <v>550</v>
      </c>
      <c r="K10">
        <v>500</v>
      </c>
      <c r="L10">
        <v>0</v>
      </c>
      <c r="M10">
        <v>0</v>
      </c>
      <c r="N10">
        <v>3260</v>
      </c>
      <c r="O10">
        <v>7</v>
      </c>
      <c r="Q10">
        <v>180</v>
      </c>
      <c r="R10">
        <v>180</v>
      </c>
      <c r="S10">
        <v>110</v>
      </c>
      <c r="T10">
        <v>145</v>
      </c>
      <c r="U10">
        <v>0</v>
      </c>
      <c r="V10">
        <v>0</v>
      </c>
      <c r="W10">
        <v>500</v>
      </c>
      <c r="X10">
        <v>400</v>
      </c>
      <c r="Y10">
        <v>400</v>
      </c>
      <c r="Z10">
        <v>380</v>
      </c>
      <c r="AA10">
        <v>0</v>
      </c>
      <c r="AB10">
        <v>0</v>
      </c>
      <c r="AC10">
        <v>800</v>
      </c>
      <c r="AD10">
        <v>900</v>
      </c>
      <c r="AE10">
        <v>500</v>
      </c>
      <c r="AF10">
        <v>450</v>
      </c>
      <c r="AG10">
        <v>4945</v>
      </c>
    </row>
    <row r="11" spans="1:33" x14ac:dyDescent="0.25">
      <c r="A11" s="39">
        <v>46064</v>
      </c>
      <c r="B11">
        <v>145</v>
      </c>
      <c r="C11">
        <v>145</v>
      </c>
      <c r="D11">
        <v>225</v>
      </c>
      <c r="E11">
        <v>225</v>
      </c>
      <c r="F11">
        <v>0</v>
      </c>
      <c r="G11">
        <v>0</v>
      </c>
      <c r="H11">
        <v>750</v>
      </c>
      <c r="I11">
        <v>70</v>
      </c>
      <c r="J11">
        <v>500</v>
      </c>
      <c r="K11">
        <v>420</v>
      </c>
      <c r="L11">
        <v>0</v>
      </c>
      <c r="M11">
        <v>0</v>
      </c>
      <c r="N11">
        <v>2480</v>
      </c>
      <c r="O11">
        <v>7</v>
      </c>
      <c r="Q11">
        <v>200</v>
      </c>
      <c r="R11">
        <v>230</v>
      </c>
      <c r="S11">
        <v>170</v>
      </c>
      <c r="T11">
        <v>100</v>
      </c>
      <c r="U11">
        <v>0</v>
      </c>
      <c r="V11">
        <v>0</v>
      </c>
      <c r="W11">
        <v>420</v>
      </c>
      <c r="X11">
        <v>390</v>
      </c>
      <c r="Y11">
        <v>340</v>
      </c>
      <c r="Z11">
        <v>300</v>
      </c>
      <c r="AA11">
        <v>410</v>
      </c>
      <c r="AB11">
        <v>650</v>
      </c>
      <c r="AC11">
        <v>600</v>
      </c>
      <c r="AD11">
        <v>800</v>
      </c>
      <c r="AE11">
        <v>400</v>
      </c>
      <c r="AF11">
        <v>340</v>
      </c>
      <c r="AG11">
        <v>5350</v>
      </c>
    </row>
    <row r="12" spans="1:33" x14ac:dyDescent="0.25">
      <c r="A12" s="39">
        <v>46065</v>
      </c>
      <c r="B12">
        <v>130</v>
      </c>
      <c r="C12">
        <v>130</v>
      </c>
      <c r="D12">
        <v>200</v>
      </c>
      <c r="E12">
        <v>200</v>
      </c>
      <c r="F12">
        <v>0</v>
      </c>
      <c r="G12">
        <v>0</v>
      </c>
      <c r="H12">
        <v>0</v>
      </c>
      <c r="I12">
        <v>450</v>
      </c>
      <c r="J12">
        <v>500</v>
      </c>
      <c r="K12">
        <v>500</v>
      </c>
      <c r="L12">
        <v>0</v>
      </c>
      <c r="M12">
        <v>0</v>
      </c>
      <c r="N12">
        <v>2110</v>
      </c>
      <c r="O12">
        <v>7</v>
      </c>
      <c r="Q12">
        <v>200</v>
      </c>
      <c r="R12">
        <v>200</v>
      </c>
      <c r="S12">
        <v>80</v>
      </c>
      <c r="T12">
        <v>80</v>
      </c>
      <c r="U12">
        <v>0</v>
      </c>
      <c r="V12">
        <v>0</v>
      </c>
      <c r="W12">
        <v>290</v>
      </c>
      <c r="X12">
        <v>350</v>
      </c>
      <c r="Y12">
        <v>490</v>
      </c>
      <c r="Z12">
        <v>450</v>
      </c>
      <c r="AA12">
        <v>600</v>
      </c>
      <c r="AB12">
        <v>600</v>
      </c>
      <c r="AC12">
        <v>800</v>
      </c>
      <c r="AD12">
        <v>800</v>
      </c>
      <c r="AE12">
        <v>500</v>
      </c>
      <c r="AF12">
        <v>500</v>
      </c>
      <c r="AG12">
        <v>5940</v>
      </c>
    </row>
    <row r="13" spans="1:33" x14ac:dyDescent="0.25">
      <c r="A13" s="39">
        <v>46066</v>
      </c>
      <c r="B13">
        <v>135</v>
      </c>
      <c r="C13">
        <v>135</v>
      </c>
      <c r="D13">
        <v>190</v>
      </c>
      <c r="E13">
        <v>190</v>
      </c>
      <c r="F13">
        <v>0</v>
      </c>
      <c r="G13">
        <v>0</v>
      </c>
      <c r="H13">
        <v>700</v>
      </c>
      <c r="I13">
        <v>1100</v>
      </c>
      <c r="J13">
        <v>500</v>
      </c>
      <c r="K13">
        <v>500</v>
      </c>
      <c r="L13">
        <v>0</v>
      </c>
      <c r="M13">
        <v>0</v>
      </c>
      <c r="N13">
        <v>3450</v>
      </c>
      <c r="O13">
        <v>7</v>
      </c>
      <c r="Q13">
        <v>200</v>
      </c>
      <c r="R13">
        <v>200</v>
      </c>
      <c r="S13">
        <v>100</v>
      </c>
      <c r="T13">
        <v>80</v>
      </c>
      <c r="U13">
        <v>0</v>
      </c>
      <c r="V13">
        <v>0</v>
      </c>
      <c r="W13">
        <v>500</v>
      </c>
      <c r="X13">
        <v>550</v>
      </c>
      <c r="Y13">
        <v>430</v>
      </c>
      <c r="Z13">
        <v>370</v>
      </c>
      <c r="AA13">
        <v>650</v>
      </c>
      <c r="AB13">
        <v>650</v>
      </c>
      <c r="AC13">
        <v>870</v>
      </c>
      <c r="AD13">
        <v>850</v>
      </c>
      <c r="AE13">
        <v>500</v>
      </c>
      <c r="AF13">
        <v>420</v>
      </c>
      <c r="AG13">
        <v>6370</v>
      </c>
    </row>
    <row r="14" spans="1:33" x14ac:dyDescent="0.25">
      <c r="A14" s="39">
        <v>46067</v>
      </c>
      <c r="B14">
        <v>140</v>
      </c>
      <c r="C14">
        <v>130</v>
      </c>
      <c r="D14">
        <v>180</v>
      </c>
      <c r="E14">
        <v>180</v>
      </c>
      <c r="F14">
        <v>0</v>
      </c>
      <c r="G14">
        <v>0</v>
      </c>
      <c r="H14">
        <v>780</v>
      </c>
      <c r="I14">
        <v>750</v>
      </c>
      <c r="J14">
        <v>200</v>
      </c>
      <c r="K14">
        <v>350</v>
      </c>
      <c r="L14">
        <v>0</v>
      </c>
      <c r="M14">
        <v>0</v>
      </c>
      <c r="N14">
        <v>2710</v>
      </c>
      <c r="O14">
        <v>7</v>
      </c>
      <c r="Q14">
        <v>200</v>
      </c>
      <c r="R14">
        <v>200</v>
      </c>
      <c r="S14">
        <v>100</v>
      </c>
      <c r="T14">
        <v>80</v>
      </c>
      <c r="U14">
        <v>0</v>
      </c>
      <c r="V14">
        <v>0</v>
      </c>
      <c r="W14">
        <v>500</v>
      </c>
      <c r="X14">
        <v>550</v>
      </c>
      <c r="Y14">
        <v>430</v>
      </c>
      <c r="Z14">
        <v>370</v>
      </c>
      <c r="AA14">
        <v>650</v>
      </c>
      <c r="AB14">
        <v>650</v>
      </c>
      <c r="AC14">
        <v>870</v>
      </c>
      <c r="AD14">
        <v>850</v>
      </c>
      <c r="AE14">
        <v>500</v>
      </c>
      <c r="AF14">
        <v>420</v>
      </c>
      <c r="AG14">
        <v>6370</v>
      </c>
    </row>
    <row r="15" spans="1:33" x14ac:dyDescent="0.25">
      <c r="A15" s="39">
        <v>46068</v>
      </c>
      <c r="B15">
        <v>140</v>
      </c>
      <c r="C15">
        <v>130</v>
      </c>
      <c r="D15">
        <v>180</v>
      </c>
      <c r="E15">
        <v>180</v>
      </c>
      <c r="F15">
        <v>0</v>
      </c>
      <c r="G15">
        <v>0</v>
      </c>
      <c r="H15">
        <v>780</v>
      </c>
      <c r="I15">
        <v>750</v>
      </c>
      <c r="J15">
        <v>200</v>
      </c>
      <c r="K15">
        <v>350</v>
      </c>
      <c r="L15">
        <v>0</v>
      </c>
      <c r="M15">
        <v>0</v>
      </c>
      <c r="N15">
        <v>2710</v>
      </c>
      <c r="O15">
        <v>7</v>
      </c>
      <c r="Q15">
        <v>160</v>
      </c>
      <c r="R15">
        <v>185</v>
      </c>
      <c r="S15">
        <v>160</v>
      </c>
      <c r="T15">
        <v>200</v>
      </c>
      <c r="U15">
        <v>0</v>
      </c>
      <c r="V15">
        <v>0</v>
      </c>
      <c r="W15">
        <v>400</v>
      </c>
      <c r="X15">
        <v>280</v>
      </c>
      <c r="Y15">
        <v>400</v>
      </c>
      <c r="Z15">
        <v>500</v>
      </c>
      <c r="AA15">
        <v>670</v>
      </c>
      <c r="AB15">
        <v>670</v>
      </c>
      <c r="AC15">
        <v>560</v>
      </c>
      <c r="AD15">
        <v>700</v>
      </c>
      <c r="AE15">
        <v>340</v>
      </c>
      <c r="AF15">
        <v>340</v>
      </c>
      <c r="AG15">
        <v>5565</v>
      </c>
    </row>
  </sheetData>
  <autoFilter ref="A3:H3" xr:uid="{A2F85DB3-BBD8-450C-B5D1-8549F9E80B0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885B76-6119-45A3-9946-117F649D5E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PP</vt:lpstr>
      <vt:lpstr>PP PRD</vt:lpstr>
      <vt:lpstr>PP PRO PIVOTE</vt:lpstr>
      <vt:lpstr>WOR</vt:lpstr>
      <vt:lpstr>MOR</vt:lpstr>
      <vt:lpstr>KWH</vt:lpstr>
      <vt:lpstr>TARGET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cp:lastPrinted>2026-05-11T09:33:31Z</cp:lastPrinted>
  <dcterms:created xsi:type="dcterms:W3CDTF">2024-09-03T10:27:20Z</dcterms:created>
  <dcterms:modified xsi:type="dcterms:W3CDTF">2026-05-11T09:33:33Z</dcterms:modified>
</cp:coreProperties>
</file>